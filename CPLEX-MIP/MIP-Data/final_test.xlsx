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9502271_qut_edu_au/Documents/Sentosa_DSG/Research/Thesis/Codes/8_Deterministic_Scheduling/eRoSB_Final/CPLEX-MIP/MIP-Data/"/>
    </mc:Choice>
  </mc:AlternateContent>
  <xr:revisionPtr revIDLastSave="53" documentId="13_ncr:1_{605D544E-09F7-46BF-A16B-74326AE6F2F8}" xr6:coauthVersionLast="47" xr6:coauthVersionMax="47" xr10:uidLastSave="{3AC74795-4374-4C72-8361-DA37530B24F3}"/>
  <bookViews>
    <workbookView xWindow="-28920" yWindow="-120" windowWidth="29040" windowHeight="15840" activeTab="5" xr2:uid="{00000000-000D-0000-FFFF-FFFF00000000}"/>
  </bookViews>
  <sheets>
    <sheet name="test" sheetId="1" r:id="rId1"/>
    <sheet name="Recharged_Feasible_matv3" sheetId="14" r:id="rId2"/>
    <sheet name="Recharged_Feasible_matv2" sheetId="13" r:id="rId3"/>
    <sheet name="Result" sheetId="5" r:id="rId4"/>
    <sheet name="Sheet2" sheetId="10" r:id="rId5"/>
    <sheet name="10Trips" sheetId="6" r:id="rId6"/>
    <sheet name="feasible_mat" sheetId="3" r:id="rId7"/>
    <sheet name="duration_mat" sheetId="2" r:id="rId8"/>
    <sheet name="idle_mat" sheetId="8" r:id="rId9"/>
    <sheet name="idle_matv4" sheetId="12" r:id="rId10"/>
    <sheet name="idle_matv2" sheetId="9" r:id="rId11"/>
    <sheet name="idle_matv3" sheetId="11" r:id="rId12"/>
    <sheet name="Recharged_Feasible_mat" sheetId="4" r:id="rId13"/>
    <sheet name="Recharged_Feasible_mat1cs" sheetId="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6" l="1"/>
  <c r="E54" i="6"/>
  <c r="F54" i="6"/>
  <c r="G54" i="6"/>
  <c r="H54" i="6"/>
  <c r="I54" i="6"/>
  <c r="J54" i="6"/>
  <c r="K54" i="6"/>
  <c r="L54" i="6"/>
  <c r="D55" i="6"/>
  <c r="E55" i="6"/>
  <c r="F55" i="6"/>
  <c r="G55" i="6"/>
  <c r="H55" i="6"/>
  <c r="I55" i="6"/>
  <c r="J55" i="6"/>
  <c r="K55" i="6"/>
  <c r="L55" i="6"/>
  <c r="D56" i="6"/>
  <c r="E56" i="6"/>
  <c r="F56" i="6"/>
  <c r="G56" i="6"/>
  <c r="H56" i="6"/>
  <c r="I56" i="6"/>
  <c r="J56" i="6"/>
  <c r="K56" i="6"/>
  <c r="L56" i="6"/>
  <c r="D57" i="6"/>
  <c r="E57" i="6"/>
  <c r="F57" i="6"/>
  <c r="G57" i="6"/>
  <c r="H57" i="6"/>
  <c r="I57" i="6"/>
  <c r="J57" i="6"/>
  <c r="K57" i="6"/>
  <c r="L57" i="6"/>
  <c r="D58" i="6"/>
  <c r="E58" i="6"/>
  <c r="F58" i="6"/>
  <c r="G58" i="6"/>
  <c r="H58" i="6"/>
  <c r="I58" i="6"/>
  <c r="J58" i="6"/>
  <c r="K58" i="6"/>
  <c r="L58" i="6"/>
  <c r="D59" i="6"/>
  <c r="E59" i="6"/>
  <c r="F59" i="6"/>
  <c r="G59" i="6"/>
  <c r="H59" i="6"/>
  <c r="I59" i="6"/>
  <c r="J59" i="6"/>
  <c r="K59" i="6"/>
  <c r="L59" i="6"/>
  <c r="D60" i="6"/>
  <c r="E60" i="6"/>
  <c r="F60" i="6"/>
  <c r="G60" i="6"/>
  <c r="H60" i="6"/>
  <c r="I60" i="6"/>
  <c r="J60" i="6"/>
  <c r="K60" i="6"/>
  <c r="L60" i="6"/>
  <c r="D61" i="6"/>
  <c r="E61" i="6"/>
  <c r="F61" i="6"/>
  <c r="G61" i="6"/>
  <c r="H61" i="6"/>
  <c r="I61" i="6"/>
  <c r="J61" i="6"/>
  <c r="K61" i="6"/>
  <c r="L61" i="6"/>
  <c r="D62" i="6"/>
  <c r="E62" i="6"/>
  <c r="F62" i="6"/>
  <c r="G62" i="6"/>
  <c r="H62" i="6"/>
  <c r="I62" i="6"/>
  <c r="J62" i="6"/>
  <c r="K62" i="6"/>
  <c r="L62" i="6"/>
  <c r="D63" i="6"/>
  <c r="E63" i="6"/>
  <c r="F63" i="6"/>
  <c r="G63" i="6"/>
  <c r="H63" i="6"/>
  <c r="I63" i="6"/>
  <c r="J63" i="6"/>
  <c r="K63" i="6"/>
  <c r="L63" i="6"/>
  <c r="C55" i="6"/>
  <c r="C56" i="6"/>
  <c r="C57" i="6"/>
  <c r="C58" i="6"/>
  <c r="C59" i="6"/>
  <c r="C60" i="6"/>
  <c r="C61" i="6"/>
  <c r="C62" i="6"/>
  <c r="C63" i="6"/>
  <c r="C54" i="6"/>
  <c r="D43" i="6"/>
  <c r="E43" i="6"/>
  <c r="F43" i="6"/>
  <c r="G43" i="6"/>
  <c r="H43" i="6"/>
  <c r="I43" i="6"/>
  <c r="J43" i="6"/>
  <c r="K43" i="6"/>
  <c r="L43" i="6"/>
  <c r="D44" i="6"/>
  <c r="E44" i="6"/>
  <c r="F44" i="6"/>
  <c r="G44" i="6"/>
  <c r="H44" i="6"/>
  <c r="I44" i="6"/>
  <c r="J44" i="6"/>
  <c r="K44" i="6"/>
  <c r="L44" i="6"/>
  <c r="D45" i="6"/>
  <c r="E45" i="6"/>
  <c r="F45" i="6"/>
  <c r="G45" i="6"/>
  <c r="H45" i="6"/>
  <c r="I45" i="6"/>
  <c r="J45" i="6"/>
  <c r="K45" i="6"/>
  <c r="L45" i="6"/>
  <c r="D46" i="6"/>
  <c r="E46" i="6"/>
  <c r="F46" i="6"/>
  <c r="G46" i="6"/>
  <c r="H46" i="6"/>
  <c r="I46" i="6"/>
  <c r="J46" i="6"/>
  <c r="K46" i="6"/>
  <c r="L46" i="6"/>
  <c r="D47" i="6"/>
  <c r="E47" i="6"/>
  <c r="F47" i="6"/>
  <c r="G47" i="6"/>
  <c r="H47" i="6"/>
  <c r="I47" i="6"/>
  <c r="J47" i="6"/>
  <c r="K47" i="6"/>
  <c r="L47" i="6"/>
  <c r="D48" i="6"/>
  <c r="E48" i="6"/>
  <c r="F48" i="6"/>
  <c r="G48" i="6"/>
  <c r="H48" i="6"/>
  <c r="I48" i="6"/>
  <c r="J48" i="6"/>
  <c r="K48" i="6"/>
  <c r="L48" i="6"/>
  <c r="D49" i="6"/>
  <c r="E49" i="6"/>
  <c r="F49" i="6"/>
  <c r="G49" i="6"/>
  <c r="H49" i="6"/>
  <c r="I49" i="6"/>
  <c r="J49" i="6"/>
  <c r="K49" i="6"/>
  <c r="L49" i="6"/>
  <c r="D50" i="6"/>
  <c r="E50" i="6"/>
  <c r="F50" i="6"/>
  <c r="G50" i="6"/>
  <c r="H50" i="6"/>
  <c r="I50" i="6"/>
  <c r="J50" i="6"/>
  <c r="K50" i="6"/>
  <c r="L50" i="6"/>
  <c r="D51" i="6"/>
  <c r="E51" i="6"/>
  <c r="F51" i="6"/>
  <c r="G51" i="6"/>
  <c r="H51" i="6"/>
  <c r="I51" i="6"/>
  <c r="J51" i="6"/>
  <c r="K51" i="6"/>
  <c r="L51" i="6"/>
  <c r="D52" i="6"/>
  <c r="E52" i="6"/>
  <c r="F52" i="6"/>
  <c r="G52" i="6"/>
  <c r="H52" i="6"/>
  <c r="I52" i="6"/>
  <c r="J52" i="6"/>
  <c r="K52" i="6"/>
  <c r="L52" i="6"/>
  <c r="C44" i="6"/>
  <c r="C45" i="6"/>
  <c r="C46" i="6"/>
  <c r="C47" i="6"/>
  <c r="C48" i="6"/>
  <c r="C49" i="6"/>
  <c r="C50" i="6"/>
  <c r="C51" i="6"/>
  <c r="C52" i="6"/>
  <c r="C43" i="6"/>
  <c r="N5" i="6" l="1"/>
  <c r="N7" i="6"/>
  <c r="N6" i="6"/>
  <c r="Q2" i="6"/>
  <c r="Q5" i="6"/>
  <c r="F171" i="14"/>
  <c r="F170" i="14"/>
  <c r="M57" i="1"/>
  <c r="O55" i="1"/>
  <c r="M53" i="1"/>
  <c r="M51" i="1"/>
  <c r="M49" i="1"/>
  <c r="N47" i="1"/>
  <c r="O45" i="1"/>
  <c r="N43" i="1"/>
  <c r="F36" i="3"/>
  <c r="D36" i="3"/>
  <c r="D35" i="3"/>
  <c r="D34" i="3"/>
  <c r="S4" i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C103" i="6"/>
  <c r="D88" i="6"/>
  <c r="E88" i="6"/>
  <c r="F88" i="6"/>
  <c r="G88" i="6"/>
  <c r="H88" i="6"/>
  <c r="I88" i="6"/>
  <c r="J88" i="6"/>
  <c r="K88" i="6"/>
  <c r="L88" i="6"/>
  <c r="C104" i="6"/>
  <c r="D103" i="6"/>
  <c r="L76" i="6"/>
  <c r="K76" i="6"/>
  <c r="J76" i="6"/>
  <c r="I76" i="6"/>
  <c r="H76" i="6"/>
  <c r="G76" i="6"/>
  <c r="F76" i="6"/>
  <c r="E76" i="6"/>
  <c r="D76" i="6"/>
  <c r="C76" i="6"/>
  <c r="L75" i="6"/>
  <c r="K75" i="6"/>
  <c r="J75" i="6"/>
  <c r="I75" i="6"/>
  <c r="H75" i="6"/>
  <c r="G75" i="6"/>
  <c r="F75" i="6"/>
  <c r="E75" i="6"/>
  <c r="D75" i="6"/>
  <c r="C75" i="6"/>
  <c r="L74" i="6"/>
  <c r="K74" i="6"/>
  <c r="J74" i="6"/>
  <c r="I74" i="6"/>
  <c r="H74" i="6"/>
  <c r="G74" i="6"/>
  <c r="F74" i="6"/>
  <c r="E74" i="6"/>
  <c r="D74" i="6"/>
  <c r="C74" i="6"/>
  <c r="L73" i="6"/>
  <c r="K73" i="6"/>
  <c r="J73" i="6"/>
  <c r="I73" i="6"/>
  <c r="H73" i="6"/>
  <c r="G73" i="6"/>
  <c r="F73" i="6"/>
  <c r="E73" i="6"/>
  <c r="D73" i="6"/>
  <c r="C73" i="6"/>
  <c r="L72" i="6"/>
  <c r="K72" i="6"/>
  <c r="J72" i="6"/>
  <c r="I72" i="6"/>
  <c r="H72" i="6"/>
  <c r="G72" i="6"/>
  <c r="F72" i="6"/>
  <c r="E72" i="6"/>
  <c r="D72" i="6"/>
  <c r="C72" i="6"/>
  <c r="L71" i="6"/>
  <c r="K71" i="6"/>
  <c r="J71" i="6"/>
  <c r="I71" i="6"/>
  <c r="H71" i="6"/>
  <c r="G71" i="6"/>
  <c r="F71" i="6"/>
  <c r="E71" i="6"/>
  <c r="D71" i="6"/>
  <c r="C71" i="6"/>
  <c r="L70" i="6"/>
  <c r="K70" i="6"/>
  <c r="J70" i="6"/>
  <c r="I70" i="6"/>
  <c r="H70" i="6"/>
  <c r="G70" i="6"/>
  <c r="F70" i="6"/>
  <c r="E70" i="6"/>
  <c r="D70" i="6"/>
  <c r="C70" i="6"/>
  <c r="L69" i="6"/>
  <c r="K69" i="6"/>
  <c r="J69" i="6"/>
  <c r="I69" i="6"/>
  <c r="H69" i="6"/>
  <c r="G69" i="6"/>
  <c r="F69" i="6"/>
  <c r="E69" i="6"/>
  <c r="D69" i="6"/>
  <c r="C69" i="6"/>
  <c r="L68" i="6"/>
  <c r="K68" i="6"/>
  <c r="J68" i="6"/>
  <c r="I68" i="6"/>
  <c r="H68" i="6"/>
  <c r="G68" i="6"/>
  <c r="F68" i="6"/>
  <c r="E68" i="6"/>
  <c r="D68" i="6"/>
  <c r="C68" i="6"/>
  <c r="L67" i="6"/>
  <c r="K67" i="6"/>
  <c r="J67" i="6"/>
  <c r="I67" i="6"/>
  <c r="H67" i="6"/>
  <c r="G67" i="6"/>
  <c r="F67" i="6"/>
  <c r="E67" i="6"/>
  <c r="D67" i="6"/>
  <c r="C67" i="6"/>
  <c r="E96" i="13" l="1"/>
  <c r="F96" i="13"/>
  <c r="G96" i="13"/>
  <c r="H96" i="13"/>
  <c r="I96" i="13"/>
  <c r="J96" i="13"/>
  <c r="K96" i="13"/>
  <c r="L96" i="13"/>
  <c r="M96" i="13"/>
  <c r="N96" i="13"/>
  <c r="O96" i="13"/>
  <c r="P96" i="13"/>
  <c r="Q96" i="13"/>
  <c r="R96" i="13"/>
  <c r="S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E97" i="13"/>
  <c r="F97" i="13"/>
  <c r="G97" i="13"/>
  <c r="H97" i="13"/>
  <c r="I97" i="13"/>
  <c r="J97" i="13"/>
  <c r="K97" i="13"/>
  <c r="L97" i="13"/>
  <c r="M97" i="13"/>
  <c r="N97" i="13"/>
  <c r="O97" i="13"/>
  <c r="P97" i="13"/>
  <c r="Q97" i="13"/>
  <c r="R97" i="13"/>
  <c r="S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E98" i="13"/>
  <c r="F98" i="13"/>
  <c r="G98" i="13"/>
  <c r="H98" i="13"/>
  <c r="I98" i="13"/>
  <c r="J98" i="13"/>
  <c r="K98" i="13"/>
  <c r="L98" i="13"/>
  <c r="M98" i="13"/>
  <c r="N98" i="13"/>
  <c r="O98" i="13"/>
  <c r="P98" i="13"/>
  <c r="Q98" i="13"/>
  <c r="R98" i="13"/>
  <c r="S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E99" i="13"/>
  <c r="F99" i="13"/>
  <c r="G99" i="13"/>
  <c r="H99" i="13"/>
  <c r="I99" i="13"/>
  <c r="J99" i="13"/>
  <c r="K99" i="13"/>
  <c r="L99" i="13"/>
  <c r="M99" i="13"/>
  <c r="N99" i="13"/>
  <c r="O99" i="13"/>
  <c r="P99" i="13"/>
  <c r="Q99" i="13"/>
  <c r="R99" i="13"/>
  <c r="S99" i="13"/>
  <c r="T99" i="13"/>
  <c r="U99" i="13"/>
  <c r="V99" i="13"/>
  <c r="W99" i="13"/>
  <c r="X99" i="13"/>
  <c r="Y99" i="13"/>
  <c r="Z99" i="13"/>
  <c r="AA99" i="13"/>
  <c r="AB99" i="13"/>
  <c r="AC99" i="13"/>
  <c r="AD99" i="13"/>
  <c r="AE99" i="13"/>
  <c r="AF99" i="13"/>
  <c r="AG99" i="13"/>
  <c r="E100" i="13"/>
  <c r="F100" i="13"/>
  <c r="G100" i="13"/>
  <c r="H100" i="13"/>
  <c r="I100" i="13"/>
  <c r="J100" i="13"/>
  <c r="K100" i="13"/>
  <c r="L100" i="13"/>
  <c r="M100" i="13"/>
  <c r="N100" i="13"/>
  <c r="O100" i="13"/>
  <c r="P100" i="13"/>
  <c r="Q100" i="13"/>
  <c r="R100" i="13"/>
  <c r="S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E101" i="13"/>
  <c r="F101" i="13"/>
  <c r="G101" i="13"/>
  <c r="H101" i="13"/>
  <c r="I101" i="13"/>
  <c r="J101" i="13"/>
  <c r="K101" i="13"/>
  <c r="L101" i="13"/>
  <c r="M101" i="13"/>
  <c r="N101" i="13"/>
  <c r="O101" i="13"/>
  <c r="P101" i="13"/>
  <c r="Q101" i="13"/>
  <c r="R101" i="13"/>
  <c r="S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E102" i="13"/>
  <c r="F102" i="13"/>
  <c r="G102" i="13"/>
  <c r="H102" i="13"/>
  <c r="I102" i="13"/>
  <c r="J102" i="13"/>
  <c r="K102" i="13"/>
  <c r="L102" i="13"/>
  <c r="M102" i="13"/>
  <c r="N102" i="13"/>
  <c r="O102" i="13"/>
  <c r="P102" i="13"/>
  <c r="Q102" i="13"/>
  <c r="R102" i="13"/>
  <c r="S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E103" i="13"/>
  <c r="F103" i="13"/>
  <c r="G103" i="13"/>
  <c r="H103" i="13"/>
  <c r="I103" i="13"/>
  <c r="J103" i="13"/>
  <c r="K103" i="13"/>
  <c r="L103" i="13"/>
  <c r="M103" i="13"/>
  <c r="N103" i="13"/>
  <c r="O103" i="13"/>
  <c r="P103" i="13"/>
  <c r="Q103" i="13"/>
  <c r="R103" i="13"/>
  <c r="S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E104" i="13"/>
  <c r="F104" i="13"/>
  <c r="G104" i="13"/>
  <c r="H104" i="13"/>
  <c r="I104" i="13"/>
  <c r="J104" i="13"/>
  <c r="K104" i="13"/>
  <c r="L104" i="13"/>
  <c r="M104" i="13"/>
  <c r="N104" i="13"/>
  <c r="O104" i="13"/>
  <c r="P104" i="13"/>
  <c r="Q104" i="13"/>
  <c r="R104" i="13"/>
  <c r="S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E105" i="13"/>
  <c r="F105" i="13"/>
  <c r="G105" i="13"/>
  <c r="H105" i="13"/>
  <c r="I105" i="13"/>
  <c r="J105" i="13"/>
  <c r="K105" i="13"/>
  <c r="L105" i="13"/>
  <c r="M105" i="13"/>
  <c r="N105" i="13"/>
  <c r="O105" i="13"/>
  <c r="P105" i="13"/>
  <c r="Q105" i="13"/>
  <c r="R105" i="13"/>
  <c r="S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E106" i="13"/>
  <c r="F106" i="13"/>
  <c r="G106" i="13"/>
  <c r="H106" i="13"/>
  <c r="I106" i="13"/>
  <c r="J106" i="13"/>
  <c r="K106" i="13"/>
  <c r="L106" i="13"/>
  <c r="M106" i="13"/>
  <c r="N106" i="13"/>
  <c r="O106" i="13"/>
  <c r="P106" i="13"/>
  <c r="Q106" i="13"/>
  <c r="R106" i="13"/>
  <c r="S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C107" i="13"/>
  <c r="AD107" i="13"/>
  <c r="AE107" i="13"/>
  <c r="AF107" i="13"/>
  <c r="AG107" i="13"/>
  <c r="E108" i="13"/>
  <c r="F108" i="13"/>
  <c r="G108" i="13"/>
  <c r="H108" i="13"/>
  <c r="I108" i="13"/>
  <c r="J108" i="13"/>
  <c r="K108" i="13"/>
  <c r="L108" i="13"/>
  <c r="M108" i="13"/>
  <c r="N108" i="13"/>
  <c r="O108" i="13"/>
  <c r="P108" i="13"/>
  <c r="Q108" i="13"/>
  <c r="R108" i="13"/>
  <c r="S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E109" i="13"/>
  <c r="F109" i="13"/>
  <c r="G109" i="13"/>
  <c r="H109" i="13"/>
  <c r="I109" i="13"/>
  <c r="J109" i="13"/>
  <c r="K109" i="13"/>
  <c r="L109" i="13"/>
  <c r="M109" i="13"/>
  <c r="N109" i="13"/>
  <c r="O109" i="13"/>
  <c r="P109" i="13"/>
  <c r="Q109" i="13"/>
  <c r="R109" i="13"/>
  <c r="S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E110" i="13"/>
  <c r="F110" i="13"/>
  <c r="G110" i="13"/>
  <c r="H110" i="13"/>
  <c r="I110" i="13"/>
  <c r="J110" i="13"/>
  <c r="K110" i="13"/>
  <c r="L110" i="13"/>
  <c r="M110" i="13"/>
  <c r="N110" i="13"/>
  <c r="O110" i="13"/>
  <c r="P110" i="13"/>
  <c r="Q110" i="13"/>
  <c r="R110" i="13"/>
  <c r="S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E111" i="13"/>
  <c r="F111" i="13"/>
  <c r="G111" i="13"/>
  <c r="H111" i="13"/>
  <c r="I111" i="13"/>
  <c r="J111" i="13"/>
  <c r="K111" i="13"/>
  <c r="L111" i="13"/>
  <c r="M111" i="13"/>
  <c r="N111" i="13"/>
  <c r="O111" i="13"/>
  <c r="P111" i="13"/>
  <c r="Q111" i="13"/>
  <c r="R111" i="13"/>
  <c r="S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E112" i="13"/>
  <c r="F112" i="13"/>
  <c r="G112" i="13"/>
  <c r="H112" i="13"/>
  <c r="I112" i="13"/>
  <c r="J112" i="13"/>
  <c r="K112" i="13"/>
  <c r="L112" i="13"/>
  <c r="M112" i="13"/>
  <c r="N112" i="13"/>
  <c r="O112" i="13"/>
  <c r="P112" i="13"/>
  <c r="Q112" i="13"/>
  <c r="R112" i="13"/>
  <c r="S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E113" i="13"/>
  <c r="F113" i="13"/>
  <c r="G113" i="13"/>
  <c r="H113" i="13"/>
  <c r="I113" i="13"/>
  <c r="J113" i="13"/>
  <c r="K113" i="13"/>
  <c r="L113" i="13"/>
  <c r="M113" i="13"/>
  <c r="N113" i="13"/>
  <c r="O113" i="13"/>
  <c r="P113" i="13"/>
  <c r="Q113" i="13"/>
  <c r="R113" i="13"/>
  <c r="S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E114" i="13"/>
  <c r="F114" i="13"/>
  <c r="G114" i="13"/>
  <c r="H114" i="13"/>
  <c r="I114" i="13"/>
  <c r="J114" i="13"/>
  <c r="K114" i="13"/>
  <c r="L114" i="13"/>
  <c r="M114" i="13"/>
  <c r="N114" i="13"/>
  <c r="O114" i="13"/>
  <c r="P114" i="13"/>
  <c r="Q114" i="13"/>
  <c r="R114" i="13"/>
  <c r="S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E115" i="13"/>
  <c r="F115" i="13"/>
  <c r="G115" i="13"/>
  <c r="H115" i="13"/>
  <c r="I115" i="13"/>
  <c r="J115" i="13"/>
  <c r="K115" i="13"/>
  <c r="L115" i="13"/>
  <c r="M115" i="13"/>
  <c r="N115" i="13"/>
  <c r="O115" i="13"/>
  <c r="P115" i="13"/>
  <c r="Q115" i="13"/>
  <c r="R115" i="13"/>
  <c r="S115" i="13"/>
  <c r="T115" i="13"/>
  <c r="U115" i="13"/>
  <c r="V115" i="13"/>
  <c r="W115" i="13"/>
  <c r="X115" i="13"/>
  <c r="Y115" i="13"/>
  <c r="Z115" i="13"/>
  <c r="AA115" i="13"/>
  <c r="AB115" i="13"/>
  <c r="AC115" i="13"/>
  <c r="AD115" i="13"/>
  <c r="AE115" i="13"/>
  <c r="AF115" i="13"/>
  <c r="AG115" i="13"/>
  <c r="E116" i="13"/>
  <c r="F116" i="13"/>
  <c r="G116" i="13"/>
  <c r="H116" i="13"/>
  <c r="I116" i="13"/>
  <c r="J116" i="13"/>
  <c r="K116" i="13"/>
  <c r="L116" i="13"/>
  <c r="M116" i="13"/>
  <c r="N116" i="13"/>
  <c r="O116" i="13"/>
  <c r="P116" i="13"/>
  <c r="Q116" i="13"/>
  <c r="R116" i="13"/>
  <c r="S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E117" i="13"/>
  <c r="F117" i="13"/>
  <c r="G117" i="13"/>
  <c r="H117" i="13"/>
  <c r="I117" i="13"/>
  <c r="J117" i="13"/>
  <c r="K117" i="13"/>
  <c r="L117" i="13"/>
  <c r="M117" i="13"/>
  <c r="N117" i="13"/>
  <c r="O117" i="13"/>
  <c r="P117" i="13"/>
  <c r="Q117" i="13"/>
  <c r="R117" i="13"/>
  <c r="S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E118" i="13"/>
  <c r="F118" i="13"/>
  <c r="G118" i="13"/>
  <c r="H118" i="13"/>
  <c r="I118" i="13"/>
  <c r="J118" i="13"/>
  <c r="K118" i="13"/>
  <c r="L118" i="13"/>
  <c r="M118" i="13"/>
  <c r="N118" i="13"/>
  <c r="O118" i="13"/>
  <c r="P118" i="13"/>
  <c r="Q118" i="13"/>
  <c r="R118" i="13"/>
  <c r="S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E119" i="13"/>
  <c r="F119" i="13"/>
  <c r="G119" i="13"/>
  <c r="H119" i="13"/>
  <c r="I119" i="13"/>
  <c r="J119" i="13"/>
  <c r="K119" i="13"/>
  <c r="L119" i="13"/>
  <c r="M119" i="13"/>
  <c r="N119" i="13"/>
  <c r="O119" i="13"/>
  <c r="P119" i="13"/>
  <c r="Q119" i="13"/>
  <c r="R119" i="13"/>
  <c r="S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E120" i="13"/>
  <c r="F120" i="13"/>
  <c r="G120" i="13"/>
  <c r="H120" i="13"/>
  <c r="I120" i="13"/>
  <c r="J120" i="13"/>
  <c r="K120" i="13"/>
  <c r="L120" i="13"/>
  <c r="M120" i="13"/>
  <c r="N120" i="13"/>
  <c r="O120" i="13"/>
  <c r="P120" i="13"/>
  <c r="Q120" i="13"/>
  <c r="R120" i="13"/>
  <c r="S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E121" i="13"/>
  <c r="F121" i="13"/>
  <c r="G121" i="13"/>
  <c r="H121" i="13"/>
  <c r="I121" i="13"/>
  <c r="J121" i="13"/>
  <c r="K121" i="13"/>
  <c r="L121" i="13"/>
  <c r="M121" i="13"/>
  <c r="N121" i="13"/>
  <c r="O121" i="13"/>
  <c r="P121" i="13"/>
  <c r="Q121" i="13"/>
  <c r="R121" i="13"/>
  <c r="S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E122" i="13"/>
  <c r="F122" i="13"/>
  <c r="G122" i="13"/>
  <c r="H122" i="13"/>
  <c r="I122" i="13"/>
  <c r="J122" i="13"/>
  <c r="K122" i="13"/>
  <c r="L122" i="13"/>
  <c r="M122" i="13"/>
  <c r="N122" i="13"/>
  <c r="O122" i="13"/>
  <c r="P122" i="13"/>
  <c r="Q122" i="13"/>
  <c r="R122" i="13"/>
  <c r="S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E123" i="13"/>
  <c r="F123" i="13"/>
  <c r="G123" i="13"/>
  <c r="H123" i="13"/>
  <c r="I123" i="13"/>
  <c r="J123" i="13"/>
  <c r="K123" i="13"/>
  <c r="L123" i="13"/>
  <c r="M123" i="13"/>
  <c r="N123" i="13"/>
  <c r="O123" i="13"/>
  <c r="P123" i="13"/>
  <c r="Q123" i="13"/>
  <c r="R123" i="13"/>
  <c r="S123" i="13"/>
  <c r="T123" i="13"/>
  <c r="U123" i="13"/>
  <c r="V123" i="13"/>
  <c r="W123" i="13"/>
  <c r="X123" i="13"/>
  <c r="Y123" i="13"/>
  <c r="Z123" i="13"/>
  <c r="AA123" i="13"/>
  <c r="AB123" i="13"/>
  <c r="AC123" i="13"/>
  <c r="AD123" i="13"/>
  <c r="AE123" i="13"/>
  <c r="AF123" i="13"/>
  <c r="AG123" i="13"/>
  <c r="E124" i="13"/>
  <c r="F124" i="13"/>
  <c r="G124" i="13"/>
  <c r="H124" i="13"/>
  <c r="I124" i="13"/>
  <c r="J124" i="13"/>
  <c r="K124" i="13"/>
  <c r="L124" i="13"/>
  <c r="M124" i="13"/>
  <c r="N124" i="13"/>
  <c r="O124" i="13"/>
  <c r="P124" i="13"/>
  <c r="Q124" i="13"/>
  <c r="R124" i="13"/>
  <c r="S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E125" i="13"/>
  <c r="F125" i="13"/>
  <c r="G125" i="13"/>
  <c r="H125" i="13"/>
  <c r="I125" i="13"/>
  <c r="J125" i="13"/>
  <c r="K125" i="13"/>
  <c r="L125" i="13"/>
  <c r="M125" i="13"/>
  <c r="N125" i="13"/>
  <c r="O125" i="13"/>
  <c r="P125" i="13"/>
  <c r="Q125" i="13"/>
  <c r="R125" i="13"/>
  <c r="S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96" i="13"/>
  <c r="E127" i="13"/>
  <c r="F127" i="13"/>
  <c r="G127" i="13"/>
  <c r="H127" i="13"/>
  <c r="I127" i="13"/>
  <c r="J127" i="13"/>
  <c r="K127" i="13"/>
  <c r="L127" i="13"/>
  <c r="M127" i="13"/>
  <c r="N127" i="13"/>
  <c r="O127" i="13"/>
  <c r="P127" i="13"/>
  <c r="Q127" i="13"/>
  <c r="R127" i="13"/>
  <c r="S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E128" i="13"/>
  <c r="F128" i="13"/>
  <c r="G128" i="13"/>
  <c r="H128" i="13"/>
  <c r="I128" i="13"/>
  <c r="J128" i="13"/>
  <c r="K128" i="13"/>
  <c r="L128" i="13"/>
  <c r="M128" i="13"/>
  <c r="N128" i="13"/>
  <c r="O128" i="13"/>
  <c r="P128" i="13"/>
  <c r="Q128" i="13"/>
  <c r="R128" i="13"/>
  <c r="S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E129" i="13"/>
  <c r="F129" i="13"/>
  <c r="G129" i="13"/>
  <c r="H129" i="13"/>
  <c r="I129" i="13"/>
  <c r="J129" i="13"/>
  <c r="K129" i="13"/>
  <c r="L129" i="13"/>
  <c r="M129" i="13"/>
  <c r="N129" i="13"/>
  <c r="O129" i="13"/>
  <c r="P129" i="13"/>
  <c r="Q129" i="13"/>
  <c r="R129" i="13"/>
  <c r="S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E130" i="13"/>
  <c r="F130" i="13"/>
  <c r="G130" i="13"/>
  <c r="H130" i="13"/>
  <c r="I130" i="13"/>
  <c r="J130" i="13"/>
  <c r="K130" i="13"/>
  <c r="L130" i="13"/>
  <c r="M130" i="13"/>
  <c r="N130" i="13"/>
  <c r="O130" i="13"/>
  <c r="P130" i="13"/>
  <c r="Q130" i="13"/>
  <c r="R130" i="13"/>
  <c r="S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E131" i="13"/>
  <c r="F131" i="13"/>
  <c r="G131" i="13"/>
  <c r="H131" i="13"/>
  <c r="I131" i="13"/>
  <c r="J131" i="13"/>
  <c r="K131" i="13"/>
  <c r="L131" i="13"/>
  <c r="M131" i="13"/>
  <c r="N131" i="13"/>
  <c r="O131" i="13"/>
  <c r="P131" i="13"/>
  <c r="Q131" i="13"/>
  <c r="R131" i="13"/>
  <c r="S131" i="13"/>
  <c r="T131" i="13"/>
  <c r="U131" i="13"/>
  <c r="V131" i="13"/>
  <c r="W131" i="13"/>
  <c r="X131" i="13"/>
  <c r="Y131" i="13"/>
  <c r="Z131" i="13"/>
  <c r="AA131" i="13"/>
  <c r="AB131" i="13"/>
  <c r="AC131" i="13"/>
  <c r="AD131" i="13"/>
  <c r="AE131" i="13"/>
  <c r="AF131" i="13"/>
  <c r="AG131" i="13"/>
  <c r="E132" i="13"/>
  <c r="F132" i="13"/>
  <c r="G132" i="13"/>
  <c r="H132" i="13"/>
  <c r="I132" i="13"/>
  <c r="J132" i="13"/>
  <c r="K132" i="13"/>
  <c r="L132" i="13"/>
  <c r="M132" i="13"/>
  <c r="N132" i="13"/>
  <c r="O132" i="13"/>
  <c r="P132" i="13"/>
  <c r="Q132" i="13"/>
  <c r="R132" i="13"/>
  <c r="S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E133" i="13"/>
  <c r="F133" i="13"/>
  <c r="G133" i="13"/>
  <c r="H133" i="13"/>
  <c r="I133" i="13"/>
  <c r="J133" i="13"/>
  <c r="K133" i="13"/>
  <c r="L133" i="13"/>
  <c r="M133" i="13"/>
  <c r="N133" i="13"/>
  <c r="O133" i="13"/>
  <c r="P133" i="13"/>
  <c r="Q133" i="13"/>
  <c r="R133" i="13"/>
  <c r="S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E134" i="13"/>
  <c r="F134" i="13"/>
  <c r="G134" i="13"/>
  <c r="H134" i="13"/>
  <c r="I134" i="13"/>
  <c r="J134" i="13"/>
  <c r="K134" i="13"/>
  <c r="L134" i="13"/>
  <c r="M134" i="13"/>
  <c r="N134" i="13"/>
  <c r="O134" i="13"/>
  <c r="P134" i="13"/>
  <c r="Q134" i="13"/>
  <c r="R134" i="13"/>
  <c r="S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E135" i="13"/>
  <c r="F135" i="13"/>
  <c r="G135" i="13"/>
  <c r="H135" i="13"/>
  <c r="I135" i="13"/>
  <c r="J135" i="13"/>
  <c r="K135" i="13"/>
  <c r="L135" i="13"/>
  <c r="M135" i="13"/>
  <c r="N135" i="13"/>
  <c r="O135" i="13"/>
  <c r="P135" i="13"/>
  <c r="Q135" i="13"/>
  <c r="R135" i="13"/>
  <c r="S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E136" i="13"/>
  <c r="F136" i="13"/>
  <c r="G136" i="13"/>
  <c r="H136" i="13"/>
  <c r="I136" i="13"/>
  <c r="J136" i="13"/>
  <c r="K136" i="13"/>
  <c r="L136" i="13"/>
  <c r="M136" i="13"/>
  <c r="N136" i="13"/>
  <c r="O136" i="13"/>
  <c r="P136" i="13"/>
  <c r="Q136" i="13"/>
  <c r="R136" i="13"/>
  <c r="S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E137" i="13"/>
  <c r="F137" i="13"/>
  <c r="G137" i="13"/>
  <c r="H137" i="13"/>
  <c r="I137" i="13"/>
  <c r="J137" i="13"/>
  <c r="K137" i="13"/>
  <c r="L137" i="13"/>
  <c r="M137" i="13"/>
  <c r="N137" i="13"/>
  <c r="O137" i="13"/>
  <c r="P137" i="13"/>
  <c r="Q137" i="13"/>
  <c r="R137" i="13"/>
  <c r="S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E138" i="13"/>
  <c r="F138" i="13"/>
  <c r="G138" i="13"/>
  <c r="H138" i="13"/>
  <c r="I138" i="13"/>
  <c r="J138" i="13"/>
  <c r="K138" i="13"/>
  <c r="L138" i="13"/>
  <c r="M138" i="13"/>
  <c r="N138" i="13"/>
  <c r="O138" i="13"/>
  <c r="P138" i="13"/>
  <c r="Q138" i="13"/>
  <c r="R138" i="13"/>
  <c r="S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E139" i="13"/>
  <c r="F139" i="13"/>
  <c r="G139" i="13"/>
  <c r="H139" i="13"/>
  <c r="I139" i="13"/>
  <c r="J139" i="13"/>
  <c r="K139" i="13"/>
  <c r="L139" i="13"/>
  <c r="M139" i="13"/>
  <c r="N139" i="13"/>
  <c r="O139" i="13"/>
  <c r="P139" i="13"/>
  <c r="Q139" i="13"/>
  <c r="R139" i="13"/>
  <c r="S139" i="13"/>
  <c r="T139" i="13"/>
  <c r="U139" i="13"/>
  <c r="V139" i="13"/>
  <c r="W139" i="13"/>
  <c r="X139" i="13"/>
  <c r="Y139" i="13"/>
  <c r="Z139" i="13"/>
  <c r="AA139" i="13"/>
  <c r="AB139" i="13"/>
  <c r="AC139" i="13"/>
  <c r="AD139" i="13"/>
  <c r="AE139" i="13"/>
  <c r="AF139" i="13"/>
  <c r="AG139" i="13"/>
  <c r="E140" i="13"/>
  <c r="F140" i="13"/>
  <c r="G140" i="13"/>
  <c r="H140" i="13"/>
  <c r="I140" i="13"/>
  <c r="J140" i="13"/>
  <c r="K140" i="13"/>
  <c r="L140" i="13"/>
  <c r="M140" i="13"/>
  <c r="N140" i="13"/>
  <c r="O140" i="13"/>
  <c r="P140" i="13"/>
  <c r="Q140" i="13"/>
  <c r="R140" i="13"/>
  <c r="S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E141" i="13"/>
  <c r="F141" i="13"/>
  <c r="G141" i="13"/>
  <c r="H141" i="13"/>
  <c r="I141" i="13"/>
  <c r="J141" i="13"/>
  <c r="K141" i="13"/>
  <c r="L141" i="13"/>
  <c r="M141" i="13"/>
  <c r="N141" i="13"/>
  <c r="O141" i="13"/>
  <c r="P141" i="13"/>
  <c r="Q141" i="13"/>
  <c r="R141" i="13"/>
  <c r="S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E143" i="13"/>
  <c r="F143" i="13"/>
  <c r="G143" i="13"/>
  <c r="H143" i="13"/>
  <c r="I143" i="13"/>
  <c r="J143" i="13"/>
  <c r="K143" i="13"/>
  <c r="L143" i="13"/>
  <c r="M143" i="13"/>
  <c r="N143" i="13"/>
  <c r="O143" i="13"/>
  <c r="P143" i="13"/>
  <c r="Q143" i="13"/>
  <c r="R143" i="13"/>
  <c r="S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E144" i="13"/>
  <c r="F144" i="13"/>
  <c r="G144" i="13"/>
  <c r="H144" i="13"/>
  <c r="I144" i="13"/>
  <c r="J144" i="13"/>
  <c r="K144" i="13"/>
  <c r="L144" i="13"/>
  <c r="M144" i="13"/>
  <c r="N144" i="13"/>
  <c r="O144" i="13"/>
  <c r="P144" i="13"/>
  <c r="Q144" i="13"/>
  <c r="R144" i="13"/>
  <c r="S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E145" i="13"/>
  <c r="F145" i="13"/>
  <c r="G145" i="13"/>
  <c r="H145" i="13"/>
  <c r="I145" i="13"/>
  <c r="J145" i="13"/>
  <c r="K145" i="13"/>
  <c r="L145" i="13"/>
  <c r="M145" i="13"/>
  <c r="N145" i="13"/>
  <c r="O145" i="13"/>
  <c r="P145" i="13"/>
  <c r="Q145" i="13"/>
  <c r="R145" i="13"/>
  <c r="S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E146" i="13"/>
  <c r="F146" i="13"/>
  <c r="G146" i="13"/>
  <c r="H146" i="13"/>
  <c r="I146" i="13"/>
  <c r="J146" i="13"/>
  <c r="K146" i="13"/>
  <c r="L146" i="13"/>
  <c r="M146" i="13"/>
  <c r="N146" i="13"/>
  <c r="O146" i="13"/>
  <c r="P146" i="13"/>
  <c r="Q146" i="13"/>
  <c r="R146" i="13"/>
  <c r="S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E147" i="13"/>
  <c r="F147" i="13"/>
  <c r="G147" i="13"/>
  <c r="H147" i="13"/>
  <c r="I147" i="13"/>
  <c r="J147" i="13"/>
  <c r="K147" i="13"/>
  <c r="L147" i="13"/>
  <c r="M147" i="13"/>
  <c r="N147" i="13"/>
  <c r="O147" i="13"/>
  <c r="P147" i="13"/>
  <c r="Q147" i="13"/>
  <c r="R147" i="13"/>
  <c r="S147" i="13"/>
  <c r="T147" i="13"/>
  <c r="U147" i="13"/>
  <c r="V147" i="13"/>
  <c r="W147" i="13"/>
  <c r="X147" i="13"/>
  <c r="Y147" i="13"/>
  <c r="Z147" i="13"/>
  <c r="AA147" i="13"/>
  <c r="AB147" i="13"/>
  <c r="AC147" i="13"/>
  <c r="AD147" i="13"/>
  <c r="AE147" i="13"/>
  <c r="AF147" i="13"/>
  <c r="AG147" i="13"/>
  <c r="E148" i="13"/>
  <c r="F148" i="13"/>
  <c r="G148" i="13"/>
  <c r="H148" i="13"/>
  <c r="I148" i="13"/>
  <c r="J148" i="13"/>
  <c r="K148" i="13"/>
  <c r="L148" i="13"/>
  <c r="M148" i="13"/>
  <c r="N148" i="13"/>
  <c r="O148" i="13"/>
  <c r="P148" i="13"/>
  <c r="Q148" i="13"/>
  <c r="R148" i="13"/>
  <c r="S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E149" i="13"/>
  <c r="F149" i="13"/>
  <c r="G149" i="13"/>
  <c r="H149" i="13"/>
  <c r="I149" i="13"/>
  <c r="J149" i="13"/>
  <c r="K149" i="13"/>
  <c r="L149" i="13"/>
  <c r="M149" i="13"/>
  <c r="N149" i="13"/>
  <c r="O149" i="13"/>
  <c r="P149" i="13"/>
  <c r="Q149" i="13"/>
  <c r="R149" i="13"/>
  <c r="S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E150" i="13"/>
  <c r="F150" i="13"/>
  <c r="G150" i="13"/>
  <c r="H150" i="13"/>
  <c r="I150" i="13"/>
  <c r="J150" i="13"/>
  <c r="K150" i="13"/>
  <c r="L150" i="13"/>
  <c r="M150" i="13"/>
  <c r="N150" i="13"/>
  <c r="O150" i="13"/>
  <c r="P150" i="13"/>
  <c r="Q150" i="13"/>
  <c r="R150" i="13"/>
  <c r="S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E151" i="13"/>
  <c r="F151" i="13"/>
  <c r="G151" i="13"/>
  <c r="H151" i="13"/>
  <c r="I151" i="13"/>
  <c r="J151" i="13"/>
  <c r="K151" i="13"/>
  <c r="L151" i="13"/>
  <c r="M151" i="13"/>
  <c r="N151" i="13"/>
  <c r="O151" i="13"/>
  <c r="P151" i="13"/>
  <c r="Q151" i="13"/>
  <c r="R151" i="13"/>
  <c r="S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E152" i="13"/>
  <c r="F152" i="13"/>
  <c r="G152" i="13"/>
  <c r="H152" i="13"/>
  <c r="I152" i="13"/>
  <c r="J152" i="13"/>
  <c r="K152" i="13"/>
  <c r="L152" i="13"/>
  <c r="M152" i="13"/>
  <c r="N152" i="13"/>
  <c r="O152" i="13"/>
  <c r="P152" i="13"/>
  <c r="Q152" i="13"/>
  <c r="R152" i="13"/>
  <c r="S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E153" i="13"/>
  <c r="F153" i="13"/>
  <c r="G153" i="13"/>
  <c r="H153" i="13"/>
  <c r="I153" i="13"/>
  <c r="J153" i="13"/>
  <c r="K153" i="13"/>
  <c r="L153" i="13"/>
  <c r="M153" i="13"/>
  <c r="N153" i="13"/>
  <c r="O153" i="13"/>
  <c r="P153" i="13"/>
  <c r="Q153" i="13"/>
  <c r="R153" i="13"/>
  <c r="S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E154" i="13"/>
  <c r="F154" i="13"/>
  <c r="G154" i="13"/>
  <c r="H154" i="13"/>
  <c r="I154" i="13"/>
  <c r="J154" i="13"/>
  <c r="K154" i="13"/>
  <c r="L154" i="13"/>
  <c r="M154" i="13"/>
  <c r="N154" i="13"/>
  <c r="O154" i="13"/>
  <c r="P154" i="13"/>
  <c r="Q154" i="13"/>
  <c r="R154" i="13"/>
  <c r="S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E155" i="13"/>
  <c r="F155" i="13"/>
  <c r="G155" i="13"/>
  <c r="H155" i="13"/>
  <c r="I155" i="13"/>
  <c r="J155" i="13"/>
  <c r="K155" i="13"/>
  <c r="L155" i="13"/>
  <c r="M155" i="13"/>
  <c r="N155" i="13"/>
  <c r="O155" i="13"/>
  <c r="P155" i="13"/>
  <c r="Q155" i="13"/>
  <c r="R155" i="13"/>
  <c r="S155" i="13"/>
  <c r="T155" i="13"/>
  <c r="U155" i="13"/>
  <c r="V155" i="13"/>
  <c r="W155" i="13"/>
  <c r="X155" i="13"/>
  <c r="Y155" i="13"/>
  <c r="Z155" i="13"/>
  <c r="AA155" i="13"/>
  <c r="AB155" i="13"/>
  <c r="AC155" i="13"/>
  <c r="AD155" i="13"/>
  <c r="AE155" i="13"/>
  <c r="AF155" i="13"/>
  <c r="AG155" i="13"/>
  <c r="E156" i="13"/>
  <c r="F156" i="13"/>
  <c r="G156" i="13"/>
  <c r="H156" i="13"/>
  <c r="I156" i="13"/>
  <c r="J156" i="13"/>
  <c r="K156" i="13"/>
  <c r="L156" i="13"/>
  <c r="M156" i="13"/>
  <c r="N156" i="13"/>
  <c r="O156" i="13"/>
  <c r="P156" i="13"/>
  <c r="Q156" i="13"/>
  <c r="R156" i="13"/>
  <c r="S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27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E68" i="13"/>
  <c r="F68" i="13"/>
  <c r="G68" i="13"/>
  <c r="H68" i="13"/>
  <c r="I68" i="13"/>
  <c r="J68" i="13"/>
  <c r="K68" i="13"/>
  <c r="L68" i="13"/>
  <c r="M68" i="13"/>
  <c r="N68" i="13"/>
  <c r="O68" i="13"/>
  <c r="P68" i="13"/>
  <c r="Q68" i="13"/>
  <c r="R68" i="13"/>
  <c r="S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E69" i="13"/>
  <c r="F69" i="13"/>
  <c r="G69" i="13"/>
  <c r="H69" i="13"/>
  <c r="I69" i="13"/>
  <c r="J69" i="13"/>
  <c r="K69" i="13"/>
  <c r="L69" i="13"/>
  <c r="M69" i="13"/>
  <c r="N69" i="13"/>
  <c r="O69" i="13"/>
  <c r="P69" i="13"/>
  <c r="Q69" i="13"/>
  <c r="R69" i="13"/>
  <c r="S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E70" i="13"/>
  <c r="F70" i="13"/>
  <c r="G70" i="13"/>
  <c r="H70" i="13"/>
  <c r="I70" i="13"/>
  <c r="J70" i="13"/>
  <c r="K70" i="13"/>
  <c r="L70" i="13"/>
  <c r="M70" i="13"/>
  <c r="N70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E71" i="13"/>
  <c r="F71" i="13"/>
  <c r="G71" i="13"/>
  <c r="H71" i="13"/>
  <c r="I71" i="13"/>
  <c r="J71" i="13"/>
  <c r="K71" i="13"/>
  <c r="L71" i="13"/>
  <c r="M71" i="13"/>
  <c r="N71" i="13"/>
  <c r="O71" i="13"/>
  <c r="P71" i="13"/>
  <c r="Q71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E73" i="13"/>
  <c r="F73" i="13"/>
  <c r="G73" i="13"/>
  <c r="H73" i="13"/>
  <c r="I73" i="13"/>
  <c r="J73" i="13"/>
  <c r="K73" i="13"/>
  <c r="L73" i="13"/>
  <c r="M73" i="13"/>
  <c r="N73" i="13"/>
  <c r="O73" i="13"/>
  <c r="P73" i="13"/>
  <c r="Q73" i="13"/>
  <c r="R73" i="13"/>
  <c r="S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E74" i="13"/>
  <c r="F74" i="13"/>
  <c r="G74" i="13"/>
  <c r="H74" i="13"/>
  <c r="I74" i="13"/>
  <c r="J74" i="13"/>
  <c r="K74" i="13"/>
  <c r="L74" i="13"/>
  <c r="M74" i="13"/>
  <c r="N74" i="13"/>
  <c r="O74" i="13"/>
  <c r="P74" i="13"/>
  <c r="Q74" i="13"/>
  <c r="R74" i="13"/>
  <c r="S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E75" i="13"/>
  <c r="F75" i="13"/>
  <c r="G75" i="13"/>
  <c r="H75" i="13"/>
  <c r="I75" i="13"/>
  <c r="J75" i="13"/>
  <c r="K75" i="13"/>
  <c r="L75" i="13"/>
  <c r="M75" i="13"/>
  <c r="N75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AD75" i="13"/>
  <c r="AE75" i="13"/>
  <c r="AF75" i="13"/>
  <c r="AG75" i="13"/>
  <c r="E76" i="13"/>
  <c r="F76" i="13"/>
  <c r="G76" i="13"/>
  <c r="H76" i="13"/>
  <c r="I76" i="13"/>
  <c r="J76" i="13"/>
  <c r="K76" i="13"/>
  <c r="L76" i="13"/>
  <c r="M76" i="13"/>
  <c r="N76" i="13"/>
  <c r="O76" i="13"/>
  <c r="P76" i="13"/>
  <c r="Q76" i="13"/>
  <c r="R76" i="13"/>
  <c r="S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E77" i="13"/>
  <c r="F77" i="13"/>
  <c r="G77" i="13"/>
  <c r="H77" i="13"/>
  <c r="I77" i="13"/>
  <c r="J77" i="13"/>
  <c r="K77" i="13"/>
  <c r="L77" i="13"/>
  <c r="M77" i="13"/>
  <c r="N77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E79" i="13"/>
  <c r="F79" i="13"/>
  <c r="G79" i="13"/>
  <c r="H79" i="13"/>
  <c r="I79" i="13"/>
  <c r="J79" i="13"/>
  <c r="K79" i="13"/>
  <c r="L79" i="13"/>
  <c r="M79" i="13"/>
  <c r="N79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E80" i="13"/>
  <c r="F80" i="13"/>
  <c r="G80" i="13"/>
  <c r="H80" i="13"/>
  <c r="I80" i="13"/>
  <c r="J80" i="13"/>
  <c r="K80" i="13"/>
  <c r="L80" i="13"/>
  <c r="M80" i="13"/>
  <c r="N80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E81" i="13"/>
  <c r="F81" i="13"/>
  <c r="G81" i="13"/>
  <c r="H81" i="13"/>
  <c r="I81" i="13"/>
  <c r="J81" i="13"/>
  <c r="K81" i="13"/>
  <c r="L81" i="13"/>
  <c r="M81" i="13"/>
  <c r="N81" i="13"/>
  <c r="O81" i="13"/>
  <c r="P81" i="13"/>
  <c r="Q81" i="13"/>
  <c r="R81" i="13"/>
  <c r="S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E82" i="13"/>
  <c r="F82" i="13"/>
  <c r="G82" i="13"/>
  <c r="H82" i="13"/>
  <c r="I82" i="13"/>
  <c r="J82" i="13"/>
  <c r="K82" i="13"/>
  <c r="L82" i="13"/>
  <c r="M82" i="13"/>
  <c r="N82" i="13"/>
  <c r="O82" i="13"/>
  <c r="P82" i="13"/>
  <c r="Q82" i="13"/>
  <c r="R82" i="13"/>
  <c r="S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E83" i="13"/>
  <c r="F83" i="13"/>
  <c r="G83" i="13"/>
  <c r="H83" i="13"/>
  <c r="I83" i="13"/>
  <c r="J83" i="13"/>
  <c r="K83" i="13"/>
  <c r="L83" i="13"/>
  <c r="M83" i="13"/>
  <c r="N83" i="13"/>
  <c r="O83" i="13"/>
  <c r="P83" i="13"/>
  <c r="Q83" i="13"/>
  <c r="R83" i="13"/>
  <c r="S83" i="13"/>
  <c r="T83" i="13"/>
  <c r="U83" i="13"/>
  <c r="V83" i="13"/>
  <c r="W83" i="13"/>
  <c r="X83" i="13"/>
  <c r="Y83" i="13"/>
  <c r="Z83" i="13"/>
  <c r="AA83" i="13"/>
  <c r="AB83" i="13"/>
  <c r="AC83" i="13"/>
  <c r="AD83" i="13"/>
  <c r="AE83" i="13"/>
  <c r="AF83" i="13"/>
  <c r="AG83" i="13"/>
  <c r="E84" i="13"/>
  <c r="F84" i="13"/>
  <c r="G84" i="13"/>
  <c r="H84" i="13"/>
  <c r="I84" i="13"/>
  <c r="J84" i="13"/>
  <c r="K84" i="13"/>
  <c r="L84" i="13"/>
  <c r="M84" i="13"/>
  <c r="N84" i="13"/>
  <c r="O84" i="13"/>
  <c r="P84" i="13"/>
  <c r="Q84" i="13"/>
  <c r="R84" i="13"/>
  <c r="S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E85" i="13"/>
  <c r="F85" i="13"/>
  <c r="G85" i="13"/>
  <c r="H85" i="13"/>
  <c r="I85" i="13"/>
  <c r="J85" i="13"/>
  <c r="K85" i="13"/>
  <c r="L85" i="13"/>
  <c r="M85" i="13"/>
  <c r="N85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E86" i="13"/>
  <c r="F86" i="13"/>
  <c r="G86" i="13"/>
  <c r="H86" i="13"/>
  <c r="I86" i="13"/>
  <c r="J86" i="13"/>
  <c r="K86" i="13"/>
  <c r="L86" i="13"/>
  <c r="M86" i="13"/>
  <c r="N86" i="13"/>
  <c r="O86" i="13"/>
  <c r="P86" i="13"/>
  <c r="Q86" i="13"/>
  <c r="R86" i="13"/>
  <c r="S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E87" i="13"/>
  <c r="F87" i="13"/>
  <c r="G87" i="13"/>
  <c r="H87" i="13"/>
  <c r="I87" i="13"/>
  <c r="J87" i="13"/>
  <c r="K87" i="13"/>
  <c r="L87" i="13"/>
  <c r="M87" i="13"/>
  <c r="N87" i="13"/>
  <c r="O87" i="13"/>
  <c r="P87" i="13"/>
  <c r="Q87" i="13"/>
  <c r="R87" i="13"/>
  <c r="S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E88" i="13"/>
  <c r="F88" i="13"/>
  <c r="G88" i="13"/>
  <c r="H88" i="13"/>
  <c r="I88" i="13"/>
  <c r="J88" i="13"/>
  <c r="K88" i="13"/>
  <c r="L88" i="13"/>
  <c r="M88" i="13"/>
  <c r="N88" i="13"/>
  <c r="O88" i="13"/>
  <c r="P88" i="13"/>
  <c r="Q88" i="13"/>
  <c r="R88" i="13"/>
  <c r="S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E89" i="13"/>
  <c r="F89" i="13"/>
  <c r="G89" i="13"/>
  <c r="H89" i="13"/>
  <c r="I89" i="13"/>
  <c r="J89" i="13"/>
  <c r="K89" i="13"/>
  <c r="L89" i="13"/>
  <c r="M89" i="13"/>
  <c r="N89" i="13"/>
  <c r="O89" i="13"/>
  <c r="P89" i="13"/>
  <c r="Q89" i="13"/>
  <c r="R89" i="13"/>
  <c r="S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E90" i="13"/>
  <c r="F90" i="13"/>
  <c r="G90" i="13"/>
  <c r="H90" i="13"/>
  <c r="I90" i="13"/>
  <c r="J90" i="13"/>
  <c r="K90" i="13"/>
  <c r="L90" i="13"/>
  <c r="M90" i="13"/>
  <c r="N90" i="13"/>
  <c r="O90" i="13"/>
  <c r="P90" i="13"/>
  <c r="Q90" i="13"/>
  <c r="R90" i="13"/>
  <c r="S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E91" i="13"/>
  <c r="F91" i="13"/>
  <c r="G91" i="13"/>
  <c r="H91" i="13"/>
  <c r="I91" i="13"/>
  <c r="J91" i="13"/>
  <c r="K91" i="13"/>
  <c r="L91" i="13"/>
  <c r="M91" i="13"/>
  <c r="N91" i="13"/>
  <c r="O91" i="13"/>
  <c r="P91" i="13"/>
  <c r="Q91" i="13"/>
  <c r="R91" i="13"/>
  <c r="S91" i="13"/>
  <c r="T91" i="13"/>
  <c r="U91" i="13"/>
  <c r="V91" i="13"/>
  <c r="W91" i="13"/>
  <c r="X91" i="13"/>
  <c r="Y91" i="13"/>
  <c r="Z91" i="13"/>
  <c r="AA91" i="13"/>
  <c r="AB91" i="13"/>
  <c r="AC91" i="13"/>
  <c r="AD91" i="13"/>
  <c r="AE91" i="13"/>
  <c r="AF91" i="13"/>
  <c r="AG91" i="13"/>
  <c r="E92" i="13"/>
  <c r="F92" i="13"/>
  <c r="G92" i="13"/>
  <c r="H92" i="13"/>
  <c r="I92" i="13"/>
  <c r="J92" i="13"/>
  <c r="K92" i="13"/>
  <c r="L92" i="13"/>
  <c r="M92" i="13"/>
  <c r="N92" i="13"/>
  <c r="O92" i="13"/>
  <c r="P92" i="13"/>
  <c r="Q92" i="13"/>
  <c r="R92" i="13"/>
  <c r="S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E93" i="13"/>
  <c r="F93" i="13"/>
  <c r="G93" i="13"/>
  <c r="H93" i="13"/>
  <c r="I93" i="13"/>
  <c r="J93" i="13"/>
  <c r="K93" i="13"/>
  <c r="L93" i="13"/>
  <c r="M93" i="13"/>
  <c r="N93" i="13"/>
  <c r="O93" i="13"/>
  <c r="P93" i="13"/>
  <c r="Q93" i="13"/>
  <c r="R93" i="13"/>
  <c r="S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E94" i="13"/>
  <c r="F94" i="13"/>
  <c r="G94" i="13"/>
  <c r="H94" i="13"/>
  <c r="I94" i="13"/>
  <c r="J94" i="13"/>
  <c r="K94" i="13"/>
  <c r="L94" i="13"/>
  <c r="M94" i="13"/>
  <c r="N94" i="13"/>
  <c r="O94" i="13"/>
  <c r="P94" i="13"/>
  <c r="Q94" i="13"/>
  <c r="R94" i="13"/>
  <c r="S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65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E59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AB59" i="13"/>
  <c r="AC59" i="13"/>
  <c r="AD59" i="13"/>
  <c r="AE59" i="13"/>
  <c r="AF59" i="13"/>
  <c r="AG59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34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AG9" i="13"/>
  <c r="AF9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AG7" i="13"/>
  <c r="AF7" i="13"/>
  <c r="AE7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AG5" i="13"/>
  <c r="AF5" i="13"/>
  <c r="AE5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F65" i="4"/>
  <c r="F3" i="4" l="1"/>
  <c r="N4" i="1" l="1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AF155" i="4"/>
  <c r="AG155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27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96" i="4"/>
  <c r="E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65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34" i="4"/>
  <c r="E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" i="4"/>
  <c r="D32" i="6"/>
  <c r="E32" i="6"/>
  <c r="F32" i="6"/>
  <c r="G32" i="6"/>
  <c r="H32" i="6"/>
  <c r="I32" i="6"/>
  <c r="J32" i="6"/>
  <c r="K32" i="6"/>
  <c r="L32" i="6"/>
  <c r="D33" i="6"/>
  <c r="E33" i="6"/>
  <c r="F33" i="6"/>
  <c r="G33" i="6"/>
  <c r="H33" i="6"/>
  <c r="I33" i="6"/>
  <c r="J33" i="6"/>
  <c r="K33" i="6"/>
  <c r="L33" i="6"/>
  <c r="D34" i="6"/>
  <c r="E34" i="6"/>
  <c r="F34" i="6"/>
  <c r="G34" i="6"/>
  <c r="H34" i="6"/>
  <c r="I34" i="6"/>
  <c r="J34" i="6"/>
  <c r="K34" i="6"/>
  <c r="L34" i="6"/>
  <c r="D35" i="6"/>
  <c r="E35" i="6"/>
  <c r="F35" i="6"/>
  <c r="G35" i="6"/>
  <c r="H35" i="6"/>
  <c r="I35" i="6"/>
  <c r="J35" i="6"/>
  <c r="K35" i="6"/>
  <c r="L35" i="6"/>
  <c r="D36" i="6"/>
  <c r="E36" i="6"/>
  <c r="F36" i="6"/>
  <c r="G36" i="6"/>
  <c r="H36" i="6"/>
  <c r="I36" i="6"/>
  <c r="J36" i="6"/>
  <c r="K36" i="6"/>
  <c r="L36" i="6"/>
  <c r="D37" i="6"/>
  <c r="E37" i="6"/>
  <c r="F37" i="6"/>
  <c r="G37" i="6"/>
  <c r="H37" i="6"/>
  <c r="I37" i="6"/>
  <c r="J37" i="6"/>
  <c r="K37" i="6"/>
  <c r="L37" i="6"/>
  <c r="D38" i="6"/>
  <c r="E38" i="6"/>
  <c r="F38" i="6"/>
  <c r="G38" i="6"/>
  <c r="H38" i="6"/>
  <c r="I38" i="6"/>
  <c r="J38" i="6"/>
  <c r="K38" i="6"/>
  <c r="L38" i="6"/>
  <c r="D39" i="6"/>
  <c r="E39" i="6"/>
  <c r="F39" i="6"/>
  <c r="G39" i="6"/>
  <c r="H39" i="6"/>
  <c r="I39" i="6"/>
  <c r="J39" i="6"/>
  <c r="K39" i="6"/>
  <c r="L39" i="6"/>
  <c r="D40" i="6"/>
  <c r="E40" i="6"/>
  <c r="F40" i="6"/>
  <c r="G40" i="6"/>
  <c r="H40" i="6"/>
  <c r="I40" i="6"/>
  <c r="J40" i="6"/>
  <c r="K40" i="6"/>
  <c r="L40" i="6"/>
  <c r="D41" i="6"/>
  <c r="E41" i="6"/>
  <c r="F41" i="6"/>
  <c r="G41" i="6"/>
  <c r="H41" i="6"/>
  <c r="I41" i="6"/>
  <c r="J41" i="6"/>
  <c r="K41" i="6"/>
  <c r="L41" i="6"/>
  <c r="C33" i="6"/>
  <c r="C34" i="6"/>
  <c r="C35" i="6"/>
  <c r="C36" i="6"/>
  <c r="C37" i="6"/>
  <c r="C38" i="6"/>
  <c r="C39" i="6"/>
  <c r="C40" i="6"/>
  <c r="C41" i="6"/>
  <c r="C32" i="6"/>
  <c r="Q58" i="6" s="1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E136" i="12"/>
  <c r="E135" i="12"/>
  <c r="E134" i="12"/>
  <c r="AH38" i="12"/>
  <c r="AH37" i="12"/>
  <c r="AH35" i="12"/>
  <c r="AJ19" i="12"/>
  <c r="AJ18" i="12"/>
  <c r="AJ17" i="12"/>
  <c r="AJ13" i="12"/>
  <c r="AJ10" i="12"/>
  <c r="AJ9" i="12"/>
  <c r="AJ8" i="12"/>
  <c r="AJ7" i="12"/>
  <c r="CT15" i="5"/>
  <c r="CT12" i="5"/>
  <c r="CY16" i="5"/>
  <c r="CO15" i="5"/>
  <c r="CY13" i="5"/>
  <c r="CO12" i="5"/>
  <c r="CY10" i="5"/>
  <c r="CS9" i="5"/>
  <c r="CO9" i="5"/>
  <c r="CY7" i="5"/>
  <c r="CS6" i="5"/>
  <c r="CO6" i="5"/>
  <c r="CS29" i="5"/>
  <c r="CT20" i="5"/>
  <c r="CS23" i="5"/>
  <c r="CY30" i="5"/>
  <c r="CO29" i="5"/>
  <c r="CY27" i="5"/>
  <c r="CO26" i="5"/>
  <c r="CY24" i="5"/>
  <c r="CO23" i="5"/>
  <c r="CY21" i="5"/>
  <c r="CO20" i="5"/>
  <c r="AJ19" i="5"/>
  <c r="AP19" i="5"/>
  <c r="AT20" i="5"/>
  <c r="AJ22" i="5"/>
  <c r="AL22" i="5"/>
  <c r="AT23" i="5"/>
  <c r="AJ25" i="5"/>
  <c r="AP25" i="5"/>
  <c r="AT26" i="5"/>
  <c r="AJ28" i="5"/>
  <c r="AP28" i="5"/>
  <c r="AT29" i="5"/>
  <c r="AJ33" i="5"/>
  <c r="AL33" i="5"/>
  <c r="AT34" i="5"/>
  <c r="AJ36" i="5"/>
  <c r="AP36" i="5"/>
  <c r="AT37" i="5"/>
  <c r="AJ39" i="5"/>
  <c r="AT40" i="5"/>
  <c r="AJ42" i="5"/>
  <c r="AP42" i="5"/>
  <c r="AT43" i="5"/>
  <c r="W58" i="5"/>
  <c r="X70" i="5"/>
  <c r="AB83" i="5"/>
  <c r="X82" i="5"/>
  <c r="R82" i="5"/>
  <c r="AB80" i="5"/>
  <c r="V79" i="5"/>
  <c r="R79" i="5"/>
  <c r="AB77" i="5"/>
  <c r="W76" i="5"/>
  <c r="R76" i="5"/>
  <c r="AB74" i="5"/>
  <c r="T73" i="5"/>
  <c r="R73" i="5"/>
  <c r="AB71" i="5"/>
  <c r="R70" i="5"/>
  <c r="AB68" i="5"/>
  <c r="W67" i="5"/>
  <c r="R67" i="5"/>
  <c r="AB65" i="5"/>
  <c r="V64" i="5"/>
  <c r="R64" i="5"/>
  <c r="AB62" i="5"/>
  <c r="X61" i="5"/>
  <c r="R61" i="5"/>
  <c r="AB59" i="5"/>
  <c r="R58" i="5"/>
  <c r="AB56" i="5"/>
  <c r="AB122" i="5"/>
  <c r="X121" i="5"/>
  <c r="R121" i="5"/>
  <c r="V118" i="5"/>
  <c r="Y115" i="5"/>
  <c r="U97" i="5"/>
  <c r="AI37" i="11"/>
  <c r="AI36" i="11"/>
  <c r="AI35" i="11"/>
  <c r="X100" i="5"/>
  <c r="E136" i="11"/>
  <c r="E135" i="11"/>
  <c r="E134" i="11"/>
  <c r="AJ19" i="11"/>
  <c r="AJ18" i="11"/>
  <c r="AJ17" i="11"/>
  <c r="AJ13" i="11"/>
  <c r="AJ10" i="11"/>
  <c r="AJ9" i="11"/>
  <c r="AJ8" i="11"/>
  <c r="AJ7" i="11"/>
  <c r="K100" i="5"/>
  <c r="K106" i="5"/>
  <c r="K112" i="5"/>
  <c r="J118" i="5"/>
  <c r="J115" i="5"/>
  <c r="O59" i="5"/>
  <c r="O53" i="5"/>
  <c r="J76" i="5"/>
  <c r="J55" i="5"/>
  <c r="J73" i="5"/>
  <c r="K70" i="5"/>
  <c r="K64" i="5"/>
  <c r="AB116" i="5"/>
  <c r="AB104" i="5"/>
  <c r="AB101" i="5"/>
  <c r="AB98" i="5"/>
  <c r="AB95" i="5"/>
  <c r="AB119" i="5"/>
  <c r="R118" i="5"/>
  <c r="W103" i="5"/>
  <c r="R115" i="5"/>
  <c r="AB113" i="5"/>
  <c r="U112" i="5"/>
  <c r="R112" i="5"/>
  <c r="AB110" i="5"/>
  <c r="V109" i="5"/>
  <c r="R109" i="5"/>
  <c r="AB107" i="5"/>
  <c r="R106" i="5"/>
  <c r="R103" i="5"/>
  <c r="R100" i="5"/>
  <c r="R97" i="5"/>
  <c r="W94" i="5"/>
  <c r="E136" i="9"/>
  <c r="E135" i="9"/>
  <c r="E13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AJ19" i="9"/>
  <c r="AJ18" i="9"/>
  <c r="AJ17" i="9"/>
  <c r="AJ13" i="9"/>
  <c r="AJ10" i="9"/>
  <c r="AJ9" i="9"/>
  <c r="AJ8" i="9"/>
  <c r="AJ7" i="9"/>
  <c r="AJ17" i="8"/>
  <c r="AJ18" i="8"/>
  <c r="AJ19" i="8"/>
  <c r="AJ10" i="8"/>
  <c r="AJ7" i="8"/>
  <c r="AJ9" i="8"/>
  <c r="AJ8" i="8"/>
  <c r="O98" i="5"/>
  <c r="O101" i="5"/>
  <c r="O104" i="5"/>
  <c r="O107" i="5"/>
  <c r="O110" i="5"/>
  <c r="O113" i="5"/>
  <c r="O116" i="5"/>
  <c r="O119" i="5"/>
  <c r="O95" i="5"/>
  <c r="O122" i="5"/>
  <c r="G121" i="5"/>
  <c r="E121" i="5"/>
  <c r="E118" i="5"/>
  <c r="E115" i="5"/>
  <c r="E112" i="5"/>
  <c r="I109" i="5"/>
  <c r="E109" i="5"/>
  <c r="E106" i="5"/>
  <c r="I103" i="5"/>
  <c r="E103" i="5"/>
  <c r="E100" i="5"/>
  <c r="H97" i="5"/>
  <c r="E97" i="5"/>
  <c r="K94" i="5"/>
  <c r="O80" i="5"/>
  <c r="H79" i="5"/>
  <c r="E79" i="5"/>
  <c r="O77" i="5"/>
  <c r="E76" i="5"/>
  <c r="O74" i="5"/>
  <c r="E73" i="5"/>
  <c r="O71" i="5"/>
  <c r="E70" i="5"/>
  <c r="O68" i="5"/>
  <c r="I67" i="5"/>
  <c r="E67" i="5"/>
  <c r="O65" i="5"/>
  <c r="E64" i="5"/>
  <c r="H61" i="5"/>
  <c r="E61" i="5"/>
  <c r="E58" i="5"/>
  <c r="E55" i="5"/>
  <c r="K52" i="5"/>
  <c r="O62" i="5"/>
  <c r="O56" i="5"/>
  <c r="BP28" i="5"/>
  <c r="BM28" i="5"/>
  <c r="BS25" i="5"/>
  <c r="BM25" i="5"/>
  <c r="BM22" i="5"/>
  <c r="BO19" i="5"/>
  <c r="BM19" i="5"/>
  <c r="BW14" i="5"/>
  <c r="BP13" i="5"/>
  <c r="BM13" i="5"/>
  <c r="BW11" i="5"/>
  <c r="BS10" i="5"/>
  <c r="BM10" i="5"/>
  <c r="BW8" i="5"/>
  <c r="BM7" i="5"/>
  <c r="BW5" i="5"/>
  <c r="BS16" i="5" s="1"/>
  <c r="BO4" i="5"/>
  <c r="BM4" i="5"/>
  <c r="BS2" i="5"/>
  <c r="BS40" i="5"/>
  <c r="CK45" i="5"/>
  <c r="CD44" i="5"/>
  <c r="CA44" i="5"/>
  <c r="CK42" i="5"/>
  <c r="CA41" i="5"/>
  <c r="CK39" i="5"/>
  <c r="CA38" i="5"/>
  <c r="CK36" i="5"/>
  <c r="CC35" i="5"/>
  <c r="CA35" i="5"/>
  <c r="CK14" i="5"/>
  <c r="CD13" i="5"/>
  <c r="CA13" i="5"/>
  <c r="CK11" i="5"/>
  <c r="CA10" i="5"/>
  <c r="CK8" i="5"/>
  <c r="CA7" i="5"/>
  <c r="CK5" i="5"/>
  <c r="CC4" i="5"/>
  <c r="CA4" i="5"/>
  <c r="BW29" i="5"/>
  <c r="BW26" i="5"/>
  <c r="BW23" i="5"/>
  <c r="BW20" i="5"/>
  <c r="BW44" i="5"/>
  <c r="BP43" i="5"/>
  <c r="BM43" i="5"/>
  <c r="BW41" i="5"/>
  <c r="BM40" i="5"/>
  <c r="BW38" i="5"/>
  <c r="BM37" i="5"/>
  <c r="BW35" i="5"/>
  <c r="BO34" i="5"/>
  <c r="BM34" i="5"/>
  <c r="BW30" i="5" l="1"/>
  <c r="BS46" i="5"/>
  <c r="X124" i="5"/>
  <c r="CY31" i="5"/>
  <c r="AT44" i="5"/>
  <c r="AT30" i="5"/>
  <c r="CK15" i="5"/>
  <c r="CK46" i="5"/>
  <c r="CY17" i="5"/>
  <c r="X85" i="5"/>
  <c r="AB84" i="5"/>
  <c r="O81" i="5"/>
  <c r="AB123" i="5"/>
  <c r="K124" i="5"/>
  <c r="O123" i="5"/>
  <c r="BS31" i="5"/>
  <c r="BW15" i="5"/>
  <c r="BW45" i="5"/>
  <c r="D40" i="2" l="1"/>
  <c r="D41" i="2"/>
  <c r="Q43" i="5"/>
  <c r="Q40" i="5"/>
  <c r="Q37" i="5"/>
  <c r="Q34" i="5"/>
  <c r="Q44" i="5" s="1"/>
  <c r="Q29" i="5"/>
  <c r="Q26" i="5"/>
  <c r="Q23" i="5"/>
  <c r="M22" i="5"/>
  <c r="Q20" i="5"/>
  <c r="Q14" i="5"/>
  <c r="Q8" i="5"/>
  <c r="M33" i="5"/>
  <c r="J42" i="5"/>
  <c r="M19" i="5"/>
  <c r="M13" i="5"/>
  <c r="M7" i="5"/>
  <c r="K4" i="5"/>
  <c r="G19" i="5"/>
  <c r="G22" i="5"/>
  <c r="G25" i="5"/>
  <c r="G28" i="5"/>
  <c r="G33" i="5"/>
  <c r="G36" i="5"/>
  <c r="G39" i="5"/>
  <c r="G42" i="5"/>
  <c r="A51" i="5"/>
  <c r="R80" i="6"/>
  <c r="V80" i="6"/>
  <c r="W80" i="6"/>
  <c r="R81" i="6"/>
  <c r="S81" i="6"/>
  <c r="V81" i="6"/>
  <c r="W81" i="6"/>
  <c r="X81" i="6"/>
  <c r="R82" i="6"/>
  <c r="S82" i="6"/>
  <c r="V82" i="6"/>
  <c r="W82" i="6"/>
  <c r="X82" i="6"/>
  <c r="Y82" i="6"/>
  <c r="R83" i="6"/>
  <c r="S83" i="6"/>
  <c r="T83" i="6"/>
  <c r="U83" i="6"/>
  <c r="V83" i="6"/>
  <c r="W83" i="6"/>
  <c r="X83" i="6"/>
  <c r="Y83" i="6"/>
  <c r="Z83" i="6"/>
  <c r="R84" i="6"/>
  <c r="S84" i="6"/>
  <c r="T84" i="6"/>
  <c r="U84" i="6"/>
  <c r="V84" i="6"/>
  <c r="W84" i="6"/>
  <c r="X84" i="6"/>
  <c r="Y84" i="6"/>
  <c r="Z84" i="6"/>
  <c r="R85" i="6"/>
  <c r="V85" i="6"/>
  <c r="W85" i="6"/>
  <c r="R86" i="6"/>
  <c r="S86" i="6"/>
  <c r="V86" i="6"/>
  <c r="W86" i="6"/>
  <c r="X86" i="6"/>
  <c r="Y86" i="6"/>
  <c r="R87" i="6"/>
  <c r="S87" i="6"/>
  <c r="V87" i="6"/>
  <c r="W87" i="6"/>
  <c r="X87" i="6"/>
  <c r="Y87" i="6"/>
  <c r="Z87" i="6"/>
  <c r="R88" i="6"/>
  <c r="S88" i="6"/>
  <c r="V88" i="6"/>
  <c r="W88" i="6"/>
  <c r="X88" i="6"/>
  <c r="Y88" i="6"/>
  <c r="Z88" i="6"/>
  <c r="R89" i="6"/>
  <c r="S89" i="6"/>
  <c r="T89" i="6"/>
  <c r="U89" i="6"/>
  <c r="V89" i="6"/>
  <c r="W89" i="6"/>
  <c r="X89" i="6"/>
  <c r="Y89" i="6"/>
  <c r="Z89" i="6"/>
  <c r="Q81" i="6"/>
  <c r="Q82" i="6"/>
  <c r="Q83" i="6"/>
  <c r="Q84" i="6"/>
  <c r="Q85" i="6"/>
  <c r="Q86" i="6"/>
  <c r="Q87" i="6"/>
  <c r="Q88" i="6"/>
  <c r="Q89" i="6"/>
  <c r="Q80" i="6"/>
  <c r="AC80" i="6"/>
  <c r="AC79" i="6"/>
  <c r="AA80" i="6"/>
  <c r="AA81" i="6" s="1"/>
  <c r="AA82" i="6" s="1"/>
  <c r="AA83" i="6" s="1"/>
  <c r="AA84" i="6" s="1"/>
  <c r="AA85" i="6" s="1"/>
  <c r="AA86" i="6" s="1"/>
  <c r="AA87" i="6" s="1"/>
  <c r="AA88" i="6" s="1"/>
  <c r="AA89" i="6" s="1"/>
  <c r="AA59" i="6"/>
  <c r="AA60" i="6" s="1"/>
  <c r="AA61" i="6" s="1"/>
  <c r="AA62" i="6" s="1"/>
  <c r="AA63" i="6" s="1"/>
  <c r="AA64" i="6" s="1"/>
  <c r="AA65" i="6" s="1"/>
  <c r="AA66" i="6" s="1"/>
  <c r="AA67" i="6" s="1"/>
  <c r="AA58" i="6"/>
  <c r="H4" i="6"/>
  <c r="I4" i="6"/>
  <c r="H5" i="6"/>
  <c r="I5" i="6"/>
  <c r="H6" i="6"/>
  <c r="I6" i="6"/>
  <c r="H7" i="6"/>
  <c r="I7" i="6"/>
  <c r="H8" i="6"/>
  <c r="I8" i="6"/>
  <c r="T5" i="6" s="1"/>
  <c r="H9" i="6"/>
  <c r="I9" i="6"/>
  <c r="H10" i="6"/>
  <c r="I10" i="6"/>
  <c r="H11" i="6"/>
  <c r="I11" i="6"/>
  <c r="H12" i="6"/>
  <c r="I12" i="6"/>
  <c r="I3" i="6"/>
  <c r="H3" i="6"/>
  <c r="D18" i="6"/>
  <c r="E18" i="6"/>
  <c r="F18" i="6"/>
  <c r="G18" i="6"/>
  <c r="H18" i="6"/>
  <c r="I18" i="6"/>
  <c r="J18" i="6"/>
  <c r="K18" i="6"/>
  <c r="L18" i="6"/>
  <c r="D19" i="6"/>
  <c r="E19" i="6"/>
  <c r="F19" i="6"/>
  <c r="G19" i="6"/>
  <c r="H19" i="6"/>
  <c r="I19" i="6"/>
  <c r="J19" i="6"/>
  <c r="K19" i="6"/>
  <c r="L19" i="6"/>
  <c r="D20" i="6"/>
  <c r="E20" i="6"/>
  <c r="F20" i="6"/>
  <c r="G20" i="6"/>
  <c r="H20" i="6"/>
  <c r="I20" i="6"/>
  <c r="J20" i="6"/>
  <c r="K20" i="6"/>
  <c r="L20" i="6"/>
  <c r="D21" i="6"/>
  <c r="E21" i="6"/>
  <c r="F21" i="6"/>
  <c r="G21" i="6"/>
  <c r="H21" i="6"/>
  <c r="I21" i="6"/>
  <c r="J21" i="6"/>
  <c r="K21" i="6"/>
  <c r="L21" i="6"/>
  <c r="D22" i="6"/>
  <c r="E22" i="6"/>
  <c r="F22" i="6"/>
  <c r="G22" i="6"/>
  <c r="H22" i="6"/>
  <c r="I22" i="6"/>
  <c r="J22" i="6"/>
  <c r="K22" i="6"/>
  <c r="L22" i="6"/>
  <c r="D23" i="6"/>
  <c r="E23" i="6"/>
  <c r="F23" i="6"/>
  <c r="G23" i="6"/>
  <c r="H23" i="6"/>
  <c r="I23" i="6"/>
  <c r="J23" i="6"/>
  <c r="K23" i="6"/>
  <c r="L23" i="6"/>
  <c r="D24" i="6"/>
  <c r="E24" i="6"/>
  <c r="F24" i="6"/>
  <c r="G24" i="6"/>
  <c r="H24" i="6"/>
  <c r="I24" i="6"/>
  <c r="J24" i="6"/>
  <c r="K24" i="6"/>
  <c r="L24" i="6"/>
  <c r="D25" i="6"/>
  <c r="E25" i="6"/>
  <c r="F25" i="6"/>
  <c r="G25" i="6"/>
  <c r="H25" i="6"/>
  <c r="I25" i="6"/>
  <c r="J25" i="6"/>
  <c r="K25" i="6"/>
  <c r="L25" i="6"/>
  <c r="D26" i="6"/>
  <c r="E26" i="6"/>
  <c r="F26" i="6"/>
  <c r="G26" i="6"/>
  <c r="H26" i="6"/>
  <c r="I26" i="6"/>
  <c r="J26" i="6"/>
  <c r="K26" i="6"/>
  <c r="L26" i="6"/>
  <c r="D27" i="6"/>
  <c r="E27" i="6"/>
  <c r="F27" i="6"/>
  <c r="G27" i="6"/>
  <c r="H27" i="6"/>
  <c r="I27" i="6"/>
  <c r="J27" i="6"/>
  <c r="K27" i="6"/>
  <c r="L27" i="6"/>
  <c r="C19" i="6"/>
  <c r="C20" i="6"/>
  <c r="C21" i="6"/>
  <c r="C22" i="6"/>
  <c r="C23" i="6"/>
  <c r="C24" i="6"/>
  <c r="C25" i="6"/>
  <c r="C26" i="6"/>
  <c r="C27" i="6"/>
  <c r="C18" i="6"/>
  <c r="E136" i="8"/>
  <c r="E135" i="8"/>
  <c r="E134" i="8"/>
  <c r="AJ13" i="8"/>
  <c r="Q30" i="5" l="1"/>
  <c r="S6" i="6"/>
  <c r="Q15" i="5"/>
  <c r="I94" i="6"/>
  <c r="I83" i="6"/>
  <c r="Z56" i="6"/>
  <c r="L87" i="6"/>
  <c r="L98" i="6"/>
  <c r="W55" i="6"/>
  <c r="I86" i="6"/>
  <c r="I97" i="6"/>
  <c r="F85" i="6"/>
  <c r="F96" i="6"/>
  <c r="L83" i="6"/>
  <c r="L94" i="6"/>
  <c r="W51" i="6"/>
  <c r="I82" i="6"/>
  <c r="I93" i="6"/>
  <c r="T50" i="6"/>
  <c r="F81" i="6"/>
  <c r="F92" i="6"/>
  <c r="L79" i="6"/>
  <c r="L90" i="6"/>
  <c r="I78" i="6"/>
  <c r="I89" i="6"/>
  <c r="W56" i="6"/>
  <c r="I98" i="6"/>
  <c r="I87" i="6"/>
  <c r="Y56" i="6"/>
  <c r="K87" i="6"/>
  <c r="K98" i="6"/>
  <c r="V55" i="6"/>
  <c r="H86" i="6"/>
  <c r="H97" i="6"/>
  <c r="S54" i="6"/>
  <c r="E85" i="6"/>
  <c r="E96" i="6"/>
  <c r="K83" i="6"/>
  <c r="K94" i="6"/>
  <c r="V51" i="6"/>
  <c r="H82" i="6"/>
  <c r="H93" i="6"/>
  <c r="S50" i="6"/>
  <c r="E81" i="6"/>
  <c r="E92" i="6"/>
  <c r="K79" i="6"/>
  <c r="K90" i="6"/>
  <c r="V47" i="6"/>
  <c r="H78" i="6"/>
  <c r="H89" i="6"/>
  <c r="L95" i="6"/>
  <c r="L84" i="6"/>
  <c r="Q47" i="6"/>
  <c r="C89" i="6"/>
  <c r="C78" i="6"/>
  <c r="X56" i="6"/>
  <c r="J98" i="6"/>
  <c r="J87" i="6"/>
  <c r="G97" i="6"/>
  <c r="G86" i="6"/>
  <c r="R54" i="6"/>
  <c r="D96" i="6"/>
  <c r="D85" i="6"/>
  <c r="J94" i="6"/>
  <c r="J83" i="6"/>
  <c r="U51" i="6"/>
  <c r="G93" i="6"/>
  <c r="G82" i="6"/>
  <c r="R50" i="6"/>
  <c r="D92" i="6"/>
  <c r="D81" i="6"/>
  <c r="J90" i="6"/>
  <c r="J79" i="6"/>
  <c r="G78" i="6"/>
  <c r="G89" i="6"/>
  <c r="T51" i="6"/>
  <c r="F93" i="6"/>
  <c r="F82" i="6"/>
  <c r="Q55" i="6"/>
  <c r="C97" i="6"/>
  <c r="C86" i="6"/>
  <c r="V56" i="6"/>
  <c r="H98" i="6"/>
  <c r="H87" i="6"/>
  <c r="S55" i="6"/>
  <c r="E97" i="6"/>
  <c r="E86" i="6"/>
  <c r="K95" i="6"/>
  <c r="K84" i="6"/>
  <c r="V52" i="6"/>
  <c r="H94" i="6"/>
  <c r="H83" i="6"/>
  <c r="S51" i="6"/>
  <c r="E93" i="6"/>
  <c r="E82" i="6"/>
  <c r="Y49" i="6"/>
  <c r="K91" i="6"/>
  <c r="K80" i="6"/>
  <c r="V48" i="6"/>
  <c r="H90" i="6"/>
  <c r="H79" i="6"/>
  <c r="E89" i="6"/>
  <c r="E78" i="6"/>
  <c r="W48" i="6"/>
  <c r="I90" i="6"/>
  <c r="I79" i="6"/>
  <c r="Q54" i="6"/>
  <c r="C96" i="6"/>
  <c r="C85" i="6"/>
  <c r="G98" i="6"/>
  <c r="G87" i="6"/>
  <c r="R55" i="6"/>
  <c r="D97" i="6"/>
  <c r="D86" i="6"/>
  <c r="X53" i="6"/>
  <c r="J95" i="6"/>
  <c r="J84" i="6"/>
  <c r="G94" i="6"/>
  <c r="G83" i="6"/>
  <c r="R51" i="6"/>
  <c r="D93" i="6"/>
  <c r="D82" i="6"/>
  <c r="X49" i="6"/>
  <c r="J91" i="6"/>
  <c r="J80" i="6"/>
  <c r="G90" i="6"/>
  <c r="G79" i="6"/>
  <c r="R47" i="6"/>
  <c r="D89" i="6"/>
  <c r="D78" i="6"/>
  <c r="Q56" i="6"/>
  <c r="C98" i="6"/>
  <c r="C87" i="6"/>
  <c r="F89" i="6"/>
  <c r="F78" i="6"/>
  <c r="Q53" i="6"/>
  <c r="C95" i="6"/>
  <c r="C84" i="6"/>
  <c r="T56" i="6"/>
  <c r="F98" i="6"/>
  <c r="F87" i="6"/>
  <c r="L96" i="6"/>
  <c r="L85" i="6"/>
  <c r="W53" i="6"/>
  <c r="I95" i="6"/>
  <c r="I84" i="6"/>
  <c r="F94" i="6"/>
  <c r="F83" i="6"/>
  <c r="Z50" i="6"/>
  <c r="L92" i="6"/>
  <c r="L81" i="6"/>
  <c r="W49" i="6"/>
  <c r="I91" i="6"/>
  <c r="I80" i="6"/>
  <c r="F90" i="6"/>
  <c r="F79" i="6"/>
  <c r="Q52" i="6"/>
  <c r="C94" i="6"/>
  <c r="C83" i="6"/>
  <c r="S56" i="6"/>
  <c r="E98" i="6"/>
  <c r="E87" i="6"/>
  <c r="Y54" i="6"/>
  <c r="K96" i="6"/>
  <c r="K85" i="6"/>
  <c r="V53" i="6"/>
  <c r="H95" i="6"/>
  <c r="H84" i="6"/>
  <c r="E94" i="6"/>
  <c r="E83" i="6"/>
  <c r="Y50" i="6"/>
  <c r="K92" i="6"/>
  <c r="K81" i="6"/>
  <c r="V49" i="6"/>
  <c r="H91" i="6"/>
  <c r="H80" i="6"/>
  <c r="S48" i="6"/>
  <c r="E90" i="6"/>
  <c r="E79" i="6"/>
  <c r="L91" i="6"/>
  <c r="L80" i="6"/>
  <c r="Q51" i="6"/>
  <c r="C93" i="6"/>
  <c r="C82" i="6"/>
  <c r="R56" i="6"/>
  <c r="D98" i="6"/>
  <c r="D87" i="6"/>
  <c r="X54" i="6"/>
  <c r="J96" i="6"/>
  <c r="J85" i="6"/>
  <c r="G95" i="6"/>
  <c r="G84" i="6"/>
  <c r="R52" i="6"/>
  <c r="D94" i="6"/>
  <c r="D83" i="6"/>
  <c r="X50" i="6"/>
  <c r="J92" i="6"/>
  <c r="J81" i="6"/>
  <c r="G91" i="6"/>
  <c r="G80" i="6"/>
  <c r="R48" i="6"/>
  <c r="D90" i="6"/>
  <c r="D79" i="6"/>
  <c r="Q50" i="6"/>
  <c r="C92" i="6"/>
  <c r="C81" i="6"/>
  <c r="Z55" i="6"/>
  <c r="L97" i="6"/>
  <c r="L86" i="6"/>
  <c r="W54" i="6"/>
  <c r="I96" i="6"/>
  <c r="I85" i="6"/>
  <c r="F95" i="6"/>
  <c r="F84" i="6"/>
  <c r="Z51" i="6"/>
  <c r="L93" i="6"/>
  <c r="L82" i="6"/>
  <c r="W50" i="6"/>
  <c r="I92" i="6"/>
  <c r="I81" i="6"/>
  <c r="F91" i="6"/>
  <c r="F80" i="6"/>
  <c r="L89" i="6"/>
  <c r="L78" i="6"/>
  <c r="A52" i="5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H55" i="5" s="1"/>
  <c r="V121" i="5"/>
  <c r="I118" i="5"/>
  <c r="J64" i="5"/>
  <c r="F70" i="5"/>
  <c r="H115" i="5"/>
  <c r="V58" i="5"/>
  <c r="H112" i="5"/>
  <c r="F106" i="5"/>
  <c r="F67" i="5"/>
  <c r="F58" i="5"/>
  <c r="I52" i="5"/>
  <c r="W115" i="5"/>
  <c r="G112" i="5"/>
  <c r="G97" i="5"/>
  <c r="F79" i="5"/>
  <c r="G58" i="5"/>
  <c r="F76" i="5"/>
  <c r="U67" i="5"/>
  <c r="S121" i="5"/>
  <c r="T103" i="5"/>
  <c r="V94" i="5"/>
  <c r="H118" i="5"/>
  <c r="T67" i="5"/>
  <c r="V61" i="5"/>
  <c r="V115" i="5"/>
  <c r="U109" i="5"/>
  <c r="S103" i="5"/>
  <c r="U94" i="5"/>
  <c r="H103" i="5"/>
  <c r="V82" i="5"/>
  <c r="S79" i="5"/>
  <c r="U61" i="5"/>
  <c r="U55" i="5"/>
  <c r="U115" i="5"/>
  <c r="T109" i="5"/>
  <c r="T94" i="5"/>
  <c r="H70" i="5"/>
  <c r="H64" i="5"/>
  <c r="S61" i="5"/>
  <c r="I94" i="5"/>
  <c r="T61" i="5"/>
  <c r="T55" i="5"/>
  <c r="X115" i="5"/>
  <c r="J100" i="5"/>
  <c r="S94" i="5"/>
  <c r="H109" i="5"/>
  <c r="F103" i="5"/>
  <c r="J94" i="5"/>
  <c r="G76" i="5"/>
  <c r="G70" i="5"/>
  <c r="G64" i="5"/>
  <c r="F55" i="5"/>
  <c r="W82" i="5"/>
  <c r="V76" i="5"/>
  <c r="T70" i="5"/>
  <c r="U64" i="5"/>
  <c r="U118" i="5"/>
  <c r="U106" i="5"/>
  <c r="S100" i="5"/>
  <c r="G115" i="5"/>
  <c r="H100" i="5"/>
  <c r="G94" i="5"/>
  <c r="T82" i="5"/>
  <c r="U76" i="5"/>
  <c r="S70" i="5"/>
  <c r="T64" i="5"/>
  <c r="U58" i="5"/>
  <c r="W121" i="5"/>
  <c r="J112" i="5"/>
  <c r="J70" i="5"/>
  <c r="T118" i="5"/>
  <c r="G100" i="5"/>
  <c r="F94" i="5"/>
  <c r="I73" i="5"/>
  <c r="G61" i="5"/>
  <c r="F52" i="5"/>
  <c r="S55" i="5"/>
  <c r="S115" i="5"/>
  <c r="I100" i="5"/>
  <c r="S82" i="5"/>
  <c r="S118" i="5"/>
  <c r="T112" i="5"/>
  <c r="S106" i="5"/>
  <c r="T97" i="5"/>
  <c r="H106" i="5"/>
  <c r="F100" i="5"/>
  <c r="H73" i="5"/>
  <c r="H67" i="5"/>
  <c r="G52" i="5"/>
  <c r="Q49" i="6"/>
  <c r="C91" i="6"/>
  <c r="C80" i="6"/>
  <c r="Y55" i="6"/>
  <c r="K97" i="6"/>
  <c r="K86" i="6"/>
  <c r="V54" i="6"/>
  <c r="H96" i="6"/>
  <c r="H85" i="6"/>
  <c r="S53" i="6"/>
  <c r="E95" i="6"/>
  <c r="E84" i="6"/>
  <c r="Y51" i="6"/>
  <c r="K93" i="6"/>
  <c r="K82" i="6"/>
  <c r="V50" i="6"/>
  <c r="H92" i="6"/>
  <c r="H81" i="6"/>
  <c r="S49" i="6"/>
  <c r="E91" i="6"/>
  <c r="E80" i="6"/>
  <c r="K89" i="6"/>
  <c r="K78" i="6"/>
  <c r="F97" i="6"/>
  <c r="F86" i="6"/>
  <c r="Q48" i="6"/>
  <c r="C79" i="6"/>
  <c r="C90" i="6"/>
  <c r="X55" i="6"/>
  <c r="J86" i="6"/>
  <c r="J97" i="6"/>
  <c r="G85" i="6"/>
  <c r="G96" i="6"/>
  <c r="R53" i="6"/>
  <c r="D84" i="6"/>
  <c r="D95" i="6"/>
  <c r="X51" i="6"/>
  <c r="J82" i="6"/>
  <c r="J93" i="6"/>
  <c r="U50" i="6"/>
  <c r="G81" i="6"/>
  <c r="G92" i="6"/>
  <c r="R49" i="6"/>
  <c r="D80" i="6"/>
  <c r="D91" i="6"/>
  <c r="J78" i="6"/>
  <c r="J89" i="6"/>
  <c r="B7" i="6"/>
  <c r="B12" i="6"/>
  <c r="B6" i="6"/>
  <c r="B11" i="6"/>
  <c r="AO28" i="6" s="1"/>
  <c r="B5" i="6"/>
  <c r="B9" i="6"/>
  <c r="B3" i="6"/>
  <c r="AI20" i="6" s="1"/>
  <c r="AC81" i="6"/>
  <c r="B10" i="6"/>
  <c r="B4" i="6"/>
  <c r="AJ21" i="6" s="1"/>
  <c r="B8" i="6"/>
  <c r="I3" i="1"/>
  <c r="I4" i="1"/>
  <c r="I5" i="1"/>
  <c r="N20" i="1" s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K8" i="1"/>
  <c r="AO25" i="6"/>
  <c r="AQ28" i="6"/>
  <c r="R8" i="6"/>
  <c r="B111" i="6"/>
  <c r="C111" i="6" s="1"/>
  <c r="D111" i="6" s="1"/>
  <c r="E111" i="6" s="1"/>
  <c r="F111" i="6" s="1"/>
  <c r="G111" i="6" s="1"/>
  <c r="H111" i="6" s="1"/>
  <c r="I111" i="6" s="1"/>
  <c r="J111" i="6" s="1"/>
  <c r="K111" i="6" s="1"/>
  <c r="L111" i="6" s="1"/>
  <c r="M111" i="6" s="1"/>
  <c r="N111" i="6" s="1"/>
  <c r="O111" i="6" s="1"/>
  <c r="P111" i="6" s="1"/>
  <c r="Q111" i="6" s="1"/>
  <c r="R111" i="6" s="1"/>
  <c r="S111" i="6" s="1"/>
  <c r="T111" i="6" s="1"/>
  <c r="U111" i="6" s="1"/>
  <c r="V111" i="6" s="1"/>
  <c r="W111" i="6" s="1"/>
  <c r="X111" i="6" s="1"/>
  <c r="Y111" i="6" s="1"/>
  <c r="Z111" i="6" s="1"/>
  <c r="AA111" i="6" s="1"/>
  <c r="AF51" i="6"/>
  <c r="AG56" i="6"/>
  <c r="AF56" i="6"/>
  <c r="AF55" i="6"/>
  <c r="AG55" i="6"/>
  <c r="AG51" i="6"/>
  <c r="AF53" i="6"/>
  <c r="AG53" i="6"/>
  <c r="AF52" i="6"/>
  <c r="AG52" i="6"/>
  <c r="AA69" i="6"/>
  <c r="AA70" i="6" s="1"/>
  <c r="AA71" i="6" s="1"/>
  <c r="AA72" i="6" s="1"/>
  <c r="AA73" i="6" s="1"/>
  <c r="AA74" i="6" s="1"/>
  <c r="AA75" i="6" s="1"/>
  <c r="AA76" i="6" s="1"/>
  <c r="AA77" i="6" s="1"/>
  <c r="AA78" i="6" s="1"/>
  <c r="AA47" i="6"/>
  <c r="AA48" i="6" s="1"/>
  <c r="AA49" i="6" s="1"/>
  <c r="AA50" i="6" s="1"/>
  <c r="AA51" i="6" s="1"/>
  <c r="AA52" i="6" s="1"/>
  <c r="AA53" i="6" s="1"/>
  <c r="AA54" i="6" s="1"/>
  <c r="AA55" i="6" s="1"/>
  <c r="AA56" i="6" s="1"/>
  <c r="AH54" i="6"/>
  <c r="AJ22" i="6" l="1"/>
  <c r="W61" i="5"/>
  <c r="F73" i="5"/>
  <c r="T16" i="3"/>
  <c r="L35" i="3"/>
  <c r="H52" i="5"/>
  <c r="I76" i="5"/>
  <c r="F97" i="5"/>
  <c r="V106" i="5"/>
  <c r="S112" i="5"/>
  <c r="AO29" i="6"/>
  <c r="AL29" i="6"/>
  <c r="AR29" i="6"/>
  <c r="W9" i="14"/>
  <c r="W21" i="14"/>
  <c r="W14" i="14"/>
  <c r="W26" i="14"/>
  <c r="W7" i="14"/>
  <c r="W19" i="14"/>
  <c r="W31" i="14"/>
  <c r="V7" i="3"/>
  <c r="W12" i="14"/>
  <c r="W24" i="14"/>
  <c r="W5" i="14"/>
  <c r="W17" i="14"/>
  <c r="W29" i="14"/>
  <c r="V5" i="3"/>
  <c r="W10" i="14"/>
  <c r="W22" i="14"/>
  <c r="W3" i="14"/>
  <c r="W15" i="14"/>
  <c r="W27" i="14"/>
  <c r="V3" i="3"/>
  <c r="W8" i="14"/>
  <c r="W20" i="14"/>
  <c r="W32" i="14"/>
  <c r="W6" i="14"/>
  <c r="W18" i="14"/>
  <c r="W30" i="14"/>
  <c r="W11" i="14"/>
  <c r="W23" i="14"/>
  <c r="W25" i="14"/>
  <c r="V6" i="3"/>
  <c r="V13" i="3"/>
  <c r="V25" i="3"/>
  <c r="V18" i="3"/>
  <c r="W13" i="14"/>
  <c r="W28" i="14"/>
  <c r="V16" i="3"/>
  <c r="V28" i="3"/>
  <c r="V9" i="3"/>
  <c r="V21" i="3"/>
  <c r="W16" i="14"/>
  <c r="V4" i="3"/>
  <c r="V14" i="3"/>
  <c r="V26" i="3"/>
  <c r="V19" i="3"/>
  <c r="W4" i="14"/>
  <c r="V12" i="3"/>
  <c r="V24" i="3"/>
  <c r="V10" i="3"/>
  <c r="V22" i="3"/>
  <c r="V15" i="3"/>
  <c r="V27" i="3"/>
  <c r="V8" i="3"/>
  <c r="V20" i="3"/>
  <c r="V32" i="3"/>
  <c r="V17" i="3"/>
  <c r="V11" i="3"/>
  <c r="V31" i="3"/>
  <c r="V29" i="3"/>
  <c r="V23" i="3"/>
  <c r="V30" i="3"/>
  <c r="N21" i="1"/>
  <c r="AL24" i="6"/>
  <c r="AM24" i="6"/>
  <c r="AO24" i="6"/>
  <c r="AI24" i="6"/>
  <c r="AR24" i="6"/>
  <c r="AL26" i="6"/>
  <c r="D10" i="14"/>
  <c r="D22" i="14"/>
  <c r="D12" i="14"/>
  <c r="D24" i="14"/>
  <c r="D13" i="14"/>
  <c r="D25" i="14"/>
  <c r="D14" i="14"/>
  <c r="D26" i="14"/>
  <c r="D15" i="14"/>
  <c r="D27" i="14"/>
  <c r="D4" i="14"/>
  <c r="D16" i="14"/>
  <c r="D28" i="14"/>
  <c r="D5" i="14"/>
  <c r="D17" i="14"/>
  <c r="D29" i="14"/>
  <c r="D7" i="14"/>
  <c r="D19" i="14"/>
  <c r="D31" i="14"/>
  <c r="D6" i="14"/>
  <c r="D8" i="14"/>
  <c r="D9" i="14"/>
  <c r="D11" i="14"/>
  <c r="D18" i="14"/>
  <c r="C18" i="3"/>
  <c r="D20" i="14"/>
  <c r="D21" i="14"/>
  <c r="D23" i="14"/>
  <c r="D32" i="14"/>
  <c r="D3" i="14"/>
  <c r="C4" i="3"/>
  <c r="D30" i="14"/>
  <c r="C20" i="3"/>
  <c r="C9" i="3"/>
  <c r="C15" i="3"/>
  <c r="C23" i="3"/>
  <c r="C25" i="3"/>
  <c r="C27" i="3"/>
  <c r="C12" i="3"/>
  <c r="C21" i="3"/>
  <c r="C32" i="3"/>
  <c r="C3" i="3"/>
  <c r="C6" i="3"/>
  <c r="C7" i="3"/>
  <c r="C13" i="3"/>
  <c r="C19" i="3"/>
  <c r="C10" i="3"/>
  <c r="C16" i="3"/>
  <c r="C30" i="3"/>
  <c r="C11" i="3"/>
  <c r="C17" i="3"/>
  <c r="C22" i="3"/>
  <c r="C8" i="3"/>
  <c r="C14" i="3"/>
  <c r="C5" i="3"/>
  <c r="C29" i="3"/>
  <c r="C24" i="3"/>
  <c r="C26" i="3"/>
  <c r="C28" i="3"/>
  <c r="C31" i="3"/>
  <c r="J14" i="14"/>
  <c r="J26" i="14"/>
  <c r="J7" i="14"/>
  <c r="J19" i="14"/>
  <c r="J31" i="14"/>
  <c r="J12" i="14"/>
  <c r="J24" i="14"/>
  <c r="J5" i="14"/>
  <c r="J17" i="14"/>
  <c r="J29" i="14"/>
  <c r="I5" i="3"/>
  <c r="J10" i="14"/>
  <c r="J22" i="14"/>
  <c r="J3" i="14"/>
  <c r="J15" i="14"/>
  <c r="J27" i="14"/>
  <c r="I3" i="3"/>
  <c r="J8" i="14"/>
  <c r="J20" i="14"/>
  <c r="J32" i="14"/>
  <c r="J13" i="14"/>
  <c r="J25" i="14"/>
  <c r="J11" i="14"/>
  <c r="J23" i="14"/>
  <c r="J4" i="14"/>
  <c r="J16" i="14"/>
  <c r="J28" i="14"/>
  <c r="J18" i="14"/>
  <c r="I18" i="3"/>
  <c r="I11" i="3"/>
  <c r="I23" i="3"/>
  <c r="J6" i="14"/>
  <c r="J21" i="14"/>
  <c r="I9" i="3"/>
  <c r="I21" i="3"/>
  <c r="I6" i="3"/>
  <c r="I14" i="3"/>
  <c r="I26" i="3"/>
  <c r="J9" i="14"/>
  <c r="I19" i="3"/>
  <c r="I12" i="3"/>
  <c r="I24" i="3"/>
  <c r="I17" i="3"/>
  <c r="I29" i="3"/>
  <c r="I15" i="3"/>
  <c r="I27" i="3"/>
  <c r="J30" i="14"/>
  <c r="I4" i="3"/>
  <c r="I20" i="3"/>
  <c r="I32" i="3"/>
  <c r="I7" i="3"/>
  <c r="I8" i="3"/>
  <c r="I13" i="3"/>
  <c r="I30" i="3"/>
  <c r="I16" i="3"/>
  <c r="I28" i="3"/>
  <c r="I25" i="3"/>
  <c r="I31" i="3"/>
  <c r="I10" i="3"/>
  <c r="I22" i="3"/>
  <c r="AJ29" i="6"/>
  <c r="M11" i="14"/>
  <c r="M23" i="14"/>
  <c r="M4" i="14"/>
  <c r="M16" i="14"/>
  <c r="M28" i="14"/>
  <c r="M9" i="14"/>
  <c r="M21" i="14"/>
  <c r="M14" i="14"/>
  <c r="M26" i="14"/>
  <c r="M7" i="14"/>
  <c r="M19" i="14"/>
  <c r="M31" i="14"/>
  <c r="M12" i="14"/>
  <c r="M24" i="14"/>
  <c r="M5" i="14"/>
  <c r="M17" i="14"/>
  <c r="M29" i="14"/>
  <c r="M10" i="14"/>
  <c r="M22" i="14"/>
  <c r="M8" i="14"/>
  <c r="M20" i="14"/>
  <c r="M32" i="14"/>
  <c r="M13" i="14"/>
  <c r="M25" i="14"/>
  <c r="M3" i="14"/>
  <c r="L3" i="3"/>
  <c r="L4" i="3"/>
  <c r="L15" i="3"/>
  <c r="L27" i="3"/>
  <c r="M18" i="14"/>
  <c r="L7" i="3"/>
  <c r="L8" i="3"/>
  <c r="L20" i="3"/>
  <c r="M6" i="14"/>
  <c r="L18" i="3"/>
  <c r="L30" i="3"/>
  <c r="L11" i="3"/>
  <c r="L23" i="3"/>
  <c r="L16" i="3"/>
  <c r="L28" i="3"/>
  <c r="L9" i="3"/>
  <c r="L21" i="3"/>
  <c r="L6" i="3"/>
  <c r="L14" i="3"/>
  <c r="L26" i="3"/>
  <c r="L12" i="3"/>
  <c r="L24" i="3"/>
  <c r="M15" i="14"/>
  <c r="L17" i="3"/>
  <c r="L29" i="3"/>
  <c r="M30" i="14"/>
  <c r="L10" i="3"/>
  <c r="L22" i="3"/>
  <c r="L31" i="3"/>
  <c r="L13" i="3"/>
  <c r="L19" i="3"/>
  <c r="L5" i="3"/>
  <c r="L32" i="3"/>
  <c r="M27" i="14"/>
  <c r="L25" i="3"/>
  <c r="Y11" i="14"/>
  <c r="Y23" i="14"/>
  <c r="Y4" i="14"/>
  <c r="Y16" i="14"/>
  <c r="Y28" i="14"/>
  <c r="Y9" i="14"/>
  <c r="Y21" i="14"/>
  <c r="Y14" i="14"/>
  <c r="Y26" i="14"/>
  <c r="Y7" i="14"/>
  <c r="Y19" i="14"/>
  <c r="Y31" i="14"/>
  <c r="Y12" i="14"/>
  <c r="Y24" i="14"/>
  <c r="Y5" i="14"/>
  <c r="Y17" i="14"/>
  <c r="Y29" i="14"/>
  <c r="Y10" i="14"/>
  <c r="Y22" i="14"/>
  <c r="Y8" i="14"/>
  <c r="Y20" i="14"/>
  <c r="Y32" i="14"/>
  <c r="Y13" i="14"/>
  <c r="Y25" i="14"/>
  <c r="Y15" i="14"/>
  <c r="X15" i="3"/>
  <c r="X27" i="3"/>
  <c r="Y30" i="14"/>
  <c r="X8" i="3"/>
  <c r="X20" i="3"/>
  <c r="Y3" i="14"/>
  <c r="Y18" i="14"/>
  <c r="X18" i="3"/>
  <c r="X30" i="3"/>
  <c r="X3" i="3"/>
  <c r="X11" i="3"/>
  <c r="X23" i="3"/>
  <c r="Y6" i="14"/>
  <c r="X16" i="3"/>
  <c r="X28" i="3"/>
  <c r="X4" i="3"/>
  <c r="X9" i="3"/>
  <c r="X21" i="3"/>
  <c r="X14" i="3"/>
  <c r="X26" i="3"/>
  <c r="X12" i="3"/>
  <c r="X24" i="3"/>
  <c r="Y27" i="14"/>
  <c r="X17" i="3"/>
  <c r="X29" i="3"/>
  <c r="X7" i="3"/>
  <c r="X10" i="3"/>
  <c r="X25" i="3"/>
  <c r="X13" i="3"/>
  <c r="X22" i="3"/>
  <c r="X32" i="3"/>
  <c r="X5" i="3"/>
  <c r="X19" i="3"/>
  <c r="X6" i="3"/>
  <c r="X31" i="3"/>
  <c r="M82" i="5"/>
  <c r="K83" i="5" s="1"/>
  <c r="Z124" i="5"/>
  <c r="X125" i="5" s="1"/>
  <c r="Z85" i="5"/>
  <c r="X86" i="5" s="1"/>
  <c r="M124" i="5"/>
  <c r="K125" i="5" s="1"/>
  <c r="AR23" i="6"/>
  <c r="L4" i="14"/>
  <c r="L16" i="14"/>
  <c r="L28" i="14"/>
  <c r="K4" i="3"/>
  <c r="L9" i="14"/>
  <c r="L21" i="14"/>
  <c r="L14" i="14"/>
  <c r="L26" i="14"/>
  <c r="L7" i="14"/>
  <c r="L19" i="14"/>
  <c r="L31" i="14"/>
  <c r="L12" i="14"/>
  <c r="L24" i="14"/>
  <c r="L5" i="14"/>
  <c r="L17" i="14"/>
  <c r="L29" i="14"/>
  <c r="L10" i="14"/>
  <c r="L22" i="14"/>
  <c r="L3" i="14"/>
  <c r="L15" i="14"/>
  <c r="L27" i="14"/>
  <c r="K3" i="3"/>
  <c r="L13" i="14"/>
  <c r="L25" i="14"/>
  <c r="L6" i="14"/>
  <c r="L18" i="14"/>
  <c r="L30" i="14"/>
  <c r="L8" i="14"/>
  <c r="K7" i="3"/>
  <c r="K8" i="3"/>
  <c r="K20" i="3"/>
  <c r="L23" i="14"/>
  <c r="K5" i="3"/>
  <c r="K13" i="3"/>
  <c r="K25" i="3"/>
  <c r="L11" i="14"/>
  <c r="K11" i="3"/>
  <c r="K23" i="3"/>
  <c r="K16" i="3"/>
  <c r="K28" i="3"/>
  <c r="K9" i="3"/>
  <c r="K21" i="3"/>
  <c r="K6" i="3"/>
  <c r="K14" i="3"/>
  <c r="K26" i="3"/>
  <c r="K19" i="3"/>
  <c r="K17" i="3"/>
  <c r="K29" i="3"/>
  <c r="L20" i="14"/>
  <c r="K10" i="3"/>
  <c r="K22" i="3"/>
  <c r="K15" i="3"/>
  <c r="K27" i="3"/>
  <c r="K24" i="3"/>
  <c r="K30" i="3"/>
  <c r="K32" i="3"/>
  <c r="K18" i="3"/>
  <c r="L32" i="14"/>
  <c r="K31" i="3"/>
  <c r="K12" i="3"/>
  <c r="E140" i="9"/>
  <c r="E140" i="11"/>
  <c r="E140" i="12"/>
  <c r="E140" i="8"/>
  <c r="X4" i="14"/>
  <c r="X16" i="14"/>
  <c r="X28" i="14"/>
  <c r="W4" i="3"/>
  <c r="X9" i="14"/>
  <c r="X21" i="14"/>
  <c r="X14" i="14"/>
  <c r="X26" i="14"/>
  <c r="X7" i="14"/>
  <c r="X19" i="14"/>
  <c r="X31" i="14"/>
  <c r="X12" i="14"/>
  <c r="X24" i="14"/>
  <c r="X5" i="14"/>
  <c r="X17" i="14"/>
  <c r="X29" i="14"/>
  <c r="X10" i="14"/>
  <c r="X22" i="14"/>
  <c r="X3" i="14"/>
  <c r="X15" i="14"/>
  <c r="X27" i="14"/>
  <c r="W3" i="3"/>
  <c r="X13" i="14"/>
  <c r="X25" i="14"/>
  <c r="X6" i="14"/>
  <c r="X18" i="14"/>
  <c r="X30" i="14"/>
  <c r="X20" i="14"/>
  <c r="W8" i="3"/>
  <c r="W20" i="3"/>
  <c r="W6" i="3"/>
  <c r="W13" i="3"/>
  <c r="W25" i="3"/>
  <c r="X8" i="14"/>
  <c r="X23" i="14"/>
  <c r="W11" i="3"/>
  <c r="W23" i="3"/>
  <c r="W16" i="3"/>
  <c r="W28" i="3"/>
  <c r="X11" i="14"/>
  <c r="W9" i="3"/>
  <c r="W21" i="3"/>
  <c r="W14" i="3"/>
  <c r="W26" i="3"/>
  <c r="W5" i="3"/>
  <c r="W19" i="3"/>
  <c r="W17" i="3"/>
  <c r="W29" i="3"/>
  <c r="X32" i="14"/>
  <c r="W7" i="3"/>
  <c r="W10" i="3"/>
  <c r="W22" i="3"/>
  <c r="W15" i="3"/>
  <c r="W30" i="3"/>
  <c r="W32" i="3"/>
  <c r="W27" i="3"/>
  <c r="W24" i="3"/>
  <c r="W31" i="3"/>
  <c r="W12" i="3"/>
  <c r="W18" i="3"/>
  <c r="AO27" i="6"/>
  <c r="AM27" i="6"/>
  <c r="K9" i="14"/>
  <c r="K21" i="14"/>
  <c r="K14" i="14"/>
  <c r="K26" i="14"/>
  <c r="K7" i="14"/>
  <c r="K19" i="14"/>
  <c r="K31" i="14"/>
  <c r="J7" i="3"/>
  <c r="K12" i="14"/>
  <c r="K24" i="14"/>
  <c r="K5" i="14"/>
  <c r="K17" i="14"/>
  <c r="K29" i="14"/>
  <c r="J5" i="3"/>
  <c r="K10" i="14"/>
  <c r="K22" i="14"/>
  <c r="K3" i="14"/>
  <c r="K15" i="14"/>
  <c r="K27" i="14"/>
  <c r="J3" i="3"/>
  <c r="K8" i="14"/>
  <c r="K20" i="14"/>
  <c r="K32" i="14"/>
  <c r="J8" i="3"/>
  <c r="K6" i="14"/>
  <c r="K18" i="14"/>
  <c r="K30" i="14"/>
  <c r="K11" i="14"/>
  <c r="K23" i="14"/>
  <c r="K13" i="14"/>
  <c r="J13" i="3"/>
  <c r="J25" i="3"/>
  <c r="K28" i="14"/>
  <c r="J18" i="3"/>
  <c r="K16" i="14"/>
  <c r="J16" i="3"/>
  <c r="J28" i="3"/>
  <c r="J9" i="3"/>
  <c r="J21" i="3"/>
  <c r="K4" i="14"/>
  <c r="J6" i="3"/>
  <c r="J14" i="3"/>
  <c r="J26" i="3"/>
  <c r="J19" i="3"/>
  <c r="J12" i="3"/>
  <c r="J24" i="3"/>
  <c r="J10" i="3"/>
  <c r="J22" i="3"/>
  <c r="K25" i="14"/>
  <c r="J15" i="3"/>
  <c r="J27" i="3"/>
  <c r="J4" i="3"/>
  <c r="J11" i="3"/>
  <c r="J29" i="3"/>
  <c r="J30" i="3"/>
  <c r="J32" i="3"/>
  <c r="J23" i="3"/>
  <c r="J20" i="3"/>
  <c r="J31" i="3"/>
  <c r="J17" i="3"/>
  <c r="V14" i="14"/>
  <c r="V26" i="14"/>
  <c r="V7" i="14"/>
  <c r="V19" i="14"/>
  <c r="V31" i="14"/>
  <c r="V12" i="14"/>
  <c r="V24" i="14"/>
  <c r="V5" i="14"/>
  <c r="V17" i="14"/>
  <c r="V29" i="14"/>
  <c r="U5" i="3"/>
  <c r="V10" i="14"/>
  <c r="V22" i="14"/>
  <c r="V3" i="14"/>
  <c r="V15" i="14"/>
  <c r="V27" i="14"/>
  <c r="U3" i="3"/>
  <c r="V8" i="14"/>
  <c r="V20" i="14"/>
  <c r="V32" i="14"/>
  <c r="V13" i="14"/>
  <c r="V25" i="14"/>
  <c r="V11" i="14"/>
  <c r="V23" i="14"/>
  <c r="V4" i="14"/>
  <c r="V16" i="14"/>
  <c r="V28" i="14"/>
  <c r="V30" i="14"/>
  <c r="U18" i="3"/>
  <c r="U11" i="3"/>
  <c r="U23" i="3"/>
  <c r="V18" i="14"/>
  <c r="U9" i="3"/>
  <c r="U21" i="3"/>
  <c r="V6" i="14"/>
  <c r="U4" i="3"/>
  <c r="U14" i="3"/>
  <c r="U26" i="3"/>
  <c r="V21" i="14"/>
  <c r="U19" i="3"/>
  <c r="U12" i="3"/>
  <c r="U24" i="3"/>
  <c r="V9" i="14"/>
  <c r="U17" i="3"/>
  <c r="U29" i="3"/>
  <c r="U7" i="3"/>
  <c r="U15" i="3"/>
  <c r="U27" i="3"/>
  <c r="U8" i="3"/>
  <c r="U20" i="3"/>
  <c r="U32" i="3"/>
  <c r="U6" i="3"/>
  <c r="U13" i="3"/>
  <c r="U10" i="3"/>
  <c r="U25" i="3"/>
  <c r="U22" i="3"/>
  <c r="U31" i="3"/>
  <c r="U16" i="3"/>
  <c r="U28" i="3"/>
  <c r="U30" i="3"/>
  <c r="AK29" i="6"/>
  <c r="AD10" i="14"/>
  <c r="AD22" i="14"/>
  <c r="AD3" i="14"/>
  <c r="AD15" i="14"/>
  <c r="AD27" i="14"/>
  <c r="AD8" i="14"/>
  <c r="AD20" i="14"/>
  <c r="AD32" i="14"/>
  <c r="AD13" i="14"/>
  <c r="AD25" i="14"/>
  <c r="AD6" i="14"/>
  <c r="AD18" i="14"/>
  <c r="AD30" i="14"/>
  <c r="AC6" i="3"/>
  <c r="AD11" i="14"/>
  <c r="AD23" i="14"/>
  <c r="AD4" i="14"/>
  <c r="AD16" i="14"/>
  <c r="AD28" i="14"/>
  <c r="AD9" i="14"/>
  <c r="AD21" i="14"/>
  <c r="AD7" i="14"/>
  <c r="AD19" i="14"/>
  <c r="AD31" i="14"/>
  <c r="AD12" i="14"/>
  <c r="AD24" i="14"/>
  <c r="AC5" i="3"/>
  <c r="AC14" i="3"/>
  <c r="AC26" i="3"/>
  <c r="AD5" i="14"/>
  <c r="AC19" i="3"/>
  <c r="AC7" i="3"/>
  <c r="AC17" i="3"/>
  <c r="AC29" i="3"/>
  <c r="AC10" i="3"/>
  <c r="AC22" i="3"/>
  <c r="AC15" i="3"/>
  <c r="AC27" i="3"/>
  <c r="AD26" i="14"/>
  <c r="AC8" i="3"/>
  <c r="AC20" i="3"/>
  <c r="AC3" i="3"/>
  <c r="AC13" i="3"/>
  <c r="AC25" i="3"/>
  <c r="AD29" i="14"/>
  <c r="AC11" i="3"/>
  <c r="AC23" i="3"/>
  <c r="AC16" i="3"/>
  <c r="AC28" i="3"/>
  <c r="AD17" i="14"/>
  <c r="AC9" i="3"/>
  <c r="AC4" i="3"/>
  <c r="AD14" i="14"/>
  <c r="AC30" i="3"/>
  <c r="AC32" i="3"/>
  <c r="AC24" i="3"/>
  <c r="AC21" i="3"/>
  <c r="AC12" i="3"/>
  <c r="AC18" i="3"/>
  <c r="AC31" i="3"/>
  <c r="R10" i="14"/>
  <c r="R22" i="14"/>
  <c r="R3" i="14"/>
  <c r="R15" i="14"/>
  <c r="R27" i="14"/>
  <c r="R8" i="14"/>
  <c r="R20" i="14"/>
  <c r="R32" i="14"/>
  <c r="R13" i="14"/>
  <c r="R25" i="14"/>
  <c r="R6" i="14"/>
  <c r="R18" i="14"/>
  <c r="R30" i="14"/>
  <c r="Q6" i="3"/>
  <c r="R11" i="14"/>
  <c r="R23" i="14"/>
  <c r="R4" i="14"/>
  <c r="R16" i="14"/>
  <c r="R28" i="14"/>
  <c r="R9" i="14"/>
  <c r="R21" i="14"/>
  <c r="R7" i="14"/>
  <c r="R19" i="14"/>
  <c r="R31" i="14"/>
  <c r="R12" i="14"/>
  <c r="R24" i="14"/>
  <c r="Q14" i="3"/>
  <c r="Q26" i="3"/>
  <c r="Q19" i="3"/>
  <c r="Q4" i="3"/>
  <c r="Q3" i="3"/>
  <c r="Q17" i="3"/>
  <c r="Q29" i="3"/>
  <c r="R26" i="14"/>
  <c r="Q10" i="3"/>
  <c r="Q22" i="3"/>
  <c r="Q5" i="3"/>
  <c r="Q7" i="3"/>
  <c r="Q15" i="3"/>
  <c r="Q27" i="3"/>
  <c r="R14" i="14"/>
  <c r="Q8" i="3"/>
  <c r="Q20" i="3"/>
  <c r="R29" i="14"/>
  <c r="Q13" i="3"/>
  <c r="Q25" i="3"/>
  <c r="R17" i="14"/>
  <c r="Q11" i="3"/>
  <c r="Q23" i="3"/>
  <c r="Q16" i="3"/>
  <c r="Q28" i="3"/>
  <c r="R5" i="14"/>
  <c r="Q9" i="3"/>
  <c r="Q31" i="3"/>
  <c r="Q24" i="3"/>
  <c r="Q21" i="3"/>
  <c r="Q12" i="3"/>
  <c r="Q32" i="3"/>
  <c r="Q30" i="3"/>
  <c r="Q18" i="3"/>
  <c r="F10" i="14"/>
  <c r="F22" i="14"/>
  <c r="F3" i="14"/>
  <c r="F15" i="14"/>
  <c r="F27" i="14"/>
  <c r="F8" i="14"/>
  <c r="F20" i="14"/>
  <c r="F32" i="14"/>
  <c r="E8" i="3"/>
  <c r="F13" i="14"/>
  <c r="F25" i="14"/>
  <c r="F6" i="14"/>
  <c r="F18" i="14"/>
  <c r="F30" i="14"/>
  <c r="E6" i="3"/>
  <c r="F11" i="14"/>
  <c r="F23" i="14"/>
  <c r="F4" i="14"/>
  <c r="F16" i="14"/>
  <c r="F28" i="14"/>
  <c r="F9" i="14"/>
  <c r="F21" i="14"/>
  <c r="F7" i="14"/>
  <c r="F19" i="14"/>
  <c r="F31" i="14"/>
  <c r="F12" i="14"/>
  <c r="F24" i="14"/>
  <c r="E14" i="3"/>
  <c r="E26" i="3"/>
  <c r="E19" i="3"/>
  <c r="F26" i="14"/>
  <c r="E17" i="3"/>
  <c r="E29" i="3"/>
  <c r="F14" i="14"/>
  <c r="E10" i="3"/>
  <c r="E22" i="3"/>
  <c r="F29" i="14"/>
  <c r="E15" i="3"/>
  <c r="E27" i="3"/>
  <c r="E20" i="3"/>
  <c r="F17" i="14"/>
  <c r="E7" i="3"/>
  <c r="E13" i="3"/>
  <c r="E25" i="3"/>
  <c r="F5" i="14"/>
  <c r="E11" i="3"/>
  <c r="E23" i="3"/>
  <c r="E16" i="3"/>
  <c r="E28" i="3"/>
  <c r="E3" i="3"/>
  <c r="E5" i="3"/>
  <c r="E9" i="3"/>
  <c r="E4" i="3"/>
  <c r="E24" i="3"/>
  <c r="E30" i="3"/>
  <c r="E32" i="3"/>
  <c r="E21" i="3"/>
  <c r="E18" i="3"/>
  <c r="E12" i="3"/>
  <c r="E31" i="3"/>
  <c r="AH36" i="12"/>
  <c r="U7" i="14"/>
  <c r="U19" i="14"/>
  <c r="U31" i="14"/>
  <c r="U12" i="14"/>
  <c r="U24" i="14"/>
  <c r="U5" i="14"/>
  <c r="U17" i="14"/>
  <c r="U29" i="14"/>
  <c r="T5" i="3"/>
  <c r="U10" i="14"/>
  <c r="U22" i="14"/>
  <c r="U3" i="14"/>
  <c r="U15" i="14"/>
  <c r="U27" i="14"/>
  <c r="T3" i="3"/>
  <c r="U8" i="14"/>
  <c r="U20" i="14"/>
  <c r="U32" i="14"/>
  <c r="U13" i="14"/>
  <c r="U25" i="14"/>
  <c r="U6" i="14"/>
  <c r="U18" i="14"/>
  <c r="U30" i="14"/>
  <c r="T6" i="3"/>
  <c r="U4" i="14"/>
  <c r="U16" i="14"/>
  <c r="U28" i="14"/>
  <c r="T4" i="3"/>
  <c r="U9" i="14"/>
  <c r="U21" i="14"/>
  <c r="T11" i="3"/>
  <c r="T23" i="3"/>
  <c r="T28" i="3"/>
  <c r="U23" i="14"/>
  <c r="T14" i="3"/>
  <c r="T26" i="3"/>
  <c r="U11" i="14"/>
  <c r="T19" i="3"/>
  <c r="T31" i="3"/>
  <c r="U26" i="14"/>
  <c r="T12" i="3"/>
  <c r="T24" i="3"/>
  <c r="T17" i="3"/>
  <c r="T29" i="3"/>
  <c r="U14" i="14"/>
  <c r="T10" i="3"/>
  <c r="T22" i="3"/>
  <c r="T8" i="3"/>
  <c r="T20" i="3"/>
  <c r="T32" i="3"/>
  <c r="T13" i="3"/>
  <c r="T25" i="3"/>
  <c r="T15" i="3"/>
  <c r="T27" i="3"/>
  <c r="T9" i="3"/>
  <c r="T21" i="3"/>
  <c r="T18" i="3"/>
  <c r="T30" i="3"/>
  <c r="T7" i="3"/>
  <c r="AO26" i="6"/>
  <c r="AF12" i="14"/>
  <c r="AF24" i="14"/>
  <c r="AF5" i="14"/>
  <c r="AF17" i="14"/>
  <c r="AF29" i="14"/>
  <c r="AF10" i="14"/>
  <c r="AF22" i="14"/>
  <c r="AF3" i="14"/>
  <c r="AF15" i="14"/>
  <c r="AF27" i="14"/>
  <c r="AE3" i="3"/>
  <c r="AF8" i="14"/>
  <c r="AF20" i="14"/>
  <c r="AF32" i="14"/>
  <c r="AF13" i="14"/>
  <c r="AF25" i="14"/>
  <c r="AF6" i="14"/>
  <c r="AF18" i="14"/>
  <c r="AF30" i="14"/>
  <c r="AF11" i="14"/>
  <c r="AF23" i="14"/>
  <c r="AF9" i="14"/>
  <c r="AF21" i="14"/>
  <c r="AF14" i="14"/>
  <c r="AF26" i="14"/>
  <c r="AE16" i="3"/>
  <c r="AE28" i="3"/>
  <c r="AE5" i="3"/>
  <c r="AE9" i="3"/>
  <c r="AE21" i="3"/>
  <c r="AE19" i="3"/>
  <c r="AE31" i="3"/>
  <c r="AF28" i="14"/>
  <c r="AE12" i="3"/>
  <c r="AE24" i="3"/>
  <c r="AE6" i="3"/>
  <c r="AE7" i="3"/>
  <c r="AE17" i="3"/>
  <c r="AF16" i="14"/>
  <c r="AE10" i="3"/>
  <c r="AE22" i="3"/>
  <c r="AF31" i="14"/>
  <c r="AE15" i="3"/>
  <c r="AE27" i="3"/>
  <c r="AF19" i="14"/>
  <c r="AE4" i="3"/>
  <c r="AE13" i="3"/>
  <c r="AE25" i="3"/>
  <c r="AE18" i="3"/>
  <c r="AE30" i="3"/>
  <c r="AF7" i="14"/>
  <c r="AE11" i="3"/>
  <c r="AF4" i="14"/>
  <c r="AE23" i="3"/>
  <c r="AE29" i="3"/>
  <c r="AE20" i="3"/>
  <c r="AE8" i="3"/>
  <c r="AE14" i="3"/>
  <c r="AE26" i="3"/>
  <c r="AE32" i="3"/>
  <c r="T12" i="14"/>
  <c r="T24" i="14"/>
  <c r="T5" i="14"/>
  <c r="T17" i="14"/>
  <c r="T29" i="14"/>
  <c r="T10" i="14"/>
  <c r="T22" i="14"/>
  <c r="T3" i="14"/>
  <c r="T15" i="14"/>
  <c r="T27" i="14"/>
  <c r="S3" i="3"/>
  <c r="T8" i="14"/>
  <c r="T20" i="14"/>
  <c r="T32" i="14"/>
  <c r="T13" i="14"/>
  <c r="T25" i="14"/>
  <c r="T6" i="14"/>
  <c r="T18" i="14"/>
  <c r="T30" i="14"/>
  <c r="T11" i="14"/>
  <c r="T23" i="14"/>
  <c r="T9" i="14"/>
  <c r="T21" i="14"/>
  <c r="T14" i="14"/>
  <c r="T26" i="14"/>
  <c r="S16" i="3"/>
  <c r="S28" i="3"/>
  <c r="S9" i="3"/>
  <c r="S21" i="3"/>
  <c r="T28" i="14"/>
  <c r="S4" i="3"/>
  <c r="S19" i="3"/>
  <c r="S31" i="3"/>
  <c r="T16" i="14"/>
  <c r="S12" i="3"/>
  <c r="S24" i="3"/>
  <c r="T31" i="14"/>
  <c r="S17" i="3"/>
  <c r="T4" i="14"/>
  <c r="S5" i="3"/>
  <c r="S10" i="3"/>
  <c r="S22" i="3"/>
  <c r="T19" i="14"/>
  <c r="S7" i="3"/>
  <c r="S15" i="3"/>
  <c r="S27" i="3"/>
  <c r="T7" i="14"/>
  <c r="S13" i="3"/>
  <c r="S25" i="3"/>
  <c r="S6" i="3"/>
  <c r="S18" i="3"/>
  <c r="S30" i="3"/>
  <c r="S11" i="3"/>
  <c r="S32" i="3"/>
  <c r="S8" i="3"/>
  <c r="S29" i="3"/>
  <c r="S14" i="3"/>
  <c r="S26" i="3"/>
  <c r="S23" i="3"/>
  <c r="S20" i="3"/>
  <c r="H12" i="14"/>
  <c r="H24" i="14"/>
  <c r="H5" i="14"/>
  <c r="H17" i="14"/>
  <c r="H29" i="14"/>
  <c r="H10" i="14"/>
  <c r="H22" i="14"/>
  <c r="H3" i="14"/>
  <c r="H15" i="14"/>
  <c r="H27" i="14"/>
  <c r="G3" i="3"/>
  <c r="H8" i="14"/>
  <c r="H20" i="14"/>
  <c r="H32" i="14"/>
  <c r="H13" i="14"/>
  <c r="H25" i="14"/>
  <c r="H6" i="14"/>
  <c r="H18" i="14"/>
  <c r="H30" i="14"/>
  <c r="H11" i="14"/>
  <c r="H23" i="14"/>
  <c r="H9" i="14"/>
  <c r="H21" i="14"/>
  <c r="H14" i="14"/>
  <c r="H26" i="14"/>
  <c r="H28" i="14"/>
  <c r="G5" i="3"/>
  <c r="G16" i="3"/>
  <c r="G28" i="3"/>
  <c r="G9" i="3"/>
  <c r="G21" i="3"/>
  <c r="H16" i="14"/>
  <c r="H31" i="14"/>
  <c r="G6" i="3"/>
  <c r="G19" i="3"/>
  <c r="G31" i="3"/>
  <c r="H4" i="14"/>
  <c r="G12" i="3"/>
  <c r="G24" i="3"/>
  <c r="H19" i="14"/>
  <c r="G17" i="3"/>
  <c r="G10" i="3"/>
  <c r="G22" i="3"/>
  <c r="H7" i="14"/>
  <c r="G15" i="3"/>
  <c r="G27" i="3"/>
  <c r="G4" i="3"/>
  <c r="G7" i="3"/>
  <c r="G8" i="3"/>
  <c r="G13" i="3"/>
  <c r="G25" i="3"/>
  <c r="G18" i="3"/>
  <c r="G30" i="3"/>
  <c r="G11" i="3"/>
  <c r="G29" i="3"/>
  <c r="G26" i="3"/>
  <c r="G32" i="3"/>
  <c r="F34" i="3"/>
  <c r="G14" i="3"/>
  <c r="G23" i="3"/>
  <c r="F35" i="3"/>
  <c r="G20" i="3"/>
  <c r="AG7" i="14"/>
  <c r="AG19" i="14"/>
  <c r="AG31" i="14"/>
  <c r="AG12" i="14"/>
  <c r="AG24" i="14"/>
  <c r="AG5" i="14"/>
  <c r="AG17" i="14"/>
  <c r="AG29" i="14"/>
  <c r="AF5" i="3"/>
  <c r="AG10" i="14"/>
  <c r="AG22" i="14"/>
  <c r="AG3" i="14"/>
  <c r="AG15" i="14"/>
  <c r="AG27" i="14"/>
  <c r="AF3" i="3"/>
  <c r="AG8" i="14"/>
  <c r="AG20" i="14"/>
  <c r="AG32" i="14"/>
  <c r="AG13" i="14"/>
  <c r="AG25" i="14"/>
  <c r="AG6" i="14"/>
  <c r="AG18" i="14"/>
  <c r="AG30" i="14"/>
  <c r="AF6" i="3"/>
  <c r="AG4" i="14"/>
  <c r="AG16" i="14"/>
  <c r="AG28" i="14"/>
  <c r="AF4" i="3"/>
  <c r="AG9" i="14"/>
  <c r="AG21" i="14"/>
  <c r="AF11" i="3"/>
  <c r="AF23" i="3"/>
  <c r="AF16" i="3"/>
  <c r="AF28" i="3"/>
  <c r="AF14" i="3"/>
  <c r="AF26" i="3"/>
  <c r="AG23" i="14"/>
  <c r="AF19" i="3"/>
  <c r="AF31" i="3"/>
  <c r="AF12" i="3"/>
  <c r="AF24" i="3"/>
  <c r="AG11" i="14"/>
  <c r="AF7" i="3"/>
  <c r="AF17" i="3"/>
  <c r="AF29" i="3"/>
  <c r="AG26" i="14"/>
  <c r="AF10" i="3"/>
  <c r="AF22" i="3"/>
  <c r="AG14" i="14"/>
  <c r="AF8" i="3"/>
  <c r="AF20" i="3"/>
  <c r="AF32" i="3"/>
  <c r="AF13" i="3"/>
  <c r="AF25" i="3"/>
  <c r="AF18" i="3"/>
  <c r="AF15" i="3"/>
  <c r="AF27" i="3"/>
  <c r="AF30" i="3"/>
  <c r="AF9" i="3"/>
  <c r="AF21" i="3"/>
  <c r="AJ21" i="12"/>
  <c r="AJ21" i="8"/>
  <c r="AJ21" i="11"/>
  <c r="AJ21" i="9"/>
  <c r="I7" i="14"/>
  <c r="I19" i="14"/>
  <c r="I31" i="14"/>
  <c r="I12" i="14"/>
  <c r="I24" i="14"/>
  <c r="I5" i="14"/>
  <c r="I17" i="14"/>
  <c r="I29" i="14"/>
  <c r="H5" i="3"/>
  <c r="I10" i="14"/>
  <c r="I22" i="14"/>
  <c r="I3" i="14"/>
  <c r="I15" i="14"/>
  <c r="I27" i="14"/>
  <c r="H3" i="3"/>
  <c r="I8" i="14"/>
  <c r="I20" i="14"/>
  <c r="I32" i="14"/>
  <c r="I13" i="14"/>
  <c r="I25" i="14"/>
  <c r="I6" i="14"/>
  <c r="I18" i="14"/>
  <c r="I30" i="14"/>
  <c r="H6" i="3"/>
  <c r="I4" i="14"/>
  <c r="I16" i="14"/>
  <c r="I28" i="14"/>
  <c r="H4" i="3"/>
  <c r="I9" i="14"/>
  <c r="I21" i="14"/>
  <c r="I23" i="14"/>
  <c r="H11" i="3"/>
  <c r="H23" i="3"/>
  <c r="H16" i="3"/>
  <c r="H28" i="3"/>
  <c r="I11" i="14"/>
  <c r="I26" i="14"/>
  <c r="H14" i="3"/>
  <c r="H26" i="3"/>
  <c r="H19" i="3"/>
  <c r="H31" i="3"/>
  <c r="I14" i="14"/>
  <c r="H12" i="3"/>
  <c r="H24" i="3"/>
  <c r="H17" i="3"/>
  <c r="H29" i="3"/>
  <c r="H10" i="3"/>
  <c r="H22" i="3"/>
  <c r="H20" i="3"/>
  <c r="H32" i="3"/>
  <c r="H7" i="3"/>
  <c r="H8" i="3"/>
  <c r="H13" i="3"/>
  <c r="H25" i="3"/>
  <c r="H30" i="3"/>
  <c r="H21" i="3"/>
  <c r="H9" i="3"/>
  <c r="H18" i="3"/>
  <c r="H15" i="3"/>
  <c r="H27" i="3"/>
  <c r="AE5" i="14"/>
  <c r="AE17" i="14"/>
  <c r="AE29" i="14"/>
  <c r="AD5" i="3"/>
  <c r="AE10" i="14"/>
  <c r="AE22" i="14"/>
  <c r="AE3" i="14"/>
  <c r="AE15" i="14"/>
  <c r="AE27" i="14"/>
  <c r="AD3" i="3"/>
  <c r="AE8" i="14"/>
  <c r="AE20" i="14"/>
  <c r="AE32" i="14"/>
  <c r="AE13" i="14"/>
  <c r="AE25" i="14"/>
  <c r="AE6" i="14"/>
  <c r="AE18" i="14"/>
  <c r="AE30" i="14"/>
  <c r="AE11" i="14"/>
  <c r="AE23" i="14"/>
  <c r="AE4" i="14"/>
  <c r="AE16" i="14"/>
  <c r="AE28" i="14"/>
  <c r="AD4" i="3"/>
  <c r="AE14" i="14"/>
  <c r="AE26" i="14"/>
  <c r="AE7" i="14"/>
  <c r="AE19" i="14"/>
  <c r="AE31" i="14"/>
  <c r="AD9" i="3"/>
  <c r="AD21" i="3"/>
  <c r="AD14" i="3"/>
  <c r="AD26" i="3"/>
  <c r="AD12" i="3"/>
  <c r="AD24" i="3"/>
  <c r="AD6" i="3"/>
  <c r="AD7" i="3"/>
  <c r="AD17" i="3"/>
  <c r="AD29" i="3"/>
  <c r="AD10" i="3"/>
  <c r="AD22" i="3"/>
  <c r="AE21" i="14"/>
  <c r="AD15" i="3"/>
  <c r="AD27" i="3"/>
  <c r="AD8" i="3"/>
  <c r="AD20" i="3"/>
  <c r="AE24" i="14"/>
  <c r="AD18" i="3"/>
  <c r="AD30" i="3"/>
  <c r="AD11" i="3"/>
  <c r="AD23" i="3"/>
  <c r="AE12" i="14"/>
  <c r="AD28" i="3"/>
  <c r="AD31" i="3"/>
  <c r="AE9" i="14"/>
  <c r="AD25" i="3"/>
  <c r="AD13" i="3"/>
  <c r="AD19" i="3"/>
  <c r="AD32" i="3"/>
  <c r="AD16" i="3"/>
  <c r="S5" i="14"/>
  <c r="S17" i="14"/>
  <c r="S29" i="14"/>
  <c r="R5" i="3"/>
  <c r="S10" i="14"/>
  <c r="S22" i="14"/>
  <c r="S3" i="14"/>
  <c r="S15" i="14"/>
  <c r="S27" i="14"/>
  <c r="R3" i="3"/>
  <c r="S8" i="14"/>
  <c r="S20" i="14"/>
  <c r="S32" i="14"/>
  <c r="S13" i="14"/>
  <c r="S25" i="14"/>
  <c r="S6" i="14"/>
  <c r="S18" i="14"/>
  <c r="S30" i="14"/>
  <c r="S11" i="14"/>
  <c r="S23" i="14"/>
  <c r="S4" i="14"/>
  <c r="S16" i="14"/>
  <c r="S28" i="14"/>
  <c r="R4" i="3"/>
  <c r="S14" i="14"/>
  <c r="S26" i="14"/>
  <c r="S7" i="14"/>
  <c r="S19" i="14"/>
  <c r="S31" i="14"/>
  <c r="R9" i="3"/>
  <c r="R21" i="3"/>
  <c r="R14" i="3"/>
  <c r="R26" i="3"/>
  <c r="R12" i="3"/>
  <c r="R24" i="3"/>
  <c r="S21" i="14"/>
  <c r="R17" i="3"/>
  <c r="R29" i="3"/>
  <c r="R10" i="3"/>
  <c r="R22" i="3"/>
  <c r="S9" i="14"/>
  <c r="R7" i="3"/>
  <c r="R15" i="3"/>
  <c r="R27" i="3"/>
  <c r="S24" i="14"/>
  <c r="R8" i="3"/>
  <c r="R20" i="3"/>
  <c r="S12" i="14"/>
  <c r="R6" i="3"/>
  <c r="R18" i="3"/>
  <c r="R30" i="3"/>
  <c r="R11" i="3"/>
  <c r="R23" i="3"/>
  <c r="R13" i="3"/>
  <c r="R19" i="3"/>
  <c r="R31" i="3"/>
  <c r="R16" i="3"/>
  <c r="R28" i="3"/>
  <c r="R25" i="3"/>
  <c r="R32" i="3"/>
  <c r="G5" i="14"/>
  <c r="G17" i="14"/>
  <c r="G29" i="14"/>
  <c r="F5" i="3"/>
  <c r="G10" i="14"/>
  <c r="G22" i="14"/>
  <c r="G3" i="14"/>
  <c r="G15" i="14"/>
  <c r="G27" i="14"/>
  <c r="F3" i="3"/>
  <c r="G8" i="14"/>
  <c r="G20" i="14"/>
  <c r="G32" i="14"/>
  <c r="G13" i="14"/>
  <c r="G25" i="14"/>
  <c r="G6" i="14"/>
  <c r="G18" i="14"/>
  <c r="G30" i="14"/>
  <c r="G11" i="14"/>
  <c r="G23" i="14"/>
  <c r="G4" i="14"/>
  <c r="G16" i="14"/>
  <c r="G28" i="14"/>
  <c r="F4" i="3"/>
  <c r="G14" i="14"/>
  <c r="G26" i="14"/>
  <c r="G7" i="14"/>
  <c r="G19" i="14"/>
  <c r="G31" i="14"/>
  <c r="F9" i="3"/>
  <c r="F21" i="3"/>
  <c r="F14" i="3"/>
  <c r="F26" i="3"/>
  <c r="G21" i="14"/>
  <c r="F12" i="3"/>
  <c r="F24" i="3"/>
  <c r="G9" i="14"/>
  <c r="F17" i="3"/>
  <c r="F29" i="3"/>
  <c r="G24" i="14"/>
  <c r="F10" i="3"/>
  <c r="F22" i="3"/>
  <c r="F15" i="3"/>
  <c r="F27" i="3"/>
  <c r="G12" i="14"/>
  <c r="F20" i="3"/>
  <c r="F18" i="3"/>
  <c r="F30" i="3"/>
  <c r="F11" i="3"/>
  <c r="F23" i="3"/>
  <c r="F8" i="3"/>
  <c r="F13" i="3"/>
  <c r="F19" i="3"/>
  <c r="F16" i="3"/>
  <c r="F32" i="3"/>
  <c r="F6" i="3"/>
  <c r="F28" i="3"/>
  <c r="F7" i="3"/>
  <c r="F31" i="3"/>
  <c r="F25" i="3"/>
  <c r="AJ22" i="9"/>
  <c r="AJ22" i="12"/>
  <c r="AJ22" i="8"/>
  <c r="AJ22" i="11"/>
  <c r="AC3" i="14"/>
  <c r="AC15" i="14"/>
  <c r="AC27" i="14"/>
  <c r="AB3" i="3"/>
  <c r="AC8" i="14"/>
  <c r="AC20" i="14"/>
  <c r="AC32" i="14"/>
  <c r="AC13" i="14"/>
  <c r="AC25" i="14"/>
  <c r="AC6" i="14"/>
  <c r="AC18" i="14"/>
  <c r="AC30" i="14"/>
  <c r="AB6" i="3"/>
  <c r="AC11" i="14"/>
  <c r="AC23" i="14"/>
  <c r="AC4" i="14"/>
  <c r="AC16" i="14"/>
  <c r="AC28" i="14"/>
  <c r="AC9" i="14"/>
  <c r="AC21" i="14"/>
  <c r="AC14" i="14"/>
  <c r="AC26" i="14"/>
  <c r="AC12" i="14"/>
  <c r="AC24" i="14"/>
  <c r="AC5" i="14"/>
  <c r="AC17" i="14"/>
  <c r="AC29" i="14"/>
  <c r="AB19" i="3"/>
  <c r="AC10" i="14"/>
  <c r="AB12" i="3"/>
  <c r="AB24" i="3"/>
  <c r="AB10" i="3"/>
  <c r="AB22" i="3"/>
  <c r="AB15" i="3"/>
  <c r="AB27" i="3"/>
  <c r="AB8" i="3"/>
  <c r="AB20" i="3"/>
  <c r="AC31" i="14"/>
  <c r="AB13" i="3"/>
  <c r="AB25" i="3"/>
  <c r="AB4" i="3"/>
  <c r="AB18" i="3"/>
  <c r="AB16" i="3"/>
  <c r="AB28" i="3"/>
  <c r="AC7" i="14"/>
  <c r="AB9" i="3"/>
  <c r="AB21" i="3"/>
  <c r="AC22" i="14"/>
  <c r="AB5" i="3"/>
  <c r="AB14" i="3"/>
  <c r="AB30" i="3"/>
  <c r="AB17" i="3"/>
  <c r="AB32" i="3"/>
  <c r="AC19" i="14"/>
  <c r="AB11" i="3"/>
  <c r="AB26" i="3"/>
  <c r="AB31" i="3"/>
  <c r="AB7" i="3"/>
  <c r="AB23" i="3"/>
  <c r="AB29" i="3"/>
  <c r="Q3" i="14"/>
  <c r="Q15" i="14"/>
  <c r="Q27" i="14"/>
  <c r="P3" i="3"/>
  <c r="Q8" i="14"/>
  <c r="Q20" i="14"/>
  <c r="Q32" i="14"/>
  <c r="Q13" i="14"/>
  <c r="Q25" i="14"/>
  <c r="Q6" i="14"/>
  <c r="Q18" i="14"/>
  <c r="Q30" i="14"/>
  <c r="P6" i="3"/>
  <c r="Q11" i="14"/>
  <c r="Q23" i="14"/>
  <c r="Q4" i="14"/>
  <c r="Q16" i="14"/>
  <c r="Q28" i="14"/>
  <c r="Q9" i="14"/>
  <c r="Q21" i="14"/>
  <c r="Q14" i="14"/>
  <c r="Q26" i="14"/>
  <c r="Q12" i="14"/>
  <c r="Q24" i="14"/>
  <c r="Q5" i="14"/>
  <c r="Q17" i="14"/>
  <c r="Q29" i="14"/>
  <c r="P19" i="3"/>
  <c r="P4" i="3"/>
  <c r="P12" i="3"/>
  <c r="P24" i="3"/>
  <c r="P10" i="3"/>
  <c r="P22" i="3"/>
  <c r="Q31" i="14"/>
  <c r="P5" i="3"/>
  <c r="P7" i="3"/>
  <c r="P15" i="3"/>
  <c r="P27" i="3"/>
  <c r="P8" i="3"/>
  <c r="P20" i="3"/>
  <c r="Q19" i="14"/>
  <c r="P13" i="3"/>
  <c r="P25" i="3"/>
  <c r="P18" i="3"/>
  <c r="P30" i="3"/>
  <c r="Q22" i="14"/>
  <c r="P16" i="3"/>
  <c r="P28" i="3"/>
  <c r="P9" i="3"/>
  <c r="P21" i="3"/>
  <c r="Q10" i="14"/>
  <c r="P14" i="3"/>
  <c r="Q7" i="14"/>
  <c r="P17" i="3"/>
  <c r="P31" i="3"/>
  <c r="P11" i="3"/>
  <c r="P29" i="3"/>
  <c r="P26" i="3"/>
  <c r="P32" i="3"/>
  <c r="P23" i="3"/>
  <c r="E3" i="14"/>
  <c r="E15" i="14"/>
  <c r="E27" i="14"/>
  <c r="D3" i="3"/>
  <c r="E8" i="14"/>
  <c r="E20" i="14"/>
  <c r="E32" i="14"/>
  <c r="E13" i="14"/>
  <c r="E25" i="14"/>
  <c r="E6" i="14"/>
  <c r="E18" i="14"/>
  <c r="E30" i="14"/>
  <c r="D6" i="3"/>
  <c r="E11" i="14"/>
  <c r="E23" i="14"/>
  <c r="E4" i="14"/>
  <c r="E16" i="14"/>
  <c r="E28" i="14"/>
  <c r="D4" i="3"/>
  <c r="E9" i="14"/>
  <c r="E21" i="14"/>
  <c r="E14" i="14"/>
  <c r="E26" i="14"/>
  <c r="E12" i="14"/>
  <c r="E24" i="14"/>
  <c r="E5" i="14"/>
  <c r="E17" i="14"/>
  <c r="E29" i="14"/>
  <c r="D19" i="3"/>
  <c r="D12" i="3"/>
  <c r="D24" i="3"/>
  <c r="E31" i="14"/>
  <c r="D10" i="3"/>
  <c r="D22" i="3"/>
  <c r="E19" i="14"/>
  <c r="D15" i="3"/>
  <c r="D27" i="3"/>
  <c r="D20" i="3"/>
  <c r="E7" i="14"/>
  <c r="D7" i="3"/>
  <c r="D13" i="3"/>
  <c r="D25" i="3"/>
  <c r="E22" i="14"/>
  <c r="D8" i="3"/>
  <c r="D18" i="3"/>
  <c r="D30" i="3"/>
  <c r="E10" i="14"/>
  <c r="D16" i="3"/>
  <c r="D28" i="3"/>
  <c r="D5" i="3"/>
  <c r="D9" i="3"/>
  <c r="D21" i="3"/>
  <c r="D14" i="3"/>
  <c r="D29" i="3"/>
  <c r="D32" i="3"/>
  <c r="D11" i="3"/>
  <c r="D26" i="3"/>
  <c r="D23" i="3"/>
  <c r="D31" i="3"/>
  <c r="D17" i="3"/>
  <c r="E139" i="11"/>
  <c r="E138" i="11"/>
  <c r="E139" i="9"/>
  <c r="E139" i="12"/>
  <c r="E138" i="9"/>
  <c r="E138" i="12"/>
  <c r="E139" i="8"/>
  <c r="E138" i="8"/>
  <c r="AA13" i="14"/>
  <c r="AA25" i="14"/>
  <c r="AA6" i="14"/>
  <c r="AA18" i="14"/>
  <c r="AA30" i="14"/>
  <c r="AA11" i="14"/>
  <c r="AA23" i="14"/>
  <c r="AA4" i="14"/>
  <c r="AA16" i="14"/>
  <c r="AA28" i="14"/>
  <c r="Z4" i="3"/>
  <c r="AA9" i="14"/>
  <c r="AA21" i="14"/>
  <c r="AA14" i="14"/>
  <c r="AA26" i="14"/>
  <c r="AA7" i="14"/>
  <c r="AA19" i="14"/>
  <c r="AA31" i="14"/>
  <c r="AA12" i="14"/>
  <c r="AA24" i="14"/>
  <c r="AA10" i="14"/>
  <c r="AA22" i="14"/>
  <c r="AA3" i="14"/>
  <c r="AA15" i="14"/>
  <c r="AA27" i="14"/>
  <c r="AA5" i="14"/>
  <c r="Z17" i="3"/>
  <c r="AA20" i="14"/>
  <c r="Z7" i="3"/>
  <c r="Z10" i="3"/>
  <c r="Z22" i="3"/>
  <c r="AA8" i="14"/>
  <c r="Z6" i="3"/>
  <c r="Z8" i="3"/>
  <c r="Z20" i="3"/>
  <c r="Z32" i="3"/>
  <c r="Z13" i="3"/>
  <c r="Z25" i="3"/>
  <c r="Z3" i="3"/>
  <c r="Z18" i="3"/>
  <c r="Z11" i="3"/>
  <c r="Z23" i="3"/>
  <c r="Z16" i="3"/>
  <c r="Z28" i="3"/>
  <c r="Z5" i="3"/>
  <c r="Z14" i="3"/>
  <c r="Z26" i="3"/>
  <c r="AA17" i="14"/>
  <c r="Z19" i="3"/>
  <c r="Z31" i="3"/>
  <c r="AA32" i="14"/>
  <c r="Z12" i="3"/>
  <c r="Z15" i="3"/>
  <c r="Z30" i="3"/>
  <c r="Z27" i="3"/>
  <c r="Z24" i="3"/>
  <c r="Z29" i="3"/>
  <c r="AA29" i="14"/>
  <c r="Z9" i="3"/>
  <c r="Z21" i="3"/>
  <c r="AB8" i="14"/>
  <c r="AB20" i="14"/>
  <c r="AB32" i="14"/>
  <c r="AB13" i="14"/>
  <c r="AB25" i="14"/>
  <c r="AB6" i="14"/>
  <c r="AB18" i="14"/>
  <c r="AB30" i="14"/>
  <c r="AA6" i="3"/>
  <c r="AB11" i="14"/>
  <c r="AB23" i="14"/>
  <c r="AB4" i="14"/>
  <c r="AB16" i="14"/>
  <c r="AB28" i="14"/>
  <c r="AA4" i="3"/>
  <c r="AB9" i="14"/>
  <c r="AB21" i="14"/>
  <c r="AB14" i="14"/>
  <c r="AB26" i="14"/>
  <c r="AB7" i="14"/>
  <c r="AB19" i="14"/>
  <c r="AB31" i="14"/>
  <c r="AA7" i="3"/>
  <c r="AB5" i="14"/>
  <c r="AB17" i="14"/>
  <c r="AB29" i="14"/>
  <c r="AB10" i="14"/>
  <c r="AB22" i="14"/>
  <c r="AA12" i="3"/>
  <c r="AA24" i="3"/>
  <c r="AB15" i="14"/>
  <c r="AA17" i="3"/>
  <c r="AB3" i="14"/>
  <c r="AA15" i="3"/>
  <c r="AA27" i="3"/>
  <c r="AA8" i="3"/>
  <c r="AA20" i="3"/>
  <c r="AA32" i="3"/>
  <c r="AA13" i="3"/>
  <c r="AA25" i="3"/>
  <c r="AA3" i="3"/>
  <c r="AA18" i="3"/>
  <c r="AA11" i="3"/>
  <c r="AA23" i="3"/>
  <c r="AA9" i="3"/>
  <c r="AA21" i="3"/>
  <c r="AB12" i="14"/>
  <c r="AA5" i="3"/>
  <c r="AA14" i="3"/>
  <c r="AA26" i="3"/>
  <c r="AB27" i="14"/>
  <c r="AA10" i="3"/>
  <c r="AA30" i="3"/>
  <c r="AA22" i="3"/>
  <c r="AA19" i="3"/>
  <c r="AA31" i="3"/>
  <c r="AA29" i="3"/>
  <c r="AA28" i="3"/>
  <c r="AB24" i="14"/>
  <c r="AA16" i="3"/>
  <c r="P8" i="14"/>
  <c r="P20" i="14"/>
  <c r="P32" i="14"/>
  <c r="P13" i="14"/>
  <c r="P25" i="14"/>
  <c r="P6" i="14"/>
  <c r="P18" i="14"/>
  <c r="P30" i="14"/>
  <c r="O6" i="3"/>
  <c r="P11" i="14"/>
  <c r="P23" i="14"/>
  <c r="P4" i="14"/>
  <c r="P16" i="14"/>
  <c r="P28" i="14"/>
  <c r="O4" i="3"/>
  <c r="P9" i="14"/>
  <c r="P21" i="14"/>
  <c r="P14" i="14"/>
  <c r="P26" i="14"/>
  <c r="P7" i="14"/>
  <c r="P19" i="14"/>
  <c r="P31" i="14"/>
  <c r="O7" i="3"/>
  <c r="P5" i="14"/>
  <c r="P17" i="14"/>
  <c r="P29" i="14"/>
  <c r="O5" i="3"/>
  <c r="P10" i="14"/>
  <c r="P22" i="14"/>
  <c r="O12" i="3"/>
  <c r="O24" i="3"/>
  <c r="P3" i="14"/>
  <c r="O17" i="3"/>
  <c r="O29" i="3"/>
  <c r="O3" i="3"/>
  <c r="O15" i="3"/>
  <c r="O27" i="3"/>
  <c r="O8" i="3"/>
  <c r="O20" i="3"/>
  <c r="O32" i="3"/>
  <c r="O13" i="3"/>
  <c r="O25" i="3"/>
  <c r="P24" i="14"/>
  <c r="O18" i="3"/>
  <c r="O11" i="3"/>
  <c r="O23" i="3"/>
  <c r="P27" i="14"/>
  <c r="O9" i="3"/>
  <c r="O21" i="3"/>
  <c r="O14" i="3"/>
  <c r="O26" i="3"/>
  <c r="P15" i="14"/>
  <c r="O22" i="3"/>
  <c r="O31" i="3"/>
  <c r="P12" i="14"/>
  <c r="O19" i="3"/>
  <c r="O16" i="3"/>
  <c r="O30" i="3"/>
  <c r="O10" i="3"/>
  <c r="O28" i="3"/>
  <c r="O13" i="14"/>
  <c r="O25" i="14"/>
  <c r="O6" i="14"/>
  <c r="O18" i="14"/>
  <c r="O30" i="14"/>
  <c r="O11" i="14"/>
  <c r="O23" i="14"/>
  <c r="O4" i="14"/>
  <c r="O16" i="14"/>
  <c r="O28" i="14"/>
  <c r="N4" i="3"/>
  <c r="O9" i="14"/>
  <c r="O21" i="14"/>
  <c r="O14" i="14"/>
  <c r="O26" i="14"/>
  <c r="O7" i="14"/>
  <c r="O19" i="14"/>
  <c r="O31" i="14"/>
  <c r="O12" i="14"/>
  <c r="O24" i="14"/>
  <c r="O10" i="14"/>
  <c r="O22" i="14"/>
  <c r="O3" i="14"/>
  <c r="O15" i="14"/>
  <c r="O27" i="14"/>
  <c r="N17" i="3"/>
  <c r="N29" i="3"/>
  <c r="O8" i="14"/>
  <c r="N3" i="3"/>
  <c r="N10" i="3"/>
  <c r="N22" i="3"/>
  <c r="N5" i="3"/>
  <c r="N7" i="3"/>
  <c r="N8" i="3"/>
  <c r="N20" i="3"/>
  <c r="N32" i="3"/>
  <c r="N13" i="3"/>
  <c r="N25" i="3"/>
  <c r="N18" i="3"/>
  <c r="O29" i="14"/>
  <c r="N11" i="3"/>
  <c r="N23" i="3"/>
  <c r="N16" i="3"/>
  <c r="N28" i="3"/>
  <c r="O32" i="14"/>
  <c r="N14" i="3"/>
  <c r="N26" i="3"/>
  <c r="O5" i="14"/>
  <c r="N19" i="3"/>
  <c r="N31" i="3"/>
  <c r="O20" i="14"/>
  <c r="N12" i="3"/>
  <c r="N27" i="3"/>
  <c r="N24" i="3"/>
  <c r="O17" i="14"/>
  <c r="N21" i="3"/>
  <c r="N6" i="3"/>
  <c r="N9" i="3"/>
  <c r="N30" i="3"/>
  <c r="N15" i="3"/>
  <c r="Z6" i="14"/>
  <c r="Z18" i="14"/>
  <c r="Z30" i="14"/>
  <c r="Y6" i="3"/>
  <c r="Z11" i="14"/>
  <c r="Z23" i="14"/>
  <c r="Z4" i="14"/>
  <c r="Z16" i="14"/>
  <c r="Z28" i="14"/>
  <c r="Y4" i="3"/>
  <c r="Z9" i="14"/>
  <c r="Z21" i="14"/>
  <c r="Z14" i="14"/>
  <c r="Z26" i="14"/>
  <c r="Z7" i="14"/>
  <c r="Z19" i="14"/>
  <c r="Z31" i="14"/>
  <c r="Z12" i="14"/>
  <c r="Z24" i="14"/>
  <c r="Z5" i="14"/>
  <c r="Z17" i="14"/>
  <c r="Z29" i="14"/>
  <c r="Y5" i="3"/>
  <c r="Z3" i="14"/>
  <c r="Z15" i="14"/>
  <c r="Z27" i="14"/>
  <c r="Y3" i="3"/>
  <c r="Z8" i="14"/>
  <c r="Z20" i="14"/>
  <c r="Z32" i="14"/>
  <c r="Z10" i="14"/>
  <c r="Y7" i="3"/>
  <c r="Y10" i="3"/>
  <c r="Y22" i="3"/>
  <c r="Z25" i="14"/>
  <c r="Y15" i="3"/>
  <c r="Y27" i="3"/>
  <c r="Z13" i="14"/>
  <c r="Y13" i="3"/>
  <c r="Y25" i="3"/>
  <c r="Y18" i="3"/>
  <c r="Y30" i="3"/>
  <c r="Y11" i="3"/>
  <c r="Y23" i="3"/>
  <c r="Y16" i="3"/>
  <c r="Y28" i="3"/>
  <c r="Y9" i="3"/>
  <c r="Y21" i="3"/>
  <c r="Y19" i="3"/>
  <c r="Y31" i="3"/>
  <c r="Z22" i="14"/>
  <c r="Y12" i="3"/>
  <c r="Y24" i="3"/>
  <c r="Y20" i="3"/>
  <c r="Y8" i="3"/>
  <c r="Y17" i="3"/>
  <c r="Y32" i="3"/>
  <c r="Y29" i="3"/>
  <c r="Y14" i="3"/>
  <c r="Y26" i="3"/>
  <c r="N6" i="14"/>
  <c r="N18" i="14"/>
  <c r="N30" i="14"/>
  <c r="M6" i="3"/>
  <c r="N11" i="14"/>
  <c r="N23" i="14"/>
  <c r="N4" i="14"/>
  <c r="N16" i="14"/>
  <c r="N28" i="14"/>
  <c r="M4" i="3"/>
  <c r="N9" i="14"/>
  <c r="N21" i="14"/>
  <c r="N14" i="14"/>
  <c r="N26" i="14"/>
  <c r="N7" i="14"/>
  <c r="N19" i="14"/>
  <c r="N31" i="14"/>
  <c r="N12" i="14"/>
  <c r="N24" i="14"/>
  <c r="N5" i="14"/>
  <c r="N17" i="14"/>
  <c r="N29" i="14"/>
  <c r="M5" i="3"/>
  <c r="N3" i="14"/>
  <c r="N15" i="14"/>
  <c r="N27" i="14"/>
  <c r="M3" i="3"/>
  <c r="N8" i="14"/>
  <c r="N20" i="14"/>
  <c r="N32" i="14"/>
  <c r="M10" i="3"/>
  <c r="M22" i="3"/>
  <c r="N13" i="14"/>
  <c r="M15" i="3"/>
  <c r="M27" i="3"/>
  <c r="M13" i="3"/>
  <c r="M25" i="3"/>
  <c r="M18" i="3"/>
  <c r="M30" i="3"/>
  <c r="M11" i="3"/>
  <c r="M23" i="3"/>
  <c r="M16" i="3"/>
  <c r="M28" i="3"/>
  <c r="M9" i="3"/>
  <c r="M21" i="3"/>
  <c r="M19" i="3"/>
  <c r="M31" i="3"/>
  <c r="N10" i="14"/>
  <c r="M12" i="3"/>
  <c r="M24" i="3"/>
  <c r="N25" i="14"/>
  <c r="M17" i="3"/>
  <c r="M8" i="3"/>
  <c r="M29" i="3"/>
  <c r="M26" i="3"/>
  <c r="M14" i="3"/>
  <c r="N22" i="14"/>
  <c r="M7" i="3"/>
  <c r="M20" i="3"/>
  <c r="M32" i="3"/>
  <c r="AM22" i="6"/>
  <c r="V70" i="5"/>
  <c r="S67" i="5"/>
  <c r="V55" i="5"/>
  <c r="W55" i="5"/>
  <c r="U103" i="5"/>
  <c r="G79" i="5"/>
  <c r="I115" i="5"/>
  <c r="S58" i="5"/>
  <c r="U100" i="5"/>
  <c r="S76" i="5"/>
  <c r="T58" i="5"/>
  <c r="I106" i="5"/>
  <c r="F109" i="5"/>
  <c r="U82" i="5"/>
  <c r="V100" i="5"/>
  <c r="H76" i="5"/>
  <c r="I58" i="5"/>
  <c r="S73" i="5"/>
  <c r="U79" i="5"/>
  <c r="T121" i="5"/>
  <c r="F121" i="5"/>
  <c r="G67" i="5"/>
  <c r="S64" i="5"/>
  <c r="F115" i="5"/>
  <c r="T100" i="5"/>
  <c r="G55" i="5"/>
  <c r="S109" i="5"/>
  <c r="G103" i="5"/>
  <c r="I64" i="5"/>
  <c r="T79" i="5"/>
  <c r="W70" i="5"/>
  <c r="V67" i="5"/>
  <c r="V103" i="5"/>
  <c r="G73" i="5"/>
  <c r="I55" i="5"/>
  <c r="T76" i="5"/>
  <c r="T106" i="5"/>
  <c r="F61" i="5"/>
  <c r="G109" i="5"/>
  <c r="T115" i="5"/>
  <c r="F118" i="5"/>
  <c r="I70" i="5"/>
  <c r="H58" i="5"/>
  <c r="J106" i="5"/>
  <c r="H94" i="5"/>
  <c r="W100" i="5"/>
  <c r="G106" i="5"/>
  <c r="U70" i="5"/>
  <c r="W106" i="5"/>
  <c r="I112" i="5"/>
  <c r="G118" i="5"/>
  <c r="F112" i="5"/>
  <c r="J52" i="5"/>
  <c r="F64" i="5"/>
  <c r="U121" i="5"/>
  <c r="S97" i="5"/>
  <c r="AK25" i="6"/>
  <c r="AR27" i="6"/>
  <c r="AC78" i="6"/>
  <c r="AQ27" i="6"/>
  <c r="AN23" i="6"/>
  <c r="AR26" i="6"/>
  <c r="AR21" i="6"/>
  <c r="AJ28" i="6"/>
  <c r="AK21" i="6"/>
  <c r="AP23" i="6"/>
  <c r="AK26" i="6"/>
  <c r="AM29" i="6"/>
  <c r="AJ26" i="6"/>
  <c r="AR25" i="6"/>
  <c r="AR28" i="6"/>
  <c r="AN27" i="6"/>
  <c r="AP25" i="6"/>
  <c r="AO23" i="6"/>
  <c r="AJ25" i="6"/>
  <c r="AM23" i="6"/>
  <c r="AI23" i="6"/>
  <c r="AK27" i="6"/>
  <c r="AL23" i="6"/>
  <c r="AN28" i="6"/>
  <c r="AJ27" i="6"/>
  <c r="AR22" i="6"/>
  <c r="AQ24" i="6"/>
  <c r="AQ29" i="6"/>
  <c r="AM28" i="6"/>
  <c r="AP24" i="6"/>
  <c r="AQ22" i="6"/>
  <c r="AP28" i="6"/>
  <c r="AP29" i="6"/>
  <c r="AL27" i="6"/>
  <c r="AL28" i="6"/>
  <c r="AL22" i="6"/>
  <c r="AN26" i="6"/>
  <c r="AM26" i="6"/>
  <c r="AK22" i="6"/>
  <c r="AP27" i="6"/>
  <c r="AQ23" i="6"/>
  <c r="AI22" i="6"/>
  <c r="AI21" i="6"/>
  <c r="AQ25" i="6"/>
  <c r="AN24" i="6"/>
  <c r="AK23" i="6"/>
  <c r="AQ20" i="6"/>
  <c r="AI29" i="6"/>
  <c r="AI28" i="6"/>
  <c r="AN29" i="6"/>
  <c r="AK28" i="6"/>
  <c r="AQ26" i="6"/>
  <c r="AN25" i="6"/>
  <c r="AK24" i="6"/>
  <c r="AP22" i="6"/>
  <c r="AN20" i="6"/>
  <c r="AO20" i="6"/>
  <c r="AI27" i="6"/>
  <c r="AP26" i="6"/>
  <c r="AM25" i="6"/>
  <c r="AJ24" i="6"/>
  <c r="AO22" i="6"/>
  <c r="AP20" i="6"/>
  <c r="AI26" i="6"/>
  <c r="AL25" i="6"/>
  <c r="AN22" i="6"/>
  <c r="AI25" i="6"/>
  <c r="BU31" i="5"/>
  <c r="BS32" i="5" s="1"/>
  <c r="BU16" i="5"/>
  <c r="BS17" i="5" s="1"/>
  <c r="BU46" i="5"/>
  <c r="BS47" i="5" s="1"/>
  <c r="AQ21" i="6"/>
  <c r="AJ23" i="6"/>
  <c r="AP21" i="6"/>
  <c r="AM20" i="6"/>
  <c r="AO21" i="6"/>
  <c r="AL20" i="6"/>
  <c r="AN21" i="6"/>
  <c r="AK20" i="6"/>
  <c r="AM21" i="6"/>
  <c r="AJ20" i="6"/>
  <c r="AL21" i="6"/>
  <c r="AR20" i="6"/>
  <c r="R69" i="6"/>
  <c r="V69" i="6"/>
  <c r="W69" i="6"/>
  <c r="R70" i="6"/>
  <c r="S70" i="6"/>
  <c r="V70" i="6"/>
  <c r="W70" i="6"/>
  <c r="X70" i="6"/>
  <c r="R71" i="6"/>
  <c r="S71" i="6"/>
  <c r="V71" i="6"/>
  <c r="W71" i="6"/>
  <c r="X71" i="6"/>
  <c r="Y71" i="6"/>
  <c r="R72" i="6"/>
  <c r="S72" i="6"/>
  <c r="T72" i="6"/>
  <c r="U72" i="6"/>
  <c r="V72" i="6"/>
  <c r="W72" i="6"/>
  <c r="X72" i="6"/>
  <c r="Y72" i="6"/>
  <c r="Z72" i="6"/>
  <c r="R73" i="6"/>
  <c r="S73" i="6"/>
  <c r="T73" i="6"/>
  <c r="U73" i="6"/>
  <c r="V73" i="6"/>
  <c r="W73" i="6"/>
  <c r="X73" i="6"/>
  <c r="Y73" i="6"/>
  <c r="Z73" i="6"/>
  <c r="R74" i="6"/>
  <c r="V74" i="6"/>
  <c r="W74" i="6"/>
  <c r="R75" i="6"/>
  <c r="S75" i="6"/>
  <c r="V75" i="6"/>
  <c r="W75" i="6"/>
  <c r="X75" i="6"/>
  <c r="Y75" i="6"/>
  <c r="R76" i="6"/>
  <c r="S76" i="6"/>
  <c r="V76" i="6"/>
  <c r="W76" i="6"/>
  <c r="X76" i="6"/>
  <c r="Y76" i="6"/>
  <c r="Z76" i="6"/>
  <c r="R77" i="6"/>
  <c r="S77" i="6"/>
  <c r="V77" i="6"/>
  <c r="W77" i="6"/>
  <c r="X77" i="6"/>
  <c r="Y77" i="6"/>
  <c r="Z77" i="6"/>
  <c r="R78" i="6"/>
  <c r="S78" i="6"/>
  <c r="T78" i="6"/>
  <c r="U78" i="6"/>
  <c r="V78" i="6"/>
  <c r="W78" i="6"/>
  <c r="X78" i="6"/>
  <c r="Y78" i="6"/>
  <c r="Z78" i="6"/>
  <c r="Q70" i="6"/>
  <c r="Q71" i="6"/>
  <c r="Q72" i="6"/>
  <c r="Q73" i="6"/>
  <c r="Q74" i="6"/>
  <c r="Q75" i="6"/>
  <c r="Q76" i="6"/>
  <c r="Q77" i="6"/>
  <c r="Q78" i="6"/>
  <c r="Q69" i="6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" i="7"/>
  <c r="M86" i="6"/>
  <c r="R58" i="6"/>
  <c r="V58" i="6"/>
  <c r="W58" i="6"/>
  <c r="R59" i="6"/>
  <c r="S59" i="6"/>
  <c r="V59" i="6"/>
  <c r="W59" i="6"/>
  <c r="X59" i="6"/>
  <c r="R60" i="6"/>
  <c r="S60" i="6"/>
  <c r="V60" i="6"/>
  <c r="W60" i="6"/>
  <c r="X60" i="6"/>
  <c r="Y60" i="6"/>
  <c r="R61" i="6"/>
  <c r="S61" i="6"/>
  <c r="T61" i="6"/>
  <c r="U61" i="6"/>
  <c r="V61" i="6"/>
  <c r="W61" i="6"/>
  <c r="X61" i="6"/>
  <c r="Y61" i="6"/>
  <c r="Z61" i="6"/>
  <c r="R62" i="6"/>
  <c r="S62" i="6"/>
  <c r="T62" i="6"/>
  <c r="U62" i="6"/>
  <c r="V62" i="6"/>
  <c r="W62" i="6"/>
  <c r="X62" i="6"/>
  <c r="Y62" i="6"/>
  <c r="Z62" i="6"/>
  <c r="R63" i="6"/>
  <c r="V63" i="6"/>
  <c r="W63" i="6"/>
  <c r="R64" i="6"/>
  <c r="S64" i="6"/>
  <c r="V64" i="6"/>
  <c r="W64" i="6"/>
  <c r="X64" i="6"/>
  <c r="Y64" i="6"/>
  <c r="R65" i="6"/>
  <c r="S65" i="6"/>
  <c r="V65" i="6"/>
  <c r="W65" i="6"/>
  <c r="X65" i="6"/>
  <c r="Y65" i="6"/>
  <c r="Z65" i="6"/>
  <c r="R66" i="6"/>
  <c r="S66" i="6"/>
  <c r="V66" i="6"/>
  <c r="W66" i="6"/>
  <c r="X66" i="6"/>
  <c r="Y66" i="6"/>
  <c r="Z66" i="6"/>
  <c r="R67" i="6"/>
  <c r="S67" i="6"/>
  <c r="T67" i="6"/>
  <c r="U67" i="6"/>
  <c r="V67" i="6"/>
  <c r="W67" i="6"/>
  <c r="X67" i="6"/>
  <c r="Y67" i="6"/>
  <c r="Z67" i="6"/>
  <c r="Q59" i="6"/>
  <c r="Q60" i="6"/>
  <c r="Q61" i="6"/>
  <c r="Q62" i="6"/>
  <c r="Q63" i="6"/>
  <c r="Q64" i="6"/>
  <c r="Q65" i="6"/>
  <c r="Q66" i="6"/>
  <c r="Q67" i="6"/>
  <c r="Z131" i="14" l="1"/>
  <c r="Z100" i="14"/>
  <c r="Z69" i="14"/>
  <c r="O152" i="14"/>
  <c r="O121" i="14"/>
  <c r="O90" i="14"/>
  <c r="AB155" i="14"/>
  <c r="AB124" i="14"/>
  <c r="AB93" i="14"/>
  <c r="Q143" i="14"/>
  <c r="Q81" i="14"/>
  <c r="Q112" i="14"/>
  <c r="AC149" i="14"/>
  <c r="AC118" i="14"/>
  <c r="AC87" i="14"/>
  <c r="G151" i="14"/>
  <c r="G120" i="14"/>
  <c r="G89" i="14"/>
  <c r="AE138" i="14"/>
  <c r="AE107" i="14"/>
  <c r="AE76" i="14"/>
  <c r="I148" i="14"/>
  <c r="I117" i="14"/>
  <c r="I86" i="14"/>
  <c r="AG145" i="14"/>
  <c r="AG114" i="14"/>
  <c r="AG83" i="14"/>
  <c r="H136" i="14"/>
  <c r="H105" i="14"/>
  <c r="H74" i="14"/>
  <c r="T99" i="14"/>
  <c r="T130" i="14"/>
  <c r="T68" i="14"/>
  <c r="AF140" i="14"/>
  <c r="AF78" i="14"/>
  <c r="AF109" i="14"/>
  <c r="F98" i="14"/>
  <c r="F129" i="14"/>
  <c r="F67" i="14"/>
  <c r="R152" i="14"/>
  <c r="R121" i="14"/>
  <c r="R90" i="14"/>
  <c r="AD133" i="14"/>
  <c r="AD102" i="14"/>
  <c r="AD71" i="14"/>
  <c r="X145" i="14"/>
  <c r="X114" i="14"/>
  <c r="X83" i="14"/>
  <c r="M128" i="14"/>
  <c r="M97" i="14"/>
  <c r="M66" i="14"/>
  <c r="J143" i="14"/>
  <c r="J112" i="14"/>
  <c r="J81" i="14"/>
  <c r="D146" i="14"/>
  <c r="D115" i="14"/>
  <c r="D84" i="14"/>
  <c r="D145" i="14"/>
  <c r="D114" i="14"/>
  <c r="D83" i="14"/>
  <c r="N150" i="14"/>
  <c r="N119" i="14"/>
  <c r="N88" i="14"/>
  <c r="N121" i="14"/>
  <c r="N152" i="14"/>
  <c r="N90" i="14"/>
  <c r="N134" i="14"/>
  <c r="N72" i="14"/>
  <c r="N103" i="14"/>
  <c r="Z132" i="14"/>
  <c r="Z101" i="14"/>
  <c r="Z70" i="14"/>
  <c r="Z135" i="14"/>
  <c r="Z104" i="14"/>
  <c r="Z73" i="14"/>
  <c r="O140" i="14"/>
  <c r="O78" i="14"/>
  <c r="O109" i="14"/>
  <c r="O146" i="14"/>
  <c r="O115" i="14"/>
  <c r="O84" i="14"/>
  <c r="P148" i="14"/>
  <c r="P86" i="14"/>
  <c r="P117" i="14"/>
  <c r="AB143" i="14"/>
  <c r="AB112" i="14"/>
  <c r="AB81" i="14"/>
  <c r="AB104" i="14"/>
  <c r="AB135" i="14"/>
  <c r="AB73" i="14"/>
  <c r="AA151" i="14"/>
  <c r="AA120" i="14"/>
  <c r="AA89" i="14"/>
  <c r="AA109" i="14"/>
  <c r="AA78" i="14"/>
  <c r="AA140" i="14"/>
  <c r="AA146" i="14"/>
  <c r="AA115" i="14"/>
  <c r="AA84" i="14"/>
  <c r="E133" i="14"/>
  <c r="E102" i="14"/>
  <c r="E71" i="14"/>
  <c r="Q132" i="14"/>
  <c r="Q101" i="14"/>
  <c r="Q70" i="14"/>
  <c r="AC154" i="14"/>
  <c r="AC123" i="14"/>
  <c r="AC92" i="14"/>
  <c r="AC137" i="14"/>
  <c r="AC106" i="14"/>
  <c r="AC75" i="14"/>
  <c r="G156" i="14"/>
  <c r="G125" i="14"/>
  <c r="G94" i="14"/>
  <c r="G139" i="14"/>
  <c r="G108" i="14"/>
  <c r="G77" i="14"/>
  <c r="G145" i="14"/>
  <c r="G83" i="14"/>
  <c r="G114" i="14"/>
  <c r="S143" i="14"/>
  <c r="S112" i="14"/>
  <c r="S81" i="14"/>
  <c r="S139" i="14"/>
  <c r="S108" i="14"/>
  <c r="S77" i="14"/>
  <c r="S145" i="14"/>
  <c r="S114" i="14"/>
  <c r="S83" i="14"/>
  <c r="AE139" i="14"/>
  <c r="AE108" i="14"/>
  <c r="AE77" i="14"/>
  <c r="AE145" i="14"/>
  <c r="AE83" i="14"/>
  <c r="AE114" i="14"/>
  <c r="I154" i="14"/>
  <c r="I123" i="14"/>
  <c r="I92" i="14"/>
  <c r="I136" i="14"/>
  <c r="I105" i="14"/>
  <c r="I74" i="14"/>
  <c r="AG133" i="14"/>
  <c r="AG102" i="14"/>
  <c r="AG71" i="14"/>
  <c r="AG134" i="14"/>
  <c r="AG72" i="14"/>
  <c r="AG103" i="14"/>
  <c r="AG107" i="14"/>
  <c r="AG138" i="14"/>
  <c r="AG76" i="14"/>
  <c r="H132" i="14"/>
  <c r="H101" i="14"/>
  <c r="H70" i="14"/>
  <c r="T149" i="14"/>
  <c r="T118" i="14"/>
  <c r="T87" i="14"/>
  <c r="AF142" i="14"/>
  <c r="AF111" i="14"/>
  <c r="AF80" i="14"/>
  <c r="AF131" i="14"/>
  <c r="AF100" i="14"/>
  <c r="AF69" i="14"/>
  <c r="U144" i="14"/>
  <c r="U113" i="14"/>
  <c r="U82" i="14"/>
  <c r="F127" i="14"/>
  <c r="F96" i="14"/>
  <c r="F65" i="14"/>
  <c r="F139" i="14"/>
  <c r="F108" i="14"/>
  <c r="F77" i="14"/>
  <c r="R140" i="14"/>
  <c r="R109" i="14"/>
  <c r="R78" i="14"/>
  <c r="R131" i="14"/>
  <c r="R100" i="14"/>
  <c r="R69" i="14"/>
  <c r="R99" i="14"/>
  <c r="R130" i="14"/>
  <c r="R68" i="14"/>
  <c r="AD151" i="14"/>
  <c r="AD120" i="14"/>
  <c r="AD89" i="14"/>
  <c r="AD130" i="14"/>
  <c r="AD99" i="14"/>
  <c r="AD68" i="14"/>
  <c r="V156" i="14"/>
  <c r="V125" i="14"/>
  <c r="V94" i="14"/>
  <c r="K151" i="14"/>
  <c r="K120" i="14"/>
  <c r="K89" i="14"/>
  <c r="K145" i="14"/>
  <c r="K114" i="14"/>
  <c r="K83" i="14"/>
  <c r="X139" i="14"/>
  <c r="X108" i="14"/>
  <c r="X77" i="14"/>
  <c r="X133" i="14"/>
  <c r="X102" i="14"/>
  <c r="X71" i="14"/>
  <c r="X132" i="14"/>
  <c r="X70" i="14"/>
  <c r="X101" i="14"/>
  <c r="L142" i="14"/>
  <c r="L111" i="14"/>
  <c r="L80" i="14"/>
  <c r="L150" i="14"/>
  <c r="L119" i="14"/>
  <c r="L88" i="14"/>
  <c r="L129" i="14"/>
  <c r="L98" i="14"/>
  <c r="L67" i="14"/>
  <c r="Y153" i="14"/>
  <c r="Y122" i="14"/>
  <c r="Y91" i="14"/>
  <c r="Y139" i="14"/>
  <c r="Y77" i="14"/>
  <c r="Y108" i="14"/>
  <c r="M153" i="14"/>
  <c r="M122" i="14"/>
  <c r="M91" i="14"/>
  <c r="M116" i="14"/>
  <c r="M147" i="14"/>
  <c r="M85" i="14"/>
  <c r="M96" i="14"/>
  <c r="M127" i="14"/>
  <c r="M65" i="14"/>
  <c r="J131" i="14"/>
  <c r="J100" i="14"/>
  <c r="J69" i="14"/>
  <c r="D141" i="14"/>
  <c r="D110" i="14"/>
  <c r="D79" i="14"/>
  <c r="D136" i="14"/>
  <c r="D105" i="14"/>
  <c r="D74" i="14"/>
  <c r="W153" i="14"/>
  <c r="W122" i="14"/>
  <c r="W91" i="14"/>
  <c r="W136" i="14"/>
  <c r="W105" i="14"/>
  <c r="W74" i="14"/>
  <c r="N146" i="14"/>
  <c r="N84" i="14"/>
  <c r="N115" i="14"/>
  <c r="Z147" i="14"/>
  <c r="Z116" i="14"/>
  <c r="Z85" i="14"/>
  <c r="O145" i="14"/>
  <c r="O114" i="14"/>
  <c r="O83" i="14"/>
  <c r="P143" i="14"/>
  <c r="P112" i="14"/>
  <c r="P81" i="14"/>
  <c r="AB141" i="14"/>
  <c r="AB110" i="14"/>
  <c r="AB79" i="14"/>
  <c r="AA152" i="14"/>
  <c r="AA121" i="14"/>
  <c r="AA90" i="14"/>
  <c r="E145" i="14"/>
  <c r="E114" i="14"/>
  <c r="E83" i="14"/>
  <c r="E34" i="14"/>
  <c r="E127" i="14"/>
  <c r="E96" i="14"/>
  <c r="E65" i="14"/>
  <c r="AC143" i="14"/>
  <c r="AC81" i="14"/>
  <c r="AC112" i="14"/>
  <c r="G130" i="14"/>
  <c r="G99" i="14"/>
  <c r="G68" i="14"/>
  <c r="S155" i="14"/>
  <c r="S124" i="14"/>
  <c r="S93" i="14"/>
  <c r="AG150" i="14"/>
  <c r="AG119" i="14"/>
  <c r="AG88" i="14"/>
  <c r="H137" i="14"/>
  <c r="H106" i="14"/>
  <c r="H75" i="14"/>
  <c r="U143" i="14"/>
  <c r="U112" i="14"/>
  <c r="U81" i="14"/>
  <c r="F151" i="14"/>
  <c r="F120" i="14"/>
  <c r="F89" i="14"/>
  <c r="R139" i="14"/>
  <c r="R108" i="14"/>
  <c r="R77" i="14"/>
  <c r="V130" i="14"/>
  <c r="V99" i="14"/>
  <c r="V68" i="14"/>
  <c r="X144" i="14"/>
  <c r="X82" i="14"/>
  <c r="X113" i="14"/>
  <c r="L143" i="14"/>
  <c r="L112" i="14"/>
  <c r="L81" i="14"/>
  <c r="Y140" i="14"/>
  <c r="Y109" i="14"/>
  <c r="Y78" i="14"/>
  <c r="W147" i="14"/>
  <c r="W116" i="14"/>
  <c r="W85" i="14"/>
  <c r="N153" i="14"/>
  <c r="N122" i="14"/>
  <c r="N91" i="14"/>
  <c r="N140" i="14"/>
  <c r="N109" i="14"/>
  <c r="N78" i="14"/>
  <c r="Z144" i="14"/>
  <c r="Z113" i="14"/>
  <c r="Z82" i="14"/>
  <c r="Z154" i="14"/>
  <c r="Z123" i="14"/>
  <c r="Z92" i="14"/>
  <c r="O148" i="14"/>
  <c r="O117" i="14"/>
  <c r="O86" i="14"/>
  <c r="O147" i="14"/>
  <c r="O116" i="14"/>
  <c r="O85" i="14"/>
  <c r="O134" i="14"/>
  <c r="O103" i="14"/>
  <c r="O72" i="14"/>
  <c r="P155" i="14"/>
  <c r="P124" i="14"/>
  <c r="P93" i="14"/>
  <c r="P149" i="14"/>
  <c r="P118" i="14"/>
  <c r="P87" i="14"/>
  <c r="P136" i="14"/>
  <c r="P74" i="14"/>
  <c r="P105" i="14"/>
  <c r="AB146" i="14"/>
  <c r="AB115" i="14"/>
  <c r="AB84" i="14"/>
  <c r="AB142" i="14"/>
  <c r="AB111" i="14"/>
  <c r="AB80" i="14"/>
  <c r="AB148" i="14"/>
  <c r="AB86" i="14"/>
  <c r="AB117" i="14"/>
  <c r="AA154" i="14"/>
  <c r="AA92" i="14"/>
  <c r="AA123" i="14"/>
  <c r="AA147" i="14"/>
  <c r="AA116" i="14"/>
  <c r="AA85" i="14"/>
  <c r="AA134" i="14"/>
  <c r="AA103" i="14"/>
  <c r="AA72" i="14"/>
  <c r="E129" i="14"/>
  <c r="E98" i="14"/>
  <c r="E67" i="14"/>
  <c r="E144" i="14"/>
  <c r="E113" i="14"/>
  <c r="E82" i="14"/>
  <c r="Q145" i="14"/>
  <c r="Q114" i="14"/>
  <c r="Q83" i="14"/>
  <c r="Q120" i="14"/>
  <c r="Q151" i="14"/>
  <c r="Q89" i="14"/>
  <c r="AC138" i="14"/>
  <c r="AC107" i="14"/>
  <c r="AC76" i="14"/>
  <c r="G140" i="14"/>
  <c r="G109" i="14"/>
  <c r="G78" i="14"/>
  <c r="G146" i="14"/>
  <c r="G115" i="14"/>
  <c r="G84" i="14"/>
  <c r="G133" i="14"/>
  <c r="G102" i="14"/>
  <c r="G71" i="14"/>
  <c r="S137" i="14"/>
  <c r="S106" i="14"/>
  <c r="S75" i="14"/>
  <c r="S131" i="14"/>
  <c r="S100" i="14"/>
  <c r="S69" i="14"/>
  <c r="S133" i="14"/>
  <c r="S71" i="14"/>
  <c r="S102" i="14"/>
  <c r="AE155" i="14"/>
  <c r="AE124" i="14"/>
  <c r="AE93" i="14"/>
  <c r="AE133" i="14"/>
  <c r="AE71" i="14"/>
  <c r="AE102" i="14"/>
  <c r="I149" i="14"/>
  <c r="I118" i="14"/>
  <c r="I87" i="14"/>
  <c r="AG154" i="14"/>
  <c r="AG123" i="14"/>
  <c r="AG92" i="14"/>
  <c r="AG152" i="14"/>
  <c r="AG121" i="14"/>
  <c r="AG90" i="14"/>
  <c r="H147" i="14"/>
  <c r="H116" i="14"/>
  <c r="H85" i="14"/>
  <c r="H100" i="14"/>
  <c r="H131" i="14"/>
  <c r="H69" i="14"/>
  <c r="H155" i="14"/>
  <c r="H124" i="14"/>
  <c r="H93" i="14"/>
  <c r="T113" i="14"/>
  <c r="T144" i="14"/>
  <c r="T82" i="14"/>
  <c r="T137" i="14"/>
  <c r="T106" i="14"/>
  <c r="T75" i="14"/>
  <c r="T148" i="14"/>
  <c r="T117" i="14"/>
  <c r="T86" i="14"/>
  <c r="AF156" i="14"/>
  <c r="AF125" i="14"/>
  <c r="AF94" i="14"/>
  <c r="AF149" i="14"/>
  <c r="AF118" i="14"/>
  <c r="AF87" i="14"/>
  <c r="AF99" i="14"/>
  <c r="AF130" i="14"/>
  <c r="AF68" i="14"/>
  <c r="U132" i="14"/>
  <c r="U101" i="14"/>
  <c r="U70" i="14"/>
  <c r="U150" i="14"/>
  <c r="U119" i="14"/>
  <c r="U88" i="14"/>
  <c r="U99" i="14"/>
  <c r="U130" i="14"/>
  <c r="U68" i="14"/>
  <c r="F152" i="14"/>
  <c r="F121" i="14"/>
  <c r="F90" i="14"/>
  <c r="R147" i="14"/>
  <c r="R85" i="14"/>
  <c r="R116" i="14"/>
  <c r="R98" i="14"/>
  <c r="R129" i="14"/>
  <c r="R67" i="14"/>
  <c r="AD152" i="14"/>
  <c r="AD121" i="14"/>
  <c r="AD90" i="14"/>
  <c r="AD139" i="14"/>
  <c r="AD108" i="14"/>
  <c r="AD77" i="14"/>
  <c r="V144" i="14"/>
  <c r="V113" i="14"/>
  <c r="V82" i="14"/>
  <c r="V119" i="14"/>
  <c r="V150" i="14"/>
  <c r="V88" i="14"/>
  <c r="K139" i="14"/>
  <c r="K108" i="14"/>
  <c r="K77" i="14"/>
  <c r="K133" i="14"/>
  <c r="K102" i="14"/>
  <c r="K71" i="14"/>
  <c r="K129" i="14"/>
  <c r="K98" i="14"/>
  <c r="K67" i="14"/>
  <c r="X146" i="14"/>
  <c r="X115" i="14"/>
  <c r="X84" i="14"/>
  <c r="X128" i="14"/>
  <c r="X97" i="14"/>
  <c r="X66" i="14"/>
  <c r="L156" i="14"/>
  <c r="L125" i="14"/>
  <c r="L94" i="14"/>
  <c r="L138" i="14"/>
  <c r="L107" i="14"/>
  <c r="L76" i="14"/>
  <c r="Y141" i="14"/>
  <c r="Y110" i="14"/>
  <c r="Y79" i="14"/>
  <c r="Y116" i="14"/>
  <c r="Y147" i="14"/>
  <c r="Y85" i="14"/>
  <c r="M141" i="14"/>
  <c r="M110" i="14"/>
  <c r="M79" i="14"/>
  <c r="M135" i="14"/>
  <c r="M104" i="14"/>
  <c r="M73" i="14"/>
  <c r="J156" i="14"/>
  <c r="J125" i="14"/>
  <c r="J94" i="14"/>
  <c r="J150" i="14"/>
  <c r="J119" i="14"/>
  <c r="J88" i="14"/>
  <c r="C11" i="8"/>
  <c r="D135" i="14"/>
  <c r="D73" i="14"/>
  <c r="D104" i="14"/>
  <c r="D151" i="14"/>
  <c r="D120" i="14"/>
  <c r="D89" i="14"/>
  <c r="W124" i="14"/>
  <c r="W155" i="14"/>
  <c r="W93" i="14"/>
  <c r="W142" i="14"/>
  <c r="W111" i="14"/>
  <c r="W80" i="14"/>
  <c r="N133" i="14"/>
  <c r="N102" i="14"/>
  <c r="N71" i="14"/>
  <c r="O98" i="14"/>
  <c r="O129" i="14"/>
  <c r="O67" i="14"/>
  <c r="P142" i="14"/>
  <c r="P111" i="14"/>
  <c r="P80" i="14"/>
  <c r="Q144" i="14"/>
  <c r="Q113" i="14"/>
  <c r="Q82" i="14"/>
  <c r="Q127" i="14"/>
  <c r="Q96" i="14"/>
  <c r="Q65" i="14"/>
  <c r="S138" i="14"/>
  <c r="S107" i="14"/>
  <c r="S76" i="14"/>
  <c r="AE151" i="14"/>
  <c r="AE120" i="14"/>
  <c r="AE89" i="14"/>
  <c r="I145" i="14"/>
  <c r="I114" i="14"/>
  <c r="I83" i="14"/>
  <c r="AG99" i="14"/>
  <c r="AG130" i="14"/>
  <c r="AG68" i="14"/>
  <c r="T141" i="14"/>
  <c r="T110" i="14"/>
  <c r="T79" i="14"/>
  <c r="AF154" i="14"/>
  <c r="AF92" i="14"/>
  <c r="AF123" i="14"/>
  <c r="AD98" i="14"/>
  <c r="AD67" i="14"/>
  <c r="AD129" i="14"/>
  <c r="X123" i="14"/>
  <c r="X154" i="14"/>
  <c r="X92" i="14"/>
  <c r="L96" i="14"/>
  <c r="L127" i="14"/>
  <c r="L65" i="14"/>
  <c r="Y151" i="14"/>
  <c r="Y89" i="14"/>
  <c r="Y120" i="14"/>
  <c r="M140" i="14"/>
  <c r="M109" i="14"/>
  <c r="M78" i="14"/>
  <c r="J132" i="14"/>
  <c r="J101" i="14"/>
  <c r="J70" i="14"/>
  <c r="N132" i="14"/>
  <c r="N101" i="14"/>
  <c r="N70" i="14"/>
  <c r="N147" i="14"/>
  <c r="N116" i="14"/>
  <c r="N85" i="14"/>
  <c r="Z148" i="14"/>
  <c r="Z117" i="14"/>
  <c r="Z86" i="14"/>
  <c r="Z142" i="14"/>
  <c r="Z111" i="14"/>
  <c r="Z80" i="14"/>
  <c r="O151" i="14"/>
  <c r="O120" i="14"/>
  <c r="O89" i="14"/>
  <c r="O135" i="14"/>
  <c r="O104" i="14"/>
  <c r="O73" i="14"/>
  <c r="O127" i="14"/>
  <c r="O96" i="14"/>
  <c r="O65" i="14"/>
  <c r="P146" i="14"/>
  <c r="P115" i="14"/>
  <c r="P84" i="14"/>
  <c r="P137" i="14"/>
  <c r="P106" i="14"/>
  <c r="P75" i="14"/>
  <c r="AB154" i="14"/>
  <c r="AB123" i="14"/>
  <c r="AB92" i="14"/>
  <c r="AB96" i="14"/>
  <c r="AB127" i="14"/>
  <c r="AB65" i="14"/>
  <c r="AB136" i="14"/>
  <c r="AB74" i="14"/>
  <c r="AB105" i="14"/>
  <c r="AA139" i="14"/>
  <c r="AA108" i="14"/>
  <c r="AA77" i="14"/>
  <c r="AA135" i="14"/>
  <c r="AA104" i="14"/>
  <c r="AA73" i="14"/>
  <c r="AA131" i="14"/>
  <c r="AA100" i="14"/>
  <c r="AA69" i="14"/>
  <c r="E152" i="14"/>
  <c r="E121" i="14"/>
  <c r="E90" i="14"/>
  <c r="E120" i="14"/>
  <c r="E151" i="14"/>
  <c r="E89" i="14"/>
  <c r="E130" i="14"/>
  <c r="E99" i="14"/>
  <c r="E68" i="14"/>
  <c r="Q133" i="14"/>
  <c r="Q102" i="14"/>
  <c r="Q71" i="14"/>
  <c r="Q139" i="14"/>
  <c r="Q108" i="14"/>
  <c r="Q77" i="14"/>
  <c r="Q99" i="14"/>
  <c r="Q130" i="14"/>
  <c r="Q68" i="14"/>
  <c r="AC129" i="14"/>
  <c r="AC98" i="14"/>
  <c r="AC67" i="14"/>
  <c r="AC144" i="14"/>
  <c r="AC113" i="14"/>
  <c r="AC82" i="14"/>
  <c r="AC99" i="14"/>
  <c r="AC68" i="14"/>
  <c r="AC130" i="14"/>
  <c r="G143" i="14"/>
  <c r="G112" i="14"/>
  <c r="G81" i="14"/>
  <c r="G134" i="14"/>
  <c r="G103" i="14"/>
  <c r="G72" i="14"/>
  <c r="S147" i="14"/>
  <c r="S116" i="14"/>
  <c r="S85" i="14"/>
  <c r="AE152" i="14"/>
  <c r="AE121" i="14"/>
  <c r="AE90" i="14"/>
  <c r="AE146" i="14"/>
  <c r="AE115" i="14"/>
  <c r="AE84" i="14"/>
  <c r="I137" i="14"/>
  <c r="I106" i="14"/>
  <c r="I75" i="14"/>
  <c r="I155" i="14"/>
  <c r="I124" i="14"/>
  <c r="I93" i="14"/>
  <c r="AG151" i="14"/>
  <c r="AG120" i="14"/>
  <c r="AG89" i="14"/>
  <c r="AG122" i="14"/>
  <c r="AG153" i="14"/>
  <c r="AG91" i="14"/>
  <c r="AG140" i="14"/>
  <c r="AG109" i="14"/>
  <c r="AG78" i="14"/>
  <c r="AG129" i="14"/>
  <c r="AG67" i="14"/>
  <c r="AG98" i="14"/>
  <c r="H138" i="14"/>
  <c r="H107" i="14"/>
  <c r="H76" i="14"/>
  <c r="H97" i="14"/>
  <c r="H128" i="14"/>
  <c r="H66" i="14"/>
  <c r="H112" i="14"/>
  <c r="H143" i="14"/>
  <c r="H81" i="14"/>
  <c r="H127" i="14"/>
  <c r="H96" i="14"/>
  <c r="H65" i="14"/>
  <c r="T147" i="14"/>
  <c r="T116" i="14"/>
  <c r="T85" i="14"/>
  <c r="T136" i="14"/>
  <c r="T105" i="14"/>
  <c r="T74" i="14"/>
  <c r="T96" i="14"/>
  <c r="T127" i="14"/>
  <c r="T65" i="14"/>
  <c r="AF150" i="14"/>
  <c r="AF119" i="14"/>
  <c r="AF88" i="14"/>
  <c r="AF137" i="14"/>
  <c r="AF106" i="14"/>
  <c r="AF75" i="14"/>
  <c r="AF117" i="14"/>
  <c r="AF148" i="14"/>
  <c r="AF86" i="14"/>
  <c r="AF96" i="14"/>
  <c r="AF127" i="14"/>
  <c r="AF65" i="14"/>
  <c r="U131" i="14"/>
  <c r="U100" i="14"/>
  <c r="U69" i="14"/>
  <c r="U146" i="14"/>
  <c r="U115" i="14"/>
  <c r="U84" i="14"/>
  <c r="U138" i="14"/>
  <c r="U107" i="14"/>
  <c r="U76" i="14"/>
  <c r="F155" i="14"/>
  <c r="F124" i="14"/>
  <c r="F93" i="14"/>
  <c r="F140" i="14"/>
  <c r="F109" i="14"/>
  <c r="F78" i="14"/>
  <c r="F146" i="14"/>
  <c r="F115" i="14"/>
  <c r="F84" i="14"/>
  <c r="R142" i="14"/>
  <c r="R111" i="14"/>
  <c r="R80" i="14"/>
  <c r="R135" i="14"/>
  <c r="R104" i="14"/>
  <c r="R73" i="14"/>
  <c r="R146" i="14"/>
  <c r="R115" i="14"/>
  <c r="R84" i="14"/>
  <c r="AD155" i="14"/>
  <c r="AD124" i="14"/>
  <c r="AD93" i="14"/>
  <c r="AD140" i="14"/>
  <c r="AD109" i="14"/>
  <c r="AD78" i="14"/>
  <c r="AD146" i="14"/>
  <c r="AD115" i="14"/>
  <c r="AD84" i="14"/>
  <c r="V132" i="14"/>
  <c r="V101" i="14"/>
  <c r="V70" i="14"/>
  <c r="V138" i="14"/>
  <c r="V107" i="14"/>
  <c r="V76" i="14"/>
  <c r="K152" i="14"/>
  <c r="K121" i="14"/>
  <c r="K90" i="14"/>
  <c r="X134" i="14"/>
  <c r="X103" i="14"/>
  <c r="X72" i="14"/>
  <c r="X152" i="14"/>
  <c r="X121" i="14"/>
  <c r="X90" i="14"/>
  <c r="L123" i="14"/>
  <c r="L154" i="14"/>
  <c r="L92" i="14"/>
  <c r="L130" i="14"/>
  <c r="L99" i="14"/>
  <c r="L68" i="14"/>
  <c r="L144" i="14"/>
  <c r="L82" i="14"/>
  <c r="L113" i="14"/>
  <c r="Y155" i="14"/>
  <c r="Y124" i="14"/>
  <c r="Y93" i="14"/>
  <c r="Y135" i="14"/>
  <c r="Y104" i="14"/>
  <c r="Y73" i="14"/>
  <c r="M149" i="14"/>
  <c r="M118" i="14"/>
  <c r="M87" i="14"/>
  <c r="M154" i="14"/>
  <c r="M123" i="14"/>
  <c r="M92" i="14"/>
  <c r="J144" i="14"/>
  <c r="J113" i="14"/>
  <c r="J82" i="14"/>
  <c r="J138" i="14"/>
  <c r="J107" i="14"/>
  <c r="J76" i="14"/>
  <c r="D154" i="14"/>
  <c r="D123" i="14"/>
  <c r="D92" i="14"/>
  <c r="D149" i="14"/>
  <c r="D118" i="14"/>
  <c r="D87" i="14"/>
  <c r="D142" i="14"/>
  <c r="D111" i="14"/>
  <c r="D80" i="14"/>
  <c r="W135" i="14"/>
  <c r="W104" i="14"/>
  <c r="W73" i="14"/>
  <c r="W143" i="14"/>
  <c r="W112" i="14"/>
  <c r="W81" i="14"/>
  <c r="W149" i="14"/>
  <c r="W87" i="14"/>
  <c r="W118" i="14"/>
  <c r="W96" i="14"/>
  <c r="W127" i="14"/>
  <c r="W65" i="14"/>
  <c r="W131" i="14"/>
  <c r="W100" i="14"/>
  <c r="W69" i="14"/>
  <c r="N138" i="14"/>
  <c r="N107" i="14"/>
  <c r="N76" i="14"/>
  <c r="Z141" i="14"/>
  <c r="Z110" i="14"/>
  <c r="Z79" i="14"/>
  <c r="AB147" i="14"/>
  <c r="AB116" i="14"/>
  <c r="AB85" i="14"/>
  <c r="AA148" i="14"/>
  <c r="AA117" i="14"/>
  <c r="AA86" i="14"/>
  <c r="E131" i="14"/>
  <c r="E100" i="14"/>
  <c r="E69" i="14"/>
  <c r="Q138" i="14"/>
  <c r="Q107" i="14"/>
  <c r="Q76" i="14"/>
  <c r="AC141" i="14"/>
  <c r="AC110" i="14"/>
  <c r="AC79" i="14"/>
  <c r="AC127" i="14"/>
  <c r="AC96" i="14"/>
  <c r="AC65" i="14"/>
  <c r="G138" i="14"/>
  <c r="G107" i="14"/>
  <c r="G76" i="14"/>
  <c r="S151" i="14"/>
  <c r="S120" i="14"/>
  <c r="S89" i="14"/>
  <c r="AE149" i="14"/>
  <c r="AE118" i="14"/>
  <c r="AE87" i="14"/>
  <c r="I135" i="14"/>
  <c r="I73" i="14"/>
  <c r="I104" i="14"/>
  <c r="AG146" i="14"/>
  <c r="AG115" i="14"/>
  <c r="AG84" i="14"/>
  <c r="H144" i="14"/>
  <c r="H113" i="14"/>
  <c r="H82" i="14"/>
  <c r="T140" i="14"/>
  <c r="T109" i="14"/>
  <c r="T78" i="14"/>
  <c r="AF141" i="14"/>
  <c r="AF110" i="14"/>
  <c r="AF79" i="14"/>
  <c r="U156" i="14"/>
  <c r="U125" i="14"/>
  <c r="U94" i="14"/>
  <c r="F130" i="14"/>
  <c r="F99" i="14"/>
  <c r="F68" i="14"/>
  <c r="R138" i="14"/>
  <c r="R76" i="14"/>
  <c r="R107" i="14"/>
  <c r="V143" i="14"/>
  <c r="V112" i="14"/>
  <c r="V81" i="14"/>
  <c r="K97" i="14"/>
  <c r="K66" i="14"/>
  <c r="K128" i="14"/>
  <c r="L137" i="14"/>
  <c r="L106" i="14"/>
  <c r="L75" i="14"/>
  <c r="Y131" i="14"/>
  <c r="Y100" i="14"/>
  <c r="Y69" i="14"/>
  <c r="W148" i="14"/>
  <c r="W117" i="14"/>
  <c r="W86" i="14"/>
  <c r="N141" i="14"/>
  <c r="N110" i="14"/>
  <c r="N79" i="14"/>
  <c r="N135" i="14"/>
  <c r="N104" i="14"/>
  <c r="N73" i="14"/>
  <c r="N130" i="14"/>
  <c r="N99" i="14"/>
  <c r="N68" i="14"/>
  <c r="Z136" i="14"/>
  <c r="Z105" i="14"/>
  <c r="Z74" i="14"/>
  <c r="Z149" i="14"/>
  <c r="Z118" i="14"/>
  <c r="Z87" i="14"/>
  <c r="Z130" i="14"/>
  <c r="Z99" i="14"/>
  <c r="Z68" i="14"/>
  <c r="O136" i="14"/>
  <c r="O105" i="14"/>
  <c r="O74" i="14"/>
  <c r="P125" i="14"/>
  <c r="P156" i="14"/>
  <c r="P94" i="14"/>
  <c r="AB134" i="14"/>
  <c r="AB103" i="14"/>
  <c r="AB72" i="14"/>
  <c r="AB149" i="14"/>
  <c r="AB118" i="14"/>
  <c r="AB87" i="14"/>
  <c r="AA136" i="14"/>
  <c r="AA105" i="14"/>
  <c r="AA74" i="14"/>
  <c r="AA142" i="14"/>
  <c r="AA111" i="14"/>
  <c r="AA80" i="14"/>
  <c r="E141" i="14"/>
  <c r="E110" i="14"/>
  <c r="E79" i="14"/>
  <c r="E140" i="14"/>
  <c r="E109" i="14"/>
  <c r="E78" i="14"/>
  <c r="E139" i="14"/>
  <c r="E108" i="14"/>
  <c r="E77" i="14"/>
  <c r="Q116" i="14"/>
  <c r="Q147" i="14"/>
  <c r="Q85" i="14"/>
  <c r="Q152" i="14"/>
  <c r="Q121" i="14"/>
  <c r="Q90" i="14"/>
  <c r="Q131" i="14"/>
  <c r="Q69" i="14"/>
  <c r="Q100" i="14"/>
  <c r="AC122" i="14"/>
  <c r="AC153" i="14"/>
  <c r="AC91" i="14"/>
  <c r="AC132" i="14"/>
  <c r="AC101" i="14"/>
  <c r="AC70" i="14"/>
  <c r="G137" i="14"/>
  <c r="G106" i="14"/>
  <c r="G75" i="14"/>
  <c r="G129" i="14"/>
  <c r="G98" i="14"/>
  <c r="G67" i="14"/>
  <c r="S135" i="14"/>
  <c r="S104" i="14"/>
  <c r="S73" i="14"/>
  <c r="S146" i="14"/>
  <c r="S115" i="14"/>
  <c r="S84" i="14"/>
  <c r="S129" i="14"/>
  <c r="S98" i="14"/>
  <c r="S67" i="14"/>
  <c r="AE134" i="14"/>
  <c r="AE103" i="14"/>
  <c r="AE72" i="14"/>
  <c r="AE129" i="14"/>
  <c r="AE98" i="14"/>
  <c r="AE67" i="14"/>
  <c r="I132" i="14"/>
  <c r="I101" i="14"/>
  <c r="I70" i="14"/>
  <c r="I143" i="14"/>
  <c r="I112" i="14"/>
  <c r="I81" i="14"/>
  <c r="I97" i="14"/>
  <c r="I128" i="14"/>
  <c r="I66" i="14"/>
  <c r="AG139" i="14"/>
  <c r="AG108" i="14"/>
  <c r="AG77" i="14"/>
  <c r="AG141" i="14"/>
  <c r="AG110" i="14"/>
  <c r="AG79" i="14"/>
  <c r="AG147" i="14"/>
  <c r="AG85" i="14"/>
  <c r="AG116" i="14"/>
  <c r="H151" i="14"/>
  <c r="H120" i="14"/>
  <c r="H89" i="14"/>
  <c r="H99" i="14"/>
  <c r="H130" i="14"/>
  <c r="H68" i="14"/>
  <c r="T150" i="14"/>
  <c r="T119" i="14"/>
  <c r="T88" i="14"/>
  <c r="T151" i="14"/>
  <c r="T120" i="14"/>
  <c r="T89" i="14"/>
  <c r="AF138" i="14"/>
  <c r="AF107" i="14"/>
  <c r="AF76" i="14"/>
  <c r="AF97" i="14"/>
  <c r="AF128" i="14"/>
  <c r="AF66" i="14"/>
  <c r="AF136" i="14"/>
  <c r="AF105" i="14"/>
  <c r="AF74" i="14"/>
  <c r="U154" i="14"/>
  <c r="U123" i="14"/>
  <c r="U92" i="14"/>
  <c r="U134" i="14"/>
  <c r="U103" i="14"/>
  <c r="U72" i="14"/>
  <c r="F136" i="14"/>
  <c r="F105" i="14"/>
  <c r="F74" i="14"/>
  <c r="F147" i="14"/>
  <c r="F116" i="14"/>
  <c r="F85" i="14"/>
  <c r="F134" i="14"/>
  <c r="F103" i="14"/>
  <c r="F72" i="14"/>
  <c r="R154" i="14"/>
  <c r="R123" i="14"/>
  <c r="R92" i="14"/>
  <c r="R134" i="14"/>
  <c r="R103" i="14"/>
  <c r="R72" i="14"/>
  <c r="AD111" i="14"/>
  <c r="AD142" i="14"/>
  <c r="AD80" i="14"/>
  <c r="AD147" i="14"/>
  <c r="AD116" i="14"/>
  <c r="AD85" i="14"/>
  <c r="AD134" i="14"/>
  <c r="AD103" i="14"/>
  <c r="AD72" i="14"/>
  <c r="V154" i="14"/>
  <c r="V123" i="14"/>
  <c r="V92" i="14"/>
  <c r="V151" i="14"/>
  <c r="V120" i="14"/>
  <c r="V89" i="14"/>
  <c r="V128" i="14"/>
  <c r="V66" i="14"/>
  <c r="V97" i="14"/>
  <c r="K110" i="14"/>
  <c r="K141" i="14"/>
  <c r="K79" i="14"/>
  <c r="K146" i="14"/>
  <c r="K115" i="14"/>
  <c r="K84" i="14"/>
  <c r="K140" i="14"/>
  <c r="K109" i="14"/>
  <c r="K78" i="14"/>
  <c r="K132" i="14"/>
  <c r="K101" i="14"/>
  <c r="K70" i="14"/>
  <c r="X131" i="14"/>
  <c r="X100" i="14"/>
  <c r="X69" i="14"/>
  <c r="X140" i="14"/>
  <c r="X109" i="14"/>
  <c r="X78" i="14"/>
  <c r="L148" i="14"/>
  <c r="L117" i="14"/>
  <c r="L86" i="14"/>
  <c r="L145" i="14"/>
  <c r="L114" i="14"/>
  <c r="L83" i="14"/>
  <c r="L132" i="14"/>
  <c r="L70" i="14"/>
  <c r="L101" i="14"/>
  <c r="Y99" i="14"/>
  <c r="Y130" i="14"/>
  <c r="Y68" i="14"/>
  <c r="Y148" i="14"/>
  <c r="Y117" i="14"/>
  <c r="Y86" i="14"/>
  <c r="Y96" i="14"/>
  <c r="Y127" i="14"/>
  <c r="Y65" i="14"/>
  <c r="M148" i="14"/>
  <c r="M117" i="14"/>
  <c r="M86" i="14"/>
  <c r="M111" i="14"/>
  <c r="M142" i="14"/>
  <c r="M80" i="14"/>
  <c r="J115" i="14"/>
  <c r="J146" i="14"/>
  <c r="J84" i="14"/>
  <c r="J128" i="14"/>
  <c r="J66" i="14"/>
  <c r="J97" i="14"/>
  <c r="J99" i="14"/>
  <c r="J130" i="14"/>
  <c r="J68" i="14"/>
  <c r="D155" i="14"/>
  <c r="D124" i="14"/>
  <c r="D93" i="14"/>
  <c r="D140" i="14"/>
  <c r="D78" i="14"/>
  <c r="D109" i="14"/>
  <c r="D147" i="14"/>
  <c r="D85" i="14"/>
  <c r="D116" i="14"/>
  <c r="W141" i="14"/>
  <c r="W110" i="14"/>
  <c r="W79" i="14"/>
  <c r="W150" i="14"/>
  <c r="W119" i="14"/>
  <c r="W88" i="14"/>
  <c r="W137" i="14"/>
  <c r="W75" i="14"/>
  <c r="W106" i="14"/>
  <c r="Z106" i="14"/>
  <c r="Z137" i="14"/>
  <c r="Z75" i="14"/>
  <c r="O142" i="14"/>
  <c r="O111" i="14"/>
  <c r="O80" i="14"/>
  <c r="P98" i="14"/>
  <c r="P129" i="14"/>
  <c r="P67" i="14"/>
  <c r="AC145" i="14"/>
  <c r="AC114" i="14"/>
  <c r="AC83" i="14"/>
  <c r="AE122" i="14"/>
  <c r="AE153" i="14"/>
  <c r="AE91" i="14"/>
  <c r="H156" i="14"/>
  <c r="H125" i="14"/>
  <c r="H94" i="14"/>
  <c r="T139" i="14"/>
  <c r="T108" i="14"/>
  <c r="T77" i="14"/>
  <c r="F142" i="14"/>
  <c r="F111" i="14"/>
  <c r="F80" i="14"/>
  <c r="R149" i="14"/>
  <c r="R118" i="14"/>
  <c r="R87" i="14"/>
  <c r="K134" i="14"/>
  <c r="K103" i="14"/>
  <c r="K72" i="14"/>
  <c r="Y143" i="14"/>
  <c r="Y112" i="14"/>
  <c r="Y81" i="14"/>
  <c r="J98" i="14"/>
  <c r="J129" i="14"/>
  <c r="J67" i="14"/>
  <c r="N148" i="14"/>
  <c r="N117" i="14"/>
  <c r="N86" i="14"/>
  <c r="N142" i="14"/>
  <c r="N111" i="14"/>
  <c r="N80" i="14"/>
  <c r="Z155" i="14"/>
  <c r="Z124" i="14"/>
  <c r="Z93" i="14"/>
  <c r="O155" i="14"/>
  <c r="O93" i="14"/>
  <c r="O124" i="14"/>
  <c r="O118" i="14"/>
  <c r="O149" i="14"/>
  <c r="O87" i="14"/>
  <c r="O141" i="14"/>
  <c r="O79" i="14"/>
  <c r="O110" i="14"/>
  <c r="P138" i="14"/>
  <c r="P107" i="14"/>
  <c r="P76" i="14"/>
  <c r="P132" i="14"/>
  <c r="P101" i="14"/>
  <c r="P70" i="14"/>
  <c r="AB150" i="14"/>
  <c r="AB119" i="14"/>
  <c r="AB88" i="14"/>
  <c r="AB125" i="14"/>
  <c r="AB156" i="14"/>
  <c r="AB94" i="14"/>
  <c r="AA155" i="14"/>
  <c r="AA124" i="14"/>
  <c r="AA93" i="14"/>
  <c r="AA118" i="14"/>
  <c r="AA87" i="14"/>
  <c r="AA149" i="14"/>
  <c r="E147" i="14"/>
  <c r="E116" i="14"/>
  <c r="E85" i="14"/>
  <c r="E154" i="14"/>
  <c r="E123" i="14"/>
  <c r="E92" i="14"/>
  <c r="E115" i="14"/>
  <c r="E146" i="14"/>
  <c r="E84" i="14"/>
  <c r="Q150" i="14"/>
  <c r="Q119" i="14"/>
  <c r="Q88" i="14"/>
  <c r="AC131" i="14"/>
  <c r="AC69" i="14"/>
  <c r="AC100" i="14"/>
  <c r="AC133" i="14"/>
  <c r="AC102" i="14"/>
  <c r="AC71" i="14"/>
  <c r="AC139" i="14"/>
  <c r="AC108" i="14"/>
  <c r="AC77" i="14"/>
  <c r="G147" i="14"/>
  <c r="G116" i="14"/>
  <c r="G85" i="14"/>
  <c r="G141" i="14"/>
  <c r="G110" i="14"/>
  <c r="G79" i="14"/>
  <c r="S142" i="14"/>
  <c r="S111" i="14"/>
  <c r="S80" i="14"/>
  <c r="S153" i="14"/>
  <c r="S122" i="14"/>
  <c r="S91" i="14"/>
  <c r="AE135" i="14"/>
  <c r="AE104" i="14"/>
  <c r="AE73" i="14"/>
  <c r="AE141" i="14"/>
  <c r="AE110" i="14"/>
  <c r="AE79" i="14"/>
  <c r="I156" i="14"/>
  <c r="I125" i="14"/>
  <c r="I94" i="14"/>
  <c r="I107" i="14"/>
  <c r="I76" i="14"/>
  <c r="I138" i="14"/>
  <c r="AG149" i="14"/>
  <c r="AG118" i="14"/>
  <c r="AG87" i="14"/>
  <c r="H150" i="14"/>
  <c r="H119" i="14"/>
  <c r="H88" i="14"/>
  <c r="T153" i="14"/>
  <c r="T122" i="14"/>
  <c r="T91" i="14"/>
  <c r="T100" i="14"/>
  <c r="T69" i="14"/>
  <c r="T131" i="14"/>
  <c r="T143" i="14"/>
  <c r="T112" i="14"/>
  <c r="T81" i="14"/>
  <c r="AF144" i="14"/>
  <c r="AF113" i="14"/>
  <c r="AF82" i="14"/>
  <c r="AF151" i="14"/>
  <c r="AF120" i="14"/>
  <c r="AF89" i="14"/>
  <c r="AF155" i="14"/>
  <c r="AF124" i="14"/>
  <c r="AF93" i="14"/>
  <c r="U145" i="14"/>
  <c r="U114" i="14"/>
  <c r="U83" i="14"/>
  <c r="U153" i="14"/>
  <c r="U122" i="14"/>
  <c r="U91" i="14"/>
  <c r="U147" i="14"/>
  <c r="U116" i="14"/>
  <c r="U85" i="14"/>
  <c r="F145" i="14"/>
  <c r="F114" i="14"/>
  <c r="F83" i="14"/>
  <c r="F153" i="14"/>
  <c r="F122" i="14"/>
  <c r="F91" i="14"/>
  <c r="F132" i="14"/>
  <c r="F101" i="14"/>
  <c r="F70" i="14"/>
  <c r="R136" i="14"/>
  <c r="R105" i="14"/>
  <c r="R74" i="14"/>
  <c r="R137" i="14"/>
  <c r="R75" i="14"/>
  <c r="R106" i="14"/>
  <c r="R153" i="14"/>
  <c r="R122" i="14"/>
  <c r="R91" i="14"/>
  <c r="AD145" i="14"/>
  <c r="AD114" i="14"/>
  <c r="AD83" i="14"/>
  <c r="AD141" i="14"/>
  <c r="AD110" i="14"/>
  <c r="AD79" i="14"/>
  <c r="V140" i="14"/>
  <c r="V109" i="14"/>
  <c r="V78" i="14"/>
  <c r="V131" i="14"/>
  <c r="V100" i="14"/>
  <c r="V69" i="14"/>
  <c r="V114" i="14"/>
  <c r="V145" i="14"/>
  <c r="V83" i="14"/>
  <c r="K144" i="14"/>
  <c r="K113" i="14"/>
  <c r="K82" i="14"/>
  <c r="K148" i="14"/>
  <c r="K117" i="14"/>
  <c r="K86" i="14"/>
  <c r="K142" i="14"/>
  <c r="K111" i="14"/>
  <c r="K80" i="14"/>
  <c r="X142" i="14"/>
  <c r="X111" i="14"/>
  <c r="X80" i="14"/>
  <c r="X153" i="14"/>
  <c r="X122" i="14"/>
  <c r="X91" i="14"/>
  <c r="X104" i="14"/>
  <c r="X135" i="14"/>
  <c r="X73" i="14"/>
  <c r="L139" i="14"/>
  <c r="L108" i="14"/>
  <c r="L77" i="14"/>
  <c r="L121" i="14"/>
  <c r="L90" i="14"/>
  <c r="L152" i="14"/>
  <c r="L128" i="14"/>
  <c r="L97" i="14"/>
  <c r="L66" i="14"/>
  <c r="Y98" i="14"/>
  <c r="Y129" i="14"/>
  <c r="Y67" i="14"/>
  <c r="Y150" i="14"/>
  <c r="Y119" i="14"/>
  <c r="Y88" i="14"/>
  <c r="Y111" i="14"/>
  <c r="Y142" i="14"/>
  <c r="Y80" i="14"/>
  <c r="M98" i="14"/>
  <c r="M129" i="14"/>
  <c r="M67" i="14"/>
  <c r="M150" i="14"/>
  <c r="M119" i="14"/>
  <c r="M88" i="14"/>
  <c r="M144" i="14"/>
  <c r="M113" i="14"/>
  <c r="M82" i="14"/>
  <c r="J155" i="14"/>
  <c r="J93" i="14"/>
  <c r="J124" i="14"/>
  <c r="J151" i="14"/>
  <c r="J120" i="14"/>
  <c r="J89" i="14"/>
  <c r="J102" i="14"/>
  <c r="J133" i="14"/>
  <c r="J71" i="14"/>
  <c r="D150" i="14"/>
  <c r="D119" i="14"/>
  <c r="D88" i="14"/>
  <c r="D143" i="14"/>
  <c r="D112" i="14"/>
  <c r="D81" i="14"/>
  <c r="D133" i="14"/>
  <c r="D102" i="14"/>
  <c r="D71" i="14"/>
  <c r="W144" i="14"/>
  <c r="W113" i="14"/>
  <c r="W82" i="14"/>
  <c r="W97" i="14"/>
  <c r="W128" i="14"/>
  <c r="W66" i="14"/>
  <c r="N96" i="14"/>
  <c r="N127" i="14"/>
  <c r="N65" i="14"/>
  <c r="Z96" i="14"/>
  <c r="Z127" i="14"/>
  <c r="Z65" i="14"/>
  <c r="Q156" i="14"/>
  <c r="Q94" i="14"/>
  <c r="Q125" i="14"/>
  <c r="AC116" i="14"/>
  <c r="AC147" i="14"/>
  <c r="AC85" i="14"/>
  <c r="S154" i="14"/>
  <c r="S123" i="14"/>
  <c r="S92" i="14"/>
  <c r="AE147" i="14"/>
  <c r="AE116" i="14"/>
  <c r="AE85" i="14"/>
  <c r="AG135" i="14"/>
  <c r="AG73" i="14"/>
  <c r="AG104" i="14"/>
  <c r="U129" i="14"/>
  <c r="U67" i="14"/>
  <c r="U98" i="14"/>
  <c r="V98" i="14"/>
  <c r="V129" i="14"/>
  <c r="V67" i="14"/>
  <c r="L151" i="14"/>
  <c r="L120" i="14"/>
  <c r="L89" i="14"/>
  <c r="Y136" i="14"/>
  <c r="Y105" i="14"/>
  <c r="Y74" i="14"/>
  <c r="W156" i="14"/>
  <c r="W125" i="14"/>
  <c r="W94" i="14"/>
  <c r="N136" i="14"/>
  <c r="N105" i="14"/>
  <c r="N74" i="14"/>
  <c r="N149" i="14"/>
  <c r="N118" i="14"/>
  <c r="N87" i="14"/>
  <c r="Z143" i="14"/>
  <c r="Z112" i="14"/>
  <c r="Z81" i="14"/>
  <c r="Z151" i="14"/>
  <c r="Z120" i="14"/>
  <c r="Z89" i="14"/>
  <c r="O143" i="14"/>
  <c r="O112" i="14"/>
  <c r="O81" i="14"/>
  <c r="O137" i="14"/>
  <c r="O106" i="14"/>
  <c r="O75" i="14"/>
  <c r="P145" i="14"/>
  <c r="P114" i="14"/>
  <c r="P83" i="14"/>
  <c r="P151" i="14"/>
  <c r="P120" i="14"/>
  <c r="P89" i="14"/>
  <c r="AB138" i="14"/>
  <c r="AB107" i="14"/>
  <c r="AB76" i="14"/>
  <c r="AB144" i="14"/>
  <c r="AB113" i="14"/>
  <c r="AB82" i="14"/>
  <c r="AA143" i="14"/>
  <c r="AA112" i="14"/>
  <c r="AA81" i="14"/>
  <c r="AA137" i="14"/>
  <c r="AA106" i="14"/>
  <c r="AA75" i="14"/>
  <c r="E150" i="14"/>
  <c r="E119" i="14"/>
  <c r="E88" i="14"/>
  <c r="E142" i="14"/>
  <c r="E111" i="14"/>
  <c r="E80" i="14"/>
  <c r="E103" i="14"/>
  <c r="E134" i="14"/>
  <c r="E72" i="14"/>
  <c r="Q122" i="14"/>
  <c r="Q153" i="14"/>
  <c r="Q91" i="14"/>
  <c r="Q154" i="14"/>
  <c r="Q123" i="14"/>
  <c r="Q92" i="14"/>
  <c r="Q115" i="14"/>
  <c r="Q146" i="14"/>
  <c r="Q84" i="14"/>
  <c r="AC155" i="14"/>
  <c r="AC124" i="14"/>
  <c r="AC93" i="14"/>
  <c r="AC146" i="14"/>
  <c r="AC115" i="14"/>
  <c r="AC84" i="14"/>
  <c r="G135" i="14"/>
  <c r="G104" i="14"/>
  <c r="G73" i="14"/>
  <c r="S130" i="14"/>
  <c r="S99" i="14"/>
  <c r="S68" i="14"/>
  <c r="S141" i="14"/>
  <c r="S110" i="14"/>
  <c r="S79" i="14"/>
  <c r="AE154" i="14"/>
  <c r="AE123" i="14"/>
  <c r="AE92" i="14"/>
  <c r="AE131" i="14"/>
  <c r="AE100" i="14"/>
  <c r="AE69" i="14"/>
  <c r="I144" i="14"/>
  <c r="I113" i="14"/>
  <c r="I82" i="14"/>
  <c r="AG137" i="14"/>
  <c r="AG106" i="14"/>
  <c r="AG75" i="14"/>
  <c r="AG148" i="14"/>
  <c r="AG117" i="14"/>
  <c r="AG86" i="14"/>
  <c r="H153" i="14"/>
  <c r="H122" i="14"/>
  <c r="H91" i="14"/>
  <c r="H146" i="14"/>
  <c r="H115" i="14"/>
  <c r="H84" i="14"/>
  <c r="H145" i="14"/>
  <c r="H114" i="14"/>
  <c r="H83" i="14"/>
  <c r="T132" i="14"/>
  <c r="T101" i="14"/>
  <c r="T70" i="14"/>
  <c r="T97" i="14"/>
  <c r="T128" i="14"/>
  <c r="T66" i="14"/>
  <c r="AF153" i="14"/>
  <c r="AF122" i="14"/>
  <c r="AF91" i="14"/>
  <c r="AF139" i="14"/>
  <c r="AF77" i="14"/>
  <c r="AF108" i="14"/>
  <c r="AF112" i="14"/>
  <c r="AF143" i="14"/>
  <c r="AF81" i="14"/>
  <c r="U133" i="14"/>
  <c r="U102" i="14"/>
  <c r="U71" i="14"/>
  <c r="U141" i="14"/>
  <c r="U110" i="14"/>
  <c r="U79" i="14"/>
  <c r="U135" i="14"/>
  <c r="U104" i="14"/>
  <c r="U73" i="14"/>
  <c r="F125" i="14"/>
  <c r="F156" i="14"/>
  <c r="F94" i="14"/>
  <c r="F149" i="14"/>
  <c r="F118" i="14"/>
  <c r="F87" i="14"/>
  <c r="F110" i="14"/>
  <c r="F141" i="14"/>
  <c r="F79" i="14"/>
  <c r="R145" i="14"/>
  <c r="R114" i="14"/>
  <c r="R83" i="14"/>
  <c r="R110" i="14"/>
  <c r="R79" i="14"/>
  <c r="R141" i="14"/>
  <c r="AD148" i="14"/>
  <c r="AD117" i="14"/>
  <c r="AD86" i="14"/>
  <c r="AD149" i="14"/>
  <c r="AD118" i="14"/>
  <c r="AD87" i="14"/>
  <c r="AD131" i="14"/>
  <c r="AD100" i="14"/>
  <c r="AD69" i="14"/>
  <c r="V155" i="14"/>
  <c r="V93" i="14"/>
  <c r="V124" i="14"/>
  <c r="V153" i="14"/>
  <c r="V122" i="14"/>
  <c r="V91" i="14"/>
  <c r="V133" i="14"/>
  <c r="V102" i="14"/>
  <c r="V71" i="14"/>
  <c r="K147" i="14"/>
  <c r="K116" i="14"/>
  <c r="K85" i="14"/>
  <c r="K136" i="14"/>
  <c r="K105" i="14"/>
  <c r="K74" i="14"/>
  <c r="X136" i="14"/>
  <c r="X105" i="14"/>
  <c r="X74" i="14"/>
  <c r="X141" i="14"/>
  <c r="X110" i="14"/>
  <c r="X79" i="14"/>
  <c r="L146" i="14"/>
  <c r="L115" i="14"/>
  <c r="L84" i="14"/>
  <c r="L140" i="14"/>
  <c r="L109" i="14"/>
  <c r="L78" i="14"/>
  <c r="Y156" i="14"/>
  <c r="Y125" i="14"/>
  <c r="Y94" i="14"/>
  <c r="Y138" i="14"/>
  <c r="Y107" i="14"/>
  <c r="Y76" i="14"/>
  <c r="M143" i="14"/>
  <c r="M112" i="14"/>
  <c r="M81" i="14"/>
  <c r="M138" i="14"/>
  <c r="M107" i="14"/>
  <c r="M76" i="14"/>
  <c r="M132" i="14"/>
  <c r="M101" i="14"/>
  <c r="M70" i="14"/>
  <c r="J149" i="14"/>
  <c r="J118" i="14"/>
  <c r="J87" i="14"/>
  <c r="J139" i="14"/>
  <c r="J108" i="14"/>
  <c r="J77" i="14"/>
  <c r="D148" i="14"/>
  <c r="D117" i="14"/>
  <c r="D86" i="14"/>
  <c r="D137" i="14"/>
  <c r="D106" i="14"/>
  <c r="D75" i="14"/>
  <c r="D144" i="14"/>
  <c r="D113" i="14"/>
  <c r="D82" i="14"/>
  <c r="W132" i="14"/>
  <c r="W101" i="14"/>
  <c r="W70" i="14"/>
  <c r="O153" i="14"/>
  <c r="O122" i="14"/>
  <c r="O91" i="14"/>
  <c r="P144" i="14"/>
  <c r="P113" i="14"/>
  <c r="P82" i="14"/>
  <c r="AB128" i="14"/>
  <c r="AB97" i="14"/>
  <c r="AB66" i="14"/>
  <c r="E155" i="14"/>
  <c r="E124" i="14"/>
  <c r="E93" i="14"/>
  <c r="G132" i="14"/>
  <c r="G101" i="14"/>
  <c r="G70" i="14"/>
  <c r="I150" i="14"/>
  <c r="I119" i="14"/>
  <c r="I88" i="14"/>
  <c r="U142" i="14"/>
  <c r="U111" i="14"/>
  <c r="U80" i="14"/>
  <c r="AD135" i="14"/>
  <c r="AD104" i="14"/>
  <c r="AD73" i="14"/>
  <c r="L131" i="14"/>
  <c r="L100" i="14"/>
  <c r="L69" i="14"/>
  <c r="J134" i="14"/>
  <c r="J103" i="14"/>
  <c r="J72" i="14"/>
  <c r="W99" i="14"/>
  <c r="W130" i="14"/>
  <c r="W68" i="14"/>
  <c r="N156" i="14"/>
  <c r="N125" i="14"/>
  <c r="N94" i="14"/>
  <c r="N106" i="14"/>
  <c r="N137" i="14"/>
  <c r="N75" i="14"/>
  <c r="Z119" i="14"/>
  <c r="Z150" i="14"/>
  <c r="Z88" i="14"/>
  <c r="Z114" i="14"/>
  <c r="Z145" i="14"/>
  <c r="Z83" i="14"/>
  <c r="Z139" i="14"/>
  <c r="Z108" i="14"/>
  <c r="Z77" i="14"/>
  <c r="O139" i="14"/>
  <c r="O108" i="14"/>
  <c r="O77" i="14"/>
  <c r="O156" i="14"/>
  <c r="O125" i="14"/>
  <c r="O94" i="14"/>
  <c r="P121" i="14"/>
  <c r="P152" i="14"/>
  <c r="P90" i="14"/>
  <c r="P133" i="14"/>
  <c r="P102" i="14"/>
  <c r="P71" i="14"/>
  <c r="P108" i="14"/>
  <c r="P139" i="14"/>
  <c r="P77" i="14"/>
  <c r="AB140" i="14"/>
  <c r="AB109" i="14"/>
  <c r="AB78" i="14"/>
  <c r="AB98" i="14"/>
  <c r="AB129" i="14"/>
  <c r="AB67" i="14"/>
  <c r="AB132" i="14"/>
  <c r="AB101" i="14"/>
  <c r="AB70" i="14"/>
  <c r="AA145" i="14"/>
  <c r="AA114" i="14"/>
  <c r="AA83" i="14"/>
  <c r="AA156" i="14"/>
  <c r="AA125" i="14"/>
  <c r="AA94" i="14"/>
  <c r="E135" i="14"/>
  <c r="E104" i="14"/>
  <c r="E73" i="14"/>
  <c r="E132" i="14"/>
  <c r="E101" i="14"/>
  <c r="E70" i="14"/>
  <c r="Q135" i="14"/>
  <c r="Q104" i="14"/>
  <c r="Q73" i="14"/>
  <c r="Q80" i="14"/>
  <c r="Q111" i="14"/>
  <c r="Q142" i="14"/>
  <c r="Q103" i="14"/>
  <c r="Q134" i="14"/>
  <c r="Q72" i="14"/>
  <c r="AC150" i="14"/>
  <c r="AC119" i="14"/>
  <c r="AC88" i="14"/>
  <c r="AC152" i="14"/>
  <c r="AC121" i="14"/>
  <c r="AC90" i="14"/>
  <c r="AC103" i="14"/>
  <c r="AC134" i="14"/>
  <c r="AC72" i="14"/>
  <c r="G118" i="14"/>
  <c r="G149" i="14"/>
  <c r="G87" i="14"/>
  <c r="G154" i="14"/>
  <c r="G123" i="14"/>
  <c r="G92" i="14"/>
  <c r="G148" i="14"/>
  <c r="G117" i="14"/>
  <c r="G86" i="14"/>
  <c r="G97" i="14"/>
  <c r="G128" i="14"/>
  <c r="G66" i="14"/>
  <c r="S156" i="14"/>
  <c r="S125" i="14"/>
  <c r="S94" i="14"/>
  <c r="S97" i="14"/>
  <c r="S128" i="14"/>
  <c r="S66" i="14"/>
  <c r="AE140" i="14"/>
  <c r="AE109" i="14"/>
  <c r="AE78" i="14"/>
  <c r="AE142" i="14"/>
  <c r="AE111" i="14"/>
  <c r="AE80" i="14"/>
  <c r="AE130" i="14"/>
  <c r="AE99" i="14"/>
  <c r="AE68" i="14"/>
  <c r="AE97" i="14"/>
  <c r="AE128" i="14"/>
  <c r="AE66" i="14"/>
  <c r="I120" i="14"/>
  <c r="I151" i="14"/>
  <c r="I89" i="14"/>
  <c r="I146" i="14"/>
  <c r="I115" i="14"/>
  <c r="I84" i="14"/>
  <c r="I99" i="14"/>
  <c r="I130" i="14"/>
  <c r="I68" i="14"/>
  <c r="AG156" i="14"/>
  <c r="AG125" i="14"/>
  <c r="AG94" i="14"/>
  <c r="AG136" i="14"/>
  <c r="AG105" i="14"/>
  <c r="AG74" i="14"/>
  <c r="AG97" i="14"/>
  <c r="AG128" i="14"/>
  <c r="AG66" i="14"/>
  <c r="H135" i="14"/>
  <c r="H104" i="14"/>
  <c r="H73" i="14"/>
  <c r="H134" i="14"/>
  <c r="H103" i="14"/>
  <c r="H72" i="14"/>
  <c r="H133" i="14"/>
  <c r="H102" i="14"/>
  <c r="H71" i="14"/>
  <c r="T156" i="14"/>
  <c r="T125" i="14"/>
  <c r="T94" i="14"/>
  <c r="T146" i="14"/>
  <c r="T115" i="14"/>
  <c r="T84" i="14"/>
  <c r="AF147" i="14"/>
  <c r="AF116" i="14"/>
  <c r="AF85" i="14"/>
  <c r="AF145" i="14"/>
  <c r="AF114" i="14"/>
  <c r="AF83" i="14"/>
  <c r="U151" i="14"/>
  <c r="U120" i="14"/>
  <c r="U89" i="14"/>
  <c r="U148" i="14"/>
  <c r="U117" i="14"/>
  <c r="U86" i="14"/>
  <c r="F154" i="14"/>
  <c r="F123" i="14"/>
  <c r="F92" i="14"/>
  <c r="F137" i="14"/>
  <c r="F106" i="14"/>
  <c r="F75" i="14"/>
  <c r="R148" i="14"/>
  <c r="R117" i="14"/>
  <c r="R86" i="14"/>
  <c r="R144" i="14"/>
  <c r="R113" i="14"/>
  <c r="R82" i="14"/>
  <c r="R127" i="14"/>
  <c r="R96" i="14"/>
  <c r="R65" i="14"/>
  <c r="AD156" i="14"/>
  <c r="AD125" i="14"/>
  <c r="AD94" i="14"/>
  <c r="AD137" i="14"/>
  <c r="AD75" i="14"/>
  <c r="AD106" i="14"/>
  <c r="AD143" i="14"/>
  <c r="AD112" i="14"/>
  <c r="AD81" i="14"/>
  <c r="V146" i="14"/>
  <c r="V115" i="14"/>
  <c r="V84" i="14"/>
  <c r="V141" i="14"/>
  <c r="V110" i="14"/>
  <c r="V79" i="14"/>
  <c r="K156" i="14"/>
  <c r="K125" i="14"/>
  <c r="K94" i="14"/>
  <c r="K143" i="14"/>
  <c r="K112" i="14"/>
  <c r="K81" i="14"/>
  <c r="K149" i="14"/>
  <c r="K87" i="14"/>
  <c r="K118" i="14"/>
  <c r="K96" i="14"/>
  <c r="K127" i="14"/>
  <c r="K65" i="14"/>
  <c r="K131" i="14"/>
  <c r="K100" i="14"/>
  <c r="K69" i="14"/>
  <c r="X155" i="14"/>
  <c r="X124" i="14"/>
  <c r="X93" i="14"/>
  <c r="X143" i="14"/>
  <c r="X112" i="14"/>
  <c r="X81" i="14"/>
  <c r="X96" i="14"/>
  <c r="X127" i="14"/>
  <c r="X65" i="14"/>
  <c r="L134" i="14"/>
  <c r="L103" i="14"/>
  <c r="L72" i="14"/>
  <c r="L147" i="14"/>
  <c r="L116" i="14"/>
  <c r="L85" i="14"/>
  <c r="Y146" i="14"/>
  <c r="Y115" i="14"/>
  <c r="Y84" i="14"/>
  <c r="Y145" i="14"/>
  <c r="Y114" i="14"/>
  <c r="Y83" i="14"/>
  <c r="M137" i="14"/>
  <c r="M106" i="14"/>
  <c r="M75" i="14"/>
  <c r="M99" i="14"/>
  <c r="M130" i="14"/>
  <c r="M68" i="14"/>
  <c r="M100" i="14"/>
  <c r="M131" i="14"/>
  <c r="M69" i="14"/>
  <c r="J121" i="14"/>
  <c r="J152" i="14"/>
  <c r="J90" i="14"/>
  <c r="J153" i="14"/>
  <c r="J122" i="14"/>
  <c r="J91" i="14"/>
  <c r="D153" i="14"/>
  <c r="D122" i="14"/>
  <c r="D91" i="14"/>
  <c r="D131" i="14"/>
  <c r="D100" i="14"/>
  <c r="D69" i="14"/>
  <c r="W151" i="14"/>
  <c r="W120" i="14"/>
  <c r="W89" i="14"/>
  <c r="W145" i="14"/>
  <c r="W114" i="14"/>
  <c r="W83" i="14"/>
  <c r="F169" i="14"/>
  <c r="U140" i="14"/>
  <c r="U109" i="14"/>
  <c r="U78" i="14"/>
  <c r="P150" i="14"/>
  <c r="P119" i="14"/>
  <c r="P88" i="14"/>
  <c r="AB137" i="14"/>
  <c r="AB106" i="14"/>
  <c r="AB75" i="14"/>
  <c r="AA127" i="14"/>
  <c r="AA96" i="14"/>
  <c r="AA65" i="14"/>
  <c r="Q140" i="14"/>
  <c r="Q109" i="14"/>
  <c r="Q78" i="14"/>
  <c r="AC151" i="14"/>
  <c r="AC120" i="14"/>
  <c r="AC89" i="14"/>
  <c r="G122" i="14"/>
  <c r="G153" i="14"/>
  <c r="G91" i="14"/>
  <c r="S134" i="14"/>
  <c r="S103" i="14"/>
  <c r="S72" i="14"/>
  <c r="AG142" i="14"/>
  <c r="AG111" i="14"/>
  <c r="AG80" i="14"/>
  <c r="T155" i="14"/>
  <c r="T124" i="14"/>
  <c r="T93" i="14"/>
  <c r="R156" i="14"/>
  <c r="R125" i="14"/>
  <c r="R94" i="14"/>
  <c r="AD136" i="14"/>
  <c r="AD105" i="14"/>
  <c r="AD74" i="14"/>
  <c r="V139" i="14"/>
  <c r="V108" i="14"/>
  <c r="V77" i="14"/>
  <c r="X147" i="14"/>
  <c r="X116" i="14"/>
  <c r="X85" i="14"/>
  <c r="L133" i="14"/>
  <c r="L102" i="14"/>
  <c r="L71" i="14"/>
  <c r="Y154" i="14"/>
  <c r="Y123" i="14"/>
  <c r="Y92" i="14"/>
  <c r="M136" i="14"/>
  <c r="M105" i="14"/>
  <c r="M74" i="14"/>
  <c r="J145" i="14"/>
  <c r="J114" i="14"/>
  <c r="J83" i="14"/>
  <c r="D139" i="14"/>
  <c r="D108" i="14"/>
  <c r="D77" i="14"/>
  <c r="N144" i="14"/>
  <c r="N113" i="14"/>
  <c r="N82" i="14"/>
  <c r="N155" i="14"/>
  <c r="N124" i="14"/>
  <c r="N93" i="14"/>
  <c r="N151" i="14"/>
  <c r="N120" i="14"/>
  <c r="N89" i="14"/>
  <c r="N98" i="14"/>
  <c r="N129" i="14"/>
  <c r="N67" i="14"/>
  <c r="Z138" i="14"/>
  <c r="Z107" i="14"/>
  <c r="Z76" i="14"/>
  <c r="Z133" i="14"/>
  <c r="Z102" i="14"/>
  <c r="Z71" i="14"/>
  <c r="Z98" i="14"/>
  <c r="Z129" i="14"/>
  <c r="Z67" i="14"/>
  <c r="O154" i="14"/>
  <c r="O92" i="14"/>
  <c r="O123" i="14"/>
  <c r="O150" i="14"/>
  <c r="O119" i="14"/>
  <c r="O88" i="14"/>
  <c r="O113" i="14"/>
  <c r="O144" i="14"/>
  <c r="O82" i="14"/>
  <c r="O128" i="14"/>
  <c r="O97" i="14"/>
  <c r="O66" i="14"/>
  <c r="P134" i="14"/>
  <c r="P103" i="14"/>
  <c r="P72" i="14"/>
  <c r="P96" i="14"/>
  <c r="P127" i="14"/>
  <c r="P65" i="14"/>
  <c r="P131" i="14"/>
  <c r="P100" i="14"/>
  <c r="P69" i="14"/>
  <c r="AB151" i="14"/>
  <c r="AB120" i="14"/>
  <c r="AB89" i="14"/>
  <c r="AB131" i="14"/>
  <c r="AB100" i="14"/>
  <c r="AB69" i="14"/>
  <c r="AA133" i="14"/>
  <c r="AA102" i="14"/>
  <c r="AA71" i="14"/>
  <c r="AA150" i="14"/>
  <c r="AA119" i="14"/>
  <c r="AA88" i="14"/>
  <c r="AA113" i="14"/>
  <c r="AA144" i="14"/>
  <c r="AA82" i="14"/>
  <c r="AA128" i="14"/>
  <c r="AA97" i="14"/>
  <c r="AA66" i="14"/>
  <c r="E156" i="14"/>
  <c r="E94" i="14"/>
  <c r="E125" i="14"/>
  <c r="E148" i="14"/>
  <c r="E117" i="14"/>
  <c r="E86" i="14"/>
  <c r="E128" i="14"/>
  <c r="E97" i="14"/>
  <c r="E66" i="14"/>
  <c r="Q155" i="14"/>
  <c r="Q124" i="14"/>
  <c r="Q93" i="14"/>
  <c r="Q149" i="14"/>
  <c r="Q118" i="14"/>
  <c r="Q87" i="14"/>
  <c r="Q148" i="14"/>
  <c r="Q117" i="14"/>
  <c r="Q86" i="14"/>
  <c r="AC135" i="14"/>
  <c r="AC104" i="14"/>
  <c r="AC73" i="14"/>
  <c r="AC140" i="14"/>
  <c r="AC109" i="14"/>
  <c r="AC78" i="14"/>
  <c r="AC148" i="14"/>
  <c r="AC117" i="14"/>
  <c r="AC86" i="14"/>
  <c r="G155" i="14"/>
  <c r="G124" i="14"/>
  <c r="G93" i="14"/>
  <c r="G142" i="14"/>
  <c r="G111" i="14"/>
  <c r="G80" i="14"/>
  <c r="G105" i="14"/>
  <c r="G136" i="14"/>
  <c r="G74" i="14"/>
  <c r="S118" i="14"/>
  <c r="S149" i="14"/>
  <c r="S87" i="14"/>
  <c r="S144" i="14"/>
  <c r="S113" i="14"/>
  <c r="S82" i="14"/>
  <c r="S148" i="14"/>
  <c r="S117" i="14"/>
  <c r="S86" i="14"/>
  <c r="AE156" i="14"/>
  <c r="AE125" i="14"/>
  <c r="AE94" i="14"/>
  <c r="AE148" i="14"/>
  <c r="AE117" i="14"/>
  <c r="AE86" i="14"/>
  <c r="I139" i="14"/>
  <c r="I108" i="14"/>
  <c r="I77" i="14"/>
  <c r="I134" i="14"/>
  <c r="I103" i="14"/>
  <c r="I72" i="14"/>
  <c r="I152" i="14"/>
  <c r="I121" i="14"/>
  <c r="I90" i="14"/>
  <c r="AG144" i="14"/>
  <c r="AG113" i="14"/>
  <c r="AG82" i="14"/>
  <c r="AG155" i="14"/>
  <c r="AG124" i="14"/>
  <c r="AG93" i="14"/>
  <c r="AG96" i="14"/>
  <c r="AG127" i="14"/>
  <c r="AG65" i="14"/>
  <c r="H154" i="14"/>
  <c r="H123" i="14"/>
  <c r="H92" i="14"/>
  <c r="H141" i="14"/>
  <c r="H110" i="14"/>
  <c r="H79" i="14"/>
  <c r="H152" i="14"/>
  <c r="H90" i="14"/>
  <c r="H121" i="14"/>
  <c r="T135" i="14"/>
  <c r="T104" i="14"/>
  <c r="T73" i="14"/>
  <c r="T134" i="14"/>
  <c r="T103" i="14"/>
  <c r="T72" i="14"/>
  <c r="T145" i="14"/>
  <c r="T114" i="14"/>
  <c r="T83" i="14"/>
  <c r="AF146" i="14"/>
  <c r="AF115" i="14"/>
  <c r="AF84" i="14"/>
  <c r="AF133" i="14"/>
  <c r="AF102" i="14"/>
  <c r="AF71" i="14"/>
  <c r="U108" i="14"/>
  <c r="U139" i="14"/>
  <c r="U77" i="14"/>
  <c r="U136" i="14"/>
  <c r="U105" i="14"/>
  <c r="U74" i="14"/>
  <c r="F148" i="14"/>
  <c r="F117" i="14"/>
  <c r="F86" i="14"/>
  <c r="F100" i="14"/>
  <c r="F131" i="14"/>
  <c r="F69" i="14"/>
  <c r="F143" i="14"/>
  <c r="F112" i="14"/>
  <c r="F81" i="14"/>
  <c r="R155" i="14"/>
  <c r="R124" i="14"/>
  <c r="R93" i="14"/>
  <c r="R132" i="14"/>
  <c r="R101" i="14"/>
  <c r="R70" i="14"/>
  <c r="R97" i="14"/>
  <c r="R128" i="14"/>
  <c r="R66" i="14"/>
  <c r="AD123" i="14"/>
  <c r="AD92" i="14"/>
  <c r="AD154" i="14"/>
  <c r="AD127" i="14"/>
  <c r="AD96" i="14"/>
  <c r="AD65" i="14"/>
  <c r="V149" i="14"/>
  <c r="V118" i="14"/>
  <c r="V87" i="14"/>
  <c r="V147" i="14"/>
  <c r="V116" i="14"/>
  <c r="V85" i="14"/>
  <c r="K154" i="14"/>
  <c r="K123" i="14"/>
  <c r="K92" i="14"/>
  <c r="K150" i="14"/>
  <c r="K88" i="14"/>
  <c r="K119" i="14"/>
  <c r="K137" i="14"/>
  <c r="K75" i="14"/>
  <c r="K106" i="14"/>
  <c r="X148" i="14"/>
  <c r="X117" i="14"/>
  <c r="X86" i="14"/>
  <c r="X129" i="14"/>
  <c r="X98" i="14"/>
  <c r="X67" i="14"/>
  <c r="X149" i="14"/>
  <c r="X118" i="14"/>
  <c r="X87" i="14"/>
  <c r="L135" i="14"/>
  <c r="L104" i="14"/>
  <c r="L73" i="14"/>
  <c r="Y137" i="14"/>
  <c r="Y106" i="14"/>
  <c r="Y75" i="14"/>
  <c r="Y133" i="14"/>
  <c r="Y102" i="14"/>
  <c r="Y71" i="14"/>
  <c r="Y144" i="14"/>
  <c r="Y113" i="14"/>
  <c r="Y82" i="14"/>
  <c r="M155" i="14"/>
  <c r="M124" i="14"/>
  <c r="M93" i="14"/>
  <c r="M145" i="14"/>
  <c r="M114" i="14"/>
  <c r="M83" i="14"/>
  <c r="J140" i="14"/>
  <c r="J109" i="14"/>
  <c r="J78" i="14"/>
  <c r="J141" i="14"/>
  <c r="J110" i="14"/>
  <c r="J79" i="14"/>
  <c r="J147" i="14"/>
  <c r="J116" i="14"/>
  <c r="J85" i="14"/>
  <c r="D129" i="14"/>
  <c r="D98" i="14"/>
  <c r="D67" i="14"/>
  <c r="D130" i="14"/>
  <c r="D99" i="14"/>
  <c r="D68" i="14"/>
  <c r="D128" i="14"/>
  <c r="D66" i="14"/>
  <c r="D97" i="14"/>
  <c r="W139" i="14"/>
  <c r="W108" i="14"/>
  <c r="W77" i="14"/>
  <c r="W133" i="14"/>
  <c r="W102" i="14"/>
  <c r="W71" i="14"/>
  <c r="W98" i="14"/>
  <c r="W129" i="14"/>
  <c r="W67" i="14"/>
  <c r="AA141" i="14"/>
  <c r="AA79" i="14"/>
  <c r="AA110" i="14"/>
  <c r="Q129" i="14"/>
  <c r="Q98" i="14"/>
  <c r="Q67" i="14"/>
  <c r="I131" i="14"/>
  <c r="I100" i="14"/>
  <c r="I69" i="14"/>
  <c r="AG131" i="14"/>
  <c r="AG100" i="14"/>
  <c r="AG69" i="14"/>
  <c r="H108" i="14"/>
  <c r="H139" i="14"/>
  <c r="H77" i="14"/>
  <c r="T138" i="14"/>
  <c r="T107" i="14"/>
  <c r="T76" i="14"/>
  <c r="U152" i="14"/>
  <c r="U121" i="14"/>
  <c r="U90" i="14"/>
  <c r="V121" i="14"/>
  <c r="V152" i="14"/>
  <c r="V90" i="14"/>
  <c r="K155" i="14"/>
  <c r="K124" i="14"/>
  <c r="K93" i="14"/>
  <c r="M156" i="14"/>
  <c r="M125" i="14"/>
  <c r="M94" i="14"/>
  <c r="D134" i="14"/>
  <c r="D103" i="14"/>
  <c r="D72" i="14"/>
  <c r="W138" i="14"/>
  <c r="W107" i="14"/>
  <c r="W76" i="14"/>
  <c r="N131" i="14"/>
  <c r="N100" i="14"/>
  <c r="N69" i="14"/>
  <c r="N143" i="14"/>
  <c r="N112" i="14"/>
  <c r="N81" i="14"/>
  <c r="N139" i="14"/>
  <c r="N108" i="14"/>
  <c r="N77" i="14"/>
  <c r="N128" i="14"/>
  <c r="N97" i="14"/>
  <c r="N66" i="14"/>
  <c r="Z153" i="14"/>
  <c r="Z122" i="14"/>
  <c r="Z91" i="14"/>
  <c r="Z152" i="14"/>
  <c r="Z121" i="14"/>
  <c r="Z90" i="14"/>
  <c r="Z146" i="14"/>
  <c r="Z84" i="14"/>
  <c r="Z115" i="14"/>
  <c r="Z128" i="14"/>
  <c r="Z97" i="14"/>
  <c r="Z66" i="14"/>
  <c r="O133" i="14"/>
  <c r="O102" i="14"/>
  <c r="O71" i="14"/>
  <c r="O138" i="14"/>
  <c r="O107" i="14"/>
  <c r="O76" i="14"/>
  <c r="O101" i="14"/>
  <c r="O132" i="14"/>
  <c r="O70" i="14"/>
  <c r="P154" i="14"/>
  <c r="P123" i="14"/>
  <c r="P92" i="14"/>
  <c r="P147" i="14"/>
  <c r="P116" i="14"/>
  <c r="P85" i="14"/>
  <c r="P153" i="14"/>
  <c r="P122" i="14"/>
  <c r="P91" i="14"/>
  <c r="AB152" i="14"/>
  <c r="AB121" i="14"/>
  <c r="AB90" i="14"/>
  <c r="AB145" i="14"/>
  <c r="AB114" i="14"/>
  <c r="AB83" i="14"/>
  <c r="AB108" i="14"/>
  <c r="AB77" i="14"/>
  <c r="AB139" i="14"/>
  <c r="AA138" i="14"/>
  <c r="AA107" i="14"/>
  <c r="AA76" i="14"/>
  <c r="AA101" i="14"/>
  <c r="AA132" i="14"/>
  <c r="AA70" i="14"/>
  <c r="E122" i="14"/>
  <c r="E153" i="14"/>
  <c r="E91" i="14"/>
  <c r="E149" i="14"/>
  <c r="E118" i="14"/>
  <c r="E87" i="14"/>
  <c r="E136" i="14"/>
  <c r="E105" i="14"/>
  <c r="E74" i="14"/>
  <c r="Q141" i="14"/>
  <c r="Q110" i="14"/>
  <c r="Q79" i="14"/>
  <c r="Q137" i="14"/>
  <c r="Q106" i="14"/>
  <c r="Q75" i="14"/>
  <c r="Q136" i="14"/>
  <c r="Q105" i="14"/>
  <c r="Q74" i="14"/>
  <c r="AC142" i="14"/>
  <c r="AC80" i="14"/>
  <c r="AC111" i="14"/>
  <c r="AC136" i="14"/>
  <c r="AC105" i="14"/>
  <c r="AC74" i="14"/>
  <c r="G131" i="14"/>
  <c r="G100" i="14"/>
  <c r="G69" i="14"/>
  <c r="G144" i="14"/>
  <c r="G113" i="14"/>
  <c r="G82" i="14"/>
  <c r="G127" i="14"/>
  <c r="G96" i="14"/>
  <c r="G65" i="14"/>
  <c r="S152" i="14"/>
  <c r="S121" i="14"/>
  <c r="S90" i="14"/>
  <c r="S70" i="14"/>
  <c r="S101" i="14"/>
  <c r="S132" i="14"/>
  <c r="S105" i="14"/>
  <c r="S136" i="14"/>
  <c r="S74" i="14"/>
  <c r="S127" i="14"/>
  <c r="S96" i="14"/>
  <c r="S65" i="14"/>
  <c r="AE143" i="14"/>
  <c r="AE112" i="14"/>
  <c r="AE81" i="14"/>
  <c r="AE144" i="14"/>
  <c r="AE113" i="14"/>
  <c r="AE82" i="14"/>
  <c r="AE136" i="14"/>
  <c r="AE105" i="14"/>
  <c r="AE74" i="14"/>
  <c r="AE127" i="14"/>
  <c r="AE96" i="14"/>
  <c r="AE65" i="14"/>
  <c r="I142" i="14"/>
  <c r="I111" i="14"/>
  <c r="I80" i="14"/>
  <c r="I122" i="14"/>
  <c r="I153" i="14"/>
  <c r="I91" i="14"/>
  <c r="I140" i="14"/>
  <c r="I109" i="14"/>
  <c r="I78" i="14"/>
  <c r="AG132" i="14"/>
  <c r="AG101" i="14"/>
  <c r="AG70" i="14"/>
  <c r="AG143" i="14"/>
  <c r="AG112" i="14"/>
  <c r="AG81" i="14"/>
  <c r="H142" i="14"/>
  <c r="H111" i="14"/>
  <c r="H80" i="14"/>
  <c r="H140" i="14"/>
  <c r="H78" i="14"/>
  <c r="H109" i="14"/>
  <c r="T154" i="14"/>
  <c r="T92" i="14"/>
  <c r="T123" i="14"/>
  <c r="T129" i="14"/>
  <c r="T98" i="14"/>
  <c r="T67" i="14"/>
  <c r="T133" i="14"/>
  <c r="T102" i="14"/>
  <c r="T71" i="14"/>
  <c r="AF135" i="14"/>
  <c r="AF104" i="14"/>
  <c r="AF73" i="14"/>
  <c r="AF134" i="14"/>
  <c r="AF103" i="14"/>
  <c r="AF72" i="14"/>
  <c r="AF129" i="14"/>
  <c r="AF98" i="14"/>
  <c r="AF67" i="14"/>
  <c r="U149" i="14"/>
  <c r="U118" i="14"/>
  <c r="U87" i="14"/>
  <c r="U97" i="14"/>
  <c r="U128" i="14"/>
  <c r="U66" i="14"/>
  <c r="F97" i="14"/>
  <c r="F128" i="14"/>
  <c r="F66" i="14"/>
  <c r="F150" i="14"/>
  <c r="F88" i="14"/>
  <c r="F119" i="14"/>
  <c r="R133" i="14"/>
  <c r="R102" i="14"/>
  <c r="R71" i="14"/>
  <c r="R143" i="14"/>
  <c r="R112" i="14"/>
  <c r="R81" i="14"/>
  <c r="AD144" i="14"/>
  <c r="AD113" i="14"/>
  <c r="AD82" i="14"/>
  <c r="AD150" i="14"/>
  <c r="AD88" i="14"/>
  <c r="AD119" i="14"/>
  <c r="V103" i="14"/>
  <c r="V134" i="14"/>
  <c r="V72" i="14"/>
  <c r="V148" i="14"/>
  <c r="V117" i="14"/>
  <c r="V86" i="14"/>
  <c r="V135" i="14"/>
  <c r="V104" i="14"/>
  <c r="V73" i="14"/>
  <c r="K122" i="14"/>
  <c r="K153" i="14"/>
  <c r="K91" i="14"/>
  <c r="K138" i="14"/>
  <c r="K107" i="14"/>
  <c r="K76" i="14"/>
  <c r="X151" i="14"/>
  <c r="X120" i="14"/>
  <c r="X89" i="14"/>
  <c r="X150" i="14"/>
  <c r="X119" i="14"/>
  <c r="X88" i="14"/>
  <c r="X137" i="14"/>
  <c r="X106" i="14"/>
  <c r="X75" i="14"/>
  <c r="L105" i="14"/>
  <c r="L136" i="14"/>
  <c r="L74" i="14"/>
  <c r="L153" i="14"/>
  <c r="L122" i="14"/>
  <c r="L91" i="14"/>
  <c r="Y149" i="14"/>
  <c r="Y118" i="14"/>
  <c r="Y87" i="14"/>
  <c r="Y128" i="14"/>
  <c r="Y97" i="14"/>
  <c r="Y66" i="14"/>
  <c r="Y132" i="14"/>
  <c r="Y101" i="14"/>
  <c r="Y70" i="14"/>
  <c r="M146" i="14"/>
  <c r="M115" i="14"/>
  <c r="M84" i="14"/>
  <c r="M133" i="14"/>
  <c r="M102" i="14"/>
  <c r="M71" i="14"/>
  <c r="M151" i="14"/>
  <c r="M89" i="14"/>
  <c r="M120" i="14"/>
  <c r="J154" i="14"/>
  <c r="J123" i="14"/>
  <c r="J92" i="14"/>
  <c r="J148" i="14"/>
  <c r="J117" i="14"/>
  <c r="J86" i="14"/>
  <c r="J135" i="14"/>
  <c r="J104" i="14"/>
  <c r="J73" i="14"/>
  <c r="D138" i="14"/>
  <c r="D107" i="14"/>
  <c r="D76" i="14"/>
  <c r="D127" i="14"/>
  <c r="D96" i="14"/>
  <c r="D65" i="14"/>
  <c r="W146" i="14"/>
  <c r="W115" i="14"/>
  <c r="W84" i="14"/>
  <c r="W152" i="14"/>
  <c r="W121" i="14"/>
  <c r="W90" i="14"/>
  <c r="N154" i="14"/>
  <c r="N123" i="14"/>
  <c r="N92" i="14"/>
  <c r="P128" i="14"/>
  <c r="P97" i="14"/>
  <c r="P66" i="14"/>
  <c r="I127" i="14"/>
  <c r="I96" i="14"/>
  <c r="I65" i="14"/>
  <c r="AF101" i="14"/>
  <c r="AF132" i="14"/>
  <c r="AF70" i="14"/>
  <c r="F135" i="14"/>
  <c r="F104" i="14"/>
  <c r="F73" i="14"/>
  <c r="AD153" i="14"/>
  <c r="AD122" i="14"/>
  <c r="AD91" i="14"/>
  <c r="D152" i="14"/>
  <c r="D121" i="14"/>
  <c r="D90" i="14"/>
  <c r="N145" i="14"/>
  <c r="N114" i="14"/>
  <c r="N83" i="14"/>
  <c r="Z156" i="14"/>
  <c r="Z125" i="14"/>
  <c r="Z94" i="14"/>
  <c r="Z140" i="14"/>
  <c r="Z109" i="14"/>
  <c r="Z78" i="14"/>
  <c r="Z134" i="14"/>
  <c r="Z72" i="14"/>
  <c r="Z103" i="14"/>
  <c r="O130" i="14"/>
  <c r="O99" i="14"/>
  <c r="O68" i="14"/>
  <c r="O131" i="14"/>
  <c r="O100" i="14"/>
  <c r="O69" i="14"/>
  <c r="P140" i="14"/>
  <c r="P109" i="14"/>
  <c r="P78" i="14"/>
  <c r="P135" i="14"/>
  <c r="P73" i="14"/>
  <c r="P104" i="14"/>
  <c r="P141" i="14"/>
  <c r="P110" i="14"/>
  <c r="P79" i="14"/>
  <c r="P130" i="14"/>
  <c r="P99" i="14"/>
  <c r="P68" i="14"/>
  <c r="AB153" i="14"/>
  <c r="AB122" i="14"/>
  <c r="AB91" i="14"/>
  <c r="AB133" i="14"/>
  <c r="AB102" i="14"/>
  <c r="AB71" i="14"/>
  <c r="AB130" i="14"/>
  <c r="AB99" i="14"/>
  <c r="AB68" i="14"/>
  <c r="AA153" i="14"/>
  <c r="AA122" i="14"/>
  <c r="AA91" i="14"/>
  <c r="AA98" i="14"/>
  <c r="AA129" i="14"/>
  <c r="AA67" i="14"/>
  <c r="AA130" i="14"/>
  <c r="AA99" i="14"/>
  <c r="AA68" i="14"/>
  <c r="E138" i="14"/>
  <c r="E107" i="14"/>
  <c r="E76" i="14"/>
  <c r="E137" i="14"/>
  <c r="E106" i="14"/>
  <c r="E75" i="14"/>
  <c r="E143" i="14"/>
  <c r="E112" i="14"/>
  <c r="E81" i="14"/>
  <c r="Q128" i="14"/>
  <c r="Q97" i="14"/>
  <c r="Q66" i="14"/>
  <c r="AC156" i="14"/>
  <c r="AC94" i="14"/>
  <c r="AC125" i="14"/>
  <c r="AC128" i="14"/>
  <c r="AC97" i="14"/>
  <c r="AC66" i="14"/>
  <c r="G152" i="14"/>
  <c r="G121" i="14"/>
  <c r="G90" i="14"/>
  <c r="G150" i="14"/>
  <c r="G119" i="14"/>
  <c r="G88" i="14"/>
  <c r="S140" i="14"/>
  <c r="S109" i="14"/>
  <c r="S78" i="14"/>
  <c r="S150" i="14"/>
  <c r="S119" i="14"/>
  <c r="S88" i="14"/>
  <c r="AE106" i="14"/>
  <c r="AE137" i="14"/>
  <c r="AE75" i="14"/>
  <c r="AE132" i="14"/>
  <c r="AE70" i="14"/>
  <c r="AE101" i="14"/>
  <c r="AE150" i="14"/>
  <c r="AE119" i="14"/>
  <c r="AE88" i="14"/>
  <c r="I133" i="14"/>
  <c r="I102" i="14"/>
  <c r="I71" i="14"/>
  <c r="I141" i="14"/>
  <c r="I110" i="14"/>
  <c r="I79" i="14"/>
  <c r="I147" i="14"/>
  <c r="I85" i="14"/>
  <c r="I116" i="14"/>
  <c r="I129" i="14"/>
  <c r="I98" i="14"/>
  <c r="I67" i="14"/>
  <c r="H149" i="14"/>
  <c r="H118" i="14"/>
  <c r="H87" i="14"/>
  <c r="H117" i="14"/>
  <c r="H86" i="14"/>
  <c r="H148" i="14"/>
  <c r="H129" i="14"/>
  <c r="H98" i="14"/>
  <c r="H67" i="14"/>
  <c r="T142" i="14"/>
  <c r="T111" i="14"/>
  <c r="T80" i="14"/>
  <c r="T152" i="14"/>
  <c r="T90" i="14"/>
  <c r="T121" i="14"/>
  <c r="AF152" i="14"/>
  <c r="AF90" i="14"/>
  <c r="AF121" i="14"/>
  <c r="U137" i="14"/>
  <c r="U106" i="14"/>
  <c r="U75" i="14"/>
  <c r="U155" i="14"/>
  <c r="U124" i="14"/>
  <c r="U93" i="14"/>
  <c r="U96" i="14"/>
  <c r="U127" i="14"/>
  <c r="U65" i="14"/>
  <c r="F133" i="14"/>
  <c r="F102" i="14"/>
  <c r="F71" i="14"/>
  <c r="F144" i="14"/>
  <c r="F113" i="14"/>
  <c r="F82" i="14"/>
  <c r="F138" i="14"/>
  <c r="F107" i="14"/>
  <c r="F76" i="14"/>
  <c r="R151" i="14"/>
  <c r="R120" i="14"/>
  <c r="R89" i="14"/>
  <c r="R150" i="14"/>
  <c r="R88" i="14"/>
  <c r="R119" i="14"/>
  <c r="AD97" i="14"/>
  <c r="AD128" i="14"/>
  <c r="AD66" i="14"/>
  <c r="AD132" i="14"/>
  <c r="AD101" i="14"/>
  <c r="AD70" i="14"/>
  <c r="AD138" i="14"/>
  <c r="AD76" i="14"/>
  <c r="AD107" i="14"/>
  <c r="V137" i="14"/>
  <c r="V106" i="14"/>
  <c r="V75" i="14"/>
  <c r="V136" i="14"/>
  <c r="V105" i="14"/>
  <c r="V74" i="14"/>
  <c r="V142" i="14"/>
  <c r="V80" i="14"/>
  <c r="V111" i="14"/>
  <c r="V127" i="14"/>
  <c r="V96" i="14"/>
  <c r="V65" i="14"/>
  <c r="K135" i="14"/>
  <c r="K104" i="14"/>
  <c r="K73" i="14"/>
  <c r="K99" i="14"/>
  <c r="K130" i="14"/>
  <c r="K68" i="14"/>
  <c r="X156" i="14"/>
  <c r="X125" i="14"/>
  <c r="X94" i="14"/>
  <c r="X138" i="14"/>
  <c r="X107" i="14"/>
  <c r="X76" i="14"/>
  <c r="X130" i="14"/>
  <c r="X99" i="14"/>
  <c r="X68" i="14"/>
  <c r="L155" i="14"/>
  <c r="L124" i="14"/>
  <c r="L93" i="14"/>
  <c r="L141" i="14"/>
  <c r="L110" i="14"/>
  <c r="L79" i="14"/>
  <c r="L149" i="14"/>
  <c r="L118" i="14"/>
  <c r="L87" i="14"/>
  <c r="Y134" i="14"/>
  <c r="Y103" i="14"/>
  <c r="Y72" i="14"/>
  <c r="Y152" i="14"/>
  <c r="Y121" i="14"/>
  <c r="Y90" i="14"/>
  <c r="M134" i="14"/>
  <c r="M103" i="14"/>
  <c r="M72" i="14"/>
  <c r="M152" i="14"/>
  <c r="M121" i="14"/>
  <c r="M90" i="14"/>
  <c r="M139" i="14"/>
  <c r="M77" i="14"/>
  <c r="M108" i="14"/>
  <c r="J137" i="14"/>
  <c r="J106" i="14"/>
  <c r="J75" i="14"/>
  <c r="J136" i="14"/>
  <c r="J105" i="14"/>
  <c r="J74" i="14"/>
  <c r="J142" i="14"/>
  <c r="J80" i="14"/>
  <c r="J111" i="14"/>
  <c r="J127" i="14"/>
  <c r="J96" i="14"/>
  <c r="J65" i="14"/>
  <c r="D132" i="14"/>
  <c r="D101" i="14"/>
  <c r="D70" i="14"/>
  <c r="D156" i="14"/>
  <c r="D125" i="14"/>
  <c r="D94" i="14"/>
  <c r="W154" i="14"/>
  <c r="W123" i="14"/>
  <c r="W92" i="14"/>
  <c r="W134" i="14"/>
  <c r="W103" i="14"/>
  <c r="W72" i="14"/>
  <c r="W109" i="14"/>
  <c r="W140" i="14"/>
  <c r="W78" i="14"/>
  <c r="N39" i="14"/>
  <c r="M8" i="12"/>
  <c r="M8" i="8"/>
  <c r="M8" i="11"/>
  <c r="M8" i="2"/>
  <c r="M8" i="9"/>
  <c r="N54" i="14"/>
  <c r="M23" i="12"/>
  <c r="M23" i="11"/>
  <c r="M23" i="8"/>
  <c r="M23" i="9"/>
  <c r="M23" i="2"/>
  <c r="Z55" i="14"/>
  <c r="Y24" i="11"/>
  <c r="Y24" i="8"/>
  <c r="Y24" i="12"/>
  <c r="Y24" i="9"/>
  <c r="Y24" i="2"/>
  <c r="Z49" i="14"/>
  <c r="Y18" i="12"/>
  <c r="Y18" i="8"/>
  <c r="Y18" i="2"/>
  <c r="Y18" i="11"/>
  <c r="Y18" i="9"/>
  <c r="O58" i="14"/>
  <c r="N27" i="9"/>
  <c r="N27" i="2"/>
  <c r="N27" i="12"/>
  <c r="N27" i="11"/>
  <c r="N27" i="8"/>
  <c r="O42" i="14"/>
  <c r="N11" i="8"/>
  <c r="N11" i="9"/>
  <c r="N11" i="12"/>
  <c r="N11" i="11"/>
  <c r="N11" i="2"/>
  <c r="O34" i="14"/>
  <c r="N3" i="12"/>
  <c r="N3" i="11"/>
  <c r="N3" i="8"/>
  <c r="N3" i="9"/>
  <c r="N3" i="2"/>
  <c r="P53" i="14"/>
  <c r="O22" i="11"/>
  <c r="O22" i="8"/>
  <c r="O22" i="12"/>
  <c r="O22" i="9"/>
  <c r="O22" i="2"/>
  <c r="P44" i="14"/>
  <c r="O13" i="2"/>
  <c r="O13" i="12"/>
  <c r="O13" i="11"/>
  <c r="O13" i="8"/>
  <c r="O13" i="9"/>
  <c r="AB61" i="14"/>
  <c r="AA30" i="8"/>
  <c r="AA30" i="9"/>
  <c r="AA30" i="2"/>
  <c r="AA30" i="12"/>
  <c r="AA30" i="11"/>
  <c r="AB34" i="14"/>
  <c r="AA3" i="11"/>
  <c r="AA3" i="2"/>
  <c r="AA3" i="8"/>
  <c r="AA3" i="9"/>
  <c r="AA3" i="12"/>
  <c r="AB43" i="14"/>
  <c r="AA12" i="12"/>
  <c r="AA12" i="11"/>
  <c r="AA12" i="8"/>
  <c r="AA12" i="9"/>
  <c r="AA12" i="2"/>
  <c r="AA46" i="14"/>
  <c r="Z15" i="9"/>
  <c r="Z15" i="12"/>
  <c r="Z15" i="11"/>
  <c r="Z15" i="8"/>
  <c r="Z15" i="2"/>
  <c r="AA42" i="14"/>
  <c r="Z11" i="12"/>
  <c r="Z11" i="8"/>
  <c r="Z11" i="2"/>
  <c r="Z11" i="11"/>
  <c r="Z11" i="9"/>
  <c r="AA38" i="14"/>
  <c r="Z7" i="2"/>
  <c r="Z7" i="12"/>
  <c r="Z7" i="11"/>
  <c r="Z7" i="8"/>
  <c r="Z7" i="9"/>
  <c r="E59" i="14"/>
  <c r="D28" i="2"/>
  <c r="D28" i="11"/>
  <c r="D28" i="8"/>
  <c r="D28" i="12"/>
  <c r="D28" i="9"/>
  <c r="E58" i="14"/>
  <c r="D27" i="8"/>
  <c r="D27" i="9"/>
  <c r="D27" i="2"/>
  <c r="D27" i="12"/>
  <c r="D27" i="11"/>
  <c r="E37" i="14"/>
  <c r="D6" i="12"/>
  <c r="D6" i="11"/>
  <c r="D6" i="8"/>
  <c r="D6" i="9"/>
  <c r="D6" i="2"/>
  <c r="Q40" i="14"/>
  <c r="P9" i="2"/>
  <c r="P9" i="12"/>
  <c r="P9" i="11"/>
  <c r="P9" i="8"/>
  <c r="P9" i="9"/>
  <c r="Q46" i="14"/>
  <c r="P15" i="11"/>
  <c r="P15" i="8"/>
  <c r="P15" i="9"/>
  <c r="P15" i="12"/>
  <c r="P15" i="2"/>
  <c r="Q37" i="14"/>
  <c r="P6" i="8"/>
  <c r="P6" i="9"/>
  <c r="P6" i="2"/>
  <c r="P6" i="12"/>
  <c r="P6" i="11"/>
  <c r="AC36" i="14"/>
  <c r="AB5" i="12"/>
  <c r="AB5" i="8"/>
  <c r="AB5" i="11"/>
  <c r="AB5" i="9"/>
  <c r="AB5" i="2"/>
  <c r="AC51" i="14"/>
  <c r="AB20" i="12"/>
  <c r="AB20" i="11"/>
  <c r="AB20" i="9"/>
  <c r="AB20" i="2"/>
  <c r="AB20" i="8"/>
  <c r="AC37" i="14"/>
  <c r="AB6" i="12"/>
  <c r="AB6" i="11"/>
  <c r="AB6" i="8"/>
  <c r="AB6" i="2"/>
  <c r="AB6" i="9"/>
  <c r="G50" i="14"/>
  <c r="F19" i="2"/>
  <c r="F19" i="12"/>
  <c r="F19" i="11"/>
  <c r="F19" i="8"/>
  <c r="F19" i="9"/>
  <c r="G41" i="14"/>
  <c r="F10" i="11"/>
  <c r="F10" i="8"/>
  <c r="F10" i="9"/>
  <c r="F10" i="12"/>
  <c r="F10" i="2"/>
  <c r="S54" i="14"/>
  <c r="R23" i="8"/>
  <c r="R23" i="9"/>
  <c r="R23" i="2"/>
  <c r="R23" i="12"/>
  <c r="R23" i="11"/>
  <c r="AE59" i="14"/>
  <c r="AD28" i="12"/>
  <c r="AD28" i="11"/>
  <c r="AD28" i="9"/>
  <c r="AD28" i="2"/>
  <c r="AD28" i="8"/>
  <c r="AE53" i="14"/>
  <c r="AD22" i="12"/>
  <c r="AD22" i="8"/>
  <c r="AD22" i="11"/>
  <c r="AD22" i="2"/>
  <c r="AD22" i="9"/>
  <c r="I44" i="14"/>
  <c r="H13" i="2"/>
  <c r="H13" i="12"/>
  <c r="H13" i="11"/>
  <c r="H13" i="8"/>
  <c r="H13" i="9"/>
  <c r="I62" i="14"/>
  <c r="H31" i="2"/>
  <c r="H31" i="8"/>
  <c r="H31" i="11"/>
  <c r="H31" i="9"/>
  <c r="H31" i="12"/>
  <c r="AG58" i="14"/>
  <c r="AF27" i="2"/>
  <c r="AF27" i="12"/>
  <c r="AF27" i="8"/>
  <c r="AF27" i="11"/>
  <c r="AF27" i="9"/>
  <c r="AG60" i="14"/>
  <c r="AF29" i="11"/>
  <c r="AF29" i="9"/>
  <c r="AF29" i="12"/>
  <c r="AF29" i="8"/>
  <c r="AF29" i="2"/>
  <c r="AG47" i="14"/>
  <c r="AF16" i="11"/>
  <c r="AF16" i="8"/>
  <c r="AF16" i="9"/>
  <c r="AF16" i="2"/>
  <c r="AF16" i="12"/>
  <c r="AG36" i="14"/>
  <c r="AF5" i="8"/>
  <c r="AF5" i="11"/>
  <c r="AF5" i="9"/>
  <c r="AF5" i="12"/>
  <c r="AF5" i="2"/>
  <c r="H45" i="14"/>
  <c r="G14" i="12"/>
  <c r="G14" i="11"/>
  <c r="G14" i="8"/>
  <c r="G14" i="9"/>
  <c r="G14" i="2"/>
  <c r="H35" i="14"/>
  <c r="G4" i="12"/>
  <c r="G4" i="11"/>
  <c r="G4" i="9"/>
  <c r="G4" i="2"/>
  <c r="G4" i="8"/>
  <c r="H50" i="14"/>
  <c r="G19" i="12"/>
  <c r="G19" i="11"/>
  <c r="G19" i="9"/>
  <c r="G19" i="8"/>
  <c r="G19" i="2"/>
  <c r="H34" i="14"/>
  <c r="G3" i="12"/>
  <c r="G3" i="11"/>
  <c r="G3" i="8"/>
  <c r="G3" i="9"/>
  <c r="G3" i="2"/>
  <c r="T54" i="14"/>
  <c r="S23" i="11"/>
  <c r="S23" i="8"/>
  <c r="S23" i="2"/>
  <c r="S23" i="9"/>
  <c r="S23" i="12"/>
  <c r="T43" i="14"/>
  <c r="S12" i="12"/>
  <c r="S12" i="11"/>
  <c r="S12" i="2"/>
  <c r="S12" i="8"/>
  <c r="S12" i="9"/>
  <c r="T34" i="14"/>
  <c r="S3" i="9"/>
  <c r="S3" i="2"/>
  <c r="S3" i="12"/>
  <c r="S3" i="8"/>
  <c r="S3" i="11"/>
  <c r="AF57" i="14"/>
  <c r="AE26" i="9"/>
  <c r="AE26" i="2"/>
  <c r="AE26" i="12"/>
  <c r="AE26" i="11"/>
  <c r="AE26" i="8"/>
  <c r="AF44" i="14"/>
  <c r="AE13" i="2"/>
  <c r="AE13" i="12"/>
  <c r="AE13" i="11"/>
  <c r="AE13" i="8"/>
  <c r="AE13" i="9"/>
  <c r="AF55" i="14"/>
  <c r="AE24" i="2"/>
  <c r="AE24" i="12"/>
  <c r="AE24" i="8"/>
  <c r="AE24" i="11"/>
  <c r="AE24" i="9"/>
  <c r="AF34" i="14"/>
  <c r="AE3" i="12"/>
  <c r="AE3" i="11"/>
  <c r="AE3" i="8"/>
  <c r="AE3" i="9"/>
  <c r="AE3" i="2"/>
  <c r="U38" i="14"/>
  <c r="T7" i="12"/>
  <c r="T7" i="11"/>
  <c r="T7" i="2"/>
  <c r="T7" i="8"/>
  <c r="T7" i="9"/>
  <c r="U53" i="14"/>
  <c r="T22" i="8"/>
  <c r="T22" i="11"/>
  <c r="T22" i="9"/>
  <c r="T22" i="2"/>
  <c r="T22" i="12"/>
  <c r="U45" i="14"/>
  <c r="T14" i="9"/>
  <c r="T14" i="2"/>
  <c r="T14" i="11"/>
  <c r="T14" i="8"/>
  <c r="T14" i="12"/>
  <c r="U37" i="14"/>
  <c r="T6" i="9"/>
  <c r="T6" i="2"/>
  <c r="T6" i="12"/>
  <c r="T6" i="11"/>
  <c r="T6" i="8"/>
  <c r="F59" i="14"/>
  <c r="E28" i="12"/>
  <c r="E28" i="8"/>
  <c r="E28" i="9"/>
  <c r="E28" i="2"/>
  <c r="E28" i="11"/>
  <c r="R54" i="14"/>
  <c r="Q23" i="2"/>
  <c r="Q23" i="8"/>
  <c r="Q23" i="9"/>
  <c r="Q23" i="12"/>
  <c r="Q23" i="11"/>
  <c r="R36" i="14"/>
  <c r="Q5" i="12"/>
  <c r="Q5" i="9"/>
  <c r="Q5" i="2"/>
  <c r="Q5" i="8"/>
  <c r="Q5" i="11"/>
  <c r="AD59" i="14"/>
  <c r="AC28" i="9"/>
  <c r="AC28" i="2"/>
  <c r="AC28" i="12"/>
  <c r="AC28" i="11"/>
  <c r="AC28" i="8"/>
  <c r="AD46" i="14"/>
  <c r="AC15" i="12"/>
  <c r="AC15" i="8"/>
  <c r="AC15" i="2"/>
  <c r="AC15" i="11"/>
  <c r="AC15" i="9"/>
  <c r="V51" i="14"/>
  <c r="U20" i="12"/>
  <c r="U20" i="8"/>
  <c r="U20" i="9"/>
  <c r="U20" i="2"/>
  <c r="U20" i="11"/>
  <c r="V57" i="14"/>
  <c r="U26" i="12"/>
  <c r="U26" i="11"/>
  <c r="U26" i="8"/>
  <c r="U26" i="9"/>
  <c r="U26" i="2"/>
  <c r="K46" i="14"/>
  <c r="J15" i="2"/>
  <c r="J15" i="12"/>
  <c r="J15" i="11"/>
  <c r="J15" i="8"/>
  <c r="J15" i="9"/>
  <c r="K40" i="14"/>
  <c r="J9" i="8"/>
  <c r="J9" i="11"/>
  <c r="J9" i="9"/>
  <c r="J9" i="12"/>
  <c r="J9" i="2"/>
  <c r="K36" i="14"/>
  <c r="J5" i="12"/>
  <c r="J5" i="2"/>
  <c r="J5" i="11"/>
  <c r="J5" i="8"/>
  <c r="J5" i="9"/>
  <c r="X53" i="14"/>
  <c r="W22" i="12"/>
  <c r="W22" i="11"/>
  <c r="W22" i="8"/>
  <c r="W22" i="9"/>
  <c r="W22" i="2"/>
  <c r="X35" i="14"/>
  <c r="W4" i="12"/>
  <c r="W4" i="11"/>
  <c r="W4" i="2"/>
  <c r="W4" i="8"/>
  <c r="W4" i="9"/>
  <c r="L63" i="14"/>
  <c r="K32" i="2"/>
  <c r="K32" i="11"/>
  <c r="K32" i="8"/>
  <c r="K32" i="9"/>
  <c r="K32" i="12"/>
  <c r="L45" i="14"/>
  <c r="K14" i="12"/>
  <c r="K14" i="8"/>
  <c r="K14" i="2"/>
  <c r="K14" i="11"/>
  <c r="K14" i="9"/>
  <c r="Y48" i="14"/>
  <c r="X17" i="2"/>
  <c r="X17" i="12"/>
  <c r="X17" i="8"/>
  <c r="X17" i="11"/>
  <c r="X17" i="9"/>
  <c r="Y54" i="14"/>
  <c r="X23" i="12"/>
  <c r="X23" i="2"/>
  <c r="X23" i="8"/>
  <c r="X23" i="9"/>
  <c r="X23" i="11"/>
  <c r="M48" i="14"/>
  <c r="L17" i="2"/>
  <c r="L17" i="8"/>
  <c r="L17" i="9"/>
  <c r="L17" i="12"/>
  <c r="L17" i="11"/>
  <c r="M42" i="14"/>
  <c r="L11" i="12"/>
  <c r="L11" i="8"/>
  <c r="L11" i="2"/>
  <c r="L11" i="11"/>
  <c r="L11" i="9"/>
  <c r="J63" i="14"/>
  <c r="I32" i="12"/>
  <c r="I32" i="11"/>
  <c r="I32" i="8"/>
  <c r="I32" i="9"/>
  <c r="I32" i="2"/>
  <c r="J57" i="14"/>
  <c r="I26" i="2"/>
  <c r="I26" i="11"/>
  <c r="I26" i="8"/>
  <c r="I26" i="9"/>
  <c r="I26" i="12"/>
  <c r="D42" i="14"/>
  <c r="C11" i="12"/>
  <c r="C11" i="11"/>
  <c r="C11" i="9"/>
  <c r="C11" i="2"/>
  <c r="D58" i="14"/>
  <c r="C27" i="2"/>
  <c r="C27" i="12"/>
  <c r="C27" i="11"/>
  <c r="C27" i="9"/>
  <c r="C27" i="8"/>
  <c r="W62" i="14"/>
  <c r="V31" i="12"/>
  <c r="V31" i="11"/>
  <c r="V31" i="8"/>
  <c r="V31" i="9"/>
  <c r="V31" i="2"/>
  <c r="W49" i="14"/>
  <c r="V18" i="2"/>
  <c r="V18" i="12"/>
  <c r="V18" i="8"/>
  <c r="V18" i="9"/>
  <c r="V18" i="11"/>
  <c r="N48" i="14"/>
  <c r="M17" i="11"/>
  <c r="M17" i="8"/>
  <c r="M17" i="9"/>
  <c r="M17" i="12"/>
  <c r="M17" i="2"/>
  <c r="N42" i="14"/>
  <c r="M11" i="11"/>
  <c r="M11" i="8"/>
  <c r="M11" i="9"/>
  <c r="M11" i="12"/>
  <c r="M11" i="2"/>
  <c r="N37" i="14"/>
  <c r="M6" i="12"/>
  <c r="M6" i="8"/>
  <c r="M6" i="2"/>
  <c r="M6" i="11"/>
  <c r="M6" i="9"/>
  <c r="Z43" i="14"/>
  <c r="Y12" i="2"/>
  <c r="Y12" i="12"/>
  <c r="Y12" i="11"/>
  <c r="Y12" i="8"/>
  <c r="Y12" i="9"/>
  <c r="Z56" i="14"/>
  <c r="Y25" i="12"/>
  <c r="Y25" i="11"/>
  <c r="Y25" i="8"/>
  <c r="Y25" i="9"/>
  <c r="Y25" i="2"/>
  <c r="Z37" i="14"/>
  <c r="Y6" i="11"/>
  <c r="Y6" i="8"/>
  <c r="Y6" i="9"/>
  <c r="Y6" i="12"/>
  <c r="Y6" i="2"/>
  <c r="O43" i="14"/>
  <c r="N12" i="11"/>
  <c r="N12" i="8"/>
  <c r="N12" i="9"/>
  <c r="N12" i="12"/>
  <c r="N12" i="2"/>
  <c r="P63" i="14"/>
  <c r="O32" i="12"/>
  <c r="O32" i="11"/>
  <c r="O32" i="8"/>
  <c r="O32" i="9"/>
  <c r="O32" i="2"/>
  <c r="AB41" i="14"/>
  <c r="AA10" i="12"/>
  <c r="AA10" i="8"/>
  <c r="AA10" i="11"/>
  <c r="AA10" i="2"/>
  <c r="AA10" i="9"/>
  <c r="AB56" i="14"/>
  <c r="AA25" i="12"/>
  <c r="AA25" i="8"/>
  <c r="AA25" i="9"/>
  <c r="AA25" i="2"/>
  <c r="AA25" i="11"/>
  <c r="AA43" i="14"/>
  <c r="Z12" i="12"/>
  <c r="Z12" i="11"/>
  <c r="Z12" i="8"/>
  <c r="Z12" i="9"/>
  <c r="Z12" i="2"/>
  <c r="AA49" i="14"/>
  <c r="Z18" i="12"/>
  <c r="Z18" i="11"/>
  <c r="Z18" i="9"/>
  <c r="Z18" i="2"/>
  <c r="Z18" i="8"/>
  <c r="E48" i="14"/>
  <c r="D17" i="8"/>
  <c r="D17" i="9"/>
  <c r="D17" i="12"/>
  <c r="D17" i="11"/>
  <c r="D17" i="2"/>
  <c r="E47" i="14"/>
  <c r="D16" i="2"/>
  <c r="D16" i="8"/>
  <c r="D16" i="9"/>
  <c r="D16" i="11"/>
  <c r="D16" i="12"/>
  <c r="E46" i="14"/>
  <c r="D15" i="2"/>
  <c r="D15" i="12"/>
  <c r="D15" i="8"/>
  <c r="D15" i="11"/>
  <c r="D15" i="9"/>
  <c r="Q54" i="14"/>
  <c r="P23" i="11"/>
  <c r="P23" i="8"/>
  <c r="P23" i="9"/>
  <c r="P23" i="12"/>
  <c r="P23" i="2"/>
  <c r="Q59" i="14"/>
  <c r="P28" i="12"/>
  <c r="P28" i="11"/>
  <c r="P28" i="8"/>
  <c r="P28" i="9"/>
  <c r="P28" i="2"/>
  <c r="Q38" i="14"/>
  <c r="P7" i="9"/>
  <c r="P7" i="2"/>
  <c r="P7" i="12"/>
  <c r="P7" i="8"/>
  <c r="P7" i="11"/>
  <c r="AC60" i="14"/>
  <c r="AB29" i="8"/>
  <c r="AB29" i="9"/>
  <c r="AB29" i="2"/>
  <c r="AB29" i="12"/>
  <c r="AB29" i="11"/>
  <c r="AC39" i="14"/>
  <c r="AB8" i="11"/>
  <c r="AB8" i="8"/>
  <c r="AB8" i="2"/>
  <c r="AB8" i="9"/>
  <c r="AB8" i="12"/>
  <c r="G44" i="14"/>
  <c r="F13" i="2"/>
  <c r="F13" i="9"/>
  <c r="F13" i="12"/>
  <c r="F13" i="8"/>
  <c r="F13" i="11"/>
  <c r="G36" i="14"/>
  <c r="F5" i="2"/>
  <c r="F5" i="12"/>
  <c r="F5" i="11"/>
  <c r="F5" i="8"/>
  <c r="F5" i="9"/>
  <c r="S42" i="14"/>
  <c r="R11" i="2"/>
  <c r="R11" i="12"/>
  <c r="R11" i="11"/>
  <c r="R11" i="8"/>
  <c r="R11" i="9"/>
  <c r="S53" i="14"/>
  <c r="R22" i="11"/>
  <c r="R22" i="9"/>
  <c r="R22" i="2"/>
  <c r="R22" i="12"/>
  <c r="R22" i="8"/>
  <c r="S36" i="14"/>
  <c r="R5" i="8"/>
  <c r="R5" i="11"/>
  <c r="R5" i="9"/>
  <c r="R5" i="12"/>
  <c r="R5" i="2"/>
  <c r="AE41" i="14"/>
  <c r="AD10" i="12"/>
  <c r="AD10" i="11"/>
  <c r="AD10" i="2"/>
  <c r="AD10" i="8"/>
  <c r="AD10" i="9"/>
  <c r="AE36" i="14"/>
  <c r="AD5" i="8"/>
  <c r="AD5" i="11"/>
  <c r="AD5" i="9"/>
  <c r="AD5" i="2"/>
  <c r="AD5" i="12"/>
  <c r="I39" i="14"/>
  <c r="H8" i="2"/>
  <c r="H8" i="11"/>
  <c r="H8" i="8"/>
  <c r="H8" i="9"/>
  <c r="H8" i="12"/>
  <c r="I50" i="14"/>
  <c r="H19" i="8"/>
  <c r="H19" i="11"/>
  <c r="H19" i="9"/>
  <c r="H19" i="12"/>
  <c r="H19" i="2"/>
  <c r="I35" i="14"/>
  <c r="H4" i="2"/>
  <c r="H4" i="12"/>
  <c r="H4" i="11"/>
  <c r="H4" i="8"/>
  <c r="H4" i="9"/>
  <c r="AG46" i="14"/>
  <c r="AF15" i="12"/>
  <c r="AF15" i="8"/>
  <c r="AF15" i="11"/>
  <c r="AF15" i="2"/>
  <c r="AF15" i="9"/>
  <c r="AG48" i="14"/>
  <c r="AF17" i="2"/>
  <c r="AF17" i="12"/>
  <c r="AF17" i="8"/>
  <c r="AF17" i="11"/>
  <c r="AF17" i="9"/>
  <c r="AG54" i="14"/>
  <c r="AF23" i="12"/>
  <c r="AF23" i="8"/>
  <c r="AF23" i="11"/>
  <c r="AF23" i="9"/>
  <c r="AF23" i="2"/>
  <c r="H58" i="14"/>
  <c r="G27" i="9"/>
  <c r="G27" i="2"/>
  <c r="G27" i="8"/>
  <c r="G27" i="11"/>
  <c r="G27" i="12"/>
  <c r="H37" i="14"/>
  <c r="G6" i="2"/>
  <c r="G6" i="8"/>
  <c r="G6" i="9"/>
  <c r="G6" i="12"/>
  <c r="G6" i="11"/>
  <c r="T57" i="14"/>
  <c r="S26" i="12"/>
  <c r="S26" i="8"/>
  <c r="S26" i="9"/>
  <c r="S26" i="2"/>
  <c r="S26" i="11"/>
  <c r="T58" i="14"/>
  <c r="S27" i="12"/>
  <c r="S27" i="8"/>
  <c r="S27" i="11"/>
  <c r="S27" i="9"/>
  <c r="S27" i="2"/>
  <c r="AF45" i="14"/>
  <c r="AE14" i="8"/>
  <c r="AE14" i="2"/>
  <c r="AE14" i="12"/>
  <c r="AE14" i="11"/>
  <c r="AE14" i="9"/>
  <c r="AF35" i="14"/>
  <c r="AE4" i="9"/>
  <c r="AE4" i="12"/>
  <c r="AE4" i="11"/>
  <c r="AE4" i="2"/>
  <c r="AE4" i="8"/>
  <c r="AF43" i="14"/>
  <c r="AE12" i="8"/>
  <c r="AE12" i="11"/>
  <c r="AE12" i="9"/>
  <c r="AE12" i="12"/>
  <c r="AE12" i="2"/>
  <c r="U61" i="14"/>
  <c r="T30" i="8"/>
  <c r="T30" i="9"/>
  <c r="T30" i="2"/>
  <c r="T30" i="12"/>
  <c r="T30" i="11"/>
  <c r="U41" i="14"/>
  <c r="T10" i="2"/>
  <c r="T10" i="8"/>
  <c r="T10" i="11"/>
  <c r="T10" i="9"/>
  <c r="T10" i="12"/>
  <c r="F62" i="14"/>
  <c r="E31" i="11"/>
  <c r="E31" i="8"/>
  <c r="E31" i="9"/>
  <c r="E31" i="12"/>
  <c r="E31" i="2"/>
  <c r="F47" i="14"/>
  <c r="E16" i="2"/>
  <c r="E16" i="8"/>
  <c r="E16" i="9"/>
  <c r="E16" i="11"/>
  <c r="E16" i="12"/>
  <c r="F53" i="14"/>
  <c r="E22" i="11"/>
  <c r="E22" i="12"/>
  <c r="E22" i="8"/>
  <c r="E22" i="9"/>
  <c r="E22" i="2"/>
  <c r="R49" i="14"/>
  <c r="Q18" i="12"/>
  <c r="Q18" i="8"/>
  <c r="Q18" i="11"/>
  <c r="Q18" i="2"/>
  <c r="Q18" i="9"/>
  <c r="R42" i="14"/>
  <c r="Q11" i="2"/>
  <c r="Q11" i="12"/>
  <c r="Q11" i="11"/>
  <c r="Q11" i="8"/>
  <c r="Q11" i="9"/>
  <c r="R53" i="14"/>
  <c r="Q22" i="12"/>
  <c r="Q22" i="11"/>
  <c r="Q22" i="8"/>
  <c r="Q22" i="9"/>
  <c r="Q22" i="2"/>
  <c r="AD62" i="14"/>
  <c r="AC31" i="12"/>
  <c r="AC31" i="11"/>
  <c r="AC31" i="8"/>
  <c r="AC31" i="9"/>
  <c r="AC31" i="2"/>
  <c r="AD47" i="14"/>
  <c r="AC16" i="2"/>
  <c r="AC16" i="12"/>
  <c r="AC16" i="11"/>
  <c r="AC16" i="8"/>
  <c r="AC16" i="9"/>
  <c r="AD53" i="14"/>
  <c r="AC22" i="8"/>
  <c r="AC22" i="11"/>
  <c r="AC22" i="9"/>
  <c r="AC22" i="12"/>
  <c r="AC22" i="2"/>
  <c r="V39" i="14"/>
  <c r="U8" i="2"/>
  <c r="U8" i="8"/>
  <c r="U8" i="9"/>
  <c r="U8" i="12"/>
  <c r="U8" i="11"/>
  <c r="V45" i="14"/>
  <c r="U14" i="8"/>
  <c r="U14" i="12"/>
  <c r="U14" i="11"/>
  <c r="U14" i="2"/>
  <c r="U14" i="9"/>
  <c r="K59" i="14"/>
  <c r="J28" i="11"/>
  <c r="J28" i="8"/>
  <c r="J28" i="12"/>
  <c r="J28" i="9"/>
  <c r="J28" i="2"/>
  <c r="X41" i="14"/>
  <c r="W10" i="2"/>
  <c r="W10" i="12"/>
  <c r="W10" i="11"/>
  <c r="W10" i="8"/>
  <c r="W10" i="9"/>
  <c r="X59" i="14"/>
  <c r="W28" i="12"/>
  <c r="W28" i="11"/>
  <c r="W28" i="8"/>
  <c r="W28" i="9"/>
  <c r="W28" i="2"/>
  <c r="L61" i="14"/>
  <c r="K30" i="8"/>
  <c r="K30" i="9"/>
  <c r="K30" i="12"/>
  <c r="K30" i="11"/>
  <c r="K30" i="2"/>
  <c r="L37" i="14"/>
  <c r="K6" i="8"/>
  <c r="K6" i="9"/>
  <c r="K6" i="12"/>
  <c r="K6" i="2"/>
  <c r="K6" i="11"/>
  <c r="L51" i="14"/>
  <c r="K20" i="12"/>
  <c r="K20" i="11"/>
  <c r="K20" i="8"/>
  <c r="K20" i="9"/>
  <c r="K20" i="2"/>
  <c r="Y62" i="14"/>
  <c r="X31" i="12"/>
  <c r="X31" i="11"/>
  <c r="X31" i="9"/>
  <c r="X31" i="2"/>
  <c r="X31" i="8"/>
  <c r="Y42" i="14"/>
  <c r="X11" i="11"/>
  <c r="X11" i="8"/>
  <c r="X11" i="9"/>
  <c r="X11" i="12"/>
  <c r="X11" i="2"/>
  <c r="M56" i="14"/>
  <c r="L25" i="8"/>
  <c r="L25" i="12"/>
  <c r="L25" i="11"/>
  <c r="L25" i="9"/>
  <c r="L25" i="2"/>
  <c r="M61" i="14"/>
  <c r="L30" i="8"/>
  <c r="L30" i="9"/>
  <c r="L30" i="12"/>
  <c r="L30" i="11"/>
  <c r="L30" i="2"/>
  <c r="J51" i="14"/>
  <c r="I20" i="12"/>
  <c r="I20" i="11"/>
  <c r="I20" i="8"/>
  <c r="I20" i="9"/>
  <c r="I20" i="2"/>
  <c r="J45" i="14"/>
  <c r="I14" i="11"/>
  <c r="I14" i="8"/>
  <c r="I14" i="9"/>
  <c r="I14" i="12"/>
  <c r="I14" i="2"/>
  <c r="D61" i="14"/>
  <c r="C30" i="11"/>
  <c r="C30" i="8"/>
  <c r="C30" i="9"/>
  <c r="C30" i="2"/>
  <c r="C30" i="12"/>
  <c r="D56" i="14"/>
  <c r="C25" i="2"/>
  <c r="C25" i="8"/>
  <c r="C25" i="11"/>
  <c r="C25" i="9"/>
  <c r="C25" i="12"/>
  <c r="D49" i="14"/>
  <c r="C18" i="12"/>
  <c r="C18" i="11"/>
  <c r="C18" i="9"/>
  <c r="C18" i="2"/>
  <c r="C18" i="8"/>
  <c r="W42" i="14"/>
  <c r="V11" i="8"/>
  <c r="V11" i="9"/>
  <c r="V11" i="2"/>
  <c r="V11" i="12"/>
  <c r="V11" i="11"/>
  <c r="W50" i="14"/>
  <c r="V19" i="11"/>
  <c r="V19" i="8"/>
  <c r="V19" i="9"/>
  <c r="V19" i="2"/>
  <c r="V19" i="12"/>
  <c r="W56" i="14"/>
  <c r="V25" i="11"/>
  <c r="V25" i="8"/>
  <c r="V25" i="12"/>
  <c r="V25" i="9"/>
  <c r="V25" i="2"/>
  <c r="W34" i="14"/>
  <c r="V3" i="2"/>
  <c r="V3" i="8"/>
  <c r="V3" i="9"/>
  <c r="V3" i="12"/>
  <c r="V3" i="11"/>
  <c r="W38" i="14"/>
  <c r="V7" i="2"/>
  <c r="V7" i="11"/>
  <c r="V7" i="9"/>
  <c r="V7" i="12"/>
  <c r="V7" i="8"/>
  <c r="AA56" i="14"/>
  <c r="Z25" i="12"/>
  <c r="Z25" i="8"/>
  <c r="Z25" i="11"/>
  <c r="Z25" i="9"/>
  <c r="Z25" i="2"/>
  <c r="N61" i="14"/>
  <c r="M30" i="12"/>
  <c r="M30" i="11"/>
  <c r="M30" i="9"/>
  <c r="M30" i="2"/>
  <c r="M30" i="8"/>
  <c r="N34" i="14"/>
  <c r="M3" i="8"/>
  <c r="M3" i="9"/>
  <c r="M3" i="2"/>
  <c r="M3" i="11"/>
  <c r="M3" i="12"/>
  <c r="Z44" i="14"/>
  <c r="Y13" i="8"/>
  <c r="Y13" i="12"/>
  <c r="Y13" i="11"/>
  <c r="Y13" i="9"/>
  <c r="Y13" i="2"/>
  <c r="Z34" i="14"/>
  <c r="Y3" i="2"/>
  <c r="Y3" i="12"/>
  <c r="Y3" i="8"/>
  <c r="Y3" i="9"/>
  <c r="Y3" i="11"/>
  <c r="O49" i="14"/>
  <c r="N18" i="12"/>
  <c r="N18" i="8"/>
  <c r="N18" i="11"/>
  <c r="N18" i="9"/>
  <c r="N18" i="2"/>
  <c r="O60" i="14"/>
  <c r="N29" i="12"/>
  <c r="N29" i="11"/>
  <c r="N29" i="8"/>
  <c r="N29" i="9"/>
  <c r="N29" i="2"/>
  <c r="P57" i="14"/>
  <c r="O26" i="9"/>
  <c r="O26" i="2"/>
  <c r="O26" i="12"/>
  <c r="O26" i="11"/>
  <c r="O26" i="8"/>
  <c r="P51" i="14"/>
  <c r="O20" i="8"/>
  <c r="O20" i="11"/>
  <c r="O20" i="9"/>
  <c r="O20" i="12"/>
  <c r="O20" i="2"/>
  <c r="P36" i="14"/>
  <c r="O5" i="12"/>
  <c r="O5" i="11"/>
  <c r="O5" i="8"/>
  <c r="O5" i="9"/>
  <c r="O5" i="2"/>
  <c r="P35" i="14"/>
  <c r="O4" i="9"/>
  <c r="O4" i="12"/>
  <c r="O4" i="2"/>
  <c r="O4" i="8"/>
  <c r="O4" i="11"/>
  <c r="AB44" i="14"/>
  <c r="AA13" i="8"/>
  <c r="AA13" i="11"/>
  <c r="AA13" i="2"/>
  <c r="AA13" i="9"/>
  <c r="AA13" i="12"/>
  <c r="AB35" i="14"/>
  <c r="AA4" i="2"/>
  <c r="AA4" i="12"/>
  <c r="AA4" i="11"/>
  <c r="AA4" i="8"/>
  <c r="AA4" i="9"/>
  <c r="AA34" i="14"/>
  <c r="Z3" i="8"/>
  <c r="Z3" i="9"/>
  <c r="Z3" i="2"/>
  <c r="Z3" i="12"/>
  <c r="Z3" i="11"/>
  <c r="AA48" i="14"/>
  <c r="Z17" i="12"/>
  <c r="Z17" i="11"/>
  <c r="Z17" i="8"/>
  <c r="Z17" i="9"/>
  <c r="Z17" i="2"/>
  <c r="E62" i="14"/>
  <c r="D31" i="2"/>
  <c r="D31" i="11"/>
  <c r="D31" i="8"/>
  <c r="D31" i="9"/>
  <c r="D31" i="12"/>
  <c r="Q63" i="14"/>
  <c r="P32" i="12"/>
  <c r="P32" i="2"/>
  <c r="P32" i="11"/>
  <c r="P32" i="8"/>
  <c r="P32" i="9"/>
  <c r="Q47" i="14"/>
  <c r="P16" i="2"/>
  <c r="P16" i="12"/>
  <c r="P16" i="11"/>
  <c r="P16" i="8"/>
  <c r="P16" i="9"/>
  <c r="Q36" i="14"/>
  <c r="P5" i="12"/>
  <c r="P5" i="8"/>
  <c r="P5" i="9"/>
  <c r="P5" i="2"/>
  <c r="P5" i="11"/>
  <c r="AC54" i="14"/>
  <c r="AB23" i="12"/>
  <c r="AB23" i="8"/>
  <c r="AB23" i="9"/>
  <c r="AB23" i="11"/>
  <c r="AB23" i="2"/>
  <c r="AC52" i="14"/>
  <c r="AB21" i="12"/>
  <c r="AB21" i="11"/>
  <c r="AB21" i="9"/>
  <c r="AB21" i="2"/>
  <c r="AB21" i="8"/>
  <c r="AC58" i="14"/>
  <c r="AB27" i="12"/>
  <c r="AB27" i="11"/>
  <c r="AB27" i="8"/>
  <c r="AB27" i="9"/>
  <c r="AB27" i="2"/>
  <c r="G39" i="14"/>
  <c r="F8" i="12"/>
  <c r="F8" i="11"/>
  <c r="F8" i="8"/>
  <c r="F8" i="9"/>
  <c r="F8" i="2"/>
  <c r="G60" i="14"/>
  <c r="F29" i="9"/>
  <c r="F29" i="2"/>
  <c r="F29" i="12"/>
  <c r="F29" i="11"/>
  <c r="F29" i="8"/>
  <c r="S61" i="14"/>
  <c r="R30" i="2"/>
  <c r="R30" i="11"/>
  <c r="R30" i="8"/>
  <c r="R30" i="9"/>
  <c r="R30" i="12"/>
  <c r="S41" i="14"/>
  <c r="R10" i="11"/>
  <c r="R10" i="2"/>
  <c r="R10" i="12"/>
  <c r="R10" i="8"/>
  <c r="R10" i="9"/>
  <c r="AE54" i="14"/>
  <c r="AD23" i="12"/>
  <c r="AD23" i="11"/>
  <c r="AD23" i="8"/>
  <c r="AD23" i="9"/>
  <c r="AD23" i="2"/>
  <c r="AE60" i="14"/>
  <c r="AD29" i="11"/>
  <c r="AD29" i="8"/>
  <c r="AD29" i="9"/>
  <c r="AD29" i="2"/>
  <c r="AD29" i="12"/>
  <c r="I38" i="14"/>
  <c r="H7" i="2"/>
  <c r="H7" i="12"/>
  <c r="H7" i="11"/>
  <c r="H7" i="8"/>
  <c r="H7" i="9"/>
  <c r="I57" i="14"/>
  <c r="H26" i="2"/>
  <c r="H26" i="12"/>
  <c r="H26" i="11"/>
  <c r="H26" i="8"/>
  <c r="H26" i="9"/>
  <c r="I34" i="14"/>
  <c r="H3" i="2"/>
  <c r="H3" i="9"/>
  <c r="H3" i="12"/>
  <c r="H3" i="11"/>
  <c r="H3" i="8"/>
  <c r="AG49" i="14"/>
  <c r="AF18" i="12"/>
  <c r="AF18" i="11"/>
  <c r="AF18" i="8"/>
  <c r="AF18" i="9"/>
  <c r="AF18" i="2"/>
  <c r="AG38" i="14"/>
  <c r="AF7" i="8"/>
  <c r="AF7" i="11"/>
  <c r="AF7" i="9"/>
  <c r="AF7" i="12"/>
  <c r="AF7" i="2"/>
  <c r="AG42" i="14"/>
  <c r="AF11" i="8"/>
  <c r="AJ15" i="11"/>
  <c r="AJ15" i="9"/>
  <c r="AF11" i="9"/>
  <c r="AJ15" i="8"/>
  <c r="AF11" i="2"/>
  <c r="AJ15" i="12"/>
  <c r="AF11" i="12"/>
  <c r="AF11" i="11"/>
  <c r="H63" i="14"/>
  <c r="G32" i="2"/>
  <c r="G32" i="12"/>
  <c r="G32" i="11"/>
  <c r="G32" i="8"/>
  <c r="G32" i="9"/>
  <c r="H46" i="14"/>
  <c r="G15" i="2"/>
  <c r="G15" i="11"/>
  <c r="G15" i="9"/>
  <c r="G15" i="12"/>
  <c r="G15" i="8"/>
  <c r="T45" i="14"/>
  <c r="S14" i="2"/>
  <c r="S14" i="11"/>
  <c r="S14" i="8"/>
  <c r="S14" i="9"/>
  <c r="S14" i="12"/>
  <c r="T46" i="14"/>
  <c r="S15" i="8"/>
  <c r="S15" i="11"/>
  <c r="S15" i="9"/>
  <c r="S15" i="2"/>
  <c r="S15" i="12"/>
  <c r="T62" i="14"/>
  <c r="S31" i="12"/>
  <c r="S31" i="11"/>
  <c r="S31" i="8"/>
  <c r="S31" i="9"/>
  <c r="S31" i="2"/>
  <c r="AF39" i="14"/>
  <c r="AE8" i="12"/>
  <c r="AE8" i="11"/>
  <c r="AE8" i="8"/>
  <c r="AE8" i="9"/>
  <c r="AE8" i="2"/>
  <c r="U49" i="14"/>
  <c r="T18" i="11"/>
  <c r="T18" i="8"/>
  <c r="T18" i="2"/>
  <c r="T18" i="9"/>
  <c r="T18" i="12"/>
  <c r="U59" i="14"/>
  <c r="T28" i="12"/>
  <c r="T28" i="8"/>
  <c r="T28" i="9"/>
  <c r="T28" i="2"/>
  <c r="T28" i="11"/>
  <c r="F43" i="14"/>
  <c r="E12" i="12"/>
  <c r="E12" i="8"/>
  <c r="E12" i="9"/>
  <c r="E12" i="2"/>
  <c r="E12" i="11"/>
  <c r="F54" i="14"/>
  <c r="E23" i="2"/>
  <c r="E23" i="11"/>
  <c r="E23" i="8"/>
  <c r="E23" i="9"/>
  <c r="E23" i="12"/>
  <c r="F41" i="14"/>
  <c r="E10" i="2"/>
  <c r="E10" i="12"/>
  <c r="E10" i="8"/>
  <c r="E10" i="11"/>
  <c r="E10" i="9"/>
  <c r="R61" i="14"/>
  <c r="Q30" i="2"/>
  <c r="Q30" i="8"/>
  <c r="Q30" i="11"/>
  <c r="Q30" i="9"/>
  <c r="Q30" i="12"/>
  <c r="R41" i="14"/>
  <c r="Q10" i="8"/>
  <c r="Q10" i="11"/>
  <c r="Q10" i="9"/>
  <c r="Q10" i="12"/>
  <c r="Q10" i="2"/>
  <c r="AD49" i="14"/>
  <c r="AC18" i="12"/>
  <c r="AC18" i="8"/>
  <c r="AC18" i="11"/>
  <c r="AC18" i="9"/>
  <c r="AC18" i="2"/>
  <c r="AD54" i="14"/>
  <c r="AC23" i="2"/>
  <c r="AC23" i="12"/>
  <c r="AC23" i="11"/>
  <c r="AC23" i="8"/>
  <c r="AC23" i="9"/>
  <c r="AD41" i="14"/>
  <c r="AC10" i="11"/>
  <c r="AC10" i="12"/>
  <c r="AC10" i="8"/>
  <c r="AC10" i="9"/>
  <c r="AC10" i="2"/>
  <c r="V61" i="14"/>
  <c r="U30" i="11"/>
  <c r="U30" i="8"/>
  <c r="U30" i="12"/>
  <c r="U30" i="9"/>
  <c r="U30" i="2"/>
  <c r="V58" i="14"/>
  <c r="U27" i="2"/>
  <c r="U27" i="12"/>
  <c r="U27" i="8"/>
  <c r="U27" i="9"/>
  <c r="U27" i="11"/>
  <c r="V35" i="14"/>
  <c r="U4" i="12"/>
  <c r="U4" i="2"/>
  <c r="U4" i="11"/>
  <c r="U4" i="8"/>
  <c r="U4" i="9"/>
  <c r="K48" i="14"/>
  <c r="J17" i="12"/>
  <c r="J17" i="8"/>
  <c r="J17" i="11"/>
  <c r="J17" i="2"/>
  <c r="J17" i="9"/>
  <c r="K53" i="14"/>
  <c r="J22" i="2"/>
  <c r="J22" i="8"/>
  <c r="J22" i="9"/>
  <c r="J22" i="12"/>
  <c r="J22" i="11"/>
  <c r="K47" i="14"/>
  <c r="J16" i="11"/>
  <c r="J16" i="2"/>
  <c r="J16" i="12"/>
  <c r="J16" i="8"/>
  <c r="J16" i="9"/>
  <c r="K39" i="14"/>
  <c r="J8" i="11"/>
  <c r="J8" i="8"/>
  <c r="J8" i="9"/>
  <c r="J8" i="2"/>
  <c r="J8" i="12"/>
  <c r="X38" i="14"/>
  <c r="W7" i="12"/>
  <c r="W7" i="11"/>
  <c r="W7" i="9"/>
  <c r="W7" i="2"/>
  <c r="W7" i="8"/>
  <c r="X47" i="14"/>
  <c r="W16" i="11"/>
  <c r="W16" i="8"/>
  <c r="W16" i="9"/>
  <c r="W16" i="12"/>
  <c r="W16" i="2"/>
  <c r="L55" i="14"/>
  <c r="K24" i="9"/>
  <c r="K24" i="2"/>
  <c r="K24" i="12"/>
  <c r="K24" i="11"/>
  <c r="K24" i="8"/>
  <c r="L52" i="14"/>
  <c r="K21" i="12"/>
  <c r="K21" i="8"/>
  <c r="K21" i="11"/>
  <c r="K21" i="9"/>
  <c r="K21" i="2"/>
  <c r="L39" i="14"/>
  <c r="K8" i="12"/>
  <c r="K8" i="8"/>
  <c r="K8" i="11"/>
  <c r="K8" i="2"/>
  <c r="K8" i="9"/>
  <c r="Y37" i="14"/>
  <c r="X6" i="12"/>
  <c r="X6" i="9"/>
  <c r="X6" i="11"/>
  <c r="X6" i="8"/>
  <c r="X6" i="2"/>
  <c r="Y55" i="14"/>
  <c r="X24" i="2"/>
  <c r="X24" i="9"/>
  <c r="X24" i="8"/>
  <c r="X24" i="12"/>
  <c r="X24" i="11"/>
  <c r="Y34" i="14"/>
  <c r="X3" i="9"/>
  <c r="X3" i="2"/>
  <c r="X3" i="12"/>
  <c r="X3" i="11"/>
  <c r="X3" i="8"/>
  <c r="M55" i="14"/>
  <c r="L24" i="2"/>
  <c r="L24" i="11"/>
  <c r="L24" i="8"/>
  <c r="L24" i="9"/>
  <c r="L24" i="12"/>
  <c r="M49" i="14"/>
  <c r="L18" i="9"/>
  <c r="L18" i="11"/>
  <c r="L18" i="8"/>
  <c r="L18" i="2"/>
  <c r="L18" i="12"/>
  <c r="J53" i="14"/>
  <c r="I22" i="2"/>
  <c r="I22" i="12"/>
  <c r="I22" i="11"/>
  <c r="I22" i="9"/>
  <c r="I22" i="8"/>
  <c r="J35" i="14"/>
  <c r="I4" i="2"/>
  <c r="I4" i="12"/>
  <c r="I4" i="11"/>
  <c r="I4" i="9"/>
  <c r="I4" i="8"/>
  <c r="J37" i="14"/>
  <c r="I6" i="9"/>
  <c r="I6" i="2"/>
  <c r="I6" i="12"/>
  <c r="I6" i="11"/>
  <c r="I6" i="8"/>
  <c r="D62" i="14"/>
  <c r="C31" i="12"/>
  <c r="C31" i="11"/>
  <c r="C31" i="8"/>
  <c r="C31" i="2"/>
  <c r="C31" i="9"/>
  <c r="D47" i="14"/>
  <c r="C16" i="11"/>
  <c r="C16" i="8"/>
  <c r="C16" i="9"/>
  <c r="C16" i="12"/>
  <c r="C16" i="2"/>
  <c r="D54" i="14"/>
  <c r="C23" i="12"/>
  <c r="C23" i="8"/>
  <c r="C23" i="11"/>
  <c r="C23" i="9"/>
  <c r="C23" i="2"/>
  <c r="W48" i="14"/>
  <c r="V17" i="12"/>
  <c r="V17" i="8"/>
  <c r="V17" i="11"/>
  <c r="V17" i="9"/>
  <c r="V17" i="2"/>
  <c r="W57" i="14"/>
  <c r="V26" i="2"/>
  <c r="V26" i="11"/>
  <c r="V26" i="8"/>
  <c r="V26" i="9"/>
  <c r="V26" i="12"/>
  <c r="W44" i="14"/>
  <c r="V13" i="2"/>
  <c r="V13" i="12"/>
  <c r="V13" i="8"/>
  <c r="V13" i="9"/>
  <c r="V13" i="11"/>
  <c r="O62" i="14"/>
  <c r="N31" i="12"/>
  <c r="N31" i="11"/>
  <c r="N31" i="8"/>
  <c r="N31" i="9"/>
  <c r="N31" i="2"/>
  <c r="P39" i="14"/>
  <c r="O8" i="11"/>
  <c r="O8" i="8"/>
  <c r="O8" i="9"/>
  <c r="O8" i="12"/>
  <c r="O8" i="2"/>
  <c r="AA62" i="14"/>
  <c r="Z31" i="12"/>
  <c r="Z31" i="11"/>
  <c r="Z31" i="8"/>
  <c r="Z31" i="9"/>
  <c r="Z31" i="2"/>
  <c r="I63" i="14"/>
  <c r="H32" i="2"/>
  <c r="H32" i="11"/>
  <c r="H32" i="8"/>
  <c r="H32" i="9"/>
  <c r="H32" i="12"/>
  <c r="AF58" i="14"/>
  <c r="AE27" i="12"/>
  <c r="AE27" i="8"/>
  <c r="AE27" i="9"/>
  <c r="AE27" i="11"/>
  <c r="AE27" i="2"/>
  <c r="U47" i="14"/>
  <c r="T16" i="12"/>
  <c r="T16" i="11"/>
  <c r="T16" i="8"/>
  <c r="T16" i="9"/>
  <c r="T16" i="2"/>
  <c r="V46" i="14"/>
  <c r="U15" i="2"/>
  <c r="U15" i="11"/>
  <c r="U15" i="8"/>
  <c r="U15" i="9"/>
  <c r="U15" i="12"/>
  <c r="L58" i="14"/>
  <c r="K27" i="12"/>
  <c r="K27" i="11"/>
  <c r="K27" i="8"/>
  <c r="K27" i="9"/>
  <c r="K27" i="2"/>
  <c r="Y43" i="14"/>
  <c r="X12" i="2"/>
  <c r="X12" i="12"/>
  <c r="X12" i="11"/>
  <c r="X12" i="8"/>
  <c r="X12" i="9"/>
  <c r="J52" i="14"/>
  <c r="I21" i="8"/>
  <c r="I21" i="12"/>
  <c r="I21" i="2"/>
  <c r="I21" i="11"/>
  <c r="I21" i="9"/>
  <c r="J36" i="14"/>
  <c r="I5" i="12"/>
  <c r="I5" i="8"/>
  <c r="I5" i="11"/>
  <c r="I5" i="9"/>
  <c r="I5" i="2"/>
  <c r="D59" i="14"/>
  <c r="C28" i="12"/>
  <c r="C28" i="11"/>
  <c r="C28" i="8"/>
  <c r="C28" i="9"/>
  <c r="C28" i="2"/>
  <c r="W63" i="14"/>
  <c r="V32" i="9"/>
  <c r="V32" i="2"/>
  <c r="V32" i="12"/>
  <c r="V32" i="11"/>
  <c r="V32" i="8"/>
  <c r="W45" i="14"/>
  <c r="V14" i="12"/>
  <c r="V14" i="8"/>
  <c r="V14" i="2"/>
  <c r="V14" i="11"/>
  <c r="V14" i="9"/>
  <c r="W37" i="14"/>
  <c r="V6" i="12"/>
  <c r="V6" i="11"/>
  <c r="V6" i="8"/>
  <c r="V6" i="9"/>
  <c r="V6" i="2"/>
  <c r="N43" i="14"/>
  <c r="M12" i="2"/>
  <c r="M12" i="8"/>
  <c r="M12" i="9"/>
  <c r="M12" i="11"/>
  <c r="M12" i="12"/>
  <c r="N56" i="14"/>
  <c r="M25" i="8"/>
  <c r="M25" i="9"/>
  <c r="M25" i="12"/>
  <c r="M25" i="2"/>
  <c r="M25" i="11"/>
  <c r="Z50" i="14"/>
  <c r="Y19" i="2"/>
  <c r="Y19" i="8"/>
  <c r="Y19" i="9"/>
  <c r="Y19" i="12"/>
  <c r="Y19" i="11"/>
  <c r="Z58" i="14"/>
  <c r="Y27" i="12"/>
  <c r="Y27" i="11"/>
  <c r="Y27" i="8"/>
  <c r="Y27" i="9"/>
  <c r="Y27" i="2"/>
  <c r="O50" i="14"/>
  <c r="N19" i="2"/>
  <c r="N19" i="12"/>
  <c r="N19" i="11"/>
  <c r="N19" i="8"/>
  <c r="N19" i="9"/>
  <c r="O44" i="14"/>
  <c r="N13" i="11"/>
  <c r="N13" i="2"/>
  <c r="N13" i="12"/>
  <c r="N13" i="8"/>
  <c r="N13" i="9"/>
  <c r="P52" i="14"/>
  <c r="O21" i="2"/>
  <c r="O21" i="12"/>
  <c r="O21" i="11"/>
  <c r="O21" i="8"/>
  <c r="O21" i="9"/>
  <c r="P58" i="14"/>
  <c r="O27" i="9"/>
  <c r="O27" i="2"/>
  <c r="O27" i="11"/>
  <c r="O27" i="8"/>
  <c r="O27" i="12"/>
  <c r="AB45" i="14"/>
  <c r="AA14" i="2"/>
  <c r="AA14" i="8"/>
  <c r="AA14" i="9"/>
  <c r="AA14" i="12"/>
  <c r="AA14" i="11"/>
  <c r="AB51" i="14"/>
  <c r="AA20" i="11"/>
  <c r="AA20" i="8"/>
  <c r="AA20" i="9"/>
  <c r="AA20" i="2"/>
  <c r="AA20" i="12"/>
  <c r="AA50" i="14"/>
  <c r="Z19" i="12"/>
  <c r="Z19" i="11"/>
  <c r="Z19" i="8"/>
  <c r="Z19" i="9"/>
  <c r="Z19" i="2"/>
  <c r="AA44" i="14"/>
  <c r="Z13" i="12"/>
  <c r="Z13" i="11"/>
  <c r="Z13" i="8"/>
  <c r="Z13" i="2"/>
  <c r="Z13" i="9"/>
  <c r="E57" i="14"/>
  <c r="D26" i="12"/>
  <c r="D26" i="11"/>
  <c r="D26" i="2"/>
  <c r="D26" i="8"/>
  <c r="D26" i="9"/>
  <c r="E49" i="14"/>
  <c r="D18" i="12"/>
  <c r="D18" i="8"/>
  <c r="D18" i="11"/>
  <c r="D18" i="9"/>
  <c r="D18" i="2"/>
  <c r="E41" i="14"/>
  <c r="D10" i="11"/>
  <c r="D10" i="12"/>
  <c r="D10" i="8"/>
  <c r="D10" i="9"/>
  <c r="D10" i="2"/>
  <c r="Q60" i="14"/>
  <c r="P29" i="2"/>
  <c r="P29" i="11"/>
  <c r="P29" i="8"/>
  <c r="P29" i="9"/>
  <c r="P29" i="12"/>
  <c r="Q61" i="14"/>
  <c r="P30" i="9"/>
  <c r="P30" i="2"/>
  <c r="P30" i="11"/>
  <c r="P30" i="12"/>
  <c r="P30" i="8"/>
  <c r="Q53" i="14"/>
  <c r="P22" i="11"/>
  <c r="P22" i="2"/>
  <c r="P22" i="12"/>
  <c r="P22" i="8"/>
  <c r="P22" i="9"/>
  <c r="AC62" i="14"/>
  <c r="AB31" i="12"/>
  <c r="AB31" i="11"/>
  <c r="AB31" i="8"/>
  <c r="AB31" i="9"/>
  <c r="AB31" i="2"/>
  <c r="AC53" i="14"/>
  <c r="AB22" i="12"/>
  <c r="AB22" i="11"/>
  <c r="AB22" i="8"/>
  <c r="AB22" i="9"/>
  <c r="AB22" i="2"/>
  <c r="G42" i="14"/>
  <c r="F11" i="2"/>
  <c r="F11" i="8"/>
  <c r="F11" i="9"/>
  <c r="F11" i="12"/>
  <c r="F11" i="11"/>
  <c r="S37" i="14"/>
  <c r="R6" i="2"/>
  <c r="R6" i="12"/>
  <c r="R6" i="8"/>
  <c r="R6" i="11"/>
  <c r="R6" i="9"/>
  <c r="S48" i="14"/>
  <c r="R17" i="12"/>
  <c r="R17" i="8"/>
  <c r="R17" i="2"/>
  <c r="R17" i="11"/>
  <c r="R17" i="9"/>
  <c r="AE61" i="14"/>
  <c r="AD30" i="2"/>
  <c r="AD30" i="12"/>
  <c r="AD30" i="11"/>
  <c r="AD30" i="8"/>
  <c r="AD30" i="9"/>
  <c r="AE38" i="14"/>
  <c r="AD7" i="2"/>
  <c r="AD7" i="12"/>
  <c r="AD7" i="8"/>
  <c r="AD7" i="9"/>
  <c r="AD7" i="11"/>
  <c r="I51" i="14"/>
  <c r="H20" i="2"/>
  <c r="H20" i="12"/>
  <c r="H20" i="11"/>
  <c r="H20" i="8"/>
  <c r="H20" i="9"/>
  <c r="AG44" i="14"/>
  <c r="AF13" i="2"/>
  <c r="AF13" i="12"/>
  <c r="AF13" i="8"/>
  <c r="AF13" i="11"/>
  <c r="AF13" i="9"/>
  <c r="AG55" i="14"/>
  <c r="AF24" i="12"/>
  <c r="AF24" i="8"/>
  <c r="AF24" i="11"/>
  <c r="AF24" i="9"/>
  <c r="AF24" i="2"/>
  <c r="H60" i="14"/>
  <c r="G29" i="12"/>
  <c r="G29" i="2"/>
  <c r="G29" i="11"/>
  <c r="G29" i="8"/>
  <c r="G29" i="9"/>
  <c r="H53" i="14"/>
  <c r="G22" i="12"/>
  <c r="G22" i="11"/>
  <c r="G22" i="8"/>
  <c r="G22" i="2"/>
  <c r="G22" i="9"/>
  <c r="H52" i="14"/>
  <c r="G21" i="12"/>
  <c r="G21" i="8"/>
  <c r="G21" i="9"/>
  <c r="G21" i="11"/>
  <c r="G21" i="2"/>
  <c r="T39" i="14"/>
  <c r="S8" i="12"/>
  <c r="S8" i="11"/>
  <c r="S8" i="8"/>
  <c r="S8" i="9"/>
  <c r="S8" i="2"/>
  <c r="T35" i="14"/>
  <c r="S4" i="12"/>
  <c r="S4" i="11"/>
  <c r="S4" i="8"/>
  <c r="S4" i="9"/>
  <c r="S4" i="2"/>
  <c r="AF60" i="14"/>
  <c r="AE29" i="2"/>
  <c r="AE29" i="12"/>
  <c r="AE29" i="11"/>
  <c r="AE29" i="9"/>
  <c r="AE29" i="8"/>
  <c r="AF46" i="14"/>
  <c r="AE15" i="12"/>
  <c r="AE15" i="8"/>
  <c r="AE15" i="11"/>
  <c r="AE15" i="9"/>
  <c r="AE15" i="2"/>
  <c r="AF50" i="14"/>
  <c r="AE19" i="11"/>
  <c r="AE19" i="9"/>
  <c r="AE19" i="2"/>
  <c r="AE19" i="12"/>
  <c r="AE19" i="8"/>
  <c r="U40" i="14"/>
  <c r="T9" i="2"/>
  <c r="T9" i="12"/>
  <c r="T9" i="11"/>
  <c r="T9" i="8"/>
  <c r="T9" i="9"/>
  <c r="U48" i="14"/>
  <c r="T17" i="2"/>
  <c r="T17" i="11"/>
  <c r="T17" i="9"/>
  <c r="T17" i="8"/>
  <c r="T17" i="12"/>
  <c r="U54" i="14"/>
  <c r="T23" i="2"/>
  <c r="T23" i="12"/>
  <c r="T23" i="8"/>
  <c r="T23" i="9"/>
  <c r="T23" i="11"/>
  <c r="F52" i="14"/>
  <c r="E21" i="2"/>
  <c r="E21" i="11"/>
  <c r="E21" i="8"/>
  <c r="E21" i="9"/>
  <c r="E21" i="12"/>
  <c r="F60" i="14"/>
  <c r="E29" i="9"/>
  <c r="E29" i="2"/>
  <c r="E29" i="12"/>
  <c r="E29" i="11"/>
  <c r="E29" i="8"/>
  <c r="F39" i="14"/>
  <c r="E8" i="2"/>
  <c r="E8" i="12"/>
  <c r="E8" i="8"/>
  <c r="E8" i="11"/>
  <c r="E8" i="9"/>
  <c r="R43" i="14"/>
  <c r="Q12" i="8"/>
  <c r="Q12" i="12"/>
  <c r="Q12" i="11"/>
  <c r="Q12" i="9"/>
  <c r="Q12" i="2"/>
  <c r="R44" i="14"/>
  <c r="Q13" i="2"/>
  <c r="Q13" i="12"/>
  <c r="Q13" i="8"/>
  <c r="Q13" i="11"/>
  <c r="Q13" i="9"/>
  <c r="R60" i="14"/>
  <c r="Q29" i="12"/>
  <c r="Q29" i="2"/>
  <c r="Q29" i="9"/>
  <c r="Q29" i="11"/>
  <c r="Q29" i="8"/>
  <c r="AD52" i="14"/>
  <c r="AC21" i="11"/>
  <c r="AC21" i="9"/>
  <c r="AC21" i="12"/>
  <c r="AC21" i="2"/>
  <c r="AC21" i="8"/>
  <c r="AD48" i="14"/>
  <c r="AC17" i="12"/>
  <c r="AC17" i="9"/>
  <c r="AC17" i="8"/>
  <c r="AC17" i="11"/>
  <c r="AC17" i="2"/>
  <c r="V47" i="14"/>
  <c r="U16" i="12"/>
  <c r="U16" i="11"/>
  <c r="U16" i="8"/>
  <c r="U16" i="9"/>
  <c r="U16" i="2"/>
  <c r="V38" i="14"/>
  <c r="U7" i="8"/>
  <c r="U7" i="11"/>
  <c r="U7" i="9"/>
  <c r="U7" i="12"/>
  <c r="U7" i="2"/>
  <c r="V52" i="14"/>
  <c r="U21" i="12"/>
  <c r="U21" i="8"/>
  <c r="U21" i="11"/>
  <c r="U21" i="9"/>
  <c r="U21" i="2"/>
  <c r="K51" i="14"/>
  <c r="J20" i="12"/>
  <c r="J20" i="11"/>
  <c r="J20" i="2"/>
  <c r="J20" i="8"/>
  <c r="J20" i="9"/>
  <c r="K55" i="14"/>
  <c r="J24" i="9"/>
  <c r="J24" i="2"/>
  <c r="J24" i="12"/>
  <c r="J24" i="8"/>
  <c r="J24" i="11"/>
  <c r="K49" i="14"/>
  <c r="J18" i="11"/>
  <c r="J18" i="8"/>
  <c r="J18" i="9"/>
  <c r="J18" i="2"/>
  <c r="J18" i="12"/>
  <c r="X49" i="14"/>
  <c r="W18" i="8"/>
  <c r="W18" i="2"/>
  <c r="W18" i="11"/>
  <c r="W18" i="9"/>
  <c r="W18" i="12"/>
  <c r="X60" i="14"/>
  <c r="W29" i="2"/>
  <c r="W29" i="12"/>
  <c r="W29" i="11"/>
  <c r="W29" i="8"/>
  <c r="W29" i="9"/>
  <c r="X42" i="14"/>
  <c r="W11" i="12"/>
  <c r="W11" i="9"/>
  <c r="W11" i="2"/>
  <c r="W11" i="11"/>
  <c r="W11" i="8"/>
  <c r="L46" i="14"/>
  <c r="K15" i="12"/>
  <c r="K15" i="2"/>
  <c r="K15" i="11"/>
  <c r="K15" i="8"/>
  <c r="K15" i="9"/>
  <c r="L59" i="14"/>
  <c r="K28" i="12"/>
  <c r="K28" i="8"/>
  <c r="K28" i="9"/>
  <c r="K28" i="2"/>
  <c r="K28" i="11"/>
  <c r="L35" i="14"/>
  <c r="K4" i="8"/>
  <c r="K4" i="11"/>
  <c r="K4" i="9"/>
  <c r="K4" i="12"/>
  <c r="K4" i="2"/>
  <c r="Y36" i="14"/>
  <c r="X5" i="2"/>
  <c r="X5" i="12"/>
  <c r="X5" i="11"/>
  <c r="X5" i="8"/>
  <c r="X5" i="9"/>
  <c r="Y57" i="14"/>
  <c r="X26" i="2"/>
  <c r="X26" i="11"/>
  <c r="X26" i="8"/>
  <c r="X26" i="9"/>
  <c r="X26" i="12"/>
  <c r="Y49" i="14"/>
  <c r="X18" i="11"/>
  <c r="X18" i="12"/>
  <c r="X18" i="8"/>
  <c r="X18" i="9"/>
  <c r="X18" i="2"/>
  <c r="M36" i="14"/>
  <c r="L5" i="2"/>
  <c r="L5" i="12"/>
  <c r="L5" i="11"/>
  <c r="L5" i="8"/>
  <c r="L5" i="9"/>
  <c r="M57" i="14"/>
  <c r="L26" i="9"/>
  <c r="L26" i="2"/>
  <c r="L26" i="12"/>
  <c r="L26" i="8"/>
  <c r="L26" i="11"/>
  <c r="M51" i="14"/>
  <c r="L20" i="12"/>
  <c r="L20" i="11"/>
  <c r="L20" i="8"/>
  <c r="L20" i="9"/>
  <c r="L20" i="2"/>
  <c r="J62" i="14"/>
  <c r="I31" i="11"/>
  <c r="I31" i="8"/>
  <c r="I31" i="9"/>
  <c r="I31" i="2"/>
  <c r="I31" i="12"/>
  <c r="J58" i="14"/>
  <c r="I27" i="2"/>
  <c r="I27" i="8"/>
  <c r="I27" i="9"/>
  <c r="I27" i="12"/>
  <c r="I27" i="11"/>
  <c r="J40" i="14"/>
  <c r="I9" i="12"/>
  <c r="I9" i="9"/>
  <c r="I9" i="8"/>
  <c r="I9" i="2"/>
  <c r="I9" i="11"/>
  <c r="D57" i="14"/>
  <c r="C26" i="2"/>
  <c r="C26" i="12"/>
  <c r="C26" i="11"/>
  <c r="C26" i="9"/>
  <c r="C26" i="8"/>
  <c r="D50" i="14"/>
  <c r="C19" i="8"/>
  <c r="C19" i="12"/>
  <c r="C19" i="11"/>
  <c r="C19" i="9"/>
  <c r="C19" i="2"/>
  <c r="D40" i="14"/>
  <c r="C9" i="11"/>
  <c r="C9" i="8"/>
  <c r="C9" i="12"/>
  <c r="C9" i="9"/>
  <c r="C9" i="2"/>
  <c r="W51" i="14"/>
  <c r="V20" i="11"/>
  <c r="V20" i="9"/>
  <c r="V20" i="2"/>
  <c r="V20" i="12"/>
  <c r="V20" i="8"/>
  <c r="W35" i="14"/>
  <c r="V4" i="9"/>
  <c r="V4" i="12"/>
  <c r="V4" i="11"/>
  <c r="V4" i="8"/>
  <c r="V4" i="2"/>
  <c r="N55" i="14"/>
  <c r="M24" i="9"/>
  <c r="M24" i="2"/>
  <c r="M24" i="12"/>
  <c r="M24" i="11"/>
  <c r="M24" i="8"/>
  <c r="O56" i="14"/>
  <c r="N25" i="9"/>
  <c r="N25" i="2"/>
  <c r="N25" i="12"/>
  <c r="N25" i="8"/>
  <c r="N25" i="11"/>
  <c r="E54" i="14"/>
  <c r="D23" i="2"/>
  <c r="D23" i="12"/>
  <c r="D23" i="11"/>
  <c r="D23" i="9"/>
  <c r="D23" i="8"/>
  <c r="G54" i="14"/>
  <c r="F23" i="12"/>
  <c r="F23" i="11"/>
  <c r="F23" i="8"/>
  <c r="F23" i="9"/>
  <c r="F23" i="2"/>
  <c r="I45" i="14"/>
  <c r="H14" i="12"/>
  <c r="H14" i="9"/>
  <c r="H14" i="8"/>
  <c r="H14" i="11"/>
  <c r="H14" i="2"/>
  <c r="T50" i="14"/>
  <c r="S19" i="9"/>
  <c r="S19" i="12"/>
  <c r="S19" i="11"/>
  <c r="S19" i="8"/>
  <c r="S19" i="2"/>
  <c r="F49" i="14"/>
  <c r="E18" i="2"/>
  <c r="E18" i="9"/>
  <c r="E18" i="12"/>
  <c r="E18" i="8"/>
  <c r="E18" i="11"/>
  <c r="R63" i="14"/>
  <c r="Q32" i="12"/>
  <c r="Q32" i="8"/>
  <c r="Q32" i="11"/>
  <c r="Q32" i="9"/>
  <c r="Q32" i="2"/>
  <c r="AD60" i="14"/>
  <c r="AC29" i="11"/>
  <c r="AC29" i="8"/>
  <c r="AC29" i="9"/>
  <c r="AC29" i="2"/>
  <c r="AC29" i="12"/>
  <c r="V36" i="14"/>
  <c r="U5" i="2"/>
  <c r="U5" i="8"/>
  <c r="U5" i="11"/>
  <c r="U5" i="9"/>
  <c r="U5" i="12"/>
  <c r="M43" i="14"/>
  <c r="L12" i="2"/>
  <c r="L12" i="8"/>
  <c r="L12" i="9"/>
  <c r="L12" i="12"/>
  <c r="L12" i="11"/>
  <c r="D41" i="14"/>
  <c r="C10" i="11"/>
  <c r="C10" i="9"/>
  <c r="C10" i="2"/>
  <c r="C10" i="12"/>
  <c r="C10" i="8"/>
  <c r="N63" i="14"/>
  <c r="M32" i="12"/>
  <c r="M32" i="11"/>
  <c r="M32" i="2"/>
  <c r="M32" i="8"/>
  <c r="M32" i="9"/>
  <c r="N44" i="14"/>
  <c r="M13" i="9"/>
  <c r="M13" i="12"/>
  <c r="M13" i="8"/>
  <c r="M13" i="11"/>
  <c r="M13" i="2"/>
  <c r="Z57" i="14"/>
  <c r="Y26" i="2"/>
  <c r="Y26" i="9"/>
  <c r="Y26" i="12"/>
  <c r="Y26" i="11"/>
  <c r="Y26" i="8"/>
  <c r="Z52" i="14"/>
  <c r="Y21" i="12"/>
  <c r="Y21" i="8"/>
  <c r="Y21" i="11"/>
  <c r="Y21" i="9"/>
  <c r="Y21" i="2"/>
  <c r="Z46" i="14"/>
  <c r="Y15" i="11"/>
  <c r="Y15" i="8"/>
  <c r="Y15" i="9"/>
  <c r="Y15" i="2"/>
  <c r="Y15" i="12"/>
  <c r="O46" i="14"/>
  <c r="N15" i="12"/>
  <c r="N15" i="11"/>
  <c r="N15" i="8"/>
  <c r="N15" i="9"/>
  <c r="N15" i="2"/>
  <c r="O63" i="14"/>
  <c r="N32" i="9"/>
  <c r="N32" i="2"/>
  <c r="N32" i="12"/>
  <c r="N32" i="11"/>
  <c r="N32" i="8"/>
  <c r="P59" i="14"/>
  <c r="O28" i="12"/>
  <c r="O28" i="11"/>
  <c r="O28" i="8"/>
  <c r="O28" i="9"/>
  <c r="O28" i="2"/>
  <c r="P40" i="14"/>
  <c r="O9" i="2"/>
  <c r="O9" i="11"/>
  <c r="O9" i="8"/>
  <c r="O9" i="9"/>
  <c r="O9" i="12"/>
  <c r="P46" i="14"/>
  <c r="O15" i="12"/>
  <c r="O15" i="9"/>
  <c r="O15" i="11"/>
  <c r="O15" i="8"/>
  <c r="O15" i="2"/>
  <c r="AB47" i="14"/>
  <c r="AA16" i="9"/>
  <c r="AA16" i="2"/>
  <c r="AA16" i="12"/>
  <c r="AA16" i="8"/>
  <c r="AA16" i="11"/>
  <c r="AB36" i="14"/>
  <c r="AA5" i="8"/>
  <c r="AA5" i="9"/>
  <c r="AA5" i="2"/>
  <c r="AA5" i="11"/>
  <c r="AA5" i="12"/>
  <c r="AB39" i="14"/>
  <c r="AA8" i="12"/>
  <c r="AA8" i="11"/>
  <c r="AA8" i="8"/>
  <c r="AA8" i="9"/>
  <c r="AA8" i="2"/>
  <c r="AA52" i="14"/>
  <c r="Z21" i="12"/>
  <c r="Z21" i="8"/>
  <c r="Z21" i="2"/>
  <c r="Z21" i="11"/>
  <c r="Z21" i="9"/>
  <c r="AA63" i="14"/>
  <c r="Z32" i="12"/>
  <c r="Z32" i="8"/>
  <c r="Z32" i="11"/>
  <c r="Z32" i="9"/>
  <c r="Z32" i="2"/>
  <c r="E42" i="14"/>
  <c r="D11" i="12"/>
  <c r="D11" i="8"/>
  <c r="D11" i="11"/>
  <c r="D11" i="9"/>
  <c r="D11" i="2"/>
  <c r="E39" i="14"/>
  <c r="D8" i="2"/>
  <c r="D8" i="8"/>
  <c r="D8" i="12"/>
  <c r="D8" i="11"/>
  <c r="D8" i="9"/>
  <c r="Q42" i="14"/>
  <c r="P11" i="12"/>
  <c r="P11" i="8"/>
  <c r="P11" i="11"/>
  <c r="P11" i="9"/>
  <c r="P11" i="2"/>
  <c r="Q49" i="14"/>
  <c r="P18" i="12"/>
  <c r="P18" i="8"/>
  <c r="P18" i="9"/>
  <c r="P18" i="2"/>
  <c r="P18" i="11"/>
  <c r="Q41" i="14"/>
  <c r="P10" i="12"/>
  <c r="P10" i="9"/>
  <c r="P10" i="11"/>
  <c r="P10" i="2"/>
  <c r="P10" i="8"/>
  <c r="AC57" i="14"/>
  <c r="AB26" i="8"/>
  <c r="AB26" i="9"/>
  <c r="AB26" i="2"/>
  <c r="AB26" i="12"/>
  <c r="AB26" i="11"/>
  <c r="AC59" i="14"/>
  <c r="AB28" i="12"/>
  <c r="AB28" i="11"/>
  <c r="AB28" i="8"/>
  <c r="AB28" i="9"/>
  <c r="AB28" i="2"/>
  <c r="AC41" i="14"/>
  <c r="AB10" i="9"/>
  <c r="AB10" i="2"/>
  <c r="AB10" i="8"/>
  <c r="AB10" i="11"/>
  <c r="AB10" i="12"/>
  <c r="G56" i="14"/>
  <c r="F25" i="2"/>
  <c r="F25" i="11"/>
  <c r="F25" i="8"/>
  <c r="F25" i="9"/>
  <c r="F25" i="12"/>
  <c r="G61" i="14"/>
  <c r="F30" i="2"/>
  <c r="F30" i="11"/>
  <c r="F30" i="8"/>
  <c r="F30" i="9"/>
  <c r="F30" i="12"/>
  <c r="G55" i="14"/>
  <c r="F24" i="12"/>
  <c r="F24" i="11"/>
  <c r="F24" i="8"/>
  <c r="F24" i="9"/>
  <c r="F24" i="2"/>
  <c r="G35" i="14"/>
  <c r="F4" i="9"/>
  <c r="F4" i="2"/>
  <c r="F4" i="12"/>
  <c r="F4" i="11"/>
  <c r="F4" i="8"/>
  <c r="S63" i="14"/>
  <c r="R32" i="12"/>
  <c r="R32" i="8"/>
  <c r="R32" i="11"/>
  <c r="R32" i="9"/>
  <c r="R32" i="2"/>
  <c r="S35" i="14"/>
  <c r="R4" i="11"/>
  <c r="R4" i="8"/>
  <c r="R4" i="9"/>
  <c r="R4" i="2"/>
  <c r="R4" i="12"/>
  <c r="AE47" i="14"/>
  <c r="AD16" i="11"/>
  <c r="AD16" i="9"/>
  <c r="AD16" i="12"/>
  <c r="AD16" i="8"/>
  <c r="AD16" i="2"/>
  <c r="AE49" i="14"/>
  <c r="AD18" i="2"/>
  <c r="AD18" i="12"/>
  <c r="AD18" i="11"/>
  <c r="AD18" i="8"/>
  <c r="AD18" i="9"/>
  <c r="AE37" i="14"/>
  <c r="AD6" i="2"/>
  <c r="AD6" i="8"/>
  <c r="AD6" i="11"/>
  <c r="AD6" i="9"/>
  <c r="AD6" i="12"/>
  <c r="AE35" i="14"/>
  <c r="AD4" i="12"/>
  <c r="AD4" i="11"/>
  <c r="AD4" i="8"/>
  <c r="AD4" i="9"/>
  <c r="AD4" i="2"/>
  <c r="I58" i="14"/>
  <c r="H27" i="12"/>
  <c r="H27" i="8"/>
  <c r="H27" i="11"/>
  <c r="H27" i="2"/>
  <c r="H27" i="9"/>
  <c r="I53" i="14"/>
  <c r="H22" i="9"/>
  <c r="H22" i="2"/>
  <c r="H22" i="12"/>
  <c r="H22" i="8"/>
  <c r="H22" i="11"/>
  <c r="I37" i="14"/>
  <c r="H6" i="12"/>
  <c r="H6" i="2"/>
  <c r="H6" i="11"/>
  <c r="H6" i="8"/>
  <c r="H6" i="9"/>
  <c r="AG63" i="14"/>
  <c r="AF32" i="2"/>
  <c r="AF32" i="12"/>
  <c r="AF32" i="11"/>
  <c r="AF32" i="8"/>
  <c r="AF32" i="9"/>
  <c r="AG43" i="14"/>
  <c r="AF12" i="2"/>
  <c r="AF12" i="11"/>
  <c r="AF12" i="9"/>
  <c r="AF12" i="12"/>
  <c r="AF12" i="8"/>
  <c r="AG35" i="14"/>
  <c r="AF4" i="12"/>
  <c r="AF4" i="8"/>
  <c r="AF4" i="9"/>
  <c r="AF4" i="2"/>
  <c r="AF4" i="11"/>
  <c r="H42" i="14"/>
  <c r="G11" i="12"/>
  <c r="G11" i="2"/>
  <c r="G11" i="11"/>
  <c r="G11" i="8"/>
  <c r="G11" i="9"/>
  <c r="H41" i="14"/>
  <c r="G10" i="11"/>
  <c r="G10" i="2"/>
  <c r="G10" i="9"/>
  <c r="G10" i="12"/>
  <c r="G10" i="8"/>
  <c r="H40" i="14"/>
  <c r="G9" i="2"/>
  <c r="G9" i="12"/>
  <c r="G9" i="8"/>
  <c r="G9" i="11"/>
  <c r="G9" i="9"/>
  <c r="T63" i="14"/>
  <c r="S32" i="2"/>
  <c r="S32" i="12"/>
  <c r="S32" i="11"/>
  <c r="S32" i="8"/>
  <c r="S32" i="9"/>
  <c r="T53" i="14"/>
  <c r="S22" i="12"/>
  <c r="S22" i="11"/>
  <c r="S22" i="8"/>
  <c r="S22" i="9"/>
  <c r="S22" i="2"/>
  <c r="AF54" i="14"/>
  <c r="AE23" i="12"/>
  <c r="AE23" i="11"/>
  <c r="AE23" i="8"/>
  <c r="AE23" i="9"/>
  <c r="AE23" i="2"/>
  <c r="AF52" i="14"/>
  <c r="AE21" i="8"/>
  <c r="AE21" i="9"/>
  <c r="AE21" i="2"/>
  <c r="AE21" i="11"/>
  <c r="AE21" i="12"/>
  <c r="U58" i="14"/>
  <c r="T27" i="2"/>
  <c r="T27" i="8"/>
  <c r="T27" i="11"/>
  <c r="T27" i="9"/>
  <c r="T27" i="12"/>
  <c r="U55" i="14"/>
  <c r="T24" i="9"/>
  <c r="T24" i="2"/>
  <c r="T24" i="12"/>
  <c r="T24" i="8"/>
  <c r="T24" i="11"/>
  <c r="U42" i="14"/>
  <c r="T11" i="12"/>
  <c r="T11" i="11"/>
  <c r="T11" i="9"/>
  <c r="T11" i="2"/>
  <c r="T11" i="8"/>
  <c r="F63" i="14"/>
  <c r="E32" i="12"/>
  <c r="E32" i="8"/>
  <c r="E32" i="11"/>
  <c r="E32" i="9"/>
  <c r="E32" i="2"/>
  <c r="F56" i="14"/>
  <c r="E25" i="8"/>
  <c r="E25" i="9"/>
  <c r="E25" i="2"/>
  <c r="E25" i="12"/>
  <c r="E25" i="11"/>
  <c r="F48" i="14"/>
  <c r="E17" i="9"/>
  <c r="E17" i="2"/>
  <c r="E17" i="12"/>
  <c r="E17" i="11"/>
  <c r="E17" i="8"/>
  <c r="R52" i="14"/>
  <c r="Q21" i="2"/>
  <c r="Q21" i="12"/>
  <c r="Q21" i="11"/>
  <c r="Q21" i="8"/>
  <c r="Q21" i="9"/>
  <c r="R48" i="14"/>
  <c r="Q17" i="11"/>
  <c r="Q17" i="2"/>
  <c r="Q17" i="12"/>
  <c r="Q17" i="8"/>
  <c r="Q17" i="9"/>
  <c r="AD55" i="14"/>
  <c r="AC24" i="11"/>
  <c r="AC24" i="9"/>
  <c r="AC24" i="2"/>
  <c r="AC24" i="12"/>
  <c r="AC24" i="8"/>
  <c r="AD56" i="14"/>
  <c r="AC25" i="12"/>
  <c r="AC25" i="11"/>
  <c r="AC25" i="9"/>
  <c r="AC25" i="2"/>
  <c r="AC25" i="8"/>
  <c r="AD38" i="14"/>
  <c r="AC7" i="12"/>
  <c r="AC7" i="8"/>
  <c r="AC7" i="2"/>
  <c r="AC7" i="11"/>
  <c r="AC7" i="9"/>
  <c r="V62" i="14"/>
  <c r="U31" i="12"/>
  <c r="U31" i="11"/>
  <c r="U31" i="8"/>
  <c r="U31" i="2"/>
  <c r="U31" i="9"/>
  <c r="V60" i="14"/>
  <c r="U29" i="12"/>
  <c r="U29" i="11"/>
  <c r="U29" i="8"/>
  <c r="U29" i="9"/>
  <c r="U29" i="2"/>
  <c r="V40" i="14"/>
  <c r="U9" i="9"/>
  <c r="U9" i="12"/>
  <c r="U9" i="11"/>
  <c r="U9" i="8"/>
  <c r="U9" i="2"/>
  <c r="K54" i="14"/>
  <c r="J23" i="12"/>
  <c r="J23" i="2"/>
  <c r="J23" i="11"/>
  <c r="J23" i="8"/>
  <c r="J23" i="9"/>
  <c r="K43" i="14"/>
  <c r="J12" i="12"/>
  <c r="J12" i="8"/>
  <c r="J12" i="11"/>
  <c r="J12" i="9"/>
  <c r="J12" i="2"/>
  <c r="X43" i="14"/>
  <c r="W12" i="12"/>
  <c r="W12" i="8"/>
  <c r="W12" i="11"/>
  <c r="W12" i="9"/>
  <c r="W12" i="2"/>
  <c r="X48" i="14"/>
  <c r="W17" i="2"/>
  <c r="W17" i="12"/>
  <c r="W17" i="11"/>
  <c r="W17" i="8"/>
  <c r="W17" i="9"/>
  <c r="L53" i="14"/>
  <c r="K22" i="11"/>
  <c r="K22" i="8"/>
  <c r="K22" i="9"/>
  <c r="K22" i="12"/>
  <c r="K22" i="2"/>
  <c r="L47" i="14"/>
  <c r="K16" i="12"/>
  <c r="K16" i="8"/>
  <c r="K16" i="11"/>
  <c r="K16" i="9"/>
  <c r="K16" i="2"/>
  <c r="Y63" i="14"/>
  <c r="X32" i="2"/>
  <c r="X32" i="12"/>
  <c r="X32" i="8"/>
  <c r="X32" i="9"/>
  <c r="X32" i="11"/>
  <c r="Y45" i="14"/>
  <c r="X14" i="9"/>
  <c r="X14" i="2"/>
  <c r="X14" i="12"/>
  <c r="X14" i="11"/>
  <c r="X14" i="8"/>
  <c r="M50" i="14"/>
  <c r="L19" i="8"/>
  <c r="L19" i="11"/>
  <c r="L19" i="9"/>
  <c r="L19" i="2"/>
  <c r="L19" i="12"/>
  <c r="M45" i="14"/>
  <c r="L14" i="11"/>
  <c r="L14" i="8"/>
  <c r="L14" i="9"/>
  <c r="L14" i="2"/>
  <c r="L14" i="12"/>
  <c r="M39" i="14"/>
  <c r="L8" i="11"/>
  <c r="L8" i="9"/>
  <c r="L8" i="2"/>
  <c r="L8" i="8"/>
  <c r="L8" i="12"/>
  <c r="J56" i="14"/>
  <c r="I25" i="12"/>
  <c r="I25" i="11"/>
  <c r="I25" i="8"/>
  <c r="I25" i="9"/>
  <c r="I25" i="2"/>
  <c r="J46" i="14"/>
  <c r="I15" i="2"/>
  <c r="I15" i="12"/>
  <c r="I15" i="11"/>
  <c r="I15" i="8"/>
  <c r="I15" i="9"/>
  <c r="D55" i="14"/>
  <c r="C24" i="12"/>
  <c r="C24" i="8"/>
  <c r="C24" i="11"/>
  <c r="C24" i="9"/>
  <c r="C24" i="2"/>
  <c r="D44" i="14"/>
  <c r="C13" i="8"/>
  <c r="C13" i="11"/>
  <c r="C13" i="9"/>
  <c r="C13" i="2"/>
  <c r="C13" i="12"/>
  <c r="D51" i="14"/>
  <c r="C20" i="9"/>
  <c r="C20" i="8"/>
  <c r="C20" i="11"/>
  <c r="C20" i="2"/>
  <c r="C20" i="12"/>
  <c r="W39" i="14"/>
  <c r="V8" i="12"/>
  <c r="V8" i="11"/>
  <c r="V8" i="8"/>
  <c r="V8" i="9"/>
  <c r="V8" i="2"/>
  <c r="Q57" i="14"/>
  <c r="P26" i="12"/>
  <c r="P26" i="11"/>
  <c r="P26" i="8"/>
  <c r="P26" i="9"/>
  <c r="P26" i="2"/>
  <c r="AC46" i="14"/>
  <c r="AB15" i="8"/>
  <c r="AB15" i="12"/>
  <c r="AB15" i="11"/>
  <c r="AB15" i="9"/>
  <c r="AB15" i="2"/>
  <c r="AE42" i="14"/>
  <c r="AD11" i="2"/>
  <c r="AD11" i="12"/>
  <c r="AD11" i="11"/>
  <c r="AD11" i="8"/>
  <c r="AD11" i="9"/>
  <c r="AF51" i="14"/>
  <c r="AE20" i="12"/>
  <c r="AE20" i="11"/>
  <c r="AE20" i="8"/>
  <c r="AE20" i="9"/>
  <c r="AE20" i="2"/>
  <c r="U60" i="14"/>
  <c r="T29" i="11"/>
  <c r="T29" i="9"/>
  <c r="T29" i="2"/>
  <c r="T29" i="12"/>
  <c r="T29" i="8"/>
  <c r="R56" i="14"/>
  <c r="Q25" i="2"/>
  <c r="Q25" i="11"/>
  <c r="Q25" i="8"/>
  <c r="Q25" i="9"/>
  <c r="Q25" i="12"/>
  <c r="K62" i="14"/>
  <c r="J31" i="12"/>
  <c r="J31" i="8"/>
  <c r="J31" i="9"/>
  <c r="J31" i="2"/>
  <c r="J31" i="11"/>
  <c r="Y50" i="14"/>
  <c r="X19" i="2"/>
  <c r="X19" i="12"/>
  <c r="X19" i="8"/>
  <c r="X19" i="11"/>
  <c r="X19" i="9"/>
  <c r="Y61" i="14"/>
  <c r="X30" i="12"/>
  <c r="X30" i="11"/>
  <c r="X30" i="8"/>
  <c r="X30" i="9"/>
  <c r="X30" i="2"/>
  <c r="M63" i="14"/>
  <c r="L32" i="2"/>
  <c r="L32" i="11"/>
  <c r="L32" i="8"/>
  <c r="L32" i="9"/>
  <c r="L32" i="12"/>
  <c r="D46" i="14"/>
  <c r="C15" i="9"/>
  <c r="C15" i="8"/>
  <c r="C15" i="12"/>
  <c r="C15" i="11"/>
  <c r="C15" i="2"/>
  <c r="N51" i="14"/>
  <c r="M20" i="12"/>
  <c r="M20" i="11"/>
  <c r="M20" i="8"/>
  <c r="M20" i="2"/>
  <c r="M20" i="9"/>
  <c r="N62" i="14"/>
  <c r="M31" i="8"/>
  <c r="M31" i="9"/>
  <c r="M31" i="12"/>
  <c r="M31" i="11"/>
  <c r="M31" i="2"/>
  <c r="N58" i="14"/>
  <c r="M27" i="2"/>
  <c r="M27" i="12"/>
  <c r="M27" i="8"/>
  <c r="M27" i="9"/>
  <c r="M27" i="11"/>
  <c r="N36" i="14"/>
  <c r="M5" i="9"/>
  <c r="M5" i="2"/>
  <c r="M5" i="12"/>
  <c r="M5" i="11"/>
  <c r="M5" i="8"/>
  <c r="Z45" i="14"/>
  <c r="Y14" i="12"/>
  <c r="Y14" i="11"/>
  <c r="Y14" i="8"/>
  <c r="Y14" i="2"/>
  <c r="Y14" i="9"/>
  <c r="Z40" i="14"/>
  <c r="Y9" i="12"/>
  <c r="Y9" i="11"/>
  <c r="Y9" i="9"/>
  <c r="Y9" i="2"/>
  <c r="Y9" i="8"/>
  <c r="Z36" i="14"/>
  <c r="Y5" i="2"/>
  <c r="Y5" i="11"/>
  <c r="Y5" i="8"/>
  <c r="Y5" i="9"/>
  <c r="Y5" i="12"/>
  <c r="O61" i="14"/>
  <c r="N30" i="2"/>
  <c r="N30" i="12"/>
  <c r="N30" i="11"/>
  <c r="N30" i="9"/>
  <c r="N30" i="8"/>
  <c r="O57" i="14"/>
  <c r="N26" i="11"/>
  <c r="N26" i="8"/>
  <c r="N26" i="9"/>
  <c r="N26" i="2"/>
  <c r="N26" i="12"/>
  <c r="O51" i="14"/>
  <c r="N20" i="12"/>
  <c r="N20" i="8"/>
  <c r="N20" i="9"/>
  <c r="N20" i="2"/>
  <c r="N20" i="11"/>
  <c r="O35" i="14"/>
  <c r="N4" i="8"/>
  <c r="N4" i="11"/>
  <c r="N4" i="9"/>
  <c r="N4" i="2"/>
  <c r="N4" i="12"/>
  <c r="P41" i="14"/>
  <c r="O10" i="9"/>
  <c r="O10" i="2"/>
  <c r="O10" i="12"/>
  <c r="O10" i="8"/>
  <c r="O10" i="11"/>
  <c r="P34" i="14"/>
  <c r="O3" i="9"/>
  <c r="O3" i="12"/>
  <c r="O3" i="11"/>
  <c r="O3" i="8"/>
  <c r="O3" i="2"/>
  <c r="P38" i="14"/>
  <c r="O7" i="12"/>
  <c r="O7" i="11"/>
  <c r="O7" i="8"/>
  <c r="O7" i="9"/>
  <c r="O7" i="2"/>
  <c r="AB58" i="14"/>
  <c r="AA27" i="12"/>
  <c r="AA27" i="11"/>
  <c r="AA27" i="8"/>
  <c r="AA27" i="9"/>
  <c r="AA27" i="2"/>
  <c r="AB38" i="14"/>
  <c r="AA7" i="9"/>
  <c r="AA7" i="2"/>
  <c r="AA7" i="12"/>
  <c r="AA7" i="11"/>
  <c r="AA7" i="8"/>
  <c r="AA40" i="14"/>
  <c r="Z9" i="2"/>
  <c r="Z9" i="12"/>
  <c r="Z9" i="11"/>
  <c r="Z9" i="8"/>
  <c r="Z9" i="9"/>
  <c r="AA57" i="14"/>
  <c r="Z26" i="2"/>
  <c r="Z26" i="11"/>
  <c r="Z26" i="8"/>
  <c r="Z26" i="9"/>
  <c r="Z26" i="12"/>
  <c r="AA51" i="14"/>
  <c r="Z20" i="9"/>
  <c r="Z20" i="2"/>
  <c r="Z20" i="12"/>
  <c r="Z20" i="8"/>
  <c r="Z20" i="11"/>
  <c r="AA35" i="14"/>
  <c r="Z4" i="12"/>
  <c r="Z4" i="11"/>
  <c r="Z4" i="9"/>
  <c r="Z4" i="2"/>
  <c r="Z4" i="8"/>
  <c r="E63" i="14"/>
  <c r="D32" i="2"/>
  <c r="D32" i="12"/>
  <c r="D32" i="11"/>
  <c r="D32" i="8"/>
  <c r="D32" i="9"/>
  <c r="E55" i="14"/>
  <c r="D24" i="2"/>
  <c r="D24" i="12"/>
  <c r="D24" i="11"/>
  <c r="D24" i="8"/>
  <c r="D24" i="9"/>
  <c r="E35" i="14"/>
  <c r="D4" i="2"/>
  <c r="D4" i="12"/>
  <c r="D4" i="11"/>
  <c r="D4" i="8"/>
  <c r="D4" i="9"/>
  <c r="Q62" i="14"/>
  <c r="P31" i="12"/>
  <c r="P31" i="11"/>
  <c r="P31" i="9"/>
  <c r="P31" i="8"/>
  <c r="P31" i="2"/>
  <c r="Q56" i="14"/>
  <c r="P25" i="12"/>
  <c r="P25" i="11"/>
  <c r="P25" i="9"/>
  <c r="P25" i="8"/>
  <c r="P25" i="2"/>
  <c r="Q55" i="14"/>
  <c r="P24" i="11"/>
  <c r="P24" i="8"/>
  <c r="P24" i="9"/>
  <c r="P24" i="12"/>
  <c r="P24" i="2"/>
  <c r="AC42" i="14"/>
  <c r="AB11" i="9"/>
  <c r="AB11" i="12"/>
  <c r="AB11" i="8"/>
  <c r="AB11" i="11"/>
  <c r="AB11" i="2"/>
  <c r="AC47" i="14"/>
  <c r="AB16" i="2"/>
  <c r="AB16" i="11"/>
  <c r="AB16" i="8"/>
  <c r="AB16" i="9"/>
  <c r="AB16" i="12"/>
  <c r="AC55" i="14"/>
  <c r="AB24" i="12"/>
  <c r="AB24" i="8"/>
  <c r="AB24" i="9"/>
  <c r="AB24" i="2"/>
  <c r="AB24" i="11"/>
  <c r="G62" i="14"/>
  <c r="F31" i="12"/>
  <c r="F31" i="11"/>
  <c r="F31" i="9"/>
  <c r="F31" i="2"/>
  <c r="F31" i="8"/>
  <c r="G49" i="14"/>
  <c r="F18" i="2"/>
  <c r="F18" i="11"/>
  <c r="F18" i="8"/>
  <c r="F18" i="9"/>
  <c r="F18" i="12"/>
  <c r="G43" i="14"/>
  <c r="F12" i="9"/>
  <c r="F12" i="12"/>
  <c r="F12" i="8"/>
  <c r="F12" i="2"/>
  <c r="F12" i="11"/>
  <c r="S56" i="14"/>
  <c r="R25" i="2"/>
  <c r="R25" i="12"/>
  <c r="R25" i="11"/>
  <c r="R25" i="8"/>
  <c r="R25" i="9"/>
  <c r="S51" i="14"/>
  <c r="R20" i="11"/>
  <c r="R20" i="9"/>
  <c r="R20" i="2"/>
  <c r="R20" i="12"/>
  <c r="R20" i="8"/>
  <c r="S55" i="14"/>
  <c r="R24" i="9"/>
  <c r="R24" i="12"/>
  <c r="R24" i="11"/>
  <c r="R24" i="8"/>
  <c r="R24" i="2"/>
  <c r="AE63" i="14"/>
  <c r="AD32" i="8"/>
  <c r="AD32" i="11"/>
  <c r="AD32" i="9"/>
  <c r="AD32" i="12"/>
  <c r="AD32" i="2"/>
  <c r="AE55" i="14"/>
  <c r="AD24" i="11"/>
  <c r="AD24" i="2"/>
  <c r="AD24" i="12"/>
  <c r="AD24" i="8"/>
  <c r="AD24" i="9"/>
  <c r="I46" i="14"/>
  <c r="H15" i="12"/>
  <c r="H15" i="8"/>
  <c r="H15" i="11"/>
  <c r="H15" i="9"/>
  <c r="H15" i="2"/>
  <c r="I41" i="14"/>
  <c r="H10" i="12"/>
  <c r="H10" i="11"/>
  <c r="H10" i="8"/>
  <c r="H10" i="9"/>
  <c r="H10" i="2"/>
  <c r="I59" i="14"/>
  <c r="H28" i="8"/>
  <c r="H28" i="9"/>
  <c r="H28" i="2"/>
  <c r="H28" i="12"/>
  <c r="H28" i="11"/>
  <c r="AG51" i="14"/>
  <c r="AF20" i="2"/>
  <c r="AF20" i="8"/>
  <c r="AF20" i="9"/>
  <c r="AF20" i="11"/>
  <c r="AF20" i="12"/>
  <c r="AG62" i="14"/>
  <c r="AF31" i="8"/>
  <c r="AF31" i="12"/>
  <c r="AF31" i="11"/>
  <c r="AF31" i="9"/>
  <c r="AF31" i="2"/>
  <c r="AG34" i="14"/>
  <c r="AF3" i="12"/>
  <c r="AF3" i="11"/>
  <c r="AF3" i="2"/>
  <c r="AF3" i="8"/>
  <c r="AF3" i="9"/>
  <c r="H61" i="14"/>
  <c r="G30" i="9"/>
  <c r="G30" i="11"/>
  <c r="G30" i="8"/>
  <c r="G30" i="2"/>
  <c r="G30" i="12"/>
  <c r="H48" i="14"/>
  <c r="G17" i="12"/>
  <c r="G17" i="11"/>
  <c r="G17" i="8"/>
  <c r="G17" i="9"/>
  <c r="G17" i="2"/>
  <c r="H59" i="14"/>
  <c r="G28" i="12"/>
  <c r="G28" i="11"/>
  <c r="G28" i="8"/>
  <c r="G28" i="9"/>
  <c r="G28" i="2"/>
  <c r="T42" i="14"/>
  <c r="S11" i="9"/>
  <c r="S11" i="2"/>
  <c r="S11" i="12"/>
  <c r="S11" i="11"/>
  <c r="S11" i="8"/>
  <c r="T41" i="14"/>
  <c r="S10" i="12"/>
  <c r="S10" i="11"/>
  <c r="S10" i="8"/>
  <c r="S10" i="9"/>
  <c r="S10" i="2"/>
  <c r="T52" i="14"/>
  <c r="S21" i="12"/>
  <c r="S21" i="11"/>
  <c r="S21" i="8"/>
  <c r="S21" i="9"/>
  <c r="S21" i="2"/>
  <c r="AF53" i="14"/>
  <c r="AE22" i="12"/>
  <c r="AE22" i="8"/>
  <c r="AE22" i="9"/>
  <c r="AE22" i="2"/>
  <c r="AE22" i="11"/>
  <c r="AF40" i="14"/>
  <c r="AE9" i="12"/>
  <c r="AE9" i="8"/>
  <c r="AE9" i="9"/>
  <c r="AE9" i="2"/>
  <c r="AE9" i="11"/>
  <c r="U46" i="14"/>
  <c r="T15" i="2"/>
  <c r="T15" i="9"/>
  <c r="T15" i="12"/>
  <c r="T15" i="8"/>
  <c r="T15" i="11"/>
  <c r="U43" i="14"/>
  <c r="T12" i="8"/>
  <c r="T12" i="11"/>
  <c r="T12" i="9"/>
  <c r="T12" i="12"/>
  <c r="T12" i="2"/>
  <c r="F61" i="14"/>
  <c r="E30" i="2"/>
  <c r="E30" i="8"/>
  <c r="E30" i="11"/>
  <c r="E30" i="9"/>
  <c r="E30" i="12"/>
  <c r="F44" i="14"/>
  <c r="E13" i="11"/>
  <c r="E13" i="9"/>
  <c r="E13" i="8"/>
  <c r="E13" i="2"/>
  <c r="E13" i="12"/>
  <c r="R55" i="14"/>
  <c r="Q24" i="2"/>
  <c r="Q24" i="8"/>
  <c r="Q24" i="11"/>
  <c r="Q24" i="9"/>
  <c r="Q24" i="12"/>
  <c r="R51" i="14"/>
  <c r="Q20" i="8"/>
  <c r="Q20" i="12"/>
  <c r="Q20" i="11"/>
  <c r="Q20" i="9"/>
  <c r="Q20" i="2"/>
  <c r="R34" i="14"/>
  <c r="Q3" i="2"/>
  <c r="Q3" i="12"/>
  <c r="Q3" i="8"/>
  <c r="Q3" i="11"/>
  <c r="Q3" i="9"/>
  <c r="AD63" i="14"/>
  <c r="AC32" i="11"/>
  <c r="AC32" i="2"/>
  <c r="AC32" i="12"/>
  <c r="AC32" i="8"/>
  <c r="AC32" i="9"/>
  <c r="AD44" i="14"/>
  <c r="AC13" i="12"/>
  <c r="AC13" i="11"/>
  <c r="AC13" i="9"/>
  <c r="AC13" i="2"/>
  <c r="AC13" i="8"/>
  <c r="AD50" i="14"/>
  <c r="AC19" i="12"/>
  <c r="AC19" i="8"/>
  <c r="AC19" i="9"/>
  <c r="AC19" i="2"/>
  <c r="AC19" i="11"/>
  <c r="V53" i="14"/>
  <c r="U22" i="12"/>
  <c r="U22" i="2"/>
  <c r="U22" i="11"/>
  <c r="U22" i="9"/>
  <c r="U22" i="8"/>
  <c r="V48" i="14"/>
  <c r="U17" i="12"/>
  <c r="U17" i="8"/>
  <c r="U17" i="9"/>
  <c r="U17" i="2"/>
  <c r="U17" i="11"/>
  <c r="K63" i="14"/>
  <c r="J32" i="12"/>
  <c r="J32" i="11"/>
  <c r="J32" i="8"/>
  <c r="J32" i="9"/>
  <c r="J32" i="2"/>
  <c r="K50" i="14"/>
  <c r="J19" i="12"/>
  <c r="J19" i="11"/>
  <c r="J19" i="8"/>
  <c r="J19" i="2"/>
  <c r="J19" i="9"/>
  <c r="K56" i="14"/>
  <c r="J25" i="12"/>
  <c r="J25" i="11"/>
  <c r="J25" i="9"/>
  <c r="J25" i="2"/>
  <c r="J25" i="8"/>
  <c r="K34" i="14"/>
  <c r="J3" i="2"/>
  <c r="J3" i="11"/>
  <c r="J3" i="12"/>
  <c r="J3" i="8"/>
  <c r="J3" i="9"/>
  <c r="K38" i="14"/>
  <c r="J7" i="8"/>
  <c r="J7" i="11"/>
  <c r="J7" i="9"/>
  <c r="J7" i="12"/>
  <c r="J7" i="2"/>
  <c r="X62" i="14"/>
  <c r="W31" i="8"/>
  <c r="W31" i="11"/>
  <c r="W31" i="9"/>
  <c r="W31" i="12"/>
  <c r="W31" i="2"/>
  <c r="X50" i="14"/>
  <c r="W19" i="12"/>
  <c r="W19" i="8"/>
  <c r="W19" i="11"/>
  <c r="W19" i="9"/>
  <c r="W19" i="2"/>
  <c r="X34" i="14"/>
  <c r="W3" i="12"/>
  <c r="W3" i="11"/>
  <c r="W3" i="8"/>
  <c r="W3" i="9"/>
  <c r="W3" i="2"/>
  <c r="L41" i="14"/>
  <c r="K10" i="2"/>
  <c r="K10" i="12"/>
  <c r="K10" i="11"/>
  <c r="K10" i="8"/>
  <c r="K10" i="9"/>
  <c r="L54" i="14"/>
  <c r="K23" i="9"/>
  <c r="K23" i="12"/>
  <c r="K23" i="8"/>
  <c r="K23" i="2"/>
  <c r="K23" i="11"/>
  <c r="Y53" i="14"/>
  <c r="X22" i="12"/>
  <c r="X22" i="11"/>
  <c r="X22" i="8"/>
  <c r="X22" i="9"/>
  <c r="X22" i="2"/>
  <c r="Y52" i="14"/>
  <c r="X21" i="11"/>
  <c r="X21" i="9"/>
  <c r="X21" i="2"/>
  <c r="X21" i="12"/>
  <c r="X21" i="8"/>
  <c r="M44" i="14"/>
  <c r="L13" i="2"/>
  <c r="L13" i="12"/>
  <c r="L13" i="11"/>
  <c r="L13" i="9"/>
  <c r="L13" i="8"/>
  <c r="M37" i="14"/>
  <c r="L6" i="12"/>
  <c r="L6" i="11"/>
  <c r="L6" i="2"/>
  <c r="L6" i="8"/>
  <c r="L6" i="9"/>
  <c r="M38" i="14"/>
  <c r="L7" i="2"/>
  <c r="L7" i="12"/>
  <c r="L7" i="8"/>
  <c r="L7" i="11"/>
  <c r="L7" i="9"/>
  <c r="J59" i="14"/>
  <c r="I28" i="11"/>
  <c r="I28" i="8"/>
  <c r="I28" i="12"/>
  <c r="I28" i="9"/>
  <c r="I28" i="2"/>
  <c r="J60" i="14"/>
  <c r="I29" i="12"/>
  <c r="I29" i="11"/>
  <c r="I29" i="8"/>
  <c r="I29" i="9"/>
  <c r="I29" i="2"/>
  <c r="D60" i="14"/>
  <c r="C29" i="12"/>
  <c r="C29" i="11"/>
  <c r="C29" i="9"/>
  <c r="C29" i="2"/>
  <c r="C29" i="8"/>
  <c r="D38" i="14"/>
  <c r="C7" i="8"/>
  <c r="C7" i="9"/>
  <c r="C7" i="2"/>
  <c r="C7" i="12"/>
  <c r="C7" i="11"/>
  <c r="W58" i="14"/>
  <c r="V27" i="9"/>
  <c r="V27" i="2"/>
  <c r="V27" i="12"/>
  <c r="V27" i="11"/>
  <c r="V27" i="8"/>
  <c r="W52" i="14"/>
  <c r="V21" i="11"/>
  <c r="V21" i="8"/>
  <c r="V21" i="9"/>
  <c r="V21" i="12"/>
  <c r="V21" i="2"/>
  <c r="Z62" i="14"/>
  <c r="Y31" i="2"/>
  <c r="Y31" i="12"/>
  <c r="Y31" i="11"/>
  <c r="Y31" i="9"/>
  <c r="Y31" i="8"/>
  <c r="E61" i="14"/>
  <c r="D30" i="9"/>
  <c r="D30" i="12"/>
  <c r="D30" i="11"/>
  <c r="D30" i="8"/>
  <c r="D30" i="2"/>
  <c r="AC40" i="14"/>
  <c r="AB9" i="2"/>
  <c r="AB9" i="8"/>
  <c r="AB9" i="9"/>
  <c r="AB9" i="12"/>
  <c r="AB9" i="11"/>
  <c r="AE48" i="14"/>
  <c r="AD17" i="11"/>
  <c r="AD17" i="8"/>
  <c r="AD17" i="9"/>
  <c r="AD17" i="12"/>
  <c r="AD17" i="2"/>
  <c r="AG56" i="14"/>
  <c r="AF25" i="8"/>
  <c r="AF25" i="11"/>
  <c r="AF25" i="9"/>
  <c r="AF25" i="2"/>
  <c r="AF25" i="12"/>
  <c r="T60" i="14"/>
  <c r="S29" i="8"/>
  <c r="S29" i="9"/>
  <c r="S29" i="2"/>
  <c r="S29" i="12"/>
  <c r="S29" i="11"/>
  <c r="U52" i="14"/>
  <c r="T21" i="12"/>
  <c r="T21" i="11"/>
  <c r="T21" i="2"/>
  <c r="T21" i="9"/>
  <c r="T21" i="8"/>
  <c r="F42" i="14"/>
  <c r="E11" i="2"/>
  <c r="E11" i="8"/>
  <c r="E11" i="9"/>
  <c r="E11" i="11"/>
  <c r="E11" i="12"/>
  <c r="V59" i="14"/>
  <c r="U28" i="12"/>
  <c r="U28" i="11"/>
  <c r="U28" i="8"/>
  <c r="U28" i="9"/>
  <c r="U28" i="2"/>
  <c r="J41" i="14"/>
  <c r="I10" i="12"/>
  <c r="I10" i="11"/>
  <c r="I10" i="8"/>
  <c r="I10" i="9"/>
  <c r="I10" i="2"/>
  <c r="N38" i="14"/>
  <c r="M7" i="2"/>
  <c r="M7" i="11"/>
  <c r="M7" i="9"/>
  <c r="M7" i="12"/>
  <c r="M7" i="8"/>
  <c r="N50" i="14"/>
  <c r="M19" i="2"/>
  <c r="M19" i="11"/>
  <c r="M19" i="8"/>
  <c r="M19" i="9"/>
  <c r="M19" i="12"/>
  <c r="N46" i="14"/>
  <c r="M15" i="12"/>
  <c r="M15" i="11"/>
  <c r="M15" i="8"/>
  <c r="M15" i="9"/>
  <c r="M15" i="2"/>
  <c r="N35" i="14"/>
  <c r="M4" i="12"/>
  <c r="M4" i="8"/>
  <c r="M4" i="2"/>
  <c r="M4" i="11"/>
  <c r="M4" i="9"/>
  <c r="Z60" i="14"/>
  <c r="Y29" i="2"/>
  <c r="Y29" i="11"/>
  <c r="Y29" i="8"/>
  <c r="Y29" i="9"/>
  <c r="Y29" i="12"/>
  <c r="Z59" i="14"/>
  <c r="Y28" i="9"/>
  <c r="Y28" i="2"/>
  <c r="Y28" i="12"/>
  <c r="Y28" i="11"/>
  <c r="Y28" i="8"/>
  <c r="Z53" i="14"/>
  <c r="Y22" i="12"/>
  <c r="Y22" i="11"/>
  <c r="Y22" i="8"/>
  <c r="Y22" i="9"/>
  <c r="Y22" i="2"/>
  <c r="Z35" i="14"/>
  <c r="Y4" i="11"/>
  <c r="Y4" i="8"/>
  <c r="Y4" i="9"/>
  <c r="Y4" i="12"/>
  <c r="Y4" i="2"/>
  <c r="O40" i="14"/>
  <c r="N9" i="9"/>
  <c r="N9" i="12"/>
  <c r="N9" i="11"/>
  <c r="N9" i="8"/>
  <c r="N9" i="2"/>
  <c r="O45" i="14"/>
  <c r="N14" i="2"/>
  <c r="N14" i="11"/>
  <c r="N14" i="8"/>
  <c r="N14" i="9"/>
  <c r="N14" i="12"/>
  <c r="O39" i="14"/>
  <c r="N8" i="9"/>
  <c r="N8" i="12"/>
  <c r="N8" i="8"/>
  <c r="N8" i="11"/>
  <c r="N8" i="2"/>
  <c r="P61" i="14"/>
  <c r="O30" i="12"/>
  <c r="O30" i="11"/>
  <c r="O30" i="9"/>
  <c r="O30" i="2"/>
  <c r="O30" i="8"/>
  <c r="P54" i="14"/>
  <c r="O23" i="12"/>
  <c r="O23" i="8"/>
  <c r="O23" i="11"/>
  <c r="O23" i="9"/>
  <c r="O23" i="2"/>
  <c r="P60" i="14"/>
  <c r="O29" i="12"/>
  <c r="O29" i="11"/>
  <c r="O29" i="8"/>
  <c r="O29" i="9"/>
  <c r="O29" i="2"/>
  <c r="AB59" i="14"/>
  <c r="AA28" i="12"/>
  <c r="AA28" i="11"/>
  <c r="AA28" i="8"/>
  <c r="AA28" i="9"/>
  <c r="AA28" i="2"/>
  <c r="AB52" i="14"/>
  <c r="AA21" i="2"/>
  <c r="AA21" i="11"/>
  <c r="AA21" i="8"/>
  <c r="AA21" i="9"/>
  <c r="AA21" i="12"/>
  <c r="AB46" i="14"/>
  <c r="AA15" i="9"/>
  <c r="AA15" i="12"/>
  <c r="AA15" i="11"/>
  <c r="AA15" i="8"/>
  <c r="AA15" i="2"/>
  <c r="AA45" i="14"/>
  <c r="Z14" i="2"/>
  <c r="Z14" i="8"/>
  <c r="Z14" i="9"/>
  <c r="Z14" i="11"/>
  <c r="Z14" i="12"/>
  <c r="AA39" i="14"/>
  <c r="Z8" i="8"/>
  <c r="Z8" i="12"/>
  <c r="Z8" i="2"/>
  <c r="Z8" i="11"/>
  <c r="Z8" i="9"/>
  <c r="E60" i="14"/>
  <c r="D29" i="2"/>
  <c r="D29" i="12"/>
  <c r="D29" i="11"/>
  <c r="D29" i="8"/>
  <c r="D29" i="9"/>
  <c r="E56" i="14"/>
  <c r="D25" i="12"/>
  <c r="D25" i="11"/>
  <c r="D25" i="9"/>
  <c r="D25" i="2"/>
  <c r="D25" i="8"/>
  <c r="E43" i="14"/>
  <c r="D12" i="11"/>
  <c r="D12" i="8"/>
  <c r="D12" i="9"/>
  <c r="D12" i="2"/>
  <c r="D12" i="12"/>
  <c r="Q48" i="14"/>
  <c r="P17" i="8"/>
  <c r="P17" i="12"/>
  <c r="P17" i="2"/>
  <c r="P17" i="9"/>
  <c r="P17" i="11"/>
  <c r="Q44" i="14"/>
  <c r="P13" i="8"/>
  <c r="P13" i="11"/>
  <c r="P13" i="2"/>
  <c r="P13" i="9"/>
  <c r="P13" i="12"/>
  <c r="Q43" i="14"/>
  <c r="P12" i="2"/>
  <c r="P12" i="12"/>
  <c r="P12" i="8"/>
  <c r="P12" i="9"/>
  <c r="P12" i="11"/>
  <c r="AC49" i="14"/>
  <c r="AB18" i="12"/>
  <c r="AB18" i="8"/>
  <c r="AB18" i="11"/>
  <c r="AB18" i="9"/>
  <c r="AB18" i="2"/>
  <c r="AC43" i="14"/>
  <c r="AB12" i="12"/>
  <c r="AB12" i="11"/>
  <c r="AB12" i="2"/>
  <c r="AB12" i="8"/>
  <c r="AB12" i="9"/>
  <c r="G38" i="14"/>
  <c r="F7" i="12"/>
  <c r="F7" i="11"/>
  <c r="F7" i="8"/>
  <c r="F7" i="9"/>
  <c r="F7" i="2"/>
  <c r="G51" i="14"/>
  <c r="F20" i="12"/>
  <c r="F20" i="8"/>
  <c r="F20" i="11"/>
  <c r="F20" i="2"/>
  <c r="F20" i="9"/>
  <c r="G34" i="14"/>
  <c r="F3" i="2"/>
  <c r="F3" i="12"/>
  <c r="F3" i="8"/>
  <c r="F3" i="11"/>
  <c r="F3" i="9"/>
  <c r="S59" i="14"/>
  <c r="R28" i="11"/>
  <c r="R28" i="8"/>
  <c r="R28" i="9"/>
  <c r="R28" i="2"/>
  <c r="R28" i="12"/>
  <c r="S39" i="14"/>
  <c r="R8" i="9"/>
  <c r="R8" i="2"/>
  <c r="R8" i="12"/>
  <c r="R8" i="11"/>
  <c r="R8" i="8"/>
  <c r="S43" i="14"/>
  <c r="R12" i="8"/>
  <c r="R12" i="2"/>
  <c r="R12" i="12"/>
  <c r="R12" i="11"/>
  <c r="R12" i="9"/>
  <c r="S34" i="14"/>
  <c r="R3" i="11"/>
  <c r="R3" i="8"/>
  <c r="R3" i="2"/>
  <c r="R3" i="9"/>
  <c r="R3" i="12"/>
  <c r="AE50" i="14"/>
  <c r="AD19" i="8"/>
  <c r="AD19" i="2"/>
  <c r="AD19" i="12"/>
  <c r="AD19" i="11"/>
  <c r="AD19" i="9"/>
  <c r="AE51" i="14"/>
  <c r="AD20" i="12"/>
  <c r="AD20" i="8"/>
  <c r="AD20" i="11"/>
  <c r="AD20" i="9"/>
  <c r="AD20" i="2"/>
  <c r="AE43" i="14"/>
  <c r="AD12" i="12"/>
  <c r="AD12" i="9"/>
  <c r="AD12" i="8"/>
  <c r="AD12" i="2"/>
  <c r="AD12" i="11"/>
  <c r="AE34" i="14"/>
  <c r="AD3" i="2"/>
  <c r="AD3" i="8"/>
  <c r="AD3" i="9"/>
  <c r="AD3" i="12"/>
  <c r="AD3" i="11"/>
  <c r="I49" i="14"/>
  <c r="H18" i="11"/>
  <c r="H18" i="9"/>
  <c r="H18" i="2"/>
  <c r="H18" i="8"/>
  <c r="H18" i="12"/>
  <c r="I60" i="14"/>
  <c r="H29" i="9"/>
  <c r="H29" i="2"/>
  <c r="H29" i="12"/>
  <c r="H29" i="8"/>
  <c r="H29" i="11"/>
  <c r="I47" i="14"/>
  <c r="H16" i="12"/>
  <c r="H16" i="8"/>
  <c r="H16" i="9"/>
  <c r="H16" i="2"/>
  <c r="H16" i="11"/>
  <c r="AG39" i="14"/>
  <c r="AF8" i="2"/>
  <c r="AF8" i="12"/>
  <c r="AF8" i="11"/>
  <c r="AF8" i="8"/>
  <c r="AF8" i="9"/>
  <c r="AG50" i="14"/>
  <c r="AF19" i="2"/>
  <c r="AF19" i="12"/>
  <c r="AF19" i="11"/>
  <c r="AF19" i="9"/>
  <c r="AF19" i="8"/>
  <c r="H49" i="14"/>
  <c r="G18" i="2"/>
  <c r="G18" i="11"/>
  <c r="G18" i="12"/>
  <c r="G18" i="8"/>
  <c r="G18" i="9"/>
  <c r="H47" i="14"/>
  <c r="G16" i="12"/>
  <c r="G16" i="11"/>
  <c r="G16" i="9"/>
  <c r="G16" i="2"/>
  <c r="G16" i="8"/>
  <c r="T61" i="14"/>
  <c r="S30" i="12"/>
  <c r="S30" i="11"/>
  <c r="S30" i="9"/>
  <c r="S30" i="2"/>
  <c r="S30" i="8"/>
  <c r="T36" i="14"/>
  <c r="S5" i="11"/>
  <c r="S5" i="8"/>
  <c r="S5" i="9"/>
  <c r="S5" i="2"/>
  <c r="S5" i="12"/>
  <c r="T40" i="14"/>
  <c r="S9" i="8"/>
  <c r="S9" i="9"/>
  <c r="S9" i="12"/>
  <c r="S9" i="11"/>
  <c r="S9" i="2"/>
  <c r="AF42" i="14"/>
  <c r="AE11" i="11"/>
  <c r="AJ6" i="11"/>
  <c r="AE11" i="8"/>
  <c r="AJ11" i="11"/>
  <c r="AJ11" i="9"/>
  <c r="AJ6" i="9"/>
  <c r="AJ6" i="8"/>
  <c r="AJ11" i="8"/>
  <c r="AJ6" i="12"/>
  <c r="AJ11" i="12"/>
  <c r="AE11" i="12"/>
  <c r="AE11" i="9"/>
  <c r="AE11" i="2"/>
  <c r="AF41" i="14"/>
  <c r="AE10" i="8"/>
  <c r="AE10" i="11"/>
  <c r="AE10" i="9"/>
  <c r="AE10" i="12"/>
  <c r="AE10" i="2"/>
  <c r="AF36" i="14"/>
  <c r="AE5" i="12"/>
  <c r="AE5" i="11"/>
  <c r="AE5" i="2"/>
  <c r="AE5" i="8"/>
  <c r="AE5" i="9"/>
  <c r="U56" i="14"/>
  <c r="T25" i="12"/>
  <c r="T25" i="8"/>
  <c r="T25" i="11"/>
  <c r="T25" i="9"/>
  <c r="T25" i="2"/>
  <c r="F55" i="14"/>
  <c r="E24" i="8"/>
  <c r="E24" i="11"/>
  <c r="E24" i="9"/>
  <c r="E24" i="2"/>
  <c r="E24" i="12"/>
  <c r="F38" i="14"/>
  <c r="E7" i="8"/>
  <c r="E7" i="9"/>
  <c r="E7" i="2"/>
  <c r="E7" i="11"/>
  <c r="E7" i="12"/>
  <c r="F50" i="14"/>
  <c r="E19" i="2"/>
  <c r="E19" i="12"/>
  <c r="E19" i="11"/>
  <c r="E19" i="8"/>
  <c r="E19" i="9"/>
  <c r="R62" i="14"/>
  <c r="Q31" i="11"/>
  <c r="Q31" i="12"/>
  <c r="Q31" i="8"/>
  <c r="Q31" i="2"/>
  <c r="Q31" i="9"/>
  <c r="R39" i="14"/>
  <c r="Q8" i="11"/>
  <c r="Q8" i="8"/>
  <c r="Q8" i="2"/>
  <c r="Q8" i="9"/>
  <c r="Q8" i="12"/>
  <c r="R35" i="14"/>
  <c r="Q4" i="2"/>
  <c r="Q4" i="12"/>
  <c r="Q4" i="8"/>
  <c r="Q4" i="11"/>
  <c r="Q4" i="9"/>
  <c r="AD61" i="14"/>
  <c r="AC30" i="12"/>
  <c r="AC30" i="8"/>
  <c r="AC30" i="11"/>
  <c r="AC30" i="9"/>
  <c r="AC30" i="2"/>
  <c r="AD34" i="14"/>
  <c r="AC3" i="11"/>
  <c r="AC3" i="8"/>
  <c r="AC3" i="2"/>
  <c r="AC3" i="9"/>
  <c r="AC3" i="12"/>
  <c r="V56" i="14"/>
  <c r="U25" i="8"/>
  <c r="U25" i="9"/>
  <c r="U25" i="2"/>
  <c r="U25" i="12"/>
  <c r="U25" i="11"/>
  <c r="V54" i="14"/>
  <c r="U23" i="2"/>
  <c r="U23" i="12"/>
  <c r="U23" i="11"/>
  <c r="U23" i="9"/>
  <c r="U23" i="8"/>
  <c r="K61" i="14"/>
  <c r="J30" i="9"/>
  <c r="J30" i="2"/>
  <c r="J30" i="12"/>
  <c r="J30" i="11"/>
  <c r="J30" i="8"/>
  <c r="K57" i="14"/>
  <c r="J26" i="12"/>
  <c r="J26" i="11"/>
  <c r="J26" i="8"/>
  <c r="J26" i="9"/>
  <c r="J26" i="2"/>
  <c r="K44" i="14"/>
  <c r="J13" i="9"/>
  <c r="J13" i="2"/>
  <c r="J13" i="12"/>
  <c r="J13" i="8"/>
  <c r="J13" i="11"/>
  <c r="X55" i="14"/>
  <c r="W24" i="2"/>
  <c r="W24" i="11"/>
  <c r="W24" i="8"/>
  <c r="W24" i="12"/>
  <c r="W24" i="9"/>
  <c r="X36" i="14"/>
  <c r="W5" i="2"/>
  <c r="W5" i="11"/>
  <c r="W5" i="8"/>
  <c r="W5" i="9"/>
  <c r="W5" i="12"/>
  <c r="X56" i="14"/>
  <c r="W25" i="8"/>
  <c r="W25" i="11"/>
  <c r="W25" i="9"/>
  <c r="W25" i="2"/>
  <c r="W25" i="12"/>
  <c r="L42" i="14"/>
  <c r="K11" i="11"/>
  <c r="K11" i="2"/>
  <c r="K11" i="12"/>
  <c r="K11" i="8"/>
  <c r="K11" i="9"/>
  <c r="Y44" i="14"/>
  <c r="X13" i="11"/>
  <c r="X13" i="12"/>
  <c r="X13" i="2"/>
  <c r="X13" i="8"/>
  <c r="X13" i="9"/>
  <c r="Y40" i="14"/>
  <c r="X9" i="8"/>
  <c r="X9" i="11"/>
  <c r="X9" i="9"/>
  <c r="X9" i="12"/>
  <c r="X9" i="2"/>
  <c r="Y51" i="14"/>
  <c r="X20" i="11"/>
  <c r="X20" i="8"/>
  <c r="X20" i="9"/>
  <c r="X20" i="2"/>
  <c r="X20" i="12"/>
  <c r="M62" i="14"/>
  <c r="L31" i="12"/>
  <c r="L31" i="11"/>
  <c r="L31" i="8"/>
  <c r="L31" i="2"/>
  <c r="L31" i="9"/>
  <c r="M52" i="14"/>
  <c r="L21" i="12"/>
  <c r="L21" i="8"/>
  <c r="L21" i="11"/>
  <c r="L21" i="9"/>
  <c r="L21" i="2"/>
  <c r="J47" i="14"/>
  <c r="I16" i="8"/>
  <c r="I16" i="12"/>
  <c r="I16" i="11"/>
  <c r="I16" i="2"/>
  <c r="I16" i="9"/>
  <c r="J48" i="14"/>
  <c r="I17" i="12"/>
  <c r="I17" i="8"/>
  <c r="I17" i="9"/>
  <c r="I17" i="2"/>
  <c r="I17" i="11"/>
  <c r="J54" i="14"/>
  <c r="I23" i="8"/>
  <c r="I23" i="11"/>
  <c r="I23" i="9"/>
  <c r="I23" i="2"/>
  <c r="I23" i="12"/>
  <c r="D36" i="14"/>
  <c r="C5" i="12"/>
  <c r="C5" i="11"/>
  <c r="C5" i="8"/>
  <c r="C5" i="9"/>
  <c r="C5" i="2"/>
  <c r="D37" i="14"/>
  <c r="C6" i="12"/>
  <c r="C6" i="11"/>
  <c r="C6" i="8"/>
  <c r="C6" i="9"/>
  <c r="C6" i="2"/>
  <c r="D35" i="14"/>
  <c r="C4" i="12"/>
  <c r="C4" i="11"/>
  <c r="C4" i="8"/>
  <c r="C4" i="9"/>
  <c r="C4" i="2"/>
  <c r="W46" i="14"/>
  <c r="V15" i="2"/>
  <c r="V15" i="12"/>
  <c r="V15" i="11"/>
  <c r="V15" i="8"/>
  <c r="V15" i="9"/>
  <c r="W40" i="14"/>
  <c r="V9" i="12"/>
  <c r="V9" i="11"/>
  <c r="V9" i="8"/>
  <c r="V9" i="2"/>
  <c r="V9" i="9"/>
  <c r="W36" i="14"/>
  <c r="V5" i="2"/>
  <c r="V5" i="9"/>
  <c r="V5" i="12"/>
  <c r="V5" i="8"/>
  <c r="V5" i="11"/>
  <c r="AC38" i="14"/>
  <c r="AB7" i="2"/>
  <c r="AB7" i="12"/>
  <c r="AB7" i="8"/>
  <c r="AB7" i="9"/>
  <c r="AB7" i="11"/>
  <c r="G48" i="14"/>
  <c r="F17" i="8"/>
  <c r="F17" i="11"/>
  <c r="F17" i="9"/>
  <c r="F17" i="2"/>
  <c r="F17" i="12"/>
  <c r="AF62" i="14"/>
  <c r="AE31" i="8"/>
  <c r="AE31" i="9"/>
  <c r="AE31" i="2"/>
  <c r="AE31" i="12"/>
  <c r="AE31" i="11"/>
  <c r="U36" i="14"/>
  <c r="T5" i="12"/>
  <c r="T5" i="11"/>
  <c r="T5" i="2"/>
  <c r="T5" i="8"/>
  <c r="T5" i="9"/>
  <c r="K41" i="14"/>
  <c r="J10" i="2"/>
  <c r="J10" i="12"/>
  <c r="J10" i="11"/>
  <c r="J10" i="8"/>
  <c r="J10" i="9"/>
  <c r="X54" i="14"/>
  <c r="W23" i="8"/>
  <c r="W23" i="12"/>
  <c r="W23" i="11"/>
  <c r="W23" i="9"/>
  <c r="W23" i="2"/>
  <c r="L38" i="14"/>
  <c r="K7" i="12"/>
  <c r="K7" i="8"/>
  <c r="K7" i="11"/>
  <c r="K7" i="9"/>
  <c r="K7" i="2"/>
  <c r="N52" i="14"/>
  <c r="M21" i="11"/>
  <c r="M21" i="9"/>
  <c r="M21" i="12"/>
  <c r="M21" i="8"/>
  <c r="M21" i="2"/>
  <c r="Z63" i="14"/>
  <c r="Y32" i="9"/>
  <c r="Y32" i="2"/>
  <c r="Y32" i="12"/>
  <c r="Y32" i="11"/>
  <c r="Y32" i="8"/>
  <c r="Z47" i="14"/>
  <c r="Y16" i="12"/>
  <c r="Y16" i="11"/>
  <c r="Y16" i="8"/>
  <c r="Y16" i="2"/>
  <c r="Y16" i="9"/>
  <c r="Z41" i="14"/>
  <c r="Y10" i="12"/>
  <c r="Y10" i="11"/>
  <c r="Y10" i="8"/>
  <c r="Y10" i="9"/>
  <c r="Y10" i="2"/>
  <c r="O37" i="14"/>
  <c r="N6" i="11"/>
  <c r="N6" i="8"/>
  <c r="N6" i="9"/>
  <c r="N6" i="12"/>
  <c r="N6" i="2"/>
  <c r="O38" i="14"/>
  <c r="N7" i="2"/>
  <c r="N7" i="11"/>
  <c r="N7" i="9"/>
  <c r="N7" i="12"/>
  <c r="N7" i="8"/>
  <c r="P47" i="14"/>
  <c r="O16" i="12"/>
  <c r="O16" i="8"/>
  <c r="O16" i="11"/>
  <c r="O16" i="9"/>
  <c r="O16" i="2"/>
  <c r="P42" i="14"/>
  <c r="O11" i="11"/>
  <c r="O11" i="9"/>
  <c r="O11" i="2"/>
  <c r="O11" i="12"/>
  <c r="O11" i="8"/>
  <c r="P48" i="14"/>
  <c r="O17" i="2"/>
  <c r="O17" i="12"/>
  <c r="O17" i="8"/>
  <c r="O17" i="9"/>
  <c r="O17" i="11"/>
  <c r="P37" i="14"/>
  <c r="O6" i="8"/>
  <c r="O6" i="9"/>
  <c r="O6" i="12"/>
  <c r="O6" i="2"/>
  <c r="O6" i="11"/>
  <c r="AB60" i="14"/>
  <c r="AA29" i="12"/>
  <c r="AA29" i="8"/>
  <c r="AA29" i="9"/>
  <c r="AA29" i="2"/>
  <c r="AA29" i="11"/>
  <c r="AB40" i="14"/>
  <c r="AA9" i="2"/>
  <c r="AA9" i="8"/>
  <c r="AA9" i="9"/>
  <c r="AA9" i="11"/>
  <c r="AA9" i="12"/>
  <c r="AB37" i="14"/>
  <c r="AA6" i="12"/>
  <c r="AA6" i="8"/>
  <c r="AA6" i="2"/>
  <c r="AA6" i="11"/>
  <c r="AA6" i="9"/>
  <c r="AA60" i="14"/>
  <c r="Z29" i="9"/>
  <c r="Z29" i="2"/>
  <c r="Z29" i="12"/>
  <c r="Z29" i="11"/>
  <c r="Z29" i="8"/>
  <c r="AA36" i="14"/>
  <c r="Z5" i="12"/>
  <c r="Z5" i="11"/>
  <c r="Z5" i="8"/>
  <c r="Z5" i="9"/>
  <c r="Z5" i="2"/>
  <c r="AA37" i="14"/>
  <c r="Z6" i="8"/>
  <c r="Z6" i="2"/>
  <c r="Z6" i="12"/>
  <c r="Z6" i="11"/>
  <c r="Z6" i="9"/>
  <c r="E45" i="14"/>
  <c r="D14" i="12"/>
  <c r="D14" i="11"/>
  <c r="D14" i="8"/>
  <c r="D14" i="9"/>
  <c r="D14" i="2"/>
  <c r="E44" i="14"/>
  <c r="D13" i="2"/>
  <c r="D13" i="12"/>
  <c r="D13" i="11"/>
  <c r="D13" i="8"/>
  <c r="D13" i="9"/>
  <c r="E50" i="14"/>
  <c r="D19" i="12"/>
  <c r="D19" i="11"/>
  <c r="D19" i="8"/>
  <c r="D19" i="9"/>
  <c r="D19" i="2"/>
  <c r="Q35" i="14"/>
  <c r="P4" i="2"/>
  <c r="P4" i="11"/>
  <c r="P4" i="12"/>
  <c r="P4" i="9"/>
  <c r="P4" i="8"/>
  <c r="AC63" i="14"/>
  <c r="AB32" i="8"/>
  <c r="AB32" i="9"/>
  <c r="AB32" i="12"/>
  <c r="AB32" i="11"/>
  <c r="AB32" i="2"/>
  <c r="AC35" i="14"/>
  <c r="AB4" i="2"/>
  <c r="AB4" i="8"/>
  <c r="AB4" i="9"/>
  <c r="AB4" i="11"/>
  <c r="AB4" i="12"/>
  <c r="G59" i="14"/>
  <c r="F28" i="12"/>
  <c r="F28" i="11"/>
  <c r="F28" i="8"/>
  <c r="F28" i="9"/>
  <c r="F28" i="2"/>
  <c r="G57" i="14"/>
  <c r="F26" i="12"/>
  <c r="F26" i="8"/>
  <c r="F26" i="9"/>
  <c r="F26" i="2"/>
  <c r="F26" i="11"/>
  <c r="S47" i="14"/>
  <c r="R16" i="2"/>
  <c r="R16" i="12"/>
  <c r="R16" i="11"/>
  <c r="R16" i="8"/>
  <c r="R16" i="9"/>
  <c r="S57" i="14"/>
  <c r="R26" i="12"/>
  <c r="R26" i="11"/>
  <c r="R26" i="8"/>
  <c r="R26" i="9"/>
  <c r="R26" i="2"/>
  <c r="AE44" i="14"/>
  <c r="AD13" i="12"/>
  <c r="AD13" i="11"/>
  <c r="AD13" i="8"/>
  <c r="AD13" i="9"/>
  <c r="AD13" i="2"/>
  <c r="AE39" i="14"/>
  <c r="AD8" i="12"/>
  <c r="AD8" i="11"/>
  <c r="AD8" i="8"/>
  <c r="AD8" i="9"/>
  <c r="AD8" i="2"/>
  <c r="AE57" i="14"/>
  <c r="AD26" i="11"/>
  <c r="AD26" i="8"/>
  <c r="AD26" i="9"/>
  <c r="AD26" i="2"/>
  <c r="AD26" i="12"/>
  <c r="I40" i="14"/>
  <c r="H9" i="2"/>
  <c r="H9" i="8"/>
  <c r="H9" i="11"/>
  <c r="H9" i="9"/>
  <c r="H9" i="12"/>
  <c r="I48" i="14"/>
  <c r="H17" i="8"/>
  <c r="H17" i="11"/>
  <c r="H17" i="9"/>
  <c r="H17" i="12"/>
  <c r="H17" i="2"/>
  <c r="I54" i="14"/>
  <c r="H23" i="9"/>
  <c r="H23" i="2"/>
  <c r="H23" i="12"/>
  <c r="H23" i="11"/>
  <c r="H23" i="8"/>
  <c r="I36" i="14"/>
  <c r="H5" i="11"/>
  <c r="H5" i="2"/>
  <c r="H5" i="9"/>
  <c r="H5" i="8"/>
  <c r="H5" i="12"/>
  <c r="H56" i="14"/>
  <c r="G25" i="2"/>
  <c r="G25" i="12"/>
  <c r="G25" i="11"/>
  <c r="G25" i="8"/>
  <c r="G25" i="9"/>
  <c r="H55" i="14"/>
  <c r="G24" i="11"/>
  <c r="G24" i="8"/>
  <c r="G24" i="9"/>
  <c r="G24" i="12"/>
  <c r="G24" i="2"/>
  <c r="H36" i="14"/>
  <c r="G5" i="8"/>
  <c r="G5" i="11"/>
  <c r="G5" i="9"/>
  <c r="G5" i="12"/>
  <c r="G5" i="2"/>
  <c r="T49" i="14"/>
  <c r="S18" i="2"/>
  <c r="S18" i="8"/>
  <c r="S18" i="9"/>
  <c r="S18" i="12"/>
  <c r="S18" i="11"/>
  <c r="T59" i="14"/>
  <c r="S28" i="12"/>
  <c r="S28" i="11"/>
  <c r="S28" i="2"/>
  <c r="S28" i="8"/>
  <c r="S28" i="9"/>
  <c r="AF59" i="14"/>
  <c r="AE28" i="12"/>
  <c r="AE28" i="11"/>
  <c r="AE28" i="8"/>
  <c r="AE28" i="2"/>
  <c r="AE28" i="9"/>
  <c r="U44" i="14"/>
  <c r="T13" i="2"/>
  <c r="T13" i="11"/>
  <c r="T13" i="9"/>
  <c r="T13" i="12"/>
  <c r="T13" i="8"/>
  <c r="U62" i="14"/>
  <c r="T31" i="12"/>
  <c r="T31" i="8"/>
  <c r="T31" i="11"/>
  <c r="T31" i="9"/>
  <c r="T31" i="2"/>
  <c r="U35" i="14"/>
  <c r="T4" i="8"/>
  <c r="T4" i="9"/>
  <c r="T4" i="11"/>
  <c r="T4" i="12"/>
  <c r="T4" i="2"/>
  <c r="F35" i="14"/>
  <c r="E4" i="2"/>
  <c r="E4" i="12"/>
  <c r="E4" i="11"/>
  <c r="E4" i="8"/>
  <c r="E4" i="9"/>
  <c r="F57" i="14"/>
  <c r="E26" i="8"/>
  <c r="E26" i="9"/>
  <c r="E26" i="2"/>
  <c r="E26" i="12"/>
  <c r="E26" i="11"/>
  <c r="R40" i="14"/>
  <c r="Q9" i="11"/>
  <c r="Q9" i="8"/>
  <c r="Q9" i="9"/>
  <c r="Q9" i="2"/>
  <c r="Q9" i="12"/>
  <c r="R50" i="14"/>
  <c r="Q19" i="8"/>
  <c r="Q19" i="9"/>
  <c r="Q19" i="11"/>
  <c r="Q19" i="12"/>
  <c r="Q19" i="2"/>
  <c r="AD51" i="14"/>
  <c r="AC20" i="2"/>
  <c r="AC20" i="8"/>
  <c r="AC20" i="11"/>
  <c r="AC20" i="9"/>
  <c r="AC20" i="12"/>
  <c r="AD57" i="14"/>
  <c r="AC26" i="2"/>
  <c r="AC26" i="12"/>
  <c r="AC26" i="11"/>
  <c r="AC26" i="8"/>
  <c r="AC26" i="9"/>
  <c r="V41" i="14"/>
  <c r="U10" i="2"/>
  <c r="U10" i="9"/>
  <c r="U10" i="12"/>
  <c r="U10" i="8"/>
  <c r="U10" i="11"/>
  <c r="V55" i="14"/>
  <c r="U24" i="8"/>
  <c r="U24" i="11"/>
  <c r="U24" i="9"/>
  <c r="U24" i="2"/>
  <c r="U24" i="12"/>
  <c r="V42" i="14"/>
  <c r="U11" i="12"/>
  <c r="U11" i="11"/>
  <c r="U11" i="8"/>
  <c r="U11" i="9"/>
  <c r="U11" i="2"/>
  <c r="K60" i="14"/>
  <c r="J29" i="2"/>
  <c r="J29" i="12"/>
  <c r="J29" i="11"/>
  <c r="J29" i="8"/>
  <c r="J29" i="9"/>
  <c r="K45" i="14"/>
  <c r="J14" i="2"/>
  <c r="J14" i="8"/>
  <c r="J14" i="9"/>
  <c r="J14" i="12"/>
  <c r="J14" i="11"/>
  <c r="X58" i="14"/>
  <c r="W27" i="9"/>
  <c r="W27" i="2"/>
  <c r="W27" i="12"/>
  <c r="W27" i="11"/>
  <c r="W27" i="8"/>
  <c r="X57" i="14"/>
  <c r="W26" i="8"/>
  <c r="W26" i="9"/>
  <c r="W26" i="2"/>
  <c r="W26" i="12"/>
  <c r="W26" i="11"/>
  <c r="X44" i="14"/>
  <c r="W13" i="2"/>
  <c r="W13" i="12"/>
  <c r="W13" i="11"/>
  <c r="W13" i="9"/>
  <c r="W13" i="8"/>
  <c r="L43" i="14"/>
  <c r="K12" i="2"/>
  <c r="K12" i="12"/>
  <c r="K12" i="8"/>
  <c r="K12" i="11"/>
  <c r="K12" i="9"/>
  <c r="L60" i="14"/>
  <c r="K29" i="9"/>
  <c r="K29" i="12"/>
  <c r="K29" i="11"/>
  <c r="K29" i="8"/>
  <c r="K29" i="2"/>
  <c r="Y56" i="14"/>
  <c r="X25" i="12"/>
  <c r="X25" i="11"/>
  <c r="X25" i="8"/>
  <c r="X25" i="9"/>
  <c r="X25" i="2"/>
  <c r="Y35" i="14"/>
  <c r="X4" i="12"/>
  <c r="X4" i="8"/>
  <c r="X4" i="2"/>
  <c r="X4" i="11"/>
  <c r="X4" i="9"/>
  <c r="Y39" i="14"/>
  <c r="X8" i="2"/>
  <c r="X8" i="12"/>
  <c r="X8" i="11"/>
  <c r="X8" i="9"/>
  <c r="X8" i="8"/>
  <c r="M53" i="14"/>
  <c r="L22" i="11"/>
  <c r="L22" i="8"/>
  <c r="L22" i="9"/>
  <c r="L22" i="12"/>
  <c r="L22" i="2"/>
  <c r="M40" i="14"/>
  <c r="L9" i="12"/>
  <c r="L9" i="8"/>
  <c r="L9" i="2"/>
  <c r="L9" i="11"/>
  <c r="L9" i="9"/>
  <c r="M58" i="14"/>
  <c r="L27" i="9"/>
  <c r="L27" i="2"/>
  <c r="L27" i="12"/>
  <c r="L27" i="11"/>
  <c r="L27" i="8"/>
  <c r="J61" i="14"/>
  <c r="I30" i="12"/>
  <c r="I30" i="11"/>
  <c r="I30" i="8"/>
  <c r="I30" i="9"/>
  <c r="I30" i="2"/>
  <c r="J55" i="14"/>
  <c r="I24" i="12"/>
  <c r="I24" i="8"/>
  <c r="I24" i="11"/>
  <c r="I24" i="9"/>
  <c r="I24" i="2"/>
  <c r="J42" i="14"/>
  <c r="I11" i="12"/>
  <c r="I11" i="8"/>
  <c r="I11" i="9"/>
  <c r="I11" i="2"/>
  <c r="I11" i="11"/>
  <c r="D45" i="14"/>
  <c r="C14" i="8"/>
  <c r="C14" i="11"/>
  <c r="C14" i="9"/>
  <c r="C14" i="12"/>
  <c r="C14" i="2"/>
  <c r="D34" i="14"/>
  <c r="C3" i="8"/>
  <c r="C3" i="11"/>
  <c r="C3" i="9"/>
  <c r="C3" i="2"/>
  <c r="C3" i="12"/>
  <c r="W53" i="14"/>
  <c r="V22" i="2"/>
  <c r="V22" i="12"/>
  <c r="V22" i="11"/>
  <c r="V22" i="8"/>
  <c r="V22" i="9"/>
  <c r="W59" i="14"/>
  <c r="V28" i="12"/>
  <c r="V28" i="11"/>
  <c r="V28" i="8"/>
  <c r="V28" i="9"/>
  <c r="V28" i="2"/>
  <c r="N49" i="14"/>
  <c r="M18" i="8"/>
  <c r="M18" i="2"/>
  <c r="M18" i="12"/>
  <c r="M18" i="11"/>
  <c r="M18" i="9"/>
  <c r="O48" i="14"/>
  <c r="N17" i="12"/>
  <c r="N17" i="2"/>
  <c r="N17" i="11"/>
  <c r="N17" i="9"/>
  <c r="N17" i="8"/>
  <c r="S60" i="14"/>
  <c r="R29" i="12"/>
  <c r="R29" i="11"/>
  <c r="R29" i="9"/>
  <c r="R29" i="8"/>
  <c r="R29" i="2"/>
  <c r="T38" i="14"/>
  <c r="S7" i="2"/>
  <c r="S7" i="12"/>
  <c r="S7" i="11"/>
  <c r="S7" i="8"/>
  <c r="S7" i="9"/>
  <c r="AD43" i="14"/>
  <c r="AC12" i="11"/>
  <c r="AC12" i="8"/>
  <c r="AC12" i="9"/>
  <c r="AC12" i="2"/>
  <c r="AC12" i="12"/>
  <c r="L40" i="14"/>
  <c r="K9" i="2"/>
  <c r="K9" i="8"/>
  <c r="K9" i="11"/>
  <c r="K9" i="9"/>
  <c r="K9" i="12"/>
  <c r="N45" i="14"/>
  <c r="M14" i="9"/>
  <c r="M14" i="2"/>
  <c r="M14" i="12"/>
  <c r="M14" i="11"/>
  <c r="M14" i="8"/>
  <c r="N40" i="14"/>
  <c r="M9" i="11"/>
  <c r="M9" i="8"/>
  <c r="M9" i="9"/>
  <c r="M9" i="2"/>
  <c r="M9" i="12"/>
  <c r="N53" i="14"/>
  <c r="M22" i="12"/>
  <c r="M22" i="2"/>
  <c r="M22" i="11"/>
  <c r="M22" i="9"/>
  <c r="M22" i="8"/>
  <c r="Z48" i="14"/>
  <c r="Y17" i="12"/>
  <c r="Y17" i="11"/>
  <c r="Y17" i="8"/>
  <c r="Y17" i="9"/>
  <c r="Y17" i="2"/>
  <c r="Z54" i="14"/>
  <c r="Y23" i="12"/>
  <c r="Y23" i="8"/>
  <c r="Y23" i="9"/>
  <c r="Y23" i="2"/>
  <c r="Y23" i="11"/>
  <c r="Z38" i="14"/>
  <c r="Y7" i="2"/>
  <c r="Y7" i="12"/>
  <c r="Y7" i="8"/>
  <c r="Y7" i="11"/>
  <c r="Y7" i="9"/>
  <c r="O52" i="14"/>
  <c r="N21" i="2"/>
  <c r="N21" i="9"/>
  <c r="N21" i="12"/>
  <c r="N21" i="8"/>
  <c r="N21" i="11"/>
  <c r="O59" i="14"/>
  <c r="N28" i="9"/>
  <c r="N28" i="2"/>
  <c r="N28" i="12"/>
  <c r="N28" i="11"/>
  <c r="N28" i="8"/>
  <c r="O36" i="14"/>
  <c r="N5" i="12"/>
  <c r="N5" i="11"/>
  <c r="N5" i="9"/>
  <c r="N5" i="2"/>
  <c r="N5" i="8"/>
  <c r="P50" i="14"/>
  <c r="O19" i="11"/>
  <c r="O19" i="9"/>
  <c r="O19" i="12"/>
  <c r="O19" i="2"/>
  <c r="O19" i="8"/>
  <c r="P49" i="14"/>
  <c r="O18" i="8"/>
  <c r="O18" i="11"/>
  <c r="O18" i="2"/>
  <c r="O18" i="9"/>
  <c r="O18" i="12"/>
  <c r="AB62" i="14"/>
  <c r="AA31" i="12"/>
  <c r="AA31" i="8"/>
  <c r="AA31" i="9"/>
  <c r="AA31" i="2"/>
  <c r="AA31" i="11"/>
  <c r="AB54" i="14"/>
  <c r="AA23" i="12"/>
  <c r="AA23" i="11"/>
  <c r="AA23" i="9"/>
  <c r="AA23" i="2"/>
  <c r="AA23" i="8"/>
  <c r="AB48" i="14"/>
  <c r="AA17" i="12"/>
  <c r="AA17" i="11"/>
  <c r="AA17" i="2"/>
  <c r="AA17" i="8"/>
  <c r="AA17" i="9"/>
  <c r="AA55" i="14"/>
  <c r="Z24" i="2"/>
  <c r="Z24" i="8"/>
  <c r="Z24" i="11"/>
  <c r="Z24" i="9"/>
  <c r="Z24" i="12"/>
  <c r="AA59" i="14"/>
  <c r="Z28" i="12"/>
  <c r="Z28" i="8"/>
  <c r="Z28" i="11"/>
  <c r="Z28" i="9"/>
  <c r="Z28" i="2"/>
  <c r="E52" i="14"/>
  <c r="D21" i="11"/>
  <c r="D21" i="8"/>
  <c r="D21" i="9"/>
  <c r="D21" i="2"/>
  <c r="D21" i="12"/>
  <c r="E38" i="14"/>
  <c r="D7" i="12"/>
  <c r="D7" i="8"/>
  <c r="D7" i="11"/>
  <c r="D7" i="9"/>
  <c r="D7" i="2"/>
  <c r="E137" i="8"/>
  <c r="D3" i="12"/>
  <c r="D3" i="8"/>
  <c r="D3" i="11"/>
  <c r="E137" i="9"/>
  <c r="D3" i="9"/>
  <c r="E137" i="12"/>
  <c r="E137" i="11"/>
  <c r="D3" i="2"/>
  <c r="Q45" i="14"/>
  <c r="P14" i="9"/>
  <c r="P14" i="12"/>
  <c r="P14" i="11"/>
  <c r="P14" i="8"/>
  <c r="P14" i="2"/>
  <c r="Q51" i="14"/>
  <c r="P20" i="11"/>
  <c r="P20" i="8"/>
  <c r="P20" i="9"/>
  <c r="P20" i="2"/>
  <c r="P20" i="12"/>
  <c r="Q50" i="14"/>
  <c r="P19" i="8"/>
  <c r="P19" i="9"/>
  <c r="P19" i="12"/>
  <c r="P19" i="11"/>
  <c r="P19" i="2"/>
  <c r="Q34" i="14"/>
  <c r="P3" i="8"/>
  <c r="P3" i="11"/>
  <c r="P3" i="9"/>
  <c r="P3" i="2"/>
  <c r="P3" i="12"/>
  <c r="AC48" i="14"/>
  <c r="AB17" i="12"/>
  <c r="AB17" i="11"/>
  <c r="AB17" i="8"/>
  <c r="AB17" i="9"/>
  <c r="AB17" i="2"/>
  <c r="AC56" i="14"/>
  <c r="AB25" i="2"/>
  <c r="AB25" i="11"/>
  <c r="AB25" i="8"/>
  <c r="AB25" i="9"/>
  <c r="AB25" i="12"/>
  <c r="AC50" i="14"/>
  <c r="AB19" i="12"/>
  <c r="AB19" i="11"/>
  <c r="AB19" i="9"/>
  <c r="AB19" i="8"/>
  <c r="AB19" i="2"/>
  <c r="AC34" i="14"/>
  <c r="AB3" i="12"/>
  <c r="AB3" i="8"/>
  <c r="AB3" i="11"/>
  <c r="AB3" i="9"/>
  <c r="AB3" i="2"/>
  <c r="G37" i="14"/>
  <c r="F6" i="2"/>
  <c r="F6" i="11"/>
  <c r="F6" i="9"/>
  <c r="F6" i="8"/>
  <c r="F6" i="12"/>
  <c r="G58" i="14"/>
  <c r="F27" i="12"/>
  <c r="F27" i="11"/>
  <c r="F27" i="8"/>
  <c r="F27" i="2"/>
  <c r="F27" i="9"/>
  <c r="G45" i="14"/>
  <c r="F14" i="2"/>
  <c r="F14" i="12"/>
  <c r="F14" i="11"/>
  <c r="F14" i="8"/>
  <c r="F14" i="9"/>
  <c r="S62" i="14"/>
  <c r="R31" i="12"/>
  <c r="R31" i="11"/>
  <c r="R31" i="8"/>
  <c r="R31" i="9"/>
  <c r="R31" i="2"/>
  <c r="S58" i="14"/>
  <c r="R27" i="12"/>
  <c r="R27" i="11"/>
  <c r="R27" i="8"/>
  <c r="R27" i="9"/>
  <c r="R27" i="2"/>
  <c r="S45" i="14"/>
  <c r="R14" i="11"/>
  <c r="R14" i="8"/>
  <c r="R14" i="9"/>
  <c r="R14" i="12"/>
  <c r="R14" i="2"/>
  <c r="AE56" i="14"/>
  <c r="AD25" i="12"/>
  <c r="AD25" i="11"/>
  <c r="AD25" i="8"/>
  <c r="AD25" i="9"/>
  <c r="AD25" i="2"/>
  <c r="AE58" i="14"/>
  <c r="AD27" i="12"/>
  <c r="AD27" i="8"/>
  <c r="AD27" i="9"/>
  <c r="AD27" i="2"/>
  <c r="AD27" i="11"/>
  <c r="AE45" i="14"/>
  <c r="AD14" i="12"/>
  <c r="AD14" i="8"/>
  <c r="AD14" i="9"/>
  <c r="AD14" i="2"/>
  <c r="AD14" i="11"/>
  <c r="I52" i="14"/>
  <c r="H21" i="11"/>
  <c r="H21" i="8"/>
  <c r="H21" i="9"/>
  <c r="H21" i="2"/>
  <c r="H21" i="12"/>
  <c r="I55" i="14"/>
  <c r="H24" i="12"/>
  <c r="H24" i="8"/>
  <c r="H24" i="11"/>
  <c r="H24" i="9"/>
  <c r="H24" i="2"/>
  <c r="I42" i="14"/>
  <c r="H11" i="9"/>
  <c r="H11" i="2"/>
  <c r="H11" i="12"/>
  <c r="H11" i="11"/>
  <c r="H11" i="8"/>
  <c r="AG52" i="14"/>
  <c r="AF21" i="12"/>
  <c r="AF21" i="8"/>
  <c r="AF21" i="11"/>
  <c r="AF21" i="9"/>
  <c r="AF21" i="2"/>
  <c r="AG53" i="14"/>
  <c r="AF22" i="12"/>
  <c r="AF22" i="8"/>
  <c r="AF22" i="11"/>
  <c r="AF22" i="9"/>
  <c r="AF22" i="2"/>
  <c r="AG57" i="14"/>
  <c r="AF26" i="8"/>
  <c r="AF26" i="9"/>
  <c r="AF26" i="2"/>
  <c r="AF26" i="11"/>
  <c r="AF26" i="12"/>
  <c r="AG37" i="14"/>
  <c r="AF6" i="11"/>
  <c r="AF6" i="8"/>
  <c r="AF6" i="9"/>
  <c r="AF6" i="12"/>
  <c r="AF6" i="2"/>
  <c r="H51" i="14"/>
  <c r="G20" i="2"/>
  <c r="G20" i="12"/>
  <c r="G20" i="11"/>
  <c r="G20" i="8"/>
  <c r="G20" i="9"/>
  <c r="H44" i="14"/>
  <c r="G13" i="2"/>
  <c r="G13" i="11"/>
  <c r="G13" i="8"/>
  <c r="G13" i="9"/>
  <c r="G13" i="12"/>
  <c r="H43" i="14"/>
  <c r="G12" i="11"/>
  <c r="G12" i="2"/>
  <c r="G12" i="12"/>
  <c r="G12" i="9"/>
  <c r="G12" i="8"/>
  <c r="T37" i="14"/>
  <c r="S6" i="2"/>
  <c r="S6" i="12"/>
  <c r="S6" i="8"/>
  <c r="S6" i="11"/>
  <c r="S6" i="9"/>
  <c r="T48" i="14"/>
  <c r="S17" i="8"/>
  <c r="S17" i="9"/>
  <c r="S17" i="2"/>
  <c r="S17" i="12"/>
  <c r="S17" i="11"/>
  <c r="T47" i="14"/>
  <c r="S16" i="12"/>
  <c r="S16" i="11"/>
  <c r="S16" i="8"/>
  <c r="S16" i="9"/>
  <c r="S16" i="2"/>
  <c r="AF61" i="14"/>
  <c r="AE30" i="11"/>
  <c r="AE30" i="8"/>
  <c r="AE30" i="12"/>
  <c r="AE30" i="9"/>
  <c r="AE30" i="2"/>
  <c r="AF48" i="14"/>
  <c r="AE17" i="12"/>
  <c r="AE17" i="11"/>
  <c r="AE17" i="8"/>
  <c r="AE17" i="2"/>
  <c r="AE17" i="9"/>
  <c r="AF47" i="14"/>
  <c r="AE16" i="9"/>
  <c r="AE16" i="2"/>
  <c r="AE16" i="12"/>
  <c r="AE16" i="8"/>
  <c r="AE16" i="11"/>
  <c r="U63" i="14"/>
  <c r="T32" i="2"/>
  <c r="T32" i="12"/>
  <c r="T32" i="11"/>
  <c r="T32" i="9"/>
  <c r="T32" i="8"/>
  <c r="U50" i="14"/>
  <c r="T19" i="11"/>
  <c r="T19" i="2"/>
  <c r="T19" i="12"/>
  <c r="T19" i="8"/>
  <c r="T19" i="9"/>
  <c r="U34" i="14"/>
  <c r="T3" i="12"/>
  <c r="T3" i="11"/>
  <c r="T3" i="8"/>
  <c r="T3" i="2"/>
  <c r="T3" i="9"/>
  <c r="F40" i="14"/>
  <c r="E9" i="9"/>
  <c r="E9" i="2"/>
  <c r="E9" i="12"/>
  <c r="E9" i="11"/>
  <c r="E9" i="8"/>
  <c r="F51" i="14"/>
  <c r="E20" i="12"/>
  <c r="E20" i="8"/>
  <c r="E20" i="9"/>
  <c r="E20" i="2"/>
  <c r="E20" i="11"/>
  <c r="F45" i="14"/>
  <c r="E14" i="12"/>
  <c r="E14" i="11"/>
  <c r="E14" i="8"/>
  <c r="E14" i="9"/>
  <c r="E14" i="2"/>
  <c r="R58" i="14"/>
  <c r="Q27" i="12"/>
  <c r="Q27" i="11"/>
  <c r="Q27" i="8"/>
  <c r="Q27" i="9"/>
  <c r="Q27" i="2"/>
  <c r="R57" i="14"/>
  <c r="Q26" i="12"/>
  <c r="Q26" i="11"/>
  <c r="Q26" i="8"/>
  <c r="Q26" i="2"/>
  <c r="Q26" i="9"/>
  <c r="AD35" i="14"/>
  <c r="AC4" i="2"/>
  <c r="AC4" i="8"/>
  <c r="AC4" i="9"/>
  <c r="AC4" i="12"/>
  <c r="AC4" i="11"/>
  <c r="AD39" i="14"/>
  <c r="AC8" i="2"/>
  <c r="AC8" i="8"/>
  <c r="AC8" i="9"/>
  <c r="AC8" i="11"/>
  <c r="AC8" i="12"/>
  <c r="AD45" i="14"/>
  <c r="AC14" i="12"/>
  <c r="AC14" i="11"/>
  <c r="AC14" i="9"/>
  <c r="AC14" i="8"/>
  <c r="AC14" i="2"/>
  <c r="V44" i="14"/>
  <c r="U13" i="8"/>
  <c r="U13" i="11"/>
  <c r="U13" i="2"/>
  <c r="U13" i="9"/>
  <c r="U13" i="12"/>
  <c r="V43" i="14"/>
  <c r="U12" i="2"/>
  <c r="U12" i="11"/>
  <c r="U12" i="9"/>
  <c r="U12" i="8"/>
  <c r="U12" i="12"/>
  <c r="V49" i="14"/>
  <c r="U18" i="2"/>
  <c r="U18" i="12"/>
  <c r="U18" i="11"/>
  <c r="U18" i="9"/>
  <c r="U18" i="8"/>
  <c r="V34" i="14"/>
  <c r="U3" i="2"/>
  <c r="U3" i="8"/>
  <c r="U3" i="9"/>
  <c r="U3" i="12"/>
  <c r="U3" i="11"/>
  <c r="K42" i="14"/>
  <c r="J11" i="8"/>
  <c r="J11" i="12"/>
  <c r="J11" i="11"/>
  <c r="J11" i="9"/>
  <c r="J11" i="2"/>
  <c r="K37" i="14"/>
  <c r="J6" i="12"/>
  <c r="J6" i="8"/>
  <c r="J6" i="9"/>
  <c r="J6" i="11"/>
  <c r="J6" i="2"/>
  <c r="X63" i="14"/>
  <c r="W32" i="2"/>
  <c r="W32" i="12"/>
  <c r="W32" i="11"/>
  <c r="W32" i="8"/>
  <c r="W32" i="9"/>
  <c r="X45" i="14"/>
  <c r="W14" i="11"/>
  <c r="W14" i="8"/>
  <c r="W14" i="9"/>
  <c r="W14" i="12"/>
  <c r="W14" i="2"/>
  <c r="X37" i="14"/>
  <c r="W6" i="12"/>
  <c r="W6" i="11"/>
  <c r="W6" i="9"/>
  <c r="W6" i="2"/>
  <c r="W6" i="8"/>
  <c r="L62" i="14"/>
  <c r="K31" i="12"/>
  <c r="K31" i="8"/>
  <c r="K31" i="11"/>
  <c r="K31" i="9"/>
  <c r="K31" i="2"/>
  <c r="L48" i="14"/>
  <c r="K17" i="2"/>
  <c r="K17" i="8"/>
  <c r="K17" i="9"/>
  <c r="K17" i="12"/>
  <c r="K17" i="11"/>
  <c r="L56" i="14"/>
  <c r="K25" i="12"/>
  <c r="K25" i="8"/>
  <c r="K25" i="11"/>
  <c r="K25" i="9"/>
  <c r="K25" i="2"/>
  <c r="Y41" i="14"/>
  <c r="X10" i="2"/>
  <c r="X10" i="11"/>
  <c r="X10" i="8"/>
  <c r="X10" i="9"/>
  <c r="X10" i="12"/>
  <c r="Y59" i="14"/>
  <c r="X28" i="12"/>
  <c r="X28" i="11"/>
  <c r="X28" i="8"/>
  <c r="X28" i="9"/>
  <c r="X28" i="2"/>
  <c r="M41" i="14"/>
  <c r="L10" i="9"/>
  <c r="L10" i="2"/>
  <c r="L10" i="11"/>
  <c r="L10" i="12"/>
  <c r="L10" i="8"/>
  <c r="M59" i="14"/>
  <c r="L28" i="12"/>
  <c r="L28" i="11"/>
  <c r="L28" i="8"/>
  <c r="L28" i="9"/>
  <c r="L28" i="2"/>
  <c r="M46" i="14"/>
  <c r="L15" i="12"/>
  <c r="L15" i="11"/>
  <c r="L15" i="8"/>
  <c r="L15" i="9"/>
  <c r="L15" i="2"/>
  <c r="J44" i="14"/>
  <c r="I13" i="9"/>
  <c r="I13" i="2"/>
  <c r="I13" i="12"/>
  <c r="I13" i="8"/>
  <c r="I13" i="11"/>
  <c r="J43" i="14"/>
  <c r="I12" i="8"/>
  <c r="I12" i="11"/>
  <c r="I12" i="9"/>
  <c r="I12" i="12"/>
  <c r="I12" i="2"/>
  <c r="J49" i="14"/>
  <c r="I18" i="9"/>
  <c r="I18" i="2"/>
  <c r="I18" i="12"/>
  <c r="I18" i="11"/>
  <c r="I18" i="8"/>
  <c r="J34" i="14"/>
  <c r="I3" i="2"/>
  <c r="I3" i="11"/>
  <c r="I3" i="8"/>
  <c r="I3" i="9"/>
  <c r="I3" i="12"/>
  <c r="D39" i="14"/>
  <c r="C8" i="9"/>
  <c r="C8" i="2"/>
  <c r="C8" i="12"/>
  <c r="C8" i="11"/>
  <c r="C8" i="8"/>
  <c r="D63" i="14"/>
  <c r="C32" i="9"/>
  <c r="C32" i="2"/>
  <c r="C32" i="12"/>
  <c r="C32" i="11"/>
  <c r="C32" i="8"/>
  <c r="W61" i="14"/>
  <c r="V30" i="12"/>
  <c r="V30" i="11"/>
  <c r="V30" i="8"/>
  <c r="V30" i="9"/>
  <c r="V30" i="2"/>
  <c r="W41" i="14"/>
  <c r="V10" i="2"/>
  <c r="V10" i="11"/>
  <c r="V10" i="8"/>
  <c r="V10" i="9"/>
  <c r="V10" i="12"/>
  <c r="W47" i="14"/>
  <c r="V16" i="12"/>
  <c r="V16" i="9"/>
  <c r="V16" i="2"/>
  <c r="V16" i="11"/>
  <c r="V16" i="8"/>
  <c r="AB57" i="14"/>
  <c r="AA26" i="12"/>
  <c r="AA26" i="2"/>
  <c r="AA26" i="11"/>
  <c r="AA26" i="8"/>
  <c r="AA26" i="9"/>
  <c r="AD42" i="14"/>
  <c r="AC11" i="2"/>
  <c r="AC11" i="11"/>
  <c r="AC11" i="8"/>
  <c r="AC11" i="9"/>
  <c r="AC11" i="12"/>
  <c r="N57" i="14"/>
  <c r="M26" i="2"/>
  <c r="M26" i="12"/>
  <c r="M26" i="8"/>
  <c r="M26" i="9"/>
  <c r="M26" i="11"/>
  <c r="N59" i="14"/>
  <c r="M28" i="12"/>
  <c r="M28" i="11"/>
  <c r="M28" i="8"/>
  <c r="M28" i="9"/>
  <c r="M28" i="2"/>
  <c r="N41" i="14"/>
  <c r="M10" i="12"/>
  <c r="M10" i="11"/>
  <c r="M10" i="9"/>
  <c r="M10" i="2"/>
  <c r="M10" i="8"/>
  <c r="Z39" i="14"/>
  <c r="Y8" i="11"/>
  <c r="Y8" i="12"/>
  <c r="Y8" i="8"/>
  <c r="Y8" i="9"/>
  <c r="Y8" i="2"/>
  <c r="Z42" i="14"/>
  <c r="Y11" i="8"/>
  <c r="Y11" i="9"/>
  <c r="Y11" i="11"/>
  <c r="Y11" i="2"/>
  <c r="Y11" i="12"/>
  <c r="O47" i="14"/>
  <c r="N16" i="12"/>
  <c r="N16" i="8"/>
  <c r="N16" i="11"/>
  <c r="N16" i="9"/>
  <c r="N16" i="2"/>
  <c r="O53" i="14"/>
  <c r="N22" i="2"/>
  <c r="N22" i="12"/>
  <c r="N22" i="11"/>
  <c r="N22" i="9"/>
  <c r="N22" i="8"/>
  <c r="P55" i="14"/>
  <c r="O24" i="9"/>
  <c r="O24" i="8"/>
  <c r="O24" i="11"/>
  <c r="O24" i="12"/>
  <c r="O24" i="2"/>
  <c r="AB50" i="14"/>
  <c r="AA19" i="2"/>
  <c r="AA19" i="11"/>
  <c r="AA19" i="8"/>
  <c r="AA19" i="9"/>
  <c r="AA19" i="12"/>
  <c r="AB42" i="14"/>
  <c r="AA11" i="12"/>
  <c r="AA11" i="8"/>
  <c r="AA11" i="11"/>
  <c r="AA11" i="2"/>
  <c r="AA11" i="9"/>
  <c r="AA58" i="14"/>
  <c r="Z27" i="11"/>
  <c r="Z27" i="8"/>
  <c r="Z27" i="9"/>
  <c r="Z27" i="12"/>
  <c r="Z27" i="2"/>
  <c r="AA47" i="14"/>
  <c r="Z16" i="12"/>
  <c r="Z16" i="8"/>
  <c r="Z16" i="11"/>
  <c r="Z16" i="2"/>
  <c r="Z16" i="9"/>
  <c r="AA53" i="14"/>
  <c r="Z22" i="12"/>
  <c r="Z22" i="8"/>
  <c r="Z22" i="2"/>
  <c r="Z22" i="11"/>
  <c r="Z22" i="9"/>
  <c r="E40" i="14"/>
  <c r="D9" i="2"/>
  <c r="D9" i="12"/>
  <c r="D9" i="11"/>
  <c r="D9" i="8"/>
  <c r="D9" i="9"/>
  <c r="Q39" i="14"/>
  <c r="P8" i="2"/>
  <c r="P8" i="12"/>
  <c r="P8" i="8"/>
  <c r="P8" i="9"/>
  <c r="P8" i="11"/>
  <c r="AC61" i="14"/>
  <c r="AB30" i="12"/>
  <c r="AB30" i="11"/>
  <c r="AB30" i="8"/>
  <c r="AB30" i="9"/>
  <c r="AB30" i="2"/>
  <c r="AC44" i="14"/>
  <c r="AB13" i="2"/>
  <c r="AB13" i="11"/>
  <c r="AB13" i="9"/>
  <c r="AB13" i="12"/>
  <c r="AB13" i="8"/>
  <c r="G63" i="14"/>
  <c r="F32" i="8"/>
  <c r="F32" i="9"/>
  <c r="F32" i="2"/>
  <c r="F32" i="12"/>
  <c r="F32" i="11"/>
  <c r="G46" i="14"/>
  <c r="F15" i="8"/>
  <c r="F15" i="2"/>
  <c r="F15" i="9"/>
  <c r="F15" i="12"/>
  <c r="F15" i="11"/>
  <c r="G52" i="14"/>
  <c r="F21" i="12"/>
  <c r="F21" i="11"/>
  <c r="F21" i="9"/>
  <c r="F21" i="2"/>
  <c r="F21" i="8"/>
  <c r="S50" i="14"/>
  <c r="R19" i="12"/>
  <c r="R19" i="11"/>
  <c r="R19" i="8"/>
  <c r="R19" i="2"/>
  <c r="R19" i="9"/>
  <c r="S46" i="14"/>
  <c r="R15" i="12"/>
  <c r="R15" i="8"/>
  <c r="R15" i="11"/>
  <c r="R15" i="9"/>
  <c r="R15" i="2"/>
  <c r="S52" i="14"/>
  <c r="R21" i="12"/>
  <c r="R21" i="11"/>
  <c r="R21" i="8"/>
  <c r="R21" i="9"/>
  <c r="R21" i="2"/>
  <c r="AE46" i="14"/>
  <c r="AD15" i="11"/>
  <c r="AD15" i="8"/>
  <c r="AD15" i="9"/>
  <c r="AD15" i="12"/>
  <c r="AD15" i="2"/>
  <c r="AE52" i="14"/>
  <c r="AD21" i="9"/>
  <c r="AD21" i="2"/>
  <c r="AD21" i="8"/>
  <c r="AD21" i="12"/>
  <c r="AD21" i="11"/>
  <c r="I61" i="14"/>
  <c r="H30" i="12"/>
  <c r="H30" i="11"/>
  <c r="H30" i="8"/>
  <c r="H30" i="9"/>
  <c r="H30" i="2"/>
  <c r="I43" i="14"/>
  <c r="H12" i="12"/>
  <c r="H12" i="11"/>
  <c r="H12" i="2"/>
  <c r="H12" i="8"/>
  <c r="H12" i="9"/>
  <c r="AG40" i="14"/>
  <c r="AF9" i="8"/>
  <c r="AF9" i="12"/>
  <c r="AF9" i="2"/>
  <c r="AF9" i="11"/>
  <c r="AF9" i="9"/>
  <c r="AG41" i="14"/>
  <c r="AF10" i="12"/>
  <c r="AF10" i="8"/>
  <c r="AF10" i="11"/>
  <c r="AF10" i="9"/>
  <c r="AF10" i="2"/>
  <c r="AG45" i="14"/>
  <c r="AF14" i="11"/>
  <c r="AF14" i="12"/>
  <c r="AF14" i="8"/>
  <c r="AF14" i="2"/>
  <c r="AF14" i="9"/>
  <c r="H39" i="14"/>
  <c r="G8" i="2"/>
  <c r="G8" i="9"/>
  <c r="G8" i="12"/>
  <c r="G8" i="11"/>
  <c r="G8" i="8"/>
  <c r="T56" i="14"/>
  <c r="S25" i="2"/>
  <c r="S25" i="11"/>
  <c r="S25" i="8"/>
  <c r="S25" i="9"/>
  <c r="S25" i="12"/>
  <c r="AF49" i="14"/>
  <c r="AE18" i="2"/>
  <c r="AE18" i="12"/>
  <c r="AE18" i="11"/>
  <c r="AE18" i="8"/>
  <c r="AE18" i="9"/>
  <c r="AF38" i="14"/>
  <c r="AE7" i="12"/>
  <c r="AE7" i="9"/>
  <c r="AE7" i="11"/>
  <c r="AE7" i="8"/>
  <c r="AE7" i="2"/>
  <c r="U51" i="14"/>
  <c r="T20" i="2"/>
  <c r="T20" i="11"/>
  <c r="T20" i="8"/>
  <c r="T20" i="9"/>
  <c r="T20" i="12"/>
  <c r="F36" i="14"/>
  <c r="E5" i="8"/>
  <c r="E5" i="11"/>
  <c r="E5" i="9"/>
  <c r="E5" i="2"/>
  <c r="E5" i="12"/>
  <c r="F58" i="14"/>
  <c r="E27" i="9"/>
  <c r="E27" i="2"/>
  <c r="E27" i="12"/>
  <c r="E27" i="11"/>
  <c r="E27" i="8"/>
  <c r="F37" i="14"/>
  <c r="E6" i="12"/>
  <c r="E6" i="8"/>
  <c r="E6" i="11"/>
  <c r="E6" i="2"/>
  <c r="E6" i="9"/>
  <c r="R59" i="14"/>
  <c r="Q28" i="12"/>
  <c r="Q28" i="11"/>
  <c r="Q28" i="8"/>
  <c r="Q28" i="9"/>
  <c r="Q28" i="2"/>
  <c r="R46" i="14"/>
  <c r="Q15" i="8"/>
  <c r="Q15" i="9"/>
  <c r="Q15" i="11"/>
  <c r="Q15" i="2"/>
  <c r="Q15" i="12"/>
  <c r="R45" i="14"/>
  <c r="Q14" i="9"/>
  <c r="Q14" i="12"/>
  <c r="Q14" i="11"/>
  <c r="Q14" i="8"/>
  <c r="Q14" i="2"/>
  <c r="AD40" i="14"/>
  <c r="AC9" i="12"/>
  <c r="AC9" i="11"/>
  <c r="AC9" i="8"/>
  <c r="AC9" i="9"/>
  <c r="AC9" i="2"/>
  <c r="AD36" i="14"/>
  <c r="AC5" i="9"/>
  <c r="AC5" i="2"/>
  <c r="AC5" i="12"/>
  <c r="AC5" i="8"/>
  <c r="AC5" i="11"/>
  <c r="V37" i="14"/>
  <c r="U6" i="12"/>
  <c r="U6" i="11"/>
  <c r="U6" i="9"/>
  <c r="U6" i="2"/>
  <c r="U6" i="8"/>
  <c r="V50" i="14"/>
  <c r="U19" i="9"/>
  <c r="U19" i="2"/>
  <c r="U19" i="12"/>
  <c r="U19" i="8"/>
  <c r="U19" i="11"/>
  <c r="K35" i="14"/>
  <c r="J4" i="12"/>
  <c r="J4" i="9"/>
  <c r="J4" i="8"/>
  <c r="J4" i="11"/>
  <c r="J4" i="2"/>
  <c r="X61" i="14"/>
  <c r="W30" i="12"/>
  <c r="W30" i="11"/>
  <c r="W30" i="8"/>
  <c r="W30" i="9"/>
  <c r="W30" i="2"/>
  <c r="X52" i="14"/>
  <c r="W21" i="2"/>
  <c r="W21" i="8"/>
  <c r="W21" i="11"/>
  <c r="W21" i="9"/>
  <c r="W21" i="12"/>
  <c r="X51" i="14"/>
  <c r="W20" i="9"/>
  <c r="W20" i="8"/>
  <c r="W20" i="12"/>
  <c r="W20" i="2"/>
  <c r="W20" i="11"/>
  <c r="L50" i="14"/>
  <c r="K19" i="12"/>
  <c r="K19" i="8"/>
  <c r="K19" i="9"/>
  <c r="K19" i="2"/>
  <c r="K19" i="11"/>
  <c r="L44" i="14"/>
  <c r="K13" i="8"/>
  <c r="K13" i="11"/>
  <c r="K13" i="9"/>
  <c r="K13" i="2"/>
  <c r="K13" i="12"/>
  <c r="L34" i="14"/>
  <c r="K3" i="11"/>
  <c r="K3" i="8"/>
  <c r="K3" i="2"/>
  <c r="K3" i="9"/>
  <c r="K3" i="12"/>
  <c r="Y38" i="14"/>
  <c r="X7" i="2"/>
  <c r="X7" i="12"/>
  <c r="X7" i="8"/>
  <c r="X7" i="11"/>
  <c r="X7" i="9"/>
  <c r="Y47" i="14"/>
  <c r="X16" i="8"/>
  <c r="X16" i="9"/>
  <c r="X16" i="2"/>
  <c r="X16" i="12"/>
  <c r="X16" i="11"/>
  <c r="Y58" i="14"/>
  <c r="X27" i="8"/>
  <c r="X27" i="9"/>
  <c r="X27" i="12"/>
  <c r="X27" i="11"/>
  <c r="X27" i="2"/>
  <c r="M47" i="14"/>
  <c r="L16" i="11"/>
  <c r="L16" i="8"/>
  <c r="L16" i="9"/>
  <c r="L16" i="12"/>
  <c r="L16" i="2"/>
  <c r="M35" i="14"/>
  <c r="L4" i="2"/>
  <c r="L4" i="8"/>
  <c r="L4" i="12"/>
  <c r="L4" i="11"/>
  <c r="L4" i="9"/>
  <c r="J39" i="14"/>
  <c r="I8" i="2"/>
  <c r="I8" i="11"/>
  <c r="I8" i="12"/>
  <c r="I8" i="8"/>
  <c r="I8" i="9"/>
  <c r="J50" i="14"/>
  <c r="I19" i="12"/>
  <c r="I19" i="8"/>
  <c r="I19" i="11"/>
  <c r="I19" i="9"/>
  <c r="I19" i="2"/>
  <c r="D53" i="14"/>
  <c r="C22" i="12"/>
  <c r="C22" i="8"/>
  <c r="C22" i="11"/>
  <c r="C22" i="2"/>
  <c r="C22" i="9"/>
  <c r="D52" i="14"/>
  <c r="C21" i="11"/>
  <c r="C21" i="8"/>
  <c r="C21" i="9"/>
  <c r="C21" i="12"/>
  <c r="C21" i="2"/>
  <c r="W54" i="14"/>
  <c r="V23" i="8"/>
  <c r="V23" i="11"/>
  <c r="V23" i="12"/>
  <c r="V23" i="9"/>
  <c r="V23" i="2"/>
  <c r="W55" i="14"/>
  <c r="V24" i="9"/>
  <c r="V24" i="2"/>
  <c r="V24" i="12"/>
  <c r="V24" i="11"/>
  <c r="V24" i="8"/>
  <c r="P45" i="14"/>
  <c r="O14" i="2"/>
  <c r="O14" i="12"/>
  <c r="O14" i="11"/>
  <c r="O14" i="8"/>
  <c r="O14" i="9"/>
  <c r="AB63" i="14"/>
  <c r="AA32" i="11"/>
  <c r="AA32" i="8"/>
  <c r="AA32" i="12"/>
  <c r="AA32" i="9"/>
  <c r="AA32" i="2"/>
  <c r="E53" i="14"/>
  <c r="D22" i="9"/>
  <c r="D22" i="12"/>
  <c r="D22" i="11"/>
  <c r="D22" i="2"/>
  <c r="D22" i="8"/>
  <c r="S49" i="14"/>
  <c r="R18" i="2"/>
  <c r="R18" i="8"/>
  <c r="R18" i="9"/>
  <c r="R18" i="12"/>
  <c r="R18" i="11"/>
  <c r="H57" i="14"/>
  <c r="G26" i="12"/>
  <c r="G26" i="11"/>
  <c r="G26" i="8"/>
  <c r="G26" i="9"/>
  <c r="G26" i="2"/>
  <c r="N60" i="14"/>
  <c r="M29" i="12"/>
  <c r="M29" i="11"/>
  <c r="M29" i="8"/>
  <c r="M29" i="9"/>
  <c r="M29" i="2"/>
  <c r="N47" i="14"/>
  <c r="M16" i="8"/>
  <c r="M16" i="9"/>
  <c r="M16" i="11"/>
  <c r="M16" i="2"/>
  <c r="M16" i="12"/>
  <c r="Z51" i="14"/>
  <c r="Y20" i="12"/>
  <c r="Y20" i="11"/>
  <c r="Y20" i="8"/>
  <c r="Y20" i="9"/>
  <c r="Y20" i="2"/>
  <c r="Z61" i="14"/>
  <c r="Y30" i="12"/>
  <c r="Y30" i="11"/>
  <c r="Y30" i="8"/>
  <c r="Y30" i="9"/>
  <c r="Y30" i="2"/>
  <c r="O55" i="14"/>
  <c r="N24" i="12"/>
  <c r="N24" i="8"/>
  <c r="N24" i="11"/>
  <c r="N24" i="9"/>
  <c r="N24" i="2"/>
  <c r="O54" i="14"/>
  <c r="N23" i="12"/>
  <c r="N23" i="8"/>
  <c r="N23" i="11"/>
  <c r="N23" i="9"/>
  <c r="N23" i="2"/>
  <c r="O41" i="14"/>
  <c r="N10" i="12"/>
  <c r="N10" i="8"/>
  <c r="N10" i="11"/>
  <c r="N10" i="9"/>
  <c r="N10" i="2"/>
  <c r="P62" i="14"/>
  <c r="O31" i="12"/>
  <c r="O31" i="11"/>
  <c r="O31" i="8"/>
  <c r="O31" i="9"/>
  <c r="O31" i="2"/>
  <c r="P56" i="14"/>
  <c r="O25" i="8"/>
  <c r="O25" i="11"/>
  <c r="O25" i="9"/>
  <c r="O25" i="2"/>
  <c r="O25" i="12"/>
  <c r="P43" i="14"/>
  <c r="O12" i="12"/>
  <c r="O12" i="2"/>
  <c r="O12" i="11"/>
  <c r="O12" i="9"/>
  <c r="O12" i="8"/>
  <c r="AB53" i="14"/>
  <c r="AA22" i="9"/>
  <c r="AA22" i="2"/>
  <c r="AA22" i="12"/>
  <c r="AA22" i="8"/>
  <c r="AA22" i="11"/>
  <c r="AB49" i="14"/>
  <c r="AA18" i="2"/>
  <c r="AA18" i="11"/>
  <c r="AA18" i="9"/>
  <c r="AA18" i="12"/>
  <c r="AA18" i="8"/>
  <c r="AB55" i="14"/>
  <c r="AA24" i="12"/>
  <c r="AA24" i="11"/>
  <c r="AA24" i="9"/>
  <c r="AA24" i="2"/>
  <c r="AA24" i="8"/>
  <c r="AA61" i="14"/>
  <c r="Z30" i="12"/>
  <c r="Z30" i="11"/>
  <c r="Z30" i="9"/>
  <c r="Z30" i="2"/>
  <c r="Z30" i="8"/>
  <c r="AA54" i="14"/>
  <c r="Z23" i="9"/>
  <c r="Z23" i="2"/>
  <c r="Z23" i="12"/>
  <c r="Z23" i="8"/>
  <c r="Z23" i="11"/>
  <c r="AA41" i="14"/>
  <c r="Z10" i="11"/>
  <c r="Z10" i="9"/>
  <c r="Z10" i="2"/>
  <c r="Z10" i="8"/>
  <c r="Z10" i="12"/>
  <c r="E36" i="14"/>
  <c r="D5" i="11"/>
  <c r="D5" i="9"/>
  <c r="D5" i="2"/>
  <c r="D5" i="12"/>
  <c r="D5" i="8"/>
  <c r="E51" i="14"/>
  <c r="D20" i="12"/>
  <c r="D20" i="11"/>
  <c r="D20" i="8"/>
  <c r="D20" i="9"/>
  <c r="D20" i="2"/>
  <c r="Q52" i="14"/>
  <c r="P21" i="12"/>
  <c r="P21" i="11"/>
  <c r="P21" i="8"/>
  <c r="P21" i="2"/>
  <c r="P21" i="9"/>
  <c r="Q58" i="14"/>
  <c r="P27" i="12"/>
  <c r="P27" i="11"/>
  <c r="P27" i="8"/>
  <c r="P27" i="2"/>
  <c r="P27" i="9"/>
  <c r="AC45" i="14"/>
  <c r="AB14" i="2"/>
  <c r="AB14" i="11"/>
  <c r="AB14" i="8"/>
  <c r="AB14" i="9"/>
  <c r="AB14" i="12"/>
  <c r="G47" i="14"/>
  <c r="F16" i="2"/>
  <c r="F16" i="11"/>
  <c r="F16" i="8"/>
  <c r="F16" i="9"/>
  <c r="F16" i="12"/>
  <c r="G53" i="14"/>
  <c r="F22" i="12"/>
  <c r="F22" i="8"/>
  <c r="F22" i="11"/>
  <c r="F22" i="9"/>
  <c r="F22" i="2"/>
  <c r="G40" i="14"/>
  <c r="F9" i="12"/>
  <c r="F9" i="8"/>
  <c r="F9" i="9"/>
  <c r="F9" i="11"/>
  <c r="F9" i="2"/>
  <c r="S44" i="14"/>
  <c r="R13" i="12"/>
  <c r="R13" i="11"/>
  <c r="R13" i="8"/>
  <c r="R13" i="9"/>
  <c r="R13" i="2"/>
  <c r="S38" i="14"/>
  <c r="R7" i="8"/>
  <c r="R7" i="11"/>
  <c r="R7" i="9"/>
  <c r="R7" i="2"/>
  <c r="R7" i="12"/>
  <c r="S40" i="14"/>
  <c r="R9" i="12"/>
  <c r="R9" i="11"/>
  <c r="R9" i="8"/>
  <c r="R9" i="9"/>
  <c r="R9" i="2"/>
  <c r="AE62" i="14"/>
  <c r="AD31" i="12"/>
  <c r="AD31" i="11"/>
  <c r="AD31" i="8"/>
  <c r="AD31" i="9"/>
  <c r="AD31" i="2"/>
  <c r="AE40" i="14"/>
  <c r="AD9" i="9"/>
  <c r="AD9" i="12"/>
  <c r="AD9" i="11"/>
  <c r="AD9" i="2"/>
  <c r="AD9" i="8"/>
  <c r="I56" i="14"/>
  <c r="H25" i="12"/>
  <c r="H25" i="8"/>
  <c r="H25" i="11"/>
  <c r="H25" i="9"/>
  <c r="H25" i="2"/>
  <c r="AG61" i="14"/>
  <c r="AF30" i="12"/>
  <c r="AF30" i="11"/>
  <c r="AF30" i="8"/>
  <c r="AF30" i="2"/>
  <c r="AF30" i="9"/>
  <c r="AG59" i="14"/>
  <c r="AF28" i="12"/>
  <c r="AF28" i="11"/>
  <c r="AF28" i="8"/>
  <c r="AF28" i="9"/>
  <c r="AF28" i="2"/>
  <c r="H54" i="14"/>
  <c r="G23" i="11"/>
  <c r="G23" i="8"/>
  <c r="G23" i="9"/>
  <c r="G23" i="2"/>
  <c r="G23" i="12"/>
  <c r="H38" i="14"/>
  <c r="G7" i="9"/>
  <c r="G7" i="2"/>
  <c r="G7" i="12"/>
  <c r="G7" i="11"/>
  <c r="G7" i="8"/>
  <c r="H62" i="14"/>
  <c r="G31" i="2"/>
  <c r="G31" i="12"/>
  <c r="G31" i="11"/>
  <c r="G31" i="8"/>
  <c r="G31" i="9"/>
  <c r="T51" i="14"/>
  <c r="S20" i="2"/>
  <c r="S20" i="12"/>
  <c r="S20" i="11"/>
  <c r="S20" i="9"/>
  <c r="S20" i="8"/>
  <c r="T44" i="14"/>
  <c r="S13" i="2"/>
  <c r="S13" i="8"/>
  <c r="S13" i="9"/>
  <c r="S13" i="12"/>
  <c r="S13" i="11"/>
  <c r="T55" i="14"/>
  <c r="S24" i="8"/>
  <c r="S24" i="2"/>
  <c r="S24" i="12"/>
  <c r="S24" i="11"/>
  <c r="S24" i="9"/>
  <c r="AF63" i="14"/>
  <c r="AE32" i="2"/>
  <c r="AE32" i="11"/>
  <c r="AE32" i="8"/>
  <c r="AE32" i="9"/>
  <c r="AE32" i="12"/>
  <c r="AF56" i="14"/>
  <c r="AE25" i="2"/>
  <c r="AE25" i="8"/>
  <c r="AE25" i="9"/>
  <c r="AE25" i="12"/>
  <c r="AE25" i="11"/>
  <c r="AF37" i="14"/>
  <c r="AE6" i="2"/>
  <c r="AE6" i="8"/>
  <c r="AE6" i="12"/>
  <c r="AE6" i="11"/>
  <c r="AE6" i="9"/>
  <c r="U39" i="14"/>
  <c r="T8" i="2"/>
  <c r="T8" i="8"/>
  <c r="T8" i="9"/>
  <c r="T8" i="12"/>
  <c r="T8" i="11"/>
  <c r="U57" i="14"/>
  <c r="T26" i="12"/>
  <c r="T26" i="11"/>
  <c r="T26" i="8"/>
  <c r="T26" i="9"/>
  <c r="T26" i="2"/>
  <c r="F34" i="14"/>
  <c r="E3" i="2"/>
  <c r="E3" i="8"/>
  <c r="E3" i="12"/>
  <c r="E3" i="11"/>
  <c r="E3" i="9"/>
  <c r="F46" i="14"/>
  <c r="E15" i="11"/>
  <c r="E15" i="8"/>
  <c r="E15" i="9"/>
  <c r="E15" i="12"/>
  <c r="E15" i="2"/>
  <c r="R47" i="14"/>
  <c r="Q16" i="2"/>
  <c r="Q16" i="12"/>
  <c r="Q16" i="11"/>
  <c r="Q16" i="8"/>
  <c r="Q16" i="9"/>
  <c r="R38" i="14"/>
  <c r="Q7" i="2"/>
  <c r="Q7" i="12"/>
  <c r="Q7" i="11"/>
  <c r="Q7" i="9"/>
  <c r="Q7" i="8"/>
  <c r="R37" i="14"/>
  <c r="Q6" i="12"/>
  <c r="Q6" i="11"/>
  <c r="Q6" i="8"/>
  <c r="Q6" i="9"/>
  <c r="Q6" i="2"/>
  <c r="AD58" i="14"/>
  <c r="AC27" i="12"/>
  <c r="AC27" i="11"/>
  <c r="AC27" i="9"/>
  <c r="AC27" i="2"/>
  <c r="AC27" i="8"/>
  <c r="AD37" i="14"/>
  <c r="AC6" i="9"/>
  <c r="AC6" i="12"/>
  <c r="AC6" i="11"/>
  <c r="AC6" i="8"/>
  <c r="AC6" i="2"/>
  <c r="V63" i="14"/>
  <c r="U32" i="9"/>
  <c r="U32" i="2"/>
  <c r="U32" i="12"/>
  <c r="U32" i="11"/>
  <c r="U32" i="8"/>
  <c r="K58" i="14"/>
  <c r="J27" i="12"/>
  <c r="J27" i="11"/>
  <c r="J27" i="8"/>
  <c r="J27" i="9"/>
  <c r="J27" i="2"/>
  <c r="K52" i="14"/>
  <c r="J21" i="12"/>
  <c r="J21" i="8"/>
  <c r="J21" i="11"/>
  <c r="J21" i="9"/>
  <c r="J21" i="2"/>
  <c r="X46" i="14"/>
  <c r="W15" i="9"/>
  <c r="W15" i="2"/>
  <c r="W15" i="11"/>
  <c r="W15" i="8"/>
  <c r="W15" i="12"/>
  <c r="X40" i="14"/>
  <c r="W9" i="12"/>
  <c r="W9" i="11"/>
  <c r="W9" i="2"/>
  <c r="W9" i="8"/>
  <c r="W9" i="9"/>
  <c r="X39" i="14"/>
  <c r="W8" i="9"/>
  <c r="W8" i="2"/>
  <c r="W8" i="12"/>
  <c r="W8" i="8"/>
  <c r="W8" i="11"/>
  <c r="L49" i="14"/>
  <c r="K18" i="11"/>
  <c r="K18" i="8"/>
  <c r="K18" i="9"/>
  <c r="K18" i="2"/>
  <c r="K18" i="12"/>
  <c r="L57" i="14"/>
  <c r="K26" i="12"/>
  <c r="K26" i="11"/>
  <c r="K26" i="8"/>
  <c r="K26" i="9"/>
  <c r="K26" i="2"/>
  <c r="L36" i="14"/>
  <c r="K5" i="2"/>
  <c r="K5" i="12"/>
  <c r="K5" i="11"/>
  <c r="K5" i="8"/>
  <c r="K5" i="9"/>
  <c r="Y60" i="14"/>
  <c r="X29" i="12"/>
  <c r="X29" i="8"/>
  <c r="X29" i="9"/>
  <c r="X29" i="2"/>
  <c r="X29" i="11"/>
  <c r="Y46" i="14"/>
  <c r="X15" i="9"/>
  <c r="X15" i="8"/>
  <c r="X15" i="12"/>
  <c r="X15" i="2"/>
  <c r="X15" i="11"/>
  <c r="M60" i="14"/>
  <c r="L29" i="12"/>
  <c r="L29" i="11"/>
  <c r="L29" i="8"/>
  <c r="L29" i="9"/>
  <c r="L29" i="2"/>
  <c r="M54" i="14"/>
  <c r="L23" i="8"/>
  <c r="L23" i="9"/>
  <c r="L23" i="2"/>
  <c r="L23" i="12"/>
  <c r="L23" i="11"/>
  <c r="M34" i="14"/>
  <c r="L3" i="12"/>
  <c r="L3" i="11"/>
  <c r="L3" i="8"/>
  <c r="L3" i="2"/>
  <c r="L3" i="9"/>
  <c r="J38" i="14"/>
  <c r="I7" i="12"/>
  <c r="I7" i="11"/>
  <c r="I7" i="2"/>
  <c r="I7" i="8"/>
  <c r="I7" i="9"/>
  <c r="D48" i="14"/>
  <c r="C17" i="11"/>
  <c r="C17" i="8"/>
  <c r="C17" i="9"/>
  <c r="C17" i="2"/>
  <c r="C17" i="12"/>
  <c r="D43" i="14"/>
  <c r="C12" i="12"/>
  <c r="C12" i="11"/>
  <c r="C12" i="8"/>
  <c r="C12" i="9"/>
  <c r="C12" i="2"/>
  <c r="W60" i="14"/>
  <c r="V29" i="8"/>
  <c r="V29" i="9"/>
  <c r="V29" i="12"/>
  <c r="V29" i="11"/>
  <c r="V29" i="2"/>
  <c r="W43" i="14"/>
  <c r="V12" i="8"/>
  <c r="V12" i="11"/>
  <c r="V12" i="9"/>
  <c r="V12" i="2"/>
  <c r="V12" i="12"/>
  <c r="C51" i="12"/>
  <c r="C51" i="11"/>
  <c r="AA60" i="12"/>
  <c r="AA60" i="8"/>
  <c r="AA60" i="11"/>
  <c r="AA60" i="9"/>
  <c r="F57" i="8"/>
  <c r="F57" i="12"/>
  <c r="F57" i="11"/>
  <c r="F57" i="9"/>
  <c r="Z53" i="12"/>
  <c r="Z53" i="8"/>
  <c r="Z53" i="11"/>
  <c r="Z53" i="9"/>
  <c r="V49" i="12"/>
  <c r="V49" i="8"/>
  <c r="V49" i="11"/>
  <c r="V49" i="9"/>
  <c r="M46" i="8"/>
  <c r="M46" i="12"/>
  <c r="M46" i="11"/>
  <c r="M46" i="9"/>
  <c r="I42" i="8"/>
  <c r="I42" i="12"/>
  <c r="I42" i="11"/>
  <c r="I42" i="9"/>
  <c r="Q38" i="12"/>
  <c r="Q38" i="8"/>
  <c r="Q38" i="11"/>
  <c r="Q38" i="9"/>
  <c r="H35" i="12"/>
  <c r="H35" i="8"/>
  <c r="H35" i="11"/>
  <c r="H35" i="9"/>
  <c r="Q93" i="12"/>
  <c r="Q93" i="11"/>
  <c r="Q93" i="9"/>
  <c r="Q93" i="8"/>
  <c r="Y89" i="12"/>
  <c r="Y89" i="11"/>
  <c r="Y89" i="9"/>
  <c r="Y89" i="8"/>
  <c r="D86" i="12"/>
  <c r="D86" i="11"/>
  <c r="D86" i="9"/>
  <c r="D86" i="8"/>
  <c r="AC81" i="12"/>
  <c r="AC81" i="11"/>
  <c r="AC81" i="9"/>
  <c r="AC81" i="8"/>
  <c r="T78" i="12"/>
  <c r="T78" i="11"/>
  <c r="T78" i="9"/>
  <c r="T78" i="8"/>
  <c r="K75" i="12"/>
  <c r="K75" i="11"/>
  <c r="K75" i="9"/>
  <c r="K75" i="8"/>
  <c r="S71" i="12"/>
  <c r="S71" i="11"/>
  <c r="S71" i="9"/>
  <c r="S71" i="8"/>
  <c r="E69" i="12"/>
  <c r="E69" i="11"/>
  <c r="E69" i="9"/>
  <c r="E69" i="8"/>
  <c r="C124" i="12"/>
  <c r="C124" i="11"/>
  <c r="C124" i="9"/>
  <c r="C124" i="8"/>
  <c r="V123" i="12"/>
  <c r="V123" i="11"/>
  <c r="V123" i="9"/>
  <c r="V123" i="8"/>
  <c r="R119" i="12"/>
  <c r="R119" i="11"/>
  <c r="R119" i="9"/>
  <c r="R119" i="8"/>
  <c r="AE114" i="12"/>
  <c r="AE114" i="11"/>
  <c r="AE114" i="9"/>
  <c r="AE114" i="8"/>
  <c r="J111" i="12"/>
  <c r="J111" i="11"/>
  <c r="J111" i="9"/>
  <c r="J111" i="8"/>
  <c r="AD107" i="12"/>
  <c r="AD107" i="11"/>
  <c r="AD107" i="9"/>
  <c r="AD107" i="8"/>
  <c r="U104" i="12"/>
  <c r="U104" i="11"/>
  <c r="U104" i="9"/>
  <c r="U104" i="8"/>
  <c r="Q100" i="12"/>
  <c r="Q100" i="11"/>
  <c r="Q100" i="9"/>
  <c r="Q100" i="8"/>
  <c r="T97" i="12"/>
  <c r="T97" i="11"/>
  <c r="T97" i="9"/>
  <c r="T97" i="8"/>
  <c r="K63" i="12"/>
  <c r="K63" i="8"/>
  <c r="K63" i="11"/>
  <c r="K63" i="9"/>
  <c r="S59" i="12"/>
  <c r="S59" i="8"/>
  <c r="S59" i="11"/>
  <c r="S59" i="9"/>
  <c r="J56" i="12"/>
  <c r="J56" i="8"/>
  <c r="J56" i="11"/>
  <c r="J56" i="9"/>
  <c r="R52" i="12"/>
  <c r="R52" i="8"/>
  <c r="R52" i="11"/>
  <c r="R52" i="9"/>
  <c r="AE47" i="12"/>
  <c r="AE47" i="8"/>
  <c r="AE47" i="11"/>
  <c r="AE47" i="9"/>
  <c r="J44" i="12"/>
  <c r="J44" i="8"/>
  <c r="J44" i="11"/>
  <c r="J44" i="9"/>
  <c r="R40" i="12"/>
  <c r="R40" i="8"/>
  <c r="R40" i="11"/>
  <c r="R40" i="9"/>
  <c r="Z36" i="8"/>
  <c r="Z36" i="12"/>
  <c r="Z36" i="11"/>
  <c r="Z36" i="9"/>
  <c r="C80" i="12"/>
  <c r="C80" i="11"/>
  <c r="C80" i="9"/>
  <c r="C80" i="8"/>
  <c r="Z91" i="12"/>
  <c r="Z91" i="11"/>
  <c r="Z91" i="9"/>
  <c r="Z91" i="8"/>
  <c r="V87" i="12"/>
  <c r="V87" i="11"/>
  <c r="V87" i="9"/>
  <c r="V87" i="8"/>
  <c r="R83" i="12"/>
  <c r="R83" i="11"/>
  <c r="R83" i="9"/>
  <c r="R83" i="8"/>
  <c r="D81" i="12"/>
  <c r="D81" i="11"/>
  <c r="D81" i="9"/>
  <c r="D81" i="8"/>
  <c r="AC76" i="12"/>
  <c r="AC76" i="11"/>
  <c r="AC76" i="9"/>
  <c r="AC76" i="8"/>
  <c r="Y72" i="12"/>
  <c r="Y72" i="11"/>
  <c r="Y72" i="9"/>
  <c r="Y72" i="8"/>
  <c r="D69" i="12"/>
  <c r="D69" i="11"/>
  <c r="D69" i="9"/>
  <c r="D69" i="8"/>
  <c r="X65" i="12"/>
  <c r="X65" i="11"/>
  <c r="X65" i="9"/>
  <c r="X65" i="8"/>
  <c r="P124" i="12"/>
  <c r="P124" i="11"/>
  <c r="P124" i="9"/>
  <c r="P124" i="8"/>
  <c r="AC119" i="12"/>
  <c r="AC119" i="11"/>
  <c r="AC119" i="9"/>
  <c r="AC119" i="8"/>
  <c r="H116" i="12"/>
  <c r="H116" i="11"/>
  <c r="H116" i="9"/>
  <c r="H116" i="8"/>
  <c r="P112" i="12"/>
  <c r="P112" i="11"/>
  <c r="P112" i="9"/>
  <c r="P112" i="8"/>
  <c r="G109" i="12"/>
  <c r="G109" i="11"/>
  <c r="G109" i="9"/>
  <c r="G109" i="8"/>
  <c r="J106" i="12"/>
  <c r="J106" i="11"/>
  <c r="J106" i="9"/>
  <c r="J106" i="8"/>
  <c r="M103" i="12"/>
  <c r="M103" i="11"/>
  <c r="M103" i="9"/>
  <c r="M103" i="8"/>
  <c r="P100" i="12"/>
  <c r="P100" i="11"/>
  <c r="P100" i="9"/>
  <c r="P100" i="8"/>
  <c r="X96" i="12"/>
  <c r="X96" i="11"/>
  <c r="X96" i="9"/>
  <c r="X96" i="8"/>
  <c r="C34" i="12"/>
  <c r="C34" i="11"/>
  <c r="C52" i="12"/>
  <c r="C52" i="11"/>
  <c r="C40" i="12"/>
  <c r="C40" i="11"/>
  <c r="Y63" i="12"/>
  <c r="Y63" i="8"/>
  <c r="Y63" i="11"/>
  <c r="Y63" i="9"/>
  <c r="M63" i="12"/>
  <c r="M63" i="8"/>
  <c r="M63" i="11"/>
  <c r="M63" i="9"/>
  <c r="AD62" i="12"/>
  <c r="AD62" i="8"/>
  <c r="AD62" i="11"/>
  <c r="AD62" i="9"/>
  <c r="R62" i="12"/>
  <c r="R62" i="8"/>
  <c r="R62" i="11"/>
  <c r="R62" i="9"/>
  <c r="F62" i="12"/>
  <c r="F62" i="8"/>
  <c r="F62" i="11"/>
  <c r="F62" i="9"/>
  <c r="W61" i="12"/>
  <c r="W61" i="8"/>
  <c r="W61" i="11"/>
  <c r="W61" i="9"/>
  <c r="K61" i="12"/>
  <c r="K61" i="8"/>
  <c r="K61" i="11"/>
  <c r="K61" i="9"/>
  <c r="AB60" i="12"/>
  <c r="AB60" i="8"/>
  <c r="AB60" i="11"/>
  <c r="AB60" i="9"/>
  <c r="P60" i="12"/>
  <c r="P60" i="8"/>
  <c r="P60" i="11"/>
  <c r="P60" i="9"/>
  <c r="D60" i="12"/>
  <c r="D60" i="8"/>
  <c r="D60" i="11"/>
  <c r="D60" i="9"/>
  <c r="U59" i="12"/>
  <c r="U59" i="8"/>
  <c r="U59" i="11"/>
  <c r="U59" i="9"/>
  <c r="I59" i="12"/>
  <c r="I59" i="8"/>
  <c r="I59" i="11"/>
  <c r="I59" i="9"/>
  <c r="Z58" i="8"/>
  <c r="Z58" i="12"/>
  <c r="Z58" i="11"/>
  <c r="Z58" i="9"/>
  <c r="N58" i="8"/>
  <c r="N58" i="12"/>
  <c r="N58" i="11"/>
  <c r="N58" i="9"/>
  <c r="AE57" i="8"/>
  <c r="AE57" i="12"/>
  <c r="AE57" i="11"/>
  <c r="AE57" i="9"/>
  <c r="S57" i="8"/>
  <c r="S57" i="12"/>
  <c r="S57" i="11"/>
  <c r="S57" i="9"/>
  <c r="G57" i="8"/>
  <c r="G57" i="12"/>
  <c r="G57" i="11"/>
  <c r="G57" i="9"/>
  <c r="X56" i="8"/>
  <c r="X56" i="12"/>
  <c r="X56" i="11"/>
  <c r="X56" i="9"/>
  <c r="L56" i="8"/>
  <c r="L56" i="12"/>
  <c r="L56" i="11"/>
  <c r="L56" i="9"/>
  <c r="AC55" i="8"/>
  <c r="AC55" i="12"/>
  <c r="AC55" i="11"/>
  <c r="AC55" i="9"/>
  <c r="Q55" i="8"/>
  <c r="Q55" i="12"/>
  <c r="Q55" i="11"/>
  <c r="Q55" i="9"/>
  <c r="E55" i="8"/>
  <c r="E55" i="12"/>
  <c r="E55" i="11"/>
  <c r="E55" i="9"/>
  <c r="V54" i="12"/>
  <c r="V54" i="8"/>
  <c r="V54" i="11"/>
  <c r="V54" i="9"/>
  <c r="J54" i="12"/>
  <c r="J54" i="8"/>
  <c r="J54" i="11"/>
  <c r="J54" i="9"/>
  <c r="AA53" i="12"/>
  <c r="AA53" i="8"/>
  <c r="AA53" i="11"/>
  <c r="AA53" i="9"/>
  <c r="O53" i="12"/>
  <c r="O53" i="8"/>
  <c r="O53" i="11"/>
  <c r="O53" i="9"/>
  <c r="AF52" i="12"/>
  <c r="AF52" i="8"/>
  <c r="AF52" i="11"/>
  <c r="AF52" i="9"/>
  <c r="T52" i="12"/>
  <c r="T52" i="8"/>
  <c r="T52" i="11"/>
  <c r="T52" i="9"/>
  <c r="H52" i="12"/>
  <c r="H52" i="8"/>
  <c r="H52" i="11"/>
  <c r="H52" i="9"/>
  <c r="Y51" i="12"/>
  <c r="Y51" i="8"/>
  <c r="Y51" i="11"/>
  <c r="Y51" i="9"/>
  <c r="M51" i="12"/>
  <c r="M51" i="8"/>
  <c r="M51" i="11"/>
  <c r="M51" i="9"/>
  <c r="AD50" i="12"/>
  <c r="AD50" i="8"/>
  <c r="AD50" i="11"/>
  <c r="AD50" i="9"/>
  <c r="R50" i="12"/>
  <c r="R50" i="8"/>
  <c r="R50" i="11"/>
  <c r="R50" i="9"/>
  <c r="F50" i="12"/>
  <c r="F50" i="8"/>
  <c r="F50" i="11"/>
  <c r="F50" i="9"/>
  <c r="W49" i="12"/>
  <c r="W49" i="8"/>
  <c r="W49" i="11"/>
  <c r="W49" i="9"/>
  <c r="K49" i="12"/>
  <c r="K49" i="8"/>
  <c r="K49" i="11"/>
  <c r="K49" i="9"/>
  <c r="AB48" i="12"/>
  <c r="AB48" i="8"/>
  <c r="AB48" i="11"/>
  <c r="AB48" i="9"/>
  <c r="P48" i="12"/>
  <c r="P48" i="8"/>
  <c r="P48" i="11"/>
  <c r="P48" i="9"/>
  <c r="D48" i="12"/>
  <c r="D48" i="8"/>
  <c r="D48" i="11"/>
  <c r="D48" i="9"/>
  <c r="U47" i="12"/>
  <c r="U47" i="8"/>
  <c r="U47" i="11"/>
  <c r="U47" i="9"/>
  <c r="I47" i="12"/>
  <c r="I47" i="8"/>
  <c r="I47" i="11"/>
  <c r="I47" i="9"/>
  <c r="Z46" i="8"/>
  <c r="Z46" i="12"/>
  <c r="Z46" i="11"/>
  <c r="Z46" i="9"/>
  <c r="N46" i="8"/>
  <c r="N46" i="12"/>
  <c r="N46" i="11"/>
  <c r="N46" i="9"/>
  <c r="AE45" i="8"/>
  <c r="AE45" i="12"/>
  <c r="AE45" i="11"/>
  <c r="AE45" i="9"/>
  <c r="S45" i="8"/>
  <c r="S45" i="12"/>
  <c r="S45" i="11"/>
  <c r="S45" i="9"/>
  <c r="G45" i="8"/>
  <c r="G45" i="12"/>
  <c r="G45" i="11"/>
  <c r="G45" i="9"/>
  <c r="X44" i="8"/>
  <c r="X44" i="12"/>
  <c r="X44" i="11"/>
  <c r="X44" i="9"/>
  <c r="L44" i="8"/>
  <c r="L44" i="12"/>
  <c r="L44" i="11"/>
  <c r="L44" i="9"/>
  <c r="AC43" i="8"/>
  <c r="AC43" i="12"/>
  <c r="AC43" i="11"/>
  <c r="AC43" i="9"/>
  <c r="Q43" i="8"/>
  <c r="Q43" i="12"/>
  <c r="Q43" i="11"/>
  <c r="Q43" i="9"/>
  <c r="E43" i="12"/>
  <c r="E43" i="8"/>
  <c r="E43" i="11"/>
  <c r="E43" i="9"/>
  <c r="V42" i="8"/>
  <c r="V42" i="12"/>
  <c r="V42" i="11"/>
  <c r="V42" i="9"/>
  <c r="J42" i="8"/>
  <c r="J42" i="12"/>
  <c r="J42" i="11"/>
  <c r="J42" i="9"/>
  <c r="AA41" i="12"/>
  <c r="AA41" i="8"/>
  <c r="AA41" i="11"/>
  <c r="AA41" i="9"/>
  <c r="O41" i="12"/>
  <c r="O41" i="8"/>
  <c r="O41" i="11"/>
  <c r="O41" i="9"/>
  <c r="AF40" i="12"/>
  <c r="AF40" i="8"/>
  <c r="AF40" i="11"/>
  <c r="AF40" i="9"/>
  <c r="T40" i="12"/>
  <c r="T40" i="8"/>
  <c r="T40" i="11"/>
  <c r="T40" i="9"/>
  <c r="H40" i="12"/>
  <c r="H40" i="8"/>
  <c r="H40" i="11"/>
  <c r="H40" i="9"/>
  <c r="Y39" i="8"/>
  <c r="Y39" i="12"/>
  <c r="Y39" i="11"/>
  <c r="Y39" i="9"/>
  <c r="M39" i="8"/>
  <c r="M39" i="12"/>
  <c r="M39" i="11"/>
  <c r="M39" i="9"/>
  <c r="AD38" i="8"/>
  <c r="AD38" i="12"/>
  <c r="AD38" i="11"/>
  <c r="AD38" i="9"/>
  <c r="R38" i="12"/>
  <c r="R38" i="8"/>
  <c r="R38" i="11"/>
  <c r="R38" i="9"/>
  <c r="F38" i="12"/>
  <c r="F38" i="8"/>
  <c r="F38" i="11"/>
  <c r="F38" i="9"/>
  <c r="W37" i="8"/>
  <c r="W37" i="12"/>
  <c r="W37" i="11"/>
  <c r="W37" i="9"/>
  <c r="K37" i="12"/>
  <c r="K37" i="8"/>
  <c r="K37" i="11"/>
  <c r="K37" i="9"/>
  <c r="AB36" i="12"/>
  <c r="AB36" i="8"/>
  <c r="AB36" i="11"/>
  <c r="AB36" i="9"/>
  <c r="P36" i="12"/>
  <c r="P36" i="8"/>
  <c r="P36" i="11"/>
  <c r="P36" i="9"/>
  <c r="D36" i="8"/>
  <c r="D36" i="12"/>
  <c r="D36" i="11"/>
  <c r="D36" i="9"/>
  <c r="U35" i="12"/>
  <c r="U35" i="8"/>
  <c r="U35" i="11"/>
  <c r="U35" i="9"/>
  <c r="I35" i="8"/>
  <c r="I35" i="12"/>
  <c r="I35" i="11"/>
  <c r="I35" i="9"/>
  <c r="Z34" i="12"/>
  <c r="Z34" i="8"/>
  <c r="Z34" i="11"/>
  <c r="Z34" i="9"/>
  <c r="N34" i="12"/>
  <c r="N34" i="8"/>
  <c r="N34" i="11"/>
  <c r="N34" i="9"/>
  <c r="C94" i="12"/>
  <c r="C94" i="11"/>
  <c r="C94" i="9"/>
  <c r="C94" i="8"/>
  <c r="C82" i="12"/>
  <c r="C82" i="11"/>
  <c r="C82" i="9"/>
  <c r="C82" i="8"/>
  <c r="C70" i="12"/>
  <c r="C70" i="11"/>
  <c r="C70" i="9"/>
  <c r="C70" i="8"/>
  <c r="Y94" i="12"/>
  <c r="Y94" i="11"/>
  <c r="Y94" i="9"/>
  <c r="Y94" i="8"/>
  <c r="M94" i="12"/>
  <c r="M94" i="11"/>
  <c r="M94" i="9"/>
  <c r="M94" i="8"/>
  <c r="AD93" i="12"/>
  <c r="AD93" i="11"/>
  <c r="AD93" i="9"/>
  <c r="AD93" i="8"/>
  <c r="R93" i="12"/>
  <c r="R93" i="11"/>
  <c r="R93" i="9"/>
  <c r="R93" i="8"/>
  <c r="F93" i="12"/>
  <c r="F93" i="11"/>
  <c r="F93" i="9"/>
  <c r="F93" i="8"/>
  <c r="W92" i="12"/>
  <c r="W92" i="11"/>
  <c r="W92" i="9"/>
  <c r="W92" i="8"/>
  <c r="K92" i="12"/>
  <c r="K92" i="11"/>
  <c r="K92" i="9"/>
  <c r="K92" i="8"/>
  <c r="AB91" i="12"/>
  <c r="AB91" i="11"/>
  <c r="AB91" i="9"/>
  <c r="AB91" i="8"/>
  <c r="P91" i="12"/>
  <c r="P91" i="11"/>
  <c r="P91" i="9"/>
  <c r="P91" i="8"/>
  <c r="D91" i="12"/>
  <c r="D91" i="11"/>
  <c r="D91" i="9"/>
  <c r="D91" i="8"/>
  <c r="U90" i="12"/>
  <c r="U90" i="11"/>
  <c r="U90" i="9"/>
  <c r="U90" i="8"/>
  <c r="I90" i="12"/>
  <c r="I90" i="11"/>
  <c r="I90" i="9"/>
  <c r="I90" i="8"/>
  <c r="Z89" i="12"/>
  <c r="Z89" i="11"/>
  <c r="Z89" i="9"/>
  <c r="Z89" i="8"/>
  <c r="N89" i="12"/>
  <c r="N89" i="11"/>
  <c r="N89" i="9"/>
  <c r="N89" i="8"/>
  <c r="AE88" i="12"/>
  <c r="AE88" i="11"/>
  <c r="AE88" i="9"/>
  <c r="AE88" i="8"/>
  <c r="S88" i="12"/>
  <c r="S88" i="11"/>
  <c r="S88" i="9"/>
  <c r="S88" i="8"/>
  <c r="G88" i="12"/>
  <c r="G88" i="11"/>
  <c r="G88" i="9"/>
  <c r="G88" i="8"/>
  <c r="X87" i="12"/>
  <c r="X87" i="11"/>
  <c r="X87" i="9"/>
  <c r="X87" i="8"/>
  <c r="L87" i="12"/>
  <c r="L87" i="11"/>
  <c r="L87" i="9"/>
  <c r="L87" i="8"/>
  <c r="AC86" i="12"/>
  <c r="AC86" i="11"/>
  <c r="AC86" i="9"/>
  <c r="AC86" i="8"/>
  <c r="Q86" i="12"/>
  <c r="Q86" i="11"/>
  <c r="Q86" i="9"/>
  <c r="Q86" i="8"/>
  <c r="E86" i="12"/>
  <c r="E86" i="11"/>
  <c r="E86" i="9"/>
  <c r="E86" i="8"/>
  <c r="V85" i="12"/>
  <c r="V85" i="11"/>
  <c r="V85" i="9"/>
  <c r="V85" i="8"/>
  <c r="J85" i="12"/>
  <c r="J85" i="11"/>
  <c r="J85" i="9"/>
  <c r="J85" i="8"/>
  <c r="AA84" i="12"/>
  <c r="AA84" i="11"/>
  <c r="AA84" i="9"/>
  <c r="AA84" i="8"/>
  <c r="O84" i="12"/>
  <c r="O84" i="11"/>
  <c r="O84" i="9"/>
  <c r="O84" i="8"/>
  <c r="AF83" i="12"/>
  <c r="AF83" i="11"/>
  <c r="AF83" i="9"/>
  <c r="AF83" i="8"/>
  <c r="T83" i="12"/>
  <c r="T83" i="11"/>
  <c r="T83" i="9"/>
  <c r="T83" i="8"/>
  <c r="H83" i="12"/>
  <c r="H83" i="11"/>
  <c r="H83" i="9"/>
  <c r="H83" i="8"/>
  <c r="Y82" i="12"/>
  <c r="Y82" i="11"/>
  <c r="Y82" i="9"/>
  <c r="Y82" i="8"/>
  <c r="M82" i="12"/>
  <c r="M82" i="11"/>
  <c r="M82" i="9"/>
  <c r="M82" i="8"/>
  <c r="AD81" i="12"/>
  <c r="AD81" i="11"/>
  <c r="AD81" i="9"/>
  <c r="AD81" i="8"/>
  <c r="R81" i="12"/>
  <c r="R81" i="11"/>
  <c r="R81" i="9"/>
  <c r="R81" i="8"/>
  <c r="F81" i="12"/>
  <c r="F81" i="11"/>
  <c r="F81" i="9"/>
  <c r="F81" i="8"/>
  <c r="W80" i="12"/>
  <c r="W80" i="11"/>
  <c r="W80" i="9"/>
  <c r="W80" i="8"/>
  <c r="K80" i="12"/>
  <c r="K80" i="11"/>
  <c r="K80" i="9"/>
  <c r="K80" i="8"/>
  <c r="AB79" i="12"/>
  <c r="AB79" i="11"/>
  <c r="AB79" i="9"/>
  <c r="AB79" i="8"/>
  <c r="P79" i="12"/>
  <c r="P79" i="11"/>
  <c r="P79" i="9"/>
  <c r="P79" i="8"/>
  <c r="D79" i="12"/>
  <c r="D79" i="11"/>
  <c r="D79" i="9"/>
  <c r="D79" i="8"/>
  <c r="U78" i="12"/>
  <c r="U78" i="11"/>
  <c r="U78" i="9"/>
  <c r="U78" i="8"/>
  <c r="I78" i="12"/>
  <c r="I78" i="11"/>
  <c r="I78" i="9"/>
  <c r="I78" i="8"/>
  <c r="Z77" i="12"/>
  <c r="Z77" i="11"/>
  <c r="Z77" i="9"/>
  <c r="Z77" i="8"/>
  <c r="N77" i="12"/>
  <c r="N77" i="11"/>
  <c r="N77" i="9"/>
  <c r="N77" i="8"/>
  <c r="AE76" i="12"/>
  <c r="AE76" i="11"/>
  <c r="AE76" i="9"/>
  <c r="AE76" i="8"/>
  <c r="S76" i="12"/>
  <c r="S76" i="11"/>
  <c r="S76" i="9"/>
  <c r="S76" i="8"/>
  <c r="G76" i="12"/>
  <c r="G76" i="11"/>
  <c r="G76" i="9"/>
  <c r="G76" i="8"/>
  <c r="X75" i="12"/>
  <c r="X75" i="11"/>
  <c r="X75" i="9"/>
  <c r="X75" i="8"/>
  <c r="L75" i="12"/>
  <c r="L75" i="11"/>
  <c r="L75" i="9"/>
  <c r="L75" i="8"/>
  <c r="AC74" i="12"/>
  <c r="AC74" i="11"/>
  <c r="AC74" i="9"/>
  <c r="AC74" i="8"/>
  <c r="Q74" i="12"/>
  <c r="Q74" i="11"/>
  <c r="Q74" i="9"/>
  <c r="Q74" i="8"/>
  <c r="E74" i="12"/>
  <c r="E74" i="11"/>
  <c r="E74" i="9"/>
  <c r="E74" i="8"/>
  <c r="V73" i="12"/>
  <c r="V73" i="11"/>
  <c r="V73" i="9"/>
  <c r="V73" i="8"/>
  <c r="J73" i="12"/>
  <c r="J73" i="11"/>
  <c r="J73" i="9"/>
  <c r="J73" i="8"/>
  <c r="AA72" i="12"/>
  <c r="AA72" i="11"/>
  <c r="AA72" i="9"/>
  <c r="AA72" i="8"/>
  <c r="O72" i="12"/>
  <c r="O72" i="11"/>
  <c r="O72" i="9"/>
  <c r="O72" i="8"/>
  <c r="AF71" i="12"/>
  <c r="AF71" i="11"/>
  <c r="AF71" i="9"/>
  <c r="AF71" i="8"/>
  <c r="T71" i="12"/>
  <c r="T71" i="11"/>
  <c r="T71" i="9"/>
  <c r="T71" i="8"/>
  <c r="H71" i="12"/>
  <c r="H71" i="11"/>
  <c r="H71" i="9"/>
  <c r="H71" i="8"/>
  <c r="Y70" i="12"/>
  <c r="Y70" i="11"/>
  <c r="Y70" i="9"/>
  <c r="Y70" i="8"/>
  <c r="M70" i="12"/>
  <c r="M70" i="11"/>
  <c r="M70" i="9"/>
  <c r="M70" i="8"/>
  <c r="AD69" i="12"/>
  <c r="AD69" i="11"/>
  <c r="AD69" i="9"/>
  <c r="AD69" i="8"/>
  <c r="R69" i="12"/>
  <c r="R69" i="11"/>
  <c r="R69" i="9"/>
  <c r="R69" i="8"/>
  <c r="F69" i="12"/>
  <c r="F69" i="11"/>
  <c r="F69" i="9"/>
  <c r="F69" i="8"/>
  <c r="W68" i="12"/>
  <c r="W68" i="11"/>
  <c r="W68" i="9"/>
  <c r="W68" i="8"/>
  <c r="K68" i="12"/>
  <c r="K68" i="11"/>
  <c r="K68" i="9"/>
  <c r="K68" i="8"/>
  <c r="AB67" i="12"/>
  <c r="AB67" i="11"/>
  <c r="AB67" i="9"/>
  <c r="AB67" i="8"/>
  <c r="P67" i="12"/>
  <c r="P67" i="11"/>
  <c r="P67" i="9"/>
  <c r="P67" i="8"/>
  <c r="D67" i="12"/>
  <c r="D67" i="11"/>
  <c r="D67" i="9"/>
  <c r="D67" i="8"/>
  <c r="U66" i="12"/>
  <c r="U66" i="11"/>
  <c r="U66" i="9"/>
  <c r="U66" i="8"/>
  <c r="I66" i="12"/>
  <c r="I66" i="11"/>
  <c r="I66" i="9"/>
  <c r="I66" i="8"/>
  <c r="Z65" i="12"/>
  <c r="Z65" i="11"/>
  <c r="Z65" i="9"/>
  <c r="Z65" i="8"/>
  <c r="N65" i="12"/>
  <c r="N65" i="11"/>
  <c r="N65" i="9"/>
  <c r="N65" i="8"/>
  <c r="C125" i="12"/>
  <c r="C125" i="11"/>
  <c r="C125" i="9"/>
  <c r="C125" i="8"/>
  <c r="C113" i="12"/>
  <c r="C113" i="11"/>
  <c r="C113" i="9"/>
  <c r="C113" i="8"/>
  <c r="C101" i="12"/>
  <c r="C101" i="11"/>
  <c r="C101" i="9"/>
  <c r="C101" i="8"/>
  <c r="Y125" i="12"/>
  <c r="Y125" i="11"/>
  <c r="Y125" i="9"/>
  <c r="Y125" i="8"/>
  <c r="M125" i="12"/>
  <c r="M125" i="11"/>
  <c r="M125" i="9"/>
  <c r="M125" i="8"/>
  <c r="AD124" i="12"/>
  <c r="AD124" i="11"/>
  <c r="AD124" i="9"/>
  <c r="AD124" i="8"/>
  <c r="R124" i="12"/>
  <c r="R124" i="11"/>
  <c r="R124" i="9"/>
  <c r="R124" i="8"/>
  <c r="F124" i="12"/>
  <c r="F124" i="11"/>
  <c r="F124" i="9"/>
  <c r="F124" i="8"/>
  <c r="W123" i="12"/>
  <c r="W123" i="11"/>
  <c r="W123" i="9"/>
  <c r="W123" i="8"/>
  <c r="K123" i="12"/>
  <c r="K123" i="11"/>
  <c r="K123" i="9"/>
  <c r="K123" i="8"/>
  <c r="AB122" i="12"/>
  <c r="AB122" i="11"/>
  <c r="AB122" i="9"/>
  <c r="AB122" i="8"/>
  <c r="P122" i="12"/>
  <c r="P122" i="11"/>
  <c r="P122" i="9"/>
  <c r="P122" i="8"/>
  <c r="D122" i="12"/>
  <c r="D122" i="11"/>
  <c r="D122" i="9"/>
  <c r="D122" i="8"/>
  <c r="U121" i="12"/>
  <c r="U121" i="11"/>
  <c r="U121" i="9"/>
  <c r="U121" i="8"/>
  <c r="I121" i="12"/>
  <c r="I121" i="11"/>
  <c r="I121" i="9"/>
  <c r="I121" i="8"/>
  <c r="Z120" i="12"/>
  <c r="Z120" i="11"/>
  <c r="Z120" i="9"/>
  <c r="Z120" i="8"/>
  <c r="N120" i="12"/>
  <c r="N120" i="11"/>
  <c r="N120" i="9"/>
  <c r="N120" i="8"/>
  <c r="AE119" i="12"/>
  <c r="AE119" i="11"/>
  <c r="AE119" i="9"/>
  <c r="AE119" i="8"/>
  <c r="S119" i="12"/>
  <c r="S119" i="11"/>
  <c r="S119" i="9"/>
  <c r="S119" i="8"/>
  <c r="G119" i="12"/>
  <c r="G119" i="11"/>
  <c r="G119" i="9"/>
  <c r="G119" i="8"/>
  <c r="X118" i="12"/>
  <c r="X118" i="11"/>
  <c r="X118" i="9"/>
  <c r="X118" i="8"/>
  <c r="L118" i="12"/>
  <c r="L118" i="11"/>
  <c r="L118" i="9"/>
  <c r="L118" i="8"/>
  <c r="AC117" i="12"/>
  <c r="AC117" i="11"/>
  <c r="AC117" i="9"/>
  <c r="AC117" i="8"/>
  <c r="Q117" i="12"/>
  <c r="Q117" i="11"/>
  <c r="Q117" i="9"/>
  <c r="Q117" i="8"/>
  <c r="E117" i="12"/>
  <c r="E117" i="11"/>
  <c r="E117" i="9"/>
  <c r="E117" i="8"/>
  <c r="V116" i="12"/>
  <c r="V116" i="11"/>
  <c r="V116" i="9"/>
  <c r="V116" i="8"/>
  <c r="J116" i="12"/>
  <c r="J116" i="11"/>
  <c r="J116" i="9"/>
  <c r="J116" i="8"/>
  <c r="AA115" i="12"/>
  <c r="AA115" i="11"/>
  <c r="AA115" i="9"/>
  <c r="AA115" i="8"/>
  <c r="O115" i="12"/>
  <c r="O115" i="11"/>
  <c r="O115" i="9"/>
  <c r="O115" i="8"/>
  <c r="AF114" i="12"/>
  <c r="AF114" i="11"/>
  <c r="AF114" i="9"/>
  <c r="AF114" i="8"/>
  <c r="T114" i="12"/>
  <c r="T114" i="11"/>
  <c r="T114" i="9"/>
  <c r="T114" i="8"/>
  <c r="H114" i="12"/>
  <c r="H114" i="11"/>
  <c r="H114" i="9"/>
  <c r="H114" i="8"/>
  <c r="Y113" i="12"/>
  <c r="Y113" i="11"/>
  <c r="Y113" i="9"/>
  <c r="Y113" i="8"/>
  <c r="M113" i="12"/>
  <c r="M113" i="11"/>
  <c r="M113" i="9"/>
  <c r="M113" i="8"/>
  <c r="AD112" i="12"/>
  <c r="AD112" i="11"/>
  <c r="AD112" i="9"/>
  <c r="AD112" i="8"/>
  <c r="R112" i="12"/>
  <c r="R112" i="11"/>
  <c r="R112" i="9"/>
  <c r="R112" i="8"/>
  <c r="F112" i="12"/>
  <c r="F112" i="11"/>
  <c r="F112" i="9"/>
  <c r="F112" i="8"/>
  <c r="W111" i="12"/>
  <c r="W111" i="11"/>
  <c r="W111" i="9"/>
  <c r="W111" i="8"/>
  <c r="K111" i="12"/>
  <c r="K111" i="11"/>
  <c r="K111" i="9"/>
  <c r="K111" i="8"/>
  <c r="AB110" i="12"/>
  <c r="AB110" i="11"/>
  <c r="AB110" i="9"/>
  <c r="AB110" i="8"/>
  <c r="P110" i="12"/>
  <c r="P110" i="11"/>
  <c r="P110" i="9"/>
  <c r="P110" i="8"/>
  <c r="D110" i="12"/>
  <c r="D110" i="11"/>
  <c r="D110" i="9"/>
  <c r="D110" i="8"/>
  <c r="U109" i="12"/>
  <c r="U109" i="11"/>
  <c r="U109" i="9"/>
  <c r="U109" i="8"/>
  <c r="I109" i="12"/>
  <c r="I109" i="11"/>
  <c r="I109" i="9"/>
  <c r="I109" i="8"/>
  <c r="Z108" i="12"/>
  <c r="Z108" i="11"/>
  <c r="Z108" i="9"/>
  <c r="Z108" i="8"/>
  <c r="N108" i="12"/>
  <c r="N108" i="11"/>
  <c r="N108" i="9"/>
  <c r="N108" i="8"/>
  <c r="AE107" i="12"/>
  <c r="AE107" i="11"/>
  <c r="AE107" i="9"/>
  <c r="AE107" i="8"/>
  <c r="S107" i="12"/>
  <c r="S107" i="11"/>
  <c r="S107" i="9"/>
  <c r="S107" i="8"/>
  <c r="G107" i="12"/>
  <c r="G107" i="11"/>
  <c r="G107" i="9"/>
  <c r="G107" i="8"/>
  <c r="X106" i="12"/>
  <c r="X106" i="11"/>
  <c r="X106" i="9"/>
  <c r="X106" i="8"/>
  <c r="L106" i="12"/>
  <c r="L106" i="11"/>
  <c r="L106" i="9"/>
  <c r="L106" i="8"/>
  <c r="AC105" i="12"/>
  <c r="AC105" i="11"/>
  <c r="AC105" i="9"/>
  <c r="AC105" i="8"/>
  <c r="Q105" i="12"/>
  <c r="Q105" i="11"/>
  <c r="Q105" i="9"/>
  <c r="Q105" i="8"/>
  <c r="E105" i="12"/>
  <c r="E105" i="11"/>
  <c r="E105" i="9"/>
  <c r="E105" i="8"/>
  <c r="V104" i="12"/>
  <c r="V104" i="11"/>
  <c r="V104" i="9"/>
  <c r="V104" i="8"/>
  <c r="J104" i="12"/>
  <c r="J104" i="11"/>
  <c r="J104" i="9"/>
  <c r="J104" i="8"/>
  <c r="AA103" i="12"/>
  <c r="AA103" i="11"/>
  <c r="AA103" i="9"/>
  <c r="AA103" i="8"/>
  <c r="O103" i="12"/>
  <c r="O103" i="11"/>
  <c r="O103" i="9"/>
  <c r="O103" i="8"/>
  <c r="AF102" i="12"/>
  <c r="AF102" i="11"/>
  <c r="AF102" i="9"/>
  <c r="AF102" i="8"/>
  <c r="T102" i="12"/>
  <c r="T102" i="11"/>
  <c r="T102" i="9"/>
  <c r="T102" i="8"/>
  <c r="H102" i="12"/>
  <c r="H102" i="11"/>
  <c r="H102" i="9"/>
  <c r="H102" i="8"/>
  <c r="Y101" i="12"/>
  <c r="Y101" i="11"/>
  <c r="Y101" i="9"/>
  <c r="Y101" i="8"/>
  <c r="M101" i="12"/>
  <c r="M101" i="11"/>
  <c r="M101" i="9"/>
  <c r="M101" i="8"/>
  <c r="AD100" i="12"/>
  <c r="AD100" i="11"/>
  <c r="AD100" i="9"/>
  <c r="AD100" i="8"/>
  <c r="R100" i="12"/>
  <c r="R100" i="11"/>
  <c r="R100" i="9"/>
  <c r="R100" i="8"/>
  <c r="F100" i="12"/>
  <c r="F100" i="11"/>
  <c r="F100" i="9"/>
  <c r="F100" i="8"/>
  <c r="W99" i="12"/>
  <c r="W99" i="11"/>
  <c r="W99" i="9"/>
  <c r="W99" i="8"/>
  <c r="K99" i="12"/>
  <c r="K99" i="11"/>
  <c r="K99" i="9"/>
  <c r="K99" i="8"/>
  <c r="AB98" i="12"/>
  <c r="AB98" i="11"/>
  <c r="AB98" i="9"/>
  <c r="AB98" i="8"/>
  <c r="P98" i="12"/>
  <c r="P98" i="11"/>
  <c r="P98" i="9"/>
  <c r="P98" i="8"/>
  <c r="D98" i="12"/>
  <c r="D98" i="11"/>
  <c r="D98" i="9"/>
  <c r="D98" i="8"/>
  <c r="U97" i="12"/>
  <c r="U97" i="11"/>
  <c r="U97" i="9"/>
  <c r="U97" i="8"/>
  <c r="I97" i="12"/>
  <c r="I97" i="11"/>
  <c r="I97" i="9"/>
  <c r="I97" i="8"/>
  <c r="Z96" i="12"/>
  <c r="Z96" i="11"/>
  <c r="Z96" i="9"/>
  <c r="Z96" i="8"/>
  <c r="N96" i="12"/>
  <c r="N96" i="11"/>
  <c r="N96" i="9"/>
  <c r="N96" i="8"/>
  <c r="E62" i="12"/>
  <c r="E62" i="8"/>
  <c r="E62" i="11"/>
  <c r="E62" i="9"/>
  <c r="Y58" i="8"/>
  <c r="Y58" i="12"/>
  <c r="Y58" i="11"/>
  <c r="Y58" i="9"/>
  <c r="D55" i="12"/>
  <c r="D55" i="8"/>
  <c r="D55" i="11"/>
  <c r="D55" i="9"/>
  <c r="AC50" i="12"/>
  <c r="AC50" i="8"/>
  <c r="AC50" i="11"/>
  <c r="AC50" i="9"/>
  <c r="Y46" i="8"/>
  <c r="Y46" i="12"/>
  <c r="Y46" i="11"/>
  <c r="Y46" i="9"/>
  <c r="D43" i="12"/>
  <c r="D43" i="8"/>
  <c r="D43" i="11"/>
  <c r="D43" i="9"/>
  <c r="X39" i="12"/>
  <c r="X39" i="8"/>
  <c r="X39" i="11"/>
  <c r="X39" i="9"/>
  <c r="T35" i="12"/>
  <c r="T35" i="8"/>
  <c r="T35" i="11"/>
  <c r="T35" i="9"/>
  <c r="C69" i="12"/>
  <c r="C69" i="11"/>
  <c r="C69" i="9"/>
  <c r="C69" i="8"/>
  <c r="AF90" i="12"/>
  <c r="AF90" i="11"/>
  <c r="AF90" i="9"/>
  <c r="AF90" i="8"/>
  <c r="F88" i="12"/>
  <c r="F88" i="11"/>
  <c r="F88" i="9"/>
  <c r="F88" i="8"/>
  <c r="AE83" i="12"/>
  <c r="AE83" i="11"/>
  <c r="AE83" i="9"/>
  <c r="AE83" i="8"/>
  <c r="AF78" i="12"/>
  <c r="AF78" i="11"/>
  <c r="AF78" i="9"/>
  <c r="AF78" i="8"/>
  <c r="AB74" i="12"/>
  <c r="AB74" i="11"/>
  <c r="AB74" i="9"/>
  <c r="AB74" i="8"/>
  <c r="X70" i="12"/>
  <c r="X70" i="11"/>
  <c r="X70" i="9"/>
  <c r="X70" i="8"/>
  <c r="AF66" i="12"/>
  <c r="AF66" i="11"/>
  <c r="AF66" i="9"/>
  <c r="AF66" i="8"/>
  <c r="L125" i="12"/>
  <c r="L125" i="11"/>
  <c r="L125" i="9"/>
  <c r="L125" i="8"/>
  <c r="H121" i="12"/>
  <c r="H121" i="11"/>
  <c r="H121" i="9"/>
  <c r="H121" i="8"/>
  <c r="K118" i="12"/>
  <c r="K118" i="11"/>
  <c r="K118" i="9"/>
  <c r="K118" i="8"/>
  <c r="X113" i="12"/>
  <c r="X113" i="11"/>
  <c r="X113" i="9"/>
  <c r="X113" i="8"/>
  <c r="AF109" i="12"/>
  <c r="AF109" i="11"/>
  <c r="AF109" i="9"/>
  <c r="AF109" i="8"/>
  <c r="K106" i="12"/>
  <c r="K106" i="11"/>
  <c r="K106" i="9"/>
  <c r="K106" i="8"/>
  <c r="S102" i="12"/>
  <c r="S102" i="11"/>
  <c r="S102" i="9"/>
  <c r="S102" i="8"/>
  <c r="V99" i="12"/>
  <c r="V99" i="11"/>
  <c r="V99" i="9"/>
  <c r="V99" i="8"/>
  <c r="M96" i="12"/>
  <c r="M96" i="11"/>
  <c r="M96" i="9"/>
  <c r="M96" i="8"/>
  <c r="C62" i="12"/>
  <c r="C62" i="11"/>
  <c r="D62" i="12"/>
  <c r="D62" i="8"/>
  <c r="D62" i="11"/>
  <c r="D62" i="9"/>
  <c r="AC57" i="8"/>
  <c r="AC57" i="12"/>
  <c r="AC57" i="11"/>
  <c r="AC57" i="9"/>
  <c r="T54" i="12"/>
  <c r="T54" i="8"/>
  <c r="T54" i="11"/>
  <c r="T54" i="9"/>
  <c r="K51" i="12"/>
  <c r="K51" i="8"/>
  <c r="K51" i="11"/>
  <c r="K51" i="9"/>
  <c r="X46" i="8"/>
  <c r="X46" i="12"/>
  <c r="X46" i="11"/>
  <c r="X46" i="9"/>
  <c r="O43" i="12"/>
  <c r="O43" i="8"/>
  <c r="O43" i="11"/>
  <c r="O43" i="9"/>
  <c r="W39" i="12"/>
  <c r="W39" i="8"/>
  <c r="W39" i="11"/>
  <c r="W39" i="9"/>
  <c r="S35" i="12"/>
  <c r="S35" i="8"/>
  <c r="S35" i="11"/>
  <c r="S35" i="9"/>
  <c r="K94" i="12"/>
  <c r="K94" i="11"/>
  <c r="K94" i="9"/>
  <c r="K94" i="8"/>
  <c r="X89" i="12"/>
  <c r="X89" i="11"/>
  <c r="X89" i="9"/>
  <c r="X89" i="8"/>
  <c r="T85" i="12"/>
  <c r="T85" i="11"/>
  <c r="T85" i="9"/>
  <c r="T85" i="8"/>
  <c r="P81" i="12"/>
  <c r="P81" i="11"/>
  <c r="P81" i="9"/>
  <c r="P81" i="8"/>
  <c r="X77" i="12"/>
  <c r="X77" i="11"/>
  <c r="X77" i="9"/>
  <c r="X77" i="8"/>
  <c r="T73" i="12"/>
  <c r="T73" i="11"/>
  <c r="T73" i="9"/>
  <c r="T73" i="8"/>
  <c r="F71" i="12"/>
  <c r="F71" i="11"/>
  <c r="F71" i="9"/>
  <c r="F71" i="8"/>
  <c r="N67" i="12"/>
  <c r="N67" i="11"/>
  <c r="N67" i="9"/>
  <c r="N67" i="8"/>
  <c r="AB124" i="12"/>
  <c r="AB124" i="11"/>
  <c r="AB124" i="9"/>
  <c r="AB124" i="8"/>
  <c r="X120" i="12"/>
  <c r="X120" i="11"/>
  <c r="X120" i="9"/>
  <c r="X120" i="8"/>
  <c r="O117" i="12"/>
  <c r="O117" i="11"/>
  <c r="O117" i="9"/>
  <c r="O117" i="8"/>
  <c r="K113" i="12"/>
  <c r="K113" i="11"/>
  <c r="K113" i="9"/>
  <c r="K113" i="8"/>
  <c r="AE109" i="12"/>
  <c r="AE109" i="11"/>
  <c r="AE109" i="9"/>
  <c r="AE109" i="8"/>
  <c r="E107" i="12"/>
  <c r="E107" i="11"/>
  <c r="E107" i="9"/>
  <c r="E107" i="8"/>
  <c r="AD102" i="12"/>
  <c r="AD102" i="11"/>
  <c r="AD102" i="9"/>
  <c r="AD102" i="8"/>
  <c r="Z98" i="12"/>
  <c r="Z98" i="11"/>
  <c r="Z98" i="9"/>
  <c r="Z98" i="8"/>
  <c r="C61" i="12"/>
  <c r="C61" i="11"/>
  <c r="C49" i="12"/>
  <c r="C49" i="11"/>
  <c r="C37" i="12"/>
  <c r="C37" i="11"/>
  <c r="V63" i="12"/>
  <c r="V63" i="8"/>
  <c r="V63" i="11"/>
  <c r="V63" i="9"/>
  <c r="J63" i="12"/>
  <c r="J63" i="8"/>
  <c r="J63" i="11"/>
  <c r="J63" i="9"/>
  <c r="AA62" i="12"/>
  <c r="AA62" i="8"/>
  <c r="AA62" i="11"/>
  <c r="AA62" i="9"/>
  <c r="O62" i="12"/>
  <c r="O62" i="8"/>
  <c r="O62" i="11"/>
  <c r="O62" i="9"/>
  <c r="AF61" i="12"/>
  <c r="AF61" i="8"/>
  <c r="AF61" i="11"/>
  <c r="AF61" i="9"/>
  <c r="T61" i="12"/>
  <c r="T61" i="8"/>
  <c r="T61" i="11"/>
  <c r="T61" i="9"/>
  <c r="H61" i="12"/>
  <c r="H61" i="8"/>
  <c r="H61" i="11"/>
  <c r="H61" i="9"/>
  <c r="Y60" i="12"/>
  <c r="Y60" i="8"/>
  <c r="Y60" i="11"/>
  <c r="Y60" i="9"/>
  <c r="M60" i="12"/>
  <c r="M60" i="8"/>
  <c r="M60" i="11"/>
  <c r="M60" i="9"/>
  <c r="AD59" i="12"/>
  <c r="AD59" i="8"/>
  <c r="AD59" i="11"/>
  <c r="AD59" i="9"/>
  <c r="R59" i="12"/>
  <c r="R59" i="8"/>
  <c r="R59" i="11"/>
  <c r="R59" i="9"/>
  <c r="F59" i="12"/>
  <c r="F59" i="8"/>
  <c r="F59" i="11"/>
  <c r="F59" i="9"/>
  <c r="W58" i="8"/>
  <c r="W58" i="12"/>
  <c r="W58" i="11"/>
  <c r="W58" i="9"/>
  <c r="K58" i="8"/>
  <c r="K58" i="12"/>
  <c r="K58" i="11"/>
  <c r="K58" i="9"/>
  <c r="AB57" i="12"/>
  <c r="AB57" i="8"/>
  <c r="AB57" i="11"/>
  <c r="AB57" i="9"/>
  <c r="P57" i="12"/>
  <c r="P57" i="8"/>
  <c r="P57" i="11"/>
  <c r="P57" i="9"/>
  <c r="D57" i="12"/>
  <c r="D57" i="8"/>
  <c r="D57" i="11"/>
  <c r="D57" i="9"/>
  <c r="U56" i="12"/>
  <c r="U56" i="8"/>
  <c r="U56" i="11"/>
  <c r="U56" i="9"/>
  <c r="I56" i="12"/>
  <c r="I56" i="8"/>
  <c r="I56" i="11"/>
  <c r="I56" i="9"/>
  <c r="Z55" i="12"/>
  <c r="Z55" i="8"/>
  <c r="Z55" i="11"/>
  <c r="Z55" i="9"/>
  <c r="N55" i="12"/>
  <c r="N55" i="8"/>
  <c r="N55" i="11"/>
  <c r="N55" i="9"/>
  <c r="AE54" i="12"/>
  <c r="AE54" i="8"/>
  <c r="AE54" i="11"/>
  <c r="AE54" i="9"/>
  <c r="S54" i="12"/>
  <c r="S54" i="8"/>
  <c r="S54" i="11"/>
  <c r="S54" i="9"/>
  <c r="G54" i="12"/>
  <c r="G54" i="8"/>
  <c r="G54" i="11"/>
  <c r="G54" i="9"/>
  <c r="X53" i="12"/>
  <c r="X53" i="8"/>
  <c r="X53" i="11"/>
  <c r="X53" i="9"/>
  <c r="L53" i="12"/>
  <c r="L53" i="8"/>
  <c r="L53" i="11"/>
  <c r="L53" i="9"/>
  <c r="AC52" i="12"/>
  <c r="AC52" i="8"/>
  <c r="AC52" i="11"/>
  <c r="AC52" i="9"/>
  <c r="Q52" i="12"/>
  <c r="Q52" i="8"/>
  <c r="Q52" i="11"/>
  <c r="Q52" i="9"/>
  <c r="E52" i="12"/>
  <c r="E52" i="8"/>
  <c r="E52" i="11"/>
  <c r="E52" i="9"/>
  <c r="V51" i="12"/>
  <c r="V51" i="8"/>
  <c r="V51" i="11"/>
  <c r="V51" i="9"/>
  <c r="J51" i="12"/>
  <c r="J51" i="8"/>
  <c r="J51" i="11"/>
  <c r="J51" i="9"/>
  <c r="AA50" i="12"/>
  <c r="AA50" i="8"/>
  <c r="AA50" i="11"/>
  <c r="AA50" i="9"/>
  <c r="O50" i="12"/>
  <c r="O50" i="8"/>
  <c r="O50" i="11"/>
  <c r="O50" i="9"/>
  <c r="AF49" i="12"/>
  <c r="AF49" i="8"/>
  <c r="AF49" i="11"/>
  <c r="AF49" i="9"/>
  <c r="T49" i="12"/>
  <c r="T49" i="8"/>
  <c r="T49" i="11"/>
  <c r="T49" i="9"/>
  <c r="H49" i="12"/>
  <c r="H49" i="8"/>
  <c r="H49" i="11"/>
  <c r="H49" i="9"/>
  <c r="Y48" i="12"/>
  <c r="Y48" i="8"/>
  <c r="Y48" i="11"/>
  <c r="Y48" i="9"/>
  <c r="M48" i="12"/>
  <c r="M48" i="8"/>
  <c r="M48" i="11"/>
  <c r="M48" i="9"/>
  <c r="AD47" i="12"/>
  <c r="AD47" i="8"/>
  <c r="AD47" i="11"/>
  <c r="AD47" i="9"/>
  <c r="R47" i="12"/>
  <c r="R47" i="8"/>
  <c r="R47" i="11"/>
  <c r="R47" i="9"/>
  <c r="F47" i="12"/>
  <c r="F47" i="8"/>
  <c r="F47" i="11"/>
  <c r="F47" i="9"/>
  <c r="W46" i="8"/>
  <c r="W46" i="12"/>
  <c r="W46" i="11"/>
  <c r="W46" i="9"/>
  <c r="K46" i="8"/>
  <c r="K46" i="12"/>
  <c r="K46" i="11"/>
  <c r="K46" i="9"/>
  <c r="AB45" i="12"/>
  <c r="AB45" i="8"/>
  <c r="AB45" i="11"/>
  <c r="AB45" i="9"/>
  <c r="P45" i="12"/>
  <c r="P45" i="8"/>
  <c r="P45" i="11"/>
  <c r="P45" i="9"/>
  <c r="D45" i="12"/>
  <c r="D45" i="8"/>
  <c r="D45" i="11"/>
  <c r="D45" i="9"/>
  <c r="U44" i="12"/>
  <c r="U44" i="8"/>
  <c r="U44" i="11"/>
  <c r="U44" i="9"/>
  <c r="I44" i="12"/>
  <c r="I44" i="8"/>
  <c r="I44" i="11"/>
  <c r="I44" i="9"/>
  <c r="Z43" i="12"/>
  <c r="Z43" i="8"/>
  <c r="Z43" i="11"/>
  <c r="Z43" i="9"/>
  <c r="N43" i="12"/>
  <c r="N43" i="8"/>
  <c r="N43" i="11"/>
  <c r="N43" i="9"/>
  <c r="AE42" i="8"/>
  <c r="AE42" i="12"/>
  <c r="AE42" i="11"/>
  <c r="AE42" i="9"/>
  <c r="S42" i="8"/>
  <c r="S42" i="12"/>
  <c r="S42" i="11"/>
  <c r="S42" i="9"/>
  <c r="G42" i="8"/>
  <c r="G42" i="12"/>
  <c r="G42" i="11"/>
  <c r="G42" i="9"/>
  <c r="X41" i="12"/>
  <c r="X41" i="8"/>
  <c r="X41" i="11"/>
  <c r="X41" i="9"/>
  <c r="L41" i="12"/>
  <c r="L41" i="8"/>
  <c r="L41" i="11"/>
  <c r="L41" i="9"/>
  <c r="AC40" i="12"/>
  <c r="AC40" i="8"/>
  <c r="AC40" i="11"/>
  <c r="AC40" i="9"/>
  <c r="Q40" i="12"/>
  <c r="Q40" i="8"/>
  <c r="Q40" i="11"/>
  <c r="Q40" i="9"/>
  <c r="E40" i="12"/>
  <c r="E40" i="8"/>
  <c r="E40" i="11"/>
  <c r="E40" i="9"/>
  <c r="V39" i="12"/>
  <c r="V39" i="8"/>
  <c r="V39" i="11"/>
  <c r="V39" i="9"/>
  <c r="J39" i="12"/>
  <c r="J39" i="8"/>
  <c r="J39" i="11"/>
  <c r="J39" i="9"/>
  <c r="AA38" i="12"/>
  <c r="AA38" i="8"/>
  <c r="AA38" i="11"/>
  <c r="AA38" i="9"/>
  <c r="O38" i="12"/>
  <c r="O38" i="8"/>
  <c r="O38" i="11"/>
  <c r="O38" i="9"/>
  <c r="AF37" i="12"/>
  <c r="AF37" i="8"/>
  <c r="AF37" i="11"/>
  <c r="AF37" i="9"/>
  <c r="T37" i="12"/>
  <c r="T37" i="8"/>
  <c r="T37" i="11"/>
  <c r="T37" i="9"/>
  <c r="H37" i="12"/>
  <c r="H37" i="8"/>
  <c r="H37" i="11"/>
  <c r="H37" i="9"/>
  <c r="Y36" i="12"/>
  <c r="Y36" i="8"/>
  <c r="Y36" i="11"/>
  <c r="Y36" i="9"/>
  <c r="M36" i="12"/>
  <c r="M36" i="8"/>
  <c r="M36" i="11"/>
  <c r="M36" i="9"/>
  <c r="AD35" i="12"/>
  <c r="AD35" i="8"/>
  <c r="AD35" i="11"/>
  <c r="AD35" i="9"/>
  <c r="R35" i="12"/>
  <c r="R35" i="8"/>
  <c r="R35" i="11"/>
  <c r="R35" i="9"/>
  <c r="F35" i="12"/>
  <c r="F35" i="8"/>
  <c r="F35" i="11"/>
  <c r="F35" i="9"/>
  <c r="W34" i="12"/>
  <c r="W34" i="8"/>
  <c r="W34" i="11"/>
  <c r="W34" i="9"/>
  <c r="K34" i="12"/>
  <c r="K34" i="8"/>
  <c r="K34" i="11"/>
  <c r="K34" i="9"/>
  <c r="C91" i="12"/>
  <c r="C91" i="11"/>
  <c r="C91" i="9"/>
  <c r="C91" i="8"/>
  <c r="C79" i="12"/>
  <c r="C79" i="11"/>
  <c r="C79" i="9"/>
  <c r="C79" i="8"/>
  <c r="C67" i="12"/>
  <c r="C67" i="11"/>
  <c r="C67" i="9"/>
  <c r="C67" i="8"/>
  <c r="V94" i="12"/>
  <c r="V94" i="11"/>
  <c r="V94" i="9"/>
  <c r="V94" i="8"/>
  <c r="J94" i="12"/>
  <c r="J94" i="11"/>
  <c r="J94" i="9"/>
  <c r="J94" i="8"/>
  <c r="AA93" i="12"/>
  <c r="AA93" i="11"/>
  <c r="AA93" i="9"/>
  <c r="AA93" i="8"/>
  <c r="O93" i="12"/>
  <c r="O93" i="11"/>
  <c r="O93" i="9"/>
  <c r="O93" i="8"/>
  <c r="AF92" i="12"/>
  <c r="AF92" i="11"/>
  <c r="AF92" i="9"/>
  <c r="AF92" i="8"/>
  <c r="T92" i="12"/>
  <c r="T92" i="11"/>
  <c r="T92" i="9"/>
  <c r="T92" i="8"/>
  <c r="H92" i="12"/>
  <c r="H92" i="11"/>
  <c r="H92" i="9"/>
  <c r="H92" i="8"/>
  <c r="Y91" i="12"/>
  <c r="Y91" i="11"/>
  <c r="Y91" i="9"/>
  <c r="Y91" i="8"/>
  <c r="M91" i="12"/>
  <c r="M91" i="11"/>
  <c r="M91" i="9"/>
  <c r="M91" i="8"/>
  <c r="AD90" i="12"/>
  <c r="AD90" i="11"/>
  <c r="AD90" i="9"/>
  <c r="AD90" i="8"/>
  <c r="R90" i="12"/>
  <c r="R90" i="11"/>
  <c r="R90" i="9"/>
  <c r="R90" i="8"/>
  <c r="F90" i="12"/>
  <c r="F90" i="11"/>
  <c r="F90" i="9"/>
  <c r="F90" i="8"/>
  <c r="W89" i="12"/>
  <c r="W89" i="11"/>
  <c r="W89" i="9"/>
  <c r="W89" i="8"/>
  <c r="K89" i="12"/>
  <c r="K89" i="11"/>
  <c r="K89" i="9"/>
  <c r="K89" i="8"/>
  <c r="AB88" i="12"/>
  <c r="AB88" i="11"/>
  <c r="AB88" i="9"/>
  <c r="AB88" i="8"/>
  <c r="P88" i="12"/>
  <c r="P88" i="11"/>
  <c r="P88" i="9"/>
  <c r="P88" i="8"/>
  <c r="D88" i="12"/>
  <c r="D88" i="11"/>
  <c r="D88" i="9"/>
  <c r="D88" i="8"/>
  <c r="U87" i="12"/>
  <c r="U87" i="11"/>
  <c r="U87" i="9"/>
  <c r="U87" i="8"/>
  <c r="I87" i="12"/>
  <c r="I87" i="11"/>
  <c r="I87" i="9"/>
  <c r="I87" i="8"/>
  <c r="Z86" i="12"/>
  <c r="Z86" i="11"/>
  <c r="Z86" i="9"/>
  <c r="Z86" i="8"/>
  <c r="N86" i="12"/>
  <c r="N86" i="11"/>
  <c r="N86" i="9"/>
  <c r="N86" i="8"/>
  <c r="AE85" i="12"/>
  <c r="AE85" i="11"/>
  <c r="AE85" i="9"/>
  <c r="AE85" i="8"/>
  <c r="S85" i="12"/>
  <c r="S85" i="11"/>
  <c r="S85" i="9"/>
  <c r="S85" i="8"/>
  <c r="G85" i="12"/>
  <c r="G85" i="11"/>
  <c r="G85" i="9"/>
  <c r="G85" i="8"/>
  <c r="X84" i="12"/>
  <c r="X84" i="11"/>
  <c r="X84" i="9"/>
  <c r="X84" i="8"/>
  <c r="L84" i="12"/>
  <c r="L84" i="11"/>
  <c r="L84" i="9"/>
  <c r="L84" i="8"/>
  <c r="AC83" i="12"/>
  <c r="AC83" i="11"/>
  <c r="AC83" i="9"/>
  <c r="AC83" i="8"/>
  <c r="Q83" i="12"/>
  <c r="Q83" i="11"/>
  <c r="Q83" i="9"/>
  <c r="Q83" i="8"/>
  <c r="E83" i="12"/>
  <c r="E83" i="11"/>
  <c r="E83" i="9"/>
  <c r="E83" i="8"/>
  <c r="V82" i="12"/>
  <c r="V82" i="11"/>
  <c r="V82" i="9"/>
  <c r="V82" i="8"/>
  <c r="J82" i="12"/>
  <c r="J82" i="11"/>
  <c r="J82" i="9"/>
  <c r="J82" i="8"/>
  <c r="AA81" i="12"/>
  <c r="AA81" i="11"/>
  <c r="AA81" i="9"/>
  <c r="AA81" i="8"/>
  <c r="O81" i="12"/>
  <c r="O81" i="11"/>
  <c r="O81" i="9"/>
  <c r="O81" i="8"/>
  <c r="AF80" i="12"/>
  <c r="AF80" i="11"/>
  <c r="AF80" i="9"/>
  <c r="AF80" i="8"/>
  <c r="T80" i="12"/>
  <c r="T80" i="11"/>
  <c r="T80" i="9"/>
  <c r="T80" i="8"/>
  <c r="H80" i="12"/>
  <c r="H80" i="11"/>
  <c r="H80" i="9"/>
  <c r="H80" i="8"/>
  <c r="Y79" i="12"/>
  <c r="Y79" i="11"/>
  <c r="Y79" i="9"/>
  <c r="Y79" i="8"/>
  <c r="M79" i="12"/>
  <c r="M79" i="11"/>
  <c r="M79" i="9"/>
  <c r="M79" i="8"/>
  <c r="AD78" i="12"/>
  <c r="AD78" i="11"/>
  <c r="AD78" i="9"/>
  <c r="AD78" i="8"/>
  <c r="R78" i="12"/>
  <c r="R78" i="11"/>
  <c r="R78" i="9"/>
  <c r="R78" i="8"/>
  <c r="F78" i="12"/>
  <c r="F78" i="11"/>
  <c r="F78" i="9"/>
  <c r="F78" i="8"/>
  <c r="W77" i="12"/>
  <c r="W77" i="11"/>
  <c r="W77" i="9"/>
  <c r="W77" i="8"/>
  <c r="K77" i="12"/>
  <c r="K77" i="11"/>
  <c r="K77" i="9"/>
  <c r="K77" i="8"/>
  <c r="AB76" i="12"/>
  <c r="AB76" i="11"/>
  <c r="AB76" i="9"/>
  <c r="AB76" i="8"/>
  <c r="P76" i="12"/>
  <c r="P76" i="11"/>
  <c r="P76" i="9"/>
  <c r="P76" i="8"/>
  <c r="D76" i="12"/>
  <c r="D76" i="11"/>
  <c r="D76" i="9"/>
  <c r="D76" i="8"/>
  <c r="U75" i="12"/>
  <c r="U75" i="11"/>
  <c r="U75" i="9"/>
  <c r="U75" i="8"/>
  <c r="I75" i="12"/>
  <c r="I75" i="11"/>
  <c r="I75" i="9"/>
  <c r="I75" i="8"/>
  <c r="Z74" i="12"/>
  <c r="Z74" i="11"/>
  <c r="Z74" i="9"/>
  <c r="Z74" i="8"/>
  <c r="N74" i="12"/>
  <c r="N74" i="11"/>
  <c r="N74" i="9"/>
  <c r="N74" i="8"/>
  <c r="AE73" i="12"/>
  <c r="AE73" i="11"/>
  <c r="AE73" i="9"/>
  <c r="AE73" i="8"/>
  <c r="S73" i="12"/>
  <c r="S73" i="11"/>
  <c r="S73" i="9"/>
  <c r="S73" i="8"/>
  <c r="G73" i="12"/>
  <c r="G73" i="11"/>
  <c r="G73" i="9"/>
  <c r="G73" i="8"/>
  <c r="X72" i="12"/>
  <c r="X72" i="11"/>
  <c r="X72" i="9"/>
  <c r="X72" i="8"/>
  <c r="L72" i="12"/>
  <c r="L72" i="11"/>
  <c r="L72" i="9"/>
  <c r="L72" i="8"/>
  <c r="AC71" i="12"/>
  <c r="AC71" i="11"/>
  <c r="AC71" i="9"/>
  <c r="AC71" i="8"/>
  <c r="Q71" i="12"/>
  <c r="Q71" i="11"/>
  <c r="Q71" i="9"/>
  <c r="Q71" i="8"/>
  <c r="E71" i="12"/>
  <c r="E71" i="11"/>
  <c r="E71" i="9"/>
  <c r="E71" i="8"/>
  <c r="V70" i="12"/>
  <c r="V70" i="11"/>
  <c r="V70" i="9"/>
  <c r="V70" i="8"/>
  <c r="J70" i="12"/>
  <c r="J70" i="11"/>
  <c r="J70" i="9"/>
  <c r="J70" i="8"/>
  <c r="AA69" i="12"/>
  <c r="AA69" i="11"/>
  <c r="AA69" i="9"/>
  <c r="AA69" i="8"/>
  <c r="O69" i="12"/>
  <c r="O69" i="11"/>
  <c r="O69" i="9"/>
  <c r="O69" i="8"/>
  <c r="AF68" i="12"/>
  <c r="AF68" i="11"/>
  <c r="AF68" i="9"/>
  <c r="AF68" i="8"/>
  <c r="T68" i="12"/>
  <c r="T68" i="11"/>
  <c r="T68" i="9"/>
  <c r="T68" i="8"/>
  <c r="H68" i="12"/>
  <c r="H68" i="11"/>
  <c r="H68" i="9"/>
  <c r="H68" i="8"/>
  <c r="Y67" i="12"/>
  <c r="Y67" i="11"/>
  <c r="Y67" i="9"/>
  <c r="Y67" i="8"/>
  <c r="M67" i="12"/>
  <c r="M67" i="11"/>
  <c r="M67" i="9"/>
  <c r="M67" i="8"/>
  <c r="AD66" i="12"/>
  <c r="AD66" i="11"/>
  <c r="AD66" i="9"/>
  <c r="AD66" i="8"/>
  <c r="R66" i="12"/>
  <c r="R66" i="11"/>
  <c r="R66" i="9"/>
  <c r="R66" i="8"/>
  <c r="F66" i="12"/>
  <c r="F66" i="11"/>
  <c r="F66" i="9"/>
  <c r="F66" i="8"/>
  <c r="W65" i="12"/>
  <c r="W65" i="11"/>
  <c r="W65" i="9"/>
  <c r="W65" i="8"/>
  <c r="K65" i="12"/>
  <c r="K65" i="11"/>
  <c r="K65" i="9"/>
  <c r="K65" i="8"/>
  <c r="C122" i="12"/>
  <c r="C122" i="11"/>
  <c r="C122" i="9"/>
  <c r="C122" i="8"/>
  <c r="C110" i="12"/>
  <c r="C110" i="11"/>
  <c r="C110" i="9"/>
  <c r="C110" i="8"/>
  <c r="C98" i="12"/>
  <c r="C98" i="11"/>
  <c r="C98" i="9"/>
  <c r="C98" i="8"/>
  <c r="V125" i="12"/>
  <c r="V125" i="11"/>
  <c r="V125" i="9"/>
  <c r="V125" i="8"/>
  <c r="J125" i="12"/>
  <c r="J125" i="11"/>
  <c r="J125" i="9"/>
  <c r="J125" i="8"/>
  <c r="AA124" i="12"/>
  <c r="AA124" i="11"/>
  <c r="AA124" i="9"/>
  <c r="AA124" i="8"/>
  <c r="O124" i="12"/>
  <c r="O124" i="11"/>
  <c r="O124" i="9"/>
  <c r="O124" i="8"/>
  <c r="AF123" i="12"/>
  <c r="AF123" i="11"/>
  <c r="AF123" i="9"/>
  <c r="AF123" i="8"/>
  <c r="T123" i="12"/>
  <c r="T123" i="11"/>
  <c r="T123" i="9"/>
  <c r="T123" i="8"/>
  <c r="H123" i="12"/>
  <c r="H123" i="11"/>
  <c r="H123" i="9"/>
  <c r="H123" i="8"/>
  <c r="Y122" i="12"/>
  <c r="Y122" i="11"/>
  <c r="Y122" i="9"/>
  <c r="Y122" i="8"/>
  <c r="M122" i="12"/>
  <c r="M122" i="11"/>
  <c r="M122" i="9"/>
  <c r="M122" i="8"/>
  <c r="AD121" i="12"/>
  <c r="AD121" i="11"/>
  <c r="AD121" i="9"/>
  <c r="AD121" i="8"/>
  <c r="R121" i="12"/>
  <c r="R121" i="11"/>
  <c r="R121" i="9"/>
  <c r="R121" i="8"/>
  <c r="F121" i="12"/>
  <c r="F121" i="11"/>
  <c r="F121" i="9"/>
  <c r="F121" i="8"/>
  <c r="W120" i="12"/>
  <c r="W120" i="11"/>
  <c r="W120" i="9"/>
  <c r="W120" i="8"/>
  <c r="K120" i="12"/>
  <c r="K120" i="11"/>
  <c r="K120" i="9"/>
  <c r="K120" i="8"/>
  <c r="AB119" i="12"/>
  <c r="AB119" i="11"/>
  <c r="AB119" i="9"/>
  <c r="AB119" i="8"/>
  <c r="P119" i="12"/>
  <c r="P119" i="11"/>
  <c r="P119" i="9"/>
  <c r="P119" i="8"/>
  <c r="D119" i="12"/>
  <c r="D119" i="11"/>
  <c r="D119" i="9"/>
  <c r="D119" i="8"/>
  <c r="U118" i="12"/>
  <c r="U118" i="11"/>
  <c r="U118" i="9"/>
  <c r="U118" i="8"/>
  <c r="I118" i="12"/>
  <c r="I118" i="11"/>
  <c r="I118" i="9"/>
  <c r="I118" i="8"/>
  <c r="Z117" i="12"/>
  <c r="Z117" i="11"/>
  <c r="Z117" i="9"/>
  <c r="Z117" i="8"/>
  <c r="N117" i="12"/>
  <c r="N117" i="11"/>
  <c r="N117" i="9"/>
  <c r="N117" i="8"/>
  <c r="AE116" i="12"/>
  <c r="AE116" i="11"/>
  <c r="AE116" i="9"/>
  <c r="AE116" i="8"/>
  <c r="S116" i="12"/>
  <c r="S116" i="11"/>
  <c r="S116" i="9"/>
  <c r="S116" i="8"/>
  <c r="G116" i="12"/>
  <c r="G116" i="11"/>
  <c r="G116" i="9"/>
  <c r="G116" i="8"/>
  <c r="X115" i="12"/>
  <c r="X115" i="11"/>
  <c r="X115" i="9"/>
  <c r="X115" i="8"/>
  <c r="L115" i="12"/>
  <c r="L115" i="11"/>
  <c r="L115" i="9"/>
  <c r="L115" i="8"/>
  <c r="AC114" i="12"/>
  <c r="AC114" i="11"/>
  <c r="AC114" i="9"/>
  <c r="AC114" i="8"/>
  <c r="Q114" i="12"/>
  <c r="Q114" i="11"/>
  <c r="Q114" i="9"/>
  <c r="Q114" i="8"/>
  <c r="E114" i="12"/>
  <c r="E114" i="11"/>
  <c r="E114" i="9"/>
  <c r="E114" i="8"/>
  <c r="V113" i="12"/>
  <c r="V113" i="11"/>
  <c r="V113" i="9"/>
  <c r="V113" i="8"/>
  <c r="J113" i="12"/>
  <c r="J113" i="11"/>
  <c r="J113" i="9"/>
  <c r="J113" i="8"/>
  <c r="AA112" i="12"/>
  <c r="AA112" i="11"/>
  <c r="AA112" i="9"/>
  <c r="AA112" i="8"/>
  <c r="O112" i="12"/>
  <c r="O112" i="11"/>
  <c r="O112" i="9"/>
  <c r="O112" i="8"/>
  <c r="AF111" i="12"/>
  <c r="AF111" i="11"/>
  <c r="AF111" i="9"/>
  <c r="AF111" i="8"/>
  <c r="T111" i="12"/>
  <c r="T111" i="11"/>
  <c r="T111" i="9"/>
  <c r="T111" i="8"/>
  <c r="H111" i="12"/>
  <c r="H111" i="11"/>
  <c r="H111" i="9"/>
  <c r="H111" i="8"/>
  <c r="Y110" i="12"/>
  <c r="Y110" i="11"/>
  <c r="Y110" i="9"/>
  <c r="Y110" i="8"/>
  <c r="M110" i="12"/>
  <c r="M110" i="11"/>
  <c r="M110" i="9"/>
  <c r="M110" i="8"/>
  <c r="AD109" i="12"/>
  <c r="AD109" i="11"/>
  <c r="AD109" i="9"/>
  <c r="AD109" i="8"/>
  <c r="R109" i="12"/>
  <c r="R109" i="11"/>
  <c r="R109" i="9"/>
  <c r="R109" i="8"/>
  <c r="F109" i="12"/>
  <c r="F109" i="11"/>
  <c r="F109" i="9"/>
  <c r="F109" i="8"/>
  <c r="W108" i="12"/>
  <c r="W108" i="11"/>
  <c r="W108" i="9"/>
  <c r="W108" i="8"/>
  <c r="K108" i="12"/>
  <c r="K108" i="11"/>
  <c r="K108" i="9"/>
  <c r="K108" i="8"/>
  <c r="AB107" i="12"/>
  <c r="AB107" i="11"/>
  <c r="AB107" i="9"/>
  <c r="AB107" i="8"/>
  <c r="P107" i="12"/>
  <c r="P107" i="11"/>
  <c r="P107" i="9"/>
  <c r="P107" i="8"/>
  <c r="D107" i="12"/>
  <c r="D107" i="11"/>
  <c r="D107" i="9"/>
  <c r="D107" i="8"/>
  <c r="U106" i="12"/>
  <c r="U106" i="11"/>
  <c r="U106" i="9"/>
  <c r="U106" i="8"/>
  <c r="I106" i="12"/>
  <c r="I106" i="11"/>
  <c r="I106" i="9"/>
  <c r="I106" i="8"/>
  <c r="Z105" i="12"/>
  <c r="Z105" i="11"/>
  <c r="Z105" i="9"/>
  <c r="Z105" i="8"/>
  <c r="N105" i="12"/>
  <c r="N105" i="11"/>
  <c r="N105" i="9"/>
  <c r="N105" i="8"/>
  <c r="AE104" i="12"/>
  <c r="AE104" i="11"/>
  <c r="AE104" i="9"/>
  <c r="AE104" i="8"/>
  <c r="S104" i="12"/>
  <c r="S104" i="11"/>
  <c r="S104" i="9"/>
  <c r="S104" i="8"/>
  <c r="G104" i="12"/>
  <c r="G104" i="11"/>
  <c r="G104" i="9"/>
  <c r="G104" i="8"/>
  <c r="X103" i="12"/>
  <c r="X103" i="11"/>
  <c r="X103" i="9"/>
  <c r="X103" i="8"/>
  <c r="L103" i="12"/>
  <c r="L103" i="11"/>
  <c r="L103" i="9"/>
  <c r="L103" i="8"/>
  <c r="AC102" i="12"/>
  <c r="AC102" i="11"/>
  <c r="AC102" i="9"/>
  <c r="AC102" i="8"/>
  <c r="Q102" i="12"/>
  <c r="Q102" i="11"/>
  <c r="Q102" i="9"/>
  <c r="Q102" i="8"/>
  <c r="E102" i="12"/>
  <c r="E102" i="11"/>
  <c r="E102" i="9"/>
  <c r="E102" i="8"/>
  <c r="V101" i="12"/>
  <c r="V101" i="11"/>
  <c r="V101" i="9"/>
  <c r="V101" i="8"/>
  <c r="J101" i="12"/>
  <c r="J101" i="11"/>
  <c r="J101" i="9"/>
  <c r="J101" i="8"/>
  <c r="AA100" i="12"/>
  <c r="AA100" i="11"/>
  <c r="AA100" i="9"/>
  <c r="AA100" i="8"/>
  <c r="O100" i="12"/>
  <c r="O100" i="11"/>
  <c r="O100" i="9"/>
  <c r="O100" i="8"/>
  <c r="AF99" i="12"/>
  <c r="AF99" i="11"/>
  <c r="AF99" i="9"/>
  <c r="AF99" i="8"/>
  <c r="T99" i="12"/>
  <c r="T99" i="11"/>
  <c r="T99" i="9"/>
  <c r="T99" i="8"/>
  <c r="H99" i="12"/>
  <c r="H99" i="11"/>
  <c r="H99" i="9"/>
  <c r="H99" i="8"/>
  <c r="Y98" i="12"/>
  <c r="Y98" i="11"/>
  <c r="Y98" i="9"/>
  <c r="Y98" i="8"/>
  <c r="M98" i="12"/>
  <c r="M98" i="11"/>
  <c r="M98" i="9"/>
  <c r="M98" i="8"/>
  <c r="AD97" i="12"/>
  <c r="AD97" i="11"/>
  <c r="AD97" i="9"/>
  <c r="AD97" i="8"/>
  <c r="R97" i="12"/>
  <c r="R97" i="11"/>
  <c r="R97" i="9"/>
  <c r="R97" i="8"/>
  <c r="F97" i="12"/>
  <c r="F97" i="11"/>
  <c r="F97" i="9"/>
  <c r="F97" i="8"/>
  <c r="W96" i="12"/>
  <c r="W96" i="11"/>
  <c r="W96" i="9"/>
  <c r="W96" i="8"/>
  <c r="K96" i="12"/>
  <c r="K96" i="11"/>
  <c r="K96" i="9"/>
  <c r="K96" i="8"/>
  <c r="O60" i="12"/>
  <c r="O60" i="8"/>
  <c r="O60" i="11"/>
  <c r="O60" i="9"/>
  <c r="P55" i="12"/>
  <c r="P55" i="8"/>
  <c r="P55" i="11"/>
  <c r="P55" i="9"/>
  <c r="E50" i="12"/>
  <c r="E50" i="8"/>
  <c r="E50" i="11"/>
  <c r="E50" i="9"/>
  <c r="K44" i="8"/>
  <c r="K44" i="12"/>
  <c r="K44" i="11"/>
  <c r="K44" i="9"/>
  <c r="V37" i="12"/>
  <c r="V37" i="8"/>
  <c r="V37" i="11"/>
  <c r="V37" i="9"/>
  <c r="V92" i="12"/>
  <c r="V92" i="11"/>
  <c r="V92" i="9"/>
  <c r="V92" i="8"/>
  <c r="U85" i="12"/>
  <c r="U85" i="11"/>
  <c r="U85" i="9"/>
  <c r="U85" i="8"/>
  <c r="AA79" i="12"/>
  <c r="AA79" i="11"/>
  <c r="AA79" i="9"/>
  <c r="AA79" i="8"/>
  <c r="U73" i="12"/>
  <c r="U73" i="11"/>
  <c r="U73" i="9"/>
  <c r="U73" i="8"/>
  <c r="T66" i="12"/>
  <c r="T66" i="11"/>
  <c r="T66" i="9"/>
  <c r="T66" i="8"/>
  <c r="T121" i="12"/>
  <c r="T121" i="11"/>
  <c r="T121" i="9"/>
  <c r="T121" i="8"/>
  <c r="Z115" i="12"/>
  <c r="Z115" i="11"/>
  <c r="Z115" i="9"/>
  <c r="Z115" i="8"/>
  <c r="T109" i="12"/>
  <c r="T109" i="11"/>
  <c r="T109" i="9"/>
  <c r="T109" i="8"/>
  <c r="AC100" i="12"/>
  <c r="AC100" i="11"/>
  <c r="AC100" i="9"/>
  <c r="AC100" i="8"/>
  <c r="AB62" i="12"/>
  <c r="AB62" i="8"/>
  <c r="AB62" i="11"/>
  <c r="AB62" i="9"/>
  <c r="V56" i="12"/>
  <c r="V56" i="8"/>
  <c r="V56" i="11"/>
  <c r="V56" i="9"/>
  <c r="U49" i="12"/>
  <c r="U49" i="8"/>
  <c r="U49" i="11"/>
  <c r="U49" i="9"/>
  <c r="AA43" i="12"/>
  <c r="AA43" i="8"/>
  <c r="AA43" i="11"/>
  <c r="AA43" i="9"/>
  <c r="D38" i="12"/>
  <c r="D38" i="8"/>
  <c r="D38" i="11"/>
  <c r="D38" i="9"/>
  <c r="U92" i="12"/>
  <c r="U92" i="11"/>
  <c r="U92" i="9"/>
  <c r="U92" i="8"/>
  <c r="AA86" i="12"/>
  <c r="AA86" i="11"/>
  <c r="AA86" i="9"/>
  <c r="AA86" i="8"/>
  <c r="U80" i="12"/>
  <c r="U80" i="11"/>
  <c r="U80" i="9"/>
  <c r="U80" i="8"/>
  <c r="O74" i="12"/>
  <c r="O74" i="11"/>
  <c r="O74" i="9"/>
  <c r="O74" i="8"/>
  <c r="Z67" i="12"/>
  <c r="Z67" i="11"/>
  <c r="Z67" i="9"/>
  <c r="Z67" i="8"/>
  <c r="Z122" i="12"/>
  <c r="Z122" i="11"/>
  <c r="Z122" i="9"/>
  <c r="Z122" i="8"/>
  <c r="Y115" i="12"/>
  <c r="Y115" i="11"/>
  <c r="Y115" i="9"/>
  <c r="Y115" i="8"/>
  <c r="N110" i="12"/>
  <c r="N110" i="9"/>
  <c r="N110" i="11"/>
  <c r="N110" i="8"/>
  <c r="W101" i="12"/>
  <c r="W101" i="11"/>
  <c r="W101" i="9"/>
  <c r="W101" i="8"/>
  <c r="N62" i="12"/>
  <c r="N62" i="8"/>
  <c r="N62" i="11"/>
  <c r="N62" i="9"/>
  <c r="AC59" i="12"/>
  <c r="AC59" i="8"/>
  <c r="AC59" i="11"/>
  <c r="AC59" i="9"/>
  <c r="Q59" i="12"/>
  <c r="Q59" i="8"/>
  <c r="Q59" i="11"/>
  <c r="Q59" i="9"/>
  <c r="J58" i="12"/>
  <c r="J58" i="8"/>
  <c r="J58" i="11"/>
  <c r="J58" i="9"/>
  <c r="AF56" i="12"/>
  <c r="AF56" i="8"/>
  <c r="AF56" i="11"/>
  <c r="AF56" i="9"/>
  <c r="T56" i="12"/>
  <c r="T56" i="8"/>
  <c r="T56" i="11"/>
  <c r="T56" i="9"/>
  <c r="H56" i="12"/>
  <c r="H56" i="8"/>
  <c r="H56" i="11"/>
  <c r="H56" i="9"/>
  <c r="Y55" i="12"/>
  <c r="Y55" i="8"/>
  <c r="Y55" i="11"/>
  <c r="Y55" i="9"/>
  <c r="M55" i="12"/>
  <c r="M55" i="8"/>
  <c r="M55" i="11"/>
  <c r="M55" i="9"/>
  <c r="AD54" i="12"/>
  <c r="AD54" i="8"/>
  <c r="AD54" i="11"/>
  <c r="AD54" i="9"/>
  <c r="R54" i="12"/>
  <c r="R54" i="8"/>
  <c r="R54" i="11"/>
  <c r="R54" i="9"/>
  <c r="F54" i="12"/>
  <c r="F54" i="8"/>
  <c r="F54" i="11"/>
  <c r="F54" i="9"/>
  <c r="W53" i="12"/>
  <c r="W53" i="8"/>
  <c r="W53" i="11"/>
  <c r="W53" i="9"/>
  <c r="K53" i="12"/>
  <c r="K53" i="8"/>
  <c r="K53" i="11"/>
  <c r="K53" i="9"/>
  <c r="AB52" i="12"/>
  <c r="AB52" i="8"/>
  <c r="AB52" i="11"/>
  <c r="AB52" i="9"/>
  <c r="P52" i="12"/>
  <c r="P52" i="8"/>
  <c r="P52" i="11"/>
  <c r="P52" i="9"/>
  <c r="D52" i="12"/>
  <c r="D52" i="8"/>
  <c r="D52" i="11"/>
  <c r="D52" i="9"/>
  <c r="U51" i="12"/>
  <c r="U51" i="8"/>
  <c r="U51" i="11"/>
  <c r="U51" i="9"/>
  <c r="I51" i="12"/>
  <c r="I51" i="8"/>
  <c r="I51" i="11"/>
  <c r="I51" i="9"/>
  <c r="Z50" i="12"/>
  <c r="Z50" i="8"/>
  <c r="Z50" i="11"/>
  <c r="Z50" i="9"/>
  <c r="N50" i="12"/>
  <c r="N50" i="8"/>
  <c r="N50" i="11"/>
  <c r="N50" i="9"/>
  <c r="AE49" i="12"/>
  <c r="AE49" i="8"/>
  <c r="AE49" i="11"/>
  <c r="AE49" i="9"/>
  <c r="S49" i="12"/>
  <c r="S49" i="8"/>
  <c r="S49" i="11"/>
  <c r="S49" i="9"/>
  <c r="G49" i="12"/>
  <c r="G49" i="8"/>
  <c r="G49" i="11"/>
  <c r="G49" i="9"/>
  <c r="X48" i="12"/>
  <c r="X48" i="8"/>
  <c r="X48" i="11"/>
  <c r="X48" i="9"/>
  <c r="L48" i="12"/>
  <c r="L48" i="8"/>
  <c r="L48" i="11"/>
  <c r="L48" i="9"/>
  <c r="AC47" i="12"/>
  <c r="AC47" i="8"/>
  <c r="AC47" i="11"/>
  <c r="AC47" i="9"/>
  <c r="Q47" i="12"/>
  <c r="Q47" i="8"/>
  <c r="Q47" i="11"/>
  <c r="Q47" i="9"/>
  <c r="E47" i="12"/>
  <c r="E47" i="8"/>
  <c r="E47" i="11"/>
  <c r="E47" i="9"/>
  <c r="V46" i="12"/>
  <c r="V46" i="8"/>
  <c r="V46" i="11"/>
  <c r="V46" i="9"/>
  <c r="J46" i="12"/>
  <c r="J46" i="8"/>
  <c r="J46" i="11"/>
  <c r="J46" i="9"/>
  <c r="AA45" i="12"/>
  <c r="AA45" i="8"/>
  <c r="AA45" i="11"/>
  <c r="AA45" i="9"/>
  <c r="O45" i="12"/>
  <c r="O45" i="8"/>
  <c r="O45" i="11"/>
  <c r="O45" i="9"/>
  <c r="AF44" i="12"/>
  <c r="AF44" i="8"/>
  <c r="AF44" i="11"/>
  <c r="AF44" i="9"/>
  <c r="T44" i="12"/>
  <c r="T44" i="8"/>
  <c r="T44" i="11"/>
  <c r="T44" i="9"/>
  <c r="H44" i="12"/>
  <c r="H44" i="8"/>
  <c r="H44" i="11"/>
  <c r="H44" i="9"/>
  <c r="Y43" i="12"/>
  <c r="Y43" i="8"/>
  <c r="Y43" i="11"/>
  <c r="Y43" i="9"/>
  <c r="M43" i="12"/>
  <c r="M43" i="8"/>
  <c r="M43" i="11"/>
  <c r="M43" i="9"/>
  <c r="AD42" i="12"/>
  <c r="AD42" i="8"/>
  <c r="AD42" i="11"/>
  <c r="AD42" i="9"/>
  <c r="R42" i="12"/>
  <c r="R42" i="8"/>
  <c r="R42" i="11"/>
  <c r="R42" i="9"/>
  <c r="F42" i="12"/>
  <c r="F42" i="8"/>
  <c r="F42" i="11"/>
  <c r="F42" i="9"/>
  <c r="W41" i="12"/>
  <c r="W41" i="8"/>
  <c r="W41" i="11"/>
  <c r="W41" i="9"/>
  <c r="K41" i="12"/>
  <c r="K41" i="8"/>
  <c r="K41" i="11"/>
  <c r="K41" i="9"/>
  <c r="AB40" i="12"/>
  <c r="AB40" i="8"/>
  <c r="AB40" i="11"/>
  <c r="AB40" i="9"/>
  <c r="P40" i="12"/>
  <c r="P40" i="8"/>
  <c r="P40" i="11"/>
  <c r="P40" i="9"/>
  <c r="D40" i="12"/>
  <c r="D40" i="8"/>
  <c r="D40" i="11"/>
  <c r="D40" i="9"/>
  <c r="U39" i="12"/>
  <c r="U39" i="8"/>
  <c r="U39" i="11"/>
  <c r="U39" i="9"/>
  <c r="I39" i="12"/>
  <c r="I39" i="8"/>
  <c r="I39" i="11"/>
  <c r="I39" i="9"/>
  <c r="Z38" i="12"/>
  <c r="Z38" i="8"/>
  <c r="Z38" i="11"/>
  <c r="Z38" i="9"/>
  <c r="N38" i="12"/>
  <c r="N38" i="8"/>
  <c r="N38" i="11"/>
  <c r="N38" i="9"/>
  <c r="AE37" i="8"/>
  <c r="AE37" i="12"/>
  <c r="AE37" i="11"/>
  <c r="AE37" i="9"/>
  <c r="S37" i="8"/>
  <c r="S37" i="12"/>
  <c r="S37" i="11"/>
  <c r="S37" i="9"/>
  <c r="G37" i="12"/>
  <c r="G37" i="8"/>
  <c r="G37" i="11"/>
  <c r="G37" i="9"/>
  <c r="X36" i="8"/>
  <c r="X36" i="12"/>
  <c r="X36" i="11"/>
  <c r="X36" i="9"/>
  <c r="L36" i="12"/>
  <c r="L36" i="8"/>
  <c r="L36" i="11"/>
  <c r="L36" i="9"/>
  <c r="AC35" i="12"/>
  <c r="AC35" i="8"/>
  <c r="AC35" i="11"/>
  <c r="AC35" i="9"/>
  <c r="Q35" i="8"/>
  <c r="Q35" i="12"/>
  <c r="Q35" i="11"/>
  <c r="Q35" i="9"/>
  <c r="E35" i="12"/>
  <c r="E35" i="8"/>
  <c r="E35" i="11"/>
  <c r="E35" i="9"/>
  <c r="V34" i="12"/>
  <c r="V34" i="8"/>
  <c r="V34" i="11"/>
  <c r="V34" i="9"/>
  <c r="J34" i="12"/>
  <c r="J34" i="8"/>
  <c r="J34" i="11"/>
  <c r="J34" i="9"/>
  <c r="C90" i="12"/>
  <c r="C90" i="11"/>
  <c r="C90" i="9"/>
  <c r="C90" i="8"/>
  <c r="C78" i="12"/>
  <c r="C78" i="11"/>
  <c r="C78" i="9"/>
  <c r="C78" i="8"/>
  <c r="C66" i="12"/>
  <c r="C66" i="11"/>
  <c r="C66" i="9"/>
  <c r="C66" i="8"/>
  <c r="U94" i="12"/>
  <c r="U94" i="11"/>
  <c r="U94" i="9"/>
  <c r="U94" i="8"/>
  <c r="I94" i="12"/>
  <c r="I94" i="11"/>
  <c r="I94" i="9"/>
  <c r="I94" i="8"/>
  <c r="Z93" i="12"/>
  <c r="Z93" i="11"/>
  <c r="Z93" i="9"/>
  <c r="Z93" i="8"/>
  <c r="N93" i="12"/>
  <c r="N93" i="11"/>
  <c r="N93" i="9"/>
  <c r="N93" i="8"/>
  <c r="AE92" i="12"/>
  <c r="AE92" i="11"/>
  <c r="AE92" i="9"/>
  <c r="AE92" i="8"/>
  <c r="S92" i="12"/>
  <c r="S92" i="11"/>
  <c r="S92" i="9"/>
  <c r="S92" i="8"/>
  <c r="G92" i="12"/>
  <c r="G92" i="11"/>
  <c r="G92" i="9"/>
  <c r="G92" i="8"/>
  <c r="X91" i="12"/>
  <c r="X91" i="11"/>
  <c r="X91" i="9"/>
  <c r="X91" i="8"/>
  <c r="L91" i="12"/>
  <c r="L91" i="11"/>
  <c r="L91" i="9"/>
  <c r="L91" i="8"/>
  <c r="AC90" i="12"/>
  <c r="AC90" i="11"/>
  <c r="AC90" i="9"/>
  <c r="AC90" i="8"/>
  <c r="Q90" i="12"/>
  <c r="Q90" i="11"/>
  <c r="Q90" i="9"/>
  <c r="Q90" i="8"/>
  <c r="E90" i="12"/>
  <c r="E90" i="11"/>
  <c r="E90" i="9"/>
  <c r="E90" i="8"/>
  <c r="V89" i="12"/>
  <c r="V89" i="11"/>
  <c r="V89" i="9"/>
  <c r="V89" i="8"/>
  <c r="J89" i="12"/>
  <c r="J89" i="11"/>
  <c r="J89" i="9"/>
  <c r="J89" i="8"/>
  <c r="AA88" i="12"/>
  <c r="AA88" i="11"/>
  <c r="AA88" i="9"/>
  <c r="AA88" i="8"/>
  <c r="O88" i="12"/>
  <c r="O88" i="11"/>
  <c r="O88" i="9"/>
  <c r="O88" i="8"/>
  <c r="AF87" i="12"/>
  <c r="AF87" i="11"/>
  <c r="AF87" i="9"/>
  <c r="AF87" i="8"/>
  <c r="T87" i="12"/>
  <c r="T87" i="11"/>
  <c r="T87" i="9"/>
  <c r="T87" i="8"/>
  <c r="H87" i="12"/>
  <c r="H87" i="11"/>
  <c r="H87" i="9"/>
  <c r="H87" i="8"/>
  <c r="Y86" i="12"/>
  <c r="Y86" i="11"/>
  <c r="Y86" i="9"/>
  <c r="Y86" i="8"/>
  <c r="M86" i="12"/>
  <c r="M86" i="11"/>
  <c r="M86" i="9"/>
  <c r="M86" i="8"/>
  <c r="AD85" i="12"/>
  <c r="AD85" i="11"/>
  <c r="AD85" i="9"/>
  <c r="AD85" i="8"/>
  <c r="R85" i="12"/>
  <c r="R85" i="11"/>
  <c r="R85" i="9"/>
  <c r="R85" i="8"/>
  <c r="F85" i="12"/>
  <c r="F85" i="11"/>
  <c r="F85" i="9"/>
  <c r="F85" i="8"/>
  <c r="W84" i="12"/>
  <c r="W84" i="11"/>
  <c r="W84" i="9"/>
  <c r="W84" i="8"/>
  <c r="K84" i="12"/>
  <c r="K84" i="11"/>
  <c r="K84" i="9"/>
  <c r="K84" i="8"/>
  <c r="AB83" i="12"/>
  <c r="AB83" i="11"/>
  <c r="AB83" i="9"/>
  <c r="AB83" i="8"/>
  <c r="P83" i="12"/>
  <c r="P83" i="11"/>
  <c r="P83" i="9"/>
  <c r="P83" i="8"/>
  <c r="D83" i="12"/>
  <c r="D83" i="11"/>
  <c r="D83" i="9"/>
  <c r="D83" i="8"/>
  <c r="U82" i="12"/>
  <c r="U82" i="11"/>
  <c r="U82" i="9"/>
  <c r="U82" i="8"/>
  <c r="I82" i="12"/>
  <c r="I82" i="11"/>
  <c r="I82" i="9"/>
  <c r="I82" i="8"/>
  <c r="Z81" i="12"/>
  <c r="Z81" i="11"/>
  <c r="Z81" i="9"/>
  <c r="Z81" i="8"/>
  <c r="N81" i="12"/>
  <c r="N81" i="11"/>
  <c r="N81" i="9"/>
  <c r="N81" i="8"/>
  <c r="AE80" i="12"/>
  <c r="AE80" i="11"/>
  <c r="AE80" i="9"/>
  <c r="AE80" i="8"/>
  <c r="S80" i="12"/>
  <c r="S80" i="11"/>
  <c r="S80" i="9"/>
  <c r="S80" i="8"/>
  <c r="G80" i="12"/>
  <c r="G80" i="11"/>
  <c r="G80" i="9"/>
  <c r="G80" i="8"/>
  <c r="X79" i="12"/>
  <c r="X79" i="11"/>
  <c r="X79" i="9"/>
  <c r="X79" i="8"/>
  <c r="L79" i="12"/>
  <c r="L79" i="11"/>
  <c r="L79" i="9"/>
  <c r="L79" i="8"/>
  <c r="AC78" i="12"/>
  <c r="AC78" i="11"/>
  <c r="AC78" i="9"/>
  <c r="AC78" i="8"/>
  <c r="Q78" i="12"/>
  <c r="Q78" i="11"/>
  <c r="Q78" i="9"/>
  <c r="Q78" i="8"/>
  <c r="E78" i="12"/>
  <c r="E78" i="11"/>
  <c r="E78" i="9"/>
  <c r="E78" i="8"/>
  <c r="V77" i="12"/>
  <c r="V77" i="11"/>
  <c r="V77" i="9"/>
  <c r="V77" i="8"/>
  <c r="J77" i="12"/>
  <c r="J77" i="11"/>
  <c r="J77" i="9"/>
  <c r="J77" i="8"/>
  <c r="AA76" i="12"/>
  <c r="AA76" i="11"/>
  <c r="AA76" i="9"/>
  <c r="AA76" i="8"/>
  <c r="O76" i="12"/>
  <c r="O76" i="11"/>
  <c r="O76" i="9"/>
  <c r="O76" i="8"/>
  <c r="AF75" i="12"/>
  <c r="AF75" i="11"/>
  <c r="AF75" i="9"/>
  <c r="AF75" i="8"/>
  <c r="T75" i="12"/>
  <c r="T75" i="11"/>
  <c r="T75" i="9"/>
  <c r="T75" i="8"/>
  <c r="H75" i="12"/>
  <c r="H75" i="11"/>
  <c r="H75" i="9"/>
  <c r="H75" i="8"/>
  <c r="Y74" i="12"/>
  <c r="Y74" i="11"/>
  <c r="Y74" i="9"/>
  <c r="Y74" i="8"/>
  <c r="M74" i="12"/>
  <c r="M74" i="11"/>
  <c r="M74" i="9"/>
  <c r="M74" i="8"/>
  <c r="AD73" i="12"/>
  <c r="AD73" i="11"/>
  <c r="AD73" i="9"/>
  <c r="AD73" i="8"/>
  <c r="R73" i="12"/>
  <c r="R73" i="11"/>
  <c r="R73" i="9"/>
  <c r="R73" i="8"/>
  <c r="F73" i="12"/>
  <c r="F73" i="11"/>
  <c r="F73" i="9"/>
  <c r="F73" i="8"/>
  <c r="W72" i="12"/>
  <c r="W72" i="11"/>
  <c r="W72" i="9"/>
  <c r="W72" i="8"/>
  <c r="K72" i="12"/>
  <c r="K72" i="11"/>
  <c r="K72" i="9"/>
  <c r="K72" i="8"/>
  <c r="AB71" i="12"/>
  <c r="AB71" i="11"/>
  <c r="AB71" i="9"/>
  <c r="AB71" i="8"/>
  <c r="P71" i="12"/>
  <c r="P71" i="11"/>
  <c r="P71" i="9"/>
  <c r="P71" i="8"/>
  <c r="D71" i="12"/>
  <c r="D71" i="11"/>
  <c r="D71" i="9"/>
  <c r="D71" i="8"/>
  <c r="U70" i="12"/>
  <c r="U70" i="11"/>
  <c r="U70" i="9"/>
  <c r="U70" i="8"/>
  <c r="I70" i="12"/>
  <c r="I70" i="11"/>
  <c r="I70" i="9"/>
  <c r="I70" i="8"/>
  <c r="Z69" i="12"/>
  <c r="Z69" i="11"/>
  <c r="Z69" i="9"/>
  <c r="Z69" i="8"/>
  <c r="N69" i="12"/>
  <c r="N69" i="11"/>
  <c r="N69" i="9"/>
  <c r="N69" i="8"/>
  <c r="AE68" i="12"/>
  <c r="AE68" i="11"/>
  <c r="AE68" i="9"/>
  <c r="AE68" i="8"/>
  <c r="S68" i="12"/>
  <c r="S68" i="11"/>
  <c r="S68" i="9"/>
  <c r="S68" i="8"/>
  <c r="G68" i="12"/>
  <c r="G68" i="11"/>
  <c r="G68" i="9"/>
  <c r="G68" i="8"/>
  <c r="X67" i="12"/>
  <c r="X67" i="11"/>
  <c r="X67" i="9"/>
  <c r="X67" i="8"/>
  <c r="L67" i="12"/>
  <c r="L67" i="11"/>
  <c r="L67" i="9"/>
  <c r="L67" i="8"/>
  <c r="AC66" i="12"/>
  <c r="AC66" i="11"/>
  <c r="AC66" i="9"/>
  <c r="AC66" i="8"/>
  <c r="Q66" i="12"/>
  <c r="Q66" i="11"/>
  <c r="Q66" i="9"/>
  <c r="Q66" i="8"/>
  <c r="E66" i="12"/>
  <c r="E66" i="11"/>
  <c r="E66" i="9"/>
  <c r="E66" i="8"/>
  <c r="V65" i="12"/>
  <c r="V65" i="11"/>
  <c r="V65" i="9"/>
  <c r="V65" i="8"/>
  <c r="J65" i="12"/>
  <c r="J65" i="11"/>
  <c r="J65" i="9"/>
  <c r="J65" i="8"/>
  <c r="C121" i="12"/>
  <c r="C121" i="11"/>
  <c r="C121" i="9"/>
  <c r="C121" i="8"/>
  <c r="C109" i="12"/>
  <c r="C109" i="11"/>
  <c r="C109" i="9"/>
  <c r="C109" i="8"/>
  <c r="C97" i="12"/>
  <c r="C97" i="11"/>
  <c r="C97" i="9"/>
  <c r="C97" i="8"/>
  <c r="U125" i="12"/>
  <c r="U125" i="11"/>
  <c r="U125" i="9"/>
  <c r="U125" i="8"/>
  <c r="I125" i="12"/>
  <c r="I125" i="11"/>
  <c r="I125" i="9"/>
  <c r="I125" i="8"/>
  <c r="Z124" i="12"/>
  <c r="Z124" i="11"/>
  <c r="Z124" i="9"/>
  <c r="Z124" i="8"/>
  <c r="N124" i="12"/>
  <c r="N124" i="11"/>
  <c r="N124" i="9"/>
  <c r="N124" i="8"/>
  <c r="AE123" i="12"/>
  <c r="AE123" i="11"/>
  <c r="AE123" i="9"/>
  <c r="AE123" i="8"/>
  <c r="S123" i="12"/>
  <c r="S123" i="11"/>
  <c r="S123" i="9"/>
  <c r="S123" i="8"/>
  <c r="G123" i="12"/>
  <c r="G123" i="11"/>
  <c r="G123" i="9"/>
  <c r="G123" i="8"/>
  <c r="X122" i="12"/>
  <c r="X122" i="11"/>
  <c r="X122" i="9"/>
  <c r="X122" i="8"/>
  <c r="L122" i="12"/>
  <c r="L122" i="11"/>
  <c r="L122" i="9"/>
  <c r="L122" i="8"/>
  <c r="AC121" i="12"/>
  <c r="AC121" i="11"/>
  <c r="AC121" i="9"/>
  <c r="AC121" i="8"/>
  <c r="Q121" i="12"/>
  <c r="Q121" i="11"/>
  <c r="Q121" i="9"/>
  <c r="Q121" i="8"/>
  <c r="E121" i="12"/>
  <c r="E121" i="11"/>
  <c r="E121" i="9"/>
  <c r="E121" i="8"/>
  <c r="V120" i="12"/>
  <c r="V120" i="11"/>
  <c r="V120" i="9"/>
  <c r="V120" i="8"/>
  <c r="J120" i="12"/>
  <c r="J120" i="11"/>
  <c r="J120" i="9"/>
  <c r="J120" i="8"/>
  <c r="AA119" i="12"/>
  <c r="AA119" i="11"/>
  <c r="AA119" i="9"/>
  <c r="AA119" i="8"/>
  <c r="O119" i="12"/>
  <c r="O119" i="11"/>
  <c r="O119" i="9"/>
  <c r="O119" i="8"/>
  <c r="AF118" i="12"/>
  <c r="AF118" i="11"/>
  <c r="AF118" i="9"/>
  <c r="AF118" i="8"/>
  <c r="T118" i="12"/>
  <c r="T118" i="11"/>
  <c r="T118" i="9"/>
  <c r="T118" i="8"/>
  <c r="H118" i="12"/>
  <c r="H118" i="11"/>
  <c r="H118" i="9"/>
  <c r="H118" i="8"/>
  <c r="Y117" i="12"/>
  <c r="Y117" i="11"/>
  <c r="Y117" i="9"/>
  <c r="Y117" i="8"/>
  <c r="M117" i="12"/>
  <c r="M117" i="11"/>
  <c r="M117" i="9"/>
  <c r="M117" i="8"/>
  <c r="AD116" i="12"/>
  <c r="AD116" i="11"/>
  <c r="AD116" i="9"/>
  <c r="AD116" i="8"/>
  <c r="R116" i="12"/>
  <c r="R116" i="11"/>
  <c r="R116" i="9"/>
  <c r="R116" i="8"/>
  <c r="F116" i="12"/>
  <c r="F116" i="11"/>
  <c r="F116" i="9"/>
  <c r="F116" i="8"/>
  <c r="W115" i="12"/>
  <c r="W115" i="11"/>
  <c r="W115" i="9"/>
  <c r="W115" i="8"/>
  <c r="K115" i="12"/>
  <c r="K115" i="11"/>
  <c r="K115" i="9"/>
  <c r="K115" i="8"/>
  <c r="AB114" i="12"/>
  <c r="AB114" i="11"/>
  <c r="AB114" i="9"/>
  <c r="AB114" i="8"/>
  <c r="P114" i="12"/>
  <c r="P114" i="11"/>
  <c r="P114" i="9"/>
  <c r="P114" i="8"/>
  <c r="D114" i="12"/>
  <c r="D114" i="11"/>
  <c r="D114" i="9"/>
  <c r="D114" i="8"/>
  <c r="U113" i="12"/>
  <c r="U113" i="11"/>
  <c r="U113" i="9"/>
  <c r="U113" i="8"/>
  <c r="I113" i="12"/>
  <c r="I113" i="11"/>
  <c r="I113" i="9"/>
  <c r="I113" i="8"/>
  <c r="Z112" i="12"/>
  <c r="Z112" i="11"/>
  <c r="Z112" i="9"/>
  <c r="Z112" i="8"/>
  <c r="N112" i="12"/>
  <c r="N112" i="11"/>
  <c r="N112" i="9"/>
  <c r="N112" i="8"/>
  <c r="AE111" i="12"/>
  <c r="AE111" i="11"/>
  <c r="AE111" i="9"/>
  <c r="AE111" i="8"/>
  <c r="S111" i="12"/>
  <c r="S111" i="11"/>
  <c r="S111" i="9"/>
  <c r="S111" i="8"/>
  <c r="G111" i="12"/>
  <c r="G111" i="11"/>
  <c r="G111" i="9"/>
  <c r="G111" i="8"/>
  <c r="X110" i="12"/>
  <c r="X110" i="11"/>
  <c r="X110" i="9"/>
  <c r="X110" i="8"/>
  <c r="L110" i="12"/>
  <c r="L110" i="11"/>
  <c r="L110" i="9"/>
  <c r="L110" i="8"/>
  <c r="AC109" i="12"/>
  <c r="AC109" i="11"/>
  <c r="AC109" i="9"/>
  <c r="AC109" i="8"/>
  <c r="Q109" i="12"/>
  <c r="Q109" i="11"/>
  <c r="Q109" i="9"/>
  <c r="Q109" i="8"/>
  <c r="E109" i="12"/>
  <c r="E109" i="11"/>
  <c r="E109" i="9"/>
  <c r="E109" i="8"/>
  <c r="V108" i="12"/>
  <c r="V108" i="11"/>
  <c r="V108" i="9"/>
  <c r="V108" i="8"/>
  <c r="J108" i="12"/>
  <c r="J108" i="11"/>
  <c r="J108" i="9"/>
  <c r="J108" i="8"/>
  <c r="AA107" i="12"/>
  <c r="AA107" i="11"/>
  <c r="AA107" i="9"/>
  <c r="AA107" i="8"/>
  <c r="O107" i="12"/>
  <c r="O107" i="11"/>
  <c r="O107" i="9"/>
  <c r="O107" i="8"/>
  <c r="AF106" i="12"/>
  <c r="AF106" i="11"/>
  <c r="AF106" i="9"/>
  <c r="AF106" i="8"/>
  <c r="T106" i="12"/>
  <c r="T106" i="11"/>
  <c r="T106" i="9"/>
  <c r="T106" i="8"/>
  <c r="H106" i="12"/>
  <c r="H106" i="11"/>
  <c r="H106" i="9"/>
  <c r="H106" i="8"/>
  <c r="Y105" i="12"/>
  <c r="Y105" i="11"/>
  <c r="Y105" i="9"/>
  <c r="Y105" i="8"/>
  <c r="M105" i="12"/>
  <c r="M105" i="11"/>
  <c r="M105" i="9"/>
  <c r="M105" i="8"/>
  <c r="AD104" i="12"/>
  <c r="AD104" i="11"/>
  <c r="AD104" i="9"/>
  <c r="AD104" i="8"/>
  <c r="R104" i="12"/>
  <c r="R104" i="11"/>
  <c r="R104" i="9"/>
  <c r="R104" i="8"/>
  <c r="F104" i="12"/>
  <c r="F104" i="11"/>
  <c r="F104" i="9"/>
  <c r="F104" i="8"/>
  <c r="W103" i="12"/>
  <c r="W103" i="11"/>
  <c r="W103" i="9"/>
  <c r="W103" i="8"/>
  <c r="K103" i="12"/>
  <c r="K103" i="11"/>
  <c r="K103" i="9"/>
  <c r="K103" i="8"/>
  <c r="AB102" i="12"/>
  <c r="AB102" i="11"/>
  <c r="AB102" i="9"/>
  <c r="AB102" i="8"/>
  <c r="P102" i="12"/>
  <c r="P102" i="11"/>
  <c r="P102" i="9"/>
  <c r="P102" i="8"/>
  <c r="D102" i="12"/>
  <c r="D102" i="11"/>
  <c r="D102" i="9"/>
  <c r="D102" i="8"/>
  <c r="U101" i="12"/>
  <c r="U101" i="11"/>
  <c r="U101" i="9"/>
  <c r="U101" i="8"/>
  <c r="I101" i="12"/>
  <c r="I101" i="11"/>
  <c r="I101" i="9"/>
  <c r="I101" i="8"/>
  <c r="Z100" i="12"/>
  <c r="Z100" i="11"/>
  <c r="Z100" i="9"/>
  <c r="Z100" i="8"/>
  <c r="N100" i="12"/>
  <c r="N100" i="11"/>
  <c r="N100" i="9"/>
  <c r="N100" i="8"/>
  <c r="AE99" i="12"/>
  <c r="AE99" i="11"/>
  <c r="AE99" i="9"/>
  <c r="AE99" i="8"/>
  <c r="S99" i="12"/>
  <c r="S99" i="11"/>
  <c r="S99" i="9"/>
  <c r="S99" i="8"/>
  <c r="G99" i="12"/>
  <c r="G99" i="11"/>
  <c r="G99" i="9"/>
  <c r="G99" i="8"/>
  <c r="X98" i="12"/>
  <c r="X98" i="11"/>
  <c r="X98" i="9"/>
  <c r="X98" i="8"/>
  <c r="L98" i="12"/>
  <c r="L98" i="11"/>
  <c r="L98" i="9"/>
  <c r="L98" i="8"/>
  <c r="AC97" i="12"/>
  <c r="AC97" i="11"/>
  <c r="AC97" i="9"/>
  <c r="AC97" i="8"/>
  <c r="Q97" i="12"/>
  <c r="Q97" i="11"/>
  <c r="Q97" i="9"/>
  <c r="Q97" i="8"/>
  <c r="E97" i="12"/>
  <c r="E97" i="11"/>
  <c r="E97" i="9"/>
  <c r="E97" i="8"/>
  <c r="V96" i="12"/>
  <c r="V96" i="11"/>
  <c r="V96" i="9"/>
  <c r="V96" i="8"/>
  <c r="J96" i="12"/>
  <c r="J96" i="11"/>
  <c r="J96" i="9"/>
  <c r="J96" i="8"/>
  <c r="Q62" i="12"/>
  <c r="Q62" i="8"/>
  <c r="Q62" i="11"/>
  <c r="Q62" i="9"/>
  <c r="W56" i="8"/>
  <c r="W56" i="12"/>
  <c r="W56" i="11"/>
  <c r="W56" i="9"/>
  <c r="X51" i="12"/>
  <c r="X51" i="8"/>
  <c r="X51" i="11"/>
  <c r="X51" i="9"/>
  <c r="AD45" i="8"/>
  <c r="AD45" i="12"/>
  <c r="AD45" i="11"/>
  <c r="AD45" i="9"/>
  <c r="AE40" i="12"/>
  <c r="AE40" i="8"/>
  <c r="AE40" i="11"/>
  <c r="AE40" i="9"/>
  <c r="O36" i="12"/>
  <c r="O36" i="8"/>
  <c r="O36" i="11"/>
  <c r="O36" i="9"/>
  <c r="L94" i="12"/>
  <c r="L94" i="11"/>
  <c r="L94" i="9"/>
  <c r="L94" i="8"/>
  <c r="M89" i="12"/>
  <c r="M89" i="11"/>
  <c r="M89" i="9"/>
  <c r="M89" i="8"/>
  <c r="I85" i="12"/>
  <c r="I85" i="11"/>
  <c r="I85" i="9"/>
  <c r="I85" i="8"/>
  <c r="E81" i="12"/>
  <c r="E81" i="11"/>
  <c r="E81" i="9"/>
  <c r="E81" i="8"/>
  <c r="R76" i="12"/>
  <c r="R76" i="11"/>
  <c r="R76" i="9"/>
  <c r="R76" i="8"/>
  <c r="G71" i="12"/>
  <c r="G71" i="11"/>
  <c r="G71" i="9"/>
  <c r="G71" i="8"/>
  <c r="O67" i="12"/>
  <c r="O67" i="11"/>
  <c r="O67" i="9"/>
  <c r="O67" i="8"/>
  <c r="AC124" i="12"/>
  <c r="AC124" i="11"/>
  <c r="AC124" i="9"/>
  <c r="AC124" i="8"/>
  <c r="M120" i="12"/>
  <c r="M120" i="9"/>
  <c r="M120" i="11"/>
  <c r="M120" i="8"/>
  <c r="D117" i="12"/>
  <c r="D117" i="11"/>
  <c r="D117" i="9"/>
  <c r="D117" i="8"/>
  <c r="G114" i="12"/>
  <c r="G114" i="11"/>
  <c r="G114" i="9"/>
  <c r="G114" i="8"/>
  <c r="O110" i="12"/>
  <c r="O110" i="11"/>
  <c r="O110" i="9"/>
  <c r="O110" i="8"/>
  <c r="D105" i="12"/>
  <c r="D105" i="11"/>
  <c r="D105" i="9"/>
  <c r="D105" i="8"/>
  <c r="J99" i="12"/>
  <c r="J99" i="11"/>
  <c r="J99" i="9"/>
  <c r="J99" i="8"/>
  <c r="U61" i="12"/>
  <c r="U61" i="8"/>
  <c r="U61" i="11"/>
  <c r="U61" i="9"/>
  <c r="Q57" i="8"/>
  <c r="Q57" i="12"/>
  <c r="Q57" i="11"/>
  <c r="Q57" i="9"/>
  <c r="AD52" i="12"/>
  <c r="AD52" i="8"/>
  <c r="AD52" i="11"/>
  <c r="AD52" i="9"/>
  <c r="I49" i="12"/>
  <c r="I49" i="8"/>
  <c r="I49" i="11"/>
  <c r="I49" i="9"/>
  <c r="V44" i="12"/>
  <c r="V44" i="8"/>
  <c r="V44" i="11"/>
  <c r="V44" i="9"/>
  <c r="AB38" i="8"/>
  <c r="AB38" i="12"/>
  <c r="AB38" i="11"/>
  <c r="AB38" i="9"/>
  <c r="C92" i="12"/>
  <c r="C92" i="11"/>
  <c r="C92" i="9"/>
  <c r="C92" i="8"/>
  <c r="AE90" i="12"/>
  <c r="AE90" i="11"/>
  <c r="AE90" i="9"/>
  <c r="AE90" i="8"/>
  <c r="J87" i="12"/>
  <c r="J87" i="11"/>
  <c r="J87" i="9"/>
  <c r="J87" i="8"/>
  <c r="W82" i="12"/>
  <c r="W82" i="11"/>
  <c r="W82" i="9"/>
  <c r="W82" i="8"/>
  <c r="L77" i="12"/>
  <c r="L77" i="11"/>
  <c r="L77" i="9"/>
  <c r="L77" i="8"/>
  <c r="M72" i="12"/>
  <c r="M72" i="11"/>
  <c r="M72" i="9"/>
  <c r="M72" i="8"/>
  <c r="U68" i="12"/>
  <c r="U68" i="11"/>
  <c r="U68" i="9"/>
  <c r="U68" i="8"/>
  <c r="C111" i="12"/>
  <c r="C111" i="11"/>
  <c r="C111" i="9"/>
  <c r="C111" i="8"/>
  <c r="N122" i="12"/>
  <c r="N122" i="11"/>
  <c r="N122" i="9"/>
  <c r="N122" i="8"/>
  <c r="AF116" i="12"/>
  <c r="AF116" i="11"/>
  <c r="AF116" i="9"/>
  <c r="AF116" i="8"/>
  <c r="U111" i="12"/>
  <c r="U111" i="11"/>
  <c r="U111" i="9"/>
  <c r="U111" i="8"/>
  <c r="AA105" i="12"/>
  <c r="AA105" i="11"/>
  <c r="AA105" i="9"/>
  <c r="AA105" i="8"/>
  <c r="U99" i="12"/>
  <c r="U99" i="11"/>
  <c r="U99" i="9"/>
  <c r="U99" i="8"/>
  <c r="C36" i="12"/>
  <c r="C36" i="11"/>
  <c r="Z62" i="12"/>
  <c r="Z62" i="8"/>
  <c r="Z62" i="11"/>
  <c r="Z62" i="9"/>
  <c r="G61" i="12"/>
  <c r="G61" i="8"/>
  <c r="G61" i="11"/>
  <c r="G61" i="9"/>
  <c r="E59" i="12"/>
  <c r="E59" i="8"/>
  <c r="E59" i="11"/>
  <c r="E59" i="9"/>
  <c r="C59" i="12"/>
  <c r="C59" i="11"/>
  <c r="C47" i="12"/>
  <c r="C47" i="11"/>
  <c r="C35" i="12"/>
  <c r="C35" i="11"/>
  <c r="T63" i="8"/>
  <c r="T63" i="12"/>
  <c r="T63" i="11"/>
  <c r="T63" i="9"/>
  <c r="H63" i="8"/>
  <c r="H63" i="12"/>
  <c r="H63" i="11"/>
  <c r="H63" i="9"/>
  <c r="Y62" i="8"/>
  <c r="Y62" i="12"/>
  <c r="Y62" i="11"/>
  <c r="Y62" i="9"/>
  <c r="M62" i="8"/>
  <c r="M62" i="12"/>
  <c r="M62" i="11"/>
  <c r="M62" i="9"/>
  <c r="AD61" i="8"/>
  <c r="AD61" i="12"/>
  <c r="AD61" i="11"/>
  <c r="AD61" i="9"/>
  <c r="R61" i="8"/>
  <c r="R61" i="12"/>
  <c r="R61" i="11"/>
  <c r="R61" i="9"/>
  <c r="F61" i="8"/>
  <c r="F61" i="12"/>
  <c r="F61" i="11"/>
  <c r="F61" i="9"/>
  <c r="W60" i="8"/>
  <c r="W60" i="12"/>
  <c r="W60" i="11"/>
  <c r="W60" i="9"/>
  <c r="K60" i="8"/>
  <c r="K60" i="12"/>
  <c r="K60" i="11"/>
  <c r="K60" i="9"/>
  <c r="AB59" i="12"/>
  <c r="AB59" i="8"/>
  <c r="AB59" i="11"/>
  <c r="AB59" i="9"/>
  <c r="P59" i="12"/>
  <c r="P59" i="8"/>
  <c r="P59" i="11"/>
  <c r="P59" i="9"/>
  <c r="D59" i="12"/>
  <c r="D59" i="8"/>
  <c r="D59" i="11"/>
  <c r="D59" i="9"/>
  <c r="U58" i="12"/>
  <c r="U58" i="8"/>
  <c r="U58" i="11"/>
  <c r="U58" i="9"/>
  <c r="I58" i="12"/>
  <c r="I58" i="8"/>
  <c r="I58" i="11"/>
  <c r="I58" i="9"/>
  <c r="Z57" i="8"/>
  <c r="Z57" i="12"/>
  <c r="Z57" i="11"/>
  <c r="Z57" i="9"/>
  <c r="N57" i="8"/>
  <c r="N57" i="12"/>
  <c r="N57" i="11"/>
  <c r="N57" i="9"/>
  <c r="AE56" i="8"/>
  <c r="AE56" i="12"/>
  <c r="AE56" i="11"/>
  <c r="AE56" i="9"/>
  <c r="S56" i="8"/>
  <c r="S56" i="12"/>
  <c r="S56" i="11"/>
  <c r="S56" i="9"/>
  <c r="G56" i="8"/>
  <c r="G56" i="12"/>
  <c r="G56" i="11"/>
  <c r="G56" i="9"/>
  <c r="X55" i="8"/>
  <c r="X55" i="12"/>
  <c r="X55" i="11"/>
  <c r="X55" i="9"/>
  <c r="L55" i="8"/>
  <c r="L55" i="12"/>
  <c r="L55" i="11"/>
  <c r="L55" i="9"/>
  <c r="AC54" i="8"/>
  <c r="AC54" i="12"/>
  <c r="AC54" i="11"/>
  <c r="AC54" i="9"/>
  <c r="Q54" i="8"/>
  <c r="Q54" i="12"/>
  <c r="Q54" i="11"/>
  <c r="Q54" i="9"/>
  <c r="E54" i="8"/>
  <c r="E54" i="12"/>
  <c r="E54" i="11"/>
  <c r="E54" i="9"/>
  <c r="V53" i="8"/>
  <c r="V53" i="12"/>
  <c r="V53" i="11"/>
  <c r="V53" i="9"/>
  <c r="J53" i="8"/>
  <c r="J53" i="12"/>
  <c r="J53" i="11"/>
  <c r="J53" i="9"/>
  <c r="AA52" i="8"/>
  <c r="AA52" i="12"/>
  <c r="AA52" i="11"/>
  <c r="AA52" i="9"/>
  <c r="O52" i="8"/>
  <c r="O52" i="12"/>
  <c r="O52" i="11"/>
  <c r="O52" i="9"/>
  <c r="AF51" i="8"/>
  <c r="AF51" i="12"/>
  <c r="AF51" i="11"/>
  <c r="AF51" i="9"/>
  <c r="T51" i="8"/>
  <c r="T51" i="12"/>
  <c r="T51" i="11"/>
  <c r="T51" i="9"/>
  <c r="H51" i="8"/>
  <c r="H51" i="12"/>
  <c r="H51" i="11"/>
  <c r="H51" i="9"/>
  <c r="Y50" i="8"/>
  <c r="Y50" i="12"/>
  <c r="Y50" i="11"/>
  <c r="Y50" i="9"/>
  <c r="M50" i="8"/>
  <c r="M50" i="12"/>
  <c r="M50" i="11"/>
  <c r="M50" i="9"/>
  <c r="AD49" i="8"/>
  <c r="AD49" i="12"/>
  <c r="AD49" i="11"/>
  <c r="AD49" i="9"/>
  <c r="R49" i="8"/>
  <c r="R49" i="12"/>
  <c r="R49" i="11"/>
  <c r="R49" i="9"/>
  <c r="F49" i="8"/>
  <c r="F49" i="12"/>
  <c r="F49" i="11"/>
  <c r="F49" i="9"/>
  <c r="W48" i="8"/>
  <c r="W48" i="12"/>
  <c r="W48" i="11"/>
  <c r="W48" i="9"/>
  <c r="K48" i="8"/>
  <c r="K48" i="12"/>
  <c r="K48" i="11"/>
  <c r="K48" i="9"/>
  <c r="AB47" i="12"/>
  <c r="AB47" i="8"/>
  <c r="AB47" i="11"/>
  <c r="AB47" i="9"/>
  <c r="P47" i="12"/>
  <c r="P47" i="8"/>
  <c r="P47" i="11"/>
  <c r="P47" i="9"/>
  <c r="D47" i="12"/>
  <c r="D47" i="8"/>
  <c r="D47" i="11"/>
  <c r="D47" i="9"/>
  <c r="U46" i="12"/>
  <c r="U46" i="8"/>
  <c r="U46" i="11"/>
  <c r="U46" i="9"/>
  <c r="I46" i="12"/>
  <c r="I46" i="8"/>
  <c r="I46" i="11"/>
  <c r="I46" i="9"/>
  <c r="Z45" i="8"/>
  <c r="Z45" i="12"/>
  <c r="Z45" i="11"/>
  <c r="Z45" i="9"/>
  <c r="N45" i="8"/>
  <c r="N45" i="12"/>
  <c r="N45" i="11"/>
  <c r="N45" i="9"/>
  <c r="AE44" i="8"/>
  <c r="AE44" i="12"/>
  <c r="AE44" i="11"/>
  <c r="AE44" i="9"/>
  <c r="S44" i="8"/>
  <c r="S44" i="12"/>
  <c r="S44" i="11"/>
  <c r="S44" i="9"/>
  <c r="G44" i="8"/>
  <c r="G44" i="12"/>
  <c r="G44" i="11"/>
  <c r="G44" i="9"/>
  <c r="X43" i="8"/>
  <c r="X43" i="12"/>
  <c r="X43" i="11"/>
  <c r="X43" i="9"/>
  <c r="L43" i="8"/>
  <c r="L43" i="12"/>
  <c r="L43" i="11"/>
  <c r="L43" i="9"/>
  <c r="AC42" i="12"/>
  <c r="AC42" i="8"/>
  <c r="AC42" i="11"/>
  <c r="AC42" i="9"/>
  <c r="Q42" i="12"/>
  <c r="Q42" i="8"/>
  <c r="Q42" i="11"/>
  <c r="Q42" i="9"/>
  <c r="E42" i="8"/>
  <c r="E42" i="12"/>
  <c r="E42" i="11"/>
  <c r="E42" i="9"/>
  <c r="V41" i="8"/>
  <c r="V41" i="12"/>
  <c r="V41" i="11"/>
  <c r="V41" i="9"/>
  <c r="J41" i="8"/>
  <c r="J41" i="12"/>
  <c r="J41" i="11"/>
  <c r="J41" i="9"/>
  <c r="AA40" i="8"/>
  <c r="AA40" i="12"/>
  <c r="AA40" i="11"/>
  <c r="AA40" i="9"/>
  <c r="O40" i="8"/>
  <c r="O40" i="12"/>
  <c r="O40" i="11"/>
  <c r="O40" i="9"/>
  <c r="AF39" i="8"/>
  <c r="AF39" i="12"/>
  <c r="AF39" i="11"/>
  <c r="AF39" i="9"/>
  <c r="T39" i="8"/>
  <c r="T39" i="12"/>
  <c r="T39" i="11"/>
  <c r="T39" i="9"/>
  <c r="H39" i="12"/>
  <c r="H39" i="8"/>
  <c r="H39" i="11"/>
  <c r="H39" i="9"/>
  <c r="Y38" i="12"/>
  <c r="Y38" i="8"/>
  <c r="Y38" i="11"/>
  <c r="Y38" i="9"/>
  <c r="M38" i="12"/>
  <c r="M38" i="8"/>
  <c r="M38" i="11"/>
  <c r="M38" i="9"/>
  <c r="AD37" i="8"/>
  <c r="AD37" i="12"/>
  <c r="AD37" i="11"/>
  <c r="AD37" i="9"/>
  <c r="R37" i="8"/>
  <c r="R37" i="12"/>
  <c r="R37" i="11"/>
  <c r="R37" i="9"/>
  <c r="F37" i="12"/>
  <c r="F37" i="8"/>
  <c r="F37" i="11"/>
  <c r="F37" i="9"/>
  <c r="W36" i="8"/>
  <c r="W36" i="12"/>
  <c r="W36" i="11"/>
  <c r="W36" i="9"/>
  <c r="K36" i="8"/>
  <c r="K36" i="12"/>
  <c r="K36" i="11"/>
  <c r="K36" i="9"/>
  <c r="AB35" i="12"/>
  <c r="AB35" i="8"/>
  <c r="AB35" i="11"/>
  <c r="AB35" i="9"/>
  <c r="P35" i="8"/>
  <c r="P35" i="12"/>
  <c r="P35" i="11"/>
  <c r="P35" i="9"/>
  <c r="D35" i="12"/>
  <c r="D35" i="8"/>
  <c r="D35" i="11"/>
  <c r="D35" i="9"/>
  <c r="U34" i="12"/>
  <c r="U34" i="8"/>
  <c r="U34" i="11"/>
  <c r="U34" i="9"/>
  <c r="I34" i="12"/>
  <c r="I34" i="8"/>
  <c r="I34" i="11"/>
  <c r="I34" i="9"/>
  <c r="C89" i="12"/>
  <c r="C89" i="11"/>
  <c r="C89" i="9"/>
  <c r="C89" i="8"/>
  <c r="C77" i="12"/>
  <c r="C77" i="11"/>
  <c r="C77" i="9"/>
  <c r="C77" i="8"/>
  <c r="AF94" i="12"/>
  <c r="AF94" i="11"/>
  <c r="AF94" i="9"/>
  <c r="AF94" i="8"/>
  <c r="T94" i="12"/>
  <c r="T94" i="11"/>
  <c r="T94" i="9"/>
  <c r="T94" i="8"/>
  <c r="H94" i="12"/>
  <c r="H94" i="11"/>
  <c r="H94" i="9"/>
  <c r="H94" i="8"/>
  <c r="Y93" i="12"/>
  <c r="Y93" i="11"/>
  <c r="Y93" i="9"/>
  <c r="Y93" i="8"/>
  <c r="M93" i="12"/>
  <c r="M93" i="11"/>
  <c r="M93" i="9"/>
  <c r="M93" i="8"/>
  <c r="AD92" i="12"/>
  <c r="AD92" i="11"/>
  <c r="AD92" i="9"/>
  <c r="AD92" i="8"/>
  <c r="R92" i="12"/>
  <c r="R92" i="11"/>
  <c r="R92" i="9"/>
  <c r="R92" i="8"/>
  <c r="F92" i="12"/>
  <c r="F92" i="11"/>
  <c r="F92" i="9"/>
  <c r="F92" i="8"/>
  <c r="W91" i="12"/>
  <c r="W91" i="11"/>
  <c r="W91" i="9"/>
  <c r="W91" i="8"/>
  <c r="K91" i="12"/>
  <c r="K91" i="11"/>
  <c r="K91" i="9"/>
  <c r="K91" i="8"/>
  <c r="AB90" i="12"/>
  <c r="AB90" i="11"/>
  <c r="AB90" i="9"/>
  <c r="AB90" i="8"/>
  <c r="P90" i="12"/>
  <c r="P90" i="11"/>
  <c r="P90" i="9"/>
  <c r="P90" i="8"/>
  <c r="D90" i="12"/>
  <c r="D90" i="11"/>
  <c r="D90" i="9"/>
  <c r="D90" i="8"/>
  <c r="U89" i="12"/>
  <c r="U89" i="11"/>
  <c r="U89" i="9"/>
  <c r="U89" i="8"/>
  <c r="I89" i="12"/>
  <c r="I89" i="11"/>
  <c r="I89" i="9"/>
  <c r="I89" i="8"/>
  <c r="Z88" i="12"/>
  <c r="Z88" i="11"/>
  <c r="Z88" i="9"/>
  <c r="Z88" i="8"/>
  <c r="N88" i="12"/>
  <c r="N88" i="11"/>
  <c r="N88" i="9"/>
  <c r="N88" i="8"/>
  <c r="AE87" i="12"/>
  <c r="AE87" i="11"/>
  <c r="AE87" i="9"/>
  <c r="AE87" i="8"/>
  <c r="S87" i="12"/>
  <c r="S87" i="11"/>
  <c r="S87" i="9"/>
  <c r="S87" i="8"/>
  <c r="G87" i="12"/>
  <c r="G87" i="11"/>
  <c r="G87" i="9"/>
  <c r="G87" i="8"/>
  <c r="X86" i="12"/>
  <c r="X86" i="11"/>
  <c r="X86" i="9"/>
  <c r="X86" i="8"/>
  <c r="L86" i="12"/>
  <c r="L86" i="11"/>
  <c r="L86" i="9"/>
  <c r="L86" i="8"/>
  <c r="AC85" i="12"/>
  <c r="AC85" i="11"/>
  <c r="AC85" i="9"/>
  <c r="AC85" i="8"/>
  <c r="Q85" i="12"/>
  <c r="Q85" i="11"/>
  <c r="Q85" i="9"/>
  <c r="Q85" i="8"/>
  <c r="E85" i="12"/>
  <c r="E85" i="11"/>
  <c r="E85" i="9"/>
  <c r="E85" i="8"/>
  <c r="V84" i="12"/>
  <c r="V84" i="11"/>
  <c r="V84" i="9"/>
  <c r="V84" i="8"/>
  <c r="J84" i="12"/>
  <c r="J84" i="11"/>
  <c r="J84" i="9"/>
  <c r="J84" i="8"/>
  <c r="AA83" i="12"/>
  <c r="AA83" i="11"/>
  <c r="AA83" i="9"/>
  <c r="AA83" i="8"/>
  <c r="O83" i="12"/>
  <c r="O83" i="11"/>
  <c r="O83" i="9"/>
  <c r="O83" i="8"/>
  <c r="AF82" i="12"/>
  <c r="AF82" i="11"/>
  <c r="AF82" i="9"/>
  <c r="AF82" i="8"/>
  <c r="T82" i="12"/>
  <c r="T82" i="11"/>
  <c r="T82" i="9"/>
  <c r="T82" i="8"/>
  <c r="H82" i="12"/>
  <c r="H82" i="11"/>
  <c r="H82" i="9"/>
  <c r="H82" i="8"/>
  <c r="Y81" i="12"/>
  <c r="Y81" i="11"/>
  <c r="Y81" i="9"/>
  <c r="Y81" i="8"/>
  <c r="M81" i="12"/>
  <c r="M81" i="11"/>
  <c r="M81" i="9"/>
  <c r="M81" i="8"/>
  <c r="AD80" i="12"/>
  <c r="AD80" i="11"/>
  <c r="AD80" i="9"/>
  <c r="AD80" i="8"/>
  <c r="R80" i="12"/>
  <c r="R80" i="11"/>
  <c r="R80" i="9"/>
  <c r="R80" i="8"/>
  <c r="F80" i="12"/>
  <c r="F80" i="11"/>
  <c r="F80" i="9"/>
  <c r="F80" i="8"/>
  <c r="W79" i="12"/>
  <c r="W79" i="11"/>
  <c r="W79" i="9"/>
  <c r="W79" i="8"/>
  <c r="K79" i="12"/>
  <c r="K79" i="11"/>
  <c r="K79" i="9"/>
  <c r="K79" i="8"/>
  <c r="AB78" i="12"/>
  <c r="AB78" i="11"/>
  <c r="AB78" i="9"/>
  <c r="AB78" i="8"/>
  <c r="P78" i="12"/>
  <c r="P78" i="11"/>
  <c r="P78" i="9"/>
  <c r="P78" i="8"/>
  <c r="D78" i="12"/>
  <c r="D78" i="11"/>
  <c r="D78" i="9"/>
  <c r="D78" i="8"/>
  <c r="U77" i="12"/>
  <c r="U77" i="11"/>
  <c r="U77" i="9"/>
  <c r="U77" i="8"/>
  <c r="I77" i="12"/>
  <c r="I77" i="11"/>
  <c r="I77" i="9"/>
  <c r="I77" i="8"/>
  <c r="Z76" i="12"/>
  <c r="Z76" i="11"/>
  <c r="Z76" i="9"/>
  <c r="Z76" i="8"/>
  <c r="N76" i="12"/>
  <c r="N76" i="11"/>
  <c r="N76" i="9"/>
  <c r="N76" i="8"/>
  <c r="AE75" i="12"/>
  <c r="AE75" i="11"/>
  <c r="AE75" i="9"/>
  <c r="AE75" i="8"/>
  <c r="S75" i="12"/>
  <c r="S75" i="11"/>
  <c r="S75" i="9"/>
  <c r="S75" i="8"/>
  <c r="G75" i="12"/>
  <c r="G75" i="11"/>
  <c r="G75" i="9"/>
  <c r="G75" i="8"/>
  <c r="X74" i="12"/>
  <c r="X74" i="11"/>
  <c r="X74" i="9"/>
  <c r="X74" i="8"/>
  <c r="L74" i="12"/>
  <c r="L74" i="11"/>
  <c r="L74" i="9"/>
  <c r="L74" i="8"/>
  <c r="AC73" i="12"/>
  <c r="AC73" i="11"/>
  <c r="AC73" i="9"/>
  <c r="AC73" i="8"/>
  <c r="Q73" i="12"/>
  <c r="Q73" i="11"/>
  <c r="Q73" i="9"/>
  <c r="Q73" i="8"/>
  <c r="E73" i="12"/>
  <c r="E73" i="11"/>
  <c r="E73" i="9"/>
  <c r="E73" i="8"/>
  <c r="V72" i="12"/>
  <c r="V72" i="11"/>
  <c r="V72" i="9"/>
  <c r="V72" i="8"/>
  <c r="J72" i="12"/>
  <c r="J72" i="11"/>
  <c r="J72" i="9"/>
  <c r="J72" i="8"/>
  <c r="AA71" i="12"/>
  <c r="AA71" i="11"/>
  <c r="AA71" i="9"/>
  <c r="AA71" i="8"/>
  <c r="O71" i="12"/>
  <c r="O71" i="11"/>
  <c r="O71" i="9"/>
  <c r="O71" i="8"/>
  <c r="AF70" i="12"/>
  <c r="AF70" i="11"/>
  <c r="AF70" i="9"/>
  <c r="AF70" i="8"/>
  <c r="T70" i="12"/>
  <c r="T70" i="11"/>
  <c r="T70" i="9"/>
  <c r="T70" i="8"/>
  <c r="H70" i="12"/>
  <c r="H70" i="11"/>
  <c r="H70" i="9"/>
  <c r="H70" i="8"/>
  <c r="Y69" i="12"/>
  <c r="Y69" i="11"/>
  <c r="Y69" i="9"/>
  <c r="Y69" i="8"/>
  <c r="M69" i="12"/>
  <c r="M69" i="11"/>
  <c r="M69" i="9"/>
  <c r="M69" i="8"/>
  <c r="AD68" i="12"/>
  <c r="AD68" i="11"/>
  <c r="AD68" i="9"/>
  <c r="AD68" i="8"/>
  <c r="R68" i="12"/>
  <c r="R68" i="11"/>
  <c r="R68" i="9"/>
  <c r="R68" i="8"/>
  <c r="F68" i="12"/>
  <c r="F68" i="11"/>
  <c r="F68" i="9"/>
  <c r="F68" i="8"/>
  <c r="W67" i="12"/>
  <c r="W67" i="11"/>
  <c r="W67" i="9"/>
  <c r="W67" i="8"/>
  <c r="K67" i="12"/>
  <c r="K67" i="11"/>
  <c r="K67" i="9"/>
  <c r="K67" i="8"/>
  <c r="AB66" i="12"/>
  <c r="AB66" i="11"/>
  <c r="AB66" i="9"/>
  <c r="AB66" i="8"/>
  <c r="P66" i="12"/>
  <c r="P66" i="11"/>
  <c r="P66" i="9"/>
  <c r="P66" i="8"/>
  <c r="D66" i="12"/>
  <c r="D66" i="11"/>
  <c r="D66" i="9"/>
  <c r="D66" i="8"/>
  <c r="U65" i="12"/>
  <c r="U65" i="11"/>
  <c r="U65" i="9"/>
  <c r="U65" i="8"/>
  <c r="I65" i="12"/>
  <c r="I65" i="11"/>
  <c r="I65" i="9"/>
  <c r="I65" i="8"/>
  <c r="C120" i="12"/>
  <c r="C120" i="11"/>
  <c r="C120" i="9"/>
  <c r="C120" i="8"/>
  <c r="C108" i="12"/>
  <c r="C108" i="11"/>
  <c r="C108" i="9"/>
  <c r="C108" i="8"/>
  <c r="AF125" i="12"/>
  <c r="AF125" i="11"/>
  <c r="AF125" i="9"/>
  <c r="AF125" i="8"/>
  <c r="T125" i="12"/>
  <c r="T125" i="11"/>
  <c r="T125" i="9"/>
  <c r="T125" i="8"/>
  <c r="H125" i="12"/>
  <c r="H125" i="11"/>
  <c r="H125" i="9"/>
  <c r="H125" i="8"/>
  <c r="Y124" i="12"/>
  <c r="Y124" i="11"/>
  <c r="Y124" i="9"/>
  <c r="Y124" i="8"/>
  <c r="M124" i="12"/>
  <c r="M124" i="11"/>
  <c r="M124" i="9"/>
  <c r="M124" i="8"/>
  <c r="AD123" i="12"/>
  <c r="AD123" i="11"/>
  <c r="AD123" i="9"/>
  <c r="AD123" i="8"/>
  <c r="R123" i="12"/>
  <c r="R123" i="11"/>
  <c r="R123" i="9"/>
  <c r="R123" i="8"/>
  <c r="F123" i="12"/>
  <c r="F123" i="11"/>
  <c r="F123" i="9"/>
  <c r="F123" i="8"/>
  <c r="W122" i="12"/>
  <c r="W122" i="11"/>
  <c r="W122" i="9"/>
  <c r="W122" i="8"/>
  <c r="K122" i="12"/>
  <c r="K122" i="11"/>
  <c r="K122" i="9"/>
  <c r="K122" i="8"/>
  <c r="AB121" i="12"/>
  <c r="AB121" i="11"/>
  <c r="AB121" i="9"/>
  <c r="AB121" i="8"/>
  <c r="P121" i="12"/>
  <c r="P121" i="11"/>
  <c r="P121" i="9"/>
  <c r="P121" i="8"/>
  <c r="D121" i="12"/>
  <c r="D121" i="11"/>
  <c r="D121" i="9"/>
  <c r="D121" i="8"/>
  <c r="U120" i="12"/>
  <c r="U120" i="11"/>
  <c r="U120" i="9"/>
  <c r="U120" i="8"/>
  <c r="I120" i="12"/>
  <c r="I120" i="11"/>
  <c r="I120" i="9"/>
  <c r="I120" i="8"/>
  <c r="Z119" i="12"/>
  <c r="Z119" i="11"/>
  <c r="Z119" i="9"/>
  <c r="Z119" i="8"/>
  <c r="N119" i="12"/>
  <c r="N119" i="11"/>
  <c r="N119" i="9"/>
  <c r="N119" i="8"/>
  <c r="AE118" i="12"/>
  <c r="AE118" i="11"/>
  <c r="AE118" i="9"/>
  <c r="AE118" i="8"/>
  <c r="S118" i="12"/>
  <c r="S118" i="11"/>
  <c r="S118" i="9"/>
  <c r="S118" i="8"/>
  <c r="G118" i="12"/>
  <c r="G118" i="11"/>
  <c r="G118" i="9"/>
  <c r="G118" i="8"/>
  <c r="X117" i="12"/>
  <c r="X117" i="11"/>
  <c r="X117" i="9"/>
  <c r="X117" i="8"/>
  <c r="L117" i="12"/>
  <c r="L117" i="11"/>
  <c r="L117" i="9"/>
  <c r="L117" i="8"/>
  <c r="AC116" i="12"/>
  <c r="AC116" i="11"/>
  <c r="AC116" i="9"/>
  <c r="AC116" i="8"/>
  <c r="Q116" i="12"/>
  <c r="Q116" i="11"/>
  <c r="Q116" i="9"/>
  <c r="Q116" i="8"/>
  <c r="E116" i="12"/>
  <c r="E116" i="11"/>
  <c r="E116" i="9"/>
  <c r="E116" i="8"/>
  <c r="V115" i="12"/>
  <c r="V115" i="11"/>
  <c r="V115" i="9"/>
  <c r="V115" i="8"/>
  <c r="J115" i="12"/>
  <c r="J115" i="11"/>
  <c r="J115" i="9"/>
  <c r="J115" i="8"/>
  <c r="AA114" i="12"/>
  <c r="AA114" i="11"/>
  <c r="AA114" i="9"/>
  <c r="AA114" i="8"/>
  <c r="O114" i="12"/>
  <c r="O114" i="11"/>
  <c r="O114" i="9"/>
  <c r="O114" i="8"/>
  <c r="AF113" i="12"/>
  <c r="AF113" i="11"/>
  <c r="AF113" i="9"/>
  <c r="AF113" i="8"/>
  <c r="T113" i="12"/>
  <c r="T113" i="11"/>
  <c r="T113" i="9"/>
  <c r="T113" i="8"/>
  <c r="H113" i="12"/>
  <c r="H113" i="11"/>
  <c r="H113" i="9"/>
  <c r="H113" i="8"/>
  <c r="Y112" i="12"/>
  <c r="Y112" i="11"/>
  <c r="Y112" i="9"/>
  <c r="Y112" i="8"/>
  <c r="M112" i="12"/>
  <c r="M112" i="11"/>
  <c r="M112" i="9"/>
  <c r="M112" i="8"/>
  <c r="AD111" i="12"/>
  <c r="AD111" i="11"/>
  <c r="AD111" i="9"/>
  <c r="AD111" i="8"/>
  <c r="R111" i="12"/>
  <c r="R111" i="11"/>
  <c r="R111" i="9"/>
  <c r="R111" i="8"/>
  <c r="F111" i="12"/>
  <c r="F111" i="11"/>
  <c r="F111" i="9"/>
  <c r="F111" i="8"/>
  <c r="W110" i="12"/>
  <c r="W110" i="11"/>
  <c r="W110" i="9"/>
  <c r="W110" i="8"/>
  <c r="K110" i="12"/>
  <c r="K110" i="11"/>
  <c r="K110" i="9"/>
  <c r="K110" i="8"/>
  <c r="AB109" i="12"/>
  <c r="AB109" i="11"/>
  <c r="AB109" i="9"/>
  <c r="AB109" i="8"/>
  <c r="P109" i="12"/>
  <c r="P109" i="11"/>
  <c r="P109" i="9"/>
  <c r="P109" i="8"/>
  <c r="D109" i="12"/>
  <c r="D109" i="11"/>
  <c r="D109" i="9"/>
  <c r="D109" i="8"/>
  <c r="U108" i="12"/>
  <c r="U108" i="11"/>
  <c r="U108" i="9"/>
  <c r="U108" i="8"/>
  <c r="I108" i="12"/>
  <c r="I108" i="11"/>
  <c r="I108" i="9"/>
  <c r="I108" i="8"/>
  <c r="Z107" i="12"/>
  <c r="Z107" i="11"/>
  <c r="Z107" i="9"/>
  <c r="Z107" i="8"/>
  <c r="N107" i="12"/>
  <c r="N107" i="11"/>
  <c r="N107" i="9"/>
  <c r="N107" i="8"/>
  <c r="AE106" i="12"/>
  <c r="AE106" i="11"/>
  <c r="AE106" i="9"/>
  <c r="AE106" i="8"/>
  <c r="S106" i="12"/>
  <c r="S106" i="11"/>
  <c r="S106" i="9"/>
  <c r="S106" i="8"/>
  <c r="G106" i="12"/>
  <c r="G106" i="11"/>
  <c r="G106" i="9"/>
  <c r="G106" i="8"/>
  <c r="X105" i="12"/>
  <c r="X105" i="11"/>
  <c r="X105" i="9"/>
  <c r="X105" i="8"/>
  <c r="L105" i="12"/>
  <c r="L105" i="11"/>
  <c r="L105" i="9"/>
  <c r="L105" i="8"/>
  <c r="AC104" i="12"/>
  <c r="AC104" i="11"/>
  <c r="AC104" i="9"/>
  <c r="AC104" i="8"/>
  <c r="Q104" i="12"/>
  <c r="Q104" i="11"/>
  <c r="Q104" i="9"/>
  <c r="Q104" i="8"/>
  <c r="E104" i="12"/>
  <c r="E104" i="11"/>
  <c r="E104" i="9"/>
  <c r="E104" i="8"/>
  <c r="V103" i="12"/>
  <c r="V103" i="11"/>
  <c r="V103" i="9"/>
  <c r="V103" i="8"/>
  <c r="J103" i="12"/>
  <c r="J103" i="11"/>
  <c r="J103" i="9"/>
  <c r="J103" i="8"/>
  <c r="AA102" i="12"/>
  <c r="AA102" i="11"/>
  <c r="AA102" i="9"/>
  <c r="AA102" i="8"/>
  <c r="O102" i="12"/>
  <c r="O102" i="11"/>
  <c r="O102" i="9"/>
  <c r="O102" i="8"/>
  <c r="AF101" i="12"/>
  <c r="AF101" i="11"/>
  <c r="AF101" i="9"/>
  <c r="AF101" i="8"/>
  <c r="T101" i="12"/>
  <c r="T101" i="11"/>
  <c r="T101" i="9"/>
  <c r="T101" i="8"/>
  <c r="H101" i="12"/>
  <c r="H101" i="11"/>
  <c r="H101" i="9"/>
  <c r="H101" i="8"/>
  <c r="Y100" i="12"/>
  <c r="Y100" i="11"/>
  <c r="Y100" i="9"/>
  <c r="Y100" i="8"/>
  <c r="M100" i="12"/>
  <c r="M100" i="11"/>
  <c r="M100" i="9"/>
  <c r="M100" i="8"/>
  <c r="AD99" i="12"/>
  <c r="AD99" i="11"/>
  <c r="AD99" i="9"/>
  <c r="AD99" i="8"/>
  <c r="R99" i="12"/>
  <c r="R99" i="11"/>
  <c r="R99" i="9"/>
  <c r="R99" i="8"/>
  <c r="F99" i="12"/>
  <c r="F99" i="11"/>
  <c r="F99" i="9"/>
  <c r="F99" i="8"/>
  <c r="W98" i="12"/>
  <c r="W98" i="11"/>
  <c r="W98" i="9"/>
  <c r="W98" i="8"/>
  <c r="K98" i="12"/>
  <c r="K98" i="11"/>
  <c r="K98" i="9"/>
  <c r="K98" i="8"/>
  <c r="AB97" i="12"/>
  <c r="AB97" i="11"/>
  <c r="AB97" i="9"/>
  <c r="AB97" i="8"/>
  <c r="P97" i="12"/>
  <c r="P97" i="11"/>
  <c r="P97" i="9"/>
  <c r="P97" i="8"/>
  <c r="D97" i="12"/>
  <c r="D97" i="11"/>
  <c r="D97" i="9"/>
  <c r="D97" i="8"/>
  <c r="U96" i="12"/>
  <c r="U96" i="11"/>
  <c r="U96" i="9"/>
  <c r="U96" i="8"/>
  <c r="I96" i="12"/>
  <c r="I96" i="11"/>
  <c r="I96" i="9"/>
  <c r="I96" i="8"/>
  <c r="AC62" i="12"/>
  <c r="AC62" i="8"/>
  <c r="AC62" i="11"/>
  <c r="AC62" i="9"/>
  <c r="M58" i="8"/>
  <c r="M58" i="12"/>
  <c r="M58" i="11"/>
  <c r="M58" i="9"/>
  <c r="AE52" i="12"/>
  <c r="AE52" i="8"/>
  <c r="AE52" i="11"/>
  <c r="AE52" i="9"/>
  <c r="O48" i="12"/>
  <c r="O48" i="8"/>
  <c r="O48" i="11"/>
  <c r="O48" i="9"/>
  <c r="P43" i="12"/>
  <c r="P43" i="8"/>
  <c r="P43" i="11"/>
  <c r="P43" i="9"/>
  <c r="L39" i="12"/>
  <c r="L39" i="8"/>
  <c r="L39" i="11"/>
  <c r="L39" i="9"/>
  <c r="C93" i="12"/>
  <c r="C93" i="11"/>
  <c r="C93" i="9"/>
  <c r="C93" i="8"/>
  <c r="O91" i="12"/>
  <c r="O91" i="11"/>
  <c r="O91" i="9"/>
  <c r="O91" i="8"/>
  <c r="K87" i="12"/>
  <c r="K87" i="11"/>
  <c r="K87" i="9"/>
  <c r="K87" i="8"/>
  <c r="G83" i="12"/>
  <c r="G83" i="11"/>
  <c r="G83" i="9"/>
  <c r="G83" i="8"/>
  <c r="Y77" i="12"/>
  <c r="Y77" i="11"/>
  <c r="Y77" i="9"/>
  <c r="Y77" i="8"/>
  <c r="Z72" i="12"/>
  <c r="Z72" i="11"/>
  <c r="Z72" i="9"/>
  <c r="Z72" i="8"/>
  <c r="J68" i="12"/>
  <c r="J68" i="11"/>
  <c r="J68" i="9"/>
  <c r="J68" i="8"/>
  <c r="C100" i="12"/>
  <c r="C100" i="11"/>
  <c r="C100" i="9"/>
  <c r="C100" i="8"/>
  <c r="O122" i="12"/>
  <c r="O122" i="11"/>
  <c r="O122" i="9"/>
  <c r="O122" i="8"/>
  <c r="AB117" i="12"/>
  <c r="AB117" i="11"/>
  <c r="AB117" i="9"/>
  <c r="AB117" i="8"/>
  <c r="AC112" i="12"/>
  <c r="AC112" i="11"/>
  <c r="AC112" i="9"/>
  <c r="AC112" i="8"/>
  <c r="R107" i="12"/>
  <c r="R107" i="11"/>
  <c r="R107" i="9"/>
  <c r="R107" i="8"/>
  <c r="AE102" i="12"/>
  <c r="AE102" i="11"/>
  <c r="AE102" i="9"/>
  <c r="AE102" i="8"/>
  <c r="O98" i="12"/>
  <c r="O98" i="11"/>
  <c r="O98" i="9"/>
  <c r="O98" i="8"/>
  <c r="C38" i="12"/>
  <c r="C38" i="11"/>
  <c r="X58" i="8"/>
  <c r="X58" i="12"/>
  <c r="X58" i="11"/>
  <c r="X58" i="9"/>
  <c r="H54" i="12"/>
  <c r="H54" i="8"/>
  <c r="H54" i="11"/>
  <c r="H54" i="9"/>
  <c r="D50" i="12"/>
  <c r="D50" i="8"/>
  <c r="D50" i="11"/>
  <c r="D50" i="9"/>
  <c r="L46" i="8"/>
  <c r="L46" i="12"/>
  <c r="L46" i="11"/>
  <c r="L46" i="9"/>
  <c r="AD40" i="12"/>
  <c r="AD40" i="8"/>
  <c r="AD40" i="11"/>
  <c r="AD40" i="9"/>
  <c r="AE35" i="12"/>
  <c r="AE35" i="8"/>
  <c r="AE35" i="11"/>
  <c r="AE35" i="9"/>
  <c r="D93" i="12"/>
  <c r="D93" i="11"/>
  <c r="D93" i="9"/>
  <c r="D93" i="8"/>
  <c r="L89" i="12"/>
  <c r="L89" i="11"/>
  <c r="L89" i="9"/>
  <c r="L89" i="8"/>
  <c r="Y84" i="12"/>
  <c r="Y84" i="11"/>
  <c r="Y84" i="9"/>
  <c r="Y84" i="8"/>
  <c r="N79" i="12"/>
  <c r="N79" i="11"/>
  <c r="N79" i="9"/>
  <c r="N79" i="8"/>
  <c r="E76" i="12"/>
  <c r="E76" i="11"/>
  <c r="E76" i="9"/>
  <c r="E76" i="8"/>
  <c r="AB69" i="12"/>
  <c r="AB69" i="11"/>
  <c r="AB69" i="9"/>
  <c r="AB69" i="8"/>
  <c r="L65" i="12"/>
  <c r="L65" i="11"/>
  <c r="L65" i="9"/>
  <c r="L65" i="8"/>
  <c r="I123" i="12"/>
  <c r="I123" i="11"/>
  <c r="I123" i="9"/>
  <c r="I123" i="8"/>
  <c r="E119" i="12"/>
  <c r="E119" i="11"/>
  <c r="E119" i="9"/>
  <c r="E119" i="8"/>
  <c r="F114" i="12"/>
  <c r="F114" i="11"/>
  <c r="F114" i="8"/>
  <c r="F114" i="9"/>
  <c r="AC107" i="12"/>
  <c r="AC107" i="11"/>
  <c r="AC107" i="9"/>
  <c r="AC107" i="8"/>
  <c r="Y103" i="12"/>
  <c r="Y103" i="11"/>
  <c r="Y103" i="9"/>
  <c r="Y103" i="8"/>
  <c r="N98" i="12"/>
  <c r="N98" i="11"/>
  <c r="N98" i="9"/>
  <c r="N98" i="8"/>
  <c r="C60" i="12"/>
  <c r="C60" i="11"/>
  <c r="AE61" i="12"/>
  <c r="AE61" i="8"/>
  <c r="AE61" i="11"/>
  <c r="AE61" i="9"/>
  <c r="AA57" i="12"/>
  <c r="AA57" i="8"/>
  <c r="AA57" i="11"/>
  <c r="AA57" i="9"/>
  <c r="C58" i="12"/>
  <c r="C58" i="11"/>
  <c r="C46" i="12"/>
  <c r="C46" i="11"/>
  <c r="AE63" i="8"/>
  <c r="AE63" i="12"/>
  <c r="AE63" i="11"/>
  <c r="AE63" i="9"/>
  <c r="S63" i="8"/>
  <c r="S63" i="11"/>
  <c r="S63" i="12"/>
  <c r="S63" i="9"/>
  <c r="G63" i="8"/>
  <c r="G63" i="12"/>
  <c r="G63" i="11"/>
  <c r="G63" i="9"/>
  <c r="X62" i="8"/>
  <c r="X62" i="12"/>
  <c r="X62" i="11"/>
  <c r="X62" i="9"/>
  <c r="L62" i="8"/>
  <c r="L62" i="12"/>
  <c r="L62" i="11"/>
  <c r="L62" i="9"/>
  <c r="AC61" i="8"/>
  <c r="AC61" i="12"/>
  <c r="AC61" i="11"/>
  <c r="AC61" i="9"/>
  <c r="Q61" i="8"/>
  <c r="Q61" i="12"/>
  <c r="Q61" i="11"/>
  <c r="Q61" i="9"/>
  <c r="E61" i="8"/>
  <c r="E61" i="12"/>
  <c r="E61" i="11"/>
  <c r="E61" i="9"/>
  <c r="V60" i="8"/>
  <c r="V60" i="12"/>
  <c r="V60" i="11"/>
  <c r="V60" i="9"/>
  <c r="J60" i="8"/>
  <c r="J60" i="12"/>
  <c r="J60" i="11"/>
  <c r="J60" i="9"/>
  <c r="AA59" i="12"/>
  <c r="AA59" i="8"/>
  <c r="AA59" i="11"/>
  <c r="AA59" i="9"/>
  <c r="O59" i="12"/>
  <c r="O59" i="8"/>
  <c r="O59" i="11"/>
  <c r="O59" i="9"/>
  <c r="AF58" i="8"/>
  <c r="AF58" i="12"/>
  <c r="AF58" i="11"/>
  <c r="AF58" i="9"/>
  <c r="T58" i="8"/>
  <c r="T58" i="12"/>
  <c r="T58" i="11"/>
  <c r="T58" i="9"/>
  <c r="H58" i="8"/>
  <c r="H58" i="12"/>
  <c r="H58" i="11"/>
  <c r="H58" i="9"/>
  <c r="Y57" i="8"/>
  <c r="Y57" i="12"/>
  <c r="Y57" i="11"/>
  <c r="Y57" i="9"/>
  <c r="M57" i="8"/>
  <c r="M57" i="12"/>
  <c r="M57" i="11"/>
  <c r="M57" i="9"/>
  <c r="AD56" i="8"/>
  <c r="AD56" i="12"/>
  <c r="AD56" i="11"/>
  <c r="AD56" i="9"/>
  <c r="R56" i="8"/>
  <c r="R56" i="12"/>
  <c r="R56" i="11"/>
  <c r="R56" i="9"/>
  <c r="F56" i="8"/>
  <c r="F56" i="12"/>
  <c r="F56" i="11"/>
  <c r="F56" i="9"/>
  <c r="W55" i="8"/>
  <c r="W55" i="12"/>
  <c r="W55" i="11"/>
  <c r="W55" i="9"/>
  <c r="K55" i="8"/>
  <c r="K55" i="12"/>
  <c r="K55" i="11"/>
  <c r="K55" i="9"/>
  <c r="AB54" i="8"/>
  <c r="AB54" i="12"/>
  <c r="AB54" i="11"/>
  <c r="AB54" i="9"/>
  <c r="P54" i="8"/>
  <c r="P54" i="12"/>
  <c r="P54" i="11"/>
  <c r="P54" i="9"/>
  <c r="D54" i="8"/>
  <c r="D54" i="12"/>
  <c r="D54" i="11"/>
  <c r="D54" i="9"/>
  <c r="U53" i="8"/>
  <c r="U53" i="11"/>
  <c r="U53" i="12"/>
  <c r="U53" i="9"/>
  <c r="I53" i="8"/>
  <c r="I53" i="12"/>
  <c r="I53" i="11"/>
  <c r="I53" i="9"/>
  <c r="Z52" i="8"/>
  <c r="Z52" i="12"/>
  <c r="Z52" i="11"/>
  <c r="Z52" i="9"/>
  <c r="N52" i="8"/>
  <c r="N52" i="12"/>
  <c r="N52" i="11"/>
  <c r="N52" i="9"/>
  <c r="AE51" i="8"/>
  <c r="AE51" i="12"/>
  <c r="AE51" i="11"/>
  <c r="AE51" i="9"/>
  <c r="S51" i="8"/>
  <c r="S51" i="12"/>
  <c r="S51" i="11"/>
  <c r="S51" i="9"/>
  <c r="G51" i="8"/>
  <c r="G51" i="12"/>
  <c r="G51" i="11"/>
  <c r="G51" i="9"/>
  <c r="X50" i="8"/>
  <c r="X50" i="12"/>
  <c r="X50" i="11"/>
  <c r="X50" i="9"/>
  <c r="L50" i="8"/>
  <c r="L50" i="12"/>
  <c r="L50" i="11"/>
  <c r="L50" i="9"/>
  <c r="AC49" i="8"/>
  <c r="AC49" i="12"/>
  <c r="AC49" i="11"/>
  <c r="AC49" i="9"/>
  <c r="Q49" i="8"/>
  <c r="Q49" i="12"/>
  <c r="Q49" i="11"/>
  <c r="Q49" i="9"/>
  <c r="E49" i="8"/>
  <c r="E49" i="12"/>
  <c r="E49" i="11"/>
  <c r="E49" i="9"/>
  <c r="V48" i="8"/>
  <c r="V48" i="12"/>
  <c r="V48" i="11"/>
  <c r="V48" i="9"/>
  <c r="J48" i="8"/>
  <c r="J48" i="12"/>
  <c r="J48" i="11"/>
  <c r="J48" i="9"/>
  <c r="AA47" i="12"/>
  <c r="AA47" i="11"/>
  <c r="AA47" i="8"/>
  <c r="AA47" i="9"/>
  <c r="O47" i="12"/>
  <c r="O47" i="8"/>
  <c r="O47" i="11"/>
  <c r="O47" i="9"/>
  <c r="AF46" i="8"/>
  <c r="AF46" i="12"/>
  <c r="AF46" i="11"/>
  <c r="AF46" i="9"/>
  <c r="T46" i="8"/>
  <c r="T46" i="12"/>
  <c r="T46" i="11"/>
  <c r="T46" i="9"/>
  <c r="H46" i="8"/>
  <c r="H46" i="12"/>
  <c r="H46" i="11"/>
  <c r="H46" i="9"/>
  <c r="Y45" i="8"/>
  <c r="Y45" i="12"/>
  <c r="Y45" i="11"/>
  <c r="Y45" i="9"/>
  <c r="M45" i="8"/>
  <c r="M45" i="12"/>
  <c r="M45" i="11"/>
  <c r="M45" i="9"/>
  <c r="AD44" i="8"/>
  <c r="AD44" i="12"/>
  <c r="AD44" i="11"/>
  <c r="AD44" i="9"/>
  <c r="R44" i="8"/>
  <c r="R44" i="12"/>
  <c r="R44" i="11"/>
  <c r="R44" i="9"/>
  <c r="F44" i="8"/>
  <c r="F44" i="12"/>
  <c r="F44" i="11"/>
  <c r="F44" i="9"/>
  <c r="W43" i="8"/>
  <c r="W43" i="12"/>
  <c r="W43" i="11"/>
  <c r="W43" i="9"/>
  <c r="K43" i="8"/>
  <c r="K43" i="12"/>
  <c r="K43" i="11"/>
  <c r="K43" i="9"/>
  <c r="AB42" i="8"/>
  <c r="AB42" i="12"/>
  <c r="AB42" i="11"/>
  <c r="AB42" i="9"/>
  <c r="P42" i="8"/>
  <c r="P42" i="12"/>
  <c r="P42" i="11"/>
  <c r="P42" i="9"/>
  <c r="D42" i="8"/>
  <c r="D42" i="12"/>
  <c r="D42" i="11"/>
  <c r="D42" i="9"/>
  <c r="U41" i="8"/>
  <c r="U41" i="12"/>
  <c r="U41" i="11"/>
  <c r="U41" i="9"/>
  <c r="I41" i="8"/>
  <c r="I41" i="12"/>
  <c r="I41" i="11"/>
  <c r="I41" i="9"/>
  <c r="Z40" i="8"/>
  <c r="Z40" i="12"/>
  <c r="Z40" i="11"/>
  <c r="Z40" i="9"/>
  <c r="N40" i="8"/>
  <c r="N40" i="12"/>
  <c r="N40" i="11"/>
  <c r="N40" i="9"/>
  <c r="AE39" i="8"/>
  <c r="AE39" i="12"/>
  <c r="AE39" i="11"/>
  <c r="AE39" i="9"/>
  <c r="S39" i="12"/>
  <c r="S39" i="8"/>
  <c r="S39" i="11"/>
  <c r="S39" i="9"/>
  <c r="G39" i="12"/>
  <c r="G39" i="8"/>
  <c r="G39" i="11"/>
  <c r="G39" i="9"/>
  <c r="X38" i="12"/>
  <c r="X38" i="8"/>
  <c r="X38" i="11"/>
  <c r="X38" i="9"/>
  <c r="L38" i="12"/>
  <c r="L38" i="8"/>
  <c r="L38" i="11"/>
  <c r="L38" i="9"/>
  <c r="AC37" i="12"/>
  <c r="AC37" i="8"/>
  <c r="AC37" i="11"/>
  <c r="AC37" i="9"/>
  <c r="Q37" i="12"/>
  <c r="Q37" i="8"/>
  <c r="Q37" i="11"/>
  <c r="Q37" i="9"/>
  <c r="E37" i="12"/>
  <c r="E37" i="8"/>
  <c r="E37" i="11"/>
  <c r="E37" i="9"/>
  <c r="V36" i="12"/>
  <c r="V36" i="8"/>
  <c r="V36" i="11"/>
  <c r="V36" i="9"/>
  <c r="J36" i="12"/>
  <c r="J36" i="8"/>
  <c r="J36" i="11"/>
  <c r="J36" i="9"/>
  <c r="AA35" i="12"/>
  <c r="AA35" i="8"/>
  <c r="AA35" i="11"/>
  <c r="AA35" i="9"/>
  <c r="O35" i="12"/>
  <c r="O35" i="8"/>
  <c r="O35" i="11"/>
  <c r="O35" i="9"/>
  <c r="AF34" i="12"/>
  <c r="AF34" i="8"/>
  <c r="AF34" i="11"/>
  <c r="AF34" i="9"/>
  <c r="T34" i="12"/>
  <c r="T34" i="8"/>
  <c r="T34" i="11"/>
  <c r="T34" i="9"/>
  <c r="H34" i="12"/>
  <c r="H34" i="8"/>
  <c r="H34" i="11"/>
  <c r="H34" i="9"/>
  <c r="C88" i="12"/>
  <c r="C88" i="11"/>
  <c r="C88" i="9"/>
  <c r="C88" i="8"/>
  <c r="C76" i="12"/>
  <c r="C76" i="11"/>
  <c r="C76" i="9"/>
  <c r="C76" i="8"/>
  <c r="AE94" i="12"/>
  <c r="AE94" i="11"/>
  <c r="AE94" i="9"/>
  <c r="AE94" i="8"/>
  <c r="S94" i="12"/>
  <c r="S94" i="11"/>
  <c r="S94" i="9"/>
  <c r="S94" i="8"/>
  <c r="G94" i="12"/>
  <c r="G94" i="11"/>
  <c r="G94" i="9"/>
  <c r="G94" i="8"/>
  <c r="X93" i="12"/>
  <c r="X93" i="11"/>
  <c r="X93" i="9"/>
  <c r="X93" i="8"/>
  <c r="L93" i="12"/>
  <c r="L93" i="11"/>
  <c r="L93" i="9"/>
  <c r="L93" i="8"/>
  <c r="AC92" i="12"/>
  <c r="AC92" i="11"/>
  <c r="AC92" i="9"/>
  <c r="AC92" i="8"/>
  <c r="Q92" i="12"/>
  <c r="Q92" i="11"/>
  <c r="Q92" i="9"/>
  <c r="Q92" i="8"/>
  <c r="E92" i="12"/>
  <c r="E92" i="11"/>
  <c r="E92" i="9"/>
  <c r="E92" i="8"/>
  <c r="V91" i="12"/>
  <c r="V91" i="11"/>
  <c r="V91" i="9"/>
  <c r="V91" i="8"/>
  <c r="J91" i="12"/>
  <c r="J91" i="11"/>
  <c r="J91" i="9"/>
  <c r="J91" i="8"/>
  <c r="AA90" i="12"/>
  <c r="AA90" i="11"/>
  <c r="AA90" i="9"/>
  <c r="AA90" i="8"/>
  <c r="O90" i="12"/>
  <c r="O90" i="11"/>
  <c r="O90" i="9"/>
  <c r="O90" i="8"/>
  <c r="AF89" i="12"/>
  <c r="AF89" i="11"/>
  <c r="AF89" i="9"/>
  <c r="AF89" i="8"/>
  <c r="T89" i="12"/>
  <c r="T89" i="11"/>
  <c r="T89" i="9"/>
  <c r="T89" i="8"/>
  <c r="H89" i="12"/>
  <c r="H89" i="11"/>
  <c r="H89" i="9"/>
  <c r="H89" i="8"/>
  <c r="Y88" i="12"/>
  <c r="Y88" i="11"/>
  <c r="Y88" i="9"/>
  <c r="Y88" i="8"/>
  <c r="M88" i="12"/>
  <c r="M88" i="11"/>
  <c r="M88" i="9"/>
  <c r="M88" i="8"/>
  <c r="AD87" i="12"/>
  <c r="AD87" i="11"/>
  <c r="AD87" i="9"/>
  <c r="AD87" i="8"/>
  <c r="R87" i="12"/>
  <c r="R87" i="11"/>
  <c r="R87" i="9"/>
  <c r="R87" i="8"/>
  <c r="F87" i="12"/>
  <c r="F87" i="11"/>
  <c r="F87" i="9"/>
  <c r="F87" i="8"/>
  <c r="W86" i="12"/>
  <c r="W86" i="11"/>
  <c r="W86" i="9"/>
  <c r="W86" i="8"/>
  <c r="K86" i="12"/>
  <c r="K86" i="11"/>
  <c r="K86" i="9"/>
  <c r="K86" i="8"/>
  <c r="AB85" i="12"/>
  <c r="AB85" i="11"/>
  <c r="AB85" i="9"/>
  <c r="AB85" i="8"/>
  <c r="P85" i="12"/>
  <c r="P85" i="11"/>
  <c r="P85" i="9"/>
  <c r="P85" i="8"/>
  <c r="D85" i="12"/>
  <c r="D85" i="11"/>
  <c r="D85" i="9"/>
  <c r="D85" i="8"/>
  <c r="U84" i="12"/>
  <c r="U84" i="11"/>
  <c r="U84" i="9"/>
  <c r="U84" i="8"/>
  <c r="I84" i="12"/>
  <c r="I84" i="11"/>
  <c r="I84" i="9"/>
  <c r="I84" i="8"/>
  <c r="Z83" i="12"/>
  <c r="Z83" i="11"/>
  <c r="Z83" i="9"/>
  <c r="Z83" i="8"/>
  <c r="N83" i="12"/>
  <c r="N83" i="11"/>
  <c r="N83" i="9"/>
  <c r="N83" i="8"/>
  <c r="AE82" i="12"/>
  <c r="AE82" i="11"/>
  <c r="AE82" i="9"/>
  <c r="AE82" i="8"/>
  <c r="S82" i="12"/>
  <c r="S82" i="11"/>
  <c r="S82" i="9"/>
  <c r="S82" i="8"/>
  <c r="G82" i="12"/>
  <c r="G82" i="11"/>
  <c r="G82" i="9"/>
  <c r="G82" i="8"/>
  <c r="X81" i="12"/>
  <c r="X81" i="11"/>
  <c r="X81" i="9"/>
  <c r="X81" i="8"/>
  <c r="L81" i="12"/>
  <c r="L81" i="11"/>
  <c r="L81" i="9"/>
  <c r="L81" i="8"/>
  <c r="AC80" i="12"/>
  <c r="AC80" i="11"/>
  <c r="AC80" i="9"/>
  <c r="AC80" i="8"/>
  <c r="Q80" i="12"/>
  <c r="Q80" i="11"/>
  <c r="Q80" i="9"/>
  <c r="Q80" i="8"/>
  <c r="E80" i="12"/>
  <c r="E80" i="11"/>
  <c r="E80" i="9"/>
  <c r="E80" i="8"/>
  <c r="V79" i="12"/>
  <c r="V79" i="11"/>
  <c r="V79" i="9"/>
  <c r="V79" i="8"/>
  <c r="J79" i="12"/>
  <c r="J79" i="11"/>
  <c r="J79" i="9"/>
  <c r="J79" i="8"/>
  <c r="AA78" i="12"/>
  <c r="AA78" i="11"/>
  <c r="AA78" i="9"/>
  <c r="AA78" i="8"/>
  <c r="O78" i="12"/>
  <c r="O78" i="11"/>
  <c r="O78" i="9"/>
  <c r="O78" i="8"/>
  <c r="AF77" i="12"/>
  <c r="AF77" i="11"/>
  <c r="AF77" i="9"/>
  <c r="AF77" i="8"/>
  <c r="T77" i="12"/>
  <c r="T77" i="11"/>
  <c r="T77" i="9"/>
  <c r="T77" i="8"/>
  <c r="H77" i="12"/>
  <c r="H77" i="11"/>
  <c r="H77" i="9"/>
  <c r="H77" i="8"/>
  <c r="Y76" i="12"/>
  <c r="Y76" i="11"/>
  <c r="Y76" i="9"/>
  <c r="Y76" i="8"/>
  <c r="M76" i="12"/>
  <c r="M76" i="11"/>
  <c r="M76" i="9"/>
  <c r="M76" i="8"/>
  <c r="AD75" i="12"/>
  <c r="AD75" i="11"/>
  <c r="AD75" i="9"/>
  <c r="AD75" i="8"/>
  <c r="R75" i="12"/>
  <c r="R75" i="11"/>
  <c r="R75" i="9"/>
  <c r="R75" i="8"/>
  <c r="F75" i="12"/>
  <c r="F75" i="11"/>
  <c r="F75" i="9"/>
  <c r="F75" i="8"/>
  <c r="W74" i="12"/>
  <c r="W74" i="11"/>
  <c r="W74" i="9"/>
  <c r="W74" i="8"/>
  <c r="K74" i="12"/>
  <c r="K74" i="11"/>
  <c r="K74" i="9"/>
  <c r="K74" i="8"/>
  <c r="AB73" i="12"/>
  <c r="AB73" i="11"/>
  <c r="AB73" i="9"/>
  <c r="AB73" i="8"/>
  <c r="P73" i="12"/>
  <c r="P73" i="11"/>
  <c r="P73" i="9"/>
  <c r="P73" i="8"/>
  <c r="D73" i="12"/>
  <c r="D73" i="11"/>
  <c r="D73" i="9"/>
  <c r="D73" i="8"/>
  <c r="U72" i="12"/>
  <c r="U72" i="11"/>
  <c r="U72" i="9"/>
  <c r="U72" i="8"/>
  <c r="I72" i="12"/>
  <c r="I72" i="11"/>
  <c r="I72" i="9"/>
  <c r="I72" i="8"/>
  <c r="Z71" i="12"/>
  <c r="Z71" i="11"/>
  <c r="Z71" i="9"/>
  <c r="Z71" i="8"/>
  <c r="N71" i="12"/>
  <c r="N71" i="11"/>
  <c r="N71" i="9"/>
  <c r="N71" i="8"/>
  <c r="AE70" i="12"/>
  <c r="AE70" i="11"/>
  <c r="AE70" i="9"/>
  <c r="AE70" i="8"/>
  <c r="S70" i="12"/>
  <c r="S70" i="11"/>
  <c r="S70" i="9"/>
  <c r="S70" i="8"/>
  <c r="G70" i="12"/>
  <c r="G70" i="11"/>
  <c r="G70" i="9"/>
  <c r="G70" i="8"/>
  <c r="X69" i="12"/>
  <c r="X69" i="11"/>
  <c r="X69" i="9"/>
  <c r="X69" i="8"/>
  <c r="L69" i="12"/>
  <c r="L69" i="11"/>
  <c r="L69" i="9"/>
  <c r="L69" i="8"/>
  <c r="AC68" i="12"/>
  <c r="AC68" i="11"/>
  <c r="AC68" i="9"/>
  <c r="AC68" i="8"/>
  <c r="Q68" i="12"/>
  <c r="Q68" i="11"/>
  <c r="Q68" i="9"/>
  <c r="Q68" i="8"/>
  <c r="E68" i="12"/>
  <c r="E68" i="11"/>
  <c r="E68" i="9"/>
  <c r="E68" i="8"/>
  <c r="V67" i="12"/>
  <c r="V67" i="11"/>
  <c r="V67" i="9"/>
  <c r="V67" i="8"/>
  <c r="J67" i="12"/>
  <c r="J67" i="11"/>
  <c r="J67" i="9"/>
  <c r="J67" i="8"/>
  <c r="AA66" i="12"/>
  <c r="AA66" i="11"/>
  <c r="AA66" i="9"/>
  <c r="AA66" i="8"/>
  <c r="O66" i="12"/>
  <c r="O66" i="11"/>
  <c r="O66" i="9"/>
  <c r="O66" i="8"/>
  <c r="AF65" i="12"/>
  <c r="AF65" i="11"/>
  <c r="AF65" i="9"/>
  <c r="AF65" i="8"/>
  <c r="T65" i="12"/>
  <c r="T65" i="11"/>
  <c r="T65" i="9"/>
  <c r="T65" i="8"/>
  <c r="H65" i="12"/>
  <c r="H65" i="11"/>
  <c r="H65" i="9"/>
  <c r="H65" i="8"/>
  <c r="C119" i="12"/>
  <c r="C119" i="11"/>
  <c r="C119" i="9"/>
  <c r="C119" i="8"/>
  <c r="C107" i="12"/>
  <c r="C107" i="11"/>
  <c r="C107" i="9"/>
  <c r="C107" i="8"/>
  <c r="AE125" i="12"/>
  <c r="AE125" i="11"/>
  <c r="AE125" i="9"/>
  <c r="AE125" i="8"/>
  <c r="S125" i="12"/>
  <c r="S125" i="11"/>
  <c r="S125" i="9"/>
  <c r="S125" i="8"/>
  <c r="G125" i="12"/>
  <c r="G125" i="11"/>
  <c r="G125" i="9"/>
  <c r="G125" i="8"/>
  <c r="X124" i="12"/>
  <c r="X124" i="11"/>
  <c r="X124" i="9"/>
  <c r="X124" i="8"/>
  <c r="L124" i="12"/>
  <c r="L124" i="11"/>
  <c r="L124" i="9"/>
  <c r="L124" i="8"/>
  <c r="AC123" i="12"/>
  <c r="AC123" i="11"/>
  <c r="AC123" i="9"/>
  <c r="AC123" i="8"/>
  <c r="Q123" i="12"/>
  <c r="Q123" i="11"/>
  <c r="Q123" i="9"/>
  <c r="Q123" i="8"/>
  <c r="E123" i="12"/>
  <c r="E123" i="11"/>
  <c r="E123" i="9"/>
  <c r="E123" i="8"/>
  <c r="V122" i="12"/>
  <c r="V122" i="11"/>
  <c r="V122" i="9"/>
  <c r="V122" i="8"/>
  <c r="J122" i="12"/>
  <c r="J122" i="11"/>
  <c r="J122" i="9"/>
  <c r="J122" i="8"/>
  <c r="AA121" i="12"/>
  <c r="AA121" i="11"/>
  <c r="AA121" i="9"/>
  <c r="AA121" i="8"/>
  <c r="O121" i="12"/>
  <c r="O121" i="11"/>
  <c r="O121" i="9"/>
  <c r="O121" i="8"/>
  <c r="AF120" i="12"/>
  <c r="AF120" i="11"/>
  <c r="AF120" i="9"/>
  <c r="AF120" i="8"/>
  <c r="T120" i="12"/>
  <c r="T120" i="11"/>
  <c r="T120" i="9"/>
  <c r="T120" i="8"/>
  <c r="H120" i="12"/>
  <c r="H120" i="11"/>
  <c r="H120" i="9"/>
  <c r="H120" i="8"/>
  <c r="Y119" i="12"/>
  <c r="Y119" i="11"/>
  <c r="Y119" i="9"/>
  <c r="Y119" i="8"/>
  <c r="M119" i="12"/>
  <c r="M119" i="11"/>
  <c r="M119" i="9"/>
  <c r="M119" i="8"/>
  <c r="AD118" i="12"/>
  <c r="AD118" i="11"/>
  <c r="AD118" i="9"/>
  <c r="AD118" i="8"/>
  <c r="R118" i="12"/>
  <c r="R118" i="11"/>
  <c r="R118" i="9"/>
  <c r="R118" i="8"/>
  <c r="F118" i="12"/>
  <c r="F118" i="11"/>
  <c r="F118" i="9"/>
  <c r="F118" i="8"/>
  <c r="W117" i="12"/>
  <c r="W117" i="11"/>
  <c r="W117" i="9"/>
  <c r="W117" i="8"/>
  <c r="K117" i="12"/>
  <c r="K117" i="11"/>
  <c r="K117" i="9"/>
  <c r="K117" i="8"/>
  <c r="AB116" i="12"/>
  <c r="AB116" i="11"/>
  <c r="AB116" i="9"/>
  <c r="AB116" i="8"/>
  <c r="P116" i="12"/>
  <c r="P116" i="11"/>
  <c r="P116" i="9"/>
  <c r="P116" i="8"/>
  <c r="D116" i="12"/>
  <c r="D116" i="11"/>
  <c r="D116" i="9"/>
  <c r="D116" i="8"/>
  <c r="U115" i="12"/>
  <c r="U115" i="11"/>
  <c r="U115" i="9"/>
  <c r="U115" i="8"/>
  <c r="I115" i="12"/>
  <c r="I115" i="11"/>
  <c r="I115" i="9"/>
  <c r="I115" i="8"/>
  <c r="Z114" i="12"/>
  <c r="Z114" i="11"/>
  <c r="Z114" i="9"/>
  <c r="Z114" i="8"/>
  <c r="N114" i="12"/>
  <c r="N114" i="11"/>
  <c r="N114" i="9"/>
  <c r="N114" i="8"/>
  <c r="AE113" i="12"/>
  <c r="AE113" i="11"/>
  <c r="AE113" i="9"/>
  <c r="AE113" i="8"/>
  <c r="S113" i="12"/>
  <c r="S113" i="11"/>
  <c r="S113" i="9"/>
  <c r="S113" i="8"/>
  <c r="G113" i="12"/>
  <c r="G113" i="11"/>
  <c r="G113" i="9"/>
  <c r="G113" i="8"/>
  <c r="X112" i="12"/>
  <c r="X112" i="11"/>
  <c r="X112" i="9"/>
  <c r="X112" i="8"/>
  <c r="L112" i="12"/>
  <c r="L112" i="11"/>
  <c r="L112" i="9"/>
  <c r="L112" i="8"/>
  <c r="AC111" i="12"/>
  <c r="AC111" i="11"/>
  <c r="AC111" i="9"/>
  <c r="AC111" i="8"/>
  <c r="Q111" i="12"/>
  <c r="Q111" i="11"/>
  <c r="Q111" i="9"/>
  <c r="Q111" i="8"/>
  <c r="E111" i="12"/>
  <c r="E111" i="11"/>
  <c r="E111" i="9"/>
  <c r="E111" i="8"/>
  <c r="V110" i="12"/>
  <c r="V110" i="11"/>
  <c r="V110" i="9"/>
  <c r="V110" i="8"/>
  <c r="J110" i="12"/>
  <c r="J110" i="11"/>
  <c r="J110" i="9"/>
  <c r="J110" i="8"/>
  <c r="AA109" i="12"/>
  <c r="AA109" i="11"/>
  <c r="AA109" i="9"/>
  <c r="AA109" i="8"/>
  <c r="O109" i="12"/>
  <c r="O109" i="11"/>
  <c r="O109" i="9"/>
  <c r="O109" i="8"/>
  <c r="AF108" i="12"/>
  <c r="AF108" i="11"/>
  <c r="AF108" i="9"/>
  <c r="AF108" i="8"/>
  <c r="T108" i="12"/>
  <c r="T108" i="11"/>
  <c r="T108" i="9"/>
  <c r="T108" i="8"/>
  <c r="H108" i="12"/>
  <c r="H108" i="11"/>
  <c r="H108" i="9"/>
  <c r="H108" i="8"/>
  <c r="Y107" i="12"/>
  <c r="Y107" i="11"/>
  <c r="Y107" i="9"/>
  <c r="Y107" i="8"/>
  <c r="M107" i="12"/>
  <c r="M107" i="11"/>
  <c r="M107" i="9"/>
  <c r="M107" i="8"/>
  <c r="AD106" i="12"/>
  <c r="AD106" i="11"/>
  <c r="AD106" i="9"/>
  <c r="AD106" i="8"/>
  <c r="R106" i="12"/>
  <c r="R106" i="11"/>
  <c r="R106" i="9"/>
  <c r="R106" i="8"/>
  <c r="F106" i="12"/>
  <c r="F106" i="11"/>
  <c r="F106" i="9"/>
  <c r="F106" i="8"/>
  <c r="W105" i="12"/>
  <c r="W105" i="11"/>
  <c r="W105" i="9"/>
  <c r="W105" i="8"/>
  <c r="K105" i="12"/>
  <c r="K105" i="11"/>
  <c r="K105" i="9"/>
  <c r="K105" i="8"/>
  <c r="AB104" i="12"/>
  <c r="AB104" i="11"/>
  <c r="AB104" i="9"/>
  <c r="AB104" i="8"/>
  <c r="P104" i="12"/>
  <c r="P104" i="11"/>
  <c r="P104" i="9"/>
  <c r="P104" i="8"/>
  <c r="D104" i="12"/>
  <c r="D104" i="11"/>
  <c r="D104" i="9"/>
  <c r="D104" i="8"/>
  <c r="U103" i="12"/>
  <c r="U103" i="11"/>
  <c r="U103" i="9"/>
  <c r="U103" i="8"/>
  <c r="I103" i="12"/>
  <c r="I103" i="11"/>
  <c r="I103" i="9"/>
  <c r="I103" i="8"/>
  <c r="Z102" i="12"/>
  <c r="Z102" i="11"/>
  <c r="Z102" i="9"/>
  <c r="Z102" i="8"/>
  <c r="N102" i="12"/>
  <c r="N102" i="11"/>
  <c r="N102" i="9"/>
  <c r="N102" i="8"/>
  <c r="AE101" i="12"/>
  <c r="AE101" i="11"/>
  <c r="AE101" i="9"/>
  <c r="AE101" i="8"/>
  <c r="S101" i="12"/>
  <c r="S101" i="11"/>
  <c r="S101" i="9"/>
  <c r="S101" i="8"/>
  <c r="G101" i="12"/>
  <c r="G101" i="11"/>
  <c r="G101" i="9"/>
  <c r="G101" i="8"/>
  <c r="X100" i="12"/>
  <c r="X100" i="11"/>
  <c r="X100" i="9"/>
  <c r="X100" i="8"/>
  <c r="L100" i="12"/>
  <c r="L100" i="11"/>
  <c r="L100" i="9"/>
  <c r="L100" i="8"/>
  <c r="AC99" i="12"/>
  <c r="AC99" i="11"/>
  <c r="AC99" i="9"/>
  <c r="AC99" i="8"/>
  <c r="Q99" i="12"/>
  <c r="Q99" i="11"/>
  <c r="Q99" i="9"/>
  <c r="Q99" i="8"/>
  <c r="E99" i="12"/>
  <c r="E99" i="11"/>
  <c r="E99" i="9"/>
  <c r="E99" i="8"/>
  <c r="V98" i="12"/>
  <c r="V98" i="11"/>
  <c r="V98" i="9"/>
  <c r="V98" i="8"/>
  <c r="J98" i="12"/>
  <c r="J98" i="11"/>
  <c r="J98" i="9"/>
  <c r="J98" i="8"/>
  <c r="AA97" i="12"/>
  <c r="AA97" i="11"/>
  <c r="AA97" i="9"/>
  <c r="AA97" i="8"/>
  <c r="O97" i="12"/>
  <c r="O97" i="11"/>
  <c r="O97" i="9"/>
  <c r="O97" i="8"/>
  <c r="AF96" i="12"/>
  <c r="AF96" i="11"/>
  <c r="AF96" i="9"/>
  <c r="AF96" i="8"/>
  <c r="T96" i="12"/>
  <c r="T96" i="11"/>
  <c r="T96" i="9"/>
  <c r="T96" i="8"/>
  <c r="H96" i="12"/>
  <c r="H96" i="11"/>
  <c r="H96" i="9"/>
  <c r="H96" i="8"/>
  <c r="C39" i="12"/>
  <c r="C39" i="11"/>
  <c r="AF59" i="12"/>
  <c r="AF59" i="8"/>
  <c r="AF59" i="11"/>
  <c r="AF59" i="9"/>
  <c r="AB55" i="12"/>
  <c r="AB55" i="8"/>
  <c r="AB55" i="11"/>
  <c r="AB55" i="9"/>
  <c r="G52" i="12"/>
  <c r="G52" i="8"/>
  <c r="G52" i="11"/>
  <c r="G52" i="9"/>
  <c r="AF47" i="12"/>
  <c r="AF47" i="8"/>
  <c r="AF47" i="11"/>
  <c r="AF47" i="9"/>
  <c r="F45" i="8"/>
  <c r="F45" i="12"/>
  <c r="F45" i="11"/>
  <c r="F45" i="9"/>
  <c r="N41" i="12"/>
  <c r="N41" i="8"/>
  <c r="N41" i="11"/>
  <c r="N41" i="9"/>
  <c r="AA36" i="12"/>
  <c r="AA36" i="8"/>
  <c r="AA36" i="11"/>
  <c r="AA36" i="9"/>
  <c r="X94" i="12"/>
  <c r="X94" i="11"/>
  <c r="X94" i="9"/>
  <c r="X94" i="8"/>
  <c r="T90" i="12"/>
  <c r="T90" i="11"/>
  <c r="T90" i="9"/>
  <c r="T90" i="8"/>
  <c r="AB86" i="12"/>
  <c r="AB86" i="11"/>
  <c r="AB86" i="9"/>
  <c r="AB86" i="8"/>
  <c r="S83" i="12"/>
  <c r="S83" i="11"/>
  <c r="S83" i="9"/>
  <c r="S83" i="8"/>
  <c r="J80" i="12"/>
  <c r="J80" i="11"/>
  <c r="J80" i="9"/>
  <c r="J80" i="8"/>
  <c r="W75" i="12"/>
  <c r="W75" i="11"/>
  <c r="W75" i="9"/>
  <c r="W75" i="8"/>
  <c r="N72" i="12"/>
  <c r="N72" i="11"/>
  <c r="N72" i="9"/>
  <c r="N72" i="8"/>
  <c r="V68" i="12"/>
  <c r="V68" i="11"/>
  <c r="V68" i="9"/>
  <c r="V68" i="8"/>
  <c r="H66" i="12"/>
  <c r="H66" i="11"/>
  <c r="H66" i="9"/>
  <c r="H66" i="8"/>
  <c r="Q124" i="12"/>
  <c r="Q124" i="11"/>
  <c r="Q124" i="9"/>
  <c r="Q124" i="8"/>
  <c r="AD119" i="12"/>
  <c r="AD119" i="11"/>
  <c r="AD119" i="9"/>
  <c r="AD119" i="8"/>
  <c r="I116" i="12"/>
  <c r="I116" i="11"/>
  <c r="I116" i="9"/>
  <c r="I116" i="8"/>
  <c r="Q112" i="12"/>
  <c r="Q112" i="11"/>
  <c r="Q112" i="9"/>
  <c r="Q112" i="8"/>
  <c r="H109" i="12"/>
  <c r="H109" i="11"/>
  <c r="H109" i="9"/>
  <c r="H109" i="8"/>
  <c r="AB105" i="12"/>
  <c r="AB105" i="11"/>
  <c r="AB105" i="9"/>
  <c r="AB105" i="8"/>
  <c r="X101" i="12"/>
  <c r="X101" i="11"/>
  <c r="X101" i="9"/>
  <c r="X101" i="8"/>
  <c r="H97" i="12"/>
  <c r="H97" i="11"/>
  <c r="H97" i="9"/>
  <c r="H97" i="8"/>
  <c r="W63" i="12"/>
  <c r="W63" i="8"/>
  <c r="W63" i="11"/>
  <c r="W63" i="9"/>
  <c r="N60" i="12"/>
  <c r="N60" i="8"/>
  <c r="N60" i="11"/>
  <c r="N60" i="9"/>
  <c r="E57" i="8"/>
  <c r="E57" i="12"/>
  <c r="E57" i="11"/>
  <c r="E57" i="9"/>
  <c r="M53" i="12"/>
  <c r="M53" i="8"/>
  <c r="M53" i="11"/>
  <c r="M53" i="9"/>
  <c r="Z48" i="12"/>
  <c r="Z48" i="8"/>
  <c r="Z48" i="11"/>
  <c r="Z48" i="9"/>
  <c r="Q45" i="8"/>
  <c r="Q45" i="12"/>
  <c r="Q45" i="11"/>
  <c r="Q45" i="9"/>
  <c r="Y41" i="12"/>
  <c r="Y41" i="8"/>
  <c r="Y41" i="11"/>
  <c r="Y41" i="9"/>
  <c r="U37" i="8"/>
  <c r="U37" i="12"/>
  <c r="U37" i="11"/>
  <c r="U37" i="9"/>
  <c r="L34" i="12"/>
  <c r="L34" i="8"/>
  <c r="L34" i="11"/>
  <c r="L34" i="9"/>
  <c r="I92" i="12"/>
  <c r="I92" i="11"/>
  <c r="I92" i="9"/>
  <c r="I92" i="8"/>
  <c r="Q88" i="12"/>
  <c r="Q88" i="11"/>
  <c r="Q88" i="9"/>
  <c r="Q88" i="8"/>
  <c r="H85" i="12"/>
  <c r="H85" i="11"/>
  <c r="H85" i="9"/>
  <c r="H85" i="8"/>
  <c r="K82" i="12"/>
  <c r="K82" i="11"/>
  <c r="K82" i="9"/>
  <c r="K82" i="8"/>
  <c r="S78" i="12"/>
  <c r="S78" i="11"/>
  <c r="S78" i="9"/>
  <c r="S78" i="8"/>
  <c r="AA74" i="12"/>
  <c r="AA74" i="11"/>
  <c r="AA74" i="9"/>
  <c r="AA74" i="8"/>
  <c r="R71" i="12"/>
  <c r="R71" i="11"/>
  <c r="R71" i="9"/>
  <c r="R71" i="8"/>
  <c r="I68" i="12"/>
  <c r="I68" i="11"/>
  <c r="I68" i="9"/>
  <c r="I68" i="8"/>
  <c r="W125" i="12"/>
  <c r="W125" i="11"/>
  <c r="W125" i="9"/>
  <c r="W125" i="8"/>
  <c r="S121" i="12"/>
  <c r="S121" i="11"/>
  <c r="S121" i="9"/>
  <c r="S121" i="8"/>
  <c r="J118" i="12"/>
  <c r="J118" i="11"/>
  <c r="J118" i="9"/>
  <c r="J118" i="8"/>
  <c r="M115" i="12"/>
  <c r="M115" i="9"/>
  <c r="M115" i="11"/>
  <c r="M115" i="8"/>
  <c r="D112" i="12"/>
  <c r="D112" i="11"/>
  <c r="D112" i="9"/>
  <c r="D112" i="8"/>
  <c r="L108" i="12"/>
  <c r="L108" i="11"/>
  <c r="L108" i="9"/>
  <c r="L108" i="8"/>
  <c r="AF104" i="12"/>
  <c r="AF104" i="11"/>
  <c r="AF104" i="9"/>
  <c r="AF104" i="8"/>
  <c r="AB100" i="12"/>
  <c r="AB100" i="11"/>
  <c r="AB100" i="9"/>
  <c r="AB100" i="8"/>
  <c r="G97" i="12"/>
  <c r="G97" i="11"/>
  <c r="G97" i="9"/>
  <c r="G97" i="8"/>
  <c r="C48" i="12"/>
  <c r="C48" i="11"/>
  <c r="I63" i="12"/>
  <c r="I63" i="8"/>
  <c r="I63" i="11"/>
  <c r="I63" i="9"/>
  <c r="X60" i="12"/>
  <c r="X60" i="8"/>
  <c r="X60" i="11"/>
  <c r="X60" i="9"/>
  <c r="V58" i="12"/>
  <c r="V58" i="8"/>
  <c r="V58" i="11"/>
  <c r="V58" i="9"/>
  <c r="C57" i="12"/>
  <c r="C57" i="11"/>
  <c r="C45" i="12"/>
  <c r="C45" i="11"/>
  <c r="AD63" i="8"/>
  <c r="AD63" i="12"/>
  <c r="AD63" i="11"/>
  <c r="AD63" i="9"/>
  <c r="R63" i="8"/>
  <c r="R63" i="12"/>
  <c r="R63" i="11"/>
  <c r="R63" i="9"/>
  <c r="F63" i="8"/>
  <c r="F63" i="12"/>
  <c r="F63" i="11"/>
  <c r="F63" i="9"/>
  <c r="W62" i="8"/>
  <c r="W62" i="12"/>
  <c r="W62" i="11"/>
  <c r="W62" i="9"/>
  <c r="K62" i="8"/>
  <c r="K62" i="12"/>
  <c r="K62" i="11"/>
  <c r="K62" i="9"/>
  <c r="AB61" i="12"/>
  <c r="AB61" i="8"/>
  <c r="AB61" i="11"/>
  <c r="AB61" i="9"/>
  <c r="P61" i="12"/>
  <c r="P61" i="8"/>
  <c r="P61" i="11"/>
  <c r="P61" i="9"/>
  <c r="D61" i="12"/>
  <c r="D61" i="8"/>
  <c r="D61" i="11"/>
  <c r="D61" i="9"/>
  <c r="U60" i="12"/>
  <c r="U60" i="8"/>
  <c r="U60" i="11"/>
  <c r="U60" i="9"/>
  <c r="I60" i="12"/>
  <c r="I60" i="8"/>
  <c r="I60" i="11"/>
  <c r="I60" i="9"/>
  <c r="Z59" i="12"/>
  <c r="Z59" i="8"/>
  <c r="Z59" i="11"/>
  <c r="Z59" i="9"/>
  <c r="N59" i="12"/>
  <c r="N59" i="8"/>
  <c r="N59" i="11"/>
  <c r="N59" i="9"/>
  <c r="AE58" i="8"/>
  <c r="AE58" i="12"/>
  <c r="AE58" i="11"/>
  <c r="AE58" i="9"/>
  <c r="S58" i="8"/>
  <c r="S58" i="12"/>
  <c r="S58" i="11"/>
  <c r="S58" i="9"/>
  <c r="G58" i="8"/>
  <c r="G58" i="12"/>
  <c r="G58" i="11"/>
  <c r="G58" i="9"/>
  <c r="X57" i="8"/>
  <c r="X57" i="12"/>
  <c r="X57" i="11"/>
  <c r="X57" i="9"/>
  <c r="L57" i="8"/>
  <c r="L57" i="12"/>
  <c r="L57" i="11"/>
  <c r="L57" i="9"/>
  <c r="AC56" i="8"/>
  <c r="AC56" i="12"/>
  <c r="AC56" i="11"/>
  <c r="AC56" i="9"/>
  <c r="Q56" i="8"/>
  <c r="Q56" i="12"/>
  <c r="Q56" i="11"/>
  <c r="Q56" i="9"/>
  <c r="E56" i="8"/>
  <c r="E56" i="12"/>
  <c r="E56" i="11"/>
  <c r="E56" i="9"/>
  <c r="V55" i="8"/>
  <c r="V55" i="12"/>
  <c r="V55" i="11"/>
  <c r="V55" i="9"/>
  <c r="J55" i="8"/>
  <c r="J55" i="12"/>
  <c r="J55" i="11"/>
  <c r="J55" i="9"/>
  <c r="AA54" i="8"/>
  <c r="AA54" i="12"/>
  <c r="AA54" i="11"/>
  <c r="AA54" i="9"/>
  <c r="O54" i="8"/>
  <c r="O54" i="12"/>
  <c r="O54" i="11"/>
  <c r="O54" i="9"/>
  <c r="AF53" i="8"/>
  <c r="AF53" i="12"/>
  <c r="AF53" i="11"/>
  <c r="AF53" i="9"/>
  <c r="T53" i="8"/>
  <c r="T53" i="12"/>
  <c r="T53" i="11"/>
  <c r="T53" i="9"/>
  <c r="H53" i="8"/>
  <c r="H53" i="12"/>
  <c r="H53" i="11"/>
  <c r="H53" i="9"/>
  <c r="Y52" i="8"/>
  <c r="Y52" i="12"/>
  <c r="Y52" i="11"/>
  <c r="Y52" i="9"/>
  <c r="M52" i="8"/>
  <c r="M52" i="12"/>
  <c r="M52" i="11"/>
  <c r="M52" i="9"/>
  <c r="AD51" i="8"/>
  <c r="AD51" i="12"/>
  <c r="AD51" i="11"/>
  <c r="AD51" i="9"/>
  <c r="R51" i="8"/>
  <c r="R51" i="12"/>
  <c r="R51" i="11"/>
  <c r="R51" i="9"/>
  <c r="F51" i="8"/>
  <c r="F51" i="12"/>
  <c r="F51" i="11"/>
  <c r="F51" i="9"/>
  <c r="W50" i="8"/>
  <c r="W50" i="12"/>
  <c r="W50" i="11"/>
  <c r="W50" i="9"/>
  <c r="K50" i="8"/>
  <c r="K50" i="12"/>
  <c r="K50" i="11"/>
  <c r="K50" i="9"/>
  <c r="AB49" i="12"/>
  <c r="AB49" i="8"/>
  <c r="AB49" i="11"/>
  <c r="AB49" i="9"/>
  <c r="P49" i="12"/>
  <c r="P49" i="8"/>
  <c r="P49" i="11"/>
  <c r="P49" i="9"/>
  <c r="D49" i="12"/>
  <c r="D49" i="8"/>
  <c r="D49" i="11"/>
  <c r="D49" i="9"/>
  <c r="U48" i="12"/>
  <c r="U48" i="8"/>
  <c r="U48" i="11"/>
  <c r="U48" i="9"/>
  <c r="I48" i="12"/>
  <c r="I48" i="8"/>
  <c r="I48" i="11"/>
  <c r="I48" i="9"/>
  <c r="Z47" i="12"/>
  <c r="Z47" i="8"/>
  <c r="Z47" i="11"/>
  <c r="Z47" i="9"/>
  <c r="N47" i="12"/>
  <c r="N47" i="8"/>
  <c r="N47" i="11"/>
  <c r="N47" i="9"/>
  <c r="AE46" i="8"/>
  <c r="AE46" i="12"/>
  <c r="AE46" i="11"/>
  <c r="AE46" i="9"/>
  <c r="S46" i="8"/>
  <c r="S46" i="12"/>
  <c r="S46" i="11"/>
  <c r="S46" i="9"/>
  <c r="G46" i="8"/>
  <c r="G46" i="12"/>
  <c r="G46" i="11"/>
  <c r="G46" i="9"/>
  <c r="X45" i="8"/>
  <c r="X45" i="12"/>
  <c r="X45" i="11"/>
  <c r="X45" i="9"/>
  <c r="L45" i="8"/>
  <c r="L45" i="12"/>
  <c r="L45" i="11"/>
  <c r="L45" i="9"/>
  <c r="AC44" i="8"/>
  <c r="AC44" i="12"/>
  <c r="AC44" i="11"/>
  <c r="AC44" i="9"/>
  <c r="Q44" i="8"/>
  <c r="Q44" i="12"/>
  <c r="Q44" i="11"/>
  <c r="Q44" i="9"/>
  <c r="E44" i="8"/>
  <c r="E44" i="12"/>
  <c r="E44" i="11"/>
  <c r="E44" i="9"/>
  <c r="V43" i="8"/>
  <c r="V43" i="12"/>
  <c r="V43" i="11"/>
  <c r="V43" i="9"/>
  <c r="J43" i="8"/>
  <c r="J43" i="12"/>
  <c r="J43" i="11"/>
  <c r="J43" i="9"/>
  <c r="AA42" i="8"/>
  <c r="AA42" i="12"/>
  <c r="AA42" i="11"/>
  <c r="AA42" i="9"/>
  <c r="O42" i="8"/>
  <c r="O42" i="12"/>
  <c r="O42" i="11"/>
  <c r="O42" i="9"/>
  <c r="AF41" i="12"/>
  <c r="AF41" i="8"/>
  <c r="AF41" i="11"/>
  <c r="AF41" i="9"/>
  <c r="T41" i="12"/>
  <c r="T41" i="8"/>
  <c r="T41" i="11"/>
  <c r="T41" i="9"/>
  <c r="H41" i="12"/>
  <c r="H41" i="8"/>
  <c r="H41" i="11"/>
  <c r="H41" i="9"/>
  <c r="Y40" i="8"/>
  <c r="Y40" i="12"/>
  <c r="Y40" i="11"/>
  <c r="Y40" i="9"/>
  <c r="M40" i="8"/>
  <c r="M40" i="12"/>
  <c r="M40" i="11"/>
  <c r="M40" i="9"/>
  <c r="AD39" i="8"/>
  <c r="AD39" i="12"/>
  <c r="AD39" i="11"/>
  <c r="AD39" i="9"/>
  <c r="R39" i="8"/>
  <c r="R39" i="12"/>
  <c r="R39" i="11"/>
  <c r="R39" i="9"/>
  <c r="F39" i="12"/>
  <c r="F39" i="8"/>
  <c r="F39" i="11"/>
  <c r="F39" i="9"/>
  <c r="W38" i="12"/>
  <c r="W38" i="8"/>
  <c r="W38" i="11"/>
  <c r="W38" i="9"/>
  <c r="K38" i="12"/>
  <c r="K38" i="8"/>
  <c r="K38" i="11"/>
  <c r="K38" i="9"/>
  <c r="AB37" i="12"/>
  <c r="AB37" i="8"/>
  <c r="AB37" i="11"/>
  <c r="AB37" i="9"/>
  <c r="P37" i="12"/>
  <c r="P37" i="8"/>
  <c r="P37" i="11"/>
  <c r="P37" i="9"/>
  <c r="D37" i="12"/>
  <c r="D37" i="8"/>
  <c r="D37" i="11"/>
  <c r="D37" i="9"/>
  <c r="U36" i="12"/>
  <c r="U36" i="8"/>
  <c r="U36" i="11"/>
  <c r="U36" i="9"/>
  <c r="I36" i="12"/>
  <c r="I36" i="8"/>
  <c r="I36" i="11"/>
  <c r="I36" i="9"/>
  <c r="Z35" i="12"/>
  <c r="Z35" i="8"/>
  <c r="Z35" i="11"/>
  <c r="Z35" i="9"/>
  <c r="N35" i="12"/>
  <c r="N35" i="8"/>
  <c r="N35" i="11"/>
  <c r="N35" i="9"/>
  <c r="AE34" i="12"/>
  <c r="AE34" i="8"/>
  <c r="AE34" i="11"/>
  <c r="AE34" i="9"/>
  <c r="S34" i="12"/>
  <c r="S34" i="8"/>
  <c r="S34" i="11"/>
  <c r="S34" i="9"/>
  <c r="G34" i="12"/>
  <c r="G34" i="8"/>
  <c r="G34" i="11"/>
  <c r="G34" i="9"/>
  <c r="C87" i="12"/>
  <c r="C87" i="11"/>
  <c r="C87" i="9"/>
  <c r="C87" i="8"/>
  <c r="C75" i="12"/>
  <c r="C75" i="11"/>
  <c r="C75" i="9"/>
  <c r="C75" i="8"/>
  <c r="AD94" i="12"/>
  <c r="AD94" i="11"/>
  <c r="AD94" i="9"/>
  <c r="AD94" i="8"/>
  <c r="R94" i="12"/>
  <c r="R94" i="11"/>
  <c r="R94" i="9"/>
  <c r="R94" i="8"/>
  <c r="F94" i="12"/>
  <c r="F94" i="11"/>
  <c r="F94" i="9"/>
  <c r="F94" i="8"/>
  <c r="W93" i="12"/>
  <c r="W93" i="11"/>
  <c r="W93" i="9"/>
  <c r="W93" i="8"/>
  <c r="K93" i="12"/>
  <c r="K93" i="11"/>
  <c r="K93" i="9"/>
  <c r="K93" i="8"/>
  <c r="AB92" i="12"/>
  <c r="AB92" i="11"/>
  <c r="AB92" i="9"/>
  <c r="AB92" i="8"/>
  <c r="P92" i="12"/>
  <c r="P92" i="11"/>
  <c r="P92" i="9"/>
  <c r="P92" i="8"/>
  <c r="D92" i="12"/>
  <c r="D92" i="11"/>
  <c r="D92" i="9"/>
  <c r="D92" i="8"/>
  <c r="U91" i="12"/>
  <c r="U91" i="11"/>
  <c r="U91" i="9"/>
  <c r="U91" i="8"/>
  <c r="I91" i="12"/>
  <c r="I91" i="11"/>
  <c r="I91" i="9"/>
  <c r="I91" i="8"/>
  <c r="Z90" i="12"/>
  <c r="Z90" i="11"/>
  <c r="Z90" i="9"/>
  <c r="Z90" i="8"/>
  <c r="N90" i="12"/>
  <c r="N90" i="11"/>
  <c r="N90" i="9"/>
  <c r="N90" i="8"/>
  <c r="AE89" i="12"/>
  <c r="AE89" i="11"/>
  <c r="AE89" i="9"/>
  <c r="AE89" i="8"/>
  <c r="S89" i="12"/>
  <c r="S89" i="11"/>
  <c r="S89" i="9"/>
  <c r="S89" i="8"/>
  <c r="G89" i="12"/>
  <c r="G89" i="11"/>
  <c r="G89" i="9"/>
  <c r="G89" i="8"/>
  <c r="X88" i="12"/>
  <c r="X88" i="11"/>
  <c r="X88" i="9"/>
  <c r="X88" i="8"/>
  <c r="L88" i="12"/>
  <c r="L88" i="11"/>
  <c r="L88" i="9"/>
  <c r="L88" i="8"/>
  <c r="AC87" i="12"/>
  <c r="AC87" i="11"/>
  <c r="AC87" i="9"/>
  <c r="AC87" i="8"/>
  <c r="Q87" i="12"/>
  <c r="Q87" i="11"/>
  <c r="Q87" i="9"/>
  <c r="Q87" i="8"/>
  <c r="E87" i="12"/>
  <c r="E87" i="11"/>
  <c r="E87" i="9"/>
  <c r="E87" i="8"/>
  <c r="V86" i="12"/>
  <c r="V86" i="11"/>
  <c r="V86" i="9"/>
  <c r="V86" i="8"/>
  <c r="J86" i="12"/>
  <c r="J86" i="11"/>
  <c r="J86" i="9"/>
  <c r="J86" i="8"/>
  <c r="AA85" i="12"/>
  <c r="AA85" i="11"/>
  <c r="AA85" i="9"/>
  <c r="AA85" i="8"/>
  <c r="O85" i="12"/>
  <c r="O85" i="11"/>
  <c r="O85" i="9"/>
  <c r="O85" i="8"/>
  <c r="AF84" i="12"/>
  <c r="AF84" i="11"/>
  <c r="AF84" i="9"/>
  <c r="AF84" i="8"/>
  <c r="T84" i="12"/>
  <c r="T84" i="11"/>
  <c r="T84" i="9"/>
  <c r="T84" i="8"/>
  <c r="H84" i="12"/>
  <c r="H84" i="11"/>
  <c r="H84" i="9"/>
  <c r="H84" i="8"/>
  <c r="Y83" i="12"/>
  <c r="Y83" i="11"/>
  <c r="Y83" i="9"/>
  <c r="Y83" i="8"/>
  <c r="M83" i="12"/>
  <c r="M83" i="11"/>
  <c r="M83" i="9"/>
  <c r="M83" i="8"/>
  <c r="AD82" i="12"/>
  <c r="AD82" i="11"/>
  <c r="AD82" i="9"/>
  <c r="AD82" i="8"/>
  <c r="R82" i="12"/>
  <c r="R82" i="11"/>
  <c r="R82" i="9"/>
  <c r="R82" i="8"/>
  <c r="F82" i="12"/>
  <c r="F82" i="11"/>
  <c r="F82" i="9"/>
  <c r="F82" i="8"/>
  <c r="W81" i="12"/>
  <c r="W81" i="11"/>
  <c r="W81" i="9"/>
  <c r="W81" i="8"/>
  <c r="K81" i="12"/>
  <c r="K81" i="11"/>
  <c r="K81" i="9"/>
  <c r="K81" i="8"/>
  <c r="AB80" i="12"/>
  <c r="AB80" i="11"/>
  <c r="AB80" i="9"/>
  <c r="AB80" i="8"/>
  <c r="P80" i="12"/>
  <c r="P80" i="11"/>
  <c r="P80" i="9"/>
  <c r="P80" i="8"/>
  <c r="D80" i="12"/>
  <c r="D80" i="11"/>
  <c r="D80" i="9"/>
  <c r="D80" i="8"/>
  <c r="U79" i="12"/>
  <c r="U79" i="11"/>
  <c r="U79" i="9"/>
  <c r="U79" i="8"/>
  <c r="I79" i="12"/>
  <c r="I79" i="11"/>
  <c r="I79" i="9"/>
  <c r="I79" i="8"/>
  <c r="Z78" i="12"/>
  <c r="Z78" i="11"/>
  <c r="Z78" i="9"/>
  <c r="Z78" i="8"/>
  <c r="N78" i="12"/>
  <c r="N78" i="11"/>
  <c r="N78" i="9"/>
  <c r="N78" i="8"/>
  <c r="AE77" i="12"/>
  <c r="AE77" i="11"/>
  <c r="AE77" i="9"/>
  <c r="AE77" i="8"/>
  <c r="S77" i="12"/>
  <c r="S77" i="11"/>
  <c r="S77" i="9"/>
  <c r="S77" i="8"/>
  <c r="G77" i="12"/>
  <c r="G77" i="11"/>
  <c r="G77" i="9"/>
  <c r="G77" i="8"/>
  <c r="X76" i="12"/>
  <c r="X76" i="11"/>
  <c r="X76" i="9"/>
  <c r="X76" i="8"/>
  <c r="L76" i="12"/>
  <c r="L76" i="11"/>
  <c r="L76" i="9"/>
  <c r="L76" i="8"/>
  <c r="AC75" i="12"/>
  <c r="AC75" i="11"/>
  <c r="AC75" i="9"/>
  <c r="AC75" i="8"/>
  <c r="Q75" i="12"/>
  <c r="Q75" i="11"/>
  <c r="Q75" i="9"/>
  <c r="Q75" i="8"/>
  <c r="E75" i="12"/>
  <c r="E75" i="11"/>
  <c r="E75" i="9"/>
  <c r="E75" i="8"/>
  <c r="V74" i="12"/>
  <c r="V74" i="11"/>
  <c r="V74" i="9"/>
  <c r="V74" i="8"/>
  <c r="J74" i="12"/>
  <c r="J74" i="11"/>
  <c r="J74" i="9"/>
  <c r="J74" i="8"/>
  <c r="AA73" i="12"/>
  <c r="AA73" i="11"/>
  <c r="AA73" i="9"/>
  <c r="AA73" i="8"/>
  <c r="O73" i="12"/>
  <c r="O73" i="11"/>
  <c r="O73" i="9"/>
  <c r="O73" i="8"/>
  <c r="AF72" i="12"/>
  <c r="AF72" i="11"/>
  <c r="AF72" i="9"/>
  <c r="AF72" i="8"/>
  <c r="T72" i="12"/>
  <c r="T72" i="11"/>
  <c r="T72" i="9"/>
  <c r="T72" i="8"/>
  <c r="H72" i="12"/>
  <c r="H72" i="11"/>
  <c r="H72" i="9"/>
  <c r="H72" i="8"/>
  <c r="Y71" i="12"/>
  <c r="Y71" i="11"/>
  <c r="Y71" i="9"/>
  <c r="Y71" i="8"/>
  <c r="M71" i="12"/>
  <c r="M71" i="11"/>
  <c r="M71" i="9"/>
  <c r="M71" i="8"/>
  <c r="AD70" i="12"/>
  <c r="AD70" i="11"/>
  <c r="AD70" i="9"/>
  <c r="AD70" i="8"/>
  <c r="R70" i="12"/>
  <c r="R70" i="11"/>
  <c r="R70" i="9"/>
  <c r="R70" i="8"/>
  <c r="F70" i="12"/>
  <c r="F70" i="11"/>
  <c r="F70" i="9"/>
  <c r="F70" i="8"/>
  <c r="W69" i="12"/>
  <c r="W69" i="11"/>
  <c r="W69" i="9"/>
  <c r="W69" i="8"/>
  <c r="K69" i="12"/>
  <c r="K69" i="11"/>
  <c r="K69" i="9"/>
  <c r="K69" i="8"/>
  <c r="AB68" i="12"/>
  <c r="AB68" i="11"/>
  <c r="AB68" i="9"/>
  <c r="AB68" i="8"/>
  <c r="P68" i="12"/>
  <c r="P68" i="11"/>
  <c r="P68" i="9"/>
  <c r="P68" i="8"/>
  <c r="D68" i="12"/>
  <c r="D68" i="11"/>
  <c r="D68" i="9"/>
  <c r="D68" i="8"/>
  <c r="U67" i="12"/>
  <c r="U67" i="11"/>
  <c r="U67" i="9"/>
  <c r="U67" i="8"/>
  <c r="I67" i="12"/>
  <c r="I67" i="11"/>
  <c r="I67" i="9"/>
  <c r="I67" i="8"/>
  <c r="Z66" i="12"/>
  <c r="Z66" i="11"/>
  <c r="Z66" i="9"/>
  <c r="Z66" i="8"/>
  <c r="N66" i="12"/>
  <c r="N66" i="11"/>
  <c r="N66" i="9"/>
  <c r="N66" i="8"/>
  <c r="AE65" i="12"/>
  <c r="AE65" i="11"/>
  <c r="AE65" i="9"/>
  <c r="AE65" i="8"/>
  <c r="S65" i="12"/>
  <c r="S65" i="11"/>
  <c r="S65" i="9"/>
  <c r="S65" i="8"/>
  <c r="G65" i="12"/>
  <c r="G65" i="11"/>
  <c r="G65" i="9"/>
  <c r="G65" i="8"/>
  <c r="C118" i="12"/>
  <c r="C118" i="11"/>
  <c r="C118" i="9"/>
  <c r="C118" i="8"/>
  <c r="C106" i="12"/>
  <c r="C106" i="11"/>
  <c r="C106" i="9"/>
  <c r="C106" i="8"/>
  <c r="AD125" i="12"/>
  <c r="AD125" i="11"/>
  <c r="AD125" i="9"/>
  <c r="AD125" i="8"/>
  <c r="R125" i="12"/>
  <c r="R125" i="11"/>
  <c r="R125" i="9"/>
  <c r="R125" i="8"/>
  <c r="F125" i="12"/>
  <c r="F125" i="11"/>
  <c r="F125" i="9"/>
  <c r="F125" i="8"/>
  <c r="W124" i="12"/>
  <c r="W124" i="11"/>
  <c r="W124" i="9"/>
  <c r="W124" i="8"/>
  <c r="K124" i="12"/>
  <c r="K124" i="11"/>
  <c r="K124" i="9"/>
  <c r="K124" i="8"/>
  <c r="AB123" i="12"/>
  <c r="AB123" i="11"/>
  <c r="AB123" i="9"/>
  <c r="AB123" i="8"/>
  <c r="P123" i="12"/>
  <c r="P123" i="11"/>
  <c r="P123" i="9"/>
  <c r="P123" i="8"/>
  <c r="D123" i="12"/>
  <c r="D123" i="11"/>
  <c r="D123" i="9"/>
  <c r="D123" i="8"/>
  <c r="U122" i="12"/>
  <c r="U122" i="11"/>
  <c r="U122" i="9"/>
  <c r="U122" i="8"/>
  <c r="I122" i="12"/>
  <c r="I122" i="11"/>
  <c r="I122" i="9"/>
  <c r="I122" i="8"/>
  <c r="Z121" i="12"/>
  <c r="Z121" i="11"/>
  <c r="Z121" i="9"/>
  <c r="Z121" i="8"/>
  <c r="N121" i="12"/>
  <c r="N121" i="11"/>
  <c r="N121" i="9"/>
  <c r="N121" i="8"/>
  <c r="AE120" i="12"/>
  <c r="AE120" i="11"/>
  <c r="AE120" i="9"/>
  <c r="AE120" i="8"/>
  <c r="S120" i="12"/>
  <c r="S120" i="11"/>
  <c r="S120" i="9"/>
  <c r="S120" i="8"/>
  <c r="G120" i="12"/>
  <c r="G120" i="11"/>
  <c r="G120" i="9"/>
  <c r="G120" i="8"/>
  <c r="X119" i="12"/>
  <c r="X119" i="11"/>
  <c r="X119" i="9"/>
  <c r="X119" i="8"/>
  <c r="L119" i="12"/>
  <c r="L119" i="11"/>
  <c r="L119" i="8"/>
  <c r="L119" i="9"/>
  <c r="AC118" i="12"/>
  <c r="AC118" i="11"/>
  <c r="AC118" i="9"/>
  <c r="AC118" i="8"/>
  <c r="Q118" i="12"/>
  <c r="Q118" i="11"/>
  <c r="Q118" i="9"/>
  <c r="Q118" i="8"/>
  <c r="E118" i="12"/>
  <c r="E118" i="11"/>
  <c r="E118" i="9"/>
  <c r="E118" i="8"/>
  <c r="V117" i="12"/>
  <c r="V117" i="11"/>
  <c r="V117" i="9"/>
  <c r="V117" i="8"/>
  <c r="J117" i="12"/>
  <c r="J117" i="11"/>
  <c r="J117" i="9"/>
  <c r="J117" i="8"/>
  <c r="AA116" i="12"/>
  <c r="AA116" i="11"/>
  <c r="AA116" i="9"/>
  <c r="AA116" i="8"/>
  <c r="O116" i="12"/>
  <c r="O116" i="11"/>
  <c r="O116" i="9"/>
  <c r="O116" i="8"/>
  <c r="AF115" i="12"/>
  <c r="AF115" i="11"/>
  <c r="AF115" i="9"/>
  <c r="AF115" i="8"/>
  <c r="T115" i="12"/>
  <c r="T115" i="11"/>
  <c r="T115" i="9"/>
  <c r="T115" i="8"/>
  <c r="H115" i="12"/>
  <c r="H115" i="11"/>
  <c r="H115" i="9"/>
  <c r="H115" i="8"/>
  <c r="Y114" i="12"/>
  <c r="Y114" i="11"/>
  <c r="Y114" i="9"/>
  <c r="Y114" i="8"/>
  <c r="M114" i="12"/>
  <c r="M114" i="11"/>
  <c r="M114" i="9"/>
  <c r="M114" i="8"/>
  <c r="AD113" i="12"/>
  <c r="AD113" i="11"/>
  <c r="AD113" i="9"/>
  <c r="AD113" i="8"/>
  <c r="R113" i="12"/>
  <c r="R113" i="11"/>
  <c r="R113" i="9"/>
  <c r="R113" i="8"/>
  <c r="F113" i="12"/>
  <c r="F113" i="11"/>
  <c r="F113" i="9"/>
  <c r="F113" i="8"/>
  <c r="W112" i="12"/>
  <c r="W112" i="11"/>
  <c r="W112" i="9"/>
  <c r="W112" i="8"/>
  <c r="K112" i="12"/>
  <c r="K112" i="11"/>
  <c r="K112" i="9"/>
  <c r="K112" i="8"/>
  <c r="AB111" i="12"/>
  <c r="AB111" i="11"/>
  <c r="AB111" i="9"/>
  <c r="AB111" i="8"/>
  <c r="P111" i="12"/>
  <c r="P111" i="11"/>
  <c r="P111" i="9"/>
  <c r="P111" i="8"/>
  <c r="D111" i="12"/>
  <c r="D111" i="11"/>
  <c r="D111" i="9"/>
  <c r="D111" i="8"/>
  <c r="U110" i="12"/>
  <c r="U110" i="11"/>
  <c r="U110" i="9"/>
  <c r="U110" i="8"/>
  <c r="I110" i="12"/>
  <c r="I110" i="11"/>
  <c r="I110" i="9"/>
  <c r="I110" i="8"/>
  <c r="Z109" i="12"/>
  <c r="Z109" i="11"/>
  <c r="Z109" i="9"/>
  <c r="Z109" i="8"/>
  <c r="N109" i="12"/>
  <c r="N109" i="11"/>
  <c r="N109" i="9"/>
  <c r="N109" i="8"/>
  <c r="AE108" i="12"/>
  <c r="AE108" i="11"/>
  <c r="AE108" i="9"/>
  <c r="AE108" i="8"/>
  <c r="S108" i="12"/>
  <c r="S108" i="11"/>
  <c r="S108" i="9"/>
  <c r="S108" i="8"/>
  <c r="G108" i="12"/>
  <c r="G108" i="11"/>
  <c r="G108" i="9"/>
  <c r="G108" i="8"/>
  <c r="X107" i="12"/>
  <c r="X107" i="11"/>
  <c r="X107" i="9"/>
  <c r="X107" i="8"/>
  <c r="L107" i="12"/>
  <c r="L107" i="11"/>
  <c r="L107" i="9"/>
  <c r="L107" i="8"/>
  <c r="AC106" i="12"/>
  <c r="AC106" i="11"/>
  <c r="AC106" i="9"/>
  <c r="AC106" i="8"/>
  <c r="Q106" i="12"/>
  <c r="Q106" i="11"/>
  <c r="Q106" i="9"/>
  <c r="Q106" i="8"/>
  <c r="E106" i="12"/>
  <c r="E106" i="11"/>
  <c r="E106" i="9"/>
  <c r="E106" i="8"/>
  <c r="V105" i="12"/>
  <c r="V105" i="11"/>
  <c r="V105" i="9"/>
  <c r="V105" i="8"/>
  <c r="J105" i="12"/>
  <c r="J105" i="11"/>
  <c r="J105" i="9"/>
  <c r="J105" i="8"/>
  <c r="AA104" i="12"/>
  <c r="AA104" i="11"/>
  <c r="AA104" i="9"/>
  <c r="AA104" i="8"/>
  <c r="O104" i="12"/>
  <c r="O104" i="11"/>
  <c r="O104" i="9"/>
  <c r="O104" i="8"/>
  <c r="AF103" i="12"/>
  <c r="AF103" i="11"/>
  <c r="AF103" i="9"/>
  <c r="AF103" i="8"/>
  <c r="T103" i="12"/>
  <c r="T103" i="11"/>
  <c r="T103" i="9"/>
  <c r="T103" i="8"/>
  <c r="H103" i="12"/>
  <c r="H103" i="11"/>
  <c r="H103" i="9"/>
  <c r="H103" i="8"/>
  <c r="Y102" i="12"/>
  <c r="Y102" i="11"/>
  <c r="Y102" i="9"/>
  <c r="Y102" i="8"/>
  <c r="M102" i="12"/>
  <c r="M102" i="11"/>
  <c r="M102" i="9"/>
  <c r="M102" i="8"/>
  <c r="AD101" i="12"/>
  <c r="AD101" i="11"/>
  <c r="AD101" i="9"/>
  <c r="AD101" i="8"/>
  <c r="R101" i="12"/>
  <c r="R101" i="11"/>
  <c r="R101" i="9"/>
  <c r="R101" i="8"/>
  <c r="F101" i="12"/>
  <c r="F101" i="11"/>
  <c r="F101" i="9"/>
  <c r="F101" i="8"/>
  <c r="W100" i="12"/>
  <c r="W100" i="11"/>
  <c r="W100" i="9"/>
  <c r="W100" i="8"/>
  <c r="K100" i="12"/>
  <c r="K100" i="11"/>
  <c r="K100" i="9"/>
  <c r="K100" i="8"/>
  <c r="AB99" i="12"/>
  <c r="AB99" i="11"/>
  <c r="AB99" i="9"/>
  <c r="AB99" i="8"/>
  <c r="P99" i="12"/>
  <c r="P99" i="11"/>
  <c r="P99" i="9"/>
  <c r="P99" i="8"/>
  <c r="D99" i="12"/>
  <c r="D99" i="11"/>
  <c r="D99" i="9"/>
  <c r="D99" i="8"/>
  <c r="U98" i="12"/>
  <c r="U98" i="11"/>
  <c r="U98" i="9"/>
  <c r="U98" i="8"/>
  <c r="I98" i="12"/>
  <c r="I98" i="11"/>
  <c r="I98" i="9"/>
  <c r="I98" i="8"/>
  <c r="Z97" i="12"/>
  <c r="Z97" i="11"/>
  <c r="Z97" i="9"/>
  <c r="Z97" i="8"/>
  <c r="N97" i="12"/>
  <c r="N97" i="11"/>
  <c r="N97" i="9"/>
  <c r="N97" i="8"/>
  <c r="AE96" i="12"/>
  <c r="AE96" i="11"/>
  <c r="AE96" i="9"/>
  <c r="AE96" i="8"/>
  <c r="S96" i="12"/>
  <c r="S96" i="11"/>
  <c r="S96" i="9"/>
  <c r="S96" i="8"/>
  <c r="G96" i="12"/>
  <c r="G96" i="11"/>
  <c r="G96" i="9"/>
  <c r="G96" i="8"/>
  <c r="V61" i="12"/>
  <c r="V61" i="8"/>
  <c r="V61" i="11"/>
  <c r="V61" i="9"/>
  <c r="H59" i="12"/>
  <c r="H59" i="8"/>
  <c r="H59" i="11"/>
  <c r="H59" i="9"/>
  <c r="U54" i="12"/>
  <c r="U54" i="8"/>
  <c r="U54" i="11"/>
  <c r="U54" i="9"/>
  <c r="L51" i="12"/>
  <c r="L51" i="8"/>
  <c r="L51" i="11"/>
  <c r="L51" i="9"/>
  <c r="T47" i="12"/>
  <c r="T47" i="8"/>
  <c r="T47" i="11"/>
  <c r="T47" i="9"/>
  <c r="AB43" i="12"/>
  <c r="AB43" i="8"/>
  <c r="AB43" i="11"/>
  <c r="AB43" i="9"/>
  <c r="S40" i="12"/>
  <c r="S40" i="8"/>
  <c r="S40" i="11"/>
  <c r="S40" i="9"/>
  <c r="J37" i="12"/>
  <c r="J37" i="8"/>
  <c r="J37" i="11"/>
  <c r="J37" i="9"/>
  <c r="C81" i="12"/>
  <c r="C81" i="11"/>
  <c r="C81" i="9"/>
  <c r="C81" i="8"/>
  <c r="J92" i="12"/>
  <c r="J92" i="11"/>
  <c r="J92" i="9"/>
  <c r="J92" i="8"/>
  <c r="R88" i="12"/>
  <c r="R88" i="11"/>
  <c r="R88" i="9"/>
  <c r="R88" i="8"/>
  <c r="N84" i="12"/>
  <c r="N84" i="11"/>
  <c r="N84" i="9"/>
  <c r="N84" i="8"/>
  <c r="V80" i="12"/>
  <c r="V80" i="11"/>
  <c r="V80" i="9"/>
  <c r="V80" i="8"/>
  <c r="AD76" i="12"/>
  <c r="AD76" i="11"/>
  <c r="AD76" i="9"/>
  <c r="AD76" i="8"/>
  <c r="I73" i="12"/>
  <c r="I73" i="11"/>
  <c r="I73" i="9"/>
  <c r="I73" i="8"/>
  <c r="Q69" i="12"/>
  <c r="Q69" i="11"/>
  <c r="Q69" i="9"/>
  <c r="Q69" i="8"/>
  <c r="X125" i="12"/>
  <c r="X125" i="11"/>
  <c r="X125" i="9"/>
  <c r="X125" i="8"/>
  <c r="J123" i="12"/>
  <c r="J123" i="11"/>
  <c r="J123" i="9"/>
  <c r="J123" i="8"/>
  <c r="F119" i="12"/>
  <c r="F119" i="11"/>
  <c r="F119" i="9"/>
  <c r="F119" i="8"/>
  <c r="S114" i="12"/>
  <c r="S114" i="11"/>
  <c r="S114" i="9"/>
  <c r="S114" i="8"/>
  <c r="AA110" i="12"/>
  <c r="AA110" i="11"/>
  <c r="AA110" i="9"/>
  <c r="AA110" i="8"/>
  <c r="W106" i="12"/>
  <c r="W106" i="11"/>
  <c r="W106" i="9"/>
  <c r="W106" i="8"/>
  <c r="I104" i="12"/>
  <c r="I104" i="11"/>
  <c r="I104" i="9"/>
  <c r="I104" i="8"/>
  <c r="L101" i="12"/>
  <c r="L101" i="11"/>
  <c r="L101" i="9"/>
  <c r="L101" i="8"/>
  <c r="AA98" i="12"/>
  <c r="AA98" i="11"/>
  <c r="AA98" i="9"/>
  <c r="AA98" i="8"/>
  <c r="P62" i="12"/>
  <c r="P62" i="8"/>
  <c r="P62" i="11"/>
  <c r="P62" i="9"/>
  <c r="G59" i="12"/>
  <c r="G59" i="8"/>
  <c r="G59" i="11"/>
  <c r="G59" i="9"/>
  <c r="O55" i="12"/>
  <c r="O55" i="8"/>
  <c r="O55" i="11"/>
  <c r="O55" i="9"/>
  <c r="W51" i="12"/>
  <c r="W51" i="8"/>
  <c r="W51" i="11"/>
  <c r="W51" i="9"/>
  <c r="N48" i="12"/>
  <c r="N48" i="8"/>
  <c r="N48" i="11"/>
  <c r="N48" i="9"/>
  <c r="E45" i="8"/>
  <c r="E45" i="12"/>
  <c r="E45" i="11"/>
  <c r="E45" i="9"/>
  <c r="H42" i="8"/>
  <c r="H42" i="12"/>
  <c r="H42" i="11"/>
  <c r="H42" i="9"/>
  <c r="P38" i="12"/>
  <c r="P38" i="8"/>
  <c r="P38" i="11"/>
  <c r="P38" i="9"/>
  <c r="X34" i="12"/>
  <c r="X34" i="8"/>
  <c r="X34" i="11"/>
  <c r="X34" i="9"/>
  <c r="C68" i="12"/>
  <c r="C68" i="11"/>
  <c r="C68" i="9"/>
  <c r="C68" i="8"/>
  <c r="N91" i="12"/>
  <c r="N91" i="11"/>
  <c r="N91" i="9"/>
  <c r="N91" i="8"/>
  <c r="E88" i="12"/>
  <c r="E88" i="11"/>
  <c r="E88" i="9"/>
  <c r="E88" i="8"/>
  <c r="AD83" i="12"/>
  <c r="AD83" i="11"/>
  <c r="AD83" i="9"/>
  <c r="AD83" i="8"/>
  <c r="Z79" i="12"/>
  <c r="Z79" i="11"/>
  <c r="Z79" i="9"/>
  <c r="Z79" i="8"/>
  <c r="Q76" i="12"/>
  <c r="Q76" i="11"/>
  <c r="Q76" i="9"/>
  <c r="Q76" i="8"/>
  <c r="H73" i="12"/>
  <c r="H73" i="11"/>
  <c r="H73" i="9"/>
  <c r="H73" i="8"/>
  <c r="P69" i="12"/>
  <c r="P69" i="11"/>
  <c r="P69" i="9"/>
  <c r="P69" i="8"/>
  <c r="C123" i="12"/>
  <c r="C123" i="11"/>
  <c r="C123" i="9"/>
  <c r="C123" i="8"/>
  <c r="D124" i="12"/>
  <c r="D124" i="11"/>
  <c r="D124" i="9"/>
  <c r="D124" i="8"/>
  <c r="L120" i="12"/>
  <c r="L120" i="11"/>
  <c r="L120" i="9"/>
  <c r="L120" i="8"/>
  <c r="T116" i="12"/>
  <c r="T116" i="11"/>
  <c r="T116" i="9"/>
  <c r="T116" i="8"/>
  <c r="AB112" i="12"/>
  <c r="AB112" i="11"/>
  <c r="AB112" i="9"/>
  <c r="AB112" i="8"/>
  <c r="X108" i="12"/>
  <c r="X108" i="11"/>
  <c r="X108" i="9"/>
  <c r="X108" i="8"/>
  <c r="O105" i="12"/>
  <c r="O105" i="9"/>
  <c r="O105" i="11"/>
  <c r="O105" i="8"/>
  <c r="F102" i="12"/>
  <c r="F102" i="11"/>
  <c r="F102" i="9"/>
  <c r="F102" i="8"/>
  <c r="D100" i="12"/>
  <c r="D100" i="11"/>
  <c r="D100" i="9"/>
  <c r="D100" i="8"/>
  <c r="L96" i="12"/>
  <c r="L96" i="11"/>
  <c r="L96" i="9"/>
  <c r="L96" i="8"/>
  <c r="U63" i="12"/>
  <c r="U63" i="8"/>
  <c r="U63" i="11"/>
  <c r="U63" i="9"/>
  <c r="S61" i="12"/>
  <c r="S61" i="8"/>
  <c r="S61" i="11"/>
  <c r="S61" i="9"/>
  <c r="L60" i="12"/>
  <c r="L60" i="8"/>
  <c r="L60" i="11"/>
  <c r="L60" i="9"/>
  <c r="O57" i="12"/>
  <c r="O57" i="8"/>
  <c r="O57" i="11"/>
  <c r="O57" i="9"/>
  <c r="C56" i="12"/>
  <c r="C56" i="11"/>
  <c r="C44" i="12"/>
  <c r="C44" i="11"/>
  <c r="AC63" i="8"/>
  <c r="AC63" i="12"/>
  <c r="AC63" i="11"/>
  <c r="AC63" i="9"/>
  <c r="Q63" i="8"/>
  <c r="Q63" i="12"/>
  <c r="Q63" i="11"/>
  <c r="Q63" i="9"/>
  <c r="E63" i="8"/>
  <c r="E63" i="12"/>
  <c r="E63" i="11"/>
  <c r="E63" i="9"/>
  <c r="V62" i="12"/>
  <c r="V62" i="8"/>
  <c r="V62" i="11"/>
  <c r="V62" i="9"/>
  <c r="J62" i="12"/>
  <c r="J62" i="8"/>
  <c r="J62" i="11"/>
  <c r="J62" i="9"/>
  <c r="AA61" i="12"/>
  <c r="AA61" i="8"/>
  <c r="AA61" i="11"/>
  <c r="AA61" i="9"/>
  <c r="O61" i="12"/>
  <c r="O61" i="8"/>
  <c r="O61" i="11"/>
  <c r="O61" i="9"/>
  <c r="AF60" i="12"/>
  <c r="AF60" i="8"/>
  <c r="AF60" i="11"/>
  <c r="AF60" i="9"/>
  <c r="T60" i="12"/>
  <c r="T60" i="8"/>
  <c r="T60" i="11"/>
  <c r="T60" i="9"/>
  <c r="H60" i="12"/>
  <c r="H60" i="8"/>
  <c r="H60" i="11"/>
  <c r="H60" i="9"/>
  <c r="Y59" i="12"/>
  <c r="Y59" i="8"/>
  <c r="Y59" i="11"/>
  <c r="Y59" i="9"/>
  <c r="M59" i="12"/>
  <c r="M59" i="8"/>
  <c r="M59" i="11"/>
  <c r="M59" i="9"/>
  <c r="AD58" i="8"/>
  <c r="AD58" i="12"/>
  <c r="AD58" i="11"/>
  <c r="AD58" i="9"/>
  <c r="R58" i="8"/>
  <c r="R58" i="12"/>
  <c r="R58" i="11"/>
  <c r="R58" i="9"/>
  <c r="F58" i="8"/>
  <c r="F58" i="12"/>
  <c r="F58" i="11"/>
  <c r="F58" i="9"/>
  <c r="W57" i="8"/>
  <c r="W57" i="12"/>
  <c r="W57" i="11"/>
  <c r="W57" i="9"/>
  <c r="K57" i="8"/>
  <c r="K57" i="12"/>
  <c r="K57" i="11"/>
  <c r="K57" i="9"/>
  <c r="AB56" i="8"/>
  <c r="AB56" i="12"/>
  <c r="AB56" i="11"/>
  <c r="AB56" i="9"/>
  <c r="P56" i="8"/>
  <c r="P56" i="12"/>
  <c r="P56" i="11"/>
  <c r="P56" i="9"/>
  <c r="D56" i="8"/>
  <c r="D56" i="12"/>
  <c r="D56" i="11"/>
  <c r="D56" i="9"/>
  <c r="U55" i="8"/>
  <c r="U55" i="12"/>
  <c r="U55" i="11"/>
  <c r="U55" i="9"/>
  <c r="I55" i="8"/>
  <c r="I55" i="12"/>
  <c r="I55" i="11"/>
  <c r="I55" i="9"/>
  <c r="Z54" i="8"/>
  <c r="Z54" i="12"/>
  <c r="Z54" i="11"/>
  <c r="Z54" i="9"/>
  <c r="N54" i="8"/>
  <c r="N54" i="12"/>
  <c r="N54" i="11"/>
  <c r="N54" i="9"/>
  <c r="AE53" i="8"/>
  <c r="AE53" i="12"/>
  <c r="AE53" i="11"/>
  <c r="AE53" i="9"/>
  <c r="S53" i="8"/>
  <c r="S53" i="12"/>
  <c r="S53" i="11"/>
  <c r="S53" i="9"/>
  <c r="G53" i="8"/>
  <c r="G53" i="12"/>
  <c r="G53" i="11"/>
  <c r="G53" i="9"/>
  <c r="X52" i="8"/>
  <c r="X52" i="12"/>
  <c r="X52" i="11"/>
  <c r="X52" i="9"/>
  <c r="L52" i="8"/>
  <c r="L52" i="12"/>
  <c r="L52" i="11"/>
  <c r="L52" i="9"/>
  <c r="AC51" i="8"/>
  <c r="AC51" i="12"/>
  <c r="AC51" i="11"/>
  <c r="AC51" i="9"/>
  <c r="Q51" i="8"/>
  <c r="Q51" i="12"/>
  <c r="Q51" i="11"/>
  <c r="Q51" i="9"/>
  <c r="E51" i="8"/>
  <c r="E51" i="12"/>
  <c r="E51" i="11"/>
  <c r="E51" i="9"/>
  <c r="V50" i="12"/>
  <c r="V50" i="8"/>
  <c r="V50" i="11"/>
  <c r="V50" i="9"/>
  <c r="J50" i="12"/>
  <c r="J50" i="8"/>
  <c r="J50" i="11"/>
  <c r="J50" i="9"/>
  <c r="AA49" i="12"/>
  <c r="AA49" i="8"/>
  <c r="AA49" i="11"/>
  <c r="AA49" i="9"/>
  <c r="O49" i="12"/>
  <c r="O49" i="8"/>
  <c r="O49" i="11"/>
  <c r="O49" i="9"/>
  <c r="AF48" i="12"/>
  <c r="AF48" i="8"/>
  <c r="AF48" i="11"/>
  <c r="AF48" i="9"/>
  <c r="T48" i="12"/>
  <c r="T48" i="8"/>
  <c r="T48" i="11"/>
  <c r="T48" i="9"/>
  <c r="H48" i="12"/>
  <c r="H48" i="8"/>
  <c r="H48" i="11"/>
  <c r="H48" i="9"/>
  <c r="Y47" i="12"/>
  <c r="Y47" i="8"/>
  <c r="Y47" i="11"/>
  <c r="Y47" i="9"/>
  <c r="M47" i="12"/>
  <c r="M47" i="8"/>
  <c r="M47" i="11"/>
  <c r="M47" i="9"/>
  <c r="AD46" i="8"/>
  <c r="AD46" i="12"/>
  <c r="AD46" i="11"/>
  <c r="AD46" i="9"/>
  <c r="R46" i="8"/>
  <c r="R46" i="12"/>
  <c r="R46" i="11"/>
  <c r="R46" i="9"/>
  <c r="F46" i="8"/>
  <c r="F46" i="12"/>
  <c r="F46" i="11"/>
  <c r="F46" i="9"/>
  <c r="W45" i="8"/>
  <c r="W45" i="12"/>
  <c r="W45" i="11"/>
  <c r="W45" i="9"/>
  <c r="K45" i="8"/>
  <c r="K45" i="12"/>
  <c r="K45" i="11"/>
  <c r="K45" i="9"/>
  <c r="AB44" i="8"/>
  <c r="AB44" i="12"/>
  <c r="AB44" i="11"/>
  <c r="AB44" i="9"/>
  <c r="P44" i="8"/>
  <c r="P44" i="12"/>
  <c r="P44" i="11"/>
  <c r="P44" i="9"/>
  <c r="D44" i="8"/>
  <c r="D44" i="12"/>
  <c r="D44" i="11"/>
  <c r="D44" i="9"/>
  <c r="U43" i="8"/>
  <c r="U43" i="12"/>
  <c r="U43" i="11"/>
  <c r="U43" i="9"/>
  <c r="I43" i="8"/>
  <c r="I43" i="12"/>
  <c r="I43" i="11"/>
  <c r="I43" i="9"/>
  <c r="Z42" i="8"/>
  <c r="Z42" i="12"/>
  <c r="Z42" i="11"/>
  <c r="Z42" i="9"/>
  <c r="N42" i="8"/>
  <c r="N42" i="12"/>
  <c r="N42" i="11"/>
  <c r="N42" i="9"/>
  <c r="AE41" i="12"/>
  <c r="AE41" i="8"/>
  <c r="AE41" i="11"/>
  <c r="AE41" i="9"/>
  <c r="S41" i="12"/>
  <c r="S41" i="8"/>
  <c r="S41" i="11"/>
  <c r="S41" i="9"/>
  <c r="G41" i="12"/>
  <c r="G41" i="8"/>
  <c r="G41" i="11"/>
  <c r="G41" i="9"/>
  <c r="X40" i="8"/>
  <c r="X40" i="12"/>
  <c r="X40" i="11"/>
  <c r="X40" i="9"/>
  <c r="L40" i="8"/>
  <c r="L40" i="12"/>
  <c r="L40" i="11"/>
  <c r="L40" i="9"/>
  <c r="AC39" i="8"/>
  <c r="AC39" i="12"/>
  <c r="AC39" i="11"/>
  <c r="AC39" i="9"/>
  <c r="Q39" i="8"/>
  <c r="Q39" i="12"/>
  <c r="Q39" i="11"/>
  <c r="Q39" i="9"/>
  <c r="E39" i="12"/>
  <c r="E39" i="8"/>
  <c r="E39" i="11"/>
  <c r="E39" i="9"/>
  <c r="V38" i="12"/>
  <c r="V38" i="8"/>
  <c r="V38" i="11"/>
  <c r="V38" i="9"/>
  <c r="J38" i="12"/>
  <c r="J38" i="8"/>
  <c r="J38" i="11"/>
  <c r="J38" i="9"/>
  <c r="AA37" i="12"/>
  <c r="AA37" i="8"/>
  <c r="AA37" i="11"/>
  <c r="AA37" i="9"/>
  <c r="O37" i="12"/>
  <c r="O37" i="8"/>
  <c r="O37" i="11"/>
  <c r="O37" i="9"/>
  <c r="AF36" i="12"/>
  <c r="AF36" i="8"/>
  <c r="AF36" i="11"/>
  <c r="AF36" i="9"/>
  <c r="T36" i="12"/>
  <c r="T36" i="8"/>
  <c r="T36" i="11"/>
  <c r="T36" i="9"/>
  <c r="H36" i="12"/>
  <c r="H36" i="8"/>
  <c r="H36" i="11"/>
  <c r="H36" i="9"/>
  <c r="Y35" i="12"/>
  <c r="Y35" i="8"/>
  <c r="Y35" i="11"/>
  <c r="Y35" i="9"/>
  <c r="M35" i="12"/>
  <c r="M35" i="8"/>
  <c r="M35" i="11"/>
  <c r="M35" i="9"/>
  <c r="AD34" i="12"/>
  <c r="AD34" i="8"/>
  <c r="AD34" i="11"/>
  <c r="AD34" i="9"/>
  <c r="R34" i="12"/>
  <c r="R34" i="8"/>
  <c r="R34" i="11"/>
  <c r="R34" i="9"/>
  <c r="F34" i="12"/>
  <c r="F34" i="8"/>
  <c r="F34" i="11"/>
  <c r="F34" i="9"/>
  <c r="C86" i="12"/>
  <c r="C86" i="11"/>
  <c r="C86" i="9"/>
  <c r="C86" i="8"/>
  <c r="C74" i="12"/>
  <c r="C74" i="11"/>
  <c r="C74" i="9"/>
  <c r="C74" i="8"/>
  <c r="AC94" i="12"/>
  <c r="AC94" i="11"/>
  <c r="AC94" i="9"/>
  <c r="AC94" i="8"/>
  <c r="Q94" i="12"/>
  <c r="Q94" i="11"/>
  <c r="Q94" i="9"/>
  <c r="Q94" i="8"/>
  <c r="E94" i="12"/>
  <c r="E94" i="11"/>
  <c r="E94" i="9"/>
  <c r="E94" i="8"/>
  <c r="V93" i="12"/>
  <c r="V93" i="11"/>
  <c r="V93" i="9"/>
  <c r="V93" i="8"/>
  <c r="J93" i="12"/>
  <c r="J93" i="11"/>
  <c r="J93" i="9"/>
  <c r="J93" i="8"/>
  <c r="AA92" i="12"/>
  <c r="AA92" i="11"/>
  <c r="AA92" i="9"/>
  <c r="AA92" i="8"/>
  <c r="O92" i="12"/>
  <c r="O92" i="11"/>
  <c r="O92" i="9"/>
  <c r="O92" i="8"/>
  <c r="AF91" i="12"/>
  <c r="AF91" i="11"/>
  <c r="AF91" i="9"/>
  <c r="AF91" i="8"/>
  <c r="T91" i="12"/>
  <c r="T91" i="11"/>
  <c r="T91" i="9"/>
  <c r="T91" i="8"/>
  <c r="H91" i="12"/>
  <c r="H91" i="11"/>
  <c r="H91" i="9"/>
  <c r="H91" i="8"/>
  <c r="Y90" i="12"/>
  <c r="Y90" i="11"/>
  <c r="Y90" i="9"/>
  <c r="Y90" i="8"/>
  <c r="M90" i="12"/>
  <c r="M90" i="11"/>
  <c r="M90" i="9"/>
  <c r="M90" i="8"/>
  <c r="AD89" i="12"/>
  <c r="AD89" i="11"/>
  <c r="AD89" i="9"/>
  <c r="AD89" i="8"/>
  <c r="R89" i="12"/>
  <c r="R89" i="11"/>
  <c r="R89" i="9"/>
  <c r="R89" i="8"/>
  <c r="F89" i="12"/>
  <c r="F89" i="11"/>
  <c r="F89" i="9"/>
  <c r="F89" i="8"/>
  <c r="W88" i="12"/>
  <c r="W88" i="11"/>
  <c r="W88" i="9"/>
  <c r="W88" i="8"/>
  <c r="K88" i="12"/>
  <c r="K88" i="11"/>
  <c r="K88" i="9"/>
  <c r="K88" i="8"/>
  <c r="AB87" i="12"/>
  <c r="AB87" i="11"/>
  <c r="AB87" i="9"/>
  <c r="AB87" i="8"/>
  <c r="P87" i="12"/>
  <c r="P87" i="11"/>
  <c r="P87" i="9"/>
  <c r="P87" i="8"/>
  <c r="D87" i="12"/>
  <c r="D87" i="11"/>
  <c r="D87" i="9"/>
  <c r="D87" i="8"/>
  <c r="U86" i="12"/>
  <c r="U86" i="11"/>
  <c r="U86" i="9"/>
  <c r="U86" i="8"/>
  <c r="I86" i="12"/>
  <c r="I86" i="11"/>
  <c r="I86" i="9"/>
  <c r="I86" i="8"/>
  <c r="Z85" i="12"/>
  <c r="Z85" i="11"/>
  <c r="Z85" i="9"/>
  <c r="Z85" i="8"/>
  <c r="N85" i="12"/>
  <c r="N85" i="11"/>
  <c r="N85" i="9"/>
  <c r="N85" i="8"/>
  <c r="AE84" i="12"/>
  <c r="AE84" i="11"/>
  <c r="AE84" i="9"/>
  <c r="AE84" i="8"/>
  <c r="S84" i="12"/>
  <c r="S84" i="11"/>
  <c r="S84" i="9"/>
  <c r="S84" i="8"/>
  <c r="G84" i="12"/>
  <c r="G84" i="11"/>
  <c r="G84" i="9"/>
  <c r="G84" i="8"/>
  <c r="X83" i="12"/>
  <c r="X83" i="11"/>
  <c r="X83" i="9"/>
  <c r="X83" i="8"/>
  <c r="L83" i="12"/>
  <c r="L83" i="11"/>
  <c r="L83" i="9"/>
  <c r="L83" i="8"/>
  <c r="AC82" i="12"/>
  <c r="AC82" i="11"/>
  <c r="AC82" i="9"/>
  <c r="AC82" i="8"/>
  <c r="Q82" i="12"/>
  <c r="Q82" i="11"/>
  <c r="Q82" i="9"/>
  <c r="Q82" i="8"/>
  <c r="E82" i="12"/>
  <c r="E82" i="11"/>
  <c r="E82" i="9"/>
  <c r="E82" i="8"/>
  <c r="V81" i="12"/>
  <c r="V81" i="11"/>
  <c r="V81" i="9"/>
  <c r="V81" i="8"/>
  <c r="J81" i="12"/>
  <c r="J81" i="11"/>
  <c r="J81" i="9"/>
  <c r="J81" i="8"/>
  <c r="AA80" i="12"/>
  <c r="AA80" i="11"/>
  <c r="AA80" i="9"/>
  <c r="AA80" i="8"/>
  <c r="O80" i="12"/>
  <c r="O80" i="11"/>
  <c r="O80" i="9"/>
  <c r="O80" i="8"/>
  <c r="AF79" i="12"/>
  <c r="AF79" i="11"/>
  <c r="AF79" i="9"/>
  <c r="AF79" i="8"/>
  <c r="T79" i="12"/>
  <c r="T79" i="11"/>
  <c r="T79" i="9"/>
  <c r="T79" i="8"/>
  <c r="H79" i="12"/>
  <c r="H79" i="11"/>
  <c r="H79" i="9"/>
  <c r="H79" i="8"/>
  <c r="Y78" i="12"/>
  <c r="Y78" i="11"/>
  <c r="Y78" i="9"/>
  <c r="Y78" i="8"/>
  <c r="M78" i="12"/>
  <c r="M78" i="11"/>
  <c r="M78" i="9"/>
  <c r="M78" i="8"/>
  <c r="AD77" i="12"/>
  <c r="AD77" i="11"/>
  <c r="AD77" i="9"/>
  <c r="AD77" i="8"/>
  <c r="R77" i="12"/>
  <c r="R77" i="11"/>
  <c r="R77" i="9"/>
  <c r="R77" i="8"/>
  <c r="F77" i="12"/>
  <c r="F77" i="11"/>
  <c r="F77" i="9"/>
  <c r="F77" i="8"/>
  <c r="W76" i="12"/>
  <c r="W76" i="11"/>
  <c r="W76" i="9"/>
  <c r="W76" i="8"/>
  <c r="K76" i="12"/>
  <c r="K76" i="11"/>
  <c r="K76" i="9"/>
  <c r="K76" i="8"/>
  <c r="AB75" i="12"/>
  <c r="AB75" i="11"/>
  <c r="AB75" i="9"/>
  <c r="AB75" i="8"/>
  <c r="P75" i="12"/>
  <c r="P75" i="11"/>
  <c r="P75" i="9"/>
  <c r="P75" i="8"/>
  <c r="D75" i="12"/>
  <c r="D75" i="11"/>
  <c r="D75" i="9"/>
  <c r="D75" i="8"/>
  <c r="U74" i="12"/>
  <c r="U74" i="11"/>
  <c r="U74" i="9"/>
  <c r="U74" i="8"/>
  <c r="I74" i="12"/>
  <c r="I74" i="11"/>
  <c r="I74" i="9"/>
  <c r="I74" i="8"/>
  <c r="Z73" i="12"/>
  <c r="Z73" i="11"/>
  <c r="Z73" i="9"/>
  <c r="Z73" i="8"/>
  <c r="N73" i="12"/>
  <c r="N73" i="11"/>
  <c r="N73" i="9"/>
  <c r="N73" i="8"/>
  <c r="AE72" i="12"/>
  <c r="AE72" i="11"/>
  <c r="AE72" i="9"/>
  <c r="AE72" i="8"/>
  <c r="S72" i="12"/>
  <c r="S72" i="11"/>
  <c r="S72" i="9"/>
  <c r="S72" i="8"/>
  <c r="G72" i="12"/>
  <c r="G72" i="11"/>
  <c r="G72" i="9"/>
  <c r="G72" i="8"/>
  <c r="X71" i="12"/>
  <c r="X71" i="11"/>
  <c r="X71" i="9"/>
  <c r="X71" i="8"/>
  <c r="L71" i="12"/>
  <c r="L71" i="11"/>
  <c r="L71" i="9"/>
  <c r="L71" i="8"/>
  <c r="AC70" i="12"/>
  <c r="AC70" i="11"/>
  <c r="AC70" i="9"/>
  <c r="AC70" i="8"/>
  <c r="Q70" i="12"/>
  <c r="Q70" i="11"/>
  <c r="Q70" i="9"/>
  <c r="Q70" i="8"/>
  <c r="E70" i="12"/>
  <c r="E70" i="11"/>
  <c r="E70" i="9"/>
  <c r="E70" i="8"/>
  <c r="V69" i="12"/>
  <c r="V69" i="11"/>
  <c r="V69" i="9"/>
  <c r="V69" i="8"/>
  <c r="J69" i="12"/>
  <c r="J69" i="11"/>
  <c r="J69" i="9"/>
  <c r="J69" i="8"/>
  <c r="AA68" i="12"/>
  <c r="AA68" i="11"/>
  <c r="AA68" i="9"/>
  <c r="AA68" i="8"/>
  <c r="O68" i="12"/>
  <c r="O68" i="11"/>
  <c r="O68" i="9"/>
  <c r="O68" i="8"/>
  <c r="AF67" i="12"/>
  <c r="AF67" i="11"/>
  <c r="AF67" i="9"/>
  <c r="AF67" i="8"/>
  <c r="T67" i="12"/>
  <c r="T67" i="11"/>
  <c r="T67" i="9"/>
  <c r="T67" i="8"/>
  <c r="H67" i="12"/>
  <c r="H67" i="11"/>
  <c r="H67" i="9"/>
  <c r="H67" i="8"/>
  <c r="Y66" i="12"/>
  <c r="Y66" i="11"/>
  <c r="Y66" i="9"/>
  <c r="Y66" i="8"/>
  <c r="M66" i="12"/>
  <c r="M66" i="11"/>
  <c r="M66" i="9"/>
  <c r="M66" i="8"/>
  <c r="AD65" i="12"/>
  <c r="AD65" i="11"/>
  <c r="AD65" i="9"/>
  <c r="AD65" i="8"/>
  <c r="R65" i="12"/>
  <c r="R65" i="11"/>
  <c r="R65" i="9"/>
  <c r="R65" i="8"/>
  <c r="F65" i="12"/>
  <c r="F65" i="11"/>
  <c r="F65" i="9"/>
  <c r="F65" i="8"/>
  <c r="C117" i="12"/>
  <c r="C117" i="11"/>
  <c r="C117" i="9"/>
  <c r="C117" i="8"/>
  <c r="C105" i="12"/>
  <c r="C105" i="11"/>
  <c r="C105" i="9"/>
  <c r="C105" i="8"/>
  <c r="AC125" i="12"/>
  <c r="AC125" i="11"/>
  <c r="AC125" i="9"/>
  <c r="AC125" i="8"/>
  <c r="Q125" i="12"/>
  <c r="Q125" i="11"/>
  <c r="Q125" i="9"/>
  <c r="Q125" i="8"/>
  <c r="E125" i="12"/>
  <c r="E125" i="11"/>
  <c r="E125" i="9"/>
  <c r="E125" i="8"/>
  <c r="V124" i="12"/>
  <c r="V124" i="11"/>
  <c r="V124" i="9"/>
  <c r="V124" i="8"/>
  <c r="J124" i="12"/>
  <c r="J124" i="11"/>
  <c r="J124" i="9"/>
  <c r="J124" i="8"/>
  <c r="AA123" i="12"/>
  <c r="AA123" i="11"/>
  <c r="AA123" i="9"/>
  <c r="AA123" i="8"/>
  <c r="O123" i="12"/>
  <c r="O123" i="11"/>
  <c r="O123" i="9"/>
  <c r="O123" i="8"/>
  <c r="AF122" i="12"/>
  <c r="AF122" i="11"/>
  <c r="AF122" i="9"/>
  <c r="AF122" i="8"/>
  <c r="T122" i="12"/>
  <c r="T122" i="11"/>
  <c r="T122" i="9"/>
  <c r="T122" i="8"/>
  <c r="H122" i="12"/>
  <c r="H122" i="11"/>
  <c r="H122" i="9"/>
  <c r="H122" i="8"/>
  <c r="Y121" i="12"/>
  <c r="Y121" i="11"/>
  <c r="Y121" i="9"/>
  <c r="Y121" i="8"/>
  <c r="M121" i="12"/>
  <c r="M121" i="11"/>
  <c r="M121" i="9"/>
  <c r="M121" i="8"/>
  <c r="AD120" i="12"/>
  <c r="AD120" i="11"/>
  <c r="AD120" i="9"/>
  <c r="AD120" i="8"/>
  <c r="R120" i="12"/>
  <c r="R120" i="11"/>
  <c r="R120" i="9"/>
  <c r="R120" i="8"/>
  <c r="F120" i="12"/>
  <c r="F120" i="11"/>
  <c r="F120" i="9"/>
  <c r="F120" i="8"/>
  <c r="W119" i="12"/>
  <c r="W119" i="11"/>
  <c r="W119" i="9"/>
  <c r="W119" i="8"/>
  <c r="K119" i="12"/>
  <c r="K119" i="11"/>
  <c r="K119" i="9"/>
  <c r="K119" i="8"/>
  <c r="AB118" i="12"/>
  <c r="AB118" i="11"/>
  <c r="AB118" i="9"/>
  <c r="AB118" i="8"/>
  <c r="P118" i="12"/>
  <c r="P118" i="11"/>
  <c r="P118" i="9"/>
  <c r="P118" i="8"/>
  <c r="D118" i="12"/>
  <c r="D118" i="11"/>
  <c r="D118" i="9"/>
  <c r="D118" i="8"/>
  <c r="U117" i="12"/>
  <c r="U117" i="11"/>
  <c r="U117" i="9"/>
  <c r="U117" i="8"/>
  <c r="I117" i="12"/>
  <c r="I117" i="11"/>
  <c r="I117" i="9"/>
  <c r="I117" i="8"/>
  <c r="Z116" i="12"/>
  <c r="Z116" i="11"/>
  <c r="Z116" i="9"/>
  <c r="Z116" i="8"/>
  <c r="N116" i="12"/>
  <c r="N116" i="11"/>
  <c r="N116" i="9"/>
  <c r="N116" i="8"/>
  <c r="AE115" i="12"/>
  <c r="AE115" i="11"/>
  <c r="AE115" i="9"/>
  <c r="AE115" i="8"/>
  <c r="S115" i="12"/>
  <c r="S115" i="11"/>
  <c r="S115" i="9"/>
  <c r="S115" i="8"/>
  <c r="G115" i="12"/>
  <c r="G115" i="11"/>
  <c r="G115" i="9"/>
  <c r="G115" i="8"/>
  <c r="X114" i="12"/>
  <c r="X114" i="11"/>
  <c r="X114" i="9"/>
  <c r="X114" i="8"/>
  <c r="L114" i="12"/>
  <c r="L114" i="11"/>
  <c r="L114" i="9"/>
  <c r="L114" i="8"/>
  <c r="AC113" i="12"/>
  <c r="AC113" i="11"/>
  <c r="AC113" i="9"/>
  <c r="AC113" i="8"/>
  <c r="Q113" i="12"/>
  <c r="Q113" i="11"/>
  <c r="Q113" i="9"/>
  <c r="Q113" i="8"/>
  <c r="E113" i="12"/>
  <c r="E113" i="11"/>
  <c r="E113" i="9"/>
  <c r="E113" i="8"/>
  <c r="V112" i="12"/>
  <c r="V112" i="11"/>
  <c r="V112" i="9"/>
  <c r="V112" i="8"/>
  <c r="J112" i="12"/>
  <c r="J112" i="11"/>
  <c r="J112" i="9"/>
  <c r="J112" i="8"/>
  <c r="AA111" i="12"/>
  <c r="AA111" i="11"/>
  <c r="AA111" i="9"/>
  <c r="AA111" i="8"/>
  <c r="O111" i="12"/>
  <c r="O111" i="11"/>
  <c r="O111" i="9"/>
  <c r="O111" i="8"/>
  <c r="AF110" i="12"/>
  <c r="AF110" i="11"/>
  <c r="AF110" i="9"/>
  <c r="AF110" i="8"/>
  <c r="T110" i="12"/>
  <c r="T110" i="11"/>
  <c r="T110" i="9"/>
  <c r="T110" i="8"/>
  <c r="H110" i="12"/>
  <c r="H110" i="11"/>
  <c r="H110" i="9"/>
  <c r="H110" i="8"/>
  <c r="Y109" i="12"/>
  <c r="Y109" i="11"/>
  <c r="Y109" i="9"/>
  <c r="Y109" i="8"/>
  <c r="M109" i="12"/>
  <c r="M109" i="11"/>
  <c r="M109" i="9"/>
  <c r="M109" i="8"/>
  <c r="AD108" i="12"/>
  <c r="AD108" i="11"/>
  <c r="AD108" i="9"/>
  <c r="AD108" i="8"/>
  <c r="R108" i="12"/>
  <c r="R108" i="11"/>
  <c r="R108" i="9"/>
  <c r="R108" i="8"/>
  <c r="F108" i="12"/>
  <c r="F108" i="11"/>
  <c r="F108" i="9"/>
  <c r="F108" i="8"/>
  <c r="W107" i="12"/>
  <c r="W107" i="11"/>
  <c r="W107" i="9"/>
  <c r="W107" i="8"/>
  <c r="K107" i="12"/>
  <c r="K107" i="11"/>
  <c r="K107" i="9"/>
  <c r="K107" i="8"/>
  <c r="AB106" i="12"/>
  <c r="AB106" i="11"/>
  <c r="AB106" i="9"/>
  <c r="AB106" i="8"/>
  <c r="P106" i="12"/>
  <c r="P106" i="11"/>
  <c r="P106" i="9"/>
  <c r="P106" i="8"/>
  <c r="D106" i="12"/>
  <c r="D106" i="11"/>
  <c r="D106" i="9"/>
  <c r="D106" i="8"/>
  <c r="U105" i="12"/>
  <c r="U105" i="11"/>
  <c r="U105" i="9"/>
  <c r="U105" i="8"/>
  <c r="I105" i="12"/>
  <c r="I105" i="11"/>
  <c r="I105" i="9"/>
  <c r="I105" i="8"/>
  <c r="Z104" i="12"/>
  <c r="Z104" i="11"/>
  <c r="Z104" i="9"/>
  <c r="Z104" i="8"/>
  <c r="N104" i="12"/>
  <c r="N104" i="11"/>
  <c r="N104" i="9"/>
  <c r="N104" i="8"/>
  <c r="AE103" i="12"/>
  <c r="AE103" i="11"/>
  <c r="AE103" i="9"/>
  <c r="AE103" i="8"/>
  <c r="S103" i="12"/>
  <c r="S103" i="11"/>
  <c r="S103" i="9"/>
  <c r="S103" i="8"/>
  <c r="G103" i="12"/>
  <c r="G103" i="11"/>
  <c r="G103" i="9"/>
  <c r="G103" i="8"/>
  <c r="X102" i="12"/>
  <c r="X102" i="11"/>
  <c r="X102" i="9"/>
  <c r="X102" i="8"/>
  <c r="L102" i="12"/>
  <c r="L102" i="11"/>
  <c r="L102" i="9"/>
  <c r="L102" i="8"/>
  <c r="AC101" i="12"/>
  <c r="AC101" i="11"/>
  <c r="AC101" i="9"/>
  <c r="AC101" i="8"/>
  <c r="Q101" i="12"/>
  <c r="Q101" i="11"/>
  <c r="Q101" i="9"/>
  <c r="Q101" i="8"/>
  <c r="E101" i="12"/>
  <c r="E101" i="11"/>
  <c r="E101" i="9"/>
  <c r="E101" i="8"/>
  <c r="V100" i="12"/>
  <c r="V100" i="11"/>
  <c r="V100" i="9"/>
  <c r="V100" i="8"/>
  <c r="J100" i="12"/>
  <c r="J100" i="11"/>
  <c r="J100" i="9"/>
  <c r="J100" i="8"/>
  <c r="AA99" i="12"/>
  <c r="AA99" i="11"/>
  <c r="AA99" i="9"/>
  <c r="AA99" i="8"/>
  <c r="O99" i="12"/>
  <c r="O99" i="11"/>
  <c r="O99" i="9"/>
  <c r="O99" i="8"/>
  <c r="AF98" i="12"/>
  <c r="AF98" i="11"/>
  <c r="AF98" i="9"/>
  <c r="AF98" i="8"/>
  <c r="T98" i="12"/>
  <c r="T98" i="11"/>
  <c r="T98" i="9"/>
  <c r="T98" i="8"/>
  <c r="H98" i="12"/>
  <c r="H98" i="11"/>
  <c r="H98" i="9"/>
  <c r="H98" i="8"/>
  <c r="Y97" i="12"/>
  <c r="Y97" i="11"/>
  <c r="Y97" i="9"/>
  <c r="Y97" i="8"/>
  <c r="M97" i="12"/>
  <c r="M97" i="11"/>
  <c r="M97" i="9"/>
  <c r="M97" i="8"/>
  <c r="AD96" i="12"/>
  <c r="AD96" i="11"/>
  <c r="AD96" i="9"/>
  <c r="AD96" i="8"/>
  <c r="R96" i="12"/>
  <c r="R96" i="11"/>
  <c r="R96" i="9"/>
  <c r="R96" i="8"/>
  <c r="F96" i="12"/>
  <c r="F96" i="11"/>
  <c r="F96" i="9"/>
  <c r="F96" i="8"/>
  <c r="L63" i="12"/>
  <c r="L63" i="8"/>
  <c r="L63" i="11"/>
  <c r="L63" i="9"/>
  <c r="AD57" i="8"/>
  <c r="AD57" i="12"/>
  <c r="AD57" i="11"/>
  <c r="AD57" i="9"/>
  <c r="N53" i="12"/>
  <c r="N53" i="8"/>
  <c r="N53" i="11"/>
  <c r="N53" i="9"/>
  <c r="J49" i="12"/>
  <c r="J49" i="8"/>
  <c r="J49" i="11"/>
  <c r="J49" i="9"/>
  <c r="W44" i="8"/>
  <c r="W44" i="12"/>
  <c r="W44" i="11"/>
  <c r="W44" i="9"/>
  <c r="AC38" i="12"/>
  <c r="AC38" i="8"/>
  <c r="AC38" i="11"/>
  <c r="AC38" i="9"/>
  <c r="M34" i="12"/>
  <c r="M34" i="8"/>
  <c r="M34" i="11"/>
  <c r="M34" i="9"/>
  <c r="AA91" i="12"/>
  <c r="AA91" i="11"/>
  <c r="AA91" i="9"/>
  <c r="AA91" i="8"/>
  <c r="W87" i="12"/>
  <c r="W87" i="11"/>
  <c r="W87" i="9"/>
  <c r="W87" i="8"/>
  <c r="L82" i="12"/>
  <c r="L82" i="11"/>
  <c r="L82" i="9"/>
  <c r="L82" i="8"/>
  <c r="H78" i="12"/>
  <c r="H78" i="11"/>
  <c r="H78" i="9"/>
  <c r="H78" i="8"/>
  <c r="P74" i="12"/>
  <c r="P74" i="11"/>
  <c r="P74" i="9"/>
  <c r="P74" i="8"/>
  <c r="L70" i="12"/>
  <c r="L70" i="11"/>
  <c r="L70" i="9"/>
  <c r="L70" i="8"/>
  <c r="M65" i="12"/>
  <c r="M65" i="11"/>
  <c r="M65" i="9"/>
  <c r="M65" i="8"/>
  <c r="AF121" i="12"/>
  <c r="AF121" i="11"/>
  <c r="AF121" i="9"/>
  <c r="AF121" i="8"/>
  <c r="P117" i="12"/>
  <c r="P117" i="11"/>
  <c r="P117" i="9"/>
  <c r="P117" i="8"/>
  <c r="V111" i="12"/>
  <c r="V111" i="11"/>
  <c r="V111" i="9"/>
  <c r="V111" i="8"/>
  <c r="F107" i="12"/>
  <c r="F107" i="11"/>
  <c r="F107" i="9"/>
  <c r="F107" i="8"/>
  <c r="N103" i="12"/>
  <c r="N103" i="11"/>
  <c r="N103" i="9"/>
  <c r="N103" i="8"/>
  <c r="AF97" i="12"/>
  <c r="AF97" i="11"/>
  <c r="AF97" i="9"/>
  <c r="AF97" i="8"/>
  <c r="Z60" i="12"/>
  <c r="Z60" i="8"/>
  <c r="Z60" i="11"/>
  <c r="Z60" i="9"/>
  <c r="AA55" i="12"/>
  <c r="AA55" i="11"/>
  <c r="AA55" i="8"/>
  <c r="AA55" i="9"/>
  <c r="AB50" i="12"/>
  <c r="AB50" i="8"/>
  <c r="AB50" i="11"/>
  <c r="AB50" i="9"/>
  <c r="AC45" i="8"/>
  <c r="AC45" i="12"/>
  <c r="AC45" i="11"/>
  <c r="AC45" i="9"/>
  <c r="M41" i="12"/>
  <c r="M41" i="8"/>
  <c r="M41" i="11"/>
  <c r="M41" i="9"/>
  <c r="I37" i="12"/>
  <c r="I37" i="8"/>
  <c r="I37" i="11"/>
  <c r="I37" i="9"/>
  <c r="AB93" i="12"/>
  <c r="AB93" i="11"/>
  <c r="AB93" i="9"/>
  <c r="AB93" i="8"/>
  <c r="AC88" i="12"/>
  <c r="AC88" i="11"/>
  <c r="AC88" i="9"/>
  <c r="AC88" i="8"/>
  <c r="M84" i="12"/>
  <c r="M84" i="11"/>
  <c r="M84" i="9"/>
  <c r="M84" i="8"/>
  <c r="I80" i="12"/>
  <c r="I80" i="11"/>
  <c r="I80" i="9"/>
  <c r="I80" i="8"/>
  <c r="J75" i="12"/>
  <c r="J75" i="11"/>
  <c r="J75" i="9"/>
  <c r="J75" i="8"/>
  <c r="W70" i="12"/>
  <c r="W70" i="11"/>
  <c r="W70" i="9"/>
  <c r="W70" i="8"/>
  <c r="G66" i="12"/>
  <c r="G66" i="11"/>
  <c r="G66" i="9"/>
  <c r="G66" i="8"/>
  <c r="U123" i="12"/>
  <c r="U123" i="11"/>
  <c r="U123" i="9"/>
  <c r="U123" i="8"/>
  <c r="Q119" i="12"/>
  <c r="Q119" i="11"/>
  <c r="Q119" i="9"/>
  <c r="Q119" i="8"/>
  <c r="W113" i="12"/>
  <c r="W113" i="11"/>
  <c r="W113" i="9"/>
  <c r="W113" i="8"/>
  <c r="S109" i="12"/>
  <c r="S109" i="11"/>
  <c r="S109" i="9"/>
  <c r="S109" i="8"/>
  <c r="T104" i="12"/>
  <c r="T104" i="11"/>
  <c r="T104" i="9"/>
  <c r="T104" i="8"/>
  <c r="AE97" i="12"/>
  <c r="AE97" i="11"/>
  <c r="AE97" i="9"/>
  <c r="AE97" i="8"/>
  <c r="C55" i="12"/>
  <c r="C55" i="11"/>
  <c r="C43" i="12"/>
  <c r="C43" i="11"/>
  <c r="AB63" i="12"/>
  <c r="AB63" i="8"/>
  <c r="AB63" i="11"/>
  <c r="AB63" i="9"/>
  <c r="P63" i="12"/>
  <c r="P63" i="8"/>
  <c r="P63" i="11"/>
  <c r="P63" i="9"/>
  <c r="D63" i="12"/>
  <c r="D63" i="8"/>
  <c r="D63" i="11"/>
  <c r="D63" i="9"/>
  <c r="U62" i="12"/>
  <c r="U62" i="8"/>
  <c r="U62" i="11"/>
  <c r="U62" i="9"/>
  <c r="I62" i="12"/>
  <c r="I62" i="8"/>
  <c r="I62" i="11"/>
  <c r="I62" i="9"/>
  <c r="Z61" i="12"/>
  <c r="Z61" i="8"/>
  <c r="Z61" i="11"/>
  <c r="Z61" i="9"/>
  <c r="N61" i="12"/>
  <c r="N61" i="8"/>
  <c r="N61" i="11"/>
  <c r="N61" i="9"/>
  <c r="AE60" i="12"/>
  <c r="AE60" i="8"/>
  <c r="AE60" i="11"/>
  <c r="AE60" i="9"/>
  <c r="S60" i="12"/>
  <c r="S60" i="8"/>
  <c r="S60" i="11"/>
  <c r="S60" i="9"/>
  <c r="G60" i="12"/>
  <c r="G60" i="8"/>
  <c r="G60" i="11"/>
  <c r="G60" i="9"/>
  <c r="X59" i="12"/>
  <c r="X59" i="8"/>
  <c r="X59" i="11"/>
  <c r="X59" i="9"/>
  <c r="L59" i="12"/>
  <c r="L59" i="8"/>
  <c r="L59" i="11"/>
  <c r="L59" i="9"/>
  <c r="AC58" i="8"/>
  <c r="AC58" i="12"/>
  <c r="AC58" i="11"/>
  <c r="AC58" i="9"/>
  <c r="Q58" i="8"/>
  <c r="Q58" i="12"/>
  <c r="Q58" i="11"/>
  <c r="Q58" i="9"/>
  <c r="E58" i="8"/>
  <c r="E58" i="12"/>
  <c r="E58" i="11"/>
  <c r="E58" i="9"/>
  <c r="V57" i="8"/>
  <c r="V57" i="12"/>
  <c r="V57" i="11"/>
  <c r="V57" i="9"/>
  <c r="J57" i="8"/>
  <c r="J57" i="12"/>
  <c r="J57" i="11"/>
  <c r="J57" i="9"/>
  <c r="AA56" i="8"/>
  <c r="AA56" i="12"/>
  <c r="AA56" i="11"/>
  <c r="AA56" i="9"/>
  <c r="O56" i="8"/>
  <c r="O56" i="12"/>
  <c r="O56" i="11"/>
  <c r="O56" i="9"/>
  <c r="AF55" i="8"/>
  <c r="AF55" i="12"/>
  <c r="AF55" i="11"/>
  <c r="AF55" i="9"/>
  <c r="T55" i="8"/>
  <c r="T55" i="12"/>
  <c r="T55" i="11"/>
  <c r="T55" i="9"/>
  <c r="H55" i="8"/>
  <c r="H55" i="12"/>
  <c r="H55" i="11"/>
  <c r="H55" i="9"/>
  <c r="Y54" i="8"/>
  <c r="Y54" i="12"/>
  <c r="Y54" i="11"/>
  <c r="Y54" i="9"/>
  <c r="M54" i="8"/>
  <c r="M54" i="12"/>
  <c r="M54" i="11"/>
  <c r="M54" i="9"/>
  <c r="AD53" i="8"/>
  <c r="AD53" i="12"/>
  <c r="AD53" i="11"/>
  <c r="AD53" i="9"/>
  <c r="R53" i="8"/>
  <c r="R53" i="12"/>
  <c r="R53" i="11"/>
  <c r="R53" i="9"/>
  <c r="F53" i="8"/>
  <c r="F53" i="12"/>
  <c r="F53" i="11"/>
  <c r="F53" i="9"/>
  <c r="W52" i="8"/>
  <c r="W52" i="12"/>
  <c r="W52" i="11"/>
  <c r="W52" i="9"/>
  <c r="K52" i="8"/>
  <c r="K52" i="12"/>
  <c r="K52" i="11"/>
  <c r="K52" i="9"/>
  <c r="AB51" i="12"/>
  <c r="AB51" i="8"/>
  <c r="AB51" i="11"/>
  <c r="AB51" i="9"/>
  <c r="P51" i="12"/>
  <c r="P51" i="8"/>
  <c r="P51" i="11"/>
  <c r="P51" i="9"/>
  <c r="D51" i="12"/>
  <c r="D51" i="8"/>
  <c r="D51" i="11"/>
  <c r="D51" i="9"/>
  <c r="U50" i="12"/>
  <c r="U50" i="8"/>
  <c r="U50" i="11"/>
  <c r="U50" i="9"/>
  <c r="I50" i="12"/>
  <c r="I50" i="8"/>
  <c r="I50" i="11"/>
  <c r="I50" i="9"/>
  <c r="Z49" i="12"/>
  <c r="Z49" i="8"/>
  <c r="Z49" i="11"/>
  <c r="Z49" i="9"/>
  <c r="N49" i="12"/>
  <c r="N49" i="8"/>
  <c r="N49" i="11"/>
  <c r="N49" i="9"/>
  <c r="AE48" i="12"/>
  <c r="AE48" i="8"/>
  <c r="AE48" i="11"/>
  <c r="AE48" i="9"/>
  <c r="S48" i="12"/>
  <c r="S48" i="8"/>
  <c r="S48" i="11"/>
  <c r="S48" i="9"/>
  <c r="G48" i="12"/>
  <c r="G48" i="8"/>
  <c r="G48" i="11"/>
  <c r="G48" i="9"/>
  <c r="X47" i="12"/>
  <c r="X47" i="8"/>
  <c r="X47" i="11"/>
  <c r="X47" i="9"/>
  <c r="L47" i="12"/>
  <c r="L47" i="8"/>
  <c r="L47" i="11"/>
  <c r="L47" i="9"/>
  <c r="AC46" i="8"/>
  <c r="AC46" i="12"/>
  <c r="AC46" i="11"/>
  <c r="AC46" i="9"/>
  <c r="Q46" i="8"/>
  <c r="Q46" i="12"/>
  <c r="Q46" i="11"/>
  <c r="Q46" i="9"/>
  <c r="E46" i="8"/>
  <c r="E46" i="12"/>
  <c r="E46" i="11"/>
  <c r="E46" i="9"/>
  <c r="V45" i="8"/>
  <c r="V45" i="12"/>
  <c r="V45" i="11"/>
  <c r="V45" i="9"/>
  <c r="J45" i="8"/>
  <c r="J45" i="12"/>
  <c r="J45" i="11"/>
  <c r="J45" i="9"/>
  <c r="AA44" i="8"/>
  <c r="AA44" i="12"/>
  <c r="AA44" i="11"/>
  <c r="AA44" i="9"/>
  <c r="O44" i="8"/>
  <c r="O44" i="12"/>
  <c r="O44" i="11"/>
  <c r="O44" i="9"/>
  <c r="AF43" i="8"/>
  <c r="AF43" i="12"/>
  <c r="AF43" i="11"/>
  <c r="AF43" i="9"/>
  <c r="T43" i="8"/>
  <c r="T43" i="12"/>
  <c r="T43" i="11"/>
  <c r="T43" i="9"/>
  <c r="H43" i="8"/>
  <c r="H43" i="12"/>
  <c r="H43" i="11"/>
  <c r="H43" i="9"/>
  <c r="Y42" i="8"/>
  <c r="Y42" i="12"/>
  <c r="Y42" i="11"/>
  <c r="Y42" i="9"/>
  <c r="M42" i="8"/>
  <c r="M42" i="12"/>
  <c r="M42" i="11"/>
  <c r="M42" i="9"/>
  <c r="AD41" i="12"/>
  <c r="AD41" i="8"/>
  <c r="AD41" i="11"/>
  <c r="AD41" i="9"/>
  <c r="R41" i="12"/>
  <c r="R41" i="8"/>
  <c r="R41" i="11"/>
  <c r="R41" i="9"/>
  <c r="F41" i="12"/>
  <c r="F41" i="8"/>
  <c r="F41" i="11"/>
  <c r="F41" i="9"/>
  <c r="W40" i="8"/>
  <c r="W40" i="12"/>
  <c r="W40" i="11"/>
  <c r="W40" i="9"/>
  <c r="K40" i="8"/>
  <c r="K40" i="12"/>
  <c r="K40" i="11"/>
  <c r="K40" i="9"/>
  <c r="AB39" i="8"/>
  <c r="AB39" i="12"/>
  <c r="AB39" i="11"/>
  <c r="AB39" i="9"/>
  <c r="P39" i="8"/>
  <c r="P39" i="12"/>
  <c r="P39" i="11"/>
  <c r="P39" i="9"/>
  <c r="D39" i="8"/>
  <c r="D39" i="12"/>
  <c r="D39" i="11"/>
  <c r="D39" i="9"/>
  <c r="U38" i="12"/>
  <c r="U38" i="8"/>
  <c r="U38" i="11"/>
  <c r="U38" i="9"/>
  <c r="I38" i="8"/>
  <c r="I38" i="12"/>
  <c r="I38" i="11"/>
  <c r="I38" i="9"/>
  <c r="Z37" i="12"/>
  <c r="Z37" i="8"/>
  <c r="Z37" i="11"/>
  <c r="Z37" i="9"/>
  <c r="N37" i="12"/>
  <c r="N37" i="8"/>
  <c r="N37" i="11"/>
  <c r="N37" i="9"/>
  <c r="AE36" i="12"/>
  <c r="AE36" i="8"/>
  <c r="AE36" i="11"/>
  <c r="AE36" i="9"/>
  <c r="S36" i="8"/>
  <c r="S36" i="12"/>
  <c r="S36" i="11"/>
  <c r="S36" i="9"/>
  <c r="G36" i="8"/>
  <c r="G36" i="12"/>
  <c r="G36" i="11"/>
  <c r="G36" i="9"/>
  <c r="X35" i="12"/>
  <c r="X35" i="8"/>
  <c r="X35" i="11"/>
  <c r="X35" i="9"/>
  <c r="L35" i="8"/>
  <c r="L35" i="12"/>
  <c r="L35" i="11"/>
  <c r="L35" i="9"/>
  <c r="AC34" i="12"/>
  <c r="AC34" i="8"/>
  <c r="AC34" i="11"/>
  <c r="AC34" i="9"/>
  <c r="Q34" i="12"/>
  <c r="Q34" i="8"/>
  <c r="Q34" i="11"/>
  <c r="Q34" i="9"/>
  <c r="E34" i="12"/>
  <c r="E34" i="8"/>
  <c r="E34" i="11"/>
  <c r="E34" i="9"/>
  <c r="C85" i="12"/>
  <c r="C85" i="11"/>
  <c r="C85" i="9"/>
  <c r="C85" i="8"/>
  <c r="C73" i="12"/>
  <c r="C73" i="11"/>
  <c r="C73" i="9"/>
  <c r="C73" i="8"/>
  <c r="AB94" i="12"/>
  <c r="AB94" i="11"/>
  <c r="AB94" i="9"/>
  <c r="AB94" i="8"/>
  <c r="P94" i="12"/>
  <c r="P94" i="11"/>
  <c r="P94" i="9"/>
  <c r="P94" i="8"/>
  <c r="D94" i="12"/>
  <c r="D94" i="11"/>
  <c r="D94" i="9"/>
  <c r="D94" i="8"/>
  <c r="U93" i="12"/>
  <c r="U93" i="11"/>
  <c r="U93" i="9"/>
  <c r="U93" i="8"/>
  <c r="I93" i="12"/>
  <c r="I93" i="11"/>
  <c r="I93" i="9"/>
  <c r="I93" i="8"/>
  <c r="Z92" i="12"/>
  <c r="Z92" i="11"/>
  <c r="Z92" i="9"/>
  <c r="Z92" i="8"/>
  <c r="N92" i="12"/>
  <c r="N92" i="11"/>
  <c r="N92" i="9"/>
  <c r="N92" i="8"/>
  <c r="AE91" i="12"/>
  <c r="AE91" i="11"/>
  <c r="AE91" i="9"/>
  <c r="AE91" i="8"/>
  <c r="S91" i="12"/>
  <c r="S91" i="11"/>
  <c r="S91" i="9"/>
  <c r="S91" i="8"/>
  <c r="G91" i="12"/>
  <c r="G91" i="11"/>
  <c r="G91" i="9"/>
  <c r="G91" i="8"/>
  <c r="X90" i="12"/>
  <c r="X90" i="11"/>
  <c r="X90" i="9"/>
  <c r="X90" i="8"/>
  <c r="L90" i="12"/>
  <c r="L90" i="11"/>
  <c r="L90" i="9"/>
  <c r="L90" i="8"/>
  <c r="AC89" i="12"/>
  <c r="AC89" i="11"/>
  <c r="AC89" i="9"/>
  <c r="AC89" i="8"/>
  <c r="Q89" i="12"/>
  <c r="Q89" i="11"/>
  <c r="Q89" i="9"/>
  <c r="Q89" i="8"/>
  <c r="E89" i="12"/>
  <c r="E89" i="11"/>
  <c r="E89" i="9"/>
  <c r="E89" i="8"/>
  <c r="V88" i="12"/>
  <c r="V88" i="11"/>
  <c r="V88" i="9"/>
  <c r="V88" i="8"/>
  <c r="J88" i="12"/>
  <c r="J88" i="11"/>
  <c r="J88" i="9"/>
  <c r="J88" i="8"/>
  <c r="AA87" i="12"/>
  <c r="AA87" i="11"/>
  <c r="AA87" i="9"/>
  <c r="AA87" i="8"/>
  <c r="O87" i="12"/>
  <c r="O87" i="11"/>
  <c r="O87" i="9"/>
  <c r="O87" i="8"/>
  <c r="AF86" i="12"/>
  <c r="AF86" i="11"/>
  <c r="AF86" i="9"/>
  <c r="AF86" i="8"/>
  <c r="T86" i="12"/>
  <c r="T86" i="11"/>
  <c r="T86" i="9"/>
  <c r="T86" i="8"/>
  <c r="H86" i="12"/>
  <c r="H86" i="11"/>
  <c r="H86" i="9"/>
  <c r="H86" i="8"/>
  <c r="Y85" i="12"/>
  <c r="Y85" i="11"/>
  <c r="Y85" i="9"/>
  <c r="Y85" i="8"/>
  <c r="M85" i="12"/>
  <c r="M85" i="11"/>
  <c r="M85" i="9"/>
  <c r="M85" i="8"/>
  <c r="AD84" i="12"/>
  <c r="AD84" i="11"/>
  <c r="AD84" i="9"/>
  <c r="AD84" i="8"/>
  <c r="R84" i="12"/>
  <c r="R84" i="11"/>
  <c r="R84" i="9"/>
  <c r="R84" i="8"/>
  <c r="F84" i="12"/>
  <c r="F84" i="11"/>
  <c r="F84" i="9"/>
  <c r="F84" i="8"/>
  <c r="W83" i="12"/>
  <c r="W83" i="11"/>
  <c r="W83" i="9"/>
  <c r="W83" i="8"/>
  <c r="K83" i="12"/>
  <c r="K83" i="11"/>
  <c r="K83" i="9"/>
  <c r="K83" i="8"/>
  <c r="AB82" i="12"/>
  <c r="AB82" i="11"/>
  <c r="AB82" i="9"/>
  <c r="AB82" i="8"/>
  <c r="P82" i="12"/>
  <c r="P82" i="11"/>
  <c r="P82" i="9"/>
  <c r="P82" i="8"/>
  <c r="D82" i="12"/>
  <c r="D82" i="11"/>
  <c r="D82" i="9"/>
  <c r="D82" i="8"/>
  <c r="U81" i="12"/>
  <c r="U81" i="11"/>
  <c r="U81" i="9"/>
  <c r="U81" i="8"/>
  <c r="I81" i="12"/>
  <c r="I81" i="11"/>
  <c r="I81" i="9"/>
  <c r="I81" i="8"/>
  <c r="Z80" i="12"/>
  <c r="Z80" i="11"/>
  <c r="Z80" i="9"/>
  <c r="Z80" i="8"/>
  <c r="N80" i="12"/>
  <c r="N80" i="11"/>
  <c r="N80" i="9"/>
  <c r="N80" i="8"/>
  <c r="AE79" i="12"/>
  <c r="AE79" i="11"/>
  <c r="AE79" i="9"/>
  <c r="AE79" i="8"/>
  <c r="S79" i="12"/>
  <c r="S79" i="11"/>
  <c r="S79" i="9"/>
  <c r="S79" i="8"/>
  <c r="G79" i="12"/>
  <c r="G79" i="11"/>
  <c r="G79" i="9"/>
  <c r="G79" i="8"/>
  <c r="X78" i="12"/>
  <c r="X78" i="11"/>
  <c r="X78" i="9"/>
  <c r="X78" i="8"/>
  <c r="L78" i="12"/>
  <c r="L78" i="11"/>
  <c r="L78" i="9"/>
  <c r="L78" i="8"/>
  <c r="AC77" i="12"/>
  <c r="AC77" i="11"/>
  <c r="AC77" i="9"/>
  <c r="AC77" i="8"/>
  <c r="Q77" i="12"/>
  <c r="Q77" i="11"/>
  <c r="Q77" i="9"/>
  <c r="Q77" i="8"/>
  <c r="E77" i="12"/>
  <c r="E77" i="11"/>
  <c r="E77" i="9"/>
  <c r="E77" i="8"/>
  <c r="V76" i="12"/>
  <c r="V76" i="11"/>
  <c r="V76" i="9"/>
  <c r="V76" i="8"/>
  <c r="J76" i="12"/>
  <c r="J76" i="11"/>
  <c r="J76" i="9"/>
  <c r="J76" i="8"/>
  <c r="AA75" i="12"/>
  <c r="AA75" i="11"/>
  <c r="AA75" i="9"/>
  <c r="AA75" i="8"/>
  <c r="O75" i="12"/>
  <c r="O75" i="11"/>
  <c r="O75" i="9"/>
  <c r="O75" i="8"/>
  <c r="AF74" i="12"/>
  <c r="AF74" i="11"/>
  <c r="AF74" i="9"/>
  <c r="AF74" i="8"/>
  <c r="T74" i="12"/>
  <c r="T74" i="11"/>
  <c r="T74" i="9"/>
  <c r="T74" i="8"/>
  <c r="H74" i="12"/>
  <c r="H74" i="11"/>
  <c r="H74" i="9"/>
  <c r="H74" i="8"/>
  <c r="Y73" i="12"/>
  <c r="Y73" i="11"/>
  <c r="Y73" i="9"/>
  <c r="Y73" i="8"/>
  <c r="M73" i="12"/>
  <c r="M73" i="11"/>
  <c r="M73" i="9"/>
  <c r="M73" i="8"/>
  <c r="AD72" i="12"/>
  <c r="AD72" i="11"/>
  <c r="AD72" i="9"/>
  <c r="AD72" i="8"/>
  <c r="R72" i="12"/>
  <c r="R72" i="11"/>
  <c r="R72" i="9"/>
  <c r="R72" i="8"/>
  <c r="F72" i="12"/>
  <c r="F72" i="11"/>
  <c r="F72" i="9"/>
  <c r="F72" i="8"/>
  <c r="W71" i="12"/>
  <c r="W71" i="11"/>
  <c r="W71" i="9"/>
  <c r="W71" i="8"/>
  <c r="K71" i="12"/>
  <c r="K71" i="11"/>
  <c r="K71" i="9"/>
  <c r="K71" i="8"/>
  <c r="AB70" i="12"/>
  <c r="AB70" i="11"/>
  <c r="AB70" i="9"/>
  <c r="AB70" i="8"/>
  <c r="P70" i="12"/>
  <c r="P70" i="11"/>
  <c r="P70" i="9"/>
  <c r="P70" i="8"/>
  <c r="D70" i="12"/>
  <c r="D70" i="11"/>
  <c r="D70" i="9"/>
  <c r="D70" i="8"/>
  <c r="U69" i="12"/>
  <c r="U69" i="11"/>
  <c r="U69" i="9"/>
  <c r="U69" i="8"/>
  <c r="I69" i="12"/>
  <c r="I69" i="11"/>
  <c r="I69" i="9"/>
  <c r="I69" i="8"/>
  <c r="Z68" i="12"/>
  <c r="Z68" i="11"/>
  <c r="Z68" i="9"/>
  <c r="Z68" i="8"/>
  <c r="N68" i="12"/>
  <c r="N68" i="11"/>
  <c r="N68" i="9"/>
  <c r="N68" i="8"/>
  <c r="AE67" i="12"/>
  <c r="AE67" i="11"/>
  <c r="AE67" i="9"/>
  <c r="AE67" i="8"/>
  <c r="S67" i="12"/>
  <c r="S67" i="11"/>
  <c r="S67" i="9"/>
  <c r="S67" i="8"/>
  <c r="G67" i="12"/>
  <c r="G67" i="11"/>
  <c r="G67" i="9"/>
  <c r="G67" i="8"/>
  <c r="X66" i="12"/>
  <c r="X66" i="11"/>
  <c r="X66" i="9"/>
  <c r="X66" i="8"/>
  <c r="L66" i="12"/>
  <c r="L66" i="11"/>
  <c r="L66" i="9"/>
  <c r="L66" i="8"/>
  <c r="AC65" i="12"/>
  <c r="AC65" i="11"/>
  <c r="AC65" i="9"/>
  <c r="AC65" i="8"/>
  <c r="Q65" i="12"/>
  <c r="Q65" i="11"/>
  <c r="Q65" i="9"/>
  <c r="Q65" i="8"/>
  <c r="E65" i="12"/>
  <c r="E65" i="11"/>
  <c r="E65" i="9"/>
  <c r="E65" i="8"/>
  <c r="C116" i="12"/>
  <c r="C116" i="11"/>
  <c r="C116" i="9"/>
  <c r="C116" i="8"/>
  <c r="C104" i="12"/>
  <c r="C104" i="11"/>
  <c r="C104" i="9"/>
  <c r="C104" i="8"/>
  <c r="AB125" i="12"/>
  <c r="AB125" i="11"/>
  <c r="AB125" i="9"/>
  <c r="AB125" i="8"/>
  <c r="P125" i="12"/>
  <c r="P125" i="11"/>
  <c r="P125" i="9"/>
  <c r="P125" i="8"/>
  <c r="D125" i="12"/>
  <c r="D125" i="11"/>
  <c r="D125" i="9"/>
  <c r="D125" i="8"/>
  <c r="U124" i="12"/>
  <c r="U124" i="11"/>
  <c r="U124" i="9"/>
  <c r="U124" i="8"/>
  <c r="I124" i="12"/>
  <c r="I124" i="11"/>
  <c r="I124" i="8"/>
  <c r="I124" i="9"/>
  <c r="Z123" i="12"/>
  <c r="Z123" i="11"/>
  <c r="Z123" i="9"/>
  <c r="Z123" i="8"/>
  <c r="N123" i="12"/>
  <c r="N123" i="11"/>
  <c r="N123" i="9"/>
  <c r="N123" i="8"/>
  <c r="AE122" i="12"/>
  <c r="AE122" i="11"/>
  <c r="AE122" i="9"/>
  <c r="AE122" i="8"/>
  <c r="S122" i="12"/>
  <c r="S122" i="11"/>
  <c r="S122" i="9"/>
  <c r="S122" i="8"/>
  <c r="G122" i="12"/>
  <c r="G122" i="11"/>
  <c r="G122" i="9"/>
  <c r="G122" i="8"/>
  <c r="X121" i="12"/>
  <c r="X121" i="11"/>
  <c r="X121" i="9"/>
  <c r="X121" i="8"/>
  <c r="L121" i="12"/>
  <c r="L121" i="11"/>
  <c r="L121" i="9"/>
  <c r="L121" i="8"/>
  <c r="AC120" i="12"/>
  <c r="AC120" i="11"/>
  <c r="AC120" i="9"/>
  <c r="AC120" i="8"/>
  <c r="Q120" i="12"/>
  <c r="Q120" i="11"/>
  <c r="Q120" i="9"/>
  <c r="Q120" i="8"/>
  <c r="E120" i="12"/>
  <c r="E120" i="11"/>
  <c r="E120" i="9"/>
  <c r="E120" i="8"/>
  <c r="V119" i="12"/>
  <c r="V119" i="11"/>
  <c r="V119" i="9"/>
  <c r="V119" i="8"/>
  <c r="J119" i="12"/>
  <c r="J119" i="11"/>
  <c r="J119" i="9"/>
  <c r="J119" i="8"/>
  <c r="AA118" i="12"/>
  <c r="AA118" i="11"/>
  <c r="AA118" i="9"/>
  <c r="AA118" i="8"/>
  <c r="O118" i="12"/>
  <c r="O118" i="11"/>
  <c r="O118" i="9"/>
  <c r="O118" i="8"/>
  <c r="AF117" i="12"/>
  <c r="AF117" i="11"/>
  <c r="AF117" i="9"/>
  <c r="AF117" i="8"/>
  <c r="T117" i="12"/>
  <c r="T117" i="11"/>
  <c r="T117" i="9"/>
  <c r="T117" i="8"/>
  <c r="H117" i="12"/>
  <c r="H117" i="11"/>
  <c r="H117" i="9"/>
  <c r="H117" i="8"/>
  <c r="Y116" i="12"/>
  <c r="Y116" i="11"/>
  <c r="Y116" i="9"/>
  <c r="Y116" i="8"/>
  <c r="M116" i="12"/>
  <c r="M116" i="11"/>
  <c r="M116" i="9"/>
  <c r="M116" i="8"/>
  <c r="AD115" i="12"/>
  <c r="AD115" i="11"/>
  <c r="AD115" i="9"/>
  <c r="AD115" i="8"/>
  <c r="R115" i="12"/>
  <c r="R115" i="11"/>
  <c r="R115" i="9"/>
  <c r="R115" i="8"/>
  <c r="F115" i="12"/>
  <c r="F115" i="11"/>
  <c r="F115" i="9"/>
  <c r="F115" i="8"/>
  <c r="W114" i="12"/>
  <c r="W114" i="11"/>
  <c r="W114" i="9"/>
  <c r="W114" i="8"/>
  <c r="K114" i="12"/>
  <c r="K114" i="11"/>
  <c r="K114" i="9"/>
  <c r="K114" i="8"/>
  <c r="AB113" i="12"/>
  <c r="AB113" i="11"/>
  <c r="AB113" i="9"/>
  <c r="AB113" i="8"/>
  <c r="P113" i="12"/>
  <c r="P113" i="11"/>
  <c r="P113" i="9"/>
  <c r="P113" i="8"/>
  <c r="D113" i="12"/>
  <c r="D113" i="11"/>
  <c r="D113" i="9"/>
  <c r="D113" i="8"/>
  <c r="U112" i="12"/>
  <c r="U112" i="11"/>
  <c r="U112" i="9"/>
  <c r="U112" i="8"/>
  <c r="I112" i="12"/>
  <c r="I112" i="11"/>
  <c r="I112" i="9"/>
  <c r="I112" i="8"/>
  <c r="Z111" i="12"/>
  <c r="Z111" i="11"/>
  <c r="Z111" i="9"/>
  <c r="Z111" i="8"/>
  <c r="N111" i="12"/>
  <c r="N111" i="11"/>
  <c r="N111" i="9"/>
  <c r="N111" i="8"/>
  <c r="AE110" i="12"/>
  <c r="AE110" i="11"/>
  <c r="AE110" i="9"/>
  <c r="AE110" i="8"/>
  <c r="S110" i="12"/>
  <c r="S110" i="11"/>
  <c r="S110" i="9"/>
  <c r="S110" i="8"/>
  <c r="G110" i="12"/>
  <c r="G110" i="11"/>
  <c r="G110" i="9"/>
  <c r="G110" i="8"/>
  <c r="X109" i="12"/>
  <c r="X109" i="11"/>
  <c r="X109" i="9"/>
  <c r="X109" i="8"/>
  <c r="L109" i="12"/>
  <c r="L109" i="11"/>
  <c r="L109" i="8"/>
  <c r="L109" i="9"/>
  <c r="AC108" i="12"/>
  <c r="AC108" i="11"/>
  <c r="AC108" i="9"/>
  <c r="AC108" i="8"/>
  <c r="Q108" i="12"/>
  <c r="Q108" i="11"/>
  <c r="Q108" i="9"/>
  <c r="Q108" i="8"/>
  <c r="E108" i="12"/>
  <c r="E108" i="11"/>
  <c r="E108" i="9"/>
  <c r="E108" i="8"/>
  <c r="V107" i="12"/>
  <c r="V107" i="11"/>
  <c r="V107" i="9"/>
  <c r="V107" i="8"/>
  <c r="J107" i="12"/>
  <c r="J107" i="11"/>
  <c r="J107" i="9"/>
  <c r="J107" i="8"/>
  <c r="AA106" i="12"/>
  <c r="AA106" i="11"/>
  <c r="AA106" i="9"/>
  <c r="AA106" i="8"/>
  <c r="O106" i="12"/>
  <c r="O106" i="11"/>
  <c r="O106" i="9"/>
  <c r="O106" i="8"/>
  <c r="AF105" i="12"/>
  <c r="AF105" i="11"/>
  <c r="AF105" i="9"/>
  <c r="AF105" i="8"/>
  <c r="T105" i="12"/>
  <c r="T105" i="11"/>
  <c r="T105" i="9"/>
  <c r="T105" i="8"/>
  <c r="H105" i="12"/>
  <c r="H105" i="11"/>
  <c r="H105" i="9"/>
  <c r="H105" i="8"/>
  <c r="Y104" i="12"/>
  <c r="Y104" i="11"/>
  <c r="Y104" i="9"/>
  <c r="Y104" i="8"/>
  <c r="M104" i="12"/>
  <c r="M104" i="11"/>
  <c r="M104" i="9"/>
  <c r="M104" i="8"/>
  <c r="AD103" i="12"/>
  <c r="AD103" i="11"/>
  <c r="AD103" i="9"/>
  <c r="AD103" i="8"/>
  <c r="R103" i="12"/>
  <c r="R103" i="11"/>
  <c r="R103" i="9"/>
  <c r="R103" i="8"/>
  <c r="F103" i="12"/>
  <c r="F103" i="11"/>
  <c r="F103" i="9"/>
  <c r="F103" i="8"/>
  <c r="W102" i="12"/>
  <c r="W102" i="11"/>
  <c r="W102" i="9"/>
  <c r="W102" i="8"/>
  <c r="K102" i="12"/>
  <c r="K102" i="11"/>
  <c r="K102" i="9"/>
  <c r="K102" i="8"/>
  <c r="AB101" i="12"/>
  <c r="AB101" i="11"/>
  <c r="AB101" i="9"/>
  <c r="AB101" i="8"/>
  <c r="P101" i="12"/>
  <c r="P101" i="11"/>
  <c r="P101" i="9"/>
  <c r="P101" i="8"/>
  <c r="D101" i="12"/>
  <c r="D101" i="11"/>
  <c r="D101" i="9"/>
  <c r="D101" i="8"/>
  <c r="U100" i="12"/>
  <c r="U100" i="11"/>
  <c r="U100" i="9"/>
  <c r="U100" i="8"/>
  <c r="I100" i="12"/>
  <c r="I100" i="11"/>
  <c r="I100" i="9"/>
  <c r="I100" i="8"/>
  <c r="Z99" i="12"/>
  <c r="Z99" i="11"/>
  <c r="Z99" i="9"/>
  <c r="Z99" i="8"/>
  <c r="N99" i="12"/>
  <c r="N99" i="11"/>
  <c r="N99" i="9"/>
  <c r="N99" i="8"/>
  <c r="AE98" i="12"/>
  <c r="AE98" i="11"/>
  <c r="AE98" i="9"/>
  <c r="AE98" i="8"/>
  <c r="S98" i="12"/>
  <c r="S98" i="11"/>
  <c r="S98" i="9"/>
  <c r="S98" i="8"/>
  <c r="G98" i="12"/>
  <c r="G98" i="11"/>
  <c r="G98" i="9"/>
  <c r="G98" i="8"/>
  <c r="X97" i="12"/>
  <c r="X97" i="11"/>
  <c r="X97" i="9"/>
  <c r="X97" i="8"/>
  <c r="L97" i="12"/>
  <c r="L97" i="11"/>
  <c r="L97" i="9"/>
  <c r="L97" i="8"/>
  <c r="AC96" i="12"/>
  <c r="AC96" i="11"/>
  <c r="AC96" i="9"/>
  <c r="AC96" i="8"/>
  <c r="Q96" i="12"/>
  <c r="Q96" i="11"/>
  <c r="Q96" i="9"/>
  <c r="Q96" i="8"/>
  <c r="E96" i="12"/>
  <c r="E96" i="11"/>
  <c r="E96" i="9"/>
  <c r="E96" i="8"/>
  <c r="X63" i="12"/>
  <c r="X63" i="8"/>
  <c r="X63" i="11"/>
  <c r="X63" i="9"/>
  <c r="T59" i="12"/>
  <c r="T59" i="8"/>
  <c r="T59" i="11"/>
  <c r="T59" i="9"/>
  <c r="K56" i="8"/>
  <c r="K56" i="12"/>
  <c r="K56" i="11"/>
  <c r="K56" i="9"/>
  <c r="S52" i="12"/>
  <c r="S52" i="8"/>
  <c r="S52" i="11"/>
  <c r="S52" i="9"/>
  <c r="AA48" i="12"/>
  <c r="AA48" i="8"/>
  <c r="AA48" i="11"/>
  <c r="AA48" i="9"/>
  <c r="R45" i="8"/>
  <c r="R45" i="12"/>
  <c r="R45" i="11"/>
  <c r="R45" i="9"/>
  <c r="Z41" i="12"/>
  <c r="Z41" i="8"/>
  <c r="Z41" i="9"/>
  <c r="Z41" i="11"/>
  <c r="E38" i="12"/>
  <c r="E38" i="8"/>
  <c r="E38" i="11"/>
  <c r="E38" i="9"/>
  <c r="Y34" i="12"/>
  <c r="Y34" i="8"/>
  <c r="Y34" i="11"/>
  <c r="Y34" i="9"/>
  <c r="E93" i="12"/>
  <c r="E93" i="11"/>
  <c r="E93" i="9"/>
  <c r="E93" i="8"/>
  <c r="AD88" i="12"/>
  <c r="AD88" i="11"/>
  <c r="AD88" i="9"/>
  <c r="AD88" i="8"/>
  <c r="Z84" i="12"/>
  <c r="Z84" i="11"/>
  <c r="Z84" i="9"/>
  <c r="Z84" i="8"/>
  <c r="Q81" i="12"/>
  <c r="Q81" i="11"/>
  <c r="Q81" i="9"/>
  <c r="Q81" i="8"/>
  <c r="M77" i="12"/>
  <c r="M77" i="11"/>
  <c r="M77" i="9"/>
  <c r="M77" i="8"/>
  <c r="D74" i="12"/>
  <c r="D74" i="11"/>
  <c r="D74" i="9"/>
  <c r="D74" i="8"/>
  <c r="AC69" i="12"/>
  <c r="AC69" i="11"/>
  <c r="AC69" i="9"/>
  <c r="AC69" i="8"/>
  <c r="Y65" i="12"/>
  <c r="Y65" i="11"/>
  <c r="Y65" i="9"/>
  <c r="Y65" i="8"/>
  <c r="E124" i="12"/>
  <c r="E124" i="11"/>
  <c r="E124" i="9"/>
  <c r="E124" i="8"/>
  <c r="Y120" i="12"/>
  <c r="Y120" i="11"/>
  <c r="Y120" i="9"/>
  <c r="Y120" i="8"/>
  <c r="U116" i="12"/>
  <c r="U116" i="11"/>
  <c r="U116" i="9"/>
  <c r="U116" i="8"/>
  <c r="L113" i="12"/>
  <c r="L113" i="11"/>
  <c r="L113" i="9"/>
  <c r="L113" i="8"/>
  <c r="Y108" i="12"/>
  <c r="Y108" i="11"/>
  <c r="Y108" i="9"/>
  <c r="Y108" i="8"/>
  <c r="P105" i="12"/>
  <c r="P105" i="11"/>
  <c r="P105" i="9"/>
  <c r="P105" i="8"/>
  <c r="G102" i="12"/>
  <c r="G102" i="11"/>
  <c r="G102" i="9"/>
  <c r="G102" i="8"/>
  <c r="Y96" i="12"/>
  <c r="Y96" i="11"/>
  <c r="Y96" i="9"/>
  <c r="Y96" i="8"/>
  <c r="C50" i="12"/>
  <c r="C50" i="11"/>
  <c r="AE59" i="12"/>
  <c r="AE59" i="8"/>
  <c r="AE59" i="11"/>
  <c r="AE59" i="9"/>
  <c r="AF54" i="12"/>
  <c r="AF54" i="8"/>
  <c r="AF54" i="11"/>
  <c r="AF54" i="9"/>
  <c r="F52" i="12"/>
  <c r="F52" i="8"/>
  <c r="F52" i="11"/>
  <c r="F52" i="9"/>
  <c r="S47" i="12"/>
  <c r="S47" i="8"/>
  <c r="S47" i="11"/>
  <c r="S47" i="9"/>
  <c r="AF42" i="8"/>
  <c r="AF42" i="12"/>
  <c r="AF42" i="11"/>
  <c r="AF42" i="9"/>
  <c r="F40" i="12"/>
  <c r="F40" i="8"/>
  <c r="F40" i="11"/>
  <c r="F40" i="9"/>
  <c r="N36" i="12"/>
  <c r="N36" i="8"/>
  <c r="N36" i="11"/>
  <c r="N36" i="9"/>
  <c r="W94" i="12"/>
  <c r="W94" i="11"/>
  <c r="W94" i="9"/>
  <c r="W94" i="8"/>
  <c r="S90" i="12"/>
  <c r="S90" i="11"/>
  <c r="S90" i="9"/>
  <c r="S90" i="8"/>
  <c r="AF85" i="12"/>
  <c r="AF85" i="11"/>
  <c r="AF85" i="9"/>
  <c r="AF85" i="8"/>
  <c r="AB81" i="12"/>
  <c r="AB81" i="11"/>
  <c r="AB81" i="9"/>
  <c r="AB81" i="8"/>
  <c r="G78" i="12"/>
  <c r="G78" i="11"/>
  <c r="G78" i="9"/>
  <c r="G78" i="8"/>
  <c r="AF73" i="12"/>
  <c r="AF73" i="11"/>
  <c r="AF73" i="9"/>
  <c r="AF73" i="8"/>
  <c r="K70" i="12"/>
  <c r="K70" i="11"/>
  <c r="K70" i="9"/>
  <c r="K70" i="8"/>
  <c r="S66" i="12"/>
  <c r="S66" i="11"/>
  <c r="S66" i="9"/>
  <c r="S66" i="8"/>
  <c r="C99" i="12"/>
  <c r="C99" i="11"/>
  <c r="C99" i="9"/>
  <c r="C99" i="8"/>
  <c r="AE121" i="12"/>
  <c r="AE121" i="11"/>
  <c r="AE121" i="9"/>
  <c r="AE121" i="8"/>
  <c r="V118" i="12"/>
  <c r="V118" i="11"/>
  <c r="V118" i="9"/>
  <c r="V118" i="8"/>
  <c r="AD114" i="12"/>
  <c r="AD114" i="11"/>
  <c r="AD114" i="9"/>
  <c r="AD114" i="8"/>
  <c r="I111" i="12"/>
  <c r="I111" i="11"/>
  <c r="I111" i="9"/>
  <c r="I111" i="8"/>
  <c r="Q107" i="12"/>
  <c r="Q107" i="11"/>
  <c r="Q107" i="9"/>
  <c r="Q107" i="8"/>
  <c r="H104" i="12"/>
  <c r="H104" i="11"/>
  <c r="H104" i="9"/>
  <c r="H104" i="8"/>
  <c r="K101" i="12"/>
  <c r="K101" i="11"/>
  <c r="K101" i="9"/>
  <c r="K101" i="8"/>
  <c r="S97" i="12"/>
  <c r="S97" i="11"/>
  <c r="S97" i="9"/>
  <c r="S97" i="8"/>
  <c r="C54" i="12"/>
  <c r="C54" i="11"/>
  <c r="C42" i="12"/>
  <c r="C42" i="11"/>
  <c r="AA63" i="12"/>
  <c r="AA63" i="8"/>
  <c r="AA63" i="11"/>
  <c r="AA63" i="9"/>
  <c r="O63" i="12"/>
  <c r="O63" i="8"/>
  <c r="O63" i="11"/>
  <c r="O63" i="9"/>
  <c r="AF62" i="12"/>
  <c r="AF62" i="8"/>
  <c r="AF62" i="11"/>
  <c r="AF62" i="9"/>
  <c r="T62" i="12"/>
  <c r="T62" i="8"/>
  <c r="T62" i="11"/>
  <c r="T62" i="9"/>
  <c r="H62" i="12"/>
  <c r="H62" i="8"/>
  <c r="H62" i="11"/>
  <c r="H62" i="9"/>
  <c r="Y61" i="12"/>
  <c r="Y61" i="8"/>
  <c r="Y61" i="11"/>
  <c r="Y61" i="9"/>
  <c r="M61" i="12"/>
  <c r="M61" i="8"/>
  <c r="M61" i="11"/>
  <c r="M61" i="9"/>
  <c r="AD60" i="12"/>
  <c r="AD60" i="8"/>
  <c r="AD60" i="11"/>
  <c r="AD60" i="9"/>
  <c r="R60" i="12"/>
  <c r="R60" i="8"/>
  <c r="R60" i="11"/>
  <c r="R60" i="9"/>
  <c r="F60" i="12"/>
  <c r="F60" i="8"/>
  <c r="F60" i="11"/>
  <c r="F60" i="9"/>
  <c r="W59" i="12"/>
  <c r="W59" i="8"/>
  <c r="W59" i="11"/>
  <c r="W59" i="9"/>
  <c r="K59" i="12"/>
  <c r="K59" i="8"/>
  <c r="K59" i="11"/>
  <c r="K59" i="9"/>
  <c r="AB58" i="8"/>
  <c r="AB58" i="12"/>
  <c r="AB58" i="11"/>
  <c r="AB58" i="9"/>
  <c r="P58" i="8"/>
  <c r="P58" i="12"/>
  <c r="P58" i="11"/>
  <c r="P58" i="9"/>
  <c r="D58" i="8"/>
  <c r="D58" i="12"/>
  <c r="D58" i="11"/>
  <c r="D58" i="9"/>
  <c r="U57" i="8"/>
  <c r="U57" i="12"/>
  <c r="U57" i="11"/>
  <c r="U57" i="9"/>
  <c r="I57" i="8"/>
  <c r="I57" i="12"/>
  <c r="I57" i="11"/>
  <c r="I57" i="9"/>
  <c r="Z56" i="8"/>
  <c r="Z56" i="12"/>
  <c r="Z56" i="11"/>
  <c r="Z56" i="9"/>
  <c r="N56" i="8"/>
  <c r="N56" i="12"/>
  <c r="N56" i="11"/>
  <c r="N56" i="9"/>
  <c r="AE55" i="8"/>
  <c r="AE55" i="12"/>
  <c r="AE55" i="11"/>
  <c r="AE55" i="9"/>
  <c r="S55" i="8"/>
  <c r="S55" i="12"/>
  <c r="S55" i="11"/>
  <c r="S55" i="9"/>
  <c r="G55" i="8"/>
  <c r="G55" i="12"/>
  <c r="G55" i="11"/>
  <c r="G55" i="9"/>
  <c r="X54" i="8"/>
  <c r="X54" i="12"/>
  <c r="X54" i="11"/>
  <c r="X54" i="9"/>
  <c r="L54" i="8"/>
  <c r="L54" i="12"/>
  <c r="L54" i="11"/>
  <c r="L54" i="9"/>
  <c r="AC53" i="8"/>
  <c r="AC53" i="12"/>
  <c r="AC53" i="11"/>
  <c r="AC53" i="9"/>
  <c r="Q53" i="8"/>
  <c r="Q53" i="12"/>
  <c r="Q53" i="11"/>
  <c r="Q53" i="9"/>
  <c r="E53" i="8"/>
  <c r="E53" i="12"/>
  <c r="E53" i="11"/>
  <c r="E53" i="9"/>
  <c r="V52" i="12"/>
  <c r="V52" i="8"/>
  <c r="V52" i="11"/>
  <c r="V52" i="9"/>
  <c r="J52" i="12"/>
  <c r="J52" i="8"/>
  <c r="J52" i="11"/>
  <c r="J52" i="9"/>
  <c r="AA51" i="12"/>
  <c r="AA51" i="8"/>
  <c r="AA51" i="11"/>
  <c r="AA51" i="9"/>
  <c r="O51" i="12"/>
  <c r="O51" i="8"/>
  <c r="O51" i="11"/>
  <c r="O51" i="9"/>
  <c r="AF50" i="12"/>
  <c r="AF50" i="8"/>
  <c r="AF50" i="11"/>
  <c r="AF50" i="9"/>
  <c r="T50" i="12"/>
  <c r="T50" i="8"/>
  <c r="T50" i="11"/>
  <c r="T50" i="9"/>
  <c r="H50" i="12"/>
  <c r="H50" i="8"/>
  <c r="H50" i="11"/>
  <c r="H50" i="9"/>
  <c r="Y49" i="12"/>
  <c r="Y49" i="8"/>
  <c r="Y49" i="11"/>
  <c r="Y49" i="9"/>
  <c r="M49" i="12"/>
  <c r="M49" i="8"/>
  <c r="M49" i="11"/>
  <c r="M49" i="9"/>
  <c r="AD48" i="12"/>
  <c r="AD48" i="8"/>
  <c r="AD48" i="11"/>
  <c r="AD48" i="9"/>
  <c r="R48" i="12"/>
  <c r="R48" i="8"/>
  <c r="R48" i="11"/>
  <c r="R48" i="9"/>
  <c r="F48" i="12"/>
  <c r="F48" i="8"/>
  <c r="F48" i="11"/>
  <c r="F48" i="9"/>
  <c r="W47" i="12"/>
  <c r="W47" i="8"/>
  <c r="W47" i="11"/>
  <c r="W47" i="9"/>
  <c r="K47" i="12"/>
  <c r="K47" i="8"/>
  <c r="K47" i="11"/>
  <c r="K47" i="9"/>
  <c r="AB46" i="8"/>
  <c r="AB46" i="12"/>
  <c r="AB46" i="11"/>
  <c r="AB46" i="9"/>
  <c r="P46" i="8"/>
  <c r="P46" i="12"/>
  <c r="P46" i="11"/>
  <c r="P46" i="9"/>
  <c r="D46" i="8"/>
  <c r="D46" i="12"/>
  <c r="D46" i="11"/>
  <c r="D46" i="9"/>
  <c r="U45" i="8"/>
  <c r="U45" i="12"/>
  <c r="U45" i="11"/>
  <c r="U45" i="9"/>
  <c r="I45" i="8"/>
  <c r="I45" i="12"/>
  <c r="I45" i="11"/>
  <c r="I45" i="9"/>
  <c r="Z44" i="8"/>
  <c r="Z44" i="12"/>
  <c r="Z44" i="11"/>
  <c r="Z44" i="9"/>
  <c r="N44" i="8"/>
  <c r="N44" i="12"/>
  <c r="N44" i="11"/>
  <c r="N44" i="9"/>
  <c r="AE43" i="8"/>
  <c r="AE43" i="12"/>
  <c r="AE43" i="11"/>
  <c r="AE43" i="9"/>
  <c r="S43" i="8"/>
  <c r="S43" i="12"/>
  <c r="S43" i="11"/>
  <c r="S43" i="9"/>
  <c r="G43" i="8"/>
  <c r="G43" i="12"/>
  <c r="G43" i="11"/>
  <c r="G43" i="9"/>
  <c r="X42" i="8"/>
  <c r="X42" i="12"/>
  <c r="X42" i="11"/>
  <c r="X42" i="9"/>
  <c r="L42" i="8"/>
  <c r="L42" i="12"/>
  <c r="L42" i="11"/>
  <c r="L42" i="9"/>
  <c r="AC41" i="12"/>
  <c r="AC41" i="8"/>
  <c r="AC41" i="11"/>
  <c r="AC41" i="9"/>
  <c r="Q41" i="12"/>
  <c r="Q41" i="8"/>
  <c r="Q41" i="11"/>
  <c r="Q41" i="9"/>
  <c r="E41" i="12"/>
  <c r="E41" i="8"/>
  <c r="E41" i="11"/>
  <c r="E41" i="9"/>
  <c r="V40" i="12"/>
  <c r="V40" i="8"/>
  <c r="V40" i="11"/>
  <c r="V40" i="9"/>
  <c r="J40" i="12"/>
  <c r="J40" i="8"/>
  <c r="J40" i="11"/>
  <c r="J40" i="9"/>
  <c r="AA39" i="8"/>
  <c r="AA39" i="12"/>
  <c r="AA39" i="11"/>
  <c r="AA39" i="9"/>
  <c r="O39" i="8"/>
  <c r="O39" i="12"/>
  <c r="O39" i="11"/>
  <c r="O39" i="9"/>
  <c r="AF38" i="8"/>
  <c r="AF38" i="12"/>
  <c r="AF38" i="11"/>
  <c r="AF38" i="9"/>
  <c r="T38" i="12"/>
  <c r="T38" i="8"/>
  <c r="T38" i="11"/>
  <c r="T38" i="9"/>
  <c r="H38" i="8"/>
  <c r="H38" i="12"/>
  <c r="H38" i="11"/>
  <c r="H38" i="9"/>
  <c r="Y37" i="12"/>
  <c r="Y37" i="8"/>
  <c r="Y37" i="11"/>
  <c r="Y37" i="9"/>
  <c r="M37" i="12"/>
  <c r="M37" i="8"/>
  <c r="M37" i="11"/>
  <c r="M37" i="9"/>
  <c r="AD36" i="12"/>
  <c r="AD36" i="8"/>
  <c r="AD36" i="11"/>
  <c r="AD36" i="9"/>
  <c r="R36" i="12"/>
  <c r="R36" i="8"/>
  <c r="R36" i="11"/>
  <c r="R36" i="9"/>
  <c r="F36" i="8"/>
  <c r="F36" i="12"/>
  <c r="F36" i="11"/>
  <c r="F36" i="9"/>
  <c r="W35" i="12"/>
  <c r="W35" i="8"/>
  <c r="W35" i="11"/>
  <c r="W35" i="9"/>
  <c r="K35" i="12"/>
  <c r="K35" i="8"/>
  <c r="K35" i="11"/>
  <c r="K35" i="9"/>
  <c r="AB34" i="12"/>
  <c r="AB34" i="8"/>
  <c r="AB34" i="11"/>
  <c r="AB34" i="9"/>
  <c r="P34" i="12"/>
  <c r="P34" i="8"/>
  <c r="P34" i="11"/>
  <c r="P34" i="9"/>
  <c r="D34" i="12"/>
  <c r="D34" i="8"/>
  <c r="D34" i="11"/>
  <c r="D34" i="9"/>
  <c r="C84" i="12"/>
  <c r="C84" i="11"/>
  <c r="C84" i="9"/>
  <c r="C84" i="8"/>
  <c r="C72" i="12"/>
  <c r="C72" i="11"/>
  <c r="C72" i="9"/>
  <c r="C72" i="8"/>
  <c r="AA94" i="12"/>
  <c r="AA94" i="11"/>
  <c r="AA94" i="9"/>
  <c r="AA94" i="8"/>
  <c r="O94" i="12"/>
  <c r="O94" i="11"/>
  <c r="O94" i="9"/>
  <c r="O94" i="8"/>
  <c r="AF93" i="12"/>
  <c r="AF93" i="11"/>
  <c r="AF93" i="9"/>
  <c r="AF93" i="8"/>
  <c r="T93" i="12"/>
  <c r="T93" i="11"/>
  <c r="T93" i="9"/>
  <c r="T93" i="8"/>
  <c r="H93" i="12"/>
  <c r="H93" i="11"/>
  <c r="H93" i="9"/>
  <c r="H93" i="8"/>
  <c r="Y92" i="12"/>
  <c r="Y92" i="11"/>
  <c r="Y92" i="9"/>
  <c r="Y92" i="8"/>
  <c r="M92" i="12"/>
  <c r="M92" i="11"/>
  <c r="M92" i="9"/>
  <c r="M92" i="8"/>
  <c r="AD91" i="12"/>
  <c r="AD91" i="11"/>
  <c r="AD91" i="9"/>
  <c r="AD91" i="8"/>
  <c r="R91" i="12"/>
  <c r="R91" i="11"/>
  <c r="R91" i="9"/>
  <c r="R91" i="8"/>
  <c r="F91" i="12"/>
  <c r="F91" i="11"/>
  <c r="F91" i="9"/>
  <c r="F91" i="8"/>
  <c r="W90" i="12"/>
  <c r="W90" i="11"/>
  <c r="W90" i="9"/>
  <c r="W90" i="8"/>
  <c r="K90" i="12"/>
  <c r="K90" i="11"/>
  <c r="K90" i="9"/>
  <c r="K90" i="8"/>
  <c r="AB89" i="12"/>
  <c r="AB89" i="11"/>
  <c r="AB89" i="9"/>
  <c r="AB89" i="8"/>
  <c r="P89" i="12"/>
  <c r="P89" i="11"/>
  <c r="P89" i="9"/>
  <c r="P89" i="8"/>
  <c r="D89" i="12"/>
  <c r="D89" i="11"/>
  <c r="D89" i="9"/>
  <c r="D89" i="8"/>
  <c r="U88" i="12"/>
  <c r="U88" i="11"/>
  <c r="U88" i="9"/>
  <c r="U88" i="8"/>
  <c r="I88" i="12"/>
  <c r="I88" i="11"/>
  <c r="I88" i="9"/>
  <c r="I88" i="8"/>
  <c r="Z87" i="12"/>
  <c r="Z87" i="11"/>
  <c r="Z87" i="9"/>
  <c r="Z87" i="8"/>
  <c r="N87" i="12"/>
  <c r="N87" i="11"/>
  <c r="N87" i="9"/>
  <c r="N87" i="8"/>
  <c r="AE86" i="12"/>
  <c r="AE86" i="11"/>
  <c r="AE86" i="9"/>
  <c r="AE86" i="8"/>
  <c r="S86" i="12"/>
  <c r="S86" i="11"/>
  <c r="S86" i="9"/>
  <c r="S86" i="8"/>
  <c r="G86" i="12"/>
  <c r="G86" i="11"/>
  <c r="G86" i="9"/>
  <c r="G86" i="8"/>
  <c r="X85" i="12"/>
  <c r="X85" i="11"/>
  <c r="X85" i="9"/>
  <c r="X85" i="8"/>
  <c r="L85" i="12"/>
  <c r="L85" i="11"/>
  <c r="L85" i="9"/>
  <c r="L85" i="8"/>
  <c r="AC84" i="12"/>
  <c r="AC84" i="11"/>
  <c r="AC84" i="9"/>
  <c r="AC84" i="8"/>
  <c r="Q84" i="12"/>
  <c r="Q84" i="11"/>
  <c r="Q84" i="9"/>
  <c r="Q84" i="8"/>
  <c r="E84" i="12"/>
  <c r="E84" i="11"/>
  <c r="E84" i="9"/>
  <c r="E84" i="8"/>
  <c r="V83" i="12"/>
  <c r="V83" i="11"/>
  <c r="V83" i="9"/>
  <c r="V83" i="8"/>
  <c r="J83" i="12"/>
  <c r="J83" i="11"/>
  <c r="J83" i="9"/>
  <c r="J83" i="8"/>
  <c r="AA82" i="12"/>
  <c r="AA82" i="11"/>
  <c r="AA82" i="9"/>
  <c r="AA82" i="8"/>
  <c r="O82" i="12"/>
  <c r="O82" i="11"/>
  <c r="O82" i="9"/>
  <c r="O82" i="8"/>
  <c r="AF81" i="12"/>
  <c r="AF81" i="11"/>
  <c r="AF81" i="9"/>
  <c r="AF81" i="8"/>
  <c r="T81" i="12"/>
  <c r="T81" i="11"/>
  <c r="T81" i="9"/>
  <c r="T81" i="8"/>
  <c r="H81" i="12"/>
  <c r="H81" i="11"/>
  <c r="H81" i="9"/>
  <c r="H81" i="8"/>
  <c r="Y80" i="12"/>
  <c r="Y80" i="11"/>
  <c r="Y80" i="9"/>
  <c r="Y80" i="8"/>
  <c r="M80" i="12"/>
  <c r="M80" i="11"/>
  <c r="M80" i="9"/>
  <c r="M80" i="8"/>
  <c r="AD79" i="12"/>
  <c r="AD79" i="11"/>
  <c r="AD79" i="9"/>
  <c r="AD79" i="8"/>
  <c r="R79" i="12"/>
  <c r="R79" i="11"/>
  <c r="R79" i="9"/>
  <c r="R79" i="8"/>
  <c r="F79" i="12"/>
  <c r="F79" i="11"/>
  <c r="F79" i="9"/>
  <c r="F79" i="8"/>
  <c r="W78" i="12"/>
  <c r="W78" i="11"/>
  <c r="W78" i="9"/>
  <c r="W78" i="8"/>
  <c r="K78" i="12"/>
  <c r="K78" i="11"/>
  <c r="K78" i="9"/>
  <c r="K78" i="8"/>
  <c r="AB77" i="12"/>
  <c r="AB77" i="11"/>
  <c r="AB77" i="9"/>
  <c r="AB77" i="8"/>
  <c r="P77" i="12"/>
  <c r="P77" i="11"/>
  <c r="P77" i="9"/>
  <c r="P77" i="8"/>
  <c r="D77" i="12"/>
  <c r="D77" i="11"/>
  <c r="D77" i="9"/>
  <c r="D77" i="8"/>
  <c r="U76" i="12"/>
  <c r="U76" i="11"/>
  <c r="U76" i="9"/>
  <c r="U76" i="8"/>
  <c r="I76" i="12"/>
  <c r="I76" i="11"/>
  <c r="I76" i="9"/>
  <c r="I76" i="8"/>
  <c r="Z75" i="12"/>
  <c r="Z75" i="11"/>
  <c r="Z75" i="9"/>
  <c r="Z75" i="8"/>
  <c r="N75" i="12"/>
  <c r="N75" i="11"/>
  <c r="N75" i="9"/>
  <c r="N75" i="8"/>
  <c r="AE74" i="12"/>
  <c r="AE74" i="11"/>
  <c r="AE74" i="9"/>
  <c r="AE74" i="8"/>
  <c r="S74" i="12"/>
  <c r="S74" i="11"/>
  <c r="S74" i="9"/>
  <c r="S74" i="8"/>
  <c r="G74" i="12"/>
  <c r="G74" i="11"/>
  <c r="G74" i="9"/>
  <c r="G74" i="8"/>
  <c r="X73" i="12"/>
  <c r="X73" i="11"/>
  <c r="X73" i="9"/>
  <c r="X73" i="8"/>
  <c r="L73" i="12"/>
  <c r="L73" i="11"/>
  <c r="L73" i="9"/>
  <c r="L73" i="8"/>
  <c r="AC72" i="12"/>
  <c r="AC72" i="11"/>
  <c r="AC72" i="9"/>
  <c r="AC72" i="8"/>
  <c r="Q72" i="12"/>
  <c r="Q72" i="11"/>
  <c r="Q72" i="9"/>
  <c r="Q72" i="8"/>
  <c r="E72" i="12"/>
  <c r="E72" i="11"/>
  <c r="E72" i="9"/>
  <c r="E72" i="8"/>
  <c r="V71" i="12"/>
  <c r="V71" i="11"/>
  <c r="V71" i="9"/>
  <c r="V71" i="8"/>
  <c r="J71" i="12"/>
  <c r="J71" i="11"/>
  <c r="J71" i="9"/>
  <c r="J71" i="8"/>
  <c r="AA70" i="12"/>
  <c r="AA70" i="11"/>
  <c r="AA70" i="9"/>
  <c r="AA70" i="8"/>
  <c r="O70" i="12"/>
  <c r="O70" i="11"/>
  <c r="O70" i="9"/>
  <c r="O70" i="8"/>
  <c r="AF69" i="12"/>
  <c r="AF69" i="11"/>
  <c r="AF69" i="9"/>
  <c r="AF69" i="8"/>
  <c r="T69" i="12"/>
  <c r="T69" i="11"/>
  <c r="T69" i="9"/>
  <c r="T69" i="8"/>
  <c r="H69" i="12"/>
  <c r="H69" i="11"/>
  <c r="H69" i="9"/>
  <c r="H69" i="8"/>
  <c r="Y68" i="12"/>
  <c r="Y68" i="11"/>
  <c r="Y68" i="9"/>
  <c r="Y68" i="8"/>
  <c r="M68" i="12"/>
  <c r="M68" i="11"/>
  <c r="M68" i="9"/>
  <c r="M68" i="8"/>
  <c r="AD67" i="12"/>
  <c r="AD67" i="11"/>
  <c r="AD67" i="9"/>
  <c r="AD67" i="8"/>
  <c r="R67" i="12"/>
  <c r="R67" i="11"/>
  <c r="R67" i="9"/>
  <c r="R67" i="8"/>
  <c r="F67" i="12"/>
  <c r="F67" i="11"/>
  <c r="F67" i="9"/>
  <c r="F67" i="8"/>
  <c r="W66" i="12"/>
  <c r="W66" i="11"/>
  <c r="W66" i="9"/>
  <c r="W66" i="8"/>
  <c r="K66" i="12"/>
  <c r="K66" i="11"/>
  <c r="K66" i="9"/>
  <c r="K66" i="8"/>
  <c r="AB65" i="12"/>
  <c r="AB65" i="11"/>
  <c r="AB65" i="9"/>
  <c r="AB65" i="8"/>
  <c r="P65" i="12"/>
  <c r="P65" i="11"/>
  <c r="P65" i="9"/>
  <c r="P65" i="8"/>
  <c r="D65" i="12"/>
  <c r="D65" i="11"/>
  <c r="D65" i="9"/>
  <c r="D65" i="8"/>
  <c r="C115" i="12"/>
  <c r="C115" i="11"/>
  <c r="C115" i="9"/>
  <c r="C115" i="8"/>
  <c r="C103" i="12"/>
  <c r="C103" i="11"/>
  <c r="C103" i="9"/>
  <c r="C103" i="8"/>
  <c r="AA125" i="12"/>
  <c r="AA125" i="11"/>
  <c r="AA125" i="9"/>
  <c r="AA125" i="8"/>
  <c r="O125" i="12"/>
  <c r="O125" i="11"/>
  <c r="O125" i="9"/>
  <c r="O125" i="8"/>
  <c r="AF124" i="12"/>
  <c r="AF124" i="11"/>
  <c r="AF124" i="9"/>
  <c r="AF124" i="8"/>
  <c r="T124" i="12"/>
  <c r="T124" i="11"/>
  <c r="T124" i="9"/>
  <c r="T124" i="8"/>
  <c r="H124" i="12"/>
  <c r="H124" i="11"/>
  <c r="H124" i="9"/>
  <c r="H124" i="8"/>
  <c r="Y123" i="12"/>
  <c r="Y123" i="11"/>
  <c r="Y123" i="8"/>
  <c r="Y123" i="9"/>
  <c r="M123" i="12"/>
  <c r="M123" i="11"/>
  <c r="M123" i="9"/>
  <c r="M123" i="8"/>
  <c r="AD122" i="12"/>
  <c r="AD122" i="11"/>
  <c r="AD122" i="9"/>
  <c r="AD122" i="8"/>
  <c r="R122" i="12"/>
  <c r="R122" i="11"/>
  <c r="R122" i="9"/>
  <c r="R122" i="8"/>
  <c r="F122" i="12"/>
  <c r="F122" i="11"/>
  <c r="F122" i="9"/>
  <c r="F122" i="8"/>
  <c r="W121" i="12"/>
  <c r="W121" i="11"/>
  <c r="W121" i="9"/>
  <c r="W121" i="8"/>
  <c r="K121" i="12"/>
  <c r="K121" i="11"/>
  <c r="K121" i="9"/>
  <c r="K121" i="8"/>
  <c r="AB120" i="12"/>
  <c r="AB120" i="11"/>
  <c r="AB120" i="9"/>
  <c r="AB120" i="8"/>
  <c r="P120" i="12"/>
  <c r="P120" i="11"/>
  <c r="P120" i="9"/>
  <c r="P120" i="8"/>
  <c r="D120" i="12"/>
  <c r="D120" i="11"/>
  <c r="D120" i="9"/>
  <c r="D120" i="8"/>
  <c r="U119" i="12"/>
  <c r="U119" i="11"/>
  <c r="U119" i="9"/>
  <c r="U119" i="8"/>
  <c r="I119" i="12"/>
  <c r="I119" i="11"/>
  <c r="I119" i="9"/>
  <c r="I119" i="8"/>
  <c r="Z118" i="12"/>
  <c r="Z118" i="11"/>
  <c r="Z118" i="9"/>
  <c r="Z118" i="8"/>
  <c r="N118" i="12"/>
  <c r="N118" i="11"/>
  <c r="N118" i="9"/>
  <c r="N118" i="8"/>
  <c r="AE117" i="12"/>
  <c r="AE117" i="11"/>
  <c r="AE117" i="9"/>
  <c r="AE117" i="8"/>
  <c r="S117" i="12"/>
  <c r="S117" i="11"/>
  <c r="S117" i="9"/>
  <c r="S117" i="8"/>
  <c r="G117" i="12"/>
  <c r="G117" i="11"/>
  <c r="G117" i="9"/>
  <c r="G117" i="8"/>
  <c r="X116" i="12"/>
  <c r="X116" i="11"/>
  <c r="X116" i="9"/>
  <c r="X116" i="8"/>
  <c r="L116" i="12"/>
  <c r="L116" i="11"/>
  <c r="L116" i="9"/>
  <c r="L116" i="8"/>
  <c r="AC115" i="12"/>
  <c r="AC115" i="11"/>
  <c r="AC115" i="9"/>
  <c r="AC115" i="8"/>
  <c r="Q115" i="12"/>
  <c r="Q115" i="11"/>
  <c r="Q115" i="9"/>
  <c r="Q115" i="8"/>
  <c r="E115" i="12"/>
  <c r="E115" i="11"/>
  <c r="E115" i="9"/>
  <c r="E115" i="8"/>
  <c r="V114" i="12"/>
  <c r="V114" i="11"/>
  <c r="V114" i="9"/>
  <c r="V114" i="8"/>
  <c r="J114" i="12"/>
  <c r="J114" i="11"/>
  <c r="J114" i="9"/>
  <c r="J114" i="8"/>
  <c r="AA113" i="12"/>
  <c r="AA113" i="11"/>
  <c r="AA113" i="9"/>
  <c r="AA113" i="8"/>
  <c r="O113" i="12"/>
  <c r="O113" i="11"/>
  <c r="O113" i="9"/>
  <c r="O113" i="8"/>
  <c r="AF112" i="12"/>
  <c r="AF112" i="11"/>
  <c r="AF112" i="9"/>
  <c r="AF112" i="8"/>
  <c r="T112" i="12"/>
  <c r="T112" i="11"/>
  <c r="T112" i="9"/>
  <c r="T112" i="8"/>
  <c r="H112" i="12"/>
  <c r="H112" i="11"/>
  <c r="H112" i="9"/>
  <c r="H112" i="8"/>
  <c r="Y111" i="12"/>
  <c r="Y111" i="11"/>
  <c r="Y111" i="9"/>
  <c r="Y111" i="8"/>
  <c r="M111" i="12"/>
  <c r="M111" i="11"/>
  <c r="M111" i="9"/>
  <c r="M111" i="8"/>
  <c r="AD110" i="12"/>
  <c r="AD110" i="11"/>
  <c r="AD110" i="9"/>
  <c r="AD110" i="8"/>
  <c r="R110" i="12"/>
  <c r="R110" i="11"/>
  <c r="R110" i="9"/>
  <c r="R110" i="8"/>
  <c r="F110" i="12"/>
  <c r="F110" i="11"/>
  <c r="F110" i="9"/>
  <c r="F110" i="8"/>
  <c r="W109" i="12"/>
  <c r="W109" i="11"/>
  <c r="W109" i="9"/>
  <c r="W109" i="8"/>
  <c r="K109" i="12"/>
  <c r="K109" i="11"/>
  <c r="K109" i="9"/>
  <c r="K109" i="8"/>
  <c r="AB108" i="12"/>
  <c r="AB108" i="11"/>
  <c r="AB108" i="9"/>
  <c r="AB108" i="8"/>
  <c r="P108" i="12"/>
  <c r="P108" i="11"/>
  <c r="P108" i="9"/>
  <c r="P108" i="8"/>
  <c r="D108" i="12"/>
  <c r="D108" i="11"/>
  <c r="D108" i="9"/>
  <c r="D108" i="8"/>
  <c r="U107" i="12"/>
  <c r="U107" i="11"/>
  <c r="U107" i="9"/>
  <c r="U107" i="8"/>
  <c r="I107" i="12"/>
  <c r="I107" i="11"/>
  <c r="I107" i="9"/>
  <c r="I107" i="8"/>
  <c r="Z106" i="12"/>
  <c r="Z106" i="11"/>
  <c r="Z106" i="9"/>
  <c r="Z106" i="8"/>
  <c r="N106" i="12"/>
  <c r="N106" i="11"/>
  <c r="N106" i="9"/>
  <c r="N106" i="8"/>
  <c r="AE105" i="12"/>
  <c r="AE105" i="11"/>
  <c r="AE105" i="9"/>
  <c r="AE105" i="8"/>
  <c r="S105" i="12"/>
  <c r="S105" i="11"/>
  <c r="S105" i="9"/>
  <c r="S105" i="8"/>
  <c r="G105" i="12"/>
  <c r="G105" i="11"/>
  <c r="G105" i="9"/>
  <c r="G105" i="8"/>
  <c r="X104" i="12"/>
  <c r="X104" i="11"/>
  <c r="X104" i="9"/>
  <c r="X104" i="8"/>
  <c r="L104" i="12"/>
  <c r="L104" i="11"/>
  <c r="L104" i="9"/>
  <c r="L104" i="8"/>
  <c r="AC103" i="12"/>
  <c r="AC103" i="11"/>
  <c r="AC103" i="9"/>
  <c r="AC103" i="8"/>
  <c r="Q103" i="12"/>
  <c r="Q103" i="11"/>
  <c r="Q103" i="9"/>
  <c r="Q103" i="8"/>
  <c r="E103" i="12"/>
  <c r="E103" i="11"/>
  <c r="E103" i="9"/>
  <c r="E103" i="8"/>
  <c r="V102" i="12"/>
  <c r="V102" i="11"/>
  <c r="V102" i="9"/>
  <c r="V102" i="8"/>
  <c r="J102" i="12"/>
  <c r="J102" i="11"/>
  <c r="J102" i="9"/>
  <c r="J102" i="8"/>
  <c r="AA101" i="12"/>
  <c r="AA101" i="11"/>
  <c r="AA101" i="9"/>
  <c r="AA101" i="8"/>
  <c r="O101" i="12"/>
  <c r="O101" i="11"/>
  <c r="O101" i="9"/>
  <c r="O101" i="8"/>
  <c r="AF100" i="12"/>
  <c r="AF100" i="11"/>
  <c r="AF100" i="9"/>
  <c r="AF100" i="8"/>
  <c r="T100" i="12"/>
  <c r="T100" i="11"/>
  <c r="T100" i="9"/>
  <c r="T100" i="8"/>
  <c r="H100" i="12"/>
  <c r="H100" i="11"/>
  <c r="H100" i="9"/>
  <c r="H100" i="8"/>
  <c r="Y99" i="12"/>
  <c r="Y99" i="11"/>
  <c r="Y99" i="9"/>
  <c r="Y99" i="8"/>
  <c r="M99" i="12"/>
  <c r="M99" i="11"/>
  <c r="M99" i="9"/>
  <c r="M99" i="8"/>
  <c r="AD98" i="12"/>
  <c r="AD98" i="11"/>
  <c r="AD98" i="9"/>
  <c r="AD98" i="8"/>
  <c r="R98" i="12"/>
  <c r="R98" i="11"/>
  <c r="R98" i="9"/>
  <c r="R98" i="8"/>
  <c r="F98" i="12"/>
  <c r="F98" i="11"/>
  <c r="F98" i="9"/>
  <c r="F98" i="8"/>
  <c r="W97" i="12"/>
  <c r="W97" i="11"/>
  <c r="W97" i="9"/>
  <c r="W97" i="8"/>
  <c r="K97" i="12"/>
  <c r="K97" i="11"/>
  <c r="K97" i="9"/>
  <c r="K97" i="8"/>
  <c r="AB96" i="12"/>
  <c r="AB96" i="11"/>
  <c r="AB96" i="9"/>
  <c r="AB96" i="8"/>
  <c r="P96" i="12"/>
  <c r="P96" i="11"/>
  <c r="P96" i="9"/>
  <c r="P96" i="8"/>
  <c r="D96" i="12"/>
  <c r="D96" i="11"/>
  <c r="D96" i="9"/>
  <c r="D96" i="8"/>
  <c r="C63" i="12"/>
  <c r="C63" i="11"/>
  <c r="J61" i="12"/>
  <c r="J61" i="8"/>
  <c r="J61" i="11"/>
  <c r="J61" i="9"/>
  <c r="R57" i="8"/>
  <c r="R57" i="12"/>
  <c r="R57" i="11"/>
  <c r="R57" i="9"/>
  <c r="I54" i="12"/>
  <c r="I54" i="8"/>
  <c r="I54" i="11"/>
  <c r="I54" i="9"/>
  <c r="Q50" i="12"/>
  <c r="Q50" i="8"/>
  <c r="Q50" i="11"/>
  <c r="Q50" i="9"/>
  <c r="H47" i="12"/>
  <c r="H47" i="8"/>
  <c r="H47" i="11"/>
  <c r="H47" i="9"/>
  <c r="U42" i="8"/>
  <c r="U42" i="12"/>
  <c r="U42" i="11"/>
  <c r="U42" i="9"/>
  <c r="G40" i="12"/>
  <c r="G40" i="8"/>
  <c r="G40" i="11"/>
  <c r="G40" i="9"/>
  <c r="AF35" i="12"/>
  <c r="AF35" i="8"/>
  <c r="AF35" i="11"/>
  <c r="AF35" i="9"/>
  <c r="AC93" i="12"/>
  <c r="AC93" i="11"/>
  <c r="AC93" i="9"/>
  <c r="AC93" i="8"/>
  <c r="H90" i="12"/>
  <c r="H90" i="11"/>
  <c r="H90" i="9"/>
  <c r="H90" i="8"/>
  <c r="P86" i="12"/>
  <c r="P86" i="11"/>
  <c r="P86" i="9"/>
  <c r="P86" i="8"/>
  <c r="X82" i="12"/>
  <c r="X82" i="11"/>
  <c r="X82" i="9"/>
  <c r="X82" i="8"/>
  <c r="O79" i="12"/>
  <c r="O79" i="11"/>
  <c r="O79" i="9"/>
  <c r="O79" i="8"/>
  <c r="F76" i="12"/>
  <c r="F76" i="11"/>
  <c r="F76" i="9"/>
  <c r="F76" i="8"/>
  <c r="AE71" i="12"/>
  <c r="AE71" i="11"/>
  <c r="AE71" i="9"/>
  <c r="AE71" i="8"/>
  <c r="AA67" i="12"/>
  <c r="AA67" i="11"/>
  <c r="AA67" i="9"/>
  <c r="AA67" i="8"/>
  <c r="C112" i="12"/>
  <c r="C112" i="11"/>
  <c r="C112" i="9"/>
  <c r="C112" i="8"/>
  <c r="AA122" i="12"/>
  <c r="AA122" i="11"/>
  <c r="AA122" i="9"/>
  <c r="AA122" i="8"/>
  <c r="W118" i="12"/>
  <c r="W118" i="11"/>
  <c r="W118" i="9"/>
  <c r="W118" i="8"/>
  <c r="N115" i="12"/>
  <c r="N115" i="11"/>
  <c r="N115" i="9"/>
  <c r="N115" i="8"/>
  <c r="E112" i="12"/>
  <c r="E112" i="11"/>
  <c r="E112" i="9"/>
  <c r="E112" i="8"/>
  <c r="M108" i="12"/>
  <c r="M108" i="11"/>
  <c r="M108" i="9"/>
  <c r="M108" i="8"/>
  <c r="Z103" i="12"/>
  <c r="Z103" i="11"/>
  <c r="Z103" i="9"/>
  <c r="Z103" i="8"/>
  <c r="E100" i="12"/>
  <c r="E100" i="11"/>
  <c r="E100" i="9"/>
  <c r="E100" i="8"/>
  <c r="AF63" i="8"/>
  <c r="AF63" i="12"/>
  <c r="AF63" i="11"/>
  <c r="AF63" i="9"/>
  <c r="I61" i="12"/>
  <c r="I61" i="8"/>
  <c r="I61" i="11"/>
  <c r="I61" i="9"/>
  <c r="L58" i="8"/>
  <c r="L58" i="12"/>
  <c r="L58" i="11"/>
  <c r="L58" i="9"/>
  <c r="Y53" i="12"/>
  <c r="Y53" i="8"/>
  <c r="Y53" i="11"/>
  <c r="Y53" i="9"/>
  <c r="P50" i="12"/>
  <c r="P50" i="8"/>
  <c r="P50" i="11"/>
  <c r="P50" i="9"/>
  <c r="G47" i="12"/>
  <c r="G47" i="8"/>
  <c r="G47" i="11"/>
  <c r="G47" i="9"/>
  <c r="T42" i="8"/>
  <c r="T42" i="12"/>
  <c r="T42" i="11"/>
  <c r="T42" i="9"/>
  <c r="K39" i="12"/>
  <c r="K39" i="8"/>
  <c r="K39" i="11"/>
  <c r="K39" i="9"/>
  <c r="G35" i="12"/>
  <c r="G35" i="8"/>
  <c r="G35" i="11"/>
  <c r="G35" i="9"/>
  <c r="P93" i="12"/>
  <c r="P93" i="11"/>
  <c r="P93" i="9"/>
  <c r="P93" i="8"/>
  <c r="G90" i="12"/>
  <c r="G90" i="11"/>
  <c r="G90" i="9"/>
  <c r="G90" i="8"/>
  <c r="O86" i="12"/>
  <c r="O86" i="11"/>
  <c r="O86" i="9"/>
  <c r="O86" i="8"/>
  <c r="F83" i="12"/>
  <c r="F83" i="11"/>
  <c r="F83" i="9"/>
  <c r="F83" i="8"/>
  <c r="AE78" i="12"/>
  <c r="AE78" i="11"/>
  <c r="AE78" i="9"/>
  <c r="AE78" i="8"/>
  <c r="V75" i="12"/>
  <c r="V75" i="11"/>
  <c r="V75" i="9"/>
  <c r="V75" i="8"/>
  <c r="AD71" i="12"/>
  <c r="AD71" i="11"/>
  <c r="AD71" i="9"/>
  <c r="AD71" i="8"/>
  <c r="AE66" i="12"/>
  <c r="AE66" i="11"/>
  <c r="AE66" i="9"/>
  <c r="AE66" i="8"/>
  <c r="K125" i="12"/>
  <c r="K125" i="11"/>
  <c r="K125" i="9"/>
  <c r="K125" i="8"/>
  <c r="G121" i="12"/>
  <c r="G121" i="11"/>
  <c r="G121" i="9"/>
  <c r="G121" i="8"/>
  <c r="AA117" i="12"/>
  <c r="AA117" i="11"/>
  <c r="AA117" i="9"/>
  <c r="AA117" i="8"/>
  <c r="R114" i="12"/>
  <c r="R114" i="11"/>
  <c r="R114" i="8"/>
  <c r="R114" i="9"/>
  <c r="Z110" i="12"/>
  <c r="Z110" i="11"/>
  <c r="Z110" i="9"/>
  <c r="Z110" i="8"/>
  <c r="V106" i="12"/>
  <c r="V106" i="11"/>
  <c r="V106" i="9"/>
  <c r="V106" i="8"/>
  <c r="R102" i="12"/>
  <c r="R102" i="11"/>
  <c r="R102" i="9"/>
  <c r="R102" i="8"/>
  <c r="I99" i="12"/>
  <c r="I99" i="11"/>
  <c r="I99" i="9"/>
  <c r="I99" i="8"/>
  <c r="C53" i="12"/>
  <c r="C53" i="11"/>
  <c r="C41" i="12"/>
  <c r="C41" i="11"/>
  <c r="Z63" i="12"/>
  <c r="Z63" i="8"/>
  <c r="Z63" i="11"/>
  <c r="Z63" i="9"/>
  <c r="N63" i="12"/>
  <c r="N63" i="8"/>
  <c r="N63" i="11"/>
  <c r="N63" i="9"/>
  <c r="AE62" i="12"/>
  <c r="AE62" i="8"/>
  <c r="AE62" i="11"/>
  <c r="AE62" i="9"/>
  <c r="S62" i="12"/>
  <c r="S62" i="8"/>
  <c r="S62" i="11"/>
  <c r="S62" i="9"/>
  <c r="G62" i="12"/>
  <c r="G62" i="8"/>
  <c r="G62" i="11"/>
  <c r="G62" i="9"/>
  <c r="X61" i="12"/>
  <c r="X61" i="8"/>
  <c r="X61" i="11"/>
  <c r="X61" i="9"/>
  <c r="L61" i="12"/>
  <c r="L61" i="8"/>
  <c r="L61" i="11"/>
  <c r="L61" i="9"/>
  <c r="AC60" i="12"/>
  <c r="AC60" i="8"/>
  <c r="AC60" i="11"/>
  <c r="AC60" i="9"/>
  <c r="Q60" i="12"/>
  <c r="Q60" i="8"/>
  <c r="Q60" i="11"/>
  <c r="Q60" i="9"/>
  <c r="E60" i="12"/>
  <c r="E60" i="8"/>
  <c r="E60" i="11"/>
  <c r="E60" i="9"/>
  <c r="V59" i="12"/>
  <c r="V59" i="8"/>
  <c r="V59" i="11"/>
  <c r="V59" i="9"/>
  <c r="J59" i="12"/>
  <c r="J59" i="8"/>
  <c r="J59" i="11"/>
  <c r="J59" i="9"/>
  <c r="AA58" i="8"/>
  <c r="AA58" i="12"/>
  <c r="AA58" i="11"/>
  <c r="AA58" i="9"/>
  <c r="O58" i="8"/>
  <c r="O58" i="12"/>
  <c r="O58" i="11"/>
  <c r="O58" i="9"/>
  <c r="AF57" i="8"/>
  <c r="AF57" i="12"/>
  <c r="AF57" i="11"/>
  <c r="AF57" i="9"/>
  <c r="T57" i="8"/>
  <c r="T57" i="12"/>
  <c r="T57" i="11"/>
  <c r="T57" i="9"/>
  <c r="H57" i="8"/>
  <c r="H57" i="12"/>
  <c r="H57" i="11"/>
  <c r="H57" i="9"/>
  <c r="Y56" i="8"/>
  <c r="Y56" i="12"/>
  <c r="Y56" i="11"/>
  <c r="Y56" i="9"/>
  <c r="M56" i="8"/>
  <c r="M56" i="12"/>
  <c r="M56" i="11"/>
  <c r="M56" i="9"/>
  <c r="AD55" i="8"/>
  <c r="AD55" i="12"/>
  <c r="AD55" i="11"/>
  <c r="AD55" i="9"/>
  <c r="R55" i="8"/>
  <c r="R55" i="12"/>
  <c r="R55" i="11"/>
  <c r="R55" i="9"/>
  <c r="F55" i="8"/>
  <c r="F55" i="12"/>
  <c r="F55" i="11"/>
  <c r="F55" i="9"/>
  <c r="W54" i="8"/>
  <c r="W54" i="12"/>
  <c r="W54" i="11"/>
  <c r="W54" i="9"/>
  <c r="K54" i="8"/>
  <c r="K54" i="12"/>
  <c r="K54" i="11"/>
  <c r="K54" i="9"/>
  <c r="AB53" i="12"/>
  <c r="AB53" i="8"/>
  <c r="AB53" i="11"/>
  <c r="AB53" i="9"/>
  <c r="P53" i="12"/>
  <c r="P53" i="8"/>
  <c r="P53" i="11"/>
  <c r="P53" i="9"/>
  <c r="D53" i="12"/>
  <c r="D53" i="8"/>
  <c r="D53" i="11"/>
  <c r="D53" i="9"/>
  <c r="U52" i="12"/>
  <c r="U52" i="8"/>
  <c r="U52" i="11"/>
  <c r="U52" i="9"/>
  <c r="I52" i="12"/>
  <c r="I52" i="8"/>
  <c r="I52" i="11"/>
  <c r="I52" i="9"/>
  <c r="Z51" i="12"/>
  <c r="Z51" i="8"/>
  <c r="Z51" i="11"/>
  <c r="Z51" i="9"/>
  <c r="N51" i="12"/>
  <c r="N51" i="8"/>
  <c r="N51" i="11"/>
  <c r="N51" i="9"/>
  <c r="AE50" i="12"/>
  <c r="AE50" i="8"/>
  <c r="AE50" i="11"/>
  <c r="AE50" i="9"/>
  <c r="S50" i="12"/>
  <c r="S50" i="8"/>
  <c r="S50" i="11"/>
  <c r="S50" i="9"/>
  <c r="G50" i="12"/>
  <c r="G50" i="8"/>
  <c r="G50" i="11"/>
  <c r="G50" i="9"/>
  <c r="X49" i="12"/>
  <c r="X49" i="8"/>
  <c r="X49" i="11"/>
  <c r="X49" i="9"/>
  <c r="L49" i="12"/>
  <c r="L49" i="8"/>
  <c r="L49" i="11"/>
  <c r="L49" i="9"/>
  <c r="AC48" i="12"/>
  <c r="AC48" i="8"/>
  <c r="AC48" i="11"/>
  <c r="AC48" i="9"/>
  <c r="Q48" i="12"/>
  <c r="Q48" i="8"/>
  <c r="Q48" i="11"/>
  <c r="Q48" i="9"/>
  <c r="E48" i="12"/>
  <c r="E48" i="8"/>
  <c r="E48" i="11"/>
  <c r="E48" i="9"/>
  <c r="V47" i="12"/>
  <c r="V47" i="8"/>
  <c r="V47" i="11"/>
  <c r="V47" i="9"/>
  <c r="J47" i="12"/>
  <c r="J47" i="8"/>
  <c r="J47" i="11"/>
  <c r="J47" i="9"/>
  <c r="AA46" i="8"/>
  <c r="AA46" i="12"/>
  <c r="AA46" i="11"/>
  <c r="AA46" i="9"/>
  <c r="O46" i="8"/>
  <c r="O46" i="12"/>
  <c r="O46" i="11"/>
  <c r="O46" i="9"/>
  <c r="AF45" i="8"/>
  <c r="AF45" i="12"/>
  <c r="AF45" i="11"/>
  <c r="AF45" i="9"/>
  <c r="T45" i="8"/>
  <c r="T45" i="12"/>
  <c r="T45" i="11"/>
  <c r="T45" i="9"/>
  <c r="H45" i="8"/>
  <c r="H45" i="12"/>
  <c r="H45" i="11"/>
  <c r="H45" i="9"/>
  <c r="Y44" i="8"/>
  <c r="Y44" i="12"/>
  <c r="Y44" i="11"/>
  <c r="Y44" i="9"/>
  <c r="M44" i="8"/>
  <c r="M44" i="12"/>
  <c r="M44" i="11"/>
  <c r="M44" i="9"/>
  <c r="AD43" i="8"/>
  <c r="AD43" i="12"/>
  <c r="AD43" i="11"/>
  <c r="AD43" i="9"/>
  <c r="R43" i="8"/>
  <c r="R43" i="12"/>
  <c r="R43" i="11"/>
  <c r="R43" i="9"/>
  <c r="F43" i="12"/>
  <c r="F43" i="8"/>
  <c r="F43" i="11"/>
  <c r="F43" i="9"/>
  <c r="W42" i="8"/>
  <c r="W42" i="12"/>
  <c r="W42" i="11"/>
  <c r="W42" i="9"/>
  <c r="K42" i="8"/>
  <c r="K42" i="12"/>
  <c r="K42" i="11"/>
  <c r="K42" i="9"/>
  <c r="AB41" i="12"/>
  <c r="AB41" i="8"/>
  <c r="AB41" i="11"/>
  <c r="AB41" i="9"/>
  <c r="P41" i="12"/>
  <c r="P41" i="8"/>
  <c r="P41" i="11"/>
  <c r="P41" i="9"/>
  <c r="D41" i="12"/>
  <c r="D41" i="8"/>
  <c r="D41" i="11"/>
  <c r="D41" i="9"/>
  <c r="U40" i="12"/>
  <c r="U40" i="8"/>
  <c r="U40" i="11"/>
  <c r="U40" i="9"/>
  <c r="I40" i="12"/>
  <c r="I40" i="8"/>
  <c r="I40" i="11"/>
  <c r="I40" i="9"/>
  <c r="Z39" i="8"/>
  <c r="Z39" i="12"/>
  <c r="Z39" i="11"/>
  <c r="Z39" i="9"/>
  <c r="N39" i="8"/>
  <c r="N39" i="12"/>
  <c r="N39" i="11"/>
  <c r="N39" i="9"/>
  <c r="AE38" i="8"/>
  <c r="AE38" i="12"/>
  <c r="AE38" i="11"/>
  <c r="AE38" i="9"/>
  <c r="S38" i="12"/>
  <c r="S38" i="8"/>
  <c r="S38" i="11"/>
  <c r="S38" i="9"/>
  <c r="G38" i="8"/>
  <c r="G38" i="12"/>
  <c r="G38" i="11"/>
  <c r="G38" i="9"/>
  <c r="X37" i="12"/>
  <c r="X37" i="8"/>
  <c r="X37" i="11"/>
  <c r="X37" i="9"/>
  <c r="L37" i="12"/>
  <c r="L37" i="8"/>
  <c r="L37" i="11"/>
  <c r="L37" i="9"/>
  <c r="AC36" i="8"/>
  <c r="AC36" i="12"/>
  <c r="AC36" i="11"/>
  <c r="AC36" i="9"/>
  <c r="Q36" i="12"/>
  <c r="Q36" i="8"/>
  <c r="Q36" i="11"/>
  <c r="Q36" i="9"/>
  <c r="E36" i="8"/>
  <c r="E36" i="12"/>
  <c r="E36" i="11"/>
  <c r="E36" i="9"/>
  <c r="V35" i="12"/>
  <c r="V35" i="8"/>
  <c r="V35" i="11"/>
  <c r="V35" i="9"/>
  <c r="J35" i="12"/>
  <c r="J35" i="8"/>
  <c r="J35" i="11"/>
  <c r="J35" i="9"/>
  <c r="AA34" i="12"/>
  <c r="AA34" i="8"/>
  <c r="AA34" i="11"/>
  <c r="AA34" i="9"/>
  <c r="O34" i="12"/>
  <c r="O34" i="8"/>
  <c r="O34" i="11"/>
  <c r="O34" i="9"/>
  <c r="C65" i="12"/>
  <c r="C65" i="8"/>
  <c r="C65" i="11"/>
  <c r="C65" i="9"/>
  <c r="C83" i="12"/>
  <c r="C83" i="11"/>
  <c r="C83" i="9"/>
  <c r="C83" i="8"/>
  <c r="C71" i="12"/>
  <c r="C71" i="11"/>
  <c r="C71" i="9"/>
  <c r="C71" i="8"/>
  <c r="Z94" i="12"/>
  <c r="Z94" i="11"/>
  <c r="Z94" i="9"/>
  <c r="Z94" i="8"/>
  <c r="N94" i="12"/>
  <c r="N94" i="11"/>
  <c r="N94" i="9"/>
  <c r="N94" i="8"/>
  <c r="AE93" i="12"/>
  <c r="AE93" i="11"/>
  <c r="AE93" i="9"/>
  <c r="AE93" i="8"/>
  <c r="S93" i="12"/>
  <c r="S93" i="11"/>
  <c r="S93" i="9"/>
  <c r="S93" i="8"/>
  <c r="G93" i="12"/>
  <c r="G93" i="11"/>
  <c r="G93" i="9"/>
  <c r="G93" i="8"/>
  <c r="X92" i="12"/>
  <c r="X92" i="11"/>
  <c r="X92" i="9"/>
  <c r="X92" i="8"/>
  <c r="L92" i="12"/>
  <c r="L92" i="11"/>
  <c r="L92" i="9"/>
  <c r="L92" i="8"/>
  <c r="AC91" i="12"/>
  <c r="AC91" i="11"/>
  <c r="AC91" i="9"/>
  <c r="AC91" i="8"/>
  <c r="Q91" i="12"/>
  <c r="Q91" i="11"/>
  <c r="Q91" i="9"/>
  <c r="Q91" i="8"/>
  <c r="E91" i="12"/>
  <c r="E91" i="11"/>
  <c r="E91" i="9"/>
  <c r="E91" i="8"/>
  <c r="V90" i="12"/>
  <c r="V90" i="11"/>
  <c r="V90" i="9"/>
  <c r="V90" i="8"/>
  <c r="J90" i="12"/>
  <c r="J90" i="11"/>
  <c r="J90" i="9"/>
  <c r="J90" i="8"/>
  <c r="AA89" i="12"/>
  <c r="AA89" i="11"/>
  <c r="AA89" i="9"/>
  <c r="AA89" i="8"/>
  <c r="O89" i="12"/>
  <c r="O89" i="11"/>
  <c r="O89" i="9"/>
  <c r="O89" i="8"/>
  <c r="AF88" i="12"/>
  <c r="AF88" i="11"/>
  <c r="AF88" i="9"/>
  <c r="AF88" i="8"/>
  <c r="T88" i="12"/>
  <c r="T88" i="11"/>
  <c r="T88" i="9"/>
  <c r="T88" i="8"/>
  <c r="H88" i="12"/>
  <c r="H88" i="11"/>
  <c r="H88" i="9"/>
  <c r="H88" i="8"/>
  <c r="Y87" i="12"/>
  <c r="Y87" i="11"/>
  <c r="Y87" i="9"/>
  <c r="Y87" i="8"/>
  <c r="M87" i="12"/>
  <c r="M87" i="11"/>
  <c r="M87" i="9"/>
  <c r="M87" i="8"/>
  <c r="AD86" i="12"/>
  <c r="AD86" i="11"/>
  <c r="AD86" i="9"/>
  <c r="AD86" i="8"/>
  <c r="R86" i="12"/>
  <c r="R86" i="11"/>
  <c r="R86" i="9"/>
  <c r="R86" i="8"/>
  <c r="F86" i="12"/>
  <c r="F86" i="11"/>
  <c r="F86" i="9"/>
  <c r="F86" i="8"/>
  <c r="W85" i="12"/>
  <c r="W85" i="11"/>
  <c r="W85" i="9"/>
  <c r="W85" i="8"/>
  <c r="K85" i="12"/>
  <c r="K85" i="11"/>
  <c r="K85" i="9"/>
  <c r="K85" i="8"/>
  <c r="AB84" i="12"/>
  <c r="AB84" i="11"/>
  <c r="AB84" i="9"/>
  <c r="AB84" i="8"/>
  <c r="P84" i="12"/>
  <c r="P84" i="11"/>
  <c r="P84" i="9"/>
  <c r="P84" i="8"/>
  <c r="D84" i="12"/>
  <c r="D84" i="11"/>
  <c r="D84" i="9"/>
  <c r="D84" i="8"/>
  <c r="U83" i="12"/>
  <c r="U83" i="11"/>
  <c r="U83" i="9"/>
  <c r="U83" i="8"/>
  <c r="I83" i="12"/>
  <c r="I83" i="11"/>
  <c r="I83" i="9"/>
  <c r="I83" i="8"/>
  <c r="Z82" i="12"/>
  <c r="Z82" i="11"/>
  <c r="Z82" i="9"/>
  <c r="Z82" i="8"/>
  <c r="N82" i="12"/>
  <c r="N82" i="11"/>
  <c r="N82" i="9"/>
  <c r="N82" i="8"/>
  <c r="AE81" i="12"/>
  <c r="AE81" i="11"/>
  <c r="AE81" i="9"/>
  <c r="AE81" i="8"/>
  <c r="S81" i="12"/>
  <c r="S81" i="11"/>
  <c r="S81" i="9"/>
  <c r="S81" i="8"/>
  <c r="G81" i="12"/>
  <c r="G81" i="11"/>
  <c r="G81" i="9"/>
  <c r="G81" i="8"/>
  <c r="X80" i="12"/>
  <c r="X80" i="11"/>
  <c r="X80" i="9"/>
  <c r="X80" i="8"/>
  <c r="L80" i="12"/>
  <c r="L80" i="11"/>
  <c r="L80" i="9"/>
  <c r="L80" i="8"/>
  <c r="AC79" i="12"/>
  <c r="AC79" i="11"/>
  <c r="AC79" i="9"/>
  <c r="AC79" i="8"/>
  <c r="Q79" i="12"/>
  <c r="Q79" i="11"/>
  <c r="Q79" i="9"/>
  <c r="Q79" i="8"/>
  <c r="E79" i="12"/>
  <c r="E79" i="11"/>
  <c r="E79" i="9"/>
  <c r="E79" i="8"/>
  <c r="V78" i="12"/>
  <c r="V78" i="11"/>
  <c r="V78" i="9"/>
  <c r="V78" i="8"/>
  <c r="J78" i="12"/>
  <c r="J78" i="11"/>
  <c r="J78" i="9"/>
  <c r="J78" i="8"/>
  <c r="AA77" i="12"/>
  <c r="AA77" i="11"/>
  <c r="AA77" i="9"/>
  <c r="AA77" i="8"/>
  <c r="O77" i="12"/>
  <c r="O77" i="11"/>
  <c r="O77" i="9"/>
  <c r="O77" i="8"/>
  <c r="AF76" i="12"/>
  <c r="AF76" i="11"/>
  <c r="AF76" i="9"/>
  <c r="AF76" i="8"/>
  <c r="T76" i="12"/>
  <c r="T76" i="11"/>
  <c r="T76" i="9"/>
  <c r="T76" i="8"/>
  <c r="H76" i="12"/>
  <c r="H76" i="11"/>
  <c r="H76" i="9"/>
  <c r="H76" i="8"/>
  <c r="Y75" i="12"/>
  <c r="Y75" i="11"/>
  <c r="Y75" i="9"/>
  <c r="Y75" i="8"/>
  <c r="M75" i="12"/>
  <c r="M75" i="11"/>
  <c r="M75" i="9"/>
  <c r="M75" i="8"/>
  <c r="AD74" i="12"/>
  <c r="AD74" i="11"/>
  <c r="AD74" i="9"/>
  <c r="AD74" i="8"/>
  <c r="R74" i="12"/>
  <c r="R74" i="11"/>
  <c r="R74" i="9"/>
  <c r="R74" i="8"/>
  <c r="F74" i="12"/>
  <c r="F74" i="11"/>
  <c r="F74" i="9"/>
  <c r="F74" i="8"/>
  <c r="W73" i="12"/>
  <c r="W73" i="11"/>
  <c r="W73" i="9"/>
  <c r="W73" i="8"/>
  <c r="K73" i="12"/>
  <c r="K73" i="11"/>
  <c r="K73" i="9"/>
  <c r="K73" i="8"/>
  <c r="AB72" i="12"/>
  <c r="AB72" i="11"/>
  <c r="AB72" i="9"/>
  <c r="AB72" i="8"/>
  <c r="P72" i="12"/>
  <c r="P72" i="11"/>
  <c r="P72" i="9"/>
  <c r="P72" i="8"/>
  <c r="D72" i="12"/>
  <c r="D72" i="11"/>
  <c r="D72" i="9"/>
  <c r="D72" i="8"/>
  <c r="U71" i="12"/>
  <c r="U71" i="11"/>
  <c r="U71" i="9"/>
  <c r="U71" i="8"/>
  <c r="I71" i="12"/>
  <c r="I71" i="11"/>
  <c r="I71" i="9"/>
  <c r="I71" i="8"/>
  <c r="Z70" i="12"/>
  <c r="Z70" i="11"/>
  <c r="Z70" i="9"/>
  <c r="Z70" i="8"/>
  <c r="N70" i="12"/>
  <c r="N70" i="11"/>
  <c r="N70" i="9"/>
  <c r="N70" i="8"/>
  <c r="AE69" i="12"/>
  <c r="AE69" i="11"/>
  <c r="AE69" i="9"/>
  <c r="AE69" i="8"/>
  <c r="S69" i="12"/>
  <c r="S69" i="11"/>
  <c r="S69" i="9"/>
  <c r="S69" i="8"/>
  <c r="G69" i="12"/>
  <c r="G69" i="11"/>
  <c r="G69" i="9"/>
  <c r="G69" i="8"/>
  <c r="X68" i="12"/>
  <c r="X68" i="11"/>
  <c r="X68" i="9"/>
  <c r="X68" i="8"/>
  <c r="L68" i="12"/>
  <c r="L68" i="11"/>
  <c r="L68" i="9"/>
  <c r="L68" i="8"/>
  <c r="AC67" i="12"/>
  <c r="AC67" i="11"/>
  <c r="AC67" i="9"/>
  <c r="AC67" i="8"/>
  <c r="Q67" i="12"/>
  <c r="Q67" i="11"/>
  <c r="Q67" i="9"/>
  <c r="Q67" i="8"/>
  <c r="E67" i="12"/>
  <c r="E67" i="11"/>
  <c r="E67" i="9"/>
  <c r="E67" i="8"/>
  <c r="V66" i="12"/>
  <c r="V66" i="11"/>
  <c r="V66" i="9"/>
  <c r="V66" i="8"/>
  <c r="J66" i="12"/>
  <c r="J66" i="11"/>
  <c r="J66" i="9"/>
  <c r="J66" i="8"/>
  <c r="AA65" i="12"/>
  <c r="AA65" i="11"/>
  <c r="AA65" i="9"/>
  <c r="AA65" i="8"/>
  <c r="O65" i="12"/>
  <c r="O65" i="11"/>
  <c r="O65" i="9"/>
  <c r="O65" i="8"/>
  <c r="C96" i="12"/>
  <c r="C96" i="11"/>
  <c r="C96" i="9"/>
  <c r="C96" i="8"/>
  <c r="C114" i="12"/>
  <c r="C114" i="11"/>
  <c r="C114" i="9"/>
  <c r="C114" i="8"/>
  <c r="C102" i="12"/>
  <c r="C102" i="11"/>
  <c r="C102" i="9"/>
  <c r="C102" i="8"/>
  <c r="Z125" i="12"/>
  <c r="Z125" i="11"/>
  <c r="Z125" i="9"/>
  <c r="Z125" i="8"/>
  <c r="N125" i="12"/>
  <c r="N125" i="11"/>
  <c r="N125" i="9"/>
  <c r="N125" i="8"/>
  <c r="AE124" i="12"/>
  <c r="AE124" i="11"/>
  <c r="AE124" i="9"/>
  <c r="AE124" i="8"/>
  <c r="S124" i="12"/>
  <c r="S124" i="11"/>
  <c r="S124" i="9"/>
  <c r="S124" i="8"/>
  <c r="G124" i="12"/>
  <c r="G124" i="11"/>
  <c r="G124" i="9"/>
  <c r="G124" i="8"/>
  <c r="X123" i="12"/>
  <c r="X123" i="11"/>
  <c r="X123" i="9"/>
  <c r="X123" i="8"/>
  <c r="L123" i="12"/>
  <c r="L123" i="11"/>
  <c r="L123" i="9"/>
  <c r="L123" i="8"/>
  <c r="AC122" i="12"/>
  <c r="AC122" i="11"/>
  <c r="AC122" i="9"/>
  <c r="AC122" i="8"/>
  <c r="Q122" i="12"/>
  <c r="Q122" i="11"/>
  <c r="Q122" i="9"/>
  <c r="Q122" i="8"/>
  <c r="E122" i="12"/>
  <c r="E122" i="11"/>
  <c r="E122" i="9"/>
  <c r="E122" i="8"/>
  <c r="V121" i="12"/>
  <c r="V121" i="11"/>
  <c r="V121" i="9"/>
  <c r="V121" i="8"/>
  <c r="J121" i="12"/>
  <c r="J121" i="11"/>
  <c r="J121" i="9"/>
  <c r="J121" i="8"/>
  <c r="AA120" i="12"/>
  <c r="AA120" i="11"/>
  <c r="AA120" i="9"/>
  <c r="AA120" i="8"/>
  <c r="O120" i="12"/>
  <c r="O120" i="11"/>
  <c r="O120" i="9"/>
  <c r="O120" i="8"/>
  <c r="AF119" i="12"/>
  <c r="AF119" i="11"/>
  <c r="AF119" i="9"/>
  <c r="AF119" i="8"/>
  <c r="T119" i="12"/>
  <c r="T119" i="11"/>
  <c r="T119" i="9"/>
  <c r="T119" i="8"/>
  <c r="H119" i="12"/>
  <c r="H119" i="11"/>
  <c r="H119" i="9"/>
  <c r="H119" i="8"/>
  <c r="Y118" i="12"/>
  <c r="Y118" i="11"/>
  <c r="Y118" i="9"/>
  <c r="Y118" i="8"/>
  <c r="M118" i="12"/>
  <c r="M118" i="11"/>
  <c r="M118" i="9"/>
  <c r="M118" i="8"/>
  <c r="AD117" i="12"/>
  <c r="AD117" i="11"/>
  <c r="AD117" i="9"/>
  <c r="AD117" i="8"/>
  <c r="R117" i="12"/>
  <c r="R117" i="11"/>
  <c r="R117" i="9"/>
  <c r="R117" i="8"/>
  <c r="F117" i="12"/>
  <c r="F117" i="11"/>
  <c r="F117" i="9"/>
  <c r="F117" i="8"/>
  <c r="W116" i="12"/>
  <c r="W116" i="11"/>
  <c r="W116" i="9"/>
  <c r="W116" i="8"/>
  <c r="K116" i="12"/>
  <c r="K116" i="11"/>
  <c r="K116" i="9"/>
  <c r="K116" i="8"/>
  <c r="AB115" i="12"/>
  <c r="AB115" i="11"/>
  <c r="AB115" i="9"/>
  <c r="AB115" i="8"/>
  <c r="P115" i="12"/>
  <c r="P115" i="11"/>
  <c r="P115" i="9"/>
  <c r="P115" i="8"/>
  <c r="D115" i="12"/>
  <c r="D115" i="11"/>
  <c r="D115" i="9"/>
  <c r="D115" i="8"/>
  <c r="U114" i="12"/>
  <c r="U114" i="11"/>
  <c r="U114" i="9"/>
  <c r="U114" i="8"/>
  <c r="I114" i="12"/>
  <c r="I114" i="11"/>
  <c r="I114" i="9"/>
  <c r="I114" i="8"/>
  <c r="Z113" i="12"/>
  <c r="Z113" i="11"/>
  <c r="Z113" i="9"/>
  <c r="Z113" i="8"/>
  <c r="N113" i="12"/>
  <c r="N113" i="11"/>
  <c r="N113" i="9"/>
  <c r="N113" i="8"/>
  <c r="AE112" i="12"/>
  <c r="AE112" i="11"/>
  <c r="AE112" i="9"/>
  <c r="AE112" i="8"/>
  <c r="S112" i="12"/>
  <c r="S112" i="11"/>
  <c r="S112" i="9"/>
  <c r="S112" i="8"/>
  <c r="G112" i="12"/>
  <c r="G112" i="11"/>
  <c r="G112" i="9"/>
  <c r="G112" i="8"/>
  <c r="X111" i="12"/>
  <c r="X111" i="11"/>
  <c r="X111" i="9"/>
  <c r="X111" i="8"/>
  <c r="L111" i="12"/>
  <c r="L111" i="11"/>
  <c r="L111" i="9"/>
  <c r="L111" i="8"/>
  <c r="AC110" i="12"/>
  <c r="AC110" i="11"/>
  <c r="AC110" i="9"/>
  <c r="AC110" i="8"/>
  <c r="Q110" i="12"/>
  <c r="Q110" i="11"/>
  <c r="Q110" i="9"/>
  <c r="Q110" i="8"/>
  <c r="E110" i="12"/>
  <c r="E110" i="11"/>
  <c r="E110" i="9"/>
  <c r="E110" i="8"/>
  <c r="V109" i="12"/>
  <c r="V109" i="11"/>
  <c r="V109" i="9"/>
  <c r="V109" i="8"/>
  <c r="J109" i="12"/>
  <c r="J109" i="11"/>
  <c r="J109" i="9"/>
  <c r="J109" i="8"/>
  <c r="AA108" i="12"/>
  <c r="AA108" i="11"/>
  <c r="AA108" i="9"/>
  <c r="AA108" i="8"/>
  <c r="O108" i="12"/>
  <c r="O108" i="11"/>
  <c r="O108" i="9"/>
  <c r="O108" i="8"/>
  <c r="AF107" i="12"/>
  <c r="AF107" i="11"/>
  <c r="AF107" i="9"/>
  <c r="AF107" i="8"/>
  <c r="T107" i="12"/>
  <c r="T107" i="11"/>
  <c r="T107" i="9"/>
  <c r="T107" i="8"/>
  <c r="H107" i="12"/>
  <c r="H107" i="11"/>
  <c r="H107" i="9"/>
  <c r="H107" i="8"/>
  <c r="Y106" i="12"/>
  <c r="Y106" i="11"/>
  <c r="Y106" i="9"/>
  <c r="Y106" i="8"/>
  <c r="M106" i="12"/>
  <c r="M106" i="11"/>
  <c r="M106" i="9"/>
  <c r="M106" i="8"/>
  <c r="AD105" i="12"/>
  <c r="AD105" i="11"/>
  <c r="AD105" i="9"/>
  <c r="AD105" i="8"/>
  <c r="R105" i="12"/>
  <c r="R105" i="11"/>
  <c r="R105" i="9"/>
  <c r="R105" i="8"/>
  <c r="F105" i="12"/>
  <c r="F105" i="11"/>
  <c r="F105" i="9"/>
  <c r="F105" i="8"/>
  <c r="W104" i="12"/>
  <c r="W104" i="11"/>
  <c r="W104" i="9"/>
  <c r="W104" i="8"/>
  <c r="K104" i="12"/>
  <c r="K104" i="11"/>
  <c r="K104" i="9"/>
  <c r="K104" i="8"/>
  <c r="AB103" i="12"/>
  <c r="AB103" i="11"/>
  <c r="AB103" i="9"/>
  <c r="AB103" i="8"/>
  <c r="P103" i="12"/>
  <c r="P103" i="11"/>
  <c r="P103" i="9"/>
  <c r="P103" i="8"/>
  <c r="D103" i="12"/>
  <c r="D103" i="11"/>
  <c r="D103" i="9"/>
  <c r="D103" i="8"/>
  <c r="U102" i="12"/>
  <c r="U102" i="11"/>
  <c r="U102" i="9"/>
  <c r="U102" i="8"/>
  <c r="I102" i="12"/>
  <c r="I102" i="11"/>
  <c r="I102" i="9"/>
  <c r="I102" i="8"/>
  <c r="Z101" i="12"/>
  <c r="Z101" i="11"/>
  <c r="Z101" i="9"/>
  <c r="Z101" i="8"/>
  <c r="N101" i="12"/>
  <c r="N101" i="11"/>
  <c r="N101" i="9"/>
  <c r="N101" i="8"/>
  <c r="AE100" i="12"/>
  <c r="AE100" i="11"/>
  <c r="AE100" i="9"/>
  <c r="AE100" i="8"/>
  <c r="S100" i="12"/>
  <c r="S100" i="11"/>
  <c r="S100" i="9"/>
  <c r="S100" i="8"/>
  <c r="G100" i="12"/>
  <c r="G100" i="11"/>
  <c r="G100" i="9"/>
  <c r="G100" i="8"/>
  <c r="X99" i="12"/>
  <c r="X99" i="11"/>
  <c r="X99" i="9"/>
  <c r="X99" i="8"/>
  <c r="L99" i="12"/>
  <c r="L99" i="11"/>
  <c r="L99" i="9"/>
  <c r="L99" i="8"/>
  <c r="AC98" i="12"/>
  <c r="AC98" i="11"/>
  <c r="AC98" i="9"/>
  <c r="AC98" i="8"/>
  <c r="Q98" i="12"/>
  <c r="Q98" i="11"/>
  <c r="Q98" i="9"/>
  <c r="Q98" i="8"/>
  <c r="E98" i="12"/>
  <c r="E98" i="11"/>
  <c r="E98" i="9"/>
  <c r="E98" i="8"/>
  <c r="V97" i="12"/>
  <c r="V97" i="11"/>
  <c r="V97" i="9"/>
  <c r="V97" i="8"/>
  <c r="J97" i="12"/>
  <c r="J97" i="11"/>
  <c r="J97" i="9"/>
  <c r="J97" i="8"/>
  <c r="AA96" i="12"/>
  <c r="AA96" i="11"/>
  <c r="AA96" i="9"/>
  <c r="AA96" i="8"/>
  <c r="O96" i="12"/>
  <c r="O96" i="11"/>
  <c r="O96" i="9"/>
  <c r="O96" i="8"/>
  <c r="U66" i="6"/>
  <c r="U76" i="6"/>
  <c r="Y74" i="6"/>
  <c r="Y70" i="6"/>
  <c r="Z58" i="6"/>
  <c r="Y58" i="6"/>
  <c r="AH51" i="6"/>
  <c r="AH52" i="6"/>
  <c r="V20" i="6"/>
  <c r="W20" i="6"/>
  <c r="Y21" i="6"/>
  <c r="Z21" i="6"/>
  <c r="V24" i="6"/>
  <c r="W24" i="6"/>
  <c r="Y25" i="6"/>
  <c r="R27" i="6"/>
  <c r="S27" i="6"/>
  <c r="T27" i="6"/>
  <c r="X27" i="6"/>
  <c r="R20" i="6"/>
  <c r="T21" i="6"/>
  <c r="V22" i="6"/>
  <c r="R26" i="6"/>
  <c r="Z27" i="6"/>
  <c r="Y26" i="6"/>
  <c r="Z26" i="6"/>
  <c r="W27" i="6"/>
  <c r="Q27" i="6"/>
  <c r="V27" i="6"/>
  <c r="Y27" i="6"/>
  <c r="X26" i="6"/>
  <c r="W26" i="6"/>
  <c r="V26" i="6"/>
  <c r="S26" i="6"/>
  <c r="Q26" i="6"/>
  <c r="X25" i="6"/>
  <c r="W25" i="6"/>
  <c r="V25" i="6"/>
  <c r="S25" i="6"/>
  <c r="R25" i="6"/>
  <c r="Q25" i="6"/>
  <c r="X24" i="6"/>
  <c r="S24" i="6"/>
  <c r="R24" i="6"/>
  <c r="Q24" i="6"/>
  <c r="V23" i="6"/>
  <c r="R23" i="6"/>
  <c r="Q23" i="6"/>
  <c r="Z22" i="6"/>
  <c r="Y22" i="6"/>
  <c r="X22" i="6"/>
  <c r="W22" i="6"/>
  <c r="U22" i="6"/>
  <c r="T22" i="6"/>
  <c r="S22" i="6"/>
  <c r="R22" i="6"/>
  <c r="Q22" i="6"/>
  <c r="X21" i="6"/>
  <c r="W21" i="6"/>
  <c r="V21" i="6"/>
  <c r="U21" i="6"/>
  <c r="S21" i="6"/>
  <c r="R21" i="6"/>
  <c r="Q21" i="6"/>
  <c r="Y20" i="6"/>
  <c r="X20" i="6"/>
  <c r="S20" i="6"/>
  <c r="Q20" i="6"/>
  <c r="W19" i="6"/>
  <c r="V19" i="6"/>
  <c r="S19" i="6"/>
  <c r="R19" i="6"/>
  <c r="Q19" i="6"/>
  <c r="V18" i="6"/>
  <c r="R18" i="6"/>
  <c r="Z70" i="6"/>
  <c r="Y63" i="6"/>
  <c r="X63" i="6"/>
  <c r="U71" i="6"/>
  <c r="T60" i="6"/>
  <c r="S58" i="6"/>
  <c r="L3" i="6"/>
  <c r="L4" i="6" s="1"/>
  <c r="L5" i="6" s="1"/>
  <c r="L6" i="6" s="1"/>
  <c r="L7" i="6" s="1"/>
  <c r="L8" i="6" s="1"/>
  <c r="L9" i="6" s="1"/>
  <c r="L10" i="6" s="1"/>
  <c r="L11" i="6" s="1"/>
  <c r="L12" i="6" s="1"/>
  <c r="L13" i="6" s="1"/>
  <c r="G7" i="5"/>
  <c r="K10" i="5"/>
  <c r="G10" i="5"/>
  <c r="G13" i="5"/>
  <c r="A4" i="5"/>
  <c r="G57" i="1"/>
  <c r="G55" i="1"/>
  <c r="G53" i="1"/>
  <c r="G51" i="1"/>
  <c r="G49" i="1"/>
  <c r="G47" i="1"/>
  <c r="G45" i="1"/>
  <c r="A43" i="1"/>
  <c r="A44" i="1" l="1"/>
  <c r="H53" i="1"/>
  <c r="J49" i="1"/>
  <c r="CB4" i="5"/>
  <c r="CB35" i="5"/>
  <c r="CP6" i="5"/>
  <c r="CP20" i="5"/>
  <c r="AK42" i="5"/>
  <c r="BO22" i="5"/>
  <c r="AK19" i="5"/>
  <c r="BN19" i="5"/>
  <c r="BN34" i="5"/>
  <c r="BN4" i="5"/>
  <c r="J22" i="5"/>
  <c r="S69" i="6"/>
  <c r="S63" i="6"/>
  <c r="X69" i="6"/>
  <c r="S80" i="6"/>
  <c r="T4" i="6"/>
  <c r="S52" i="6"/>
  <c r="T3" i="6"/>
  <c r="S85" i="6"/>
  <c r="S47" i="6"/>
  <c r="T49" i="6"/>
  <c r="T87" i="6"/>
  <c r="T88" i="6"/>
  <c r="T85" i="6"/>
  <c r="T81" i="6"/>
  <c r="T80" i="6"/>
  <c r="T52" i="6"/>
  <c r="T48" i="6"/>
  <c r="T54" i="6"/>
  <c r="AH56" i="6" s="1"/>
  <c r="T55" i="6"/>
  <c r="T82" i="6"/>
  <c r="T86" i="6"/>
  <c r="T53" i="6"/>
  <c r="T47" i="6"/>
  <c r="U55" i="6"/>
  <c r="U88" i="6"/>
  <c r="U81" i="6"/>
  <c r="U47" i="6"/>
  <c r="U80" i="6"/>
  <c r="U54" i="6"/>
  <c r="U52" i="6"/>
  <c r="U48" i="6"/>
  <c r="U56" i="6"/>
  <c r="U87" i="6"/>
  <c r="U53" i="6"/>
  <c r="U49" i="6"/>
  <c r="U82" i="6"/>
  <c r="U86" i="6"/>
  <c r="U85" i="6"/>
  <c r="Z64" i="6"/>
  <c r="U75" i="6"/>
  <c r="T69" i="6"/>
  <c r="T59" i="6"/>
  <c r="Y69" i="6"/>
  <c r="Y59" i="6"/>
  <c r="T64" i="6"/>
  <c r="W52" i="6"/>
  <c r="W47" i="6"/>
  <c r="AH53" i="6" s="1"/>
  <c r="Z71" i="6"/>
  <c r="T63" i="6"/>
  <c r="T58" i="6"/>
  <c r="S74" i="6"/>
  <c r="X52" i="6"/>
  <c r="X85" i="6"/>
  <c r="X47" i="6"/>
  <c r="X48" i="6"/>
  <c r="X80" i="6"/>
  <c r="Z75" i="6"/>
  <c r="Z60" i="6"/>
  <c r="T65" i="6"/>
  <c r="U63" i="6"/>
  <c r="Y47" i="6"/>
  <c r="Y53" i="6"/>
  <c r="Y48" i="6"/>
  <c r="Y85" i="6"/>
  <c r="Y80" i="6"/>
  <c r="Y81" i="6"/>
  <c r="Y52" i="6"/>
  <c r="T77" i="6"/>
  <c r="T66" i="6"/>
  <c r="T70" i="6"/>
  <c r="Z47" i="6"/>
  <c r="Z81" i="6"/>
  <c r="Z86" i="6"/>
  <c r="Z82" i="6"/>
  <c r="Z49" i="6"/>
  <c r="Z54" i="6"/>
  <c r="Z52" i="6"/>
  <c r="Z48" i="6"/>
  <c r="Z53" i="6"/>
  <c r="Z80" i="6"/>
  <c r="Z85" i="6"/>
  <c r="U70" i="6"/>
  <c r="U60" i="6"/>
  <c r="Z74" i="6"/>
  <c r="Z69" i="6"/>
  <c r="T74" i="6"/>
  <c r="U74" i="6"/>
  <c r="U69" i="6"/>
  <c r="T76" i="6"/>
  <c r="T71" i="6"/>
  <c r="X58" i="6"/>
  <c r="X74" i="6"/>
  <c r="U59" i="6"/>
  <c r="T75" i="6"/>
  <c r="U65" i="6"/>
  <c r="U64" i="6"/>
  <c r="U77" i="6"/>
  <c r="Z59" i="6"/>
  <c r="AH55" i="6" s="1"/>
  <c r="U58" i="6"/>
  <c r="Z63" i="6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H39" i="5" s="1"/>
  <c r="J39" i="5"/>
  <c r="G25" i="1"/>
  <c r="G11" i="1"/>
  <c r="G12" i="1"/>
  <c r="G13" i="1"/>
  <c r="G14" i="1"/>
  <c r="G15" i="1"/>
  <c r="G26" i="1"/>
  <c r="G27" i="1"/>
  <c r="G4" i="1"/>
  <c r="G5" i="1"/>
  <c r="G6" i="1"/>
  <c r="G7" i="1"/>
  <c r="G8" i="1"/>
  <c r="G9" i="1"/>
  <c r="G10" i="1"/>
  <c r="G16" i="1"/>
  <c r="G17" i="1"/>
  <c r="G18" i="1"/>
  <c r="G19" i="1"/>
  <c r="G20" i="1"/>
  <c r="G21" i="1"/>
  <c r="G22" i="1"/>
  <c r="G23" i="1"/>
  <c r="G24" i="1"/>
  <c r="G28" i="1"/>
  <c r="G29" i="1"/>
  <c r="G30" i="1"/>
  <c r="G31" i="1"/>
  <c r="G32" i="1"/>
  <c r="G3" i="1"/>
  <c r="L22" i="5" l="1"/>
  <c r="CD7" i="5"/>
  <c r="BO13" i="5"/>
  <c r="BQ40" i="5"/>
  <c r="BN10" i="5"/>
  <c r="AM28" i="5"/>
  <c r="BP25" i="5"/>
  <c r="AN25" i="5"/>
  <c r="CR29" i="5"/>
  <c r="BP40" i="5"/>
  <c r="CQ26" i="5"/>
  <c r="CQ23" i="5"/>
  <c r="AL42" i="5"/>
  <c r="AK33" i="5"/>
  <c r="CC41" i="5"/>
  <c r="CB10" i="5"/>
  <c r="BO7" i="5"/>
  <c r="A45" i="1"/>
  <c r="CD38" i="5"/>
  <c r="BN40" i="5"/>
  <c r="BO40" i="5"/>
  <c r="AL39" i="5"/>
  <c r="AO25" i="5"/>
  <c r="K22" i="5"/>
  <c r="BR25" i="5"/>
  <c r="CC7" i="5"/>
  <c r="BN37" i="5"/>
  <c r="AM36" i="5"/>
  <c r="CP12" i="5"/>
  <c r="CC38" i="5"/>
  <c r="BP7" i="5"/>
  <c r="CP23" i="5"/>
  <c r="AO19" i="5"/>
  <c r="BN28" i="5"/>
  <c r="AN19" i="5"/>
  <c r="BO10" i="5"/>
  <c r="CD41" i="5"/>
  <c r="CR26" i="5"/>
  <c r="CC10" i="5"/>
  <c r="BN13" i="5"/>
  <c r="BO25" i="5"/>
  <c r="AO28" i="5"/>
  <c r="CP15" i="5"/>
  <c r="AK25" i="5"/>
  <c r="CR23" i="5"/>
  <c r="BP10" i="5"/>
  <c r="CS12" i="5"/>
  <c r="BN7" i="5"/>
  <c r="BN25" i="5"/>
  <c r="AM39" i="5"/>
  <c r="BN22" i="5"/>
  <c r="BR10" i="5"/>
  <c r="CP9" i="5"/>
  <c r="AO42" i="5"/>
  <c r="AN42" i="5"/>
  <c r="AM42" i="5"/>
  <c r="AK36" i="5"/>
  <c r="AN39" i="5"/>
  <c r="CQ29" i="5"/>
  <c r="CB38" i="5"/>
  <c r="CB44" i="5"/>
  <c r="CQ15" i="5"/>
  <c r="AM25" i="5"/>
  <c r="AL25" i="5"/>
  <c r="BP37" i="5"/>
  <c r="AK28" i="5"/>
  <c r="CP29" i="5"/>
  <c r="BN43" i="5"/>
  <c r="CD10" i="5"/>
  <c r="BO37" i="5"/>
  <c r="AM19" i="5"/>
  <c r="AL19" i="5"/>
  <c r="AN36" i="5"/>
  <c r="AK22" i="5"/>
  <c r="CR6" i="5"/>
  <c r="CP26" i="5"/>
  <c r="CC13" i="5"/>
  <c r="BO43" i="5"/>
  <c r="CQ9" i="5"/>
  <c r="CS20" i="5"/>
  <c r="BP22" i="5"/>
  <c r="CQ20" i="5"/>
  <c r="CR12" i="5"/>
  <c r="AN28" i="5"/>
  <c r="BR40" i="5"/>
  <c r="CB7" i="5"/>
  <c r="AO36" i="5"/>
  <c r="CR15" i="5"/>
  <c r="CR9" i="5"/>
  <c r="AL36" i="5"/>
  <c r="CQ6" i="5"/>
  <c r="CR20" i="5"/>
  <c r="BQ25" i="5"/>
  <c r="CB41" i="5"/>
  <c r="CC44" i="5"/>
  <c r="BQ10" i="5"/>
  <c r="CS15" i="5"/>
  <c r="AL28" i="5"/>
  <c r="CQ12" i="5"/>
  <c r="BO28" i="5"/>
  <c r="CB13" i="5"/>
  <c r="AK39" i="5"/>
  <c r="J4" i="5"/>
  <c r="H10" i="5"/>
  <c r="I25" i="5"/>
  <c r="K33" i="5"/>
  <c r="J33" i="5"/>
  <c r="L13" i="5"/>
  <c r="L19" i="5"/>
  <c r="K19" i="5"/>
  <c r="J10" i="5"/>
  <c r="K13" i="5"/>
  <c r="I10" i="5"/>
  <c r="I33" i="5"/>
  <c r="L33" i="5"/>
  <c r="K25" i="5"/>
  <c r="I7" i="5"/>
  <c r="I28" i="5"/>
  <c r="J7" i="5"/>
  <c r="J13" i="5"/>
  <c r="L7" i="5"/>
  <c r="J19" i="5"/>
  <c r="H25" i="5"/>
  <c r="H28" i="5"/>
  <c r="I39" i="5"/>
  <c r="I36" i="5"/>
  <c r="I19" i="5"/>
  <c r="I4" i="5"/>
  <c r="K28" i="5"/>
  <c r="I42" i="5"/>
  <c r="I22" i="5"/>
  <c r="H36" i="5"/>
  <c r="H4" i="5"/>
  <c r="J28" i="5"/>
  <c r="H19" i="5"/>
  <c r="H22" i="5"/>
  <c r="J25" i="5"/>
  <c r="I13" i="5"/>
  <c r="H13" i="5"/>
  <c r="H42" i="5"/>
  <c r="K7" i="5"/>
  <c r="H33" i="5"/>
  <c r="J36" i="5"/>
  <c r="H7" i="5"/>
  <c r="A46" i="1" l="1"/>
  <c r="I47" i="1"/>
  <c r="L49" i="1"/>
  <c r="L53" i="1"/>
  <c r="A47" i="1" l="1"/>
  <c r="A48" i="1" l="1"/>
  <c r="K47" i="1"/>
  <c r="A49" i="1" l="1"/>
  <c r="A50" i="1" l="1"/>
  <c r="L51" i="1"/>
  <c r="J55" i="1"/>
  <c r="A51" i="1" l="1"/>
  <c r="A52" i="1" l="1"/>
  <c r="H57" i="1"/>
  <c r="H47" i="1" l="1"/>
  <c r="A53" i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I51" i="1" s="1"/>
  <c r="L55" i="1"/>
  <c r="H51" i="1"/>
  <c r="H49" i="1"/>
  <c r="J57" i="1"/>
  <c r="H45" i="1"/>
  <c r="H55" i="1"/>
  <c r="A74" i="1" l="1"/>
  <c r="A75" i="1" s="1"/>
  <c r="L57" i="1"/>
  <c r="N45" i="1"/>
  <c r="I43" i="1"/>
  <c r="J51" i="1"/>
  <c r="M47" i="1"/>
  <c r="N55" i="1"/>
  <c r="K43" i="1"/>
  <c r="J43" i="1"/>
  <c r="M55" i="1"/>
  <c r="J53" i="1"/>
  <c r="J45" i="1"/>
  <c r="L45" i="1"/>
  <c r="M43" i="1"/>
  <c r="I45" i="1"/>
  <c r="K57" i="1"/>
  <c r="I55" i="1"/>
  <c r="K45" i="1"/>
  <c r="H43" i="1"/>
  <c r="I53" i="1"/>
  <c r="K55" i="1" l="1"/>
  <c r="M45" i="1"/>
  <c r="L47" i="1"/>
  <c r="K51" i="1"/>
  <c r="I57" i="1"/>
  <c r="J47" i="1"/>
  <c r="K49" i="1"/>
  <c r="I49" i="1"/>
  <c r="K53" i="1"/>
  <c r="L43" i="1"/>
</calcChain>
</file>

<file path=xl/sharedStrings.xml><?xml version="1.0" encoding="utf-8"?>
<sst xmlns="http://schemas.openxmlformats.org/spreadsheetml/2006/main" count="2499" uniqueCount="105">
  <si>
    <t>trip_id</t>
  </si>
  <si>
    <t>duration</t>
  </si>
  <si>
    <t>dep_terminal</t>
  </si>
  <si>
    <t>arr_terminal</t>
  </si>
  <si>
    <t>dep_time</t>
  </si>
  <si>
    <t>arr_time</t>
  </si>
  <si>
    <t>AB1</t>
  </si>
  <si>
    <t>Terminal A</t>
  </si>
  <si>
    <t>Terminal B</t>
  </si>
  <si>
    <t>AB2</t>
  </si>
  <si>
    <t>AB3</t>
  </si>
  <si>
    <t>AB4</t>
  </si>
  <si>
    <t>AB5</t>
  </si>
  <si>
    <t>AB6</t>
  </si>
  <si>
    <t>AB7</t>
  </si>
  <si>
    <t>AB8</t>
  </si>
  <si>
    <t>Terminal</t>
  </si>
  <si>
    <t>Min_Layover</t>
  </si>
  <si>
    <t>AC1</t>
  </si>
  <si>
    <t>Terminal C</t>
  </si>
  <si>
    <t>AC2</t>
  </si>
  <si>
    <t>AC3</t>
  </si>
  <si>
    <t>AC4</t>
  </si>
  <si>
    <t>AC5</t>
  </si>
  <si>
    <t>AD1</t>
  </si>
  <si>
    <t>Terminal D</t>
  </si>
  <si>
    <t>BA1</t>
  </si>
  <si>
    <t>BA2</t>
  </si>
  <si>
    <t>BA3</t>
  </si>
  <si>
    <t>BA4</t>
  </si>
  <si>
    <t>BA5</t>
  </si>
  <si>
    <t>BA6</t>
  </si>
  <si>
    <t>BA7</t>
  </si>
  <si>
    <t>BA8</t>
  </si>
  <si>
    <t>CA1</t>
  </si>
  <si>
    <t>CA2</t>
  </si>
  <si>
    <t>CA3</t>
  </si>
  <si>
    <t>CA4</t>
  </si>
  <si>
    <t>CA5</t>
  </si>
  <si>
    <t>CD1</t>
  </si>
  <si>
    <t>DA1</t>
  </si>
  <si>
    <t>DC1</t>
  </si>
  <si>
    <t>CS</t>
  </si>
  <si>
    <t>(MAX_DURATION == 500, time to recharge = 100 seconds)</t>
  </si>
  <si>
    <t>MAX_DURATION</t>
  </si>
  <si>
    <t>cost_to_cs</t>
  </si>
  <si>
    <t>DEPOT</t>
  </si>
  <si>
    <t>-</t>
  </si>
  <si>
    <t>CS1</t>
  </si>
  <si>
    <t>Solution</t>
  </si>
  <si>
    <t>CPLEX</t>
  </si>
  <si>
    <t>ID</t>
  </si>
  <si>
    <t>Trips</t>
  </si>
  <si>
    <t>RESULTS</t>
  </si>
  <si>
    <t>\gamma</t>
  </si>
  <si>
    <t>\delta</t>
  </si>
  <si>
    <t>\phi</t>
  </si>
  <si>
    <t>CS2</t>
  </si>
  <si>
    <t>CS3</t>
  </si>
  <si>
    <t>phi</t>
  </si>
  <si>
    <t>\zeta</t>
  </si>
  <si>
    <t>r</t>
  </si>
  <si>
    <t>i</t>
  </si>
  <si>
    <t>j</t>
  </si>
  <si>
    <t>x</t>
  </si>
  <si>
    <t>y</t>
  </si>
  <si>
    <t>ZETA</t>
  </si>
  <si>
    <t>TMAX</t>
  </si>
  <si>
    <t>dep_min</t>
  </si>
  <si>
    <t>arr_min</t>
  </si>
  <si>
    <t>(VLOOKUP(AE$1,test!$A$3:$F$32,8,FALSE))-(VLOOKUP($A3,test!$A$3:$F$32,9,FALSE))</t>
  </si>
  <si>
    <t>IF(AND(SUM(VLOOKUP($A3,test!$A$3:$F$32,2,FALSE),VLOOKUP(D$1,test!$A$3:$F$32,2,FALSE))&lt;test!$K$16,$A3&lt;&gt;D$1,feasible_mat!D3=1),(VLOOKUP(D$1,test!$A$3:$I$32,8,FALSE))-(VLOOKUP($A3,test!$A$3:$I$32,9,FALSE)),0)</t>
  </si>
  <si>
    <t>IF(AND(SUM(VLOOKUP($O80,$A$2:$L$12,2,FALSE),VLOOKUP(S$45,$A$2:$L$12,2,FALSE))&lt;$R$14,$O80&lt;&gt;S$45,E54=1),(VLOOKUP(S$45,$A$2:$L$12,8,FALSE))-(VLOOKUP($O80,$A$2:$L$12,9,FALSE))-$B$15,0)</t>
  </si>
  <si>
    <t>CPLEX#3CSs</t>
  </si>
  <si>
    <t>CPLEX#2CSs</t>
  </si>
  <si>
    <t>CPLEX#1CS</t>
  </si>
  <si>
    <t>IDLES + charging</t>
  </si>
  <si>
    <t>CPLEX#3CS</t>
  </si>
  <si>
    <t>(MAX_DURATION == 350, time to recharge = 100mins)</t>
  </si>
  <si>
    <t>IF(AND(SUM(VLOOKUP($A30,test!$A$3:$F$32,2,FALSE),VLOOKUP(D$1,test!$A$3:$F$32,2,FALSE))&lt;test!$K$16,$A30&lt;&gt;B$1,feasible_mat!B30=1),SUM(VLOOKUP($A30,test!$A$3:$F$32,2,FALSE)),0)</t>
  </si>
  <si>
    <t>CPLEX#2CS</t>
  </si>
  <si>
    <t>Single Objective</t>
  </si>
  <si>
    <t>MultiObjective</t>
  </si>
  <si>
    <t>CPLEX#1CSs</t>
  </si>
  <si>
    <t>IF(AND(SUM(VLOOKUP($A11,test!$A$3:$F$32,2,FALSE),VLOOKUP(AE$1,test!$A$3:$F$32,2,FALSE))&lt;=test!$K$16,$A11&lt;&gt;AE$1,feasible_mat!AE11=1),(VLOOKUP(AE$1,test!$A$3:$I$32,8,FALSE))-(VLOOKUP($A11,test!$A$3:$I$32,9,FALSE)),0)</t>
  </si>
  <si>
    <t>IF(SUM(VLOOKUP($A11,test!$A$3:$F$32,2,FALSE),VLOOKUP(AF$1,test!$A$3:$F$32,2,FALSE))&lt;=test!$K$16,IF(AND($A11&lt;&gt;AF$1,feasible_mat!AF11=1),(VLOOKUP(AF$1,test!$A$3:$I$32,8,FALSE))-(VLOOKUP($A11,test!$A$3:$I$32,9,FALSE)),IF(AND($A11&lt;&gt;AF$1,feasible_mat!AF11=1),(VLOOKUP(AF$1,test!$A$3:$I$32,8,FALSE))-(VLOOKUP($A11,test!$A$3:$I$32,9,FALSE))-50)))</t>
  </si>
  <si>
    <t>IF(AND($A34&lt;&gt;E$1,feasible_mat!E34=1),(VLOOKUP(E$1,test!$A$3:$I$32,8,FALSE))-(VLOOKUP($A34,test!$A$3:$I$32,9,FALSE))-test!$B$33,0)</t>
  </si>
  <si>
    <t>MultiObjectives</t>
  </si>
  <si>
    <t>V3</t>
  </si>
  <si>
    <t>IF(AND(SUM(VLOOKUP($A34,test!$A$3:$F$32,2,FALSE),VLOOKUP(E$1,test!$A$3:$F$32,2,FALSE))&lt;test!$K$16,$A34&lt;&gt;E$1,feasible_mat!E34=1),(VLOOKUP(E$1,test!$A$3:$I$32,8,FALSE))-(VLOOKUP($A34,test!$A$3:$I$32,9,FALSE))+(test!$B$33-50),0)</t>
  </si>
  <si>
    <t>CS1a</t>
  </si>
  <si>
    <t>CS2c</t>
  </si>
  <si>
    <t>Duration to CS1a</t>
  </si>
  <si>
    <t>Duration to CS2c</t>
  </si>
  <si>
    <t>Duration to CS1</t>
  </si>
  <si>
    <t>Duration to CS2b</t>
  </si>
  <si>
    <t>Duration to CS3c</t>
  </si>
  <si>
    <t>CS2b</t>
  </si>
  <si>
    <t>CS3c</t>
  </si>
  <si>
    <t>CS4d</t>
  </si>
  <si>
    <t>Duration to CS4d</t>
  </si>
  <si>
    <t>L28=1, VLOOKUP("CS2c",$A$13:$I$15, 3,FALSE)=VLOOKUP(L$65,$A$3:$I$12,3,FALSE)</t>
  </si>
  <si>
    <t>IF(AND(feasible_mat!T16=1, VLOOKUP(Recharged_Feasible_matv3!$A77,test!$A$34:$G$37, 3,FALSE)=VLOOKUP(U$1,test!$A$3:$I$32,3,FALSE)),1,0)</t>
  </si>
  <si>
    <t>IF(AND(VLOOKUP(T$1,test!$A$3:$I$32,8,FALSE)-VLOOKUP($A16,test!$A$3:$I$32,9,FALSE)&gt;=VLOOKUP(VLOOKUP(T$1, test!$A$3:$I$32,3,FALSE), test!$J$11:$K$14, 2, FALSE)),1,0)</t>
  </si>
  <si>
    <t>IF(AND(VLOOKUP(E$30,$A$3:$G$12,5,FALSE) - VLOOKUP($A37,$A$3:$G$12,6,FALSE)&gt;=(( $B$13+VLOOKUP(VLOOKUP($A37,$A$3:$G$12,4,FALSE),$Q$10:$U$12,3,FALSE))/1440)),1,0)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</si>
</sst>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20" fontId="0" fillId="0" borderId="0" xfId="0" applyNumberFormat="1"/>
    <xf numFmtId="0" fontId="0" fillId="0" borderId="0" xfId="0" quotePrefix="1"/>
    <xf numFmtId="0" fontId="7" fillId="3" borderId="0" xfId="7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1" fontId="0" fillId="0" borderId="0" xfId="0" applyNumberFormat="1"/>
    <xf numFmtId="0" fontId="0" fillId="45" borderId="0" xfId="0" applyFill="1"/>
    <xf numFmtId="0" fontId="0" fillId="4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5"/>
  <sheetViews>
    <sheetView zoomScale="85" zoomScaleNormal="85" workbookViewId="0">
      <selection activeCell="F32" sqref="F32"/>
    </sheetView>
  </sheetViews>
  <sheetFormatPr defaultRowHeight="15" x14ac:dyDescent="0.25"/>
  <cols>
    <col min="3" max="3" width="13.140625" bestFit="1" customWidth="1"/>
    <col min="4" max="4" width="12" bestFit="1" customWidth="1"/>
    <col min="9" max="9" width="10.5703125" bestFit="1" customWidth="1"/>
    <col min="11" max="11" width="10.7109375" bestFit="1" customWidth="1"/>
    <col min="12" max="12" width="16.5703125" customWidth="1"/>
    <col min="13" max="14" width="16.42578125" bestFit="1" customWidth="1"/>
    <col min="15" max="15" width="16.140625" bestFit="1" customWidth="1"/>
    <col min="16" max="44" width="5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</v>
      </c>
      <c r="H1" t="s">
        <v>68</v>
      </c>
      <c r="I1" t="s">
        <v>69</v>
      </c>
    </row>
    <row r="2" spans="1:19" x14ac:dyDescent="0.25">
      <c r="A2" t="s">
        <v>46</v>
      </c>
      <c r="B2">
        <v>0</v>
      </c>
      <c r="C2" t="s">
        <v>47</v>
      </c>
      <c r="D2" t="s">
        <v>47</v>
      </c>
      <c r="E2" t="s">
        <v>47</v>
      </c>
      <c r="F2" t="s">
        <v>47</v>
      </c>
      <c r="G2">
        <v>20</v>
      </c>
      <c r="H2" t="s">
        <v>47</v>
      </c>
      <c r="I2" t="s">
        <v>47</v>
      </c>
    </row>
    <row r="3" spans="1:19" x14ac:dyDescent="0.25">
      <c r="A3" t="s">
        <v>6</v>
      </c>
      <c r="B3">
        <v>135</v>
      </c>
      <c r="C3" t="s">
        <v>7</v>
      </c>
      <c r="D3" t="s">
        <v>8</v>
      </c>
      <c r="E3" s="1">
        <v>0.3888888888888889</v>
      </c>
      <c r="F3" s="1">
        <v>0.4826388888888889</v>
      </c>
      <c r="G3">
        <f t="shared" ref="G3:G10" si="0">VLOOKUP(D3,$J$11:$L$14,3,FALSE)</f>
        <v>30</v>
      </c>
      <c r="H3">
        <f>ROUND(E3*1440,0)</f>
        <v>560</v>
      </c>
      <c r="I3">
        <f>ROUND(F3*1440,0)</f>
        <v>695</v>
      </c>
      <c r="S3">
        <v>1</v>
      </c>
    </row>
    <row r="4" spans="1:19" x14ac:dyDescent="0.25">
      <c r="A4" t="s">
        <v>9</v>
      </c>
      <c r="B4">
        <v>135</v>
      </c>
      <c r="C4" t="s">
        <v>7</v>
      </c>
      <c r="D4" t="s">
        <v>8</v>
      </c>
      <c r="E4" s="1">
        <v>0.51388888888888895</v>
      </c>
      <c r="F4" s="1">
        <v>0.60763888888888895</v>
      </c>
      <c r="G4">
        <f t="shared" si="0"/>
        <v>30</v>
      </c>
      <c r="H4">
        <f t="shared" ref="H4:I32" si="1">ROUND(E4*1440,0)</f>
        <v>740</v>
      </c>
      <c r="I4">
        <f t="shared" si="1"/>
        <v>875</v>
      </c>
      <c r="N4">
        <f>test!$B$34+VLOOKUP(VLOOKUP(Recharged_Feasible_mat!$B34,test!$A$2:$I$32,4,FALSE),test!$J$10:$P$14,4,FALSE)</f>
        <v>195</v>
      </c>
      <c r="S4">
        <f>S3+1</f>
        <v>2</v>
      </c>
    </row>
    <row r="5" spans="1:19" x14ac:dyDescent="0.25">
      <c r="A5" t="s">
        <v>10</v>
      </c>
      <c r="B5">
        <v>135</v>
      </c>
      <c r="C5" t="s">
        <v>7</v>
      </c>
      <c r="D5" t="s">
        <v>8</v>
      </c>
      <c r="E5" s="1">
        <v>0.57638888888888895</v>
      </c>
      <c r="F5" s="1">
        <v>0.67013888888888884</v>
      </c>
      <c r="G5">
        <f t="shared" si="0"/>
        <v>30</v>
      </c>
      <c r="H5">
        <f t="shared" si="1"/>
        <v>830</v>
      </c>
      <c r="I5">
        <f t="shared" si="1"/>
        <v>965</v>
      </c>
      <c r="S5">
        <f t="shared" ref="S5:S35" si="2">S4+1</f>
        <v>3</v>
      </c>
    </row>
    <row r="6" spans="1:19" x14ac:dyDescent="0.25">
      <c r="A6" t="s">
        <v>11</v>
      </c>
      <c r="B6">
        <v>135</v>
      </c>
      <c r="C6" t="s">
        <v>7</v>
      </c>
      <c r="D6" t="s">
        <v>8</v>
      </c>
      <c r="E6" s="1">
        <v>0.63888888888888895</v>
      </c>
      <c r="F6" s="1">
        <v>0.73263888888888884</v>
      </c>
      <c r="G6">
        <f t="shared" si="0"/>
        <v>30</v>
      </c>
      <c r="H6">
        <f t="shared" si="1"/>
        <v>920</v>
      </c>
      <c r="I6">
        <f t="shared" si="1"/>
        <v>1055</v>
      </c>
      <c r="S6">
        <f t="shared" si="2"/>
        <v>4</v>
      </c>
    </row>
    <row r="7" spans="1:19" x14ac:dyDescent="0.25">
      <c r="A7" t="s">
        <v>12</v>
      </c>
      <c r="B7">
        <v>135</v>
      </c>
      <c r="C7" t="s">
        <v>7</v>
      </c>
      <c r="D7" t="s">
        <v>8</v>
      </c>
      <c r="E7" s="1">
        <v>0.68055555555555547</v>
      </c>
      <c r="F7" s="1">
        <v>0.77430555555555547</v>
      </c>
      <c r="G7">
        <f t="shared" si="0"/>
        <v>30</v>
      </c>
      <c r="H7">
        <f t="shared" si="1"/>
        <v>980</v>
      </c>
      <c r="I7">
        <f t="shared" si="1"/>
        <v>1115</v>
      </c>
      <c r="S7">
        <f t="shared" si="2"/>
        <v>5</v>
      </c>
    </row>
    <row r="8" spans="1:19" x14ac:dyDescent="0.25">
      <c r="A8" t="s">
        <v>13</v>
      </c>
      <c r="B8">
        <v>135</v>
      </c>
      <c r="C8" t="s">
        <v>7</v>
      </c>
      <c r="D8" t="s">
        <v>8</v>
      </c>
      <c r="E8" s="1">
        <v>0.72222222222222221</v>
      </c>
      <c r="F8" s="1">
        <v>0.81597222222222221</v>
      </c>
      <c r="G8">
        <f t="shared" si="0"/>
        <v>30</v>
      </c>
      <c r="H8">
        <f t="shared" si="1"/>
        <v>1040</v>
      </c>
      <c r="I8">
        <f t="shared" si="1"/>
        <v>1175</v>
      </c>
      <c r="J8" t="s">
        <v>67</v>
      </c>
      <c r="K8" s="16">
        <f>MAX(F3:F32)*1440</f>
        <v>1355</v>
      </c>
      <c r="S8">
        <f t="shared" si="2"/>
        <v>6</v>
      </c>
    </row>
    <row r="9" spans="1:19" x14ac:dyDescent="0.25">
      <c r="A9" t="s">
        <v>14</v>
      </c>
      <c r="B9">
        <v>135</v>
      </c>
      <c r="C9" t="s">
        <v>7</v>
      </c>
      <c r="D9" t="s">
        <v>8</v>
      </c>
      <c r="E9" s="1">
        <v>0.76388888888888884</v>
      </c>
      <c r="F9" s="1">
        <v>0.85763888888888884</v>
      </c>
      <c r="G9">
        <f t="shared" si="0"/>
        <v>30</v>
      </c>
      <c r="H9">
        <f t="shared" si="1"/>
        <v>1100</v>
      </c>
      <c r="I9">
        <f t="shared" si="1"/>
        <v>1235</v>
      </c>
      <c r="S9">
        <f t="shared" si="2"/>
        <v>7</v>
      </c>
    </row>
    <row r="10" spans="1:19" x14ac:dyDescent="0.25">
      <c r="A10" t="s">
        <v>15</v>
      </c>
      <c r="B10">
        <v>135</v>
      </c>
      <c r="C10" t="s">
        <v>7</v>
      </c>
      <c r="D10" t="s">
        <v>8</v>
      </c>
      <c r="E10" s="1">
        <v>0.82638888888888884</v>
      </c>
      <c r="F10" s="1">
        <v>0.92013888888888884</v>
      </c>
      <c r="G10">
        <f t="shared" si="0"/>
        <v>30</v>
      </c>
      <c r="H10">
        <f t="shared" si="1"/>
        <v>1190</v>
      </c>
      <c r="I10">
        <f t="shared" si="1"/>
        <v>1325</v>
      </c>
      <c r="J10" t="s">
        <v>16</v>
      </c>
      <c r="K10" t="s">
        <v>17</v>
      </c>
      <c r="L10" t="s">
        <v>94</v>
      </c>
      <c r="M10" t="s">
        <v>92</v>
      </c>
      <c r="N10" t="s">
        <v>95</v>
      </c>
      <c r="O10" t="s">
        <v>96</v>
      </c>
      <c r="P10" t="s">
        <v>100</v>
      </c>
      <c r="S10">
        <f t="shared" si="2"/>
        <v>8</v>
      </c>
    </row>
    <row r="11" spans="1:19" x14ac:dyDescent="0.25">
      <c r="A11" t="s">
        <v>18</v>
      </c>
      <c r="B11">
        <v>140</v>
      </c>
      <c r="C11" t="s">
        <v>7</v>
      </c>
      <c r="D11" t="s">
        <v>19</v>
      </c>
      <c r="E11" s="1">
        <v>0.38541666666666669</v>
      </c>
      <c r="F11" s="1">
        <v>0.4826388888888889</v>
      </c>
      <c r="G11">
        <f t="shared" ref="G11:G29" si="3">VLOOKUP(D11,$J$11:$L$14,3,FALSE)</f>
        <v>30</v>
      </c>
      <c r="H11">
        <f t="shared" si="1"/>
        <v>555</v>
      </c>
      <c r="I11">
        <f t="shared" si="1"/>
        <v>695</v>
      </c>
      <c r="J11" t="s">
        <v>7</v>
      </c>
      <c r="K11">
        <v>15</v>
      </c>
      <c r="L11">
        <v>30</v>
      </c>
      <c r="M11">
        <v>10</v>
      </c>
      <c r="N11">
        <v>145</v>
      </c>
      <c r="O11">
        <v>150</v>
      </c>
      <c r="P11">
        <v>220</v>
      </c>
      <c r="S11">
        <f t="shared" si="2"/>
        <v>9</v>
      </c>
    </row>
    <row r="12" spans="1:19" x14ac:dyDescent="0.25">
      <c r="A12" t="s">
        <v>20</v>
      </c>
      <c r="B12">
        <v>140</v>
      </c>
      <c r="C12" t="s">
        <v>7</v>
      </c>
      <c r="D12" t="s">
        <v>19</v>
      </c>
      <c r="E12" s="1">
        <v>0.46875</v>
      </c>
      <c r="F12" s="1">
        <v>0.56597222222222221</v>
      </c>
      <c r="G12">
        <f t="shared" si="3"/>
        <v>30</v>
      </c>
      <c r="H12">
        <f t="shared" si="1"/>
        <v>675</v>
      </c>
      <c r="I12">
        <f t="shared" si="1"/>
        <v>815</v>
      </c>
      <c r="J12" t="s">
        <v>8</v>
      </c>
      <c r="K12">
        <v>15</v>
      </c>
      <c r="L12">
        <v>30</v>
      </c>
      <c r="M12">
        <v>145</v>
      </c>
      <c r="N12">
        <v>10</v>
      </c>
      <c r="O12">
        <v>155</v>
      </c>
      <c r="P12">
        <v>160</v>
      </c>
      <c r="S12">
        <f t="shared" si="2"/>
        <v>10</v>
      </c>
    </row>
    <row r="13" spans="1:19" x14ac:dyDescent="0.25">
      <c r="A13" t="s">
        <v>21</v>
      </c>
      <c r="B13">
        <v>140</v>
      </c>
      <c r="C13" t="s">
        <v>7</v>
      </c>
      <c r="D13" t="s">
        <v>19</v>
      </c>
      <c r="E13" s="1">
        <v>0.55208333333333337</v>
      </c>
      <c r="F13" s="1">
        <v>0.64930555555555558</v>
      </c>
      <c r="G13">
        <f t="shared" si="3"/>
        <v>30</v>
      </c>
      <c r="H13">
        <f t="shared" si="1"/>
        <v>795</v>
      </c>
      <c r="I13">
        <f t="shared" si="1"/>
        <v>935</v>
      </c>
      <c r="J13" t="s">
        <v>19</v>
      </c>
      <c r="K13">
        <v>15</v>
      </c>
      <c r="L13">
        <v>30</v>
      </c>
      <c r="M13">
        <v>150</v>
      </c>
      <c r="N13">
        <v>155</v>
      </c>
      <c r="O13">
        <v>10</v>
      </c>
      <c r="P13">
        <v>280</v>
      </c>
      <c r="S13">
        <f t="shared" si="2"/>
        <v>11</v>
      </c>
    </row>
    <row r="14" spans="1:19" x14ac:dyDescent="0.25">
      <c r="A14" t="s">
        <v>22</v>
      </c>
      <c r="B14">
        <v>140</v>
      </c>
      <c r="C14" t="s">
        <v>7</v>
      </c>
      <c r="D14" t="s">
        <v>19</v>
      </c>
      <c r="E14" s="1">
        <v>0.80208333333333337</v>
      </c>
      <c r="F14" s="1">
        <v>0.89930555555555547</v>
      </c>
      <c r="G14">
        <f t="shared" si="3"/>
        <v>30</v>
      </c>
      <c r="H14">
        <f t="shared" si="1"/>
        <v>1155</v>
      </c>
      <c r="I14">
        <f t="shared" si="1"/>
        <v>1295</v>
      </c>
      <c r="J14" t="s">
        <v>25</v>
      </c>
      <c r="K14">
        <v>15</v>
      </c>
      <c r="L14">
        <v>30</v>
      </c>
      <c r="M14">
        <v>220</v>
      </c>
      <c r="N14">
        <v>160</v>
      </c>
      <c r="O14">
        <v>280</v>
      </c>
      <c r="P14">
        <v>10</v>
      </c>
      <c r="S14">
        <f t="shared" si="2"/>
        <v>12</v>
      </c>
    </row>
    <row r="15" spans="1:19" x14ac:dyDescent="0.25">
      <c r="A15" t="s">
        <v>23</v>
      </c>
      <c r="B15">
        <v>140</v>
      </c>
      <c r="C15" t="s">
        <v>7</v>
      </c>
      <c r="D15" t="s">
        <v>19</v>
      </c>
      <c r="E15" s="1">
        <v>0.84375</v>
      </c>
      <c r="F15" s="1">
        <v>0.94097222222222221</v>
      </c>
      <c r="G15">
        <f t="shared" si="3"/>
        <v>30</v>
      </c>
      <c r="H15">
        <f t="shared" si="1"/>
        <v>1215</v>
      </c>
      <c r="I15">
        <f t="shared" si="1"/>
        <v>1355</v>
      </c>
      <c r="J15" t="s">
        <v>42</v>
      </c>
      <c r="K15">
        <v>100</v>
      </c>
      <c r="L15" t="s">
        <v>43</v>
      </c>
      <c r="S15">
        <f t="shared" si="2"/>
        <v>13</v>
      </c>
    </row>
    <row r="16" spans="1:19" x14ac:dyDescent="0.25">
      <c r="A16" t="s">
        <v>24</v>
      </c>
      <c r="B16">
        <v>210</v>
      </c>
      <c r="C16" t="s">
        <v>7</v>
      </c>
      <c r="D16" t="s">
        <v>25</v>
      </c>
      <c r="E16" s="1">
        <v>0.3888888888888889</v>
      </c>
      <c r="F16" s="1">
        <v>0.53472222222222221</v>
      </c>
      <c r="G16">
        <f>VLOOKUP(D16,$J$11:$L$14,3,FALSE)</f>
        <v>30</v>
      </c>
      <c r="H16">
        <f t="shared" si="1"/>
        <v>560</v>
      </c>
      <c r="I16">
        <f t="shared" si="1"/>
        <v>770</v>
      </c>
      <c r="J16" t="s">
        <v>44</v>
      </c>
      <c r="K16">
        <v>350</v>
      </c>
      <c r="S16">
        <f t="shared" si="2"/>
        <v>14</v>
      </c>
    </row>
    <row r="17" spans="1:19" x14ac:dyDescent="0.25">
      <c r="A17" t="s">
        <v>26</v>
      </c>
      <c r="B17">
        <v>135</v>
      </c>
      <c r="C17" t="s">
        <v>8</v>
      </c>
      <c r="D17" t="s">
        <v>7</v>
      </c>
      <c r="E17" s="1">
        <v>0.375</v>
      </c>
      <c r="F17" s="1">
        <v>0.46875</v>
      </c>
      <c r="G17">
        <f t="shared" ref="G17:G24" si="4">VLOOKUP(D17,$J$11:$L$14,3,FALSE)</f>
        <v>30</v>
      </c>
      <c r="H17">
        <f t="shared" si="1"/>
        <v>540</v>
      </c>
      <c r="I17">
        <f t="shared" si="1"/>
        <v>675</v>
      </c>
      <c r="S17">
        <f t="shared" si="2"/>
        <v>15</v>
      </c>
    </row>
    <row r="18" spans="1:19" x14ac:dyDescent="0.25">
      <c r="A18" t="s">
        <v>27</v>
      </c>
      <c r="B18">
        <v>135</v>
      </c>
      <c r="C18" t="s">
        <v>8</v>
      </c>
      <c r="D18" t="s">
        <v>7</v>
      </c>
      <c r="E18" s="1">
        <v>0.4375</v>
      </c>
      <c r="F18" s="1">
        <v>0.53125</v>
      </c>
      <c r="G18">
        <f t="shared" si="4"/>
        <v>30</v>
      </c>
      <c r="H18">
        <f t="shared" si="1"/>
        <v>630</v>
      </c>
      <c r="I18">
        <f t="shared" si="1"/>
        <v>765</v>
      </c>
      <c r="S18">
        <f t="shared" si="2"/>
        <v>16</v>
      </c>
    </row>
    <row r="19" spans="1:19" x14ac:dyDescent="0.25">
      <c r="A19" t="s">
        <v>28</v>
      </c>
      <c r="B19">
        <v>135</v>
      </c>
      <c r="C19" t="s">
        <v>8</v>
      </c>
      <c r="D19" t="s">
        <v>7</v>
      </c>
      <c r="E19" s="1">
        <v>0.5</v>
      </c>
      <c r="F19" s="1">
        <v>0.59375</v>
      </c>
      <c r="G19">
        <f t="shared" si="4"/>
        <v>30</v>
      </c>
      <c r="H19">
        <f t="shared" si="1"/>
        <v>720</v>
      </c>
      <c r="I19">
        <f t="shared" si="1"/>
        <v>855</v>
      </c>
      <c r="S19">
        <f t="shared" si="2"/>
        <v>17</v>
      </c>
    </row>
    <row r="20" spans="1:19" x14ac:dyDescent="0.25">
      <c r="A20" t="s">
        <v>29</v>
      </c>
      <c r="B20">
        <v>135</v>
      </c>
      <c r="C20" t="s">
        <v>8</v>
      </c>
      <c r="D20" t="s">
        <v>7</v>
      </c>
      <c r="E20" s="1">
        <v>0.5625</v>
      </c>
      <c r="F20" s="1">
        <v>0.65625</v>
      </c>
      <c r="G20">
        <f t="shared" si="4"/>
        <v>30</v>
      </c>
      <c r="H20">
        <f t="shared" si="1"/>
        <v>810</v>
      </c>
      <c r="I20">
        <f t="shared" si="1"/>
        <v>945</v>
      </c>
      <c r="N20">
        <f>VLOOKUP($A5,test!$A$3:$I$32,9,FALSE)</f>
        <v>965</v>
      </c>
      <c r="S20">
        <f t="shared" si="2"/>
        <v>18</v>
      </c>
    </row>
    <row r="21" spans="1:19" x14ac:dyDescent="0.25">
      <c r="A21" t="s">
        <v>30</v>
      </c>
      <c r="B21">
        <v>135</v>
      </c>
      <c r="C21" t="s">
        <v>8</v>
      </c>
      <c r="D21" t="s">
        <v>7</v>
      </c>
      <c r="E21" s="1">
        <v>0.625</v>
      </c>
      <c r="F21" s="1">
        <v>0.71875</v>
      </c>
      <c r="G21">
        <f t="shared" si="4"/>
        <v>30</v>
      </c>
      <c r="H21">
        <f t="shared" si="1"/>
        <v>900</v>
      </c>
      <c r="I21">
        <f t="shared" si="1"/>
        <v>1035</v>
      </c>
      <c r="N21">
        <f>VLOOKUP("BA6",test!$A$3:$I$32,8,FALSE)</f>
        <v>990</v>
      </c>
      <c r="S21">
        <f t="shared" si="2"/>
        <v>19</v>
      </c>
    </row>
    <row r="22" spans="1:19" x14ac:dyDescent="0.25">
      <c r="A22" t="s">
        <v>31</v>
      </c>
      <c r="B22">
        <v>135</v>
      </c>
      <c r="C22" t="s">
        <v>8</v>
      </c>
      <c r="D22" t="s">
        <v>7</v>
      </c>
      <c r="E22" s="1">
        <v>0.6875</v>
      </c>
      <c r="F22" s="1">
        <v>0.78125</v>
      </c>
      <c r="G22">
        <f t="shared" si="4"/>
        <v>30</v>
      </c>
      <c r="H22">
        <f t="shared" si="1"/>
        <v>990</v>
      </c>
      <c r="I22">
        <f t="shared" si="1"/>
        <v>1125</v>
      </c>
      <c r="S22">
        <f t="shared" si="2"/>
        <v>20</v>
      </c>
    </row>
    <row r="23" spans="1:19" x14ac:dyDescent="0.25">
      <c r="A23" t="s">
        <v>32</v>
      </c>
      <c r="B23">
        <v>135</v>
      </c>
      <c r="C23" t="s">
        <v>8</v>
      </c>
      <c r="D23" t="s">
        <v>7</v>
      </c>
      <c r="E23" s="1">
        <v>0.75</v>
      </c>
      <c r="F23" s="1">
        <v>0.84375</v>
      </c>
      <c r="G23">
        <f t="shared" si="4"/>
        <v>30</v>
      </c>
      <c r="H23">
        <f t="shared" si="1"/>
        <v>1080</v>
      </c>
      <c r="I23">
        <f t="shared" si="1"/>
        <v>1215</v>
      </c>
      <c r="S23">
        <f t="shared" si="2"/>
        <v>21</v>
      </c>
    </row>
    <row r="24" spans="1:19" x14ac:dyDescent="0.25">
      <c r="A24" t="s">
        <v>33</v>
      </c>
      <c r="B24">
        <v>135</v>
      </c>
      <c r="C24" t="s">
        <v>8</v>
      </c>
      <c r="D24" t="s">
        <v>7</v>
      </c>
      <c r="E24" s="1">
        <v>0.79166666666666663</v>
      </c>
      <c r="F24" s="1">
        <v>0.88541666666666663</v>
      </c>
      <c r="G24">
        <f t="shared" si="4"/>
        <v>30</v>
      </c>
      <c r="H24">
        <f t="shared" si="1"/>
        <v>1140</v>
      </c>
      <c r="I24">
        <f t="shared" si="1"/>
        <v>1275</v>
      </c>
      <c r="J24" t="s">
        <v>16</v>
      </c>
      <c r="K24" t="s">
        <v>17</v>
      </c>
      <c r="L24" t="s">
        <v>94</v>
      </c>
      <c r="M24" t="s">
        <v>92</v>
      </c>
      <c r="N24" t="s">
        <v>95</v>
      </c>
      <c r="O24" t="s">
        <v>96</v>
      </c>
      <c r="P24" t="s">
        <v>100</v>
      </c>
      <c r="S24">
        <f t="shared" si="2"/>
        <v>22</v>
      </c>
    </row>
    <row r="25" spans="1:19" x14ac:dyDescent="0.25">
      <c r="A25" t="s">
        <v>34</v>
      </c>
      <c r="B25">
        <v>140</v>
      </c>
      <c r="C25" t="s">
        <v>19</v>
      </c>
      <c r="D25" t="s">
        <v>7</v>
      </c>
      <c r="E25" s="1">
        <v>0.39583333333333331</v>
      </c>
      <c r="F25" s="1">
        <v>0.49305555555555558</v>
      </c>
      <c r="G25">
        <f t="shared" si="3"/>
        <v>30</v>
      </c>
      <c r="H25">
        <f t="shared" si="1"/>
        <v>570</v>
      </c>
      <c r="I25">
        <f t="shared" si="1"/>
        <v>710</v>
      </c>
      <c r="J25" t="s">
        <v>7</v>
      </c>
      <c r="K25">
        <v>15</v>
      </c>
      <c r="L25">
        <v>30</v>
      </c>
      <c r="M25">
        <v>10</v>
      </c>
      <c r="N25">
        <v>75</v>
      </c>
      <c r="O25">
        <v>85</v>
      </c>
      <c r="P25">
        <v>95</v>
      </c>
      <c r="S25">
        <f t="shared" si="2"/>
        <v>23</v>
      </c>
    </row>
    <row r="26" spans="1:19" x14ac:dyDescent="0.25">
      <c r="A26" t="s">
        <v>35</v>
      </c>
      <c r="B26">
        <v>140</v>
      </c>
      <c r="C26" t="s">
        <v>19</v>
      </c>
      <c r="D26" t="s">
        <v>7</v>
      </c>
      <c r="E26" s="1">
        <v>0.51388888888888895</v>
      </c>
      <c r="F26" s="1">
        <v>0.61111111111111105</v>
      </c>
      <c r="G26">
        <f t="shared" si="3"/>
        <v>30</v>
      </c>
      <c r="H26">
        <f t="shared" si="1"/>
        <v>740</v>
      </c>
      <c r="I26">
        <f t="shared" si="1"/>
        <v>880</v>
      </c>
      <c r="J26" t="s">
        <v>8</v>
      </c>
      <c r="K26">
        <v>15</v>
      </c>
      <c r="L26">
        <v>30</v>
      </c>
      <c r="M26">
        <v>75</v>
      </c>
      <c r="N26">
        <v>10</v>
      </c>
      <c r="O26">
        <v>60</v>
      </c>
      <c r="P26">
        <v>65</v>
      </c>
      <c r="S26">
        <f t="shared" si="2"/>
        <v>24</v>
      </c>
    </row>
    <row r="27" spans="1:19" x14ac:dyDescent="0.25">
      <c r="A27" t="s">
        <v>36</v>
      </c>
      <c r="B27">
        <v>140</v>
      </c>
      <c r="C27" t="s">
        <v>19</v>
      </c>
      <c r="D27" t="s">
        <v>7</v>
      </c>
      <c r="E27" s="1">
        <v>0.59722222222222221</v>
      </c>
      <c r="F27" s="1">
        <v>0.69444444444444453</v>
      </c>
      <c r="G27">
        <f t="shared" si="3"/>
        <v>30</v>
      </c>
      <c r="H27">
        <f t="shared" si="1"/>
        <v>860</v>
      </c>
      <c r="I27">
        <f t="shared" si="1"/>
        <v>1000</v>
      </c>
      <c r="J27" t="s">
        <v>19</v>
      </c>
      <c r="K27">
        <v>15</v>
      </c>
      <c r="L27">
        <v>30</v>
      </c>
      <c r="M27">
        <v>85</v>
      </c>
      <c r="N27">
        <v>60</v>
      </c>
      <c r="O27">
        <v>10</v>
      </c>
      <c r="P27">
        <v>50</v>
      </c>
      <c r="S27">
        <f t="shared" si="2"/>
        <v>25</v>
      </c>
    </row>
    <row r="28" spans="1:19" x14ac:dyDescent="0.25">
      <c r="A28" t="s">
        <v>37</v>
      </c>
      <c r="B28">
        <v>140</v>
      </c>
      <c r="C28" t="s">
        <v>19</v>
      </c>
      <c r="D28" t="s">
        <v>7</v>
      </c>
      <c r="E28" s="1">
        <v>0.63888888888888895</v>
      </c>
      <c r="F28" s="1">
        <v>0.73611111111111116</v>
      </c>
      <c r="G28">
        <f t="shared" si="3"/>
        <v>30</v>
      </c>
      <c r="H28">
        <f t="shared" si="1"/>
        <v>920</v>
      </c>
      <c r="I28">
        <f t="shared" si="1"/>
        <v>1060</v>
      </c>
      <c r="J28" t="s">
        <v>25</v>
      </c>
      <c r="K28">
        <v>15</v>
      </c>
      <c r="L28">
        <v>30</v>
      </c>
      <c r="M28">
        <v>95</v>
      </c>
      <c r="N28">
        <v>65</v>
      </c>
      <c r="O28">
        <v>50</v>
      </c>
      <c r="P28">
        <v>10</v>
      </c>
      <c r="S28">
        <f t="shared" si="2"/>
        <v>26</v>
      </c>
    </row>
    <row r="29" spans="1:19" x14ac:dyDescent="0.25">
      <c r="A29" t="s">
        <v>38</v>
      </c>
      <c r="B29">
        <v>140</v>
      </c>
      <c r="C29" t="s">
        <v>19</v>
      </c>
      <c r="D29" t="s">
        <v>7</v>
      </c>
      <c r="E29" s="1">
        <v>0.72222222222222221</v>
      </c>
      <c r="F29" s="1">
        <v>0.81944444444444453</v>
      </c>
      <c r="G29">
        <f t="shared" si="3"/>
        <v>30</v>
      </c>
      <c r="H29">
        <f t="shared" si="1"/>
        <v>1040</v>
      </c>
      <c r="I29">
        <f t="shared" si="1"/>
        <v>1180</v>
      </c>
      <c r="S29">
        <f t="shared" si="2"/>
        <v>27</v>
      </c>
    </row>
    <row r="30" spans="1:19" x14ac:dyDescent="0.25">
      <c r="A30" t="s">
        <v>39</v>
      </c>
      <c r="B30">
        <v>270</v>
      </c>
      <c r="C30" t="s">
        <v>19</v>
      </c>
      <c r="D30" t="s">
        <v>25</v>
      </c>
      <c r="E30" s="1">
        <v>0.3125</v>
      </c>
      <c r="F30" s="1">
        <v>0.5</v>
      </c>
      <c r="G30">
        <f>VLOOKUP(D30,$J$11:$L$14,3,FALSE)</f>
        <v>30</v>
      </c>
      <c r="H30">
        <f t="shared" si="1"/>
        <v>450</v>
      </c>
      <c r="I30">
        <f t="shared" si="1"/>
        <v>720</v>
      </c>
      <c r="S30">
        <f t="shared" si="2"/>
        <v>28</v>
      </c>
    </row>
    <row r="31" spans="1:19" x14ac:dyDescent="0.25">
      <c r="A31" t="s">
        <v>40</v>
      </c>
      <c r="B31">
        <v>210</v>
      </c>
      <c r="C31" t="s">
        <v>25</v>
      </c>
      <c r="D31" t="s">
        <v>7</v>
      </c>
      <c r="E31" s="1">
        <v>0.59722222222222221</v>
      </c>
      <c r="F31" s="1">
        <v>0.74305555555555547</v>
      </c>
      <c r="G31">
        <f>VLOOKUP(D31,$J$11:$L$14,3,FALSE)</f>
        <v>30</v>
      </c>
      <c r="H31">
        <f t="shared" si="1"/>
        <v>860</v>
      </c>
      <c r="I31">
        <f t="shared" si="1"/>
        <v>1070</v>
      </c>
      <c r="J31" t="s">
        <v>16</v>
      </c>
      <c r="K31" t="s">
        <v>17</v>
      </c>
      <c r="L31" t="s">
        <v>94</v>
      </c>
      <c r="M31" t="s">
        <v>92</v>
      </c>
      <c r="N31" t="s">
        <v>95</v>
      </c>
      <c r="O31" t="s">
        <v>96</v>
      </c>
      <c r="P31" t="s">
        <v>100</v>
      </c>
      <c r="S31">
        <f t="shared" si="2"/>
        <v>29</v>
      </c>
    </row>
    <row r="32" spans="1:19" x14ac:dyDescent="0.25">
      <c r="A32" t="s">
        <v>41</v>
      </c>
      <c r="B32">
        <v>270</v>
      </c>
      <c r="C32" t="s">
        <v>25</v>
      </c>
      <c r="D32" t="s">
        <v>19</v>
      </c>
      <c r="E32" s="1">
        <v>0.5625</v>
      </c>
      <c r="F32" s="1">
        <v>0.75</v>
      </c>
      <c r="G32">
        <f>VLOOKUP(D32,$J$11:$L$14,3,FALSE)</f>
        <v>30</v>
      </c>
      <c r="H32">
        <f t="shared" si="1"/>
        <v>810</v>
      </c>
      <c r="I32">
        <f t="shared" si="1"/>
        <v>1080</v>
      </c>
      <c r="J32" t="s">
        <v>7</v>
      </c>
      <c r="K32">
        <v>15</v>
      </c>
      <c r="L32">
        <v>30</v>
      </c>
      <c r="M32">
        <v>10</v>
      </c>
      <c r="N32">
        <v>75</v>
      </c>
      <c r="O32">
        <v>75</v>
      </c>
      <c r="P32">
        <v>75</v>
      </c>
      <c r="S32">
        <f t="shared" si="2"/>
        <v>30</v>
      </c>
    </row>
    <row r="33" spans="1:19" x14ac:dyDescent="0.25">
      <c r="A33" t="s">
        <v>48</v>
      </c>
      <c r="B33">
        <v>50</v>
      </c>
      <c r="C33" t="s">
        <v>47</v>
      </c>
      <c r="D33" t="s">
        <v>47</v>
      </c>
      <c r="E33" t="s">
        <v>47</v>
      </c>
      <c r="F33" t="s">
        <v>47</v>
      </c>
      <c r="G33">
        <v>0</v>
      </c>
      <c r="J33" t="s">
        <v>8</v>
      </c>
      <c r="K33">
        <v>15</v>
      </c>
      <c r="L33">
        <v>30</v>
      </c>
      <c r="M33">
        <v>75</v>
      </c>
      <c r="N33">
        <v>10</v>
      </c>
      <c r="O33">
        <v>75</v>
      </c>
      <c r="P33">
        <v>75</v>
      </c>
      <c r="S33">
        <f t="shared" si="2"/>
        <v>31</v>
      </c>
    </row>
    <row r="34" spans="1:19" x14ac:dyDescent="0.25">
      <c r="A34" t="s">
        <v>90</v>
      </c>
      <c r="B34">
        <v>50</v>
      </c>
      <c r="C34" t="s">
        <v>7</v>
      </c>
      <c r="D34" t="s">
        <v>7</v>
      </c>
      <c r="E34" t="s">
        <v>47</v>
      </c>
      <c r="F34" t="s">
        <v>47</v>
      </c>
      <c r="G34">
        <v>0</v>
      </c>
      <c r="J34" t="s">
        <v>19</v>
      </c>
      <c r="K34">
        <v>15</v>
      </c>
      <c r="L34">
        <v>30</v>
      </c>
      <c r="M34">
        <v>75</v>
      </c>
      <c r="N34">
        <v>75</v>
      </c>
      <c r="O34">
        <v>10</v>
      </c>
      <c r="P34">
        <v>75</v>
      </c>
      <c r="S34">
        <f t="shared" si="2"/>
        <v>32</v>
      </c>
    </row>
    <row r="35" spans="1:19" x14ac:dyDescent="0.25">
      <c r="A35" t="s">
        <v>97</v>
      </c>
      <c r="B35">
        <v>50</v>
      </c>
      <c r="C35" t="s">
        <v>8</v>
      </c>
      <c r="D35" t="s">
        <v>8</v>
      </c>
      <c r="E35" t="s">
        <v>47</v>
      </c>
      <c r="F35" t="s">
        <v>47</v>
      </c>
      <c r="G35">
        <v>0</v>
      </c>
      <c r="J35" t="s">
        <v>25</v>
      </c>
      <c r="K35">
        <v>15</v>
      </c>
      <c r="L35">
        <v>30</v>
      </c>
      <c r="M35">
        <v>75</v>
      </c>
      <c r="N35">
        <v>75</v>
      </c>
      <c r="O35">
        <v>75</v>
      </c>
      <c r="P35">
        <v>10</v>
      </c>
      <c r="S35">
        <f t="shared" si="2"/>
        <v>33</v>
      </c>
    </row>
    <row r="36" spans="1:19" x14ac:dyDescent="0.25">
      <c r="A36" t="s">
        <v>98</v>
      </c>
      <c r="B36">
        <v>50</v>
      </c>
      <c r="C36" t="s">
        <v>19</v>
      </c>
      <c r="D36" t="s">
        <v>19</v>
      </c>
      <c r="E36" t="s">
        <v>47</v>
      </c>
      <c r="F36" t="s">
        <v>47</v>
      </c>
      <c r="G36">
        <v>0</v>
      </c>
    </row>
    <row r="37" spans="1:19" x14ac:dyDescent="0.25">
      <c r="A37" t="s">
        <v>99</v>
      </c>
      <c r="B37">
        <v>50</v>
      </c>
      <c r="C37" t="s">
        <v>25</v>
      </c>
      <c r="D37" t="s">
        <v>25</v>
      </c>
      <c r="E37" t="s">
        <v>47</v>
      </c>
      <c r="F37" t="s">
        <v>47</v>
      </c>
      <c r="G37">
        <v>0</v>
      </c>
    </row>
    <row r="40" spans="1:19" x14ac:dyDescent="0.25">
      <c r="A40" t="s">
        <v>53</v>
      </c>
    </row>
    <row r="41" spans="1:19" x14ac:dyDescent="0.25">
      <c r="A41" t="s">
        <v>51</v>
      </c>
      <c r="B41" t="s">
        <v>52</v>
      </c>
      <c r="F41" t="s">
        <v>50</v>
      </c>
      <c r="G41" t="s">
        <v>49</v>
      </c>
    </row>
    <row r="42" spans="1:19" x14ac:dyDescent="0.25">
      <c r="A42">
        <v>0</v>
      </c>
      <c r="B42" t="s">
        <v>46</v>
      </c>
      <c r="F42" s="5"/>
      <c r="G42">
        <v>0</v>
      </c>
      <c r="H42">
        <v>14</v>
      </c>
      <c r="I42">
        <v>29</v>
      </c>
      <c r="J42">
        <v>31</v>
      </c>
      <c r="K42">
        <v>13</v>
      </c>
      <c r="L42">
        <v>33</v>
      </c>
      <c r="M42">
        <v>18</v>
      </c>
      <c r="N42">
        <v>0</v>
      </c>
    </row>
    <row r="43" spans="1:19" x14ac:dyDescent="0.25">
      <c r="A43">
        <f>A42+1</f>
        <v>1</v>
      </c>
      <c r="B43" t="s">
        <v>6</v>
      </c>
      <c r="F43" s="5"/>
      <c r="G43" t="s">
        <v>46</v>
      </c>
      <c r="H43" t="str">
        <f>VLOOKUP(H42,$A$42:$B$73,2,FALSE)</f>
        <v>AD1</v>
      </c>
      <c r="I43" t="str">
        <f t="shared" ref="I43:N43" si="5">VLOOKUP(I42,$A$42:$B$73,2,FALSE)</f>
        <v>DA1</v>
      </c>
      <c r="J43" t="str">
        <f t="shared" si="5"/>
        <v>CS1</v>
      </c>
      <c r="K43" t="str">
        <f t="shared" si="5"/>
        <v>AC5</v>
      </c>
      <c r="L43" t="str">
        <f>VLOOKUP(L42,$A$42:$B$75,2,FALSE)</f>
        <v>CS2b</v>
      </c>
      <c r="M43" t="str">
        <f t="shared" si="5"/>
        <v>BA4</v>
      </c>
      <c r="N43" t="str">
        <f t="shared" si="5"/>
        <v>DEPOT</v>
      </c>
    </row>
    <row r="44" spans="1:19" x14ac:dyDescent="0.25">
      <c r="A44">
        <f t="shared" ref="A44:A75" si="6">A43+1</f>
        <v>2</v>
      </c>
      <c r="B44" t="s">
        <v>9</v>
      </c>
      <c r="F44" s="6"/>
      <c r="G44">
        <v>0</v>
      </c>
      <c r="H44">
        <v>28</v>
      </c>
      <c r="I44">
        <v>24</v>
      </c>
      <c r="J44">
        <v>31</v>
      </c>
      <c r="K44">
        <v>20</v>
      </c>
      <c r="L44">
        <v>22</v>
      </c>
      <c r="M44">
        <v>33</v>
      </c>
      <c r="N44">
        <v>19</v>
      </c>
      <c r="O44">
        <v>0</v>
      </c>
    </row>
    <row r="45" spans="1:19" x14ac:dyDescent="0.25">
      <c r="A45">
        <f t="shared" si="6"/>
        <v>3</v>
      </c>
      <c r="B45" s="4" t="s">
        <v>10</v>
      </c>
      <c r="F45" s="6"/>
      <c r="G45" t="str">
        <f>VLOOKUP(G44,$A$42:$B$73,2,FALSE)</f>
        <v>DEPOT</v>
      </c>
      <c r="H45" t="str">
        <f t="shared" ref="H45:O45" si="7">VLOOKUP(H44,$A$42:$B$73,2,FALSE)</f>
        <v>CD1</v>
      </c>
      <c r="I45" t="str">
        <f t="shared" si="7"/>
        <v>CA2</v>
      </c>
      <c r="J45" t="str">
        <f t="shared" si="7"/>
        <v>CS1</v>
      </c>
      <c r="K45" t="str">
        <f t="shared" si="7"/>
        <v>BA6</v>
      </c>
      <c r="L45" t="str">
        <f t="shared" si="7"/>
        <v>BA8</v>
      </c>
      <c r="M45" t="str">
        <f>VLOOKUP(M44,$A$42:$B$75,2,FALSE)</f>
        <v>CS2b</v>
      </c>
      <c r="N45" t="str">
        <f t="shared" si="7"/>
        <v>BA5</v>
      </c>
      <c r="O45" t="str">
        <f t="shared" si="7"/>
        <v>DEPOT</v>
      </c>
    </row>
    <row r="46" spans="1:19" x14ac:dyDescent="0.25">
      <c r="A46">
        <f t="shared" si="6"/>
        <v>4</v>
      </c>
      <c r="B46" t="s">
        <v>11</v>
      </c>
      <c r="F46" s="7"/>
      <c r="G46">
        <v>0</v>
      </c>
      <c r="H46">
        <v>10</v>
      </c>
      <c r="I46">
        <v>3</v>
      </c>
      <c r="J46">
        <v>32</v>
      </c>
      <c r="K46">
        <v>5</v>
      </c>
      <c r="L46">
        <v>32</v>
      </c>
      <c r="M46">
        <v>12</v>
      </c>
      <c r="N46">
        <v>0</v>
      </c>
    </row>
    <row r="47" spans="1:19" x14ac:dyDescent="0.25">
      <c r="A47">
        <f t="shared" si="6"/>
        <v>5</v>
      </c>
      <c r="B47" t="s">
        <v>12</v>
      </c>
      <c r="F47" s="7"/>
      <c r="G47" t="str">
        <f>VLOOKUP(G46,$A$42:$B$73,2,FALSE)</f>
        <v>DEPOT</v>
      </c>
      <c r="H47" t="str">
        <f t="shared" ref="H47:N47" si="8">VLOOKUP(H46,$A$42:$B$73,2,FALSE)</f>
        <v>AC2</v>
      </c>
      <c r="I47" t="str">
        <f t="shared" si="8"/>
        <v>AB3</v>
      </c>
      <c r="J47" t="str">
        <f>VLOOKUP(J46,$A$42:$B$75,2,FALSE)</f>
        <v>CS1a</v>
      </c>
      <c r="K47" t="str">
        <f t="shared" si="8"/>
        <v>AB5</v>
      </c>
      <c r="L47" t="str">
        <f>VLOOKUP(L46,$A$42:$B$75,2,FALSE)</f>
        <v>CS1a</v>
      </c>
      <c r="M47" t="str">
        <f t="shared" si="8"/>
        <v>AC4</v>
      </c>
      <c r="N47" t="str">
        <f t="shared" si="8"/>
        <v>DEPOT</v>
      </c>
    </row>
    <row r="48" spans="1:19" x14ac:dyDescent="0.25">
      <c r="A48">
        <f t="shared" si="6"/>
        <v>6</v>
      </c>
      <c r="B48" t="s">
        <v>13</v>
      </c>
      <c r="F48" s="8"/>
      <c r="G48">
        <v>0</v>
      </c>
      <c r="H48">
        <v>23</v>
      </c>
      <c r="I48">
        <v>32</v>
      </c>
      <c r="J48">
        <v>2</v>
      </c>
      <c r="K48">
        <v>32</v>
      </c>
      <c r="L48">
        <v>4</v>
      </c>
      <c r="M48">
        <v>0</v>
      </c>
    </row>
    <row r="49" spans="1:15" x14ac:dyDescent="0.25">
      <c r="A49">
        <f t="shared" si="6"/>
        <v>7</v>
      </c>
      <c r="B49" t="s">
        <v>14</v>
      </c>
      <c r="F49" s="8"/>
      <c r="G49" t="str">
        <f>VLOOKUP(G48,$A$42:$B$73,2,FALSE)</f>
        <v>DEPOT</v>
      </c>
      <c r="H49" t="str">
        <f t="shared" ref="H49:M49" si="9">VLOOKUP(H48,$A$42:$B$73,2,FALSE)</f>
        <v>CA1</v>
      </c>
      <c r="I49" t="str">
        <f>VLOOKUP(I48,$A$42:$B$75,2,FALSE)</f>
        <v>CS1a</v>
      </c>
      <c r="J49" t="str">
        <f t="shared" si="9"/>
        <v>AB2</v>
      </c>
      <c r="K49" t="str">
        <f>VLOOKUP(K48,$A$42:$B$75,2,FALSE)</f>
        <v>CS1a</v>
      </c>
      <c r="L49" t="str">
        <f t="shared" si="9"/>
        <v>AB4</v>
      </c>
      <c r="M49" t="str">
        <f t="shared" si="9"/>
        <v>DEPOT</v>
      </c>
    </row>
    <row r="50" spans="1:15" x14ac:dyDescent="0.25">
      <c r="A50">
        <f t="shared" si="6"/>
        <v>8</v>
      </c>
      <c r="B50" t="s">
        <v>15</v>
      </c>
      <c r="F50" s="9"/>
      <c r="G50">
        <v>0</v>
      </c>
      <c r="H50">
        <v>16</v>
      </c>
      <c r="I50">
        <v>31</v>
      </c>
      <c r="J50">
        <v>26</v>
      </c>
      <c r="K50">
        <v>32</v>
      </c>
      <c r="L50">
        <v>7</v>
      </c>
      <c r="M50">
        <v>0</v>
      </c>
    </row>
    <row r="51" spans="1:15" x14ac:dyDescent="0.25">
      <c r="A51">
        <f t="shared" si="6"/>
        <v>9</v>
      </c>
      <c r="B51" t="s">
        <v>18</v>
      </c>
      <c r="F51" s="9"/>
      <c r="G51" t="str">
        <f>VLOOKUP(G50,$A$42:$B$73,2,FALSE)</f>
        <v>DEPOT</v>
      </c>
      <c r="H51" t="str">
        <f t="shared" ref="H51:M51" si="10">VLOOKUP(H50,$A$42:$B$73,2,FALSE)</f>
        <v>BA2</v>
      </c>
      <c r="I51" t="str">
        <f t="shared" si="10"/>
        <v>CS1</v>
      </c>
      <c r="J51" t="str">
        <f t="shared" si="10"/>
        <v>CA4</v>
      </c>
      <c r="K51" t="str">
        <f>VLOOKUP(K50,$A$42:$B$75,2,FALSE)</f>
        <v>CS1a</v>
      </c>
      <c r="L51" t="str">
        <f t="shared" si="10"/>
        <v>AB7</v>
      </c>
      <c r="M51" t="str">
        <f t="shared" si="10"/>
        <v>DEPOT</v>
      </c>
    </row>
    <row r="52" spans="1:15" x14ac:dyDescent="0.25">
      <c r="A52">
        <f t="shared" si="6"/>
        <v>10</v>
      </c>
      <c r="B52" t="s">
        <v>20</v>
      </c>
      <c r="F52" s="10"/>
      <c r="G52">
        <v>0</v>
      </c>
      <c r="H52">
        <v>1</v>
      </c>
      <c r="I52">
        <v>31</v>
      </c>
      <c r="J52">
        <v>25</v>
      </c>
      <c r="K52">
        <v>32</v>
      </c>
      <c r="L52">
        <v>3</v>
      </c>
      <c r="M52">
        <v>0</v>
      </c>
    </row>
    <row r="53" spans="1:15" x14ac:dyDescent="0.25">
      <c r="A53">
        <f t="shared" si="6"/>
        <v>11</v>
      </c>
      <c r="B53" t="s">
        <v>21</v>
      </c>
      <c r="F53" s="10"/>
      <c r="G53" t="str">
        <f>VLOOKUP(G52,$A$42:$B$73,2,FALSE)</f>
        <v>DEPOT</v>
      </c>
      <c r="H53" t="str">
        <f t="shared" ref="H53:M53" si="11">VLOOKUP(H52,$A$42:$B$73,2,FALSE)</f>
        <v>AB1</v>
      </c>
      <c r="I53" t="str">
        <f t="shared" si="11"/>
        <v>CS1</v>
      </c>
      <c r="J53" t="str">
        <f t="shared" si="11"/>
        <v>CA3</v>
      </c>
      <c r="K53" t="str">
        <f>VLOOKUP(K52,$A$42:$B$75,2,FALSE)</f>
        <v>CS1a</v>
      </c>
      <c r="L53" t="str">
        <f t="shared" si="11"/>
        <v>AB3</v>
      </c>
      <c r="M53" t="str">
        <f t="shared" si="11"/>
        <v>DEPOT</v>
      </c>
    </row>
    <row r="54" spans="1:15" x14ac:dyDescent="0.25">
      <c r="A54">
        <f t="shared" si="6"/>
        <v>12</v>
      </c>
      <c r="B54" t="s">
        <v>22</v>
      </c>
      <c r="F54" s="11"/>
      <c r="G54">
        <v>0</v>
      </c>
      <c r="H54">
        <v>15</v>
      </c>
      <c r="I54">
        <v>30</v>
      </c>
      <c r="J54">
        <v>8</v>
      </c>
      <c r="K54">
        <v>33</v>
      </c>
      <c r="L54">
        <v>17</v>
      </c>
      <c r="M54">
        <v>31</v>
      </c>
      <c r="N54">
        <v>21</v>
      </c>
      <c r="O54">
        <v>0</v>
      </c>
    </row>
    <row r="55" spans="1:15" x14ac:dyDescent="0.25">
      <c r="A55">
        <f t="shared" si="6"/>
        <v>13</v>
      </c>
      <c r="B55" t="s">
        <v>23</v>
      </c>
      <c r="F55" s="11"/>
      <c r="G55" t="str">
        <f>VLOOKUP(G54,$A$42:$B$73,2,FALSE)</f>
        <v>DEPOT</v>
      </c>
      <c r="H55" t="str">
        <f t="shared" ref="H55:O55" si="12">VLOOKUP(H54,$A$42:$B$73,2,FALSE)</f>
        <v>BA1</v>
      </c>
      <c r="I55" t="str">
        <f t="shared" si="12"/>
        <v>DC1</v>
      </c>
      <c r="J55" t="str">
        <f t="shared" si="12"/>
        <v>AB8</v>
      </c>
      <c r="K55" t="str">
        <f>VLOOKUP(K54,$A$42:$B$75,2,FALSE)</f>
        <v>CS2b</v>
      </c>
      <c r="L55" t="str">
        <f t="shared" si="12"/>
        <v>BA3</v>
      </c>
      <c r="M55" t="str">
        <f t="shared" si="12"/>
        <v>CS1</v>
      </c>
      <c r="N55" t="str">
        <f t="shared" si="12"/>
        <v>BA7</v>
      </c>
      <c r="O55" t="str">
        <f t="shared" si="12"/>
        <v>DEPOT</v>
      </c>
    </row>
    <row r="56" spans="1:15" x14ac:dyDescent="0.25">
      <c r="A56">
        <f t="shared" si="6"/>
        <v>14</v>
      </c>
      <c r="B56" t="s">
        <v>24</v>
      </c>
      <c r="F56" s="12"/>
      <c r="G56">
        <v>0</v>
      </c>
      <c r="H56">
        <v>9</v>
      </c>
      <c r="I56">
        <v>32</v>
      </c>
      <c r="J56">
        <v>11</v>
      </c>
      <c r="K56">
        <v>31</v>
      </c>
      <c r="L56">
        <v>27</v>
      </c>
      <c r="M56">
        <v>0</v>
      </c>
    </row>
    <row r="57" spans="1:15" x14ac:dyDescent="0.25">
      <c r="A57">
        <f t="shared" si="6"/>
        <v>15</v>
      </c>
      <c r="B57" s="4" t="s">
        <v>26</v>
      </c>
      <c r="F57" s="12"/>
      <c r="G57" t="str">
        <f>VLOOKUP(G56,$A$42:$B$73,2,FALSE)</f>
        <v>DEPOT</v>
      </c>
      <c r="H57" t="str">
        <f t="shared" ref="H57:M57" si="13">VLOOKUP(H56,$A$42:$B$73,2,FALSE)</f>
        <v>AC1</v>
      </c>
      <c r="I57" t="str">
        <f>VLOOKUP(I56,$A$42:$B$75,2,FALSE)</f>
        <v>CS1a</v>
      </c>
      <c r="J57" t="str">
        <f t="shared" si="13"/>
        <v>AC3</v>
      </c>
      <c r="K57" t="str">
        <f t="shared" si="13"/>
        <v>CS1</v>
      </c>
      <c r="L57" t="str">
        <f t="shared" si="13"/>
        <v>CA5</v>
      </c>
      <c r="M57" t="str">
        <f t="shared" si="13"/>
        <v>DEPOT</v>
      </c>
    </row>
    <row r="58" spans="1:15" x14ac:dyDescent="0.25">
      <c r="A58">
        <f t="shared" si="6"/>
        <v>16</v>
      </c>
      <c r="B58" t="s">
        <v>27</v>
      </c>
      <c r="F58" s="13"/>
    </row>
    <row r="59" spans="1:15" x14ac:dyDescent="0.25">
      <c r="A59">
        <f t="shared" si="6"/>
        <v>17</v>
      </c>
      <c r="B59" t="s">
        <v>28</v>
      </c>
      <c r="F59" s="13"/>
    </row>
    <row r="60" spans="1:15" x14ac:dyDescent="0.25">
      <c r="A60">
        <f t="shared" si="6"/>
        <v>18</v>
      </c>
      <c r="B60" t="s">
        <v>29</v>
      </c>
      <c r="F60" s="4"/>
    </row>
    <row r="61" spans="1:15" x14ac:dyDescent="0.25">
      <c r="A61">
        <f t="shared" si="6"/>
        <v>19</v>
      </c>
      <c r="B61" t="s">
        <v>30</v>
      </c>
      <c r="F61" s="4"/>
    </row>
    <row r="62" spans="1:15" x14ac:dyDescent="0.25">
      <c r="A62">
        <f t="shared" si="6"/>
        <v>20</v>
      </c>
      <c r="B62" t="s">
        <v>31</v>
      </c>
      <c r="F62" s="14"/>
    </row>
    <row r="63" spans="1:15" x14ac:dyDescent="0.25">
      <c r="A63">
        <f t="shared" si="6"/>
        <v>21</v>
      </c>
      <c r="B63" t="s">
        <v>32</v>
      </c>
      <c r="F63" s="14"/>
    </row>
    <row r="64" spans="1:15" x14ac:dyDescent="0.25">
      <c r="A64">
        <f t="shared" si="6"/>
        <v>22</v>
      </c>
      <c r="B64" t="s">
        <v>33</v>
      </c>
      <c r="F64" s="15"/>
    </row>
    <row r="65" spans="1:6" x14ac:dyDescent="0.25">
      <c r="A65">
        <f t="shared" si="6"/>
        <v>23</v>
      </c>
      <c r="B65" t="s">
        <v>34</v>
      </c>
      <c r="F65" s="15"/>
    </row>
    <row r="66" spans="1:6" x14ac:dyDescent="0.25">
      <c r="A66">
        <f t="shared" si="6"/>
        <v>24</v>
      </c>
      <c r="B66" t="s">
        <v>35</v>
      </c>
    </row>
    <row r="67" spans="1:6" x14ac:dyDescent="0.25">
      <c r="A67">
        <f t="shared" si="6"/>
        <v>25</v>
      </c>
      <c r="B67" t="s">
        <v>36</v>
      </c>
    </row>
    <row r="68" spans="1:6" x14ac:dyDescent="0.25">
      <c r="A68">
        <f t="shared" si="6"/>
        <v>26</v>
      </c>
      <c r="B68" t="s">
        <v>37</v>
      </c>
    </row>
    <row r="69" spans="1:6" x14ac:dyDescent="0.25">
      <c r="A69">
        <f t="shared" si="6"/>
        <v>27</v>
      </c>
      <c r="B69" t="s">
        <v>38</v>
      </c>
    </row>
    <row r="70" spans="1:6" x14ac:dyDescent="0.25">
      <c r="A70">
        <f t="shared" si="6"/>
        <v>28</v>
      </c>
      <c r="B70" t="s">
        <v>39</v>
      </c>
    </row>
    <row r="71" spans="1:6" x14ac:dyDescent="0.25">
      <c r="A71">
        <f t="shared" si="6"/>
        <v>29</v>
      </c>
      <c r="B71" t="s">
        <v>40</v>
      </c>
    </row>
    <row r="72" spans="1:6" x14ac:dyDescent="0.25">
      <c r="A72">
        <f t="shared" si="6"/>
        <v>30</v>
      </c>
      <c r="B72" t="s">
        <v>41</v>
      </c>
    </row>
    <row r="73" spans="1:6" x14ac:dyDescent="0.25">
      <c r="A73">
        <f t="shared" si="6"/>
        <v>31</v>
      </c>
      <c r="B73" t="s">
        <v>48</v>
      </c>
    </row>
    <row r="74" spans="1:6" x14ac:dyDescent="0.25">
      <c r="A74">
        <f t="shared" si="6"/>
        <v>32</v>
      </c>
      <c r="B74" t="s">
        <v>90</v>
      </c>
    </row>
    <row r="75" spans="1:6" x14ac:dyDescent="0.25">
      <c r="A75">
        <f t="shared" si="6"/>
        <v>33</v>
      </c>
      <c r="B75" t="s">
        <v>97</v>
      </c>
    </row>
  </sheetData>
  <conditionalFormatting sqref="G44:L46 G42:N43 M46:N46 M44:O45 G47:N47 G54:L65 G48:M53 M54:O55 M56:M57">
    <cfRule type="duplicateValues" dxfId="3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6CCC-9548-4256-8A19-FC183A8C4C7F}">
  <dimension ref="A1:AH171"/>
  <sheetViews>
    <sheetView topLeftCell="J1" workbookViewId="0">
      <pane ySplit="1" topLeftCell="A134" activePane="bottomLeft" state="frozen"/>
      <selection pane="bottomLeft" activeCell="E34" sqref="E34"/>
    </sheetView>
  </sheetViews>
  <sheetFormatPr defaultRowHeight="15" x14ac:dyDescent="0.25"/>
  <sheetData>
    <row r="1" spans="1:34" x14ac:dyDescent="0.25">
      <c r="A1" t="s">
        <v>59</v>
      </c>
      <c r="C1" t="s">
        <v>46</v>
      </c>
      <c r="D1" t="s">
        <v>6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18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</row>
    <row r="2" spans="1:34" x14ac:dyDescent="0.25">
      <c r="A2" t="s">
        <v>48</v>
      </c>
      <c r="B2" t="s">
        <v>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s="3"/>
    </row>
    <row r="3" spans="1:34" x14ac:dyDescent="0.25">
      <c r="A3" t="s">
        <v>48</v>
      </c>
      <c r="B3" t="s">
        <v>6</v>
      </c>
      <c r="C3">
        <v>0</v>
      </c>
      <c r="D3" s="2">
        <f>IF(AND(VLOOKUP(D$1,test!$A$3:$I$32,8,FALSE) - VLOOKUP($B3,test!$A$3:$I$32,9,FALSE) &gt;= (test!$B$33+VLOOKUP(VLOOKUP($B3,test!$A$2:$I$32,4,FALSE),test!$J$10:$P$14,3,FALSE))),1,0)</f>
        <v>0</v>
      </c>
      <c r="E3" s="2">
        <f>IF(AND(VLOOKUP(E$1,test!$A$3:$I$32,8,FALSE) - VLOOKUP($B3,test!$A$3:$I$32,9,FALSE) &gt;= (test!$B$33+VLOOKUP(VLOOKUP($B3,test!$A$2:$I$32,4,FALSE),test!$J$10:$P$14,3,FALSE))),1,0)</f>
        <v>0</v>
      </c>
      <c r="F3" s="2">
        <f>IF(AND(VLOOKUP(F$1,test!$A$3:$I$32,8,FALSE) - VLOOKUP($B3,test!$A$3:$I$32,9,FALSE) &gt;= (test!$B$33+VLOOKUP(VLOOKUP($B3,test!$A$2:$I$32,4,FALSE),test!$J$10:$P$14,3,FALSE))),1,0)</f>
        <v>1</v>
      </c>
      <c r="G3" s="2">
        <f>IF(AND(VLOOKUP(G$1,test!$A$3:$I$32,8,FALSE) - VLOOKUP($B3,test!$A$3:$I$32,9,FALSE) &gt;= (test!$B$33+VLOOKUP(VLOOKUP($B3,test!$A$2:$I$32,4,FALSE),test!$J$10:$P$14,3,FALSE))),1,0)</f>
        <v>1</v>
      </c>
      <c r="H3" s="2">
        <f>IF(AND(VLOOKUP(H$1,test!$A$3:$I$32,8,FALSE) - VLOOKUP($B3,test!$A$3:$I$32,9,FALSE) &gt;= (test!$B$33+VLOOKUP(VLOOKUP($B3,test!$A$2:$I$32,4,FALSE),test!$J$10:$P$14,3,FALSE))),1,0)</f>
        <v>1</v>
      </c>
      <c r="I3" s="2">
        <f>IF(AND(VLOOKUP(I$1,test!$A$3:$I$32,8,FALSE) - VLOOKUP($B3,test!$A$3:$I$32,9,FALSE) &gt;= (test!$B$33+VLOOKUP(VLOOKUP($B3,test!$A$2:$I$32,4,FALSE),test!$J$10:$P$14,3,FALSE))),1,0)</f>
        <v>1</v>
      </c>
      <c r="J3" s="2">
        <f>IF(AND(VLOOKUP(J$1,test!$A$3:$I$32,8,FALSE) - VLOOKUP($B3,test!$A$3:$I$32,9,FALSE) &gt;= (test!$B$33+VLOOKUP(VLOOKUP($B3,test!$A$2:$I$32,4,FALSE),test!$J$10:$P$14,3,FALSE))),1,0)</f>
        <v>1</v>
      </c>
      <c r="K3" s="2">
        <f>IF(AND(VLOOKUP(K$1,test!$A$3:$I$32,8,FALSE) - VLOOKUP($B3,test!$A$3:$I$32,9,FALSE) &gt;= (test!$B$33+VLOOKUP(VLOOKUP($B3,test!$A$2:$I$32,4,FALSE),test!$J$10:$P$14,3,FALSE))),1,0)</f>
        <v>1</v>
      </c>
      <c r="L3" s="2">
        <f>IF(AND(VLOOKUP(L$1,test!$A$3:$I$32,8,FALSE) - VLOOKUP($B3,test!$A$3:$I$32,9,FALSE) &gt;= (test!$B$33+VLOOKUP(VLOOKUP($B3,test!$A$2:$I$32,4,FALSE),test!$J$10:$P$14,3,FALSE))),1,0)</f>
        <v>0</v>
      </c>
      <c r="M3" s="2">
        <f>IF(AND(VLOOKUP(M$1,test!$A$3:$I$32,8,FALSE) - VLOOKUP($B3,test!$A$3:$I$32,9,FALSE) &gt;= (test!$B$33+VLOOKUP(VLOOKUP($B3,test!$A$2:$I$32,4,FALSE),test!$J$10:$P$14,3,FALSE))),1,0)</f>
        <v>0</v>
      </c>
      <c r="N3" s="2">
        <f>IF(AND(VLOOKUP(N$1,test!$A$3:$I$32,8,FALSE) - VLOOKUP($B3,test!$A$3:$I$32,9,FALSE) &gt;= (test!$B$33+VLOOKUP(VLOOKUP($B3,test!$A$2:$I$32,4,FALSE),test!$J$10:$P$14,3,FALSE))),1,0)</f>
        <v>1</v>
      </c>
      <c r="O3" s="2">
        <f>IF(AND(VLOOKUP(O$1,test!$A$3:$I$32,8,FALSE) - VLOOKUP($B3,test!$A$3:$I$32,9,FALSE) &gt;= (test!$B$33+VLOOKUP(VLOOKUP($B3,test!$A$2:$I$32,4,FALSE),test!$J$10:$P$14,3,FALSE))),1,0)</f>
        <v>1</v>
      </c>
      <c r="P3" s="2">
        <f>IF(AND(VLOOKUP(P$1,test!$A$3:$I$32,8,FALSE) - VLOOKUP($B3,test!$A$3:$I$32,9,FALSE) &gt;= (test!$B$33+VLOOKUP(VLOOKUP($B3,test!$A$2:$I$32,4,FALSE),test!$J$10:$P$14,3,FALSE))),1,0)</f>
        <v>1</v>
      </c>
      <c r="Q3" s="2">
        <f>IF(AND(VLOOKUP(Q$1,test!$A$3:$I$32,8,FALSE) - VLOOKUP($B3,test!$A$3:$I$32,9,FALSE) &gt;= (test!$B$33+VLOOKUP(VLOOKUP($B3,test!$A$2:$I$32,4,FALSE),test!$J$10:$P$14,3,FALSE))),1,0)</f>
        <v>0</v>
      </c>
      <c r="R3" s="2">
        <f>IF(AND(VLOOKUP(R$1,test!$A$3:$I$32,8,FALSE) - VLOOKUP($B3,test!$A$3:$I$32,9,FALSE) &gt;= (test!$B$33+VLOOKUP(VLOOKUP($B3,test!$A$2:$I$32,4,FALSE),test!$J$10:$P$14,3,FALSE))),1,0)</f>
        <v>0</v>
      </c>
      <c r="S3" s="2">
        <f>IF(AND(VLOOKUP(S$1,test!$A$3:$I$32,8,FALSE) - VLOOKUP($B3,test!$A$3:$I$32,9,FALSE) &gt;= (test!$B$33+VLOOKUP(VLOOKUP($B3,test!$A$2:$I$32,4,FALSE),test!$J$10:$P$14,3,FALSE))),1,0)</f>
        <v>0</v>
      </c>
      <c r="T3" s="2">
        <f>IF(AND(VLOOKUP(T$1,test!$A$3:$I$32,8,FALSE) - VLOOKUP($B3,test!$A$3:$I$32,9,FALSE) &gt;= (test!$B$33+VLOOKUP(VLOOKUP($B3,test!$A$2:$I$32,4,FALSE),test!$J$10:$P$14,3,FALSE))),1,0)</f>
        <v>0</v>
      </c>
      <c r="U3" s="2">
        <f>IF(AND(VLOOKUP(U$1,test!$A$3:$I$32,8,FALSE) - VLOOKUP($B3,test!$A$3:$I$32,9,FALSE) &gt;= (test!$B$33+VLOOKUP(VLOOKUP($B3,test!$A$2:$I$32,4,FALSE),test!$J$10:$P$14,3,FALSE))),1,0)</f>
        <v>1</v>
      </c>
      <c r="V3" s="2">
        <f>IF(AND(VLOOKUP(V$1,test!$A$3:$I$32,8,FALSE) - VLOOKUP($B3,test!$A$3:$I$32,9,FALSE) &gt;= (test!$B$33+VLOOKUP(VLOOKUP($B3,test!$A$2:$I$32,4,FALSE),test!$J$10:$P$14,3,FALSE))),1,0)</f>
        <v>1</v>
      </c>
      <c r="W3" s="2">
        <f>IF(AND(VLOOKUP(W$1,test!$A$3:$I$32,8,FALSE) - VLOOKUP($B3,test!$A$3:$I$32,9,FALSE) &gt;= (test!$B$33+VLOOKUP(VLOOKUP($B3,test!$A$2:$I$32,4,FALSE),test!$J$10:$P$14,3,FALSE))),1,0)</f>
        <v>1</v>
      </c>
      <c r="X3" s="2">
        <f>IF(AND(VLOOKUP(X$1,test!$A$3:$I$32,8,FALSE) - VLOOKUP($B3,test!$A$3:$I$32,9,FALSE) &gt;= (test!$B$33+VLOOKUP(VLOOKUP($B3,test!$A$2:$I$32,4,FALSE),test!$J$10:$P$14,3,FALSE))),1,0)</f>
        <v>1</v>
      </c>
      <c r="Y3" s="2">
        <f>IF(AND(VLOOKUP(Y$1,test!$A$3:$I$32,8,FALSE) - VLOOKUP($B3,test!$A$3:$I$32,9,FALSE) &gt;= (test!$B$33+VLOOKUP(VLOOKUP($B3,test!$A$2:$I$32,4,FALSE),test!$J$10:$P$14,3,FALSE))),1,0)</f>
        <v>1</v>
      </c>
      <c r="Z3" s="2">
        <f>IF(AND(VLOOKUP(Z$1,test!$A$3:$I$32,8,FALSE) - VLOOKUP($B3,test!$A$3:$I$32,9,FALSE) &gt;= (test!$B$33+VLOOKUP(VLOOKUP($B3,test!$A$2:$I$32,4,FALSE),test!$J$10:$P$14,3,FALSE))),1,0)</f>
        <v>0</v>
      </c>
      <c r="AA3" s="2">
        <f>IF(AND(VLOOKUP(AA$1,test!$A$3:$I$32,8,FALSE) - VLOOKUP($B3,test!$A$3:$I$32,9,FALSE) &gt;= (test!$B$33+VLOOKUP(VLOOKUP($B3,test!$A$2:$I$32,4,FALSE),test!$J$10:$P$14,3,FALSE))),1,0)</f>
        <v>0</v>
      </c>
      <c r="AB3" s="2">
        <f>IF(AND(VLOOKUP(AB$1,test!$A$3:$I$32,8,FALSE) - VLOOKUP($B3,test!$A$3:$I$32,9,FALSE) &gt;= (test!$B$33+VLOOKUP(VLOOKUP($B3,test!$A$2:$I$32,4,FALSE),test!$J$10:$P$14,3,FALSE))),1,0)</f>
        <v>1</v>
      </c>
      <c r="AC3" s="2">
        <f>IF(AND(VLOOKUP(AC$1,test!$A$3:$I$32,8,FALSE) - VLOOKUP($B3,test!$A$3:$I$32,9,FALSE) &gt;= (test!$B$33+VLOOKUP(VLOOKUP($B3,test!$A$2:$I$32,4,FALSE),test!$J$10:$P$14,3,FALSE))),1,0)</f>
        <v>1</v>
      </c>
      <c r="AD3" s="2">
        <f>IF(AND(VLOOKUP(AD$1,test!$A$3:$I$32,8,FALSE) - VLOOKUP($B3,test!$A$3:$I$32,9,FALSE) &gt;= (test!$B$33+VLOOKUP(VLOOKUP($B3,test!$A$2:$I$32,4,FALSE),test!$J$10:$P$14,3,FALSE))),1,0)</f>
        <v>1</v>
      </c>
      <c r="AE3" s="2">
        <f>IF(AND(VLOOKUP(AE$1,test!$A$3:$I$32,8,FALSE) - VLOOKUP($B3,test!$A$3:$I$32,9,FALSE) &gt;= (test!$B$33+VLOOKUP(VLOOKUP($B3,test!$A$2:$I$32,4,FALSE),test!$J$10:$P$14,3,FALSE))),1,0)</f>
        <v>0</v>
      </c>
      <c r="AF3" s="2">
        <f>IF(AND(VLOOKUP(AF$1,test!$A$3:$I$32,8,FALSE) - VLOOKUP($B3,test!$A$3:$I$32,9,FALSE) &gt;= (test!$B$33+VLOOKUP(VLOOKUP($B3,test!$A$2:$I$32,4,FALSE),test!$J$10:$P$14,3,FALSE))),1,0)</f>
        <v>1</v>
      </c>
      <c r="AG3" s="2">
        <f>IF(AND(VLOOKUP(AG$1,test!$A$3:$I$32,8,FALSE) - VLOOKUP($B3,test!$A$3:$I$32,9,FALSE) &gt;= (test!$B$33+VLOOKUP(VLOOKUP($B3,test!$A$2:$I$32,4,FALSE),test!$J$10:$P$14,3,FALSE))),1,0)</f>
        <v>1</v>
      </c>
    </row>
    <row r="4" spans="1:34" x14ac:dyDescent="0.25">
      <c r="A4" t="s">
        <v>48</v>
      </c>
      <c r="B4" t="s">
        <v>9</v>
      </c>
      <c r="C4">
        <v>0</v>
      </c>
      <c r="D4" s="2">
        <f>IF(AND(VLOOKUP(D$1,test!$A$3:$I$32,8,FALSE) - VLOOKUP($B4,test!$A$3:$I$32,9,FALSE) &gt;= (test!$B$33+VLOOKUP(VLOOKUP($B4,test!$A$2:$I$32,4,FALSE),test!$J$10:$P$14,3,FALSE))),1,0)</f>
        <v>0</v>
      </c>
      <c r="E4" s="2">
        <f>IF(AND(VLOOKUP(E$1,test!$A$3:$I$32,8,FALSE) - VLOOKUP($B4,test!$A$3:$I$32,9,FALSE) &gt;= (test!$B$33+VLOOKUP(VLOOKUP($B4,test!$A$2:$I$32,4,FALSE),test!$J$10:$P$14,3,FALSE))),1,0)</f>
        <v>0</v>
      </c>
      <c r="F4" s="2">
        <f>IF(AND(VLOOKUP(F$1,test!$A$3:$I$32,8,FALSE) - VLOOKUP($B4,test!$A$3:$I$32,9,FALSE) &gt;= (test!$B$33+VLOOKUP(VLOOKUP($B4,test!$A$2:$I$32,4,FALSE),test!$J$10:$P$14,3,FALSE))),1,0)</f>
        <v>0</v>
      </c>
      <c r="G4" s="2">
        <f>IF(AND(VLOOKUP(G$1,test!$A$3:$I$32,8,FALSE) - VLOOKUP($B4,test!$A$3:$I$32,9,FALSE) &gt;= (test!$B$33+VLOOKUP(VLOOKUP($B4,test!$A$2:$I$32,4,FALSE),test!$J$10:$P$14,3,FALSE))),1,0)</f>
        <v>0</v>
      </c>
      <c r="H4" s="2">
        <f>IF(AND(VLOOKUP(H$1,test!$A$3:$I$32,8,FALSE) - VLOOKUP($B4,test!$A$3:$I$32,9,FALSE) &gt;= (test!$B$33+VLOOKUP(VLOOKUP($B4,test!$A$2:$I$32,4,FALSE),test!$J$10:$P$14,3,FALSE))),1,0)</f>
        <v>1</v>
      </c>
      <c r="I4" s="2">
        <f>IF(AND(VLOOKUP(I$1,test!$A$3:$I$32,8,FALSE) - VLOOKUP($B4,test!$A$3:$I$32,9,FALSE) &gt;= (test!$B$33+VLOOKUP(VLOOKUP($B4,test!$A$2:$I$32,4,FALSE),test!$J$10:$P$14,3,FALSE))),1,0)</f>
        <v>1</v>
      </c>
      <c r="J4" s="2">
        <f>IF(AND(VLOOKUP(J$1,test!$A$3:$I$32,8,FALSE) - VLOOKUP($B4,test!$A$3:$I$32,9,FALSE) &gt;= (test!$B$33+VLOOKUP(VLOOKUP($B4,test!$A$2:$I$32,4,FALSE),test!$J$10:$P$14,3,FALSE))),1,0)</f>
        <v>1</v>
      </c>
      <c r="K4" s="2">
        <f>IF(AND(VLOOKUP(K$1,test!$A$3:$I$32,8,FALSE) - VLOOKUP($B4,test!$A$3:$I$32,9,FALSE) &gt;= (test!$B$33+VLOOKUP(VLOOKUP($B4,test!$A$2:$I$32,4,FALSE),test!$J$10:$P$14,3,FALSE))),1,0)</f>
        <v>1</v>
      </c>
      <c r="L4" s="2">
        <f>IF(AND(VLOOKUP(L$1,test!$A$3:$I$32,8,FALSE) - VLOOKUP($B4,test!$A$3:$I$32,9,FALSE) &gt;= (test!$B$33+VLOOKUP(VLOOKUP($B4,test!$A$2:$I$32,4,FALSE),test!$J$10:$P$14,3,FALSE))),1,0)</f>
        <v>0</v>
      </c>
      <c r="M4" s="2">
        <f>IF(AND(VLOOKUP(M$1,test!$A$3:$I$32,8,FALSE) - VLOOKUP($B4,test!$A$3:$I$32,9,FALSE) &gt;= (test!$B$33+VLOOKUP(VLOOKUP($B4,test!$A$2:$I$32,4,FALSE),test!$J$10:$P$14,3,FALSE))),1,0)</f>
        <v>0</v>
      </c>
      <c r="N4" s="2">
        <f>IF(AND(VLOOKUP(N$1,test!$A$3:$I$32,8,FALSE) - VLOOKUP($B4,test!$A$3:$I$32,9,FALSE) &gt;= (test!$B$33+VLOOKUP(VLOOKUP($B4,test!$A$2:$I$32,4,FALSE),test!$J$10:$P$14,3,FALSE))),1,0)</f>
        <v>0</v>
      </c>
      <c r="O4" s="2">
        <f>IF(AND(VLOOKUP(O$1,test!$A$3:$I$32,8,FALSE) - VLOOKUP($B4,test!$A$3:$I$32,9,FALSE) &gt;= (test!$B$33+VLOOKUP(VLOOKUP($B4,test!$A$2:$I$32,4,FALSE),test!$J$10:$P$14,3,FALSE))),1,0)</f>
        <v>1</v>
      </c>
      <c r="P4" s="2">
        <f>IF(AND(VLOOKUP(P$1,test!$A$3:$I$32,8,FALSE) - VLOOKUP($B4,test!$A$3:$I$32,9,FALSE) &gt;= (test!$B$33+VLOOKUP(VLOOKUP($B4,test!$A$2:$I$32,4,FALSE),test!$J$10:$P$14,3,FALSE))),1,0)</f>
        <v>1</v>
      </c>
      <c r="Q4" s="2">
        <f>IF(AND(VLOOKUP(Q$1,test!$A$3:$I$32,8,FALSE) - VLOOKUP($B4,test!$A$3:$I$32,9,FALSE) &gt;= (test!$B$33+VLOOKUP(VLOOKUP($B4,test!$A$2:$I$32,4,FALSE),test!$J$10:$P$14,3,FALSE))),1,0)</f>
        <v>0</v>
      </c>
      <c r="R4" s="2">
        <f>IF(AND(VLOOKUP(R$1,test!$A$3:$I$32,8,FALSE) - VLOOKUP($B4,test!$A$3:$I$32,9,FALSE) &gt;= (test!$B$33+VLOOKUP(VLOOKUP($B4,test!$A$2:$I$32,4,FALSE),test!$J$10:$P$14,3,FALSE))),1,0)</f>
        <v>0</v>
      </c>
      <c r="S4" s="2">
        <f>IF(AND(VLOOKUP(S$1,test!$A$3:$I$32,8,FALSE) - VLOOKUP($B4,test!$A$3:$I$32,9,FALSE) &gt;= (test!$B$33+VLOOKUP(VLOOKUP($B4,test!$A$2:$I$32,4,FALSE),test!$J$10:$P$14,3,FALSE))),1,0)</f>
        <v>0</v>
      </c>
      <c r="T4" s="2">
        <f>IF(AND(VLOOKUP(T$1,test!$A$3:$I$32,8,FALSE) - VLOOKUP($B4,test!$A$3:$I$32,9,FALSE) &gt;= (test!$B$33+VLOOKUP(VLOOKUP($B4,test!$A$2:$I$32,4,FALSE),test!$J$10:$P$14,3,FALSE))),1,0)</f>
        <v>0</v>
      </c>
      <c r="U4" s="2">
        <f>IF(AND(VLOOKUP(U$1,test!$A$3:$I$32,8,FALSE) - VLOOKUP($B4,test!$A$3:$I$32,9,FALSE) &gt;= (test!$B$33+VLOOKUP(VLOOKUP($B4,test!$A$2:$I$32,4,FALSE),test!$J$10:$P$14,3,FALSE))),1,0)</f>
        <v>0</v>
      </c>
      <c r="V4" s="2">
        <f>IF(AND(VLOOKUP(V$1,test!$A$3:$I$32,8,FALSE) - VLOOKUP($B4,test!$A$3:$I$32,9,FALSE) &gt;= (test!$B$33+VLOOKUP(VLOOKUP($B4,test!$A$2:$I$32,4,FALSE),test!$J$10:$P$14,3,FALSE))),1,0)</f>
        <v>0</v>
      </c>
      <c r="W4" s="2">
        <f>IF(AND(VLOOKUP(W$1,test!$A$3:$I$32,8,FALSE) - VLOOKUP($B4,test!$A$3:$I$32,9,FALSE) &gt;= (test!$B$33+VLOOKUP(VLOOKUP($B4,test!$A$2:$I$32,4,FALSE),test!$J$10:$P$14,3,FALSE))),1,0)</f>
        <v>1</v>
      </c>
      <c r="X4" s="2">
        <f>IF(AND(VLOOKUP(X$1,test!$A$3:$I$32,8,FALSE) - VLOOKUP($B4,test!$A$3:$I$32,9,FALSE) &gt;= (test!$B$33+VLOOKUP(VLOOKUP($B4,test!$A$2:$I$32,4,FALSE),test!$J$10:$P$14,3,FALSE))),1,0)</f>
        <v>1</v>
      </c>
      <c r="Y4" s="2">
        <f>IF(AND(VLOOKUP(Y$1,test!$A$3:$I$32,8,FALSE) - VLOOKUP($B4,test!$A$3:$I$32,9,FALSE) &gt;= (test!$B$33+VLOOKUP(VLOOKUP($B4,test!$A$2:$I$32,4,FALSE),test!$J$10:$P$14,3,FALSE))),1,0)</f>
        <v>1</v>
      </c>
      <c r="Z4" s="2">
        <f>IF(AND(VLOOKUP(Z$1,test!$A$3:$I$32,8,FALSE) - VLOOKUP($B4,test!$A$3:$I$32,9,FALSE) &gt;= (test!$B$33+VLOOKUP(VLOOKUP($B4,test!$A$2:$I$32,4,FALSE),test!$J$10:$P$14,3,FALSE))),1,0)</f>
        <v>0</v>
      </c>
      <c r="AA4" s="2">
        <f>IF(AND(VLOOKUP(AA$1,test!$A$3:$I$32,8,FALSE) - VLOOKUP($B4,test!$A$3:$I$32,9,FALSE) &gt;= (test!$B$33+VLOOKUP(VLOOKUP($B4,test!$A$2:$I$32,4,FALSE),test!$J$10:$P$14,3,FALSE))),1,0)</f>
        <v>0</v>
      </c>
      <c r="AB4" s="2">
        <f>IF(AND(VLOOKUP(AB$1,test!$A$3:$I$32,8,FALSE) - VLOOKUP($B4,test!$A$3:$I$32,9,FALSE) &gt;= (test!$B$33+VLOOKUP(VLOOKUP($B4,test!$A$2:$I$32,4,FALSE),test!$J$10:$P$14,3,FALSE))),1,0)</f>
        <v>0</v>
      </c>
      <c r="AC4" s="2">
        <f>IF(AND(VLOOKUP(AC$1,test!$A$3:$I$32,8,FALSE) - VLOOKUP($B4,test!$A$3:$I$32,9,FALSE) &gt;= (test!$B$33+VLOOKUP(VLOOKUP($B4,test!$A$2:$I$32,4,FALSE),test!$J$10:$P$14,3,FALSE))),1,0)</f>
        <v>0</v>
      </c>
      <c r="AD4" s="2">
        <f>IF(AND(VLOOKUP(AD$1,test!$A$3:$I$32,8,FALSE) - VLOOKUP($B4,test!$A$3:$I$32,9,FALSE) &gt;= (test!$B$33+VLOOKUP(VLOOKUP($B4,test!$A$2:$I$32,4,FALSE),test!$J$10:$P$14,3,FALSE))),1,0)</f>
        <v>1</v>
      </c>
      <c r="AE4" s="2">
        <f>IF(AND(VLOOKUP(AE$1,test!$A$3:$I$32,8,FALSE) - VLOOKUP($B4,test!$A$3:$I$32,9,FALSE) &gt;= (test!$B$33+VLOOKUP(VLOOKUP($B4,test!$A$2:$I$32,4,FALSE),test!$J$10:$P$14,3,FALSE))),1,0)</f>
        <v>0</v>
      </c>
      <c r="AF4" s="2">
        <f>IF(AND(VLOOKUP(AF$1,test!$A$3:$I$32,8,FALSE) - VLOOKUP($B4,test!$A$3:$I$32,9,FALSE) &gt;= (test!$B$33+VLOOKUP(VLOOKUP($B4,test!$A$2:$I$32,4,FALSE),test!$J$10:$P$14,3,FALSE))),1,0)</f>
        <v>0</v>
      </c>
      <c r="AG4" s="2">
        <f>IF(AND(VLOOKUP(AG$1,test!$A$3:$I$32,8,FALSE) - VLOOKUP($B4,test!$A$3:$I$32,9,FALSE) &gt;= (test!$B$33+VLOOKUP(VLOOKUP($B4,test!$A$2:$I$32,4,FALSE),test!$J$10:$P$14,3,FALSE))),1,0)</f>
        <v>0</v>
      </c>
    </row>
    <row r="5" spans="1:34" x14ac:dyDescent="0.25">
      <c r="A5" t="s">
        <v>48</v>
      </c>
      <c r="B5" t="s">
        <v>10</v>
      </c>
      <c r="C5">
        <v>0</v>
      </c>
      <c r="D5" s="2">
        <f>IF(AND(VLOOKUP(D$1,test!$A$3:$I$32,8,FALSE) - VLOOKUP($B5,test!$A$3:$I$32,9,FALSE) &gt;= (test!$B$33+VLOOKUP(VLOOKUP($B5,test!$A$2:$I$32,4,FALSE),test!$J$10:$P$14,3,FALSE))),1,0)</f>
        <v>0</v>
      </c>
      <c r="E5" s="2">
        <f>IF(AND(VLOOKUP(E$1,test!$A$3:$I$32,8,FALSE) - VLOOKUP($B5,test!$A$3:$I$32,9,FALSE) &gt;= (test!$B$33+VLOOKUP(VLOOKUP($B5,test!$A$2:$I$32,4,FALSE),test!$J$10:$P$14,3,FALSE))),1,0)</f>
        <v>0</v>
      </c>
      <c r="F5" s="2">
        <f>IF(AND(VLOOKUP(F$1,test!$A$3:$I$32,8,FALSE) - VLOOKUP($B5,test!$A$3:$I$32,9,FALSE) &gt;= (test!$B$33+VLOOKUP(VLOOKUP($B5,test!$A$2:$I$32,4,FALSE),test!$J$10:$P$14,3,FALSE))),1,0)</f>
        <v>0</v>
      </c>
      <c r="G5" s="2">
        <f>IF(AND(VLOOKUP(G$1,test!$A$3:$I$32,8,FALSE) - VLOOKUP($B5,test!$A$3:$I$32,9,FALSE) &gt;= (test!$B$33+VLOOKUP(VLOOKUP($B5,test!$A$2:$I$32,4,FALSE),test!$J$10:$P$14,3,FALSE))),1,0)</f>
        <v>0</v>
      </c>
      <c r="H5" s="2">
        <f>IF(AND(VLOOKUP(H$1,test!$A$3:$I$32,8,FALSE) - VLOOKUP($B5,test!$A$3:$I$32,9,FALSE) &gt;= (test!$B$33+VLOOKUP(VLOOKUP($B5,test!$A$2:$I$32,4,FALSE),test!$J$10:$P$14,3,FALSE))),1,0)</f>
        <v>0</v>
      </c>
      <c r="I5" s="2">
        <f>IF(AND(VLOOKUP(I$1,test!$A$3:$I$32,8,FALSE) - VLOOKUP($B5,test!$A$3:$I$32,9,FALSE) &gt;= (test!$B$33+VLOOKUP(VLOOKUP($B5,test!$A$2:$I$32,4,FALSE),test!$J$10:$P$14,3,FALSE))),1,0)</f>
        <v>0</v>
      </c>
      <c r="J5" s="2">
        <f>IF(AND(VLOOKUP(J$1,test!$A$3:$I$32,8,FALSE) - VLOOKUP($B5,test!$A$3:$I$32,9,FALSE) &gt;= (test!$B$33+VLOOKUP(VLOOKUP($B5,test!$A$2:$I$32,4,FALSE),test!$J$10:$P$14,3,FALSE))),1,0)</f>
        <v>1</v>
      </c>
      <c r="K5" s="2">
        <f>IF(AND(VLOOKUP(K$1,test!$A$3:$I$32,8,FALSE) - VLOOKUP($B5,test!$A$3:$I$32,9,FALSE) &gt;= (test!$B$33+VLOOKUP(VLOOKUP($B5,test!$A$2:$I$32,4,FALSE),test!$J$10:$P$14,3,FALSE))),1,0)</f>
        <v>1</v>
      </c>
      <c r="L5" s="2">
        <f>IF(AND(VLOOKUP(L$1,test!$A$3:$I$32,8,FALSE) - VLOOKUP($B5,test!$A$3:$I$32,9,FALSE) &gt;= (test!$B$33+VLOOKUP(VLOOKUP($B5,test!$A$2:$I$32,4,FALSE),test!$J$10:$P$14,3,FALSE))),1,0)</f>
        <v>0</v>
      </c>
      <c r="M5" s="2">
        <f>IF(AND(VLOOKUP(M$1,test!$A$3:$I$32,8,FALSE) - VLOOKUP($B5,test!$A$3:$I$32,9,FALSE) &gt;= (test!$B$33+VLOOKUP(VLOOKUP($B5,test!$A$2:$I$32,4,FALSE),test!$J$10:$P$14,3,FALSE))),1,0)</f>
        <v>0</v>
      </c>
      <c r="N5" s="2">
        <f>IF(AND(VLOOKUP(N$1,test!$A$3:$I$32,8,FALSE) - VLOOKUP($B5,test!$A$3:$I$32,9,FALSE) &gt;= (test!$B$33+VLOOKUP(VLOOKUP($B5,test!$A$2:$I$32,4,FALSE),test!$J$10:$P$14,3,FALSE))),1,0)</f>
        <v>0</v>
      </c>
      <c r="O5" s="2">
        <f>IF(AND(VLOOKUP(O$1,test!$A$3:$I$32,8,FALSE) - VLOOKUP($B5,test!$A$3:$I$32,9,FALSE) &gt;= (test!$B$33+VLOOKUP(VLOOKUP($B5,test!$A$2:$I$32,4,FALSE),test!$J$10:$P$14,3,FALSE))),1,0)</f>
        <v>1</v>
      </c>
      <c r="P5" s="2">
        <f>IF(AND(VLOOKUP(P$1,test!$A$3:$I$32,8,FALSE) - VLOOKUP($B5,test!$A$3:$I$32,9,FALSE) &gt;= (test!$B$33+VLOOKUP(VLOOKUP($B5,test!$A$2:$I$32,4,FALSE),test!$J$10:$P$14,3,FALSE))),1,0)</f>
        <v>1</v>
      </c>
      <c r="Q5" s="2">
        <f>IF(AND(VLOOKUP(Q$1,test!$A$3:$I$32,8,FALSE) - VLOOKUP($B5,test!$A$3:$I$32,9,FALSE) &gt;= (test!$B$33+VLOOKUP(VLOOKUP($B5,test!$A$2:$I$32,4,FALSE),test!$J$10:$P$14,3,FALSE))),1,0)</f>
        <v>0</v>
      </c>
      <c r="R5" s="2">
        <f>IF(AND(VLOOKUP(R$1,test!$A$3:$I$32,8,FALSE) - VLOOKUP($B5,test!$A$3:$I$32,9,FALSE) &gt;= (test!$B$33+VLOOKUP(VLOOKUP($B5,test!$A$2:$I$32,4,FALSE),test!$J$10:$P$14,3,FALSE))),1,0)</f>
        <v>0</v>
      </c>
      <c r="S5" s="2">
        <f>IF(AND(VLOOKUP(S$1,test!$A$3:$I$32,8,FALSE) - VLOOKUP($B5,test!$A$3:$I$32,9,FALSE) &gt;= (test!$B$33+VLOOKUP(VLOOKUP($B5,test!$A$2:$I$32,4,FALSE),test!$J$10:$P$14,3,FALSE))),1,0)</f>
        <v>0</v>
      </c>
      <c r="T5" s="2">
        <f>IF(AND(VLOOKUP(T$1,test!$A$3:$I$32,8,FALSE) - VLOOKUP($B5,test!$A$3:$I$32,9,FALSE) &gt;= (test!$B$33+VLOOKUP(VLOOKUP($B5,test!$A$2:$I$32,4,FALSE),test!$J$10:$P$14,3,FALSE))),1,0)</f>
        <v>0</v>
      </c>
      <c r="U5" s="2">
        <f>IF(AND(VLOOKUP(U$1,test!$A$3:$I$32,8,FALSE) - VLOOKUP($B5,test!$A$3:$I$32,9,FALSE) &gt;= (test!$B$33+VLOOKUP(VLOOKUP($B5,test!$A$2:$I$32,4,FALSE),test!$J$10:$P$14,3,FALSE))),1,0)</f>
        <v>0</v>
      </c>
      <c r="V5" s="2">
        <f>IF(AND(VLOOKUP(V$1,test!$A$3:$I$32,8,FALSE) - VLOOKUP($B5,test!$A$3:$I$32,9,FALSE) &gt;= (test!$B$33+VLOOKUP(VLOOKUP($B5,test!$A$2:$I$32,4,FALSE),test!$J$10:$P$14,3,FALSE))),1,0)</f>
        <v>0</v>
      </c>
      <c r="W5" s="2">
        <f>IF(AND(VLOOKUP(W$1,test!$A$3:$I$32,8,FALSE) - VLOOKUP($B5,test!$A$3:$I$32,9,FALSE) &gt;= (test!$B$33+VLOOKUP(VLOOKUP($B5,test!$A$2:$I$32,4,FALSE),test!$J$10:$P$14,3,FALSE))),1,0)</f>
        <v>0</v>
      </c>
      <c r="X5" s="2">
        <f>IF(AND(VLOOKUP(X$1,test!$A$3:$I$32,8,FALSE) - VLOOKUP($B5,test!$A$3:$I$32,9,FALSE) &gt;= (test!$B$33+VLOOKUP(VLOOKUP($B5,test!$A$2:$I$32,4,FALSE),test!$J$10:$P$14,3,FALSE))),1,0)</f>
        <v>1</v>
      </c>
      <c r="Y5" s="2">
        <f>IF(AND(VLOOKUP(Y$1,test!$A$3:$I$32,8,FALSE) - VLOOKUP($B5,test!$A$3:$I$32,9,FALSE) &gt;= (test!$B$33+VLOOKUP(VLOOKUP($B5,test!$A$2:$I$32,4,FALSE),test!$J$10:$P$14,3,FALSE))),1,0)</f>
        <v>1</v>
      </c>
      <c r="Z5" s="2">
        <f>IF(AND(VLOOKUP(Z$1,test!$A$3:$I$32,8,FALSE) - VLOOKUP($B5,test!$A$3:$I$32,9,FALSE) &gt;= (test!$B$33+VLOOKUP(VLOOKUP($B5,test!$A$2:$I$32,4,FALSE),test!$J$10:$P$14,3,FALSE))),1,0)</f>
        <v>0</v>
      </c>
      <c r="AA5" s="2">
        <f>IF(AND(VLOOKUP(AA$1,test!$A$3:$I$32,8,FALSE) - VLOOKUP($B5,test!$A$3:$I$32,9,FALSE) &gt;= (test!$B$33+VLOOKUP(VLOOKUP($B5,test!$A$2:$I$32,4,FALSE),test!$J$10:$P$14,3,FALSE))),1,0)</f>
        <v>0</v>
      </c>
      <c r="AB5" s="2">
        <f>IF(AND(VLOOKUP(AB$1,test!$A$3:$I$32,8,FALSE) - VLOOKUP($B5,test!$A$3:$I$32,9,FALSE) &gt;= (test!$B$33+VLOOKUP(VLOOKUP($B5,test!$A$2:$I$32,4,FALSE),test!$J$10:$P$14,3,FALSE))),1,0)</f>
        <v>0</v>
      </c>
      <c r="AC5" s="2">
        <f>IF(AND(VLOOKUP(AC$1,test!$A$3:$I$32,8,FALSE) - VLOOKUP($B5,test!$A$3:$I$32,9,FALSE) &gt;= (test!$B$33+VLOOKUP(VLOOKUP($B5,test!$A$2:$I$32,4,FALSE),test!$J$10:$P$14,3,FALSE))),1,0)</f>
        <v>0</v>
      </c>
      <c r="AD5" s="2">
        <f>IF(AND(VLOOKUP(AD$1,test!$A$3:$I$32,8,FALSE) - VLOOKUP($B5,test!$A$3:$I$32,9,FALSE) &gt;= (test!$B$33+VLOOKUP(VLOOKUP($B5,test!$A$2:$I$32,4,FALSE),test!$J$10:$P$14,3,FALSE))),1,0)</f>
        <v>0</v>
      </c>
      <c r="AE5" s="2">
        <f>IF(AND(VLOOKUP(AE$1,test!$A$3:$I$32,8,FALSE) - VLOOKUP($B5,test!$A$3:$I$32,9,FALSE) &gt;= (test!$B$33+VLOOKUP(VLOOKUP($B5,test!$A$2:$I$32,4,FALSE),test!$J$10:$P$14,3,FALSE))),1,0)</f>
        <v>0</v>
      </c>
      <c r="AF5" s="2">
        <f>IF(AND(VLOOKUP(AF$1,test!$A$3:$I$32,8,FALSE) - VLOOKUP($B5,test!$A$3:$I$32,9,FALSE) &gt;= (test!$B$33+VLOOKUP(VLOOKUP($B5,test!$A$2:$I$32,4,FALSE),test!$J$10:$P$14,3,FALSE))),1,0)</f>
        <v>0</v>
      </c>
      <c r="AG5" s="2">
        <f>IF(AND(VLOOKUP(AG$1,test!$A$3:$I$32,8,FALSE) - VLOOKUP($B5,test!$A$3:$I$32,9,FALSE) &gt;= (test!$B$33+VLOOKUP(VLOOKUP($B5,test!$A$2:$I$32,4,FALSE),test!$J$10:$P$14,3,FALSE))),1,0)</f>
        <v>0</v>
      </c>
    </row>
    <row r="6" spans="1:34" x14ac:dyDescent="0.25">
      <c r="A6" t="s">
        <v>48</v>
      </c>
      <c r="B6" t="s">
        <v>11</v>
      </c>
      <c r="C6">
        <v>0</v>
      </c>
      <c r="D6" s="2">
        <f>IF(AND(VLOOKUP(D$1,test!$A$3:$I$32,8,FALSE) - VLOOKUP($B6,test!$A$3:$I$32,9,FALSE) &gt;= (test!$B$33+VLOOKUP(VLOOKUP($B6,test!$A$2:$I$32,4,FALSE),test!$J$10:$P$14,3,FALSE))),1,0)</f>
        <v>0</v>
      </c>
      <c r="E6" s="2">
        <f>IF(AND(VLOOKUP(E$1,test!$A$3:$I$32,8,FALSE) - VLOOKUP($B6,test!$A$3:$I$32,9,FALSE) &gt;= (test!$B$33+VLOOKUP(VLOOKUP($B6,test!$A$2:$I$32,4,FALSE),test!$J$10:$P$14,3,FALSE))),1,0)</f>
        <v>0</v>
      </c>
      <c r="F6" s="2">
        <f>IF(AND(VLOOKUP(F$1,test!$A$3:$I$32,8,FALSE) - VLOOKUP($B6,test!$A$3:$I$32,9,FALSE) &gt;= (test!$B$33+VLOOKUP(VLOOKUP($B6,test!$A$2:$I$32,4,FALSE),test!$J$10:$P$14,3,FALSE))),1,0)</f>
        <v>0</v>
      </c>
      <c r="G6" s="2">
        <f>IF(AND(VLOOKUP(G$1,test!$A$3:$I$32,8,FALSE) - VLOOKUP($B6,test!$A$3:$I$32,9,FALSE) &gt;= (test!$B$33+VLOOKUP(VLOOKUP($B6,test!$A$2:$I$32,4,FALSE),test!$J$10:$P$14,3,FALSE))),1,0)</f>
        <v>0</v>
      </c>
      <c r="H6" s="2">
        <f>IF(AND(VLOOKUP(H$1,test!$A$3:$I$32,8,FALSE) - VLOOKUP($B6,test!$A$3:$I$32,9,FALSE) &gt;= (test!$B$33+VLOOKUP(VLOOKUP($B6,test!$A$2:$I$32,4,FALSE),test!$J$10:$P$14,3,FALSE))),1,0)</f>
        <v>0</v>
      </c>
      <c r="I6" s="2">
        <f>IF(AND(VLOOKUP(I$1,test!$A$3:$I$32,8,FALSE) - VLOOKUP($B6,test!$A$3:$I$32,9,FALSE) &gt;= (test!$B$33+VLOOKUP(VLOOKUP($B6,test!$A$2:$I$32,4,FALSE),test!$J$10:$P$14,3,FALSE))),1,0)</f>
        <v>0</v>
      </c>
      <c r="J6" s="2">
        <f>IF(AND(VLOOKUP(J$1,test!$A$3:$I$32,8,FALSE) - VLOOKUP($B6,test!$A$3:$I$32,9,FALSE) &gt;= (test!$B$33+VLOOKUP(VLOOKUP($B6,test!$A$2:$I$32,4,FALSE),test!$J$10:$P$14,3,FALSE))),1,0)</f>
        <v>0</v>
      </c>
      <c r="K6" s="2">
        <f>IF(AND(VLOOKUP(K$1,test!$A$3:$I$32,8,FALSE) - VLOOKUP($B6,test!$A$3:$I$32,9,FALSE) &gt;= (test!$B$33+VLOOKUP(VLOOKUP($B6,test!$A$2:$I$32,4,FALSE),test!$J$10:$P$14,3,FALSE))),1,0)</f>
        <v>1</v>
      </c>
      <c r="L6" s="2">
        <f>IF(AND(VLOOKUP(L$1,test!$A$3:$I$32,8,FALSE) - VLOOKUP($B6,test!$A$3:$I$32,9,FALSE) &gt;= (test!$B$33+VLOOKUP(VLOOKUP($B6,test!$A$2:$I$32,4,FALSE),test!$J$10:$P$14,3,FALSE))),1,0)</f>
        <v>0</v>
      </c>
      <c r="M6" s="2">
        <f>IF(AND(VLOOKUP(M$1,test!$A$3:$I$32,8,FALSE) - VLOOKUP($B6,test!$A$3:$I$32,9,FALSE) &gt;= (test!$B$33+VLOOKUP(VLOOKUP($B6,test!$A$2:$I$32,4,FALSE),test!$J$10:$P$14,3,FALSE))),1,0)</f>
        <v>0</v>
      </c>
      <c r="N6" s="2">
        <f>IF(AND(VLOOKUP(N$1,test!$A$3:$I$32,8,FALSE) - VLOOKUP($B6,test!$A$3:$I$32,9,FALSE) &gt;= (test!$B$33+VLOOKUP(VLOOKUP($B6,test!$A$2:$I$32,4,FALSE),test!$J$10:$P$14,3,FALSE))),1,0)</f>
        <v>0</v>
      </c>
      <c r="O6" s="2">
        <f>IF(AND(VLOOKUP(O$1,test!$A$3:$I$32,8,FALSE) - VLOOKUP($B6,test!$A$3:$I$32,9,FALSE) &gt;= (test!$B$33+VLOOKUP(VLOOKUP($B6,test!$A$2:$I$32,4,FALSE),test!$J$10:$P$14,3,FALSE))),1,0)</f>
        <v>1</v>
      </c>
      <c r="P6" s="2">
        <f>IF(AND(VLOOKUP(P$1,test!$A$3:$I$32,8,FALSE) - VLOOKUP($B6,test!$A$3:$I$32,9,FALSE) &gt;= (test!$B$33+VLOOKUP(VLOOKUP($B6,test!$A$2:$I$32,4,FALSE),test!$J$10:$P$14,3,FALSE))),1,0)</f>
        <v>1</v>
      </c>
      <c r="Q6" s="2">
        <f>IF(AND(VLOOKUP(Q$1,test!$A$3:$I$32,8,FALSE) - VLOOKUP($B6,test!$A$3:$I$32,9,FALSE) &gt;= (test!$B$33+VLOOKUP(VLOOKUP($B6,test!$A$2:$I$32,4,FALSE),test!$J$10:$P$14,3,FALSE))),1,0)</f>
        <v>0</v>
      </c>
      <c r="R6" s="2">
        <f>IF(AND(VLOOKUP(R$1,test!$A$3:$I$32,8,FALSE) - VLOOKUP($B6,test!$A$3:$I$32,9,FALSE) &gt;= (test!$B$33+VLOOKUP(VLOOKUP($B6,test!$A$2:$I$32,4,FALSE),test!$J$10:$P$14,3,FALSE))),1,0)</f>
        <v>0</v>
      </c>
      <c r="S6" s="2">
        <f>IF(AND(VLOOKUP(S$1,test!$A$3:$I$32,8,FALSE) - VLOOKUP($B6,test!$A$3:$I$32,9,FALSE) &gt;= (test!$B$33+VLOOKUP(VLOOKUP($B6,test!$A$2:$I$32,4,FALSE),test!$J$10:$P$14,3,FALSE))),1,0)</f>
        <v>0</v>
      </c>
      <c r="T6" s="2">
        <f>IF(AND(VLOOKUP(T$1,test!$A$3:$I$32,8,FALSE) - VLOOKUP($B6,test!$A$3:$I$32,9,FALSE) &gt;= (test!$B$33+VLOOKUP(VLOOKUP($B6,test!$A$2:$I$32,4,FALSE),test!$J$10:$P$14,3,FALSE))),1,0)</f>
        <v>0</v>
      </c>
      <c r="U6" s="2">
        <f>IF(AND(VLOOKUP(U$1,test!$A$3:$I$32,8,FALSE) - VLOOKUP($B6,test!$A$3:$I$32,9,FALSE) &gt;= (test!$B$33+VLOOKUP(VLOOKUP($B6,test!$A$2:$I$32,4,FALSE),test!$J$10:$P$14,3,FALSE))),1,0)</f>
        <v>0</v>
      </c>
      <c r="V6" s="2">
        <f>IF(AND(VLOOKUP(V$1,test!$A$3:$I$32,8,FALSE) - VLOOKUP($B6,test!$A$3:$I$32,9,FALSE) &gt;= (test!$B$33+VLOOKUP(VLOOKUP($B6,test!$A$2:$I$32,4,FALSE),test!$J$10:$P$14,3,FALSE))),1,0)</f>
        <v>0</v>
      </c>
      <c r="W6" s="2">
        <f>IF(AND(VLOOKUP(W$1,test!$A$3:$I$32,8,FALSE) - VLOOKUP($B6,test!$A$3:$I$32,9,FALSE) &gt;= (test!$B$33+VLOOKUP(VLOOKUP($B6,test!$A$2:$I$32,4,FALSE),test!$J$10:$P$14,3,FALSE))),1,0)</f>
        <v>0</v>
      </c>
      <c r="X6" s="2">
        <f>IF(AND(VLOOKUP(X$1,test!$A$3:$I$32,8,FALSE) - VLOOKUP($B6,test!$A$3:$I$32,9,FALSE) &gt;= (test!$B$33+VLOOKUP(VLOOKUP($B6,test!$A$2:$I$32,4,FALSE),test!$J$10:$P$14,3,FALSE))),1,0)</f>
        <v>0</v>
      </c>
      <c r="Y6" s="2">
        <f>IF(AND(VLOOKUP(Y$1,test!$A$3:$I$32,8,FALSE) - VLOOKUP($B6,test!$A$3:$I$32,9,FALSE) &gt;= (test!$B$33+VLOOKUP(VLOOKUP($B6,test!$A$2:$I$32,4,FALSE),test!$J$10:$P$14,3,FALSE))),1,0)</f>
        <v>1</v>
      </c>
      <c r="Z6" s="2">
        <f>IF(AND(VLOOKUP(Z$1,test!$A$3:$I$32,8,FALSE) - VLOOKUP($B6,test!$A$3:$I$32,9,FALSE) &gt;= (test!$B$33+VLOOKUP(VLOOKUP($B6,test!$A$2:$I$32,4,FALSE),test!$J$10:$P$14,3,FALSE))),1,0)</f>
        <v>0</v>
      </c>
      <c r="AA6" s="2">
        <f>IF(AND(VLOOKUP(AA$1,test!$A$3:$I$32,8,FALSE) - VLOOKUP($B6,test!$A$3:$I$32,9,FALSE) &gt;= (test!$B$33+VLOOKUP(VLOOKUP($B6,test!$A$2:$I$32,4,FALSE),test!$J$10:$P$14,3,FALSE))),1,0)</f>
        <v>0</v>
      </c>
      <c r="AB6" s="2">
        <f>IF(AND(VLOOKUP(AB$1,test!$A$3:$I$32,8,FALSE) - VLOOKUP($B6,test!$A$3:$I$32,9,FALSE) &gt;= (test!$B$33+VLOOKUP(VLOOKUP($B6,test!$A$2:$I$32,4,FALSE),test!$J$10:$P$14,3,FALSE))),1,0)</f>
        <v>0</v>
      </c>
      <c r="AC6" s="2">
        <f>IF(AND(VLOOKUP(AC$1,test!$A$3:$I$32,8,FALSE) - VLOOKUP($B6,test!$A$3:$I$32,9,FALSE) &gt;= (test!$B$33+VLOOKUP(VLOOKUP($B6,test!$A$2:$I$32,4,FALSE),test!$J$10:$P$14,3,FALSE))),1,0)</f>
        <v>0</v>
      </c>
      <c r="AD6" s="2">
        <f>IF(AND(VLOOKUP(AD$1,test!$A$3:$I$32,8,FALSE) - VLOOKUP($B6,test!$A$3:$I$32,9,FALSE) &gt;= (test!$B$33+VLOOKUP(VLOOKUP($B6,test!$A$2:$I$32,4,FALSE),test!$J$10:$P$14,3,FALSE))),1,0)</f>
        <v>0</v>
      </c>
      <c r="AE6" s="2">
        <f>IF(AND(VLOOKUP(AE$1,test!$A$3:$I$32,8,FALSE) - VLOOKUP($B6,test!$A$3:$I$32,9,FALSE) &gt;= (test!$B$33+VLOOKUP(VLOOKUP($B6,test!$A$2:$I$32,4,FALSE),test!$J$10:$P$14,3,FALSE))),1,0)</f>
        <v>0</v>
      </c>
      <c r="AF6" s="2">
        <f>IF(AND(VLOOKUP(AF$1,test!$A$3:$I$32,8,FALSE) - VLOOKUP($B6,test!$A$3:$I$32,9,FALSE) &gt;= (test!$B$33+VLOOKUP(VLOOKUP($B6,test!$A$2:$I$32,4,FALSE),test!$J$10:$P$14,3,FALSE))),1,0)</f>
        <v>0</v>
      </c>
      <c r="AG6" s="2">
        <f>IF(AND(VLOOKUP(AG$1,test!$A$3:$I$32,8,FALSE) - VLOOKUP($B6,test!$A$3:$I$32,9,FALSE) &gt;= (test!$B$33+VLOOKUP(VLOOKUP($B6,test!$A$2:$I$32,4,FALSE),test!$J$10:$P$14,3,FALSE))),1,0)</f>
        <v>0</v>
      </c>
    </row>
    <row r="7" spans="1:34" x14ac:dyDescent="0.25">
      <c r="A7" t="s">
        <v>48</v>
      </c>
      <c r="B7" t="s">
        <v>12</v>
      </c>
      <c r="C7">
        <v>0</v>
      </c>
      <c r="D7" s="2">
        <f>IF(AND(VLOOKUP(D$1,test!$A$3:$I$32,8,FALSE) - VLOOKUP($B7,test!$A$3:$I$32,9,FALSE) &gt;= (test!$B$33+VLOOKUP(VLOOKUP($B7,test!$A$2:$I$32,4,FALSE),test!$J$10:$P$14,3,FALSE))),1,0)</f>
        <v>0</v>
      </c>
      <c r="E7" s="2">
        <f>IF(AND(VLOOKUP(E$1,test!$A$3:$I$32,8,FALSE) - VLOOKUP($B7,test!$A$3:$I$32,9,FALSE) &gt;= (test!$B$33+VLOOKUP(VLOOKUP($B7,test!$A$2:$I$32,4,FALSE),test!$J$10:$P$14,3,FALSE))),1,0)</f>
        <v>0</v>
      </c>
      <c r="F7" s="2">
        <f>IF(AND(VLOOKUP(F$1,test!$A$3:$I$32,8,FALSE) - VLOOKUP($B7,test!$A$3:$I$32,9,FALSE) &gt;= (test!$B$33+VLOOKUP(VLOOKUP($B7,test!$A$2:$I$32,4,FALSE),test!$J$10:$P$14,3,FALSE))),1,0)</f>
        <v>0</v>
      </c>
      <c r="G7" s="2">
        <f>IF(AND(VLOOKUP(G$1,test!$A$3:$I$32,8,FALSE) - VLOOKUP($B7,test!$A$3:$I$32,9,FALSE) &gt;= (test!$B$33+VLOOKUP(VLOOKUP($B7,test!$A$2:$I$32,4,FALSE),test!$J$10:$P$14,3,FALSE))),1,0)</f>
        <v>0</v>
      </c>
      <c r="H7" s="2">
        <f>IF(AND(VLOOKUP(H$1,test!$A$3:$I$32,8,FALSE) - VLOOKUP($B7,test!$A$3:$I$32,9,FALSE) &gt;= (test!$B$33+VLOOKUP(VLOOKUP($B7,test!$A$2:$I$32,4,FALSE),test!$J$10:$P$14,3,FALSE))),1,0)</f>
        <v>0</v>
      </c>
      <c r="I7" s="2">
        <f>IF(AND(VLOOKUP(I$1,test!$A$3:$I$32,8,FALSE) - VLOOKUP($B7,test!$A$3:$I$32,9,FALSE) &gt;= (test!$B$33+VLOOKUP(VLOOKUP($B7,test!$A$2:$I$32,4,FALSE),test!$J$10:$P$14,3,FALSE))),1,0)</f>
        <v>0</v>
      </c>
      <c r="J7" s="2">
        <f>IF(AND(VLOOKUP(J$1,test!$A$3:$I$32,8,FALSE) - VLOOKUP($B7,test!$A$3:$I$32,9,FALSE) &gt;= (test!$B$33+VLOOKUP(VLOOKUP($B7,test!$A$2:$I$32,4,FALSE),test!$J$10:$P$14,3,FALSE))),1,0)</f>
        <v>0</v>
      </c>
      <c r="K7" s="2">
        <f>IF(AND(VLOOKUP(K$1,test!$A$3:$I$32,8,FALSE) - VLOOKUP($B7,test!$A$3:$I$32,9,FALSE) &gt;= (test!$B$33+VLOOKUP(VLOOKUP($B7,test!$A$2:$I$32,4,FALSE),test!$J$10:$P$14,3,FALSE))),1,0)</f>
        <v>0</v>
      </c>
      <c r="L7" s="2">
        <f>IF(AND(VLOOKUP(L$1,test!$A$3:$I$32,8,FALSE) - VLOOKUP($B7,test!$A$3:$I$32,9,FALSE) &gt;= (test!$B$33+VLOOKUP(VLOOKUP($B7,test!$A$2:$I$32,4,FALSE),test!$J$10:$P$14,3,FALSE))),1,0)</f>
        <v>0</v>
      </c>
      <c r="M7" s="2">
        <f>IF(AND(VLOOKUP(M$1,test!$A$3:$I$32,8,FALSE) - VLOOKUP($B7,test!$A$3:$I$32,9,FALSE) &gt;= (test!$B$33+VLOOKUP(VLOOKUP($B7,test!$A$2:$I$32,4,FALSE),test!$J$10:$P$14,3,FALSE))),1,0)</f>
        <v>0</v>
      </c>
      <c r="N7" s="2">
        <f>IF(AND(VLOOKUP(N$1,test!$A$3:$I$32,8,FALSE) - VLOOKUP($B7,test!$A$3:$I$32,9,FALSE) &gt;= (test!$B$33+VLOOKUP(VLOOKUP($B7,test!$A$2:$I$32,4,FALSE),test!$J$10:$P$14,3,FALSE))),1,0)</f>
        <v>0</v>
      </c>
      <c r="O7" s="2">
        <f>IF(AND(VLOOKUP(O$1,test!$A$3:$I$32,8,FALSE) - VLOOKUP($B7,test!$A$3:$I$32,9,FALSE) &gt;= (test!$B$33+VLOOKUP(VLOOKUP($B7,test!$A$2:$I$32,4,FALSE),test!$J$10:$P$14,3,FALSE))),1,0)</f>
        <v>0</v>
      </c>
      <c r="P7" s="2">
        <f>IF(AND(VLOOKUP(P$1,test!$A$3:$I$32,8,FALSE) - VLOOKUP($B7,test!$A$3:$I$32,9,FALSE) &gt;= (test!$B$33+VLOOKUP(VLOOKUP($B7,test!$A$2:$I$32,4,FALSE),test!$J$10:$P$14,3,FALSE))),1,0)</f>
        <v>1</v>
      </c>
      <c r="Q7" s="2">
        <f>IF(AND(VLOOKUP(Q$1,test!$A$3:$I$32,8,FALSE) - VLOOKUP($B7,test!$A$3:$I$32,9,FALSE) &gt;= (test!$B$33+VLOOKUP(VLOOKUP($B7,test!$A$2:$I$32,4,FALSE),test!$J$10:$P$14,3,FALSE))),1,0)</f>
        <v>0</v>
      </c>
      <c r="R7" s="2">
        <f>IF(AND(VLOOKUP(R$1,test!$A$3:$I$32,8,FALSE) - VLOOKUP($B7,test!$A$3:$I$32,9,FALSE) &gt;= (test!$B$33+VLOOKUP(VLOOKUP($B7,test!$A$2:$I$32,4,FALSE),test!$J$10:$P$14,3,FALSE))),1,0)</f>
        <v>0</v>
      </c>
      <c r="S7" s="2">
        <f>IF(AND(VLOOKUP(S$1,test!$A$3:$I$32,8,FALSE) - VLOOKUP($B7,test!$A$3:$I$32,9,FALSE) &gt;= (test!$B$33+VLOOKUP(VLOOKUP($B7,test!$A$2:$I$32,4,FALSE),test!$J$10:$P$14,3,FALSE))),1,0)</f>
        <v>0</v>
      </c>
      <c r="T7" s="2">
        <f>IF(AND(VLOOKUP(T$1,test!$A$3:$I$32,8,FALSE) - VLOOKUP($B7,test!$A$3:$I$32,9,FALSE) &gt;= (test!$B$33+VLOOKUP(VLOOKUP($B7,test!$A$2:$I$32,4,FALSE),test!$J$10:$P$14,3,FALSE))),1,0)</f>
        <v>0</v>
      </c>
      <c r="U7" s="2">
        <f>IF(AND(VLOOKUP(U$1,test!$A$3:$I$32,8,FALSE) - VLOOKUP($B7,test!$A$3:$I$32,9,FALSE) &gt;= (test!$B$33+VLOOKUP(VLOOKUP($B7,test!$A$2:$I$32,4,FALSE),test!$J$10:$P$14,3,FALSE))),1,0)</f>
        <v>0</v>
      </c>
      <c r="V7" s="2">
        <f>IF(AND(VLOOKUP(V$1,test!$A$3:$I$32,8,FALSE) - VLOOKUP($B7,test!$A$3:$I$32,9,FALSE) &gt;= (test!$B$33+VLOOKUP(VLOOKUP($B7,test!$A$2:$I$32,4,FALSE),test!$J$10:$P$14,3,FALSE))),1,0)</f>
        <v>0</v>
      </c>
      <c r="W7" s="2">
        <f>IF(AND(VLOOKUP(W$1,test!$A$3:$I$32,8,FALSE) - VLOOKUP($B7,test!$A$3:$I$32,9,FALSE) &gt;= (test!$B$33+VLOOKUP(VLOOKUP($B7,test!$A$2:$I$32,4,FALSE),test!$J$10:$P$14,3,FALSE))),1,0)</f>
        <v>0</v>
      </c>
      <c r="X7" s="2">
        <f>IF(AND(VLOOKUP(X$1,test!$A$3:$I$32,8,FALSE) - VLOOKUP($B7,test!$A$3:$I$32,9,FALSE) &gt;= (test!$B$33+VLOOKUP(VLOOKUP($B7,test!$A$2:$I$32,4,FALSE),test!$J$10:$P$14,3,FALSE))),1,0)</f>
        <v>0</v>
      </c>
      <c r="Y7" s="2">
        <f>IF(AND(VLOOKUP(Y$1,test!$A$3:$I$32,8,FALSE) - VLOOKUP($B7,test!$A$3:$I$32,9,FALSE) &gt;= (test!$B$33+VLOOKUP(VLOOKUP($B7,test!$A$2:$I$32,4,FALSE),test!$J$10:$P$14,3,FALSE))),1,0)</f>
        <v>0</v>
      </c>
      <c r="Z7" s="2">
        <f>IF(AND(VLOOKUP(Z$1,test!$A$3:$I$32,8,FALSE) - VLOOKUP($B7,test!$A$3:$I$32,9,FALSE) &gt;= (test!$B$33+VLOOKUP(VLOOKUP($B7,test!$A$2:$I$32,4,FALSE),test!$J$10:$P$14,3,FALSE))),1,0)</f>
        <v>0</v>
      </c>
      <c r="AA7" s="2">
        <f>IF(AND(VLOOKUP(AA$1,test!$A$3:$I$32,8,FALSE) - VLOOKUP($B7,test!$A$3:$I$32,9,FALSE) &gt;= (test!$B$33+VLOOKUP(VLOOKUP($B7,test!$A$2:$I$32,4,FALSE),test!$J$10:$P$14,3,FALSE))),1,0)</f>
        <v>0</v>
      </c>
      <c r="AB7" s="2">
        <f>IF(AND(VLOOKUP(AB$1,test!$A$3:$I$32,8,FALSE) - VLOOKUP($B7,test!$A$3:$I$32,9,FALSE) &gt;= (test!$B$33+VLOOKUP(VLOOKUP($B7,test!$A$2:$I$32,4,FALSE),test!$J$10:$P$14,3,FALSE))),1,0)</f>
        <v>0</v>
      </c>
      <c r="AC7" s="2">
        <f>IF(AND(VLOOKUP(AC$1,test!$A$3:$I$32,8,FALSE) - VLOOKUP($B7,test!$A$3:$I$32,9,FALSE) &gt;= (test!$B$33+VLOOKUP(VLOOKUP($B7,test!$A$2:$I$32,4,FALSE),test!$J$10:$P$14,3,FALSE))),1,0)</f>
        <v>0</v>
      </c>
      <c r="AD7" s="2">
        <f>IF(AND(VLOOKUP(AD$1,test!$A$3:$I$32,8,FALSE) - VLOOKUP($B7,test!$A$3:$I$32,9,FALSE) &gt;= (test!$B$33+VLOOKUP(VLOOKUP($B7,test!$A$2:$I$32,4,FALSE),test!$J$10:$P$14,3,FALSE))),1,0)</f>
        <v>0</v>
      </c>
      <c r="AE7" s="2">
        <f>IF(AND(VLOOKUP(AE$1,test!$A$3:$I$32,8,FALSE) - VLOOKUP($B7,test!$A$3:$I$32,9,FALSE) &gt;= (test!$B$33+VLOOKUP(VLOOKUP($B7,test!$A$2:$I$32,4,FALSE),test!$J$10:$P$14,3,FALSE))),1,0)</f>
        <v>0</v>
      </c>
      <c r="AF7" s="2">
        <f>IF(AND(VLOOKUP(AF$1,test!$A$3:$I$32,8,FALSE) - VLOOKUP($B7,test!$A$3:$I$32,9,FALSE) &gt;= (test!$B$33+VLOOKUP(VLOOKUP($B7,test!$A$2:$I$32,4,FALSE),test!$J$10:$P$14,3,FALSE))),1,0)</f>
        <v>0</v>
      </c>
      <c r="AG7" s="2">
        <f>IF(AND(VLOOKUP(AG$1,test!$A$3:$I$32,8,FALSE) - VLOOKUP($B7,test!$A$3:$I$32,9,FALSE) &gt;= (test!$B$33+VLOOKUP(VLOOKUP($B7,test!$A$2:$I$32,4,FALSE),test!$J$10:$P$14,3,FALSE))),1,0)</f>
        <v>0</v>
      </c>
    </row>
    <row r="8" spans="1:34" x14ac:dyDescent="0.25">
      <c r="A8" t="s">
        <v>48</v>
      </c>
      <c r="B8" t="s">
        <v>13</v>
      </c>
      <c r="C8">
        <v>0</v>
      </c>
      <c r="D8" s="2">
        <f>IF(AND(VLOOKUP(D$1,test!$A$3:$I$32,8,FALSE) - VLOOKUP($B8,test!$A$3:$I$32,9,FALSE) &gt;= (test!$B$33+VLOOKUP(VLOOKUP($B8,test!$A$2:$I$32,4,FALSE),test!$J$10:$P$14,3,FALSE))),1,0)</f>
        <v>0</v>
      </c>
      <c r="E8" s="2">
        <f>IF(AND(VLOOKUP(E$1,test!$A$3:$I$32,8,FALSE) - VLOOKUP($B8,test!$A$3:$I$32,9,FALSE) &gt;= (test!$B$33+VLOOKUP(VLOOKUP($B8,test!$A$2:$I$32,4,FALSE),test!$J$10:$P$14,3,FALSE))),1,0)</f>
        <v>0</v>
      </c>
      <c r="F8" s="2">
        <f>IF(AND(VLOOKUP(F$1,test!$A$3:$I$32,8,FALSE) - VLOOKUP($B8,test!$A$3:$I$32,9,FALSE) &gt;= (test!$B$33+VLOOKUP(VLOOKUP($B8,test!$A$2:$I$32,4,FALSE),test!$J$10:$P$14,3,FALSE))),1,0)</f>
        <v>0</v>
      </c>
      <c r="G8" s="2">
        <f>IF(AND(VLOOKUP(G$1,test!$A$3:$I$32,8,FALSE) - VLOOKUP($B8,test!$A$3:$I$32,9,FALSE) &gt;= (test!$B$33+VLOOKUP(VLOOKUP($B8,test!$A$2:$I$32,4,FALSE),test!$J$10:$P$14,3,FALSE))),1,0)</f>
        <v>0</v>
      </c>
      <c r="H8" s="2">
        <f>IF(AND(VLOOKUP(H$1,test!$A$3:$I$32,8,FALSE) - VLOOKUP($B8,test!$A$3:$I$32,9,FALSE) &gt;= (test!$B$33+VLOOKUP(VLOOKUP($B8,test!$A$2:$I$32,4,FALSE),test!$J$10:$P$14,3,FALSE))),1,0)</f>
        <v>0</v>
      </c>
      <c r="I8" s="2">
        <f>IF(AND(VLOOKUP(I$1,test!$A$3:$I$32,8,FALSE) - VLOOKUP($B8,test!$A$3:$I$32,9,FALSE) &gt;= (test!$B$33+VLOOKUP(VLOOKUP($B8,test!$A$2:$I$32,4,FALSE),test!$J$10:$P$14,3,FALSE))),1,0)</f>
        <v>0</v>
      </c>
      <c r="J8" s="2">
        <f>IF(AND(VLOOKUP(J$1,test!$A$3:$I$32,8,FALSE) - VLOOKUP($B8,test!$A$3:$I$32,9,FALSE) &gt;= (test!$B$33+VLOOKUP(VLOOKUP($B8,test!$A$2:$I$32,4,FALSE),test!$J$10:$P$14,3,FALSE))),1,0)</f>
        <v>0</v>
      </c>
      <c r="K8" s="2">
        <f>IF(AND(VLOOKUP(K$1,test!$A$3:$I$32,8,FALSE) - VLOOKUP($B8,test!$A$3:$I$32,9,FALSE) &gt;= (test!$B$33+VLOOKUP(VLOOKUP($B8,test!$A$2:$I$32,4,FALSE),test!$J$10:$P$14,3,FALSE))),1,0)</f>
        <v>0</v>
      </c>
      <c r="L8" s="2">
        <f>IF(AND(VLOOKUP(L$1,test!$A$3:$I$32,8,FALSE) - VLOOKUP($B8,test!$A$3:$I$32,9,FALSE) &gt;= (test!$B$33+VLOOKUP(VLOOKUP($B8,test!$A$2:$I$32,4,FALSE),test!$J$10:$P$14,3,FALSE))),1,0)</f>
        <v>0</v>
      </c>
      <c r="M8" s="2">
        <f>IF(AND(VLOOKUP(M$1,test!$A$3:$I$32,8,FALSE) - VLOOKUP($B8,test!$A$3:$I$32,9,FALSE) &gt;= (test!$B$33+VLOOKUP(VLOOKUP($B8,test!$A$2:$I$32,4,FALSE),test!$J$10:$P$14,3,FALSE))),1,0)</f>
        <v>0</v>
      </c>
      <c r="N8" s="2">
        <f>IF(AND(VLOOKUP(N$1,test!$A$3:$I$32,8,FALSE) - VLOOKUP($B8,test!$A$3:$I$32,9,FALSE) &gt;= (test!$B$33+VLOOKUP(VLOOKUP($B8,test!$A$2:$I$32,4,FALSE),test!$J$10:$P$14,3,FALSE))),1,0)</f>
        <v>0</v>
      </c>
      <c r="O8" s="2">
        <f>IF(AND(VLOOKUP(O$1,test!$A$3:$I$32,8,FALSE) - VLOOKUP($B8,test!$A$3:$I$32,9,FALSE) &gt;= (test!$B$33+VLOOKUP(VLOOKUP($B8,test!$A$2:$I$32,4,FALSE),test!$J$10:$P$14,3,FALSE))),1,0)</f>
        <v>0</v>
      </c>
      <c r="P8" s="2">
        <f>IF(AND(VLOOKUP(P$1,test!$A$3:$I$32,8,FALSE) - VLOOKUP($B8,test!$A$3:$I$32,9,FALSE) &gt;= (test!$B$33+VLOOKUP(VLOOKUP($B8,test!$A$2:$I$32,4,FALSE),test!$J$10:$P$14,3,FALSE))),1,0)</f>
        <v>0</v>
      </c>
      <c r="Q8" s="2">
        <f>IF(AND(VLOOKUP(Q$1,test!$A$3:$I$32,8,FALSE) - VLOOKUP($B8,test!$A$3:$I$32,9,FALSE) &gt;= (test!$B$33+VLOOKUP(VLOOKUP($B8,test!$A$2:$I$32,4,FALSE),test!$J$10:$P$14,3,FALSE))),1,0)</f>
        <v>0</v>
      </c>
      <c r="R8" s="2">
        <f>IF(AND(VLOOKUP(R$1,test!$A$3:$I$32,8,FALSE) - VLOOKUP($B8,test!$A$3:$I$32,9,FALSE) &gt;= (test!$B$33+VLOOKUP(VLOOKUP($B8,test!$A$2:$I$32,4,FALSE),test!$J$10:$P$14,3,FALSE))),1,0)</f>
        <v>0</v>
      </c>
      <c r="S8" s="2">
        <f>IF(AND(VLOOKUP(S$1,test!$A$3:$I$32,8,FALSE) - VLOOKUP($B8,test!$A$3:$I$32,9,FALSE) &gt;= (test!$B$33+VLOOKUP(VLOOKUP($B8,test!$A$2:$I$32,4,FALSE),test!$J$10:$P$14,3,FALSE))),1,0)</f>
        <v>0</v>
      </c>
      <c r="T8" s="2">
        <f>IF(AND(VLOOKUP(T$1,test!$A$3:$I$32,8,FALSE) - VLOOKUP($B8,test!$A$3:$I$32,9,FALSE) &gt;= (test!$B$33+VLOOKUP(VLOOKUP($B8,test!$A$2:$I$32,4,FALSE),test!$J$10:$P$14,3,FALSE))),1,0)</f>
        <v>0</v>
      </c>
      <c r="U8" s="2">
        <f>IF(AND(VLOOKUP(U$1,test!$A$3:$I$32,8,FALSE) - VLOOKUP($B8,test!$A$3:$I$32,9,FALSE) &gt;= (test!$B$33+VLOOKUP(VLOOKUP($B8,test!$A$2:$I$32,4,FALSE),test!$J$10:$P$14,3,FALSE))),1,0)</f>
        <v>0</v>
      </c>
      <c r="V8" s="2">
        <f>IF(AND(VLOOKUP(V$1,test!$A$3:$I$32,8,FALSE) - VLOOKUP($B8,test!$A$3:$I$32,9,FALSE) &gt;= (test!$B$33+VLOOKUP(VLOOKUP($B8,test!$A$2:$I$32,4,FALSE),test!$J$10:$P$14,3,FALSE))),1,0)</f>
        <v>0</v>
      </c>
      <c r="W8" s="2">
        <f>IF(AND(VLOOKUP(W$1,test!$A$3:$I$32,8,FALSE) - VLOOKUP($B8,test!$A$3:$I$32,9,FALSE) &gt;= (test!$B$33+VLOOKUP(VLOOKUP($B8,test!$A$2:$I$32,4,FALSE),test!$J$10:$P$14,3,FALSE))),1,0)</f>
        <v>0</v>
      </c>
      <c r="X8" s="2">
        <f>IF(AND(VLOOKUP(X$1,test!$A$3:$I$32,8,FALSE) - VLOOKUP($B8,test!$A$3:$I$32,9,FALSE) &gt;= (test!$B$33+VLOOKUP(VLOOKUP($B8,test!$A$2:$I$32,4,FALSE),test!$J$10:$P$14,3,FALSE))),1,0)</f>
        <v>0</v>
      </c>
      <c r="Y8" s="2">
        <f>IF(AND(VLOOKUP(Y$1,test!$A$3:$I$32,8,FALSE) - VLOOKUP($B8,test!$A$3:$I$32,9,FALSE) &gt;= (test!$B$33+VLOOKUP(VLOOKUP($B8,test!$A$2:$I$32,4,FALSE),test!$J$10:$P$14,3,FALSE))),1,0)</f>
        <v>0</v>
      </c>
      <c r="Z8" s="2">
        <f>IF(AND(VLOOKUP(Z$1,test!$A$3:$I$32,8,FALSE) - VLOOKUP($B8,test!$A$3:$I$32,9,FALSE) &gt;= (test!$B$33+VLOOKUP(VLOOKUP($B8,test!$A$2:$I$32,4,FALSE),test!$J$10:$P$14,3,FALSE))),1,0)</f>
        <v>0</v>
      </c>
      <c r="AA8" s="2">
        <f>IF(AND(VLOOKUP(AA$1,test!$A$3:$I$32,8,FALSE) - VLOOKUP($B8,test!$A$3:$I$32,9,FALSE) &gt;= (test!$B$33+VLOOKUP(VLOOKUP($B8,test!$A$2:$I$32,4,FALSE),test!$J$10:$P$14,3,FALSE))),1,0)</f>
        <v>0</v>
      </c>
      <c r="AB8" s="2">
        <f>IF(AND(VLOOKUP(AB$1,test!$A$3:$I$32,8,FALSE) - VLOOKUP($B8,test!$A$3:$I$32,9,FALSE) &gt;= (test!$B$33+VLOOKUP(VLOOKUP($B8,test!$A$2:$I$32,4,FALSE),test!$J$10:$P$14,3,FALSE))),1,0)</f>
        <v>0</v>
      </c>
      <c r="AC8" s="2">
        <f>IF(AND(VLOOKUP(AC$1,test!$A$3:$I$32,8,FALSE) - VLOOKUP($B8,test!$A$3:$I$32,9,FALSE) &gt;= (test!$B$33+VLOOKUP(VLOOKUP($B8,test!$A$2:$I$32,4,FALSE),test!$J$10:$P$14,3,FALSE))),1,0)</f>
        <v>0</v>
      </c>
      <c r="AD8" s="2">
        <f>IF(AND(VLOOKUP(AD$1,test!$A$3:$I$32,8,FALSE) - VLOOKUP($B8,test!$A$3:$I$32,9,FALSE) &gt;= (test!$B$33+VLOOKUP(VLOOKUP($B8,test!$A$2:$I$32,4,FALSE),test!$J$10:$P$14,3,FALSE))),1,0)</f>
        <v>0</v>
      </c>
      <c r="AE8" s="2">
        <f>IF(AND(VLOOKUP(AE$1,test!$A$3:$I$32,8,FALSE) - VLOOKUP($B8,test!$A$3:$I$32,9,FALSE) &gt;= (test!$B$33+VLOOKUP(VLOOKUP($B8,test!$A$2:$I$32,4,FALSE),test!$J$10:$P$14,3,FALSE))),1,0)</f>
        <v>0</v>
      </c>
      <c r="AF8" s="2">
        <f>IF(AND(VLOOKUP(AF$1,test!$A$3:$I$32,8,FALSE) - VLOOKUP($B8,test!$A$3:$I$32,9,FALSE) &gt;= (test!$B$33+VLOOKUP(VLOOKUP($B8,test!$A$2:$I$32,4,FALSE),test!$J$10:$P$14,3,FALSE))),1,0)</f>
        <v>0</v>
      </c>
      <c r="AG8" s="2">
        <f>IF(AND(VLOOKUP(AG$1,test!$A$3:$I$32,8,FALSE) - VLOOKUP($B8,test!$A$3:$I$32,9,FALSE) &gt;= (test!$B$33+VLOOKUP(VLOOKUP($B8,test!$A$2:$I$32,4,FALSE),test!$J$10:$P$14,3,FALSE))),1,0)</f>
        <v>0</v>
      </c>
    </row>
    <row r="9" spans="1:34" x14ac:dyDescent="0.25">
      <c r="A9" t="s">
        <v>48</v>
      </c>
      <c r="B9" t="s">
        <v>14</v>
      </c>
      <c r="C9">
        <v>0</v>
      </c>
      <c r="D9" s="2">
        <f>IF(AND(VLOOKUP(D$1,test!$A$3:$I$32,8,FALSE) - VLOOKUP($B9,test!$A$3:$I$32,9,FALSE) &gt;= (test!$B$33+VLOOKUP(VLOOKUP($B9,test!$A$2:$I$32,4,FALSE),test!$J$10:$P$14,3,FALSE))),1,0)</f>
        <v>0</v>
      </c>
      <c r="E9" s="2">
        <f>IF(AND(VLOOKUP(E$1,test!$A$3:$I$32,8,FALSE) - VLOOKUP($B9,test!$A$3:$I$32,9,FALSE) &gt;= (test!$B$33+VLOOKUP(VLOOKUP($B9,test!$A$2:$I$32,4,FALSE),test!$J$10:$P$14,3,FALSE))),1,0)</f>
        <v>0</v>
      </c>
      <c r="F9" s="2">
        <f>IF(AND(VLOOKUP(F$1,test!$A$3:$I$32,8,FALSE) - VLOOKUP($B9,test!$A$3:$I$32,9,FALSE) &gt;= (test!$B$33+VLOOKUP(VLOOKUP($B9,test!$A$2:$I$32,4,FALSE),test!$J$10:$P$14,3,FALSE))),1,0)</f>
        <v>0</v>
      </c>
      <c r="G9" s="2">
        <f>IF(AND(VLOOKUP(G$1,test!$A$3:$I$32,8,FALSE) - VLOOKUP($B9,test!$A$3:$I$32,9,FALSE) &gt;= (test!$B$33+VLOOKUP(VLOOKUP($B9,test!$A$2:$I$32,4,FALSE),test!$J$10:$P$14,3,FALSE))),1,0)</f>
        <v>0</v>
      </c>
      <c r="H9" s="2">
        <f>IF(AND(VLOOKUP(H$1,test!$A$3:$I$32,8,FALSE) - VLOOKUP($B9,test!$A$3:$I$32,9,FALSE) &gt;= (test!$B$33+VLOOKUP(VLOOKUP($B9,test!$A$2:$I$32,4,FALSE),test!$J$10:$P$14,3,FALSE))),1,0)</f>
        <v>0</v>
      </c>
      <c r="I9" s="2">
        <f>IF(AND(VLOOKUP(I$1,test!$A$3:$I$32,8,FALSE) - VLOOKUP($B9,test!$A$3:$I$32,9,FALSE) &gt;= (test!$B$33+VLOOKUP(VLOOKUP($B9,test!$A$2:$I$32,4,FALSE),test!$J$10:$P$14,3,FALSE))),1,0)</f>
        <v>0</v>
      </c>
      <c r="J9" s="2">
        <f>IF(AND(VLOOKUP(J$1,test!$A$3:$I$32,8,FALSE) - VLOOKUP($B9,test!$A$3:$I$32,9,FALSE) &gt;= (test!$B$33+VLOOKUP(VLOOKUP($B9,test!$A$2:$I$32,4,FALSE),test!$J$10:$P$14,3,FALSE))),1,0)</f>
        <v>0</v>
      </c>
      <c r="K9" s="2">
        <f>IF(AND(VLOOKUP(K$1,test!$A$3:$I$32,8,FALSE) - VLOOKUP($B9,test!$A$3:$I$32,9,FALSE) &gt;= (test!$B$33+VLOOKUP(VLOOKUP($B9,test!$A$2:$I$32,4,FALSE),test!$J$10:$P$14,3,FALSE))),1,0)</f>
        <v>0</v>
      </c>
      <c r="L9" s="2">
        <f>IF(AND(VLOOKUP(L$1,test!$A$3:$I$32,8,FALSE) - VLOOKUP($B9,test!$A$3:$I$32,9,FALSE) &gt;= (test!$B$33+VLOOKUP(VLOOKUP($B9,test!$A$2:$I$32,4,FALSE),test!$J$10:$P$14,3,FALSE))),1,0)</f>
        <v>0</v>
      </c>
      <c r="M9" s="2">
        <f>IF(AND(VLOOKUP(M$1,test!$A$3:$I$32,8,FALSE) - VLOOKUP($B9,test!$A$3:$I$32,9,FALSE) &gt;= (test!$B$33+VLOOKUP(VLOOKUP($B9,test!$A$2:$I$32,4,FALSE),test!$J$10:$P$14,3,FALSE))),1,0)</f>
        <v>0</v>
      </c>
      <c r="N9" s="2">
        <f>IF(AND(VLOOKUP(N$1,test!$A$3:$I$32,8,FALSE) - VLOOKUP($B9,test!$A$3:$I$32,9,FALSE) &gt;= (test!$B$33+VLOOKUP(VLOOKUP($B9,test!$A$2:$I$32,4,FALSE),test!$J$10:$P$14,3,FALSE))),1,0)</f>
        <v>0</v>
      </c>
      <c r="O9" s="2">
        <f>IF(AND(VLOOKUP(O$1,test!$A$3:$I$32,8,FALSE) - VLOOKUP($B9,test!$A$3:$I$32,9,FALSE) &gt;= (test!$B$33+VLOOKUP(VLOOKUP($B9,test!$A$2:$I$32,4,FALSE),test!$J$10:$P$14,3,FALSE))),1,0)</f>
        <v>0</v>
      </c>
      <c r="P9" s="2">
        <f>IF(AND(VLOOKUP(P$1,test!$A$3:$I$32,8,FALSE) - VLOOKUP($B9,test!$A$3:$I$32,9,FALSE) &gt;= (test!$B$33+VLOOKUP(VLOOKUP($B9,test!$A$2:$I$32,4,FALSE),test!$J$10:$P$14,3,FALSE))),1,0)</f>
        <v>0</v>
      </c>
      <c r="Q9" s="2">
        <f>IF(AND(VLOOKUP(Q$1,test!$A$3:$I$32,8,FALSE) - VLOOKUP($B9,test!$A$3:$I$32,9,FALSE) &gt;= (test!$B$33+VLOOKUP(VLOOKUP($B9,test!$A$2:$I$32,4,FALSE),test!$J$10:$P$14,3,FALSE))),1,0)</f>
        <v>0</v>
      </c>
      <c r="R9" s="2">
        <f>IF(AND(VLOOKUP(R$1,test!$A$3:$I$32,8,FALSE) - VLOOKUP($B9,test!$A$3:$I$32,9,FALSE) &gt;= (test!$B$33+VLOOKUP(VLOOKUP($B9,test!$A$2:$I$32,4,FALSE),test!$J$10:$P$14,3,FALSE))),1,0)</f>
        <v>0</v>
      </c>
      <c r="S9" s="2">
        <f>IF(AND(VLOOKUP(S$1,test!$A$3:$I$32,8,FALSE) - VLOOKUP($B9,test!$A$3:$I$32,9,FALSE) &gt;= (test!$B$33+VLOOKUP(VLOOKUP($B9,test!$A$2:$I$32,4,FALSE),test!$J$10:$P$14,3,FALSE))),1,0)</f>
        <v>0</v>
      </c>
      <c r="T9" s="2">
        <f>IF(AND(VLOOKUP(T$1,test!$A$3:$I$32,8,FALSE) - VLOOKUP($B9,test!$A$3:$I$32,9,FALSE) &gt;= (test!$B$33+VLOOKUP(VLOOKUP($B9,test!$A$2:$I$32,4,FALSE),test!$J$10:$P$14,3,FALSE))),1,0)</f>
        <v>0</v>
      </c>
      <c r="U9" s="2">
        <f>IF(AND(VLOOKUP(U$1,test!$A$3:$I$32,8,FALSE) - VLOOKUP($B9,test!$A$3:$I$32,9,FALSE) &gt;= (test!$B$33+VLOOKUP(VLOOKUP($B9,test!$A$2:$I$32,4,FALSE),test!$J$10:$P$14,3,FALSE))),1,0)</f>
        <v>0</v>
      </c>
      <c r="V9" s="2">
        <f>IF(AND(VLOOKUP(V$1,test!$A$3:$I$32,8,FALSE) - VLOOKUP($B9,test!$A$3:$I$32,9,FALSE) &gt;= (test!$B$33+VLOOKUP(VLOOKUP($B9,test!$A$2:$I$32,4,FALSE),test!$J$10:$P$14,3,FALSE))),1,0)</f>
        <v>0</v>
      </c>
      <c r="W9" s="2">
        <f>IF(AND(VLOOKUP(W$1,test!$A$3:$I$32,8,FALSE) - VLOOKUP($B9,test!$A$3:$I$32,9,FALSE) &gt;= (test!$B$33+VLOOKUP(VLOOKUP($B9,test!$A$2:$I$32,4,FALSE),test!$J$10:$P$14,3,FALSE))),1,0)</f>
        <v>0</v>
      </c>
      <c r="X9" s="2">
        <f>IF(AND(VLOOKUP(X$1,test!$A$3:$I$32,8,FALSE) - VLOOKUP($B9,test!$A$3:$I$32,9,FALSE) &gt;= (test!$B$33+VLOOKUP(VLOOKUP($B9,test!$A$2:$I$32,4,FALSE),test!$J$10:$P$14,3,FALSE))),1,0)</f>
        <v>0</v>
      </c>
      <c r="Y9" s="2">
        <f>IF(AND(VLOOKUP(Y$1,test!$A$3:$I$32,8,FALSE) - VLOOKUP($B9,test!$A$3:$I$32,9,FALSE) &gt;= (test!$B$33+VLOOKUP(VLOOKUP($B9,test!$A$2:$I$32,4,FALSE),test!$J$10:$P$14,3,FALSE))),1,0)</f>
        <v>0</v>
      </c>
      <c r="Z9" s="2">
        <f>IF(AND(VLOOKUP(Z$1,test!$A$3:$I$32,8,FALSE) - VLOOKUP($B9,test!$A$3:$I$32,9,FALSE) &gt;= (test!$B$33+VLOOKUP(VLOOKUP($B9,test!$A$2:$I$32,4,FALSE),test!$J$10:$P$14,3,FALSE))),1,0)</f>
        <v>0</v>
      </c>
      <c r="AA9" s="2">
        <f>IF(AND(VLOOKUP(AA$1,test!$A$3:$I$32,8,FALSE) - VLOOKUP($B9,test!$A$3:$I$32,9,FALSE) &gt;= (test!$B$33+VLOOKUP(VLOOKUP($B9,test!$A$2:$I$32,4,FALSE),test!$J$10:$P$14,3,FALSE))),1,0)</f>
        <v>0</v>
      </c>
      <c r="AB9" s="2">
        <f>IF(AND(VLOOKUP(AB$1,test!$A$3:$I$32,8,FALSE) - VLOOKUP($B9,test!$A$3:$I$32,9,FALSE) &gt;= (test!$B$33+VLOOKUP(VLOOKUP($B9,test!$A$2:$I$32,4,FALSE),test!$J$10:$P$14,3,FALSE))),1,0)</f>
        <v>0</v>
      </c>
      <c r="AC9" s="2">
        <f>IF(AND(VLOOKUP(AC$1,test!$A$3:$I$32,8,FALSE) - VLOOKUP($B9,test!$A$3:$I$32,9,FALSE) &gt;= (test!$B$33+VLOOKUP(VLOOKUP($B9,test!$A$2:$I$32,4,FALSE),test!$J$10:$P$14,3,FALSE))),1,0)</f>
        <v>0</v>
      </c>
      <c r="AD9" s="2">
        <f>IF(AND(VLOOKUP(AD$1,test!$A$3:$I$32,8,FALSE) - VLOOKUP($B9,test!$A$3:$I$32,9,FALSE) &gt;= (test!$B$33+VLOOKUP(VLOOKUP($B9,test!$A$2:$I$32,4,FALSE),test!$J$10:$P$14,3,FALSE))),1,0)</f>
        <v>0</v>
      </c>
      <c r="AE9" s="2">
        <f>IF(AND(VLOOKUP(AE$1,test!$A$3:$I$32,8,FALSE) - VLOOKUP($B9,test!$A$3:$I$32,9,FALSE) &gt;= (test!$B$33+VLOOKUP(VLOOKUP($B9,test!$A$2:$I$32,4,FALSE),test!$J$10:$P$14,3,FALSE))),1,0)</f>
        <v>0</v>
      </c>
      <c r="AF9" s="2">
        <f>IF(AND(VLOOKUP(AF$1,test!$A$3:$I$32,8,FALSE) - VLOOKUP($B9,test!$A$3:$I$32,9,FALSE) &gt;= (test!$B$33+VLOOKUP(VLOOKUP($B9,test!$A$2:$I$32,4,FALSE),test!$J$10:$P$14,3,FALSE))),1,0)</f>
        <v>0</v>
      </c>
      <c r="AG9" s="2">
        <f>IF(AND(VLOOKUP(AG$1,test!$A$3:$I$32,8,FALSE) - VLOOKUP($B9,test!$A$3:$I$32,9,FALSE) &gt;= (test!$B$33+VLOOKUP(VLOOKUP($B9,test!$A$2:$I$32,4,FALSE),test!$J$10:$P$14,3,FALSE))),1,0)</f>
        <v>0</v>
      </c>
    </row>
    <row r="10" spans="1:34" x14ac:dyDescent="0.25">
      <c r="A10" t="s">
        <v>48</v>
      </c>
      <c r="B10" t="s">
        <v>15</v>
      </c>
      <c r="C10">
        <v>0</v>
      </c>
      <c r="D10" s="2">
        <f>IF(AND(VLOOKUP(D$1,test!$A$3:$I$32,8,FALSE) - VLOOKUP($B10,test!$A$3:$I$32,9,FALSE) &gt;= (test!$B$33+VLOOKUP(VLOOKUP($B10,test!$A$2:$I$32,4,FALSE),test!$J$10:$P$14,3,FALSE))),1,0)</f>
        <v>0</v>
      </c>
      <c r="E10" s="2">
        <f>IF(AND(VLOOKUP(E$1,test!$A$3:$I$32,8,FALSE) - VLOOKUP($B10,test!$A$3:$I$32,9,FALSE) &gt;= (test!$B$33+VLOOKUP(VLOOKUP($B10,test!$A$2:$I$32,4,FALSE),test!$J$10:$P$14,3,FALSE))),1,0)</f>
        <v>0</v>
      </c>
      <c r="F10" s="2">
        <f>IF(AND(VLOOKUP(F$1,test!$A$3:$I$32,8,FALSE) - VLOOKUP($B10,test!$A$3:$I$32,9,FALSE) &gt;= (test!$B$33+VLOOKUP(VLOOKUP($B10,test!$A$2:$I$32,4,FALSE),test!$J$10:$P$14,3,FALSE))),1,0)</f>
        <v>0</v>
      </c>
      <c r="G10" s="2">
        <f>IF(AND(VLOOKUP(G$1,test!$A$3:$I$32,8,FALSE) - VLOOKUP($B10,test!$A$3:$I$32,9,FALSE) &gt;= (test!$B$33+VLOOKUP(VLOOKUP($B10,test!$A$2:$I$32,4,FALSE),test!$J$10:$P$14,3,FALSE))),1,0)</f>
        <v>0</v>
      </c>
      <c r="H10" s="2">
        <f>IF(AND(VLOOKUP(H$1,test!$A$3:$I$32,8,FALSE) - VLOOKUP($B10,test!$A$3:$I$32,9,FALSE) &gt;= (test!$B$33+VLOOKUP(VLOOKUP($B10,test!$A$2:$I$32,4,FALSE),test!$J$10:$P$14,3,FALSE))),1,0)</f>
        <v>0</v>
      </c>
      <c r="I10" s="2">
        <f>IF(AND(VLOOKUP(I$1,test!$A$3:$I$32,8,FALSE) - VLOOKUP($B10,test!$A$3:$I$32,9,FALSE) &gt;= (test!$B$33+VLOOKUP(VLOOKUP($B10,test!$A$2:$I$32,4,FALSE),test!$J$10:$P$14,3,FALSE))),1,0)</f>
        <v>0</v>
      </c>
      <c r="J10" s="2">
        <f>IF(AND(VLOOKUP(J$1,test!$A$3:$I$32,8,FALSE) - VLOOKUP($B10,test!$A$3:$I$32,9,FALSE) &gt;= (test!$B$33+VLOOKUP(VLOOKUP($B10,test!$A$2:$I$32,4,FALSE),test!$J$10:$P$14,3,FALSE))),1,0)</f>
        <v>0</v>
      </c>
      <c r="K10" s="2">
        <f>IF(AND(VLOOKUP(K$1,test!$A$3:$I$32,8,FALSE) - VLOOKUP($B10,test!$A$3:$I$32,9,FALSE) &gt;= (test!$B$33+VLOOKUP(VLOOKUP($B10,test!$A$2:$I$32,4,FALSE),test!$J$10:$P$14,3,FALSE))),1,0)</f>
        <v>0</v>
      </c>
      <c r="L10" s="2">
        <f>IF(AND(VLOOKUP(L$1,test!$A$3:$I$32,8,FALSE) - VLOOKUP($B10,test!$A$3:$I$32,9,FALSE) &gt;= (test!$B$33+VLOOKUP(VLOOKUP($B10,test!$A$2:$I$32,4,FALSE),test!$J$10:$P$14,3,FALSE))),1,0)</f>
        <v>0</v>
      </c>
      <c r="M10" s="2">
        <f>IF(AND(VLOOKUP(M$1,test!$A$3:$I$32,8,FALSE) - VLOOKUP($B10,test!$A$3:$I$32,9,FALSE) &gt;= (test!$B$33+VLOOKUP(VLOOKUP($B10,test!$A$2:$I$32,4,FALSE),test!$J$10:$P$14,3,FALSE))),1,0)</f>
        <v>0</v>
      </c>
      <c r="N10" s="2">
        <f>IF(AND(VLOOKUP(N$1,test!$A$3:$I$32,8,FALSE) - VLOOKUP($B10,test!$A$3:$I$32,9,FALSE) &gt;= (test!$B$33+VLOOKUP(VLOOKUP($B10,test!$A$2:$I$32,4,FALSE),test!$J$10:$P$14,3,FALSE))),1,0)</f>
        <v>0</v>
      </c>
      <c r="O10" s="2">
        <f>IF(AND(VLOOKUP(O$1,test!$A$3:$I$32,8,FALSE) - VLOOKUP($B10,test!$A$3:$I$32,9,FALSE) &gt;= (test!$B$33+VLOOKUP(VLOOKUP($B10,test!$A$2:$I$32,4,FALSE),test!$J$10:$P$14,3,FALSE))),1,0)</f>
        <v>0</v>
      </c>
      <c r="P10" s="2">
        <f>IF(AND(VLOOKUP(P$1,test!$A$3:$I$32,8,FALSE) - VLOOKUP($B10,test!$A$3:$I$32,9,FALSE) &gt;= (test!$B$33+VLOOKUP(VLOOKUP($B10,test!$A$2:$I$32,4,FALSE),test!$J$10:$P$14,3,FALSE))),1,0)</f>
        <v>0</v>
      </c>
      <c r="Q10" s="2">
        <f>IF(AND(VLOOKUP(Q$1,test!$A$3:$I$32,8,FALSE) - VLOOKUP($B10,test!$A$3:$I$32,9,FALSE) &gt;= (test!$B$33+VLOOKUP(VLOOKUP($B10,test!$A$2:$I$32,4,FALSE),test!$J$10:$P$14,3,FALSE))),1,0)</f>
        <v>0</v>
      </c>
      <c r="R10" s="2">
        <f>IF(AND(VLOOKUP(R$1,test!$A$3:$I$32,8,FALSE) - VLOOKUP($B10,test!$A$3:$I$32,9,FALSE) &gt;= (test!$B$33+VLOOKUP(VLOOKUP($B10,test!$A$2:$I$32,4,FALSE),test!$J$10:$P$14,3,FALSE))),1,0)</f>
        <v>0</v>
      </c>
      <c r="S10" s="2">
        <f>IF(AND(VLOOKUP(S$1,test!$A$3:$I$32,8,FALSE) - VLOOKUP($B10,test!$A$3:$I$32,9,FALSE) &gt;= (test!$B$33+VLOOKUP(VLOOKUP($B10,test!$A$2:$I$32,4,FALSE),test!$J$10:$P$14,3,FALSE))),1,0)</f>
        <v>0</v>
      </c>
      <c r="T10" s="2">
        <f>IF(AND(VLOOKUP(T$1,test!$A$3:$I$32,8,FALSE) - VLOOKUP($B10,test!$A$3:$I$32,9,FALSE) &gt;= (test!$B$33+VLOOKUP(VLOOKUP($B10,test!$A$2:$I$32,4,FALSE),test!$J$10:$P$14,3,FALSE))),1,0)</f>
        <v>0</v>
      </c>
      <c r="U10" s="2">
        <f>IF(AND(VLOOKUP(U$1,test!$A$3:$I$32,8,FALSE) - VLOOKUP($B10,test!$A$3:$I$32,9,FALSE) &gt;= (test!$B$33+VLOOKUP(VLOOKUP($B10,test!$A$2:$I$32,4,FALSE),test!$J$10:$P$14,3,FALSE))),1,0)</f>
        <v>0</v>
      </c>
      <c r="V10" s="2">
        <f>IF(AND(VLOOKUP(V$1,test!$A$3:$I$32,8,FALSE) - VLOOKUP($B10,test!$A$3:$I$32,9,FALSE) &gt;= (test!$B$33+VLOOKUP(VLOOKUP($B10,test!$A$2:$I$32,4,FALSE),test!$J$10:$P$14,3,FALSE))),1,0)</f>
        <v>0</v>
      </c>
      <c r="W10" s="2">
        <f>IF(AND(VLOOKUP(W$1,test!$A$3:$I$32,8,FALSE) - VLOOKUP($B10,test!$A$3:$I$32,9,FALSE) &gt;= (test!$B$33+VLOOKUP(VLOOKUP($B10,test!$A$2:$I$32,4,FALSE),test!$J$10:$P$14,3,FALSE))),1,0)</f>
        <v>0</v>
      </c>
      <c r="X10" s="2">
        <f>IF(AND(VLOOKUP(X$1,test!$A$3:$I$32,8,FALSE) - VLOOKUP($B10,test!$A$3:$I$32,9,FALSE) &gt;= (test!$B$33+VLOOKUP(VLOOKUP($B10,test!$A$2:$I$32,4,FALSE),test!$J$10:$P$14,3,FALSE))),1,0)</f>
        <v>0</v>
      </c>
      <c r="Y10" s="2">
        <f>IF(AND(VLOOKUP(Y$1,test!$A$3:$I$32,8,FALSE) - VLOOKUP($B10,test!$A$3:$I$32,9,FALSE) &gt;= (test!$B$33+VLOOKUP(VLOOKUP($B10,test!$A$2:$I$32,4,FALSE),test!$J$10:$P$14,3,FALSE))),1,0)</f>
        <v>0</v>
      </c>
      <c r="Z10" s="2">
        <f>IF(AND(VLOOKUP(Z$1,test!$A$3:$I$32,8,FALSE) - VLOOKUP($B10,test!$A$3:$I$32,9,FALSE) &gt;= (test!$B$33+VLOOKUP(VLOOKUP($B10,test!$A$2:$I$32,4,FALSE),test!$J$10:$P$14,3,FALSE))),1,0)</f>
        <v>0</v>
      </c>
      <c r="AA10" s="2">
        <f>IF(AND(VLOOKUP(AA$1,test!$A$3:$I$32,8,FALSE) - VLOOKUP($B10,test!$A$3:$I$32,9,FALSE) &gt;= (test!$B$33+VLOOKUP(VLOOKUP($B10,test!$A$2:$I$32,4,FALSE),test!$J$10:$P$14,3,FALSE))),1,0)</f>
        <v>0</v>
      </c>
      <c r="AB10" s="2">
        <f>IF(AND(VLOOKUP(AB$1,test!$A$3:$I$32,8,FALSE) - VLOOKUP($B10,test!$A$3:$I$32,9,FALSE) &gt;= (test!$B$33+VLOOKUP(VLOOKUP($B10,test!$A$2:$I$32,4,FALSE),test!$J$10:$P$14,3,FALSE))),1,0)</f>
        <v>0</v>
      </c>
      <c r="AC10" s="2">
        <f>IF(AND(VLOOKUP(AC$1,test!$A$3:$I$32,8,FALSE) - VLOOKUP($B10,test!$A$3:$I$32,9,FALSE) &gt;= (test!$B$33+VLOOKUP(VLOOKUP($B10,test!$A$2:$I$32,4,FALSE),test!$J$10:$P$14,3,FALSE))),1,0)</f>
        <v>0</v>
      </c>
      <c r="AD10" s="2">
        <f>IF(AND(VLOOKUP(AD$1,test!$A$3:$I$32,8,FALSE) - VLOOKUP($B10,test!$A$3:$I$32,9,FALSE) &gt;= (test!$B$33+VLOOKUP(VLOOKUP($B10,test!$A$2:$I$32,4,FALSE),test!$J$10:$P$14,3,FALSE))),1,0)</f>
        <v>0</v>
      </c>
      <c r="AE10" s="2">
        <f>IF(AND(VLOOKUP(AE$1,test!$A$3:$I$32,8,FALSE) - VLOOKUP($B10,test!$A$3:$I$32,9,FALSE) &gt;= (test!$B$33+VLOOKUP(VLOOKUP($B10,test!$A$2:$I$32,4,FALSE),test!$J$10:$P$14,3,FALSE))),1,0)</f>
        <v>0</v>
      </c>
      <c r="AF10" s="2">
        <f>IF(AND(VLOOKUP(AF$1,test!$A$3:$I$32,8,FALSE) - VLOOKUP($B10,test!$A$3:$I$32,9,FALSE) &gt;= (test!$B$33+VLOOKUP(VLOOKUP($B10,test!$A$2:$I$32,4,FALSE),test!$J$10:$P$14,3,FALSE))),1,0)</f>
        <v>0</v>
      </c>
      <c r="AG10" s="2">
        <f>IF(AND(VLOOKUP(AG$1,test!$A$3:$I$32,8,FALSE) - VLOOKUP($B10,test!$A$3:$I$32,9,FALSE) &gt;= (test!$B$33+VLOOKUP(VLOOKUP($B10,test!$A$2:$I$32,4,FALSE),test!$J$10:$P$14,3,FALSE))),1,0)</f>
        <v>0</v>
      </c>
    </row>
    <row r="11" spans="1:34" x14ac:dyDescent="0.25">
      <c r="A11" t="s">
        <v>48</v>
      </c>
      <c r="B11" t="s">
        <v>18</v>
      </c>
      <c r="C11">
        <v>0</v>
      </c>
      <c r="D11" s="2">
        <f>IF(AND(VLOOKUP(D$1,test!$A$3:$I$32,8,FALSE) - VLOOKUP($B11,test!$A$3:$I$32,9,FALSE) &gt;= (test!$B$33+VLOOKUP(VLOOKUP($B11,test!$A$2:$I$32,4,FALSE),test!$J$10:$P$14,3,FALSE))),1,0)</f>
        <v>0</v>
      </c>
      <c r="E11" s="2">
        <f>IF(AND(VLOOKUP(E$1,test!$A$3:$I$32,8,FALSE) - VLOOKUP($B11,test!$A$3:$I$32,9,FALSE) &gt;= (test!$B$33+VLOOKUP(VLOOKUP($B11,test!$A$2:$I$32,4,FALSE),test!$J$10:$P$14,3,FALSE))),1,0)</f>
        <v>0</v>
      </c>
      <c r="F11" s="2">
        <f>IF(AND(VLOOKUP(F$1,test!$A$3:$I$32,8,FALSE) - VLOOKUP($B11,test!$A$3:$I$32,9,FALSE) &gt;= (test!$B$33+VLOOKUP(VLOOKUP($B11,test!$A$2:$I$32,4,FALSE),test!$J$10:$P$14,3,FALSE))),1,0)</f>
        <v>1</v>
      </c>
      <c r="G11" s="2">
        <f>IF(AND(VLOOKUP(G$1,test!$A$3:$I$32,8,FALSE) - VLOOKUP($B11,test!$A$3:$I$32,9,FALSE) &gt;= (test!$B$33+VLOOKUP(VLOOKUP($B11,test!$A$2:$I$32,4,FALSE),test!$J$10:$P$14,3,FALSE))),1,0)</f>
        <v>1</v>
      </c>
      <c r="H11" s="2">
        <f>IF(AND(VLOOKUP(H$1,test!$A$3:$I$32,8,FALSE) - VLOOKUP($B11,test!$A$3:$I$32,9,FALSE) &gt;= (test!$B$33+VLOOKUP(VLOOKUP($B11,test!$A$2:$I$32,4,FALSE),test!$J$10:$P$14,3,FALSE))),1,0)</f>
        <v>1</v>
      </c>
      <c r="I11" s="2">
        <f>IF(AND(VLOOKUP(I$1,test!$A$3:$I$32,8,FALSE) - VLOOKUP($B11,test!$A$3:$I$32,9,FALSE) &gt;= (test!$B$33+VLOOKUP(VLOOKUP($B11,test!$A$2:$I$32,4,FALSE),test!$J$10:$P$14,3,FALSE))),1,0)</f>
        <v>1</v>
      </c>
      <c r="J11" s="2">
        <f>IF(AND(VLOOKUP(J$1,test!$A$3:$I$32,8,FALSE) - VLOOKUP($B11,test!$A$3:$I$32,9,FALSE) &gt;= (test!$B$33+VLOOKUP(VLOOKUP($B11,test!$A$2:$I$32,4,FALSE),test!$J$10:$P$14,3,FALSE))),1,0)</f>
        <v>1</v>
      </c>
      <c r="K11" s="2">
        <f>IF(AND(VLOOKUP(K$1,test!$A$3:$I$32,8,FALSE) - VLOOKUP($B11,test!$A$3:$I$32,9,FALSE) &gt;= (test!$B$33+VLOOKUP(VLOOKUP($B11,test!$A$2:$I$32,4,FALSE),test!$J$10:$P$14,3,FALSE))),1,0)</f>
        <v>1</v>
      </c>
      <c r="L11" s="2">
        <f>IF(AND(VLOOKUP(L$1,test!$A$3:$I$32,8,FALSE) - VLOOKUP($B11,test!$A$3:$I$32,9,FALSE) &gt;= (test!$B$33+VLOOKUP(VLOOKUP($B11,test!$A$2:$I$32,4,FALSE),test!$J$10:$P$14,3,FALSE))),1,0)</f>
        <v>0</v>
      </c>
      <c r="M11" s="2">
        <f>IF(AND(VLOOKUP(M$1,test!$A$3:$I$32,8,FALSE) - VLOOKUP($B11,test!$A$3:$I$32,9,FALSE) &gt;= (test!$B$33+VLOOKUP(VLOOKUP($B11,test!$A$2:$I$32,4,FALSE),test!$J$10:$P$14,3,FALSE))),1,0)</f>
        <v>0</v>
      </c>
      <c r="N11" s="2">
        <f>IF(AND(VLOOKUP(N$1,test!$A$3:$I$32,8,FALSE) - VLOOKUP($B11,test!$A$3:$I$32,9,FALSE) &gt;= (test!$B$33+VLOOKUP(VLOOKUP($B11,test!$A$2:$I$32,4,FALSE),test!$J$10:$P$14,3,FALSE))),1,0)</f>
        <v>1</v>
      </c>
      <c r="O11" s="2">
        <f>IF(AND(VLOOKUP(O$1,test!$A$3:$I$32,8,FALSE) - VLOOKUP($B11,test!$A$3:$I$32,9,FALSE) &gt;= (test!$B$33+VLOOKUP(VLOOKUP($B11,test!$A$2:$I$32,4,FALSE),test!$J$10:$P$14,3,FALSE))),1,0)</f>
        <v>1</v>
      </c>
      <c r="P11" s="2">
        <f>IF(AND(VLOOKUP(P$1,test!$A$3:$I$32,8,FALSE) - VLOOKUP($B11,test!$A$3:$I$32,9,FALSE) &gt;= (test!$B$33+VLOOKUP(VLOOKUP($B11,test!$A$2:$I$32,4,FALSE),test!$J$10:$P$14,3,FALSE))),1,0)</f>
        <v>1</v>
      </c>
      <c r="Q11" s="2">
        <f>IF(AND(VLOOKUP(Q$1,test!$A$3:$I$32,8,FALSE) - VLOOKUP($B11,test!$A$3:$I$32,9,FALSE) &gt;= (test!$B$33+VLOOKUP(VLOOKUP($B11,test!$A$2:$I$32,4,FALSE),test!$J$10:$P$14,3,FALSE))),1,0)</f>
        <v>0</v>
      </c>
      <c r="R11" s="2">
        <f>IF(AND(VLOOKUP(R$1,test!$A$3:$I$32,8,FALSE) - VLOOKUP($B11,test!$A$3:$I$32,9,FALSE) &gt;= (test!$B$33+VLOOKUP(VLOOKUP($B11,test!$A$2:$I$32,4,FALSE),test!$J$10:$P$14,3,FALSE))),1,0)</f>
        <v>0</v>
      </c>
      <c r="S11" s="2">
        <f>IF(AND(VLOOKUP(S$1,test!$A$3:$I$32,8,FALSE) - VLOOKUP($B11,test!$A$3:$I$32,9,FALSE) &gt;= (test!$B$33+VLOOKUP(VLOOKUP($B11,test!$A$2:$I$32,4,FALSE),test!$J$10:$P$14,3,FALSE))),1,0)</f>
        <v>0</v>
      </c>
      <c r="T11" s="2">
        <f>IF(AND(VLOOKUP(T$1,test!$A$3:$I$32,8,FALSE) - VLOOKUP($B11,test!$A$3:$I$32,9,FALSE) &gt;= (test!$B$33+VLOOKUP(VLOOKUP($B11,test!$A$2:$I$32,4,FALSE),test!$J$10:$P$14,3,FALSE))),1,0)</f>
        <v>0</v>
      </c>
      <c r="U11" s="2">
        <f>IF(AND(VLOOKUP(U$1,test!$A$3:$I$32,8,FALSE) - VLOOKUP($B11,test!$A$3:$I$32,9,FALSE) &gt;= (test!$B$33+VLOOKUP(VLOOKUP($B11,test!$A$2:$I$32,4,FALSE),test!$J$10:$P$14,3,FALSE))),1,0)</f>
        <v>1</v>
      </c>
      <c r="V11" s="2">
        <f>IF(AND(VLOOKUP(V$1,test!$A$3:$I$32,8,FALSE) - VLOOKUP($B11,test!$A$3:$I$32,9,FALSE) &gt;= (test!$B$33+VLOOKUP(VLOOKUP($B11,test!$A$2:$I$32,4,FALSE),test!$J$10:$P$14,3,FALSE))),1,0)</f>
        <v>1</v>
      </c>
      <c r="W11" s="2">
        <f>IF(AND(VLOOKUP(W$1,test!$A$3:$I$32,8,FALSE) - VLOOKUP($B11,test!$A$3:$I$32,9,FALSE) &gt;= (test!$B$33+VLOOKUP(VLOOKUP($B11,test!$A$2:$I$32,4,FALSE),test!$J$10:$P$14,3,FALSE))),1,0)</f>
        <v>1</v>
      </c>
      <c r="X11" s="2">
        <f>IF(AND(VLOOKUP(X$1,test!$A$3:$I$32,8,FALSE) - VLOOKUP($B11,test!$A$3:$I$32,9,FALSE) &gt;= (test!$B$33+VLOOKUP(VLOOKUP($B11,test!$A$2:$I$32,4,FALSE),test!$J$10:$P$14,3,FALSE))),1,0)</f>
        <v>1</v>
      </c>
      <c r="Y11" s="2">
        <f>IF(AND(VLOOKUP(Y$1,test!$A$3:$I$32,8,FALSE) - VLOOKUP($B11,test!$A$3:$I$32,9,FALSE) &gt;= (test!$B$33+VLOOKUP(VLOOKUP($B11,test!$A$2:$I$32,4,FALSE),test!$J$10:$P$14,3,FALSE))),1,0)</f>
        <v>1</v>
      </c>
      <c r="Z11" s="2">
        <f>IF(AND(VLOOKUP(Z$1,test!$A$3:$I$32,8,FALSE) - VLOOKUP($B11,test!$A$3:$I$32,9,FALSE) &gt;= (test!$B$33+VLOOKUP(VLOOKUP($B11,test!$A$2:$I$32,4,FALSE),test!$J$10:$P$14,3,FALSE))),1,0)</f>
        <v>0</v>
      </c>
      <c r="AA11" s="2">
        <f>IF(AND(VLOOKUP(AA$1,test!$A$3:$I$32,8,FALSE) - VLOOKUP($B11,test!$A$3:$I$32,9,FALSE) &gt;= (test!$B$33+VLOOKUP(VLOOKUP($B11,test!$A$2:$I$32,4,FALSE),test!$J$10:$P$14,3,FALSE))),1,0)</f>
        <v>0</v>
      </c>
      <c r="AB11" s="2">
        <f>IF(AND(VLOOKUP(AB$1,test!$A$3:$I$32,8,FALSE) - VLOOKUP($B11,test!$A$3:$I$32,9,FALSE) &gt;= (test!$B$33+VLOOKUP(VLOOKUP($B11,test!$A$2:$I$32,4,FALSE),test!$J$10:$P$14,3,FALSE))),1,0)</f>
        <v>1</v>
      </c>
      <c r="AC11" s="2">
        <f>IF(AND(VLOOKUP(AC$1,test!$A$3:$I$32,8,FALSE) - VLOOKUP($B11,test!$A$3:$I$32,9,FALSE) &gt;= (test!$B$33+VLOOKUP(VLOOKUP($B11,test!$A$2:$I$32,4,FALSE),test!$J$10:$P$14,3,FALSE))),1,0)</f>
        <v>1</v>
      </c>
      <c r="AD11" s="2">
        <f>IF(AND(VLOOKUP(AD$1,test!$A$3:$I$32,8,FALSE) - VLOOKUP($B11,test!$A$3:$I$32,9,FALSE) &gt;= (test!$B$33+VLOOKUP(VLOOKUP($B11,test!$A$2:$I$32,4,FALSE),test!$J$10:$P$14,3,FALSE))),1,0)</f>
        <v>1</v>
      </c>
      <c r="AE11" s="2">
        <f>IF(AND(VLOOKUP(AE$1,test!$A$3:$I$32,8,FALSE) - VLOOKUP($B11,test!$A$3:$I$32,9,FALSE) &gt;= (test!$B$33+VLOOKUP(VLOOKUP($B11,test!$A$2:$I$32,4,FALSE),test!$J$10:$P$14,3,FALSE))),1,0)</f>
        <v>0</v>
      </c>
      <c r="AF11" s="2">
        <f>IF(AND(VLOOKUP(AF$1,test!$A$3:$I$32,8,FALSE) - VLOOKUP($B11,test!$A$3:$I$32,9,FALSE) &gt;= (test!$B$33+VLOOKUP(VLOOKUP($B11,test!$A$2:$I$32,4,FALSE),test!$J$10:$P$14,3,FALSE))),1,0)</f>
        <v>1</v>
      </c>
      <c r="AG11" s="2">
        <f>IF(AND(VLOOKUP(AG$1,test!$A$3:$I$32,8,FALSE) - VLOOKUP($B11,test!$A$3:$I$32,9,FALSE) &gt;= (test!$B$33+VLOOKUP(VLOOKUP($B11,test!$A$2:$I$32,4,FALSE),test!$J$10:$P$14,3,FALSE))),1,0)</f>
        <v>1</v>
      </c>
    </row>
    <row r="12" spans="1:34" x14ac:dyDescent="0.25">
      <c r="A12" t="s">
        <v>48</v>
      </c>
      <c r="B12" t="s">
        <v>20</v>
      </c>
      <c r="C12">
        <v>0</v>
      </c>
      <c r="D12" s="2">
        <f>IF(AND(VLOOKUP(D$1,test!$A$3:$I$32,8,FALSE) - VLOOKUP($B12,test!$A$3:$I$32,9,FALSE) &gt;= (test!$B$33+VLOOKUP(VLOOKUP($B12,test!$A$2:$I$32,4,FALSE),test!$J$10:$P$14,3,FALSE))),1,0)</f>
        <v>0</v>
      </c>
      <c r="E12" s="2">
        <f>IF(AND(VLOOKUP(E$1,test!$A$3:$I$32,8,FALSE) - VLOOKUP($B12,test!$A$3:$I$32,9,FALSE) &gt;= (test!$B$33+VLOOKUP(VLOOKUP($B12,test!$A$2:$I$32,4,FALSE),test!$J$10:$P$14,3,FALSE))),1,0)</f>
        <v>0</v>
      </c>
      <c r="F12" s="2">
        <f>IF(AND(VLOOKUP(F$1,test!$A$3:$I$32,8,FALSE) - VLOOKUP($B12,test!$A$3:$I$32,9,FALSE) &gt;= (test!$B$33+VLOOKUP(VLOOKUP($B12,test!$A$2:$I$32,4,FALSE),test!$J$10:$P$14,3,FALSE))),1,0)</f>
        <v>0</v>
      </c>
      <c r="G12" s="2">
        <f>IF(AND(VLOOKUP(G$1,test!$A$3:$I$32,8,FALSE) - VLOOKUP($B12,test!$A$3:$I$32,9,FALSE) &gt;= (test!$B$33+VLOOKUP(VLOOKUP($B12,test!$A$2:$I$32,4,FALSE),test!$J$10:$P$14,3,FALSE))),1,0)</f>
        <v>1</v>
      </c>
      <c r="H12" s="2">
        <f>IF(AND(VLOOKUP(H$1,test!$A$3:$I$32,8,FALSE) - VLOOKUP($B12,test!$A$3:$I$32,9,FALSE) &gt;= (test!$B$33+VLOOKUP(VLOOKUP($B12,test!$A$2:$I$32,4,FALSE),test!$J$10:$P$14,3,FALSE))),1,0)</f>
        <v>1</v>
      </c>
      <c r="I12" s="2">
        <f>IF(AND(VLOOKUP(I$1,test!$A$3:$I$32,8,FALSE) - VLOOKUP($B12,test!$A$3:$I$32,9,FALSE) &gt;= (test!$B$33+VLOOKUP(VLOOKUP($B12,test!$A$2:$I$32,4,FALSE),test!$J$10:$P$14,3,FALSE))),1,0)</f>
        <v>1</v>
      </c>
      <c r="J12" s="2">
        <f>IF(AND(VLOOKUP(J$1,test!$A$3:$I$32,8,FALSE) - VLOOKUP($B12,test!$A$3:$I$32,9,FALSE) &gt;= (test!$B$33+VLOOKUP(VLOOKUP($B12,test!$A$2:$I$32,4,FALSE),test!$J$10:$P$14,3,FALSE))),1,0)</f>
        <v>1</v>
      </c>
      <c r="K12" s="2">
        <f>IF(AND(VLOOKUP(K$1,test!$A$3:$I$32,8,FALSE) - VLOOKUP($B12,test!$A$3:$I$32,9,FALSE) &gt;= (test!$B$33+VLOOKUP(VLOOKUP($B12,test!$A$2:$I$32,4,FALSE),test!$J$10:$P$14,3,FALSE))),1,0)</f>
        <v>1</v>
      </c>
      <c r="L12" s="2">
        <f>IF(AND(VLOOKUP(L$1,test!$A$3:$I$32,8,FALSE) - VLOOKUP($B12,test!$A$3:$I$32,9,FALSE) &gt;= (test!$B$33+VLOOKUP(VLOOKUP($B12,test!$A$2:$I$32,4,FALSE),test!$J$10:$P$14,3,FALSE))),1,0)</f>
        <v>0</v>
      </c>
      <c r="M12" s="2">
        <f>IF(AND(VLOOKUP(M$1,test!$A$3:$I$32,8,FALSE) - VLOOKUP($B12,test!$A$3:$I$32,9,FALSE) &gt;= (test!$B$33+VLOOKUP(VLOOKUP($B12,test!$A$2:$I$32,4,FALSE),test!$J$10:$P$14,3,FALSE))),1,0)</f>
        <v>0</v>
      </c>
      <c r="N12" s="2">
        <f>IF(AND(VLOOKUP(N$1,test!$A$3:$I$32,8,FALSE) - VLOOKUP($B12,test!$A$3:$I$32,9,FALSE) &gt;= (test!$B$33+VLOOKUP(VLOOKUP($B12,test!$A$2:$I$32,4,FALSE),test!$J$10:$P$14,3,FALSE))),1,0)</f>
        <v>0</v>
      </c>
      <c r="O12" s="2">
        <f>IF(AND(VLOOKUP(O$1,test!$A$3:$I$32,8,FALSE) - VLOOKUP($B12,test!$A$3:$I$32,9,FALSE) &gt;= (test!$B$33+VLOOKUP(VLOOKUP($B12,test!$A$2:$I$32,4,FALSE),test!$J$10:$P$14,3,FALSE))),1,0)</f>
        <v>1</v>
      </c>
      <c r="P12" s="2">
        <f>IF(AND(VLOOKUP(P$1,test!$A$3:$I$32,8,FALSE) - VLOOKUP($B12,test!$A$3:$I$32,9,FALSE) &gt;= (test!$B$33+VLOOKUP(VLOOKUP($B12,test!$A$2:$I$32,4,FALSE),test!$J$10:$P$14,3,FALSE))),1,0)</f>
        <v>1</v>
      </c>
      <c r="Q12" s="2">
        <f>IF(AND(VLOOKUP(Q$1,test!$A$3:$I$32,8,FALSE) - VLOOKUP($B12,test!$A$3:$I$32,9,FALSE) &gt;= (test!$B$33+VLOOKUP(VLOOKUP($B12,test!$A$2:$I$32,4,FALSE),test!$J$10:$P$14,3,FALSE))),1,0)</f>
        <v>0</v>
      </c>
      <c r="R12" s="2">
        <f>IF(AND(VLOOKUP(R$1,test!$A$3:$I$32,8,FALSE) - VLOOKUP($B12,test!$A$3:$I$32,9,FALSE) &gt;= (test!$B$33+VLOOKUP(VLOOKUP($B12,test!$A$2:$I$32,4,FALSE),test!$J$10:$P$14,3,FALSE))),1,0)</f>
        <v>0</v>
      </c>
      <c r="S12" s="2">
        <f>IF(AND(VLOOKUP(S$1,test!$A$3:$I$32,8,FALSE) - VLOOKUP($B12,test!$A$3:$I$32,9,FALSE) &gt;= (test!$B$33+VLOOKUP(VLOOKUP($B12,test!$A$2:$I$32,4,FALSE),test!$J$10:$P$14,3,FALSE))),1,0)</f>
        <v>0</v>
      </c>
      <c r="T12" s="2">
        <f>IF(AND(VLOOKUP(T$1,test!$A$3:$I$32,8,FALSE) - VLOOKUP($B12,test!$A$3:$I$32,9,FALSE) &gt;= (test!$B$33+VLOOKUP(VLOOKUP($B12,test!$A$2:$I$32,4,FALSE),test!$J$10:$P$14,3,FALSE))),1,0)</f>
        <v>0</v>
      </c>
      <c r="U12" s="2">
        <f>IF(AND(VLOOKUP(U$1,test!$A$3:$I$32,8,FALSE) - VLOOKUP($B12,test!$A$3:$I$32,9,FALSE) &gt;= (test!$B$33+VLOOKUP(VLOOKUP($B12,test!$A$2:$I$32,4,FALSE),test!$J$10:$P$14,3,FALSE))),1,0)</f>
        <v>0</v>
      </c>
      <c r="V12" s="2">
        <f>IF(AND(VLOOKUP(V$1,test!$A$3:$I$32,8,FALSE) - VLOOKUP($B12,test!$A$3:$I$32,9,FALSE) &gt;= (test!$B$33+VLOOKUP(VLOOKUP($B12,test!$A$2:$I$32,4,FALSE),test!$J$10:$P$14,3,FALSE))),1,0)</f>
        <v>1</v>
      </c>
      <c r="W12" s="2">
        <f>IF(AND(VLOOKUP(W$1,test!$A$3:$I$32,8,FALSE) - VLOOKUP($B12,test!$A$3:$I$32,9,FALSE) &gt;= (test!$B$33+VLOOKUP(VLOOKUP($B12,test!$A$2:$I$32,4,FALSE),test!$J$10:$P$14,3,FALSE))),1,0)</f>
        <v>1</v>
      </c>
      <c r="X12" s="2">
        <f>IF(AND(VLOOKUP(X$1,test!$A$3:$I$32,8,FALSE) - VLOOKUP($B12,test!$A$3:$I$32,9,FALSE) &gt;= (test!$B$33+VLOOKUP(VLOOKUP($B12,test!$A$2:$I$32,4,FALSE),test!$J$10:$P$14,3,FALSE))),1,0)</f>
        <v>1</v>
      </c>
      <c r="Y12" s="2">
        <f>IF(AND(VLOOKUP(Y$1,test!$A$3:$I$32,8,FALSE) - VLOOKUP($B12,test!$A$3:$I$32,9,FALSE) &gt;= (test!$B$33+VLOOKUP(VLOOKUP($B12,test!$A$2:$I$32,4,FALSE),test!$J$10:$P$14,3,FALSE))),1,0)</f>
        <v>1</v>
      </c>
      <c r="Z12" s="2">
        <f>IF(AND(VLOOKUP(Z$1,test!$A$3:$I$32,8,FALSE) - VLOOKUP($B12,test!$A$3:$I$32,9,FALSE) &gt;= (test!$B$33+VLOOKUP(VLOOKUP($B12,test!$A$2:$I$32,4,FALSE),test!$J$10:$P$14,3,FALSE))),1,0)</f>
        <v>0</v>
      </c>
      <c r="AA12" s="2">
        <f>IF(AND(VLOOKUP(AA$1,test!$A$3:$I$32,8,FALSE) - VLOOKUP($B12,test!$A$3:$I$32,9,FALSE) &gt;= (test!$B$33+VLOOKUP(VLOOKUP($B12,test!$A$2:$I$32,4,FALSE),test!$J$10:$P$14,3,FALSE))),1,0)</f>
        <v>0</v>
      </c>
      <c r="AB12" s="2">
        <f>IF(AND(VLOOKUP(AB$1,test!$A$3:$I$32,8,FALSE) - VLOOKUP($B12,test!$A$3:$I$32,9,FALSE) &gt;= (test!$B$33+VLOOKUP(VLOOKUP($B12,test!$A$2:$I$32,4,FALSE),test!$J$10:$P$14,3,FALSE))),1,0)</f>
        <v>0</v>
      </c>
      <c r="AC12" s="2">
        <f>IF(AND(VLOOKUP(AC$1,test!$A$3:$I$32,8,FALSE) - VLOOKUP($B12,test!$A$3:$I$32,9,FALSE) &gt;= (test!$B$33+VLOOKUP(VLOOKUP($B12,test!$A$2:$I$32,4,FALSE),test!$J$10:$P$14,3,FALSE))),1,0)</f>
        <v>1</v>
      </c>
      <c r="AD12" s="2">
        <f>IF(AND(VLOOKUP(AD$1,test!$A$3:$I$32,8,FALSE) - VLOOKUP($B12,test!$A$3:$I$32,9,FALSE) &gt;= (test!$B$33+VLOOKUP(VLOOKUP($B12,test!$A$2:$I$32,4,FALSE),test!$J$10:$P$14,3,FALSE))),1,0)</f>
        <v>1</v>
      </c>
      <c r="AE12" s="2">
        <f>IF(AND(VLOOKUP(AE$1,test!$A$3:$I$32,8,FALSE) - VLOOKUP($B12,test!$A$3:$I$32,9,FALSE) &gt;= (test!$B$33+VLOOKUP(VLOOKUP($B12,test!$A$2:$I$32,4,FALSE),test!$J$10:$P$14,3,FALSE))),1,0)</f>
        <v>0</v>
      </c>
      <c r="AF12" s="2">
        <f>IF(AND(VLOOKUP(AF$1,test!$A$3:$I$32,8,FALSE) - VLOOKUP($B12,test!$A$3:$I$32,9,FALSE) &gt;= (test!$B$33+VLOOKUP(VLOOKUP($B12,test!$A$2:$I$32,4,FALSE),test!$J$10:$P$14,3,FALSE))),1,0)</f>
        <v>0</v>
      </c>
      <c r="AG12" s="2">
        <f>IF(AND(VLOOKUP(AG$1,test!$A$3:$I$32,8,FALSE) - VLOOKUP($B12,test!$A$3:$I$32,9,FALSE) &gt;= (test!$B$33+VLOOKUP(VLOOKUP($B12,test!$A$2:$I$32,4,FALSE),test!$J$10:$P$14,3,FALSE))),1,0)</f>
        <v>0</v>
      </c>
    </row>
    <row r="13" spans="1:34" x14ac:dyDescent="0.25">
      <c r="A13" t="s">
        <v>48</v>
      </c>
      <c r="B13" t="s">
        <v>21</v>
      </c>
      <c r="C13">
        <v>0</v>
      </c>
      <c r="D13" s="2">
        <f>IF(AND(VLOOKUP(D$1,test!$A$3:$I$32,8,FALSE) - VLOOKUP($B13,test!$A$3:$I$32,9,FALSE) &gt;= (test!$B$33+VLOOKUP(VLOOKUP($B13,test!$A$2:$I$32,4,FALSE),test!$J$10:$P$14,3,FALSE))),1,0)</f>
        <v>0</v>
      </c>
      <c r="E13" s="2">
        <f>IF(AND(VLOOKUP(E$1,test!$A$3:$I$32,8,FALSE) - VLOOKUP($B13,test!$A$3:$I$32,9,FALSE) &gt;= (test!$B$33+VLOOKUP(VLOOKUP($B13,test!$A$2:$I$32,4,FALSE),test!$J$10:$P$14,3,FALSE))),1,0)</f>
        <v>0</v>
      </c>
      <c r="F13" s="2">
        <f>IF(AND(VLOOKUP(F$1,test!$A$3:$I$32,8,FALSE) - VLOOKUP($B13,test!$A$3:$I$32,9,FALSE) &gt;= (test!$B$33+VLOOKUP(VLOOKUP($B13,test!$A$2:$I$32,4,FALSE),test!$J$10:$P$14,3,FALSE))),1,0)</f>
        <v>0</v>
      </c>
      <c r="G13" s="2">
        <f>IF(AND(VLOOKUP(G$1,test!$A$3:$I$32,8,FALSE) - VLOOKUP($B13,test!$A$3:$I$32,9,FALSE) &gt;= (test!$B$33+VLOOKUP(VLOOKUP($B13,test!$A$2:$I$32,4,FALSE),test!$J$10:$P$14,3,FALSE))),1,0)</f>
        <v>0</v>
      </c>
      <c r="H13" s="2">
        <f>IF(AND(VLOOKUP(H$1,test!$A$3:$I$32,8,FALSE) - VLOOKUP($B13,test!$A$3:$I$32,9,FALSE) &gt;= (test!$B$33+VLOOKUP(VLOOKUP($B13,test!$A$2:$I$32,4,FALSE),test!$J$10:$P$14,3,FALSE))),1,0)</f>
        <v>0</v>
      </c>
      <c r="I13" s="2">
        <f>IF(AND(VLOOKUP(I$1,test!$A$3:$I$32,8,FALSE) - VLOOKUP($B13,test!$A$3:$I$32,9,FALSE) &gt;= (test!$B$33+VLOOKUP(VLOOKUP($B13,test!$A$2:$I$32,4,FALSE),test!$J$10:$P$14,3,FALSE))),1,0)</f>
        <v>1</v>
      </c>
      <c r="J13" s="2">
        <f>IF(AND(VLOOKUP(J$1,test!$A$3:$I$32,8,FALSE) - VLOOKUP($B13,test!$A$3:$I$32,9,FALSE) &gt;= (test!$B$33+VLOOKUP(VLOOKUP($B13,test!$A$2:$I$32,4,FALSE),test!$J$10:$P$14,3,FALSE))),1,0)</f>
        <v>1</v>
      </c>
      <c r="K13" s="2">
        <f>IF(AND(VLOOKUP(K$1,test!$A$3:$I$32,8,FALSE) - VLOOKUP($B13,test!$A$3:$I$32,9,FALSE) &gt;= (test!$B$33+VLOOKUP(VLOOKUP($B13,test!$A$2:$I$32,4,FALSE),test!$J$10:$P$14,3,FALSE))),1,0)</f>
        <v>1</v>
      </c>
      <c r="L13" s="2">
        <f>IF(AND(VLOOKUP(L$1,test!$A$3:$I$32,8,FALSE) - VLOOKUP($B13,test!$A$3:$I$32,9,FALSE) &gt;= (test!$B$33+VLOOKUP(VLOOKUP($B13,test!$A$2:$I$32,4,FALSE),test!$J$10:$P$14,3,FALSE))),1,0)</f>
        <v>0</v>
      </c>
      <c r="M13" s="2">
        <f>IF(AND(VLOOKUP(M$1,test!$A$3:$I$32,8,FALSE) - VLOOKUP($B13,test!$A$3:$I$32,9,FALSE) &gt;= (test!$B$33+VLOOKUP(VLOOKUP($B13,test!$A$2:$I$32,4,FALSE),test!$J$10:$P$14,3,FALSE))),1,0)</f>
        <v>0</v>
      </c>
      <c r="N13" s="2">
        <f>IF(AND(VLOOKUP(N$1,test!$A$3:$I$32,8,FALSE) - VLOOKUP($B13,test!$A$3:$I$32,9,FALSE) &gt;= (test!$B$33+VLOOKUP(VLOOKUP($B13,test!$A$2:$I$32,4,FALSE),test!$J$10:$P$14,3,FALSE))),1,0)</f>
        <v>0</v>
      </c>
      <c r="O13" s="2">
        <f>IF(AND(VLOOKUP(O$1,test!$A$3:$I$32,8,FALSE) - VLOOKUP($B13,test!$A$3:$I$32,9,FALSE) &gt;= (test!$B$33+VLOOKUP(VLOOKUP($B13,test!$A$2:$I$32,4,FALSE),test!$J$10:$P$14,3,FALSE))),1,0)</f>
        <v>1</v>
      </c>
      <c r="P13" s="2">
        <f>IF(AND(VLOOKUP(P$1,test!$A$3:$I$32,8,FALSE) - VLOOKUP($B13,test!$A$3:$I$32,9,FALSE) &gt;= (test!$B$33+VLOOKUP(VLOOKUP($B13,test!$A$2:$I$32,4,FALSE),test!$J$10:$P$14,3,FALSE))),1,0)</f>
        <v>1</v>
      </c>
      <c r="Q13" s="2">
        <f>IF(AND(VLOOKUP(Q$1,test!$A$3:$I$32,8,FALSE) - VLOOKUP($B13,test!$A$3:$I$32,9,FALSE) &gt;= (test!$B$33+VLOOKUP(VLOOKUP($B13,test!$A$2:$I$32,4,FALSE),test!$J$10:$P$14,3,FALSE))),1,0)</f>
        <v>0</v>
      </c>
      <c r="R13" s="2">
        <f>IF(AND(VLOOKUP(R$1,test!$A$3:$I$32,8,FALSE) - VLOOKUP($B13,test!$A$3:$I$32,9,FALSE) &gt;= (test!$B$33+VLOOKUP(VLOOKUP($B13,test!$A$2:$I$32,4,FALSE),test!$J$10:$P$14,3,FALSE))),1,0)</f>
        <v>0</v>
      </c>
      <c r="S13" s="2">
        <f>IF(AND(VLOOKUP(S$1,test!$A$3:$I$32,8,FALSE) - VLOOKUP($B13,test!$A$3:$I$32,9,FALSE) &gt;= (test!$B$33+VLOOKUP(VLOOKUP($B13,test!$A$2:$I$32,4,FALSE),test!$J$10:$P$14,3,FALSE))),1,0)</f>
        <v>0</v>
      </c>
      <c r="T13" s="2">
        <f>IF(AND(VLOOKUP(T$1,test!$A$3:$I$32,8,FALSE) - VLOOKUP($B13,test!$A$3:$I$32,9,FALSE) &gt;= (test!$B$33+VLOOKUP(VLOOKUP($B13,test!$A$2:$I$32,4,FALSE),test!$J$10:$P$14,3,FALSE))),1,0)</f>
        <v>0</v>
      </c>
      <c r="U13" s="2">
        <f>IF(AND(VLOOKUP(U$1,test!$A$3:$I$32,8,FALSE) - VLOOKUP($B13,test!$A$3:$I$32,9,FALSE) &gt;= (test!$B$33+VLOOKUP(VLOOKUP($B13,test!$A$2:$I$32,4,FALSE),test!$J$10:$P$14,3,FALSE))),1,0)</f>
        <v>0</v>
      </c>
      <c r="V13" s="2">
        <f>IF(AND(VLOOKUP(V$1,test!$A$3:$I$32,8,FALSE) - VLOOKUP($B13,test!$A$3:$I$32,9,FALSE) &gt;= (test!$B$33+VLOOKUP(VLOOKUP($B13,test!$A$2:$I$32,4,FALSE),test!$J$10:$P$14,3,FALSE))),1,0)</f>
        <v>0</v>
      </c>
      <c r="W13" s="2">
        <f>IF(AND(VLOOKUP(W$1,test!$A$3:$I$32,8,FALSE) - VLOOKUP($B13,test!$A$3:$I$32,9,FALSE) &gt;= (test!$B$33+VLOOKUP(VLOOKUP($B13,test!$A$2:$I$32,4,FALSE),test!$J$10:$P$14,3,FALSE))),1,0)</f>
        <v>0</v>
      </c>
      <c r="X13" s="2">
        <f>IF(AND(VLOOKUP(X$1,test!$A$3:$I$32,8,FALSE) - VLOOKUP($B13,test!$A$3:$I$32,9,FALSE) &gt;= (test!$B$33+VLOOKUP(VLOOKUP($B13,test!$A$2:$I$32,4,FALSE),test!$J$10:$P$14,3,FALSE))),1,0)</f>
        <v>1</v>
      </c>
      <c r="Y13" s="2">
        <f>IF(AND(VLOOKUP(Y$1,test!$A$3:$I$32,8,FALSE) - VLOOKUP($B13,test!$A$3:$I$32,9,FALSE) &gt;= (test!$B$33+VLOOKUP(VLOOKUP($B13,test!$A$2:$I$32,4,FALSE),test!$J$10:$P$14,3,FALSE))),1,0)</f>
        <v>1</v>
      </c>
      <c r="Z13" s="2">
        <f>IF(AND(VLOOKUP(Z$1,test!$A$3:$I$32,8,FALSE) - VLOOKUP($B13,test!$A$3:$I$32,9,FALSE) &gt;= (test!$B$33+VLOOKUP(VLOOKUP($B13,test!$A$2:$I$32,4,FALSE),test!$J$10:$P$14,3,FALSE))),1,0)</f>
        <v>0</v>
      </c>
      <c r="AA13" s="2">
        <f>IF(AND(VLOOKUP(AA$1,test!$A$3:$I$32,8,FALSE) - VLOOKUP($B13,test!$A$3:$I$32,9,FALSE) &gt;= (test!$B$33+VLOOKUP(VLOOKUP($B13,test!$A$2:$I$32,4,FALSE),test!$J$10:$P$14,3,FALSE))),1,0)</f>
        <v>0</v>
      </c>
      <c r="AB13" s="2">
        <f>IF(AND(VLOOKUP(AB$1,test!$A$3:$I$32,8,FALSE) - VLOOKUP($B13,test!$A$3:$I$32,9,FALSE) &gt;= (test!$B$33+VLOOKUP(VLOOKUP($B13,test!$A$2:$I$32,4,FALSE),test!$J$10:$P$14,3,FALSE))),1,0)</f>
        <v>0</v>
      </c>
      <c r="AC13" s="2">
        <f>IF(AND(VLOOKUP(AC$1,test!$A$3:$I$32,8,FALSE) - VLOOKUP($B13,test!$A$3:$I$32,9,FALSE) &gt;= (test!$B$33+VLOOKUP(VLOOKUP($B13,test!$A$2:$I$32,4,FALSE),test!$J$10:$P$14,3,FALSE))),1,0)</f>
        <v>0</v>
      </c>
      <c r="AD13" s="2">
        <f>IF(AND(VLOOKUP(AD$1,test!$A$3:$I$32,8,FALSE) - VLOOKUP($B13,test!$A$3:$I$32,9,FALSE) &gt;= (test!$B$33+VLOOKUP(VLOOKUP($B13,test!$A$2:$I$32,4,FALSE),test!$J$10:$P$14,3,FALSE))),1,0)</f>
        <v>1</v>
      </c>
      <c r="AE13" s="2">
        <f>IF(AND(VLOOKUP(AE$1,test!$A$3:$I$32,8,FALSE) - VLOOKUP($B13,test!$A$3:$I$32,9,FALSE) &gt;= (test!$B$33+VLOOKUP(VLOOKUP($B13,test!$A$2:$I$32,4,FALSE),test!$J$10:$P$14,3,FALSE))),1,0)</f>
        <v>0</v>
      </c>
      <c r="AF13" s="2">
        <f>IF(AND(VLOOKUP(AF$1,test!$A$3:$I$32,8,FALSE) - VLOOKUP($B13,test!$A$3:$I$32,9,FALSE) &gt;= (test!$B$33+VLOOKUP(VLOOKUP($B13,test!$A$2:$I$32,4,FALSE),test!$J$10:$P$14,3,FALSE))),1,0)</f>
        <v>0</v>
      </c>
      <c r="AG13" s="2">
        <f>IF(AND(VLOOKUP(AG$1,test!$A$3:$I$32,8,FALSE) - VLOOKUP($B13,test!$A$3:$I$32,9,FALSE) &gt;= (test!$B$33+VLOOKUP(VLOOKUP($B13,test!$A$2:$I$32,4,FALSE),test!$J$10:$P$14,3,FALSE))),1,0)</f>
        <v>0</v>
      </c>
    </row>
    <row r="14" spans="1:34" x14ac:dyDescent="0.25">
      <c r="A14" t="s">
        <v>48</v>
      </c>
      <c r="B14" t="s">
        <v>22</v>
      </c>
      <c r="C14">
        <v>0</v>
      </c>
      <c r="D14" s="2">
        <f>IF(AND(VLOOKUP(D$1,test!$A$3:$I$32,8,FALSE) - VLOOKUP($B14,test!$A$3:$I$32,9,FALSE) &gt;= (test!$B$33+VLOOKUP(VLOOKUP($B14,test!$A$2:$I$32,4,FALSE),test!$J$10:$P$14,3,FALSE))),1,0)</f>
        <v>0</v>
      </c>
      <c r="E14" s="2">
        <f>IF(AND(VLOOKUP(E$1,test!$A$3:$I$32,8,FALSE) - VLOOKUP($B14,test!$A$3:$I$32,9,FALSE) &gt;= (test!$B$33+VLOOKUP(VLOOKUP($B14,test!$A$2:$I$32,4,FALSE),test!$J$10:$P$14,3,FALSE))),1,0)</f>
        <v>0</v>
      </c>
      <c r="F14" s="2">
        <f>IF(AND(VLOOKUP(F$1,test!$A$3:$I$32,8,FALSE) - VLOOKUP($B14,test!$A$3:$I$32,9,FALSE) &gt;= (test!$B$33+VLOOKUP(VLOOKUP($B14,test!$A$2:$I$32,4,FALSE),test!$J$10:$P$14,3,FALSE))),1,0)</f>
        <v>0</v>
      </c>
      <c r="G14" s="2">
        <f>IF(AND(VLOOKUP(G$1,test!$A$3:$I$32,8,FALSE) - VLOOKUP($B14,test!$A$3:$I$32,9,FALSE) &gt;= (test!$B$33+VLOOKUP(VLOOKUP($B14,test!$A$2:$I$32,4,FALSE),test!$J$10:$P$14,3,FALSE))),1,0)</f>
        <v>0</v>
      </c>
      <c r="H14" s="2">
        <f>IF(AND(VLOOKUP(H$1,test!$A$3:$I$32,8,FALSE) - VLOOKUP($B14,test!$A$3:$I$32,9,FALSE) &gt;= (test!$B$33+VLOOKUP(VLOOKUP($B14,test!$A$2:$I$32,4,FALSE),test!$J$10:$P$14,3,FALSE))),1,0)</f>
        <v>0</v>
      </c>
      <c r="I14" s="2">
        <f>IF(AND(VLOOKUP(I$1,test!$A$3:$I$32,8,FALSE) - VLOOKUP($B14,test!$A$3:$I$32,9,FALSE) &gt;= (test!$B$33+VLOOKUP(VLOOKUP($B14,test!$A$2:$I$32,4,FALSE),test!$J$10:$P$14,3,FALSE))),1,0)</f>
        <v>0</v>
      </c>
      <c r="J14" s="2">
        <f>IF(AND(VLOOKUP(J$1,test!$A$3:$I$32,8,FALSE) - VLOOKUP($B14,test!$A$3:$I$32,9,FALSE) &gt;= (test!$B$33+VLOOKUP(VLOOKUP($B14,test!$A$2:$I$32,4,FALSE),test!$J$10:$P$14,3,FALSE))),1,0)</f>
        <v>0</v>
      </c>
      <c r="K14" s="2">
        <f>IF(AND(VLOOKUP(K$1,test!$A$3:$I$32,8,FALSE) - VLOOKUP($B14,test!$A$3:$I$32,9,FALSE) &gt;= (test!$B$33+VLOOKUP(VLOOKUP($B14,test!$A$2:$I$32,4,FALSE),test!$J$10:$P$14,3,FALSE))),1,0)</f>
        <v>0</v>
      </c>
      <c r="L14" s="2">
        <f>IF(AND(VLOOKUP(L$1,test!$A$3:$I$32,8,FALSE) - VLOOKUP($B14,test!$A$3:$I$32,9,FALSE) &gt;= (test!$B$33+VLOOKUP(VLOOKUP($B14,test!$A$2:$I$32,4,FALSE),test!$J$10:$P$14,3,FALSE))),1,0)</f>
        <v>0</v>
      </c>
      <c r="M14" s="2">
        <f>IF(AND(VLOOKUP(M$1,test!$A$3:$I$32,8,FALSE) - VLOOKUP($B14,test!$A$3:$I$32,9,FALSE) &gt;= (test!$B$33+VLOOKUP(VLOOKUP($B14,test!$A$2:$I$32,4,FALSE),test!$J$10:$P$14,3,FALSE))),1,0)</f>
        <v>0</v>
      </c>
      <c r="N14" s="2">
        <f>IF(AND(VLOOKUP(N$1,test!$A$3:$I$32,8,FALSE) - VLOOKUP($B14,test!$A$3:$I$32,9,FALSE) &gt;= (test!$B$33+VLOOKUP(VLOOKUP($B14,test!$A$2:$I$32,4,FALSE),test!$J$10:$P$14,3,FALSE))),1,0)</f>
        <v>0</v>
      </c>
      <c r="O14" s="2">
        <f>IF(AND(VLOOKUP(O$1,test!$A$3:$I$32,8,FALSE) - VLOOKUP($B14,test!$A$3:$I$32,9,FALSE) &gt;= (test!$B$33+VLOOKUP(VLOOKUP($B14,test!$A$2:$I$32,4,FALSE),test!$J$10:$P$14,3,FALSE))),1,0)</f>
        <v>0</v>
      </c>
      <c r="P14" s="2">
        <f>IF(AND(VLOOKUP(P$1,test!$A$3:$I$32,8,FALSE) - VLOOKUP($B14,test!$A$3:$I$32,9,FALSE) &gt;= (test!$B$33+VLOOKUP(VLOOKUP($B14,test!$A$2:$I$32,4,FALSE),test!$J$10:$P$14,3,FALSE))),1,0)</f>
        <v>0</v>
      </c>
      <c r="Q14" s="2">
        <f>IF(AND(VLOOKUP(Q$1,test!$A$3:$I$32,8,FALSE) - VLOOKUP($B14,test!$A$3:$I$32,9,FALSE) &gt;= (test!$B$33+VLOOKUP(VLOOKUP($B14,test!$A$2:$I$32,4,FALSE),test!$J$10:$P$14,3,FALSE))),1,0)</f>
        <v>0</v>
      </c>
      <c r="R14" s="2">
        <f>IF(AND(VLOOKUP(R$1,test!$A$3:$I$32,8,FALSE) - VLOOKUP($B14,test!$A$3:$I$32,9,FALSE) &gt;= (test!$B$33+VLOOKUP(VLOOKUP($B14,test!$A$2:$I$32,4,FALSE),test!$J$10:$P$14,3,FALSE))),1,0)</f>
        <v>0</v>
      </c>
      <c r="S14" s="2">
        <f>IF(AND(VLOOKUP(S$1,test!$A$3:$I$32,8,FALSE) - VLOOKUP($B14,test!$A$3:$I$32,9,FALSE) &gt;= (test!$B$33+VLOOKUP(VLOOKUP($B14,test!$A$2:$I$32,4,FALSE),test!$J$10:$P$14,3,FALSE))),1,0)</f>
        <v>0</v>
      </c>
      <c r="T14" s="2">
        <f>IF(AND(VLOOKUP(T$1,test!$A$3:$I$32,8,FALSE) - VLOOKUP($B14,test!$A$3:$I$32,9,FALSE) &gt;= (test!$B$33+VLOOKUP(VLOOKUP($B14,test!$A$2:$I$32,4,FALSE),test!$J$10:$P$14,3,FALSE))),1,0)</f>
        <v>0</v>
      </c>
      <c r="U14" s="2">
        <f>IF(AND(VLOOKUP(U$1,test!$A$3:$I$32,8,FALSE) - VLOOKUP($B14,test!$A$3:$I$32,9,FALSE) &gt;= (test!$B$33+VLOOKUP(VLOOKUP($B14,test!$A$2:$I$32,4,FALSE),test!$J$10:$P$14,3,FALSE))),1,0)</f>
        <v>0</v>
      </c>
      <c r="V14" s="2">
        <f>IF(AND(VLOOKUP(V$1,test!$A$3:$I$32,8,FALSE) - VLOOKUP($B14,test!$A$3:$I$32,9,FALSE) &gt;= (test!$B$33+VLOOKUP(VLOOKUP($B14,test!$A$2:$I$32,4,FALSE),test!$J$10:$P$14,3,FALSE))),1,0)</f>
        <v>0</v>
      </c>
      <c r="W14" s="2">
        <f>IF(AND(VLOOKUP(W$1,test!$A$3:$I$32,8,FALSE) - VLOOKUP($B14,test!$A$3:$I$32,9,FALSE) &gt;= (test!$B$33+VLOOKUP(VLOOKUP($B14,test!$A$2:$I$32,4,FALSE),test!$J$10:$P$14,3,FALSE))),1,0)</f>
        <v>0</v>
      </c>
      <c r="X14" s="2">
        <f>IF(AND(VLOOKUP(X$1,test!$A$3:$I$32,8,FALSE) - VLOOKUP($B14,test!$A$3:$I$32,9,FALSE) &gt;= (test!$B$33+VLOOKUP(VLOOKUP($B14,test!$A$2:$I$32,4,FALSE),test!$J$10:$P$14,3,FALSE))),1,0)</f>
        <v>0</v>
      </c>
      <c r="Y14" s="2">
        <f>IF(AND(VLOOKUP(Y$1,test!$A$3:$I$32,8,FALSE) - VLOOKUP($B14,test!$A$3:$I$32,9,FALSE) &gt;= (test!$B$33+VLOOKUP(VLOOKUP($B14,test!$A$2:$I$32,4,FALSE),test!$J$10:$P$14,3,FALSE))),1,0)</f>
        <v>0</v>
      </c>
      <c r="Z14" s="2">
        <f>IF(AND(VLOOKUP(Z$1,test!$A$3:$I$32,8,FALSE) - VLOOKUP($B14,test!$A$3:$I$32,9,FALSE) &gt;= (test!$B$33+VLOOKUP(VLOOKUP($B14,test!$A$2:$I$32,4,FALSE),test!$J$10:$P$14,3,FALSE))),1,0)</f>
        <v>0</v>
      </c>
      <c r="AA14" s="2">
        <f>IF(AND(VLOOKUP(AA$1,test!$A$3:$I$32,8,FALSE) - VLOOKUP($B14,test!$A$3:$I$32,9,FALSE) &gt;= (test!$B$33+VLOOKUP(VLOOKUP($B14,test!$A$2:$I$32,4,FALSE),test!$J$10:$P$14,3,FALSE))),1,0)</f>
        <v>0</v>
      </c>
      <c r="AB14" s="2">
        <f>IF(AND(VLOOKUP(AB$1,test!$A$3:$I$32,8,FALSE) - VLOOKUP($B14,test!$A$3:$I$32,9,FALSE) &gt;= (test!$B$33+VLOOKUP(VLOOKUP($B14,test!$A$2:$I$32,4,FALSE),test!$J$10:$P$14,3,FALSE))),1,0)</f>
        <v>0</v>
      </c>
      <c r="AC14" s="2">
        <f>IF(AND(VLOOKUP(AC$1,test!$A$3:$I$32,8,FALSE) - VLOOKUP($B14,test!$A$3:$I$32,9,FALSE) &gt;= (test!$B$33+VLOOKUP(VLOOKUP($B14,test!$A$2:$I$32,4,FALSE),test!$J$10:$P$14,3,FALSE))),1,0)</f>
        <v>0</v>
      </c>
      <c r="AD14" s="2">
        <f>IF(AND(VLOOKUP(AD$1,test!$A$3:$I$32,8,FALSE) - VLOOKUP($B14,test!$A$3:$I$32,9,FALSE) &gt;= (test!$B$33+VLOOKUP(VLOOKUP($B14,test!$A$2:$I$32,4,FALSE),test!$J$10:$P$14,3,FALSE))),1,0)</f>
        <v>0</v>
      </c>
      <c r="AE14" s="2">
        <f>IF(AND(VLOOKUP(AE$1,test!$A$3:$I$32,8,FALSE) - VLOOKUP($B14,test!$A$3:$I$32,9,FALSE) &gt;= (test!$B$33+VLOOKUP(VLOOKUP($B14,test!$A$2:$I$32,4,FALSE),test!$J$10:$P$14,3,FALSE))),1,0)</f>
        <v>0</v>
      </c>
      <c r="AF14" s="2">
        <f>IF(AND(VLOOKUP(AF$1,test!$A$3:$I$32,8,FALSE) - VLOOKUP($B14,test!$A$3:$I$32,9,FALSE) &gt;= (test!$B$33+VLOOKUP(VLOOKUP($B14,test!$A$2:$I$32,4,FALSE),test!$J$10:$P$14,3,FALSE))),1,0)</f>
        <v>0</v>
      </c>
      <c r="AG14" s="2">
        <f>IF(AND(VLOOKUP(AG$1,test!$A$3:$I$32,8,FALSE) - VLOOKUP($B14,test!$A$3:$I$32,9,FALSE) &gt;= (test!$B$33+VLOOKUP(VLOOKUP($B14,test!$A$2:$I$32,4,FALSE),test!$J$10:$P$14,3,FALSE))),1,0)</f>
        <v>0</v>
      </c>
    </row>
    <row r="15" spans="1:34" x14ac:dyDescent="0.25">
      <c r="A15" t="s">
        <v>48</v>
      </c>
      <c r="B15" t="s">
        <v>23</v>
      </c>
      <c r="C15">
        <v>0</v>
      </c>
      <c r="D15" s="2">
        <f>IF(AND(VLOOKUP(D$1,test!$A$3:$I$32,8,FALSE) - VLOOKUP($B15,test!$A$3:$I$32,9,FALSE) &gt;= (test!$B$33+VLOOKUP(VLOOKUP($B15,test!$A$2:$I$32,4,FALSE),test!$J$10:$P$14,3,FALSE))),1,0)</f>
        <v>0</v>
      </c>
      <c r="E15" s="2">
        <f>IF(AND(VLOOKUP(E$1,test!$A$3:$I$32,8,FALSE) - VLOOKUP($B15,test!$A$3:$I$32,9,FALSE) &gt;= (test!$B$33+VLOOKUP(VLOOKUP($B15,test!$A$2:$I$32,4,FALSE),test!$J$10:$P$14,3,FALSE))),1,0)</f>
        <v>0</v>
      </c>
      <c r="F15" s="2">
        <f>IF(AND(VLOOKUP(F$1,test!$A$3:$I$32,8,FALSE) - VLOOKUP($B15,test!$A$3:$I$32,9,FALSE) &gt;= (test!$B$33+VLOOKUP(VLOOKUP($B15,test!$A$2:$I$32,4,FALSE),test!$J$10:$P$14,3,FALSE))),1,0)</f>
        <v>0</v>
      </c>
      <c r="G15" s="2">
        <f>IF(AND(VLOOKUP(G$1,test!$A$3:$I$32,8,FALSE) - VLOOKUP($B15,test!$A$3:$I$32,9,FALSE) &gt;= (test!$B$33+VLOOKUP(VLOOKUP($B15,test!$A$2:$I$32,4,FALSE),test!$J$10:$P$14,3,FALSE))),1,0)</f>
        <v>0</v>
      </c>
      <c r="H15" s="2">
        <f>IF(AND(VLOOKUP(H$1,test!$A$3:$I$32,8,FALSE) - VLOOKUP($B15,test!$A$3:$I$32,9,FALSE) &gt;= (test!$B$33+VLOOKUP(VLOOKUP($B15,test!$A$2:$I$32,4,FALSE),test!$J$10:$P$14,3,FALSE))),1,0)</f>
        <v>0</v>
      </c>
      <c r="I15" s="2">
        <f>IF(AND(VLOOKUP(I$1,test!$A$3:$I$32,8,FALSE) - VLOOKUP($B15,test!$A$3:$I$32,9,FALSE) &gt;= (test!$B$33+VLOOKUP(VLOOKUP($B15,test!$A$2:$I$32,4,FALSE),test!$J$10:$P$14,3,FALSE))),1,0)</f>
        <v>0</v>
      </c>
      <c r="J15" s="2">
        <f>IF(AND(VLOOKUP(J$1,test!$A$3:$I$32,8,FALSE) - VLOOKUP($B15,test!$A$3:$I$32,9,FALSE) &gt;= (test!$B$33+VLOOKUP(VLOOKUP($B15,test!$A$2:$I$32,4,FALSE),test!$J$10:$P$14,3,FALSE))),1,0)</f>
        <v>0</v>
      </c>
      <c r="K15" s="2">
        <f>IF(AND(VLOOKUP(K$1,test!$A$3:$I$32,8,FALSE) - VLOOKUP($B15,test!$A$3:$I$32,9,FALSE) &gt;= (test!$B$33+VLOOKUP(VLOOKUP($B15,test!$A$2:$I$32,4,FALSE),test!$J$10:$P$14,3,FALSE))),1,0)</f>
        <v>0</v>
      </c>
      <c r="L15" s="2">
        <f>IF(AND(VLOOKUP(L$1,test!$A$3:$I$32,8,FALSE) - VLOOKUP($B15,test!$A$3:$I$32,9,FALSE) &gt;= (test!$B$33+VLOOKUP(VLOOKUP($B15,test!$A$2:$I$32,4,FALSE),test!$J$10:$P$14,3,FALSE))),1,0)</f>
        <v>0</v>
      </c>
      <c r="M15" s="2">
        <f>IF(AND(VLOOKUP(M$1,test!$A$3:$I$32,8,FALSE) - VLOOKUP($B15,test!$A$3:$I$32,9,FALSE) &gt;= (test!$B$33+VLOOKUP(VLOOKUP($B15,test!$A$2:$I$32,4,FALSE),test!$J$10:$P$14,3,FALSE))),1,0)</f>
        <v>0</v>
      </c>
      <c r="N15" s="2">
        <f>IF(AND(VLOOKUP(N$1,test!$A$3:$I$32,8,FALSE) - VLOOKUP($B15,test!$A$3:$I$32,9,FALSE) &gt;= (test!$B$33+VLOOKUP(VLOOKUP($B15,test!$A$2:$I$32,4,FALSE),test!$J$10:$P$14,3,FALSE))),1,0)</f>
        <v>0</v>
      </c>
      <c r="O15" s="2">
        <f>IF(AND(VLOOKUP(O$1,test!$A$3:$I$32,8,FALSE) - VLOOKUP($B15,test!$A$3:$I$32,9,FALSE) &gt;= (test!$B$33+VLOOKUP(VLOOKUP($B15,test!$A$2:$I$32,4,FALSE),test!$J$10:$P$14,3,FALSE))),1,0)</f>
        <v>0</v>
      </c>
      <c r="P15" s="2">
        <f>IF(AND(VLOOKUP(P$1,test!$A$3:$I$32,8,FALSE) - VLOOKUP($B15,test!$A$3:$I$32,9,FALSE) &gt;= (test!$B$33+VLOOKUP(VLOOKUP($B15,test!$A$2:$I$32,4,FALSE),test!$J$10:$P$14,3,FALSE))),1,0)</f>
        <v>0</v>
      </c>
      <c r="Q15" s="2">
        <f>IF(AND(VLOOKUP(Q$1,test!$A$3:$I$32,8,FALSE) - VLOOKUP($B15,test!$A$3:$I$32,9,FALSE) &gt;= (test!$B$33+VLOOKUP(VLOOKUP($B15,test!$A$2:$I$32,4,FALSE),test!$J$10:$P$14,3,FALSE))),1,0)</f>
        <v>0</v>
      </c>
      <c r="R15" s="2">
        <f>IF(AND(VLOOKUP(R$1,test!$A$3:$I$32,8,FALSE) - VLOOKUP($B15,test!$A$3:$I$32,9,FALSE) &gt;= (test!$B$33+VLOOKUP(VLOOKUP($B15,test!$A$2:$I$32,4,FALSE),test!$J$10:$P$14,3,FALSE))),1,0)</f>
        <v>0</v>
      </c>
      <c r="S15" s="2">
        <f>IF(AND(VLOOKUP(S$1,test!$A$3:$I$32,8,FALSE) - VLOOKUP($B15,test!$A$3:$I$32,9,FALSE) &gt;= (test!$B$33+VLOOKUP(VLOOKUP($B15,test!$A$2:$I$32,4,FALSE),test!$J$10:$P$14,3,FALSE))),1,0)</f>
        <v>0</v>
      </c>
      <c r="T15" s="2">
        <f>IF(AND(VLOOKUP(T$1,test!$A$3:$I$32,8,FALSE) - VLOOKUP($B15,test!$A$3:$I$32,9,FALSE) &gt;= (test!$B$33+VLOOKUP(VLOOKUP($B15,test!$A$2:$I$32,4,FALSE),test!$J$10:$P$14,3,FALSE))),1,0)</f>
        <v>0</v>
      </c>
      <c r="U15" s="2">
        <f>IF(AND(VLOOKUP(U$1,test!$A$3:$I$32,8,FALSE) - VLOOKUP($B15,test!$A$3:$I$32,9,FALSE) &gt;= (test!$B$33+VLOOKUP(VLOOKUP($B15,test!$A$2:$I$32,4,FALSE),test!$J$10:$P$14,3,FALSE))),1,0)</f>
        <v>0</v>
      </c>
      <c r="V15" s="2">
        <f>IF(AND(VLOOKUP(V$1,test!$A$3:$I$32,8,FALSE) - VLOOKUP($B15,test!$A$3:$I$32,9,FALSE) &gt;= (test!$B$33+VLOOKUP(VLOOKUP($B15,test!$A$2:$I$32,4,FALSE),test!$J$10:$P$14,3,FALSE))),1,0)</f>
        <v>0</v>
      </c>
      <c r="W15" s="2">
        <f>IF(AND(VLOOKUP(W$1,test!$A$3:$I$32,8,FALSE) - VLOOKUP($B15,test!$A$3:$I$32,9,FALSE) &gt;= (test!$B$33+VLOOKUP(VLOOKUP($B15,test!$A$2:$I$32,4,FALSE),test!$J$10:$P$14,3,FALSE))),1,0)</f>
        <v>0</v>
      </c>
      <c r="X15" s="2">
        <f>IF(AND(VLOOKUP(X$1,test!$A$3:$I$32,8,FALSE) - VLOOKUP($B15,test!$A$3:$I$32,9,FALSE) &gt;= (test!$B$33+VLOOKUP(VLOOKUP($B15,test!$A$2:$I$32,4,FALSE),test!$J$10:$P$14,3,FALSE))),1,0)</f>
        <v>0</v>
      </c>
      <c r="Y15" s="2">
        <f>IF(AND(VLOOKUP(Y$1,test!$A$3:$I$32,8,FALSE) - VLOOKUP($B15,test!$A$3:$I$32,9,FALSE) &gt;= (test!$B$33+VLOOKUP(VLOOKUP($B15,test!$A$2:$I$32,4,FALSE),test!$J$10:$P$14,3,FALSE))),1,0)</f>
        <v>0</v>
      </c>
      <c r="Z15" s="2">
        <f>IF(AND(VLOOKUP(Z$1,test!$A$3:$I$32,8,FALSE) - VLOOKUP($B15,test!$A$3:$I$32,9,FALSE) &gt;= (test!$B$33+VLOOKUP(VLOOKUP($B15,test!$A$2:$I$32,4,FALSE),test!$J$10:$P$14,3,FALSE))),1,0)</f>
        <v>0</v>
      </c>
      <c r="AA15" s="2">
        <f>IF(AND(VLOOKUP(AA$1,test!$A$3:$I$32,8,FALSE) - VLOOKUP($B15,test!$A$3:$I$32,9,FALSE) &gt;= (test!$B$33+VLOOKUP(VLOOKUP($B15,test!$A$2:$I$32,4,FALSE),test!$J$10:$P$14,3,FALSE))),1,0)</f>
        <v>0</v>
      </c>
      <c r="AB15" s="2">
        <f>IF(AND(VLOOKUP(AB$1,test!$A$3:$I$32,8,FALSE) - VLOOKUP($B15,test!$A$3:$I$32,9,FALSE) &gt;= (test!$B$33+VLOOKUP(VLOOKUP($B15,test!$A$2:$I$32,4,FALSE),test!$J$10:$P$14,3,FALSE))),1,0)</f>
        <v>0</v>
      </c>
      <c r="AC15" s="2">
        <f>IF(AND(VLOOKUP(AC$1,test!$A$3:$I$32,8,FALSE) - VLOOKUP($B15,test!$A$3:$I$32,9,FALSE) &gt;= (test!$B$33+VLOOKUP(VLOOKUP($B15,test!$A$2:$I$32,4,FALSE),test!$J$10:$P$14,3,FALSE))),1,0)</f>
        <v>0</v>
      </c>
      <c r="AD15" s="2">
        <f>IF(AND(VLOOKUP(AD$1,test!$A$3:$I$32,8,FALSE) - VLOOKUP($B15,test!$A$3:$I$32,9,FALSE) &gt;= (test!$B$33+VLOOKUP(VLOOKUP($B15,test!$A$2:$I$32,4,FALSE),test!$J$10:$P$14,3,FALSE))),1,0)</f>
        <v>0</v>
      </c>
      <c r="AE15" s="2">
        <f>IF(AND(VLOOKUP(AE$1,test!$A$3:$I$32,8,FALSE) - VLOOKUP($B15,test!$A$3:$I$32,9,FALSE) &gt;= (test!$B$33+VLOOKUP(VLOOKUP($B15,test!$A$2:$I$32,4,FALSE),test!$J$10:$P$14,3,FALSE))),1,0)</f>
        <v>0</v>
      </c>
      <c r="AF15" s="2">
        <f>IF(AND(VLOOKUP(AF$1,test!$A$3:$I$32,8,FALSE) - VLOOKUP($B15,test!$A$3:$I$32,9,FALSE) &gt;= (test!$B$33+VLOOKUP(VLOOKUP($B15,test!$A$2:$I$32,4,FALSE),test!$J$10:$P$14,3,FALSE))),1,0)</f>
        <v>0</v>
      </c>
      <c r="AG15" s="2">
        <f>IF(AND(VLOOKUP(AG$1,test!$A$3:$I$32,8,FALSE) - VLOOKUP($B15,test!$A$3:$I$32,9,FALSE) &gt;= (test!$B$33+VLOOKUP(VLOOKUP($B15,test!$A$2:$I$32,4,FALSE),test!$J$10:$P$14,3,FALSE))),1,0)</f>
        <v>0</v>
      </c>
    </row>
    <row r="16" spans="1:34" x14ac:dyDescent="0.25">
      <c r="A16" t="s">
        <v>48</v>
      </c>
      <c r="B16" t="s">
        <v>24</v>
      </c>
      <c r="C16">
        <v>0</v>
      </c>
      <c r="D16" s="2">
        <f>IF(AND(VLOOKUP(D$1,test!$A$3:$I$32,8,FALSE) - VLOOKUP($B16,test!$A$3:$I$32,9,FALSE) &gt;= (test!$B$33+VLOOKUP(VLOOKUP($B16,test!$A$2:$I$32,4,FALSE),test!$J$10:$P$14,3,FALSE))),1,0)</f>
        <v>0</v>
      </c>
      <c r="E16" s="2">
        <f>IF(AND(VLOOKUP(E$1,test!$A$3:$I$32,8,FALSE) - VLOOKUP($B16,test!$A$3:$I$32,9,FALSE) &gt;= (test!$B$33+VLOOKUP(VLOOKUP($B16,test!$A$2:$I$32,4,FALSE),test!$J$10:$P$14,3,FALSE))),1,0)</f>
        <v>0</v>
      </c>
      <c r="F16" s="2">
        <f>IF(AND(VLOOKUP(F$1,test!$A$3:$I$32,8,FALSE) - VLOOKUP($B16,test!$A$3:$I$32,9,FALSE) &gt;= (test!$B$33+VLOOKUP(VLOOKUP($B16,test!$A$2:$I$32,4,FALSE),test!$J$10:$P$14,3,FALSE))),1,0)</f>
        <v>0</v>
      </c>
      <c r="G16" s="2">
        <f>IF(AND(VLOOKUP(G$1,test!$A$3:$I$32,8,FALSE) - VLOOKUP($B16,test!$A$3:$I$32,9,FALSE) &gt;= (test!$B$33+VLOOKUP(VLOOKUP($B16,test!$A$2:$I$32,4,FALSE),test!$J$10:$P$14,3,FALSE))),1,0)</f>
        <v>1</v>
      </c>
      <c r="H16" s="2">
        <f>IF(AND(VLOOKUP(H$1,test!$A$3:$I$32,8,FALSE) - VLOOKUP($B16,test!$A$3:$I$32,9,FALSE) &gt;= (test!$B$33+VLOOKUP(VLOOKUP($B16,test!$A$2:$I$32,4,FALSE),test!$J$10:$P$14,3,FALSE))),1,0)</f>
        <v>1</v>
      </c>
      <c r="I16" s="2">
        <f>IF(AND(VLOOKUP(I$1,test!$A$3:$I$32,8,FALSE) - VLOOKUP($B16,test!$A$3:$I$32,9,FALSE) &gt;= (test!$B$33+VLOOKUP(VLOOKUP($B16,test!$A$2:$I$32,4,FALSE),test!$J$10:$P$14,3,FALSE))),1,0)</f>
        <v>1</v>
      </c>
      <c r="J16" s="2">
        <f>IF(AND(VLOOKUP(J$1,test!$A$3:$I$32,8,FALSE) - VLOOKUP($B16,test!$A$3:$I$32,9,FALSE) &gt;= (test!$B$33+VLOOKUP(VLOOKUP($B16,test!$A$2:$I$32,4,FALSE),test!$J$10:$P$14,3,FALSE))),1,0)</f>
        <v>1</v>
      </c>
      <c r="K16" s="2">
        <f>IF(AND(VLOOKUP(K$1,test!$A$3:$I$32,8,FALSE) - VLOOKUP($B16,test!$A$3:$I$32,9,FALSE) &gt;= (test!$B$33+VLOOKUP(VLOOKUP($B16,test!$A$2:$I$32,4,FALSE),test!$J$10:$P$14,3,FALSE))),1,0)</f>
        <v>1</v>
      </c>
      <c r="L16" s="2">
        <f>IF(AND(VLOOKUP(L$1,test!$A$3:$I$32,8,FALSE) - VLOOKUP($B16,test!$A$3:$I$32,9,FALSE) &gt;= (test!$B$33+VLOOKUP(VLOOKUP($B16,test!$A$2:$I$32,4,FALSE),test!$J$10:$P$14,3,FALSE))),1,0)</f>
        <v>0</v>
      </c>
      <c r="M16" s="2">
        <f>IF(AND(VLOOKUP(M$1,test!$A$3:$I$32,8,FALSE) - VLOOKUP($B16,test!$A$3:$I$32,9,FALSE) &gt;= (test!$B$33+VLOOKUP(VLOOKUP($B16,test!$A$2:$I$32,4,FALSE),test!$J$10:$P$14,3,FALSE))),1,0)</f>
        <v>0</v>
      </c>
      <c r="N16" s="2">
        <f>IF(AND(VLOOKUP(N$1,test!$A$3:$I$32,8,FALSE) - VLOOKUP($B16,test!$A$3:$I$32,9,FALSE) &gt;= (test!$B$33+VLOOKUP(VLOOKUP($B16,test!$A$2:$I$32,4,FALSE),test!$J$10:$P$14,3,FALSE))),1,0)</f>
        <v>0</v>
      </c>
      <c r="O16" s="2">
        <f>IF(AND(VLOOKUP(O$1,test!$A$3:$I$32,8,FALSE) - VLOOKUP($B16,test!$A$3:$I$32,9,FALSE) &gt;= (test!$B$33+VLOOKUP(VLOOKUP($B16,test!$A$2:$I$32,4,FALSE),test!$J$10:$P$14,3,FALSE))),1,0)</f>
        <v>1</v>
      </c>
      <c r="P16" s="2">
        <f>IF(AND(VLOOKUP(P$1,test!$A$3:$I$32,8,FALSE) - VLOOKUP($B16,test!$A$3:$I$32,9,FALSE) &gt;= (test!$B$33+VLOOKUP(VLOOKUP($B16,test!$A$2:$I$32,4,FALSE),test!$J$10:$P$14,3,FALSE))),1,0)</f>
        <v>1</v>
      </c>
      <c r="Q16" s="2">
        <f>IF(AND(VLOOKUP(Q$1,test!$A$3:$I$32,8,FALSE) - VLOOKUP($B16,test!$A$3:$I$32,9,FALSE) &gt;= (test!$B$33+VLOOKUP(VLOOKUP($B16,test!$A$2:$I$32,4,FALSE),test!$J$10:$P$14,3,FALSE))),1,0)</f>
        <v>0</v>
      </c>
      <c r="R16" s="2">
        <f>IF(AND(VLOOKUP(R$1,test!$A$3:$I$32,8,FALSE) - VLOOKUP($B16,test!$A$3:$I$32,9,FALSE) &gt;= (test!$B$33+VLOOKUP(VLOOKUP($B16,test!$A$2:$I$32,4,FALSE),test!$J$10:$P$14,3,FALSE))),1,0)</f>
        <v>0</v>
      </c>
      <c r="S16" s="2">
        <f>IF(AND(VLOOKUP(S$1,test!$A$3:$I$32,8,FALSE) - VLOOKUP($B16,test!$A$3:$I$32,9,FALSE) &gt;= (test!$B$33+VLOOKUP(VLOOKUP($B16,test!$A$2:$I$32,4,FALSE),test!$J$10:$P$14,3,FALSE))),1,0)</f>
        <v>0</v>
      </c>
      <c r="T16" s="2">
        <f>IF(AND(VLOOKUP(T$1,test!$A$3:$I$32,8,FALSE) - VLOOKUP($B16,test!$A$3:$I$32,9,FALSE) &gt;= (test!$B$33+VLOOKUP(VLOOKUP($B16,test!$A$2:$I$32,4,FALSE),test!$J$10:$P$14,3,FALSE))),1,0)</f>
        <v>0</v>
      </c>
      <c r="U16" s="2">
        <f>IF(AND(VLOOKUP(U$1,test!$A$3:$I$32,8,FALSE) - VLOOKUP($B16,test!$A$3:$I$32,9,FALSE) &gt;= (test!$B$33+VLOOKUP(VLOOKUP($B16,test!$A$2:$I$32,4,FALSE),test!$J$10:$P$14,3,FALSE))),1,0)</f>
        <v>0</v>
      </c>
      <c r="V16" s="2">
        <f>IF(AND(VLOOKUP(V$1,test!$A$3:$I$32,8,FALSE) - VLOOKUP($B16,test!$A$3:$I$32,9,FALSE) &gt;= (test!$B$33+VLOOKUP(VLOOKUP($B16,test!$A$2:$I$32,4,FALSE),test!$J$10:$P$14,3,FALSE))),1,0)</f>
        <v>1</v>
      </c>
      <c r="W16" s="2">
        <f>IF(AND(VLOOKUP(W$1,test!$A$3:$I$32,8,FALSE) - VLOOKUP($B16,test!$A$3:$I$32,9,FALSE) &gt;= (test!$B$33+VLOOKUP(VLOOKUP($B16,test!$A$2:$I$32,4,FALSE),test!$J$10:$P$14,3,FALSE))),1,0)</f>
        <v>1</v>
      </c>
      <c r="X16" s="2">
        <f>IF(AND(VLOOKUP(X$1,test!$A$3:$I$32,8,FALSE) - VLOOKUP($B16,test!$A$3:$I$32,9,FALSE) &gt;= (test!$B$33+VLOOKUP(VLOOKUP($B16,test!$A$2:$I$32,4,FALSE),test!$J$10:$P$14,3,FALSE))),1,0)</f>
        <v>1</v>
      </c>
      <c r="Y16" s="2">
        <f>IF(AND(VLOOKUP(Y$1,test!$A$3:$I$32,8,FALSE) - VLOOKUP($B16,test!$A$3:$I$32,9,FALSE) &gt;= (test!$B$33+VLOOKUP(VLOOKUP($B16,test!$A$2:$I$32,4,FALSE),test!$J$10:$P$14,3,FALSE))),1,0)</f>
        <v>1</v>
      </c>
      <c r="Z16" s="2">
        <f>IF(AND(VLOOKUP(Z$1,test!$A$3:$I$32,8,FALSE) - VLOOKUP($B16,test!$A$3:$I$32,9,FALSE) &gt;= (test!$B$33+VLOOKUP(VLOOKUP($B16,test!$A$2:$I$32,4,FALSE),test!$J$10:$P$14,3,FALSE))),1,0)</f>
        <v>0</v>
      </c>
      <c r="AA16" s="2">
        <f>IF(AND(VLOOKUP(AA$1,test!$A$3:$I$32,8,FALSE) - VLOOKUP($B16,test!$A$3:$I$32,9,FALSE) &gt;= (test!$B$33+VLOOKUP(VLOOKUP($B16,test!$A$2:$I$32,4,FALSE),test!$J$10:$P$14,3,FALSE))),1,0)</f>
        <v>0</v>
      </c>
      <c r="AB16" s="2">
        <f>IF(AND(VLOOKUP(AB$1,test!$A$3:$I$32,8,FALSE) - VLOOKUP($B16,test!$A$3:$I$32,9,FALSE) &gt;= (test!$B$33+VLOOKUP(VLOOKUP($B16,test!$A$2:$I$32,4,FALSE),test!$J$10:$P$14,3,FALSE))),1,0)</f>
        <v>1</v>
      </c>
      <c r="AC16" s="2">
        <f>IF(AND(VLOOKUP(AC$1,test!$A$3:$I$32,8,FALSE) - VLOOKUP($B16,test!$A$3:$I$32,9,FALSE) &gt;= (test!$B$33+VLOOKUP(VLOOKUP($B16,test!$A$2:$I$32,4,FALSE),test!$J$10:$P$14,3,FALSE))),1,0)</f>
        <v>1</v>
      </c>
      <c r="AD16" s="2">
        <f>IF(AND(VLOOKUP(AD$1,test!$A$3:$I$32,8,FALSE) - VLOOKUP($B16,test!$A$3:$I$32,9,FALSE) &gt;= (test!$B$33+VLOOKUP(VLOOKUP($B16,test!$A$2:$I$32,4,FALSE),test!$J$10:$P$14,3,FALSE))),1,0)</f>
        <v>1</v>
      </c>
      <c r="AE16" s="2">
        <f>IF(AND(VLOOKUP(AE$1,test!$A$3:$I$32,8,FALSE) - VLOOKUP($B16,test!$A$3:$I$32,9,FALSE) &gt;= (test!$B$33+VLOOKUP(VLOOKUP($B16,test!$A$2:$I$32,4,FALSE),test!$J$10:$P$14,3,FALSE))),1,0)</f>
        <v>0</v>
      </c>
      <c r="AF16" s="2">
        <f>IF(AND(VLOOKUP(AF$1,test!$A$3:$I$32,8,FALSE) - VLOOKUP($B16,test!$A$3:$I$32,9,FALSE) &gt;= (test!$B$33+VLOOKUP(VLOOKUP($B16,test!$A$2:$I$32,4,FALSE),test!$J$10:$P$14,3,FALSE))),1,0)</f>
        <v>1</v>
      </c>
      <c r="AG16" s="2">
        <f>IF(AND(VLOOKUP(AG$1,test!$A$3:$I$32,8,FALSE) - VLOOKUP($B16,test!$A$3:$I$32,9,FALSE) &gt;= (test!$B$33+VLOOKUP(VLOOKUP($B16,test!$A$2:$I$32,4,FALSE),test!$J$10:$P$14,3,FALSE))),1,0)</f>
        <v>0</v>
      </c>
    </row>
    <row r="17" spans="1:33" x14ac:dyDescent="0.25">
      <c r="A17" t="s">
        <v>48</v>
      </c>
      <c r="B17" t="s">
        <v>26</v>
      </c>
      <c r="C17">
        <v>0</v>
      </c>
      <c r="D17" s="2">
        <f>IF(AND(VLOOKUP(D$1,test!$A$3:$I$32,8,FALSE) - VLOOKUP($B17,test!$A$3:$I$32,9,FALSE) &gt;= (test!$B$33+VLOOKUP(VLOOKUP($B17,test!$A$2:$I$32,4,FALSE),test!$J$10:$P$14,3,FALSE))),1,0)</f>
        <v>0</v>
      </c>
      <c r="E17" s="2">
        <f>IF(AND(VLOOKUP(E$1,test!$A$3:$I$32,8,FALSE) - VLOOKUP($B17,test!$A$3:$I$32,9,FALSE) &gt;= (test!$B$33+VLOOKUP(VLOOKUP($B17,test!$A$2:$I$32,4,FALSE),test!$J$10:$P$14,3,FALSE))),1,0)</f>
        <v>0</v>
      </c>
      <c r="F17" s="2">
        <f>IF(AND(VLOOKUP(F$1,test!$A$3:$I$32,8,FALSE) - VLOOKUP($B17,test!$A$3:$I$32,9,FALSE) &gt;= (test!$B$33+VLOOKUP(VLOOKUP($B17,test!$A$2:$I$32,4,FALSE),test!$J$10:$P$14,3,FALSE))),1,0)</f>
        <v>1</v>
      </c>
      <c r="G17" s="2">
        <f>IF(AND(VLOOKUP(G$1,test!$A$3:$I$32,8,FALSE) - VLOOKUP($B17,test!$A$3:$I$32,9,FALSE) &gt;= (test!$B$33+VLOOKUP(VLOOKUP($B17,test!$A$2:$I$32,4,FALSE),test!$J$10:$P$14,3,FALSE))),1,0)</f>
        <v>1</v>
      </c>
      <c r="H17" s="2">
        <f>IF(AND(VLOOKUP(H$1,test!$A$3:$I$32,8,FALSE) - VLOOKUP($B17,test!$A$3:$I$32,9,FALSE) &gt;= (test!$B$33+VLOOKUP(VLOOKUP($B17,test!$A$2:$I$32,4,FALSE),test!$J$10:$P$14,3,FALSE))),1,0)</f>
        <v>1</v>
      </c>
      <c r="I17" s="2">
        <f>IF(AND(VLOOKUP(I$1,test!$A$3:$I$32,8,FALSE) - VLOOKUP($B17,test!$A$3:$I$32,9,FALSE) &gt;= (test!$B$33+VLOOKUP(VLOOKUP($B17,test!$A$2:$I$32,4,FALSE),test!$J$10:$P$14,3,FALSE))),1,0)</f>
        <v>1</v>
      </c>
      <c r="J17" s="2">
        <f>IF(AND(VLOOKUP(J$1,test!$A$3:$I$32,8,FALSE) - VLOOKUP($B17,test!$A$3:$I$32,9,FALSE) &gt;= (test!$B$33+VLOOKUP(VLOOKUP($B17,test!$A$2:$I$32,4,FALSE),test!$J$10:$P$14,3,FALSE))),1,0)</f>
        <v>1</v>
      </c>
      <c r="K17" s="2">
        <f>IF(AND(VLOOKUP(K$1,test!$A$3:$I$32,8,FALSE) - VLOOKUP($B17,test!$A$3:$I$32,9,FALSE) &gt;= (test!$B$33+VLOOKUP(VLOOKUP($B17,test!$A$2:$I$32,4,FALSE),test!$J$10:$P$14,3,FALSE))),1,0)</f>
        <v>1</v>
      </c>
      <c r="L17" s="2">
        <f>IF(AND(VLOOKUP(L$1,test!$A$3:$I$32,8,FALSE) - VLOOKUP($B17,test!$A$3:$I$32,9,FALSE) &gt;= (test!$B$33+VLOOKUP(VLOOKUP($B17,test!$A$2:$I$32,4,FALSE),test!$J$10:$P$14,3,FALSE))),1,0)</f>
        <v>0</v>
      </c>
      <c r="M17" s="2">
        <f>IF(AND(VLOOKUP(M$1,test!$A$3:$I$32,8,FALSE) - VLOOKUP($B17,test!$A$3:$I$32,9,FALSE) &gt;= (test!$B$33+VLOOKUP(VLOOKUP($B17,test!$A$2:$I$32,4,FALSE),test!$J$10:$P$14,3,FALSE))),1,0)</f>
        <v>0</v>
      </c>
      <c r="N17" s="2">
        <f>IF(AND(VLOOKUP(N$1,test!$A$3:$I$32,8,FALSE) - VLOOKUP($B17,test!$A$3:$I$32,9,FALSE) &gt;= (test!$B$33+VLOOKUP(VLOOKUP($B17,test!$A$2:$I$32,4,FALSE),test!$J$10:$P$14,3,FALSE))),1,0)</f>
        <v>1</v>
      </c>
      <c r="O17" s="2">
        <f>IF(AND(VLOOKUP(O$1,test!$A$3:$I$32,8,FALSE) - VLOOKUP($B17,test!$A$3:$I$32,9,FALSE) &gt;= (test!$B$33+VLOOKUP(VLOOKUP($B17,test!$A$2:$I$32,4,FALSE),test!$J$10:$P$14,3,FALSE))),1,0)</f>
        <v>1</v>
      </c>
      <c r="P17" s="2">
        <f>IF(AND(VLOOKUP(P$1,test!$A$3:$I$32,8,FALSE) - VLOOKUP($B17,test!$A$3:$I$32,9,FALSE) &gt;= (test!$B$33+VLOOKUP(VLOOKUP($B17,test!$A$2:$I$32,4,FALSE),test!$J$10:$P$14,3,FALSE))),1,0)</f>
        <v>1</v>
      </c>
      <c r="Q17" s="2">
        <f>IF(AND(VLOOKUP(Q$1,test!$A$3:$I$32,8,FALSE) - VLOOKUP($B17,test!$A$3:$I$32,9,FALSE) &gt;= (test!$B$33+VLOOKUP(VLOOKUP($B17,test!$A$2:$I$32,4,FALSE),test!$J$10:$P$14,3,FALSE))),1,0)</f>
        <v>0</v>
      </c>
      <c r="R17" s="2">
        <f>IF(AND(VLOOKUP(R$1,test!$A$3:$I$32,8,FALSE) - VLOOKUP($B17,test!$A$3:$I$32,9,FALSE) &gt;= (test!$B$33+VLOOKUP(VLOOKUP($B17,test!$A$2:$I$32,4,FALSE),test!$J$10:$P$14,3,FALSE))),1,0)</f>
        <v>0</v>
      </c>
      <c r="S17" s="2">
        <f>IF(AND(VLOOKUP(S$1,test!$A$3:$I$32,8,FALSE) - VLOOKUP($B17,test!$A$3:$I$32,9,FALSE) &gt;= (test!$B$33+VLOOKUP(VLOOKUP($B17,test!$A$2:$I$32,4,FALSE),test!$J$10:$P$14,3,FALSE))),1,0)</f>
        <v>0</v>
      </c>
      <c r="T17" s="2">
        <f>IF(AND(VLOOKUP(T$1,test!$A$3:$I$32,8,FALSE) - VLOOKUP($B17,test!$A$3:$I$32,9,FALSE) &gt;= (test!$B$33+VLOOKUP(VLOOKUP($B17,test!$A$2:$I$32,4,FALSE),test!$J$10:$P$14,3,FALSE))),1,0)</f>
        <v>0</v>
      </c>
      <c r="U17" s="2">
        <f>IF(AND(VLOOKUP(U$1,test!$A$3:$I$32,8,FALSE) - VLOOKUP($B17,test!$A$3:$I$32,9,FALSE) &gt;= (test!$B$33+VLOOKUP(VLOOKUP($B17,test!$A$2:$I$32,4,FALSE),test!$J$10:$P$14,3,FALSE))),1,0)</f>
        <v>1</v>
      </c>
      <c r="V17" s="2">
        <f>IF(AND(VLOOKUP(V$1,test!$A$3:$I$32,8,FALSE) - VLOOKUP($B17,test!$A$3:$I$32,9,FALSE) &gt;= (test!$B$33+VLOOKUP(VLOOKUP($B17,test!$A$2:$I$32,4,FALSE),test!$J$10:$P$14,3,FALSE))),1,0)</f>
        <v>1</v>
      </c>
      <c r="W17" s="2">
        <f>IF(AND(VLOOKUP(W$1,test!$A$3:$I$32,8,FALSE) - VLOOKUP($B17,test!$A$3:$I$32,9,FALSE) &gt;= (test!$B$33+VLOOKUP(VLOOKUP($B17,test!$A$2:$I$32,4,FALSE),test!$J$10:$P$14,3,FALSE))),1,0)</f>
        <v>1</v>
      </c>
      <c r="X17" s="2">
        <f>IF(AND(VLOOKUP(X$1,test!$A$3:$I$32,8,FALSE) - VLOOKUP($B17,test!$A$3:$I$32,9,FALSE) &gt;= (test!$B$33+VLOOKUP(VLOOKUP($B17,test!$A$2:$I$32,4,FALSE),test!$J$10:$P$14,3,FALSE))),1,0)</f>
        <v>1</v>
      </c>
      <c r="Y17" s="2">
        <f>IF(AND(VLOOKUP(Y$1,test!$A$3:$I$32,8,FALSE) - VLOOKUP($B17,test!$A$3:$I$32,9,FALSE) &gt;= (test!$B$33+VLOOKUP(VLOOKUP($B17,test!$A$2:$I$32,4,FALSE),test!$J$10:$P$14,3,FALSE))),1,0)</f>
        <v>1</v>
      </c>
      <c r="Z17" s="2">
        <f>IF(AND(VLOOKUP(Z$1,test!$A$3:$I$32,8,FALSE) - VLOOKUP($B17,test!$A$3:$I$32,9,FALSE) &gt;= (test!$B$33+VLOOKUP(VLOOKUP($B17,test!$A$2:$I$32,4,FALSE),test!$J$10:$P$14,3,FALSE))),1,0)</f>
        <v>0</v>
      </c>
      <c r="AA17" s="2">
        <f>IF(AND(VLOOKUP(AA$1,test!$A$3:$I$32,8,FALSE) - VLOOKUP($B17,test!$A$3:$I$32,9,FALSE) &gt;= (test!$B$33+VLOOKUP(VLOOKUP($B17,test!$A$2:$I$32,4,FALSE),test!$J$10:$P$14,3,FALSE))),1,0)</f>
        <v>0</v>
      </c>
      <c r="AB17" s="2">
        <f>IF(AND(VLOOKUP(AB$1,test!$A$3:$I$32,8,FALSE) - VLOOKUP($B17,test!$A$3:$I$32,9,FALSE) &gt;= (test!$B$33+VLOOKUP(VLOOKUP($B17,test!$A$2:$I$32,4,FALSE),test!$J$10:$P$14,3,FALSE))),1,0)</f>
        <v>1</v>
      </c>
      <c r="AC17" s="2">
        <f>IF(AND(VLOOKUP(AC$1,test!$A$3:$I$32,8,FALSE) - VLOOKUP($B17,test!$A$3:$I$32,9,FALSE) &gt;= (test!$B$33+VLOOKUP(VLOOKUP($B17,test!$A$2:$I$32,4,FALSE),test!$J$10:$P$14,3,FALSE))),1,0)</f>
        <v>1</v>
      </c>
      <c r="AD17" s="2">
        <f>IF(AND(VLOOKUP(AD$1,test!$A$3:$I$32,8,FALSE) - VLOOKUP($B17,test!$A$3:$I$32,9,FALSE) &gt;= (test!$B$33+VLOOKUP(VLOOKUP($B17,test!$A$2:$I$32,4,FALSE),test!$J$10:$P$14,3,FALSE))),1,0)</f>
        <v>1</v>
      </c>
      <c r="AE17" s="2">
        <f>IF(AND(VLOOKUP(AE$1,test!$A$3:$I$32,8,FALSE) - VLOOKUP($B17,test!$A$3:$I$32,9,FALSE) &gt;= (test!$B$33+VLOOKUP(VLOOKUP($B17,test!$A$2:$I$32,4,FALSE),test!$J$10:$P$14,3,FALSE))),1,0)</f>
        <v>0</v>
      </c>
      <c r="AF17" s="2">
        <f>IF(AND(VLOOKUP(AF$1,test!$A$3:$I$32,8,FALSE) - VLOOKUP($B17,test!$A$3:$I$32,9,FALSE) &gt;= (test!$B$33+VLOOKUP(VLOOKUP($B17,test!$A$2:$I$32,4,FALSE),test!$J$10:$P$14,3,FALSE))),1,0)</f>
        <v>1</v>
      </c>
      <c r="AG17" s="2">
        <f>IF(AND(VLOOKUP(AG$1,test!$A$3:$I$32,8,FALSE) - VLOOKUP($B17,test!$A$3:$I$32,9,FALSE) &gt;= (test!$B$33+VLOOKUP(VLOOKUP($B17,test!$A$2:$I$32,4,FALSE),test!$J$10:$P$14,3,FALSE))),1,0)</f>
        <v>1</v>
      </c>
    </row>
    <row r="18" spans="1:33" x14ac:dyDescent="0.25">
      <c r="A18" t="s">
        <v>48</v>
      </c>
      <c r="B18" t="s">
        <v>27</v>
      </c>
      <c r="C18">
        <v>0</v>
      </c>
      <c r="D18" s="2">
        <f>IF(AND(VLOOKUP(D$1,test!$A$3:$I$32,8,FALSE) - VLOOKUP($B18,test!$A$3:$I$32,9,FALSE) &gt;= (test!$B$33+VLOOKUP(VLOOKUP($B18,test!$A$2:$I$32,4,FALSE),test!$J$10:$P$14,3,FALSE))),1,0)</f>
        <v>0</v>
      </c>
      <c r="E18" s="2">
        <f>IF(AND(VLOOKUP(E$1,test!$A$3:$I$32,8,FALSE) - VLOOKUP($B18,test!$A$3:$I$32,9,FALSE) &gt;= (test!$B$33+VLOOKUP(VLOOKUP($B18,test!$A$2:$I$32,4,FALSE),test!$J$10:$P$14,3,FALSE))),1,0)</f>
        <v>0</v>
      </c>
      <c r="F18" s="2">
        <f>IF(AND(VLOOKUP(F$1,test!$A$3:$I$32,8,FALSE) - VLOOKUP($B18,test!$A$3:$I$32,9,FALSE) &gt;= (test!$B$33+VLOOKUP(VLOOKUP($B18,test!$A$2:$I$32,4,FALSE),test!$J$10:$P$14,3,FALSE))),1,0)</f>
        <v>0</v>
      </c>
      <c r="G18" s="2">
        <f>IF(AND(VLOOKUP(G$1,test!$A$3:$I$32,8,FALSE) - VLOOKUP($B18,test!$A$3:$I$32,9,FALSE) &gt;= (test!$B$33+VLOOKUP(VLOOKUP($B18,test!$A$2:$I$32,4,FALSE),test!$J$10:$P$14,3,FALSE))),1,0)</f>
        <v>1</v>
      </c>
      <c r="H18" s="2">
        <f>IF(AND(VLOOKUP(H$1,test!$A$3:$I$32,8,FALSE) - VLOOKUP($B18,test!$A$3:$I$32,9,FALSE) &gt;= (test!$B$33+VLOOKUP(VLOOKUP($B18,test!$A$2:$I$32,4,FALSE),test!$J$10:$P$14,3,FALSE))),1,0)</f>
        <v>1</v>
      </c>
      <c r="I18" s="2">
        <f>IF(AND(VLOOKUP(I$1,test!$A$3:$I$32,8,FALSE) - VLOOKUP($B18,test!$A$3:$I$32,9,FALSE) &gt;= (test!$B$33+VLOOKUP(VLOOKUP($B18,test!$A$2:$I$32,4,FALSE),test!$J$10:$P$14,3,FALSE))),1,0)</f>
        <v>1</v>
      </c>
      <c r="J18" s="2">
        <f>IF(AND(VLOOKUP(J$1,test!$A$3:$I$32,8,FALSE) - VLOOKUP($B18,test!$A$3:$I$32,9,FALSE) &gt;= (test!$B$33+VLOOKUP(VLOOKUP($B18,test!$A$2:$I$32,4,FALSE),test!$J$10:$P$14,3,FALSE))),1,0)</f>
        <v>1</v>
      </c>
      <c r="K18" s="2">
        <f>IF(AND(VLOOKUP(K$1,test!$A$3:$I$32,8,FALSE) - VLOOKUP($B18,test!$A$3:$I$32,9,FALSE) &gt;= (test!$B$33+VLOOKUP(VLOOKUP($B18,test!$A$2:$I$32,4,FALSE),test!$J$10:$P$14,3,FALSE))),1,0)</f>
        <v>1</v>
      </c>
      <c r="L18" s="2">
        <f>IF(AND(VLOOKUP(L$1,test!$A$3:$I$32,8,FALSE) - VLOOKUP($B18,test!$A$3:$I$32,9,FALSE) &gt;= (test!$B$33+VLOOKUP(VLOOKUP($B18,test!$A$2:$I$32,4,FALSE),test!$J$10:$P$14,3,FALSE))),1,0)</f>
        <v>0</v>
      </c>
      <c r="M18" s="2">
        <f>IF(AND(VLOOKUP(M$1,test!$A$3:$I$32,8,FALSE) - VLOOKUP($B18,test!$A$3:$I$32,9,FALSE) &gt;= (test!$B$33+VLOOKUP(VLOOKUP($B18,test!$A$2:$I$32,4,FALSE),test!$J$10:$P$14,3,FALSE))),1,0)</f>
        <v>0</v>
      </c>
      <c r="N18" s="2">
        <f>IF(AND(VLOOKUP(N$1,test!$A$3:$I$32,8,FALSE) - VLOOKUP($B18,test!$A$3:$I$32,9,FALSE) &gt;= (test!$B$33+VLOOKUP(VLOOKUP($B18,test!$A$2:$I$32,4,FALSE),test!$J$10:$P$14,3,FALSE))),1,0)</f>
        <v>0</v>
      </c>
      <c r="O18" s="2">
        <f>IF(AND(VLOOKUP(O$1,test!$A$3:$I$32,8,FALSE) - VLOOKUP($B18,test!$A$3:$I$32,9,FALSE) &gt;= (test!$B$33+VLOOKUP(VLOOKUP($B18,test!$A$2:$I$32,4,FALSE),test!$J$10:$P$14,3,FALSE))),1,0)</f>
        <v>1</v>
      </c>
      <c r="P18" s="2">
        <f>IF(AND(VLOOKUP(P$1,test!$A$3:$I$32,8,FALSE) - VLOOKUP($B18,test!$A$3:$I$32,9,FALSE) &gt;= (test!$B$33+VLOOKUP(VLOOKUP($B18,test!$A$2:$I$32,4,FALSE),test!$J$10:$P$14,3,FALSE))),1,0)</f>
        <v>1</v>
      </c>
      <c r="Q18" s="2">
        <f>IF(AND(VLOOKUP(Q$1,test!$A$3:$I$32,8,FALSE) - VLOOKUP($B18,test!$A$3:$I$32,9,FALSE) &gt;= (test!$B$33+VLOOKUP(VLOOKUP($B18,test!$A$2:$I$32,4,FALSE),test!$J$10:$P$14,3,FALSE))),1,0)</f>
        <v>0</v>
      </c>
      <c r="R18" s="2">
        <f>IF(AND(VLOOKUP(R$1,test!$A$3:$I$32,8,FALSE) - VLOOKUP($B18,test!$A$3:$I$32,9,FALSE) &gt;= (test!$B$33+VLOOKUP(VLOOKUP($B18,test!$A$2:$I$32,4,FALSE),test!$J$10:$P$14,3,FALSE))),1,0)</f>
        <v>0</v>
      </c>
      <c r="S18" s="2">
        <f>IF(AND(VLOOKUP(S$1,test!$A$3:$I$32,8,FALSE) - VLOOKUP($B18,test!$A$3:$I$32,9,FALSE) &gt;= (test!$B$33+VLOOKUP(VLOOKUP($B18,test!$A$2:$I$32,4,FALSE),test!$J$10:$P$14,3,FALSE))),1,0)</f>
        <v>0</v>
      </c>
      <c r="T18" s="2">
        <f>IF(AND(VLOOKUP(T$1,test!$A$3:$I$32,8,FALSE) - VLOOKUP($B18,test!$A$3:$I$32,9,FALSE) &gt;= (test!$B$33+VLOOKUP(VLOOKUP($B18,test!$A$2:$I$32,4,FALSE),test!$J$10:$P$14,3,FALSE))),1,0)</f>
        <v>0</v>
      </c>
      <c r="U18" s="2">
        <f>IF(AND(VLOOKUP(U$1,test!$A$3:$I$32,8,FALSE) - VLOOKUP($B18,test!$A$3:$I$32,9,FALSE) &gt;= (test!$B$33+VLOOKUP(VLOOKUP($B18,test!$A$2:$I$32,4,FALSE),test!$J$10:$P$14,3,FALSE))),1,0)</f>
        <v>0</v>
      </c>
      <c r="V18" s="2">
        <f>IF(AND(VLOOKUP(V$1,test!$A$3:$I$32,8,FALSE) - VLOOKUP($B18,test!$A$3:$I$32,9,FALSE) &gt;= (test!$B$33+VLOOKUP(VLOOKUP($B18,test!$A$2:$I$32,4,FALSE),test!$J$10:$P$14,3,FALSE))),1,0)</f>
        <v>1</v>
      </c>
      <c r="W18" s="2">
        <f>IF(AND(VLOOKUP(W$1,test!$A$3:$I$32,8,FALSE) - VLOOKUP($B18,test!$A$3:$I$32,9,FALSE) &gt;= (test!$B$33+VLOOKUP(VLOOKUP($B18,test!$A$2:$I$32,4,FALSE),test!$J$10:$P$14,3,FALSE))),1,0)</f>
        <v>1</v>
      </c>
      <c r="X18" s="2">
        <f>IF(AND(VLOOKUP(X$1,test!$A$3:$I$32,8,FALSE) - VLOOKUP($B18,test!$A$3:$I$32,9,FALSE) &gt;= (test!$B$33+VLOOKUP(VLOOKUP($B18,test!$A$2:$I$32,4,FALSE),test!$J$10:$P$14,3,FALSE))),1,0)</f>
        <v>1</v>
      </c>
      <c r="Y18" s="2">
        <f>IF(AND(VLOOKUP(Y$1,test!$A$3:$I$32,8,FALSE) - VLOOKUP($B18,test!$A$3:$I$32,9,FALSE) &gt;= (test!$B$33+VLOOKUP(VLOOKUP($B18,test!$A$2:$I$32,4,FALSE),test!$J$10:$P$14,3,FALSE))),1,0)</f>
        <v>1</v>
      </c>
      <c r="Z18" s="2">
        <f>IF(AND(VLOOKUP(Z$1,test!$A$3:$I$32,8,FALSE) - VLOOKUP($B18,test!$A$3:$I$32,9,FALSE) &gt;= (test!$B$33+VLOOKUP(VLOOKUP($B18,test!$A$2:$I$32,4,FALSE),test!$J$10:$P$14,3,FALSE))),1,0)</f>
        <v>0</v>
      </c>
      <c r="AA18" s="2">
        <f>IF(AND(VLOOKUP(AA$1,test!$A$3:$I$32,8,FALSE) - VLOOKUP($B18,test!$A$3:$I$32,9,FALSE) &gt;= (test!$B$33+VLOOKUP(VLOOKUP($B18,test!$A$2:$I$32,4,FALSE),test!$J$10:$P$14,3,FALSE))),1,0)</f>
        <v>0</v>
      </c>
      <c r="AB18" s="2">
        <f>IF(AND(VLOOKUP(AB$1,test!$A$3:$I$32,8,FALSE) - VLOOKUP($B18,test!$A$3:$I$32,9,FALSE) &gt;= (test!$B$33+VLOOKUP(VLOOKUP($B18,test!$A$2:$I$32,4,FALSE),test!$J$10:$P$14,3,FALSE))),1,0)</f>
        <v>1</v>
      </c>
      <c r="AC18" s="2">
        <f>IF(AND(VLOOKUP(AC$1,test!$A$3:$I$32,8,FALSE) - VLOOKUP($B18,test!$A$3:$I$32,9,FALSE) &gt;= (test!$B$33+VLOOKUP(VLOOKUP($B18,test!$A$2:$I$32,4,FALSE),test!$J$10:$P$14,3,FALSE))),1,0)</f>
        <v>1</v>
      </c>
      <c r="AD18" s="2">
        <f>IF(AND(VLOOKUP(AD$1,test!$A$3:$I$32,8,FALSE) - VLOOKUP($B18,test!$A$3:$I$32,9,FALSE) &gt;= (test!$B$33+VLOOKUP(VLOOKUP($B18,test!$A$2:$I$32,4,FALSE),test!$J$10:$P$14,3,FALSE))),1,0)</f>
        <v>1</v>
      </c>
      <c r="AE18" s="2">
        <f>IF(AND(VLOOKUP(AE$1,test!$A$3:$I$32,8,FALSE) - VLOOKUP($B18,test!$A$3:$I$32,9,FALSE) &gt;= (test!$B$33+VLOOKUP(VLOOKUP($B18,test!$A$2:$I$32,4,FALSE),test!$J$10:$P$14,3,FALSE))),1,0)</f>
        <v>0</v>
      </c>
      <c r="AF18" s="2">
        <f>IF(AND(VLOOKUP(AF$1,test!$A$3:$I$32,8,FALSE) - VLOOKUP($B18,test!$A$3:$I$32,9,FALSE) &gt;= (test!$B$33+VLOOKUP(VLOOKUP($B18,test!$A$2:$I$32,4,FALSE),test!$J$10:$P$14,3,FALSE))),1,0)</f>
        <v>1</v>
      </c>
      <c r="AG18" s="2">
        <f>IF(AND(VLOOKUP(AG$1,test!$A$3:$I$32,8,FALSE) - VLOOKUP($B18,test!$A$3:$I$32,9,FALSE) &gt;= (test!$B$33+VLOOKUP(VLOOKUP($B18,test!$A$2:$I$32,4,FALSE),test!$J$10:$P$14,3,FALSE))),1,0)</f>
        <v>0</v>
      </c>
    </row>
    <row r="19" spans="1:33" x14ac:dyDescent="0.25">
      <c r="A19" t="s">
        <v>48</v>
      </c>
      <c r="B19" t="s">
        <v>28</v>
      </c>
      <c r="C19">
        <v>0</v>
      </c>
      <c r="D19" s="2">
        <f>IF(AND(VLOOKUP(D$1,test!$A$3:$I$32,8,FALSE) - VLOOKUP($B19,test!$A$3:$I$32,9,FALSE) &gt;= (test!$B$33+VLOOKUP(VLOOKUP($B19,test!$A$2:$I$32,4,FALSE),test!$J$10:$P$14,3,FALSE))),1,0)</f>
        <v>0</v>
      </c>
      <c r="E19" s="2">
        <f>IF(AND(VLOOKUP(E$1,test!$A$3:$I$32,8,FALSE) - VLOOKUP($B19,test!$A$3:$I$32,9,FALSE) &gt;= (test!$B$33+VLOOKUP(VLOOKUP($B19,test!$A$2:$I$32,4,FALSE),test!$J$10:$P$14,3,FALSE))),1,0)</f>
        <v>0</v>
      </c>
      <c r="F19" s="2">
        <f>IF(AND(VLOOKUP(F$1,test!$A$3:$I$32,8,FALSE) - VLOOKUP($B19,test!$A$3:$I$32,9,FALSE) &gt;= (test!$B$33+VLOOKUP(VLOOKUP($B19,test!$A$2:$I$32,4,FALSE),test!$J$10:$P$14,3,FALSE))),1,0)</f>
        <v>0</v>
      </c>
      <c r="G19" s="2">
        <f>IF(AND(VLOOKUP(G$1,test!$A$3:$I$32,8,FALSE) - VLOOKUP($B19,test!$A$3:$I$32,9,FALSE) &gt;= (test!$B$33+VLOOKUP(VLOOKUP($B19,test!$A$2:$I$32,4,FALSE),test!$J$10:$P$14,3,FALSE))),1,0)</f>
        <v>0</v>
      </c>
      <c r="H19" s="2">
        <f>IF(AND(VLOOKUP(H$1,test!$A$3:$I$32,8,FALSE) - VLOOKUP($B19,test!$A$3:$I$32,9,FALSE) &gt;= (test!$B$33+VLOOKUP(VLOOKUP($B19,test!$A$2:$I$32,4,FALSE),test!$J$10:$P$14,3,FALSE))),1,0)</f>
        <v>1</v>
      </c>
      <c r="I19" s="2">
        <f>IF(AND(VLOOKUP(I$1,test!$A$3:$I$32,8,FALSE) - VLOOKUP($B19,test!$A$3:$I$32,9,FALSE) &gt;= (test!$B$33+VLOOKUP(VLOOKUP($B19,test!$A$2:$I$32,4,FALSE),test!$J$10:$P$14,3,FALSE))),1,0)</f>
        <v>1</v>
      </c>
      <c r="J19" s="2">
        <f>IF(AND(VLOOKUP(J$1,test!$A$3:$I$32,8,FALSE) - VLOOKUP($B19,test!$A$3:$I$32,9,FALSE) &gt;= (test!$B$33+VLOOKUP(VLOOKUP($B19,test!$A$2:$I$32,4,FALSE),test!$J$10:$P$14,3,FALSE))),1,0)</f>
        <v>1</v>
      </c>
      <c r="K19" s="2">
        <f>IF(AND(VLOOKUP(K$1,test!$A$3:$I$32,8,FALSE) - VLOOKUP($B19,test!$A$3:$I$32,9,FALSE) &gt;= (test!$B$33+VLOOKUP(VLOOKUP($B19,test!$A$2:$I$32,4,FALSE),test!$J$10:$P$14,3,FALSE))),1,0)</f>
        <v>1</v>
      </c>
      <c r="L19" s="2">
        <f>IF(AND(VLOOKUP(L$1,test!$A$3:$I$32,8,FALSE) - VLOOKUP($B19,test!$A$3:$I$32,9,FALSE) &gt;= (test!$B$33+VLOOKUP(VLOOKUP($B19,test!$A$2:$I$32,4,FALSE),test!$J$10:$P$14,3,FALSE))),1,0)</f>
        <v>0</v>
      </c>
      <c r="M19" s="2">
        <f>IF(AND(VLOOKUP(M$1,test!$A$3:$I$32,8,FALSE) - VLOOKUP($B19,test!$A$3:$I$32,9,FALSE) &gt;= (test!$B$33+VLOOKUP(VLOOKUP($B19,test!$A$2:$I$32,4,FALSE),test!$J$10:$P$14,3,FALSE))),1,0)</f>
        <v>0</v>
      </c>
      <c r="N19" s="2">
        <f>IF(AND(VLOOKUP(N$1,test!$A$3:$I$32,8,FALSE) - VLOOKUP($B19,test!$A$3:$I$32,9,FALSE) &gt;= (test!$B$33+VLOOKUP(VLOOKUP($B19,test!$A$2:$I$32,4,FALSE),test!$J$10:$P$14,3,FALSE))),1,0)</f>
        <v>0</v>
      </c>
      <c r="O19" s="2">
        <f>IF(AND(VLOOKUP(O$1,test!$A$3:$I$32,8,FALSE) - VLOOKUP($B19,test!$A$3:$I$32,9,FALSE) &gt;= (test!$B$33+VLOOKUP(VLOOKUP($B19,test!$A$2:$I$32,4,FALSE),test!$J$10:$P$14,3,FALSE))),1,0)</f>
        <v>1</v>
      </c>
      <c r="P19" s="2">
        <f>IF(AND(VLOOKUP(P$1,test!$A$3:$I$32,8,FALSE) - VLOOKUP($B19,test!$A$3:$I$32,9,FALSE) &gt;= (test!$B$33+VLOOKUP(VLOOKUP($B19,test!$A$2:$I$32,4,FALSE),test!$J$10:$P$14,3,FALSE))),1,0)</f>
        <v>1</v>
      </c>
      <c r="Q19" s="2">
        <f>IF(AND(VLOOKUP(Q$1,test!$A$3:$I$32,8,FALSE) - VLOOKUP($B19,test!$A$3:$I$32,9,FALSE) &gt;= (test!$B$33+VLOOKUP(VLOOKUP($B19,test!$A$2:$I$32,4,FALSE),test!$J$10:$P$14,3,FALSE))),1,0)</f>
        <v>0</v>
      </c>
      <c r="R19" s="2">
        <f>IF(AND(VLOOKUP(R$1,test!$A$3:$I$32,8,FALSE) - VLOOKUP($B19,test!$A$3:$I$32,9,FALSE) &gt;= (test!$B$33+VLOOKUP(VLOOKUP($B19,test!$A$2:$I$32,4,FALSE),test!$J$10:$P$14,3,FALSE))),1,0)</f>
        <v>0</v>
      </c>
      <c r="S19" s="2">
        <f>IF(AND(VLOOKUP(S$1,test!$A$3:$I$32,8,FALSE) - VLOOKUP($B19,test!$A$3:$I$32,9,FALSE) &gt;= (test!$B$33+VLOOKUP(VLOOKUP($B19,test!$A$2:$I$32,4,FALSE),test!$J$10:$P$14,3,FALSE))),1,0)</f>
        <v>0</v>
      </c>
      <c r="T19" s="2">
        <f>IF(AND(VLOOKUP(T$1,test!$A$3:$I$32,8,FALSE) - VLOOKUP($B19,test!$A$3:$I$32,9,FALSE) &gt;= (test!$B$33+VLOOKUP(VLOOKUP($B19,test!$A$2:$I$32,4,FALSE),test!$J$10:$P$14,3,FALSE))),1,0)</f>
        <v>0</v>
      </c>
      <c r="U19" s="2">
        <f>IF(AND(VLOOKUP(U$1,test!$A$3:$I$32,8,FALSE) - VLOOKUP($B19,test!$A$3:$I$32,9,FALSE) &gt;= (test!$B$33+VLOOKUP(VLOOKUP($B19,test!$A$2:$I$32,4,FALSE),test!$J$10:$P$14,3,FALSE))),1,0)</f>
        <v>0</v>
      </c>
      <c r="V19" s="2">
        <f>IF(AND(VLOOKUP(V$1,test!$A$3:$I$32,8,FALSE) - VLOOKUP($B19,test!$A$3:$I$32,9,FALSE) &gt;= (test!$B$33+VLOOKUP(VLOOKUP($B19,test!$A$2:$I$32,4,FALSE),test!$J$10:$P$14,3,FALSE))),1,0)</f>
        <v>0</v>
      </c>
      <c r="W19" s="2">
        <f>IF(AND(VLOOKUP(W$1,test!$A$3:$I$32,8,FALSE) - VLOOKUP($B19,test!$A$3:$I$32,9,FALSE) &gt;= (test!$B$33+VLOOKUP(VLOOKUP($B19,test!$A$2:$I$32,4,FALSE),test!$J$10:$P$14,3,FALSE))),1,0)</f>
        <v>1</v>
      </c>
      <c r="X19" s="2">
        <f>IF(AND(VLOOKUP(X$1,test!$A$3:$I$32,8,FALSE) - VLOOKUP($B19,test!$A$3:$I$32,9,FALSE) &gt;= (test!$B$33+VLOOKUP(VLOOKUP($B19,test!$A$2:$I$32,4,FALSE),test!$J$10:$P$14,3,FALSE))),1,0)</f>
        <v>1</v>
      </c>
      <c r="Y19" s="2">
        <f>IF(AND(VLOOKUP(Y$1,test!$A$3:$I$32,8,FALSE) - VLOOKUP($B19,test!$A$3:$I$32,9,FALSE) &gt;= (test!$B$33+VLOOKUP(VLOOKUP($B19,test!$A$2:$I$32,4,FALSE),test!$J$10:$P$14,3,FALSE))),1,0)</f>
        <v>1</v>
      </c>
      <c r="Z19" s="2">
        <f>IF(AND(VLOOKUP(Z$1,test!$A$3:$I$32,8,FALSE) - VLOOKUP($B19,test!$A$3:$I$32,9,FALSE) &gt;= (test!$B$33+VLOOKUP(VLOOKUP($B19,test!$A$2:$I$32,4,FALSE),test!$J$10:$P$14,3,FALSE))),1,0)</f>
        <v>0</v>
      </c>
      <c r="AA19" s="2">
        <f>IF(AND(VLOOKUP(AA$1,test!$A$3:$I$32,8,FALSE) - VLOOKUP($B19,test!$A$3:$I$32,9,FALSE) &gt;= (test!$B$33+VLOOKUP(VLOOKUP($B19,test!$A$2:$I$32,4,FALSE),test!$J$10:$P$14,3,FALSE))),1,0)</f>
        <v>0</v>
      </c>
      <c r="AB19" s="2">
        <f>IF(AND(VLOOKUP(AB$1,test!$A$3:$I$32,8,FALSE) - VLOOKUP($B19,test!$A$3:$I$32,9,FALSE) &gt;= (test!$B$33+VLOOKUP(VLOOKUP($B19,test!$A$2:$I$32,4,FALSE),test!$J$10:$P$14,3,FALSE))),1,0)</f>
        <v>0</v>
      </c>
      <c r="AC19" s="2">
        <f>IF(AND(VLOOKUP(AC$1,test!$A$3:$I$32,8,FALSE) - VLOOKUP($B19,test!$A$3:$I$32,9,FALSE) &gt;= (test!$B$33+VLOOKUP(VLOOKUP($B19,test!$A$2:$I$32,4,FALSE),test!$J$10:$P$14,3,FALSE))),1,0)</f>
        <v>0</v>
      </c>
      <c r="AD19" s="2">
        <f>IF(AND(VLOOKUP(AD$1,test!$A$3:$I$32,8,FALSE) - VLOOKUP($B19,test!$A$3:$I$32,9,FALSE) &gt;= (test!$B$33+VLOOKUP(VLOOKUP($B19,test!$A$2:$I$32,4,FALSE),test!$J$10:$P$14,3,FALSE))),1,0)</f>
        <v>1</v>
      </c>
      <c r="AE19" s="2">
        <f>IF(AND(VLOOKUP(AE$1,test!$A$3:$I$32,8,FALSE) - VLOOKUP($B19,test!$A$3:$I$32,9,FALSE) &gt;= (test!$B$33+VLOOKUP(VLOOKUP($B19,test!$A$2:$I$32,4,FALSE),test!$J$10:$P$14,3,FALSE))),1,0)</f>
        <v>0</v>
      </c>
      <c r="AF19" s="2">
        <f>IF(AND(VLOOKUP(AF$1,test!$A$3:$I$32,8,FALSE) - VLOOKUP($B19,test!$A$3:$I$32,9,FALSE) &gt;= (test!$B$33+VLOOKUP(VLOOKUP($B19,test!$A$2:$I$32,4,FALSE),test!$J$10:$P$14,3,FALSE))),1,0)</f>
        <v>0</v>
      </c>
      <c r="AG19" s="2">
        <f>IF(AND(VLOOKUP(AG$1,test!$A$3:$I$32,8,FALSE) - VLOOKUP($B19,test!$A$3:$I$32,9,FALSE) &gt;= (test!$B$33+VLOOKUP(VLOOKUP($B19,test!$A$2:$I$32,4,FALSE),test!$J$10:$P$14,3,FALSE))),1,0)</f>
        <v>0</v>
      </c>
    </row>
    <row r="20" spans="1:33" x14ac:dyDescent="0.25">
      <c r="A20" t="s">
        <v>48</v>
      </c>
      <c r="B20" t="s">
        <v>29</v>
      </c>
      <c r="C20">
        <v>0</v>
      </c>
      <c r="D20" s="2">
        <f>IF(AND(VLOOKUP(D$1,test!$A$3:$I$32,8,FALSE) - VLOOKUP($B20,test!$A$3:$I$32,9,FALSE) &gt;= (test!$B$33+VLOOKUP(VLOOKUP($B20,test!$A$2:$I$32,4,FALSE),test!$J$10:$P$14,3,FALSE))),1,0)</f>
        <v>0</v>
      </c>
      <c r="E20" s="2">
        <f>IF(AND(VLOOKUP(E$1,test!$A$3:$I$32,8,FALSE) - VLOOKUP($B20,test!$A$3:$I$32,9,FALSE) &gt;= (test!$B$33+VLOOKUP(VLOOKUP($B20,test!$A$2:$I$32,4,FALSE),test!$J$10:$P$14,3,FALSE))),1,0)</f>
        <v>0</v>
      </c>
      <c r="F20" s="2">
        <f>IF(AND(VLOOKUP(F$1,test!$A$3:$I$32,8,FALSE) - VLOOKUP($B20,test!$A$3:$I$32,9,FALSE) &gt;= (test!$B$33+VLOOKUP(VLOOKUP($B20,test!$A$2:$I$32,4,FALSE),test!$J$10:$P$14,3,FALSE))),1,0)</f>
        <v>0</v>
      </c>
      <c r="G20" s="2">
        <f>IF(AND(VLOOKUP(G$1,test!$A$3:$I$32,8,FALSE) - VLOOKUP($B20,test!$A$3:$I$32,9,FALSE) &gt;= (test!$B$33+VLOOKUP(VLOOKUP($B20,test!$A$2:$I$32,4,FALSE),test!$J$10:$P$14,3,FALSE))),1,0)</f>
        <v>0</v>
      </c>
      <c r="H20" s="2">
        <f>IF(AND(VLOOKUP(H$1,test!$A$3:$I$32,8,FALSE) - VLOOKUP($B20,test!$A$3:$I$32,9,FALSE) &gt;= (test!$B$33+VLOOKUP(VLOOKUP($B20,test!$A$2:$I$32,4,FALSE),test!$J$10:$P$14,3,FALSE))),1,0)</f>
        <v>0</v>
      </c>
      <c r="I20" s="2">
        <f>IF(AND(VLOOKUP(I$1,test!$A$3:$I$32,8,FALSE) - VLOOKUP($B20,test!$A$3:$I$32,9,FALSE) &gt;= (test!$B$33+VLOOKUP(VLOOKUP($B20,test!$A$2:$I$32,4,FALSE),test!$J$10:$P$14,3,FALSE))),1,0)</f>
        <v>1</v>
      </c>
      <c r="J20" s="2">
        <f>IF(AND(VLOOKUP(J$1,test!$A$3:$I$32,8,FALSE) - VLOOKUP($B20,test!$A$3:$I$32,9,FALSE) &gt;= (test!$B$33+VLOOKUP(VLOOKUP($B20,test!$A$2:$I$32,4,FALSE),test!$J$10:$P$14,3,FALSE))),1,0)</f>
        <v>1</v>
      </c>
      <c r="K20" s="2">
        <f>IF(AND(VLOOKUP(K$1,test!$A$3:$I$32,8,FALSE) - VLOOKUP($B20,test!$A$3:$I$32,9,FALSE) &gt;= (test!$B$33+VLOOKUP(VLOOKUP($B20,test!$A$2:$I$32,4,FALSE),test!$J$10:$P$14,3,FALSE))),1,0)</f>
        <v>1</v>
      </c>
      <c r="L20" s="2">
        <f>IF(AND(VLOOKUP(L$1,test!$A$3:$I$32,8,FALSE) - VLOOKUP($B20,test!$A$3:$I$32,9,FALSE) &gt;= (test!$B$33+VLOOKUP(VLOOKUP($B20,test!$A$2:$I$32,4,FALSE),test!$J$10:$P$14,3,FALSE))),1,0)</f>
        <v>0</v>
      </c>
      <c r="M20" s="2">
        <f>IF(AND(VLOOKUP(M$1,test!$A$3:$I$32,8,FALSE) - VLOOKUP($B20,test!$A$3:$I$32,9,FALSE) &gt;= (test!$B$33+VLOOKUP(VLOOKUP($B20,test!$A$2:$I$32,4,FALSE),test!$J$10:$P$14,3,FALSE))),1,0)</f>
        <v>0</v>
      </c>
      <c r="N20" s="2">
        <f>IF(AND(VLOOKUP(N$1,test!$A$3:$I$32,8,FALSE) - VLOOKUP($B20,test!$A$3:$I$32,9,FALSE) &gt;= (test!$B$33+VLOOKUP(VLOOKUP($B20,test!$A$2:$I$32,4,FALSE),test!$J$10:$P$14,3,FALSE))),1,0)</f>
        <v>0</v>
      </c>
      <c r="O20" s="2">
        <f>IF(AND(VLOOKUP(O$1,test!$A$3:$I$32,8,FALSE) - VLOOKUP($B20,test!$A$3:$I$32,9,FALSE) &gt;= (test!$B$33+VLOOKUP(VLOOKUP($B20,test!$A$2:$I$32,4,FALSE),test!$J$10:$P$14,3,FALSE))),1,0)</f>
        <v>1</v>
      </c>
      <c r="P20" s="2">
        <f>IF(AND(VLOOKUP(P$1,test!$A$3:$I$32,8,FALSE) - VLOOKUP($B20,test!$A$3:$I$32,9,FALSE) &gt;= (test!$B$33+VLOOKUP(VLOOKUP($B20,test!$A$2:$I$32,4,FALSE),test!$J$10:$P$14,3,FALSE))),1,0)</f>
        <v>1</v>
      </c>
      <c r="Q20" s="2">
        <f>IF(AND(VLOOKUP(Q$1,test!$A$3:$I$32,8,FALSE) - VLOOKUP($B20,test!$A$3:$I$32,9,FALSE) &gt;= (test!$B$33+VLOOKUP(VLOOKUP($B20,test!$A$2:$I$32,4,FALSE),test!$J$10:$P$14,3,FALSE))),1,0)</f>
        <v>0</v>
      </c>
      <c r="R20" s="2">
        <f>IF(AND(VLOOKUP(R$1,test!$A$3:$I$32,8,FALSE) - VLOOKUP($B20,test!$A$3:$I$32,9,FALSE) &gt;= (test!$B$33+VLOOKUP(VLOOKUP($B20,test!$A$2:$I$32,4,FALSE),test!$J$10:$P$14,3,FALSE))),1,0)</f>
        <v>0</v>
      </c>
      <c r="S20" s="2">
        <f>IF(AND(VLOOKUP(S$1,test!$A$3:$I$32,8,FALSE) - VLOOKUP($B20,test!$A$3:$I$32,9,FALSE) &gt;= (test!$B$33+VLOOKUP(VLOOKUP($B20,test!$A$2:$I$32,4,FALSE),test!$J$10:$P$14,3,FALSE))),1,0)</f>
        <v>0</v>
      </c>
      <c r="T20" s="2">
        <f>IF(AND(VLOOKUP(T$1,test!$A$3:$I$32,8,FALSE) - VLOOKUP($B20,test!$A$3:$I$32,9,FALSE) &gt;= (test!$B$33+VLOOKUP(VLOOKUP($B20,test!$A$2:$I$32,4,FALSE),test!$J$10:$P$14,3,FALSE))),1,0)</f>
        <v>0</v>
      </c>
      <c r="U20" s="2">
        <f>IF(AND(VLOOKUP(U$1,test!$A$3:$I$32,8,FALSE) - VLOOKUP($B20,test!$A$3:$I$32,9,FALSE) &gt;= (test!$B$33+VLOOKUP(VLOOKUP($B20,test!$A$2:$I$32,4,FALSE),test!$J$10:$P$14,3,FALSE))),1,0)</f>
        <v>0</v>
      </c>
      <c r="V20" s="2">
        <f>IF(AND(VLOOKUP(V$1,test!$A$3:$I$32,8,FALSE) - VLOOKUP($B20,test!$A$3:$I$32,9,FALSE) &gt;= (test!$B$33+VLOOKUP(VLOOKUP($B20,test!$A$2:$I$32,4,FALSE),test!$J$10:$P$14,3,FALSE))),1,0)</f>
        <v>0</v>
      </c>
      <c r="W20" s="2">
        <f>IF(AND(VLOOKUP(W$1,test!$A$3:$I$32,8,FALSE) - VLOOKUP($B20,test!$A$3:$I$32,9,FALSE) &gt;= (test!$B$33+VLOOKUP(VLOOKUP($B20,test!$A$2:$I$32,4,FALSE),test!$J$10:$P$14,3,FALSE))),1,0)</f>
        <v>0</v>
      </c>
      <c r="X20" s="2">
        <f>IF(AND(VLOOKUP(X$1,test!$A$3:$I$32,8,FALSE) - VLOOKUP($B20,test!$A$3:$I$32,9,FALSE) &gt;= (test!$B$33+VLOOKUP(VLOOKUP($B20,test!$A$2:$I$32,4,FALSE),test!$J$10:$P$14,3,FALSE))),1,0)</f>
        <v>1</v>
      </c>
      <c r="Y20" s="2">
        <f>IF(AND(VLOOKUP(Y$1,test!$A$3:$I$32,8,FALSE) - VLOOKUP($B20,test!$A$3:$I$32,9,FALSE) &gt;= (test!$B$33+VLOOKUP(VLOOKUP($B20,test!$A$2:$I$32,4,FALSE),test!$J$10:$P$14,3,FALSE))),1,0)</f>
        <v>1</v>
      </c>
      <c r="Z20" s="2">
        <f>IF(AND(VLOOKUP(Z$1,test!$A$3:$I$32,8,FALSE) - VLOOKUP($B20,test!$A$3:$I$32,9,FALSE) &gt;= (test!$B$33+VLOOKUP(VLOOKUP($B20,test!$A$2:$I$32,4,FALSE),test!$J$10:$P$14,3,FALSE))),1,0)</f>
        <v>0</v>
      </c>
      <c r="AA20" s="2">
        <f>IF(AND(VLOOKUP(AA$1,test!$A$3:$I$32,8,FALSE) - VLOOKUP($B20,test!$A$3:$I$32,9,FALSE) &gt;= (test!$B$33+VLOOKUP(VLOOKUP($B20,test!$A$2:$I$32,4,FALSE),test!$J$10:$P$14,3,FALSE))),1,0)</f>
        <v>0</v>
      </c>
      <c r="AB20" s="2">
        <f>IF(AND(VLOOKUP(AB$1,test!$A$3:$I$32,8,FALSE) - VLOOKUP($B20,test!$A$3:$I$32,9,FALSE) &gt;= (test!$B$33+VLOOKUP(VLOOKUP($B20,test!$A$2:$I$32,4,FALSE),test!$J$10:$P$14,3,FALSE))),1,0)</f>
        <v>0</v>
      </c>
      <c r="AC20" s="2">
        <f>IF(AND(VLOOKUP(AC$1,test!$A$3:$I$32,8,FALSE) - VLOOKUP($B20,test!$A$3:$I$32,9,FALSE) &gt;= (test!$B$33+VLOOKUP(VLOOKUP($B20,test!$A$2:$I$32,4,FALSE),test!$J$10:$P$14,3,FALSE))),1,0)</f>
        <v>0</v>
      </c>
      <c r="AD20" s="2">
        <f>IF(AND(VLOOKUP(AD$1,test!$A$3:$I$32,8,FALSE) - VLOOKUP($B20,test!$A$3:$I$32,9,FALSE) &gt;= (test!$B$33+VLOOKUP(VLOOKUP($B20,test!$A$2:$I$32,4,FALSE),test!$J$10:$P$14,3,FALSE))),1,0)</f>
        <v>1</v>
      </c>
      <c r="AE20" s="2">
        <f>IF(AND(VLOOKUP(AE$1,test!$A$3:$I$32,8,FALSE) - VLOOKUP($B20,test!$A$3:$I$32,9,FALSE) &gt;= (test!$B$33+VLOOKUP(VLOOKUP($B20,test!$A$2:$I$32,4,FALSE),test!$J$10:$P$14,3,FALSE))),1,0)</f>
        <v>0</v>
      </c>
      <c r="AF20" s="2">
        <f>IF(AND(VLOOKUP(AF$1,test!$A$3:$I$32,8,FALSE) - VLOOKUP($B20,test!$A$3:$I$32,9,FALSE) &gt;= (test!$B$33+VLOOKUP(VLOOKUP($B20,test!$A$2:$I$32,4,FALSE),test!$J$10:$P$14,3,FALSE))),1,0)</f>
        <v>0</v>
      </c>
      <c r="AG20" s="2">
        <f>IF(AND(VLOOKUP(AG$1,test!$A$3:$I$32,8,FALSE) - VLOOKUP($B20,test!$A$3:$I$32,9,FALSE) &gt;= (test!$B$33+VLOOKUP(VLOOKUP($B20,test!$A$2:$I$32,4,FALSE),test!$J$10:$P$14,3,FALSE))),1,0)</f>
        <v>0</v>
      </c>
    </row>
    <row r="21" spans="1:33" x14ac:dyDescent="0.25">
      <c r="A21" t="s">
        <v>48</v>
      </c>
      <c r="B21" t="s">
        <v>30</v>
      </c>
      <c r="C21">
        <v>0</v>
      </c>
      <c r="D21" s="2">
        <f>IF(AND(VLOOKUP(D$1,test!$A$3:$I$32,8,FALSE) - VLOOKUP($B21,test!$A$3:$I$32,9,FALSE) &gt;= (test!$B$33+VLOOKUP(VLOOKUP($B21,test!$A$2:$I$32,4,FALSE),test!$J$10:$P$14,3,FALSE))),1,0)</f>
        <v>0</v>
      </c>
      <c r="E21" s="2">
        <f>IF(AND(VLOOKUP(E$1,test!$A$3:$I$32,8,FALSE) - VLOOKUP($B21,test!$A$3:$I$32,9,FALSE) &gt;= (test!$B$33+VLOOKUP(VLOOKUP($B21,test!$A$2:$I$32,4,FALSE),test!$J$10:$P$14,3,FALSE))),1,0)</f>
        <v>0</v>
      </c>
      <c r="F21" s="2">
        <f>IF(AND(VLOOKUP(F$1,test!$A$3:$I$32,8,FALSE) - VLOOKUP($B21,test!$A$3:$I$32,9,FALSE) &gt;= (test!$B$33+VLOOKUP(VLOOKUP($B21,test!$A$2:$I$32,4,FALSE),test!$J$10:$P$14,3,FALSE))),1,0)</f>
        <v>0</v>
      </c>
      <c r="G21" s="2">
        <f>IF(AND(VLOOKUP(G$1,test!$A$3:$I$32,8,FALSE) - VLOOKUP($B21,test!$A$3:$I$32,9,FALSE) &gt;= (test!$B$33+VLOOKUP(VLOOKUP($B21,test!$A$2:$I$32,4,FALSE),test!$J$10:$P$14,3,FALSE))),1,0)</f>
        <v>0</v>
      </c>
      <c r="H21" s="2">
        <f>IF(AND(VLOOKUP(H$1,test!$A$3:$I$32,8,FALSE) - VLOOKUP($B21,test!$A$3:$I$32,9,FALSE) &gt;= (test!$B$33+VLOOKUP(VLOOKUP($B21,test!$A$2:$I$32,4,FALSE),test!$J$10:$P$14,3,FALSE))),1,0)</f>
        <v>0</v>
      </c>
      <c r="I21" s="2">
        <f>IF(AND(VLOOKUP(I$1,test!$A$3:$I$32,8,FALSE) - VLOOKUP($B21,test!$A$3:$I$32,9,FALSE) &gt;= (test!$B$33+VLOOKUP(VLOOKUP($B21,test!$A$2:$I$32,4,FALSE),test!$J$10:$P$14,3,FALSE))),1,0)</f>
        <v>0</v>
      </c>
      <c r="J21" s="2">
        <f>IF(AND(VLOOKUP(J$1,test!$A$3:$I$32,8,FALSE) - VLOOKUP($B21,test!$A$3:$I$32,9,FALSE) &gt;= (test!$B$33+VLOOKUP(VLOOKUP($B21,test!$A$2:$I$32,4,FALSE),test!$J$10:$P$14,3,FALSE))),1,0)</f>
        <v>0</v>
      </c>
      <c r="K21" s="2">
        <f>IF(AND(VLOOKUP(K$1,test!$A$3:$I$32,8,FALSE) - VLOOKUP($B21,test!$A$3:$I$32,9,FALSE) &gt;= (test!$B$33+VLOOKUP(VLOOKUP($B21,test!$A$2:$I$32,4,FALSE),test!$J$10:$P$14,3,FALSE))),1,0)</f>
        <v>1</v>
      </c>
      <c r="L21" s="2">
        <f>IF(AND(VLOOKUP(L$1,test!$A$3:$I$32,8,FALSE) - VLOOKUP($B21,test!$A$3:$I$32,9,FALSE) &gt;= (test!$B$33+VLOOKUP(VLOOKUP($B21,test!$A$2:$I$32,4,FALSE),test!$J$10:$P$14,3,FALSE))),1,0)</f>
        <v>0</v>
      </c>
      <c r="M21" s="2">
        <f>IF(AND(VLOOKUP(M$1,test!$A$3:$I$32,8,FALSE) - VLOOKUP($B21,test!$A$3:$I$32,9,FALSE) &gt;= (test!$B$33+VLOOKUP(VLOOKUP($B21,test!$A$2:$I$32,4,FALSE),test!$J$10:$P$14,3,FALSE))),1,0)</f>
        <v>0</v>
      </c>
      <c r="N21" s="2">
        <f>IF(AND(VLOOKUP(N$1,test!$A$3:$I$32,8,FALSE) - VLOOKUP($B21,test!$A$3:$I$32,9,FALSE) &gt;= (test!$B$33+VLOOKUP(VLOOKUP($B21,test!$A$2:$I$32,4,FALSE),test!$J$10:$P$14,3,FALSE))),1,0)</f>
        <v>0</v>
      </c>
      <c r="O21" s="2">
        <f>IF(AND(VLOOKUP(O$1,test!$A$3:$I$32,8,FALSE) - VLOOKUP($B21,test!$A$3:$I$32,9,FALSE) &gt;= (test!$B$33+VLOOKUP(VLOOKUP($B21,test!$A$2:$I$32,4,FALSE),test!$J$10:$P$14,3,FALSE))),1,0)</f>
        <v>1</v>
      </c>
      <c r="P21" s="2">
        <f>IF(AND(VLOOKUP(P$1,test!$A$3:$I$32,8,FALSE) - VLOOKUP($B21,test!$A$3:$I$32,9,FALSE) &gt;= (test!$B$33+VLOOKUP(VLOOKUP($B21,test!$A$2:$I$32,4,FALSE),test!$J$10:$P$14,3,FALSE))),1,0)</f>
        <v>1</v>
      </c>
      <c r="Q21" s="2">
        <f>IF(AND(VLOOKUP(Q$1,test!$A$3:$I$32,8,FALSE) - VLOOKUP($B21,test!$A$3:$I$32,9,FALSE) &gt;= (test!$B$33+VLOOKUP(VLOOKUP($B21,test!$A$2:$I$32,4,FALSE),test!$J$10:$P$14,3,FALSE))),1,0)</f>
        <v>0</v>
      </c>
      <c r="R21" s="2">
        <f>IF(AND(VLOOKUP(R$1,test!$A$3:$I$32,8,FALSE) - VLOOKUP($B21,test!$A$3:$I$32,9,FALSE) &gt;= (test!$B$33+VLOOKUP(VLOOKUP($B21,test!$A$2:$I$32,4,FALSE),test!$J$10:$P$14,3,FALSE))),1,0)</f>
        <v>0</v>
      </c>
      <c r="S21" s="2">
        <f>IF(AND(VLOOKUP(S$1,test!$A$3:$I$32,8,FALSE) - VLOOKUP($B21,test!$A$3:$I$32,9,FALSE) &gt;= (test!$B$33+VLOOKUP(VLOOKUP($B21,test!$A$2:$I$32,4,FALSE),test!$J$10:$P$14,3,FALSE))),1,0)</f>
        <v>0</v>
      </c>
      <c r="T21" s="2">
        <f>IF(AND(VLOOKUP(T$1,test!$A$3:$I$32,8,FALSE) - VLOOKUP($B21,test!$A$3:$I$32,9,FALSE) &gt;= (test!$B$33+VLOOKUP(VLOOKUP($B21,test!$A$2:$I$32,4,FALSE),test!$J$10:$P$14,3,FALSE))),1,0)</f>
        <v>0</v>
      </c>
      <c r="U21" s="2">
        <f>IF(AND(VLOOKUP(U$1,test!$A$3:$I$32,8,FALSE) - VLOOKUP($B21,test!$A$3:$I$32,9,FALSE) &gt;= (test!$B$33+VLOOKUP(VLOOKUP($B21,test!$A$2:$I$32,4,FALSE),test!$J$10:$P$14,3,FALSE))),1,0)</f>
        <v>0</v>
      </c>
      <c r="V21" s="2">
        <f>IF(AND(VLOOKUP(V$1,test!$A$3:$I$32,8,FALSE) - VLOOKUP($B21,test!$A$3:$I$32,9,FALSE) &gt;= (test!$B$33+VLOOKUP(VLOOKUP($B21,test!$A$2:$I$32,4,FALSE),test!$J$10:$P$14,3,FALSE))),1,0)</f>
        <v>0</v>
      </c>
      <c r="W21" s="2">
        <f>IF(AND(VLOOKUP(W$1,test!$A$3:$I$32,8,FALSE) - VLOOKUP($B21,test!$A$3:$I$32,9,FALSE) &gt;= (test!$B$33+VLOOKUP(VLOOKUP($B21,test!$A$2:$I$32,4,FALSE),test!$J$10:$P$14,3,FALSE))),1,0)</f>
        <v>0</v>
      </c>
      <c r="X21" s="2">
        <f>IF(AND(VLOOKUP(X$1,test!$A$3:$I$32,8,FALSE) - VLOOKUP($B21,test!$A$3:$I$32,9,FALSE) &gt;= (test!$B$33+VLOOKUP(VLOOKUP($B21,test!$A$2:$I$32,4,FALSE),test!$J$10:$P$14,3,FALSE))),1,0)</f>
        <v>0</v>
      </c>
      <c r="Y21" s="2">
        <f>IF(AND(VLOOKUP(Y$1,test!$A$3:$I$32,8,FALSE) - VLOOKUP($B21,test!$A$3:$I$32,9,FALSE) &gt;= (test!$B$33+VLOOKUP(VLOOKUP($B21,test!$A$2:$I$32,4,FALSE),test!$J$10:$P$14,3,FALSE))),1,0)</f>
        <v>1</v>
      </c>
      <c r="Z21" s="2">
        <f>IF(AND(VLOOKUP(Z$1,test!$A$3:$I$32,8,FALSE) - VLOOKUP($B21,test!$A$3:$I$32,9,FALSE) &gt;= (test!$B$33+VLOOKUP(VLOOKUP($B21,test!$A$2:$I$32,4,FALSE),test!$J$10:$P$14,3,FALSE))),1,0)</f>
        <v>0</v>
      </c>
      <c r="AA21" s="2">
        <f>IF(AND(VLOOKUP(AA$1,test!$A$3:$I$32,8,FALSE) - VLOOKUP($B21,test!$A$3:$I$32,9,FALSE) &gt;= (test!$B$33+VLOOKUP(VLOOKUP($B21,test!$A$2:$I$32,4,FALSE),test!$J$10:$P$14,3,FALSE))),1,0)</f>
        <v>0</v>
      </c>
      <c r="AB21" s="2">
        <f>IF(AND(VLOOKUP(AB$1,test!$A$3:$I$32,8,FALSE) - VLOOKUP($B21,test!$A$3:$I$32,9,FALSE) &gt;= (test!$B$33+VLOOKUP(VLOOKUP($B21,test!$A$2:$I$32,4,FALSE),test!$J$10:$P$14,3,FALSE))),1,0)</f>
        <v>0</v>
      </c>
      <c r="AC21" s="2">
        <f>IF(AND(VLOOKUP(AC$1,test!$A$3:$I$32,8,FALSE) - VLOOKUP($B21,test!$A$3:$I$32,9,FALSE) &gt;= (test!$B$33+VLOOKUP(VLOOKUP($B21,test!$A$2:$I$32,4,FALSE),test!$J$10:$P$14,3,FALSE))),1,0)</f>
        <v>0</v>
      </c>
      <c r="AD21" s="2">
        <f>IF(AND(VLOOKUP(AD$1,test!$A$3:$I$32,8,FALSE) - VLOOKUP($B21,test!$A$3:$I$32,9,FALSE) &gt;= (test!$B$33+VLOOKUP(VLOOKUP($B21,test!$A$2:$I$32,4,FALSE),test!$J$10:$P$14,3,FALSE))),1,0)</f>
        <v>0</v>
      </c>
      <c r="AE21" s="2">
        <f>IF(AND(VLOOKUP(AE$1,test!$A$3:$I$32,8,FALSE) - VLOOKUP($B21,test!$A$3:$I$32,9,FALSE) &gt;= (test!$B$33+VLOOKUP(VLOOKUP($B21,test!$A$2:$I$32,4,FALSE),test!$J$10:$P$14,3,FALSE))),1,0)</f>
        <v>0</v>
      </c>
      <c r="AF21" s="2">
        <f>IF(AND(VLOOKUP(AF$1,test!$A$3:$I$32,8,FALSE) - VLOOKUP($B21,test!$A$3:$I$32,9,FALSE) &gt;= (test!$B$33+VLOOKUP(VLOOKUP($B21,test!$A$2:$I$32,4,FALSE),test!$J$10:$P$14,3,FALSE))),1,0)</f>
        <v>0</v>
      </c>
      <c r="AG21" s="2">
        <f>IF(AND(VLOOKUP(AG$1,test!$A$3:$I$32,8,FALSE) - VLOOKUP($B21,test!$A$3:$I$32,9,FALSE) &gt;= (test!$B$33+VLOOKUP(VLOOKUP($B21,test!$A$2:$I$32,4,FALSE),test!$J$10:$P$14,3,FALSE))),1,0)</f>
        <v>0</v>
      </c>
    </row>
    <row r="22" spans="1:33" x14ac:dyDescent="0.25">
      <c r="A22" t="s">
        <v>48</v>
      </c>
      <c r="B22" t="s">
        <v>31</v>
      </c>
      <c r="C22">
        <v>0</v>
      </c>
      <c r="D22" s="2">
        <f>IF(AND(VLOOKUP(D$1,test!$A$3:$I$32,8,FALSE) - VLOOKUP($B22,test!$A$3:$I$32,9,FALSE) &gt;= (test!$B$33+VLOOKUP(VLOOKUP($B22,test!$A$2:$I$32,4,FALSE),test!$J$10:$P$14,3,FALSE))),1,0)</f>
        <v>0</v>
      </c>
      <c r="E22" s="2">
        <f>IF(AND(VLOOKUP(E$1,test!$A$3:$I$32,8,FALSE) - VLOOKUP($B22,test!$A$3:$I$32,9,FALSE) &gt;= (test!$B$33+VLOOKUP(VLOOKUP($B22,test!$A$2:$I$32,4,FALSE),test!$J$10:$P$14,3,FALSE))),1,0)</f>
        <v>0</v>
      </c>
      <c r="F22" s="2">
        <f>IF(AND(VLOOKUP(F$1,test!$A$3:$I$32,8,FALSE) - VLOOKUP($B22,test!$A$3:$I$32,9,FALSE) &gt;= (test!$B$33+VLOOKUP(VLOOKUP($B22,test!$A$2:$I$32,4,FALSE),test!$J$10:$P$14,3,FALSE))),1,0)</f>
        <v>0</v>
      </c>
      <c r="G22" s="2">
        <f>IF(AND(VLOOKUP(G$1,test!$A$3:$I$32,8,FALSE) - VLOOKUP($B22,test!$A$3:$I$32,9,FALSE) &gt;= (test!$B$33+VLOOKUP(VLOOKUP($B22,test!$A$2:$I$32,4,FALSE),test!$J$10:$P$14,3,FALSE))),1,0)</f>
        <v>0</v>
      </c>
      <c r="H22" s="2">
        <f>IF(AND(VLOOKUP(H$1,test!$A$3:$I$32,8,FALSE) - VLOOKUP($B22,test!$A$3:$I$32,9,FALSE) &gt;= (test!$B$33+VLOOKUP(VLOOKUP($B22,test!$A$2:$I$32,4,FALSE),test!$J$10:$P$14,3,FALSE))),1,0)</f>
        <v>0</v>
      </c>
      <c r="I22" s="2">
        <f>IF(AND(VLOOKUP(I$1,test!$A$3:$I$32,8,FALSE) - VLOOKUP($B22,test!$A$3:$I$32,9,FALSE) &gt;= (test!$B$33+VLOOKUP(VLOOKUP($B22,test!$A$2:$I$32,4,FALSE),test!$J$10:$P$14,3,FALSE))),1,0)</f>
        <v>0</v>
      </c>
      <c r="J22" s="2">
        <f>IF(AND(VLOOKUP(J$1,test!$A$3:$I$32,8,FALSE) - VLOOKUP($B22,test!$A$3:$I$32,9,FALSE) &gt;= (test!$B$33+VLOOKUP(VLOOKUP($B22,test!$A$2:$I$32,4,FALSE),test!$J$10:$P$14,3,FALSE))),1,0)</f>
        <v>0</v>
      </c>
      <c r="K22" s="2">
        <f>IF(AND(VLOOKUP(K$1,test!$A$3:$I$32,8,FALSE) - VLOOKUP($B22,test!$A$3:$I$32,9,FALSE) &gt;= (test!$B$33+VLOOKUP(VLOOKUP($B22,test!$A$2:$I$32,4,FALSE),test!$J$10:$P$14,3,FALSE))),1,0)</f>
        <v>0</v>
      </c>
      <c r="L22" s="2">
        <f>IF(AND(VLOOKUP(L$1,test!$A$3:$I$32,8,FALSE) - VLOOKUP($B22,test!$A$3:$I$32,9,FALSE) &gt;= (test!$B$33+VLOOKUP(VLOOKUP($B22,test!$A$2:$I$32,4,FALSE),test!$J$10:$P$14,3,FALSE))),1,0)</f>
        <v>0</v>
      </c>
      <c r="M22" s="2">
        <f>IF(AND(VLOOKUP(M$1,test!$A$3:$I$32,8,FALSE) - VLOOKUP($B22,test!$A$3:$I$32,9,FALSE) &gt;= (test!$B$33+VLOOKUP(VLOOKUP($B22,test!$A$2:$I$32,4,FALSE),test!$J$10:$P$14,3,FALSE))),1,0)</f>
        <v>0</v>
      </c>
      <c r="N22" s="2">
        <f>IF(AND(VLOOKUP(N$1,test!$A$3:$I$32,8,FALSE) - VLOOKUP($B22,test!$A$3:$I$32,9,FALSE) &gt;= (test!$B$33+VLOOKUP(VLOOKUP($B22,test!$A$2:$I$32,4,FALSE),test!$J$10:$P$14,3,FALSE))),1,0)</f>
        <v>0</v>
      </c>
      <c r="O22" s="2">
        <f>IF(AND(VLOOKUP(O$1,test!$A$3:$I$32,8,FALSE) - VLOOKUP($B22,test!$A$3:$I$32,9,FALSE) &gt;= (test!$B$33+VLOOKUP(VLOOKUP($B22,test!$A$2:$I$32,4,FALSE),test!$J$10:$P$14,3,FALSE))),1,0)</f>
        <v>0</v>
      </c>
      <c r="P22" s="2">
        <f>IF(AND(VLOOKUP(P$1,test!$A$3:$I$32,8,FALSE) - VLOOKUP($B22,test!$A$3:$I$32,9,FALSE) &gt;= (test!$B$33+VLOOKUP(VLOOKUP($B22,test!$A$2:$I$32,4,FALSE),test!$J$10:$P$14,3,FALSE))),1,0)</f>
        <v>1</v>
      </c>
      <c r="Q22" s="2">
        <f>IF(AND(VLOOKUP(Q$1,test!$A$3:$I$32,8,FALSE) - VLOOKUP($B22,test!$A$3:$I$32,9,FALSE) &gt;= (test!$B$33+VLOOKUP(VLOOKUP($B22,test!$A$2:$I$32,4,FALSE),test!$J$10:$P$14,3,FALSE))),1,0)</f>
        <v>0</v>
      </c>
      <c r="R22" s="2">
        <f>IF(AND(VLOOKUP(R$1,test!$A$3:$I$32,8,FALSE) - VLOOKUP($B22,test!$A$3:$I$32,9,FALSE) &gt;= (test!$B$33+VLOOKUP(VLOOKUP($B22,test!$A$2:$I$32,4,FALSE),test!$J$10:$P$14,3,FALSE))),1,0)</f>
        <v>0</v>
      </c>
      <c r="S22" s="2">
        <f>IF(AND(VLOOKUP(S$1,test!$A$3:$I$32,8,FALSE) - VLOOKUP($B22,test!$A$3:$I$32,9,FALSE) &gt;= (test!$B$33+VLOOKUP(VLOOKUP($B22,test!$A$2:$I$32,4,FALSE),test!$J$10:$P$14,3,FALSE))),1,0)</f>
        <v>0</v>
      </c>
      <c r="T22" s="2">
        <f>IF(AND(VLOOKUP(T$1,test!$A$3:$I$32,8,FALSE) - VLOOKUP($B22,test!$A$3:$I$32,9,FALSE) &gt;= (test!$B$33+VLOOKUP(VLOOKUP($B22,test!$A$2:$I$32,4,FALSE),test!$J$10:$P$14,3,FALSE))),1,0)</f>
        <v>0</v>
      </c>
      <c r="U22" s="2">
        <f>IF(AND(VLOOKUP(U$1,test!$A$3:$I$32,8,FALSE) - VLOOKUP($B22,test!$A$3:$I$32,9,FALSE) &gt;= (test!$B$33+VLOOKUP(VLOOKUP($B22,test!$A$2:$I$32,4,FALSE),test!$J$10:$P$14,3,FALSE))),1,0)</f>
        <v>0</v>
      </c>
      <c r="V22" s="2">
        <f>IF(AND(VLOOKUP(V$1,test!$A$3:$I$32,8,FALSE) - VLOOKUP($B22,test!$A$3:$I$32,9,FALSE) &gt;= (test!$B$33+VLOOKUP(VLOOKUP($B22,test!$A$2:$I$32,4,FALSE),test!$J$10:$P$14,3,FALSE))),1,0)</f>
        <v>0</v>
      </c>
      <c r="W22" s="2">
        <f>IF(AND(VLOOKUP(W$1,test!$A$3:$I$32,8,FALSE) - VLOOKUP($B22,test!$A$3:$I$32,9,FALSE) &gt;= (test!$B$33+VLOOKUP(VLOOKUP($B22,test!$A$2:$I$32,4,FALSE),test!$J$10:$P$14,3,FALSE))),1,0)</f>
        <v>0</v>
      </c>
      <c r="X22" s="2">
        <f>IF(AND(VLOOKUP(X$1,test!$A$3:$I$32,8,FALSE) - VLOOKUP($B22,test!$A$3:$I$32,9,FALSE) &gt;= (test!$B$33+VLOOKUP(VLOOKUP($B22,test!$A$2:$I$32,4,FALSE),test!$J$10:$P$14,3,FALSE))),1,0)</f>
        <v>0</v>
      </c>
      <c r="Y22" s="2">
        <f>IF(AND(VLOOKUP(Y$1,test!$A$3:$I$32,8,FALSE) - VLOOKUP($B22,test!$A$3:$I$32,9,FALSE) &gt;= (test!$B$33+VLOOKUP(VLOOKUP($B22,test!$A$2:$I$32,4,FALSE),test!$J$10:$P$14,3,FALSE))),1,0)</f>
        <v>0</v>
      </c>
      <c r="Z22" s="2">
        <f>IF(AND(VLOOKUP(Z$1,test!$A$3:$I$32,8,FALSE) - VLOOKUP($B22,test!$A$3:$I$32,9,FALSE) &gt;= (test!$B$33+VLOOKUP(VLOOKUP($B22,test!$A$2:$I$32,4,FALSE),test!$J$10:$P$14,3,FALSE))),1,0)</f>
        <v>0</v>
      </c>
      <c r="AA22" s="2">
        <f>IF(AND(VLOOKUP(AA$1,test!$A$3:$I$32,8,FALSE) - VLOOKUP($B22,test!$A$3:$I$32,9,FALSE) &gt;= (test!$B$33+VLOOKUP(VLOOKUP($B22,test!$A$2:$I$32,4,FALSE),test!$J$10:$P$14,3,FALSE))),1,0)</f>
        <v>0</v>
      </c>
      <c r="AB22" s="2">
        <f>IF(AND(VLOOKUP(AB$1,test!$A$3:$I$32,8,FALSE) - VLOOKUP($B22,test!$A$3:$I$32,9,FALSE) &gt;= (test!$B$33+VLOOKUP(VLOOKUP($B22,test!$A$2:$I$32,4,FALSE),test!$J$10:$P$14,3,FALSE))),1,0)</f>
        <v>0</v>
      </c>
      <c r="AC22" s="2">
        <f>IF(AND(VLOOKUP(AC$1,test!$A$3:$I$32,8,FALSE) - VLOOKUP($B22,test!$A$3:$I$32,9,FALSE) &gt;= (test!$B$33+VLOOKUP(VLOOKUP($B22,test!$A$2:$I$32,4,FALSE),test!$J$10:$P$14,3,FALSE))),1,0)</f>
        <v>0</v>
      </c>
      <c r="AD22" s="2">
        <f>IF(AND(VLOOKUP(AD$1,test!$A$3:$I$32,8,FALSE) - VLOOKUP($B22,test!$A$3:$I$32,9,FALSE) &gt;= (test!$B$33+VLOOKUP(VLOOKUP($B22,test!$A$2:$I$32,4,FALSE),test!$J$10:$P$14,3,FALSE))),1,0)</f>
        <v>0</v>
      </c>
      <c r="AE22" s="2">
        <f>IF(AND(VLOOKUP(AE$1,test!$A$3:$I$32,8,FALSE) - VLOOKUP($B22,test!$A$3:$I$32,9,FALSE) &gt;= (test!$B$33+VLOOKUP(VLOOKUP($B22,test!$A$2:$I$32,4,FALSE),test!$J$10:$P$14,3,FALSE))),1,0)</f>
        <v>0</v>
      </c>
      <c r="AF22" s="2">
        <f>IF(AND(VLOOKUP(AF$1,test!$A$3:$I$32,8,FALSE) - VLOOKUP($B22,test!$A$3:$I$32,9,FALSE) &gt;= (test!$B$33+VLOOKUP(VLOOKUP($B22,test!$A$2:$I$32,4,FALSE),test!$J$10:$P$14,3,FALSE))),1,0)</f>
        <v>0</v>
      </c>
      <c r="AG22" s="2">
        <f>IF(AND(VLOOKUP(AG$1,test!$A$3:$I$32,8,FALSE) - VLOOKUP($B22,test!$A$3:$I$32,9,FALSE) &gt;= (test!$B$33+VLOOKUP(VLOOKUP($B22,test!$A$2:$I$32,4,FALSE),test!$J$10:$P$14,3,FALSE))),1,0)</f>
        <v>0</v>
      </c>
    </row>
    <row r="23" spans="1:33" x14ac:dyDescent="0.25">
      <c r="A23" t="s">
        <v>48</v>
      </c>
      <c r="B23" t="s">
        <v>32</v>
      </c>
      <c r="C23">
        <v>0</v>
      </c>
      <c r="D23" s="2">
        <f>IF(AND(VLOOKUP(D$1,test!$A$3:$I$32,8,FALSE) - VLOOKUP($B23,test!$A$3:$I$32,9,FALSE) &gt;= (test!$B$33+VLOOKUP(VLOOKUP($B23,test!$A$2:$I$32,4,FALSE),test!$J$10:$P$14,3,FALSE))),1,0)</f>
        <v>0</v>
      </c>
      <c r="E23" s="2">
        <f>IF(AND(VLOOKUP(E$1,test!$A$3:$I$32,8,FALSE) - VLOOKUP($B23,test!$A$3:$I$32,9,FALSE) &gt;= (test!$B$33+VLOOKUP(VLOOKUP($B23,test!$A$2:$I$32,4,FALSE),test!$J$10:$P$14,3,FALSE))),1,0)</f>
        <v>0</v>
      </c>
      <c r="F23" s="2">
        <f>IF(AND(VLOOKUP(F$1,test!$A$3:$I$32,8,FALSE) - VLOOKUP($B23,test!$A$3:$I$32,9,FALSE) &gt;= (test!$B$33+VLOOKUP(VLOOKUP($B23,test!$A$2:$I$32,4,FALSE),test!$J$10:$P$14,3,FALSE))),1,0)</f>
        <v>0</v>
      </c>
      <c r="G23" s="2">
        <f>IF(AND(VLOOKUP(G$1,test!$A$3:$I$32,8,FALSE) - VLOOKUP($B23,test!$A$3:$I$32,9,FALSE) &gt;= (test!$B$33+VLOOKUP(VLOOKUP($B23,test!$A$2:$I$32,4,FALSE),test!$J$10:$P$14,3,FALSE))),1,0)</f>
        <v>0</v>
      </c>
      <c r="H23" s="2">
        <f>IF(AND(VLOOKUP(H$1,test!$A$3:$I$32,8,FALSE) - VLOOKUP($B23,test!$A$3:$I$32,9,FALSE) &gt;= (test!$B$33+VLOOKUP(VLOOKUP($B23,test!$A$2:$I$32,4,FALSE),test!$J$10:$P$14,3,FALSE))),1,0)</f>
        <v>0</v>
      </c>
      <c r="I23" s="2">
        <f>IF(AND(VLOOKUP(I$1,test!$A$3:$I$32,8,FALSE) - VLOOKUP($B23,test!$A$3:$I$32,9,FALSE) &gt;= (test!$B$33+VLOOKUP(VLOOKUP($B23,test!$A$2:$I$32,4,FALSE),test!$J$10:$P$14,3,FALSE))),1,0)</f>
        <v>0</v>
      </c>
      <c r="J23" s="2">
        <f>IF(AND(VLOOKUP(J$1,test!$A$3:$I$32,8,FALSE) - VLOOKUP($B23,test!$A$3:$I$32,9,FALSE) &gt;= (test!$B$33+VLOOKUP(VLOOKUP($B23,test!$A$2:$I$32,4,FALSE),test!$J$10:$P$14,3,FALSE))),1,0)</f>
        <v>0</v>
      </c>
      <c r="K23" s="2">
        <f>IF(AND(VLOOKUP(K$1,test!$A$3:$I$32,8,FALSE) - VLOOKUP($B23,test!$A$3:$I$32,9,FALSE) &gt;= (test!$B$33+VLOOKUP(VLOOKUP($B23,test!$A$2:$I$32,4,FALSE),test!$J$10:$P$14,3,FALSE))),1,0)</f>
        <v>0</v>
      </c>
      <c r="L23" s="2">
        <f>IF(AND(VLOOKUP(L$1,test!$A$3:$I$32,8,FALSE) - VLOOKUP($B23,test!$A$3:$I$32,9,FALSE) &gt;= (test!$B$33+VLOOKUP(VLOOKUP($B23,test!$A$2:$I$32,4,FALSE),test!$J$10:$P$14,3,FALSE))),1,0)</f>
        <v>0</v>
      </c>
      <c r="M23" s="2">
        <f>IF(AND(VLOOKUP(M$1,test!$A$3:$I$32,8,FALSE) - VLOOKUP($B23,test!$A$3:$I$32,9,FALSE) &gt;= (test!$B$33+VLOOKUP(VLOOKUP($B23,test!$A$2:$I$32,4,FALSE),test!$J$10:$P$14,3,FALSE))),1,0)</f>
        <v>0</v>
      </c>
      <c r="N23" s="2">
        <f>IF(AND(VLOOKUP(N$1,test!$A$3:$I$32,8,FALSE) - VLOOKUP($B23,test!$A$3:$I$32,9,FALSE) &gt;= (test!$B$33+VLOOKUP(VLOOKUP($B23,test!$A$2:$I$32,4,FALSE),test!$J$10:$P$14,3,FALSE))),1,0)</f>
        <v>0</v>
      </c>
      <c r="O23" s="2">
        <f>IF(AND(VLOOKUP(O$1,test!$A$3:$I$32,8,FALSE) - VLOOKUP($B23,test!$A$3:$I$32,9,FALSE) &gt;= (test!$B$33+VLOOKUP(VLOOKUP($B23,test!$A$2:$I$32,4,FALSE),test!$J$10:$P$14,3,FALSE))),1,0)</f>
        <v>0</v>
      </c>
      <c r="P23" s="2">
        <f>IF(AND(VLOOKUP(P$1,test!$A$3:$I$32,8,FALSE) - VLOOKUP($B23,test!$A$3:$I$32,9,FALSE) &gt;= (test!$B$33+VLOOKUP(VLOOKUP($B23,test!$A$2:$I$32,4,FALSE),test!$J$10:$P$14,3,FALSE))),1,0)</f>
        <v>0</v>
      </c>
      <c r="Q23" s="2">
        <f>IF(AND(VLOOKUP(Q$1,test!$A$3:$I$32,8,FALSE) - VLOOKUP($B23,test!$A$3:$I$32,9,FALSE) &gt;= (test!$B$33+VLOOKUP(VLOOKUP($B23,test!$A$2:$I$32,4,FALSE),test!$J$10:$P$14,3,FALSE))),1,0)</f>
        <v>0</v>
      </c>
      <c r="R23" s="2">
        <f>IF(AND(VLOOKUP(R$1,test!$A$3:$I$32,8,FALSE) - VLOOKUP($B23,test!$A$3:$I$32,9,FALSE) &gt;= (test!$B$33+VLOOKUP(VLOOKUP($B23,test!$A$2:$I$32,4,FALSE),test!$J$10:$P$14,3,FALSE))),1,0)</f>
        <v>0</v>
      </c>
      <c r="S23" s="2">
        <f>IF(AND(VLOOKUP(S$1,test!$A$3:$I$32,8,FALSE) - VLOOKUP($B23,test!$A$3:$I$32,9,FALSE) &gt;= (test!$B$33+VLOOKUP(VLOOKUP($B23,test!$A$2:$I$32,4,FALSE),test!$J$10:$P$14,3,FALSE))),1,0)</f>
        <v>0</v>
      </c>
      <c r="T23" s="2">
        <f>IF(AND(VLOOKUP(T$1,test!$A$3:$I$32,8,FALSE) - VLOOKUP($B23,test!$A$3:$I$32,9,FALSE) &gt;= (test!$B$33+VLOOKUP(VLOOKUP($B23,test!$A$2:$I$32,4,FALSE),test!$J$10:$P$14,3,FALSE))),1,0)</f>
        <v>0</v>
      </c>
      <c r="U23" s="2">
        <f>IF(AND(VLOOKUP(U$1,test!$A$3:$I$32,8,FALSE) - VLOOKUP($B23,test!$A$3:$I$32,9,FALSE) &gt;= (test!$B$33+VLOOKUP(VLOOKUP($B23,test!$A$2:$I$32,4,FALSE),test!$J$10:$P$14,3,FALSE))),1,0)</f>
        <v>0</v>
      </c>
      <c r="V23" s="2">
        <f>IF(AND(VLOOKUP(V$1,test!$A$3:$I$32,8,FALSE) - VLOOKUP($B23,test!$A$3:$I$32,9,FALSE) &gt;= (test!$B$33+VLOOKUP(VLOOKUP($B23,test!$A$2:$I$32,4,FALSE),test!$J$10:$P$14,3,FALSE))),1,0)</f>
        <v>0</v>
      </c>
      <c r="W23" s="2">
        <f>IF(AND(VLOOKUP(W$1,test!$A$3:$I$32,8,FALSE) - VLOOKUP($B23,test!$A$3:$I$32,9,FALSE) &gt;= (test!$B$33+VLOOKUP(VLOOKUP($B23,test!$A$2:$I$32,4,FALSE),test!$J$10:$P$14,3,FALSE))),1,0)</f>
        <v>0</v>
      </c>
      <c r="X23" s="2">
        <f>IF(AND(VLOOKUP(X$1,test!$A$3:$I$32,8,FALSE) - VLOOKUP($B23,test!$A$3:$I$32,9,FALSE) &gt;= (test!$B$33+VLOOKUP(VLOOKUP($B23,test!$A$2:$I$32,4,FALSE),test!$J$10:$P$14,3,FALSE))),1,0)</f>
        <v>0</v>
      </c>
      <c r="Y23" s="2">
        <f>IF(AND(VLOOKUP(Y$1,test!$A$3:$I$32,8,FALSE) - VLOOKUP($B23,test!$A$3:$I$32,9,FALSE) &gt;= (test!$B$33+VLOOKUP(VLOOKUP($B23,test!$A$2:$I$32,4,FALSE),test!$J$10:$P$14,3,FALSE))),1,0)</f>
        <v>0</v>
      </c>
      <c r="Z23" s="2">
        <f>IF(AND(VLOOKUP(Z$1,test!$A$3:$I$32,8,FALSE) - VLOOKUP($B23,test!$A$3:$I$32,9,FALSE) &gt;= (test!$B$33+VLOOKUP(VLOOKUP($B23,test!$A$2:$I$32,4,FALSE),test!$J$10:$P$14,3,FALSE))),1,0)</f>
        <v>0</v>
      </c>
      <c r="AA23" s="2">
        <f>IF(AND(VLOOKUP(AA$1,test!$A$3:$I$32,8,FALSE) - VLOOKUP($B23,test!$A$3:$I$32,9,FALSE) &gt;= (test!$B$33+VLOOKUP(VLOOKUP($B23,test!$A$2:$I$32,4,FALSE),test!$J$10:$P$14,3,FALSE))),1,0)</f>
        <v>0</v>
      </c>
      <c r="AB23" s="2">
        <f>IF(AND(VLOOKUP(AB$1,test!$A$3:$I$32,8,FALSE) - VLOOKUP($B23,test!$A$3:$I$32,9,FALSE) &gt;= (test!$B$33+VLOOKUP(VLOOKUP($B23,test!$A$2:$I$32,4,FALSE),test!$J$10:$P$14,3,FALSE))),1,0)</f>
        <v>0</v>
      </c>
      <c r="AC23" s="2">
        <f>IF(AND(VLOOKUP(AC$1,test!$A$3:$I$32,8,FALSE) - VLOOKUP($B23,test!$A$3:$I$32,9,FALSE) &gt;= (test!$B$33+VLOOKUP(VLOOKUP($B23,test!$A$2:$I$32,4,FALSE),test!$J$10:$P$14,3,FALSE))),1,0)</f>
        <v>0</v>
      </c>
      <c r="AD23" s="2">
        <f>IF(AND(VLOOKUP(AD$1,test!$A$3:$I$32,8,FALSE) - VLOOKUP($B23,test!$A$3:$I$32,9,FALSE) &gt;= (test!$B$33+VLOOKUP(VLOOKUP($B23,test!$A$2:$I$32,4,FALSE),test!$J$10:$P$14,3,FALSE))),1,0)</f>
        <v>0</v>
      </c>
      <c r="AE23" s="2">
        <f>IF(AND(VLOOKUP(AE$1,test!$A$3:$I$32,8,FALSE) - VLOOKUP($B23,test!$A$3:$I$32,9,FALSE) &gt;= (test!$B$33+VLOOKUP(VLOOKUP($B23,test!$A$2:$I$32,4,FALSE),test!$J$10:$P$14,3,FALSE))),1,0)</f>
        <v>0</v>
      </c>
      <c r="AF23" s="2">
        <f>IF(AND(VLOOKUP(AF$1,test!$A$3:$I$32,8,FALSE) - VLOOKUP($B23,test!$A$3:$I$32,9,FALSE) &gt;= (test!$B$33+VLOOKUP(VLOOKUP($B23,test!$A$2:$I$32,4,FALSE),test!$J$10:$P$14,3,FALSE))),1,0)</f>
        <v>0</v>
      </c>
      <c r="AG23" s="2">
        <f>IF(AND(VLOOKUP(AG$1,test!$A$3:$I$32,8,FALSE) - VLOOKUP($B23,test!$A$3:$I$32,9,FALSE) &gt;= (test!$B$33+VLOOKUP(VLOOKUP($B23,test!$A$2:$I$32,4,FALSE),test!$J$10:$P$14,3,FALSE))),1,0)</f>
        <v>0</v>
      </c>
    </row>
    <row r="24" spans="1:33" x14ac:dyDescent="0.25">
      <c r="A24" t="s">
        <v>48</v>
      </c>
      <c r="B24" t="s">
        <v>33</v>
      </c>
      <c r="C24">
        <v>0</v>
      </c>
      <c r="D24" s="2">
        <f>IF(AND(VLOOKUP(D$1,test!$A$3:$I$32,8,FALSE) - VLOOKUP($B24,test!$A$3:$I$32,9,FALSE) &gt;= (test!$B$33+VLOOKUP(VLOOKUP($B24,test!$A$2:$I$32,4,FALSE),test!$J$10:$P$14,3,FALSE))),1,0)</f>
        <v>0</v>
      </c>
      <c r="E24" s="2">
        <f>IF(AND(VLOOKUP(E$1,test!$A$3:$I$32,8,FALSE) - VLOOKUP($B24,test!$A$3:$I$32,9,FALSE) &gt;= (test!$B$33+VLOOKUP(VLOOKUP($B24,test!$A$2:$I$32,4,FALSE),test!$J$10:$P$14,3,FALSE))),1,0)</f>
        <v>0</v>
      </c>
      <c r="F24" s="2">
        <f>IF(AND(VLOOKUP(F$1,test!$A$3:$I$32,8,FALSE) - VLOOKUP($B24,test!$A$3:$I$32,9,FALSE) &gt;= (test!$B$33+VLOOKUP(VLOOKUP($B24,test!$A$2:$I$32,4,FALSE),test!$J$10:$P$14,3,FALSE))),1,0)</f>
        <v>0</v>
      </c>
      <c r="G24" s="2">
        <f>IF(AND(VLOOKUP(G$1,test!$A$3:$I$32,8,FALSE) - VLOOKUP($B24,test!$A$3:$I$32,9,FALSE) &gt;= (test!$B$33+VLOOKUP(VLOOKUP($B24,test!$A$2:$I$32,4,FALSE),test!$J$10:$P$14,3,FALSE))),1,0)</f>
        <v>0</v>
      </c>
      <c r="H24" s="2">
        <f>IF(AND(VLOOKUP(H$1,test!$A$3:$I$32,8,FALSE) - VLOOKUP($B24,test!$A$3:$I$32,9,FALSE) &gt;= (test!$B$33+VLOOKUP(VLOOKUP($B24,test!$A$2:$I$32,4,FALSE),test!$J$10:$P$14,3,FALSE))),1,0)</f>
        <v>0</v>
      </c>
      <c r="I24" s="2">
        <f>IF(AND(VLOOKUP(I$1,test!$A$3:$I$32,8,FALSE) - VLOOKUP($B24,test!$A$3:$I$32,9,FALSE) &gt;= (test!$B$33+VLOOKUP(VLOOKUP($B24,test!$A$2:$I$32,4,FALSE),test!$J$10:$P$14,3,FALSE))),1,0)</f>
        <v>0</v>
      </c>
      <c r="J24" s="2">
        <f>IF(AND(VLOOKUP(J$1,test!$A$3:$I$32,8,FALSE) - VLOOKUP($B24,test!$A$3:$I$32,9,FALSE) &gt;= (test!$B$33+VLOOKUP(VLOOKUP($B24,test!$A$2:$I$32,4,FALSE),test!$J$10:$P$14,3,FALSE))),1,0)</f>
        <v>0</v>
      </c>
      <c r="K24" s="2">
        <f>IF(AND(VLOOKUP(K$1,test!$A$3:$I$32,8,FALSE) - VLOOKUP($B24,test!$A$3:$I$32,9,FALSE) &gt;= (test!$B$33+VLOOKUP(VLOOKUP($B24,test!$A$2:$I$32,4,FALSE),test!$J$10:$P$14,3,FALSE))),1,0)</f>
        <v>0</v>
      </c>
      <c r="L24" s="2">
        <f>IF(AND(VLOOKUP(L$1,test!$A$3:$I$32,8,FALSE) - VLOOKUP($B24,test!$A$3:$I$32,9,FALSE) &gt;= (test!$B$33+VLOOKUP(VLOOKUP($B24,test!$A$2:$I$32,4,FALSE),test!$J$10:$P$14,3,FALSE))),1,0)</f>
        <v>0</v>
      </c>
      <c r="M24" s="2">
        <f>IF(AND(VLOOKUP(M$1,test!$A$3:$I$32,8,FALSE) - VLOOKUP($B24,test!$A$3:$I$32,9,FALSE) &gt;= (test!$B$33+VLOOKUP(VLOOKUP($B24,test!$A$2:$I$32,4,FALSE),test!$J$10:$P$14,3,FALSE))),1,0)</f>
        <v>0</v>
      </c>
      <c r="N24" s="2">
        <f>IF(AND(VLOOKUP(N$1,test!$A$3:$I$32,8,FALSE) - VLOOKUP($B24,test!$A$3:$I$32,9,FALSE) &gt;= (test!$B$33+VLOOKUP(VLOOKUP($B24,test!$A$2:$I$32,4,FALSE),test!$J$10:$P$14,3,FALSE))),1,0)</f>
        <v>0</v>
      </c>
      <c r="O24" s="2">
        <f>IF(AND(VLOOKUP(O$1,test!$A$3:$I$32,8,FALSE) - VLOOKUP($B24,test!$A$3:$I$32,9,FALSE) &gt;= (test!$B$33+VLOOKUP(VLOOKUP($B24,test!$A$2:$I$32,4,FALSE),test!$J$10:$P$14,3,FALSE))),1,0)</f>
        <v>0</v>
      </c>
      <c r="P24" s="2">
        <f>IF(AND(VLOOKUP(P$1,test!$A$3:$I$32,8,FALSE) - VLOOKUP($B24,test!$A$3:$I$32,9,FALSE) &gt;= (test!$B$33+VLOOKUP(VLOOKUP($B24,test!$A$2:$I$32,4,FALSE),test!$J$10:$P$14,3,FALSE))),1,0)</f>
        <v>0</v>
      </c>
      <c r="Q24" s="2">
        <f>IF(AND(VLOOKUP(Q$1,test!$A$3:$I$32,8,FALSE) - VLOOKUP($B24,test!$A$3:$I$32,9,FALSE) &gt;= (test!$B$33+VLOOKUP(VLOOKUP($B24,test!$A$2:$I$32,4,FALSE),test!$J$10:$P$14,3,FALSE))),1,0)</f>
        <v>0</v>
      </c>
      <c r="R24" s="2">
        <f>IF(AND(VLOOKUP(R$1,test!$A$3:$I$32,8,FALSE) - VLOOKUP($B24,test!$A$3:$I$32,9,FALSE) &gt;= (test!$B$33+VLOOKUP(VLOOKUP($B24,test!$A$2:$I$32,4,FALSE),test!$J$10:$P$14,3,FALSE))),1,0)</f>
        <v>0</v>
      </c>
      <c r="S24" s="2">
        <f>IF(AND(VLOOKUP(S$1,test!$A$3:$I$32,8,FALSE) - VLOOKUP($B24,test!$A$3:$I$32,9,FALSE) &gt;= (test!$B$33+VLOOKUP(VLOOKUP($B24,test!$A$2:$I$32,4,FALSE),test!$J$10:$P$14,3,FALSE))),1,0)</f>
        <v>0</v>
      </c>
      <c r="T24" s="2">
        <f>IF(AND(VLOOKUP(T$1,test!$A$3:$I$32,8,FALSE) - VLOOKUP($B24,test!$A$3:$I$32,9,FALSE) &gt;= (test!$B$33+VLOOKUP(VLOOKUP($B24,test!$A$2:$I$32,4,FALSE),test!$J$10:$P$14,3,FALSE))),1,0)</f>
        <v>0</v>
      </c>
      <c r="U24" s="2">
        <f>IF(AND(VLOOKUP(U$1,test!$A$3:$I$32,8,FALSE) - VLOOKUP($B24,test!$A$3:$I$32,9,FALSE) &gt;= (test!$B$33+VLOOKUP(VLOOKUP($B24,test!$A$2:$I$32,4,FALSE),test!$J$10:$P$14,3,FALSE))),1,0)</f>
        <v>0</v>
      </c>
      <c r="V24" s="2">
        <f>IF(AND(VLOOKUP(V$1,test!$A$3:$I$32,8,FALSE) - VLOOKUP($B24,test!$A$3:$I$32,9,FALSE) &gt;= (test!$B$33+VLOOKUP(VLOOKUP($B24,test!$A$2:$I$32,4,FALSE),test!$J$10:$P$14,3,FALSE))),1,0)</f>
        <v>0</v>
      </c>
      <c r="W24" s="2">
        <f>IF(AND(VLOOKUP(W$1,test!$A$3:$I$32,8,FALSE) - VLOOKUP($B24,test!$A$3:$I$32,9,FALSE) &gt;= (test!$B$33+VLOOKUP(VLOOKUP($B24,test!$A$2:$I$32,4,FALSE),test!$J$10:$P$14,3,FALSE))),1,0)</f>
        <v>0</v>
      </c>
      <c r="X24" s="2">
        <f>IF(AND(VLOOKUP(X$1,test!$A$3:$I$32,8,FALSE) - VLOOKUP($B24,test!$A$3:$I$32,9,FALSE) &gt;= (test!$B$33+VLOOKUP(VLOOKUP($B24,test!$A$2:$I$32,4,FALSE),test!$J$10:$P$14,3,FALSE))),1,0)</f>
        <v>0</v>
      </c>
      <c r="Y24" s="2">
        <f>IF(AND(VLOOKUP(Y$1,test!$A$3:$I$32,8,FALSE) - VLOOKUP($B24,test!$A$3:$I$32,9,FALSE) &gt;= (test!$B$33+VLOOKUP(VLOOKUP($B24,test!$A$2:$I$32,4,FALSE),test!$J$10:$P$14,3,FALSE))),1,0)</f>
        <v>0</v>
      </c>
      <c r="Z24" s="2">
        <f>IF(AND(VLOOKUP(Z$1,test!$A$3:$I$32,8,FALSE) - VLOOKUP($B24,test!$A$3:$I$32,9,FALSE) &gt;= (test!$B$33+VLOOKUP(VLOOKUP($B24,test!$A$2:$I$32,4,FALSE),test!$J$10:$P$14,3,FALSE))),1,0)</f>
        <v>0</v>
      </c>
      <c r="AA24" s="2">
        <f>IF(AND(VLOOKUP(AA$1,test!$A$3:$I$32,8,FALSE) - VLOOKUP($B24,test!$A$3:$I$32,9,FALSE) &gt;= (test!$B$33+VLOOKUP(VLOOKUP($B24,test!$A$2:$I$32,4,FALSE),test!$J$10:$P$14,3,FALSE))),1,0)</f>
        <v>0</v>
      </c>
      <c r="AB24" s="2">
        <f>IF(AND(VLOOKUP(AB$1,test!$A$3:$I$32,8,FALSE) - VLOOKUP($B24,test!$A$3:$I$32,9,FALSE) &gt;= (test!$B$33+VLOOKUP(VLOOKUP($B24,test!$A$2:$I$32,4,FALSE),test!$J$10:$P$14,3,FALSE))),1,0)</f>
        <v>0</v>
      </c>
      <c r="AC24" s="2">
        <f>IF(AND(VLOOKUP(AC$1,test!$A$3:$I$32,8,FALSE) - VLOOKUP($B24,test!$A$3:$I$32,9,FALSE) &gt;= (test!$B$33+VLOOKUP(VLOOKUP($B24,test!$A$2:$I$32,4,FALSE),test!$J$10:$P$14,3,FALSE))),1,0)</f>
        <v>0</v>
      </c>
      <c r="AD24" s="2">
        <f>IF(AND(VLOOKUP(AD$1,test!$A$3:$I$32,8,FALSE) - VLOOKUP($B24,test!$A$3:$I$32,9,FALSE) &gt;= (test!$B$33+VLOOKUP(VLOOKUP($B24,test!$A$2:$I$32,4,FALSE),test!$J$10:$P$14,3,FALSE))),1,0)</f>
        <v>0</v>
      </c>
      <c r="AE24" s="2">
        <f>IF(AND(VLOOKUP(AE$1,test!$A$3:$I$32,8,FALSE) - VLOOKUP($B24,test!$A$3:$I$32,9,FALSE) &gt;= (test!$B$33+VLOOKUP(VLOOKUP($B24,test!$A$2:$I$32,4,FALSE),test!$J$10:$P$14,3,FALSE))),1,0)</f>
        <v>0</v>
      </c>
      <c r="AF24" s="2">
        <f>IF(AND(VLOOKUP(AF$1,test!$A$3:$I$32,8,FALSE) - VLOOKUP($B24,test!$A$3:$I$32,9,FALSE) &gt;= (test!$B$33+VLOOKUP(VLOOKUP($B24,test!$A$2:$I$32,4,FALSE),test!$J$10:$P$14,3,FALSE))),1,0)</f>
        <v>0</v>
      </c>
      <c r="AG24" s="2">
        <f>IF(AND(VLOOKUP(AG$1,test!$A$3:$I$32,8,FALSE) - VLOOKUP($B24,test!$A$3:$I$32,9,FALSE) &gt;= (test!$B$33+VLOOKUP(VLOOKUP($B24,test!$A$2:$I$32,4,FALSE),test!$J$10:$P$14,3,FALSE))),1,0)</f>
        <v>0</v>
      </c>
    </row>
    <row r="25" spans="1:33" x14ac:dyDescent="0.25">
      <c r="A25" t="s">
        <v>48</v>
      </c>
      <c r="B25" t="s">
        <v>34</v>
      </c>
      <c r="C25">
        <v>0</v>
      </c>
      <c r="D25" s="2">
        <f>IF(AND(VLOOKUP(D$1,test!$A$3:$I$32,8,FALSE) - VLOOKUP($B25,test!$A$3:$I$32,9,FALSE) &gt;= (test!$B$33+VLOOKUP(VLOOKUP($B25,test!$A$2:$I$32,4,FALSE),test!$J$10:$P$14,3,FALSE))),1,0)</f>
        <v>0</v>
      </c>
      <c r="E25" s="2">
        <f>IF(AND(VLOOKUP(E$1,test!$A$3:$I$32,8,FALSE) - VLOOKUP($B25,test!$A$3:$I$32,9,FALSE) &gt;= (test!$B$33+VLOOKUP(VLOOKUP($B25,test!$A$2:$I$32,4,FALSE),test!$J$10:$P$14,3,FALSE))),1,0)</f>
        <v>0</v>
      </c>
      <c r="F25" s="2">
        <f>IF(AND(VLOOKUP(F$1,test!$A$3:$I$32,8,FALSE) - VLOOKUP($B25,test!$A$3:$I$32,9,FALSE) &gt;= (test!$B$33+VLOOKUP(VLOOKUP($B25,test!$A$2:$I$32,4,FALSE),test!$J$10:$P$14,3,FALSE))),1,0)</f>
        <v>1</v>
      </c>
      <c r="G25" s="2">
        <f>IF(AND(VLOOKUP(G$1,test!$A$3:$I$32,8,FALSE) - VLOOKUP($B25,test!$A$3:$I$32,9,FALSE) &gt;= (test!$B$33+VLOOKUP(VLOOKUP($B25,test!$A$2:$I$32,4,FALSE),test!$J$10:$P$14,3,FALSE))),1,0)</f>
        <v>1</v>
      </c>
      <c r="H25" s="2">
        <f>IF(AND(VLOOKUP(H$1,test!$A$3:$I$32,8,FALSE) - VLOOKUP($B25,test!$A$3:$I$32,9,FALSE) &gt;= (test!$B$33+VLOOKUP(VLOOKUP($B25,test!$A$2:$I$32,4,FALSE),test!$J$10:$P$14,3,FALSE))),1,0)</f>
        <v>1</v>
      </c>
      <c r="I25" s="2">
        <f>IF(AND(VLOOKUP(I$1,test!$A$3:$I$32,8,FALSE) - VLOOKUP($B25,test!$A$3:$I$32,9,FALSE) &gt;= (test!$B$33+VLOOKUP(VLOOKUP($B25,test!$A$2:$I$32,4,FALSE),test!$J$10:$P$14,3,FALSE))),1,0)</f>
        <v>1</v>
      </c>
      <c r="J25" s="2">
        <f>IF(AND(VLOOKUP(J$1,test!$A$3:$I$32,8,FALSE) - VLOOKUP($B25,test!$A$3:$I$32,9,FALSE) &gt;= (test!$B$33+VLOOKUP(VLOOKUP($B25,test!$A$2:$I$32,4,FALSE),test!$J$10:$P$14,3,FALSE))),1,0)</f>
        <v>1</v>
      </c>
      <c r="K25" s="2">
        <f>IF(AND(VLOOKUP(K$1,test!$A$3:$I$32,8,FALSE) - VLOOKUP($B25,test!$A$3:$I$32,9,FALSE) &gt;= (test!$B$33+VLOOKUP(VLOOKUP($B25,test!$A$2:$I$32,4,FALSE),test!$J$10:$P$14,3,FALSE))),1,0)</f>
        <v>1</v>
      </c>
      <c r="L25" s="2">
        <f>IF(AND(VLOOKUP(L$1,test!$A$3:$I$32,8,FALSE) - VLOOKUP($B25,test!$A$3:$I$32,9,FALSE) &gt;= (test!$B$33+VLOOKUP(VLOOKUP($B25,test!$A$2:$I$32,4,FALSE),test!$J$10:$P$14,3,FALSE))),1,0)</f>
        <v>0</v>
      </c>
      <c r="M25" s="2">
        <f>IF(AND(VLOOKUP(M$1,test!$A$3:$I$32,8,FALSE) - VLOOKUP($B25,test!$A$3:$I$32,9,FALSE) &gt;= (test!$B$33+VLOOKUP(VLOOKUP($B25,test!$A$2:$I$32,4,FALSE),test!$J$10:$P$14,3,FALSE))),1,0)</f>
        <v>0</v>
      </c>
      <c r="N25" s="2">
        <f>IF(AND(VLOOKUP(N$1,test!$A$3:$I$32,8,FALSE) - VLOOKUP($B25,test!$A$3:$I$32,9,FALSE) &gt;= (test!$B$33+VLOOKUP(VLOOKUP($B25,test!$A$2:$I$32,4,FALSE),test!$J$10:$P$14,3,FALSE))),1,0)</f>
        <v>1</v>
      </c>
      <c r="O25" s="2">
        <f>IF(AND(VLOOKUP(O$1,test!$A$3:$I$32,8,FALSE) - VLOOKUP($B25,test!$A$3:$I$32,9,FALSE) &gt;= (test!$B$33+VLOOKUP(VLOOKUP($B25,test!$A$2:$I$32,4,FALSE),test!$J$10:$P$14,3,FALSE))),1,0)</f>
        <v>1</v>
      </c>
      <c r="P25" s="2">
        <f>IF(AND(VLOOKUP(P$1,test!$A$3:$I$32,8,FALSE) - VLOOKUP($B25,test!$A$3:$I$32,9,FALSE) &gt;= (test!$B$33+VLOOKUP(VLOOKUP($B25,test!$A$2:$I$32,4,FALSE),test!$J$10:$P$14,3,FALSE))),1,0)</f>
        <v>1</v>
      </c>
      <c r="Q25" s="2">
        <f>IF(AND(VLOOKUP(Q$1,test!$A$3:$I$32,8,FALSE) - VLOOKUP($B25,test!$A$3:$I$32,9,FALSE) &gt;= (test!$B$33+VLOOKUP(VLOOKUP($B25,test!$A$2:$I$32,4,FALSE),test!$J$10:$P$14,3,FALSE))),1,0)</f>
        <v>0</v>
      </c>
      <c r="R25" s="2">
        <f>IF(AND(VLOOKUP(R$1,test!$A$3:$I$32,8,FALSE) - VLOOKUP($B25,test!$A$3:$I$32,9,FALSE) &gt;= (test!$B$33+VLOOKUP(VLOOKUP($B25,test!$A$2:$I$32,4,FALSE),test!$J$10:$P$14,3,FALSE))),1,0)</f>
        <v>0</v>
      </c>
      <c r="S25" s="2">
        <f>IF(AND(VLOOKUP(S$1,test!$A$3:$I$32,8,FALSE) - VLOOKUP($B25,test!$A$3:$I$32,9,FALSE) &gt;= (test!$B$33+VLOOKUP(VLOOKUP($B25,test!$A$2:$I$32,4,FALSE),test!$J$10:$P$14,3,FALSE))),1,0)</f>
        <v>0</v>
      </c>
      <c r="T25" s="2">
        <f>IF(AND(VLOOKUP(T$1,test!$A$3:$I$32,8,FALSE) - VLOOKUP($B25,test!$A$3:$I$32,9,FALSE) &gt;= (test!$B$33+VLOOKUP(VLOOKUP($B25,test!$A$2:$I$32,4,FALSE),test!$J$10:$P$14,3,FALSE))),1,0)</f>
        <v>0</v>
      </c>
      <c r="U25" s="2">
        <f>IF(AND(VLOOKUP(U$1,test!$A$3:$I$32,8,FALSE) - VLOOKUP($B25,test!$A$3:$I$32,9,FALSE) &gt;= (test!$B$33+VLOOKUP(VLOOKUP($B25,test!$A$2:$I$32,4,FALSE),test!$J$10:$P$14,3,FALSE))),1,0)</f>
        <v>1</v>
      </c>
      <c r="V25" s="2">
        <f>IF(AND(VLOOKUP(V$1,test!$A$3:$I$32,8,FALSE) - VLOOKUP($B25,test!$A$3:$I$32,9,FALSE) &gt;= (test!$B$33+VLOOKUP(VLOOKUP($B25,test!$A$2:$I$32,4,FALSE),test!$J$10:$P$14,3,FALSE))),1,0)</f>
        <v>1</v>
      </c>
      <c r="W25" s="2">
        <f>IF(AND(VLOOKUP(W$1,test!$A$3:$I$32,8,FALSE) - VLOOKUP($B25,test!$A$3:$I$32,9,FALSE) &gt;= (test!$B$33+VLOOKUP(VLOOKUP($B25,test!$A$2:$I$32,4,FALSE),test!$J$10:$P$14,3,FALSE))),1,0)</f>
        <v>1</v>
      </c>
      <c r="X25" s="2">
        <f>IF(AND(VLOOKUP(X$1,test!$A$3:$I$32,8,FALSE) - VLOOKUP($B25,test!$A$3:$I$32,9,FALSE) &gt;= (test!$B$33+VLOOKUP(VLOOKUP($B25,test!$A$2:$I$32,4,FALSE),test!$J$10:$P$14,3,FALSE))),1,0)</f>
        <v>1</v>
      </c>
      <c r="Y25" s="2">
        <f>IF(AND(VLOOKUP(Y$1,test!$A$3:$I$32,8,FALSE) - VLOOKUP($B25,test!$A$3:$I$32,9,FALSE) &gt;= (test!$B$33+VLOOKUP(VLOOKUP($B25,test!$A$2:$I$32,4,FALSE),test!$J$10:$P$14,3,FALSE))),1,0)</f>
        <v>1</v>
      </c>
      <c r="Z25" s="2">
        <f>IF(AND(VLOOKUP(Z$1,test!$A$3:$I$32,8,FALSE) - VLOOKUP($B25,test!$A$3:$I$32,9,FALSE) &gt;= (test!$B$33+VLOOKUP(VLOOKUP($B25,test!$A$2:$I$32,4,FALSE),test!$J$10:$P$14,3,FALSE))),1,0)</f>
        <v>0</v>
      </c>
      <c r="AA25" s="2">
        <f>IF(AND(VLOOKUP(AA$1,test!$A$3:$I$32,8,FALSE) - VLOOKUP($B25,test!$A$3:$I$32,9,FALSE) &gt;= (test!$B$33+VLOOKUP(VLOOKUP($B25,test!$A$2:$I$32,4,FALSE),test!$J$10:$P$14,3,FALSE))),1,0)</f>
        <v>0</v>
      </c>
      <c r="AB25" s="2">
        <f>IF(AND(VLOOKUP(AB$1,test!$A$3:$I$32,8,FALSE) - VLOOKUP($B25,test!$A$3:$I$32,9,FALSE) &gt;= (test!$B$33+VLOOKUP(VLOOKUP($B25,test!$A$2:$I$32,4,FALSE),test!$J$10:$P$14,3,FALSE))),1,0)</f>
        <v>1</v>
      </c>
      <c r="AC25" s="2">
        <f>IF(AND(VLOOKUP(AC$1,test!$A$3:$I$32,8,FALSE) - VLOOKUP($B25,test!$A$3:$I$32,9,FALSE) &gt;= (test!$B$33+VLOOKUP(VLOOKUP($B25,test!$A$2:$I$32,4,FALSE),test!$J$10:$P$14,3,FALSE))),1,0)</f>
        <v>1</v>
      </c>
      <c r="AD25" s="2">
        <f>IF(AND(VLOOKUP(AD$1,test!$A$3:$I$32,8,FALSE) - VLOOKUP($B25,test!$A$3:$I$32,9,FALSE) &gt;= (test!$B$33+VLOOKUP(VLOOKUP($B25,test!$A$2:$I$32,4,FALSE),test!$J$10:$P$14,3,FALSE))),1,0)</f>
        <v>1</v>
      </c>
      <c r="AE25" s="2">
        <f>IF(AND(VLOOKUP(AE$1,test!$A$3:$I$32,8,FALSE) - VLOOKUP($B25,test!$A$3:$I$32,9,FALSE) &gt;= (test!$B$33+VLOOKUP(VLOOKUP($B25,test!$A$2:$I$32,4,FALSE),test!$J$10:$P$14,3,FALSE))),1,0)</f>
        <v>0</v>
      </c>
      <c r="AF25" s="2">
        <f>IF(AND(VLOOKUP(AF$1,test!$A$3:$I$32,8,FALSE) - VLOOKUP($B25,test!$A$3:$I$32,9,FALSE) &gt;= (test!$B$33+VLOOKUP(VLOOKUP($B25,test!$A$2:$I$32,4,FALSE),test!$J$10:$P$14,3,FALSE))),1,0)</f>
        <v>1</v>
      </c>
      <c r="AG25" s="2">
        <f>IF(AND(VLOOKUP(AG$1,test!$A$3:$I$32,8,FALSE) - VLOOKUP($B25,test!$A$3:$I$32,9,FALSE) &gt;= (test!$B$33+VLOOKUP(VLOOKUP($B25,test!$A$2:$I$32,4,FALSE),test!$J$10:$P$14,3,FALSE))),1,0)</f>
        <v>1</v>
      </c>
    </row>
    <row r="26" spans="1:33" x14ac:dyDescent="0.25">
      <c r="A26" t="s">
        <v>48</v>
      </c>
      <c r="B26" t="s">
        <v>35</v>
      </c>
      <c r="C26">
        <v>0</v>
      </c>
      <c r="D26" s="2">
        <f>IF(AND(VLOOKUP(D$1,test!$A$3:$I$32,8,FALSE) - VLOOKUP($B26,test!$A$3:$I$32,9,FALSE) &gt;= (test!$B$33+VLOOKUP(VLOOKUP($B26,test!$A$2:$I$32,4,FALSE),test!$J$10:$P$14,3,FALSE))),1,0)</f>
        <v>0</v>
      </c>
      <c r="E26" s="2">
        <f>IF(AND(VLOOKUP(E$1,test!$A$3:$I$32,8,FALSE) - VLOOKUP($B26,test!$A$3:$I$32,9,FALSE) &gt;= (test!$B$33+VLOOKUP(VLOOKUP($B26,test!$A$2:$I$32,4,FALSE),test!$J$10:$P$14,3,FALSE))),1,0)</f>
        <v>0</v>
      </c>
      <c r="F26" s="2">
        <f>IF(AND(VLOOKUP(F$1,test!$A$3:$I$32,8,FALSE) - VLOOKUP($B26,test!$A$3:$I$32,9,FALSE) &gt;= (test!$B$33+VLOOKUP(VLOOKUP($B26,test!$A$2:$I$32,4,FALSE),test!$J$10:$P$14,3,FALSE))),1,0)</f>
        <v>0</v>
      </c>
      <c r="G26" s="2">
        <f>IF(AND(VLOOKUP(G$1,test!$A$3:$I$32,8,FALSE) - VLOOKUP($B26,test!$A$3:$I$32,9,FALSE) &gt;= (test!$B$33+VLOOKUP(VLOOKUP($B26,test!$A$2:$I$32,4,FALSE),test!$J$10:$P$14,3,FALSE))),1,0)</f>
        <v>0</v>
      </c>
      <c r="H26" s="2">
        <f>IF(AND(VLOOKUP(H$1,test!$A$3:$I$32,8,FALSE) - VLOOKUP($B26,test!$A$3:$I$32,9,FALSE) &gt;= (test!$B$33+VLOOKUP(VLOOKUP($B26,test!$A$2:$I$32,4,FALSE),test!$J$10:$P$14,3,FALSE))),1,0)</f>
        <v>1</v>
      </c>
      <c r="I26" s="2">
        <f>IF(AND(VLOOKUP(I$1,test!$A$3:$I$32,8,FALSE) - VLOOKUP($B26,test!$A$3:$I$32,9,FALSE) &gt;= (test!$B$33+VLOOKUP(VLOOKUP($B26,test!$A$2:$I$32,4,FALSE),test!$J$10:$P$14,3,FALSE))),1,0)</f>
        <v>1</v>
      </c>
      <c r="J26" s="2">
        <f>IF(AND(VLOOKUP(J$1,test!$A$3:$I$32,8,FALSE) - VLOOKUP($B26,test!$A$3:$I$32,9,FALSE) &gt;= (test!$B$33+VLOOKUP(VLOOKUP($B26,test!$A$2:$I$32,4,FALSE),test!$J$10:$P$14,3,FALSE))),1,0)</f>
        <v>1</v>
      </c>
      <c r="K26" s="2">
        <f>IF(AND(VLOOKUP(K$1,test!$A$3:$I$32,8,FALSE) - VLOOKUP($B26,test!$A$3:$I$32,9,FALSE) &gt;= (test!$B$33+VLOOKUP(VLOOKUP($B26,test!$A$2:$I$32,4,FALSE),test!$J$10:$P$14,3,FALSE))),1,0)</f>
        <v>1</v>
      </c>
      <c r="L26" s="2">
        <f>IF(AND(VLOOKUP(L$1,test!$A$3:$I$32,8,FALSE) - VLOOKUP($B26,test!$A$3:$I$32,9,FALSE) &gt;= (test!$B$33+VLOOKUP(VLOOKUP($B26,test!$A$2:$I$32,4,FALSE),test!$J$10:$P$14,3,FALSE))),1,0)</f>
        <v>0</v>
      </c>
      <c r="M26" s="2">
        <f>IF(AND(VLOOKUP(M$1,test!$A$3:$I$32,8,FALSE) - VLOOKUP($B26,test!$A$3:$I$32,9,FALSE) &gt;= (test!$B$33+VLOOKUP(VLOOKUP($B26,test!$A$2:$I$32,4,FALSE),test!$J$10:$P$14,3,FALSE))),1,0)</f>
        <v>0</v>
      </c>
      <c r="N26" s="2">
        <f>IF(AND(VLOOKUP(N$1,test!$A$3:$I$32,8,FALSE) - VLOOKUP($B26,test!$A$3:$I$32,9,FALSE) &gt;= (test!$B$33+VLOOKUP(VLOOKUP($B26,test!$A$2:$I$32,4,FALSE),test!$J$10:$P$14,3,FALSE))),1,0)</f>
        <v>0</v>
      </c>
      <c r="O26" s="2">
        <f>IF(AND(VLOOKUP(O$1,test!$A$3:$I$32,8,FALSE) - VLOOKUP($B26,test!$A$3:$I$32,9,FALSE) &gt;= (test!$B$33+VLOOKUP(VLOOKUP($B26,test!$A$2:$I$32,4,FALSE),test!$J$10:$P$14,3,FALSE))),1,0)</f>
        <v>1</v>
      </c>
      <c r="P26" s="2">
        <f>IF(AND(VLOOKUP(P$1,test!$A$3:$I$32,8,FALSE) - VLOOKUP($B26,test!$A$3:$I$32,9,FALSE) &gt;= (test!$B$33+VLOOKUP(VLOOKUP($B26,test!$A$2:$I$32,4,FALSE),test!$J$10:$P$14,3,FALSE))),1,0)</f>
        <v>1</v>
      </c>
      <c r="Q26" s="2">
        <f>IF(AND(VLOOKUP(Q$1,test!$A$3:$I$32,8,FALSE) - VLOOKUP($B26,test!$A$3:$I$32,9,FALSE) &gt;= (test!$B$33+VLOOKUP(VLOOKUP($B26,test!$A$2:$I$32,4,FALSE),test!$J$10:$P$14,3,FALSE))),1,0)</f>
        <v>0</v>
      </c>
      <c r="R26" s="2">
        <f>IF(AND(VLOOKUP(R$1,test!$A$3:$I$32,8,FALSE) - VLOOKUP($B26,test!$A$3:$I$32,9,FALSE) &gt;= (test!$B$33+VLOOKUP(VLOOKUP($B26,test!$A$2:$I$32,4,FALSE),test!$J$10:$P$14,3,FALSE))),1,0)</f>
        <v>0</v>
      </c>
      <c r="S26" s="2">
        <f>IF(AND(VLOOKUP(S$1,test!$A$3:$I$32,8,FALSE) - VLOOKUP($B26,test!$A$3:$I$32,9,FALSE) &gt;= (test!$B$33+VLOOKUP(VLOOKUP($B26,test!$A$2:$I$32,4,FALSE),test!$J$10:$P$14,3,FALSE))),1,0)</f>
        <v>0</v>
      </c>
      <c r="T26" s="2">
        <f>IF(AND(VLOOKUP(T$1,test!$A$3:$I$32,8,FALSE) - VLOOKUP($B26,test!$A$3:$I$32,9,FALSE) &gt;= (test!$B$33+VLOOKUP(VLOOKUP($B26,test!$A$2:$I$32,4,FALSE),test!$J$10:$P$14,3,FALSE))),1,0)</f>
        <v>0</v>
      </c>
      <c r="U26" s="2">
        <f>IF(AND(VLOOKUP(U$1,test!$A$3:$I$32,8,FALSE) - VLOOKUP($B26,test!$A$3:$I$32,9,FALSE) &gt;= (test!$B$33+VLOOKUP(VLOOKUP($B26,test!$A$2:$I$32,4,FALSE),test!$J$10:$P$14,3,FALSE))),1,0)</f>
        <v>0</v>
      </c>
      <c r="V26" s="2">
        <f>IF(AND(VLOOKUP(V$1,test!$A$3:$I$32,8,FALSE) - VLOOKUP($B26,test!$A$3:$I$32,9,FALSE) &gt;= (test!$B$33+VLOOKUP(VLOOKUP($B26,test!$A$2:$I$32,4,FALSE),test!$J$10:$P$14,3,FALSE))),1,0)</f>
        <v>0</v>
      </c>
      <c r="W26" s="2">
        <f>IF(AND(VLOOKUP(W$1,test!$A$3:$I$32,8,FALSE) - VLOOKUP($B26,test!$A$3:$I$32,9,FALSE) &gt;= (test!$B$33+VLOOKUP(VLOOKUP($B26,test!$A$2:$I$32,4,FALSE),test!$J$10:$P$14,3,FALSE))),1,0)</f>
        <v>1</v>
      </c>
      <c r="X26" s="2">
        <f>IF(AND(VLOOKUP(X$1,test!$A$3:$I$32,8,FALSE) - VLOOKUP($B26,test!$A$3:$I$32,9,FALSE) &gt;= (test!$B$33+VLOOKUP(VLOOKUP($B26,test!$A$2:$I$32,4,FALSE),test!$J$10:$P$14,3,FALSE))),1,0)</f>
        <v>1</v>
      </c>
      <c r="Y26" s="2">
        <f>IF(AND(VLOOKUP(Y$1,test!$A$3:$I$32,8,FALSE) - VLOOKUP($B26,test!$A$3:$I$32,9,FALSE) &gt;= (test!$B$33+VLOOKUP(VLOOKUP($B26,test!$A$2:$I$32,4,FALSE),test!$J$10:$P$14,3,FALSE))),1,0)</f>
        <v>1</v>
      </c>
      <c r="Z26" s="2">
        <f>IF(AND(VLOOKUP(Z$1,test!$A$3:$I$32,8,FALSE) - VLOOKUP($B26,test!$A$3:$I$32,9,FALSE) &gt;= (test!$B$33+VLOOKUP(VLOOKUP($B26,test!$A$2:$I$32,4,FALSE),test!$J$10:$P$14,3,FALSE))),1,0)</f>
        <v>0</v>
      </c>
      <c r="AA26" s="2">
        <f>IF(AND(VLOOKUP(AA$1,test!$A$3:$I$32,8,FALSE) - VLOOKUP($B26,test!$A$3:$I$32,9,FALSE) &gt;= (test!$B$33+VLOOKUP(VLOOKUP($B26,test!$A$2:$I$32,4,FALSE),test!$J$10:$P$14,3,FALSE))),1,0)</f>
        <v>0</v>
      </c>
      <c r="AB26" s="2">
        <f>IF(AND(VLOOKUP(AB$1,test!$A$3:$I$32,8,FALSE) - VLOOKUP($B26,test!$A$3:$I$32,9,FALSE) &gt;= (test!$B$33+VLOOKUP(VLOOKUP($B26,test!$A$2:$I$32,4,FALSE),test!$J$10:$P$14,3,FALSE))),1,0)</f>
        <v>0</v>
      </c>
      <c r="AC26" s="2">
        <f>IF(AND(VLOOKUP(AC$1,test!$A$3:$I$32,8,FALSE) - VLOOKUP($B26,test!$A$3:$I$32,9,FALSE) &gt;= (test!$B$33+VLOOKUP(VLOOKUP($B26,test!$A$2:$I$32,4,FALSE),test!$J$10:$P$14,3,FALSE))),1,0)</f>
        <v>0</v>
      </c>
      <c r="AD26" s="2">
        <f>IF(AND(VLOOKUP(AD$1,test!$A$3:$I$32,8,FALSE) - VLOOKUP($B26,test!$A$3:$I$32,9,FALSE) &gt;= (test!$B$33+VLOOKUP(VLOOKUP($B26,test!$A$2:$I$32,4,FALSE),test!$J$10:$P$14,3,FALSE))),1,0)</f>
        <v>1</v>
      </c>
      <c r="AE26" s="2">
        <f>IF(AND(VLOOKUP(AE$1,test!$A$3:$I$32,8,FALSE) - VLOOKUP($B26,test!$A$3:$I$32,9,FALSE) &gt;= (test!$B$33+VLOOKUP(VLOOKUP($B26,test!$A$2:$I$32,4,FALSE),test!$J$10:$P$14,3,FALSE))),1,0)</f>
        <v>0</v>
      </c>
      <c r="AF26" s="2">
        <f>IF(AND(VLOOKUP(AF$1,test!$A$3:$I$32,8,FALSE) - VLOOKUP($B26,test!$A$3:$I$32,9,FALSE) &gt;= (test!$B$33+VLOOKUP(VLOOKUP($B26,test!$A$2:$I$32,4,FALSE),test!$J$10:$P$14,3,FALSE))),1,0)</f>
        <v>0</v>
      </c>
      <c r="AG26" s="2">
        <f>IF(AND(VLOOKUP(AG$1,test!$A$3:$I$32,8,FALSE) - VLOOKUP($B26,test!$A$3:$I$32,9,FALSE) &gt;= (test!$B$33+VLOOKUP(VLOOKUP($B26,test!$A$2:$I$32,4,FALSE),test!$J$10:$P$14,3,FALSE))),1,0)</f>
        <v>0</v>
      </c>
    </row>
    <row r="27" spans="1:33" x14ac:dyDescent="0.25">
      <c r="A27" t="s">
        <v>48</v>
      </c>
      <c r="B27" t="s">
        <v>36</v>
      </c>
      <c r="C27">
        <v>0</v>
      </c>
      <c r="D27" s="2">
        <f>IF(AND(VLOOKUP(D$1,test!$A$3:$I$32,8,FALSE) - VLOOKUP($B27,test!$A$3:$I$32,9,FALSE) &gt;= (test!$B$33+VLOOKUP(VLOOKUP($B27,test!$A$2:$I$32,4,FALSE),test!$J$10:$P$14,3,FALSE))),1,0)</f>
        <v>0</v>
      </c>
      <c r="E27" s="2">
        <f>IF(AND(VLOOKUP(E$1,test!$A$3:$I$32,8,FALSE) - VLOOKUP($B27,test!$A$3:$I$32,9,FALSE) &gt;= (test!$B$33+VLOOKUP(VLOOKUP($B27,test!$A$2:$I$32,4,FALSE),test!$J$10:$P$14,3,FALSE))),1,0)</f>
        <v>0</v>
      </c>
      <c r="F27" s="2">
        <f>IF(AND(VLOOKUP(F$1,test!$A$3:$I$32,8,FALSE) - VLOOKUP($B27,test!$A$3:$I$32,9,FALSE) &gt;= (test!$B$33+VLOOKUP(VLOOKUP($B27,test!$A$2:$I$32,4,FALSE),test!$J$10:$P$14,3,FALSE))),1,0)</f>
        <v>0</v>
      </c>
      <c r="G27" s="2">
        <f>IF(AND(VLOOKUP(G$1,test!$A$3:$I$32,8,FALSE) - VLOOKUP($B27,test!$A$3:$I$32,9,FALSE) &gt;= (test!$B$33+VLOOKUP(VLOOKUP($B27,test!$A$2:$I$32,4,FALSE),test!$J$10:$P$14,3,FALSE))),1,0)</f>
        <v>0</v>
      </c>
      <c r="H27" s="2">
        <f>IF(AND(VLOOKUP(H$1,test!$A$3:$I$32,8,FALSE) - VLOOKUP($B27,test!$A$3:$I$32,9,FALSE) &gt;= (test!$B$33+VLOOKUP(VLOOKUP($B27,test!$A$2:$I$32,4,FALSE),test!$J$10:$P$14,3,FALSE))),1,0)</f>
        <v>0</v>
      </c>
      <c r="I27" s="2">
        <f>IF(AND(VLOOKUP(I$1,test!$A$3:$I$32,8,FALSE) - VLOOKUP($B27,test!$A$3:$I$32,9,FALSE) &gt;= (test!$B$33+VLOOKUP(VLOOKUP($B27,test!$A$2:$I$32,4,FALSE),test!$J$10:$P$14,3,FALSE))),1,0)</f>
        <v>0</v>
      </c>
      <c r="J27" s="2">
        <f>IF(AND(VLOOKUP(J$1,test!$A$3:$I$32,8,FALSE) - VLOOKUP($B27,test!$A$3:$I$32,9,FALSE) &gt;= (test!$B$33+VLOOKUP(VLOOKUP($B27,test!$A$2:$I$32,4,FALSE),test!$J$10:$P$14,3,FALSE))),1,0)</f>
        <v>1</v>
      </c>
      <c r="K27" s="2">
        <f>IF(AND(VLOOKUP(K$1,test!$A$3:$I$32,8,FALSE) - VLOOKUP($B27,test!$A$3:$I$32,9,FALSE) &gt;= (test!$B$33+VLOOKUP(VLOOKUP($B27,test!$A$2:$I$32,4,FALSE),test!$J$10:$P$14,3,FALSE))),1,0)</f>
        <v>1</v>
      </c>
      <c r="L27" s="2">
        <f>IF(AND(VLOOKUP(L$1,test!$A$3:$I$32,8,FALSE) - VLOOKUP($B27,test!$A$3:$I$32,9,FALSE) &gt;= (test!$B$33+VLOOKUP(VLOOKUP($B27,test!$A$2:$I$32,4,FALSE),test!$J$10:$P$14,3,FALSE))),1,0)</f>
        <v>0</v>
      </c>
      <c r="M27" s="2">
        <f>IF(AND(VLOOKUP(M$1,test!$A$3:$I$32,8,FALSE) - VLOOKUP($B27,test!$A$3:$I$32,9,FALSE) &gt;= (test!$B$33+VLOOKUP(VLOOKUP($B27,test!$A$2:$I$32,4,FALSE),test!$J$10:$P$14,3,FALSE))),1,0)</f>
        <v>0</v>
      </c>
      <c r="N27" s="2">
        <f>IF(AND(VLOOKUP(N$1,test!$A$3:$I$32,8,FALSE) - VLOOKUP($B27,test!$A$3:$I$32,9,FALSE) &gt;= (test!$B$33+VLOOKUP(VLOOKUP($B27,test!$A$2:$I$32,4,FALSE),test!$J$10:$P$14,3,FALSE))),1,0)</f>
        <v>0</v>
      </c>
      <c r="O27" s="2">
        <f>IF(AND(VLOOKUP(O$1,test!$A$3:$I$32,8,FALSE) - VLOOKUP($B27,test!$A$3:$I$32,9,FALSE) &gt;= (test!$B$33+VLOOKUP(VLOOKUP($B27,test!$A$2:$I$32,4,FALSE),test!$J$10:$P$14,3,FALSE))),1,0)</f>
        <v>1</v>
      </c>
      <c r="P27" s="2">
        <f>IF(AND(VLOOKUP(P$1,test!$A$3:$I$32,8,FALSE) - VLOOKUP($B27,test!$A$3:$I$32,9,FALSE) &gt;= (test!$B$33+VLOOKUP(VLOOKUP($B27,test!$A$2:$I$32,4,FALSE),test!$J$10:$P$14,3,FALSE))),1,0)</f>
        <v>1</v>
      </c>
      <c r="Q27" s="2">
        <f>IF(AND(VLOOKUP(Q$1,test!$A$3:$I$32,8,FALSE) - VLOOKUP($B27,test!$A$3:$I$32,9,FALSE) &gt;= (test!$B$33+VLOOKUP(VLOOKUP($B27,test!$A$2:$I$32,4,FALSE),test!$J$10:$P$14,3,FALSE))),1,0)</f>
        <v>0</v>
      </c>
      <c r="R27" s="2">
        <f>IF(AND(VLOOKUP(R$1,test!$A$3:$I$32,8,FALSE) - VLOOKUP($B27,test!$A$3:$I$32,9,FALSE) &gt;= (test!$B$33+VLOOKUP(VLOOKUP($B27,test!$A$2:$I$32,4,FALSE),test!$J$10:$P$14,3,FALSE))),1,0)</f>
        <v>0</v>
      </c>
      <c r="S27" s="2">
        <f>IF(AND(VLOOKUP(S$1,test!$A$3:$I$32,8,FALSE) - VLOOKUP($B27,test!$A$3:$I$32,9,FALSE) &gt;= (test!$B$33+VLOOKUP(VLOOKUP($B27,test!$A$2:$I$32,4,FALSE),test!$J$10:$P$14,3,FALSE))),1,0)</f>
        <v>0</v>
      </c>
      <c r="T27" s="2">
        <f>IF(AND(VLOOKUP(T$1,test!$A$3:$I$32,8,FALSE) - VLOOKUP($B27,test!$A$3:$I$32,9,FALSE) &gt;= (test!$B$33+VLOOKUP(VLOOKUP($B27,test!$A$2:$I$32,4,FALSE),test!$J$10:$P$14,3,FALSE))),1,0)</f>
        <v>0</v>
      </c>
      <c r="U27" s="2">
        <f>IF(AND(VLOOKUP(U$1,test!$A$3:$I$32,8,FALSE) - VLOOKUP($B27,test!$A$3:$I$32,9,FALSE) &gt;= (test!$B$33+VLOOKUP(VLOOKUP($B27,test!$A$2:$I$32,4,FALSE),test!$J$10:$P$14,3,FALSE))),1,0)</f>
        <v>0</v>
      </c>
      <c r="V27" s="2">
        <f>IF(AND(VLOOKUP(V$1,test!$A$3:$I$32,8,FALSE) - VLOOKUP($B27,test!$A$3:$I$32,9,FALSE) &gt;= (test!$B$33+VLOOKUP(VLOOKUP($B27,test!$A$2:$I$32,4,FALSE),test!$J$10:$P$14,3,FALSE))),1,0)</f>
        <v>0</v>
      </c>
      <c r="W27" s="2">
        <f>IF(AND(VLOOKUP(W$1,test!$A$3:$I$32,8,FALSE) - VLOOKUP($B27,test!$A$3:$I$32,9,FALSE) &gt;= (test!$B$33+VLOOKUP(VLOOKUP($B27,test!$A$2:$I$32,4,FALSE),test!$J$10:$P$14,3,FALSE))),1,0)</f>
        <v>0</v>
      </c>
      <c r="X27" s="2">
        <f>IF(AND(VLOOKUP(X$1,test!$A$3:$I$32,8,FALSE) - VLOOKUP($B27,test!$A$3:$I$32,9,FALSE) &gt;= (test!$B$33+VLOOKUP(VLOOKUP($B27,test!$A$2:$I$32,4,FALSE),test!$J$10:$P$14,3,FALSE))),1,0)</f>
        <v>1</v>
      </c>
      <c r="Y27" s="2">
        <f>IF(AND(VLOOKUP(Y$1,test!$A$3:$I$32,8,FALSE) - VLOOKUP($B27,test!$A$3:$I$32,9,FALSE) &gt;= (test!$B$33+VLOOKUP(VLOOKUP($B27,test!$A$2:$I$32,4,FALSE),test!$J$10:$P$14,3,FALSE))),1,0)</f>
        <v>1</v>
      </c>
      <c r="Z27" s="2">
        <f>IF(AND(VLOOKUP(Z$1,test!$A$3:$I$32,8,FALSE) - VLOOKUP($B27,test!$A$3:$I$32,9,FALSE) &gt;= (test!$B$33+VLOOKUP(VLOOKUP($B27,test!$A$2:$I$32,4,FALSE),test!$J$10:$P$14,3,FALSE))),1,0)</f>
        <v>0</v>
      </c>
      <c r="AA27" s="2">
        <f>IF(AND(VLOOKUP(AA$1,test!$A$3:$I$32,8,FALSE) - VLOOKUP($B27,test!$A$3:$I$32,9,FALSE) &gt;= (test!$B$33+VLOOKUP(VLOOKUP($B27,test!$A$2:$I$32,4,FALSE),test!$J$10:$P$14,3,FALSE))),1,0)</f>
        <v>0</v>
      </c>
      <c r="AB27" s="2">
        <f>IF(AND(VLOOKUP(AB$1,test!$A$3:$I$32,8,FALSE) - VLOOKUP($B27,test!$A$3:$I$32,9,FALSE) &gt;= (test!$B$33+VLOOKUP(VLOOKUP($B27,test!$A$2:$I$32,4,FALSE),test!$J$10:$P$14,3,FALSE))),1,0)</f>
        <v>0</v>
      </c>
      <c r="AC27" s="2">
        <f>IF(AND(VLOOKUP(AC$1,test!$A$3:$I$32,8,FALSE) - VLOOKUP($B27,test!$A$3:$I$32,9,FALSE) &gt;= (test!$B$33+VLOOKUP(VLOOKUP($B27,test!$A$2:$I$32,4,FALSE),test!$J$10:$P$14,3,FALSE))),1,0)</f>
        <v>0</v>
      </c>
      <c r="AD27" s="2">
        <f>IF(AND(VLOOKUP(AD$1,test!$A$3:$I$32,8,FALSE) - VLOOKUP($B27,test!$A$3:$I$32,9,FALSE) &gt;= (test!$B$33+VLOOKUP(VLOOKUP($B27,test!$A$2:$I$32,4,FALSE),test!$J$10:$P$14,3,FALSE))),1,0)</f>
        <v>0</v>
      </c>
      <c r="AE27" s="2">
        <f>IF(AND(VLOOKUP(AE$1,test!$A$3:$I$32,8,FALSE) - VLOOKUP($B27,test!$A$3:$I$32,9,FALSE) &gt;= (test!$B$33+VLOOKUP(VLOOKUP($B27,test!$A$2:$I$32,4,FALSE),test!$J$10:$P$14,3,FALSE))),1,0)</f>
        <v>0</v>
      </c>
      <c r="AF27" s="2">
        <f>IF(AND(VLOOKUP(AF$1,test!$A$3:$I$32,8,FALSE) - VLOOKUP($B27,test!$A$3:$I$32,9,FALSE) &gt;= (test!$B$33+VLOOKUP(VLOOKUP($B27,test!$A$2:$I$32,4,FALSE),test!$J$10:$P$14,3,FALSE))),1,0)</f>
        <v>0</v>
      </c>
      <c r="AG27" s="2">
        <f>IF(AND(VLOOKUP(AG$1,test!$A$3:$I$32,8,FALSE) - VLOOKUP($B27,test!$A$3:$I$32,9,FALSE) &gt;= (test!$B$33+VLOOKUP(VLOOKUP($B27,test!$A$2:$I$32,4,FALSE),test!$J$10:$P$14,3,FALSE))),1,0)</f>
        <v>0</v>
      </c>
    </row>
    <row r="28" spans="1:33" x14ac:dyDescent="0.25">
      <c r="A28" t="s">
        <v>48</v>
      </c>
      <c r="B28" t="s">
        <v>37</v>
      </c>
      <c r="C28">
        <v>0</v>
      </c>
      <c r="D28" s="2">
        <f>IF(AND(VLOOKUP(D$1,test!$A$3:$I$32,8,FALSE) - VLOOKUP($B28,test!$A$3:$I$32,9,FALSE) &gt;= (test!$B$33+VLOOKUP(VLOOKUP($B28,test!$A$2:$I$32,4,FALSE),test!$J$10:$P$14,3,FALSE))),1,0)</f>
        <v>0</v>
      </c>
      <c r="E28" s="2">
        <f>IF(AND(VLOOKUP(E$1,test!$A$3:$I$32,8,FALSE) - VLOOKUP($B28,test!$A$3:$I$32,9,FALSE) &gt;= (test!$B$33+VLOOKUP(VLOOKUP($B28,test!$A$2:$I$32,4,FALSE),test!$J$10:$P$14,3,FALSE))),1,0)</f>
        <v>0</v>
      </c>
      <c r="F28" s="2">
        <f>IF(AND(VLOOKUP(F$1,test!$A$3:$I$32,8,FALSE) - VLOOKUP($B28,test!$A$3:$I$32,9,FALSE) &gt;= (test!$B$33+VLOOKUP(VLOOKUP($B28,test!$A$2:$I$32,4,FALSE),test!$J$10:$P$14,3,FALSE))),1,0)</f>
        <v>0</v>
      </c>
      <c r="G28" s="2">
        <f>IF(AND(VLOOKUP(G$1,test!$A$3:$I$32,8,FALSE) - VLOOKUP($B28,test!$A$3:$I$32,9,FALSE) &gt;= (test!$B$33+VLOOKUP(VLOOKUP($B28,test!$A$2:$I$32,4,FALSE),test!$J$10:$P$14,3,FALSE))),1,0)</f>
        <v>0</v>
      </c>
      <c r="H28" s="2">
        <f>IF(AND(VLOOKUP(H$1,test!$A$3:$I$32,8,FALSE) - VLOOKUP($B28,test!$A$3:$I$32,9,FALSE) &gt;= (test!$B$33+VLOOKUP(VLOOKUP($B28,test!$A$2:$I$32,4,FALSE),test!$J$10:$P$14,3,FALSE))),1,0)</f>
        <v>0</v>
      </c>
      <c r="I28" s="2">
        <f>IF(AND(VLOOKUP(I$1,test!$A$3:$I$32,8,FALSE) - VLOOKUP($B28,test!$A$3:$I$32,9,FALSE) &gt;= (test!$B$33+VLOOKUP(VLOOKUP($B28,test!$A$2:$I$32,4,FALSE),test!$J$10:$P$14,3,FALSE))),1,0)</f>
        <v>0</v>
      </c>
      <c r="J28" s="2">
        <f>IF(AND(VLOOKUP(J$1,test!$A$3:$I$32,8,FALSE) - VLOOKUP($B28,test!$A$3:$I$32,9,FALSE) &gt;= (test!$B$33+VLOOKUP(VLOOKUP($B28,test!$A$2:$I$32,4,FALSE),test!$J$10:$P$14,3,FALSE))),1,0)</f>
        <v>0</v>
      </c>
      <c r="K28" s="2">
        <f>IF(AND(VLOOKUP(K$1,test!$A$3:$I$32,8,FALSE) - VLOOKUP($B28,test!$A$3:$I$32,9,FALSE) &gt;= (test!$B$33+VLOOKUP(VLOOKUP($B28,test!$A$2:$I$32,4,FALSE),test!$J$10:$P$14,3,FALSE))),1,0)</f>
        <v>1</v>
      </c>
      <c r="L28" s="2">
        <f>IF(AND(VLOOKUP(L$1,test!$A$3:$I$32,8,FALSE) - VLOOKUP($B28,test!$A$3:$I$32,9,FALSE) &gt;= (test!$B$33+VLOOKUP(VLOOKUP($B28,test!$A$2:$I$32,4,FALSE),test!$J$10:$P$14,3,FALSE))),1,0)</f>
        <v>0</v>
      </c>
      <c r="M28" s="2">
        <f>IF(AND(VLOOKUP(M$1,test!$A$3:$I$32,8,FALSE) - VLOOKUP($B28,test!$A$3:$I$32,9,FALSE) &gt;= (test!$B$33+VLOOKUP(VLOOKUP($B28,test!$A$2:$I$32,4,FALSE),test!$J$10:$P$14,3,FALSE))),1,0)</f>
        <v>0</v>
      </c>
      <c r="N28" s="2">
        <f>IF(AND(VLOOKUP(N$1,test!$A$3:$I$32,8,FALSE) - VLOOKUP($B28,test!$A$3:$I$32,9,FALSE) &gt;= (test!$B$33+VLOOKUP(VLOOKUP($B28,test!$A$2:$I$32,4,FALSE),test!$J$10:$P$14,3,FALSE))),1,0)</f>
        <v>0</v>
      </c>
      <c r="O28" s="2">
        <f>IF(AND(VLOOKUP(O$1,test!$A$3:$I$32,8,FALSE) - VLOOKUP($B28,test!$A$3:$I$32,9,FALSE) &gt;= (test!$B$33+VLOOKUP(VLOOKUP($B28,test!$A$2:$I$32,4,FALSE),test!$J$10:$P$14,3,FALSE))),1,0)</f>
        <v>1</v>
      </c>
      <c r="P28" s="2">
        <f>IF(AND(VLOOKUP(P$1,test!$A$3:$I$32,8,FALSE) - VLOOKUP($B28,test!$A$3:$I$32,9,FALSE) &gt;= (test!$B$33+VLOOKUP(VLOOKUP($B28,test!$A$2:$I$32,4,FALSE),test!$J$10:$P$14,3,FALSE))),1,0)</f>
        <v>1</v>
      </c>
      <c r="Q28" s="2">
        <f>IF(AND(VLOOKUP(Q$1,test!$A$3:$I$32,8,FALSE) - VLOOKUP($B28,test!$A$3:$I$32,9,FALSE) &gt;= (test!$B$33+VLOOKUP(VLOOKUP($B28,test!$A$2:$I$32,4,FALSE),test!$J$10:$P$14,3,FALSE))),1,0)</f>
        <v>0</v>
      </c>
      <c r="R28" s="2">
        <f>IF(AND(VLOOKUP(R$1,test!$A$3:$I$32,8,FALSE) - VLOOKUP($B28,test!$A$3:$I$32,9,FALSE) &gt;= (test!$B$33+VLOOKUP(VLOOKUP($B28,test!$A$2:$I$32,4,FALSE),test!$J$10:$P$14,3,FALSE))),1,0)</f>
        <v>0</v>
      </c>
      <c r="S28" s="2">
        <f>IF(AND(VLOOKUP(S$1,test!$A$3:$I$32,8,FALSE) - VLOOKUP($B28,test!$A$3:$I$32,9,FALSE) &gt;= (test!$B$33+VLOOKUP(VLOOKUP($B28,test!$A$2:$I$32,4,FALSE),test!$J$10:$P$14,3,FALSE))),1,0)</f>
        <v>0</v>
      </c>
      <c r="T28" s="2">
        <f>IF(AND(VLOOKUP(T$1,test!$A$3:$I$32,8,FALSE) - VLOOKUP($B28,test!$A$3:$I$32,9,FALSE) &gt;= (test!$B$33+VLOOKUP(VLOOKUP($B28,test!$A$2:$I$32,4,FALSE),test!$J$10:$P$14,3,FALSE))),1,0)</f>
        <v>0</v>
      </c>
      <c r="U28" s="2">
        <f>IF(AND(VLOOKUP(U$1,test!$A$3:$I$32,8,FALSE) - VLOOKUP($B28,test!$A$3:$I$32,9,FALSE) &gt;= (test!$B$33+VLOOKUP(VLOOKUP($B28,test!$A$2:$I$32,4,FALSE),test!$J$10:$P$14,3,FALSE))),1,0)</f>
        <v>0</v>
      </c>
      <c r="V28" s="2">
        <f>IF(AND(VLOOKUP(V$1,test!$A$3:$I$32,8,FALSE) - VLOOKUP($B28,test!$A$3:$I$32,9,FALSE) &gt;= (test!$B$33+VLOOKUP(VLOOKUP($B28,test!$A$2:$I$32,4,FALSE),test!$J$10:$P$14,3,FALSE))),1,0)</f>
        <v>0</v>
      </c>
      <c r="W28" s="2">
        <f>IF(AND(VLOOKUP(W$1,test!$A$3:$I$32,8,FALSE) - VLOOKUP($B28,test!$A$3:$I$32,9,FALSE) &gt;= (test!$B$33+VLOOKUP(VLOOKUP($B28,test!$A$2:$I$32,4,FALSE),test!$J$10:$P$14,3,FALSE))),1,0)</f>
        <v>0</v>
      </c>
      <c r="X28" s="2">
        <f>IF(AND(VLOOKUP(X$1,test!$A$3:$I$32,8,FALSE) - VLOOKUP($B28,test!$A$3:$I$32,9,FALSE) &gt;= (test!$B$33+VLOOKUP(VLOOKUP($B28,test!$A$2:$I$32,4,FALSE),test!$J$10:$P$14,3,FALSE))),1,0)</f>
        <v>0</v>
      </c>
      <c r="Y28" s="2">
        <f>IF(AND(VLOOKUP(Y$1,test!$A$3:$I$32,8,FALSE) - VLOOKUP($B28,test!$A$3:$I$32,9,FALSE) &gt;= (test!$B$33+VLOOKUP(VLOOKUP($B28,test!$A$2:$I$32,4,FALSE),test!$J$10:$P$14,3,FALSE))),1,0)</f>
        <v>1</v>
      </c>
      <c r="Z28" s="2">
        <f>IF(AND(VLOOKUP(Z$1,test!$A$3:$I$32,8,FALSE) - VLOOKUP($B28,test!$A$3:$I$32,9,FALSE) &gt;= (test!$B$33+VLOOKUP(VLOOKUP($B28,test!$A$2:$I$32,4,FALSE),test!$J$10:$P$14,3,FALSE))),1,0)</f>
        <v>0</v>
      </c>
      <c r="AA28" s="2">
        <f>IF(AND(VLOOKUP(AA$1,test!$A$3:$I$32,8,FALSE) - VLOOKUP($B28,test!$A$3:$I$32,9,FALSE) &gt;= (test!$B$33+VLOOKUP(VLOOKUP($B28,test!$A$2:$I$32,4,FALSE),test!$J$10:$P$14,3,FALSE))),1,0)</f>
        <v>0</v>
      </c>
      <c r="AB28" s="2">
        <f>IF(AND(VLOOKUP(AB$1,test!$A$3:$I$32,8,FALSE) - VLOOKUP($B28,test!$A$3:$I$32,9,FALSE) &gt;= (test!$B$33+VLOOKUP(VLOOKUP($B28,test!$A$2:$I$32,4,FALSE),test!$J$10:$P$14,3,FALSE))),1,0)</f>
        <v>0</v>
      </c>
      <c r="AC28" s="2">
        <f>IF(AND(VLOOKUP(AC$1,test!$A$3:$I$32,8,FALSE) - VLOOKUP($B28,test!$A$3:$I$32,9,FALSE) &gt;= (test!$B$33+VLOOKUP(VLOOKUP($B28,test!$A$2:$I$32,4,FALSE),test!$J$10:$P$14,3,FALSE))),1,0)</f>
        <v>0</v>
      </c>
      <c r="AD28" s="2">
        <f>IF(AND(VLOOKUP(AD$1,test!$A$3:$I$32,8,FALSE) - VLOOKUP($B28,test!$A$3:$I$32,9,FALSE) &gt;= (test!$B$33+VLOOKUP(VLOOKUP($B28,test!$A$2:$I$32,4,FALSE),test!$J$10:$P$14,3,FALSE))),1,0)</f>
        <v>0</v>
      </c>
      <c r="AE28" s="2">
        <f>IF(AND(VLOOKUP(AE$1,test!$A$3:$I$32,8,FALSE) - VLOOKUP($B28,test!$A$3:$I$32,9,FALSE) &gt;= (test!$B$33+VLOOKUP(VLOOKUP($B28,test!$A$2:$I$32,4,FALSE),test!$J$10:$P$14,3,FALSE))),1,0)</f>
        <v>0</v>
      </c>
      <c r="AF28" s="2">
        <f>IF(AND(VLOOKUP(AF$1,test!$A$3:$I$32,8,FALSE) - VLOOKUP($B28,test!$A$3:$I$32,9,FALSE) &gt;= (test!$B$33+VLOOKUP(VLOOKUP($B28,test!$A$2:$I$32,4,FALSE),test!$J$10:$P$14,3,FALSE))),1,0)</f>
        <v>0</v>
      </c>
      <c r="AG28" s="2">
        <f>IF(AND(VLOOKUP(AG$1,test!$A$3:$I$32,8,FALSE) - VLOOKUP($B28,test!$A$3:$I$32,9,FALSE) &gt;= (test!$B$33+VLOOKUP(VLOOKUP($B28,test!$A$2:$I$32,4,FALSE),test!$J$10:$P$14,3,FALSE))),1,0)</f>
        <v>0</v>
      </c>
    </row>
    <row r="29" spans="1:33" x14ac:dyDescent="0.25">
      <c r="A29" t="s">
        <v>48</v>
      </c>
      <c r="B29" t="s">
        <v>38</v>
      </c>
      <c r="C29">
        <v>0</v>
      </c>
      <c r="D29" s="2">
        <f>IF(AND(VLOOKUP(D$1,test!$A$3:$I$32,8,FALSE) - VLOOKUP($B29,test!$A$3:$I$32,9,FALSE) &gt;= (test!$B$33+VLOOKUP(VLOOKUP($B29,test!$A$2:$I$32,4,FALSE),test!$J$10:$P$14,3,FALSE))),1,0)</f>
        <v>0</v>
      </c>
      <c r="E29" s="2">
        <f>IF(AND(VLOOKUP(E$1,test!$A$3:$I$32,8,FALSE) - VLOOKUP($B29,test!$A$3:$I$32,9,FALSE) &gt;= (test!$B$33+VLOOKUP(VLOOKUP($B29,test!$A$2:$I$32,4,FALSE),test!$J$10:$P$14,3,FALSE))),1,0)</f>
        <v>0</v>
      </c>
      <c r="F29" s="2">
        <f>IF(AND(VLOOKUP(F$1,test!$A$3:$I$32,8,FALSE) - VLOOKUP($B29,test!$A$3:$I$32,9,FALSE) &gt;= (test!$B$33+VLOOKUP(VLOOKUP($B29,test!$A$2:$I$32,4,FALSE),test!$J$10:$P$14,3,FALSE))),1,0)</f>
        <v>0</v>
      </c>
      <c r="G29" s="2">
        <f>IF(AND(VLOOKUP(G$1,test!$A$3:$I$32,8,FALSE) - VLOOKUP($B29,test!$A$3:$I$32,9,FALSE) &gt;= (test!$B$33+VLOOKUP(VLOOKUP($B29,test!$A$2:$I$32,4,FALSE),test!$J$10:$P$14,3,FALSE))),1,0)</f>
        <v>0</v>
      </c>
      <c r="H29" s="2">
        <f>IF(AND(VLOOKUP(H$1,test!$A$3:$I$32,8,FALSE) - VLOOKUP($B29,test!$A$3:$I$32,9,FALSE) &gt;= (test!$B$33+VLOOKUP(VLOOKUP($B29,test!$A$2:$I$32,4,FALSE),test!$J$10:$P$14,3,FALSE))),1,0)</f>
        <v>0</v>
      </c>
      <c r="I29" s="2">
        <f>IF(AND(VLOOKUP(I$1,test!$A$3:$I$32,8,FALSE) - VLOOKUP($B29,test!$A$3:$I$32,9,FALSE) &gt;= (test!$B$33+VLOOKUP(VLOOKUP($B29,test!$A$2:$I$32,4,FALSE),test!$J$10:$P$14,3,FALSE))),1,0)</f>
        <v>0</v>
      </c>
      <c r="J29" s="2">
        <f>IF(AND(VLOOKUP(J$1,test!$A$3:$I$32,8,FALSE) - VLOOKUP($B29,test!$A$3:$I$32,9,FALSE) &gt;= (test!$B$33+VLOOKUP(VLOOKUP($B29,test!$A$2:$I$32,4,FALSE),test!$J$10:$P$14,3,FALSE))),1,0)</f>
        <v>0</v>
      </c>
      <c r="K29" s="2">
        <f>IF(AND(VLOOKUP(K$1,test!$A$3:$I$32,8,FALSE) - VLOOKUP($B29,test!$A$3:$I$32,9,FALSE) &gt;= (test!$B$33+VLOOKUP(VLOOKUP($B29,test!$A$2:$I$32,4,FALSE),test!$J$10:$P$14,3,FALSE))),1,0)</f>
        <v>0</v>
      </c>
      <c r="L29" s="2">
        <f>IF(AND(VLOOKUP(L$1,test!$A$3:$I$32,8,FALSE) - VLOOKUP($B29,test!$A$3:$I$32,9,FALSE) &gt;= (test!$B$33+VLOOKUP(VLOOKUP($B29,test!$A$2:$I$32,4,FALSE),test!$J$10:$P$14,3,FALSE))),1,0)</f>
        <v>0</v>
      </c>
      <c r="M29" s="2">
        <f>IF(AND(VLOOKUP(M$1,test!$A$3:$I$32,8,FALSE) - VLOOKUP($B29,test!$A$3:$I$32,9,FALSE) &gt;= (test!$B$33+VLOOKUP(VLOOKUP($B29,test!$A$2:$I$32,4,FALSE),test!$J$10:$P$14,3,FALSE))),1,0)</f>
        <v>0</v>
      </c>
      <c r="N29" s="2">
        <f>IF(AND(VLOOKUP(N$1,test!$A$3:$I$32,8,FALSE) - VLOOKUP($B29,test!$A$3:$I$32,9,FALSE) &gt;= (test!$B$33+VLOOKUP(VLOOKUP($B29,test!$A$2:$I$32,4,FALSE),test!$J$10:$P$14,3,FALSE))),1,0)</f>
        <v>0</v>
      </c>
      <c r="O29" s="2">
        <f>IF(AND(VLOOKUP(O$1,test!$A$3:$I$32,8,FALSE) - VLOOKUP($B29,test!$A$3:$I$32,9,FALSE) &gt;= (test!$B$33+VLOOKUP(VLOOKUP($B29,test!$A$2:$I$32,4,FALSE),test!$J$10:$P$14,3,FALSE))),1,0)</f>
        <v>0</v>
      </c>
      <c r="P29" s="2">
        <f>IF(AND(VLOOKUP(P$1,test!$A$3:$I$32,8,FALSE) - VLOOKUP($B29,test!$A$3:$I$32,9,FALSE) &gt;= (test!$B$33+VLOOKUP(VLOOKUP($B29,test!$A$2:$I$32,4,FALSE),test!$J$10:$P$14,3,FALSE))),1,0)</f>
        <v>0</v>
      </c>
      <c r="Q29" s="2">
        <f>IF(AND(VLOOKUP(Q$1,test!$A$3:$I$32,8,FALSE) - VLOOKUP($B29,test!$A$3:$I$32,9,FALSE) &gt;= (test!$B$33+VLOOKUP(VLOOKUP($B29,test!$A$2:$I$32,4,FALSE),test!$J$10:$P$14,3,FALSE))),1,0)</f>
        <v>0</v>
      </c>
      <c r="R29" s="2">
        <f>IF(AND(VLOOKUP(R$1,test!$A$3:$I$32,8,FALSE) - VLOOKUP($B29,test!$A$3:$I$32,9,FALSE) &gt;= (test!$B$33+VLOOKUP(VLOOKUP($B29,test!$A$2:$I$32,4,FALSE),test!$J$10:$P$14,3,FALSE))),1,0)</f>
        <v>0</v>
      </c>
      <c r="S29" s="2">
        <f>IF(AND(VLOOKUP(S$1,test!$A$3:$I$32,8,FALSE) - VLOOKUP($B29,test!$A$3:$I$32,9,FALSE) &gt;= (test!$B$33+VLOOKUP(VLOOKUP($B29,test!$A$2:$I$32,4,FALSE),test!$J$10:$P$14,3,FALSE))),1,0)</f>
        <v>0</v>
      </c>
      <c r="T29" s="2">
        <f>IF(AND(VLOOKUP(T$1,test!$A$3:$I$32,8,FALSE) - VLOOKUP($B29,test!$A$3:$I$32,9,FALSE) &gt;= (test!$B$33+VLOOKUP(VLOOKUP($B29,test!$A$2:$I$32,4,FALSE),test!$J$10:$P$14,3,FALSE))),1,0)</f>
        <v>0</v>
      </c>
      <c r="U29" s="2">
        <f>IF(AND(VLOOKUP(U$1,test!$A$3:$I$32,8,FALSE) - VLOOKUP($B29,test!$A$3:$I$32,9,FALSE) &gt;= (test!$B$33+VLOOKUP(VLOOKUP($B29,test!$A$2:$I$32,4,FALSE),test!$J$10:$P$14,3,FALSE))),1,0)</f>
        <v>0</v>
      </c>
      <c r="V29" s="2">
        <f>IF(AND(VLOOKUP(V$1,test!$A$3:$I$32,8,FALSE) - VLOOKUP($B29,test!$A$3:$I$32,9,FALSE) &gt;= (test!$B$33+VLOOKUP(VLOOKUP($B29,test!$A$2:$I$32,4,FALSE),test!$J$10:$P$14,3,FALSE))),1,0)</f>
        <v>0</v>
      </c>
      <c r="W29" s="2">
        <f>IF(AND(VLOOKUP(W$1,test!$A$3:$I$32,8,FALSE) - VLOOKUP($B29,test!$A$3:$I$32,9,FALSE) &gt;= (test!$B$33+VLOOKUP(VLOOKUP($B29,test!$A$2:$I$32,4,FALSE),test!$J$10:$P$14,3,FALSE))),1,0)</f>
        <v>0</v>
      </c>
      <c r="X29" s="2">
        <f>IF(AND(VLOOKUP(X$1,test!$A$3:$I$32,8,FALSE) - VLOOKUP($B29,test!$A$3:$I$32,9,FALSE) &gt;= (test!$B$33+VLOOKUP(VLOOKUP($B29,test!$A$2:$I$32,4,FALSE),test!$J$10:$P$14,3,FALSE))),1,0)</f>
        <v>0</v>
      </c>
      <c r="Y29" s="2">
        <f>IF(AND(VLOOKUP(Y$1,test!$A$3:$I$32,8,FALSE) - VLOOKUP($B29,test!$A$3:$I$32,9,FALSE) &gt;= (test!$B$33+VLOOKUP(VLOOKUP($B29,test!$A$2:$I$32,4,FALSE),test!$J$10:$P$14,3,FALSE))),1,0)</f>
        <v>0</v>
      </c>
      <c r="Z29" s="2">
        <f>IF(AND(VLOOKUP(Z$1,test!$A$3:$I$32,8,FALSE) - VLOOKUP($B29,test!$A$3:$I$32,9,FALSE) &gt;= (test!$B$33+VLOOKUP(VLOOKUP($B29,test!$A$2:$I$32,4,FALSE),test!$J$10:$P$14,3,FALSE))),1,0)</f>
        <v>0</v>
      </c>
      <c r="AA29" s="2">
        <f>IF(AND(VLOOKUP(AA$1,test!$A$3:$I$32,8,FALSE) - VLOOKUP($B29,test!$A$3:$I$32,9,FALSE) &gt;= (test!$B$33+VLOOKUP(VLOOKUP($B29,test!$A$2:$I$32,4,FALSE),test!$J$10:$P$14,3,FALSE))),1,0)</f>
        <v>0</v>
      </c>
      <c r="AB29" s="2">
        <f>IF(AND(VLOOKUP(AB$1,test!$A$3:$I$32,8,FALSE) - VLOOKUP($B29,test!$A$3:$I$32,9,FALSE) &gt;= (test!$B$33+VLOOKUP(VLOOKUP($B29,test!$A$2:$I$32,4,FALSE),test!$J$10:$P$14,3,FALSE))),1,0)</f>
        <v>0</v>
      </c>
      <c r="AC29" s="2">
        <f>IF(AND(VLOOKUP(AC$1,test!$A$3:$I$32,8,FALSE) - VLOOKUP($B29,test!$A$3:$I$32,9,FALSE) &gt;= (test!$B$33+VLOOKUP(VLOOKUP($B29,test!$A$2:$I$32,4,FALSE),test!$J$10:$P$14,3,FALSE))),1,0)</f>
        <v>0</v>
      </c>
      <c r="AD29" s="2">
        <f>IF(AND(VLOOKUP(AD$1,test!$A$3:$I$32,8,FALSE) - VLOOKUP($B29,test!$A$3:$I$32,9,FALSE) &gt;= (test!$B$33+VLOOKUP(VLOOKUP($B29,test!$A$2:$I$32,4,FALSE),test!$J$10:$P$14,3,FALSE))),1,0)</f>
        <v>0</v>
      </c>
      <c r="AE29" s="2">
        <f>IF(AND(VLOOKUP(AE$1,test!$A$3:$I$32,8,FALSE) - VLOOKUP($B29,test!$A$3:$I$32,9,FALSE) &gt;= (test!$B$33+VLOOKUP(VLOOKUP($B29,test!$A$2:$I$32,4,FALSE),test!$J$10:$P$14,3,FALSE))),1,0)</f>
        <v>0</v>
      </c>
      <c r="AF29" s="2">
        <f>IF(AND(VLOOKUP(AF$1,test!$A$3:$I$32,8,FALSE) - VLOOKUP($B29,test!$A$3:$I$32,9,FALSE) &gt;= (test!$B$33+VLOOKUP(VLOOKUP($B29,test!$A$2:$I$32,4,FALSE),test!$J$10:$P$14,3,FALSE))),1,0)</f>
        <v>0</v>
      </c>
      <c r="AG29" s="2">
        <f>IF(AND(VLOOKUP(AG$1,test!$A$3:$I$32,8,FALSE) - VLOOKUP($B29,test!$A$3:$I$32,9,FALSE) &gt;= (test!$B$33+VLOOKUP(VLOOKUP($B29,test!$A$2:$I$32,4,FALSE),test!$J$10:$P$14,3,FALSE))),1,0)</f>
        <v>0</v>
      </c>
    </row>
    <row r="30" spans="1:33" x14ac:dyDescent="0.25">
      <c r="A30" t="s">
        <v>48</v>
      </c>
      <c r="B30" t="s">
        <v>39</v>
      </c>
      <c r="C30">
        <v>0</v>
      </c>
      <c r="D30" s="2">
        <f>IF(AND(VLOOKUP(D$1,test!$A$3:$I$32,8,FALSE) - VLOOKUP($B30,test!$A$3:$I$32,9,FALSE) &gt;= (test!$B$33+VLOOKUP(VLOOKUP($B30,test!$A$2:$I$32,4,FALSE),test!$J$10:$P$14,3,FALSE))),1,0)</f>
        <v>0</v>
      </c>
      <c r="E30" s="2">
        <f>IF(AND(VLOOKUP(E$1,test!$A$3:$I$32,8,FALSE) - VLOOKUP($B30,test!$A$3:$I$32,9,FALSE) &gt;= (test!$B$33+VLOOKUP(VLOOKUP($B30,test!$A$2:$I$32,4,FALSE),test!$J$10:$P$14,3,FALSE))),1,0)</f>
        <v>0</v>
      </c>
      <c r="F30" s="2">
        <f>IF(AND(VLOOKUP(F$1,test!$A$3:$I$32,8,FALSE) - VLOOKUP($B30,test!$A$3:$I$32,9,FALSE) &gt;= (test!$B$33+VLOOKUP(VLOOKUP($B30,test!$A$2:$I$32,4,FALSE),test!$J$10:$P$14,3,FALSE))),1,0)</f>
        <v>1</v>
      </c>
      <c r="G30" s="2">
        <f>IF(AND(VLOOKUP(G$1,test!$A$3:$I$32,8,FALSE) - VLOOKUP($B30,test!$A$3:$I$32,9,FALSE) &gt;= (test!$B$33+VLOOKUP(VLOOKUP($B30,test!$A$2:$I$32,4,FALSE),test!$J$10:$P$14,3,FALSE))),1,0)</f>
        <v>1</v>
      </c>
      <c r="H30" s="2">
        <f>IF(AND(VLOOKUP(H$1,test!$A$3:$I$32,8,FALSE) - VLOOKUP($B30,test!$A$3:$I$32,9,FALSE) &gt;= (test!$B$33+VLOOKUP(VLOOKUP($B30,test!$A$2:$I$32,4,FALSE),test!$J$10:$P$14,3,FALSE))),1,0)</f>
        <v>1</v>
      </c>
      <c r="I30" s="2">
        <f>IF(AND(VLOOKUP(I$1,test!$A$3:$I$32,8,FALSE) - VLOOKUP($B30,test!$A$3:$I$32,9,FALSE) &gt;= (test!$B$33+VLOOKUP(VLOOKUP($B30,test!$A$2:$I$32,4,FALSE),test!$J$10:$P$14,3,FALSE))),1,0)</f>
        <v>1</v>
      </c>
      <c r="J30" s="2">
        <f>IF(AND(VLOOKUP(J$1,test!$A$3:$I$32,8,FALSE) - VLOOKUP($B30,test!$A$3:$I$32,9,FALSE) &gt;= (test!$B$33+VLOOKUP(VLOOKUP($B30,test!$A$2:$I$32,4,FALSE),test!$J$10:$P$14,3,FALSE))),1,0)</f>
        <v>1</v>
      </c>
      <c r="K30" s="2">
        <f>IF(AND(VLOOKUP(K$1,test!$A$3:$I$32,8,FALSE) - VLOOKUP($B30,test!$A$3:$I$32,9,FALSE) &gt;= (test!$B$33+VLOOKUP(VLOOKUP($B30,test!$A$2:$I$32,4,FALSE),test!$J$10:$P$14,3,FALSE))),1,0)</f>
        <v>1</v>
      </c>
      <c r="L30" s="2">
        <f>IF(AND(VLOOKUP(L$1,test!$A$3:$I$32,8,FALSE) - VLOOKUP($B30,test!$A$3:$I$32,9,FALSE) &gt;= (test!$B$33+VLOOKUP(VLOOKUP($B30,test!$A$2:$I$32,4,FALSE),test!$J$10:$P$14,3,FALSE))),1,0)</f>
        <v>0</v>
      </c>
      <c r="M30" s="2">
        <f>IF(AND(VLOOKUP(M$1,test!$A$3:$I$32,8,FALSE) - VLOOKUP($B30,test!$A$3:$I$32,9,FALSE) &gt;= (test!$B$33+VLOOKUP(VLOOKUP($B30,test!$A$2:$I$32,4,FALSE),test!$J$10:$P$14,3,FALSE))),1,0)</f>
        <v>0</v>
      </c>
      <c r="N30" s="2">
        <f>IF(AND(VLOOKUP(N$1,test!$A$3:$I$32,8,FALSE) - VLOOKUP($B30,test!$A$3:$I$32,9,FALSE) &gt;= (test!$B$33+VLOOKUP(VLOOKUP($B30,test!$A$2:$I$32,4,FALSE),test!$J$10:$P$14,3,FALSE))),1,0)</f>
        <v>0</v>
      </c>
      <c r="O30" s="2">
        <f>IF(AND(VLOOKUP(O$1,test!$A$3:$I$32,8,FALSE) - VLOOKUP($B30,test!$A$3:$I$32,9,FALSE) &gt;= (test!$B$33+VLOOKUP(VLOOKUP($B30,test!$A$2:$I$32,4,FALSE),test!$J$10:$P$14,3,FALSE))),1,0)</f>
        <v>1</v>
      </c>
      <c r="P30" s="2">
        <f>IF(AND(VLOOKUP(P$1,test!$A$3:$I$32,8,FALSE) - VLOOKUP($B30,test!$A$3:$I$32,9,FALSE) &gt;= (test!$B$33+VLOOKUP(VLOOKUP($B30,test!$A$2:$I$32,4,FALSE),test!$J$10:$P$14,3,FALSE))),1,0)</f>
        <v>1</v>
      </c>
      <c r="Q30" s="2">
        <f>IF(AND(VLOOKUP(Q$1,test!$A$3:$I$32,8,FALSE) - VLOOKUP($B30,test!$A$3:$I$32,9,FALSE) &gt;= (test!$B$33+VLOOKUP(VLOOKUP($B30,test!$A$2:$I$32,4,FALSE),test!$J$10:$P$14,3,FALSE))),1,0)</f>
        <v>0</v>
      </c>
      <c r="R30" s="2">
        <f>IF(AND(VLOOKUP(R$1,test!$A$3:$I$32,8,FALSE) - VLOOKUP($B30,test!$A$3:$I$32,9,FALSE) &gt;= (test!$B$33+VLOOKUP(VLOOKUP($B30,test!$A$2:$I$32,4,FALSE),test!$J$10:$P$14,3,FALSE))),1,0)</f>
        <v>0</v>
      </c>
      <c r="S30" s="2">
        <f>IF(AND(VLOOKUP(S$1,test!$A$3:$I$32,8,FALSE) - VLOOKUP($B30,test!$A$3:$I$32,9,FALSE) &gt;= (test!$B$33+VLOOKUP(VLOOKUP($B30,test!$A$2:$I$32,4,FALSE),test!$J$10:$P$14,3,FALSE))),1,0)</f>
        <v>0</v>
      </c>
      <c r="T30" s="2">
        <f>IF(AND(VLOOKUP(T$1,test!$A$3:$I$32,8,FALSE) - VLOOKUP($B30,test!$A$3:$I$32,9,FALSE) &gt;= (test!$B$33+VLOOKUP(VLOOKUP($B30,test!$A$2:$I$32,4,FALSE),test!$J$10:$P$14,3,FALSE))),1,0)</f>
        <v>0</v>
      </c>
      <c r="U30" s="2">
        <f>IF(AND(VLOOKUP(U$1,test!$A$3:$I$32,8,FALSE) - VLOOKUP($B30,test!$A$3:$I$32,9,FALSE) &gt;= (test!$B$33+VLOOKUP(VLOOKUP($B30,test!$A$2:$I$32,4,FALSE),test!$J$10:$P$14,3,FALSE))),1,0)</f>
        <v>1</v>
      </c>
      <c r="V30" s="2">
        <f>IF(AND(VLOOKUP(V$1,test!$A$3:$I$32,8,FALSE) - VLOOKUP($B30,test!$A$3:$I$32,9,FALSE) &gt;= (test!$B$33+VLOOKUP(VLOOKUP($B30,test!$A$2:$I$32,4,FALSE),test!$J$10:$P$14,3,FALSE))),1,0)</f>
        <v>1</v>
      </c>
      <c r="W30" s="2">
        <f>IF(AND(VLOOKUP(W$1,test!$A$3:$I$32,8,FALSE) - VLOOKUP($B30,test!$A$3:$I$32,9,FALSE) &gt;= (test!$B$33+VLOOKUP(VLOOKUP($B30,test!$A$2:$I$32,4,FALSE),test!$J$10:$P$14,3,FALSE))),1,0)</f>
        <v>1</v>
      </c>
      <c r="X30" s="2">
        <f>IF(AND(VLOOKUP(X$1,test!$A$3:$I$32,8,FALSE) - VLOOKUP($B30,test!$A$3:$I$32,9,FALSE) &gt;= (test!$B$33+VLOOKUP(VLOOKUP($B30,test!$A$2:$I$32,4,FALSE),test!$J$10:$P$14,3,FALSE))),1,0)</f>
        <v>1</v>
      </c>
      <c r="Y30" s="2">
        <f>IF(AND(VLOOKUP(Y$1,test!$A$3:$I$32,8,FALSE) - VLOOKUP($B30,test!$A$3:$I$32,9,FALSE) &gt;= (test!$B$33+VLOOKUP(VLOOKUP($B30,test!$A$2:$I$32,4,FALSE),test!$J$10:$P$14,3,FALSE))),1,0)</f>
        <v>1</v>
      </c>
      <c r="Z30" s="2">
        <f>IF(AND(VLOOKUP(Z$1,test!$A$3:$I$32,8,FALSE) - VLOOKUP($B30,test!$A$3:$I$32,9,FALSE) &gt;= (test!$B$33+VLOOKUP(VLOOKUP($B30,test!$A$2:$I$32,4,FALSE),test!$J$10:$P$14,3,FALSE))),1,0)</f>
        <v>0</v>
      </c>
      <c r="AA30" s="2">
        <f>IF(AND(VLOOKUP(AA$1,test!$A$3:$I$32,8,FALSE) - VLOOKUP($B30,test!$A$3:$I$32,9,FALSE) &gt;= (test!$B$33+VLOOKUP(VLOOKUP($B30,test!$A$2:$I$32,4,FALSE),test!$J$10:$P$14,3,FALSE))),1,0)</f>
        <v>0</v>
      </c>
      <c r="AB30" s="2">
        <f>IF(AND(VLOOKUP(AB$1,test!$A$3:$I$32,8,FALSE) - VLOOKUP($B30,test!$A$3:$I$32,9,FALSE) &gt;= (test!$B$33+VLOOKUP(VLOOKUP($B30,test!$A$2:$I$32,4,FALSE),test!$J$10:$P$14,3,FALSE))),1,0)</f>
        <v>1</v>
      </c>
      <c r="AC30" s="2">
        <f>IF(AND(VLOOKUP(AC$1,test!$A$3:$I$32,8,FALSE) - VLOOKUP($B30,test!$A$3:$I$32,9,FALSE) &gt;= (test!$B$33+VLOOKUP(VLOOKUP($B30,test!$A$2:$I$32,4,FALSE),test!$J$10:$P$14,3,FALSE))),1,0)</f>
        <v>1</v>
      </c>
      <c r="AD30" s="2">
        <f>IF(AND(VLOOKUP(AD$1,test!$A$3:$I$32,8,FALSE) - VLOOKUP($B30,test!$A$3:$I$32,9,FALSE) &gt;= (test!$B$33+VLOOKUP(VLOOKUP($B30,test!$A$2:$I$32,4,FALSE),test!$J$10:$P$14,3,FALSE))),1,0)</f>
        <v>1</v>
      </c>
      <c r="AE30" s="2">
        <f>IF(AND(VLOOKUP(AE$1,test!$A$3:$I$32,8,FALSE) - VLOOKUP($B30,test!$A$3:$I$32,9,FALSE) &gt;= (test!$B$33+VLOOKUP(VLOOKUP($B30,test!$A$2:$I$32,4,FALSE),test!$J$10:$P$14,3,FALSE))),1,0)</f>
        <v>0</v>
      </c>
      <c r="AF30" s="2">
        <f>IF(AND(VLOOKUP(AF$1,test!$A$3:$I$32,8,FALSE) - VLOOKUP($B30,test!$A$3:$I$32,9,FALSE) &gt;= (test!$B$33+VLOOKUP(VLOOKUP($B30,test!$A$2:$I$32,4,FALSE),test!$J$10:$P$14,3,FALSE))),1,0)</f>
        <v>1</v>
      </c>
      <c r="AG30" s="2">
        <f>IF(AND(VLOOKUP(AG$1,test!$A$3:$I$32,8,FALSE) - VLOOKUP($B30,test!$A$3:$I$32,9,FALSE) &gt;= (test!$B$33+VLOOKUP(VLOOKUP($B30,test!$A$2:$I$32,4,FALSE),test!$J$10:$P$14,3,FALSE))),1,0)</f>
        <v>1</v>
      </c>
    </row>
    <row r="31" spans="1:33" x14ac:dyDescent="0.25">
      <c r="A31" t="s">
        <v>48</v>
      </c>
      <c r="B31" t="s">
        <v>40</v>
      </c>
      <c r="C31">
        <v>0</v>
      </c>
      <c r="D31" s="2">
        <f>IF(AND(VLOOKUP(D$1,test!$A$3:$I$32,8,FALSE) - VLOOKUP($B31,test!$A$3:$I$32,9,FALSE) &gt;= (test!$B$33+VLOOKUP(VLOOKUP($B31,test!$A$2:$I$32,4,FALSE),test!$J$10:$P$14,3,FALSE))),1,0)</f>
        <v>0</v>
      </c>
      <c r="E31" s="2">
        <f>IF(AND(VLOOKUP(E$1,test!$A$3:$I$32,8,FALSE) - VLOOKUP($B31,test!$A$3:$I$32,9,FALSE) &gt;= (test!$B$33+VLOOKUP(VLOOKUP($B31,test!$A$2:$I$32,4,FALSE),test!$J$10:$P$14,3,FALSE))),1,0)</f>
        <v>0</v>
      </c>
      <c r="F31" s="2">
        <f>IF(AND(VLOOKUP(F$1,test!$A$3:$I$32,8,FALSE) - VLOOKUP($B31,test!$A$3:$I$32,9,FALSE) &gt;= (test!$B$33+VLOOKUP(VLOOKUP($B31,test!$A$2:$I$32,4,FALSE),test!$J$10:$P$14,3,FALSE))),1,0)</f>
        <v>0</v>
      </c>
      <c r="G31" s="2">
        <f>IF(AND(VLOOKUP(G$1,test!$A$3:$I$32,8,FALSE) - VLOOKUP($B31,test!$A$3:$I$32,9,FALSE) &gt;= (test!$B$33+VLOOKUP(VLOOKUP($B31,test!$A$2:$I$32,4,FALSE),test!$J$10:$P$14,3,FALSE))),1,0)</f>
        <v>0</v>
      </c>
      <c r="H31" s="2">
        <f>IF(AND(VLOOKUP(H$1,test!$A$3:$I$32,8,FALSE) - VLOOKUP($B31,test!$A$3:$I$32,9,FALSE) &gt;= (test!$B$33+VLOOKUP(VLOOKUP($B31,test!$A$2:$I$32,4,FALSE),test!$J$10:$P$14,3,FALSE))),1,0)</f>
        <v>0</v>
      </c>
      <c r="I31" s="2">
        <f>IF(AND(VLOOKUP(I$1,test!$A$3:$I$32,8,FALSE) - VLOOKUP($B31,test!$A$3:$I$32,9,FALSE) &gt;= (test!$B$33+VLOOKUP(VLOOKUP($B31,test!$A$2:$I$32,4,FALSE),test!$J$10:$P$14,3,FALSE))),1,0)</f>
        <v>0</v>
      </c>
      <c r="J31" s="2">
        <f>IF(AND(VLOOKUP(J$1,test!$A$3:$I$32,8,FALSE) - VLOOKUP($B31,test!$A$3:$I$32,9,FALSE) &gt;= (test!$B$33+VLOOKUP(VLOOKUP($B31,test!$A$2:$I$32,4,FALSE),test!$J$10:$P$14,3,FALSE))),1,0)</f>
        <v>0</v>
      </c>
      <c r="K31" s="2">
        <f>IF(AND(VLOOKUP(K$1,test!$A$3:$I$32,8,FALSE) - VLOOKUP($B31,test!$A$3:$I$32,9,FALSE) &gt;= (test!$B$33+VLOOKUP(VLOOKUP($B31,test!$A$2:$I$32,4,FALSE),test!$J$10:$P$14,3,FALSE))),1,0)</f>
        <v>1</v>
      </c>
      <c r="L31" s="2">
        <f>IF(AND(VLOOKUP(L$1,test!$A$3:$I$32,8,FALSE) - VLOOKUP($B31,test!$A$3:$I$32,9,FALSE) &gt;= (test!$B$33+VLOOKUP(VLOOKUP($B31,test!$A$2:$I$32,4,FALSE),test!$J$10:$P$14,3,FALSE))),1,0)</f>
        <v>0</v>
      </c>
      <c r="M31" s="2">
        <f>IF(AND(VLOOKUP(M$1,test!$A$3:$I$32,8,FALSE) - VLOOKUP($B31,test!$A$3:$I$32,9,FALSE) &gt;= (test!$B$33+VLOOKUP(VLOOKUP($B31,test!$A$2:$I$32,4,FALSE),test!$J$10:$P$14,3,FALSE))),1,0)</f>
        <v>0</v>
      </c>
      <c r="N31" s="2">
        <f>IF(AND(VLOOKUP(N$1,test!$A$3:$I$32,8,FALSE) - VLOOKUP($B31,test!$A$3:$I$32,9,FALSE) &gt;= (test!$B$33+VLOOKUP(VLOOKUP($B31,test!$A$2:$I$32,4,FALSE),test!$J$10:$P$14,3,FALSE))),1,0)</f>
        <v>0</v>
      </c>
      <c r="O31" s="2">
        <f>IF(AND(VLOOKUP(O$1,test!$A$3:$I$32,8,FALSE) - VLOOKUP($B31,test!$A$3:$I$32,9,FALSE) &gt;= (test!$B$33+VLOOKUP(VLOOKUP($B31,test!$A$2:$I$32,4,FALSE),test!$J$10:$P$14,3,FALSE))),1,0)</f>
        <v>1</v>
      </c>
      <c r="P31" s="2">
        <f>IF(AND(VLOOKUP(P$1,test!$A$3:$I$32,8,FALSE) - VLOOKUP($B31,test!$A$3:$I$32,9,FALSE) &gt;= (test!$B$33+VLOOKUP(VLOOKUP($B31,test!$A$2:$I$32,4,FALSE),test!$J$10:$P$14,3,FALSE))),1,0)</f>
        <v>1</v>
      </c>
      <c r="Q31" s="2">
        <f>IF(AND(VLOOKUP(Q$1,test!$A$3:$I$32,8,FALSE) - VLOOKUP($B31,test!$A$3:$I$32,9,FALSE) &gt;= (test!$B$33+VLOOKUP(VLOOKUP($B31,test!$A$2:$I$32,4,FALSE),test!$J$10:$P$14,3,FALSE))),1,0)</f>
        <v>0</v>
      </c>
      <c r="R31" s="2">
        <f>IF(AND(VLOOKUP(R$1,test!$A$3:$I$32,8,FALSE) - VLOOKUP($B31,test!$A$3:$I$32,9,FALSE) &gt;= (test!$B$33+VLOOKUP(VLOOKUP($B31,test!$A$2:$I$32,4,FALSE),test!$J$10:$P$14,3,FALSE))),1,0)</f>
        <v>0</v>
      </c>
      <c r="S31" s="2">
        <f>IF(AND(VLOOKUP(S$1,test!$A$3:$I$32,8,FALSE) - VLOOKUP($B31,test!$A$3:$I$32,9,FALSE) &gt;= (test!$B$33+VLOOKUP(VLOOKUP($B31,test!$A$2:$I$32,4,FALSE),test!$J$10:$P$14,3,FALSE))),1,0)</f>
        <v>0</v>
      </c>
      <c r="T31" s="2">
        <f>IF(AND(VLOOKUP(T$1,test!$A$3:$I$32,8,FALSE) - VLOOKUP($B31,test!$A$3:$I$32,9,FALSE) &gt;= (test!$B$33+VLOOKUP(VLOOKUP($B31,test!$A$2:$I$32,4,FALSE),test!$J$10:$P$14,3,FALSE))),1,0)</f>
        <v>0</v>
      </c>
      <c r="U31" s="2">
        <f>IF(AND(VLOOKUP(U$1,test!$A$3:$I$32,8,FALSE) - VLOOKUP($B31,test!$A$3:$I$32,9,FALSE) &gt;= (test!$B$33+VLOOKUP(VLOOKUP($B31,test!$A$2:$I$32,4,FALSE),test!$J$10:$P$14,3,FALSE))),1,0)</f>
        <v>0</v>
      </c>
      <c r="V31" s="2">
        <f>IF(AND(VLOOKUP(V$1,test!$A$3:$I$32,8,FALSE) - VLOOKUP($B31,test!$A$3:$I$32,9,FALSE) &gt;= (test!$B$33+VLOOKUP(VLOOKUP($B31,test!$A$2:$I$32,4,FALSE),test!$J$10:$P$14,3,FALSE))),1,0)</f>
        <v>0</v>
      </c>
      <c r="W31" s="2">
        <f>IF(AND(VLOOKUP(W$1,test!$A$3:$I$32,8,FALSE) - VLOOKUP($B31,test!$A$3:$I$32,9,FALSE) &gt;= (test!$B$33+VLOOKUP(VLOOKUP($B31,test!$A$2:$I$32,4,FALSE),test!$J$10:$P$14,3,FALSE))),1,0)</f>
        <v>0</v>
      </c>
      <c r="X31" s="2">
        <f>IF(AND(VLOOKUP(X$1,test!$A$3:$I$32,8,FALSE) - VLOOKUP($B31,test!$A$3:$I$32,9,FALSE) &gt;= (test!$B$33+VLOOKUP(VLOOKUP($B31,test!$A$2:$I$32,4,FALSE),test!$J$10:$P$14,3,FALSE))),1,0)</f>
        <v>0</v>
      </c>
      <c r="Y31" s="2">
        <f>IF(AND(VLOOKUP(Y$1,test!$A$3:$I$32,8,FALSE) - VLOOKUP($B31,test!$A$3:$I$32,9,FALSE) &gt;= (test!$B$33+VLOOKUP(VLOOKUP($B31,test!$A$2:$I$32,4,FALSE),test!$J$10:$P$14,3,FALSE))),1,0)</f>
        <v>0</v>
      </c>
      <c r="Z31" s="2">
        <f>IF(AND(VLOOKUP(Z$1,test!$A$3:$I$32,8,FALSE) - VLOOKUP($B31,test!$A$3:$I$32,9,FALSE) &gt;= (test!$B$33+VLOOKUP(VLOOKUP($B31,test!$A$2:$I$32,4,FALSE),test!$J$10:$P$14,3,FALSE))),1,0)</f>
        <v>0</v>
      </c>
      <c r="AA31" s="2">
        <f>IF(AND(VLOOKUP(AA$1,test!$A$3:$I$32,8,FALSE) - VLOOKUP($B31,test!$A$3:$I$32,9,FALSE) &gt;= (test!$B$33+VLOOKUP(VLOOKUP($B31,test!$A$2:$I$32,4,FALSE),test!$J$10:$P$14,3,FALSE))),1,0)</f>
        <v>0</v>
      </c>
      <c r="AB31" s="2">
        <f>IF(AND(VLOOKUP(AB$1,test!$A$3:$I$32,8,FALSE) - VLOOKUP($B31,test!$A$3:$I$32,9,FALSE) &gt;= (test!$B$33+VLOOKUP(VLOOKUP($B31,test!$A$2:$I$32,4,FALSE),test!$J$10:$P$14,3,FALSE))),1,0)</f>
        <v>0</v>
      </c>
      <c r="AC31" s="2">
        <f>IF(AND(VLOOKUP(AC$1,test!$A$3:$I$32,8,FALSE) - VLOOKUP($B31,test!$A$3:$I$32,9,FALSE) &gt;= (test!$B$33+VLOOKUP(VLOOKUP($B31,test!$A$2:$I$32,4,FALSE),test!$J$10:$P$14,3,FALSE))),1,0)</f>
        <v>0</v>
      </c>
      <c r="AD31" s="2">
        <f>IF(AND(VLOOKUP(AD$1,test!$A$3:$I$32,8,FALSE) - VLOOKUP($B31,test!$A$3:$I$32,9,FALSE) &gt;= (test!$B$33+VLOOKUP(VLOOKUP($B31,test!$A$2:$I$32,4,FALSE),test!$J$10:$P$14,3,FALSE))),1,0)</f>
        <v>0</v>
      </c>
      <c r="AE31" s="2">
        <f>IF(AND(VLOOKUP(AE$1,test!$A$3:$I$32,8,FALSE) - VLOOKUP($B31,test!$A$3:$I$32,9,FALSE) &gt;= (test!$B$33+VLOOKUP(VLOOKUP($B31,test!$A$2:$I$32,4,FALSE),test!$J$10:$P$14,3,FALSE))),1,0)</f>
        <v>0</v>
      </c>
      <c r="AF31" s="2">
        <f>IF(AND(VLOOKUP(AF$1,test!$A$3:$I$32,8,FALSE) - VLOOKUP($B31,test!$A$3:$I$32,9,FALSE) &gt;= (test!$B$33+VLOOKUP(VLOOKUP($B31,test!$A$2:$I$32,4,FALSE),test!$J$10:$P$14,3,FALSE))),1,0)</f>
        <v>0</v>
      </c>
      <c r="AG31" s="2">
        <f>IF(AND(VLOOKUP(AG$1,test!$A$3:$I$32,8,FALSE) - VLOOKUP($B31,test!$A$3:$I$32,9,FALSE) &gt;= (test!$B$33+VLOOKUP(VLOOKUP($B31,test!$A$2:$I$32,4,FALSE),test!$J$10:$P$14,3,FALSE))),1,0)</f>
        <v>0</v>
      </c>
    </row>
    <row r="32" spans="1:33" x14ac:dyDescent="0.25">
      <c r="A32" t="s">
        <v>48</v>
      </c>
      <c r="B32" t="s">
        <v>41</v>
      </c>
      <c r="C32">
        <v>0</v>
      </c>
      <c r="D32" s="2">
        <f>IF(AND(VLOOKUP(D$1,test!$A$3:$I$32,8,FALSE) - VLOOKUP($B32,test!$A$3:$I$32,9,FALSE) &gt;= (test!$B$33+VLOOKUP(VLOOKUP($B32,test!$A$2:$I$32,4,FALSE),test!$J$10:$P$14,3,FALSE))),1,0)</f>
        <v>0</v>
      </c>
      <c r="E32" s="2">
        <f>IF(AND(VLOOKUP(E$1,test!$A$3:$I$32,8,FALSE) - VLOOKUP($B32,test!$A$3:$I$32,9,FALSE) &gt;= (test!$B$33+VLOOKUP(VLOOKUP($B32,test!$A$2:$I$32,4,FALSE),test!$J$10:$P$14,3,FALSE))),1,0)</f>
        <v>0</v>
      </c>
      <c r="F32" s="2">
        <f>IF(AND(VLOOKUP(F$1,test!$A$3:$I$32,8,FALSE) - VLOOKUP($B32,test!$A$3:$I$32,9,FALSE) &gt;= (test!$B$33+VLOOKUP(VLOOKUP($B32,test!$A$2:$I$32,4,FALSE),test!$J$10:$P$14,3,FALSE))),1,0)</f>
        <v>0</v>
      </c>
      <c r="G32" s="2">
        <f>IF(AND(VLOOKUP(G$1,test!$A$3:$I$32,8,FALSE) - VLOOKUP($B32,test!$A$3:$I$32,9,FALSE) &gt;= (test!$B$33+VLOOKUP(VLOOKUP($B32,test!$A$2:$I$32,4,FALSE),test!$J$10:$P$14,3,FALSE))),1,0)</f>
        <v>0</v>
      </c>
      <c r="H32" s="2">
        <f>IF(AND(VLOOKUP(H$1,test!$A$3:$I$32,8,FALSE) - VLOOKUP($B32,test!$A$3:$I$32,9,FALSE) &gt;= (test!$B$33+VLOOKUP(VLOOKUP($B32,test!$A$2:$I$32,4,FALSE),test!$J$10:$P$14,3,FALSE))),1,0)</f>
        <v>0</v>
      </c>
      <c r="I32" s="2">
        <f>IF(AND(VLOOKUP(I$1,test!$A$3:$I$32,8,FALSE) - VLOOKUP($B32,test!$A$3:$I$32,9,FALSE) &gt;= (test!$B$33+VLOOKUP(VLOOKUP($B32,test!$A$2:$I$32,4,FALSE),test!$J$10:$P$14,3,FALSE))),1,0)</f>
        <v>0</v>
      </c>
      <c r="J32" s="2">
        <f>IF(AND(VLOOKUP(J$1,test!$A$3:$I$32,8,FALSE) - VLOOKUP($B32,test!$A$3:$I$32,9,FALSE) &gt;= (test!$B$33+VLOOKUP(VLOOKUP($B32,test!$A$2:$I$32,4,FALSE),test!$J$10:$P$14,3,FALSE))),1,0)</f>
        <v>0</v>
      </c>
      <c r="K32" s="2">
        <f>IF(AND(VLOOKUP(K$1,test!$A$3:$I$32,8,FALSE) - VLOOKUP($B32,test!$A$3:$I$32,9,FALSE) &gt;= (test!$B$33+VLOOKUP(VLOOKUP($B32,test!$A$2:$I$32,4,FALSE),test!$J$10:$P$14,3,FALSE))),1,0)</f>
        <v>1</v>
      </c>
      <c r="L32" s="2">
        <f>IF(AND(VLOOKUP(L$1,test!$A$3:$I$32,8,FALSE) - VLOOKUP($B32,test!$A$3:$I$32,9,FALSE) &gt;= (test!$B$33+VLOOKUP(VLOOKUP($B32,test!$A$2:$I$32,4,FALSE),test!$J$10:$P$14,3,FALSE))),1,0)</f>
        <v>0</v>
      </c>
      <c r="M32" s="2">
        <f>IF(AND(VLOOKUP(M$1,test!$A$3:$I$32,8,FALSE) - VLOOKUP($B32,test!$A$3:$I$32,9,FALSE) &gt;= (test!$B$33+VLOOKUP(VLOOKUP($B32,test!$A$2:$I$32,4,FALSE),test!$J$10:$P$14,3,FALSE))),1,0)</f>
        <v>0</v>
      </c>
      <c r="N32" s="2">
        <f>IF(AND(VLOOKUP(N$1,test!$A$3:$I$32,8,FALSE) - VLOOKUP($B32,test!$A$3:$I$32,9,FALSE) &gt;= (test!$B$33+VLOOKUP(VLOOKUP($B32,test!$A$2:$I$32,4,FALSE),test!$J$10:$P$14,3,FALSE))),1,0)</f>
        <v>0</v>
      </c>
      <c r="O32" s="2">
        <f>IF(AND(VLOOKUP(O$1,test!$A$3:$I$32,8,FALSE) - VLOOKUP($B32,test!$A$3:$I$32,9,FALSE) &gt;= (test!$B$33+VLOOKUP(VLOOKUP($B32,test!$A$2:$I$32,4,FALSE),test!$J$10:$P$14,3,FALSE))),1,0)</f>
        <v>0</v>
      </c>
      <c r="P32" s="2">
        <f>IF(AND(VLOOKUP(P$1,test!$A$3:$I$32,8,FALSE) - VLOOKUP($B32,test!$A$3:$I$32,9,FALSE) &gt;= (test!$B$33+VLOOKUP(VLOOKUP($B32,test!$A$2:$I$32,4,FALSE),test!$J$10:$P$14,3,FALSE))),1,0)</f>
        <v>1</v>
      </c>
      <c r="Q32" s="2">
        <f>IF(AND(VLOOKUP(Q$1,test!$A$3:$I$32,8,FALSE) - VLOOKUP($B32,test!$A$3:$I$32,9,FALSE) &gt;= (test!$B$33+VLOOKUP(VLOOKUP($B32,test!$A$2:$I$32,4,FALSE),test!$J$10:$P$14,3,FALSE))),1,0)</f>
        <v>0</v>
      </c>
      <c r="R32" s="2">
        <f>IF(AND(VLOOKUP(R$1,test!$A$3:$I$32,8,FALSE) - VLOOKUP($B32,test!$A$3:$I$32,9,FALSE) &gt;= (test!$B$33+VLOOKUP(VLOOKUP($B32,test!$A$2:$I$32,4,FALSE),test!$J$10:$P$14,3,FALSE))),1,0)</f>
        <v>0</v>
      </c>
      <c r="S32" s="2">
        <f>IF(AND(VLOOKUP(S$1,test!$A$3:$I$32,8,FALSE) - VLOOKUP($B32,test!$A$3:$I$32,9,FALSE) &gt;= (test!$B$33+VLOOKUP(VLOOKUP($B32,test!$A$2:$I$32,4,FALSE),test!$J$10:$P$14,3,FALSE))),1,0)</f>
        <v>0</v>
      </c>
      <c r="T32" s="2">
        <f>IF(AND(VLOOKUP(T$1,test!$A$3:$I$32,8,FALSE) - VLOOKUP($B32,test!$A$3:$I$32,9,FALSE) &gt;= (test!$B$33+VLOOKUP(VLOOKUP($B32,test!$A$2:$I$32,4,FALSE),test!$J$10:$P$14,3,FALSE))),1,0)</f>
        <v>0</v>
      </c>
      <c r="U32" s="2">
        <f>IF(AND(VLOOKUP(U$1,test!$A$3:$I$32,8,FALSE) - VLOOKUP($B32,test!$A$3:$I$32,9,FALSE) &gt;= (test!$B$33+VLOOKUP(VLOOKUP($B32,test!$A$2:$I$32,4,FALSE),test!$J$10:$P$14,3,FALSE))),1,0)</f>
        <v>0</v>
      </c>
      <c r="V32" s="2">
        <f>IF(AND(VLOOKUP(V$1,test!$A$3:$I$32,8,FALSE) - VLOOKUP($B32,test!$A$3:$I$32,9,FALSE) &gt;= (test!$B$33+VLOOKUP(VLOOKUP($B32,test!$A$2:$I$32,4,FALSE),test!$J$10:$P$14,3,FALSE))),1,0)</f>
        <v>0</v>
      </c>
      <c r="W32" s="2">
        <f>IF(AND(VLOOKUP(W$1,test!$A$3:$I$32,8,FALSE) - VLOOKUP($B32,test!$A$3:$I$32,9,FALSE) &gt;= (test!$B$33+VLOOKUP(VLOOKUP($B32,test!$A$2:$I$32,4,FALSE),test!$J$10:$P$14,3,FALSE))),1,0)</f>
        <v>0</v>
      </c>
      <c r="X32" s="2">
        <f>IF(AND(VLOOKUP(X$1,test!$A$3:$I$32,8,FALSE) - VLOOKUP($B32,test!$A$3:$I$32,9,FALSE) &gt;= (test!$B$33+VLOOKUP(VLOOKUP($B32,test!$A$2:$I$32,4,FALSE),test!$J$10:$P$14,3,FALSE))),1,0)</f>
        <v>0</v>
      </c>
      <c r="Y32" s="2">
        <f>IF(AND(VLOOKUP(Y$1,test!$A$3:$I$32,8,FALSE) - VLOOKUP($B32,test!$A$3:$I$32,9,FALSE) &gt;= (test!$B$33+VLOOKUP(VLOOKUP($B32,test!$A$2:$I$32,4,FALSE),test!$J$10:$P$14,3,FALSE))),1,0)</f>
        <v>0</v>
      </c>
      <c r="Z32" s="2">
        <f>IF(AND(VLOOKUP(Z$1,test!$A$3:$I$32,8,FALSE) - VLOOKUP($B32,test!$A$3:$I$32,9,FALSE) &gt;= (test!$B$33+VLOOKUP(VLOOKUP($B32,test!$A$2:$I$32,4,FALSE),test!$J$10:$P$14,3,FALSE))),1,0)</f>
        <v>0</v>
      </c>
      <c r="AA32" s="2">
        <f>IF(AND(VLOOKUP(AA$1,test!$A$3:$I$32,8,FALSE) - VLOOKUP($B32,test!$A$3:$I$32,9,FALSE) &gt;= (test!$B$33+VLOOKUP(VLOOKUP($B32,test!$A$2:$I$32,4,FALSE),test!$J$10:$P$14,3,FALSE))),1,0)</f>
        <v>0</v>
      </c>
      <c r="AB32" s="2">
        <f>IF(AND(VLOOKUP(AB$1,test!$A$3:$I$32,8,FALSE) - VLOOKUP($B32,test!$A$3:$I$32,9,FALSE) &gt;= (test!$B$33+VLOOKUP(VLOOKUP($B32,test!$A$2:$I$32,4,FALSE),test!$J$10:$P$14,3,FALSE))),1,0)</f>
        <v>0</v>
      </c>
      <c r="AC32" s="2">
        <f>IF(AND(VLOOKUP(AC$1,test!$A$3:$I$32,8,FALSE) - VLOOKUP($B32,test!$A$3:$I$32,9,FALSE) &gt;= (test!$B$33+VLOOKUP(VLOOKUP($B32,test!$A$2:$I$32,4,FALSE),test!$J$10:$P$14,3,FALSE))),1,0)</f>
        <v>0</v>
      </c>
      <c r="AD32" s="2">
        <f>IF(AND(VLOOKUP(AD$1,test!$A$3:$I$32,8,FALSE) - VLOOKUP($B32,test!$A$3:$I$32,9,FALSE) &gt;= (test!$B$33+VLOOKUP(VLOOKUP($B32,test!$A$2:$I$32,4,FALSE),test!$J$10:$P$14,3,FALSE))),1,0)</f>
        <v>0</v>
      </c>
      <c r="AE32" s="2">
        <f>IF(AND(VLOOKUP(AE$1,test!$A$3:$I$32,8,FALSE) - VLOOKUP($B32,test!$A$3:$I$32,9,FALSE) &gt;= (test!$B$33+VLOOKUP(VLOOKUP($B32,test!$A$2:$I$32,4,FALSE),test!$J$10:$P$14,3,FALSE))),1,0)</f>
        <v>0</v>
      </c>
      <c r="AF32" s="2">
        <f>IF(AND(VLOOKUP(AF$1,test!$A$3:$I$32,8,FALSE) - VLOOKUP($B32,test!$A$3:$I$32,9,FALSE) &gt;= (test!$B$33+VLOOKUP(VLOOKUP($B32,test!$A$2:$I$32,4,FALSE),test!$J$10:$P$14,3,FALSE))),1,0)</f>
        <v>0</v>
      </c>
      <c r="AG32" s="2">
        <f>IF(AND(VLOOKUP(AG$1,test!$A$3:$I$32,8,FALSE) - VLOOKUP($B32,test!$A$3:$I$32,9,FALSE) &gt;= (test!$B$33+VLOOKUP(VLOOKUP($B32,test!$A$2:$I$32,4,FALSE),test!$J$10:$P$14,3,FALSE))),1,0)</f>
        <v>0</v>
      </c>
    </row>
    <row r="33" spans="1:33" x14ac:dyDescent="0.25">
      <c r="A33" t="s">
        <v>90</v>
      </c>
      <c r="B33" t="s">
        <v>46</v>
      </c>
      <c r="C33">
        <v>0</v>
      </c>
      <c r="D33" s="2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 t="s">
        <v>90</v>
      </c>
      <c r="B34" t="s">
        <v>6</v>
      </c>
      <c r="C34">
        <v>0</v>
      </c>
      <c r="D34" s="2">
        <f>IF(AND(feasible_mat!C3=1, VLOOKUP(Recharged_Feasible_matv3!$A34,test!$A$34:$G$37, 3,FALSE)=VLOOKUP(D$1,test!$A$3:$I$32,3,FALSE)),1,0)</f>
        <v>0</v>
      </c>
      <c r="E34" s="2">
        <f>IF(AND(feasible_mat!D3=1, VLOOKUP(Recharged_Feasible_matv3!$A34,test!$A$34:$G$37, 3,FALSE)=VLOOKUP(E$1,test!$A$3:$I$32,3,FALSE)),1,0)</f>
        <v>1</v>
      </c>
      <c r="F34" s="2">
        <f>IF(AND(feasible_mat!E3=1, VLOOKUP(Recharged_Feasible_matv3!$A34,test!$A$34:$G$37, 3,FALSE)=VLOOKUP(F$1,test!$A$3:$I$32,3,FALSE)),1,0)</f>
        <v>1</v>
      </c>
      <c r="G34" s="2">
        <f>IF(AND(feasible_mat!F3=1, VLOOKUP(Recharged_Feasible_matv3!$A34,test!$A$34:$G$37, 3,FALSE)=VLOOKUP(G$1,test!$A$3:$I$32,3,FALSE)),1,0)</f>
        <v>1</v>
      </c>
      <c r="H34" s="2">
        <f>IF(AND(feasible_mat!G3=1, VLOOKUP(Recharged_Feasible_matv3!$A34,test!$A$34:$G$37, 3,FALSE)=VLOOKUP(H$1,test!$A$3:$I$32,3,FALSE)),1,0)</f>
        <v>1</v>
      </c>
      <c r="I34" s="2">
        <f>IF(AND(feasible_mat!H3=1, VLOOKUP(Recharged_Feasible_matv3!$A34,test!$A$34:$G$37, 3,FALSE)=VLOOKUP(I$1,test!$A$3:$I$32,3,FALSE)),1,0)</f>
        <v>1</v>
      </c>
      <c r="J34" s="2">
        <f>IF(AND(feasible_mat!I3=1, VLOOKUP(Recharged_Feasible_matv3!$A34,test!$A$34:$G$37, 3,FALSE)=VLOOKUP(J$1,test!$A$3:$I$32,3,FALSE)),1,0)</f>
        <v>1</v>
      </c>
      <c r="K34" s="2">
        <f>IF(AND(feasible_mat!J3=1, VLOOKUP(Recharged_Feasible_matv3!$A34,test!$A$34:$G$37, 3,FALSE)=VLOOKUP(K$1,test!$A$3:$I$32,3,FALSE)),1,0)</f>
        <v>1</v>
      </c>
      <c r="L34" s="2">
        <f>IF(AND(feasible_mat!K3=1, VLOOKUP(Recharged_Feasible_matv3!$A34,test!$A$34:$G$37, 3,FALSE)=VLOOKUP(L$1,test!$A$3:$I$32,3,FALSE)),1,0)</f>
        <v>0</v>
      </c>
      <c r="M34" s="2">
        <f>IF(AND(feasible_mat!L3=1, VLOOKUP(Recharged_Feasible_matv3!$A34,test!$A$34:$G$37, 3,FALSE)=VLOOKUP(M$1,test!$A$3:$I$32,3,FALSE)),1,0)</f>
        <v>0</v>
      </c>
      <c r="N34" s="2">
        <f>IF(AND(feasible_mat!M3=1, VLOOKUP(Recharged_Feasible_matv3!$A34,test!$A$34:$G$37, 3,FALSE)=VLOOKUP(N$1,test!$A$3:$I$32,3,FALSE)),1,0)</f>
        <v>1</v>
      </c>
      <c r="O34" s="2">
        <f>IF(AND(feasible_mat!N3=1, VLOOKUP(Recharged_Feasible_matv3!$A34,test!$A$34:$G$37, 3,FALSE)=VLOOKUP(O$1,test!$A$3:$I$32,3,FALSE)),1,0)</f>
        <v>1</v>
      </c>
      <c r="P34" s="2">
        <f>IF(AND(feasible_mat!O3=1, VLOOKUP(Recharged_Feasible_matv3!$A34,test!$A$34:$G$37, 3,FALSE)=VLOOKUP(P$1,test!$A$3:$I$32,3,FALSE)),1,0)</f>
        <v>1</v>
      </c>
      <c r="Q34" s="2">
        <f>IF(AND(feasible_mat!P3=1, VLOOKUP(Recharged_Feasible_matv3!$A34,test!$A$34:$G$37, 3,FALSE)=VLOOKUP(Q$1,test!$A$3:$I$32,3,FALSE)),1,0)</f>
        <v>0</v>
      </c>
      <c r="R34" s="2">
        <f>IF(AND(feasible_mat!Q3=1, VLOOKUP(Recharged_Feasible_matv3!$A34,test!$A$34:$G$37, 3,FALSE)=VLOOKUP(R$1,test!$A$3:$I$32,3,FALSE)),1,0)</f>
        <v>0</v>
      </c>
      <c r="S34" s="2">
        <f>IF(AND(feasible_mat!R3=1, VLOOKUP(Recharged_Feasible_matv3!$A34,test!$A$34:$G$37, 3,FALSE)=VLOOKUP(S$1,test!$A$3:$I$32,3,FALSE)),1,0)</f>
        <v>0</v>
      </c>
      <c r="T34" s="2">
        <f>IF(AND(feasible_mat!S3=1, VLOOKUP(Recharged_Feasible_matv3!$A34,test!$A$34:$G$37, 3,FALSE)=VLOOKUP(T$1,test!$A$3:$I$32,3,FALSE)),1,0)</f>
        <v>0</v>
      </c>
      <c r="U34" s="2">
        <f>IF(AND(feasible_mat!T3=1, VLOOKUP(Recharged_Feasible_matv3!$A34,test!$A$34:$G$37, 3,FALSE)=VLOOKUP(U$1,test!$A$3:$I$32,3,FALSE)),1,0)</f>
        <v>0</v>
      </c>
      <c r="V34" s="2">
        <f>IF(AND(feasible_mat!U3=1, VLOOKUP(Recharged_Feasible_matv3!$A34,test!$A$34:$G$37, 3,FALSE)=VLOOKUP(V$1,test!$A$3:$I$32,3,FALSE)),1,0)</f>
        <v>0</v>
      </c>
      <c r="W34" s="2">
        <f>IF(AND(feasible_mat!V3=1, VLOOKUP(Recharged_Feasible_matv3!$A34,test!$A$34:$G$37, 3,FALSE)=VLOOKUP(W$1,test!$A$3:$I$32,3,FALSE)),1,0)</f>
        <v>0</v>
      </c>
      <c r="X34" s="2">
        <f>IF(AND(feasible_mat!W3=1, VLOOKUP(Recharged_Feasible_matv3!$A34,test!$A$34:$G$37, 3,FALSE)=VLOOKUP(X$1,test!$A$3:$I$32,3,FALSE)),1,0)</f>
        <v>0</v>
      </c>
      <c r="Y34" s="2">
        <f>IF(AND(feasible_mat!X3=1, VLOOKUP(Recharged_Feasible_matv3!$A34,test!$A$34:$G$37, 3,FALSE)=VLOOKUP(Y$1,test!$A$3:$I$32,3,FALSE)),1,0)</f>
        <v>0</v>
      </c>
      <c r="Z34" s="2">
        <f>IF(AND(feasible_mat!Y3=1, VLOOKUP(Recharged_Feasible_matv3!$A34,test!$A$34:$G$37, 3,FALSE)=VLOOKUP(Z$1,test!$A$3:$I$32,3,FALSE)),1,0)</f>
        <v>0</v>
      </c>
      <c r="AA34" s="2">
        <f>IF(AND(feasible_mat!Z3=1, VLOOKUP(Recharged_Feasible_matv3!$A34,test!$A$34:$G$37, 3,FALSE)=VLOOKUP(AA$1,test!$A$3:$I$32,3,FALSE)),1,0)</f>
        <v>0</v>
      </c>
      <c r="AB34" s="2">
        <f>IF(AND(feasible_mat!AA3=1, VLOOKUP(Recharged_Feasible_matv3!$A34,test!$A$34:$G$37, 3,FALSE)=VLOOKUP(AB$1,test!$A$3:$I$32,3,FALSE)),1,0)</f>
        <v>0</v>
      </c>
      <c r="AC34" s="2">
        <f>IF(AND(feasible_mat!AB3=1, VLOOKUP(Recharged_Feasible_matv3!$A34,test!$A$34:$G$37, 3,FALSE)=VLOOKUP(AC$1,test!$A$3:$I$32,3,FALSE)),1,0)</f>
        <v>0</v>
      </c>
      <c r="AD34" s="2">
        <f>IF(AND(feasible_mat!AC3=1, VLOOKUP(Recharged_Feasible_matv3!$A34,test!$A$34:$G$37, 3,FALSE)=VLOOKUP(AD$1,test!$A$3:$I$32,3,FALSE)),1,0)</f>
        <v>0</v>
      </c>
      <c r="AE34" s="2">
        <f>IF(AND(feasible_mat!AD3=1, VLOOKUP(Recharged_Feasible_matv3!$A34,test!$A$34:$G$37, 3,FALSE)=VLOOKUP(AE$1,test!$A$3:$I$32,3,FALSE)),1,0)</f>
        <v>0</v>
      </c>
      <c r="AF34" s="2">
        <f>IF(AND(feasible_mat!AE3=1, VLOOKUP(Recharged_Feasible_matv3!$A34,test!$A$34:$G$37, 3,FALSE)=VLOOKUP(AF$1,test!$A$3:$I$32,3,FALSE)),1,0)</f>
        <v>0</v>
      </c>
      <c r="AG34" s="2">
        <f>IF(AND(feasible_mat!AF3=1, VLOOKUP(Recharged_Feasible_matv3!$A34,test!$A$34:$G$37, 3,FALSE)=VLOOKUP(AG$1,test!$A$3:$I$32,3,FALSE)),1,0)</f>
        <v>0</v>
      </c>
    </row>
    <row r="35" spans="1:33" x14ac:dyDescent="0.25">
      <c r="A35" t="s">
        <v>90</v>
      </c>
      <c r="B35" t="s">
        <v>9</v>
      </c>
      <c r="C35">
        <v>0</v>
      </c>
      <c r="D35" s="2">
        <f>IF(AND(feasible_mat!C4=1, VLOOKUP(Recharged_Feasible_matv3!$A35,test!$A$34:$G$37, 3,FALSE)=VLOOKUP(D$1,test!$A$3:$I$32,3,FALSE)),1,0)</f>
        <v>0</v>
      </c>
      <c r="E35" s="2">
        <f>IF(AND(feasible_mat!D4=1, VLOOKUP(Recharged_Feasible_matv3!$A35,test!$A$34:$G$37, 3,FALSE)=VLOOKUP(E$1,test!$A$3:$I$32,3,FALSE)),1,0)</f>
        <v>0</v>
      </c>
      <c r="F35" s="2">
        <f>IF(AND(feasible_mat!E4=1, VLOOKUP(Recharged_Feasible_matv3!$A35,test!$A$34:$G$37, 3,FALSE)=VLOOKUP(F$1,test!$A$3:$I$32,3,FALSE)),1,0)</f>
        <v>0</v>
      </c>
      <c r="G35" s="2">
        <f>IF(AND(feasible_mat!F4=1, VLOOKUP(Recharged_Feasible_matv3!$A35,test!$A$34:$G$37, 3,FALSE)=VLOOKUP(G$1,test!$A$3:$I$32,3,FALSE)),1,0)</f>
        <v>1</v>
      </c>
      <c r="H35" s="2">
        <f>IF(AND(feasible_mat!G4=1, VLOOKUP(Recharged_Feasible_matv3!$A35,test!$A$34:$G$37, 3,FALSE)=VLOOKUP(H$1,test!$A$3:$I$32,3,FALSE)),1,0)</f>
        <v>1</v>
      </c>
      <c r="I35" s="2">
        <f>IF(AND(feasible_mat!H4=1, VLOOKUP(Recharged_Feasible_matv3!$A35,test!$A$34:$G$37, 3,FALSE)=VLOOKUP(I$1,test!$A$3:$I$32,3,FALSE)),1,0)</f>
        <v>1</v>
      </c>
      <c r="J35" s="2">
        <f>IF(AND(feasible_mat!I4=1, VLOOKUP(Recharged_Feasible_matv3!$A35,test!$A$34:$G$37, 3,FALSE)=VLOOKUP(J$1,test!$A$3:$I$32,3,FALSE)),1,0)</f>
        <v>1</v>
      </c>
      <c r="K35" s="2">
        <f>IF(AND(feasible_mat!J4=1, VLOOKUP(Recharged_Feasible_matv3!$A35,test!$A$34:$G$37, 3,FALSE)=VLOOKUP(K$1,test!$A$3:$I$32,3,FALSE)),1,0)</f>
        <v>1</v>
      </c>
      <c r="L35" s="2">
        <f>IF(AND(feasible_mat!K4=1, VLOOKUP(Recharged_Feasible_matv3!$A35,test!$A$34:$G$37, 3,FALSE)=VLOOKUP(L$1,test!$A$3:$I$32,3,FALSE)),1,0)</f>
        <v>0</v>
      </c>
      <c r="M35" s="2">
        <f>IF(AND(feasible_mat!L4=1, VLOOKUP(Recharged_Feasible_matv3!$A35,test!$A$34:$G$37, 3,FALSE)=VLOOKUP(M$1,test!$A$3:$I$32,3,FALSE)),1,0)</f>
        <v>0</v>
      </c>
      <c r="N35" s="2">
        <f>IF(AND(feasible_mat!M4=1, VLOOKUP(Recharged_Feasible_matv3!$A35,test!$A$34:$G$37, 3,FALSE)=VLOOKUP(N$1,test!$A$3:$I$32,3,FALSE)),1,0)</f>
        <v>0</v>
      </c>
      <c r="O35" s="2">
        <f>IF(AND(feasible_mat!N4=1, VLOOKUP(Recharged_Feasible_matv3!$A35,test!$A$34:$G$37, 3,FALSE)=VLOOKUP(O$1,test!$A$3:$I$32,3,FALSE)),1,0)</f>
        <v>1</v>
      </c>
      <c r="P35" s="2">
        <f>IF(AND(feasible_mat!O4=1, VLOOKUP(Recharged_Feasible_matv3!$A35,test!$A$34:$G$37, 3,FALSE)=VLOOKUP(P$1,test!$A$3:$I$32,3,FALSE)),1,0)</f>
        <v>1</v>
      </c>
      <c r="Q35" s="2">
        <f>IF(AND(feasible_mat!P4=1, VLOOKUP(Recharged_Feasible_matv3!$A35,test!$A$34:$G$37, 3,FALSE)=VLOOKUP(Q$1,test!$A$3:$I$32,3,FALSE)),1,0)</f>
        <v>0</v>
      </c>
      <c r="R35" s="2">
        <f>IF(AND(feasible_mat!Q4=1, VLOOKUP(Recharged_Feasible_matv3!$A35,test!$A$34:$G$37, 3,FALSE)=VLOOKUP(R$1,test!$A$3:$I$32,3,FALSE)),1,0)</f>
        <v>0</v>
      </c>
      <c r="S35" s="2">
        <f>IF(AND(feasible_mat!R4=1, VLOOKUP(Recharged_Feasible_matv3!$A35,test!$A$34:$G$37, 3,FALSE)=VLOOKUP(S$1,test!$A$3:$I$32,3,FALSE)),1,0)</f>
        <v>0</v>
      </c>
      <c r="T35" s="2">
        <f>IF(AND(feasible_mat!S4=1, VLOOKUP(Recharged_Feasible_matv3!$A35,test!$A$34:$G$37, 3,FALSE)=VLOOKUP(T$1,test!$A$3:$I$32,3,FALSE)),1,0)</f>
        <v>0</v>
      </c>
      <c r="U35" s="2">
        <f>IF(AND(feasible_mat!T4=1, VLOOKUP(Recharged_Feasible_matv3!$A35,test!$A$34:$G$37, 3,FALSE)=VLOOKUP(U$1,test!$A$3:$I$32,3,FALSE)),1,0)</f>
        <v>0</v>
      </c>
      <c r="V35" s="2">
        <f>IF(AND(feasible_mat!U4=1, VLOOKUP(Recharged_Feasible_matv3!$A35,test!$A$34:$G$37, 3,FALSE)=VLOOKUP(V$1,test!$A$3:$I$32,3,FALSE)),1,0)</f>
        <v>0</v>
      </c>
      <c r="W35" s="2">
        <f>IF(AND(feasible_mat!V4=1, VLOOKUP(Recharged_Feasible_matv3!$A35,test!$A$34:$G$37, 3,FALSE)=VLOOKUP(W$1,test!$A$3:$I$32,3,FALSE)),1,0)</f>
        <v>0</v>
      </c>
      <c r="X35" s="2">
        <f>IF(AND(feasible_mat!W4=1, VLOOKUP(Recharged_Feasible_matv3!$A35,test!$A$34:$G$37, 3,FALSE)=VLOOKUP(X$1,test!$A$3:$I$32,3,FALSE)),1,0)</f>
        <v>0</v>
      </c>
      <c r="Y35" s="2">
        <f>IF(AND(feasible_mat!X4=1, VLOOKUP(Recharged_Feasible_matv3!$A35,test!$A$34:$G$37, 3,FALSE)=VLOOKUP(Y$1,test!$A$3:$I$32,3,FALSE)),1,0)</f>
        <v>0</v>
      </c>
      <c r="Z35" s="2">
        <f>IF(AND(feasible_mat!Y4=1, VLOOKUP(Recharged_Feasible_matv3!$A35,test!$A$34:$G$37, 3,FALSE)=VLOOKUP(Z$1,test!$A$3:$I$32,3,FALSE)),1,0)</f>
        <v>0</v>
      </c>
      <c r="AA35" s="2">
        <f>IF(AND(feasible_mat!Z4=1, VLOOKUP(Recharged_Feasible_matv3!$A35,test!$A$34:$G$37, 3,FALSE)=VLOOKUP(AA$1,test!$A$3:$I$32,3,FALSE)),1,0)</f>
        <v>0</v>
      </c>
      <c r="AB35" s="2">
        <f>IF(AND(feasible_mat!AA4=1, VLOOKUP(Recharged_Feasible_matv3!$A35,test!$A$34:$G$37, 3,FALSE)=VLOOKUP(AB$1,test!$A$3:$I$32,3,FALSE)),1,0)</f>
        <v>0</v>
      </c>
      <c r="AC35" s="2">
        <f>IF(AND(feasible_mat!AB4=1, VLOOKUP(Recharged_Feasible_matv3!$A35,test!$A$34:$G$37, 3,FALSE)=VLOOKUP(AC$1,test!$A$3:$I$32,3,FALSE)),1,0)</f>
        <v>0</v>
      </c>
      <c r="AD35" s="2">
        <f>IF(AND(feasible_mat!AC4=1, VLOOKUP(Recharged_Feasible_matv3!$A35,test!$A$34:$G$37, 3,FALSE)=VLOOKUP(AD$1,test!$A$3:$I$32,3,FALSE)),1,0)</f>
        <v>0</v>
      </c>
      <c r="AE35" s="2">
        <f>IF(AND(feasible_mat!AD4=1, VLOOKUP(Recharged_Feasible_matv3!$A35,test!$A$34:$G$37, 3,FALSE)=VLOOKUP(AE$1,test!$A$3:$I$32,3,FALSE)),1,0)</f>
        <v>0</v>
      </c>
      <c r="AF35" s="2">
        <f>IF(AND(feasible_mat!AE4=1, VLOOKUP(Recharged_Feasible_matv3!$A35,test!$A$34:$G$37, 3,FALSE)=VLOOKUP(AF$1,test!$A$3:$I$32,3,FALSE)),1,0)</f>
        <v>0</v>
      </c>
      <c r="AG35" s="2">
        <f>IF(AND(feasible_mat!AF4=1, VLOOKUP(Recharged_Feasible_matv3!$A35,test!$A$34:$G$37, 3,FALSE)=VLOOKUP(AG$1,test!$A$3:$I$32,3,FALSE)),1,0)</f>
        <v>0</v>
      </c>
    </row>
    <row r="36" spans="1:33" x14ac:dyDescent="0.25">
      <c r="A36" t="s">
        <v>90</v>
      </c>
      <c r="B36" t="s">
        <v>10</v>
      </c>
      <c r="C36">
        <v>0</v>
      </c>
      <c r="D36" s="2">
        <f>IF(AND(feasible_mat!C5=1, VLOOKUP(Recharged_Feasible_matv3!$A36,test!$A$34:$G$37, 3,FALSE)=VLOOKUP(D$1,test!$A$3:$I$32,3,FALSE)),1,0)</f>
        <v>0</v>
      </c>
      <c r="E36" s="2">
        <f>IF(AND(feasible_mat!D5=1, VLOOKUP(Recharged_Feasible_matv3!$A36,test!$A$34:$G$37, 3,FALSE)=VLOOKUP(E$1,test!$A$3:$I$32,3,FALSE)),1,0)</f>
        <v>0</v>
      </c>
      <c r="F36" s="2">
        <f>IF(AND(feasible_mat!E5=1, VLOOKUP(Recharged_Feasible_matv3!$A36,test!$A$34:$G$37, 3,FALSE)=VLOOKUP(F$1,test!$A$3:$I$32,3,FALSE)),1,0)</f>
        <v>0</v>
      </c>
      <c r="G36" s="2">
        <f>IF(AND(feasible_mat!F5=1, VLOOKUP(Recharged_Feasible_matv3!$A36,test!$A$34:$G$37, 3,FALSE)=VLOOKUP(G$1,test!$A$3:$I$32,3,FALSE)),1,0)</f>
        <v>0</v>
      </c>
      <c r="H36" s="2">
        <f>IF(AND(feasible_mat!G5=1, VLOOKUP(Recharged_Feasible_matv3!$A36,test!$A$34:$G$37, 3,FALSE)=VLOOKUP(H$1,test!$A$3:$I$32,3,FALSE)),1,0)</f>
        <v>1</v>
      </c>
      <c r="I36" s="2">
        <f>IF(AND(feasible_mat!H5=1, VLOOKUP(Recharged_Feasible_matv3!$A36,test!$A$34:$G$37, 3,FALSE)=VLOOKUP(I$1,test!$A$3:$I$32,3,FALSE)),1,0)</f>
        <v>1</v>
      </c>
      <c r="J36" s="2">
        <f>IF(AND(feasible_mat!I5=1, VLOOKUP(Recharged_Feasible_matv3!$A36,test!$A$34:$G$37, 3,FALSE)=VLOOKUP(J$1,test!$A$3:$I$32,3,FALSE)),1,0)</f>
        <v>1</v>
      </c>
      <c r="K36" s="2">
        <f>IF(AND(feasible_mat!J5=1, VLOOKUP(Recharged_Feasible_matv3!$A36,test!$A$34:$G$37, 3,FALSE)=VLOOKUP(K$1,test!$A$3:$I$32,3,FALSE)),1,0)</f>
        <v>1</v>
      </c>
      <c r="L36" s="2">
        <f>IF(AND(feasible_mat!K5=1, VLOOKUP(Recharged_Feasible_matv3!$A36,test!$A$34:$G$37, 3,FALSE)=VLOOKUP(L$1,test!$A$3:$I$32,3,FALSE)),1,0)</f>
        <v>0</v>
      </c>
      <c r="M36" s="2">
        <f>IF(AND(feasible_mat!L5=1, VLOOKUP(Recharged_Feasible_matv3!$A36,test!$A$34:$G$37, 3,FALSE)=VLOOKUP(M$1,test!$A$3:$I$32,3,FALSE)),1,0)</f>
        <v>0</v>
      </c>
      <c r="N36" s="2">
        <f>IF(AND(feasible_mat!M5=1, VLOOKUP(Recharged_Feasible_matv3!$A36,test!$A$34:$G$37, 3,FALSE)=VLOOKUP(N$1,test!$A$3:$I$32,3,FALSE)),1,0)</f>
        <v>0</v>
      </c>
      <c r="O36" s="2">
        <f>IF(AND(feasible_mat!N5=1, VLOOKUP(Recharged_Feasible_matv3!$A36,test!$A$34:$G$37, 3,FALSE)=VLOOKUP(O$1,test!$A$3:$I$32,3,FALSE)),1,0)</f>
        <v>1</v>
      </c>
      <c r="P36" s="2">
        <f>IF(AND(feasible_mat!O5=1, VLOOKUP(Recharged_Feasible_matv3!$A36,test!$A$34:$G$37, 3,FALSE)=VLOOKUP(P$1,test!$A$3:$I$32,3,FALSE)),1,0)</f>
        <v>1</v>
      </c>
      <c r="Q36" s="2">
        <f>IF(AND(feasible_mat!P5=1, VLOOKUP(Recharged_Feasible_matv3!$A36,test!$A$34:$G$37, 3,FALSE)=VLOOKUP(Q$1,test!$A$3:$I$32,3,FALSE)),1,0)</f>
        <v>0</v>
      </c>
      <c r="R36" s="2">
        <f>IF(AND(feasible_mat!Q5=1, VLOOKUP(Recharged_Feasible_matv3!$A36,test!$A$34:$G$37, 3,FALSE)=VLOOKUP(R$1,test!$A$3:$I$32,3,FALSE)),1,0)</f>
        <v>0</v>
      </c>
      <c r="S36" s="2">
        <f>IF(AND(feasible_mat!R5=1, VLOOKUP(Recharged_Feasible_matv3!$A36,test!$A$34:$G$37, 3,FALSE)=VLOOKUP(S$1,test!$A$3:$I$32,3,FALSE)),1,0)</f>
        <v>0</v>
      </c>
      <c r="T36" s="2">
        <f>IF(AND(feasible_mat!S5=1, VLOOKUP(Recharged_Feasible_matv3!$A36,test!$A$34:$G$37, 3,FALSE)=VLOOKUP(T$1,test!$A$3:$I$32,3,FALSE)),1,0)</f>
        <v>0</v>
      </c>
      <c r="U36" s="2">
        <f>IF(AND(feasible_mat!T5=1, VLOOKUP(Recharged_Feasible_matv3!$A36,test!$A$34:$G$37, 3,FALSE)=VLOOKUP(U$1,test!$A$3:$I$32,3,FALSE)),1,0)</f>
        <v>0</v>
      </c>
      <c r="V36" s="2">
        <f>IF(AND(feasible_mat!U5=1, VLOOKUP(Recharged_Feasible_matv3!$A36,test!$A$34:$G$37, 3,FALSE)=VLOOKUP(V$1,test!$A$3:$I$32,3,FALSE)),1,0)</f>
        <v>0</v>
      </c>
      <c r="W36" s="2">
        <f>IF(AND(feasible_mat!V5=1, VLOOKUP(Recharged_Feasible_matv3!$A36,test!$A$34:$G$37, 3,FALSE)=VLOOKUP(W$1,test!$A$3:$I$32,3,FALSE)),1,0)</f>
        <v>0</v>
      </c>
      <c r="X36" s="2">
        <f>IF(AND(feasible_mat!W5=1, VLOOKUP(Recharged_Feasible_matv3!$A36,test!$A$34:$G$37, 3,FALSE)=VLOOKUP(X$1,test!$A$3:$I$32,3,FALSE)),1,0)</f>
        <v>0</v>
      </c>
      <c r="Y36" s="2">
        <f>IF(AND(feasible_mat!X5=1, VLOOKUP(Recharged_Feasible_matv3!$A36,test!$A$34:$G$37, 3,FALSE)=VLOOKUP(Y$1,test!$A$3:$I$32,3,FALSE)),1,0)</f>
        <v>0</v>
      </c>
      <c r="Z36" s="2">
        <f>IF(AND(feasible_mat!Y5=1, VLOOKUP(Recharged_Feasible_matv3!$A36,test!$A$34:$G$37, 3,FALSE)=VLOOKUP(Z$1,test!$A$3:$I$32,3,FALSE)),1,0)</f>
        <v>0</v>
      </c>
      <c r="AA36" s="2">
        <f>IF(AND(feasible_mat!Z5=1, VLOOKUP(Recharged_Feasible_matv3!$A36,test!$A$34:$G$37, 3,FALSE)=VLOOKUP(AA$1,test!$A$3:$I$32,3,FALSE)),1,0)</f>
        <v>0</v>
      </c>
      <c r="AB36" s="2">
        <f>IF(AND(feasible_mat!AA5=1, VLOOKUP(Recharged_Feasible_matv3!$A36,test!$A$34:$G$37, 3,FALSE)=VLOOKUP(AB$1,test!$A$3:$I$32,3,FALSE)),1,0)</f>
        <v>0</v>
      </c>
      <c r="AC36" s="2">
        <f>IF(AND(feasible_mat!AB5=1, VLOOKUP(Recharged_Feasible_matv3!$A36,test!$A$34:$G$37, 3,FALSE)=VLOOKUP(AC$1,test!$A$3:$I$32,3,FALSE)),1,0)</f>
        <v>0</v>
      </c>
      <c r="AD36" s="2">
        <f>IF(AND(feasible_mat!AC5=1, VLOOKUP(Recharged_Feasible_matv3!$A36,test!$A$34:$G$37, 3,FALSE)=VLOOKUP(AD$1,test!$A$3:$I$32,3,FALSE)),1,0)</f>
        <v>0</v>
      </c>
      <c r="AE36" s="2">
        <f>IF(AND(feasible_mat!AD5=1, VLOOKUP(Recharged_Feasible_matv3!$A36,test!$A$34:$G$37, 3,FALSE)=VLOOKUP(AE$1,test!$A$3:$I$32,3,FALSE)),1,0)</f>
        <v>0</v>
      </c>
      <c r="AF36" s="2">
        <f>IF(AND(feasible_mat!AE5=1, VLOOKUP(Recharged_Feasible_matv3!$A36,test!$A$34:$G$37, 3,FALSE)=VLOOKUP(AF$1,test!$A$3:$I$32,3,FALSE)),1,0)</f>
        <v>0</v>
      </c>
      <c r="AG36" s="2">
        <f>IF(AND(feasible_mat!AF5=1, VLOOKUP(Recharged_Feasible_matv3!$A36,test!$A$34:$G$37, 3,FALSE)=VLOOKUP(AG$1,test!$A$3:$I$32,3,FALSE)),1,0)</f>
        <v>0</v>
      </c>
    </row>
    <row r="37" spans="1:33" x14ac:dyDescent="0.25">
      <c r="A37" t="s">
        <v>90</v>
      </c>
      <c r="B37" t="s">
        <v>11</v>
      </c>
      <c r="C37">
        <v>0</v>
      </c>
      <c r="D37" s="2">
        <f>IF(AND(feasible_mat!C6=1, VLOOKUP(Recharged_Feasible_matv3!$A37,test!$A$34:$G$37, 3,FALSE)=VLOOKUP(D$1,test!$A$3:$I$32,3,FALSE)),1,0)</f>
        <v>0</v>
      </c>
      <c r="E37" s="2">
        <f>IF(AND(feasible_mat!D6=1, VLOOKUP(Recharged_Feasible_matv3!$A37,test!$A$34:$G$37, 3,FALSE)=VLOOKUP(E$1,test!$A$3:$I$32,3,FALSE)),1,0)</f>
        <v>0</v>
      </c>
      <c r="F37" s="2">
        <f>IF(AND(feasible_mat!E6=1, VLOOKUP(Recharged_Feasible_matv3!$A37,test!$A$34:$G$37, 3,FALSE)=VLOOKUP(F$1,test!$A$3:$I$32,3,FALSE)),1,0)</f>
        <v>0</v>
      </c>
      <c r="G37" s="2">
        <f>IF(AND(feasible_mat!F6=1, VLOOKUP(Recharged_Feasible_matv3!$A37,test!$A$34:$G$37, 3,FALSE)=VLOOKUP(G$1,test!$A$3:$I$32,3,FALSE)),1,0)</f>
        <v>0</v>
      </c>
      <c r="H37" s="2">
        <f>IF(AND(feasible_mat!G6=1, VLOOKUP(Recharged_Feasible_matv3!$A37,test!$A$34:$G$37, 3,FALSE)=VLOOKUP(H$1,test!$A$3:$I$32,3,FALSE)),1,0)</f>
        <v>0</v>
      </c>
      <c r="I37" s="2">
        <f>IF(AND(feasible_mat!H6=1, VLOOKUP(Recharged_Feasible_matv3!$A37,test!$A$34:$G$37, 3,FALSE)=VLOOKUP(I$1,test!$A$3:$I$32,3,FALSE)),1,0)</f>
        <v>0</v>
      </c>
      <c r="J37" s="2">
        <f>IF(AND(feasible_mat!I6=1, VLOOKUP(Recharged_Feasible_matv3!$A37,test!$A$34:$G$37, 3,FALSE)=VLOOKUP(J$1,test!$A$3:$I$32,3,FALSE)),1,0)</f>
        <v>1</v>
      </c>
      <c r="K37" s="2">
        <f>IF(AND(feasible_mat!J6=1, VLOOKUP(Recharged_Feasible_matv3!$A37,test!$A$34:$G$37, 3,FALSE)=VLOOKUP(K$1,test!$A$3:$I$32,3,FALSE)),1,0)</f>
        <v>1</v>
      </c>
      <c r="L37" s="2">
        <f>IF(AND(feasible_mat!K6=1, VLOOKUP(Recharged_Feasible_matv3!$A37,test!$A$34:$G$37, 3,FALSE)=VLOOKUP(L$1,test!$A$3:$I$32,3,FALSE)),1,0)</f>
        <v>0</v>
      </c>
      <c r="M37" s="2">
        <f>IF(AND(feasible_mat!L6=1, VLOOKUP(Recharged_Feasible_matv3!$A37,test!$A$34:$G$37, 3,FALSE)=VLOOKUP(M$1,test!$A$3:$I$32,3,FALSE)),1,0)</f>
        <v>0</v>
      </c>
      <c r="N37" s="2">
        <f>IF(AND(feasible_mat!M6=1, VLOOKUP(Recharged_Feasible_matv3!$A37,test!$A$34:$G$37, 3,FALSE)=VLOOKUP(N$1,test!$A$3:$I$32,3,FALSE)),1,0)</f>
        <v>0</v>
      </c>
      <c r="O37" s="2">
        <f>IF(AND(feasible_mat!N6=1, VLOOKUP(Recharged_Feasible_matv3!$A37,test!$A$34:$G$37, 3,FALSE)=VLOOKUP(O$1,test!$A$3:$I$32,3,FALSE)),1,0)</f>
        <v>1</v>
      </c>
      <c r="P37" s="2">
        <f>IF(AND(feasible_mat!O6=1, VLOOKUP(Recharged_Feasible_matv3!$A37,test!$A$34:$G$37, 3,FALSE)=VLOOKUP(P$1,test!$A$3:$I$32,3,FALSE)),1,0)</f>
        <v>1</v>
      </c>
      <c r="Q37" s="2">
        <f>IF(AND(feasible_mat!P6=1, VLOOKUP(Recharged_Feasible_matv3!$A37,test!$A$34:$G$37, 3,FALSE)=VLOOKUP(Q$1,test!$A$3:$I$32,3,FALSE)),1,0)</f>
        <v>0</v>
      </c>
      <c r="R37" s="2">
        <f>IF(AND(feasible_mat!Q6=1, VLOOKUP(Recharged_Feasible_matv3!$A37,test!$A$34:$G$37, 3,FALSE)=VLOOKUP(R$1,test!$A$3:$I$32,3,FALSE)),1,0)</f>
        <v>0</v>
      </c>
      <c r="S37" s="2">
        <f>IF(AND(feasible_mat!R6=1, VLOOKUP(Recharged_Feasible_matv3!$A37,test!$A$34:$G$37, 3,FALSE)=VLOOKUP(S$1,test!$A$3:$I$32,3,FALSE)),1,0)</f>
        <v>0</v>
      </c>
      <c r="T37" s="2">
        <f>IF(AND(feasible_mat!S6=1, VLOOKUP(Recharged_Feasible_matv3!$A37,test!$A$34:$G$37, 3,FALSE)=VLOOKUP(T$1,test!$A$3:$I$32,3,FALSE)),1,0)</f>
        <v>0</v>
      </c>
      <c r="U37" s="2">
        <f>IF(AND(feasible_mat!T6=1, VLOOKUP(Recharged_Feasible_matv3!$A37,test!$A$34:$G$37, 3,FALSE)=VLOOKUP(U$1,test!$A$3:$I$32,3,FALSE)),1,0)</f>
        <v>0</v>
      </c>
      <c r="V37" s="2">
        <f>IF(AND(feasible_mat!U6=1, VLOOKUP(Recharged_Feasible_matv3!$A37,test!$A$34:$G$37, 3,FALSE)=VLOOKUP(V$1,test!$A$3:$I$32,3,FALSE)),1,0)</f>
        <v>0</v>
      </c>
      <c r="W37" s="2">
        <f>IF(AND(feasible_mat!V6=1, VLOOKUP(Recharged_Feasible_matv3!$A37,test!$A$34:$G$37, 3,FALSE)=VLOOKUP(W$1,test!$A$3:$I$32,3,FALSE)),1,0)</f>
        <v>0</v>
      </c>
      <c r="X37" s="2">
        <f>IF(AND(feasible_mat!W6=1, VLOOKUP(Recharged_Feasible_matv3!$A37,test!$A$34:$G$37, 3,FALSE)=VLOOKUP(X$1,test!$A$3:$I$32,3,FALSE)),1,0)</f>
        <v>0</v>
      </c>
      <c r="Y37" s="2">
        <f>IF(AND(feasible_mat!X6=1, VLOOKUP(Recharged_Feasible_matv3!$A37,test!$A$34:$G$37, 3,FALSE)=VLOOKUP(Y$1,test!$A$3:$I$32,3,FALSE)),1,0)</f>
        <v>0</v>
      </c>
      <c r="Z37" s="2">
        <f>IF(AND(feasible_mat!Y6=1, VLOOKUP(Recharged_Feasible_matv3!$A37,test!$A$34:$G$37, 3,FALSE)=VLOOKUP(Z$1,test!$A$3:$I$32,3,FALSE)),1,0)</f>
        <v>0</v>
      </c>
      <c r="AA37" s="2">
        <f>IF(AND(feasible_mat!Z6=1, VLOOKUP(Recharged_Feasible_matv3!$A37,test!$A$34:$G$37, 3,FALSE)=VLOOKUP(AA$1,test!$A$3:$I$32,3,FALSE)),1,0)</f>
        <v>0</v>
      </c>
      <c r="AB37" s="2">
        <f>IF(AND(feasible_mat!AA6=1, VLOOKUP(Recharged_Feasible_matv3!$A37,test!$A$34:$G$37, 3,FALSE)=VLOOKUP(AB$1,test!$A$3:$I$32,3,FALSE)),1,0)</f>
        <v>0</v>
      </c>
      <c r="AC37" s="2">
        <f>IF(AND(feasible_mat!AB6=1, VLOOKUP(Recharged_Feasible_matv3!$A37,test!$A$34:$G$37, 3,FALSE)=VLOOKUP(AC$1,test!$A$3:$I$32,3,FALSE)),1,0)</f>
        <v>0</v>
      </c>
      <c r="AD37" s="2">
        <f>IF(AND(feasible_mat!AC6=1, VLOOKUP(Recharged_Feasible_matv3!$A37,test!$A$34:$G$37, 3,FALSE)=VLOOKUP(AD$1,test!$A$3:$I$32,3,FALSE)),1,0)</f>
        <v>0</v>
      </c>
      <c r="AE37" s="2">
        <f>IF(AND(feasible_mat!AD6=1, VLOOKUP(Recharged_Feasible_matv3!$A37,test!$A$34:$G$37, 3,FALSE)=VLOOKUP(AE$1,test!$A$3:$I$32,3,FALSE)),1,0)</f>
        <v>0</v>
      </c>
      <c r="AF37" s="2">
        <f>IF(AND(feasible_mat!AE6=1, VLOOKUP(Recharged_Feasible_matv3!$A37,test!$A$34:$G$37, 3,FALSE)=VLOOKUP(AF$1,test!$A$3:$I$32,3,FALSE)),1,0)</f>
        <v>0</v>
      </c>
      <c r="AG37" s="2">
        <f>IF(AND(feasible_mat!AF6=1, VLOOKUP(Recharged_Feasible_matv3!$A37,test!$A$34:$G$37, 3,FALSE)=VLOOKUP(AG$1,test!$A$3:$I$32,3,FALSE)),1,0)</f>
        <v>0</v>
      </c>
    </row>
    <row r="38" spans="1:33" x14ac:dyDescent="0.25">
      <c r="A38" t="s">
        <v>90</v>
      </c>
      <c r="B38" t="s">
        <v>12</v>
      </c>
      <c r="C38">
        <v>0</v>
      </c>
      <c r="D38" s="2">
        <f>IF(AND(feasible_mat!C7=1, VLOOKUP(Recharged_Feasible_matv3!$A38,test!$A$34:$G$37, 3,FALSE)=VLOOKUP(D$1,test!$A$3:$I$32,3,FALSE)),1,0)</f>
        <v>0</v>
      </c>
      <c r="E38" s="2">
        <f>IF(AND(feasible_mat!D7=1, VLOOKUP(Recharged_Feasible_matv3!$A38,test!$A$34:$G$37, 3,FALSE)=VLOOKUP(E$1,test!$A$3:$I$32,3,FALSE)),1,0)</f>
        <v>0</v>
      </c>
      <c r="F38" s="2">
        <f>IF(AND(feasible_mat!E7=1, VLOOKUP(Recharged_Feasible_matv3!$A38,test!$A$34:$G$37, 3,FALSE)=VLOOKUP(F$1,test!$A$3:$I$32,3,FALSE)),1,0)</f>
        <v>0</v>
      </c>
      <c r="G38" s="2">
        <f>IF(AND(feasible_mat!F7=1, VLOOKUP(Recharged_Feasible_matv3!$A38,test!$A$34:$G$37, 3,FALSE)=VLOOKUP(G$1,test!$A$3:$I$32,3,FALSE)),1,0)</f>
        <v>0</v>
      </c>
      <c r="H38" s="2">
        <f>IF(AND(feasible_mat!G7=1, VLOOKUP(Recharged_Feasible_matv3!$A38,test!$A$34:$G$37, 3,FALSE)=VLOOKUP(H$1,test!$A$3:$I$32,3,FALSE)),1,0)</f>
        <v>0</v>
      </c>
      <c r="I38" s="2">
        <f>IF(AND(feasible_mat!H7=1, VLOOKUP(Recharged_Feasible_matv3!$A38,test!$A$34:$G$37, 3,FALSE)=VLOOKUP(I$1,test!$A$3:$I$32,3,FALSE)),1,0)</f>
        <v>0</v>
      </c>
      <c r="J38" s="2">
        <f>IF(AND(feasible_mat!I7=1, VLOOKUP(Recharged_Feasible_matv3!$A38,test!$A$34:$G$37, 3,FALSE)=VLOOKUP(J$1,test!$A$3:$I$32,3,FALSE)),1,0)</f>
        <v>0</v>
      </c>
      <c r="K38" s="2">
        <f>IF(AND(feasible_mat!J7=1, VLOOKUP(Recharged_Feasible_matv3!$A38,test!$A$34:$G$37, 3,FALSE)=VLOOKUP(K$1,test!$A$3:$I$32,3,FALSE)),1,0)</f>
        <v>1</v>
      </c>
      <c r="L38" s="2">
        <f>IF(AND(feasible_mat!K7=1, VLOOKUP(Recharged_Feasible_matv3!$A38,test!$A$34:$G$37, 3,FALSE)=VLOOKUP(L$1,test!$A$3:$I$32,3,FALSE)),1,0)</f>
        <v>0</v>
      </c>
      <c r="M38" s="2">
        <f>IF(AND(feasible_mat!L7=1, VLOOKUP(Recharged_Feasible_matv3!$A38,test!$A$34:$G$37, 3,FALSE)=VLOOKUP(M$1,test!$A$3:$I$32,3,FALSE)),1,0)</f>
        <v>0</v>
      </c>
      <c r="N38" s="2">
        <f>IF(AND(feasible_mat!M7=1, VLOOKUP(Recharged_Feasible_matv3!$A38,test!$A$34:$G$37, 3,FALSE)=VLOOKUP(N$1,test!$A$3:$I$32,3,FALSE)),1,0)</f>
        <v>0</v>
      </c>
      <c r="O38" s="2">
        <f>IF(AND(feasible_mat!N7=1, VLOOKUP(Recharged_Feasible_matv3!$A38,test!$A$34:$G$37, 3,FALSE)=VLOOKUP(O$1,test!$A$3:$I$32,3,FALSE)),1,0)</f>
        <v>1</v>
      </c>
      <c r="P38" s="2">
        <f>IF(AND(feasible_mat!O7=1, VLOOKUP(Recharged_Feasible_matv3!$A38,test!$A$34:$G$37, 3,FALSE)=VLOOKUP(P$1,test!$A$3:$I$32,3,FALSE)),1,0)</f>
        <v>1</v>
      </c>
      <c r="Q38" s="2">
        <f>IF(AND(feasible_mat!P7=1, VLOOKUP(Recharged_Feasible_matv3!$A38,test!$A$34:$G$37, 3,FALSE)=VLOOKUP(Q$1,test!$A$3:$I$32,3,FALSE)),1,0)</f>
        <v>0</v>
      </c>
      <c r="R38" s="2">
        <f>IF(AND(feasible_mat!Q7=1, VLOOKUP(Recharged_Feasible_matv3!$A38,test!$A$34:$G$37, 3,FALSE)=VLOOKUP(R$1,test!$A$3:$I$32,3,FALSE)),1,0)</f>
        <v>0</v>
      </c>
      <c r="S38" s="2">
        <f>IF(AND(feasible_mat!R7=1, VLOOKUP(Recharged_Feasible_matv3!$A38,test!$A$34:$G$37, 3,FALSE)=VLOOKUP(S$1,test!$A$3:$I$32,3,FALSE)),1,0)</f>
        <v>0</v>
      </c>
      <c r="T38" s="2">
        <f>IF(AND(feasible_mat!S7=1, VLOOKUP(Recharged_Feasible_matv3!$A38,test!$A$34:$G$37, 3,FALSE)=VLOOKUP(T$1,test!$A$3:$I$32,3,FALSE)),1,0)</f>
        <v>0</v>
      </c>
      <c r="U38" s="2">
        <f>IF(AND(feasible_mat!T7=1, VLOOKUP(Recharged_Feasible_matv3!$A38,test!$A$34:$G$37, 3,FALSE)=VLOOKUP(U$1,test!$A$3:$I$32,3,FALSE)),1,0)</f>
        <v>0</v>
      </c>
      <c r="V38" s="2">
        <f>IF(AND(feasible_mat!U7=1, VLOOKUP(Recharged_Feasible_matv3!$A38,test!$A$34:$G$37, 3,FALSE)=VLOOKUP(V$1,test!$A$3:$I$32,3,FALSE)),1,0)</f>
        <v>0</v>
      </c>
      <c r="W38" s="2">
        <f>IF(AND(feasible_mat!V7=1, VLOOKUP(Recharged_Feasible_matv3!$A38,test!$A$34:$G$37, 3,FALSE)=VLOOKUP(W$1,test!$A$3:$I$32,3,FALSE)),1,0)</f>
        <v>0</v>
      </c>
      <c r="X38" s="2">
        <f>IF(AND(feasible_mat!W7=1, VLOOKUP(Recharged_Feasible_matv3!$A38,test!$A$34:$G$37, 3,FALSE)=VLOOKUP(X$1,test!$A$3:$I$32,3,FALSE)),1,0)</f>
        <v>0</v>
      </c>
      <c r="Y38" s="2">
        <f>IF(AND(feasible_mat!X7=1, VLOOKUP(Recharged_Feasible_matv3!$A38,test!$A$34:$G$37, 3,FALSE)=VLOOKUP(Y$1,test!$A$3:$I$32,3,FALSE)),1,0)</f>
        <v>0</v>
      </c>
      <c r="Z38" s="2">
        <f>IF(AND(feasible_mat!Y7=1, VLOOKUP(Recharged_Feasible_matv3!$A38,test!$A$34:$G$37, 3,FALSE)=VLOOKUP(Z$1,test!$A$3:$I$32,3,FALSE)),1,0)</f>
        <v>0</v>
      </c>
      <c r="AA38" s="2">
        <f>IF(AND(feasible_mat!Z7=1, VLOOKUP(Recharged_Feasible_matv3!$A38,test!$A$34:$G$37, 3,FALSE)=VLOOKUP(AA$1,test!$A$3:$I$32,3,FALSE)),1,0)</f>
        <v>0</v>
      </c>
      <c r="AB38" s="2">
        <f>IF(AND(feasible_mat!AA7=1, VLOOKUP(Recharged_Feasible_matv3!$A38,test!$A$34:$G$37, 3,FALSE)=VLOOKUP(AB$1,test!$A$3:$I$32,3,FALSE)),1,0)</f>
        <v>0</v>
      </c>
      <c r="AC38" s="2">
        <f>IF(AND(feasible_mat!AB7=1, VLOOKUP(Recharged_Feasible_matv3!$A38,test!$A$34:$G$37, 3,FALSE)=VLOOKUP(AC$1,test!$A$3:$I$32,3,FALSE)),1,0)</f>
        <v>0</v>
      </c>
      <c r="AD38" s="2">
        <f>IF(AND(feasible_mat!AC7=1, VLOOKUP(Recharged_Feasible_matv3!$A38,test!$A$34:$G$37, 3,FALSE)=VLOOKUP(AD$1,test!$A$3:$I$32,3,FALSE)),1,0)</f>
        <v>0</v>
      </c>
      <c r="AE38" s="2">
        <f>IF(AND(feasible_mat!AD7=1, VLOOKUP(Recharged_Feasible_matv3!$A38,test!$A$34:$G$37, 3,FALSE)=VLOOKUP(AE$1,test!$A$3:$I$32,3,FALSE)),1,0)</f>
        <v>0</v>
      </c>
      <c r="AF38" s="2">
        <f>IF(AND(feasible_mat!AE7=1, VLOOKUP(Recharged_Feasible_matv3!$A38,test!$A$34:$G$37, 3,FALSE)=VLOOKUP(AF$1,test!$A$3:$I$32,3,FALSE)),1,0)</f>
        <v>0</v>
      </c>
      <c r="AG38" s="2">
        <f>IF(AND(feasible_mat!AF7=1, VLOOKUP(Recharged_Feasible_matv3!$A38,test!$A$34:$G$37, 3,FALSE)=VLOOKUP(AG$1,test!$A$3:$I$32,3,FALSE)),1,0)</f>
        <v>0</v>
      </c>
    </row>
    <row r="39" spans="1:33" x14ac:dyDescent="0.25">
      <c r="A39" t="s">
        <v>90</v>
      </c>
      <c r="B39" t="s">
        <v>13</v>
      </c>
      <c r="C39">
        <v>0</v>
      </c>
      <c r="D39" s="2">
        <f>IF(AND(feasible_mat!C8=1, VLOOKUP(Recharged_Feasible_matv3!$A39,test!$A$34:$G$37, 3,FALSE)=VLOOKUP(D$1,test!$A$3:$I$32,3,FALSE)),1,0)</f>
        <v>0</v>
      </c>
      <c r="E39" s="2">
        <f>IF(AND(feasible_mat!D8=1, VLOOKUP(Recharged_Feasible_matv3!$A39,test!$A$34:$G$37, 3,FALSE)=VLOOKUP(E$1,test!$A$3:$I$32,3,FALSE)),1,0)</f>
        <v>0</v>
      </c>
      <c r="F39" s="2">
        <f>IF(AND(feasible_mat!E8=1, VLOOKUP(Recharged_Feasible_matv3!$A39,test!$A$34:$G$37, 3,FALSE)=VLOOKUP(F$1,test!$A$3:$I$32,3,FALSE)),1,0)</f>
        <v>0</v>
      </c>
      <c r="G39" s="2">
        <f>IF(AND(feasible_mat!F8=1, VLOOKUP(Recharged_Feasible_matv3!$A39,test!$A$34:$G$37, 3,FALSE)=VLOOKUP(G$1,test!$A$3:$I$32,3,FALSE)),1,0)</f>
        <v>0</v>
      </c>
      <c r="H39" s="2">
        <f>IF(AND(feasible_mat!G8=1, VLOOKUP(Recharged_Feasible_matv3!$A39,test!$A$34:$G$37, 3,FALSE)=VLOOKUP(H$1,test!$A$3:$I$32,3,FALSE)),1,0)</f>
        <v>0</v>
      </c>
      <c r="I39" s="2">
        <f>IF(AND(feasible_mat!H8=1, VLOOKUP(Recharged_Feasible_matv3!$A39,test!$A$34:$G$37, 3,FALSE)=VLOOKUP(I$1,test!$A$3:$I$32,3,FALSE)),1,0)</f>
        <v>0</v>
      </c>
      <c r="J39" s="2">
        <f>IF(AND(feasible_mat!I8=1, VLOOKUP(Recharged_Feasible_matv3!$A39,test!$A$34:$G$37, 3,FALSE)=VLOOKUP(J$1,test!$A$3:$I$32,3,FALSE)),1,0)</f>
        <v>0</v>
      </c>
      <c r="K39" s="2">
        <f>IF(AND(feasible_mat!J8=1, VLOOKUP(Recharged_Feasible_matv3!$A39,test!$A$34:$G$37, 3,FALSE)=VLOOKUP(K$1,test!$A$3:$I$32,3,FALSE)),1,0)</f>
        <v>1</v>
      </c>
      <c r="L39" s="2">
        <f>IF(AND(feasible_mat!K8=1, VLOOKUP(Recharged_Feasible_matv3!$A39,test!$A$34:$G$37, 3,FALSE)=VLOOKUP(L$1,test!$A$3:$I$32,3,FALSE)),1,0)</f>
        <v>0</v>
      </c>
      <c r="M39" s="2">
        <f>IF(AND(feasible_mat!L8=1, VLOOKUP(Recharged_Feasible_matv3!$A39,test!$A$34:$G$37, 3,FALSE)=VLOOKUP(M$1,test!$A$3:$I$32,3,FALSE)),1,0)</f>
        <v>0</v>
      </c>
      <c r="N39" s="2">
        <f>IF(AND(feasible_mat!M8=1, VLOOKUP(Recharged_Feasible_matv3!$A39,test!$A$34:$G$37, 3,FALSE)=VLOOKUP(N$1,test!$A$3:$I$32,3,FALSE)),1,0)</f>
        <v>0</v>
      </c>
      <c r="O39" s="2">
        <f>IF(AND(feasible_mat!N8=1, VLOOKUP(Recharged_Feasible_matv3!$A39,test!$A$34:$G$37, 3,FALSE)=VLOOKUP(O$1,test!$A$3:$I$32,3,FALSE)),1,0)</f>
        <v>0</v>
      </c>
      <c r="P39" s="2">
        <f>IF(AND(feasible_mat!O8=1, VLOOKUP(Recharged_Feasible_matv3!$A39,test!$A$34:$G$37, 3,FALSE)=VLOOKUP(P$1,test!$A$3:$I$32,3,FALSE)),1,0)</f>
        <v>1</v>
      </c>
      <c r="Q39" s="2">
        <f>IF(AND(feasible_mat!P8=1, VLOOKUP(Recharged_Feasible_matv3!$A39,test!$A$34:$G$37, 3,FALSE)=VLOOKUP(Q$1,test!$A$3:$I$32,3,FALSE)),1,0)</f>
        <v>0</v>
      </c>
      <c r="R39" s="2">
        <f>IF(AND(feasible_mat!Q8=1, VLOOKUP(Recharged_Feasible_matv3!$A39,test!$A$34:$G$37, 3,FALSE)=VLOOKUP(R$1,test!$A$3:$I$32,3,FALSE)),1,0)</f>
        <v>0</v>
      </c>
      <c r="S39" s="2">
        <f>IF(AND(feasible_mat!R8=1, VLOOKUP(Recharged_Feasible_matv3!$A39,test!$A$34:$G$37, 3,FALSE)=VLOOKUP(S$1,test!$A$3:$I$32,3,FALSE)),1,0)</f>
        <v>0</v>
      </c>
      <c r="T39" s="2">
        <f>IF(AND(feasible_mat!S8=1, VLOOKUP(Recharged_Feasible_matv3!$A39,test!$A$34:$G$37, 3,FALSE)=VLOOKUP(T$1,test!$A$3:$I$32,3,FALSE)),1,0)</f>
        <v>0</v>
      </c>
      <c r="U39" s="2">
        <f>IF(AND(feasible_mat!T8=1, VLOOKUP(Recharged_Feasible_matv3!$A39,test!$A$34:$G$37, 3,FALSE)=VLOOKUP(U$1,test!$A$3:$I$32,3,FALSE)),1,0)</f>
        <v>0</v>
      </c>
      <c r="V39" s="2">
        <f>IF(AND(feasible_mat!U8=1, VLOOKUP(Recharged_Feasible_matv3!$A39,test!$A$34:$G$37, 3,FALSE)=VLOOKUP(V$1,test!$A$3:$I$32,3,FALSE)),1,0)</f>
        <v>0</v>
      </c>
      <c r="W39" s="2">
        <f>IF(AND(feasible_mat!V8=1, VLOOKUP(Recharged_Feasible_matv3!$A39,test!$A$34:$G$37, 3,FALSE)=VLOOKUP(W$1,test!$A$3:$I$32,3,FALSE)),1,0)</f>
        <v>0</v>
      </c>
      <c r="X39" s="2">
        <f>IF(AND(feasible_mat!W8=1, VLOOKUP(Recharged_Feasible_matv3!$A39,test!$A$34:$G$37, 3,FALSE)=VLOOKUP(X$1,test!$A$3:$I$32,3,FALSE)),1,0)</f>
        <v>0</v>
      </c>
      <c r="Y39" s="2">
        <f>IF(AND(feasible_mat!X8=1, VLOOKUP(Recharged_Feasible_matv3!$A39,test!$A$34:$G$37, 3,FALSE)=VLOOKUP(Y$1,test!$A$3:$I$32,3,FALSE)),1,0)</f>
        <v>0</v>
      </c>
      <c r="Z39" s="2">
        <f>IF(AND(feasible_mat!Y8=1, VLOOKUP(Recharged_Feasible_matv3!$A39,test!$A$34:$G$37, 3,FALSE)=VLOOKUP(Z$1,test!$A$3:$I$32,3,FALSE)),1,0)</f>
        <v>0</v>
      </c>
      <c r="AA39" s="2">
        <f>IF(AND(feasible_mat!Z8=1, VLOOKUP(Recharged_Feasible_matv3!$A39,test!$A$34:$G$37, 3,FALSE)=VLOOKUP(AA$1,test!$A$3:$I$32,3,FALSE)),1,0)</f>
        <v>0</v>
      </c>
      <c r="AB39" s="2">
        <f>IF(AND(feasible_mat!AA8=1, VLOOKUP(Recharged_Feasible_matv3!$A39,test!$A$34:$G$37, 3,FALSE)=VLOOKUP(AB$1,test!$A$3:$I$32,3,FALSE)),1,0)</f>
        <v>0</v>
      </c>
      <c r="AC39" s="2">
        <f>IF(AND(feasible_mat!AB8=1, VLOOKUP(Recharged_Feasible_matv3!$A39,test!$A$34:$G$37, 3,FALSE)=VLOOKUP(AC$1,test!$A$3:$I$32,3,FALSE)),1,0)</f>
        <v>0</v>
      </c>
      <c r="AD39" s="2">
        <f>IF(AND(feasible_mat!AC8=1, VLOOKUP(Recharged_Feasible_matv3!$A39,test!$A$34:$G$37, 3,FALSE)=VLOOKUP(AD$1,test!$A$3:$I$32,3,FALSE)),1,0)</f>
        <v>0</v>
      </c>
      <c r="AE39" s="2">
        <f>IF(AND(feasible_mat!AD8=1, VLOOKUP(Recharged_Feasible_matv3!$A39,test!$A$34:$G$37, 3,FALSE)=VLOOKUP(AE$1,test!$A$3:$I$32,3,FALSE)),1,0)</f>
        <v>0</v>
      </c>
      <c r="AF39" s="2">
        <f>IF(AND(feasible_mat!AE8=1, VLOOKUP(Recharged_Feasible_matv3!$A39,test!$A$34:$G$37, 3,FALSE)=VLOOKUP(AF$1,test!$A$3:$I$32,3,FALSE)),1,0)</f>
        <v>0</v>
      </c>
      <c r="AG39" s="2">
        <f>IF(AND(feasible_mat!AF8=1, VLOOKUP(Recharged_Feasible_matv3!$A39,test!$A$34:$G$37, 3,FALSE)=VLOOKUP(AG$1,test!$A$3:$I$32,3,FALSE)),1,0)</f>
        <v>0</v>
      </c>
    </row>
    <row r="40" spans="1:33" x14ac:dyDescent="0.25">
      <c r="A40" t="s">
        <v>90</v>
      </c>
      <c r="B40" t="s">
        <v>14</v>
      </c>
      <c r="C40">
        <v>0</v>
      </c>
      <c r="D40" s="2">
        <f>IF(AND(feasible_mat!C9=1, VLOOKUP(Recharged_Feasible_matv3!$A40,test!$A$34:$G$37, 3,FALSE)=VLOOKUP(D$1,test!$A$3:$I$32,3,FALSE)),1,0)</f>
        <v>0</v>
      </c>
      <c r="E40" s="2">
        <f>IF(AND(feasible_mat!D9=1, VLOOKUP(Recharged_Feasible_matv3!$A40,test!$A$34:$G$37, 3,FALSE)=VLOOKUP(E$1,test!$A$3:$I$32,3,FALSE)),1,0)</f>
        <v>0</v>
      </c>
      <c r="F40" s="2">
        <f>IF(AND(feasible_mat!E9=1, VLOOKUP(Recharged_Feasible_matv3!$A40,test!$A$34:$G$37, 3,FALSE)=VLOOKUP(F$1,test!$A$3:$I$32,3,FALSE)),1,0)</f>
        <v>0</v>
      </c>
      <c r="G40" s="2">
        <f>IF(AND(feasible_mat!F9=1, VLOOKUP(Recharged_Feasible_matv3!$A40,test!$A$34:$G$37, 3,FALSE)=VLOOKUP(G$1,test!$A$3:$I$32,3,FALSE)),1,0)</f>
        <v>0</v>
      </c>
      <c r="H40" s="2">
        <f>IF(AND(feasible_mat!G9=1, VLOOKUP(Recharged_Feasible_matv3!$A40,test!$A$34:$G$37, 3,FALSE)=VLOOKUP(H$1,test!$A$3:$I$32,3,FALSE)),1,0)</f>
        <v>0</v>
      </c>
      <c r="I40" s="2">
        <f>IF(AND(feasible_mat!H9=1, VLOOKUP(Recharged_Feasible_matv3!$A40,test!$A$34:$G$37, 3,FALSE)=VLOOKUP(I$1,test!$A$3:$I$32,3,FALSE)),1,0)</f>
        <v>0</v>
      </c>
      <c r="J40" s="2">
        <f>IF(AND(feasible_mat!I9=1, VLOOKUP(Recharged_Feasible_matv3!$A40,test!$A$34:$G$37, 3,FALSE)=VLOOKUP(J$1,test!$A$3:$I$32,3,FALSE)),1,0)</f>
        <v>0</v>
      </c>
      <c r="K40" s="2">
        <f>IF(AND(feasible_mat!J9=1, VLOOKUP(Recharged_Feasible_matv3!$A40,test!$A$34:$G$37, 3,FALSE)=VLOOKUP(K$1,test!$A$3:$I$32,3,FALSE)),1,0)</f>
        <v>0</v>
      </c>
      <c r="L40" s="2">
        <f>IF(AND(feasible_mat!K9=1, VLOOKUP(Recharged_Feasible_matv3!$A40,test!$A$34:$G$37, 3,FALSE)=VLOOKUP(L$1,test!$A$3:$I$32,3,FALSE)),1,0)</f>
        <v>0</v>
      </c>
      <c r="M40" s="2">
        <f>IF(AND(feasible_mat!L9=1, VLOOKUP(Recharged_Feasible_matv3!$A40,test!$A$34:$G$37, 3,FALSE)=VLOOKUP(M$1,test!$A$3:$I$32,3,FALSE)),1,0)</f>
        <v>0</v>
      </c>
      <c r="N40" s="2">
        <f>IF(AND(feasible_mat!M9=1, VLOOKUP(Recharged_Feasible_matv3!$A40,test!$A$34:$G$37, 3,FALSE)=VLOOKUP(N$1,test!$A$3:$I$32,3,FALSE)),1,0)</f>
        <v>0</v>
      </c>
      <c r="O40" s="2">
        <f>IF(AND(feasible_mat!N9=1, VLOOKUP(Recharged_Feasible_matv3!$A40,test!$A$34:$G$37, 3,FALSE)=VLOOKUP(O$1,test!$A$3:$I$32,3,FALSE)),1,0)</f>
        <v>0</v>
      </c>
      <c r="P40" s="2">
        <f>IF(AND(feasible_mat!O9=1, VLOOKUP(Recharged_Feasible_matv3!$A40,test!$A$34:$G$37, 3,FALSE)=VLOOKUP(P$1,test!$A$3:$I$32,3,FALSE)),1,0)</f>
        <v>0</v>
      </c>
      <c r="Q40" s="2">
        <f>IF(AND(feasible_mat!P9=1, VLOOKUP(Recharged_Feasible_matv3!$A40,test!$A$34:$G$37, 3,FALSE)=VLOOKUP(Q$1,test!$A$3:$I$32,3,FALSE)),1,0)</f>
        <v>0</v>
      </c>
      <c r="R40" s="2">
        <f>IF(AND(feasible_mat!Q9=1, VLOOKUP(Recharged_Feasible_matv3!$A40,test!$A$34:$G$37, 3,FALSE)=VLOOKUP(R$1,test!$A$3:$I$32,3,FALSE)),1,0)</f>
        <v>0</v>
      </c>
      <c r="S40" s="2">
        <f>IF(AND(feasible_mat!R9=1, VLOOKUP(Recharged_Feasible_matv3!$A40,test!$A$34:$G$37, 3,FALSE)=VLOOKUP(S$1,test!$A$3:$I$32,3,FALSE)),1,0)</f>
        <v>0</v>
      </c>
      <c r="T40" s="2">
        <f>IF(AND(feasible_mat!S9=1, VLOOKUP(Recharged_Feasible_matv3!$A40,test!$A$34:$G$37, 3,FALSE)=VLOOKUP(T$1,test!$A$3:$I$32,3,FALSE)),1,0)</f>
        <v>0</v>
      </c>
      <c r="U40" s="2">
        <f>IF(AND(feasible_mat!T9=1, VLOOKUP(Recharged_Feasible_matv3!$A40,test!$A$34:$G$37, 3,FALSE)=VLOOKUP(U$1,test!$A$3:$I$32,3,FALSE)),1,0)</f>
        <v>0</v>
      </c>
      <c r="V40" s="2">
        <f>IF(AND(feasible_mat!U9=1, VLOOKUP(Recharged_Feasible_matv3!$A40,test!$A$34:$G$37, 3,FALSE)=VLOOKUP(V$1,test!$A$3:$I$32,3,FALSE)),1,0)</f>
        <v>0</v>
      </c>
      <c r="W40" s="2">
        <f>IF(AND(feasible_mat!V9=1, VLOOKUP(Recharged_Feasible_matv3!$A40,test!$A$34:$G$37, 3,FALSE)=VLOOKUP(W$1,test!$A$3:$I$32,3,FALSE)),1,0)</f>
        <v>0</v>
      </c>
      <c r="X40" s="2">
        <f>IF(AND(feasible_mat!W9=1, VLOOKUP(Recharged_Feasible_matv3!$A40,test!$A$34:$G$37, 3,FALSE)=VLOOKUP(X$1,test!$A$3:$I$32,3,FALSE)),1,0)</f>
        <v>0</v>
      </c>
      <c r="Y40" s="2">
        <f>IF(AND(feasible_mat!X9=1, VLOOKUP(Recharged_Feasible_matv3!$A40,test!$A$34:$G$37, 3,FALSE)=VLOOKUP(Y$1,test!$A$3:$I$32,3,FALSE)),1,0)</f>
        <v>0</v>
      </c>
      <c r="Z40" s="2">
        <f>IF(AND(feasible_mat!Y9=1, VLOOKUP(Recharged_Feasible_matv3!$A40,test!$A$34:$G$37, 3,FALSE)=VLOOKUP(Z$1,test!$A$3:$I$32,3,FALSE)),1,0)</f>
        <v>0</v>
      </c>
      <c r="AA40" s="2">
        <f>IF(AND(feasible_mat!Z9=1, VLOOKUP(Recharged_Feasible_matv3!$A40,test!$A$34:$G$37, 3,FALSE)=VLOOKUP(AA$1,test!$A$3:$I$32,3,FALSE)),1,0)</f>
        <v>0</v>
      </c>
      <c r="AB40" s="2">
        <f>IF(AND(feasible_mat!AA9=1, VLOOKUP(Recharged_Feasible_matv3!$A40,test!$A$34:$G$37, 3,FALSE)=VLOOKUP(AB$1,test!$A$3:$I$32,3,FALSE)),1,0)</f>
        <v>0</v>
      </c>
      <c r="AC40" s="2">
        <f>IF(AND(feasible_mat!AB9=1, VLOOKUP(Recharged_Feasible_matv3!$A40,test!$A$34:$G$37, 3,FALSE)=VLOOKUP(AC$1,test!$A$3:$I$32,3,FALSE)),1,0)</f>
        <v>0</v>
      </c>
      <c r="AD40" s="2">
        <f>IF(AND(feasible_mat!AC9=1, VLOOKUP(Recharged_Feasible_matv3!$A40,test!$A$34:$G$37, 3,FALSE)=VLOOKUP(AD$1,test!$A$3:$I$32,3,FALSE)),1,0)</f>
        <v>0</v>
      </c>
      <c r="AE40" s="2">
        <f>IF(AND(feasible_mat!AD9=1, VLOOKUP(Recharged_Feasible_matv3!$A40,test!$A$34:$G$37, 3,FALSE)=VLOOKUP(AE$1,test!$A$3:$I$32,3,FALSE)),1,0)</f>
        <v>0</v>
      </c>
      <c r="AF40" s="2">
        <f>IF(AND(feasible_mat!AE9=1, VLOOKUP(Recharged_Feasible_matv3!$A40,test!$A$34:$G$37, 3,FALSE)=VLOOKUP(AF$1,test!$A$3:$I$32,3,FALSE)),1,0)</f>
        <v>0</v>
      </c>
      <c r="AG40" s="2">
        <f>IF(AND(feasible_mat!AF9=1, VLOOKUP(Recharged_Feasible_matv3!$A40,test!$A$34:$G$37, 3,FALSE)=VLOOKUP(AG$1,test!$A$3:$I$32,3,FALSE)),1,0)</f>
        <v>0</v>
      </c>
    </row>
    <row r="41" spans="1:33" x14ac:dyDescent="0.25">
      <c r="A41" t="s">
        <v>90</v>
      </c>
      <c r="B41" t="s">
        <v>15</v>
      </c>
      <c r="C41">
        <v>0</v>
      </c>
      <c r="D41" s="2">
        <f>IF(AND(feasible_mat!C10=1, VLOOKUP(Recharged_Feasible_matv3!$A41,test!$A$34:$G$37, 3,FALSE)=VLOOKUP(D$1,test!$A$3:$I$32,3,FALSE)),1,0)</f>
        <v>0</v>
      </c>
      <c r="E41" s="2">
        <f>IF(AND(feasible_mat!D10=1, VLOOKUP(Recharged_Feasible_matv3!$A41,test!$A$34:$G$37, 3,FALSE)=VLOOKUP(E$1,test!$A$3:$I$32,3,FALSE)),1,0)</f>
        <v>0</v>
      </c>
      <c r="F41" s="2">
        <f>IF(AND(feasible_mat!E10=1, VLOOKUP(Recharged_Feasible_matv3!$A41,test!$A$34:$G$37, 3,FALSE)=VLOOKUP(F$1,test!$A$3:$I$32,3,FALSE)),1,0)</f>
        <v>0</v>
      </c>
      <c r="G41" s="2">
        <f>IF(AND(feasible_mat!F10=1, VLOOKUP(Recharged_Feasible_matv3!$A41,test!$A$34:$G$37, 3,FALSE)=VLOOKUP(G$1,test!$A$3:$I$32,3,FALSE)),1,0)</f>
        <v>0</v>
      </c>
      <c r="H41" s="2">
        <f>IF(AND(feasible_mat!G10=1, VLOOKUP(Recharged_Feasible_matv3!$A41,test!$A$34:$G$37, 3,FALSE)=VLOOKUP(H$1,test!$A$3:$I$32,3,FALSE)),1,0)</f>
        <v>0</v>
      </c>
      <c r="I41" s="2">
        <f>IF(AND(feasible_mat!H10=1, VLOOKUP(Recharged_Feasible_matv3!$A41,test!$A$34:$G$37, 3,FALSE)=VLOOKUP(I$1,test!$A$3:$I$32,3,FALSE)),1,0)</f>
        <v>0</v>
      </c>
      <c r="J41" s="2">
        <f>IF(AND(feasible_mat!I10=1, VLOOKUP(Recharged_Feasible_matv3!$A41,test!$A$34:$G$37, 3,FALSE)=VLOOKUP(J$1,test!$A$3:$I$32,3,FALSE)),1,0)</f>
        <v>0</v>
      </c>
      <c r="K41" s="2">
        <f>IF(AND(feasible_mat!J10=1, VLOOKUP(Recharged_Feasible_matv3!$A41,test!$A$34:$G$37, 3,FALSE)=VLOOKUP(K$1,test!$A$3:$I$32,3,FALSE)),1,0)</f>
        <v>0</v>
      </c>
      <c r="L41" s="2">
        <f>IF(AND(feasible_mat!K10=1, VLOOKUP(Recharged_Feasible_matv3!$A41,test!$A$34:$G$37, 3,FALSE)=VLOOKUP(L$1,test!$A$3:$I$32,3,FALSE)),1,0)</f>
        <v>0</v>
      </c>
      <c r="M41" s="2">
        <f>IF(AND(feasible_mat!L10=1, VLOOKUP(Recharged_Feasible_matv3!$A41,test!$A$34:$G$37, 3,FALSE)=VLOOKUP(M$1,test!$A$3:$I$32,3,FALSE)),1,0)</f>
        <v>0</v>
      </c>
      <c r="N41" s="2">
        <f>IF(AND(feasible_mat!M10=1, VLOOKUP(Recharged_Feasible_matv3!$A41,test!$A$34:$G$37, 3,FALSE)=VLOOKUP(N$1,test!$A$3:$I$32,3,FALSE)),1,0)</f>
        <v>0</v>
      </c>
      <c r="O41" s="2">
        <f>IF(AND(feasible_mat!N10=1, VLOOKUP(Recharged_Feasible_matv3!$A41,test!$A$34:$G$37, 3,FALSE)=VLOOKUP(O$1,test!$A$3:$I$32,3,FALSE)),1,0)</f>
        <v>0</v>
      </c>
      <c r="P41" s="2">
        <f>IF(AND(feasible_mat!O10=1, VLOOKUP(Recharged_Feasible_matv3!$A41,test!$A$34:$G$37, 3,FALSE)=VLOOKUP(P$1,test!$A$3:$I$32,3,FALSE)),1,0)</f>
        <v>0</v>
      </c>
      <c r="Q41" s="2">
        <f>IF(AND(feasible_mat!P10=1, VLOOKUP(Recharged_Feasible_matv3!$A41,test!$A$34:$G$37, 3,FALSE)=VLOOKUP(Q$1,test!$A$3:$I$32,3,FALSE)),1,0)</f>
        <v>0</v>
      </c>
      <c r="R41" s="2">
        <f>IF(AND(feasible_mat!Q10=1, VLOOKUP(Recharged_Feasible_matv3!$A41,test!$A$34:$G$37, 3,FALSE)=VLOOKUP(R$1,test!$A$3:$I$32,3,FALSE)),1,0)</f>
        <v>0</v>
      </c>
      <c r="S41" s="2">
        <f>IF(AND(feasible_mat!R10=1, VLOOKUP(Recharged_Feasible_matv3!$A41,test!$A$34:$G$37, 3,FALSE)=VLOOKUP(S$1,test!$A$3:$I$32,3,FALSE)),1,0)</f>
        <v>0</v>
      </c>
      <c r="T41" s="2">
        <f>IF(AND(feasible_mat!S10=1, VLOOKUP(Recharged_Feasible_matv3!$A41,test!$A$34:$G$37, 3,FALSE)=VLOOKUP(T$1,test!$A$3:$I$32,3,FALSE)),1,0)</f>
        <v>0</v>
      </c>
      <c r="U41" s="2">
        <f>IF(AND(feasible_mat!T10=1, VLOOKUP(Recharged_Feasible_matv3!$A41,test!$A$34:$G$37, 3,FALSE)=VLOOKUP(U$1,test!$A$3:$I$32,3,FALSE)),1,0)</f>
        <v>0</v>
      </c>
      <c r="V41" s="2">
        <f>IF(AND(feasible_mat!U10=1, VLOOKUP(Recharged_Feasible_matv3!$A41,test!$A$34:$G$37, 3,FALSE)=VLOOKUP(V$1,test!$A$3:$I$32,3,FALSE)),1,0)</f>
        <v>0</v>
      </c>
      <c r="W41" s="2">
        <f>IF(AND(feasible_mat!V10=1, VLOOKUP(Recharged_Feasible_matv3!$A41,test!$A$34:$G$37, 3,FALSE)=VLOOKUP(W$1,test!$A$3:$I$32,3,FALSE)),1,0)</f>
        <v>0</v>
      </c>
      <c r="X41" s="2">
        <f>IF(AND(feasible_mat!W10=1, VLOOKUP(Recharged_Feasible_matv3!$A41,test!$A$34:$G$37, 3,FALSE)=VLOOKUP(X$1,test!$A$3:$I$32,3,FALSE)),1,0)</f>
        <v>0</v>
      </c>
      <c r="Y41" s="2">
        <f>IF(AND(feasible_mat!X10=1, VLOOKUP(Recharged_Feasible_matv3!$A41,test!$A$34:$G$37, 3,FALSE)=VLOOKUP(Y$1,test!$A$3:$I$32,3,FALSE)),1,0)</f>
        <v>0</v>
      </c>
      <c r="Z41" s="2">
        <f>IF(AND(feasible_mat!Y10=1, VLOOKUP(Recharged_Feasible_matv3!$A41,test!$A$34:$G$37, 3,FALSE)=VLOOKUP(Z$1,test!$A$3:$I$32,3,FALSE)),1,0)</f>
        <v>0</v>
      </c>
      <c r="AA41" s="2">
        <f>IF(AND(feasible_mat!Z10=1, VLOOKUP(Recharged_Feasible_matv3!$A41,test!$A$34:$G$37, 3,FALSE)=VLOOKUP(AA$1,test!$A$3:$I$32,3,FALSE)),1,0)</f>
        <v>0</v>
      </c>
      <c r="AB41" s="2">
        <f>IF(AND(feasible_mat!AA10=1, VLOOKUP(Recharged_Feasible_matv3!$A41,test!$A$34:$G$37, 3,FALSE)=VLOOKUP(AB$1,test!$A$3:$I$32,3,FALSE)),1,0)</f>
        <v>0</v>
      </c>
      <c r="AC41" s="2">
        <f>IF(AND(feasible_mat!AB10=1, VLOOKUP(Recharged_Feasible_matv3!$A41,test!$A$34:$G$37, 3,FALSE)=VLOOKUP(AC$1,test!$A$3:$I$32,3,FALSE)),1,0)</f>
        <v>0</v>
      </c>
      <c r="AD41" s="2">
        <f>IF(AND(feasible_mat!AC10=1, VLOOKUP(Recharged_Feasible_matv3!$A41,test!$A$34:$G$37, 3,FALSE)=VLOOKUP(AD$1,test!$A$3:$I$32,3,FALSE)),1,0)</f>
        <v>0</v>
      </c>
      <c r="AE41" s="2">
        <f>IF(AND(feasible_mat!AD10=1, VLOOKUP(Recharged_Feasible_matv3!$A41,test!$A$34:$G$37, 3,FALSE)=VLOOKUP(AE$1,test!$A$3:$I$32,3,FALSE)),1,0)</f>
        <v>0</v>
      </c>
      <c r="AF41" s="2">
        <f>IF(AND(feasible_mat!AE10=1, VLOOKUP(Recharged_Feasible_matv3!$A41,test!$A$34:$G$37, 3,FALSE)=VLOOKUP(AF$1,test!$A$3:$I$32,3,FALSE)),1,0)</f>
        <v>0</v>
      </c>
      <c r="AG41" s="2">
        <f>IF(AND(feasible_mat!AF10=1, VLOOKUP(Recharged_Feasible_matv3!$A41,test!$A$34:$G$37, 3,FALSE)=VLOOKUP(AG$1,test!$A$3:$I$32,3,FALSE)),1,0)</f>
        <v>0</v>
      </c>
    </row>
    <row r="42" spans="1:33" x14ac:dyDescent="0.25">
      <c r="A42" t="s">
        <v>90</v>
      </c>
      <c r="B42" t="s">
        <v>18</v>
      </c>
      <c r="C42">
        <v>0</v>
      </c>
      <c r="D42" s="2">
        <f>IF(AND(feasible_mat!C11=1, VLOOKUP(Recharged_Feasible_matv3!$A42,test!$A$34:$G$37, 3,FALSE)=VLOOKUP(D$1,test!$A$3:$I$32,3,FALSE)),1,0)</f>
        <v>0</v>
      </c>
      <c r="E42" s="2">
        <f>IF(AND(feasible_mat!D11=1, VLOOKUP(Recharged_Feasible_matv3!$A42,test!$A$34:$G$37, 3,FALSE)=VLOOKUP(E$1,test!$A$3:$I$32,3,FALSE)),1,0)</f>
        <v>1</v>
      </c>
      <c r="F42" s="2">
        <f>IF(AND(feasible_mat!E11=1, VLOOKUP(Recharged_Feasible_matv3!$A42,test!$A$34:$G$37, 3,FALSE)=VLOOKUP(F$1,test!$A$3:$I$32,3,FALSE)),1,0)</f>
        <v>1</v>
      </c>
      <c r="G42" s="2">
        <f>IF(AND(feasible_mat!F11=1, VLOOKUP(Recharged_Feasible_matv3!$A42,test!$A$34:$G$37, 3,FALSE)=VLOOKUP(G$1,test!$A$3:$I$32,3,FALSE)),1,0)</f>
        <v>1</v>
      </c>
      <c r="H42" s="2">
        <f>IF(AND(feasible_mat!G11=1, VLOOKUP(Recharged_Feasible_matv3!$A42,test!$A$34:$G$37, 3,FALSE)=VLOOKUP(H$1,test!$A$3:$I$32,3,FALSE)),1,0)</f>
        <v>1</v>
      </c>
      <c r="I42" s="2">
        <f>IF(AND(feasible_mat!H11=1, VLOOKUP(Recharged_Feasible_matv3!$A42,test!$A$34:$G$37, 3,FALSE)=VLOOKUP(I$1,test!$A$3:$I$32,3,FALSE)),1,0)</f>
        <v>1</v>
      </c>
      <c r="J42" s="2">
        <f>IF(AND(feasible_mat!I11=1, VLOOKUP(Recharged_Feasible_matv3!$A42,test!$A$34:$G$37, 3,FALSE)=VLOOKUP(J$1,test!$A$3:$I$32,3,FALSE)),1,0)</f>
        <v>1</v>
      </c>
      <c r="K42" s="2">
        <f>IF(AND(feasible_mat!J11=1, VLOOKUP(Recharged_Feasible_matv3!$A42,test!$A$34:$G$37, 3,FALSE)=VLOOKUP(K$1,test!$A$3:$I$32,3,FALSE)),1,0)</f>
        <v>1</v>
      </c>
      <c r="L42" s="2">
        <f>IF(AND(feasible_mat!K11=1, VLOOKUP(Recharged_Feasible_matv3!$A42,test!$A$34:$G$37, 3,FALSE)=VLOOKUP(L$1,test!$A$3:$I$32,3,FALSE)),1,0)</f>
        <v>0</v>
      </c>
      <c r="M42" s="2">
        <f>IF(AND(feasible_mat!L11=1, VLOOKUP(Recharged_Feasible_matv3!$A42,test!$A$34:$G$37, 3,FALSE)=VLOOKUP(M$1,test!$A$3:$I$32,3,FALSE)),1,0)</f>
        <v>0</v>
      </c>
      <c r="N42" s="2">
        <f>IF(AND(feasible_mat!M11=1, VLOOKUP(Recharged_Feasible_matv3!$A42,test!$A$34:$G$37, 3,FALSE)=VLOOKUP(N$1,test!$A$3:$I$32,3,FALSE)),1,0)</f>
        <v>1</v>
      </c>
      <c r="O42" s="2">
        <f>IF(AND(feasible_mat!N11=1, VLOOKUP(Recharged_Feasible_matv3!$A42,test!$A$34:$G$37, 3,FALSE)=VLOOKUP(O$1,test!$A$3:$I$32,3,FALSE)),1,0)</f>
        <v>1</v>
      </c>
      <c r="P42" s="2">
        <f>IF(AND(feasible_mat!O11=1, VLOOKUP(Recharged_Feasible_matv3!$A42,test!$A$34:$G$37, 3,FALSE)=VLOOKUP(P$1,test!$A$3:$I$32,3,FALSE)),1,0)</f>
        <v>1</v>
      </c>
      <c r="Q42" s="2">
        <f>IF(AND(feasible_mat!P11=1, VLOOKUP(Recharged_Feasible_matv3!$A42,test!$A$34:$G$37, 3,FALSE)=VLOOKUP(Q$1,test!$A$3:$I$32,3,FALSE)),1,0)</f>
        <v>0</v>
      </c>
      <c r="R42" s="2">
        <f>IF(AND(feasible_mat!Q11=1, VLOOKUP(Recharged_Feasible_matv3!$A42,test!$A$34:$G$37, 3,FALSE)=VLOOKUP(R$1,test!$A$3:$I$32,3,FALSE)),1,0)</f>
        <v>0</v>
      </c>
      <c r="S42" s="2">
        <f>IF(AND(feasible_mat!R11=1, VLOOKUP(Recharged_Feasible_matv3!$A42,test!$A$34:$G$37, 3,FALSE)=VLOOKUP(S$1,test!$A$3:$I$32,3,FALSE)),1,0)</f>
        <v>0</v>
      </c>
      <c r="T42" s="2">
        <f>IF(AND(feasible_mat!S11=1, VLOOKUP(Recharged_Feasible_matv3!$A42,test!$A$34:$G$37, 3,FALSE)=VLOOKUP(T$1,test!$A$3:$I$32,3,FALSE)),1,0)</f>
        <v>0</v>
      </c>
      <c r="U42" s="2">
        <f>IF(AND(feasible_mat!T11=1, VLOOKUP(Recharged_Feasible_matv3!$A42,test!$A$34:$G$37, 3,FALSE)=VLOOKUP(U$1,test!$A$3:$I$32,3,FALSE)),1,0)</f>
        <v>0</v>
      </c>
      <c r="V42" s="2">
        <f>IF(AND(feasible_mat!U11=1, VLOOKUP(Recharged_Feasible_matv3!$A42,test!$A$34:$G$37, 3,FALSE)=VLOOKUP(V$1,test!$A$3:$I$32,3,FALSE)),1,0)</f>
        <v>0</v>
      </c>
      <c r="W42" s="2">
        <f>IF(AND(feasible_mat!V11=1, VLOOKUP(Recharged_Feasible_matv3!$A42,test!$A$34:$G$37, 3,FALSE)=VLOOKUP(W$1,test!$A$3:$I$32,3,FALSE)),1,0)</f>
        <v>0</v>
      </c>
      <c r="X42" s="2">
        <f>IF(AND(feasible_mat!W11=1, VLOOKUP(Recharged_Feasible_matv3!$A42,test!$A$34:$G$37, 3,FALSE)=VLOOKUP(X$1,test!$A$3:$I$32,3,FALSE)),1,0)</f>
        <v>0</v>
      </c>
      <c r="Y42" s="2">
        <f>IF(AND(feasible_mat!X11=1, VLOOKUP(Recharged_Feasible_matv3!$A42,test!$A$34:$G$37, 3,FALSE)=VLOOKUP(Y$1,test!$A$3:$I$32,3,FALSE)),1,0)</f>
        <v>0</v>
      </c>
      <c r="Z42" s="2">
        <f>IF(AND(feasible_mat!Y11=1, VLOOKUP(Recharged_Feasible_matv3!$A42,test!$A$34:$G$37, 3,FALSE)=VLOOKUP(Z$1,test!$A$3:$I$32,3,FALSE)),1,0)</f>
        <v>0</v>
      </c>
      <c r="AA42" s="2">
        <f>IF(AND(feasible_mat!Z11=1, VLOOKUP(Recharged_Feasible_matv3!$A42,test!$A$34:$G$37, 3,FALSE)=VLOOKUP(AA$1,test!$A$3:$I$32,3,FALSE)),1,0)</f>
        <v>0</v>
      </c>
      <c r="AB42" s="2">
        <f>IF(AND(feasible_mat!AA11=1, VLOOKUP(Recharged_Feasible_matv3!$A42,test!$A$34:$G$37, 3,FALSE)=VLOOKUP(AB$1,test!$A$3:$I$32,3,FALSE)),1,0)</f>
        <v>0</v>
      </c>
      <c r="AC42" s="2">
        <f>IF(AND(feasible_mat!AB11=1, VLOOKUP(Recharged_Feasible_matv3!$A42,test!$A$34:$G$37, 3,FALSE)=VLOOKUP(AC$1,test!$A$3:$I$32,3,FALSE)),1,0)</f>
        <v>0</v>
      </c>
      <c r="AD42" s="2">
        <f>IF(AND(feasible_mat!AC11=1, VLOOKUP(Recharged_Feasible_matv3!$A42,test!$A$34:$G$37, 3,FALSE)=VLOOKUP(AD$1,test!$A$3:$I$32,3,FALSE)),1,0)</f>
        <v>0</v>
      </c>
      <c r="AE42" s="2">
        <f>IF(AND(feasible_mat!AD11=1, VLOOKUP(Recharged_Feasible_matv3!$A42,test!$A$34:$G$37, 3,FALSE)=VLOOKUP(AE$1,test!$A$3:$I$32,3,FALSE)),1,0)</f>
        <v>0</v>
      </c>
      <c r="AF42" s="2">
        <f>IF(AND(feasible_mat!AE11=1, VLOOKUP(Recharged_Feasible_matv3!$A42,test!$A$34:$G$37, 3,FALSE)=VLOOKUP(AF$1,test!$A$3:$I$32,3,FALSE)),1,0)</f>
        <v>0</v>
      </c>
      <c r="AG42" s="2">
        <f>IF(AND(feasible_mat!AF11=1, VLOOKUP(Recharged_Feasible_matv3!$A42,test!$A$34:$G$37, 3,FALSE)=VLOOKUP(AG$1,test!$A$3:$I$32,3,FALSE)),1,0)</f>
        <v>0</v>
      </c>
    </row>
    <row r="43" spans="1:33" x14ac:dyDescent="0.25">
      <c r="A43" t="s">
        <v>90</v>
      </c>
      <c r="B43" t="s">
        <v>20</v>
      </c>
      <c r="C43">
        <v>0</v>
      </c>
      <c r="D43" s="2">
        <f>IF(AND(feasible_mat!C12=1, VLOOKUP(Recharged_Feasible_matv3!$A43,test!$A$34:$G$37, 3,FALSE)=VLOOKUP(D$1,test!$A$3:$I$32,3,FALSE)),1,0)</f>
        <v>0</v>
      </c>
      <c r="E43" s="2">
        <f>IF(AND(feasible_mat!D12=1, VLOOKUP(Recharged_Feasible_matv3!$A43,test!$A$34:$G$37, 3,FALSE)=VLOOKUP(E$1,test!$A$3:$I$32,3,FALSE)),1,0)</f>
        <v>0</v>
      </c>
      <c r="F43" s="2">
        <f>IF(AND(feasible_mat!E12=1, VLOOKUP(Recharged_Feasible_matv3!$A43,test!$A$34:$G$37, 3,FALSE)=VLOOKUP(F$1,test!$A$3:$I$32,3,FALSE)),1,0)</f>
        <v>1</v>
      </c>
      <c r="G43" s="2">
        <f>IF(AND(feasible_mat!F12=1, VLOOKUP(Recharged_Feasible_matv3!$A43,test!$A$34:$G$37, 3,FALSE)=VLOOKUP(G$1,test!$A$3:$I$32,3,FALSE)),1,0)</f>
        <v>1</v>
      </c>
      <c r="H43" s="2">
        <f>IF(AND(feasible_mat!G12=1, VLOOKUP(Recharged_Feasible_matv3!$A43,test!$A$34:$G$37, 3,FALSE)=VLOOKUP(H$1,test!$A$3:$I$32,3,FALSE)),1,0)</f>
        <v>1</v>
      </c>
      <c r="I43" s="2">
        <f>IF(AND(feasible_mat!H12=1, VLOOKUP(Recharged_Feasible_matv3!$A43,test!$A$34:$G$37, 3,FALSE)=VLOOKUP(I$1,test!$A$3:$I$32,3,FALSE)),1,0)</f>
        <v>1</v>
      </c>
      <c r="J43" s="2">
        <f>IF(AND(feasible_mat!I12=1, VLOOKUP(Recharged_Feasible_matv3!$A43,test!$A$34:$G$37, 3,FALSE)=VLOOKUP(J$1,test!$A$3:$I$32,3,FALSE)),1,0)</f>
        <v>1</v>
      </c>
      <c r="K43" s="2">
        <f>IF(AND(feasible_mat!J12=1, VLOOKUP(Recharged_Feasible_matv3!$A43,test!$A$34:$G$37, 3,FALSE)=VLOOKUP(K$1,test!$A$3:$I$32,3,FALSE)),1,0)</f>
        <v>1</v>
      </c>
      <c r="L43" s="2">
        <f>IF(AND(feasible_mat!K12=1, VLOOKUP(Recharged_Feasible_matv3!$A43,test!$A$34:$G$37, 3,FALSE)=VLOOKUP(L$1,test!$A$3:$I$32,3,FALSE)),1,0)</f>
        <v>0</v>
      </c>
      <c r="M43" s="2">
        <f>IF(AND(feasible_mat!L12=1, VLOOKUP(Recharged_Feasible_matv3!$A43,test!$A$34:$G$37, 3,FALSE)=VLOOKUP(M$1,test!$A$3:$I$32,3,FALSE)),1,0)</f>
        <v>0</v>
      </c>
      <c r="N43" s="2">
        <f>IF(AND(feasible_mat!M12=1, VLOOKUP(Recharged_Feasible_matv3!$A43,test!$A$34:$G$37, 3,FALSE)=VLOOKUP(N$1,test!$A$3:$I$32,3,FALSE)),1,0)</f>
        <v>0</v>
      </c>
      <c r="O43" s="2">
        <f>IF(AND(feasible_mat!N12=1, VLOOKUP(Recharged_Feasible_matv3!$A43,test!$A$34:$G$37, 3,FALSE)=VLOOKUP(O$1,test!$A$3:$I$32,3,FALSE)),1,0)</f>
        <v>1</v>
      </c>
      <c r="P43" s="2">
        <f>IF(AND(feasible_mat!O12=1, VLOOKUP(Recharged_Feasible_matv3!$A43,test!$A$34:$G$37, 3,FALSE)=VLOOKUP(P$1,test!$A$3:$I$32,3,FALSE)),1,0)</f>
        <v>1</v>
      </c>
      <c r="Q43" s="2">
        <f>IF(AND(feasible_mat!P12=1, VLOOKUP(Recharged_Feasible_matv3!$A43,test!$A$34:$G$37, 3,FALSE)=VLOOKUP(Q$1,test!$A$3:$I$32,3,FALSE)),1,0)</f>
        <v>0</v>
      </c>
      <c r="R43" s="2">
        <f>IF(AND(feasible_mat!Q12=1, VLOOKUP(Recharged_Feasible_matv3!$A43,test!$A$34:$G$37, 3,FALSE)=VLOOKUP(R$1,test!$A$3:$I$32,3,FALSE)),1,0)</f>
        <v>0</v>
      </c>
      <c r="S43" s="2">
        <f>IF(AND(feasible_mat!R12=1, VLOOKUP(Recharged_Feasible_matv3!$A43,test!$A$34:$G$37, 3,FALSE)=VLOOKUP(S$1,test!$A$3:$I$32,3,FALSE)),1,0)</f>
        <v>0</v>
      </c>
      <c r="T43" s="2">
        <f>IF(AND(feasible_mat!S12=1, VLOOKUP(Recharged_Feasible_matv3!$A43,test!$A$34:$G$37, 3,FALSE)=VLOOKUP(T$1,test!$A$3:$I$32,3,FALSE)),1,0)</f>
        <v>0</v>
      </c>
      <c r="U43" s="2">
        <f>IF(AND(feasible_mat!T12=1, VLOOKUP(Recharged_Feasible_matv3!$A43,test!$A$34:$G$37, 3,FALSE)=VLOOKUP(U$1,test!$A$3:$I$32,3,FALSE)),1,0)</f>
        <v>0</v>
      </c>
      <c r="V43" s="2">
        <f>IF(AND(feasible_mat!U12=1, VLOOKUP(Recharged_Feasible_matv3!$A43,test!$A$34:$G$37, 3,FALSE)=VLOOKUP(V$1,test!$A$3:$I$32,3,FALSE)),1,0)</f>
        <v>0</v>
      </c>
      <c r="W43" s="2">
        <f>IF(AND(feasible_mat!V12=1, VLOOKUP(Recharged_Feasible_matv3!$A43,test!$A$34:$G$37, 3,FALSE)=VLOOKUP(W$1,test!$A$3:$I$32,3,FALSE)),1,0)</f>
        <v>0</v>
      </c>
      <c r="X43" s="2">
        <f>IF(AND(feasible_mat!W12=1, VLOOKUP(Recharged_Feasible_matv3!$A43,test!$A$34:$G$37, 3,FALSE)=VLOOKUP(X$1,test!$A$3:$I$32,3,FALSE)),1,0)</f>
        <v>0</v>
      </c>
      <c r="Y43" s="2">
        <f>IF(AND(feasible_mat!X12=1, VLOOKUP(Recharged_Feasible_matv3!$A43,test!$A$34:$G$37, 3,FALSE)=VLOOKUP(Y$1,test!$A$3:$I$32,3,FALSE)),1,0)</f>
        <v>0</v>
      </c>
      <c r="Z43" s="2">
        <f>IF(AND(feasible_mat!Y12=1, VLOOKUP(Recharged_Feasible_matv3!$A43,test!$A$34:$G$37, 3,FALSE)=VLOOKUP(Z$1,test!$A$3:$I$32,3,FALSE)),1,0)</f>
        <v>0</v>
      </c>
      <c r="AA43" s="2">
        <f>IF(AND(feasible_mat!Z12=1, VLOOKUP(Recharged_Feasible_matv3!$A43,test!$A$34:$G$37, 3,FALSE)=VLOOKUP(AA$1,test!$A$3:$I$32,3,FALSE)),1,0)</f>
        <v>0</v>
      </c>
      <c r="AB43" s="2">
        <f>IF(AND(feasible_mat!AA12=1, VLOOKUP(Recharged_Feasible_matv3!$A43,test!$A$34:$G$37, 3,FALSE)=VLOOKUP(AB$1,test!$A$3:$I$32,3,FALSE)),1,0)</f>
        <v>0</v>
      </c>
      <c r="AC43" s="2">
        <f>IF(AND(feasible_mat!AB12=1, VLOOKUP(Recharged_Feasible_matv3!$A43,test!$A$34:$G$37, 3,FALSE)=VLOOKUP(AC$1,test!$A$3:$I$32,3,FALSE)),1,0)</f>
        <v>0</v>
      </c>
      <c r="AD43" s="2">
        <f>IF(AND(feasible_mat!AC12=1, VLOOKUP(Recharged_Feasible_matv3!$A43,test!$A$34:$G$37, 3,FALSE)=VLOOKUP(AD$1,test!$A$3:$I$32,3,FALSE)),1,0)</f>
        <v>0</v>
      </c>
      <c r="AE43" s="2">
        <f>IF(AND(feasible_mat!AD12=1, VLOOKUP(Recharged_Feasible_matv3!$A43,test!$A$34:$G$37, 3,FALSE)=VLOOKUP(AE$1,test!$A$3:$I$32,3,FALSE)),1,0)</f>
        <v>0</v>
      </c>
      <c r="AF43" s="2">
        <f>IF(AND(feasible_mat!AE12=1, VLOOKUP(Recharged_Feasible_matv3!$A43,test!$A$34:$G$37, 3,FALSE)=VLOOKUP(AF$1,test!$A$3:$I$32,3,FALSE)),1,0)</f>
        <v>0</v>
      </c>
      <c r="AG43" s="2">
        <f>IF(AND(feasible_mat!AF12=1, VLOOKUP(Recharged_Feasible_matv3!$A43,test!$A$34:$G$37, 3,FALSE)=VLOOKUP(AG$1,test!$A$3:$I$32,3,FALSE)),1,0)</f>
        <v>0</v>
      </c>
    </row>
    <row r="44" spans="1:33" x14ac:dyDescent="0.25">
      <c r="A44" t="s">
        <v>90</v>
      </c>
      <c r="B44" t="s">
        <v>21</v>
      </c>
      <c r="C44">
        <v>0</v>
      </c>
      <c r="D44" s="2">
        <f>IF(AND(feasible_mat!C13=1, VLOOKUP(Recharged_Feasible_matv3!$A44,test!$A$34:$G$37, 3,FALSE)=VLOOKUP(D$1,test!$A$3:$I$32,3,FALSE)),1,0)</f>
        <v>0</v>
      </c>
      <c r="E44" s="2">
        <f>IF(AND(feasible_mat!D13=1, VLOOKUP(Recharged_Feasible_matv3!$A44,test!$A$34:$G$37, 3,FALSE)=VLOOKUP(E$1,test!$A$3:$I$32,3,FALSE)),1,0)</f>
        <v>0</v>
      </c>
      <c r="F44" s="2">
        <f>IF(AND(feasible_mat!E13=1, VLOOKUP(Recharged_Feasible_matv3!$A44,test!$A$34:$G$37, 3,FALSE)=VLOOKUP(F$1,test!$A$3:$I$32,3,FALSE)),1,0)</f>
        <v>0</v>
      </c>
      <c r="G44" s="2">
        <f>IF(AND(feasible_mat!F13=1, VLOOKUP(Recharged_Feasible_matv3!$A44,test!$A$34:$G$37, 3,FALSE)=VLOOKUP(G$1,test!$A$3:$I$32,3,FALSE)),1,0)</f>
        <v>0</v>
      </c>
      <c r="H44" s="2">
        <f>IF(AND(feasible_mat!G13=1, VLOOKUP(Recharged_Feasible_matv3!$A44,test!$A$34:$G$37, 3,FALSE)=VLOOKUP(H$1,test!$A$3:$I$32,3,FALSE)),1,0)</f>
        <v>1</v>
      </c>
      <c r="I44" s="2">
        <f>IF(AND(feasible_mat!H13=1, VLOOKUP(Recharged_Feasible_matv3!$A44,test!$A$34:$G$37, 3,FALSE)=VLOOKUP(I$1,test!$A$3:$I$32,3,FALSE)),1,0)</f>
        <v>1</v>
      </c>
      <c r="J44" s="2">
        <f>IF(AND(feasible_mat!I13=1, VLOOKUP(Recharged_Feasible_matv3!$A44,test!$A$34:$G$37, 3,FALSE)=VLOOKUP(J$1,test!$A$3:$I$32,3,FALSE)),1,0)</f>
        <v>1</v>
      </c>
      <c r="K44" s="2">
        <f>IF(AND(feasible_mat!J13=1, VLOOKUP(Recharged_Feasible_matv3!$A44,test!$A$34:$G$37, 3,FALSE)=VLOOKUP(K$1,test!$A$3:$I$32,3,FALSE)),1,0)</f>
        <v>1</v>
      </c>
      <c r="L44" s="2">
        <f>IF(AND(feasible_mat!K13=1, VLOOKUP(Recharged_Feasible_matv3!$A44,test!$A$34:$G$37, 3,FALSE)=VLOOKUP(L$1,test!$A$3:$I$32,3,FALSE)),1,0)</f>
        <v>0</v>
      </c>
      <c r="M44" s="2">
        <f>IF(AND(feasible_mat!L13=1, VLOOKUP(Recharged_Feasible_matv3!$A44,test!$A$34:$G$37, 3,FALSE)=VLOOKUP(M$1,test!$A$3:$I$32,3,FALSE)),1,0)</f>
        <v>0</v>
      </c>
      <c r="N44" s="2">
        <f>IF(AND(feasible_mat!M13=1, VLOOKUP(Recharged_Feasible_matv3!$A44,test!$A$34:$G$37, 3,FALSE)=VLOOKUP(N$1,test!$A$3:$I$32,3,FALSE)),1,0)</f>
        <v>0</v>
      </c>
      <c r="O44" s="2">
        <f>IF(AND(feasible_mat!N13=1, VLOOKUP(Recharged_Feasible_matv3!$A44,test!$A$34:$G$37, 3,FALSE)=VLOOKUP(O$1,test!$A$3:$I$32,3,FALSE)),1,0)</f>
        <v>1</v>
      </c>
      <c r="P44" s="2">
        <f>IF(AND(feasible_mat!O13=1, VLOOKUP(Recharged_Feasible_matv3!$A44,test!$A$34:$G$37, 3,FALSE)=VLOOKUP(P$1,test!$A$3:$I$32,3,FALSE)),1,0)</f>
        <v>1</v>
      </c>
      <c r="Q44" s="2">
        <f>IF(AND(feasible_mat!P13=1, VLOOKUP(Recharged_Feasible_matv3!$A44,test!$A$34:$G$37, 3,FALSE)=VLOOKUP(Q$1,test!$A$3:$I$32,3,FALSE)),1,0)</f>
        <v>0</v>
      </c>
      <c r="R44" s="2">
        <f>IF(AND(feasible_mat!Q13=1, VLOOKUP(Recharged_Feasible_matv3!$A44,test!$A$34:$G$37, 3,FALSE)=VLOOKUP(R$1,test!$A$3:$I$32,3,FALSE)),1,0)</f>
        <v>0</v>
      </c>
      <c r="S44" s="2">
        <f>IF(AND(feasible_mat!R13=1, VLOOKUP(Recharged_Feasible_matv3!$A44,test!$A$34:$G$37, 3,FALSE)=VLOOKUP(S$1,test!$A$3:$I$32,3,FALSE)),1,0)</f>
        <v>0</v>
      </c>
      <c r="T44" s="2">
        <f>IF(AND(feasible_mat!S13=1, VLOOKUP(Recharged_Feasible_matv3!$A44,test!$A$34:$G$37, 3,FALSE)=VLOOKUP(T$1,test!$A$3:$I$32,3,FALSE)),1,0)</f>
        <v>0</v>
      </c>
      <c r="U44" s="2">
        <f>IF(AND(feasible_mat!T13=1, VLOOKUP(Recharged_Feasible_matv3!$A44,test!$A$34:$G$37, 3,FALSE)=VLOOKUP(U$1,test!$A$3:$I$32,3,FALSE)),1,0)</f>
        <v>0</v>
      </c>
      <c r="V44" s="2">
        <f>IF(AND(feasible_mat!U13=1, VLOOKUP(Recharged_Feasible_matv3!$A44,test!$A$34:$G$37, 3,FALSE)=VLOOKUP(V$1,test!$A$3:$I$32,3,FALSE)),1,0)</f>
        <v>0</v>
      </c>
      <c r="W44" s="2">
        <f>IF(AND(feasible_mat!V13=1, VLOOKUP(Recharged_Feasible_matv3!$A44,test!$A$34:$G$37, 3,FALSE)=VLOOKUP(W$1,test!$A$3:$I$32,3,FALSE)),1,0)</f>
        <v>0</v>
      </c>
      <c r="X44" s="2">
        <f>IF(AND(feasible_mat!W13=1, VLOOKUP(Recharged_Feasible_matv3!$A44,test!$A$34:$G$37, 3,FALSE)=VLOOKUP(X$1,test!$A$3:$I$32,3,FALSE)),1,0)</f>
        <v>0</v>
      </c>
      <c r="Y44" s="2">
        <f>IF(AND(feasible_mat!X13=1, VLOOKUP(Recharged_Feasible_matv3!$A44,test!$A$34:$G$37, 3,FALSE)=VLOOKUP(Y$1,test!$A$3:$I$32,3,FALSE)),1,0)</f>
        <v>0</v>
      </c>
      <c r="Z44" s="2">
        <f>IF(AND(feasible_mat!Y13=1, VLOOKUP(Recharged_Feasible_matv3!$A44,test!$A$34:$G$37, 3,FALSE)=VLOOKUP(Z$1,test!$A$3:$I$32,3,FALSE)),1,0)</f>
        <v>0</v>
      </c>
      <c r="AA44" s="2">
        <f>IF(AND(feasible_mat!Z13=1, VLOOKUP(Recharged_Feasible_matv3!$A44,test!$A$34:$G$37, 3,FALSE)=VLOOKUP(AA$1,test!$A$3:$I$32,3,FALSE)),1,0)</f>
        <v>0</v>
      </c>
      <c r="AB44" s="2">
        <f>IF(AND(feasible_mat!AA13=1, VLOOKUP(Recharged_Feasible_matv3!$A44,test!$A$34:$G$37, 3,FALSE)=VLOOKUP(AB$1,test!$A$3:$I$32,3,FALSE)),1,0)</f>
        <v>0</v>
      </c>
      <c r="AC44" s="2">
        <f>IF(AND(feasible_mat!AB13=1, VLOOKUP(Recharged_Feasible_matv3!$A44,test!$A$34:$G$37, 3,FALSE)=VLOOKUP(AC$1,test!$A$3:$I$32,3,FALSE)),1,0)</f>
        <v>0</v>
      </c>
      <c r="AD44" s="2">
        <f>IF(AND(feasible_mat!AC13=1, VLOOKUP(Recharged_Feasible_matv3!$A44,test!$A$34:$G$37, 3,FALSE)=VLOOKUP(AD$1,test!$A$3:$I$32,3,FALSE)),1,0)</f>
        <v>0</v>
      </c>
      <c r="AE44" s="2">
        <f>IF(AND(feasible_mat!AD13=1, VLOOKUP(Recharged_Feasible_matv3!$A44,test!$A$34:$G$37, 3,FALSE)=VLOOKUP(AE$1,test!$A$3:$I$32,3,FALSE)),1,0)</f>
        <v>0</v>
      </c>
      <c r="AF44" s="2">
        <f>IF(AND(feasible_mat!AE13=1, VLOOKUP(Recharged_Feasible_matv3!$A44,test!$A$34:$G$37, 3,FALSE)=VLOOKUP(AF$1,test!$A$3:$I$32,3,FALSE)),1,0)</f>
        <v>0</v>
      </c>
      <c r="AG44" s="2">
        <f>IF(AND(feasible_mat!AF13=1, VLOOKUP(Recharged_Feasible_matv3!$A44,test!$A$34:$G$37, 3,FALSE)=VLOOKUP(AG$1,test!$A$3:$I$32,3,FALSE)),1,0)</f>
        <v>0</v>
      </c>
    </row>
    <row r="45" spans="1:33" x14ac:dyDescent="0.25">
      <c r="A45" t="s">
        <v>90</v>
      </c>
      <c r="B45" t="s">
        <v>22</v>
      </c>
      <c r="C45">
        <v>0</v>
      </c>
      <c r="D45" s="2">
        <f>IF(AND(feasible_mat!C14=1, VLOOKUP(Recharged_Feasible_matv3!$A45,test!$A$34:$G$37, 3,FALSE)=VLOOKUP(D$1,test!$A$3:$I$32,3,FALSE)),1,0)</f>
        <v>0</v>
      </c>
      <c r="E45" s="2">
        <f>IF(AND(feasible_mat!D14=1, VLOOKUP(Recharged_Feasible_matv3!$A45,test!$A$34:$G$37, 3,FALSE)=VLOOKUP(E$1,test!$A$3:$I$32,3,FALSE)),1,0)</f>
        <v>0</v>
      </c>
      <c r="F45" s="2">
        <f>IF(AND(feasible_mat!E14=1, VLOOKUP(Recharged_Feasible_matv3!$A45,test!$A$34:$G$37, 3,FALSE)=VLOOKUP(F$1,test!$A$3:$I$32,3,FALSE)),1,0)</f>
        <v>0</v>
      </c>
      <c r="G45" s="2">
        <f>IF(AND(feasible_mat!F14=1, VLOOKUP(Recharged_Feasible_matv3!$A45,test!$A$34:$G$37, 3,FALSE)=VLOOKUP(G$1,test!$A$3:$I$32,3,FALSE)),1,0)</f>
        <v>0</v>
      </c>
      <c r="H45" s="2">
        <f>IF(AND(feasible_mat!G14=1, VLOOKUP(Recharged_Feasible_matv3!$A45,test!$A$34:$G$37, 3,FALSE)=VLOOKUP(H$1,test!$A$3:$I$32,3,FALSE)),1,0)</f>
        <v>0</v>
      </c>
      <c r="I45" s="2">
        <f>IF(AND(feasible_mat!H14=1, VLOOKUP(Recharged_Feasible_matv3!$A45,test!$A$34:$G$37, 3,FALSE)=VLOOKUP(I$1,test!$A$3:$I$32,3,FALSE)),1,0)</f>
        <v>0</v>
      </c>
      <c r="J45" s="2">
        <f>IF(AND(feasible_mat!I14=1, VLOOKUP(Recharged_Feasible_matv3!$A45,test!$A$34:$G$37, 3,FALSE)=VLOOKUP(J$1,test!$A$3:$I$32,3,FALSE)),1,0)</f>
        <v>0</v>
      </c>
      <c r="K45" s="2">
        <f>IF(AND(feasible_mat!J14=1, VLOOKUP(Recharged_Feasible_matv3!$A45,test!$A$34:$G$37, 3,FALSE)=VLOOKUP(K$1,test!$A$3:$I$32,3,FALSE)),1,0)</f>
        <v>0</v>
      </c>
      <c r="L45" s="2">
        <f>IF(AND(feasible_mat!K14=1, VLOOKUP(Recharged_Feasible_matv3!$A45,test!$A$34:$G$37, 3,FALSE)=VLOOKUP(L$1,test!$A$3:$I$32,3,FALSE)),1,0)</f>
        <v>0</v>
      </c>
      <c r="M45" s="2">
        <f>IF(AND(feasible_mat!L14=1, VLOOKUP(Recharged_Feasible_matv3!$A45,test!$A$34:$G$37, 3,FALSE)=VLOOKUP(M$1,test!$A$3:$I$32,3,FALSE)),1,0)</f>
        <v>0</v>
      </c>
      <c r="N45" s="2">
        <f>IF(AND(feasible_mat!M14=1, VLOOKUP(Recharged_Feasible_matv3!$A45,test!$A$34:$G$37, 3,FALSE)=VLOOKUP(N$1,test!$A$3:$I$32,3,FALSE)),1,0)</f>
        <v>0</v>
      </c>
      <c r="O45" s="2">
        <f>IF(AND(feasible_mat!N14=1, VLOOKUP(Recharged_Feasible_matv3!$A45,test!$A$34:$G$37, 3,FALSE)=VLOOKUP(O$1,test!$A$3:$I$32,3,FALSE)),1,0)</f>
        <v>0</v>
      </c>
      <c r="P45" s="2">
        <f>IF(AND(feasible_mat!O14=1, VLOOKUP(Recharged_Feasible_matv3!$A45,test!$A$34:$G$37, 3,FALSE)=VLOOKUP(P$1,test!$A$3:$I$32,3,FALSE)),1,0)</f>
        <v>0</v>
      </c>
      <c r="Q45" s="2">
        <f>IF(AND(feasible_mat!P14=1, VLOOKUP(Recharged_Feasible_matv3!$A45,test!$A$34:$G$37, 3,FALSE)=VLOOKUP(Q$1,test!$A$3:$I$32,3,FALSE)),1,0)</f>
        <v>0</v>
      </c>
      <c r="R45" s="2">
        <f>IF(AND(feasible_mat!Q14=1, VLOOKUP(Recharged_Feasible_matv3!$A45,test!$A$34:$G$37, 3,FALSE)=VLOOKUP(R$1,test!$A$3:$I$32,3,FALSE)),1,0)</f>
        <v>0</v>
      </c>
      <c r="S45" s="2">
        <f>IF(AND(feasible_mat!R14=1, VLOOKUP(Recharged_Feasible_matv3!$A45,test!$A$34:$G$37, 3,FALSE)=VLOOKUP(S$1,test!$A$3:$I$32,3,FALSE)),1,0)</f>
        <v>0</v>
      </c>
      <c r="T45" s="2">
        <f>IF(AND(feasible_mat!S14=1, VLOOKUP(Recharged_Feasible_matv3!$A45,test!$A$34:$G$37, 3,FALSE)=VLOOKUP(T$1,test!$A$3:$I$32,3,FALSE)),1,0)</f>
        <v>0</v>
      </c>
      <c r="U45" s="2">
        <f>IF(AND(feasible_mat!T14=1, VLOOKUP(Recharged_Feasible_matv3!$A45,test!$A$34:$G$37, 3,FALSE)=VLOOKUP(U$1,test!$A$3:$I$32,3,FALSE)),1,0)</f>
        <v>0</v>
      </c>
      <c r="V45" s="2">
        <f>IF(AND(feasible_mat!U14=1, VLOOKUP(Recharged_Feasible_matv3!$A45,test!$A$34:$G$37, 3,FALSE)=VLOOKUP(V$1,test!$A$3:$I$32,3,FALSE)),1,0)</f>
        <v>0</v>
      </c>
      <c r="W45" s="2">
        <f>IF(AND(feasible_mat!V14=1, VLOOKUP(Recharged_Feasible_matv3!$A45,test!$A$34:$G$37, 3,FALSE)=VLOOKUP(W$1,test!$A$3:$I$32,3,FALSE)),1,0)</f>
        <v>0</v>
      </c>
      <c r="X45" s="2">
        <f>IF(AND(feasible_mat!W14=1, VLOOKUP(Recharged_Feasible_matv3!$A45,test!$A$34:$G$37, 3,FALSE)=VLOOKUP(X$1,test!$A$3:$I$32,3,FALSE)),1,0)</f>
        <v>0</v>
      </c>
      <c r="Y45" s="2">
        <f>IF(AND(feasible_mat!X14=1, VLOOKUP(Recharged_Feasible_matv3!$A45,test!$A$34:$G$37, 3,FALSE)=VLOOKUP(Y$1,test!$A$3:$I$32,3,FALSE)),1,0)</f>
        <v>0</v>
      </c>
      <c r="Z45" s="2">
        <f>IF(AND(feasible_mat!Y14=1, VLOOKUP(Recharged_Feasible_matv3!$A45,test!$A$34:$G$37, 3,FALSE)=VLOOKUP(Z$1,test!$A$3:$I$32,3,FALSE)),1,0)</f>
        <v>0</v>
      </c>
      <c r="AA45" s="2">
        <f>IF(AND(feasible_mat!Z14=1, VLOOKUP(Recharged_Feasible_matv3!$A45,test!$A$34:$G$37, 3,FALSE)=VLOOKUP(AA$1,test!$A$3:$I$32,3,FALSE)),1,0)</f>
        <v>0</v>
      </c>
      <c r="AB45" s="2">
        <f>IF(AND(feasible_mat!AA14=1, VLOOKUP(Recharged_Feasible_matv3!$A45,test!$A$34:$G$37, 3,FALSE)=VLOOKUP(AB$1,test!$A$3:$I$32,3,FALSE)),1,0)</f>
        <v>0</v>
      </c>
      <c r="AC45" s="2">
        <f>IF(AND(feasible_mat!AB14=1, VLOOKUP(Recharged_Feasible_matv3!$A45,test!$A$34:$G$37, 3,FALSE)=VLOOKUP(AC$1,test!$A$3:$I$32,3,FALSE)),1,0)</f>
        <v>0</v>
      </c>
      <c r="AD45" s="2">
        <f>IF(AND(feasible_mat!AC14=1, VLOOKUP(Recharged_Feasible_matv3!$A45,test!$A$34:$G$37, 3,FALSE)=VLOOKUP(AD$1,test!$A$3:$I$32,3,FALSE)),1,0)</f>
        <v>0</v>
      </c>
      <c r="AE45" s="2">
        <f>IF(AND(feasible_mat!AD14=1, VLOOKUP(Recharged_Feasible_matv3!$A45,test!$A$34:$G$37, 3,FALSE)=VLOOKUP(AE$1,test!$A$3:$I$32,3,FALSE)),1,0)</f>
        <v>0</v>
      </c>
      <c r="AF45" s="2">
        <f>IF(AND(feasible_mat!AE14=1, VLOOKUP(Recharged_Feasible_matv3!$A45,test!$A$34:$G$37, 3,FALSE)=VLOOKUP(AF$1,test!$A$3:$I$32,3,FALSE)),1,0)</f>
        <v>0</v>
      </c>
      <c r="AG45" s="2">
        <f>IF(AND(feasible_mat!AF14=1, VLOOKUP(Recharged_Feasible_matv3!$A45,test!$A$34:$G$37, 3,FALSE)=VLOOKUP(AG$1,test!$A$3:$I$32,3,FALSE)),1,0)</f>
        <v>0</v>
      </c>
    </row>
    <row r="46" spans="1:33" x14ac:dyDescent="0.25">
      <c r="A46" t="s">
        <v>90</v>
      </c>
      <c r="B46" t="s">
        <v>23</v>
      </c>
      <c r="C46">
        <v>0</v>
      </c>
      <c r="D46" s="2">
        <f>IF(AND(feasible_mat!C15=1, VLOOKUP(Recharged_Feasible_matv3!$A46,test!$A$34:$G$37, 3,FALSE)=VLOOKUP(D$1,test!$A$3:$I$32,3,FALSE)),1,0)</f>
        <v>0</v>
      </c>
      <c r="E46" s="2">
        <f>IF(AND(feasible_mat!D15=1, VLOOKUP(Recharged_Feasible_matv3!$A46,test!$A$34:$G$37, 3,FALSE)=VLOOKUP(E$1,test!$A$3:$I$32,3,FALSE)),1,0)</f>
        <v>0</v>
      </c>
      <c r="F46" s="2">
        <f>IF(AND(feasible_mat!E15=1, VLOOKUP(Recharged_Feasible_matv3!$A46,test!$A$34:$G$37, 3,FALSE)=VLOOKUP(F$1,test!$A$3:$I$32,3,FALSE)),1,0)</f>
        <v>0</v>
      </c>
      <c r="G46" s="2">
        <f>IF(AND(feasible_mat!F15=1, VLOOKUP(Recharged_Feasible_matv3!$A46,test!$A$34:$G$37, 3,FALSE)=VLOOKUP(G$1,test!$A$3:$I$32,3,FALSE)),1,0)</f>
        <v>0</v>
      </c>
      <c r="H46" s="2">
        <f>IF(AND(feasible_mat!G15=1, VLOOKUP(Recharged_Feasible_matv3!$A46,test!$A$34:$G$37, 3,FALSE)=VLOOKUP(H$1,test!$A$3:$I$32,3,FALSE)),1,0)</f>
        <v>0</v>
      </c>
      <c r="I46" s="2">
        <f>IF(AND(feasible_mat!H15=1, VLOOKUP(Recharged_Feasible_matv3!$A46,test!$A$34:$G$37, 3,FALSE)=VLOOKUP(I$1,test!$A$3:$I$32,3,FALSE)),1,0)</f>
        <v>0</v>
      </c>
      <c r="J46" s="2">
        <f>IF(AND(feasible_mat!I15=1, VLOOKUP(Recharged_Feasible_matv3!$A46,test!$A$34:$G$37, 3,FALSE)=VLOOKUP(J$1,test!$A$3:$I$32,3,FALSE)),1,0)</f>
        <v>0</v>
      </c>
      <c r="K46" s="2">
        <f>IF(AND(feasible_mat!J15=1, VLOOKUP(Recharged_Feasible_matv3!$A46,test!$A$34:$G$37, 3,FALSE)=VLOOKUP(K$1,test!$A$3:$I$32,3,FALSE)),1,0)</f>
        <v>0</v>
      </c>
      <c r="L46" s="2">
        <f>IF(AND(feasible_mat!K15=1, VLOOKUP(Recharged_Feasible_matv3!$A46,test!$A$34:$G$37, 3,FALSE)=VLOOKUP(L$1,test!$A$3:$I$32,3,FALSE)),1,0)</f>
        <v>0</v>
      </c>
      <c r="M46" s="2">
        <f>IF(AND(feasible_mat!L15=1, VLOOKUP(Recharged_Feasible_matv3!$A46,test!$A$34:$G$37, 3,FALSE)=VLOOKUP(M$1,test!$A$3:$I$32,3,FALSE)),1,0)</f>
        <v>0</v>
      </c>
      <c r="N46" s="2">
        <f>IF(AND(feasible_mat!M15=1, VLOOKUP(Recharged_Feasible_matv3!$A46,test!$A$34:$G$37, 3,FALSE)=VLOOKUP(N$1,test!$A$3:$I$32,3,FALSE)),1,0)</f>
        <v>0</v>
      </c>
      <c r="O46" s="2">
        <f>IF(AND(feasible_mat!N15=1, VLOOKUP(Recharged_Feasible_matv3!$A46,test!$A$34:$G$37, 3,FALSE)=VLOOKUP(O$1,test!$A$3:$I$32,3,FALSE)),1,0)</f>
        <v>0</v>
      </c>
      <c r="P46" s="2">
        <f>IF(AND(feasible_mat!O15=1, VLOOKUP(Recharged_Feasible_matv3!$A46,test!$A$34:$G$37, 3,FALSE)=VLOOKUP(P$1,test!$A$3:$I$32,3,FALSE)),1,0)</f>
        <v>0</v>
      </c>
      <c r="Q46" s="2">
        <f>IF(AND(feasible_mat!P15=1, VLOOKUP(Recharged_Feasible_matv3!$A46,test!$A$34:$G$37, 3,FALSE)=VLOOKUP(Q$1,test!$A$3:$I$32,3,FALSE)),1,0)</f>
        <v>0</v>
      </c>
      <c r="R46" s="2">
        <f>IF(AND(feasible_mat!Q15=1, VLOOKUP(Recharged_Feasible_matv3!$A46,test!$A$34:$G$37, 3,FALSE)=VLOOKUP(R$1,test!$A$3:$I$32,3,FALSE)),1,0)</f>
        <v>0</v>
      </c>
      <c r="S46" s="2">
        <f>IF(AND(feasible_mat!R15=1, VLOOKUP(Recharged_Feasible_matv3!$A46,test!$A$34:$G$37, 3,FALSE)=VLOOKUP(S$1,test!$A$3:$I$32,3,FALSE)),1,0)</f>
        <v>0</v>
      </c>
      <c r="T46" s="2">
        <f>IF(AND(feasible_mat!S15=1, VLOOKUP(Recharged_Feasible_matv3!$A46,test!$A$34:$G$37, 3,FALSE)=VLOOKUP(T$1,test!$A$3:$I$32,3,FALSE)),1,0)</f>
        <v>0</v>
      </c>
      <c r="U46" s="2">
        <f>IF(AND(feasible_mat!T15=1, VLOOKUP(Recharged_Feasible_matv3!$A46,test!$A$34:$G$37, 3,FALSE)=VLOOKUP(U$1,test!$A$3:$I$32,3,FALSE)),1,0)</f>
        <v>0</v>
      </c>
      <c r="V46" s="2">
        <f>IF(AND(feasible_mat!U15=1, VLOOKUP(Recharged_Feasible_matv3!$A46,test!$A$34:$G$37, 3,FALSE)=VLOOKUP(V$1,test!$A$3:$I$32,3,FALSE)),1,0)</f>
        <v>0</v>
      </c>
      <c r="W46" s="2">
        <f>IF(AND(feasible_mat!V15=1, VLOOKUP(Recharged_Feasible_matv3!$A46,test!$A$34:$G$37, 3,FALSE)=VLOOKUP(W$1,test!$A$3:$I$32,3,FALSE)),1,0)</f>
        <v>0</v>
      </c>
      <c r="X46" s="2">
        <f>IF(AND(feasible_mat!W15=1, VLOOKUP(Recharged_Feasible_matv3!$A46,test!$A$34:$G$37, 3,FALSE)=VLOOKUP(X$1,test!$A$3:$I$32,3,FALSE)),1,0)</f>
        <v>0</v>
      </c>
      <c r="Y46" s="2">
        <f>IF(AND(feasible_mat!X15=1, VLOOKUP(Recharged_Feasible_matv3!$A46,test!$A$34:$G$37, 3,FALSE)=VLOOKUP(Y$1,test!$A$3:$I$32,3,FALSE)),1,0)</f>
        <v>0</v>
      </c>
      <c r="Z46" s="2">
        <f>IF(AND(feasible_mat!Y15=1, VLOOKUP(Recharged_Feasible_matv3!$A46,test!$A$34:$G$37, 3,FALSE)=VLOOKUP(Z$1,test!$A$3:$I$32,3,FALSE)),1,0)</f>
        <v>0</v>
      </c>
      <c r="AA46" s="2">
        <f>IF(AND(feasible_mat!Z15=1, VLOOKUP(Recharged_Feasible_matv3!$A46,test!$A$34:$G$37, 3,FALSE)=VLOOKUP(AA$1,test!$A$3:$I$32,3,FALSE)),1,0)</f>
        <v>0</v>
      </c>
      <c r="AB46" s="2">
        <f>IF(AND(feasible_mat!AA15=1, VLOOKUP(Recharged_Feasible_matv3!$A46,test!$A$34:$G$37, 3,FALSE)=VLOOKUP(AB$1,test!$A$3:$I$32,3,FALSE)),1,0)</f>
        <v>0</v>
      </c>
      <c r="AC46" s="2">
        <f>IF(AND(feasible_mat!AB15=1, VLOOKUP(Recharged_Feasible_matv3!$A46,test!$A$34:$G$37, 3,FALSE)=VLOOKUP(AC$1,test!$A$3:$I$32,3,FALSE)),1,0)</f>
        <v>0</v>
      </c>
      <c r="AD46" s="2">
        <f>IF(AND(feasible_mat!AC15=1, VLOOKUP(Recharged_Feasible_matv3!$A46,test!$A$34:$G$37, 3,FALSE)=VLOOKUP(AD$1,test!$A$3:$I$32,3,FALSE)),1,0)</f>
        <v>0</v>
      </c>
      <c r="AE46" s="2">
        <f>IF(AND(feasible_mat!AD15=1, VLOOKUP(Recharged_Feasible_matv3!$A46,test!$A$34:$G$37, 3,FALSE)=VLOOKUP(AE$1,test!$A$3:$I$32,3,FALSE)),1,0)</f>
        <v>0</v>
      </c>
      <c r="AF46" s="2">
        <f>IF(AND(feasible_mat!AE15=1, VLOOKUP(Recharged_Feasible_matv3!$A46,test!$A$34:$G$37, 3,FALSE)=VLOOKUP(AF$1,test!$A$3:$I$32,3,FALSE)),1,0)</f>
        <v>0</v>
      </c>
      <c r="AG46" s="2">
        <f>IF(AND(feasible_mat!AF15=1, VLOOKUP(Recharged_Feasible_matv3!$A46,test!$A$34:$G$37, 3,FALSE)=VLOOKUP(AG$1,test!$A$3:$I$32,3,FALSE)),1,0)</f>
        <v>0</v>
      </c>
    </row>
    <row r="47" spans="1:33" x14ac:dyDescent="0.25">
      <c r="A47" t="s">
        <v>90</v>
      </c>
      <c r="B47" t="s">
        <v>24</v>
      </c>
      <c r="C47">
        <v>0</v>
      </c>
      <c r="D47" s="2">
        <f>IF(AND(feasible_mat!C16=1, VLOOKUP(Recharged_Feasible_matv3!$A47,test!$A$34:$G$37, 3,FALSE)=VLOOKUP(D$1,test!$A$3:$I$32,3,FALSE)),1,0)</f>
        <v>0</v>
      </c>
      <c r="E47" s="2">
        <f>IF(AND(feasible_mat!D16=1, VLOOKUP(Recharged_Feasible_matv3!$A47,test!$A$34:$G$37, 3,FALSE)=VLOOKUP(E$1,test!$A$3:$I$32,3,FALSE)),1,0)</f>
        <v>0</v>
      </c>
      <c r="F47" s="2">
        <f>IF(AND(feasible_mat!E16=1, VLOOKUP(Recharged_Feasible_matv3!$A47,test!$A$34:$G$37, 3,FALSE)=VLOOKUP(F$1,test!$A$3:$I$32,3,FALSE)),1,0)</f>
        <v>1</v>
      </c>
      <c r="G47" s="2">
        <f>IF(AND(feasible_mat!F16=1, VLOOKUP(Recharged_Feasible_matv3!$A47,test!$A$34:$G$37, 3,FALSE)=VLOOKUP(G$1,test!$A$3:$I$32,3,FALSE)),1,0)</f>
        <v>1</v>
      </c>
      <c r="H47" s="2">
        <f>IF(AND(feasible_mat!G16=1, VLOOKUP(Recharged_Feasible_matv3!$A47,test!$A$34:$G$37, 3,FALSE)=VLOOKUP(H$1,test!$A$3:$I$32,3,FALSE)),1,0)</f>
        <v>1</v>
      </c>
      <c r="I47" s="2">
        <f>IF(AND(feasible_mat!H16=1, VLOOKUP(Recharged_Feasible_matv3!$A47,test!$A$34:$G$37, 3,FALSE)=VLOOKUP(I$1,test!$A$3:$I$32,3,FALSE)),1,0)</f>
        <v>1</v>
      </c>
      <c r="J47" s="2">
        <f>IF(AND(feasible_mat!I16=1, VLOOKUP(Recharged_Feasible_matv3!$A47,test!$A$34:$G$37, 3,FALSE)=VLOOKUP(J$1,test!$A$3:$I$32,3,FALSE)),1,0)</f>
        <v>1</v>
      </c>
      <c r="K47" s="2">
        <f>IF(AND(feasible_mat!J16=1, VLOOKUP(Recharged_Feasible_matv3!$A47,test!$A$34:$G$37, 3,FALSE)=VLOOKUP(K$1,test!$A$3:$I$32,3,FALSE)),1,0)</f>
        <v>1</v>
      </c>
      <c r="L47" s="2">
        <f>IF(AND(feasible_mat!K16=1, VLOOKUP(Recharged_Feasible_matv3!$A47,test!$A$34:$G$37, 3,FALSE)=VLOOKUP(L$1,test!$A$3:$I$32,3,FALSE)),1,0)</f>
        <v>0</v>
      </c>
      <c r="M47" s="2">
        <f>IF(AND(feasible_mat!L16=1, VLOOKUP(Recharged_Feasible_matv3!$A47,test!$A$34:$G$37, 3,FALSE)=VLOOKUP(M$1,test!$A$3:$I$32,3,FALSE)),1,0)</f>
        <v>0</v>
      </c>
      <c r="N47" s="2">
        <f>IF(AND(feasible_mat!M16=1, VLOOKUP(Recharged_Feasible_matv3!$A47,test!$A$34:$G$37, 3,FALSE)=VLOOKUP(N$1,test!$A$3:$I$32,3,FALSE)),1,0)</f>
        <v>1</v>
      </c>
      <c r="O47" s="2">
        <f>IF(AND(feasible_mat!N16=1, VLOOKUP(Recharged_Feasible_matv3!$A47,test!$A$34:$G$37, 3,FALSE)=VLOOKUP(O$1,test!$A$3:$I$32,3,FALSE)),1,0)</f>
        <v>1</v>
      </c>
      <c r="P47" s="2">
        <f>IF(AND(feasible_mat!O16=1, VLOOKUP(Recharged_Feasible_matv3!$A47,test!$A$34:$G$37, 3,FALSE)=VLOOKUP(P$1,test!$A$3:$I$32,3,FALSE)),1,0)</f>
        <v>1</v>
      </c>
      <c r="Q47" s="2">
        <f>IF(AND(feasible_mat!P16=1, VLOOKUP(Recharged_Feasible_matv3!$A47,test!$A$34:$G$37, 3,FALSE)=VLOOKUP(Q$1,test!$A$3:$I$32,3,FALSE)),1,0)</f>
        <v>0</v>
      </c>
      <c r="R47" s="2">
        <f>IF(AND(feasible_mat!Q16=1, VLOOKUP(Recharged_Feasible_matv3!$A47,test!$A$34:$G$37, 3,FALSE)=VLOOKUP(R$1,test!$A$3:$I$32,3,FALSE)),1,0)</f>
        <v>0</v>
      </c>
      <c r="S47" s="2">
        <f>IF(AND(feasible_mat!R16=1, VLOOKUP(Recharged_Feasible_matv3!$A47,test!$A$34:$G$37, 3,FALSE)=VLOOKUP(S$1,test!$A$3:$I$32,3,FALSE)),1,0)</f>
        <v>0</v>
      </c>
      <c r="T47" s="2">
        <f>IF(AND(feasible_mat!S16=1, VLOOKUP(Recharged_Feasible_matv3!$A47,test!$A$34:$G$37, 3,FALSE)=VLOOKUP(T$1,test!$A$3:$I$32,3,FALSE)),1,0)</f>
        <v>0</v>
      </c>
      <c r="U47" s="2">
        <f>IF(AND(feasible_mat!T16=1, VLOOKUP(Recharged_Feasible_matv3!$A47,test!$A$34:$G$37, 3,FALSE)=VLOOKUP(U$1,test!$A$3:$I$32,3,FALSE)),1,0)</f>
        <v>0</v>
      </c>
      <c r="V47" s="2">
        <f>IF(AND(feasible_mat!U16=1, VLOOKUP(Recharged_Feasible_matv3!$A47,test!$A$34:$G$37, 3,FALSE)=VLOOKUP(V$1,test!$A$3:$I$32,3,FALSE)),1,0)</f>
        <v>0</v>
      </c>
      <c r="W47" s="2">
        <f>IF(AND(feasible_mat!V16=1, VLOOKUP(Recharged_Feasible_matv3!$A47,test!$A$34:$G$37, 3,FALSE)=VLOOKUP(W$1,test!$A$3:$I$32,3,FALSE)),1,0)</f>
        <v>0</v>
      </c>
      <c r="X47" s="2">
        <f>IF(AND(feasible_mat!W16=1, VLOOKUP(Recharged_Feasible_matv3!$A47,test!$A$34:$G$37, 3,FALSE)=VLOOKUP(X$1,test!$A$3:$I$32,3,FALSE)),1,0)</f>
        <v>0</v>
      </c>
      <c r="Y47" s="2">
        <f>IF(AND(feasible_mat!X16=1, VLOOKUP(Recharged_Feasible_matv3!$A47,test!$A$34:$G$37, 3,FALSE)=VLOOKUP(Y$1,test!$A$3:$I$32,3,FALSE)),1,0)</f>
        <v>0</v>
      </c>
      <c r="Z47" s="2">
        <f>IF(AND(feasible_mat!Y16=1, VLOOKUP(Recharged_Feasible_matv3!$A47,test!$A$34:$G$37, 3,FALSE)=VLOOKUP(Z$1,test!$A$3:$I$32,3,FALSE)),1,0)</f>
        <v>0</v>
      </c>
      <c r="AA47" s="2">
        <f>IF(AND(feasible_mat!Z16=1, VLOOKUP(Recharged_Feasible_matv3!$A47,test!$A$34:$G$37, 3,FALSE)=VLOOKUP(AA$1,test!$A$3:$I$32,3,FALSE)),1,0)</f>
        <v>0</v>
      </c>
      <c r="AB47" s="2">
        <f>IF(AND(feasible_mat!AA16=1, VLOOKUP(Recharged_Feasible_matv3!$A47,test!$A$34:$G$37, 3,FALSE)=VLOOKUP(AB$1,test!$A$3:$I$32,3,FALSE)),1,0)</f>
        <v>0</v>
      </c>
      <c r="AC47" s="2">
        <f>IF(AND(feasible_mat!AB16=1, VLOOKUP(Recharged_Feasible_matv3!$A47,test!$A$34:$G$37, 3,FALSE)=VLOOKUP(AC$1,test!$A$3:$I$32,3,FALSE)),1,0)</f>
        <v>0</v>
      </c>
      <c r="AD47" s="2">
        <f>IF(AND(feasible_mat!AC16=1, VLOOKUP(Recharged_Feasible_matv3!$A47,test!$A$34:$G$37, 3,FALSE)=VLOOKUP(AD$1,test!$A$3:$I$32,3,FALSE)),1,0)</f>
        <v>0</v>
      </c>
      <c r="AE47" s="2">
        <f>IF(AND(feasible_mat!AD16=1, VLOOKUP(Recharged_Feasible_matv3!$A47,test!$A$34:$G$37, 3,FALSE)=VLOOKUP(AE$1,test!$A$3:$I$32,3,FALSE)),1,0)</f>
        <v>0</v>
      </c>
      <c r="AF47" s="2">
        <f>IF(AND(feasible_mat!AE16=1, VLOOKUP(Recharged_Feasible_matv3!$A47,test!$A$34:$G$37, 3,FALSE)=VLOOKUP(AF$1,test!$A$3:$I$32,3,FALSE)),1,0)</f>
        <v>0</v>
      </c>
      <c r="AG47" s="2">
        <f>IF(AND(feasible_mat!AF16=1, VLOOKUP(Recharged_Feasible_matv3!$A47,test!$A$34:$G$37, 3,FALSE)=VLOOKUP(AG$1,test!$A$3:$I$32,3,FALSE)),1,0)</f>
        <v>0</v>
      </c>
    </row>
    <row r="48" spans="1:33" x14ac:dyDescent="0.25">
      <c r="A48" t="s">
        <v>90</v>
      </c>
      <c r="B48" t="s">
        <v>26</v>
      </c>
      <c r="C48">
        <v>0</v>
      </c>
      <c r="D48" s="2">
        <f>IF(AND(feasible_mat!C17=1, VLOOKUP(Recharged_Feasible_matv3!$A48,test!$A$34:$G$37, 3,FALSE)=VLOOKUP(D$1,test!$A$3:$I$32,3,FALSE)),1,0)</f>
        <v>0</v>
      </c>
      <c r="E48" s="2">
        <f>IF(AND(feasible_mat!D17=1, VLOOKUP(Recharged_Feasible_matv3!$A48,test!$A$34:$G$37, 3,FALSE)=VLOOKUP(E$1,test!$A$3:$I$32,3,FALSE)),1,0)</f>
        <v>1</v>
      </c>
      <c r="F48" s="2">
        <f>IF(AND(feasible_mat!E17=1, VLOOKUP(Recharged_Feasible_matv3!$A48,test!$A$34:$G$37, 3,FALSE)=VLOOKUP(F$1,test!$A$3:$I$32,3,FALSE)),1,0)</f>
        <v>1</v>
      </c>
      <c r="G48" s="2">
        <f>IF(AND(feasible_mat!F17=1, VLOOKUP(Recharged_Feasible_matv3!$A48,test!$A$34:$G$37, 3,FALSE)=VLOOKUP(G$1,test!$A$3:$I$32,3,FALSE)),1,0)</f>
        <v>1</v>
      </c>
      <c r="H48" s="2">
        <f>IF(AND(feasible_mat!G17=1, VLOOKUP(Recharged_Feasible_matv3!$A48,test!$A$34:$G$37, 3,FALSE)=VLOOKUP(H$1,test!$A$3:$I$32,3,FALSE)),1,0)</f>
        <v>1</v>
      </c>
      <c r="I48" s="2">
        <f>IF(AND(feasible_mat!H17=1, VLOOKUP(Recharged_Feasible_matv3!$A48,test!$A$34:$G$37, 3,FALSE)=VLOOKUP(I$1,test!$A$3:$I$32,3,FALSE)),1,0)</f>
        <v>1</v>
      </c>
      <c r="J48" s="2">
        <f>IF(AND(feasible_mat!I17=1, VLOOKUP(Recharged_Feasible_matv3!$A48,test!$A$34:$G$37, 3,FALSE)=VLOOKUP(J$1,test!$A$3:$I$32,3,FALSE)),1,0)</f>
        <v>1</v>
      </c>
      <c r="K48" s="2">
        <f>IF(AND(feasible_mat!J17=1, VLOOKUP(Recharged_Feasible_matv3!$A48,test!$A$34:$G$37, 3,FALSE)=VLOOKUP(K$1,test!$A$3:$I$32,3,FALSE)),1,0)</f>
        <v>1</v>
      </c>
      <c r="L48" s="2">
        <f>IF(AND(feasible_mat!K17=1, VLOOKUP(Recharged_Feasible_matv3!$A48,test!$A$34:$G$37, 3,FALSE)=VLOOKUP(L$1,test!$A$3:$I$32,3,FALSE)),1,0)</f>
        <v>0</v>
      </c>
      <c r="M48" s="2">
        <f>IF(AND(feasible_mat!L17=1, VLOOKUP(Recharged_Feasible_matv3!$A48,test!$A$34:$G$37, 3,FALSE)=VLOOKUP(M$1,test!$A$3:$I$32,3,FALSE)),1,0)</f>
        <v>0</v>
      </c>
      <c r="N48" s="2">
        <f>IF(AND(feasible_mat!M17=1, VLOOKUP(Recharged_Feasible_matv3!$A48,test!$A$34:$G$37, 3,FALSE)=VLOOKUP(N$1,test!$A$3:$I$32,3,FALSE)),1,0)</f>
        <v>1</v>
      </c>
      <c r="O48" s="2">
        <f>IF(AND(feasible_mat!N17=1, VLOOKUP(Recharged_Feasible_matv3!$A48,test!$A$34:$G$37, 3,FALSE)=VLOOKUP(O$1,test!$A$3:$I$32,3,FALSE)),1,0)</f>
        <v>1</v>
      </c>
      <c r="P48" s="2">
        <f>IF(AND(feasible_mat!O17=1, VLOOKUP(Recharged_Feasible_matv3!$A48,test!$A$34:$G$37, 3,FALSE)=VLOOKUP(P$1,test!$A$3:$I$32,3,FALSE)),1,0)</f>
        <v>1</v>
      </c>
      <c r="Q48" s="2">
        <f>IF(AND(feasible_mat!P17=1, VLOOKUP(Recharged_Feasible_matv3!$A48,test!$A$34:$G$37, 3,FALSE)=VLOOKUP(Q$1,test!$A$3:$I$32,3,FALSE)),1,0)</f>
        <v>0</v>
      </c>
      <c r="R48" s="2">
        <f>IF(AND(feasible_mat!Q17=1, VLOOKUP(Recharged_Feasible_matv3!$A48,test!$A$34:$G$37, 3,FALSE)=VLOOKUP(R$1,test!$A$3:$I$32,3,FALSE)),1,0)</f>
        <v>0</v>
      </c>
      <c r="S48" s="2">
        <f>IF(AND(feasible_mat!R17=1, VLOOKUP(Recharged_Feasible_matv3!$A48,test!$A$34:$G$37, 3,FALSE)=VLOOKUP(S$1,test!$A$3:$I$32,3,FALSE)),1,0)</f>
        <v>0</v>
      </c>
      <c r="T48" s="2">
        <f>IF(AND(feasible_mat!S17=1, VLOOKUP(Recharged_Feasible_matv3!$A48,test!$A$34:$G$37, 3,FALSE)=VLOOKUP(T$1,test!$A$3:$I$32,3,FALSE)),1,0)</f>
        <v>0</v>
      </c>
      <c r="U48" s="2">
        <f>IF(AND(feasible_mat!T17=1, VLOOKUP(Recharged_Feasible_matv3!$A48,test!$A$34:$G$37, 3,FALSE)=VLOOKUP(U$1,test!$A$3:$I$32,3,FALSE)),1,0)</f>
        <v>0</v>
      </c>
      <c r="V48" s="2">
        <f>IF(AND(feasible_mat!U17=1, VLOOKUP(Recharged_Feasible_matv3!$A48,test!$A$34:$G$37, 3,FALSE)=VLOOKUP(V$1,test!$A$3:$I$32,3,FALSE)),1,0)</f>
        <v>0</v>
      </c>
      <c r="W48" s="2">
        <f>IF(AND(feasible_mat!V17=1, VLOOKUP(Recharged_Feasible_matv3!$A48,test!$A$34:$G$37, 3,FALSE)=VLOOKUP(W$1,test!$A$3:$I$32,3,FALSE)),1,0)</f>
        <v>0</v>
      </c>
      <c r="X48" s="2">
        <f>IF(AND(feasible_mat!W17=1, VLOOKUP(Recharged_Feasible_matv3!$A48,test!$A$34:$G$37, 3,FALSE)=VLOOKUP(X$1,test!$A$3:$I$32,3,FALSE)),1,0)</f>
        <v>0</v>
      </c>
      <c r="Y48" s="2">
        <f>IF(AND(feasible_mat!X17=1, VLOOKUP(Recharged_Feasible_matv3!$A48,test!$A$34:$G$37, 3,FALSE)=VLOOKUP(Y$1,test!$A$3:$I$32,3,FALSE)),1,0)</f>
        <v>0</v>
      </c>
      <c r="Z48" s="2">
        <f>IF(AND(feasible_mat!Y17=1, VLOOKUP(Recharged_Feasible_matv3!$A48,test!$A$34:$G$37, 3,FALSE)=VLOOKUP(Z$1,test!$A$3:$I$32,3,FALSE)),1,0)</f>
        <v>0</v>
      </c>
      <c r="AA48" s="2">
        <f>IF(AND(feasible_mat!Z17=1, VLOOKUP(Recharged_Feasible_matv3!$A48,test!$A$34:$G$37, 3,FALSE)=VLOOKUP(AA$1,test!$A$3:$I$32,3,FALSE)),1,0)</f>
        <v>0</v>
      </c>
      <c r="AB48" s="2">
        <f>IF(AND(feasible_mat!AA17=1, VLOOKUP(Recharged_Feasible_matv3!$A48,test!$A$34:$G$37, 3,FALSE)=VLOOKUP(AB$1,test!$A$3:$I$32,3,FALSE)),1,0)</f>
        <v>0</v>
      </c>
      <c r="AC48" s="2">
        <f>IF(AND(feasible_mat!AB17=1, VLOOKUP(Recharged_Feasible_matv3!$A48,test!$A$34:$G$37, 3,FALSE)=VLOOKUP(AC$1,test!$A$3:$I$32,3,FALSE)),1,0)</f>
        <v>0</v>
      </c>
      <c r="AD48" s="2">
        <f>IF(AND(feasible_mat!AC17=1, VLOOKUP(Recharged_Feasible_matv3!$A48,test!$A$34:$G$37, 3,FALSE)=VLOOKUP(AD$1,test!$A$3:$I$32,3,FALSE)),1,0)</f>
        <v>0</v>
      </c>
      <c r="AE48" s="2">
        <f>IF(AND(feasible_mat!AD17=1, VLOOKUP(Recharged_Feasible_matv3!$A48,test!$A$34:$G$37, 3,FALSE)=VLOOKUP(AE$1,test!$A$3:$I$32,3,FALSE)),1,0)</f>
        <v>0</v>
      </c>
      <c r="AF48" s="2">
        <f>IF(AND(feasible_mat!AE17=1, VLOOKUP(Recharged_Feasible_matv3!$A48,test!$A$34:$G$37, 3,FALSE)=VLOOKUP(AF$1,test!$A$3:$I$32,3,FALSE)),1,0)</f>
        <v>0</v>
      </c>
      <c r="AG48" s="2">
        <f>IF(AND(feasible_mat!AF17=1, VLOOKUP(Recharged_Feasible_matv3!$A48,test!$A$34:$G$37, 3,FALSE)=VLOOKUP(AG$1,test!$A$3:$I$32,3,FALSE)),1,0)</f>
        <v>0</v>
      </c>
    </row>
    <row r="49" spans="1:33" x14ac:dyDescent="0.25">
      <c r="A49" t="s">
        <v>90</v>
      </c>
      <c r="B49" t="s">
        <v>27</v>
      </c>
      <c r="C49">
        <v>0</v>
      </c>
      <c r="D49" s="2">
        <f>IF(AND(feasible_mat!C18=1, VLOOKUP(Recharged_Feasible_matv3!$A49,test!$A$34:$G$37, 3,FALSE)=VLOOKUP(D$1,test!$A$3:$I$32,3,FALSE)),1,0)</f>
        <v>0</v>
      </c>
      <c r="E49" s="2">
        <f>IF(AND(feasible_mat!D18=1, VLOOKUP(Recharged_Feasible_matv3!$A49,test!$A$34:$G$37, 3,FALSE)=VLOOKUP(E$1,test!$A$3:$I$32,3,FALSE)),1,0)</f>
        <v>0</v>
      </c>
      <c r="F49" s="2">
        <f>IF(AND(feasible_mat!E18=1, VLOOKUP(Recharged_Feasible_matv3!$A49,test!$A$34:$G$37, 3,FALSE)=VLOOKUP(F$1,test!$A$3:$I$32,3,FALSE)),1,0)</f>
        <v>1</v>
      </c>
      <c r="G49" s="2">
        <f>IF(AND(feasible_mat!F18=1, VLOOKUP(Recharged_Feasible_matv3!$A49,test!$A$34:$G$37, 3,FALSE)=VLOOKUP(G$1,test!$A$3:$I$32,3,FALSE)),1,0)</f>
        <v>1</v>
      </c>
      <c r="H49" s="2">
        <f>IF(AND(feasible_mat!G18=1, VLOOKUP(Recharged_Feasible_matv3!$A49,test!$A$34:$G$37, 3,FALSE)=VLOOKUP(H$1,test!$A$3:$I$32,3,FALSE)),1,0)</f>
        <v>1</v>
      </c>
      <c r="I49" s="2">
        <f>IF(AND(feasible_mat!H18=1, VLOOKUP(Recharged_Feasible_matv3!$A49,test!$A$34:$G$37, 3,FALSE)=VLOOKUP(I$1,test!$A$3:$I$32,3,FALSE)),1,0)</f>
        <v>1</v>
      </c>
      <c r="J49" s="2">
        <f>IF(AND(feasible_mat!I18=1, VLOOKUP(Recharged_Feasible_matv3!$A49,test!$A$34:$G$37, 3,FALSE)=VLOOKUP(J$1,test!$A$3:$I$32,3,FALSE)),1,0)</f>
        <v>1</v>
      </c>
      <c r="K49" s="2">
        <f>IF(AND(feasible_mat!J18=1, VLOOKUP(Recharged_Feasible_matv3!$A49,test!$A$34:$G$37, 3,FALSE)=VLOOKUP(K$1,test!$A$3:$I$32,3,FALSE)),1,0)</f>
        <v>1</v>
      </c>
      <c r="L49" s="2">
        <f>IF(AND(feasible_mat!K18=1, VLOOKUP(Recharged_Feasible_matv3!$A49,test!$A$34:$G$37, 3,FALSE)=VLOOKUP(L$1,test!$A$3:$I$32,3,FALSE)),1,0)</f>
        <v>0</v>
      </c>
      <c r="M49" s="2">
        <f>IF(AND(feasible_mat!L18=1, VLOOKUP(Recharged_Feasible_matv3!$A49,test!$A$34:$G$37, 3,FALSE)=VLOOKUP(M$1,test!$A$3:$I$32,3,FALSE)),1,0)</f>
        <v>0</v>
      </c>
      <c r="N49" s="2">
        <f>IF(AND(feasible_mat!M18=1, VLOOKUP(Recharged_Feasible_matv3!$A49,test!$A$34:$G$37, 3,FALSE)=VLOOKUP(N$1,test!$A$3:$I$32,3,FALSE)),1,0)</f>
        <v>1</v>
      </c>
      <c r="O49" s="2">
        <f>IF(AND(feasible_mat!N18=1, VLOOKUP(Recharged_Feasible_matv3!$A49,test!$A$34:$G$37, 3,FALSE)=VLOOKUP(O$1,test!$A$3:$I$32,3,FALSE)),1,0)</f>
        <v>1</v>
      </c>
      <c r="P49" s="2">
        <f>IF(AND(feasible_mat!O18=1, VLOOKUP(Recharged_Feasible_matv3!$A49,test!$A$34:$G$37, 3,FALSE)=VLOOKUP(P$1,test!$A$3:$I$32,3,FALSE)),1,0)</f>
        <v>1</v>
      </c>
      <c r="Q49" s="2">
        <f>IF(AND(feasible_mat!P18=1, VLOOKUP(Recharged_Feasible_matv3!$A49,test!$A$34:$G$37, 3,FALSE)=VLOOKUP(Q$1,test!$A$3:$I$32,3,FALSE)),1,0)</f>
        <v>0</v>
      </c>
      <c r="R49" s="2">
        <f>IF(AND(feasible_mat!Q18=1, VLOOKUP(Recharged_Feasible_matv3!$A49,test!$A$34:$G$37, 3,FALSE)=VLOOKUP(R$1,test!$A$3:$I$32,3,FALSE)),1,0)</f>
        <v>0</v>
      </c>
      <c r="S49" s="2">
        <f>IF(AND(feasible_mat!R18=1, VLOOKUP(Recharged_Feasible_matv3!$A49,test!$A$34:$G$37, 3,FALSE)=VLOOKUP(S$1,test!$A$3:$I$32,3,FALSE)),1,0)</f>
        <v>0</v>
      </c>
      <c r="T49" s="2">
        <f>IF(AND(feasible_mat!S18=1, VLOOKUP(Recharged_Feasible_matv3!$A49,test!$A$34:$G$37, 3,FALSE)=VLOOKUP(T$1,test!$A$3:$I$32,3,FALSE)),1,0)</f>
        <v>0</v>
      </c>
      <c r="U49" s="2">
        <f>IF(AND(feasible_mat!T18=1, VLOOKUP(Recharged_Feasible_matv3!$A49,test!$A$34:$G$37, 3,FALSE)=VLOOKUP(U$1,test!$A$3:$I$32,3,FALSE)),1,0)</f>
        <v>0</v>
      </c>
      <c r="V49" s="2">
        <f>IF(AND(feasible_mat!U18=1, VLOOKUP(Recharged_Feasible_matv3!$A49,test!$A$34:$G$37, 3,FALSE)=VLOOKUP(V$1,test!$A$3:$I$32,3,FALSE)),1,0)</f>
        <v>0</v>
      </c>
      <c r="W49" s="2">
        <f>IF(AND(feasible_mat!V18=1, VLOOKUP(Recharged_Feasible_matv3!$A49,test!$A$34:$G$37, 3,FALSE)=VLOOKUP(W$1,test!$A$3:$I$32,3,FALSE)),1,0)</f>
        <v>0</v>
      </c>
      <c r="X49" s="2">
        <f>IF(AND(feasible_mat!W18=1, VLOOKUP(Recharged_Feasible_matv3!$A49,test!$A$34:$G$37, 3,FALSE)=VLOOKUP(X$1,test!$A$3:$I$32,3,FALSE)),1,0)</f>
        <v>0</v>
      </c>
      <c r="Y49" s="2">
        <f>IF(AND(feasible_mat!X18=1, VLOOKUP(Recharged_Feasible_matv3!$A49,test!$A$34:$G$37, 3,FALSE)=VLOOKUP(Y$1,test!$A$3:$I$32,3,FALSE)),1,0)</f>
        <v>0</v>
      </c>
      <c r="Z49" s="2">
        <f>IF(AND(feasible_mat!Y18=1, VLOOKUP(Recharged_Feasible_matv3!$A49,test!$A$34:$G$37, 3,FALSE)=VLOOKUP(Z$1,test!$A$3:$I$32,3,FALSE)),1,0)</f>
        <v>0</v>
      </c>
      <c r="AA49" s="2">
        <f>IF(AND(feasible_mat!Z18=1, VLOOKUP(Recharged_Feasible_matv3!$A49,test!$A$34:$G$37, 3,FALSE)=VLOOKUP(AA$1,test!$A$3:$I$32,3,FALSE)),1,0)</f>
        <v>0</v>
      </c>
      <c r="AB49" s="2">
        <f>IF(AND(feasible_mat!AA18=1, VLOOKUP(Recharged_Feasible_matv3!$A49,test!$A$34:$G$37, 3,FALSE)=VLOOKUP(AB$1,test!$A$3:$I$32,3,FALSE)),1,0)</f>
        <v>0</v>
      </c>
      <c r="AC49" s="2">
        <f>IF(AND(feasible_mat!AB18=1, VLOOKUP(Recharged_Feasible_matv3!$A49,test!$A$34:$G$37, 3,FALSE)=VLOOKUP(AC$1,test!$A$3:$I$32,3,FALSE)),1,0)</f>
        <v>0</v>
      </c>
      <c r="AD49" s="2">
        <f>IF(AND(feasible_mat!AC18=1, VLOOKUP(Recharged_Feasible_matv3!$A49,test!$A$34:$G$37, 3,FALSE)=VLOOKUP(AD$1,test!$A$3:$I$32,3,FALSE)),1,0)</f>
        <v>0</v>
      </c>
      <c r="AE49" s="2">
        <f>IF(AND(feasible_mat!AD18=1, VLOOKUP(Recharged_Feasible_matv3!$A49,test!$A$34:$G$37, 3,FALSE)=VLOOKUP(AE$1,test!$A$3:$I$32,3,FALSE)),1,0)</f>
        <v>0</v>
      </c>
      <c r="AF49" s="2">
        <f>IF(AND(feasible_mat!AE18=1, VLOOKUP(Recharged_Feasible_matv3!$A49,test!$A$34:$G$37, 3,FALSE)=VLOOKUP(AF$1,test!$A$3:$I$32,3,FALSE)),1,0)</f>
        <v>0</v>
      </c>
      <c r="AG49" s="2">
        <f>IF(AND(feasible_mat!AF18=1, VLOOKUP(Recharged_Feasible_matv3!$A49,test!$A$34:$G$37, 3,FALSE)=VLOOKUP(AG$1,test!$A$3:$I$32,3,FALSE)),1,0)</f>
        <v>0</v>
      </c>
    </row>
    <row r="50" spans="1:33" x14ac:dyDescent="0.25">
      <c r="A50" t="s">
        <v>90</v>
      </c>
      <c r="B50" t="s">
        <v>28</v>
      </c>
      <c r="C50">
        <v>0</v>
      </c>
      <c r="D50" s="2">
        <f>IF(AND(feasible_mat!C19=1, VLOOKUP(Recharged_Feasible_matv3!$A50,test!$A$34:$G$37, 3,FALSE)=VLOOKUP(D$1,test!$A$3:$I$32,3,FALSE)),1,0)</f>
        <v>0</v>
      </c>
      <c r="E50" s="2">
        <f>IF(AND(feasible_mat!D19=1, VLOOKUP(Recharged_Feasible_matv3!$A50,test!$A$34:$G$37, 3,FALSE)=VLOOKUP(E$1,test!$A$3:$I$32,3,FALSE)),1,0)</f>
        <v>0</v>
      </c>
      <c r="F50" s="2">
        <f>IF(AND(feasible_mat!E19=1, VLOOKUP(Recharged_Feasible_matv3!$A50,test!$A$34:$G$37, 3,FALSE)=VLOOKUP(F$1,test!$A$3:$I$32,3,FALSE)),1,0)</f>
        <v>0</v>
      </c>
      <c r="G50" s="2">
        <f>IF(AND(feasible_mat!F19=1, VLOOKUP(Recharged_Feasible_matv3!$A50,test!$A$34:$G$37, 3,FALSE)=VLOOKUP(G$1,test!$A$3:$I$32,3,FALSE)),1,0)</f>
        <v>1</v>
      </c>
      <c r="H50" s="2">
        <f>IF(AND(feasible_mat!G19=1, VLOOKUP(Recharged_Feasible_matv3!$A50,test!$A$34:$G$37, 3,FALSE)=VLOOKUP(H$1,test!$A$3:$I$32,3,FALSE)),1,0)</f>
        <v>1</v>
      </c>
      <c r="I50" s="2">
        <f>IF(AND(feasible_mat!H19=1, VLOOKUP(Recharged_Feasible_matv3!$A50,test!$A$34:$G$37, 3,FALSE)=VLOOKUP(I$1,test!$A$3:$I$32,3,FALSE)),1,0)</f>
        <v>1</v>
      </c>
      <c r="J50" s="2">
        <f>IF(AND(feasible_mat!I19=1, VLOOKUP(Recharged_Feasible_matv3!$A50,test!$A$34:$G$37, 3,FALSE)=VLOOKUP(J$1,test!$A$3:$I$32,3,FALSE)),1,0)</f>
        <v>1</v>
      </c>
      <c r="K50" s="2">
        <f>IF(AND(feasible_mat!J19=1, VLOOKUP(Recharged_Feasible_matv3!$A50,test!$A$34:$G$37, 3,FALSE)=VLOOKUP(K$1,test!$A$3:$I$32,3,FALSE)),1,0)</f>
        <v>1</v>
      </c>
      <c r="L50" s="2">
        <f>IF(AND(feasible_mat!K19=1, VLOOKUP(Recharged_Feasible_matv3!$A50,test!$A$34:$G$37, 3,FALSE)=VLOOKUP(L$1,test!$A$3:$I$32,3,FALSE)),1,0)</f>
        <v>0</v>
      </c>
      <c r="M50" s="2">
        <f>IF(AND(feasible_mat!L19=1, VLOOKUP(Recharged_Feasible_matv3!$A50,test!$A$34:$G$37, 3,FALSE)=VLOOKUP(M$1,test!$A$3:$I$32,3,FALSE)),1,0)</f>
        <v>0</v>
      </c>
      <c r="N50" s="2">
        <f>IF(AND(feasible_mat!M19=1, VLOOKUP(Recharged_Feasible_matv3!$A50,test!$A$34:$G$37, 3,FALSE)=VLOOKUP(N$1,test!$A$3:$I$32,3,FALSE)),1,0)</f>
        <v>0</v>
      </c>
      <c r="O50" s="2">
        <f>IF(AND(feasible_mat!N19=1, VLOOKUP(Recharged_Feasible_matv3!$A50,test!$A$34:$G$37, 3,FALSE)=VLOOKUP(O$1,test!$A$3:$I$32,3,FALSE)),1,0)</f>
        <v>1</v>
      </c>
      <c r="P50" s="2">
        <f>IF(AND(feasible_mat!O19=1, VLOOKUP(Recharged_Feasible_matv3!$A50,test!$A$34:$G$37, 3,FALSE)=VLOOKUP(P$1,test!$A$3:$I$32,3,FALSE)),1,0)</f>
        <v>1</v>
      </c>
      <c r="Q50" s="2">
        <f>IF(AND(feasible_mat!P19=1, VLOOKUP(Recharged_Feasible_matv3!$A50,test!$A$34:$G$37, 3,FALSE)=VLOOKUP(Q$1,test!$A$3:$I$32,3,FALSE)),1,0)</f>
        <v>0</v>
      </c>
      <c r="R50" s="2">
        <f>IF(AND(feasible_mat!Q19=1, VLOOKUP(Recharged_Feasible_matv3!$A50,test!$A$34:$G$37, 3,FALSE)=VLOOKUP(R$1,test!$A$3:$I$32,3,FALSE)),1,0)</f>
        <v>0</v>
      </c>
      <c r="S50" s="2">
        <f>IF(AND(feasible_mat!R19=1, VLOOKUP(Recharged_Feasible_matv3!$A50,test!$A$34:$G$37, 3,FALSE)=VLOOKUP(S$1,test!$A$3:$I$32,3,FALSE)),1,0)</f>
        <v>0</v>
      </c>
      <c r="T50" s="2">
        <f>IF(AND(feasible_mat!S19=1, VLOOKUP(Recharged_Feasible_matv3!$A50,test!$A$34:$G$37, 3,FALSE)=VLOOKUP(T$1,test!$A$3:$I$32,3,FALSE)),1,0)</f>
        <v>0</v>
      </c>
      <c r="U50" s="2">
        <f>IF(AND(feasible_mat!T19=1, VLOOKUP(Recharged_Feasible_matv3!$A50,test!$A$34:$G$37, 3,FALSE)=VLOOKUP(U$1,test!$A$3:$I$32,3,FALSE)),1,0)</f>
        <v>0</v>
      </c>
      <c r="V50" s="2">
        <f>IF(AND(feasible_mat!U19=1, VLOOKUP(Recharged_Feasible_matv3!$A50,test!$A$34:$G$37, 3,FALSE)=VLOOKUP(V$1,test!$A$3:$I$32,3,FALSE)),1,0)</f>
        <v>0</v>
      </c>
      <c r="W50" s="2">
        <f>IF(AND(feasible_mat!V19=1, VLOOKUP(Recharged_Feasible_matv3!$A50,test!$A$34:$G$37, 3,FALSE)=VLOOKUP(W$1,test!$A$3:$I$32,3,FALSE)),1,0)</f>
        <v>0</v>
      </c>
      <c r="X50" s="2">
        <f>IF(AND(feasible_mat!W19=1, VLOOKUP(Recharged_Feasible_matv3!$A50,test!$A$34:$G$37, 3,FALSE)=VLOOKUP(X$1,test!$A$3:$I$32,3,FALSE)),1,0)</f>
        <v>0</v>
      </c>
      <c r="Y50" s="2">
        <f>IF(AND(feasible_mat!X19=1, VLOOKUP(Recharged_Feasible_matv3!$A50,test!$A$34:$G$37, 3,FALSE)=VLOOKUP(Y$1,test!$A$3:$I$32,3,FALSE)),1,0)</f>
        <v>0</v>
      </c>
      <c r="Z50" s="2">
        <f>IF(AND(feasible_mat!Y19=1, VLOOKUP(Recharged_Feasible_matv3!$A50,test!$A$34:$G$37, 3,FALSE)=VLOOKUP(Z$1,test!$A$3:$I$32,3,FALSE)),1,0)</f>
        <v>0</v>
      </c>
      <c r="AA50" s="2">
        <f>IF(AND(feasible_mat!Z19=1, VLOOKUP(Recharged_Feasible_matv3!$A50,test!$A$34:$G$37, 3,FALSE)=VLOOKUP(AA$1,test!$A$3:$I$32,3,FALSE)),1,0)</f>
        <v>0</v>
      </c>
      <c r="AB50" s="2">
        <f>IF(AND(feasible_mat!AA19=1, VLOOKUP(Recharged_Feasible_matv3!$A50,test!$A$34:$G$37, 3,FALSE)=VLOOKUP(AB$1,test!$A$3:$I$32,3,FALSE)),1,0)</f>
        <v>0</v>
      </c>
      <c r="AC50" s="2">
        <f>IF(AND(feasible_mat!AB19=1, VLOOKUP(Recharged_Feasible_matv3!$A50,test!$A$34:$G$37, 3,FALSE)=VLOOKUP(AC$1,test!$A$3:$I$32,3,FALSE)),1,0)</f>
        <v>0</v>
      </c>
      <c r="AD50" s="2">
        <f>IF(AND(feasible_mat!AC19=1, VLOOKUP(Recharged_Feasible_matv3!$A50,test!$A$34:$G$37, 3,FALSE)=VLOOKUP(AD$1,test!$A$3:$I$32,3,FALSE)),1,0)</f>
        <v>0</v>
      </c>
      <c r="AE50" s="2">
        <f>IF(AND(feasible_mat!AD19=1, VLOOKUP(Recharged_Feasible_matv3!$A50,test!$A$34:$G$37, 3,FALSE)=VLOOKUP(AE$1,test!$A$3:$I$32,3,FALSE)),1,0)</f>
        <v>0</v>
      </c>
      <c r="AF50" s="2">
        <f>IF(AND(feasible_mat!AE19=1, VLOOKUP(Recharged_Feasible_matv3!$A50,test!$A$34:$G$37, 3,FALSE)=VLOOKUP(AF$1,test!$A$3:$I$32,3,FALSE)),1,0)</f>
        <v>0</v>
      </c>
      <c r="AG50" s="2">
        <f>IF(AND(feasible_mat!AF19=1, VLOOKUP(Recharged_Feasible_matv3!$A50,test!$A$34:$G$37, 3,FALSE)=VLOOKUP(AG$1,test!$A$3:$I$32,3,FALSE)),1,0)</f>
        <v>0</v>
      </c>
    </row>
    <row r="51" spans="1:33" x14ac:dyDescent="0.25">
      <c r="A51" t="s">
        <v>90</v>
      </c>
      <c r="B51" t="s">
        <v>29</v>
      </c>
      <c r="C51">
        <v>0</v>
      </c>
      <c r="D51" s="2">
        <f>IF(AND(feasible_mat!C20=1, VLOOKUP(Recharged_Feasible_matv3!$A51,test!$A$34:$G$37, 3,FALSE)=VLOOKUP(D$1,test!$A$3:$I$32,3,FALSE)),1,0)</f>
        <v>0</v>
      </c>
      <c r="E51" s="2">
        <f>IF(AND(feasible_mat!D20=1, VLOOKUP(Recharged_Feasible_matv3!$A51,test!$A$34:$G$37, 3,FALSE)=VLOOKUP(E$1,test!$A$3:$I$32,3,FALSE)),1,0)</f>
        <v>0</v>
      </c>
      <c r="F51" s="2">
        <f>IF(AND(feasible_mat!E20=1, VLOOKUP(Recharged_Feasible_matv3!$A51,test!$A$34:$G$37, 3,FALSE)=VLOOKUP(F$1,test!$A$3:$I$32,3,FALSE)),1,0)</f>
        <v>0</v>
      </c>
      <c r="G51" s="2">
        <f>IF(AND(feasible_mat!F20=1, VLOOKUP(Recharged_Feasible_matv3!$A51,test!$A$34:$G$37, 3,FALSE)=VLOOKUP(G$1,test!$A$3:$I$32,3,FALSE)),1,0)</f>
        <v>0</v>
      </c>
      <c r="H51" s="2">
        <f>IF(AND(feasible_mat!G20=1, VLOOKUP(Recharged_Feasible_matv3!$A51,test!$A$34:$G$37, 3,FALSE)=VLOOKUP(H$1,test!$A$3:$I$32,3,FALSE)),1,0)</f>
        <v>1</v>
      </c>
      <c r="I51" s="2">
        <f>IF(AND(feasible_mat!H20=1, VLOOKUP(Recharged_Feasible_matv3!$A51,test!$A$34:$G$37, 3,FALSE)=VLOOKUP(I$1,test!$A$3:$I$32,3,FALSE)),1,0)</f>
        <v>1</v>
      </c>
      <c r="J51" s="2">
        <f>IF(AND(feasible_mat!I20=1, VLOOKUP(Recharged_Feasible_matv3!$A51,test!$A$34:$G$37, 3,FALSE)=VLOOKUP(J$1,test!$A$3:$I$32,3,FALSE)),1,0)</f>
        <v>1</v>
      </c>
      <c r="K51" s="2">
        <f>IF(AND(feasible_mat!J20=1, VLOOKUP(Recharged_Feasible_matv3!$A51,test!$A$34:$G$37, 3,FALSE)=VLOOKUP(K$1,test!$A$3:$I$32,3,FALSE)),1,0)</f>
        <v>1</v>
      </c>
      <c r="L51" s="2">
        <f>IF(AND(feasible_mat!K20=1, VLOOKUP(Recharged_Feasible_matv3!$A51,test!$A$34:$G$37, 3,FALSE)=VLOOKUP(L$1,test!$A$3:$I$32,3,FALSE)),1,0)</f>
        <v>0</v>
      </c>
      <c r="M51" s="2">
        <f>IF(AND(feasible_mat!L20=1, VLOOKUP(Recharged_Feasible_matv3!$A51,test!$A$34:$G$37, 3,FALSE)=VLOOKUP(M$1,test!$A$3:$I$32,3,FALSE)),1,0)</f>
        <v>0</v>
      </c>
      <c r="N51" s="2">
        <f>IF(AND(feasible_mat!M20=1, VLOOKUP(Recharged_Feasible_matv3!$A51,test!$A$34:$G$37, 3,FALSE)=VLOOKUP(N$1,test!$A$3:$I$32,3,FALSE)),1,0)</f>
        <v>0</v>
      </c>
      <c r="O51" s="2">
        <f>IF(AND(feasible_mat!N20=1, VLOOKUP(Recharged_Feasible_matv3!$A51,test!$A$34:$G$37, 3,FALSE)=VLOOKUP(O$1,test!$A$3:$I$32,3,FALSE)),1,0)</f>
        <v>1</v>
      </c>
      <c r="P51" s="2">
        <f>IF(AND(feasible_mat!O20=1, VLOOKUP(Recharged_Feasible_matv3!$A51,test!$A$34:$G$37, 3,FALSE)=VLOOKUP(P$1,test!$A$3:$I$32,3,FALSE)),1,0)</f>
        <v>1</v>
      </c>
      <c r="Q51" s="2">
        <f>IF(AND(feasible_mat!P20=1, VLOOKUP(Recharged_Feasible_matv3!$A51,test!$A$34:$G$37, 3,FALSE)=VLOOKUP(Q$1,test!$A$3:$I$32,3,FALSE)),1,0)</f>
        <v>0</v>
      </c>
      <c r="R51" s="2">
        <f>IF(AND(feasible_mat!Q20=1, VLOOKUP(Recharged_Feasible_matv3!$A51,test!$A$34:$G$37, 3,FALSE)=VLOOKUP(R$1,test!$A$3:$I$32,3,FALSE)),1,0)</f>
        <v>0</v>
      </c>
      <c r="S51" s="2">
        <f>IF(AND(feasible_mat!R20=1, VLOOKUP(Recharged_Feasible_matv3!$A51,test!$A$34:$G$37, 3,FALSE)=VLOOKUP(S$1,test!$A$3:$I$32,3,FALSE)),1,0)</f>
        <v>0</v>
      </c>
      <c r="T51" s="2">
        <f>IF(AND(feasible_mat!S20=1, VLOOKUP(Recharged_Feasible_matv3!$A51,test!$A$34:$G$37, 3,FALSE)=VLOOKUP(T$1,test!$A$3:$I$32,3,FALSE)),1,0)</f>
        <v>0</v>
      </c>
      <c r="U51" s="2">
        <f>IF(AND(feasible_mat!T20=1, VLOOKUP(Recharged_Feasible_matv3!$A51,test!$A$34:$G$37, 3,FALSE)=VLOOKUP(U$1,test!$A$3:$I$32,3,FALSE)),1,0)</f>
        <v>0</v>
      </c>
      <c r="V51" s="2">
        <f>IF(AND(feasible_mat!U20=1, VLOOKUP(Recharged_Feasible_matv3!$A51,test!$A$34:$G$37, 3,FALSE)=VLOOKUP(V$1,test!$A$3:$I$32,3,FALSE)),1,0)</f>
        <v>0</v>
      </c>
      <c r="W51" s="2">
        <f>IF(AND(feasible_mat!V20=1, VLOOKUP(Recharged_Feasible_matv3!$A51,test!$A$34:$G$37, 3,FALSE)=VLOOKUP(W$1,test!$A$3:$I$32,3,FALSE)),1,0)</f>
        <v>0</v>
      </c>
      <c r="X51" s="2">
        <f>IF(AND(feasible_mat!W20=1, VLOOKUP(Recharged_Feasible_matv3!$A51,test!$A$34:$G$37, 3,FALSE)=VLOOKUP(X$1,test!$A$3:$I$32,3,FALSE)),1,0)</f>
        <v>0</v>
      </c>
      <c r="Y51" s="2">
        <f>IF(AND(feasible_mat!X20=1, VLOOKUP(Recharged_Feasible_matv3!$A51,test!$A$34:$G$37, 3,FALSE)=VLOOKUP(Y$1,test!$A$3:$I$32,3,FALSE)),1,0)</f>
        <v>0</v>
      </c>
      <c r="Z51" s="2">
        <f>IF(AND(feasible_mat!Y20=1, VLOOKUP(Recharged_Feasible_matv3!$A51,test!$A$34:$G$37, 3,FALSE)=VLOOKUP(Z$1,test!$A$3:$I$32,3,FALSE)),1,0)</f>
        <v>0</v>
      </c>
      <c r="AA51" s="2">
        <f>IF(AND(feasible_mat!Z20=1, VLOOKUP(Recharged_Feasible_matv3!$A51,test!$A$34:$G$37, 3,FALSE)=VLOOKUP(AA$1,test!$A$3:$I$32,3,FALSE)),1,0)</f>
        <v>0</v>
      </c>
      <c r="AB51" s="2">
        <f>IF(AND(feasible_mat!AA20=1, VLOOKUP(Recharged_Feasible_matv3!$A51,test!$A$34:$G$37, 3,FALSE)=VLOOKUP(AB$1,test!$A$3:$I$32,3,FALSE)),1,0)</f>
        <v>0</v>
      </c>
      <c r="AC51" s="2">
        <f>IF(AND(feasible_mat!AB20=1, VLOOKUP(Recharged_Feasible_matv3!$A51,test!$A$34:$G$37, 3,FALSE)=VLOOKUP(AC$1,test!$A$3:$I$32,3,FALSE)),1,0)</f>
        <v>0</v>
      </c>
      <c r="AD51" s="2">
        <f>IF(AND(feasible_mat!AC20=1, VLOOKUP(Recharged_Feasible_matv3!$A51,test!$A$34:$G$37, 3,FALSE)=VLOOKUP(AD$1,test!$A$3:$I$32,3,FALSE)),1,0)</f>
        <v>0</v>
      </c>
      <c r="AE51" s="2">
        <f>IF(AND(feasible_mat!AD20=1, VLOOKUP(Recharged_Feasible_matv3!$A51,test!$A$34:$G$37, 3,FALSE)=VLOOKUP(AE$1,test!$A$3:$I$32,3,FALSE)),1,0)</f>
        <v>0</v>
      </c>
      <c r="AF51" s="2">
        <f>IF(AND(feasible_mat!AE20=1, VLOOKUP(Recharged_Feasible_matv3!$A51,test!$A$34:$G$37, 3,FALSE)=VLOOKUP(AF$1,test!$A$3:$I$32,3,FALSE)),1,0)</f>
        <v>0</v>
      </c>
      <c r="AG51" s="2">
        <f>IF(AND(feasible_mat!AF20=1, VLOOKUP(Recharged_Feasible_matv3!$A51,test!$A$34:$G$37, 3,FALSE)=VLOOKUP(AG$1,test!$A$3:$I$32,3,FALSE)),1,0)</f>
        <v>0</v>
      </c>
    </row>
    <row r="52" spans="1:33" x14ac:dyDescent="0.25">
      <c r="A52" t="s">
        <v>90</v>
      </c>
      <c r="B52" t="s">
        <v>30</v>
      </c>
      <c r="C52">
        <v>0</v>
      </c>
      <c r="D52" s="2">
        <f>IF(AND(feasible_mat!C21=1, VLOOKUP(Recharged_Feasible_matv3!$A52,test!$A$34:$G$37, 3,FALSE)=VLOOKUP(D$1,test!$A$3:$I$32,3,FALSE)),1,0)</f>
        <v>0</v>
      </c>
      <c r="E52" s="2">
        <f>IF(AND(feasible_mat!D21=1, VLOOKUP(Recharged_Feasible_matv3!$A52,test!$A$34:$G$37, 3,FALSE)=VLOOKUP(E$1,test!$A$3:$I$32,3,FALSE)),1,0)</f>
        <v>0</v>
      </c>
      <c r="F52" s="2">
        <f>IF(AND(feasible_mat!E21=1, VLOOKUP(Recharged_Feasible_matv3!$A52,test!$A$34:$G$37, 3,FALSE)=VLOOKUP(F$1,test!$A$3:$I$32,3,FALSE)),1,0)</f>
        <v>0</v>
      </c>
      <c r="G52" s="2">
        <f>IF(AND(feasible_mat!F21=1, VLOOKUP(Recharged_Feasible_matv3!$A52,test!$A$34:$G$37, 3,FALSE)=VLOOKUP(G$1,test!$A$3:$I$32,3,FALSE)),1,0)</f>
        <v>0</v>
      </c>
      <c r="H52" s="2">
        <f>IF(AND(feasible_mat!G21=1, VLOOKUP(Recharged_Feasible_matv3!$A52,test!$A$34:$G$37, 3,FALSE)=VLOOKUP(H$1,test!$A$3:$I$32,3,FALSE)),1,0)</f>
        <v>0</v>
      </c>
      <c r="I52" s="2">
        <f>IF(AND(feasible_mat!H21=1, VLOOKUP(Recharged_Feasible_matv3!$A52,test!$A$34:$G$37, 3,FALSE)=VLOOKUP(I$1,test!$A$3:$I$32,3,FALSE)),1,0)</f>
        <v>0</v>
      </c>
      <c r="J52" s="2">
        <f>IF(AND(feasible_mat!I21=1, VLOOKUP(Recharged_Feasible_matv3!$A52,test!$A$34:$G$37, 3,FALSE)=VLOOKUP(J$1,test!$A$3:$I$32,3,FALSE)),1,0)</f>
        <v>1</v>
      </c>
      <c r="K52" s="2">
        <f>IF(AND(feasible_mat!J21=1, VLOOKUP(Recharged_Feasible_matv3!$A52,test!$A$34:$G$37, 3,FALSE)=VLOOKUP(K$1,test!$A$3:$I$32,3,FALSE)),1,0)</f>
        <v>1</v>
      </c>
      <c r="L52" s="2">
        <f>IF(AND(feasible_mat!K21=1, VLOOKUP(Recharged_Feasible_matv3!$A52,test!$A$34:$G$37, 3,FALSE)=VLOOKUP(L$1,test!$A$3:$I$32,3,FALSE)),1,0)</f>
        <v>0</v>
      </c>
      <c r="M52" s="2">
        <f>IF(AND(feasible_mat!L21=1, VLOOKUP(Recharged_Feasible_matv3!$A52,test!$A$34:$G$37, 3,FALSE)=VLOOKUP(M$1,test!$A$3:$I$32,3,FALSE)),1,0)</f>
        <v>0</v>
      </c>
      <c r="N52" s="2">
        <f>IF(AND(feasible_mat!M21=1, VLOOKUP(Recharged_Feasible_matv3!$A52,test!$A$34:$G$37, 3,FALSE)=VLOOKUP(N$1,test!$A$3:$I$32,3,FALSE)),1,0)</f>
        <v>0</v>
      </c>
      <c r="O52" s="2">
        <f>IF(AND(feasible_mat!N21=1, VLOOKUP(Recharged_Feasible_matv3!$A52,test!$A$34:$G$37, 3,FALSE)=VLOOKUP(O$1,test!$A$3:$I$32,3,FALSE)),1,0)</f>
        <v>1</v>
      </c>
      <c r="P52" s="2">
        <f>IF(AND(feasible_mat!O21=1, VLOOKUP(Recharged_Feasible_matv3!$A52,test!$A$34:$G$37, 3,FALSE)=VLOOKUP(P$1,test!$A$3:$I$32,3,FALSE)),1,0)</f>
        <v>1</v>
      </c>
      <c r="Q52" s="2">
        <f>IF(AND(feasible_mat!P21=1, VLOOKUP(Recharged_Feasible_matv3!$A52,test!$A$34:$G$37, 3,FALSE)=VLOOKUP(Q$1,test!$A$3:$I$32,3,FALSE)),1,0)</f>
        <v>0</v>
      </c>
      <c r="R52" s="2">
        <f>IF(AND(feasible_mat!Q21=1, VLOOKUP(Recharged_Feasible_matv3!$A52,test!$A$34:$G$37, 3,FALSE)=VLOOKUP(R$1,test!$A$3:$I$32,3,FALSE)),1,0)</f>
        <v>0</v>
      </c>
      <c r="S52" s="2">
        <f>IF(AND(feasible_mat!R21=1, VLOOKUP(Recharged_Feasible_matv3!$A52,test!$A$34:$G$37, 3,FALSE)=VLOOKUP(S$1,test!$A$3:$I$32,3,FALSE)),1,0)</f>
        <v>0</v>
      </c>
      <c r="T52" s="2">
        <f>IF(AND(feasible_mat!S21=1, VLOOKUP(Recharged_Feasible_matv3!$A52,test!$A$34:$G$37, 3,FALSE)=VLOOKUP(T$1,test!$A$3:$I$32,3,FALSE)),1,0)</f>
        <v>0</v>
      </c>
      <c r="U52" s="2">
        <f>IF(AND(feasible_mat!T21=1, VLOOKUP(Recharged_Feasible_matv3!$A52,test!$A$34:$G$37, 3,FALSE)=VLOOKUP(U$1,test!$A$3:$I$32,3,FALSE)),1,0)</f>
        <v>0</v>
      </c>
      <c r="V52" s="2">
        <f>IF(AND(feasible_mat!U21=1, VLOOKUP(Recharged_Feasible_matv3!$A52,test!$A$34:$G$37, 3,FALSE)=VLOOKUP(V$1,test!$A$3:$I$32,3,FALSE)),1,0)</f>
        <v>0</v>
      </c>
      <c r="W52" s="2">
        <f>IF(AND(feasible_mat!V21=1, VLOOKUP(Recharged_Feasible_matv3!$A52,test!$A$34:$G$37, 3,FALSE)=VLOOKUP(W$1,test!$A$3:$I$32,3,FALSE)),1,0)</f>
        <v>0</v>
      </c>
      <c r="X52" s="2">
        <f>IF(AND(feasible_mat!W21=1, VLOOKUP(Recharged_Feasible_matv3!$A52,test!$A$34:$G$37, 3,FALSE)=VLOOKUP(X$1,test!$A$3:$I$32,3,FALSE)),1,0)</f>
        <v>0</v>
      </c>
      <c r="Y52" s="2">
        <f>IF(AND(feasible_mat!X21=1, VLOOKUP(Recharged_Feasible_matv3!$A52,test!$A$34:$G$37, 3,FALSE)=VLOOKUP(Y$1,test!$A$3:$I$32,3,FALSE)),1,0)</f>
        <v>0</v>
      </c>
      <c r="Z52" s="2">
        <f>IF(AND(feasible_mat!Y21=1, VLOOKUP(Recharged_Feasible_matv3!$A52,test!$A$34:$G$37, 3,FALSE)=VLOOKUP(Z$1,test!$A$3:$I$32,3,FALSE)),1,0)</f>
        <v>0</v>
      </c>
      <c r="AA52" s="2">
        <f>IF(AND(feasible_mat!Z21=1, VLOOKUP(Recharged_Feasible_matv3!$A52,test!$A$34:$G$37, 3,FALSE)=VLOOKUP(AA$1,test!$A$3:$I$32,3,FALSE)),1,0)</f>
        <v>0</v>
      </c>
      <c r="AB52" s="2">
        <f>IF(AND(feasible_mat!AA21=1, VLOOKUP(Recharged_Feasible_matv3!$A52,test!$A$34:$G$37, 3,FALSE)=VLOOKUP(AB$1,test!$A$3:$I$32,3,FALSE)),1,0)</f>
        <v>0</v>
      </c>
      <c r="AC52" s="2">
        <f>IF(AND(feasible_mat!AB21=1, VLOOKUP(Recharged_Feasible_matv3!$A52,test!$A$34:$G$37, 3,FALSE)=VLOOKUP(AC$1,test!$A$3:$I$32,3,FALSE)),1,0)</f>
        <v>0</v>
      </c>
      <c r="AD52" s="2">
        <f>IF(AND(feasible_mat!AC21=1, VLOOKUP(Recharged_Feasible_matv3!$A52,test!$A$34:$G$37, 3,FALSE)=VLOOKUP(AD$1,test!$A$3:$I$32,3,FALSE)),1,0)</f>
        <v>0</v>
      </c>
      <c r="AE52" s="2">
        <f>IF(AND(feasible_mat!AD21=1, VLOOKUP(Recharged_Feasible_matv3!$A52,test!$A$34:$G$37, 3,FALSE)=VLOOKUP(AE$1,test!$A$3:$I$32,3,FALSE)),1,0)</f>
        <v>0</v>
      </c>
      <c r="AF52" s="2">
        <f>IF(AND(feasible_mat!AE21=1, VLOOKUP(Recharged_Feasible_matv3!$A52,test!$A$34:$G$37, 3,FALSE)=VLOOKUP(AF$1,test!$A$3:$I$32,3,FALSE)),1,0)</f>
        <v>0</v>
      </c>
      <c r="AG52" s="2">
        <f>IF(AND(feasible_mat!AF21=1, VLOOKUP(Recharged_Feasible_matv3!$A52,test!$A$34:$G$37, 3,FALSE)=VLOOKUP(AG$1,test!$A$3:$I$32,3,FALSE)),1,0)</f>
        <v>0</v>
      </c>
    </row>
    <row r="53" spans="1:33" x14ac:dyDescent="0.25">
      <c r="A53" t="s">
        <v>90</v>
      </c>
      <c r="B53" t="s">
        <v>31</v>
      </c>
      <c r="C53">
        <v>0</v>
      </c>
      <c r="D53" s="2">
        <f>IF(AND(feasible_mat!C22=1, VLOOKUP(Recharged_Feasible_matv3!$A53,test!$A$34:$G$37, 3,FALSE)=VLOOKUP(D$1,test!$A$3:$I$32,3,FALSE)),1,0)</f>
        <v>0</v>
      </c>
      <c r="E53" s="2">
        <f>IF(AND(feasible_mat!D22=1, VLOOKUP(Recharged_Feasible_matv3!$A53,test!$A$34:$G$37, 3,FALSE)=VLOOKUP(E$1,test!$A$3:$I$32,3,FALSE)),1,0)</f>
        <v>0</v>
      </c>
      <c r="F53" s="2">
        <f>IF(AND(feasible_mat!E22=1, VLOOKUP(Recharged_Feasible_matv3!$A53,test!$A$34:$G$37, 3,FALSE)=VLOOKUP(F$1,test!$A$3:$I$32,3,FALSE)),1,0)</f>
        <v>0</v>
      </c>
      <c r="G53" s="2">
        <f>IF(AND(feasible_mat!F22=1, VLOOKUP(Recharged_Feasible_matv3!$A53,test!$A$34:$G$37, 3,FALSE)=VLOOKUP(G$1,test!$A$3:$I$32,3,FALSE)),1,0)</f>
        <v>0</v>
      </c>
      <c r="H53" s="2">
        <f>IF(AND(feasible_mat!G22=1, VLOOKUP(Recharged_Feasible_matv3!$A53,test!$A$34:$G$37, 3,FALSE)=VLOOKUP(H$1,test!$A$3:$I$32,3,FALSE)),1,0)</f>
        <v>0</v>
      </c>
      <c r="I53" s="2">
        <f>IF(AND(feasible_mat!H22=1, VLOOKUP(Recharged_Feasible_matv3!$A53,test!$A$34:$G$37, 3,FALSE)=VLOOKUP(I$1,test!$A$3:$I$32,3,FALSE)),1,0)</f>
        <v>0</v>
      </c>
      <c r="J53" s="2">
        <f>IF(AND(feasible_mat!I22=1, VLOOKUP(Recharged_Feasible_matv3!$A53,test!$A$34:$G$37, 3,FALSE)=VLOOKUP(J$1,test!$A$3:$I$32,3,FALSE)),1,0)</f>
        <v>0</v>
      </c>
      <c r="K53" s="2">
        <f>IF(AND(feasible_mat!J22=1, VLOOKUP(Recharged_Feasible_matv3!$A53,test!$A$34:$G$37, 3,FALSE)=VLOOKUP(K$1,test!$A$3:$I$32,3,FALSE)),1,0)</f>
        <v>1</v>
      </c>
      <c r="L53" s="2">
        <f>IF(AND(feasible_mat!K22=1, VLOOKUP(Recharged_Feasible_matv3!$A53,test!$A$34:$G$37, 3,FALSE)=VLOOKUP(L$1,test!$A$3:$I$32,3,FALSE)),1,0)</f>
        <v>0</v>
      </c>
      <c r="M53" s="2">
        <f>IF(AND(feasible_mat!L22=1, VLOOKUP(Recharged_Feasible_matv3!$A53,test!$A$34:$G$37, 3,FALSE)=VLOOKUP(M$1,test!$A$3:$I$32,3,FALSE)),1,0)</f>
        <v>0</v>
      </c>
      <c r="N53" s="2">
        <f>IF(AND(feasible_mat!M22=1, VLOOKUP(Recharged_Feasible_matv3!$A53,test!$A$34:$G$37, 3,FALSE)=VLOOKUP(N$1,test!$A$3:$I$32,3,FALSE)),1,0)</f>
        <v>0</v>
      </c>
      <c r="O53" s="2">
        <f>IF(AND(feasible_mat!N22=1, VLOOKUP(Recharged_Feasible_matv3!$A53,test!$A$34:$G$37, 3,FALSE)=VLOOKUP(O$1,test!$A$3:$I$32,3,FALSE)),1,0)</f>
        <v>1</v>
      </c>
      <c r="P53" s="2">
        <f>IF(AND(feasible_mat!O22=1, VLOOKUP(Recharged_Feasible_matv3!$A53,test!$A$34:$G$37, 3,FALSE)=VLOOKUP(P$1,test!$A$3:$I$32,3,FALSE)),1,0)</f>
        <v>1</v>
      </c>
      <c r="Q53" s="2">
        <f>IF(AND(feasible_mat!P22=1, VLOOKUP(Recharged_Feasible_matv3!$A53,test!$A$34:$G$37, 3,FALSE)=VLOOKUP(Q$1,test!$A$3:$I$32,3,FALSE)),1,0)</f>
        <v>0</v>
      </c>
      <c r="R53" s="2">
        <f>IF(AND(feasible_mat!Q22=1, VLOOKUP(Recharged_Feasible_matv3!$A53,test!$A$34:$G$37, 3,FALSE)=VLOOKUP(R$1,test!$A$3:$I$32,3,FALSE)),1,0)</f>
        <v>0</v>
      </c>
      <c r="S53" s="2">
        <f>IF(AND(feasible_mat!R22=1, VLOOKUP(Recharged_Feasible_matv3!$A53,test!$A$34:$G$37, 3,FALSE)=VLOOKUP(S$1,test!$A$3:$I$32,3,FALSE)),1,0)</f>
        <v>0</v>
      </c>
      <c r="T53" s="2">
        <f>IF(AND(feasible_mat!S22=1, VLOOKUP(Recharged_Feasible_matv3!$A53,test!$A$34:$G$37, 3,FALSE)=VLOOKUP(T$1,test!$A$3:$I$32,3,FALSE)),1,0)</f>
        <v>0</v>
      </c>
      <c r="U53" s="2">
        <f>IF(AND(feasible_mat!T22=1, VLOOKUP(Recharged_Feasible_matv3!$A53,test!$A$34:$G$37, 3,FALSE)=VLOOKUP(U$1,test!$A$3:$I$32,3,FALSE)),1,0)</f>
        <v>0</v>
      </c>
      <c r="V53" s="2">
        <f>IF(AND(feasible_mat!U22=1, VLOOKUP(Recharged_Feasible_matv3!$A53,test!$A$34:$G$37, 3,FALSE)=VLOOKUP(V$1,test!$A$3:$I$32,3,FALSE)),1,0)</f>
        <v>0</v>
      </c>
      <c r="W53" s="2">
        <f>IF(AND(feasible_mat!V22=1, VLOOKUP(Recharged_Feasible_matv3!$A53,test!$A$34:$G$37, 3,FALSE)=VLOOKUP(W$1,test!$A$3:$I$32,3,FALSE)),1,0)</f>
        <v>0</v>
      </c>
      <c r="X53" s="2">
        <f>IF(AND(feasible_mat!W22=1, VLOOKUP(Recharged_Feasible_matv3!$A53,test!$A$34:$G$37, 3,FALSE)=VLOOKUP(X$1,test!$A$3:$I$32,3,FALSE)),1,0)</f>
        <v>0</v>
      </c>
      <c r="Y53" s="2">
        <f>IF(AND(feasible_mat!X22=1, VLOOKUP(Recharged_Feasible_matv3!$A53,test!$A$34:$G$37, 3,FALSE)=VLOOKUP(Y$1,test!$A$3:$I$32,3,FALSE)),1,0)</f>
        <v>0</v>
      </c>
      <c r="Z53" s="2">
        <f>IF(AND(feasible_mat!Y22=1, VLOOKUP(Recharged_Feasible_matv3!$A53,test!$A$34:$G$37, 3,FALSE)=VLOOKUP(Z$1,test!$A$3:$I$32,3,FALSE)),1,0)</f>
        <v>0</v>
      </c>
      <c r="AA53" s="2">
        <f>IF(AND(feasible_mat!Z22=1, VLOOKUP(Recharged_Feasible_matv3!$A53,test!$A$34:$G$37, 3,FALSE)=VLOOKUP(AA$1,test!$A$3:$I$32,3,FALSE)),1,0)</f>
        <v>0</v>
      </c>
      <c r="AB53" s="2">
        <f>IF(AND(feasible_mat!AA22=1, VLOOKUP(Recharged_Feasible_matv3!$A53,test!$A$34:$G$37, 3,FALSE)=VLOOKUP(AB$1,test!$A$3:$I$32,3,FALSE)),1,0)</f>
        <v>0</v>
      </c>
      <c r="AC53" s="2">
        <f>IF(AND(feasible_mat!AB22=1, VLOOKUP(Recharged_Feasible_matv3!$A53,test!$A$34:$G$37, 3,FALSE)=VLOOKUP(AC$1,test!$A$3:$I$32,3,FALSE)),1,0)</f>
        <v>0</v>
      </c>
      <c r="AD53" s="2">
        <f>IF(AND(feasible_mat!AC22=1, VLOOKUP(Recharged_Feasible_matv3!$A53,test!$A$34:$G$37, 3,FALSE)=VLOOKUP(AD$1,test!$A$3:$I$32,3,FALSE)),1,0)</f>
        <v>0</v>
      </c>
      <c r="AE53" s="2">
        <f>IF(AND(feasible_mat!AD22=1, VLOOKUP(Recharged_Feasible_matv3!$A53,test!$A$34:$G$37, 3,FALSE)=VLOOKUP(AE$1,test!$A$3:$I$32,3,FALSE)),1,0)</f>
        <v>0</v>
      </c>
      <c r="AF53" s="2">
        <f>IF(AND(feasible_mat!AE22=1, VLOOKUP(Recharged_Feasible_matv3!$A53,test!$A$34:$G$37, 3,FALSE)=VLOOKUP(AF$1,test!$A$3:$I$32,3,FALSE)),1,0)</f>
        <v>0</v>
      </c>
      <c r="AG53" s="2">
        <f>IF(AND(feasible_mat!AF22=1, VLOOKUP(Recharged_Feasible_matv3!$A53,test!$A$34:$G$37, 3,FALSE)=VLOOKUP(AG$1,test!$A$3:$I$32,3,FALSE)),1,0)</f>
        <v>0</v>
      </c>
    </row>
    <row r="54" spans="1:33" x14ac:dyDescent="0.25">
      <c r="A54" t="s">
        <v>90</v>
      </c>
      <c r="B54" t="s">
        <v>32</v>
      </c>
      <c r="C54">
        <v>0</v>
      </c>
      <c r="D54" s="2">
        <f>IF(AND(feasible_mat!C23=1, VLOOKUP(Recharged_Feasible_matv3!$A54,test!$A$34:$G$37, 3,FALSE)=VLOOKUP(D$1,test!$A$3:$I$32,3,FALSE)),1,0)</f>
        <v>0</v>
      </c>
      <c r="E54" s="2">
        <f>IF(AND(feasible_mat!D23=1, VLOOKUP(Recharged_Feasible_matv3!$A54,test!$A$34:$G$37, 3,FALSE)=VLOOKUP(E$1,test!$A$3:$I$32,3,FALSE)),1,0)</f>
        <v>0</v>
      </c>
      <c r="F54" s="2">
        <f>IF(AND(feasible_mat!E23=1, VLOOKUP(Recharged_Feasible_matv3!$A54,test!$A$34:$G$37, 3,FALSE)=VLOOKUP(F$1,test!$A$3:$I$32,3,FALSE)),1,0)</f>
        <v>0</v>
      </c>
      <c r="G54" s="2">
        <f>IF(AND(feasible_mat!F23=1, VLOOKUP(Recharged_Feasible_matv3!$A54,test!$A$34:$G$37, 3,FALSE)=VLOOKUP(G$1,test!$A$3:$I$32,3,FALSE)),1,0)</f>
        <v>0</v>
      </c>
      <c r="H54" s="2">
        <f>IF(AND(feasible_mat!G23=1, VLOOKUP(Recharged_Feasible_matv3!$A54,test!$A$34:$G$37, 3,FALSE)=VLOOKUP(H$1,test!$A$3:$I$32,3,FALSE)),1,0)</f>
        <v>0</v>
      </c>
      <c r="I54" s="2">
        <f>IF(AND(feasible_mat!H23=1, VLOOKUP(Recharged_Feasible_matv3!$A54,test!$A$34:$G$37, 3,FALSE)=VLOOKUP(I$1,test!$A$3:$I$32,3,FALSE)),1,0)</f>
        <v>0</v>
      </c>
      <c r="J54" s="2">
        <f>IF(AND(feasible_mat!I23=1, VLOOKUP(Recharged_Feasible_matv3!$A54,test!$A$34:$G$37, 3,FALSE)=VLOOKUP(J$1,test!$A$3:$I$32,3,FALSE)),1,0)</f>
        <v>0</v>
      </c>
      <c r="K54" s="2">
        <f>IF(AND(feasible_mat!J23=1, VLOOKUP(Recharged_Feasible_matv3!$A54,test!$A$34:$G$37, 3,FALSE)=VLOOKUP(K$1,test!$A$3:$I$32,3,FALSE)),1,0)</f>
        <v>0</v>
      </c>
      <c r="L54" s="2">
        <f>IF(AND(feasible_mat!K23=1, VLOOKUP(Recharged_Feasible_matv3!$A54,test!$A$34:$G$37, 3,FALSE)=VLOOKUP(L$1,test!$A$3:$I$32,3,FALSE)),1,0)</f>
        <v>0</v>
      </c>
      <c r="M54" s="2">
        <f>IF(AND(feasible_mat!L23=1, VLOOKUP(Recharged_Feasible_matv3!$A54,test!$A$34:$G$37, 3,FALSE)=VLOOKUP(M$1,test!$A$3:$I$32,3,FALSE)),1,0)</f>
        <v>0</v>
      </c>
      <c r="N54" s="2">
        <f>IF(AND(feasible_mat!M23=1, VLOOKUP(Recharged_Feasible_matv3!$A54,test!$A$34:$G$37, 3,FALSE)=VLOOKUP(N$1,test!$A$3:$I$32,3,FALSE)),1,0)</f>
        <v>0</v>
      </c>
      <c r="O54" s="2">
        <f>IF(AND(feasible_mat!N23=1, VLOOKUP(Recharged_Feasible_matv3!$A54,test!$A$34:$G$37, 3,FALSE)=VLOOKUP(O$1,test!$A$3:$I$32,3,FALSE)),1,0)</f>
        <v>0</v>
      </c>
      <c r="P54" s="2">
        <f>IF(AND(feasible_mat!O23=1, VLOOKUP(Recharged_Feasible_matv3!$A54,test!$A$34:$G$37, 3,FALSE)=VLOOKUP(P$1,test!$A$3:$I$32,3,FALSE)),1,0)</f>
        <v>0</v>
      </c>
      <c r="Q54" s="2">
        <f>IF(AND(feasible_mat!P23=1, VLOOKUP(Recharged_Feasible_matv3!$A54,test!$A$34:$G$37, 3,FALSE)=VLOOKUP(Q$1,test!$A$3:$I$32,3,FALSE)),1,0)</f>
        <v>0</v>
      </c>
      <c r="R54" s="2">
        <f>IF(AND(feasible_mat!Q23=1, VLOOKUP(Recharged_Feasible_matv3!$A54,test!$A$34:$G$37, 3,FALSE)=VLOOKUP(R$1,test!$A$3:$I$32,3,FALSE)),1,0)</f>
        <v>0</v>
      </c>
      <c r="S54" s="2">
        <f>IF(AND(feasible_mat!R23=1, VLOOKUP(Recharged_Feasible_matv3!$A54,test!$A$34:$G$37, 3,FALSE)=VLOOKUP(S$1,test!$A$3:$I$32,3,FALSE)),1,0)</f>
        <v>0</v>
      </c>
      <c r="T54" s="2">
        <f>IF(AND(feasible_mat!S23=1, VLOOKUP(Recharged_Feasible_matv3!$A54,test!$A$34:$G$37, 3,FALSE)=VLOOKUP(T$1,test!$A$3:$I$32,3,FALSE)),1,0)</f>
        <v>0</v>
      </c>
      <c r="U54" s="2">
        <f>IF(AND(feasible_mat!T23=1, VLOOKUP(Recharged_Feasible_matv3!$A54,test!$A$34:$G$37, 3,FALSE)=VLOOKUP(U$1,test!$A$3:$I$32,3,FALSE)),1,0)</f>
        <v>0</v>
      </c>
      <c r="V54" s="2">
        <f>IF(AND(feasible_mat!U23=1, VLOOKUP(Recharged_Feasible_matv3!$A54,test!$A$34:$G$37, 3,FALSE)=VLOOKUP(V$1,test!$A$3:$I$32,3,FALSE)),1,0)</f>
        <v>0</v>
      </c>
      <c r="W54" s="2">
        <f>IF(AND(feasible_mat!V23=1, VLOOKUP(Recharged_Feasible_matv3!$A54,test!$A$34:$G$37, 3,FALSE)=VLOOKUP(W$1,test!$A$3:$I$32,3,FALSE)),1,0)</f>
        <v>0</v>
      </c>
      <c r="X54" s="2">
        <f>IF(AND(feasible_mat!W23=1, VLOOKUP(Recharged_Feasible_matv3!$A54,test!$A$34:$G$37, 3,FALSE)=VLOOKUP(X$1,test!$A$3:$I$32,3,FALSE)),1,0)</f>
        <v>0</v>
      </c>
      <c r="Y54" s="2">
        <f>IF(AND(feasible_mat!X23=1, VLOOKUP(Recharged_Feasible_matv3!$A54,test!$A$34:$G$37, 3,FALSE)=VLOOKUP(Y$1,test!$A$3:$I$32,3,FALSE)),1,0)</f>
        <v>0</v>
      </c>
      <c r="Z54" s="2">
        <f>IF(AND(feasible_mat!Y23=1, VLOOKUP(Recharged_Feasible_matv3!$A54,test!$A$34:$G$37, 3,FALSE)=VLOOKUP(Z$1,test!$A$3:$I$32,3,FALSE)),1,0)</f>
        <v>0</v>
      </c>
      <c r="AA54" s="2">
        <f>IF(AND(feasible_mat!Z23=1, VLOOKUP(Recharged_Feasible_matv3!$A54,test!$A$34:$G$37, 3,FALSE)=VLOOKUP(AA$1,test!$A$3:$I$32,3,FALSE)),1,0)</f>
        <v>0</v>
      </c>
      <c r="AB54" s="2">
        <f>IF(AND(feasible_mat!AA23=1, VLOOKUP(Recharged_Feasible_matv3!$A54,test!$A$34:$G$37, 3,FALSE)=VLOOKUP(AB$1,test!$A$3:$I$32,3,FALSE)),1,0)</f>
        <v>0</v>
      </c>
      <c r="AC54" s="2">
        <f>IF(AND(feasible_mat!AB23=1, VLOOKUP(Recharged_Feasible_matv3!$A54,test!$A$34:$G$37, 3,FALSE)=VLOOKUP(AC$1,test!$A$3:$I$32,3,FALSE)),1,0)</f>
        <v>0</v>
      </c>
      <c r="AD54" s="2">
        <f>IF(AND(feasible_mat!AC23=1, VLOOKUP(Recharged_Feasible_matv3!$A54,test!$A$34:$G$37, 3,FALSE)=VLOOKUP(AD$1,test!$A$3:$I$32,3,FALSE)),1,0)</f>
        <v>0</v>
      </c>
      <c r="AE54" s="2">
        <f>IF(AND(feasible_mat!AD23=1, VLOOKUP(Recharged_Feasible_matv3!$A54,test!$A$34:$G$37, 3,FALSE)=VLOOKUP(AE$1,test!$A$3:$I$32,3,FALSE)),1,0)</f>
        <v>0</v>
      </c>
      <c r="AF54" s="2">
        <f>IF(AND(feasible_mat!AE23=1, VLOOKUP(Recharged_Feasible_matv3!$A54,test!$A$34:$G$37, 3,FALSE)=VLOOKUP(AF$1,test!$A$3:$I$32,3,FALSE)),1,0)</f>
        <v>0</v>
      </c>
      <c r="AG54" s="2">
        <f>IF(AND(feasible_mat!AF23=1, VLOOKUP(Recharged_Feasible_matv3!$A54,test!$A$34:$G$37, 3,FALSE)=VLOOKUP(AG$1,test!$A$3:$I$32,3,FALSE)),1,0)</f>
        <v>0</v>
      </c>
    </row>
    <row r="55" spans="1:33" x14ac:dyDescent="0.25">
      <c r="A55" t="s">
        <v>90</v>
      </c>
      <c r="B55" t="s">
        <v>33</v>
      </c>
      <c r="C55">
        <v>0</v>
      </c>
      <c r="D55" s="2">
        <f>IF(AND(feasible_mat!C24=1, VLOOKUP(Recharged_Feasible_matv3!$A55,test!$A$34:$G$37, 3,FALSE)=VLOOKUP(D$1,test!$A$3:$I$32,3,FALSE)),1,0)</f>
        <v>0</v>
      </c>
      <c r="E55" s="2">
        <f>IF(AND(feasible_mat!D24=1, VLOOKUP(Recharged_Feasible_matv3!$A55,test!$A$34:$G$37, 3,FALSE)=VLOOKUP(E$1,test!$A$3:$I$32,3,FALSE)),1,0)</f>
        <v>0</v>
      </c>
      <c r="F55" s="2">
        <f>IF(AND(feasible_mat!E24=1, VLOOKUP(Recharged_Feasible_matv3!$A55,test!$A$34:$G$37, 3,FALSE)=VLOOKUP(F$1,test!$A$3:$I$32,3,FALSE)),1,0)</f>
        <v>0</v>
      </c>
      <c r="G55" s="2">
        <f>IF(AND(feasible_mat!F24=1, VLOOKUP(Recharged_Feasible_matv3!$A55,test!$A$34:$G$37, 3,FALSE)=VLOOKUP(G$1,test!$A$3:$I$32,3,FALSE)),1,0)</f>
        <v>0</v>
      </c>
      <c r="H55" s="2">
        <f>IF(AND(feasible_mat!G24=1, VLOOKUP(Recharged_Feasible_matv3!$A55,test!$A$34:$G$37, 3,FALSE)=VLOOKUP(H$1,test!$A$3:$I$32,3,FALSE)),1,0)</f>
        <v>0</v>
      </c>
      <c r="I55" s="2">
        <f>IF(AND(feasible_mat!H24=1, VLOOKUP(Recharged_Feasible_matv3!$A55,test!$A$34:$G$37, 3,FALSE)=VLOOKUP(I$1,test!$A$3:$I$32,3,FALSE)),1,0)</f>
        <v>0</v>
      </c>
      <c r="J55" s="2">
        <f>IF(AND(feasible_mat!I24=1, VLOOKUP(Recharged_Feasible_matv3!$A55,test!$A$34:$G$37, 3,FALSE)=VLOOKUP(J$1,test!$A$3:$I$32,3,FALSE)),1,0)</f>
        <v>0</v>
      </c>
      <c r="K55" s="2">
        <f>IF(AND(feasible_mat!J24=1, VLOOKUP(Recharged_Feasible_matv3!$A55,test!$A$34:$G$37, 3,FALSE)=VLOOKUP(K$1,test!$A$3:$I$32,3,FALSE)),1,0)</f>
        <v>0</v>
      </c>
      <c r="L55" s="2">
        <f>IF(AND(feasible_mat!K24=1, VLOOKUP(Recharged_Feasible_matv3!$A55,test!$A$34:$G$37, 3,FALSE)=VLOOKUP(L$1,test!$A$3:$I$32,3,FALSE)),1,0)</f>
        <v>0</v>
      </c>
      <c r="M55" s="2">
        <f>IF(AND(feasible_mat!L24=1, VLOOKUP(Recharged_Feasible_matv3!$A55,test!$A$34:$G$37, 3,FALSE)=VLOOKUP(M$1,test!$A$3:$I$32,3,FALSE)),1,0)</f>
        <v>0</v>
      </c>
      <c r="N55" s="2">
        <f>IF(AND(feasible_mat!M24=1, VLOOKUP(Recharged_Feasible_matv3!$A55,test!$A$34:$G$37, 3,FALSE)=VLOOKUP(N$1,test!$A$3:$I$32,3,FALSE)),1,0)</f>
        <v>0</v>
      </c>
      <c r="O55" s="2">
        <f>IF(AND(feasible_mat!N24=1, VLOOKUP(Recharged_Feasible_matv3!$A55,test!$A$34:$G$37, 3,FALSE)=VLOOKUP(O$1,test!$A$3:$I$32,3,FALSE)),1,0)</f>
        <v>0</v>
      </c>
      <c r="P55" s="2">
        <f>IF(AND(feasible_mat!O24=1, VLOOKUP(Recharged_Feasible_matv3!$A55,test!$A$34:$G$37, 3,FALSE)=VLOOKUP(P$1,test!$A$3:$I$32,3,FALSE)),1,0)</f>
        <v>0</v>
      </c>
      <c r="Q55" s="2">
        <f>IF(AND(feasible_mat!P24=1, VLOOKUP(Recharged_Feasible_matv3!$A55,test!$A$34:$G$37, 3,FALSE)=VLOOKUP(Q$1,test!$A$3:$I$32,3,FALSE)),1,0)</f>
        <v>0</v>
      </c>
      <c r="R55" s="2">
        <f>IF(AND(feasible_mat!Q24=1, VLOOKUP(Recharged_Feasible_matv3!$A55,test!$A$34:$G$37, 3,FALSE)=VLOOKUP(R$1,test!$A$3:$I$32,3,FALSE)),1,0)</f>
        <v>0</v>
      </c>
      <c r="S55" s="2">
        <f>IF(AND(feasible_mat!R24=1, VLOOKUP(Recharged_Feasible_matv3!$A55,test!$A$34:$G$37, 3,FALSE)=VLOOKUP(S$1,test!$A$3:$I$32,3,FALSE)),1,0)</f>
        <v>0</v>
      </c>
      <c r="T55" s="2">
        <f>IF(AND(feasible_mat!S24=1, VLOOKUP(Recharged_Feasible_matv3!$A55,test!$A$34:$G$37, 3,FALSE)=VLOOKUP(T$1,test!$A$3:$I$32,3,FALSE)),1,0)</f>
        <v>0</v>
      </c>
      <c r="U55" s="2">
        <f>IF(AND(feasible_mat!T24=1, VLOOKUP(Recharged_Feasible_matv3!$A55,test!$A$34:$G$37, 3,FALSE)=VLOOKUP(U$1,test!$A$3:$I$32,3,FALSE)),1,0)</f>
        <v>0</v>
      </c>
      <c r="V55" s="2">
        <f>IF(AND(feasible_mat!U24=1, VLOOKUP(Recharged_Feasible_matv3!$A55,test!$A$34:$G$37, 3,FALSE)=VLOOKUP(V$1,test!$A$3:$I$32,3,FALSE)),1,0)</f>
        <v>0</v>
      </c>
      <c r="W55" s="2">
        <f>IF(AND(feasible_mat!V24=1, VLOOKUP(Recharged_Feasible_matv3!$A55,test!$A$34:$G$37, 3,FALSE)=VLOOKUP(W$1,test!$A$3:$I$32,3,FALSE)),1,0)</f>
        <v>0</v>
      </c>
      <c r="X55" s="2">
        <f>IF(AND(feasible_mat!W24=1, VLOOKUP(Recharged_Feasible_matv3!$A55,test!$A$34:$G$37, 3,FALSE)=VLOOKUP(X$1,test!$A$3:$I$32,3,FALSE)),1,0)</f>
        <v>0</v>
      </c>
      <c r="Y55" s="2">
        <f>IF(AND(feasible_mat!X24=1, VLOOKUP(Recharged_Feasible_matv3!$A55,test!$A$34:$G$37, 3,FALSE)=VLOOKUP(Y$1,test!$A$3:$I$32,3,FALSE)),1,0)</f>
        <v>0</v>
      </c>
      <c r="Z55" s="2">
        <f>IF(AND(feasible_mat!Y24=1, VLOOKUP(Recharged_Feasible_matv3!$A55,test!$A$34:$G$37, 3,FALSE)=VLOOKUP(Z$1,test!$A$3:$I$32,3,FALSE)),1,0)</f>
        <v>0</v>
      </c>
      <c r="AA55" s="2">
        <f>IF(AND(feasible_mat!Z24=1, VLOOKUP(Recharged_Feasible_matv3!$A55,test!$A$34:$G$37, 3,FALSE)=VLOOKUP(AA$1,test!$A$3:$I$32,3,FALSE)),1,0)</f>
        <v>0</v>
      </c>
      <c r="AB55" s="2">
        <f>IF(AND(feasible_mat!AA24=1, VLOOKUP(Recharged_Feasible_matv3!$A55,test!$A$34:$G$37, 3,FALSE)=VLOOKUP(AB$1,test!$A$3:$I$32,3,FALSE)),1,0)</f>
        <v>0</v>
      </c>
      <c r="AC55" s="2">
        <f>IF(AND(feasible_mat!AB24=1, VLOOKUP(Recharged_Feasible_matv3!$A55,test!$A$34:$G$37, 3,FALSE)=VLOOKUP(AC$1,test!$A$3:$I$32,3,FALSE)),1,0)</f>
        <v>0</v>
      </c>
      <c r="AD55" s="2">
        <f>IF(AND(feasible_mat!AC24=1, VLOOKUP(Recharged_Feasible_matv3!$A55,test!$A$34:$G$37, 3,FALSE)=VLOOKUP(AD$1,test!$A$3:$I$32,3,FALSE)),1,0)</f>
        <v>0</v>
      </c>
      <c r="AE55" s="2">
        <f>IF(AND(feasible_mat!AD24=1, VLOOKUP(Recharged_Feasible_matv3!$A55,test!$A$34:$G$37, 3,FALSE)=VLOOKUP(AE$1,test!$A$3:$I$32,3,FALSE)),1,0)</f>
        <v>0</v>
      </c>
      <c r="AF55" s="2">
        <f>IF(AND(feasible_mat!AE24=1, VLOOKUP(Recharged_Feasible_matv3!$A55,test!$A$34:$G$37, 3,FALSE)=VLOOKUP(AF$1,test!$A$3:$I$32,3,FALSE)),1,0)</f>
        <v>0</v>
      </c>
      <c r="AG55" s="2">
        <f>IF(AND(feasible_mat!AF24=1, VLOOKUP(Recharged_Feasible_matv3!$A55,test!$A$34:$G$37, 3,FALSE)=VLOOKUP(AG$1,test!$A$3:$I$32,3,FALSE)),1,0)</f>
        <v>0</v>
      </c>
    </row>
    <row r="56" spans="1:33" x14ac:dyDescent="0.25">
      <c r="A56" t="s">
        <v>90</v>
      </c>
      <c r="B56" t="s">
        <v>34</v>
      </c>
      <c r="C56">
        <v>0</v>
      </c>
      <c r="D56" s="2">
        <f>IF(AND(feasible_mat!C25=1, VLOOKUP(Recharged_Feasible_matv3!$A56,test!$A$34:$G$37, 3,FALSE)=VLOOKUP(D$1,test!$A$3:$I$32,3,FALSE)),1,0)</f>
        <v>0</v>
      </c>
      <c r="E56" s="2">
        <f>IF(AND(feasible_mat!D25=1, VLOOKUP(Recharged_Feasible_matv3!$A56,test!$A$34:$G$37, 3,FALSE)=VLOOKUP(E$1,test!$A$3:$I$32,3,FALSE)),1,0)</f>
        <v>1</v>
      </c>
      <c r="F56" s="2">
        <f>IF(AND(feasible_mat!E25=1, VLOOKUP(Recharged_Feasible_matv3!$A56,test!$A$34:$G$37, 3,FALSE)=VLOOKUP(F$1,test!$A$3:$I$32,3,FALSE)),1,0)</f>
        <v>1</v>
      </c>
      <c r="G56" s="2">
        <f>IF(AND(feasible_mat!F25=1, VLOOKUP(Recharged_Feasible_matv3!$A56,test!$A$34:$G$37, 3,FALSE)=VLOOKUP(G$1,test!$A$3:$I$32,3,FALSE)),1,0)</f>
        <v>1</v>
      </c>
      <c r="H56" s="2">
        <f>IF(AND(feasible_mat!G25=1, VLOOKUP(Recharged_Feasible_matv3!$A56,test!$A$34:$G$37, 3,FALSE)=VLOOKUP(H$1,test!$A$3:$I$32,3,FALSE)),1,0)</f>
        <v>1</v>
      </c>
      <c r="I56" s="2">
        <f>IF(AND(feasible_mat!H25=1, VLOOKUP(Recharged_Feasible_matv3!$A56,test!$A$34:$G$37, 3,FALSE)=VLOOKUP(I$1,test!$A$3:$I$32,3,FALSE)),1,0)</f>
        <v>1</v>
      </c>
      <c r="J56" s="2">
        <f>IF(AND(feasible_mat!I25=1, VLOOKUP(Recharged_Feasible_matv3!$A56,test!$A$34:$G$37, 3,FALSE)=VLOOKUP(J$1,test!$A$3:$I$32,3,FALSE)),1,0)</f>
        <v>1</v>
      </c>
      <c r="K56" s="2">
        <f>IF(AND(feasible_mat!J25=1, VLOOKUP(Recharged_Feasible_matv3!$A56,test!$A$34:$G$37, 3,FALSE)=VLOOKUP(K$1,test!$A$3:$I$32,3,FALSE)),1,0)</f>
        <v>1</v>
      </c>
      <c r="L56" s="2">
        <f>IF(AND(feasible_mat!K25=1, VLOOKUP(Recharged_Feasible_matv3!$A56,test!$A$34:$G$37, 3,FALSE)=VLOOKUP(L$1,test!$A$3:$I$32,3,FALSE)),1,0)</f>
        <v>0</v>
      </c>
      <c r="M56" s="2">
        <f>IF(AND(feasible_mat!L25=1, VLOOKUP(Recharged_Feasible_matv3!$A56,test!$A$34:$G$37, 3,FALSE)=VLOOKUP(M$1,test!$A$3:$I$32,3,FALSE)),1,0)</f>
        <v>0</v>
      </c>
      <c r="N56" s="2">
        <f>IF(AND(feasible_mat!M25=1, VLOOKUP(Recharged_Feasible_matv3!$A56,test!$A$34:$G$37, 3,FALSE)=VLOOKUP(N$1,test!$A$3:$I$32,3,FALSE)),1,0)</f>
        <v>1</v>
      </c>
      <c r="O56" s="2">
        <f>IF(AND(feasible_mat!N25=1, VLOOKUP(Recharged_Feasible_matv3!$A56,test!$A$34:$G$37, 3,FALSE)=VLOOKUP(O$1,test!$A$3:$I$32,3,FALSE)),1,0)</f>
        <v>1</v>
      </c>
      <c r="P56" s="2">
        <f>IF(AND(feasible_mat!O25=1, VLOOKUP(Recharged_Feasible_matv3!$A56,test!$A$34:$G$37, 3,FALSE)=VLOOKUP(P$1,test!$A$3:$I$32,3,FALSE)),1,0)</f>
        <v>1</v>
      </c>
      <c r="Q56" s="2">
        <f>IF(AND(feasible_mat!P25=1, VLOOKUP(Recharged_Feasible_matv3!$A56,test!$A$34:$G$37, 3,FALSE)=VLOOKUP(Q$1,test!$A$3:$I$32,3,FALSE)),1,0)</f>
        <v>0</v>
      </c>
      <c r="R56" s="2">
        <f>IF(AND(feasible_mat!Q25=1, VLOOKUP(Recharged_Feasible_matv3!$A56,test!$A$34:$G$37, 3,FALSE)=VLOOKUP(R$1,test!$A$3:$I$32,3,FALSE)),1,0)</f>
        <v>0</v>
      </c>
      <c r="S56" s="2">
        <f>IF(AND(feasible_mat!R25=1, VLOOKUP(Recharged_Feasible_matv3!$A56,test!$A$34:$G$37, 3,FALSE)=VLOOKUP(S$1,test!$A$3:$I$32,3,FALSE)),1,0)</f>
        <v>0</v>
      </c>
      <c r="T56" s="2">
        <f>IF(AND(feasible_mat!S25=1, VLOOKUP(Recharged_Feasible_matv3!$A56,test!$A$34:$G$37, 3,FALSE)=VLOOKUP(T$1,test!$A$3:$I$32,3,FALSE)),1,0)</f>
        <v>0</v>
      </c>
      <c r="U56" s="2">
        <f>IF(AND(feasible_mat!T25=1, VLOOKUP(Recharged_Feasible_matv3!$A56,test!$A$34:$G$37, 3,FALSE)=VLOOKUP(U$1,test!$A$3:$I$32,3,FALSE)),1,0)</f>
        <v>0</v>
      </c>
      <c r="V56" s="2">
        <f>IF(AND(feasible_mat!U25=1, VLOOKUP(Recharged_Feasible_matv3!$A56,test!$A$34:$G$37, 3,FALSE)=VLOOKUP(V$1,test!$A$3:$I$32,3,FALSE)),1,0)</f>
        <v>0</v>
      </c>
      <c r="W56" s="2">
        <f>IF(AND(feasible_mat!V25=1, VLOOKUP(Recharged_Feasible_matv3!$A56,test!$A$34:$G$37, 3,FALSE)=VLOOKUP(W$1,test!$A$3:$I$32,3,FALSE)),1,0)</f>
        <v>0</v>
      </c>
      <c r="X56" s="2">
        <f>IF(AND(feasible_mat!W25=1, VLOOKUP(Recharged_Feasible_matv3!$A56,test!$A$34:$G$37, 3,FALSE)=VLOOKUP(X$1,test!$A$3:$I$32,3,FALSE)),1,0)</f>
        <v>0</v>
      </c>
      <c r="Y56" s="2">
        <f>IF(AND(feasible_mat!X25=1, VLOOKUP(Recharged_Feasible_matv3!$A56,test!$A$34:$G$37, 3,FALSE)=VLOOKUP(Y$1,test!$A$3:$I$32,3,FALSE)),1,0)</f>
        <v>0</v>
      </c>
      <c r="Z56" s="2">
        <f>IF(AND(feasible_mat!Y25=1, VLOOKUP(Recharged_Feasible_matv3!$A56,test!$A$34:$G$37, 3,FALSE)=VLOOKUP(Z$1,test!$A$3:$I$32,3,FALSE)),1,0)</f>
        <v>0</v>
      </c>
      <c r="AA56" s="2">
        <f>IF(AND(feasible_mat!Z25=1, VLOOKUP(Recharged_Feasible_matv3!$A56,test!$A$34:$G$37, 3,FALSE)=VLOOKUP(AA$1,test!$A$3:$I$32,3,FALSE)),1,0)</f>
        <v>0</v>
      </c>
      <c r="AB56" s="2">
        <f>IF(AND(feasible_mat!AA25=1, VLOOKUP(Recharged_Feasible_matv3!$A56,test!$A$34:$G$37, 3,FALSE)=VLOOKUP(AB$1,test!$A$3:$I$32,3,FALSE)),1,0)</f>
        <v>0</v>
      </c>
      <c r="AC56" s="2">
        <f>IF(AND(feasible_mat!AB25=1, VLOOKUP(Recharged_Feasible_matv3!$A56,test!$A$34:$G$37, 3,FALSE)=VLOOKUP(AC$1,test!$A$3:$I$32,3,FALSE)),1,0)</f>
        <v>0</v>
      </c>
      <c r="AD56" s="2">
        <f>IF(AND(feasible_mat!AC25=1, VLOOKUP(Recharged_Feasible_matv3!$A56,test!$A$34:$G$37, 3,FALSE)=VLOOKUP(AD$1,test!$A$3:$I$32,3,FALSE)),1,0)</f>
        <v>0</v>
      </c>
      <c r="AE56" s="2">
        <f>IF(AND(feasible_mat!AD25=1, VLOOKUP(Recharged_Feasible_matv3!$A56,test!$A$34:$G$37, 3,FALSE)=VLOOKUP(AE$1,test!$A$3:$I$32,3,FALSE)),1,0)</f>
        <v>0</v>
      </c>
      <c r="AF56" s="2">
        <f>IF(AND(feasible_mat!AE25=1, VLOOKUP(Recharged_Feasible_matv3!$A56,test!$A$34:$G$37, 3,FALSE)=VLOOKUP(AF$1,test!$A$3:$I$32,3,FALSE)),1,0)</f>
        <v>0</v>
      </c>
      <c r="AG56" s="2">
        <f>IF(AND(feasible_mat!AF25=1, VLOOKUP(Recharged_Feasible_matv3!$A56,test!$A$34:$G$37, 3,FALSE)=VLOOKUP(AG$1,test!$A$3:$I$32,3,FALSE)),1,0)</f>
        <v>0</v>
      </c>
    </row>
    <row r="57" spans="1:33" x14ac:dyDescent="0.25">
      <c r="A57" t="s">
        <v>90</v>
      </c>
      <c r="B57" t="s">
        <v>35</v>
      </c>
      <c r="C57">
        <v>0</v>
      </c>
      <c r="D57" s="2">
        <f>IF(AND(feasible_mat!C26=1, VLOOKUP(Recharged_Feasible_matv3!$A57,test!$A$34:$G$37, 3,FALSE)=VLOOKUP(D$1,test!$A$3:$I$32,3,FALSE)),1,0)</f>
        <v>0</v>
      </c>
      <c r="E57" s="2">
        <f>IF(AND(feasible_mat!D26=1, VLOOKUP(Recharged_Feasible_matv3!$A57,test!$A$34:$G$37, 3,FALSE)=VLOOKUP(E$1,test!$A$3:$I$32,3,FALSE)),1,0)</f>
        <v>0</v>
      </c>
      <c r="F57" s="2">
        <f>IF(AND(feasible_mat!E26=1, VLOOKUP(Recharged_Feasible_matv3!$A57,test!$A$34:$G$37, 3,FALSE)=VLOOKUP(F$1,test!$A$3:$I$32,3,FALSE)),1,0)</f>
        <v>0</v>
      </c>
      <c r="G57" s="2">
        <f>IF(AND(feasible_mat!F26=1, VLOOKUP(Recharged_Feasible_matv3!$A57,test!$A$34:$G$37, 3,FALSE)=VLOOKUP(G$1,test!$A$3:$I$32,3,FALSE)),1,0)</f>
        <v>1</v>
      </c>
      <c r="H57" s="2">
        <f>IF(AND(feasible_mat!G26=1, VLOOKUP(Recharged_Feasible_matv3!$A57,test!$A$34:$G$37, 3,FALSE)=VLOOKUP(H$1,test!$A$3:$I$32,3,FALSE)),1,0)</f>
        <v>1</v>
      </c>
      <c r="I57" s="2">
        <f>IF(AND(feasible_mat!H26=1, VLOOKUP(Recharged_Feasible_matv3!$A57,test!$A$34:$G$37, 3,FALSE)=VLOOKUP(I$1,test!$A$3:$I$32,3,FALSE)),1,0)</f>
        <v>1</v>
      </c>
      <c r="J57" s="2">
        <f>IF(AND(feasible_mat!I26=1, VLOOKUP(Recharged_Feasible_matv3!$A57,test!$A$34:$G$37, 3,FALSE)=VLOOKUP(J$1,test!$A$3:$I$32,3,FALSE)),1,0)</f>
        <v>1</v>
      </c>
      <c r="K57" s="2">
        <f>IF(AND(feasible_mat!J26=1, VLOOKUP(Recharged_Feasible_matv3!$A57,test!$A$34:$G$37, 3,FALSE)=VLOOKUP(K$1,test!$A$3:$I$32,3,FALSE)),1,0)</f>
        <v>1</v>
      </c>
      <c r="L57" s="2">
        <f>IF(AND(feasible_mat!K26=1, VLOOKUP(Recharged_Feasible_matv3!$A57,test!$A$34:$G$37, 3,FALSE)=VLOOKUP(L$1,test!$A$3:$I$32,3,FALSE)),1,0)</f>
        <v>0</v>
      </c>
      <c r="M57" s="2">
        <f>IF(AND(feasible_mat!L26=1, VLOOKUP(Recharged_Feasible_matv3!$A57,test!$A$34:$G$37, 3,FALSE)=VLOOKUP(M$1,test!$A$3:$I$32,3,FALSE)),1,0)</f>
        <v>0</v>
      </c>
      <c r="N57" s="2">
        <f>IF(AND(feasible_mat!M26=1, VLOOKUP(Recharged_Feasible_matv3!$A57,test!$A$34:$G$37, 3,FALSE)=VLOOKUP(N$1,test!$A$3:$I$32,3,FALSE)),1,0)</f>
        <v>0</v>
      </c>
      <c r="O57" s="2">
        <f>IF(AND(feasible_mat!N26=1, VLOOKUP(Recharged_Feasible_matv3!$A57,test!$A$34:$G$37, 3,FALSE)=VLOOKUP(O$1,test!$A$3:$I$32,3,FALSE)),1,0)</f>
        <v>1</v>
      </c>
      <c r="P57" s="2">
        <f>IF(AND(feasible_mat!O26=1, VLOOKUP(Recharged_Feasible_matv3!$A57,test!$A$34:$G$37, 3,FALSE)=VLOOKUP(P$1,test!$A$3:$I$32,3,FALSE)),1,0)</f>
        <v>1</v>
      </c>
      <c r="Q57" s="2">
        <f>IF(AND(feasible_mat!P26=1, VLOOKUP(Recharged_Feasible_matv3!$A57,test!$A$34:$G$37, 3,FALSE)=VLOOKUP(Q$1,test!$A$3:$I$32,3,FALSE)),1,0)</f>
        <v>0</v>
      </c>
      <c r="R57" s="2">
        <f>IF(AND(feasible_mat!Q26=1, VLOOKUP(Recharged_Feasible_matv3!$A57,test!$A$34:$G$37, 3,FALSE)=VLOOKUP(R$1,test!$A$3:$I$32,3,FALSE)),1,0)</f>
        <v>0</v>
      </c>
      <c r="S57" s="2">
        <f>IF(AND(feasible_mat!R26=1, VLOOKUP(Recharged_Feasible_matv3!$A57,test!$A$34:$G$37, 3,FALSE)=VLOOKUP(S$1,test!$A$3:$I$32,3,FALSE)),1,0)</f>
        <v>0</v>
      </c>
      <c r="T57" s="2">
        <f>IF(AND(feasible_mat!S26=1, VLOOKUP(Recharged_Feasible_matv3!$A57,test!$A$34:$G$37, 3,FALSE)=VLOOKUP(T$1,test!$A$3:$I$32,3,FALSE)),1,0)</f>
        <v>0</v>
      </c>
      <c r="U57" s="2">
        <f>IF(AND(feasible_mat!T26=1, VLOOKUP(Recharged_Feasible_matv3!$A57,test!$A$34:$G$37, 3,FALSE)=VLOOKUP(U$1,test!$A$3:$I$32,3,FALSE)),1,0)</f>
        <v>0</v>
      </c>
      <c r="V57" s="2">
        <f>IF(AND(feasible_mat!U26=1, VLOOKUP(Recharged_Feasible_matv3!$A57,test!$A$34:$G$37, 3,FALSE)=VLOOKUP(V$1,test!$A$3:$I$32,3,FALSE)),1,0)</f>
        <v>0</v>
      </c>
      <c r="W57" s="2">
        <f>IF(AND(feasible_mat!V26=1, VLOOKUP(Recharged_Feasible_matv3!$A57,test!$A$34:$G$37, 3,FALSE)=VLOOKUP(W$1,test!$A$3:$I$32,3,FALSE)),1,0)</f>
        <v>0</v>
      </c>
      <c r="X57" s="2">
        <f>IF(AND(feasible_mat!W26=1, VLOOKUP(Recharged_Feasible_matv3!$A57,test!$A$34:$G$37, 3,FALSE)=VLOOKUP(X$1,test!$A$3:$I$32,3,FALSE)),1,0)</f>
        <v>0</v>
      </c>
      <c r="Y57" s="2">
        <f>IF(AND(feasible_mat!X26=1, VLOOKUP(Recharged_Feasible_matv3!$A57,test!$A$34:$G$37, 3,FALSE)=VLOOKUP(Y$1,test!$A$3:$I$32,3,FALSE)),1,0)</f>
        <v>0</v>
      </c>
      <c r="Z57" s="2">
        <f>IF(AND(feasible_mat!Y26=1, VLOOKUP(Recharged_Feasible_matv3!$A57,test!$A$34:$G$37, 3,FALSE)=VLOOKUP(Z$1,test!$A$3:$I$32,3,FALSE)),1,0)</f>
        <v>0</v>
      </c>
      <c r="AA57" s="2">
        <f>IF(AND(feasible_mat!Z26=1, VLOOKUP(Recharged_Feasible_matv3!$A57,test!$A$34:$G$37, 3,FALSE)=VLOOKUP(AA$1,test!$A$3:$I$32,3,FALSE)),1,0)</f>
        <v>0</v>
      </c>
      <c r="AB57" s="2">
        <f>IF(AND(feasible_mat!AA26=1, VLOOKUP(Recharged_Feasible_matv3!$A57,test!$A$34:$G$37, 3,FALSE)=VLOOKUP(AB$1,test!$A$3:$I$32,3,FALSE)),1,0)</f>
        <v>0</v>
      </c>
      <c r="AC57" s="2">
        <f>IF(AND(feasible_mat!AB26=1, VLOOKUP(Recharged_Feasible_matv3!$A57,test!$A$34:$G$37, 3,FALSE)=VLOOKUP(AC$1,test!$A$3:$I$32,3,FALSE)),1,0)</f>
        <v>0</v>
      </c>
      <c r="AD57" s="2">
        <f>IF(AND(feasible_mat!AC26=1, VLOOKUP(Recharged_Feasible_matv3!$A57,test!$A$34:$G$37, 3,FALSE)=VLOOKUP(AD$1,test!$A$3:$I$32,3,FALSE)),1,0)</f>
        <v>0</v>
      </c>
      <c r="AE57" s="2">
        <f>IF(AND(feasible_mat!AD26=1, VLOOKUP(Recharged_Feasible_matv3!$A57,test!$A$34:$G$37, 3,FALSE)=VLOOKUP(AE$1,test!$A$3:$I$32,3,FALSE)),1,0)</f>
        <v>0</v>
      </c>
      <c r="AF57" s="2">
        <f>IF(AND(feasible_mat!AE26=1, VLOOKUP(Recharged_Feasible_matv3!$A57,test!$A$34:$G$37, 3,FALSE)=VLOOKUP(AF$1,test!$A$3:$I$32,3,FALSE)),1,0)</f>
        <v>0</v>
      </c>
      <c r="AG57" s="2">
        <f>IF(AND(feasible_mat!AF26=1, VLOOKUP(Recharged_Feasible_matv3!$A57,test!$A$34:$G$37, 3,FALSE)=VLOOKUP(AG$1,test!$A$3:$I$32,3,FALSE)),1,0)</f>
        <v>0</v>
      </c>
    </row>
    <row r="58" spans="1:33" x14ac:dyDescent="0.25">
      <c r="A58" t="s">
        <v>90</v>
      </c>
      <c r="B58" t="s">
        <v>36</v>
      </c>
      <c r="C58">
        <v>0</v>
      </c>
      <c r="D58" s="2">
        <f>IF(AND(feasible_mat!C27=1, VLOOKUP(Recharged_Feasible_matv3!$A58,test!$A$34:$G$37, 3,FALSE)=VLOOKUP(D$1,test!$A$3:$I$32,3,FALSE)),1,0)</f>
        <v>0</v>
      </c>
      <c r="E58" s="2">
        <f>IF(AND(feasible_mat!D27=1, VLOOKUP(Recharged_Feasible_matv3!$A58,test!$A$34:$G$37, 3,FALSE)=VLOOKUP(E$1,test!$A$3:$I$32,3,FALSE)),1,0)</f>
        <v>0</v>
      </c>
      <c r="F58" s="2">
        <f>IF(AND(feasible_mat!E27=1, VLOOKUP(Recharged_Feasible_matv3!$A58,test!$A$34:$G$37, 3,FALSE)=VLOOKUP(F$1,test!$A$3:$I$32,3,FALSE)),1,0)</f>
        <v>0</v>
      </c>
      <c r="G58" s="2">
        <f>IF(AND(feasible_mat!F27=1, VLOOKUP(Recharged_Feasible_matv3!$A58,test!$A$34:$G$37, 3,FALSE)=VLOOKUP(G$1,test!$A$3:$I$32,3,FALSE)),1,0)</f>
        <v>0</v>
      </c>
      <c r="H58" s="2">
        <f>IF(AND(feasible_mat!G27=1, VLOOKUP(Recharged_Feasible_matv3!$A58,test!$A$34:$G$37, 3,FALSE)=VLOOKUP(H$1,test!$A$3:$I$32,3,FALSE)),1,0)</f>
        <v>0</v>
      </c>
      <c r="I58" s="2">
        <f>IF(AND(feasible_mat!H27=1, VLOOKUP(Recharged_Feasible_matv3!$A58,test!$A$34:$G$37, 3,FALSE)=VLOOKUP(I$1,test!$A$3:$I$32,3,FALSE)),1,0)</f>
        <v>1</v>
      </c>
      <c r="J58" s="2">
        <f>IF(AND(feasible_mat!I27=1, VLOOKUP(Recharged_Feasible_matv3!$A58,test!$A$34:$G$37, 3,FALSE)=VLOOKUP(J$1,test!$A$3:$I$32,3,FALSE)),1,0)</f>
        <v>1</v>
      </c>
      <c r="K58" s="2">
        <f>IF(AND(feasible_mat!J27=1, VLOOKUP(Recharged_Feasible_matv3!$A58,test!$A$34:$G$37, 3,FALSE)=VLOOKUP(K$1,test!$A$3:$I$32,3,FALSE)),1,0)</f>
        <v>1</v>
      </c>
      <c r="L58" s="2">
        <f>IF(AND(feasible_mat!K27=1, VLOOKUP(Recharged_Feasible_matv3!$A58,test!$A$34:$G$37, 3,FALSE)=VLOOKUP(L$1,test!$A$3:$I$32,3,FALSE)),1,0)</f>
        <v>0</v>
      </c>
      <c r="M58" s="2">
        <f>IF(AND(feasible_mat!L27=1, VLOOKUP(Recharged_Feasible_matv3!$A58,test!$A$34:$G$37, 3,FALSE)=VLOOKUP(M$1,test!$A$3:$I$32,3,FALSE)),1,0)</f>
        <v>0</v>
      </c>
      <c r="N58" s="2">
        <f>IF(AND(feasible_mat!M27=1, VLOOKUP(Recharged_Feasible_matv3!$A58,test!$A$34:$G$37, 3,FALSE)=VLOOKUP(N$1,test!$A$3:$I$32,3,FALSE)),1,0)</f>
        <v>0</v>
      </c>
      <c r="O58" s="2">
        <f>IF(AND(feasible_mat!N27=1, VLOOKUP(Recharged_Feasible_matv3!$A58,test!$A$34:$G$37, 3,FALSE)=VLOOKUP(O$1,test!$A$3:$I$32,3,FALSE)),1,0)</f>
        <v>1</v>
      </c>
      <c r="P58" s="2">
        <f>IF(AND(feasible_mat!O27=1, VLOOKUP(Recharged_Feasible_matv3!$A58,test!$A$34:$G$37, 3,FALSE)=VLOOKUP(P$1,test!$A$3:$I$32,3,FALSE)),1,0)</f>
        <v>1</v>
      </c>
      <c r="Q58" s="2">
        <f>IF(AND(feasible_mat!P27=1, VLOOKUP(Recharged_Feasible_matv3!$A58,test!$A$34:$G$37, 3,FALSE)=VLOOKUP(Q$1,test!$A$3:$I$32,3,FALSE)),1,0)</f>
        <v>0</v>
      </c>
      <c r="R58" s="2">
        <f>IF(AND(feasible_mat!Q27=1, VLOOKUP(Recharged_Feasible_matv3!$A58,test!$A$34:$G$37, 3,FALSE)=VLOOKUP(R$1,test!$A$3:$I$32,3,FALSE)),1,0)</f>
        <v>0</v>
      </c>
      <c r="S58" s="2">
        <f>IF(AND(feasible_mat!R27=1, VLOOKUP(Recharged_Feasible_matv3!$A58,test!$A$34:$G$37, 3,FALSE)=VLOOKUP(S$1,test!$A$3:$I$32,3,FALSE)),1,0)</f>
        <v>0</v>
      </c>
      <c r="T58" s="2">
        <f>IF(AND(feasible_mat!S27=1, VLOOKUP(Recharged_Feasible_matv3!$A58,test!$A$34:$G$37, 3,FALSE)=VLOOKUP(T$1,test!$A$3:$I$32,3,FALSE)),1,0)</f>
        <v>0</v>
      </c>
      <c r="U58" s="2">
        <f>IF(AND(feasible_mat!T27=1, VLOOKUP(Recharged_Feasible_matv3!$A58,test!$A$34:$G$37, 3,FALSE)=VLOOKUP(U$1,test!$A$3:$I$32,3,FALSE)),1,0)</f>
        <v>0</v>
      </c>
      <c r="V58" s="2">
        <f>IF(AND(feasible_mat!U27=1, VLOOKUP(Recharged_Feasible_matv3!$A58,test!$A$34:$G$37, 3,FALSE)=VLOOKUP(V$1,test!$A$3:$I$32,3,FALSE)),1,0)</f>
        <v>0</v>
      </c>
      <c r="W58" s="2">
        <f>IF(AND(feasible_mat!V27=1, VLOOKUP(Recharged_Feasible_matv3!$A58,test!$A$34:$G$37, 3,FALSE)=VLOOKUP(W$1,test!$A$3:$I$32,3,FALSE)),1,0)</f>
        <v>0</v>
      </c>
      <c r="X58" s="2">
        <f>IF(AND(feasible_mat!W27=1, VLOOKUP(Recharged_Feasible_matv3!$A58,test!$A$34:$G$37, 3,FALSE)=VLOOKUP(X$1,test!$A$3:$I$32,3,FALSE)),1,0)</f>
        <v>0</v>
      </c>
      <c r="Y58" s="2">
        <f>IF(AND(feasible_mat!X27=1, VLOOKUP(Recharged_Feasible_matv3!$A58,test!$A$34:$G$37, 3,FALSE)=VLOOKUP(Y$1,test!$A$3:$I$32,3,FALSE)),1,0)</f>
        <v>0</v>
      </c>
      <c r="Z58" s="2">
        <f>IF(AND(feasible_mat!Y27=1, VLOOKUP(Recharged_Feasible_matv3!$A58,test!$A$34:$G$37, 3,FALSE)=VLOOKUP(Z$1,test!$A$3:$I$32,3,FALSE)),1,0)</f>
        <v>0</v>
      </c>
      <c r="AA58" s="2">
        <f>IF(AND(feasible_mat!Z27=1, VLOOKUP(Recharged_Feasible_matv3!$A58,test!$A$34:$G$37, 3,FALSE)=VLOOKUP(AA$1,test!$A$3:$I$32,3,FALSE)),1,0)</f>
        <v>0</v>
      </c>
      <c r="AB58" s="2">
        <f>IF(AND(feasible_mat!AA27=1, VLOOKUP(Recharged_Feasible_matv3!$A58,test!$A$34:$G$37, 3,FALSE)=VLOOKUP(AB$1,test!$A$3:$I$32,3,FALSE)),1,0)</f>
        <v>0</v>
      </c>
      <c r="AC58" s="2">
        <f>IF(AND(feasible_mat!AB27=1, VLOOKUP(Recharged_Feasible_matv3!$A58,test!$A$34:$G$37, 3,FALSE)=VLOOKUP(AC$1,test!$A$3:$I$32,3,FALSE)),1,0)</f>
        <v>0</v>
      </c>
      <c r="AD58" s="2">
        <f>IF(AND(feasible_mat!AC27=1, VLOOKUP(Recharged_Feasible_matv3!$A58,test!$A$34:$G$37, 3,FALSE)=VLOOKUP(AD$1,test!$A$3:$I$32,3,FALSE)),1,0)</f>
        <v>0</v>
      </c>
      <c r="AE58" s="2">
        <f>IF(AND(feasible_mat!AD27=1, VLOOKUP(Recharged_Feasible_matv3!$A58,test!$A$34:$G$37, 3,FALSE)=VLOOKUP(AE$1,test!$A$3:$I$32,3,FALSE)),1,0)</f>
        <v>0</v>
      </c>
      <c r="AF58" s="2">
        <f>IF(AND(feasible_mat!AE27=1, VLOOKUP(Recharged_Feasible_matv3!$A58,test!$A$34:$G$37, 3,FALSE)=VLOOKUP(AF$1,test!$A$3:$I$32,3,FALSE)),1,0)</f>
        <v>0</v>
      </c>
      <c r="AG58" s="2">
        <f>IF(AND(feasible_mat!AF27=1, VLOOKUP(Recharged_Feasible_matv3!$A58,test!$A$34:$G$37, 3,FALSE)=VLOOKUP(AG$1,test!$A$3:$I$32,3,FALSE)),1,0)</f>
        <v>0</v>
      </c>
    </row>
    <row r="59" spans="1:33" x14ac:dyDescent="0.25">
      <c r="A59" t="s">
        <v>90</v>
      </c>
      <c r="B59" t="s">
        <v>37</v>
      </c>
      <c r="C59">
        <v>0</v>
      </c>
      <c r="D59" s="2">
        <f>IF(AND(feasible_mat!C28=1, VLOOKUP(Recharged_Feasible_matv3!$A59,test!$A$34:$G$37, 3,FALSE)=VLOOKUP(D$1,test!$A$3:$I$32,3,FALSE)),1,0)</f>
        <v>0</v>
      </c>
      <c r="E59" s="2">
        <f>IF(AND(feasible_mat!D28=1, VLOOKUP(Recharged_Feasible_matv3!$A59,test!$A$34:$G$37, 3,FALSE)=VLOOKUP(E$1,test!$A$3:$I$32,3,FALSE)),1,0)</f>
        <v>0</v>
      </c>
      <c r="F59" s="2">
        <f>IF(AND(feasible_mat!E28=1, VLOOKUP(Recharged_Feasible_matv3!$A59,test!$A$34:$G$37, 3,FALSE)=VLOOKUP(F$1,test!$A$3:$I$32,3,FALSE)),1,0)</f>
        <v>0</v>
      </c>
      <c r="G59" s="2">
        <f>IF(AND(feasible_mat!F28=1, VLOOKUP(Recharged_Feasible_matv3!$A59,test!$A$34:$G$37, 3,FALSE)=VLOOKUP(G$1,test!$A$3:$I$32,3,FALSE)),1,0)</f>
        <v>0</v>
      </c>
      <c r="H59" s="2">
        <f>IF(AND(feasible_mat!G28=1, VLOOKUP(Recharged_Feasible_matv3!$A59,test!$A$34:$G$37, 3,FALSE)=VLOOKUP(H$1,test!$A$3:$I$32,3,FALSE)),1,0)</f>
        <v>0</v>
      </c>
      <c r="I59" s="2">
        <f>IF(AND(feasible_mat!H28=1, VLOOKUP(Recharged_Feasible_matv3!$A59,test!$A$34:$G$37, 3,FALSE)=VLOOKUP(I$1,test!$A$3:$I$32,3,FALSE)),1,0)</f>
        <v>0</v>
      </c>
      <c r="J59" s="2">
        <f>IF(AND(feasible_mat!I28=1, VLOOKUP(Recharged_Feasible_matv3!$A59,test!$A$34:$G$37, 3,FALSE)=VLOOKUP(J$1,test!$A$3:$I$32,3,FALSE)),1,0)</f>
        <v>1</v>
      </c>
      <c r="K59" s="2">
        <f>IF(AND(feasible_mat!J28=1, VLOOKUP(Recharged_Feasible_matv3!$A59,test!$A$34:$G$37, 3,FALSE)=VLOOKUP(K$1,test!$A$3:$I$32,3,FALSE)),1,0)</f>
        <v>1</v>
      </c>
      <c r="L59" s="2">
        <f>IF(AND(feasible_mat!K28=1, VLOOKUP(Recharged_Feasible_matv3!$A59,test!$A$34:$G$37, 3,FALSE)=VLOOKUP(L$1,test!$A$3:$I$32,3,FALSE)),1,0)</f>
        <v>0</v>
      </c>
      <c r="M59" s="2">
        <f>IF(AND(feasible_mat!L28=1, VLOOKUP(Recharged_Feasible_matv3!$A59,test!$A$34:$G$37, 3,FALSE)=VLOOKUP(M$1,test!$A$3:$I$32,3,FALSE)),1,0)</f>
        <v>0</v>
      </c>
      <c r="N59" s="2">
        <f>IF(AND(feasible_mat!M28=1, VLOOKUP(Recharged_Feasible_matv3!$A59,test!$A$34:$G$37, 3,FALSE)=VLOOKUP(N$1,test!$A$3:$I$32,3,FALSE)),1,0)</f>
        <v>0</v>
      </c>
      <c r="O59" s="2">
        <f>IF(AND(feasible_mat!N28=1, VLOOKUP(Recharged_Feasible_matv3!$A59,test!$A$34:$G$37, 3,FALSE)=VLOOKUP(O$1,test!$A$3:$I$32,3,FALSE)),1,0)</f>
        <v>1</v>
      </c>
      <c r="P59" s="2">
        <f>IF(AND(feasible_mat!O28=1, VLOOKUP(Recharged_Feasible_matv3!$A59,test!$A$34:$G$37, 3,FALSE)=VLOOKUP(P$1,test!$A$3:$I$32,3,FALSE)),1,0)</f>
        <v>1</v>
      </c>
      <c r="Q59" s="2">
        <f>IF(AND(feasible_mat!P28=1, VLOOKUP(Recharged_Feasible_matv3!$A59,test!$A$34:$G$37, 3,FALSE)=VLOOKUP(Q$1,test!$A$3:$I$32,3,FALSE)),1,0)</f>
        <v>0</v>
      </c>
      <c r="R59" s="2">
        <f>IF(AND(feasible_mat!Q28=1, VLOOKUP(Recharged_Feasible_matv3!$A59,test!$A$34:$G$37, 3,FALSE)=VLOOKUP(R$1,test!$A$3:$I$32,3,FALSE)),1,0)</f>
        <v>0</v>
      </c>
      <c r="S59" s="2">
        <f>IF(AND(feasible_mat!R28=1, VLOOKUP(Recharged_Feasible_matv3!$A59,test!$A$34:$G$37, 3,FALSE)=VLOOKUP(S$1,test!$A$3:$I$32,3,FALSE)),1,0)</f>
        <v>0</v>
      </c>
      <c r="T59" s="2">
        <f>IF(AND(feasible_mat!S28=1, VLOOKUP(Recharged_Feasible_matv3!$A59,test!$A$34:$G$37, 3,FALSE)=VLOOKUP(T$1,test!$A$3:$I$32,3,FALSE)),1,0)</f>
        <v>0</v>
      </c>
      <c r="U59" s="2">
        <f>IF(AND(feasible_mat!T28=1, VLOOKUP(Recharged_Feasible_matv3!$A59,test!$A$34:$G$37, 3,FALSE)=VLOOKUP(U$1,test!$A$3:$I$32,3,FALSE)),1,0)</f>
        <v>0</v>
      </c>
      <c r="V59" s="2">
        <f>IF(AND(feasible_mat!U28=1, VLOOKUP(Recharged_Feasible_matv3!$A59,test!$A$34:$G$37, 3,FALSE)=VLOOKUP(V$1,test!$A$3:$I$32,3,FALSE)),1,0)</f>
        <v>0</v>
      </c>
      <c r="W59" s="2">
        <f>IF(AND(feasible_mat!V28=1, VLOOKUP(Recharged_Feasible_matv3!$A59,test!$A$34:$G$37, 3,FALSE)=VLOOKUP(W$1,test!$A$3:$I$32,3,FALSE)),1,0)</f>
        <v>0</v>
      </c>
      <c r="X59" s="2">
        <f>IF(AND(feasible_mat!W28=1, VLOOKUP(Recharged_Feasible_matv3!$A59,test!$A$34:$G$37, 3,FALSE)=VLOOKUP(X$1,test!$A$3:$I$32,3,FALSE)),1,0)</f>
        <v>0</v>
      </c>
      <c r="Y59" s="2">
        <f>IF(AND(feasible_mat!X28=1, VLOOKUP(Recharged_Feasible_matv3!$A59,test!$A$34:$G$37, 3,FALSE)=VLOOKUP(Y$1,test!$A$3:$I$32,3,FALSE)),1,0)</f>
        <v>0</v>
      </c>
      <c r="Z59" s="2">
        <f>IF(AND(feasible_mat!Y28=1, VLOOKUP(Recharged_Feasible_matv3!$A59,test!$A$34:$G$37, 3,FALSE)=VLOOKUP(Z$1,test!$A$3:$I$32,3,FALSE)),1,0)</f>
        <v>0</v>
      </c>
      <c r="AA59" s="2">
        <f>IF(AND(feasible_mat!Z28=1, VLOOKUP(Recharged_Feasible_matv3!$A59,test!$A$34:$G$37, 3,FALSE)=VLOOKUP(AA$1,test!$A$3:$I$32,3,FALSE)),1,0)</f>
        <v>0</v>
      </c>
      <c r="AB59" s="2">
        <f>IF(AND(feasible_mat!AA28=1, VLOOKUP(Recharged_Feasible_matv3!$A59,test!$A$34:$G$37, 3,FALSE)=VLOOKUP(AB$1,test!$A$3:$I$32,3,FALSE)),1,0)</f>
        <v>0</v>
      </c>
      <c r="AC59" s="2">
        <f>IF(AND(feasible_mat!AB28=1, VLOOKUP(Recharged_Feasible_matv3!$A59,test!$A$34:$G$37, 3,FALSE)=VLOOKUP(AC$1,test!$A$3:$I$32,3,FALSE)),1,0)</f>
        <v>0</v>
      </c>
      <c r="AD59" s="2">
        <f>IF(AND(feasible_mat!AC28=1, VLOOKUP(Recharged_Feasible_matv3!$A59,test!$A$34:$G$37, 3,FALSE)=VLOOKUP(AD$1,test!$A$3:$I$32,3,FALSE)),1,0)</f>
        <v>0</v>
      </c>
      <c r="AE59" s="2">
        <f>IF(AND(feasible_mat!AD28=1, VLOOKUP(Recharged_Feasible_matv3!$A59,test!$A$34:$G$37, 3,FALSE)=VLOOKUP(AE$1,test!$A$3:$I$32,3,FALSE)),1,0)</f>
        <v>0</v>
      </c>
      <c r="AF59" s="2">
        <f>IF(AND(feasible_mat!AE28=1, VLOOKUP(Recharged_Feasible_matv3!$A59,test!$A$34:$G$37, 3,FALSE)=VLOOKUP(AF$1,test!$A$3:$I$32,3,FALSE)),1,0)</f>
        <v>0</v>
      </c>
      <c r="AG59" s="2">
        <f>IF(AND(feasible_mat!AF28=1, VLOOKUP(Recharged_Feasible_matv3!$A59,test!$A$34:$G$37, 3,FALSE)=VLOOKUP(AG$1,test!$A$3:$I$32,3,FALSE)),1,0)</f>
        <v>0</v>
      </c>
    </row>
    <row r="60" spans="1:33" x14ac:dyDescent="0.25">
      <c r="A60" t="s">
        <v>90</v>
      </c>
      <c r="B60" t="s">
        <v>38</v>
      </c>
      <c r="C60">
        <v>0</v>
      </c>
      <c r="D60" s="2">
        <f>IF(AND(feasible_mat!C29=1, VLOOKUP(Recharged_Feasible_matv3!$A60,test!$A$34:$G$37, 3,FALSE)=VLOOKUP(D$1,test!$A$3:$I$32,3,FALSE)),1,0)</f>
        <v>0</v>
      </c>
      <c r="E60" s="2">
        <f>IF(AND(feasible_mat!D29=1, VLOOKUP(Recharged_Feasible_matv3!$A60,test!$A$34:$G$37, 3,FALSE)=VLOOKUP(E$1,test!$A$3:$I$32,3,FALSE)),1,0)</f>
        <v>0</v>
      </c>
      <c r="F60" s="2">
        <f>IF(AND(feasible_mat!E29=1, VLOOKUP(Recharged_Feasible_matv3!$A60,test!$A$34:$G$37, 3,FALSE)=VLOOKUP(F$1,test!$A$3:$I$32,3,FALSE)),1,0)</f>
        <v>0</v>
      </c>
      <c r="G60" s="2">
        <f>IF(AND(feasible_mat!F29=1, VLOOKUP(Recharged_Feasible_matv3!$A60,test!$A$34:$G$37, 3,FALSE)=VLOOKUP(G$1,test!$A$3:$I$32,3,FALSE)),1,0)</f>
        <v>0</v>
      </c>
      <c r="H60" s="2">
        <f>IF(AND(feasible_mat!G29=1, VLOOKUP(Recharged_Feasible_matv3!$A60,test!$A$34:$G$37, 3,FALSE)=VLOOKUP(H$1,test!$A$3:$I$32,3,FALSE)),1,0)</f>
        <v>0</v>
      </c>
      <c r="I60" s="2">
        <f>IF(AND(feasible_mat!H29=1, VLOOKUP(Recharged_Feasible_matv3!$A60,test!$A$34:$G$37, 3,FALSE)=VLOOKUP(I$1,test!$A$3:$I$32,3,FALSE)),1,0)</f>
        <v>0</v>
      </c>
      <c r="J60" s="2">
        <f>IF(AND(feasible_mat!I29=1, VLOOKUP(Recharged_Feasible_matv3!$A60,test!$A$34:$G$37, 3,FALSE)=VLOOKUP(J$1,test!$A$3:$I$32,3,FALSE)),1,0)</f>
        <v>0</v>
      </c>
      <c r="K60" s="2">
        <f>IF(AND(feasible_mat!J29=1, VLOOKUP(Recharged_Feasible_matv3!$A60,test!$A$34:$G$37, 3,FALSE)=VLOOKUP(K$1,test!$A$3:$I$32,3,FALSE)),1,0)</f>
        <v>0</v>
      </c>
      <c r="L60" s="2">
        <f>IF(AND(feasible_mat!K29=1, VLOOKUP(Recharged_Feasible_matv3!$A60,test!$A$34:$G$37, 3,FALSE)=VLOOKUP(L$1,test!$A$3:$I$32,3,FALSE)),1,0)</f>
        <v>0</v>
      </c>
      <c r="M60" s="2">
        <f>IF(AND(feasible_mat!L29=1, VLOOKUP(Recharged_Feasible_matv3!$A60,test!$A$34:$G$37, 3,FALSE)=VLOOKUP(M$1,test!$A$3:$I$32,3,FALSE)),1,0)</f>
        <v>0</v>
      </c>
      <c r="N60" s="2">
        <f>IF(AND(feasible_mat!M29=1, VLOOKUP(Recharged_Feasible_matv3!$A60,test!$A$34:$G$37, 3,FALSE)=VLOOKUP(N$1,test!$A$3:$I$32,3,FALSE)),1,0)</f>
        <v>0</v>
      </c>
      <c r="O60" s="2">
        <f>IF(AND(feasible_mat!N29=1, VLOOKUP(Recharged_Feasible_matv3!$A60,test!$A$34:$G$37, 3,FALSE)=VLOOKUP(O$1,test!$A$3:$I$32,3,FALSE)),1,0)</f>
        <v>0</v>
      </c>
      <c r="P60" s="2">
        <f>IF(AND(feasible_mat!O29=1, VLOOKUP(Recharged_Feasible_matv3!$A60,test!$A$34:$G$37, 3,FALSE)=VLOOKUP(P$1,test!$A$3:$I$32,3,FALSE)),1,0)</f>
        <v>1</v>
      </c>
      <c r="Q60" s="2">
        <f>IF(AND(feasible_mat!P29=1, VLOOKUP(Recharged_Feasible_matv3!$A60,test!$A$34:$G$37, 3,FALSE)=VLOOKUP(Q$1,test!$A$3:$I$32,3,FALSE)),1,0)</f>
        <v>0</v>
      </c>
      <c r="R60" s="2">
        <f>IF(AND(feasible_mat!Q29=1, VLOOKUP(Recharged_Feasible_matv3!$A60,test!$A$34:$G$37, 3,FALSE)=VLOOKUP(R$1,test!$A$3:$I$32,3,FALSE)),1,0)</f>
        <v>0</v>
      </c>
      <c r="S60" s="2">
        <f>IF(AND(feasible_mat!R29=1, VLOOKUP(Recharged_Feasible_matv3!$A60,test!$A$34:$G$37, 3,FALSE)=VLOOKUP(S$1,test!$A$3:$I$32,3,FALSE)),1,0)</f>
        <v>0</v>
      </c>
      <c r="T60" s="2">
        <f>IF(AND(feasible_mat!S29=1, VLOOKUP(Recharged_Feasible_matv3!$A60,test!$A$34:$G$37, 3,FALSE)=VLOOKUP(T$1,test!$A$3:$I$32,3,FALSE)),1,0)</f>
        <v>0</v>
      </c>
      <c r="U60" s="2">
        <f>IF(AND(feasible_mat!T29=1, VLOOKUP(Recharged_Feasible_matv3!$A60,test!$A$34:$G$37, 3,FALSE)=VLOOKUP(U$1,test!$A$3:$I$32,3,FALSE)),1,0)</f>
        <v>0</v>
      </c>
      <c r="V60" s="2">
        <f>IF(AND(feasible_mat!U29=1, VLOOKUP(Recharged_Feasible_matv3!$A60,test!$A$34:$G$37, 3,FALSE)=VLOOKUP(V$1,test!$A$3:$I$32,3,FALSE)),1,0)</f>
        <v>0</v>
      </c>
      <c r="W60" s="2">
        <f>IF(AND(feasible_mat!V29=1, VLOOKUP(Recharged_Feasible_matv3!$A60,test!$A$34:$G$37, 3,FALSE)=VLOOKUP(W$1,test!$A$3:$I$32,3,FALSE)),1,0)</f>
        <v>0</v>
      </c>
      <c r="X60" s="2">
        <f>IF(AND(feasible_mat!W29=1, VLOOKUP(Recharged_Feasible_matv3!$A60,test!$A$34:$G$37, 3,FALSE)=VLOOKUP(X$1,test!$A$3:$I$32,3,FALSE)),1,0)</f>
        <v>0</v>
      </c>
      <c r="Y60" s="2">
        <f>IF(AND(feasible_mat!X29=1, VLOOKUP(Recharged_Feasible_matv3!$A60,test!$A$34:$G$37, 3,FALSE)=VLOOKUP(Y$1,test!$A$3:$I$32,3,FALSE)),1,0)</f>
        <v>0</v>
      </c>
      <c r="Z60" s="2">
        <f>IF(AND(feasible_mat!Y29=1, VLOOKUP(Recharged_Feasible_matv3!$A60,test!$A$34:$G$37, 3,FALSE)=VLOOKUP(Z$1,test!$A$3:$I$32,3,FALSE)),1,0)</f>
        <v>0</v>
      </c>
      <c r="AA60" s="2">
        <f>IF(AND(feasible_mat!Z29=1, VLOOKUP(Recharged_Feasible_matv3!$A60,test!$A$34:$G$37, 3,FALSE)=VLOOKUP(AA$1,test!$A$3:$I$32,3,FALSE)),1,0)</f>
        <v>0</v>
      </c>
      <c r="AB60" s="2">
        <f>IF(AND(feasible_mat!AA29=1, VLOOKUP(Recharged_Feasible_matv3!$A60,test!$A$34:$G$37, 3,FALSE)=VLOOKUP(AB$1,test!$A$3:$I$32,3,FALSE)),1,0)</f>
        <v>0</v>
      </c>
      <c r="AC60" s="2">
        <f>IF(AND(feasible_mat!AB29=1, VLOOKUP(Recharged_Feasible_matv3!$A60,test!$A$34:$G$37, 3,FALSE)=VLOOKUP(AC$1,test!$A$3:$I$32,3,FALSE)),1,0)</f>
        <v>0</v>
      </c>
      <c r="AD60" s="2">
        <f>IF(AND(feasible_mat!AC29=1, VLOOKUP(Recharged_Feasible_matv3!$A60,test!$A$34:$G$37, 3,FALSE)=VLOOKUP(AD$1,test!$A$3:$I$32,3,FALSE)),1,0)</f>
        <v>0</v>
      </c>
      <c r="AE60" s="2">
        <f>IF(AND(feasible_mat!AD29=1, VLOOKUP(Recharged_Feasible_matv3!$A60,test!$A$34:$G$37, 3,FALSE)=VLOOKUP(AE$1,test!$A$3:$I$32,3,FALSE)),1,0)</f>
        <v>0</v>
      </c>
      <c r="AF60" s="2">
        <f>IF(AND(feasible_mat!AE29=1, VLOOKUP(Recharged_Feasible_matv3!$A60,test!$A$34:$G$37, 3,FALSE)=VLOOKUP(AF$1,test!$A$3:$I$32,3,FALSE)),1,0)</f>
        <v>0</v>
      </c>
      <c r="AG60" s="2">
        <f>IF(AND(feasible_mat!AF29=1, VLOOKUP(Recharged_Feasible_matv3!$A60,test!$A$34:$G$37, 3,FALSE)=VLOOKUP(AG$1,test!$A$3:$I$32,3,FALSE)),1,0)</f>
        <v>0</v>
      </c>
    </row>
    <row r="61" spans="1:33" x14ac:dyDescent="0.25">
      <c r="A61" t="s">
        <v>90</v>
      </c>
      <c r="B61" t="s">
        <v>39</v>
      </c>
      <c r="C61">
        <v>0</v>
      </c>
      <c r="D61" s="2">
        <f>IF(AND(feasible_mat!C30=1, VLOOKUP(Recharged_Feasible_matv3!$A61,test!$A$34:$G$37, 3,FALSE)=VLOOKUP(D$1,test!$A$3:$I$32,3,FALSE)),1,0)</f>
        <v>0</v>
      </c>
      <c r="E61" s="2">
        <f>IF(AND(feasible_mat!D30=1, VLOOKUP(Recharged_Feasible_matv3!$A61,test!$A$34:$G$37, 3,FALSE)=VLOOKUP(E$1,test!$A$3:$I$32,3,FALSE)),1,0)</f>
        <v>1</v>
      </c>
      <c r="F61" s="2">
        <f>IF(AND(feasible_mat!E30=1, VLOOKUP(Recharged_Feasible_matv3!$A61,test!$A$34:$G$37, 3,FALSE)=VLOOKUP(F$1,test!$A$3:$I$32,3,FALSE)),1,0)</f>
        <v>1</v>
      </c>
      <c r="G61" s="2">
        <f>IF(AND(feasible_mat!F30=1, VLOOKUP(Recharged_Feasible_matv3!$A61,test!$A$34:$G$37, 3,FALSE)=VLOOKUP(G$1,test!$A$3:$I$32,3,FALSE)),1,0)</f>
        <v>1</v>
      </c>
      <c r="H61" s="2">
        <f>IF(AND(feasible_mat!G30=1, VLOOKUP(Recharged_Feasible_matv3!$A61,test!$A$34:$G$37, 3,FALSE)=VLOOKUP(H$1,test!$A$3:$I$32,3,FALSE)),1,0)</f>
        <v>1</v>
      </c>
      <c r="I61" s="2">
        <f>IF(AND(feasible_mat!H30=1, VLOOKUP(Recharged_Feasible_matv3!$A61,test!$A$34:$G$37, 3,FALSE)=VLOOKUP(I$1,test!$A$3:$I$32,3,FALSE)),1,0)</f>
        <v>1</v>
      </c>
      <c r="J61" s="2">
        <f>IF(AND(feasible_mat!I30=1, VLOOKUP(Recharged_Feasible_matv3!$A61,test!$A$34:$G$37, 3,FALSE)=VLOOKUP(J$1,test!$A$3:$I$32,3,FALSE)),1,0)</f>
        <v>1</v>
      </c>
      <c r="K61" s="2">
        <f>IF(AND(feasible_mat!J30=1, VLOOKUP(Recharged_Feasible_matv3!$A61,test!$A$34:$G$37, 3,FALSE)=VLOOKUP(K$1,test!$A$3:$I$32,3,FALSE)),1,0)</f>
        <v>1</v>
      </c>
      <c r="L61" s="2">
        <f>IF(AND(feasible_mat!K30=1, VLOOKUP(Recharged_Feasible_matv3!$A61,test!$A$34:$G$37, 3,FALSE)=VLOOKUP(L$1,test!$A$3:$I$32,3,FALSE)),1,0)</f>
        <v>0</v>
      </c>
      <c r="M61" s="2">
        <f>IF(AND(feasible_mat!L30=1, VLOOKUP(Recharged_Feasible_matv3!$A61,test!$A$34:$G$37, 3,FALSE)=VLOOKUP(M$1,test!$A$3:$I$32,3,FALSE)),1,0)</f>
        <v>0</v>
      </c>
      <c r="N61" s="2">
        <f>IF(AND(feasible_mat!M30=1, VLOOKUP(Recharged_Feasible_matv3!$A61,test!$A$34:$G$37, 3,FALSE)=VLOOKUP(N$1,test!$A$3:$I$32,3,FALSE)),1,0)</f>
        <v>1</v>
      </c>
      <c r="O61" s="2">
        <f>IF(AND(feasible_mat!N30=1, VLOOKUP(Recharged_Feasible_matv3!$A61,test!$A$34:$G$37, 3,FALSE)=VLOOKUP(O$1,test!$A$3:$I$32,3,FALSE)),1,0)</f>
        <v>1</v>
      </c>
      <c r="P61" s="2">
        <f>IF(AND(feasible_mat!O30=1, VLOOKUP(Recharged_Feasible_matv3!$A61,test!$A$34:$G$37, 3,FALSE)=VLOOKUP(P$1,test!$A$3:$I$32,3,FALSE)),1,0)</f>
        <v>1</v>
      </c>
      <c r="Q61" s="2">
        <f>IF(AND(feasible_mat!P30=1, VLOOKUP(Recharged_Feasible_matv3!$A61,test!$A$34:$G$37, 3,FALSE)=VLOOKUP(Q$1,test!$A$3:$I$32,3,FALSE)),1,0)</f>
        <v>0</v>
      </c>
      <c r="R61" s="2">
        <f>IF(AND(feasible_mat!Q30=1, VLOOKUP(Recharged_Feasible_matv3!$A61,test!$A$34:$G$37, 3,FALSE)=VLOOKUP(R$1,test!$A$3:$I$32,3,FALSE)),1,0)</f>
        <v>0</v>
      </c>
      <c r="S61" s="2">
        <f>IF(AND(feasible_mat!R30=1, VLOOKUP(Recharged_Feasible_matv3!$A61,test!$A$34:$G$37, 3,FALSE)=VLOOKUP(S$1,test!$A$3:$I$32,3,FALSE)),1,0)</f>
        <v>0</v>
      </c>
      <c r="T61" s="2">
        <f>IF(AND(feasible_mat!S30=1, VLOOKUP(Recharged_Feasible_matv3!$A61,test!$A$34:$G$37, 3,FALSE)=VLOOKUP(T$1,test!$A$3:$I$32,3,FALSE)),1,0)</f>
        <v>0</v>
      </c>
      <c r="U61" s="2">
        <f>IF(AND(feasible_mat!T30=1, VLOOKUP(Recharged_Feasible_matv3!$A61,test!$A$34:$G$37, 3,FALSE)=VLOOKUP(U$1,test!$A$3:$I$32,3,FALSE)),1,0)</f>
        <v>0</v>
      </c>
      <c r="V61" s="2">
        <f>IF(AND(feasible_mat!U30=1, VLOOKUP(Recharged_Feasible_matv3!$A61,test!$A$34:$G$37, 3,FALSE)=VLOOKUP(V$1,test!$A$3:$I$32,3,FALSE)),1,0)</f>
        <v>0</v>
      </c>
      <c r="W61" s="2">
        <f>IF(AND(feasible_mat!V30=1, VLOOKUP(Recharged_Feasible_matv3!$A61,test!$A$34:$G$37, 3,FALSE)=VLOOKUP(W$1,test!$A$3:$I$32,3,FALSE)),1,0)</f>
        <v>0</v>
      </c>
      <c r="X61" s="2">
        <f>IF(AND(feasible_mat!W30=1, VLOOKUP(Recharged_Feasible_matv3!$A61,test!$A$34:$G$37, 3,FALSE)=VLOOKUP(X$1,test!$A$3:$I$32,3,FALSE)),1,0)</f>
        <v>0</v>
      </c>
      <c r="Y61" s="2">
        <f>IF(AND(feasible_mat!X30=1, VLOOKUP(Recharged_Feasible_matv3!$A61,test!$A$34:$G$37, 3,FALSE)=VLOOKUP(Y$1,test!$A$3:$I$32,3,FALSE)),1,0)</f>
        <v>0</v>
      </c>
      <c r="Z61" s="2">
        <f>IF(AND(feasible_mat!Y30=1, VLOOKUP(Recharged_Feasible_matv3!$A61,test!$A$34:$G$37, 3,FALSE)=VLOOKUP(Z$1,test!$A$3:$I$32,3,FALSE)),1,0)</f>
        <v>0</v>
      </c>
      <c r="AA61" s="2">
        <f>IF(AND(feasible_mat!Z30=1, VLOOKUP(Recharged_Feasible_matv3!$A61,test!$A$34:$G$37, 3,FALSE)=VLOOKUP(AA$1,test!$A$3:$I$32,3,FALSE)),1,0)</f>
        <v>0</v>
      </c>
      <c r="AB61" s="2">
        <f>IF(AND(feasible_mat!AA30=1, VLOOKUP(Recharged_Feasible_matv3!$A61,test!$A$34:$G$37, 3,FALSE)=VLOOKUP(AB$1,test!$A$3:$I$32,3,FALSE)),1,0)</f>
        <v>0</v>
      </c>
      <c r="AC61" s="2">
        <f>IF(AND(feasible_mat!AB30=1, VLOOKUP(Recharged_Feasible_matv3!$A61,test!$A$34:$G$37, 3,FALSE)=VLOOKUP(AC$1,test!$A$3:$I$32,3,FALSE)),1,0)</f>
        <v>0</v>
      </c>
      <c r="AD61" s="2">
        <f>IF(AND(feasible_mat!AC30=1, VLOOKUP(Recharged_Feasible_matv3!$A61,test!$A$34:$G$37, 3,FALSE)=VLOOKUP(AD$1,test!$A$3:$I$32,3,FALSE)),1,0)</f>
        <v>0</v>
      </c>
      <c r="AE61" s="2">
        <f>IF(AND(feasible_mat!AD30=1, VLOOKUP(Recharged_Feasible_matv3!$A61,test!$A$34:$G$37, 3,FALSE)=VLOOKUP(AE$1,test!$A$3:$I$32,3,FALSE)),1,0)</f>
        <v>0</v>
      </c>
      <c r="AF61" s="2">
        <f>IF(AND(feasible_mat!AE30=1, VLOOKUP(Recharged_Feasible_matv3!$A61,test!$A$34:$G$37, 3,FALSE)=VLOOKUP(AF$1,test!$A$3:$I$32,3,FALSE)),1,0)</f>
        <v>0</v>
      </c>
      <c r="AG61" s="2">
        <f>IF(AND(feasible_mat!AF30=1, VLOOKUP(Recharged_Feasible_matv3!$A61,test!$A$34:$G$37, 3,FALSE)=VLOOKUP(AG$1,test!$A$3:$I$32,3,FALSE)),1,0)</f>
        <v>0</v>
      </c>
    </row>
    <row r="62" spans="1:33" x14ac:dyDescent="0.25">
      <c r="A62" t="s">
        <v>90</v>
      </c>
      <c r="B62" t="s">
        <v>40</v>
      </c>
      <c r="C62">
        <v>0</v>
      </c>
      <c r="D62" s="2">
        <f>IF(AND(feasible_mat!C31=1, VLOOKUP(Recharged_Feasible_matv3!$A62,test!$A$34:$G$37, 3,FALSE)=VLOOKUP(D$1,test!$A$3:$I$32,3,FALSE)),1,0)</f>
        <v>0</v>
      </c>
      <c r="E62" s="2">
        <f>IF(AND(feasible_mat!D31=1, VLOOKUP(Recharged_Feasible_matv3!$A62,test!$A$34:$G$37, 3,FALSE)=VLOOKUP(E$1,test!$A$3:$I$32,3,FALSE)),1,0)</f>
        <v>0</v>
      </c>
      <c r="F62" s="2">
        <f>IF(AND(feasible_mat!E31=1, VLOOKUP(Recharged_Feasible_matv3!$A62,test!$A$34:$G$37, 3,FALSE)=VLOOKUP(F$1,test!$A$3:$I$32,3,FALSE)),1,0)</f>
        <v>0</v>
      </c>
      <c r="G62" s="2">
        <f>IF(AND(feasible_mat!F31=1, VLOOKUP(Recharged_Feasible_matv3!$A62,test!$A$34:$G$37, 3,FALSE)=VLOOKUP(G$1,test!$A$3:$I$32,3,FALSE)),1,0)</f>
        <v>0</v>
      </c>
      <c r="H62" s="2">
        <f>IF(AND(feasible_mat!G31=1, VLOOKUP(Recharged_Feasible_matv3!$A62,test!$A$34:$G$37, 3,FALSE)=VLOOKUP(H$1,test!$A$3:$I$32,3,FALSE)),1,0)</f>
        <v>0</v>
      </c>
      <c r="I62" s="2">
        <f>IF(AND(feasible_mat!H31=1, VLOOKUP(Recharged_Feasible_matv3!$A62,test!$A$34:$G$37, 3,FALSE)=VLOOKUP(I$1,test!$A$3:$I$32,3,FALSE)),1,0)</f>
        <v>0</v>
      </c>
      <c r="J62" s="2">
        <f>IF(AND(feasible_mat!I31=1, VLOOKUP(Recharged_Feasible_matv3!$A62,test!$A$34:$G$37, 3,FALSE)=VLOOKUP(J$1,test!$A$3:$I$32,3,FALSE)),1,0)</f>
        <v>1</v>
      </c>
      <c r="K62" s="2">
        <f>IF(AND(feasible_mat!J31=1, VLOOKUP(Recharged_Feasible_matv3!$A62,test!$A$34:$G$37, 3,FALSE)=VLOOKUP(K$1,test!$A$3:$I$32,3,FALSE)),1,0)</f>
        <v>1</v>
      </c>
      <c r="L62" s="2">
        <f>IF(AND(feasible_mat!K31=1, VLOOKUP(Recharged_Feasible_matv3!$A62,test!$A$34:$G$37, 3,FALSE)=VLOOKUP(L$1,test!$A$3:$I$32,3,FALSE)),1,0)</f>
        <v>0</v>
      </c>
      <c r="M62" s="2">
        <f>IF(AND(feasible_mat!L31=1, VLOOKUP(Recharged_Feasible_matv3!$A62,test!$A$34:$G$37, 3,FALSE)=VLOOKUP(M$1,test!$A$3:$I$32,3,FALSE)),1,0)</f>
        <v>0</v>
      </c>
      <c r="N62" s="2">
        <f>IF(AND(feasible_mat!M31=1, VLOOKUP(Recharged_Feasible_matv3!$A62,test!$A$34:$G$37, 3,FALSE)=VLOOKUP(N$1,test!$A$3:$I$32,3,FALSE)),1,0)</f>
        <v>0</v>
      </c>
      <c r="O62" s="2">
        <f>IF(AND(feasible_mat!N31=1, VLOOKUP(Recharged_Feasible_matv3!$A62,test!$A$34:$G$37, 3,FALSE)=VLOOKUP(O$1,test!$A$3:$I$32,3,FALSE)),1,0)</f>
        <v>1</v>
      </c>
      <c r="P62" s="2">
        <f>IF(AND(feasible_mat!O31=1, VLOOKUP(Recharged_Feasible_matv3!$A62,test!$A$34:$G$37, 3,FALSE)=VLOOKUP(P$1,test!$A$3:$I$32,3,FALSE)),1,0)</f>
        <v>1</v>
      </c>
      <c r="Q62" s="2">
        <f>IF(AND(feasible_mat!P31=1, VLOOKUP(Recharged_Feasible_matv3!$A62,test!$A$34:$G$37, 3,FALSE)=VLOOKUP(Q$1,test!$A$3:$I$32,3,FALSE)),1,0)</f>
        <v>0</v>
      </c>
      <c r="R62" s="2">
        <f>IF(AND(feasible_mat!Q31=1, VLOOKUP(Recharged_Feasible_matv3!$A62,test!$A$34:$G$37, 3,FALSE)=VLOOKUP(R$1,test!$A$3:$I$32,3,FALSE)),1,0)</f>
        <v>0</v>
      </c>
      <c r="S62" s="2">
        <f>IF(AND(feasible_mat!R31=1, VLOOKUP(Recharged_Feasible_matv3!$A62,test!$A$34:$G$37, 3,FALSE)=VLOOKUP(S$1,test!$A$3:$I$32,3,FALSE)),1,0)</f>
        <v>0</v>
      </c>
      <c r="T62" s="2">
        <f>IF(AND(feasible_mat!S31=1, VLOOKUP(Recharged_Feasible_matv3!$A62,test!$A$34:$G$37, 3,FALSE)=VLOOKUP(T$1,test!$A$3:$I$32,3,FALSE)),1,0)</f>
        <v>0</v>
      </c>
      <c r="U62" s="2">
        <f>IF(AND(feasible_mat!T31=1, VLOOKUP(Recharged_Feasible_matv3!$A62,test!$A$34:$G$37, 3,FALSE)=VLOOKUP(U$1,test!$A$3:$I$32,3,FALSE)),1,0)</f>
        <v>0</v>
      </c>
      <c r="V62" s="2">
        <f>IF(AND(feasible_mat!U31=1, VLOOKUP(Recharged_Feasible_matv3!$A62,test!$A$34:$G$37, 3,FALSE)=VLOOKUP(V$1,test!$A$3:$I$32,3,FALSE)),1,0)</f>
        <v>0</v>
      </c>
      <c r="W62" s="2">
        <f>IF(AND(feasible_mat!V31=1, VLOOKUP(Recharged_Feasible_matv3!$A62,test!$A$34:$G$37, 3,FALSE)=VLOOKUP(W$1,test!$A$3:$I$32,3,FALSE)),1,0)</f>
        <v>0</v>
      </c>
      <c r="X62" s="2">
        <f>IF(AND(feasible_mat!W31=1, VLOOKUP(Recharged_Feasible_matv3!$A62,test!$A$34:$G$37, 3,FALSE)=VLOOKUP(X$1,test!$A$3:$I$32,3,FALSE)),1,0)</f>
        <v>0</v>
      </c>
      <c r="Y62" s="2">
        <f>IF(AND(feasible_mat!X31=1, VLOOKUP(Recharged_Feasible_matv3!$A62,test!$A$34:$G$37, 3,FALSE)=VLOOKUP(Y$1,test!$A$3:$I$32,3,FALSE)),1,0)</f>
        <v>0</v>
      </c>
      <c r="Z62" s="2">
        <f>IF(AND(feasible_mat!Y31=1, VLOOKUP(Recharged_Feasible_matv3!$A62,test!$A$34:$G$37, 3,FALSE)=VLOOKUP(Z$1,test!$A$3:$I$32,3,FALSE)),1,0)</f>
        <v>0</v>
      </c>
      <c r="AA62" s="2">
        <f>IF(AND(feasible_mat!Z31=1, VLOOKUP(Recharged_Feasible_matv3!$A62,test!$A$34:$G$37, 3,FALSE)=VLOOKUP(AA$1,test!$A$3:$I$32,3,FALSE)),1,0)</f>
        <v>0</v>
      </c>
      <c r="AB62" s="2">
        <f>IF(AND(feasible_mat!AA31=1, VLOOKUP(Recharged_Feasible_matv3!$A62,test!$A$34:$G$37, 3,FALSE)=VLOOKUP(AB$1,test!$A$3:$I$32,3,FALSE)),1,0)</f>
        <v>0</v>
      </c>
      <c r="AC62" s="2">
        <f>IF(AND(feasible_mat!AB31=1, VLOOKUP(Recharged_Feasible_matv3!$A62,test!$A$34:$G$37, 3,FALSE)=VLOOKUP(AC$1,test!$A$3:$I$32,3,FALSE)),1,0)</f>
        <v>0</v>
      </c>
      <c r="AD62" s="2">
        <f>IF(AND(feasible_mat!AC31=1, VLOOKUP(Recharged_Feasible_matv3!$A62,test!$A$34:$G$37, 3,FALSE)=VLOOKUP(AD$1,test!$A$3:$I$32,3,FALSE)),1,0)</f>
        <v>0</v>
      </c>
      <c r="AE62" s="2">
        <f>IF(AND(feasible_mat!AD31=1, VLOOKUP(Recharged_Feasible_matv3!$A62,test!$A$34:$G$37, 3,FALSE)=VLOOKUP(AE$1,test!$A$3:$I$32,3,FALSE)),1,0)</f>
        <v>0</v>
      </c>
      <c r="AF62" s="2">
        <f>IF(AND(feasible_mat!AE31=1, VLOOKUP(Recharged_Feasible_matv3!$A62,test!$A$34:$G$37, 3,FALSE)=VLOOKUP(AF$1,test!$A$3:$I$32,3,FALSE)),1,0)</f>
        <v>0</v>
      </c>
      <c r="AG62" s="2">
        <f>IF(AND(feasible_mat!AF31=1, VLOOKUP(Recharged_Feasible_matv3!$A62,test!$A$34:$G$37, 3,FALSE)=VLOOKUP(AG$1,test!$A$3:$I$32,3,FALSE)),1,0)</f>
        <v>0</v>
      </c>
    </row>
    <row r="63" spans="1:33" x14ac:dyDescent="0.25">
      <c r="A63" t="s">
        <v>90</v>
      </c>
      <c r="B63" t="s">
        <v>41</v>
      </c>
      <c r="C63">
        <v>0</v>
      </c>
      <c r="D63" s="2">
        <f>IF(AND(feasible_mat!C32=1, VLOOKUP(Recharged_Feasible_matv3!$A63,test!$A$34:$G$37, 3,FALSE)=VLOOKUP(D$1,test!$A$3:$I$32,3,FALSE)),1,0)</f>
        <v>0</v>
      </c>
      <c r="E63" s="2">
        <f>IF(AND(feasible_mat!D32=1, VLOOKUP(Recharged_Feasible_matv3!$A63,test!$A$34:$G$37, 3,FALSE)=VLOOKUP(E$1,test!$A$3:$I$32,3,FALSE)),1,0)</f>
        <v>0</v>
      </c>
      <c r="F63" s="2">
        <f>IF(AND(feasible_mat!E32=1, VLOOKUP(Recharged_Feasible_matv3!$A63,test!$A$34:$G$37, 3,FALSE)=VLOOKUP(F$1,test!$A$3:$I$32,3,FALSE)),1,0)</f>
        <v>0</v>
      </c>
      <c r="G63" s="2">
        <f>IF(AND(feasible_mat!F32=1, VLOOKUP(Recharged_Feasible_matv3!$A63,test!$A$34:$G$37, 3,FALSE)=VLOOKUP(G$1,test!$A$3:$I$32,3,FALSE)),1,0)</f>
        <v>0</v>
      </c>
      <c r="H63" s="2">
        <f>IF(AND(feasible_mat!G32=1, VLOOKUP(Recharged_Feasible_matv3!$A63,test!$A$34:$G$37, 3,FALSE)=VLOOKUP(H$1,test!$A$3:$I$32,3,FALSE)),1,0)</f>
        <v>0</v>
      </c>
      <c r="I63" s="2">
        <f>IF(AND(feasible_mat!H32=1, VLOOKUP(Recharged_Feasible_matv3!$A63,test!$A$34:$G$37, 3,FALSE)=VLOOKUP(I$1,test!$A$3:$I$32,3,FALSE)),1,0)</f>
        <v>0</v>
      </c>
      <c r="J63" s="2">
        <f>IF(AND(feasible_mat!I32=1, VLOOKUP(Recharged_Feasible_matv3!$A63,test!$A$34:$G$37, 3,FALSE)=VLOOKUP(J$1,test!$A$3:$I$32,3,FALSE)),1,0)</f>
        <v>1</v>
      </c>
      <c r="K63" s="2">
        <f>IF(AND(feasible_mat!J32=1, VLOOKUP(Recharged_Feasible_matv3!$A63,test!$A$34:$G$37, 3,FALSE)=VLOOKUP(K$1,test!$A$3:$I$32,3,FALSE)),1,0)</f>
        <v>1</v>
      </c>
      <c r="L63" s="2">
        <f>IF(AND(feasible_mat!K32=1, VLOOKUP(Recharged_Feasible_matv3!$A63,test!$A$34:$G$37, 3,FALSE)=VLOOKUP(L$1,test!$A$3:$I$32,3,FALSE)),1,0)</f>
        <v>0</v>
      </c>
      <c r="M63" s="2">
        <f>IF(AND(feasible_mat!L32=1, VLOOKUP(Recharged_Feasible_matv3!$A63,test!$A$34:$G$37, 3,FALSE)=VLOOKUP(M$1,test!$A$3:$I$32,3,FALSE)),1,0)</f>
        <v>0</v>
      </c>
      <c r="N63" s="2">
        <f>IF(AND(feasible_mat!M32=1, VLOOKUP(Recharged_Feasible_matv3!$A63,test!$A$34:$G$37, 3,FALSE)=VLOOKUP(N$1,test!$A$3:$I$32,3,FALSE)),1,0)</f>
        <v>0</v>
      </c>
      <c r="O63" s="2">
        <f>IF(AND(feasible_mat!N32=1, VLOOKUP(Recharged_Feasible_matv3!$A63,test!$A$34:$G$37, 3,FALSE)=VLOOKUP(O$1,test!$A$3:$I$32,3,FALSE)),1,0)</f>
        <v>1</v>
      </c>
      <c r="P63" s="2">
        <f>IF(AND(feasible_mat!O32=1, VLOOKUP(Recharged_Feasible_matv3!$A63,test!$A$34:$G$37, 3,FALSE)=VLOOKUP(P$1,test!$A$3:$I$32,3,FALSE)),1,0)</f>
        <v>1</v>
      </c>
      <c r="Q63" s="2">
        <f>IF(AND(feasible_mat!P32=1, VLOOKUP(Recharged_Feasible_matv3!$A63,test!$A$34:$G$37, 3,FALSE)=VLOOKUP(Q$1,test!$A$3:$I$32,3,FALSE)),1,0)</f>
        <v>0</v>
      </c>
      <c r="R63" s="2">
        <f>IF(AND(feasible_mat!Q32=1, VLOOKUP(Recharged_Feasible_matv3!$A63,test!$A$34:$G$37, 3,FALSE)=VLOOKUP(R$1,test!$A$3:$I$32,3,FALSE)),1,0)</f>
        <v>0</v>
      </c>
      <c r="S63" s="2">
        <f>IF(AND(feasible_mat!R32=1, VLOOKUP(Recharged_Feasible_matv3!$A63,test!$A$34:$G$37, 3,FALSE)=VLOOKUP(S$1,test!$A$3:$I$32,3,FALSE)),1,0)</f>
        <v>0</v>
      </c>
      <c r="T63" s="2">
        <f>IF(AND(feasible_mat!S32=1, VLOOKUP(Recharged_Feasible_matv3!$A63,test!$A$34:$G$37, 3,FALSE)=VLOOKUP(T$1,test!$A$3:$I$32,3,FALSE)),1,0)</f>
        <v>0</v>
      </c>
      <c r="U63" s="2">
        <f>IF(AND(feasible_mat!T32=1, VLOOKUP(Recharged_Feasible_matv3!$A63,test!$A$34:$G$37, 3,FALSE)=VLOOKUP(U$1,test!$A$3:$I$32,3,FALSE)),1,0)</f>
        <v>0</v>
      </c>
      <c r="V63" s="2">
        <f>IF(AND(feasible_mat!U32=1, VLOOKUP(Recharged_Feasible_matv3!$A63,test!$A$34:$G$37, 3,FALSE)=VLOOKUP(V$1,test!$A$3:$I$32,3,FALSE)),1,0)</f>
        <v>0</v>
      </c>
      <c r="W63" s="2">
        <f>IF(AND(feasible_mat!V32=1, VLOOKUP(Recharged_Feasible_matv3!$A63,test!$A$34:$G$37, 3,FALSE)=VLOOKUP(W$1,test!$A$3:$I$32,3,FALSE)),1,0)</f>
        <v>0</v>
      </c>
      <c r="X63" s="2">
        <f>IF(AND(feasible_mat!W32=1, VLOOKUP(Recharged_Feasible_matv3!$A63,test!$A$34:$G$37, 3,FALSE)=VLOOKUP(X$1,test!$A$3:$I$32,3,FALSE)),1,0)</f>
        <v>0</v>
      </c>
      <c r="Y63" s="2">
        <f>IF(AND(feasible_mat!X32=1, VLOOKUP(Recharged_Feasible_matv3!$A63,test!$A$34:$G$37, 3,FALSE)=VLOOKUP(Y$1,test!$A$3:$I$32,3,FALSE)),1,0)</f>
        <v>0</v>
      </c>
      <c r="Z63" s="2">
        <f>IF(AND(feasible_mat!Y32=1, VLOOKUP(Recharged_Feasible_matv3!$A63,test!$A$34:$G$37, 3,FALSE)=VLOOKUP(Z$1,test!$A$3:$I$32,3,FALSE)),1,0)</f>
        <v>0</v>
      </c>
      <c r="AA63" s="2">
        <f>IF(AND(feasible_mat!Z32=1, VLOOKUP(Recharged_Feasible_matv3!$A63,test!$A$34:$G$37, 3,FALSE)=VLOOKUP(AA$1,test!$A$3:$I$32,3,FALSE)),1,0)</f>
        <v>0</v>
      </c>
      <c r="AB63" s="2">
        <f>IF(AND(feasible_mat!AA32=1, VLOOKUP(Recharged_Feasible_matv3!$A63,test!$A$34:$G$37, 3,FALSE)=VLOOKUP(AB$1,test!$A$3:$I$32,3,FALSE)),1,0)</f>
        <v>0</v>
      </c>
      <c r="AC63" s="2">
        <f>IF(AND(feasible_mat!AB32=1, VLOOKUP(Recharged_Feasible_matv3!$A63,test!$A$34:$G$37, 3,FALSE)=VLOOKUP(AC$1,test!$A$3:$I$32,3,FALSE)),1,0)</f>
        <v>0</v>
      </c>
      <c r="AD63" s="2">
        <f>IF(AND(feasible_mat!AC32=1, VLOOKUP(Recharged_Feasible_matv3!$A63,test!$A$34:$G$37, 3,FALSE)=VLOOKUP(AD$1,test!$A$3:$I$32,3,FALSE)),1,0)</f>
        <v>0</v>
      </c>
      <c r="AE63" s="2">
        <f>IF(AND(feasible_mat!AD32=1, VLOOKUP(Recharged_Feasible_matv3!$A63,test!$A$34:$G$37, 3,FALSE)=VLOOKUP(AE$1,test!$A$3:$I$32,3,FALSE)),1,0)</f>
        <v>0</v>
      </c>
      <c r="AF63" s="2">
        <f>IF(AND(feasible_mat!AE32=1, VLOOKUP(Recharged_Feasible_matv3!$A63,test!$A$34:$G$37, 3,FALSE)=VLOOKUP(AF$1,test!$A$3:$I$32,3,FALSE)),1,0)</f>
        <v>0</v>
      </c>
      <c r="AG63" s="2">
        <f>IF(AND(feasible_mat!AF32=1, VLOOKUP(Recharged_Feasible_matv3!$A63,test!$A$34:$G$37, 3,FALSE)=VLOOKUP(AG$1,test!$A$3:$I$32,3,FALSE)),1,0)</f>
        <v>0</v>
      </c>
    </row>
    <row r="64" spans="1:33" x14ac:dyDescent="0.25">
      <c r="A64" t="s">
        <v>97</v>
      </c>
      <c r="B64" t="s">
        <v>46</v>
      </c>
      <c r="C64">
        <v>0</v>
      </c>
      <c r="D64" s="2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A65" t="s">
        <v>97</v>
      </c>
      <c r="B65" t="s">
        <v>6</v>
      </c>
      <c r="C65">
        <v>0</v>
      </c>
      <c r="D65" s="2">
        <f>IF(AND(feasible_mat!C3, VLOOKUP(Recharged_Feasible_matv3!$A65,test!$A$34:$G$37, 3,FALSE)=VLOOKUP(D$1,test!$A$3:$I$32,3,FALSE)),1,0)</f>
        <v>0</v>
      </c>
      <c r="E65" s="2">
        <f>IF(AND(feasible_mat!D3, VLOOKUP(Recharged_Feasible_matv3!$A65,test!$A$34:$G$37, 3,FALSE)=VLOOKUP(E$1,test!$A$3:$I$32,3,FALSE)),1,0)</f>
        <v>0</v>
      </c>
      <c r="F65" s="2">
        <f>IF(AND(feasible_mat!E3, VLOOKUP(Recharged_Feasible_matv3!$A65,test!$A$34:$G$37, 3,FALSE)=VLOOKUP(F$1,test!$A$3:$I$32,3,FALSE)),1,0)</f>
        <v>0</v>
      </c>
      <c r="G65" s="2">
        <f>IF(AND(feasible_mat!F3, VLOOKUP(Recharged_Feasible_matv3!$A65,test!$A$34:$G$37, 3,FALSE)=VLOOKUP(G$1,test!$A$3:$I$32,3,FALSE)),1,0)</f>
        <v>0</v>
      </c>
      <c r="H65" s="2">
        <f>IF(AND(feasible_mat!G3, VLOOKUP(Recharged_Feasible_matv3!$A65,test!$A$34:$G$37, 3,FALSE)=VLOOKUP(H$1,test!$A$3:$I$32,3,FALSE)),1,0)</f>
        <v>0</v>
      </c>
      <c r="I65" s="2">
        <f>IF(AND(feasible_mat!H3, VLOOKUP(Recharged_Feasible_matv3!$A65,test!$A$34:$G$37, 3,FALSE)=VLOOKUP(I$1,test!$A$3:$I$32,3,FALSE)),1,0)</f>
        <v>0</v>
      </c>
      <c r="J65" s="2">
        <f>IF(AND(feasible_mat!I3, VLOOKUP(Recharged_Feasible_matv3!$A65,test!$A$34:$G$37, 3,FALSE)=VLOOKUP(J$1,test!$A$3:$I$32,3,FALSE)),1,0)</f>
        <v>0</v>
      </c>
      <c r="K65" s="2">
        <f>IF(AND(feasible_mat!J3, VLOOKUP(Recharged_Feasible_matv3!$A65,test!$A$34:$G$37, 3,FALSE)=VLOOKUP(K$1,test!$A$3:$I$32,3,FALSE)),1,0)</f>
        <v>0</v>
      </c>
      <c r="L65" s="2">
        <f>IF(AND(feasible_mat!K3, VLOOKUP(Recharged_Feasible_matv3!$A65,test!$A$34:$G$37, 3,FALSE)=VLOOKUP(L$1,test!$A$3:$I$32,3,FALSE)),1,0)</f>
        <v>0</v>
      </c>
      <c r="M65" s="2">
        <f>IF(AND(feasible_mat!L3, VLOOKUP(Recharged_Feasible_matv3!$A65,test!$A$34:$G$37, 3,FALSE)=VLOOKUP(M$1,test!$A$3:$I$32,3,FALSE)),1,0)</f>
        <v>0</v>
      </c>
      <c r="N65" s="2">
        <f>IF(AND(feasible_mat!M3, VLOOKUP(Recharged_Feasible_matv3!$A65,test!$A$34:$G$37, 3,FALSE)=VLOOKUP(N$1,test!$A$3:$I$32,3,FALSE)),1,0)</f>
        <v>0</v>
      </c>
      <c r="O65" s="2">
        <f>IF(AND(feasible_mat!N3, VLOOKUP(Recharged_Feasible_matv3!$A65,test!$A$34:$G$37, 3,FALSE)=VLOOKUP(O$1,test!$A$3:$I$32,3,FALSE)),1,0)</f>
        <v>0</v>
      </c>
      <c r="P65" s="2">
        <f>IF(AND(feasible_mat!O3, VLOOKUP(Recharged_Feasible_matv3!$A65,test!$A$34:$G$37, 3,FALSE)=VLOOKUP(P$1,test!$A$3:$I$32,3,FALSE)),1,0)</f>
        <v>0</v>
      </c>
      <c r="Q65" s="2">
        <f>IF(AND(feasible_mat!P3, VLOOKUP(Recharged_Feasible_matv3!$A65,test!$A$34:$G$37, 3,FALSE)=VLOOKUP(Q$1,test!$A$3:$I$32,3,FALSE)),1,0)</f>
        <v>0</v>
      </c>
      <c r="R65" s="2">
        <f>IF(AND(feasible_mat!Q3, VLOOKUP(Recharged_Feasible_matv3!$A65,test!$A$34:$G$37, 3,FALSE)=VLOOKUP(R$1,test!$A$3:$I$32,3,FALSE)),1,0)</f>
        <v>0</v>
      </c>
      <c r="S65" s="2">
        <f>IF(AND(feasible_mat!R3, VLOOKUP(Recharged_Feasible_matv3!$A65,test!$A$34:$G$37, 3,FALSE)=VLOOKUP(S$1,test!$A$3:$I$32,3,FALSE)),1,0)</f>
        <v>0</v>
      </c>
      <c r="T65" s="2">
        <f>IF(AND(feasible_mat!S3, VLOOKUP(Recharged_Feasible_matv3!$A65,test!$A$34:$G$37, 3,FALSE)=VLOOKUP(T$1,test!$A$3:$I$32,3,FALSE)),1,0)</f>
        <v>1</v>
      </c>
      <c r="U65" s="2">
        <f>IF(AND(feasible_mat!T3, VLOOKUP(Recharged_Feasible_matv3!$A65,test!$A$34:$G$37, 3,FALSE)=VLOOKUP(U$1,test!$A$3:$I$32,3,FALSE)),1,0)</f>
        <v>1</v>
      </c>
      <c r="V65" s="2">
        <f>IF(AND(feasible_mat!U3, VLOOKUP(Recharged_Feasible_matv3!$A65,test!$A$34:$G$37, 3,FALSE)=VLOOKUP(V$1,test!$A$3:$I$32,3,FALSE)),1,0)</f>
        <v>1</v>
      </c>
      <c r="W65" s="2">
        <f>IF(AND(feasible_mat!V3, VLOOKUP(Recharged_Feasible_matv3!$A65,test!$A$34:$G$37, 3,FALSE)=VLOOKUP(W$1,test!$A$3:$I$32,3,FALSE)),1,0)</f>
        <v>1</v>
      </c>
      <c r="X65" s="2">
        <f>IF(AND(feasible_mat!W3, VLOOKUP(Recharged_Feasible_matv3!$A65,test!$A$34:$G$37, 3,FALSE)=VLOOKUP(X$1,test!$A$3:$I$32,3,FALSE)),1,0)</f>
        <v>1</v>
      </c>
      <c r="Y65" s="2">
        <f>IF(AND(feasible_mat!X3, VLOOKUP(Recharged_Feasible_matv3!$A65,test!$A$34:$G$37, 3,FALSE)=VLOOKUP(Y$1,test!$A$3:$I$32,3,FALSE)),1,0)</f>
        <v>1</v>
      </c>
      <c r="Z65" s="2">
        <f>IF(AND(feasible_mat!Y3, VLOOKUP(Recharged_Feasible_matv3!$A65,test!$A$34:$G$37, 3,FALSE)=VLOOKUP(Z$1,test!$A$3:$I$32,3,FALSE)),1,0)</f>
        <v>0</v>
      </c>
      <c r="AA65" s="2">
        <f>IF(AND(feasible_mat!Z3, VLOOKUP(Recharged_Feasible_matv3!$A65,test!$A$34:$G$37, 3,FALSE)=VLOOKUP(AA$1,test!$A$3:$I$32,3,FALSE)),1,0)</f>
        <v>0</v>
      </c>
      <c r="AB65" s="2">
        <f>IF(AND(feasible_mat!AA3, VLOOKUP(Recharged_Feasible_matv3!$A65,test!$A$34:$G$37, 3,FALSE)=VLOOKUP(AB$1,test!$A$3:$I$32,3,FALSE)),1,0)</f>
        <v>0</v>
      </c>
      <c r="AC65" s="2">
        <f>IF(AND(feasible_mat!AB3, VLOOKUP(Recharged_Feasible_matv3!$A65,test!$A$34:$G$37, 3,FALSE)=VLOOKUP(AC$1,test!$A$3:$I$32,3,FALSE)),1,0)</f>
        <v>0</v>
      </c>
      <c r="AD65" s="2">
        <f>IF(AND(feasible_mat!AC3, VLOOKUP(Recharged_Feasible_matv3!$A65,test!$A$34:$G$37, 3,FALSE)=VLOOKUP(AD$1,test!$A$3:$I$32,3,FALSE)),1,0)</f>
        <v>0</v>
      </c>
      <c r="AE65" s="2">
        <f>IF(AND(feasible_mat!AD3, VLOOKUP(Recharged_Feasible_matv3!$A65,test!$A$34:$G$37, 3,FALSE)=VLOOKUP(AE$1,test!$A$3:$I$32,3,FALSE)),1,0)</f>
        <v>0</v>
      </c>
      <c r="AF65" s="2">
        <f>IF(AND(feasible_mat!AE3, VLOOKUP(Recharged_Feasible_matv3!$A65,test!$A$34:$G$37, 3,FALSE)=VLOOKUP(AF$1,test!$A$3:$I$32,3,FALSE)),1,0)</f>
        <v>0</v>
      </c>
      <c r="AG65" s="2">
        <f>IF(AND(feasible_mat!AF3, VLOOKUP(Recharged_Feasible_matv3!$A65,test!$A$34:$G$37, 3,FALSE)=VLOOKUP(AG$1,test!$A$3:$I$32,3,FALSE)),1,0)</f>
        <v>0</v>
      </c>
    </row>
    <row r="66" spans="1:33" x14ac:dyDescent="0.25">
      <c r="A66" t="s">
        <v>97</v>
      </c>
      <c r="B66" t="s">
        <v>9</v>
      </c>
      <c r="C66">
        <v>0</v>
      </c>
      <c r="D66" s="2">
        <f>IF(AND(feasible_mat!C4, VLOOKUP(Recharged_Feasible_matv3!$A66,test!$A$34:$G$37, 3,FALSE)=VLOOKUP(D$1,test!$A$3:$I$32,3,FALSE)),1,0)</f>
        <v>0</v>
      </c>
      <c r="E66" s="2">
        <f>IF(AND(feasible_mat!D4, VLOOKUP(Recharged_Feasible_matv3!$A66,test!$A$34:$G$37, 3,FALSE)=VLOOKUP(E$1,test!$A$3:$I$32,3,FALSE)),1,0)</f>
        <v>0</v>
      </c>
      <c r="F66" s="2">
        <f>IF(AND(feasible_mat!E4, VLOOKUP(Recharged_Feasible_matv3!$A66,test!$A$34:$G$37, 3,FALSE)=VLOOKUP(F$1,test!$A$3:$I$32,3,FALSE)),1,0)</f>
        <v>0</v>
      </c>
      <c r="G66" s="2">
        <f>IF(AND(feasible_mat!F4, VLOOKUP(Recharged_Feasible_matv3!$A66,test!$A$34:$G$37, 3,FALSE)=VLOOKUP(G$1,test!$A$3:$I$32,3,FALSE)),1,0)</f>
        <v>0</v>
      </c>
      <c r="H66" s="2">
        <f>IF(AND(feasible_mat!G4, VLOOKUP(Recharged_Feasible_matv3!$A66,test!$A$34:$G$37, 3,FALSE)=VLOOKUP(H$1,test!$A$3:$I$32,3,FALSE)),1,0)</f>
        <v>0</v>
      </c>
      <c r="I66" s="2">
        <f>IF(AND(feasible_mat!H4, VLOOKUP(Recharged_Feasible_matv3!$A66,test!$A$34:$G$37, 3,FALSE)=VLOOKUP(I$1,test!$A$3:$I$32,3,FALSE)),1,0)</f>
        <v>0</v>
      </c>
      <c r="J66" s="2">
        <f>IF(AND(feasible_mat!I4, VLOOKUP(Recharged_Feasible_matv3!$A66,test!$A$34:$G$37, 3,FALSE)=VLOOKUP(J$1,test!$A$3:$I$32,3,FALSE)),1,0)</f>
        <v>0</v>
      </c>
      <c r="K66" s="2">
        <f>IF(AND(feasible_mat!J4, VLOOKUP(Recharged_Feasible_matv3!$A66,test!$A$34:$G$37, 3,FALSE)=VLOOKUP(K$1,test!$A$3:$I$32,3,FALSE)),1,0)</f>
        <v>0</v>
      </c>
      <c r="L66" s="2">
        <f>IF(AND(feasible_mat!K4, VLOOKUP(Recharged_Feasible_matv3!$A66,test!$A$34:$G$37, 3,FALSE)=VLOOKUP(L$1,test!$A$3:$I$32,3,FALSE)),1,0)</f>
        <v>0</v>
      </c>
      <c r="M66" s="2">
        <f>IF(AND(feasible_mat!L4, VLOOKUP(Recharged_Feasible_matv3!$A66,test!$A$34:$G$37, 3,FALSE)=VLOOKUP(M$1,test!$A$3:$I$32,3,FALSE)),1,0)</f>
        <v>0</v>
      </c>
      <c r="N66" s="2">
        <f>IF(AND(feasible_mat!M4, VLOOKUP(Recharged_Feasible_matv3!$A66,test!$A$34:$G$37, 3,FALSE)=VLOOKUP(N$1,test!$A$3:$I$32,3,FALSE)),1,0)</f>
        <v>0</v>
      </c>
      <c r="O66" s="2">
        <f>IF(AND(feasible_mat!N4, VLOOKUP(Recharged_Feasible_matv3!$A66,test!$A$34:$G$37, 3,FALSE)=VLOOKUP(O$1,test!$A$3:$I$32,3,FALSE)),1,0)</f>
        <v>0</v>
      </c>
      <c r="P66" s="2">
        <f>IF(AND(feasible_mat!O4, VLOOKUP(Recharged_Feasible_matv3!$A66,test!$A$34:$G$37, 3,FALSE)=VLOOKUP(P$1,test!$A$3:$I$32,3,FALSE)),1,0)</f>
        <v>0</v>
      </c>
      <c r="Q66" s="2">
        <f>IF(AND(feasible_mat!P4, VLOOKUP(Recharged_Feasible_matv3!$A66,test!$A$34:$G$37, 3,FALSE)=VLOOKUP(Q$1,test!$A$3:$I$32,3,FALSE)),1,0)</f>
        <v>0</v>
      </c>
      <c r="R66" s="2">
        <f>IF(AND(feasible_mat!Q4, VLOOKUP(Recharged_Feasible_matv3!$A66,test!$A$34:$G$37, 3,FALSE)=VLOOKUP(R$1,test!$A$3:$I$32,3,FALSE)),1,0)</f>
        <v>0</v>
      </c>
      <c r="S66" s="2">
        <f>IF(AND(feasible_mat!R4, VLOOKUP(Recharged_Feasible_matv3!$A66,test!$A$34:$G$37, 3,FALSE)=VLOOKUP(S$1,test!$A$3:$I$32,3,FALSE)),1,0)</f>
        <v>0</v>
      </c>
      <c r="T66" s="2">
        <f>IF(AND(feasible_mat!S4, VLOOKUP(Recharged_Feasible_matv3!$A66,test!$A$34:$G$37, 3,FALSE)=VLOOKUP(T$1,test!$A$3:$I$32,3,FALSE)),1,0)</f>
        <v>0</v>
      </c>
      <c r="U66" s="2">
        <f>IF(AND(feasible_mat!T4, VLOOKUP(Recharged_Feasible_matv3!$A66,test!$A$34:$G$37, 3,FALSE)=VLOOKUP(U$1,test!$A$3:$I$32,3,FALSE)),1,0)</f>
        <v>0</v>
      </c>
      <c r="V66" s="2">
        <f>IF(AND(feasible_mat!U4, VLOOKUP(Recharged_Feasible_matv3!$A66,test!$A$34:$G$37, 3,FALSE)=VLOOKUP(V$1,test!$A$3:$I$32,3,FALSE)),1,0)</f>
        <v>1</v>
      </c>
      <c r="W66" s="2">
        <f>IF(AND(feasible_mat!V4, VLOOKUP(Recharged_Feasible_matv3!$A66,test!$A$34:$G$37, 3,FALSE)=VLOOKUP(W$1,test!$A$3:$I$32,3,FALSE)),1,0)</f>
        <v>1</v>
      </c>
      <c r="X66" s="2">
        <f>IF(AND(feasible_mat!W4, VLOOKUP(Recharged_Feasible_matv3!$A66,test!$A$34:$G$37, 3,FALSE)=VLOOKUP(X$1,test!$A$3:$I$32,3,FALSE)),1,0)</f>
        <v>1</v>
      </c>
      <c r="Y66" s="2">
        <f>IF(AND(feasible_mat!X4, VLOOKUP(Recharged_Feasible_matv3!$A66,test!$A$34:$G$37, 3,FALSE)=VLOOKUP(Y$1,test!$A$3:$I$32,3,FALSE)),1,0)</f>
        <v>1</v>
      </c>
      <c r="Z66" s="2">
        <f>IF(AND(feasible_mat!Y4, VLOOKUP(Recharged_Feasible_matv3!$A66,test!$A$34:$G$37, 3,FALSE)=VLOOKUP(Z$1,test!$A$3:$I$32,3,FALSE)),1,0)</f>
        <v>0</v>
      </c>
      <c r="AA66" s="2">
        <f>IF(AND(feasible_mat!Z4, VLOOKUP(Recharged_Feasible_matv3!$A66,test!$A$34:$G$37, 3,FALSE)=VLOOKUP(AA$1,test!$A$3:$I$32,3,FALSE)),1,0)</f>
        <v>0</v>
      </c>
      <c r="AB66" s="2">
        <f>IF(AND(feasible_mat!AA4, VLOOKUP(Recharged_Feasible_matv3!$A66,test!$A$34:$G$37, 3,FALSE)=VLOOKUP(AB$1,test!$A$3:$I$32,3,FALSE)),1,0)</f>
        <v>0</v>
      </c>
      <c r="AC66" s="2">
        <f>IF(AND(feasible_mat!AB4, VLOOKUP(Recharged_Feasible_matv3!$A66,test!$A$34:$G$37, 3,FALSE)=VLOOKUP(AC$1,test!$A$3:$I$32,3,FALSE)),1,0)</f>
        <v>0</v>
      </c>
      <c r="AD66" s="2">
        <f>IF(AND(feasible_mat!AC4, VLOOKUP(Recharged_Feasible_matv3!$A66,test!$A$34:$G$37, 3,FALSE)=VLOOKUP(AD$1,test!$A$3:$I$32,3,FALSE)),1,0)</f>
        <v>0</v>
      </c>
      <c r="AE66" s="2">
        <f>IF(AND(feasible_mat!AD4, VLOOKUP(Recharged_Feasible_matv3!$A66,test!$A$34:$G$37, 3,FALSE)=VLOOKUP(AE$1,test!$A$3:$I$32,3,FALSE)),1,0)</f>
        <v>0</v>
      </c>
      <c r="AF66" s="2">
        <f>IF(AND(feasible_mat!AE4, VLOOKUP(Recharged_Feasible_matv3!$A66,test!$A$34:$G$37, 3,FALSE)=VLOOKUP(AF$1,test!$A$3:$I$32,3,FALSE)),1,0)</f>
        <v>0</v>
      </c>
      <c r="AG66" s="2">
        <f>IF(AND(feasible_mat!AF4, VLOOKUP(Recharged_Feasible_matv3!$A66,test!$A$34:$G$37, 3,FALSE)=VLOOKUP(AG$1,test!$A$3:$I$32,3,FALSE)),1,0)</f>
        <v>0</v>
      </c>
    </row>
    <row r="67" spans="1:33" x14ac:dyDescent="0.25">
      <c r="A67" t="s">
        <v>97</v>
      </c>
      <c r="B67" t="s">
        <v>10</v>
      </c>
      <c r="C67">
        <v>0</v>
      </c>
      <c r="D67" s="2">
        <f>IF(AND(feasible_mat!C5, VLOOKUP(Recharged_Feasible_matv3!$A67,test!$A$34:$G$37, 3,FALSE)=VLOOKUP(D$1,test!$A$3:$I$32,3,FALSE)),1,0)</f>
        <v>0</v>
      </c>
      <c r="E67" s="2">
        <f>IF(AND(feasible_mat!D5, VLOOKUP(Recharged_Feasible_matv3!$A67,test!$A$34:$G$37, 3,FALSE)=VLOOKUP(E$1,test!$A$3:$I$32,3,FALSE)),1,0)</f>
        <v>0</v>
      </c>
      <c r="F67" s="2">
        <f>IF(AND(feasible_mat!E5, VLOOKUP(Recharged_Feasible_matv3!$A67,test!$A$34:$G$37, 3,FALSE)=VLOOKUP(F$1,test!$A$3:$I$32,3,FALSE)),1,0)</f>
        <v>0</v>
      </c>
      <c r="G67" s="2">
        <f>IF(AND(feasible_mat!F5, VLOOKUP(Recharged_Feasible_matv3!$A67,test!$A$34:$G$37, 3,FALSE)=VLOOKUP(G$1,test!$A$3:$I$32,3,FALSE)),1,0)</f>
        <v>0</v>
      </c>
      <c r="H67" s="2">
        <f>IF(AND(feasible_mat!G5, VLOOKUP(Recharged_Feasible_matv3!$A67,test!$A$34:$G$37, 3,FALSE)=VLOOKUP(H$1,test!$A$3:$I$32,3,FALSE)),1,0)</f>
        <v>0</v>
      </c>
      <c r="I67" s="2">
        <f>IF(AND(feasible_mat!H5, VLOOKUP(Recharged_Feasible_matv3!$A67,test!$A$34:$G$37, 3,FALSE)=VLOOKUP(I$1,test!$A$3:$I$32,3,FALSE)),1,0)</f>
        <v>0</v>
      </c>
      <c r="J67" s="2">
        <f>IF(AND(feasible_mat!I5, VLOOKUP(Recharged_Feasible_matv3!$A67,test!$A$34:$G$37, 3,FALSE)=VLOOKUP(J$1,test!$A$3:$I$32,3,FALSE)),1,0)</f>
        <v>0</v>
      </c>
      <c r="K67" s="2">
        <f>IF(AND(feasible_mat!J5, VLOOKUP(Recharged_Feasible_matv3!$A67,test!$A$34:$G$37, 3,FALSE)=VLOOKUP(K$1,test!$A$3:$I$32,3,FALSE)),1,0)</f>
        <v>0</v>
      </c>
      <c r="L67" s="2">
        <f>IF(AND(feasible_mat!K5, VLOOKUP(Recharged_Feasible_matv3!$A67,test!$A$34:$G$37, 3,FALSE)=VLOOKUP(L$1,test!$A$3:$I$32,3,FALSE)),1,0)</f>
        <v>0</v>
      </c>
      <c r="M67" s="2">
        <f>IF(AND(feasible_mat!L5, VLOOKUP(Recharged_Feasible_matv3!$A67,test!$A$34:$G$37, 3,FALSE)=VLOOKUP(M$1,test!$A$3:$I$32,3,FALSE)),1,0)</f>
        <v>0</v>
      </c>
      <c r="N67" s="2">
        <f>IF(AND(feasible_mat!M5, VLOOKUP(Recharged_Feasible_matv3!$A67,test!$A$34:$G$37, 3,FALSE)=VLOOKUP(N$1,test!$A$3:$I$32,3,FALSE)),1,0)</f>
        <v>0</v>
      </c>
      <c r="O67" s="2">
        <f>IF(AND(feasible_mat!N5, VLOOKUP(Recharged_Feasible_matv3!$A67,test!$A$34:$G$37, 3,FALSE)=VLOOKUP(O$1,test!$A$3:$I$32,3,FALSE)),1,0)</f>
        <v>0</v>
      </c>
      <c r="P67" s="2">
        <f>IF(AND(feasible_mat!O5, VLOOKUP(Recharged_Feasible_matv3!$A67,test!$A$34:$G$37, 3,FALSE)=VLOOKUP(P$1,test!$A$3:$I$32,3,FALSE)),1,0)</f>
        <v>0</v>
      </c>
      <c r="Q67" s="2">
        <f>IF(AND(feasible_mat!P5, VLOOKUP(Recharged_Feasible_matv3!$A67,test!$A$34:$G$37, 3,FALSE)=VLOOKUP(Q$1,test!$A$3:$I$32,3,FALSE)),1,0)</f>
        <v>0</v>
      </c>
      <c r="R67" s="2">
        <f>IF(AND(feasible_mat!Q5, VLOOKUP(Recharged_Feasible_matv3!$A67,test!$A$34:$G$37, 3,FALSE)=VLOOKUP(R$1,test!$A$3:$I$32,3,FALSE)),1,0)</f>
        <v>0</v>
      </c>
      <c r="S67" s="2">
        <f>IF(AND(feasible_mat!R5, VLOOKUP(Recharged_Feasible_matv3!$A67,test!$A$34:$G$37, 3,FALSE)=VLOOKUP(S$1,test!$A$3:$I$32,3,FALSE)),1,0)</f>
        <v>0</v>
      </c>
      <c r="T67" s="2">
        <f>IF(AND(feasible_mat!S5, VLOOKUP(Recharged_Feasible_matv3!$A67,test!$A$34:$G$37, 3,FALSE)=VLOOKUP(T$1,test!$A$3:$I$32,3,FALSE)),1,0)</f>
        <v>0</v>
      </c>
      <c r="U67" s="2">
        <f>IF(AND(feasible_mat!T5, VLOOKUP(Recharged_Feasible_matv3!$A67,test!$A$34:$G$37, 3,FALSE)=VLOOKUP(U$1,test!$A$3:$I$32,3,FALSE)),1,0)</f>
        <v>0</v>
      </c>
      <c r="V67" s="2">
        <f>IF(AND(feasible_mat!U5, VLOOKUP(Recharged_Feasible_matv3!$A67,test!$A$34:$G$37, 3,FALSE)=VLOOKUP(V$1,test!$A$3:$I$32,3,FALSE)),1,0)</f>
        <v>0</v>
      </c>
      <c r="W67" s="2">
        <f>IF(AND(feasible_mat!V5, VLOOKUP(Recharged_Feasible_matv3!$A67,test!$A$34:$G$37, 3,FALSE)=VLOOKUP(W$1,test!$A$3:$I$32,3,FALSE)),1,0)</f>
        <v>1</v>
      </c>
      <c r="X67" s="2">
        <f>IF(AND(feasible_mat!W5, VLOOKUP(Recharged_Feasible_matv3!$A67,test!$A$34:$G$37, 3,FALSE)=VLOOKUP(X$1,test!$A$3:$I$32,3,FALSE)),1,0)</f>
        <v>1</v>
      </c>
      <c r="Y67" s="2">
        <f>IF(AND(feasible_mat!X5, VLOOKUP(Recharged_Feasible_matv3!$A67,test!$A$34:$G$37, 3,FALSE)=VLOOKUP(Y$1,test!$A$3:$I$32,3,FALSE)),1,0)</f>
        <v>1</v>
      </c>
      <c r="Z67" s="2">
        <f>IF(AND(feasible_mat!Y5, VLOOKUP(Recharged_Feasible_matv3!$A67,test!$A$34:$G$37, 3,FALSE)=VLOOKUP(Z$1,test!$A$3:$I$32,3,FALSE)),1,0)</f>
        <v>0</v>
      </c>
      <c r="AA67" s="2">
        <f>IF(AND(feasible_mat!Z5, VLOOKUP(Recharged_Feasible_matv3!$A67,test!$A$34:$G$37, 3,FALSE)=VLOOKUP(AA$1,test!$A$3:$I$32,3,FALSE)),1,0)</f>
        <v>0</v>
      </c>
      <c r="AB67" s="2">
        <f>IF(AND(feasible_mat!AA5, VLOOKUP(Recharged_Feasible_matv3!$A67,test!$A$34:$G$37, 3,FALSE)=VLOOKUP(AB$1,test!$A$3:$I$32,3,FALSE)),1,0)</f>
        <v>0</v>
      </c>
      <c r="AC67" s="2">
        <f>IF(AND(feasible_mat!AB5, VLOOKUP(Recharged_Feasible_matv3!$A67,test!$A$34:$G$37, 3,FALSE)=VLOOKUP(AC$1,test!$A$3:$I$32,3,FALSE)),1,0)</f>
        <v>0</v>
      </c>
      <c r="AD67" s="2">
        <f>IF(AND(feasible_mat!AC5, VLOOKUP(Recharged_Feasible_matv3!$A67,test!$A$34:$G$37, 3,FALSE)=VLOOKUP(AD$1,test!$A$3:$I$32,3,FALSE)),1,0)</f>
        <v>0</v>
      </c>
      <c r="AE67" s="2">
        <f>IF(AND(feasible_mat!AD5, VLOOKUP(Recharged_Feasible_matv3!$A67,test!$A$34:$G$37, 3,FALSE)=VLOOKUP(AE$1,test!$A$3:$I$32,3,FALSE)),1,0)</f>
        <v>0</v>
      </c>
      <c r="AF67" s="2">
        <f>IF(AND(feasible_mat!AE5, VLOOKUP(Recharged_Feasible_matv3!$A67,test!$A$34:$G$37, 3,FALSE)=VLOOKUP(AF$1,test!$A$3:$I$32,3,FALSE)),1,0)</f>
        <v>0</v>
      </c>
      <c r="AG67" s="2">
        <f>IF(AND(feasible_mat!AF5, VLOOKUP(Recharged_Feasible_matv3!$A67,test!$A$34:$G$37, 3,FALSE)=VLOOKUP(AG$1,test!$A$3:$I$32,3,FALSE)),1,0)</f>
        <v>0</v>
      </c>
    </row>
    <row r="68" spans="1:33" x14ac:dyDescent="0.25">
      <c r="A68" t="s">
        <v>97</v>
      </c>
      <c r="B68" t="s">
        <v>11</v>
      </c>
      <c r="C68">
        <v>0</v>
      </c>
      <c r="D68" s="2">
        <f>IF(AND(feasible_mat!C6, VLOOKUP(Recharged_Feasible_matv3!$A68,test!$A$34:$G$37, 3,FALSE)=VLOOKUP(D$1,test!$A$3:$I$32,3,FALSE)),1,0)</f>
        <v>0</v>
      </c>
      <c r="E68" s="2">
        <f>IF(AND(feasible_mat!D6, VLOOKUP(Recharged_Feasible_matv3!$A68,test!$A$34:$G$37, 3,FALSE)=VLOOKUP(E$1,test!$A$3:$I$32,3,FALSE)),1,0)</f>
        <v>0</v>
      </c>
      <c r="F68" s="2">
        <f>IF(AND(feasible_mat!E6, VLOOKUP(Recharged_Feasible_matv3!$A68,test!$A$34:$G$37, 3,FALSE)=VLOOKUP(F$1,test!$A$3:$I$32,3,FALSE)),1,0)</f>
        <v>0</v>
      </c>
      <c r="G68" s="2">
        <f>IF(AND(feasible_mat!F6, VLOOKUP(Recharged_Feasible_matv3!$A68,test!$A$34:$G$37, 3,FALSE)=VLOOKUP(G$1,test!$A$3:$I$32,3,FALSE)),1,0)</f>
        <v>0</v>
      </c>
      <c r="H68" s="2">
        <f>IF(AND(feasible_mat!G6, VLOOKUP(Recharged_Feasible_matv3!$A68,test!$A$34:$G$37, 3,FALSE)=VLOOKUP(H$1,test!$A$3:$I$32,3,FALSE)),1,0)</f>
        <v>0</v>
      </c>
      <c r="I68" s="2">
        <f>IF(AND(feasible_mat!H6, VLOOKUP(Recharged_Feasible_matv3!$A68,test!$A$34:$G$37, 3,FALSE)=VLOOKUP(I$1,test!$A$3:$I$32,3,FALSE)),1,0)</f>
        <v>0</v>
      </c>
      <c r="J68" s="2">
        <f>IF(AND(feasible_mat!I6, VLOOKUP(Recharged_Feasible_matv3!$A68,test!$A$34:$G$37, 3,FALSE)=VLOOKUP(J$1,test!$A$3:$I$32,3,FALSE)),1,0)</f>
        <v>0</v>
      </c>
      <c r="K68" s="2">
        <f>IF(AND(feasible_mat!J6, VLOOKUP(Recharged_Feasible_matv3!$A68,test!$A$34:$G$37, 3,FALSE)=VLOOKUP(K$1,test!$A$3:$I$32,3,FALSE)),1,0)</f>
        <v>0</v>
      </c>
      <c r="L68" s="2">
        <f>IF(AND(feasible_mat!K6, VLOOKUP(Recharged_Feasible_matv3!$A68,test!$A$34:$G$37, 3,FALSE)=VLOOKUP(L$1,test!$A$3:$I$32,3,FALSE)),1,0)</f>
        <v>0</v>
      </c>
      <c r="M68" s="2">
        <f>IF(AND(feasible_mat!L6, VLOOKUP(Recharged_Feasible_matv3!$A68,test!$A$34:$G$37, 3,FALSE)=VLOOKUP(M$1,test!$A$3:$I$32,3,FALSE)),1,0)</f>
        <v>0</v>
      </c>
      <c r="N68" s="2">
        <f>IF(AND(feasible_mat!M6, VLOOKUP(Recharged_Feasible_matv3!$A68,test!$A$34:$G$37, 3,FALSE)=VLOOKUP(N$1,test!$A$3:$I$32,3,FALSE)),1,0)</f>
        <v>0</v>
      </c>
      <c r="O68" s="2">
        <f>IF(AND(feasible_mat!N6, VLOOKUP(Recharged_Feasible_matv3!$A68,test!$A$34:$G$37, 3,FALSE)=VLOOKUP(O$1,test!$A$3:$I$32,3,FALSE)),1,0)</f>
        <v>0</v>
      </c>
      <c r="P68" s="2">
        <f>IF(AND(feasible_mat!O6, VLOOKUP(Recharged_Feasible_matv3!$A68,test!$A$34:$G$37, 3,FALSE)=VLOOKUP(P$1,test!$A$3:$I$32,3,FALSE)),1,0)</f>
        <v>0</v>
      </c>
      <c r="Q68" s="2">
        <f>IF(AND(feasible_mat!P6, VLOOKUP(Recharged_Feasible_matv3!$A68,test!$A$34:$G$37, 3,FALSE)=VLOOKUP(Q$1,test!$A$3:$I$32,3,FALSE)),1,0)</f>
        <v>0</v>
      </c>
      <c r="R68" s="2">
        <f>IF(AND(feasible_mat!Q6, VLOOKUP(Recharged_Feasible_matv3!$A68,test!$A$34:$G$37, 3,FALSE)=VLOOKUP(R$1,test!$A$3:$I$32,3,FALSE)),1,0)</f>
        <v>0</v>
      </c>
      <c r="S68" s="2">
        <f>IF(AND(feasible_mat!R6, VLOOKUP(Recharged_Feasible_matv3!$A68,test!$A$34:$G$37, 3,FALSE)=VLOOKUP(S$1,test!$A$3:$I$32,3,FALSE)),1,0)</f>
        <v>0</v>
      </c>
      <c r="T68" s="2">
        <f>IF(AND(feasible_mat!S6, VLOOKUP(Recharged_Feasible_matv3!$A68,test!$A$34:$G$37, 3,FALSE)=VLOOKUP(T$1,test!$A$3:$I$32,3,FALSE)),1,0)</f>
        <v>0</v>
      </c>
      <c r="U68" s="2">
        <f>IF(AND(feasible_mat!T6, VLOOKUP(Recharged_Feasible_matv3!$A68,test!$A$34:$G$37, 3,FALSE)=VLOOKUP(U$1,test!$A$3:$I$32,3,FALSE)),1,0)</f>
        <v>0</v>
      </c>
      <c r="V68" s="2">
        <f>IF(AND(feasible_mat!U6, VLOOKUP(Recharged_Feasible_matv3!$A68,test!$A$34:$G$37, 3,FALSE)=VLOOKUP(V$1,test!$A$3:$I$32,3,FALSE)),1,0)</f>
        <v>0</v>
      </c>
      <c r="W68" s="2">
        <f>IF(AND(feasible_mat!V6, VLOOKUP(Recharged_Feasible_matv3!$A68,test!$A$34:$G$37, 3,FALSE)=VLOOKUP(W$1,test!$A$3:$I$32,3,FALSE)),1,0)</f>
        <v>0</v>
      </c>
      <c r="X68" s="2">
        <f>IF(AND(feasible_mat!W6, VLOOKUP(Recharged_Feasible_matv3!$A68,test!$A$34:$G$37, 3,FALSE)=VLOOKUP(X$1,test!$A$3:$I$32,3,FALSE)),1,0)</f>
        <v>1</v>
      </c>
      <c r="Y68" s="2">
        <f>IF(AND(feasible_mat!X6, VLOOKUP(Recharged_Feasible_matv3!$A68,test!$A$34:$G$37, 3,FALSE)=VLOOKUP(Y$1,test!$A$3:$I$32,3,FALSE)),1,0)</f>
        <v>1</v>
      </c>
      <c r="Z68" s="2">
        <f>IF(AND(feasible_mat!Y6, VLOOKUP(Recharged_Feasible_matv3!$A68,test!$A$34:$G$37, 3,FALSE)=VLOOKUP(Z$1,test!$A$3:$I$32,3,FALSE)),1,0)</f>
        <v>0</v>
      </c>
      <c r="AA68" s="2">
        <f>IF(AND(feasible_mat!Z6, VLOOKUP(Recharged_Feasible_matv3!$A68,test!$A$34:$G$37, 3,FALSE)=VLOOKUP(AA$1,test!$A$3:$I$32,3,FALSE)),1,0)</f>
        <v>0</v>
      </c>
      <c r="AB68" s="2">
        <f>IF(AND(feasible_mat!AA6, VLOOKUP(Recharged_Feasible_matv3!$A68,test!$A$34:$G$37, 3,FALSE)=VLOOKUP(AB$1,test!$A$3:$I$32,3,FALSE)),1,0)</f>
        <v>0</v>
      </c>
      <c r="AC68" s="2">
        <f>IF(AND(feasible_mat!AB6, VLOOKUP(Recharged_Feasible_matv3!$A68,test!$A$34:$G$37, 3,FALSE)=VLOOKUP(AC$1,test!$A$3:$I$32,3,FALSE)),1,0)</f>
        <v>0</v>
      </c>
      <c r="AD68" s="2">
        <f>IF(AND(feasible_mat!AC6, VLOOKUP(Recharged_Feasible_matv3!$A68,test!$A$34:$G$37, 3,FALSE)=VLOOKUP(AD$1,test!$A$3:$I$32,3,FALSE)),1,0)</f>
        <v>0</v>
      </c>
      <c r="AE68" s="2">
        <f>IF(AND(feasible_mat!AD6, VLOOKUP(Recharged_Feasible_matv3!$A68,test!$A$34:$G$37, 3,FALSE)=VLOOKUP(AE$1,test!$A$3:$I$32,3,FALSE)),1,0)</f>
        <v>0</v>
      </c>
      <c r="AF68" s="2">
        <f>IF(AND(feasible_mat!AE6, VLOOKUP(Recharged_Feasible_matv3!$A68,test!$A$34:$G$37, 3,FALSE)=VLOOKUP(AF$1,test!$A$3:$I$32,3,FALSE)),1,0)</f>
        <v>0</v>
      </c>
      <c r="AG68" s="2">
        <f>IF(AND(feasible_mat!AF6, VLOOKUP(Recharged_Feasible_matv3!$A68,test!$A$34:$G$37, 3,FALSE)=VLOOKUP(AG$1,test!$A$3:$I$32,3,FALSE)),1,0)</f>
        <v>0</v>
      </c>
    </row>
    <row r="69" spans="1:33" x14ac:dyDescent="0.25">
      <c r="A69" t="s">
        <v>97</v>
      </c>
      <c r="B69" t="s">
        <v>12</v>
      </c>
      <c r="C69">
        <v>0</v>
      </c>
      <c r="D69" s="2">
        <f>IF(AND(feasible_mat!C7, VLOOKUP(Recharged_Feasible_matv3!$A69,test!$A$34:$G$37, 3,FALSE)=VLOOKUP(D$1,test!$A$3:$I$32,3,FALSE)),1,0)</f>
        <v>0</v>
      </c>
      <c r="E69" s="2">
        <f>IF(AND(feasible_mat!D7, VLOOKUP(Recharged_Feasible_matv3!$A69,test!$A$34:$G$37, 3,FALSE)=VLOOKUP(E$1,test!$A$3:$I$32,3,FALSE)),1,0)</f>
        <v>0</v>
      </c>
      <c r="F69" s="2">
        <f>IF(AND(feasible_mat!E7, VLOOKUP(Recharged_Feasible_matv3!$A69,test!$A$34:$G$37, 3,FALSE)=VLOOKUP(F$1,test!$A$3:$I$32,3,FALSE)),1,0)</f>
        <v>0</v>
      </c>
      <c r="G69" s="2">
        <f>IF(AND(feasible_mat!F7, VLOOKUP(Recharged_Feasible_matv3!$A69,test!$A$34:$G$37, 3,FALSE)=VLOOKUP(G$1,test!$A$3:$I$32,3,FALSE)),1,0)</f>
        <v>0</v>
      </c>
      <c r="H69" s="2">
        <f>IF(AND(feasible_mat!G7, VLOOKUP(Recharged_Feasible_matv3!$A69,test!$A$34:$G$37, 3,FALSE)=VLOOKUP(H$1,test!$A$3:$I$32,3,FALSE)),1,0)</f>
        <v>0</v>
      </c>
      <c r="I69" s="2">
        <f>IF(AND(feasible_mat!H7, VLOOKUP(Recharged_Feasible_matv3!$A69,test!$A$34:$G$37, 3,FALSE)=VLOOKUP(I$1,test!$A$3:$I$32,3,FALSE)),1,0)</f>
        <v>0</v>
      </c>
      <c r="J69" s="2">
        <f>IF(AND(feasible_mat!I7, VLOOKUP(Recharged_Feasible_matv3!$A69,test!$A$34:$G$37, 3,FALSE)=VLOOKUP(J$1,test!$A$3:$I$32,3,FALSE)),1,0)</f>
        <v>0</v>
      </c>
      <c r="K69" s="2">
        <f>IF(AND(feasible_mat!J7, VLOOKUP(Recharged_Feasible_matv3!$A69,test!$A$34:$G$37, 3,FALSE)=VLOOKUP(K$1,test!$A$3:$I$32,3,FALSE)),1,0)</f>
        <v>0</v>
      </c>
      <c r="L69" s="2">
        <f>IF(AND(feasible_mat!K7, VLOOKUP(Recharged_Feasible_matv3!$A69,test!$A$34:$G$37, 3,FALSE)=VLOOKUP(L$1,test!$A$3:$I$32,3,FALSE)),1,0)</f>
        <v>0</v>
      </c>
      <c r="M69" s="2">
        <f>IF(AND(feasible_mat!L7, VLOOKUP(Recharged_Feasible_matv3!$A69,test!$A$34:$G$37, 3,FALSE)=VLOOKUP(M$1,test!$A$3:$I$32,3,FALSE)),1,0)</f>
        <v>0</v>
      </c>
      <c r="N69" s="2">
        <f>IF(AND(feasible_mat!M7, VLOOKUP(Recharged_Feasible_matv3!$A69,test!$A$34:$G$37, 3,FALSE)=VLOOKUP(N$1,test!$A$3:$I$32,3,FALSE)),1,0)</f>
        <v>0</v>
      </c>
      <c r="O69" s="2">
        <f>IF(AND(feasible_mat!N7, VLOOKUP(Recharged_Feasible_matv3!$A69,test!$A$34:$G$37, 3,FALSE)=VLOOKUP(O$1,test!$A$3:$I$32,3,FALSE)),1,0)</f>
        <v>0</v>
      </c>
      <c r="P69" s="2">
        <f>IF(AND(feasible_mat!O7, VLOOKUP(Recharged_Feasible_matv3!$A69,test!$A$34:$G$37, 3,FALSE)=VLOOKUP(P$1,test!$A$3:$I$32,3,FALSE)),1,0)</f>
        <v>0</v>
      </c>
      <c r="Q69" s="2">
        <f>IF(AND(feasible_mat!P7, VLOOKUP(Recharged_Feasible_matv3!$A69,test!$A$34:$G$37, 3,FALSE)=VLOOKUP(Q$1,test!$A$3:$I$32,3,FALSE)),1,0)</f>
        <v>0</v>
      </c>
      <c r="R69" s="2">
        <f>IF(AND(feasible_mat!Q7, VLOOKUP(Recharged_Feasible_matv3!$A69,test!$A$34:$G$37, 3,FALSE)=VLOOKUP(R$1,test!$A$3:$I$32,3,FALSE)),1,0)</f>
        <v>0</v>
      </c>
      <c r="S69" s="2">
        <f>IF(AND(feasible_mat!R7, VLOOKUP(Recharged_Feasible_matv3!$A69,test!$A$34:$G$37, 3,FALSE)=VLOOKUP(S$1,test!$A$3:$I$32,3,FALSE)),1,0)</f>
        <v>0</v>
      </c>
      <c r="T69" s="2">
        <f>IF(AND(feasible_mat!S7, VLOOKUP(Recharged_Feasible_matv3!$A69,test!$A$34:$G$37, 3,FALSE)=VLOOKUP(T$1,test!$A$3:$I$32,3,FALSE)),1,0)</f>
        <v>0</v>
      </c>
      <c r="U69" s="2">
        <f>IF(AND(feasible_mat!T7, VLOOKUP(Recharged_Feasible_matv3!$A69,test!$A$34:$G$37, 3,FALSE)=VLOOKUP(U$1,test!$A$3:$I$32,3,FALSE)),1,0)</f>
        <v>0</v>
      </c>
      <c r="V69" s="2">
        <f>IF(AND(feasible_mat!U7, VLOOKUP(Recharged_Feasible_matv3!$A69,test!$A$34:$G$37, 3,FALSE)=VLOOKUP(V$1,test!$A$3:$I$32,3,FALSE)),1,0)</f>
        <v>0</v>
      </c>
      <c r="W69" s="2">
        <f>IF(AND(feasible_mat!V7, VLOOKUP(Recharged_Feasible_matv3!$A69,test!$A$34:$G$37, 3,FALSE)=VLOOKUP(W$1,test!$A$3:$I$32,3,FALSE)),1,0)</f>
        <v>0</v>
      </c>
      <c r="X69" s="2">
        <f>IF(AND(feasible_mat!W7, VLOOKUP(Recharged_Feasible_matv3!$A69,test!$A$34:$G$37, 3,FALSE)=VLOOKUP(X$1,test!$A$3:$I$32,3,FALSE)),1,0)</f>
        <v>0</v>
      </c>
      <c r="Y69" s="2">
        <f>IF(AND(feasible_mat!X7, VLOOKUP(Recharged_Feasible_matv3!$A69,test!$A$34:$G$37, 3,FALSE)=VLOOKUP(Y$1,test!$A$3:$I$32,3,FALSE)),1,0)</f>
        <v>1</v>
      </c>
      <c r="Z69" s="2">
        <f>IF(AND(feasible_mat!Y7, VLOOKUP(Recharged_Feasible_matv3!$A69,test!$A$34:$G$37, 3,FALSE)=VLOOKUP(Z$1,test!$A$3:$I$32,3,FALSE)),1,0)</f>
        <v>0</v>
      </c>
      <c r="AA69" s="2">
        <f>IF(AND(feasible_mat!Z7, VLOOKUP(Recharged_Feasible_matv3!$A69,test!$A$34:$G$37, 3,FALSE)=VLOOKUP(AA$1,test!$A$3:$I$32,3,FALSE)),1,0)</f>
        <v>0</v>
      </c>
      <c r="AB69" s="2">
        <f>IF(AND(feasible_mat!AA7, VLOOKUP(Recharged_Feasible_matv3!$A69,test!$A$34:$G$37, 3,FALSE)=VLOOKUP(AB$1,test!$A$3:$I$32,3,FALSE)),1,0)</f>
        <v>0</v>
      </c>
      <c r="AC69" s="2">
        <f>IF(AND(feasible_mat!AB7, VLOOKUP(Recharged_Feasible_matv3!$A69,test!$A$34:$G$37, 3,FALSE)=VLOOKUP(AC$1,test!$A$3:$I$32,3,FALSE)),1,0)</f>
        <v>0</v>
      </c>
      <c r="AD69" s="2">
        <f>IF(AND(feasible_mat!AC7, VLOOKUP(Recharged_Feasible_matv3!$A69,test!$A$34:$G$37, 3,FALSE)=VLOOKUP(AD$1,test!$A$3:$I$32,3,FALSE)),1,0)</f>
        <v>0</v>
      </c>
      <c r="AE69" s="2">
        <f>IF(AND(feasible_mat!AD7, VLOOKUP(Recharged_Feasible_matv3!$A69,test!$A$34:$G$37, 3,FALSE)=VLOOKUP(AE$1,test!$A$3:$I$32,3,FALSE)),1,0)</f>
        <v>0</v>
      </c>
      <c r="AF69" s="2">
        <f>IF(AND(feasible_mat!AE7, VLOOKUP(Recharged_Feasible_matv3!$A69,test!$A$34:$G$37, 3,FALSE)=VLOOKUP(AF$1,test!$A$3:$I$32,3,FALSE)),1,0)</f>
        <v>0</v>
      </c>
      <c r="AG69" s="2">
        <f>IF(AND(feasible_mat!AF7, VLOOKUP(Recharged_Feasible_matv3!$A69,test!$A$34:$G$37, 3,FALSE)=VLOOKUP(AG$1,test!$A$3:$I$32,3,FALSE)),1,0)</f>
        <v>0</v>
      </c>
    </row>
    <row r="70" spans="1:33" x14ac:dyDescent="0.25">
      <c r="A70" t="s">
        <v>97</v>
      </c>
      <c r="B70" t="s">
        <v>13</v>
      </c>
      <c r="C70">
        <v>0</v>
      </c>
      <c r="D70" s="2">
        <f>IF(AND(feasible_mat!C8, VLOOKUP(Recharged_Feasible_matv3!$A70,test!$A$34:$G$37, 3,FALSE)=VLOOKUP(D$1,test!$A$3:$I$32,3,FALSE)),1,0)</f>
        <v>0</v>
      </c>
      <c r="E70" s="2">
        <f>IF(AND(feasible_mat!D8, VLOOKUP(Recharged_Feasible_matv3!$A70,test!$A$34:$G$37, 3,FALSE)=VLOOKUP(E$1,test!$A$3:$I$32,3,FALSE)),1,0)</f>
        <v>0</v>
      </c>
      <c r="F70" s="2">
        <f>IF(AND(feasible_mat!E8, VLOOKUP(Recharged_Feasible_matv3!$A70,test!$A$34:$G$37, 3,FALSE)=VLOOKUP(F$1,test!$A$3:$I$32,3,FALSE)),1,0)</f>
        <v>0</v>
      </c>
      <c r="G70" s="2">
        <f>IF(AND(feasible_mat!F8, VLOOKUP(Recharged_Feasible_matv3!$A70,test!$A$34:$G$37, 3,FALSE)=VLOOKUP(G$1,test!$A$3:$I$32,3,FALSE)),1,0)</f>
        <v>0</v>
      </c>
      <c r="H70" s="2">
        <f>IF(AND(feasible_mat!G8, VLOOKUP(Recharged_Feasible_matv3!$A70,test!$A$34:$G$37, 3,FALSE)=VLOOKUP(H$1,test!$A$3:$I$32,3,FALSE)),1,0)</f>
        <v>0</v>
      </c>
      <c r="I70" s="2">
        <f>IF(AND(feasible_mat!H8, VLOOKUP(Recharged_Feasible_matv3!$A70,test!$A$34:$G$37, 3,FALSE)=VLOOKUP(I$1,test!$A$3:$I$32,3,FALSE)),1,0)</f>
        <v>0</v>
      </c>
      <c r="J70" s="2">
        <f>IF(AND(feasible_mat!I8, VLOOKUP(Recharged_Feasible_matv3!$A70,test!$A$34:$G$37, 3,FALSE)=VLOOKUP(J$1,test!$A$3:$I$32,3,FALSE)),1,0)</f>
        <v>0</v>
      </c>
      <c r="K70" s="2">
        <f>IF(AND(feasible_mat!J8, VLOOKUP(Recharged_Feasible_matv3!$A70,test!$A$34:$G$37, 3,FALSE)=VLOOKUP(K$1,test!$A$3:$I$32,3,FALSE)),1,0)</f>
        <v>0</v>
      </c>
      <c r="L70" s="2">
        <f>IF(AND(feasible_mat!K8, VLOOKUP(Recharged_Feasible_matv3!$A70,test!$A$34:$G$37, 3,FALSE)=VLOOKUP(L$1,test!$A$3:$I$32,3,FALSE)),1,0)</f>
        <v>0</v>
      </c>
      <c r="M70" s="2">
        <f>IF(AND(feasible_mat!L8, VLOOKUP(Recharged_Feasible_matv3!$A70,test!$A$34:$G$37, 3,FALSE)=VLOOKUP(M$1,test!$A$3:$I$32,3,FALSE)),1,0)</f>
        <v>0</v>
      </c>
      <c r="N70" s="2">
        <f>IF(AND(feasible_mat!M8, VLOOKUP(Recharged_Feasible_matv3!$A70,test!$A$34:$G$37, 3,FALSE)=VLOOKUP(N$1,test!$A$3:$I$32,3,FALSE)),1,0)</f>
        <v>0</v>
      </c>
      <c r="O70" s="2">
        <f>IF(AND(feasible_mat!N8, VLOOKUP(Recharged_Feasible_matv3!$A70,test!$A$34:$G$37, 3,FALSE)=VLOOKUP(O$1,test!$A$3:$I$32,3,FALSE)),1,0)</f>
        <v>0</v>
      </c>
      <c r="P70" s="2">
        <f>IF(AND(feasible_mat!O8, VLOOKUP(Recharged_Feasible_matv3!$A70,test!$A$34:$G$37, 3,FALSE)=VLOOKUP(P$1,test!$A$3:$I$32,3,FALSE)),1,0)</f>
        <v>0</v>
      </c>
      <c r="Q70" s="2">
        <f>IF(AND(feasible_mat!P8, VLOOKUP(Recharged_Feasible_matv3!$A70,test!$A$34:$G$37, 3,FALSE)=VLOOKUP(Q$1,test!$A$3:$I$32,3,FALSE)),1,0)</f>
        <v>0</v>
      </c>
      <c r="R70" s="2">
        <f>IF(AND(feasible_mat!Q8, VLOOKUP(Recharged_Feasible_matv3!$A70,test!$A$34:$G$37, 3,FALSE)=VLOOKUP(R$1,test!$A$3:$I$32,3,FALSE)),1,0)</f>
        <v>0</v>
      </c>
      <c r="S70" s="2">
        <f>IF(AND(feasible_mat!R8, VLOOKUP(Recharged_Feasible_matv3!$A70,test!$A$34:$G$37, 3,FALSE)=VLOOKUP(S$1,test!$A$3:$I$32,3,FALSE)),1,0)</f>
        <v>0</v>
      </c>
      <c r="T70" s="2">
        <f>IF(AND(feasible_mat!S8, VLOOKUP(Recharged_Feasible_matv3!$A70,test!$A$34:$G$37, 3,FALSE)=VLOOKUP(T$1,test!$A$3:$I$32,3,FALSE)),1,0)</f>
        <v>0</v>
      </c>
      <c r="U70" s="2">
        <f>IF(AND(feasible_mat!T8, VLOOKUP(Recharged_Feasible_matv3!$A70,test!$A$34:$G$37, 3,FALSE)=VLOOKUP(U$1,test!$A$3:$I$32,3,FALSE)),1,0)</f>
        <v>0</v>
      </c>
      <c r="V70" s="2">
        <f>IF(AND(feasible_mat!U8, VLOOKUP(Recharged_Feasible_matv3!$A70,test!$A$34:$G$37, 3,FALSE)=VLOOKUP(V$1,test!$A$3:$I$32,3,FALSE)),1,0)</f>
        <v>0</v>
      </c>
      <c r="W70" s="2">
        <f>IF(AND(feasible_mat!V8, VLOOKUP(Recharged_Feasible_matv3!$A70,test!$A$34:$G$37, 3,FALSE)=VLOOKUP(W$1,test!$A$3:$I$32,3,FALSE)),1,0)</f>
        <v>0</v>
      </c>
      <c r="X70" s="2">
        <f>IF(AND(feasible_mat!W8, VLOOKUP(Recharged_Feasible_matv3!$A70,test!$A$34:$G$37, 3,FALSE)=VLOOKUP(X$1,test!$A$3:$I$32,3,FALSE)),1,0)</f>
        <v>0</v>
      </c>
      <c r="Y70" s="2">
        <f>IF(AND(feasible_mat!X8, VLOOKUP(Recharged_Feasible_matv3!$A70,test!$A$34:$G$37, 3,FALSE)=VLOOKUP(Y$1,test!$A$3:$I$32,3,FALSE)),1,0)</f>
        <v>0</v>
      </c>
      <c r="Z70" s="2">
        <f>IF(AND(feasible_mat!Y8, VLOOKUP(Recharged_Feasible_matv3!$A70,test!$A$34:$G$37, 3,FALSE)=VLOOKUP(Z$1,test!$A$3:$I$32,3,FALSE)),1,0)</f>
        <v>0</v>
      </c>
      <c r="AA70" s="2">
        <f>IF(AND(feasible_mat!Z8, VLOOKUP(Recharged_Feasible_matv3!$A70,test!$A$34:$G$37, 3,FALSE)=VLOOKUP(AA$1,test!$A$3:$I$32,3,FALSE)),1,0)</f>
        <v>0</v>
      </c>
      <c r="AB70" s="2">
        <f>IF(AND(feasible_mat!AA8, VLOOKUP(Recharged_Feasible_matv3!$A70,test!$A$34:$G$37, 3,FALSE)=VLOOKUP(AB$1,test!$A$3:$I$32,3,FALSE)),1,0)</f>
        <v>0</v>
      </c>
      <c r="AC70" s="2">
        <f>IF(AND(feasible_mat!AB8, VLOOKUP(Recharged_Feasible_matv3!$A70,test!$A$34:$G$37, 3,FALSE)=VLOOKUP(AC$1,test!$A$3:$I$32,3,FALSE)),1,0)</f>
        <v>0</v>
      </c>
      <c r="AD70" s="2">
        <f>IF(AND(feasible_mat!AC8, VLOOKUP(Recharged_Feasible_matv3!$A70,test!$A$34:$G$37, 3,FALSE)=VLOOKUP(AD$1,test!$A$3:$I$32,3,FALSE)),1,0)</f>
        <v>0</v>
      </c>
      <c r="AE70" s="2">
        <f>IF(AND(feasible_mat!AD8, VLOOKUP(Recharged_Feasible_matv3!$A70,test!$A$34:$G$37, 3,FALSE)=VLOOKUP(AE$1,test!$A$3:$I$32,3,FALSE)),1,0)</f>
        <v>0</v>
      </c>
      <c r="AF70" s="2">
        <f>IF(AND(feasible_mat!AE8, VLOOKUP(Recharged_Feasible_matv3!$A70,test!$A$34:$G$37, 3,FALSE)=VLOOKUP(AF$1,test!$A$3:$I$32,3,FALSE)),1,0)</f>
        <v>0</v>
      </c>
      <c r="AG70" s="2">
        <f>IF(AND(feasible_mat!AF8, VLOOKUP(Recharged_Feasible_matv3!$A70,test!$A$34:$G$37, 3,FALSE)=VLOOKUP(AG$1,test!$A$3:$I$32,3,FALSE)),1,0)</f>
        <v>0</v>
      </c>
    </row>
    <row r="71" spans="1:33" x14ac:dyDescent="0.25">
      <c r="A71" t="s">
        <v>97</v>
      </c>
      <c r="B71" t="s">
        <v>14</v>
      </c>
      <c r="C71">
        <v>0</v>
      </c>
      <c r="D71" s="2">
        <f>IF(AND(feasible_mat!C9, VLOOKUP(Recharged_Feasible_matv3!$A71,test!$A$34:$G$37, 3,FALSE)=VLOOKUP(D$1,test!$A$3:$I$32,3,FALSE)),1,0)</f>
        <v>0</v>
      </c>
      <c r="E71" s="2">
        <f>IF(AND(feasible_mat!D9, VLOOKUP(Recharged_Feasible_matv3!$A71,test!$A$34:$G$37, 3,FALSE)=VLOOKUP(E$1,test!$A$3:$I$32,3,FALSE)),1,0)</f>
        <v>0</v>
      </c>
      <c r="F71" s="2">
        <f>IF(AND(feasible_mat!E9, VLOOKUP(Recharged_Feasible_matv3!$A71,test!$A$34:$G$37, 3,FALSE)=VLOOKUP(F$1,test!$A$3:$I$32,3,FALSE)),1,0)</f>
        <v>0</v>
      </c>
      <c r="G71" s="2">
        <f>IF(AND(feasible_mat!F9, VLOOKUP(Recharged_Feasible_matv3!$A71,test!$A$34:$G$37, 3,FALSE)=VLOOKUP(G$1,test!$A$3:$I$32,3,FALSE)),1,0)</f>
        <v>0</v>
      </c>
      <c r="H71" s="2">
        <f>IF(AND(feasible_mat!G9, VLOOKUP(Recharged_Feasible_matv3!$A71,test!$A$34:$G$37, 3,FALSE)=VLOOKUP(H$1,test!$A$3:$I$32,3,FALSE)),1,0)</f>
        <v>0</v>
      </c>
      <c r="I71" s="2">
        <f>IF(AND(feasible_mat!H9, VLOOKUP(Recharged_Feasible_matv3!$A71,test!$A$34:$G$37, 3,FALSE)=VLOOKUP(I$1,test!$A$3:$I$32,3,FALSE)),1,0)</f>
        <v>0</v>
      </c>
      <c r="J71" s="2">
        <f>IF(AND(feasible_mat!I9, VLOOKUP(Recharged_Feasible_matv3!$A71,test!$A$34:$G$37, 3,FALSE)=VLOOKUP(J$1,test!$A$3:$I$32,3,FALSE)),1,0)</f>
        <v>0</v>
      </c>
      <c r="K71" s="2">
        <f>IF(AND(feasible_mat!J9, VLOOKUP(Recharged_Feasible_matv3!$A71,test!$A$34:$G$37, 3,FALSE)=VLOOKUP(K$1,test!$A$3:$I$32,3,FALSE)),1,0)</f>
        <v>0</v>
      </c>
      <c r="L71" s="2">
        <f>IF(AND(feasible_mat!K9, VLOOKUP(Recharged_Feasible_matv3!$A71,test!$A$34:$G$37, 3,FALSE)=VLOOKUP(L$1,test!$A$3:$I$32,3,FALSE)),1,0)</f>
        <v>0</v>
      </c>
      <c r="M71" s="2">
        <f>IF(AND(feasible_mat!L9, VLOOKUP(Recharged_Feasible_matv3!$A71,test!$A$34:$G$37, 3,FALSE)=VLOOKUP(M$1,test!$A$3:$I$32,3,FALSE)),1,0)</f>
        <v>0</v>
      </c>
      <c r="N71" s="2">
        <f>IF(AND(feasible_mat!M9, VLOOKUP(Recharged_Feasible_matv3!$A71,test!$A$34:$G$37, 3,FALSE)=VLOOKUP(N$1,test!$A$3:$I$32,3,FALSE)),1,0)</f>
        <v>0</v>
      </c>
      <c r="O71" s="2">
        <f>IF(AND(feasible_mat!N9, VLOOKUP(Recharged_Feasible_matv3!$A71,test!$A$34:$G$37, 3,FALSE)=VLOOKUP(O$1,test!$A$3:$I$32,3,FALSE)),1,0)</f>
        <v>0</v>
      </c>
      <c r="P71" s="2">
        <f>IF(AND(feasible_mat!O9, VLOOKUP(Recharged_Feasible_matv3!$A71,test!$A$34:$G$37, 3,FALSE)=VLOOKUP(P$1,test!$A$3:$I$32,3,FALSE)),1,0)</f>
        <v>0</v>
      </c>
      <c r="Q71" s="2">
        <f>IF(AND(feasible_mat!P9, VLOOKUP(Recharged_Feasible_matv3!$A71,test!$A$34:$G$37, 3,FALSE)=VLOOKUP(Q$1,test!$A$3:$I$32,3,FALSE)),1,0)</f>
        <v>0</v>
      </c>
      <c r="R71" s="2">
        <f>IF(AND(feasible_mat!Q9, VLOOKUP(Recharged_Feasible_matv3!$A71,test!$A$34:$G$37, 3,FALSE)=VLOOKUP(R$1,test!$A$3:$I$32,3,FALSE)),1,0)</f>
        <v>0</v>
      </c>
      <c r="S71" s="2">
        <f>IF(AND(feasible_mat!R9, VLOOKUP(Recharged_Feasible_matv3!$A71,test!$A$34:$G$37, 3,FALSE)=VLOOKUP(S$1,test!$A$3:$I$32,3,FALSE)),1,0)</f>
        <v>0</v>
      </c>
      <c r="T71" s="2">
        <f>IF(AND(feasible_mat!S9, VLOOKUP(Recharged_Feasible_matv3!$A71,test!$A$34:$G$37, 3,FALSE)=VLOOKUP(T$1,test!$A$3:$I$32,3,FALSE)),1,0)</f>
        <v>0</v>
      </c>
      <c r="U71" s="2">
        <f>IF(AND(feasible_mat!T9, VLOOKUP(Recharged_Feasible_matv3!$A71,test!$A$34:$G$37, 3,FALSE)=VLOOKUP(U$1,test!$A$3:$I$32,3,FALSE)),1,0)</f>
        <v>0</v>
      </c>
      <c r="V71" s="2">
        <f>IF(AND(feasible_mat!U9, VLOOKUP(Recharged_Feasible_matv3!$A71,test!$A$34:$G$37, 3,FALSE)=VLOOKUP(V$1,test!$A$3:$I$32,3,FALSE)),1,0)</f>
        <v>0</v>
      </c>
      <c r="W71" s="2">
        <f>IF(AND(feasible_mat!V9, VLOOKUP(Recharged_Feasible_matv3!$A71,test!$A$34:$G$37, 3,FALSE)=VLOOKUP(W$1,test!$A$3:$I$32,3,FALSE)),1,0)</f>
        <v>0</v>
      </c>
      <c r="X71" s="2">
        <f>IF(AND(feasible_mat!W9, VLOOKUP(Recharged_Feasible_matv3!$A71,test!$A$34:$G$37, 3,FALSE)=VLOOKUP(X$1,test!$A$3:$I$32,3,FALSE)),1,0)</f>
        <v>0</v>
      </c>
      <c r="Y71" s="2">
        <f>IF(AND(feasible_mat!X9, VLOOKUP(Recharged_Feasible_matv3!$A71,test!$A$34:$G$37, 3,FALSE)=VLOOKUP(Y$1,test!$A$3:$I$32,3,FALSE)),1,0)</f>
        <v>0</v>
      </c>
      <c r="Z71" s="2">
        <f>IF(AND(feasible_mat!Y9, VLOOKUP(Recharged_Feasible_matv3!$A71,test!$A$34:$G$37, 3,FALSE)=VLOOKUP(Z$1,test!$A$3:$I$32,3,FALSE)),1,0)</f>
        <v>0</v>
      </c>
      <c r="AA71" s="2">
        <f>IF(AND(feasible_mat!Z9, VLOOKUP(Recharged_Feasible_matv3!$A71,test!$A$34:$G$37, 3,FALSE)=VLOOKUP(AA$1,test!$A$3:$I$32,3,FALSE)),1,0)</f>
        <v>0</v>
      </c>
      <c r="AB71" s="2">
        <f>IF(AND(feasible_mat!AA9, VLOOKUP(Recharged_Feasible_matv3!$A71,test!$A$34:$G$37, 3,FALSE)=VLOOKUP(AB$1,test!$A$3:$I$32,3,FALSE)),1,0)</f>
        <v>0</v>
      </c>
      <c r="AC71" s="2">
        <f>IF(AND(feasible_mat!AB9, VLOOKUP(Recharged_Feasible_matv3!$A71,test!$A$34:$G$37, 3,FALSE)=VLOOKUP(AC$1,test!$A$3:$I$32,3,FALSE)),1,0)</f>
        <v>0</v>
      </c>
      <c r="AD71" s="2">
        <f>IF(AND(feasible_mat!AC9, VLOOKUP(Recharged_Feasible_matv3!$A71,test!$A$34:$G$37, 3,FALSE)=VLOOKUP(AD$1,test!$A$3:$I$32,3,FALSE)),1,0)</f>
        <v>0</v>
      </c>
      <c r="AE71" s="2">
        <f>IF(AND(feasible_mat!AD9, VLOOKUP(Recharged_Feasible_matv3!$A71,test!$A$34:$G$37, 3,FALSE)=VLOOKUP(AE$1,test!$A$3:$I$32,3,FALSE)),1,0)</f>
        <v>0</v>
      </c>
      <c r="AF71" s="2">
        <f>IF(AND(feasible_mat!AE9, VLOOKUP(Recharged_Feasible_matv3!$A71,test!$A$34:$G$37, 3,FALSE)=VLOOKUP(AF$1,test!$A$3:$I$32,3,FALSE)),1,0)</f>
        <v>0</v>
      </c>
      <c r="AG71" s="2">
        <f>IF(AND(feasible_mat!AF9, VLOOKUP(Recharged_Feasible_matv3!$A71,test!$A$34:$G$37, 3,FALSE)=VLOOKUP(AG$1,test!$A$3:$I$32,3,FALSE)),1,0)</f>
        <v>0</v>
      </c>
    </row>
    <row r="72" spans="1:33" x14ac:dyDescent="0.25">
      <c r="A72" t="s">
        <v>97</v>
      </c>
      <c r="B72" t="s">
        <v>15</v>
      </c>
      <c r="C72">
        <v>0</v>
      </c>
      <c r="D72" s="2">
        <f>IF(AND(feasible_mat!C10, VLOOKUP(Recharged_Feasible_matv3!$A72,test!$A$34:$G$37, 3,FALSE)=VLOOKUP(D$1,test!$A$3:$I$32,3,FALSE)),1,0)</f>
        <v>0</v>
      </c>
      <c r="E72" s="2">
        <f>IF(AND(feasible_mat!D10, VLOOKUP(Recharged_Feasible_matv3!$A72,test!$A$34:$G$37, 3,FALSE)=VLOOKUP(E$1,test!$A$3:$I$32,3,FALSE)),1,0)</f>
        <v>0</v>
      </c>
      <c r="F72" s="2">
        <f>IF(AND(feasible_mat!E10, VLOOKUP(Recharged_Feasible_matv3!$A72,test!$A$34:$G$37, 3,FALSE)=VLOOKUP(F$1,test!$A$3:$I$32,3,FALSE)),1,0)</f>
        <v>0</v>
      </c>
      <c r="G72" s="2">
        <f>IF(AND(feasible_mat!F10, VLOOKUP(Recharged_Feasible_matv3!$A72,test!$A$34:$G$37, 3,FALSE)=VLOOKUP(G$1,test!$A$3:$I$32,3,FALSE)),1,0)</f>
        <v>0</v>
      </c>
      <c r="H72" s="2">
        <f>IF(AND(feasible_mat!G10, VLOOKUP(Recharged_Feasible_matv3!$A72,test!$A$34:$G$37, 3,FALSE)=VLOOKUP(H$1,test!$A$3:$I$32,3,FALSE)),1,0)</f>
        <v>0</v>
      </c>
      <c r="I72" s="2">
        <f>IF(AND(feasible_mat!H10, VLOOKUP(Recharged_Feasible_matv3!$A72,test!$A$34:$G$37, 3,FALSE)=VLOOKUP(I$1,test!$A$3:$I$32,3,FALSE)),1,0)</f>
        <v>0</v>
      </c>
      <c r="J72" s="2">
        <f>IF(AND(feasible_mat!I10, VLOOKUP(Recharged_Feasible_matv3!$A72,test!$A$34:$G$37, 3,FALSE)=VLOOKUP(J$1,test!$A$3:$I$32,3,FALSE)),1,0)</f>
        <v>0</v>
      </c>
      <c r="K72" s="2">
        <f>IF(AND(feasible_mat!J10, VLOOKUP(Recharged_Feasible_matv3!$A72,test!$A$34:$G$37, 3,FALSE)=VLOOKUP(K$1,test!$A$3:$I$32,3,FALSE)),1,0)</f>
        <v>0</v>
      </c>
      <c r="L72" s="2">
        <f>IF(AND(feasible_mat!K10, VLOOKUP(Recharged_Feasible_matv3!$A72,test!$A$34:$G$37, 3,FALSE)=VLOOKUP(L$1,test!$A$3:$I$32,3,FALSE)),1,0)</f>
        <v>0</v>
      </c>
      <c r="M72" s="2">
        <f>IF(AND(feasible_mat!L10, VLOOKUP(Recharged_Feasible_matv3!$A72,test!$A$34:$G$37, 3,FALSE)=VLOOKUP(M$1,test!$A$3:$I$32,3,FALSE)),1,0)</f>
        <v>0</v>
      </c>
      <c r="N72" s="2">
        <f>IF(AND(feasible_mat!M10, VLOOKUP(Recharged_Feasible_matv3!$A72,test!$A$34:$G$37, 3,FALSE)=VLOOKUP(N$1,test!$A$3:$I$32,3,FALSE)),1,0)</f>
        <v>0</v>
      </c>
      <c r="O72" s="2">
        <f>IF(AND(feasible_mat!N10, VLOOKUP(Recharged_Feasible_matv3!$A72,test!$A$34:$G$37, 3,FALSE)=VLOOKUP(O$1,test!$A$3:$I$32,3,FALSE)),1,0)</f>
        <v>0</v>
      </c>
      <c r="P72" s="2">
        <f>IF(AND(feasible_mat!O10, VLOOKUP(Recharged_Feasible_matv3!$A72,test!$A$34:$G$37, 3,FALSE)=VLOOKUP(P$1,test!$A$3:$I$32,3,FALSE)),1,0)</f>
        <v>0</v>
      </c>
      <c r="Q72" s="2">
        <f>IF(AND(feasible_mat!P10, VLOOKUP(Recharged_Feasible_matv3!$A72,test!$A$34:$G$37, 3,FALSE)=VLOOKUP(Q$1,test!$A$3:$I$32,3,FALSE)),1,0)</f>
        <v>0</v>
      </c>
      <c r="R72" s="2">
        <f>IF(AND(feasible_mat!Q10, VLOOKUP(Recharged_Feasible_matv3!$A72,test!$A$34:$G$37, 3,FALSE)=VLOOKUP(R$1,test!$A$3:$I$32,3,FALSE)),1,0)</f>
        <v>0</v>
      </c>
      <c r="S72" s="2">
        <f>IF(AND(feasible_mat!R10, VLOOKUP(Recharged_Feasible_matv3!$A72,test!$A$34:$G$37, 3,FALSE)=VLOOKUP(S$1,test!$A$3:$I$32,3,FALSE)),1,0)</f>
        <v>0</v>
      </c>
      <c r="T72" s="2">
        <f>IF(AND(feasible_mat!S10, VLOOKUP(Recharged_Feasible_matv3!$A72,test!$A$34:$G$37, 3,FALSE)=VLOOKUP(T$1,test!$A$3:$I$32,3,FALSE)),1,0)</f>
        <v>0</v>
      </c>
      <c r="U72" s="2">
        <f>IF(AND(feasible_mat!T10, VLOOKUP(Recharged_Feasible_matv3!$A72,test!$A$34:$G$37, 3,FALSE)=VLOOKUP(U$1,test!$A$3:$I$32,3,FALSE)),1,0)</f>
        <v>0</v>
      </c>
      <c r="V72" s="2">
        <f>IF(AND(feasible_mat!U10, VLOOKUP(Recharged_Feasible_matv3!$A72,test!$A$34:$G$37, 3,FALSE)=VLOOKUP(V$1,test!$A$3:$I$32,3,FALSE)),1,0)</f>
        <v>0</v>
      </c>
      <c r="W72" s="2">
        <f>IF(AND(feasible_mat!V10, VLOOKUP(Recharged_Feasible_matv3!$A72,test!$A$34:$G$37, 3,FALSE)=VLOOKUP(W$1,test!$A$3:$I$32,3,FALSE)),1,0)</f>
        <v>0</v>
      </c>
      <c r="X72" s="2">
        <f>IF(AND(feasible_mat!W10, VLOOKUP(Recharged_Feasible_matv3!$A72,test!$A$34:$G$37, 3,FALSE)=VLOOKUP(X$1,test!$A$3:$I$32,3,FALSE)),1,0)</f>
        <v>0</v>
      </c>
      <c r="Y72" s="2">
        <f>IF(AND(feasible_mat!X10, VLOOKUP(Recharged_Feasible_matv3!$A72,test!$A$34:$G$37, 3,FALSE)=VLOOKUP(Y$1,test!$A$3:$I$32,3,FALSE)),1,0)</f>
        <v>0</v>
      </c>
      <c r="Z72" s="2">
        <f>IF(AND(feasible_mat!Y10, VLOOKUP(Recharged_Feasible_matv3!$A72,test!$A$34:$G$37, 3,FALSE)=VLOOKUP(Z$1,test!$A$3:$I$32,3,FALSE)),1,0)</f>
        <v>0</v>
      </c>
      <c r="AA72" s="2">
        <f>IF(AND(feasible_mat!Z10, VLOOKUP(Recharged_Feasible_matv3!$A72,test!$A$34:$G$37, 3,FALSE)=VLOOKUP(AA$1,test!$A$3:$I$32,3,FALSE)),1,0)</f>
        <v>0</v>
      </c>
      <c r="AB72" s="2">
        <f>IF(AND(feasible_mat!AA10, VLOOKUP(Recharged_Feasible_matv3!$A72,test!$A$34:$G$37, 3,FALSE)=VLOOKUP(AB$1,test!$A$3:$I$32,3,FALSE)),1,0)</f>
        <v>0</v>
      </c>
      <c r="AC72" s="2">
        <f>IF(AND(feasible_mat!AB10, VLOOKUP(Recharged_Feasible_matv3!$A72,test!$A$34:$G$37, 3,FALSE)=VLOOKUP(AC$1,test!$A$3:$I$32,3,FALSE)),1,0)</f>
        <v>0</v>
      </c>
      <c r="AD72" s="2">
        <f>IF(AND(feasible_mat!AC10, VLOOKUP(Recharged_Feasible_matv3!$A72,test!$A$34:$G$37, 3,FALSE)=VLOOKUP(AD$1,test!$A$3:$I$32,3,FALSE)),1,0)</f>
        <v>0</v>
      </c>
      <c r="AE72" s="2">
        <f>IF(AND(feasible_mat!AD10, VLOOKUP(Recharged_Feasible_matv3!$A72,test!$A$34:$G$37, 3,FALSE)=VLOOKUP(AE$1,test!$A$3:$I$32,3,FALSE)),1,0)</f>
        <v>0</v>
      </c>
      <c r="AF72" s="2">
        <f>IF(AND(feasible_mat!AE10, VLOOKUP(Recharged_Feasible_matv3!$A72,test!$A$34:$G$37, 3,FALSE)=VLOOKUP(AF$1,test!$A$3:$I$32,3,FALSE)),1,0)</f>
        <v>0</v>
      </c>
      <c r="AG72" s="2">
        <f>IF(AND(feasible_mat!AF10, VLOOKUP(Recharged_Feasible_matv3!$A72,test!$A$34:$G$37, 3,FALSE)=VLOOKUP(AG$1,test!$A$3:$I$32,3,FALSE)),1,0)</f>
        <v>0</v>
      </c>
    </row>
    <row r="73" spans="1:33" x14ac:dyDescent="0.25">
      <c r="A73" t="s">
        <v>97</v>
      </c>
      <c r="B73" t="s">
        <v>18</v>
      </c>
      <c r="C73">
        <v>0</v>
      </c>
      <c r="D73" s="2">
        <f>IF(AND(feasible_mat!C11, VLOOKUP(Recharged_Feasible_matv3!$A73,test!$A$34:$G$37, 3,FALSE)=VLOOKUP(D$1,test!$A$3:$I$32,3,FALSE)),1,0)</f>
        <v>0</v>
      </c>
      <c r="E73" s="2">
        <f>IF(AND(feasible_mat!D11, VLOOKUP(Recharged_Feasible_matv3!$A73,test!$A$34:$G$37, 3,FALSE)=VLOOKUP(E$1,test!$A$3:$I$32,3,FALSE)),1,0)</f>
        <v>0</v>
      </c>
      <c r="F73" s="2">
        <f>IF(AND(feasible_mat!E11, VLOOKUP(Recharged_Feasible_matv3!$A73,test!$A$34:$G$37, 3,FALSE)=VLOOKUP(F$1,test!$A$3:$I$32,3,FALSE)),1,0)</f>
        <v>0</v>
      </c>
      <c r="G73" s="2">
        <f>IF(AND(feasible_mat!F11, VLOOKUP(Recharged_Feasible_matv3!$A73,test!$A$34:$G$37, 3,FALSE)=VLOOKUP(G$1,test!$A$3:$I$32,3,FALSE)),1,0)</f>
        <v>0</v>
      </c>
      <c r="H73" s="2">
        <f>IF(AND(feasible_mat!G11, VLOOKUP(Recharged_Feasible_matv3!$A73,test!$A$34:$G$37, 3,FALSE)=VLOOKUP(H$1,test!$A$3:$I$32,3,FALSE)),1,0)</f>
        <v>0</v>
      </c>
      <c r="I73" s="2">
        <f>IF(AND(feasible_mat!H11, VLOOKUP(Recharged_Feasible_matv3!$A73,test!$A$34:$G$37, 3,FALSE)=VLOOKUP(I$1,test!$A$3:$I$32,3,FALSE)),1,0)</f>
        <v>0</v>
      </c>
      <c r="J73" s="2">
        <f>IF(AND(feasible_mat!I11, VLOOKUP(Recharged_Feasible_matv3!$A73,test!$A$34:$G$37, 3,FALSE)=VLOOKUP(J$1,test!$A$3:$I$32,3,FALSE)),1,0)</f>
        <v>0</v>
      </c>
      <c r="K73" s="2">
        <f>IF(AND(feasible_mat!J11, VLOOKUP(Recharged_Feasible_matv3!$A73,test!$A$34:$G$37, 3,FALSE)=VLOOKUP(K$1,test!$A$3:$I$32,3,FALSE)),1,0)</f>
        <v>0</v>
      </c>
      <c r="L73" s="2">
        <f>IF(AND(feasible_mat!K11, VLOOKUP(Recharged_Feasible_matv3!$A73,test!$A$34:$G$37, 3,FALSE)=VLOOKUP(L$1,test!$A$3:$I$32,3,FALSE)),1,0)</f>
        <v>0</v>
      </c>
      <c r="M73" s="2">
        <f>IF(AND(feasible_mat!L11, VLOOKUP(Recharged_Feasible_matv3!$A73,test!$A$34:$G$37, 3,FALSE)=VLOOKUP(M$1,test!$A$3:$I$32,3,FALSE)),1,0)</f>
        <v>0</v>
      </c>
      <c r="N73" s="2">
        <f>IF(AND(feasible_mat!M11, VLOOKUP(Recharged_Feasible_matv3!$A73,test!$A$34:$G$37, 3,FALSE)=VLOOKUP(N$1,test!$A$3:$I$32,3,FALSE)),1,0)</f>
        <v>0</v>
      </c>
      <c r="O73" s="2">
        <f>IF(AND(feasible_mat!N11, VLOOKUP(Recharged_Feasible_matv3!$A73,test!$A$34:$G$37, 3,FALSE)=VLOOKUP(O$1,test!$A$3:$I$32,3,FALSE)),1,0)</f>
        <v>0</v>
      </c>
      <c r="P73" s="2">
        <f>IF(AND(feasible_mat!O11, VLOOKUP(Recharged_Feasible_matv3!$A73,test!$A$34:$G$37, 3,FALSE)=VLOOKUP(P$1,test!$A$3:$I$32,3,FALSE)),1,0)</f>
        <v>0</v>
      </c>
      <c r="Q73" s="2">
        <f>IF(AND(feasible_mat!P11, VLOOKUP(Recharged_Feasible_matv3!$A73,test!$A$34:$G$37, 3,FALSE)=VLOOKUP(Q$1,test!$A$3:$I$32,3,FALSE)),1,0)</f>
        <v>0</v>
      </c>
      <c r="R73" s="2">
        <f>IF(AND(feasible_mat!Q11, VLOOKUP(Recharged_Feasible_matv3!$A73,test!$A$34:$G$37, 3,FALSE)=VLOOKUP(R$1,test!$A$3:$I$32,3,FALSE)),1,0)</f>
        <v>0</v>
      </c>
      <c r="S73" s="2">
        <f>IF(AND(feasible_mat!R11, VLOOKUP(Recharged_Feasible_matv3!$A73,test!$A$34:$G$37, 3,FALSE)=VLOOKUP(S$1,test!$A$3:$I$32,3,FALSE)),1,0)</f>
        <v>0</v>
      </c>
      <c r="T73" s="2">
        <f>IF(AND(feasible_mat!S11, VLOOKUP(Recharged_Feasible_matv3!$A73,test!$A$34:$G$37, 3,FALSE)=VLOOKUP(T$1,test!$A$3:$I$32,3,FALSE)),1,0)</f>
        <v>1</v>
      </c>
      <c r="U73" s="2">
        <f>IF(AND(feasible_mat!T11, VLOOKUP(Recharged_Feasible_matv3!$A73,test!$A$34:$G$37, 3,FALSE)=VLOOKUP(U$1,test!$A$3:$I$32,3,FALSE)),1,0)</f>
        <v>1</v>
      </c>
      <c r="V73" s="2">
        <f>IF(AND(feasible_mat!U11, VLOOKUP(Recharged_Feasible_matv3!$A73,test!$A$34:$G$37, 3,FALSE)=VLOOKUP(V$1,test!$A$3:$I$32,3,FALSE)),1,0)</f>
        <v>1</v>
      </c>
      <c r="W73" s="2">
        <f>IF(AND(feasible_mat!V11, VLOOKUP(Recharged_Feasible_matv3!$A73,test!$A$34:$G$37, 3,FALSE)=VLOOKUP(W$1,test!$A$3:$I$32,3,FALSE)),1,0)</f>
        <v>1</v>
      </c>
      <c r="X73" s="2">
        <f>IF(AND(feasible_mat!W11, VLOOKUP(Recharged_Feasible_matv3!$A73,test!$A$34:$G$37, 3,FALSE)=VLOOKUP(X$1,test!$A$3:$I$32,3,FALSE)),1,0)</f>
        <v>1</v>
      </c>
      <c r="Y73" s="2">
        <f>IF(AND(feasible_mat!X11, VLOOKUP(Recharged_Feasible_matv3!$A73,test!$A$34:$G$37, 3,FALSE)=VLOOKUP(Y$1,test!$A$3:$I$32,3,FALSE)),1,0)</f>
        <v>1</v>
      </c>
      <c r="Z73" s="2">
        <f>IF(AND(feasible_mat!Y11, VLOOKUP(Recharged_Feasible_matv3!$A73,test!$A$34:$G$37, 3,FALSE)=VLOOKUP(Z$1,test!$A$3:$I$32,3,FALSE)),1,0)</f>
        <v>0</v>
      </c>
      <c r="AA73" s="2">
        <f>IF(AND(feasible_mat!Z11, VLOOKUP(Recharged_Feasible_matv3!$A73,test!$A$34:$G$37, 3,FALSE)=VLOOKUP(AA$1,test!$A$3:$I$32,3,FALSE)),1,0)</f>
        <v>0</v>
      </c>
      <c r="AB73" s="2">
        <f>IF(AND(feasible_mat!AA11, VLOOKUP(Recharged_Feasible_matv3!$A73,test!$A$34:$G$37, 3,FALSE)=VLOOKUP(AB$1,test!$A$3:$I$32,3,FALSE)),1,0)</f>
        <v>0</v>
      </c>
      <c r="AC73" s="2">
        <f>IF(AND(feasible_mat!AB11, VLOOKUP(Recharged_Feasible_matv3!$A73,test!$A$34:$G$37, 3,FALSE)=VLOOKUP(AC$1,test!$A$3:$I$32,3,FALSE)),1,0)</f>
        <v>0</v>
      </c>
      <c r="AD73" s="2">
        <f>IF(AND(feasible_mat!AC11, VLOOKUP(Recharged_Feasible_matv3!$A73,test!$A$34:$G$37, 3,FALSE)=VLOOKUP(AD$1,test!$A$3:$I$32,3,FALSE)),1,0)</f>
        <v>0</v>
      </c>
      <c r="AE73" s="2">
        <f>IF(AND(feasible_mat!AD11, VLOOKUP(Recharged_Feasible_matv3!$A73,test!$A$34:$G$37, 3,FALSE)=VLOOKUP(AE$1,test!$A$3:$I$32,3,FALSE)),1,0)</f>
        <v>0</v>
      </c>
      <c r="AF73" s="2">
        <f>IF(AND(feasible_mat!AE11, VLOOKUP(Recharged_Feasible_matv3!$A73,test!$A$34:$G$37, 3,FALSE)=VLOOKUP(AF$1,test!$A$3:$I$32,3,FALSE)),1,0)</f>
        <v>0</v>
      </c>
      <c r="AG73" s="2">
        <f>IF(AND(feasible_mat!AF11, VLOOKUP(Recharged_Feasible_matv3!$A73,test!$A$34:$G$37, 3,FALSE)=VLOOKUP(AG$1,test!$A$3:$I$32,3,FALSE)),1,0)</f>
        <v>0</v>
      </c>
    </row>
    <row r="74" spans="1:33" x14ac:dyDescent="0.25">
      <c r="A74" t="s">
        <v>97</v>
      </c>
      <c r="B74" t="s">
        <v>20</v>
      </c>
      <c r="C74">
        <v>0</v>
      </c>
      <c r="D74" s="2">
        <f>IF(AND(feasible_mat!C12, VLOOKUP(Recharged_Feasible_matv3!$A74,test!$A$34:$G$37, 3,FALSE)=VLOOKUP(D$1,test!$A$3:$I$32,3,FALSE)),1,0)</f>
        <v>0</v>
      </c>
      <c r="E74" s="2">
        <f>IF(AND(feasible_mat!D12, VLOOKUP(Recharged_Feasible_matv3!$A74,test!$A$34:$G$37, 3,FALSE)=VLOOKUP(E$1,test!$A$3:$I$32,3,FALSE)),1,0)</f>
        <v>0</v>
      </c>
      <c r="F74" s="2">
        <f>IF(AND(feasible_mat!E12, VLOOKUP(Recharged_Feasible_matv3!$A74,test!$A$34:$G$37, 3,FALSE)=VLOOKUP(F$1,test!$A$3:$I$32,3,FALSE)),1,0)</f>
        <v>0</v>
      </c>
      <c r="G74" s="2">
        <f>IF(AND(feasible_mat!F12, VLOOKUP(Recharged_Feasible_matv3!$A74,test!$A$34:$G$37, 3,FALSE)=VLOOKUP(G$1,test!$A$3:$I$32,3,FALSE)),1,0)</f>
        <v>0</v>
      </c>
      <c r="H74" s="2">
        <f>IF(AND(feasible_mat!G12, VLOOKUP(Recharged_Feasible_matv3!$A74,test!$A$34:$G$37, 3,FALSE)=VLOOKUP(H$1,test!$A$3:$I$32,3,FALSE)),1,0)</f>
        <v>0</v>
      </c>
      <c r="I74" s="2">
        <f>IF(AND(feasible_mat!H12, VLOOKUP(Recharged_Feasible_matv3!$A74,test!$A$34:$G$37, 3,FALSE)=VLOOKUP(I$1,test!$A$3:$I$32,3,FALSE)),1,0)</f>
        <v>0</v>
      </c>
      <c r="J74" s="2">
        <f>IF(AND(feasible_mat!I12, VLOOKUP(Recharged_Feasible_matv3!$A74,test!$A$34:$G$37, 3,FALSE)=VLOOKUP(J$1,test!$A$3:$I$32,3,FALSE)),1,0)</f>
        <v>0</v>
      </c>
      <c r="K74" s="2">
        <f>IF(AND(feasible_mat!J12, VLOOKUP(Recharged_Feasible_matv3!$A74,test!$A$34:$G$37, 3,FALSE)=VLOOKUP(K$1,test!$A$3:$I$32,3,FALSE)),1,0)</f>
        <v>0</v>
      </c>
      <c r="L74" s="2">
        <f>IF(AND(feasible_mat!K12, VLOOKUP(Recharged_Feasible_matv3!$A74,test!$A$34:$G$37, 3,FALSE)=VLOOKUP(L$1,test!$A$3:$I$32,3,FALSE)),1,0)</f>
        <v>0</v>
      </c>
      <c r="M74" s="2">
        <f>IF(AND(feasible_mat!L12, VLOOKUP(Recharged_Feasible_matv3!$A74,test!$A$34:$G$37, 3,FALSE)=VLOOKUP(M$1,test!$A$3:$I$32,3,FALSE)),1,0)</f>
        <v>0</v>
      </c>
      <c r="N74" s="2">
        <f>IF(AND(feasible_mat!M12, VLOOKUP(Recharged_Feasible_matv3!$A74,test!$A$34:$G$37, 3,FALSE)=VLOOKUP(N$1,test!$A$3:$I$32,3,FALSE)),1,0)</f>
        <v>0</v>
      </c>
      <c r="O74" s="2">
        <f>IF(AND(feasible_mat!N12, VLOOKUP(Recharged_Feasible_matv3!$A74,test!$A$34:$G$37, 3,FALSE)=VLOOKUP(O$1,test!$A$3:$I$32,3,FALSE)),1,0)</f>
        <v>0</v>
      </c>
      <c r="P74" s="2">
        <f>IF(AND(feasible_mat!O12, VLOOKUP(Recharged_Feasible_matv3!$A74,test!$A$34:$G$37, 3,FALSE)=VLOOKUP(P$1,test!$A$3:$I$32,3,FALSE)),1,0)</f>
        <v>0</v>
      </c>
      <c r="Q74" s="2">
        <f>IF(AND(feasible_mat!P12, VLOOKUP(Recharged_Feasible_matv3!$A74,test!$A$34:$G$37, 3,FALSE)=VLOOKUP(Q$1,test!$A$3:$I$32,3,FALSE)),1,0)</f>
        <v>0</v>
      </c>
      <c r="R74" s="2">
        <f>IF(AND(feasible_mat!Q12, VLOOKUP(Recharged_Feasible_matv3!$A74,test!$A$34:$G$37, 3,FALSE)=VLOOKUP(R$1,test!$A$3:$I$32,3,FALSE)),1,0)</f>
        <v>0</v>
      </c>
      <c r="S74" s="2">
        <f>IF(AND(feasible_mat!R12, VLOOKUP(Recharged_Feasible_matv3!$A74,test!$A$34:$G$37, 3,FALSE)=VLOOKUP(S$1,test!$A$3:$I$32,3,FALSE)),1,0)</f>
        <v>0</v>
      </c>
      <c r="T74" s="2">
        <f>IF(AND(feasible_mat!S12, VLOOKUP(Recharged_Feasible_matv3!$A74,test!$A$34:$G$37, 3,FALSE)=VLOOKUP(T$1,test!$A$3:$I$32,3,FALSE)),1,0)</f>
        <v>0</v>
      </c>
      <c r="U74" s="2">
        <f>IF(AND(feasible_mat!T12, VLOOKUP(Recharged_Feasible_matv3!$A74,test!$A$34:$G$37, 3,FALSE)=VLOOKUP(U$1,test!$A$3:$I$32,3,FALSE)),1,0)</f>
        <v>0</v>
      </c>
      <c r="V74" s="2">
        <f>IF(AND(feasible_mat!U12, VLOOKUP(Recharged_Feasible_matv3!$A74,test!$A$34:$G$37, 3,FALSE)=VLOOKUP(V$1,test!$A$3:$I$32,3,FALSE)),1,0)</f>
        <v>1</v>
      </c>
      <c r="W74" s="2">
        <f>IF(AND(feasible_mat!V12, VLOOKUP(Recharged_Feasible_matv3!$A74,test!$A$34:$G$37, 3,FALSE)=VLOOKUP(W$1,test!$A$3:$I$32,3,FALSE)),1,0)</f>
        <v>1</v>
      </c>
      <c r="X74" s="2">
        <f>IF(AND(feasible_mat!W12, VLOOKUP(Recharged_Feasible_matv3!$A74,test!$A$34:$G$37, 3,FALSE)=VLOOKUP(X$1,test!$A$3:$I$32,3,FALSE)),1,0)</f>
        <v>1</v>
      </c>
      <c r="Y74" s="2">
        <f>IF(AND(feasible_mat!X12, VLOOKUP(Recharged_Feasible_matv3!$A74,test!$A$34:$G$37, 3,FALSE)=VLOOKUP(Y$1,test!$A$3:$I$32,3,FALSE)),1,0)</f>
        <v>1</v>
      </c>
      <c r="Z74" s="2">
        <f>IF(AND(feasible_mat!Y12, VLOOKUP(Recharged_Feasible_matv3!$A74,test!$A$34:$G$37, 3,FALSE)=VLOOKUP(Z$1,test!$A$3:$I$32,3,FALSE)),1,0)</f>
        <v>0</v>
      </c>
      <c r="AA74" s="2">
        <f>IF(AND(feasible_mat!Z12, VLOOKUP(Recharged_Feasible_matv3!$A74,test!$A$34:$G$37, 3,FALSE)=VLOOKUP(AA$1,test!$A$3:$I$32,3,FALSE)),1,0)</f>
        <v>0</v>
      </c>
      <c r="AB74" s="2">
        <f>IF(AND(feasible_mat!AA12, VLOOKUP(Recharged_Feasible_matv3!$A74,test!$A$34:$G$37, 3,FALSE)=VLOOKUP(AB$1,test!$A$3:$I$32,3,FALSE)),1,0)</f>
        <v>0</v>
      </c>
      <c r="AC74" s="2">
        <f>IF(AND(feasible_mat!AB12, VLOOKUP(Recharged_Feasible_matv3!$A74,test!$A$34:$G$37, 3,FALSE)=VLOOKUP(AC$1,test!$A$3:$I$32,3,FALSE)),1,0)</f>
        <v>0</v>
      </c>
      <c r="AD74" s="2">
        <f>IF(AND(feasible_mat!AC12, VLOOKUP(Recharged_Feasible_matv3!$A74,test!$A$34:$G$37, 3,FALSE)=VLOOKUP(AD$1,test!$A$3:$I$32,3,FALSE)),1,0)</f>
        <v>0</v>
      </c>
      <c r="AE74" s="2">
        <f>IF(AND(feasible_mat!AD12, VLOOKUP(Recharged_Feasible_matv3!$A74,test!$A$34:$G$37, 3,FALSE)=VLOOKUP(AE$1,test!$A$3:$I$32,3,FALSE)),1,0)</f>
        <v>0</v>
      </c>
      <c r="AF74" s="2">
        <f>IF(AND(feasible_mat!AE12, VLOOKUP(Recharged_Feasible_matv3!$A74,test!$A$34:$G$37, 3,FALSE)=VLOOKUP(AF$1,test!$A$3:$I$32,3,FALSE)),1,0)</f>
        <v>0</v>
      </c>
      <c r="AG74" s="2">
        <f>IF(AND(feasible_mat!AF12, VLOOKUP(Recharged_Feasible_matv3!$A74,test!$A$34:$G$37, 3,FALSE)=VLOOKUP(AG$1,test!$A$3:$I$32,3,FALSE)),1,0)</f>
        <v>0</v>
      </c>
    </row>
    <row r="75" spans="1:33" x14ac:dyDescent="0.25">
      <c r="A75" t="s">
        <v>97</v>
      </c>
      <c r="B75" t="s">
        <v>21</v>
      </c>
      <c r="C75">
        <v>0</v>
      </c>
      <c r="D75" s="2">
        <f>IF(AND(feasible_mat!C13, VLOOKUP(Recharged_Feasible_matv3!$A75,test!$A$34:$G$37, 3,FALSE)=VLOOKUP(D$1,test!$A$3:$I$32,3,FALSE)),1,0)</f>
        <v>0</v>
      </c>
      <c r="E75" s="2">
        <f>IF(AND(feasible_mat!D13, VLOOKUP(Recharged_Feasible_matv3!$A75,test!$A$34:$G$37, 3,FALSE)=VLOOKUP(E$1,test!$A$3:$I$32,3,FALSE)),1,0)</f>
        <v>0</v>
      </c>
      <c r="F75" s="2">
        <f>IF(AND(feasible_mat!E13, VLOOKUP(Recharged_Feasible_matv3!$A75,test!$A$34:$G$37, 3,FALSE)=VLOOKUP(F$1,test!$A$3:$I$32,3,FALSE)),1,0)</f>
        <v>0</v>
      </c>
      <c r="G75" s="2">
        <f>IF(AND(feasible_mat!F13, VLOOKUP(Recharged_Feasible_matv3!$A75,test!$A$34:$G$37, 3,FALSE)=VLOOKUP(G$1,test!$A$3:$I$32,3,FALSE)),1,0)</f>
        <v>0</v>
      </c>
      <c r="H75" s="2">
        <f>IF(AND(feasible_mat!G13, VLOOKUP(Recharged_Feasible_matv3!$A75,test!$A$34:$G$37, 3,FALSE)=VLOOKUP(H$1,test!$A$3:$I$32,3,FALSE)),1,0)</f>
        <v>0</v>
      </c>
      <c r="I75" s="2">
        <f>IF(AND(feasible_mat!H13, VLOOKUP(Recharged_Feasible_matv3!$A75,test!$A$34:$G$37, 3,FALSE)=VLOOKUP(I$1,test!$A$3:$I$32,3,FALSE)),1,0)</f>
        <v>0</v>
      </c>
      <c r="J75" s="2">
        <f>IF(AND(feasible_mat!I13, VLOOKUP(Recharged_Feasible_matv3!$A75,test!$A$34:$G$37, 3,FALSE)=VLOOKUP(J$1,test!$A$3:$I$32,3,FALSE)),1,0)</f>
        <v>0</v>
      </c>
      <c r="K75" s="2">
        <f>IF(AND(feasible_mat!J13, VLOOKUP(Recharged_Feasible_matv3!$A75,test!$A$34:$G$37, 3,FALSE)=VLOOKUP(K$1,test!$A$3:$I$32,3,FALSE)),1,0)</f>
        <v>0</v>
      </c>
      <c r="L75" s="2">
        <f>IF(AND(feasible_mat!K13, VLOOKUP(Recharged_Feasible_matv3!$A75,test!$A$34:$G$37, 3,FALSE)=VLOOKUP(L$1,test!$A$3:$I$32,3,FALSE)),1,0)</f>
        <v>0</v>
      </c>
      <c r="M75" s="2">
        <f>IF(AND(feasible_mat!L13, VLOOKUP(Recharged_Feasible_matv3!$A75,test!$A$34:$G$37, 3,FALSE)=VLOOKUP(M$1,test!$A$3:$I$32,3,FALSE)),1,0)</f>
        <v>0</v>
      </c>
      <c r="N75" s="2">
        <f>IF(AND(feasible_mat!M13, VLOOKUP(Recharged_Feasible_matv3!$A75,test!$A$34:$G$37, 3,FALSE)=VLOOKUP(N$1,test!$A$3:$I$32,3,FALSE)),1,0)</f>
        <v>0</v>
      </c>
      <c r="O75" s="2">
        <f>IF(AND(feasible_mat!N13, VLOOKUP(Recharged_Feasible_matv3!$A75,test!$A$34:$G$37, 3,FALSE)=VLOOKUP(O$1,test!$A$3:$I$32,3,FALSE)),1,0)</f>
        <v>0</v>
      </c>
      <c r="P75" s="2">
        <f>IF(AND(feasible_mat!O13, VLOOKUP(Recharged_Feasible_matv3!$A75,test!$A$34:$G$37, 3,FALSE)=VLOOKUP(P$1,test!$A$3:$I$32,3,FALSE)),1,0)</f>
        <v>0</v>
      </c>
      <c r="Q75" s="2">
        <f>IF(AND(feasible_mat!P13, VLOOKUP(Recharged_Feasible_matv3!$A75,test!$A$34:$G$37, 3,FALSE)=VLOOKUP(Q$1,test!$A$3:$I$32,3,FALSE)),1,0)</f>
        <v>0</v>
      </c>
      <c r="R75" s="2">
        <f>IF(AND(feasible_mat!Q13, VLOOKUP(Recharged_Feasible_matv3!$A75,test!$A$34:$G$37, 3,FALSE)=VLOOKUP(R$1,test!$A$3:$I$32,3,FALSE)),1,0)</f>
        <v>0</v>
      </c>
      <c r="S75" s="2">
        <f>IF(AND(feasible_mat!R13, VLOOKUP(Recharged_Feasible_matv3!$A75,test!$A$34:$G$37, 3,FALSE)=VLOOKUP(S$1,test!$A$3:$I$32,3,FALSE)),1,0)</f>
        <v>0</v>
      </c>
      <c r="T75" s="2">
        <f>IF(AND(feasible_mat!S13, VLOOKUP(Recharged_Feasible_matv3!$A75,test!$A$34:$G$37, 3,FALSE)=VLOOKUP(T$1,test!$A$3:$I$32,3,FALSE)),1,0)</f>
        <v>0</v>
      </c>
      <c r="U75" s="2">
        <f>IF(AND(feasible_mat!T13, VLOOKUP(Recharged_Feasible_matv3!$A75,test!$A$34:$G$37, 3,FALSE)=VLOOKUP(U$1,test!$A$3:$I$32,3,FALSE)),1,0)</f>
        <v>0</v>
      </c>
      <c r="V75" s="2">
        <f>IF(AND(feasible_mat!U13, VLOOKUP(Recharged_Feasible_matv3!$A75,test!$A$34:$G$37, 3,FALSE)=VLOOKUP(V$1,test!$A$3:$I$32,3,FALSE)),1,0)</f>
        <v>0</v>
      </c>
      <c r="W75" s="2">
        <f>IF(AND(feasible_mat!V13, VLOOKUP(Recharged_Feasible_matv3!$A75,test!$A$34:$G$37, 3,FALSE)=VLOOKUP(W$1,test!$A$3:$I$32,3,FALSE)),1,0)</f>
        <v>1</v>
      </c>
      <c r="X75" s="2">
        <f>IF(AND(feasible_mat!W13, VLOOKUP(Recharged_Feasible_matv3!$A75,test!$A$34:$G$37, 3,FALSE)=VLOOKUP(X$1,test!$A$3:$I$32,3,FALSE)),1,0)</f>
        <v>1</v>
      </c>
      <c r="Y75" s="2">
        <f>IF(AND(feasible_mat!X13, VLOOKUP(Recharged_Feasible_matv3!$A75,test!$A$34:$G$37, 3,FALSE)=VLOOKUP(Y$1,test!$A$3:$I$32,3,FALSE)),1,0)</f>
        <v>1</v>
      </c>
      <c r="Z75" s="2">
        <f>IF(AND(feasible_mat!Y13, VLOOKUP(Recharged_Feasible_matv3!$A75,test!$A$34:$G$37, 3,FALSE)=VLOOKUP(Z$1,test!$A$3:$I$32,3,FALSE)),1,0)</f>
        <v>0</v>
      </c>
      <c r="AA75" s="2">
        <f>IF(AND(feasible_mat!Z13, VLOOKUP(Recharged_Feasible_matv3!$A75,test!$A$34:$G$37, 3,FALSE)=VLOOKUP(AA$1,test!$A$3:$I$32,3,FALSE)),1,0)</f>
        <v>0</v>
      </c>
      <c r="AB75" s="2">
        <f>IF(AND(feasible_mat!AA13, VLOOKUP(Recharged_Feasible_matv3!$A75,test!$A$34:$G$37, 3,FALSE)=VLOOKUP(AB$1,test!$A$3:$I$32,3,FALSE)),1,0)</f>
        <v>0</v>
      </c>
      <c r="AC75" s="2">
        <f>IF(AND(feasible_mat!AB13, VLOOKUP(Recharged_Feasible_matv3!$A75,test!$A$34:$G$37, 3,FALSE)=VLOOKUP(AC$1,test!$A$3:$I$32,3,FALSE)),1,0)</f>
        <v>0</v>
      </c>
      <c r="AD75" s="2">
        <f>IF(AND(feasible_mat!AC13, VLOOKUP(Recharged_Feasible_matv3!$A75,test!$A$34:$G$37, 3,FALSE)=VLOOKUP(AD$1,test!$A$3:$I$32,3,FALSE)),1,0)</f>
        <v>0</v>
      </c>
      <c r="AE75" s="2">
        <f>IF(AND(feasible_mat!AD13, VLOOKUP(Recharged_Feasible_matv3!$A75,test!$A$34:$G$37, 3,FALSE)=VLOOKUP(AE$1,test!$A$3:$I$32,3,FALSE)),1,0)</f>
        <v>0</v>
      </c>
      <c r="AF75" s="2">
        <f>IF(AND(feasible_mat!AE13, VLOOKUP(Recharged_Feasible_matv3!$A75,test!$A$34:$G$37, 3,FALSE)=VLOOKUP(AF$1,test!$A$3:$I$32,3,FALSE)),1,0)</f>
        <v>0</v>
      </c>
      <c r="AG75" s="2">
        <f>IF(AND(feasible_mat!AF13, VLOOKUP(Recharged_Feasible_matv3!$A75,test!$A$34:$G$37, 3,FALSE)=VLOOKUP(AG$1,test!$A$3:$I$32,3,FALSE)),1,0)</f>
        <v>0</v>
      </c>
    </row>
    <row r="76" spans="1:33" x14ac:dyDescent="0.25">
      <c r="A76" t="s">
        <v>97</v>
      </c>
      <c r="B76" t="s">
        <v>22</v>
      </c>
      <c r="C76">
        <v>0</v>
      </c>
      <c r="D76" s="2">
        <f>IF(AND(feasible_mat!C14, VLOOKUP(Recharged_Feasible_matv3!$A76,test!$A$34:$G$37, 3,FALSE)=VLOOKUP(D$1,test!$A$3:$I$32,3,FALSE)),1,0)</f>
        <v>0</v>
      </c>
      <c r="E76" s="2">
        <f>IF(AND(feasible_mat!D14, VLOOKUP(Recharged_Feasible_matv3!$A76,test!$A$34:$G$37, 3,FALSE)=VLOOKUP(E$1,test!$A$3:$I$32,3,FALSE)),1,0)</f>
        <v>0</v>
      </c>
      <c r="F76" s="2">
        <f>IF(AND(feasible_mat!E14, VLOOKUP(Recharged_Feasible_matv3!$A76,test!$A$34:$G$37, 3,FALSE)=VLOOKUP(F$1,test!$A$3:$I$32,3,FALSE)),1,0)</f>
        <v>0</v>
      </c>
      <c r="G76" s="2">
        <f>IF(AND(feasible_mat!F14, VLOOKUP(Recharged_Feasible_matv3!$A76,test!$A$34:$G$37, 3,FALSE)=VLOOKUP(G$1,test!$A$3:$I$32,3,FALSE)),1,0)</f>
        <v>0</v>
      </c>
      <c r="H76" s="2">
        <f>IF(AND(feasible_mat!G14, VLOOKUP(Recharged_Feasible_matv3!$A76,test!$A$34:$G$37, 3,FALSE)=VLOOKUP(H$1,test!$A$3:$I$32,3,FALSE)),1,0)</f>
        <v>0</v>
      </c>
      <c r="I76" s="2">
        <f>IF(AND(feasible_mat!H14, VLOOKUP(Recharged_Feasible_matv3!$A76,test!$A$34:$G$37, 3,FALSE)=VLOOKUP(I$1,test!$A$3:$I$32,3,FALSE)),1,0)</f>
        <v>0</v>
      </c>
      <c r="J76" s="2">
        <f>IF(AND(feasible_mat!I14, VLOOKUP(Recharged_Feasible_matv3!$A76,test!$A$34:$G$37, 3,FALSE)=VLOOKUP(J$1,test!$A$3:$I$32,3,FALSE)),1,0)</f>
        <v>0</v>
      </c>
      <c r="K76" s="2">
        <f>IF(AND(feasible_mat!J14, VLOOKUP(Recharged_Feasible_matv3!$A76,test!$A$34:$G$37, 3,FALSE)=VLOOKUP(K$1,test!$A$3:$I$32,3,FALSE)),1,0)</f>
        <v>0</v>
      </c>
      <c r="L76" s="2">
        <f>IF(AND(feasible_mat!K14, VLOOKUP(Recharged_Feasible_matv3!$A76,test!$A$34:$G$37, 3,FALSE)=VLOOKUP(L$1,test!$A$3:$I$32,3,FALSE)),1,0)</f>
        <v>0</v>
      </c>
      <c r="M76" s="2">
        <f>IF(AND(feasible_mat!L14, VLOOKUP(Recharged_Feasible_matv3!$A76,test!$A$34:$G$37, 3,FALSE)=VLOOKUP(M$1,test!$A$3:$I$32,3,FALSE)),1,0)</f>
        <v>0</v>
      </c>
      <c r="N76" s="2">
        <f>IF(AND(feasible_mat!M14, VLOOKUP(Recharged_Feasible_matv3!$A76,test!$A$34:$G$37, 3,FALSE)=VLOOKUP(N$1,test!$A$3:$I$32,3,FALSE)),1,0)</f>
        <v>0</v>
      </c>
      <c r="O76" s="2">
        <f>IF(AND(feasible_mat!N14, VLOOKUP(Recharged_Feasible_matv3!$A76,test!$A$34:$G$37, 3,FALSE)=VLOOKUP(O$1,test!$A$3:$I$32,3,FALSE)),1,0)</f>
        <v>0</v>
      </c>
      <c r="P76" s="2">
        <f>IF(AND(feasible_mat!O14, VLOOKUP(Recharged_Feasible_matv3!$A76,test!$A$34:$G$37, 3,FALSE)=VLOOKUP(P$1,test!$A$3:$I$32,3,FALSE)),1,0)</f>
        <v>0</v>
      </c>
      <c r="Q76" s="2">
        <f>IF(AND(feasible_mat!P14, VLOOKUP(Recharged_Feasible_matv3!$A76,test!$A$34:$G$37, 3,FALSE)=VLOOKUP(Q$1,test!$A$3:$I$32,3,FALSE)),1,0)</f>
        <v>0</v>
      </c>
      <c r="R76" s="2">
        <f>IF(AND(feasible_mat!Q14, VLOOKUP(Recharged_Feasible_matv3!$A76,test!$A$34:$G$37, 3,FALSE)=VLOOKUP(R$1,test!$A$3:$I$32,3,FALSE)),1,0)</f>
        <v>0</v>
      </c>
      <c r="S76" s="2">
        <f>IF(AND(feasible_mat!R14, VLOOKUP(Recharged_Feasible_matv3!$A76,test!$A$34:$G$37, 3,FALSE)=VLOOKUP(S$1,test!$A$3:$I$32,3,FALSE)),1,0)</f>
        <v>0</v>
      </c>
      <c r="T76" s="2">
        <f>IF(AND(feasible_mat!S14, VLOOKUP(Recharged_Feasible_matv3!$A76,test!$A$34:$G$37, 3,FALSE)=VLOOKUP(T$1,test!$A$3:$I$32,3,FALSE)),1,0)</f>
        <v>0</v>
      </c>
      <c r="U76" s="2">
        <f>IF(AND(feasible_mat!T14, VLOOKUP(Recharged_Feasible_matv3!$A76,test!$A$34:$G$37, 3,FALSE)=VLOOKUP(U$1,test!$A$3:$I$32,3,FALSE)),1,0)</f>
        <v>0</v>
      </c>
      <c r="V76" s="2">
        <f>IF(AND(feasible_mat!U14, VLOOKUP(Recharged_Feasible_matv3!$A76,test!$A$34:$G$37, 3,FALSE)=VLOOKUP(V$1,test!$A$3:$I$32,3,FALSE)),1,0)</f>
        <v>0</v>
      </c>
      <c r="W76" s="2">
        <f>IF(AND(feasible_mat!V14, VLOOKUP(Recharged_Feasible_matv3!$A76,test!$A$34:$G$37, 3,FALSE)=VLOOKUP(W$1,test!$A$3:$I$32,3,FALSE)),1,0)</f>
        <v>0</v>
      </c>
      <c r="X76" s="2">
        <f>IF(AND(feasible_mat!W14, VLOOKUP(Recharged_Feasible_matv3!$A76,test!$A$34:$G$37, 3,FALSE)=VLOOKUP(X$1,test!$A$3:$I$32,3,FALSE)),1,0)</f>
        <v>0</v>
      </c>
      <c r="Y76" s="2">
        <f>IF(AND(feasible_mat!X14, VLOOKUP(Recharged_Feasible_matv3!$A76,test!$A$34:$G$37, 3,FALSE)=VLOOKUP(Y$1,test!$A$3:$I$32,3,FALSE)),1,0)</f>
        <v>0</v>
      </c>
      <c r="Z76" s="2">
        <f>IF(AND(feasible_mat!Y14, VLOOKUP(Recharged_Feasible_matv3!$A76,test!$A$34:$G$37, 3,FALSE)=VLOOKUP(Z$1,test!$A$3:$I$32,3,FALSE)),1,0)</f>
        <v>0</v>
      </c>
      <c r="AA76" s="2">
        <f>IF(AND(feasible_mat!Z14, VLOOKUP(Recharged_Feasible_matv3!$A76,test!$A$34:$G$37, 3,FALSE)=VLOOKUP(AA$1,test!$A$3:$I$32,3,FALSE)),1,0)</f>
        <v>0</v>
      </c>
      <c r="AB76" s="2">
        <f>IF(AND(feasible_mat!AA14, VLOOKUP(Recharged_Feasible_matv3!$A76,test!$A$34:$G$37, 3,FALSE)=VLOOKUP(AB$1,test!$A$3:$I$32,3,FALSE)),1,0)</f>
        <v>0</v>
      </c>
      <c r="AC76" s="2">
        <f>IF(AND(feasible_mat!AB14, VLOOKUP(Recharged_Feasible_matv3!$A76,test!$A$34:$G$37, 3,FALSE)=VLOOKUP(AC$1,test!$A$3:$I$32,3,FALSE)),1,0)</f>
        <v>0</v>
      </c>
      <c r="AD76" s="2">
        <f>IF(AND(feasible_mat!AC14, VLOOKUP(Recharged_Feasible_matv3!$A76,test!$A$34:$G$37, 3,FALSE)=VLOOKUP(AD$1,test!$A$3:$I$32,3,FALSE)),1,0)</f>
        <v>0</v>
      </c>
      <c r="AE76" s="2">
        <f>IF(AND(feasible_mat!AD14, VLOOKUP(Recharged_Feasible_matv3!$A76,test!$A$34:$G$37, 3,FALSE)=VLOOKUP(AE$1,test!$A$3:$I$32,3,FALSE)),1,0)</f>
        <v>0</v>
      </c>
      <c r="AF76" s="2">
        <f>IF(AND(feasible_mat!AE14, VLOOKUP(Recharged_Feasible_matv3!$A76,test!$A$34:$G$37, 3,FALSE)=VLOOKUP(AF$1,test!$A$3:$I$32,3,FALSE)),1,0)</f>
        <v>0</v>
      </c>
      <c r="AG76" s="2">
        <f>IF(AND(feasible_mat!AF14, VLOOKUP(Recharged_Feasible_matv3!$A76,test!$A$34:$G$37, 3,FALSE)=VLOOKUP(AG$1,test!$A$3:$I$32,3,FALSE)),1,0)</f>
        <v>0</v>
      </c>
    </row>
    <row r="77" spans="1:33" x14ac:dyDescent="0.25">
      <c r="A77" t="s">
        <v>97</v>
      </c>
      <c r="B77" t="s">
        <v>23</v>
      </c>
      <c r="C77">
        <v>0</v>
      </c>
      <c r="D77" s="2">
        <f>IF(AND(feasible_mat!C15, VLOOKUP(Recharged_Feasible_matv3!$A77,test!$A$34:$G$37, 3,FALSE)=VLOOKUP(D$1,test!$A$3:$I$32,3,FALSE)),1,0)</f>
        <v>0</v>
      </c>
      <c r="E77" s="2">
        <f>IF(AND(feasible_mat!D15, VLOOKUP(Recharged_Feasible_matv3!$A77,test!$A$34:$G$37, 3,FALSE)=VLOOKUP(E$1,test!$A$3:$I$32,3,FALSE)),1,0)</f>
        <v>0</v>
      </c>
      <c r="F77" s="2">
        <f>IF(AND(feasible_mat!E15, VLOOKUP(Recharged_Feasible_matv3!$A77,test!$A$34:$G$37, 3,FALSE)=VLOOKUP(F$1,test!$A$3:$I$32,3,FALSE)),1,0)</f>
        <v>0</v>
      </c>
      <c r="G77" s="2">
        <f>IF(AND(feasible_mat!F15, VLOOKUP(Recharged_Feasible_matv3!$A77,test!$A$34:$G$37, 3,FALSE)=VLOOKUP(G$1,test!$A$3:$I$32,3,FALSE)),1,0)</f>
        <v>0</v>
      </c>
      <c r="H77" s="2">
        <f>IF(AND(feasible_mat!G15, VLOOKUP(Recharged_Feasible_matv3!$A77,test!$A$34:$G$37, 3,FALSE)=VLOOKUP(H$1,test!$A$3:$I$32,3,FALSE)),1,0)</f>
        <v>0</v>
      </c>
      <c r="I77" s="2">
        <f>IF(AND(feasible_mat!H15, VLOOKUP(Recharged_Feasible_matv3!$A77,test!$A$34:$G$37, 3,FALSE)=VLOOKUP(I$1,test!$A$3:$I$32,3,FALSE)),1,0)</f>
        <v>0</v>
      </c>
      <c r="J77" s="2">
        <f>IF(AND(feasible_mat!I15, VLOOKUP(Recharged_Feasible_matv3!$A77,test!$A$34:$G$37, 3,FALSE)=VLOOKUP(J$1,test!$A$3:$I$32,3,FALSE)),1,0)</f>
        <v>0</v>
      </c>
      <c r="K77" s="2">
        <f>IF(AND(feasible_mat!J15, VLOOKUP(Recharged_Feasible_matv3!$A77,test!$A$34:$G$37, 3,FALSE)=VLOOKUP(K$1,test!$A$3:$I$32,3,FALSE)),1,0)</f>
        <v>0</v>
      </c>
      <c r="L77" s="2">
        <f>IF(AND(feasible_mat!K15, VLOOKUP(Recharged_Feasible_matv3!$A77,test!$A$34:$G$37, 3,FALSE)=VLOOKUP(L$1,test!$A$3:$I$32,3,FALSE)),1,0)</f>
        <v>0</v>
      </c>
      <c r="M77" s="2">
        <f>IF(AND(feasible_mat!L15, VLOOKUP(Recharged_Feasible_matv3!$A77,test!$A$34:$G$37, 3,FALSE)=VLOOKUP(M$1,test!$A$3:$I$32,3,FALSE)),1,0)</f>
        <v>0</v>
      </c>
      <c r="N77" s="2">
        <f>IF(AND(feasible_mat!M15, VLOOKUP(Recharged_Feasible_matv3!$A77,test!$A$34:$G$37, 3,FALSE)=VLOOKUP(N$1,test!$A$3:$I$32,3,FALSE)),1,0)</f>
        <v>0</v>
      </c>
      <c r="O77" s="2">
        <f>IF(AND(feasible_mat!N15, VLOOKUP(Recharged_Feasible_matv3!$A77,test!$A$34:$G$37, 3,FALSE)=VLOOKUP(O$1,test!$A$3:$I$32,3,FALSE)),1,0)</f>
        <v>0</v>
      </c>
      <c r="P77" s="2">
        <f>IF(AND(feasible_mat!O15, VLOOKUP(Recharged_Feasible_matv3!$A77,test!$A$34:$G$37, 3,FALSE)=VLOOKUP(P$1,test!$A$3:$I$32,3,FALSE)),1,0)</f>
        <v>0</v>
      </c>
      <c r="Q77" s="2">
        <f>IF(AND(feasible_mat!P15, VLOOKUP(Recharged_Feasible_matv3!$A77,test!$A$34:$G$37, 3,FALSE)=VLOOKUP(Q$1,test!$A$3:$I$32,3,FALSE)),1,0)</f>
        <v>0</v>
      </c>
      <c r="R77" s="2">
        <f>IF(AND(feasible_mat!Q15, VLOOKUP(Recharged_Feasible_matv3!$A77,test!$A$34:$G$37, 3,FALSE)=VLOOKUP(R$1,test!$A$3:$I$32,3,FALSE)),1,0)</f>
        <v>0</v>
      </c>
      <c r="S77" s="2">
        <f>IF(AND(feasible_mat!R15, VLOOKUP(Recharged_Feasible_matv3!$A77,test!$A$34:$G$37, 3,FALSE)=VLOOKUP(S$1,test!$A$3:$I$32,3,FALSE)),1,0)</f>
        <v>0</v>
      </c>
      <c r="T77" s="2">
        <f>IF(AND(feasible_mat!S15, VLOOKUP(Recharged_Feasible_matv3!$A77,test!$A$34:$G$37, 3,FALSE)=VLOOKUP(T$1,test!$A$3:$I$32,3,FALSE)),1,0)</f>
        <v>0</v>
      </c>
      <c r="U77" s="2">
        <f>IF(AND(feasible_mat!T15, VLOOKUP(Recharged_Feasible_matv3!$A77,test!$A$34:$G$37, 3,FALSE)=VLOOKUP(U$1,test!$A$3:$I$32,3,FALSE)),1,0)</f>
        <v>0</v>
      </c>
      <c r="V77" s="2">
        <f>IF(AND(feasible_mat!U15, VLOOKUP(Recharged_Feasible_matv3!$A77,test!$A$34:$G$37, 3,FALSE)=VLOOKUP(V$1,test!$A$3:$I$32,3,FALSE)),1,0)</f>
        <v>0</v>
      </c>
      <c r="W77" s="2">
        <f>IF(AND(feasible_mat!V15, VLOOKUP(Recharged_Feasible_matv3!$A77,test!$A$34:$G$37, 3,FALSE)=VLOOKUP(W$1,test!$A$3:$I$32,3,FALSE)),1,0)</f>
        <v>0</v>
      </c>
      <c r="X77" s="2">
        <f>IF(AND(feasible_mat!W15, VLOOKUP(Recharged_Feasible_matv3!$A77,test!$A$34:$G$37, 3,FALSE)=VLOOKUP(X$1,test!$A$3:$I$32,3,FALSE)),1,0)</f>
        <v>0</v>
      </c>
      <c r="Y77" s="2">
        <f>IF(AND(feasible_mat!X15, VLOOKUP(Recharged_Feasible_matv3!$A77,test!$A$34:$G$37, 3,FALSE)=VLOOKUP(Y$1,test!$A$3:$I$32,3,FALSE)),1,0)</f>
        <v>0</v>
      </c>
      <c r="Z77" s="2">
        <f>IF(AND(feasible_mat!Y15, VLOOKUP(Recharged_Feasible_matv3!$A77,test!$A$34:$G$37, 3,FALSE)=VLOOKUP(Z$1,test!$A$3:$I$32,3,FALSE)),1,0)</f>
        <v>0</v>
      </c>
      <c r="AA77" s="2">
        <f>IF(AND(feasible_mat!Z15, VLOOKUP(Recharged_Feasible_matv3!$A77,test!$A$34:$G$37, 3,FALSE)=VLOOKUP(AA$1,test!$A$3:$I$32,3,FALSE)),1,0)</f>
        <v>0</v>
      </c>
      <c r="AB77" s="2">
        <f>IF(AND(feasible_mat!AA15, VLOOKUP(Recharged_Feasible_matv3!$A77,test!$A$34:$G$37, 3,FALSE)=VLOOKUP(AB$1,test!$A$3:$I$32,3,FALSE)),1,0)</f>
        <v>0</v>
      </c>
      <c r="AC77" s="2">
        <f>IF(AND(feasible_mat!AB15, VLOOKUP(Recharged_Feasible_matv3!$A77,test!$A$34:$G$37, 3,FALSE)=VLOOKUP(AC$1,test!$A$3:$I$32,3,FALSE)),1,0)</f>
        <v>0</v>
      </c>
      <c r="AD77" s="2">
        <f>IF(AND(feasible_mat!AC15, VLOOKUP(Recharged_Feasible_matv3!$A77,test!$A$34:$G$37, 3,FALSE)=VLOOKUP(AD$1,test!$A$3:$I$32,3,FALSE)),1,0)</f>
        <v>0</v>
      </c>
      <c r="AE77" s="2">
        <f>IF(AND(feasible_mat!AD15, VLOOKUP(Recharged_Feasible_matv3!$A77,test!$A$34:$G$37, 3,FALSE)=VLOOKUP(AE$1,test!$A$3:$I$32,3,FALSE)),1,0)</f>
        <v>0</v>
      </c>
      <c r="AF77" s="2">
        <f>IF(AND(feasible_mat!AE15, VLOOKUP(Recharged_Feasible_matv3!$A77,test!$A$34:$G$37, 3,FALSE)=VLOOKUP(AF$1,test!$A$3:$I$32,3,FALSE)),1,0)</f>
        <v>0</v>
      </c>
      <c r="AG77" s="2">
        <f>IF(AND(feasible_mat!AF15, VLOOKUP(Recharged_Feasible_matv3!$A77,test!$A$34:$G$37, 3,FALSE)=VLOOKUP(AG$1,test!$A$3:$I$32,3,FALSE)),1,0)</f>
        <v>0</v>
      </c>
    </row>
    <row r="78" spans="1:33" x14ac:dyDescent="0.25">
      <c r="A78" t="s">
        <v>97</v>
      </c>
      <c r="B78" t="s">
        <v>24</v>
      </c>
      <c r="C78">
        <v>0</v>
      </c>
      <c r="D78" s="2">
        <f>IF(AND(feasible_mat!C16, VLOOKUP(Recharged_Feasible_matv3!$A78,test!$A$34:$G$37, 3,FALSE)=VLOOKUP(D$1,test!$A$3:$I$32,3,FALSE)),1,0)</f>
        <v>0</v>
      </c>
      <c r="E78" s="2">
        <f>IF(AND(feasible_mat!D16, VLOOKUP(Recharged_Feasible_matv3!$A78,test!$A$34:$G$37, 3,FALSE)=VLOOKUP(E$1,test!$A$3:$I$32,3,FALSE)),1,0)</f>
        <v>0</v>
      </c>
      <c r="F78" s="2">
        <f>IF(AND(feasible_mat!E16, VLOOKUP(Recharged_Feasible_matv3!$A78,test!$A$34:$G$37, 3,FALSE)=VLOOKUP(F$1,test!$A$3:$I$32,3,FALSE)),1,0)</f>
        <v>0</v>
      </c>
      <c r="G78" s="2">
        <f>IF(AND(feasible_mat!F16, VLOOKUP(Recharged_Feasible_matv3!$A78,test!$A$34:$G$37, 3,FALSE)=VLOOKUP(G$1,test!$A$3:$I$32,3,FALSE)),1,0)</f>
        <v>0</v>
      </c>
      <c r="H78" s="2">
        <f>IF(AND(feasible_mat!G16, VLOOKUP(Recharged_Feasible_matv3!$A78,test!$A$34:$G$37, 3,FALSE)=VLOOKUP(H$1,test!$A$3:$I$32,3,FALSE)),1,0)</f>
        <v>0</v>
      </c>
      <c r="I78" s="2">
        <f>IF(AND(feasible_mat!H16, VLOOKUP(Recharged_Feasible_matv3!$A78,test!$A$34:$G$37, 3,FALSE)=VLOOKUP(I$1,test!$A$3:$I$32,3,FALSE)),1,0)</f>
        <v>0</v>
      </c>
      <c r="J78" s="2">
        <f>IF(AND(feasible_mat!I16, VLOOKUP(Recharged_Feasible_matv3!$A78,test!$A$34:$G$37, 3,FALSE)=VLOOKUP(J$1,test!$A$3:$I$32,3,FALSE)),1,0)</f>
        <v>0</v>
      </c>
      <c r="K78" s="2">
        <f>IF(AND(feasible_mat!J16, VLOOKUP(Recharged_Feasible_matv3!$A78,test!$A$34:$G$37, 3,FALSE)=VLOOKUP(K$1,test!$A$3:$I$32,3,FALSE)),1,0)</f>
        <v>0</v>
      </c>
      <c r="L78" s="2">
        <f>IF(AND(feasible_mat!K16, VLOOKUP(Recharged_Feasible_matv3!$A78,test!$A$34:$G$37, 3,FALSE)=VLOOKUP(L$1,test!$A$3:$I$32,3,FALSE)),1,0)</f>
        <v>0</v>
      </c>
      <c r="M78" s="2">
        <f>IF(AND(feasible_mat!L16, VLOOKUP(Recharged_Feasible_matv3!$A78,test!$A$34:$G$37, 3,FALSE)=VLOOKUP(M$1,test!$A$3:$I$32,3,FALSE)),1,0)</f>
        <v>0</v>
      </c>
      <c r="N78" s="2">
        <f>IF(AND(feasible_mat!M16, VLOOKUP(Recharged_Feasible_matv3!$A78,test!$A$34:$G$37, 3,FALSE)=VLOOKUP(N$1,test!$A$3:$I$32,3,FALSE)),1,0)</f>
        <v>0</v>
      </c>
      <c r="O78" s="2">
        <f>IF(AND(feasible_mat!N16, VLOOKUP(Recharged_Feasible_matv3!$A78,test!$A$34:$G$37, 3,FALSE)=VLOOKUP(O$1,test!$A$3:$I$32,3,FALSE)),1,0)</f>
        <v>0</v>
      </c>
      <c r="P78" s="2">
        <f>IF(AND(feasible_mat!O16, VLOOKUP(Recharged_Feasible_matv3!$A78,test!$A$34:$G$37, 3,FALSE)=VLOOKUP(P$1,test!$A$3:$I$32,3,FALSE)),1,0)</f>
        <v>0</v>
      </c>
      <c r="Q78" s="2">
        <f>IF(AND(feasible_mat!P16, VLOOKUP(Recharged_Feasible_matv3!$A78,test!$A$34:$G$37, 3,FALSE)=VLOOKUP(Q$1,test!$A$3:$I$32,3,FALSE)),1,0)</f>
        <v>0</v>
      </c>
      <c r="R78" s="2">
        <f>IF(AND(feasible_mat!Q16, VLOOKUP(Recharged_Feasible_matv3!$A78,test!$A$34:$G$37, 3,FALSE)=VLOOKUP(R$1,test!$A$3:$I$32,3,FALSE)),1,0)</f>
        <v>0</v>
      </c>
      <c r="S78" s="2">
        <f>IF(AND(feasible_mat!R16, VLOOKUP(Recharged_Feasible_matv3!$A78,test!$A$34:$G$37, 3,FALSE)=VLOOKUP(S$1,test!$A$3:$I$32,3,FALSE)),1,0)</f>
        <v>0</v>
      </c>
      <c r="T78" s="2">
        <f>IF(AND(feasible_mat!S16, VLOOKUP(Recharged_Feasible_matv3!$A78,test!$A$34:$G$37, 3,FALSE)=VLOOKUP(T$1,test!$A$3:$I$32,3,FALSE)),1,0)</f>
        <v>0</v>
      </c>
      <c r="U78" s="2">
        <f>IF(AND(feasible_mat!T16, VLOOKUP(Recharged_Feasible_matv3!$A78,test!$A$34:$G$37, 3,FALSE)=VLOOKUP(U$1,test!$A$3:$I$32,3,FALSE)),1,0)</f>
        <v>1</v>
      </c>
      <c r="V78" s="2">
        <f>IF(AND(feasible_mat!U16, VLOOKUP(Recharged_Feasible_matv3!$A78,test!$A$34:$G$37, 3,FALSE)=VLOOKUP(V$1,test!$A$3:$I$32,3,FALSE)),1,0)</f>
        <v>1</v>
      </c>
      <c r="W78" s="2">
        <f>IF(AND(feasible_mat!V16, VLOOKUP(Recharged_Feasible_matv3!$A78,test!$A$34:$G$37, 3,FALSE)=VLOOKUP(W$1,test!$A$3:$I$32,3,FALSE)),1,0)</f>
        <v>1</v>
      </c>
      <c r="X78" s="2">
        <f>IF(AND(feasible_mat!W16, VLOOKUP(Recharged_Feasible_matv3!$A78,test!$A$34:$G$37, 3,FALSE)=VLOOKUP(X$1,test!$A$3:$I$32,3,FALSE)),1,0)</f>
        <v>1</v>
      </c>
      <c r="Y78" s="2">
        <f>IF(AND(feasible_mat!X16, VLOOKUP(Recharged_Feasible_matv3!$A78,test!$A$34:$G$37, 3,FALSE)=VLOOKUP(Y$1,test!$A$3:$I$32,3,FALSE)),1,0)</f>
        <v>1</v>
      </c>
      <c r="Z78" s="2">
        <f>IF(AND(feasible_mat!Y16, VLOOKUP(Recharged_Feasible_matv3!$A78,test!$A$34:$G$37, 3,FALSE)=VLOOKUP(Z$1,test!$A$3:$I$32,3,FALSE)),1,0)</f>
        <v>0</v>
      </c>
      <c r="AA78" s="2">
        <f>IF(AND(feasible_mat!Z16, VLOOKUP(Recharged_Feasible_matv3!$A78,test!$A$34:$G$37, 3,FALSE)=VLOOKUP(AA$1,test!$A$3:$I$32,3,FALSE)),1,0)</f>
        <v>0</v>
      </c>
      <c r="AB78" s="2">
        <f>IF(AND(feasible_mat!AA16, VLOOKUP(Recharged_Feasible_matv3!$A78,test!$A$34:$G$37, 3,FALSE)=VLOOKUP(AB$1,test!$A$3:$I$32,3,FALSE)),1,0)</f>
        <v>0</v>
      </c>
      <c r="AC78" s="2">
        <f>IF(AND(feasible_mat!AB16, VLOOKUP(Recharged_Feasible_matv3!$A78,test!$A$34:$G$37, 3,FALSE)=VLOOKUP(AC$1,test!$A$3:$I$32,3,FALSE)),1,0)</f>
        <v>0</v>
      </c>
      <c r="AD78" s="2">
        <f>IF(AND(feasible_mat!AC16, VLOOKUP(Recharged_Feasible_matv3!$A78,test!$A$34:$G$37, 3,FALSE)=VLOOKUP(AD$1,test!$A$3:$I$32,3,FALSE)),1,0)</f>
        <v>0</v>
      </c>
      <c r="AE78" s="2">
        <f>IF(AND(feasible_mat!AD16, VLOOKUP(Recharged_Feasible_matv3!$A78,test!$A$34:$G$37, 3,FALSE)=VLOOKUP(AE$1,test!$A$3:$I$32,3,FALSE)),1,0)</f>
        <v>0</v>
      </c>
      <c r="AF78" s="2">
        <f>IF(AND(feasible_mat!AE16, VLOOKUP(Recharged_Feasible_matv3!$A78,test!$A$34:$G$37, 3,FALSE)=VLOOKUP(AF$1,test!$A$3:$I$32,3,FALSE)),1,0)</f>
        <v>0</v>
      </c>
      <c r="AG78" s="2">
        <f>IF(AND(feasible_mat!AF16, VLOOKUP(Recharged_Feasible_matv3!$A78,test!$A$34:$G$37, 3,FALSE)=VLOOKUP(AG$1,test!$A$3:$I$32,3,FALSE)),1,0)</f>
        <v>0</v>
      </c>
    </row>
    <row r="79" spans="1:33" x14ac:dyDescent="0.25">
      <c r="A79" t="s">
        <v>97</v>
      </c>
      <c r="B79" t="s">
        <v>26</v>
      </c>
      <c r="C79">
        <v>0</v>
      </c>
      <c r="D79" s="2">
        <f>IF(AND(feasible_mat!C17, VLOOKUP(Recharged_Feasible_matv3!$A79,test!$A$34:$G$37, 3,FALSE)=VLOOKUP(D$1,test!$A$3:$I$32,3,FALSE)),1,0)</f>
        <v>0</v>
      </c>
      <c r="E79" s="2">
        <f>IF(AND(feasible_mat!D17, VLOOKUP(Recharged_Feasible_matv3!$A79,test!$A$34:$G$37, 3,FALSE)=VLOOKUP(E$1,test!$A$3:$I$32,3,FALSE)),1,0)</f>
        <v>0</v>
      </c>
      <c r="F79" s="2">
        <f>IF(AND(feasible_mat!E17, VLOOKUP(Recharged_Feasible_matv3!$A79,test!$A$34:$G$37, 3,FALSE)=VLOOKUP(F$1,test!$A$3:$I$32,3,FALSE)),1,0)</f>
        <v>0</v>
      </c>
      <c r="G79" s="2">
        <f>IF(AND(feasible_mat!F17, VLOOKUP(Recharged_Feasible_matv3!$A79,test!$A$34:$G$37, 3,FALSE)=VLOOKUP(G$1,test!$A$3:$I$32,3,FALSE)),1,0)</f>
        <v>0</v>
      </c>
      <c r="H79" s="2">
        <f>IF(AND(feasible_mat!G17, VLOOKUP(Recharged_Feasible_matv3!$A79,test!$A$34:$G$37, 3,FALSE)=VLOOKUP(H$1,test!$A$3:$I$32,3,FALSE)),1,0)</f>
        <v>0</v>
      </c>
      <c r="I79" s="2">
        <f>IF(AND(feasible_mat!H17, VLOOKUP(Recharged_Feasible_matv3!$A79,test!$A$34:$G$37, 3,FALSE)=VLOOKUP(I$1,test!$A$3:$I$32,3,FALSE)),1,0)</f>
        <v>0</v>
      </c>
      <c r="J79" s="2">
        <f>IF(AND(feasible_mat!I17, VLOOKUP(Recharged_Feasible_matv3!$A79,test!$A$34:$G$37, 3,FALSE)=VLOOKUP(J$1,test!$A$3:$I$32,3,FALSE)),1,0)</f>
        <v>0</v>
      </c>
      <c r="K79" s="2">
        <f>IF(AND(feasible_mat!J17, VLOOKUP(Recharged_Feasible_matv3!$A79,test!$A$34:$G$37, 3,FALSE)=VLOOKUP(K$1,test!$A$3:$I$32,3,FALSE)),1,0)</f>
        <v>0</v>
      </c>
      <c r="L79" s="2">
        <f>IF(AND(feasible_mat!K17, VLOOKUP(Recharged_Feasible_matv3!$A79,test!$A$34:$G$37, 3,FALSE)=VLOOKUP(L$1,test!$A$3:$I$32,3,FALSE)),1,0)</f>
        <v>0</v>
      </c>
      <c r="M79" s="2">
        <f>IF(AND(feasible_mat!L17, VLOOKUP(Recharged_Feasible_matv3!$A79,test!$A$34:$G$37, 3,FALSE)=VLOOKUP(M$1,test!$A$3:$I$32,3,FALSE)),1,0)</f>
        <v>0</v>
      </c>
      <c r="N79" s="2">
        <f>IF(AND(feasible_mat!M17, VLOOKUP(Recharged_Feasible_matv3!$A79,test!$A$34:$G$37, 3,FALSE)=VLOOKUP(N$1,test!$A$3:$I$32,3,FALSE)),1,0)</f>
        <v>0</v>
      </c>
      <c r="O79" s="2">
        <f>IF(AND(feasible_mat!N17, VLOOKUP(Recharged_Feasible_matv3!$A79,test!$A$34:$G$37, 3,FALSE)=VLOOKUP(O$1,test!$A$3:$I$32,3,FALSE)),1,0)</f>
        <v>0</v>
      </c>
      <c r="P79" s="2">
        <f>IF(AND(feasible_mat!O17, VLOOKUP(Recharged_Feasible_matv3!$A79,test!$A$34:$G$37, 3,FALSE)=VLOOKUP(P$1,test!$A$3:$I$32,3,FALSE)),1,0)</f>
        <v>0</v>
      </c>
      <c r="Q79" s="2">
        <f>IF(AND(feasible_mat!P17, VLOOKUP(Recharged_Feasible_matv3!$A79,test!$A$34:$G$37, 3,FALSE)=VLOOKUP(Q$1,test!$A$3:$I$32,3,FALSE)),1,0)</f>
        <v>0</v>
      </c>
      <c r="R79" s="2">
        <f>IF(AND(feasible_mat!Q17, VLOOKUP(Recharged_Feasible_matv3!$A79,test!$A$34:$G$37, 3,FALSE)=VLOOKUP(R$1,test!$A$3:$I$32,3,FALSE)),1,0)</f>
        <v>0</v>
      </c>
      <c r="S79" s="2">
        <f>IF(AND(feasible_mat!R17, VLOOKUP(Recharged_Feasible_matv3!$A79,test!$A$34:$G$37, 3,FALSE)=VLOOKUP(S$1,test!$A$3:$I$32,3,FALSE)),1,0)</f>
        <v>0</v>
      </c>
      <c r="T79" s="2">
        <f>IF(AND(feasible_mat!S17, VLOOKUP(Recharged_Feasible_matv3!$A79,test!$A$34:$G$37, 3,FALSE)=VLOOKUP(T$1,test!$A$3:$I$32,3,FALSE)),1,0)</f>
        <v>1</v>
      </c>
      <c r="U79" s="2">
        <f>IF(AND(feasible_mat!T17, VLOOKUP(Recharged_Feasible_matv3!$A79,test!$A$34:$G$37, 3,FALSE)=VLOOKUP(U$1,test!$A$3:$I$32,3,FALSE)),1,0)</f>
        <v>1</v>
      </c>
      <c r="V79" s="2">
        <f>IF(AND(feasible_mat!U17, VLOOKUP(Recharged_Feasible_matv3!$A79,test!$A$34:$G$37, 3,FALSE)=VLOOKUP(V$1,test!$A$3:$I$32,3,FALSE)),1,0)</f>
        <v>1</v>
      </c>
      <c r="W79" s="2">
        <f>IF(AND(feasible_mat!V17, VLOOKUP(Recharged_Feasible_matv3!$A79,test!$A$34:$G$37, 3,FALSE)=VLOOKUP(W$1,test!$A$3:$I$32,3,FALSE)),1,0)</f>
        <v>1</v>
      </c>
      <c r="X79" s="2">
        <f>IF(AND(feasible_mat!W17, VLOOKUP(Recharged_Feasible_matv3!$A79,test!$A$34:$G$37, 3,FALSE)=VLOOKUP(X$1,test!$A$3:$I$32,3,FALSE)),1,0)</f>
        <v>1</v>
      </c>
      <c r="Y79" s="2">
        <f>IF(AND(feasible_mat!X17, VLOOKUP(Recharged_Feasible_matv3!$A79,test!$A$34:$G$37, 3,FALSE)=VLOOKUP(Y$1,test!$A$3:$I$32,3,FALSE)),1,0)</f>
        <v>1</v>
      </c>
      <c r="Z79" s="2">
        <f>IF(AND(feasible_mat!Y17, VLOOKUP(Recharged_Feasible_matv3!$A79,test!$A$34:$G$37, 3,FALSE)=VLOOKUP(Z$1,test!$A$3:$I$32,3,FALSE)),1,0)</f>
        <v>0</v>
      </c>
      <c r="AA79" s="2">
        <f>IF(AND(feasible_mat!Z17, VLOOKUP(Recharged_Feasible_matv3!$A79,test!$A$34:$G$37, 3,FALSE)=VLOOKUP(AA$1,test!$A$3:$I$32,3,FALSE)),1,0)</f>
        <v>0</v>
      </c>
      <c r="AB79" s="2">
        <f>IF(AND(feasible_mat!AA17, VLOOKUP(Recharged_Feasible_matv3!$A79,test!$A$34:$G$37, 3,FALSE)=VLOOKUP(AB$1,test!$A$3:$I$32,3,FALSE)),1,0)</f>
        <v>0</v>
      </c>
      <c r="AC79" s="2">
        <f>IF(AND(feasible_mat!AB17, VLOOKUP(Recharged_Feasible_matv3!$A79,test!$A$34:$G$37, 3,FALSE)=VLOOKUP(AC$1,test!$A$3:$I$32,3,FALSE)),1,0)</f>
        <v>0</v>
      </c>
      <c r="AD79" s="2">
        <f>IF(AND(feasible_mat!AC17, VLOOKUP(Recharged_Feasible_matv3!$A79,test!$A$34:$G$37, 3,FALSE)=VLOOKUP(AD$1,test!$A$3:$I$32,3,FALSE)),1,0)</f>
        <v>0</v>
      </c>
      <c r="AE79" s="2">
        <f>IF(AND(feasible_mat!AD17, VLOOKUP(Recharged_Feasible_matv3!$A79,test!$A$34:$G$37, 3,FALSE)=VLOOKUP(AE$1,test!$A$3:$I$32,3,FALSE)),1,0)</f>
        <v>0</v>
      </c>
      <c r="AF79" s="2">
        <f>IF(AND(feasible_mat!AE17, VLOOKUP(Recharged_Feasible_matv3!$A79,test!$A$34:$G$37, 3,FALSE)=VLOOKUP(AF$1,test!$A$3:$I$32,3,FALSE)),1,0)</f>
        <v>0</v>
      </c>
      <c r="AG79" s="2">
        <f>IF(AND(feasible_mat!AF17, VLOOKUP(Recharged_Feasible_matv3!$A79,test!$A$34:$G$37, 3,FALSE)=VLOOKUP(AG$1,test!$A$3:$I$32,3,FALSE)),1,0)</f>
        <v>0</v>
      </c>
    </row>
    <row r="80" spans="1:33" x14ac:dyDescent="0.25">
      <c r="A80" t="s">
        <v>97</v>
      </c>
      <c r="B80" t="s">
        <v>27</v>
      </c>
      <c r="C80">
        <v>0</v>
      </c>
      <c r="D80" s="2">
        <f>IF(AND(feasible_mat!C18, VLOOKUP(Recharged_Feasible_matv3!$A80,test!$A$34:$G$37, 3,FALSE)=VLOOKUP(D$1,test!$A$3:$I$32,3,FALSE)),1,0)</f>
        <v>0</v>
      </c>
      <c r="E80" s="2">
        <f>IF(AND(feasible_mat!D18, VLOOKUP(Recharged_Feasible_matv3!$A80,test!$A$34:$G$37, 3,FALSE)=VLOOKUP(E$1,test!$A$3:$I$32,3,FALSE)),1,0)</f>
        <v>0</v>
      </c>
      <c r="F80" s="2">
        <f>IF(AND(feasible_mat!E18, VLOOKUP(Recharged_Feasible_matv3!$A80,test!$A$34:$G$37, 3,FALSE)=VLOOKUP(F$1,test!$A$3:$I$32,3,FALSE)),1,0)</f>
        <v>0</v>
      </c>
      <c r="G80" s="2">
        <f>IF(AND(feasible_mat!F18, VLOOKUP(Recharged_Feasible_matv3!$A80,test!$A$34:$G$37, 3,FALSE)=VLOOKUP(G$1,test!$A$3:$I$32,3,FALSE)),1,0)</f>
        <v>0</v>
      </c>
      <c r="H80" s="2">
        <f>IF(AND(feasible_mat!G18, VLOOKUP(Recharged_Feasible_matv3!$A80,test!$A$34:$G$37, 3,FALSE)=VLOOKUP(H$1,test!$A$3:$I$32,3,FALSE)),1,0)</f>
        <v>0</v>
      </c>
      <c r="I80" s="2">
        <f>IF(AND(feasible_mat!H18, VLOOKUP(Recharged_Feasible_matv3!$A80,test!$A$34:$G$37, 3,FALSE)=VLOOKUP(I$1,test!$A$3:$I$32,3,FALSE)),1,0)</f>
        <v>0</v>
      </c>
      <c r="J80" s="2">
        <f>IF(AND(feasible_mat!I18, VLOOKUP(Recharged_Feasible_matv3!$A80,test!$A$34:$G$37, 3,FALSE)=VLOOKUP(J$1,test!$A$3:$I$32,3,FALSE)),1,0)</f>
        <v>0</v>
      </c>
      <c r="K80" s="2">
        <f>IF(AND(feasible_mat!J18, VLOOKUP(Recharged_Feasible_matv3!$A80,test!$A$34:$G$37, 3,FALSE)=VLOOKUP(K$1,test!$A$3:$I$32,3,FALSE)),1,0)</f>
        <v>0</v>
      </c>
      <c r="L80" s="2">
        <f>IF(AND(feasible_mat!K18, VLOOKUP(Recharged_Feasible_matv3!$A80,test!$A$34:$G$37, 3,FALSE)=VLOOKUP(L$1,test!$A$3:$I$32,3,FALSE)),1,0)</f>
        <v>0</v>
      </c>
      <c r="M80" s="2">
        <f>IF(AND(feasible_mat!L18, VLOOKUP(Recharged_Feasible_matv3!$A80,test!$A$34:$G$37, 3,FALSE)=VLOOKUP(M$1,test!$A$3:$I$32,3,FALSE)),1,0)</f>
        <v>0</v>
      </c>
      <c r="N80" s="2">
        <f>IF(AND(feasible_mat!M18, VLOOKUP(Recharged_Feasible_matv3!$A80,test!$A$34:$G$37, 3,FALSE)=VLOOKUP(N$1,test!$A$3:$I$32,3,FALSE)),1,0)</f>
        <v>0</v>
      </c>
      <c r="O80" s="2">
        <f>IF(AND(feasible_mat!N18, VLOOKUP(Recharged_Feasible_matv3!$A80,test!$A$34:$G$37, 3,FALSE)=VLOOKUP(O$1,test!$A$3:$I$32,3,FALSE)),1,0)</f>
        <v>0</v>
      </c>
      <c r="P80" s="2">
        <f>IF(AND(feasible_mat!O18, VLOOKUP(Recharged_Feasible_matv3!$A80,test!$A$34:$G$37, 3,FALSE)=VLOOKUP(P$1,test!$A$3:$I$32,3,FALSE)),1,0)</f>
        <v>0</v>
      </c>
      <c r="Q80" s="2">
        <f>IF(AND(feasible_mat!P18, VLOOKUP(Recharged_Feasible_matv3!$A80,test!$A$34:$G$37, 3,FALSE)=VLOOKUP(Q$1,test!$A$3:$I$32,3,FALSE)),1,0)</f>
        <v>0</v>
      </c>
      <c r="R80" s="2">
        <f>IF(AND(feasible_mat!Q18, VLOOKUP(Recharged_Feasible_matv3!$A80,test!$A$34:$G$37, 3,FALSE)=VLOOKUP(R$1,test!$A$3:$I$32,3,FALSE)),1,0)</f>
        <v>0</v>
      </c>
      <c r="S80" s="2">
        <f>IF(AND(feasible_mat!R18, VLOOKUP(Recharged_Feasible_matv3!$A80,test!$A$34:$G$37, 3,FALSE)=VLOOKUP(S$1,test!$A$3:$I$32,3,FALSE)),1,0)</f>
        <v>0</v>
      </c>
      <c r="T80" s="2">
        <f>IF(AND(feasible_mat!S18, VLOOKUP(Recharged_Feasible_matv3!$A80,test!$A$34:$G$37, 3,FALSE)=VLOOKUP(T$1,test!$A$3:$I$32,3,FALSE)),1,0)</f>
        <v>0</v>
      </c>
      <c r="U80" s="2">
        <f>IF(AND(feasible_mat!T18, VLOOKUP(Recharged_Feasible_matv3!$A80,test!$A$34:$G$37, 3,FALSE)=VLOOKUP(U$1,test!$A$3:$I$32,3,FALSE)),1,0)</f>
        <v>1</v>
      </c>
      <c r="V80" s="2">
        <f>IF(AND(feasible_mat!U18, VLOOKUP(Recharged_Feasible_matv3!$A80,test!$A$34:$G$37, 3,FALSE)=VLOOKUP(V$1,test!$A$3:$I$32,3,FALSE)),1,0)</f>
        <v>1</v>
      </c>
      <c r="W80" s="2">
        <f>IF(AND(feasible_mat!V18, VLOOKUP(Recharged_Feasible_matv3!$A80,test!$A$34:$G$37, 3,FALSE)=VLOOKUP(W$1,test!$A$3:$I$32,3,FALSE)),1,0)</f>
        <v>1</v>
      </c>
      <c r="X80" s="2">
        <f>IF(AND(feasible_mat!W18, VLOOKUP(Recharged_Feasible_matv3!$A80,test!$A$34:$G$37, 3,FALSE)=VLOOKUP(X$1,test!$A$3:$I$32,3,FALSE)),1,0)</f>
        <v>1</v>
      </c>
      <c r="Y80" s="2">
        <f>IF(AND(feasible_mat!X18, VLOOKUP(Recharged_Feasible_matv3!$A80,test!$A$34:$G$37, 3,FALSE)=VLOOKUP(Y$1,test!$A$3:$I$32,3,FALSE)),1,0)</f>
        <v>1</v>
      </c>
      <c r="Z80" s="2">
        <f>IF(AND(feasible_mat!Y18, VLOOKUP(Recharged_Feasible_matv3!$A80,test!$A$34:$G$37, 3,FALSE)=VLOOKUP(Z$1,test!$A$3:$I$32,3,FALSE)),1,0)</f>
        <v>0</v>
      </c>
      <c r="AA80" s="2">
        <f>IF(AND(feasible_mat!Z18, VLOOKUP(Recharged_Feasible_matv3!$A80,test!$A$34:$G$37, 3,FALSE)=VLOOKUP(AA$1,test!$A$3:$I$32,3,FALSE)),1,0)</f>
        <v>0</v>
      </c>
      <c r="AB80" s="2">
        <f>IF(AND(feasible_mat!AA18, VLOOKUP(Recharged_Feasible_matv3!$A80,test!$A$34:$G$37, 3,FALSE)=VLOOKUP(AB$1,test!$A$3:$I$32,3,FALSE)),1,0)</f>
        <v>0</v>
      </c>
      <c r="AC80" s="2">
        <f>IF(AND(feasible_mat!AB18, VLOOKUP(Recharged_Feasible_matv3!$A80,test!$A$34:$G$37, 3,FALSE)=VLOOKUP(AC$1,test!$A$3:$I$32,3,FALSE)),1,0)</f>
        <v>0</v>
      </c>
      <c r="AD80" s="2">
        <f>IF(AND(feasible_mat!AC18, VLOOKUP(Recharged_Feasible_matv3!$A80,test!$A$34:$G$37, 3,FALSE)=VLOOKUP(AD$1,test!$A$3:$I$32,3,FALSE)),1,0)</f>
        <v>0</v>
      </c>
      <c r="AE80" s="2">
        <f>IF(AND(feasible_mat!AD18, VLOOKUP(Recharged_Feasible_matv3!$A80,test!$A$34:$G$37, 3,FALSE)=VLOOKUP(AE$1,test!$A$3:$I$32,3,FALSE)),1,0)</f>
        <v>0</v>
      </c>
      <c r="AF80" s="2">
        <f>IF(AND(feasible_mat!AE18, VLOOKUP(Recharged_Feasible_matv3!$A80,test!$A$34:$G$37, 3,FALSE)=VLOOKUP(AF$1,test!$A$3:$I$32,3,FALSE)),1,0)</f>
        <v>0</v>
      </c>
      <c r="AG80" s="2">
        <f>IF(AND(feasible_mat!AF18, VLOOKUP(Recharged_Feasible_matv3!$A80,test!$A$34:$G$37, 3,FALSE)=VLOOKUP(AG$1,test!$A$3:$I$32,3,FALSE)),1,0)</f>
        <v>0</v>
      </c>
    </row>
    <row r="81" spans="1:33" x14ac:dyDescent="0.25">
      <c r="A81" t="s">
        <v>97</v>
      </c>
      <c r="B81" t="s">
        <v>28</v>
      </c>
      <c r="C81">
        <v>0</v>
      </c>
      <c r="D81" s="2">
        <f>IF(AND(feasible_mat!C19, VLOOKUP(Recharged_Feasible_matv3!$A81,test!$A$34:$G$37, 3,FALSE)=VLOOKUP(D$1,test!$A$3:$I$32,3,FALSE)),1,0)</f>
        <v>0</v>
      </c>
      <c r="E81" s="2">
        <f>IF(AND(feasible_mat!D19, VLOOKUP(Recharged_Feasible_matv3!$A81,test!$A$34:$G$37, 3,FALSE)=VLOOKUP(E$1,test!$A$3:$I$32,3,FALSE)),1,0)</f>
        <v>0</v>
      </c>
      <c r="F81" s="2">
        <f>IF(AND(feasible_mat!E19, VLOOKUP(Recharged_Feasible_matv3!$A81,test!$A$34:$G$37, 3,FALSE)=VLOOKUP(F$1,test!$A$3:$I$32,3,FALSE)),1,0)</f>
        <v>0</v>
      </c>
      <c r="G81" s="2">
        <f>IF(AND(feasible_mat!F19, VLOOKUP(Recharged_Feasible_matv3!$A81,test!$A$34:$G$37, 3,FALSE)=VLOOKUP(G$1,test!$A$3:$I$32,3,FALSE)),1,0)</f>
        <v>0</v>
      </c>
      <c r="H81" s="2">
        <f>IF(AND(feasible_mat!G19, VLOOKUP(Recharged_Feasible_matv3!$A81,test!$A$34:$G$37, 3,FALSE)=VLOOKUP(H$1,test!$A$3:$I$32,3,FALSE)),1,0)</f>
        <v>0</v>
      </c>
      <c r="I81" s="2">
        <f>IF(AND(feasible_mat!H19, VLOOKUP(Recharged_Feasible_matv3!$A81,test!$A$34:$G$37, 3,FALSE)=VLOOKUP(I$1,test!$A$3:$I$32,3,FALSE)),1,0)</f>
        <v>0</v>
      </c>
      <c r="J81" s="2">
        <f>IF(AND(feasible_mat!I19, VLOOKUP(Recharged_Feasible_matv3!$A81,test!$A$34:$G$37, 3,FALSE)=VLOOKUP(J$1,test!$A$3:$I$32,3,FALSE)),1,0)</f>
        <v>0</v>
      </c>
      <c r="K81" s="2">
        <f>IF(AND(feasible_mat!J19, VLOOKUP(Recharged_Feasible_matv3!$A81,test!$A$34:$G$37, 3,FALSE)=VLOOKUP(K$1,test!$A$3:$I$32,3,FALSE)),1,0)</f>
        <v>0</v>
      </c>
      <c r="L81" s="2">
        <f>IF(AND(feasible_mat!K19, VLOOKUP(Recharged_Feasible_matv3!$A81,test!$A$34:$G$37, 3,FALSE)=VLOOKUP(L$1,test!$A$3:$I$32,3,FALSE)),1,0)</f>
        <v>0</v>
      </c>
      <c r="M81" s="2">
        <f>IF(AND(feasible_mat!L19, VLOOKUP(Recharged_Feasible_matv3!$A81,test!$A$34:$G$37, 3,FALSE)=VLOOKUP(M$1,test!$A$3:$I$32,3,FALSE)),1,0)</f>
        <v>0</v>
      </c>
      <c r="N81" s="2">
        <f>IF(AND(feasible_mat!M19, VLOOKUP(Recharged_Feasible_matv3!$A81,test!$A$34:$G$37, 3,FALSE)=VLOOKUP(N$1,test!$A$3:$I$32,3,FALSE)),1,0)</f>
        <v>0</v>
      </c>
      <c r="O81" s="2">
        <f>IF(AND(feasible_mat!N19, VLOOKUP(Recharged_Feasible_matv3!$A81,test!$A$34:$G$37, 3,FALSE)=VLOOKUP(O$1,test!$A$3:$I$32,3,FALSE)),1,0)</f>
        <v>0</v>
      </c>
      <c r="P81" s="2">
        <f>IF(AND(feasible_mat!O19, VLOOKUP(Recharged_Feasible_matv3!$A81,test!$A$34:$G$37, 3,FALSE)=VLOOKUP(P$1,test!$A$3:$I$32,3,FALSE)),1,0)</f>
        <v>0</v>
      </c>
      <c r="Q81" s="2">
        <f>IF(AND(feasible_mat!P19, VLOOKUP(Recharged_Feasible_matv3!$A81,test!$A$34:$G$37, 3,FALSE)=VLOOKUP(Q$1,test!$A$3:$I$32,3,FALSE)),1,0)</f>
        <v>0</v>
      </c>
      <c r="R81" s="2">
        <f>IF(AND(feasible_mat!Q19, VLOOKUP(Recharged_Feasible_matv3!$A81,test!$A$34:$G$37, 3,FALSE)=VLOOKUP(R$1,test!$A$3:$I$32,3,FALSE)),1,0)</f>
        <v>0</v>
      </c>
      <c r="S81" s="2">
        <f>IF(AND(feasible_mat!R19, VLOOKUP(Recharged_Feasible_matv3!$A81,test!$A$34:$G$37, 3,FALSE)=VLOOKUP(S$1,test!$A$3:$I$32,3,FALSE)),1,0)</f>
        <v>0</v>
      </c>
      <c r="T81" s="2">
        <f>IF(AND(feasible_mat!S19, VLOOKUP(Recharged_Feasible_matv3!$A81,test!$A$34:$G$37, 3,FALSE)=VLOOKUP(T$1,test!$A$3:$I$32,3,FALSE)),1,0)</f>
        <v>0</v>
      </c>
      <c r="U81" s="2">
        <f>IF(AND(feasible_mat!T19, VLOOKUP(Recharged_Feasible_matv3!$A81,test!$A$34:$G$37, 3,FALSE)=VLOOKUP(U$1,test!$A$3:$I$32,3,FALSE)),1,0)</f>
        <v>0</v>
      </c>
      <c r="V81" s="2">
        <f>IF(AND(feasible_mat!U19, VLOOKUP(Recharged_Feasible_matv3!$A81,test!$A$34:$G$37, 3,FALSE)=VLOOKUP(V$1,test!$A$3:$I$32,3,FALSE)),1,0)</f>
        <v>1</v>
      </c>
      <c r="W81" s="2">
        <f>IF(AND(feasible_mat!V19, VLOOKUP(Recharged_Feasible_matv3!$A81,test!$A$34:$G$37, 3,FALSE)=VLOOKUP(W$1,test!$A$3:$I$32,3,FALSE)),1,0)</f>
        <v>1</v>
      </c>
      <c r="X81" s="2">
        <f>IF(AND(feasible_mat!W19, VLOOKUP(Recharged_Feasible_matv3!$A81,test!$A$34:$G$37, 3,FALSE)=VLOOKUP(X$1,test!$A$3:$I$32,3,FALSE)),1,0)</f>
        <v>1</v>
      </c>
      <c r="Y81" s="2">
        <f>IF(AND(feasible_mat!X19, VLOOKUP(Recharged_Feasible_matv3!$A81,test!$A$34:$G$37, 3,FALSE)=VLOOKUP(Y$1,test!$A$3:$I$32,3,FALSE)),1,0)</f>
        <v>1</v>
      </c>
      <c r="Z81" s="2">
        <f>IF(AND(feasible_mat!Y19, VLOOKUP(Recharged_Feasible_matv3!$A81,test!$A$34:$G$37, 3,FALSE)=VLOOKUP(Z$1,test!$A$3:$I$32,3,FALSE)),1,0)</f>
        <v>0</v>
      </c>
      <c r="AA81" s="2">
        <f>IF(AND(feasible_mat!Z19, VLOOKUP(Recharged_Feasible_matv3!$A81,test!$A$34:$G$37, 3,FALSE)=VLOOKUP(AA$1,test!$A$3:$I$32,3,FALSE)),1,0)</f>
        <v>0</v>
      </c>
      <c r="AB81" s="2">
        <f>IF(AND(feasible_mat!AA19, VLOOKUP(Recharged_Feasible_matv3!$A81,test!$A$34:$G$37, 3,FALSE)=VLOOKUP(AB$1,test!$A$3:$I$32,3,FALSE)),1,0)</f>
        <v>0</v>
      </c>
      <c r="AC81" s="2">
        <f>IF(AND(feasible_mat!AB19, VLOOKUP(Recharged_Feasible_matv3!$A81,test!$A$34:$G$37, 3,FALSE)=VLOOKUP(AC$1,test!$A$3:$I$32,3,FALSE)),1,0)</f>
        <v>0</v>
      </c>
      <c r="AD81" s="2">
        <f>IF(AND(feasible_mat!AC19, VLOOKUP(Recharged_Feasible_matv3!$A81,test!$A$34:$G$37, 3,FALSE)=VLOOKUP(AD$1,test!$A$3:$I$32,3,FALSE)),1,0)</f>
        <v>0</v>
      </c>
      <c r="AE81" s="2">
        <f>IF(AND(feasible_mat!AD19, VLOOKUP(Recharged_Feasible_matv3!$A81,test!$A$34:$G$37, 3,FALSE)=VLOOKUP(AE$1,test!$A$3:$I$32,3,FALSE)),1,0)</f>
        <v>0</v>
      </c>
      <c r="AF81" s="2">
        <f>IF(AND(feasible_mat!AE19, VLOOKUP(Recharged_Feasible_matv3!$A81,test!$A$34:$G$37, 3,FALSE)=VLOOKUP(AF$1,test!$A$3:$I$32,3,FALSE)),1,0)</f>
        <v>0</v>
      </c>
      <c r="AG81" s="2">
        <f>IF(AND(feasible_mat!AF19, VLOOKUP(Recharged_Feasible_matv3!$A81,test!$A$34:$G$37, 3,FALSE)=VLOOKUP(AG$1,test!$A$3:$I$32,3,FALSE)),1,0)</f>
        <v>0</v>
      </c>
    </row>
    <row r="82" spans="1:33" x14ac:dyDescent="0.25">
      <c r="A82" t="s">
        <v>97</v>
      </c>
      <c r="B82" t="s">
        <v>29</v>
      </c>
      <c r="C82">
        <v>0</v>
      </c>
      <c r="D82" s="2">
        <f>IF(AND(feasible_mat!C20, VLOOKUP(Recharged_Feasible_matv3!$A82,test!$A$34:$G$37, 3,FALSE)=VLOOKUP(D$1,test!$A$3:$I$32,3,FALSE)),1,0)</f>
        <v>0</v>
      </c>
      <c r="E82" s="2">
        <f>IF(AND(feasible_mat!D20, VLOOKUP(Recharged_Feasible_matv3!$A82,test!$A$34:$G$37, 3,FALSE)=VLOOKUP(E$1,test!$A$3:$I$32,3,FALSE)),1,0)</f>
        <v>0</v>
      </c>
      <c r="F82" s="2">
        <f>IF(AND(feasible_mat!E20, VLOOKUP(Recharged_Feasible_matv3!$A82,test!$A$34:$G$37, 3,FALSE)=VLOOKUP(F$1,test!$A$3:$I$32,3,FALSE)),1,0)</f>
        <v>0</v>
      </c>
      <c r="G82" s="2">
        <f>IF(AND(feasible_mat!F20, VLOOKUP(Recharged_Feasible_matv3!$A82,test!$A$34:$G$37, 3,FALSE)=VLOOKUP(G$1,test!$A$3:$I$32,3,FALSE)),1,0)</f>
        <v>0</v>
      </c>
      <c r="H82" s="2">
        <f>IF(AND(feasible_mat!G20, VLOOKUP(Recharged_Feasible_matv3!$A82,test!$A$34:$G$37, 3,FALSE)=VLOOKUP(H$1,test!$A$3:$I$32,3,FALSE)),1,0)</f>
        <v>0</v>
      </c>
      <c r="I82" s="2">
        <f>IF(AND(feasible_mat!H20, VLOOKUP(Recharged_Feasible_matv3!$A82,test!$A$34:$G$37, 3,FALSE)=VLOOKUP(I$1,test!$A$3:$I$32,3,FALSE)),1,0)</f>
        <v>0</v>
      </c>
      <c r="J82" s="2">
        <f>IF(AND(feasible_mat!I20, VLOOKUP(Recharged_Feasible_matv3!$A82,test!$A$34:$G$37, 3,FALSE)=VLOOKUP(J$1,test!$A$3:$I$32,3,FALSE)),1,0)</f>
        <v>0</v>
      </c>
      <c r="K82" s="2">
        <f>IF(AND(feasible_mat!J20, VLOOKUP(Recharged_Feasible_matv3!$A82,test!$A$34:$G$37, 3,FALSE)=VLOOKUP(K$1,test!$A$3:$I$32,3,FALSE)),1,0)</f>
        <v>0</v>
      </c>
      <c r="L82" s="2">
        <f>IF(AND(feasible_mat!K20, VLOOKUP(Recharged_Feasible_matv3!$A82,test!$A$34:$G$37, 3,FALSE)=VLOOKUP(L$1,test!$A$3:$I$32,3,FALSE)),1,0)</f>
        <v>0</v>
      </c>
      <c r="M82" s="2">
        <f>IF(AND(feasible_mat!L20, VLOOKUP(Recharged_Feasible_matv3!$A82,test!$A$34:$G$37, 3,FALSE)=VLOOKUP(M$1,test!$A$3:$I$32,3,FALSE)),1,0)</f>
        <v>0</v>
      </c>
      <c r="N82" s="2">
        <f>IF(AND(feasible_mat!M20, VLOOKUP(Recharged_Feasible_matv3!$A82,test!$A$34:$G$37, 3,FALSE)=VLOOKUP(N$1,test!$A$3:$I$32,3,FALSE)),1,0)</f>
        <v>0</v>
      </c>
      <c r="O82" s="2">
        <f>IF(AND(feasible_mat!N20, VLOOKUP(Recharged_Feasible_matv3!$A82,test!$A$34:$G$37, 3,FALSE)=VLOOKUP(O$1,test!$A$3:$I$32,3,FALSE)),1,0)</f>
        <v>0</v>
      </c>
      <c r="P82" s="2">
        <f>IF(AND(feasible_mat!O20, VLOOKUP(Recharged_Feasible_matv3!$A82,test!$A$34:$G$37, 3,FALSE)=VLOOKUP(P$1,test!$A$3:$I$32,3,FALSE)),1,0)</f>
        <v>0</v>
      </c>
      <c r="Q82" s="2">
        <f>IF(AND(feasible_mat!P20, VLOOKUP(Recharged_Feasible_matv3!$A82,test!$A$34:$G$37, 3,FALSE)=VLOOKUP(Q$1,test!$A$3:$I$32,3,FALSE)),1,0)</f>
        <v>0</v>
      </c>
      <c r="R82" s="2">
        <f>IF(AND(feasible_mat!Q20, VLOOKUP(Recharged_Feasible_matv3!$A82,test!$A$34:$G$37, 3,FALSE)=VLOOKUP(R$1,test!$A$3:$I$32,3,FALSE)),1,0)</f>
        <v>0</v>
      </c>
      <c r="S82" s="2">
        <f>IF(AND(feasible_mat!R20, VLOOKUP(Recharged_Feasible_matv3!$A82,test!$A$34:$G$37, 3,FALSE)=VLOOKUP(S$1,test!$A$3:$I$32,3,FALSE)),1,0)</f>
        <v>0</v>
      </c>
      <c r="T82" s="2">
        <f>IF(AND(feasible_mat!S20, VLOOKUP(Recharged_Feasible_matv3!$A82,test!$A$34:$G$37, 3,FALSE)=VLOOKUP(T$1,test!$A$3:$I$32,3,FALSE)),1,0)</f>
        <v>0</v>
      </c>
      <c r="U82" s="2">
        <f>IF(AND(feasible_mat!T20, VLOOKUP(Recharged_Feasible_matv3!$A82,test!$A$34:$G$37, 3,FALSE)=VLOOKUP(U$1,test!$A$3:$I$32,3,FALSE)),1,0)</f>
        <v>0</v>
      </c>
      <c r="V82" s="2">
        <f>IF(AND(feasible_mat!U20, VLOOKUP(Recharged_Feasible_matv3!$A82,test!$A$34:$G$37, 3,FALSE)=VLOOKUP(V$1,test!$A$3:$I$32,3,FALSE)),1,0)</f>
        <v>0</v>
      </c>
      <c r="W82" s="2">
        <f>IF(AND(feasible_mat!V20, VLOOKUP(Recharged_Feasible_matv3!$A82,test!$A$34:$G$37, 3,FALSE)=VLOOKUP(W$1,test!$A$3:$I$32,3,FALSE)),1,0)</f>
        <v>1</v>
      </c>
      <c r="X82" s="2">
        <f>IF(AND(feasible_mat!W20, VLOOKUP(Recharged_Feasible_matv3!$A82,test!$A$34:$G$37, 3,FALSE)=VLOOKUP(X$1,test!$A$3:$I$32,3,FALSE)),1,0)</f>
        <v>1</v>
      </c>
      <c r="Y82" s="2">
        <f>IF(AND(feasible_mat!X20, VLOOKUP(Recharged_Feasible_matv3!$A82,test!$A$34:$G$37, 3,FALSE)=VLOOKUP(Y$1,test!$A$3:$I$32,3,FALSE)),1,0)</f>
        <v>1</v>
      </c>
      <c r="Z82" s="2">
        <f>IF(AND(feasible_mat!Y20, VLOOKUP(Recharged_Feasible_matv3!$A82,test!$A$34:$G$37, 3,FALSE)=VLOOKUP(Z$1,test!$A$3:$I$32,3,FALSE)),1,0)</f>
        <v>0</v>
      </c>
      <c r="AA82" s="2">
        <f>IF(AND(feasible_mat!Z20, VLOOKUP(Recharged_Feasible_matv3!$A82,test!$A$34:$G$37, 3,FALSE)=VLOOKUP(AA$1,test!$A$3:$I$32,3,FALSE)),1,0)</f>
        <v>0</v>
      </c>
      <c r="AB82" s="2">
        <f>IF(AND(feasible_mat!AA20, VLOOKUP(Recharged_Feasible_matv3!$A82,test!$A$34:$G$37, 3,FALSE)=VLOOKUP(AB$1,test!$A$3:$I$32,3,FALSE)),1,0)</f>
        <v>0</v>
      </c>
      <c r="AC82" s="2">
        <f>IF(AND(feasible_mat!AB20, VLOOKUP(Recharged_Feasible_matv3!$A82,test!$A$34:$G$37, 3,FALSE)=VLOOKUP(AC$1,test!$A$3:$I$32,3,FALSE)),1,0)</f>
        <v>0</v>
      </c>
      <c r="AD82" s="2">
        <f>IF(AND(feasible_mat!AC20, VLOOKUP(Recharged_Feasible_matv3!$A82,test!$A$34:$G$37, 3,FALSE)=VLOOKUP(AD$1,test!$A$3:$I$32,3,FALSE)),1,0)</f>
        <v>0</v>
      </c>
      <c r="AE82" s="2">
        <f>IF(AND(feasible_mat!AD20, VLOOKUP(Recharged_Feasible_matv3!$A82,test!$A$34:$G$37, 3,FALSE)=VLOOKUP(AE$1,test!$A$3:$I$32,3,FALSE)),1,0)</f>
        <v>0</v>
      </c>
      <c r="AF82" s="2">
        <f>IF(AND(feasible_mat!AE20, VLOOKUP(Recharged_Feasible_matv3!$A82,test!$A$34:$G$37, 3,FALSE)=VLOOKUP(AF$1,test!$A$3:$I$32,3,FALSE)),1,0)</f>
        <v>0</v>
      </c>
      <c r="AG82" s="2">
        <f>IF(AND(feasible_mat!AF20, VLOOKUP(Recharged_Feasible_matv3!$A82,test!$A$34:$G$37, 3,FALSE)=VLOOKUP(AG$1,test!$A$3:$I$32,3,FALSE)),1,0)</f>
        <v>0</v>
      </c>
    </row>
    <row r="83" spans="1:33" x14ac:dyDescent="0.25">
      <c r="A83" t="s">
        <v>97</v>
      </c>
      <c r="B83" t="s">
        <v>30</v>
      </c>
      <c r="C83">
        <v>0</v>
      </c>
      <c r="D83" s="2">
        <f>IF(AND(feasible_mat!C21, VLOOKUP(Recharged_Feasible_matv3!$A83,test!$A$34:$G$37, 3,FALSE)=VLOOKUP(D$1,test!$A$3:$I$32,3,FALSE)),1,0)</f>
        <v>0</v>
      </c>
      <c r="E83" s="2">
        <f>IF(AND(feasible_mat!D21, VLOOKUP(Recharged_Feasible_matv3!$A83,test!$A$34:$G$37, 3,FALSE)=VLOOKUP(E$1,test!$A$3:$I$32,3,FALSE)),1,0)</f>
        <v>0</v>
      </c>
      <c r="F83" s="2">
        <f>IF(AND(feasible_mat!E21, VLOOKUP(Recharged_Feasible_matv3!$A83,test!$A$34:$G$37, 3,FALSE)=VLOOKUP(F$1,test!$A$3:$I$32,3,FALSE)),1,0)</f>
        <v>0</v>
      </c>
      <c r="G83" s="2">
        <f>IF(AND(feasible_mat!F21, VLOOKUP(Recharged_Feasible_matv3!$A83,test!$A$34:$G$37, 3,FALSE)=VLOOKUP(G$1,test!$A$3:$I$32,3,FALSE)),1,0)</f>
        <v>0</v>
      </c>
      <c r="H83" s="2">
        <f>IF(AND(feasible_mat!G21, VLOOKUP(Recharged_Feasible_matv3!$A83,test!$A$34:$G$37, 3,FALSE)=VLOOKUP(H$1,test!$A$3:$I$32,3,FALSE)),1,0)</f>
        <v>0</v>
      </c>
      <c r="I83" s="2">
        <f>IF(AND(feasible_mat!H21, VLOOKUP(Recharged_Feasible_matv3!$A83,test!$A$34:$G$37, 3,FALSE)=VLOOKUP(I$1,test!$A$3:$I$32,3,FALSE)),1,0)</f>
        <v>0</v>
      </c>
      <c r="J83" s="2">
        <f>IF(AND(feasible_mat!I21, VLOOKUP(Recharged_Feasible_matv3!$A83,test!$A$34:$G$37, 3,FALSE)=VLOOKUP(J$1,test!$A$3:$I$32,3,FALSE)),1,0)</f>
        <v>0</v>
      </c>
      <c r="K83" s="2">
        <f>IF(AND(feasible_mat!J21, VLOOKUP(Recharged_Feasible_matv3!$A83,test!$A$34:$G$37, 3,FALSE)=VLOOKUP(K$1,test!$A$3:$I$32,3,FALSE)),1,0)</f>
        <v>0</v>
      </c>
      <c r="L83" s="2">
        <f>IF(AND(feasible_mat!K21, VLOOKUP(Recharged_Feasible_matv3!$A83,test!$A$34:$G$37, 3,FALSE)=VLOOKUP(L$1,test!$A$3:$I$32,3,FALSE)),1,0)</f>
        <v>0</v>
      </c>
      <c r="M83" s="2">
        <f>IF(AND(feasible_mat!L21, VLOOKUP(Recharged_Feasible_matv3!$A83,test!$A$34:$G$37, 3,FALSE)=VLOOKUP(M$1,test!$A$3:$I$32,3,FALSE)),1,0)</f>
        <v>0</v>
      </c>
      <c r="N83" s="2">
        <f>IF(AND(feasible_mat!M21, VLOOKUP(Recharged_Feasible_matv3!$A83,test!$A$34:$G$37, 3,FALSE)=VLOOKUP(N$1,test!$A$3:$I$32,3,FALSE)),1,0)</f>
        <v>0</v>
      </c>
      <c r="O83" s="2">
        <f>IF(AND(feasible_mat!N21, VLOOKUP(Recharged_Feasible_matv3!$A83,test!$A$34:$G$37, 3,FALSE)=VLOOKUP(O$1,test!$A$3:$I$32,3,FALSE)),1,0)</f>
        <v>0</v>
      </c>
      <c r="P83" s="2">
        <f>IF(AND(feasible_mat!O21, VLOOKUP(Recharged_Feasible_matv3!$A83,test!$A$34:$G$37, 3,FALSE)=VLOOKUP(P$1,test!$A$3:$I$32,3,FALSE)),1,0)</f>
        <v>0</v>
      </c>
      <c r="Q83" s="2">
        <f>IF(AND(feasible_mat!P21, VLOOKUP(Recharged_Feasible_matv3!$A83,test!$A$34:$G$37, 3,FALSE)=VLOOKUP(Q$1,test!$A$3:$I$32,3,FALSE)),1,0)</f>
        <v>0</v>
      </c>
      <c r="R83" s="2">
        <f>IF(AND(feasible_mat!Q21, VLOOKUP(Recharged_Feasible_matv3!$A83,test!$A$34:$G$37, 3,FALSE)=VLOOKUP(R$1,test!$A$3:$I$32,3,FALSE)),1,0)</f>
        <v>0</v>
      </c>
      <c r="S83" s="2">
        <f>IF(AND(feasible_mat!R21, VLOOKUP(Recharged_Feasible_matv3!$A83,test!$A$34:$G$37, 3,FALSE)=VLOOKUP(S$1,test!$A$3:$I$32,3,FALSE)),1,0)</f>
        <v>0</v>
      </c>
      <c r="T83" s="2">
        <f>IF(AND(feasible_mat!S21, VLOOKUP(Recharged_Feasible_matv3!$A83,test!$A$34:$G$37, 3,FALSE)=VLOOKUP(T$1,test!$A$3:$I$32,3,FALSE)),1,0)</f>
        <v>0</v>
      </c>
      <c r="U83" s="2">
        <f>IF(AND(feasible_mat!T21, VLOOKUP(Recharged_Feasible_matv3!$A83,test!$A$34:$G$37, 3,FALSE)=VLOOKUP(U$1,test!$A$3:$I$32,3,FALSE)),1,0)</f>
        <v>0</v>
      </c>
      <c r="V83" s="2">
        <f>IF(AND(feasible_mat!U21, VLOOKUP(Recharged_Feasible_matv3!$A83,test!$A$34:$G$37, 3,FALSE)=VLOOKUP(V$1,test!$A$3:$I$32,3,FALSE)),1,0)</f>
        <v>0</v>
      </c>
      <c r="W83" s="2">
        <f>IF(AND(feasible_mat!V21, VLOOKUP(Recharged_Feasible_matv3!$A83,test!$A$34:$G$37, 3,FALSE)=VLOOKUP(W$1,test!$A$3:$I$32,3,FALSE)),1,0)</f>
        <v>0</v>
      </c>
      <c r="X83" s="2">
        <f>IF(AND(feasible_mat!W21, VLOOKUP(Recharged_Feasible_matv3!$A83,test!$A$34:$G$37, 3,FALSE)=VLOOKUP(X$1,test!$A$3:$I$32,3,FALSE)),1,0)</f>
        <v>1</v>
      </c>
      <c r="Y83" s="2">
        <f>IF(AND(feasible_mat!X21, VLOOKUP(Recharged_Feasible_matv3!$A83,test!$A$34:$G$37, 3,FALSE)=VLOOKUP(Y$1,test!$A$3:$I$32,3,FALSE)),1,0)</f>
        <v>1</v>
      </c>
      <c r="Z83" s="2">
        <f>IF(AND(feasible_mat!Y21, VLOOKUP(Recharged_Feasible_matv3!$A83,test!$A$34:$G$37, 3,FALSE)=VLOOKUP(Z$1,test!$A$3:$I$32,3,FALSE)),1,0)</f>
        <v>0</v>
      </c>
      <c r="AA83" s="2">
        <f>IF(AND(feasible_mat!Z21, VLOOKUP(Recharged_Feasible_matv3!$A83,test!$A$34:$G$37, 3,FALSE)=VLOOKUP(AA$1,test!$A$3:$I$32,3,FALSE)),1,0)</f>
        <v>0</v>
      </c>
      <c r="AB83" s="2">
        <f>IF(AND(feasible_mat!AA21, VLOOKUP(Recharged_Feasible_matv3!$A83,test!$A$34:$G$37, 3,FALSE)=VLOOKUP(AB$1,test!$A$3:$I$32,3,FALSE)),1,0)</f>
        <v>0</v>
      </c>
      <c r="AC83" s="2">
        <f>IF(AND(feasible_mat!AB21, VLOOKUP(Recharged_Feasible_matv3!$A83,test!$A$34:$G$37, 3,FALSE)=VLOOKUP(AC$1,test!$A$3:$I$32,3,FALSE)),1,0)</f>
        <v>0</v>
      </c>
      <c r="AD83" s="2">
        <f>IF(AND(feasible_mat!AC21, VLOOKUP(Recharged_Feasible_matv3!$A83,test!$A$34:$G$37, 3,FALSE)=VLOOKUP(AD$1,test!$A$3:$I$32,3,FALSE)),1,0)</f>
        <v>0</v>
      </c>
      <c r="AE83" s="2">
        <f>IF(AND(feasible_mat!AD21, VLOOKUP(Recharged_Feasible_matv3!$A83,test!$A$34:$G$37, 3,FALSE)=VLOOKUP(AE$1,test!$A$3:$I$32,3,FALSE)),1,0)</f>
        <v>0</v>
      </c>
      <c r="AF83" s="2">
        <f>IF(AND(feasible_mat!AE21, VLOOKUP(Recharged_Feasible_matv3!$A83,test!$A$34:$G$37, 3,FALSE)=VLOOKUP(AF$1,test!$A$3:$I$32,3,FALSE)),1,0)</f>
        <v>0</v>
      </c>
      <c r="AG83" s="2">
        <f>IF(AND(feasible_mat!AF21, VLOOKUP(Recharged_Feasible_matv3!$A83,test!$A$34:$G$37, 3,FALSE)=VLOOKUP(AG$1,test!$A$3:$I$32,3,FALSE)),1,0)</f>
        <v>0</v>
      </c>
    </row>
    <row r="84" spans="1:33" x14ac:dyDescent="0.25">
      <c r="A84" t="s">
        <v>97</v>
      </c>
      <c r="B84" t="s">
        <v>31</v>
      </c>
      <c r="C84">
        <v>0</v>
      </c>
      <c r="D84" s="2">
        <f>IF(AND(feasible_mat!C22, VLOOKUP(Recharged_Feasible_matv3!$A84,test!$A$34:$G$37, 3,FALSE)=VLOOKUP(D$1,test!$A$3:$I$32,3,FALSE)),1,0)</f>
        <v>0</v>
      </c>
      <c r="E84" s="2">
        <f>IF(AND(feasible_mat!D22, VLOOKUP(Recharged_Feasible_matv3!$A84,test!$A$34:$G$37, 3,FALSE)=VLOOKUP(E$1,test!$A$3:$I$32,3,FALSE)),1,0)</f>
        <v>0</v>
      </c>
      <c r="F84" s="2">
        <f>IF(AND(feasible_mat!E22, VLOOKUP(Recharged_Feasible_matv3!$A84,test!$A$34:$G$37, 3,FALSE)=VLOOKUP(F$1,test!$A$3:$I$32,3,FALSE)),1,0)</f>
        <v>0</v>
      </c>
      <c r="G84" s="2">
        <f>IF(AND(feasible_mat!F22, VLOOKUP(Recharged_Feasible_matv3!$A84,test!$A$34:$G$37, 3,FALSE)=VLOOKUP(G$1,test!$A$3:$I$32,3,FALSE)),1,0)</f>
        <v>0</v>
      </c>
      <c r="H84" s="2">
        <f>IF(AND(feasible_mat!G22, VLOOKUP(Recharged_Feasible_matv3!$A84,test!$A$34:$G$37, 3,FALSE)=VLOOKUP(H$1,test!$A$3:$I$32,3,FALSE)),1,0)</f>
        <v>0</v>
      </c>
      <c r="I84" s="2">
        <f>IF(AND(feasible_mat!H22, VLOOKUP(Recharged_Feasible_matv3!$A84,test!$A$34:$G$37, 3,FALSE)=VLOOKUP(I$1,test!$A$3:$I$32,3,FALSE)),1,0)</f>
        <v>0</v>
      </c>
      <c r="J84" s="2">
        <f>IF(AND(feasible_mat!I22, VLOOKUP(Recharged_Feasible_matv3!$A84,test!$A$34:$G$37, 3,FALSE)=VLOOKUP(J$1,test!$A$3:$I$32,3,FALSE)),1,0)</f>
        <v>0</v>
      </c>
      <c r="K84" s="2">
        <f>IF(AND(feasible_mat!J22, VLOOKUP(Recharged_Feasible_matv3!$A84,test!$A$34:$G$37, 3,FALSE)=VLOOKUP(K$1,test!$A$3:$I$32,3,FALSE)),1,0)</f>
        <v>0</v>
      </c>
      <c r="L84" s="2">
        <f>IF(AND(feasible_mat!K22, VLOOKUP(Recharged_Feasible_matv3!$A84,test!$A$34:$G$37, 3,FALSE)=VLOOKUP(L$1,test!$A$3:$I$32,3,FALSE)),1,0)</f>
        <v>0</v>
      </c>
      <c r="M84" s="2">
        <f>IF(AND(feasible_mat!L22, VLOOKUP(Recharged_Feasible_matv3!$A84,test!$A$34:$G$37, 3,FALSE)=VLOOKUP(M$1,test!$A$3:$I$32,3,FALSE)),1,0)</f>
        <v>0</v>
      </c>
      <c r="N84" s="2">
        <f>IF(AND(feasible_mat!M22, VLOOKUP(Recharged_Feasible_matv3!$A84,test!$A$34:$G$37, 3,FALSE)=VLOOKUP(N$1,test!$A$3:$I$32,3,FALSE)),1,0)</f>
        <v>0</v>
      </c>
      <c r="O84" s="2">
        <f>IF(AND(feasible_mat!N22, VLOOKUP(Recharged_Feasible_matv3!$A84,test!$A$34:$G$37, 3,FALSE)=VLOOKUP(O$1,test!$A$3:$I$32,3,FALSE)),1,0)</f>
        <v>0</v>
      </c>
      <c r="P84" s="2">
        <f>IF(AND(feasible_mat!O22, VLOOKUP(Recharged_Feasible_matv3!$A84,test!$A$34:$G$37, 3,FALSE)=VLOOKUP(P$1,test!$A$3:$I$32,3,FALSE)),1,0)</f>
        <v>0</v>
      </c>
      <c r="Q84" s="2">
        <f>IF(AND(feasible_mat!P22, VLOOKUP(Recharged_Feasible_matv3!$A84,test!$A$34:$G$37, 3,FALSE)=VLOOKUP(Q$1,test!$A$3:$I$32,3,FALSE)),1,0)</f>
        <v>0</v>
      </c>
      <c r="R84" s="2">
        <f>IF(AND(feasible_mat!Q22, VLOOKUP(Recharged_Feasible_matv3!$A84,test!$A$34:$G$37, 3,FALSE)=VLOOKUP(R$1,test!$A$3:$I$32,3,FALSE)),1,0)</f>
        <v>0</v>
      </c>
      <c r="S84" s="2">
        <f>IF(AND(feasible_mat!R22, VLOOKUP(Recharged_Feasible_matv3!$A84,test!$A$34:$G$37, 3,FALSE)=VLOOKUP(S$1,test!$A$3:$I$32,3,FALSE)),1,0)</f>
        <v>0</v>
      </c>
      <c r="T84" s="2">
        <f>IF(AND(feasible_mat!S22, VLOOKUP(Recharged_Feasible_matv3!$A84,test!$A$34:$G$37, 3,FALSE)=VLOOKUP(T$1,test!$A$3:$I$32,3,FALSE)),1,0)</f>
        <v>0</v>
      </c>
      <c r="U84" s="2">
        <f>IF(AND(feasible_mat!T22, VLOOKUP(Recharged_Feasible_matv3!$A84,test!$A$34:$G$37, 3,FALSE)=VLOOKUP(U$1,test!$A$3:$I$32,3,FALSE)),1,0)</f>
        <v>0</v>
      </c>
      <c r="V84" s="2">
        <f>IF(AND(feasible_mat!U22, VLOOKUP(Recharged_Feasible_matv3!$A84,test!$A$34:$G$37, 3,FALSE)=VLOOKUP(V$1,test!$A$3:$I$32,3,FALSE)),1,0)</f>
        <v>0</v>
      </c>
      <c r="W84" s="2">
        <f>IF(AND(feasible_mat!V22, VLOOKUP(Recharged_Feasible_matv3!$A84,test!$A$34:$G$37, 3,FALSE)=VLOOKUP(W$1,test!$A$3:$I$32,3,FALSE)),1,0)</f>
        <v>0</v>
      </c>
      <c r="X84" s="2">
        <f>IF(AND(feasible_mat!W22, VLOOKUP(Recharged_Feasible_matv3!$A84,test!$A$34:$G$37, 3,FALSE)=VLOOKUP(X$1,test!$A$3:$I$32,3,FALSE)),1,0)</f>
        <v>0</v>
      </c>
      <c r="Y84" s="2">
        <f>IF(AND(feasible_mat!X22, VLOOKUP(Recharged_Feasible_matv3!$A84,test!$A$34:$G$37, 3,FALSE)=VLOOKUP(Y$1,test!$A$3:$I$32,3,FALSE)),1,0)</f>
        <v>1</v>
      </c>
      <c r="Z84" s="2">
        <f>IF(AND(feasible_mat!Y22, VLOOKUP(Recharged_Feasible_matv3!$A84,test!$A$34:$G$37, 3,FALSE)=VLOOKUP(Z$1,test!$A$3:$I$32,3,FALSE)),1,0)</f>
        <v>0</v>
      </c>
      <c r="AA84" s="2">
        <f>IF(AND(feasible_mat!Z22, VLOOKUP(Recharged_Feasible_matv3!$A84,test!$A$34:$G$37, 3,FALSE)=VLOOKUP(AA$1,test!$A$3:$I$32,3,FALSE)),1,0)</f>
        <v>0</v>
      </c>
      <c r="AB84" s="2">
        <f>IF(AND(feasible_mat!AA22, VLOOKUP(Recharged_Feasible_matv3!$A84,test!$A$34:$G$37, 3,FALSE)=VLOOKUP(AB$1,test!$A$3:$I$32,3,FALSE)),1,0)</f>
        <v>0</v>
      </c>
      <c r="AC84" s="2">
        <f>IF(AND(feasible_mat!AB22, VLOOKUP(Recharged_Feasible_matv3!$A84,test!$A$34:$G$37, 3,FALSE)=VLOOKUP(AC$1,test!$A$3:$I$32,3,FALSE)),1,0)</f>
        <v>0</v>
      </c>
      <c r="AD84" s="2">
        <f>IF(AND(feasible_mat!AC22, VLOOKUP(Recharged_Feasible_matv3!$A84,test!$A$34:$G$37, 3,FALSE)=VLOOKUP(AD$1,test!$A$3:$I$32,3,FALSE)),1,0)</f>
        <v>0</v>
      </c>
      <c r="AE84" s="2">
        <f>IF(AND(feasible_mat!AD22, VLOOKUP(Recharged_Feasible_matv3!$A84,test!$A$34:$G$37, 3,FALSE)=VLOOKUP(AE$1,test!$A$3:$I$32,3,FALSE)),1,0)</f>
        <v>0</v>
      </c>
      <c r="AF84" s="2">
        <f>IF(AND(feasible_mat!AE22, VLOOKUP(Recharged_Feasible_matv3!$A84,test!$A$34:$G$37, 3,FALSE)=VLOOKUP(AF$1,test!$A$3:$I$32,3,FALSE)),1,0)</f>
        <v>0</v>
      </c>
      <c r="AG84" s="2">
        <f>IF(AND(feasible_mat!AF22, VLOOKUP(Recharged_Feasible_matv3!$A84,test!$A$34:$G$37, 3,FALSE)=VLOOKUP(AG$1,test!$A$3:$I$32,3,FALSE)),1,0)</f>
        <v>0</v>
      </c>
    </row>
    <row r="85" spans="1:33" x14ac:dyDescent="0.25">
      <c r="A85" t="s">
        <v>97</v>
      </c>
      <c r="B85" t="s">
        <v>32</v>
      </c>
      <c r="C85">
        <v>0</v>
      </c>
      <c r="D85" s="2">
        <f>IF(AND(feasible_mat!C23, VLOOKUP(Recharged_Feasible_matv3!$A85,test!$A$34:$G$37, 3,FALSE)=VLOOKUP(D$1,test!$A$3:$I$32,3,FALSE)),1,0)</f>
        <v>0</v>
      </c>
      <c r="E85" s="2">
        <f>IF(AND(feasible_mat!D23, VLOOKUP(Recharged_Feasible_matv3!$A85,test!$A$34:$G$37, 3,FALSE)=VLOOKUP(E$1,test!$A$3:$I$32,3,FALSE)),1,0)</f>
        <v>0</v>
      </c>
      <c r="F85" s="2">
        <f>IF(AND(feasible_mat!E23, VLOOKUP(Recharged_Feasible_matv3!$A85,test!$A$34:$G$37, 3,FALSE)=VLOOKUP(F$1,test!$A$3:$I$32,3,FALSE)),1,0)</f>
        <v>0</v>
      </c>
      <c r="G85" s="2">
        <f>IF(AND(feasible_mat!F23, VLOOKUP(Recharged_Feasible_matv3!$A85,test!$A$34:$G$37, 3,FALSE)=VLOOKUP(G$1,test!$A$3:$I$32,3,FALSE)),1,0)</f>
        <v>0</v>
      </c>
      <c r="H85" s="2">
        <f>IF(AND(feasible_mat!G23, VLOOKUP(Recharged_Feasible_matv3!$A85,test!$A$34:$G$37, 3,FALSE)=VLOOKUP(H$1,test!$A$3:$I$32,3,FALSE)),1,0)</f>
        <v>0</v>
      </c>
      <c r="I85" s="2">
        <f>IF(AND(feasible_mat!H23, VLOOKUP(Recharged_Feasible_matv3!$A85,test!$A$34:$G$37, 3,FALSE)=VLOOKUP(I$1,test!$A$3:$I$32,3,FALSE)),1,0)</f>
        <v>0</v>
      </c>
      <c r="J85" s="2">
        <f>IF(AND(feasible_mat!I23, VLOOKUP(Recharged_Feasible_matv3!$A85,test!$A$34:$G$37, 3,FALSE)=VLOOKUP(J$1,test!$A$3:$I$32,3,FALSE)),1,0)</f>
        <v>0</v>
      </c>
      <c r="K85" s="2">
        <f>IF(AND(feasible_mat!J23, VLOOKUP(Recharged_Feasible_matv3!$A85,test!$A$34:$G$37, 3,FALSE)=VLOOKUP(K$1,test!$A$3:$I$32,3,FALSE)),1,0)</f>
        <v>0</v>
      </c>
      <c r="L85" s="2">
        <f>IF(AND(feasible_mat!K23, VLOOKUP(Recharged_Feasible_matv3!$A85,test!$A$34:$G$37, 3,FALSE)=VLOOKUP(L$1,test!$A$3:$I$32,3,FALSE)),1,0)</f>
        <v>0</v>
      </c>
      <c r="M85" s="2">
        <f>IF(AND(feasible_mat!L23, VLOOKUP(Recharged_Feasible_matv3!$A85,test!$A$34:$G$37, 3,FALSE)=VLOOKUP(M$1,test!$A$3:$I$32,3,FALSE)),1,0)</f>
        <v>0</v>
      </c>
      <c r="N85" s="2">
        <f>IF(AND(feasible_mat!M23, VLOOKUP(Recharged_Feasible_matv3!$A85,test!$A$34:$G$37, 3,FALSE)=VLOOKUP(N$1,test!$A$3:$I$32,3,FALSE)),1,0)</f>
        <v>0</v>
      </c>
      <c r="O85" s="2">
        <f>IF(AND(feasible_mat!N23, VLOOKUP(Recharged_Feasible_matv3!$A85,test!$A$34:$G$37, 3,FALSE)=VLOOKUP(O$1,test!$A$3:$I$32,3,FALSE)),1,0)</f>
        <v>0</v>
      </c>
      <c r="P85" s="2">
        <f>IF(AND(feasible_mat!O23, VLOOKUP(Recharged_Feasible_matv3!$A85,test!$A$34:$G$37, 3,FALSE)=VLOOKUP(P$1,test!$A$3:$I$32,3,FALSE)),1,0)</f>
        <v>0</v>
      </c>
      <c r="Q85" s="2">
        <f>IF(AND(feasible_mat!P23, VLOOKUP(Recharged_Feasible_matv3!$A85,test!$A$34:$G$37, 3,FALSE)=VLOOKUP(Q$1,test!$A$3:$I$32,3,FALSE)),1,0)</f>
        <v>0</v>
      </c>
      <c r="R85" s="2">
        <f>IF(AND(feasible_mat!Q23, VLOOKUP(Recharged_Feasible_matv3!$A85,test!$A$34:$G$37, 3,FALSE)=VLOOKUP(R$1,test!$A$3:$I$32,3,FALSE)),1,0)</f>
        <v>0</v>
      </c>
      <c r="S85" s="2">
        <f>IF(AND(feasible_mat!R23, VLOOKUP(Recharged_Feasible_matv3!$A85,test!$A$34:$G$37, 3,FALSE)=VLOOKUP(S$1,test!$A$3:$I$32,3,FALSE)),1,0)</f>
        <v>0</v>
      </c>
      <c r="T85" s="2">
        <f>IF(AND(feasible_mat!S23, VLOOKUP(Recharged_Feasible_matv3!$A85,test!$A$34:$G$37, 3,FALSE)=VLOOKUP(T$1,test!$A$3:$I$32,3,FALSE)),1,0)</f>
        <v>0</v>
      </c>
      <c r="U85" s="2">
        <f>IF(AND(feasible_mat!T23, VLOOKUP(Recharged_Feasible_matv3!$A85,test!$A$34:$G$37, 3,FALSE)=VLOOKUP(U$1,test!$A$3:$I$32,3,FALSE)),1,0)</f>
        <v>0</v>
      </c>
      <c r="V85" s="2">
        <f>IF(AND(feasible_mat!U23, VLOOKUP(Recharged_Feasible_matv3!$A85,test!$A$34:$G$37, 3,FALSE)=VLOOKUP(V$1,test!$A$3:$I$32,3,FALSE)),1,0)</f>
        <v>0</v>
      </c>
      <c r="W85" s="2">
        <f>IF(AND(feasible_mat!V23, VLOOKUP(Recharged_Feasible_matv3!$A85,test!$A$34:$G$37, 3,FALSE)=VLOOKUP(W$1,test!$A$3:$I$32,3,FALSE)),1,0)</f>
        <v>0</v>
      </c>
      <c r="X85" s="2">
        <f>IF(AND(feasible_mat!W23, VLOOKUP(Recharged_Feasible_matv3!$A85,test!$A$34:$G$37, 3,FALSE)=VLOOKUP(X$1,test!$A$3:$I$32,3,FALSE)),1,0)</f>
        <v>0</v>
      </c>
      <c r="Y85" s="2">
        <f>IF(AND(feasible_mat!X23, VLOOKUP(Recharged_Feasible_matv3!$A85,test!$A$34:$G$37, 3,FALSE)=VLOOKUP(Y$1,test!$A$3:$I$32,3,FALSE)),1,0)</f>
        <v>0</v>
      </c>
      <c r="Z85" s="2">
        <f>IF(AND(feasible_mat!Y23, VLOOKUP(Recharged_Feasible_matv3!$A85,test!$A$34:$G$37, 3,FALSE)=VLOOKUP(Z$1,test!$A$3:$I$32,3,FALSE)),1,0)</f>
        <v>0</v>
      </c>
      <c r="AA85" s="2">
        <f>IF(AND(feasible_mat!Z23, VLOOKUP(Recharged_Feasible_matv3!$A85,test!$A$34:$G$37, 3,FALSE)=VLOOKUP(AA$1,test!$A$3:$I$32,3,FALSE)),1,0)</f>
        <v>0</v>
      </c>
      <c r="AB85" s="2">
        <f>IF(AND(feasible_mat!AA23, VLOOKUP(Recharged_Feasible_matv3!$A85,test!$A$34:$G$37, 3,FALSE)=VLOOKUP(AB$1,test!$A$3:$I$32,3,FALSE)),1,0)</f>
        <v>0</v>
      </c>
      <c r="AC85" s="2">
        <f>IF(AND(feasible_mat!AB23, VLOOKUP(Recharged_Feasible_matv3!$A85,test!$A$34:$G$37, 3,FALSE)=VLOOKUP(AC$1,test!$A$3:$I$32,3,FALSE)),1,0)</f>
        <v>0</v>
      </c>
      <c r="AD85" s="2">
        <f>IF(AND(feasible_mat!AC23, VLOOKUP(Recharged_Feasible_matv3!$A85,test!$A$34:$G$37, 3,FALSE)=VLOOKUP(AD$1,test!$A$3:$I$32,3,FALSE)),1,0)</f>
        <v>0</v>
      </c>
      <c r="AE85" s="2">
        <f>IF(AND(feasible_mat!AD23, VLOOKUP(Recharged_Feasible_matv3!$A85,test!$A$34:$G$37, 3,FALSE)=VLOOKUP(AE$1,test!$A$3:$I$32,3,FALSE)),1,0)</f>
        <v>0</v>
      </c>
      <c r="AF85" s="2">
        <f>IF(AND(feasible_mat!AE23, VLOOKUP(Recharged_Feasible_matv3!$A85,test!$A$34:$G$37, 3,FALSE)=VLOOKUP(AF$1,test!$A$3:$I$32,3,FALSE)),1,0)</f>
        <v>0</v>
      </c>
      <c r="AG85" s="2">
        <f>IF(AND(feasible_mat!AF23, VLOOKUP(Recharged_Feasible_matv3!$A85,test!$A$34:$G$37, 3,FALSE)=VLOOKUP(AG$1,test!$A$3:$I$32,3,FALSE)),1,0)</f>
        <v>0</v>
      </c>
    </row>
    <row r="86" spans="1:33" x14ac:dyDescent="0.25">
      <c r="A86" t="s">
        <v>97</v>
      </c>
      <c r="B86" t="s">
        <v>33</v>
      </c>
      <c r="C86">
        <v>0</v>
      </c>
      <c r="D86" s="2">
        <f>IF(AND(feasible_mat!C24, VLOOKUP(Recharged_Feasible_matv3!$A86,test!$A$34:$G$37, 3,FALSE)=VLOOKUP(D$1,test!$A$3:$I$32,3,FALSE)),1,0)</f>
        <v>0</v>
      </c>
      <c r="E86" s="2">
        <f>IF(AND(feasible_mat!D24, VLOOKUP(Recharged_Feasible_matv3!$A86,test!$A$34:$G$37, 3,FALSE)=VLOOKUP(E$1,test!$A$3:$I$32,3,FALSE)),1,0)</f>
        <v>0</v>
      </c>
      <c r="F86" s="2">
        <f>IF(AND(feasible_mat!E24, VLOOKUP(Recharged_Feasible_matv3!$A86,test!$A$34:$G$37, 3,FALSE)=VLOOKUP(F$1,test!$A$3:$I$32,3,FALSE)),1,0)</f>
        <v>0</v>
      </c>
      <c r="G86" s="2">
        <f>IF(AND(feasible_mat!F24, VLOOKUP(Recharged_Feasible_matv3!$A86,test!$A$34:$G$37, 3,FALSE)=VLOOKUP(G$1,test!$A$3:$I$32,3,FALSE)),1,0)</f>
        <v>0</v>
      </c>
      <c r="H86" s="2">
        <f>IF(AND(feasible_mat!G24, VLOOKUP(Recharged_Feasible_matv3!$A86,test!$A$34:$G$37, 3,FALSE)=VLOOKUP(H$1,test!$A$3:$I$32,3,FALSE)),1,0)</f>
        <v>0</v>
      </c>
      <c r="I86" s="2">
        <f>IF(AND(feasible_mat!H24, VLOOKUP(Recharged_Feasible_matv3!$A86,test!$A$34:$G$37, 3,FALSE)=VLOOKUP(I$1,test!$A$3:$I$32,3,FALSE)),1,0)</f>
        <v>0</v>
      </c>
      <c r="J86" s="2">
        <f>IF(AND(feasible_mat!I24, VLOOKUP(Recharged_Feasible_matv3!$A86,test!$A$34:$G$37, 3,FALSE)=VLOOKUP(J$1,test!$A$3:$I$32,3,FALSE)),1,0)</f>
        <v>0</v>
      </c>
      <c r="K86" s="2">
        <f>IF(AND(feasible_mat!J24, VLOOKUP(Recharged_Feasible_matv3!$A86,test!$A$34:$G$37, 3,FALSE)=VLOOKUP(K$1,test!$A$3:$I$32,3,FALSE)),1,0)</f>
        <v>0</v>
      </c>
      <c r="L86" s="2">
        <f>IF(AND(feasible_mat!K24, VLOOKUP(Recharged_Feasible_matv3!$A86,test!$A$34:$G$37, 3,FALSE)=VLOOKUP(L$1,test!$A$3:$I$32,3,FALSE)),1,0)</f>
        <v>0</v>
      </c>
      <c r="M86" s="2">
        <f>IF(AND(feasible_mat!L24, VLOOKUP(Recharged_Feasible_matv3!$A86,test!$A$34:$G$37, 3,FALSE)=VLOOKUP(M$1,test!$A$3:$I$32,3,FALSE)),1,0)</f>
        <v>0</v>
      </c>
      <c r="N86" s="2">
        <f>IF(AND(feasible_mat!M24, VLOOKUP(Recharged_Feasible_matv3!$A86,test!$A$34:$G$37, 3,FALSE)=VLOOKUP(N$1,test!$A$3:$I$32,3,FALSE)),1,0)</f>
        <v>0</v>
      </c>
      <c r="O86" s="2">
        <f>IF(AND(feasible_mat!N24, VLOOKUP(Recharged_Feasible_matv3!$A86,test!$A$34:$G$37, 3,FALSE)=VLOOKUP(O$1,test!$A$3:$I$32,3,FALSE)),1,0)</f>
        <v>0</v>
      </c>
      <c r="P86" s="2">
        <f>IF(AND(feasible_mat!O24, VLOOKUP(Recharged_Feasible_matv3!$A86,test!$A$34:$G$37, 3,FALSE)=VLOOKUP(P$1,test!$A$3:$I$32,3,FALSE)),1,0)</f>
        <v>0</v>
      </c>
      <c r="Q86" s="2">
        <f>IF(AND(feasible_mat!P24, VLOOKUP(Recharged_Feasible_matv3!$A86,test!$A$34:$G$37, 3,FALSE)=VLOOKUP(Q$1,test!$A$3:$I$32,3,FALSE)),1,0)</f>
        <v>0</v>
      </c>
      <c r="R86" s="2">
        <f>IF(AND(feasible_mat!Q24, VLOOKUP(Recharged_Feasible_matv3!$A86,test!$A$34:$G$37, 3,FALSE)=VLOOKUP(R$1,test!$A$3:$I$32,3,FALSE)),1,0)</f>
        <v>0</v>
      </c>
      <c r="S86" s="2">
        <f>IF(AND(feasible_mat!R24, VLOOKUP(Recharged_Feasible_matv3!$A86,test!$A$34:$G$37, 3,FALSE)=VLOOKUP(S$1,test!$A$3:$I$32,3,FALSE)),1,0)</f>
        <v>0</v>
      </c>
      <c r="T86" s="2">
        <f>IF(AND(feasible_mat!S24, VLOOKUP(Recharged_Feasible_matv3!$A86,test!$A$34:$G$37, 3,FALSE)=VLOOKUP(T$1,test!$A$3:$I$32,3,FALSE)),1,0)</f>
        <v>0</v>
      </c>
      <c r="U86" s="2">
        <f>IF(AND(feasible_mat!T24, VLOOKUP(Recharged_Feasible_matv3!$A86,test!$A$34:$G$37, 3,FALSE)=VLOOKUP(U$1,test!$A$3:$I$32,3,FALSE)),1,0)</f>
        <v>0</v>
      </c>
      <c r="V86" s="2">
        <f>IF(AND(feasible_mat!U24, VLOOKUP(Recharged_Feasible_matv3!$A86,test!$A$34:$G$37, 3,FALSE)=VLOOKUP(V$1,test!$A$3:$I$32,3,FALSE)),1,0)</f>
        <v>0</v>
      </c>
      <c r="W86" s="2">
        <f>IF(AND(feasible_mat!V24, VLOOKUP(Recharged_Feasible_matv3!$A86,test!$A$34:$G$37, 3,FALSE)=VLOOKUP(W$1,test!$A$3:$I$32,3,FALSE)),1,0)</f>
        <v>0</v>
      </c>
      <c r="X86" s="2">
        <f>IF(AND(feasible_mat!W24, VLOOKUP(Recharged_Feasible_matv3!$A86,test!$A$34:$G$37, 3,FALSE)=VLOOKUP(X$1,test!$A$3:$I$32,3,FALSE)),1,0)</f>
        <v>0</v>
      </c>
      <c r="Y86" s="2">
        <f>IF(AND(feasible_mat!X24, VLOOKUP(Recharged_Feasible_matv3!$A86,test!$A$34:$G$37, 3,FALSE)=VLOOKUP(Y$1,test!$A$3:$I$32,3,FALSE)),1,0)</f>
        <v>0</v>
      </c>
      <c r="Z86" s="2">
        <f>IF(AND(feasible_mat!Y24, VLOOKUP(Recharged_Feasible_matv3!$A86,test!$A$34:$G$37, 3,FALSE)=VLOOKUP(Z$1,test!$A$3:$I$32,3,FALSE)),1,0)</f>
        <v>0</v>
      </c>
      <c r="AA86" s="2">
        <f>IF(AND(feasible_mat!Z24, VLOOKUP(Recharged_Feasible_matv3!$A86,test!$A$34:$G$37, 3,FALSE)=VLOOKUP(AA$1,test!$A$3:$I$32,3,FALSE)),1,0)</f>
        <v>0</v>
      </c>
      <c r="AB86" s="2">
        <f>IF(AND(feasible_mat!AA24, VLOOKUP(Recharged_Feasible_matv3!$A86,test!$A$34:$G$37, 3,FALSE)=VLOOKUP(AB$1,test!$A$3:$I$32,3,FALSE)),1,0)</f>
        <v>0</v>
      </c>
      <c r="AC86" s="2">
        <f>IF(AND(feasible_mat!AB24, VLOOKUP(Recharged_Feasible_matv3!$A86,test!$A$34:$G$37, 3,FALSE)=VLOOKUP(AC$1,test!$A$3:$I$32,3,FALSE)),1,0)</f>
        <v>0</v>
      </c>
      <c r="AD86" s="2">
        <f>IF(AND(feasible_mat!AC24, VLOOKUP(Recharged_Feasible_matv3!$A86,test!$A$34:$G$37, 3,FALSE)=VLOOKUP(AD$1,test!$A$3:$I$32,3,FALSE)),1,0)</f>
        <v>0</v>
      </c>
      <c r="AE86" s="2">
        <f>IF(AND(feasible_mat!AD24, VLOOKUP(Recharged_Feasible_matv3!$A86,test!$A$34:$G$37, 3,FALSE)=VLOOKUP(AE$1,test!$A$3:$I$32,3,FALSE)),1,0)</f>
        <v>0</v>
      </c>
      <c r="AF86" s="2">
        <f>IF(AND(feasible_mat!AE24, VLOOKUP(Recharged_Feasible_matv3!$A86,test!$A$34:$G$37, 3,FALSE)=VLOOKUP(AF$1,test!$A$3:$I$32,3,FALSE)),1,0)</f>
        <v>0</v>
      </c>
      <c r="AG86" s="2">
        <f>IF(AND(feasible_mat!AF24, VLOOKUP(Recharged_Feasible_matv3!$A86,test!$A$34:$G$37, 3,FALSE)=VLOOKUP(AG$1,test!$A$3:$I$32,3,FALSE)),1,0)</f>
        <v>0</v>
      </c>
    </row>
    <row r="87" spans="1:33" x14ac:dyDescent="0.25">
      <c r="A87" t="s">
        <v>97</v>
      </c>
      <c r="B87" t="s">
        <v>34</v>
      </c>
      <c r="C87">
        <v>0</v>
      </c>
      <c r="D87" s="2">
        <f>IF(AND(feasible_mat!C25, VLOOKUP(Recharged_Feasible_matv3!$A87,test!$A$34:$G$37, 3,FALSE)=VLOOKUP(D$1,test!$A$3:$I$32,3,FALSE)),1,0)</f>
        <v>0</v>
      </c>
      <c r="E87" s="2">
        <f>IF(AND(feasible_mat!D25, VLOOKUP(Recharged_Feasible_matv3!$A87,test!$A$34:$G$37, 3,FALSE)=VLOOKUP(E$1,test!$A$3:$I$32,3,FALSE)),1,0)</f>
        <v>0</v>
      </c>
      <c r="F87" s="2">
        <f>IF(AND(feasible_mat!E25, VLOOKUP(Recharged_Feasible_matv3!$A87,test!$A$34:$G$37, 3,FALSE)=VLOOKUP(F$1,test!$A$3:$I$32,3,FALSE)),1,0)</f>
        <v>0</v>
      </c>
      <c r="G87" s="2">
        <f>IF(AND(feasible_mat!F25, VLOOKUP(Recharged_Feasible_matv3!$A87,test!$A$34:$G$37, 3,FALSE)=VLOOKUP(G$1,test!$A$3:$I$32,3,FALSE)),1,0)</f>
        <v>0</v>
      </c>
      <c r="H87" s="2">
        <f>IF(AND(feasible_mat!G25, VLOOKUP(Recharged_Feasible_matv3!$A87,test!$A$34:$G$37, 3,FALSE)=VLOOKUP(H$1,test!$A$3:$I$32,3,FALSE)),1,0)</f>
        <v>0</v>
      </c>
      <c r="I87" s="2">
        <f>IF(AND(feasible_mat!H25, VLOOKUP(Recharged_Feasible_matv3!$A87,test!$A$34:$G$37, 3,FALSE)=VLOOKUP(I$1,test!$A$3:$I$32,3,FALSE)),1,0)</f>
        <v>0</v>
      </c>
      <c r="J87" s="2">
        <f>IF(AND(feasible_mat!I25, VLOOKUP(Recharged_Feasible_matv3!$A87,test!$A$34:$G$37, 3,FALSE)=VLOOKUP(J$1,test!$A$3:$I$32,3,FALSE)),1,0)</f>
        <v>0</v>
      </c>
      <c r="K87" s="2">
        <f>IF(AND(feasible_mat!J25, VLOOKUP(Recharged_Feasible_matv3!$A87,test!$A$34:$G$37, 3,FALSE)=VLOOKUP(K$1,test!$A$3:$I$32,3,FALSE)),1,0)</f>
        <v>0</v>
      </c>
      <c r="L87" s="2">
        <f>IF(AND(feasible_mat!K25, VLOOKUP(Recharged_Feasible_matv3!$A87,test!$A$34:$G$37, 3,FALSE)=VLOOKUP(L$1,test!$A$3:$I$32,3,FALSE)),1,0)</f>
        <v>0</v>
      </c>
      <c r="M87" s="2">
        <f>IF(AND(feasible_mat!L25, VLOOKUP(Recharged_Feasible_matv3!$A87,test!$A$34:$G$37, 3,FALSE)=VLOOKUP(M$1,test!$A$3:$I$32,3,FALSE)),1,0)</f>
        <v>0</v>
      </c>
      <c r="N87" s="2">
        <f>IF(AND(feasible_mat!M25, VLOOKUP(Recharged_Feasible_matv3!$A87,test!$A$34:$G$37, 3,FALSE)=VLOOKUP(N$1,test!$A$3:$I$32,3,FALSE)),1,0)</f>
        <v>0</v>
      </c>
      <c r="O87" s="2">
        <f>IF(AND(feasible_mat!N25, VLOOKUP(Recharged_Feasible_matv3!$A87,test!$A$34:$G$37, 3,FALSE)=VLOOKUP(O$1,test!$A$3:$I$32,3,FALSE)),1,0)</f>
        <v>0</v>
      </c>
      <c r="P87" s="2">
        <f>IF(AND(feasible_mat!O25, VLOOKUP(Recharged_Feasible_matv3!$A87,test!$A$34:$G$37, 3,FALSE)=VLOOKUP(P$1,test!$A$3:$I$32,3,FALSE)),1,0)</f>
        <v>0</v>
      </c>
      <c r="Q87" s="2">
        <f>IF(AND(feasible_mat!P25, VLOOKUP(Recharged_Feasible_matv3!$A87,test!$A$34:$G$37, 3,FALSE)=VLOOKUP(Q$1,test!$A$3:$I$32,3,FALSE)),1,0)</f>
        <v>0</v>
      </c>
      <c r="R87" s="2">
        <f>IF(AND(feasible_mat!Q25, VLOOKUP(Recharged_Feasible_matv3!$A87,test!$A$34:$G$37, 3,FALSE)=VLOOKUP(R$1,test!$A$3:$I$32,3,FALSE)),1,0)</f>
        <v>0</v>
      </c>
      <c r="S87" s="2">
        <f>IF(AND(feasible_mat!R25, VLOOKUP(Recharged_Feasible_matv3!$A87,test!$A$34:$G$37, 3,FALSE)=VLOOKUP(S$1,test!$A$3:$I$32,3,FALSE)),1,0)</f>
        <v>0</v>
      </c>
      <c r="T87" s="2">
        <f>IF(AND(feasible_mat!S25, VLOOKUP(Recharged_Feasible_matv3!$A87,test!$A$34:$G$37, 3,FALSE)=VLOOKUP(T$1,test!$A$3:$I$32,3,FALSE)),1,0)</f>
        <v>0</v>
      </c>
      <c r="U87" s="2">
        <f>IF(AND(feasible_mat!T25, VLOOKUP(Recharged_Feasible_matv3!$A87,test!$A$34:$G$37, 3,FALSE)=VLOOKUP(U$1,test!$A$3:$I$32,3,FALSE)),1,0)</f>
        <v>1</v>
      </c>
      <c r="V87" s="2">
        <f>IF(AND(feasible_mat!U25, VLOOKUP(Recharged_Feasible_matv3!$A87,test!$A$34:$G$37, 3,FALSE)=VLOOKUP(V$1,test!$A$3:$I$32,3,FALSE)),1,0)</f>
        <v>1</v>
      </c>
      <c r="W87" s="2">
        <f>IF(AND(feasible_mat!V25, VLOOKUP(Recharged_Feasible_matv3!$A87,test!$A$34:$G$37, 3,FALSE)=VLOOKUP(W$1,test!$A$3:$I$32,3,FALSE)),1,0)</f>
        <v>1</v>
      </c>
      <c r="X87" s="2">
        <f>IF(AND(feasible_mat!W25, VLOOKUP(Recharged_Feasible_matv3!$A87,test!$A$34:$G$37, 3,FALSE)=VLOOKUP(X$1,test!$A$3:$I$32,3,FALSE)),1,0)</f>
        <v>1</v>
      </c>
      <c r="Y87" s="2">
        <f>IF(AND(feasible_mat!X25, VLOOKUP(Recharged_Feasible_matv3!$A87,test!$A$34:$G$37, 3,FALSE)=VLOOKUP(Y$1,test!$A$3:$I$32,3,FALSE)),1,0)</f>
        <v>1</v>
      </c>
      <c r="Z87" s="2">
        <f>IF(AND(feasible_mat!Y25, VLOOKUP(Recharged_Feasible_matv3!$A87,test!$A$34:$G$37, 3,FALSE)=VLOOKUP(Z$1,test!$A$3:$I$32,3,FALSE)),1,0)</f>
        <v>0</v>
      </c>
      <c r="AA87" s="2">
        <f>IF(AND(feasible_mat!Z25, VLOOKUP(Recharged_Feasible_matv3!$A87,test!$A$34:$G$37, 3,FALSE)=VLOOKUP(AA$1,test!$A$3:$I$32,3,FALSE)),1,0)</f>
        <v>0</v>
      </c>
      <c r="AB87" s="2">
        <f>IF(AND(feasible_mat!AA25, VLOOKUP(Recharged_Feasible_matv3!$A87,test!$A$34:$G$37, 3,FALSE)=VLOOKUP(AB$1,test!$A$3:$I$32,3,FALSE)),1,0)</f>
        <v>0</v>
      </c>
      <c r="AC87" s="2">
        <f>IF(AND(feasible_mat!AB25, VLOOKUP(Recharged_Feasible_matv3!$A87,test!$A$34:$G$37, 3,FALSE)=VLOOKUP(AC$1,test!$A$3:$I$32,3,FALSE)),1,0)</f>
        <v>0</v>
      </c>
      <c r="AD87" s="2">
        <f>IF(AND(feasible_mat!AC25, VLOOKUP(Recharged_Feasible_matv3!$A87,test!$A$34:$G$37, 3,FALSE)=VLOOKUP(AD$1,test!$A$3:$I$32,3,FALSE)),1,0)</f>
        <v>0</v>
      </c>
      <c r="AE87" s="2">
        <f>IF(AND(feasible_mat!AD25, VLOOKUP(Recharged_Feasible_matv3!$A87,test!$A$34:$G$37, 3,FALSE)=VLOOKUP(AE$1,test!$A$3:$I$32,3,FALSE)),1,0)</f>
        <v>0</v>
      </c>
      <c r="AF87" s="2">
        <f>IF(AND(feasible_mat!AE25, VLOOKUP(Recharged_Feasible_matv3!$A87,test!$A$34:$G$37, 3,FALSE)=VLOOKUP(AF$1,test!$A$3:$I$32,3,FALSE)),1,0)</f>
        <v>0</v>
      </c>
      <c r="AG87" s="2">
        <f>IF(AND(feasible_mat!AF25, VLOOKUP(Recharged_Feasible_matv3!$A87,test!$A$34:$G$37, 3,FALSE)=VLOOKUP(AG$1,test!$A$3:$I$32,3,FALSE)),1,0)</f>
        <v>0</v>
      </c>
    </row>
    <row r="88" spans="1:33" x14ac:dyDescent="0.25">
      <c r="A88" t="s">
        <v>97</v>
      </c>
      <c r="B88" t="s">
        <v>35</v>
      </c>
      <c r="C88">
        <v>0</v>
      </c>
      <c r="D88" s="2">
        <f>IF(AND(feasible_mat!C26, VLOOKUP(Recharged_Feasible_matv3!$A88,test!$A$34:$G$37, 3,FALSE)=VLOOKUP(D$1,test!$A$3:$I$32,3,FALSE)),1,0)</f>
        <v>0</v>
      </c>
      <c r="E88" s="2">
        <f>IF(AND(feasible_mat!D26, VLOOKUP(Recharged_Feasible_matv3!$A88,test!$A$34:$G$37, 3,FALSE)=VLOOKUP(E$1,test!$A$3:$I$32,3,FALSE)),1,0)</f>
        <v>0</v>
      </c>
      <c r="F88" s="2">
        <f>IF(AND(feasible_mat!E26, VLOOKUP(Recharged_Feasible_matv3!$A88,test!$A$34:$G$37, 3,FALSE)=VLOOKUP(F$1,test!$A$3:$I$32,3,FALSE)),1,0)</f>
        <v>0</v>
      </c>
      <c r="G88" s="2">
        <f>IF(AND(feasible_mat!F26, VLOOKUP(Recharged_Feasible_matv3!$A88,test!$A$34:$G$37, 3,FALSE)=VLOOKUP(G$1,test!$A$3:$I$32,3,FALSE)),1,0)</f>
        <v>0</v>
      </c>
      <c r="H88" s="2">
        <f>IF(AND(feasible_mat!G26, VLOOKUP(Recharged_Feasible_matv3!$A88,test!$A$34:$G$37, 3,FALSE)=VLOOKUP(H$1,test!$A$3:$I$32,3,FALSE)),1,0)</f>
        <v>0</v>
      </c>
      <c r="I88" s="2">
        <f>IF(AND(feasible_mat!H26, VLOOKUP(Recharged_Feasible_matv3!$A88,test!$A$34:$G$37, 3,FALSE)=VLOOKUP(I$1,test!$A$3:$I$32,3,FALSE)),1,0)</f>
        <v>0</v>
      </c>
      <c r="J88" s="2">
        <f>IF(AND(feasible_mat!I26, VLOOKUP(Recharged_Feasible_matv3!$A88,test!$A$34:$G$37, 3,FALSE)=VLOOKUP(J$1,test!$A$3:$I$32,3,FALSE)),1,0)</f>
        <v>0</v>
      </c>
      <c r="K88" s="2">
        <f>IF(AND(feasible_mat!J26, VLOOKUP(Recharged_Feasible_matv3!$A88,test!$A$34:$G$37, 3,FALSE)=VLOOKUP(K$1,test!$A$3:$I$32,3,FALSE)),1,0)</f>
        <v>0</v>
      </c>
      <c r="L88" s="2">
        <f>IF(AND(feasible_mat!K26, VLOOKUP(Recharged_Feasible_matv3!$A88,test!$A$34:$G$37, 3,FALSE)=VLOOKUP(L$1,test!$A$3:$I$32,3,FALSE)),1,0)</f>
        <v>0</v>
      </c>
      <c r="M88" s="2">
        <f>IF(AND(feasible_mat!L26, VLOOKUP(Recharged_Feasible_matv3!$A88,test!$A$34:$G$37, 3,FALSE)=VLOOKUP(M$1,test!$A$3:$I$32,3,FALSE)),1,0)</f>
        <v>0</v>
      </c>
      <c r="N88" s="2">
        <f>IF(AND(feasible_mat!M26, VLOOKUP(Recharged_Feasible_matv3!$A88,test!$A$34:$G$37, 3,FALSE)=VLOOKUP(N$1,test!$A$3:$I$32,3,FALSE)),1,0)</f>
        <v>0</v>
      </c>
      <c r="O88" s="2">
        <f>IF(AND(feasible_mat!N26, VLOOKUP(Recharged_Feasible_matv3!$A88,test!$A$34:$G$37, 3,FALSE)=VLOOKUP(O$1,test!$A$3:$I$32,3,FALSE)),1,0)</f>
        <v>0</v>
      </c>
      <c r="P88" s="2">
        <f>IF(AND(feasible_mat!O26, VLOOKUP(Recharged_Feasible_matv3!$A88,test!$A$34:$G$37, 3,FALSE)=VLOOKUP(P$1,test!$A$3:$I$32,3,FALSE)),1,0)</f>
        <v>0</v>
      </c>
      <c r="Q88" s="2">
        <f>IF(AND(feasible_mat!P26, VLOOKUP(Recharged_Feasible_matv3!$A88,test!$A$34:$G$37, 3,FALSE)=VLOOKUP(Q$1,test!$A$3:$I$32,3,FALSE)),1,0)</f>
        <v>0</v>
      </c>
      <c r="R88" s="2">
        <f>IF(AND(feasible_mat!Q26, VLOOKUP(Recharged_Feasible_matv3!$A88,test!$A$34:$G$37, 3,FALSE)=VLOOKUP(R$1,test!$A$3:$I$32,3,FALSE)),1,0)</f>
        <v>0</v>
      </c>
      <c r="S88" s="2">
        <f>IF(AND(feasible_mat!R26, VLOOKUP(Recharged_Feasible_matv3!$A88,test!$A$34:$G$37, 3,FALSE)=VLOOKUP(S$1,test!$A$3:$I$32,3,FALSE)),1,0)</f>
        <v>0</v>
      </c>
      <c r="T88" s="2">
        <f>IF(AND(feasible_mat!S26, VLOOKUP(Recharged_Feasible_matv3!$A88,test!$A$34:$G$37, 3,FALSE)=VLOOKUP(T$1,test!$A$3:$I$32,3,FALSE)),1,0)</f>
        <v>0</v>
      </c>
      <c r="U88" s="2">
        <f>IF(AND(feasible_mat!T26, VLOOKUP(Recharged_Feasible_matv3!$A88,test!$A$34:$G$37, 3,FALSE)=VLOOKUP(U$1,test!$A$3:$I$32,3,FALSE)),1,0)</f>
        <v>0</v>
      </c>
      <c r="V88" s="2">
        <f>IF(AND(feasible_mat!U26, VLOOKUP(Recharged_Feasible_matv3!$A88,test!$A$34:$G$37, 3,FALSE)=VLOOKUP(V$1,test!$A$3:$I$32,3,FALSE)),1,0)</f>
        <v>1</v>
      </c>
      <c r="W88" s="2">
        <f>IF(AND(feasible_mat!V26, VLOOKUP(Recharged_Feasible_matv3!$A88,test!$A$34:$G$37, 3,FALSE)=VLOOKUP(W$1,test!$A$3:$I$32,3,FALSE)),1,0)</f>
        <v>1</v>
      </c>
      <c r="X88" s="2">
        <f>IF(AND(feasible_mat!W26, VLOOKUP(Recharged_Feasible_matv3!$A88,test!$A$34:$G$37, 3,FALSE)=VLOOKUP(X$1,test!$A$3:$I$32,3,FALSE)),1,0)</f>
        <v>1</v>
      </c>
      <c r="Y88" s="2">
        <f>IF(AND(feasible_mat!X26, VLOOKUP(Recharged_Feasible_matv3!$A88,test!$A$34:$G$37, 3,FALSE)=VLOOKUP(Y$1,test!$A$3:$I$32,3,FALSE)),1,0)</f>
        <v>1</v>
      </c>
      <c r="Z88" s="2">
        <f>IF(AND(feasible_mat!Y26, VLOOKUP(Recharged_Feasible_matv3!$A88,test!$A$34:$G$37, 3,FALSE)=VLOOKUP(Z$1,test!$A$3:$I$32,3,FALSE)),1,0)</f>
        <v>0</v>
      </c>
      <c r="AA88" s="2">
        <f>IF(AND(feasible_mat!Z26, VLOOKUP(Recharged_Feasible_matv3!$A88,test!$A$34:$G$37, 3,FALSE)=VLOOKUP(AA$1,test!$A$3:$I$32,3,FALSE)),1,0)</f>
        <v>0</v>
      </c>
      <c r="AB88" s="2">
        <f>IF(AND(feasible_mat!AA26, VLOOKUP(Recharged_Feasible_matv3!$A88,test!$A$34:$G$37, 3,FALSE)=VLOOKUP(AB$1,test!$A$3:$I$32,3,FALSE)),1,0)</f>
        <v>0</v>
      </c>
      <c r="AC88" s="2">
        <f>IF(AND(feasible_mat!AB26, VLOOKUP(Recharged_Feasible_matv3!$A88,test!$A$34:$G$37, 3,FALSE)=VLOOKUP(AC$1,test!$A$3:$I$32,3,FALSE)),1,0)</f>
        <v>0</v>
      </c>
      <c r="AD88" s="2">
        <f>IF(AND(feasible_mat!AC26, VLOOKUP(Recharged_Feasible_matv3!$A88,test!$A$34:$G$37, 3,FALSE)=VLOOKUP(AD$1,test!$A$3:$I$32,3,FALSE)),1,0)</f>
        <v>0</v>
      </c>
      <c r="AE88" s="2">
        <f>IF(AND(feasible_mat!AD26, VLOOKUP(Recharged_Feasible_matv3!$A88,test!$A$34:$G$37, 3,FALSE)=VLOOKUP(AE$1,test!$A$3:$I$32,3,FALSE)),1,0)</f>
        <v>0</v>
      </c>
      <c r="AF88" s="2">
        <f>IF(AND(feasible_mat!AE26, VLOOKUP(Recharged_Feasible_matv3!$A88,test!$A$34:$G$37, 3,FALSE)=VLOOKUP(AF$1,test!$A$3:$I$32,3,FALSE)),1,0)</f>
        <v>0</v>
      </c>
      <c r="AG88" s="2">
        <f>IF(AND(feasible_mat!AF26, VLOOKUP(Recharged_Feasible_matv3!$A88,test!$A$34:$G$37, 3,FALSE)=VLOOKUP(AG$1,test!$A$3:$I$32,3,FALSE)),1,0)</f>
        <v>0</v>
      </c>
    </row>
    <row r="89" spans="1:33" x14ac:dyDescent="0.25">
      <c r="A89" t="s">
        <v>97</v>
      </c>
      <c r="B89" t="s">
        <v>36</v>
      </c>
      <c r="C89">
        <v>0</v>
      </c>
      <c r="D89" s="2">
        <f>IF(AND(feasible_mat!C27, VLOOKUP(Recharged_Feasible_matv3!$A89,test!$A$34:$G$37, 3,FALSE)=VLOOKUP(D$1,test!$A$3:$I$32,3,FALSE)),1,0)</f>
        <v>0</v>
      </c>
      <c r="E89" s="2">
        <f>IF(AND(feasible_mat!D27, VLOOKUP(Recharged_Feasible_matv3!$A89,test!$A$34:$G$37, 3,FALSE)=VLOOKUP(E$1,test!$A$3:$I$32,3,FALSE)),1,0)</f>
        <v>0</v>
      </c>
      <c r="F89" s="2">
        <f>IF(AND(feasible_mat!E27, VLOOKUP(Recharged_Feasible_matv3!$A89,test!$A$34:$G$37, 3,FALSE)=VLOOKUP(F$1,test!$A$3:$I$32,3,FALSE)),1,0)</f>
        <v>0</v>
      </c>
      <c r="G89" s="2">
        <f>IF(AND(feasible_mat!F27, VLOOKUP(Recharged_Feasible_matv3!$A89,test!$A$34:$G$37, 3,FALSE)=VLOOKUP(G$1,test!$A$3:$I$32,3,FALSE)),1,0)</f>
        <v>0</v>
      </c>
      <c r="H89" s="2">
        <f>IF(AND(feasible_mat!G27, VLOOKUP(Recharged_Feasible_matv3!$A89,test!$A$34:$G$37, 3,FALSE)=VLOOKUP(H$1,test!$A$3:$I$32,3,FALSE)),1,0)</f>
        <v>0</v>
      </c>
      <c r="I89" s="2">
        <f>IF(AND(feasible_mat!H27, VLOOKUP(Recharged_Feasible_matv3!$A89,test!$A$34:$G$37, 3,FALSE)=VLOOKUP(I$1,test!$A$3:$I$32,3,FALSE)),1,0)</f>
        <v>0</v>
      </c>
      <c r="J89" s="2">
        <f>IF(AND(feasible_mat!I27, VLOOKUP(Recharged_Feasible_matv3!$A89,test!$A$34:$G$37, 3,FALSE)=VLOOKUP(J$1,test!$A$3:$I$32,3,FALSE)),1,0)</f>
        <v>0</v>
      </c>
      <c r="K89" s="2">
        <f>IF(AND(feasible_mat!J27, VLOOKUP(Recharged_Feasible_matv3!$A89,test!$A$34:$G$37, 3,FALSE)=VLOOKUP(K$1,test!$A$3:$I$32,3,FALSE)),1,0)</f>
        <v>0</v>
      </c>
      <c r="L89" s="2">
        <f>IF(AND(feasible_mat!K27, VLOOKUP(Recharged_Feasible_matv3!$A89,test!$A$34:$G$37, 3,FALSE)=VLOOKUP(L$1,test!$A$3:$I$32,3,FALSE)),1,0)</f>
        <v>0</v>
      </c>
      <c r="M89" s="2">
        <f>IF(AND(feasible_mat!L27, VLOOKUP(Recharged_Feasible_matv3!$A89,test!$A$34:$G$37, 3,FALSE)=VLOOKUP(M$1,test!$A$3:$I$32,3,FALSE)),1,0)</f>
        <v>0</v>
      </c>
      <c r="N89" s="2">
        <f>IF(AND(feasible_mat!M27, VLOOKUP(Recharged_Feasible_matv3!$A89,test!$A$34:$G$37, 3,FALSE)=VLOOKUP(N$1,test!$A$3:$I$32,3,FALSE)),1,0)</f>
        <v>0</v>
      </c>
      <c r="O89" s="2">
        <f>IF(AND(feasible_mat!N27, VLOOKUP(Recharged_Feasible_matv3!$A89,test!$A$34:$G$37, 3,FALSE)=VLOOKUP(O$1,test!$A$3:$I$32,3,FALSE)),1,0)</f>
        <v>0</v>
      </c>
      <c r="P89" s="2">
        <f>IF(AND(feasible_mat!O27, VLOOKUP(Recharged_Feasible_matv3!$A89,test!$A$34:$G$37, 3,FALSE)=VLOOKUP(P$1,test!$A$3:$I$32,3,FALSE)),1,0)</f>
        <v>0</v>
      </c>
      <c r="Q89" s="2">
        <f>IF(AND(feasible_mat!P27, VLOOKUP(Recharged_Feasible_matv3!$A89,test!$A$34:$G$37, 3,FALSE)=VLOOKUP(Q$1,test!$A$3:$I$32,3,FALSE)),1,0)</f>
        <v>0</v>
      </c>
      <c r="R89" s="2">
        <f>IF(AND(feasible_mat!Q27, VLOOKUP(Recharged_Feasible_matv3!$A89,test!$A$34:$G$37, 3,FALSE)=VLOOKUP(R$1,test!$A$3:$I$32,3,FALSE)),1,0)</f>
        <v>0</v>
      </c>
      <c r="S89" s="2">
        <f>IF(AND(feasible_mat!R27, VLOOKUP(Recharged_Feasible_matv3!$A89,test!$A$34:$G$37, 3,FALSE)=VLOOKUP(S$1,test!$A$3:$I$32,3,FALSE)),1,0)</f>
        <v>0</v>
      </c>
      <c r="T89" s="2">
        <f>IF(AND(feasible_mat!S27, VLOOKUP(Recharged_Feasible_matv3!$A89,test!$A$34:$G$37, 3,FALSE)=VLOOKUP(T$1,test!$A$3:$I$32,3,FALSE)),1,0)</f>
        <v>0</v>
      </c>
      <c r="U89" s="2">
        <f>IF(AND(feasible_mat!T27, VLOOKUP(Recharged_Feasible_matv3!$A89,test!$A$34:$G$37, 3,FALSE)=VLOOKUP(U$1,test!$A$3:$I$32,3,FALSE)),1,0)</f>
        <v>0</v>
      </c>
      <c r="V89" s="2">
        <f>IF(AND(feasible_mat!U27, VLOOKUP(Recharged_Feasible_matv3!$A89,test!$A$34:$G$37, 3,FALSE)=VLOOKUP(V$1,test!$A$3:$I$32,3,FALSE)),1,0)</f>
        <v>0</v>
      </c>
      <c r="W89" s="2">
        <f>IF(AND(feasible_mat!V27, VLOOKUP(Recharged_Feasible_matv3!$A89,test!$A$34:$G$37, 3,FALSE)=VLOOKUP(W$1,test!$A$3:$I$32,3,FALSE)),1,0)</f>
        <v>0</v>
      </c>
      <c r="X89" s="2">
        <f>IF(AND(feasible_mat!W27, VLOOKUP(Recharged_Feasible_matv3!$A89,test!$A$34:$G$37, 3,FALSE)=VLOOKUP(X$1,test!$A$3:$I$32,3,FALSE)),1,0)</f>
        <v>1</v>
      </c>
      <c r="Y89" s="2">
        <f>IF(AND(feasible_mat!X27, VLOOKUP(Recharged_Feasible_matv3!$A89,test!$A$34:$G$37, 3,FALSE)=VLOOKUP(Y$1,test!$A$3:$I$32,3,FALSE)),1,0)</f>
        <v>1</v>
      </c>
      <c r="Z89" s="2">
        <f>IF(AND(feasible_mat!Y27, VLOOKUP(Recharged_Feasible_matv3!$A89,test!$A$34:$G$37, 3,FALSE)=VLOOKUP(Z$1,test!$A$3:$I$32,3,FALSE)),1,0)</f>
        <v>0</v>
      </c>
      <c r="AA89" s="2">
        <f>IF(AND(feasible_mat!Z27, VLOOKUP(Recharged_Feasible_matv3!$A89,test!$A$34:$G$37, 3,FALSE)=VLOOKUP(AA$1,test!$A$3:$I$32,3,FALSE)),1,0)</f>
        <v>0</v>
      </c>
      <c r="AB89" s="2">
        <f>IF(AND(feasible_mat!AA27, VLOOKUP(Recharged_Feasible_matv3!$A89,test!$A$34:$G$37, 3,FALSE)=VLOOKUP(AB$1,test!$A$3:$I$32,3,FALSE)),1,0)</f>
        <v>0</v>
      </c>
      <c r="AC89" s="2">
        <f>IF(AND(feasible_mat!AB27, VLOOKUP(Recharged_Feasible_matv3!$A89,test!$A$34:$G$37, 3,FALSE)=VLOOKUP(AC$1,test!$A$3:$I$32,3,FALSE)),1,0)</f>
        <v>0</v>
      </c>
      <c r="AD89" s="2">
        <f>IF(AND(feasible_mat!AC27, VLOOKUP(Recharged_Feasible_matv3!$A89,test!$A$34:$G$37, 3,FALSE)=VLOOKUP(AD$1,test!$A$3:$I$32,3,FALSE)),1,0)</f>
        <v>0</v>
      </c>
      <c r="AE89" s="2">
        <f>IF(AND(feasible_mat!AD27, VLOOKUP(Recharged_Feasible_matv3!$A89,test!$A$34:$G$37, 3,FALSE)=VLOOKUP(AE$1,test!$A$3:$I$32,3,FALSE)),1,0)</f>
        <v>0</v>
      </c>
      <c r="AF89" s="2">
        <f>IF(AND(feasible_mat!AE27, VLOOKUP(Recharged_Feasible_matv3!$A89,test!$A$34:$G$37, 3,FALSE)=VLOOKUP(AF$1,test!$A$3:$I$32,3,FALSE)),1,0)</f>
        <v>0</v>
      </c>
      <c r="AG89" s="2">
        <f>IF(AND(feasible_mat!AF27, VLOOKUP(Recharged_Feasible_matv3!$A89,test!$A$34:$G$37, 3,FALSE)=VLOOKUP(AG$1,test!$A$3:$I$32,3,FALSE)),1,0)</f>
        <v>0</v>
      </c>
    </row>
    <row r="90" spans="1:33" x14ac:dyDescent="0.25">
      <c r="A90" t="s">
        <v>97</v>
      </c>
      <c r="B90" t="s">
        <v>37</v>
      </c>
      <c r="C90">
        <v>0</v>
      </c>
      <c r="D90" s="2">
        <f>IF(AND(feasible_mat!C28, VLOOKUP(Recharged_Feasible_matv3!$A90,test!$A$34:$G$37, 3,FALSE)=VLOOKUP(D$1,test!$A$3:$I$32,3,FALSE)),1,0)</f>
        <v>0</v>
      </c>
      <c r="E90" s="2">
        <f>IF(AND(feasible_mat!D28, VLOOKUP(Recharged_Feasible_matv3!$A90,test!$A$34:$G$37, 3,FALSE)=VLOOKUP(E$1,test!$A$3:$I$32,3,FALSE)),1,0)</f>
        <v>0</v>
      </c>
      <c r="F90" s="2">
        <f>IF(AND(feasible_mat!E28, VLOOKUP(Recharged_Feasible_matv3!$A90,test!$A$34:$G$37, 3,FALSE)=VLOOKUP(F$1,test!$A$3:$I$32,3,FALSE)),1,0)</f>
        <v>0</v>
      </c>
      <c r="G90" s="2">
        <f>IF(AND(feasible_mat!F28, VLOOKUP(Recharged_Feasible_matv3!$A90,test!$A$34:$G$37, 3,FALSE)=VLOOKUP(G$1,test!$A$3:$I$32,3,FALSE)),1,0)</f>
        <v>0</v>
      </c>
      <c r="H90" s="2">
        <f>IF(AND(feasible_mat!G28, VLOOKUP(Recharged_Feasible_matv3!$A90,test!$A$34:$G$37, 3,FALSE)=VLOOKUP(H$1,test!$A$3:$I$32,3,FALSE)),1,0)</f>
        <v>0</v>
      </c>
      <c r="I90" s="2">
        <f>IF(AND(feasible_mat!H28, VLOOKUP(Recharged_Feasible_matv3!$A90,test!$A$34:$G$37, 3,FALSE)=VLOOKUP(I$1,test!$A$3:$I$32,3,FALSE)),1,0)</f>
        <v>0</v>
      </c>
      <c r="J90" s="2">
        <f>IF(AND(feasible_mat!I28, VLOOKUP(Recharged_Feasible_matv3!$A90,test!$A$34:$G$37, 3,FALSE)=VLOOKUP(J$1,test!$A$3:$I$32,3,FALSE)),1,0)</f>
        <v>0</v>
      </c>
      <c r="K90" s="2">
        <f>IF(AND(feasible_mat!J28, VLOOKUP(Recharged_Feasible_matv3!$A90,test!$A$34:$G$37, 3,FALSE)=VLOOKUP(K$1,test!$A$3:$I$32,3,FALSE)),1,0)</f>
        <v>0</v>
      </c>
      <c r="L90" s="2">
        <f>IF(AND(feasible_mat!K28, VLOOKUP(Recharged_Feasible_matv3!$A90,test!$A$34:$G$37, 3,FALSE)=VLOOKUP(L$1,test!$A$3:$I$32,3,FALSE)),1,0)</f>
        <v>0</v>
      </c>
      <c r="M90" s="2">
        <f>IF(AND(feasible_mat!L28, VLOOKUP(Recharged_Feasible_matv3!$A90,test!$A$34:$G$37, 3,FALSE)=VLOOKUP(M$1,test!$A$3:$I$32,3,FALSE)),1,0)</f>
        <v>0</v>
      </c>
      <c r="N90" s="2">
        <f>IF(AND(feasible_mat!M28, VLOOKUP(Recharged_Feasible_matv3!$A90,test!$A$34:$G$37, 3,FALSE)=VLOOKUP(N$1,test!$A$3:$I$32,3,FALSE)),1,0)</f>
        <v>0</v>
      </c>
      <c r="O90" s="2">
        <f>IF(AND(feasible_mat!N28, VLOOKUP(Recharged_Feasible_matv3!$A90,test!$A$34:$G$37, 3,FALSE)=VLOOKUP(O$1,test!$A$3:$I$32,3,FALSE)),1,0)</f>
        <v>0</v>
      </c>
      <c r="P90" s="2">
        <f>IF(AND(feasible_mat!O28, VLOOKUP(Recharged_Feasible_matv3!$A90,test!$A$34:$G$37, 3,FALSE)=VLOOKUP(P$1,test!$A$3:$I$32,3,FALSE)),1,0)</f>
        <v>0</v>
      </c>
      <c r="Q90" s="2">
        <f>IF(AND(feasible_mat!P28, VLOOKUP(Recharged_Feasible_matv3!$A90,test!$A$34:$G$37, 3,FALSE)=VLOOKUP(Q$1,test!$A$3:$I$32,3,FALSE)),1,0)</f>
        <v>0</v>
      </c>
      <c r="R90" s="2">
        <f>IF(AND(feasible_mat!Q28, VLOOKUP(Recharged_Feasible_matv3!$A90,test!$A$34:$G$37, 3,FALSE)=VLOOKUP(R$1,test!$A$3:$I$32,3,FALSE)),1,0)</f>
        <v>0</v>
      </c>
      <c r="S90" s="2">
        <f>IF(AND(feasible_mat!R28, VLOOKUP(Recharged_Feasible_matv3!$A90,test!$A$34:$G$37, 3,FALSE)=VLOOKUP(S$1,test!$A$3:$I$32,3,FALSE)),1,0)</f>
        <v>0</v>
      </c>
      <c r="T90" s="2">
        <f>IF(AND(feasible_mat!S28, VLOOKUP(Recharged_Feasible_matv3!$A90,test!$A$34:$G$37, 3,FALSE)=VLOOKUP(T$1,test!$A$3:$I$32,3,FALSE)),1,0)</f>
        <v>0</v>
      </c>
      <c r="U90" s="2">
        <f>IF(AND(feasible_mat!T28, VLOOKUP(Recharged_Feasible_matv3!$A90,test!$A$34:$G$37, 3,FALSE)=VLOOKUP(U$1,test!$A$3:$I$32,3,FALSE)),1,0)</f>
        <v>0</v>
      </c>
      <c r="V90" s="2">
        <f>IF(AND(feasible_mat!U28, VLOOKUP(Recharged_Feasible_matv3!$A90,test!$A$34:$G$37, 3,FALSE)=VLOOKUP(V$1,test!$A$3:$I$32,3,FALSE)),1,0)</f>
        <v>0</v>
      </c>
      <c r="W90" s="2">
        <f>IF(AND(feasible_mat!V28, VLOOKUP(Recharged_Feasible_matv3!$A90,test!$A$34:$G$37, 3,FALSE)=VLOOKUP(W$1,test!$A$3:$I$32,3,FALSE)),1,0)</f>
        <v>0</v>
      </c>
      <c r="X90" s="2">
        <f>IF(AND(feasible_mat!W28, VLOOKUP(Recharged_Feasible_matv3!$A90,test!$A$34:$G$37, 3,FALSE)=VLOOKUP(X$1,test!$A$3:$I$32,3,FALSE)),1,0)</f>
        <v>1</v>
      </c>
      <c r="Y90" s="2">
        <f>IF(AND(feasible_mat!X28, VLOOKUP(Recharged_Feasible_matv3!$A90,test!$A$34:$G$37, 3,FALSE)=VLOOKUP(Y$1,test!$A$3:$I$32,3,FALSE)),1,0)</f>
        <v>1</v>
      </c>
      <c r="Z90" s="2">
        <f>IF(AND(feasible_mat!Y28, VLOOKUP(Recharged_Feasible_matv3!$A90,test!$A$34:$G$37, 3,FALSE)=VLOOKUP(Z$1,test!$A$3:$I$32,3,FALSE)),1,0)</f>
        <v>0</v>
      </c>
      <c r="AA90" s="2">
        <f>IF(AND(feasible_mat!Z28, VLOOKUP(Recharged_Feasible_matv3!$A90,test!$A$34:$G$37, 3,FALSE)=VLOOKUP(AA$1,test!$A$3:$I$32,3,FALSE)),1,0)</f>
        <v>0</v>
      </c>
      <c r="AB90" s="2">
        <f>IF(AND(feasible_mat!AA28, VLOOKUP(Recharged_Feasible_matv3!$A90,test!$A$34:$G$37, 3,FALSE)=VLOOKUP(AB$1,test!$A$3:$I$32,3,FALSE)),1,0)</f>
        <v>0</v>
      </c>
      <c r="AC90" s="2">
        <f>IF(AND(feasible_mat!AB28, VLOOKUP(Recharged_Feasible_matv3!$A90,test!$A$34:$G$37, 3,FALSE)=VLOOKUP(AC$1,test!$A$3:$I$32,3,FALSE)),1,0)</f>
        <v>0</v>
      </c>
      <c r="AD90" s="2">
        <f>IF(AND(feasible_mat!AC28, VLOOKUP(Recharged_Feasible_matv3!$A90,test!$A$34:$G$37, 3,FALSE)=VLOOKUP(AD$1,test!$A$3:$I$32,3,FALSE)),1,0)</f>
        <v>0</v>
      </c>
      <c r="AE90" s="2">
        <f>IF(AND(feasible_mat!AD28, VLOOKUP(Recharged_Feasible_matv3!$A90,test!$A$34:$G$37, 3,FALSE)=VLOOKUP(AE$1,test!$A$3:$I$32,3,FALSE)),1,0)</f>
        <v>0</v>
      </c>
      <c r="AF90" s="2">
        <f>IF(AND(feasible_mat!AE28, VLOOKUP(Recharged_Feasible_matv3!$A90,test!$A$34:$G$37, 3,FALSE)=VLOOKUP(AF$1,test!$A$3:$I$32,3,FALSE)),1,0)</f>
        <v>0</v>
      </c>
      <c r="AG90" s="2">
        <f>IF(AND(feasible_mat!AF28, VLOOKUP(Recharged_Feasible_matv3!$A90,test!$A$34:$G$37, 3,FALSE)=VLOOKUP(AG$1,test!$A$3:$I$32,3,FALSE)),1,0)</f>
        <v>0</v>
      </c>
    </row>
    <row r="91" spans="1:33" x14ac:dyDescent="0.25">
      <c r="A91" t="s">
        <v>97</v>
      </c>
      <c r="B91" t="s">
        <v>38</v>
      </c>
      <c r="C91">
        <v>0</v>
      </c>
      <c r="D91" s="2">
        <f>IF(AND(feasible_mat!C29, VLOOKUP(Recharged_Feasible_matv3!$A91,test!$A$34:$G$37, 3,FALSE)=VLOOKUP(D$1,test!$A$3:$I$32,3,FALSE)),1,0)</f>
        <v>0</v>
      </c>
      <c r="E91" s="2">
        <f>IF(AND(feasible_mat!D29, VLOOKUP(Recharged_Feasible_matv3!$A91,test!$A$34:$G$37, 3,FALSE)=VLOOKUP(E$1,test!$A$3:$I$32,3,FALSE)),1,0)</f>
        <v>0</v>
      </c>
      <c r="F91" s="2">
        <f>IF(AND(feasible_mat!E29, VLOOKUP(Recharged_Feasible_matv3!$A91,test!$A$34:$G$37, 3,FALSE)=VLOOKUP(F$1,test!$A$3:$I$32,3,FALSE)),1,0)</f>
        <v>0</v>
      </c>
      <c r="G91" s="2">
        <f>IF(AND(feasible_mat!F29, VLOOKUP(Recharged_Feasible_matv3!$A91,test!$A$34:$G$37, 3,FALSE)=VLOOKUP(G$1,test!$A$3:$I$32,3,FALSE)),1,0)</f>
        <v>0</v>
      </c>
      <c r="H91" s="2">
        <f>IF(AND(feasible_mat!G29, VLOOKUP(Recharged_Feasible_matv3!$A91,test!$A$34:$G$37, 3,FALSE)=VLOOKUP(H$1,test!$A$3:$I$32,3,FALSE)),1,0)</f>
        <v>0</v>
      </c>
      <c r="I91" s="2">
        <f>IF(AND(feasible_mat!H29, VLOOKUP(Recharged_Feasible_matv3!$A91,test!$A$34:$G$37, 3,FALSE)=VLOOKUP(I$1,test!$A$3:$I$32,3,FALSE)),1,0)</f>
        <v>0</v>
      </c>
      <c r="J91" s="2">
        <f>IF(AND(feasible_mat!I29, VLOOKUP(Recharged_Feasible_matv3!$A91,test!$A$34:$G$37, 3,FALSE)=VLOOKUP(J$1,test!$A$3:$I$32,3,FALSE)),1,0)</f>
        <v>0</v>
      </c>
      <c r="K91" s="2">
        <f>IF(AND(feasible_mat!J29, VLOOKUP(Recharged_Feasible_matv3!$A91,test!$A$34:$G$37, 3,FALSE)=VLOOKUP(K$1,test!$A$3:$I$32,3,FALSE)),1,0)</f>
        <v>0</v>
      </c>
      <c r="L91" s="2">
        <f>IF(AND(feasible_mat!K29, VLOOKUP(Recharged_Feasible_matv3!$A91,test!$A$34:$G$37, 3,FALSE)=VLOOKUP(L$1,test!$A$3:$I$32,3,FALSE)),1,0)</f>
        <v>0</v>
      </c>
      <c r="M91" s="2">
        <f>IF(AND(feasible_mat!L29, VLOOKUP(Recharged_Feasible_matv3!$A91,test!$A$34:$G$37, 3,FALSE)=VLOOKUP(M$1,test!$A$3:$I$32,3,FALSE)),1,0)</f>
        <v>0</v>
      </c>
      <c r="N91" s="2">
        <f>IF(AND(feasible_mat!M29, VLOOKUP(Recharged_Feasible_matv3!$A91,test!$A$34:$G$37, 3,FALSE)=VLOOKUP(N$1,test!$A$3:$I$32,3,FALSE)),1,0)</f>
        <v>0</v>
      </c>
      <c r="O91" s="2">
        <f>IF(AND(feasible_mat!N29, VLOOKUP(Recharged_Feasible_matv3!$A91,test!$A$34:$G$37, 3,FALSE)=VLOOKUP(O$1,test!$A$3:$I$32,3,FALSE)),1,0)</f>
        <v>0</v>
      </c>
      <c r="P91" s="2">
        <f>IF(AND(feasible_mat!O29, VLOOKUP(Recharged_Feasible_matv3!$A91,test!$A$34:$G$37, 3,FALSE)=VLOOKUP(P$1,test!$A$3:$I$32,3,FALSE)),1,0)</f>
        <v>0</v>
      </c>
      <c r="Q91" s="2">
        <f>IF(AND(feasible_mat!P29, VLOOKUP(Recharged_Feasible_matv3!$A91,test!$A$34:$G$37, 3,FALSE)=VLOOKUP(Q$1,test!$A$3:$I$32,3,FALSE)),1,0)</f>
        <v>0</v>
      </c>
      <c r="R91" s="2">
        <f>IF(AND(feasible_mat!Q29, VLOOKUP(Recharged_Feasible_matv3!$A91,test!$A$34:$G$37, 3,FALSE)=VLOOKUP(R$1,test!$A$3:$I$32,3,FALSE)),1,0)</f>
        <v>0</v>
      </c>
      <c r="S91" s="2">
        <f>IF(AND(feasible_mat!R29, VLOOKUP(Recharged_Feasible_matv3!$A91,test!$A$34:$G$37, 3,FALSE)=VLOOKUP(S$1,test!$A$3:$I$32,3,FALSE)),1,0)</f>
        <v>0</v>
      </c>
      <c r="T91" s="2">
        <f>IF(AND(feasible_mat!S29, VLOOKUP(Recharged_Feasible_matv3!$A91,test!$A$34:$G$37, 3,FALSE)=VLOOKUP(T$1,test!$A$3:$I$32,3,FALSE)),1,0)</f>
        <v>0</v>
      </c>
      <c r="U91" s="2">
        <f>IF(AND(feasible_mat!T29, VLOOKUP(Recharged_Feasible_matv3!$A91,test!$A$34:$G$37, 3,FALSE)=VLOOKUP(U$1,test!$A$3:$I$32,3,FALSE)),1,0)</f>
        <v>0</v>
      </c>
      <c r="V91" s="2">
        <f>IF(AND(feasible_mat!U29, VLOOKUP(Recharged_Feasible_matv3!$A91,test!$A$34:$G$37, 3,FALSE)=VLOOKUP(V$1,test!$A$3:$I$32,3,FALSE)),1,0)</f>
        <v>0</v>
      </c>
      <c r="W91" s="2">
        <f>IF(AND(feasible_mat!V29, VLOOKUP(Recharged_Feasible_matv3!$A91,test!$A$34:$G$37, 3,FALSE)=VLOOKUP(W$1,test!$A$3:$I$32,3,FALSE)),1,0)</f>
        <v>0</v>
      </c>
      <c r="X91" s="2">
        <f>IF(AND(feasible_mat!W29, VLOOKUP(Recharged_Feasible_matv3!$A91,test!$A$34:$G$37, 3,FALSE)=VLOOKUP(X$1,test!$A$3:$I$32,3,FALSE)),1,0)</f>
        <v>0</v>
      </c>
      <c r="Y91" s="2">
        <f>IF(AND(feasible_mat!X29, VLOOKUP(Recharged_Feasible_matv3!$A91,test!$A$34:$G$37, 3,FALSE)=VLOOKUP(Y$1,test!$A$3:$I$32,3,FALSE)),1,0)</f>
        <v>0</v>
      </c>
      <c r="Z91" s="2">
        <f>IF(AND(feasible_mat!Y29, VLOOKUP(Recharged_Feasible_matv3!$A91,test!$A$34:$G$37, 3,FALSE)=VLOOKUP(Z$1,test!$A$3:$I$32,3,FALSE)),1,0)</f>
        <v>0</v>
      </c>
      <c r="AA91" s="2">
        <f>IF(AND(feasible_mat!Z29, VLOOKUP(Recharged_Feasible_matv3!$A91,test!$A$34:$G$37, 3,FALSE)=VLOOKUP(AA$1,test!$A$3:$I$32,3,FALSE)),1,0)</f>
        <v>0</v>
      </c>
      <c r="AB91" s="2">
        <f>IF(AND(feasible_mat!AA29, VLOOKUP(Recharged_Feasible_matv3!$A91,test!$A$34:$G$37, 3,FALSE)=VLOOKUP(AB$1,test!$A$3:$I$32,3,FALSE)),1,0)</f>
        <v>0</v>
      </c>
      <c r="AC91" s="2">
        <f>IF(AND(feasible_mat!AB29, VLOOKUP(Recharged_Feasible_matv3!$A91,test!$A$34:$G$37, 3,FALSE)=VLOOKUP(AC$1,test!$A$3:$I$32,3,FALSE)),1,0)</f>
        <v>0</v>
      </c>
      <c r="AD91" s="2">
        <f>IF(AND(feasible_mat!AC29, VLOOKUP(Recharged_Feasible_matv3!$A91,test!$A$34:$G$37, 3,FALSE)=VLOOKUP(AD$1,test!$A$3:$I$32,3,FALSE)),1,0)</f>
        <v>0</v>
      </c>
      <c r="AE91" s="2">
        <f>IF(AND(feasible_mat!AD29, VLOOKUP(Recharged_Feasible_matv3!$A91,test!$A$34:$G$37, 3,FALSE)=VLOOKUP(AE$1,test!$A$3:$I$32,3,FALSE)),1,0)</f>
        <v>0</v>
      </c>
      <c r="AF91" s="2">
        <f>IF(AND(feasible_mat!AE29, VLOOKUP(Recharged_Feasible_matv3!$A91,test!$A$34:$G$37, 3,FALSE)=VLOOKUP(AF$1,test!$A$3:$I$32,3,FALSE)),1,0)</f>
        <v>0</v>
      </c>
      <c r="AG91" s="2">
        <f>IF(AND(feasible_mat!AF29, VLOOKUP(Recharged_Feasible_matv3!$A91,test!$A$34:$G$37, 3,FALSE)=VLOOKUP(AG$1,test!$A$3:$I$32,3,FALSE)),1,0)</f>
        <v>0</v>
      </c>
    </row>
    <row r="92" spans="1:33" x14ac:dyDescent="0.25">
      <c r="A92" t="s">
        <v>97</v>
      </c>
      <c r="B92" t="s">
        <v>39</v>
      </c>
      <c r="C92">
        <v>0</v>
      </c>
      <c r="D92" s="2">
        <f>IF(AND(feasible_mat!C30, VLOOKUP(Recharged_Feasible_matv3!$A92,test!$A$34:$G$37, 3,FALSE)=VLOOKUP(D$1,test!$A$3:$I$32,3,FALSE)),1,0)</f>
        <v>0</v>
      </c>
      <c r="E92" s="2">
        <f>IF(AND(feasible_mat!D30, VLOOKUP(Recharged_Feasible_matv3!$A92,test!$A$34:$G$37, 3,FALSE)=VLOOKUP(E$1,test!$A$3:$I$32,3,FALSE)),1,0)</f>
        <v>0</v>
      </c>
      <c r="F92" s="2">
        <f>IF(AND(feasible_mat!E30, VLOOKUP(Recharged_Feasible_matv3!$A92,test!$A$34:$G$37, 3,FALSE)=VLOOKUP(F$1,test!$A$3:$I$32,3,FALSE)),1,0)</f>
        <v>0</v>
      </c>
      <c r="G92" s="2">
        <f>IF(AND(feasible_mat!F30, VLOOKUP(Recharged_Feasible_matv3!$A92,test!$A$34:$G$37, 3,FALSE)=VLOOKUP(G$1,test!$A$3:$I$32,3,FALSE)),1,0)</f>
        <v>0</v>
      </c>
      <c r="H92" s="2">
        <f>IF(AND(feasible_mat!G30, VLOOKUP(Recharged_Feasible_matv3!$A92,test!$A$34:$G$37, 3,FALSE)=VLOOKUP(H$1,test!$A$3:$I$32,3,FALSE)),1,0)</f>
        <v>0</v>
      </c>
      <c r="I92" s="2">
        <f>IF(AND(feasible_mat!H30, VLOOKUP(Recharged_Feasible_matv3!$A92,test!$A$34:$G$37, 3,FALSE)=VLOOKUP(I$1,test!$A$3:$I$32,3,FALSE)),1,0)</f>
        <v>0</v>
      </c>
      <c r="J92" s="2">
        <f>IF(AND(feasible_mat!I30, VLOOKUP(Recharged_Feasible_matv3!$A92,test!$A$34:$G$37, 3,FALSE)=VLOOKUP(J$1,test!$A$3:$I$32,3,FALSE)),1,0)</f>
        <v>0</v>
      </c>
      <c r="K92" s="2">
        <f>IF(AND(feasible_mat!J30, VLOOKUP(Recharged_Feasible_matv3!$A92,test!$A$34:$G$37, 3,FALSE)=VLOOKUP(K$1,test!$A$3:$I$32,3,FALSE)),1,0)</f>
        <v>0</v>
      </c>
      <c r="L92" s="2">
        <f>IF(AND(feasible_mat!K30, VLOOKUP(Recharged_Feasible_matv3!$A92,test!$A$34:$G$37, 3,FALSE)=VLOOKUP(L$1,test!$A$3:$I$32,3,FALSE)),1,0)</f>
        <v>0</v>
      </c>
      <c r="M92" s="2">
        <f>IF(AND(feasible_mat!L30, VLOOKUP(Recharged_Feasible_matv3!$A92,test!$A$34:$G$37, 3,FALSE)=VLOOKUP(M$1,test!$A$3:$I$32,3,FALSE)),1,0)</f>
        <v>0</v>
      </c>
      <c r="N92" s="2">
        <f>IF(AND(feasible_mat!M30, VLOOKUP(Recharged_Feasible_matv3!$A92,test!$A$34:$G$37, 3,FALSE)=VLOOKUP(N$1,test!$A$3:$I$32,3,FALSE)),1,0)</f>
        <v>0</v>
      </c>
      <c r="O92" s="2">
        <f>IF(AND(feasible_mat!N30, VLOOKUP(Recharged_Feasible_matv3!$A92,test!$A$34:$G$37, 3,FALSE)=VLOOKUP(O$1,test!$A$3:$I$32,3,FALSE)),1,0)</f>
        <v>0</v>
      </c>
      <c r="P92" s="2">
        <f>IF(AND(feasible_mat!O30, VLOOKUP(Recharged_Feasible_matv3!$A92,test!$A$34:$G$37, 3,FALSE)=VLOOKUP(P$1,test!$A$3:$I$32,3,FALSE)),1,0)</f>
        <v>0</v>
      </c>
      <c r="Q92" s="2">
        <f>IF(AND(feasible_mat!P30, VLOOKUP(Recharged_Feasible_matv3!$A92,test!$A$34:$G$37, 3,FALSE)=VLOOKUP(Q$1,test!$A$3:$I$32,3,FALSE)),1,0)</f>
        <v>0</v>
      </c>
      <c r="R92" s="2">
        <f>IF(AND(feasible_mat!Q30, VLOOKUP(Recharged_Feasible_matv3!$A92,test!$A$34:$G$37, 3,FALSE)=VLOOKUP(R$1,test!$A$3:$I$32,3,FALSE)),1,0)</f>
        <v>0</v>
      </c>
      <c r="S92" s="2">
        <f>IF(AND(feasible_mat!R30, VLOOKUP(Recharged_Feasible_matv3!$A92,test!$A$34:$G$37, 3,FALSE)=VLOOKUP(S$1,test!$A$3:$I$32,3,FALSE)),1,0)</f>
        <v>0</v>
      </c>
      <c r="T92" s="2">
        <f>IF(AND(feasible_mat!S30, VLOOKUP(Recharged_Feasible_matv3!$A92,test!$A$34:$G$37, 3,FALSE)=VLOOKUP(T$1,test!$A$3:$I$32,3,FALSE)),1,0)</f>
        <v>0</v>
      </c>
      <c r="U92" s="2">
        <f>IF(AND(feasible_mat!T30, VLOOKUP(Recharged_Feasible_matv3!$A92,test!$A$34:$G$37, 3,FALSE)=VLOOKUP(U$1,test!$A$3:$I$32,3,FALSE)),1,0)</f>
        <v>1</v>
      </c>
      <c r="V92" s="2">
        <f>IF(AND(feasible_mat!U30, VLOOKUP(Recharged_Feasible_matv3!$A92,test!$A$34:$G$37, 3,FALSE)=VLOOKUP(V$1,test!$A$3:$I$32,3,FALSE)),1,0)</f>
        <v>1</v>
      </c>
      <c r="W92" s="2">
        <f>IF(AND(feasible_mat!V30, VLOOKUP(Recharged_Feasible_matv3!$A92,test!$A$34:$G$37, 3,FALSE)=VLOOKUP(W$1,test!$A$3:$I$32,3,FALSE)),1,0)</f>
        <v>1</v>
      </c>
      <c r="X92" s="2">
        <f>IF(AND(feasible_mat!W30, VLOOKUP(Recharged_Feasible_matv3!$A92,test!$A$34:$G$37, 3,FALSE)=VLOOKUP(X$1,test!$A$3:$I$32,3,FALSE)),1,0)</f>
        <v>1</v>
      </c>
      <c r="Y92" s="2">
        <f>IF(AND(feasible_mat!X30, VLOOKUP(Recharged_Feasible_matv3!$A92,test!$A$34:$G$37, 3,FALSE)=VLOOKUP(Y$1,test!$A$3:$I$32,3,FALSE)),1,0)</f>
        <v>1</v>
      </c>
      <c r="Z92" s="2">
        <f>IF(AND(feasible_mat!Y30, VLOOKUP(Recharged_Feasible_matv3!$A92,test!$A$34:$G$37, 3,FALSE)=VLOOKUP(Z$1,test!$A$3:$I$32,3,FALSE)),1,0)</f>
        <v>0</v>
      </c>
      <c r="AA92" s="2">
        <f>IF(AND(feasible_mat!Z30, VLOOKUP(Recharged_Feasible_matv3!$A92,test!$A$34:$G$37, 3,FALSE)=VLOOKUP(AA$1,test!$A$3:$I$32,3,FALSE)),1,0)</f>
        <v>0</v>
      </c>
      <c r="AB92" s="2">
        <f>IF(AND(feasible_mat!AA30, VLOOKUP(Recharged_Feasible_matv3!$A92,test!$A$34:$G$37, 3,FALSE)=VLOOKUP(AB$1,test!$A$3:$I$32,3,FALSE)),1,0)</f>
        <v>0</v>
      </c>
      <c r="AC92" s="2">
        <f>IF(AND(feasible_mat!AB30, VLOOKUP(Recharged_Feasible_matv3!$A92,test!$A$34:$G$37, 3,FALSE)=VLOOKUP(AC$1,test!$A$3:$I$32,3,FALSE)),1,0)</f>
        <v>0</v>
      </c>
      <c r="AD92" s="2">
        <f>IF(AND(feasible_mat!AC30, VLOOKUP(Recharged_Feasible_matv3!$A92,test!$A$34:$G$37, 3,FALSE)=VLOOKUP(AD$1,test!$A$3:$I$32,3,FALSE)),1,0)</f>
        <v>0</v>
      </c>
      <c r="AE92" s="2">
        <f>IF(AND(feasible_mat!AD30, VLOOKUP(Recharged_Feasible_matv3!$A92,test!$A$34:$G$37, 3,FALSE)=VLOOKUP(AE$1,test!$A$3:$I$32,3,FALSE)),1,0)</f>
        <v>0</v>
      </c>
      <c r="AF92" s="2">
        <f>IF(AND(feasible_mat!AE30, VLOOKUP(Recharged_Feasible_matv3!$A92,test!$A$34:$G$37, 3,FALSE)=VLOOKUP(AF$1,test!$A$3:$I$32,3,FALSE)),1,0)</f>
        <v>0</v>
      </c>
      <c r="AG92" s="2">
        <f>IF(AND(feasible_mat!AF30, VLOOKUP(Recharged_Feasible_matv3!$A92,test!$A$34:$G$37, 3,FALSE)=VLOOKUP(AG$1,test!$A$3:$I$32,3,FALSE)),1,0)</f>
        <v>0</v>
      </c>
    </row>
    <row r="93" spans="1:33" x14ac:dyDescent="0.25">
      <c r="A93" t="s">
        <v>97</v>
      </c>
      <c r="B93" t="s">
        <v>40</v>
      </c>
      <c r="C93">
        <v>0</v>
      </c>
      <c r="D93" s="2">
        <f>IF(AND(feasible_mat!C31, VLOOKUP(Recharged_Feasible_matv3!$A93,test!$A$34:$G$37, 3,FALSE)=VLOOKUP(D$1,test!$A$3:$I$32,3,FALSE)),1,0)</f>
        <v>0</v>
      </c>
      <c r="E93" s="2">
        <f>IF(AND(feasible_mat!D31, VLOOKUP(Recharged_Feasible_matv3!$A93,test!$A$34:$G$37, 3,FALSE)=VLOOKUP(E$1,test!$A$3:$I$32,3,FALSE)),1,0)</f>
        <v>0</v>
      </c>
      <c r="F93" s="2">
        <f>IF(AND(feasible_mat!E31, VLOOKUP(Recharged_Feasible_matv3!$A93,test!$A$34:$G$37, 3,FALSE)=VLOOKUP(F$1,test!$A$3:$I$32,3,FALSE)),1,0)</f>
        <v>0</v>
      </c>
      <c r="G93" s="2">
        <f>IF(AND(feasible_mat!F31, VLOOKUP(Recharged_Feasible_matv3!$A93,test!$A$34:$G$37, 3,FALSE)=VLOOKUP(G$1,test!$A$3:$I$32,3,FALSE)),1,0)</f>
        <v>0</v>
      </c>
      <c r="H93" s="2">
        <f>IF(AND(feasible_mat!G31, VLOOKUP(Recharged_Feasible_matv3!$A93,test!$A$34:$G$37, 3,FALSE)=VLOOKUP(H$1,test!$A$3:$I$32,3,FALSE)),1,0)</f>
        <v>0</v>
      </c>
      <c r="I93" s="2">
        <f>IF(AND(feasible_mat!H31, VLOOKUP(Recharged_Feasible_matv3!$A93,test!$A$34:$G$37, 3,FALSE)=VLOOKUP(I$1,test!$A$3:$I$32,3,FALSE)),1,0)</f>
        <v>0</v>
      </c>
      <c r="J93" s="2">
        <f>IF(AND(feasible_mat!I31, VLOOKUP(Recharged_Feasible_matv3!$A93,test!$A$34:$G$37, 3,FALSE)=VLOOKUP(J$1,test!$A$3:$I$32,3,FALSE)),1,0)</f>
        <v>0</v>
      </c>
      <c r="K93" s="2">
        <f>IF(AND(feasible_mat!J31, VLOOKUP(Recharged_Feasible_matv3!$A93,test!$A$34:$G$37, 3,FALSE)=VLOOKUP(K$1,test!$A$3:$I$32,3,FALSE)),1,0)</f>
        <v>0</v>
      </c>
      <c r="L93" s="2">
        <f>IF(AND(feasible_mat!K31, VLOOKUP(Recharged_Feasible_matv3!$A93,test!$A$34:$G$37, 3,FALSE)=VLOOKUP(L$1,test!$A$3:$I$32,3,FALSE)),1,0)</f>
        <v>0</v>
      </c>
      <c r="M93" s="2">
        <f>IF(AND(feasible_mat!L31, VLOOKUP(Recharged_Feasible_matv3!$A93,test!$A$34:$G$37, 3,FALSE)=VLOOKUP(M$1,test!$A$3:$I$32,3,FALSE)),1,0)</f>
        <v>0</v>
      </c>
      <c r="N93" s="2">
        <f>IF(AND(feasible_mat!M31, VLOOKUP(Recharged_Feasible_matv3!$A93,test!$A$34:$G$37, 3,FALSE)=VLOOKUP(N$1,test!$A$3:$I$32,3,FALSE)),1,0)</f>
        <v>0</v>
      </c>
      <c r="O93" s="2">
        <f>IF(AND(feasible_mat!N31, VLOOKUP(Recharged_Feasible_matv3!$A93,test!$A$34:$G$37, 3,FALSE)=VLOOKUP(O$1,test!$A$3:$I$32,3,FALSE)),1,0)</f>
        <v>0</v>
      </c>
      <c r="P93" s="2">
        <f>IF(AND(feasible_mat!O31, VLOOKUP(Recharged_Feasible_matv3!$A93,test!$A$34:$G$37, 3,FALSE)=VLOOKUP(P$1,test!$A$3:$I$32,3,FALSE)),1,0)</f>
        <v>0</v>
      </c>
      <c r="Q93" s="2">
        <f>IF(AND(feasible_mat!P31, VLOOKUP(Recharged_Feasible_matv3!$A93,test!$A$34:$G$37, 3,FALSE)=VLOOKUP(Q$1,test!$A$3:$I$32,3,FALSE)),1,0)</f>
        <v>0</v>
      </c>
      <c r="R93" s="2">
        <f>IF(AND(feasible_mat!Q31, VLOOKUP(Recharged_Feasible_matv3!$A93,test!$A$34:$G$37, 3,FALSE)=VLOOKUP(R$1,test!$A$3:$I$32,3,FALSE)),1,0)</f>
        <v>0</v>
      </c>
      <c r="S93" s="2">
        <f>IF(AND(feasible_mat!R31, VLOOKUP(Recharged_Feasible_matv3!$A93,test!$A$34:$G$37, 3,FALSE)=VLOOKUP(S$1,test!$A$3:$I$32,3,FALSE)),1,0)</f>
        <v>0</v>
      </c>
      <c r="T93" s="2">
        <f>IF(AND(feasible_mat!S31, VLOOKUP(Recharged_Feasible_matv3!$A93,test!$A$34:$G$37, 3,FALSE)=VLOOKUP(T$1,test!$A$3:$I$32,3,FALSE)),1,0)</f>
        <v>0</v>
      </c>
      <c r="U93" s="2">
        <f>IF(AND(feasible_mat!T31, VLOOKUP(Recharged_Feasible_matv3!$A93,test!$A$34:$G$37, 3,FALSE)=VLOOKUP(U$1,test!$A$3:$I$32,3,FALSE)),1,0)</f>
        <v>0</v>
      </c>
      <c r="V93" s="2">
        <f>IF(AND(feasible_mat!U31, VLOOKUP(Recharged_Feasible_matv3!$A93,test!$A$34:$G$37, 3,FALSE)=VLOOKUP(V$1,test!$A$3:$I$32,3,FALSE)),1,0)</f>
        <v>0</v>
      </c>
      <c r="W93" s="2">
        <f>IF(AND(feasible_mat!V31, VLOOKUP(Recharged_Feasible_matv3!$A93,test!$A$34:$G$37, 3,FALSE)=VLOOKUP(W$1,test!$A$3:$I$32,3,FALSE)),1,0)</f>
        <v>0</v>
      </c>
      <c r="X93" s="2">
        <f>IF(AND(feasible_mat!W31, VLOOKUP(Recharged_Feasible_matv3!$A93,test!$A$34:$G$37, 3,FALSE)=VLOOKUP(X$1,test!$A$3:$I$32,3,FALSE)),1,0)</f>
        <v>0</v>
      </c>
      <c r="Y93" s="2">
        <f>IF(AND(feasible_mat!X31, VLOOKUP(Recharged_Feasible_matv3!$A93,test!$A$34:$G$37, 3,FALSE)=VLOOKUP(Y$1,test!$A$3:$I$32,3,FALSE)),1,0)</f>
        <v>1</v>
      </c>
      <c r="Z93" s="2">
        <f>IF(AND(feasible_mat!Y31, VLOOKUP(Recharged_Feasible_matv3!$A93,test!$A$34:$G$37, 3,FALSE)=VLOOKUP(Z$1,test!$A$3:$I$32,3,FALSE)),1,0)</f>
        <v>0</v>
      </c>
      <c r="AA93" s="2">
        <f>IF(AND(feasible_mat!Z31, VLOOKUP(Recharged_Feasible_matv3!$A93,test!$A$34:$G$37, 3,FALSE)=VLOOKUP(AA$1,test!$A$3:$I$32,3,FALSE)),1,0)</f>
        <v>0</v>
      </c>
      <c r="AB93" s="2">
        <f>IF(AND(feasible_mat!AA31, VLOOKUP(Recharged_Feasible_matv3!$A93,test!$A$34:$G$37, 3,FALSE)=VLOOKUP(AB$1,test!$A$3:$I$32,3,FALSE)),1,0)</f>
        <v>0</v>
      </c>
      <c r="AC93" s="2">
        <f>IF(AND(feasible_mat!AB31, VLOOKUP(Recharged_Feasible_matv3!$A93,test!$A$34:$G$37, 3,FALSE)=VLOOKUP(AC$1,test!$A$3:$I$32,3,FALSE)),1,0)</f>
        <v>0</v>
      </c>
      <c r="AD93" s="2">
        <f>IF(AND(feasible_mat!AC31, VLOOKUP(Recharged_Feasible_matv3!$A93,test!$A$34:$G$37, 3,FALSE)=VLOOKUP(AD$1,test!$A$3:$I$32,3,FALSE)),1,0)</f>
        <v>0</v>
      </c>
      <c r="AE93" s="2">
        <f>IF(AND(feasible_mat!AD31, VLOOKUP(Recharged_Feasible_matv3!$A93,test!$A$34:$G$37, 3,FALSE)=VLOOKUP(AE$1,test!$A$3:$I$32,3,FALSE)),1,0)</f>
        <v>0</v>
      </c>
      <c r="AF93" s="2">
        <f>IF(AND(feasible_mat!AE31, VLOOKUP(Recharged_Feasible_matv3!$A93,test!$A$34:$G$37, 3,FALSE)=VLOOKUP(AF$1,test!$A$3:$I$32,3,FALSE)),1,0)</f>
        <v>0</v>
      </c>
      <c r="AG93" s="2">
        <f>IF(AND(feasible_mat!AF31, VLOOKUP(Recharged_Feasible_matv3!$A93,test!$A$34:$G$37, 3,FALSE)=VLOOKUP(AG$1,test!$A$3:$I$32,3,FALSE)),1,0)</f>
        <v>0</v>
      </c>
    </row>
    <row r="94" spans="1:33" x14ac:dyDescent="0.25">
      <c r="A94" t="s">
        <v>97</v>
      </c>
      <c r="B94" t="s">
        <v>41</v>
      </c>
      <c r="C94">
        <v>0</v>
      </c>
      <c r="D94" s="2">
        <f>IF(AND(feasible_mat!C32, VLOOKUP(Recharged_Feasible_matv3!$A94,test!$A$34:$G$37, 3,FALSE)=VLOOKUP(D$1,test!$A$3:$I$32,3,FALSE)),1,0)</f>
        <v>0</v>
      </c>
      <c r="E94" s="2">
        <f>IF(AND(feasible_mat!D32, VLOOKUP(Recharged_Feasible_matv3!$A94,test!$A$34:$G$37, 3,FALSE)=VLOOKUP(E$1,test!$A$3:$I$32,3,FALSE)),1,0)</f>
        <v>0</v>
      </c>
      <c r="F94" s="2">
        <f>IF(AND(feasible_mat!E32, VLOOKUP(Recharged_Feasible_matv3!$A94,test!$A$34:$G$37, 3,FALSE)=VLOOKUP(F$1,test!$A$3:$I$32,3,FALSE)),1,0)</f>
        <v>0</v>
      </c>
      <c r="G94" s="2">
        <f>IF(AND(feasible_mat!F32, VLOOKUP(Recharged_Feasible_matv3!$A94,test!$A$34:$G$37, 3,FALSE)=VLOOKUP(G$1,test!$A$3:$I$32,3,FALSE)),1,0)</f>
        <v>0</v>
      </c>
      <c r="H94" s="2">
        <f>IF(AND(feasible_mat!G32, VLOOKUP(Recharged_Feasible_matv3!$A94,test!$A$34:$G$37, 3,FALSE)=VLOOKUP(H$1,test!$A$3:$I$32,3,FALSE)),1,0)</f>
        <v>0</v>
      </c>
      <c r="I94" s="2">
        <f>IF(AND(feasible_mat!H32, VLOOKUP(Recharged_Feasible_matv3!$A94,test!$A$34:$G$37, 3,FALSE)=VLOOKUP(I$1,test!$A$3:$I$32,3,FALSE)),1,0)</f>
        <v>0</v>
      </c>
      <c r="J94" s="2">
        <f>IF(AND(feasible_mat!I32, VLOOKUP(Recharged_Feasible_matv3!$A94,test!$A$34:$G$37, 3,FALSE)=VLOOKUP(J$1,test!$A$3:$I$32,3,FALSE)),1,0)</f>
        <v>0</v>
      </c>
      <c r="K94" s="2">
        <f>IF(AND(feasible_mat!J32, VLOOKUP(Recharged_Feasible_matv3!$A94,test!$A$34:$G$37, 3,FALSE)=VLOOKUP(K$1,test!$A$3:$I$32,3,FALSE)),1,0)</f>
        <v>0</v>
      </c>
      <c r="L94" s="2">
        <f>IF(AND(feasible_mat!K32, VLOOKUP(Recharged_Feasible_matv3!$A94,test!$A$34:$G$37, 3,FALSE)=VLOOKUP(L$1,test!$A$3:$I$32,3,FALSE)),1,0)</f>
        <v>0</v>
      </c>
      <c r="M94" s="2">
        <f>IF(AND(feasible_mat!L32, VLOOKUP(Recharged_Feasible_matv3!$A94,test!$A$34:$G$37, 3,FALSE)=VLOOKUP(M$1,test!$A$3:$I$32,3,FALSE)),1,0)</f>
        <v>0</v>
      </c>
      <c r="N94" s="2">
        <f>IF(AND(feasible_mat!M32, VLOOKUP(Recharged_Feasible_matv3!$A94,test!$A$34:$G$37, 3,FALSE)=VLOOKUP(N$1,test!$A$3:$I$32,3,FALSE)),1,0)</f>
        <v>0</v>
      </c>
      <c r="O94" s="2">
        <f>IF(AND(feasible_mat!N32, VLOOKUP(Recharged_Feasible_matv3!$A94,test!$A$34:$G$37, 3,FALSE)=VLOOKUP(O$1,test!$A$3:$I$32,3,FALSE)),1,0)</f>
        <v>0</v>
      </c>
      <c r="P94" s="2">
        <f>IF(AND(feasible_mat!O32, VLOOKUP(Recharged_Feasible_matv3!$A94,test!$A$34:$G$37, 3,FALSE)=VLOOKUP(P$1,test!$A$3:$I$32,3,FALSE)),1,0)</f>
        <v>0</v>
      </c>
      <c r="Q94" s="2">
        <f>IF(AND(feasible_mat!P32, VLOOKUP(Recharged_Feasible_matv3!$A94,test!$A$34:$G$37, 3,FALSE)=VLOOKUP(Q$1,test!$A$3:$I$32,3,FALSE)),1,0)</f>
        <v>0</v>
      </c>
      <c r="R94" s="2">
        <f>IF(AND(feasible_mat!Q32, VLOOKUP(Recharged_Feasible_matv3!$A94,test!$A$34:$G$37, 3,FALSE)=VLOOKUP(R$1,test!$A$3:$I$32,3,FALSE)),1,0)</f>
        <v>0</v>
      </c>
      <c r="S94" s="2">
        <f>IF(AND(feasible_mat!R32, VLOOKUP(Recharged_Feasible_matv3!$A94,test!$A$34:$G$37, 3,FALSE)=VLOOKUP(S$1,test!$A$3:$I$32,3,FALSE)),1,0)</f>
        <v>0</v>
      </c>
      <c r="T94" s="2">
        <f>IF(AND(feasible_mat!S32, VLOOKUP(Recharged_Feasible_matv3!$A94,test!$A$34:$G$37, 3,FALSE)=VLOOKUP(T$1,test!$A$3:$I$32,3,FALSE)),1,0)</f>
        <v>0</v>
      </c>
      <c r="U94" s="2">
        <f>IF(AND(feasible_mat!T32, VLOOKUP(Recharged_Feasible_matv3!$A94,test!$A$34:$G$37, 3,FALSE)=VLOOKUP(U$1,test!$A$3:$I$32,3,FALSE)),1,0)</f>
        <v>0</v>
      </c>
      <c r="V94" s="2">
        <f>IF(AND(feasible_mat!U32, VLOOKUP(Recharged_Feasible_matv3!$A94,test!$A$34:$G$37, 3,FALSE)=VLOOKUP(V$1,test!$A$3:$I$32,3,FALSE)),1,0)</f>
        <v>0</v>
      </c>
      <c r="W94" s="2">
        <f>IF(AND(feasible_mat!V32, VLOOKUP(Recharged_Feasible_matv3!$A94,test!$A$34:$G$37, 3,FALSE)=VLOOKUP(W$1,test!$A$3:$I$32,3,FALSE)),1,0)</f>
        <v>0</v>
      </c>
      <c r="X94" s="2">
        <f>IF(AND(feasible_mat!W32, VLOOKUP(Recharged_Feasible_matv3!$A94,test!$A$34:$G$37, 3,FALSE)=VLOOKUP(X$1,test!$A$3:$I$32,3,FALSE)),1,0)</f>
        <v>0</v>
      </c>
      <c r="Y94" s="2">
        <f>IF(AND(feasible_mat!X32, VLOOKUP(Recharged_Feasible_matv3!$A94,test!$A$34:$G$37, 3,FALSE)=VLOOKUP(Y$1,test!$A$3:$I$32,3,FALSE)),1,0)</f>
        <v>1</v>
      </c>
      <c r="Z94" s="2">
        <f>IF(AND(feasible_mat!Y32, VLOOKUP(Recharged_Feasible_matv3!$A94,test!$A$34:$G$37, 3,FALSE)=VLOOKUP(Z$1,test!$A$3:$I$32,3,FALSE)),1,0)</f>
        <v>0</v>
      </c>
      <c r="AA94" s="2">
        <f>IF(AND(feasible_mat!Z32, VLOOKUP(Recharged_Feasible_matv3!$A94,test!$A$34:$G$37, 3,FALSE)=VLOOKUP(AA$1,test!$A$3:$I$32,3,FALSE)),1,0)</f>
        <v>0</v>
      </c>
      <c r="AB94" s="2">
        <f>IF(AND(feasible_mat!AA32, VLOOKUP(Recharged_Feasible_matv3!$A94,test!$A$34:$G$37, 3,FALSE)=VLOOKUP(AB$1,test!$A$3:$I$32,3,FALSE)),1,0)</f>
        <v>0</v>
      </c>
      <c r="AC94" s="2">
        <f>IF(AND(feasible_mat!AB32, VLOOKUP(Recharged_Feasible_matv3!$A94,test!$A$34:$G$37, 3,FALSE)=VLOOKUP(AC$1,test!$A$3:$I$32,3,FALSE)),1,0)</f>
        <v>0</v>
      </c>
      <c r="AD94" s="2">
        <f>IF(AND(feasible_mat!AC32, VLOOKUP(Recharged_Feasible_matv3!$A94,test!$A$34:$G$37, 3,FALSE)=VLOOKUP(AD$1,test!$A$3:$I$32,3,FALSE)),1,0)</f>
        <v>0</v>
      </c>
      <c r="AE94" s="2">
        <f>IF(AND(feasible_mat!AD32, VLOOKUP(Recharged_Feasible_matv3!$A94,test!$A$34:$G$37, 3,FALSE)=VLOOKUP(AE$1,test!$A$3:$I$32,3,FALSE)),1,0)</f>
        <v>0</v>
      </c>
      <c r="AF94" s="2">
        <f>IF(AND(feasible_mat!AE32, VLOOKUP(Recharged_Feasible_matv3!$A94,test!$A$34:$G$37, 3,FALSE)=VLOOKUP(AF$1,test!$A$3:$I$32,3,FALSE)),1,0)</f>
        <v>0</v>
      </c>
      <c r="AG94" s="2">
        <f>IF(AND(feasible_mat!AF32, VLOOKUP(Recharged_Feasible_matv3!$A94,test!$A$34:$G$37, 3,FALSE)=VLOOKUP(AG$1,test!$A$3:$I$32,3,FALSE)),1,0)</f>
        <v>0</v>
      </c>
    </row>
    <row r="95" spans="1:33" x14ac:dyDescent="0.25">
      <c r="A95" t="s">
        <v>98</v>
      </c>
      <c r="B95" t="s">
        <v>46</v>
      </c>
      <c r="C95">
        <v>0</v>
      </c>
      <c r="D95" s="2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5">
      <c r="A96" t="s">
        <v>98</v>
      </c>
      <c r="B96" t="s">
        <v>6</v>
      </c>
      <c r="C96">
        <v>0</v>
      </c>
      <c r="D96" s="2">
        <f>IF(AND(feasible_mat!C3, VLOOKUP(Recharged_Feasible_matv3!$A96,test!$A$34:$G$37, 3,FALSE)=VLOOKUP(D$1,test!$A$3:$I$32,3,FALSE)),1,0)</f>
        <v>0</v>
      </c>
      <c r="E96" s="2">
        <f>IF(AND(feasible_mat!D3, VLOOKUP(Recharged_Feasible_matv3!$A96,test!$A$34:$G$37, 3,FALSE)=VLOOKUP(E$1,test!$A$3:$I$32,3,FALSE)),1,0)</f>
        <v>0</v>
      </c>
      <c r="F96" s="2">
        <f>IF(AND(feasible_mat!E3, VLOOKUP(Recharged_Feasible_matv3!$A96,test!$A$34:$G$37, 3,FALSE)=VLOOKUP(F$1,test!$A$3:$I$32,3,FALSE)),1,0)</f>
        <v>0</v>
      </c>
      <c r="G96" s="2">
        <f>IF(AND(feasible_mat!F3, VLOOKUP(Recharged_Feasible_matv3!$A96,test!$A$34:$G$37, 3,FALSE)=VLOOKUP(G$1,test!$A$3:$I$32,3,FALSE)),1,0)</f>
        <v>0</v>
      </c>
      <c r="H96" s="2">
        <f>IF(AND(feasible_mat!G3, VLOOKUP(Recharged_Feasible_matv3!$A96,test!$A$34:$G$37, 3,FALSE)=VLOOKUP(H$1,test!$A$3:$I$32,3,FALSE)),1,0)</f>
        <v>0</v>
      </c>
      <c r="I96" s="2">
        <f>IF(AND(feasible_mat!H3, VLOOKUP(Recharged_Feasible_matv3!$A96,test!$A$34:$G$37, 3,FALSE)=VLOOKUP(I$1,test!$A$3:$I$32,3,FALSE)),1,0)</f>
        <v>0</v>
      </c>
      <c r="J96" s="2">
        <f>IF(AND(feasible_mat!I3, VLOOKUP(Recharged_Feasible_matv3!$A96,test!$A$34:$G$37, 3,FALSE)=VLOOKUP(J$1,test!$A$3:$I$32,3,FALSE)),1,0)</f>
        <v>0</v>
      </c>
      <c r="K96" s="2">
        <f>IF(AND(feasible_mat!J3, VLOOKUP(Recharged_Feasible_matv3!$A96,test!$A$34:$G$37, 3,FALSE)=VLOOKUP(K$1,test!$A$3:$I$32,3,FALSE)),1,0)</f>
        <v>0</v>
      </c>
      <c r="L96" s="2">
        <f>IF(AND(feasible_mat!K3, VLOOKUP(Recharged_Feasible_matv3!$A96,test!$A$34:$G$37, 3,FALSE)=VLOOKUP(L$1,test!$A$3:$I$32,3,FALSE)),1,0)</f>
        <v>0</v>
      </c>
      <c r="M96" s="2">
        <f>IF(AND(feasible_mat!L3, VLOOKUP(Recharged_Feasible_matv3!$A96,test!$A$34:$G$37, 3,FALSE)=VLOOKUP(M$1,test!$A$3:$I$32,3,FALSE)),1,0)</f>
        <v>0</v>
      </c>
      <c r="N96" s="2">
        <f>IF(AND(feasible_mat!M3, VLOOKUP(Recharged_Feasible_matv3!$A96,test!$A$34:$G$37, 3,FALSE)=VLOOKUP(N$1,test!$A$3:$I$32,3,FALSE)),1,0)</f>
        <v>0</v>
      </c>
      <c r="O96" s="2">
        <f>IF(AND(feasible_mat!N3, VLOOKUP(Recharged_Feasible_matv3!$A96,test!$A$34:$G$37, 3,FALSE)=VLOOKUP(O$1,test!$A$3:$I$32,3,FALSE)),1,0)</f>
        <v>0</v>
      </c>
      <c r="P96" s="2">
        <f>IF(AND(feasible_mat!O3, VLOOKUP(Recharged_Feasible_matv3!$A96,test!$A$34:$G$37, 3,FALSE)=VLOOKUP(P$1,test!$A$3:$I$32,3,FALSE)),1,0)</f>
        <v>0</v>
      </c>
      <c r="Q96" s="2">
        <f>IF(AND(feasible_mat!P3, VLOOKUP(Recharged_Feasible_matv3!$A96,test!$A$34:$G$37, 3,FALSE)=VLOOKUP(Q$1,test!$A$3:$I$32,3,FALSE)),1,0)</f>
        <v>0</v>
      </c>
      <c r="R96" s="2">
        <f>IF(AND(feasible_mat!Q3, VLOOKUP(Recharged_Feasible_matv3!$A96,test!$A$34:$G$37, 3,FALSE)=VLOOKUP(R$1,test!$A$3:$I$32,3,FALSE)),1,0)</f>
        <v>0</v>
      </c>
      <c r="S96" s="2">
        <f>IF(AND(feasible_mat!R3, VLOOKUP(Recharged_Feasible_matv3!$A96,test!$A$34:$G$37, 3,FALSE)=VLOOKUP(S$1,test!$A$3:$I$32,3,FALSE)),1,0)</f>
        <v>0</v>
      </c>
      <c r="T96" s="2">
        <f>IF(AND(feasible_mat!S3, VLOOKUP(Recharged_Feasible_matv3!$A96,test!$A$34:$G$37, 3,FALSE)=VLOOKUP(T$1,test!$A$3:$I$32,3,FALSE)),1,0)</f>
        <v>0</v>
      </c>
      <c r="U96" s="2">
        <f>IF(AND(feasible_mat!T3, VLOOKUP(Recharged_Feasible_matv3!$A96,test!$A$34:$G$37, 3,FALSE)=VLOOKUP(U$1,test!$A$3:$I$32,3,FALSE)),1,0)</f>
        <v>0</v>
      </c>
      <c r="V96" s="2">
        <f>IF(AND(feasible_mat!U3, VLOOKUP(Recharged_Feasible_matv3!$A96,test!$A$34:$G$37, 3,FALSE)=VLOOKUP(V$1,test!$A$3:$I$32,3,FALSE)),1,0)</f>
        <v>0</v>
      </c>
      <c r="W96" s="2">
        <f>IF(AND(feasible_mat!V3, VLOOKUP(Recharged_Feasible_matv3!$A96,test!$A$34:$G$37, 3,FALSE)=VLOOKUP(W$1,test!$A$3:$I$32,3,FALSE)),1,0)</f>
        <v>0</v>
      </c>
      <c r="X96" s="2">
        <f>IF(AND(feasible_mat!W3, VLOOKUP(Recharged_Feasible_matv3!$A96,test!$A$34:$G$37, 3,FALSE)=VLOOKUP(X$1,test!$A$3:$I$32,3,FALSE)),1,0)</f>
        <v>0</v>
      </c>
      <c r="Y96" s="2">
        <f>IF(AND(feasible_mat!X3, VLOOKUP(Recharged_Feasible_matv3!$A96,test!$A$34:$G$37, 3,FALSE)=VLOOKUP(Y$1,test!$A$3:$I$32,3,FALSE)),1,0)</f>
        <v>0</v>
      </c>
      <c r="Z96" s="2">
        <f>IF(AND(feasible_mat!Y3, VLOOKUP(Recharged_Feasible_matv3!$A96,test!$A$34:$G$37, 3,FALSE)=VLOOKUP(Z$1,test!$A$3:$I$32,3,FALSE)),1,0)</f>
        <v>0</v>
      </c>
      <c r="AA96" s="2">
        <f>IF(AND(feasible_mat!Z3, VLOOKUP(Recharged_Feasible_matv3!$A96,test!$A$34:$G$37, 3,FALSE)=VLOOKUP(AA$1,test!$A$3:$I$32,3,FALSE)),1,0)</f>
        <v>1</v>
      </c>
      <c r="AB96" s="2">
        <f>IF(AND(feasible_mat!AA3, VLOOKUP(Recharged_Feasible_matv3!$A96,test!$A$34:$G$37, 3,FALSE)=VLOOKUP(AB$1,test!$A$3:$I$32,3,FALSE)),1,0)</f>
        <v>1</v>
      </c>
      <c r="AC96" s="2">
        <f>IF(AND(feasible_mat!AB3, VLOOKUP(Recharged_Feasible_matv3!$A96,test!$A$34:$G$37, 3,FALSE)=VLOOKUP(AC$1,test!$A$3:$I$32,3,FALSE)),1,0)</f>
        <v>1</v>
      </c>
      <c r="AD96" s="2">
        <f>IF(AND(feasible_mat!AC3, VLOOKUP(Recharged_Feasible_matv3!$A96,test!$A$34:$G$37, 3,FALSE)=VLOOKUP(AD$1,test!$A$3:$I$32,3,FALSE)),1,0)</f>
        <v>1</v>
      </c>
      <c r="AE96" s="2">
        <f>IF(AND(feasible_mat!AD3, VLOOKUP(Recharged_Feasible_matv3!$A96,test!$A$34:$G$37, 3,FALSE)=VLOOKUP(AE$1,test!$A$3:$I$32,3,FALSE)),1,0)</f>
        <v>0</v>
      </c>
      <c r="AF96" s="2">
        <f>IF(AND(feasible_mat!AE3, VLOOKUP(Recharged_Feasible_matv3!$A96,test!$A$34:$G$37, 3,FALSE)=VLOOKUP(AF$1,test!$A$3:$I$32,3,FALSE)),1,0)</f>
        <v>0</v>
      </c>
      <c r="AG96" s="2">
        <f>IF(AND(feasible_mat!AF3, VLOOKUP(Recharged_Feasible_matv3!$A96,test!$A$34:$G$37, 3,FALSE)=VLOOKUP(AG$1,test!$A$3:$I$32,3,FALSE)),1,0)</f>
        <v>0</v>
      </c>
    </row>
    <row r="97" spans="1:33" x14ac:dyDescent="0.25">
      <c r="A97" t="s">
        <v>98</v>
      </c>
      <c r="B97" t="s">
        <v>9</v>
      </c>
      <c r="C97">
        <v>0</v>
      </c>
      <c r="D97" s="2">
        <f>IF(AND(feasible_mat!C4, VLOOKUP(Recharged_Feasible_matv3!$A97,test!$A$34:$G$37, 3,FALSE)=VLOOKUP(D$1,test!$A$3:$I$32,3,FALSE)),1,0)</f>
        <v>0</v>
      </c>
      <c r="E97" s="2">
        <f>IF(AND(feasible_mat!D4, VLOOKUP(Recharged_Feasible_matv3!$A97,test!$A$34:$G$37, 3,FALSE)=VLOOKUP(E$1,test!$A$3:$I$32,3,FALSE)),1,0)</f>
        <v>0</v>
      </c>
      <c r="F97" s="2">
        <f>IF(AND(feasible_mat!E4, VLOOKUP(Recharged_Feasible_matv3!$A97,test!$A$34:$G$37, 3,FALSE)=VLOOKUP(F$1,test!$A$3:$I$32,3,FALSE)),1,0)</f>
        <v>0</v>
      </c>
      <c r="G97" s="2">
        <f>IF(AND(feasible_mat!F4, VLOOKUP(Recharged_Feasible_matv3!$A97,test!$A$34:$G$37, 3,FALSE)=VLOOKUP(G$1,test!$A$3:$I$32,3,FALSE)),1,0)</f>
        <v>0</v>
      </c>
      <c r="H97" s="2">
        <f>IF(AND(feasible_mat!G4, VLOOKUP(Recharged_Feasible_matv3!$A97,test!$A$34:$G$37, 3,FALSE)=VLOOKUP(H$1,test!$A$3:$I$32,3,FALSE)),1,0)</f>
        <v>0</v>
      </c>
      <c r="I97" s="2">
        <f>IF(AND(feasible_mat!H4, VLOOKUP(Recharged_Feasible_matv3!$A97,test!$A$34:$G$37, 3,FALSE)=VLOOKUP(I$1,test!$A$3:$I$32,3,FALSE)),1,0)</f>
        <v>0</v>
      </c>
      <c r="J97" s="2">
        <f>IF(AND(feasible_mat!I4, VLOOKUP(Recharged_Feasible_matv3!$A97,test!$A$34:$G$37, 3,FALSE)=VLOOKUP(J$1,test!$A$3:$I$32,3,FALSE)),1,0)</f>
        <v>0</v>
      </c>
      <c r="K97" s="2">
        <f>IF(AND(feasible_mat!J4, VLOOKUP(Recharged_Feasible_matv3!$A97,test!$A$34:$G$37, 3,FALSE)=VLOOKUP(K$1,test!$A$3:$I$32,3,FALSE)),1,0)</f>
        <v>0</v>
      </c>
      <c r="L97" s="2">
        <f>IF(AND(feasible_mat!K4, VLOOKUP(Recharged_Feasible_matv3!$A97,test!$A$34:$G$37, 3,FALSE)=VLOOKUP(L$1,test!$A$3:$I$32,3,FALSE)),1,0)</f>
        <v>0</v>
      </c>
      <c r="M97" s="2">
        <f>IF(AND(feasible_mat!L4, VLOOKUP(Recharged_Feasible_matv3!$A97,test!$A$34:$G$37, 3,FALSE)=VLOOKUP(M$1,test!$A$3:$I$32,3,FALSE)),1,0)</f>
        <v>0</v>
      </c>
      <c r="N97" s="2">
        <f>IF(AND(feasible_mat!M4, VLOOKUP(Recharged_Feasible_matv3!$A97,test!$A$34:$G$37, 3,FALSE)=VLOOKUP(N$1,test!$A$3:$I$32,3,FALSE)),1,0)</f>
        <v>0</v>
      </c>
      <c r="O97" s="2">
        <f>IF(AND(feasible_mat!N4, VLOOKUP(Recharged_Feasible_matv3!$A97,test!$A$34:$G$37, 3,FALSE)=VLOOKUP(O$1,test!$A$3:$I$32,3,FALSE)),1,0)</f>
        <v>0</v>
      </c>
      <c r="P97" s="2">
        <f>IF(AND(feasible_mat!O4, VLOOKUP(Recharged_Feasible_matv3!$A97,test!$A$34:$G$37, 3,FALSE)=VLOOKUP(P$1,test!$A$3:$I$32,3,FALSE)),1,0)</f>
        <v>0</v>
      </c>
      <c r="Q97" s="2">
        <f>IF(AND(feasible_mat!P4, VLOOKUP(Recharged_Feasible_matv3!$A97,test!$A$34:$G$37, 3,FALSE)=VLOOKUP(Q$1,test!$A$3:$I$32,3,FALSE)),1,0)</f>
        <v>0</v>
      </c>
      <c r="R97" s="2">
        <f>IF(AND(feasible_mat!Q4, VLOOKUP(Recharged_Feasible_matv3!$A97,test!$A$34:$G$37, 3,FALSE)=VLOOKUP(R$1,test!$A$3:$I$32,3,FALSE)),1,0)</f>
        <v>0</v>
      </c>
      <c r="S97" s="2">
        <f>IF(AND(feasible_mat!R4, VLOOKUP(Recharged_Feasible_matv3!$A97,test!$A$34:$G$37, 3,FALSE)=VLOOKUP(S$1,test!$A$3:$I$32,3,FALSE)),1,0)</f>
        <v>0</v>
      </c>
      <c r="T97" s="2">
        <f>IF(AND(feasible_mat!S4, VLOOKUP(Recharged_Feasible_matv3!$A97,test!$A$34:$G$37, 3,FALSE)=VLOOKUP(T$1,test!$A$3:$I$32,3,FALSE)),1,0)</f>
        <v>0</v>
      </c>
      <c r="U97" s="2">
        <f>IF(AND(feasible_mat!T4, VLOOKUP(Recharged_Feasible_matv3!$A97,test!$A$34:$G$37, 3,FALSE)=VLOOKUP(U$1,test!$A$3:$I$32,3,FALSE)),1,0)</f>
        <v>0</v>
      </c>
      <c r="V97" s="2">
        <f>IF(AND(feasible_mat!U4, VLOOKUP(Recharged_Feasible_matv3!$A97,test!$A$34:$G$37, 3,FALSE)=VLOOKUP(V$1,test!$A$3:$I$32,3,FALSE)),1,0)</f>
        <v>0</v>
      </c>
      <c r="W97" s="2">
        <f>IF(AND(feasible_mat!V4, VLOOKUP(Recharged_Feasible_matv3!$A97,test!$A$34:$G$37, 3,FALSE)=VLOOKUP(W$1,test!$A$3:$I$32,3,FALSE)),1,0)</f>
        <v>0</v>
      </c>
      <c r="X97" s="2">
        <f>IF(AND(feasible_mat!W4, VLOOKUP(Recharged_Feasible_matv3!$A97,test!$A$34:$G$37, 3,FALSE)=VLOOKUP(X$1,test!$A$3:$I$32,3,FALSE)),1,0)</f>
        <v>0</v>
      </c>
      <c r="Y97" s="2">
        <f>IF(AND(feasible_mat!X4, VLOOKUP(Recharged_Feasible_matv3!$A97,test!$A$34:$G$37, 3,FALSE)=VLOOKUP(Y$1,test!$A$3:$I$32,3,FALSE)),1,0)</f>
        <v>0</v>
      </c>
      <c r="Z97" s="2">
        <f>IF(AND(feasible_mat!Y4, VLOOKUP(Recharged_Feasible_matv3!$A97,test!$A$34:$G$37, 3,FALSE)=VLOOKUP(Z$1,test!$A$3:$I$32,3,FALSE)),1,0)</f>
        <v>0</v>
      </c>
      <c r="AA97" s="2">
        <f>IF(AND(feasible_mat!Z4, VLOOKUP(Recharged_Feasible_matv3!$A97,test!$A$34:$G$37, 3,FALSE)=VLOOKUP(AA$1,test!$A$3:$I$32,3,FALSE)),1,0)</f>
        <v>0</v>
      </c>
      <c r="AB97" s="2">
        <f>IF(AND(feasible_mat!AA4, VLOOKUP(Recharged_Feasible_matv3!$A97,test!$A$34:$G$37, 3,FALSE)=VLOOKUP(AB$1,test!$A$3:$I$32,3,FALSE)),1,0)</f>
        <v>0</v>
      </c>
      <c r="AC97" s="2">
        <f>IF(AND(feasible_mat!AB4, VLOOKUP(Recharged_Feasible_matv3!$A97,test!$A$34:$G$37, 3,FALSE)=VLOOKUP(AC$1,test!$A$3:$I$32,3,FALSE)),1,0)</f>
        <v>1</v>
      </c>
      <c r="AD97" s="2">
        <f>IF(AND(feasible_mat!AC4, VLOOKUP(Recharged_Feasible_matv3!$A97,test!$A$34:$G$37, 3,FALSE)=VLOOKUP(AD$1,test!$A$3:$I$32,3,FALSE)),1,0)</f>
        <v>1</v>
      </c>
      <c r="AE97" s="2">
        <f>IF(AND(feasible_mat!AD4, VLOOKUP(Recharged_Feasible_matv3!$A97,test!$A$34:$G$37, 3,FALSE)=VLOOKUP(AE$1,test!$A$3:$I$32,3,FALSE)),1,0)</f>
        <v>0</v>
      </c>
      <c r="AF97" s="2">
        <f>IF(AND(feasible_mat!AE4, VLOOKUP(Recharged_Feasible_matv3!$A97,test!$A$34:$G$37, 3,FALSE)=VLOOKUP(AF$1,test!$A$3:$I$32,3,FALSE)),1,0)</f>
        <v>0</v>
      </c>
      <c r="AG97" s="2">
        <f>IF(AND(feasible_mat!AF4, VLOOKUP(Recharged_Feasible_matv3!$A97,test!$A$34:$G$37, 3,FALSE)=VLOOKUP(AG$1,test!$A$3:$I$32,3,FALSE)),1,0)</f>
        <v>0</v>
      </c>
    </row>
    <row r="98" spans="1:33" x14ac:dyDescent="0.25">
      <c r="A98" t="s">
        <v>98</v>
      </c>
      <c r="B98" t="s">
        <v>10</v>
      </c>
      <c r="C98">
        <v>0</v>
      </c>
      <c r="D98" s="2">
        <f>IF(AND(feasible_mat!C5, VLOOKUP(Recharged_Feasible_matv3!$A98,test!$A$34:$G$37, 3,FALSE)=VLOOKUP(D$1,test!$A$3:$I$32,3,FALSE)),1,0)</f>
        <v>0</v>
      </c>
      <c r="E98" s="2">
        <f>IF(AND(feasible_mat!D5, VLOOKUP(Recharged_Feasible_matv3!$A98,test!$A$34:$G$37, 3,FALSE)=VLOOKUP(E$1,test!$A$3:$I$32,3,FALSE)),1,0)</f>
        <v>0</v>
      </c>
      <c r="F98" s="2">
        <f>IF(AND(feasible_mat!E5, VLOOKUP(Recharged_Feasible_matv3!$A98,test!$A$34:$G$37, 3,FALSE)=VLOOKUP(F$1,test!$A$3:$I$32,3,FALSE)),1,0)</f>
        <v>0</v>
      </c>
      <c r="G98" s="2">
        <f>IF(AND(feasible_mat!F5, VLOOKUP(Recharged_Feasible_matv3!$A98,test!$A$34:$G$37, 3,FALSE)=VLOOKUP(G$1,test!$A$3:$I$32,3,FALSE)),1,0)</f>
        <v>0</v>
      </c>
      <c r="H98" s="2">
        <f>IF(AND(feasible_mat!G5, VLOOKUP(Recharged_Feasible_matv3!$A98,test!$A$34:$G$37, 3,FALSE)=VLOOKUP(H$1,test!$A$3:$I$32,3,FALSE)),1,0)</f>
        <v>0</v>
      </c>
      <c r="I98" s="2">
        <f>IF(AND(feasible_mat!H5, VLOOKUP(Recharged_Feasible_matv3!$A98,test!$A$34:$G$37, 3,FALSE)=VLOOKUP(I$1,test!$A$3:$I$32,3,FALSE)),1,0)</f>
        <v>0</v>
      </c>
      <c r="J98" s="2">
        <f>IF(AND(feasible_mat!I5, VLOOKUP(Recharged_Feasible_matv3!$A98,test!$A$34:$G$37, 3,FALSE)=VLOOKUP(J$1,test!$A$3:$I$32,3,FALSE)),1,0)</f>
        <v>0</v>
      </c>
      <c r="K98" s="2">
        <f>IF(AND(feasible_mat!J5, VLOOKUP(Recharged_Feasible_matv3!$A98,test!$A$34:$G$37, 3,FALSE)=VLOOKUP(K$1,test!$A$3:$I$32,3,FALSE)),1,0)</f>
        <v>0</v>
      </c>
      <c r="L98" s="2">
        <f>IF(AND(feasible_mat!K5, VLOOKUP(Recharged_Feasible_matv3!$A98,test!$A$34:$G$37, 3,FALSE)=VLOOKUP(L$1,test!$A$3:$I$32,3,FALSE)),1,0)</f>
        <v>0</v>
      </c>
      <c r="M98" s="2">
        <f>IF(AND(feasible_mat!L5, VLOOKUP(Recharged_Feasible_matv3!$A98,test!$A$34:$G$37, 3,FALSE)=VLOOKUP(M$1,test!$A$3:$I$32,3,FALSE)),1,0)</f>
        <v>0</v>
      </c>
      <c r="N98" s="2">
        <f>IF(AND(feasible_mat!M5, VLOOKUP(Recharged_Feasible_matv3!$A98,test!$A$34:$G$37, 3,FALSE)=VLOOKUP(N$1,test!$A$3:$I$32,3,FALSE)),1,0)</f>
        <v>0</v>
      </c>
      <c r="O98" s="2">
        <f>IF(AND(feasible_mat!N5, VLOOKUP(Recharged_Feasible_matv3!$A98,test!$A$34:$G$37, 3,FALSE)=VLOOKUP(O$1,test!$A$3:$I$32,3,FALSE)),1,0)</f>
        <v>0</v>
      </c>
      <c r="P98" s="2">
        <f>IF(AND(feasible_mat!O5, VLOOKUP(Recharged_Feasible_matv3!$A98,test!$A$34:$G$37, 3,FALSE)=VLOOKUP(P$1,test!$A$3:$I$32,3,FALSE)),1,0)</f>
        <v>0</v>
      </c>
      <c r="Q98" s="2">
        <f>IF(AND(feasible_mat!P5, VLOOKUP(Recharged_Feasible_matv3!$A98,test!$A$34:$G$37, 3,FALSE)=VLOOKUP(Q$1,test!$A$3:$I$32,3,FALSE)),1,0)</f>
        <v>0</v>
      </c>
      <c r="R98" s="2">
        <f>IF(AND(feasible_mat!Q5, VLOOKUP(Recharged_Feasible_matv3!$A98,test!$A$34:$G$37, 3,FALSE)=VLOOKUP(R$1,test!$A$3:$I$32,3,FALSE)),1,0)</f>
        <v>0</v>
      </c>
      <c r="S98" s="2">
        <f>IF(AND(feasible_mat!R5, VLOOKUP(Recharged_Feasible_matv3!$A98,test!$A$34:$G$37, 3,FALSE)=VLOOKUP(S$1,test!$A$3:$I$32,3,FALSE)),1,0)</f>
        <v>0</v>
      </c>
      <c r="T98" s="2">
        <f>IF(AND(feasible_mat!S5, VLOOKUP(Recharged_Feasible_matv3!$A98,test!$A$34:$G$37, 3,FALSE)=VLOOKUP(T$1,test!$A$3:$I$32,3,FALSE)),1,0)</f>
        <v>0</v>
      </c>
      <c r="U98" s="2">
        <f>IF(AND(feasible_mat!T5, VLOOKUP(Recharged_Feasible_matv3!$A98,test!$A$34:$G$37, 3,FALSE)=VLOOKUP(U$1,test!$A$3:$I$32,3,FALSE)),1,0)</f>
        <v>0</v>
      </c>
      <c r="V98" s="2">
        <f>IF(AND(feasible_mat!U5, VLOOKUP(Recharged_Feasible_matv3!$A98,test!$A$34:$G$37, 3,FALSE)=VLOOKUP(V$1,test!$A$3:$I$32,3,FALSE)),1,0)</f>
        <v>0</v>
      </c>
      <c r="W98" s="2">
        <f>IF(AND(feasible_mat!V5, VLOOKUP(Recharged_Feasible_matv3!$A98,test!$A$34:$G$37, 3,FALSE)=VLOOKUP(W$1,test!$A$3:$I$32,3,FALSE)),1,0)</f>
        <v>0</v>
      </c>
      <c r="X98" s="2">
        <f>IF(AND(feasible_mat!W5, VLOOKUP(Recharged_Feasible_matv3!$A98,test!$A$34:$G$37, 3,FALSE)=VLOOKUP(X$1,test!$A$3:$I$32,3,FALSE)),1,0)</f>
        <v>0</v>
      </c>
      <c r="Y98" s="2">
        <f>IF(AND(feasible_mat!X5, VLOOKUP(Recharged_Feasible_matv3!$A98,test!$A$34:$G$37, 3,FALSE)=VLOOKUP(Y$1,test!$A$3:$I$32,3,FALSE)),1,0)</f>
        <v>0</v>
      </c>
      <c r="Z98" s="2">
        <f>IF(AND(feasible_mat!Y5, VLOOKUP(Recharged_Feasible_matv3!$A98,test!$A$34:$G$37, 3,FALSE)=VLOOKUP(Z$1,test!$A$3:$I$32,3,FALSE)),1,0)</f>
        <v>0</v>
      </c>
      <c r="AA98" s="2">
        <f>IF(AND(feasible_mat!Z5, VLOOKUP(Recharged_Feasible_matv3!$A98,test!$A$34:$G$37, 3,FALSE)=VLOOKUP(AA$1,test!$A$3:$I$32,3,FALSE)),1,0)</f>
        <v>0</v>
      </c>
      <c r="AB98" s="2">
        <f>IF(AND(feasible_mat!AA5, VLOOKUP(Recharged_Feasible_matv3!$A98,test!$A$34:$G$37, 3,FALSE)=VLOOKUP(AB$1,test!$A$3:$I$32,3,FALSE)),1,0)</f>
        <v>0</v>
      </c>
      <c r="AC98" s="2">
        <f>IF(AND(feasible_mat!AB5, VLOOKUP(Recharged_Feasible_matv3!$A98,test!$A$34:$G$37, 3,FALSE)=VLOOKUP(AC$1,test!$A$3:$I$32,3,FALSE)),1,0)</f>
        <v>0</v>
      </c>
      <c r="AD98" s="2">
        <f>IF(AND(feasible_mat!AC5, VLOOKUP(Recharged_Feasible_matv3!$A98,test!$A$34:$G$37, 3,FALSE)=VLOOKUP(AD$1,test!$A$3:$I$32,3,FALSE)),1,0)</f>
        <v>1</v>
      </c>
      <c r="AE98" s="2">
        <f>IF(AND(feasible_mat!AD5, VLOOKUP(Recharged_Feasible_matv3!$A98,test!$A$34:$G$37, 3,FALSE)=VLOOKUP(AE$1,test!$A$3:$I$32,3,FALSE)),1,0)</f>
        <v>0</v>
      </c>
      <c r="AF98" s="2">
        <f>IF(AND(feasible_mat!AE5, VLOOKUP(Recharged_Feasible_matv3!$A98,test!$A$34:$G$37, 3,FALSE)=VLOOKUP(AF$1,test!$A$3:$I$32,3,FALSE)),1,0)</f>
        <v>0</v>
      </c>
      <c r="AG98" s="2">
        <f>IF(AND(feasible_mat!AF5, VLOOKUP(Recharged_Feasible_matv3!$A98,test!$A$34:$G$37, 3,FALSE)=VLOOKUP(AG$1,test!$A$3:$I$32,3,FALSE)),1,0)</f>
        <v>0</v>
      </c>
    </row>
    <row r="99" spans="1:33" x14ac:dyDescent="0.25">
      <c r="A99" t="s">
        <v>98</v>
      </c>
      <c r="B99" t="s">
        <v>11</v>
      </c>
      <c r="C99">
        <v>0</v>
      </c>
      <c r="D99" s="2">
        <f>IF(AND(feasible_mat!C6, VLOOKUP(Recharged_Feasible_matv3!$A99,test!$A$34:$G$37, 3,FALSE)=VLOOKUP(D$1,test!$A$3:$I$32,3,FALSE)),1,0)</f>
        <v>0</v>
      </c>
      <c r="E99" s="2">
        <f>IF(AND(feasible_mat!D6, VLOOKUP(Recharged_Feasible_matv3!$A99,test!$A$34:$G$37, 3,FALSE)=VLOOKUP(E$1,test!$A$3:$I$32,3,FALSE)),1,0)</f>
        <v>0</v>
      </c>
      <c r="F99" s="2">
        <f>IF(AND(feasible_mat!E6, VLOOKUP(Recharged_Feasible_matv3!$A99,test!$A$34:$G$37, 3,FALSE)=VLOOKUP(F$1,test!$A$3:$I$32,3,FALSE)),1,0)</f>
        <v>0</v>
      </c>
      <c r="G99" s="2">
        <f>IF(AND(feasible_mat!F6, VLOOKUP(Recharged_Feasible_matv3!$A99,test!$A$34:$G$37, 3,FALSE)=VLOOKUP(G$1,test!$A$3:$I$32,3,FALSE)),1,0)</f>
        <v>0</v>
      </c>
      <c r="H99" s="2">
        <f>IF(AND(feasible_mat!G6, VLOOKUP(Recharged_Feasible_matv3!$A99,test!$A$34:$G$37, 3,FALSE)=VLOOKUP(H$1,test!$A$3:$I$32,3,FALSE)),1,0)</f>
        <v>0</v>
      </c>
      <c r="I99" s="2">
        <f>IF(AND(feasible_mat!H6, VLOOKUP(Recharged_Feasible_matv3!$A99,test!$A$34:$G$37, 3,FALSE)=VLOOKUP(I$1,test!$A$3:$I$32,3,FALSE)),1,0)</f>
        <v>0</v>
      </c>
      <c r="J99" s="2">
        <f>IF(AND(feasible_mat!I6, VLOOKUP(Recharged_Feasible_matv3!$A99,test!$A$34:$G$37, 3,FALSE)=VLOOKUP(J$1,test!$A$3:$I$32,3,FALSE)),1,0)</f>
        <v>0</v>
      </c>
      <c r="K99" s="2">
        <f>IF(AND(feasible_mat!J6, VLOOKUP(Recharged_Feasible_matv3!$A99,test!$A$34:$G$37, 3,FALSE)=VLOOKUP(K$1,test!$A$3:$I$32,3,FALSE)),1,0)</f>
        <v>0</v>
      </c>
      <c r="L99" s="2">
        <f>IF(AND(feasible_mat!K6, VLOOKUP(Recharged_Feasible_matv3!$A99,test!$A$34:$G$37, 3,FALSE)=VLOOKUP(L$1,test!$A$3:$I$32,3,FALSE)),1,0)</f>
        <v>0</v>
      </c>
      <c r="M99" s="2">
        <f>IF(AND(feasible_mat!L6, VLOOKUP(Recharged_Feasible_matv3!$A99,test!$A$34:$G$37, 3,FALSE)=VLOOKUP(M$1,test!$A$3:$I$32,3,FALSE)),1,0)</f>
        <v>0</v>
      </c>
      <c r="N99" s="2">
        <f>IF(AND(feasible_mat!M6, VLOOKUP(Recharged_Feasible_matv3!$A99,test!$A$34:$G$37, 3,FALSE)=VLOOKUP(N$1,test!$A$3:$I$32,3,FALSE)),1,0)</f>
        <v>0</v>
      </c>
      <c r="O99" s="2">
        <f>IF(AND(feasible_mat!N6, VLOOKUP(Recharged_Feasible_matv3!$A99,test!$A$34:$G$37, 3,FALSE)=VLOOKUP(O$1,test!$A$3:$I$32,3,FALSE)),1,0)</f>
        <v>0</v>
      </c>
      <c r="P99" s="2">
        <f>IF(AND(feasible_mat!O6, VLOOKUP(Recharged_Feasible_matv3!$A99,test!$A$34:$G$37, 3,FALSE)=VLOOKUP(P$1,test!$A$3:$I$32,3,FALSE)),1,0)</f>
        <v>0</v>
      </c>
      <c r="Q99" s="2">
        <f>IF(AND(feasible_mat!P6, VLOOKUP(Recharged_Feasible_matv3!$A99,test!$A$34:$G$37, 3,FALSE)=VLOOKUP(Q$1,test!$A$3:$I$32,3,FALSE)),1,0)</f>
        <v>0</v>
      </c>
      <c r="R99" s="2">
        <f>IF(AND(feasible_mat!Q6, VLOOKUP(Recharged_Feasible_matv3!$A99,test!$A$34:$G$37, 3,FALSE)=VLOOKUP(R$1,test!$A$3:$I$32,3,FALSE)),1,0)</f>
        <v>0</v>
      </c>
      <c r="S99" s="2">
        <f>IF(AND(feasible_mat!R6, VLOOKUP(Recharged_Feasible_matv3!$A99,test!$A$34:$G$37, 3,FALSE)=VLOOKUP(S$1,test!$A$3:$I$32,3,FALSE)),1,0)</f>
        <v>0</v>
      </c>
      <c r="T99" s="2">
        <f>IF(AND(feasible_mat!S6, VLOOKUP(Recharged_Feasible_matv3!$A99,test!$A$34:$G$37, 3,FALSE)=VLOOKUP(T$1,test!$A$3:$I$32,3,FALSE)),1,0)</f>
        <v>0</v>
      </c>
      <c r="U99" s="2">
        <f>IF(AND(feasible_mat!T6, VLOOKUP(Recharged_Feasible_matv3!$A99,test!$A$34:$G$37, 3,FALSE)=VLOOKUP(U$1,test!$A$3:$I$32,3,FALSE)),1,0)</f>
        <v>0</v>
      </c>
      <c r="V99" s="2">
        <f>IF(AND(feasible_mat!U6, VLOOKUP(Recharged_Feasible_matv3!$A99,test!$A$34:$G$37, 3,FALSE)=VLOOKUP(V$1,test!$A$3:$I$32,3,FALSE)),1,0)</f>
        <v>0</v>
      </c>
      <c r="W99" s="2">
        <f>IF(AND(feasible_mat!V6, VLOOKUP(Recharged_Feasible_matv3!$A99,test!$A$34:$G$37, 3,FALSE)=VLOOKUP(W$1,test!$A$3:$I$32,3,FALSE)),1,0)</f>
        <v>0</v>
      </c>
      <c r="X99" s="2">
        <f>IF(AND(feasible_mat!W6, VLOOKUP(Recharged_Feasible_matv3!$A99,test!$A$34:$G$37, 3,FALSE)=VLOOKUP(X$1,test!$A$3:$I$32,3,FALSE)),1,0)</f>
        <v>0</v>
      </c>
      <c r="Y99" s="2">
        <f>IF(AND(feasible_mat!X6, VLOOKUP(Recharged_Feasible_matv3!$A99,test!$A$34:$G$37, 3,FALSE)=VLOOKUP(Y$1,test!$A$3:$I$32,3,FALSE)),1,0)</f>
        <v>0</v>
      </c>
      <c r="Z99" s="2">
        <f>IF(AND(feasible_mat!Y6, VLOOKUP(Recharged_Feasible_matv3!$A99,test!$A$34:$G$37, 3,FALSE)=VLOOKUP(Z$1,test!$A$3:$I$32,3,FALSE)),1,0)</f>
        <v>0</v>
      </c>
      <c r="AA99" s="2">
        <f>IF(AND(feasible_mat!Z6, VLOOKUP(Recharged_Feasible_matv3!$A99,test!$A$34:$G$37, 3,FALSE)=VLOOKUP(AA$1,test!$A$3:$I$32,3,FALSE)),1,0)</f>
        <v>0</v>
      </c>
      <c r="AB99" s="2">
        <f>IF(AND(feasible_mat!AA6, VLOOKUP(Recharged_Feasible_matv3!$A99,test!$A$34:$G$37, 3,FALSE)=VLOOKUP(AB$1,test!$A$3:$I$32,3,FALSE)),1,0)</f>
        <v>0</v>
      </c>
      <c r="AC99" s="2">
        <f>IF(AND(feasible_mat!AB6, VLOOKUP(Recharged_Feasible_matv3!$A99,test!$A$34:$G$37, 3,FALSE)=VLOOKUP(AC$1,test!$A$3:$I$32,3,FALSE)),1,0)</f>
        <v>0</v>
      </c>
      <c r="AD99" s="2">
        <f>IF(AND(feasible_mat!AC6, VLOOKUP(Recharged_Feasible_matv3!$A99,test!$A$34:$G$37, 3,FALSE)=VLOOKUP(AD$1,test!$A$3:$I$32,3,FALSE)),1,0)</f>
        <v>0</v>
      </c>
      <c r="AE99" s="2">
        <f>IF(AND(feasible_mat!AD6, VLOOKUP(Recharged_Feasible_matv3!$A99,test!$A$34:$G$37, 3,FALSE)=VLOOKUP(AE$1,test!$A$3:$I$32,3,FALSE)),1,0)</f>
        <v>0</v>
      </c>
      <c r="AF99" s="2">
        <f>IF(AND(feasible_mat!AE6, VLOOKUP(Recharged_Feasible_matv3!$A99,test!$A$34:$G$37, 3,FALSE)=VLOOKUP(AF$1,test!$A$3:$I$32,3,FALSE)),1,0)</f>
        <v>0</v>
      </c>
      <c r="AG99" s="2">
        <f>IF(AND(feasible_mat!AF6, VLOOKUP(Recharged_Feasible_matv3!$A99,test!$A$34:$G$37, 3,FALSE)=VLOOKUP(AG$1,test!$A$3:$I$32,3,FALSE)),1,0)</f>
        <v>0</v>
      </c>
    </row>
    <row r="100" spans="1:33" x14ac:dyDescent="0.25">
      <c r="A100" t="s">
        <v>98</v>
      </c>
      <c r="B100" t="s">
        <v>12</v>
      </c>
      <c r="C100">
        <v>0</v>
      </c>
      <c r="D100" s="2">
        <f>IF(AND(feasible_mat!C7, VLOOKUP(Recharged_Feasible_matv3!$A100,test!$A$34:$G$37, 3,FALSE)=VLOOKUP(D$1,test!$A$3:$I$32,3,FALSE)),1,0)</f>
        <v>0</v>
      </c>
      <c r="E100" s="2">
        <f>IF(AND(feasible_mat!D7, VLOOKUP(Recharged_Feasible_matv3!$A100,test!$A$34:$G$37, 3,FALSE)=VLOOKUP(E$1,test!$A$3:$I$32,3,FALSE)),1,0)</f>
        <v>0</v>
      </c>
      <c r="F100" s="2">
        <f>IF(AND(feasible_mat!E7, VLOOKUP(Recharged_Feasible_matv3!$A100,test!$A$34:$G$37, 3,FALSE)=VLOOKUP(F$1,test!$A$3:$I$32,3,FALSE)),1,0)</f>
        <v>0</v>
      </c>
      <c r="G100" s="2">
        <f>IF(AND(feasible_mat!F7, VLOOKUP(Recharged_Feasible_matv3!$A100,test!$A$34:$G$37, 3,FALSE)=VLOOKUP(G$1,test!$A$3:$I$32,3,FALSE)),1,0)</f>
        <v>0</v>
      </c>
      <c r="H100" s="2">
        <f>IF(AND(feasible_mat!G7, VLOOKUP(Recharged_Feasible_matv3!$A100,test!$A$34:$G$37, 3,FALSE)=VLOOKUP(H$1,test!$A$3:$I$32,3,FALSE)),1,0)</f>
        <v>0</v>
      </c>
      <c r="I100" s="2">
        <f>IF(AND(feasible_mat!H7, VLOOKUP(Recharged_Feasible_matv3!$A100,test!$A$34:$G$37, 3,FALSE)=VLOOKUP(I$1,test!$A$3:$I$32,3,FALSE)),1,0)</f>
        <v>0</v>
      </c>
      <c r="J100" s="2">
        <f>IF(AND(feasible_mat!I7, VLOOKUP(Recharged_Feasible_matv3!$A100,test!$A$34:$G$37, 3,FALSE)=VLOOKUP(J$1,test!$A$3:$I$32,3,FALSE)),1,0)</f>
        <v>0</v>
      </c>
      <c r="K100" s="2">
        <f>IF(AND(feasible_mat!J7, VLOOKUP(Recharged_Feasible_matv3!$A100,test!$A$34:$G$37, 3,FALSE)=VLOOKUP(K$1,test!$A$3:$I$32,3,FALSE)),1,0)</f>
        <v>0</v>
      </c>
      <c r="L100" s="2">
        <f>IF(AND(feasible_mat!K7, VLOOKUP(Recharged_Feasible_matv3!$A100,test!$A$34:$G$37, 3,FALSE)=VLOOKUP(L$1,test!$A$3:$I$32,3,FALSE)),1,0)</f>
        <v>0</v>
      </c>
      <c r="M100" s="2">
        <f>IF(AND(feasible_mat!L7, VLOOKUP(Recharged_Feasible_matv3!$A100,test!$A$34:$G$37, 3,FALSE)=VLOOKUP(M$1,test!$A$3:$I$32,3,FALSE)),1,0)</f>
        <v>0</v>
      </c>
      <c r="N100" s="2">
        <f>IF(AND(feasible_mat!M7, VLOOKUP(Recharged_Feasible_matv3!$A100,test!$A$34:$G$37, 3,FALSE)=VLOOKUP(N$1,test!$A$3:$I$32,3,FALSE)),1,0)</f>
        <v>0</v>
      </c>
      <c r="O100" s="2">
        <f>IF(AND(feasible_mat!N7, VLOOKUP(Recharged_Feasible_matv3!$A100,test!$A$34:$G$37, 3,FALSE)=VLOOKUP(O$1,test!$A$3:$I$32,3,FALSE)),1,0)</f>
        <v>0</v>
      </c>
      <c r="P100" s="2">
        <f>IF(AND(feasible_mat!O7, VLOOKUP(Recharged_Feasible_matv3!$A100,test!$A$34:$G$37, 3,FALSE)=VLOOKUP(P$1,test!$A$3:$I$32,3,FALSE)),1,0)</f>
        <v>0</v>
      </c>
      <c r="Q100" s="2">
        <f>IF(AND(feasible_mat!P7, VLOOKUP(Recharged_Feasible_matv3!$A100,test!$A$34:$G$37, 3,FALSE)=VLOOKUP(Q$1,test!$A$3:$I$32,3,FALSE)),1,0)</f>
        <v>0</v>
      </c>
      <c r="R100" s="2">
        <f>IF(AND(feasible_mat!Q7, VLOOKUP(Recharged_Feasible_matv3!$A100,test!$A$34:$G$37, 3,FALSE)=VLOOKUP(R$1,test!$A$3:$I$32,3,FALSE)),1,0)</f>
        <v>0</v>
      </c>
      <c r="S100" s="2">
        <f>IF(AND(feasible_mat!R7, VLOOKUP(Recharged_Feasible_matv3!$A100,test!$A$34:$G$37, 3,FALSE)=VLOOKUP(S$1,test!$A$3:$I$32,3,FALSE)),1,0)</f>
        <v>0</v>
      </c>
      <c r="T100" s="2">
        <f>IF(AND(feasible_mat!S7, VLOOKUP(Recharged_Feasible_matv3!$A100,test!$A$34:$G$37, 3,FALSE)=VLOOKUP(T$1,test!$A$3:$I$32,3,FALSE)),1,0)</f>
        <v>0</v>
      </c>
      <c r="U100" s="2">
        <f>IF(AND(feasible_mat!T7, VLOOKUP(Recharged_Feasible_matv3!$A100,test!$A$34:$G$37, 3,FALSE)=VLOOKUP(U$1,test!$A$3:$I$32,3,FALSE)),1,0)</f>
        <v>0</v>
      </c>
      <c r="V100" s="2">
        <f>IF(AND(feasible_mat!U7, VLOOKUP(Recharged_Feasible_matv3!$A100,test!$A$34:$G$37, 3,FALSE)=VLOOKUP(V$1,test!$A$3:$I$32,3,FALSE)),1,0)</f>
        <v>0</v>
      </c>
      <c r="W100" s="2">
        <f>IF(AND(feasible_mat!V7, VLOOKUP(Recharged_Feasible_matv3!$A100,test!$A$34:$G$37, 3,FALSE)=VLOOKUP(W$1,test!$A$3:$I$32,3,FALSE)),1,0)</f>
        <v>0</v>
      </c>
      <c r="X100" s="2">
        <f>IF(AND(feasible_mat!W7, VLOOKUP(Recharged_Feasible_matv3!$A100,test!$A$34:$G$37, 3,FALSE)=VLOOKUP(X$1,test!$A$3:$I$32,3,FALSE)),1,0)</f>
        <v>0</v>
      </c>
      <c r="Y100" s="2">
        <f>IF(AND(feasible_mat!X7, VLOOKUP(Recharged_Feasible_matv3!$A100,test!$A$34:$G$37, 3,FALSE)=VLOOKUP(Y$1,test!$A$3:$I$32,3,FALSE)),1,0)</f>
        <v>0</v>
      </c>
      <c r="Z100" s="2">
        <f>IF(AND(feasible_mat!Y7, VLOOKUP(Recharged_Feasible_matv3!$A100,test!$A$34:$G$37, 3,FALSE)=VLOOKUP(Z$1,test!$A$3:$I$32,3,FALSE)),1,0)</f>
        <v>0</v>
      </c>
      <c r="AA100" s="2">
        <f>IF(AND(feasible_mat!Z7, VLOOKUP(Recharged_Feasible_matv3!$A100,test!$A$34:$G$37, 3,FALSE)=VLOOKUP(AA$1,test!$A$3:$I$32,3,FALSE)),1,0)</f>
        <v>0</v>
      </c>
      <c r="AB100" s="2">
        <f>IF(AND(feasible_mat!AA7, VLOOKUP(Recharged_Feasible_matv3!$A100,test!$A$34:$G$37, 3,FALSE)=VLOOKUP(AB$1,test!$A$3:$I$32,3,FALSE)),1,0)</f>
        <v>0</v>
      </c>
      <c r="AC100" s="2">
        <f>IF(AND(feasible_mat!AB7, VLOOKUP(Recharged_Feasible_matv3!$A100,test!$A$34:$G$37, 3,FALSE)=VLOOKUP(AC$1,test!$A$3:$I$32,3,FALSE)),1,0)</f>
        <v>0</v>
      </c>
      <c r="AD100" s="2">
        <f>IF(AND(feasible_mat!AC7, VLOOKUP(Recharged_Feasible_matv3!$A100,test!$A$34:$G$37, 3,FALSE)=VLOOKUP(AD$1,test!$A$3:$I$32,3,FALSE)),1,0)</f>
        <v>0</v>
      </c>
      <c r="AE100" s="2">
        <f>IF(AND(feasible_mat!AD7, VLOOKUP(Recharged_Feasible_matv3!$A100,test!$A$34:$G$37, 3,FALSE)=VLOOKUP(AE$1,test!$A$3:$I$32,3,FALSE)),1,0)</f>
        <v>0</v>
      </c>
      <c r="AF100" s="2">
        <f>IF(AND(feasible_mat!AE7, VLOOKUP(Recharged_Feasible_matv3!$A100,test!$A$34:$G$37, 3,FALSE)=VLOOKUP(AF$1,test!$A$3:$I$32,3,FALSE)),1,0)</f>
        <v>0</v>
      </c>
      <c r="AG100" s="2">
        <f>IF(AND(feasible_mat!AF7, VLOOKUP(Recharged_Feasible_matv3!$A100,test!$A$34:$G$37, 3,FALSE)=VLOOKUP(AG$1,test!$A$3:$I$32,3,FALSE)),1,0)</f>
        <v>0</v>
      </c>
    </row>
    <row r="101" spans="1:33" x14ac:dyDescent="0.25">
      <c r="A101" t="s">
        <v>98</v>
      </c>
      <c r="B101" t="s">
        <v>13</v>
      </c>
      <c r="C101">
        <v>0</v>
      </c>
      <c r="D101" s="2">
        <f>IF(AND(feasible_mat!C8, VLOOKUP(Recharged_Feasible_matv3!$A101,test!$A$34:$G$37, 3,FALSE)=VLOOKUP(D$1,test!$A$3:$I$32,3,FALSE)),1,0)</f>
        <v>0</v>
      </c>
      <c r="E101" s="2">
        <f>IF(AND(feasible_mat!D8, VLOOKUP(Recharged_Feasible_matv3!$A101,test!$A$34:$G$37, 3,FALSE)=VLOOKUP(E$1,test!$A$3:$I$32,3,FALSE)),1,0)</f>
        <v>0</v>
      </c>
      <c r="F101" s="2">
        <f>IF(AND(feasible_mat!E8, VLOOKUP(Recharged_Feasible_matv3!$A101,test!$A$34:$G$37, 3,FALSE)=VLOOKUP(F$1,test!$A$3:$I$32,3,FALSE)),1,0)</f>
        <v>0</v>
      </c>
      <c r="G101" s="2">
        <f>IF(AND(feasible_mat!F8, VLOOKUP(Recharged_Feasible_matv3!$A101,test!$A$34:$G$37, 3,FALSE)=VLOOKUP(G$1,test!$A$3:$I$32,3,FALSE)),1,0)</f>
        <v>0</v>
      </c>
      <c r="H101" s="2">
        <f>IF(AND(feasible_mat!G8, VLOOKUP(Recharged_Feasible_matv3!$A101,test!$A$34:$G$37, 3,FALSE)=VLOOKUP(H$1,test!$A$3:$I$32,3,FALSE)),1,0)</f>
        <v>0</v>
      </c>
      <c r="I101" s="2">
        <f>IF(AND(feasible_mat!H8, VLOOKUP(Recharged_Feasible_matv3!$A101,test!$A$34:$G$37, 3,FALSE)=VLOOKUP(I$1,test!$A$3:$I$32,3,FALSE)),1,0)</f>
        <v>0</v>
      </c>
      <c r="J101" s="2">
        <f>IF(AND(feasible_mat!I8, VLOOKUP(Recharged_Feasible_matv3!$A101,test!$A$34:$G$37, 3,FALSE)=VLOOKUP(J$1,test!$A$3:$I$32,3,FALSE)),1,0)</f>
        <v>0</v>
      </c>
      <c r="K101" s="2">
        <f>IF(AND(feasible_mat!J8, VLOOKUP(Recharged_Feasible_matv3!$A101,test!$A$34:$G$37, 3,FALSE)=VLOOKUP(K$1,test!$A$3:$I$32,3,FALSE)),1,0)</f>
        <v>0</v>
      </c>
      <c r="L101" s="2">
        <f>IF(AND(feasible_mat!K8, VLOOKUP(Recharged_Feasible_matv3!$A101,test!$A$34:$G$37, 3,FALSE)=VLOOKUP(L$1,test!$A$3:$I$32,3,FALSE)),1,0)</f>
        <v>0</v>
      </c>
      <c r="M101" s="2">
        <f>IF(AND(feasible_mat!L8, VLOOKUP(Recharged_Feasible_matv3!$A101,test!$A$34:$G$37, 3,FALSE)=VLOOKUP(M$1,test!$A$3:$I$32,3,FALSE)),1,0)</f>
        <v>0</v>
      </c>
      <c r="N101" s="2">
        <f>IF(AND(feasible_mat!M8, VLOOKUP(Recharged_Feasible_matv3!$A101,test!$A$34:$G$37, 3,FALSE)=VLOOKUP(N$1,test!$A$3:$I$32,3,FALSE)),1,0)</f>
        <v>0</v>
      </c>
      <c r="O101" s="2">
        <f>IF(AND(feasible_mat!N8, VLOOKUP(Recharged_Feasible_matv3!$A101,test!$A$34:$G$37, 3,FALSE)=VLOOKUP(O$1,test!$A$3:$I$32,3,FALSE)),1,0)</f>
        <v>0</v>
      </c>
      <c r="P101" s="2">
        <f>IF(AND(feasible_mat!O8, VLOOKUP(Recharged_Feasible_matv3!$A101,test!$A$34:$G$37, 3,FALSE)=VLOOKUP(P$1,test!$A$3:$I$32,3,FALSE)),1,0)</f>
        <v>0</v>
      </c>
      <c r="Q101" s="2">
        <f>IF(AND(feasible_mat!P8, VLOOKUP(Recharged_Feasible_matv3!$A101,test!$A$34:$G$37, 3,FALSE)=VLOOKUP(Q$1,test!$A$3:$I$32,3,FALSE)),1,0)</f>
        <v>0</v>
      </c>
      <c r="R101" s="2">
        <f>IF(AND(feasible_mat!Q8, VLOOKUP(Recharged_Feasible_matv3!$A101,test!$A$34:$G$37, 3,FALSE)=VLOOKUP(R$1,test!$A$3:$I$32,3,FALSE)),1,0)</f>
        <v>0</v>
      </c>
      <c r="S101" s="2">
        <f>IF(AND(feasible_mat!R8, VLOOKUP(Recharged_Feasible_matv3!$A101,test!$A$34:$G$37, 3,FALSE)=VLOOKUP(S$1,test!$A$3:$I$32,3,FALSE)),1,0)</f>
        <v>0</v>
      </c>
      <c r="T101" s="2">
        <f>IF(AND(feasible_mat!S8, VLOOKUP(Recharged_Feasible_matv3!$A101,test!$A$34:$G$37, 3,FALSE)=VLOOKUP(T$1,test!$A$3:$I$32,3,FALSE)),1,0)</f>
        <v>0</v>
      </c>
      <c r="U101" s="2">
        <f>IF(AND(feasible_mat!T8, VLOOKUP(Recharged_Feasible_matv3!$A101,test!$A$34:$G$37, 3,FALSE)=VLOOKUP(U$1,test!$A$3:$I$32,3,FALSE)),1,0)</f>
        <v>0</v>
      </c>
      <c r="V101" s="2">
        <f>IF(AND(feasible_mat!U8, VLOOKUP(Recharged_Feasible_matv3!$A101,test!$A$34:$G$37, 3,FALSE)=VLOOKUP(V$1,test!$A$3:$I$32,3,FALSE)),1,0)</f>
        <v>0</v>
      </c>
      <c r="W101" s="2">
        <f>IF(AND(feasible_mat!V8, VLOOKUP(Recharged_Feasible_matv3!$A101,test!$A$34:$G$37, 3,FALSE)=VLOOKUP(W$1,test!$A$3:$I$32,3,FALSE)),1,0)</f>
        <v>0</v>
      </c>
      <c r="X101" s="2">
        <f>IF(AND(feasible_mat!W8, VLOOKUP(Recharged_Feasible_matv3!$A101,test!$A$34:$G$37, 3,FALSE)=VLOOKUP(X$1,test!$A$3:$I$32,3,FALSE)),1,0)</f>
        <v>0</v>
      </c>
      <c r="Y101" s="2">
        <f>IF(AND(feasible_mat!X8, VLOOKUP(Recharged_Feasible_matv3!$A101,test!$A$34:$G$37, 3,FALSE)=VLOOKUP(Y$1,test!$A$3:$I$32,3,FALSE)),1,0)</f>
        <v>0</v>
      </c>
      <c r="Z101" s="2">
        <f>IF(AND(feasible_mat!Y8, VLOOKUP(Recharged_Feasible_matv3!$A101,test!$A$34:$G$37, 3,FALSE)=VLOOKUP(Z$1,test!$A$3:$I$32,3,FALSE)),1,0)</f>
        <v>0</v>
      </c>
      <c r="AA101" s="2">
        <f>IF(AND(feasible_mat!Z8, VLOOKUP(Recharged_Feasible_matv3!$A101,test!$A$34:$G$37, 3,FALSE)=VLOOKUP(AA$1,test!$A$3:$I$32,3,FALSE)),1,0)</f>
        <v>0</v>
      </c>
      <c r="AB101" s="2">
        <f>IF(AND(feasible_mat!AA8, VLOOKUP(Recharged_Feasible_matv3!$A101,test!$A$34:$G$37, 3,FALSE)=VLOOKUP(AB$1,test!$A$3:$I$32,3,FALSE)),1,0)</f>
        <v>0</v>
      </c>
      <c r="AC101" s="2">
        <f>IF(AND(feasible_mat!AB8, VLOOKUP(Recharged_Feasible_matv3!$A101,test!$A$34:$G$37, 3,FALSE)=VLOOKUP(AC$1,test!$A$3:$I$32,3,FALSE)),1,0)</f>
        <v>0</v>
      </c>
      <c r="AD101" s="2">
        <f>IF(AND(feasible_mat!AC8, VLOOKUP(Recharged_Feasible_matv3!$A101,test!$A$34:$G$37, 3,FALSE)=VLOOKUP(AD$1,test!$A$3:$I$32,3,FALSE)),1,0)</f>
        <v>0</v>
      </c>
      <c r="AE101" s="2">
        <f>IF(AND(feasible_mat!AD8, VLOOKUP(Recharged_Feasible_matv3!$A101,test!$A$34:$G$37, 3,FALSE)=VLOOKUP(AE$1,test!$A$3:$I$32,3,FALSE)),1,0)</f>
        <v>0</v>
      </c>
      <c r="AF101" s="2">
        <f>IF(AND(feasible_mat!AE8, VLOOKUP(Recharged_Feasible_matv3!$A101,test!$A$34:$G$37, 3,FALSE)=VLOOKUP(AF$1,test!$A$3:$I$32,3,FALSE)),1,0)</f>
        <v>0</v>
      </c>
      <c r="AG101" s="2">
        <f>IF(AND(feasible_mat!AF8, VLOOKUP(Recharged_Feasible_matv3!$A101,test!$A$34:$G$37, 3,FALSE)=VLOOKUP(AG$1,test!$A$3:$I$32,3,FALSE)),1,0)</f>
        <v>0</v>
      </c>
    </row>
    <row r="102" spans="1:33" x14ac:dyDescent="0.25">
      <c r="A102" t="s">
        <v>98</v>
      </c>
      <c r="B102" t="s">
        <v>14</v>
      </c>
      <c r="C102">
        <v>0</v>
      </c>
      <c r="D102" s="2">
        <f>IF(AND(feasible_mat!C9, VLOOKUP(Recharged_Feasible_matv3!$A102,test!$A$34:$G$37, 3,FALSE)=VLOOKUP(D$1,test!$A$3:$I$32,3,FALSE)),1,0)</f>
        <v>0</v>
      </c>
      <c r="E102" s="2">
        <f>IF(AND(feasible_mat!D9, VLOOKUP(Recharged_Feasible_matv3!$A102,test!$A$34:$G$37, 3,FALSE)=VLOOKUP(E$1,test!$A$3:$I$32,3,FALSE)),1,0)</f>
        <v>0</v>
      </c>
      <c r="F102" s="2">
        <f>IF(AND(feasible_mat!E9, VLOOKUP(Recharged_Feasible_matv3!$A102,test!$A$34:$G$37, 3,FALSE)=VLOOKUP(F$1,test!$A$3:$I$32,3,FALSE)),1,0)</f>
        <v>0</v>
      </c>
      <c r="G102" s="2">
        <f>IF(AND(feasible_mat!F9, VLOOKUP(Recharged_Feasible_matv3!$A102,test!$A$34:$G$37, 3,FALSE)=VLOOKUP(G$1,test!$A$3:$I$32,3,FALSE)),1,0)</f>
        <v>0</v>
      </c>
      <c r="H102" s="2">
        <f>IF(AND(feasible_mat!G9, VLOOKUP(Recharged_Feasible_matv3!$A102,test!$A$34:$G$37, 3,FALSE)=VLOOKUP(H$1,test!$A$3:$I$32,3,FALSE)),1,0)</f>
        <v>0</v>
      </c>
      <c r="I102" s="2">
        <f>IF(AND(feasible_mat!H9, VLOOKUP(Recharged_Feasible_matv3!$A102,test!$A$34:$G$37, 3,FALSE)=VLOOKUP(I$1,test!$A$3:$I$32,3,FALSE)),1,0)</f>
        <v>0</v>
      </c>
      <c r="J102" s="2">
        <f>IF(AND(feasible_mat!I9, VLOOKUP(Recharged_Feasible_matv3!$A102,test!$A$34:$G$37, 3,FALSE)=VLOOKUP(J$1,test!$A$3:$I$32,3,FALSE)),1,0)</f>
        <v>0</v>
      </c>
      <c r="K102" s="2">
        <f>IF(AND(feasible_mat!J9, VLOOKUP(Recharged_Feasible_matv3!$A102,test!$A$34:$G$37, 3,FALSE)=VLOOKUP(K$1,test!$A$3:$I$32,3,FALSE)),1,0)</f>
        <v>0</v>
      </c>
      <c r="L102" s="2">
        <f>IF(AND(feasible_mat!K9, VLOOKUP(Recharged_Feasible_matv3!$A102,test!$A$34:$G$37, 3,FALSE)=VLOOKUP(L$1,test!$A$3:$I$32,3,FALSE)),1,0)</f>
        <v>0</v>
      </c>
      <c r="M102" s="2">
        <f>IF(AND(feasible_mat!L9, VLOOKUP(Recharged_Feasible_matv3!$A102,test!$A$34:$G$37, 3,FALSE)=VLOOKUP(M$1,test!$A$3:$I$32,3,FALSE)),1,0)</f>
        <v>0</v>
      </c>
      <c r="N102" s="2">
        <f>IF(AND(feasible_mat!M9, VLOOKUP(Recharged_Feasible_matv3!$A102,test!$A$34:$G$37, 3,FALSE)=VLOOKUP(N$1,test!$A$3:$I$32,3,FALSE)),1,0)</f>
        <v>0</v>
      </c>
      <c r="O102" s="2">
        <f>IF(AND(feasible_mat!N9, VLOOKUP(Recharged_Feasible_matv3!$A102,test!$A$34:$G$37, 3,FALSE)=VLOOKUP(O$1,test!$A$3:$I$32,3,FALSE)),1,0)</f>
        <v>0</v>
      </c>
      <c r="P102" s="2">
        <f>IF(AND(feasible_mat!O9, VLOOKUP(Recharged_Feasible_matv3!$A102,test!$A$34:$G$37, 3,FALSE)=VLOOKUP(P$1,test!$A$3:$I$32,3,FALSE)),1,0)</f>
        <v>0</v>
      </c>
      <c r="Q102" s="2">
        <f>IF(AND(feasible_mat!P9, VLOOKUP(Recharged_Feasible_matv3!$A102,test!$A$34:$G$37, 3,FALSE)=VLOOKUP(Q$1,test!$A$3:$I$32,3,FALSE)),1,0)</f>
        <v>0</v>
      </c>
      <c r="R102" s="2">
        <f>IF(AND(feasible_mat!Q9, VLOOKUP(Recharged_Feasible_matv3!$A102,test!$A$34:$G$37, 3,FALSE)=VLOOKUP(R$1,test!$A$3:$I$32,3,FALSE)),1,0)</f>
        <v>0</v>
      </c>
      <c r="S102" s="2">
        <f>IF(AND(feasible_mat!R9, VLOOKUP(Recharged_Feasible_matv3!$A102,test!$A$34:$G$37, 3,FALSE)=VLOOKUP(S$1,test!$A$3:$I$32,3,FALSE)),1,0)</f>
        <v>0</v>
      </c>
      <c r="T102" s="2">
        <f>IF(AND(feasible_mat!S9, VLOOKUP(Recharged_Feasible_matv3!$A102,test!$A$34:$G$37, 3,FALSE)=VLOOKUP(T$1,test!$A$3:$I$32,3,FALSE)),1,0)</f>
        <v>0</v>
      </c>
      <c r="U102" s="2">
        <f>IF(AND(feasible_mat!T9, VLOOKUP(Recharged_Feasible_matv3!$A102,test!$A$34:$G$37, 3,FALSE)=VLOOKUP(U$1,test!$A$3:$I$32,3,FALSE)),1,0)</f>
        <v>0</v>
      </c>
      <c r="V102" s="2">
        <f>IF(AND(feasible_mat!U9, VLOOKUP(Recharged_Feasible_matv3!$A102,test!$A$34:$G$37, 3,FALSE)=VLOOKUP(V$1,test!$A$3:$I$32,3,FALSE)),1,0)</f>
        <v>0</v>
      </c>
      <c r="W102" s="2">
        <f>IF(AND(feasible_mat!V9, VLOOKUP(Recharged_Feasible_matv3!$A102,test!$A$34:$G$37, 3,FALSE)=VLOOKUP(W$1,test!$A$3:$I$32,3,FALSE)),1,0)</f>
        <v>0</v>
      </c>
      <c r="X102" s="2">
        <f>IF(AND(feasible_mat!W9, VLOOKUP(Recharged_Feasible_matv3!$A102,test!$A$34:$G$37, 3,FALSE)=VLOOKUP(X$1,test!$A$3:$I$32,3,FALSE)),1,0)</f>
        <v>0</v>
      </c>
      <c r="Y102" s="2">
        <f>IF(AND(feasible_mat!X9, VLOOKUP(Recharged_Feasible_matv3!$A102,test!$A$34:$G$37, 3,FALSE)=VLOOKUP(Y$1,test!$A$3:$I$32,3,FALSE)),1,0)</f>
        <v>0</v>
      </c>
      <c r="Z102" s="2">
        <f>IF(AND(feasible_mat!Y9, VLOOKUP(Recharged_Feasible_matv3!$A102,test!$A$34:$G$37, 3,FALSE)=VLOOKUP(Z$1,test!$A$3:$I$32,3,FALSE)),1,0)</f>
        <v>0</v>
      </c>
      <c r="AA102" s="2">
        <f>IF(AND(feasible_mat!Z9, VLOOKUP(Recharged_Feasible_matv3!$A102,test!$A$34:$G$37, 3,FALSE)=VLOOKUP(AA$1,test!$A$3:$I$32,3,FALSE)),1,0)</f>
        <v>0</v>
      </c>
      <c r="AB102" s="2">
        <f>IF(AND(feasible_mat!AA9, VLOOKUP(Recharged_Feasible_matv3!$A102,test!$A$34:$G$37, 3,FALSE)=VLOOKUP(AB$1,test!$A$3:$I$32,3,FALSE)),1,0)</f>
        <v>0</v>
      </c>
      <c r="AC102" s="2">
        <f>IF(AND(feasible_mat!AB9, VLOOKUP(Recharged_Feasible_matv3!$A102,test!$A$34:$G$37, 3,FALSE)=VLOOKUP(AC$1,test!$A$3:$I$32,3,FALSE)),1,0)</f>
        <v>0</v>
      </c>
      <c r="AD102" s="2">
        <f>IF(AND(feasible_mat!AC9, VLOOKUP(Recharged_Feasible_matv3!$A102,test!$A$34:$G$37, 3,FALSE)=VLOOKUP(AD$1,test!$A$3:$I$32,3,FALSE)),1,0)</f>
        <v>0</v>
      </c>
      <c r="AE102" s="2">
        <f>IF(AND(feasible_mat!AD9, VLOOKUP(Recharged_Feasible_matv3!$A102,test!$A$34:$G$37, 3,FALSE)=VLOOKUP(AE$1,test!$A$3:$I$32,3,FALSE)),1,0)</f>
        <v>0</v>
      </c>
      <c r="AF102" s="2">
        <f>IF(AND(feasible_mat!AE9, VLOOKUP(Recharged_Feasible_matv3!$A102,test!$A$34:$G$37, 3,FALSE)=VLOOKUP(AF$1,test!$A$3:$I$32,3,FALSE)),1,0)</f>
        <v>0</v>
      </c>
      <c r="AG102" s="2">
        <f>IF(AND(feasible_mat!AF9, VLOOKUP(Recharged_Feasible_matv3!$A102,test!$A$34:$G$37, 3,FALSE)=VLOOKUP(AG$1,test!$A$3:$I$32,3,FALSE)),1,0)</f>
        <v>0</v>
      </c>
    </row>
    <row r="103" spans="1:33" x14ac:dyDescent="0.25">
      <c r="A103" t="s">
        <v>98</v>
      </c>
      <c r="B103" t="s">
        <v>15</v>
      </c>
      <c r="C103">
        <v>0</v>
      </c>
      <c r="D103" s="2">
        <f>IF(AND(feasible_mat!C10, VLOOKUP(Recharged_Feasible_matv3!$A103,test!$A$34:$G$37, 3,FALSE)=VLOOKUP(D$1,test!$A$3:$I$32,3,FALSE)),1,0)</f>
        <v>0</v>
      </c>
      <c r="E103" s="2">
        <f>IF(AND(feasible_mat!D10, VLOOKUP(Recharged_Feasible_matv3!$A103,test!$A$34:$G$37, 3,FALSE)=VLOOKUP(E$1,test!$A$3:$I$32,3,FALSE)),1,0)</f>
        <v>0</v>
      </c>
      <c r="F103" s="2">
        <f>IF(AND(feasible_mat!E10, VLOOKUP(Recharged_Feasible_matv3!$A103,test!$A$34:$G$37, 3,FALSE)=VLOOKUP(F$1,test!$A$3:$I$32,3,FALSE)),1,0)</f>
        <v>0</v>
      </c>
      <c r="G103" s="2">
        <f>IF(AND(feasible_mat!F10, VLOOKUP(Recharged_Feasible_matv3!$A103,test!$A$34:$G$37, 3,FALSE)=VLOOKUP(G$1,test!$A$3:$I$32,3,FALSE)),1,0)</f>
        <v>0</v>
      </c>
      <c r="H103" s="2">
        <f>IF(AND(feasible_mat!G10, VLOOKUP(Recharged_Feasible_matv3!$A103,test!$A$34:$G$37, 3,FALSE)=VLOOKUP(H$1,test!$A$3:$I$32,3,FALSE)),1,0)</f>
        <v>0</v>
      </c>
      <c r="I103" s="2">
        <f>IF(AND(feasible_mat!H10, VLOOKUP(Recharged_Feasible_matv3!$A103,test!$A$34:$G$37, 3,FALSE)=VLOOKUP(I$1,test!$A$3:$I$32,3,FALSE)),1,0)</f>
        <v>0</v>
      </c>
      <c r="J103" s="2">
        <f>IF(AND(feasible_mat!I10, VLOOKUP(Recharged_Feasible_matv3!$A103,test!$A$34:$G$37, 3,FALSE)=VLOOKUP(J$1,test!$A$3:$I$32,3,FALSE)),1,0)</f>
        <v>0</v>
      </c>
      <c r="K103" s="2">
        <f>IF(AND(feasible_mat!J10, VLOOKUP(Recharged_Feasible_matv3!$A103,test!$A$34:$G$37, 3,FALSE)=VLOOKUP(K$1,test!$A$3:$I$32,3,FALSE)),1,0)</f>
        <v>0</v>
      </c>
      <c r="L103" s="2">
        <f>IF(AND(feasible_mat!K10, VLOOKUP(Recharged_Feasible_matv3!$A103,test!$A$34:$G$37, 3,FALSE)=VLOOKUP(L$1,test!$A$3:$I$32,3,FALSE)),1,0)</f>
        <v>0</v>
      </c>
      <c r="M103" s="2">
        <f>IF(AND(feasible_mat!L10, VLOOKUP(Recharged_Feasible_matv3!$A103,test!$A$34:$G$37, 3,FALSE)=VLOOKUP(M$1,test!$A$3:$I$32,3,FALSE)),1,0)</f>
        <v>0</v>
      </c>
      <c r="N103" s="2">
        <f>IF(AND(feasible_mat!M10, VLOOKUP(Recharged_Feasible_matv3!$A103,test!$A$34:$G$37, 3,FALSE)=VLOOKUP(N$1,test!$A$3:$I$32,3,FALSE)),1,0)</f>
        <v>0</v>
      </c>
      <c r="O103" s="2">
        <f>IF(AND(feasible_mat!N10, VLOOKUP(Recharged_Feasible_matv3!$A103,test!$A$34:$G$37, 3,FALSE)=VLOOKUP(O$1,test!$A$3:$I$32,3,FALSE)),1,0)</f>
        <v>0</v>
      </c>
      <c r="P103" s="2">
        <f>IF(AND(feasible_mat!O10, VLOOKUP(Recharged_Feasible_matv3!$A103,test!$A$34:$G$37, 3,FALSE)=VLOOKUP(P$1,test!$A$3:$I$32,3,FALSE)),1,0)</f>
        <v>0</v>
      </c>
      <c r="Q103" s="2">
        <f>IF(AND(feasible_mat!P10, VLOOKUP(Recharged_Feasible_matv3!$A103,test!$A$34:$G$37, 3,FALSE)=VLOOKUP(Q$1,test!$A$3:$I$32,3,FALSE)),1,0)</f>
        <v>0</v>
      </c>
      <c r="R103" s="2">
        <f>IF(AND(feasible_mat!Q10, VLOOKUP(Recharged_Feasible_matv3!$A103,test!$A$34:$G$37, 3,FALSE)=VLOOKUP(R$1,test!$A$3:$I$32,3,FALSE)),1,0)</f>
        <v>0</v>
      </c>
      <c r="S103" s="2">
        <f>IF(AND(feasible_mat!R10, VLOOKUP(Recharged_Feasible_matv3!$A103,test!$A$34:$G$37, 3,FALSE)=VLOOKUP(S$1,test!$A$3:$I$32,3,FALSE)),1,0)</f>
        <v>0</v>
      </c>
      <c r="T103" s="2">
        <f>IF(AND(feasible_mat!S10, VLOOKUP(Recharged_Feasible_matv3!$A103,test!$A$34:$G$37, 3,FALSE)=VLOOKUP(T$1,test!$A$3:$I$32,3,FALSE)),1,0)</f>
        <v>0</v>
      </c>
      <c r="U103" s="2">
        <f>IF(AND(feasible_mat!T10, VLOOKUP(Recharged_Feasible_matv3!$A103,test!$A$34:$G$37, 3,FALSE)=VLOOKUP(U$1,test!$A$3:$I$32,3,FALSE)),1,0)</f>
        <v>0</v>
      </c>
      <c r="V103" s="2">
        <f>IF(AND(feasible_mat!U10, VLOOKUP(Recharged_Feasible_matv3!$A103,test!$A$34:$G$37, 3,FALSE)=VLOOKUP(V$1,test!$A$3:$I$32,3,FALSE)),1,0)</f>
        <v>0</v>
      </c>
      <c r="W103" s="2">
        <f>IF(AND(feasible_mat!V10, VLOOKUP(Recharged_Feasible_matv3!$A103,test!$A$34:$G$37, 3,FALSE)=VLOOKUP(W$1,test!$A$3:$I$32,3,FALSE)),1,0)</f>
        <v>0</v>
      </c>
      <c r="X103" s="2">
        <f>IF(AND(feasible_mat!W10, VLOOKUP(Recharged_Feasible_matv3!$A103,test!$A$34:$G$37, 3,FALSE)=VLOOKUP(X$1,test!$A$3:$I$32,3,FALSE)),1,0)</f>
        <v>0</v>
      </c>
      <c r="Y103" s="2">
        <f>IF(AND(feasible_mat!X10, VLOOKUP(Recharged_Feasible_matv3!$A103,test!$A$34:$G$37, 3,FALSE)=VLOOKUP(Y$1,test!$A$3:$I$32,3,FALSE)),1,0)</f>
        <v>0</v>
      </c>
      <c r="Z103" s="2">
        <f>IF(AND(feasible_mat!Y10, VLOOKUP(Recharged_Feasible_matv3!$A103,test!$A$34:$G$37, 3,FALSE)=VLOOKUP(Z$1,test!$A$3:$I$32,3,FALSE)),1,0)</f>
        <v>0</v>
      </c>
      <c r="AA103" s="2">
        <f>IF(AND(feasible_mat!Z10, VLOOKUP(Recharged_Feasible_matv3!$A103,test!$A$34:$G$37, 3,FALSE)=VLOOKUP(AA$1,test!$A$3:$I$32,3,FALSE)),1,0)</f>
        <v>0</v>
      </c>
      <c r="AB103" s="2">
        <f>IF(AND(feasible_mat!AA10, VLOOKUP(Recharged_Feasible_matv3!$A103,test!$A$34:$G$37, 3,FALSE)=VLOOKUP(AB$1,test!$A$3:$I$32,3,FALSE)),1,0)</f>
        <v>0</v>
      </c>
      <c r="AC103" s="2">
        <f>IF(AND(feasible_mat!AB10, VLOOKUP(Recharged_Feasible_matv3!$A103,test!$A$34:$G$37, 3,FALSE)=VLOOKUP(AC$1,test!$A$3:$I$32,3,FALSE)),1,0)</f>
        <v>0</v>
      </c>
      <c r="AD103" s="2">
        <f>IF(AND(feasible_mat!AC10, VLOOKUP(Recharged_Feasible_matv3!$A103,test!$A$34:$G$37, 3,FALSE)=VLOOKUP(AD$1,test!$A$3:$I$32,3,FALSE)),1,0)</f>
        <v>0</v>
      </c>
      <c r="AE103" s="2">
        <f>IF(AND(feasible_mat!AD10, VLOOKUP(Recharged_Feasible_matv3!$A103,test!$A$34:$G$37, 3,FALSE)=VLOOKUP(AE$1,test!$A$3:$I$32,3,FALSE)),1,0)</f>
        <v>0</v>
      </c>
      <c r="AF103" s="2">
        <f>IF(AND(feasible_mat!AE10, VLOOKUP(Recharged_Feasible_matv3!$A103,test!$A$34:$G$37, 3,FALSE)=VLOOKUP(AF$1,test!$A$3:$I$32,3,FALSE)),1,0)</f>
        <v>0</v>
      </c>
      <c r="AG103" s="2">
        <f>IF(AND(feasible_mat!AF10, VLOOKUP(Recharged_Feasible_matv3!$A103,test!$A$34:$G$37, 3,FALSE)=VLOOKUP(AG$1,test!$A$3:$I$32,3,FALSE)),1,0)</f>
        <v>0</v>
      </c>
    </row>
    <row r="104" spans="1:33" x14ac:dyDescent="0.25">
      <c r="A104" t="s">
        <v>98</v>
      </c>
      <c r="B104" t="s">
        <v>18</v>
      </c>
      <c r="C104">
        <v>0</v>
      </c>
      <c r="D104" s="2">
        <f>IF(AND(feasible_mat!C11, VLOOKUP(Recharged_Feasible_matv3!$A104,test!$A$34:$G$37, 3,FALSE)=VLOOKUP(D$1,test!$A$3:$I$32,3,FALSE)),1,0)</f>
        <v>0</v>
      </c>
      <c r="E104" s="2">
        <f>IF(AND(feasible_mat!D11, VLOOKUP(Recharged_Feasible_matv3!$A104,test!$A$34:$G$37, 3,FALSE)=VLOOKUP(E$1,test!$A$3:$I$32,3,FALSE)),1,0)</f>
        <v>0</v>
      </c>
      <c r="F104" s="2">
        <f>IF(AND(feasible_mat!E11, VLOOKUP(Recharged_Feasible_matv3!$A104,test!$A$34:$G$37, 3,FALSE)=VLOOKUP(F$1,test!$A$3:$I$32,3,FALSE)),1,0)</f>
        <v>0</v>
      </c>
      <c r="G104" s="2">
        <f>IF(AND(feasible_mat!F11, VLOOKUP(Recharged_Feasible_matv3!$A104,test!$A$34:$G$37, 3,FALSE)=VLOOKUP(G$1,test!$A$3:$I$32,3,FALSE)),1,0)</f>
        <v>0</v>
      </c>
      <c r="H104" s="2">
        <f>IF(AND(feasible_mat!G11, VLOOKUP(Recharged_Feasible_matv3!$A104,test!$A$34:$G$37, 3,FALSE)=VLOOKUP(H$1,test!$A$3:$I$32,3,FALSE)),1,0)</f>
        <v>0</v>
      </c>
      <c r="I104" s="2">
        <f>IF(AND(feasible_mat!H11, VLOOKUP(Recharged_Feasible_matv3!$A104,test!$A$34:$G$37, 3,FALSE)=VLOOKUP(I$1,test!$A$3:$I$32,3,FALSE)),1,0)</f>
        <v>0</v>
      </c>
      <c r="J104" s="2">
        <f>IF(AND(feasible_mat!I11, VLOOKUP(Recharged_Feasible_matv3!$A104,test!$A$34:$G$37, 3,FALSE)=VLOOKUP(J$1,test!$A$3:$I$32,3,FALSE)),1,0)</f>
        <v>0</v>
      </c>
      <c r="K104" s="2">
        <f>IF(AND(feasible_mat!J11, VLOOKUP(Recharged_Feasible_matv3!$A104,test!$A$34:$G$37, 3,FALSE)=VLOOKUP(K$1,test!$A$3:$I$32,3,FALSE)),1,0)</f>
        <v>0</v>
      </c>
      <c r="L104" s="2">
        <f>IF(AND(feasible_mat!K11, VLOOKUP(Recharged_Feasible_matv3!$A104,test!$A$34:$G$37, 3,FALSE)=VLOOKUP(L$1,test!$A$3:$I$32,3,FALSE)),1,0)</f>
        <v>0</v>
      </c>
      <c r="M104" s="2">
        <f>IF(AND(feasible_mat!L11, VLOOKUP(Recharged_Feasible_matv3!$A104,test!$A$34:$G$37, 3,FALSE)=VLOOKUP(M$1,test!$A$3:$I$32,3,FALSE)),1,0)</f>
        <v>0</v>
      </c>
      <c r="N104" s="2">
        <f>IF(AND(feasible_mat!M11, VLOOKUP(Recharged_Feasible_matv3!$A104,test!$A$34:$G$37, 3,FALSE)=VLOOKUP(N$1,test!$A$3:$I$32,3,FALSE)),1,0)</f>
        <v>0</v>
      </c>
      <c r="O104" s="2">
        <f>IF(AND(feasible_mat!N11, VLOOKUP(Recharged_Feasible_matv3!$A104,test!$A$34:$G$37, 3,FALSE)=VLOOKUP(O$1,test!$A$3:$I$32,3,FALSE)),1,0)</f>
        <v>0</v>
      </c>
      <c r="P104" s="2">
        <f>IF(AND(feasible_mat!O11, VLOOKUP(Recharged_Feasible_matv3!$A104,test!$A$34:$G$37, 3,FALSE)=VLOOKUP(P$1,test!$A$3:$I$32,3,FALSE)),1,0)</f>
        <v>0</v>
      </c>
      <c r="Q104" s="2">
        <f>IF(AND(feasible_mat!P11, VLOOKUP(Recharged_Feasible_matv3!$A104,test!$A$34:$G$37, 3,FALSE)=VLOOKUP(Q$1,test!$A$3:$I$32,3,FALSE)),1,0)</f>
        <v>0</v>
      </c>
      <c r="R104" s="2">
        <f>IF(AND(feasible_mat!Q11, VLOOKUP(Recharged_Feasible_matv3!$A104,test!$A$34:$G$37, 3,FALSE)=VLOOKUP(R$1,test!$A$3:$I$32,3,FALSE)),1,0)</f>
        <v>0</v>
      </c>
      <c r="S104" s="2">
        <f>IF(AND(feasible_mat!R11, VLOOKUP(Recharged_Feasible_matv3!$A104,test!$A$34:$G$37, 3,FALSE)=VLOOKUP(S$1,test!$A$3:$I$32,3,FALSE)),1,0)</f>
        <v>0</v>
      </c>
      <c r="T104" s="2">
        <f>IF(AND(feasible_mat!S11, VLOOKUP(Recharged_Feasible_matv3!$A104,test!$A$34:$G$37, 3,FALSE)=VLOOKUP(T$1,test!$A$3:$I$32,3,FALSE)),1,0)</f>
        <v>0</v>
      </c>
      <c r="U104" s="2">
        <f>IF(AND(feasible_mat!T11, VLOOKUP(Recharged_Feasible_matv3!$A104,test!$A$34:$G$37, 3,FALSE)=VLOOKUP(U$1,test!$A$3:$I$32,3,FALSE)),1,0)</f>
        <v>0</v>
      </c>
      <c r="V104" s="2">
        <f>IF(AND(feasible_mat!U11, VLOOKUP(Recharged_Feasible_matv3!$A104,test!$A$34:$G$37, 3,FALSE)=VLOOKUP(V$1,test!$A$3:$I$32,3,FALSE)),1,0)</f>
        <v>0</v>
      </c>
      <c r="W104" s="2">
        <f>IF(AND(feasible_mat!V11, VLOOKUP(Recharged_Feasible_matv3!$A104,test!$A$34:$G$37, 3,FALSE)=VLOOKUP(W$1,test!$A$3:$I$32,3,FALSE)),1,0)</f>
        <v>0</v>
      </c>
      <c r="X104" s="2">
        <f>IF(AND(feasible_mat!W11, VLOOKUP(Recharged_Feasible_matv3!$A104,test!$A$34:$G$37, 3,FALSE)=VLOOKUP(X$1,test!$A$3:$I$32,3,FALSE)),1,0)</f>
        <v>0</v>
      </c>
      <c r="Y104" s="2">
        <f>IF(AND(feasible_mat!X11, VLOOKUP(Recharged_Feasible_matv3!$A104,test!$A$34:$G$37, 3,FALSE)=VLOOKUP(Y$1,test!$A$3:$I$32,3,FALSE)),1,0)</f>
        <v>0</v>
      </c>
      <c r="Z104" s="2">
        <f>IF(AND(feasible_mat!Y11, VLOOKUP(Recharged_Feasible_matv3!$A104,test!$A$34:$G$37, 3,FALSE)=VLOOKUP(Z$1,test!$A$3:$I$32,3,FALSE)),1,0)</f>
        <v>0</v>
      </c>
      <c r="AA104" s="2">
        <f>IF(AND(feasible_mat!Z11, VLOOKUP(Recharged_Feasible_matv3!$A104,test!$A$34:$G$37, 3,FALSE)=VLOOKUP(AA$1,test!$A$3:$I$32,3,FALSE)),1,0)</f>
        <v>1</v>
      </c>
      <c r="AB104" s="2">
        <f>IF(AND(feasible_mat!AA11, VLOOKUP(Recharged_Feasible_matv3!$A104,test!$A$34:$G$37, 3,FALSE)=VLOOKUP(AB$1,test!$A$3:$I$32,3,FALSE)),1,0)</f>
        <v>1</v>
      </c>
      <c r="AC104" s="2">
        <f>IF(AND(feasible_mat!AB11, VLOOKUP(Recharged_Feasible_matv3!$A104,test!$A$34:$G$37, 3,FALSE)=VLOOKUP(AC$1,test!$A$3:$I$32,3,FALSE)),1,0)</f>
        <v>1</v>
      </c>
      <c r="AD104" s="2">
        <f>IF(AND(feasible_mat!AC11, VLOOKUP(Recharged_Feasible_matv3!$A104,test!$A$34:$G$37, 3,FALSE)=VLOOKUP(AD$1,test!$A$3:$I$32,3,FALSE)),1,0)</f>
        <v>1</v>
      </c>
      <c r="AE104" s="2">
        <f>IF(AND(feasible_mat!AD11, VLOOKUP(Recharged_Feasible_matv3!$A104,test!$A$34:$G$37, 3,FALSE)=VLOOKUP(AE$1,test!$A$3:$I$32,3,FALSE)),1,0)</f>
        <v>0</v>
      </c>
      <c r="AF104" s="2">
        <f>IF(AND(feasible_mat!AE11, VLOOKUP(Recharged_Feasible_matv3!$A104,test!$A$34:$G$37, 3,FALSE)=VLOOKUP(AF$1,test!$A$3:$I$32,3,FALSE)),1,0)</f>
        <v>0</v>
      </c>
      <c r="AG104" s="2">
        <f>IF(AND(feasible_mat!AF11, VLOOKUP(Recharged_Feasible_matv3!$A104,test!$A$34:$G$37, 3,FALSE)=VLOOKUP(AG$1,test!$A$3:$I$32,3,FALSE)),1,0)</f>
        <v>0</v>
      </c>
    </row>
    <row r="105" spans="1:33" x14ac:dyDescent="0.25">
      <c r="A105" t="s">
        <v>98</v>
      </c>
      <c r="B105" t="s">
        <v>20</v>
      </c>
      <c r="C105">
        <v>0</v>
      </c>
      <c r="D105" s="2">
        <f>IF(AND(feasible_mat!C12, VLOOKUP(Recharged_Feasible_matv3!$A105,test!$A$34:$G$37, 3,FALSE)=VLOOKUP(D$1,test!$A$3:$I$32,3,FALSE)),1,0)</f>
        <v>0</v>
      </c>
      <c r="E105" s="2">
        <f>IF(AND(feasible_mat!D12, VLOOKUP(Recharged_Feasible_matv3!$A105,test!$A$34:$G$37, 3,FALSE)=VLOOKUP(E$1,test!$A$3:$I$32,3,FALSE)),1,0)</f>
        <v>0</v>
      </c>
      <c r="F105" s="2">
        <f>IF(AND(feasible_mat!E12, VLOOKUP(Recharged_Feasible_matv3!$A105,test!$A$34:$G$37, 3,FALSE)=VLOOKUP(F$1,test!$A$3:$I$32,3,FALSE)),1,0)</f>
        <v>0</v>
      </c>
      <c r="G105" s="2">
        <f>IF(AND(feasible_mat!F12, VLOOKUP(Recharged_Feasible_matv3!$A105,test!$A$34:$G$37, 3,FALSE)=VLOOKUP(G$1,test!$A$3:$I$32,3,FALSE)),1,0)</f>
        <v>0</v>
      </c>
      <c r="H105" s="2">
        <f>IF(AND(feasible_mat!G12, VLOOKUP(Recharged_Feasible_matv3!$A105,test!$A$34:$G$37, 3,FALSE)=VLOOKUP(H$1,test!$A$3:$I$32,3,FALSE)),1,0)</f>
        <v>0</v>
      </c>
      <c r="I105" s="2">
        <f>IF(AND(feasible_mat!H12, VLOOKUP(Recharged_Feasible_matv3!$A105,test!$A$34:$G$37, 3,FALSE)=VLOOKUP(I$1,test!$A$3:$I$32,3,FALSE)),1,0)</f>
        <v>0</v>
      </c>
      <c r="J105" s="2">
        <f>IF(AND(feasible_mat!I12, VLOOKUP(Recharged_Feasible_matv3!$A105,test!$A$34:$G$37, 3,FALSE)=VLOOKUP(J$1,test!$A$3:$I$32,3,FALSE)),1,0)</f>
        <v>0</v>
      </c>
      <c r="K105" s="2">
        <f>IF(AND(feasible_mat!J12, VLOOKUP(Recharged_Feasible_matv3!$A105,test!$A$34:$G$37, 3,FALSE)=VLOOKUP(K$1,test!$A$3:$I$32,3,FALSE)),1,0)</f>
        <v>0</v>
      </c>
      <c r="L105" s="2">
        <f>IF(AND(feasible_mat!K12, VLOOKUP(Recharged_Feasible_matv3!$A105,test!$A$34:$G$37, 3,FALSE)=VLOOKUP(L$1,test!$A$3:$I$32,3,FALSE)),1,0)</f>
        <v>0</v>
      </c>
      <c r="M105" s="2">
        <f>IF(AND(feasible_mat!L12, VLOOKUP(Recharged_Feasible_matv3!$A105,test!$A$34:$G$37, 3,FALSE)=VLOOKUP(M$1,test!$A$3:$I$32,3,FALSE)),1,0)</f>
        <v>0</v>
      </c>
      <c r="N105" s="2">
        <f>IF(AND(feasible_mat!M12, VLOOKUP(Recharged_Feasible_matv3!$A105,test!$A$34:$G$37, 3,FALSE)=VLOOKUP(N$1,test!$A$3:$I$32,3,FALSE)),1,0)</f>
        <v>0</v>
      </c>
      <c r="O105" s="2">
        <f>IF(AND(feasible_mat!N12, VLOOKUP(Recharged_Feasible_matv3!$A105,test!$A$34:$G$37, 3,FALSE)=VLOOKUP(O$1,test!$A$3:$I$32,3,FALSE)),1,0)</f>
        <v>0</v>
      </c>
      <c r="P105" s="2">
        <f>IF(AND(feasible_mat!O12, VLOOKUP(Recharged_Feasible_matv3!$A105,test!$A$34:$G$37, 3,FALSE)=VLOOKUP(P$1,test!$A$3:$I$32,3,FALSE)),1,0)</f>
        <v>0</v>
      </c>
      <c r="Q105" s="2">
        <f>IF(AND(feasible_mat!P12, VLOOKUP(Recharged_Feasible_matv3!$A105,test!$A$34:$G$37, 3,FALSE)=VLOOKUP(Q$1,test!$A$3:$I$32,3,FALSE)),1,0)</f>
        <v>0</v>
      </c>
      <c r="R105" s="2">
        <f>IF(AND(feasible_mat!Q12, VLOOKUP(Recharged_Feasible_matv3!$A105,test!$A$34:$G$37, 3,FALSE)=VLOOKUP(R$1,test!$A$3:$I$32,3,FALSE)),1,0)</f>
        <v>0</v>
      </c>
      <c r="S105" s="2">
        <f>IF(AND(feasible_mat!R12, VLOOKUP(Recharged_Feasible_matv3!$A105,test!$A$34:$G$37, 3,FALSE)=VLOOKUP(S$1,test!$A$3:$I$32,3,FALSE)),1,0)</f>
        <v>0</v>
      </c>
      <c r="T105" s="2">
        <f>IF(AND(feasible_mat!S12, VLOOKUP(Recharged_Feasible_matv3!$A105,test!$A$34:$G$37, 3,FALSE)=VLOOKUP(T$1,test!$A$3:$I$32,3,FALSE)),1,0)</f>
        <v>0</v>
      </c>
      <c r="U105" s="2">
        <f>IF(AND(feasible_mat!T12, VLOOKUP(Recharged_Feasible_matv3!$A105,test!$A$34:$G$37, 3,FALSE)=VLOOKUP(U$1,test!$A$3:$I$32,3,FALSE)),1,0)</f>
        <v>0</v>
      </c>
      <c r="V105" s="2">
        <f>IF(AND(feasible_mat!U12, VLOOKUP(Recharged_Feasible_matv3!$A105,test!$A$34:$G$37, 3,FALSE)=VLOOKUP(V$1,test!$A$3:$I$32,3,FALSE)),1,0)</f>
        <v>0</v>
      </c>
      <c r="W105" s="2">
        <f>IF(AND(feasible_mat!V12, VLOOKUP(Recharged_Feasible_matv3!$A105,test!$A$34:$G$37, 3,FALSE)=VLOOKUP(W$1,test!$A$3:$I$32,3,FALSE)),1,0)</f>
        <v>0</v>
      </c>
      <c r="X105" s="2">
        <f>IF(AND(feasible_mat!W12, VLOOKUP(Recharged_Feasible_matv3!$A105,test!$A$34:$G$37, 3,FALSE)=VLOOKUP(X$1,test!$A$3:$I$32,3,FALSE)),1,0)</f>
        <v>0</v>
      </c>
      <c r="Y105" s="2">
        <f>IF(AND(feasible_mat!X12, VLOOKUP(Recharged_Feasible_matv3!$A105,test!$A$34:$G$37, 3,FALSE)=VLOOKUP(Y$1,test!$A$3:$I$32,3,FALSE)),1,0)</f>
        <v>0</v>
      </c>
      <c r="Z105" s="2">
        <f>IF(AND(feasible_mat!Y12, VLOOKUP(Recharged_Feasible_matv3!$A105,test!$A$34:$G$37, 3,FALSE)=VLOOKUP(Z$1,test!$A$3:$I$32,3,FALSE)),1,0)</f>
        <v>0</v>
      </c>
      <c r="AA105" s="2">
        <f>IF(AND(feasible_mat!Z12, VLOOKUP(Recharged_Feasible_matv3!$A105,test!$A$34:$G$37, 3,FALSE)=VLOOKUP(AA$1,test!$A$3:$I$32,3,FALSE)),1,0)</f>
        <v>0</v>
      </c>
      <c r="AB105" s="2">
        <f>IF(AND(feasible_mat!AA12, VLOOKUP(Recharged_Feasible_matv3!$A105,test!$A$34:$G$37, 3,FALSE)=VLOOKUP(AB$1,test!$A$3:$I$32,3,FALSE)),1,0)</f>
        <v>1</v>
      </c>
      <c r="AC105" s="2">
        <f>IF(AND(feasible_mat!AB12, VLOOKUP(Recharged_Feasible_matv3!$A105,test!$A$34:$G$37, 3,FALSE)=VLOOKUP(AC$1,test!$A$3:$I$32,3,FALSE)),1,0)</f>
        <v>1</v>
      </c>
      <c r="AD105" s="2">
        <f>IF(AND(feasible_mat!AC12, VLOOKUP(Recharged_Feasible_matv3!$A105,test!$A$34:$G$37, 3,FALSE)=VLOOKUP(AD$1,test!$A$3:$I$32,3,FALSE)),1,0)</f>
        <v>1</v>
      </c>
      <c r="AE105" s="2">
        <f>IF(AND(feasible_mat!AD12, VLOOKUP(Recharged_Feasible_matv3!$A105,test!$A$34:$G$37, 3,FALSE)=VLOOKUP(AE$1,test!$A$3:$I$32,3,FALSE)),1,0)</f>
        <v>0</v>
      </c>
      <c r="AF105" s="2">
        <f>IF(AND(feasible_mat!AE12, VLOOKUP(Recharged_Feasible_matv3!$A105,test!$A$34:$G$37, 3,FALSE)=VLOOKUP(AF$1,test!$A$3:$I$32,3,FALSE)),1,0)</f>
        <v>0</v>
      </c>
      <c r="AG105" s="2">
        <f>IF(AND(feasible_mat!AF12, VLOOKUP(Recharged_Feasible_matv3!$A105,test!$A$34:$G$37, 3,FALSE)=VLOOKUP(AG$1,test!$A$3:$I$32,3,FALSE)),1,0)</f>
        <v>0</v>
      </c>
    </row>
    <row r="106" spans="1:33" x14ac:dyDescent="0.25">
      <c r="A106" t="s">
        <v>98</v>
      </c>
      <c r="B106" t="s">
        <v>21</v>
      </c>
      <c r="C106">
        <v>0</v>
      </c>
      <c r="D106" s="2">
        <f>IF(AND(feasible_mat!C13, VLOOKUP(Recharged_Feasible_matv3!$A106,test!$A$34:$G$37, 3,FALSE)=VLOOKUP(D$1,test!$A$3:$I$32,3,FALSE)),1,0)</f>
        <v>0</v>
      </c>
      <c r="E106" s="2">
        <f>IF(AND(feasible_mat!D13, VLOOKUP(Recharged_Feasible_matv3!$A106,test!$A$34:$G$37, 3,FALSE)=VLOOKUP(E$1,test!$A$3:$I$32,3,FALSE)),1,0)</f>
        <v>0</v>
      </c>
      <c r="F106" s="2">
        <f>IF(AND(feasible_mat!E13, VLOOKUP(Recharged_Feasible_matv3!$A106,test!$A$34:$G$37, 3,FALSE)=VLOOKUP(F$1,test!$A$3:$I$32,3,FALSE)),1,0)</f>
        <v>0</v>
      </c>
      <c r="G106" s="2">
        <f>IF(AND(feasible_mat!F13, VLOOKUP(Recharged_Feasible_matv3!$A106,test!$A$34:$G$37, 3,FALSE)=VLOOKUP(G$1,test!$A$3:$I$32,3,FALSE)),1,0)</f>
        <v>0</v>
      </c>
      <c r="H106" s="2">
        <f>IF(AND(feasible_mat!G13, VLOOKUP(Recharged_Feasible_matv3!$A106,test!$A$34:$G$37, 3,FALSE)=VLOOKUP(H$1,test!$A$3:$I$32,3,FALSE)),1,0)</f>
        <v>0</v>
      </c>
      <c r="I106" s="2">
        <f>IF(AND(feasible_mat!H13, VLOOKUP(Recharged_Feasible_matv3!$A106,test!$A$34:$G$37, 3,FALSE)=VLOOKUP(I$1,test!$A$3:$I$32,3,FALSE)),1,0)</f>
        <v>0</v>
      </c>
      <c r="J106" s="2">
        <f>IF(AND(feasible_mat!I13, VLOOKUP(Recharged_Feasible_matv3!$A106,test!$A$34:$G$37, 3,FALSE)=VLOOKUP(J$1,test!$A$3:$I$32,3,FALSE)),1,0)</f>
        <v>0</v>
      </c>
      <c r="K106" s="2">
        <f>IF(AND(feasible_mat!J13, VLOOKUP(Recharged_Feasible_matv3!$A106,test!$A$34:$G$37, 3,FALSE)=VLOOKUP(K$1,test!$A$3:$I$32,3,FALSE)),1,0)</f>
        <v>0</v>
      </c>
      <c r="L106" s="2">
        <f>IF(AND(feasible_mat!K13, VLOOKUP(Recharged_Feasible_matv3!$A106,test!$A$34:$G$37, 3,FALSE)=VLOOKUP(L$1,test!$A$3:$I$32,3,FALSE)),1,0)</f>
        <v>0</v>
      </c>
      <c r="M106" s="2">
        <f>IF(AND(feasible_mat!L13, VLOOKUP(Recharged_Feasible_matv3!$A106,test!$A$34:$G$37, 3,FALSE)=VLOOKUP(M$1,test!$A$3:$I$32,3,FALSE)),1,0)</f>
        <v>0</v>
      </c>
      <c r="N106" s="2">
        <f>IF(AND(feasible_mat!M13, VLOOKUP(Recharged_Feasible_matv3!$A106,test!$A$34:$G$37, 3,FALSE)=VLOOKUP(N$1,test!$A$3:$I$32,3,FALSE)),1,0)</f>
        <v>0</v>
      </c>
      <c r="O106" s="2">
        <f>IF(AND(feasible_mat!N13, VLOOKUP(Recharged_Feasible_matv3!$A106,test!$A$34:$G$37, 3,FALSE)=VLOOKUP(O$1,test!$A$3:$I$32,3,FALSE)),1,0)</f>
        <v>0</v>
      </c>
      <c r="P106" s="2">
        <f>IF(AND(feasible_mat!O13, VLOOKUP(Recharged_Feasible_matv3!$A106,test!$A$34:$G$37, 3,FALSE)=VLOOKUP(P$1,test!$A$3:$I$32,3,FALSE)),1,0)</f>
        <v>0</v>
      </c>
      <c r="Q106" s="2">
        <f>IF(AND(feasible_mat!P13, VLOOKUP(Recharged_Feasible_matv3!$A106,test!$A$34:$G$37, 3,FALSE)=VLOOKUP(Q$1,test!$A$3:$I$32,3,FALSE)),1,0)</f>
        <v>0</v>
      </c>
      <c r="R106" s="2">
        <f>IF(AND(feasible_mat!Q13, VLOOKUP(Recharged_Feasible_matv3!$A106,test!$A$34:$G$37, 3,FALSE)=VLOOKUP(R$1,test!$A$3:$I$32,3,FALSE)),1,0)</f>
        <v>0</v>
      </c>
      <c r="S106" s="2">
        <f>IF(AND(feasible_mat!R13, VLOOKUP(Recharged_Feasible_matv3!$A106,test!$A$34:$G$37, 3,FALSE)=VLOOKUP(S$1,test!$A$3:$I$32,3,FALSE)),1,0)</f>
        <v>0</v>
      </c>
      <c r="T106" s="2">
        <f>IF(AND(feasible_mat!S13, VLOOKUP(Recharged_Feasible_matv3!$A106,test!$A$34:$G$37, 3,FALSE)=VLOOKUP(T$1,test!$A$3:$I$32,3,FALSE)),1,0)</f>
        <v>0</v>
      </c>
      <c r="U106" s="2">
        <f>IF(AND(feasible_mat!T13, VLOOKUP(Recharged_Feasible_matv3!$A106,test!$A$34:$G$37, 3,FALSE)=VLOOKUP(U$1,test!$A$3:$I$32,3,FALSE)),1,0)</f>
        <v>0</v>
      </c>
      <c r="V106" s="2">
        <f>IF(AND(feasible_mat!U13, VLOOKUP(Recharged_Feasible_matv3!$A106,test!$A$34:$G$37, 3,FALSE)=VLOOKUP(V$1,test!$A$3:$I$32,3,FALSE)),1,0)</f>
        <v>0</v>
      </c>
      <c r="W106" s="2">
        <f>IF(AND(feasible_mat!V13, VLOOKUP(Recharged_Feasible_matv3!$A106,test!$A$34:$G$37, 3,FALSE)=VLOOKUP(W$1,test!$A$3:$I$32,3,FALSE)),1,0)</f>
        <v>0</v>
      </c>
      <c r="X106" s="2">
        <f>IF(AND(feasible_mat!W13, VLOOKUP(Recharged_Feasible_matv3!$A106,test!$A$34:$G$37, 3,FALSE)=VLOOKUP(X$1,test!$A$3:$I$32,3,FALSE)),1,0)</f>
        <v>0</v>
      </c>
      <c r="Y106" s="2">
        <f>IF(AND(feasible_mat!X13, VLOOKUP(Recharged_Feasible_matv3!$A106,test!$A$34:$G$37, 3,FALSE)=VLOOKUP(Y$1,test!$A$3:$I$32,3,FALSE)),1,0)</f>
        <v>0</v>
      </c>
      <c r="Z106" s="2">
        <f>IF(AND(feasible_mat!Y13, VLOOKUP(Recharged_Feasible_matv3!$A106,test!$A$34:$G$37, 3,FALSE)=VLOOKUP(Z$1,test!$A$3:$I$32,3,FALSE)),1,0)</f>
        <v>0</v>
      </c>
      <c r="AA106" s="2">
        <f>IF(AND(feasible_mat!Z13, VLOOKUP(Recharged_Feasible_matv3!$A106,test!$A$34:$G$37, 3,FALSE)=VLOOKUP(AA$1,test!$A$3:$I$32,3,FALSE)),1,0)</f>
        <v>0</v>
      </c>
      <c r="AB106" s="2">
        <f>IF(AND(feasible_mat!AA13, VLOOKUP(Recharged_Feasible_matv3!$A106,test!$A$34:$G$37, 3,FALSE)=VLOOKUP(AB$1,test!$A$3:$I$32,3,FALSE)),1,0)</f>
        <v>0</v>
      </c>
      <c r="AC106" s="2">
        <f>IF(AND(feasible_mat!AB13, VLOOKUP(Recharged_Feasible_matv3!$A106,test!$A$34:$G$37, 3,FALSE)=VLOOKUP(AC$1,test!$A$3:$I$32,3,FALSE)),1,0)</f>
        <v>0</v>
      </c>
      <c r="AD106" s="2">
        <f>IF(AND(feasible_mat!AC13, VLOOKUP(Recharged_Feasible_matv3!$A106,test!$A$34:$G$37, 3,FALSE)=VLOOKUP(AD$1,test!$A$3:$I$32,3,FALSE)),1,0)</f>
        <v>1</v>
      </c>
      <c r="AE106" s="2">
        <f>IF(AND(feasible_mat!AD13, VLOOKUP(Recharged_Feasible_matv3!$A106,test!$A$34:$G$37, 3,FALSE)=VLOOKUP(AE$1,test!$A$3:$I$32,3,FALSE)),1,0)</f>
        <v>0</v>
      </c>
      <c r="AF106" s="2">
        <f>IF(AND(feasible_mat!AE13, VLOOKUP(Recharged_Feasible_matv3!$A106,test!$A$34:$G$37, 3,FALSE)=VLOOKUP(AF$1,test!$A$3:$I$32,3,FALSE)),1,0)</f>
        <v>0</v>
      </c>
      <c r="AG106" s="2">
        <f>IF(AND(feasible_mat!AF13, VLOOKUP(Recharged_Feasible_matv3!$A106,test!$A$34:$G$37, 3,FALSE)=VLOOKUP(AG$1,test!$A$3:$I$32,3,FALSE)),1,0)</f>
        <v>0</v>
      </c>
    </row>
    <row r="107" spans="1:33" x14ac:dyDescent="0.25">
      <c r="A107" t="s">
        <v>98</v>
      </c>
      <c r="B107" t="s">
        <v>22</v>
      </c>
      <c r="C107">
        <v>0</v>
      </c>
      <c r="D107" s="2">
        <f>IF(AND(feasible_mat!C14, VLOOKUP(Recharged_Feasible_matv3!$A107,test!$A$34:$G$37, 3,FALSE)=VLOOKUP(D$1,test!$A$3:$I$32,3,FALSE)),1,0)</f>
        <v>0</v>
      </c>
      <c r="E107" s="2">
        <f>IF(AND(feasible_mat!D14, VLOOKUP(Recharged_Feasible_matv3!$A107,test!$A$34:$G$37, 3,FALSE)=VLOOKUP(E$1,test!$A$3:$I$32,3,FALSE)),1,0)</f>
        <v>0</v>
      </c>
      <c r="F107" s="2">
        <f>IF(AND(feasible_mat!E14, VLOOKUP(Recharged_Feasible_matv3!$A107,test!$A$34:$G$37, 3,FALSE)=VLOOKUP(F$1,test!$A$3:$I$32,3,FALSE)),1,0)</f>
        <v>0</v>
      </c>
      <c r="G107" s="2">
        <f>IF(AND(feasible_mat!F14, VLOOKUP(Recharged_Feasible_matv3!$A107,test!$A$34:$G$37, 3,FALSE)=VLOOKUP(G$1,test!$A$3:$I$32,3,FALSE)),1,0)</f>
        <v>0</v>
      </c>
      <c r="H107" s="2">
        <f>IF(AND(feasible_mat!G14, VLOOKUP(Recharged_Feasible_matv3!$A107,test!$A$34:$G$37, 3,FALSE)=VLOOKUP(H$1,test!$A$3:$I$32,3,FALSE)),1,0)</f>
        <v>0</v>
      </c>
      <c r="I107" s="2">
        <f>IF(AND(feasible_mat!H14, VLOOKUP(Recharged_Feasible_matv3!$A107,test!$A$34:$G$37, 3,FALSE)=VLOOKUP(I$1,test!$A$3:$I$32,3,FALSE)),1,0)</f>
        <v>0</v>
      </c>
      <c r="J107" s="2">
        <f>IF(AND(feasible_mat!I14, VLOOKUP(Recharged_Feasible_matv3!$A107,test!$A$34:$G$37, 3,FALSE)=VLOOKUP(J$1,test!$A$3:$I$32,3,FALSE)),1,0)</f>
        <v>0</v>
      </c>
      <c r="K107" s="2">
        <f>IF(AND(feasible_mat!J14, VLOOKUP(Recharged_Feasible_matv3!$A107,test!$A$34:$G$37, 3,FALSE)=VLOOKUP(K$1,test!$A$3:$I$32,3,FALSE)),1,0)</f>
        <v>0</v>
      </c>
      <c r="L107" s="2">
        <f>IF(AND(feasible_mat!K14, VLOOKUP(Recharged_Feasible_matv3!$A107,test!$A$34:$G$37, 3,FALSE)=VLOOKUP(L$1,test!$A$3:$I$32,3,FALSE)),1,0)</f>
        <v>0</v>
      </c>
      <c r="M107" s="2">
        <f>IF(AND(feasible_mat!L14, VLOOKUP(Recharged_Feasible_matv3!$A107,test!$A$34:$G$37, 3,FALSE)=VLOOKUP(M$1,test!$A$3:$I$32,3,FALSE)),1,0)</f>
        <v>0</v>
      </c>
      <c r="N107" s="2">
        <f>IF(AND(feasible_mat!M14, VLOOKUP(Recharged_Feasible_matv3!$A107,test!$A$34:$G$37, 3,FALSE)=VLOOKUP(N$1,test!$A$3:$I$32,3,FALSE)),1,0)</f>
        <v>0</v>
      </c>
      <c r="O107" s="2">
        <f>IF(AND(feasible_mat!N14, VLOOKUP(Recharged_Feasible_matv3!$A107,test!$A$34:$G$37, 3,FALSE)=VLOOKUP(O$1,test!$A$3:$I$32,3,FALSE)),1,0)</f>
        <v>0</v>
      </c>
      <c r="P107" s="2">
        <f>IF(AND(feasible_mat!O14, VLOOKUP(Recharged_Feasible_matv3!$A107,test!$A$34:$G$37, 3,FALSE)=VLOOKUP(P$1,test!$A$3:$I$32,3,FALSE)),1,0)</f>
        <v>0</v>
      </c>
      <c r="Q107" s="2">
        <f>IF(AND(feasible_mat!P14, VLOOKUP(Recharged_Feasible_matv3!$A107,test!$A$34:$G$37, 3,FALSE)=VLOOKUP(Q$1,test!$A$3:$I$32,3,FALSE)),1,0)</f>
        <v>0</v>
      </c>
      <c r="R107" s="2">
        <f>IF(AND(feasible_mat!Q14, VLOOKUP(Recharged_Feasible_matv3!$A107,test!$A$34:$G$37, 3,FALSE)=VLOOKUP(R$1,test!$A$3:$I$32,3,FALSE)),1,0)</f>
        <v>0</v>
      </c>
      <c r="S107" s="2">
        <f>IF(AND(feasible_mat!R14, VLOOKUP(Recharged_Feasible_matv3!$A107,test!$A$34:$G$37, 3,FALSE)=VLOOKUP(S$1,test!$A$3:$I$32,3,FALSE)),1,0)</f>
        <v>0</v>
      </c>
      <c r="T107" s="2">
        <f>IF(AND(feasible_mat!S14, VLOOKUP(Recharged_Feasible_matv3!$A107,test!$A$34:$G$37, 3,FALSE)=VLOOKUP(T$1,test!$A$3:$I$32,3,FALSE)),1,0)</f>
        <v>0</v>
      </c>
      <c r="U107" s="2">
        <f>IF(AND(feasible_mat!T14, VLOOKUP(Recharged_Feasible_matv3!$A107,test!$A$34:$G$37, 3,FALSE)=VLOOKUP(U$1,test!$A$3:$I$32,3,FALSE)),1,0)</f>
        <v>0</v>
      </c>
      <c r="V107" s="2">
        <f>IF(AND(feasible_mat!U14, VLOOKUP(Recharged_Feasible_matv3!$A107,test!$A$34:$G$37, 3,FALSE)=VLOOKUP(V$1,test!$A$3:$I$32,3,FALSE)),1,0)</f>
        <v>0</v>
      </c>
      <c r="W107" s="2">
        <f>IF(AND(feasible_mat!V14, VLOOKUP(Recharged_Feasible_matv3!$A107,test!$A$34:$G$37, 3,FALSE)=VLOOKUP(W$1,test!$A$3:$I$32,3,FALSE)),1,0)</f>
        <v>0</v>
      </c>
      <c r="X107" s="2">
        <f>IF(AND(feasible_mat!W14, VLOOKUP(Recharged_Feasible_matv3!$A107,test!$A$34:$G$37, 3,FALSE)=VLOOKUP(X$1,test!$A$3:$I$32,3,FALSE)),1,0)</f>
        <v>0</v>
      </c>
      <c r="Y107" s="2">
        <f>IF(AND(feasible_mat!X14, VLOOKUP(Recharged_Feasible_matv3!$A107,test!$A$34:$G$37, 3,FALSE)=VLOOKUP(Y$1,test!$A$3:$I$32,3,FALSE)),1,0)</f>
        <v>0</v>
      </c>
      <c r="Z107" s="2">
        <f>IF(AND(feasible_mat!Y14, VLOOKUP(Recharged_Feasible_matv3!$A107,test!$A$34:$G$37, 3,FALSE)=VLOOKUP(Z$1,test!$A$3:$I$32,3,FALSE)),1,0)</f>
        <v>0</v>
      </c>
      <c r="AA107" s="2">
        <f>IF(AND(feasible_mat!Z14, VLOOKUP(Recharged_Feasible_matv3!$A107,test!$A$34:$G$37, 3,FALSE)=VLOOKUP(AA$1,test!$A$3:$I$32,3,FALSE)),1,0)</f>
        <v>0</v>
      </c>
      <c r="AB107" s="2">
        <f>IF(AND(feasible_mat!AA14, VLOOKUP(Recharged_Feasible_matv3!$A107,test!$A$34:$G$37, 3,FALSE)=VLOOKUP(AB$1,test!$A$3:$I$32,3,FALSE)),1,0)</f>
        <v>0</v>
      </c>
      <c r="AC107" s="2">
        <f>IF(AND(feasible_mat!AB14, VLOOKUP(Recharged_Feasible_matv3!$A107,test!$A$34:$G$37, 3,FALSE)=VLOOKUP(AC$1,test!$A$3:$I$32,3,FALSE)),1,0)</f>
        <v>0</v>
      </c>
      <c r="AD107" s="2">
        <f>IF(AND(feasible_mat!AC14, VLOOKUP(Recharged_Feasible_matv3!$A107,test!$A$34:$G$37, 3,FALSE)=VLOOKUP(AD$1,test!$A$3:$I$32,3,FALSE)),1,0)</f>
        <v>0</v>
      </c>
      <c r="AE107" s="2">
        <f>IF(AND(feasible_mat!AD14, VLOOKUP(Recharged_Feasible_matv3!$A107,test!$A$34:$G$37, 3,FALSE)=VLOOKUP(AE$1,test!$A$3:$I$32,3,FALSE)),1,0)</f>
        <v>0</v>
      </c>
      <c r="AF107" s="2">
        <f>IF(AND(feasible_mat!AE14, VLOOKUP(Recharged_Feasible_matv3!$A107,test!$A$34:$G$37, 3,FALSE)=VLOOKUP(AF$1,test!$A$3:$I$32,3,FALSE)),1,0)</f>
        <v>0</v>
      </c>
      <c r="AG107" s="2">
        <f>IF(AND(feasible_mat!AF14, VLOOKUP(Recharged_Feasible_matv3!$A107,test!$A$34:$G$37, 3,FALSE)=VLOOKUP(AG$1,test!$A$3:$I$32,3,FALSE)),1,0)</f>
        <v>0</v>
      </c>
    </row>
    <row r="108" spans="1:33" x14ac:dyDescent="0.25">
      <c r="A108" t="s">
        <v>98</v>
      </c>
      <c r="B108" t="s">
        <v>23</v>
      </c>
      <c r="C108">
        <v>0</v>
      </c>
      <c r="D108" s="2">
        <f>IF(AND(feasible_mat!C15, VLOOKUP(Recharged_Feasible_matv3!$A108,test!$A$34:$G$37, 3,FALSE)=VLOOKUP(D$1,test!$A$3:$I$32,3,FALSE)),1,0)</f>
        <v>0</v>
      </c>
      <c r="E108" s="2">
        <f>IF(AND(feasible_mat!D15, VLOOKUP(Recharged_Feasible_matv3!$A108,test!$A$34:$G$37, 3,FALSE)=VLOOKUP(E$1,test!$A$3:$I$32,3,FALSE)),1,0)</f>
        <v>0</v>
      </c>
      <c r="F108" s="2">
        <f>IF(AND(feasible_mat!E15, VLOOKUP(Recharged_Feasible_matv3!$A108,test!$A$34:$G$37, 3,FALSE)=VLOOKUP(F$1,test!$A$3:$I$32,3,FALSE)),1,0)</f>
        <v>0</v>
      </c>
      <c r="G108" s="2">
        <f>IF(AND(feasible_mat!F15, VLOOKUP(Recharged_Feasible_matv3!$A108,test!$A$34:$G$37, 3,FALSE)=VLOOKUP(G$1,test!$A$3:$I$32,3,FALSE)),1,0)</f>
        <v>0</v>
      </c>
      <c r="H108" s="2">
        <f>IF(AND(feasible_mat!G15, VLOOKUP(Recharged_Feasible_matv3!$A108,test!$A$34:$G$37, 3,FALSE)=VLOOKUP(H$1,test!$A$3:$I$32,3,FALSE)),1,0)</f>
        <v>0</v>
      </c>
      <c r="I108" s="2">
        <f>IF(AND(feasible_mat!H15, VLOOKUP(Recharged_Feasible_matv3!$A108,test!$A$34:$G$37, 3,FALSE)=VLOOKUP(I$1,test!$A$3:$I$32,3,FALSE)),1,0)</f>
        <v>0</v>
      </c>
      <c r="J108" s="2">
        <f>IF(AND(feasible_mat!I15, VLOOKUP(Recharged_Feasible_matv3!$A108,test!$A$34:$G$37, 3,FALSE)=VLOOKUP(J$1,test!$A$3:$I$32,3,FALSE)),1,0)</f>
        <v>0</v>
      </c>
      <c r="K108" s="2">
        <f>IF(AND(feasible_mat!J15, VLOOKUP(Recharged_Feasible_matv3!$A108,test!$A$34:$G$37, 3,FALSE)=VLOOKUP(K$1,test!$A$3:$I$32,3,FALSE)),1,0)</f>
        <v>0</v>
      </c>
      <c r="L108" s="2">
        <f>IF(AND(feasible_mat!K15, VLOOKUP(Recharged_Feasible_matv3!$A108,test!$A$34:$G$37, 3,FALSE)=VLOOKUP(L$1,test!$A$3:$I$32,3,FALSE)),1,0)</f>
        <v>0</v>
      </c>
      <c r="M108" s="2">
        <f>IF(AND(feasible_mat!L15, VLOOKUP(Recharged_Feasible_matv3!$A108,test!$A$34:$G$37, 3,FALSE)=VLOOKUP(M$1,test!$A$3:$I$32,3,FALSE)),1,0)</f>
        <v>0</v>
      </c>
      <c r="N108" s="2">
        <f>IF(AND(feasible_mat!M15, VLOOKUP(Recharged_Feasible_matv3!$A108,test!$A$34:$G$37, 3,FALSE)=VLOOKUP(N$1,test!$A$3:$I$32,3,FALSE)),1,0)</f>
        <v>0</v>
      </c>
      <c r="O108" s="2">
        <f>IF(AND(feasible_mat!N15, VLOOKUP(Recharged_Feasible_matv3!$A108,test!$A$34:$G$37, 3,FALSE)=VLOOKUP(O$1,test!$A$3:$I$32,3,FALSE)),1,0)</f>
        <v>0</v>
      </c>
      <c r="P108" s="2">
        <f>IF(AND(feasible_mat!O15, VLOOKUP(Recharged_Feasible_matv3!$A108,test!$A$34:$G$37, 3,FALSE)=VLOOKUP(P$1,test!$A$3:$I$32,3,FALSE)),1,0)</f>
        <v>0</v>
      </c>
      <c r="Q108" s="2">
        <f>IF(AND(feasible_mat!P15, VLOOKUP(Recharged_Feasible_matv3!$A108,test!$A$34:$G$37, 3,FALSE)=VLOOKUP(Q$1,test!$A$3:$I$32,3,FALSE)),1,0)</f>
        <v>0</v>
      </c>
      <c r="R108" s="2">
        <f>IF(AND(feasible_mat!Q15, VLOOKUP(Recharged_Feasible_matv3!$A108,test!$A$34:$G$37, 3,FALSE)=VLOOKUP(R$1,test!$A$3:$I$32,3,FALSE)),1,0)</f>
        <v>0</v>
      </c>
      <c r="S108" s="2">
        <f>IF(AND(feasible_mat!R15, VLOOKUP(Recharged_Feasible_matv3!$A108,test!$A$34:$G$37, 3,FALSE)=VLOOKUP(S$1,test!$A$3:$I$32,3,FALSE)),1,0)</f>
        <v>0</v>
      </c>
      <c r="T108" s="2">
        <f>IF(AND(feasible_mat!S15, VLOOKUP(Recharged_Feasible_matv3!$A108,test!$A$34:$G$37, 3,FALSE)=VLOOKUP(T$1,test!$A$3:$I$32,3,FALSE)),1,0)</f>
        <v>0</v>
      </c>
      <c r="U108" s="2">
        <f>IF(AND(feasible_mat!T15, VLOOKUP(Recharged_Feasible_matv3!$A108,test!$A$34:$G$37, 3,FALSE)=VLOOKUP(U$1,test!$A$3:$I$32,3,FALSE)),1,0)</f>
        <v>0</v>
      </c>
      <c r="V108" s="2">
        <f>IF(AND(feasible_mat!U15, VLOOKUP(Recharged_Feasible_matv3!$A108,test!$A$34:$G$37, 3,FALSE)=VLOOKUP(V$1,test!$A$3:$I$32,3,FALSE)),1,0)</f>
        <v>0</v>
      </c>
      <c r="W108" s="2">
        <f>IF(AND(feasible_mat!V15, VLOOKUP(Recharged_Feasible_matv3!$A108,test!$A$34:$G$37, 3,FALSE)=VLOOKUP(W$1,test!$A$3:$I$32,3,FALSE)),1,0)</f>
        <v>0</v>
      </c>
      <c r="X108" s="2">
        <f>IF(AND(feasible_mat!W15, VLOOKUP(Recharged_Feasible_matv3!$A108,test!$A$34:$G$37, 3,FALSE)=VLOOKUP(X$1,test!$A$3:$I$32,3,FALSE)),1,0)</f>
        <v>0</v>
      </c>
      <c r="Y108" s="2">
        <f>IF(AND(feasible_mat!X15, VLOOKUP(Recharged_Feasible_matv3!$A108,test!$A$34:$G$37, 3,FALSE)=VLOOKUP(Y$1,test!$A$3:$I$32,3,FALSE)),1,0)</f>
        <v>0</v>
      </c>
      <c r="Z108" s="2">
        <f>IF(AND(feasible_mat!Y15, VLOOKUP(Recharged_Feasible_matv3!$A108,test!$A$34:$G$37, 3,FALSE)=VLOOKUP(Z$1,test!$A$3:$I$32,3,FALSE)),1,0)</f>
        <v>0</v>
      </c>
      <c r="AA108" s="2">
        <f>IF(AND(feasible_mat!Z15, VLOOKUP(Recharged_Feasible_matv3!$A108,test!$A$34:$G$37, 3,FALSE)=VLOOKUP(AA$1,test!$A$3:$I$32,3,FALSE)),1,0)</f>
        <v>0</v>
      </c>
      <c r="AB108" s="2">
        <f>IF(AND(feasible_mat!AA15, VLOOKUP(Recharged_Feasible_matv3!$A108,test!$A$34:$G$37, 3,FALSE)=VLOOKUP(AB$1,test!$A$3:$I$32,3,FALSE)),1,0)</f>
        <v>0</v>
      </c>
      <c r="AC108" s="2">
        <f>IF(AND(feasible_mat!AB15, VLOOKUP(Recharged_Feasible_matv3!$A108,test!$A$34:$G$37, 3,FALSE)=VLOOKUP(AC$1,test!$A$3:$I$32,3,FALSE)),1,0)</f>
        <v>0</v>
      </c>
      <c r="AD108" s="2">
        <f>IF(AND(feasible_mat!AC15, VLOOKUP(Recharged_Feasible_matv3!$A108,test!$A$34:$G$37, 3,FALSE)=VLOOKUP(AD$1,test!$A$3:$I$32,3,FALSE)),1,0)</f>
        <v>0</v>
      </c>
      <c r="AE108" s="2">
        <f>IF(AND(feasible_mat!AD15, VLOOKUP(Recharged_Feasible_matv3!$A108,test!$A$34:$G$37, 3,FALSE)=VLOOKUP(AE$1,test!$A$3:$I$32,3,FALSE)),1,0)</f>
        <v>0</v>
      </c>
      <c r="AF108" s="2">
        <f>IF(AND(feasible_mat!AE15, VLOOKUP(Recharged_Feasible_matv3!$A108,test!$A$34:$G$37, 3,FALSE)=VLOOKUP(AF$1,test!$A$3:$I$32,3,FALSE)),1,0)</f>
        <v>0</v>
      </c>
      <c r="AG108" s="2">
        <f>IF(AND(feasible_mat!AF15, VLOOKUP(Recharged_Feasible_matv3!$A108,test!$A$34:$G$37, 3,FALSE)=VLOOKUP(AG$1,test!$A$3:$I$32,3,FALSE)),1,0)</f>
        <v>0</v>
      </c>
    </row>
    <row r="109" spans="1:33" x14ac:dyDescent="0.25">
      <c r="A109" t="s">
        <v>98</v>
      </c>
      <c r="B109" t="s">
        <v>24</v>
      </c>
      <c r="C109">
        <v>0</v>
      </c>
      <c r="D109" s="2">
        <f>IF(AND(feasible_mat!C16, VLOOKUP(Recharged_Feasible_matv3!$A109,test!$A$34:$G$37, 3,FALSE)=VLOOKUP(D$1,test!$A$3:$I$32,3,FALSE)),1,0)</f>
        <v>0</v>
      </c>
      <c r="E109" s="2">
        <f>IF(AND(feasible_mat!D16, VLOOKUP(Recharged_Feasible_matv3!$A109,test!$A$34:$G$37, 3,FALSE)=VLOOKUP(E$1,test!$A$3:$I$32,3,FALSE)),1,0)</f>
        <v>0</v>
      </c>
      <c r="F109" s="2">
        <f>IF(AND(feasible_mat!E16, VLOOKUP(Recharged_Feasible_matv3!$A109,test!$A$34:$G$37, 3,FALSE)=VLOOKUP(F$1,test!$A$3:$I$32,3,FALSE)),1,0)</f>
        <v>0</v>
      </c>
      <c r="G109" s="2">
        <f>IF(AND(feasible_mat!F16, VLOOKUP(Recharged_Feasible_matv3!$A109,test!$A$34:$G$37, 3,FALSE)=VLOOKUP(G$1,test!$A$3:$I$32,3,FALSE)),1,0)</f>
        <v>0</v>
      </c>
      <c r="H109" s="2">
        <f>IF(AND(feasible_mat!G16, VLOOKUP(Recharged_Feasible_matv3!$A109,test!$A$34:$G$37, 3,FALSE)=VLOOKUP(H$1,test!$A$3:$I$32,3,FALSE)),1,0)</f>
        <v>0</v>
      </c>
      <c r="I109" s="2">
        <f>IF(AND(feasible_mat!H16, VLOOKUP(Recharged_Feasible_matv3!$A109,test!$A$34:$G$37, 3,FALSE)=VLOOKUP(I$1,test!$A$3:$I$32,3,FALSE)),1,0)</f>
        <v>0</v>
      </c>
      <c r="J109" s="2">
        <f>IF(AND(feasible_mat!I16, VLOOKUP(Recharged_Feasible_matv3!$A109,test!$A$34:$G$37, 3,FALSE)=VLOOKUP(J$1,test!$A$3:$I$32,3,FALSE)),1,0)</f>
        <v>0</v>
      </c>
      <c r="K109" s="2">
        <f>IF(AND(feasible_mat!J16, VLOOKUP(Recharged_Feasible_matv3!$A109,test!$A$34:$G$37, 3,FALSE)=VLOOKUP(K$1,test!$A$3:$I$32,3,FALSE)),1,0)</f>
        <v>0</v>
      </c>
      <c r="L109" s="2">
        <f>IF(AND(feasible_mat!K16, VLOOKUP(Recharged_Feasible_matv3!$A109,test!$A$34:$G$37, 3,FALSE)=VLOOKUP(L$1,test!$A$3:$I$32,3,FALSE)),1,0)</f>
        <v>0</v>
      </c>
      <c r="M109" s="2">
        <f>IF(AND(feasible_mat!L16, VLOOKUP(Recharged_Feasible_matv3!$A109,test!$A$34:$G$37, 3,FALSE)=VLOOKUP(M$1,test!$A$3:$I$32,3,FALSE)),1,0)</f>
        <v>0</v>
      </c>
      <c r="N109" s="2">
        <f>IF(AND(feasible_mat!M16, VLOOKUP(Recharged_Feasible_matv3!$A109,test!$A$34:$G$37, 3,FALSE)=VLOOKUP(N$1,test!$A$3:$I$32,3,FALSE)),1,0)</f>
        <v>0</v>
      </c>
      <c r="O109" s="2">
        <f>IF(AND(feasible_mat!N16, VLOOKUP(Recharged_Feasible_matv3!$A109,test!$A$34:$G$37, 3,FALSE)=VLOOKUP(O$1,test!$A$3:$I$32,3,FALSE)),1,0)</f>
        <v>0</v>
      </c>
      <c r="P109" s="2">
        <f>IF(AND(feasible_mat!O16, VLOOKUP(Recharged_Feasible_matv3!$A109,test!$A$34:$G$37, 3,FALSE)=VLOOKUP(P$1,test!$A$3:$I$32,3,FALSE)),1,0)</f>
        <v>0</v>
      </c>
      <c r="Q109" s="2">
        <f>IF(AND(feasible_mat!P16, VLOOKUP(Recharged_Feasible_matv3!$A109,test!$A$34:$G$37, 3,FALSE)=VLOOKUP(Q$1,test!$A$3:$I$32,3,FALSE)),1,0)</f>
        <v>0</v>
      </c>
      <c r="R109" s="2">
        <f>IF(AND(feasible_mat!Q16, VLOOKUP(Recharged_Feasible_matv3!$A109,test!$A$34:$G$37, 3,FALSE)=VLOOKUP(R$1,test!$A$3:$I$32,3,FALSE)),1,0)</f>
        <v>0</v>
      </c>
      <c r="S109" s="2">
        <f>IF(AND(feasible_mat!R16, VLOOKUP(Recharged_Feasible_matv3!$A109,test!$A$34:$G$37, 3,FALSE)=VLOOKUP(S$1,test!$A$3:$I$32,3,FALSE)),1,0)</f>
        <v>0</v>
      </c>
      <c r="T109" s="2">
        <f>IF(AND(feasible_mat!S16, VLOOKUP(Recharged_Feasible_matv3!$A109,test!$A$34:$G$37, 3,FALSE)=VLOOKUP(T$1,test!$A$3:$I$32,3,FALSE)),1,0)</f>
        <v>0</v>
      </c>
      <c r="U109" s="2">
        <f>IF(AND(feasible_mat!T16, VLOOKUP(Recharged_Feasible_matv3!$A109,test!$A$34:$G$37, 3,FALSE)=VLOOKUP(U$1,test!$A$3:$I$32,3,FALSE)),1,0)</f>
        <v>0</v>
      </c>
      <c r="V109" s="2">
        <f>IF(AND(feasible_mat!U16, VLOOKUP(Recharged_Feasible_matv3!$A109,test!$A$34:$G$37, 3,FALSE)=VLOOKUP(V$1,test!$A$3:$I$32,3,FALSE)),1,0)</f>
        <v>0</v>
      </c>
      <c r="W109" s="2">
        <f>IF(AND(feasible_mat!V16, VLOOKUP(Recharged_Feasible_matv3!$A109,test!$A$34:$G$37, 3,FALSE)=VLOOKUP(W$1,test!$A$3:$I$32,3,FALSE)),1,0)</f>
        <v>0</v>
      </c>
      <c r="X109" s="2">
        <f>IF(AND(feasible_mat!W16, VLOOKUP(Recharged_Feasible_matv3!$A109,test!$A$34:$G$37, 3,FALSE)=VLOOKUP(X$1,test!$A$3:$I$32,3,FALSE)),1,0)</f>
        <v>0</v>
      </c>
      <c r="Y109" s="2">
        <f>IF(AND(feasible_mat!X16, VLOOKUP(Recharged_Feasible_matv3!$A109,test!$A$34:$G$37, 3,FALSE)=VLOOKUP(Y$1,test!$A$3:$I$32,3,FALSE)),1,0)</f>
        <v>0</v>
      </c>
      <c r="Z109" s="2">
        <f>IF(AND(feasible_mat!Y16, VLOOKUP(Recharged_Feasible_matv3!$A109,test!$A$34:$G$37, 3,FALSE)=VLOOKUP(Z$1,test!$A$3:$I$32,3,FALSE)),1,0)</f>
        <v>0</v>
      </c>
      <c r="AA109" s="2">
        <f>IF(AND(feasible_mat!Z16, VLOOKUP(Recharged_Feasible_matv3!$A109,test!$A$34:$G$37, 3,FALSE)=VLOOKUP(AA$1,test!$A$3:$I$32,3,FALSE)),1,0)</f>
        <v>0</v>
      </c>
      <c r="AB109" s="2">
        <f>IF(AND(feasible_mat!AA16, VLOOKUP(Recharged_Feasible_matv3!$A109,test!$A$34:$G$37, 3,FALSE)=VLOOKUP(AB$1,test!$A$3:$I$32,3,FALSE)),1,0)</f>
        <v>1</v>
      </c>
      <c r="AC109" s="2">
        <f>IF(AND(feasible_mat!AB16, VLOOKUP(Recharged_Feasible_matv3!$A109,test!$A$34:$G$37, 3,FALSE)=VLOOKUP(AC$1,test!$A$3:$I$32,3,FALSE)),1,0)</f>
        <v>1</v>
      </c>
      <c r="AD109" s="2">
        <f>IF(AND(feasible_mat!AC16, VLOOKUP(Recharged_Feasible_matv3!$A109,test!$A$34:$G$37, 3,FALSE)=VLOOKUP(AD$1,test!$A$3:$I$32,3,FALSE)),1,0)</f>
        <v>1</v>
      </c>
      <c r="AE109" s="2">
        <f>IF(AND(feasible_mat!AD16, VLOOKUP(Recharged_Feasible_matv3!$A109,test!$A$34:$G$37, 3,FALSE)=VLOOKUP(AE$1,test!$A$3:$I$32,3,FALSE)),1,0)</f>
        <v>0</v>
      </c>
      <c r="AF109" s="2">
        <f>IF(AND(feasible_mat!AE16, VLOOKUP(Recharged_Feasible_matv3!$A109,test!$A$34:$G$37, 3,FALSE)=VLOOKUP(AF$1,test!$A$3:$I$32,3,FALSE)),1,0)</f>
        <v>0</v>
      </c>
      <c r="AG109" s="2">
        <f>IF(AND(feasible_mat!AF16, VLOOKUP(Recharged_Feasible_matv3!$A109,test!$A$34:$G$37, 3,FALSE)=VLOOKUP(AG$1,test!$A$3:$I$32,3,FALSE)),1,0)</f>
        <v>0</v>
      </c>
    </row>
    <row r="110" spans="1:33" x14ac:dyDescent="0.25">
      <c r="A110" t="s">
        <v>98</v>
      </c>
      <c r="B110" t="s">
        <v>26</v>
      </c>
      <c r="C110">
        <v>0</v>
      </c>
      <c r="D110" s="2">
        <f>IF(AND(feasible_mat!C17, VLOOKUP(Recharged_Feasible_matv3!$A110,test!$A$34:$G$37, 3,FALSE)=VLOOKUP(D$1,test!$A$3:$I$32,3,FALSE)),1,0)</f>
        <v>0</v>
      </c>
      <c r="E110" s="2">
        <f>IF(AND(feasible_mat!D17, VLOOKUP(Recharged_Feasible_matv3!$A110,test!$A$34:$G$37, 3,FALSE)=VLOOKUP(E$1,test!$A$3:$I$32,3,FALSE)),1,0)</f>
        <v>0</v>
      </c>
      <c r="F110" s="2">
        <f>IF(AND(feasible_mat!E17, VLOOKUP(Recharged_Feasible_matv3!$A110,test!$A$34:$G$37, 3,FALSE)=VLOOKUP(F$1,test!$A$3:$I$32,3,FALSE)),1,0)</f>
        <v>0</v>
      </c>
      <c r="G110" s="2">
        <f>IF(AND(feasible_mat!F17, VLOOKUP(Recharged_Feasible_matv3!$A110,test!$A$34:$G$37, 3,FALSE)=VLOOKUP(G$1,test!$A$3:$I$32,3,FALSE)),1,0)</f>
        <v>0</v>
      </c>
      <c r="H110" s="2">
        <f>IF(AND(feasible_mat!G17, VLOOKUP(Recharged_Feasible_matv3!$A110,test!$A$34:$G$37, 3,FALSE)=VLOOKUP(H$1,test!$A$3:$I$32,3,FALSE)),1,0)</f>
        <v>0</v>
      </c>
      <c r="I110" s="2">
        <f>IF(AND(feasible_mat!H17, VLOOKUP(Recharged_Feasible_matv3!$A110,test!$A$34:$G$37, 3,FALSE)=VLOOKUP(I$1,test!$A$3:$I$32,3,FALSE)),1,0)</f>
        <v>0</v>
      </c>
      <c r="J110" s="2">
        <f>IF(AND(feasible_mat!I17, VLOOKUP(Recharged_Feasible_matv3!$A110,test!$A$34:$G$37, 3,FALSE)=VLOOKUP(J$1,test!$A$3:$I$32,3,FALSE)),1,0)</f>
        <v>0</v>
      </c>
      <c r="K110" s="2">
        <f>IF(AND(feasible_mat!J17, VLOOKUP(Recharged_Feasible_matv3!$A110,test!$A$34:$G$37, 3,FALSE)=VLOOKUP(K$1,test!$A$3:$I$32,3,FALSE)),1,0)</f>
        <v>0</v>
      </c>
      <c r="L110" s="2">
        <f>IF(AND(feasible_mat!K17, VLOOKUP(Recharged_Feasible_matv3!$A110,test!$A$34:$G$37, 3,FALSE)=VLOOKUP(L$1,test!$A$3:$I$32,3,FALSE)),1,0)</f>
        <v>0</v>
      </c>
      <c r="M110" s="2">
        <f>IF(AND(feasible_mat!L17, VLOOKUP(Recharged_Feasible_matv3!$A110,test!$A$34:$G$37, 3,FALSE)=VLOOKUP(M$1,test!$A$3:$I$32,3,FALSE)),1,0)</f>
        <v>0</v>
      </c>
      <c r="N110" s="2">
        <f>IF(AND(feasible_mat!M17, VLOOKUP(Recharged_Feasible_matv3!$A110,test!$A$34:$G$37, 3,FALSE)=VLOOKUP(N$1,test!$A$3:$I$32,3,FALSE)),1,0)</f>
        <v>0</v>
      </c>
      <c r="O110" s="2">
        <f>IF(AND(feasible_mat!N17, VLOOKUP(Recharged_Feasible_matv3!$A110,test!$A$34:$G$37, 3,FALSE)=VLOOKUP(O$1,test!$A$3:$I$32,3,FALSE)),1,0)</f>
        <v>0</v>
      </c>
      <c r="P110" s="2">
        <f>IF(AND(feasible_mat!O17, VLOOKUP(Recharged_Feasible_matv3!$A110,test!$A$34:$G$37, 3,FALSE)=VLOOKUP(P$1,test!$A$3:$I$32,3,FALSE)),1,0)</f>
        <v>0</v>
      </c>
      <c r="Q110" s="2">
        <f>IF(AND(feasible_mat!P17, VLOOKUP(Recharged_Feasible_matv3!$A110,test!$A$34:$G$37, 3,FALSE)=VLOOKUP(Q$1,test!$A$3:$I$32,3,FALSE)),1,0)</f>
        <v>0</v>
      </c>
      <c r="R110" s="2">
        <f>IF(AND(feasible_mat!Q17, VLOOKUP(Recharged_Feasible_matv3!$A110,test!$A$34:$G$37, 3,FALSE)=VLOOKUP(R$1,test!$A$3:$I$32,3,FALSE)),1,0)</f>
        <v>0</v>
      </c>
      <c r="S110" s="2">
        <f>IF(AND(feasible_mat!R17, VLOOKUP(Recharged_Feasible_matv3!$A110,test!$A$34:$G$37, 3,FALSE)=VLOOKUP(S$1,test!$A$3:$I$32,3,FALSE)),1,0)</f>
        <v>0</v>
      </c>
      <c r="T110" s="2">
        <f>IF(AND(feasible_mat!S17, VLOOKUP(Recharged_Feasible_matv3!$A110,test!$A$34:$G$37, 3,FALSE)=VLOOKUP(T$1,test!$A$3:$I$32,3,FALSE)),1,0)</f>
        <v>0</v>
      </c>
      <c r="U110" s="2">
        <f>IF(AND(feasible_mat!T17, VLOOKUP(Recharged_Feasible_matv3!$A110,test!$A$34:$G$37, 3,FALSE)=VLOOKUP(U$1,test!$A$3:$I$32,3,FALSE)),1,0)</f>
        <v>0</v>
      </c>
      <c r="V110" s="2">
        <f>IF(AND(feasible_mat!U17, VLOOKUP(Recharged_Feasible_matv3!$A110,test!$A$34:$G$37, 3,FALSE)=VLOOKUP(V$1,test!$A$3:$I$32,3,FALSE)),1,0)</f>
        <v>0</v>
      </c>
      <c r="W110" s="2">
        <f>IF(AND(feasible_mat!V17, VLOOKUP(Recharged_Feasible_matv3!$A110,test!$A$34:$G$37, 3,FALSE)=VLOOKUP(W$1,test!$A$3:$I$32,3,FALSE)),1,0)</f>
        <v>0</v>
      </c>
      <c r="X110" s="2">
        <f>IF(AND(feasible_mat!W17, VLOOKUP(Recharged_Feasible_matv3!$A110,test!$A$34:$G$37, 3,FALSE)=VLOOKUP(X$1,test!$A$3:$I$32,3,FALSE)),1,0)</f>
        <v>0</v>
      </c>
      <c r="Y110" s="2">
        <f>IF(AND(feasible_mat!X17, VLOOKUP(Recharged_Feasible_matv3!$A110,test!$A$34:$G$37, 3,FALSE)=VLOOKUP(Y$1,test!$A$3:$I$32,3,FALSE)),1,0)</f>
        <v>0</v>
      </c>
      <c r="Z110" s="2">
        <f>IF(AND(feasible_mat!Y17, VLOOKUP(Recharged_Feasible_matv3!$A110,test!$A$34:$G$37, 3,FALSE)=VLOOKUP(Z$1,test!$A$3:$I$32,3,FALSE)),1,0)</f>
        <v>0</v>
      </c>
      <c r="AA110" s="2">
        <f>IF(AND(feasible_mat!Z17, VLOOKUP(Recharged_Feasible_matv3!$A110,test!$A$34:$G$37, 3,FALSE)=VLOOKUP(AA$1,test!$A$3:$I$32,3,FALSE)),1,0)</f>
        <v>1</v>
      </c>
      <c r="AB110" s="2">
        <f>IF(AND(feasible_mat!AA17, VLOOKUP(Recharged_Feasible_matv3!$A110,test!$A$34:$G$37, 3,FALSE)=VLOOKUP(AB$1,test!$A$3:$I$32,3,FALSE)),1,0)</f>
        <v>1</v>
      </c>
      <c r="AC110" s="2">
        <f>IF(AND(feasible_mat!AB17, VLOOKUP(Recharged_Feasible_matv3!$A110,test!$A$34:$G$37, 3,FALSE)=VLOOKUP(AC$1,test!$A$3:$I$32,3,FALSE)),1,0)</f>
        <v>1</v>
      </c>
      <c r="AD110" s="2">
        <f>IF(AND(feasible_mat!AC17, VLOOKUP(Recharged_Feasible_matv3!$A110,test!$A$34:$G$37, 3,FALSE)=VLOOKUP(AD$1,test!$A$3:$I$32,3,FALSE)),1,0)</f>
        <v>1</v>
      </c>
      <c r="AE110" s="2">
        <f>IF(AND(feasible_mat!AD17, VLOOKUP(Recharged_Feasible_matv3!$A110,test!$A$34:$G$37, 3,FALSE)=VLOOKUP(AE$1,test!$A$3:$I$32,3,FALSE)),1,0)</f>
        <v>0</v>
      </c>
      <c r="AF110" s="2">
        <f>IF(AND(feasible_mat!AE17, VLOOKUP(Recharged_Feasible_matv3!$A110,test!$A$34:$G$37, 3,FALSE)=VLOOKUP(AF$1,test!$A$3:$I$32,3,FALSE)),1,0)</f>
        <v>0</v>
      </c>
      <c r="AG110" s="2">
        <f>IF(AND(feasible_mat!AF17, VLOOKUP(Recharged_Feasible_matv3!$A110,test!$A$34:$G$37, 3,FALSE)=VLOOKUP(AG$1,test!$A$3:$I$32,3,FALSE)),1,0)</f>
        <v>0</v>
      </c>
    </row>
    <row r="111" spans="1:33" x14ac:dyDescent="0.25">
      <c r="A111" t="s">
        <v>98</v>
      </c>
      <c r="B111" t="s">
        <v>27</v>
      </c>
      <c r="C111">
        <v>0</v>
      </c>
      <c r="D111" s="2">
        <f>IF(AND(feasible_mat!C18, VLOOKUP(Recharged_Feasible_matv3!$A111,test!$A$34:$G$37, 3,FALSE)=VLOOKUP(D$1,test!$A$3:$I$32,3,FALSE)),1,0)</f>
        <v>0</v>
      </c>
      <c r="E111" s="2">
        <f>IF(AND(feasible_mat!D18, VLOOKUP(Recharged_Feasible_matv3!$A111,test!$A$34:$G$37, 3,FALSE)=VLOOKUP(E$1,test!$A$3:$I$32,3,FALSE)),1,0)</f>
        <v>0</v>
      </c>
      <c r="F111" s="2">
        <f>IF(AND(feasible_mat!E18, VLOOKUP(Recharged_Feasible_matv3!$A111,test!$A$34:$G$37, 3,FALSE)=VLOOKUP(F$1,test!$A$3:$I$32,3,FALSE)),1,0)</f>
        <v>0</v>
      </c>
      <c r="G111" s="2">
        <f>IF(AND(feasible_mat!F18, VLOOKUP(Recharged_Feasible_matv3!$A111,test!$A$34:$G$37, 3,FALSE)=VLOOKUP(G$1,test!$A$3:$I$32,3,FALSE)),1,0)</f>
        <v>0</v>
      </c>
      <c r="H111" s="2">
        <f>IF(AND(feasible_mat!G18, VLOOKUP(Recharged_Feasible_matv3!$A111,test!$A$34:$G$37, 3,FALSE)=VLOOKUP(H$1,test!$A$3:$I$32,3,FALSE)),1,0)</f>
        <v>0</v>
      </c>
      <c r="I111" s="2">
        <f>IF(AND(feasible_mat!H18, VLOOKUP(Recharged_Feasible_matv3!$A111,test!$A$34:$G$37, 3,FALSE)=VLOOKUP(I$1,test!$A$3:$I$32,3,FALSE)),1,0)</f>
        <v>0</v>
      </c>
      <c r="J111" s="2">
        <f>IF(AND(feasible_mat!I18, VLOOKUP(Recharged_Feasible_matv3!$A111,test!$A$34:$G$37, 3,FALSE)=VLOOKUP(J$1,test!$A$3:$I$32,3,FALSE)),1,0)</f>
        <v>0</v>
      </c>
      <c r="K111" s="2">
        <f>IF(AND(feasible_mat!J18, VLOOKUP(Recharged_Feasible_matv3!$A111,test!$A$34:$G$37, 3,FALSE)=VLOOKUP(K$1,test!$A$3:$I$32,3,FALSE)),1,0)</f>
        <v>0</v>
      </c>
      <c r="L111" s="2">
        <f>IF(AND(feasible_mat!K18, VLOOKUP(Recharged_Feasible_matv3!$A111,test!$A$34:$G$37, 3,FALSE)=VLOOKUP(L$1,test!$A$3:$I$32,3,FALSE)),1,0)</f>
        <v>0</v>
      </c>
      <c r="M111" s="2">
        <f>IF(AND(feasible_mat!L18, VLOOKUP(Recharged_Feasible_matv3!$A111,test!$A$34:$G$37, 3,FALSE)=VLOOKUP(M$1,test!$A$3:$I$32,3,FALSE)),1,0)</f>
        <v>0</v>
      </c>
      <c r="N111" s="2">
        <f>IF(AND(feasible_mat!M18, VLOOKUP(Recharged_Feasible_matv3!$A111,test!$A$34:$G$37, 3,FALSE)=VLOOKUP(N$1,test!$A$3:$I$32,3,FALSE)),1,0)</f>
        <v>0</v>
      </c>
      <c r="O111" s="2">
        <f>IF(AND(feasible_mat!N18, VLOOKUP(Recharged_Feasible_matv3!$A111,test!$A$34:$G$37, 3,FALSE)=VLOOKUP(O$1,test!$A$3:$I$32,3,FALSE)),1,0)</f>
        <v>0</v>
      </c>
      <c r="P111" s="2">
        <f>IF(AND(feasible_mat!O18, VLOOKUP(Recharged_Feasible_matv3!$A111,test!$A$34:$G$37, 3,FALSE)=VLOOKUP(P$1,test!$A$3:$I$32,3,FALSE)),1,0)</f>
        <v>0</v>
      </c>
      <c r="Q111" s="2">
        <f>IF(AND(feasible_mat!P18, VLOOKUP(Recharged_Feasible_matv3!$A111,test!$A$34:$G$37, 3,FALSE)=VLOOKUP(Q$1,test!$A$3:$I$32,3,FALSE)),1,0)</f>
        <v>0</v>
      </c>
      <c r="R111" s="2">
        <f>IF(AND(feasible_mat!Q18, VLOOKUP(Recharged_Feasible_matv3!$A111,test!$A$34:$G$37, 3,FALSE)=VLOOKUP(R$1,test!$A$3:$I$32,3,FALSE)),1,0)</f>
        <v>0</v>
      </c>
      <c r="S111" s="2">
        <f>IF(AND(feasible_mat!R18, VLOOKUP(Recharged_Feasible_matv3!$A111,test!$A$34:$G$37, 3,FALSE)=VLOOKUP(S$1,test!$A$3:$I$32,3,FALSE)),1,0)</f>
        <v>0</v>
      </c>
      <c r="T111" s="2">
        <f>IF(AND(feasible_mat!S18, VLOOKUP(Recharged_Feasible_matv3!$A111,test!$A$34:$G$37, 3,FALSE)=VLOOKUP(T$1,test!$A$3:$I$32,3,FALSE)),1,0)</f>
        <v>0</v>
      </c>
      <c r="U111" s="2">
        <f>IF(AND(feasible_mat!T18, VLOOKUP(Recharged_Feasible_matv3!$A111,test!$A$34:$G$37, 3,FALSE)=VLOOKUP(U$1,test!$A$3:$I$32,3,FALSE)),1,0)</f>
        <v>0</v>
      </c>
      <c r="V111" s="2">
        <f>IF(AND(feasible_mat!U18, VLOOKUP(Recharged_Feasible_matv3!$A111,test!$A$34:$G$37, 3,FALSE)=VLOOKUP(V$1,test!$A$3:$I$32,3,FALSE)),1,0)</f>
        <v>0</v>
      </c>
      <c r="W111" s="2">
        <f>IF(AND(feasible_mat!V18, VLOOKUP(Recharged_Feasible_matv3!$A111,test!$A$34:$G$37, 3,FALSE)=VLOOKUP(W$1,test!$A$3:$I$32,3,FALSE)),1,0)</f>
        <v>0</v>
      </c>
      <c r="X111" s="2">
        <f>IF(AND(feasible_mat!W18, VLOOKUP(Recharged_Feasible_matv3!$A111,test!$A$34:$G$37, 3,FALSE)=VLOOKUP(X$1,test!$A$3:$I$32,3,FALSE)),1,0)</f>
        <v>0</v>
      </c>
      <c r="Y111" s="2">
        <f>IF(AND(feasible_mat!X18, VLOOKUP(Recharged_Feasible_matv3!$A111,test!$A$34:$G$37, 3,FALSE)=VLOOKUP(Y$1,test!$A$3:$I$32,3,FALSE)),1,0)</f>
        <v>0</v>
      </c>
      <c r="Z111" s="2">
        <f>IF(AND(feasible_mat!Y18, VLOOKUP(Recharged_Feasible_matv3!$A111,test!$A$34:$G$37, 3,FALSE)=VLOOKUP(Z$1,test!$A$3:$I$32,3,FALSE)),1,0)</f>
        <v>0</v>
      </c>
      <c r="AA111" s="2">
        <f>IF(AND(feasible_mat!Z18, VLOOKUP(Recharged_Feasible_matv3!$A111,test!$A$34:$G$37, 3,FALSE)=VLOOKUP(AA$1,test!$A$3:$I$32,3,FALSE)),1,0)</f>
        <v>0</v>
      </c>
      <c r="AB111" s="2">
        <f>IF(AND(feasible_mat!AA18, VLOOKUP(Recharged_Feasible_matv3!$A111,test!$A$34:$G$37, 3,FALSE)=VLOOKUP(AB$1,test!$A$3:$I$32,3,FALSE)),1,0)</f>
        <v>1</v>
      </c>
      <c r="AC111" s="2">
        <f>IF(AND(feasible_mat!AB18, VLOOKUP(Recharged_Feasible_matv3!$A111,test!$A$34:$G$37, 3,FALSE)=VLOOKUP(AC$1,test!$A$3:$I$32,3,FALSE)),1,0)</f>
        <v>1</v>
      </c>
      <c r="AD111" s="2">
        <f>IF(AND(feasible_mat!AC18, VLOOKUP(Recharged_Feasible_matv3!$A111,test!$A$34:$G$37, 3,FALSE)=VLOOKUP(AD$1,test!$A$3:$I$32,3,FALSE)),1,0)</f>
        <v>1</v>
      </c>
      <c r="AE111" s="2">
        <f>IF(AND(feasible_mat!AD18, VLOOKUP(Recharged_Feasible_matv3!$A111,test!$A$34:$G$37, 3,FALSE)=VLOOKUP(AE$1,test!$A$3:$I$32,3,FALSE)),1,0)</f>
        <v>0</v>
      </c>
      <c r="AF111" s="2">
        <f>IF(AND(feasible_mat!AE18, VLOOKUP(Recharged_Feasible_matv3!$A111,test!$A$34:$G$37, 3,FALSE)=VLOOKUP(AF$1,test!$A$3:$I$32,3,FALSE)),1,0)</f>
        <v>0</v>
      </c>
      <c r="AG111" s="2">
        <f>IF(AND(feasible_mat!AF18, VLOOKUP(Recharged_Feasible_matv3!$A111,test!$A$34:$G$37, 3,FALSE)=VLOOKUP(AG$1,test!$A$3:$I$32,3,FALSE)),1,0)</f>
        <v>0</v>
      </c>
    </row>
    <row r="112" spans="1:33" x14ac:dyDescent="0.25">
      <c r="A112" t="s">
        <v>98</v>
      </c>
      <c r="B112" t="s">
        <v>28</v>
      </c>
      <c r="C112">
        <v>0</v>
      </c>
      <c r="D112" s="2">
        <f>IF(AND(feasible_mat!C19, VLOOKUP(Recharged_Feasible_matv3!$A112,test!$A$34:$G$37, 3,FALSE)=VLOOKUP(D$1,test!$A$3:$I$32,3,FALSE)),1,0)</f>
        <v>0</v>
      </c>
      <c r="E112" s="2">
        <f>IF(AND(feasible_mat!D19, VLOOKUP(Recharged_Feasible_matv3!$A112,test!$A$34:$G$37, 3,FALSE)=VLOOKUP(E$1,test!$A$3:$I$32,3,FALSE)),1,0)</f>
        <v>0</v>
      </c>
      <c r="F112" s="2">
        <f>IF(AND(feasible_mat!E19, VLOOKUP(Recharged_Feasible_matv3!$A112,test!$A$34:$G$37, 3,FALSE)=VLOOKUP(F$1,test!$A$3:$I$32,3,FALSE)),1,0)</f>
        <v>0</v>
      </c>
      <c r="G112" s="2">
        <f>IF(AND(feasible_mat!F19, VLOOKUP(Recharged_Feasible_matv3!$A112,test!$A$34:$G$37, 3,FALSE)=VLOOKUP(G$1,test!$A$3:$I$32,3,FALSE)),1,0)</f>
        <v>0</v>
      </c>
      <c r="H112" s="2">
        <f>IF(AND(feasible_mat!G19, VLOOKUP(Recharged_Feasible_matv3!$A112,test!$A$34:$G$37, 3,FALSE)=VLOOKUP(H$1,test!$A$3:$I$32,3,FALSE)),1,0)</f>
        <v>0</v>
      </c>
      <c r="I112" s="2">
        <f>IF(AND(feasible_mat!H19, VLOOKUP(Recharged_Feasible_matv3!$A112,test!$A$34:$G$37, 3,FALSE)=VLOOKUP(I$1,test!$A$3:$I$32,3,FALSE)),1,0)</f>
        <v>0</v>
      </c>
      <c r="J112" s="2">
        <f>IF(AND(feasible_mat!I19, VLOOKUP(Recharged_Feasible_matv3!$A112,test!$A$34:$G$37, 3,FALSE)=VLOOKUP(J$1,test!$A$3:$I$32,3,FALSE)),1,0)</f>
        <v>0</v>
      </c>
      <c r="K112" s="2">
        <f>IF(AND(feasible_mat!J19, VLOOKUP(Recharged_Feasible_matv3!$A112,test!$A$34:$G$37, 3,FALSE)=VLOOKUP(K$1,test!$A$3:$I$32,3,FALSE)),1,0)</f>
        <v>0</v>
      </c>
      <c r="L112" s="2">
        <f>IF(AND(feasible_mat!K19, VLOOKUP(Recharged_Feasible_matv3!$A112,test!$A$34:$G$37, 3,FALSE)=VLOOKUP(L$1,test!$A$3:$I$32,3,FALSE)),1,0)</f>
        <v>0</v>
      </c>
      <c r="M112" s="2">
        <f>IF(AND(feasible_mat!L19, VLOOKUP(Recharged_Feasible_matv3!$A112,test!$A$34:$G$37, 3,FALSE)=VLOOKUP(M$1,test!$A$3:$I$32,3,FALSE)),1,0)</f>
        <v>0</v>
      </c>
      <c r="N112" s="2">
        <f>IF(AND(feasible_mat!M19, VLOOKUP(Recharged_Feasible_matv3!$A112,test!$A$34:$G$37, 3,FALSE)=VLOOKUP(N$1,test!$A$3:$I$32,3,FALSE)),1,0)</f>
        <v>0</v>
      </c>
      <c r="O112" s="2">
        <f>IF(AND(feasible_mat!N19, VLOOKUP(Recharged_Feasible_matv3!$A112,test!$A$34:$G$37, 3,FALSE)=VLOOKUP(O$1,test!$A$3:$I$32,3,FALSE)),1,0)</f>
        <v>0</v>
      </c>
      <c r="P112" s="2">
        <f>IF(AND(feasible_mat!O19, VLOOKUP(Recharged_Feasible_matv3!$A112,test!$A$34:$G$37, 3,FALSE)=VLOOKUP(P$1,test!$A$3:$I$32,3,FALSE)),1,0)</f>
        <v>0</v>
      </c>
      <c r="Q112" s="2">
        <f>IF(AND(feasible_mat!P19, VLOOKUP(Recharged_Feasible_matv3!$A112,test!$A$34:$G$37, 3,FALSE)=VLOOKUP(Q$1,test!$A$3:$I$32,3,FALSE)),1,0)</f>
        <v>0</v>
      </c>
      <c r="R112" s="2">
        <f>IF(AND(feasible_mat!Q19, VLOOKUP(Recharged_Feasible_matv3!$A112,test!$A$34:$G$37, 3,FALSE)=VLOOKUP(R$1,test!$A$3:$I$32,3,FALSE)),1,0)</f>
        <v>0</v>
      </c>
      <c r="S112" s="2">
        <f>IF(AND(feasible_mat!R19, VLOOKUP(Recharged_Feasible_matv3!$A112,test!$A$34:$G$37, 3,FALSE)=VLOOKUP(S$1,test!$A$3:$I$32,3,FALSE)),1,0)</f>
        <v>0</v>
      </c>
      <c r="T112" s="2">
        <f>IF(AND(feasible_mat!S19, VLOOKUP(Recharged_Feasible_matv3!$A112,test!$A$34:$G$37, 3,FALSE)=VLOOKUP(T$1,test!$A$3:$I$32,3,FALSE)),1,0)</f>
        <v>0</v>
      </c>
      <c r="U112" s="2">
        <f>IF(AND(feasible_mat!T19, VLOOKUP(Recharged_Feasible_matv3!$A112,test!$A$34:$G$37, 3,FALSE)=VLOOKUP(U$1,test!$A$3:$I$32,3,FALSE)),1,0)</f>
        <v>0</v>
      </c>
      <c r="V112" s="2">
        <f>IF(AND(feasible_mat!U19, VLOOKUP(Recharged_Feasible_matv3!$A112,test!$A$34:$G$37, 3,FALSE)=VLOOKUP(V$1,test!$A$3:$I$32,3,FALSE)),1,0)</f>
        <v>0</v>
      </c>
      <c r="W112" s="2">
        <f>IF(AND(feasible_mat!V19, VLOOKUP(Recharged_Feasible_matv3!$A112,test!$A$34:$G$37, 3,FALSE)=VLOOKUP(W$1,test!$A$3:$I$32,3,FALSE)),1,0)</f>
        <v>0</v>
      </c>
      <c r="X112" s="2">
        <f>IF(AND(feasible_mat!W19, VLOOKUP(Recharged_Feasible_matv3!$A112,test!$A$34:$G$37, 3,FALSE)=VLOOKUP(X$1,test!$A$3:$I$32,3,FALSE)),1,0)</f>
        <v>0</v>
      </c>
      <c r="Y112" s="2">
        <f>IF(AND(feasible_mat!X19, VLOOKUP(Recharged_Feasible_matv3!$A112,test!$A$34:$G$37, 3,FALSE)=VLOOKUP(Y$1,test!$A$3:$I$32,3,FALSE)),1,0)</f>
        <v>0</v>
      </c>
      <c r="Z112" s="2">
        <f>IF(AND(feasible_mat!Y19, VLOOKUP(Recharged_Feasible_matv3!$A112,test!$A$34:$G$37, 3,FALSE)=VLOOKUP(Z$1,test!$A$3:$I$32,3,FALSE)),1,0)</f>
        <v>0</v>
      </c>
      <c r="AA112" s="2">
        <f>IF(AND(feasible_mat!Z19, VLOOKUP(Recharged_Feasible_matv3!$A112,test!$A$34:$G$37, 3,FALSE)=VLOOKUP(AA$1,test!$A$3:$I$32,3,FALSE)),1,0)</f>
        <v>0</v>
      </c>
      <c r="AB112" s="2">
        <f>IF(AND(feasible_mat!AA19, VLOOKUP(Recharged_Feasible_matv3!$A112,test!$A$34:$G$37, 3,FALSE)=VLOOKUP(AB$1,test!$A$3:$I$32,3,FALSE)),1,0)</f>
        <v>0</v>
      </c>
      <c r="AC112" s="2">
        <f>IF(AND(feasible_mat!AB19, VLOOKUP(Recharged_Feasible_matv3!$A112,test!$A$34:$G$37, 3,FALSE)=VLOOKUP(AC$1,test!$A$3:$I$32,3,FALSE)),1,0)</f>
        <v>1</v>
      </c>
      <c r="AD112" s="2">
        <f>IF(AND(feasible_mat!AC19, VLOOKUP(Recharged_Feasible_matv3!$A112,test!$A$34:$G$37, 3,FALSE)=VLOOKUP(AD$1,test!$A$3:$I$32,3,FALSE)),1,0)</f>
        <v>1</v>
      </c>
      <c r="AE112" s="2">
        <f>IF(AND(feasible_mat!AD19, VLOOKUP(Recharged_Feasible_matv3!$A112,test!$A$34:$G$37, 3,FALSE)=VLOOKUP(AE$1,test!$A$3:$I$32,3,FALSE)),1,0)</f>
        <v>0</v>
      </c>
      <c r="AF112" s="2">
        <f>IF(AND(feasible_mat!AE19, VLOOKUP(Recharged_Feasible_matv3!$A112,test!$A$34:$G$37, 3,FALSE)=VLOOKUP(AF$1,test!$A$3:$I$32,3,FALSE)),1,0)</f>
        <v>0</v>
      </c>
      <c r="AG112" s="2">
        <f>IF(AND(feasible_mat!AF19, VLOOKUP(Recharged_Feasible_matv3!$A112,test!$A$34:$G$37, 3,FALSE)=VLOOKUP(AG$1,test!$A$3:$I$32,3,FALSE)),1,0)</f>
        <v>0</v>
      </c>
    </row>
    <row r="113" spans="1:33" x14ac:dyDescent="0.25">
      <c r="A113" t="s">
        <v>98</v>
      </c>
      <c r="B113" t="s">
        <v>29</v>
      </c>
      <c r="C113">
        <v>0</v>
      </c>
      <c r="D113" s="2">
        <f>IF(AND(feasible_mat!C20, VLOOKUP(Recharged_Feasible_matv3!$A113,test!$A$34:$G$37, 3,FALSE)=VLOOKUP(D$1,test!$A$3:$I$32,3,FALSE)),1,0)</f>
        <v>0</v>
      </c>
      <c r="E113" s="2">
        <f>IF(AND(feasible_mat!D20, VLOOKUP(Recharged_Feasible_matv3!$A113,test!$A$34:$G$37, 3,FALSE)=VLOOKUP(E$1,test!$A$3:$I$32,3,FALSE)),1,0)</f>
        <v>0</v>
      </c>
      <c r="F113" s="2">
        <f>IF(AND(feasible_mat!E20, VLOOKUP(Recharged_Feasible_matv3!$A113,test!$A$34:$G$37, 3,FALSE)=VLOOKUP(F$1,test!$A$3:$I$32,3,FALSE)),1,0)</f>
        <v>0</v>
      </c>
      <c r="G113" s="2">
        <f>IF(AND(feasible_mat!F20, VLOOKUP(Recharged_Feasible_matv3!$A113,test!$A$34:$G$37, 3,FALSE)=VLOOKUP(G$1,test!$A$3:$I$32,3,FALSE)),1,0)</f>
        <v>0</v>
      </c>
      <c r="H113" s="2">
        <f>IF(AND(feasible_mat!G20, VLOOKUP(Recharged_Feasible_matv3!$A113,test!$A$34:$G$37, 3,FALSE)=VLOOKUP(H$1,test!$A$3:$I$32,3,FALSE)),1,0)</f>
        <v>0</v>
      </c>
      <c r="I113" s="2">
        <f>IF(AND(feasible_mat!H20, VLOOKUP(Recharged_Feasible_matv3!$A113,test!$A$34:$G$37, 3,FALSE)=VLOOKUP(I$1,test!$A$3:$I$32,3,FALSE)),1,0)</f>
        <v>0</v>
      </c>
      <c r="J113" s="2">
        <f>IF(AND(feasible_mat!I20, VLOOKUP(Recharged_Feasible_matv3!$A113,test!$A$34:$G$37, 3,FALSE)=VLOOKUP(J$1,test!$A$3:$I$32,3,FALSE)),1,0)</f>
        <v>0</v>
      </c>
      <c r="K113" s="2">
        <f>IF(AND(feasible_mat!J20, VLOOKUP(Recharged_Feasible_matv3!$A113,test!$A$34:$G$37, 3,FALSE)=VLOOKUP(K$1,test!$A$3:$I$32,3,FALSE)),1,0)</f>
        <v>0</v>
      </c>
      <c r="L113" s="2">
        <f>IF(AND(feasible_mat!K20, VLOOKUP(Recharged_Feasible_matv3!$A113,test!$A$34:$G$37, 3,FALSE)=VLOOKUP(L$1,test!$A$3:$I$32,3,FALSE)),1,0)</f>
        <v>0</v>
      </c>
      <c r="M113" s="2">
        <f>IF(AND(feasible_mat!L20, VLOOKUP(Recharged_Feasible_matv3!$A113,test!$A$34:$G$37, 3,FALSE)=VLOOKUP(M$1,test!$A$3:$I$32,3,FALSE)),1,0)</f>
        <v>0</v>
      </c>
      <c r="N113" s="2">
        <f>IF(AND(feasible_mat!M20, VLOOKUP(Recharged_Feasible_matv3!$A113,test!$A$34:$G$37, 3,FALSE)=VLOOKUP(N$1,test!$A$3:$I$32,3,FALSE)),1,0)</f>
        <v>0</v>
      </c>
      <c r="O113" s="2">
        <f>IF(AND(feasible_mat!N20, VLOOKUP(Recharged_Feasible_matv3!$A113,test!$A$34:$G$37, 3,FALSE)=VLOOKUP(O$1,test!$A$3:$I$32,3,FALSE)),1,0)</f>
        <v>0</v>
      </c>
      <c r="P113" s="2">
        <f>IF(AND(feasible_mat!O20, VLOOKUP(Recharged_Feasible_matv3!$A113,test!$A$34:$G$37, 3,FALSE)=VLOOKUP(P$1,test!$A$3:$I$32,3,FALSE)),1,0)</f>
        <v>0</v>
      </c>
      <c r="Q113" s="2">
        <f>IF(AND(feasible_mat!P20, VLOOKUP(Recharged_Feasible_matv3!$A113,test!$A$34:$G$37, 3,FALSE)=VLOOKUP(Q$1,test!$A$3:$I$32,3,FALSE)),1,0)</f>
        <v>0</v>
      </c>
      <c r="R113" s="2">
        <f>IF(AND(feasible_mat!Q20, VLOOKUP(Recharged_Feasible_matv3!$A113,test!$A$34:$G$37, 3,FALSE)=VLOOKUP(R$1,test!$A$3:$I$32,3,FALSE)),1,0)</f>
        <v>0</v>
      </c>
      <c r="S113" s="2">
        <f>IF(AND(feasible_mat!R20, VLOOKUP(Recharged_Feasible_matv3!$A113,test!$A$34:$G$37, 3,FALSE)=VLOOKUP(S$1,test!$A$3:$I$32,3,FALSE)),1,0)</f>
        <v>0</v>
      </c>
      <c r="T113" s="2">
        <f>IF(AND(feasible_mat!S20, VLOOKUP(Recharged_Feasible_matv3!$A113,test!$A$34:$G$37, 3,FALSE)=VLOOKUP(T$1,test!$A$3:$I$32,3,FALSE)),1,0)</f>
        <v>0</v>
      </c>
      <c r="U113" s="2">
        <f>IF(AND(feasible_mat!T20, VLOOKUP(Recharged_Feasible_matv3!$A113,test!$A$34:$G$37, 3,FALSE)=VLOOKUP(U$1,test!$A$3:$I$32,3,FALSE)),1,0)</f>
        <v>0</v>
      </c>
      <c r="V113" s="2">
        <f>IF(AND(feasible_mat!U20, VLOOKUP(Recharged_Feasible_matv3!$A113,test!$A$34:$G$37, 3,FALSE)=VLOOKUP(V$1,test!$A$3:$I$32,3,FALSE)),1,0)</f>
        <v>0</v>
      </c>
      <c r="W113" s="2">
        <f>IF(AND(feasible_mat!V20, VLOOKUP(Recharged_Feasible_matv3!$A113,test!$A$34:$G$37, 3,FALSE)=VLOOKUP(W$1,test!$A$3:$I$32,3,FALSE)),1,0)</f>
        <v>0</v>
      </c>
      <c r="X113" s="2">
        <f>IF(AND(feasible_mat!W20, VLOOKUP(Recharged_Feasible_matv3!$A113,test!$A$34:$G$37, 3,FALSE)=VLOOKUP(X$1,test!$A$3:$I$32,3,FALSE)),1,0)</f>
        <v>0</v>
      </c>
      <c r="Y113" s="2">
        <f>IF(AND(feasible_mat!X20, VLOOKUP(Recharged_Feasible_matv3!$A113,test!$A$34:$G$37, 3,FALSE)=VLOOKUP(Y$1,test!$A$3:$I$32,3,FALSE)),1,0)</f>
        <v>0</v>
      </c>
      <c r="Z113" s="2">
        <f>IF(AND(feasible_mat!Y20, VLOOKUP(Recharged_Feasible_matv3!$A113,test!$A$34:$G$37, 3,FALSE)=VLOOKUP(Z$1,test!$A$3:$I$32,3,FALSE)),1,0)</f>
        <v>0</v>
      </c>
      <c r="AA113" s="2">
        <f>IF(AND(feasible_mat!Z20, VLOOKUP(Recharged_Feasible_matv3!$A113,test!$A$34:$G$37, 3,FALSE)=VLOOKUP(AA$1,test!$A$3:$I$32,3,FALSE)),1,0)</f>
        <v>0</v>
      </c>
      <c r="AB113" s="2">
        <f>IF(AND(feasible_mat!AA20, VLOOKUP(Recharged_Feasible_matv3!$A113,test!$A$34:$G$37, 3,FALSE)=VLOOKUP(AB$1,test!$A$3:$I$32,3,FALSE)),1,0)</f>
        <v>0</v>
      </c>
      <c r="AC113" s="2">
        <f>IF(AND(feasible_mat!AB20, VLOOKUP(Recharged_Feasible_matv3!$A113,test!$A$34:$G$37, 3,FALSE)=VLOOKUP(AC$1,test!$A$3:$I$32,3,FALSE)),1,0)</f>
        <v>0</v>
      </c>
      <c r="AD113" s="2">
        <f>IF(AND(feasible_mat!AC20, VLOOKUP(Recharged_Feasible_matv3!$A113,test!$A$34:$G$37, 3,FALSE)=VLOOKUP(AD$1,test!$A$3:$I$32,3,FALSE)),1,0)</f>
        <v>1</v>
      </c>
      <c r="AE113" s="2">
        <f>IF(AND(feasible_mat!AD20, VLOOKUP(Recharged_Feasible_matv3!$A113,test!$A$34:$G$37, 3,FALSE)=VLOOKUP(AE$1,test!$A$3:$I$32,3,FALSE)),1,0)</f>
        <v>0</v>
      </c>
      <c r="AF113" s="2">
        <f>IF(AND(feasible_mat!AE20, VLOOKUP(Recharged_Feasible_matv3!$A113,test!$A$34:$G$37, 3,FALSE)=VLOOKUP(AF$1,test!$A$3:$I$32,3,FALSE)),1,0)</f>
        <v>0</v>
      </c>
      <c r="AG113" s="2">
        <f>IF(AND(feasible_mat!AF20, VLOOKUP(Recharged_Feasible_matv3!$A113,test!$A$34:$G$37, 3,FALSE)=VLOOKUP(AG$1,test!$A$3:$I$32,3,FALSE)),1,0)</f>
        <v>0</v>
      </c>
    </row>
    <row r="114" spans="1:33" x14ac:dyDescent="0.25">
      <c r="A114" t="s">
        <v>98</v>
      </c>
      <c r="B114" t="s">
        <v>30</v>
      </c>
      <c r="C114">
        <v>0</v>
      </c>
      <c r="D114" s="2">
        <f>IF(AND(feasible_mat!C21, VLOOKUP(Recharged_Feasible_matv3!$A114,test!$A$34:$G$37, 3,FALSE)=VLOOKUP(D$1,test!$A$3:$I$32,3,FALSE)),1,0)</f>
        <v>0</v>
      </c>
      <c r="E114" s="2">
        <f>IF(AND(feasible_mat!D21, VLOOKUP(Recharged_Feasible_matv3!$A114,test!$A$34:$G$37, 3,FALSE)=VLOOKUP(E$1,test!$A$3:$I$32,3,FALSE)),1,0)</f>
        <v>0</v>
      </c>
      <c r="F114" s="2">
        <f>IF(AND(feasible_mat!E21, VLOOKUP(Recharged_Feasible_matv3!$A114,test!$A$34:$G$37, 3,FALSE)=VLOOKUP(F$1,test!$A$3:$I$32,3,FALSE)),1,0)</f>
        <v>0</v>
      </c>
      <c r="G114" s="2">
        <f>IF(AND(feasible_mat!F21, VLOOKUP(Recharged_Feasible_matv3!$A114,test!$A$34:$G$37, 3,FALSE)=VLOOKUP(G$1,test!$A$3:$I$32,3,FALSE)),1,0)</f>
        <v>0</v>
      </c>
      <c r="H114" s="2">
        <f>IF(AND(feasible_mat!G21, VLOOKUP(Recharged_Feasible_matv3!$A114,test!$A$34:$G$37, 3,FALSE)=VLOOKUP(H$1,test!$A$3:$I$32,3,FALSE)),1,0)</f>
        <v>0</v>
      </c>
      <c r="I114" s="2">
        <f>IF(AND(feasible_mat!H21, VLOOKUP(Recharged_Feasible_matv3!$A114,test!$A$34:$G$37, 3,FALSE)=VLOOKUP(I$1,test!$A$3:$I$32,3,FALSE)),1,0)</f>
        <v>0</v>
      </c>
      <c r="J114" s="2">
        <f>IF(AND(feasible_mat!I21, VLOOKUP(Recharged_Feasible_matv3!$A114,test!$A$34:$G$37, 3,FALSE)=VLOOKUP(J$1,test!$A$3:$I$32,3,FALSE)),1,0)</f>
        <v>0</v>
      </c>
      <c r="K114" s="2">
        <f>IF(AND(feasible_mat!J21, VLOOKUP(Recharged_Feasible_matv3!$A114,test!$A$34:$G$37, 3,FALSE)=VLOOKUP(K$1,test!$A$3:$I$32,3,FALSE)),1,0)</f>
        <v>0</v>
      </c>
      <c r="L114" s="2">
        <f>IF(AND(feasible_mat!K21, VLOOKUP(Recharged_Feasible_matv3!$A114,test!$A$34:$G$37, 3,FALSE)=VLOOKUP(L$1,test!$A$3:$I$32,3,FALSE)),1,0)</f>
        <v>0</v>
      </c>
      <c r="M114" s="2">
        <f>IF(AND(feasible_mat!L21, VLOOKUP(Recharged_Feasible_matv3!$A114,test!$A$34:$G$37, 3,FALSE)=VLOOKUP(M$1,test!$A$3:$I$32,3,FALSE)),1,0)</f>
        <v>0</v>
      </c>
      <c r="N114" s="2">
        <f>IF(AND(feasible_mat!M21, VLOOKUP(Recharged_Feasible_matv3!$A114,test!$A$34:$G$37, 3,FALSE)=VLOOKUP(N$1,test!$A$3:$I$32,3,FALSE)),1,0)</f>
        <v>0</v>
      </c>
      <c r="O114" s="2">
        <f>IF(AND(feasible_mat!N21, VLOOKUP(Recharged_Feasible_matv3!$A114,test!$A$34:$G$37, 3,FALSE)=VLOOKUP(O$1,test!$A$3:$I$32,3,FALSE)),1,0)</f>
        <v>0</v>
      </c>
      <c r="P114" s="2">
        <f>IF(AND(feasible_mat!O21, VLOOKUP(Recharged_Feasible_matv3!$A114,test!$A$34:$G$37, 3,FALSE)=VLOOKUP(P$1,test!$A$3:$I$32,3,FALSE)),1,0)</f>
        <v>0</v>
      </c>
      <c r="Q114" s="2">
        <f>IF(AND(feasible_mat!P21, VLOOKUP(Recharged_Feasible_matv3!$A114,test!$A$34:$G$37, 3,FALSE)=VLOOKUP(Q$1,test!$A$3:$I$32,3,FALSE)),1,0)</f>
        <v>0</v>
      </c>
      <c r="R114" s="2">
        <f>IF(AND(feasible_mat!Q21, VLOOKUP(Recharged_Feasible_matv3!$A114,test!$A$34:$G$37, 3,FALSE)=VLOOKUP(R$1,test!$A$3:$I$32,3,FALSE)),1,0)</f>
        <v>0</v>
      </c>
      <c r="S114" s="2">
        <f>IF(AND(feasible_mat!R21, VLOOKUP(Recharged_Feasible_matv3!$A114,test!$A$34:$G$37, 3,FALSE)=VLOOKUP(S$1,test!$A$3:$I$32,3,FALSE)),1,0)</f>
        <v>0</v>
      </c>
      <c r="T114" s="2">
        <f>IF(AND(feasible_mat!S21, VLOOKUP(Recharged_Feasible_matv3!$A114,test!$A$34:$G$37, 3,FALSE)=VLOOKUP(T$1,test!$A$3:$I$32,3,FALSE)),1,0)</f>
        <v>0</v>
      </c>
      <c r="U114" s="2">
        <f>IF(AND(feasible_mat!T21, VLOOKUP(Recharged_Feasible_matv3!$A114,test!$A$34:$G$37, 3,FALSE)=VLOOKUP(U$1,test!$A$3:$I$32,3,FALSE)),1,0)</f>
        <v>0</v>
      </c>
      <c r="V114" s="2">
        <f>IF(AND(feasible_mat!U21, VLOOKUP(Recharged_Feasible_matv3!$A114,test!$A$34:$G$37, 3,FALSE)=VLOOKUP(V$1,test!$A$3:$I$32,3,FALSE)),1,0)</f>
        <v>0</v>
      </c>
      <c r="W114" s="2">
        <f>IF(AND(feasible_mat!V21, VLOOKUP(Recharged_Feasible_matv3!$A114,test!$A$34:$G$37, 3,FALSE)=VLOOKUP(W$1,test!$A$3:$I$32,3,FALSE)),1,0)</f>
        <v>0</v>
      </c>
      <c r="X114" s="2">
        <f>IF(AND(feasible_mat!W21, VLOOKUP(Recharged_Feasible_matv3!$A114,test!$A$34:$G$37, 3,FALSE)=VLOOKUP(X$1,test!$A$3:$I$32,3,FALSE)),1,0)</f>
        <v>0</v>
      </c>
      <c r="Y114" s="2">
        <f>IF(AND(feasible_mat!X21, VLOOKUP(Recharged_Feasible_matv3!$A114,test!$A$34:$G$37, 3,FALSE)=VLOOKUP(Y$1,test!$A$3:$I$32,3,FALSE)),1,0)</f>
        <v>0</v>
      </c>
      <c r="Z114" s="2">
        <f>IF(AND(feasible_mat!Y21, VLOOKUP(Recharged_Feasible_matv3!$A114,test!$A$34:$G$37, 3,FALSE)=VLOOKUP(Z$1,test!$A$3:$I$32,3,FALSE)),1,0)</f>
        <v>0</v>
      </c>
      <c r="AA114" s="2">
        <f>IF(AND(feasible_mat!Z21, VLOOKUP(Recharged_Feasible_matv3!$A114,test!$A$34:$G$37, 3,FALSE)=VLOOKUP(AA$1,test!$A$3:$I$32,3,FALSE)),1,0)</f>
        <v>0</v>
      </c>
      <c r="AB114" s="2">
        <f>IF(AND(feasible_mat!AA21, VLOOKUP(Recharged_Feasible_matv3!$A114,test!$A$34:$G$37, 3,FALSE)=VLOOKUP(AB$1,test!$A$3:$I$32,3,FALSE)),1,0)</f>
        <v>0</v>
      </c>
      <c r="AC114" s="2">
        <f>IF(AND(feasible_mat!AB21, VLOOKUP(Recharged_Feasible_matv3!$A114,test!$A$34:$G$37, 3,FALSE)=VLOOKUP(AC$1,test!$A$3:$I$32,3,FALSE)),1,0)</f>
        <v>0</v>
      </c>
      <c r="AD114" s="2">
        <f>IF(AND(feasible_mat!AC21, VLOOKUP(Recharged_Feasible_matv3!$A114,test!$A$34:$G$37, 3,FALSE)=VLOOKUP(AD$1,test!$A$3:$I$32,3,FALSE)),1,0)</f>
        <v>0</v>
      </c>
      <c r="AE114" s="2">
        <f>IF(AND(feasible_mat!AD21, VLOOKUP(Recharged_Feasible_matv3!$A114,test!$A$34:$G$37, 3,FALSE)=VLOOKUP(AE$1,test!$A$3:$I$32,3,FALSE)),1,0)</f>
        <v>0</v>
      </c>
      <c r="AF114" s="2">
        <f>IF(AND(feasible_mat!AE21, VLOOKUP(Recharged_Feasible_matv3!$A114,test!$A$34:$G$37, 3,FALSE)=VLOOKUP(AF$1,test!$A$3:$I$32,3,FALSE)),1,0)</f>
        <v>0</v>
      </c>
      <c r="AG114" s="2">
        <f>IF(AND(feasible_mat!AF21, VLOOKUP(Recharged_Feasible_matv3!$A114,test!$A$34:$G$37, 3,FALSE)=VLOOKUP(AG$1,test!$A$3:$I$32,3,FALSE)),1,0)</f>
        <v>0</v>
      </c>
    </row>
    <row r="115" spans="1:33" x14ac:dyDescent="0.25">
      <c r="A115" t="s">
        <v>98</v>
      </c>
      <c r="B115" t="s">
        <v>31</v>
      </c>
      <c r="C115">
        <v>0</v>
      </c>
      <c r="D115" s="2">
        <f>IF(AND(feasible_mat!C22, VLOOKUP(Recharged_Feasible_matv3!$A115,test!$A$34:$G$37, 3,FALSE)=VLOOKUP(D$1,test!$A$3:$I$32,3,FALSE)),1,0)</f>
        <v>0</v>
      </c>
      <c r="E115" s="2">
        <f>IF(AND(feasible_mat!D22, VLOOKUP(Recharged_Feasible_matv3!$A115,test!$A$34:$G$37, 3,FALSE)=VLOOKUP(E$1,test!$A$3:$I$32,3,FALSE)),1,0)</f>
        <v>0</v>
      </c>
      <c r="F115" s="2">
        <f>IF(AND(feasible_mat!E22, VLOOKUP(Recharged_Feasible_matv3!$A115,test!$A$34:$G$37, 3,FALSE)=VLOOKUP(F$1,test!$A$3:$I$32,3,FALSE)),1,0)</f>
        <v>0</v>
      </c>
      <c r="G115" s="2">
        <f>IF(AND(feasible_mat!F22, VLOOKUP(Recharged_Feasible_matv3!$A115,test!$A$34:$G$37, 3,FALSE)=VLOOKUP(G$1,test!$A$3:$I$32,3,FALSE)),1,0)</f>
        <v>0</v>
      </c>
      <c r="H115" s="2">
        <f>IF(AND(feasible_mat!G22, VLOOKUP(Recharged_Feasible_matv3!$A115,test!$A$34:$G$37, 3,FALSE)=VLOOKUP(H$1,test!$A$3:$I$32,3,FALSE)),1,0)</f>
        <v>0</v>
      </c>
      <c r="I115" s="2">
        <f>IF(AND(feasible_mat!H22, VLOOKUP(Recharged_Feasible_matv3!$A115,test!$A$34:$G$37, 3,FALSE)=VLOOKUP(I$1,test!$A$3:$I$32,3,FALSE)),1,0)</f>
        <v>0</v>
      </c>
      <c r="J115" s="2">
        <f>IF(AND(feasible_mat!I22, VLOOKUP(Recharged_Feasible_matv3!$A115,test!$A$34:$G$37, 3,FALSE)=VLOOKUP(J$1,test!$A$3:$I$32,3,FALSE)),1,0)</f>
        <v>0</v>
      </c>
      <c r="K115" s="2">
        <f>IF(AND(feasible_mat!J22, VLOOKUP(Recharged_Feasible_matv3!$A115,test!$A$34:$G$37, 3,FALSE)=VLOOKUP(K$1,test!$A$3:$I$32,3,FALSE)),1,0)</f>
        <v>0</v>
      </c>
      <c r="L115" s="2">
        <f>IF(AND(feasible_mat!K22, VLOOKUP(Recharged_Feasible_matv3!$A115,test!$A$34:$G$37, 3,FALSE)=VLOOKUP(L$1,test!$A$3:$I$32,3,FALSE)),1,0)</f>
        <v>0</v>
      </c>
      <c r="M115" s="2">
        <f>IF(AND(feasible_mat!L22, VLOOKUP(Recharged_Feasible_matv3!$A115,test!$A$34:$G$37, 3,FALSE)=VLOOKUP(M$1,test!$A$3:$I$32,3,FALSE)),1,0)</f>
        <v>0</v>
      </c>
      <c r="N115" s="2">
        <f>IF(AND(feasible_mat!M22, VLOOKUP(Recharged_Feasible_matv3!$A115,test!$A$34:$G$37, 3,FALSE)=VLOOKUP(N$1,test!$A$3:$I$32,3,FALSE)),1,0)</f>
        <v>0</v>
      </c>
      <c r="O115" s="2">
        <f>IF(AND(feasible_mat!N22, VLOOKUP(Recharged_Feasible_matv3!$A115,test!$A$34:$G$37, 3,FALSE)=VLOOKUP(O$1,test!$A$3:$I$32,3,FALSE)),1,0)</f>
        <v>0</v>
      </c>
      <c r="P115" s="2">
        <f>IF(AND(feasible_mat!O22, VLOOKUP(Recharged_Feasible_matv3!$A115,test!$A$34:$G$37, 3,FALSE)=VLOOKUP(P$1,test!$A$3:$I$32,3,FALSE)),1,0)</f>
        <v>0</v>
      </c>
      <c r="Q115" s="2">
        <f>IF(AND(feasible_mat!P22, VLOOKUP(Recharged_Feasible_matv3!$A115,test!$A$34:$G$37, 3,FALSE)=VLOOKUP(Q$1,test!$A$3:$I$32,3,FALSE)),1,0)</f>
        <v>0</v>
      </c>
      <c r="R115" s="2">
        <f>IF(AND(feasible_mat!Q22, VLOOKUP(Recharged_Feasible_matv3!$A115,test!$A$34:$G$37, 3,FALSE)=VLOOKUP(R$1,test!$A$3:$I$32,3,FALSE)),1,0)</f>
        <v>0</v>
      </c>
      <c r="S115" s="2">
        <f>IF(AND(feasible_mat!R22, VLOOKUP(Recharged_Feasible_matv3!$A115,test!$A$34:$G$37, 3,FALSE)=VLOOKUP(S$1,test!$A$3:$I$32,3,FALSE)),1,0)</f>
        <v>0</v>
      </c>
      <c r="T115" s="2">
        <f>IF(AND(feasible_mat!S22, VLOOKUP(Recharged_Feasible_matv3!$A115,test!$A$34:$G$37, 3,FALSE)=VLOOKUP(T$1,test!$A$3:$I$32,3,FALSE)),1,0)</f>
        <v>0</v>
      </c>
      <c r="U115" s="2">
        <f>IF(AND(feasible_mat!T22, VLOOKUP(Recharged_Feasible_matv3!$A115,test!$A$34:$G$37, 3,FALSE)=VLOOKUP(U$1,test!$A$3:$I$32,3,FALSE)),1,0)</f>
        <v>0</v>
      </c>
      <c r="V115" s="2">
        <f>IF(AND(feasible_mat!U22, VLOOKUP(Recharged_Feasible_matv3!$A115,test!$A$34:$G$37, 3,FALSE)=VLOOKUP(V$1,test!$A$3:$I$32,3,FALSE)),1,0)</f>
        <v>0</v>
      </c>
      <c r="W115" s="2">
        <f>IF(AND(feasible_mat!V22, VLOOKUP(Recharged_Feasible_matv3!$A115,test!$A$34:$G$37, 3,FALSE)=VLOOKUP(W$1,test!$A$3:$I$32,3,FALSE)),1,0)</f>
        <v>0</v>
      </c>
      <c r="X115" s="2">
        <f>IF(AND(feasible_mat!W22, VLOOKUP(Recharged_Feasible_matv3!$A115,test!$A$34:$G$37, 3,FALSE)=VLOOKUP(X$1,test!$A$3:$I$32,3,FALSE)),1,0)</f>
        <v>0</v>
      </c>
      <c r="Y115" s="2">
        <f>IF(AND(feasible_mat!X22, VLOOKUP(Recharged_Feasible_matv3!$A115,test!$A$34:$G$37, 3,FALSE)=VLOOKUP(Y$1,test!$A$3:$I$32,3,FALSE)),1,0)</f>
        <v>0</v>
      </c>
      <c r="Z115" s="2">
        <f>IF(AND(feasible_mat!Y22, VLOOKUP(Recharged_Feasible_matv3!$A115,test!$A$34:$G$37, 3,FALSE)=VLOOKUP(Z$1,test!$A$3:$I$32,3,FALSE)),1,0)</f>
        <v>0</v>
      </c>
      <c r="AA115" s="2">
        <f>IF(AND(feasible_mat!Z22, VLOOKUP(Recharged_Feasible_matv3!$A115,test!$A$34:$G$37, 3,FALSE)=VLOOKUP(AA$1,test!$A$3:$I$32,3,FALSE)),1,0)</f>
        <v>0</v>
      </c>
      <c r="AB115" s="2">
        <f>IF(AND(feasible_mat!AA22, VLOOKUP(Recharged_Feasible_matv3!$A115,test!$A$34:$G$37, 3,FALSE)=VLOOKUP(AB$1,test!$A$3:$I$32,3,FALSE)),1,0)</f>
        <v>0</v>
      </c>
      <c r="AC115" s="2">
        <f>IF(AND(feasible_mat!AB22, VLOOKUP(Recharged_Feasible_matv3!$A115,test!$A$34:$G$37, 3,FALSE)=VLOOKUP(AC$1,test!$A$3:$I$32,3,FALSE)),1,0)</f>
        <v>0</v>
      </c>
      <c r="AD115" s="2">
        <f>IF(AND(feasible_mat!AC22, VLOOKUP(Recharged_Feasible_matv3!$A115,test!$A$34:$G$37, 3,FALSE)=VLOOKUP(AD$1,test!$A$3:$I$32,3,FALSE)),1,0)</f>
        <v>0</v>
      </c>
      <c r="AE115" s="2">
        <f>IF(AND(feasible_mat!AD22, VLOOKUP(Recharged_Feasible_matv3!$A115,test!$A$34:$G$37, 3,FALSE)=VLOOKUP(AE$1,test!$A$3:$I$32,3,FALSE)),1,0)</f>
        <v>0</v>
      </c>
      <c r="AF115" s="2">
        <f>IF(AND(feasible_mat!AE22, VLOOKUP(Recharged_Feasible_matv3!$A115,test!$A$34:$G$37, 3,FALSE)=VLOOKUP(AF$1,test!$A$3:$I$32,3,FALSE)),1,0)</f>
        <v>0</v>
      </c>
      <c r="AG115" s="2">
        <f>IF(AND(feasible_mat!AF22, VLOOKUP(Recharged_Feasible_matv3!$A115,test!$A$34:$G$37, 3,FALSE)=VLOOKUP(AG$1,test!$A$3:$I$32,3,FALSE)),1,0)</f>
        <v>0</v>
      </c>
    </row>
    <row r="116" spans="1:33" x14ac:dyDescent="0.25">
      <c r="A116" t="s">
        <v>98</v>
      </c>
      <c r="B116" t="s">
        <v>32</v>
      </c>
      <c r="C116">
        <v>0</v>
      </c>
      <c r="D116" s="2">
        <f>IF(AND(feasible_mat!C23, VLOOKUP(Recharged_Feasible_matv3!$A116,test!$A$34:$G$37, 3,FALSE)=VLOOKUP(D$1,test!$A$3:$I$32,3,FALSE)),1,0)</f>
        <v>0</v>
      </c>
      <c r="E116" s="2">
        <f>IF(AND(feasible_mat!D23, VLOOKUP(Recharged_Feasible_matv3!$A116,test!$A$34:$G$37, 3,FALSE)=VLOOKUP(E$1,test!$A$3:$I$32,3,FALSE)),1,0)</f>
        <v>0</v>
      </c>
      <c r="F116" s="2">
        <f>IF(AND(feasible_mat!E23, VLOOKUP(Recharged_Feasible_matv3!$A116,test!$A$34:$G$37, 3,FALSE)=VLOOKUP(F$1,test!$A$3:$I$32,3,FALSE)),1,0)</f>
        <v>0</v>
      </c>
      <c r="G116" s="2">
        <f>IF(AND(feasible_mat!F23, VLOOKUP(Recharged_Feasible_matv3!$A116,test!$A$34:$G$37, 3,FALSE)=VLOOKUP(G$1,test!$A$3:$I$32,3,FALSE)),1,0)</f>
        <v>0</v>
      </c>
      <c r="H116" s="2">
        <f>IF(AND(feasible_mat!G23, VLOOKUP(Recharged_Feasible_matv3!$A116,test!$A$34:$G$37, 3,FALSE)=VLOOKUP(H$1,test!$A$3:$I$32,3,FALSE)),1,0)</f>
        <v>0</v>
      </c>
      <c r="I116" s="2">
        <f>IF(AND(feasible_mat!H23, VLOOKUP(Recharged_Feasible_matv3!$A116,test!$A$34:$G$37, 3,FALSE)=VLOOKUP(I$1,test!$A$3:$I$32,3,FALSE)),1,0)</f>
        <v>0</v>
      </c>
      <c r="J116" s="2">
        <f>IF(AND(feasible_mat!I23, VLOOKUP(Recharged_Feasible_matv3!$A116,test!$A$34:$G$37, 3,FALSE)=VLOOKUP(J$1,test!$A$3:$I$32,3,FALSE)),1,0)</f>
        <v>0</v>
      </c>
      <c r="K116" s="2">
        <f>IF(AND(feasible_mat!J23, VLOOKUP(Recharged_Feasible_matv3!$A116,test!$A$34:$G$37, 3,FALSE)=VLOOKUP(K$1,test!$A$3:$I$32,3,FALSE)),1,0)</f>
        <v>0</v>
      </c>
      <c r="L116" s="2">
        <f>IF(AND(feasible_mat!K23, VLOOKUP(Recharged_Feasible_matv3!$A116,test!$A$34:$G$37, 3,FALSE)=VLOOKUP(L$1,test!$A$3:$I$32,3,FALSE)),1,0)</f>
        <v>0</v>
      </c>
      <c r="M116" s="2">
        <f>IF(AND(feasible_mat!L23, VLOOKUP(Recharged_Feasible_matv3!$A116,test!$A$34:$G$37, 3,FALSE)=VLOOKUP(M$1,test!$A$3:$I$32,3,FALSE)),1,0)</f>
        <v>0</v>
      </c>
      <c r="N116" s="2">
        <f>IF(AND(feasible_mat!M23, VLOOKUP(Recharged_Feasible_matv3!$A116,test!$A$34:$G$37, 3,FALSE)=VLOOKUP(N$1,test!$A$3:$I$32,3,FALSE)),1,0)</f>
        <v>0</v>
      </c>
      <c r="O116" s="2">
        <f>IF(AND(feasible_mat!N23, VLOOKUP(Recharged_Feasible_matv3!$A116,test!$A$34:$G$37, 3,FALSE)=VLOOKUP(O$1,test!$A$3:$I$32,3,FALSE)),1,0)</f>
        <v>0</v>
      </c>
      <c r="P116" s="2">
        <f>IF(AND(feasible_mat!O23, VLOOKUP(Recharged_Feasible_matv3!$A116,test!$A$34:$G$37, 3,FALSE)=VLOOKUP(P$1,test!$A$3:$I$32,3,FALSE)),1,0)</f>
        <v>0</v>
      </c>
      <c r="Q116" s="2">
        <f>IF(AND(feasible_mat!P23, VLOOKUP(Recharged_Feasible_matv3!$A116,test!$A$34:$G$37, 3,FALSE)=VLOOKUP(Q$1,test!$A$3:$I$32,3,FALSE)),1,0)</f>
        <v>0</v>
      </c>
      <c r="R116" s="2">
        <f>IF(AND(feasible_mat!Q23, VLOOKUP(Recharged_Feasible_matv3!$A116,test!$A$34:$G$37, 3,FALSE)=VLOOKUP(R$1,test!$A$3:$I$32,3,FALSE)),1,0)</f>
        <v>0</v>
      </c>
      <c r="S116" s="2">
        <f>IF(AND(feasible_mat!R23, VLOOKUP(Recharged_Feasible_matv3!$A116,test!$A$34:$G$37, 3,FALSE)=VLOOKUP(S$1,test!$A$3:$I$32,3,FALSE)),1,0)</f>
        <v>0</v>
      </c>
      <c r="T116" s="2">
        <f>IF(AND(feasible_mat!S23, VLOOKUP(Recharged_Feasible_matv3!$A116,test!$A$34:$G$37, 3,FALSE)=VLOOKUP(T$1,test!$A$3:$I$32,3,FALSE)),1,0)</f>
        <v>0</v>
      </c>
      <c r="U116" s="2">
        <f>IF(AND(feasible_mat!T23, VLOOKUP(Recharged_Feasible_matv3!$A116,test!$A$34:$G$37, 3,FALSE)=VLOOKUP(U$1,test!$A$3:$I$32,3,FALSE)),1,0)</f>
        <v>0</v>
      </c>
      <c r="V116" s="2">
        <f>IF(AND(feasible_mat!U23, VLOOKUP(Recharged_Feasible_matv3!$A116,test!$A$34:$G$37, 3,FALSE)=VLOOKUP(V$1,test!$A$3:$I$32,3,FALSE)),1,0)</f>
        <v>0</v>
      </c>
      <c r="W116" s="2">
        <f>IF(AND(feasible_mat!V23, VLOOKUP(Recharged_Feasible_matv3!$A116,test!$A$34:$G$37, 3,FALSE)=VLOOKUP(W$1,test!$A$3:$I$32,3,FALSE)),1,0)</f>
        <v>0</v>
      </c>
      <c r="X116" s="2">
        <f>IF(AND(feasible_mat!W23, VLOOKUP(Recharged_Feasible_matv3!$A116,test!$A$34:$G$37, 3,FALSE)=VLOOKUP(X$1,test!$A$3:$I$32,3,FALSE)),1,0)</f>
        <v>0</v>
      </c>
      <c r="Y116" s="2">
        <f>IF(AND(feasible_mat!X23, VLOOKUP(Recharged_Feasible_matv3!$A116,test!$A$34:$G$37, 3,FALSE)=VLOOKUP(Y$1,test!$A$3:$I$32,3,FALSE)),1,0)</f>
        <v>0</v>
      </c>
      <c r="Z116" s="2">
        <f>IF(AND(feasible_mat!Y23, VLOOKUP(Recharged_Feasible_matv3!$A116,test!$A$34:$G$37, 3,FALSE)=VLOOKUP(Z$1,test!$A$3:$I$32,3,FALSE)),1,0)</f>
        <v>0</v>
      </c>
      <c r="AA116" s="2">
        <f>IF(AND(feasible_mat!Z23, VLOOKUP(Recharged_Feasible_matv3!$A116,test!$A$34:$G$37, 3,FALSE)=VLOOKUP(AA$1,test!$A$3:$I$32,3,FALSE)),1,0)</f>
        <v>0</v>
      </c>
      <c r="AB116" s="2">
        <f>IF(AND(feasible_mat!AA23, VLOOKUP(Recharged_Feasible_matv3!$A116,test!$A$34:$G$37, 3,FALSE)=VLOOKUP(AB$1,test!$A$3:$I$32,3,FALSE)),1,0)</f>
        <v>0</v>
      </c>
      <c r="AC116" s="2">
        <f>IF(AND(feasible_mat!AB23, VLOOKUP(Recharged_Feasible_matv3!$A116,test!$A$34:$G$37, 3,FALSE)=VLOOKUP(AC$1,test!$A$3:$I$32,3,FALSE)),1,0)</f>
        <v>0</v>
      </c>
      <c r="AD116" s="2">
        <f>IF(AND(feasible_mat!AC23, VLOOKUP(Recharged_Feasible_matv3!$A116,test!$A$34:$G$37, 3,FALSE)=VLOOKUP(AD$1,test!$A$3:$I$32,3,FALSE)),1,0)</f>
        <v>0</v>
      </c>
      <c r="AE116" s="2">
        <f>IF(AND(feasible_mat!AD23, VLOOKUP(Recharged_Feasible_matv3!$A116,test!$A$34:$G$37, 3,FALSE)=VLOOKUP(AE$1,test!$A$3:$I$32,3,FALSE)),1,0)</f>
        <v>0</v>
      </c>
      <c r="AF116" s="2">
        <f>IF(AND(feasible_mat!AE23, VLOOKUP(Recharged_Feasible_matv3!$A116,test!$A$34:$G$37, 3,FALSE)=VLOOKUP(AF$1,test!$A$3:$I$32,3,FALSE)),1,0)</f>
        <v>0</v>
      </c>
      <c r="AG116" s="2">
        <f>IF(AND(feasible_mat!AF23, VLOOKUP(Recharged_Feasible_matv3!$A116,test!$A$34:$G$37, 3,FALSE)=VLOOKUP(AG$1,test!$A$3:$I$32,3,FALSE)),1,0)</f>
        <v>0</v>
      </c>
    </row>
    <row r="117" spans="1:33" x14ac:dyDescent="0.25">
      <c r="A117" t="s">
        <v>98</v>
      </c>
      <c r="B117" t="s">
        <v>33</v>
      </c>
      <c r="C117">
        <v>0</v>
      </c>
      <c r="D117" s="2">
        <f>IF(AND(feasible_mat!C24, VLOOKUP(Recharged_Feasible_matv3!$A117,test!$A$34:$G$37, 3,FALSE)=VLOOKUP(D$1,test!$A$3:$I$32,3,FALSE)),1,0)</f>
        <v>0</v>
      </c>
      <c r="E117" s="2">
        <f>IF(AND(feasible_mat!D24, VLOOKUP(Recharged_Feasible_matv3!$A117,test!$A$34:$G$37, 3,FALSE)=VLOOKUP(E$1,test!$A$3:$I$32,3,FALSE)),1,0)</f>
        <v>0</v>
      </c>
      <c r="F117" s="2">
        <f>IF(AND(feasible_mat!E24, VLOOKUP(Recharged_Feasible_matv3!$A117,test!$A$34:$G$37, 3,FALSE)=VLOOKUP(F$1,test!$A$3:$I$32,3,FALSE)),1,0)</f>
        <v>0</v>
      </c>
      <c r="G117" s="2">
        <f>IF(AND(feasible_mat!F24, VLOOKUP(Recharged_Feasible_matv3!$A117,test!$A$34:$G$37, 3,FALSE)=VLOOKUP(G$1,test!$A$3:$I$32,3,FALSE)),1,0)</f>
        <v>0</v>
      </c>
      <c r="H117" s="2">
        <f>IF(AND(feasible_mat!G24, VLOOKUP(Recharged_Feasible_matv3!$A117,test!$A$34:$G$37, 3,FALSE)=VLOOKUP(H$1,test!$A$3:$I$32,3,FALSE)),1,0)</f>
        <v>0</v>
      </c>
      <c r="I117" s="2">
        <f>IF(AND(feasible_mat!H24, VLOOKUP(Recharged_Feasible_matv3!$A117,test!$A$34:$G$37, 3,FALSE)=VLOOKUP(I$1,test!$A$3:$I$32,3,FALSE)),1,0)</f>
        <v>0</v>
      </c>
      <c r="J117" s="2">
        <f>IF(AND(feasible_mat!I24, VLOOKUP(Recharged_Feasible_matv3!$A117,test!$A$34:$G$37, 3,FALSE)=VLOOKUP(J$1,test!$A$3:$I$32,3,FALSE)),1,0)</f>
        <v>0</v>
      </c>
      <c r="K117" s="2">
        <f>IF(AND(feasible_mat!J24, VLOOKUP(Recharged_Feasible_matv3!$A117,test!$A$34:$G$37, 3,FALSE)=VLOOKUP(K$1,test!$A$3:$I$32,3,FALSE)),1,0)</f>
        <v>0</v>
      </c>
      <c r="L117" s="2">
        <f>IF(AND(feasible_mat!K24, VLOOKUP(Recharged_Feasible_matv3!$A117,test!$A$34:$G$37, 3,FALSE)=VLOOKUP(L$1,test!$A$3:$I$32,3,FALSE)),1,0)</f>
        <v>0</v>
      </c>
      <c r="M117" s="2">
        <f>IF(AND(feasible_mat!L24, VLOOKUP(Recharged_Feasible_matv3!$A117,test!$A$34:$G$37, 3,FALSE)=VLOOKUP(M$1,test!$A$3:$I$32,3,FALSE)),1,0)</f>
        <v>0</v>
      </c>
      <c r="N117" s="2">
        <f>IF(AND(feasible_mat!M24, VLOOKUP(Recharged_Feasible_matv3!$A117,test!$A$34:$G$37, 3,FALSE)=VLOOKUP(N$1,test!$A$3:$I$32,3,FALSE)),1,0)</f>
        <v>0</v>
      </c>
      <c r="O117" s="2">
        <f>IF(AND(feasible_mat!N24, VLOOKUP(Recharged_Feasible_matv3!$A117,test!$A$34:$G$37, 3,FALSE)=VLOOKUP(O$1,test!$A$3:$I$32,3,FALSE)),1,0)</f>
        <v>0</v>
      </c>
      <c r="P117" s="2">
        <f>IF(AND(feasible_mat!O24, VLOOKUP(Recharged_Feasible_matv3!$A117,test!$A$34:$G$37, 3,FALSE)=VLOOKUP(P$1,test!$A$3:$I$32,3,FALSE)),1,0)</f>
        <v>0</v>
      </c>
      <c r="Q117" s="2">
        <f>IF(AND(feasible_mat!P24, VLOOKUP(Recharged_Feasible_matv3!$A117,test!$A$34:$G$37, 3,FALSE)=VLOOKUP(Q$1,test!$A$3:$I$32,3,FALSE)),1,0)</f>
        <v>0</v>
      </c>
      <c r="R117" s="2">
        <f>IF(AND(feasible_mat!Q24, VLOOKUP(Recharged_Feasible_matv3!$A117,test!$A$34:$G$37, 3,FALSE)=VLOOKUP(R$1,test!$A$3:$I$32,3,FALSE)),1,0)</f>
        <v>0</v>
      </c>
      <c r="S117" s="2">
        <f>IF(AND(feasible_mat!R24, VLOOKUP(Recharged_Feasible_matv3!$A117,test!$A$34:$G$37, 3,FALSE)=VLOOKUP(S$1,test!$A$3:$I$32,3,FALSE)),1,0)</f>
        <v>0</v>
      </c>
      <c r="T117" s="2">
        <f>IF(AND(feasible_mat!S24, VLOOKUP(Recharged_Feasible_matv3!$A117,test!$A$34:$G$37, 3,FALSE)=VLOOKUP(T$1,test!$A$3:$I$32,3,FALSE)),1,0)</f>
        <v>0</v>
      </c>
      <c r="U117" s="2">
        <f>IF(AND(feasible_mat!T24, VLOOKUP(Recharged_Feasible_matv3!$A117,test!$A$34:$G$37, 3,FALSE)=VLOOKUP(U$1,test!$A$3:$I$32,3,FALSE)),1,0)</f>
        <v>0</v>
      </c>
      <c r="V117" s="2">
        <f>IF(AND(feasible_mat!U24, VLOOKUP(Recharged_Feasible_matv3!$A117,test!$A$34:$G$37, 3,FALSE)=VLOOKUP(V$1,test!$A$3:$I$32,3,FALSE)),1,0)</f>
        <v>0</v>
      </c>
      <c r="W117" s="2">
        <f>IF(AND(feasible_mat!V24, VLOOKUP(Recharged_Feasible_matv3!$A117,test!$A$34:$G$37, 3,FALSE)=VLOOKUP(W$1,test!$A$3:$I$32,3,FALSE)),1,0)</f>
        <v>0</v>
      </c>
      <c r="X117" s="2">
        <f>IF(AND(feasible_mat!W24, VLOOKUP(Recharged_Feasible_matv3!$A117,test!$A$34:$G$37, 3,FALSE)=VLOOKUP(X$1,test!$A$3:$I$32,3,FALSE)),1,0)</f>
        <v>0</v>
      </c>
      <c r="Y117" s="2">
        <f>IF(AND(feasible_mat!X24, VLOOKUP(Recharged_Feasible_matv3!$A117,test!$A$34:$G$37, 3,FALSE)=VLOOKUP(Y$1,test!$A$3:$I$32,3,FALSE)),1,0)</f>
        <v>0</v>
      </c>
      <c r="Z117" s="2">
        <f>IF(AND(feasible_mat!Y24, VLOOKUP(Recharged_Feasible_matv3!$A117,test!$A$34:$G$37, 3,FALSE)=VLOOKUP(Z$1,test!$A$3:$I$32,3,FALSE)),1,0)</f>
        <v>0</v>
      </c>
      <c r="AA117" s="2">
        <f>IF(AND(feasible_mat!Z24, VLOOKUP(Recharged_Feasible_matv3!$A117,test!$A$34:$G$37, 3,FALSE)=VLOOKUP(AA$1,test!$A$3:$I$32,3,FALSE)),1,0)</f>
        <v>0</v>
      </c>
      <c r="AB117" s="2">
        <f>IF(AND(feasible_mat!AA24, VLOOKUP(Recharged_Feasible_matv3!$A117,test!$A$34:$G$37, 3,FALSE)=VLOOKUP(AB$1,test!$A$3:$I$32,3,FALSE)),1,0)</f>
        <v>0</v>
      </c>
      <c r="AC117" s="2">
        <f>IF(AND(feasible_mat!AB24, VLOOKUP(Recharged_Feasible_matv3!$A117,test!$A$34:$G$37, 3,FALSE)=VLOOKUP(AC$1,test!$A$3:$I$32,3,FALSE)),1,0)</f>
        <v>0</v>
      </c>
      <c r="AD117" s="2">
        <f>IF(AND(feasible_mat!AC24, VLOOKUP(Recharged_Feasible_matv3!$A117,test!$A$34:$G$37, 3,FALSE)=VLOOKUP(AD$1,test!$A$3:$I$32,3,FALSE)),1,0)</f>
        <v>0</v>
      </c>
      <c r="AE117" s="2">
        <f>IF(AND(feasible_mat!AD24, VLOOKUP(Recharged_Feasible_matv3!$A117,test!$A$34:$G$37, 3,FALSE)=VLOOKUP(AE$1,test!$A$3:$I$32,3,FALSE)),1,0)</f>
        <v>0</v>
      </c>
      <c r="AF117" s="2">
        <f>IF(AND(feasible_mat!AE24, VLOOKUP(Recharged_Feasible_matv3!$A117,test!$A$34:$G$37, 3,FALSE)=VLOOKUP(AF$1,test!$A$3:$I$32,3,FALSE)),1,0)</f>
        <v>0</v>
      </c>
      <c r="AG117" s="2">
        <f>IF(AND(feasible_mat!AF24, VLOOKUP(Recharged_Feasible_matv3!$A117,test!$A$34:$G$37, 3,FALSE)=VLOOKUP(AG$1,test!$A$3:$I$32,3,FALSE)),1,0)</f>
        <v>0</v>
      </c>
    </row>
    <row r="118" spans="1:33" x14ac:dyDescent="0.25">
      <c r="A118" t="s">
        <v>98</v>
      </c>
      <c r="B118" t="s">
        <v>34</v>
      </c>
      <c r="C118">
        <v>0</v>
      </c>
      <c r="D118" s="2">
        <f>IF(AND(feasible_mat!C25, VLOOKUP(Recharged_Feasible_matv3!$A118,test!$A$34:$G$37, 3,FALSE)=VLOOKUP(D$1,test!$A$3:$I$32,3,FALSE)),1,0)</f>
        <v>0</v>
      </c>
      <c r="E118" s="2">
        <f>IF(AND(feasible_mat!D25, VLOOKUP(Recharged_Feasible_matv3!$A118,test!$A$34:$G$37, 3,FALSE)=VLOOKUP(E$1,test!$A$3:$I$32,3,FALSE)),1,0)</f>
        <v>0</v>
      </c>
      <c r="F118" s="2">
        <f>IF(AND(feasible_mat!E25, VLOOKUP(Recharged_Feasible_matv3!$A118,test!$A$34:$G$37, 3,FALSE)=VLOOKUP(F$1,test!$A$3:$I$32,3,FALSE)),1,0)</f>
        <v>0</v>
      </c>
      <c r="G118" s="2">
        <f>IF(AND(feasible_mat!F25, VLOOKUP(Recharged_Feasible_matv3!$A118,test!$A$34:$G$37, 3,FALSE)=VLOOKUP(G$1,test!$A$3:$I$32,3,FALSE)),1,0)</f>
        <v>0</v>
      </c>
      <c r="H118" s="2">
        <f>IF(AND(feasible_mat!G25, VLOOKUP(Recharged_Feasible_matv3!$A118,test!$A$34:$G$37, 3,FALSE)=VLOOKUP(H$1,test!$A$3:$I$32,3,FALSE)),1,0)</f>
        <v>0</v>
      </c>
      <c r="I118" s="2">
        <f>IF(AND(feasible_mat!H25, VLOOKUP(Recharged_Feasible_matv3!$A118,test!$A$34:$G$37, 3,FALSE)=VLOOKUP(I$1,test!$A$3:$I$32,3,FALSE)),1,0)</f>
        <v>0</v>
      </c>
      <c r="J118" s="2">
        <f>IF(AND(feasible_mat!I25, VLOOKUP(Recharged_Feasible_matv3!$A118,test!$A$34:$G$37, 3,FALSE)=VLOOKUP(J$1,test!$A$3:$I$32,3,FALSE)),1,0)</f>
        <v>0</v>
      </c>
      <c r="K118" s="2">
        <f>IF(AND(feasible_mat!J25, VLOOKUP(Recharged_Feasible_matv3!$A118,test!$A$34:$G$37, 3,FALSE)=VLOOKUP(K$1,test!$A$3:$I$32,3,FALSE)),1,0)</f>
        <v>0</v>
      </c>
      <c r="L118" s="2">
        <f>IF(AND(feasible_mat!K25, VLOOKUP(Recharged_Feasible_matv3!$A118,test!$A$34:$G$37, 3,FALSE)=VLOOKUP(L$1,test!$A$3:$I$32,3,FALSE)),1,0)</f>
        <v>0</v>
      </c>
      <c r="M118" s="2">
        <f>IF(AND(feasible_mat!L25, VLOOKUP(Recharged_Feasible_matv3!$A118,test!$A$34:$G$37, 3,FALSE)=VLOOKUP(M$1,test!$A$3:$I$32,3,FALSE)),1,0)</f>
        <v>0</v>
      </c>
      <c r="N118" s="2">
        <f>IF(AND(feasible_mat!M25, VLOOKUP(Recharged_Feasible_matv3!$A118,test!$A$34:$G$37, 3,FALSE)=VLOOKUP(N$1,test!$A$3:$I$32,3,FALSE)),1,0)</f>
        <v>0</v>
      </c>
      <c r="O118" s="2">
        <f>IF(AND(feasible_mat!N25, VLOOKUP(Recharged_Feasible_matv3!$A118,test!$A$34:$G$37, 3,FALSE)=VLOOKUP(O$1,test!$A$3:$I$32,3,FALSE)),1,0)</f>
        <v>0</v>
      </c>
      <c r="P118" s="2">
        <f>IF(AND(feasible_mat!O25, VLOOKUP(Recharged_Feasible_matv3!$A118,test!$A$34:$G$37, 3,FALSE)=VLOOKUP(P$1,test!$A$3:$I$32,3,FALSE)),1,0)</f>
        <v>0</v>
      </c>
      <c r="Q118" s="2">
        <f>IF(AND(feasible_mat!P25, VLOOKUP(Recharged_Feasible_matv3!$A118,test!$A$34:$G$37, 3,FALSE)=VLOOKUP(Q$1,test!$A$3:$I$32,3,FALSE)),1,0)</f>
        <v>0</v>
      </c>
      <c r="R118" s="2">
        <f>IF(AND(feasible_mat!Q25, VLOOKUP(Recharged_Feasible_matv3!$A118,test!$A$34:$G$37, 3,FALSE)=VLOOKUP(R$1,test!$A$3:$I$32,3,FALSE)),1,0)</f>
        <v>0</v>
      </c>
      <c r="S118" s="2">
        <f>IF(AND(feasible_mat!R25, VLOOKUP(Recharged_Feasible_matv3!$A118,test!$A$34:$G$37, 3,FALSE)=VLOOKUP(S$1,test!$A$3:$I$32,3,FALSE)),1,0)</f>
        <v>0</v>
      </c>
      <c r="T118" s="2">
        <f>IF(AND(feasible_mat!S25, VLOOKUP(Recharged_Feasible_matv3!$A118,test!$A$34:$G$37, 3,FALSE)=VLOOKUP(T$1,test!$A$3:$I$32,3,FALSE)),1,0)</f>
        <v>0</v>
      </c>
      <c r="U118" s="2">
        <f>IF(AND(feasible_mat!T25, VLOOKUP(Recharged_Feasible_matv3!$A118,test!$A$34:$G$37, 3,FALSE)=VLOOKUP(U$1,test!$A$3:$I$32,3,FALSE)),1,0)</f>
        <v>0</v>
      </c>
      <c r="V118" s="2">
        <f>IF(AND(feasible_mat!U25, VLOOKUP(Recharged_Feasible_matv3!$A118,test!$A$34:$G$37, 3,FALSE)=VLOOKUP(V$1,test!$A$3:$I$32,3,FALSE)),1,0)</f>
        <v>0</v>
      </c>
      <c r="W118" s="2">
        <f>IF(AND(feasible_mat!V25, VLOOKUP(Recharged_Feasible_matv3!$A118,test!$A$34:$G$37, 3,FALSE)=VLOOKUP(W$1,test!$A$3:$I$32,3,FALSE)),1,0)</f>
        <v>0</v>
      </c>
      <c r="X118" s="2">
        <f>IF(AND(feasible_mat!W25, VLOOKUP(Recharged_Feasible_matv3!$A118,test!$A$34:$G$37, 3,FALSE)=VLOOKUP(X$1,test!$A$3:$I$32,3,FALSE)),1,0)</f>
        <v>0</v>
      </c>
      <c r="Y118" s="2">
        <f>IF(AND(feasible_mat!X25, VLOOKUP(Recharged_Feasible_matv3!$A118,test!$A$34:$G$37, 3,FALSE)=VLOOKUP(Y$1,test!$A$3:$I$32,3,FALSE)),1,0)</f>
        <v>0</v>
      </c>
      <c r="Z118" s="2">
        <f>IF(AND(feasible_mat!Y25, VLOOKUP(Recharged_Feasible_matv3!$A118,test!$A$34:$G$37, 3,FALSE)=VLOOKUP(Z$1,test!$A$3:$I$32,3,FALSE)),1,0)</f>
        <v>0</v>
      </c>
      <c r="AA118" s="2">
        <f>IF(AND(feasible_mat!Z25, VLOOKUP(Recharged_Feasible_matv3!$A118,test!$A$34:$G$37, 3,FALSE)=VLOOKUP(AA$1,test!$A$3:$I$32,3,FALSE)),1,0)</f>
        <v>1</v>
      </c>
      <c r="AB118" s="2">
        <f>IF(AND(feasible_mat!AA25, VLOOKUP(Recharged_Feasible_matv3!$A118,test!$A$34:$G$37, 3,FALSE)=VLOOKUP(AB$1,test!$A$3:$I$32,3,FALSE)),1,0)</f>
        <v>1</v>
      </c>
      <c r="AC118" s="2">
        <f>IF(AND(feasible_mat!AB25, VLOOKUP(Recharged_Feasible_matv3!$A118,test!$A$34:$G$37, 3,FALSE)=VLOOKUP(AC$1,test!$A$3:$I$32,3,FALSE)),1,0)</f>
        <v>1</v>
      </c>
      <c r="AD118" s="2">
        <f>IF(AND(feasible_mat!AC25, VLOOKUP(Recharged_Feasible_matv3!$A118,test!$A$34:$G$37, 3,FALSE)=VLOOKUP(AD$1,test!$A$3:$I$32,3,FALSE)),1,0)</f>
        <v>1</v>
      </c>
      <c r="AE118" s="2">
        <f>IF(AND(feasible_mat!AD25, VLOOKUP(Recharged_Feasible_matv3!$A118,test!$A$34:$G$37, 3,FALSE)=VLOOKUP(AE$1,test!$A$3:$I$32,3,FALSE)),1,0)</f>
        <v>0</v>
      </c>
      <c r="AF118" s="2">
        <f>IF(AND(feasible_mat!AE25, VLOOKUP(Recharged_Feasible_matv3!$A118,test!$A$34:$G$37, 3,FALSE)=VLOOKUP(AF$1,test!$A$3:$I$32,3,FALSE)),1,0)</f>
        <v>0</v>
      </c>
      <c r="AG118" s="2">
        <f>IF(AND(feasible_mat!AF25, VLOOKUP(Recharged_Feasible_matv3!$A118,test!$A$34:$G$37, 3,FALSE)=VLOOKUP(AG$1,test!$A$3:$I$32,3,FALSE)),1,0)</f>
        <v>0</v>
      </c>
    </row>
    <row r="119" spans="1:33" x14ac:dyDescent="0.25">
      <c r="A119" t="s">
        <v>98</v>
      </c>
      <c r="B119" t="s">
        <v>35</v>
      </c>
      <c r="C119">
        <v>0</v>
      </c>
      <c r="D119" s="2">
        <f>IF(AND(feasible_mat!C26, VLOOKUP(Recharged_Feasible_matv3!$A119,test!$A$34:$G$37, 3,FALSE)=VLOOKUP(D$1,test!$A$3:$I$32,3,FALSE)),1,0)</f>
        <v>0</v>
      </c>
      <c r="E119" s="2">
        <f>IF(AND(feasible_mat!D26, VLOOKUP(Recharged_Feasible_matv3!$A119,test!$A$34:$G$37, 3,FALSE)=VLOOKUP(E$1,test!$A$3:$I$32,3,FALSE)),1,0)</f>
        <v>0</v>
      </c>
      <c r="F119" s="2">
        <f>IF(AND(feasible_mat!E26, VLOOKUP(Recharged_Feasible_matv3!$A119,test!$A$34:$G$37, 3,FALSE)=VLOOKUP(F$1,test!$A$3:$I$32,3,FALSE)),1,0)</f>
        <v>0</v>
      </c>
      <c r="G119" s="2">
        <f>IF(AND(feasible_mat!F26, VLOOKUP(Recharged_Feasible_matv3!$A119,test!$A$34:$G$37, 3,FALSE)=VLOOKUP(G$1,test!$A$3:$I$32,3,FALSE)),1,0)</f>
        <v>0</v>
      </c>
      <c r="H119" s="2">
        <f>IF(AND(feasible_mat!G26, VLOOKUP(Recharged_Feasible_matv3!$A119,test!$A$34:$G$37, 3,FALSE)=VLOOKUP(H$1,test!$A$3:$I$32,3,FALSE)),1,0)</f>
        <v>0</v>
      </c>
      <c r="I119" s="2">
        <f>IF(AND(feasible_mat!H26, VLOOKUP(Recharged_Feasible_matv3!$A119,test!$A$34:$G$37, 3,FALSE)=VLOOKUP(I$1,test!$A$3:$I$32,3,FALSE)),1,0)</f>
        <v>0</v>
      </c>
      <c r="J119" s="2">
        <f>IF(AND(feasible_mat!I26, VLOOKUP(Recharged_Feasible_matv3!$A119,test!$A$34:$G$37, 3,FALSE)=VLOOKUP(J$1,test!$A$3:$I$32,3,FALSE)),1,0)</f>
        <v>0</v>
      </c>
      <c r="K119" s="2">
        <f>IF(AND(feasible_mat!J26, VLOOKUP(Recharged_Feasible_matv3!$A119,test!$A$34:$G$37, 3,FALSE)=VLOOKUP(K$1,test!$A$3:$I$32,3,FALSE)),1,0)</f>
        <v>0</v>
      </c>
      <c r="L119" s="2">
        <f>IF(AND(feasible_mat!K26, VLOOKUP(Recharged_Feasible_matv3!$A119,test!$A$34:$G$37, 3,FALSE)=VLOOKUP(L$1,test!$A$3:$I$32,3,FALSE)),1,0)</f>
        <v>0</v>
      </c>
      <c r="M119" s="2">
        <f>IF(AND(feasible_mat!L26, VLOOKUP(Recharged_Feasible_matv3!$A119,test!$A$34:$G$37, 3,FALSE)=VLOOKUP(M$1,test!$A$3:$I$32,3,FALSE)),1,0)</f>
        <v>0</v>
      </c>
      <c r="N119" s="2">
        <f>IF(AND(feasible_mat!M26, VLOOKUP(Recharged_Feasible_matv3!$A119,test!$A$34:$G$37, 3,FALSE)=VLOOKUP(N$1,test!$A$3:$I$32,3,FALSE)),1,0)</f>
        <v>0</v>
      </c>
      <c r="O119" s="2">
        <f>IF(AND(feasible_mat!N26, VLOOKUP(Recharged_Feasible_matv3!$A119,test!$A$34:$G$37, 3,FALSE)=VLOOKUP(O$1,test!$A$3:$I$32,3,FALSE)),1,0)</f>
        <v>0</v>
      </c>
      <c r="P119" s="2">
        <f>IF(AND(feasible_mat!O26, VLOOKUP(Recharged_Feasible_matv3!$A119,test!$A$34:$G$37, 3,FALSE)=VLOOKUP(P$1,test!$A$3:$I$32,3,FALSE)),1,0)</f>
        <v>0</v>
      </c>
      <c r="Q119" s="2">
        <f>IF(AND(feasible_mat!P26, VLOOKUP(Recharged_Feasible_matv3!$A119,test!$A$34:$G$37, 3,FALSE)=VLOOKUP(Q$1,test!$A$3:$I$32,3,FALSE)),1,0)</f>
        <v>0</v>
      </c>
      <c r="R119" s="2">
        <f>IF(AND(feasible_mat!Q26, VLOOKUP(Recharged_Feasible_matv3!$A119,test!$A$34:$G$37, 3,FALSE)=VLOOKUP(R$1,test!$A$3:$I$32,3,FALSE)),1,0)</f>
        <v>0</v>
      </c>
      <c r="S119" s="2">
        <f>IF(AND(feasible_mat!R26, VLOOKUP(Recharged_Feasible_matv3!$A119,test!$A$34:$G$37, 3,FALSE)=VLOOKUP(S$1,test!$A$3:$I$32,3,FALSE)),1,0)</f>
        <v>0</v>
      </c>
      <c r="T119" s="2">
        <f>IF(AND(feasible_mat!S26, VLOOKUP(Recharged_Feasible_matv3!$A119,test!$A$34:$G$37, 3,FALSE)=VLOOKUP(T$1,test!$A$3:$I$32,3,FALSE)),1,0)</f>
        <v>0</v>
      </c>
      <c r="U119" s="2">
        <f>IF(AND(feasible_mat!T26, VLOOKUP(Recharged_Feasible_matv3!$A119,test!$A$34:$G$37, 3,FALSE)=VLOOKUP(U$1,test!$A$3:$I$32,3,FALSE)),1,0)</f>
        <v>0</v>
      </c>
      <c r="V119" s="2">
        <f>IF(AND(feasible_mat!U26, VLOOKUP(Recharged_Feasible_matv3!$A119,test!$A$34:$G$37, 3,FALSE)=VLOOKUP(V$1,test!$A$3:$I$32,3,FALSE)),1,0)</f>
        <v>0</v>
      </c>
      <c r="W119" s="2">
        <f>IF(AND(feasible_mat!V26, VLOOKUP(Recharged_Feasible_matv3!$A119,test!$A$34:$G$37, 3,FALSE)=VLOOKUP(W$1,test!$A$3:$I$32,3,FALSE)),1,0)</f>
        <v>0</v>
      </c>
      <c r="X119" s="2">
        <f>IF(AND(feasible_mat!W26, VLOOKUP(Recharged_Feasible_matv3!$A119,test!$A$34:$G$37, 3,FALSE)=VLOOKUP(X$1,test!$A$3:$I$32,3,FALSE)),1,0)</f>
        <v>0</v>
      </c>
      <c r="Y119" s="2">
        <f>IF(AND(feasible_mat!X26, VLOOKUP(Recharged_Feasible_matv3!$A119,test!$A$34:$G$37, 3,FALSE)=VLOOKUP(Y$1,test!$A$3:$I$32,3,FALSE)),1,0)</f>
        <v>0</v>
      </c>
      <c r="Z119" s="2">
        <f>IF(AND(feasible_mat!Y26, VLOOKUP(Recharged_Feasible_matv3!$A119,test!$A$34:$G$37, 3,FALSE)=VLOOKUP(Z$1,test!$A$3:$I$32,3,FALSE)),1,0)</f>
        <v>0</v>
      </c>
      <c r="AA119" s="2">
        <f>IF(AND(feasible_mat!Z26, VLOOKUP(Recharged_Feasible_matv3!$A119,test!$A$34:$G$37, 3,FALSE)=VLOOKUP(AA$1,test!$A$3:$I$32,3,FALSE)),1,0)</f>
        <v>0</v>
      </c>
      <c r="AB119" s="2">
        <f>IF(AND(feasible_mat!AA26, VLOOKUP(Recharged_Feasible_matv3!$A119,test!$A$34:$G$37, 3,FALSE)=VLOOKUP(AB$1,test!$A$3:$I$32,3,FALSE)),1,0)</f>
        <v>0</v>
      </c>
      <c r="AC119" s="2">
        <f>IF(AND(feasible_mat!AB26, VLOOKUP(Recharged_Feasible_matv3!$A119,test!$A$34:$G$37, 3,FALSE)=VLOOKUP(AC$1,test!$A$3:$I$32,3,FALSE)),1,0)</f>
        <v>1</v>
      </c>
      <c r="AD119" s="2">
        <f>IF(AND(feasible_mat!AC26, VLOOKUP(Recharged_Feasible_matv3!$A119,test!$A$34:$G$37, 3,FALSE)=VLOOKUP(AD$1,test!$A$3:$I$32,3,FALSE)),1,0)</f>
        <v>1</v>
      </c>
      <c r="AE119" s="2">
        <f>IF(AND(feasible_mat!AD26, VLOOKUP(Recharged_Feasible_matv3!$A119,test!$A$34:$G$37, 3,FALSE)=VLOOKUP(AE$1,test!$A$3:$I$32,3,FALSE)),1,0)</f>
        <v>0</v>
      </c>
      <c r="AF119" s="2">
        <f>IF(AND(feasible_mat!AE26, VLOOKUP(Recharged_Feasible_matv3!$A119,test!$A$34:$G$37, 3,FALSE)=VLOOKUP(AF$1,test!$A$3:$I$32,3,FALSE)),1,0)</f>
        <v>0</v>
      </c>
      <c r="AG119" s="2">
        <f>IF(AND(feasible_mat!AF26, VLOOKUP(Recharged_Feasible_matv3!$A119,test!$A$34:$G$37, 3,FALSE)=VLOOKUP(AG$1,test!$A$3:$I$32,3,FALSE)),1,0)</f>
        <v>0</v>
      </c>
    </row>
    <row r="120" spans="1:33" x14ac:dyDescent="0.25">
      <c r="A120" t="s">
        <v>98</v>
      </c>
      <c r="B120" t="s">
        <v>36</v>
      </c>
      <c r="C120">
        <v>0</v>
      </c>
      <c r="D120" s="2">
        <f>IF(AND(feasible_mat!C27, VLOOKUP(Recharged_Feasible_matv3!$A120,test!$A$34:$G$37, 3,FALSE)=VLOOKUP(D$1,test!$A$3:$I$32,3,FALSE)),1,0)</f>
        <v>0</v>
      </c>
      <c r="E120" s="2">
        <f>IF(AND(feasible_mat!D27, VLOOKUP(Recharged_Feasible_matv3!$A120,test!$A$34:$G$37, 3,FALSE)=VLOOKUP(E$1,test!$A$3:$I$32,3,FALSE)),1,0)</f>
        <v>0</v>
      </c>
      <c r="F120" s="2">
        <f>IF(AND(feasible_mat!E27, VLOOKUP(Recharged_Feasible_matv3!$A120,test!$A$34:$G$37, 3,FALSE)=VLOOKUP(F$1,test!$A$3:$I$32,3,FALSE)),1,0)</f>
        <v>0</v>
      </c>
      <c r="G120" s="2">
        <f>IF(AND(feasible_mat!F27, VLOOKUP(Recharged_Feasible_matv3!$A120,test!$A$34:$G$37, 3,FALSE)=VLOOKUP(G$1,test!$A$3:$I$32,3,FALSE)),1,0)</f>
        <v>0</v>
      </c>
      <c r="H120" s="2">
        <f>IF(AND(feasible_mat!G27, VLOOKUP(Recharged_Feasible_matv3!$A120,test!$A$34:$G$37, 3,FALSE)=VLOOKUP(H$1,test!$A$3:$I$32,3,FALSE)),1,0)</f>
        <v>0</v>
      </c>
      <c r="I120" s="2">
        <f>IF(AND(feasible_mat!H27, VLOOKUP(Recharged_Feasible_matv3!$A120,test!$A$34:$G$37, 3,FALSE)=VLOOKUP(I$1,test!$A$3:$I$32,3,FALSE)),1,0)</f>
        <v>0</v>
      </c>
      <c r="J120" s="2">
        <f>IF(AND(feasible_mat!I27, VLOOKUP(Recharged_Feasible_matv3!$A120,test!$A$34:$G$37, 3,FALSE)=VLOOKUP(J$1,test!$A$3:$I$32,3,FALSE)),1,0)</f>
        <v>0</v>
      </c>
      <c r="K120" s="2">
        <f>IF(AND(feasible_mat!J27, VLOOKUP(Recharged_Feasible_matv3!$A120,test!$A$34:$G$37, 3,FALSE)=VLOOKUP(K$1,test!$A$3:$I$32,3,FALSE)),1,0)</f>
        <v>0</v>
      </c>
      <c r="L120" s="2">
        <f>IF(AND(feasible_mat!K27, VLOOKUP(Recharged_Feasible_matv3!$A120,test!$A$34:$G$37, 3,FALSE)=VLOOKUP(L$1,test!$A$3:$I$32,3,FALSE)),1,0)</f>
        <v>0</v>
      </c>
      <c r="M120" s="2">
        <f>IF(AND(feasible_mat!L27, VLOOKUP(Recharged_Feasible_matv3!$A120,test!$A$34:$G$37, 3,FALSE)=VLOOKUP(M$1,test!$A$3:$I$32,3,FALSE)),1,0)</f>
        <v>0</v>
      </c>
      <c r="N120" s="2">
        <f>IF(AND(feasible_mat!M27, VLOOKUP(Recharged_Feasible_matv3!$A120,test!$A$34:$G$37, 3,FALSE)=VLOOKUP(N$1,test!$A$3:$I$32,3,FALSE)),1,0)</f>
        <v>0</v>
      </c>
      <c r="O120" s="2">
        <f>IF(AND(feasible_mat!N27, VLOOKUP(Recharged_Feasible_matv3!$A120,test!$A$34:$G$37, 3,FALSE)=VLOOKUP(O$1,test!$A$3:$I$32,3,FALSE)),1,0)</f>
        <v>0</v>
      </c>
      <c r="P120" s="2">
        <f>IF(AND(feasible_mat!O27, VLOOKUP(Recharged_Feasible_matv3!$A120,test!$A$34:$G$37, 3,FALSE)=VLOOKUP(P$1,test!$A$3:$I$32,3,FALSE)),1,0)</f>
        <v>0</v>
      </c>
      <c r="Q120" s="2">
        <f>IF(AND(feasible_mat!P27, VLOOKUP(Recharged_Feasible_matv3!$A120,test!$A$34:$G$37, 3,FALSE)=VLOOKUP(Q$1,test!$A$3:$I$32,3,FALSE)),1,0)</f>
        <v>0</v>
      </c>
      <c r="R120" s="2">
        <f>IF(AND(feasible_mat!Q27, VLOOKUP(Recharged_Feasible_matv3!$A120,test!$A$34:$G$37, 3,FALSE)=VLOOKUP(R$1,test!$A$3:$I$32,3,FALSE)),1,0)</f>
        <v>0</v>
      </c>
      <c r="S120" s="2">
        <f>IF(AND(feasible_mat!R27, VLOOKUP(Recharged_Feasible_matv3!$A120,test!$A$34:$G$37, 3,FALSE)=VLOOKUP(S$1,test!$A$3:$I$32,3,FALSE)),1,0)</f>
        <v>0</v>
      </c>
      <c r="T120" s="2">
        <f>IF(AND(feasible_mat!S27, VLOOKUP(Recharged_Feasible_matv3!$A120,test!$A$34:$G$37, 3,FALSE)=VLOOKUP(T$1,test!$A$3:$I$32,3,FALSE)),1,0)</f>
        <v>0</v>
      </c>
      <c r="U120" s="2">
        <f>IF(AND(feasible_mat!T27, VLOOKUP(Recharged_Feasible_matv3!$A120,test!$A$34:$G$37, 3,FALSE)=VLOOKUP(U$1,test!$A$3:$I$32,3,FALSE)),1,0)</f>
        <v>0</v>
      </c>
      <c r="V120" s="2">
        <f>IF(AND(feasible_mat!U27, VLOOKUP(Recharged_Feasible_matv3!$A120,test!$A$34:$G$37, 3,FALSE)=VLOOKUP(V$1,test!$A$3:$I$32,3,FALSE)),1,0)</f>
        <v>0</v>
      </c>
      <c r="W120" s="2">
        <f>IF(AND(feasible_mat!V27, VLOOKUP(Recharged_Feasible_matv3!$A120,test!$A$34:$G$37, 3,FALSE)=VLOOKUP(W$1,test!$A$3:$I$32,3,FALSE)),1,0)</f>
        <v>0</v>
      </c>
      <c r="X120" s="2">
        <f>IF(AND(feasible_mat!W27, VLOOKUP(Recharged_Feasible_matv3!$A120,test!$A$34:$G$37, 3,FALSE)=VLOOKUP(X$1,test!$A$3:$I$32,3,FALSE)),1,0)</f>
        <v>0</v>
      </c>
      <c r="Y120" s="2">
        <f>IF(AND(feasible_mat!X27, VLOOKUP(Recharged_Feasible_matv3!$A120,test!$A$34:$G$37, 3,FALSE)=VLOOKUP(Y$1,test!$A$3:$I$32,3,FALSE)),1,0)</f>
        <v>0</v>
      </c>
      <c r="Z120" s="2">
        <f>IF(AND(feasible_mat!Y27, VLOOKUP(Recharged_Feasible_matv3!$A120,test!$A$34:$G$37, 3,FALSE)=VLOOKUP(Z$1,test!$A$3:$I$32,3,FALSE)),1,0)</f>
        <v>0</v>
      </c>
      <c r="AA120" s="2">
        <f>IF(AND(feasible_mat!Z27, VLOOKUP(Recharged_Feasible_matv3!$A120,test!$A$34:$G$37, 3,FALSE)=VLOOKUP(AA$1,test!$A$3:$I$32,3,FALSE)),1,0)</f>
        <v>0</v>
      </c>
      <c r="AB120" s="2">
        <f>IF(AND(feasible_mat!AA27, VLOOKUP(Recharged_Feasible_matv3!$A120,test!$A$34:$G$37, 3,FALSE)=VLOOKUP(AB$1,test!$A$3:$I$32,3,FALSE)),1,0)</f>
        <v>0</v>
      </c>
      <c r="AC120" s="2">
        <f>IF(AND(feasible_mat!AB27, VLOOKUP(Recharged_Feasible_matv3!$A120,test!$A$34:$G$37, 3,FALSE)=VLOOKUP(AC$1,test!$A$3:$I$32,3,FALSE)),1,0)</f>
        <v>0</v>
      </c>
      <c r="AD120" s="2">
        <f>IF(AND(feasible_mat!AC27, VLOOKUP(Recharged_Feasible_matv3!$A120,test!$A$34:$G$37, 3,FALSE)=VLOOKUP(AD$1,test!$A$3:$I$32,3,FALSE)),1,0)</f>
        <v>1</v>
      </c>
      <c r="AE120" s="2">
        <f>IF(AND(feasible_mat!AD27, VLOOKUP(Recharged_Feasible_matv3!$A120,test!$A$34:$G$37, 3,FALSE)=VLOOKUP(AE$1,test!$A$3:$I$32,3,FALSE)),1,0)</f>
        <v>0</v>
      </c>
      <c r="AF120" s="2">
        <f>IF(AND(feasible_mat!AE27, VLOOKUP(Recharged_Feasible_matv3!$A120,test!$A$34:$G$37, 3,FALSE)=VLOOKUP(AF$1,test!$A$3:$I$32,3,FALSE)),1,0)</f>
        <v>0</v>
      </c>
      <c r="AG120" s="2">
        <f>IF(AND(feasible_mat!AF27, VLOOKUP(Recharged_Feasible_matv3!$A120,test!$A$34:$G$37, 3,FALSE)=VLOOKUP(AG$1,test!$A$3:$I$32,3,FALSE)),1,0)</f>
        <v>0</v>
      </c>
    </row>
    <row r="121" spans="1:33" x14ac:dyDescent="0.25">
      <c r="A121" t="s">
        <v>98</v>
      </c>
      <c r="B121" t="s">
        <v>37</v>
      </c>
      <c r="C121">
        <v>0</v>
      </c>
      <c r="D121" s="2">
        <f>IF(AND(feasible_mat!C28, VLOOKUP(Recharged_Feasible_matv3!$A121,test!$A$34:$G$37, 3,FALSE)=VLOOKUP(D$1,test!$A$3:$I$32,3,FALSE)),1,0)</f>
        <v>0</v>
      </c>
      <c r="E121" s="2">
        <f>IF(AND(feasible_mat!D28, VLOOKUP(Recharged_Feasible_matv3!$A121,test!$A$34:$G$37, 3,FALSE)=VLOOKUP(E$1,test!$A$3:$I$32,3,FALSE)),1,0)</f>
        <v>0</v>
      </c>
      <c r="F121" s="2">
        <f>IF(AND(feasible_mat!E28, VLOOKUP(Recharged_Feasible_matv3!$A121,test!$A$34:$G$37, 3,FALSE)=VLOOKUP(F$1,test!$A$3:$I$32,3,FALSE)),1,0)</f>
        <v>0</v>
      </c>
      <c r="G121" s="2">
        <f>IF(AND(feasible_mat!F28, VLOOKUP(Recharged_Feasible_matv3!$A121,test!$A$34:$G$37, 3,FALSE)=VLOOKUP(G$1,test!$A$3:$I$32,3,FALSE)),1,0)</f>
        <v>0</v>
      </c>
      <c r="H121" s="2">
        <f>IF(AND(feasible_mat!G28, VLOOKUP(Recharged_Feasible_matv3!$A121,test!$A$34:$G$37, 3,FALSE)=VLOOKUP(H$1,test!$A$3:$I$32,3,FALSE)),1,0)</f>
        <v>0</v>
      </c>
      <c r="I121" s="2">
        <f>IF(AND(feasible_mat!H28, VLOOKUP(Recharged_Feasible_matv3!$A121,test!$A$34:$G$37, 3,FALSE)=VLOOKUP(I$1,test!$A$3:$I$32,3,FALSE)),1,0)</f>
        <v>0</v>
      </c>
      <c r="J121" s="2">
        <f>IF(AND(feasible_mat!I28, VLOOKUP(Recharged_Feasible_matv3!$A121,test!$A$34:$G$37, 3,FALSE)=VLOOKUP(J$1,test!$A$3:$I$32,3,FALSE)),1,0)</f>
        <v>0</v>
      </c>
      <c r="K121" s="2">
        <f>IF(AND(feasible_mat!J28, VLOOKUP(Recharged_Feasible_matv3!$A121,test!$A$34:$G$37, 3,FALSE)=VLOOKUP(K$1,test!$A$3:$I$32,3,FALSE)),1,0)</f>
        <v>0</v>
      </c>
      <c r="L121" s="2">
        <f>IF(AND(feasible_mat!K28, VLOOKUP(Recharged_Feasible_matv3!$A121,test!$A$34:$G$37, 3,FALSE)=VLOOKUP(L$1,test!$A$3:$I$32,3,FALSE)),1,0)</f>
        <v>0</v>
      </c>
      <c r="M121" s="2">
        <f>IF(AND(feasible_mat!L28, VLOOKUP(Recharged_Feasible_matv3!$A121,test!$A$34:$G$37, 3,FALSE)=VLOOKUP(M$1,test!$A$3:$I$32,3,FALSE)),1,0)</f>
        <v>0</v>
      </c>
      <c r="N121" s="2">
        <f>IF(AND(feasible_mat!M28, VLOOKUP(Recharged_Feasible_matv3!$A121,test!$A$34:$G$37, 3,FALSE)=VLOOKUP(N$1,test!$A$3:$I$32,3,FALSE)),1,0)</f>
        <v>0</v>
      </c>
      <c r="O121" s="2">
        <f>IF(AND(feasible_mat!N28, VLOOKUP(Recharged_Feasible_matv3!$A121,test!$A$34:$G$37, 3,FALSE)=VLOOKUP(O$1,test!$A$3:$I$32,3,FALSE)),1,0)</f>
        <v>0</v>
      </c>
      <c r="P121" s="2">
        <f>IF(AND(feasible_mat!O28, VLOOKUP(Recharged_Feasible_matv3!$A121,test!$A$34:$G$37, 3,FALSE)=VLOOKUP(P$1,test!$A$3:$I$32,3,FALSE)),1,0)</f>
        <v>0</v>
      </c>
      <c r="Q121" s="2">
        <f>IF(AND(feasible_mat!P28, VLOOKUP(Recharged_Feasible_matv3!$A121,test!$A$34:$G$37, 3,FALSE)=VLOOKUP(Q$1,test!$A$3:$I$32,3,FALSE)),1,0)</f>
        <v>0</v>
      </c>
      <c r="R121" s="2">
        <f>IF(AND(feasible_mat!Q28, VLOOKUP(Recharged_Feasible_matv3!$A121,test!$A$34:$G$37, 3,FALSE)=VLOOKUP(R$1,test!$A$3:$I$32,3,FALSE)),1,0)</f>
        <v>0</v>
      </c>
      <c r="S121" s="2">
        <f>IF(AND(feasible_mat!R28, VLOOKUP(Recharged_Feasible_matv3!$A121,test!$A$34:$G$37, 3,FALSE)=VLOOKUP(S$1,test!$A$3:$I$32,3,FALSE)),1,0)</f>
        <v>0</v>
      </c>
      <c r="T121" s="2">
        <f>IF(AND(feasible_mat!S28, VLOOKUP(Recharged_Feasible_matv3!$A121,test!$A$34:$G$37, 3,FALSE)=VLOOKUP(T$1,test!$A$3:$I$32,3,FALSE)),1,0)</f>
        <v>0</v>
      </c>
      <c r="U121" s="2">
        <f>IF(AND(feasible_mat!T28, VLOOKUP(Recharged_Feasible_matv3!$A121,test!$A$34:$G$37, 3,FALSE)=VLOOKUP(U$1,test!$A$3:$I$32,3,FALSE)),1,0)</f>
        <v>0</v>
      </c>
      <c r="V121" s="2">
        <f>IF(AND(feasible_mat!U28, VLOOKUP(Recharged_Feasible_matv3!$A121,test!$A$34:$G$37, 3,FALSE)=VLOOKUP(V$1,test!$A$3:$I$32,3,FALSE)),1,0)</f>
        <v>0</v>
      </c>
      <c r="W121" s="2">
        <f>IF(AND(feasible_mat!V28, VLOOKUP(Recharged_Feasible_matv3!$A121,test!$A$34:$G$37, 3,FALSE)=VLOOKUP(W$1,test!$A$3:$I$32,3,FALSE)),1,0)</f>
        <v>0</v>
      </c>
      <c r="X121" s="2">
        <f>IF(AND(feasible_mat!W28, VLOOKUP(Recharged_Feasible_matv3!$A121,test!$A$34:$G$37, 3,FALSE)=VLOOKUP(X$1,test!$A$3:$I$32,3,FALSE)),1,0)</f>
        <v>0</v>
      </c>
      <c r="Y121" s="2">
        <f>IF(AND(feasible_mat!X28, VLOOKUP(Recharged_Feasible_matv3!$A121,test!$A$34:$G$37, 3,FALSE)=VLOOKUP(Y$1,test!$A$3:$I$32,3,FALSE)),1,0)</f>
        <v>0</v>
      </c>
      <c r="Z121" s="2">
        <f>IF(AND(feasible_mat!Y28, VLOOKUP(Recharged_Feasible_matv3!$A121,test!$A$34:$G$37, 3,FALSE)=VLOOKUP(Z$1,test!$A$3:$I$32,3,FALSE)),1,0)</f>
        <v>0</v>
      </c>
      <c r="AA121" s="2">
        <f>IF(AND(feasible_mat!Z28, VLOOKUP(Recharged_Feasible_matv3!$A121,test!$A$34:$G$37, 3,FALSE)=VLOOKUP(AA$1,test!$A$3:$I$32,3,FALSE)),1,0)</f>
        <v>0</v>
      </c>
      <c r="AB121" s="2">
        <f>IF(AND(feasible_mat!AA28, VLOOKUP(Recharged_Feasible_matv3!$A121,test!$A$34:$G$37, 3,FALSE)=VLOOKUP(AB$1,test!$A$3:$I$32,3,FALSE)),1,0)</f>
        <v>0</v>
      </c>
      <c r="AC121" s="2">
        <f>IF(AND(feasible_mat!AB28, VLOOKUP(Recharged_Feasible_matv3!$A121,test!$A$34:$G$37, 3,FALSE)=VLOOKUP(AC$1,test!$A$3:$I$32,3,FALSE)),1,0)</f>
        <v>0</v>
      </c>
      <c r="AD121" s="2">
        <f>IF(AND(feasible_mat!AC28, VLOOKUP(Recharged_Feasible_matv3!$A121,test!$A$34:$G$37, 3,FALSE)=VLOOKUP(AD$1,test!$A$3:$I$32,3,FALSE)),1,0)</f>
        <v>0</v>
      </c>
      <c r="AE121" s="2">
        <f>IF(AND(feasible_mat!AD28, VLOOKUP(Recharged_Feasible_matv3!$A121,test!$A$34:$G$37, 3,FALSE)=VLOOKUP(AE$1,test!$A$3:$I$32,3,FALSE)),1,0)</f>
        <v>0</v>
      </c>
      <c r="AF121" s="2">
        <f>IF(AND(feasible_mat!AE28, VLOOKUP(Recharged_Feasible_matv3!$A121,test!$A$34:$G$37, 3,FALSE)=VLOOKUP(AF$1,test!$A$3:$I$32,3,FALSE)),1,0)</f>
        <v>0</v>
      </c>
      <c r="AG121" s="2">
        <f>IF(AND(feasible_mat!AF28, VLOOKUP(Recharged_Feasible_matv3!$A121,test!$A$34:$G$37, 3,FALSE)=VLOOKUP(AG$1,test!$A$3:$I$32,3,FALSE)),1,0)</f>
        <v>0</v>
      </c>
    </row>
    <row r="122" spans="1:33" x14ac:dyDescent="0.25">
      <c r="A122" t="s">
        <v>98</v>
      </c>
      <c r="B122" t="s">
        <v>38</v>
      </c>
      <c r="C122">
        <v>0</v>
      </c>
      <c r="D122" s="2">
        <f>IF(AND(feasible_mat!C29, VLOOKUP(Recharged_Feasible_matv3!$A122,test!$A$34:$G$37, 3,FALSE)=VLOOKUP(D$1,test!$A$3:$I$32,3,FALSE)),1,0)</f>
        <v>0</v>
      </c>
      <c r="E122" s="2">
        <f>IF(AND(feasible_mat!D29, VLOOKUP(Recharged_Feasible_matv3!$A122,test!$A$34:$G$37, 3,FALSE)=VLOOKUP(E$1,test!$A$3:$I$32,3,FALSE)),1,0)</f>
        <v>0</v>
      </c>
      <c r="F122" s="2">
        <f>IF(AND(feasible_mat!E29, VLOOKUP(Recharged_Feasible_matv3!$A122,test!$A$34:$G$37, 3,FALSE)=VLOOKUP(F$1,test!$A$3:$I$32,3,FALSE)),1,0)</f>
        <v>0</v>
      </c>
      <c r="G122" s="2">
        <f>IF(AND(feasible_mat!F29, VLOOKUP(Recharged_Feasible_matv3!$A122,test!$A$34:$G$37, 3,FALSE)=VLOOKUP(G$1,test!$A$3:$I$32,3,FALSE)),1,0)</f>
        <v>0</v>
      </c>
      <c r="H122" s="2">
        <f>IF(AND(feasible_mat!G29, VLOOKUP(Recharged_Feasible_matv3!$A122,test!$A$34:$G$37, 3,FALSE)=VLOOKUP(H$1,test!$A$3:$I$32,3,FALSE)),1,0)</f>
        <v>0</v>
      </c>
      <c r="I122" s="2">
        <f>IF(AND(feasible_mat!H29, VLOOKUP(Recharged_Feasible_matv3!$A122,test!$A$34:$G$37, 3,FALSE)=VLOOKUP(I$1,test!$A$3:$I$32,3,FALSE)),1,0)</f>
        <v>0</v>
      </c>
      <c r="J122" s="2">
        <f>IF(AND(feasible_mat!I29, VLOOKUP(Recharged_Feasible_matv3!$A122,test!$A$34:$G$37, 3,FALSE)=VLOOKUP(J$1,test!$A$3:$I$32,3,FALSE)),1,0)</f>
        <v>0</v>
      </c>
      <c r="K122" s="2">
        <f>IF(AND(feasible_mat!J29, VLOOKUP(Recharged_Feasible_matv3!$A122,test!$A$34:$G$37, 3,FALSE)=VLOOKUP(K$1,test!$A$3:$I$32,3,FALSE)),1,0)</f>
        <v>0</v>
      </c>
      <c r="L122" s="2">
        <f>IF(AND(feasible_mat!K29, VLOOKUP(Recharged_Feasible_matv3!$A122,test!$A$34:$G$37, 3,FALSE)=VLOOKUP(L$1,test!$A$3:$I$32,3,FALSE)),1,0)</f>
        <v>0</v>
      </c>
      <c r="M122" s="2">
        <f>IF(AND(feasible_mat!L29, VLOOKUP(Recharged_Feasible_matv3!$A122,test!$A$34:$G$37, 3,FALSE)=VLOOKUP(M$1,test!$A$3:$I$32,3,FALSE)),1,0)</f>
        <v>0</v>
      </c>
      <c r="N122" s="2">
        <f>IF(AND(feasible_mat!M29, VLOOKUP(Recharged_Feasible_matv3!$A122,test!$A$34:$G$37, 3,FALSE)=VLOOKUP(N$1,test!$A$3:$I$32,3,FALSE)),1,0)</f>
        <v>0</v>
      </c>
      <c r="O122" s="2">
        <f>IF(AND(feasible_mat!N29, VLOOKUP(Recharged_Feasible_matv3!$A122,test!$A$34:$G$37, 3,FALSE)=VLOOKUP(O$1,test!$A$3:$I$32,3,FALSE)),1,0)</f>
        <v>0</v>
      </c>
      <c r="P122" s="2">
        <f>IF(AND(feasible_mat!O29, VLOOKUP(Recharged_Feasible_matv3!$A122,test!$A$34:$G$37, 3,FALSE)=VLOOKUP(P$1,test!$A$3:$I$32,3,FALSE)),1,0)</f>
        <v>0</v>
      </c>
      <c r="Q122" s="2">
        <f>IF(AND(feasible_mat!P29, VLOOKUP(Recharged_Feasible_matv3!$A122,test!$A$34:$G$37, 3,FALSE)=VLOOKUP(Q$1,test!$A$3:$I$32,3,FALSE)),1,0)</f>
        <v>0</v>
      </c>
      <c r="R122" s="2">
        <f>IF(AND(feasible_mat!Q29, VLOOKUP(Recharged_Feasible_matv3!$A122,test!$A$34:$G$37, 3,FALSE)=VLOOKUP(R$1,test!$A$3:$I$32,3,FALSE)),1,0)</f>
        <v>0</v>
      </c>
      <c r="S122" s="2">
        <f>IF(AND(feasible_mat!R29, VLOOKUP(Recharged_Feasible_matv3!$A122,test!$A$34:$G$37, 3,FALSE)=VLOOKUP(S$1,test!$A$3:$I$32,3,FALSE)),1,0)</f>
        <v>0</v>
      </c>
      <c r="T122" s="2">
        <f>IF(AND(feasible_mat!S29, VLOOKUP(Recharged_Feasible_matv3!$A122,test!$A$34:$G$37, 3,FALSE)=VLOOKUP(T$1,test!$A$3:$I$32,3,FALSE)),1,0)</f>
        <v>0</v>
      </c>
      <c r="U122" s="2">
        <f>IF(AND(feasible_mat!T29, VLOOKUP(Recharged_Feasible_matv3!$A122,test!$A$34:$G$37, 3,FALSE)=VLOOKUP(U$1,test!$A$3:$I$32,3,FALSE)),1,0)</f>
        <v>0</v>
      </c>
      <c r="V122" s="2">
        <f>IF(AND(feasible_mat!U29, VLOOKUP(Recharged_Feasible_matv3!$A122,test!$A$34:$G$37, 3,FALSE)=VLOOKUP(V$1,test!$A$3:$I$32,3,FALSE)),1,0)</f>
        <v>0</v>
      </c>
      <c r="W122" s="2">
        <f>IF(AND(feasible_mat!V29, VLOOKUP(Recharged_Feasible_matv3!$A122,test!$A$34:$G$37, 3,FALSE)=VLOOKUP(W$1,test!$A$3:$I$32,3,FALSE)),1,0)</f>
        <v>0</v>
      </c>
      <c r="X122" s="2">
        <f>IF(AND(feasible_mat!W29, VLOOKUP(Recharged_Feasible_matv3!$A122,test!$A$34:$G$37, 3,FALSE)=VLOOKUP(X$1,test!$A$3:$I$32,3,FALSE)),1,0)</f>
        <v>0</v>
      </c>
      <c r="Y122" s="2">
        <f>IF(AND(feasible_mat!X29, VLOOKUP(Recharged_Feasible_matv3!$A122,test!$A$34:$G$37, 3,FALSE)=VLOOKUP(Y$1,test!$A$3:$I$32,3,FALSE)),1,0)</f>
        <v>0</v>
      </c>
      <c r="Z122" s="2">
        <f>IF(AND(feasible_mat!Y29, VLOOKUP(Recharged_Feasible_matv3!$A122,test!$A$34:$G$37, 3,FALSE)=VLOOKUP(Z$1,test!$A$3:$I$32,3,FALSE)),1,0)</f>
        <v>0</v>
      </c>
      <c r="AA122" s="2">
        <f>IF(AND(feasible_mat!Z29, VLOOKUP(Recharged_Feasible_matv3!$A122,test!$A$34:$G$37, 3,FALSE)=VLOOKUP(AA$1,test!$A$3:$I$32,3,FALSE)),1,0)</f>
        <v>0</v>
      </c>
      <c r="AB122" s="2">
        <f>IF(AND(feasible_mat!AA29, VLOOKUP(Recharged_Feasible_matv3!$A122,test!$A$34:$G$37, 3,FALSE)=VLOOKUP(AB$1,test!$A$3:$I$32,3,FALSE)),1,0)</f>
        <v>0</v>
      </c>
      <c r="AC122" s="2">
        <f>IF(AND(feasible_mat!AB29, VLOOKUP(Recharged_Feasible_matv3!$A122,test!$A$34:$G$37, 3,FALSE)=VLOOKUP(AC$1,test!$A$3:$I$32,3,FALSE)),1,0)</f>
        <v>0</v>
      </c>
      <c r="AD122" s="2">
        <f>IF(AND(feasible_mat!AC29, VLOOKUP(Recharged_Feasible_matv3!$A122,test!$A$34:$G$37, 3,FALSE)=VLOOKUP(AD$1,test!$A$3:$I$32,3,FALSE)),1,0)</f>
        <v>0</v>
      </c>
      <c r="AE122" s="2">
        <f>IF(AND(feasible_mat!AD29, VLOOKUP(Recharged_Feasible_matv3!$A122,test!$A$34:$G$37, 3,FALSE)=VLOOKUP(AE$1,test!$A$3:$I$32,3,FALSE)),1,0)</f>
        <v>0</v>
      </c>
      <c r="AF122" s="2">
        <f>IF(AND(feasible_mat!AE29, VLOOKUP(Recharged_Feasible_matv3!$A122,test!$A$34:$G$37, 3,FALSE)=VLOOKUP(AF$1,test!$A$3:$I$32,3,FALSE)),1,0)</f>
        <v>0</v>
      </c>
      <c r="AG122" s="2">
        <f>IF(AND(feasible_mat!AF29, VLOOKUP(Recharged_Feasible_matv3!$A122,test!$A$34:$G$37, 3,FALSE)=VLOOKUP(AG$1,test!$A$3:$I$32,3,FALSE)),1,0)</f>
        <v>0</v>
      </c>
    </row>
    <row r="123" spans="1:33" x14ac:dyDescent="0.25">
      <c r="A123" t="s">
        <v>98</v>
      </c>
      <c r="B123" t="s">
        <v>39</v>
      </c>
      <c r="C123">
        <v>0</v>
      </c>
      <c r="D123" s="2">
        <f>IF(AND(feasible_mat!C30, VLOOKUP(Recharged_Feasible_matv3!$A123,test!$A$34:$G$37, 3,FALSE)=VLOOKUP(D$1,test!$A$3:$I$32,3,FALSE)),1,0)</f>
        <v>0</v>
      </c>
      <c r="E123" s="2">
        <f>IF(AND(feasible_mat!D30, VLOOKUP(Recharged_Feasible_matv3!$A123,test!$A$34:$G$37, 3,FALSE)=VLOOKUP(E$1,test!$A$3:$I$32,3,FALSE)),1,0)</f>
        <v>0</v>
      </c>
      <c r="F123" s="2">
        <f>IF(AND(feasible_mat!E30, VLOOKUP(Recharged_Feasible_matv3!$A123,test!$A$34:$G$37, 3,FALSE)=VLOOKUP(F$1,test!$A$3:$I$32,3,FALSE)),1,0)</f>
        <v>0</v>
      </c>
      <c r="G123" s="2">
        <f>IF(AND(feasible_mat!F30, VLOOKUP(Recharged_Feasible_matv3!$A123,test!$A$34:$G$37, 3,FALSE)=VLOOKUP(G$1,test!$A$3:$I$32,3,FALSE)),1,0)</f>
        <v>0</v>
      </c>
      <c r="H123" s="2">
        <f>IF(AND(feasible_mat!G30, VLOOKUP(Recharged_Feasible_matv3!$A123,test!$A$34:$G$37, 3,FALSE)=VLOOKUP(H$1,test!$A$3:$I$32,3,FALSE)),1,0)</f>
        <v>0</v>
      </c>
      <c r="I123" s="2">
        <f>IF(AND(feasible_mat!H30, VLOOKUP(Recharged_Feasible_matv3!$A123,test!$A$34:$G$37, 3,FALSE)=VLOOKUP(I$1,test!$A$3:$I$32,3,FALSE)),1,0)</f>
        <v>0</v>
      </c>
      <c r="J123" s="2">
        <f>IF(AND(feasible_mat!I30, VLOOKUP(Recharged_Feasible_matv3!$A123,test!$A$34:$G$37, 3,FALSE)=VLOOKUP(J$1,test!$A$3:$I$32,3,FALSE)),1,0)</f>
        <v>0</v>
      </c>
      <c r="K123" s="2">
        <f>IF(AND(feasible_mat!J30, VLOOKUP(Recharged_Feasible_matv3!$A123,test!$A$34:$G$37, 3,FALSE)=VLOOKUP(K$1,test!$A$3:$I$32,3,FALSE)),1,0)</f>
        <v>0</v>
      </c>
      <c r="L123" s="2">
        <f>IF(AND(feasible_mat!K30, VLOOKUP(Recharged_Feasible_matv3!$A123,test!$A$34:$G$37, 3,FALSE)=VLOOKUP(L$1,test!$A$3:$I$32,3,FALSE)),1,0)</f>
        <v>0</v>
      </c>
      <c r="M123" s="2">
        <f>IF(AND(feasible_mat!L30, VLOOKUP(Recharged_Feasible_matv3!$A123,test!$A$34:$G$37, 3,FALSE)=VLOOKUP(M$1,test!$A$3:$I$32,3,FALSE)),1,0)</f>
        <v>0</v>
      </c>
      <c r="N123" s="2">
        <f>IF(AND(feasible_mat!M30, VLOOKUP(Recharged_Feasible_matv3!$A123,test!$A$34:$G$37, 3,FALSE)=VLOOKUP(N$1,test!$A$3:$I$32,3,FALSE)),1,0)</f>
        <v>0</v>
      </c>
      <c r="O123" s="2">
        <f>IF(AND(feasible_mat!N30, VLOOKUP(Recharged_Feasible_matv3!$A123,test!$A$34:$G$37, 3,FALSE)=VLOOKUP(O$1,test!$A$3:$I$32,3,FALSE)),1,0)</f>
        <v>0</v>
      </c>
      <c r="P123" s="2">
        <f>IF(AND(feasible_mat!O30, VLOOKUP(Recharged_Feasible_matv3!$A123,test!$A$34:$G$37, 3,FALSE)=VLOOKUP(P$1,test!$A$3:$I$32,3,FALSE)),1,0)</f>
        <v>0</v>
      </c>
      <c r="Q123" s="2">
        <f>IF(AND(feasible_mat!P30, VLOOKUP(Recharged_Feasible_matv3!$A123,test!$A$34:$G$37, 3,FALSE)=VLOOKUP(Q$1,test!$A$3:$I$32,3,FALSE)),1,0)</f>
        <v>0</v>
      </c>
      <c r="R123" s="2">
        <f>IF(AND(feasible_mat!Q30, VLOOKUP(Recharged_Feasible_matv3!$A123,test!$A$34:$G$37, 3,FALSE)=VLOOKUP(R$1,test!$A$3:$I$32,3,FALSE)),1,0)</f>
        <v>0</v>
      </c>
      <c r="S123" s="2">
        <f>IF(AND(feasible_mat!R30, VLOOKUP(Recharged_Feasible_matv3!$A123,test!$A$34:$G$37, 3,FALSE)=VLOOKUP(S$1,test!$A$3:$I$32,3,FALSE)),1,0)</f>
        <v>0</v>
      </c>
      <c r="T123" s="2">
        <f>IF(AND(feasible_mat!S30, VLOOKUP(Recharged_Feasible_matv3!$A123,test!$A$34:$G$37, 3,FALSE)=VLOOKUP(T$1,test!$A$3:$I$32,3,FALSE)),1,0)</f>
        <v>0</v>
      </c>
      <c r="U123" s="2">
        <f>IF(AND(feasible_mat!T30, VLOOKUP(Recharged_Feasible_matv3!$A123,test!$A$34:$G$37, 3,FALSE)=VLOOKUP(U$1,test!$A$3:$I$32,3,FALSE)),1,0)</f>
        <v>0</v>
      </c>
      <c r="V123" s="2">
        <f>IF(AND(feasible_mat!U30, VLOOKUP(Recharged_Feasible_matv3!$A123,test!$A$34:$G$37, 3,FALSE)=VLOOKUP(V$1,test!$A$3:$I$32,3,FALSE)),1,0)</f>
        <v>0</v>
      </c>
      <c r="W123" s="2">
        <f>IF(AND(feasible_mat!V30, VLOOKUP(Recharged_Feasible_matv3!$A123,test!$A$34:$G$37, 3,FALSE)=VLOOKUP(W$1,test!$A$3:$I$32,3,FALSE)),1,0)</f>
        <v>0</v>
      </c>
      <c r="X123" s="2">
        <f>IF(AND(feasible_mat!W30, VLOOKUP(Recharged_Feasible_matv3!$A123,test!$A$34:$G$37, 3,FALSE)=VLOOKUP(X$1,test!$A$3:$I$32,3,FALSE)),1,0)</f>
        <v>0</v>
      </c>
      <c r="Y123" s="2">
        <f>IF(AND(feasible_mat!X30, VLOOKUP(Recharged_Feasible_matv3!$A123,test!$A$34:$G$37, 3,FALSE)=VLOOKUP(Y$1,test!$A$3:$I$32,3,FALSE)),1,0)</f>
        <v>0</v>
      </c>
      <c r="Z123" s="2">
        <f>IF(AND(feasible_mat!Y30, VLOOKUP(Recharged_Feasible_matv3!$A123,test!$A$34:$G$37, 3,FALSE)=VLOOKUP(Z$1,test!$A$3:$I$32,3,FALSE)),1,0)</f>
        <v>0</v>
      </c>
      <c r="AA123" s="2">
        <f>IF(AND(feasible_mat!Z30, VLOOKUP(Recharged_Feasible_matv3!$A123,test!$A$34:$G$37, 3,FALSE)=VLOOKUP(AA$1,test!$A$3:$I$32,3,FALSE)),1,0)</f>
        <v>1</v>
      </c>
      <c r="AB123" s="2">
        <f>IF(AND(feasible_mat!AA30, VLOOKUP(Recharged_Feasible_matv3!$A123,test!$A$34:$G$37, 3,FALSE)=VLOOKUP(AB$1,test!$A$3:$I$32,3,FALSE)),1,0)</f>
        <v>1</v>
      </c>
      <c r="AC123" s="2">
        <f>IF(AND(feasible_mat!AB30, VLOOKUP(Recharged_Feasible_matv3!$A123,test!$A$34:$G$37, 3,FALSE)=VLOOKUP(AC$1,test!$A$3:$I$32,3,FALSE)),1,0)</f>
        <v>1</v>
      </c>
      <c r="AD123" s="2">
        <f>IF(AND(feasible_mat!AC30, VLOOKUP(Recharged_Feasible_matv3!$A123,test!$A$34:$G$37, 3,FALSE)=VLOOKUP(AD$1,test!$A$3:$I$32,3,FALSE)),1,0)</f>
        <v>1</v>
      </c>
      <c r="AE123" s="2">
        <f>IF(AND(feasible_mat!AD30, VLOOKUP(Recharged_Feasible_matv3!$A123,test!$A$34:$G$37, 3,FALSE)=VLOOKUP(AE$1,test!$A$3:$I$32,3,FALSE)),1,0)</f>
        <v>0</v>
      </c>
      <c r="AF123" s="2">
        <f>IF(AND(feasible_mat!AE30, VLOOKUP(Recharged_Feasible_matv3!$A123,test!$A$34:$G$37, 3,FALSE)=VLOOKUP(AF$1,test!$A$3:$I$32,3,FALSE)),1,0)</f>
        <v>0</v>
      </c>
      <c r="AG123" s="2">
        <f>IF(AND(feasible_mat!AF30, VLOOKUP(Recharged_Feasible_matv3!$A123,test!$A$34:$G$37, 3,FALSE)=VLOOKUP(AG$1,test!$A$3:$I$32,3,FALSE)),1,0)</f>
        <v>0</v>
      </c>
    </row>
    <row r="124" spans="1:33" x14ac:dyDescent="0.25">
      <c r="A124" t="s">
        <v>98</v>
      </c>
      <c r="B124" t="s">
        <v>40</v>
      </c>
      <c r="C124">
        <v>0</v>
      </c>
      <c r="D124" s="2">
        <f>IF(AND(feasible_mat!C31, VLOOKUP(Recharged_Feasible_matv3!$A124,test!$A$34:$G$37, 3,FALSE)=VLOOKUP(D$1,test!$A$3:$I$32,3,FALSE)),1,0)</f>
        <v>0</v>
      </c>
      <c r="E124" s="2">
        <f>IF(AND(feasible_mat!D31, VLOOKUP(Recharged_Feasible_matv3!$A124,test!$A$34:$G$37, 3,FALSE)=VLOOKUP(E$1,test!$A$3:$I$32,3,FALSE)),1,0)</f>
        <v>0</v>
      </c>
      <c r="F124" s="2">
        <f>IF(AND(feasible_mat!E31, VLOOKUP(Recharged_Feasible_matv3!$A124,test!$A$34:$G$37, 3,FALSE)=VLOOKUP(F$1,test!$A$3:$I$32,3,FALSE)),1,0)</f>
        <v>0</v>
      </c>
      <c r="G124" s="2">
        <f>IF(AND(feasible_mat!F31, VLOOKUP(Recharged_Feasible_matv3!$A124,test!$A$34:$G$37, 3,FALSE)=VLOOKUP(G$1,test!$A$3:$I$32,3,FALSE)),1,0)</f>
        <v>0</v>
      </c>
      <c r="H124" s="2">
        <f>IF(AND(feasible_mat!G31, VLOOKUP(Recharged_Feasible_matv3!$A124,test!$A$34:$G$37, 3,FALSE)=VLOOKUP(H$1,test!$A$3:$I$32,3,FALSE)),1,0)</f>
        <v>0</v>
      </c>
      <c r="I124" s="2">
        <f>IF(AND(feasible_mat!H31, VLOOKUP(Recharged_Feasible_matv3!$A124,test!$A$34:$G$37, 3,FALSE)=VLOOKUP(I$1,test!$A$3:$I$32,3,FALSE)),1,0)</f>
        <v>0</v>
      </c>
      <c r="J124" s="2">
        <f>IF(AND(feasible_mat!I31, VLOOKUP(Recharged_Feasible_matv3!$A124,test!$A$34:$G$37, 3,FALSE)=VLOOKUP(J$1,test!$A$3:$I$32,3,FALSE)),1,0)</f>
        <v>0</v>
      </c>
      <c r="K124" s="2">
        <f>IF(AND(feasible_mat!J31, VLOOKUP(Recharged_Feasible_matv3!$A124,test!$A$34:$G$37, 3,FALSE)=VLOOKUP(K$1,test!$A$3:$I$32,3,FALSE)),1,0)</f>
        <v>0</v>
      </c>
      <c r="L124" s="2">
        <f>IF(AND(feasible_mat!K31, VLOOKUP(Recharged_Feasible_matv3!$A124,test!$A$34:$G$37, 3,FALSE)=VLOOKUP(L$1,test!$A$3:$I$32,3,FALSE)),1,0)</f>
        <v>0</v>
      </c>
      <c r="M124" s="2">
        <f>IF(AND(feasible_mat!L31, VLOOKUP(Recharged_Feasible_matv3!$A124,test!$A$34:$G$37, 3,FALSE)=VLOOKUP(M$1,test!$A$3:$I$32,3,FALSE)),1,0)</f>
        <v>0</v>
      </c>
      <c r="N124" s="2">
        <f>IF(AND(feasible_mat!M31, VLOOKUP(Recharged_Feasible_matv3!$A124,test!$A$34:$G$37, 3,FALSE)=VLOOKUP(N$1,test!$A$3:$I$32,3,FALSE)),1,0)</f>
        <v>0</v>
      </c>
      <c r="O124" s="2">
        <f>IF(AND(feasible_mat!N31, VLOOKUP(Recharged_Feasible_matv3!$A124,test!$A$34:$G$37, 3,FALSE)=VLOOKUP(O$1,test!$A$3:$I$32,3,FALSE)),1,0)</f>
        <v>0</v>
      </c>
      <c r="P124" s="2">
        <f>IF(AND(feasible_mat!O31, VLOOKUP(Recharged_Feasible_matv3!$A124,test!$A$34:$G$37, 3,FALSE)=VLOOKUP(P$1,test!$A$3:$I$32,3,FALSE)),1,0)</f>
        <v>0</v>
      </c>
      <c r="Q124" s="2">
        <f>IF(AND(feasible_mat!P31, VLOOKUP(Recharged_Feasible_matv3!$A124,test!$A$34:$G$37, 3,FALSE)=VLOOKUP(Q$1,test!$A$3:$I$32,3,FALSE)),1,0)</f>
        <v>0</v>
      </c>
      <c r="R124" s="2">
        <f>IF(AND(feasible_mat!Q31, VLOOKUP(Recharged_Feasible_matv3!$A124,test!$A$34:$G$37, 3,FALSE)=VLOOKUP(R$1,test!$A$3:$I$32,3,FALSE)),1,0)</f>
        <v>0</v>
      </c>
      <c r="S124" s="2">
        <f>IF(AND(feasible_mat!R31, VLOOKUP(Recharged_Feasible_matv3!$A124,test!$A$34:$G$37, 3,FALSE)=VLOOKUP(S$1,test!$A$3:$I$32,3,FALSE)),1,0)</f>
        <v>0</v>
      </c>
      <c r="T124" s="2">
        <f>IF(AND(feasible_mat!S31, VLOOKUP(Recharged_Feasible_matv3!$A124,test!$A$34:$G$37, 3,FALSE)=VLOOKUP(T$1,test!$A$3:$I$32,3,FALSE)),1,0)</f>
        <v>0</v>
      </c>
      <c r="U124" s="2">
        <f>IF(AND(feasible_mat!T31, VLOOKUP(Recharged_Feasible_matv3!$A124,test!$A$34:$G$37, 3,FALSE)=VLOOKUP(U$1,test!$A$3:$I$32,3,FALSE)),1,0)</f>
        <v>0</v>
      </c>
      <c r="V124" s="2">
        <f>IF(AND(feasible_mat!U31, VLOOKUP(Recharged_Feasible_matv3!$A124,test!$A$34:$G$37, 3,FALSE)=VLOOKUP(V$1,test!$A$3:$I$32,3,FALSE)),1,0)</f>
        <v>0</v>
      </c>
      <c r="W124" s="2">
        <f>IF(AND(feasible_mat!V31, VLOOKUP(Recharged_Feasible_matv3!$A124,test!$A$34:$G$37, 3,FALSE)=VLOOKUP(W$1,test!$A$3:$I$32,3,FALSE)),1,0)</f>
        <v>0</v>
      </c>
      <c r="X124" s="2">
        <f>IF(AND(feasible_mat!W31, VLOOKUP(Recharged_Feasible_matv3!$A124,test!$A$34:$G$37, 3,FALSE)=VLOOKUP(X$1,test!$A$3:$I$32,3,FALSE)),1,0)</f>
        <v>0</v>
      </c>
      <c r="Y124" s="2">
        <f>IF(AND(feasible_mat!X31, VLOOKUP(Recharged_Feasible_matv3!$A124,test!$A$34:$G$37, 3,FALSE)=VLOOKUP(Y$1,test!$A$3:$I$32,3,FALSE)),1,0)</f>
        <v>0</v>
      </c>
      <c r="Z124" s="2">
        <f>IF(AND(feasible_mat!Y31, VLOOKUP(Recharged_Feasible_matv3!$A124,test!$A$34:$G$37, 3,FALSE)=VLOOKUP(Z$1,test!$A$3:$I$32,3,FALSE)),1,0)</f>
        <v>0</v>
      </c>
      <c r="AA124" s="2">
        <f>IF(AND(feasible_mat!Z31, VLOOKUP(Recharged_Feasible_matv3!$A124,test!$A$34:$G$37, 3,FALSE)=VLOOKUP(AA$1,test!$A$3:$I$32,3,FALSE)),1,0)</f>
        <v>0</v>
      </c>
      <c r="AB124" s="2">
        <f>IF(AND(feasible_mat!AA31, VLOOKUP(Recharged_Feasible_matv3!$A124,test!$A$34:$G$37, 3,FALSE)=VLOOKUP(AB$1,test!$A$3:$I$32,3,FALSE)),1,0)</f>
        <v>0</v>
      </c>
      <c r="AC124" s="2">
        <f>IF(AND(feasible_mat!AB31, VLOOKUP(Recharged_Feasible_matv3!$A124,test!$A$34:$G$37, 3,FALSE)=VLOOKUP(AC$1,test!$A$3:$I$32,3,FALSE)),1,0)</f>
        <v>0</v>
      </c>
      <c r="AD124" s="2">
        <f>IF(AND(feasible_mat!AC31, VLOOKUP(Recharged_Feasible_matv3!$A124,test!$A$34:$G$37, 3,FALSE)=VLOOKUP(AD$1,test!$A$3:$I$32,3,FALSE)),1,0)</f>
        <v>0</v>
      </c>
      <c r="AE124" s="2">
        <f>IF(AND(feasible_mat!AD31, VLOOKUP(Recharged_Feasible_matv3!$A124,test!$A$34:$G$37, 3,FALSE)=VLOOKUP(AE$1,test!$A$3:$I$32,3,FALSE)),1,0)</f>
        <v>0</v>
      </c>
      <c r="AF124" s="2">
        <f>IF(AND(feasible_mat!AE31, VLOOKUP(Recharged_Feasible_matv3!$A124,test!$A$34:$G$37, 3,FALSE)=VLOOKUP(AF$1,test!$A$3:$I$32,3,FALSE)),1,0)</f>
        <v>0</v>
      </c>
      <c r="AG124" s="2">
        <f>IF(AND(feasible_mat!AF31, VLOOKUP(Recharged_Feasible_matv3!$A124,test!$A$34:$G$37, 3,FALSE)=VLOOKUP(AG$1,test!$A$3:$I$32,3,FALSE)),1,0)</f>
        <v>0</v>
      </c>
    </row>
    <row r="125" spans="1:33" x14ac:dyDescent="0.25">
      <c r="A125" t="s">
        <v>98</v>
      </c>
      <c r="B125" t="s">
        <v>41</v>
      </c>
      <c r="C125">
        <v>0</v>
      </c>
      <c r="D125" s="2">
        <f>IF(AND(feasible_mat!C32, VLOOKUP(Recharged_Feasible_matv3!$A125,test!$A$34:$G$37, 3,FALSE)=VLOOKUP(D$1,test!$A$3:$I$32,3,FALSE)),1,0)</f>
        <v>0</v>
      </c>
      <c r="E125" s="2">
        <f>IF(AND(feasible_mat!D32, VLOOKUP(Recharged_Feasible_matv3!$A125,test!$A$34:$G$37, 3,FALSE)=VLOOKUP(E$1,test!$A$3:$I$32,3,FALSE)),1,0)</f>
        <v>0</v>
      </c>
      <c r="F125" s="2">
        <f>IF(AND(feasible_mat!E32, VLOOKUP(Recharged_Feasible_matv3!$A125,test!$A$34:$G$37, 3,FALSE)=VLOOKUP(F$1,test!$A$3:$I$32,3,FALSE)),1,0)</f>
        <v>0</v>
      </c>
      <c r="G125" s="2">
        <f>IF(AND(feasible_mat!F32, VLOOKUP(Recharged_Feasible_matv3!$A125,test!$A$34:$G$37, 3,FALSE)=VLOOKUP(G$1,test!$A$3:$I$32,3,FALSE)),1,0)</f>
        <v>0</v>
      </c>
      <c r="H125" s="2">
        <f>IF(AND(feasible_mat!G32, VLOOKUP(Recharged_Feasible_matv3!$A125,test!$A$34:$G$37, 3,FALSE)=VLOOKUP(H$1,test!$A$3:$I$32,3,FALSE)),1,0)</f>
        <v>0</v>
      </c>
      <c r="I125" s="2">
        <f>IF(AND(feasible_mat!H32, VLOOKUP(Recharged_Feasible_matv3!$A125,test!$A$34:$G$37, 3,FALSE)=VLOOKUP(I$1,test!$A$3:$I$32,3,FALSE)),1,0)</f>
        <v>0</v>
      </c>
      <c r="J125" s="2">
        <f>IF(AND(feasible_mat!I32, VLOOKUP(Recharged_Feasible_matv3!$A125,test!$A$34:$G$37, 3,FALSE)=VLOOKUP(J$1,test!$A$3:$I$32,3,FALSE)),1,0)</f>
        <v>0</v>
      </c>
      <c r="K125" s="2">
        <f>IF(AND(feasible_mat!J32, VLOOKUP(Recharged_Feasible_matv3!$A125,test!$A$34:$G$37, 3,FALSE)=VLOOKUP(K$1,test!$A$3:$I$32,3,FALSE)),1,0)</f>
        <v>0</v>
      </c>
      <c r="L125" s="2">
        <f>IF(AND(feasible_mat!K32, VLOOKUP(Recharged_Feasible_matv3!$A125,test!$A$34:$G$37, 3,FALSE)=VLOOKUP(L$1,test!$A$3:$I$32,3,FALSE)),1,0)</f>
        <v>0</v>
      </c>
      <c r="M125" s="2">
        <f>IF(AND(feasible_mat!L32, VLOOKUP(Recharged_Feasible_matv3!$A125,test!$A$34:$G$37, 3,FALSE)=VLOOKUP(M$1,test!$A$3:$I$32,3,FALSE)),1,0)</f>
        <v>0</v>
      </c>
      <c r="N125" s="2">
        <f>IF(AND(feasible_mat!M32, VLOOKUP(Recharged_Feasible_matv3!$A125,test!$A$34:$G$37, 3,FALSE)=VLOOKUP(N$1,test!$A$3:$I$32,3,FALSE)),1,0)</f>
        <v>0</v>
      </c>
      <c r="O125" s="2">
        <f>IF(AND(feasible_mat!N32, VLOOKUP(Recharged_Feasible_matv3!$A125,test!$A$34:$G$37, 3,FALSE)=VLOOKUP(O$1,test!$A$3:$I$32,3,FALSE)),1,0)</f>
        <v>0</v>
      </c>
      <c r="P125" s="2">
        <f>IF(AND(feasible_mat!O32, VLOOKUP(Recharged_Feasible_matv3!$A125,test!$A$34:$G$37, 3,FALSE)=VLOOKUP(P$1,test!$A$3:$I$32,3,FALSE)),1,0)</f>
        <v>0</v>
      </c>
      <c r="Q125" s="2">
        <f>IF(AND(feasible_mat!P32, VLOOKUP(Recharged_Feasible_matv3!$A125,test!$A$34:$G$37, 3,FALSE)=VLOOKUP(Q$1,test!$A$3:$I$32,3,FALSE)),1,0)</f>
        <v>0</v>
      </c>
      <c r="R125" s="2">
        <f>IF(AND(feasible_mat!Q32, VLOOKUP(Recharged_Feasible_matv3!$A125,test!$A$34:$G$37, 3,FALSE)=VLOOKUP(R$1,test!$A$3:$I$32,3,FALSE)),1,0)</f>
        <v>0</v>
      </c>
      <c r="S125" s="2">
        <f>IF(AND(feasible_mat!R32, VLOOKUP(Recharged_Feasible_matv3!$A125,test!$A$34:$G$37, 3,FALSE)=VLOOKUP(S$1,test!$A$3:$I$32,3,FALSE)),1,0)</f>
        <v>0</v>
      </c>
      <c r="T125" s="2">
        <f>IF(AND(feasible_mat!S32, VLOOKUP(Recharged_Feasible_matv3!$A125,test!$A$34:$G$37, 3,FALSE)=VLOOKUP(T$1,test!$A$3:$I$32,3,FALSE)),1,0)</f>
        <v>0</v>
      </c>
      <c r="U125" s="2">
        <f>IF(AND(feasible_mat!T32, VLOOKUP(Recharged_Feasible_matv3!$A125,test!$A$34:$G$37, 3,FALSE)=VLOOKUP(U$1,test!$A$3:$I$32,3,FALSE)),1,0)</f>
        <v>0</v>
      </c>
      <c r="V125" s="2">
        <f>IF(AND(feasible_mat!U32, VLOOKUP(Recharged_Feasible_matv3!$A125,test!$A$34:$G$37, 3,FALSE)=VLOOKUP(V$1,test!$A$3:$I$32,3,FALSE)),1,0)</f>
        <v>0</v>
      </c>
      <c r="W125" s="2">
        <f>IF(AND(feasible_mat!V32, VLOOKUP(Recharged_Feasible_matv3!$A125,test!$A$34:$G$37, 3,FALSE)=VLOOKUP(W$1,test!$A$3:$I$32,3,FALSE)),1,0)</f>
        <v>0</v>
      </c>
      <c r="X125" s="2">
        <f>IF(AND(feasible_mat!W32, VLOOKUP(Recharged_Feasible_matv3!$A125,test!$A$34:$G$37, 3,FALSE)=VLOOKUP(X$1,test!$A$3:$I$32,3,FALSE)),1,0)</f>
        <v>0</v>
      </c>
      <c r="Y125" s="2">
        <f>IF(AND(feasible_mat!X32, VLOOKUP(Recharged_Feasible_matv3!$A125,test!$A$34:$G$37, 3,FALSE)=VLOOKUP(Y$1,test!$A$3:$I$32,3,FALSE)),1,0)</f>
        <v>0</v>
      </c>
      <c r="Z125" s="2">
        <f>IF(AND(feasible_mat!Y32, VLOOKUP(Recharged_Feasible_matv3!$A125,test!$A$34:$G$37, 3,FALSE)=VLOOKUP(Z$1,test!$A$3:$I$32,3,FALSE)),1,0)</f>
        <v>0</v>
      </c>
      <c r="AA125" s="2">
        <f>IF(AND(feasible_mat!Z32, VLOOKUP(Recharged_Feasible_matv3!$A125,test!$A$34:$G$37, 3,FALSE)=VLOOKUP(AA$1,test!$A$3:$I$32,3,FALSE)),1,0)</f>
        <v>0</v>
      </c>
      <c r="AB125" s="2">
        <f>IF(AND(feasible_mat!AA32, VLOOKUP(Recharged_Feasible_matv3!$A125,test!$A$34:$G$37, 3,FALSE)=VLOOKUP(AB$1,test!$A$3:$I$32,3,FALSE)),1,0)</f>
        <v>0</v>
      </c>
      <c r="AC125" s="2">
        <f>IF(AND(feasible_mat!AB32, VLOOKUP(Recharged_Feasible_matv3!$A125,test!$A$34:$G$37, 3,FALSE)=VLOOKUP(AC$1,test!$A$3:$I$32,3,FALSE)),1,0)</f>
        <v>0</v>
      </c>
      <c r="AD125" s="2">
        <f>IF(AND(feasible_mat!AC32, VLOOKUP(Recharged_Feasible_matv3!$A125,test!$A$34:$G$37, 3,FALSE)=VLOOKUP(AD$1,test!$A$3:$I$32,3,FALSE)),1,0)</f>
        <v>0</v>
      </c>
      <c r="AE125" s="2">
        <f>IF(AND(feasible_mat!AD32, VLOOKUP(Recharged_Feasible_matv3!$A125,test!$A$34:$G$37, 3,FALSE)=VLOOKUP(AE$1,test!$A$3:$I$32,3,FALSE)),1,0)</f>
        <v>0</v>
      </c>
      <c r="AF125" s="2">
        <f>IF(AND(feasible_mat!AE32, VLOOKUP(Recharged_Feasible_matv3!$A125,test!$A$34:$G$37, 3,FALSE)=VLOOKUP(AF$1,test!$A$3:$I$32,3,FALSE)),1,0)</f>
        <v>0</v>
      </c>
      <c r="AG125" s="2">
        <f>IF(AND(feasible_mat!AF32, VLOOKUP(Recharged_Feasible_matv3!$A125,test!$A$34:$G$37, 3,FALSE)=VLOOKUP(AG$1,test!$A$3:$I$32,3,FALSE)),1,0)</f>
        <v>0</v>
      </c>
    </row>
    <row r="126" spans="1:33" x14ac:dyDescent="0.25">
      <c r="A126" t="s">
        <v>99</v>
      </c>
      <c r="B126" t="s">
        <v>46</v>
      </c>
      <c r="C126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</row>
    <row r="127" spans="1:33" x14ac:dyDescent="0.25">
      <c r="A127" t="s">
        <v>99</v>
      </c>
      <c r="B127" t="s">
        <v>6</v>
      </c>
      <c r="C127">
        <v>0</v>
      </c>
      <c r="D127" s="2">
        <f>IF(AND(feasible_mat!C3, VLOOKUP(Recharged_Feasible_matv3!$A127,test!$A$34:$G$37, 3,FALSE)=VLOOKUP(D$1,test!$A$3:$I$32,3,FALSE)),1,0)</f>
        <v>0</v>
      </c>
      <c r="E127" s="2">
        <f>IF(AND(feasible_mat!D3, VLOOKUP(Recharged_Feasible_matv3!$A127,test!$A$34:$G$37, 3,FALSE)=VLOOKUP(E$1,test!$A$3:$I$32,3,FALSE)),1,0)</f>
        <v>0</v>
      </c>
      <c r="F127" s="2">
        <f>IF(AND(feasible_mat!E3, VLOOKUP(Recharged_Feasible_matv3!$A127,test!$A$34:$G$37, 3,FALSE)=VLOOKUP(F$1,test!$A$3:$I$32,3,FALSE)),1,0)</f>
        <v>0</v>
      </c>
      <c r="G127" s="2">
        <f>IF(AND(feasible_mat!F3, VLOOKUP(Recharged_Feasible_matv3!$A127,test!$A$34:$G$37, 3,FALSE)=VLOOKUP(G$1,test!$A$3:$I$32,3,FALSE)),1,0)</f>
        <v>0</v>
      </c>
      <c r="H127" s="2">
        <f>IF(AND(feasible_mat!G3, VLOOKUP(Recharged_Feasible_matv3!$A127,test!$A$34:$G$37, 3,FALSE)=VLOOKUP(H$1,test!$A$3:$I$32,3,FALSE)),1,0)</f>
        <v>0</v>
      </c>
      <c r="I127" s="2">
        <f>IF(AND(feasible_mat!H3, VLOOKUP(Recharged_Feasible_matv3!$A127,test!$A$34:$G$37, 3,FALSE)=VLOOKUP(I$1,test!$A$3:$I$32,3,FALSE)),1,0)</f>
        <v>0</v>
      </c>
      <c r="J127" s="2">
        <f>IF(AND(feasible_mat!I3, VLOOKUP(Recharged_Feasible_matv3!$A127,test!$A$34:$G$37, 3,FALSE)=VLOOKUP(J$1,test!$A$3:$I$32,3,FALSE)),1,0)</f>
        <v>0</v>
      </c>
      <c r="K127" s="2">
        <f>IF(AND(feasible_mat!J3, VLOOKUP(Recharged_Feasible_matv3!$A127,test!$A$34:$G$37, 3,FALSE)=VLOOKUP(K$1,test!$A$3:$I$32,3,FALSE)),1,0)</f>
        <v>0</v>
      </c>
      <c r="L127" s="2">
        <f>IF(AND(feasible_mat!K3, VLOOKUP(Recharged_Feasible_matv3!$A127,test!$A$34:$G$37, 3,FALSE)=VLOOKUP(L$1,test!$A$3:$I$32,3,FALSE)),1,0)</f>
        <v>0</v>
      </c>
      <c r="M127" s="2">
        <f>IF(AND(feasible_mat!L3, VLOOKUP(Recharged_Feasible_matv3!$A127,test!$A$34:$G$37, 3,FALSE)=VLOOKUP(M$1,test!$A$3:$I$32,3,FALSE)),1,0)</f>
        <v>0</v>
      </c>
      <c r="N127" s="2">
        <f>IF(AND(feasible_mat!M3, VLOOKUP(Recharged_Feasible_matv3!$A127,test!$A$34:$G$37, 3,FALSE)=VLOOKUP(N$1,test!$A$3:$I$32,3,FALSE)),1,0)</f>
        <v>0</v>
      </c>
      <c r="O127" s="2">
        <f>IF(AND(feasible_mat!N3, VLOOKUP(Recharged_Feasible_matv3!$A127,test!$A$34:$G$37, 3,FALSE)=VLOOKUP(O$1,test!$A$3:$I$32,3,FALSE)),1,0)</f>
        <v>0</v>
      </c>
      <c r="P127" s="2">
        <f>IF(AND(feasible_mat!O3, VLOOKUP(Recharged_Feasible_matv3!$A127,test!$A$34:$G$37, 3,FALSE)=VLOOKUP(P$1,test!$A$3:$I$32,3,FALSE)),1,0)</f>
        <v>0</v>
      </c>
      <c r="Q127" s="2">
        <f>IF(AND(feasible_mat!P3, VLOOKUP(Recharged_Feasible_matv3!$A127,test!$A$34:$G$37, 3,FALSE)=VLOOKUP(Q$1,test!$A$3:$I$32,3,FALSE)),1,0)</f>
        <v>0</v>
      </c>
      <c r="R127" s="2">
        <f>IF(AND(feasible_mat!Q3, VLOOKUP(Recharged_Feasible_matv3!$A127,test!$A$34:$G$37, 3,FALSE)=VLOOKUP(R$1,test!$A$3:$I$32,3,FALSE)),1,0)</f>
        <v>0</v>
      </c>
      <c r="S127" s="2">
        <f>IF(AND(feasible_mat!R3, VLOOKUP(Recharged_Feasible_matv3!$A127,test!$A$34:$G$37, 3,FALSE)=VLOOKUP(S$1,test!$A$3:$I$32,3,FALSE)),1,0)</f>
        <v>0</v>
      </c>
      <c r="T127" s="2">
        <f>IF(AND(feasible_mat!S3, VLOOKUP(Recharged_Feasible_matv3!$A127,test!$A$34:$G$37, 3,FALSE)=VLOOKUP(T$1,test!$A$3:$I$32,3,FALSE)),1,0)</f>
        <v>0</v>
      </c>
      <c r="U127" s="2">
        <f>IF(AND(feasible_mat!T3, VLOOKUP(Recharged_Feasible_matv3!$A127,test!$A$34:$G$37, 3,FALSE)=VLOOKUP(U$1,test!$A$3:$I$32,3,FALSE)),1,0)</f>
        <v>0</v>
      </c>
      <c r="V127" s="2">
        <f>IF(AND(feasible_mat!U3, VLOOKUP(Recharged_Feasible_matv3!$A127,test!$A$34:$G$37, 3,FALSE)=VLOOKUP(V$1,test!$A$3:$I$32,3,FALSE)),1,0)</f>
        <v>0</v>
      </c>
      <c r="W127" s="2">
        <f>IF(AND(feasible_mat!V3, VLOOKUP(Recharged_Feasible_matv3!$A127,test!$A$34:$G$37, 3,FALSE)=VLOOKUP(W$1,test!$A$3:$I$32,3,FALSE)),1,0)</f>
        <v>0</v>
      </c>
      <c r="X127" s="2">
        <f>IF(AND(feasible_mat!W3, VLOOKUP(Recharged_Feasible_matv3!$A127,test!$A$34:$G$37, 3,FALSE)=VLOOKUP(X$1,test!$A$3:$I$32,3,FALSE)),1,0)</f>
        <v>0</v>
      </c>
      <c r="Y127" s="2">
        <f>IF(AND(feasible_mat!X3, VLOOKUP(Recharged_Feasible_matv3!$A127,test!$A$34:$G$37, 3,FALSE)=VLOOKUP(Y$1,test!$A$3:$I$32,3,FALSE)),1,0)</f>
        <v>0</v>
      </c>
      <c r="Z127" s="2">
        <f>IF(AND(feasible_mat!Y3, VLOOKUP(Recharged_Feasible_matv3!$A127,test!$A$34:$G$37, 3,FALSE)=VLOOKUP(Z$1,test!$A$3:$I$32,3,FALSE)),1,0)</f>
        <v>0</v>
      </c>
      <c r="AA127" s="2">
        <f>IF(AND(feasible_mat!Z3, VLOOKUP(Recharged_Feasible_matv3!$A127,test!$A$34:$G$37, 3,FALSE)=VLOOKUP(AA$1,test!$A$3:$I$32,3,FALSE)),1,0)</f>
        <v>0</v>
      </c>
      <c r="AB127" s="2">
        <f>IF(AND(feasible_mat!AA3, VLOOKUP(Recharged_Feasible_matv3!$A127,test!$A$34:$G$37, 3,FALSE)=VLOOKUP(AB$1,test!$A$3:$I$32,3,FALSE)),1,0)</f>
        <v>0</v>
      </c>
      <c r="AC127" s="2">
        <f>IF(AND(feasible_mat!AB3, VLOOKUP(Recharged_Feasible_matv3!$A127,test!$A$34:$G$37, 3,FALSE)=VLOOKUP(AC$1,test!$A$3:$I$32,3,FALSE)),1,0)</f>
        <v>0</v>
      </c>
      <c r="AD127" s="2">
        <f>IF(AND(feasible_mat!AC3, VLOOKUP(Recharged_Feasible_matv3!$A127,test!$A$34:$G$37, 3,FALSE)=VLOOKUP(AD$1,test!$A$3:$I$32,3,FALSE)),1,0)</f>
        <v>0</v>
      </c>
      <c r="AE127" s="2">
        <f>IF(AND(feasible_mat!AD3, VLOOKUP(Recharged_Feasible_matv3!$A127,test!$A$34:$G$37, 3,FALSE)=VLOOKUP(AE$1,test!$A$3:$I$32,3,FALSE)),1,0)</f>
        <v>0</v>
      </c>
      <c r="AF127" s="2">
        <f>IF(AND(feasible_mat!AE3, VLOOKUP(Recharged_Feasible_matv3!$A127,test!$A$34:$G$37, 3,FALSE)=VLOOKUP(AF$1,test!$A$3:$I$32,3,FALSE)),1,0)</f>
        <v>1</v>
      </c>
      <c r="AG127" s="2">
        <f>IF(AND(feasible_mat!AF3, VLOOKUP(Recharged_Feasible_matv3!$A127,test!$A$34:$G$37, 3,FALSE)=VLOOKUP(AG$1,test!$A$3:$I$32,3,FALSE)),1,0)</f>
        <v>1</v>
      </c>
    </row>
    <row r="128" spans="1:33" x14ac:dyDescent="0.25">
      <c r="A128" t="s">
        <v>99</v>
      </c>
      <c r="B128" t="s">
        <v>9</v>
      </c>
      <c r="C128">
        <v>0</v>
      </c>
      <c r="D128" s="2">
        <f>IF(AND(feasible_mat!C4, VLOOKUP(Recharged_Feasible_matv3!$A128,test!$A$34:$G$37, 3,FALSE)=VLOOKUP(D$1,test!$A$3:$I$32,3,FALSE)),1,0)</f>
        <v>0</v>
      </c>
      <c r="E128" s="2">
        <f>IF(AND(feasible_mat!D4, VLOOKUP(Recharged_Feasible_matv3!$A128,test!$A$34:$G$37, 3,FALSE)=VLOOKUP(E$1,test!$A$3:$I$32,3,FALSE)),1,0)</f>
        <v>0</v>
      </c>
      <c r="F128" s="2">
        <f>IF(AND(feasible_mat!E4, VLOOKUP(Recharged_Feasible_matv3!$A128,test!$A$34:$G$37, 3,FALSE)=VLOOKUP(F$1,test!$A$3:$I$32,3,FALSE)),1,0)</f>
        <v>0</v>
      </c>
      <c r="G128" s="2">
        <f>IF(AND(feasible_mat!F4, VLOOKUP(Recharged_Feasible_matv3!$A128,test!$A$34:$G$37, 3,FALSE)=VLOOKUP(G$1,test!$A$3:$I$32,3,FALSE)),1,0)</f>
        <v>0</v>
      </c>
      <c r="H128" s="2">
        <f>IF(AND(feasible_mat!G4, VLOOKUP(Recharged_Feasible_matv3!$A128,test!$A$34:$G$37, 3,FALSE)=VLOOKUP(H$1,test!$A$3:$I$32,3,FALSE)),1,0)</f>
        <v>0</v>
      </c>
      <c r="I128" s="2">
        <f>IF(AND(feasible_mat!H4, VLOOKUP(Recharged_Feasible_matv3!$A128,test!$A$34:$G$37, 3,FALSE)=VLOOKUP(I$1,test!$A$3:$I$32,3,FALSE)),1,0)</f>
        <v>0</v>
      </c>
      <c r="J128" s="2">
        <f>IF(AND(feasible_mat!I4, VLOOKUP(Recharged_Feasible_matv3!$A128,test!$A$34:$G$37, 3,FALSE)=VLOOKUP(J$1,test!$A$3:$I$32,3,FALSE)),1,0)</f>
        <v>0</v>
      </c>
      <c r="K128" s="2">
        <f>IF(AND(feasible_mat!J4, VLOOKUP(Recharged_Feasible_matv3!$A128,test!$A$34:$G$37, 3,FALSE)=VLOOKUP(K$1,test!$A$3:$I$32,3,FALSE)),1,0)</f>
        <v>0</v>
      </c>
      <c r="L128" s="2">
        <f>IF(AND(feasible_mat!K4, VLOOKUP(Recharged_Feasible_matv3!$A128,test!$A$34:$G$37, 3,FALSE)=VLOOKUP(L$1,test!$A$3:$I$32,3,FALSE)),1,0)</f>
        <v>0</v>
      </c>
      <c r="M128" s="2">
        <f>IF(AND(feasible_mat!L4, VLOOKUP(Recharged_Feasible_matv3!$A128,test!$A$34:$G$37, 3,FALSE)=VLOOKUP(M$1,test!$A$3:$I$32,3,FALSE)),1,0)</f>
        <v>0</v>
      </c>
      <c r="N128" s="2">
        <f>IF(AND(feasible_mat!M4, VLOOKUP(Recharged_Feasible_matv3!$A128,test!$A$34:$G$37, 3,FALSE)=VLOOKUP(N$1,test!$A$3:$I$32,3,FALSE)),1,0)</f>
        <v>0</v>
      </c>
      <c r="O128" s="2">
        <f>IF(AND(feasible_mat!N4, VLOOKUP(Recharged_Feasible_matv3!$A128,test!$A$34:$G$37, 3,FALSE)=VLOOKUP(O$1,test!$A$3:$I$32,3,FALSE)),1,0)</f>
        <v>0</v>
      </c>
      <c r="P128" s="2">
        <f>IF(AND(feasible_mat!O4, VLOOKUP(Recharged_Feasible_matv3!$A128,test!$A$34:$G$37, 3,FALSE)=VLOOKUP(P$1,test!$A$3:$I$32,3,FALSE)),1,0)</f>
        <v>0</v>
      </c>
      <c r="Q128" s="2">
        <f>IF(AND(feasible_mat!P4, VLOOKUP(Recharged_Feasible_matv3!$A128,test!$A$34:$G$37, 3,FALSE)=VLOOKUP(Q$1,test!$A$3:$I$32,3,FALSE)),1,0)</f>
        <v>0</v>
      </c>
      <c r="R128" s="2">
        <f>IF(AND(feasible_mat!Q4, VLOOKUP(Recharged_Feasible_matv3!$A128,test!$A$34:$G$37, 3,FALSE)=VLOOKUP(R$1,test!$A$3:$I$32,3,FALSE)),1,0)</f>
        <v>0</v>
      </c>
      <c r="S128" s="2">
        <f>IF(AND(feasible_mat!R4, VLOOKUP(Recharged_Feasible_matv3!$A128,test!$A$34:$G$37, 3,FALSE)=VLOOKUP(S$1,test!$A$3:$I$32,3,FALSE)),1,0)</f>
        <v>0</v>
      </c>
      <c r="T128" s="2">
        <f>IF(AND(feasible_mat!S4, VLOOKUP(Recharged_Feasible_matv3!$A128,test!$A$34:$G$37, 3,FALSE)=VLOOKUP(T$1,test!$A$3:$I$32,3,FALSE)),1,0)</f>
        <v>0</v>
      </c>
      <c r="U128" s="2">
        <f>IF(AND(feasible_mat!T4, VLOOKUP(Recharged_Feasible_matv3!$A128,test!$A$34:$G$37, 3,FALSE)=VLOOKUP(U$1,test!$A$3:$I$32,3,FALSE)),1,0)</f>
        <v>0</v>
      </c>
      <c r="V128" s="2">
        <f>IF(AND(feasible_mat!U4, VLOOKUP(Recharged_Feasible_matv3!$A128,test!$A$34:$G$37, 3,FALSE)=VLOOKUP(V$1,test!$A$3:$I$32,3,FALSE)),1,0)</f>
        <v>0</v>
      </c>
      <c r="W128" s="2">
        <f>IF(AND(feasible_mat!V4, VLOOKUP(Recharged_Feasible_matv3!$A128,test!$A$34:$G$37, 3,FALSE)=VLOOKUP(W$1,test!$A$3:$I$32,3,FALSE)),1,0)</f>
        <v>0</v>
      </c>
      <c r="X128" s="2">
        <f>IF(AND(feasible_mat!W4, VLOOKUP(Recharged_Feasible_matv3!$A128,test!$A$34:$G$37, 3,FALSE)=VLOOKUP(X$1,test!$A$3:$I$32,3,FALSE)),1,0)</f>
        <v>0</v>
      </c>
      <c r="Y128" s="2">
        <f>IF(AND(feasible_mat!X4, VLOOKUP(Recharged_Feasible_matv3!$A128,test!$A$34:$G$37, 3,FALSE)=VLOOKUP(Y$1,test!$A$3:$I$32,3,FALSE)),1,0)</f>
        <v>0</v>
      </c>
      <c r="Z128" s="2">
        <f>IF(AND(feasible_mat!Y4, VLOOKUP(Recharged_Feasible_matv3!$A128,test!$A$34:$G$37, 3,FALSE)=VLOOKUP(Z$1,test!$A$3:$I$32,3,FALSE)),1,0)</f>
        <v>0</v>
      </c>
      <c r="AA128" s="2">
        <f>IF(AND(feasible_mat!Z4, VLOOKUP(Recharged_Feasible_matv3!$A128,test!$A$34:$G$37, 3,FALSE)=VLOOKUP(AA$1,test!$A$3:$I$32,3,FALSE)),1,0)</f>
        <v>0</v>
      </c>
      <c r="AB128" s="2">
        <f>IF(AND(feasible_mat!AA4, VLOOKUP(Recharged_Feasible_matv3!$A128,test!$A$34:$G$37, 3,FALSE)=VLOOKUP(AB$1,test!$A$3:$I$32,3,FALSE)),1,0)</f>
        <v>0</v>
      </c>
      <c r="AC128" s="2">
        <f>IF(AND(feasible_mat!AB4, VLOOKUP(Recharged_Feasible_matv3!$A128,test!$A$34:$G$37, 3,FALSE)=VLOOKUP(AC$1,test!$A$3:$I$32,3,FALSE)),1,0)</f>
        <v>0</v>
      </c>
      <c r="AD128" s="2">
        <f>IF(AND(feasible_mat!AC4, VLOOKUP(Recharged_Feasible_matv3!$A128,test!$A$34:$G$37, 3,FALSE)=VLOOKUP(AD$1,test!$A$3:$I$32,3,FALSE)),1,0)</f>
        <v>0</v>
      </c>
      <c r="AE128" s="2">
        <f>IF(AND(feasible_mat!AD4, VLOOKUP(Recharged_Feasible_matv3!$A128,test!$A$34:$G$37, 3,FALSE)=VLOOKUP(AE$1,test!$A$3:$I$32,3,FALSE)),1,0)</f>
        <v>0</v>
      </c>
      <c r="AF128" s="2">
        <f>IF(AND(feasible_mat!AE4, VLOOKUP(Recharged_Feasible_matv3!$A128,test!$A$34:$G$37, 3,FALSE)=VLOOKUP(AF$1,test!$A$3:$I$32,3,FALSE)),1,0)</f>
        <v>0</v>
      </c>
      <c r="AG128" s="2">
        <f>IF(AND(feasible_mat!AF4, VLOOKUP(Recharged_Feasible_matv3!$A128,test!$A$34:$G$37, 3,FALSE)=VLOOKUP(AG$1,test!$A$3:$I$32,3,FALSE)),1,0)</f>
        <v>0</v>
      </c>
    </row>
    <row r="129" spans="1:33" x14ac:dyDescent="0.25">
      <c r="A129" t="s">
        <v>99</v>
      </c>
      <c r="B129" t="s">
        <v>10</v>
      </c>
      <c r="C129">
        <v>0</v>
      </c>
      <c r="D129" s="2">
        <f>IF(AND(feasible_mat!C5, VLOOKUP(Recharged_Feasible_matv3!$A129,test!$A$34:$G$37, 3,FALSE)=VLOOKUP(D$1,test!$A$3:$I$32,3,FALSE)),1,0)</f>
        <v>0</v>
      </c>
      <c r="E129" s="2">
        <f>IF(AND(feasible_mat!D5, VLOOKUP(Recharged_Feasible_matv3!$A129,test!$A$34:$G$37, 3,FALSE)=VLOOKUP(E$1,test!$A$3:$I$32,3,FALSE)),1,0)</f>
        <v>0</v>
      </c>
      <c r="F129" s="2">
        <f>IF(AND(feasible_mat!E5, VLOOKUP(Recharged_Feasible_matv3!$A129,test!$A$34:$G$37, 3,FALSE)=VLOOKUP(F$1,test!$A$3:$I$32,3,FALSE)),1,0)</f>
        <v>0</v>
      </c>
      <c r="G129" s="2">
        <f>IF(AND(feasible_mat!F5, VLOOKUP(Recharged_Feasible_matv3!$A129,test!$A$34:$G$37, 3,FALSE)=VLOOKUP(G$1,test!$A$3:$I$32,3,FALSE)),1,0)</f>
        <v>0</v>
      </c>
      <c r="H129" s="2">
        <f>IF(AND(feasible_mat!G5, VLOOKUP(Recharged_Feasible_matv3!$A129,test!$A$34:$G$37, 3,FALSE)=VLOOKUP(H$1,test!$A$3:$I$32,3,FALSE)),1,0)</f>
        <v>0</v>
      </c>
      <c r="I129" s="2">
        <f>IF(AND(feasible_mat!H5, VLOOKUP(Recharged_Feasible_matv3!$A129,test!$A$34:$G$37, 3,FALSE)=VLOOKUP(I$1,test!$A$3:$I$32,3,FALSE)),1,0)</f>
        <v>0</v>
      </c>
      <c r="J129" s="2">
        <f>IF(AND(feasible_mat!I5, VLOOKUP(Recharged_Feasible_matv3!$A129,test!$A$34:$G$37, 3,FALSE)=VLOOKUP(J$1,test!$A$3:$I$32,3,FALSE)),1,0)</f>
        <v>0</v>
      </c>
      <c r="K129" s="2">
        <f>IF(AND(feasible_mat!J5, VLOOKUP(Recharged_Feasible_matv3!$A129,test!$A$34:$G$37, 3,FALSE)=VLOOKUP(K$1,test!$A$3:$I$32,3,FALSE)),1,0)</f>
        <v>0</v>
      </c>
      <c r="L129" s="2">
        <f>IF(AND(feasible_mat!K5, VLOOKUP(Recharged_Feasible_matv3!$A129,test!$A$34:$G$37, 3,FALSE)=VLOOKUP(L$1,test!$A$3:$I$32,3,FALSE)),1,0)</f>
        <v>0</v>
      </c>
      <c r="M129" s="2">
        <f>IF(AND(feasible_mat!L5, VLOOKUP(Recharged_Feasible_matv3!$A129,test!$A$34:$G$37, 3,FALSE)=VLOOKUP(M$1,test!$A$3:$I$32,3,FALSE)),1,0)</f>
        <v>0</v>
      </c>
      <c r="N129" s="2">
        <f>IF(AND(feasible_mat!M5, VLOOKUP(Recharged_Feasible_matv3!$A129,test!$A$34:$G$37, 3,FALSE)=VLOOKUP(N$1,test!$A$3:$I$32,3,FALSE)),1,0)</f>
        <v>0</v>
      </c>
      <c r="O129" s="2">
        <f>IF(AND(feasible_mat!N5, VLOOKUP(Recharged_Feasible_matv3!$A129,test!$A$34:$G$37, 3,FALSE)=VLOOKUP(O$1,test!$A$3:$I$32,3,FALSE)),1,0)</f>
        <v>0</v>
      </c>
      <c r="P129" s="2">
        <f>IF(AND(feasible_mat!O5, VLOOKUP(Recharged_Feasible_matv3!$A129,test!$A$34:$G$37, 3,FALSE)=VLOOKUP(P$1,test!$A$3:$I$32,3,FALSE)),1,0)</f>
        <v>0</v>
      </c>
      <c r="Q129" s="2">
        <f>IF(AND(feasible_mat!P5, VLOOKUP(Recharged_Feasible_matv3!$A129,test!$A$34:$G$37, 3,FALSE)=VLOOKUP(Q$1,test!$A$3:$I$32,3,FALSE)),1,0)</f>
        <v>0</v>
      </c>
      <c r="R129" s="2">
        <f>IF(AND(feasible_mat!Q5, VLOOKUP(Recharged_Feasible_matv3!$A129,test!$A$34:$G$37, 3,FALSE)=VLOOKUP(R$1,test!$A$3:$I$32,3,FALSE)),1,0)</f>
        <v>0</v>
      </c>
      <c r="S129" s="2">
        <f>IF(AND(feasible_mat!R5, VLOOKUP(Recharged_Feasible_matv3!$A129,test!$A$34:$G$37, 3,FALSE)=VLOOKUP(S$1,test!$A$3:$I$32,3,FALSE)),1,0)</f>
        <v>0</v>
      </c>
      <c r="T129" s="2">
        <f>IF(AND(feasible_mat!S5, VLOOKUP(Recharged_Feasible_matv3!$A129,test!$A$34:$G$37, 3,FALSE)=VLOOKUP(T$1,test!$A$3:$I$32,3,FALSE)),1,0)</f>
        <v>0</v>
      </c>
      <c r="U129" s="2">
        <f>IF(AND(feasible_mat!T5, VLOOKUP(Recharged_Feasible_matv3!$A129,test!$A$34:$G$37, 3,FALSE)=VLOOKUP(U$1,test!$A$3:$I$32,3,FALSE)),1,0)</f>
        <v>0</v>
      </c>
      <c r="V129" s="2">
        <f>IF(AND(feasible_mat!U5, VLOOKUP(Recharged_Feasible_matv3!$A129,test!$A$34:$G$37, 3,FALSE)=VLOOKUP(V$1,test!$A$3:$I$32,3,FALSE)),1,0)</f>
        <v>0</v>
      </c>
      <c r="W129" s="2">
        <f>IF(AND(feasible_mat!V5, VLOOKUP(Recharged_Feasible_matv3!$A129,test!$A$34:$G$37, 3,FALSE)=VLOOKUP(W$1,test!$A$3:$I$32,3,FALSE)),1,0)</f>
        <v>0</v>
      </c>
      <c r="X129" s="2">
        <f>IF(AND(feasible_mat!W5, VLOOKUP(Recharged_Feasible_matv3!$A129,test!$A$34:$G$37, 3,FALSE)=VLOOKUP(X$1,test!$A$3:$I$32,3,FALSE)),1,0)</f>
        <v>0</v>
      </c>
      <c r="Y129" s="2">
        <f>IF(AND(feasible_mat!X5, VLOOKUP(Recharged_Feasible_matv3!$A129,test!$A$34:$G$37, 3,FALSE)=VLOOKUP(Y$1,test!$A$3:$I$32,3,FALSE)),1,0)</f>
        <v>0</v>
      </c>
      <c r="Z129" s="2">
        <f>IF(AND(feasible_mat!Y5, VLOOKUP(Recharged_Feasible_matv3!$A129,test!$A$34:$G$37, 3,FALSE)=VLOOKUP(Z$1,test!$A$3:$I$32,3,FALSE)),1,0)</f>
        <v>0</v>
      </c>
      <c r="AA129" s="2">
        <f>IF(AND(feasible_mat!Z5, VLOOKUP(Recharged_Feasible_matv3!$A129,test!$A$34:$G$37, 3,FALSE)=VLOOKUP(AA$1,test!$A$3:$I$32,3,FALSE)),1,0)</f>
        <v>0</v>
      </c>
      <c r="AB129" s="2">
        <f>IF(AND(feasible_mat!AA5, VLOOKUP(Recharged_Feasible_matv3!$A129,test!$A$34:$G$37, 3,FALSE)=VLOOKUP(AB$1,test!$A$3:$I$32,3,FALSE)),1,0)</f>
        <v>0</v>
      </c>
      <c r="AC129" s="2">
        <f>IF(AND(feasible_mat!AB5, VLOOKUP(Recharged_Feasible_matv3!$A129,test!$A$34:$G$37, 3,FALSE)=VLOOKUP(AC$1,test!$A$3:$I$32,3,FALSE)),1,0)</f>
        <v>0</v>
      </c>
      <c r="AD129" s="2">
        <f>IF(AND(feasible_mat!AC5, VLOOKUP(Recharged_Feasible_matv3!$A129,test!$A$34:$G$37, 3,FALSE)=VLOOKUP(AD$1,test!$A$3:$I$32,3,FALSE)),1,0)</f>
        <v>0</v>
      </c>
      <c r="AE129" s="2">
        <f>IF(AND(feasible_mat!AD5, VLOOKUP(Recharged_Feasible_matv3!$A129,test!$A$34:$G$37, 3,FALSE)=VLOOKUP(AE$1,test!$A$3:$I$32,3,FALSE)),1,0)</f>
        <v>0</v>
      </c>
      <c r="AF129" s="2">
        <f>IF(AND(feasible_mat!AE5, VLOOKUP(Recharged_Feasible_matv3!$A129,test!$A$34:$G$37, 3,FALSE)=VLOOKUP(AF$1,test!$A$3:$I$32,3,FALSE)),1,0)</f>
        <v>0</v>
      </c>
      <c r="AG129" s="2">
        <f>IF(AND(feasible_mat!AF5, VLOOKUP(Recharged_Feasible_matv3!$A129,test!$A$34:$G$37, 3,FALSE)=VLOOKUP(AG$1,test!$A$3:$I$32,3,FALSE)),1,0)</f>
        <v>0</v>
      </c>
    </row>
    <row r="130" spans="1:33" x14ac:dyDescent="0.25">
      <c r="A130" t="s">
        <v>99</v>
      </c>
      <c r="B130" t="s">
        <v>11</v>
      </c>
      <c r="C130">
        <v>0</v>
      </c>
      <c r="D130" s="2">
        <f>IF(AND(feasible_mat!C6, VLOOKUP(Recharged_Feasible_matv3!$A130,test!$A$34:$G$37, 3,FALSE)=VLOOKUP(D$1,test!$A$3:$I$32,3,FALSE)),1,0)</f>
        <v>0</v>
      </c>
      <c r="E130" s="2">
        <f>IF(AND(feasible_mat!D6, VLOOKUP(Recharged_Feasible_matv3!$A130,test!$A$34:$G$37, 3,FALSE)=VLOOKUP(E$1,test!$A$3:$I$32,3,FALSE)),1,0)</f>
        <v>0</v>
      </c>
      <c r="F130" s="2">
        <f>IF(AND(feasible_mat!E6, VLOOKUP(Recharged_Feasible_matv3!$A130,test!$A$34:$G$37, 3,FALSE)=VLOOKUP(F$1,test!$A$3:$I$32,3,FALSE)),1,0)</f>
        <v>0</v>
      </c>
      <c r="G130" s="2">
        <f>IF(AND(feasible_mat!F6, VLOOKUP(Recharged_Feasible_matv3!$A130,test!$A$34:$G$37, 3,FALSE)=VLOOKUP(G$1,test!$A$3:$I$32,3,FALSE)),1,0)</f>
        <v>0</v>
      </c>
      <c r="H130" s="2">
        <f>IF(AND(feasible_mat!G6, VLOOKUP(Recharged_Feasible_matv3!$A130,test!$A$34:$G$37, 3,FALSE)=VLOOKUP(H$1,test!$A$3:$I$32,3,FALSE)),1,0)</f>
        <v>0</v>
      </c>
      <c r="I130" s="2">
        <f>IF(AND(feasible_mat!H6, VLOOKUP(Recharged_Feasible_matv3!$A130,test!$A$34:$G$37, 3,FALSE)=VLOOKUP(I$1,test!$A$3:$I$32,3,FALSE)),1,0)</f>
        <v>0</v>
      </c>
      <c r="J130" s="2">
        <f>IF(AND(feasible_mat!I6, VLOOKUP(Recharged_Feasible_matv3!$A130,test!$A$34:$G$37, 3,FALSE)=VLOOKUP(J$1,test!$A$3:$I$32,3,FALSE)),1,0)</f>
        <v>0</v>
      </c>
      <c r="K130" s="2">
        <f>IF(AND(feasible_mat!J6, VLOOKUP(Recharged_Feasible_matv3!$A130,test!$A$34:$G$37, 3,FALSE)=VLOOKUP(K$1,test!$A$3:$I$32,3,FALSE)),1,0)</f>
        <v>0</v>
      </c>
      <c r="L130" s="2">
        <f>IF(AND(feasible_mat!K6, VLOOKUP(Recharged_Feasible_matv3!$A130,test!$A$34:$G$37, 3,FALSE)=VLOOKUP(L$1,test!$A$3:$I$32,3,FALSE)),1,0)</f>
        <v>0</v>
      </c>
      <c r="M130" s="2">
        <f>IF(AND(feasible_mat!L6, VLOOKUP(Recharged_Feasible_matv3!$A130,test!$A$34:$G$37, 3,FALSE)=VLOOKUP(M$1,test!$A$3:$I$32,3,FALSE)),1,0)</f>
        <v>0</v>
      </c>
      <c r="N130" s="2">
        <f>IF(AND(feasible_mat!M6, VLOOKUP(Recharged_Feasible_matv3!$A130,test!$A$34:$G$37, 3,FALSE)=VLOOKUP(N$1,test!$A$3:$I$32,3,FALSE)),1,0)</f>
        <v>0</v>
      </c>
      <c r="O130" s="2">
        <f>IF(AND(feasible_mat!N6, VLOOKUP(Recharged_Feasible_matv3!$A130,test!$A$34:$G$37, 3,FALSE)=VLOOKUP(O$1,test!$A$3:$I$32,3,FALSE)),1,0)</f>
        <v>0</v>
      </c>
      <c r="P130" s="2">
        <f>IF(AND(feasible_mat!O6, VLOOKUP(Recharged_Feasible_matv3!$A130,test!$A$34:$G$37, 3,FALSE)=VLOOKUP(P$1,test!$A$3:$I$32,3,FALSE)),1,0)</f>
        <v>0</v>
      </c>
      <c r="Q130" s="2">
        <f>IF(AND(feasible_mat!P6, VLOOKUP(Recharged_Feasible_matv3!$A130,test!$A$34:$G$37, 3,FALSE)=VLOOKUP(Q$1,test!$A$3:$I$32,3,FALSE)),1,0)</f>
        <v>0</v>
      </c>
      <c r="R130" s="2">
        <f>IF(AND(feasible_mat!Q6, VLOOKUP(Recharged_Feasible_matv3!$A130,test!$A$34:$G$37, 3,FALSE)=VLOOKUP(R$1,test!$A$3:$I$32,3,FALSE)),1,0)</f>
        <v>0</v>
      </c>
      <c r="S130" s="2">
        <f>IF(AND(feasible_mat!R6, VLOOKUP(Recharged_Feasible_matv3!$A130,test!$A$34:$G$37, 3,FALSE)=VLOOKUP(S$1,test!$A$3:$I$32,3,FALSE)),1,0)</f>
        <v>0</v>
      </c>
      <c r="T130" s="2">
        <f>IF(AND(feasible_mat!S6, VLOOKUP(Recharged_Feasible_matv3!$A130,test!$A$34:$G$37, 3,FALSE)=VLOOKUP(T$1,test!$A$3:$I$32,3,FALSE)),1,0)</f>
        <v>0</v>
      </c>
      <c r="U130" s="2">
        <f>IF(AND(feasible_mat!T6, VLOOKUP(Recharged_Feasible_matv3!$A130,test!$A$34:$G$37, 3,FALSE)=VLOOKUP(U$1,test!$A$3:$I$32,3,FALSE)),1,0)</f>
        <v>0</v>
      </c>
      <c r="V130" s="2">
        <f>IF(AND(feasible_mat!U6, VLOOKUP(Recharged_Feasible_matv3!$A130,test!$A$34:$G$37, 3,FALSE)=VLOOKUP(V$1,test!$A$3:$I$32,3,FALSE)),1,0)</f>
        <v>0</v>
      </c>
      <c r="W130" s="2">
        <f>IF(AND(feasible_mat!V6, VLOOKUP(Recharged_Feasible_matv3!$A130,test!$A$34:$G$37, 3,FALSE)=VLOOKUP(W$1,test!$A$3:$I$32,3,FALSE)),1,0)</f>
        <v>0</v>
      </c>
      <c r="X130" s="2">
        <f>IF(AND(feasible_mat!W6, VLOOKUP(Recharged_Feasible_matv3!$A130,test!$A$34:$G$37, 3,FALSE)=VLOOKUP(X$1,test!$A$3:$I$32,3,FALSE)),1,0)</f>
        <v>0</v>
      </c>
      <c r="Y130" s="2">
        <f>IF(AND(feasible_mat!X6, VLOOKUP(Recharged_Feasible_matv3!$A130,test!$A$34:$G$37, 3,FALSE)=VLOOKUP(Y$1,test!$A$3:$I$32,3,FALSE)),1,0)</f>
        <v>0</v>
      </c>
      <c r="Z130" s="2">
        <f>IF(AND(feasible_mat!Y6, VLOOKUP(Recharged_Feasible_matv3!$A130,test!$A$34:$G$37, 3,FALSE)=VLOOKUP(Z$1,test!$A$3:$I$32,3,FALSE)),1,0)</f>
        <v>0</v>
      </c>
      <c r="AA130" s="2">
        <f>IF(AND(feasible_mat!Z6, VLOOKUP(Recharged_Feasible_matv3!$A130,test!$A$34:$G$37, 3,FALSE)=VLOOKUP(AA$1,test!$A$3:$I$32,3,FALSE)),1,0)</f>
        <v>0</v>
      </c>
      <c r="AB130" s="2">
        <f>IF(AND(feasible_mat!AA6, VLOOKUP(Recharged_Feasible_matv3!$A130,test!$A$34:$G$37, 3,FALSE)=VLOOKUP(AB$1,test!$A$3:$I$32,3,FALSE)),1,0)</f>
        <v>0</v>
      </c>
      <c r="AC130" s="2">
        <f>IF(AND(feasible_mat!AB6, VLOOKUP(Recharged_Feasible_matv3!$A130,test!$A$34:$G$37, 3,FALSE)=VLOOKUP(AC$1,test!$A$3:$I$32,3,FALSE)),1,0)</f>
        <v>0</v>
      </c>
      <c r="AD130" s="2">
        <f>IF(AND(feasible_mat!AC6, VLOOKUP(Recharged_Feasible_matv3!$A130,test!$A$34:$G$37, 3,FALSE)=VLOOKUP(AD$1,test!$A$3:$I$32,3,FALSE)),1,0)</f>
        <v>0</v>
      </c>
      <c r="AE130" s="2">
        <f>IF(AND(feasible_mat!AD6, VLOOKUP(Recharged_Feasible_matv3!$A130,test!$A$34:$G$37, 3,FALSE)=VLOOKUP(AE$1,test!$A$3:$I$32,3,FALSE)),1,0)</f>
        <v>0</v>
      </c>
      <c r="AF130" s="2">
        <f>IF(AND(feasible_mat!AE6, VLOOKUP(Recharged_Feasible_matv3!$A130,test!$A$34:$G$37, 3,FALSE)=VLOOKUP(AF$1,test!$A$3:$I$32,3,FALSE)),1,0)</f>
        <v>0</v>
      </c>
      <c r="AG130" s="2">
        <f>IF(AND(feasible_mat!AF6, VLOOKUP(Recharged_Feasible_matv3!$A130,test!$A$34:$G$37, 3,FALSE)=VLOOKUP(AG$1,test!$A$3:$I$32,3,FALSE)),1,0)</f>
        <v>0</v>
      </c>
    </row>
    <row r="131" spans="1:33" x14ac:dyDescent="0.25">
      <c r="A131" t="s">
        <v>99</v>
      </c>
      <c r="B131" t="s">
        <v>12</v>
      </c>
      <c r="C131">
        <v>0</v>
      </c>
      <c r="D131" s="2">
        <f>IF(AND(feasible_mat!C7, VLOOKUP(Recharged_Feasible_matv3!$A131,test!$A$34:$G$37, 3,FALSE)=VLOOKUP(D$1,test!$A$3:$I$32,3,FALSE)),1,0)</f>
        <v>0</v>
      </c>
      <c r="E131" s="2">
        <f>IF(AND(feasible_mat!D7, VLOOKUP(Recharged_Feasible_matv3!$A131,test!$A$34:$G$37, 3,FALSE)=VLOOKUP(E$1,test!$A$3:$I$32,3,FALSE)),1,0)</f>
        <v>0</v>
      </c>
      <c r="F131" s="2">
        <f>IF(AND(feasible_mat!E7, VLOOKUP(Recharged_Feasible_matv3!$A131,test!$A$34:$G$37, 3,FALSE)=VLOOKUP(F$1,test!$A$3:$I$32,3,FALSE)),1,0)</f>
        <v>0</v>
      </c>
      <c r="G131" s="2">
        <f>IF(AND(feasible_mat!F7, VLOOKUP(Recharged_Feasible_matv3!$A131,test!$A$34:$G$37, 3,FALSE)=VLOOKUP(G$1,test!$A$3:$I$32,3,FALSE)),1,0)</f>
        <v>0</v>
      </c>
      <c r="H131" s="2">
        <f>IF(AND(feasible_mat!G7, VLOOKUP(Recharged_Feasible_matv3!$A131,test!$A$34:$G$37, 3,FALSE)=VLOOKUP(H$1,test!$A$3:$I$32,3,FALSE)),1,0)</f>
        <v>0</v>
      </c>
      <c r="I131" s="2">
        <f>IF(AND(feasible_mat!H7, VLOOKUP(Recharged_Feasible_matv3!$A131,test!$A$34:$G$37, 3,FALSE)=VLOOKUP(I$1,test!$A$3:$I$32,3,FALSE)),1,0)</f>
        <v>0</v>
      </c>
      <c r="J131" s="2">
        <f>IF(AND(feasible_mat!I7, VLOOKUP(Recharged_Feasible_matv3!$A131,test!$A$34:$G$37, 3,FALSE)=VLOOKUP(J$1,test!$A$3:$I$32,3,FALSE)),1,0)</f>
        <v>0</v>
      </c>
      <c r="K131" s="2">
        <f>IF(AND(feasible_mat!J7, VLOOKUP(Recharged_Feasible_matv3!$A131,test!$A$34:$G$37, 3,FALSE)=VLOOKUP(K$1,test!$A$3:$I$32,3,FALSE)),1,0)</f>
        <v>0</v>
      </c>
      <c r="L131" s="2">
        <f>IF(AND(feasible_mat!K7, VLOOKUP(Recharged_Feasible_matv3!$A131,test!$A$34:$G$37, 3,FALSE)=VLOOKUP(L$1,test!$A$3:$I$32,3,FALSE)),1,0)</f>
        <v>0</v>
      </c>
      <c r="M131" s="2">
        <f>IF(AND(feasible_mat!L7, VLOOKUP(Recharged_Feasible_matv3!$A131,test!$A$34:$G$37, 3,FALSE)=VLOOKUP(M$1,test!$A$3:$I$32,3,FALSE)),1,0)</f>
        <v>0</v>
      </c>
      <c r="N131" s="2">
        <f>IF(AND(feasible_mat!M7, VLOOKUP(Recharged_Feasible_matv3!$A131,test!$A$34:$G$37, 3,FALSE)=VLOOKUP(N$1,test!$A$3:$I$32,3,FALSE)),1,0)</f>
        <v>0</v>
      </c>
      <c r="O131" s="2">
        <f>IF(AND(feasible_mat!N7, VLOOKUP(Recharged_Feasible_matv3!$A131,test!$A$34:$G$37, 3,FALSE)=VLOOKUP(O$1,test!$A$3:$I$32,3,FALSE)),1,0)</f>
        <v>0</v>
      </c>
      <c r="P131" s="2">
        <f>IF(AND(feasible_mat!O7, VLOOKUP(Recharged_Feasible_matv3!$A131,test!$A$34:$G$37, 3,FALSE)=VLOOKUP(P$1,test!$A$3:$I$32,3,FALSE)),1,0)</f>
        <v>0</v>
      </c>
      <c r="Q131" s="2">
        <f>IF(AND(feasible_mat!P7, VLOOKUP(Recharged_Feasible_matv3!$A131,test!$A$34:$G$37, 3,FALSE)=VLOOKUP(Q$1,test!$A$3:$I$32,3,FALSE)),1,0)</f>
        <v>0</v>
      </c>
      <c r="R131" s="2">
        <f>IF(AND(feasible_mat!Q7, VLOOKUP(Recharged_Feasible_matv3!$A131,test!$A$34:$G$37, 3,FALSE)=VLOOKUP(R$1,test!$A$3:$I$32,3,FALSE)),1,0)</f>
        <v>0</v>
      </c>
      <c r="S131" s="2">
        <f>IF(AND(feasible_mat!R7, VLOOKUP(Recharged_Feasible_matv3!$A131,test!$A$34:$G$37, 3,FALSE)=VLOOKUP(S$1,test!$A$3:$I$32,3,FALSE)),1,0)</f>
        <v>0</v>
      </c>
      <c r="T131" s="2">
        <f>IF(AND(feasible_mat!S7, VLOOKUP(Recharged_Feasible_matv3!$A131,test!$A$34:$G$37, 3,FALSE)=VLOOKUP(T$1,test!$A$3:$I$32,3,FALSE)),1,0)</f>
        <v>0</v>
      </c>
      <c r="U131" s="2">
        <f>IF(AND(feasible_mat!T7, VLOOKUP(Recharged_Feasible_matv3!$A131,test!$A$34:$G$37, 3,FALSE)=VLOOKUP(U$1,test!$A$3:$I$32,3,FALSE)),1,0)</f>
        <v>0</v>
      </c>
      <c r="V131" s="2">
        <f>IF(AND(feasible_mat!U7, VLOOKUP(Recharged_Feasible_matv3!$A131,test!$A$34:$G$37, 3,FALSE)=VLOOKUP(V$1,test!$A$3:$I$32,3,FALSE)),1,0)</f>
        <v>0</v>
      </c>
      <c r="W131" s="2">
        <f>IF(AND(feasible_mat!V7, VLOOKUP(Recharged_Feasible_matv3!$A131,test!$A$34:$G$37, 3,FALSE)=VLOOKUP(W$1,test!$A$3:$I$32,3,FALSE)),1,0)</f>
        <v>0</v>
      </c>
      <c r="X131" s="2">
        <f>IF(AND(feasible_mat!W7, VLOOKUP(Recharged_Feasible_matv3!$A131,test!$A$34:$G$37, 3,FALSE)=VLOOKUP(X$1,test!$A$3:$I$32,3,FALSE)),1,0)</f>
        <v>0</v>
      </c>
      <c r="Y131" s="2">
        <f>IF(AND(feasible_mat!X7, VLOOKUP(Recharged_Feasible_matv3!$A131,test!$A$34:$G$37, 3,FALSE)=VLOOKUP(Y$1,test!$A$3:$I$32,3,FALSE)),1,0)</f>
        <v>0</v>
      </c>
      <c r="Z131" s="2">
        <f>IF(AND(feasible_mat!Y7, VLOOKUP(Recharged_Feasible_matv3!$A131,test!$A$34:$G$37, 3,FALSE)=VLOOKUP(Z$1,test!$A$3:$I$32,3,FALSE)),1,0)</f>
        <v>0</v>
      </c>
      <c r="AA131" s="2">
        <f>IF(AND(feasible_mat!Z7, VLOOKUP(Recharged_Feasible_matv3!$A131,test!$A$34:$G$37, 3,FALSE)=VLOOKUP(AA$1,test!$A$3:$I$32,3,FALSE)),1,0)</f>
        <v>0</v>
      </c>
      <c r="AB131" s="2">
        <f>IF(AND(feasible_mat!AA7, VLOOKUP(Recharged_Feasible_matv3!$A131,test!$A$34:$G$37, 3,FALSE)=VLOOKUP(AB$1,test!$A$3:$I$32,3,FALSE)),1,0)</f>
        <v>0</v>
      </c>
      <c r="AC131" s="2">
        <f>IF(AND(feasible_mat!AB7, VLOOKUP(Recharged_Feasible_matv3!$A131,test!$A$34:$G$37, 3,FALSE)=VLOOKUP(AC$1,test!$A$3:$I$32,3,FALSE)),1,0)</f>
        <v>0</v>
      </c>
      <c r="AD131" s="2">
        <f>IF(AND(feasible_mat!AC7, VLOOKUP(Recharged_Feasible_matv3!$A131,test!$A$34:$G$37, 3,FALSE)=VLOOKUP(AD$1,test!$A$3:$I$32,3,FALSE)),1,0)</f>
        <v>0</v>
      </c>
      <c r="AE131" s="2">
        <f>IF(AND(feasible_mat!AD7, VLOOKUP(Recharged_Feasible_matv3!$A131,test!$A$34:$G$37, 3,FALSE)=VLOOKUP(AE$1,test!$A$3:$I$32,3,FALSE)),1,0)</f>
        <v>0</v>
      </c>
      <c r="AF131" s="2">
        <f>IF(AND(feasible_mat!AE7, VLOOKUP(Recharged_Feasible_matv3!$A131,test!$A$34:$G$37, 3,FALSE)=VLOOKUP(AF$1,test!$A$3:$I$32,3,FALSE)),1,0)</f>
        <v>0</v>
      </c>
      <c r="AG131" s="2">
        <f>IF(AND(feasible_mat!AF7, VLOOKUP(Recharged_Feasible_matv3!$A131,test!$A$34:$G$37, 3,FALSE)=VLOOKUP(AG$1,test!$A$3:$I$32,3,FALSE)),1,0)</f>
        <v>0</v>
      </c>
    </row>
    <row r="132" spans="1:33" x14ac:dyDescent="0.25">
      <c r="A132" t="s">
        <v>99</v>
      </c>
      <c r="B132" t="s">
        <v>13</v>
      </c>
      <c r="C132">
        <v>0</v>
      </c>
      <c r="D132" s="2">
        <f>IF(AND(feasible_mat!C8, VLOOKUP(Recharged_Feasible_matv3!$A132,test!$A$34:$G$37, 3,FALSE)=VLOOKUP(D$1,test!$A$3:$I$32,3,FALSE)),1,0)</f>
        <v>0</v>
      </c>
      <c r="E132" s="2">
        <f>IF(AND(feasible_mat!D8, VLOOKUP(Recharged_Feasible_matv3!$A132,test!$A$34:$G$37, 3,FALSE)=VLOOKUP(E$1,test!$A$3:$I$32,3,FALSE)),1,0)</f>
        <v>0</v>
      </c>
      <c r="F132" s="2">
        <f>IF(AND(feasible_mat!E8, VLOOKUP(Recharged_Feasible_matv3!$A132,test!$A$34:$G$37, 3,FALSE)=VLOOKUP(F$1,test!$A$3:$I$32,3,FALSE)),1,0)</f>
        <v>0</v>
      </c>
      <c r="G132" s="2">
        <f>IF(AND(feasible_mat!F8, VLOOKUP(Recharged_Feasible_matv3!$A132,test!$A$34:$G$37, 3,FALSE)=VLOOKUP(G$1,test!$A$3:$I$32,3,FALSE)),1,0)</f>
        <v>0</v>
      </c>
      <c r="H132" s="2">
        <f>IF(AND(feasible_mat!G8, VLOOKUP(Recharged_Feasible_matv3!$A132,test!$A$34:$G$37, 3,FALSE)=VLOOKUP(H$1,test!$A$3:$I$32,3,FALSE)),1,0)</f>
        <v>0</v>
      </c>
      <c r="I132" s="2">
        <f>IF(AND(feasible_mat!H8, VLOOKUP(Recharged_Feasible_matv3!$A132,test!$A$34:$G$37, 3,FALSE)=VLOOKUP(I$1,test!$A$3:$I$32,3,FALSE)),1,0)</f>
        <v>0</v>
      </c>
      <c r="J132" s="2">
        <f>IF(AND(feasible_mat!I8, VLOOKUP(Recharged_Feasible_matv3!$A132,test!$A$34:$G$37, 3,FALSE)=VLOOKUP(J$1,test!$A$3:$I$32,3,FALSE)),1,0)</f>
        <v>0</v>
      </c>
      <c r="K132" s="2">
        <f>IF(AND(feasible_mat!J8, VLOOKUP(Recharged_Feasible_matv3!$A132,test!$A$34:$G$37, 3,FALSE)=VLOOKUP(K$1,test!$A$3:$I$32,3,FALSE)),1,0)</f>
        <v>0</v>
      </c>
      <c r="L132" s="2">
        <f>IF(AND(feasible_mat!K8, VLOOKUP(Recharged_Feasible_matv3!$A132,test!$A$34:$G$37, 3,FALSE)=VLOOKUP(L$1,test!$A$3:$I$32,3,FALSE)),1,0)</f>
        <v>0</v>
      </c>
      <c r="M132" s="2">
        <f>IF(AND(feasible_mat!L8, VLOOKUP(Recharged_Feasible_matv3!$A132,test!$A$34:$G$37, 3,FALSE)=VLOOKUP(M$1,test!$A$3:$I$32,3,FALSE)),1,0)</f>
        <v>0</v>
      </c>
      <c r="N132" s="2">
        <f>IF(AND(feasible_mat!M8, VLOOKUP(Recharged_Feasible_matv3!$A132,test!$A$34:$G$37, 3,FALSE)=VLOOKUP(N$1,test!$A$3:$I$32,3,FALSE)),1,0)</f>
        <v>0</v>
      </c>
      <c r="O132" s="2">
        <f>IF(AND(feasible_mat!N8, VLOOKUP(Recharged_Feasible_matv3!$A132,test!$A$34:$G$37, 3,FALSE)=VLOOKUP(O$1,test!$A$3:$I$32,3,FALSE)),1,0)</f>
        <v>0</v>
      </c>
      <c r="P132" s="2">
        <f>IF(AND(feasible_mat!O8, VLOOKUP(Recharged_Feasible_matv3!$A132,test!$A$34:$G$37, 3,FALSE)=VLOOKUP(P$1,test!$A$3:$I$32,3,FALSE)),1,0)</f>
        <v>0</v>
      </c>
      <c r="Q132" s="2">
        <f>IF(AND(feasible_mat!P8, VLOOKUP(Recharged_Feasible_matv3!$A132,test!$A$34:$G$37, 3,FALSE)=VLOOKUP(Q$1,test!$A$3:$I$32,3,FALSE)),1,0)</f>
        <v>0</v>
      </c>
      <c r="R132" s="2">
        <f>IF(AND(feasible_mat!Q8, VLOOKUP(Recharged_Feasible_matv3!$A132,test!$A$34:$G$37, 3,FALSE)=VLOOKUP(R$1,test!$A$3:$I$32,3,FALSE)),1,0)</f>
        <v>0</v>
      </c>
      <c r="S132" s="2">
        <f>IF(AND(feasible_mat!R8, VLOOKUP(Recharged_Feasible_matv3!$A132,test!$A$34:$G$37, 3,FALSE)=VLOOKUP(S$1,test!$A$3:$I$32,3,FALSE)),1,0)</f>
        <v>0</v>
      </c>
      <c r="T132" s="2">
        <f>IF(AND(feasible_mat!S8, VLOOKUP(Recharged_Feasible_matv3!$A132,test!$A$34:$G$37, 3,FALSE)=VLOOKUP(T$1,test!$A$3:$I$32,3,FALSE)),1,0)</f>
        <v>0</v>
      </c>
      <c r="U132" s="2">
        <f>IF(AND(feasible_mat!T8, VLOOKUP(Recharged_Feasible_matv3!$A132,test!$A$34:$G$37, 3,FALSE)=VLOOKUP(U$1,test!$A$3:$I$32,3,FALSE)),1,0)</f>
        <v>0</v>
      </c>
      <c r="V132" s="2">
        <f>IF(AND(feasible_mat!U8, VLOOKUP(Recharged_Feasible_matv3!$A132,test!$A$34:$G$37, 3,FALSE)=VLOOKUP(V$1,test!$A$3:$I$32,3,FALSE)),1,0)</f>
        <v>0</v>
      </c>
      <c r="W132" s="2">
        <f>IF(AND(feasible_mat!V8, VLOOKUP(Recharged_Feasible_matv3!$A132,test!$A$34:$G$37, 3,FALSE)=VLOOKUP(W$1,test!$A$3:$I$32,3,FALSE)),1,0)</f>
        <v>0</v>
      </c>
      <c r="X132" s="2">
        <f>IF(AND(feasible_mat!W8, VLOOKUP(Recharged_Feasible_matv3!$A132,test!$A$34:$G$37, 3,FALSE)=VLOOKUP(X$1,test!$A$3:$I$32,3,FALSE)),1,0)</f>
        <v>0</v>
      </c>
      <c r="Y132" s="2">
        <f>IF(AND(feasible_mat!X8, VLOOKUP(Recharged_Feasible_matv3!$A132,test!$A$34:$G$37, 3,FALSE)=VLOOKUP(Y$1,test!$A$3:$I$32,3,FALSE)),1,0)</f>
        <v>0</v>
      </c>
      <c r="Z132" s="2">
        <f>IF(AND(feasible_mat!Y8, VLOOKUP(Recharged_Feasible_matv3!$A132,test!$A$34:$G$37, 3,FALSE)=VLOOKUP(Z$1,test!$A$3:$I$32,3,FALSE)),1,0)</f>
        <v>0</v>
      </c>
      <c r="AA132" s="2">
        <f>IF(AND(feasible_mat!Z8, VLOOKUP(Recharged_Feasible_matv3!$A132,test!$A$34:$G$37, 3,FALSE)=VLOOKUP(AA$1,test!$A$3:$I$32,3,FALSE)),1,0)</f>
        <v>0</v>
      </c>
      <c r="AB132" s="2">
        <f>IF(AND(feasible_mat!AA8, VLOOKUP(Recharged_Feasible_matv3!$A132,test!$A$34:$G$37, 3,FALSE)=VLOOKUP(AB$1,test!$A$3:$I$32,3,FALSE)),1,0)</f>
        <v>0</v>
      </c>
      <c r="AC132" s="2">
        <f>IF(AND(feasible_mat!AB8, VLOOKUP(Recharged_Feasible_matv3!$A132,test!$A$34:$G$37, 3,FALSE)=VLOOKUP(AC$1,test!$A$3:$I$32,3,FALSE)),1,0)</f>
        <v>0</v>
      </c>
      <c r="AD132" s="2">
        <f>IF(AND(feasible_mat!AC8, VLOOKUP(Recharged_Feasible_matv3!$A132,test!$A$34:$G$37, 3,FALSE)=VLOOKUP(AD$1,test!$A$3:$I$32,3,FALSE)),1,0)</f>
        <v>0</v>
      </c>
      <c r="AE132" s="2">
        <f>IF(AND(feasible_mat!AD8, VLOOKUP(Recharged_Feasible_matv3!$A132,test!$A$34:$G$37, 3,FALSE)=VLOOKUP(AE$1,test!$A$3:$I$32,3,FALSE)),1,0)</f>
        <v>0</v>
      </c>
      <c r="AF132" s="2">
        <f>IF(AND(feasible_mat!AE8, VLOOKUP(Recharged_Feasible_matv3!$A132,test!$A$34:$G$37, 3,FALSE)=VLOOKUP(AF$1,test!$A$3:$I$32,3,FALSE)),1,0)</f>
        <v>0</v>
      </c>
      <c r="AG132" s="2">
        <f>IF(AND(feasible_mat!AF8, VLOOKUP(Recharged_Feasible_matv3!$A132,test!$A$34:$G$37, 3,FALSE)=VLOOKUP(AG$1,test!$A$3:$I$32,3,FALSE)),1,0)</f>
        <v>0</v>
      </c>
    </row>
    <row r="133" spans="1:33" x14ac:dyDescent="0.25">
      <c r="A133" t="s">
        <v>99</v>
      </c>
      <c r="B133" t="s">
        <v>14</v>
      </c>
      <c r="C133">
        <v>0</v>
      </c>
      <c r="D133" s="2">
        <f>IF(AND(feasible_mat!C9, VLOOKUP(Recharged_Feasible_matv3!$A133,test!$A$34:$G$37, 3,FALSE)=VLOOKUP(D$1,test!$A$3:$I$32,3,FALSE)),1,0)</f>
        <v>0</v>
      </c>
      <c r="E133" s="2">
        <f>IF(AND(feasible_mat!D9, VLOOKUP(Recharged_Feasible_matv3!$A133,test!$A$34:$G$37, 3,FALSE)=VLOOKUP(E$1,test!$A$3:$I$32,3,FALSE)),1,0)</f>
        <v>0</v>
      </c>
      <c r="F133" s="2">
        <f>IF(AND(feasible_mat!E9, VLOOKUP(Recharged_Feasible_matv3!$A133,test!$A$34:$G$37, 3,FALSE)=VLOOKUP(F$1,test!$A$3:$I$32,3,FALSE)),1,0)</f>
        <v>0</v>
      </c>
      <c r="G133" s="2">
        <f>IF(AND(feasible_mat!F9, VLOOKUP(Recharged_Feasible_matv3!$A133,test!$A$34:$G$37, 3,FALSE)=VLOOKUP(G$1,test!$A$3:$I$32,3,FALSE)),1,0)</f>
        <v>0</v>
      </c>
      <c r="H133" s="2">
        <f>IF(AND(feasible_mat!G9, VLOOKUP(Recharged_Feasible_matv3!$A133,test!$A$34:$G$37, 3,FALSE)=VLOOKUP(H$1,test!$A$3:$I$32,3,FALSE)),1,0)</f>
        <v>0</v>
      </c>
      <c r="I133" s="2">
        <f>IF(AND(feasible_mat!H9, VLOOKUP(Recharged_Feasible_matv3!$A133,test!$A$34:$G$37, 3,FALSE)=VLOOKUP(I$1,test!$A$3:$I$32,3,FALSE)),1,0)</f>
        <v>0</v>
      </c>
      <c r="J133" s="2">
        <f>IF(AND(feasible_mat!I9, VLOOKUP(Recharged_Feasible_matv3!$A133,test!$A$34:$G$37, 3,FALSE)=VLOOKUP(J$1,test!$A$3:$I$32,3,FALSE)),1,0)</f>
        <v>0</v>
      </c>
      <c r="K133" s="2">
        <f>IF(AND(feasible_mat!J9, VLOOKUP(Recharged_Feasible_matv3!$A133,test!$A$34:$G$37, 3,FALSE)=VLOOKUP(K$1,test!$A$3:$I$32,3,FALSE)),1,0)</f>
        <v>0</v>
      </c>
      <c r="L133" s="2">
        <f>IF(AND(feasible_mat!K9, VLOOKUP(Recharged_Feasible_matv3!$A133,test!$A$34:$G$37, 3,FALSE)=VLOOKUP(L$1,test!$A$3:$I$32,3,FALSE)),1,0)</f>
        <v>0</v>
      </c>
      <c r="M133" s="2">
        <f>IF(AND(feasible_mat!L9, VLOOKUP(Recharged_Feasible_matv3!$A133,test!$A$34:$G$37, 3,FALSE)=VLOOKUP(M$1,test!$A$3:$I$32,3,FALSE)),1,0)</f>
        <v>0</v>
      </c>
      <c r="N133" s="2">
        <f>IF(AND(feasible_mat!M9, VLOOKUP(Recharged_Feasible_matv3!$A133,test!$A$34:$G$37, 3,FALSE)=VLOOKUP(N$1,test!$A$3:$I$32,3,FALSE)),1,0)</f>
        <v>0</v>
      </c>
      <c r="O133" s="2">
        <f>IF(AND(feasible_mat!N9, VLOOKUP(Recharged_Feasible_matv3!$A133,test!$A$34:$G$37, 3,FALSE)=VLOOKUP(O$1,test!$A$3:$I$32,3,FALSE)),1,0)</f>
        <v>0</v>
      </c>
      <c r="P133" s="2">
        <f>IF(AND(feasible_mat!O9, VLOOKUP(Recharged_Feasible_matv3!$A133,test!$A$34:$G$37, 3,FALSE)=VLOOKUP(P$1,test!$A$3:$I$32,3,FALSE)),1,0)</f>
        <v>0</v>
      </c>
      <c r="Q133" s="2">
        <f>IF(AND(feasible_mat!P9, VLOOKUP(Recharged_Feasible_matv3!$A133,test!$A$34:$G$37, 3,FALSE)=VLOOKUP(Q$1,test!$A$3:$I$32,3,FALSE)),1,0)</f>
        <v>0</v>
      </c>
      <c r="R133" s="2">
        <f>IF(AND(feasible_mat!Q9, VLOOKUP(Recharged_Feasible_matv3!$A133,test!$A$34:$G$37, 3,FALSE)=VLOOKUP(R$1,test!$A$3:$I$32,3,FALSE)),1,0)</f>
        <v>0</v>
      </c>
      <c r="S133" s="2">
        <f>IF(AND(feasible_mat!R9, VLOOKUP(Recharged_Feasible_matv3!$A133,test!$A$34:$G$37, 3,FALSE)=VLOOKUP(S$1,test!$A$3:$I$32,3,FALSE)),1,0)</f>
        <v>0</v>
      </c>
      <c r="T133" s="2">
        <f>IF(AND(feasible_mat!S9, VLOOKUP(Recharged_Feasible_matv3!$A133,test!$A$34:$G$37, 3,FALSE)=VLOOKUP(T$1,test!$A$3:$I$32,3,FALSE)),1,0)</f>
        <v>0</v>
      </c>
      <c r="U133" s="2">
        <f>IF(AND(feasible_mat!T9, VLOOKUP(Recharged_Feasible_matv3!$A133,test!$A$34:$G$37, 3,FALSE)=VLOOKUP(U$1,test!$A$3:$I$32,3,FALSE)),1,0)</f>
        <v>0</v>
      </c>
      <c r="V133" s="2">
        <f>IF(AND(feasible_mat!U9, VLOOKUP(Recharged_Feasible_matv3!$A133,test!$A$34:$G$37, 3,FALSE)=VLOOKUP(V$1,test!$A$3:$I$32,3,FALSE)),1,0)</f>
        <v>0</v>
      </c>
      <c r="W133" s="2">
        <f>IF(AND(feasible_mat!V9, VLOOKUP(Recharged_Feasible_matv3!$A133,test!$A$34:$G$37, 3,FALSE)=VLOOKUP(W$1,test!$A$3:$I$32,3,FALSE)),1,0)</f>
        <v>0</v>
      </c>
      <c r="X133" s="2">
        <f>IF(AND(feasible_mat!W9, VLOOKUP(Recharged_Feasible_matv3!$A133,test!$A$34:$G$37, 3,FALSE)=VLOOKUP(X$1,test!$A$3:$I$32,3,FALSE)),1,0)</f>
        <v>0</v>
      </c>
      <c r="Y133" s="2">
        <f>IF(AND(feasible_mat!X9, VLOOKUP(Recharged_Feasible_matv3!$A133,test!$A$34:$G$37, 3,FALSE)=VLOOKUP(Y$1,test!$A$3:$I$32,3,FALSE)),1,0)</f>
        <v>0</v>
      </c>
      <c r="Z133" s="2">
        <f>IF(AND(feasible_mat!Y9, VLOOKUP(Recharged_Feasible_matv3!$A133,test!$A$34:$G$37, 3,FALSE)=VLOOKUP(Z$1,test!$A$3:$I$32,3,FALSE)),1,0)</f>
        <v>0</v>
      </c>
      <c r="AA133" s="2">
        <f>IF(AND(feasible_mat!Z9, VLOOKUP(Recharged_Feasible_matv3!$A133,test!$A$34:$G$37, 3,FALSE)=VLOOKUP(AA$1,test!$A$3:$I$32,3,FALSE)),1,0)</f>
        <v>0</v>
      </c>
      <c r="AB133" s="2">
        <f>IF(AND(feasible_mat!AA9, VLOOKUP(Recharged_Feasible_matv3!$A133,test!$A$34:$G$37, 3,FALSE)=VLOOKUP(AB$1,test!$A$3:$I$32,3,FALSE)),1,0)</f>
        <v>0</v>
      </c>
      <c r="AC133" s="2">
        <f>IF(AND(feasible_mat!AB9, VLOOKUP(Recharged_Feasible_matv3!$A133,test!$A$34:$G$37, 3,FALSE)=VLOOKUP(AC$1,test!$A$3:$I$32,3,FALSE)),1,0)</f>
        <v>0</v>
      </c>
      <c r="AD133" s="2">
        <f>IF(AND(feasible_mat!AC9, VLOOKUP(Recharged_Feasible_matv3!$A133,test!$A$34:$G$37, 3,FALSE)=VLOOKUP(AD$1,test!$A$3:$I$32,3,FALSE)),1,0)</f>
        <v>0</v>
      </c>
      <c r="AE133" s="2">
        <f>IF(AND(feasible_mat!AD9, VLOOKUP(Recharged_Feasible_matv3!$A133,test!$A$34:$G$37, 3,FALSE)=VLOOKUP(AE$1,test!$A$3:$I$32,3,FALSE)),1,0)</f>
        <v>0</v>
      </c>
      <c r="AF133" s="2">
        <f>IF(AND(feasible_mat!AE9, VLOOKUP(Recharged_Feasible_matv3!$A133,test!$A$34:$G$37, 3,FALSE)=VLOOKUP(AF$1,test!$A$3:$I$32,3,FALSE)),1,0)</f>
        <v>0</v>
      </c>
      <c r="AG133" s="2">
        <f>IF(AND(feasible_mat!AF9, VLOOKUP(Recharged_Feasible_matv3!$A133,test!$A$34:$G$37, 3,FALSE)=VLOOKUP(AG$1,test!$A$3:$I$32,3,FALSE)),1,0)</f>
        <v>0</v>
      </c>
    </row>
    <row r="134" spans="1:33" x14ac:dyDescent="0.25">
      <c r="A134" t="s">
        <v>99</v>
      </c>
      <c r="B134" t="s">
        <v>15</v>
      </c>
      <c r="C134">
        <v>0</v>
      </c>
      <c r="D134" s="2">
        <f>IF(AND(feasible_mat!C10, VLOOKUP(Recharged_Feasible_matv3!$A134,test!$A$34:$G$37, 3,FALSE)=VLOOKUP(D$1,test!$A$3:$I$32,3,FALSE)),1,0)</f>
        <v>0</v>
      </c>
      <c r="E134" s="2">
        <f>IF(AND(feasible_mat!D10, VLOOKUP(Recharged_Feasible_matv3!$A134,test!$A$34:$G$37, 3,FALSE)=VLOOKUP(E$1,test!$A$3:$I$32,3,FALSE)),1,0)</f>
        <v>0</v>
      </c>
      <c r="F134" s="2">
        <f>IF(AND(feasible_mat!E10, VLOOKUP(Recharged_Feasible_matv3!$A134,test!$A$34:$G$37, 3,FALSE)=VLOOKUP(F$1,test!$A$3:$I$32,3,FALSE)),1,0)</f>
        <v>0</v>
      </c>
      <c r="G134" s="2">
        <f>IF(AND(feasible_mat!F10, VLOOKUP(Recharged_Feasible_matv3!$A134,test!$A$34:$G$37, 3,FALSE)=VLOOKUP(G$1,test!$A$3:$I$32,3,FALSE)),1,0)</f>
        <v>0</v>
      </c>
      <c r="H134" s="2">
        <f>IF(AND(feasible_mat!G10, VLOOKUP(Recharged_Feasible_matv3!$A134,test!$A$34:$G$37, 3,FALSE)=VLOOKUP(H$1,test!$A$3:$I$32,3,FALSE)),1,0)</f>
        <v>0</v>
      </c>
      <c r="I134" s="2">
        <f>IF(AND(feasible_mat!H10, VLOOKUP(Recharged_Feasible_matv3!$A134,test!$A$34:$G$37, 3,FALSE)=VLOOKUP(I$1,test!$A$3:$I$32,3,FALSE)),1,0)</f>
        <v>0</v>
      </c>
      <c r="J134" s="2">
        <f>IF(AND(feasible_mat!I10, VLOOKUP(Recharged_Feasible_matv3!$A134,test!$A$34:$G$37, 3,FALSE)=VLOOKUP(J$1,test!$A$3:$I$32,3,FALSE)),1,0)</f>
        <v>0</v>
      </c>
      <c r="K134" s="2">
        <f>IF(AND(feasible_mat!J10, VLOOKUP(Recharged_Feasible_matv3!$A134,test!$A$34:$G$37, 3,FALSE)=VLOOKUP(K$1,test!$A$3:$I$32,3,FALSE)),1,0)</f>
        <v>0</v>
      </c>
      <c r="L134" s="2">
        <f>IF(AND(feasible_mat!K10, VLOOKUP(Recharged_Feasible_matv3!$A134,test!$A$34:$G$37, 3,FALSE)=VLOOKUP(L$1,test!$A$3:$I$32,3,FALSE)),1,0)</f>
        <v>0</v>
      </c>
      <c r="M134" s="2">
        <f>IF(AND(feasible_mat!L10, VLOOKUP(Recharged_Feasible_matv3!$A134,test!$A$34:$G$37, 3,FALSE)=VLOOKUP(M$1,test!$A$3:$I$32,3,FALSE)),1,0)</f>
        <v>0</v>
      </c>
      <c r="N134" s="2">
        <f>IF(AND(feasible_mat!M10, VLOOKUP(Recharged_Feasible_matv3!$A134,test!$A$34:$G$37, 3,FALSE)=VLOOKUP(N$1,test!$A$3:$I$32,3,FALSE)),1,0)</f>
        <v>0</v>
      </c>
      <c r="O134" s="2">
        <f>IF(AND(feasible_mat!N10, VLOOKUP(Recharged_Feasible_matv3!$A134,test!$A$34:$G$37, 3,FALSE)=VLOOKUP(O$1,test!$A$3:$I$32,3,FALSE)),1,0)</f>
        <v>0</v>
      </c>
      <c r="P134" s="2">
        <f>IF(AND(feasible_mat!O10, VLOOKUP(Recharged_Feasible_matv3!$A134,test!$A$34:$G$37, 3,FALSE)=VLOOKUP(P$1,test!$A$3:$I$32,3,FALSE)),1,0)</f>
        <v>0</v>
      </c>
      <c r="Q134" s="2">
        <f>IF(AND(feasible_mat!P10, VLOOKUP(Recharged_Feasible_matv3!$A134,test!$A$34:$G$37, 3,FALSE)=VLOOKUP(Q$1,test!$A$3:$I$32,3,FALSE)),1,0)</f>
        <v>0</v>
      </c>
      <c r="R134" s="2">
        <f>IF(AND(feasible_mat!Q10, VLOOKUP(Recharged_Feasible_matv3!$A134,test!$A$34:$G$37, 3,FALSE)=VLOOKUP(R$1,test!$A$3:$I$32,3,FALSE)),1,0)</f>
        <v>0</v>
      </c>
      <c r="S134" s="2">
        <f>IF(AND(feasible_mat!R10, VLOOKUP(Recharged_Feasible_matv3!$A134,test!$A$34:$G$37, 3,FALSE)=VLOOKUP(S$1,test!$A$3:$I$32,3,FALSE)),1,0)</f>
        <v>0</v>
      </c>
      <c r="T134" s="2">
        <f>IF(AND(feasible_mat!S10, VLOOKUP(Recharged_Feasible_matv3!$A134,test!$A$34:$G$37, 3,FALSE)=VLOOKUP(T$1,test!$A$3:$I$32,3,FALSE)),1,0)</f>
        <v>0</v>
      </c>
      <c r="U134" s="2">
        <f>IF(AND(feasible_mat!T10, VLOOKUP(Recharged_Feasible_matv3!$A134,test!$A$34:$G$37, 3,FALSE)=VLOOKUP(U$1,test!$A$3:$I$32,3,FALSE)),1,0)</f>
        <v>0</v>
      </c>
      <c r="V134" s="2">
        <f>IF(AND(feasible_mat!U10, VLOOKUP(Recharged_Feasible_matv3!$A134,test!$A$34:$G$37, 3,FALSE)=VLOOKUP(V$1,test!$A$3:$I$32,3,FALSE)),1,0)</f>
        <v>0</v>
      </c>
      <c r="W134" s="2">
        <f>IF(AND(feasible_mat!V10, VLOOKUP(Recharged_Feasible_matv3!$A134,test!$A$34:$G$37, 3,FALSE)=VLOOKUP(W$1,test!$A$3:$I$32,3,FALSE)),1,0)</f>
        <v>0</v>
      </c>
      <c r="X134" s="2">
        <f>IF(AND(feasible_mat!W10, VLOOKUP(Recharged_Feasible_matv3!$A134,test!$A$34:$G$37, 3,FALSE)=VLOOKUP(X$1,test!$A$3:$I$32,3,FALSE)),1,0)</f>
        <v>0</v>
      </c>
      <c r="Y134" s="2">
        <f>IF(AND(feasible_mat!X10, VLOOKUP(Recharged_Feasible_matv3!$A134,test!$A$34:$G$37, 3,FALSE)=VLOOKUP(Y$1,test!$A$3:$I$32,3,FALSE)),1,0)</f>
        <v>0</v>
      </c>
      <c r="Z134" s="2">
        <f>IF(AND(feasible_mat!Y10, VLOOKUP(Recharged_Feasible_matv3!$A134,test!$A$34:$G$37, 3,FALSE)=VLOOKUP(Z$1,test!$A$3:$I$32,3,FALSE)),1,0)</f>
        <v>0</v>
      </c>
      <c r="AA134" s="2">
        <f>IF(AND(feasible_mat!Z10, VLOOKUP(Recharged_Feasible_matv3!$A134,test!$A$34:$G$37, 3,FALSE)=VLOOKUP(AA$1,test!$A$3:$I$32,3,FALSE)),1,0)</f>
        <v>0</v>
      </c>
      <c r="AB134" s="2">
        <f>IF(AND(feasible_mat!AA10, VLOOKUP(Recharged_Feasible_matv3!$A134,test!$A$34:$G$37, 3,FALSE)=VLOOKUP(AB$1,test!$A$3:$I$32,3,FALSE)),1,0)</f>
        <v>0</v>
      </c>
      <c r="AC134" s="2">
        <f>IF(AND(feasible_mat!AB10, VLOOKUP(Recharged_Feasible_matv3!$A134,test!$A$34:$G$37, 3,FALSE)=VLOOKUP(AC$1,test!$A$3:$I$32,3,FALSE)),1,0)</f>
        <v>0</v>
      </c>
      <c r="AD134" s="2">
        <f>IF(AND(feasible_mat!AC10, VLOOKUP(Recharged_Feasible_matv3!$A134,test!$A$34:$G$37, 3,FALSE)=VLOOKUP(AD$1,test!$A$3:$I$32,3,FALSE)),1,0)</f>
        <v>0</v>
      </c>
      <c r="AE134" s="2">
        <f>IF(AND(feasible_mat!AD10, VLOOKUP(Recharged_Feasible_matv3!$A134,test!$A$34:$G$37, 3,FALSE)=VLOOKUP(AE$1,test!$A$3:$I$32,3,FALSE)),1,0)</f>
        <v>0</v>
      </c>
      <c r="AF134" s="2">
        <f>IF(AND(feasible_mat!AE10, VLOOKUP(Recharged_Feasible_matv3!$A134,test!$A$34:$G$37, 3,FALSE)=VLOOKUP(AF$1,test!$A$3:$I$32,3,FALSE)),1,0)</f>
        <v>0</v>
      </c>
      <c r="AG134" s="2">
        <f>IF(AND(feasible_mat!AF10, VLOOKUP(Recharged_Feasible_matv3!$A134,test!$A$34:$G$37, 3,FALSE)=VLOOKUP(AG$1,test!$A$3:$I$32,3,FALSE)),1,0)</f>
        <v>0</v>
      </c>
    </row>
    <row r="135" spans="1:33" x14ac:dyDescent="0.25">
      <c r="A135" t="s">
        <v>99</v>
      </c>
      <c r="B135" t="s">
        <v>18</v>
      </c>
      <c r="C135">
        <v>0</v>
      </c>
      <c r="D135" s="2">
        <f>IF(AND(feasible_mat!C11, VLOOKUP(Recharged_Feasible_matv3!$A135,test!$A$34:$G$37, 3,FALSE)=VLOOKUP(D$1,test!$A$3:$I$32,3,FALSE)),1,0)</f>
        <v>0</v>
      </c>
      <c r="E135" s="2">
        <f>IF(AND(feasible_mat!D11, VLOOKUP(Recharged_Feasible_matv3!$A135,test!$A$34:$G$37, 3,FALSE)=VLOOKUP(E$1,test!$A$3:$I$32,3,FALSE)),1,0)</f>
        <v>0</v>
      </c>
      <c r="F135" s="2">
        <f>IF(AND(feasible_mat!E11, VLOOKUP(Recharged_Feasible_matv3!$A135,test!$A$34:$G$37, 3,FALSE)=VLOOKUP(F$1,test!$A$3:$I$32,3,FALSE)),1,0)</f>
        <v>0</v>
      </c>
      <c r="G135" s="2">
        <f>IF(AND(feasible_mat!F11, VLOOKUP(Recharged_Feasible_matv3!$A135,test!$A$34:$G$37, 3,FALSE)=VLOOKUP(G$1,test!$A$3:$I$32,3,FALSE)),1,0)</f>
        <v>0</v>
      </c>
      <c r="H135" s="2">
        <f>IF(AND(feasible_mat!G11, VLOOKUP(Recharged_Feasible_matv3!$A135,test!$A$34:$G$37, 3,FALSE)=VLOOKUP(H$1,test!$A$3:$I$32,3,FALSE)),1,0)</f>
        <v>0</v>
      </c>
      <c r="I135" s="2">
        <f>IF(AND(feasible_mat!H11, VLOOKUP(Recharged_Feasible_matv3!$A135,test!$A$34:$G$37, 3,FALSE)=VLOOKUP(I$1,test!$A$3:$I$32,3,FALSE)),1,0)</f>
        <v>0</v>
      </c>
      <c r="J135" s="2">
        <f>IF(AND(feasible_mat!I11, VLOOKUP(Recharged_Feasible_matv3!$A135,test!$A$34:$G$37, 3,FALSE)=VLOOKUP(J$1,test!$A$3:$I$32,3,FALSE)),1,0)</f>
        <v>0</v>
      </c>
      <c r="K135" s="2">
        <f>IF(AND(feasible_mat!J11, VLOOKUP(Recharged_Feasible_matv3!$A135,test!$A$34:$G$37, 3,FALSE)=VLOOKUP(K$1,test!$A$3:$I$32,3,FALSE)),1,0)</f>
        <v>0</v>
      </c>
      <c r="L135" s="2">
        <f>IF(AND(feasible_mat!K11, VLOOKUP(Recharged_Feasible_matv3!$A135,test!$A$34:$G$37, 3,FALSE)=VLOOKUP(L$1,test!$A$3:$I$32,3,FALSE)),1,0)</f>
        <v>0</v>
      </c>
      <c r="M135" s="2">
        <f>IF(AND(feasible_mat!L11, VLOOKUP(Recharged_Feasible_matv3!$A135,test!$A$34:$G$37, 3,FALSE)=VLOOKUP(M$1,test!$A$3:$I$32,3,FALSE)),1,0)</f>
        <v>0</v>
      </c>
      <c r="N135" s="2">
        <f>IF(AND(feasible_mat!M11, VLOOKUP(Recharged_Feasible_matv3!$A135,test!$A$34:$G$37, 3,FALSE)=VLOOKUP(N$1,test!$A$3:$I$32,3,FALSE)),1,0)</f>
        <v>0</v>
      </c>
      <c r="O135" s="2">
        <f>IF(AND(feasible_mat!N11, VLOOKUP(Recharged_Feasible_matv3!$A135,test!$A$34:$G$37, 3,FALSE)=VLOOKUP(O$1,test!$A$3:$I$32,3,FALSE)),1,0)</f>
        <v>0</v>
      </c>
      <c r="P135" s="2">
        <f>IF(AND(feasible_mat!O11, VLOOKUP(Recharged_Feasible_matv3!$A135,test!$A$34:$G$37, 3,FALSE)=VLOOKUP(P$1,test!$A$3:$I$32,3,FALSE)),1,0)</f>
        <v>0</v>
      </c>
      <c r="Q135" s="2">
        <f>IF(AND(feasible_mat!P11, VLOOKUP(Recharged_Feasible_matv3!$A135,test!$A$34:$G$37, 3,FALSE)=VLOOKUP(Q$1,test!$A$3:$I$32,3,FALSE)),1,0)</f>
        <v>0</v>
      </c>
      <c r="R135" s="2">
        <f>IF(AND(feasible_mat!Q11, VLOOKUP(Recharged_Feasible_matv3!$A135,test!$A$34:$G$37, 3,FALSE)=VLOOKUP(R$1,test!$A$3:$I$32,3,FALSE)),1,0)</f>
        <v>0</v>
      </c>
      <c r="S135" s="2">
        <f>IF(AND(feasible_mat!R11, VLOOKUP(Recharged_Feasible_matv3!$A135,test!$A$34:$G$37, 3,FALSE)=VLOOKUP(S$1,test!$A$3:$I$32,3,FALSE)),1,0)</f>
        <v>0</v>
      </c>
      <c r="T135" s="2">
        <f>IF(AND(feasible_mat!S11, VLOOKUP(Recharged_Feasible_matv3!$A135,test!$A$34:$G$37, 3,FALSE)=VLOOKUP(T$1,test!$A$3:$I$32,3,FALSE)),1,0)</f>
        <v>0</v>
      </c>
      <c r="U135" s="2">
        <f>IF(AND(feasible_mat!T11, VLOOKUP(Recharged_Feasible_matv3!$A135,test!$A$34:$G$37, 3,FALSE)=VLOOKUP(U$1,test!$A$3:$I$32,3,FALSE)),1,0)</f>
        <v>0</v>
      </c>
      <c r="V135" s="2">
        <f>IF(AND(feasible_mat!U11, VLOOKUP(Recharged_Feasible_matv3!$A135,test!$A$34:$G$37, 3,FALSE)=VLOOKUP(V$1,test!$A$3:$I$32,3,FALSE)),1,0)</f>
        <v>0</v>
      </c>
      <c r="W135" s="2">
        <f>IF(AND(feasible_mat!V11, VLOOKUP(Recharged_Feasible_matv3!$A135,test!$A$34:$G$37, 3,FALSE)=VLOOKUP(W$1,test!$A$3:$I$32,3,FALSE)),1,0)</f>
        <v>0</v>
      </c>
      <c r="X135" s="2">
        <f>IF(AND(feasible_mat!W11, VLOOKUP(Recharged_Feasible_matv3!$A135,test!$A$34:$G$37, 3,FALSE)=VLOOKUP(X$1,test!$A$3:$I$32,3,FALSE)),1,0)</f>
        <v>0</v>
      </c>
      <c r="Y135" s="2">
        <f>IF(AND(feasible_mat!X11, VLOOKUP(Recharged_Feasible_matv3!$A135,test!$A$34:$G$37, 3,FALSE)=VLOOKUP(Y$1,test!$A$3:$I$32,3,FALSE)),1,0)</f>
        <v>0</v>
      </c>
      <c r="Z135" s="2">
        <f>IF(AND(feasible_mat!Y11, VLOOKUP(Recharged_Feasible_matv3!$A135,test!$A$34:$G$37, 3,FALSE)=VLOOKUP(Z$1,test!$A$3:$I$32,3,FALSE)),1,0)</f>
        <v>0</v>
      </c>
      <c r="AA135" s="2">
        <f>IF(AND(feasible_mat!Z11, VLOOKUP(Recharged_Feasible_matv3!$A135,test!$A$34:$G$37, 3,FALSE)=VLOOKUP(AA$1,test!$A$3:$I$32,3,FALSE)),1,0)</f>
        <v>0</v>
      </c>
      <c r="AB135" s="2">
        <f>IF(AND(feasible_mat!AA11, VLOOKUP(Recharged_Feasible_matv3!$A135,test!$A$34:$G$37, 3,FALSE)=VLOOKUP(AB$1,test!$A$3:$I$32,3,FALSE)),1,0)</f>
        <v>0</v>
      </c>
      <c r="AC135" s="2">
        <f>IF(AND(feasible_mat!AB11, VLOOKUP(Recharged_Feasible_matv3!$A135,test!$A$34:$G$37, 3,FALSE)=VLOOKUP(AC$1,test!$A$3:$I$32,3,FALSE)),1,0)</f>
        <v>0</v>
      </c>
      <c r="AD135" s="2">
        <f>IF(AND(feasible_mat!AC11, VLOOKUP(Recharged_Feasible_matv3!$A135,test!$A$34:$G$37, 3,FALSE)=VLOOKUP(AD$1,test!$A$3:$I$32,3,FALSE)),1,0)</f>
        <v>0</v>
      </c>
      <c r="AE135" s="2">
        <f>IF(AND(feasible_mat!AD11, VLOOKUP(Recharged_Feasible_matv3!$A135,test!$A$34:$G$37, 3,FALSE)=VLOOKUP(AE$1,test!$A$3:$I$32,3,FALSE)),1,0)</f>
        <v>0</v>
      </c>
      <c r="AF135" s="2">
        <f>IF(AND(feasible_mat!AE11, VLOOKUP(Recharged_Feasible_matv3!$A135,test!$A$34:$G$37, 3,FALSE)=VLOOKUP(AF$1,test!$A$3:$I$32,3,FALSE)),1,0)</f>
        <v>1</v>
      </c>
      <c r="AG135" s="2">
        <f>IF(AND(feasible_mat!AF11, VLOOKUP(Recharged_Feasible_matv3!$A135,test!$A$34:$G$37, 3,FALSE)=VLOOKUP(AG$1,test!$A$3:$I$32,3,FALSE)),1,0)</f>
        <v>1</v>
      </c>
    </row>
    <row r="136" spans="1:33" x14ac:dyDescent="0.25">
      <c r="A136" t="s">
        <v>99</v>
      </c>
      <c r="B136" t="s">
        <v>20</v>
      </c>
      <c r="C136">
        <v>0</v>
      </c>
      <c r="D136" s="2">
        <f>IF(AND(feasible_mat!C12, VLOOKUP(Recharged_Feasible_matv3!$A136,test!$A$34:$G$37, 3,FALSE)=VLOOKUP(D$1,test!$A$3:$I$32,3,FALSE)),1,0)</f>
        <v>0</v>
      </c>
      <c r="E136" s="2">
        <f>IF(AND(feasible_mat!D12, VLOOKUP(Recharged_Feasible_matv3!$A136,test!$A$34:$G$37, 3,FALSE)=VLOOKUP(E$1,test!$A$3:$I$32,3,FALSE)),1,0)</f>
        <v>0</v>
      </c>
      <c r="F136" s="2">
        <f>IF(AND(feasible_mat!E12, VLOOKUP(Recharged_Feasible_matv3!$A136,test!$A$34:$G$37, 3,FALSE)=VLOOKUP(F$1,test!$A$3:$I$32,3,FALSE)),1,0)</f>
        <v>0</v>
      </c>
      <c r="G136" s="2">
        <f>IF(AND(feasible_mat!F12, VLOOKUP(Recharged_Feasible_matv3!$A136,test!$A$34:$G$37, 3,FALSE)=VLOOKUP(G$1,test!$A$3:$I$32,3,FALSE)),1,0)</f>
        <v>0</v>
      </c>
      <c r="H136" s="2">
        <f>IF(AND(feasible_mat!G12, VLOOKUP(Recharged_Feasible_matv3!$A136,test!$A$34:$G$37, 3,FALSE)=VLOOKUP(H$1,test!$A$3:$I$32,3,FALSE)),1,0)</f>
        <v>0</v>
      </c>
      <c r="I136" s="2">
        <f>IF(AND(feasible_mat!H12, VLOOKUP(Recharged_Feasible_matv3!$A136,test!$A$34:$G$37, 3,FALSE)=VLOOKUP(I$1,test!$A$3:$I$32,3,FALSE)),1,0)</f>
        <v>0</v>
      </c>
      <c r="J136" s="2">
        <f>IF(AND(feasible_mat!I12, VLOOKUP(Recharged_Feasible_matv3!$A136,test!$A$34:$G$37, 3,FALSE)=VLOOKUP(J$1,test!$A$3:$I$32,3,FALSE)),1,0)</f>
        <v>0</v>
      </c>
      <c r="K136" s="2">
        <f>IF(AND(feasible_mat!J12, VLOOKUP(Recharged_Feasible_matv3!$A136,test!$A$34:$G$37, 3,FALSE)=VLOOKUP(K$1,test!$A$3:$I$32,3,FALSE)),1,0)</f>
        <v>0</v>
      </c>
      <c r="L136" s="2">
        <f>IF(AND(feasible_mat!K12, VLOOKUP(Recharged_Feasible_matv3!$A136,test!$A$34:$G$37, 3,FALSE)=VLOOKUP(L$1,test!$A$3:$I$32,3,FALSE)),1,0)</f>
        <v>0</v>
      </c>
      <c r="M136" s="2">
        <f>IF(AND(feasible_mat!L12, VLOOKUP(Recharged_Feasible_matv3!$A136,test!$A$34:$G$37, 3,FALSE)=VLOOKUP(M$1,test!$A$3:$I$32,3,FALSE)),1,0)</f>
        <v>0</v>
      </c>
      <c r="N136" s="2">
        <f>IF(AND(feasible_mat!M12, VLOOKUP(Recharged_Feasible_matv3!$A136,test!$A$34:$G$37, 3,FALSE)=VLOOKUP(N$1,test!$A$3:$I$32,3,FALSE)),1,0)</f>
        <v>0</v>
      </c>
      <c r="O136" s="2">
        <f>IF(AND(feasible_mat!N12, VLOOKUP(Recharged_Feasible_matv3!$A136,test!$A$34:$G$37, 3,FALSE)=VLOOKUP(O$1,test!$A$3:$I$32,3,FALSE)),1,0)</f>
        <v>0</v>
      </c>
      <c r="P136" s="2">
        <f>IF(AND(feasible_mat!O12, VLOOKUP(Recharged_Feasible_matv3!$A136,test!$A$34:$G$37, 3,FALSE)=VLOOKUP(P$1,test!$A$3:$I$32,3,FALSE)),1,0)</f>
        <v>0</v>
      </c>
      <c r="Q136" s="2">
        <f>IF(AND(feasible_mat!P12, VLOOKUP(Recharged_Feasible_matv3!$A136,test!$A$34:$G$37, 3,FALSE)=VLOOKUP(Q$1,test!$A$3:$I$32,3,FALSE)),1,0)</f>
        <v>0</v>
      </c>
      <c r="R136" s="2">
        <f>IF(AND(feasible_mat!Q12, VLOOKUP(Recharged_Feasible_matv3!$A136,test!$A$34:$G$37, 3,FALSE)=VLOOKUP(R$1,test!$A$3:$I$32,3,FALSE)),1,0)</f>
        <v>0</v>
      </c>
      <c r="S136" s="2">
        <f>IF(AND(feasible_mat!R12, VLOOKUP(Recharged_Feasible_matv3!$A136,test!$A$34:$G$37, 3,FALSE)=VLOOKUP(S$1,test!$A$3:$I$32,3,FALSE)),1,0)</f>
        <v>0</v>
      </c>
      <c r="T136" s="2">
        <f>IF(AND(feasible_mat!S12, VLOOKUP(Recharged_Feasible_matv3!$A136,test!$A$34:$G$37, 3,FALSE)=VLOOKUP(T$1,test!$A$3:$I$32,3,FALSE)),1,0)</f>
        <v>0</v>
      </c>
      <c r="U136" s="2">
        <f>IF(AND(feasible_mat!T12, VLOOKUP(Recharged_Feasible_matv3!$A136,test!$A$34:$G$37, 3,FALSE)=VLOOKUP(U$1,test!$A$3:$I$32,3,FALSE)),1,0)</f>
        <v>0</v>
      </c>
      <c r="V136" s="2">
        <f>IF(AND(feasible_mat!U12, VLOOKUP(Recharged_Feasible_matv3!$A136,test!$A$34:$G$37, 3,FALSE)=VLOOKUP(V$1,test!$A$3:$I$32,3,FALSE)),1,0)</f>
        <v>0</v>
      </c>
      <c r="W136" s="2">
        <f>IF(AND(feasible_mat!V12, VLOOKUP(Recharged_Feasible_matv3!$A136,test!$A$34:$G$37, 3,FALSE)=VLOOKUP(W$1,test!$A$3:$I$32,3,FALSE)),1,0)</f>
        <v>0</v>
      </c>
      <c r="X136" s="2">
        <f>IF(AND(feasible_mat!W12, VLOOKUP(Recharged_Feasible_matv3!$A136,test!$A$34:$G$37, 3,FALSE)=VLOOKUP(X$1,test!$A$3:$I$32,3,FALSE)),1,0)</f>
        <v>0</v>
      </c>
      <c r="Y136" s="2">
        <f>IF(AND(feasible_mat!X12, VLOOKUP(Recharged_Feasible_matv3!$A136,test!$A$34:$G$37, 3,FALSE)=VLOOKUP(Y$1,test!$A$3:$I$32,3,FALSE)),1,0)</f>
        <v>0</v>
      </c>
      <c r="Z136" s="2">
        <f>IF(AND(feasible_mat!Y12, VLOOKUP(Recharged_Feasible_matv3!$A136,test!$A$34:$G$37, 3,FALSE)=VLOOKUP(Z$1,test!$A$3:$I$32,3,FALSE)),1,0)</f>
        <v>0</v>
      </c>
      <c r="AA136" s="2">
        <f>IF(AND(feasible_mat!Z12, VLOOKUP(Recharged_Feasible_matv3!$A136,test!$A$34:$G$37, 3,FALSE)=VLOOKUP(AA$1,test!$A$3:$I$32,3,FALSE)),1,0)</f>
        <v>0</v>
      </c>
      <c r="AB136" s="2">
        <f>IF(AND(feasible_mat!AA12, VLOOKUP(Recharged_Feasible_matv3!$A136,test!$A$34:$G$37, 3,FALSE)=VLOOKUP(AB$1,test!$A$3:$I$32,3,FALSE)),1,0)</f>
        <v>0</v>
      </c>
      <c r="AC136" s="2">
        <f>IF(AND(feasible_mat!AB12, VLOOKUP(Recharged_Feasible_matv3!$A136,test!$A$34:$G$37, 3,FALSE)=VLOOKUP(AC$1,test!$A$3:$I$32,3,FALSE)),1,0)</f>
        <v>0</v>
      </c>
      <c r="AD136" s="2">
        <f>IF(AND(feasible_mat!AC12, VLOOKUP(Recharged_Feasible_matv3!$A136,test!$A$34:$G$37, 3,FALSE)=VLOOKUP(AD$1,test!$A$3:$I$32,3,FALSE)),1,0)</f>
        <v>0</v>
      </c>
      <c r="AE136" s="2">
        <f>IF(AND(feasible_mat!AD12, VLOOKUP(Recharged_Feasible_matv3!$A136,test!$A$34:$G$37, 3,FALSE)=VLOOKUP(AE$1,test!$A$3:$I$32,3,FALSE)),1,0)</f>
        <v>0</v>
      </c>
      <c r="AF136" s="2">
        <f>IF(AND(feasible_mat!AE12, VLOOKUP(Recharged_Feasible_matv3!$A136,test!$A$34:$G$37, 3,FALSE)=VLOOKUP(AF$1,test!$A$3:$I$32,3,FALSE)),1,0)</f>
        <v>1</v>
      </c>
      <c r="AG136" s="2">
        <f>IF(AND(feasible_mat!AF12, VLOOKUP(Recharged_Feasible_matv3!$A136,test!$A$34:$G$37, 3,FALSE)=VLOOKUP(AG$1,test!$A$3:$I$32,3,FALSE)),1,0)</f>
        <v>0</v>
      </c>
    </row>
    <row r="137" spans="1:33" x14ac:dyDescent="0.25">
      <c r="A137" t="s">
        <v>99</v>
      </c>
      <c r="B137" t="s">
        <v>21</v>
      </c>
      <c r="C137">
        <v>0</v>
      </c>
      <c r="D137" s="2">
        <f>IF(AND(feasible_mat!C13, VLOOKUP(Recharged_Feasible_matv3!$A137,test!$A$34:$G$37, 3,FALSE)=VLOOKUP(D$1,test!$A$3:$I$32,3,FALSE)),1,0)</f>
        <v>0</v>
      </c>
      <c r="E137" s="2">
        <f>IF(AND(feasible_mat!D13, VLOOKUP(Recharged_Feasible_matv3!$A137,test!$A$34:$G$37, 3,FALSE)=VLOOKUP(E$1,test!$A$3:$I$32,3,FALSE)),1,0)</f>
        <v>0</v>
      </c>
      <c r="F137" s="2">
        <f>IF(AND(feasible_mat!E13, VLOOKUP(Recharged_Feasible_matv3!$A137,test!$A$34:$G$37, 3,FALSE)=VLOOKUP(F$1,test!$A$3:$I$32,3,FALSE)),1,0)</f>
        <v>0</v>
      </c>
      <c r="G137" s="2">
        <f>IF(AND(feasible_mat!F13, VLOOKUP(Recharged_Feasible_matv3!$A137,test!$A$34:$G$37, 3,FALSE)=VLOOKUP(G$1,test!$A$3:$I$32,3,FALSE)),1,0)</f>
        <v>0</v>
      </c>
      <c r="H137" s="2">
        <f>IF(AND(feasible_mat!G13, VLOOKUP(Recharged_Feasible_matv3!$A137,test!$A$34:$G$37, 3,FALSE)=VLOOKUP(H$1,test!$A$3:$I$32,3,FALSE)),1,0)</f>
        <v>0</v>
      </c>
      <c r="I137" s="2">
        <f>IF(AND(feasible_mat!H13, VLOOKUP(Recharged_Feasible_matv3!$A137,test!$A$34:$G$37, 3,FALSE)=VLOOKUP(I$1,test!$A$3:$I$32,3,FALSE)),1,0)</f>
        <v>0</v>
      </c>
      <c r="J137" s="2">
        <f>IF(AND(feasible_mat!I13, VLOOKUP(Recharged_Feasible_matv3!$A137,test!$A$34:$G$37, 3,FALSE)=VLOOKUP(J$1,test!$A$3:$I$32,3,FALSE)),1,0)</f>
        <v>0</v>
      </c>
      <c r="K137" s="2">
        <f>IF(AND(feasible_mat!J13, VLOOKUP(Recharged_Feasible_matv3!$A137,test!$A$34:$G$37, 3,FALSE)=VLOOKUP(K$1,test!$A$3:$I$32,3,FALSE)),1,0)</f>
        <v>0</v>
      </c>
      <c r="L137" s="2">
        <f>IF(AND(feasible_mat!K13, VLOOKUP(Recharged_Feasible_matv3!$A137,test!$A$34:$G$37, 3,FALSE)=VLOOKUP(L$1,test!$A$3:$I$32,3,FALSE)),1,0)</f>
        <v>0</v>
      </c>
      <c r="M137" s="2">
        <f>IF(AND(feasible_mat!L13, VLOOKUP(Recharged_Feasible_matv3!$A137,test!$A$34:$G$37, 3,FALSE)=VLOOKUP(M$1,test!$A$3:$I$32,3,FALSE)),1,0)</f>
        <v>0</v>
      </c>
      <c r="N137" s="2">
        <f>IF(AND(feasible_mat!M13, VLOOKUP(Recharged_Feasible_matv3!$A137,test!$A$34:$G$37, 3,FALSE)=VLOOKUP(N$1,test!$A$3:$I$32,3,FALSE)),1,0)</f>
        <v>0</v>
      </c>
      <c r="O137" s="2">
        <f>IF(AND(feasible_mat!N13, VLOOKUP(Recharged_Feasible_matv3!$A137,test!$A$34:$G$37, 3,FALSE)=VLOOKUP(O$1,test!$A$3:$I$32,3,FALSE)),1,0)</f>
        <v>0</v>
      </c>
      <c r="P137" s="2">
        <f>IF(AND(feasible_mat!O13, VLOOKUP(Recharged_Feasible_matv3!$A137,test!$A$34:$G$37, 3,FALSE)=VLOOKUP(P$1,test!$A$3:$I$32,3,FALSE)),1,0)</f>
        <v>0</v>
      </c>
      <c r="Q137" s="2">
        <f>IF(AND(feasible_mat!P13, VLOOKUP(Recharged_Feasible_matv3!$A137,test!$A$34:$G$37, 3,FALSE)=VLOOKUP(Q$1,test!$A$3:$I$32,3,FALSE)),1,0)</f>
        <v>0</v>
      </c>
      <c r="R137" s="2">
        <f>IF(AND(feasible_mat!Q13, VLOOKUP(Recharged_Feasible_matv3!$A137,test!$A$34:$G$37, 3,FALSE)=VLOOKUP(R$1,test!$A$3:$I$32,3,FALSE)),1,0)</f>
        <v>0</v>
      </c>
      <c r="S137" s="2">
        <f>IF(AND(feasible_mat!R13, VLOOKUP(Recharged_Feasible_matv3!$A137,test!$A$34:$G$37, 3,FALSE)=VLOOKUP(S$1,test!$A$3:$I$32,3,FALSE)),1,0)</f>
        <v>0</v>
      </c>
      <c r="T137" s="2">
        <f>IF(AND(feasible_mat!S13, VLOOKUP(Recharged_Feasible_matv3!$A137,test!$A$34:$G$37, 3,FALSE)=VLOOKUP(T$1,test!$A$3:$I$32,3,FALSE)),1,0)</f>
        <v>0</v>
      </c>
      <c r="U137" s="2">
        <f>IF(AND(feasible_mat!T13, VLOOKUP(Recharged_Feasible_matv3!$A137,test!$A$34:$G$37, 3,FALSE)=VLOOKUP(U$1,test!$A$3:$I$32,3,FALSE)),1,0)</f>
        <v>0</v>
      </c>
      <c r="V137" s="2">
        <f>IF(AND(feasible_mat!U13, VLOOKUP(Recharged_Feasible_matv3!$A137,test!$A$34:$G$37, 3,FALSE)=VLOOKUP(V$1,test!$A$3:$I$32,3,FALSE)),1,0)</f>
        <v>0</v>
      </c>
      <c r="W137" s="2">
        <f>IF(AND(feasible_mat!V13, VLOOKUP(Recharged_Feasible_matv3!$A137,test!$A$34:$G$37, 3,FALSE)=VLOOKUP(W$1,test!$A$3:$I$32,3,FALSE)),1,0)</f>
        <v>0</v>
      </c>
      <c r="X137" s="2">
        <f>IF(AND(feasible_mat!W13, VLOOKUP(Recharged_Feasible_matv3!$A137,test!$A$34:$G$37, 3,FALSE)=VLOOKUP(X$1,test!$A$3:$I$32,3,FALSE)),1,0)</f>
        <v>0</v>
      </c>
      <c r="Y137" s="2">
        <f>IF(AND(feasible_mat!X13, VLOOKUP(Recharged_Feasible_matv3!$A137,test!$A$34:$G$37, 3,FALSE)=VLOOKUP(Y$1,test!$A$3:$I$32,3,FALSE)),1,0)</f>
        <v>0</v>
      </c>
      <c r="Z137" s="2">
        <f>IF(AND(feasible_mat!Y13, VLOOKUP(Recharged_Feasible_matv3!$A137,test!$A$34:$G$37, 3,FALSE)=VLOOKUP(Z$1,test!$A$3:$I$32,3,FALSE)),1,0)</f>
        <v>0</v>
      </c>
      <c r="AA137" s="2">
        <f>IF(AND(feasible_mat!Z13, VLOOKUP(Recharged_Feasible_matv3!$A137,test!$A$34:$G$37, 3,FALSE)=VLOOKUP(AA$1,test!$A$3:$I$32,3,FALSE)),1,0)</f>
        <v>0</v>
      </c>
      <c r="AB137" s="2">
        <f>IF(AND(feasible_mat!AA13, VLOOKUP(Recharged_Feasible_matv3!$A137,test!$A$34:$G$37, 3,FALSE)=VLOOKUP(AB$1,test!$A$3:$I$32,3,FALSE)),1,0)</f>
        <v>0</v>
      </c>
      <c r="AC137" s="2">
        <f>IF(AND(feasible_mat!AB13, VLOOKUP(Recharged_Feasible_matv3!$A137,test!$A$34:$G$37, 3,FALSE)=VLOOKUP(AC$1,test!$A$3:$I$32,3,FALSE)),1,0)</f>
        <v>0</v>
      </c>
      <c r="AD137" s="2">
        <f>IF(AND(feasible_mat!AC13, VLOOKUP(Recharged_Feasible_matv3!$A137,test!$A$34:$G$37, 3,FALSE)=VLOOKUP(AD$1,test!$A$3:$I$32,3,FALSE)),1,0)</f>
        <v>0</v>
      </c>
      <c r="AE137" s="2">
        <f>IF(AND(feasible_mat!AD13, VLOOKUP(Recharged_Feasible_matv3!$A137,test!$A$34:$G$37, 3,FALSE)=VLOOKUP(AE$1,test!$A$3:$I$32,3,FALSE)),1,0)</f>
        <v>0</v>
      </c>
      <c r="AF137" s="2">
        <f>IF(AND(feasible_mat!AE13, VLOOKUP(Recharged_Feasible_matv3!$A137,test!$A$34:$G$37, 3,FALSE)=VLOOKUP(AF$1,test!$A$3:$I$32,3,FALSE)),1,0)</f>
        <v>0</v>
      </c>
      <c r="AG137" s="2">
        <f>IF(AND(feasible_mat!AF13, VLOOKUP(Recharged_Feasible_matv3!$A137,test!$A$34:$G$37, 3,FALSE)=VLOOKUP(AG$1,test!$A$3:$I$32,3,FALSE)),1,0)</f>
        <v>0</v>
      </c>
    </row>
    <row r="138" spans="1:33" x14ac:dyDescent="0.25">
      <c r="A138" t="s">
        <v>99</v>
      </c>
      <c r="B138" t="s">
        <v>22</v>
      </c>
      <c r="C138">
        <v>0</v>
      </c>
      <c r="D138" s="2">
        <f>IF(AND(feasible_mat!C14, VLOOKUP(Recharged_Feasible_matv3!$A138,test!$A$34:$G$37, 3,FALSE)=VLOOKUP(D$1,test!$A$3:$I$32,3,FALSE)),1,0)</f>
        <v>0</v>
      </c>
      <c r="E138" s="2">
        <f>IF(AND(feasible_mat!D14, VLOOKUP(Recharged_Feasible_matv3!$A138,test!$A$34:$G$37, 3,FALSE)=VLOOKUP(E$1,test!$A$3:$I$32,3,FALSE)),1,0)</f>
        <v>0</v>
      </c>
      <c r="F138" s="2">
        <f>IF(AND(feasible_mat!E14, VLOOKUP(Recharged_Feasible_matv3!$A138,test!$A$34:$G$37, 3,FALSE)=VLOOKUP(F$1,test!$A$3:$I$32,3,FALSE)),1,0)</f>
        <v>0</v>
      </c>
      <c r="G138" s="2">
        <f>IF(AND(feasible_mat!F14, VLOOKUP(Recharged_Feasible_matv3!$A138,test!$A$34:$G$37, 3,FALSE)=VLOOKUP(G$1,test!$A$3:$I$32,3,FALSE)),1,0)</f>
        <v>0</v>
      </c>
      <c r="H138" s="2">
        <f>IF(AND(feasible_mat!G14, VLOOKUP(Recharged_Feasible_matv3!$A138,test!$A$34:$G$37, 3,FALSE)=VLOOKUP(H$1,test!$A$3:$I$32,3,FALSE)),1,0)</f>
        <v>0</v>
      </c>
      <c r="I138" s="2">
        <f>IF(AND(feasible_mat!H14, VLOOKUP(Recharged_Feasible_matv3!$A138,test!$A$34:$G$37, 3,FALSE)=VLOOKUP(I$1,test!$A$3:$I$32,3,FALSE)),1,0)</f>
        <v>0</v>
      </c>
      <c r="J138" s="2">
        <f>IF(AND(feasible_mat!I14, VLOOKUP(Recharged_Feasible_matv3!$A138,test!$A$34:$G$37, 3,FALSE)=VLOOKUP(J$1,test!$A$3:$I$32,3,FALSE)),1,0)</f>
        <v>0</v>
      </c>
      <c r="K138" s="2">
        <f>IF(AND(feasible_mat!J14, VLOOKUP(Recharged_Feasible_matv3!$A138,test!$A$34:$G$37, 3,FALSE)=VLOOKUP(K$1,test!$A$3:$I$32,3,FALSE)),1,0)</f>
        <v>0</v>
      </c>
      <c r="L138" s="2">
        <f>IF(AND(feasible_mat!K14, VLOOKUP(Recharged_Feasible_matv3!$A138,test!$A$34:$G$37, 3,FALSE)=VLOOKUP(L$1,test!$A$3:$I$32,3,FALSE)),1,0)</f>
        <v>0</v>
      </c>
      <c r="M138" s="2">
        <f>IF(AND(feasible_mat!L14, VLOOKUP(Recharged_Feasible_matv3!$A138,test!$A$34:$G$37, 3,FALSE)=VLOOKUP(M$1,test!$A$3:$I$32,3,FALSE)),1,0)</f>
        <v>0</v>
      </c>
      <c r="N138" s="2">
        <f>IF(AND(feasible_mat!M14, VLOOKUP(Recharged_Feasible_matv3!$A138,test!$A$34:$G$37, 3,FALSE)=VLOOKUP(N$1,test!$A$3:$I$32,3,FALSE)),1,0)</f>
        <v>0</v>
      </c>
      <c r="O138" s="2">
        <f>IF(AND(feasible_mat!N14, VLOOKUP(Recharged_Feasible_matv3!$A138,test!$A$34:$G$37, 3,FALSE)=VLOOKUP(O$1,test!$A$3:$I$32,3,FALSE)),1,0)</f>
        <v>0</v>
      </c>
      <c r="P138" s="2">
        <f>IF(AND(feasible_mat!O14, VLOOKUP(Recharged_Feasible_matv3!$A138,test!$A$34:$G$37, 3,FALSE)=VLOOKUP(P$1,test!$A$3:$I$32,3,FALSE)),1,0)</f>
        <v>0</v>
      </c>
      <c r="Q138" s="2">
        <f>IF(AND(feasible_mat!P14, VLOOKUP(Recharged_Feasible_matv3!$A138,test!$A$34:$G$37, 3,FALSE)=VLOOKUP(Q$1,test!$A$3:$I$32,3,FALSE)),1,0)</f>
        <v>0</v>
      </c>
      <c r="R138" s="2">
        <f>IF(AND(feasible_mat!Q14, VLOOKUP(Recharged_Feasible_matv3!$A138,test!$A$34:$G$37, 3,FALSE)=VLOOKUP(R$1,test!$A$3:$I$32,3,FALSE)),1,0)</f>
        <v>0</v>
      </c>
      <c r="S138" s="2">
        <f>IF(AND(feasible_mat!R14, VLOOKUP(Recharged_Feasible_matv3!$A138,test!$A$34:$G$37, 3,FALSE)=VLOOKUP(S$1,test!$A$3:$I$32,3,FALSE)),1,0)</f>
        <v>0</v>
      </c>
      <c r="T138" s="2">
        <f>IF(AND(feasible_mat!S14, VLOOKUP(Recharged_Feasible_matv3!$A138,test!$A$34:$G$37, 3,FALSE)=VLOOKUP(T$1,test!$A$3:$I$32,3,FALSE)),1,0)</f>
        <v>0</v>
      </c>
      <c r="U138" s="2">
        <f>IF(AND(feasible_mat!T14, VLOOKUP(Recharged_Feasible_matv3!$A138,test!$A$34:$G$37, 3,FALSE)=VLOOKUP(U$1,test!$A$3:$I$32,3,FALSE)),1,0)</f>
        <v>0</v>
      </c>
      <c r="V138" s="2">
        <f>IF(AND(feasible_mat!U14, VLOOKUP(Recharged_Feasible_matv3!$A138,test!$A$34:$G$37, 3,FALSE)=VLOOKUP(V$1,test!$A$3:$I$32,3,FALSE)),1,0)</f>
        <v>0</v>
      </c>
      <c r="W138" s="2">
        <f>IF(AND(feasible_mat!V14, VLOOKUP(Recharged_Feasible_matv3!$A138,test!$A$34:$G$37, 3,FALSE)=VLOOKUP(W$1,test!$A$3:$I$32,3,FALSE)),1,0)</f>
        <v>0</v>
      </c>
      <c r="X138" s="2">
        <f>IF(AND(feasible_mat!W14, VLOOKUP(Recharged_Feasible_matv3!$A138,test!$A$34:$G$37, 3,FALSE)=VLOOKUP(X$1,test!$A$3:$I$32,3,FALSE)),1,0)</f>
        <v>0</v>
      </c>
      <c r="Y138" s="2">
        <f>IF(AND(feasible_mat!X14, VLOOKUP(Recharged_Feasible_matv3!$A138,test!$A$34:$G$37, 3,FALSE)=VLOOKUP(Y$1,test!$A$3:$I$32,3,FALSE)),1,0)</f>
        <v>0</v>
      </c>
      <c r="Z138" s="2">
        <f>IF(AND(feasible_mat!Y14, VLOOKUP(Recharged_Feasible_matv3!$A138,test!$A$34:$G$37, 3,FALSE)=VLOOKUP(Z$1,test!$A$3:$I$32,3,FALSE)),1,0)</f>
        <v>0</v>
      </c>
      <c r="AA138" s="2">
        <f>IF(AND(feasible_mat!Z14, VLOOKUP(Recharged_Feasible_matv3!$A138,test!$A$34:$G$37, 3,FALSE)=VLOOKUP(AA$1,test!$A$3:$I$32,3,FALSE)),1,0)</f>
        <v>0</v>
      </c>
      <c r="AB138" s="2">
        <f>IF(AND(feasible_mat!AA14, VLOOKUP(Recharged_Feasible_matv3!$A138,test!$A$34:$G$37, 3,FALSE)=VLOOKUP(AB$1,test!$A$3:$I$32,3,FALSE)),1,0)</f>
        <v>0</v>
      </c>
      <c r="AC138" s="2">
        <f>IF(AND(feasible_mat!AB14, VLOOKUP(Recharged_Feasible_matv3!$A138,test!$A$34:$G$37, 3,FALSE)=VLOOKUP(AC$1,test!$A$3:$I$32,3,FALSE)),1,0)</f>
        <v>0</v>
      </c>
      <c r="AD138" s="2">
        <f>IF(AND(feasible_mat!AC14, VLOOKUP(Recharged_Feasible_matv3!$A138,test!$A$34:$G$37, 3,FALSE)=VLOOKUP(AD$1,test!$A$3:$I$32,3,FALSE)),1,0)</f>
        <v>0</v>
      </c>
      <c r="AE138" s="2">
        <f>IF(AND(feasible_mat!AD14, VLOOKUP(Recharged_Feasible_matv3!$A138,test!$A$34:$G$37, 3,FALSE)=VLOOKUP(AE$1,test!$A$3:$I$32,3,FALSE)),1,0)</f>
        <v>0</v>
      </c>
      <c r="AF138" s="2">
        <f>IF(AND(feasible_mat!AE14, VLOOKUP(Recharged_Feasible_matv3!$A138,test!$A$34:$G$37, 3,FALSE)=VLOOKUP(AF$1,test!$A$3:$I$32,3,FALSE)),1,0)</f>
        <v>0</v>
      </c>
      <c r="AG138" s="2">
        <f>IF(AND(feasible_mat!AF14, VLOOKUP(Recharged_Feasible_matv3!$A138,test!$A$34:$G$37, 3,FALSE)=VLOOKUP(AG$1,test!$A$3:$I$32,3,FALSE)),1,0)</f>
        <v>0</v>
      </c>
    </row>
    <row r="139" spans="1:33" x14ac:dyDescent="0.25">
      <c r="A139" t="s">
        <v>99</v>
      </c>
      <c r="B139" t="s">
        <v>23</v>
      </c>
      <c r="C139">
        <v>0</v>
      </c>
      <c r="D139" s="2">
        <f>IF(AND(feasible_mat!C15, VLOOKUP(Recharged_Feasible_matv3!$A139,test!$A$34:$G$37, 3,FALSE)=VLOOKUP(D$1,test!$A$3:$I$32,3,FALSE)),1,0)</f>
        <v>0</v>
      </c>
      <c r="E139" s="2">
        <f>IF(AND(feasible_mat!D15, VLOOKUP(Recharged_Feasible_matv3!$A139,test!$A$34:$G$37, 3,FALSE)=VLOOKUP(E$1,test!$A$3:$I$32,3,FALSE)),1,0)</f>
        <v>0</v>
      </c>
      <c r="F139" s="2">
        <f>IF(AND(feasible_mat!E15, VLOOKUP(Recharged_Feasible_matv3!$A139,test!$A$34:$G$37, 3,FALSE)=VLOOKUP(F$1,test!$A$3:$I$32,3,FALSE)),1,0)</f>
        <v>0</v>
      </c>
      <c r="G139" s="2">
        <f>IF(AND(feasible_mat!F15, VLOOKUP(Recharged_Feasible_matv3!$A139,test!$A$34:$G$37, 3,FALSE)=VLOOKUP(G$1,test!$A$3:$I$32,3,FALSE)),1,0)</f>
        <v>0</v>
      </c>
      <c r="H139" s="2">
        <f>IF(AND(feasible_mat!G15, VLOOKUP(Recharged_Feasible_matv3!$A139,test!$A$34:$G$37, 3,FALSE)=VLOOKUP(H$1,test!$A$3:$I$32,3,FALSE)),1,0)</f>
        <v>0</v>
      </c>
      <c r="I139" s="2">
        <f>IF(AND(feasible_mat!H15, VLOOKUP(Recharged_Feasible_matv3!$A139,test!$A$34:$G$37, 3,FALSE)=VLOOKUP(I$1,test!$A$3:$I$32,3,FALSE)),1,0)</f>
        <v>0</v>
      </c>
      <c r="J139" s="2">
        <f>IF(AND(feasible_mat!I15, VLOOKUP(Recharged_Feasible_matv3!$A139,test!$A$34:$G$37, 3,FALSE)=VLOOKUP(J$1,test!$A$3:$I$32,3,FALSE)),1,0)</f>
        <v>0</v>
      </c>
      <c r="K139" s="2">
        <f>IF(AND(feasible_mat!J15, VLOOKUP(Recharged_Feasible_matv3!$A139,test!$A$34:$G$37, 3,FALSE)=VLOOKUP(K$1,test!$A$3:$I$32,3,FALSE)),1,0)</f>
        <v>0</v>
      </c>
      <c r="L139" s="2">
        <f>IF(AND(feasible_mat!K15, VLOOKUP(Recharged_Feasible_matv3!$A139,test!$A$34:$G$37, 3,FALSE)=VLOOKUP(L$1,test!$A$3:$I$32,3,FALSE)),1,0)</f>
        <v>0</v>
      </c>
      <c r="M139" s="2">
        <f>IF(AND(feasible_mat!L15, VLOOKUP(Recharged_Feasible_matv3!$A139,test!$A$34:$G$37, 3,FALSE)=VLOOKUP(M$1,test!$A$3:$I$32,3,FALSE)),1,0)</f>
        <v>0</v>
      </c>
      <c r="N139" s="2">
        <f>IF(AND(feasible_mat!M15, VLOOKUP(Recharged_Feasible_matv3!$A139,test!$A$34:$G$37, 3,FALSE)=VLOOKUP(N$1,test!$A$3:$I$32,3,FALSE)),1,0)</f>
        <v>0</v>
      </c>
      <c r="O139" s="2">
        <f>IF(AND(feasible_mat!N15, VLOOKUP(Recharged_Feasible_matv3!$A139,test!$A$34:$G$37, 3,FALSE)=VLOOKUP(O$1,test!$A$3:$I$32,3,FALSE)),1,0)</f>
        <v>0</v>
      </c>
      <c r="P139" s="2">
        <f>IF(AND(feasible_mat!O15, VLOOKUP(Recharged_Feasible_matv3!$A139,test!$A$34:$G$37, 3,FALSE)=VLOOKUP(P$1,test!$A$3:$I$32,3,FALSE)),1,0)</f>
        <v>0</v>
      </c>
      <c r="Q139" s="2">
        <f>IF(AND(feasible_mat!P15, VLOOKUP(Recharged_Feasible_matv3!$A139,test!$A$34:$G$37, 3,FALSE)=VLOOKUP(Q$1,test!$A$3:$I$32,3,FALSE)),1,0)</f>
        <v>0</v>
      </c>
      <c r="R139" s="2">
        <f>IF(AND(feasible_mat!Q15, VLOOKUP(Recharged_Feasible_matv3!$A139,test!$A$34:$G$37, 3,FALSE)=VLOOKUP(R$1,test!$A$3:$I$32,3,FALSE)),1,0)</f>
        <v>0</v>
      </c>
      <c r="S139" s="2">
        <f>IF(AND(feasible_mat!R15, VLOOKUP(Recharged_Feasible_matv3!$A139,test!$A$34:$G$37, 3,FALSE)=VLOOKUP(S$1,test!$A$3:$I$32,3,FALSE)),1,0)</f>
        <v>0</v>
      </c>
      <c r="T139" s="2">
        <f>IF(AND(feasible_mat!S15, VLOOKUP(Recharged_Feasible_matv3!$A139,test!$A$34:$G$37, 3,FALSE)=VLOOKUP(T$1,test!$A$3:$I$32,3,FALSE)),1,0)</f>
        <v>0</v>
      </c>
      <c r="U139" s="2">
        <f>IF(AND(feasible_mat!T15, VLOOKUP(Recharged_Feasible_matv3!$A139,test!$A$34:$G$37, 3,FALSE)=VLOOKUP(U$1,test!$A$3:$I$32,3,FALSE)),1,0)</f>
        <v>0</v>
      </c>
      <c r="V139" s="2">
        <f>IF(AND(feasible_mat!U15, VLOOKUP(Recharged_Feasible_matv3!$A139,test!$A$34:$G$37, 3,FALSE)=VLOOKUP(V$1,test!$A$3:$I$32,3,FALSE)),1,0)</f>
        <v>0</v>
      </c>
      <c r="W139" s="2">
        <f>IF(AND(feasible_mat!V15, VLOOKUP(Recharged_Feasible_matv3!$A139,test!$A$34:$G$37, 3,FALSE)=VLOOKUP(W$1,test!$A$3:$I$32,3,FALSE)),1,0)</f>
        <v>0</v>
      </c>
      <c r="X139" s="2">
        <f>IF(AND(feasible_mat!W15, VLOOKUP(Recharged_Feasible_matv3!$A139,test!$A$34:$G$37, 3,FALSE)=VLOOKUP(X$1,test!$A$3:$I$32,3,FALSE)),1,0)</f>
        <v>0</v>
      </c>
      <c r="Y139" s="2">
        <f>IF(AND(feasible_mat!X15, VLOOKUP(Recharged_Feasible_matv3!$A139,test!$A$34:$G$37, 3,FALSE)=VLOOKUP(Y$1,test!$A$3:$I$32,3,FALSE)),1,0)</f>
        <v>0</v>
      </c>
      <c r="Z139" s="2">
        <f>IF(AND(feasible_mat!Y15, VLOOKUP(Recharged_Feasible_matv3!$A139,test!$A$34:$G$37, 3,FALSE)=VLOOKUP(Z$1,test!$A$3:$I$32,3,FALSE)),1,0)</f>
        <v>0</v>
      </c>
      <c r="AA139" s="2">
        <f>IF(AND(feasible_mat!Z15, VLOOKUP(Recharged_Feasible_matv3!$A139,test!$A$34:$G$37, 3,FALSE)=VLOOKUP(AA$1,test!$A$3:$I$32,3,FALSE)),1,0)</f>
        <v>0</v>
      </c>
      <c r="AB139" s="2">
        <f>IF(AND(feasible_mat!AA15, VLOOKUP(Recharged_Feasible_matv3!$A139,test!$A$34:$G$37, 3,FALSE)=VLOOKUP(AB$1,test!$A$3:$I$32,3,FALSE)),1,0)</f>
        <v>0</v>
      </c>
      <c r="AC139" s="2">
        <f>IF(AND(feasible_mat!AB15, VLOOKUP(Recharged_Feasible_matv3!$A139,test!$A$34:$G$37, 3,FALSE)=VLOOKUP(AC$1,test!$A$3:$I$32,3,FALSE)),1,0)</f>
        <v>0</v>
      </c>
      <c r="AD139" s="2">
        <f>IF(AND(feasible_mat!AC15, VLOOKUP(Recharged_Feasible_matv3!$A139,test!$A$34:$G$37, 3,FALSE)=VLOOKUP(AD$1,test!$A$3:$I$32,3,FALSE)),1,0)</f>
        <v>0</v>
      </c>
      <c r="AE139" s="2">
        <f>IF(AND(feasible_mat!AD15, VLOOKUP(Recharged_Feasible_matv3!$A139,test!$A$34:$G$37, 3,FALSE)=VLOOKUP(AE$1,test!$A$3:$I$32,3,FALSE)),1,0)</f>
        <v>0</v>
      </c>
      <c r="AF139" s="2">
        <f>IF(AND(feasible_mat!AE15, VLOOKUP(Recharged_Feasible_matv3!$A139,test!$A$34:$G$37, 3,FALSE)=VLOOKUP(AF$1,test!$A$3:$I$32,3,FALSE)),1,0)</f>
        <v>0</v>
      </c>
      <c r="AG139" s="2">
        <f>IF(AND(feasible_mat!AF15, VLOOKUP(Recharged_Feasible_matv3!$A139,test!$A$34:$G$37, 3,FALSE)=VLOOKUP(AG$1,test!$A$3:$I$32,3,FALSE)),1,0)</f>
        <v>0</v>
      </c>
    </row>
    <row r="140" spans="1:33" x14ac:dyDescent="0.25">
      <c r="A140" t="s">
        <v>99</v>
      </c>
      <c r="B140" t="s">
        <v>24</v>
      </c>
      <c r="C140">
        <v>0</v>
      </c>
      <c r="D140" s="2">
        <f>IF(AND(feasible_mat!C16, VLOOKUP(Recharged_Feasible_matv3!$A140,test!$A$34:$G$37, 3,FALSE)=VLOOKUP(D$1,test!$A$3:$I$32,3,FALSE)),1,0)</f>
        <v>0</v>
      </c>
      <c r="E140" s="2">
        <f>IF(AND(feasible_mat!D16, VLOOKUP(Recharged_Feasible_matv3!$A140,test!$A$34:$G$37, 3,FALSE)=VLOOKUP(E$1,test!$A$3:$I$32,3,FALSE)),1,0)</f>
        <v>0</v>
      </c>
      <c r="F140" s="2">
        <f>IF(AND(feasible_mat!E16, VLOOKUP(Recharged_Feasible_matv3!$A140,test!$A$34:$G$37, 3,FALSE)=VLOOKUP(F$1,test!$A$3:$I$32,3,FALSE)),1,0)</f>
        <v>0</v>
      </c>
      <c r="G140" s="2">
        <f>IF(AND(feasible_mat!F16, VLOOKUP(Recharged_Feasible_matv3!$A140,test!$A$34:$G$37, 3,FALSE)=VLOOKUP(G$1,test!$A$3:$I$32,3,FALSE)),1,0)</f>
        <v>0</v>
      </c>
      <c r="H140" s="2">
        <f>IF(AND(feasible_mat!G16, VLOOKUP(Recharged_Feasible_matv3!$A140,test!$A$34:$G$37, 3,FALSE)=VLOOKUP(H$1,test!$A$3:$I$32,3,FALSE)),1,0)</f>
        <v>0</v>
      </c>
      <c r="I140" s="2">
        <f>IF(AND(feasible_mat!H16, VLOOKUP(Recharged_Feasible_matv3!$A140,test!$A$34:$G$37, 3,FALSE)=VLOOKUP(I$1,test!$A$3:$I$32,3,FALSE)),1,0)</f>
        <v>0</v>
      </c>
      <c r="J140" s="2">
        <f>IF(AND(feasible_mat!I16, VLOOKUP(Recharged_Feasible_matv3!$A140,test!$A$34:$G$37, 3,FALSE)=VLOOKUP(J$1,test!$A$3:$I$32,3,FALSE)),1,0)</f>
        <v>0</v>
      </c>
      <c r="K140" s="2">
        <f>IF(AND(feasible_mat!J16, VLOOKUP(Recharged_Feasible_matv3!$A140,test!$A$34:$G$37, 3,FALSE)=VLOOKUP(K$1,test!$A$3:$I$32,3,FALSE)),1,0)</f>
        <v>0</v>
      </c>
      <c r="L140" s="2">
        <f>IF(AND(feasible_mat!K16, VLOOKUP(Recharged_Feasible_matv3!$A140,test!$A$34:$G$37, 3,FALSE)=VLOOKUP(L$1,test!$A$3:$I$32,3,FALSE)),1,0)</f>
        <v>0</v>
      </c>
      <c r="M140" s="2">
        <f>IF(AND(feasible_mat!L16, VLOOKUP(Recharged_Feasible_matv3!$A140,test!$A$34:$G$37, 3,FALSE)=VLOOKUP(M$1,test!$A$3:$I$32,3,FALSE)),1,0)</f>
        <v>0</v>
      </c>
      <c r="N140" s="2">
        <f>IF(AND(feasible_mat!M16, VLOOKUP(Recharged_Feasible_matv3!$A140,test!$A$34:$G$37, 3,FALSE)=VLOOKUP(N$1,test!$A$3:$I$32,3,FALSE)),1,0)</f>
        <v>0</v>
      </c>
      <c r="O140" s="2">
        <f>IF(AND(feasible_mat!N16, VLOOKUP(Recharged_Feasible_matv3!$A140,test!$A$34:$G$37, 3,FALSE)=VLOOKUP(O$1,test!$A$3:$I$32,3,FALSE)),1,0)</f>
        <v>0</v>
      </c>
      <c r="P140" s="2">
        <f>IF(AND(feasible_mat!O16, VLOOKUP(Recharged_Feasible_matv3!$A140,test!$A$34:$G$37, 3,FALSE)=VLOOKUP(P$1,test!$A$3:$I$32,3,FALSE)),1,0)</f>
        <v>0</v>
      </c>
      <c r="Q140" s="2">
        <f>IF(AND(feasible_mat!P16, VLOOKUP(Recharged_Feasible_matv3!$A140,test!$A$34:$G$37, 3,FALSE)=VLOOKUP(Q$1,test!$A$3:$I$32,3,FALSE)),1,0)</f>
        <v>0</v>
      </c>
      <c r="R140" s="2">
        <f>IF(AND(feasible_mat!Q16, VLOOKUP(Recharged_Feasible_matv3!$A140,test!$A$34:$G$37, 3,FALSE)=VLOOKUP(R$1,test!$A$3:$I$32,3,FALSE)),1,0)</f>
        <v>0</v>
      </c>
      <c r="S140" s="2">
        <f>IF(AND(feasible_mat!R16, VLOOKUP(Recharged_Feasible_matv3!$A140,test!$A$34:$G$37, 3,FALSE)=VLOOKUP(S$1,test!$A$3:$I$32,3,FALSE)),1,0)</f>
        <v>0</v>
      </c>
      <c r="T140" s="2">
        <f>IF(AND(feasible_mat!S16, VLOOKUP(Recharged_Feasible_matv3!$A140,test!$A$34:$G$37, 3,FALSE)=VLOOKUP(T$1,test!$A$3:$I$32,3,FALSE)),1,0)</f>
        <v>0</v>
      </c>
      <c r="U140" s="2">
        <f>IF(AND(feasible_mat!T16, VLOOKUP(Recharged_Feasible_matv3!$A140,test!$A$34:$G$37, 3,FALSE)=VLOOKUP(U$1,test!$A$3:$I$32,3,FALSE)),1,0)</f>
        <v>0</v>
      </c>
      <c r="V140" s="2">
        <f>IF(AND(feasible_mat!U16, VLOOKUP(Recharged_Feasible_matv3!$A140,test!$A$34:$G$37, 3,FALSE)=VLOOKUP(V$1,test!$A$3:$I$32,3,FALSE)),1,0)</f>
        <v>0</v>
      </c>
      <c r="W140" s="2">
        <f>IF(AND(feasible_mat!V16, VLOOKUP(Recharged_Feasible_matv3!$A140,test!$A$34:$G$37, 3,FALSE)=VLOOKUP(W$1,test!$A$3:$I$32,3,FALSE)),1,0)</f>
        <v>0</v>
      </c>
      <c r="X140" s="2">
        <f>IF(AND(feasible_mat!W16, VLOOKUP(Recharged_Feasible_matv3!$A140,test!$A$34:$G$37, 3,FALSE)=VLOOKUP(X$1,test!$A$3:$I$32,3,FALSE)),1,0)</f>
        <v>0</v>
      </c>
      <c r="Y140" s="2">
        <f>IF(AND(feasible_mat!X16, VLOOKUP(Recharged_Feasible_matv3!$A140,test!$A$34:$G$37, 3,FALSE)=VLOOKUP(Y$1,test!$A$3:$I$32,3,FALSE)),1,0)</f>
        <v>0</v>
      </c>
      <c r="Z140" s="2">
        <f>IF(AND(feasible_mat!Y16, VLOOKUP(Recharged_Feasible_matv3!$A140,test!$A$34:$G$37, 3,FALSE)=VLOOKUP(Z$1,test!$A$3:$I$32,3,FALSE)),1,0)</f>
        <v>0</v>
      </c>
      <c r="AA140" s="2">
        <f>IF(AND(feasible_mat!Z16, VLOOKUP(Recharged_Feasible_matv3!$A140,test!$A$34:$G$37, 3,FALSE)=VLOOKUP(AA$1,test!$A$3:$I$32,3,FALSE)),1,0)</f>
        <v>0</v>
      </c>
      <c r="AB140" s="2">
        <f>IF(AND(feasible_mat!AA16, VLOOKUP(Recharged_Feasible_matv3!$A140,test!$A$34:$G$37, 3,FALSE)=VLOOKUP(AB$1,test!$A$3:$I$32,3,FALSE)),1,0)</f>
        <v>0</v>
      </c>
      <c r="AC140" s="2">
        <f>IF(AND(feasible_mat!AB16, VLOOKUP(Recharged_Feasible_matv3!$A140,test!$A$34:$G$37, 3,FALSE)=VLOOKUP(AC$1,test!$A$3:$I$32,3,FALSE)),1,0)</f>
        <v>0</v>
      </c>
      <c r="AD140" s="2">
        <f>IF(AND(feasible_mat!AC16, VLOOKUP(Recharged_Feasible_matv3!$A140,test!$A$34:$G$37, 3,FALSE)=VLOOKUP(AD$1,test!$A$3:$I$32,3,FALSE)),1,0)</f>
        <v>0</v>
      </c>
      <c r="AE140" s="2">
        <f>IF(AND(feasible_mat!AD16, VLOOKUP(Recharged_Feasible_matv3!$A140,test!$A$34:$G$37, 3,FALSE)=VLOOKUP(AE$1,test!$A$3:$I$32,3,FALSE)),1,0)</f>
        <v>0</v>
      </c>
      <c r="AF140" s="2">
        <f>IF(AND(feasible_mat!AE16, VLOOKUP(Recharged_Feasible_matv3!$A140,test!$A$34:$G$37, 3,FALSE)=VLOOKUP(AF$1,test!$A$3:$I$32,3,FALSE)),1,0)</f>
        <v>1</v>
      </c>
      <c r="AG140" s="2">
        <f>IF(AND(feasible_mat!AF16, VLOOKUP(Recharged_Feasible_matv3!$A140,test!$A$34:$G$37, 3,FALSE)=VLOOKUP(AG$1,test!$A$3:$I$32,3,FALSE)),1,0)</f>
        <v>1</v>
      </c>
    </row>
    <row r="141" spans="1:33" x14ac:dyDescent="0.25">
      <c r="A141" t="s">
        <v>99</v>
      </c>
      <c r="B141" t="s">
        <v>26</v>
      </c>
      <c r="C141">
        <v>0</v>
      </c>
      <c r="D141" s="2">
        <f>IF(AND(feasible_mat!C17, VLOOKUP(Recharged_Feasible_matv3!$A141,test!$A$34:$G$37, 3,FALSE)=VLOOKUP(D$1,test!$A$3:$I$32,3,FALSE)),1,0)</f>
        <v>0</v>
      </c>
      <c r="E141" s="2">
        <f>IF(AND(feasible_mat!D17, VLOOKUP(Recharged_Feasible_matv3!$A141,test!$A$34:$G$37, 3,FALSE)=VLOOKUP(E$1,test!$A$3:$I$32,3,FALSE)),1,0)</f>
        <v>0</v>
      </c>
      <c r="F141" s="2">
        <f>IF(AND(feasible_mat!E17, VLOOKUP(Recharged_Feasible_matv3!$A141,test!$A$34:$G$37, 3,FALSE)=VLOOKUP(F$1,test!$A$3:$I$32,3,FALSE)),1,0)</f>
        <v>0</v>
      </c>
      <c r="G141" s="2">
        <f>IF(AND(feasible_mat!F17, VLOOKUP(Recharged_Feasible_matv3!$A141,test!$A$34:$G$37, 3,FALSE)=VLOOKUP(G$1,test!$A$3:$I$32,3,FALSE)),1,0)</f>
        <v>0</v>
      </c>
      <c r="H141" s="2">
        <f>IF(AND(feasible_mat!G17, VLOOKUP(Recharged_Feasible_matv3!$A141,test!$A$34:$G$37, 3,FALSE)=VLOOKUP(H$1,test!$A$3:$I$32,3,FALSE)),1,0)</f>
        <v>0</v>
      </c>
      <c r="I141" s="2">
        <f>IF(AND(feasible_mat!H17, VLOOKUP(Recharged_Feasible_matv3!$A141,test!$A$34:$G$37, 3,FALSE)=VLOOKUP(I$1,test!$A$3:$I$32,3,FALSE)),1,0)</f>
        <v>0</v>
      </c>
      <c r="J141" s="2">
        <f>IF(AND(feasible_mat!I17, VLOOKUP(Recharged_Feasible_matv3!$A141,test!$A$34:$G$37, 3,FALSE)=VLOOKUP(J$1,test!$A$3:$I$32,3,FALSE)),1,0)</f>
        <v>0</v>
      </c>
      <c r="K141" s="2">
        <f>IF(AND(feasible_mat!J17, VLOOKUP(Recharged_Feasible_matv3!$A141,test!$A$34:$G$37, 3,FALSE)=VLOOKUP(K$1,test!$A$3:$I$32,3,FALSE)),1,0)</f>
        <v>0</v>
      </c>
      <c r="L141" s="2">
        <f>IF(AND(feasible_mat!K17, VLOOKUP(Recharged_Feasible_matv3!$A141,test!$A$34:$G$37, 3,FALSE)=VLOOKUP(L$1,test!$A$3:$I$32,3,FALSE)),1,0)</f>
        <v>0</v>
      </c>
      <c r="M141" s="2">
        <f>IF(AND(feasible_mat!L17, VLOOKUP(Recharged_Feasible_matv3!$A141,test!$A$34:$G$37, 3,FALSE)=VLOOKUP(M$1,test!$A$3:$I$32,3,FALSE)),1,0)</f>
        <v>0</v>
      </c>
      <c r="N141" s="2">
        <f>IF(AND(feasible_mat!M17, VLOOKUP(Recharged_Feasible_matv3!$A141,test!$A$34:$G$37, 3,FALSE)=VLOOKUP(N$1,test!$A$3:$I$32,3,FALSE)),1,0)</f>
        <v>0</v>
      </c>
      <c r="O141" s="2">
        <f>IF(AND(feasible_mat!N17, VLOOKUP(Recharged_Feasible_matv3!$A141,test!$A$34:$G$37, 3,FALSE)=VLOOKUP(O$1,test!$A$3:$I$32,3,FALSE)),1,0)</f>
        <v>0</v>
      </c>
      <c r="P141" s="2">
        <f>IF(AND(feasible_mat!O17, VLOOKUP(Recharged_Feasible_matv3!$A141,test!$A$34:$G$37, 3,FALSE)=VLOOKUP(P$1,test!$A$3:$I$32,3,FALSE)),1,0)</f>
        <v>0</v>
      </c>
      <c r="Q141" s="2">
        <f>IF(AND(feasible_mat!P17, VLOOKUP(Recharged_Feasible_matv3!$A141,test!$A$34:$G$37, 3,FALSE)=VLOOKUP(Q$1,test!$A$3:$I$32,3,FALSE)),1,0)</f>
        <v>0</v>
      </c>
      <c r="R141" s="2">
        <f>IF(AND(feasible_mat!Q17, VLOOKUP(Recharged_Feasible_matv3!$A141,test!$A$34:$G$37, 3,FALSE)=VLOOKUP(R$1,test!$A$3:$I$32,3,FALSE)),1,0)</f>
        <v>0</v>
      </c>
      <c r="S141" s="2">
        <f>IF(AND(feasible_mat!R17, VLOOKUP(Recharged_Feasible_matv3!$A141,test!$A$34:$G$37, 3,FALSE)=VLOOKUP(S$1,test!$A$3:$I$32,3,FALSE)),1,0)</f>
        <v>0</v>
      </c>
      <c r="T141" s="2">
        <f>IF(AND(feasible_mat!S17, VLOOKUP(Recharged_Feasible_matv3!$A141,test!$A$34:$G$37, 3,FALSE)=VLOOKUP(T$1,test!$A$3:$I$32,3,FALSE)),1,0)</f>
        <v>0</v>
      </c>
      <c r="U141" s="2">
        <f>IF(AND(feasible_mat!T17, VLOOKUP(Recharged_Feasible_matv3!$A141,test!$A$34:$G$37, 3,FALSE)=VLOOKUP(U$1,test!$A$3:$I$32,3,FALSE)),1,0)</f>
        <v>0</v>
      </c>
      <c r="V141" s="2">
        <f>IF(AND(feasible_mat!U17, VLOOKUP(Recharged_Feasible_matv3!$A141,test!$A$34:$G$37, 3,FALSE)=VLOOKUP(V$1,test!$A$3:$I$32,3,FALSE)),1,0)</f>
        <v>0</v>
      </c>
      <c r="W141" s="2">
        <f>IF(AND(feasible_mat!V17, VLOOKUP(Recharged_Feasible_matv3!$A141,test!$A$34:$G$37, 3,FALSE)=VLOOKUP(W$1,test!$A$3:$I$32,3,FALSE)),1,0)</f>
        <v>0</v>
      </c>
      <c r="X141" s="2">
        <f>IF(AND(feasible_mat!W17, VLOOKUP(Recharged_Feasible_matv3!$A141,test!$A$34:$G$37, 3,FALSE)=VLOOKUP(X$1,test!$A$3:$I$32,3,FALSE)),1,0)</f>
        <v>0</v>
      </c>
      <c r="Y141" s="2">
        <f>IF(AND(feasible_mat!X17, VLOOKUP(Recharged_Feasible_matv3!$A141,test!$A$34:$G$37, 3,FALSE)=VLOOKUP(Y$1,test!$A$3:$I$32,3,FALSE)),1,0)</f>
        <v>0</v>
      </c>
      <c r="Z141" s="2">
        <f>IF(AND(feasible_mat!Y17, VLOOKUP(Recharged_Feasible_matv3!$A141,test!$A$34:$G$37, 3,FALSE)=VLOOKUP(Z$1,test!$A$3:$I$32,3,FALSE)),1,0)</f>
        <v>0</v>
      </c>
      <c r="AA141" s="2">
        <f>IF(AND(feasible_mat!Z17, VLOOKUP(Recharged_Feasible_matv3!$A141,test!$A$34:$G$37, 3,FALSE)=VLOOKUP(AA$1,test!$A$3:$I$32,3,FALSE)),1,0)</f>
        <v>0</v>
      </c>
      <c r="AB141" s="2">
        <f>IF(AND(feasible_mat!AA17, VLOOKUP(Recharged_Feasible_matv3!$A141,test!$A$34:$G$37, 3,FALSE)=VLOOKUP(AB$1,test!$A$3:$I$32,3,FALSE)),1,0)</f>
        <v>0</v>
      </c>
      <c r="AC141" s="2">
        <f>IF(AND(feasible_mat!AB17, VLOOKUP(Recharged_Feasible_matv3!$A141,test!$A$34:$G$37, 3,FALSE)=VLOOKUP(AC$1,test!$A$3:$I$32,3,FALSE)),1,0)</f>
        <v>0</v>
      </c>
      <c r="AD141" s="2">
        <f>IF(AND(feasible_mat!AC17, VLOOKUP(Recharged_Feasible_matv3!$A141,test!$A$34:$G$37, 3,FALSE)=VLOOKUP(AD$1,test!$A$3:$I$32,3,FALSE)),1,0)</f>
        <v>0</v>
      </c>
      <c r="AE141" s="2">
        <f>IF(AND(feasible_mat!AD17, VLOOKUP(Recharged_Feasible_matv3!$A141,test!$A$34:$G$37, 3,FALSE)=VLOOKUP(AE$1,test!$A$3:$I$32,3,FALSE)),1,0)</f>
        <v>0</v>
      </c>
      <c r="AF141" s="2">
        <f>IF(AND(feasible_mat!AE17, VLOOKUP(Recharged_Feasible_matv3!$A141,test!$A$34:$G$37, 3,FALSE)=VLOOKUP(AF$1,test!$A$3:$I$32,3,FALSE)),1,0)</f>
        <v>1</v>
      </c>
      <c r="AG141" s="2">
        <f>IF(AND(feasible_mat!AF17, VLOOKUP(Recharged_Feasible_matv3!$A141,test!$A$34:$G$37, 3,FALSE)=VLOOKUP(AG$1,test!$A$3:$I$32,3,FALSE)),1,0)</f>
        <v>1</v>
      </c>
    </row>
    <row r="142" spans="1:33" x14ac:dyDescent="0.25">
      <c r="A142" t="s">
        <v>99</v>
      </c>
      <c r="B142" t="s">
        <v>27</v>
      </c>
      <c r="C142">
        <v>0</v>
      </c>
      <c r="D142" s="2">
        <f>IF(AND(feasible_mat!C18, VLOOKUP(Recharged_Feasible_matv3!$A142,test!$A$34:$G$37, 3,FALSE)=VLOOKUP(D$1,test!$A$3:$I$32,3,FALSE)),1,0)</f>
        <v>0</v>
      </c>
      <c r="E142" s="2">
        <f>IF(AND(feasible_mat!D18, VLOOKUP(Recharged_Feasible_matv3!$A142,test!$A$34:$G$37, 3,FALSE)=VLOOKUP(E$1,test!$A$3:$I$32,3,FALSE)),1,0)</f>
        <v>0</v>
      </c>
      <c r="F142" s="2">
        <f>IF(AND(feasible_mat!E18, VLOOKUP(Recharged_Feasible_matv3!$A142,test!$A$34:$G$37, 3,FALSE)=VLOOKUP(F$1,test!$A$3:$I$32,3,FALSE)),1,0)</f>
        <v>0</v>
      </c>
      <c r="G142" s="2">
        <f>IF(AND(feasible_mat!F18, VLOOKUP(Recharged_Feasible_matv3!$A142,test!$A$34:$G$37, 3,FALSE)=VLOOKUP(G$1,test!$A$3:$I$32,3,FALSE)),1,0)</f>
        <v>0</v>
      </c>
      <c r="H142" s="2">
        <f>IF(AND(feasible_mat!G18, VLOOKUP(Recharged_Feasible_matv3!$A142,test!$A$34:$G$37, 3,FALSE)=VLOOKUP(H$1,test!$A$3:$I$32,3,FALSE)),1,0)</f>
        <v>0</v>
      </c>
      <c r="I142" s="2">
        <f>IF(AND(feasible_mat!H18, VLOOKUP(Recharged_Feasible_matv3!$A142,test!$A$34:$G$37, 3,FALSE)=VLOOKUP(I$1,test!$A$3:$I$32,3,FALSE)),1,0)</f>
        <v>0</v>
      </c>
      <c r="J142" s="2">
        <f>IF(AND(feasible_mat!I18, VLOOKUP(Recharged_Feasible_matv3!$A142,test!$A$34:$G$37, 3,FALSE)=VLOOKUP(J$1,test!$A$3:$I$32,3,FALSE)),1,0)</f>
        <v>0</v>
      </c>
      <c r="K142" s="2">
        <f>IF(AND(feasible_mat!J18, VLOOKUP(Recharged_Feasible_matv3!$A142,test!$A$34:$G$37, 3,FALSE)=VLOOKUP(K$1,test!$A$3:$I$32,3,FALSE)),1,0)</f>
        <v>0</v>
      </c>
      <c r="L142" s="2">
        <f>IF(AND(feasible_mat!K18, VLOOKUP(Recharged_Feasible_matv3!$A142,test!$A$34:$G$37, 3,FALSE)=VLOOKUP(L$1,test!$A$3:$I$32,3,FALSE)),1,0)</f>
        <v>0</v>
      </c>
      <c r="M142" s="2">
        <f>IF(AND(feasible_mat!L18, VLOOKUP(Recharged_Feasible_matv3!$A142,test!$A$34:$G$37, 3,FALSE)=VLOOKUP(M$1,test!$A$3:$I$32,3,FALSE)),1,0)</f>
        <v>0</v>
      </c>
      <c r="N142" s="2">
        <f>IF(AND(feasible_mat!M18, VLOOKUP(Recharged_Feasible_matv3!$A142,test!$A$34:$G$37, 3,FALSE)=VLOOKUP(N$1,test!$A$3:$I$32,3,FALSE)),1,0)</f>
        <v>0</v>
      </c>
      <c r="O142" s="2">
        <f>IF(AND(feasible_mat!N18, VLOOKUP(Recharged_Feasible_matv3!$A142,test!$A$34:$G$37, 3,FALSE)=VLOOKUP(O$1,test!$A$3:$I$32,3,FALSE)),1,0)</f>
        <v>0</v>
      </c>
      <c r="P142" s="2">
        <f>IF(AND(feasible_mat!O18, VLOOKUP(Recharged_Feasible_matv3!$A142,test!$A$34:$G$37, 3,FALSE)=VLOOKUP(P$1,test!$A$3:$I$32,3,FALSE)),1,0)</f>
        <v>0</v>
      </c>
      <c r="Q142" s="2">
        <f>IF(AND(feasible_mat!P18, VLOOKUP(Recharged_Feasible_matv3!$A142,test!$A$34:$G$37, 3,FALSE)=VLOOKUP(Q$1,test!$A$3:$I$32,3,FALSE)),1,0)</f>
        <v>0</v>
      </c>
      <c r="R142" s="2">
        <f>IF(AND(feasible_mat!Q18, VLOOKUP(Recharged_Feasible_matv3!$A142,test!$A$34:$G$37, 3,FALSE)=VLOOKUP(R$1,test!$A$3:$I$32,3,FALSE)),1,0)</f>
        <v>0</v>
      </c>
      <c r="S142" s="2">
        <f>IF(AND(feasible_mat!R18, VLOOKUP(Recharged_Feasible_matv3!$A142,test!$A$34:$G$37, 3,FALSE)=VLOOKUP(S$1,test!$A$3:$I$32,3,FALSE)),1,0)</f>
        <v>0</v>
      </c>
      <c r="T142" s="2">
        <f>IF(AND(feasible_mat!S18, VLOOKUP(Recharged_Feasible_matv3!$A142,test!$A$34:$G$37, 3,FALSE)=VLOOKUP(T$1,test!$A$3:$I$32,3,FALSE)),1,0)</f>
        <v>0</v>
      </c>
      <c r="U142" s="2">
        <f>IF(AND(feasible_mat!T18, VLOOKUP(Recharged_Feasible_matv3!$A142,test!$A$34:$G$37, 3,FALSE)=VLOOKUP(U$1,test!$A$3:$I$32,3,FALSE)),1,0)</f>
        <v>0</v>
      </c>
      <c r="V142" s="2">
        <f>IF(AND(feasible_mat!U18, VLOOKUP(Recharged_Feasible_matv3!$A142,test!$A$34:$G$37, 3,FALSE)=VLOOKUP(V$1,test!$A$3:$I$32,3,FALSE)),1,0)</f>
        <v>0</v>
      </c>
      <c r="W142" s="2">
        <f>IF(AND(feasible_mat!V18, VLOOKUP(Recharged_Feasible_matv3!$A142,test!$A$34:$G$37, 3,FALSE)=VLOOKUP(W$1,test!$A$3:$I$32,3,FALSE)),1,0)</f>
        <v>0</v>
      </c>
      <c r="X142" s="2">
        <f>IF(AND(feasible_mat!W18, VLOOKUP(Recharged_Feasible_matv3!$A142,test!$A$34:$G$37, 3,FALSE)=VLOOKUP(X$1,test!$A$3:$I$32,3,FALSE)),1,0)</f>
        <v>0</v>
      </c>
      <c r="Y142" s="2">
        <f>IF(AND(feasible_mat!X18, VLOOKUP(Recharged_Feasible_matv3!$A142,test!$A$34:$G$37, 3,FALSE)=VLOOKUP(Y$1,test!$A$3:$I$32,3,FALSE)),1,0)</f>
        <v>0</v>
      </c>
      <c r="Z142" s="2">
        <f>IF(AND(feasible_mat!Y18, VLOOKUP(Recharged_Feasible_matv3!$A142,test!$A$34:$G$37, 3,FALSE)=VLOOKUP(Z$1,test!$A$3:$I$32,3,FALSE)),1,0)</f>
        <v>0</v>
      </c>
      <c r="AA142" s="2">
        <f>IF(AND(feasible_mat!Z18, VLOOKUP(Recharged_Feasible_matv3!$A142,test!$A$34:$G$37, 3,FALSE)=VLOOKUP(AA$1,test!$A$3:$I$32,3,FALSE)),1,0)</f>
        <v>0</v>
      </c>
      <c r="AB142" s="2">
        <f>IF(AND(feasible_mat!AA18, VLOOKUP(Recharged_Feasible_matv3!$A142,test!$A$34:$G$37, 3,FALSE)=VLOOKUP(AB$1,test!$A$3:$I$32,3,FALSE)),1,0)</f>
        <v>0</v>
      </c>
      <c r="AC142" s="2">
        <f>IF(AND(feasible_mat!AB18, VLOOKUP(Recharged_Feasible_matv3!$A142,test!$A$34:$G$37, 3,FALSE)=VLOOKUP(AC$1,test!$A$3:$I$32,3,FALSE)),1,0)</f>
        <v>0</v>
      </c>
      <c r="AD142" s="2">
        <f>IF(AND(feasible_mat!AC18, VLOOKUP(Recharged_Feasible_matv3!$A142,test!$A$34:$G$37, 3,FALSE)=VLOOKUP(AD$1,test!$A$3:$I$32,3,FALSE)),1,0)</f>
        <v>0</v>
      </c>
      <c r="AE142" s="2">
        <f>IF(AND(feasible_mat!AD18, VLOOKUP(Recharged_Feasible_matv3!$A142,test!$A$34:$G$37, 3,FALSE)=VLOOKUP(AE$1,test!$A$3:$I$32,3,FALSE)),1,0)</f>
        <v>0</v>
      </c>
      <c r="AF142" s="2">
        <f>IF(AND(feasible_mat!AE18, VLOOKUP(Recharged_Feasible_matv3!$A142,test!$A$34:$G$37, 3,FALSE)=VLOOKUP(AF$1,test!$A$3:$I$32,3,FALSE)),1,0)</f>
        <v>1</v>
      </c>
      <c r="AG142" s="2">
        <f>IF(AND(feasible_mat!AF18, VLOOKUP(Recharged_Feasible_matv3!$A142,test!$A$34:$G$37, 3,FALSE)=VLOOKUP(AG$1,test!$A$3:$I$32,3,FALSE)),1,0)</f>
        <v>1</v>
      </c>
    </row>
    <row r="143" spans="1:33" x14ac:dyDescent="0.25">
      <c r="A143" t="s">
        <v>99</v>
      </c>
      <c r="B143" t="s">
        <v>28</v>
      </c>
      <c r="C143">
        <v>0</v>
      </c>
      <c r="D143" s="2">
        <f>IF(AND(feasible_mat!C19, VLOOKUP(Recharged_Feasible_matv3!$A143,test!$A$34:$G$37, 3,FALSE)=VLOOKUP(D$1,test!$A$3:$I$32,3,FALSE)),1,0)</f>
        <v>0</v>
      </c>
      <c r="E143" s="2">
        <f>IF(AND(feasible_mat!D19, VLOOKUP(Recharged_Feasible_matv3!$A143,test!$A$34:$G$37, 3,FALSE)=VLOOKUP(E$1,test!$A$3:$I$32,3,FALSE)),1,0)</f>
        <v>0</v>
      </c>
      <c r="F143" s="2">
        <f>IF(AND(feasible_mat!E19, VLOOKUP(Recharged_Feasible_matv3!$A143,test!$A$34:$G$37, 3,FALSE)=VLOOKUP(F$1,test!$A$3:$I$32,3,FALSE)),1,0)</f>
        <v>0</v>
      </c>
      <c r="G143" s="2">
        <f>IF(AND(feasible_mat!F19, VLOOKUP(Recharged_Feasible_matv3!$A143,test!$A$34:$G$37, 3,FALSE)=VLOOKUP(G$1,test!$A$3:$I$32,3,FALSE)),1,0)</f>
        <v>0</v>
      </c>
      <c r="H143" s="2">
        <f>IF(AND(feasible_mat!G19, VLOOKUP(Recharged_Feasible_matv3!$A143,test!$A$34:$G$37, 3,FALSE)=VLOOKUP(H$1,test!$A$3:$I$32,3,FALSE)),1,0)</f>
        <v>0</v>
      </c>
      <c r="I143" s="2">
        <f>IF(AND(feasible_mat!H19, VLOOKUP(Recharged_Feasible_matv3!$A143,test!$A$34:$G$37, 3,FALSE)=VLOOKUP(I$1,test!$A$3:$I$32,3,FALSE)),1,0)</f>
        <v>0</v>
      </c>
      <c r="J143" s="2">
        <f>IF(AND(feasible_mat!I19, VLOOKUP(Recharged_Feasible_matv3!$A143,test!$A$34:$G$37, 3,FALSE)=VLOOKUP(J$1,test!$A$3:$I$32,3,FALSE)),1,0)</f>
        <v>0</v>
      </c>
      <c r="K143" s="2">
        <f>IF(AND(feasible_mat!J19, VLOOKUP(Recharged_Feasible_matv3!$A143,test!$A$34:$G$37, 3,FALSE)=VLOOKUP(K$1,test!$A$3:$I$32,3,FALSE)),1,0)</f>
        <v>0</v>
      </c>
      <c r="L143" s="2">
        <f>IF(AND(feasible_mat!K19, VLOOKUP(Recharged_Feasible_matv3!$A143,test!$A$34:$G$37, 3,FALSE)=VLOOKUP(L$1,test!$A$3:$I$32,3,FALSE)),1,0)</f>
        <v>0</v>
      </c>
      <c r="M143" s="2">
        <f>IF(AND(feasible_mat!L19, VLOOKUP(Recharged_Feasible_matv3!$A143,test!$A$34:$G$37, 3,FALSE)=VLOOKUP(M$1,test!$A$3:$I$32,3,FALSE)),1,0)</f>
        <v>0</v>
      </c>
      <c r="N143" s="2">
        <f>IF(AND(feasible_mat!M19, VLOOKUP(Recharged_Feasible_matv3!$A143,test!$A$34:$G$37, 3,FALSE)=VLOOKUP(N$1,test!$A$3:$I$32,3,FALSE)),1,0)</f>
        <v>0</v>
      </c>
      <c r="O143" s="2">
        <f>IF(AND(feasible_mat!N19, VLOOKUP(Recharged_Feasible_matv3!$A143,test!$A$34:$G$37, 3,FALSE)=VLOOKUP(O$1,test!$A$3:$I$32,3,FALSE)),1,0)</f>
        <v>0</v>
      </c>
      <c r="P143" s="2">
        <f>IF(AND(feasible_mat!O19, VLOOKUP(Recharged_Feasible_matv3!$A143,test!$A$34:$G$37, 3,FALSE)=VLOOKUP(P$1,test!$A$3:$I$32,3,FALSE)),1,0)</f>
        <v>0</v>
      </c>
      <c r="Q143" s="2">
        <f>IF(AND(feasible_mat!P19, VLOOKUP(Recharged_Feasible_matv3!$A143,test!$A$34:$G$37, 3,FALSE)=VLOOKUP(Q$1,test!$A$3:$I$32,3,FALSE)),1,0)</f>
        <v>0</v>
      </c>
      <c r="R143" s="2">
        <f>IF(AND(feasible_mat!Q19, VLOOKUP(Recharged_Feasible_matv3!$A143,test!$A$34:$G$37, 3,FALSE)=VLOOKUP(R$1,test!$A$3:$I$32,3,FALSE)),1,0)</f>
        <v>0</v>
      </c>
      <c r="S143" s="2">
        <f>IF(AND(feasible_mat!R19, VLOOKUP(Recharged_Feasible_matv3!$A143,test!$A$34:$G$37, 3,FALSE)=VLOOKUP(S$1,test!$A$3:$I$32,3,FALSE)),1,0)</f>
        <v>0</v>
      </c>
      <c r="T143" s="2">
        <f>IF(AND(feasible_mat!S19, VLOOKUP(Recharged_Feasible_matv3!$A143,test!$A$34:$G$37, 3,FALSE)=VLOOKUP(T$1,test!$A$3:$I$32,3,FALSE)),1,0)</f>
        <v>0</v>
      </c>
      <c r="U143" s="2">
        <f>IF(AND(feasible_mat!T19, VLOOKUP(Recharged_Feasible_matv3!$A143,test!$A$34:$G$37, 3,FALSE)=VLOOKUP(U$1,test!$A$3:$I$32,3,FALSE)),1,0)</f>
        <v>0</v>
      </c>
      <c r="V143" s="2">
        <f>IF(AND(feasible_mat!U19, VLOOKUP(Recharged_Feasible_matv3!$A143,test!$A$34:$G$37, 3,FALSE)=VLOOKUP(V$1,test!$A$3:$I$32,3,FALSE)),1,0)</f>
        <v>0</v>
      </c>
      <c r="W143" s="2">
        <f>IF(AND(feasible_mat!V19, VLOOKUP(Recharged_Feasible_matv3!$A143,test!$A$34:$G$37, 3,FALSE)=VLOOKUP(W$1,test!$A$3:$I$32,3,FALSE)),1,0)</f>
        <v>0</v>
      </c>
      <c r="X143" s="2">
        <f>IF(AND(feasible_mat!W19, VLOOKUP(Recharged_Feasible_matv3!$A143,test!$A$34:$G$37, 3,FALSE)=VLOOKUP(X$1,test!$A$3:$I$32,3,FALSE)),1,0)</f>
        <v>0</v>
      </c>
      <c r="Y143" s="2">
        <f>IF(AND(feasible_mat!X19, VLOOKUP(Recharged_Feasible_matv3!$A143,test!$A$34:$G$37, 3,FALSE)=VLOOKUP(Y$1,test!$A$3:$I$32,3,FALSE)),1,0)</f>
        <v>0</v>
      </c>
      <c r="Z143" s="2">
        <f>IF(AND(feasible_mat!Y19, VLOOKUP(Recharged_Feasible_matv3!$A143,test!$A$34:$G$37, 3,FALSE)=VLOOKUP(Z$1,test!$A$3:$I$32,3,FALSE)),1,0)</f>
        <v>0</v>
      </c>
      <c r="AA143" s="2">
        <f>IF(AND(feasible_mat!Z19, VLOOKUP(Recharged_Feasible_matv3!$A143,test!$A$34:$G$37, 3,FALSE)=VLOOKUP(AA$1,test!$A$3:$I$32,3,FALSE)),1,0)</f>
        <v>0</v>
      </c>
      <c r="AB143" s="2">
        <f>IF(AND(feasible_mat!AA19, VLOOKUP(Recharged_Feasible_matv3!$A143,test!$A$34:$G$37, 3,FALSE)=VLOOKUP(AB$1,test!$A$3:$I$32,3,FALSE)),1,0)</f>
        <v>0</v>
      </c>
      <c r="AC143" s="2">
        <f>IF(AND(feasible_mat!AB19, VLOOKUP(Recharged_Feasible_matv3!$A143,test!$A$34:$G$37, 3,FALSE)=VLOOKUP(AC$1,test!$A$3:$I$32,3,FALSE)),1,0)</f>
        <v>0</v>
      </c>
      <c r="AD143" s="2">
        <f>IF(AND(feasible_mat!AC19, VLOOKUP(Recharged_Feasible_matv3!$A143,test!$A$34:$G$37, 3,FALSE)=VLOOKUP(AD$1,test!$A$3:$I$32,3,FALSE)),1,0)</f>
        <v>0</v>
      </c>
      <c r="AE143" s="2">
        <f>IF(AND(feasible_mat!AD19, VLOOKUP(Recharged_Feasible_matv3!$A143,test!$A$34:$G$37, 3,FALSE)=VLOOKUP(AE$1,test!$A$3:$I$32,3,FALSE)),1,0)</f>
        <v>0</v>
      </c>
      <c r="AF143" s="2">
        <f>IF(AND(feasible_mat!AE19, VLOOKUP(Recharged_Feasible_matv3!$A143,test!$A$34:$G$37, 3,FALSE)=VLOOKUP(AF$1,test!$A$3:$I$32,3,FALSE)),1,0)</f>
        <v>0</v>
      </c>
      <c r="AG143" s="2">
        <f>IF(AND(feasible_mat!AF19, VLOOKUP(Recharged_Feasible_matv3!$A143,test!$A$34:$G$37, 3,FALSE)=VLOOKUP(AG$1,test!$A$3:$I$32,3,FALSE)),1,0)</f>
        <v>0</v>
      </c>
    </row>
    <row r="144" spans="1:33" x14ac:dyDescent="0.25">
      <c r="A144" t="s">
        <v>99</v>
      </c>
      <c r="B144" t="s">
        <v>29</v>
      </c>
      <c r="C144">
        <v>0</v>
      </c>
      <c r="D144" s="2">
        <f>IF(AND(feasible_mat!C20, VLOOKUP(Recharged_Feasible_matv3!$A144,test!$A$34:$G$37, 3,FALSE)=VLOOKUP(D$1,test!$A$3:$I$32,3,FALSE)),1,0)</f>
        <v>0</v>
      </c>
      <c r="E144" s="2">
        <f>IF(AND(feasible_mat!D20, VLOOKUP(Recharged_Feasible_matv3!$A144,test!$A$34:$G$37, 3,FALSE)=VLOOKUP(E$1,test!$A$3:$I$32,3,FALSE)),1,0)</f>
        <v>0</v>
      </c>
      <c r="F144" s="2">
        <f>IF(AND(feasible_mat!E20, VLOOKUP(Recharged_Feasible_matv3!$A144,test!$A$34:$G$37, 3,FALSE)=VLOOKUP(F$1,test!$A$3:$I$32,3,FALSE)),1,0)</f>
        <v>0</v>
      </c>
      <c r="G144" s="2">
        <f>IF(AND(feasible_mat!F20, VLOOKUP(Recharged_Feasible_matv3!$A144,test!$A$34:$G$37, 3,FALSE)=VLOOKUP(G$1,test!$A$3:$I$32,3,FALSE)),1,0)</f>
        <v>0</v>
      </c>
      <c r="H144" s="2">
        <f>IF(AND(feasible_mat!G20, VLOOKUP(Recharged_Feasible_matv3!$A144,test!$A$34:$G$37, 3,FALSE)=VLOOKUP(H$1,test!$A$3:$I$32,3,FALSE)),1,0)</f>
        <v>0</v>
      </c>
      <c r="I144" s="2">
        <f>IF(AND(feasible_mat!H20, VLOOKUP(Recharged_Feasible_matv3!$A144,test!$A$34:$G$37, 3,FALSE)=VLOOKUP(I$1,test!$A$3:$I$32,3,FALSE)),1,0)</f>
        <v>0</v>
      </c>
      <c r="J144" s="2">
        <f>IF(AND(feasible_mat!I20, VLOOKUP(Recharged_Feasible_matv3!$A144,test!$A$34:$G$37, 3,FALSE)=VLOOKUP(J$1,test!$A$3:$I$32,3,FALSE)),1,0)</f>
        <v>0</v>
      </c>
      <c r="K144" s="2">
        <f>IF(AND(feasible_mat!J20, VLOOKUP(Recharged_Feasible_matv3!$A144,test!$A$34:$G$37, 3,FALSE)=VLOOKUP(K$1,test!$A$3:$I$32,3,FALSE)),1,0)</f>
        <v>0</v>
      </c>
      <c r="L144" s="2">
        <f>IF(AND(feasible_mat!K20, VLOOKUP(Recharged_Feasible_matv3!$A144,test!$A$34:$G$37, 3,FALSE)=VLOOKUP(L$1,test!$A$3:$I$32,3,FALSE)),1,0)</f>
        <v>0</v>
      </c>
      <c r="M144" s="2">
        <f>IF(AND(feasible_mat!L20, VLOOKUP(Recharged_Feasible_matv3!$A144,test!$A$34:$G$37, 3,FALSE)=VLOOKUP(M$1,test!$A$3:$I$32,3,FALSE)),1,0)</f>
        <v>0</v>
      </c>
      <c r="N144" s="2">
        <f>IF(AND(feasible_mat!M20, VLOOKUP(Recharged_Feasible_matv3!$A144,test!$A$34:$G$37, 3,FALSE)=VLOOKUP(N$1,test!$A$3:$I$32,3,FALSE)),1,0)</f>
        <v>0</v>
      </c>
      <c r="O144" s="2">
        <f>IF(AND(feasible_mat!N20, VLOOKUP(Recharged_Feasible_matv3!$A144,test!$A$34:$G$37, 3,FALSE)=VLOOKUP(O$1,test!$A$3:$I$32,3,FALSE)),1,0)</f>
        <v>0</v>
      </c>
      <c r="P144" s="2">
        <f>IF(AND(feasible_mat!O20, VLOOKUP(Recharged_Feasible_matv3!$A144,test!$A$34:$G$37, 3,FALSE)=VLOOKUP(P$1,test!$A$3:$I$32,3,FALSE)),1,0)</f>
        <v>0</v>
      </c>
      <c r="Q144" s="2">
        <f>IF(AND(feasible_mat!P20, VLOOKUP(Recharged_Feasible_matv3!$A144,test!$A$34:$G$37, 3,FALSE)=VLOOKUP(Q$1,test!$A$3:$I$32,3,FALSE)),1,0)</f>
        <v>0</v>
      </c>
      <c r="R144" s="2">
        <f>IF(AND(feasible_mat!Q20, VLOOKUP(Recharged_Feasible_matv3!$A144,test!$A$34:$G$37, 3,FALSE)=VLOOKUP(R$1,test!$A$3:$I$32,3,FALSE)),1,0)</f>
        <v>0</v>
      </c>
      <c r="S144" s="2">
        <f>IF(AND(feasible_mat!R20, VLOOKUP(Recharged_Feasible_matv3!$A144,test!$A$34:$G$37, 3,FALSE)=VLOOKUP(S$1,test!$A$3:$I$32,3,FALSE)),1,0)</f>
        <v>0</v>
      </c>
      <c r="T144" s="2">
        <f>IF(AND(feasible_mat!S20, VLOOKUP(Recharged_Feasible_matv3!$A144,test!$A$34:$G$37, 3,FALSE)=VLOOKUP(T$1,test!$A$3:$I$32,3,FALSE)),1,0)</f>
        <v>0</v>
      </c>
      <c r="U144" s="2">
        <f>IF(AND(feasible_mat!T20, VLOOKUP(Recharged_Feasible_matv3!$A144,test!$A$34:$G$37, 3,FALSE)=VLOOKUP(U$1,test!$A$3:$I$32,3,FALSE)),1,0)</f>
        <v>0</v>
      </c>
      <c r="V144" s="2">
        <f>IF(AND(feasible_mat!U20, VLOOKUP(Recharged_Feasible_matv3!$A144,test!$A$34:$G$37, 3,FALSE)=VLOOKUP(V$1,test!$A$3:$I$32,3,FALSE)),1,0)</f>
        <v>0</v>
      </c>
      <c r="W144" s="2">
        <f>IF(AND(feasible_mat!V20, VLOOKUP(Recharged_Feasible_matv3!$A144,test!$A$34:$G$37, 3,FALSE)=VLOOKUP(W$1,test!$A$3:$I$32,3,FALSE)),1,0)</f>
        <v>0</v>
      </c>
      <c r="X144" s="2">
        <f>IF(AND(feasible_mat!W20, VLOOKUP(Recharged_Feasible_matv3!$A144,test!$A$34:$G$37, 3,FALSE)=VLOOKUP(X$1,test!$A$3:$I$32,3,FALSE)),1,0)</f>
        <v>0</v>
      </c>
      <c r="Y144" s="2">
        <f>IF(AND(feasible_mat!X20, VLOOKUP(Recharged_Feasible_matv3!$A144,test!$A$34:$G$37, 3,FALSE)=VLOOKUP(Y$1,test!$A$3:$I$32,3,FALSE)),1,0)</f>
        <v>0</v>
      </c>
      <c r="Z144" s="2">
        <f>IF(AND(feasible_mat!Y20, VLOOKUP(Recharged_Feasible_matv3!$A144,test!$A$34:$G$37, 3,FALSE)=VLOOKUP(Z$1,test!$A$3:$I$32,3,FALSE)),1,0)</f>
        <v>0</v>
      </c>
      <c r="AA144" s="2">
        <f>IF(AND(feasible_mat!Z20, VLOOKUP(Recharged_Feasible_matv3!$A144,test!$A$34:$G$37, 3,FALSE)=VLOOKUP(AA$1,test!$A$3:$I$32,3,FALSE)),1,0)</f>
        <v>0</v>
      </c>
      <c r="AB144" s="2">
        <f>IF(AND(feasible_mat!AA20, VLOOKUP(Recharged_Feasible_matv3!$A144,test!$A$34:$G$37, 3,FALSE)=VLOOKUP(AB$1,test!$A$3:$I$32,3,FALSE)),1,0)</f>
        <v>0</v>
      </c>
      <c r="AC144" s="2">
        <f>IF(AND(feasible_mat!AB20, VLOOKUP(Recharged_Feasible_matv3!$A144,test!$A$34:$G$37, 3,FALSE)=VLOOKUP(AC$1,test!$A$3:$I$32,3,FALSE)),1,0)</f>
        <v>0</v>
      </c>
      <c r="AD144" s="2">
        <f>IF(AND(feasible_mat!AC20, VLOOKUP(Recharged_Feasible_matv3!$A144,test!$A$34:$G$37, 3,FALSE)=VLOOKUP(AD$1,test!$A$3:$I$32,3,FALSE)),1,0)</f>
        <v>0</v>
      </c>
      <c r="AE144" s="2">
        <f>IF(AND(feasible_mat!AD20, VLOOKUP(Recharged_Feasible_matv3!$A144,test!$A$34:$G$37, 3,FALSE)=VLOOKUP(AE$1,test!$A$3:$I$32,3,FALSE)),1,0)</f>
        <v>0</v>
      </c>
      <c r="AF144" s="2">
        <f>IF(AND(feasible_mat!AE20, VLOOKUP(Recharged_Feasible_matv3!$A144,test!$A$34:$G$37, 3,FALSE)=VLOOKUP(AF$1,test!$A$3:$I$32,3,FALSE)),1,0)</f>
        <v>0</v>
      </c>
      <c r="AG144" s="2">
        <f>IF(AND(feasible_mat!AF20, VLOOKUP(Recharged_Feasible_matv3!$A144,test!$A$34:$G$37, 3,FALSE)=VLOOKUP(AG$1,test!$A$3:$I$32,3,FALSE)),1,0)</f>
        <v>0</v>
      </c>
    </row>
    <row r="145" spans="1:33" x14ac:dyDescent="0.25">
      <c r="A145" t="s">
        <v>99</v>
      </c>
      <c r="B145" t="s">
        <v>30</v>
      </c>
      <c r="C145">
        <v>0</v>
      </c>
      <c r="D145" s="2">
        <f>IF(AND(feasible_mat!C21, VLOOKUP(Recharged_Feasible_matv3!$A145,test!$A$34:$G$37, 3,FALSE)=VLOOKUP(D$1,test!$A$3:$I$32,3,FALSE)),1,0)</f>
        <v>0</v>
      </c>
      <c r="E145" s="2">
        <f>IF(AND(feasible_mat!D21, VLOOKUP(Recharged_Feasible_matv3!$A145,test!$A$34:$G$37, 3,FALSE)=VLOOKUP(E$1,test!$A$3:$I$32,3,FALSE)),1,0)</f>
        <v>0</v>
      </c>
      <c r="F145" s="2">
        <f>IF(AND(feasible_mat!E21, VLOOKUP(Recharged_Feasible_matv3!$A145,test!$A$34:$G$37, 3,FALSE)=VLOOKUP(F$1,test!$A$3:$I$32,3,FALSE)),1,0)</f>
        <v>0</v>
      </c>
      <c r="G145" s="2">
        <f>IF(AND(feasible_mat!F21, VLOOKUP(Recharged_Feasible_matv3!$A145,test!$A$34:$G$37, 3,FALSE)=VLOOKUP(G$1,test!$A$3:$I$32,3,FALSE)),1,0)</f>
        <v>0</v>
      </c>
      <c r="H145" s="2">
        <f>IF(AND(feasible_mat!G21, VLOOKUP(Recharged_Feasible_matv3!$A145,test!$A$34:$G$37, 3,FALSE)=VLOOKUP(H$1,test!$A$3:$I$32,3,FALSE)),1,0)</f>
        <v>0</v>
      </c>
      <c r="I145" s="2">
        <f>IF(AND(feasible_mat!H21, VLOOKUP(Recharged_Feasible_matv3!$A145,test!$A$34:$G$37, 3,FALSE)=VLOOKUP(I$1,test!$A$3:$I$32,3,FALSE)),1,0)</f>
        <v>0</v>
      </c>
      <c r="J145" s="2">
        <f>IF(AND(feasible_mat!I21, VLOOKUP(Recharged_Feasible_matv3!$A145,test!$A$34:$G$37, 3,FALSE)=VLOOKUP(J$1,test!$A$3:$I$32,3,FALSE)),1,0)</f>
        <v>0</v>
      </c>
      <c r="K145" s="2">
        <f>IF(AND(feasible_mat!J21, VLOOKUP(Recharged_Feasible_matv3!$A145,test!$A$34:$G$37, 3,FALSE)=VLOOKUP(K$1,test!$A$3:$I$32,3,FALSE)),1,0)</f>
        <v>0</v>
      </c>
      <c r="L145" s="2">
        <f>IF(AND(feasible_mat!K21, VLOOKUP(Recharged_Feasible_matv3!$A145,test!$A$34:$G$37, 3,FALSE)=VLOOKUP(L$1,test!$A$3:$I$32,3,FALSE)),1,0)</f>
        <v>0</v>
      </c>
      <c r="M145" s="2">
        <f>IF(AND(feasible_mat!L21, VLOOKUP(Recharged_Feasible_matv3!$A145,test!$A$34:$G$37, 3,FALSE)=VLOOKUP(M$1,test!$A$3:$I$32,3,FALSE)),1,0)</f>
        <v>0</v>
      </c>
      <c r="N145" s="2">
        <f>IF(AND(feasible_mat!M21, VLOOKUP(Recharged_Feasible_matv3!$A145,test!$A$34:$G$37, 3,FALSE)=VLOOKUP(N$1,test!$A$3:$I$32,3,FALSE)),1,0)</f>
        <v>0</v>
      </c>
      <c r="O145" s="2">
        <f>IF(AND(feasible_mat!N21, VLOOKUP(Recharged_Feasible_matv3!$A145,test!$A$34:$G$37, 3,FALSE)=VLOOKUP(O$1,test!$A$3:$I$32,3,FALSE)),1,0)</f>
        <v>0</v>
      </c>
      <c r="P145" s="2">
        <f>IF(AND(feasible_mat!O21, VLOOKUP(Recharged_Feasible_matv3!$A145,test!$A$34:$G$37, 3,FALSE)=VLOOKUP(P$1,test!$A$3:$I$32,3,FALSE)),1,0)</f>
        <v>0</v>
      </c>
      <c r="Q145" s="2">
        <f>IF(AND(feasible_mat!P21, VLOOKUP(Recharged_Feasible_matv3!$A145,test!$A$34:$G$37, 3,FALSE)=VLOOKUP(Q$1,test!$A$3:$I$32,3,FALSE)),1,0)</f>
        <v>0</v>
      </c>
      <c r="R145" s="2">
        <f>IF(AND(feasible_mat!Q21, VLOOKUP(Recharged_Feasible_matv3!$A145,test!$A$34:$G$37, 3,FALSE)=VLOOKUP(R$1,test!$A$3:$I$32,3,FALSE)),1,0)</f>
        <v>0</v>
      </c>
      <c r="S145" s="2">
        <f>IF(AND(feasible_mat!R21, VLOOKUP(Recharged_Feasible_matv3!$A145,test!$A$34:$G$37, 3,FALSE)=VLOOKUP(S$1,test!$A$3:$I$32,3,FALSE)),1,0)</f>
        <v>0</v>
      </c>
      <c r="T145" s="2">
        <f>IF(AND(feasible_mat!S21, VLOOKUP(Recharged_Feasible_matv3!$A145,test!$A$34:$G$37, 3,FALSE)=VLOOKUP(T$1,test!$A$3:$I$32,3,FALSE)),1,0)</f>
        <v>0</v>
      </c>
      <c r="U145" s="2">
        <f>IF(AND(feasible_mat!T21, VLOOKUP(Recharged_Feasible_matv3!$A145,test!$A$34:$G$37, 3,FALSE)=VLOOKUP(U$1,test!$A$3:$I$32,3,FALSE)),1,0)</f>
        <v>0</v>
      </c>
      <c r="V145" s="2">
        <f>IF(AND(feasible_mat!U21, VLOOKUP(Recharged_Feasible_matv3!$A145,test!$A$34:$G$37, 3,FALSE)=VLOOKUP(V$1,test!$A$3:$I$32,3,FALSE)),1,0)</f>
        <v>0</v>
      </c>
      <c r="W145" s="2">
        <f>IF(AND(feasible_mat!V21, VLOOKUP(Recharged_Feasible_matv3!$A145,test!$A$34:$G$37, 3,FALSE)=VLOOKUP(W$1,test!$A$3:$I$32,3,FALSE)),1,0)</f>
        <v>0</v>
      </c>
      <c r="X145" s="2">
        <f>IF(AND(feasible_mat!W21, VLOOKUP(Recharged_Feasible_matv3!$A145,test!$A$34:$G$37, 3,FALSE)=VLOOKUP(X$1,test!$A$3:$I$32,3,FALSE)),1,0)</f>
        <v>0</v>
      </c>
      <c r="Y145" s="2">
        <f>IF(AND(feasible_mat!X21, VLOOKUP(Recharged_Feasible_matv3!$A145,test!$A$34:$G$37, 3,FALSE)=VLOOKUP(Y$1,test!$A$3:$I$32,3,FALSE)),1,0)</f>
        <v>0</v>
      </c>
      <c r="Z145" s="2">
        <f>IF(AND(feasible_mat!Y21, VLOOKUP(Recharged_Feasible_matv3!$A145,test!$A$34:$G$37, 3,FALSE)=VLOOKUP(Z$1,test!$A$3:$I$32,3,FALSE)),1,0)</f>
        <v>0</v>
      </c>
      <c r="AA145" s="2">
        <f>IF(AND(feasible_mat!Z21, VLOOKUP(Recharged_Feasible_matv3!$A145,test!$A$34:$G$37, 3,FALSE)=VLOOKUP(AA$1,test!$A$3:$I$32,3,FALSE)),1,0)</f>
        <v>0</v>
      </c>
      <c r="AB145" s="2">
        <f>IF(AND(feasible_mat!AA21, VLOOKUP(Recharged_Feasible_matv3!$A145,test!$A$34:$G$37, 3,FALSE)=VLOOKUP(AB$1,test!$A$3:$I$32,3,FALSE)),1,0)</f>
        <v>0</v>
      </c>
      <c r="AC145" s="2">
        <f>IF(AND(feasible_mat!AB21, VLOOKUP(Recharged_Feasible_matv3!$A145,test!$A$34:$G$37, 3,FALSE)=VLOOKUP(AC$1,test!$A$3:$I$32,3,FALSE)),1,0)</f>
        <v>0</v>
      </c>
      <c r="AD145" s="2">
        <f>IF(AND(feasible_mat!AC21, VLOOKUP(Recharged_Feasible_matv3!$A145,test!$A$34:$G$37, 3,FALSE)=VLOOKUP(AD$1,test!$A$3:$I$32,3,FALSE)),1,0)</f>
        <v>0</v>
      </c>
      <c r="AE145" s="2">
        <f>IF(AND(feasible_mat!AD21, VLOOKUP(Recharged_Feasible_matv3!$A145,test!$A$34:$G$37, 3,FALSE)=VLOOKUP(AE$1,test!$A$3:$I$32,3,FALSE)),1,0)</f>
        <v>0</v>
      </c>
      <c r="AF145" s="2">
        <f>IF(AND(feasible_mat!AE21, VLOOKUP(Recharged_Feasible_matv3!$A145,test!$A$34:$G$37, 3,FALSE)=VLOOKUP(AF$1,test!$A$3:$I$32,3,FALSE)),1,0)</f>
        <v>0</v>
      </c>
      <c r="AG145" s="2">
        <f>IF(AND(feasible_mat!AF21, VLOOKUP(Recharged_Feasible_matv3!$A145,test!$A$34:$G$37, 3,FALSE)=VLOOKUP(AG$1,test!$A$3:$I$32,3,FALSE)),1,0)</f>
        <v>0</v>
      </c>
    </row>
    <row r="146" spans="1:33" x14ac:dyDescent="0.25">
      <c r="A146" t="s">
        <v>99</v>
      </c>
      <c r="B146" t="s">
        <v>31</v>
      </c>
      <c r="C146">
        <v>0</v>
      </c>
      <c r="D146" s="2">
        <f>IF(AND(feasible_mat!C22, VLOOKUP(Recharged_Feasible_matv3!$A146,test!$A$34:$G$37, 3,FALSE)=VLOOKUP(D$1,test!$A$3:$I$32,3,FALSE)),1,0)</f>
        <v>0</v>
      </c>
      <c r="E146" s="2">
        <f>IF(AND(feasible_mat!D22, VLOOKUP(Recharged_Feasible_matv3!$A146,test!$A$34:$G$37, 3,FALSE)=VLOOKUP(E$1,test!$A$3:$I$32,3,FALSE)),1,0)</f>
        <v>0</v>
      </c>
      <c r="F146" s="2">
        <f>IF(AND(feasible_mat!E22, VLOOKUP(Recharged_Feasible_matv3!$A146,test!$A$34:$G$37, 3,FALSE)=VLOOKUP(F$1,test!$A$3:$I$32,3,FALSE)),1,0)</f>
        <v>0</v>
      </c>
      <c r="G146" s="2">
        <f>IF(AND(feasible_mat!F22, VLOOKUP(Recharged_Feasible_matv3!$A146,test!$A$34:$G$37, 3,FALSE)=VLOOKUP(G$1,test!$A$3:$I$32,3,FALSE)),1,0)</f>
        <v>0</v>
      </c>
      <c r="H146" s="2">
        <f>IF(AND(feasible_mat!G22, VLOOKUP(Recharged_Feasible_matv3!$A146,test!$A$34:$G$37, 3,FALSE)=VLOOKUP(H$1,test!$A$3:$I$32,3,FALSE)),1,0)</f>
        <v>0</v>
      </c>
      <c r="I146" s="2">
        <f>IF(AND(feasible_mat!H22, VLOOKUP(Recharged_Feasible_matv3!$A146,test!$A$34:$G$37, 3,FALSE)=VLOOKUP(I$1,test!$A$3:$I$32,3,FALSE)),1,0)</f>
        <v>0</v>
      </c>
      <c r="J146" s="2">
        <f>IF(AND(feasible_mat!I22, VLOOKUP(Recharged_Feasible_matv3!$A146,test!$A$34:$G$37, 3,FALSE)=VLOOKUP(J$1,test!$A$3:$I$32,3,FALSE)),1,0)</f>
        <v>0</v>
      </c>
      <c r="K146" s="2">
        <f>IF(AND(feasible_mat!J22, VLOOKUP(Recharged_Feasible_matv3!$A146,test!$A$34:$G$37, 3,FALSE)=VLOOKUP(K$1,test!$A$3:$I$32,3,FALSE)),1,0)</f>
        <v>0</v>
      </c>
      <c r="L146" s="2">
        <f>IF(AND(feasible_mat!K22, VLOOKUP(Recharged_Feasible_matv3!$A146,test!$A$34:$G$37, 3,FALSE)=VLOOKUP(L$1,test!$A$3:$I$32,3,FALSE)),1,0)</f>
        <v>0</v>
      </c>
      <c r="M146" s="2">
        <f>IF(AND(feasible_mat!L22, VLOOKUP(Recharged_Feasible_matv3!$A146,test!$A$34:$G$37, 3,FALSE)=VLOOKUP(M$1,test!$A$3:$I$32,3,FALSE)),1,0)</f>
        <v>0</v>
      </c>
      <c r="N146" s="2">
        <f>IF(AND(feasible_mat!M22, VLOOKUP(Recharged_Feasible_matv3!$A146,test!$A$34:$G$37, 3,FALSE)=VLOOKUP(N$1,test!$A$3:$I$32,3,FALSE)),1,0)</f>
        <v>0</v>
      </c>
      <c r="O146" s="2">
        <f>IF(AND(feasible_mat!N22, VLOOKUP(Recharged_Feasible_matv3!$A146,test!$A$34:$G$37, 3,FALSE)=VLOOKUP(O$1,test!$A$3:$I$32,3,FALSE)),1,0)</f>
        <v>0</v>
      </c>
      <c r="P146" s="2">
        <f>IF(AND(feasible_mat!O22, VLOOKUP(Recharged_Feasible_matv3!$A146,test!$A$34:$G$37, 3,FALSE)=VLOOKUP(P$1,test!$A$3:$I$32,3,FALSE)),1,0)</f>
        <v>0</v>
      </c>
      <c r="Q146" s="2">
        <f>IF(AND(feasible_mat!P22, VLOOKUP(Recharged_Feasible_matv3!$A146,test!$A$34:$G$37, 3,FALSE)=VLOOKUP(Q$1,test!$A$3:$I$32,3,FALSE)),1,0)</f>
        <v>0</v>
      </c>
      <c r="R146" s="2">
        <f>IF(AND(feasible_mat!Q22, VLOOKUP(Recharged_Feasible_matv3!$A146,test!$A$34:$G$37, 3,FALSE)=VLOOKUP(R$1,test!$A$3:$I$32,3,FALSE)),1,0)</f>
        <v>0</v>
      </c>
      <c r="S146" s="2">
        <f>IF(AND(feasible_mat!R22, VLOOKUP(Recharged_Feasible_matv3!$A146,test!$A$34:$G$37, 3,FALSE)=VLOOKUP(S$1,test!$A$3:$I$32,3,FALSE)),1,0)</f>
        <v>0</v>
      </c>
      <c r="T146" s="2">
        <f>IF(AND(feasible_mat!S22, VLOOKUP(Recharged_Feasible_matv3!$A146,test!$A$34:$G$37, 3,FALSE)=VLOOKUP(T$1,test!$A$3:$I$32,3,FALSE)),1,0)</f>
        <v>0</v>
      </c>
      <c r="U146" s="2">
        <f>IF(AND(feasible_mat!T22, VLOOKUP(Recharged_Feasible_matv3!$A146,test!$A$34:$G$37, 3,FALSE)=VLOOKUP(U$1,test!$A$3:$I$32,3,FALSE)),1,0)</f>
        <v>0</v>
      </c>
      <c r="V146" s="2">
        <f>IF(AND(feasible_mat!U22, VLOOKUP(Recharged_Feasible_matv3!$A146,test!$A$34:$G$37, 3,FALSE)=VLOOKUP(V$1,test!$A$3:$I$32,3,FALSE)),1,0)</f>
        <v>0</v>
      </c>
      <c r="W146" s="2">
        <f>IF(AND(feasible_mat!V22, VLOOKUP(Recharged_Feasible_matv3!$A146,test!$A$34:$G$37, 3,FALSE)=VLOOKUP(W$1,test!$A$3:$I$32,3,FALSE)),1,0)</f>
        <v>0</v>
      </c>
      <c r="X146" s="2">
        <f>IF(AND(feasible_mat!W22, VLOOKUP(Recharged_Feasible_matv3!$A146,test!$A$34:$G$37, 3,FALSE)=VLOOKUP(X$1,test!$A$3:$I$32,3,FALSE)),1,0)</f>
        <v>0</v>
      </c>
      <c r="Y146" s="2">
        <f>IF(AND(feasible_mat!X22, VLOOKUP(Recharged_Feasible_matv3!$A146,test!$A$34:$G$37, 3,FALSE)=VLOOKUP(Y$1,test!$A$3:$I$32,3,FALSE)),1,0)</f>
        <v>0</v>
      </c>
      <c r="Z146" s="2">
        <f>IF(AND(feasible_mat!Y22, VLOOKUP(Recharged_Feasible_matv3!$A146,test!$A$34:$G$37, 3,FALSE)=VLOOKUP(Z$1,test!$A$3:$I$32,3,FALSE)),1,0)</f>
        <v>0</v>
      </c>
      <c r="AA146" s="2">
        <f>IF(AND(feasible_mat!Z22, VLOOKUP(Recharged_Feasible_matv3!$A146,test!$A$34:$G$37, 3,FALSE)=VLOOKUP(AA$1,test!$A$3:$I$32,3,FALSE)),1,0)</f>
        <v>0</v>
      </c>
      <c r="AB146" s="2">
        <f>IF(AND(feasible_mat!AA22, VLOOKUP(Recharged_Feasible_matv3!$A146,test!$A$34:$G$37, 3,FALSE)=VLOOKUP(AB$1,test!$A$3:$I$32,3,FALSE)),1,0)</f>
        <v>0</v>
      </c>
      <c r="AC146" s="2">
        <f>IF(AND(feasible_mat!AB22, VLOOKUP(Recharged_Feasible_matv3!$A146,test!$A$34:$G$37, 3,FALSE)=VLOOKUP(AC$1,test!$A$3:$I$32,3,FALSE)),1,0)</f>
        <v>0</v>
      </c>
      <c r="AD146" s="2">
        <f>IF(AND(feasible_mat!AC22, VLOOKUP(Recharged_Feasible_matv3!$A146,test!$A$34:$G$37, 3,FALSE)=VLOOKUP(AD$1,test!$A$3:$I$32,3,FALSE)),1,0)</f>
        <v>0</v>
      </c>
      <c r="AE146" s="2">
        <f>IF(AND(feasible_mat!AD22, VLOOKUP(Recharged_Feasible_matv3!$A146,test!$A$34:$G$37, 3,FALSE)=VLOOKUP(AE$1,test!$A$3:$I$32,3,FALSE)),1,0)</f>
        <v>0</v>
      </c>
      <c r="AF146" s="2">
        <f>IF(AND(feasible_mat!AE22, VLOOKUP(Recharged_Feasible_matv3!$A146,test!$A$34:$G$37, 3,FALSE)=VLOOKUP(AF$1,test!$A$3:$I$32,3,FALSE)),1,0)</f>
        <v>0</v>
      </c>
      <c r="AG146" s="2">
        <f>IF(AND(feasible_mat!AF22, VLOOKUP(Recharged_Feasible_matv3!$A146,test!$A$34:$G$37, 3,FALSE)=VLOOKUP(AG$1,test!$A$3:$I$32,3,FALSE)),1,0)</f>
        <v>0</v>
      </c>
    </row>
    <row r="147" spans="1:33" x14ac:dyDescent="0.25">
      <c r="A147" t="s">
        <v>99</v>
      </c>
      <c r="B147" t="s">
        <v>32</v>
      </c>
      <c r="C147">
        <v>0</v>
      </c>
      <c r="D147" s="2">
        <f>IF(AND(feasible_mat!C23, VLOOKUP(Recharged_Feasible_matv3!$A147,test!$A$34:$G$37, 3,FALSE)=VLOOKUP(D$1,test!$A$3:$I$32,3,FALSE)),1,0)</f>
        <v>0</v>
      </c>
      <c r="E147" s="2">
        <f>IF(AND(feasible_mat!D23, VLOOKUP(Recharged_Feasible_matv3!$A147,test!$A$34:$G$37, 3,FALSE)=VLOOKUP(E$1,test!$A$3:$I$32,3,FALSE)),1,0)</f>
        <v>0</v>
      </c>
      <c r="F147" s="2">
        <f>IF(AND(feasible_mat!E23, VLOOKUP(Recharged_Feasible_matv3!$A147,test!$A$34:$G$37, 3,FALSE)=VLOOKUP(F$1,test!$A$3:$I$32,3,FALSE)),1,0)</f>
        <v>0</v>
      </c>
      <c r="G147" s="2">
        <f>IF(AND(feasible_mat!F23, VLOOKUP(Recharged_Feasible_matv3!$A147,test!$A$34:$G$37, 3,FALSE)=VLOOKUP(G$1,test!$A$3:$I$32,3,FALSE)),1,0)</f>
        <v>0</v>
      </c>
      <c r="H147" s="2">
        <f>IF(AND(feasible_mat!G23, VLOOKUP(Recharged_Feasible_matv3!$A147,test!$A$34:$G$37, 3,FALSE)=VLOOKUP(H$1,test!$A$3:$I$32,3,FALSE)),1,0)</f>
        <v>0</v>
      </c>
      <c r="I147" s="2">
        <f>IF(AND(feasible_mat!H23, VLOOKUP(Recharged_Feasible_matv3!$A147,test!$A$34:$G$37, 3,FALSE)=VLOOKUP(I$1,test!$A$3:$I$32,3,FALSE)),1,0)</f>
        <v>0</v>
      </c>
      <c r="J147" s="2">
        <f>IF(AND(feasible_mat!I23, VLOOKUP(Recharged_Feasible_matv3!$A147,test!$A$34:$G$37, 3,FALSE)=VLOOKUP(J$1,test!$A$3:$I$32,3,FALSE)),1,0)</f>
        <v>0</v>
      </c>
      <c r="K147" s="2">
        <f>IF(AND(feasible_mat!J23, VLOOKUP(Recharged_Feasible_matv3!$A147,test!$A$34:$G$37, 3,FALSE)=VLOOKUP(K$1,test!$A$3:$I$32,3,FALSE)),1,0)</f>
        <v>0</v>
      </c>
      <c r="L147" s="2">
        <f>IF(AND(feasible_mat!K23, VLOOKUP(Recharged_Feasible_matv3!$A147,test!$A$34:$G$37, 3,FALSE)=VLOOKUP(L$1,test!$A$3:$I$32,3,FALSE)),1,0)</f>
        <v>0</v>
      </c>
      <c r="M147" s="2">
        <f>IF(AND(feasible_mat!L23, VLOOKUP(Recharged_Feasible_matv3!$A147,test!$A$34:$G$37, 3,FALSE)=VLOOKUP(M$1,test!$A$3:$I$32,3,FALSE)),1,0)</f>
        <v>0</v>
      </c>
      <c r="N147" s="2">
        <f>IF(AND(feasible_mat!M23, VLOOKUP(Recharged_Feasible_matv3!$A147,test!$A$34:$G$37, 3,FALSE)=VLOOKUP(N$1,test!$A$3:$I$32,3,FALSE)),1,0)</f>
        <v>0</v>
      </c>
      <c r="O147" s="2">
        <f>IF(AND(feasible_mat!N23, VLOOKUP(Recharged_Feasible_matv3!$A147,test!$A$34:$G$37, 3,FALSE)=VLOOKUP(O$1,test!$A$3:$I$32,3,FALSE)),1,0)</f>
        <v>0</v>
      </c>
      <c r="P147" s="2">
        <f>IF(AND(feasible_mat!O23, VLOOKUP(Recharged_Feasible_matv3!$A147,test!$A$34:$G$37, 3,FALSE)=VLOOKUP(P$1,test!$A$3:$I$32,3,FALSE)),1,0)</f>
        <v>0</v>
      </c>
      <c r="Q147" s="2">
        <f>IF(AND(feasible_mat!P23, VLOOKUP(Recharged_Feasible_matv3!$A147,test!$A$34:$G$37, 3,FALSE)=VLOOKUP(Q$1,test!$A$3:$I$32,3,FALSE)),1,0)</f>
        <v>0</v>
      </c>
      <c r="R147" s="2">
        <f>IF(AND(feasible_mat!Q23, VLOOKUP(Recharged_Feasible_matv3!$A147,test!$A$34:$G$37, 3,FALSE)=VLOOKUP(R$1,test!$A$3:$I$32,3,FALSE)),1,0)</f>
        <v>0</v>
      </c>
      <c r="S147" s="2">
        <f>IF(AND(feasible_mat!R23, VLOOKUP(Recharged_Feasible_matv3!$A147,test!$A$34:$G$37, 3,FALSE)=VLOOKUP(S$1,test!$A$3:$I$32,3,FALSE)),1,0)</f>
        <v>0</v>
      </c>
      <c r="T147" s="2">
        <f>IF(AND(feasible_mat!S23, VLOOKUP(Recharged_Feasible_matv3!$A147,test!$A$34:$G$37, 3,FALSE)=VLOOKUP(T$1,test!$A$3:$I$32,3,FALSE)),1,0)</f>
        <v>0</v>
      </c>
      <c r="U147" s="2">
        <f>IF(AND(feasible_mat!T23, VLOOKUP(Recharged_Feasible_matv3!$A147,test!$A$34:$G$37, 3,FALSE)=VLOOKUP(U$1,test!$A$3:$I$32,3,FALSE)),1,0)</f>
        <v>0</v>
      </c>
      <c r="V147" s="2">
        <f>IF(AND(feasible_mat!U23, VLOOKUP(Recharged_Feasible_matv3!$A147,test!$A$34:$G$37, 3,FALSE)=VLOOKUP(V$1,test!$A$3:$I$32,3,FALSE)),1,0)</f>
        <v>0</v>
      </c>
      <c r="W147" s="2">
        <f>IF(AND(feasible_mat!V23, VLOOKUP(Recharged_Feasible_matv3!$A147,test!$A$34:$G$37, 3,FALSE)=VLOOKUP(W$1,test!$A$3:$I$32,3,FALSE)),1,0)</f>
        <v>0</v>
      </c>
      <c r="X147" s="2">
        <f>IF(AND(feasible_mat!W23, VLOOKUP(Recharged_Feasible_matv3!$A147,test!$A$34:$G$37, 3,FALSE)=VLOOKUP(X$1,test!$A$3:$I$32,3,FALSE)),1,0)</f>
        <v>0</v>
      </c>
      <c r="Y147" s="2">
        <f>IF(AND(feasible_mat!X23, VLOOKUP(Recharged_Feasible_matv3!$A147,test!$A$34:$G$37, 3,FALSE)=VLOOKUP(Y$1,test!$A$3:$I$32,3,FALSE)),1,0)</f>
        <v>0</v>
      </c>
      <c r="Z147" s="2">
        <f>IF(AND(feasible_mat!Y23, VLOOKUP(Recharged_Feasible_matv3!$A147,test!$A$34:$G$37, 3,FALSE)=VLOOKUP(Z$1,test!$A$3:$I$32,3,FALSE)),1,0)</f>
        <v>0</v>
      </c>
      <c r="AA147" s="2">
        <f>IF(AND(feasible_mat!Z23, VLOOKUP(Recharged_Feasible_matv3!$A147,test!$A$34:$G$37, 3,FALSE)=VLOOKUP(AA$1,test!$A$3:$I$32,3,FALSE)),1,0)</f>
        <v>0</v>
      </c>
      <c r="AB147" s="2">
        <f>IF(AND(feasible_mat!AA23, VLOOKUP(Recharged_Feasible_matv3!$A147,test!$A$34:$G$37, 3,FALSE)=VLOOKUP(AB$1,test!$A$3:$I$32,3,FALSE)),1,0)</f>
        <v>0</v>
      </c>
      <c r="AC147" s="2">
        <f>IF(AND(feasible_mat!AB23, VLOOKUP(Recharged_Feasible_matv3!$A147,test!$A$34:$G$37, 3,FALSE)=VLOOKUP(AC$1,test!$A$3:$I$32,3,FALSE)),1,0)</f>
        <v>0</v>
      </c>
      <c r="AD147" s="2">
        <f>IF(AND(feasible_mat!AC23, VLOOKUP(Recharged_Feasible_matv3!$A147,test!$A$34:$G$37, 3,FALSE)=VLOOKUP(AD$1,test!$A$3:$I$32,3,FALSE)),1,0)</f>
        <v>0</v>
      </c>
      <c r="AE147" s="2">
        <f>IF(AND(feasible_mat!AD23, VLOOKUP(Recharged_Feasible_matv3!$A147,test!$A$34:$G$37, 3,FALSE)=VLOOKUP(AE$1,test!$A$3:$I$32,3,FALSE)),1,0)</f>
        <v>0</v>
      </c>
      <c r="AF147" s="2">
        <f>IF(AND(feasible_mat!AE23, VLOOKUP(Recharged_Feasible_matv3!$A147,test!$A$34:$G$37, 3,FALSE)=VLOOKUP(AF$1,test!$A$3:$I$32,3,FALSE)),1,0)</f>
        <v>0</v>
      </c>
      <c r="AG147" s="2">
        <f>IF(AND(feasible_mat!AF23, VLOOKUP(Recharged_Feasible_matv3!$A147,test!$A$34:$G$37, 3,FALSE)=VLOOKUP(AG$1,test!$A$3:$I$32,3,FALSE)),1,0)</f>
        <v>0</v>
      </c>
    </row>
    <row r="148" spans="1:33" x14ac:dyDescent="0.25">
      <c r="A148" t="s">
        <v>99</v>
      </c>
      <c r="B148" t="s">
        <v>33</v>
      </c>
      <c r="C148">
        <v>0</v>
      </c>
      <c r="D148" s="2">
        <f>IF(AND(feasible_mat!C24, VLOOKUP(Recharged_Feasible_matv3!$A148,test!$A$34:$G$37, 3,FALSE)=VLOOKUP(D$1,test!$A$3:$I$32,3,FALSE)),1,0)</f>
        <v>0</v>
      </c>
      <c r="E148" s="2">
        <f>IF(AND(feasible_mat!D24, VLOOKUP(Recharged_Feasible_matv3!$A148,test!$A$34:$G$37, 3,FALSE)=VLOOKUP(E$1,test!$A$3:$I$32,3,FALSE)),1,0)</f>
        <v>0</v>
      </c>
      <c r="F148" s="2">
        <f>IF(AND(feasible_mat!E24, VLOOKUP(Recharged_Feasible_matv3!$A148,test!$A$34:$G$37, 3,FALSE)=VLOOKUP(F$1,test!$A$3:$I$32,3,FALSE)),1,0)</f>
        <v>0</v>
      </c>
      <c r="G148" s="2">
        <f>IF(AND(feasible_mat!F24, VLOOKUP(Recharged_Feasible_matv3!$A148,test!$A$34:$G$37, 3,FALSE)=VLOOKUP(G$1,test!$A$3:$I$32,3,FALSE)),1,0)</f>
        <v>0</v>
      </c>
      <c r="H148" s="2">
        <f>IF(AND(feasible_mat!G24, VLOOKUP(Recharged_Feasible_matv3!$A148,test!$A$34:$G$37, 3,FALSE)=VLOOKUP(H$1,test!$A$3:$I$32,3,FALSE)),1,0)</f>
        <v>0</v>
      </c>
      <c r="I148" s="2">
        <f>IF(AND(feasible_mat!H24, VLOOKUP(Recharged_Feasible_matv3!$A148,test!$A$34:$G$37, 3,FALSE)=VLOOKUP(I$1,test!$A$3:$I$32,3,FALSE)),1,0)</f>
        <v>0</v>
      </c>
      <c r="J148" s="2">
        <f>IF(AND(feasible_mat!I24, VLOOKUP(Recharged_Feasible_matv3!$A148,test!$A$34:$G$37, 3,FALSE)=VLOOKUP(J$1,test!$A$3:$I$32,3,FALSE)),1,0)</f>
        <v>0</v>
      </c>
      <c r="K148" s="2">
        <f>IF(AND(feasible_mat!J24, VLOOKUP(Recharged_Feasible_matv3!$A148,test!$A$34:$G$37, 3,FALSE)=VLOOKUP(K$1,test!$A$3:$I$32,3,FALSE)),1,0)</f>
        <v>0</v>
      </c>
      <c r="L148" s="2">
        <f>IF(AND(feasible_mat!K24, VLOOKUP(Recharged_Feasible_matv3!$A148,test!$A$34:$G$37, 3,FALSE)=VLOOKUP(L$1,test!$A$3:$I$32,3,FALSE)),1,0)</f>
        <v>0</v>
      </c>
      <c r="M148" s="2">
        <f>IF(AND(feasible_mat!L24, VLOOKUP(Recharged_Feasible_matv3!$A148,test!$A$34:$G$37, 3,FALSE)=VLOOKUP(M$1,test!$A$3:$I$32,3,FALSE)),1,0)</f>
        <v>0</v>
      </c>
      <c r="N148" s="2">
        <f>IF(AND(feasible_mat!M24, VLOOKUP(Recharged_Feasible_matv3!$A148,test!$A$34:$G$37, 3,FALSE)=VLOOKUP(N$1,test!$A$3:$I$32,3,FALSE)),1,0)</f>
        <v>0</v>
      </c>
      <c r="O148" s="2">
        <f>IF(AND(feasible_mat!N24, VLOOKUP(Recharged_Feasible_matv3!$A148,test!$A$34:$G$37, 3,FALSE)=VLOOKUP(O$1,test!$A$3:$I$32,3,FALSE)),1,0)</f>
        <v>0</v>
      </c>
      <c r="P148" s="2">
        <f>IF(AND(feasible_mat!O24, VLOOKUP(Recharged_Feasible_matv3!$A148,test!$A$34:$G$37, 3,FALSE)=VLOOKUP(P$1,test!$A$3:$I$32,3,FALSE)),1,0)</f>
        <v>0</v>
      </c>
      <c r="Q148" s="2">
        <f>IF(AND(feasible_mat!P24, VLOOKUP(Recharged_Feasible_matv3!$A148,test!$A$34:$G$37, 3,FALSE)=VLOOKUP(Q$1,test!$A$3:$I$32,3,FALSE)),1,0)</f>
        <v>0</v>
      </c>
      <c r="R148" s="2">
        <f>IF(AND(feasible_mat!Q24, VLOOKUP(Recharged_Feasible_matv3!$A148,test!$A$34:$G$37, 3,FALSE)=VLOOKUP(R$1,test!$A$3:$I$32,3,FALSE)),1,0)</f>
        <v>0</v>
      </c>
      <c r="S148" s="2">
        <f>IF(AND(feasible_mat!R24, VLOOKUP(Recharged_Feasible_matv3!$A148,test!$A$34:$G$37, 3,FALSE)=VLOOKUP(S$1,test!$A$3:$I$32,3,FALSE)),1,0)</f>
        <v>0</v>
      </c>
      <c r="T148" s="2">
        <f>IF(AND(feasible_mat!S24, VLOOKUP(Recharged_Feasible_matv3!$A148,test!$A$34:$G$37, 3,FALSE)=VLOOKUP(T$1,test!$A$3:$I$32,3,FALSE)),1,0)</f>
        <v>0</v>
      </c>
      <c r="U148" s="2">
        <f>IF(AND(feasible_mat!T24, VLOOKUP(Recharged_Feasible_matv3!$A148,test!$A$34:$G$37, 3,FALSE)=VLOOKUP(U$1,test!$A$3:$I$32,3,FALSE)),1,0)</f>
        <v>0</v>
      </c>
      <c r="V148" s="2">
        <f>IF(AND(feasible_mat!U24, VLOOKUP(Recharged_Feasible_matv3!$A148,test!$A$34:$G$37, 3,FALSE)=VLOOKUP(V$1,test!$A$3:$I$32,3,FALSE)),1,0)</f>
        <v>0</v>
      </c>
      <c r="W148" s="2">
        <f>IF(AND(feasible_mat!V24, VLOOKUP(Recharged_Feasible_matv3!$A148,test!$A$34:$G$37, 3,FALSE)=VLOOKUP(W$1,test!$A$3:$I$32,3,FALSE)),1,0)</f>
        <v>0</v>
      </c>
      <c r="X148" s="2">
        <f>IF(AND(feasible_mat!W24, VLOOKUP(Recharged_Feasible_matv3!$A148,test!$A$34:$G$37, 3,FALSE)=VLOOKUP(X$1,test!$A$3:$I$32,3,FALSE)),1,0)</f>
        <v>0</v>
      </c>
      <c r="Y148" s="2">
        <f>IF(AND(feasible_mat!X24, VLOOKUP(Recharged_Feasible_matv3!$A148,test!$A$34:$G$37, 3,FALSE)=VLOOKUP(Y$1,test!$A$3:$I$32,3,FALSE)),1,0)</f>
        <v>0</v>
      </c>
      <c r="Z148" s="2">
        <f>IF(AND(feasible_mat!Y24, VLOOKUP(Recharged_Feasible_matv3!$A148,test!$A$34:$G$37, 3,FALSE)=VLOOKUP(Z$1,test!$A$3:$I$32,3,FALSE)),1,0)</f>
        <v>0</v>
      </c>
      <c r="AA148" s="2">
        <f>IF(AND(feasible_mat!Z24, VLOOKUP(Recharged_Feasible_matv3!$A148,test!$A$34:$G$37, 3,FALSE)=VLOOKUP(AA$1,test!$A$3:$I$32,3,FALSE)),1,0)</f>
        <v>0</v>
      </c>
      <c r="AB148" s="2">
        <f>IF(AND(feasible_mat!AA24, VLOOKUP(Recharged_Feasible_matv3!$A148,test!$A$34:$G$37, 3,FALSE)=VLOOKUP(AB$1,test!$A$3:$I$32,3,FALSE)),1,0)</f>
        <v>0</v>
      </c>
      <c r="AC148" s="2">
        <f>IF(AND(feasible_mat!AB24, VLOOKUP(Recharged_Feasible_matv3!$A148,test!$A$34:$G$37, 3,FALSE)=VLOOKUP(AC$1,test!$A$3:$I$32,3,FALSE)),1,0)</f>
        <v>0</v>
      </c>
      <c r="AD148" s="2">
        <f>IF(AND(feasible_mat!AC24, VLOOKUP(Recharged_Feasible_matv3!$A148,test!$A$34:$G$37, 3,FALSE)=VLOOKUP(AD$1,test!$A$3:$I$32,3,FALSE)),1,0)</f>
        <v>0</v>
      </c>
      <c r="AE148" s="2">
        <f>IF(AND(feasible_mat!AD24, VLOOKUP(Recharged_Feasible_matv3!$A148,test!$A$34:$G$37, 3,FALSE)=VLOOKUP(AE$1,test!$A$3:$I$32,3,FALSE)),1,0)</f>
        <v>0</v>
      </c>
      <c r="AF148" s="2">
        <f>IF(AND(feasible_mat!AE24, VLOOKUP(Recharged_Feasible_matv3!$A148,test!$A$34:$G$37, 3,FALSE)=VLOOKUP(AF$1,test!$A$3:$I$32,3,FALSE)),1,0)</f>
        <v>0</v>
      </c>
      <c r="AG148" s="2">
        <f>IF(AND(feasible_mat!AF24, VLOOKUP(Recharged_Feasible_matv3!$A148,test!$A$34:$G$37, 3,FALSE)=VLOOKUP(AG$1,test!$A$3:$I$32,3,FALSE)),1,0)</f>
        <v>0</v>
      </c>
    </row>
    <row r="149" spans="1:33" x14ac:dyDescent="0.25">
      <c r="A149" t="s">
        <v>99</v>
      </c>
      <c r="B149" t="s">
        <v>34</v>
      </c>
      <c r="C149">
        <v>0</v>
      </c>
      <c r="D149" s="2">
        <f>IF(AND(feasible_mat!C25, VLOOKUP(Recharged_Feasible_matv3!$A149,test!$A$34:$G$37, 3,FALSE)=VLOOKUP(D$1,test!$A$3:$I$32,3,FALSE)),1,0)</f>
        <v>0</v>
      </c>
      <c r="E149" s="2">
        <f>IF(AND(feasible_mat!D25, VLOOKUP(Recharged_Feasible_matv3!$A149,test!$A$34:$G$37, 3,FALSE)=VLOOKUP(E$1,test!$A$3:$I$32,3,FALSE)),1,0)</f>
        <v>0</v>
      </c>
      <c r="F149" s="2">
        <f>IF(AND(feasible_mat!E25, VLOOKUP(Recharged_Feasible_matv3!$A149,test!$A$34:$G$37, 3,FALSE)=VLOOKUP(F$1,test!$A$3:$I$32,3,FALSE)),1,0)</f>
        <v>0</v>
      </c>
      <c r="G149" s="2">
        <f>IF(AND(feasible_mat!F25, VLOOKUP(Recharged_Feasible_matv3!$A149,test!$A$34:$G$37, 3,FALSE)=VLOOKUP(G$1,test!$A$3:$I$32,3,FALSE)),1,0)</f>
        <v>0</v>
      </c>
      <c r="H149" s="2">
        <f>IF(AND(feasible_mat!G25, VLOOKUP(Recharged_Feasible_matv3!$A149,test!$A$34:$G$37, 3,FALSE)=VLOOKUP(H$1,test!$A$3:$I$32,3,FALSE)),1,0)</f>
        <v>0</v>
      </c>
      <c r="I149" s="2">
        <f>IF(AND(feasible_mat!H25, VLOOKUP(Recharged_Feasible_matv3!$A149,test!$A$34:$G$37, 3,FALSE)=VLOOKUP(I$1,test!$A$3:$I$32,3,FALSE)),1,0)</f>
        <v>0</v>
      </c>
      <c r="J149" s="2">
        <f>IF(AND(feasible_mat!I25, VLOOKUP(Recharged_Feasible_matv3!$A149,test!$A$34:$G$37, 3,FALSE)=VLOOKUP(J$1,test!$A$3:$I$32,3,FALSE)),1,0)</f>
        <v>0</v>
      </c>
      <c r="K149" s="2">
        <f>IF(AND(feasible_mat!J25, VLOOKUP(Recharged_Feasible_matv3!$A149,test!$A$34:$G$37, 3,FALSE)=VLOOKUP(K$1,test!$A$3:$I$32,3,FALSE)),1,0)</f>
        <v>0</v>
      </c>
      <c r="L149" s="2">
        <f>IF(AND(feasible_mat!K25, VLOOKUP(Recharged_Feasible_matv3!$A149,test!$A$34:$G$37, 3,FALSE)=VLOOKUP(L$1,test!$A$3:$I$32,3,FALSE)),1,0)</f>
        <v>0</v>
      </c>
      <c r="M149" s="2">
        <f>IF(AND(feasible_mat!L25, VLOOKUP(Recharged_Feasible_matv3!$A149,test!$A$34:$G$37, 3,FALSE)=VLOOKUP(M$1,test!$A$3:$I$32,3,FALSE)),1,0)</f>
        <v>0</v>
      </c>
      <c r="N149" s="2">
        <f>IF(AND(feasible_mat!M25, VLOOKUP(Recharged_Feasible_matv3!$A149,test!$A$34:$G$37, 3,FALSE)=VLOOKUP(N$1,test!$A$3:$I$32,3,FALSE)),1,0)</f>
        <v>0</v>
      </c>
      <c r="O149" s="2">
        <f>IF(AND(feasible_mat!N25, VLOOKUP(Recharged_Feasible_matv3!$A149,test!$A$34:$G$37, 3,FALSE)=VLOOKUP(O$1,test!$A$3:$I$32,3,FALSE)),1,0)</f>
        <v>0</v>
      </c>
      <c r="P149" s="2">
        <f>IF(AND(feasible_mat!O25, VLOOKUP(Recharged_Feasible_matv3!$A149,test!$A$34:$G$37, 3,FALSE)=VLOOKUP(P$1,test!$A$3:$I$32,3,FALSE)),1,0)</f>
        <v>0</v>
      </c>
      <c r="Q149" s="2">
        <f>IF(AND(feasible_mat!P25, VLOOKUP(Recharged_Feasible_matv3!$A149,test!$A$34:$G$37, 3,FALSE)=VLOOKUP(Q$1,test!$A$3:$I$32,3,FALSE)),1,0)</f>
        <v>0</v>
      </c>
      <c r="R149" s="2">
        <f>IF(AND(feasible_mat!Q25, VLOOKUP(Recharged_Feasible_matv3!$A149,test!$A$34:$G$37, 3,FALSE)=VLOOKUP(R$1,test!$A$3:$I$32,3,FALSE)),1,0)</f>
        <v>0</v>
      </c>
      <c r="S149" s="2">
        <f>IF(AND(feasible_mat!R25, VLOOKUP(Recharged_Feasible_matv3!$A149,test!$A$34:$G$37, 3,FALSE)=VLOOKUP(S$1,test!$A$3:$I$32,3,FALSE)),1,0)</f>
        <v>0</v>
      </c>
      <c r="T149" s="2">
        <f>IF(AND(feasible_mat!S25, VLOOKUP(Recharged_Feasible_matv3!$A149,test!$A$34:$G$37, 3,FALSE)=VLOOKUP(T$1,test!$A$3:$I$32,3,FALSE)),1,0)</f>
        <v>0</v>
      </c>
      <c r="U149" s="2">
        <f>IF(AND(feasible_mat!T25, VLOOKUP(Recharged_Feasible_matv3!$A149,test!$A$34:$G$37, 3,FALSE)=VLOOKUP(U$1,test!$A$3:$I$32,3,FALSE)),1,0)</f>
        <v>0</v>
      </c>
      <c r="V149" s="2">
        <f>IF(AND(feasible_mat!U25, VLOOKUP(Recharged_Feasible_matv3!$A149,test!$A$34:$G$37, 3,FALSE)=VLOOKUP(V$1,test!$A$3:$I$32,3,FALSE)),1,0)</f>
        <v>0</v>
      </c>
      <c r="W149" s="2">
        <f>IF(AND(feasible_mat!V25, VLOOKUP(Recharged_Feasible_matv3!$A149,test!$A$34:$G$37, 3,FALSE)=VLOOKUP(W$1,test!$A$3:$I$32,3,FALSE)),1,0)</f>
        <v>0</v>
      </c>
      <c r="X149" s="2">
        <f>IF(AND(feasible_mat!W25, VLOOKUP(Recharged_Feasible_matv3!$A149,test!$A$34:$G$37, 3,FALSE)=VLOOKUP(X$1,test!$A$3:$I$32,3,FALSE)),1,0)</f>
        <v>0</v>
      </c>
      <c r="Y149" s="2">
        <f>IF(AND(feasible_mat!X25, VLOOKUP(Recharged_Feasible_matv3!$A149,test!$A$34:$G$37, 3,FALSE)=VLOOKUP(Y$1,test!$A$3:$I$32,3,FALSE)),1,0)</f>
        <v>0</v>
      </c>
      <c r="Z149" s="2">
        <f>IF(AND(feasible_mat!Y25, VLOOKUP(Recharged_Feasible_matv3!$A149,test!$A$34:$G$37, 3,FALSE)=VLOOKUP(Z$1,test!$A$3:$I$32,3,FALSE)),1,0)</f>
        <v>0</v>
      </c>
      <c r="AA149" s="2">
        <f>IF(AND(feasible_mat!Z25, VLOOKUP(Recharged_Feasible_matv3!$A149,test!$A$34:$G$37, 3,FALSE)=VLOOKUP(AA$1,test!$A$3:$I$32,3,FALSE)),1,0)</f>
        <v>0</v>
      </c>
      <c r="AB149" s="2">
        <f>IF(AND(feasible_mat!AA25, VLOOKUP(Recharged_Feasible_matv3!$A149,test!$A$34:$G$37, 3,FALSE)=VLOOKUP(AB$1,test!$A$3:$I$32,3,FALSE)),1,0)</f>
        <v>0</v>
      </c>
      <c r="AC149" s="2">
        <f>IF(AND(feasible_mat!AB25, VLOOKUP(Recharged_Feasible_matv3!$A149,test!$A$34:$G$37, 3,FALSE)=VLOOKUP(AC$1,test!$A$3:$I$32,3,FALSE)),1,0)</f>
        <v>0</v>
      </c>
      <c r="AD149" s="2">
        <f>IF(AND(feasible_mat!AC25, VLOOKUP(Recharged_Feasible_matv3!$A149,test!$A$34:$G$37, 3,FALSE)=VLOOKUP(AD$1,test!$A$3:$I$32,3,FALSE)),1,0)</f>
        <v>0</v>
      </c>
      <c r="AE149" s="2">
        <f>IF(AND(feasible_mat!AD25, VLOOKUP(Recharged_Feasible_matv3!$A149,test!$A$34:$G$37, 3,FALSE)=VLOOKUP(AE$1,test!$A$3:$I$32,3,FALSE)),1,0)</f>
        <v>0</v>
      </c>
      <c r="AF149" s="2">
        <f>IF(AND(feasible_mat!AE25, VLOOKUP(Recharged_Feasible_matv3!$A149,test!$A$34:$G$37, 3,FALSE)=VLOOKUP(AF$1,test!$A$3:$I$32,3,FALSE)),1,0)</f>
        <v>1</v>
      </c>
      <c r="AG149" s="2">
        <f>IF(AND(feasible_mat!AF25, VLOOKUP(Recharged_Feasible_matv3!$A149,test!$A$34:$G$37, 3,FALSE)=VLOOKUP(AG$1,test!$A$3:$I$32,3,FALSE)),1,0)</f>
        <v>1</v>
      </c>
    </row>
    <row r="150" spans="1:33" x14ac:dyDescent="0.25">
      <c r="A150" t="s">
        <v>99</v>
      </c>
      <c r="B150" t="s">
        <v>35</v>
      </c>
      <c r="C150">
        <v>0</v>
      </c>
      <c r="D150" s="2">
        <f>IF(AND(feasible_mat!C26, VLOOKUP(Recharged_Feasible_matv3!$A150,test!$A$34:$G$37, 3,FALSE)=VLOOKUP(D$1,test!$A$3:$I$32,3,FALSE)),1,0)</f>
        <v>0</v>
      </c>
      <c r="E150" s="2">
        <f>IF(AND(feasible_mat!D26, VLOOKUP(Recharged_Feasible_matv3!$A150,test!$A$34:$G$37, 3,FALSE)=VLOOKUP(E$1,test!$A$3:$I$32,3,FALSE)),1,0)</f>
        <v>0</v>
      </c>
      <c r="F150" s="2">
        <f>IF(AND(feasible_mat!E26, VLOOKUP(Recharged_Feasible_matv3!$A150,test!$A$34:$G$37, 3,FALSE)=VLOOKUP(F$1,test!$A$3:$I$32,3,FALSE)),1,0)</f>
        <v>0</v>
      </c>
      <c r="G150" s="2">
        <f>IF(AND(feasible_mat!F26, VLOOKUP(Recharged_Feasible_matv3!$A150,test!$A$34:$G$37, 3,FALSE)=VLOOKUP(G$1,test!$A$3:$I$32,3,FALSE)),1,0)</f>
        <v>0</v>
      </c>
      <c r="H150" s="2">
        <f>IF(AND(feasible_mat!G26, VLOOKUP(Recharged_Feasible_matv3!$A150,test!$A$34:$G$37, 3,FALSE)=VLOOKUP(H$1,test!$A$3:$I$32,3,FALSE)),1,0)</f>
        <v>0</v>
      </c>
      <c r="I150" s="2">
        <f>IF(AND(feasible_mat!H26, VLOOKUP(Recharged_Feasible_matv3!$A150,test!$A$34:$G$37, 3,FALSE)=VLOOKUP(I$1,test!$A$3:$I$32,3,FALSE)),1,0)</f>
        <v>0</v>
      </c>
      <c r="J150" s="2">
        <f>IF(AND(feasible_mat!I26, VLOOKUP(Recharged_Feasible_matv3!$A150,test!$A$34:$G$37, 3,FALSE)=VLOOKUP(J$1,test!$A$3:$I$32,3,FALSE)),1,0)</f>
        <v>0</v>
      </c>
      <c r="K150" s="2">
        <f>IF(AND(feasible_mat!J26, VLOOKUP(Recharged_Feasible_matv3!$A150,test!$A$34:$G$37, 3,FALSE)=VLOOKUP(K$1,test!$A$3:$I$32,3,FALSE)),1,0)</f>
        <v>0</v>
      </c>
      <c r="L150" s="2">
        <f>IF(AND(feasible_mat!K26, VLOOKUP(Recharged_Feasible_matv3!$A150,test!$A$34:$G$37, 3,FALSE)=VLOOKUP(L$1,test!$A$3:$I$32,3,FALSE)),1,0)</f>
        <v>0</v>
      </c>
      <c r="M150" s="2">
        <f>IF(AND(feasible_mat!L26, VLOOKUP(Recharged_Feasible_matv3!$A150,test!$A$34:$G$37, 3,FALSE)=VLOOKUP(M$1,test!$A$3:$I$32,3,FALSE)),1,0)</f>
        <v>0</v>
      </c>
      <c r="N150" s="2">
        <f>IF(AND(feasible_mat!M26, VLOOKUP(Recharged_Feasible_matv3!$A150,test!$A$34:$G$37, 3,FALSE)=VLOOKUP(N$1,test!$A$3:$I$32,3,FALSE)),1,0)</f>
        <v>0</v>
      </c>
      <c r="O150" s="2">
        <f>IF(AND(feasible_mat!N26, VLOOKUP(Recharged_Feasible_matv3!$A150,test!$A$34:$G$37, 3,FALSE)=VLOOKUP(O$1,test!$A$3:$I$32,3,FALSE)),1,0)</f>
        <v>0</v>
      </c>
      <c r="P150" s="2">
        <f>IF(AND(feasible_mat!O26, VLOOKUP(Recharged_Feasible_matv3!$A150,test!$A$34:$G$37, 3,FALSE)=VLOOKUP(P$1,test!$A$3:$I$32,3,FALSE)),1,0)</f>
        <v>0</v>
      </c>
      <c r="Q150" s="2">
        <f>IF(AND(feasible_mat!P26, VLOOKUP(Recharged_Feasible_matv3!$A150,test!$A$34:$G$37, 3,FALSE)=VLOOKUP(Q$1,test!$A$3:$I$32,3,FALSE)),1,0)</f>
        <v>0</v>
      </c>
      <c r="R150" s="2">
        <f>IF(AND(feasible_mat!Q26, VLOOKUP(Recharged_Feasible_matv3!$A150,test!$A$34:$G$37, 3,FALSE)=VLOOKUP(R$1,test!$A$3:$I$32,3,FALSE)),1,0)</f>
        <v>0</v>
      </c>
      <c r="S150" s="2">
        <f>IF(AND(feasible_mat!R26, VLOOKUP(Recharged_Feasible_matv3!$A150,test!$A$34:$G$37, 3,FALSE)=VLOOKUP(S$1,test!$A$3:$I$32,3,FALSE)),1,0)</f>
        <v>0</v>
      </c>
      <c r="T150" s="2">
        <f>IF(AND(feasible_mat!S26, VLOOKUP(Recharged_Feasible_matv3!$A150,test!$A$34:$G$37, 3,FALSE)=VLOOKUP(T$1,test!$A$3:$I$32,3,FALSE)),1,0)</f>
        <v>0</v>
      </c>
      <c r="U150" s="2">
        <f>IF(AND(feasible_mat!T26, VLOOKUP(Recharged_Feasible_matv3!$A150,test!$A$34:$G$37, 3,FALSE)=VLOOKUP(U$1,test!$A$3:$I$32,3,FALSE)),1,0)</f>
        <v>0</v>
      </c>
      <c r="V150" s="2">
        <f>IF(AND(feasible_mat!U26, VLOOKUP(Recharged_Feasible_matv3!$A150,test!$A$34:$G$37, 3,FALSE)=VLOOKUP(V$1,test!$A$3:$I$32,3,FALSE)),1,0)</f>
        <v>0</v>
      </c>
      <c r="W150" s="2">
        <f>IF(AND(feasible_mat!V26, VLOOKUP(Recharged_Feasible_matv3!$A150,test!$A$34:$G$37, 3,FALSE)=VLOOKUP(W$1,test!$A$3:$I$32,3,FALSE)),1,0)</f>
        <v>0</v>
      </c>
      <c r="X150" s="2">
        <f>IF(AND(feasible_mat!W26, VLOOKUP(Recharged_Feasible_matv3!$A150,test!$A$34:$G$37, 3,FALSE)=VLOOKUP(X$1,test!$A$3:$I$32,3,FALSE)),1,0)</f>
        <v>0</v>
      </c>
      <c r="Y150" s="2">
        <f>IF(AND(feasible_mat!X26, VLOOKUP(Recharged_Feasible_matv3!$A150,test!$A$34:$G$37, 3,FALSE)=VLOOKUP(Y$1,test!$A$3:$I$32,3,FALSE)),1,0)</f>
        <v>0</v>
      </c>
      <c r="Z150" s="2">
        <f>IF(AND(feasible_mat!Y26, VLOOKUP(Recharged_Feasible_matv3!$A150,test!$A$34:$G$37, 3,FALSE)=VLOOKUP(Z$1,test!$A$3:$I$32,3,FALSE)),1,0)</f>
        <v>0</v>
      </c>
      <c r="AA150" s="2">
        <f>IF(AND(feasible_mat!Z26, VLOOKUP(Recharged_Feasible_matv3!$A150,test!$A$34:$G$37, 3,FALSE)=VLOOKUP(AA$1,test!$A$3:$I$32,3,FALSE)),1,0)</f>
        <v>0</v>
      </c>
      <c r="AB150" s="2">
        <f>IF(AND(feasible_mat!AA26, VLOOKUP(Recharged_Feasible_matv3!$A150,test!$A$34:$G$37, 3,FALSE)=VLOOKUP(AB$1,test!$A$3:$I$32,3,FALSE)),1,0)</f>
        <v>0</v>
      </c>
      <c r="AC150" s="2">
        <f>IF(AND(feasible_mat!AB26, VLOOKUP(Recharged_Feasible_matv3!$A150,test!$A$34:$G$37, 3,FALSE)=VLOOKUP(AC$1,test!$A$3:$I$32,3,FALSE)),1,0)</f>
        <v>0</v>
      </c>
      <c r="AD150" s="2">
        <f>IF(AND(feasible_mat!AC26, VLOOKUP(Recharged_Feasible_matv3!$A150,test!$A$34:$G$37, 3,FALSE)=VLOOKUP(AD$1,test!$A$3:$I$32,3,FALSE)),1,0)</f>
        <v>0</v>
      </c>
      <c r="AE150" s="2">
        <f>IF(AND(feasible_mat!AD26, VLOOKUP(Recharged_Feasible_matv3!$A150,test!$A$34:$G$37, 3,FALSE)=VLOOKUP(AE$1,test!$A$3:$I$32,3,FALSE)),1,0)</f>
        <v>0</v>
      </c>
      <c r="AF150" s="2">
        <f>IF(AND(feasible_mat!AE26, VLOOKUP(Recharged_Feasible_matv3!$A150,test!$A$34:$G$37, 3,FALSE)=VLOOKUP(AF$1,test!$A$3:$I$32,3,FALSE)),1,0)</f>
        <v>0</v>
      </c>
      <c r="AG150" s="2">
        <f>IF(AND(feasible_mat!AF26, VLOOKUP(Recharged_Feasible_matv3!$A150,test!$A$34:$G$37, 3,FALSE)=VLOOKUP(AG$1,test!$A$3:$I$32,3,FALSE)),1,0)</f>
        <v>0</v>
      </c>
    </row>
    <row r="151" spans="1:33" x14ac:dyDescent="0.25">
      <c r="A151" t="s">
        <v>99</v>
      </c>
      <c r="B151" t="s">
        <v>36</v>
      </c>
      <c r="C151">
        <v>0</v>
      </c>
      <c r="D151" s="2">
        <f>IF(AND(feasible_mat!C27, VLOOKUP(Recharged_Feasible_matv3!$A151,test!$A$34:$G$37, 3,FALSE)=VLOOKUP(D$1,test!$A$3:$I$32,3,FALSE)),1,0)</f>
        <v>0</v>
      </c>
      <c r="E151" s="2">
        <f>IF(AND(feasible_mat!D27, VLOOKUP(Recharged_Feasible_matv3!$A151,test!$A$34:$G$37, 3,FALSE)=VLOOKUP(E$1,test!$A$3:$I$32,3,FALSE)),1,0)</f>
        <v>0</v>
      </c>
      <c r="F151" s="2">
        <f>IF(AND(feasible_mat!E27, VLOOKUP(Recharged_Feasible_matv3!$A151,test!$A$34:$G$37, 3,FALSE)=VLOOKUP(F$1,test!$A$3:$I$32,3,FALSE)),1,0)</f>
        <v>0</v>
      </c>
      <c r="G151" s="2">
        <f>IF(AND(feasible_mat!F27, VLOOKUP(Recharged_Feasible_matv3!$A151,test!$A$34:$G$37, 3,FALSE)=VLOOKUP(G$1,test!$A$3:$I$32,3,FALSE)),1,0)</f>
        <v>0</v>
      </c>
      <c r="H151" s="2">
        <f>IF(AND(feasible_mat!G27, VLOOKUP(Recharged_Feasible_matv3!$A151,test!$A$34:$G$37, 3,FALSE)=VLOOKUP(H$1,test!$A$3:$I$32,3,FALSE)),1,0)</f>
        <v>0</v>
      </c>
      <c r="I151" s="2">
        <f>IF(AND(feasible_mat!H27, VLOOKUP(Recharged_Feasible_matv3!$A151,test!$A$34:$G$37, 3,FALSE)=VLOOKUP(I$1,test!$A$3:$I$32,3,FALSE)),1,0)</f>
        <v>0</v>
      </c>
      <c r="J151" s="2">
        <f>IF(AND(feasible_mat!I27, VLOOKUP(Recharged_Feasible_matv3!$A151,test!$A$34:$G$37, 3,FALSE)=VLOOKUP(J$1,test!$A$3:$I$32,3,FALSE)),1,0)</f>
        <v>0</v>
      </c>
      <c r="K151" s="2">
        <f>IF(AND(feasible_mat!J27, VLOOKUP(Recharged_Feasible_matv3!$A151,test!$A$34:$G$37, 3,FALSE)=VLOOKUP(K$1,test!$A$3:$I$32,3,FALSE)),1,0)</f>
        <v>0</v>
      </c>
      <c r="L151" s="2">
        <f>IF(AND(feasible_mat!K27, VLOOKUP(Recharged_Feasible_matv3!$A151,test!$A$34:$G$37, 3,FALSE)=VLOOKUP(L$1,test!$A$3:$I$32,3,FALSE)),1,0)</f>
        <v>0</v>
      </c>
      <c r="M151" s="2">
        <f>IF(AND(feasible_mat!L27, VLOOKUP(Recharged_Feasible_matv3!$A151,test!$A$34:$G$37, 3,FALSE)=VLOOKUP(M$1,test!$A$3:$I$32,3,FALSE)),1,0)</f>
        <v>0</v>
      </c>
      <c r="N151" s="2">
        <f>IF(AND(feasible_mat!M27, VLOOKUP(Recharged_Feasible_matv3!$A151,test!$A$34:$G$37, 3,FALSE)=VLOOKUP(N$1,test!$A$3:$I$32,3,FALSE)),1,0)</f>
        <v>0</v>
      </c>
      <c r="O151" s="2">
        <f>IF(AND(feasible_mat!N27, VLOOKUP(Recharged_Feasible_matv3!$A151,test!$A$34:$G$37, 3,FALSE)=VLOOKUP(O$1,test!$A$3:$I$32,3,FALSE)),1,0)</f>
        <v>0</v>
      </c>
      <c r="P151" s="2">
        <f>IF(AND(feasible_mat!O27, VLOOKUP(Recharged_Feasible_matv3!$A151,test!$A$34:$G$37, 3,FALSE)=VLOOKUP(P$1,test!$A$3:$I$32,3,FALSE)),1,0)</f>
        <v>0</v>
      </c>
      <c r="Q151" s="2">
        <f>IF(AND(feasible_mat!P27, VLOOKUP(Recharged_Feasible_matv3!$A151,test!$A$34:$G$37, 3,FALSE)=VLOOKUP(Q$1,test!$A$3:$I$32,3,FALSE)),1,0)</f>
        <v>0</v>
      </c>
      <c r="R151" s="2">
        <f>IF(AND(feasible_mat!Q27, VLOOKUP(Recharged_Feasible_matv3!$A151,test!$A$34:$G$37, 3,FALSE)=VLOOKUP(R$1,test!$A$3:$I$32,3,FALSE)),1,0)</f>
        <v>0</v>
      </c>
      <c r="S151" s="2">
        <f>IF(AND(feasible_mat!R27, VLOOKUP(Recharged_Feasible_matv3!$A151,test!$A$34:$G$37, 3,FALSE)=VLOOKUP(S$1,test!$A$3:$I$32,3,FALSE)),1,0)</f>
        <v>0</v>
      </c>
      <c r="T151" s="2">
        <f>IF(AND(feasible_mat!S27, VLOOKUP(Recharged_Feasible_matv3!$A151,test!$A$34:$G$37, 3,FALSE)=VLOOKUP(T$1,test!$A$3:$I$32,3,FALSE)),1,0)</f>
        <v>0</v>
      </c>
      <c r="U151" s="2">
        <f>IF(AND(feasible_mat!T27, VLOOKUP(Recharged_Feasible_matv3!$A151,test!$A$34:$G$37, 3,FALSE)=VLOOKUP(U$1,test!$A$3:$I$32,3,FALSE)),1,0)</f>
        <v>0</v>
      </c>
      <c r="V151" s="2">
        <f>IF(AND(feasible_mat!U27, VLOOKUP(Recharged_Feasible_matv3!$A151,test!$A$34:$G$37, 3,FALSE)=VLOOKUP(V$1,test!$A$3:$I$32,3,FALSE)),1,0)</f>
        <v>0</v>
      </c>
      <c r="W151" s="2">
        <f>IF(AND(feasible_mat!V27, VLOOKUP(Recharged_Feasible_matv3!$A151,test!$A$34:$G$37, 3,FALSE)=VLOOKUP(W$1,test!$A$3:$I$32,3,FALSE)),1,0)</f>
        <v>0</v>
      </c>
      <c r="X151" s="2">
        <f>IF(AND(feasible_mat!W27, VLOOKUP(Recharged_Feasible_matv3!$A151,test!$A$34:$G$37, 3,FALSE)=VLOOKUP(X$1,test!$A$3:$I$32,3,FALSE)),1,0)</f>
        <v>0</v>
      </c>
      <c r="Y151" s="2">
        <f>IF(AND(feasible_mat!X27, VLOOKUP(Recharged_Feasible_matv3!$A151,test!$A$34:$G$37, 3,FALSE)=VLOOKUP(Y$1,test!$A$3:$I$32,3,FALSE)),1,0)</f>
        <v>0</v>
      </c>
      <c r="Z151" s="2">
        <f>IF(AND(feasible_mat!Y27, VLOOKUP(Recharged_Feasible_matv3!$A151,test!$A$34:$G$37, 3,FALSE)=VLOOKUP(Z$1,test!$A$3:$I$32,3,FALSE)),1,0)</f>
        <v>0</v>
      </c>
      <c r="AA151" s="2">
        <f>IF(AND(feasible_mat!Z27, VLOOKUP(Recharged_Feasible_matv3!$A151,test!$A$34:$G$37, 3,FALSE)=VLOOKUP(AA$1,test!$A$3:$I$32,3,FALSE)),1,0)</f>
        <v>0</v>
      </c>
      <c r="AB151" s="2">
        <f>IF(AND(feasible_mat!AA27, VLOOKUP(Recharged_Feasible_matv3!$A151,test!$A$34:$G$37, 3,FALSE)=VLOOKUP(AB$1,test!$A$3:$I$32,3,FALSE)),1,0)</f>
        <v>0</v>
      </c>
      <c r="AC151" s="2">
        <f>IF(AND(feasible_mat!AB27, VLOOKUP(Recharged_Feasible_matv3!$A151,test!$A$34:$G$37, 3,FALSE)=VLOOKUP(AC$1,test!$A$3:$I$32,3,FALSE)),1,0)</f>
        <v>0</v>
      </c>
      <c r="AD151" s="2">
        <f>IF(AND(feasible_mat!AC27, VLOOKUP(Recharged_Feasible_matv3!$A151,test!$A$34:$G$37, 3,FALSE)=VLOOKUP(AD$1,test!$A$3:$I$32,3,FALSE)),1,0)</f>
        <v>0</v>
      </c>
      <c r="AE151" s="2">
        <f>IF(AND(feasible_mat!AD27, VLOOKUP(Recharged_Feasible_matv3!$A151,test!$A$34:$G$37, 3,FALSE)=VLOOKUP(AE$1,test!$A$3:$I$32,3,FALSE)),1,0)</f>
        <v>0</v>
      </c>
      <c r="AF151" s="2">
        <f>IF(AND(feasible_mat!AE27, VLOOKUP(Recharged_Feasible_matv3!$A151,test!$A$34:$G$37, 3,FALSE)=VLOOKUP(AF$1,test!$A$3:$I$32,3,FALSE)),1,0)</f>
        <v>0</v>
      </c>
      <c r="AG151" s="2">
        <f>IF(AND(feasible_mat!AF27, VLOOKUP(Recharged_Feasible_matv3!$A151,test!$A$34:$G$37, 3,FALSE)=VLOOKUP(AG$1,test!$A$3:$I$32,3,FALSE)),1,0)</f>
        <v>0</v>
      </c>
    </row>
    <row r="152" spans="1:33" x14ac:dyDescent="0.25">
      <c r="A152" t="s">
        <v>99</v>
      </c>
      <c r="B152" t="s">
        <v>37</v>
      </c>
      <c r="C152">
        <v>0</v>
      </c>
      <c r="D152" s="2">
        <f>IF(AND(feasible_mat!C28, VLOOKUP(Recharged_Feasible_matv3!$A152,test!$A$34:$G$37, 3,FALSE)=VLOOKUP(D$1,test!$A$3:$I$32,3,FALSE)),1,0)</f>
        <v>0</v>
      </c>
      <c r="E152" s="2">
        <f>IF(AND(feasible_mat!D28, VLOOKUP(Recharged_Feasible_matv3!$A152,test!$A$34:$G$37, 3,FALSE)=VLOOKUP(E$1,test!$A$3:$I$32,3,FALSE)),1,0)</f>
        <v>0</v>
      </c>
      <c r="F152" s="2">
        <f>IF(AND(feasible_mat!E28, VLOOKUP(Recharged_Feasible_matv3!$A152,test!$A$34:$G$37, 3,FALSE)=VLOOKUP(F$1,test!$A$3:$I$32,3,FALSE)),1,0)</f>
        <v>0</v>
      </c>
      <c r="G152" s="2">
        <f>IF(AND(feasible_mat!F28, VLOOKUP(Recharged_Feasible_matv3!$A152,test!$A$34:$G$37, 3,FALSE)=VLOOKUP(G$1,test!$A$3:$I$32,3,FALSE)),1,0)</f>
        <v>0</v>
      </c>
      <c r="H152" s="2">
        <f>IF(AND(feasible_mat!G28, VLOOKUP(Recharged_Feasible_matv3!$A152,test!$A$34:$G$37, 3,FALSE)=VLOOKUP(H$1,test!$A$3:$I$32,3,FALSE)),1,0)</f>
        <v>0</v>
      </c>
      <c r="I152" s="2">
        <f>IF(AND(feasible_mat!H28, VLOOKUP(Recharged_Feasible_matv3!$A152,test!$A$34:$G$37, 3,FALSE)=VLOOKUP(I$1,test!$A$3:$I$32,3,FALSE)),1,0)</f>
        <v>0</v>
      </c>
      <c r="J152" s="2">
        <f>IF(AND(feasible_mat!I28, VLOOKUP(Recharged_Feasible_matv3!$A152,test!$A$34:$G$37, 3,FALSE)=VLOOKUP(J$1,test!$A$3:$I$32,3,FALSE)),1,0)</f>
        <v>0</v>
      </c>
      <c r="K152" s="2">
        <f>IF(AND(feasible_mat!J28, VLOOKUP(Recharged_Feasible_matv3!$A152,test!$A$34:$G$37, 3,FALSE)=VLOOKUP(K$1,test!$A$3:$I$32,3,FALSE)),1,0)</f>
        <v>0</v>
      </c>
      <c r="L152" s="2">
        <f>IF(AND(feasible_mat!K28, VLOOKUP(Recharged_Feasible_matv3!$A152,test!$A$34:$G$37, 3,FALSE)=VLOOKUP(L$1,test!$A$3:$I$32,3,FALSE)),1,0)</f>
        <v>0</v>
      </c>
      <c r="M152" s="2">
        <f>IF(AND(feasible_mat!L28, VLOOKUP(Recharged_Feasible_matv3!$A152,test!$A$34:$G$37, 3,FALSE)=VLOOKUP(M$1,test!$A$3:$I$32,3,FALSE)),1,0)</f>
        <v>0</v>
      </c>
      <c r="N152" s="2">
        <f>IF(AND(feasible_mat!M28, VLOOKUP(Recharged_Feasible_matv3!$A152,test!$A$34:$G$37, 3,FALSE)=VLOOKUP(N$1,test!$A$3:$I$32,3,FALSE)),1,0)</f>
        <v>0</v>
      </c>
      <c r="O152" s="2">
        <f>IF(AND(feasible_mat!N28, VLOOKUP(Recharged_Feasible_matv3!$A152,test!$A$34:$G$37, 3,FALSE)=VLOOKUP(O$1,test!$A$3:$I$32,3,FALSE)),1,0)</f>
        <v>0</v>
      </c>
      <c r="P152" s="2">
        <f>IF(AND(feasible_mat!O28, VLOOKUP(Recharged_Feasible_matv3!$A152,test!$A$34:$G$37, 3,FALSE)=VLOOKUP(P$1,test!$A$3:$I$32,3,FALSE)),1,0)</f>
        <v>0</v>
      </c>
      <c r="Q152" s="2">
        <f>IF(AND(feasible_mat!P28, VLOOKUP(Recharged_Feasible_matv3!$A152,test!$A$34:$G$37, 3,FALSE)=VLOOKUP(Q$1,test!$A$3:$I$32,3,FALSE)),1,0)</f>
        <v>0</v>
      </c>
      <c r="R152" s="2">
        <f>IF(AND(feasible_mat!Q28, VLOOKUP(Recharged_Feasible_matv3!$A152,test!$A$34:$G$37, 3,FALSE)=VLOOKUP(R$1,test!$A$3:$I$32,3,FALSE)),1,0)</f>
        <v>0</v>
      </c>
      <c r="S152" s="2">
        <f>IF(AND(feasible_mat!R28, VLOOKUP(Recharged_Feasible_matv3!$A152,test!$A$34:$G$37, 3,FALSE)=VLOOKUP(S$1,test!$A$3:$I$32,3,FALSE)),1,0)</f>
        <v>0</v>
      </c>
      <c r="T152" s="2">
        <f>IF(AND(feasible_mat!S28, VLOOKUP(Recharged_Feasible_matv3!$A152,test!$A$34:$G$37, 3,FALSE)=VLOOKUP(T$1,test!$A$3:$I$32,3,FALSE)),1,0)</f>
        <v>0</v>
      </c>
      <c r="U152" s="2">
        <f>IF(AND(feasible_mat!T28, VLOOKUP(Recharged_Feasible_matv3!$A152,test!$A$34:$G$37, 3,FALSE)=VLOOKUP(U$1,test!$A$3:$I$32,3,FALSE)),1,0)</f>
        <v>0</v>
      </c>
      <c r="V152" s="2">
        <f>IF(AND(feasible_mat!U28, VLOOKUP(Recharged_Feasible_matv3!$A152,test!$A$34:$G$37, 3,FALSE)=VLOOKUP(V$1,test!$A$3:$I$32,3,FALSE)),1,0)</f>
        <v>0</v>
      </c>
      <c r="W152" s="2">
        <f>IF(AND(feasible_mat!V28, VLOOKUP(Recharged_Feasible_matv3!$A152,test!$A$34:$G$37, 3,FALSE)=VLOOKUP(W$1,test!$A$3:$I$32,3,FALSE)),1,0)</f>
        <v>0</v>
      </c>
      <c r="X152" s="2">
        <f>IF(AND(feasible_mat!W28, VLOOKUP(Recharged_Feasible_matv3!$A152,test!$A$34:$G$37, 3,FALSE)=VLOOKUP(X$1,test!$A$3:$I$32,3,FALSE)),1,0)</f>
        <v>0</v>
      </c>
      <c r="Y152" s="2">
        <f>IF(AND(feasible_mat!X28, VLOOKUP(Recharged_Feasible_matv3!$A152,test!$A$34:$G$37, 3,FALSE)=VLOOKUP(Y$1,test!$A$3:$I$32,3,FALSE)),1,0)</f>
        <v>0</v>
      </c>
      <c r="Z152" s="2">
        <f>IF(AND(feasible_mat!Y28, VLOOKUP(Recharged_Feasible_matv3!$A152,test!$A$34:$G$37, 3,FALSE)=VLOOKUP(Z$1,test!$A$3:$I$32,3,FALSE)),1,0)</f>
        <v>0</v>
      </c>
      <c r="AA152" s="2">
        <f>IF(AND(feasible_mat!Z28, VLOOKUP(Recharged_Feasible_matv3!$A152,test!$A$34:$G$37, 3,FALSE)=VLOOKUP(AA$1,test!$A$3:$I$32,3,FALSE)),1,0)</f>
        <v>0</v>
      </c>
      <c r="AB152" s="2">
        <f>IF(AND(feasible_mat!AA28, VLOOKUP(Recharged_Feasible_matv3!$A152,test!$A$34:$G$37, 3,FALSE)=VLOOKUP(AB$1,test!$A$3:$I$32,3,FALSE)),1,0)</f>
        <v>0</v>
      </c>
      <c r="AC152" s="2">
        <f>IF(AND(feasible_mat!AB28, VLOOKUP(Recharged_Feasible_matv3!$A152,test!$A$34:$G$37, 3,FALSE)=VLOOKUP(AC$1,test!$A$3:$I$32,3,FALSE)),1,0)</f>
        <v>0</v>
      </c>
      <c r="AD152" s="2">
        <f>IF(AND(feasible_mat!AC28, VLOOKUP(Recharged_Feasible_matv3!$A152,test!$A$34:$G$37, 3,FALSE)=VLOOKUP(AD$1,test!$A$3:$I$32,3,FALSE)),1,0)</f>
        <v>0</v>
      </c>
      <c r="AE152" s="2">
        <f>IF(AND(feasible_mat!AD28, VLOOKUP(Recharged_Feasible_matv3!$A152,test!$A$34:$G$37, 3,FALSE)=VLOOKUP(AE$1,test!$A$3:$I$32,3,FALSE)),1,0)</f>
        <v>0</v>
      </c>
      <c r="AF152" s="2">
        <f>IF(AND(feasible_mat!AE28, VLOOKUP(Recharged_Feasible_matv3!$A152,test!$A$34:$G$37, 3,FALSE)=VLOOKUP(AF$1,test!$A$3:$I$32,3,FALSE)),1,0)</f>
        <v>0</v>
      </c>
      <c r="AG152" s="2">
        <f>IF(AND(feasible_mat!AF28, VLOOKUP(Recharged_Feasible_matv3!$A152,test!$A$34:$G$37, 3,FALSE)=VLOOKUP(AG$1,test!$A$3:$I$32,3,FALSE)),1,0)</f>
        <v>0</v>
      </c>
    </row>
    <row r="153" spans="1:33" x14ac:dyDescent="0.25">
      <c r="A153" t="s">
        <v>99</v>
      </c>
      <c r="B153" t="s">
        <v>38</v>
      </c>
      <c r="C153">
        <v>0</v>
      </c>
      <c r="D153" s="2">
        <f>IF(AND(feasible_mat!C29, VLOOKUP(Recharged_Feasible_matv3!$A153,test!$A$34:$G$37, 3,FALSE)=VLOOKUP(D$1,test!$A$3:$I$32,3,FALSE)),1,0)</f>
        <v>0</v>
      </c>
      <c r="E153" s="2">
        <f>IF(AND(feasible_mat!D29, VLOOKUP(Recharged_Feasible_matv3!$A153,test!$A$34:$G$37, 3,FALSE)=VLOOKUP(E$1,test!$A$3:$I$32,3,FALSE)),1,0)</f>
        <v>0</v>
      </c>
      <c r="F153" s="2">
        <f>IF(AND(feasible_mat!E29, VLOOKUP(Recharged_Feasible_matv3!$A153,test!$A$34:$G$37, 3,FALSE)=VLOOKUP(F$1,test!$A$3:$I$32,3,FALSE)),1,0)</f>
        <v>0</v>
      </c>
      <c r="G153" s="2">
        <f>IF(AND(feasible_mat!F29, VLOOKUP(Recharged_Feasible_matv3!$A153,test!$A$34:$G$37, 3,FALSE)=VLOOKUP(G$1,test!$A$3:$I$32,3,FALSE)),1,0)</f>
        <v>0</v>
      </c>
      <c r="H153" s="2">
        <f>IF(AND(feasible_mat!G29, VLOOKUP(Recharged_Feasible_matv3!$A153,test!$A$34:$G$37, 3,FALSE)=VLOOKUP(H$1,test!$A$3:$I$32,3,FALSE)),1,0)</f>
        <v>0</v>
      </c>
      <c r="I153" s="2">
        <f>IF(AND(feasible_mat!H29, VLOOKUP(Recharged_Feasible_matv3!$A153,test!$A$34:$G$37, 3,FALSE)=VLOOKUP(I$1,test!$A$3:$I$32,3,FALSE)),1,0)</f>
        <v>0</v>
      </c>
      <c r="J153" s="2">
        <f>IF(AND(feasible_mat!I29, VLOOKUP(Recharged_Feasible_matv3!$A153,test!$A$34:$G$37, 3,FALSE)=VLOOKUP(J$1,test!$A$3:$I$32,3,FALSE)),1,0)</f>
        <v>0</v>
      </c>
      <c r="K153" s="2">
        <f>IF(AND(feasible_mat!J29, VLOOKUP(Recharged_Feasible_matv3!$A153,test!$A$34:$G$37, 3,FALSE)=VLOOKUP(K$1,test!$A$3:$I$32,3,FALSE)),1,0)</f>
        <v>0</v>
      </c>
      <c r="L153" s="2">
        <f>IF(AND(feasible_mat!K29, VLOOKUP(Recharged_Feasible_matv3!$A153,test!$A$34:$G$37, 3,FALSE)=VLOOKUP(L$1,test!$A$3:$I$32,3,FALSE)),1,0)</f>
        <v>0</v>
      </c>
      <c r="M153" s="2">
        <f>IF(AND(feasible_mat!L29, VLOOKUP(Recharged_Feasible_matv3!$A153,test!$A$34:$G$37, 3,FALSE)=VLOOKUP(M$1,test!$A$3:$I$32,3,FALSE)),1,0)</f>
        <v>0</v>
      </c>
      <c r="N153" s="2">
        <f>IF(AND(feasible_mat!M29, VLOOKUP(Recharged_Feasible_matv3!$A153,test!$A$34:$G$37, 3,FALSE)=VLOOKUP(N$1,test!$A$3:$I$32,3,FALSE)),1,0)</f>
        <v>0</v>
      </c>
      <c r="O153" s="2">
        <f>IF(AND(feasible_mat!N29, VLOOKUP(Recharged_Feasible_matv3!$A153,test!$A$34:$G$37, 3,FALSE)=VLOOKUP(O$1,test!$A$3:$I$32,3,FALSE)),1,0)</f>
        <v>0</v>
      </c>
      <c r="P153" s="2">
        <f>IF(AND(feasible_mat!O29, VLOOKUP(Recharged_Feasible_matv3!$A153,test!$A$34:$G$37, 3,FALSE)=VLOOKUP(P$1,test!$A$3:$I$32,3,FALSE)),1,0)</f>
        <v>0</v>
      </c>
      <c r="Q153" s="2">
        <f>IF(AND(feasible_mat!P29, VLOOKUP(Recharged_Feasible_matv3!$A153,test!$A$34:$G$37, 3,FALSE)=VLOOKUP(Q$1,test!$A$3:$I$32,3,FALSE)),1,0)</f>
        <v>0</v>
      </c>
      <c r="R153" s="2">
        <f>IF(AND(feasible_mat!Q29, VLOOKUP(Recharged_Feasible_matv3!$A153,test!$A$34:$G$37, 3,FALSE)=VLOOKUP(R$1,test!$A$3:$I$32,3,FALSE)),1,0)</f>
        <v>0</v>
      </c>
      <c r="S153" s="2">
        <f>IF(AND(feasible_mat!R29, VLOOKUP(Recharged_Feasible_matv3!$A153,test!$A$34:$G$37, 3,FALSE)=VLOOKUP(S$1,test!$A$3:$I$32,3,FALSE)),1,0)</f>
        <v>0</v>
      </c>
      <c r="T153" s="2">
        <f>IF(AND(feasible_mat!S29, VLOOKUP(Recharged_Feasible_matv3!$A153,test!$A$34:$G$37, 3,FALSE)=VLOOKUP(T$1,test!$A$3:$I$32,3,FALSE)),1,0)</f>
        <v>0</v>
      </c>
      <c r="U153" s="2">
        <f>IF(AND(feasible_mat!T29, VLOOKUP(Recharged_Feasible_matv3!$A153,test!$A$34:$G$37, 3,FALSE)=VLOOKUP(U$1,test!$A$3:$I$32,3,FALSE)),1,0)</f>
        <v>0</v>
      </c>
      <c r="V153" s="2">
        <f>IF(AND(feasible_mat!U29, VLOOKUP(Recharged_Feasible_matv3!$A153,test!$A$34:$G$37, 3,FALSE)=VLOOKUP(V$1,test!$A$3:$I$32,3,FALSE)),1,0)</f>
        <v>0</v>
      </c>
      <c r="W153" s="2">
        <f>IF(AND(feasible_mat!V29, VLOOKUP(Recharged_Feasible_matv3!$A153,test!$A$34:$G$37, 3,FALSE)=VLOOKUP(W$1,test!$A$3:$I$32,3,FALSE)),1,0)</f>
        <v>0</v>
      </c>
      <c r="X153" s="2">
        <f>IF(AND(feasible_mat!W29, VLOOKUP(Recharged_Feasible_matv3!$A153,test!$A$34:$G$37, 3,FALSE)=VLOOKUP(X$1,test!$A$3:$I$32,3,FALSE)),1,0)</f>
        <v>0</v>
      </c>
      <c r="Y153" s="2">
        <f>IF(AND(feasible_mat!X29, VLOOKUP(Recharged_Feasible_matv3!$A153,test!$A$34:$G$37, 3,FALSE)=VLOOKUP(Y$1,test!$A$3:$I$32,3,FALSE)),1,0)</f>
        <v>0</v>
      </c>
      <c r="Z153" s="2">
        <f>IF(AND(feasible_mat!Y29, VLOOKUP(Recharged_Feasible_matv3!$A153,test!$A$34:$G$37, 3,FALSE)=VLOOKUP(Z$1,test!$A$3:$I$32,3,FALSE)),1,0)</f>
        <v>0</v>
      </c>
      <c r="AA153" s="2">
        <f>IF(AND(feasible_mat!Z29, VLOOKUP(Recharged_Feasible_matv3!$A153,test!$A$34:$G$37, 3,FALSE)=VLOOKUP(AA$1,test!$A$3:$I$32,3,FALSE)),1,0)</f>
        <v>0</v>
      </c>
      <c r="AB153" s="2">
        <f>IF(AND(feasible_mat!AA29, VLOOKUP(Recharged_Feasible_matv3!$A153,test!$A$34:$G$37, 3,FALSE)=VLOOKUP(AB$1,test!$A$3:$I$32,3,FALSE)),1,0)</f>
        <v>0</v>
      </c>
      <c r="AC153" s="2">
        <f>IF(AND(feasible_mat!AB29, VLOOKUP(Recharged_Feasible_matv3!$A153,test!$A$34:$G$37, 3,FALSE)=VLOOKUP(AC$1,test!$A$3:$I$32,3,FALSE)),1,0)</f>
        <v>0</v>
      </c>
      <c r="AD153" s="2">
        <f>IF(AND(feasible_mat!AC29, VLOOKUP(Recharged_Feasible_matv3!$A153,test!$A$34:$G$37, 3,FALSE)=VLOOKUP(AD$1,test!$A$3:$I$32,3,FALSE)),1,0)</f>
        <v>0</v>
      </c>
      <c r="AE153" s="2">
        <f>IF(AND(feasible_mat!AD29, VLOOKUP(Recharged_Feasible_matv3!$A153,test!$A$34:$G$37, 3,FALSE)=VLOOKUP(AE$1,test!$A$3:$I$32,3,FALSE)),1,0)</f>
        <v>0</v>
      </c>
      <c r="AF153" s="2">
        <f>IF(AND(feasible_mat!AE29, VLOOKUP(Recharged_Feasible_matv3!$A153,test!$A$34:$G$37, 3,FALSE)=VLOOKUP(AF$1,test!$A$3:$I$32,3,FALSE)),1,0)</f>
        <v>0</v>
      </c>
      <c r="AG153" s="2">
        <f>IF(AND(feasible_mat!AF29, VLOOKUP(Recharged_Feasible_matv3!$A153,test!$A$34:$G$37, 3,FALSE)=VLOOKUP(AG$1,test!$A$3:$I$32,3,FALSE)),1,0)</f>
        <v>0</v>
      </c>
    </row>
    <row r="154" spans="1:33" x14ac:dyDescent="0.25">
      <c r="A154" t="s">
        <v>99</v>
      </c>
      <c r="B154" t="s">
        <v>39</v>
      </c>
      <c r="C154">
        <v>0</v>
      </c>
      <c r="D154" s="2">
        <f>IF(AND(feasible_mat!C30, VLOOKUP(Recharged_Feasible_matv3!$A154,test!$A$34:$G$37, 3,FALSE)=VLOOKUP(D$1,test!$A$3:$I$32,3,FALSE)),1,0)</f>
        <v>0</v>
      </c>
      <c r="E154" s="2">
        <f>IF(AND(feasible_mat!D30, VLOOKUP(Recharged_Feasible_matv3!$A154,test!$A$34:$G$37, 3,FALSE)=VLOOKUP(E$1,test!$A$3:$I$32,3,FALSE)),1,0)</f>
        <v>0</v>
      </c>
      <c r="F154" s="2">
        <f>IF(AND(feasible_mat!E30, VLOOKUP(Recharged_Feasible_matv3!$A154,test!$A$34:$G$37, 3,FALSE)=VLOOKUP(F$1,test!$A$3:$I$32,3,FALSE)),1,0)</f>
        <v>0</v>
      </c>
      <c r="G154" s="2">
        <f>IF(AND(feasible_mat!F30, VLOOKUP(Recharged_Feasible_matv3!$A154,test!$A$34:$G$37, 3,FALSE)=VLOOKUP(G$1,test!$A$3:$I$32,3,FALSE)),1,0)</f>
        <v>0</v>
      </c>
      <c r="H154" s="2">
        <f>IF(AND(feasible_mat!G30, VLOOKUP(Recharged_Feasible_matv3!$A154,test!$A$34:$G$37, 3,FALSE)=VLOOKUP(H$1,test!$A$3:$I$32,3,FALSE)),1,0)</f>
        <v>0</v>
      </c>
      <c r="I154" s="2">
        <f>IF(AND(feasible_mat!H30, VLOOKUP(Recharged_Feasible_matv3!$A154,test!$A$34:$G$37, 3,FALSE)=VLOOKUP(I$1,test!$A$3:$I$32,3,FALSE)),1,0)</f>
        <v>0</v>
      </c>
      <c r="J154" s="2">
        <f>IF(AND(feasible_mat!I30, VLOOKUP(Recharged_Feasible_matv3!$A154,test!$A$34:$G$37, 3,FALSE)=VLOOKUP(J$1,test!$A$3:$I$32,3,FALSE)),1,0)</f>
        <v>0</v>
      </c>
      <c r="K154" s="2">
        <f>IF(AND(feasible_mat!J30, VLOOKUP(Recharged_Feasible_matv3!$A154,test!$A$34:$G$37, 3,FALSE)=VLOOKUP(K$1,test!$A$3:$I$32,3,FALSE)),1,0)</f>
        <v>0</v>
      </c>
      <c r="L154" s="2">
        <f>IF(AND(feasible_mat!K30, VLOOKUP(Recharged_Feasible_matv3!$A154,test!$A$34:$G$37, 3,FALSE)=VLOOKUP(L$1,test!$A$3:$I$32,3,FALSE)),1,0)</f>
        <v>0</v>
      </c>
      <c r="M154" s="2">
        <f>IF(AND(feasible_mat!L30, VLOOKUP(Recharged_Feasible_matv3!$A154,test!$A$34:$G$37, 3,FALSE)=VLOOKUP(M$1,test!$A$3:$I$32,3,FALSE)),1,0)</f>
        <v>0</v>
      </c>
      <c r="N154" s="2">
        <f>IF(AND(feasible_mat!M30, VLOOKUP(Recharged_Feasible_matv3!$A154,test!$A$34:$G$37, 3,FALSE)=VLOOKUP(N$1,test!$A$3:$I$32,3,FALSE)),1,0)</f>
        <v>0</v>
      </c>
      <c r="O154" s="2">
        <f>IF(AND(feasible_mat!N30, VLOOKUP(Recharged_Feasible_matv3!$A154,test!$A$34:$G$37, 3,FALSE)=VLOOKUP(O$1,test!$A$3:$I$32,3,FALSE)),1,0)</f>
        <v>0</v>
      </c>
      <c r="P154" s="2">
        <f>IF(AND(feasible_mat!O30, VLOOKUP(Recharged_Feasible_matv3!$A154,test!$A$34:$G$37, 3,FALSE)=VLOOKUP(P$1,test!$A$3:$I$32,3,FALSE)),1,0)</f>
        <v>0</v>
      </c>
      <c r="Q154" s="2">
        <f>IF(AND(feasible_mat!P30, VLOOKUP(Recharged_Feasible_matv3!$A154,test!$A$34:$G$37, 3,FALSE)=VLOOKUP(Q$1,test!$A$3:$I$32,3,FALSE)),1,0)</f>
        <v>0</v>
      </c>
      <c r="R154" s="2">
        <f>IF(AND(feasible_mat!Q30, VLOOKUP(Recharged_Feasible_matv3!$A154,test!$A$34:$G$37, 3,FALSE)=VLOOKUP(R$1,test!$A$3:$I$32,3,FALSE)),1,0)</f>
        <v>0</v>
      </c>
      <c r="S154" s="2">
        <f>IF(AND(feasible_mat!R30, VLOOKUP(Recharged_Feasible_matv3!$A154,test!$A$34:$G$37, 3,FALSE)=VLOOKUP(S$1,test!$A$3:$I$32,3,FALSE)),1,0)</f>
        <v>0</v>
      </c>
      <c r="T154" s="2">
        <f>IF(AND(feasible_mat!S30, VLOOKUP(Recharged_Feasible_matv3!$A154,test!$A$34:$G$37, 3,FALSE)=VLOOKUP(T$1,test!$A$3:$I$32,3,FALSE)),1,0)</f>
        <v>0</v>
      </c>
      <c r="U154" s="2">
        <f>IF(AND(feasible_mat!T30, VLOOKUP(Recharged_Feasible_matv3!$A154,test!$A$34:$G$37, 3,FALSE)=VLOOKUP(U$1,test!$A$3:$I$32,3,FALSE)),1,0)</f>
        <v>0</v>
      </c>
      <c r="V154" s="2">
        <f>IF(AND(feasible_mat!U30, VLOOKUP(Recharged_Feasible_matv3!$A154,test!$A$34:$G$37, 3,FALSE)=VLOOKUP(V$1,test!$A$3:$I$32,3,FALSE)),1,0)</f>
        <v>0</v>
      </c>
      <c r="W154" s="2">
        <f>IF(AND(feasible_mat!V30, VLOOKUP(Recharged_Feasible_matv3!$A154,test!$A$34:$G$37, 3,FALSE)=VLOOKUP(W$1,test!$A$3:$I$32,3,FALSE)),1,0)</f>
        <v>0</v>
      </c>
      <c r="X154" s="2">
        <f>IF(AND(feasible_mat!W30, VLOOKUP(Recharged_Feasible_matv3!$A154,test!$A$34:$G$37, 3,FALSE)=VLOOKUP(X$1,test!$A$3:$I$32,3,FALSE)),1,0)</f>
        <v>0</v>
      </c>
      <c r="Y154" s="2">
        <f>IF(AND(feasible_mat!X30, VLOOKUP(Recharged_Feasible_matv3!$A154,test!$A$34:$G$37, 3,FALSE)=VLOOKUP(Y$1,test!$A$3:$I$32,3,FALSE)),1,0)</f>
        <v>0</v>
      </c>
      <c r="Z154" s="2">
        <f>IF(AND(feasible_mat!Y30, VLOOKUP(Recharged_Feasible_matv3!$A154,test!$A$34:$G$37, 3,FALSE)=VLOOKUP(Z$1,test!$A$3:$I$32,3,FALSE)),1,0)</f>
        <v>0</v>
      </c>
      <c r="AA154" s="2">
        <f>IF(AND(feasible_mat!Z30, VLOOKUP(Recharged_Feasible_matv3!$A154,test!$A$34:$G$37, 3,FALSE)=VLOOKUP(AA$1,test!$A$3:$I$32,3,FALSE)),1,0)</f>
        <v>0</v>
      </c>
      <c r="AB154" s="2">
        <f>IF(AND(feasible_mat!AA30, VLOOKUP(Recharged_Feasible_matv3!$A154,test!$A$34:$G$37, 3,FALSE)=VLOOKUP(AB$1,test!$A$3:$I$32,3,FALSE)),1,0)</f>
        <v>0</v>
      </c>
      <c r="AC154" s="2">
        <f>IF(AND(feasible_mat!AB30, VLOOKUP(Recharged_Feasible_matv3!$A154,test!$A$34:$G$37, 3,FALSE)=VLOOKUP(AC$1,test!$A$3:$I$32,3,FALSE)),1,0)</f>
        <v>0</v>
      </c>
      <c r="AD154" s="2">
        <f>IF(AND(feasible_mat!AC30, VLOOKUP(Recharged_Feasible_matv3!$A154,test!$A$34:$G$37, 3,FALSE)=VLOOKUP(AD$1,test!$A$3:$I$32,3,FALSE)),1,0)</f>
        <v>0</v>
      </c>
      <c r="AE154" s="2">
        <f>IF(AND(feasible_mat!AD30, VLOOKUP(Recharged_Feasible_matv3!$A154,test!$A$34:$G$37, 3,FALSE)=VLOOKUP(AE$1,test!$A$3:$I$32,3,FALSE)),1,0)</f>
        <v>0</v>
      </c>
      <c r="AF154" s="2">
        <f>IF(AND(feasible_mat!AE30, VLOOKUP(Recharged_Feasible_matv3!$A154,test!$A$34:$G$37, 3,FALSE)=VLOOKUP(AF$1,test!$A$3:$I$32,3,FALSE)),1,0)</f>
        <v>1</v>
      </c>
      <c r="AG154" s="2">
        <f>IF(AND(feasible_mat!AF30, VLOOKUP(Recharged_Feasible_matv3!$A154,test!$A$34:$G$37, 3,FALSE)=VLOOKUP(AG$1,test!$A$3:$I$32,3,FALSE)),1,0)</f>
        <v>1</v>
      </c>
    </row>
    <row r="155" spans="1:33" x14ac:dyDescent="0.25">
      <c r="A155" t="s">
        <v>99</v>
      </c>
      <c r="B155" t="s">
        <v>40</v>
      </c>
      <c r="C155">
        <v>0</v>
      </c>
      <c r="D155" s="2">
        <f>IF(AND(feasible_mat!C31, VLOOKUP(Recharged_Feasible_matv3!$A155,test!$A$34:$G$37, 3,FALSE)=VLOOKUP(D$1,test!$A$3:$I$32,3,FALSE)),1,0)</f>
        <v>0</v>
      </c>
      <c r="E155" s="2">
        <f>IF(AND(feasible_mat!D31, VLOOKUP(Recharged_Feasible_matv3!$A155,test!$A$34:$G$37, 3,FALSE)=VLOOKUP(E$1,test!$A$3:$I$32,3,FALSE)),1,0)</f>
        <v>0</v>
      </c>
      <c r="F155" s="2">
        <f>IF(AND(feasible_mat!E31, VLOOKUP(Recharged_Feasible_matv3!$A155,test!$A$34:$G$37, 3,FALSE)=VLOOKUP(F$1,test!$A$3:$I$32,3,FALSE)),1,0)</f>
        <v>0</v>
      </c>
      <c r="G155" s="2">
        <f>IF(AND(feasible_mat!F31, VLOOKUP(Recharged_Feasible_matv3!$A155,test!$A$34:$G$37, 3,FALSE)=VLOOKUP(G$1,test!$A$3:$I$32,3,FALSE)),1,0)</f>
        <v>0</v>
      </c>
      <c r="H155" s="2">
        <f>IF(AND(feasible_mat!G31, VLOOKUP(Recharged_Feasible_matv3!$A155,test!$A$34:$G$37, 3,FALSE)=VLOOKUP(H$1,test!$A$3:$I$32,3,FALSE)),1,0)</f>
        <v>0</v>
      </c>
      <c r="I155" s="2">
        <f>IF(AND(feasible_mat!H31, VLOOKUP(Recharged_Feasible_matv3!$A155,test!$A$34:$G$37, 3,FALSE)=VLOOKUP(I$1,test!$A$3:$I$32,3,FALSE)),1,0)</f>
        <v>0</v>
      </c>
      <c r="J155" s="2">
        <f>IF(AND(feasible_mat!I31, VLOOKUP(Recharged_Feasible_matv3!$A155,test!$A$34:$G$37, 3,FALSE)=VLOOKUP(J$1,test!$A$3:$I$32,3,FALSE)),1,0)</f>
        <v>0</v>
      </c>
      <c r="K155" s="2">
        <f>IF(AND(feasible_mat!J31, VLOOKUP(Recharged_Feasible_matv3!$A155,test!$A$34:$G$37, 3,FALSE)=VLOOKUP(K$1,test!$A$3:$I$32,3,FALSE)),1,0)</f>
        <v>0</v>
      </c>
      <c r="L155" s="2">
        <f>IF(AND(feasible_mat!K31, VLOOKUP(Recharged_Feasible_matv3!$A155,test!$A$34:$G$37, 3,FALSE)=VLOOKUP(L$1,test!$A$3:$I$32,3,FALSE)),1,0)</f>
        <v>0</v>
      </c>
      <c r="M155" s="2">
        <f>IF(AND(feasible_mat!L31, VLOOKUP(Recharged_Feasible_matv3!$A155,test!$A$34:$G$37, 3,FALSE)=VLOOKUP(M$1,test!$A$3:$I$32,3,FALSE)),1,0)</f>
        <v>0</v>
      </c>
      <c r="N155" s="2">
        <f>IF(AND(feasible_mat!M31, VLOOKUP(Recharged_Feasible_matv3!$A155,test!$A$34:$G$37, 3,FALSE)=VLOOKUP(N$1,test!$A$3:$I$32,3,FALSE)),1,0)</f>
        <v>0</v>
      </c>
      <c r="O155" s="2">
        <f>IF(AND(feasible_mat!N31, VLOOKUP(Recharged_Feasible_matv3!$A155,test!$A$34:$G$37, 3,FALSE)=VLOOKUP(O$1,test!$A$3:$I$32,3,FALSE)),1,0)</f>
        <v>0</v>
      </c>
      <c r="P155" s="2">
        <f>IF(AND(feasible_mat!O31, VLOOKUP(Recharged_Feasible_matv3!$A155,test!$A$34:$G$37, 3,FALSE)=VLOOKUP(P$1,test!$A$3:$I$32,3,FALSE)),1,0)</f>
        <v>0</v>
      </c>
      <c r="Q155" s="2">
        <f>IF(AND(feasible_mat!P31, VLOOKUP(Recharged_Feasible_matv3!$A155,test!$A$34:$G$37, 3,FALSE)=VLOOKUP(Q$1,test!$A$3:$I$32,3,FALSE)),1,0)</f>
        <v>0</v>
      </c>
      <c r="R155" s="2">
        <f>IF(AND(feasible_mat!Q31, VLOOKUP(Recharged_Feasible_matv3!$A155,test!$A$34:$G$37, 3,FALSE)=VLOOKUP(R$1,test!$A$3:$I$32,3,FALSE)),1,0)</f>
        <v>0</v>
      </c>
      <c r="S155" s="2">
        <f>IF(AND(feasible_mat!R31, VLOOKUP(Recharged_Feasible_matv3!$A155,test!$A$34:$G$37, 3,FALSE)=VLOOKUP(S$1,test!$A$3:$I$32,3,FALSE)),1,0)</f>
        <v>0</v>
      </c>
      <c r="T155" s="2">
        <f>IF(AND(feasible_mat!S31, VLOOKUP(Recharged_Feasible_matv3!$A155,test!$A$34:$G$37, 3,FALSE)=VLOOKUP(T$1,test!$A$3:$I$32,3,FALSE)),1,0)</f>
        <v>0</v>
      </c>
      <c r="U155" s="2">
        <f>IF(AND(feasible_mat!T31, VLOOKUP(Recharged_Feasible_matv3!$A155,test!$A$34:$G$37, 3,FALSE)=VLOOKUP(U$1,test!$A$3:$I$32,3,FALSE)),1,0)</f>
        <v>0</v>
      </c>
      <c r="V155" s="2">
        <f>IF(AND(feasible_mat!U31, VLOOKUP(Recharged_Feasible_matv3!$A155,test!$A$34:$G$37, 3,FALSE)=VLOOKUP(V$1,test!$A$3:$I$32,3,FALSE)),1,0)</f>
        <v>0</v>
      </c>
      <c r="W155" s="2">
        <f>IF(AND(feasible_mat!V31, VLOOKUP(Recharged_Feasible_matv3!$A155,test!$A$34:$G$37, 3,FALSE)=VLOOKUP(W$1,test!$A$3:$I$32,3,FALSE)),1,0)</f>
        <v>0</v>
      </c>
      <c r="X155" s="2">
        <f>IF(AND(feasible_mat!W31, VLOOKUP(Recharged_Feasible_matv3!$A155,test!$A$34:$G$37, 3,FALSE)=VLOOKUP(X$1,test!$A$3:$I$32,3,FALSE)),1,0)</f>
        <v>0</v>
      </c>
      <c r="Y155" s="2">
        <f>IF(AND(feasible_mat!X31, VLOOKUP(Recharged_Feasible_matv3!$A155,test!$A$34:$G$37, 3,FALSE)=VLOOKUP(Y$1,test!$A$3:$I$32,3,FALSE)),1,0)</f>
        <v>0</v>
      </c>
      <c r="Z155" s="2">
        <f>IF(AND(feasible_mat!Y31, VLOOKUP(Recharged_Feasible_matv3!$A155,test!$A$34:$G$37, 3,FALSE)=VLOOKUP(Z$1,test!$A$3:$I$32,3,FALSE)),1,0)</f>
        <v>0</v>
      </c>
      <c r="AA155" s="2">
        <f>IF(AND(feasible_mat!Z31, VLOOKUP(Recharged_Feasible_matv3!$A155,test!$A$34:$G$37, 3,FALSE)=VLOOKUP(AA$1,test!$A$3:$I$32,3,FALSE)),1,0)</f>
        <v>0</v>
      </c>
      <c r="AB155" s="2">
        <f>IF(AND(feasible_mat!AA31, VLOOKUP(Recharged_Feasible_matv3!$A155,test!$A$34:$G$37, 3,FALSE)=VLOOKUP(AB$1,test!$A$3:$I$32,3,FALSE)),1,0)</f>
        <v>0</v>
      </c>
      <c r="AC155" s="2">
        <f>IF(AND(feasible_mat!AB31, VLOOKUP(Recharged_Feasible_matv3!$A155,test!$A$34:$G$37, 3,FALSE)=VLOOKUP(AC$1,test!$A$3:$I$32,3,FALSE)),1,0)</f>
        <v>0</v>
      </c>
      <c r="AD155" s="2">
        <f>IF(AND(feasible_mat!AC31, VLOOKUP(Recharged_Feasible_matv3!$A155,test!$A$34:$G$37, 3,FALSE)=VLOOKUP(AD$1,test!$A$3:$I$32,3,FALSE)),1,0)</f>
        <v>0</v>
      </c>
      <c r="AE155" s="2">
        <f>IF(AND(feasible_mat!AD31, VLOOKUP(Recharged_Feasible_matv3!$A155,test!$A$34:$G$37, 3,FALSE)=VLOOKUP(AE$1,test!$A$3:$I$32,3,FALSE)),1,0)</f>
        <v>0</v>
      </c>
      <c r="AF155" s="2">
        <f>IF(AND(feasible_mat!AE31, VLOOKUP(Recharged_Feasible_matv3!$A155,test!$A$34:$G$37, 3,FALSE)=VLOOKUP(AF$1,test!$A$3:$I$32,3,FALSE)),1,0)</f>
        <v>0</v>
      </c>
      <c r="AG155" s="2">
        <f>IF(AND(feasible_mat!AF31, VLOOKUP(Recharged_Feasible_matv3!$A155,test!$A$34:$G$37, 3,FALSE)=VLOOKUP(AG$1,test!$A$3:$I$32,3,FALSE)),1,0)</f>
        <v>0</v>
      </c>
    </row>
    <row r="156" spans="1:33" x14ac:dyDescent="0.25">
      <c r="A156" t="s">
        <v>99</v>
      </c>
      <c r="B156" t="s">
        <v>41</v>
      </c>
      <c r="C156">
        <v>0</v>
      </c>
      <c r="D156" s="2">
        <f>IF(AND(feasible_mat!C32, VLOOKUP(Recharged_Feasible_matv3!$A156,test!$A$34:$G$37, 3,FALSE)=VLOOKUP(D$1,test!$A$3:$I$32,3,FALSE)),1,0)</f>
        <v>0</v>
      </c>
      <c r="E156" s="2">
        <f>IF(AND(feasible_mat!D32, VLOOKUP(Recharged_Feasible_matv3!$A156,test!$A$34:$G$37, 3,FALSE)=VLOOKUP(E$1,test!$A$3:$I$32,3,FALSE)),1,0)</f>
        <v>0</v>
      </c>
      <c r="F156" s="2">
        <f>IF(AND(feasible_mat!E32, VLOOKUP(Recharged_Feasible_matv3!$A156,test!$A$34:$G$37, 3,FALSE)=VLOOKUP(F$1,test!$A$3:$I$32,3,FALSE)),1,0)</f>
        <v>0</v>
      </c>
      <c r="G156" s="2">
        <f>IF(AND(feasible_mat!F32, VLOOKUP(Recharged_Feasible_matv3!$A156,test!$A$34:$G$37, 3,FALSE)=VLOOKUP(G$1,test!$A$3:$I$32,3,FALSE)),1,0)</f>
        <v>0</v>
      </c>
      <c r="H156" s="2">
        <f>IF(AND(feasible_mat!G32, VLOOKUP(Recharged_Feasible_matv3!$A156,test!$A$34:$G$37, 3,FALSE)=VLOOKUP(H$1,test!$A$3:$I$32,3,FALSE)),1,0)</f>
        <v>0</v>
      </c>
      <c r="I156" s="2">
        <f>IF(AND(feasible_mat!H32, VLOOKUP(Recharged_Feasible_matv3!$A156,test!$A$34:$G$37, 3,FALSE)=VLOOKUP(I$1,test!$A$3:$I$32,3,FALSE)),1,0)</f>
        <v>0</v>
      </c>
      <c r="J156" s="2">
        <f>IF(AND(feasible_mat!I32, VLOOKUP(Recharged_Feasible_matv3!$A156,test!$A$34:$G$37, 3,FALSE)=VLOOKUP(J$1,test!$A$3:$I$32,3,FALSE)),1,0)</f>
        <v>0</v>
      </c>
      <c r="K156" s="2">
        <f>IF(AND(feasible_mat!J32, VLOOKUP(Recharged_Feasible_matv3!$A156,test!$A$34:$G$37, 3,FALSE)=VLOOKUP(K$1,test!$A$3:$I$32,3,FALSE)),1,0)</f>
        <v>0</v>
      </c>
      <c r="L156" s="2">
        <f>IF(AND(feasible_mat!K32, VLOOKUP(Recharged_Feasible_matv3!$A156,test!$A$34:$G$37, 3,FALSE)=VLOOKUP(L$1,test!$A$3:$I$32,3,FALSE)),1,0)</f>
        <v>0</v>
      </c>
      <c r="M156" s="2">
        <f>IF(AND(feasible_mat!L32, VLOOKUP(Recharged_Feasible_matv3!$A156,test!$A$34:$G$37, 3,FALSE)=VLOOKUP(M$1,test!$A$3:$I$32,3,FALSE)),1,0)</f>
        <v>0</v>
      </c>
      <c r="N156" s="2">
        <f>IF(AND(feasible_mat!M32, VLOOKUP(Recharged_Feasible_matv3!$A156,test!$A$34:$G$37, 3,FALSE)=VLOOKUP(N$1,test!$A$3:$I$32,3,FALSE)),1,0)</f>
        <v>0</v>
      </c>
      <c r="O156" s="2">
        <f>IF(AND(feasible_mat!N32, VLOOKUP(Recharged_Feasible_matv3!$A156,test!$A$34:$G$37, 3,FALSE)=VLOOKUP(O$1,test!$A$3:$I$32,3,FALSE)),1,0)</f>
        <v>0</v>
      </c>
      <c r="P156" s="2">
        <f>IF(AND(feasible_mat!O32, VLOOKUP(Recharged_Feasible_matv3!$A156,test!$A$34:$G$37, 3,FALSE)=VLOOKUP(P$1,test!$A$3:$I$32,3,FALSE)),1,0)</f>
        <v>0</v>
      </c>
      <c r="Q156" s="2">
        <f>IF(AND(feasible_mat!P32, VLOOKUP(Recharged_Feasible_matv3!$A156,test!$A$34:$G$37, 3,FALSE)=VLOOKUP(Q$1,test!$A$3:$I$32,3,FALSE)),1,0)</f>
        <v>0</v>
      </c>
      <c r="R156" s="2">
        <f>IF(AND(feasible_mat!Q32, VLOOKUP(Recharged_Feasible_matv3!$A156,test!$A$34:$G$37, 3,FALSE)=VLOOKUP(R$1,test!$A$3:$I$32,3,FALSE)),1,0)</f>
        <v>0</v>
      </c>
      <c r="S156" s="2">
        <f>IF(AND(feasible_mat!R32, VLOOKUP(Recharged_Feasible_matv3!$A156,test!$A$34:$G$37, 3,FALSE)=VLOOKUP(S$1,test!$A$3:$I$32,3,FALSE)),1,0)</f>
        <v>0</v>
      </c>
      <c r="T156" s="2">
        <f>IF(AND(feasible_mat!S32, VLOOKUP(Recharged_Feasible_matv3!$A156,test!$A$34:$G$37, 3,FALSE)=VLOOKUP(T$1,test!$A$3:$I$32,3,FALSE)),1,0)</f>
        <v>0</v>
      </c>
      <c r="U156" s="2">
        <f>IF(AND(feasible_mat!T32, VLOOKUP(Recharged_Feasible_matv3!$A156,test!$A$34:$G$37, 3,FALSE)=VLOOKUP(U$1,test!$A$3:$I$32,3,FALSE)),1,0)</f>
        <v>0</v>
      </c>
      <c r="V156" s="2">
        <f>IF(AND(feasible_mat!U32, VLOOKUP(Recharged_Feasible_matv3!$A156,test!$A$34:$G$37, 3,FALSE)=VLOOKUP(V$1,test!$A$3:$I$32,3,FALSE)),1,0)</f>
        <v>0</v>
      </c>
      <c r="W156" s="2">
        <f>IF(AND(feasible_mat!V32, VLOOKUP(Recharged_Feasible_matv3!$A156,test!$A$34:$G$37, 3,FALSE)=VLOOKUP(W$1,test!$A$3:$I$32,3,FALSE)),1,0)</f>
        <v>0</v>
      </c>
      <c r="X156" s="2">
        <f>IF(AND(feasible_mat!W32, VLOOKUP(Recharged_Feasible_matv3!$A156,test!$A$34:$G$37, 3,FALSE)=VLOOKUP(X$1,test!$A$3:$I$32,3,FALSE)),1,0)</f>
        <v>0</v>
      </c>
      <c r="Y156" s="2">
        <f>IF(AND(feasible_mat!X32, VLOOKUP(Recharged_Feasible_matv3!$A156,test!$A$34:$G$37, 3,FALSE)=VLOOKUP(Y$1,test!$A$3:$I$32,3,FALSE)),1,0)</f>
        <v>0</v>
      </c>
      <c r="Z156" s="2">
        <f>IF(AND(feasible_mat!Y32, VLOOKUP(Recharged_Feasible_matv3!$A156,test!$A$34:$G$37, 3,FALSE)=VLOOKUP(Z$1,test!$A$3:$I$32,3,FALSE)),1,0)</f>
        <v>0</v>
      </c>
      <c r="AA156" s="2">
        <f>IF(AND(feasible_mat!Z32, VLOOKUP(Recharged_Feasible_matv3!$A156,test!$A$34:$G$37, 3,FALSE)=VLOOKUP(AA$1,test!$A$3:$I$32,3,FALSE)),1,0)</f>
        <v>0</v>
      </c>
      <c r="AB156" s="2">
        <f>IF(AND(feasible_mat!AA32, VLOOKUP(Recharged_Feasible_matv3!$A156,test!$A$34:$G$37, 3,FALSE)=VLOOKUP(AB$1,test!$A$3:$I$32,3,FALSE)),1,0)</f>
        <v>0</v>
      </c>
      <c r="AC156" s="2">
        <f>IF(AND(feasible_mat!AB32, VLOOKUP(Recharged_Feasible_matv3!$A156,test!$A$34:$G$37, 3,FALSE)=VLOOKUP(AC$1,test!$A$3:$I$32,3,FALSE)),1,0)</f>
        <v>0</v>
      </c>
      <c r="AD156" s="2">
        <f>IF(AND(feasible_mat!AC32, VLOOKUP(Recharged_Feasible_matv3!$A156,test!$A$34:$G$37, 3,FALSE)=VLOOKUP(AD$1,test!$A$3:$I$32,3,FALSE)),1,0)</f>
        <v>0</v>
      </c>
      <c r="AE156" s="2">
        <f>IF(AND(feasible_mat!AD32, VLOOKUP(Recharged_Feasible_matv3!$A156,test!$A$34:$G$37, 3,FALSE)=VLOOKUP(AE$1,test!$A$3:$I$32,3,FALSE)),1,0)</f>
        <v>0</v>
      </c>
      <c r="AF156" s="2">
        <f>IF(AND(feasible_mat!AE32, VLOOKUP(Recharged_Feasible_matv3!$A156,test!$A$34:$G$37, 3,FALSE)=VLOOKUP(AF$1,test!$A$3:$I$32,3,FALSE)),1,0)</f>
        <v>0</v>
      </c>
      <c r="AG156" s="2">
        <f>IF(AND(feasible_mat!AF32, VLOOKUP(Recharged_Feasible_matv3!$A156,test!$A$34:$G$37, 3,FALSE)=VLOOKUP(AG$1,test!$A$3:$I$32,3,FALSE)),1,0)</f>
        <v>0</v>
      </c>
    </row>
    <row r="168" spans="6:6" x14ac:dyDescent="0.25">
      <c r="F168" t="s">
        <v>102</v>
      </c>
    </row>
    <row r="169" spans="6:6" x14ac:dyDescent="0.25">
      <c r="F169" t="b">
        <f>feasible_mat!T16=1</f>
        <v>1</v>
      </c>
    </row>
    <row r="170" spans="6:6" x14ac:dyDescent="0.25">
      <c r="F170" t="str">
        <f>VLOOKUP(Recharged_Feasible_matv3!$A77,test!$A$34:$G$37, 3,FALSE)</f>
        <v>Terminal B</v>
      </c>
    </row>
    <row r="171" spans="6:6" x14ac:dyDescent="0.25">
      <c r="F171" t="str">
        <f>VLOOKUP(U$1,test!$A$3:$I$32,3,FALSE)</f>
        <v>Terminal B</v>
      </c>
    </row>
  </sheetData>
  <conditionalFormatting sqref="D3:AG32 D33:D125 E34:AG63 E65:AG94 E96:AG125 D126:AG156">
    <cfRule type="cellIs" dxfId="35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C526-A995-4092-B570-3484EC3FC906}">
  <dimension ref="A1:AH156"/>
  <sheetViews>
    <sheetView topLeftCell="A100" workbookViewId="0">
      <pane xSplit="1" topLeftCell="B1" activePane="topRight" state="frozen"/>
      <selection activeCell="A97" sqref="A97"/>
      <selection pane="topRight" activeCell="F116" sqref="F116"/>
    </sheetView>
  </sheetViews>
  <sheetFormatPr defaultRowHeight="15" x14ac:dyDescent="0.25"/>
  <sheetData>
    <row r="1" spans="1:34" x14ac:dyDescent="0.25">
      <c r="A1" t="s">
        <v>59</v>
      </c>
      <c r="C1" t="s">
        <v>46</v>
      </c>
      <c r="D1" t="s">
        <v>6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18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</row>
    <row r="2" spans="1:34" x14ac:dyDescent="0.25">
      <c r="A2" t="s">
        <v>48</v>
      </c>
      <c r="B2" t="s">
        <v>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s="3"/>
    </row>
    <row r="3" spans="1:34" x14ac:dyDescent="0.25">
      <c r="A3" t="s">
        <v>48</v>
      </c>
      <c r="B3" t="s">
        <v>6</v>
      </c>
      <c r="C3">
        <v>0</v>
      </c>
      <c r="D3" s="2">
        <f>IF(AND(VLOOKUP(D$1,test!$A$3:$F$32,5,FALSE) - VLOOKUP($B3,test!$A$3:$G$32,6,FALSE) &gt;= (test!$B$33+VLOOKUP(VLOOKUP($B3,test!$A$2:$I$32,4,FALSE),test!$J$10:$P$14,3,FALSE))/1440),1,0)</f>
        <v>0</v>
      </c>
      <c r="E3" s="2">
        <f>IF(AND(VLOOKUP(E$1,test!$A$3:$F$32,5,FALSE) - VLOOKUP($B3,test!$A$3:$G$32,6,FALSE) &gt;= (test!$B$33+VLOOKUP(VLOOKUP($B3,test!$A$2:$I$32,4,FALSE),test!$J$10:$P$14,3,FALSE))/1440),1,0)</f>
        <v>0</v>
      </c>
      <c r="F3" s="2">
        <f>IF(AND(VLOOKUP(F$1,test!$A$3:$F$32,5,FALSE) - VLOOKUP($B3,test!$A$3:$G$32,6,FALSE) &gt;= (test!$B$33+VLOOKUP(VLOOKUP($B3,test!$A$2:$I$32,4,FALSE),test!$J$10:$P$14,3,FALSE))/1440),1,0)</f>
        <v>1</v>
      </c>
      <c r="G3" s="2">
        <f>IF(AND(VLOOKUP(G$1,test!$A$3:$F$32,5,FALSE) - VLOOKUP($B3,test!$A$3:$G$32,6,FALSE) &gt;= (test!$B$33+VLOOKUP(VLOOKUP($B3,test!$A$2:$I$32,4,FALSE),test!$J$10:$P$14,3,FALSE))/1440),1,0)</f>
        <v>1</v>
      </c>
      <c r="H3" s="2">
        <f>IF(AND(VLOOKUP(H$1,test!$A$3:$F$32,5,FALSE) - VLOOKUP($B3,test!$A$3:$G$32,6,FALSE) &gt;= (test!$B$33+VLOOKUP(VLOOKUP($B3,test!$A$2:$I$32,4,FALSE),test!$J$10:$P$14,3,FALSE))/1440),1,0)</f>
        <v>1</v>
      </c>
      <c r="I3" s="2">
        <f>IF(AND(VLOOKUP(I$1,test!$A$3:$F$32,5,FALSE) - VLOOKUP($B3,test!$A$3:$G$32,6,FALSE) &gt;= (test!$B$33+VLOOKUP(VLOOKUP($B3,test!$A$2:$I$32,4,FALSE),test!$J$10:$P$14,3,FALSE))/1440),1,0)</f>
        <v>1</v>
      </c>
      <c r="J3" s="2">
        <f>IF(AND(VLOOKUP(J$1,test!$A$3:$F$32,5,FALSE) - VLOOKUP($B3,test!$A$3:$G$32,6,FALSE) &gt;= (test!$B$33+VLOOKUP(VLOOKUP($B3,test!$A$2:$I$32,4,FALSE),test!$J$10:$P$14,3,FALSE))/1440),1,0)</f>
        <v>1</v>
      </c>
      <c r="K3" s="2">
        <f>IF(AND(VLOOKUP(K$1,test!$A$3:$F$32,5,FALSE) - VLOOKUP($B3,test!$A$3:$G$32,6,FALSE) &gt;= (test!$B$33+VLOOKUP(VLOOKUP($B3,test!$A$2:$I$32,4,FALSE),test!$J$10:$P$14,3,FALSE))/1440),1,0)</f>
        <v>1</v>
      </c>
      <c r="L3" s="2">
        <f>IF(AND(VLOOKUP(L$1,test!$A$3:$F$32,5,FALSE) - VLOOKUP($B3,test!$A$3:$G$32,6,FALSE) &gt;= (test!$B$33+VLOOKUP(VLOOKUP($B3,test!$A$2:$I$32,4,FALSE),test!$J$10:$P$14,3,FALSE))/1440),1,0)</f>
        <v>0</v>
      </c>
      <c r="M3" s="2">
        <f>IF(AND(VLOOKUP(M$1,test!$A$3:$F$32,5,FALSE) - VLOOKUP($B3,test!$A$3:$G$32,6,FALSE) &gt;= (test!$B$33+VLOOKUP(VLOOKUP($B3,test!$A$2:$I$32,4,FALSE),test!$J$10:$P$14,3,FALSE))/1440),1,0)</f>
        <v>0</v>
      </c>
      <c r="N3" s="2">
        <f>IF(AND(VLOOKUP(N$1,test!$A$3:$F$32,5,FALSE) - VLOOKUP($B3,test!$A$3:$G$32,6,FALSE) &gt;= (test!$B$33+VLOOKUP(VLOOKUP($B3,test!$A$2:$I$32,4,FALSE),test!$J$10:$P$14,3,FALSE))/1440),1,0)</f>
        <v>1</v>
      </c>
      <c r="O3" s="2">
        <f>IF(AND(VLOOKUP(O$1,test!$A$3:$F$32,5,FALSE) - VLOOKUP($B3,test!$A$3:$G$32,6,FALSE) &gt;= (test!$B$33+VLOOKUP(VLOOKUP($B3,test!$A$2:$I$32,4,FALSE),test!$J$10:$P$14,3,FALSE))/1440),1,0)</f>
        <v>1</v>
      </c>
      <c r="P3" s="2">
        <f>IF(AND(VLOOKUP(P$1,test!$A$3:$F$32,5,FALSE) - VLOOKUP($B3,test!$A$3:$G$32,6,FALSE) &gt;= (test!$B$33+VLOOKUP(VLOOKUP($B3,test!$A$2:$I$32,4,FALSE),test!$J$10:$P$14,3,FALSE))/1440),1,0)</f>
        <v>1</v>
      </c>
      <c r="Q3" s="2">
        <f>IF(AND(VLOOKUP(Q$1,test!$A$3:$F$32,5,FALSE) - VLOOKUP($B3,test!$A$3:$G$32,6,FALSE) &gt;= (test!$B$33+VLOOKUP(VLOOKUP($B3,test!$A$2:$I$32,4,FALSE),test!$J$10:$P$14,3,FALSE))/1440),1,0)</f>
        <v>0</v>
      </c>
      <c r="R3" s="2">
        <f>IF(AND(VLOOKUP(R$1,test!$A$3:$F$32,5,FALSE) - VLOOKUP($B3,test!$A$3:$G$32,6,FALSE) &gt;= (test!$B$33+VLOOKUP(VLOOKUP($B3,test!$A$2:$I$32,4,FALSE),test!$J$10:$P$14,3,FALSE))/1440),1,0)</f>
        <v>0</v>
      </c>
      <c r="S3" s="2">
        <f>IF(AND(VLOOKUP(S$1,test!$A$3:$F$32,5,FALSE) - VLOOKUP($B3,test!$A$3:$G$32,6,FALSE) &gt;= (test!$B$33+VLOOKUP(VLOOKUP($B3,test!$A$2:$I$32,4,FALSE),test!$J$10:$P$14,3,FALSE))/1440),1,0)</f>
        <v>0</v>
      </c>
      <c r="T3" s="2">
        <f>IF(AND(VLOOKUP(T$1,test!$A$3:$F$32,5,FALSE) - VLOOKUP($B3,test!$A$3:$G$32,6,FALSE) &gt;= (test!$B$33+VLOOKUP(VLOOKUP($B3,test!$A$2:$I$32,4,FALSE),test!$J$10:$P$14,3,FALSE))/1440),1,0)</f>
        <v>0</v>
      </c>
      <c r="U3" s="2">
        <f>IF(AND(VLOOKUP(U$1,test!$A$3:$F$32,5,FALSE) - VLOOKUP($B3,test!$A$3:$G$32,6,FALSE) &gt;= (test!$B$33+VLOOKUP(VLOOKUP($B3,test!$A$2:$I$32,4,FALSE),test!$J$10:$P$14,3,FALSE))/1440),1,0)</f>
        <v>1</v>
      </c>
      <c r="V3" s="2">
        <f>IF(AND(VLOOKUP(V$1,test!$A$3:$F$32,5,FALSE) - VLOOKUP($B3,test!$A$3:$G$32,6,FALSE) &gt;= (test!$B$33+VLOOKUP(VLOOKUP($B3,test!$A$2:$I$32,4,FALSE),test!$J$10:$P$14,3,FALSE))/1440),1,0)</f>
        <v>1</v>
      </c>
      <c r="W3" s="2">
        <f>IF(AND(VLOOKUP(W$1,test!$A$3:$F$32,5,FALSE) - VLOOKUP($B3,test!$A$3:$G$32,6,FALSE) &gt;= (test!$B$33+VLOOKUP(VLOOKUP($B3,test!$A$2:$I$32,4,FALSE),test!$J$10:$P$14,3,FALSE))/1440),1,0)</f>
        <v>1</v>
      </c>
      <c r="X3" s="2">
        <f>IF(AND(VLOOKUP(X$1,test!$A$3:$F$32,5,FALSE) - VLOOKUP($B3,test!$A$3:$G$32,6,FALSE) &gt;= (test!$B$33+VLOOKUP(VLOOKUP($B3,test!$A$2:$I$32,4,FALSE),test!$J$10:$P$14,3,FALSE))/1440),1,0)</f>
        <v>1</v>
      </c>
      <c r="Y3" s="2">
        <f>IF(AND(VLOOKUP(Y$1,test!$A$3:$F$32,5,FALSE) - VLOOKUP($B3,test!$A$3:$G$32,6,FALSE) &gt;= (test!$B$33+VLOOKUP(VLOOKUP($B3,test!$A$2:$I$32,4,FALSE),test!$J$10:$P$14,3,FALSE))/1440),1,0)</f>
        <v>1</v>
      </c>
      <c r="Z3" s="2">
        <f>IF(AND(VLOOKUP(Z$1,test!$A$3:$F$32,5,FALSE) - VLOOKUP($B3,test!$A$3:$G$32,6,FALSE) &gt;= (test!$B$33+VLOOKUP(VLOOKUP($B3,test!$A$2:$I$32,4,FALSE),test!$J$10:$P$14,3,FALSE))/1440),1,0)</f>
        <v>0</v>
      </c>
      <c r="AA3" s="2">
        <f>IF(AND(VLOOKUP(AA$1,test!$A$3:$F$32,5,FALSE) - VLOOKUP($B3,test!$A$3:$G$32,6,FALSE) &gt;= (test!$B$33+VLOOKUP(VLOOKUP($B3,test!$A$2:$I$32,4,FALSE),test!$J$10:$P$14,3,FALSE))/1440),1,0)</f>
        <v>0</v>
      </c>
      <c r="AB3" s="2">
        <f>IF(AND(VLOOKUP(AB$1,test!$A$3:$F$32,5,FALSE) - VLOOKUP($B3,test!$A$3:$G$32,6,FALSE) &gt;= (test!$B$33+VLOOKUP(VLOOKUP($B3,test!$A$2:$I$32,4,FALSE),test!$J$10:$P$14,3,FALSE))/1440),1,0)</f>
        <v>1</v>
      </c>
      <c r="AC3" s="2">
        <f>IF(AND(VLOOKUP(AC$1,test!$A$3:$F$32,5,FALSE) - VLOOKUP($B3,test!$A$3:$G$32,6,FALSE) &gt;= (test!$B$33+VLOOKUP(VLOOKUP($B3,test!$A$2:$I$32,4,FALSE),test!$J$10:$P$14,3,FALSE))/1440),1,0)</f>
        <v>1</v>
      </c>
      <c r="AD3" s="2">
        <f>IF(AND(VLOOKUP(AD$1,test!$A$3:$F$32,5,FALSE) - VLOOKUP($B3,test!$A$3:$G$32,6,FALSE) &gt;= (test!$B$33+VLOOKUP(VLOOKUP($B3,test!$A$2:$I$32,4,FALSE),test!$J$10:$P$14,3,FALSE))/1440),1,0)</f>
        <v>1</v>
      </c>
      <c r="AE3" s="2">
        <f>IF(AND(VLOOKUP(AE$1,test!$A$3:$F$32,5,FALSE) - VLOOKUP($B3,test!$A$3:$G$32,6,FALSE) &gt;= (test!$B$33+VLOOKUP(VLOOKUP($B3,test!$A$2:$I$32,4,FALSE),test!$J$10:$P$14,3,FALSE))/1440),1,0)</f>
        <v>0</v>
      </c>
      <c r="AF3" s="2">
        <f>IF(AND(VLOOKUP(AF$1,test!$A$3:$F$32,5,FALSE) - VLOOKUP($B3,test!$A$3:$G$32,6,FALSE) &gt;= (test!$B$33+VLOOKUP(VLOOKUP($B3,test!$A$2:$I$32,4,FALSE),test!$J$10:$P$14,3,FALSE))/1440),1,0)</f>
        <v>1</v>
      </c>
      <c r="AG3" s="2">
        <f>IF(AND(VLOOKUP(AG$1,test!$A$3:$F$32,5,FALSE) - VLOOKUP($B3,test!$A$3:$G$32,6,FALSE) &gt;= (test!$B$33+VLOOKUP(VLOOKUP($B3,test!$A$2:$I$32,4,FALSE),test!$J$10:$P$14,3,FALSE))/1440),1,0)</f>
        <v>1</v>
      </c>
    </row>
    <row r="4" spans="1:34" x14ac:dyDescent="0.25">
      <c r="A4" t="s">
        <v>48</v>
      </c>
      <c r="B4" t="s">
        <v>9</v>
      </c>
      <c r="C4">
        <v>0</v>
      </c>
      <c r="D4" s="2">
        <f>IF(AND(VLOOKUP(D$1,test!$A$3:$F$32,5,FALSE) - VLOOKUP($B4,test!$A$3:$G$32,6,FALSE) &gt;= (test!$B$33+VLOOKUP(VLOOKUP($B4,test!$A$2:$I$32,4,FALSE),test!$J$10:$P$14,3,FALSE))/1440),1,0)</f>
        <v>0</v>
      </c>
      <c r="E4" s="2">
        <f>IF(AND(VLOOKUP(E$1,test!$A$3:$F$32,5,FALSE) - VLOOKUP($B4,test!$A$3:$G$32,6,FALSE) &gt;= (test!$B$33+VLOOKUP(VLOOKUP($B4,test!$A$2:$I$32,4,FALSE),test!$J$10:$P$14,3,FALSE))/1440),1,0)</f>
        <v>0</v>
      </c>
      <c r="F4" s="2">
        <f>IF(AND(VLOOKUP(F$1,test!$A$3:$F$32,5,FALSE) - VLOOKUP($B4,test!$A$3:$G$32,6,FALSE) &gt;= (test!$B$33+VLOOKUP(VLOOKUP($B4,test!$A$2:$I$32,4,FALSE),test!$J$10:$P$14,3,FALSE))/1440),1,0)</f>
        <v>0</v>
      </c>
      <c r="G4" s="2">
        <f>IF(AND(VLOOKUP(G$1,test!$A$3:$F$32,5,FALSE) - VLOOKUP($B4,test!$A$3:$G$32,6,FALSE) &gt;= (test!$B$33+VLOOKUP(VLOOKUP($B4,test!$A$2:$I$32,4,FALSE),test!$J$10:$P$14,3,FALSE))/1440),1,0)</f>
        <v>0</v>
      </c>
      <c r="H4" s="2">
        <f>IF(AND(VLOOKUP(H$1,test!$A$3:$F$32,5,FALSE) - VLOOKUP($B4,test!$A$3:$G$32,6,FALSE) &gt;= (test!$B$33+VLOOKUP(VLOOKUP($B4,test!$A$2:$I$32,4,FALSE),test!$J$10:$P$14,3,FALSE))/1440),1,0)</f>
        <v>1</v>
      </c>
      <c r="I4" s="2">
        <f>IF(AND(VLOOKUP(I$1,test!$A$3:$F$32,5,FALSE) - VLOOKUP($B4,test!$A$3:$G$32,6,FALSE) &gt;= (test!$B$33+VLOOKUP(VLOOKUP($B4,test!$A$2:$I$32,4,FALSE),test!$J$10:$P$14,3,FALSE))/1440),1,0)</f>
        <v>1</v>
      </c>
      <c r="J4" s="2">
        <f>IF(AND(VLOOKUP(J$1,test!$A$3:$F$32,5,FALSE) - VLOOKUP($B4,test!$A$3:$G$32,6,FALSE) &gt;= (test!$B$33+VLOOKUP(VLOOKUP($B4,test!$A$2:$I$32,4,FALSE),test!$J$10:$P$14,3,FALSE))/1440),1,0)</f>
        <v>1</v>
      </c>
      <c r="K4" s="2">
        <f>IF(AND(VLOOKUP(K$1,test!$A$3:$F$32,5,FALSE) - VLOOKUP($B4,test!$A$3:$G$32,6,FALSE) &gt;= (test!$B$33+VLOOKUP(VLOOKUP($B4,test!$A$2:$I$32,4,FALSE),test!$J$10:$P$14,3,FALSE))/1440),1,0)</f>
        <v>1</v>
      </c>
      <c r="L4" s="2">
        <f>IF(AND(VLOOKUP(L$1,test!$A$3:$F$32,5,FALSE) - VLOOKUP($B4,test!$A$3:$G$32,6,FALSE) &gt;= (test!$B$33+VLOOKUP(VLOOKUP($B4,test!$A$2:$I$32,4,FALSE),test!$J$10:$P$14,3,FALSE))/1440),1,0)</f>
        <v>0</v>
      </c>
      <c r="M4" s="2">
        <f>IF(AND(VLOOKUP(M$1,test!$A$3:$F$32,5,FALSE) - VLOOKUP($B4,test!$A$3:$G$32,6,FALSE) &gt;= (test!$B$33+VLOOKUP(VLOOKUP($B4,test!$A$2:$I$32,4,FALSE),test!$J$10:$P$14,3,FALSE))/1440),1,0)</f>
        <v>0</v>
      </c>
      <c r="N4" s="2">
        <f>IF(AND(VLOOKUP(N$1,test!$A$3:$F$32,5,FALSE) - VLOOKUP($B4,test!$A$3:$G$32,6,FALSE) &gt;= (test!$B$33+VLOOKUP(VLOOKUP($B4,test!$A$2:$I$32,4,FALSE),test!$J$10:$P$14,3,FALSE))/1440),1,0)</f>
        <v>0</v>
      </c>
      <c r="O4" s="2">
        <f>IF(AND(VLOOKUP(O$1,test!$A$3:$F$32,5,FALSE) - VLOOKUP($B4,test!$A$3:$G$32,6,FALSE) &gt;= (test!$B$33+VLOOKUP(VLOOKUP($B4,test!$A$2:$I$32,4,FALSE),test!$J$10:$P$14,3,FALSE))/1440),1,0)</f>
        <v>1</v>
      </c>
      <c r="P4" s="2">
        <f>IF(AND(VLOOKUP(P$1,test!$A$3:$F$32,5,FALSE) - VLOOKUP($B4,test!$A$3:$G$32,6,FALSE) &gt;= (test!$B$33+VLOOKUP(VLOOKUP($B4,test!$A$2:$I$32,4,FALSE),test!$J$10:$P$14,3,FALSE))/1440),1,0)</f>
        <v>1</v>
      </c>
      <c r="Q4" s="2">
        <f>IF(AND(VLOOKUP(Q$1,test!$A$3:$F$32,5,FALSE) - VLOOKUP($B4,test!$A$3:$G$32,6,FALSE) &gt;= (test!$B$33+VLOOKUP(VLOOKUP($B4,test!$A$2:$I$32,4,FALSE),test!$J$10:$P$14,3,FALSE))/1440),1,0)</f>
        <v>0</v>
      </c>
      <c r="R4" s="2">
        <f>IF(AND(VLOOKUP(R$1,test!$A$3:$F$32,5,FALSE) - VLOOKUP($B4,test!$A$3:$G$32,6,FALSE) &gt;= (test!$B$33+VLOOKUP(VLOOKUP($B4,test!$A$2:$I$32,4,FALSE),test!$J$10:$P$14,3,FALSE))/1440),1,0)</f>
        <v>0</v>
      </c>
      <c r="S4" s="2">
        <f>IF(AND(VLOOKUP(S$1,test!$A$3:$F$32,5,FALSE) - VLOOKUP($B4,test!$A$3:$G$32,6,FALSE) &gt;= (test!$B$33+VLOOKUP(VLOOKUP($B4,test!$A$2:$I$32,4,FALSE),test!$J$10:$P$14,3,FALSE))/1440),1,0)</f>
        <v>0</v>
      </c>
      <c r="T4" s="2">
        <f>IF(AND(VLOOKUP(T$1,test!$A$3:$F$32,5,FALSE) - VLOOKUP($B4,test!$A$3:$G$32,6,FALSE) &gt;= (test!$B$33+VLOOKUP(VLOOKUP($B4,test!$A$2:$I$32,4,FALSE),test!$J$10:$P$14,3,FALSE))/1440),1,0)</f>
        <v>0</v>
      </c>
      <c r="U4" s="2">
        <f>IF(AND(VLOOKUP(U$1,test!$A$3:$F$32,5,FALSE) - VLOOKUP($B4,test!$A$3:$G$32,6,FALSE) &gt;= (test!$B$33+VLOOKUP(VLOOKUP($B4,test!$A$2:$I$32,4,FALSE),test!$J$10:$P$14,3,FALSE))/1440),1,0)</f>
        <v>0</v>
      </c>
      <c r="V4" s="2">
        <f>IF(AND(VLOOKUP(V$1,test!$A$3:$F$32,5,FALSE) - VLOOKUP($B4,test!$A$3:$G$32,6,FALSE) &gt;= (test!$B$33+VLOOKUP(VLOOKUP($B4,test!$A$2:$I$32,4,FALSE),test!$J$10:$P$14,3,FALSE))/1440),1,0)</f>
        <v>0</v>
      </c>
      <c r="W4" s="2">
        <f>IF(AND(VLOOKUP(W$1,test!$A$3:$F$32,5,FALSE) - VLOOKUP($B4,test!$A$3:$G$32,6,FALSE) &gt;= (test!$B$33+VLOOKUP(VLOOKUP($B4,test!$A$2:$I$32,4,FALSE),test!$J$10:$P$14,3,FALSE))/1440),1,0)</f>
        <v>1</v>
      </c>
      <c r="X4" s="2">
        <f>IF(AND(VLOOKUP(X$1,test!$A$3:$F$32,5,FALSE) - VLOOKUP($B4,test!$A$3:$G$32,6,FALSE) &gt;= (test!$B$33+VLOOKUP(VLOOKUP($B4,test!$A$2:$I$32,4,FALSE),test!$J$10:$P$14,3,FALSE))/1440),1,0)</f>
        <v>1</v>
      </c>
      <c r="Y4" s="2">
        <f>IF(AND(VLOOKUP(Y$1,test!$A$3:$F$32,5,FALSE) - VLOOKUP($B4,test!$A$3:$G$32,6,FALSE) &gt;= (test!$B$33+VLOOKUP(VLOOKUP($B4,test!$A$2:$I$32,4,FALSE),test!$J$10:$P$14,3,FALSE))/1440),1,0)</f>
        <v>1</v>
      </c>
      <c r="Z4" s="2">
        <f>IF(AND(VLOOKUP(Z$1,test!$A$3:$F$32,5,FALSE) - VLOOKUP($B4,test!$A$3:$G$32,6,FALSE) &gt;= (test!$B$33+VLOOKUP(VLOOKUP($B4,test!$A$2:$I$32,4,FALSE),test!$J$10:$P$14,3,FALSE))/1440),1,0)</f>
        <v>0</v>
      </c>
      <c r="AA4" s="2">
        <f>IF(AND(VLOOKUP(AA$1,test!$A$3:$F$32,5,FALSE) - VLOOKUP($B4,test!$A$3:$G$32,6,FALSE) &gt;= (test!$B$33+VLOOKUP(VLOOKUP($B4,test!$A$2:$I$32,4,FALSE),test!$J$10:$P$14,3,FALSE))/1440),1,0)</f>
        <v>0</v>
      </c>
      <c r="AB4" s="2">
        <f>IF(AND(VLOOKUP(AB$1,test!$A$3:$F$32,5,FALSE) - VLOOKUP($B4,test!$A$3:$G$32,6,FALSE) &gt;= (test!$B$33+VLOOKUP(VLOOKUP($B4,test!$A$2:$I$32,4,FALSE),test!$J$10:$P$14,3,FALSE))/1440),1,0)</f>
        <v>0</v>
      </c>
      <c r="AC4" s="2">
        <f>IF(AND(VLOOKUP(AC$1,test!$A$3:$F$32,5,FALSE) - VLOOKUP($B4,test!$A$3:$G$32,6,FALSE) &gt;= (test!$B$33+VLOOKUP(VLOOKUP($B4,test!$A$2:$I$32,4,FALSE),test!$J$10:$P$14,3,FALSE))/1440),1,0)</f>
        <v>0</v>
      </c>
      <c r="AD4" s="2">
        <f>IF(AND(VLOOKUP(AD$1,test!$A$3:$F$32,5,FALSE) - VLOOKUP($B4,test!$A$3:$G$32,6,FALSE) &gt;= (test!$B$33+VLOOKUP(VLOOKUP($B4,test!$A$2:$I$32,4,FALSE),test!$J$10:$P$14,3,FALSE))/1440),1,0)</f>
        <v>1</v>
      </c>
      <c r="AE4" s="2">
        <f>IF(AND(VLOOKUP(AE$1,test!$A$3:$F$32,5,FALSE) - VLOOKUP($B4,test!$A$3:$G$32,6,FALSE) &gt;= (test!$B$33+VLOOKUP(VLOOKUP($B4,test!$A$2:$I$32,4,FALSE),test!$J$10:$P$14,3,FALSE))/1440),1,0)</f>
        <v>0</v>
      </c>
      <c r="AF4" s="2">
        <f>IF(AND(VLOOKUP(AF$1,test!$A$3:$F$32,5,FALSE) - VLOOKUP($B4,test!$A$3:$G$32,6,FALSE) &gt;= (test!$B$33+VLOOKUP(VLOOKUP($B4,test!$A$2:$I$32,4,FALSE),test!$J$10:$P$14,3,FALSE))/1440),1,0)</f>
        <v>0</v>
      </c>
      <c r="AG4" s="2">
        <f>IF(AND(VLOOKUP(AG$1,test!$A$3:$F$32,5,FALSE) - VLOOKUP($B4,test!$A$3:$G$32,6,FALSE) &gt;= (test!$B$33+VLOOKUP(VLOOKUP($B4,test!$A$2:$I$32,4,FALSE),test!$J$10:$P$14,3,FALSE))/1440),1,0)</f>
        <v>0</v>
      </c>
    </row>
    <row r="5" spans="1:34" x14ac:dyDescent="0.25">
      <c r="A5" t="s">
        <v>48</v>
      </c>
      <c r="B5" t="s">
        <v>10</v>
      </c>
      <c r="C5">
        <v>0</v>
      </c>
      <c r="D5" s="2">
        <f>IF(AND(VLOOKUP(D$1,test!$A$3:$F$32,5,FALSE) - VLOOKUP($B5,test!$A$3:$G$32,6,FALSE) &gt;= (test!$B$33+VLOOKUP(VLOOKUP($B5,test!$A$2:$I$32,4,FALSE),test!$J$10:$P$14,3,FALSE))/1440),1,0)</f>
        <v>0</v>
      </c>
      <c r="E5" s="2">
        <f>IF(AND(VLOOKUP(E$1,test!$A$3:$F$32,5,FALSE) - VLOOKUP($B5,test!$A$3:$G$32,6,FALSE) &gt;= (test!$B$33+VLOOKUP(VLOOKUP($B5,test!$A$2:$I$32,4,FALSE),test!$J$10:$P$14,3,FALSE))/1440),1,0)</f>
        <v>0</v>
      </c>
      <c r="F5" s="2">
        <f>IF(AND(VLOOKUP(F$1,test!$A$3:$F$32,5,FALSE) - VLOOKUP($B5,test!$A$3:$G$32,6,FALSE) &gt;= (test!$B$33+VLOOKUP(VLOOKUP($B5,test!$A$2:$I$32,4,FALSE),test!$J$10:$P$14,3,FALSE))/1440),1,0)</f>
        <v>0</v>
      </c>
      <c r="G5" s="2">
        <f>IF(AND(VLOOKUP(G$1,test!$A$3:$F$32,5,FALSE) - VLOOKUP($B5,test!$A$3:$G$32,6,FALSE) &gt;= (test!$B$33+VLOOKUP(VLOOKUP($B5,test!$A$2:$I$32,4,FALSE),test!$J$10:$P$14,3,FALSE))/1440),1,0)</f>
        <v>0</v>
      </c>
      <c r="H5" s="2">
        <f>IF(AND(VLOOKUP(H$1,test!$A$3:$F$32,5,FALSE) - VLOOKUP($B5,test!$A$3:$G$32,6,FALSE) &gt;= (test!$B$33+VLOOKUP(VLOOKUP($B5,test!$A$2:$I$32,4,FALSE),test!$J$10:$P$14,3,FALSE))/1440),1,0)</f>
        <v>0</v>
      </c>
      <c r="I5" s="2">
        <f>IF(AND(VLOOKUP(I$1,test!$A$3:$F$32,5,FALSE) - VLOOKUP($B5,test!$A$3:$G$32,6,FALSE) &gt;= (test!$B$33+VLOOKUP(VLOOKUP($B5,test!$A$2:$I$32,4,FALSE),test!$J$10:$P$14,3,FALSE))/1440),1,0)</f>
        <v>0</v>
      </c>
      <c r="J5" s="2">
        <f>IF(AND(VLOOKUP(J$1,test!$A$3:$F$32,5,FALSE) - VLOOKUP($B5,test!$A$3:$G$32,6,FALSE) &gt;= (test!$B$33+VLOOKUP(VLOOKUP($B5,test!$A$2:$I$32,4,FALSE),test!$J$10:$P$14,3,FALSE))/1440),1,0)</f>
        <v>1</v>
      </c>
      <c r="K5" s="2">
        <f>IF(AND(VLOOKUP(K$1,test!$A$3:$F$32,5,FALSE) - VLOOKUP($B5,test!$A$3:$G$32,6,FALSE) &gt;= (test!$B$33+VLOOKUP(VLOOKUP($B5,test!$A$2:$I$32,4,FALSE),test!$J$10:$P$14,3,FALSE))/1440),1,0)</f>
        <v>1</v>
      </c>
      <c r="L5" s="2">
        <f>IF(AND(VLOOKUP(L$1,test!$A$3:$F$32,5,FALSE) - VLOOKUP($B5,test!$A$3:$G$32,6,FALSE) &gt;= (test!$B$33+VLOOKUP(VLOOKUP($B5,test!$A$2:$I$32,4,FALSE),test!$J$10:$P$14,3,FALSE))/1440),1,0)</f>
        <v>0</v>
      </c>
      <c r="M5" s="2">
        <f>IF(AND(VLOOKUP(M$1,test!$A$3:$F$32,5,FALSE) - VLOOKUP($B5,test!$A$3:$G$32,6,FALSE) &gt;= (test!$B$33+VLOOKUP(VLOOKUP($B5,test!$A$2:$I$32,4,FALSE),test!$J$10:$P$14,3,FALSE))/1440),1,0)</f>
        <v>0</v>
      </c>
      <c r="N5" s="2">
        <f>IF(AND(VLOOKUP(N$1,test!$A$3:$F$32,5,FALSE) - VLOOKUP($B5,test!$A$3:$G$32,6,FALSE) &gt;= (test!$B$33+VLOOKUP(VLOOKUP($B5,test!$A$2:$I$32,4,FALSE),test!$J$10:$P$14,3,FALSE))/1440),1,0)</f>
        <v>0</v>
      </c>
      <c r="O5" s="2">
        <f>IF(AND(VLOOKUP(O$1,test!$A$3:$F$32,5,FALSE) - VLOOKUP($B5,test!$A$3:$G$32,6,FALSE) &gt;= (test!$B$33+VLOOKUP(VLOOKUP($B5,test!$A$2:$I$32,4,FALSE),test!$J$10:$P$14,3,FALSE))/1440),1,0)</f>
        <v>1</v>
      </c>
      <c r="P5" s="2">
        <f>IF(AND(VLOOKUP(P$1,test!$A$3:$F$32,5,FALSE) - VLOOKUP($B5,test!$A$3:$G$32,6,FALSE) &gt;= (test!$B$33+VLOOKUP(VLOOKUP($B5,test!$A$2:$I$32,4,FALSE),test!$J$10:$P$14,3,FALSE))/1440),1,0)</f>
        <v>1</v>
      </c>
      <c r="Q5" s="2">
        <f>IF(AND(VLOOKUP(Q$1,test!$A$3:$F$32,5,FALSE) - VLOOKUP($B5,test!$A$3:$G$32,6,FALSE) &gt;= (test!$B$33+VLOOKUP(VLOOKUP($B5,test!$A$2:$I$32,4,FALSE),test!$J$10:$P$14,3,FALSE))/1440),1,0)</f>
        <v>0</v>
      </c>
      <c r="R5" s="2">
        <f>IF(AND(VLOOKUP(R$1,test!$A$3:$F$32,5,FALSE) - VLOOKUP($B5,test!$A$3:$G$32,6,FALSE) &gt;= (test!$B$33+VLOOKUP(VLOOKUP($B5,test!$A$2:$I$32,4,FALSE),test!$J$10:$P$14,3,FALSE))/1440),1,0)</f>
        <v>0</v>
      </c>
      <c r="S5" s="2">
        <f>IF(AND(VLOOKUP(S$1,test!$A$3:$F$32,5,FALSE) - VLOOKUP($B5,test!$A$3:$G$32,6,FALSE) &gt;= (test!$B$33+VLOOKUP(VLOOKUP($B5,test!$A$2:$I$32,4,FALSE),test!$J$10:$P$14,3,FALSE))/1440),1,0)</f>
        <v>0</v>
      </c>
      <c r="T5" s="2">
        <f>IF(AND(VLOOKUP(T$1,test!$A$3:$F$32,5,FALSE) - VLOOKUP($B5,test!$A$3:$G$32,6,FALSE) &gt;= (test!$B$33+VLOOKUP(VLOOKUP($B5,test!$A$2:$I$32,4,FALSE),test!$J$10:$P$14,3,FALSE))/1440),1,0)</f>
        <v>0</v>
      </c>
      <c r="U5" s="2">
        <f>IF(AND(VLOOKUP(U$1,test!$A$3:$F$32,5,FALSE) - VLOOKUP($B5,test!$A$3:$G$32,6,FALSE) &gt;= (test!$B$33+VLOOKUP(VLOOKUP($B5,test!$A$2:$I$32,4,FALSE),test!$J$10:$P$14,3,FALSE))/1440),1,0)</f>
        <v>0</v>
      </c>
      <c r="V5" s="2">
        <f>IF(AND(VLOOKUP(V$1,test!$A$3:$F$32,5,FALSE) - VLOOKUP($B5,test!$A$3:$G$32,6,FALSE) &gt;= (test!$B$33+VLOOKUP(VLOOKUP($B5,test!$A$2:$I$32,4,FALSE),test!$J$10:$P$14,3,FALSE))/1440),1,0)</f>
        <v>0</v>
      </c>
      <c r="W5" s="2">
        <f>IF(AND(VLOOKUP(W$1,test!$A$3:$F$32,5,FALSE) - VLOOKUP($B5,test!$A$3:$G$32,6,FALSE) &gt;= (test!$B$33+VLOOKUP(VLOOKUP($B5,test!$A$2:$I$32,4,FALSE),test!$J$10:$P$14,3,FALSE))/1440),1,0)</f>
        <v>0</v>
      </c>
      <c r="X5" s="2">
        <f>IF(AND(VLOOKUP(X$1,test!$A$3:$F$32,5,FALSE) - VLOOKUP($B5,test!$A$3:$G$32,6,FALSE) &gt;= (test!$B$33+VLOOKUP(VLOOKUP($B5,test!$A$2:$I$32,4,FALSE),test!$J$10:$P$14,3,FALSE))/1440),1,0)</f>
        <v>1</v>
      </c>
      <c r="Y5" s="2">
        <f>IF(AND(VLOOKUP(Y$1,test!$A$3:$F$32,5,FALSE) - VLOOKUP($B5,test!$A$3:$G$32,6,FALSE) &gt;= (test!$B$33+VLOOKUP(VLOOKUP($B5,test!$A$2:$I$32,4,FALSE),test!$J$10:$P$14,3,FALSE))/1440),1,0)</f>
        <v>1</v>
      </c>
      <c r="Z5" s="2">
        <f>IF(AND(VLOOKUP(Z$1,test!$A$3:$F$32,5,FALSE) - VLOOKUP($B5,test!$A$3:$G$32,6,FALSE) &gt;= (test!$B$33+VLOOKUP(VLOOKUP($B5,test!$A$2:$I$32,4,FALSE),test!$J$10:$P$14,3,FALSE))/1440),1,0)</f>
        <v>0</v>
      </c>
      <c r="AA5" s="2">
        <f>IF(AND(VLOOKUP(AA$1,test!$A$3:$F$32,5,FALSE) - VLOOKUP($B5,test!$A$3:$G$32,6,FALSE) &gt;= (test!$B$33+VLOOKUP(VLOOKUP($B5,test!$A$2:$I$32,4,FALSE),test!$J$10:$P$14,3,FALSE))/1440),1,0)</f>
        <v>0</v>
      </c>
      <c r="AB5" s="2">
        <f>IF(AND(VLOOKUP(AB$1,test!$A$3:$F$32,5,FALSE) - VLOOKUP($B5,test!$A$3:$G$32,6,FALSE) &gt;= (test!$B$33+VLOOKUP(VLOOKUP($B5,test!$A$2:$I$32,4,FALSE),test!$J$10:$P$14,3,FALSE))/1440),1,0)</f>
        <v>0</v>
      </c>
      <c r="AC5" s="2">
        <f>IF(AND(VLOOKUP(AC$1,test!$A$3:$F$32,5,FALSE) - VLOOKUP($B5,test!$A$3:$G$32,6,FALSE) &gt;= (test!$B$33+VLOOKUP(VLOOKUP($B5,test!$A$2:$I$32,4,FALSE),test!$J$10:$P$14,3,FALSE))/1440),1,0)</f>
        <v>0</v>
      </c>
      <c r="AD5" s="2">
        <f>IF(AND(VLOOKUP(AD$1,test!$A$3:$F$32,5,FALSE) - VLOOKUP($B5,test!$A$3:$G$32,6,FALSE) &gt;= (test!$B$33+VLOOKUP(VLOOKUP($B5,test!$A$2:$I$32,4,FALSE),test!$J$10:$P$14,3,FALSE))/1440),1,0)</f>
        <v>0</v>
      </c>
      <c r="AE5" s="2">
        <f>IF(AND(VLOOKUP(AE$1,test!$A$3:$F$32,5,FALSE) - VLOOKUP($B5,test!$A$3:$G$32,6,FALSE) &gt;= (test!$B$33+VLOOKUP(VLOOKUP($B5,test!$A$2:$I$32,4,FALSE),test!$J$10:$P$14,3,FALSE))/1440),1,0)</f>
        <v>0</v>
      </c>
      <c r="AF5" s="2">
        <f>IF(AND(VLOOKUP(AF$1,test!$A$3:$F$32,5,FALSE) - VLOOKUP($B5,test!$A$3:$G$32,6,FALSE) &gt;= (test!$B$33+VLOOKUP(VLOOKUP($B5,test!$A$2:$I$32,4,FALSE),test!$J$10:$P$14,3,FALSE))/1440),1,0)</f>
        <v>0</v>
      </c>
      <c r="AG5" s="2">
        <f>IF(AND(VLOOKUP(AG$1,test!$A$3:$F$32,5,FALSE) - VLOOKUP($B5,test!$A$3:$G$32,6,FALSE) &gt;= (test!$B$33+VLOOKUP(VLOOKUP($B5,test!$A$2:$I$32,4,FALSE),test!$J$10:$P$14,3,FALSE))/1440),1,0)</f>
        <v>0</v>
      </c>
    </row>
    <row r="6" spans="1:34" x14ac:dyDescent="0.25">
      <c r="A6" t="s">
        <v>48</v>
      </c>
      <c r="B6" t="s">
        <v>11</v>
      </c>
      <c r="C6">
        <v>0</v>
      </c>
      <c r="D6" s="2">
        <f>IF(AND(VLOOKUP(D$1,test!$A$3:$F$32,5,FALSE) - VLOOKUP($B6,test!$A$3:$G$32,6,FALSE) &gt;= (test!$B$33+VLOOKUP(VLOOKUP($B6,test!$A$2:$I$32,4,FALSE),test!$J$10:$P$14,3,FALSE))/1440),1,0)</f>
        <v>0</v>
      </c>
      <c r="E6" s="2">
        <f>IF(AND(VLOOKUP(E$1,test!$A$3:$F$32,5,FALSE) - VLOOKUP($B6,test!$A$3:$G$32,6,FALSE) &gt;= (test!$B$33+VLOOKUP(VLOOKUP($B6,test!$A$2:$I$32,4,FALSE),test!$J$10:$P$14,3,FALSE))/1440),1,0)</f>
        <v>0</v>
      </c>
      <c r="F6" s="2">
        <f>IF(AND(VLOOKUP(F$1,test!$A$3:$F$32,5,FALSE) - VLOOKUP($B6,test!$A$3:$G$32,6,FALSE) &gt;= (test!$B$33+VLOOKUP(VLOOKUP($B6,test!$A$2:$I$32,4,FALSE),test!$J$10:$P$14,3,FALSE))/1440),1,0)</f>
        <v>0</v>
      </c>
      <c r="G6" s="2">
        <f>IF(AND(VLOOKUP(G$1,test!$A$3:$F$32,5,FALSE) - VLOOKUP($B6,test!$A$3:$G$32,6,FALSE) &gt;= (test!$B$33+VLOOKUP(VLOOKUP($B6,test!$A$2:$I$32,4,FALSE),test!$J$10:$P$14,3,FALSE))/1440),1,0)</f>
        <v>0</v>
      </c>
      <c r="H6" s="2">
        <f>IF(AND(VLOOKUP(H$1,test!$A$3:$F$32,5,FALSE) - VLOOKUP($B6,test!$A$3:$G$32,6,FALSE) &gt;= (test!$B$33+VLOOKUP(VLOOKUP($B6,test!$A$2:$I$32,4,FALSE),test!$J$10:$P$14,3,FALSE))/1440),1,0)</f>
        <v>0</v>
      </c>
      <c r="I6" s="2">
        <f>IF(AND(VLOOKUP(I$1,test!$A$3:$F$32,5,FALSE) - VLOOKUP($B6,test!$A$3:$G$32,6,FALSE) &gt;= (test!$B$33+VLOOKUP(VLOOKUP($B6,test!$A$2:$I$32,4,FALSE),test!$J$10:$P$14,3,FALSE))/1440),1,0)</f>
        <v>0</v>
      </c>
      <c r="J6" s="2">
        <f>IF(AND(VLOOKUP(J$1,test!$A$3:$F$32,5,FALSE) - VLOOKUP($B6,test!$A$3:$G$32,6,FALSE) &gt;= (test!$B$33+VLOOKUP(VLOOKUP($B6,test!$A$2:$I$32,4,FALSE),test!$J$10:$P$14,3,FALSE))/1440),1,0)</f>
        <v>0</v>
      </c>
      <c r="K6" s="2">
        <f>IF(AND(VLOOKUP(K$1,test!$A$3:$F$32,5,FALSE) - VLOOKUP($B6,test!$A$3:$G$32,6,FALSE) &gt;= (test!$B$33+VLOOKUP(VLOOKUP($B6,test!$A$2:$I$32,4,FALSE),test!$J$10:$P$14,3,FALSE))/1440),1,0)</f>
        <v>1</v>
      </c>
      <c r="L6" s="2">
        <f>IF(AND(VLOOKUP(L$1,test!$A$3:$F$32,5,FALSE) - VLOOKUP($B6,test!$A$3:$G$32,6,FALSE) &gt;= (test!$B$33+VLOOKUP(VLOOKUP($B6,test!$A$2:$I$32,4,FALSE),test!$J$10:$P$14,3,FALSE))/1440),1,0)</f>
        <v>0</v>
      </c>
      <c r="M6" s="2">
        <f>IF(AND(VLOOKUP(M$1,test!$A$3:$F$32,5,FALSE) - VLOOKUP($B6,test!$A$3:$G$32,6,FALSE) &gt;= (test!$B$33+VLOOKUP(VLOOKUP($B6,test!$A$2:$I$32,4,FALSE),test!$J$10:$P$14,3,FALSE))/1440),1,0)</f>
        <v>0</v>
      </c>
      <c r="N6" s="2">
        <f>IF(AND(VLOOKUP(N$1,test!$A$3:$F$32,5,FALSE) - VLOOKUP($B6,test!$A$3:$G$32,6,FALSE) &gt;= (test!$B$33+VLOOKUP(VLOOKUP($B6,test!$A$2:$I$32,4,FALSE),test!$J$10:$P$14,3,FALSE))/1440),1,0)</f>
        <v>0</v>
      </c>
      <c r="O6" s="2">
        <f>IF(AND(VLOOKUP(O$1,test!$A$3:$F$32,5,FALSE) - VLOOKUP($B6,test!$A$3:$G$32,6,FALSE) &gt;= (test!$B$33+VLOOKUP(VLOOKUP($B6,test!$A$2:$I$32,4,FALSE),test!$J$10:$P$14,3,FALSE))/1440),1,0)</f>
        <v>1</v>
      </c>
      <c r="P6" s="2">
        <f>IF(AND(VLOOKUP(P$1,test!$A$3:$F$32,5,FALSE) - VLOOKUP($B6,test!$A$3:$G$32,6,FALSE) &gt;= (test!$B$33+VLOOKUP(VLOOKUP($B6,test!$A$2:$I$32,4,FALSE),test!$J$10:$P$14,3,FALSE))/1440),1,0)</f>
        <v>1</v>
      </c>
      <c r="Q6" s="2">
        <f>IF(AND(VLOOKUP(Q$1,test!$A$3:$F$32,5,FALSE) - VLOOKUP($B6,test!$A$3:$G$32,6,FALSE) &gt;= (test!$B$33+VLOOKUP(VLOOKUP($B6,test!$A$2:$I$32,4,FALSE),test!$J$10:$P$14,3,FALSE))/1440),1,0)</f>
        <v>0</v>
      </c>
      <c r="R6" s="2">
        <f>IF(AND(VLOOKUP(R$1,test!$A$3:$F$32,5,FALSE) - VLOOKUP($B6,test!$A$3:$G$32,6,FALSE) &gt;= (test!$B$33+VLOOKUP(VLOOKUP($B6,test!$A$2:$I$32,4,FALSE),test!$J$10:$P$14,3,FALSE))/1440),1,0)</f>
        <v>0</v>
      </c>
      <c r="S6" s="2">
        <f>IF(AND(VLOOKUP(S$1,test!$A$3:$F$32,5,FALSE) - VLOOKUP($B6,test!$A$3:$G$32,6,FALSE) &gt;= (test!$B$33+VLOOKUP(VLOOKUP($B6,test!$A$2:$I$32,4,FALSE),test!$J$10:$P$14,3,FALSE))/1440),1,0)</f>
        <v>0</v>
      </c>
      <c r="T6" s="2">
        <f>IF(AND(VLOOKUP(T$1,test!$A$3:$F$32,5,FALSE) - VLOOKUP($B6,test!$A$3:$G$32,6,FALSE) &gt;= (test!$B$33+VLOOKUP(VLOOKUP($B6,test!$A$2:$I$32,4,FALSE),test!$J$10:$P$14,3,FALSE))/1440),1,0)</f>
        <v>0</v>
      </c>
      <c r="U6" s="2">
        <f>IF(AND(VLOOKUP(U$1,test!$A$3:$F$32,5,FALSE) - VLOOKUP($B6,test!$A$3:$G$32,6,FALSE) &gt;= (test!$B$33+VLOOKUP(VLOOKUP($B6,test!$A$2:$I$32,4,FALSE),test!$J$10:$P$14,3,FALSE))/1440),1,0)</f>
        <v>0</v>
      </c>
      <c r="V6" s="2">
        <f>IF(AND(VLOOKUP(V$1,test!$A$3:$F$32,5,FALSE) - VLOOKUP($B6,test!$A$3:$G$32,6,FALSE) &gt;= (test!$B$33+VLOOKUP(VLOOKUP($B6,test!$A$2:$I$32,4,FALSE),test!$J$10:$P$14,3,FALSE))/1440),1,0)</f>
        <v>0</v>
      </c>
      <c r="W6" s="2">
        <f>IF(AND(VLOOKUP(W$1,test!$A$3:$F$32,5,FALSE) - VLOOKUP($B6,test!$A$3:$G$32,6,FALSE) &gt;= (test!$B$33+VLOOKUP(VLOOKUP($B6,test!$A$2:$I$32,4,FALSE),test!$J$10:$P$14,3,FALSE))/1440),1,0)</f>
        <v>0</v>
      </c>
      <c r="X6" s="2">
        <f>IF(AND(VLOOKUP(X$1,test!$A$3:$F$32,5,FALSE) - VLOOKUP($B6,test!$A$3:$G$32,6,FALSE) &gt;= (test!$B$33+VLOOKUP(VLOOKUP($B6,test!$A$2:$I$32,4,FALSE),test!$J$10:$P$14,3,FALSE))/1440),1,0)</f>
        <v>0</v>
      </c>
      <c r="Y6" s="2">
        <f>IF(AND(VLOOKUP(Y$1,test!$A$3:$F$32,5,FALSE) - VLOOKUP($B6,test!$A$3:$G$32,6,FALSE) &gt;= (test!$B$33+VLOOKUP(VLOOKUP($B6,test!$A$2:$I$32,4,FALSE),test!$J$10:$P$14,3,FALSE))/1440),1,0)</f>
        <v>1</v>
      </c>
      <c r="Z6" s="2">
        <f>IF(AND(VLOOKUP(Z$1,test!$A$3:$F$32,5,FALSE) - VLOOKUP($B6,test!$A$3:$G$32,6,FALSE) &gt;= (test!$B$33+VLOOKUP(VLOOKUP($B6,test!$A$2:$I$32,4,FALSE),test!$J$10:$P$14,3,FALSE))/1440),1,0)</f>
        <v>0</v>
      </c>
      <c r="AA6" s="2">
        <f>IF(AND(VLOOKUP(AA$1,test!$A$3:$F$32,5,FALSE) - VLOOKUP($B6,test!$A$3:$G$32,6,FALSE) &gt;= (test!$B$33+VLOOKUP(VLOOKUP($B6,test!$A$2:$I$32,4,FALSE),test!$J$10:$P$14,3,FALSE))/1440),1,0)</f>
        <v>0</v>
      </c>
      <c r="AB6" s="2">
        <f>IF(AND(VLOOKUP(AB$1,test!$A$3:$F$32,5,FALSE) - VLOOKUP($B6,test!$A$3:$G$32,6,FALSE) &gt;= (test!$B$33+VLOOKUP(VLOOKUP($B6,test!$A$2:$I$32,4,FALSE),test!$J$10:$P$14,3,FALSE))/1440),1,0)</f>
        <v>0</v>
      </c>
      <c r="AC6" s="2">
        <f>IF(AND(VLOOKUP(AC$1,test!$A$3:$F$32,5,FALSE) - VLOOKUP($B6,test!$A$3:$G$32,6,FALSE) &gt;= (test!$B$33+VLOOKUP(VLOOKUP($B6,test!$A$2:$I$32,4,FALSE),test!$J$10:$P$14,3,FALSE))/1440),1,0)</f>
        <v>0</v>
      </c>
      <c r="AD6" s="2">
        <f>IF(AND(VLOOKUP(AD$1,test!$A$3:$F$32,5,FALSE) - VLOOKUP($B6,test!$A$3:$G$32,6,FALSE) &gt;= (test!$B$33+VLOOKUP(VLOOKUP($B6,test!$A$2:$I$32,4,FALSE),test!$J$10:$P$14,3,FALSE))/1440),1,0)</f>
        <v>0</v>
      </c>
      <c r="AE6" s="2">
        <f>IF(AND(VLOOKUP(AE$1,test!$A$3:$F$32,5,FALSE) - VLOOKUP($B6,test!$A$3:$G$32,6,FALSE) &gt;= (test!$B$33+VLOOKUP(VLOOKUP($B6,test!$A$2:$I$32,4,FALSE),test!$J$10:$P$14,3,FALSE))/1440),1,0)</f>
        <v>0</v>
      </c>
      <c r="AF6" s="2">
        <f>IF(AND(VLOOKUP(AF$1,test!$A$3:$F$32,5,FALSE) - VLOOKUP($B6,test!$A$3:$G$32,6,FALSE) &gt;= (test!$B$33+VLOOKUP(VLOOKUP($B6,test!$A$2:$I$32,4,FALSE),test!$J$10:$P$14,3,FALSE))/1440),1,0)</f>
        <v>0</v>
      </c>
      <c r="AG6" s="2">
        <f>IF(AND(VLOOKUP(AG$1,test!$A$3:$F$32,5,FALSE) - VLOOKUP($B6,test!$A$3:$G$32,6,FALSE) &gt;= (test!$B$33+VLOOKUP(VLOOKUP($B6,test!$A$2:$I$32,4,FALSE),test!$J$10:$P$14,3,FALSE))/1440),1,0)</f>
        <v>0</v>
      </c>
    </row>
    <row r="7" spans="1:34" x14ac:dyDescent="0.25">
      <c r="A7" t="s">
        <v>48</v>
      </c>
      <c r="B7" t="s">
        <v>12</v>
      </c>
      <c r="C7">
        <v>0</v>
      </c>
      <c r="D7" s="2">
        <f>IF(AND(VLOOKUP(D$1,test!$A$3:$F$32,5,FALSE) - VLOOKUP($B7,test!$A$3:$G$32,6,FALSE) &gt;= (test!$B$33+VLOOKUP(VLOOKUP($B7,test!$A$2:$I$32,4,FALSE),test!$J$10:$P$14,3,FALSE))/1440),1,0)</f>
        <v>0</v>
      </c>
      <c r="E7" s="2">
        <f>IF(AND(VLOOKUP(E$1,test!$A$3:$F$32,5,FALSE) - VLOOKUP($B7,test!$A$3:$G$32,6,FALSE) &gt;= (test!$B$33+VLOOKUP(VLOOKUP($B7,test!$A$2:$I$32,4,FALSE),test!$J$10:$P$14,3,FALSE))/1440),1,0)</f>
        <v>0</v>
      </c>
      <c r="F7" s="2">
        <f>IF(AND(VLOOKUP(F$1,test!$A$3:$F$32,5,FALSE) - VLOOKUP($B7,test!$A$3:$G$32,6,FALSE) &gt;= (test!$B$33+VLOOKUP(VLOOKUP($B7,test!$A$2:$I$32,4,FALSE),test!$J$10:$P$14,3,FALSE))/1440),1,0)</f>
        <v>0</v>
      </c>
      <c r="G7" s="2">
        <f>IF(AND(VLOOKUP(G$1,test!$A$3:$F$32,5,FALSE) - VLOOKUP($B7,test!$A$3:$G$32,6,FALSE) &gt;= (test!$B$33+VLOOKUP(VLOOKUP($B7,test!$A$2:$I$32,4,FALSE),test!$J$10:$P$14,3,FALSE))/1440),1,0)</f>
        <v>0</v>
      </c>
      <c r="H7" s="2">
        <f>IF(AND(VLOOKUP(H$1,test!$A$3:$F$32,5,FALSE) - VLOOKUP($B7,test!$A$3:$G$32,6,FALSE) &gt;= (test!$B$33+VLOOKUP(VLOOKUP($B7,test!$A$2:$I$32,4,FALSE),test!$J$10:$P$14,3,FALSE))/1440),1,0)</f>
        <v>0</v>
      </c>
      <c r="I7" s="2">
        <f>IF(AND(VLOOKUP(I$1,test!$A$3:$F$32,5,FALSE) - VLOOKUP($B7,test!$A$3:$G$32,6,FALSE) &gt;= (test!$B$33+VLOOKUP(VLOOKUP($B7,test!$A$2:$I$32,4,FALSE),test!$J$10:$P$14,3,FALSE))/1440),1,0)</f>
        <v>0</v>
      </c>
      <c r="J7" s="2">
        <f>IF(AND(VLOOKUP(J$1,test!$A$3:$F$32,5,FALSE) - VLOOKUP($B7,test!$A$3:$G$32,6,FALSE) &gt;= (test!$B$33+VLOOKUP(VLOOKUP($B7,test!$A$2:$I$32,4,FALSE),test!$J$10:$P$14,3,FALSE))/1440),1,0)</f>
        <v>0</v>
      </c>
      <c r="K7" s="2">
        <f>IF(AND(VLOOKUP(K$1,test!$A$3:$F$32,5,FALSE) - VLOOKUP($B7,test!$A$3:$G$32,6,FALSE) &gt;= (test!$B$33+VLOOKUP(VLOOKUP($B7,test!$A$2:$I$32,4,FALSE),test!$J$10:$P$14,3,FALSE))/1440),1,0)</f>
        <v>0</v>
      </c>
      <c r="L7" s="2">
        <f>IF(AND(VLOOKUP(L$1,test!$A$3:$F$32,5,FALSE) - VLOOKUP($B7,test!$A$3:$G$32,6,FALSE) &gt;= (test!$B$33+VLOOKUP(VLOOKUP($B7,test!$A$2:$I$32,4,FALSE),test!$J$10:$P$14,3,FALSE))/1440),1,0)</f>
        <v>0</v>
      </c>
      <c r="M7" s="2">
        <f>IF(AND(VLOOKUP(M$1,test!$A$3:$F$32,5,FALSE) - VLOOKUP($B7,test!$A$3:$G$32,6,FALSE) &gt;= (test!$B$33+VLOOKUP(VLOOKUP($B7,test!$A$2:$I$32,4,FALSE),test!$J$10:$P$14,3,FALSE))/1440),1,0)</f>
        <v>0</v>
      </c>
      <c r="N7" s="2">
        <f>IF(AND(VLOOKUP(N$1,test!$A$3:$F$32,5,FALSE) - VLOOKUP($B7,test!$A$3:$G$32,6,FALSE) &gt;= (test!$B$33+VLOOKUP(VLOOKUP($B7,test!$A$2:$I$32,4,FALSE),test!$J$10:$P$14,3,FALSE))/1440),1,0)</f>
        <v>0</v>
      </c>
      <c r="O7" s="2">
        <f>IF(AND(VLOOKUP(O$1,test!$A$3:$F$32,5,FALSE) - VLOOKUP($B7,test!$A$3:$G$32,6,FALSE) &gt;= (test!$B$33+VLOOKUP(VLOOKUP($B7,test!$A$2:$I$32,4,FALSE),test!$J$10:$P$14,3,FALSE))/1440),1,0)</f>
        <v>0</v>
      </c>
      <c r="P7" s="2">
        <f>IF(AND(VLOOKUP(P$1,test!$A$3:$F$32,5,FALSE) - VLOOKUP($B7,test!$A$3:$G$32,6,FALSE) &gt;= (test!$B$33+VLOOKUP(VLOOKUP($B7,test!$A$2:$I$32,4,FALSE),test!$J$10:$P$14,3,FALSE))/1440),1,0)</f>
        <v>1</v>
      </c>
      <c r="Q7" s="2">
        <f>IF(AND(VLOOKUP(Q$1,test!$A$3:$F$32,5,FALSE) - VLOOKUP($B7,test!$A$3:$G$32,6,FALSE) &gt;= (test!$B$33+VLOOKUP(VLOOKUP($B7,test!$A$2:$I$32,4,FALSE),test!$J$10:$P$14,3,FALSE))/1440),1,0)</f>
        <v>0</v>
      </c>
      <c r="R7" s="2">
        <f>IF(AND(VLOOKUP(R$1,test!$A$3:$F$32,5,FALSE) - VLOOKUP($B7,test!$A$3:$G$32,6,FALSE) &gt;= (test!$B$33+VLOOKUP(VLOOKUP($B7,test!$A$2:$I$32,4,FALSE),test!$J$10:$P$14,3,FALSE))/1440),1,0)</f>
        <v>0</v>
      </c>
      <c r="S7" s="2">
        <f>IF(AND(VLOOKUP(S$1,test!$A$3:$F$32,5,FALSE) - VLOOKUP($B7,test!$A$3:$G$32,6,FALSE) &gt;= (test!$B$33+VLOOKUP(VLOOKUP($B7,test!$A$2:$I$32,4,FALSE),test!$J$10:$P$14,3,FALSE))/1440),1,0)</f>
        <v>0</v>
      </c>
      <c r="T7" s="2">
        <f>IF(AND(VLOOKUP(T$1,test!$A$3:$F$32,5,FALSE) - VLOOKUP($B7,test!$A$3:$G$32,6,FALSE) &gt;= (test!$B$33+VLOOKUP(VLOOKUP($B7,test!$A$2:$I$32,4,FALSE),test!$J$10:$P$14,3,FALSE))/1440),1,0)</f>
        <v>0</v>
      </c>
      <c r="U7" s="2">
        <f>IF(AND(VLOOKUP(U$1,test!$A$3:$F$32,5,FALSE) - VLOOKUP($B7,test!$A$3:$G$32,6,FALSE) &gt;= (test!$B$33+VLOOKUP(VLOOKUP($B7,test!$A$2:$I$32,4,FALSE),test!$J$10:$P$14,3,FALSE))/1440),1,0)</f>
        <v>0</v>
      </c>
      <c r="V7" s="2">
        <f>IF(AND(VLOOKUP(V$1,test!$A$3:$F$32,5,FALSE) - VLOOKUP($B7,test!$A$3:$G$32,6,FALSE) &gt;= (test!$B$33+VLOOKUP(VLOOKUP($B7,test!$A$2:$I$32,4,FALSE),test!$J$10:$P$14,3,FALSE))/1440),1,0)</f>
        <v>0</v>
      </c>
      <c r="W7" s="2">
        <f>IF(AND(VLOOKUP(W$1,test!$A$3:$F$32,5,FALSE) - VLOOKUP($B7,test!$A$3:$G$32,6,FALSE) &gt;= (test!$B$33+VLOOKUP(VLOOKUP($B7,test!$A$2:$I$32,4,FALSE),test!$J$10:$P$14,3,FALSE))/1440),1,0)</f>
        <v>0</v>
      </c>
      <c r="X7" s="2">
        <f>IF(AND(VLOOKUP(X$1,test!$A$3:$F$32,5,FALSE) - VLOOKUP($B7,test!$A$3:$G$32,6,FALSE) &gt;= (test!$B$33+VLOOKUP(VLOOKUP($B7,test!$A$2:$I$32,4,FALSE),test!$J$10:$P$14,3,FALSE))/1440),1,0)</f>
        <v>0</v>
      </c>
      <c r="Y7" s="2">
        <f>IF(AND(VLOOKUP(Y$1,test!$A$3:$F$32,5,FALSE) - VLOOKUP($B7,test!$A$3:$G$32,6,FALSE) &gt;= (test!$B$33+VLOOKUP(VLOOKUP($B7,test!$A$2:$I$32,4,FALSE),test!$J$10:$P$14,3,FALSE))/1440),1,0)</f>
        <v>0</v>
      </c>
      <c r="Z7" s="2">
        <f>IF(AND(VLOOKUP(Z$1,test!$A$3:$F$32,5,FALSE) - VLOOKUP($B7,test!$A$3:$G$32,6,FALSE) &gt;= (test!$B$33+VLOOKUP(VLOOKUP($B7,test!$A$2:$I$32,4,FALSE),test!$J$10:$P$14,3,FALSE))/1440),1,0)</f>
        <v>0</v>
      </c>
      <c r="AA7" s="2">
        <f>IF(AND(VLOOKUP(AA$1,test!$A$3:$F$32,5,FALSE) - VLOOKUP($B7,test!$A$3:$G$32,6,FALSE) &gt;= (test!$B$33+VLOOKUP(VLOOKUP($B7,test!$A$2:$I$32,4,FALSE),test!$J$10:$P$14,3,FALSE))/1440),1,0)</f>
        <v>0</v>
      </c>
      <c r="AB7" s="2">
        <f>IF(AND(VLOOKUP(AB$1,test!$A$3:$F$32,5,FALSE) - VLOOKUP($B7,test!$A$3:$G$32,6,FALSE) &gt;= (test!$B$33+VLOOKUP(VLOOKUP($B7,test!$A$2:$I$32,4,FALSE),test!$J$10:$P$14,3,FALSE))/1440),1,0)</f>
        <v>0</v>
      </c>
      <c r="AC7" s="2">
        <f>IF(AND(VLOOKUP(AC$1,test!$A$3:$F$32,5,FALSE) - VLOOKUP($B7,test!$A$3:$G$32,6,FALSE) &gt;= (test!$B$33+VLOOKUP(VLOOKUP($B7,test!$A$2:$I$32,4,FALSE),test!$J$10:$P$14,3,FALSE))/1440),1,0)</f>
        <v>0</v>
      </c>
      <c r="AD7" s="2">
        <f>IF(AND(VLOOKUP(AD$1,test!$A$3:$F$32,5,FALSE) - VLOOKUP($B7,test!$A$3:$G$32,6,FALSE) &gt;= (test!$B$33+VLOOKUP(VLOOKUP($B7,test!$A$2:$I$32,4,FALSE),test!$J$10:$P$14,3,FALSE))/1440),1,0)</f>
        <v>0</v>
      </c>
      <c r="AE7" s="2">
        <f>IF(AND(VLOOKUP(AE$1,test!$A$3:$F$32,5,FALSE) - VLOOKUP($B7,test!$A$3:$G$32,6,FALSE) &gt;= (test!$B$33+VLOOKUP(VLOOKUP($B7,test!$A$2:$I$32,4,FALSE),test!$J$10:$P$14,3,FALSE))/1440),1,0)</f>
        <v>0</v>
      </c>
      <c r="AF7" s="2">
        <f>IF(AND(VLOOKUP(AF$1,test!$A$3:$F$32,5,FALSE) - VLOOKUP($B7,test!$A$3:$G$32,6,FALSE) &gt;= (test!$B$33+VLOOKUP(VLOOKUP($B7,test!$A$2:$I$32,4,FALSE),test!$J$10:$P$14,3,FALSE))/1440),1,0)</f>
        <v>0</v>
      </c>
      <c r="AG7" s="2">
        <f>IF(AND(VLOOKUP(AG$1,test!$A$3:$F$32,5,FALSE) - VLOOKUP($B7,test!$A$3:$G$32,6,FALSE) &gt;= (test!$B$33+VLOOKUP(VLOOKUP($B7,test!$A$2:$I$32,4,FALSE),test!$J$10:$P$14,3,FALSE))/1440),1,0)</f>
        <v>0</v>
      </c>
    </row>
    <row r="8" spans="1:34" x14ac:dyDescent="0.25">
      <c r="A8" t="s">
        <v>48</v>
      </c>
      <c r="B8" t="s">
        <v>13</v>
      </c>
      <c r="C8">
        <v>0</v>
      </c>
      <c r="D8" s="2">
        <f>IF(AND(VLOOKUP(D$1,test!$A$3:$F$32,5,FALSE) - VLOOKUP($B8,test!$A$3:$G$32,6,FALSE) &gt;= (test!$B$33+VLOOKUP(VLOOKUP($B8,test!$A$2:$I$32,4,FALSE),test!$J$10:$P$14,3,FALSE))/1440),1,0)</f>
        <v>0</v>
      </c>
      <c r="E8" s="2">
        <f>IF(AND(VLOOKUP(E$1,test!$A$3:$F$32,5,FALSE) - VLOOKUP($B8,test!$A$3:$G$32,6,FALSE) &gt;= (test!$B$33+VLOOKUP(VLOOKUP($B8,test!$A$2:$I$32,4,FALSE),test!$J$10:$P$14,3,FALSE))/1440),1,0)</f>
        <v>0</v>
      </c>
      <c r="F8" s="2">
        <f>IF(AND(VLOOKUP(F$1,test!$A$3:$F$32,5,FALSE) - VLOOKUP($B8,test!$A$3:$G$32,6,FALSE) &gt;= (test!$B$33+VLOOKUP(VLOOKUP($B8,test!$A$2:$I$32,4,FALSE),test!$J$10:$P$14,3,FALSE))/1440),1,0)</f>
        <v>0</v>
      </c>
      <c r="G8" s="2">
        <f>IF(AND(VLOOKUP(G$1,test!$A$3:$F$32,5,FALSE) - VLOOKUP($B8,test!$A$3:$G$32,6,FALSE) &gt;= (test!$B$33+VLOOKUP(VLOOKUP($B8,test!$A$2:$I$32,4,FALSE),test!$J$10:$P$14,3,FALSE))/1440),1,0)</f>
        <v>0</v>
      </c>
      <c r="H8" s="2">
        <f>IF(AND(VLOOKUP(H$1,test!$A$3:$F$32,5,FALSE) - VLOOKUP($B8,test!$A$3:$G$32,6,FALSE) &gt;= (test!$B$33+VLOOKUP(VLOOKUP($B8,test!$A$2:$I$32,4,FALSE),test!$J$10:$P$14,3,FALSE))/1440),1,0)</f>
        <v>0</v>
      </c>
      <c r="I8" s="2">
        <f>IF(AND(VLOOKUP(I$1,test!$A$3:$F$32,5,FALSE) - VLOOKUP($B8,test!$A$3:$G$32,6,FALSE) &gt;= (test!$B$33+VLOOKUP(VLOOKUP($B8,test!$A$2:$I$32,4,FALSE),test!$J$10:$P$14,3,FALSE))/1440),1,0)</f>
        <v>0</v>
      </c>
      <c r="J8" s="2">
        <f>IF(AND(VLOOKUP(J$1,test!$A$3:$F$32,5,FALSE) - VLOOKUP($B8,test!$A$3:$G$32,6,FALSE) &gt;= (test!$B$33+VLOOKUP(VLOOKUP($B8,test!$A$2:$I$32,4,FALSE),test!$J$10:$P$14,3,FALSE))/1440),1,0)</f>
        <v>0</v>
      </c>
      <c r="K8" s="2">
        <f>IF(AND(VLOOKUP(K$1,test!$A$3:$F$32,5,FALSE) - VLOOKUP($B8,test!$A$3:$G$32,6,FALSE) &gt;= (test!$B$33+VLOOKUP(VLOOKUP($B8,test!$A$2:$I$32,4,FALSE),test!$J$10:$P$14,3,FALSE))/1440),1,0)</f>
        <v>0</v>
      </c>
      <c r="L8" s="2">
        <f>IF(AND(VLOOKUP(L$1,test!$A$3:$F$32,5,FALSE) - VLOOKUP($B8,test!$A$3:$G$32,6,FALSE) &gt;= (test!$B$33+VLOOKUP(VLOOKUP($B8,test!$A$2:$I$32,4,FALSE),test!$J$10:$P$14,3,FALSE))/1440),1,0)</f>
        <v>0</v>
      </c>
      <c r="M8" s="2">
        <f>IF(AND(VLOOKUP(M$1,test!$A$3:$F$32,5,FALSE) - VLOOKUP($B8,test!$A$3:$G$32,6,FALSE) &gt;= (test!$B$33+VLOOKUP(VLOOKUP($B8,test!$A$2:$I$32,4,FALSE),test!$J$10:$P$14,3,FALSE))/1440),1,0)</f>
        <v>0</v>
      </c>
      <c r="N8" s="2">
        <f>IF(AND(VLOOKUP(N$1,test!$A$3:$F$32,5,FALSE) - VLOOKUP($B8,test!$A$3:$G$32,6,FALSE) &gt;= (test!$B$33+VLOOKUP(VLOOKUP($B8,test!$A$2:$I$32,4,FALSE),test!$J$10:$P$14,3,FALSE))/1440),1,0)</f>
        <v>0</v>
      </c>
      <c r="O8" s="2">
        <f>IF(AND(VLOOKUP(O$1,test!$A$3:$F$32,5,FALSE) - VLOOKUP($B8,test!$A$3:$G$32,6,FALSE) &gt;= (test!$B$33+VLOOKUP(VLOOKUP($B8,test!$A$2:$I$32,4,FALSE),test!$J$10:$P$14,3,FALSE))/1440),1,0)</f>
        <v>0</v>
      </c>
      <c r="P8" s="2">
        <f>IF(AND(VLOOKUP(P$1,test!$A$3:$F$32,5,FALSE) - VLOOKUP($B8,test!$A$3:$G$32,6,FALSE) &gt;= (test!$B$33+VLOOKUP(VLOOKUP($B8,test!$A$2:$I$32,4,FALSE),test!$J$10:$P$14,3,FALSE))/1440),1,0)</f>
        <v>0</v>
      </c>
      <c r="Q8" s="2">
        <f>IF(AND(VLOOKUP(Q$1,test!$A$3:$F$32,5,FALSE) - VLOOKUP($B8,test!$A$3:$G$32,6,FALSE) &gt;= (test!$B$33+VLOOKUP(VLOOKUP($B8,test!$A$2:$I$32,4,FALSE),test!$J$10:$P$14,3,FALSE))/1440),1,0)</f>
        <v>0</v>
      </c>
      <c r="R8" s="2">
        <f>IF(AND(VLOOKUP(R$1,test!$A$3:$F$32,5,FALSE) - VLOOKUP($B8,test!$A$3:$G$32,6,FALSE) &gt;= (test!$B$33+VLOOKUP(VLOOKUP($B8,test!$A$2:$I$32,4,FALSE),test!$J$10:$P$14,3,FALSE))/1440),1,0)</f>
        <v>0</v>
      </c>
      <c r="S8" s="2">
        <f>IF(AND(VLOOKUP(S$1,test!$A$3:$F$32,5,FALSE) - VLOOKUP($B8,test!$A$3:$G$32,6,FALSE) &gt;= (test!$B$33+VLOOKUP(VLOOKUP($B8,test!$A$2:$I$32,4,FALSE),test!$J$10:$P$14,3,FALSE))/1440),1,0)</f>
        <v>0</v>
      </c>
      <c r="T8" s="2">
        <f>IF(AND(VLOOKUP(T$1,test!$A$3:$F$32,5,FALSE) - VLOOKUP($B8,test!$A$3:$G$32,6,FALSE) &gt;= (test!$B$33+VLOOKUP(VLOOKUP($B8,test!$A$2:$I$32,4,FALSE),test!$J$10:$P$14,3,FALSE))/1440),1,0)</f>
        <v>0</v>
      </c>
      <c r="U8" s="2">
        <f>IF(AND(VLOOKUP(U$1,test!$A$3:$F$32,5,FALSE) - VLOOKUP($B8,test!$A$3:$G$32,6,FALSE) &gt;= (test!$B$33+VLOOKUP(VLOOKUP($B8,test!$A$2:$I$32,4,FALSE),test!$J$10:$P$14,3,FALSE))/1440),1,0)</f>
        <v>0</v>
      </c>
      <c r="V8" s="2">
        <f>IF(AND(VLOOKUP(V$1,test!$A$3:$F$32,5,FALSE) - VLOOKUP($B8,test!$A$3:$G$32,6,FALSE) &gt;= (test!$B$33+VLOOKUP(VLOOKUP($B8,test!$A$2:$I$32,4,FALSE),test!$J$10:$P$14,3,FALSE))/1440),1,0)</f>
        <v>0</v>
      </c>
      <c r="W8" s="2">
        <f>IF(AND(VLOOKUP(W$1,test!$A$3:$F$32,5,FALSE) - VLOOKUP($B8,test!$A$3:$G$32,6,FALSE) &gt;= (test!$B$33+VLOOKUP(VLOOKUP($B8,test!$A$2:$I$32,4,FALSE),test!$J$10:$P$14,3,FALSE))/1440),1,0)</f>
        <v>0</v>
      </c>
      <c r="X8" s="2">
        <f>IF(AND(VLOOKUP(X$1,test!$A$3:$F$32,5,FALSE) - VLOOKUP($B8,test!$A$3:$G$32,6,FALSE) &gt;= (test!$B$33+VLOOKUP(VLOOKUP($B8,test!$A$2:$I$32,4,FALSE),test!$J$10:$P$14,3,FALSE))/1440),1,0)</f>
        <v>0</v>
      </c>
      <c r="Y8" s="2">
        <f>IF(AND(VLOOKUP(Y$1,test!$A$3:$F$32,5,FALSE) - VLOOKUP($B8,test!$A$3:$G$32,6,FALSE) &gt;= (test!$B$33+VLOOKUP(VLOOKUP($B8,test!$A$2:$I$32,4,FALSE),test!$J$10:$P$14,3,FALSE))/1440),1,0)</f>
        <v>0</v>
      </c>
      <c r="Z8" s="2">
        <f>IF(AND(VLOOKUP(Z$1,test!$A$3:$F$32,5,FALSE) - VLOOKUP($B8,test!$A$3:$G$32,6,FALSE) &gt;= (test!$B$33+VLOOKUP(VLOOKUP($B8,test!$A$2:$I$32,4,FALSE),test!$J$10:$P$14,3,FALSE))/1440),1,0)</f>
        <v>0</v>
      </c>
      <c r="AA8" s="2">
        <f>IF(AND(VLOOKUP(AA$1,test!$A$3:$F$32,5,FALSE) - VLOOKUP($B8,test!$A$3:$G$32,6,FALSE) &gt;= (test!$B$33+VLOOKUP(VLOOKUP($B8,test!$A$2:$I$32,4,FALSE),test!$J$10:$P$14,3,FALSE))/1440),1,0)</f>
        <v>0</v>
      </c>
      <c r="AB8" s="2">
        <f>IF(AND(VLOOKUP(AB$1,test!$A$3:$F$32,5,FALSE) - VLOOKUP($B8,test!$A$3:$G$32,6,FALSE) &gt;= (test!$B$33+VLOOKUP(VLOOKUP($B8,test!$A$2:$I$32,4,FALSE),test!$J$10:$P$14,3,FALSE))/1440),1,0)</f>
        <v>0</v>
      </c>
      <c r="AC8" s="2">
        <f>IF(AND(VLOOKUP(AC$1,test!$A$3:$F$32,5,FALSE) - VLOOKUP($B8,test!$A$3:$G$32,6,FALSE) &gt;= (test!$B$33+VLOOKUP(VLOOKUP($B8,test!$A$2:$I$32,4,FALSE),test!$J$10:$P$14,3,FALSE))/1440),1,0)</f>
        <v>0</v>
      </c>
      <c r="AD8" s="2">
        <f>IF(AND(VLOOKUP(AD$1,test!$A$3:$F$32,5,FALSE) - VLOOKUP($B8,test!$A$3:$G$32,6,FALSE) &gt;= (test!$B$33+VLOOKUP(VLOOKUP($B8,test!$A$2:$I$32,4,FALSE),test!$J$10:$P$14,3,FALSE))/1440),1,0)</f>
        <v>0</v>
      </c>
      <c r="AE8" s="2">
        <f>IF(AND(VLOOKUP(AE$1,test!$A$3:$F$32,5,FALSE) - VLOOKUP($B8,test!$A$3:$G$32,6,FALSE) &gt;= (test!$B$33+VLOOKUP(VLOOKUP($B8,test!$A$2:$I$32,4,FALSE),test!$J$10:$P$14,3,FALSE))/1440),1,0)</f>
        <v>0</v>
      </c>
      <c r="AF8" s="2">
        <f>IF(AND(VLOOKUP(AF$1,test!$A$3:$F$32,5,FALSE) - VLOOKUP($B8,test!$A$3:$G$32,6,FALSE) &gt;= (test!$B$33+VLOOKUP(VLOOKUP($B8,test!$A$2:$I$32,4,FALSE),test!$J$10:$P$14,3,FALSE))/1440),1,0)</f>
        <v>0</v>
      </c>
      <c r="AG8" s="2">
        <f>IF(AND(VLOOKUP(AG$1,test!$A$3:$F$32,5,FALSE) - VLOOKUP($B8,test!$A$3:$G$32,6,FALSE) &gt;= (test!$B$33+VLOOKUP(VLOOKUP($B8,test!$A$2:$I$32,4,FALSE),test!$J$10:$P$14,3,FALSE))/1440),1,0)</f>
        <v>0</v>
      </c>
    </row>
    <row r="9" spans="1:34" x14ac:dyDescent="0.25">
      <c r="A9" t="s">
        <v>48</v>
      </c>
      <c r="B9" t="s">
        <v>14</v>
      </c>
      <c r="C9">
        <v>0</v>
      </c>
      <c r="D9" s="2">
        <f>IF(AND(VLOOKUP(D$1,test!$A$3:$F$32,5,FALSE) - VLOOKUP($B9,test!$A$3:$G$32,6,FALSE) &gt;= (test!$B$33+VLOOKUP(VLOOKUP($B9,test!$A$2:$I$32,4,FALSE),test!$J$10:$P$14,3,FALSE))/1440),1,0)</f>
        <v>0</v>
      </c>
      <c r="E9" s="2">
        <f>IF(AND(VLOOKUP(E$1,test!$A$3:$F$32,5,FALSE) - VLOOKUP($B9,test!$A$3:$G$32,6,FALSE) &gt;= (test!$B$33+VLOOKUP(VLOOKUP($B9,test!$A$2:$I$32,4,FALSE),test!$J$10:$P$14,3,FALSE))/1440),1,0)</f>
        <v>0</v>
      </c>
      <c r="F9" s="2">
        <f>IF(AND(VLOOKUP(F$1,test!$A$3:$F$32,5,FALSE) - VLOOKUP($B9,test!$A$3:$G$32,6,FALSE) &gt;= (test!$B$33+VLOOKUP(VLOOKUP($B9,test!$A$2:$I$32,4,FALSE),test!$J$10:$P$14,3,FALSE))/1440),1,0)</f>
        <v>0</v>
      </c>
      <c r="G9" s="2">
        <f>IF(AND(VLOOKUP(G$1,test!$A$3:$F$32,5,FALSE) - VLOOKUP($B9,test!$A$3:$G$32,6,FALSE) &gt;= (test!$B$33+VLOOKUP(VLOOKUP($B9,test!$A$2:$I$32,4,FALSE),test!$J$10:$P$14,3,FALSE))/1440),1,0)</f>
        <v>0</v>
      </c>
      <c r="H9" s="2">
        <f>IF(AND(VLOOKUP(H$1,test!$A$3:$F$32,5,FALSE) - VLOOKUP($B9,test!$A$3:$G$32,6,FALSE) &gt;= (test!$B$33+VLOOKUP(VLOOKUP($B9,test!$A$2:$I$32,4,FALSE),test!$J$10:$P$14,3,FALSE))/1440),1,0)</f>
        <v>0</v>
      </c>
      <c r="I9" s="2">
        <f>IF(AND(VLOOKUP(I$1,test!$A$3:$F$32,5,FALSE) - VLOOKUP($B9,test!$A$3:$G$32,6,FALSE) &gt;= (test!$B$33+VLOOKUP(VLOOKUP($B9,test!$A$2:$I$32,4,FALSE),test!$J$10:$P$14,3,FALSE))/1440),1,0)</f>
        <v>0</v>
      </c>
      <c r="J9" s="2">
        <f>IF(AND(VLOOKUP(J$1,test!$A$3:$F$32,5,FALSE) - VLOOKUP($B9,test!$A$3:$G$32,6,FALSE) &gt;= (test!$B$33+VLOOKUP(VLOOKUP($B9,test!$A$2:$I$32,4,FALSE),test!$J$10:$P$14,3,FALSE))/1440),1,0)</f>
        <v>0</v>
      </c>
      <c r="K9" s="2">
        <f>IF(AND(VLOOKUP(K$1,test!$A$3:$F$32,5,FALSE) - VLOOKUP($B9,test!$A$3:$G$32,6,FALSE) &gt;= (test!$B$33+VLOOKUP(VLOOKUP($B9,test!$A$2:$I$32,4,FALSE),test!$J$10:$P$14,3,FALSE))/1440),1,0)</f>
        <v>0</v>
      </c>
      <c r="L9" s="2">
        <f>IF(AND(VLOOKUP(L$1,test!$A$3:$F$32,5,FALSE) - VLOOKUP($B9,test!$A$3:$G$32,6,FALSE) &gt;= (test!$B$33+VLOOKUP(VLOOKUP($B9,test!$A$2:$I$32,4,FALSE),test!$J$10:$P$14,3,FALSE))/1440),1,0)</f>
        <v>0</v>
      </c>
      <c r="M9" s="2">
        <f>IF(AND(VLOOKUP(M$1,test!$A$3:$F$32,5,FALSE) - VLOOKUP($B9,test!$A$3:$G$32,6,FALSE) &gt;= (test!$B$33+VLOOKUP(VLOOKUP($B9,test!$A$2:$I$32,4,FALSE),test!$J$10:$P$14,3,FALSE))/1440),1,0)</f>
        <v>0</v>
      </c>
      <c r="N9" s="2">
        <f>IF(AND(VLOOKUP(N$1,test!$A$3:$F$32,5,FALSE) - VLOOKUP($B9,test!$A$3:$G$32,6,FALSE) &gt;= (test!$B$33+VLOOKUP(VLOOKUP($B9,test!$A$2:$I$32,4,FALSE),test!$J$10:$P$14,3,FALSE))/1440),1,0)</f>
        <v>0</v>
      </c>
      <c r="O9" s="2">
        <f>IF(AND(VLOOKUP(O$1,test!$A$3:$F$32,5,FALSE) - VLOOKUP($B9,test!$A$3:$G$32,6,FALSE) &gt;= (test!$B$33+VLOOKUP(VLOOKUP($B9,test!$A$2:$I$32,4,FALSE),test!$J$10:$P$14,3,FALSE))/1440),1,0)</f>
        <v>0</v>
      </c>
      <c r="P9" s="2">
        <f>IF(AND(VLOOKUP(P$1,test!$A$3:$F$32,5,FALSE) - VLOOKUP($B9,test!$A$3:$G$32,6,FALSE) &gt;= (test!$B$33+VLOOKUP(VLOOKUP($B9,test!$A$2:$I$32,4,FALSE),test!$J$10:$P$14,3,FALSE))/1440),1,0)</f>
        <v>0</v>
      </c>
      <c r="Q9" s="2">
        <f>IF(AND(VLOOKUP(Q$1,test!$A$3:$F$32,5,FALSE) - VLOOKUP($B9,test!$A$3:$G$32,6,FALSE) &gt;= (test!$B$33+VLOOKUP(VLOOKUP($B9,test!$A$2:$I$32,4,FALSE),test!$J$10:$P$14,3,FALSE))/1440),1,0)</f>
        <v>0</v>
      </c>
      <c r="R9" s="2">
        <f>IF(AND(VLOOKUP(R$1,test!$A$3:$F$32,5,FALSE) - VLOOKUP($B9,test!$A$3:$G$32,6,FALSE) &gt;= (test!$B$33+VLOOKUP(VLOOKUP($B9,test!$A$2:$I$32,4,FALSE),test!$J$10:$P$14,3,FALSE))/1440),1,0)</f>
        <v>0</v>
      </c>
      <c r="S9" s="2">
        <f>IF(AND(VLOOKUP(S$1,test!$A$3:$F$32,5,FALSE) - VLOOKUP($B9,test!$A$3:$G$32,6,FALSE) &gt;= (test!$B$33+VLOOKUP(VLOOKUP($B9,test!$A$2:$I$32,4,FALSE),test!$J$10:$P$14,3,FALSE))/1440),1,0)</f>
        <v>0</v>
      </c>
      <c r="T9" s="2">
        <f>IF(AND(VLOOKUP(T$1,test!$A$3:$F$32,5,FALSE) - VLOOKUP($B9,test!$A$3:$G$32,6,FALSE) &gt;= (test!$B$33+VLOOKUP(VLOOKUP($B9,test!$A$2:$I$32,4,FALSE),test!$J$10:$P$14,3,FALSE))/1440),1,0)</f>
        <v>0</v>
      </c>
      <c r="U9" s="2">
        <f>IF(AND(VLOOKUP(U$1,test!$A$3:$F$32,5,FALSE) - VLOOKUP($B9,test!$A$3:$G$32,6,FALSE) &gt;= (test!$B$33+VLOOKUP(VLOOKUP($B9,test!$A$2:$I$32,4,FALSE),test!$J$10:$P$14,3,FALSE))/1440),1,0)</f>
        <v>0</v>
      </c>
      <c r="V9" s="2">
        <f>IF(AND(VLOOKUP(V$1,test!$A$3:$F$32,5,FALSE) - VLOOKUP($B9,test!$A$3:$G$32,6,FALSE) &gt;= (test!$B$33+VLOOKUP(VLOOKUP($B9,test!$A$2:$I$32,4,FALSE),test!$J$10:$P$14,3,FALSE))/1440),1,0)</f>
        <v>0</v>
      </c>
      <c r="W9" s="2">
        <f>IF(AND(VLOOKUP(W$1,test!$A$3:$F$32,5,FALSE) - VLOOKUP($B9,test!$A$3:$G$32,6,FALSE) &gt;= (test!$B$33+VLOOKUP(VLOOKUP($B9,test!$A$2:$I$32,4,FALSE),test!$J$10:$P$14,3,FALSE))/1440),1,0)</f>
        <v>0</v>
      </c>
      <c r="X9" s="2">
        <f>IF(AND(VLOOKUP(X$1,test!$A$3:$F$32,5,FALSE) - VLOOKUP($B9,test!$A$3:$G$32,6,FALSE) &gt;= (test!$B$33+VLOOKUP(VLOOKUP($B9,test!$A$2:$I$32,4,FALSE),test!$J$10:$P$14,3,FALSE))/1440),1,0)</f>
        <v>0</v>
      </c>
      <c r="Y9" s="2">
        <f>IF(AND(VLOOKUP(Y$1,test!$A$3:$F$32,5,FALSE) - VLOOKUP($B9,test!$A$3:$G$32,6,FALSE) &gt;= (test!$B$33+VLOOKUP(VLOOKUP($B9,test!$A$2:$I$32,4,FALSE),test!$J$10:$P$14,3,FALSE))/1440),1,0)</f>
        <v>0</v>
      </c>
      <c r="Z9" s="2">
        <f>IF(AND(VLOOKUP(Z$1,test!$A$3:$F$32,5,FALSE) - VLOOKUP($B9,test!$A$3:$G$32,6,FALSE) &gt;= (test!$B$33+VLOOKUP(VLOOKUP($B9,test!$A$2:$I$32,4,FALSE),test!$J$10:$P$14,3,FALSE))/1440),1,0)</f>
        <v>0</v>
      </c>
      <c r="AA9" s="2">
        <f>IF(AND(VLOOKUP(AA$1,test!$A$3:$F$32,5,FALSE) - VLOOKUP($B9,test!$A$3:$G$32,6,FALSE) &gt;= (test!$B$33+VLOOKUP(VLOOKUP($B9,test!$A$2:$I$32,4,FALSE),test!$J$10:$P$14,3,FALSE))/1440),1,0)</f>
        <v>0</v>
      </c>
      <c r="AB9" s="2">
        <f>IF(AND(VLOOKUP(AB$1,test!$A$3:$F$32,5,FALSE) - VLOOKUP($B9,test!$A$3:$G$32,6,FALSE) &gt;= (test!$B$33+VLOOKUP(VLOOKUP($B9,test!$A$2:$I$32,4,FALSE),test!$J$10:$P$14,3,FALSE))/1440),1,0)</f>
        <v>0</v>
      </c>
      <c r="AC9" s="2">
        <f>IF(AND(VLOOKUP(AC$1,test!$A$3:$F$32,5,FALSE) - VLOOKUP($B9,test!$A$3:$G$32,6,FALSE) &gt;= (test!$B$33+VLOOKUP(VLOOKUP($B9,test!$A$2:$I$32,4,FALSE),test!$J$10:$P$14,3,FALSE))/1440),1,0)</f>
        <v>0</v>
      </c>
      <c r="AD9" s="2">
        <f>IF(AND(VLOOKUP(AD$1,test!$A$3:$F$32,5,FALSE) - VLOOKUP($B9,test!$A$3:$G$32,6,FALSE) &gt;= (test!$B$33+VLOOKUP(VLOOKUP($B9,test!$A$2:$I$32,4,FALSE),test!$J$10:$P$14,3,FALSE))/1440),1,0)</f>
        <v>0</v>
      </c>
      <c r="AE9" s="2">
        <f>IF(AND(VLOOKUP(AE$1,test!$A$3:$F$32,5,FALSE) - VLOOKUP($B9,test!$A$3:$G$32,6,FALSE) &gt;= (test!$B$33+VLOOKUP(VLOOKUP($B9,test!$A$2:$I$32,4,FALSE),test!$J$10:$P$14,3,FALSE))/1440),1,0)</f>
        <v>0</v>
      </c>
      <c r="AF9" s="2">
        <f>IF(AND(VLOOKUP(AF$1,test!$A$3:$F$32,5,FALSE) - VLOOKUP($B9,test!$A$3:$G$32,6,FALSE) &gt;= (test!$B$33+VLOOKUP(VLOOKUP($B9,test!$A$2:$I$32,4,FALSE),test!$J$10:$P$14,3,FALSE))/1440),1,0)</f>
        <v>0</v>
      </c>
      <c r="AG9" s="2">
        <f>IF(AND(VLOOKUP(AG$1,test!$A$3:$F$32,5,FALSE) - VLOOKUP($B9,test!$A$3:$G$32,6,FALSE) &gt;= (test!$B$33+VLOOKUP(VLOOKUP($B9,test!$A$2:$I$32,4,FALSE),test!$J$10:$P$14,3,FALSE))/1440),1,0)</f>
        <v>0</v>
      </c>
    </row>
    <row r="10" spans="1:34" x14ac:dyDescent="0.25">
      <c r="A10" t="s">
        <v>48</v>
      </c>
      <c r="B10" t="s">
        <v>15</v>
      </c>
      <c r="C10">
        <v>0</v>
      </c>
      <c r="D10" s="2">
        <f>IF(AND(VLOOKUP(D$1,test!$A$3:$F$32,5,FALSE) - VLOOKUP($B10,test!$A$3:$G$32,6,FALSE) &gt;= (test!$B$33+VLOOKUP(VLOOKUP($B10,test!$A$2:$I$32,4,FALSE),test!$J$10:$P$14,3,FALSE))/1440),1,0)</f>
        <v>0</v>
      </c>
      <c r="E10" s="2">
        <f>IF(AND(VLOOKUP(E$1,test!$A$3:$F$32,5,FALSE) - VLOOKUP($B10,test!$A$3:$G$32,6,FALSE) &gt;= (test!$B$33+VLOOKUP(VLOOKUP($B10,test!$A$2:$I$32,4,FALSE),test!$J$10:$P$14,3,FALSE))/1440),1,0)</f>
        <v>0</v>
      </c>
      <c r="F10" s="2">
        <f>IF(AND(VLOOKUP(F$1,test!$A$3:$F$32,5,FALSE) - VLOOKUP($B10,test!$A$3:$G$32,6,FALSE) &gt;= (test!$B$33+VLOOKUP(VLOOKUP($B10,test!$A$2:$I$32,4,FALSE),test!$J$10:$P$14,3,FALSE))/1440),1,0)</f>
        <v>0</v>
      </c>
      <c r="G10" s="2">
        <f>IF(AND(VLOOKUP(G$1,test!$A$3:$F$32,5,FALSE) - VLOOKUP($B10,test!$A$3:$G$32,6,FALSE) &gt;= (test!$B$33+VLOOKUP(VLOOKUP($B10,test!$A$2:$I$32,4,FALSE),test!$J$10:$P$14,3,FALSE))/1440),1,0)</f>
        <v>0</v>
      </c>
      <c r="H10" s="2">
        <f>IF(AND(VLOOKUP(H$1,test!$A$3:$F$32,5,FALSE) - VLOOKUP($B10,test!$A$3:$G$32,6,FALSE) &gt;= (test!$B$33+VLOOKUP(VLOOKUP($B10,test!$A$2:$I$32,4,FALSE),test!$J$10:$P$14,3,FALSE))/1440),1,0)</f>
        <v>0</v>
      </c>
      <c r="I10" s="2">
        <f>IF(AND(VLOOKUP(I$1,test!$A$3:$F$32,5,FALSE) - VLOOKUP($B10,test!$A$3:$G$32,6,FALSE) &gt;= (test!$B$33+VLOOKUP(VLOOKUP($B10,test!$A$2:$I$32,4,FALSE),test!$J$10:$P$14,3,FALSE))/1440),1,0)</f>
        <v>0</v>
      </c>
      <c r="J10" s="2">
        <f>IF(AND(VLOOKUP(J$1,test!$A$3:$F$32,5,FALSE) - VLOOKUP($B10,test!$A$3:$G$32,6,FALSE) &gt;= (test!$B$33+VLOOKUP(VLOOKUP($B10,test!$A$2:$I$32,4,FALSE),test!$J$10:$P$14,3,FALSE))/1440),1,0)</f>
        <v>0</v>
      </c>
      <c r="K10" s="2">
        <f>IF(AND(VLOOKUP(K$1,test!$A$3:$F$32,5,FALSE) - VLOOKUP($B10,test!$A$3:$G$32,6,FALSE) &gt;= (test!$B$33+VLOOKUP(VLOOKUP($B10,test!$A$2:$I$32,4,FALSE),test!$J$10:$P$14,3,FALSE))/1440),1,0)</f>
        <v>0</v>
      </c>
      <c r="L10" s="2">
        <f>IF(AND(VLOOKUP(L$1,test!$A$3:$F$32,5,FALSE) - VLOOKUP($B10,test!$A$3:$G$32,6,FALSE) &gt;= (test!$B$33+VLOOKUP(VLOOKUP($B10,test!$A$2:$I$32,4,FALSE),test!$J$10:$P$14,3,FALSE))/1440),1,0)</f>
        <v>0</v>
      </c>
      <c r="M10" s="2">
        <f>IF(AND(VLOOKUP(M$1,test!$A$3:$F$32,5,FALSE) - VLOOKUP($B10,test!$A$3:$G$32,6,FALSE) &gt;= (test!$B$33+VLOOKUP(VLOOKUP($B10,test!$A$2:$I$32,4,FALSE),test!$J$10:$P$14,3,FALSE))/1440),1,0)</f>
        <v>0</v>
      </c>
      <c r="N10" s="2">
        <f>IF(AND(VLOOKUP(N$1,test!$A$3:$F$32,5,FALSE) - VLOOKUP($B10,test!$A$3:$G$32,6,FALSE) &gt;= (test!$B$33+VLOOKUP(VLOOKUP($B10,test!$A$2:$I$32,4,FALSE),test!$J$10:$P$14,3,FALSE))/1440),1,0)</f>
        <v>0</v>
      </c>
      <c r="O10" s="2">
        <f>IF(AND(VLOOKUP(O$1,test!$A$3:$F$32,5,FALSE) - VLOOKUP($B10,test!$A$3:$G$32,6,FALSE) &gt;= (test!$B$33+VLOOKUP(VLOOKUP($B10,test!$A$2:$I$32,4,FALSE),test!$J$10:$P$14,3,FALSE))/1440),1,0)</f>
        <v>0</v>
      </c>
      <c r="P10" s="2">
        <f>IF(AND(VLOOKUP(P$1,test!$A$3:$F$32,5,FALSE) - VLOOKUP($B10,test!$A$3:$G$32,6,FALSE) &gt;= (test!$B$33+VLOOKUP(VLOOKUP($B10,test!$A$2:$I$32,4,FALSE),test!$J$10:$P$14,3,FALSE))/1440),1,0)</f>
        <v>0</v>
      </c>
      <c r="Q10" s="2">
        <f>IF(AND(VLOOKUP(Q$1,test!$A$3:$F$32,5,FALSE) - VLOOKUP($B10,test!$A$3:$G$32,6,FALSE) &gt;= (test!$B$33+VLOOKUP(VLOOKUP($B10,test!$A$2:$I$32,4,FALSE),test!$J$10:$P$14,3,FALSE))/1440),1,0)</f>
        <v>0</v>
      </c>
      <c r="R10" s="2">
        <f>IF(AND(VLOOKUP(R$1,test!$A$3:$F$32,5,FALSE) - VLOOKUP($B10,test!$A$3:$G$32,6,FALSE) &gt;= (test!$B$33+VLOOKUP(VLOOKUP($B10,test!$A$2:$I$32,4,FALSE),test!$J$10:$P$14,3,FALSE))/1440),1,0)</f>
        <v>0</v>
      </c>
      <c r="S10" s="2">
        <f>IF(AND(VLOOKUP(S$1,test!$A$3:$F$32,5,FALSE) - VLOOKUP($B10,test!$A$3:$G$32,6,FALSE) &gt;= (test!$B$33+VLOOKUP(VLOOKUP($B10,test!$A$2:$I$32,4,FALSE),test!$J$10:$P$14,3,FALSE))/1440),1,0)</f>
        <v>0</v>
      </c>
      <c r="T10" s="2">
        <f>IF(AND(VLOOKUP(T$1,test!$A$3:$F$32,5,FALSE) - VLOOKUP($B10,test!$A$3:$G$32,6,FALSE) &gt;= (test!$B$33+VLOOKUP(VLOOKUP($B10,test!$A$2:$I$32,4,FALSE),test!$J$10:$P$14,3,FALSE))/1440),1,0)</f>
        <v>0</v>
      </c>
      <c r="U10" s="2">
        <f>IF(AND(VLOOKUP(U$1,test!$A$3:$F$32,5,FALSE) - VLOOKUP($B10,test!$A$3:$G$32,6,FALSE) &gt;= (test!$B$33+VLOOKUP(VLOOKUP($B10,test!$A$2:$I$32,4,FALSE),test!$J$10:$P$14,3,FALSE))/1440),1,0)</f>
        <v>0</v>
      </c>
      <c r="V10" s="2">
        <f>IF(AND(VLOOKUP(V$1,test!$A$3:$F$32,5,FALSE) - VLOOKUP($B10,test!$A$3:$G$32,6,FALSE) &gt;= (test!$B$33+VLOOKUP(VLOOKUP($B10,test!$A$2:$I$32,4,FALSE),test!$J$10:$P$14,3,FALSE))/1440),1,0)</f>
        <v>0</v>
      </c>
      <c r="W10" s="2">
        <f>IF(AND(VLOOKUP(W$1,test!$A$3:$F$32,5,FALSE) - VLOOKUP($B10,test!$A$3:$G$32,6,FALSE) &gt;= (test!$B$33+VLOOKUP(VLOOKUP($B10,test!$A$2:$I$32,4,FALSE),test!$J$10:$P$14,3,FALSE))/1440),1,0)</f>
        <v>0</v>
      </c>
      <c r="X10" s="2">
        <f>IF(AND(VLOOKUP(X$1,test!$A$3:$F$32,5,FALSE) - VLOOKUP($B10,test!$A$3:$G$32,6,FALSE) &gt;= (test!$B$33+VLOOKUP(VLOOKUP($B10,test!$A$2:$I$32,4,FALSE),test!$J$10:$P$14,3,FALSE))/1440),1,0)</f>
        <v>0</v>
      </c>
      <c r="Y10" s="2">
        <f>IF(AND(VLOOKUP(Y$1,test!$A$3:$F$32,5,FALSE) - VLOOKUP($B10,test!$A$3:$G$32,6,FALSE) &gt;= (test!$B$33+VLOOKUP(VLOOKUP($B10,test!$A$2:$I$32,4,FALSE),test!$J$10:$P$14,3,FALSE))/1440),1,0)</f>
        <v>0</v>
      </c>
      <c r="Z10" s="2">
        <f>IF(AND(VLOOKUP(Z$1,test!$A$3:$F$32,5,FALSE) - VLOOKUP($B10,test!$A$3:$G$32,6,FALSE) &gt;= (test!$B$33+VLOOKUP(VLOOKUP($B10,test!$A$2:$I$32,4,FALSE),test!$J$10:$P$14,3,FALSE))/1440),1,0)</f>
        <v>0</v>
      </c>
      <c r="AA10" s="2">
        <f>IF(AND(VLOOKUP(AA$1,test!$A$3:$F$32,5,FALSE) - VLOOKUP($B10,test!$A$3:$G$32,6,FALSE) &gt;= (test!$B$33+VLOOKUP(VLOOKUP($B10,test!$A$2:$I$32,4,FALSE),test!$J$10:$P$14,3,FALSE))/1440),1,0)</f>
        <v>0</v>
      </c>
      <c r="AB10" s="2">
        <f>IF(AND(VLOOKUP(AB$1,test!$A$3:$F$32,5,FALSE) - VLOOKUP($B10,test!$A$3:$G$32,6,FALSE) &gt;= (test!$B$33+VLOOKUP(VLOOKUP($B10,test!$A$2:$I$32,4,FALSE),test!$J$10:$P$14,3,FALSE))/1440),1,0)</f>
        <v>0</v>
      </c>
      <c r="AC10" s="2">
        <f>IF(AND(VLOOKUP(AC$1,test!$A$3:$F$32,5,FALSE) - VLOOKUP($B10,test!$A$3:$G$32,6,FALSE) &gt;= (test!$B$33+VLOOKUP(VLOOKUP($B10,test!$A$2:$I$32,4,FALSE),test!$J$10:$P$14,3,FALSE))/1440),1,0)</f>
        <v>0</v>
      </c>
      <c r="AD10" s="2">
        <f>IF(AND(VLOOKUP(AD$1,test!$A$3:$F$32,5,FALSE) - VLOOKUP($B10,test!$A$3:$G$32,6,FALSE) &gt;= (test!$B$33+VLOOKUP(VLOOKUP($B10,test!$A$2:$I$32,4,FALSE),test!$J$10:$P$14,3,FALSE))/1440),1,0)</f>
        <v>0</v>
      </c>
      <c r="AE10" s="2">
        <f>IF(AND(VLOOKUP(AE$1,test!$A$3:$F$32,5,FALSE) - VLOOKUP($B10,test!$A$3:$G$32,6,FALSE) &gt;= (test!$B$33+VLOOKUP(VLOOKUP($B10,test!$A$2:$I$32,4,FALSE),test!$J$10:$P$14,3,FALSE))/1440),1,0)</f>
        <v>0</v>
      </c>
      <c r="AF10" s="2">
        <f>IF(AND(VLOOKUP(AF$1,test!$A$3:$F$32,5,FALSE) - VLOOKUP($B10,test!$A$3:$G$32,6,FALSE) &gt;= (test!$B$33+VLOOKUP(VLOOKUP($B10,test!$A$2:$I$32,4,FALSE),test!$J$10:$P$14,3,FALSE))/1440),1,0)</f>
        <v>0</v>
      </c>
      <c r="AG10" s="2">
        <f>IF(AND(VLOOKUP(AG$1,test!$A$3:$F$32,5,FALSE) - VLOOKUP($B10,test!$A$3:$G$32,6,FALSE) &gt;= (test!$B$33+VLOOKUP(VLOOKUP($B10,test!$A$2:$I$32,4,FALSE),test!$J$10:$P$14,3,FALSE))/1440),1,0)</f>
        <v>0</v>
      </c>
    </row>
    <row r="11" spans="1:34" x14ac:dyDescent="0.25">
      <c r="A11" t="s">
        <v>48</v>
      </c>
      <c r="B11" t="s">
        <v>18</v>
      </c>
      <c r="C11">
        <v>0</v>
      </c>
      <c r="D11" s="2">
        <f>IF(AND(VLOOKUP(D$1,test!$A$3:$F$32,5,FALSE) - VLOOKUP($B11,test!$A$3:$G$32,6,FALSE) &gt;= (test!$B$33+VLOOKUP(VLOOKUP($B11,test!$A$2:$I$32,4,FALSE),test!$J$10:$P$14,3,FALSE))/1440),1,0)</f>
        <v>0</v>
      </c>
      <c r="E11" s="2">
        <f>IF(AND(VLOOKUP(E$1,test!$A$3:$F$32,5,FALSE) - VLOOKUP($B11,test!$A$3:$G$32,6,FALSE) &gt;= (test!$B$33+VLOOKUP(VLOOKUP($B11,test!$A$2:$I$32,4,FALSE),test!$J$10:$P$14,3,FALSE))/1440),1,0)</f>
        <v>0</v>
      </c>
      <c r="F11" s="2">
        <f>IF(AND(VLOOKUP(F$1,test!$A$3:$F$32,5,FALSE) - VLOOKUP($B11,test!$A$3:$G$32,6,FALSE) &gt;= (test!$B$33+VLOOKUP(VLOOKUP($B11,test!$A$2:$I$32,4,FALSE),test!$J$10:$P$14,3,FALSE))/1440),1,0)</f>
        <v>1</v>
      </c>
      <c r="G11" s="2">
        <f>IF(AND(VLOOKUP(G$1,test!$A$3:$F$32,5,FALSE) - VLOOKUP($B11,test!$A$3:$G$32,6,FALSE) &gt;= (test!$B$33+VLOOKUP(VLOOKUP($B11,test!$A$2:$I$32,4,FALSE),test!$J$10:$P$14,3,FALSE))/1440),1,0)</f>
        <v>1</v>
      </c>
      <c r="H11" s="2">
        <f>IF(AND(VLOOKUP(H$1,test!$A$3:$F$32,5,FALSE) - VLOOKUP($B11,test!$A$3:$G$32,6,FALSE) &gt;= (test!$B$33+VLOOKUP(VLOOKUP($B11,test!$A$2:$I$32,4,FALSE),test!$J$10:$P$14,3,FALSE))/1440),1,0)</f>
        <v>1</v>
      </c>
      <c r="I11" s="2">
        <f>IF(AND(VLOOKUP(I$1,test!$A$3:$F$32,5,FALSE) - VLOOKUP($B11,test!$A$3:$G$32,6,FALSE) &gt;= (test!$B$33+VLOOKUP(VLOOKUP($B11,test!$A$2:$I$32,4,FALSE),test!$J$10:$P$14,3,FALSE))/1440),1,0)</f>
        <v>1</v>
      </c>
      <c r="J11" s="2">
        <f>IF(AND(VLOOKUP(J$1,test!$A$3:$F$32,5,FALSE) - VLOOKUP($B11,test!$A$3:$G$32,6,FALSE) &gt;= (test!$B$33+VLOOKUP(VLOOKUP($B11,test!$A$2:$I$32,4,FALSE),test!$J$10:$P$14,3,FALSE))/1440),1,0)</f>
        <v>1</v>
      </c>
      <c r="K11" s="2">
        <f>IF(AND(VLOOKUP(K$1,test!$A$3:$F$32,5,FALSE) - VLOOKUP($B11,test!$A$3:$G$32,6,FALSE) &gt;= (test!$B$33+VLOOKUP(VLOOKUP($B11,test!$A$2:$I$32,4,FALSE),test!$J$10:$P$14,3,FALSE))/1440),1,0)</f>
        <v>1</v>
      </c>
      <c r="L11" s="2">
        <f>IF(AND(VLOOKUP(L$1,test!$A$3:$F$32,5,FALSE) - VLOOKUP($B11,test!$A$3:$G$32,6,FALSE) &gt;= (test!$B$33+VLOOKUP(VLOOKUP($B11,test!$A$2:$I$32,4,FALSE),test!$J$10:$P$14,3,FALSE))/1440),1,0)</f>
        <v>0</v>
      </c>
      <c r="M11" s="2">
        <f>IF(AND(VLOOKUP(M$1,test!$A$3:$F$32,5,FALSE) - VLOOKUP($B11,test!$A$3:$G$32,6,FALSE) &gt;= (test!$B$33+VLOOKUP(VLOOKUP($B11,test!$A$2:$I$32,4,FALSE),test!$J$10:$P$14,3,FALSE))/1440),1,0)</f>
        <v>0</v>
      </c>
      <c r="N11" s="2">
        <f>IF(AND(VLOOKUP(N$1,test!$A$3:$F$32,5,FALSE) - VLOOKUP($B11,test!$A$3:$G$32,6,FALSE) &gt;= (test!$B$33+VLOOKUP(VLOOKUP($B11,test!$A$2:$I$32,4,FALSE),test!$J$10:$P$14,3,FALSE))/1440),1,0)</f>
        <v>1</v>
      </c>
      <c r="O11" s="2">
        <f>IF(AND(VLOOKUP(O$1,test!$A$3:$F$32,5,FALSE) - VLOOKUP($B11,test!$A$3:$G$32,6,FALSE) &gt;= (test!$B$33+VLOOKUP(VLOOKUP($B11,test!$A$2:$I$32,4,FALSE),test!$J$10:$P$14,3,FALSE))/1440),1,0)</f>
        <v>1</v>
      </c>
      <c r="P11" s="2">
        <f>IF(AND(VLOOKUP(P$1,test!$A$3:$F$32,5,FALSE) - VLOOKUP($B11,test!$A$3:$G$32,6,FALSE) &gt;= (test!$B$33+VLOOKUP(VLOOKUP($B11,test!$A$2:$I$32,4,FALSE),test!$J$10:$P$14,3,FALSE))/1440),1,0)</f>
        <v>1</v>
      </c>
      <c r="Q11" s="2">
        <f>IF(AND(VLOOKUP(Q$1,test!$A$3:$F$32,5,FALSE) - VLOOKUP($B11,test!$A$3:$G$32,6,FALSE) &gt;= (test!$B$33+VLOOKUP(VLOOKUP($B11,test!$A$2:$I$32,4,FALSE),test!$J$10:$P$14,3,FALSE))/1440),1,0)</f>
        <v>0</v>
      </c>
      <c r="R11" s="2">
        <f>IF(AND(VLOOKUP(R$1,test!$A$3:$F$32,5,FALSE) - VLOOKUP($B11,test!$A$3:$G$32,6,FALSE) &gt;= (test!$B$33+VLOOKUP(VLOOKUP($B11,test!$A$2:$I$32,4,FALSE),test!$J$10:$P$14,3,FALSE))/1440),1,0)</f>
        <v>0</v>
      </c>
      <c r="S11" s="2">
        <f>IF(AND(VLOOKUP(S$1,test!$A$3:$F$32,5,FALSE) - VLOOKUP($B11,test!$A$3:$G$32,6,FALSE) &gt;= (test!$B$33+VLOOKUP(VLOOKUP($B11,test!$A$2:$I$32,4,FALSE),test!$J$10:$P$14,3,FALSE))/1440),1,0)</f>
        <v>0</v>
      </c>
      <c r="T11" s="2">
        <f>IF(AND(VLOOKUP(T$1,test!$A$3:$F$32,5,FALSE) - VLOOKUP($B11,test!$A$3:$G$32,6,FALSE) &gt;= (test!$B$33+VLOOKUP(VLOOKUP($B11,test!$A$2:$I$32,4,FALSE),test!$J$10:$P$14,3,FALSE))/1440),1,0)</f>
        <v>0</v>
      </c>
      <c r="U11" s="2">
        <f>IF(AND(VLOOKUP(U$1,test!$A$3:$F$32,5,FALSE) - VLOOKUP($B11,test!$A$3:$G$32,6,FALSE) &gt;= (test!$B$33+VLOOKUP(VLOOKUP($B11,test!$A$2:$I$32,4,FALSE),test!$J$10:$P$14,3,FALSE))/1440),1,0)</f>
        <v>1</v>
      </c>
      <c r="V11" s="2">
        <f>IF(AND(VLOOKUP(V$1,test!$A$3:$F$32,5,FALSE) - VLOOKUP($B11,test!$A$3:$G$32,6,FALSE) &gt;= (test!$B$33+VLOOKUP(VLOOKUP($B11,test!$A$2:$I$32,4,FALSE),test!$J$10:$P$14,3,FALSE))/1440),1,0)</f>
        <v>1</v>
      </c>
      <c r="W11" s="2">
        <f>IF(AND(VLOOKUP(W$1,test!$A$3:$F$32,5,FALSE) - VLOOKUP($B11,test!$A$3:$G$32,6,FALSE) &gt;= (test!$B$33+VLOOKUP(VLOOKUP($B11,test!$A$2:$I$32,4,FALSE),test!$J$10:$P$14,3,FALSE))/1440),1,0)</f>
        <v>1</v>
      </c>
      <c r="X11" s="2">
        <f>IF(AND(VLOOKUP(X$1,test!$A$3:$F$32,5,FALSE) - VLOOKUP($B11,test!$A$3:$G$32,6,FALSE) &gt;= (test!$B$33+VLOOKUP(VLOOKUP($B11,test!$A$2:$I$32,4,FALSE),test!$J$10:$P$14,3,FALSE))/1440),1,0)</f>
        <v>1</v>
      </c>
      <c r="Y11" s="2">
        <f>IF(AND(VLOOKUP(Y$1,test!$A$3:$F$32,5,FALSE) - VLOOKUP($B11,test!$A$3:$G$32,6,FALSE) &gt;= (test!$B$33+VLOOKUP(VLOOKUP($B11,test!$A$2:$I$32,4,FALSE),test!$J$10:$P$14,3,FALSE))/1440),1,0)</f>
        <v>1</v>
      </c>
      <c r="Z11" s="2">
        <f>IF(AND(VLOOKUP(Z$1,test!$A$3:$F$32,5,FALSE) - VLOOKUP($B11,test!$A$3:$G$32,6,FALSE) &gt;= (test!$B$33+VLOOKUP(VLOOKUP($B11,test!$A$2:$I$32,4,FALSE),test!$J$10:$P$14,3,FALSE))/1440),1,0)</f>
        <v>0</v>
      </c>
      <c r="AA11" s="2">
        <f>IF(AND(VLOOKUP(AA$1,test!$A$3:$F$32,5,FALSE) - VLOOKUP($B11,test!$A$3:$G$32,6,FALSE) &gt;= (test!$B$33+VLOOKUP(VLOOKUP($B11,test!$A$2:$I$32,4,FALSE),test!$J$10:$P$14,3,FALSE))/1440),1,0)</f>
        <v>0</v>
      </c>
      <c r="AB11" s="2">
        <f>IF(AND(VLOOKUP(AB$1,test!$A$3:$F$32,5,FALSE) - VLOOKUP($B11,test!$A$3:$G$32,6,FALSE) &gt;= (test!$B$33+VLOOKUP(VLOOKUP($B11,test!$A$2:$I$32,4,FALSE),test!$J$10:$P$14,3,FALSE))/1440),1,0)</f>
        <v>1</v>
      </c>
      <c r="AC11" s="2">
        <f>IF(AND(VLOOKUP(AC$1,test!$A$3:$F$32,5,FALSE) - VLOOKUP($B11,test!$A$3:$G$32,6,FALSE) &gt;= (test!$B$33+VLOOKUP(VLOOKUP($B11,test!$A$2:$I$32,4,FALSE),test!$J$10:$P$14,3,FALSE))/1440),1,0)</f>
        <v>1</v>
      </c>
      <c r="AD11" s="2">
        <f>IF(AND(VLOOKUP(AD$1,test!$A$3:$F$32,5,FALSE) - VLOOKUP($B11,test!$A$3:$G$32,6,FALSE) &gt;= (test!$B$33+VLOOKUP(VLOOKUP($B11,test!$A$2:$I$32,4,FALSE),test!$J$10:$P$14,3,FALSE))/1440),1,0)</f>
        <v>1</v>
      </c>
      <c r="AE11" s="2">
        <f>IF(AND(VLOOKUP(AE$1,test!$A$3:$F$32,5,FALSE) - VLOOKUP($B11,test!$A$3:$G$32,6,FALSE) &gt;= (test!$B$33+VLOOKUP(VLOOKUP($B11,test!$A$2:$I$32,4,FALSE),test!$J$10:$P$14,3,FALSE))/1440),1,0)</f>
        <v>0</v>
      </c>
      <c r="AF11" s="2">
        <f>IF(AND(VLOOKUP(AF$1,test!$A$3:$F$32,5,FALSE) - VLOOKUP($B11,test!$A$3:$G$32,6,FALSE) &gt;= (test!$B$33+VLOOKUP(VLOOKUP($B11,test!$A$2:$I$32,4,FALSE),test!$J$10:$P$14,3,FALSE))/1440),1,0)</f>
        <v>1</v>
      </c>
      <c r="AG11" s="2">
        <f>IF(AND(VLOOKUP(AG$1,test!$A$3:$F$32,5,FALSE) - VLOOKUP($B11,test!$A$3:$G$32,6,FALSE) &gt;= (test!$B$33+VLOOKUP(VLOOKUP($B11,test!$A$2:$I$32,4,FALSE),test!$J$10:$P$14,3,FALSE))/1440),1,0)</f>
        <v>1</v>
      </c>
    </row>
    <row r="12" spans="1:34" x14ac:dyDescent="0.25">
      <c r="A12" t="s">
        <v>48</v>
      </c>
      <c r="B12" t="s">
        <v>20</v>
      </c>
      <c r="C12">
        <v>0</v>
      </c>
      <c r="D12" s="2">
        <f>IF(AND(VLOOKUP(D$1,test!$A$3:$F$32,5,FALSE) - VLOOKUP($B12,test!$A$3:$G$32,6,FALSE) &gt;= (test!$B$33+VLOOKUP(VLOOKUP($B12,test!$A$2:$I$32,4,FALSE),test!$J$10:$P$14,3,FALSE))/1440),1,0)</f>
        <v>0</v>
      </c>
      <c r="E12" s="2">
        <f>IF(AND(VLOOKUP(E$1,test!$A$3:$F$32,5,FALSE) - VLOOKUP($B12,test!$A$3:$G$32,6,FALSE) &gt;= (test!$B$33+VLOOKUP(VLOOKUP($B12,test!$A$2:$I$32,4,FALSE),test!$J$10:$P$14,3,FALSE))/1440),1,0)</f>
        <v>0</v>
      </c>
      <c r="F12" s="2">
        <f>IF(AND(VLOOKUP(F$1,test!$A$3:$F$32,5,FALSE) - VLOOKUP($B12,test!$A$3:$G$32,6,FALSE) &gt;= (test!$B$33+VLOOKUP(VLOOKUP($B12,test!$A$2:$I$32,4,FALSE),test!$J$10:$P$14,3,FALSE))/1440),1,0)</f>
        <v>0</v>
      </c>
      <c r="G12" s="2">
        <f>IF(AND(VLOOKUP(G$1,test!$A$3:$F$32,5,FALSE) - VLOOKUP($B12,test!$A$3:$G$32,6,FALSE) &gt;= (test!$B$33+VLOOKUP(VLOOKUP($B12,test!$A$2:$I$32,4,FALSE),test!$J$10:$P$14,3,FALSE))/1440),1,0)</f>
        <v>1</v>
      </c>
      <c r="H12" s="2">
        <f>IF(AND(VLOOKUP(H$1,test!$A$3:$F$32,5,FALSE) - VLOOKUP($B12,test!$A$3:$G$32,6,FALSE) &gt;= (test!$B$33+VLOOKUP(VLOOKUP($B12,test!$A$2:$I$32,4,FALSE),test!$J$10:$P$14,3,FALSE))/1440),1,0)</f>
        <v>1</v>
      </c>
      <c r="I12" s="2">
        <f>IF(AND(VLOOKUP(I$1,test!$A$3:$F$32,5,FALSE) - VLOOKUP($B12,test!$A$3:$G$32,6,FALSE) &gt;= (test!$B$33+VLOOKUP(VLOOKUP($B12,test!$A$2:$I$32,4,FALSE),test!$J$10:$P$14,3,FALSE))/1440),1,0)</f>
        <v>1</v>
      </c>
      <c r="J12" s="2">
        <f>IF(AND(VLOOKUP(J$1,test!$A$3:$F$32,5,FALSE) - VLOOKUP($B12,test!$A$3:$G$32,6,FALSE) &gt;= (test!$B$33+VLOOKUP(VLOOKUP($B12,test!$A$2:$I$32,4,FALSE),test!$J$10:$P$14,3,FALSE))/1440),1,0)</f>
        <v>1</v>
      </c>
      <c r="K12" s="2">
        <f>IF(AND(VLOOKUP(K$1,test!$A$3:$F$32,5,FALSE) - VLOOKUP($B12,test!$A$3:$G$32,6,FALSE) &gt;= (test!$B$33+VLOOKUP(VLOOKUP($B12,test!$A$2:$I$32,4,FALSE),test!$J$10:$P$14,3,FALSE))/1440),1,0)</f>
        <v>1</v>
      </c>
      <c r="L12" s="2">
        <f>IF(AND(VLOOKUP(L$1,test!$A$3:$F$32,5,FALSE) - VLOOKUP($B12,test!$A$3:$G$32,6,FALSE) &gt;= (test!$B$33+VLOOKUP(VLOOKUP($B12,test!$A$2:$I$32,4,FALSE),test!$J$10:$P$14,3,FALSE))/1440),1,0)</f>
        <v>0</v>
      </c>
      <c r="M12" s="2">
        <f>IF(AND(VLOOKUP(M$1,test!$A$3:$F$32,5,FALSE) - VLOOKUP($B12,test!$A$3:$G$32,6,FALSE) &gt;= (test!$B$33+VLOOKUP(VLOOKUP($B12,test!$A$2:$I$32,4,FALSE),test!$J$10:$P$14,3,FALSE))/1440),1,0)</f>
        <v>0</v>
      </c>
      <c r="N12" s="2">
        <f>IF(AND(VLOOKUP(N$1,test!$A$3:$F$32,5,FALSE) - VLOOKUP($B12,test!$A$3:$G$32,6,FALSE) &gt;= (test!$B$33+VLOOKUP(VLOOKUP($B12,test!$A$2:$I$32,4,FALSE),test!$J$10:$P$14,3,FALSE))/1440),1,0)</f>
        <v>0</v>
      </c>
      <c r="O12" s="2">
        <f>IF(AND(VLOOKUP(O$1,test!$A$3:$F$32,5,FALSE) - VLOOKUP($B12,test!$A$3:$G$32,6,FALSE) &gt;= (test!$B$33+VLOOKUP(VLOOKUP($B12,test!$A$2:$I$32,4,FALSE),test!$J$10:$P$14,3,FALSE))/1440),1,0)</f>
        <v>1</v>
      </c>
      <c r="P12" s="2">
        <f>IF(AND(VLOOKUP(P$1,test!$A$3:$F$32,5,FALSE) - VLOOKUP($B12,test!$A$3:$G$32,6,FALSE) &gt;= (test!$B$33+VLOOKUP(VLOOKUP($B12,test!$A$2:$I$32,4,FALSE),test!$J$10:$P$14,3,FALSE))/1440),1,0)</f>
        <v>1</v>
      </c>
      <c r="Q12" s="2">
        <f>IF(AND(VLOOKUP(Q$1,test!$A$3:$F$32,5,FALSE) - VLOOKUP($B12,test!$A$3:$G$32,6,FALSE) &gt;= (test!$B$33+VLOOKUP(VLOOKUP($B12,test!$A$2:$I$32,4,FALSE),test!$J$10:$P$14,3,FALSE))/1440),1,0)</f>
        <v>0</v>
      </c>
      <c r="R12" s="2">
        <f>IF(AND(VLOOKUP(R$1,test!$A$3:$F$32,5,FALSE) - VLOOKUP($B12,test!$A$3:$G$32,6,FALSE) &gt;= (test!$B$33+VLOOKUP(VLOOKUP($B12,test!$A$2:$I$32,4,FALSE),test!$J$10:$P$14,3,FALSE))/1440),1,0)</f>
        <v>0</v>
      </c>
      <c r="S12" s="2">
        <f>IF(AND(VLOOKUP(S$1,test!$A$3:$F$32,5,FALSE) - VLOOKUP($B12,test!$A$3:$G$32,6,FALSE) &gt;= (test!$B$33+VLOOKUP(VLOOKUP($B12,test!$A$2:$I$32,4,FALSE),test!$J$10:$P$14,3,FALSE))/1440),1,0)</f>
        <v>0</v>
      </c>
      <c r="T12" s="2">
        <f>IF(AND(VLOOKUP(T$1,test!$A$3:$F$32,5,FALSE) - VLOOKUP($B12,test!$A$3:$G$32,6,FALSE) &gt;= (test!$B$33+VLOOKUP(VLOOKUP($B12,test!$A$2:$I$32,4,FALSE),test!$J$10:$P$14,3,FALSE))/1440),1,0)</f>
        <v>0</v>
      </c>
      <c r="U12" s="2">
        <f>IF(AND(VLOOKUP(U$1,test!$A$3:$F$32,5,FALSE) - VLOOKUP($B12,test!$A$3:$G$32,6,FALSE) &gt;= (test!$B$33+VLOOKUP(VLOOKUP($B12,test!$A$2:$I$32,4,FALSE),test!$J$10:$P$14,3,FALSE))/1440),1,0)</f>
        <v>0</v>
      </c>
      <c r="V12" s="2">
        <f>IF(AND(VLOOKUP(V$1,test!$A$3:$F$32,5,FALSE) - VLOOKUP($B12,test!$A$3:$G$32,6,FALSE) &gt;= (test!$B$33+VLOOKUP(VLOOKUP($B12,test!$A$2:$I$32,4,FALSE),test!$J$10:$P$14,3,FALSE))/1440),1,0)</f>
        <v>1</v>
      </c>
      <c r="W12" s="2">
        <f>IF(AND(VLOOKUP(W$1,test!$A$3:$F$32,5,FALSE) - VLOOKUP($B12,test!$A$3:$G$32,6,FALSE) &gt;= (test!$B$33+VLOOKUP(VLOOKUP($B12,test!$A$2:$I$32,4,FALSE),test!$J$10:$P$14,3,FALSE))/1440),1,0)</f>
        <v>1</v>
      </c>
      <c r="X12" s="2">
        <f>IF(AND(VLOOKUP(X$1,test!$A$3:$F$32,5,FALSE) - VLOOKUP($B12,test!$A$3:$G$32,6,FALSE) &gt;= (test!$B$33+VLOOKUP(VLOOKUP($B12,test!$A$2:$I$32,4,FALSE),test!$J$10:$P$14,3,FALSE))/1440),1,0)</f>
        <v>1</v>
      </c>
      <c r="Y12" s="2">
        <f>IF(AND(VLOOKUP(Y$1,test!$A$3:$F$32,5,FALSE) - VLOOKUP($B12,test!$A$3:$G$32,6,FALSE) &gt;= (test!$B$33+VLOOKUP(VLOOKUP($B12,test!$A$2:$I$32,4,FALSE),test!$J$10:$P$14,3,FALSE))/1440),1,0)</f>
        <v>1</v>
      </c>
      <c r="Z12" s="2">
        <f>IF(AND(VLOOKUP(Z$1,test!$A$3:$F$32,5,FALSE) - VLOOKUP($B12,test!$A$3:$G$32,6,FALSE) &gt;= (test!$B$33+VLOOKUP(VLOOKUP($B12,test!$A$2:$I$32,4,FALSE),test!$J$10:$P$14,3,FALSE))/1440),1,0)</f>
        <v>0</v>
      </c>
      <c r="AA12" s="2">
        <f>IF(AND(VLOOKUP(AA$1,test!$A$3:$F$32,5,FALSE) - VLOOKUP($B12,test!$A$3:$G$32,6,FALSE) &gt;= (test!$B$33+VLOOKUP(VLOOKUP($B12,test!$A$2:$I$32,4,FALSE),test!$J$10:$P$14,3,FALSE))/1440),1,0)</f>
        <v>0</v>
      </c>
      <c r="AB12" s="2">
        <f>IF(AND(VLOOKUP(AB$1,test!$A$3:$F$32,5,FALSE) - VLOOKUP($B12,test!$A$3:$G$32,6,FALSE) &gt;= (test!$B$33+VLOOKUP(VLOOKUP($B12,test!$A$2:$I$32,4,FALSE),test!$J$10:$P$14,3,FALSE))/1440),1,0)</f>
        <v>0</v>
      </c>
      <c r="AC12" s="2">
        <f>IF(AND(VLOOKUP(AC$1,test!$A$3:$F$32,5,FALSE) - VLOOKUP($B12,test!$A$3:$G$32,6,FALSE) &gt;= (test!$B$33+VLOOKUP(VLOOKUP($B12,test!$A$2:$I$32,4,FALSE),test!$J$10:$P$14,3,FALSE))/1440),1,0)</f>
        <v>1</v>
      </c>
      <c r="AD12" s="2">
        <f>IF(AND(VLOOKUP(AD$1,test!$A$3:$F$32,5,FALSE) - VLOOKUP($B12,test!$A$3:$G$32,6,FALSE) &gt;= (test!$B$33+VLOOKUP(VLOOKUP($B12,test!$A$2:$I$32,4,FALSE),test!$J$10:$P$14,3,FALSE))/1440),1,0)</f>
        <v>1</v>
      </c>
      <c r="AE12" s="2">
        <f>IF(AND(VLOOKUP(AE$1,test!$A$3:$F$32,5,FALSE) - VLOOKUP($B12,test!$A$3:$G$32,6,FALSE) &gt;= (test!$B$33+VLOOKUP(VLOOKUP($B12,test!$A$2:$I$32,4,FALSE),test!$J$10:$P$14,3,FALSE))/1440),1,0)</f>
        <v>0</v>
      </c>
      <c r="AF12" s="2">
        <f>IF(AND(VLOOKUP(AF$1,test!$A$3:$F$32,5,FALSE) - VLOOKUP($B12,test!$A$3:$G$32,6,FALSE) &gt;= (test!$B$33+VLOOKUP(VLOOKUP($B12,test!$A$2:$I$32,4,FALSE),test!$J$10:$P$14,3,FALSE))/1440),1,0)</f>
        <v>0</v>
      </c>
      <c r="AG12" s="2">
        <f>IF(AND(VLOOKUP(AG$1,test!$A$3:$F$32,5,FALSE) - VLOOKUP($B12,test!$A$3:$G$32,6,FALSE) &gt;= (test!$B$33+VLOOKUP(VLOOKUP($B12,test!$A$2:$I$32,4,FALSE),test!$J$10:$P$14,3,FALSE))/1440),1,0)</f>
        <v>0</v>
      </c>
    </row>
    <row r="13" spans="1:34" x14ac:dyDescent="0.25">
      <c r="A13" t="s">
        <v>48</v>
      </c>
      <c r="B13" t="s">
        <v>21</v>
      </c>
      <c r="C13">
        <v>0</v>
      </c>
      <c r="D13" s="2">
        <f>IF(AND(VLOOKUP(D$1,test!$A$3:$F$32,5,FALSE) - VLOOKUP($B13,test!$A$3:$G$32,6,FALSE) &gt;= (test!$B$33+VLOOKUP(VLOOKUP($B13,test!$A$2:$I$32,4,FALSE),test!$J$10:$P$14,3,FALSE))/1440),1,0)</f>
        <v>0</v>
      </c>
      <c r="E13" s="2">
        <f>IF(AND(VLOOKUP(E$1,test!$A$3:$F$32,5,FALSE) - VLOOKUP($B13,test!$A$3:$G$32,6,FALSE) &gt;= (test!$B$33+VLOOKUP(VLOOKUP($B13,test!$A$2:$I$32,4,FALSE),test!$J$10:$P$14,3,FALSE))/1440),1,0)</f>
        <v>0</v>
      </c>
      <c r="F13" s="2">
        <f>IF(AND(VLOOKUP(F$1,test!$A$3:$F$32,5,FALSE) - VLOOKUP($B13,test!$A$3:$G$32,6,FALSE) &gt;= (test!$B$33+VLOOKUP(VLOOKUP($B13,test!$A$2:$I$32,4,FALSE),test!$J$10:$P$14,3,FALSE))/1440),1,0)</f>
        <v>0</v>
      </c>
      <c r="G13" s="2">
        <f>IF(AND(VLOOKUP(G$1,test!$A$3:$F$32,5,FALSE) - VLOOKUP($B13,test!$A$3:$G$32,6,FALSE) &gt;= (test!$B$33+VLOOKUP(VLOOKUP($B13,test!$A$2:$I$32,4,FALSE),test!$J$10:$P$14,3,FALSE))/1440),1,0)</f>
        <v>0</v>
      </c>
      <c r="H13" s="2">
        <f>IF(AND(VLOOKUP(H$1,test!$A$3:$F$32,5,FALSE) - VLOOKUP($B13,test!$A$3:$G$32,6,FALSE) &gt;= (test!$B$33+VLOOKUP(VLOOKUP($B13,test!$A$2:$I$32,4,FALSE),test!$J$10:$P$14,3,FALSE))/1440),1,0)</f>
        <v>0</v>
      </c>
      <c r="I13" s="2">
        <f>IF(AND(VLOOKUP(I$1,test!$A$3:$F$32,5,FALSE) - VLOOKUP($B13,test!$A$3:$G$32,6,FALSE) &gt;= (test!$B$33+VLOOKUP(VLOOKUP($B13,test!$A$2:$I$32,4,FALSE),test!$J$10:$P$14,3,FALSE))/1440),1,0)</f>
        <v>1</v>
      </c>
      <c r="J13" s="2">
        <f>IF(AND(VLOOKUP(J$1,test!$A$3:$F$32,5,FALSE) - VLOOKUP($B13,test!$A$3:$G$32,6,FALSE) &gt;= (test!$B$33+VLOOKUP(VLOOKUP($B13,test!$A$2:$I$32,4,FALSE),test!$J$10:$P$14,3,FALSE))/1440),1,0)</f>
        <v>1</v>
      </c>
      <c r="K13" s="2">
        <f>IF(AND(VLOOKUP(K$1,test!$A$3:$F$32,5,FALSE) - VLOOKUP($B13,test!$A$3:$G$32,6,FALSE) &gt;= (test!$B$33+VLOOKUP(VLOOKUP($B13,test!$A$2:$I$32,4,FALSE),test!$J$10:$P$14,3,FALSE))/1440),1,0)</f>
        <v>1</v>
      </c>
      <c r="L13" s="2">
        <f>IF(AND(VLOOKUP(L$1,test!$A$3:$F$32,5,FALSE) - VLOOKUP($B13,test!$A$3:$G$32,6,FALSE) &gt;= (test!$B$33+VLOOKUP(VLOOKUP($B13,test!$A$2:$I$32,4,FALSE),test!$J$10:$P$14,3,FALSE))/1440),1,0)</f>
        <v>0</v>
      </c>
      <c r="M13" s="2">
        <f>IF(AND(VLOOKUP(M$1,test!$A$3:$F$32,5,FALSE) - VLOOKUP($B13,test!$A$3:$G$32,6,FALSE) &gt;= (test!$B$33+VLOOKUP(VLOOKUP($B13,test!$A$2:$I$32,4,FALSE),test!$J$10:$P$14,3,FALSE))/1440),1,0)</f>
        <v>0</v>
      </c>
      <c r="N13" s="2">
        <f>IF(AND(VLOOKUP(N$1,test!$A$3:$F$32,5,FALSE) - VLOOKUP($B13,test!$A$3:$G$32,6,FALSE) &gt;= (test!$B$33+VLOOKUP(VLOOKUP($B13,test!$A$2:$I$32,4,FALSE),test!$J$10:$P$14,3,FALSE))/1440),1,0)</f>
        <v>0</v>
      </c>
      <c r="O13" s="2">
        <f>IF(AND(VLOOKUP(O$1,test!$A$3:$F$32,5,FALSE) - VLOOKUP($B13,test!$A$3:$G$32,6,FALSE) &gt;= (test!$B$33+VLOOKUP(VLOOKUP($B13,test!$A$2:$I$32,4,FALSE),test!$J$10:$P$14,3,FALSE))/1440),1,0)</f>
        <v>1</v>
      </c>
      <c r="P13" s="2">
        <f>IF(AND(VLOOKUP(P$1,test!$A$3:$F$32,5,FALSE) - VLOOKUP($B13,test!$A$3:$G$32,6,FALSE) &gt;= (test!$B$33+VLOOKUP(VLOOKUP($B13,test!$A$2:$I$32,4,FALSE),test!$J$10:$P$14,3,FALSE))/1440),1,0)</f>
        <v>1</v>
      </c>
      <c r="Q13" s="2">
        <f>IF(AND(VLOOKUP(Q$1,test!$A$3:$F$32,5,FALSE) - VLOOKUP($B13,test!$A$3:$G$32,6,FALSE) &gt;= (test!$B$33+VLOOKUP(VLOOKUP($B13,test!$A$2:$I$32,4,FALSE),test!$J$10:$P$14,3,FALSE))/1440),1,0)</f>
        <v>0</v>
      </c>
      <c r="R13" s="2">
        <f>IF(AND(VLOOKUP(R$1,test!$A$3:$F$32,5,FALSE) - VLOOKUP($B13,test!$A$3:$G$32,6,FALSE) &gt;= (test!$B$33+VLOOKUP(VLOOKUP($B13,test!$A$2:$I$32,4,FALSE),test!$J$10:$P$14,3,FALSE))/1440),1,0)</f>
        <v>0</v>
      </c>
      <c r="S13" s="2">
        <f>IF(AND(VLOOKUP(S$1,test!$A$3:$F$32,5,FALSE) - VLOOKUP($B13,test!$A$3:$G$32,6,FALSE) &gt;= (test!$B$33+VLOOKUP(VLOOKUP($B13,test!$A$2:$I$32,4,FALSE),test!$J$10:$P$14,3,FALSE))/1440),1,0)</f>
        <v>0</v>
      </c>
      <c r="T13" s="2">
        <f>IF(AND(VLOOKUP(T$1,test!$A$3:$F$32,5,FALSE) - VLOOKUP($B13,test!$A$3:$G$32,6,FALSE) &gt;= (test!$B$33+VLOOKUP(VLOOKUP($B13,test!$A$2:$I$32,4,FALSE),test!$J$10:$P$14,3,FALSE))/1440),1,0)</f>
        <v>0</v>
      </c>
      <c r="U13" s="2">
        <f>IF(AND(VLOOKUP(U$1,test!$A$3:$F$32,5,FALSE) - VLOOKUP($B13,test!$A$3:$G$32,6,FALSE) &gt;= (test!$B$33+VLOOKUP(VLOOKUP($B13,test!$A$2:$I$32,4,FALSE),test!$J$10:$P$14,3,FALSE))/1440),1,0)</f>
        <v>0</v>
      </c>
      <c r="V13" s="2">
        <f>IF(AND(VLOOKUP(V$1,test!$A$3:$F$32,5,FALSE) - VLOOKUP($B13,test!$A$3:$G$32,6,FALSE) &gt;= (test!$B$33+VLOOKUP(VLOOKUP($B13,test!$A$2:$I$32,4,FALSE),test!$J$10:$P$14,3,FALSE))/1440),1,0)</f>
        <v>0</v>
      </c>
      <c r="W13" s="2">
        <f>IF(AND(VLOOKUP(W$1,test!$A$3:$F$32,5,FALSE) - VLOOKUP($B13,test!$A$3:$G$32,6,FALSE) &gt;= (test!$B$33+VLOOKUP(VLOOKUP($B13,test!$A$2:$I$32,4,FALSE),test!$J$10:$P$14,3,FALSE))/1440),1,0)</f>
        <v>0</v>
      </c>
      <c r="X13" s="2">
        <f>IF(AND(VLOOKUP(X$1,test!$A$3:$F$32,5,FALSE) - VLOOKUP($B13,test!$A$3:$G$32,6,FALSE) &gt;= (test!$B$33+VLOOKUP(VLOOKUP($B13,test!$A$2:$I$32,4,FALSE),test!$J$10:$P$14,3,FALSE))/1440),1,0)</f>
        <v>1</v>
      </c>
      <c r="Y13" s="2">
        <f>IF(AND(VLOOKUP(Y$1,test!$A$3:$F$32,5,FALSE) - VLOOKUP($B13,test!$A$3:$G$32,6,FALSE) &gt;= (test!$B$33+VLOOKUP(VLOOKUP($B13,test!$A$2:$I$32,4,FALSE),test!$J$10:$P$14,3,FALSE))/1440),1,0)</f>
        <v>1</v>
      </c>
      <c r="Z13" s="2">
        <f>IF(AND(VLOOKUP(Z$1,test!$A$3:$F$32,5,FALSE) - VLOOKUP($B13,test!$A$3:$G$32,6,FALSE) &gt;= (test!$B$33+VLOOKUP(VLOOKUP($B13,test!$A$2:$I$32,4,FALSE),test!$J$10:$P$14,3,FALSE))/1440),1,0)</f>
        <v>0</v>
      </c>
      <c r="AA13" s="2">
        <f>IF(AND(VLOOKUP(AA$1,test!$A$3:$F$32,5,FALSE) - VLOOKUP($B13,test!$A$3:$G$32,6,FALSE) &gt;= (test!$B$33+VLOOKUP(VLOOKUP($B13,test!$A$2:$I$32,4,FALSE),test!$J$10:$P$14,3,FALSE))/1440),1,0)</f>
        <v>0</v>
      </c>
      <c r="AB13" s="2">
        <f>IF(AND(VLOOKUP(AB$1,test!$A$3:$F$32,5,FALSE) - VLOOKUP($B13,test!$A$3:$G$32,6,FALSE) &gt;= (test!$B$33+VLOOKUP(VLOOKUP($B13,test!$A$2:$I$32,4,FALSE),test!$J$10:$P$14,3,FALSE))/1440),1,0)</f>
        <v>0</v>
      </c>
      <c r="AC13" s="2">
        <f>IF(AND(VLOOKUP(AC$1,test!$A$3:$F$32,5,FALSE) - VLOOKUP($B13,test!$A$3:$G$32,6,FALSE) &gt;= (test!$B$33+VLOOKUP(VLOOKUP($B13,test!$A$2:$I$32,4,FALSE),test!$J$10:$P$14,3,FALSE))/1440),1,0)</f>
        <v>0</v>
      </c>
      <c r="AD13" s="2">
        <f>IF(AND(VLOOKUP(AD$1,test!$A$3:$F$32,5,FALSE) - VLOOKUP($B13,test!$A$3:$G$32,6,FALSE) &gt;= (test!$B$33+VLOOKUP(VLOOKUP($B13,test!$A$2:$I$32,4,FALSE),test!$J$10:$P$14,3,FALSE))/1440),1,0)</f>
        <v>1</v>
      </c>
      <c r="AE13" s="2">
        <f>IF(AND(VLOOKUP(AE$1,test!$A$3:$F$32,5,FALSE) - VLOOKUP($B13,test!$A$3:$G$32,6,FALSE) &gt;= (test!$B$33+VLOOKUP(VLOOKUP($B13,test!$A$2:$I$32,4,FALSE),test!$J$10:$P$14,3,FALSE))/1440),1,0)</f>
        <v>0</v>
      </c>
      <c r="AF13" s="2">
        <f>IF(AND(VLOOKUP(AF$1,test!$A$3:$F$32,5,FALSE) - VLOOKUP($B13,test!$A$3:$G$32,6,FALSE) &gt;= (test!$B$33+VLOOKUP(VLOOKUP($B13,test!$A$2:$I$32,4,FALSE),test!$J$10:$P$14,3,FALSE))/1440),1,0)</f>
        <v>0</v>
      </c>
      <c r="AG13" s="2">
        <f>IF(AND(VLOOKUP(AG$1,test!$A$3:$F$32,5,FALSE) - VLOOKUP($B13,test!$A$3:$G$32,6,FALSE) &gt;= (test!$B$33+VLOOKUP(VLOOKUP($B13,test!$A$2:$I$32,4,FALSE),test!$J$10:$P$14,3,FALSE))/1440),1,0)</f>
        <v>0</v>
      </c>
    </row>
    <row r="14" spans="1:34" x14ac:dyDescent="0.25">
      <c r="A14" t="s">
        <v>48</v>
      </c>
      <c r="B14" t="s">
        <v>22</v>
      </c>
      <c r="C14">
        <v>0</v>
      </c>
      <c r="D14" s="2">
        <f>IF(AND(VLOOKUP(D$1,test!$A$3:$F$32,5,FALSE) - VLOOKUP($B14,test!$A$3:$G$32,6,FALSE) &gt;= (test!$B$33+VLOOKUP(VLOOKUP($B14,test!$A$2:$I$32,4,FALSE),test!$J$10:$P$14,3,FALSE))/1440),1,0)</f>
        <v>0</v>
      </c>
      <c r="E14" s="2">
        <f>IF(AND(VLOOKUP(E$1,test!$A$3:$F$32,5,FALSE) - VLOOKUP($B14,test!$A$3:$G$32,6,FALSE) &gt;= (test!$B$33+VLOOKUP(VLOOKUP($B14,test!$A$2:$I$32,4,FALSE),test!$J$10:$P$14,3,FALSE))/1440),1,0)</f>
        <v>0</v>
      </c>
      <c r="F14" s="2">
        <f>IF(AND(VLOOKUP(F$1,test!$A$3:$F$32,5,FALSE) - VLOOKUP($B14,test!$A$3:$G$32,6,FALSE) &gt;= (test!$B$33+VLOOKUP(VLOOKUP($B14,test!$A$2:$I$32,4,FALSE),test!$J$10:$P$14,3,FALSE))/1440),1,0)</f>
        <v>0</v>
      </c>
      <c r="G14" s="2">
        <f>IF(AND(VLOOKUP(G$1,test!$A$3:$F$32,5,FALSE) - VLOOKUP($B14,test!$A$3:$G$32,6,FALSE) &gt;= (test!$B$33+VLOOKUP(VLOOKUP($B14,test!$A$2:$I$32,4,FALSE),test!$J$10:$P$14,3,FALSE))/1440),1,0)</f>
        <v>0</v>
      </c>
      <c r="H14" s="2">
        <f>IF(AND(VLOOKUP(H$1,test!$A$3:$F$32,5,FALSE) - VLOOKUP($B14,test!$A$3:$G$32,6,FALSE) &gt;= (test!$B$33+VLOOKUP(VLOOKUP($B14,test!$A$2:$I$32,4,FALSE),test!$J$10:$P$14,3,FALSE))/1440),1,0)</f>
        <v>0</v>
      </c>
      <c r="I14" s="2">
        <f>IF(AND(VLOOKUP(I$1,test!$A$3:$F$32,5,FALSE) - VLOOKUP($B14,test!$A$3:$G$32,6,FALSE) &gt;= (test!$B$33+VLOOKUP(VLOOKUP($B14,test!$A$2:$I$32,4,FALSE),test!$J$10:$P$14,3,FALSE))/1440),1,0)</f>
        <v>0</v>
      </c>
      <c r="J14" s="2">
        <f>IF(AND(VLOOKUP(J$1,test!$A$3:$F$32,5,FALSE) - VLOOKUP($B14,test!$A$3:$G$32,6,FALSE) &gt;= (test!$B$33+VLOOKUP(VLOOKUP($B14,test!$A$2:$I$32,4,FALSE),test!$J$10:$P$14,3,FALSE))/1440),1,0)</f>
        <v>0</v>
      </c>
      <c r="K14" s="2">
        <f>IF(AND(VLOOKUP(K$1,test!$A$3:$F$32,5,FALSE) - VLOOKUP($B14,test!$A$3:$G$32,6,FALSE) &gt;= (test!$B$33+VLOOKUP(VLOOKUP($B14,test!$A$2:$I$32,4,FALSE),test!$J$10:$P$14,3,FALSE))/1440),1,0)</f>
        <v>0</v>
      </c>
      <c r="L14" s="2">
        <f>IF(AND(VLOOKUP(L$1,test!$A$3:$F$32,5,FALSE) - VLOOKUP($B14,test!$A$3:$G$32,6,FALSE) &gt;= (test!$B$33+VLOOKUP(VLOOKUP($B14,test!$A$2:$I$32,4,FALSE),test!$J$10:$P$14,3,FALSE))/1440),1,0)</f>
        <v>0</v>
      </c>
      <c r="M14" s="2">
        <f>IF(AND(VLOOKUP(M$1,test!$A$3:$F$32,5,FALSE) - VLOOKUP($B14,test!$A$3:$G$32,6,FALSE) &gt;= (test!$B$33+VLOOKUP(VLOOKUP($B14,test!$A$2:$I$32,4,FALSE),test!$J$10:$P$14,3,FALSE))/1440),1,0)</f>
        <v>0</v>
      </c>
      <c r="N14" s="2">
        <f>IF(AND(VLOOKUP(N$1,test!$A$3:$F$32,5,FALSE) - VLOOKUP($B14,test!$A$3:$G$32,6,FALSE) &gt;= (test!$B$33+VLOOKUP(VLOOKUP($B14,test!$A$2:$I$32,4,FALSE),test!$J$10:$P$14,3,FALSE))/1440),1,0)</f>
        <v>0</v>
      </c>
      <c r="O14" s="2">
        <f>IF(AND(VLOOKUP(O$1,test!$A$3:$F$32,5,FALSE) - VLOOKUP($B14,test!$A$3:$G$32,6,FALSE) &gt;= (test!$B$33+VLOOKUP(VLOOKUP($B14,test!$A$2:$I$32,4,FALSE),test!$J$10:$P$14,3,FALSE))/1440),1,0)</f>
        <v>0</v>
      </c>
      <c r="P14" s="2">
        <f>IF(AND(VLOOKUP(P$1,test!$A$3:$F$32,5,FALSE) - VLOOKUP($B14,test!$A$3:$G$32,6,FALSE) &gt;= (test!$B$33+VLOOKUP(VLOOKUP($B14,test!$A$2:$I$32,4,FALSE),test!$J$10:$P$14,3,FALSE))/1440),1,0)</f>
        <v>0</v>
      </c>
      <c r="Q14" s="2">
        <f>IF(AND(VLOOKUP(Q$1,test!$A$3:$F$32,5,FALSE) - VLOOKUP($B14,test!$A$3:$G$32,6,FALSE) &gt;= (test!$B$33+VLOOKUP(VLOOKUP($B14,test!$A$2:$I$32,4,FALSE),test!$J$10:$P$14,3,FALSE))/1440),1,0)</f>
        <v>0</v>
      </c>
      <c r="R14" s="2">
        <f>IF(AND(VLOOKUP(R$1,test!$A$3:$F$32,5,FALSE) - VLOOKUP($B14,test!$A$3:$G$32,6,FALSE) &gt;= (test!$B$33+VLOOKUP(VLOOKUP($B14,test!$A$2:$I$32,4,FALSE),test!$J$10:$P$14,3,FALSE))/1440),1,0)</f>
        <v>0</v>
      </c>
      <c r="S14" s="2">
        <f>IF(AND(VLOOKUP(S$1,test!$A$3:$F$32,5,FALSE) - VLOOKUP($B14,test!$A$3:$G$32,6,FALSE) &gt;= (test!$B$33+VLOOKUP(VLOOKUP($B14,test!$A$2:$I$32,4,FALSE),test!$J$10:$P$14,3,FALSE))/1440),1,0)</f>
        <v>0</v>
      </c>
      <c r="T14" s="2">
        <f>IF(AND(VLOOKUP(T$1,test!$A$3:$F$32,5,FALSE) - VLOOKUP($B14,test!$A$3:$G$32,6,FALSE) &gt;= (test!$B$33+VLOOKUP(VLOOKUP($B14,test!$A$2:$I$32,4,FALSE),test!$J$10:$P$14,3,FALSE))/1440),1,0)</f>
        <v>0</v>
      </c>
      <c r="U14" s="2">
        <f>IF(AND(VLOOKUP(U$1,test!$A$3:$F$32,5,FALSE) - VLOOKUP($B14,test!$A$3:$G$32,6,FALSE) &gt;= (test!$B$33+VLOOKUP(VLOOKUP($B14,test!$A$2:$I$32,4,FALSE),test!$J$10:$P$14,3,FALSE))/1440),1,0)</f>
        <v>0</v>
      </c>
      <c r="V14" s="2">
        <f>IF(AND(VLOOKUP(V$1,test!$A$3:$F$32,5,FALSE) - VLOOKUP($B14,test!$A$3:$G$32,6,FALSE) &gt;= (test!$B$33+VLOOKUP(VLOOKUP($B14,test!$A$2:$I$32,4,FALSE),test!$J$10:$P$14,3,FALSE))/1440),1,0)</f>
        <v>0</v>
      </c>
      <c r="W14" s="2">
        <f>IF(AND(VLOOKUP(W$1,test!$A$3:$F$32,5,FALSE) - VLOOKUP($B14,test!$A$3:$G$32,6,FALSE) &gt;= (test!$B$33+VLOOKUP(VLOOKUP($B14,test!$A$2:$I$32,4,FALSE),test!$J$10:$P$14,3,FALSE))/1440),1,0)</f>
        <v>0</v>
      </c>
      <c r="X14" s="2">
        <f>IF(AND(VLOOKUP(X$1,test!$A$3:$F$32,5,FALSE) - VLOOKUP($B14,test!$A$3:$G$32,6,FALSE) &gt;= (test!$B$33+VLOOKUP(VLOOKUP($B14,test!$A$2:$I$32,4,FALSE),test!$J$10:$P$14,3,FALSE))/1440),1,0)</f>
        <v>0</v>
      </c>
      <c r="Y14" s="2">
        <f>IF(AND(VLOOKUP(Y$1,test!$A$3:$F$32,5,FALSE) - VLOOKUP($B14,test!$A$3:$G$32,6,FALSE) &gt;= (test!$B$33+VLOOKUP(VLOOKUP($B14,test!$A$2:$I$32,4,FALSE),test!$J$10:$P$14,3,FALSE))/1440),1,0)</f>
        <v>0</v>
      </c>
      <c r="Z14" s="2">
        <f>IF(AND(VLOOKUP(Z$1,test!$A$3:$F$32,5,FALSE) - VLOOKUP($B14,test!$A$3:$G$32,6,FALSE) &gt;= (test!$B$33+VLOOKUP(VLOOKUP($B14,test!$A$2:$I$32,4,FALSE),test!$J$10:$P$14,3,FALSE))/1440),1,0)</f>
        <v>0</v>
      </c>
      <c r="AA14" s="2">
        <f>IF(AND(VLOOKUP(AA$1,test!$A$3:$F$32,5,FALSE) - VLOOKUP($B14,test!$A$3:$G$32,6,FALSE) &gt;= (test!$B$33+VLOOKUP(VLOOKUP($B14,test!$A$2:$I$32,4,FALSE),test!$J$10:$P$14,3,FALSE))/1440),1,0)</f>
        <v>0</v>
      </c>
      <c r="AB14" s="2">
        <f>IF(AND(VLOOKUP(AB$1,test!$A$3:$F$32,5,FALSE) - VLOOKUP($B14,test!$A$3:$G$32,6,FALSE) &gt;= (test!$B$33+VLOOKUP(VLOOKUP($B14,test!$A$2:$I$32,4,FALSE),test!$J$10:$P$14,3,FALSE))/1440),1,0)</f>
        <v>0</v>
      </c>
      <c r="AC14" s="2">
        <f>IF(AND(VLOOKUP(AC$1,test!$A$3:$F$32,5,FALSE) - VLOOKUP($B14,test!$A$3:$G$32,6,FALSE) &gt;= (test!$B$33+VLOOKUP(VLOOKUP($B14,test!$A$2:$I$32,4,FALSE),test!$J$10:$P$14,3,FALSE))/1440),1,0)</f>
        <v>0</v>
      </c>
      <c r="AD14" s="2">
        <f>IF(AND(VLOOKUP(AD$1,test!$A$3:$F$32,5,FALSE) - VLOOKUP($B14,test!$A$3:$G$32,6,FALSE) &gt;= (test!$B$33+VLOOKUP(VLOOKUP($B14,test!$A$2:$I$32,4,FALSE),test!$J$10:$P$14,3,FALSE))/1440),1,0)</f>
        <v>0</v>
      </c>
      <c r="AE14" s="2">
        <f>IF(AND(VLOOKUP(AE$1,test!$A$3:$F$32,5,FALSE) - VLOOKUP($B14,test!$A$3:$G$32,6,FALSE) &gt;= (test!$B$33+VLOOKUP(VLOOKUP($B14,test!$A$2:$I$32,4,FALSE),test!$J$10:$P$14,3,FALSE))/1440),1,0)</f>
        <v>0</v>
      </c>
      <c r="AF14" s="2">
        <f>IF(AND(VLOOKUP(AF$1,test!$A$3:$F$32,5,FALSE) - VLOOKUP($B14,test!$A$3:$G$32,6,FALSE) &gt;= (test!$B$33+VLOOKUP(VLOOKUP($B14,test!$A$2:$I$32,4,FALSE),test!$J$10:$P$14,3,FALSE))/1440),1,0)</f>
        <v>0</v>
      </c>
      <c r="AG14" s="2">
        <f>IF(AND(VLOOKUP(AG$1,test!$A$3:$F$32,5,FALSE) - VLOOKUP($B14,test!$A$3:$G$32,6,FALSE) &gt;= (test!$B$33+VLOOKUP(VLOOKUP($B14,test!$A$2:$I$32,4,FALSE),test!$J$10:$P$14,3,FALSE))/1440),1,0)</f>
        <v>0</v>
      </c>
    </row>
    <row r="15" spans="1:34" x14ac:dyDescent="0.25">
      <c r="A15" t="s">
        <v>48</v>
      </c>
      <c r="B15" t="s">
        <v>23</v>
      </c>
      <c r="C15">
        <v>0</v>
      </c>
      <c r="D15" s="2">
        <f>IF(AND(VLOOKUP(D$1,test!$A$3:$F$32,5,FALSE) - VLOOKUP($B15,test!$A$3:$G$32,6,FALSE) &gt;= (test!$B$33+VLOOKUP(VLOOKUP($B15,test!$A$2:$I$32,4,FALSE),test!$J$10:$P$14,3,FALSE))/1440),1,0)</f>
        <v>0</v>
      </c>
      <c r="E15" s="2">
        <f>IF(AND(VLOOKUP(E$1,test!$A$3:$F$32,5,FALSE) - VLOOKUP($B15,test!$A$3:$G$32,6,FALSE) &gt;= (test!$B$33+VLOOKUP(VLOOKUP($B15,test!$A$2:$I$32,4,FALSE),test!$J$10:$P$14,3,FALSE))/1440),1,0)</f>
        <v>0</v>
      </c>
      <c r="F15" s="2">
        <f>IF(AND(VLOOKUP(F$1,test!$A$3:$F$32,5,FALSE) - VLOOKUP($B15,test!$A$3:$G$32,6,FALSE) &gt;= (test!$B$33+VLOOKUP(VLOOKUP($B15,test!$A$2:$I$32,4,FALSE),test!$J$10:$P$14,3,FALSE))/1440),1,0)</f>
        <v>0</v>
      </c>
      <c r="G15" s="2">
        <f>IF(AND(VLOOKUP(G$1,test!$A$3:$F$32,5,FALSE) - VLOOKUP($B15,test!$A$3:$G$32,6,FALSE) &gt;= (test!$B$33+VLOOKUP(VLOOKUP($B15,test!$A$2:$I$32,4,FALSE),test!$J$10:$P$14,3,FALSE))/1440),1,0)</f>
        <v>0</v>
      </c>
      <c r="H15" s="2">
        <f>IF(AND(VLOOKUP(H$1,test!$A$3:$F$32,5,FALSE) - VLOOKUP($B15,test!$A$3:$G$32,6,FALSE) &gt;= (test!$B$33+VLOOKUP(VLOOKUP($B15,test!$A$2:$I$32,4,FALSE),test!$J$10:$P$14,3,FALSE))/1440),1,0)</f>
        <v>0</v>
      </c>
      <c r="I15" s="2">
        <f>IF(AND(VLOOKUP(I$1,test!$A$3:$F$32,5,FALSE) - VLOOKUP($B15,test!$A$3:$G$32,6,FALSE) &gt;= (test!$B$33+VLOOKUP(VLOOKUP($B15,test!$A$2:$I$32,4,FALSE),test!$J$10:$P$14,3,FALSE))/1440),1,0)</f>
        <v>0</v>
      </c>
      <c r="J15" s="2">
        <f>IF(AND(VLOOKUP(J$1,test!$A$3:$F$32,5,FALSE) - VLOOKUP($B15,test!$A$3:$G$32,6,FALSE) &gt;= (test!$B$33+VLOOKUP(VLOOKUP($B15,test!$A$2:$I$32,4,FALSE),test!$J$10:$P$14,3,FALSE))/1440),1,0)</f>
        <v>0</v>
      </c>
      <c r="K15" s="2">
        <f>IF(AND(VLOOKUP(K$1,test!$A$3:$F$32,5,FALSE) - VLOOKUP($B15,test!$A$3:$G$32,6,FALSE) &gt;= (test!$B$33+VLOOKUP(VLOOKUP($B15,test!$A$2:$I$32,4,FALSE),test!$J$10:$P$14,3,FALSE))/1440),1,0)</f>
        <v>0</v>
      </c>
      <c r="L15" s="2">
        <f>IF(AND(VLOOKUP(L$1,test!$A$3:$F$32,5,FALSE) - VLOOKUP($B15,test!$A$3:$G$32,6,FALSE) &gt;= (test!$B$33+VLOOKUP(VLOOKUP($B15,test!$A$2:$I$32,4,FALSE),test!$J$10:$P$14,3,FALSE))/1440),1,0)</f>
        <v>0</v>
      </c>
      <c r="M15" s="2">
        <f>IF(AND(VLOOKUP(M$1,test!$A$3:$F$32,5,FALSE) - VLOOKUP($B15,test!$A$3:$G$32,6,FALSE) &gt;= (test!$B$33+VLOOKUP(VLOOKUP($B15,test!$A$2:$I$32,4,FALSE),test!$J$10:$P$14,3,FALSE))/1440),1,0)</f>
        <v>0</v>
      </c>
      <c r="N15" s="2">
        <f>IF(AND(VLOOKUP(N$1,test!$A$3:$F$32,5,FALSE) - VLOOKUP($B15,test!$A$3:$G$32,6,FALSE) &gt;= (test!$B$33+VLOOKUP(VLOOKUP($B15,test!$A$2:$I$32,4,FALSE),test!$J$10:$P$14,3,FALSE))/1440),1,0)</f>
        <v>0</v>
      </c>
      <c r="O15" s="2">
        <f>IF(AND(VLOOKUP(O$1,test!$A$3:$F$32,5,FALSE) - VLOOKUP($B15,test!$A$3:$G$32,6,FALSE) &gt;= (test!$B$33+VLOOKUP(VLOOKUP($B15,test!$A$2:$I$32,4,FALSE),test!$J$10:$P$14,3,FALSE))/1440),1,0)</f>
        <v>0</v>
      </c>
      <c r="P15" s="2">
        <f>IF(AND(VLOOKUP(P$1,test!$A$3:$F$32,5,FALSE) - VLOOKUP($B15,test!$A$3:$G$32,6,FALSE) &gt;= (test!$B$33+VLOOKUP(VLOOKUP($B15,test!$A$2:$I$32,4,FALSE),test!$J$10:$P$14,3,FALSE))/1440),1,0)</f>
        <v>0</v>
      </c>
      <c r="Q15" s="2">
        <f>IF(AND(VLOOKUP(Q$1,test!$A$3:$F$32,5,FALSE) - VLOOKUP($B15,test!$A$3:$G$32,6,FALSE) &gt;= (test!$B$33+VLOOKUP(VLOOKUP($B15,test!$A$2:$I$32,4,FALSE),test!$J$10:$P$14,3,FALSE))/1440),1,0)</f>
        <v>0</v>
      </c>
      <c r="R15" s="2">
        <f>IF(AND(VLOOKUP(R$1,test!$A$3:$F$32,5,FALSE) - VLOOKUP($B15,test!$A$3:$G$32,6,FALSE) &gt;= (test!$B$33+VLOOKUP(VLOOKUP($B15,test!$A$2:$I$32,4,FALSE),test!$J$10:$P$14,3,FALSE))/1440),1,0)</f>
        <v>0</v>
      </c>
      <c r="S15" s="2">
        <f>IF(AND(VLOOKUP(S$1,test!$A$3:$F$32,5,FALSE) - VLOOKUP($B15,test!$A$3:$G$32,6,FALSE) &gt;= (test!$B$33+VLOOKUP(VLOOKUP($B15,test!$A$2:$I$32,4,FALSE),test!$J$10:$P$14,3,FALSE))/1440),1,0)</f>
        <v>0</v>
      </c>
      <c r="T15" s="2">
        <f>IF(AND(VLOOKUP(T$1,test!$A$3:$F$32,5,FALSE) - VLOOKUP($B15,test!$A$3:$G$32,6,FALSE) &gt;= (test!$B$33+VLOOKUP(VLOOKUP($B15,test!$A$2:$I$32,4,FALSE),test!$J$10:$P$14,3,FALSE))/1440),1,0)</f>
        <v>0</v>
      </c>
      <c r="U15" s="2">
        <f>IF(AND(VLOOKUP(U$1,test!$A$3:$F$32,5,FALSE) - VLOOKUP($B15,test!$A$3:$G$32,6,FALSE) &gt;= (test!$B$33+VLOOKUP(VLOOKUP($B15,test!$A$2:$I$32,4,FALSE),test!$J$10:$P$14,3,FALSE))/1440),1,0)</f>
        <v>0</v>
      </c>
      <c r="V15" s="2">
        <f>IF(AND(VLOOKUP(V$1,test!$A$3:$F$32,5,FALSE) - VLOOKUP($B15,test!$A$3:$G$32,6,FALSE) &gt;= (test!$B$33+VLOOKUP(VLOOKUP($B15,test!$A$2:$I$32,4,FALSE),test!$J$10:$P$14,3,FALSE))/1440),1,0)</f>
        <v>0</v>
      </c>
      <c r="W15" s="2">
        <f>IF(AND(VLOOKUP(W$1,test!$A$3:$F$32,5,FALSE) - VLOOKUP($B15,test!$A$3:$G$32,6,FALSE) &gt;= (test!$B$33+VLOOKUP(VLOOKUP($B15,test!$A$2:$I$32,4,FALSE),test!$J$10:$P$14,3,FALSE))/1440),1,0)</f>
        <v>0</v>
      </c>
      <c r="X15" s="2">
        <f>IF(AND(VLOOKUP(X$1,test!$A$3:$F$32,5,FALSE) - VLOOKUP($B15,test!$A$3:$G$32,6,FALSE) &gt;= (test!$B$33+VLOOKUP(VLOOKUP($B15,test!$A$2:$I$32,4,FALSE),test!$J$10:$P$14,3,FALSE))/1440),1,0)</f>
        <v>0</v>
      </c>
      <c r="Y15" s="2">
        <f>IF(AND(VLOOKUP(Y$1,test!$A$3:$F$32,5,FALSE) - VLOOKUP($B15,test!$A$3:$G$32,6,FALSE) &gt;= (test!$B$33+VLOOKUP(VLOOKUP($B15,test!$A$2:$I$32,4,FALSE),test!$J$10:$P$14,3,FALSE))/1440),1,0)</f>
        <v>0</v>
      </c>
      <c r="Z15" s="2">
        <f>IF(AND(VLOOKUP(Z$1,test!$A$3:$F$32,5,FALSE) - VLOOKUP($B15,test!$A$3:$G$32,6,FALSE) &gt;= (test!$B$33+VLOOKUP(VLOOKUP($B15,test!$A$2:$I$32,4,FALSE),test!$J$10:$P$14,3,FALSE))/1440),1,0)</f>
        <v>0</v>
      </c>
      <c r="AA15" s="2">
        <f>IF(AND(VLOOKUP(AA$1,test!$A$3:$F$32,5,FALSE) - VLOOKUP($B15,test!$A$3:$G$32,6,FALSE) &gt;= (test!$B$33+VLOOKUP(VLOOKUP($B15,test!$A$2:$I$32,4,FALSE),test!$J$10:$P$14,3,FALSE))/1440),1,0)</f>
        <v>0</v>
      </c>
      <c r="AB15" s="2">
        <f>IF(AND(VLOOKUP(AB$1,test!$A$3:$F$32,5,FALSE) - VLOOKUP($B15,test!$A$3:$G$32,6,FALSE) &gt;= (test!$B$33+VLOOKUP(VLOOKUP($B15,test!$A$2:$I$32,4,FALSE),test!$J$10:$P$14,3,FALSE))/1440),1,0)</f>
        <v>0</v>
      </c>
      <c r="AC15" s="2">
        <f>IF(AND(VLOOKUP(AC$1,test!$A$3:$F$32,5,FALSE) - VLOOKUP($B15,test!$A$3:$G$32,6,FALSE) &gt;= (test!$B$33+VLOOKUP(VLOOKUP($B15,test!$A$2:$I$32,4,FALSE),test!$J$10:$P$14,3,FALSE))/1440),1,0)</f>
        <v>0</v>
      </c>
      <c r="AD15" s="2">
        <f>IF(AND(VLOOKUP(AD$1,test!$A$3:$F$32,5,FALSE) - VLOOKUP($B15,test!$A$3:$G$32,6,FALSE) &gt;= (test!$B$33+VLOOKUP(VLOOKUP($B15,test!$A$2:$I$32,4,FALSE),test!$J$10:$P$14,3,FALSE))/1440),1,0)</f>
        <v>0</v>
      </c>
      <c r="AE15" s="2">
        <f>IF(AND(VLOOKUP(AE$1,test!$A$3:$F$32,5,FALSE) - VLOOKUP($B15,test!$A$3:$G$32,6,FALSE) &gt;= (test!$B$33+VLOOKUP(VLOOKUP($B15,test!$A$2:$I$32,4,FALSE),test!$J$10:$P$14,3,FALSE))/1440),1,0)</f>
        <v>0</v>
      </c>
      <c r="AF15" s="2">
        <f>IF(AND(VLOOKUP(AF$1,test!$A$3:$F$32,5,FALSE) - VLOOKUP($B15,test!$A$3:$G$32,6,FALSE) &gt;= (test!$B$33+VLOOKUP(VLOOKUP($B15,test!$A$2:$I$32,4,FALSE),test!$J$10:$P$14,3,FALSE))/1440),1,0)</f>
        <v>0</v>
      </c>
      <c r="AG15" s="2">
        <f>IF(AND(VLOOKUP(AG$1,test!$A$3:$F$32,5,FALSE) - VLOOKUP($B15,test!$A$3:$G$32,6,FALSE) &gt;= (test!$B$33+VLOOKUP(VLOOKUP($B15,test!$A$2:$I$32,4,FALSE),test!$J$10:$P$14,3,FALSE))/1440),1,0)</f>
        <v>0</v>
      </c>
    </row>
    <row r="16" spans="1:34" x14ac:dyDescent="0.25">
      <c r="A16" t="s">
        <v>48</v>
      </c>
      <c r="B16" t="s">
        <v>24</v>
      </c>
      <c r="C16">
        <v>0</v>
      </c>
      <c r="D16" s="2">
        <f>IF(AND(VLOOKUP(D$1,test!$A$3:$F$32,5,FALSE) - VLOOKUP($B16,test!$A$3:$G$32,6,FALSE) &gt;= (test!$B$33+VLOOKUP(VLOOKUP($B16,test!$A$2:$I$32,4,FALSE),test!$J$10:$P$14,3,FALSE))/1440),1,0)</f>
        <v>0</v>
      </c>
      <c r="E16" s="2">
        <f>IF(AND(VLOOKUP(E$1,test!$A$3:$F$32,5,FALSE) - VLOOKUP($B16,test!$A$3:$G$32,6,FALSE) &gt;= (test!$B$33+VLOOKUP(VLOOKUP($B16,test!$A$2:$I$32,4,FALSE),test!$J$10:$P$14,3,FALSE))/1440),1,0)</f>
        <v>0</v>
      </c>
      <c r="F16" s="2">
        <f>IF(AND(VLOOKUP(F$1,test!$A$3:$F$32,5,FALSE) - VLOOKUP($B16,test!$A$3:$G$32,6,FALSE) &gt;= (test!$B$33+VLOOKUP(VLOOKUP($B16,test!$A$2:$I$32,4,FALSE),test!$J$10:$P$14,3,FALSE))/1440),1,0)</f>
        <v>0</v>
      </c>
      <c r="G16" s="2">
        <f>IF(AND(VLOOKUP(G$1,test!$A$3:$F$32,5,FALSE) - VLOOKUP($B16,test!$A$3:$G$32,6,FALSE) &gt;= (test!$B$33+VLOOKUP(VLOOKUP($B16,test!$A$2:$I$32,4,FALSE),test!$J$10:$P$14,3,FALSE))/1440),1,0)</f>
        <v>1</v>
      </c>
      <c r="H16" s="2">
        <f>IF(AND(VLOOKUP(H$1,test!$A$3:$F$32,5,FALSE) - VLOOKUP($B16,test!$A$3:$G$32,6,FALSE) &gt;= (test!$B$33+VLOOKUP(VLOOKUP($B16,test!$A$2:$I$32,4,FALSE),test!$J$10:$P$14,3,FALSE))/1440),1,0)</f>
        <v>1</v>
      </c>
      <c r="I16" s="2">
        <f>IF(AND(VLOOKUP(I$1,test!$A$3:$F$32,5,FALSE) - VLOOKUP($B16,test!$A$3:$G$32,6,FALSE) &gt;= (test!$B$33+VLOOKUP(VLOOKUP($B16,test!$A$2:$I$32,4,FALSE),test!$J$10:$P$14,3,FALSE))/1440),1,0)</f>
        <v>1</v>
      </c>
      <c r="J16" s="2">
        <f>IF(AND(VLOOKUP(J$1,test!$A$3:$F$32,5,FALSE) - VLOOKUP($B16,test!$A$3:$G$32,6,FALSE) &gt;= (test!$B$33+VLOOKUP(VLOOKUP($B16,test!$A$2:$I$32,4,FALSE),test!$J$10:$P$14,3,FALSE))/1440),1,0)</f>
        <v>1</v>
      </c>
      <c r="K16" s="2">
        <f>IF(AND(VLOOKUP(K$1,test!$A$3:$F$32,5,FALSE) - VLOOKUP($B16,test!$A$3:$G$32,6,FALSE) &gt;= (test!$B$33+VLOOKUP(VLOOKUP($B16,test!$A$2:$I$32,4,FALSE),test!$J$10:$P$14,3,FALSE))/1440),1,0)</f>
        <v>1</v>
      </c>
      <c r="L16" s="2">
        <f>IF(AND(VLOOKUP(L$1,test!$A$3:$F$32,5,FALSE) - VLOOKUP($B16,test!$A$3:$G$32,6,FALSE) &gt;= (test!$B$33+VLOOKUP(VLOOKUP($B16,test!$A$2:$I$32,4,FALSE),test!$J$10:$P$14,3,FALSE))/1440),1,0)</f>
        <v>0</v>
      </c>
      <c r="M16" s="2">
        <f>IF(AND(VLOOKUP(M$1,test!$A$3:$F$32,5,FALSE) - VLOOKUP($B16,test!$A$3:$G$32,6,FALSE) &gt;= (test!$B$33+VLOOKUP(VLOOKUP($B16,test!$A$2:$I$32,4,FALSE),test!$J$10:$P$14,3,FALSE))/1440),1,0)</f>
        <v>0</v>
      </c>
      <c r="N16" s="2">
        <f>IF(AND(VLOOKUP(N$1,test!$A$3:$F$32,5,FALSE) - VLOOKUP($B16,test!$A$3:$G$32,6,FALSE) &gt;= (test!$B$33+VLOOKUP(VLOOKUP($B16,test!$A$2:$I$32,4,FALSE),test!$J$10:$P$14,3,FALSE))/1440),1,0)</f>
        <v>0</v>
      </c>
      <c r="O16" s="2">
        <f>IF(AND(VLOOKUP(O$1,test!$A$3:$F$32,5,FALSE) - VLOOKUP($B16,test!$A$3:$G$32,6,FALSE) &gt;= (test!$B$33+VLOOKUP(VLOOKUP($B16,test!$A$2:$I$32,4,FALSE),test!$J$10:$P$14,3,FALSE))/1440),1,0)</f>
        <v>1</v>
      </c>
      <c r="P16" s="2">
        <f>IF(AND(VLOOKUP(P$1,test!$A$3:$F$32,5,FALSE) - VLOOKUP($B16,test!$A$3:$G$32,6,FALSE) &gt;= (test!$B$33+VLOOKUP(VLOOKUP($B16,test!$A$2:$I$32,4,FALSE),test!$J$10:$P$14,3,FALSE))/1440),1,0)</f>
        <v>1</v>
      </c>
      <c r="Q16" s="2">
        <f>IF(AND(VLOOKUP(Q$1,test!$A$3:$F$32,5,FALSE) - VLOOKUP($B16,test!$A$3:$G$32,6,FALSE) &gt;= (test!$B$33+VLOOKUP(VLOOKUP($B16,test!$A$2:$I$32,4,FALSE),test!$J$10:$P$14,3,FALSE))/1440),1,0)</f>
        <v>0</v>
      </c>
      <c r="R16" s="2">
        <f>IF(AND(VLOOKUP(R$1,test!$A$3:$F$32,5,FALSE) - VLOOKUP($B16,test!$A$3:$G$32,6,FALSE) &gt;= (test!$B$33+VLOOKUP(VLOOKUP($B16,test!$A$2:$I$32,4,FALSE),test!$J$10:$P$14,3,FALSE))/1440),1,0)</f>
        <v>0</v>
      </c>
      <c r="S16" s="2">
        <f>IF(AND(VLOOKUP(S$1,test!$A$3:$F$32,5,FALSE) - VLOOKUP($B16,test!$A$3:$G$32,6,FALSE) &gt;= (test!$B$33+VLOOKUP(VLOOKUP($B16,test!$A$2:$I$32,4,FALSE),test!$J$10:$P$14,3,FALSE))/1440),1,0)</f>
        <v>0</v>
      </c>
      <c r="T16" s="2">
        <f>IF(AND(VLOOKUP(T$1,test!$A$3:$F$32,5,FALSE) - VLOOKUP($B16,test!$A$3:$G$32,6,FALSE) &gt;= (test!$B$33+VLOOKUP(VLOOKUP($B16,test!$A$2:$I$32,4,FALSE),test!$J$10:$P$14,3,FALSE))/1440),1,0)</f>
        <v>0</v>
      </c>
      <c r="U16" s="2">
        <f>IF(AND(VLOOKUP(U$1,test!$A$3:$F$32,5,FALSE) - VLOOKUP($B16,test!$A$3:$G$32,6,FALSE) &gt;= (test!$B$33+VLOOKUP(VLOOKUP($B16,test!$A$2:$I$32,4,FALSE),test!$J$10:$P$14,3,FALSE))/1440),1,0)</f>
        <v>0</v>
      </c>
      <c r="V16" s="2">
        <f>IF(AND(VLOOKUP(V$1,test!$A$3:$F$32,5,FALSE) - VLOOKUP($B16,test!$A$3:$G$32,6,FALSE) &gt;= (test!$B$33+VLOOKUP(VLOOKUP($B16,test!$A$2:$I$32,4,FALSE),test!$J$10:$P$14,3,FALSE))/1440),1,0)</f>
        <v>1</v>
      </c>
      <c r="W16" s="2">
        <f>IF(AND(VLOOKUP(W$1,test!$A$3:$F$32,5,FALSE) - VLOOKUP($B16,test!$A$3:$G$32,6,FALSE) &gt;= (test!$B$33+VLOOKUP(VLOOKUP($B16,test!$A$2:$I$32,4,FALSE),test!$J$10:$P$14,3,FALSE))/1440),1,0)</f>
        <v>1</v>
      </c>
      <c r="X16" s="2">
        <f>IF(AND(VLOOKUP(X$1,test!$A$3:$F$32,5,FALSE) - VLOOKUP($B16,test!$A$3:$G$32,6,FALSE) &gt;= (test!$B$33+VLOOKUP(VLOOKUP($B16,test!$A$2:$I$32,4,FALSE),test!$J$10:$P$14,3,FALSE))/1440),1,0)</f>
        <v>1</v>
      </c>
      <c r="Y16" s="2">
        <f>IF(AND(VLOOKUP(Y$1,test!$A$3:$F$32,5,FALSE) - VLOOKUP($B16,test!$A$3:$G$32,6,FALSE) &gt;= (test!$B$33+VLOOKUP(VLOOKUP($B16,test!$A$2:$I$32,4,FALSE),test!$J$10:$P$14,3,FALSE))/1440),1,0)</f>
        <v>1</v>
      </c>
      <c r="Z16" s="2">
        <f>IF(AND(VLOOKUP(Z$1,test!$A$3:$F$32,5,FALSE) - VLOOKUP($B16,test!$A$3:$G$32,6,FALSE) &gt;= (test!$B$33+VLOOKUP(VLOOKUP($B16,test!$A$2:$I$32,4,FALSE),test!$J$10:$P$14,3,FALSE))/1440),1,0)</f>
        <v>0</v>
      </c>
      <c r="AA16" s="2">
        <f>IF(AND(VLOOKUP(AA$1,test!$A$3:$F$32,5,FALSE) - VLOOKUP($B16,test!$A$3:$G$32,6,FALSE) &gt;= (test!$B$33+VLOOKUP(VLOOKUP($B16,test!$A$2:$I$32,4,FALSE),test!$J$10:$P$14,3,FALSE))/1440),1,0)</f>
        <v>0</v>
      </c>
      <c r="AB16" s="2">
        <f>IF(AND(VLOOKUP(AB$1,test!$A$3:$F$32,5,FALSE) - VLOOKUP($B16,test!$A$3:$G$32,6,FALSE) &gt;= (test!$B$33+VLOOKUP(VLOOKUP($B16,test!$A$2:$I$32,4,FALSE),test!$J$10:$P$14,3,FALSE))/1440),1,0)</f>
        <v>1</v>
      </c>
      <c r="AC16" s="2">
        <f>IF(AND(VLOOKUP(AC$1,test!$A$3:$F$32,5,FALSE) - VLOOKUP($B16,test!$A$3:$G$32,6,FALSE) &gt;= (test!$B$33+VLOOKUP(VLOOKUP($B16,test!$A$2:$I$32,4,FALSE),test!$J$10:$P$14,3,FALSE))/1440),1,0)</f>
        <v>1</v>
      </c>
      <c r="AD16" s="2">
        <f>IF(AND(VLOOKUP(AD$1,test!$A$3:$F$32,5,FALSE) - VLOOKUP($B16,test!$A$3:$G$32,6,FALSE) &gt;= (test!$B$33+VLOOKUP(VLOOKUP($B16,test!$A$2:$I$32,4,FALSE),test!$J$10:$P$14,3,FALSE))/1440),1,0)</f>
        <v>1</v>
      </c>
      <c r="AE16" s="2">
        <f>IF(AND(VLOOKUP(AE$1,test!$A$3:$F$32,5,FALSE) - VLOOKUP($B16,test!$A$3:$G$32,6,FALSE) &gt;= (test!$B$33+VLOOKUP(VLOOKUP($B16,test!$A$2:$I$32,4,FALSE),test!$J$10:$P$14,3,FALSE))/1440),1,0)</f>
        <v>0</v>
      </c>
      <c r="AF16" s="2">
        <f>IF(AND(VLOOKUP(AF$1,test!$A$3:$F$32,5,FALSE) - VLOOKUP($B16,test!$A$3:$G$32,6,FALSE) &gt;= (test!$B$33+VLOOKUP(VLOOKUP($B16,test!$A$2:$I$32,4,FALSE),test!$J$10:$P$14,3,FALSE))/1440),1,0)</f>
        <v>1</v>
      </c>
      <c r="AG16" s="2">
        <f>IF(AND(VLOOKUP(AG$1,test!$A$3:$F$32,5,FALSE) - VLOOKUP($B16,test!$A$3:$G$32,6,FALSE) &gt;= (test!$B$33+VLOOKUP(VLOOKUP($B16,test!$A$2:$I$32,4,FALSE),test!$J$10:$P$14,3,FALSE))/1440),1,0)</f>
        <v>0</v>
      </c>
    </row>
    <row r="17" spans="1:33" x14ac:dyDescent="0.25">
      <c r="A17" t="s">
        <v>48</v>
      </c>
      <c r="B17" t="s">
        <v>26</v>
      </c>
      <c r="C17">
        <v>0</v>
      </c>
      <c r="D17" s="2">
        <f>IF(AND(VLOOKUP(D$1,test!$A$3:$F$32,5,FALSE) - VLOOKUP($B17,test!$A$3:$G$32,6,FALSE) &gt;= (test!$B$33+VLOOKUP(VLOOKUP($B17,test!$A$2:$I$32,4,FALSE),test!$J$10:$P$14,3,FALSE))/1440),1,0)</f>
        <v>0</v>
      </c>
      <c r="E17" s="2">
        <f>IF(AND(VLOOKUP(E$1,test!$A$3:$F$32,5,FALSE) - VLOOKUP($B17,test!$A$3:$G$32,6,FALSE) &gt;= (test!$B$33+VLOOKUP(VLOOKUP($B17,test!$A$2:$I$32,4,FALSE),test!$J$10:$P$14,3,FALSE))/1440),1,0)</f>
        <v>0</v>
      </c>
      <c r="F17" s="2">
        <f>IF(AND(VLOOKUP(F$1,test!$A$3:$F$32,5,FALSE) - VLOOKUP($B17,test!$A$3:$G$32,6,FALSE) &gt;= (test!$B$33+VLOOKUP(VLOOKUP($B17,test!$A$2:$I$32,4,FALSE),test!$J$10:$P$14,3,FALSE))/1440),1,0)</f>
        <v>1</v>
      </c>
      <c r="G17" s="2">
        <f>IF(AND(VLOOKUP(G$1,test!$A$3:$F$32,5,FALSE) - VLOOKUP($B17,test!$A$3:$G$32,6,FALSE) &gt;= (test!$B$33+VLOOKUP(VLOOKUP($B17,test!$A$2:$I$32,4,FALSE),test!$J$10:$P$14,3,FALSE))/1440),1,0)</f>
        <v>1</v>
      </c>
      <c r="H17" s="2">
        <f>IF(AND(VLOOKUP(H$1,test!$A$3:$F$32,5,FALSE) - VLOOKUP($B17,test!$A$3:$G$32,6,FALSE) &gt;= (test!$B$33+VLOOKUP(VLOOKUP($B17,test!$A$2:$I$32,4,FALSE),test!$J$10:$P$14,3,FALSE))/1440),1,0)</f>
        <v>1</v>
      </c>
      <c r="I17" s="2">
        <f>IF(AND(VLOOKUP(I$1,test!$A$3:$F$32,5,FALSE) - VLOOKUP($B17,test!$A$3:$G$32,6,FALSE) &gt;= (test!$B$33+VLOOKUP(VLOOKUP($B17,test!$A$2:$I$32,4,FALSE),test!$J$10:$P$14,3,FALSE))/1440),1,0)</f>
        <v>1</v>
      </c>
      <c r="J17" s="2">
        <f>IF(AND(VLOOKUP(J$1,test!$A$3:$F$32,5,FALSE) - VLOOKUP($B17,test!$A$3:$G$32,6,FALSE) &gt;= (test!$B$33+VLOOKUP(VLOOKUP($B17,test!$A$2:$I$32,4,FALSE),test!$J$10:$P$14,3,FALSE))/1440),1,0)</f>
        <v>1</v>
      </c>
      <c r="K17" s="2">
        <f>IF(AND(VLOOKUP(K$1,test!$A$3:$F$32,5,FALSE) - VLOOKUP($B17,test!$A$3:$G$32,6,FALSE) &gt;= (test!$B$33+VLOOKUP(VLOOKUP($B17,test!$A$2:$I$32,4,FALSE),test!$J$10:$P$14,3,FALSE))/1440),1,0)</f>
        <v>1</v>
      </c>
      <c r="L17" s="2">
        <f>IF(AND(VLOOKUP(L$1,test!$A$3:$F$32,5,FALSE) - VLOOKUP($B17,test!$A$3:$G$32,6,FALSE) &gt;= (test!$B$33+VLOOKUP(VLOOKUP($B17,test!$A$2:$I$32,4,FALSE),test!$J$10:$P$14,3,FALSE))/1440),1,0)</f>
        <v>0</v>
      </c>
      <c r="M17" s="2">
        <f>IF(AND(VLOOKUP(M$1,test!$A$3:$F$32,5,FALSE) - VLOOKUP($B17,test!$A$3:$G$32,6,FALSE) &gt;= (test!$B$33+VLOOKUP(VLOOKUP($B17,test!$A$2:$I$32,4,FALSE),test!$J$10:$P$14,3,FALSE))/1440),1,0)</f>
        <v>0</v>
      </c>
      <c r="N17" s="2">
        <f>IF(AND(VLOOKUP(N$1,test!$A$3:$F$32,5,FALSE) - VLOOKUP($B17,test!$A$3:$G$32,6,FALSE) &gt;= (test!$B$33+VLOOKUP(VLOOKUP($B17,test!$A$2:$I$32,4,FALSE),test!$J$10:$P$14,3,FALSE))/1440),1,0)</f>
        <v>1</v>
      </c>
      <c r="O17" s="2">
        <f>IF(AND(VLOOKUP(O$1,test!$A$3:$F$32,5,FALSE) - VLOOKUP($B17,test!$A$3:$G$32,6,FALSE) &gt;= (test!$B$33+VLOOKUP(VLOOKUP($B17,test!$A$2:$I$32,4,FALSE),test!$J$10:$P$14,3,FALSE))/1440),1,0)</f>
        <v>1</v>
      </c>
      <c r="P17" s="2">
        <f>IF(AND(VLOOKUP(P$1,test!$A$3:$F$32,5,FALSE) - VLOOKUP($B17,test!$A$3:$G$32,6,FALSE) &gt;= (test!$B$33+VLOOKUP(VLOOKUP($B17,test!$A$2:$I$32,4,FALSE),test!$J$10:$P$14,3,FALSE))/1440),1,0)</f>
        <v>1</v>
      </c>
      <c r="Q17" s="2">
        <f>IF(AND(VLOOKUP(Q$1,test!$A$3:$F$32,5,FALSE) - VLOOKUP($B17,test!$A$3:$G$32,6,FALSE) &gt;= (test!$B$33+VLOOKUP(VLOOKUP($B17,test!$A$2:$I$32,4,FALSE),test!$J$10:$P$14,3,FALSE))/1440),1,0)</f>
        <v>0</v>
      </c>
      <c r="R17" s="2">
        <f>IF(AND(VLOOKUP(R$1,test!$A$3:$F$32,5,FALSE) - VLOOKUP($B17,test!$A$3:$G$32,6,FALSE) &gt;= (test!$B$33+VLOOKUP(VLOOKUP($B17,test!$A$2:$I$32,4,FALSE),test!$J$10:$P$14,3,FALSE))/1440),1,0)</f>
        <v>0</v>
      </c>
      <c r="S17" s="2">
        <f>IF(AND(VLOOKUP(S$1,test!$A$3:$F$32,5,FALSE) - VLOOKUP($B17,test!$A$3:$G$32,6,FALSE) &gt;= (test!$B$33+VLOOKUP(VLOOKUP($B17,test!$A$2:$I$32,4,FALSE),test!$J$10:$P$14,3,FALSE))/1440),1,0)</f>
        <v>0</v>
      </c>
      <c r="T17" s="2">
        <f>IF(AND(VLOOKUP(T$1,test!$A$3:$F$32,5,FALSE) - VLOOKUP($B17,test!$A$3:$G$32,6,FALSE) &gt;= (test!$B$33+VLOOKUP(VLOOKUP($B17,test!$A$2:$I$32,4,FALSE),test!$J$10:$P$14,3,FALSE))/1440),1,0)</f>
        <v>0</v>
      </c>
      <c r="U17" s="2">
        <f>IF(AND(VLOOKUP(U$1,test!$A$3:$F$32,5,FALSE) - VLOOKUP($B17,test!$A$3:$G$32,6,FALSE) &gt;= (test!$B$33+VLOOKUP(VLOOKUP($B17,test!$A$2:$I$32,4,FALSE),test!$J$10:$P$14,3,FALSE))/1440),1,0)</f>
        <v>1</v>
      </c>
      <c r="V17" s="2">
        <f>IF(AND(VLOOKUP(V$1,test!$A$3:$F$32,5,FALSE) - VLOOKUP($B17,test!$A$3:$G$32,6,FALSE) &gt;= (test!$B$33+VLOOKUP(VLOOKUP($B17,test!$A$2:$I$32,4,FALSE),test!$J$10:$P$14,3,FALSE))/1440),1,0)</f>
        <v>1</v>
      </c>
      <c r="W17" s="2">
        <f>IF(AND(VLOOKUP(W$1,test!$A$3:$F$32,5,FALSE) - VLOOKUP($B17,test!$A$3:$G$32,6,FALSE) &gt;= (test!$B$33+VLOOKUP(VLOOKUP($B17,test!$A$2:$I$32,4,FALSE),test!$J$10:$P$14,3,FALSE))/1440),1,0)</f>
        <v>1</v>
      </c>
      <c r="X17" s="2">
        <f>IF(AND(VLOOKUP(X$1,test!$A$3:$F$32,5,FALSE) - VLOOKUP($B17,test!$A$3:$G$32,6,FALSE) &gt;= (test!$B$33+VLOOKUP(VLOOKUP($B17,test!$A$2:$I$32,4,FALSE),test!$J$10:$P$14,3,FALSE))/1440),1,0)</f>
        <v>1</v>
      </c>
      <c r="Y17" s="2">
        <f>IF(AND(VLOOKUP(Y$1,test!$A$3:$F$32,5,FALSE) - VLOOKUP($B17,test!$A$3:$G$32,6,FALSE) &gt;= (test!$B$33+VLOOKUP(VLOOKUP($B17,test!$A$2:$I$32,4,FALSE),test!$J$10:$P$14,3,FALSE))/1440),1,0)</f>
        <v>1</v>
      </c>
      <c r="Z17" s="2">
        <f>IF(AND(VLOOKUP(Z$1,test!$A$3:$F$32,5,FALSE) - VLOOKUP($B17,test!$A$3:$G$32,6,FALSE) &gt;= (test!$B$33+VLOOKUP(VLOOKUP($B17,test!$A$2:$I$32,4,FALSE),test!$J$10:$P$14,3,FALSE))/1440),1,0)</f>
        <v>0</v>
      </c>
      <c r="AA17" s="2">
        <f>IF(AND(VLOOKUP(AA$1,test!$A$3:$F$32,5,FALSE) - VLOOKUP($B17,test!$A$3:$G$32,6,FALSE) &gt;= (test!$B$33+VLOOKUP(VLOOKUP($B17,test!$A$2:$I$32,4,FALSE),test!$J$10:$P$14,3,FALSE))/1440),1,0)</f>
        <v>0</v>
      </c>
      <c r="AB17" s="2">
        <f>IF(AND(VLOOKUP(AB$1,test!$A$3:$F$32,5,FALSE) - VLOOKUP($B17,test!$A$3:$G$32,6,FALSE) &gt;= (test!$B$33+VLOOKUP(VLOOKUP($B17,test!$A$2:$I$32,4,FALSE),test!$J$10:$P$14,3,FALSE))/1440),1,0)</f>
        <v>1</v>
      </c>
      <c r="AC17" s="2">
        <f>IF(AND(VLOOKUP(AC$1,test!$A$3:$F$32,5,FALSE) - VLOOKUP($B17,test!$A$3:$G$32,6,FALSE) &gt;= (test!$B$33+VLOOKUP(VLOOKUP($B17,test!$A$2:$I$32,4,FALSE),test!$J$10:$P$14,3,FALSE))/1440),1,0)</f>
        <v>1</v>
      </c>
      <c r="AD17" s="2">
        <f>IF(AND(VLOOKUP(AD$1,test!$A$3:$F$32,5,FALSE) - VLOOKUP($B17,test!$A$3:$G$32,6,FALSE) &gt;= (test!$B$33+VLOOKUP(VLOOKUP($B17,test!$A$2:$I$32,4,FALSE),test!$J$10:$P$14,3,FALSE))/1440),1,0)</f>
        <v>1</v>
      </c>
      <c r="AE17" s="2">
        <f>IF(AND(VLOOKUP(AE$1,test!$A$3:$F$32,5,FALSE) - VLOOKUP($B17,test!$A$3:$G$32,6,FALSE) &gt;= (test!$B$33+VLOOKUP(VLOOKUP($B17,test!$A$2:$I$32,4,FALSE),test!$J$10:$P$14,3,FALSE))/1440),1,0)</f>
        <v>0</v>
      </c>
      <c r="AF17" s="2">
        <f>IF(AND(VLOOKUP(AF$1,test!$A$3:$F$32,5,FALSE) - VLOOKUP($B17,test!$A$3:$G$32,6,FALSE) &gt;= (test!$B$33+VLOOKUP(VLOOKUP($B17,test!$A$2:$I$32,4,FALSE),test!$J$10:$P$14,3,FALSE))/1440),1,0)</f>
        <v>1</v>
      </c>
      <c r="AG17" s="2">
        <f>IF(AND(VLOOKUP(AG$1,test!$A$3:$F$32,5,FALSE) - VLOOKUP($B17,test!$A$3:$G$32,6,FALSE) &gt;= (test!$B$33+VLOOKUP(VLOOKUP($B17,test!$A$2:$I$32,4,FALSE),test!$J$10:$P$14,3,FALSE))/1440),1,0)</f>
        <v>1</v>
      </c>
    </row>
    <row r="18" spans="1:33" x14ac:dyDescent="0.25">
      <c r="A18" t="s">
        <v>48</v>
      </c>
      <c r="B18" t="s">
        <v>27</v>
      </c>
      <c r="C18">
        <v>0</v>
      </c>
      <c r="D18" s="2">
        <f>IF(AND(VLOOKUP(D$1,test!$A$3:$F$32,5,FALSE) - VLOOKUP($B18,test!$A$3:$G$32,6,FALSE) &gt;= (test!$B$33+VLOOKUP(VLOOKUP($B18,test!$A$2:$I$32,4,FALSE),test!$J$10:$P$14,3,FALSE))/1440),1,0)</f>
        <v>0</v>
      </c>
      <c r="E18" s="2">
        <f>IF(AND(VLOOKUP(E$1,test!$A$3:$F$32,5,FALSE) - VLOOKUP($B18,test!$A$3:$G$32,6,FALSE) &gt;= (test!$B$33+VLOOKUP(VLOOKUP($B18,test!$A$2:$I$32,4,FALSE),test!$J$10:$P$14,3,FALSE))/1440),1,0)</f>
        <v>0</v>
      </c>
      <c r="F18" s="2">
        <f>IF(AND(VLOOKUP(F$1,test!$A$3:$F$32,5,FALSE) - VLOOKUP($B18,test!$A$3:$G$32,6,FALSE) &gt;= (test!$B$33+VLOOKUP(VLOOKUP($B18,test!$A$2:$I$32,4,FALSE),test!$J$10:$P$14,3,FALSE))/1440),1,0)</f>
        <v>0</v>
      </c>
      <c r="G18" s="2">
        <f>IF(AND(VLOOKUP(G$1,test!$A$3:$F$32,5,FALSE) - VLOOKUP($B18,test!$A$3:$G$32,6,FALSE) &gt;= (test!$B$33+VLOOKUP(VLOOKUP($B18,test!$A$2:$I$32,4,FALSE),test!$J$10:$P$14,3,FALSE))/1440),1,0)</f>
        <v>1</v>
      </c>
      <c r="H18" s="2">
        <f>IF(AND(VLOOKUP(H$1,test!$A$3:$F$32,5,FALSE) - VLOOKUP($B18,test!$A$3:$G$32,6,FALSE) &gt;= (test!$B$33+VLOOKUP(VLOOKUP($B18,test!$A$2:$I$32,4,FALSE),test!$J$10:$P$14,3,FALSE))/1440),1,0)</f>
        <v>1</v>
      </c>
      <c r="I18" s="2">
        <f>IF(AND(VLOOKUP(I$1,test!$A$3:$F$32,5,FALSE) - VLOOKUP($B18,test!$A$3:$G$32,6,FALSE) &gt;= (test!$B$33+VLOOKUP(VLOOKUP($B18,test!$A$2:$I$32,4,FALSE),test!$J$10:$P$14,3,FALSE))/1440),1,0)</f>
        <v>1</v>
      </c>
      <c r="J18" s="2">
        <f>IF(AND(VLOOKUP(J$1,test!$A$3:$F$32,5,FALSE) - VLOOKUP($B18,test!$A$3:$G$32,6,FALSE) &gt;= (test!$B$33+VLOOKUP(VLOOKUP($B18,test!$A$2:$I$32,4,FALSE),test!$J$10:$P$14,3,FALSE))/1440),1,0)</f>
        <v>1</v>
      </c>
      <c r="K18" s="2">
        <f>IF(AND(VLOOKUP(K$1,test!$A$3:$F$32,5,FALSE) - VLOOKUP($B18,test!$A$3:$G$32,6,FALSE) &gt;= (test!$B$33+VLOOKUP(VLOOKUP($B18,test!$A$2:$I$32,4,FALSE),test!$J$10:$P$14,3,FALSE))/1440),1,0)</f>
        <v>1</v>
      </c>
      <c r="L18" s="2">
        <f>IF(AND(VLOOKUP(L$1,test!$A$3:$F$32,5,FALSE) - VLOOKUP($B18,test!$A$3:$G$32,6,FALSE) &gt;= (test!$B$33+VLOOKUP(VLOOKUP($B18,test!$A$2:$I$32,4,FALSE),test!$J$10:$P$14,3,FALSE))/1440),1,0)</f>
        <v>0</v>
      </c>
      <c r="M18" s="2">
        <f>IF(AND(VLOOKUP(M$1,test!$A$3:$F$32,5,FALSE) - VLOOKUP($B18,test!$A$3:$G$32,6,FALSE) &gt;= (test!$B$33+VLOOKUP(VLOOKUP($B18,test!$A$2:$I$32,4,FALSE),test!$J$10:$P$14,3,FALSE))/1440),1,0)</f>
        <v>0</v>
      </c>
      <c r="N18" s="2">
        <f>IF(AND(VLOOKUP(N$1,test!$A$3:$F$32,5,FALSE) - VLOOKUP($B18,test!$A$3:$G$32,6,FALSE) &gt;= (test!$B$33+VLOOKUP(VLOOKUP($B18,test!$A$2:$I$32,4,FALSE),test!$J$10:$P$14,3,FALSE))/1440),1,0)</f>
        <v>0</v>
      </c>
      <c r="O18" s="2">
        <f>IF(AND(VLOOKUP(O$1,test!$A$3:$F$32,5,FALSE) - VLOOKUP($B18,test!$A$3:$G$32,6,FALSE) &gt;= (test!$B$33+VLOOKUP(VLOOKUP($B18,test!$A$2:$I$32,4,FALSE),test!$J$10:$P$14,3,FALSE))/1440),1,0)</f>
        <v>1</v>
      </c>
      <c r="P18" s="2">
        <f>IF(AND(VLOOKUP(P$1,test!$A$3:$F$32,5,FALSE) - VLOOKUP($B18,test!$A$3:$G$32,6,FALSE) &gt;= (test!$B$33+VLOOKUP(VLOOKUP($B18,test!$A$2:$I$32,4,FALSE),test!$J$10:$P$14,3,FALSE))/1440),1,0)</f>
        <v>1</v>
      </c>
      <c r="Q18" s="2">
        <f>IF(AND(VLOOKUP(Q$1,test!$A$3:$F$32,5,FALSE) - VLOOKUP($B18,test!$A$3:$G$32,6,FALSE) &gt;= (test!$B$33+VLOOKUP(VLOOKUP($B18,test!$A$2:$I$32,4,FALSE),test!$J$10:$P$14,3,FALSE))/1440),1,0)</f>
        <v>0</v>
      </c>
      <c r="R18" s="2">
        <f>IF(AND(VLOOKUP(R$1,test!$A$3:$F$32,5,FALSE) - VLOOKUP($B18,test!$A$3:$G$32,6,FALSE) &gt;= (test!$B$33+VLOOKUP(VLOOKUP($B18,test!$A$2:$I$32,4,FALSE),test!$J$10:$P$14,3,FALSE))/1440),1,0)</f>
        <v>0</v>
      </c>
      <c r="S18" s="2">
        <f>IF(AND(VLOOKUP(S$1,test!$A$3:$F$32,5,FALSE) - VLOOKUP($B18,test!$A$3:$G$32,6,FALSE) &gt;= (test!$B$33+VLOOKUP(VLOOKUP($B18,test!$A$2:$I$32,4,FALSE),test!$J$10:$P$14,3,FALSE))/1440),1,0)</f>
        <v>0</v>
      </c>
      <c r="T18" s="2">
        <f>IF(AND(VLOOKUP(T$1,test!$A$3:$F$32,5,FALSE) - VLOOKUP($B18,test!$A$3:$G$32,6,FALSE) &gt;= (test!$B$33+VLOOKUP(VLOOKUP($B18,test!$A$2:$I$32,4,FALSE),test!$J$10:$P$14,3,FALSE))/1440),1,0)</f>
        <v>0</v>
      </c>
      <c r="U18" s="2">
        <f>IF(AND(VLOOKUP(U$1,test!$A$3:$F$32,5,FALSE) - VLOOKUP($B18,test!$A$3:$G$32,6,FALSE) &gt;= (test!$B$33+VLOOKUP(VLOOKUP($B18,test!$A$2:$I$32,4,FALSE),test!$J$10:$P$14,3,FALSE))/1440),1,0)</f>
        <v>0</v>
      </c>
      <c r="V18" s="2">
        <f>IF(AND(VLOOKUP(V$1,test!$A$3:$F$32,5,FALSE) - VLOOKUP($B18,test!$A$3:$G$32,6,FALSE) &gt;= (test!$B$33+VLOOKUP(VLOOKUP($B18,test!$A$2:$I$32,4,FALSE),test!$J$10:$P$14,3,FALSE))/1440),1,0)</f>
        <v>1</v>
      </c>
      <c r="W18" s="2">
        <f>IF(AND(VLOOKUP(W$1,test!$A$3:$F$32,5,FALSE) - VLOOKUP($B18,test!$A$3:$G$32,6,FALSE) &gt;= (test!$B$33+VLOOKUP(VLOOKUP($B18,test!$A$2:$I$32,4,FALSE),test!$J$10:$P$14,3,FALSE))/1440),1,0)</f>
        <v>1</v>
      </c>
      <c r="X18" s="2">
        <f>IF(AND(VLOOKUP(X$1,test!$A$3:$F$32,5,FALSE) - VLOOKUP($B18,test!$A$3:$G$32,6,FALSE) &gt;= (test!$B$33+VLOOKUP(VLOOKUP($B18,test!$A$2:$I$32,4,FALSE),test!$J$10:$P$14,3,FALSE))/1440),1,0)</f>
        <v>1</v>
      </c>
      <c r="Y18" s="2">
        <f>IF(AND(VLOOKUP(Y$1,test!$A$3:$F$32,5,FALSE) - VLOOKUP($B18,test!$A$3:$G$32,6,FALSE) &gt;= (test!$B$33+VLOOKUP(VLOOKUP($B18,test!$A$2:$I$32,4,FALSE),test!$J$10:$P$14,3,FALSE))/1440),1,0)</f>
        <v>1</v>
      </c>
      <c r="Z18" s="2">
        <f>IF(AND(VLOOKUP(Z$1,test!$A$3:$F$32,5,FALSE) - VLOOKUP($B18,test!$A$3:$G$32,6,FALSE) &gt;= (test!$B$33+VLOOKUP(VLOOKUP($B18,test!$A$2:$I$32,4,FALSE),test!$J$10:$P$14,3,FALSE))/1440),1,0)</f>
        <v>0</v>
      </c>
      <c r="AA18" s="2">
        <f>IF(AND(VLOOKUP(AA$1,test!$A$3:$F$32,5,FALSE) - VLOOKUP($B18,test!$A$3:$G$32,6,FALSE) &gt;= (test!$B$33+VLOOKUP(VLOOKUP($B18,test!$A$2:$I$32,4,FALSE),test!$J$10:$P$14,3,FALSE))/1440),1,0)</f>
        <v>0</v>
      </c>
      <c r="AB18" s="2">
        <f>IF(AND(VLOOKUP(AB$1,test!$A$3:$F$32,5,FALSE) - VLOOKUP($B18,test!$A$3:$G$32,6,FALSE) &gt;= (test!$B$33+VLOOKUP(VLOOKUP($B18,test!$A$2:$I$32,4,FALSE),test!$J$10:$P$14,3,FALSE))/1440),1,0)</f>
        <v>1</v>
      </c>
      <c r="AC18" s="2">
        <f>IF(AND(VLOOKUP(AC$1,test!$A$3:$F$32,5,FALSE) - VLOOKUP($B18,test!$A$3:$G$32,6,FALSE) &gt;= (test!$B$33+VLOOKUP(VLOOKUP($B18,test!$A$2:$I$32,4,FALSE),test!$J$10:$P$14,3,FALSE))/1440),1,0)</f>
        <v>1</v>
      </c>
      <c r="AD18" s="2">
        <f>IF(AND(VLOOKUP(AD$1,test!$A$3:$F$32,5,FALSE) - VLOOKUP($B18,test!$A$3:$G$32,6,FALSE) &gt;= (test!$B$33+VLOOKUP(VLOOKUP($B18,test!$A$2:$I$32,4,FALSE),test!$J$10:$P$14,3,FALSE))/1440),1,0)</f>
        <v>1</v>
      </c>
      <c r="AE18" s="2">
        <f>IF(AND(VLOOKUP(AE$1,test!$A$3:$F$32,5,FALSE) - VLOOKUP($B18,test!$A$3:$G$32,6,FALSE) &gt;= (test!$B$33+VLOOKUP(VLOOKUP($B18,test!$A$2:$I$32,4,FALSE),test!$J$10:$P$14,3,FALSE))/1440),1,0)</f>
        <v>0</v>
      </c>
      <c r="AF18" s="2">
        <f>IF(AND(VLOOKUP(AF$1,test!$A$3:$F$32,5,FALSE) - VLOOKUP($B18,test!$A$3:$G$32,6,FALSE) &gt;= (test!$B$33+VLOOKUP(VLOOKUP($B18,test!$A$2:$I$32,4,FALSE),test!$J$10:$P$14,3,FALSE))/1440),1,0)</f>
        <v>1</v>
      </c>
      <c r="AG18" s="2">
        <f>IF(AND(VLOOKUP(AG$1,test!$A$3:$F$32,5,FALSE) - VLOOKUP($B18,test!$A$3:$G$32,6,FALSE) &gt;= (test!$B$33+VLOOKUP(VLOOKUP($B18,test!$A$2:$I$32,4,FALSE),test!$J$10:$P$14,3,FALSE))/1440),1,0)</f>
        <v>0</v>
      </c>
    </row>
    <row r="19" spans="1:33" x14ac:dyDescent="0.25">
      <c r="A19" t="s">
        <v>48</v>
      </c>
      <c r="B19" t="s">
        <v>28</v>
      </c>
      <c r="C19">
        <v>0</v>
      </c>
      <c r="D19" s="2">
        <f>IF(AND(VLOOKUP(D$1,test!$A$3:$F$32,5,FALSE) - VLOOKUP($B19,test!$A$3:$G$32,6,FALSE) &gt;= (test!$B$33+VLOOKUP(VLOOKUP($B19,test!$A$2:$I$32,4,FALSE),test!$J$10:$P$14,3,FALSE))/1440),1,0)</f>
        <v>0</v>
      </c>
      <c r="E19" s="2">
        <f>IF(AND(VLOOKUP(E$1,test!$A$3:$F$32,5,FALSE) - VLOOKUP($B19,test!$A$3:$G$32,6,FALSE) &gt;= (test!$B$33+VLOOKUP(VLOOKUP($B19,test!$A$2:$I$32,4,FALSE),test!$J$10:$P$14,3,FALSE))/1440),1,0)</f>
        <v>0</v>
      </c>
      <c r="F19" s="2">
        <f>IF(AND(VLOOKUP(F$1,test!$A$3:$F$32,5,FALSE) - VLOOKUP($B19,test!$A$3:$G$32,6,FALSE) &gt;= (test!$B$33+VLOOKUP(VLOOKUP($B19,test!$A$2:$I$32,4,FALSE),test!$J$10:$P$14,3,FALSE))/1440),1,0)</f>
        <v>0</v>
      </c>
      <c r="G19" s="2">
        <f>IF(AND(VLOOKUP(G$1,test!$A$3:$F$32,5,FALSE) - VLOOKUP($B19,test!$A$3:$G$32,6,FALSE) &gt;= (test!$B$33+VLOOKUP(VLOOKUP($B19,test!$A$2:$I$32,4,FALSE),test!$J$10:$P$14,3,FALSE))/1440),1,0)</f>
        <v>0</v>
      </c>
      <c r="H19" s="2">
        <f>IF(AND(VLOOKUP(H$1,test!$A$3:$F$32,5,FALSE) - VLOOKUP($B19,test!$A$3:$G$32,6,FALSE) &gt;= (test!$B$33+VLOOKUP(VLOOKUP($B19,test!$A$2:$I$32,4,FALSE),test!$J$10:$P$14,3,FALSE))/1440),1,0)</f>
        <v>1</v>
      </c>
      <c r="I19" s="2">
        <f>IF(AND(VLOOKUP(I$1,test!$A$3:$F$32,5,FALSE) - VLOOKUP($B19,test!$A$3:$G$32,6,FALSE) &gt;= (test!$B$33+VLOOKUP(VLOOKUP($B19,test!$A$2:$I$32,4,FALSE),test!$J$10:$P$14,3,FALSE))/1440),1,0)</f>
        <v>1</v>
      </c>
      <c r="J19" s="2">
        <f>IF(AND(VLOOKUP(J$1,test!$A$3:$F$32,5,FALSE) - VLOOKUP($B19,test!$A$3:$G$32,6,FALSE) &gt;= (test!$B$33+VLOOKUP(VLOOKUP($B19,test!$A$2:$I$32,4,FALSE),test!$J$10:$P$14,3,FALSE))/1440),1,0)</f>
        <v>1</v>
      </c>
      <c r="K19" s="2">
        <f>IF(AND(VLOOKUP(K$1,test!$A$3:$F$32,5,FALSE) - VLOOKUP($B19,test!$A$3:$G$32,6,FALSE) &gt;= (test!$B$33+VLOOKUP(VLOOKUP($B19,test!$A$2:$I$32,4,FALSE),test!$J$10:$P$14,3,FALSE))/1440),1,0)</f>
        <v>1</v>
      </c>
      <c r="L19" s="2">
        <f>IF(AND(VLOOKUP(L$1,test!$A$3:$F$32,5,FALSE) - VLOOKUP($B19,test!$A$3:$G$32,6,FALSE) &gt;= (test!$B$33+VLOOKUP(VLOOKUP($B19,test!$A$2:$I$32,4,FALSE),test!$J$10:$P$14,3,FALSE))/1440),1,0)</f>
        <v>0</v>
      </c>
      <c r="M19" s="2">
        <f>IF(AND(VLOOKUP(M$1,test!$A$3:$F$32,5,FALSE) - VLOOKUP($B19,test!$A$3:$G$32,6,FALSE) &gt;= (test!$B$33+VLOOKUP(VLOOKUP($B19,test!$A$2:$I$32,4,FALSE),test!$J$10:$P$14,3,FALSE))/1440),1,0)</f>
        <v>0</v>
      </c>
      <c r="N19" s="2">
        <f>IF(AND(VLOOKUP(N$1,test!$A$3:$F$32,5,FALSE) - VLOOKUP($B19,test!$A$3:$G$32,6,FALSE) &gt;= (test!$B$33+VLOOKUP(VLOOKUP($B19,test!$A$2:$I$32,4,FALSE),test!$J$10:$P$14,3,FALSE))/1440),1,0)</f>
        <v>0</v>
      </c>
      <c r="O19" s="2">
        <f>IF(AND(VLOOKUP(O$1,test!$A$3:$F$32,5,FALSE) - VLOOKUP($B19,test!$A$3:$G$32,6,FALSE) &gt;= (test!$B$33+VLOOKUP(VLOOKUP($B19,test!$A$2:$I$32,4,FALSE),test!$J$10:$P$14,3,FALSE))/1440),1,0)</f>
        <v>1</v>
      </c>
      <c r="P19" s="2">
        <f>IF(AND(VLOOKUP(P$1,test!$A$3:$F$32,5,FALSE) - VLOOKUP($B19,test!$A$3:$G$32,6,FALSE) &gt;= (test!$B$33+VLOOKUP(VLOOKUP($B19,test!$A$2:$I$32,4,FALSE),test!$J$10:$P$14,3,FALSE))/1440),1,0)</f>
        <v>1</v>
      </c>
      <c r="Q19" s="2">
        <f>IF(AND(VLOOKUP(Q$1,test!$A$3:$F$32,5,FALSE) - VLOOKUP($B19,test!$A$3:$G$32,6,FALSE) &gt;= (test!$B$33+VLOOKUP(VLOOKUP($B19,test!$A$2:$I$32,4,FALSE),test!$J$10:$P$14,3,FALSE))/1440),1,0)</f>
        <v>0</v>
      </c>
      <c r="R19" s="2">
        <f>IF(AND(VLOOKUP(R$1,test!$A$3:$F$32,5,FALSE) - VLOOKUP($B19,test!$A$3:$G$32,6,FALSE) &gt;= (test!$B$33+VLOOKUP(VLOOKUP($B19,test!$A$2:$I$32,4,FALSE),test!$J$10:$P$14,3,FALSE))/1440),1,0)</f>
        <v>0</v>
      </c>
      <c r="S19" s="2">
        <f>IF(AND(VLOOKUP(S$1,test!$A$3:$F$32,5,FALSE) - VLOOKUP($B19,test!$A$3:$G$32,6,FALSE) &gt;= (test!$B$33+VLOOKUP(VLOOKUP($B19,test!$A$2:$I$32,4,FALSE),test!$J$10:$P$14,3,FALSE))/1440),1,0)</f>
        <v>0</v>
      </c>
      <c r="T19" s="2">
        <f>IF(AND(VLOOKUP(T$1,test!$A$3:$F$32,5,FALSE) - VLOOKUP($B19,test!$A$3:$G$32,6,FALSE) &gt;= (test!$B$33+VLOOKUP(VLOOKUP($B19,test!$A$2:$I$32,4,FALSE),test!$J$10:$P$14,3,FALSE))/1440),1,0)</f>
        <v>0</v>
      </c>
      <c r="U19" s="2">
        <f>IF(AND(VLOOKUP(U$1,test!$A$3:$F$32,5,FALSE) - VLOOKUP($B19,test!$A$3:$G$32,6,FALSE) &gt;= (test!$B$33+VLOOKUP(VLOOKUP($B19,test!$A$2:$I$32,4,FALSE),test!$J$10:$P$14,3,FALSE))/1440),1,0)</f>
        <v>0</v>
      </c>
      <c r="V19" s="2">
        <f>IF(AND(VLOOKUP(V$1,test!$A$3:$F$32,5,FALSE) - VLOOKUP($B19,test!$A$3:$G$32,6,FALSE) &gt;= (test!$B$33+VLOOKUP(VLOOKUP($B19,test!$A$2:$I$32,4,FALSE),test!$J$10:$P$14,3,FALSE))/1440),1,0)</f>
        <v>0</v>
      </c>
      <c r="W19" s="2">
        <f>IF(AND(VLOOKUP(W$1,test!$A$3:$F$32,5,FALSE) - VLOOKUP($B19,test!$A$3:$G$32,6,FALSE) &gt;= (test!$B$33+VLOOKUP(VLOOKUP($B19,test!$A$2:$I$32,4,FALSE),test!$J$10:$P$14,3,FALSE))/1440),1,0)</f>
        <v>1</v>
      </c>
      <c r="X19" s="2">
        <f>IF(AND(VLOOKUP(X$1,test!$A$3:$F$32,5,FALSE) - VLOOKUP($B19,test!$A$3:$G$32,6,FALSE) &gt;= (test!$B$33+VLOOKUP(VLOOKUP($B19,test!$A$2:$I$32,4,FALSE),test!$J$10:$P$14,3,FALSE))/1440),1,0)</f>
        <v>1</v>
      </c>
      <c r="Y19" s="2">
        <f>IF(AND(VLOOKUP(Y$1,test!$A$3:$F$32,5,FALSE) - VLOOKUP($B19,test!$A$3:$G$32,6,FALSE) &gt;= (test!$B$33+VLOOKUP(VLOOKUP($B19,test!$A$2:$I$32,4,FALSE),test!$J$10:$P$14,3,FALSE))/1440),1,0)</f>
        <v>1</v>
      </c>
      <c r="Z19" s="2">
        <f>IF(AND(VLOOKUP(Z$1,test!$A$3:$F$32,5,FALSE) - VLOOKUP($B19,test!$A$3:$G$32,6,FALSE) &gt;= (test!$B$33+VLOOKUP(VLOOKUP($B19,test!$A$2:$I$32,4,FALSE),test!$J$10:$P$14,3,FALSE))/1440),1,0)</f>
        <v>0</v>
      </c>
      <c r="AA19" s="2">
        <f>IF(AND(VLOOKUP(AA$1,test!$A$3:$F$32,5,FALSE) - VLOOKUP($B19,test!$A$3:$G$32,6,FALSE) &gt;= (test!$B$33+VLOOKUP(VLOOKUP($B19,test!$A$2:$I$32,4,FALSE),test!$J$10:$P$14,3,FALSE))/1440),1,0)</f>
        <v>0</v>
      </c>
      <c r="AB19" s="2">
        <f>IF(AND(VLOOKUP(AB$1,test!$A$3:$F$32,5,FALSE) - VLOOKUP($B19,test!$A$3:$G$32,6,FALSE) &gt;= (test!$B$33+VLOOKUP(VLOOKUP($B19,test!$A$2:$I$32,4,FALSE),test!$J$10:$P$14,3,FALSE))/1440),1,0)</f>
        <v>0</v>
      </c>
      <c r="AC19" s="2">
        <f>IF(AND(VLOOKUP(AC$1,test!$A$3:$F$32,5,FALSE) - VLOOKUP($B19,test!$A$3:$G$32,6,FALSE) &gt;= (test!$B$33+VLOOKUP(VLOOKUP($B19,test!$A$2:$I$32,4,FALSE),test!$J$10:$P$14,3,FALSE))/1440),1,0)</f>
        <v>0</v>
      </c>
      <c r="AD19" s="2">
        <f>IF(AND(VLOOKUP(AD$1,test!$A$3:$F$32,5,FALSE) - VLOOKUP($B19,test!$A$3:$G$32,6,FALSE) &gt;= (test!$B$33+VLOOKUP(VLOOKUP($B19,test!$A$2:$I$32,4,FALSE),test!$J$10:$P$14,3,FALSE))/1440),1,0)</f>
        <v>1</v>
      </c>
      <c r="AE19" s="2">
        <f>IF(AND(VLOOKUP(AE$1,test!$A$3:$F$32,5,FALSE) - VLOOKUP($B19,test!$A$3:$G$32,6,FALSE) &gt;= (test!$B$33+VLOOKUP(VLOOKUP($B19,test!$A$2:$I$32,4,FALSE),test!$J$10:$P$14,3,FALSE))/1440),1,0)</f>
        <v>0</v>
      </c>
      <c r="AF19" s="2">
        <f>IF(AND(VLOOKUP(AF$1,test!$A$3:$F$32,5,FALSE) - VLOOKUP($B19,test!$A$3:$G$32,6,FALSE) &gt;= (test!$B$33+VLOOKUP(VLOOKUP($B19,test!$A$2:$I$32,4,FALSE),test!$J$10:$P$14,3,FALSE))/1440),1,0)</f>
        <v>0</v>
      </c>
      <c r="AG19" s="2">
        <f>IF(AND(VLOOKUP(AG$1,test!$A$3:$F$32,5,FALSE) - VLOOKUP($B19,test!$A$3:$G$32,6,FALSE) &gt;= (test!$B$33+VLOOKUP(VLOOKUP($B19,test!$A$2:$I$32,4,FALSE),test!$J$10:$P$14,3,FALSE))/1440),1,0)</f>
        <v>0</v>
      </c>
    </row>
    <row r="20" spans="1:33" x14ac:dyDescent="0.25">
      <c r="A20" t="s">
        <v>48</v>
      </c>
      <c r="B20" t="s">
        <v>29</v>
      </c>
      <c r="C20">
        <v>0</v>
      </c>
      <c r="D20" s="2">
        <f>IF(AND(VLOOKUP(D$1,test!$A$3:$F$32,5,FALSE) - VLOOKUP($B20,test!$A$3:$G$32,6,FALSE) &gt;= (test!$B$33+VLOOKUP(VLOOKUP($B20,test!$A$2:$I$32,4,FALSE),test!$J$10:$P$14,3,FALSE))/1440),1,0)</f>
        <v>0</v>
      </c>
      <c r="E20" s="2">
        <f>IF(AND(VLOOKUP(E$1,test!$A$3:$F$32,5,FALSE) - VLOOKUP($B20,test!$A$3:$G$32,6,FALSE) &gt;= (test!$B$33+VLOOKUP(VLOOKUP($B20,test!$A$2:$I$32,4,FALSE),test!$J$10:$P$14,3,FALSE))/1440),1,0)</f>
        <v>0</v>
      </c>
      <c r="F20" s="2">
        <f>IF(AND(VLOOKUP(F$1,test!$A$3:$F$32,5,FALSE) - VLOOKUP($B20,test!$A$3:$G$32,6,FALSE) &gt;= (test!$B$33+VLOOKUP(VLOOKUP($B20,test!$A$2:$I$32,4,FALSE),test!$J$10:$P$14,3,FALSE))/1440),1,0)</f>
        <v>0</v>
      </c>
      <c r="G20" s="2">
        <f>IF(AND(VLOOKUP(G$1,test!$A$3:$F$32,5,FALSE) - VLOOKUP($B20,test!$A$3:$G$32,6,FALSE) &gt;= (test!$B$33+VLOOKUP(VLOOKUP($B20,test!$A$2:$I$32,4,FALSE),test!$J$10:$P$14,3,FALSE))/1440),1,0)</f>
        <v>0</v>
      </c>
      <c r="H20" s="2">
        <f>IF(AND(VLOOKUP(H$1,test!$A$3:$F$32,5,FALSE) - VLOOKUP($B20,test!$A$3:$G$32,6,FALSE) &gt;= (test!$B$33+VLOOKUP(VLOOKUP($B20,test!$A$2:$I$32,4,FALSE),test!$J$10:$P$14,3,FALSE))/1440),1,0)</f>
        <v>0</v>
      </c>
      <c r="I20" s="2">
        <f>IF(AND(VLOOKUP(I$1,test!$A$3:$F$32,5,FALSE) - VLOOKUP($B20,test!$A$3:$G$32,6,FALSE) &gt;= (test!$B$33+VLOOKUP(VLOOKUP($B20,test!$A$2:$I$32,4,FALSE),test!$J$10:$P$14,3,FALSE))/1440),1,0)</f>
        <v>1</v>
      </c>
      <c r="J20" s="2">
        <f>IF(AND(VLOOKUP(J$1,test!$A$3:$F$32,5,FALSE) - VLOOKUP($B20,test!$A$3:$G$32,6,FALSE) &gt;= (test!$B$33+VLOOKUP(VLOOKUP($B20,test!$A$2:$I$32,4,FALSE),test!$J$10:$P$14,3,FALSE))/1440),1,0)</f>
        <v>1</v>
      </c>
      <c r="K20" s="2">
        <f>IF(AND(VLOOKUP(K$1,test!$A$3:$F$32,5,FALSE) - VLOOKUP($B20,test!$A$3:$G$32,6,FALSE) &gt;= (test!$B$33+VLOOKUP(VLOOKUP($B20,test!$A$2:$I$32,4,FALSE),test!$J$10:$P$14,3,FALSE))/1440),1,0)</f>
        <v>1</v>
      </c>
      <c r="L20" s="2">
        <f>IF(AND(VLOOKUP(L$1,test!$A$3:$F$32,5,FALSE) - VLOOKUP($B20,test!$A$3:$G$32,6,FALSE) &gt;= (test!$B$33+VLOOKUP(VLOOKUP($B20,test!$A$2:$I$32,4,FALSE),test!$J$10:$P$14,3,FALSE))/1440),1,0)</f>
        <v>0</v>
      </c>
      <c r="M20" s="2">
        <f>IF(AND(VLOOKUP(M$1,test!$A$3:$F$32,5,FALSE) - VLOOKUP($B20,test!$A$3:$G$32,6,FALSE) &gt;= (test!$B$33+VLOOKUP(VLOOKUP($B20,test!$A$2:$I$32,4,FALSE),test!$J$10:$P$14,3,FALSE))/1440),1,0)</f>
        <v>0</v>
      </c>
      <c r="N20" s="2">
        <f>IF(AND(VLOOKUP(N$1,test!$A$3:$F$32,5,FALSE) - VLOOKUP($B20,test!$A$3:$G$32,6,FALSE) &gt;= (test!$B$33+VLOOKUP(VLOOKUP($B20,test!$A$2:$I$32,4,FALSE),test!$J$10:$P$14,3,FALSE))/1440),1,0)</f>
        <v>0</v>
      </c>
      <c r="O20" s="2">
        <f>IF(AND(VLOOKUP(O$1,test!$A$3:$F$32,5,FALSE) - VLOOKUP($B20,test!$A$3:$G$32,6,FALSE) &gt;= (test!$B$33+VLOOKUP(VLOOKUP($B20,test!$A$2:$I$32,4,FALSE),test!$J$10:$P$14,3,FALSE))/1440),1,0)</f>
        <v>1</v>
      </c>
      <c r="P20" s="2">
        <f>IF(AND(VLOOKUP(P$1,test!$A$3:$F$32,5,FALSE) - VLOOKUP($B20,test!$A$3:$G$32,6,FALSE) &gt;= (test!$B$33+VLOOKUP(VLOOKUP($B20,test!$A$2:$I$32,4,FALSE),test!$J$10:$P$14,3,FALSE))/1440),1,0)</f>
        <v>1</v>
      </c>
      <c r="Q20" s="2">
        <f>IF(AND(VLOOKUP(Q$1,test!$A$3:$F$32,5,FALSE) - VLOOKUP($B20,test!$A$3:$G$32,6,FALSE) &gt;= (test!$B$33+VLOOKUP(VLOOKUP($B20,test!$A$2:$I$32,4,FALSE),test!$J$10:$P$14,3,FALSE))/1440),1,0)</f>
        <v>0</v>
      </c>
      <c r="R20" s="2">
        <f>IF(AND(VLOOKUP(R$1,test!$A$3:$F$32,5,FALSE) - VLOOKUP($B20,test!$A$3:$G$32,6,FALSE) &gt;= (test!$B$33+VLOOKUP(VLOOKUP($B20,test!$A$2:$I$32,4,FALSE),test!$J$10:$P$14,3,FALSE))/1440),1,0)</f>
        <v>0</v>
      </c>
      <c r="S20" s="2">
        <f>IF(AND(VLOOKUP(S$1,test!$A$3:$F$32,5,FALSE) - VLOOKUP($B20,test!$A$3:$G$32,6,FALSE) &gt;= (test!$B$33+VLOOKUP(VLOOKUP($B20,test!$A$2:$I$32,4,FALSE),test!$J$10:$P$14,3,FALSE))/1440),1,0)</f>
        <v>0</v>
      </c>
      <c r="T20" s="2">
        <f>IF(AND(VLOOKUP(T$1,test!$A$3:$F$32,5,FALSE) - VLOOKUP($B20,test!$A$3:$G$32,6,FALSE) &gt;= (test!$B$33+VLOOKUP(VLOOKUP($B20,test!$A$2:$I$32,4,FALSE),test!$J$10:$P$14,3,FALSE))/1440),1,0)</f>
        <v>0</v>
      </c>
      <c r="U20" s="2">
        <f>IF(AND(VLOOKUP(U$1,test!$A$3:$F$32,5,FALSE) - VLOOKUP($B20,test!$A$3:$G$32,6,FALSE) &gt;= (test!$B$33+VLOOKUP(VLOOKUP($B20,test!$A$2:$I$32,4,FALSE),test!$J$10:$P$14,3,FALSE))/1440),1,0)</f>
        <v>0</v>
      </c>
      <c r="V20" s="2">
        <f>IF(AND(VLOOKUP(V$1,test!$A$3:$F$32,5,FALSE) - VLOOKUP($B20,test!$A$3:$G$32,6,FALSE) &gt;= (test!$B$33+VLOOKUP(VLOOKUP($B20,test!$A$2:$I$32,4,FALSE),test!$J$10:$P$14,3,FALSE))/1440),1,0)</f>
        <v>0</v>
      </c>
      <c r="W20" s="2">
        <f>IF(AND(VLOOKUP(W$1,test!$A$3:$F$32,5,FALSE) - VLOOKUP($B20,test!$A$3:$G$32,6,FALSE) &gt;= (test!$B$33+VLOOKUP(VLOOKUP($B20,test!$A$2:$I$32,4,FALSE),test!$J$10:$P$14,3,FALSE))/1440),1,0)</f>
        <v>0</v>
      </c>
      <c r="X20" s="2">
        <f>IF(AND(VLOOKUP(X$1,test!$A$3:$F$32,5,FALSE) - VLOOKUP($B20,test!$A$3:$G$32,6,FALSE) &gt;= (test!$B$33+VLOOKUP(VLOOKUP($B20,test!$A$2:$I$32,4,FALSE),test!$J$10:$P$14,3,FALSE))/1440),1,0)</f>
        <v>1</v>
      </c>
      <c r="Y20" s="2">
        <f>IF(AND(VLOOKUP(Y$1,test!$A$3:$F$32,5,FALSE) - VLOOKUP($B20,test!$A$3:$G$32,6,FALSE) &gt;= (test!$B$33+VLOOKUP(VLOOKUP($B20,test!$A$2:$I$32,4,FALSE),test!$J$10:$P$14,3,FALSE))/1440),1,0)</f>
        <v>1</v>
      </c>
      <c r="Z20" s="2">
        <f>IF(AND(VLOOKUP(Z$1,test!$A$3:$F$32,5,FALSE) - VLOOKUP($B20,test!$A$3:$G$32,6,FALSE) &gt;= (test!$B$33+VLOOKUP(VLOOKUP($B20,test!$A$2:$I$32,4,FALSE),test!$J$10:$P$14,3,FALSE))/1440),1,0)</f>
        <v>0</v>
      </c>
      <c r="AA20" s="2">
        <f>IF(AND(VLOOKUP(AA$1,test!$A$3:$F$32,5,FALSE) - VLOOKUP($B20,test!$A$3:$G$32,6,FALSE) &gt;= (test!$B$33+VLOOKUP(VLOOKUP($B20,test!$A$2:$I$32,4,FALSE),test!$J$10:$P$14,3,FALSE))/1440),1,0)</f>
        <v>0</v>
      </c>
      <c r="AB20" s="2">
        <f>IF(AND(VLOOKUP(AB$1,test!$A$3:$F$32,5,FALSE) - VLOOKUP($B20,test!$A$3:$G$32,6,FALSE) &gt;= (test!$B$33+VLOOKUP(VLOOKUP($B20,test!$A$2:$I$32,4,FALSE),test!$J$10:$P$14,3,FALSE))/1440),1,0)</f>
        <v>0</v>
      </c>
      <c r="AC20" s="2">
        <f>IF(AND(VLOOKUP(AC$1,test!$A$3:$F$32,5,FALSE) - VLOOKUP($B20,test!$A$3:$G$32,6,FALSE) &gt;= (test!$B$33+VLOOKUP(VLOOKUP($B20,test!$A$2:$I$32,4,FALSE),test!$J$10:$P$14,3,FALSE))/1440),1,0)</f>
        <v>0</v>
      </c>
      <c r="AD20" s="2">
        <f>IF(AND(VLOOKUP(AD$1,test!$A$3:$F$32,5,FALSE) - VLOOKUP($B20,test!$A$3:$G$32,6,FALSE) &gt;= (test!$B$33+VLOOKUP(VLOOKUP($B20,test!$A$2:$I$32,4,FALSE),test!$J$10:$P$14,3,FALSE))/1440),1,0)</f>
        <v>1</v>
      </c>
      <c r="AE20" s="2">
        <f>IF(AND(VLOOKUP(AE$1,test!$A$3:$F$32,5,FALSE) - VLOOKUP($B20,test!$A$3:$G$32,6,FALSE) &gt;= (test!$B$33+VLOOKUP(VLOOKUP($B20,test!$A$2:$I$32,4,FALSE),test!$J$10:$P$14,3,FALSE))/1440),1,0)</f>
        <v>0</v>
      </c>
      <c r="AF20" s="2">
        <f>IF(AND(VLOOKUP(AF$1,test!$A$3:$F$32,5,FALSE) - VLOOKUP($B20,test!$A$3:$G$32,6,FALSE) &gt;= (test!$B$33+VLOOKUP(VLOOKUP($B20,test!$A$2:$I$32,4,FALSE),test!$J$10:$P$14,3,FALSE))/1440),1,0)</f>
        <v>0</v>
      </c>
      <c r="AG20" s="2">
        <f>IF(AND(VLOOKUP(AG$1,test!$A$3:$F$32,5,FALSE) - VLOOKUP($B20,test!$A$3:$G$32,6,FALSE) &gt;= (test!$B$33+VLOOKUP(VLOOKUP($B20,test!$A$2:$I$32,4,FALSE),test!$J$10:$P$14,3,FALSE))/1440),1,0)</f>
        <v>0</v>
      </c>
    </row>
    <row r="21" spans="1:33" x14ac:dyDescent="0.25">
      <c r="A21" t="s">
        <v>48</v>
      </c>
      <c r="B21" t="s">
        <v>30</v>
      </c>
      <c r="C21">
        <v>0</v>
      </c>
      <c r="D21" s="2">
        <f>IF(AND(VLOOKUP(D$1,test!$A$3:$F$32,5,FALSE) - VLOOKUP($B21,test!$A$3:$G$32,6,FALSE) &gt;= (test!$B$33+VLOOKUP(VLOOKUP($B21,test!$A$2:$I$32,4,FALSE),test!$J$10:$P$14,3,FALSE))/1440),1,0)</f>
        <v>0</v>
      </c>
      <c r="E21" s="2">
        <f>IF(AND(VLOOKUP(E$1,test!$A$3:$F$32,5,FALSE) - VLOOKUP($B21,test!$A$3:$G$32,6,FALSE) &gt;= (test!$B$33+VLOOKUP(VLOOKUP($B21,test!$A$2:$I$32,4,FALSE),test!$J$10:$P$14,3,FALSE))/1440),1,0)</f>
        <v>0</v>
      </c>
      <c r="F21" s="2">
        <f>IF(AND(VLOOKUP(F$1,test!$A$3:$F$32,5,FALSE) - VLOOKUP($B21,test!$A$3:$G$32,6,FALSE) &gt;= (test!$B$33+VLOOKUP(VLOOKUP($B21,test!$A$2:$I$32,4,FALSE),test!$J$10:$P$14,3,FALSE))/1440),1,0)</f>
        <v>0</v>
      </c>
      <c r="G21" s="2">
        <f>IF(AND(VLOOKUP(G$1,test!$A$3:$F$32,5,FALSE) - VLOOKUP($B21,test!$A$3:$G$32,6,FALSE) &gt;= (test!$B$33+VLOOKUP(VLOOKUP($B21,test!$A$2:$I$32,4,FALSE),test!$J$10:$P$14,3,FALSE))/1440),1,0)</f>
        <v>0</v>
      </c>
      <c r="H21" s="2">
        <f>IF(AND(VLOOKUP(H$1,test!$A$3:$F$32,5,FALSE) - VLOOKUP($B21,test!$A$3:$G$32,6,FALSE) &gt;= (test!$B$33+VLOOKUP(VLOOKUP($B21,test!$A$2:$I$32,4,FALSE),test!$J$10:$P$14,3,FALSE))/1440),1,0)</f>
        <v>0</v>
      </c>
      <c r="I21" s="2">
        <f>IF(AND(VLOOKUP(I$1,test!$A$3:$F$32,5,FALSE) - VLOOKUP($B21,test!$A$3:$G$32,6,FALSE) &gt;= (test!$B$33+VLOOKUP(VLOOKUP($B21,test!$A$2:$I$32,4,FALSE),test!$J$10:$P$14,3,FALSE))/1440),1,0)</f>
        <v>0</v>
      </c>
      <c r="J21" s="2">
        <f>IF(AND(VLOOKUP(J$1,test!$A$3:$F$32,5,FALSE) - VLOOKUP($B21,test!$A$3:$G$32,6,FALSE) &gt;= (test!$B$33+VLOOKUP(VLOOKUP($B21,test!$A$2:$I$32,4,FALSE),test!$J$10:$P$14,3,FALSE))/1440),1,0)</f>
        <v>0</v>
      </c>
      <c r="K21" s="2">
        <f>IF(AND(VLOOKUP(K$1,test!$A$3:$F$32,5,FALSE) - VLOOKUP($B21,test!$A$3:$G$32,6,FALSE) &gt;= (test!$B$33+VLOOKUP(VLOOKUP($B21,test!$A$2:$I$32,4,FALSE),test!$J$10:$P$14,3,FALSE))/1440),1,0)</f>
        <v>1</v>
      </c>
      <c r="L21" s="2">
        <f>IF(AND(VLOOKUP(L$1,test!$A$3:$F$32,5,FALSE) - VLOOKUP($B21,test!$A$3:$G$32,6,FALSE) &gt;= (test!$B$33+VLOOKUP(VLOOKUP($B21,test!$A$2:$I$32,4,FALSE),test!$J$10:$P$14,3,FALSE))/1440),1,0)</f>
        <v>0</v>
      </c>
      <c r="M21" s="2">
        <f>IF(AND(VLOOKUP(M$1,test!$A$3:$F$32,5,FALSE) - VLOOKUP($B21,test!$A$3:$G$32,6,FALSE) &gt;= (test!$B$33+VLOOKUP(VLOOKUP($B21,test!$A$2:$I$32,4,FALSE),test!$J$10:$P$14,3,FALSE))/1440),1,0)</f>
        <v>0</v>
      </c>
      <c r="N21" s="2">
        <f>IF(AND(VLOOKUP(N$1,test!$A$3:$F$32,5,FALSE) - VLOOKUP($B21,test!$A$3:$G$32,6,FALSE) &gt;= (test!$B$33+VLOOKUP(VLOOKUP($B21,test!$A$2:$I$32,4,FALSE),test!$J$10:$P$14,3,FALSE))/1440),1,0)</f>
        <v>0</v>
      </c>
      <c r="O21" s="2">
        <f>IF(AND(VLOOKUP(O$1,test!$A$3:$F$32,5,FALSE) - VLOOKUP($B21,test!$A$3:$G$32,6,FALSE) &gt;= (test!$B$33+VLOOKUP(VLOOKUP($B21,test!$A$2:$I$32,4,FALSE),test!$J$10:$P$14,3,FALSE))/1440),1,0)</f>
        <v>1</v>
      </c>
      <c r="P21" s="2">
        <f>IF(AND(VLOOKUP(P$1,test!$A$3:$F$32,5,FALSE) - VLOOKUP($B21,test!$A$3:$G$32,6,FALSE) &gt;= (test!$B$33+VLOOKUP(VLOOKUP($B21,test!$A$2:$I$32,4,FALSE),test!$J$10:$P$14,3,FALSE))/1440),1,0)</f>
        <v>1</v>
      </c>
      <c r="Q21" s="2">
        <f>IF(AND(VLOOKUP(Q$1,test!$A$3:$F$32,5,FALSE) - VLOOKUP($B21,test!$A$3:$G$32,6,FALSE) &gt;= (test!$B$33+VLOOKUP(VLOOKUP($B21,test!$A$2:$I$32,4,FALSE),test!$J$10:$P$14,3,FALSE))/1440),1,0)</f>
        <v>0</v>
      </c>
      <c r="R21" s="2">
        <f>IF(AND(VLOOKUP(R$1,test!$A$3:$F$32,5,FALSE) - VLOOKUP($B21,test!$A$3:$G$32,6,FALSE) &gt;= (test!$B$33+VLOOKUP(VLOOKUP($B21,test!$A$2:$I$32,4,FALSE),test!$J$10:$P$14,3,FALSE))/1440),1,0)</f>
        <v>0</v>
      </c>
      <c r="S21" s="2">
        <f>IF(AND(VLOOKUP(S$1,test!$A$3:$F$32,5,FALSE) - VLOOKUP($B21,test!$A$3:$G$32,6,FALSE) &gt;= (test!$B$33+VLOOKUP(VLOOKUP($B21,test!$A$2:$I$32,4,FALSE),test!$J$10:$P$14,3,FALSE))/1440),1,0)</f>
        <v>0</v>
      </c>
      <c r="T21" s="2">
        <f>IF(AND(VLOOKUP(T$1,test!$A$3:$F$32,5,FALSE) - VLOOKUP($B21,test!$A$3:$G$32,6,FALSE) &gt;= (test!$B$33+VLOOKUP(VLOOKUP($B21,test!$A$2:$I$32,4,FALSE),test!$J$10:$P$14,3,FALSE))/1440),1,0)</f>
        <v>0</v>
      </c>
      <c r="U21" s="2">
        <f>IF(AND(VLOOKUP(U$1,test!$A$3:$F$32,5,FALSE) - VLOOKUP($B21,test!$A$3:$G$32,6,FALSE) &gt;= (test!$B$33+VLOOKUP(VLOOKUP($B21,test!$A$2:$I$32,4,FALSE),test!$J$10:$P$14,3,FALSE))/1440),1,0)</f>
        <v>0</v>
      </c>
      <c r="V21" s="2">
        <f>IF(AND(VLOOKUP(V$1,test!$A$3:$F$32,5,FALSE) - VLOOKUP($B21,test!$A$3:$G$32,6,FALSE) &gt;= (test!$B$33+VLOOKUP(VLOOKUP($B21,test!$A$2:$I$32,4,FALSE),test!$J$10:$P$14,3,FALSE))/1440),1,0)</f>
        <v>0</v>
      </c>
      <c r="W21" s="2">
        <f>IF(AND(VLOOKUP(W$1,test!$A$3:$F$32,5,FALSE) - VLOOKUP($B21,test!$A$3:$G$32,6,FALSE) &gt;= (test!$B$33+VLOOKUP(VLOOKUP($B21,test!$A$2:$I$32,4,FALSE),test!$J$10:$P$14,3,FALSE))/1440),1,0)</f>
        <v>0</v>
      </c>
      <c r="X21" s="2">
        <f>IF(AND(VLOOKUP(X$1,test!$A$3:$F$32,5,FALSE) - VLOOKUP($B21,test!$A$3:$G$32,6,FALSE) &gt;= (test!$B$33+VLOOKUP(VLOOKUP($B21,test!$A$2:$I$32,4,FALSE),test!$J$10:$P$14,3,FALSE))/1440),1,0)</f>
        <v>0</v>
      </c>
      <c r="Y21" s="2">
        <f>IF(AND(VLOOKUP(Y$1,test!$A$3:$F$32,5,FALSE) - VLOOKUP($B21,test!$A$3:$G$32,6,FALSE) &gt;= (test!$B$33+VLOOKUP(VLOOKUP($B21,test!$A$2:$I$32,4,FALSE),test!$J$10:$P$14,3,FALSE))/1440),1,0)</f>
        <v>1</v>
      </c>
      <c r="Z21" s="2">
        <f>IF(AND(VLOOKUP(Z$1,test!$A$3:$F$32,5,FALSE) - VLOOKUP($B21,test!$A$3:$G$32,6,FALSE) &gt;= (test!$B$33+VLOOKUP(VLOOKUP($B21,test!$A$2:$I$32,4,FALSE),test!$J$10:$P$14,3,FALSE))/1440),1,0)</f>
        <v>0</v>
      </c>
      <c r="AA21" s="2">
        <f>IF(AND(VLOOKUP(AA$1,test!$A$3:$F$32,5,FALSE) - VLOOKUP($B21,test!$A$3:$G$32,6,FALSE) &gt;= (test!$B$33+VLOOKUP(VLOOKUP($B21,test!$A$2:$I$32,4,FALSE),test!$J$10:$P$14,3,FALSE))/1440),1,0)</f>
        <v>0</v>
      </c>
      <c r="AB21" s="2">
        <f>IF(AND(VLOOKUP(AB$1,test!$A$3:$F$32,5,FALSE) - VLOOKUP($B21,test!$A$3:$G$32,6,FALSE) &gt;= (test!$B$33+VLOOKUP(VLOOKUP($B21,test!$A$2:$I$32,4,FALSE),test!$J$10:$P$14,3,FALSE))/1440),1,0)</f>
        <v>0</v>
      </c>
      <c r="AC21" s="2">
        <f>IF(AND(VLOOKUP(AC$1,test!$A$3:$F$32,5,FALSE) - VLOOKUP($B21,test!$A$3:$G$32,6,FALSE) &gt;= (test!$B$33+VLOOKUP(VLOOKUP($B21,test!$A$2:$I$32,4,FALSE),test!$J$10:$P$14,3,FALSE))/1440),1,0)</f>
        <v>0</v>
      </c>
      <c r="AD21" s="2">
        <f>IF(AND(VLOOKUP(AD$1,test!$A$3:$F$32,5,FALSE) - VLOOKUP($B21,test!$A$3:$G$32,6,FALSE) &gt;= (test!$B$33+VLOOKUP(VLOOKUP($B21,test!$A$2:$I$32,4,FALSE),test!$J$10:$P$14,3,FALSE))/1440),1,0)</f>
        <v>0</v>
      </c>
      <c r="AE21" s="2">
        <f>IF(AND(VLOOKUP(AE$1,test!$A$3:$F$32,5,FALSE) - VLOOKUP($B21,test!$A$3:$G$32,6,FALSE) &gt;= (test!$B$33+VLOOKUP(VLOOKUP($B21,test!$A$2:$I$32,4,FALSE),test!$J$10:$P$14,3,FALSE))/1440),1,0)</f>
        <v>0</v>
      </c>
      <c r="AF21" s="2">
        <f>IF(AND(VLOOKUP(AF$1,test!$A$3:$F$32,5,FALSE) - VLOOKUP($B21,test!$A$3:$G$32,6,FALSE) &gt;= (test!$B$33+VLOOKUP(VLOOKUP($B21,test!$A$2:$I$32,4,FALSE),test!$J$10:$P$14,3,FALSE))/1440),1,0)</f>
        <v>0</v>
      </c>
      <c r="AG21" s="2">
        <f>IF(AND(VLOOKUP(AG$1,test!$A$3:$F$32,5,FALSE) - VLOOKUP($B21,test!$A$3:$G$32,6,FALSE) &gt;= (test!$B$33+VLOOKUP(VLOOKUP($B21,test!$A$2:$I$32,4,FALSE),test!$J$10:$P$14,3,FALSE))/1440),1,0)</f>
        <v>0</v>
      </c>
    </row>
    <row r="22" spans="1:33" x14ac:dyDescent="0.25">
      <c r="A22" t="s">
        <v>48</v>
      </c>
      <c r="B22" t="s">
        <v>31</v>
      </c>
      <c r="C22">
        <v>0</v>
      </c>
      <c r="D22" s="2">
        <f>IF(AND(VLOOKUP(D$1,test!$A$3:$F$32,5,FALSE) - VLOOKUP($B22,test!$A$3:$G$32,6,FALSE) &gt;= (test!$B$33+VLOOKUP(VLOOKUP($B22,test!$A$2:$I$32,4,FALSE),test!$J$10:$P$14,3,FALSE))/1440),1,0)</f>
        <v>0</v>
      </c>
      <c r="E22" s="2">
        <f>IF(AND(VLOOKUP(E$1,test!$A$3:$F$32,5,FALSE) - VLOOKUP($B22,test!$A$3:$G$32,6,FALSE) &gt;= (test!$B$33+VLOOKUP(VLOOKUP($B22,test!$A$2:$I$32,4,FALSE),test!$J$10:$P$14,3,FALSE))/1440),1,0)</f>
        <v>0</v>
      </c>
      <c r="F22" s="2">
        <f>IF(AND(VLOOKUP(F$1,test!$A$3:$F$32,5,FALSE) - VLOOKUP($B22,test!$A$3:$G$32,6,FALSE) &gt;= (test!$B$33+VLOOKUP(VLOOKUP($B22,test!$A$2:$I$32,4,FALSE),test!$J$10:$P$14,3,FALSE))/1440),1,0)</f>
        <v>0</v>
      </c>
      <c r="G22" s="2">
        <f>IF(AND(VLOOKUP(G$1,test!$A$3:$F$32,5,FALSE) - VLOOKUP($B22,test!$A$3:$G$32,6,FALSE) &gt;= (test!$B$33+VLOOKUP(VLOOKUP($B22,test!$A$2:$I$32,4,FALSE),test!$J$10:$P$14,3,FALSE))/1440),1,0)</f>
        <v>0</v>
      </c>
      <c r="H22" s="2">
        <f>IF(AND(VLOOKUP(H$1,test!$A$3:$F$32,5,FALSE) - VLOOKUP($B22,test!$A$3:$G$32,6,FALSE) &gt;= (test!$B$33+VLOOKUP(VLOOKUP($B22,test!$A$2:$I$32,4,FALSE),test!$J$10:$P$14,3,FALSE))/1440),1,0)</f>
        <v>0</v>
      </c>
      <c r="I22" s="2">
        <f>IF(AND(VLOOKUP(I$1,test!$A$3:$F$32,5,FALSE) - VLOOKUP($B22,test!$A$3:$G$32,6,FALSE) &gt;= (test!$B$33+VLOOKUP(VLOOKUP($B22,test!$A$2:$I$32,4,FALSE),test!$J$10:$P$14,3,FALSE))/1440),1,0)</f>
        <v>0</v>
      </c>
      <c r="J22" s="2">
        <f>IF(AND(VLOOKUP(J$1,test!$A$3:$F$32,5,FALSE) - VLOOKUP($B22,test!$A$3:$G$32,6,FALSE) &gt;= (test!$B$33+VLOOKUP(VLOOKUP($B22,test!$A$2:$I$32,4,FALSE),test!$J$10:$P$14,3,FALSE))/1440),1,0)</f>
        <v>0</v>
      </c>
      <c r="K22" s="2">
        <f>IF(AND(VLOOKUP(K$1,test!$A$3:$F$32,5,FALSE) - VLOOKUP($B22,test!$A$3:$G$32,6,FALSE) &gt;= (test!$B$33+VLOOKUP(VLOOKUP($B22,test!$A$2:$I$32,4,FALSE),test!$J$10:$P$14,3,FALSE))/1440),1,0)</f>
        <v>0</v>
      </c>
      <c r="L22" s="2">
        <f>IF(AND(VLOOKUP(L$1,test!$A$3:$F$32,5,FALSE) - VLOOKUP($B22,test!$A$3:$G$32,6,FALSE) &gt;= (test!$B$33+VLOOKUP(VLOOKUP($B22,test!$A$2:$I$32,4,FALSE),test!$J$10:$P$14,3,FALSE))/1440),1,0)</f>
        <v>0</v>
      </c>
      <c r="M22" s="2">
        <f>IF(AND(VLOOKUP(M$1,test!$A$3:$F$32,5,FALSE) - VLOOKUP($B22,test!$A$3:$G$32,6,FALSE) &gt;= (test!$B$33+VLOOKUP(VLOOKUP($B22,test!$A$2:$I$32,4,FALSE),test!$J$10:$P$14,3,FALSE))/1440),1,0)</f>
        <v>0</v>
      </c>
      <c r="N22" s="2">
        <f>IF(AND(VLOOKUP(N$1,test!$A$3:$F$32,5,FALSE) - VLOOKUP($B22,test!$A$3:$G$32,6,FALSE) &gt;= (test!$B$33+VLOOKUP(VLOOKUP($B22,test!$A$2:$I$32,4,FALSE),test!$J$10:$P$14,3,FALSE))/1440),1,0)</f>
        <v>0</v>
      </c>
      <c r="O22" s="2">
        <f>IF(AND(VLOOKUP(O$1,test!$A$3:$F$32,5,FALSE) - VLOOKUP($B22,test!$A$3:$G$32,6,FALSE) &gt;= (test!$B$33+VLOOKUP(VLOOKUP($B22,test!$A$2:$I$32,4,FALSE),test!$J$10:$P$14,3,FALSE))/1440),1,0)</f>
        <v>0</v>
      </c>
      <c r="P22" s="2">
        <f>IF(AND(VLOOKUP(P$1,test!$A$3:$F$32,5,FALSE) - VLOOKUP($B22,test!$A$3:$G$32,6,FALSE) &gt;= (test!$B$33+VLOOKUP(VLOOKUP($B22,test!$A$2:$I$32,4,FALSE),test!$J$10:$P$14,3,FALSE))/1440),1,0)</f>
        <v>1</v>
      </c>
      <c r="Q22" s="2">
        <f>IF(AND(VLOOKUP(Q$1,test!$A$3:$F$32,5,FALSE) - VLOOKUP($B22,test!$A$3:$G$32,6,FALSE) &gt;= (test!$B$33+VLOOKUP(VLOOKUP($B22,test!$A$2:$I$32,4,FALSE),test!$J$10:$P$14,3,FALSE))/1440),1,0)</f>
        <v>0</v>
      </c>
      <c r="R22" s="2">
        <f>IF(AND(VLOOKUP(R$1,test!$A$3:$F$32,5,FALSE) - VLOOKUP($B22,test!$A$3:$G$32,6,FALSE) &gt;= (test!$B$33+VLOOKUP(VLOOKUP($B22,test!$A$2:$I$32,4,FALSE),test!$J$10:$P$14,3,FALSE))/1440),1,0)</f>
        <v>0</v>
      </c>
      <c r="S22" s="2">
        <f>IF(AND(VLOOKUP(S$1,test!$A$3:$F$32,5,FALSE) - VLOOKUP($B22,test!$A$3:$G$32,6,FALSE) &gt;= (test!$B$33+VLOOKUP(VLOOKUP($B22,test!$A$2:$I$32,4,FALSE),test!$J$10:$P$14,3,FALSE))/1440),1,0)</f>
        <v>0</v>
      </c>
      <c r="T22" s="2">
        <f>IF(AND(VLOOKUP(T$1,test!$A$3:$F$32,5,FALSE) - VLOOKUP($B22,test!$A$3:$G$32,6,FALSE) &gt;= (test!$B$33+VLOOKUP(VLOOKUP($B22,test!$A$2:$I$32,4,FALSE),test!$J$10:$P$14,3,FALSE))/1440),1,0)</f>
        <v>0</v>
      </c>
      <c r="U22" s="2">
        <f>IF(AND(VLOOKUP(U$1,test!$A$3:$F$32,5,FALSE) - VLOOKUP($B22,test!$A$3:$G$32,6,FALSE) &gt;= (test!$B$33+VLOOKUP(VLOOKUP($B22,test!$A$2:$I$32,4,FALSE),test!$J$10:$P$14,3,FALSE))/1440),1,0)</f>
        <v>0</v>
      </c>
      <c r="V22" s="2">
        <f>IF(AND(VLOOKUP(V$1,test!$A$3:$F$32,5,FALSE) - VLOOKUP($B22,test!$A$3:$G$32,6,FALSE) &gt;= (test!$B$33+VLOOKUP(VLOOKUP($B22,test!$A$2:$I$32,4,FALSE),test!$J$10:$P$14,3,FALSE))/1440),1,0)</f>
        <v>0</v>
      </c>
      <c r="W22" s="2">
        <f>IF(AND(VLOOKUP(W$1,test!$A$3:$F$32,5,FALSE) - VLOOKUP($B22,test!$A$3:$G$32,6,FALSE) &gt;= (test!$B$33+VLOOKUP(VLOOKUP($B22,test!$A$2:$I$32,4,FALSE),test!$J$10:$P$14,3,FALSE))/1440),1,0)</f>
        <v>0</v>
      </c>
      <c r="X22" s="2">
        <f>IF(AND(VLOOKUP(X$1,test!$A$3:$F$32,5,FALSE) - VLOOKUP($B22,test!$A$3:$G$32,6,FALSE) &gt;= (test!$B$33+VLOOKUP(VLOOKUP($B22,test!$A$2:$I$32,4,FALSE),test!$J$10:$P$14,3,FALSE))/1440),1,0)</f>
        <v>0</v>
      </c>
      <c r="Y22" s="2">
        <f>IF(AND(VLOOKUP(Y$1,test!$A$3:$F$32,5,FALSE) - VLOOKUP($B22,test!$A$3:$G$32,6,FALSE) &gt;= (test!$B$33+VLOOKUP(VLOOKUP($B22,test!$A$2:$I$32,4,FALSE),test!$J$10:$P$14,3,FALSE))/1440),1,0)</f>
        <v>0</v>
      </c>
      <c r="Z22" s="2">
        <f>IF(AND(VLOOKUP(Z$1,test!$A$3:$F$32,5,FALSE) - VLOOKUP($B22,test!$A$3:$G$32,6,FALSE) &gt;= (test!$B$33+VLOOKUP(VLOOKUP($B22,test!$A$2:$I$32,4,FALSE),test!$J$10:$P$14,3,FALSE))/1440),1,0)</f>
        <v>0</v>
      </c>
      <c r="AA22" s="2">
        <f>IF(AND(VLOOKUP(AA$1,test!$A$3:$F$32,5,FALSE) - VLOOKUP($B22,test!$A$3:$G$32,6,FALSE) &gt;= (test!$B$33+VLOOKUP(VLOOKUP($B22,test!$A$2:$I$32,4,FALSE),test!$J$10:$P$14,3,FALSE))/1440),1,0)</f>
        <v>0</v>
      </c>
      <c r="AB22" s="2">
        <f>IF(AND(VLOOKUP(AB$1,test!$A$3:$F$32,5,FALSE) - VLOOKUP($B22,test!$A$3:$G$32,6,FALSE) &gt;= (test!$B$33+VLOOKUP(VLOOKUP($B22,test!$A$2:$I$32,4,FALSE),test!$J$10:$P$14,3,FALSE))/1440),1,0)</f>
        <v>0</v>
      </c>
      <c r="AC22" s="2">
        <f>IF(AND(VLOOKUP(AC$1,test!$A$3:$F$32,5,FALSE) - VLOOKUP($B22,test!$A$3:$G$32,6,FALSE) &gt;= (test!$B$33+VLOOKUP(VLOOKUP($B22,test!$A$2:$I$32,4,FALSE),test!$J$10:$P$14,3,FALSE))/1440),1,0)</f>
        <v>0</v>
      </c>
      <c r="AD22" s="2">
        <f>IF(AND(VLOOKUP(AD$1,test!$A$3:$F$32,5,FALSE) - VLOOKUP($B22,test!$A$3:$G$32,6,FALSE) &gt;= (test!$B$33+VLOOKUP(VLOOKUP($B22,test!$A$2:$I$32,4,FALSE),test!$J$10:$P$14,3,FALSE))/1440),1,0)</f>
        <v>0</v>
      </c>
      <c r="AE22" s="2">
        <f>IF(AND(VLOOKUP(AE$1,test!$A$3:$F$32,5,FALSE) - VLOOKUP($B22,test!$A$3:$G$32,6,FALSE) &gt;= (test!$B$33+VLOOKUP(VLOOKUP($B22,test!$A$2:$I$32,4,FALSE),test!$J$10:$P$14,3,FALSE))/1440),1,0)</f>
        <v>0</v>
      </c>
      <c r="AF22" s="2">
        <f>IF(AND(VLOOKUP(AF$1,test!$A$3:$F$32,5,FALSE) - VLOOKUP($B22,test!$A$3:$G$32,6,FALSE) &gt;= (test!$B$33+VLOOKUP(VLOOKUP($B22,test!$A$2:$I$32,4,FALSE),test!$J$10:$P$14,3,FALSE))/1440),1,0)</f>
        <v>0</v>
      </c>
      <c r="AG22" s="2">
        <f>IF(AND(VLOOKUP(AG$1,test!$A$3:$F$32,5,FALSE) - VLOOKUP($B22,test!$A$3:$G$32,6,FALSE) &gt;= (test!$B$33+VLOOKUP(VLOOKUP($B22,test!$A$2:$I$32,4,FALSE),test!$J$10:$P$14,3,FALSE))/1440),1,0)</f>
        <v>0</v>
      </c>
    </row>
    <row r="23" spans="1:33" x14ac:dyDescent="0.25">
      <c r="A23" t="s">
        <v>48</v>
      </c>
      <c r="B23" t="s">
        <v>32</v>
      </c>
      <c r="C23">
        <v>0</v>
      </c>
      <c r="D23" s="2">
        <f>IF(AND(VLOOKUP(D$1,test!$A$3:$F$32,5,FALSE) - VLOOKUP($B23,test!$A$3:$G$32,6,FALSE) &gt;= (test!$B$33+VLOOKUP(VLOOKUP($B23,test!$A$2:$I$32,4,FALSE),test!$J$10:$P$14,3,FALSE))/1440),1,0)</f>
        <v>0</v>
      </c>
      <c r="E23" s="2">
        <f>IF(AND(VLOOKUP(E$1,test!$A$3:$F$32,5,FALSE) - VLOOKUP($B23,test!$A$3:$G$32,6,FALSE) &gt;= (test!$B$33+VLOOKUP(VLOOKUP($B23,test!$A$2:$I$32,4,FALSE),test!$J$10:$P$14,3,FALSE))/1440),1,0)</f>
        <v>0</v>
      </c>
      <c r="F23" s="2">
        <f>IF(AND(VLOOKUP(F$1,test!$A$3:$F$32,5,FALSE) - VLOOKUP($B23,test!$A$3:$G$32,6,FALSE) &gt;= (test!$B$33+VLOOKUP(VLOOKUP($B23,test!$A$2:$I$32,4,FALSE),test!$J$10:$P$14,3,FALSE))/1440),1,0)</f>
        <v>0</v>
      </c>
      <c r="G23" s="2">
        <f>IF(AND(VLOOKUP(G$1,test!$A$3:$F$32,5,FALSE) - VLOOKUP($B23,test!$A$3:$G$32,6,FALSE) &gt;= (test!$B$33+VLOOKUP(VLOOKUP($B23,test!$A$2:$I$32,4,FALSE),test!$J$10:$P$14,3,FALSE))/1440),1,0)</f>
        <v>0</v>
      </c>
      <c r="H23" s="2">
        <f>IF(AND(VLOOKUP(H$1,test!$A$3:$F$32,5,FALSE) - VLOOKUP($B23,test!$A$3:$G$32,6,FALSE) &gt;= (test!$B$33+VLOOKUP(VLOOKUP($B23,test!$A$2:$I$32,4,FALSE),test!$J$10:$P$14,3,FALSE))/1440),1,0)</f>
        <v>0</v>
      </c>
      <c r="I23" s="2">
        <f>IF(AND(VLOOKUP(I$1,test!$A$3:$F$32,5,FALSE) - VLOOKUP($B23,test!$A$3:$G$32,6,FALSE) &gt;= (test!$B$33+VLOOKUP(VLOOKUP($B23,test!$A$2:$I$32,4,FALSE),test!$J$10:$P$14,3,FALSE))/1440),1,0)</f>
        <v>0</v>
      </c>
      <c r="J23" s="2">
        <f>IF(AND(VLOOKUP(J$1,test!$A$3:$F$32,5,FALSE) - VLOOKUP($B23,test!$A$3:$G$32,6,FALSE) &gt;= (test!$B$33+VLOOKUP(VLOOKUP($B23,test!$A$2:$I$32,4,FALSE),test!$J$10:$P$14,3,FALSE))/1440),1,0)</f>
        <v>0</v>
      </c>
      <c r="K23" s="2">
        <f>IF(AND(VLOOKUP(K$1,test!$A$3:$F$32,5,FALSE) - VLOOKUP($B23,test!$A$3:$G$32,6,FALSE) &gt;= (test!$B$33+VLOOKUP(VLOOKUP($B23,test!$A$2:$I$32,4,FALSE),test!$J$10:$P$14,3,FALSE))/1440),1,0)</f>
        <v>0</v>
      </c>
      <c r="L23" s="2">
        <f>IF(AND(VLOOKUP(L$1,test!$A$3:$F$32,5,FALSE) - VLOOKUP($B23,test!$A$3:$G$32,6,FALSE) &gt;= (test!$B$33+VLOOKUP(VLOOKUP($B23,test!$A$2:$I$32,4,FALSE),test!$J$10:$P$14,3,FALSE))/1440),1,0)</f>
        <v>0</v>
      </c>
      <c r="M23" s="2">
        <f>IF(AND(VLOOKUP(M$1,test!$A$3:$F$32,5,FALSE) - VLOOKUP($B23,test!$A$3:$G$32,6,FALSE) &gt;= (test!$B$33+VLOOKUP(VLOOKUP($B23,test!$A$2:$I$32,4,FALSE),test!$J$10:$P$14,3,FALSE))/1440),1,0)</f>
        <v>0</v>
      </c>
      <c r="N23" s="2">
        <f>IF(AND(VLOOKUP(N$1,test!$A$3:$F$32,5,FALSE) - VLOOKUP($B23,test!$A$3:$G$32,6,FALSE) &gt;= (test!$B$33+VLOOKUP(VLOOKUP($B23,test!$A$2:$I$32,4,FALSE),test!$J$10:$P$14,3,FALSE))/1440),1,0)</f>
        <v>0</v>
      </c>
      <c r="O23" s="2">
        <f>IF(AND(VLOOKUP(O$1,test!$A$3:$F$32,5,FALSE) - VLOOKUP($B23,test!$A$3:$G$32,6,FALSE) &gt;= (test!$B$33+VLOOKUP(VLOOKUP($B23,test!$A$2:$I$32,4,FALSE),test!$J$10:$P$14,3,FALSE))/1440),1,0)</f>
        <v>0</v>
      </c>
      <c r="P23" s="2">
        <f>IF(AND(VLOOKUP(P$1,test!$A$3:$F$32,5,FALSE) - VLOOKUP($B23,test!$A$3:$G$32,6,FALSE) &gt;= (test!$B$33+VLOOKUP(VLOOKUP($B23,test!$A$2:$I$32,4,FALSE),test!$J$10:$P$14,3,FALSE))/1440),1,0)</f>
        <v>0</v>
      </c>
      <c r="Q23" s="2">
        <f>IF(AND(VLOOKUP(Q$1,test!$A$3:$F$32,5,FALSE) - VLOOKUP($B23,test!$A$3:$G$32,6,FALSE) &gt;= (test!$B$33+VLOOKUP(VLOOKUP($B23,test!$A$2:$I$32,4,FALSE),test!$J$10:$P$14,3,FALSE))/1440),1,0)</f>
        <v>0</v>
      </c>
      <c r="R23" s="2">
        <f>IF(AND(VLOOKUP(R$1,test!$A$3:$F$32,5,FALSE) - VLOOKUP($B23,test!$A$3:$G$32,6,FALSE) &gt;= (test!$B$33+VLOOKUP(VLOOKUP($B23,test!$A$2:$I$32,4,FALSE),test!$J$10:$P$14,3,FALSE))/1440),1,0)</f>
        <v>0</v>
      </c>
      <c r="S23" s="2">
        <f>IF(AND(VLOOKUP(S$1,test!$A$3:$F$32,5,FALSE) - VLOOKUP($B23,test!$A$3:$G$32,6,FALSE) &gt;= (test!$B$33+VLOOKUP(VLOOKUP($B23,test!$A$2:$I$32,4,FALSE),test!$J$10:$P$14,3,FALSE))/1440),1,0)</f>
        <v>0</v>
      </c>
      <c r="T23" s="2">
        <f>IF(AND(VLOOKUP(T$1,test!$A$3:$F$32,5,FALSE) - VLOOKUP($B23,test!$A$3:$G$32,6,FALSE) &gt;= (test!$B$33+VLOOKUP(VLOOKUP($B23,test!$A$2:$I$32,4,FALSE),test!$J$10:$P$14,3,FALSE))/1440),1,0)</f>
        <v>0</v>
      </c>
      <c r="U23" s="2">
        <f>IF(AND(VLOOKUP(U$1,test!$A$3:$F$32,5,FALSE) - VLOOKUP($B23,test!$A$3:$G$32,6,FALSE) &gt;= (test!$B$33+VLOOKUP(VLOOKUP($B23,test!$A$2:$I$32,4,FALSE),test!$J$10:$P$14,3,FALSE))/1440),1,0)</f>
        <v>0</v>
      </c>
      <c r="V23" s="2">
        <f>IF(AND(VLOOKUP(V$1,test!$A$3:$F$32,5,FALSE) - VLOOKUP($B23,test!$A$3:$G$32,6,FALSE) &gt;= (test!$B$33+VLOOKUP(VLOOKUP($B23,test!$A$2:$I$32,4,FALSE),test!$J$10:$P$14,3,FALSE))/1440),1,0)</f>
        <v>0</v>
      </c>
      <c r="W23" s="2">
        <f>IF(AND(VLOOKUP(W$1,test!$A$3:$F$32,5,FALSE) - VLOOKUP($B23,test!$A$3:$G$32,6,FALSE) &gt;= (test!$B$33+VLOOKUP(VLOOKUP($B23,test!$A$2:$I$32,4,FALSE),test!$J$10:$P$14,3,FALSE))/1440),1,0)</f>
        <v>0</v>
      </c>
      <c r="X23" s="2">
        <f>IF(AND(VLOOKUP(X$1,test!$A$3:$F$32,5,FALSE) - VLOOKUP($B23,test!$A$3:$G$32,6,FALSE) &gt;= (test!$B$33+VLOOKUP(VLOOKUP($B23,test!$A$2:$I$32,4,FALSE),test!$J$10:$P$14,3,FALSE))/1440),1,0)</f>
        <v>0</v>
      </c>
      <c r="Y23" s="2">
        <f>IF(AND(VLOOKUP(Y$1,test!$A$3:$F$32,5,FALSE) - VLOOKUP($B23,test!$A$3:$G$32,6,FALSE) &gt;= (test!$B$33+VLOOKUP(VLOOKUP($B23,test!$A$2:$I$32,4,FALSE),test!$J$10:$P$14,3,FALSE))/1440),1,0)</f>
        <v>0</v>
      </c>
      <c r="Z23" s="2">
        <f>IF(AND(VLOOKUP(Z$1,test!$A$3:$F$32,5,FALSE) - VLOOKUP($B23,test!$A$3:$G$32,6,FALSE) &gt;= (test!$B$33+VLOOKUP(VLOOKUP($B23,test!$A$2:$I$32,4,FALSE),test!$J$10:$P$14,3,FALSE))/1440),1,0)</f>
        <v>0</v>
      </c>
      <c r="AA23" s="2">
        <f>IF(AND(VLOOKUP(AA$1,test!$A$3:$F$32,5,FALSE) - VLOOKUP($B23,test!$A$3:$G$32,6,FALSE) &gt;= (test!$B$33+VLOOKUP(VLOOKUP($B23,test!$A$2:$I$32,4,FALSE),test!$J$10:$P$14,3,FALSE))/1440),1,0)</f>
        <v>0</v>
      </c>
      <c r="AB23" s="2">
        <f>IF(AND(VLOOKUP(AB$1,test!$A$3:$F$32,5,FALSE) - VLOOKUP($B23,test!$A$3:$G$32,6,FALSE) &gt;= (test!$B$33+VLOOKUP(VLOOKUP($B23,test!$A$2:$I$32,4,FALSE),test!$J$10:$P$14,3,FALSE))/1440),1,0)</f>
        <v>0</v>
      </c>
      <c r="AC23" s="2">
        <f>IF(AND(VLOOKUP(AC$1,test!$A$3:$F$32,5,FALSE) - VLOOKUP($B23,test!$A$3:$G$32,6,FALSE) &gt;= (test!$B$33+VLOOKUP(VLOOKUP($B23,test!$A$2:$I$32,4,FALSE),test!$J$10:$P$14,3,FALSE))/1440),1,0)</f>
        <v>0</v>
      </c>
      <c r="AD23" s="2">
        <f>IF(AND(VLOOKUP(AD$1,test!$A$3:$F$32,5,FALSE) - VLOOKUP($B23,test!$A$3:$G$32,6,FALSE) &gt;= (test!$B$33+VLOOKUP(VLOOKUP($B23,test!$A$2:$I$32,4,FALSE),test!$J$10:$P$14,3,FALSE))/1440),1,0)</f>
        <v>0</v>
      </c>
      <c r="AE23" s="2">
        <f>IF(AND(VLOOKUP(AE$1,test!$A$3:$F$32,5,FALSE) - VLOOKUP($B23,test!$A$3:$G$32,6,FALSE) &gt;= (test!$B$33+VLOOKUP(VLOOKUP($B23,test!$A$2:$I$32,4,FALSE),test!$J$10:$P$14,3,FALSE))/1440),1,0)</f>
        <v>0</v>
      </c>
      <c r="AF23" s="2">
        <f>IF(AND(VLOOKUP(AF$1,test!$A$3:$F$32,5,FALSE) - VLOOKUP($B23,test!$A$3:$G$32,6,FALSE) &gt;= (test!$B$33+VLOOKUP(VLOOKUP($B23,test!$A$2:$I$32,4,FALSE),test!$J$10:$P$14,3,FALSE))/1440),1,0)</f>
        <v>0</v>
      </c>
      <c r="AG23" s="2">
        <f>IF(AND(VLOOKUP(AG$1,test!$A$3:$F$32,5,FALSE) - VLOOKUP($B23,test!$A$3:$G$32,6,FALSE) &gt;= (test!$B$33+VLOOKUP(VLOOKUP($B23,test!$A$2:$I$32,4,FALSE),test!$J$10:$P$14,3,FALSE))/1440),1,0)</f>
        <v>0</v>
      </c>
    </row>
    <row r="24" spans="1:33" x14ac:dyDescent="0.25">
      <c r="A24" t="s">
        <v>48</v>
      </c>
      <c r="B24" t="s">
        <v>33</v>
      </c>
      <c r="C24">
        <v>0</v>
      </c>
      <c r="D24" s="2">
        <f>IF(AND(VLOOKUP(D$1,test!$A$3:$F$32,5,FALSE) - VLOOKUP($B24,test!$A$3:$G$32,6,FALSE) &gt;= (test!$B$33+VLOOKUP(VLOOKUP($B24,test!$A$2:$I$32,4,FALSE),test!$J$10:$P$14,3,FALSE))/1440),1,0)</f>
        <v>0</v>
      </c>
      <c r="E24" s="2">
        <f>IF(AND(VLOOKUP(E$1,test!$A$3:$F$32,5,FALSE) - VLOOKUP($B24,test!$A$3:$G$32,6,FALSE) &gt;= (test!$B$33+VLOOKUP(VLOOKUP($B24,test!$A$2:$I$32,4,FALSE),test!$J$10:$P$14,3,FALSE))/1440),1,0)</f>
        <v>0</v>
      </c>
      <c r="F24" s="2">
        <f>IF(AND(VLOOKUP(F$1,test!$A$3:$F$32,5,FALSE) - VLOOKUP($B24,test!$A$3:$G$32,6,FALSE) &gt;= (test!$B$33+VLOOKUP(VLOOKUP($B24,test!$A$2:$I$32,4,FALSE),test!$J$10:$P$14,3,FALSE))/1440),1,0)</f>
        <v>0</v>
      </c>
      <c r="G24" s="2">
        <f>IF(AND(VLOOKUP(G$1,test!$A$3:$F$32,5,FALSE) - VLOOKUP($B24,test!$A$3:$G$32,6,FALSE) &gt;= (test!$B$33+VLOOKUP(VLOOKUP($B24,test!$A$2:$I$32,4,FALSE),test!$J$10:$P$14,3,FALSE))/1440),1,0)</f>
        <v>0</v>
      </c>
      <c r="H24" s="2">
        <f>IF(AND(VLOOKUP(H$1,test!$A$3:$F$32,5,FALSE) - VLOOKUP($B24,test!$A$3:$G$32,6,FALSE) &gt;= (test!$B$33+VLOOKUP(VLOOKUP($B24,test!$A$2:$I$32,4,FALSE),test!$J$10:$P$14,3,FALSE))/1440),1,0)</f>
        <v>0</v>
      </c>
      <c r="I24" s="2">
        <f>IF(AND(VLOOKUP(I$1,test!$A$3:$F$32,5,FALSE) - VLOOKUP($B24,test!$A$3:$G$32,6,FALSE) &gt;= (test!$B$33+VLOOKUP(VLOOKUP($B24,test!$A$2:$I$32,4,FALSE),test!$J$10:$P$14,3,FALSE))/1440),1,0)</f>
        <v>0</v>
      </c>
      <c r="J24" s="2">
        <f>IF(AND(VLOOKUP(J$1,test!$A$3:$F$32,5,FALSE) - VLOOKUP($B24,test!$A$3:$G$32,6,FALSE) &gt;= (test!$B$33+VLOOKUP(VLOOKUP($B24,test!$A$2:$I$32,4,FALSE),test!$J$10:$P$14,3,FALSE))/1440),1,0)</f>
        <v>0</v>
      </c>
      <c r="K24" s="2">
        <f>IF(AND(VLOOKUP(K$1,test!$A$3:$F$32,5,FALSE) - VLOOKUP($B24,test!$A$3:$G$32,6,FALSE) &gt;= (test!$B$33+VLOOKUP(VLOOKUP($B24,test!$A$2:$I$32,4,FALSE),test!$J$10:$P$14,3,FALSE))/1440),1,0)</f>
        <v>0</v>
      </c>
      <c r="L24" s="2">
        <f>IF(AND(VLOOKUP(L$1,test!$A$3:$F$32,5,FALSE) - VLOOKUP($B24,test!$A$3:$G$32,6,FALSE) &gt;= (test!$B$33+VLOOKUP(VLOOKUP($B24,test!$A$2:$I$32,4,FALSE),test!$J$10:$P$14,3,FALSE))/1440),1,0)</f>
        <v>0</v>
      </c>
      <c r="M24" s="2">
        <f>IF(AND(VLOOKUP(M$1,test!$A$3:$F$32,5,FALSE) - VLOOKUP($B24,test!$A$3:$G$32,6,FALSE) &gt;= (test!$B$33+VLOOKUP(VLOOKUP($B24,test!$A$2:$I$32,4,FALSE),test!$J$10:$P$14,3,FALSE))/1440),1,0)</f>
        <v>0</v>
      </c>
      <c r="N24" s="2">
        <f>IF(AND(VLOOKUP(N$1,test!$A$3:$F$32,5,FALSE) - VLOOKUP($B24,test!$A$3:$G$32,6,FALSE) &gt;= (test!$B$33+VLOOKUP(VLOOKUP($B24,test!$A$2:$I$32,4,FALSE),test!$J$10:$P$14,3,FALSE))/1440),1,0)</f>
        <v>0</v>
      </c>
      <c r="O24" s="2">
        <f>IF(AND(VLOOKUP(O$1,test!$A$3:$F$32,5,FALSE) - VLOOKUP($B24,test!$A$3:$G$32,6,FALSE) &gt;= (test!$B$33+VLOOKUP(VLOOKUP($B24,test!$A$2:$I$32,4,FALSE),test!$J$10:$P$14,3,FALSE))/1440),1,0)</f>
        <v>0</v>
      </c>
      <c r="P24" s="2">
        <f>IF(AND(VLOOKUP(P$1,test!$A$3:$F$32,5,FALSE) - VLOOKUP($B24,test!$A$3:$G$32,6,FALSE) &gt;= (test!$B$33+VLOOKUP(VLOOKUP($B24,test!$A$2:$I$32,4,FALSE),test!$J$10:$P$14,3,FALSE))/1440),1,0)</f>
        <v>0</v>
      </c>
      <c r="Q24" s="2">
        <f>IF(AND(VLOOKUP(Q$1,test!$A$3:$F$32,5,FALSE) - VLOOKUP($B24,test!$A$3:$G$32,6,FALSE) &gt;= (test!$B$33+VLOOKUP(VLOOKUP($B24,test!$A$2:$I$32,4,FALSE),test!$J$10:$P$14,3,FALSE))/1440),1,0)</f>
        <v>0</v>
      </c>
      <c r="R24" s="2">
        <f>IF(AND(VLOOKUP(R$1,test!$A$3:$F$32,5,FALSE) - VLOOKUP($B24,test!$A$3:$G$32,6,FALSE) &gt;= (test!$B$33+VLOOKUP(VLOOKUP($B24,test!$A$2:$I$32,4,FALSE),test!$J$10:$P$14,3,FALSE))/1440),1,0)</f>
        <v>0</v>
      </c>
      <c r="S24" s="2">
        <f>IF(AND(VLOOKUP(S$1,test!$A$3:$F$32,5,FALSE) - VLOOKUP($B24,test!$A$3:$G$32,6,FALSE) &gt;= (test!$B$33+VLOOKUP(VLOOKUP($B24,test!$A$2:$I$32,4,FALSE),test!$J$10:$P$14,3,FALSE))/1440),1,0)</f>
        <v>0</v>
      </c>
      <c r="T24" s="2">
        <f>IF(AND(VLOOKUP(T$1,test!$A$3:$F$32,5,FALSE) - VLOOKUP($B24,test!$A$3:$G$32,6,FALSE) &gt;= (test!$B$33+VLOOKUP(VLOOKUP($B24,test!$A$2:$I$32,4,FALSE),test!$J$10:$P$14,3,FALSE))/1440),1,0)</f>
        <v>0</v>
      </c>
      <c r="U24" s="2">
        <f>IF(AND(VLOOKUP(U$1,test!$A$3:$F$32,5,FALSE) - VLOOKUP($B24,test!$A$3:$G$32,6,FALSE) &gt;= (test!$B$33+VLOOKUP(VLOOKUP($B24,test!$A$2:$I$32,4,FALSE),test!$J$10:$P$14,3,FALSE))/1440),1,0)</f>
        <v>0</v>
      </c>
      <c r="V24" s="2">
        <f>IF(AND(VLOOKUP(V$1,test!$A$3:$F$32,5,FALSE) - VLOOKUP($B24,test!$A$3:$G$32,6,FALSE) &gt;= (test!$B$33+VLOOKUP(VLOOKUP($B24,test!$A$2:$I$32,4,FALSE),test!$J$10:$P$14,3,FALSE))/1440),1,0)</f>
        <v>0</v>
      </c>
      <c r="W24" s="2">
        <f>IF(AND(VLOOKUP(W$1,test!$A$3:$F$32,5,FALSE) - VLOOKUP($B24,test!$A$3:$G$32,6,FALSE) &gt;= (test!$B$33+VLOOKUP(VLOOKUP($B24,test!$A$2:$I$32,4,FALSE),test!$J$10:$P$14,3,FALSE))/1440),1,0)</f>
        <v>0</v>
      </c>
      <c r="X24" s="2">
        <f>IF(AND(VLOOKUP(X$1,test!$A$3:$F$32,5,FALSE) - VLOOKUP($B24,test!$A$3:$G$32,6,FALSE) &gt;= (test!$B$33+VLOOKUP(VLOOKUP($B24,test!$A$2:$I$32,4,FALSE),test!$J$10:$P$14,3,FALSE))/1440),1,0)</f>
        <v>0</v>
      </c>
      <c r="Y24" s="2">
        <f>IF(AND(VLOOKUP(Y$1,test!$A$3:$F$32,5,FALSE) - VLOOKUP($B24,test!$A$3:$G$32,6,FALSE) &gt;= (test!$B$33+VLOOKUP(VLOOKUP($B24,test!$A$2:$I$32,4,FALSE),test!$J$10:$P$14,3,FALSE))/1440),1,0)</f>
        <v>0</v>
      </c>
      <c r="Z24" s="2">
        <f>IF(AND(VLOOKUP(Z$1,test!$A$3:$F$32,5,FALSE) - VLOOKUP($B24,test!$A$3:$G$32,6,FALSE) &gt;= (test!$B$33+VLOOKUP(VLOOKUP($B24,test!$A$2:$I$32,4,FALSE),test!$J$10:$P$14,3,FALSE))/1440),1,0)</f>
        <v>0</v>
      </c>
      <c r="AA24" s="2">
        <f>IF(AND(VLOOKUP(AA$1,test!$A$3:$F$32,5,FALSE) - VLOOKUP($B24,test!$A$3:$G$32,6,FALSE) &gt;= (test!$B$33+VLOOKUP(VLOOKUP($B24,test!$A$2:$I$32,4,FALSE),test!$J$10:$P$14,3,FALSE))/1440),1,0)</f>
        <v>0</v>
      </c>
      <c r="AB24" s="2">
        <f>IF(AND(VLOOKUP(AB$1,test!$A$3:$F$32,5,FALSE) - VLOOKUP($B24,test!$A$3:$G$32,6,FALSE) &gt;= (test!$B$33+VLOOKUP(VLOOKUP($B24,test!$A$2:$I$32,4,FALSE),test!$J$10:$P$14,3,FALSE))/1440),1,0)</f>
        <v>0</v>
      </c>
      <c r="AC24" s="2">
        <f>IF(AND(VLOOKUP(AC$1,test!$A$3:$F$32,5,FALSE) - VLOOKUP($B24,test!$A$3:$G$32,6,FALSE) &gt;= (test!$B$33+VLOOKUP(VLOOKUP($B24,test!$A$2:$I$32,4,FALSE),test!$J$10:$P$14,3,FALSE))/1440),1,0)</f>
        <v>0</v>
      </c>
      <c r="AD24" s="2">
        <f>IF(AND(VLOOKUP(AD$1,test!$A$3:$F$32,5,FALSE) - VLOOKUP($B24,test!$A$3:$G$32,6,FALSE) &gt;= (test!$B$33+VLOOKUP(VLOOKUP($B24,test!$A$2:$I$32,4,FALSE),test!$J$10:$P$14,3,FALSE))/1440),1,0)</f>
        <v>0</v>
      </c>
      <c r="AE24" s="2">
        <f>IF(AND(VLOOKUP(AE$1,test!$A$3:$F$32,5,FALSE) - VLOOKUP($B24,test!$A$3:$G$32,6,FALSE) &gt;= (test!$B$33+VLOOKUP(VLOOKUP($B24,test!$A$2:$I$32,4,FALSE),test!$J$10:$P$14,3,FALSE))/1440),1,0)</f>
        <v>0</v>
      </c>
      <c r="AF24" s="2">
        <f>IF(AND(VLOOKUP(AF$1,test!$A$3:$F$32,5,FALSE) - VLOOKUP($B24,test!$A$3:$G$32,6,FALSE) &gt;= (test!$B$33+VLOOKUP(VLOOKUP($B24,test!$A$2:$I$32,4,FALSE),test!$J$10:$P$14,3,FALSE))/1440),1,0)</f>
        <v>0</v>
      </c>
      <c r="AG24" s="2">
        <f>IF(AND(VLOOKUP(AG$1,test!$A$3:$F$32,5,FALSE) - VLOOKUP($B24,test!$A$3:$G$32,6,FALSE) &gt;= (test!$B$33+VLOOKUP(VLOOKUP($B24,test!$A$2:$I$32,4,FALSE),test!$J$10:$P$14,3,FALSE))/1440),1,0)</f>
        <v>0</v>
      </c>
    </row>
    <row r="25" spans="1:33" x14ac:dyDescent="0.25">
      <c r="A25" t="s">
        <v>48</v>
      </c>
      <c r="B25" t="s">
        <v>34</v>
      </c>
      <c r="C25">
        <v>0</v>
      </c>
      <c r="D25" s="2">
        <f>IF(AND(VLOOKUP(D$1,test!$A$3:$F$32,5,FALSE) - VLOOKUP($B25,test!$A$3:$G$32,6,FALSE) &gt;= (test!$B$33+VLOOKUP(VLOOKUP($B25,test!$A$2:$I$32,4,FALSE),test!$J$10:$P$14,3,FALSE))/1440),1,0)</f>
        <v>0</v>
      </c>
      <c r="E25" s="2">
        <f>IF(AND(VLOOKUP(E$1,test!$A$3:$F$32,5,FALSE) - VLOOKUP($B25,test!$A$3:$G$32,6,FALSE) &gt;= (test!$B$33+VLOOKUP(VLOOKUP($B25,test!$A$2:$I$32,4,FALSE),test!$J$10:$P$14,3,FALSE))/1440),1,0)</f>
        <v>0</v>
      </c>
      <c r="F25" s="2">
        <f>IF(AND(VLOOKUP(F$1,test!$A$3:$F$32,5,FALSE) - VLOOKUP($B25,test!$A$3:$G$32,6,FALSE) &gt;= (test!$B$33+VLOOKUP(VLOOKUP($B25,test!$A$2:$I$32,4,FALSE),test!$J$10:$P$14,3,FALSE))/1440),1,0)</f>
        <v>1</v>
      </c>
      <c r="G25" s="2">
        <f>IF(AND(VLOOKUP(G$1,test!$A$3:$F$32,5,FALSE) - VLOOKUP($B25,test!$A$3:$G$32,6,FALSE) &gt;= (test!$B$33+VLOOKUP(VLOOKUP($B25,test!$A$2:$I$32,4,FALSE),test!$J$10:$P$14,3,FALSE))/1440),1,0)</f>
        <v>1</v>
      </c>
      <c r="H25" s="2">
        <f>IF(AND(VLOOKUP(H$1,test!$A$3:$F$32,5,FALSE) - VLOOKUP($B25,test!$A$3:$G$32,6,FALSE) &gt;= (test!$B$33+VLOOKUP(VLOOKUP($B25,test!$A$2:$I$32,4,FALSE),test!$J$10:$P$14,3,FALSE))/1440),1,0)</f>
        <v>1</v>
      </c>
      <c r="I25" s="2">
        <f>IF(AND(VLOOKUP(I$1,test!$A$3:$F$32,5,FALSE) - VLOOKUP($B25,test!$A$3:$G$32,6,FALSE) &gt;= (test!$B$33+VLOOKUP(VLOOKUP($B25,test!$A$2:$I$32,4,FALSE),test!$J$10:$P$14,3,FALSE))/1440),1,0)</f>
        <v>1</v>
      </c>
      <c r="J25" s="2">
        <f>IF(AND(VLOOKUP(J$1,test!$A$3:$F$32,5,FALSE) - VLOOKUP($B25,test!$A$3:$G$32,6,FALSE) &gt;= (test!$B$33+VLOOKUP(VLOOKUP($B25,test!$A$2:$I$32,4,FALSE),test!$J$10:$P$14,3,FALSE))/1440),1,0)</f>
        <v>1</v>
      </c>
      <c r="K25" s="2">
        <f>IF(AND(VLOOKUP(K$1,test!$A$3:$F$32,5,FALSE) - VLOOKUP($B25,test!$A$3:$G$32,6,FALSE) &gt;= (test!$B$33+VLOOKUP(VLOOKUP($B25,test!$A$2:$I$32,4,FALSE),test!$J$10:$P$14,3,FALSE))/1440),1,0)</f>
        <v>1</v>
      </c>
      <c r="L25" s="2">
        <f>IF(AND(VLOOKUP(L$1,test!$A$3:$F$32,5,FALSE) - VLOOKUP($B25,test!$A$3:$G$32,6,FALSE) &gt;= (test!$B$33+VLOOKUP(VLOOKUP($B25,test!$A$2:$I$32,4,FALSE),test!$J$10:$P$14,3,FALSE))/1440),1,0)</f>
        <v>0</v>
      </c>
      <c r="M25" s="2">
        <f>IF(AND(VLOOKUP(M$1,test!$A$3:$F$32,5,FALSE) - VLOOKUP($B25,test!$A$3:$G$32,6,FALSE) &gt;= (test!$B$33+VLOOKUP(VLOOKUP($B25,test!$A$2:$I$32,4,FALSE),test!$J$10:$P$14,3,FALSE))/1440),1,0)</f>
        <v>0</v>
      </c>
      <c r="N25" s="2">
        <f>IF(AND(VLOOKUP(N$1,test!$A$3:$F$32,5,FALSE) - VLOOKUP($B25,test!$A$3:$G$32,6,FALSE) &gt;= (test!$B$33+VLOOKUP(VLOOKUP($B25,test!$A$2:$I$32,4,FALSE),test!$J$10:$P$14,3,FALSE))/1440),1,0)</f>
        <v>1</v>
      </c>
      <c r="O25" s="2">
        <f>IF(AND(VLOOKUP(O$1,test!$A$3:$F$32,5,FALSE) - VLOOKUP($B25,test!$A$3:$G$32,6,FALSE) &gt;= (test!$B$33+VLOOKUP(VLOOKUP($B25,test!$A$2:$I$32,4,FALSE),test!$J$10:$P$14,3,FALSE))/1440),1,0)</f>
        <v>1</v>
      </c>
      <c r="P25" s="2">
        <f>IF(AND(VLOOKUP(P$1,test!$A$3:$F$32,5,FALSE) - VLOOKUP($B25,test!$A$3:$G$32,6,FALSE) &gt;= (test!$B$33+VLOOKUP(VLOOKUP($B25,test!$A$2:$I$32,4,FALSE),test!$J$10:$P$14,3,FALSE))/1440),1,0)</f>
        <v>1</v>
      </c>
      <c r="Q25" s="2">
        <f>IF(AND(VLOOKUP(Q$1,test!$A$3:$F$32,5,FALSE) - VLOOKUP($B25,test!$A$3:$G$32,6,FALSE) &gt;= (test!$B$33+VLOOKUP(VLOOKUP($B25,test!$A$2:$I$32,4,FALSE),test!$J$10:$P$14,3,FALSE))/1440),1,0)</f>
        <v>0</v>
      </c>
      <c r="R25" s="2">
        <f>IF(AND(VLOOKUP(R$1,test!$A$3:$F$32,5,FALSE) - VLOOKUP($B25,test!$A$3:$G$32,6,FALSE) &gt;= (test!$B$33+VLOOKUP(VLOOKUP($B25,test!$A$2:$I$32,4,FALSE),test!$J$10:$P$14,3,FALSE))/1440),1,0)</f>
        <v>0</v>
      </c>
      <c r="S25" s="2">
        <f>IF(AND(VLOOKUP(S$1,test!$A$3:$F$32,5,FALSE) - VLOOKUP($B25,test!$A$3:$G$32,6,FALSE) &gt;= (test!$B$33+VLOOKUP(VLOOKUP($B25,test!$A$2:$I$32,4,FALSE),test!$J$10:$P$14,3,FALSE))/1440),1,0)</f>
        <v>0</v>
      </c>
      <c r="T25" s="2">
        <f>IF(AND(VLOOKUP(T$1,test!$A$3:$F$32,5,FALSE) - VLOOKUP($B25,test!$A$3:$G$32,6,FALSE) &gt;= (test!$B$33+VLOOKUP(VLOOKUP($B25,test!$A$2:$I$32,4,FALSE),test!$J$10:$P$14,3,FALSE))/1440),1,0)</f>
        <v>0</v>
      </c>
      <c r="U25" s="2">
        <f>IF(AND(VLOOKUP(U$1,test!$A$3:$F$32,5,FALSE) - VLOOKUP($B25,test!$A$3:$G$32,6,FALSE) &gt;= (test!$B$33+VLOOKUP(VLOOKUP($B25,test!$A$2:$I$32,4,FALSE),test!$J$10:$P$14,3,FALSE))/1440),1,0)</f>
        <v>1</v>
      </c>
      <c r="V25" s="2">
        <f>IF(AND(VLOOKUP(V$1,test!$A$3:$F$32,5,FALSE) - VLOOKUP($B25,test!$A$3:$G$32,6,FALSE) &gt;= (test!$B$33+VLOOKUP(VLOOKUP($B25,test!$A$2:$I$32,4,FALSE),test!$J$10:$P$14,3,FALSE))/1440),1,0)</f>
        <v>1</v>
      </c>
      <c r="W25" s="2">
        <f>IF(AND(VLOOKUP(W$1,test!$A$3:$F$32,5,FALSE) - VLOOKUP($B25,test!$A$3:$G$32,6,FALSE) &gt;= (test!$B$33+VLOOKUP(VLOOKUP($B25,test!$A$2:$I$32,4,FALSE),test!$J$10:$P$14,3,FALSE))/1440),1,0)</f>
        <v>1</v>
      </c>
      <c r="X25" s="2">
        <f>IF(AND(VLOOKUP(X$1,test!$A$3:$F$32,5,FALSE) - VLOOKUP($B25,test!$A$3:$G$32,6,FALSE) &gt;= (test!$B$33+VLOOKUP(VLOOKUP($B25,test!$A$2:$I$32,4,FALSE),test!$J$10:$P$14,3,FALSE))/1440),1,0)</f>
        <v>1</v>
      </c>
      <c r="Y25" s="2">
        <f>IF(AND(VLOOKUP(Y$1,test!$A$3:$F$32,5,FALSE) - VLOOKUP($B25,test!$A$3:$G$32,6,FALSE) &gt;= (test!$B$33+VLOOKUP(VLOOKUP($B25,test!$A$2:$I$32,4,FALSE),test!$J$10:$P$14,3,FALSE))/1440),1,0)</f>
        <v>1</v>
      </c>
      <c r="Z25" s="2">
        <f>IF(AND(VLOOKUP(Z$1,test!$A$3:$F$32,5,FALSE) - VLOOKUP($B25,test!$A$3:$G$32,6,FALSE) &gt;= (test!$B$33+VLOOKUP(VLOOKUP($B25,test!$A$2:$I$32,4,FALSE),test!$J$10:$P$14,3,FALSE))/1440),1,0)</f>
        <v>0</v>
      </c>
      <c r="AA25" s="2">
        <f>IF(AND(VLOOKUP(AA$1,test!$A$3:$F$32,5,FALSE) - VLOOKUP($B25,test!$A$3:$G$32,6,FALSE) &gt;= (test!$B$33+VLOOKUP(VLOOKUP($B25,test!$A$2:$I$32,4,FALSE),test!$J$10:$P$14,3,FALSE))/1440),1,0)</f>
        <v>0</v>
      </c>
      <c r="AB25" s="2">
        <f>IF(AND(VLOOKUP(AB$1,test!$A$3:$F$32,5,FALSE) - VLOOKUP($B25,test!$A$3:$G$32,6,FALSE) &gt;= (test!$B$33+VLOOKUP(VLOOKUP($B25,test!$A$2:$I$32,4,FALSE),test!$J$10:$P$14,3,FALSE))/1440),1,0)</f>
        <v>1</v>
      </c>
      <c r="AC25" s="2">
        <f>IF(AND(VLOOKUP(AC$1,test!$A$3:$F$32,5,FALSE) - VLOOKUP($B25,test!$A$3:$G$32,6,FALSE) &gt;= (test!$B$33+VLOOKUP(VLOOKUP($B25,test!$A$2:$I$32,4,FALSE),test!$J$10:$P$14,3,FALSE))/1440),1,0)</f>
        <v>1</v>
      </c>
      <c r="AD25" s="2">
        <f>IF(AND(VLOOKUP(AD$1,test!$A$3:$F$32,5,FALSE) - VLOOKUP($B25,test!$A$3:$G$32,6,FALSE) &gt;= (test!$B$33+VLOOKUP(VLOOKUP($B25,test!$A$2:$I$32,4,FALSE),test!$J$10:$P$14,3,FALSE))/1440),1,0)</f>
        <v>1</v>
      </c>
      <c r="AE25" s="2">
        <f>IF(AND(VLOOKUP(AE$1,test!$A$3:$F$32,5,FALSE) - VLOOKUP($B25,test!$A$3:$G$32,6,FALSE) &gt;= (test!$B$33+VLOOKUP(VLOOKUP($B25,test!$A$2:$I$32,4,FALSE),test!$J$10:$P$14,3,FALSE))/1440),1,0)</f>
        <v>0</v>
      </c>
      <c r="AF25" s="2">
        <f>IF(AND(VLOOKUP(AF$1,test!$A$3:$F$32,5,FALSE) - VLOOKUP($B25,test!$A$3:$G$32,6,FALSE) &gt;= (test!$B$33+VLOOKUP(VLOOKUP($B25,test!$A$2:$I$32,4,FALSE),test!$J$10:$P$14,3,FALSE))/1440),1,0)</f>
        <v>1</v>
      </c>
      <c r="AG25" s="2">
        <f>IF(AND(VLOOKUP(AG$1,test!$A$3:$F$32,5,FALSE) - VLOOKUP($B25,test!$A$3:$G$32,6,FALSE) &gt;= (test!$B$33+VLOOKUP(VLOOKUP($B25,test!$A$2:$I$32,4,FALSE),test!$J$10:$P$14,3,FALSE))/1440),1,0)</f>
        <v>1</v>
      </c>
    </row>
    <row r="26" spans="1:33" x14ac:dyDescent="0.25">
      <c r="A26" t="s">
        <v>48</v>
      </c>
      <c r="B26" t="s">
        <v>35</v>
      </c>
      <c r="C26">
        <v>0</v>
      </c>
      <c r="D26" s="2">
        <f>IF(AND(VLOOKUP(D$1,test!$A$3:$F$32,5,FALSE) - VLOOKUP($B26,test!$A$3:$G$32,6,FALSE) &gt;= (test!$B$33+VLOOKUP(VLOOKUP($B26,test!$A$2:$I$32,4,FALSE),test!$J$10:$P$14,3,FALSE))/1440),1,0)</f>
        <v>0</v>
      </c>
      <c r="E26" s="2">
        <f>IF(AND(VLOOKUP(E$1,test!$A$3:$F$32,5,FALSE) - VLOOKUP($B26,test!$A$3:$G$32,6,FALSE) &gt;= (test!$B$33+VLOOKUP(VLOOKUP($B26,test!$A$2:$I$32,4,FALSE),test!$J$10:$P$14,3,FALSE))/1440),1,0)</f>
        <v>0</v>
      </c>
      <c r="F26" s="2">
        <f>IF(AND(VLOOKUP(F$1,test!$A$3:$F$32,5,FALSE) - VLOOKUP($B26,test!$A$3:$G$32,6,FALSE) &gt;= (test!$B$33+VLOOKUP(VLOOKUP($B26,test!$A$2:$I$32,4,FALSE),test!$J$10:$P$14,3,FALSE))/1440),1,0)</f>
        <v>0</v>
      </c>
      <c r="G26" s="2">
        <f>IF(AND(VLOOKUP(G$1,test!$A$3:$F$32,5,FALSE) - VLOOKUP($B26,test!$A$3:$G$32,6,FALSE) &gt;= (test!$B$33+VLOOKUP(VLOOKUP($B26,test!$A$2:$I$32,4,FALSE),test!$J$10:$P$14,3,FALSE))/1440),1,0)</f>
        <v>0</v>
      </c>
      <c r="H26" s="2">
        <f>IF(AND(VLOOKUP(H$1,test!$A$3:$F$32,5,FALSE) - VLOOKUP($B26,test!$A$3:$G$32,6,FALSE) &gt;= (test!$B$33+VLOOKUP(VLOOKUP($B26,test!$A$2:$I$32,4,FALSE),test!$J$10:$P$14,3,FALSE))/1440),1,0)</f>
        <v>1</v>
      </c>
      <c r="I26" s="2">
        <f>IF(AND(VLOOKUP(I$1,test!$A$3:$F$32,5,FALSE) - VLOOKUP($B26,test!$A$3:$G$32,6,FALSE) &gt;= (test!$B$33+VLOOKUP(VLOOKUP($B26,test!$A$2:$I$32,4,FALSE),test!$J$10:$P$14,3,FALSE))/1440),1,0)</f>
        <v>1</v>
      </c>
      <c r="J26" s="2">
        <f>IF(AND(VLOOKUP(J$1,test!$A$3:$F$32,5,FALSE) - VLOOKUP($B26,test!$A$3:$G$32,6,FALSE) &gt;= (test!$B$33+VLOOKUP(VLOOKUP($B26,test!$A$2:$I$32,4,FALSE),test!$J$10:$P$14,3,FALSE))/1440),1,0)</f>
        <v>1</v>
      </c>
      <c r="K26" s="2">
        <f>IF(AND(VLOOKUP(K$1,test!$A$3:$F$32,5,FALSE) - VLOOKUP($B26,test!$A$3:$G$32,6,FALSE) &gt;= (test!$B$33+VLOOKUP(VLOOKUP($B26,test!$A$2:$I$32,4,FALSE),test!$J$10:$P$14,3,FALSE))/1440),1,0)</f>
        <v>1</v>
      </c>
      <c r="L26" s="2">
        <f>IF(AND(VLOOKUP(L$1,test!$A$3:$F$32,5,FALSE) - VLOOKUP($B26,test!$A$3:$G$32,6,FALSE) &gt;= (test!$B$33+VLOOKUP(VLOOKUP($B26,test!$A$2:$I$32,4,FALSE),test!$J$10:$P$14,3,FALSE))/1440),1,0)</f>
        <v>0</v>
      </c>
      <c r="M26" s="2">
        <f>IF(AND(VLOOKUP(M$1,test!$A$3:$F$32,5,FALSE) - VLOOKUP($B26,test!$A$3:$G$32,6,FALSE) &gt;= (test!$B$33+VLOOKUP(VLOOKUP($B26,test!$A$2:$I$32,4,FALSE),test!$J$10:$P$14,3,FALSE))/1440),1,0)</f>
        <v>0</v>
      </c>
      <c r="N26" s="2">
        <f>IF(AND(VLOOKUP(N$1,test!$A$3:$F$32,5,FALSE) - VLOOKUP($B26,test!$A$3:$G$32,6,FALSE) &gt;= (test!$B$33+VLOOKUP(VLOOKUP($B26,test!$A$2:$I$32,4,FALSE),test!$J$10:$P$14,3,FALSE))/1440),1,0)</f>
        <v>0</v>
      </c>
      <c r="O26" s="2">
        <f>IF(AND(VLOOKUP(O$1,test!$A$3:$F$32,5,FALSE) - VLOOKUP($B26,test!$A$3:$G$32,6,FALSE) &gt;= (test!$B$33+VLOOKUP(VLOOKUP($B26,test!$A$2:$I$32,4,FALSE),test!$J$10:$P$14,3,FALSE))/1440),1,0)</f>
        <v>1</v>
      </c>
      <c r="P26" s="2">
        <f>IF(AND(VLOOKUP(P$1,test!$A$3:$F$32,5,FALSE) - VLOOKUP($B26,test!$A$3:$G$32,6,FALSE) &gt;= (test!$B$33+VLOOKUP(VLOOKUP($B26,test!$A$2:$I$32,4,FALSE),test!$J$10:$P$14,3,FALSE))/1440),1,0)</f>
        <v>1</v>
      </c>
      <c r="Q26" s="2">
        <f>IF(AND(VLOOKUP(Q$1,test!$A$3:$F$32,5,FALSE) - VLOOKUP($B26,test!$A$3:$G$32,6,FALSE) &gt;= (test!$B$33+VLOOKUP(VLOOKUP($B26,test!$A$2:$I$32,4,FALSE),test!$J$10:$P$14,3,FALSE))/1440),1,0)</f>
        <v>0</v>
      </c>
      <c r="R26" s="2">
        <f>IF(AND(VLOOKUP(R$1,test!$A$3:$F$32,5,FALSE) - VLOOKUP($B26,test!$A$3:$G$32,6,FALSE) &gt;= (test!$B$33+VLOOKUP(VLOOKUP($B26,test!$A$2:$I$32,4,FALSE),test!$J$10:$P$14,3,FALSE))/1440),1,0)</f>
        <v>0</v>
      </c>
      <c r="S26" s="2">
        <f>IF(AND(VLOOKUP(S$1,test!$A$3:$F$32,5,FALSE) - VLOOKUP($B26,test!$A$3:$G$32,6,FALSE) &gt;= (test!$B$33+VLOOKUP(VLOOKUP($B26,test!$A$2:$I$32,4,FALSE),test!$J$10:$P$14,3,FALSE))/1440),1,0)</f>
        <v>0</v>
      </c>
      <c r="T26" s="2">
        <f>IF(AND(VLOOKUP(T$1,test!$A$3:$F$32,5,FALSE) - VLOOKUP($B26,test!$A$3:$G$32,6,FALSE) &gt;= (test!$B$33+VLOOKUP(VLOOKUP($B26,test!$A$2:$I$32,4,FALSE),test!$J$10:$P$14,3,FALSE))/1440),1,0)</f>
        <v>0</v>
      </c>
      <c r="U26" s="2">
        <f>IF(AND(VLOOKUP(U$1,test!$A$3:$F$32,5,FALSE) - VLOOKUP($B26,test!$A$3:$G$32,6,FALSE) &gt;= (test!$B$33+VLOOKUP(VLOOKUP($B26,test!$A$2:$I$32,4,FALSE),test!$J$10:$P$14,3,FALSE))/1440),1,0)</f>
        <v>0</v>
      </c>
      <c r="V26" s="2">
        <f>IF(AND(VLOOKUP(V$1,test!$A$3:$F$32,5,FALSE) - VLOOKUP($B26,test!$A$3:$G$32,6,FALSE) &gt;= (test!$B$33+VLOOKUP(VLOOKUP($B26,test!$A$2:$I$32,4,FALSE),test!$J$10:$P$14,3,FALSE))/1440),1,0)</f>
        <v>0</v>
      </c>
      <c r="W26" s="2">
        <f>IF(AND(VLOOKUP(W$1,test!$A$3:$F$32,5,FALSE) - VLOOKUP($B26,test!$A$3:$G$32,6,FALSE) &gt;= (test!$B$33+VLOOKUP(VLOOKUP($B26,test!$A$2:$I$32,4,FALSE),test!$J$10:$P$14,3,FALSE))/1440),1,0)</f>
        <v>1</v>
      </c>
      <c r="X26" s="2">
        <f>IF(AND(VLOOKUP(X$1,test!$A$3:$F$32,5,FALSE) - VLOOKUP($B26,test!$A$3:$G$32,6,FALSE) &gt;= (test!$B$33+VLOOKUP(VLOOKUP($B26,test!$A$2:$I$32,4,FALSE),test!$J$10:$P$14,3,FALSE))/1440),1,0)</f>
        <v>1</v>
      </c>
      <c r="Y26" s="2">
        <f>IF(AND(VLOOKUP(Y$1,test!$A$3:$F$32,5,FALSE) - VLOOKUP($B26,test!$A$3:$G$32,6,FALSE) &gt;= (test!$B$33+VLOOKUP(VLOOKUP($B26,test!$A$2:$I$32,4,FALSE),test!$J$10:$P$14,3,FALSE))/1440),1,0)</f>
        <v>1</v>
      </c>
      <c r="Z26" s="2">
        <f>IF(AND(VLOOKUP(Z$1,test!$A$3:$F$32,5,FALSE) - VLOOKUP($B26,test!$A$3:$G$32,6,FALSE) &gt;= (test!$B$33+VLOOKUP(VLOOKUP($B26,test!$A$2:$I$32,4,FALSE),test!$J$10:$P$14,3,FALSE))/1440),1,0)</f>
        <v>0</v>
      </c>
      <c r="AA26" s="2">
        <f>IF(AND(VLOOKUP(AA$1,test!$A$3:$F$32,5,FALSE) - VLOOKUP($B26,test!$A$3:$G$32,6,FALSE) &gt;= (test!$B$33+VLOOKUP(VLOOKUP($B26,test!$A$2:$I$32,4,FALSE),test!$J$10:$P$14,3,FALSE))/1440),1,0)</f>
        <v>0</v>
      </c>
      <c r="AB26" s="2">
        <f>IF(AND(VLOOKUP(AB$1,test!$A$3:$F$32,5,FALSE) - VLOOKUP($B26,test!$A$3:$G$32,6,FALSE) &gt;= (test!$B$33+VLOOKUP(VLOOKUP($B26,test!$A$2:$I$32,4,FALSE),test!$J$10:$P$14,3,FALSE))/1440),1,0)</f>
        <v>0</v>
      </c>
      <c r="AC26" s="2">
        <f>IF(AND(VLOOKUP(AC$1,test!$A$3:$F$32,5,FALSE) - VLOOKUP($B26,test!$A$3:$G$32,6,FALSE) &gt;= (test!$B$33+VLOOKUP(VLOOKUP($B26,test!$A$2:$I$32,4,FALSE),test!$J$10:$P$14,3,FALSE))/1440),1,0)</f>
        <v>0</v>
      </c>
      <c r="AD26" s="2">
        <f>IF(AND(VLOOKUP(AD$1,test!$A$3:$F$32,5,FALSE) - VLOOKUP($B26,test!$A$3:$G$32,6,FALSE) &gt;= (test!$B$33+VLOOKUP(VLOOKUP($B26,test!$A$2:$I$32,4,FALSE),test!$J$10:$P$14,3,FALSE))/1440),1,0)</f>
        <v>1</v>
      </c>
      <c r="AE26" s="2">
        <f>IF(AND(VLOOKUP(AE$1,test!$A$3:$F$32,5,FALSE) - VLOOKUP($B26,test!$A$3:$G$32,6,FALSE) &gt;= (test!$B$33+VLOOKUP(VLOOKUP($B26,test!$A$2:$I$32,4,FALSE),test!$J$10:$P$14,3,FALSE))/1440),1,0)</f>
        <v>0</v>
      </c>
      <c r="AF26" s="2">
        <f>IF(AND(VLOOKUP(AF$1,test!$A$3:$F$32,5,FALSE) - VLOOKUP($B26,test!$A$3:$G$32,6,FALSE) &gt;= (test!$B$33+VLOOKUP(VLOOKUP($B26,test!$A$2:$I$32,4,FALSE),test!$J$10:$P$14,3,FALSE))/1440),1,0)</f>
        <v>0</v>
      </c>
      <c r="AG26" s="2">
        <f>IF(AND(VLOOKUP(AG$1,test!$A$3:$F$32,5,FALSE) - VLOOKUP($B26,test!$A$3:$G$32,6,FALSE) &gt;= (test!$B$33+VLOOKUP(VLOOKUP($B26,test!$A$2:$I$32,4,FALSE),test!$J$10:$P$14,3,FALSE))/1440),1,0)</f>
        <v>0</v>
      </c>
    </row>
    <row r="27" spans="1:33" x14ac:dyDescent="0.25">
      <c r="A27" t="s">
        <v>48</v>
      </c>
      <c r="B27" t="s">
        <v>36</v>
      </c>
      <c r="C27">
        <v>0</v>
      </c>
      <c r="D27" s="2">
        <f>IF(AND(VLOOKUP(D$1,test!$A$3:$F$32,5,FALSE) - VLOOKUP($B27,test!$A$3:$G$32,6,FALSE) &gt;= (test!$B$33+VLOOKUP(VLOOKUP($B27,test!$A$2:$I$32,4,FALSE),test!$J$10:$P$14,3,FALSE))/1440),1,0)</f>
        <v>0</v>
      </c>
      <c r="E27" s="2">
        <f>IF(AND(VLOOKUP(E$1,test!$A$3:$F$32,5,FALSE) - VLOOKUP($B27,test!$A$3:$G$32,6,FALSE) &gt;= (test!$B$33+VLOOKUP(VLOOKUP($B27,test!$A$2:$I$32,4,FALSE),test!$J$10:$P$14,3,FALSE))/1440),1,0)</f>
        <v>0</v>
      </c>
      <c r="F27" s="2">
        <f>IF(AND(VLOOKUP(F$1,test!$A$3:$F$32,5,FALSE) - VLOOKUP($B27,test!$A$3:$G$32,6,FALSE) &gt;= (test!$B$33+VLOOKUP(VLOOKUP($B27,test!$A$2:$I$32,4,FALSE),test!$J$10:$P$14,3,FALSE))/1440),1,0)</f>
        <v>0</v>
      </c>
      <c r="G27" s="2">
        <f>IF(AND(VLOOKUP(G$1,test!$A$3:$F$32,5,FALSE) - VLOOKUP($B27,test!$A$3:$G$32,6,FALSE) &gt;= (test!$B$33+VLOOKUP(VLOOKUP($B27,test!$A$2:$I$32,4,FALSE),test!$J$10:$P$14,3,FALSE))/1440),1,0)</f>
        <v>0</v>
      </c>
      <c r="H27" s="2">
        <f>IF(AND(VLOOKUP(H$1,test!$A$3:$F$32,5,FALSE) - VLOOKUP($B27,test!$A$3:$G$32,6,FALSE) &gt;= (test!$B$33+VLOOKUP(VLOOKUP($B27,test!$A$2:$I$32,4,FALSE),test!$J$10:$P$14,3,FALSE))/1440),1,0)</f>
        <v>0</v>
      </c>
      <c r="I27" s="2">
        <f>IF(AND(VLOOKUP(I$1,test!$A$3:$F$32,5,FALSE) - VLOOKUP($B27,test!$A$3:$G$32,6,FALSE) &gt;= (test!$B$33+VLOOKUP(VLOOKUP($B27,test!$A$2:$I$32,4,FALSE),test!$J$10:$P$14,3,FALSE))/1440),1,0)</f>
        <v>0</v>
      </c>
      <c r="J27" s="2">
        <f>IF(AND(VLOOKUP(J$1,test!$A$3:$F$32,5,FALSE) - VLOOKUP($B27,test!$A$3:$G$32,6,FALSE) &gt;= (test!$B$33+VLOOKUP(VLOOKUP($B27,test!$A$2:$I$32,4,FALSE),test!$J$10:$P$14,3,FALSE))/1440),1,0)</f>
        <v>1</v>
      </c>
      <c r="K27" s="2">
        <f>IF(AND(VLOOKUP(K$1,test!$A$3:$F$32,5,FALSE) - VLOOKUP($B27,test!$A$3:$G$32,6,FALSE) &gt;= (test!$B$33+VLOOKUP(VLOOKUP($B27,test!$A$2:$I$32,4,FALSE),test!$J$10:$P$14,3,FALSE))/1440),1,0)</f>
        <v>1</v>
      </c>
      <c r="L27" s="2">
        <f>IF(AND(VLOOKUP(L$1,test!$A$3:$F$32,5,FALSE) - VLOOKUP($B27,test!$A$3:$G$32,6,FALSE) &gt;= (test!$B$33+VLOOKUP(VLOOKUP($B27,test!$A$2:$I$32,4,FALSE),test!$J$10:$P$14,3,FALSE))/1440),1,0)</f>
        <v>0</v>
      </c>
      <c r="M27" s="2">
        <f>IF(AND(VLOOKUP(M$1,test!$A$3:$F$32,5,FALSE) - VLOOKUP($B27,test!$A$3:$G$32,6,FALSE) &gt;= (test!$B$33+VLOOKUP(VLOOKUP($B27,test!$A$2:$I$32,4,FALSE),test!$J$10:$P$14,3,FALSE))/1440),1,0)</f>
        <v>0</v>
      </c>
      <c r="N27" s="2">
        <f>IF(AND(VLOOKUP(N$1,test!$A$3:$F$32,5,FALSE) - VLOOKUP($B27,test!$A$3:$G$32,6,FALSE) &gt;= (test!$B$33+VLOOKUP(VLOOKUP($B27,test!$A$2:$I$32,4,FALSE),test!$J$10:$P$14,3,FALSE))/1440),1,0)</f>
        <v>0</v>
      </c>
      <c r="O27" s="2">
        <f>IF(AND(VLOOKUP(O$1,test!$A$3:$F$32,5,FALSE) - VLOOKUP($B27,test!$A$3:$G$32,6,FALSE) &gt;= (test!$B$33+VLOOKUP(VLOOKUP($B27,test!$A$2:$I$32,4,FALSE),test!$J$10:$P$14,3,FALSE))/1440),1,0)</f>
        <v>1</v>
      </c>
      <c r="P27" s="2">
        <f>IF(AND(VLOOKUP(P$1,test!$A$3:$F$32,5,FALSE) - VLOOKUP($B27,test!$A$3:$G$32,6,FALSE) &gt;= (test!$B$33+VLOOKUP(VLOOKUP($B27,test!$A$2:$I$32,4,FALSE),test!$J$10:$P$14,3,FALSE))/1440),1,0)</f>
        <v>1</v>
      </c>
      <c r="Q27" s="2">
        <f>IF(AND(VLOOKUP(Q$1,test!$A$3:$F$32,5,FALSE) - VLOOKUP($B27,test!$A$3:$G$32,6,FALSE) &gt;= (test!$B$33+VLOOKUP(VLOOKUP($B27,test!$A$2:$I$32,4,FALSE),test!$J$10:$P$14,3,FALSE))/1440),1,0)</f>
        <v>0</v>
      </c>
      <c r="R27" s="2">
        <f>IF(AND(VLOOKUP(R$1,test!$A$3:$F$32,5,FALSE) - VLOOKUP($B27,test!$A$3:$G$32,6,FALSE) &gt;= (test!$B$33+VLOOKUP(VLOOKUP($B27,test!$A$2:$I$32,4,FALSE),test!$J$10:$P$14,3,FALSE))/1440),1,0)</f>
        <v>0</v>
      </c>
      <c r="S27" s="2">
        <f>IF(AND(VLOOKUP(S$1,test!$A$3:$F$32,5,FALSE) - VLOOKUP($B27,test!$A$3:$G$32,6,FALSE) &gt;= (test!$B$33+VLOOKUP(VLOOKUP($B27,test!$A$2:$I$32,4,FALSE),test!$J$10:$P$14,3,FALSE))/1440),1,0)</f>
        <v>0</v>
      </c>
      <c r="T27" s="2">
        <f>IF(AND(VLOOKUP(T$1,test!$A$3:$F$32,5,FALSE) - VLOOKUP($B27,test!$A$3:$G$32,6,FALSE) &gt;= (test!$B$33+VLOOKUP(VLOOKUP($B27,test!$A$2:$I$32,4,FALSE),test!$J$10:$P$14,3,FALSE))/1440),1,0)</f>
        <v>0</v>
      </c>
      <c r="U27" s="2">
        <f>IF(AND(VLOOKUP(U$1,test!$A$3:$F$32,5,FALSE) - VLOOKUP($B27,test!$A$3:$G$32,6,FALSE) &gt;= (test!$B$33+VLOOKUP(VLOOKUP($B27,test!$A$2:$I$32,4,FALSE),test!$J$10:$P$14,3,FALSE))/1440),1,0)</f>
        <v>0</v>
      </c>
      <c r="V27" s="2">
        <f>IF(AND(VLOOKUP(V$1,test!$A$3:$F$32,5,FALSE) - VLOOKUP($B27,test!$A$3:$G$32,6,FALSE) &gt;= (test!$B$33+VLOOKUP(VLOOKUP($B27,test!$A$2:$I$32,4,FALSE),test!$J$10:$P$14,3,FALSE))/1440),1,0)</f>
        <v>0</v>
      </c>
      <c r="W27" s="2">
        <f>IF(AND(VLOOKUP(W$1,test!$A$3:$F$32,5,FALSE) - VLOOKUP($B27,test!$A$3:$G$32,6,FALSE) &gt;= (test!$B$33+VLOOKUP(VLOOKUP($B27,test!$A$2:$I$32,4,FALSE),test!$J$10:$P$14,3,FALSE))/1440),1,0)</f>
        <v>0</v>
      </c>
      <c r="X27" s="2">
        <f>IF(AND(VLOOKUP(X$1,test!$A$3:$F$32,5,FALSE) - VLOOKUP($B27,test!$A$3:$G$32,6,FALSE) &gt;= (test!$B$33+VLOOKUP(VLOOKUP($B27,test!$A$2:$I$32,4,FALSE),test!$J$10:$P$14,3,FALSE))/1440),1,0)</f>
        <v>0</v>
      </c>
      <c r="Y27" s="2">
        <f>IF(AND(VLOOKUP(Y$1,test!$A$3:$F$32,5,FALSE) - VLOOKUP($B27,test!$A$3:$G$32,6,FALSE) &gt;= (test!$B$33+VLOOKUP(VLOOKUP($B27,test!$A$2:$I$32,4,FALSE),test!$J$10:$P$14,3,FALSE))/1440),1,0)</f>
        <v>1</v>
      </c>
      <c r="Z27" s="2">
        <f>IF(AND(VLOOKUP(Z$1,test!$A$3:$F$32,5,FALSE) - VLOOKUP($B27,test!$A$3:$G$32,6,FALSE) &gt;= (test!$B$33+VLOOKUP(VLOOKUP($B27,test!$A$2:$I$32,4,FALSE),test!$J$10:$P$14,3,FALSE))/1440),1,0)</f>
        <v>0</v>
      </c>
      <c r="AA27" s="2">
        <f>IF(AND(VLOOKUP(AA$1,test!$A$3:$F$32,5,FALSE) - VLOOKUP($B27,test!$A$3:$G$32,6,FALSE) &gt;= (test!$B$33+VLOOKUP(VLOOKUP($B27,test!$A$2:$I$32,4,FALSE),test!$J$10:$P$14,3,FALSE))/1440),1,0)</f>
        <v>0</v>
      </c>
      <c r="AB27" s="2">
        <f>IF(AND(VLOOKUP(AB$1,test!$A$3:$F$32,5,FALSE) - VLOOKUP($B27,test!$A$3:$G$32,6,FALSE) &gt;= (test!$B$33+VLOOKUP(VLOOKUP($B27,test!$A$2:$I$32,4,FALSE),test!$J$10:$P$14,3,FALSE))/1440),1,0)</f>
        <v>0</v>
      </c>
      <c r="AC27" s="2">
        <f>IF(AND(VLOOKUP(AC$1,test!$A$3:$F$32,5,FALSE) - VLOOKUP($B27,test!$A$3:$G$32,6,FALSE) &gt;= (test!$B$33+VLOOKUP(VLOOKUP($B27,test!$A$2:$I$32,4,FALSE),test!$J$10:$P$14,3,FALSE))/1440),1,0)</f>
        <v>0</v>
      </c>
      <c r="AD27" s="2">
        <f>IF(AND(VLOOKUP(AD$1,test!$A$3:$F$32,5,FALSE) - VLOOKUP($B27,test!$A$3:$G$32,6,FALSE) &gt;= (test!$B$33+VLOOKUP(VLOOKUP($B27,test!$A$2:$I$32,4,FALSE),test!$J$10:$P$14,3,FALSE))/1440),1,0)</f>
        <v>0</v>
      </c>
      <c r="AE27" s="2">
        <f>IF(AND(VLOOKUP(AE$1,test!$A$3:$F$32,5,FALSE) - VLOOKUP($B27,test!$A$3:$G$32,6,FALSE) &gt;= (test!$B$33+VLOOKUP(VLOOKUP($B27,test!$A$2:$I$32,4,FALSE),test!$J$10:$P$14,3,FALSE))/1440),1,0)</f>
        <v>0</v>
      </c>
      <c r="AF27" s="2">
        <f>IF(AND(VLOOKUP(AF$1,test!$A$3:$F$32,5,FALSE) - VLOOKUP($B27,test!$A$3:$G$32,6,FALSE) &gt;= (test!$B$33+VLOOKUP(VLOOKUP($B27,test!$A$2:$I$32,4,FALSE),test!$J$10:$P$14,3,FALSE))/1440),1,0)</f>
        <v>0</v>
      </c>
      <c r="AG27" s="2">
        <f>IF(AND(VLOOKUP(AG$1,test!$A$3:$F$32,5,FALSE) - VLOOKUP($B27,test!$A$3:$G$32,6,FALSE) &gt;= (test!$B$33+VLOOKUP(VLOOKUP($B27,test!$A$2:$I$32,4,FALSE),test!$J$10:$P$14,3,FALSE))/1440),1,0)</f>
        <v>0</v>
      </c>
    </row>
    <row r="28" spans="1:33" x14ac:dyDescent="0.25">
      <c r="A28" t="s">
        <v>48</v>
      </c>
      <c r="B28" t="s">
        <v>37</v>
      </c>
      <c r="C28">
        <v>0</v>
      </c>
      <c r="D28" s="2">
        <f>IF(AND(VLOOKUP(D$1,test!$A$3:$F$32,5,FALSE) - VLOOKUP($B28,test!$A$3:$G$32,6,FALSE) &gt;= (test!$B$33+VLOOKUP(VLOOKUP($B28,test!$A$2:$I$32,4,FALSE),test!$J$10:$P$14,3,FALSE))/1440),1,0)</f>
        <v>0</v>
      </c>
      <c r="E28" s="2">
        <f>IF(AND(VLOOKUP(E$1,test!$A$3:$F$32,5,FALSE) - VLOOKUP($B28,test!$A$3:$G$32,6,FALSE) &gt;= (test!$B$33+VLOOKUP(VLOOKUP($B28,test!$A$2:$I$32,4,FALSE),test!$J$10:$P$14,3,FALSE))/1440),1,0)</f>
        <v>0</v>
      </c>
      <c r="F28" s="2">
        <f>IF(AND(VLOOKUP(F$1,test!$A$3:$F$32,5,FALSE) - VLOOKUP($B28,test!$A$3:$G$32,6,FALSE) &gt;= (test!$B$33+VLOOKUP(VLOOKUP($B28,test!$A$2:$I$32,4,FALSE),test!$J$10:$P$14,3,FALSE))/1440),1,0)</f>
        <v>0</v>
      </c>
      <c r="G28" s="2">
        <f>IF(AND(VLOOKUP(G$1,test!$A$3:$F$32,5,FALSE) - VLOOKUP($B28,test!$A$3:$G$32,6,FALSE) &gt;= (test!$B$33+VLOOKUP(VLOOKUP($B28,test!$A$2:$I$32,4,FALSE),test!$J$10:$P$14,3,FALSE))/1440),1,0)</f>
        <v>0</v>
      </c>
      <c r="H28" s="2">
        <f>IF(AND(VLOOKUP(H$1,test!$A$3:$F$32,5,FALSE) - VLOOKUP($B28,test!$A$3:$G$32,6,FALSE) &gt;= (test!$B$33+VLOOKUP(VLOOKUP($B28,test!$A$2:$I$32,4,FALSE),test!$J$10:$P$14,3,FALSE))/1440),1,0)</f>
        <v>0</v>
      </c>
      <c r="I28" s="2">
        <f>IF(AND(VLOOKUP(I$1,test!$A$3:$F$32,5,FALSE) - VLOOKUP($B28,test!$A$3:$G$32,6,FALSE) &gt;= (test!$B$33+VLOOKUP(VLOOKUP($B28,test!$A$2:$I$32,4,FALSE),test!$J$10:$P$14,3,FALSE))/1440),1,0)</f>
        <v>0</v>
      </c>
      <c r="J28" s="2">
        <f>IF(AND(VLOOKUP(J$1,test!$A$3:$F$32,5,FALSE) - VLOOKUP($B28,test!$A$3:$G$32,6,FALSE) &gt;= (test!$B$33+VLOOKUP(VLOOKUP($B28,test!$A$2:$I$32,4,FALSE),test!$J$10:$P$14,3,FALSE))/1440),1,0)</f>
        <v>0</v>
      </c>
      <c r="K28" s="2">
        <f>IF(AND(VLOOKUP(K$1,test!$A$3:$F$32,5,FALSE) - VLOOKUP($B28,test!$A$3:$G$32,6,FALSE) &gt;= (test!$B$33+VLOOKUP(VLOOKUP($B28,test!$A$2:$I$32,4,FALSE),test!$J$10:$P$14,3,FALSE))/1440),1,0)</f>
        <v>1</v>
      </c>
      <c r="L28" s="2">
        <f>IF(AND(VLOOKUP(L$1,test!$A$3:$F$32,5,FALSE) - VLOOKUP($B28,test!$A$3:$G$32,6,FALSE) &gt;= (test!$B$33+VLOOKUP(VLOOKUP($B28,test!$A$2:$I$32,4,FALSE),test!$J$10:$P$14,3,FALSE))/1440),1,0)</f>
        <v>0</v>
      </c>
      <c r="M28" s="2">
        <f>IF(AND(VLOOKUP(M$1,test!$A$3:$F$32,5,FALSE) - VLOOKUP($B28,test!$A$3:$G$32,6,FALSE) &gt;= (test!$B$33+VLOOKUP(VLOOKUP($B28,test!$A$2:$I$32,4,FALSE),test!$J$10:$P$14,3,FALSE))/1440),1,0)</f>
        <v>0</v>
      </c>
      <c r="N28" s="2">
        <f>IF(AND(VLOOKUP(N$1,test!$A$3:$F$32,5,FALSE) - VLOOKUP($B28,test!$A$3:$G$32,6,FALSE) &gt;= (test!$B$33+VLOOKUP(VLOOKUP($B28,test!$A$2:$I$32,4,FALSE),test!$J$10:$P$14,3,FALSE))/1440),1,0)</f>
        <v>0</v>
      </c>
      <c r="O28" s="2">
        <f>IF(AND(VLOOKUP(O$1,test!$A$3:$F$32,5,FALSE) - VLOOKUP($B28,test!$A$3:$G$32,6,FALSE) &gt;= (test!$B$33+VLOOKUP(VLOOKUP($B28,test!$A$2:$I$32,4,FALSE),test!$J$10:$P$14,3,FALSE))/1440),1,0)</f>
        <v>1</v>
      </c>
      <c r="P28" s="2">
        <f>IF(AND(VLOOKUP(P$1,test!$A$3:$F$32,5,FALSE) - VLOOKUP($B28,test!$A$3:$G$32,6,FALSE) &gt;= (test!$B$33+VLOOKUP(VLOOKUP($B28,test!$A$2:$I$32,4,FALSE),test!$J$10:$P$14,3,FALSE))/1440),1,0)</f>
        <v>1</v>
      </c>
      <c r="Q28" s="2">
        <f>IF(AND(VLOOKUP(Q$1,test!$A$3:$F$32,5,FALSE) - VLOOKUP($B28,test!$A$3:$G$32,6,FALSE) &gt;= (test!$B$33+VLOOKUP(VLOOKUP($B28,test!$A$2:$I$32,4,FALSE),test!$J$10:$P$14,3,FALSE))/1440),1,0)</f>
        <v>0</v>
      </c>
      <c r="R28" s="2">
        <f>IF(AND(VLOOKUP(R$1,test!$A$3:$F$32,5,FALSE) - VLOOKUP($B28,test!$A$3:$G$32,6,FALSE) &gt;= (test!$B$33+VLOOKUP(VLOOKUP($B28,test!$A$2:$I$32,4,FALSE),test!$J$10:$P$14,3,FALSE))/1440),1,0)</f>
        <v>0</v>
      </c>
      <c r="S28" s="2">
        <f>IF(AND(VLOOKUP(S$1,test!$A$3:$F$32,5,FALSE) - VLOOKUP($B28,test!$A$3:$G$32,6,FALSE) &gt;= (test!$B$33+VLOOKUP(VLOOKUP($B28,test!$A$2:$I$32,4,FALSE),test!$J$10:$P$14,3,FALSE))/1440),1,0)</f>
        <v>0</v>
      </c>
      <c r="T28" s="2">
        <f>IF(AND(VLOOKUP(T$1,test!$A$3:$F$32,5,FALSE) - VLOOKUP($B28,test!$A$3:$G$32,6,FALSE) &gt;= (test!$B$33+VLOOKUP(VLOOKUP($B28,test!$A$2:$I$32,4,FALSE),test!$J$10:$P$14,3,FALSE))/1440),1,0)</f>
        <v>0</v>
      </c>
      <c r="U28" s="2">
        <f>IF(AND(VLOOKUP(U$1,test!$A$3:$F$32,5,FALSE) - VLOOKUP($B28,test!$A$3:$G$32,6,FALSE) &gt;= (test!$B$33+VLOOKUP(VLOOKUP($B28,test!$A$2:$I$32,4,FALSE),test!$J$10:$P$14,3,FALSE))/1440),1,0)</f>
        <v>0</v>
      </c>
      <c r="V28" s="2">
        <f>IF(AND(VLOOKUP(V$1,test!$A$3:$F$32,5,FALSE) - VLOOKUP($B28,test!$A$3:$G$32,6,FALSE) &gt;= (test!$B$33+VLOOKUP(VLOOKUP($B28,test!$A$2:$I$32,4,FALSE),test!$J$10:$P$14,3,FALSE))/1440),1,0)</f>
        <v>0</v>
      </c>
      <c r="W28" s="2">
        <f>IF(AND(VLOOKUP(W$1,test!$A$3:$F$32,5,FALSE) - VLOOKUP($B28,test!$A$3:$G$32,6,FALSE) &gt;= (test!$B$33+VLOOKUP(VLOOKUP($B28,test!$A$2:$I$32,4,FALSE),test!$J$10:$P$14,3,FALSE))/1440),1,0)</f>
        <v>0</v>
      </c>
      <c r="X28" s="2">
        <f>IF(AND(VLOOKUP(X$1,test!$A$3:$F$32,5,FALSE) - VLOOKUP($B28,test!$A$3:$G$32,6,FALSE) &gt;= (test!$B$33+VLOOKUP(VLOOKUP($B28,test!$A$2:$I$32,4,FALSE),test!$J$10:$P$14,3,FALSE))/1440),1,0)</f>
        <v>0</v>
      </c>
      <c r="Y28" s="2">
        <f>IF(AND(VLOOKUP(Y$1,test!$A$3:$F$32,5,FALSE) - VLOOKUP($B28,test!$A$3:$G$32,6,FALSE) &gt;= (test!$B$33+VLOOKUP(VLOOKUP($B28,test!$A$2:$I$32,4,FALSE),test!$J$10:$P$14,3,FALSE))/1440),1,0)</f>
        <v>0</v>
      </c>
      <c r="Z28" s="2">
        <f>IF(AND(VLOOKUP(Z$1,test!$A$3:$F$32,5,FALSE) - VLOOKUP($B28,test!$A$3:$G$32,6,FALSE) &gt;= (test!$B$33+VLOOKUP(VLOOKUP($B28,test!$A$2:$I$32,4,FALSE),test!$J$10:$P$14,3,FALSE))/1440),1,0)</f>
        <v>0</v>
      </c>
      <c r="AA28" s="2">
        <f>IF(AND(VLOOKUP(AA$1,test!$A$3:$F$32,5,FALSE) - VLOOKUP($B28,test!$A$3:$G$32,6,FALSE) &gt;= (test!$B$33+VLOOKUP(VLOOKUP($B28,test!$A$2:$I$32,4,FALSE),test!$J$10:$P$14,3,FALSE))/1440),1,0)</f>
        <v>0</v>
      </c>
      <c r="AB28" s="2">
        <f>IF(AND(VLOOKUP(AB$1,test!$A$3:$F$32,5,FALSE) - VLOOKUP($B28,test!$A$3:$G$32,6,FALSE) &gt;= (test!$B$33+VLOOKUP(VLOOKUP($B28,test!$A$2:$I$32,4,FALSE),test!$J$10:$P$14,3,FALSE))/1440),1,0)</f>
        <v>0</v>
      </c>
      <c r="AC28" s="2">
        <f>IF(AND(VLOOKUP(AC$1,test!$A$3:$F$32,5,FALSE) - VLOOKUP($B28,test!$A$3:$G$32,6,FALSE) &gt;= (test!$B$33+VLOOKUP(VLOOKUP($B28,test!$A$2:$I$32,4,FALSE),test!$J$10:$P$14,3,FALSE))/1440),1,0)</f>
        <v>0</v>
      </c>
      <c r="AD28" s="2">
        <f>IF(AND(VLOOKUP(AD$1,test!$A$3:$F$32,5,FALSE) - VLOOKUP($B28,test!$A$3:$G$32,6,FALSE) &gt;= (test!$B$33+VLOOKUP(VLOOKUP($B28,test!$A$2:$I$32,4,FALSE),test!$J$10:$P$14,3,FALSE))/1440),1,0)</f>
        <v>0</v>
      </c>
      <c r="AE28" s="2">
        <f>IF(AND(VLOOKUP(AE$1,test!$A$3:$F$32,5,FALSE) - VLOOKUP($B28,test!$A$3:$G$32,6,FALSE) &gt;= (test!$B$33+VLOOKUP(VLOOKUP($B28,test!$A$2:$I$32,4,FALSE),test!$J$10:$P$14,3,FALSE))/1440),1,0)</f>
        <v>0</v>
      </c>
      <c r="AF28" s="2">
        <f>IF(AND(VLOOKUP(AF$1,test!$A$3:$F$32,5,FALSE) - VLOOKUP($B28,test!$A$3:$G$32,6,FALSE) &gt;= (test!$B$33+VLOOKUP(VLOOKUP($B28,test!$A$2:$I$32,4,FALSE),test!$J$10:$P$14,3,FALSE))/1440),1,0)</f>
        <v>0</v>
      </c>
      <c r="AG28" s="2">
        <f>IF(AND(VLOOKUP(AG$1,test!$A$3:$F$32,5,FALSE) - VLOOKUP($B28,test!$A$3:$G$32,6,FALSE) &gt;= (test!$B$33+VLOOKUP(VLOOKUP($B28,test!$A$2:$I$32,4,FALSE),test!$J$10:$P$14,3,FALSE))/1440),1,0)</f>
        <v>0</v>
      </c>
    </row>
    <row r="29" spans="1:33" x14ac:dyDescent="0.25">
      <c r="A29" t="s">
        <v>48</v>
      </c>
      <c r="B29" t="s">
        <v>38</v>
      </c>
      <c r="C29">
        <v>0</v>
      </c>
      <c r="D29" s="2">
        <f>IF(AND(VLOOKUP(D$1,test!$A$3:$F$32,5,FALSE) - VLOOKUP($B29,test!$A$3:$G$32,6,FALSE) &gt;= (test!$B$33+VLOOKUP(VLOOKUP($B29,test!$A$2:$I$32,4,FALSE),test!$J$10:$P$14,3,FALSE))/1440),1,0)</f>
        <v>0</v>
      </c>
      <c r="E29" s="2">
        <f>IF(AND(VLOOKUP(E$1,test!$A$3:$F$32,5,FALSE) - VLOOKUP($B29,test!$A$3:$G$32,6,FALSE) &gt;= (test!$B$33+VLOOKUP(VLOOKUP($B29,test!$A$2:$I$32,4,FALSE),test!$J$10:$P$14,3,FALSE))/1440),1,0)</f>
        <v>0</v>
      </c>
      <c r="F29" s="2">
        <f>IF(AND(VLOOKUP(F$1,test!$A$3:$F$32,5,FALSE) - VLOOKUP($B29,test!$A$3:$G$32,6,FALSE) &gt;= (test!$B$33+VLOOKUP(VLOOKUP($B29,test!$A$2:$I$32,4,FALSE),test!$J$10:$P$14,3,FALSE))/1440),1,0)</f>
        <v>0</v>
      </c>
      <c r="G29" s="2">
        <f>IF(AND(VLOOKUP(G$1,test!$A$3:$F$32,5,FALSE) - VLOOKUP($B29,test!$A$3:$G$32,6,FALSE) &gt;= (test!$B$33+VLOOKUP(VLOOKUP($B29,test!$A$2:$I$32,4,FALSE),test!$J$10:$P$14,3,FALSE))/1440),1,0)</f>
        <v>0</v>
      </c>
      <c r="H29" s="2">
        <f>IF(AND(VLOOKUP(H$1,test!$A$3:$F$32,5,FALSE) - VLOOKUP($B29,test!$A$3:$G$32,6,FALSE) &gt;= (test!$B$33+VLOOKUP(VLOOKUP($B29,test!$A$2:$I$32,4,FALSE),test!$J$10:$P$14,3,FALSE))/1440),1,0)</f>
        <v>0</v>
      </c>
      <c r="I29" s="2">
        <f>IF(AND(VLOOKUP(I$1,test!$A$3:$F$32,5,FALSE) - VLOOKUP($B29,test!$A$3:$G$32,6,FALSE) &gt;= (test!$B$33+VLOOKUP(VLOOKUP($B29,test!$A$2:$I$32,4,FALSE),test!$J$10:$P$14,3,FALSE))/1440),1,0)</f>
        <v>0</v>
      </c>
      <c r="J29" s="2">
        <f>IF(AND(VLOOKUP(J$1,test!$A$3:$F$32,5,FALSE) - VLOOKUP($B29,test!$A$3:$G$32,6,FALSE) &gt;= (test!$B$33+VLOOKUP(VLOOKUP($B29,test!$A$2:$I$32,4,FALSE),test!$J$10:$P$14,3,FALSE))/1440),1,0)</f>
        <v>0</v>
      </c>
      <c r="K29" s="2">
        <f>IF(AND(VLOOKUP(K$1,test!$A$3:$F$32,5,FALSE) - VLOOKUP($B29,test!$A$3:$G$32,6,FALSE) &gt;= (test!$B$33+VLOOKUP(VLOOKUP($B29,test!$A$2:$I$32,4,FALSE),test!$J$10:$P$14,3,FALSE))/1440),1,0)</f>
        <v>0</v>
      </c>
      <c r="L29" s="2">
        <f>IF(AND(VLOOKUP(L$1,test!$A$3:$F$32,5,FALSE) - VLOOKUP($B29,test!$A$3:$G$32,6,FALSE) &gt;= (test!$B$33+VLOOKUP(VLOOKUP($B29,test!$A$2:$I$32,4,FALSE),test!$J$10:$P$14,3,FALSE))/1440),1,0)</f>
        <v>0</v>
      </c>
      <c r="M29" s="2">
        <f>IF(AND(VLOOKUP(M$1,test!$A$3:$F$32,5,FALSE) - VLOOKUP($B29,test!$A$3:$G$32,6,FALSE) &gt;= (test!$B$33+VLOOKUP(VLOOKUP($B29,test!$A$2:$I$32,4,FALSE),test!$J$10:$P$14,3,FALSE))/1440),1,0)</f>
        <v>0</v>
      </c>
      <c r="N29" s="2">
        <f>IF(AND(VLOOKUP(N$1,test!$A$3:$F$32,5,FALSE) - VLOOKUP($B29,test!$A$3:$G$32,6,FALSE) &gt;= (test!$B$33+VLOOKUP(VLOOKUP($B29,test!$A$2:$I$32,4,FALSE),test!$J$10:$P$14,3,FALSE))/1440),1,0)</f>
        <v>0</v>
      </c>
      <c r="O29" s="2">
        <f>IF(AND(VLOOKUP(O$1,test!$A$3:$F$32,5,FALSE) - VLOOKUP($B29,test!$A$3:$G$32,6,FALSE) &gt;= (test!$B$33+VLOOKUP(VLOOKUP($B29,test!$A$2:$I$32,4,FALSE),test!$J$10:$P$14,3,FALSE))/1440),1,0)</f>
        <v>0</v>
      </c>
      <c r="P29" s="2">
        <f>IF(AND(VLOOKUP(P$1,test!$A$3:$F$32,5,FALSE) - VLOOKUP($B29,test!$A$3:$G$32,6,FALSE) &gt;= (test!$B$33+VLOOKUP(VLOOKUP($B29,test!$A$2:$I$32,4,FALSE),test!$J$10:$P$14,3,FALSE))/1440),1,0)</f>
        <v>0</v>
      </c>
      <c r="Q29" s="2">
        <f>IF(AND(VLOOKUP(Q$1,test!$A$3:$F$32,5,FALSE) - VLOOKUP($B29,test!$A$3:$G$32,6,FALSE) &gt;= (test!$B$33+VLOOKUP(VLOOKUP($B29,test!$A$2:$I$32,4,FALSE),test!$J$10:$P$14,3,FALSE))/1440),1,0)</f>
        <v>0</v>
      </c>
      <c r="R29" s="2">
        <f>IF(AND(VLOOKUP(R$1,test!$A$3:$F$32,5,FALSE) - VLOOKUP($B29,test!$A$3:$G$32,6,FALSE) &gt;= (test!$B$33+VLOOKUP(VLOOKUP($B29,test!$A$2:$I$32,4,FALSE),test!$J$10:$P$14,3,FALSE))/1440),1,0)</f>
        <v>0</v>
      </c>
      <c r="S29" s="2">
        <f>IF(AND(VLOOKUP(S$1,test!$A$3:$F$32,5,FALSE) - VLOOKUP($B29,test!$A$3:$G$32,6,FALSE) &gt;= (test!$B$33+VLOOKUP(VLOOKUP($B29,test!$A$2:$I$32,4,FALSE),test!$J$10:$P$14,3,FALSE))/1440),1,0)</f>
        <v>0</v>
      </c>
      <c r="T29" s="2">
        <f>IF(AND(VLOOKUP(T$1,test!$A$3:$F$32,5,FALSE) - VLOOKUP($B29,test!$A$3:$G$32,6,FALSE) &gt;= (test!$B$33+VLOOKUP(VLOOKUP($B29,test!$A$2:$I$32,4,FALSE),test!$J$10:$P$14,3,FALSE))/1440),1,0)</f>
        <v>0</v>
      </c>
      <c r="U29" s="2">
        <f>IF(AND(VLOOKUP(U$1,test!$A$3:$F$32,5,FALSE) - VLOOKUP($B29,test!$A$3:$G$32,6,FALSE) &gt;= (test!$B$33+VLOOKUP(VLOOKUP($B29,test!$A$2:$I$32,4,FALSE),test!$J$10:$P$14,3,FALSE))/1440),1,0)</f>
        <v>0</v>
      </c>
      <c r="V29" s="2">
        <f>IF(AND(VLOOKUP(V$1,test!$A$3:$F$32,5,FALSE) - VLOOKUP($B29,test!$A$3:$G$32,6,FALSE) &gt;= (test!$B$33+VLOOKUP(VLOOKUP($B29,test!$A$2:$I$32,4,FALSE),test!$J$10:$P$14,3,FALSE))/1440),1,0)</f>
        <v>0</v>
      </c>
      <c r="W29" s="2">
        <f>IF(AND(VLOOKUP(W$1,test!$A$3:$F$32,5,FALSE) - VLOOKUP($B29,test!$A$3:$G$32,6,FALSE) &gt;= (test!$B$33+VLOOKUP(VLOOKUP($B29,test!$A$2:$I$32,4,FALSE),test!$J$10:$P$14,3,FALSE))/1440),1,0)</f>
        <v>0</v>
      </c>
      <c r="X29" s="2">
        <f>IF(AND(VLOOKUP(X$1,test!$A$3:$F$32,5,FALSE) - VLOOKUP($B29,test!$A$3:$G$32,6,FALSE) &gt;= (test!$B$33+VLOOKUP(VLOOKUP($B29,test!$A$2:$I$32,4,FALSE),test!$J$10:$P$14,3,FALSE))/1440),1,0)</f>
        <v>0</v>
      </c>
      <c r="Y29" s="2">
        <f>IF(AND(VLOOKUP(Y$1,test!$A$3:$F$32,5,FALSE) - VLOOKUP($B29,test!$A$3:$G$32,6,FALSE) &gt;= (test!$B$33+VLOOKUP(VLOOKUP($B29,test!$A$2:$I$32,4,FALSE),test!$J$10:$P$14,3,FALSE))/1440),1,0)</f>
        <v>0</v>
      </c>
      <c r="Z29" s="2">
        <f>IF(AND(VLOOKUP(Z$1,test!$A$3:$F$32,5,FALSE) - VLOOKUP($B29,test!$A$3:$G$32,6,FALSE) &gt;= (test!$B$33+VLOOKUP(VLOOKUP($B29,test!$A$2:$I$32,4,FALSE),test!$J$10:$P$14,3,FALSE))/1440),1,0)</f>
        <v>0</v>
      </c>
      <c r="AA29" s="2">
        <f>IF(AND(VLOOKUP(AA$1,test!$A$3:$F$32,5,FALSE) - VLOOKUP($B29,test!$A$3:$G$32,6,FALSE) &gt;= (test!$B$33+VLOOKUP(VLOOKUP($B29,test!$A$2:$I$32,4,FALSE),test!$J$10:$P$14,3,FALSE))/1440),1,0)</f>
        <v>0</v>
      </c>
      <c r="AB29" s="2">
        <f>IF(AND(VLOOKUP(AB$1,test!$A$3:$F$32,5,FALSE) - VLOOKUP($B29,test!$A$3:$G$32,6,FALSE) &gt;= (test!$B$33+VLOOKUP(VLOOKUP($B29,test!$A$2:$I$32,4,FALSE),test!$J$10:$P$14,3,FALSE))/1440),1,0)</f>
        <v>0</v>
      </c>
      <c r="AC29" s="2">
        <f>IF(AND(VLOOKUP(AC$1,test!$A$3:$F$32,5,FALSE) - VLOOKUP($B29,test!$A$3:$G$32,6,FALSE) &gt;= (test!$B$33+VLOOKUP(VLOOKUP($B29,test!$A$2:$I$32,4,FALSE),test!$J$10:$P$14,3,FALSE))/1440),1,0)</f>
        <v>0</v>
      </c>
      <c r="AD29" s="2">
        <f>IF(AND(VLOOKUP(AD$1,test!$A$3:$F$32,5,FALSE) - VLOOKUP($B29,test!$A$3:$G$32,6,FALSE) &gt;= (test!$B$33+VLOOKUP(VLOOKUP($B29,test!$A$2:$I$32,4,FALSE),test!$J$10:$P$14,3,FALSE))/1440),1,0)</f>
        <v>0</v>
      </c>
      <c r="AE29" s="2">
        <f>IF(AND(VLOOKUP(AE$1,test!$A$3:$F$32,5,FALSE) - VLOOKUP($B29,test!$A$3:$G$32,6,FALSE) &gt;= (test!$B$33+VLOOKUP(VLOOKUP($B29,test!$A$2:$I$32,4,FALSE),test!$J$10:$P$14,3,FALSE))/1440),1,0)</f>
        <v>0</v>
      </c>
      <c r="AF29" s="2">
        <f>IF(AND(VLOOKUP(AF$1,test!$A$3:$F$32,5,FALSE) - VLOOKUP($B29,test!$A$3:$G$32,6,FALSE) &gt;= (test!$B$33+VLOOKUP(VLOOKUP($B29,test!$A$2:$I$32,4,FALSE),test!$J$10:$P$14,3,FALSE))/1440),1,0)</f>
        <v>0</v>
      </c>
      <c r="AG29" s="2">
        <f>IF(AND(VLOOKUP(AG$1,test!$A$3:$F$32,5,FALSE) - VLOOKUP($B29,test!$A$3:$G$32,6,FALSE) &gt;= (test!$B$33+VLOOKUP(VLOOKUP($B29,test!$A$2:$I$32,4,FALSE),test!$J$10:$P$14,3,FALSE))/1440),1,0)</f>
        <v>0</v>
      </c>
    </row>
    <row r="30" spans="1:33" x14ac:dyDescent="0.25">
      <c r="A30" t="s">
        <v>48</v>
      </c>
      <c r="B30" t="s">
        <v>39</v>
      </c>
      <c r="C30">
        <v>0</v>
      </c>
      <c r="D30" s="2">
        <f>IF(AND(VLOOKUP(D$1,test!$A$3:$F$32,5,FALSE) - VLOOKUP($B30,test!$A$3:$G$32,6,FALSE) &gt;= (test!$B$33+VLOOKUP(VLOOKUP($B30,test!$A$2:$I$32,4,FALSE),test!$J$10:$P$14,3,FALSE))/1440),1,0)</f>
        <v>0</v>
      </c>
      <c r="E30" s="2">
        <f>IF(AND(VLOOKUP(E$1,test!$A$3:$F$32,5,FALSE) - VLOOKUP($B30,test!$A$3:$G$32,6,FALSE) &gt;= (test!$B$33+VLOOKUP(VLOOKUP($B30,test!$A$2:$I$32,4,FALSE),test!$J$10:$P$14,3,FALSE))/1440),1,0)</f>
        <v>0</v>
      </c>
      <c r="F30" s="2">
        <f>IF(AND(VLOOKUP(F$1,test!$A$3:$F$32,5,FALSE) - VLOOKUP($B30,test!$A$3:$G$32,6,FALSE) &gt;= (test!$B$33+VLOOKUP(VLOOKUP($B30,test!$A$2:$I$32,4,FALSE),test!$J$10:$P$14,3,FALSE))/1440),1,0)</f>
        <v>1</v>
      </c>
      <c r="G30" s="2">
        <f>IF(AND(VLOOKUP(G$1,test!$A$3:$F$32,5,FALSE) - VLOOKUP($B30,test!$A$3:$G$32,6,FALSE) &gt;= (test!$B$33+VLOOKUP(VLOOKUP($B30,test!$A$2:$I$32,4,FALSE),test!$J$10:$P$14,3,FALSE))/1440),1,0)</f>
        <v>1</v>
      </c>
      <c r="H30" s="2">
        <f>IF(AND(VLOOKUP(H$1,test!$A$3:$F$32,5,FALSE) - VLOOKUP($B30,test!$A$3:$G$32,6,FALSE) &gt;= (test!$B$33+VLOOKUP(VLOOKUP($B30,test!$A$2:$I$32,4,FALSE),test!$J$10:$P$14,3,FALSE))/1440),1,0)</f>
        <v>1</v>
      </c>
      <c r="I30" s="2">
        <f>IF(AND(VLOOKUP(I$1,test!$A$3:$F$32,5,FALSE) - VLOOKUP($B30,test!$A$3:$G$32,6,FALSE) &gt;= (test!$B$33+VLOOKUP(VLOOKUP($B30,test!$A$2:$I$32,4,FALSE),test!$J$10:$P$14,3,FALSE))/1440),1,0)</f>
        <v>1</v>
      </c>
      <c r="J30" s="2">
        <f>IF(AND(VLOOKUP(J$1,test!$A$3:$F$32,5,FALSE) - VLOOKUP($B30,test!$A$3:$G$32,6,FALSE) &gt;= (test!$B$33+VLOOKUP(VLOOKUP($B30,test!$A$2:$I$32,4,FALSE),test!$J$10:$P$14,3,FALSE))/1440),1,0)</f>
        <v>1</v>
      </c>
      <c r="K30" s="2">
        <f>IF(AND(VLOOKUP(K$1,test!$A$3:$F$32,5,FALSE) - VLOOKUP($B30,test!$A$3:$G$32,6,FALSE) &gt;= (test!$B$33+VLOOKUP(VLOOKUP($B30,test!$A$2:$I$32,4,FALSE),test!$J$10:$P$14,3,FALSE))/1440),1,0)</f>
        <v>1</v>
      </c>
      <c r="L30" s="2">
        <f>IF(AND(VLOOKUP(L$1,test!$A$3:$F$32,5,FALSE) - VLOOKUP($B30,test!$A$3:$G$32,6,FALSE) &gt;= (test!$B$33+VLOOKUP(VLOOKUP($B30,test!$A$2:$I$32,4,FALSE),test!$J$10:$P$14,3,FALSE))/1440),1,0)</f>
        <v>0</v>
      </c>
      <c r="M30" s="2">
        <f>IF(AND(VLOOKUP(M$1,test!$A$3:$F$32,5,FALSE) - VLOOKUP($B30,test!$A$3:$G$32,6,FALSE) &gt;= (test!$B$33+VLOOKUP(VLOOKUP($B30,test!$A$2:$I$32,4,FALSE),test!$J$10:$P$14,3,FALSE))/1440),1,0)</f>
        <v>0</v>
      </c>
      <c r="N30" s="2">
        <f>IF(AND(VLOOKUP(N$1,test!$A$3:$F$32,5,FALSE) - VLOOKUP($B30,test!$A$3:$G$32,6,FALSE) &gt;= (test!$B$33+VLOOKUP(VLOOKUP($B30,test!$A$2:$I$32,4,FALSE),test!$J$10:$P$14,3,FALSE))/1440),1,0)</f>
        <v>0</v>
      </c>
      <c r="O30" s="2">
        <f>IF(AND(VLOOKUP(O$1,test!$A$3:$F$32,5,FALSE) - VLOOKUP($B30,test!$A$3:$G$32,6,FALSE) &gt;= (test!$B$33+VLOOKUP(VLOOKUP($B30,test!$A$2:$I$32,4,FALSE),test!$J$10:$P$14,3,FALSE))/1440),1,0)</f>
        <v>1</v>
      </c>
      <c r="P30" s="2">
        <f>IF(AND(VLOOKUP(P$1,test!$A$3:$F$32,5,FALSE) - VLOOKUP($B30,test!$A$3:$G$32,6,FALSE) &gt;= (test!$B$33+VLOOKUP(VLOOKUP($B30,test!$A$2:$I$32,4,FALSE),test!$J$10:$P$14,3,FALSE))/1440),1,0)</f>
        <v>1</v>
      </c>
      <c r="Q30" s="2">
        <f>IF(AND(VLOOKUP(Q$1,test!$A$3:$F$32,5,FALSE) - VLOOKUP($B30,test!$A$3:$G$32,6,FALSE) &gt;= (test!$B$33+VLOOKUP(VLOOKUP($B30,test!$A$2:$I$32,4,FALSE),test!$J$10:$P$14,3,FALSE))/1440),1,0)</f>
        <v>0</v>
      </c>
      <c r="R30" s="2">
        <f>IF(AND(VLOOKUP(R$1,test!$A$3:$F$32,5,FALSE) - VLOOKUP($B30,test!$A$3:$G$32,6,FALSE) &gt;= (test!$B$33+VLOOKUP(VLOOKUP($B30,test!$A$2:$I$32,4,FALSE),test!$J$10:$P$14,3,FALSE))/1440),1,0)</f>
        <v>0</v>
      </c>
      <c r="S30" s="2">
        <f>IF(AND(VLOOKUP(S$1,test!$A$3:$F$32,5,FALSE) - VLOOKUP($B30,test!$A$3:$G$32,6,FALSE) &gt;= (test!$B$33+VLOOKUP(VLOOKUP($B30,test!$A$2:$I$32,4,FALSE),test!$J$10:$P$14,3,FALSE))/1440),1,0)</f>
        <v>0</v>
      </c>
      <c r="T30" s="2">
        <f>IF(AND(VLOOKUP(T$1,test!$A$3:$F$32,5,FALSE) - VLOOKUP($B30,test!$A$3:$G$32,6,FALSE) &gt;= (test!$B$33+VLOOKUP(VLOOKUP($B30,test!$A$2:$I$32,4,FALSE),test!$J$10:$P$14,3,FALSE))/1440),1,0)</f>
        <v>0</v>
      </c>
      <c r="U30" s="2">
        <f>IF(AND(VLOOKUP(U$1,test!$A$3:$F$32,5,FALSE) - VLOOKUP($B30,test!$A$3:$G$32,6,FALSE) &gt;= (test!$B$33+VLOOKUP(VLOOKUP($B30,test!$A$2:$I$32,4,FALSE),test!$J$10:$P$14,3,FALSE))/1440),1,0)</f>
        <v>1</v>
      </c>
      <c r="V30" s="2">
        <f>IF(AND(VLOOKUP(V$1,test!$A$3:$F$32,5,FALSE) - VLOOKUP($B30,test!$A$3:$G$32,6,FALSE) &gt;= (test!$B$33+VLOOKUP(VLOOKUP($B30,test!$A$2:$I$32,4,FALSE),test!$J$10:$P$14,3,FALSE))/1440),1,0)</f>
        <v>1</v>
      </c>
      <c r="W30" s="2">
        <f>IF(AND(VLOOKUP(W$1,test!$A$3:$F$32,5,FALSE) - VLOOKUP($B30,test!$A$3:$G$32,6,FALSE) &gt;= (test!$B$33+VLOOKUP(VLOOKUP($B30,test!$A$2:$I$32,4,FALSE),test!$J$10:$P$14,3,FALSE))/1440),1,0)</f>
        <v>1</v>
      </c>
      <c r="X30" s="2">
        <f>IF(AND(VLOOKUP(X$1,test!$A$3:$F$32,5,FALSE) - VLOOKUP($B30,test!$A$3:$G$32,6,FALSE) &gt;= (test!$B$33+VLOOKUP(VLOOKUP($B30,test!$A$2:$I$32,4,FALSE),test!$J$10:$P$14,3,FALSE))/1440),1,0)</f>
        <v>1</v>
      </c>
      <c r="Y30" s="2">
        <f>IF(AND(VLOOKUP(Y$1,test!$A$3:$F$32,5,FALSE) - VLOOKUP($B30,test!$A$3:$G$32,6,FALSE) &gt;= (test!$B$33+VLOOKUP(VLOOKUP($B30,test!$A$2:$I$32,4,FALSE),test!$J$10:$P$14,3,FALSE))/1440),1,0)</f>
        <v>1</v>
      </c>
      <c r="Z30" s="2">
        <f>IF(AND(VLOOKUP(Z$1,test!$A$3:$F$32,5,FALSE) - VLOOKUP($B30,test!$A$3:$G$32,6,FALSE) &gt;= (test!$B$33+VLOOKUP(VLOOKUP($B30,test!$A$2:$I$32,4,FALSE),test!$J$10:$P$14,3,FALSE))/1440),1,0)</f>
        <v>0</v>
      </c>
      <c r="AA30" s="2">
        <f>IF(AND(VLOOKUP(AA$1,test!$A$3:$F$32,5,FALSE) - VLOOKUP($B30,test!$A$3:$G$32,6,FALSE) &gt;= (test!$B$33+VLOOKUP(VLOOKUP($B30,test!$A$2:$I$32,4,FALSE),test!$J$10:$P$14,3,FALSE))/1440),1,0)</f>
        <v>0</v>
      </c>
      <c r="AB30" s="2">
        <f>IF(AND(VLOOKUP(AB$1,test!$A$3:$F$32,5,FALSE) - VLOOKUP($B30,test!$A$3:$G$32,6,FALSE) &gt;= (test!$B$33+VLOOKUP(VLOOKUP($B30,test!$A$2:$I$32,4,FALSE),test!$J$10:$P$14,3,FALSE))/1440),1,0)</f>
        <v>1</v>
      </c>
      <c r="AC30" s="2">
        <f>IF(AND(VLOOKUP(AC$1,test!$A$3:$F$32,5,FALSE) - VLOOKUP($B30,test!$A$3:$G$32,6,FALSE) &gt;= (test!$B$33+VLOOKUP(VLOOKUP($B30,test!$A$2:$I$32,4,FALSE),test!$J$10:$P$14,3,FALSE))/1440),1,0)</f>
        <v>1</v>
      </c>
      <c r="AD30" s="2">
        <f>IF(AND(VLOOKUP(AD$1,test!$A$3:$F$32,5,FALSE) - VLOOKUP($B30,test!$A$3:$G$32,6,FALSE) &gt;= (test!$B$33+VLOOKUP(VLOOKUP($B30,test!$A$2:$I$32,4,FALSE),test!$J$10:$P$14,3,FALSE))/1440),1,0)</f>
        <v>1</v>
      </c>
      <c r="AE30" s="2">
        <f>IF(AND(VLOOKUP(AE$1,test!$A$3:$F$32,5,FALSE) - VLOOKUP($B30,test!$A$3:$G$32,6,FALSE) &gt;= (test!$B$33+VLOOKUP(VLOOKUP($B30,test!$A$2:$I$32,4,FALSE),test!$J$10:$P$14,3,FALSE))/1440),1,0)</f>
        <v>0</v>
      </c>
      <c r="AF30" s="2">
        <f>IF(AND(VLOOKUP(AF$1,test!$A$3:$F$32,5,FALSE) - VLOOKUP($B30,test!$A$3:$G$32,6,FALSE) &gt;= (test!$B$33+VLOOKUP(VLOOKUP($B30,test!$A$2:$I$32,4,FALSE),test!$J$10:$P$14,3,FALSE))/1440),1,0)</f>
        <v>1</v>
      </c>
      <c r="AG30" s="2">
        <f>IF(AND(VLOOKUP(AG$1,test!$A$3:$F$32,5,FALSE) - VLOOKUP($B30,test!$A$3:$G$32,6,FALSE) &gt;= (test!$B$33+VLOOKUP(VLOOKUP($B30,test!$A$2:$I$32,4,FALSE),test!$J$10:$P$14,3,FALSE))/1440),1,0)</f>
        <v>1</v>
      </c>
    </row>
    <row r="31" spans="1:33" x14ac:dyDescent="0.25">
      <c r="A31" t="s">
        <v>48</v>
      </c>
      <c r="B31" t="s">
        <v>40</v>
      </c>
      <c r="C31">
        <v>0</v>
      </c>
      <c r="D31" s="2">
        <f>IF(AND(VLOOKUP(D$1,test!$A$3:$F$32,5,FALSE) - VLOOKUP($B31,test!$A$3:$G$32,6,FALSE) &gt;= (test!$B$33+VLOOKUP(VLOOKUP($B31,test!$A$2:$I$32,4,FALSE),test!$J$10:$P$14,3,FALSE))/1440),1,0)</f>
        <v>0</v>
      </c>
      <c r="E31" s="2">
        <f>IF(AND(VLOOKUP(E$1,test!$A$3:$F$32,5,FALSE) - VLOOKUP($B31,test!$A$3:$G$32,6,FALSE) &gt;= (test!$B$33+VLOOKUP(VLOOKUP($B31,test!$A$2:$I$32,4,FALSE),test!$J$10:$P$14,3,FALSE))/1440),1,0)</f>
        <v>0</v>
      </c>
      <c r="F31" s="2">
        <f>IF(AND(VLOOKUP(F$1,test!$A$3:$F$32,5,FALSE) - VLOOKUP($B31,test!$A$3:$G$32,6,FALSE) &gt;= (test!$B$33+VLOOKUP(VLOOKUP($B31,test!$A$2:$I$32,4,FALSE),test!$J$10:$P$14,3,FALSE))/1440),1,0)</f>
        <v>0</v>
      </c>
      <c r="G31" s="2">
        <f>IF(AND(VLOOKUP(G$1,test!$A$3:$F$32,5,FALSE) - VLOOKUP($B31,test!$A$3:$G$32,6,FALSE) &gt;= (test!$B$33+VLOOKUP(VLOOKUP($B31,test!$A$2:$I$32,4,FALSE),test!$J$10:$P$14,3,FALSE))/1440),1,0)</f>
        <v>0</v>
      </c>
      <c r="H31" s="2">
        <f>IF(AND(VLOOKUP(H$1,test!$A$3:$F$32,5,FALSE) - VLOOKUP($B31,test!$A$3:$G$32,6,FALSE) &gt;= (test!$B$33+VLOOKUP(VLOOKUP($B31,test!$A$2:$I$32,4,FALSE),test!$J$10:$P$14,3,FALSE))/1440),1,0)</f>
        <v>0</v>
      </c>
      <c r="I31" s="2">
        <f>IF(AND(VLOOKUP(I$1,test!$A$3:$F$32,5,FALSE) - VLOOKUP($B31,test!$A$3:$G$32,6,FALSE) &gt;= (test!$B$33+VLOOKUP(VLOOKUP($B31,test!$A$2:$I$32,4,FALSE),test!$J$10:$P$14,3,FALSE))/1440),1,0)</f>
        <v>0</v>
      </c>
      <c r="J31" s="2">
        <f>IF(AND(VLOOKUP(J$1,test!$A$3:$F$32,5,FALSE) - VLOOKUP($B31,test!$A$3:$G$32,6,FALSE) &gt;= (test!$B$33+VLOOKUP(VLOOKUP($B31,test!$A$2:$I$32,4,FALSE),test!$J$10:$P$14,3,FALSE))/1440),1,0)</f>
        <v>0</v>
      </c>
      <c r="K31" s="2">
        <f>IF(AND(VLOOKUP(K$1,test!$A$3:$F$32,5,FALSE) - VLOOKUP($B31,test!$A$3:$G$32,6,FALSE) &gt;= (test!$B$33+VLOOKUP(VLOOKUP($B31,test!$A$2:$I$32,4,FALSE),test!$J$10:$P$14,3,FALSE))/1440),1,0)</f>
        <v>1</v>
      </c>
      <c r="L31" s="2">
        <f>IF(AND(VLOOKUP(L$1,test!$A$3:$F$32,5,FALSE) - VLOOKUP($B31,test!$A$3:$G$32,6,FALSE) &gt;= (test!$B$33+VLOOKUP(VLOOKUP($B31,test!$A$2:$I$32,4,FALSE),test!$J$10:$P$14,3,FALSE))/1440),1,0)</f>
        <v>0</v>
      </c>
      <c r="M31" s="2">
        <f>IF(AND(VLOOKUP(M$1,test!$A$3:$F$32,5,FALSE) - VLOOKUP($B31,test!$A$3:$G$32,6,FALSE) &gt;= (test!$B$33+VLOOKUP(VLOOKUP($B31,test!$A$2:$I$32,4,FALSE),test!$J$10:$P$14,3,FALSE))/1440),1,0)</f>
        <v>0</v>
      </c>
      <c r="N31" s="2">
        <f>IF(AND(VLOOKUP(N$1,test!$A$3:$F$32,5,FALSE) - VLOOKUP($B31,test!$A$3:$G$32,6,FALSE) &gt;= (test!$B$33+VLOOKUP(VLOOKUP($B31,test!$A$2:$I$32,4,FALSE),test!$J$10:$P$14,3,FALSE))/1440),1,0)</f>
        <v>0</v>
      </c>
      <c r="O31" s="2">
        <f>IF(AND(VLOOKUP(O$1,test!$A$3:$F$32,5,FALSE) - VLOOKUP($B31,test!$A$3:$G$32,6,FALSE) &gt;= (test!$B$33+VLOOKUP(VLOOKUP($B31,test!$A$2:$I$32,4,FALSE),test!$J$10:$P$14,3,FALSE))/1440),1,0)</f>
        <v>1</v>
      </c>
      <c r="P31" s="2">
        <f>IF(AND(VLOOKUP(P$1,test!$A$3:$F$32,5,FALSE) - VLOOKUP($B31,test!$A$3:$G$32,6,FALSE) &gt;= (test!$B$33+VLOOKUP(VLOOKUP($B31,test!$A$2:$I$32,4,FALSE),test!$J$10:$P$14,3,FALSE))/1440),1,0)</f>
        <v>1</v>
      </c>
      <c r="Q31" s="2">
        <f>IF(AND(VLOOKUP(Q$1,test!$A$3:$F$32,5,FALSE) - VLOOKUP($B31,test!$A$3:$G$32,6,FALSE) &gt;= (test!$B$33+VLOOKUP(VLOOKUP($B31,test!$A$2:$I$32,4,FALSE),test!$J$10:$P$14,3,FALSE))/1440),1,0)</f>
        <v>0</v>
      </c>
      <c r="R31" s="2">
        <f>IF(AND(VLOOKUP(R$1,test!$A$3:$F$32,5,FALSE) - VLOOKUP($B31,test!$A$3:$G$32,6,FALSE) &gt;= (test!$B$33+VLOOKUP(VLOOKUP($B31,test!$A$2:$I$32,4,FALSE),test!$J$10:$P$14,3,FALSE))/1440),1,0)</f>
        <v>0</v>
      </c>
      <c r="S31" s="2">
        <f>IF(AND(VLOOKUP(S$1,test!$A$3:$F$32,5,FALSE) - VLOOKUP($B31,test!$A$3:$G$32,6,FALSE) &gt;= (test!$B$33+VLOOKUP(VLOOKUP($B31,test!$A$2:$I$32,4,FALSE),test!$J$10:$P$14,3,FALSE))/1440),1,0)</f>
        <v>0</v>
      </c>
      <c r="T31" s="2">
        <f>IF(AND(VLOOKUP(T$1,test!$A$3:$F$32,5,FALSE) - VLOOKUP($B31,test!$A$3:$G$32,6,FALSE) &gt;= (test!$B$33+VLOOKUP(VLOOKUP($B31,test!$A$2:$I$32,4,FALSE),test!$J$10:$P$14,3,FALSE))/1440),1,0)</f>
        <v>0</v>
      </c>
      <c r="U31" s="2">
        <f>IF(AND(VLOOKUP(U$1,test!$A$3:$F$32,5,FALSE) - VLOOKUP($B31,test!$A$3:$G$32,6,FALSE) &gt;= (test!$B$33+VLOOKUP(VLOOKUP($B31,test!$A$2:$I$32,4,FALSE),test!$J$10:$P$14,3,FALSE))/1440),1,0)</f>
        <v>0</v>
      </c>
      <c r="V31" s="2">
        <f>IF(AND(VLOOKUP(V$1,test!$A$3:$F$32,5,FALSE) - VLOOKUP($B31,test!$A$3:$G$32,6,FALSE) &gt;= (test!$B$33+VLOOKUP(VLOOKUP($B31,test!$A$2:$I$32,4,FALSE),test!$J$10:$P$14,3,FALSE))/1440),1,0)</f>
        <v>0</v>
      </c>
      <c r="W31" s="2">
        <f>IF(AND(VLOOKUP(W$1,test!$A$3:$F$32,5,FALSE) - VLOOKUP($B31,test!$A$3:$G$32,6,FALSE) &gt;= (test!$B$33+VLOOKUP(VLOOKUP($B31,test!$A$2:$I$32,4,FALSE),test!$J$10:$P$14,3,FALSE))/1440),1,0)</f>
        <v>0</v>
      </c>
      <c r="X31" s="2">
        <f>IF(AND(VLOOKUP(X$1,test!$A$3:$F$32,5,FALSE) - VLOOKUP($B31,test!$A$3:$G$32,6,FALSE) &gt;= (test!$B$33+VLOOKUP(VLOOKUP($B31,test!$A$2:$I$32,4,FALSE),test!$J$10:$P$14,3,FALSE))/1440),1,0)</f>
        <v>0</v>
      </c>
      <c r="Y31" s="2">
        <f>IF(AND(VLOOKUP(Y$1,test!$A$3:$F$32,5,FALSE) - VLOOKUP($B31,test!$A$3:$G$32,6,FALSE) &gt;= (test!$B$33+VLOOKUP(VLOOKUP($B31,test!$A$2:$I$32,4,FALSE),test!$J$10:$P$14,3,FALSE))/1440),1,0)</f>
        <v>0</v>
      </c>
      <c r="Z31" s="2">
        <f>IF(AND(VLOOKUP(Z$1,test!$A$3:$F$32,5,FALSE) - VLOOKUP($B31,test!$A$3:$G$32,6,FALSE) &gt;= (test!$B$33+VLOOKUP(VLOOKUP($B31,test!$A$2:$I$32,4,FALSE),test!$J$10:$P$14,3,FALSE))/1440),1,0)</f>
        <v>0</v>
      </c>
      <c r="AA31" s="2">
        <f>IF(AND(VLOOKUP(AA$1,test!$A$3:$F$32,5,FALSE) - VLOOKUP($B31,test!$A$3:$G$32,6,FALSE) &gt;= (test!$B$33+VLOOKUP(VLOOKUP($B31,test!$A$2:$I$32,4,FALSE),test!$J$10:$P$14,3,FALSE))/1440),1,0)</f>
        <v>0</v>
      </c>
      <c r="AB31" s="2">
        <f>IF(AND(VLOOKUP(AB$1,test!$A$3:$F$32,5,FALSE) - VLOOKUP($B31,test!$A$3:$G$32,6,FALSE) &gt;= (test!$B$33+VLOOKUP(VLOOKUP($B31,test!$A$2:$I$32,4,FALSE),test!$J$10:$P$14,3,FALSE))/1440),1,0)</f>
        <v>0</v>
      </c>
      <c r="AC31" s="2">
        <f>IF(AND(VLOOKUP(AC$1,test!$A$3:$F$32,5,FALSE) - VLOOKUP($B31,test!$A$3:$G$32,6,FALSE) &gt;= (test!$B$33+VLOOKUP(VLOOKUP($B31,test!$A$2:$I$32,4,FALSE),test!$J$10:$P$14,3,FALSE))/1440),1,0)</f>
        <v>0</v>
      </c>
      <c r="AD31" s="2">
        <f>IF(AND(VLOOKUP(AD$1,test!$A$3:$F$32,5,FALSE) - VLOOKUP($B31,test!$A$3:$G$32,6,FALSE) &gt;= (test!$B$33+VLOOKUP(VLOOKUP($B31,test!$A$2:$I$32,4,FALSE),test!$J$10:$P$14,3,FALSE))/1440),1,0)</f>
        <v>0</v>
      </c>
      <c r="AE31" s="2">
        <f>IF(AND(VLOOKUP(AE$1,test!$A$3:$F$32,5,FALSE) - VLOOKUP($B31,test!$A$3:$G$32,6,FALSE) &gt;= (test!$B$33+VLOOKUP(VLOOKUP($B31,test!$A$2:$I$32,4,FALSE),test!$J$10:$P$14,3,FALSE))/1440),1,0)</f>
        <v>0</v>
      </c>
      <c r="AF31" s="2">
        <f>IF(AND(VLOOKUP(AF$1,test!$A$3:$F$32,5,FALSE) - VLOOKUP($B31,test!$A$3:$G$32,6,FALSE) &gt;= (test!$B$33+VLOOKUP(VLOOKUP($B31,test!$A$2:$I$32,4,FALSE),test!$J$10:$P$14,3,FALSE))/1440),1,0)</f>
        <v>0</v>
      </c>
      <c r="AG31" s="2">
        <f>IF(AND(VLOOKUP(AG$1,test!$A$3:$F$32,5,FALSE) - VLOOKUP($B31,test!$A$3:$G$32,6,FALSE) &gt;= (test!$B$33+VLOOKUP(VLOOKUP($B31,test!$A$2:$I$32,4,FALSE),test!$J$10:$P$14,3,FALSE))/1440),1,0)</f>
        <v>0</v>
      </c>
    </row>
    <row r="32" spans="1:33" x14ac:dyDescent="0.25">
      <c r="A32" t="s">
        <v>48</v>
      </c>
      <c r="B32" t="s">
        <v>41</v>
      </c>
      <c r="C32">
        <v>0</v>
      </c>
      <c r="D32" s="2">
        <f>IF(AND(VLOOKUP(D$1,test!$A$3:$F$32,5,FALSE) - VLOOKUP($B32,test!$A$3:$G$32,6,FALSE) &gt;= (test!$B$33+VLOOKUP(VLOOKUP($B32,test!$A$2:$I$32,4,FALSE),test!$J$10:$P$14,3,FALSE))/1440),1,0)</f>
        <v>0</v>
      </c>
      <c r="E32" s="2">
        <f>IF(AND(VLOOKUP(E$1,test!$A$3:$F$32,5,FALSE) - VLOOKUP($B32,test!$A$3:$G$32,6,FALSE) &gt;= (test!$B$33+VLOOKUP(VLOOKUP($B32,test!$A$2:$I$32,4,FALSE),test!$J$10:$P$14,3,FALSE))/1440),1,0)</f>
        <v>0</v>
      </c>
      <c r="F32" s="2">
        <f>IF(AND(VLOOKUP(F$1,test!$A$3:$F$32,5,FALSE) - VLOOKUP($B32,test!$A$3:$G$32,6,FALSE) &gt;= (test!$B$33+VLOOKUP(VLOOKUP($B32,test!$A$2:$I$32,4,FALSE),test!$J$10:$P$14,3,FALSE))/1440),1,0)</f>
        <v>0</v>
      </c>
      <c r="G32" s="2">
        <f>IF(AND(VLOOKUP(G$1,test!$A$3:$F$32,5,FALSE) - VLOOKUP($B32,test!$A$3:$G$32,6,FALSE) &gt;= (test!$B$33+VLOOKUP(VLOOKUP($B32,test!$A$2:$I$32,4,FALSE),test!$J$10:$P$14,3,FALSE))/1440),1,0)</f>
        <v>0</v>
      </c>
      <c r="H32" s="2">
        <f>IF(AND(VLOOKUP(H$1,test!$A$3:$F$32,5,FALSE) - VLOOKUP($B32,test!$A$3:$G$32,6,FALSE) &gt;= (test!$B$33+VLOOKUP(VLOOKUP($B32,test!$A$2:$I$32,4,FALSE),test!$J$10:$P$14,3,FALSE))/1440),1,0)</f>
        <v>0</v>
      </c>
      <c r="I32" s="2">
        <f>IF(AND(VLOOKUP(I$1,test!$A$3:$F$32,5,FALSE) - VLOOKUP($B32,test!$A$3:$G$32,6,FALSE) &gt;= (test!$B$33+VLOOKUP(VLOOKUP($B32,test!$A$2:$I$32,4,FALSE),test!$J$10:$P$14,3,FALSE))/1440),1,0)</f>
        <v>0</v>
      </c>
      <c r="J32" s="2">
        <f>IF(AND(VLOOKUP(J$1,test!$A$3:$F$32,5,FALSE) - VLOOKUP($B32,test!$A$3:$G$32,6,FALSE) &gt;= (test!$B$33+VLOOKUP(VLOOKUP($B32,test!$A$2:$I$32,4,FALSE),test!$J$10:$P$14,3,FALSE))/1440),1,0)</f>
        <v>0</v>
      </c>
      <c r="K32" s="2">
        <f>IF(AND(VLOOKUP(K$1,test!$A$3:$F$32,5,FALSE) - VLOOKUP($B32,test!$A$3:$G$32,6,FALSE) &gt;= (test!$B$33+VLOOKUP(VLOOKUP($B32,test!$A$2:$I$32,4,FALSE),test!$J$10:$P$14,3,FALSE))/1440),1,0)</f>
        <v>1</v>
      </c>
      <c r="L32" s="2">
        <f>IF(AND(VLOOKUP(L$1,test!$A$3:$F$32,5,FALSE) - VLOOKUP($B32,test!$A$3:$G$32,6,FALSE) &gt;= (test!$B$33+VLOOKUP(VLOOKUP($B32,test!$A$2:$I$32,4,FALSE),test!$J$10:$P$14,3,FALSE))/1440),1,0)</f>
        <v>0</v>
      </c>
      <c r="M32" s="2">
        <f>IF(AND(VLOOKUP(M$1,test!$A$3:$F$32,5,FALSE) - VLOOKUP($B32,test!$A$3:$G$32,6,FALSE) &gt;= (test!$B$33+VLOOKUP(VLOOKUP($B32,test!$A$2:$I$32,4,FALSE),test!$J$10:$P$14,3,FALSE))/1440),1,0)</f>
        <v>0</v>
      </c>
      <c r="N32" s="2">
        <f>IF(AND(VLOOKUP(N$1,test!$A$3:$F$32,5,FALSE) - VLOOKUP($B32,test!$A$3:$G$32,6,FALSE) &gt;= (test!$B$33+VLOOKUP(VLOOKUP($B32,test!$A$2:$I$32,4,FALSE),test!$J$10:$P$14,3,FALSE))/1440),1,0)</f>
        <v>0</v>
      </c>
      <c r="O32" s="2">
        <f>IF(AND(VLOOKUP(O$1,test!$A$3:$F$32,5,FALSE) - VLOOKUP($B32,test!$A$3:$G$32,6,FALSE) &gt;= (test!$B$33+VLOOKUP(VLOOKUP($B32,test!$A$2:$I$32,4,FALSE),test!$J$10:$P$14,3,FALSE))/1440),1,0)</f>
        <v>0</v>
      </c>
      <c r="P32" s="2">
        <f>IF(AND(VLOOKUP(P$1,test!$A$3:$F$32,5,FALSE) - VLOOKUP($B32,test!$A$3:$G$32,6,FALSE) &gt;= (test!$B$33+VLOOKUP(VLOOKUP($B32,test!$A$2:$I$32,4,FALSE),test!$J$10:$P$14,3,FALSE))/1440),1,0)</f>
        <v>1</v>
      </c>
      <c r="Q32" s="2">
        <f>IF(AND(VLOOKUP(Q$1,test!$A$3:$F$32,5,FALSE) - VLOOKUP($B32,test!$A$3:$G$32,6,FALSE) &gt;= (test!$B$33+VLOOKUP(VLOOKUP($B32,test!$A$2:$I$32,4,FALSE),test!$J$10:$P$14,3,FALSE))/1440),1,0)</f>
        <v>0</v>
      </c>
      <c r="R32" s="2">
        <f>IF(AND(VLOOKUP(R$1,test!$A$3:$F$32,5,FALSE) - VLOOKUP($B32,test!$A$3:$G$32,6,FALSE) &gt;= (test!$B$33+VLOOKUP(VLOOKUP($B32,test!$A$2:$I$32,4,FALSE),test!$J$10:$P$14,3,FALSE))/1440),1,0)</f>
        <v>0</v>
      </c>
      <c r="S32" s="2">
        <f>IF(AND(VLOOKUP(S$1,test!$A$3:$F$32,5,FALSE) - VLOOKUP($B32,test!$A$3:$G$32,6,FALSE) &gt;= (test!$B$33+VLOOKUP(VLOOKUP($B32,test!$A$2:$I$32,4,FALSE),test!$J$10:$P$14,3,FALSE))/1440),1,0)</f>
        <v>0</v>
      </c>
      <c r="T32" s="2">
        <f>IF(AND(VLOOKUP(T$1,test!$A$3:$F$32,5,FALSE) - VLOOKUP($B32,test!$A$3:$G$32,6,FALSE) &gt;= (test!$B$33+VLOOKUP(VLOOKUP($B32,test!$A$2:$I$32,4,FALSE),test!$J$10:$P$14,3,FALSE))/1440),1,0)</f>
        <v>0</v>
      </c>
      <c r="U32" s="2">
        <f>IF(AND(VLOOKUP(U$1,test!$A$3:$F$32,5,FALSE) - VLOOKUP($B32,test!$A$3:$G$32,6,FALSE) &gt;= (test!$B$33+VLOOKUP(VLOOKUP($B32,test!$A$2:$I$32,4,FALSE),test!$J$10:$P$14,3,FALSE))/1440),1,0)</f>
        <v>0</v>
      </c>
      <c r="V32" s="2">
        <f>IF(AND(VLOOKUP(V$1,test!$A$3:$F$32,5,FALSE) - VLOOKUP($B32,test!$A$3:$G$32,6,FALSE) &gt;= (test!$B$33+VLOOKUP(VLOOKUP($B32,test!$A$2:$I$32,4,FALSE),test!$J$10:$P$14,3,FALSE))/1440),1,0)</f>
        <v>0</v>
      </c>
      <c r="W32" s="2">
        <f>IF(AND(VLOOKUP(W$1,test!$A$3:$F$32,5,FALSE) - VLOOKUP($B32,test!$A$3:$G$32,6,FALSE) &gt;= (test!$B$33+VLOOKUP(VLOOKUP($B32,test!$A$2:$I$32,4,FALSE),test!$J$10:$P$14,3,FALSE))/1440),1,0)</f>
        <v>0</v>
      </c>
      <c r="X32" s="2">
        <f>IF(AND(VLOOKUP(X$1,test!$A$3:$F$32,5,FALSE) - VLOOKUP($B32,test!$A$3:$G$32,6,FALSE) &gt;= (test!$B$33+VLOOKUP(VLOOKUP($B32,test!$A$2:$I$32,4,FALSE),test!$J$10:$P$14,3,FALSE))/1440),1,0)</f>
        <v>0</v>
      </c>
      <c r="Y32" s="2">
        <f>IF(AND(VLOOKUP(Y$1,test!$A$3:$F$32,5,FALSE) - VLOOKUP($B32,test!$A$3:$G$32,6,FALSE) &gt;= (test!$B$33+VLOOKUP(VLOOKUP($B32,test!$A$2:$I$32,4,FALSE),test!$J$10:$P$14,3,FALSE))/1440),1,0)</f>
        <v>0</v>
      </c>
      <c r="Z32" s="2">
        <f>IF(AND(VLOOKUP(Z$1,test!$A$3:$F$32,5,FALSE) - VLOOKUP($B32,test!$A$3:$G$32,6,FALSE) &gt;= (test!$B$33+VLOOKUP(VLOOKUP($B32,test!$A$2:$I$32,4,FALSE),test!$J$10:$P$14,3,FALSE))/1440),1,0)</f>
        <v>0</v>
      </c>
      <c r="AA32" s="2">
        <f>IF(AND(VLOOKUP(AA$1,test!$A$3:$F$32,5,FALSE) - VLOOKUP($B32,test!$A$3:$G$32,6,FALSE) &gt;= (test!$B$33+VLOOKUP(VLOOKUP($B32,test!$A$2:$I$32,4,FALSE),test!$J$10:$P$14,3,FALSE))/1440),1,0)</f>
        <v>0</v>
      </c>
      <c r="AB32" s="2">
        <f>IF(AND(VLOOKUP(AB$1,test!$A$3:$F$32,5,FALSE) - VLOOKUP($B32,test!$A$3:$G$32,6,FALSE) &gt;= (test!$B$33+VLOOKUP(VLOOKUP($B32,test!$A$2:$I$32,4,FALSE),test!$J$10:$P$14,3,FALSE))/1440),1,0)</f>
        <v>0</v>
      </c>
      <c r="AC32" s="2">
        <f>IF(AND(VLOOKUP(AC$1,test!$A$3:$F$32,5,FALSE) - VLOOKUP($B32,test!$A$3:$G$32,6,FALSE) &gt;= (test!$B$33+VLOOKUP(VLOOKUP($B32,test!$A$2:$I$32,4,FALSE),test!$J$10:$P$14,3,FALSE))/1440),1,0)</f>
        <v>0</v>
      </c>
      <c r="AD32" s="2">
        <f>IF(AND(VLOOKUP(AD$1,test!$A$3:$F$32,5,FALSE) - VLOOKUP($B32,test!$A$3:$G$32,6,FALSE) &gt;= (test!$B$33+VLOOKUP(VLOOKUP($B32,test!$A$2:$I$32,4,FALSE),test!$J$10:$P$14,3,FALSE))/1440),1,0)</f>
        <v>0</v>
      </c>
      <c r="AE32" s="2">
        <f>IF(AND(VLOOKUP(AE$1,test!$A$3:$F$32,5,FALSE) - VLOOKUP($B32,test!$A$3:$G$32,6,FALSE) &gt;= (test!$B$33+VLOOKUP(VLOOKUP($B32,test!$A$2:$I$32,4,FALSE),test!$J$10:$P$14,3,FALSE))/1440),1,0)</f>
        <v>0</v>
      </c>
      <c r="AF32" s="2">
        <f>IF(AND(VLOOKUP(AF$1,test!$A$3:$F$32,5,FALSE) - VLOOKUP($B32,test!$A$3:$G$32,6,FALSE) &gt;= (test!$B$33+VLOOKUP(VLOOKUP($B32,test!$A$2:$I$32,4,FALSE),test!$J$10:$P$14,3,FALSE))/1440),1,0)</f>
        <v>0</v>
      </c>
      <c r="AG32" s="2">
        <f>IF(AND(VLOOKUP(AG$1,test!$A$3:$F$32,5,FALSE) - VLOOKUP($B32,test!$A$3:$G$32,6,FALSE) &gt;= (test!$B$33+VLOOKUP(VLOOKUP($B32,test!$A$2:$I$32,4,FALSE),test!$J$10:$P$14,3,FALSE))/1440),1,0)</f>
        <v>0</v>
      </c>
    </row>
    <row r="33" spans="1:33" x14ac:dyDescent="0.25">
      <c r="A33" t="s">
        <v>90</v>
      </c>
      <c r="B33" t="s">
        <v>46</v>
      </c>
      <c r="C33">
        <v>0</v>
      </c>
      <c r="D33" s="2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 t="s">
        <v>90</v>
      </c>
      <c r="B34" t="s">
        <v>6</v>
      </c>
      <c r="C34">
        <v>0</v>
      </c>
      <c r="D34" s="2">
        <f>IF(AND(VLOOKUP(D$1,test!$A$3:$F$32,5,FALSE) - VLOOKUP($B34,test!$A$3:$G$32,6,FALSE) &gt;= (test!$B$34+VLOOKUP(VLOOKUP($B34,test!$A$2:$I$32,4,FALSE),test!$J$24:$P$28,4,FALSE))/1440),1,0)</f>
        <v>0</v>
      </c>
      <c r="E34" s="2">
        <f>IF(AND(VLOOKUP(E$1,test!$A$3:$F$32,5,FALSE) - VLOOKUP($B34,test!$A$3:$G$32,6,FALSE) &gt;= (test!$B$34+VLOOKUP(VLOOKUP($B34,test!$A$2:$I$32,4,FALSE),test!$J$24:$P$28,4,FALSE))/1440),1,0)</f>
        <v>0</v>
      </c>
      <c r="F34" s="2">
        <f>IF(AND(VLOOKUP(F$1,test!$A$3:$F$32,5,FALSE) - VLOOKUP($B34,test!$A$3:$G$32,6,FALSE) &gt;= (test!$B$34+VLOOKUP(VLOOKUP($B34,test!$A$2:$I$32,4,FALSE),test!$J$24:$P$28,4,FALSE))/1440),1,0)</f>
        <v>1</v>
      </c>
      <c r="G34" s="2">
        <f>IF(AND(VLOOKUP(G$1,test!$A$3:$F$32,5,FALSE) - VLOOKUP($B34,test!$A$3:$G$32,6,FALSE) &gt;= (test!$B$34+VLOOKUP(VLOOKUP($B34,test!$A$2:$I$32,4,FALSE),test!$J$24:$P$28,4,FALSE))/1440),1,0)</f>
        <v>1</v>
      </c>
      <c r="H34" s="2">
        <f>IF(AND(VLOOKUP(H$1,test!$A$3:$F$32,5,FALSE) - VLOOKUP($B34,test!$A$3:$G$32,6,FALSE) &gt;= (test!$B$34+VLOOKUP(VLOOKUP($B34,test!$A$2:$I$32,4,FALSE),test!$J$24:$P$28,4,FALSE))/1440),1,0)</f>
        <v>1</v>
      </c>
      <c r="I34" s="2">
        <f>IF(AND(VLOOKUP(I$1,test!$A$3:$F$32,5,FALSE) - VLOOKUP($B34,test!$A$3:$G$32,6,FALSE) &gt;= (test!$B$34+VLOOKUP(VLOOKUP($B34,test!$A$2:$I$32,4,FALSE),test!$J$24:$P$28,4,FALSE))/1440),1,0)</f>
        <v>1</v>
      </c>
      <c r="J34" s="2">
        <f>IF(AND(VLOOKUP(J$1,test!$A$3:$F$32,5,FALSE) - VLOOKUP($B34,test!$A$3:$G$32,6,FALSE) &gt;= (test!$B$34+VLOOKUP(VLOOKUP($B34,test!$A$2:$I$32,4,FALSE),test!$J$24:$P$28,4,FALSE))/1440),1,0)</f>
        <v>1</v>
      </c>
      <c r="K34" s="2">
        <f>IF(AND(VLOOKUP(K$1,test!$A$3:$F$32,5,FALSE) - VLOOKUP($B34,test!$A$3:$G$32,6,FALSE) &gt;= (test!$B$34+VLOOKUP(VLOOKUP($B34,test!$A$2:$I$32,4,FALSE),test!$J$24:$P$28,4,FALSE))/1440),1,0)</f>
        <v>1</v>
      </c>
      <c r="L34" s="2">
        <f>IF(AND(VLOOKUP(L$1,test!$A$3:$F$32,5,FALSE) - VLOOKUP($B34,test!$A$3:$G$32,6,FALSE) &gt;= (test!$B$34+VLOOKUP(VLOOKUP($B34,test!$A$2:$I$32,4,FALSE),test!$J$24:$P$28,4,FALSE))/1440),1,0)</f>
        <v>0</v>
      </c>
      <c r="M34" s="2">
        <f>IF(AND(VLOOKUP(M$1,test!$A$3:$F$32,5,FALSE) - VLOOKUP($B34,test!$A$3:$G$32,6,FALSE) &gt;= (test!$B$34+VLOOKUP(VLOOKUP($B34,test!$A$2:$I$32,4,FALSE),test!$J$24:$P$28,4,FALSE))/1440),1,0)</f>
        <v>0</v>
      </c>
      <c r="N34" s="2">
        <f>IF(AND(VLOOKUP(N$1,test!$A$3:$F$32,5,FALSE) - VLOOKUP($B34,test!$A$3:$G$32,6,FALSE) &gt;= (test!$B$34+VLOOKUP(VLOOKUP($B34,test!$A$2:$I$32,4,FALSE),test!$J$24:$P$28,4,FALSE))/1440),1,0)</f>
        <v>0</v>
      </c>
      <c r="O34" s="2">
        <f>IF(AND(VLOOKUP(O$1,test!$A$3:$F$32,5,FALSE) - VLOOKUP($B34,test!$A$3:$G$32,6,FALSE) &gt;= (test!$B$34+VLOOKUP(VLOOKUP($B34,test!$A$2:$I$32,4,FALSE),test!$J$24:$P$28,4,FALSE))/1440),1,0)</f>
        <v>1</v>
      </c>
      <c r="P34" s="2">
        <f>IF(AND(VLOOKUP(P$1,test!$A$3:$F$32,5,FALSE) - VLOOKUP($B34,test!$A$3:$G$32,6,FALSE) &gt;= (test!$B$34+VLOOKUP(VLOOKUP($B34,test!$A$2:$I$32,4,FALSE),test!$J$24:$P$28,4,FALSE))/1440),1,0)</f>
        <v>1</v>
      </c>
      <c r="Q34" s="2">
        <f>IF(AND(VLOOKUP(Q$1,test!$A$3:$F$32,5,FALSE) - VLOOKUP($B34,test!$A$3:$G$32,6,FALSE) &gt;= (test!$B$34+VLOOKUP(VLOOKUP($B34,test!$A$2:$I$32,4,FALSE),test!$J$24:$P$28,4,FALSE))/1440),1,0)</f>
        <v>0</v>
      </c>
      <c r="R34" s="2">
        <f>IF(AND(VLOOKUP(R$1,test!$A$3:$F$32,5,FALSE) - VLOOKUP($B34,test!$A$3:$G$32,6,FALSE) &gt;= (test!$B$34+VLOOKUP(VLOOKUP($B34,test!$A$2:$I$32,4,FALSE),test!$J$24:$P$28,4,FALSE))/1440),1,0)</f>
        <v>0</v>
      </c>
      <c r="S34" s="2">
        <f>IF(AND(VLOOKUP(S$1,test!$A$3:$F$32,5,FALSE) - VLOOKUP($B34,test!$A$3:$G$32,6,FALSE) &gt;= (test!$B$34+VLOOKUP(VLOOKUP($B34,test!$A$2:$I$32,4,FALSE),test!$J$24:$P$28,4,FALSE))/1440),1,0)</f>
        <v>0</v>
      </c>
      <c r="T34" s="2">
        <f>IF(AND(VLOOKUP(T$1,test!$A$3:$F$32,5,FALSE) - VLOOKUP($B34,test!$A$3:$G$32,6,FALSE) &gt;= (test!$B$34+VLOOKUP(VLOOKUP($B34,test!$A$2:$I$32,4,FALSE),test!$J$24:$P$28,4,FALSE))/1440),1,0)</f>
        <v>0</v>
      </c>
      <c r="U34" s="2">
        <f>IF(AND(VLOOKUP(U$1,test!$A$3:$F$32,5,FALSE) - VLOOKUP($B34,test!$A$3:$G$32,6,FALSE) &gt;= (test!$B$34+VLOOKUP(VLOOKUP($B34,test!$A$2:$I$32,4,FALSE),test!$J$24:$P$28,4,FALSE))/1440),1,0)</f>
        <v>0</v>
      </c>
      <c r="V34" s="2">
        <f>IF(AND(VLOOKUP(V$1,test!$A$3:$F$32,5,FALSE) - VLOOKUP($B34,test!$A$3:$G$32,6,FALSE) &gt;= (test!$B$34+VLOOKUP(VLOOKUP($B34,test!$A$2:$I$32,4,FALSE),test!$J$24:$P$28,4,FALSE))/1440),1,0)</f>
        <v>1</v>
      </c>
      <c r="W34" s="2">
        <f>IF(AND(VLOOKUP(W$1,test!$A$3:$F$32,5,FALSE) - VLOOKUP($B34,test!$A$3:$G$32,6,FALSE) &gt;= (test!$B$34+VLOOKUP(VLOOKUP($B34,test!$A$2:$I$32,4,FALSE),test!$J$24:$P$28,4,FALSE))/1440),1,0)</f>
        <v>1</v>
      </c>
      <c r="X34" s="2">
        <f>IF(AND(VLOOKUP(X$1,test!$A$3:$F$32,5,FALSE) - VLOOKUP($B34,test!$A$3:$G$32,6,FALSE) &gt;= (test!$B$34+VLOOKUP(VLOOKUP($B34,test!$A$2:$I$32,4,FALSE),test!$J$24:$P$28,4,FALSE))/1440),1,0)</f>
        <v>1</v>
      </c>
      <c r="Y34" s="2">
        <f>IF(AND(VLOOKUP(Y$1,test!$A$3:$F$32,5,FALSE) - VLOOKUP($B34,test!$A$3:$G$32,6,FALSE) &gt;= (test!$B$34+VLOOKUP(VLOOKUP($B34,test!$A$2:$I$32,4,FALSE),test!$J$24:$P$28,4,FALSE))/1440),1,0)</f>
        <v>1</v>
      </c>
      <c r="Z34" s="2">
        <f>IF(AND(VLOOKUP(Z$1,test!$A$3:$F$32,5,FALSE) - VLOOKUP($B34,test!$A$3:$G$32,6,FALSE) &gt;= (test!$B$34+VLOOKUP(VLOOKUP($B34,test!$A$2:$I$32,4,FALSE),test!$J$24:$P$28,4,FALSE))/1440),1,0)</f>
        <v>0</v>
      </c>
      <c r="AA34" s="2">
        <f>IF(AND(VLOOKUP(AA$1,test!$A$3:$F$32,5,FALSE) - VLOOKUP($B34,test!$A$3:$G$32,6,FALSE) &gt;= (test!$B$34+VLOOKUP(VLOOKUP($B34,test!$A$2:$I$32,4,FALSE),test!$J$24:$P$28,4,FALSE))/1440),1,0)</f>
        <v>0</v>
      </c>
      <c r="AB34" s="2">
        <f>IF(AND(VLOOKUP(AB$1,test!$A$3:$F$32,5,FALSE) - VLOOKUP($B34,test!$A$3:$G$32,6,FALSE) &gt;= (test!$B$34+VLOOKUP(VLOOKUP($B34,test!$A$2:$I$32,4,FALSE),test!$J$24:$P$28,4,FALSE))/1440),1,0)</f>
        <v>1</v>
      </c>
      <c r="AC34" s="2">
        <f>IF(AND(VLOOKUP(AC$1,test!$A$3:$F$32,5,FALSE) - VLOOKUP($B34,test!$A$3:$G$32,6,FALSE) &gt;= (test!$B$34+VLOOKUP(VLOOKUP($B34,test!$A$2:$I$32,4,FALSE),test!$J$24:$P$28,4,FALSE))/1440),1,0)</f>
        <v>1</v>
      </c>
      <c r="AD34" s="2">
        <f>IF(AND(VLOOKUP(AD$1,test!$A$3:$F$32,5,FALSE) - VLOOKUP($B34,test!$A$3:$G$32,6,FALSE) &gt;= (test!$B$34+VLOOKUP(VLOOKUP($B34,test!$A$2:$I$32,4,FALSE),test!$J$24:$P$28,4,FALSE))/1440),1,0)</f>
        <v>1</v>
      </c>
      <c r="AE34" s="2">
        <f>IF(AND(VLOOKUP(AE$1,test!$A$3:$F$32,5,FALSE) - VLOOKUP($B34,test!$A$3:$G$32,6,FALSE) &gt;= (test!$B$34+VLOOKUP(VLOOKUP($B34,test!$A$2:$I$32,4,FALSE),test!$J$24:$P$28,4,FALSE))/1440),1,0)</f>
        <v>0</v>
      </c>
      <c r="AF34" s="2">
        <f>IF(AND(VLOOKUP(AF$1,test!$A$3:$F$32,5,FALSE) - VLOOKUP($B34,test!$A$3:$G$32,6,FALSE) &gt;= (test!$B$34+VLOOKUP(VLOOKUP($B34,test!$A$2:$I$32,4,FALSE),test!$J$24:$P$28,4,FALSE))/1440),1,0)</f>
        <v>1</v>
      </c>
      <c r="AG34" s="2">
        <f>IF(AND(VLOOKUP(AG$1,test!$A$3:$F$32,5,FALSE) - VLOOKUP($B34,test!$A$3:$G$32,6,FALSE) &gt;= (test!$B$34+VLOOKUP(VLOOKUP($B34,test!$A$2:$I$32,4,FALSE),test!$J$24:$P$28,4,FALSE))/1440),1,0)</f>
        <v>0</v>
      </c>
    </row>
    <row r="35" spans="1:33" x14ac:dyDescent="0.25">
      <c r="A35" t="s">
        <v>90</v>
      </c>
      <c r="B35" t="s">
        <v>9</v>
      </c>
      <c r="C35">
        <v>0</v>
      </c>
      <c r="D35" s="2">
        <f>IF(AND(VLOOKUP(D$1,test!$A$3:$F$32,5,FALSE) - VLOOKUP($B35,test!$A$3:$G$32,6,FALSE) &gt;= (test!$B$34+VLOOKUP(VLOOKUP($B35,test!$A$2:$I$32,4,FALSE),test!$J$24:$P$28,4,FALSE))/1440),1,0)</f>
        <v>0</v>
      </c>
      <c r="E35" s="2">
        <f>IF(AND(VLOOKUP(E$1,test!$A$3:$F$32,5,FALSE) - VLOOKUP($B35,test!$A$3:$G$32,6,FALSE) &gt;= (test!$B$34+VLOOKUP(VLOOKUP($B35,test!$A$2:$I$32,4,FALSE),test!$J$24:$P$28,4,FALSE))/1440),1,0)</f>
        <v>0</v>
      </c>
      <c r="F35" s="2">
        <f>IF(AND(VLOOKUP(F$1,test!$A$3:$F$32,5,FALSE) - VLOOKUP($B35,test!$A$3:$G$32,6,FALSE) &gt;= (test!$B$34+VLOOKUP(VLOOKUP($B35,test!$A$2:$I$32,4,FALSE),test!$J$24:$P$28,4,FALSE))/1440),1,0)</f>
        <v>0</v>
      </c>
      <c r="G35" s="2">
        <f>IF(AND(VLOOKUP(G$1,test!$A$3:$F$32,5,FALSE) - VLOOKUP($B35,test!$A$3:$G$32,6,FALSE) &gt;= (test!$B$34+VLOOKUP(VLOOKUP($B35,test!$A$2:$I$32,4,FALSE),test!$J$24:$P$28,4,FALSE))/1440),1,0)</f>
        <v>0</v>
      </c>
      <c r="H35" s="2">
        <f>IF(AND(VLOOKUP(H$1,test!$A$3:$F$32,5,FALSE) - VLOOKUP($B35,test!$A$3:$G$32,6,FALSE) &gt;= (test!$B$34+VLOOKUP(VLOOKUP($B35,test!$A$2:$I$32,4,FALSE),test!$J$24:$P$28,4,FALSE))/1440),1,0)</f>
        <v>0</v>
      </c>
      <c r="I35" s="2">
        <f>IF(AND(VLOOKUP(I$1,test!$A$3:$F$32,5,FALSE) - VLOOKUP($B35,test!$A$3:$G$32,6,FALSE) &gt;= (test!$B$34+VLOOKUP(VLOOKUP($B35,test!$A$2:$I$32,4,FALSE),test!$J$24:$P$28,4,FALSE))/1440),1,0)</f>
        <v>1</v>
      </c>
      <c r="J35" s="2">
        <f>IF(AND(VLOOKUP(J$1,test!$A$3:$F$32,5,FALSE) - VLOOKUP($B35,test!$A$3:$G$32,6,FALSE) &gt;= (test!$B$34+VLOOKUP(VLOOKUP($B35,test!$A$2:$I$32,4,FALSE),test!$J$24:$P$28,4,FALSE))/1440),1,0)</f>
        <v>1</v>
      </c>
      <c r="K35" s="2">
        <f>IF(AND(VLOOKUP(K$1,test!$A$3:$F$32,5,FALSE) - VLOOKUP($B35,test!$A$3:$G$32,6,FALSE) &gt;= (test!$B$34+VLOOKUP(VLOOKUP($B35,test!$A$2:$I$32,4,FALSE),test!$J$24:$P$28,4,FALSE))/1440),1,0)</f>
        <v>1</v>
      </c>
      <c r="L35" s="2">
        <f>IF(AND(VLOOKUP(L$1,test!$A$3:$F$32,5,FALSE) - VLOOKUP($B35,test!$A$3:$G$32,6,FALSE) &gt;= (test!$B$34+VLOOKUP(VLOOKUP($B35,test!$A$2:$I$32,4,FALSE),test!$J$24:$P$28,4,FALSE))/1440),1,0)</f>
        <v>0</v>
      </c>
      <c r="M35" s="2">
        <f>IF(AND(VLOOKUP(M$1,test!$A$3:$F$32,5,FALSE) - VLOOKUP($B35,test!$A$3:$G$32,6,FALSE) &gt;= (test!$B$34+VLOOKUP(VLOOKUP($B35,test!$A$2:$I$32,4,FALSE),test!$J$24:$P$28,4,FALSE))/1440),1,0)</f>
        <v>0</v>
      </c>
      <c r="N35" s="2">
        <f>IF(AND(VLOOKUP(N$1,test!$A$3:$F$32,5,FALSE) - VLOOKUP($B35,test!$A$3:$G$32,6,FALSE) &gt;= (test!$B$34+VLOOKUP(VLOOKUP($B35,test!$A$2:$I$32,4,FALSE),test!$J$24:$P$28,4,FALSE))/1440),1,0)</f>
        <v>0</v>
      </c>
      <c r="O35" s="2">
        <f>IF(AND(VLOOKUP(O$1,test!$A$3:$F$32,5,FALSE) - VLOOKUP($B35,test!$A$3:$G$32,6,FALSE) &gt;= (test!$B$34+VLOOKUP(VLOOKUP($B35,test!$A$2:$I$32,4,FALSE),test!$J$24:$P$28,4,FALSE))/1440),1,0)</f>
        <v>1</v>
      </c>
      <c r="P35" s="2">
        <f>IF(AND(VLOOKUP(P$1,test!$A$3:$F$32,5,FALSE) - VLOOKUP($B35,test!$A$3:$G$32,6,FALSE) &gt;= (test!$B$34+VLOOKUP(VLOOKUP($B35,test!$A$2:$I$32,4,FALSE),test!$J$24:$P$28,4,FALSE))/1440),1,0)</f>
        <v>1</v>
      </c>
      <c r="Q35" s="2">
        <f>IF(AND(VLOOKUP(Q$1,test!$A$3:$F$32,5,FALSE) - VLOOKUP($B35,test!$A$3:$G$32,6,FALSE) &gt;= (test!$B$34+VLOOKUP(VLOOKUP($B35,test!$A$2:$I$32,4,FALSE),test!$J$24:$P$28,4,FALSE))/1440),1,0)</f>
        <v>0</v>
      </c>
      <c r="R35" s="2">
        <f>IF(AND(VLOOKUP(R$1,test!$A$3:$F$32,5,FALSE) - VLOOKUP($B35,test!$A$3:$G$32,6,FALSE) &gt;= (test!$B$34+VLOOKUP(VLOOKUP($B35,test!$A$2:$I$32,4,FALSE),test!$J$24:$P$28,4,FALSE))/1440),1,0)</f>
        <v>0</v>
      </c>
      <c r="S35" s="2">
        <f>IF(AND(VLOOKUP(S$1,test!$A$3:$F$32,5,FALSE) - VLOOKUP($B35,test!$A$3:$G$32,6,FALSE) &gt;= (test!$B$34+VLOOKUP(VLOOKUP($B35,test!$A$2:$I$32,4,FALSE),test!$J$24:$P$28,4,FALSE))/1440),1,0)</f>
        <v>0</v>
      </c>
      <c r="T35" s="2">
        <f>IF(AND(VLOOKUP(T$1,test!$A$3:$F$32,5,FALSE) - VLOOKUP($B35,test!$A$3:$G$32,6,FALSE) &gt;= (test!$B$34+VLOOKUP(VLOOKUP($B35,test!$A$2:$I$32,4,FALSE),test!$J$24:$P$28,4,FALSE))/1440),1,0)</f>
        <v>0</v>
      </c>
      <c r="U35" s="2">
        <f>IF(AND(VLOOKUP(U$1,test!$A$3:$F$32,5,FALSE) - VLOOKUP($B35,test!$A$3:$G$32,6,FALSE) &gt;= (test!$B$34+VLOOKUP(VLOOKUP($B35,test!$A$2:$I$32,4,FALSE),test!$J$24:$P$28,4,FALSE))/1440),1,0)</f>
        <v>0</v>
      </c>
      <c r="V35" s="2">
        <f>IF(AND(VLOOKUP(V$1,test!$A$3:$F$32,5,FALSE) - VLOOKUP($B35,test!$A$3:$G$32,6,FALSE) &gt;= (test!$B$34+VLOOKUP(VLOOKUP($B35,test!$A$2:$I$32,4,FALSE),test!$J$24:$P$28,4,FALSE))/1440),1,0)</f>
        <v>0</v>
      </c>
      <c r="W35" s="2">
        <f>IF(AND(VLOOKUP(W$1,test!$A$3:$F$32,5,FALSE) - VLOOKUP($B35,test!$A$3:$G$32,6,FALSE) &gt;= (test!$B$34+VLOOKUP(VLOOKUP($B35,test!$A$2:$I$32,4,FALSE),test!$J$24:$P$28,4,FALSE))/1440),1,0)</f>
        <v>0</v>
      </c>
      <c r="X35" s="2">
        <f>IF(AND(VLOOKUP(X$1,test!$A$3:$F$32,5,FALSE) - VLOOKUP($B35,test!$A$3:$G$32,6,FALSE) &gt;= (test!$B$34+VLOOKUP(VLOOKUP($B35,test!$A$2:$I$32,4,FALSE),test!$J$24:$P$28,4,FALSE))/1440),1,0)</f>
        <v>1</v>
      </c>
      <c r="Y35" s="2">
        <f>IF(AND(VLOOKUP(Y$1,test!$A$3:$F$32,5,FALSE) - VLOOKUP($B35,test!$A$3:$G$32,6,FALSE) &gt;= (test!$B$34+VLOOKUP(VLOOKUP($B35,test!$A$2:$I$32,4,FALSE),test!$J$24:$P$28,4,FALSE))/1440),1,0)</f>
        <v>1</v>
      </c>
      <c r="Z35" s="2">
        <f>IF(AND(VLOOKUP(Z$1,test!$A$3:$F$32,5,FALSE) - VLOOKUP($B35,test!$A$3:$G$32,6,FALSE) &gt;= (test!$B$34+VLOOKUP(VLOOKUP($B35,test!$A$2:$I$32,4,FALSE),test!$J$24:$P$28,4,FALSE))/1440),1,0)</f>
        <v>0</v>
      </c>
      <c r="AA35" s="2">
        <f>IF(AND(VLOOKUP(AA$1,test!$A$3:$F$32,5,FALSE) - VLOOKUP($B35,test!$A$3:$G$32,6,FALSE) &gt;= (test!$B$34+VLOOKUP(VLOOKUP($B35,test!$A$2:$I$32,4,FALSE),test!$J$24:$P$28,4,FALSE))/1440),1,0)</f>
        <v>0</v>
      </c>
      <c r="AB35" s="2">
        <f>IF(AND(VLOOKUP(AB$1,test!$A$3:$F$32,5,FALSE) - VLOOKUP($B35,test!$A$3:$G$32,6,FALSE) &gt;= (test!$B$34+VLOOKUP(VLOOKUP($B35,test!$A$2:$I$32,4,FALSE),test!$J$24:$P$28,4,FALSE))/1440),1,0)</f>
        <v>0</v>
      </c>
      <c r="AC35" s="2">
        <f>IF(AND(VLOOKUP(AC$1,test!$A$3:$F$32,5,FALSE) - VLOOKUP($B35,test!$A$3:$G$32,6,FALSE) &gt;= (test!$B$34+VLOOKUP(VLOOKUP($B35,test!$A$2:$I$32,4,FALSE),test!$J$24:$P$28,4,FALSE))/1440),1,0)</f>
        <v>0</v>
      </c>
      <c r="AD35" s="2">
        <f>IF(AND(VLOOKUP(AD$1,test!$A$3:$F$32,5,FALSE) - VLOOKUP($B35,test!$A$3:$G$32,6,FALSE) &gt;= (test!$B$34+VLOOKUP(VLOOKUP($B35,test!$A$2:$I$32,4,FALSE),test!$J$24:$P$28,4,FALSE))/1440),1,0)</f>
        <v>1</v>
      </c>
      <c r="AE35" s="2">
        <f>IF(AND(VLOOKUP(AE$1,test!$A$3:$F$32,5,FALSE) - VLOOKUP($B35,test!$A$3:$G$32,6,FALSE) &gt;= (test!$B$34+VLOOKUP(VLOOKUP($B35,test!$A$2:$I$32,4,FALSE),test!$J$24:$P$28,4,FALSE))/1440),1,0)</f>
        <v>0</v>
      </c>
      <c r="AF35" s="2">
        <f>IF(AND(VLOOKUP(AF$1,test!$A$3:$F$32,5,FALSE) - VLOOKUP($B35,test!$A$3:$G$32,6,FALSE) &gt;= (test!$B$34+VLOOKUP(VLOOKUP($B35,test!$A$2:$I$32,4,FALSE),test!$J$24:$P$28,4,FALSE))/1440),1,0)</f>
        <v>0</v>
      </c>
      <c r="AG35" s="2">
        <f>IF(AND(VLOOKUP(AG$1,test!$A$3:$F$32,5,FALSE) - VLOOKUP($B35,test!$A$3:$G$32,6,FALSE) &gt;= (test!$B$34+VLOOKUP(VLOOKUP($B35,test!$A$2:$I$32,4,FALSE),test!$J$24:$P$28,4,FALSE))/1440),1,0)</f>
        <v>0</v>
      </c>
    </row>
    <row r="36" spans="1:33" x14ac:dyDescent="0.25">
      <c r="A36" t="s">
        <v>90</v>
      </c>
      <c r="B36" t="s">
        <v>10</v>
      </c>
      <c r="C36">
        <v>0</v>
      </c>
      <c r="D36" s="2">
        <f>IF(AND(VLOOKUP(D$1,test!$A$3:$F$32,5,FALSE) - VLOOKUP($B36,test!$A$3:$G$32,6,FALSE) &gt;= (test!$B$34+VLOOKUP(VLOOKUP($B36,test!$A$2:$I$32,4,FALSE),test!$J$24:$P$28,4,FALSE))/1440),1,0)</f>
        <v>0</v>
      </c>
      <c r="E36" s="2">
        <f>IF(AND(VLOOKUP(E$1,test!$A$3:$F$32,5,FALSE) - VLOOKUP($B36,test!$A$3:$G$32,6,FALSE) &gt;= (test!$B$34+VLOOKUP(VLOOKUP($B36,test!$A$2:$I$32,4,FALSE),test!$J$24:$P$28,4,FALSE))/1440),1,0)</f>
        <v>0</v>
      </c>
      <c r="F36" s="2">
        <f>IF(AND(VLOOKUP(F$1,test!$A$3:$F$32,5,FALSE) - VLOOKUP($B36,test!$A$3:$G$32,6,FALSE) &gt;= (test!$B$34+VLOOKUP(VLOOKUP($B36,test!$A$2:$I$32,4,FALSE),test!$J$24:$P$28,4,FALSE))/1440),1,0)</f>
        <v>0</v>
      </c>
      <c r="G36" s="2">
        <f>IF(AND(VLOOKUP(G$1,test!$A$3:$F$32,5,FALSE) - VLOOKUP($B36,test!$A$3:$G$32,6,FALSE) &gt;= (test!$B$34+VLOOKUP(VLOOKUP($B36,test!$A$2:$I$32,4,FALSE),test!$J$24:$P$28,4,FALSE))/1440),1,0)</f>
        <v>0</v>
      </c>
      <c r="H36" s="2">
        <f>IF(AND(VLOOKUP(H$1,test!$A$3:$F$32,5,FALSE) - VLOOKUP($B36,test!$A$3:$G$32,6,FALSE) &gt;= (test!$B$34+VLOOKUP(VLOOKUP($B36,test!$A$2:$I$32,4,FALSE),test!$J$24:$P$28,4,FALSE))/1440),1,0)</f>
        <v>0</v>
      </c>
      <c r="I36" s="2">
        <f>IF(AND(VLOOKUP(I$1,test!$A$3:$F$32,5,FALSE) - VLOOKUP($B36,test!$A$3:$G$32,6,FALSE) &gt;= (test!$B$34+VLOOKUP(VLOOKUP($B36,test!$A$2:$I$32,4,FALSE),test!$J$24:$P$28,4,FALSE))/1440),1,0)</f>
        <v>0</v>
      </c>
      <c r="J36" s="2">
        <f>IF(AND(VLOOKUP(J$1,test!$A$3:$F$32,5,FALSE) - VLOOKUP($B36,test!$A$3:$G$32,6,FALSE) &gt;= (test!$B$34+VLOOKUP(VLOOKUP($B36,test!$A$2:$I$32,4,FALSE),test!$J$24:$P$28,4,FALSE))/1440),1,0)</f>
        <v>1</v>
      </c>
      <c r="K36" s="2">
        <f>IF(AND(VLOOKUP(K$1,test!$A$3:$F$32,5,FALSE) - VLOOKUP($B36,test!$A$3:$G$32,6,FALSE) &gt;= (test!$B$34+VLOOKUP(VLOOKUP($B36,test!$A$2:$I$32,4,FALSE),test!$J$24:$P$28,4,FALSE))/1440),1,0)</f>
        <v>1</v>
      </c>
      <c r="L36" s="2">
        <f>IF(AND(VLOOKUP(L$1,test!$A$3:$F$32,5,FALSE) - VLOOKUP($B36,test!$A$3:$G$32,6,FALSE) &gt;= (test!$B$34+VLOOKUP(VLOOKUP($B36,test!$A$2:$I$32,4,FALSE),test!$J$24:$P$28,4,FALSE))/1440),1,0)</f>
        <v>0</v>
      </c>
      <c r="M36" s="2">
        <f>IF(AND(VLOOKUP(M$1,test!$A$3:$F$32,5,FALSE) - VLOOKUP($B36,test!$A$3:$G$32,6,FALSE) &gt;= (test!$B$34+VLOOKUP(VLOOKUP($B36,test!$A$2:$I$32,4,FALSE),test!$J$24:$P$28,4,FALSE))/1440),1,0)</f>
        <v>0</v>
      </c>
      <c r="N36" s="2">
        <f>IF(AND(VLOOKUP(N$1,test!$A$3:$F$32,5,FALSE) - VLOOKUP($B36,test!$A$3:$G$32,6,FALSE) &gt;= (test!$B$34+VLOOKUP(VLOOKUP($B36,test!$A$2:$I$32,4,FALSE),test!$J$24:$P$28,4,FALSE))/1440),1,0)</f>
        <v>0</v>
      </c>
      <c r="O36" s="2">
        <f>IF(AND(VLOOKUP(O$1,test!$A$3:$F$32,5,FALSE) - VLOOKUP($B36,test!$A$3:$G$32,6,FALSE) &gt;= (test!$B$34+VLOOKUP(VLOOKUP($B36,test!$A$2:$I$32,4,FALSE),test!$J$24:$P$28,4,FALSE))/1440),1,0)</f>
        <v>1</v>
      </c>
      <c r="P36" s="2">
        <f>IF(AND(VLOOKUP(P$1,test!$A$3:$F$32,5,FALSE) - VLOOKUP($B36,test!$A$3:$G$32,6,FALSE) &gt;= (test!$B$34+VLOOKUP(VLOOKUP($B36,test!$A$2:$I$32,4,FALSE),test!$J$24:$P$28,4,FALSE))/1440),1,0)</f>
        <v>1</v>
      </c>
      <c r="Q36" s="2">
        <f>IF(AND(VLOOKUP(Q$1,test!$A$3:$F$32,5,FALSE) - VLOOKUP($B36,test!$A$3:$G$32,6,FALSE) &gt;= (test!$B$34+VLOOKUP(VLOOKUP($B36,test!$A$2:$I$32,4,FALSE),test!$J$24:$P$28,4,FALSE))/1440),1,0)</f>
        <v>0</v>
      </c>
      <c r="R36" s="2">
        <f>IF(AND(VLOOKUP(R$1,test!$A$3:$F$32,5,FALSE) - VLOOKUP($B36,test!$A$3:$G$32,6,FALSE) &gt;= (test!$B$34+VLOOKUP(VLOOKUP($B36,test!$A$2:$I$32,4,FALSE),test!$J$24:$P$28,4,FALSE))/1440),1,0)</f>
        <v>0</v>
      </c>
      <c r="S36" s="2">
        <f>IF(AND(VLOOKUP(S$1,test!$A$3:$F$32,5,FALSE) - VLOOKUP($B36,test!$A$3:$G$32,6,FALSE) &gt;= (test!$B$34+VLOOKUP(VLOOKUP($B36,test!$A$2:$I$32,4,FALSE),test!$J$24:$P$28,4,FALSE))/1440),1,0)</f>
        <v>0</v>
      </c>
      <c r="T36" s="2">
        <f>IF(AND(VLOOKUP(T$1,test!$A$3:$F$32,5,FALSE) - VLOOKUP($B36,test!$A$3:$G$32,6,FALSE) &gt;= (test!$B$34+VLOOKUP(VLOOKUP($B36,test!$A$2:$I$32,4,FALSE),test!$J$24:$P$28,4,FALSE))/1440),1,0)</f>
        <v>0</v>
      </c>
      <c r="U36" s="2">
        <f>IF(AND(VLOOKUP(U$1,test!$A$3:$F$32,5,FALSE) - VLOOKUP($B36,test!$A$3:$G$32,6,FALSE) &gt;= (test!$B$34+VLOOKUP(VLOOKUP($B36,test!$A$2:$I$32,4,FALSE),test!$J$24:$P$28,4,FALSE))/1440),1,0)</f>
        <v>0</v>
      </c>
      <c r="V36" s="2">
        <f>IF(AND(VLOOKUP(V$1,test!$A$3:$F$32,5,FALSE) - VLOOKUP($B36,test!$A$3:$G$32,6,FALSE) &gt;= (test!$B$34+VLOOKUP(VLOOKUP($B36,test!$A$2:$I$32,4,FALSE),test!$J$24:$P$28,4,FALSE))/1440),1,0)</f>
        <v>0</v>
      </c>
      <c r="W36" s="2">
        <f>IF(AND(VLOOKUP(W$1,test!$A$3:$F$32,5,FALSE) - VLOOKUP($B36,test!$A$3:$G$32,6,FALSE) &gt;= (test!$B$34+VLOOKUP(VLOOKUP($B36,test!$A$2:$I$32,4,FALSE),test!$J$24:$P$28,4,FALSE))/1440),1,0)</f>
        <v>0</v>
      </c>
      <c r="X36" s="2">
        <f>IF(AND(VLOOKUP(X$1,test!$A$3:$F$32,5,FALSE) - VLOOKUP($B36,test!$A$3:$G$32,6,FALSE) &gt;= (test!$B$34+VLOOKUP(VLOOKUP($B36,test!$A$2:$I$32,4,FALSE),test!$J$24:$P$28,4,FALSE))/1440),1,0)</f>
        <v>0</v>
      </c>
      <c r="Y36" s="2">
        <f>IF(AND(VLOOKUP(Y$1,test!$A$3:$F$32,5,FALSE) - VLOOKUP($B36,test!$A$3:$G$32,6,FALSE) &gt;= (test!$B$34+VLOOKUP(VLOOKUP($B36,test!$A$2:$I$32,4,FALSE),test!$J$24:$P$28,4,FALSE))/1440),1,0)</f>
        <v>1</v>
      </c>
      <c r="Z36" s="2">
        <f>IF(AND(VLOOKUP(Z$1,test!$A$3:$F$32,5,FALSE) - VLOOKUP($B36,test!$A$3:$G$32,6,FALSE) &gt;= (test!$B$34+VLOOKUP(VLOOKUP($B36,test!$A$2:$I$32,4,FALSE),test!$J$24:$P$28,4,FALSE))/1440),1,0)</f>
        <v>0</v>
      </c>
      <c r="AA36" s="2">
        <f>IF(AND(VLOOKUP(AA$1,test!$A$3:$F$32,5,FALSE) - VLOOKUP($B36,test!$A$3:$G$32,6,FALSE) &gt;= (test!$B$34+VLOOKUP(VLOOKUP($B36,test!$A$2:$I$32,4,FALSE),test!$J$24:$P$28,4,FALSE))/1440),1,0)</f>
        <v>0</v>
      </c>
      <c r="AB36" s="2">
        <f>IF(AND(VLOOKUP(AB$1,test!$A$3:$F$32,5,FALSE) - VLOOKUP($B36,test!$A$3:$G$32,6,FALSE) &gt;= (test!$B$34+VLOOKUP(VLOOKUP($B36,test!$A$2:$I$32,4,FALSE),test!$J$24:$P$28,4,FALSE))/1440),1,0)</f>
        <v>0</v>
      </c>
      <c r="AC36" s="2">
        <f>IF(AND(VLOOKUP(AC$1,test!$A$3:$F$32,5,FALSE) - VLOOKUP($B36,test!$A$3:$G$32,6,FALSE) &gt;= (test!$B$34+VLOOKUP(VLOOKUP($B36,test!$A$2:$I$32,4,FALSE),test!$J$24:$P$28,4,FALSE))/1440),1,0)</f>
        <v>0</v>
      </c>
      <c r="AD36" s="2">
        <f>IF(AND(VLOOKUP(AD$1,test!$A$3:$F$32,5,FALSE) - VLOOKUP($B36,test!$A$3:$G$32,6,FALSE) &gt;= (test!$B$34+VLOOKUP(VLOOKUP($B36,test!$A$2:$I$32,4,FALSE),test!$J$24:$P$28,4,FALSE))/1440),1,0)</f>
        <v>0</v>
      </c>
      <c r="AE36" s="2">
        <f>IF(AND(VLOOKUP(AE$1,test!$A$3:$F$32,5,FALSE) - VLOOKUP($B36,test!$A$3:$G$32,6,FALSE) &gt;= (test!$B$34+VLOOKUP(VLOOKUP($B36,test!$A$2:$I$32,4,FALSE),test!$J$24:$P$28,4,FALSE))/1440),1,0)</f>
        <v>0</v>
      </c>
      <c r="AF36" s="2">
        <f>IF(AND(VLOOKUP(AF$1,test!$A$3:$F$32,5,FALSE) - VLOOKUP($B36,test!$A$3:$G$32,6,FALSE) &gt;= (test!$B$34+VLOOKUP(VLOOKUP($B36,test!$A$2:$I$32,4,FALSE),test!$J$24:$P$28,4,FALSE))/1440),1,0)</f>
        <v>0</v>
      </c>
      <c r="AG36" s="2">
        <f>IF(AND(VLOOKUP(AG$1,test!$A$3:$F$32,5,FALSE) - VLOOKUP($B36,test!$A$3:$G$32,6,FALSE) &gt;= (test!$B$34+VLOOKUP(VLOOKUP($B36,test!$A$2:$I$32,4,FALSE),test!$J$24:$P$28,4,FALSE))/1440),1,0)</f>
        <v>0</v>
      </c>
    </row>
    <row r="37" spans="1:33" x14ac:dyDescent="0.25">
      <c r="A37" t="s">
        <v>90</v>
      </c>
      <c r="B37" t="s">
        <v>11</v>
      </c>
      <c r="C37">
        <v>0</v>
      </c>
      <c r="D37" s="2">
        <f>IF(AND(VLOOKUP(D$1,test!$A$3:$F$32,5,FALSE) - VLOOKUP($B37,test!$A$3:$G$32,6,FALSE) &gt;= (test!$B$34+VLOOKUP(VLOOKUP($B37,test!$A$2:$I$32,4,FALSE),test!$J$24:$P$28,4,FALSE))/1440),1,0)</f>
        <v>0</v>
      </c>
      <c r="E37" s="2">
        <f>IF(AND(VLOOKUP(E$1,test!$A$3:$F$32,5,FALSE) - VLOOKUP($B37,test!$A$3:$G$32,6,FALSE) &gt;= (test!$B$34+VLOOKUP(VLOOKUP($B37,test!$A$2:$I$32,4,FALSE),test!$J$24:$P$28,4,FALSE))/1440),1,0)</f>
        <v>0</v>
      </c>
      <c r="F37" s="2">
        <f>IF(AND(VLOOKUP(F$1,test!$A$3:$F$32,5,FALSE) - VLOOKUP($B37,test!$A$3:$G$32,6,FALSE) &gt;= (test!$B$34+VLOOKUP(VLOOKUP($B37,test!$A$2:$I$32,4,FALSE),test!$J$24:$P$28,4,FALSE))/1440),1,0)</f>
        <v>0</v>
      </c>
      <c r="G37" s="2">
        <f>IF(AND(VLOOKUP(G$1,test!$A$3:$F$32,5,FALSE) - VLOOKUP($B37,test!$A$3:$G$32,6,FALSE) &gt;= (test!$B$34+VLOOKUP(VLOOKUP($B37,test!$A$2:$I$32,4,FALSE),test!$J$24:$P$28,4,FALSE))/1440),1,0)</f>
        <v>0</v>
      </c>
      <c r="H37" s="2">
        <f>IF(AND(VLOOKUP(H$1,test!$A$3:$F$32,5,FALSE) - VLOOKUP($B37,test!$A$3:$G$32,6,FALSE) &gt;= (test!$B$34+VLOOKUP(VLOOKUP($B37,test!$A$2:$I$32,4,FALSE),test!$J$24:$P$28,4,FALSE))/1440),1,0)</f>
        <v>0</v>
      </c>
      <c r="I37" s="2">
        <f>IF(AND(VLOOKUP(I$1,test!$A$3:$F$32,5,FALSE) - VLOOKUP($B37,test!$A$3:$G$32,6,FALSE) &gt;= (test!$B$34+VLOOKUP(VLOOKUP($B37,test!$A$2:$I$32,4,FALSE),test!$J$24:$P$28,4,FALSE))/1440),1,0)</f>
        <v>0</v>
      </c>
      <c r="J37" s="2">
        <f>IF(AND(VLOOKUP(J$1,test!$A$3:$F$32,5,FALSE) - VLOOKUP($B37,test!$A$3:$G$32,6,FALSE) &gt;= (test!$B$34+VLOOKUP(VLOOKUP($B37,test!$A$2:$I$32,4,FALSE),test!$J$24:$P$28,4,FALSE))/1440),1,0)</f>
        <v>0</v>
      </c>
      <c r="K37" s="2">
        <f>IF(AND(VLOOKUP(K$1,test!$A$3:$F$32,5,FALSE) - VLOOKUP($B37,test!$A$3:$G$32,6,FALSE) &gt;= (test!$B$34+VLOOKUP(VLOOKUP($B37,test!$A$2:$I$32,4,FALSE),test!$J$24:$P$28,4,FALSE))/1440),1,0)</f>
        <v>1</v>
      </c>
      <c r="L37" s="2">
        <f>IF(AND(VLOOKUP(L$1,test!$A$3:$F$32,5,FALSE) - VLOOKUP($B37,test!$A$3:$G$32,6,FALSE) &gt;= (test!$B$34+VLOOKUP(VLOOKUP($B37,test!$A$2:$I$32,4,FALSE),test!$J$24:$P$28,4,FALSE))/1440),1,0)</f>
        <v>0</v>
      </c>
      <c r="M37" s="2">
        <f>IF(AND(VLOOKUP(M$1,test!$A$3:$F$32,5,FALSE) - VLOOKUP($B37,test!$A$3:$G$32,6,FALSE) &gt;= (test!$B$34+VLOOKUP(VLOOKUP($B37,test!$A$2:$I$32,4,FALSE),test!$J$24:$P$28,4,FALSE))/1440),1,0)</f>
        <v>0</v>
      </c>
      <c r="N37" s="2">
        <f>IF(AND(VLOOKUP(N$1,test!$A$3:$F$32,5,FALSE) - VLOOKUP($B37,test!$A$3:$G$32,6,FALSE) &gt;= (test!$B$34+VLOOKUP(VLOOKUP($B37,test!$A$2:$I$32,4,FALSE),test!$J$24:$P$28,4,FALSE))/1440),1,0)</f>
        <v>0</v>
      </c>
      <c r="O37" s="2">
        <f>IF(AND(VLOOKUP(O$1,test!$A$3:$F$32,5,FALSE) - VLOOKUP($B37,test!$A$3:$G$32,6,FALSE) &gt;= (test!$B$34+VLOOKUP(VLOOKUP($B37,test!$A$2:$I$32,4,FALSE),test!$J$24:$P$28,4,FALSE))/1440),1,0)</f>
        <v>0</v>
      </c>
      <c r="P37" s="2">
        <f>IF(AND(VLOOKUP(P$1,test!$A$3:$F$32,5,FALSE) - VLOOKUP($B37,test!$A$3:$G$32,6,FALSE) &gt;= (test!$B$34+VLOOKUP(VLOOKUP($B37,test!$A$2:$I$32,4,FALSE),test!$J$24:$P$28,4,FALSE))/1440),1,0)</f>
        <v>1</v>
      </c>
      <c r="Q37" s="2">
        <f>IF(AND(VLOOKUP(Q$1,test!$A$3:$F$32,5,FALSE) - VLOOKUP($B37,test!$A$3:$G$32,6,FALSE) &gt;= (test!$B$34+VLOOKUP(VLOOKUP($B37,test!$A$2:$I$32,4,FALSE),test!$J$24:$P$28,4,FALSE))/1440),1,0)</f>
        <v>0</v>
      </c>
      <c r="R37" s="2">
        <f>IF(AND(VLOOKUP(R$1,test!$A$3:$F$32,5,FALSE) - VLOOKUP($B37,test!$A$3:$G$32,6,FALSE) &gt;= (test!$B$34+VLOOKUP(VLOOKUP($B37,test!$A$2:$I$32,4,FALSE),test!$J$24:$P$28,4,FALSE))/1440),1,0)</f>
        <v>0</v>
      </c>
      <c r="S37" s="2">
        <f>IF(AND(VLOOKUP(S$1,test!$A$3:$F$32,5,FALSE) - VLOOKUP($B37,test!$A$3:$G$32,6,FALSE) &gt;= (test!$B$34+VLOOKUP(VLOOKUP($B37,test!$A$2:$I$32,4,FALSE),test!$J$24:$P$28,4,FALSE))/1440),1,0)</f>
        <v>0</v>
      </c>
      <c r="T37" s="2">
        <f>IF(AND(VLOOKUP(T$1,test!$A$3:$F$32,5,FALSE) - VLOOKUP($B37,test!$A$3:$G$32,6,FALSE) &gt;= (test!$B$34+VLOOKUP(VLOOKUP($B37,test!$A$2:$I$32,4,FALSE),test!$J$24:$P$28,4,FALSE))/1440),1,0)</f>
        <v>0</v>
      </c>
      <c r="U37" s="2">
        <f>IF(AND(VLOOKUP(U$1,test!$A$3:$F$32,5,FALSE) - VLOOKUP($B37,test!$A$3:$G$32,6,FALSE) &gt;= (test!$B$34+VLOOKUP(VLOOKUP($B37,test!$A$2:$I$32,4,FALSE),test!$J$24:$P$28,4,FALSE))/1440),1,0)</f>
        <v>0</v>
      </c>
      <c r="V37" s="2">
        <f>IF(AND(VLOOKUP(V$1,test!$A$3:$F$32,5,FALSE) - VLOOKUP($B37,test!$A$3:$G$32,6,FALSE) &gt;= (test!$B$34+VLOOKUP(VLOOKUP($B37,test!$A$2:$I$32,4,FALSE),test!$J$24:$P$28,4,FALSE))/1440),1,0)</f>
        <v>0</v>
      </c>
      <c r="W37" s="2">
        <f>IF(AND(VLOOKUP(W$1,test!$A$3:$F$32,5,FALSE) - VLOOKUP($B37,test!$A$3:$G$32,6,FALSE) &gt;= (test!$B$34+VLOOKUP(VLOOKUP($B37,test!$A$2:$I$32,4,FALSE),test!$J$24:$P$28,4,FALSE))/1440),1,0)</f>
        <v>0</v>
      </c>
      <c r="X37" s="2">
        <f>IF(AND(VLOOKUP(X$1,test!$A$3:$F$32,5,FALSE) - VLOOKUP($B37,test!$A$3:$G$32,6,FALSE) &gt;= (test!$B$34+VLOOKUP(VLOOKUP($B37,test!$A$2:$I$32,4,FALSE),test!$J$24:$P$28,4,FALSE))/1440),1,0)</f>
        <v>0</v>
      </c>
      <c r="Y37" s="2">
        <f>IF(AND(VLOOKUP(Y$1,test!$A$3:$F$32,5,FALSE) - VLOOKUP($B37,test!$A$3:$G$32,6,FALSE) &gt;= (test!$B$34+VLOOKUP(VLOOKUP($B37,test!$A$2:$I$32,4,FALSE),test!$J$24:$P$28,4,FALSE))/1440),1,0)</f>
        <v>0</v>
      </c>
      <c r="Z37" s="2">
        <f>IF(AND(VLOOKUP(Z$1,test!$A$3:$F$32,5,FALSE) - VLOOKUP($B37,test!$A$3:$G$32,6,FALSE) &gt;= (test!$B$34+VLOOKUP(VLOOKUP($B37,test!$A$2:$I$32,4,FALSE),test!$J$24:$P$28,4,FALSE))/1440),1,0)</f>
        <v>0</v>
      </c>
      <c r="AA37" s="2">
        <f>IF(AND(VLOOKUP(AA$1,test!$A$3:$F$32,5,FALSE) - VLOOKUP($B37,test!$A$3:$G$32,6,FALSE) &gt;= (test!$B$34+VLOOKUP(VLOOKUP($B37,test!$A$2:$I$32,4,FALSE),test!$J$24:$P$28,4,FALSE))/1440),1,0)</f>
        <v>0</v>
      </c>
      <c r="AB37" s="2">
        <f>IF(AND(VLOOKUP(AB$1,test!$A$3:$F$32,5,FALSE) - VLOOKUP($B37,test!$A$3:$G$32,6,FALSE) &gt;= (test!$B$34+VLOOKUP(VLOOKUP($B37,test!$A$2:$I$32,4,FALSE),test!$J$24:$P$28,4,FALSE))/1440),1,0)</f>
        <v>0</v>
      </c>
      <c r="AC37" s="2">
        <f>IF(AND(VLOOKUP(AC$1,test!$A$3:$F$32,5,FALSE) - VLOOKUP($B37,test!$A$3:$G$32,6,FALSE) &gt;= (test!$B$34+VLOOKUP(VLOOKUP($B37,test!$A$2:$I$32,4,FALSE),test!$J$24:$P$28,4,FALSE))/1440),1,0)</f>
        <v>0</v>
      </c>
      <c r="AD37" s="2">
        <f>IF(AND(VLOOKUP(AD$1,test!$A$3:$F$32,5,FALSE) - VLOOKUP($B37,test!$A$3:$G$32,6,FALSE) &gt;= (test!$B$34+VLOOKUP(VLOOKUP($B37,test!$A$2:$I$32,4,FALSE),test!$J$24:$P$28,4,FALSE))/1440),1,0)</f>
        <v>0</v>
      </c>
      <c r="AE37" s="2">
        <f>IF(AND(VLOOKUP(AE$1,test!$A$3:$F$32,5,FALSE) - VLOOKUP($B37,test!$A$3:$G$32,6,FALSE) &gt;= (test!$B$34+VLOOKUP(VLOOKUP($B37,test!$A$2:$I$32,4,FALSE),test!$J$24:$P$28,4,FALSE))/1440),1,0)</f>
        <v>0</v>
      </c>
      <c r="AF37" s="2">
        <f>IF(AND(VLOOKUP(AF$1,test!$A$3:$F$32,5,FALSE) - VLOOKUP($B37,test!$A$3:$G$32,6,FALSE) &gt;= (test!$B$34+VLOOKUP(VLOOKUP($B37,test!$A$2:$I$32,4,FALSE),test!$J$24:$P$28,4,FALSE))/1440),1,0)</f>
        <v>0</v>
      </c>
      <c r="AG37" s="2">
        <f>IF(AND(VLOOKUP(AG$1,test!$A$3:$F$32,5,FALSE) - VLOOKUP($B37,test!$A$3:$G$32,6,FALSE) &gt;= (test!$B$34+VLOOKUP(VLOOKUP($B37,test!$A$2:$I$32,4,FALSE),test!$J$24:$P$28,4,FALSE))/1440),1,0)</f>
        <v>0</v>
      </c>
    </row>
    <row r="38" spans="1:33" x14ac:dyDescent="0.25">
      <c r="A38" t="s">
        <v>90</v>
      </c>
      <c r="B38" t="s">
        <v>12</v>
      </c>
      <c r="C38">
        <v>0</v>
      </c>
      <c r="D38" s="2">
        <f>IF(AND(VLOOKUP(D$1,test!$A$3:$F$32,5,FALSE) - VLOOKUP($B38,test!$A$3:$G$32,6,FALSE) &gt;= (test!$B$34+VLOOKUP(VLOOKUP($B38,test!$A$2:$I$32,4,FALSE),test!$J$24:$P$28,4,FALSE))/1440),1,0)</f>
        <v>0</v>
      </c>
      <c r="E38" s="2">
        <f>IF(AND(VLOOKUP(E$1,test!$A$3:$F$32,5,FALSE) - VLOOKUP($B38,test!$A$3:$G$32,6,FALSE) &gt;= (test!$B$34+VLOOKUP(VLOOKUP($B38,test!$A$2:$I$32,4,FALSE),test!$J$24:$P$28,4,FALSE))/1440),1,0)</f>
        <v>0</v>
      </c>
      <c r="F38" s="2">
        <f>IF(AND(VLOOKUP(F$1,test!$A$3:$F$32,5,FALSE) - VLOOKUP($B38,test!$A$3:$G$32,6,FALSE) &gt;= (test!$B$34+VLOOKUP(VLOOKUP($B38,test!$A$2:$I$32,4,FALSE),test!$J$24:$P$28,4,FALSE))/1440),1,0)</f>
        <v>0</v>
      </c>
      <c r="G38" s="2">
        <f>IF(AND(VLOOKUP(G$1,test!$A$3:$F$32,5,FALSE) - VLOOKUP($B38,test!$A$3:$G$32,6,FALSE) &gt;= (test!$B$34+VLOOKUP(VLOOKUP($B38,test!$A$2:$I$32,4,FALSE),test!$J$24:$P$28,4,FALSE))/1440),1,0)</f>
        <v>0</v>
      </c>
      <c r="H38" s="2">
        <f>IF(AND(VLOOKUP(H$1,test!$A$3:$F$32,5,FALSE) - VLOOKUP($B38,test!$A$3:$G$32,6,FALSE) &gt;= (test!$B$34+VLOOKUP(VLOOKUP($B38,test!$A$2:$I$32,4,FALSE),test!$J$24:$P$28,4,FALSE))/1440),1,0)</f>
        <v>0</v>
      </c>
      <c r="I38" s="2">
        <f>IF(AND(VLOOKUP(I$1,test!$A$3:$F$32,5,FALSE) - VLOOKUP($B38,test!$A$3:$G$32,6,FALSE) &gt;= (test!$B$34+VLOOKUP(VLOOKUP($B38,test!$A$2:$I$32,4,FALSE),test!$J$24:$P$28,4,FALSE))/1440),1,0)</f>
        <v>0</v>
      </c>
      <c r="J38" s="2">
        <f>IF(AND(VLOOKUP(J$1,test!$A$3:$F$32,5,FALSE) - VLOOKUP($B38,test!$A$3:$G$32,6,FALSE) &gt;= (test!$B$34+VLOOKUP(VLOOKUP($B38,test!$A$2:$I$32,4,FALSE),test!$J$24:$P$28,4,FALSE))/1440),1,0)</f>
        <v>0</v>
      </c>
      <c r="K38" s="2">
        <f>IF(AND(VLOOKUP(K$1,test!$A$3:$F$32,5,FALSE) - VLOOKUP($B38,test!$A$3:$G$32,6,FALSE) &gt;= (test!$B$34+VLOOKUP(VLOOKUP($B38,test!$A$2:$I$32,4,FALSE),test!$J$24:$P$28,4,FALSE))/1440),1,0)</f>
        <v>0</v>
      </c>
      <c r="L38" s="2">
        <f>IF(AND(VLOOKUP(L$1,test!$A$3:$F$32,5,FALSE) - VLOOKUP($B38,test!$A$3:$G$32,6,FALSE) &gt;= (test!$B$34+VLOOKUP(VLOOKUP($B38,test!$A$2:$I$32,4,FALSE),test!$J$24:$P$28,4,FALSE))/1440),1,0)</f>
        <v>0</v>
      </c>
      <c r="M38" s="2">
        <f>IF(AND(VLOOKUP(M$1,test!$A$3:$F$32,5,FALSE) - VLOOKUP($B38,test!$A$3:$G$32,6,FALSE) &gt;= (test!$B$34+VLOOKUP(VLOOKUP($B38,test!$A$2:$I$32,4,FALSE),test!$J$24:$P$28,4,FALSE))/1440),1,0)</f>
        <v>0</v>
      </c>
      <c r="N38" s="2">
        <f>IF(AND(VLOOKUP(N$1,test!$A$3:$F$32,5,FALSE) - VLOOKUP($B38,test!$A$3:$G$32,6,FALSE) &gt;= (test!$B$34+VLOOKUP(VLOOKUP($B38,test!$A$2:$I$32,4,FALSE),test!$J$24:$P$28,4,FALSE))/1440),1,0)</f>
        <v>0</v>
      </c>
      <c r="O38" s="2">
        <f>IF(AND(VLOOKUP(O$1,test!$A$3:$F$32,5,FALSE) - VLOOKUP($B38,test!$A$3:$G$32,6,FALSE) &gt;= (test!$B$34+VLOOKUP(VLOOKUP($B38,test!$A$2:$I$32,4,FALSE),test!$J$24:$P$28,4,FALSE))/1440),1,0)</f>
        <v>0</v>
      </c>
      <c r="P38" s="2">
        <f>IF(AND(VLOOKUP(P$1,test!$A$3:$F$32,5,FALSE) - VLOOKUP($B38,test!$A$3:$G$32,6,FALSE) &gt;= (test!$B$34+VLOOKUP(VLOOKUP($B38,test!$A$2:$I$32,4,FALSE),test!$J$24:$P$28,4,FALSE))/1440),1,0)</f>
        <v>0</v>
      </c>
      <c r="Q38" s="2">
        <f>IF(AND(VLOOKUP(Q$1,test!$A$3:$F$32,5,FALSE) - VLOOKUP($B38,test!$A$3:$G$32,6,FALSE) &gt;= (test!$B$34+VLOOKUP(VLOOKUP($B38,test!$A$2:$I$32,4,FALSE),test!$J$24:$P$28,4,FALSE))/1440),1,0)</f>
        <v>0</v>
      </c>
      <c r="R38" s="2">
        <f>IF(AND(VLOOKUP(R$1,test!$A$3:$F$32,5,FALSE) - VLOOKUP($B38,test!$A$3:$G$32,6,FALSE) &gt;= (test!$B$34+VLOOKUP(VLOOKUP($B38,test!$A$2:$I$32,4,FALSE),test!$J$24:$P$28,4,FALSE))/1440),1,0)</f>
        <v>0</v>
      </c>
      <c r="S38" s="2">
        <f>IF(AND(VLOOKUP(S$1,test!$A$3:$F$32,5,FALSE) - VLOOKUP($B38,test!$A$3:$G$32,6,FALSE) &gt;= (test!$B$34+VLOOKUP(VLOOKUP($B38,test!$A$2:$I$32,4,FALSE),test!$J$24:$P$28,4,FALSE))/1440),1,0)</f>
        <v>0</v>
      </c>
      <c r="T38" s="2">
        <f>IF(AND(VLOOKUP(T$1,test!$A$3:$F$32,5,FALSE) - VLOOKUP($B38,test!$A$3:$G$32,6,FALSE) &gt;= (test!$B$34+VLOOKUP(VLOOKUP($B38,test!$A$2:$I$32,4,FALSE),test!$J$24:$P$28,4,FALSE))/1440),1,0)</f>
        <v>0</v>
      </c>
      <c r="U38" s="2">
        <f>IF(AND(VLOOKUP(U$1,test!$A$3:$F$32,5,FALSE) - VLOOKUP($B38,test!$A$3:$G$32,6,FALSE) &gt;= (test!$B$34+VLOOKUP(VLOOKUP($B38,test!$A$2:$I$32,4,FALSE),test!$J$24:$P$28,4,FALSE))/1440),1,0)</f>
        <v>0</v>
      </c>
      <c r="V38" s="2">
        <f>IF(AND(VLOOKUP(V$1,test!$A$3:$F$32,5,FALSE) - VLOOKUP($B38,test!$A$3:$G$32,6,FALSE) &gt;= (test!$B$34+VLOOKUP(VLOOKUP($B38,test!$A$2:$I$32,4,FALSE),test!$J$24:$P$28,4,FALSE))/1440),1,0)</f>
        <v>0</v>
      </c>
      <c r="W38" s="2">
        <f>IF(AND(VLOOKUP(W$1,test!$A$3:$F$32,5,FALSE) - VLOOKUP($B38,test!$A$3:$G$32,6,FALSE) &gt;= (test!$B$34+VLOOKUP(VLOOKUP($B38,test!$A$2:$I$32,4,FALSE),test!$J$24:$P$28,4,FALSE))/1440),1,0)</f>
        <v>0</v>
      </c>
      <c r="X38" s="2">
        <f>IF(AND(VLOOKUP(X$1,test!$A$3:$F$32,5,FALSE) - VLOOKUP($B38,test!$A$3:$G$32,6,FALSE) &gt;= (test!$B$34+VLOOKUP(VLOOKUP($B38,test!$A$2:$I$32,4,FALSE),test!$J$24:$P$28,4,FALSE))/1440),1,0)</f>
        <v>0</v>
      </c>
      <c r="Y38" s="2">
        <f>IF(AND(VLOOKUP(Y$1,test!$A$3:$F$32,5,FALSE) - VLOOKUP($B38,test!$A$3:$G$32,6,FALSE) &gt;= (test!$B$34+VLOOKUP(VLOOKUP($B38,test!$A$2:$I$32,4,FALSE),test!$J$24:$P$28,4,FALSE))/1440),1,0)</f>
        <v>0</v>
      </c>
      <c r="Z38" s="2">
        <f>IF(AND(VLOOKUP(Z$1,test!$A$3:$F$32,5,FALSE) - VLOOKUP($B38,test!$A$3:$G$32,6,FALSE) &gt;= (test!$B$34+VLOOKUP(VLOOKUP($B38,test!$A$2:$I$32,4,FALSE),test!$J$24:$P$28,4,FALSE))/1440),1,0)</f>
        <v>0</v>
      </c>
      <c r="AA38" s="2">
        <f>IF(AND(VLOOKUP(AA$1,test!$A$3:$F$32,5,FALSE) - VLOOKUP($B38,test!$A$3:$G$32,6,FALSE) &gt;= (test!$B$34+VLOOKUP(VLOOKUP($B38,test!$A$2:$I$32,4,FALSE),test!$J$24:$P$28,4,FALSE))/1440),1,0)</f>
        <v>0</v>
      </c>
      <c r="AB38" s="2">
        <f>IF(AND(VLOOKUP(AB$1,test!$A$3:$F$32,5,FALSE) - VLOOKUP($B38,test!$A$3:$G$32,6,FALSE) &gt;= (test!$B$34+VLOOKUP(VLOOKUP($B38,test!$A$2:$I$32,4,FALSE),test!$J$24:$P$28,4,FALSE))/1440),1,0)</f>
        <v>0</v>
      </c>
      <c r="AC38" s="2">
        <f>IF(AND(VLOOKUP(AC$1,test!$A$3:$F$32,5,FALSE) - VLOOKUP($B38,test!$A$3:$G$32,6,FALSE) &gt;= (test!$B$34+VLOOKUP(VLOOKUP($B38,test!$A$2:$I$32,4,FALSE),test!$J$24:$P$28,4,FALSE))/1440),1,0)</f>
        <v>0</v>
      </c>
      <c r="AD38" s="2">
        <f>IF(AND(VLOOKUP(AD$1,test!$A$3:$F$32,5,FALSE) - VLOOKUP($B38,test!$A$3:$G$32,6,FALSE) &gt;= (test!$B$34+VLOOKUP(VLOOKUP($B38,test!$A$2:$I$32,4,FALSE),test!$J$24:$P$28,4,FALSE))/1440),1,0)</f>
        <v>0</v>
      </c>
      <c r="AE38" s="2">
        <f>IF(AND(VLOOKUP(AE$1,test!$A$3:$F$32,5,FALSE) - VLOOKUP($B38,test!$A$3:$G$32,6,FALSE) &gt;= (test!$B$34+VLOOKUP(VLOOKUP($B38,test!$A$2:$I$32,4,FALSE),test!$J$24:$P$28,4,FALSE))/1440),1,0)</f>
        <v>0</v>
      </c>
      <c r="AF38" s="2">
        <f>IF(AND(VLOOKUP(AF$1,test!$A$3:$F$32,5,FALSE) - VLOOKUP($B38,test!$A$3:$G$32,6,FALSE) &gt;= (test!$B$34+VLOOKUP(VLOOKUP($B38,test!$A$2:$I$32,4,FALSE),test!$J$24:$P$28,4,FALSE))/1440),1,0)</f>
        <v>0</v>
      </c>
      <c r="AG38" s="2">
        <f>IF(AND(VLOOKUP(AG$1,test!$A$3:$F$32,5,FALSE) - VLOOKUP($B38,test!$A$3:$G$32,6,FALSE) &gt;= (test!$B$34+VLOOKUP(VLOOKUP($B38,test!$A$2:$I$32,4,FALSE),test!$J$24:$P$28,4,FALSE))/1440),1,0)</f>
        <v>0</v>
      </c>
    </row>
    <row r="39" spans="1:33" x14ac:dyDescent="0.25">
      <c r="A39" t="s">
        <v>90</v>
      </c>
      <c r="B39" t="s">
        <v>13</v>
      </c>
      <c r="C39">
        <v>0</v>
      </c>
      <c r="D39" s="2">
        <f>IF(AND(VLOOKUP(D$1,test!$A$3:$F$32,5,FALSE) - VLOOKUP($B39,test!$A$3:$G$32,6,FALSE) &gt;= (test!$B$34+VLOOKUP(VLOOKUP($B39,test!$A$2:$I$32,4,FALSE),test!$J$24:$P$28,4,FALSE))/1440),1,0)</f>
        <v>0</v>
      </c>
      <c r="E39" s="2">
        <f>IF(AND(VLOOKUP(E$1,test!$A$3:$F$32,5,FALSE) - VLOOKUP($B39,test!$A$3:$G$32,6,FALSE) &gt;= (test!$B$34+VLOOKUP(VLOOKUP($B39,test!$A$2:$I$32,4,FALSE),test!$J$24:$P$28,4,FALSE))/1440),1,0)</f>
        <v>0</v>
      </c>
      <c r="F39" s="2">
        <f>IF(AND(VLOOKUP(F$1,test!$A$3:$F$32,5,FALSE) - VLOOKUP($B39,test!$A$3:$G$32,6,FALSE) &gt;= (test!$B$34+VLOOKUP(VLOOKUP($B39,test!$A$2:$I$32,4,FALSE),test!$J$24:$P$28,4,FALSE))/1440),1,0)</f>
        <v>0</v>
      </c>
      <c r="G39" s="2">
        <f>IF(AND(VLOOKUP(G$1,test!$A$3:$F$32,5,FALSE) - VLOOKUP($B39,test!$A$3:$G$32,6,FALSE) &gt;= (test!$B$34+VLOOKUP(VLOOKUP($B39,test!$A$2:$I$32,4,FALSE),test!$J$24:$P$28,4,FALSE))/1440),1,0)</f>
        <v>0</v>
      </c>
      <c r="H39" s="2">
        <f>IF(AND(VLOOKUP(H$1,test!$A$3:$F$32,5,FALSE) - VLOOKUP($B39,test!$A$3:$G$32,6,FALSE) &gt;= (test!$B$34+VLOOKUP(VLOOKUP($B39,test!$A$2:$I$32,4,FALSE),test!$J$24:$P$28,4,FALSE))/1440),1,0)</f>
        <v>0</v>
      </c>
      <c r="I39" s="2">
        <f>IF(AND(VLOOKUP(I$1,test!$A$3:$F$32,5,FALSE) - VLOOKUP($B39,test!$A$3:$G$32,6,FALSE) &gt;= (test!$B$34+VLOOKUP(VLOOKUP($B39,test!$A$2:$I$32,4,FALSE),test!$J$24:$P$28,4,FALSE))/1440),1,0)</f>
        <v>0</v>
      </c>
      <c r="J39" s="2">
        <f>IF(AND(VLOOKUP(J$1,test!$A$3:$F$32,5,FALSE) - VLOOKUP($B39,test!$A$3:$G$32,6,FALSE) &gt;= (test!$B$34+VLOOKUP(VLOOKUP($B39,test!$A$2:$I$32,4,FALSE),test!$J$24:$P$28,4,FALSE))/1440),1,0)</f>
        <v>0</v>
      </c>
      <c r="K39" s="2">
        <f>IF(AND(VLOOKUP(K$1,test!$A$3:$F$32,5,FALSE) - VLOOKUP($B39,test!$A$3:$G$32,6,FALSE) &gt;= (test!$B$34+VLOOKUP(VLOOKUP($B39,test!$A$2:$I$32,4,FALSE),test!$J$24:$P$28,4,FALSE))/1440),1,0)</f>
        <v>0</v>
      </c>
      <c r="L39" s="2">
        <f>IF(AND(VLOOKUP(L$1,test!$A$3:$F$32,5,FALSE) - VLOOKUP($B39,test!$A$3:$G$32,6,FALSE) &gt;= (test!$B$34+VLOOKUP(VLOOKUP($B39,test!$A$2:$I$32,4,FALSE),test!$J$24:$P$28,4,FALSE))/1440),1,0)</f>
        <v>0</v>
      </c>
      <c r="M39" s="2">
        <f>IF(AND(VLOOKUP(M$1,test!$A$3:$F$32,5,FALSE) - VLOOKUP($B39,test!$A$3:$G$32,6,FALSE) &gt;= (test!$B$34+VLOOKUP(VLOOKUP($B39,test!$A$2:$I$32,4,FALSE),test!$J$24:$P$28,4,FALSE))/1440),1,0)</f>
        <v>0</v>
      </c>
      <c r="N39" s="2">
        <f>IF(AND(VLOOKUP(N$1,test!$A$3:$F$32,5,FALSE) - VLOOKUP($B39,test!$A$3:$G$32,6,FALSE) &gt;= (test!$B$34+VLOOKUP(VLOOKUP($B39,test!$A$2:$I$32,4,FALSE),test!$J$24:$P$28,4,FALSE))/1440),1,0)</f>
        <v>0</v>
      </c>
      <c r="O39" s="2">
        <f>IF(AND(VLOOKUP(O$1,test!$A$3:$F$32,5,FALSE) - VLOOKUP($B39,test!$A$3:$G$32,6,FALSE) &gt;= (test!$B$34+VLOOKUP(VLOOKUP($B39,test!$A$2:$I$32,4,FALSE),test!$J$24:$P$28,4,FALSE))/1440),1,0)</f>
        <v>0</v>
      </c>
      <c r="P39" s="2">
        <f>IF(AND(VLOOKUP(P$1,test!$A$3:$F$32,5,FALSE) - VLOOKUP($B39,test!$A$3:$G$32,6,FALSE) &gt;= (test!$B$34+VLOOKUP(VLOOKUP($B39,test!$A$2:$I$32,4,FALSE),test!$J$24:$P$28,4,FALSE))/1440),1,0)</f>
        <v>0</v>
      </c>
      <c r="Q39" s="2">
        <f>IF(AND(VLOOKUP(Q$1,test!$A$3:$F$32,5,FALSE) - VLOOKUP($B39,test!$A$3:$G$32,6,FALSE) &gt;= (test!$B$34+VLOOKUP(VLOOKUP($B39,test!$A$2:$I$32,4,FALSE),test!$J$24:$P$28,4,FALSE))/1440),1,0)</f>
        <v>0</v>
      </c>
      <c r="R39" s="2">
        <f>IF(AND(VLOOKUP(R$1,test!$A$3:$F$32,5,FALSE) - VLOOKUP($B39,test!$A$3:$G$32,6,FALSE) &gt;= (test!$B$34+VLOOKUP(VLOOKUP($B39,test!$A$2:$I$32,4,FALSE),test!$J$24:$P$28,4,FALSE))/1440),1,0)</f>
        <v>0</v>
      </c>
      <c r="S39" s="2">
        <f>IF(AND(VLOOKUP(S$1,test!$A$3:$F$32,5,FALSE) - VLOOKUP($B39,test!$A$3:$G$32,6,FALSE) &gt;= (test!$B$34+VLOOKUP(VLOOKUP($B39,test!$A$2:$I$32,4,FALSE),test!$J$24:$P$28,4,FALSE))/1440),1,0)</f>
        <v>0</v>
      </c>
      <c r="T39" s="2">
        <f>IF(AND(VLOOKUP(T$1,test!$A$3:$F$32,5,FALSE) - VLOOKUP($B39,test!$A$3:$G$32,6,FALSE) &gt;= (test!$B$34+VLOOKUP(VLOOKUP($B39,test!$A$2:$I$32,4,FALSE),test!$J$24:$P$28,4,FALSE))/1440),1,0)</f>
        <v>0</v>
      </c>
      <c r="U39" s="2">
        <f>IF(AND(VLOOKUP(U$1,test!$A$3:$F$32,5,FALSE) - VLOOKUP($B39,test!$A$3:$G$32,6,FALSE) &gt;= (test!$B$34+VLOOKUP(VLOOKUP($B39,test!$A$2:$I$32,4,FALSE),test!$J$24:$P$28,4,FALSE))/1440),1,0)</f>
        <v>0</v>
      </c>
      <c r="V39" s="2">
        <f>IF(AND(VLOOKUP(V$1,test!$A$3:$F$32,5,FALSE) - VLOOKUP($B39,test!$A$3:$G$32,6,FALSE) &gt;= (test!$B$34+VLOOKUP(VLOOKUP($B39,test!$A$2:$I$32,4,FALSE),test!$J$24:$P$28,4,FALSE))/1440),1,0)</f>
        <v>0</v>
      </c>
      <c r="W39" s="2">
        <f>IF(AND(VLOOKUP(W$1,test!$A$3:$F$32,5,FALSE) - VLOOKUP($B39,test!$A$3:$G$32,6,FALSE) &gt;= (test!$B$34+VLOOKUP(VLOOKUP($B39,test!$A$2:$I$32,4,FALSE),test!$J$24:$P$28,4,FALSE))/1440),1,0)</f>
        <v>0</v>
      </c>
      <c r="X39" s="2">
        <f>IF(AND(VLOOKUP(X$1,test!$A$3:$F$32,5,FALSE) - VLOOKUP($B39,test!$A$3:$G$32,6,FALSE) &gt;= (test!$B$34+VLOOKUP(VLOOKUP($B39,test!$A$2:$I$32,4,FALSE),test!$J$24:$P$28,4,FALSE))/1440),1,0)</f>
        <v>0</v>
      </c>
      <c r="Y39" s="2">
        <f>IF(AND(VLOOKUP(Y$1,test!$A$3:$F$32,5,FALSE) - VLOOKUP($B39,test!$A$3:$G$32,6,FALSE) &gt;= (test!$B$34+VLOOKUP(VLOOKUP($B39,test!$A$2:$I$32,4,FALSE),test!$J$24:$P$28,4,FALSE))/1440),1,0)</f>
        <v>0</v>
      </c>
      <c r="Z39" s="2">
        <f>IF(AND(VLOOKUP(Z$1,test!$A$3:$F$32,5,FALSE) - VLOOKUP($B39,test!$A$3:$G$32,6,FALSE) &gt;= (test!$B$34+VLOOKUP(VLOOKUP($B39,test!$A$2:$I$32,4,FALSE),test!$J$24:$P$28,4,FALSE))/1440),1,0)</f>
        <v>0</v>
      </c>
      <c r="AA39" s="2">
        <f>IF(AND(VLOOKUP(AA$1,test!$A$3:$F$32,5,FALSE) - VLOOKUP($B39,test!$A$3:$G$32,6,FALSE) &gt;= (test!$B$34+VLOOKUP(VLOOKUP($B39,test!$A$2:$I$32,4,FALSE),test!$J$24:$P$28,4,FALSE))/1440),1,0)</f>
        <v>0</v>
      </c>
      <c r="AB39" s="2">
        <f>IF(AND(VLOOKUP(AB$1,test!$A$3:$F$32,5,FALSE) - VLOOKUP($B39,test!$A$3:$G$32,6,FALSE) &gt;= (test!$B$34+VLOOKUP(VLOOKUP($B39,test!$A$2:$I$32,4,FALSE),test!$J$24:$P$28,4,FALSE))/1440),1,0)</f>
        <v>0</v>
      </c>
      <c r="AC39" s="2">
        <f>IF(AND(VLOOKUP(AC$1,test!$A$3:$F$32,5,FALSE) - VLOOKUP($B39,test!$A$3:$G$32,6,FALSE) &gt;= (test!$B$34+VLOOKUP(VLOOKUP($B39,test!$A$2:$I$32,4,FALSE),test!$J$24:$P$28,4,FALSE))/1440),1,0)</f>
        <v>0</v>
      </c>
      <c r="AD39" s="2">
        <f>IF(AND(VLOOKUP(AD$1,test!$A$3:$F$32,5,FALSE) - VLOOKUP($B39,test!$A$3:$G$32,6,FALSE) &gt;= (test!$B$34+VLOOKUP(VLOOKUP($B39,test!$A$2:$I$32,4,FALSE),test!$J$24:$P$28,4,FALSE))/1440),1,0)</f>
        <v>0</v>
      </c>
      <c r="AE39" s="2">
        <f>IF(AND(VLOOKUP(AE$1,test!$A$3:$F$32,5,FALSE) - VLOOKUP($B39,test!$A$3:$G$32,6,FALSE) &gt;= (test!$B$34+VLOOKUP(VLOOKUP($B39,test!$A$2:$I$32,4,FALSE),test!$J$24:$P$28,4,FALSE))/1440),1,0)</f>
        <v>0</v>
      </c>
      <c r="AF39" s="2">
        <f>IF(AND(VLOOKUP(AF$1,test!$A$3:$F$32,5,FALSE) - VLOOKUP($B39,test!$A$3:$G$32,6,FALSE) &gt;= (test!$B$34+VLOOKUP(VLOOKUP($B39,test!$A$2:$I$32,4,FALSE),test!$J$24:$P$28,4,FALSE))/1440),1,0)</f>
        <v>0</v>
      </c>
      <c r="AG39" s="2">
        <f>IF(AND(VLOOKUP(AG$1,test!$A$3:$F$32,5,FALSE) - VLOOKUP($B39,test!$A$3:$G$32,6,FALSE) &gt;= (test!$B$34+VLOOKUP(VLOOKUP($B39,test!$A$2:$I$32,4,FALSE),test!$J$24:$P$28,4,FALSE))/1440),1,0)</f>
        <v>0</v>
      </c>
    </row>
    <row r="40" spans="1:33" x14ac:dyDescent="0.25">
      <c r="A40" t="s">
        <v>90</v>
      </c>
      <c r="B40" t="s">
        <v>14</v>
      </c>
      <c r="C40">
        <v>0</v>
      </c>
      <c r="D40" s="2">
        <f>IF(AND(VLOOKUP(D$1,test!$A$3:$F$32,5,FALSE) - VLOOKUP($B40,test!$A$3:$G$32,6,FALSE) &gt;= (test!$B$34+VLOOKUP(VLOOKUP($B40,test!$A$2:$I$32,4,FALSE),test!$J$24:$P$28,4,FALSE))/1440),1,0)</f>
        <v>0</v>
      </c>
      <c r="E40" s="2">
        <f>IF(AND(VLOOKUP(E$1,test!$A$3:$F$32,5,FALSE) - VLOOKUP($B40,test!$A$3:$G$32,6,FALSE) &gt;= (test!$B$34+VLOOKUP(VLOOKUP($B40,test!$A$2:$I$32,4,FALSE),test!$J$24:$P$28,4,FALSE))/1440),1,0)</f>
        <v>0</v>
      </c>
      <c r="F40" s="2">
        <f>IF(AND(VLOOKUP(F$1,test!$A$3:$F$32,5,FALSE) - VLOOKUP($B40,test!$A$3:$G$32,6,FALSE) &gt;= (test!$B$34+VLOOKUP(VLOOKUP($B40,test!$A$2:$I$32,4,FALSE),test!$J$24:$P$28,4,FALSE))/1440),1,0)</f>
        <v>0</v>
      </c>
      <c r="G40" s="2">
        <f>IF(AND(VLOOKUP(G$1,test!$A$3:$F$32,5,FALSE) - VLOOKUP($B40,test!$A$3:$G$32,6,FALSE) &gt;= (test!$B$34+VLOOKUP(VLOOKUP($B40,test!$A$2:$I$32,4,FALSE),test!$J$24:$P$28,4,FALSE))/1440),1,0)</f>
        <v>0</v>
      </c>
      <c r="H40" s="2">
        <f>IF(AND(VLOOKUP(H$1,test!$A$3:$F$32,5,FALSE) - VLOOKUP($B40,test!$A$3:$G$32,6,FALSE) &gt;= (test!$B$34+VLOOKUP(VLOOKUP($B40,test!$A$2:$I$32,4,FALSE),test!$J$24:$P$28,4,FALSE))/1440),1,0)</f>
        <v>0</v>
      </c>
      <c r="I40" s="2">
        <f>IF(AND(VLOOKUP(I$1,test!$A$3:$F$32,5,FALSE) - VLOOKUP($B40,test!$A$3:$G$32,6,FALSE) &gt;= (test!$B$34+VLOOKUP(VLOOKUP($B40,test!$A$2:$I$32,4,FALSE),test!$J$24:$P$28,4,FALSE))/1440),1,0)</f>
        <v>0</v>
      </c>
      <c r="J40" s="2">
        <f>IF(AND(VLOOKUP(J$1,test!$A$3:$F$32,5,FALSE) - VLOOKUP($B40,test!$A$3:$G$32,6,FALSE) &gt;= (test!$B$34+VLOOKUP(VLOOKUP($B40,test!$A$2:$I$32,4,FALSE),test!$J$24:$P$28,4,FALSE))/1440),1,0)</f>
        <v>0</v>
      </c>
      <c r="K40" s="2">
        <f>IF(AND(VLOOKUP(K$1,test!$A$3:$F$32,5,FALSE) - VLOOKUP($B40,test!$A$3:$G$32,6,FALSE) &gt;= (test!$B$34+VLOOKUP(VLOOKUP($B40,test!$A$2:$I$32,4,FALSE),test!$J$24:$P$28,4,FALSE))/1440),1,0)</f>
        <v>0</v>
      </c>
      <c r="L40" s="2">
        <f>IF(AND(VLOOKUP(L$1,test!$A$3:$F$32,5,FALSE) - VLOOKUP($B40,test!$A$3:$G$32,6,FALSE) &gt;= (test!$B$34+VLOOKUP(VLOOKUP($B40,test!$A$2:$I$32,4,FALSE),test!$J$24:$P$28,4,FALSE))/1440),1,0)</f>
        <v>0</v>
      </c>
      <c r="M40" s="2">
        <f>IF(AND(VLOOKUP(M$1,test!$A$3:$F$32,5,FALSE) - VLOOKUP($B40,test!$A$3:$G$32,6,FALSE) &gt;= (test!$B$34+VLOOKUP(VLOOKUP($B40,test!$A$2:$I$32,4,FALSE),test!$J$24:$P$28,4,FALSE))/1440),1,0)</f>
        <v>0</v>
      </c>
      <c r="N40" s="2">
        <f>IF(AND(VLOOKUP(N$1,test!$A$3:$F$32,5,FALSE) - VLOOKUP($B40,test!$A$3:$G$32,6,FALSE) &gt;= (test!$B$34+VLOOKUP(VLOOKUP($B40,test!$A$2:$I$32,4,FALSE),test!$J$24:$P$28,4,FALSE))/1440),1,0)</f>
        <v>0</v>
      </c>
      <c r="O40" s="2">
        <f>IF(AND(VLOOKUP(O$1,test!$A$3:$F$32,5,FALSE) - VLOOKUP($B40,test!$A$3:$G$32,6,FALSE) &gt;= (test!$B$34+VLOOKUP(VLOOKUP($B40,test!$A$2:$I$32,4,FALSE),test!$J$24:$P$28,4,FALSE))/1440),1,0)</f>
        <v>0</v>
      </c>
      <c r="P40" s="2">
        <f>IF(AND(VLOOKUP(P$1,test!$A$3:$F$32,5,FALSE) - VLOOKUP($B40,test!$A$3:$G$32,6,FALSE) &gt;= (test!$B$34+VLOOKUP(VLOOKUP($B40,test!$A$2:$I$32,4,FALSE),test!$J$24:$P$28,4,FALSE))/1440),1,0)</f>
        <v>0</v>
      </c>
      <c r="Q40" s="2">
        <f>IF(AND(VLOOKUP(Q$1,test!$A$3:$F$32,5,FALSE) - VLOOKUP($B40,test!$A$3:$G$32,6,FALSE) &gt;= (test!$B$34+VLOOKUP(VLOOKUP($B40,test!$A$2:$I$32,4,FALSE),test!$J$24:$P$28,4,FALSE))/1440),1,0)</f>
        <v>0</v>
      </c>
      <c r="R40" s="2">
        <f>IF(AND(VLOOKUP(R$1,test!$A$3:$F$32,5,FALSE) - VLOOKUP($B40,test!$A$3:$G$32,6,FALSE) &gt;= (test!$B$34+VLOOKUP(VLOOKUP($B40,test!$A$2:$I$32,4,FALSE),test!$J$24:$P$28,4,FALSE))/1440),1,0)</f>
        <v>0</v>
      </c>
      <c r="S40" s="2">
        <f>IF(AND(VLOOKUP(S$1,test!$A$3:$F$32,5,FALSE) - VLOOKUP($B40,test!$A$3:$G$32,6,FALSE) &gt;= (test!$B$34+VLOOKUP(VLOOKUP($B40,test!$A$2:$I$32,4,FALSE),test!$J$24:$P$28,4,FALSE))/1440),1,0)</f>
        <v>0</v>
      </c>
      <c r="T40" s="2">
        <f>IF(AND(VLOOKUP(T$1,test!$A$3:$F$32,5,FALSE) - VLOOKUP($B40,test!$A$3:$G$32,6,FALSE) &gt;= (test!$B$34+VLOOKUP(VLOOKUP($B40,test!$A$2:$I$32,4,FALSE),test!$J$24:$P$28,4,FALSE))/1440),1,0)</f>
        <v>0</v>
      </c>
      <c r="U40" s="2">
        <f>IF(AND(VLOOKUP(U$1,test!$A$3:$F$32,5,FALSE) - VLOOKUP($B40,test!$A$3:$G$32,6,FALSE) &gt;= (test!$B$34+VLOOKUP(VLOOKUP($B40,test!$A$2:$I$32,4,FALSE),test!$J$24:$P$28,4,FALSE))/1440),1,0)</f>
        <v>0</v>
      </c>
      <c r="V40" s="2">
        <f>IF(AND(VLOOKUP(V$1,test!$A$3:$F$32,5,FALSE) - VLOOKUP($B40,test!$A$3:$G$32,6,FALSE) &gt;= (test!$B$34+VLOOKUP(VLOOKUP($B40,test!$A$2:$I$32,4,FALSE),test!$J$24:$P$28,4,FALSE))/1440),1,0)</f>
        <v>0</v>
      </c>
      <c r="W40" s="2">
        <f>IF(AND(VLOOKUP(W$1,test!$A$3:$F$32,5,FALSE) - VLOOKUP($B40,test!$A$3:$G$32,6,FALSE) &gt;= (test!$B$34+VLOOKUP(VLOOKUP($B40,test!$A$2:$I$32,4,FALSE),test!$J$24:$P$28,4,FALSE))/1440),1,0)</f>
        <v>0</v>
      </c>
      <c r="X40" s="2">
        <f>IF(AND(VLOOKUP(X$1,test!$A$3:$F$32,5,FALSE) - VLOOKUP($B40,test!$A$3:$G$32,6,FALSE) &gt;= (test!$B$34+VLOOKUP(VLOOKUP($B40,test!$A$2:$I$32,4,FALSE),test!$J$24:$P$28,4,FALSE))/1440),1,0)</f>
        <v>0</v>
      </c>
      <c r="Y40" s="2">
        <f>IF(AND(VLOOKUP(Y$1,test!$A$3:$F$32,5,FALSE) - VLOOKUP($B40,test!$A$3:$G$32,6,FALSE) &gt;= (test!$B$34+VLOOKUP(VLOOKUP($B40,test!$A$2:$I$32,4,FALSE),test!$J$24:$P$28,4,FALSE))/1440),1,0)</f>
        <v>0</v>
      </c>
      <c r="Z40" s="2">
        <f>IF(AND(VLOOKUP(Z$1,test!$A$3:$F$32,5,FALSE) - VLOOKUP($B40,test!$A$3:$G$32,6,FALSE) &gt;= (test!$B$34+VLOOKUP(VLOOKUP($B40,test!$A$2:$I$32,4,FALSE),test!$J$24:$P$28,4,FALSE))/1440),1,0)</f>
        <v>0</v>
      </c>
      <c r="AA40" s="2">
        <f>IF(AND(VLOOKUP(AA$1,test!$A$3:$F$32,5,FALSE) - VLOOKUP($B40,test!$A$3:$G$32,6,FALSE) &gt;= (test!$B$34+VLOOKUP(VLOOKUP($B40,test!$A$2:$I$32,4,FALSE),test!$J$24:$P$28,4,FALSE))/1440),1,0)</f>
        <v>0</v>
      </c>
      <c r="AB40" s="2">
        <f>IF(AND(VLOOKUP(AB$1,test!$A$3:$F$32,5,FALSE) - VLOOKUP($B40,test!$A$3:$G$32,6,FALSE) &gt;= (test!$B$34+VLOOKUP(VLOOKUP($B40,test!$A$2:$I$32,4,FALSE),test!$J$24:$P$28,4,FALSE))/1440),1,0)</f>
        <v>0</v>
      </c>
      <c r="AC40" s="2">
        <f>IF(AND(VLOOKUP(AC$1,test!$A$3:$F$32,5,FALSE) - VLOOKUP($B40,test!$A$3:$G$32,6,FALSE) &gt;= (test!$B$34+VLOOKUP(VLOOKUP($B40,test!$A$2:$I$32,4,FALSE),test!$J$24:$P$28,4,FALSE))/1440),1,0)</f>
        <v>0</v>
      </c>
      <c r="AD40" s="2">
        <f>IF(AND(VLOOKUP(AD$1,test!$A$3:$F$32,5,FALSE) - VLOOKUP($B40,test!$A$3:$G$32,6,FALSE) &gt;= (test!$B$34+VLOOKUP(VLOOKUP($B40,test!$A$2:$I$32,4,FALSE),test!$J$24:$P$28,4,FALSE))/1440),1,0)</f>
        <v>0</v>
      </c>
      <c r="AE40" s="2">
        <f>IF(AND(VLOOKUP(AE$1,test!$A$3:$F$32,5,FALSE) - VLOOKUP($B40,test!$A$3:$G$32,6,FALSE) &gt;= (test!$B$34+VLOOKUP(VLOOKUP($B40,test!$A$2:$I$32,4,FALSE),test!$J$24:$P$28,4,FALSE))/1440),1,0)</f>
        <v>0</v>
      </c>
      <c r="AF40" s="2">
        <f>IF(AND(VLOOKUP(AF$1,test!$A$3:$F$32,5,FALSE) - VLOOKUP($B40,test!$A$3:$G$32,6,FALSE) &gt;= (test!$B$34+VLOOKUP(VLOOKUP($B40,test!$A$2:$I$32,4,FALSE),test!$J$24:$P$28,4,FALSE))/1440),1,0)</f>
        <v>0</v>
      </c>
      <c r="AG40" s="2">
        <f>IF(AND(VLOOKUP(AG$1,test!$A$3:$F$32,5,FALSE) - VLOOKUP($B40,test!$A$3:$G$32,6,FALSE) &gt;= (test!$B$34+VLOOKUP(VLOOKUP($B40,test!$A$2:$I$32,4,FALSE),test!$J$24:$P$28,4,FALSE))/1440),1,0)</f>
        <v>0</v>
      </c>
    </row>
    <row r="41" spans="1:33" x14ac:dyDescent="0.25">
      <c r="A41" t="s">
        <v>90</v>
      </c>
      <c r="B41" t="s">
        <v>15</v>
      </c>
      <c r="C41">
        <v>0</v>
      </c>
      <c r="D41" s="2">
        <f>IF(AND(VLOOKUP(D$1,test!$A$3:$F$32,5,FALSE) - VLOOKUP($B41,test!$A$3:$G$32,6,FALSE) &gt;= (test!$B$34+VLOOKUP(VLOOKUP($B41,test!$A$2:$I$32,4,FALSE),test!$J$24:$P$28,4,FALSE))/1440),1,0)</f>
        <v>0</v>
      </c>
      <c r="E41" s="2">
        <f>IF(AND(VLOOKUP(E$1,test!$A$3:$F$32,5,FALSE) - VLOOKUP($B41,test!$A$3:$G$32,6,FALSE) &gt;= (test!$B$34+VLOOKUP(VLOOKUP($B41,test!$A$2:$I$32,4,FALSE),test!$J$24:$P$28,4,FALSE))/1440),1,0)</f>
        <v>0</v>
      </c>
      <c r="F41" s="2">
        <f>IF(AND(VLOOKUP(F$1,test!$A$3:$F$32,5,FALSE) - VLOOKUP($B41,test!$A$3:$G$32,6,FALSE) &gt;= (test!$B$34+VLOOKUP(VLOOKUP($B41,test!$A$2:$I$32,4,FALSE),test!$J$24:$P$28,4,FALSE))/1440),1,0)</f>
        <v>0</v>
      </c>
      <c r="G41" s="2">
        <f>IF(AND(VLOOKUP(G$1,test!$A$3:$F$32,5,FALSE) - VLOOKUP($B41,test!$A$3:$G$32,6,FALSE) &gt;= (test!$B$34+VLOOKUP(VLOOKUP($B41,test!$A$2:$I$32,4,FALSE),test!$J$24:$P$28,4,FALSE))/1440),1,0)</f>
        <v>0</v>
      </c>
      <c r="H41" s="2">
        <f>IF(AND(VLOOKUP(H$1,test!$A$3:$F$32,5,FALSE) - VLOOKUP($B41,test!$A$3:$G$32,6,FALSE) &gt;= (test!$B$34+VLOOKUP(VLOOKUP($B41,test!$A$2:$I$32,4,FALSE),test!$J$24:$P$28,4,FALSE))/1440),1,0)</f>
        <v>0</v>
      </c>
      <c r="I41" s="2">
        <f>IF(AND(VLOOKUP(I$1,test!$A$3:$F$32,5,FALSE) - VLOOKUP($B41,test!$A$3:$G$32,6,FALSE) &gt;= (test!$B$34+VLOOKUP(VLOOKUP($B41,test!$A$2:$I$32,4,FALSE),test!$J$24:$P$28,4,FALSE))/1440),1,0)</f>
        <v>0</v>
      </c>
      <c r="J41" s="2">
        <f>IF(AND(VLOOKUP(J$1,test!$A$3:$F$32,5,FALSE) - VLOOKUP($B41,test!$A$3:$G$32,6,FALSE) &gt;= (test!$B$34+VLOOKUP(VLOOKUP($B41,test!$A$2:$I$32,4,FALSE),test!$J$24:$P$28,4,FALSE))/1440),1,0)</f>
        <v>0</v>
      </c>
      <c r="K41" s="2">
        <f>IF(AND(VLOOKUP(K$1,test!$A$3:$F$32,5,FALSE) - VLOOKUP($B41,test!$A$3:$G$32,6,FALSE) &gt;= (test!$B$34+VLOOKUP(VLOOKUP($B41,test!$A$2:$I$32,4,FALSE),test!$J$24:$P$28,4,FALSE))/1440),1,0)</f>
        <v>0</v>
      </c>
      <c r="L41" s="2">
        <f>IF(AND(VLOOKUP(L$1,test!$A$3:$F$32,5,FALSE) - VLOOKUP($B41,test!$A$3:$G$32,6,FALSE) &gt;= (test!$B$34+VLOOKUP(VLOOKUP($B41,test!$A$2:$I$32,4,FALSE),test!$J$24:$P$28,4,FALSE))/1440),1,0)</f>
        <v>0</v>
      </c>
      <c r="M41" s="2">
        <f>IF(AND(VLOOKUP(M$1,test!$A$3:$F$32,5,FALSE) - VLOOKUP($B41,test!$A$3:$G$32,6,FALSE) &gt;= (test!$B$34+VLOOKUP(VLOOKUP($B41,test!$A$2:$I$32,4,FALSE),test!$J$24:$P$28,4,FALSE))/1440),1,0)</f>
        <v>0</v>
      </c>
      <c r="N41" s="2">
        <f>IF(AND(VLOOKUP(N$1,test!$A$3:$F$32,5,FALSE) - VLOOKUP($B41,test!$A$3:$G$32,6,FALSE) &gt;= (test!$B$34+VLOOKUP(VLOOKUP($B41,test!$A$2:$I$32,4,FALSE),test!$J$24:$P$28,4,FALSE))/1440),1,0)</f>
        <v>0</v>
      </c>
      <c r="O41" s="2">
        <f>IF(AND(VLOOKUP(O$1,test!$A$3:$F$32,5,FALSE) - VLOOKUP($B41,test!$A$3:$G$32,6,FALSE) &gt;= (test!$B$34+VLOOKUP(VLOOKUP($B41,test!$A$2:$I$32,4,FALSE),test!$J$24:$P$28,4,FALSE))/1440),1,0)</f>
        <v>0</v>
      </c>
      <c r="P41" s="2">
        <f>IF(AND(VLOOKUP(P$1,test!$A$3:$F$32,5,FALSE) - VLOOKUP($B41,test!$A$3:$G$32,6,FALSE) &gt;= (test!$B$34+VLOOKUP(VLOOKUP($B41,test!$A$2:$I$32,4,FALSE),test!$J$24:$P$28,4,FALSE))/1440),1,0)</f>
        <v>0</v>
      </c>
      <c r="Q41" s="2">
        <f>IF(AND(VLOOKUP(Q$1,test!$A$3:$F$32,5,FALSE) - VLOOKUP($B41,test!$A$3:$G$32,6,FALSE) &gt;= (test!$B$34+VLOOKUP(VLOOKUP($B41,test!$A$2:$I$32,4,FALSE),test!$J$24:$P$28,4,FALSE))/1440),1,0)</f>
        <v>0</v>
      </c>
      <c r="R41" s="2">
        <f>IF(AND(VLOOKUP(R$1,test!$A$3:$F$32,5,FALSE) - VLOOKUP($B41,test!$A$3:$G$32,6,FALSE) &gt;= (test!$B$34+VLOOKUP(VLOOKUP($B41,test!$A$2:$I$32,4,FALSE),test!$J$24:$P$28,4,FALSE))/1440),1,0)</f>
        <v>0</v>
      </c>
      <c r="S41" s="2">
        <f>IF(AND(VLOOKUP(S$1,test!$A$3:$F$32,5,FALSE) - VLOOKUP($B41,test!$A$3:$G$32,6,FALSE) &gt;= (test!$B$34+VLOOKUP(VLOOKUP($B41,test!$A$2:$I$32,4,FALSE),test!$J$24:$P$28,4,FALSE))/1440),1,0)</f>
        <v>0</v>
      </c>
      <c r="T41" s="2">
        <f>IF(AND(VLOOKUP(T$1,test!$A$3:$F$32,5,FALSE) - VLOOKUP($B41,test!$A$3:$G$32,6,FALSE) &gt;= (test!$B$34+VLOOKUP(VLOOKUP($B41,test!$A$2:$I$32,4,FALSE),test!$J$24:$P$28,4,FALSE))/1440),1,0)</f>
        <v>0</v>
      </c>
      <c r="U41" s="2">
        <f>IF(AND(VLOOKUP(U$1,test!$A$3:$F$32,5,FALSE) - VLOOKUP($B41,test!$A$3:$G$32,6,FALSE) &gt;= (test!$B$34+VLOOKUP(VLOOKUP($B41,test!$A$2:$I$32,4,FALSE),test!$J$24:$P$28,4,FALSE))/1440),1,0)</f>
        <v>0</v>
      </c>
      <c r="V41" s="2">
        <f>IF(AND(VLOOKUP(V$1,test!$A$3:$F$32,5,FALSE) - VLOOKUP($B41,test!$A$3:$G$32,6,FALSE) &gt;= (test!$B$34+VLOOKUP(VLOOKUP($B41,test!$A$2:$I$32,4,FALSE),test!$J$24:$P$28,4,FALSE))/1440),1,0)</f>
        <v>0</v>
      </c>
      <c r="W41" s="2">
        <f>IF(AND(VLOOKUP(W$1,test!$A$3:$F$32,5,FALSE) - VLOOKUP($B41,test!$A$3:$G$32,6,FALSE) &gt;= (test!$B$34+VLOOKUP(VLOOKUP($B41,test!$A$2:$I$32,4,FALSE),test!$J$24:$P$28,4,FALSE))/1440),1,0)</f>
        <v>0</v>
      </c>
      <c r="X41" s="2">
        <f>IF(AND(VLOOKUP(X$1,test!$A$3:$F$32,5,FALSE) - VLOOKUP($B41,test!$A$3:$G$32,6,FALSE) &gt;= (test!$B$34+VLOOKUP(VLOOKUP($B41,test!$A$2:$I$32,4,FALSE),test!$J$24:$P$28,4,FALSE))/1440),1,0)</f>
        <v>0</v>
      </c>
      <c r="Y41" s="2">
        <f>IF(AND(VLOOKUP(Y$1,test!$A$3:$F$32,5,FALSE) - VLOOKUP($B41,test!$A$3:$G$32,6,FALSE) &gt;= (test!$B$34+VLOOKUP(VLOOKUP($B41,test!$A$2:$I$32,4,FALSE),test!$J$24:$P$28,4,FALSE))/1440),1,0)</f>
        <v>0</v>
      </c>
      <c r="Z41" s="2">
        <f>IF(AND(VLOOKUP(Z$1,test!$A$3:$F$32,5,FALSE) - VLOOKUP($B41,test!$A$3:$G$32,6,FALSE) &gt;= (test!$B$34+VLOOKUP(VLOOKUP($B41,test!$A$2:$I$32,4,FALSE),test!$J$24:$P$28,4,FALSE))/1440),1,0)</f>
        <v>0</v>
      </c>
      <c r="AA41" s="2">
        <f>IF(AND(VLOOKUP(AA$1,test!$A$3:$F$32,5,FALSE) - VLOOKUP($B41,test!$A$3:$G$32,6,FALSE) &gt;= (test!$B$34+VLOOKUP(VLOOKUP($B41,test!$A$2:$I$32,4,FALSE),test!$J$24:$P$28,4,FALSE))/1440),1,0)</f>
        <v>0</v>
      </c>
      <c r="AB41" s="2">
        <f>IF(AND(VLOOKUP(AB$1,test!$A$3:$F$32,5,FALSE) - VLOOKUP($B41,test!$A$3:$G$32,6,FALSE) &gt;= (test!$B$34+VLOOKUP(VLOOKUP($B41,test!$A$2:$I$32,4,FALSE),test!$J$24:$P$28,4,FALSE))/1440),1,0)</f>
        <v>0</v>
      </c>
      <c r="AC41" s="2">
        <f>IF(AND(VLOOKUP(AC$1,test!$A$3:$F$32,5,FALSE) - VLOOKUP($B41,test!$A$3:$G$32,6,FALSE) &gt;= (test!$B$34+VLOOKUP(VLOOKUP($B41,test!$A$2:$I$32,4,FALSE),test!$J$24:$P$28,4,FALSE))/1440),1,0)</f>
        <v>0</v>
      </c>
      <c r="AD41" s="2">
        <f>IF(AND(VLOOKUP(AD$1,test!$A$3:$F$32,5,FALSE) - VLOOKUP($B41,test!$A$3:$G$32,6,FALSE) &gt;= (test!$B$34+VLOOKUP(VLOOKUP($B41,test!$A$2:$I$32,4,FALSE),test!$J$24:$P$28,4,FALSE))/1440),1,0)</f>
        <v>0</v>
      </c>
      <c r="AE41" s="2">
        <f>IF(AND(VLOOKUP(AE$1,test!$A$3:$F$32,5,FALSE) - VLOOKUP($B41,test!$A$3:$G$32,6,FALSE) &gt;= (test!$B$34+VLOOKUP(VLOOKUP($B41,test!$A$2:$I$32,4,FALSE),test!$J$24:$P$28,4,FALSE))/1440),1,0)</f>
        <v>0</v>
      </c>
      <c r="AF41" s="2">
        <f>IF(AND(VLOOKUP(AF$1,test!$A$3:$F$32,5,FALSE) - VLOOKUP($B41,test!$A$3:$G$32,6,FALSE) &gt;= (test!$B$34+VLOOKUP(VLOOKUP($B41,test!$A$2:$I$32,4,FALSE),test!$J$24:$P$28,4,FALSE))/1440),1,0)</f>
        <v>0</v>
      </c>
      <c r="AG41" s="2">
        <f>IF(AND(VLOOKUP(AG$1,test!$A$3:$F$32,5,FALSE) - VLOOKUP($B41,test!$A$3:$G$32,6,FALSE) &gt;= (test!$B$34+VLOOKUP(VLOOKUP($B41,test!$A$2:$I$32,4,FALSE),test!$J$24:$P$28,4,FALSE))/1440),1,0)</f>
        <v>0</v>
      </c>
    </row>
    <row r="42" spans="1:33" x14ac:dyDescent="0.25">
      <c r="A42" t="s">
        <v>90</v>
      </c>
      <c r="B42" t="s">
        <v>18</v>
      </c>
      <c r="C42">
        <v>0</v>
      </c>
      <c r="D42" s="2">
        <f>IF(AND(VLOOKUP(D$1,test!$A$3:$F$32,5,FALSE) - VLOOKUP($B42,test!$A$3:$G$32,6,FALSE) &gt;= (test!$B$34+VLOOKUP(VLOOKUP($B42,test!$A$2:$I$32,4,FALSE),test!$J$24:$P$28,4,FALSE))/1440),1,0)</f>
        <v>0</v>
      </c>
      <c r="E42" s="2">
        <f>IF(AND(VLOOKUP(E$1,test!$A$3:$F$32,5,FALSE) - VLOOKUP($B42,test!$A$3:$G$32,6,FALSE) &gt;= (test!$B$34+VLOOKUP(VLOOKUP($B42,test!$A$2:$I$32,4,FALSE),test!$J$24:$P$28,4,FALSE))/1440),1,0)</f>
        <v>0</v>
      </c>
      <c r="F42" s="2">
        <f>IF(AND(VLOOKUP(F$1,test!$A$3:$F$32,5,FALSE) - VLOOKUP($B42,test!$A$3:$G$32,6,FALSE) &gt;= (test!$B$34+VLOOKUP(VLOOKUP($B42,test!$A$2:$I$32,4,FALSE),test!$J$24:$P$28,4,FALSE))/1440),1,0)</f>
        <v>1</v>
      </c>
      <c r="G42" s="2">
        <f>IF(AND(VLOOKUP(G$1,test!$A$3:$F$32,5,FALSE) - VLOOKUP($B42,test!$A$3:$G$32,6,FALSE) &gt;= (test!$B$34+VLOOKUP(VLOOKUP($B42,test!$A$2:$I$32,4,FALSE),test!$J$24:$P$28,4,FALSE))/1440),1,0)</f>
        <v>1</v>
      </c>
      <c r="H42" s="2">
        <f>IF(AND(VLOOKUP(H$1,test!$A$3:$F$32,5,FALSE) - VLOOKUP($B42,test!$A$3:$G$32,6,FALSE) &gt;= (test!$B$34+VLOOKUP(VLOOKUP($B42,test!$A$2:$I$32,4,FALSE),test!$J$24:$P$28,4,FALSE))/1440),1,0)</f>
        <v>1</v>
      </c>
      <c r="I42" s="2">
        <f>IF(AND(VLOOKUP(I$1,test!$A$3:$F$32,5,FALSE) - VLOOKUP($B42,test!$A$3:$G$32,6,FALSE) &gt;= (test!$B$34+VLOOKUP(VLOOKUP($B42,test!$A$2:$I$32,4,FALSE),test!$J$24:$P$28,4,FALSE))/1440),1,0)</f>
        <v>1</v>
      </c>
      <c r="J42" s="2">
        <f>IF(AND(VLOOKUP(J$1,test!$A$3:$F$32,5,FALSE) - VLOOKUP($B42,test!$A$3:$G$32,6,FALSE) &gt;= (test!$B$34+VLOOKUP(VLOOKUP($B42,test!$A$2:$I$32,4,FALSE),test!$J$24:$P$28,4,FALSE))/1440),1,0)</f>
        <v>1</v>
      </c>
      <c r="K42" s="2">
        <f>IF(AND(VLOOKUP(K$1,test!$A$3:$F$32,5,FALSE) - VLOOKUP($B42,test!$A$3:$G$32,6,FALSE) &gt;= (test!$B$34+VLOOKUP(VLOOKUP($B42,test!$A$2:$I$32,4,FALSE),test!$J$24:$P$28,4,FALSE))/1440),1,0)</f>
        <v>1</v>
      </c>
      <c r="L42" s="2">
        <f>IF(AND(VLOOKUP(L$1,test!$A$3:$F$32,5,FALSE) - VLOOKUP($B42,test!$A$3:$G$32,6,FALSE) &gt;= (test!$B$34+VLOOKUP(VLOOKUP($B42,test!$A$2:$I$32,4,FALSE),test!$J$24:$P$28,4,FALSE))/1440),1,0)</f>
        <v>0</v>
      </c>
      <c r="M42" s="2">
        <f>IF(AND(VLOOKUP(M$1,test!$A$3:$F$32,5,FALSE) - VLOOKUP($B42,test!$A$3:$G$32,6,FALSE) &gt;= (test!$B$34+VLOOKUP(VLOOKUP($B42,test!$A$2:$I$32,4,FALSE),test!$J$24:$P$28,4,FALSE))/1440),1,0)</f>
        <v>0</v>
      </c>
      <c r="N42" s="2">
        <f>IF(AND(VLOOKUP(N$1,test!$A$3:$F$32,5,FALSE) - VLOOKUP($B42,test!$A$3:$G$32,6,FALSE) &gt;= (test!$B$34+VLOOKUP(VLOOKUP($B42,test!$A$2:$I$32,4,FALSE),test!$J$24:$P$28,4,FALSE))/1440),1,0)</f>
        <v>0</v>
      </c>
      <c r="O42" s="2">
        <f>IF(AND(VLOOKUP(O$1,test!$A$3:$F$32,5,FALSE) - VLOOKUP($B42,test!$A$3:$G$32,6,FALSE) &gt;= (test!$B$34+VLOOKUP(VLOOKUP($B42,test!$A$2:$I$32,4,FALSE),test!$J$24:$P$28,4,FALSE))/1440),1,0)</f>
        <v>1</v>
      </c>
      <c r="P42" s="2">
        <f>IF(AND(VLOOKUP(P$1,test!$A$3:$F$32,5,FALSE) - VLOOKUP($B42,test!$A$3:$G$32,6,FALSE) &gt;= (test!$B$34+VLOOKUP(VLOOKUP($B42,test!$A$2:$I$32,4,FALSE),test!$J$24:$P$28,4,FALSE))/1440),1,0)</f>
        <v>1</v>
      </c>
      <c r="Q42" s="2">
        <f>IF(AND(VLOOKUP(Q$1,test!$A$3:$F$32,5,FALSE) - VLOOKUP($B42,test!$A$3:$G$32,6,FALSE) &gt;= (test!$B$34+VLOOKUP(VLOOKUP($B42,test!$A$2:$I$32,4,FALSE),test!$J$24:$P$28,4,FALSE))/1440),1,0)</f>
        <v>0</v>
      </c>
      <c r="R42" s="2">
        <f>IF(AND(VLOOKUP(R$1,test!$A$3:$F$32,5,FALSE) - VLOOKUP($B42,test!$A$3:$G$32,6,FALSE) &gt;= (test!$B$34+VLOOKUP(VLOOKUP($B42,test!$A$2:$I$32,4,FALSE),test!$J$24:$P$28,4,FALSE))/1440),1,0)</f>
        <v>0</v>
      </c>
      <c r="S42" s="2">
        <f>IF(AND(VLOOKUP(S$1,test!$A$3:$F$32,5,FALSE) - VLOOKUP($B42,test!$A$3:$G$32,6,FALSE) &gt;= (test!$B$34+VLOOKUP(VLOOKUP($B42,test!$A$2:$I$32,4,FALSE),test!$J$24:$P$28,4,FALSE))/1440),1,0)</f>
        <v>0</v>
      </c>
      <c r="T42" s="2">
        <f>IF(AND(VLOOKUP(T$1,test!$A$3:$F$32,5,FALSE) - VLOOKUP($B42,test!$A$3:$G$32,6,FALSE) &gt;= (test!$B$34+VLOOKUP(VLOOKUP($B42,test!$A$2:$I$32,4,FALSE),test!$J$24:$P$28,4,FALSE))/1440),1,0)</f>
        <v>0</v>
      </c>
      <c r="U42" s="2">
        <f>IF(AND(VLOOKUP(U$1,test!$A$3:$F$32,5,FALSE) - VLOOKUP($B42,test!$A$3:$G$32,6,FALSE) &gt;= (test!$B$34+VLOOKUP(VLOOKUP($B42,test!$A$2:$I$32,4,FALSE),test!$J$24:$P$28,4,FALSE))/1440),1,0)</f>
        <v>0</v>
      </c>
      <c r="V42" s="2">
        <f>IF(AND(VLOOKUP(V$1,test!$A$3:$F$32,5,FALSE) - VLOOKUP($B42,test!$A$3:$G$32,6,FALSE) &gt;= (test!$B$34+VLOOKUP(VLOOKUP($B42,test!$A$2:$I$32,4,FALSE),test!$J$24:$P$28,4,FALSE))/1440),1,0)</f>
        <v>1</v>
      </c>
      <c r="W42" s="2">
        <f>IF(AND(VLOOKUP(W$1,test!$A$3:$F$32,5,FALSE) - VLOOKUP($B42,test!$A$3:$G$32,6,FALSE) &gt;= (test!$B$34+VLOOKUP(VLOOKUP($B42,test!$A$2:$I$32,4,FALSE),test!$J$24:$P$28,4,FALSE))/1440),1,0)</f>
        <v>1</v>
      </c>
      <c r="X42" s="2">
        <f>IF(AND(VLOOKUP(X$1,test!$A$3:$F$32,5,FALSE) - VLOOKUP($B42,test!$A$3:$G$32,6,FALSE) &gt;= (test!$B$34+VLOOKUP(VLOOKUP($B42,test!$A$2:$I$32,4,FALSE),test!$J$24:$P$28,4,FALSE))/1440),1,0)</f>
        <v>1</v>
      </c>
      <c r="Y42" s="2">
        <f>IF(AND(VLOOKUP(Y$1,test!$A$3:$F$32,5,FALSE) - VLOOKUP($B42,test!$A$3:$G$32,6,FALSE) &gt;= (test!$B$34+VLOOKUP(VLOOKUP($B42,test!$A$2:$I$32,4,FALSE),test!$J$24:$P$28,4,FALSE))/1440),1,0)</f>
        <v>1</v>
      </c>
      <c r="Z42" s="2">
        <f>IF(AND(VLOOKUP(Z$1,test!$A$3:$F$32,5,FALSE) - VLOOKUP($B42,test!$A$3:$G$32,6,FALSE) &gt;= (test!$B$34+VLOOKUP(VLOOKUP($B42,test!$A$2:$I$32,4,FALSE),test!$J$24:$P$28,4,FALSE))/1440),1,0)</f>
        <v>0</v>
      </c>
      <c r="AA42" s="2">
        <f>IF(AND(VLOOKUP(AA$1,test!$A$3:$F$32,5,FALSE) - VLOOKUP($B42,test!$A$3:$G$32,6,FALSE) &gt;= (test!$B$34+VLOOKUP(VLOOKUP($B42,test!$A$2:$I$32,4,FALSE),test!$J$24:$P$28,4,FALSE))/1440),1,0)</f>
        <v>0</v>
      </c>
      <c r="AB42" s="2">
        <f>IF(AND(VLOOKUP(AB$1,test!$A$3:$F$32,5,FALSE) - VLOOKUP($B42,test!$A$3:$G$32,6,FALSE) &gt;= (test!$B$34+VLOOKUP(VLOOKUP($B42,test!$A$2:$I$32,4,FALSE),test!$J$24:$P$28,4,FALSE))/1440),1,0)</f>
        <v>1</v>
      </c>
      <c r="AC42" s="2">
        <f>IF(AND(VLOOKUP(AC$1,test!$A$3:$F$32,5,FALSE) - VLOOKUP($B42,test!$A$3:$G$32,6,FALSE) &gt;= (test!$B$34+VLOOKUP(VLOOKUP($B42,test!$A$2:$I$32,4,FALSE),test!$J$24:$P$28,4,FALSE))/1440),1,0)</f>
        <v>1</v>
      </c>
      <c r="AD42" s="2">
        <f>IF(AND(VLOOKUP(AD$1,test!$A$3:$F$32,5,FALSE) - VLOOKUP($B42,test!$A$3:$G$32,6,FALSE) &gt;= (test!$B$34+VLOOKUP(VLOOKUP($B42,test!$A$2:$I$32,4,FALSE),test!$J$24:$P$28,4,FALSE))/1440),1,0)</f>
        <v>1</v>
      </c>
      <c r="AE42" s="2">
        <f>IF(AND(VLOOKUP(AE$1,test!$A$3:$F$32,5,FALSE) - VLOOKUP($B42,test!$A$3:$G$32,6,FALSE) &gt;= (test!$B$34+VLOOKUP(VLOOKUP($B42,test!$A$2:$I$32,4,FALSE),test!$J$24:$P$28,4,FALSE))/1440),1,0)</f>
        <v>0</v>
      </c>
      <c r="AF42" s="2">
        <f>IF(AND(VLOOKUP(AF$1,test!$A$3:$F$32,5,FALSE) - VLOOKUP($B42,test!$A$3:$G$32,6,FALSE) &gt;= (test!$B$34+VLOOKUP(VLOOKUP($B42,test!$A$2:$I$32,4,FALSE),test!$J$24:$P$28,4,FALSE))/1440),1,0)</f>
        <v>1</v>
      </c>
      <c r="AG42" s="2">
        <f>IF(AND(VLOOKUP(AG$1,test!$A$3:$F$32,5,FALSE) - VLOOKUP($B42,test!$A$3:$G$32,6,FALSE) &gt;= (test!$B$34+VLOOKUP(VLOOKUP($B42,test!$A$2:$I$32,4,FALSE),test!$J$24:$P$28,4,FALSE))/1440),1,0)</f>
        <v>0</v>
      </c>
    </row>
    <row r="43" spans="1:33" x14ac:dyDescent="0.25">
      <c r="A43" t="s">
        <v>90</v>
      </c>
      <c r="B43" t="s">
        <v>20</v>
      </c>
      <c r="C43">
        <v>0</v>
      </c>
      <c r="D43" s="2">
        <f>IF(AND(VLOOKUP(D$1,test!$A$3:$F$32,5,FALSE) - VLOOKUP($B43,test!$A$3:$G$32,6,FALSE) &gt;= (test!$B$34+VLOOKUP(VLOOKUP($B43,test!$A$2:$I$32,4,FALSE),test!$J$24:$P$28,4,FALSE))/1440),1,0)</f>
        <v>0</v>
      </c>
      <c r="E43" s="2">
        <f>IF(AND(VLOOKUP(E$1,test!$A$3:$F$32,5,FALSE) - VLOOKUP($B43,test!$A$3:$G$32,6,FALSE) &gt;= (test!$B$34+VLOOKUP(VLOOKUP($B43,test!$A$2:$I$32,4,FALSE),test!$J$24:$P$28,4,FALSE))/1440),1,0)</f>
        <v>0</v>
      </c>
      <c r="F43" s="2">
        <f>IF(AND(VLOOKUP(F$1,test!$A$3:$F$32,5,FALSE) - VLOOKUP($B43,test!$A$3:$G$32,6,FALSE) &gt;= (test!$B$34+VLOOKUP(VLOOKUP($B43,test!$A$2:$I$32,4,FALSE),test!$J$24:$P$28,4,FALSE))/1440),1,0)</f>
        <v>0</v>
      </c>
      <c r="G43" s="2">
        <f>IF(AND(VLOOKUP(G$1,test!$A$3:$F$32,5,FALSE) - VLOOKUP($B43,test!$A$3:$G$32,6,FALSE) &gt;= (test!$B$34+VLOOKUP(VLOOKUP($B43,test!$A$2:$I$32,4,FALSE),test!$J$24:$P$28,4,FALSE))/1440),1,0)</f>
        <v>0</v>
      </c>
      <c r="H43" s="2">
        <f>IF(AND(VLOOKUP(H$1,test!$A$3:$F$32,5,FALSE) - VLOOKUP($B43,test!$A$3:$G$32,6,FALSE) &gt;= (test!$B$34+VLOOKUP(VLOOKUP($B43,test!$A$2:$I$32,4,FALSE),test!$J$24:$P$28,4,FALSE))/1440),1,0)</f>
        <v>1</v>
      </c>
      <c r="I43" s="2">
        <f>IF(AND(VLOOKUP(I$1,test!$A$3:$F$32,5,FALSE) - VLOOKUP($B43,test!$A$3:$G$32,6,FALSE) &gt;= (test!$B$34+VLOOKUP(VLOOKUP($B43,test!$A$2:$I$32,4,FALSE),test!$J$24:$P$28,4,FALSE))/1440),1,0)</f>
        <v>1</v>
      </c>
      <c r="J43" s="2">
        <f>IF(AND(VLOOKUP(J$1,test!$A$3:$F$32,5,FALSE) - VLOOKUP($B43,test!$A$3:$G$32,6,FALSE) &gt;= (test!$B$34+VLOOKUP(VLOOKUP($B43,test!$A$2:$I$32,4,FALSE),test!$J$24:$P$28,4,FALSE))/1440),1,0)</f>
        <v>1</v>
      </c>
      <c r="K43" s="2">
        <f>IF(AND(VLOOKUP(K$1,test!$A$3:$F$32,5,FALSE) - VLOOKUP($B43,test!$A$3:$G$32,6,FALSE) &gt;= (test!$B$34+VLOOKUP(VLOOKUP($B43,test!$A$2:$I$32,4,FALSE),test!$J$24:$P$28,4,FALSE))/1440),1,0)</f>
        <v>1</v>
      </c>
      <c r="L43" s="2">
        <f>IF(AND(VLOOKUP(L$1,test!$A$3:$F$32,5,FALSE) - VLOOKUP($B43,test!$A$3:$G$32,6,FALSE) &gt;= (test!$B$34+VLOOKUP(VLOOKUP($B43,test!$A$2:$I$32,4,FALSE),test!$J$24:$P$28,4,FALSE))/1440),1,0)</f>
        <v>0</v>
      </c>
      <c r="M43" s="2">
        <f>IF(AND(VLOOKUP(M$1,test!$A$3:$F$32,5,FALSE) - VLOOKUP($B43,test!$A$3:$G$32,6,FALSE) &gt;= (test!$B$34+VLOOKUP(VLOOKUP($B43,test!$A$2:$I$32,4,FALSE),test!$J$24:$P$28,4,FALSE))/1440),1,0)</f>
        <v>0</v>
      </c>
      <c r="N43" s="2">
        <f>IF(AND(VLOOKUP(N$1,test!$A$3:$F$32,5,FALSE) - VLOOKUP($B43,test!$A$3:$G$32,6,FALSE) &gt;= (test!$B$34+VLOOKUP(VLOOKUP($B43,test!$A$2:$I$32,4,FALSE),test!$J$24:$P$28,4,FALSE))/1440),1,0)</f>
        <v>0</v>
      </c>
      <c r="O43" s="2">
        <f>IF(AND(VLOOKUP(O$1,test!$A$3:$F$32,5,FALSE) - VLOOKUP($B43,test!$A$3:$G$32,6,FALSE) &gt;= (test!$B$34+VLOOKUP(VLOOKUP($B43,test!$A$2:$I$32,4,FALSE),test!$J$24:$P$28,4,FALSE))/1440),1,0)</f>
        <v>1</v>
      </c>
      <c r="P43" s="2">
        <f>IF(AND(VLOOKUP(P$1,test!$A$3:$F$32,5,FALSE) - VLOOKUP($B43,test!$A$3:$G$32,6,FALSE) &gt;= (test!$B$34+VLOOKUP(VLOOKUP($B43,test!$A$2:$I$32,4,FALSE),test!$J$24:$P$28,4,FALSE))/1440),1,0)</f>
        <v>1</v>
      </c>
      <c r="Q43" s="2">
        <f>IF(AND(VLOOKUP(Q$1,test!$A$3:$F$32,5,FALSE) - VLOOKUP($B43,test!$A$3:$G$32,6,FALSE) &gt;= (test!$B$34+VLOOKUP(VLOOKUP($B43,test!$A$2:$I$32,4,FALSE),test!$J$24:$P$28,4,FALSE))/1440),1,0)</f>
        <v>0</v>
      </c>
      <c r="R43" s="2">
        <f>IF(AND(VLOOKUP(R$1,test!$A$3:$F$32,5,FALSE) - VLOOKUP($B43,test!$A$3:$G$32,6,FALSE) &gt;= (test!$B$34+VLOOKUP(VLOOKUP($B43,test!$A$2:$I$32,4,FALSE),test!$J$24:$P$28,4,FALSE))/1440),1,0)</f>
        <v>0</v>
      </c>
      <c r="S43" s="2">
        <f>IF(AND(VLOOKUP(S$1,test!$A$3:$F$32,5,FALSE) - VLOOKUP($B43,test!$A$3:$G$32,6,FALSE) &gt;= (test!$B$34+VLOOKUP(VLOOKUP($B43,test!$A$2:$I$32,4,FALSE),test!$J$24:$P$28,4,FALSE))/1440),1,0)</f>
        <v>0</v>
      </c>
      <c r="T43" s="2">
        <f>IF(AND(VLOOKUP(T$1,test!$A$3:$F$32,5,FALSE) - VLOOKUP($B43,test!$A$3:$G$32,6,FALSE) &gt;= (test!$B$34+VLOOKUP(VLOOKUP($B43,test!$A$2:$I$32,4,FALSE),test!$J$24:$P$28,4,FALSE))/1440),1,0)</f>
        <v>0</v>
      </c>
      <c r="U43" s="2">
        <f>IF(AND(VLOOKUP(U$1,test!$A$3:$F$32,5,FALSE) - VLOOKUP($B43,test!$A$3:$G$32,6,FALSE) &gt;= (test!$B$34+VLOOKUP(VLOOKUP($B43,test!$A$2:$I$32,4,FALSE),test!$J$24:$P$28,4,FALSE))/1440),1,0)</f>
        <v>0</v>
      </c>
      <c r="V43" s="2">
        <f>IF(AND(VLOOKUP(V$1,test!$A$3:$F$32,5,FALSE) - VLOOKUP($B43,test!$A$3:$G$32,6,FALSE) &gt;= (test!$B$34+VLOOKUP(VLOOKUP($B43,test!$A$2:$I$32,4,FALSE),test!$J$24:$P$28,4,FALSE))/1440),1,0)</f>
        <v>0</v>
      </c>
      <c r="W43" s="2">
        <f>IF(AND(VLOOKUP(W$1,test!$A$3:$F$32,5,FALSE) - VLOOKUP($B43,test!$A$3:$G$32,6,FALSE) &gt;= (test!$B$34+VLOOKUP(VLOOKUP($B43,test!$A$2:$I$32,4,FALSE),test!$J$24:$P$28,4,FALSE))/1440),1,0)</f>
        <v>1</v>
      </c>
      <c r="X43" s="2">
        <f>IF(AND(VLOOKUP(X$1,test!$A$3:$F$32,5,FALSE) - VLOOKUP($B43,test!$A$3:$G$32,6,FALSE) &gt;= (test!$B$34+VLOOKUP(VLOOKUP($B43,test!$A$2:$I$32,4,FALSE),test!$J$24:$P$28,4,FALSE))/1440),1,0)</f>
        <v>1</v>
      </c>
      <c r="Y43" s="2">
        <f>IF(AND(VLOOKUP(Y$1,test!$A$3:$F$32,5,FALSE) - VLOOKUP($B43,test!$A$3:$G$32,6,FALSE) &gt;= (test!$B$34+VLOOKUP(VLOOKUP($B43,test!$A$2:$I$32,4,FALSE),test!$J$24:$P$28,4,FALSE))/1440),1,0)</f>
        <v>1</v>
      </c>
      <c r="Z43" s="2">
        <f>IF(AND(VLOOKUP(Z$1,test!$A$3:$F$32,5,FALSE) - VLOOKUP($B43,test!$A$3:$G$32,6,FALSE) &gt;= (test!$B$34+VLOOKUP(VLOOKUP($B43,test!$A$2:$I$32,4,FALSE),test!$J$24:$P$28,4,FALSE))/1440),1,0)</f>
        <v>0</v>
      </c>
      <c r="AA43" s="2">
        <f>IF(AND(VLOOKUP(AA$1,test!$A$3:$F$32,5,FALSE) - VLOOKUP($B43,test!$A$3:$G$32,6,FALSE) &gt;= (test!$B$34+VLOOKUP(VLOOKUP($B43,test!$A$2:$I$32,4,FALSE),test!$J$24:$P$28,4,FALSE))/1440),1,0)</f>
        <v>0</v>
      </c>
      <c r="AB43" s="2">
        <f>IF(AND(VLOOKUP(AB$1,test!$A$3:$F$32,5,FALSE) - VLOOKUP($B43,test!$A$3:$G$32,6,FALSE) &gt;= (test!$B$34+VLOOKUP(VLOOKUP($B43,test!$A$2:$I$32,4,FALSE),test!$J$24:$P$28,4,FALSE))/1440),1,0)</f>
        <v>0</v>
      </c>
      <c r="AC43" s="2">
        <f>IF(AND(VLOOKUP(AC$1,test!$A$3:$F$32,5,FALSE) - VLOOKUP($B43,test!$A$3:$G$32,6,FALSE) &gt;= (test!$B$34+VLOOKUP(VLOOKUP($B43,test!$A$2:$I$32,4,FALSE),test!$J$24:$P$28,4,FALSE))/1440),1,0)</f>
        <v>0</v>
      </c>
      <c r="AD43" s="2">
        <f>IF(AND(VLOOKUP(AD$1,test!$A$3:$F$32,5,FALSE) - VLOOKUP($B43,test!$A$3:$G$32,6,FALSE) &gt;= (test!$B$34+VLOOKUP(VLOOKUP($B43,test!$A$2:$I$32,4,FALSE),test!$J$24:$P$28,4,FALSE))/1440),1,0)</f>
        <v>1</v>
      </c>
      <c r="AE43" s="2">
        <f>IF(AND(VLOOKUP(AE$1,test!$A$3:$F$32,5,FALSE) - VLOOKUP($B43,test!$A$3:$G$32,6,FALSE) &gt;= (test!$B$34+VLOOKUP(VLOOKUP($B43,test!$A$2:$I$32,4,FALSE),test!$J$24:$P$28,4,FALSE))/1440),1,0)</f>
        <v>0</v>
      </c>
      <c r="AF43" s="2">
        <f>IF(AND(VLOOKUP(AF$1,test!$A$3:$F$32,5,FALSE) - VLOOKUP($B43,test!$A$3:$G$32,6,FALSE) &gt;= (test!$B$34+VLOOKUP(VLOOKUP($B43,test!$A$2:$I$32,4,FALSE),test!$J$24:$P$28,4,FALSE))/1440),1,0)</f>
        <v>0</v>
      </c>
      <c r="AG43" s="2">
        <f>IF(AND(VLOOKUP(AG$1,test!$A$3:$F$32,5,FALSE) - VLOOKUP($B43,test!$A$3:$G$32,6,FALSE) &gt;= (test!$B$34+VLOOKUP(VLOOKUP($B43,test!$A$2:$I$32,4,FALSE),test!$J$24:$P$28,4,FALSE))/1440),1,0)</f>
        <v>0</v>
      </c>
    </row>
    <row r="44" spans="1:33" x14ac:dyDescent="0.25">
      <c r="A44" t="s">
        <v>90</v>
      </c>
      <c r="B44" t="s">
        <v>21</v>
      </c>
      <c r="C44">
        <v>0</v>
      </c>
      <c r="D44" s="2">
        <f>IF(AND(VLOOKUP(D$1,test!$A$3:$F$32,5,FALSE) - VLOOKUP($B44,test!$A$3:$G$32,6,FALSE) &gt;= (test!$B$34+VLOOKUP(VLOOKUP($B44,test!$A$2:$I$32,4,FALSE),test!$J$24:$P$28,4,FALSE))/1440),1,0)</f>
        <v>0</v>
      </c>
      <c r="E44" s="2">
        <f>IF(AND(VLOOKUP(E$1,test!$A$3:$F$32,5,FALSE) - VLOOKUP($B44,test!$A$3:$G$32,6,FALSE) &gt;= (test!$B$34+VLOOKUP(VLOOKUP($B44,test!$A$2:$I$32,4,FALSE),test!$J$24:$P$28,4,FALSE))/1440),1,0)</f>
        <v>0</v>
      </c>
      <c r="F44" s="2">
        <f>IF(AND(VLOOKUP(F$1,test!$A$3:$F$32,5,FALSE) - VLOOKUP($B44,test!$A$3:$G$32,6,FALSE) &gt;= (test!$B$34+VLOOKUP(VLOOKUP($B44,test!$A$2:$I$32,4,FALSE),test!$J$24:$P$28,4,FALSE))/1440),1,0)</f>
        <v>0</v>
      </c>
      <c r="G44" s="2">
        <f>IF(AND(VLOOKUP(G$1,test!$A$3:$F$32,5,FALSE) - VLOOKUP($B44,test!$A$3:$G$32,6,FALSE) &gt;= (test!$B$34+VLOOKUP(VLOOKUP($B44,test!$A$2:$I$32,4,FALSE),test!$J$24:$P$28,4,FALSE))/1440),1,0)</f>
        <v>0</v>
      </c>
      <c r="H44" s="2">
        <f>IF(AND(VLOOKUP(H$1,test!$A$3:$F$32,5,FALSE) - VLOOKUP($B44,test!$A$3:$G$32,6,FALSE) &gt;= (test!$B$34+VLOOKUP(VLOOKUP($B44,test!$A$2:$I$32,4,FALSE),test!$J$24:$P$28,4,FALSE))/1440),1,0)</f>
        <v>0</v>
      </c>
      <c r="I44" s="2">
        <f>IF(AND(VLOOKUP(I$1,test!$A$3:$F$32,5,FALSE) - VLOOKUP($B44,test!$A$3:$G$32,6,FALSE) &gt;= (test!$B$34+VLOOKUP(VLOOKUP($B44,test!$A$2:$I$32,4,FALSE),test!$J$24:$P$28,4,FALSE))/1440),1,0)</f>
        <v>0</v>
      </c>
      <c r="J44" s="2">
        <f>IF(AND(VLOOKUP(J$1,test!$A$3:$F$32,5,FALSE) - VLOOKUP($B44,test!$A$3:$G$32,6,FALSE) &gt;= (test!$B$34+VLOOKUP(VLOOKUP($B44,test!$A$2:$I$32,4,FALSE),test!$J$24:$P$28,4,FALSE))/1440),1,0)</f>
        <v>1</v>
      </c>
      <c r="K44" s="2">
        <f>IF(AND(VLOOKUP(K$1,test!$A$3:$F$32,5,FALSE) - VLOOKUP($B44,test!$A$3:$G$32,6,FALSE) &gt;= (test!$B$34+VLOOKUP(VLOOKUP($B44,test!$A$2:$I$32,4,FALSE),test!$J$24:$P$28,4,FALSE))/1440),1,0)</f>
        <v>1</v>
      </c>
      <c r="L44" s="2">
        <f>IF(AND(VLOOKUP(L$1,test!$A$3:$F$32,5,FALSE) - VLOOKUP($B44,test!$A$3:$G$32,6,FALSE) &gt;= (test!$B$34+VLOOKUP(VLOOKUP($B44,test!$A$2:$I$32,4,FALSE),test!$J$24:$P$28,4,FALSE))/1440),1,0)</f>
        <v>0</v>
      </c>
      <c r="M44" s="2">
        <f>IF(AND(VLOOKUP(M$1,test!$A$3:$F$32,5,FALSE) - VLOOKUP($B44,test!$A$3:$G$32,6,FALSE) &gt;= (test!$B$34+VLOOKUP(VLOOKUP($B44,test!$A$2:$I$32,4,FALSE),test!$J$24:$P$28,4,FALSE))/1440),1,0)</f>
        <v>0</v>
      </c>
      <c r="N44" s="2">
        <f>IF(AND(VLOOKUP(N$1,test!$A$3:$F$32,5,FALSE) - VLOOKUP($B44,test!$A$3:$G$32,6,FALSE) &gt;= (test!$B$34+VLOOKUP(VLOOKUP($B44,test!$A$2:$I$32,4,FALSE),test!$J$24:$P$28,4,FALSE))/1440),1,0)</f>
        <v>0</v>
      </c>
      <c r="O44" s="2">
        <f>IF(AND(VLOOKUP(O$1,test!$A$3:$F$32,5,FALSE) - VLOOKUP($B44,test!$A$3:$G$32,6,FALSE) &gt;= (test!$B$34+VLOOKUP(VLOOKUP($B44,test!$A$2:$I$32,4,FALSE),test!$J$24:$P$28,4,FALSE))/1440),1,0)</f>
        <v>1</v>
      </c>
      <c r="P44" s="2">
        <f>IF(AND(VLOOKUP(P$1,test!$A$3:$F$32,5,FALSE) - VLOOKUP($B44,test!$A$3:$G$32,6,FALSE) &gt;= (test!$B$34+VLOOKUP(VLOOKUP($B44,test!$A$2:$I$32,4,FALSE),test!$J$24:$P$28,4,FALSE))/1440),1,0)</f>
        <v>1</v>
      </c>
      <c r="Q44" s="2">
        <f>IF(AND(VLOOKUP(Q$1,test!$A$3:$F$32,5,FALSE) - VLOOKUP($B44,test!$A$3:$G$32,6,FALSE) &gt;= (test!$B$34+VLOOKUP(VLOOKUP($B44,test!$A$2:$I$32,4,FALSE),test!$J$24:$P$28,4,FALSE))/1440),1,0)</f>
        <v>0</v>
      </c>
      <c r="R44" s="2">
        <f>IF(AND(VLOOKUP(R$1,test!$A$3:$F$32,5,FALSE) - VLOOKUP($B44,test!$A$3:$G$32,6,FALSE) &gt;= (test!$B$34+VLOOKUP(VLOOKUP($B44,test!$A$2:$I$32,4,FALSE),test!$J$24:$P$28,4,FALSE))/1440),1,0)</f>
        <v>0</v>
      </c>
      <c r="S44" s="2">
        <f>IF(AND(VLOOKUP(S$1,test!$A$3:$F$32,5,FALSE) - VLOOKUP($B44,test!$A$3:$G$32,6,FALSE) &gt;= (test!$B$34+VLOOKUP(VLOOKUP($B44,test!$A$2:$I$32,4,FALSE),test!$J$24:$P$28,4,FALSE))/1440),1,0)</f>
        <v>0</v>
      </c>
      <c r="T44" s="2">
        <f>IF(AND(VLOOKUP(T$1,test!$A$3:$F$32,5,FALSE) - VLOOKUP($B44,test!$A$3:$G$32,6,FALSE) &gt;= (test!$B$34+VLOOKUP(VLOOKUP($B44,test!$A$2:$I$32,4,FALSE),test!$J$24:$P$28,4,FALSE))/1440),1,0)</f>
        <v>0</v>
      </c>
      <c r="U44" s="2">
        <f>IF(AND(VLOOKUP(U$1,test!$A$3:$F$32,5,FALSE) - VLOOKUP($B44,test!$A$3:$G$32,6,FALSE) &gt;= (test!$B$34+VLOOKUP(VLOOKUP($B44,test!$A$2:$I$32,4,FALSE),test!$J$24:$P$28,4,FALSE))/1440),1,0)</f>
        <v>0</v>
      </c>
      <c r="V44" s="2">
        <f>IF(AND(VLOOKUP(V$1,test!$A$3:$F$32,5,FALSE) - VLOOKUP($B44,test!$A$3:$G$32,6,FALSE) &gt;= (test!$B$34+VLOOKUP(VLOOKUP($B44,test!$A$2:$I$32,4,FALSE),test!$J$24:$P$28,4,FALSE))/1440),1,0)</f>
        <v>0</v>
      </c>
      <c r="W44" s="2">
        <f>IF(AND(VLOOKUP(W$1,test!$A$3:$F$32,5,FALSE) - VLOOKUP($B44,test!$A$3:$G$32,6,FALSE) &gt;= (test!$B$34+VLOOKUP(VLOOKUP($B44,test!$A$2:$I$32,4,FALSE),test!$J$24:$P$28,4,FALSE))/1440),1,0)</f>
        <v>0</v>
      </c>
      <c r="X44" s="2">
        <f>IF(AND(VLOOKUP(X$1,test!$A$3:$F$32,5,FALSE) - VLOOKUP($B44,test!$A$3:$G$32,6,FALSE) &gt;= (test!$B$34+VLOOKUP(VLOOKUP($B44,test!$A$2:$I$32,4,FALSE),test!$J$24:$P$28,4,FALSE))/1440),1,0)</f>
        <v>1</v>
      </c>
      <c r="Y44" s="2">
        <f>IF(AND(VLOOKUP(Y$1,test!$A$3:$F$32,5,FALSE) - VLOOKUP($B44,test!$A$3:$G$32,6,FALSE) &gt;= (test!$B$34+VLOOKUP(VLOOKUP($B44,test!$A$2:$I$32,4,FALSE),test!$J$24:$P$28,4,FALSE))/1440),1,0)</f>
        <v>1</v>
      </c>
      <c r="Z44" s="2">
        <f>IF(AND(VLOOKUP(Z$1,test!$A$3:$F$32,5,FALSE) - VLOOKUP($B44,test!$A$3:$G$32,6,FALSE) &gt;= (test!$B$34+VLOOKUP(VLOOKUP($B44,test!$A$2:$I$32,4,FALSE),test!$J$24:$P$28,4,FALSE))/1440),1,0)</f>
        <v>0</v>
      </c>
      <c r="AA44" s="2">
        <f>IF(AND(VLOOKUP(AA$1,test!$A$3:$F$32,5,FALSE) - VLOOKUP($B44,test!$A$3:$G$32,6,FALSE) &gt;= (test!$B$34+VLOOKUP(VLOOKUP($B44,test!$A$2:$I$32,4,FALSE),test!$J$24:$P$28,4,FALSE))/1440),1,0)</f>
        <v>0</v>
      </c>
      <c r="AB44" s="2">
        <f>IF(AND(VLOOKUP(AB$1,test!$A$3:$F$32,5,FALSE) - VLOOKUP($B44,test!$A$3:$G$32,6,FALSE) &gt;= (test!$B$34+VLOOKUP(VLOOKUP($B44,test!$A$2:$I$32,4,FALSE),test!$J$24:$P$28,4,FALSE))/1440),1,0)</f>
        <v>0</v>
      </c>
      <c r="AC44" s="2">
        <f>IF(AND(VLOOKUP(AC$1,test!$A$3:$F$32,5,FALSE) - VLOOKUP($B44,test!$A$3:$G$32,6,FALSE) &gt;= (test!$B$34+VLOOKUP(VLOOKUP($B44,test!$A$2:$I$32,4,FALSE),test!$J$24:$P$28,4,FALSE))/1440),1,0)</f>
        <v>0</v>
      </c>
      <c r="AD44" s="2">
        <f>IF(AND(VLOOKUP(AD$1,test!$A$3:$F$32,5,FALSE) - VLOOKUP($B44,test!$A$3:$G$32,6,FALSE) &gt;= (test!$B$34+VLOOKUP(VLOOKUP($B44,test!$A$2:$I$32,4,FALSE),test!$J$24:$P$28,4,FALSE))/1440),1,0)</f>
        <v>0</v>
      </c>
      <c r="AE44" s="2">
        <f>IF(AND(VLOOKUP(AE$1,test!$A$3:$F$32,5,FALSE) - VLOOKUP($B44,test!$A$3:$G$32,6,FALSE) &gt;= (test!$B$34+VLOOKUP(VLOOKUP($B44,test!$A$2:$I$32,4,FALSE),test!$J$24:$P$28,4,FALSE))/1440),1,0)</f>
        <v>0</v>
      </c>
      <c r="AF44" s="2">
        <f>IF(AND(VLOOKUP(AF$1,test!$A$3:$F$32,5,FALSE) - VLOOKUP($B44,test!$A$3:$G$32,6,FALSE) &gt;= (test!$B$34+VLOOKUP(VLOOKUP($B44,test!$A$2:$I$32,4,FALSE),test!$J$24:$P$28,4,FALSE))/1440),1,0)</f>
        <v>0</v>
      </c>
      <c r="AG44" s="2">
        <f>IF(AND(VLOOKUP(AG$1,test!$A$3:$F$32,5,FALSE) - VLOOKUP($B44,test!$A$3:$G$32,6,FALSE) &gt;= (test!$B$34+VLOOKUP(VLOOKUP($B44,test!$A$2:$I$32,4,FALSE),test!$J$24:$P$28,4,FALSE))/1440),1,0)</f>
        <v>0</v>
      </c>
    </row>
    <row r="45" spans="1:33" x14ac:dyDescent="0.25">
      <c r="A45" t="s">
        <v>90</v>
      </c>
      <c r="B45" t="s">
        <v>22</v>
      </c>
      <c r="C45">
        <v>0</v>
      </c>
      <c r="D45" s="2">
        <f>IF(AND(VLOOKUP(D$1,test!$A$3:$F$32,5,FALSE) - VLOOKUP($B45,test!$A$3:$G$32,6,FALSE) &gt;= (test!$B$34+VLOOKUP(VLOOKUP($B45,test!$A$2:$I$32,4,FALSE),test!$J$24:$P$28,4,FALSE))/1440),1,0)</f>
        <v>0</v>
      </c>
      <c r="E45" s="2">
        <f>IF(AND(VLOOKUP(E$1,test!$A$3:$F$32,5,FALSE) - VLOOKUP($B45,test!$A$3:$G$32,6,FALSE) &gt;= (test!$B$34+VLOOKUP(VLOOKUP($B45,test!$A$2:$I$32,4,FALSE),test!$J$24:$P$28,4,FALSE))/1440),1,0)</f>
        <v>0</v>
      </c>
      <c r="F45" s="2">
        <f>IF(AND(VLOOKUP(F$1,test!$A$3:$F$32,5,FALSE) - VLOOKUP($B45,test!$A$3:$G$32,6,FALSE) &gt;= (test!$B$34+VLOOKUP(VLOOKUP($B45,test!$A$2:$I$32,4,FALSE),test!$J$24:$P$28,4,FALSE))/1440),1,0)</f>
        <v>0</v>
      </c>
      <c r="G45" s="2">
        <f>IF(AND(VLOOKUP(G$1,test!$A$3:$F$32,5,FALSE) - VLOOKUP($B45,test!$A$3:$G$32,6,FALSE) &gt;= (test!$B$34+VLOOKUP(VLOOKUP($B45,test!$A$2:$I$32,4,FALSE),test!$J$24:$P$28,4,FALSE))/1440),1,0)</f>
        <v>0</v>
      </c>
      <c r="H45" s="2">
        <f>IF(AND(VLOOKUP(H$1,test!$A$3:$F$32,5,FALSE) - VLOOKUP($B45,test!$A$3:$G$32,6,FALSE) &gt;= (test!$B$34+VLOOKUP(VLOOKUP($B45,test!$A$2:$I$32,4,FALSE),test!$J$24:$P$28,4,FALSE))/1440),1,0)</f>
        <v>0</v>
      </c>
      <c r="I45" s="2">
        <f>IF(AND(VLOOKUP(I$1,test!$A$3:$F$32,5,FALSE) - VLOOKUP($B45,test!$A$3:$G$32,6,FALSE) &gt;= (test!$B$34+VLOOKUP(VLOOKUP($B45,test!$A$2:$I$32,4,FALSE),test!$J$24:$P$28,4,FALSE))/1440),1,0)</f>
        <v>0</v>
      </c>
      <c r="J45" s="2">
        <f>IF(AND(VLOOKUP(J$1,test!$A$3:$F$32,5,FALSE) - VLOOKUP($B45,test!$A$3:$G$32,6,FALSE) &gt;= (test!$B$34+VLOOKUP(VLOOKUP($B45,test!$A$2:$I$32,4,FALSE),test!$J$24:$P$28,4,FALSE))/1440),1,0)</f>
        <v>0</v>
      </c>
      <c r="K45" s="2">
        <f>IF(AND(VLOOKUP(K$1,test!$A$3:$F$32,5,FALSE) - VLOOKUP($B45,test!$A$3:$G$32,6,FALSE) &gt;= (test!$B$34+VLOOKUP(VLOOKUP($B45,test!$A$2:$I$32,4,FALSE),test!$J$24:$P$28,4,FALSE))/1440),1,0)</f>
        <v>0</v>
      </c>
      <c r="L45" s="2">
        <f>IF(AND(VLOOKUP(L$1,test!$A$3:$F$32,5,FALSE) - VLOOKUP($B45,test!$A$3:$G$32,6,FALSE) &gt;= (test!$B$34+VLOOKUP(VLOOKUP($B45,test!$A$2:$I$32,4,FALSE),test!$J$24:$P$28,4,FALSE))/1440),1,0)</f>
        <v>0</v>
      </c>
      <c r="M45" s="2">
        <f>IF(AND(VLOOKUP(M$1,test!$A$3:$F$32,5,FALSE) - VLOOKUP($B45,test!$A$3:$G$32,6,FALSE) &gt;= (test!$B$34+VLOOKUP(VLOOKUP($B45,test!$A$2:$I$32,4,FALSE),test!$J$24:$P$28,4,FALSE))/1440),1,0)</f>
        <v>0</v>
      </c>
      <c r="N45" s="2">
        <f>IF(AND(VLOOKUP(N$1,test!$A$3:$F$32,5,FALSE) - VLOOKUP($B45,test!$A$3:$G$32,6,FALSE) &gt;= (test!$B$34+VLOOKUP(VLOOKUP($B45,test!$A$2:$I$32,4,FALSE),test!$J$24:$P$28,4,FALSE))/1440),1,0)</f>
        <v>0</v>
      </c>
      <c r="O45" s="2">
        <f>IF(AND(VLOOKUP(O$1,test!$A$3:$F$32,5,FALSE) - VLOOKUP($B45,test!$A$3:$G$32,6,FALSE) &gt;= (test!$B$34+VLOOKUP(VLOOKUP($B45,test!$A$2:$I$32,4,FALSE),test!$J$24:$P$28,4,FALSE))/1440),1,0)</f>
        <v>0</v>
      </c>
      <c r="P45" s="2">
        <f>IF(AND(VLOOKUP(P$1,test!$A$3:$F$32,5,FALSE) - VLOOKUP($B45,test!$A$3:$G$32,6,FALSE) &gt;= (test!$B$34+VLOOKUP(VLOOKUP($B45,test!$A$2:$I$32,4,FALSE),test!$J$24:$P$28,4,FALSE))/1440),1,0)</f>
        <v>0</v>
      </c>
      <c r="Q45" s="2">
        <f>IF(AND(VLOOKUP(Q$1,test!$A$3:$F$32,5,FALSE) - VLOOKUP($B45,test!$A$3:$G$32,6,FALSE) &gt;= (test!$B$34+VLOOKUP(VLOOKUP($B45,test!$A$2:$I$32,4,FALSE),test!$J$24:$P$28,4,FALSE))/1440),1,0)</f>
        <v>0</v>
      </c>
      <c r="R45" s="2">
        <f>IF(AND(VLOOKUP(R$1,test!$A$3:$F$32,5,FALSE) - VLOOKUP($B45,test!$A$3:$G$32,6,FALSE) &gt;= (test!$B$34+VLOOKUP(VLOOKUP($B45,test!$A$2:$I$32,4,FALSE),test!$J$24:$P$28,4,FALSE))/1440),1,0)</f>
        <v>0</v>
      </c>
      <c r="S45" s="2">
        <f>IF(AND(VLOOKUP(S$1,test!$A$3:$F$32,5,FALSE) - VLOOKUP($B45,test!$A$3:$G$32,6,FALSE) &gt;= (test!$B$34+VLOOKUP(VLOOKUP($B45,test!$A$2:$I$32,4,FALSE),test!$J$24:$P$28,4,FALSE))/1440),1,0)</f>
        <v>0</v>
      </c>
      <c r="T45" s="2">
        <f>IF(AND(VLOOKUP(T$1,test!$A$3:$F$32,5,FALSE) - VLOOKUP($B45,test!$A$3:$G$32,6,FALSE) &gt;= (test!$B$34+VLOOKUP(VLOOKUP($B45,test!$A$2:$I$32,4,FALSE),test!$J$24:$P$28,4,FALSE))/1440),1,0)</f>
        <v>0</v>
      </c>
      <c r="U45" s="2">
        <f>IF(AND(VLOOKUP(U$1,test!$A$3:$F$32,5,FALSE) - VLOOKUP($B45,test!$A$3:$G$32,6,FALSE) &gt;= (test!$B$34+VLOOKUP(VLOOKUP($B45,test!$A$2:$I$32,4,FALSE),test!$J$24:$P$28,4,FALSE))/1440),1,0)</f>
        <v>0</v>
      </c>
      <c r="V45" s="2">
        <f>IF(AND(VLOOKUP(V$1,test!$A$3:$F$32,5,FALSE) - VLOOKUP($B45,test!$A$3:$G$32,6,FALSE) &gt;= (test!$B$34+VLOOKUP(VLOOKUP($B45,test!$A$2:$I$32,4,FALSE),test!$J$24:$P$28,4,FALSE))/1440),1,0)</f>
        <v>0</v>
      </c>
      <c r="W45" s="2">
        <f>IF(AND(VLOOKUP(W$1,test!$A$3:$F$32,5,FALSE) - VLOOKUP($B45,test!$A$3:$G$32,6,FALSE) &gt;= (test!$B$34+VLOOKUP(VLOOKUP($B45,test!$A$2:$I$32,4,FALSE),test!$J$24:$P$28,4,FALSE))/1440),1,0)</f>
        <v>0</v>
      </c>
      <c r="X45" s="2">
        <f>IF(AND(VLOOKUP(X$1,test!$A$3:$F$32,5,FALSE) - VLOOKUP($B45,test!$A$3:$G$32,6,FALSE) &gt;= (test!$B$34+VLOOKUP(VLOOKUP($B45,test!$A$2:$I$32,4,FALSE),test!$J$24:$P$28,4,FALSE))/1440),1,0)</f>
        <v>0</v>
      </c>
      <c r="Y45" s="2">
        <f>IF(AND(VLOOKUP(Y$1,test!$A$3:$F$32,5,FALSE) - VLOOKUP($B45,test!$A$3:$G$32,6,FALSE) &gt;= (test!$B$34+VLOOKUP(VLOOKUP($B45,test!$A$2:$I$32,4,FALSE),test!$J$24:$P$28,4,FALSE))/1440),1,0)</f>
        <v>0</v>
      </c>
      <c r="Z45" s="2">
        <f>IF(AND(VLOOKUP(Z$1,test!$A$3:$F$32,5,FALSE) - VLOOKUP($B45,test!$A$3:$G$32,6,FALSE) &gt;= (test!$B$34+VLOOKUP(VLOOKUP($B45,test!$A$2:$I$32,4,FALSE),test!$J$24:$P$28,4,FALSE))/1440),1,0)</f>
        <v>0</v>
      </c>
      <c r="AA45" s="2">
        <f>IF(AND(VLOOKUP(AA$1,test!$A$3:$F$32,5,FALSE) - VLOOKUP($B45,test!$A$3:$G$32,6,FALSE) &gt;= (test!$B$34+VLOOKUP(VLOOKUP($B45,test!$A$2:$I$32,4,FALSE),test!$J$24:$P$28,4,FALSE))/1440),1,0)</f>
        <v>0</v>
      </c>
      <c r="AB45" s="2">
        <f>IF(AND(VLOOKUP(AB$1,test!$A$3:$F$32,5,FALSE) - VLOOKUP($B45,test!$A$3:$G$32,6,FALSE) &gt;= (test!$B$34+VLOOKUP(VLOOKUP($B45,test!$A$2:$I$32,4,FALSE),test!$J$24:$P$28,4,FALSE))/1440),1,0)</f>
        <v>0</v>
      </c>
      <c r="AC45" s="2">
        <f>IF(AND(VLOOKUP(AC$1,test!$A$3:$F$32,5,FALSE) - VLOOKUP($B45,test!$A$3:$G$32,6,FALSE) &gt;= (test!$B$34+VLOOKUP(VLOOKUP($B45,test!$A$2:$I$32,4,FALSE),test!$J$24:$P$28,4,FALSE))/1440),1,0)</f>
        <v>0</v>
      </c>
      <c r="AD45" s="2">
        <f>IF(AND(VLOOKUP(AD$1,test!$A$3:$F$32,5,FALSE) - VLOOKUP($B45,test!$A$3:$G$32,6,FALSE) &gt;= (test!$B$34+VLOOKUP(VLOOKUP($B45,test!$A$2:$I$32,4,FALSE),test!$J$24:$P$28,4,FALSE))/1440),1,0)</f>
        <v>0</v>
      </c>
      <c r="AE45" s="2">
        <f>IF(AND(VLOOKUP(AE$1,test!$A$3:$F$32,5,FALSE) - VLOOKUP($B45,test!$A$3:$G$32,6,FALSE) &gt;= (test!$B$34+VLOOKUP(VLOOKUP($B45,test!$A$2:$I$32,4,FALSE),test!$J$24:$P$28,4,FALSE))/1440),1,0)</f>
        <v>0</v>
      </c>
      <c r="AF45" s="2">
        <f>IF(AND(VLOOKUP(AF$1,test!$A$3:$F$32,5,FALSE) - VLOOKUP($B45,test!$A$3:$G$32,6,FALSE) &gt;= (test!$B$34+VLOOKUP(VLOOKUP($B45,test!$A$2:$I$32,4,FALSE),test!$J$24:$P$28,4,FALSE))/1440),1,0)</f>
        <v>0</v>
      </c>
      <c r="AG45" s="2">
        <f>IF(AND(VLOOKUP(AG$1,test!$A$3:$F$32,5,FALSE) - VLOOKUP($B45,test!$A$3:$G$32,6,FALSE) &gt;= (test!$B$34+VLOOKUP(VLOOKUP($B45,test!$A$2:$I$32,4,FALSE),test!$J$24:$P$28,4,FALSE))/1440),1,0)</f>
        <v>0</v>
      </c>
    </row>
    <row r="46" spans="1:33" x14ac:dyDescent="0.25">
      <c r="A46" t="s">
        <v>90</v>
      </c>
      <c r="B46" t="s">
        <v>23</v>
      </c>
      <c r="C46">
        <v>0</v>
      </c>
      <c r="D46" s="2">
        <f>IF(AND(VLOOKUP(D$1,test!$A$3:$F$32,5,FALSE) - VLOOKUP($B46,test!$A$3:$G$32,6,FALSE) &gt;= (test!$B$34+VLOOKUP(VLOOKUP($B46,test!$A$2:$I$32,4,FALSE),test!$J$24:$P$28,4,FALSE))/1440),1,0)</f>
        <v>0</v>
      </c>
      <c r="E46" s="2">
        <f>IF(AND(VLOOKUP(E$1,test!$A$3:$F$32,5,FALSE) - VLOOKUP($B46,test!$A$3:$G$32,6,FALSE) &gt;= (test!$B$34+VLOOKUP(VLOOKUP($B46,test!$A$2:$I$32,4,FALSE),test!$J$24:$P$28,4,FALSE))/1440),1,0)</f>
        <v>0</v>
      </c>
      <c r="F46" s="2">
        <f>IF(AND(VLOOKUP(F$1,test!$A$3:$F$32,5,FALSE) - VLOOKUP($B46,test!$A$3:$G$32,6,FALSE) &gt;= (test!$B$34+VLOOKUP(VLOOKUP($B46,test!$A$2:$I$32,4,FALSE),test!$J$24:$P$28,4,FALSE))/1440),1,0)</f>
        <v>0</v>
      </c>
      <c r="G46" s="2">
        <f>IF(AND(VLOOKUP(G$1,test!$A$3:$F$32,5,FALSE) - VLOOKUP($B46,test!$A$3:$G$32,6,FALSE) &gt;= (test!$B$34+VLOOKUP(VLOOKUP($B46,test!$A$2:$I$32,4,FALSE),test!$J$24:$P$28,4,FALSE))/1440),1,0)</f>
        <v>0</v>
      </c>
      <c r="H46" s="2">
        <f>IF(AND(VLOOKUP(H$1,test!$A$3:$F$32,5,FALSE) - VLOOKUP($B46,test!$A$3:$G$32,6,FALSE) &gt;= (test!$B$34+VLOOKUP(VLOOKUP($B46,test!$A$2:$I$32,4,FALSE),test!$J$24:$P$28,4,FALSE))/1440),1,0)</f>
        <v>0</v>
      </c>
      <c r="I46" s="2">
        <f>IF(AND(VLOOKUP(I$1,test!$A$3:$F$32,5,FALSE) - VLOOKUP($B46,test!$A$3:$G$32,6,FALSE) &gt;= (test!$B$34+VLOOKUP(VLOOKUP($B46,test!$A$2:$I$32,4,FALSE),test!$J$24:$P$28,4,FALSE))/1440),1,0)</f>
        <v>0</v>
      </c>
      <c r="J46" s="2">
        <f>IF(AND(VLOOKUP(J$1,test!$A$3:$F$32,5,FALSE) - VLOOKUP($B46,test!$A$3:$G$32,6,FALSE) &gt;= (test!$B$34+VLOOKUP(VLOOKUP($B46,test!$A$2:$I$32,4,FALSE),test!$J$24:$P$28,4,FALSE))/1440),1,0)</f>
        <v>0</v>
      </c>
      <c r="K46" s="2">
        <f>IF(AND(VLOOKUP(K$1,test!$A$3:$F$32,5,FALSE) - VLOOKUP($B46,test!$A$3:$G$32,6,FALSE) &gt;= (test!$B$34+VLOOKUP(VLOOKUP($B46,test!$A$2:$I$32,4,FALSE),test!$J$24:$P$28,4,FALSE))/1440),1,0)</f>
        <v>0</v>
      </c>
      <c r="L46" s="2">
        <f>IF(AND(VLOOKUP(L$1,test!$A$3:$F$32,5,FALSE) - VLOOKUP($B46,test!$A$3:$G$32,6,FALSE) &gt;= (test!$B$34+VLOOKUP(VLOOKUP($B46,test!$A$2:$I$32,4,FALSE),test!$J$24:$P$28,4,FALSE))/1440),1,0)</f>
        <v>0</v>
      </c>
      <c r="M46" s="2">
        <f>IF(AND(VLOOKUP(M$1,test!$A$3:$F$32,5,FALSE) - VLOOKUP($B46,test!$A$3:$G$32,6,FALSE) &gt;= (test!$B$34+VLOOKUP(VLOOKUP($B46,test!$A$2:$I$32,4,FALSE),test!$J$24:$P$28,4,FALSE))/1440),1,0)</f>
        <v>0</v>
      </c>
      <c r="N46" s="2">
        <f>IF(AND(VLOOKUP(N$1,test!$A$3:$F$32,5,FALSE) - VLOOKUP($B46,test!$A$3:$G$32,6,FALSE) &gt;= (test!$B$34+VLOOKUP(VLOOKUP($B46,test!$A$2:$I$32,4,FALSE),test!$J$24:$P$28,4,FALSE))/1440),1,0)</f>
        <v>0</v>
      </c>
      <c r="O46" s="2">
        <f>IF(AND(VLOOKUP(O$1,test!$A$3:$F$32,5,FALSE) - VLOOKUP($B46,test!$A$3:$G$32,6,FALSE) &gt;= (test!$B$34+VLOOKUP(VLOOKUP($B46,test!$A$2:$I$32,4,FALSE),test!$J$24:$P$28,4,FALSE))/1440),1,0)</f>
        <v>0</v>
      </c>
      <c r="P46" s="2">
        <f>IF(AND(VLOOKUP(P$1,test!$A$3:$F$32,5,FALSE) - VLOOKUP($B46,test!$A$3:$G$32,6,FALSE) &gt;= (test!$B$34+VLOOKUP(VLOOKUP($B46,test!$A$2:$I$32,4,FALSE),test!$J$24:$P$28,4,FALSE))/1440),1,0)</f>
        <v>0</v>
      </c>
      <c r="Q46" s="2">
        <f>IF(AND(VLOOKUP(Q$1,test!$A$3:$F$32,5,FALSE) - VLOOKUP($B46,test!$A$3:$G$32,6,FALSE) &gt;= (test!$B$34+VLOOKUP(VLOOKUP($B46,test!$A$2:$I$32,4,FALSE),test!$J$24:$P$28,4,FALSE))/1440),1,0)</f>
        <v>0</v>
      </c>
      <c r="R46" s="2">
        <f>IF(AND(VLOOKUP(R$1,test!$A$3:$F$32,5,FALSE) - VLOOKUP($B46,test!$A$3:$G$32,6,FALSE) &gt;= (test!$B$34+VLOOKUP(VLOOKUP($B46,test!$A$2:$I$32,4,FALSE),test!$J$24:$P$28,4,FALSE))/1440),1,0)</f>
        <v>0</v>
      </c>
      <c r="S46" s="2">
        <f>IF(AND(VLOOKUP(S$1,test!$A$3:$F$32,5,FALSE) - VLOOKUP($B46,test!$A$3:$G$32,6,FALSE) &gt;= (test!$B$34+VLOOKUP(VLOOKUP($B46,test!$A$2:$I$32,4,FALSE),test!$J$24:$P$28,4,FALSE))/1440),1,0)</f>
        <v>0</v>
      </c>
      <c r="T46" s="2">
        <f>IF(AND(VLOOKUP(T$1,test!$A$3:$F$32,5,FALSE) - VLOOKUP($B46,test!$A$3:$G$32,6,FALSE) &gt;= (test!$B$34+VLOOKUP(VLOOKUP($B46,test!$A$2:$I$32,4,FALSE),test!$J$24:$P$28,4,FALSE))/1440),1,0)</f>
        <v>0</v>
      </c>
      <c r="U46" s="2">
        <f>IF(AND(VLOOKUP(U$1,test!$A$3:$F$32,5,FALSE) - VLOOKUP($B46,test!$A$3:$G$32,6,FALSE) &gt;= (test!$B$34+VLOOKUP(VLOOKUP($B46,test!$A$2:$I$32,4,FALSE),test!$J$24:$P$28,4,FALSE))/1440),1,0)</f>
        <v>0</v>
      </c>
      <c r="V46" s="2">
        <f>IF(AND(VLOOKUP(V$1,test!$A$3:$F$32,5,FALSE) - VLOOKUP($B46,test!$A$3:$G$32,6,FALSE) &gt;= (test!$B$34+VLOOKUP(VLOOKUP($B46,test!$A$2:$I$32,4,FALSE),test!$J$24:$P$28,4,FALSE))/1440),1,0)</f>
        <v>0</v>
      </c>
      <c r="W46" s="2">
        <f>IF(AND(VLOOKUP(W$1,test!$A$3:$F$32,5,FALSE) - VLOOKUP($B46,test!$A$3:$G$32,6,FALSE) &gt;= (test!$B$34+VLOOKUP(VLOOKUP($B46,test!$A$2:$I$32,4,FALSE),test!$J$24:$P$28,4,FALSE))/1440),1,0)</f>
        <v>0</v>
      </c>
      <c r="X46" s="2">
        <f>IF(AND(VLOOKUP(X$1,test!$A$3:$F$32,5,FALSE) - VLOOKUP($B46,test!$A$3:$G$32,6,FALSE) &gt;= (test!$B$34+VLOOKUP(VLOOKUP($B46,test!$A$2:$I$32,4,FALSE),test!$J$24:$P$28,4,FALSE))/1440),1,0)</f>
        <v>0</v>
      </c>
      <c r="Y46" s="2">
        <f>IF(AND(VLOOKUP(Y$1,test!$A$3:$F$32,5,FALSE) - VLOOKUP($B46,test!$A$3:$G$32,6,FALSE) &gt;= (test!$B$34+VLOOKUP(VLOOKUP($B46,test!$A$2:$I$32,4,FALSE),test!$J$24:$P$28,4,FALSE))/1440),1,0)</f>
        <v>0</v>
      </c>
      <c r="Z46" s="2">
        <f>IF(AND(VLOOKUP(Z$1,test!$A$3:$F$32,5,FALSE) - VLOOKUP($B46,test!$A$3:$G$32,6,FALSE) &gt;= (test!$B$34+VLOOKUP(VLOOKUP($B46,test!$A$2:$I$32,4,FALSE),test!$J$24:$P$28,4,FALSE))/1440),1,0)</f>
        <v>0</v>
      </c>
      <c r="AA46" s="2">
        <f>IF(AND(VLOOKUP(AA$1,test!$A$3:$F$32,5,FALSE) - VLOOKUP($B46,test!$A$3:$G$32,6,FALSE) &gt;= (test!$B$34+VLOOKUP(VLOOKUP($B46,test!$A$2:$I$32,4,FALSE),test!$J$24:$P$28,4,FALSE))/1440),1,0)</f>
        <v>0</v>
      </c>
      <c r="AB46" s="2">
        <f>IF(AND(VLOOKUP(AB$1,test!$A$3:$F$32,5,FALSE) - VLOOKUP($B46,test!$A$3:$G$32,6,FALSE) &gt;= (test!$B$34+VLOOKUP(VLOOKUP($B46,test!$A$2:$I$32,4,FALSE),test!$J$24:$P$28,4,FALSE))/1440),1,0)</f>
        <v>0</v>
      </c>
      <c r="AC46" s="2">
        <f>IF(AND(VLOOKUP(AC$1,test!$A$3:$F$32,5,FALSE) - VLOOKUP($B46,test!$A$3:$G$32,6,FALSE) &gt;= (test!$B$34+VLOOKUP(VLOOKUP($B46,test!$A$2:$I$32,4,FALSE),test!$J$24:$P$28,4,FALSE))/1440),1,0)</f>
        <v>0</v>
      </c>
      <c r="AD46" s="2">
        <f>IF(AND(VLOOKUP(AD$1,test!$A$3:$F$32,5,FALSE) - VLOOKUP($B46,test!$A$3:$G$32,6,FALSE) &gt;= (test!$B$34+VLOOKUP(VLOOKUP($B46,test!$A$2:$I$32,4,FALSE),test!$J$24:$P$28,4,FALSE))/1440),1,0)</f>
        <v>0</v>
      </c>
      <c r="AE46" s="2">
        <f>IF(AND(VLOOKUP(AE$1,test!$A$3:$F$32,5,FALSE) - VLOOKUP($B46,test!$A$3:$G$32,6,FALSE) &gt;= (test!$B$34+VLOOKUP(VLOOKUP($B46,test!$A$2:$I$32,4,FALSE),test!$J$24:$P$28,4,FALSE))/1440),1,0)</f>
        <v>0</v>
      </c>
      <c r="AF46" s="2">
        <f>IF(AND(VLOOKUP(AF$1,test!$A$3:$F$32,5,FALSE) - VLOOKUP($B46,test!$A$3:$G$32,6,FALSE) &gt;= (test!$B$34+VLOOKUP(VLOOKUP($B46,test!$A$2:$I$32,4,FALSE),test!$J$24:$P$28,4,FALSE))/1440),1,0)</f>
        <v>0</v>
      </c>
      <c r="AG46" s="2">
        <f>IF(AND(VLOOKUP(AG$1,test!$A$3:$F$32,5,FALSE) - VLOOKUP($B46,test!$A$3:$G$32,6,FALSE) &gt;= (test!$B$34+VLOOKUP(VLOOKUP($B46,test!$A$2:$I$32,4,FALSE),test!$J$24:$P$28,4,FALSE))/1440),1,0)</f>
        <v>0</v>
      </c>
    </row>
    <row r="47" spans="1:33" x14ac:dyDescent="0.25">
      <c r="A47" t="s">
        <v>90</v>
      </c>
      <c r="B47" t="s">
        <v>24</v>
      </c>
      <c r="C47">
        <v>0</v>
      </c>
      <c r="D47" s="2">
        <f>IF(AND(VLOOKUP(D$1,test!$A$3:$F$32,5,FALSE) - VLOOKUP($B47,test!$A$3:$G$32,6,FALSE) &gt;= (test!$B$34+VLOOKUP(VLOOKUP($B47,test!$A$2:$I$32,4,FALSE),test!$J$24:$P$28,4,FALSE))/1440),1,0)</f>
        <v>0</v>
      </c>
      <c r="E47" s="2">
        <f>IF(AND(VLOOKUP(E$1,test!$A$3:$F$32,5,FALSE) - VLOOKUP($B47,test!$A$3:$G$32,6,FALSE) &gt;= (test!$B$34+VLOOKUP(VLOOKUP($B47,test!$A$2:$I$32,4,FALSE),test!$J$24:$P$28,4,FALSE))/1440),1,0)</f>
        <v>0</v>
      </c>
      <c r="F47" s="2">
        <f>IF(AND(VLOOKUP(F$1,test!$A$3:$F$32,5,FALSE) - VLOOKUP($B47,test!$A$3:$G$32,6,FALSE) &gt;= (test!$B$34+VLOOKUP(VLOOKUP($B47,test!$A$2:$I$32,4,FALSE),test!$J$24:$P$28,4,FALSE))/1440),1,0)</f>
        <v>0</v>
      </c>
      <c r="G47" s="2">
        <f>IF(AND(VLOOKUP(G$1,test!$A$3:$F$32,5,FALSE) - VLOOKUP($B47,test!$A$3:$G$32,6,FALSE) &gt;= (test!$B$34+VLOOKUP(VLOOKUP($B47,test!$A$2:$I$32,4,FALSE),test!$J$24:$P$28,4,FALSE))/1440),1,0)</f>
        <v>1</v>
      </c>
      <c r="H47" s="2">
        <f>IF(AND(VLOOKUP(H$1,test!$A$3:$F$32,5,FALSE) - VLOOKUP($B47,test!$A$3:$G$32,6,FALSE) &gt;= (test!$B$34+VLOOKUP(VLOOKUP($B47,test!$A$2:$I$32,4,FALSE),test!$J$24:$P$28,4,FALSE))/1440),1,0)</f>
        <v>1</v>
      </c>
      <c r="I47" s="2">
        <f>IF(AND(VLOOKUP(I$1,test!$A$3:$F$32,5,FALSE) - VLOOKUP($B47,test!$A$3:$G$32,6,FALSE) &gt;= (test!$B$34+VLOOKUP(VLOOKUP($B47,test!$A$2:$I$32,4,FALSE),test!$J$24:$P$28,4,FALSE))/1440),1,0)</f>
        <v>1</v>
      </c>
      <c r="J47" s="2">
        <f>IF(AND(VLOOKUP(J$1,test!$A$3:$F$32,5,FALSE) - VLOOKUP($B47,test!$A$3:$G$32,6,FALSE) &gt;= (test!$B$34+VLOOKUP(VLOOKUP($B47,test!$A$2:$I$32,4,FALSE),test!$J$24:$P$28,4,FALSE))/1440),1,0)</f>
        <v>1</v>
      </c>
      <c r="K47" s="2">
        <f>IF(AND(VLOOKUP(K$1,test!$A$3:$F$32,5,FALSE) - VLOOKUP($B47,test!$A$3:$G$32,6,FALSE) &gt;= (test!$B$34+VLOOKUP(VLOOKUP($B47,test!$A$2:$I$32,4,FALSE),test!$J$24:$P$28,4,FALSE))/1440),1,0)</f>
        <v>1</v>
      </c>
      <c r="L47" s="2">
        <f>IF(AND(VLOOKUP(L$1,test!$A$3:$F$32,5,FALSE) - VLOOKUP($B47,test!$A$3:$G$32,6,FALSE) &gt;= (test!$B$34+VLOOKUP(VLOOKUP($B47,test!$A$2:$I$32,4,FALSE),test!$J$24:$P$28,4,FALSE))/1440),1,0)</f>
        <v>0</v>
      </c>
      <c r="M47" s="2">
        <f>IF(AND(VLOOKUP(M$1,test!$A$3:$F$32,5,FALSE) - VLOOKUP($B47,test!$A$3:$G$32,6,FALSE) &gt;= (test!$B$34+VLOOKUP(VLOOKUP($B47,test!$A$2:$I$32,4,FALSE),test!$J$24:$P$28,4,FALSE))/1440),1,0)</f>
        <v>0</v>
      </c>
      <c r="N47" s="2">
        <f>IF(AND(VLOOKUP(N$1,test!$A$3:$F$32,5,FALSE) - VLOOKUP($B47,test!$A$3:$G$32,6,FALSE) &gt;= (test!$B$34+VLOOKUP(VLOOKUP($B47,test!$A$2:$I$32,4,FALSE),test!$J$24:$P$28,4,FALSE))/1440),1,0)</f>
        <v>0</v>
      </c>
      <c r="O47" s="2">
        <f>IF(AND(VLOOKUP(O$1,test!$A$3:$F$32,5,FALSE) - VLOOKUP($B47,test!$A$3:$G$32,6,FALSE) &gt;= (test!$B$34+VLOOKUP(VLOOKUP($B47,test!$A$2:$I$32,4,FALSE),test!$J$24:$P$28,4,FALSE))/1440),1,0)</f>
        <v>1</v>
      </c>
      <c r="P47" s="2">
        <f>IF(AND(VLOOKUP(P$1,test!$A$3:$F$32,5,FALSE) - VLOOKUP($B47,test!$A$3:$G$32,6,FALSE) &gt;= (test!$B$34+VLOOKUP(VLOOKUP($B47,test!$A$2:$I$32,4,FALSE),test!$J$24:$P$28,4,FALSE))/1440),1,0)</f>
        <v>1</v>
      </c>
      <c r="Q47" s="2">
        <f>IF(AND(VLOOKUP(Q$1,test!$A$3:$F$32,5,FALSE) - VLOOKUP($B47,test!$A$3:$G$32,6,FALSE) &gt;= (test!$B$34+VLOOKUP(VLOOKUP($B47,test!$A$2:$I$32,4,FALSE),test!$J$24:$P$28,4,FALSE))/1440),1,0)</f>
        <v>0</v>
      </c>
      <c r="R47" s="2">
        <f>IF(AND(VLOOKUP(R$1,test!$A$3:$F$32,5,FALSE) - VLOOKUP($B47,test!$A$3:$G$32,6,FALSE) &gt;= (test!$B$34+VLOOKUP(VLOOKUP($B47,test!$A$2:$I$32,4,FALSE),test!$J$24:$P$28,4,FALSE))/1440),1,0)</f>
        <v>0</v>
      </c>
      <c r="S47" s="2">
        <f>IF(AND(VLOOKUP(S$1,test!$A$3:$F$32,5,FALSE) - VLOOKUP($B47,test!$A$3:$G$32,6,FALSE) &gt;= (test!$B$34+VLOOKUP(VLOOKUP($B47,test!$A$2:$I$32,4,FALSE),test!$J$24:$P$28,4,FALSE))/1440),1,0)</f>
        <v>0</v>
      </c>
      <c r="T47" s="2">
        <f>IF(AND(VLOOKUP(T$1,test!$A$3:$F$32,5,FALSE) - VLOOKUP($B47,test!$A$3:$G$32,6,FALSE) &gt;= (test!$B$34+VLOOKUP(VLOOKUP($B47,test!$A$2:$I$32,4,FALSE),test!$J$24:$P$28,4,FALSE))/1440),1,0)</f>
        <v>0</v>
      </c>
      <c r="U47" s="2">
        <f>IF(AND(VLOOKUP(U$1,test!$A$3:$F$32,5,FALSE) - VLOOKUP($B47,test!$A$3:$G$32,6,FALSE) &gt;= (test!$B$34+VLOOKUP(VLOOKUP($B47,test!$A$2:$I$32,4,FALSE),test!$J$24:$P$28,4,FALSE))/1440),1,0)</f>
        <v>0</v>
      </c>
      <c r="V47" s="2">
        <f>IF(AND(VLOOKUP(V$1,test!$A$3:$F$32,5,FALSE) - VLOOKUP($B47,test!$A$3:$G$32,6,FALSE) &gt;= (test!$B$34+VLOOKUP(VLOOKUP($B47,test!$A$2:$I$32,4,FALSE),test!$J$24:$P$28,4,FALSE))/1440),1,0)</f>
        <v>0</v>
      </c>
      <c r="W47" s="2">
        <f>IF(AND(VLOOKUP(W$1,test!$A$3:$F$32,5,FALSE) - VLOOKUP($B47,test!$A$3:$G$32,6,FALSE) &gt;= (test!$B$34+VLOOKUP(VLOOKUP($B47,test!$A$2:$I$32,4,FALSE),test!$J$24:$P$28,4,FALSE))/1440),1,0)</f>
        <v>1</v>
      </c>
      <c r="X47" s="2">
        <f>IF(AND(VLOOKUP(X$1,test!$A$3:$F$32,5,FALSE) - VLOOKUP($B47,test!$A$3:$G$32,6,FALSE) &gt;= (test!$B$34+VLOOKUP(VLOOKUP($B47,test!$A$2:$I$32,4,FALSE),test!$J$24:$P$28,4,FALSE))/1440),1,0)</f>
        <v>1</v>
      </c>
      <c r="Y47" s="2">
        <f>IF(AND(VLOOKUP(Y$1,test!$A$3:$F$32,5,FALSE) - VLOOKUP($B47,test!$A$3:$G$32,6,FALSE) &gt;= (test!$B$34+VLOOKUP(VLOOKUP($B47,test!$A$2:$I$32,4,FALSE),test!$J$24:$P$28,4,FALSE))/1440),1,0)</f>
        <v>1</v>
      </c>
      <c r="Z47" s="2">
        <f>IF(AND(VLOOKUP(Z$1,test!$A$3:$F$32,5,FALSE) - VLOOKUP($B47,test!$A$3:$G$32,6,FALSE) &gt;= (test!$B$34+VLOOKUP(VLOOKUP($B47,test!$A$2:$I$32,4,FALSE),test!$J$24:$P$28,4,FALSE))/1440),1,0)</f>
        <v>0</v>
      </c>
      <c r="AA47" s="2">
        <f>IF(AND(VLOOKUP(AA$1,test!$A$3:$F$32,5,FALSE) - VLOOKUP($B47,test!$A$3:$G$32,6,FALSE) &gt;= (test!$B$34+VLOOKUP(VLOOKUP($B47,test!$A$2:$I$32,4,FALSE),test!$J$24:$P$28,4,FALSE))/1440),1,0)</f>
        <v>0</v>
      </c>
      <c r="AB47" s="2">
        <f>IF(AND(VLOOKUP(AB$1,test!$A$3:$F$32,5,FALSE) - VLOOKUP($B47,test!$A$3:$G$32,6,FALSE) &gt;= (test!$B$34+VLOOKUP(VLOOKUP($B47,test!$A$2:$I$32,4,FALSE),test!$J$24:$P$28,4,FALSE))/1440),1,0)</f>
        <v>0</v>
      </c>
      <c r="AC47" s="2">
        <f>IF(AND(VLOOKUP(AC$1,test!$A$3:$F$32,5,FALSE) - VLOOKUP($B47,test!$A$3:$G$32,6,FALSE) &gt;= (test!$B$34+VLOOKUP(VLOOKUP($B47,test!$A$2:$I$32,4,FALSE),test!$J$24:$P$28,4,FALSE))/1440),1,0)</f>
        <v>1</v>
      </c>
      <c r="AD47" s="2">
        <f>IF(AND(VLOOKUP(AD$1,test!$A$3:$F$32,5,FALSE) - VLOOKUP($B47,test!$A$3:$G$32,6,FALSE) &gt;= (test!$B$34+VLOOKUP(VLOOKUP($B47,test!$A$2:$I$32,4,FALSE),test!$J$24:$P$28,4,FALSE))/1440),1,0)</f>
        <v>1</v>
      </c>
      <c r="AE47" s="2">
        <f>IF(AND(VLOOKUP(AE$1,test!$A$3:$F$32,5,FALSE) - VLOOKUP($B47,test!$A$3:$G$32,6,FALSE) &gt;= (test!$B$34+VLOOKUP(VLOOKUP($B47,test!$A$2:$I$32,4,FALSE),test!$J$24:$P$28,4,FALSE))/1440),1,0)</f>
        <v>0</v>
      </c>
      <c r="AF47" s="2">
        <f>IF(AND(VLOOKUP(AF$1,test!$A$3:$F$32,5,FALSE) - VLOOKUP($B47,test!$A$3:$G$32,6,FALSE) &gt;= (test!$B$34+VLOOKUP(VLOOKUP($B47,test!$A$2:$I$32,4,FALSE),test!$J$24:$P$28,4,FALSE))/1440),1,0)</f>
        <v>0</v>
      </c>
      <c r="AG47" s="2">
        <f>IF(AND(VLOOKUP(AG$1,test!$A$3:$F$32,5,FALSE) - VLOOKUP($B47,test!$A$3:$G$32,6,FALSE) &gt;= (test!$B$34+VLOOKUP(VLOOKUP($B47,test!$A$2:$I$32,4,FALSE),test!$J$24:$P$28,4,FALSE))/1440),1,0)</f>
        <v>0</v>
      </c>
    </row>
    <row r="48" spans="1:33" x14ac:dyDescent="0.25">
      <c r="A48" t="s">
        <v>90</v>
      </c>
      <c r="B48" t="s">
        <v>26</v>
      </c>
      <c r="C48">
        <v>0</v>
      </c>
      <c r="D48" s="2">
        <f>IF(AND(VLOOKUP(D$1,test!$A$3:$F$32,5,FALSE) - VLOOKUP($B48,test!$A$3:$G$32,6,FALSE) &gt;= (test!$B$34+VLOOKUP(VLOOKUP($B48,test!$A$2:$I$32,4,FALSE),test!$J$24:$P$28,4,FALSE))/1440),1,0)</f>
        <v>0</v>
      </c>
      <c r="E48" s="2">
        <f>IF(AND(VLOOKUP(E$1,test!$A$3:$F$32,5,FALSE) - VLOOKUP($B48,test!$A$3:$G$32,6,FALSE) &gt;= (test!$B$34+VLOOKUP(VLOOKUP($B48,test!$A$2:$I$32,4,FALSE),test!$J$24:$P$28,4,FALSE))/1440),1,0)</f>
        <v>1</v>
      </c>
      <c r="F48" s="2">
        <f>IF(AND(VLOOKUP(F$1,test!$A$3:$F$32,5,FALSE) - VLOOKUP($B48,test!$A$3:$G$32,6,FALSE) &gt;= (test!$B$34+VLOOKUP(VLOOKUP($B48,test!$A$2:$I$32,4,FALSE),test!$J$24:$P$28,4,FALSE))/1440),1,0)</f>
        <v>1</v>
      </c>
      <c r="G48" s="2">
        <f>IF(AND(VLOOKUP(G$1,test!$A$3:$F$32,5,FALSE) - VLOOKUP($B48,test!$A$3:$G$32,6,FALSE) &gt;= (test!$B$34+VLOOKUP(VLOOKUP($B48,test!$A$2:$I$32,4,FALSE),test!$J$24:$P$28,4,FALSE))/1440),1,0)</f>
        <v>1</v>
      </c>
      <c r="H48" s="2">
        <f>IF(AND(VLOOKUP(H$1,test!$A$3:$F$32,5,FALSE) - VLOOKUP($B48,test!$A$3:$G$32,6,FALSE) &gt;= (test!$B$34+VLOOKUP(VLOOKUP($B48,test!$A$2:$I$32,4,FALSE),test!$J$24:$P$28,4,FALSE))/1440),1,0)</f>
        <v>1</v>
      </c>
      <c r="I48" s="2">
        <f>IF(AND(VLOOKUP(I$1,test!$A$3:$F$32,5,FALSE) - VLOOKUP($B48,test!$A$3:$G$32,6,FALSE) &gt;= (test!$B$34+VLOOKUP(VLOOKUP($B48,test!$A$2:$I$32,4,FALSE),test!$J$24:$P$28,4,FALSE))/1440),1,0)</f>
        <v>1</v>
      </c>
      <c r="J48" s="2">
        <f>IF(AND(VLOOKUP(J$1,test!$A$3:$F$32,5,FALSE) - VLOOKUP($B48,test!$A$3:$G$32,6,FALSE) &gt;= (test!$B$34+VLOOKUP(VLOOKUP($B48,test!$A$2:$I$32,4,FALSE),test!$J$24:$P$28,4,FALSE))/1440),1,0)</f>
        <v>1</v>
      </c>
      <c r="K48" s="2">
        <f>IF(AND(VLOOKUP(K$1,test!$A$3:$F$32,5,FALSE) - VLOOKUP($B48,test!$A$3:$G$32,6,FALSE) &gt;= (test!$B$34+VLOOKUP(VLOOKUP($B48,test!$A$2:$I$32,4,FALSE),test!$J$24:$P$28,4,FALSE))/1440),1,0)</f>
        <v>1</v>
      </c>
      <c r="L48" s="2">
        <f>IF(AND(VLOOKUP(L$1,test!$A$3:$F$32,5,FALSE) - VLOOKUP($B48,test!$A$3:$G$32,6,FALSE) &gt;= (test!$B$34+VLOOKUP(VLOOKUP($B48,test!$A$2:$I$32,4,FALSE),test!$J$24:$P$28,4,FALSE))/1440),1,0)</f>
        <v>0</v>
      </c>
      <c r="M48" s="2">
        <f>IF(AND(VLOOKUP(M$1,test!$A$3:$F$32,5,FALSE) - VLOOKUP($B48,test!$A$3:$G$32,6,FALSE) &gt;= (test!$B$34+VLOOKUP(VLOOKUP($B48,test!$A$2:$I$32,4,FALSE),test!$J$24:$P$28,4,FALSE))/1440),1,0)</f>
        <v>0</v>
      </c>
      <c r="N48" s="2">
        <f>IF(AND(VLOOKUP(N$1,test!$A$3:$F$32,5,FALSE) - VLOOKUP($B48,test!$A$3:$G$32,6,FALSE) &gt;= (test!$B$34+VLOOKUP(VLOOKUP($B48,test!$A$2:$I$32,4,FALSE),test!$J$24:$P$28,4,FALSE))/1440),1,0)</f>
        <v>1</v>
      </c>
      <c r="O48" s="2">
        <f>IF(AND(VLOOKUP(O$1,test!$A$3:$F$32,5,FALSE) - VLOOKUP($B48,test!$A$3:$G$32,6,FALSE) &gt;= (test!$B$34+VLOOKUP(VLOOKUP($B48,test!$A$2:$I$32,4,FALSE),test!$J$24:$P$28,4,FALSE))/1440),1,0)</f>
        <v>1</v>
      </c>
      <c r="P48" s="2">
        <f>IF(AND(VLOOKUP(P$1,test!$A$3:$F$32,5,FALSE) - VLOOKUP($B48,test!$A$3:$G$32,6,FALSE) &gt;= (test!$B$34+VLOOKUP(VLOOKUP($B48,test!$A$2:$I$32,4,FALSE),test!$J$24:$P$28,4,FALSE))/1440),1,0)</f>
        <v>1</v>
      </c>
      <c r="Q48" s="2">
        <f>IF(AND(VLOOKUP(Q$1,test!$A$3:$F$32,5,FALSE) - VLOOKUP($B48,test!$A$3:$G$32,6,FALSE) &gt;= (test!$B$34+VLOOKUP(VLOOKUP($B48,test!$A$2:$I$32,4,FALSE),test!$J$24:$P$28,4,FALSE))/1440),1,0)</f>
        <v>0</v>
      </c>
      <c r="R48" s="2">
        <f>IF(AND(VLOOKUP(R$1,test!$A$3:$F$32,5,FALSE) - VLOOKUP($B48,test!$A$3:$G$32,6,FALSE) &gt;= (test!$B$34+VLOOKUP(VLOOKUP($B48,test!$A$2:$I$32,4,FALSE),test!$J$24:$P$28,4,FALSE))/1440),1,0)</f>
        <v>0</v>
      </c>
      <c r="S48" s="2">
        <f>IF(AND(VLOOKUP(S$1,test!$A$3:$F$32,5,FALSE) - VLOOKUP($B48,test!$A$3:$G$32,6,FALSE) &gt;= (test!$B$34+VLOOKUP(VLOOKUP($B48,test!$A$2:$I$32,4,FALSE),test!$J$24:$P$28,4,FALSE))/1440),1,0)</f>
        <v>0</v>
      </c>
      <c r="T48" s="2">
        <f>IF(AND(VLOOKUP(T$1,test!$A$3:$F$32,5,FALSE) - VLOOKUP($B48,test!$A$3:$G$32,6,FALSE) &gt;= (test!$B$34+VLOOKUP(VLOOKUP($B48,test!$A$2:$I$32,4,FALSE),test!$J$24:$P$28,4,FALSE))/1440),1,0)</f>
        <v>0</v>
      </c>
      <c r="U48" s="2">
        <f>IF(AND(VLOOKUP(U$1,test!$A$3:$F$32,5,FALSE) - VLOOKUP($B48,test!$A$3:$G$32,6,FALSE) &gt;= (test!$B$34+VLOOKUP(VLOOKUP($B48,test!$A$2:$I$32,4,FALSE),test!$J$24:$P$28,4,FALSE))/1440),1,0)</f>
        <v>1</v>
      </c>
      <c r="V48" s="2">
        <f>IF(AND(VLOOKUP(V$1,test!$A$3:$F$32,5,FALSE) - VLOOKUP($B48,test!$A$3:$G$32,6,FALSE) &gt;= (test!$B$34+VLOOKUP(VLOOKUP($B48,test!$A$2:$I$32,4,FALSE),test!$J$24:$P$28,4,FALSE))/1440),1,0)</f>
        <v>1</v>
      </c>
      <c r="W48" s="2">
        <f>IF(AND(VLOOKUP(W$1,test!$A$3:$F$32,5,FALSE) - VLOOKUP($B48,test!$A$3:$G$32,6,FALSE) &gt;= (test!$B$34+VLOOKUP(VLOOKUP($B48,test!$A$2:$I$32,4,FALSE),test!$J$24:$P$28,4,FALSE))/1440),1,0)</f>
        <v>1</v>
      </c>
      <c r="X48" s="2">
        <f>IF(AND(VLOOKUP(X$1,test!$A$3:$F$32,5,FALSE) - VLOOKUP($B48,test!$A$3:$G$32,6,FALSE) &gt;= (test!$B$34+VLOOKUP(VLOOKUP($B48,test!$A$2:$I$32,4,FALSE),test!$J$24:$P$28,4,FALSE))/1440),1,0)</f>
        <v>1</v>
      </c>
      <c r="Y48" s="2">
        <f>IF(AND(VLOOKUP(Y$1,test!$A$3:$F$32,5,FALSE) - VLOOKUP($B48,test!$A$3:$G$32,6,FALSE) &gt;= (test!$B$34+VLOOKUP(VLOOKUP($B48,test!$A$2:$I$32,4,FALSE),test!$J$24:$P$28,4,FALSE))/1440),1,0)</f>
        <v>1</v>
      </c>
      <c r="Z48" s="2">
        <f>IF(AND(VLOOKUP(Z$1,test!$A$3:$F$32,5,FALSE) - VLOOKUP($B48,test!$A$3:$G$32,6,FALSE) &gt;= (test!$B$34+VLOOKUP(VLOOKUP($B48,test!$A$2:$I$32,4,FALSE),test!$J$24:$P$28,4,FALSE))/1440),1,0)</f>
        <v>0</v>
      </c>
      <c r="AA48" s="2">
        <f>IF(AND(VLOOKUP(AA$1,test!$A$3:$F$32,5,FALSE) - VLOOKUP($B48,test!$A$3:$G$32,6,FALSE) &gt;= (test!$B$34+VLOOKUP(VLOOKUP($B48,test!$A$2:$I$32,4,FALSE),test!$J$24:$P$28,4,FALSE))/1440),1,0)</f>
        <v>1</v>
      </c>
      <c r="AB48" s="2">
        <f>IF(AND(VLOOKUP(AB$1,test!$A$3:$F$32,5,FALSE) - VLOOKUP($B48,test!$A$3:$G$32,6,FALSE) &gt;= (test!$B$34+VLOOKUP(VLOOKUP($B48,test!$A$2:$I$32,4,FALSE),test!$J$24:$P$28,4,FALSE))/1440),1,0)</f>
        <v>1</v>
      </c>
      <c r="AC48" s="2">
        <f>IF(AND(VLOOKUP(AC$1,test!$A$3:$F$32,5,FALSE) - VLOOKUP($B48,test!$A$3:$G$32,6,FALSE) &gt;= (test!$B$34+VLOOKUP(VLOOKUP($B48,test!$A$2:$I$32,4,FALSE),test!$J$24:$P$28,4,FALSE))/1440),1,0)</f>
        <v>1</v>
      </c>
      <c r="AD48" s="2">
        <f>IF(AND(VLOOKUP(AD$1,test!$A$3:$F$32,5,FALSE) - VLOOKUP($B48,test!$A$3:$G$32,6,FALSE) &gt;= (test!$B$34+VLOOKUP(VLOOKUP($B48,test!$A$2:$I$32,4,FALSE),test!$J$24:$P$28,4,FALSE))/1440),1,0)</f>
        <v>1</v>
      </c>
      <c r="AE48" s="2">
        <f>IF(AND(VLOOKUP(AE$1,test!$A$3:$F$32,5,FALSE) - VLOOKUP($B48,test!$A$3:$G$32,6,FALSE) &gt;= (test!$B$34+VLOOKUP(VLOOKUP($B48,test!$A$2:$I$32,4,FALSE),test!$J$24:$P$28,4,FALSE))/1440),1,0)</f>
        <v>0</v>
      </c>
      <c r="AF48" s="2">
        <f>IF(AND(VLOOKUP(AF$1,test!$A$3:$F$32,5,FALSE) - VLOOKUP($B48,test!$A$3:$G$32,6,FALSE) &gt;= (test!$B$34+VLOOKUP(VLOOKUP($B48,test!$A$2:$I$32,4,FALSE),test!$J$24:$P$28,4,FALSE))/1440),1,0)</f>
        <v>1</v>
      </c>
      <c r="AG48" s="2">
        <f>IF(AND(VLOOKUP(AG$1,test!$A$3:$F$32,5,FALSE) - VLOOKUP($B48,test!$A$3:$G$32,6,FALSE) &gt;= (test!$B$34+VLOOKUP(VLOOKUP($B48,test!$A$2:$I$32,4,FALSE),test!$J$24:$P$28,4,FALSE))/1440),1,0)</f>
        <v>1</v>
      </c>
    </row>
    <row r="49" spans="1:33" x14ac:dyDescent="0.25">
      <c r="A49" t="s">
        <v>90</v>
      </c>
      <c r="B49" t="s">
        <v>27</v>
      </c>
      <c r="C49">
        <v>0</v>
      </c>
      <c r="D49" s="2">
        <f>IF(AND(VLOOKUP(D$1,test!$A$3:$F$32,5,FALSE) - VLOOKUP($B49,test!$A$3:$G$32,6,FALSE) &gt;= (test!$B$34+VLOOKUP(VLOOKUP($B49,test!$A$2:$I$32,4,FALSE),test!$J$24:$P$28,4,FALSE))/1440),1,0)</f>
        <v>0</v>
      </c>
      <c r="E49" s="2">
        <f>IF(AND(VLOOKUP(E$1,test!$A$3:$F$32,5,FALSE) - VLOOKUP($B49,test!$A$3:$G$32,6,FALSE) &gt;= (test!$B$34+VLOOKUP(VLOOKUP($B49,test!$A$2:$I$32,4,FALSE),test!$J$24:$P$28,4,FALSE))/1440),1,0)</f>
        <v>0</v>
      </c>
      <c r="F49" s="2">
        <f>IF(AND(VLOOKUP(F$1,test!$A$3:$F$32,5,FALSE) - VLOOKUP($B49,test!$A$3:$G$32,6,FALSE) &gt;= (test!$B$34+VLOOKUP(VLOOKUP($B49,test!$A$2:$I$32,4,FALSE),test!$J$24:$P$28,4,FALSE))/1440),1,0)</f>
        <v>1</v>
      </c>
      <c r="G49" s="2">
        <f>IF(AND(VLOOKUP(G$1,test!$A$3:$F$32,5,FALSE) - VLOOKUP($B49,test!$A$3:$G$32,6,FALSE) &gt;= (test!$B$34+VLOOKUP(VLOOKUP($B49,test!$A$2:$I$32,4,FALSE),test!$J$24:$P$28,4,FALSE))/1440),1,0)</f>
        <v>1</v>
      </c>
      <c r="H49" s="2">
        <f>IF(AND(VLOOKUP(H$1,test!$A$3:$F$32,5,FALSE) - VLOOKUP($B49,test!$A$3:$G$32,6,FALSE) &gt;= (test!$B$34+VLOOKUP(VLOOKUP($B49,test!$A$2:$I$32,4,FALSE),test!$J$24:$P$28,4,FALSE))/1440),1,0)</f>
        <v>1</v>
      </c>
      <c r="I49" s="2">
        <f>IF(AND(VLOOKUP(I$1,test!$A$3:$F$32,5,FALSE) - VLOOKUP($B49,test!$A$3:$G$32,6,FALSE) &gt;= (test!$B$34+VLOOKUP(VLOOKUP($B49,test!$A$2:$I$32,4,FALSE),test!$J$24:$P$28,4,FALSE))/1440),1,0)</f>
        <v>1</v>
      </c>
      <c r="J49" s="2">
        <f>IF(AND(VLOOKUP(J$1,test!$A$3:$F$32,5,FALSE) - VLOOKUP($B49,test!$A$3:$G$32,6,FALSE) &gt;= (test!$B$34+VLOOKUP(VLOOKUP($B49,test!$A$2:$I$32,4,FALSE),test!$J$24:$P$28,4,FALSE))/1440),1,0)</f>
        <v>1</v>
      </c>
      <c r="K49" s="2">
        <f>IF(AND(VLOOKUP(K$1,test!$A$3:$F$32,5,FALSE) - VLOOKUP($B49,test!$A$3:$G$32,6,FALSE) &gt;= (test!$B$34+VLOOKUP(VLOOKUP($B49,test!$A$2:$I$32,4,FALSE),test!$J$24:$P$28,4,FALSE))/1440),1,0)</f>
        <v>1</v>
      </c>
      <c r="L49" s="2">
        <f>IF(AND(VLOOKUP(L$1,test!$A$3:$F$32,5,FALSE) - VLOOKUP($B49,test!$A$3:$G$32,6,FALSE) &gt;= (test!$B$34+VLOOKUP(VLOOKUP($B49,test!$A$2:$I$32,4,FALSE),test!$J$24:$P$28,4,FALSE))/1440),1,0)</f>
        <v>0</v>
      </c>
      <c r="M49" s="2">
        <f>IF(AND(VLOOKUP(M$1,test!$A$3:$F$32,5,FALSE) - VLOOKUP($B49,test!$A$3:$G$32,6,FALSE) &gt;= (test!$B$34+VLOOKUP(VLOOKUP($B49,test!$A$2:$I$32,4,FALSE),test!$J$24:$P$28,4,FALSE))/1440),1,0)</f>
        <v>0</v>
      </c>
      <c r="N49" s="2">
        <f>IF(AND(VLOOKUP(N$1,test!$A$3:$F$32,5,FALSE) - VLOOKUP($B49,test!$A$3:$G$32,6,FALSE) &gt;= (test!$B$34+VLOOKUP(VLOOKUP($B49,test!$A$2:$I$32,4,FALSE),test!$J$24:$P$28,4,FALSE))/1440),1,0)</f>
        <v>0</v>
      </c>
      <c r="O49" s="2">
        <f>IF(AND(VLOOKUP(O$1,test!$A$3:$F$32,5,FALSE) - VLOOKUP($B49,test!$A$3:$G$32,6,FALSE) &gt;= (test!$B$34+VLOOKUP(VLOOKUP($B49,test!$A$2:$I$32,4,FALSE),test!$J$24:$P$28,4,FALSE))/1440),1,0)</f>
        <v>1</v>
      </c>
      <c r="P49" s="2">
        <f>IF(AND(VLOOKUP(P$1,test!$A$3:$F$32,5,FALSE) - VLOOKUP($B49,test!$A$3:$G$32,6,FALSE) &gt;= (test!$B$34+VLOOKUP(VLOOKUP($B49,test!$A$2:$I$32,4,FALSE),test!$J$24:$P$28,4,FALSE))/1440),1,0)</f>
        <v>1</v>
      </c>
      <c r="Q49" s="2">
        <f>IF(AND(VLOOKUP(Q$1,test!$A$3:$F$32,5,FALSE) - VLOOKUP($B49,test!$A$3:$G$32,6,FALSE) &gt;= (test!$B$34+VLOOKUP(VLOOKUP($B49,test!$A$2:$I$32,4,FALSE),test!$J$24:$P$28,4,FALSE))/1440),1,0)</f>
        <v>0</v>
      </c>
      <c r="R49" s="2">
        <f>IF(AND(VLOOKUP(R$1,test!$A$3:$F$32,5,FALSE) - VLOOKUP($B49,test!$A$3:$G$32,6,FALSE) &gt;= (test!$B$34+VLOOKUP(VLOOKUP($B49,test!$A$2:$I$32,4,FALSE),test!$J$24:$P$28,4,FALSE))/1440),1,0)</f>
        <v>0</v>
      </c>
      <c r="S49" s="2">
        <f>IF(AND(VLOOKUP(S$1,test!$A$3:$F$32,5,FALSE) - VLOOKUP($B49,test!$A$3:$G$32,6,FALSE) &gt;= (test!$B$34+VLOOKUP(VLOOKUP($B49,test!$A$2:$I$32,4,FALSE),test!$J$24:$P$28,4,FALSE))/1440),1,0)</f>
        <v>0</v>
      </c>
      <c r="T49" s="2">
        <f>IF(AND(VLOOKUP(T$1,test!$A$3:$F$32,5,FALSE) - VLOOKUP($B49,test!$A$3:$G$32,6,FALSE) &gt;= (test!$B$34+VLOOKUP(VLOOKUP($B49,test!$A$2:$I$32,4,FALSE),test!$J$24:$P$28,4,FALSE))/1440),1,0)</f>
        <v>0</v>
      </c>
      <c r="U49" s="2">
        <f>IF(AND(VLOOKUP(U$1,test!$A$3:$F$32,5,FALSE) - VLOOKUP($B49,test!$A$3:$G$32,6,FALSE) &gt;= (test!$B$34+VLOOKUP(VLOOKUP($B49,test!$A$2:$I$32,4,FALSE),test!$J$24:$P$28,4,FALSE))/1440),1,0)</f>
        <v>0</v>
      </c>
      <c r="V49" s="2">
        <f>IF(AND(VLOOKUP(V$1,test!$A$3:$F$32,5,FALSE) - VLOOKUP($B49,test!$A$3:$G$32,6,FALSE) &gt;= (test!$B$34+VLOOKUP(VLOOKUP($B49,test!$A$2:$I$32,4,FALSE),test!$J$24:$P$28,4,FALSE))/1440),1,0)</f>
        <v>1</v>
      </c>
      <c r="W49" s="2">
        <f>IF(AND(VLOOKUP(W$1,test!$A$3:$F$32,5,FALSE) - VLOOKUP($B49,test!$A$3:$G$32,6,FALSE) &gt;= (test!$B$34+VLOOKUP(VLOOKUP($B49,test!$A$2:$I$32,4,FALSE),test!$J$24:$P$28,4,FALSE))/1440),1,0)</f>
        <v>1</v>
      </c>
      <c r="X49" s="2">
        <f>IF(AND(VLOOKUP(X$1,test!$A$3:$F$32,5,FALSE) - VLOOKUP($B49,test!$A$3:$G$32,6,FALSE) &gt;= (test!$B$34+VLOOKUP(VLOOKUP($B49,test!$A$2:$I$32,4,FALSE),test!$J$24:$P$28,4,FALSE))/1440),1,0)</f>
        <v>1</v>
      </c>
      <c r="Y49" s="2">
        <f>IF(AND(VLOOKUP(Y$1,test!$A$3:$F$32,5,FALSE) - VLOOKUP($B49,test!$A$3:$G$32,6,FALSE) &gt;= (test!$B$34+VLOOKUP(VLOOKUP($B49,test!$A$2:$I$32,4,FALSE),test!$J$24:$P$28,4,FALSE))/1440),1,0)</f>
        <v>1</v>
      </c>
      <c r="Z49" s="2">
        <f>IF(AND(VLOOKUP(Z$1,test!$A$3:$F$32,5,FALSE) - VLOOKUP($B49,test!$A$3:$G$32,6,FALSE) &gt;= (test!$B$34+VLOOKUP(VLOOKUP($B49,test!$A$2:$I$32,4,FALSE),test!$J$24:$P$28,4,FALSE))/1440),1,0)</f>
        <v>0</v>
      </c>
      <c r="AA49" s="2">
        <f>IF(AND(VLOOKUP(AA$1,test!$A$3:$F$32,5,FALSE) - VLOOKUP($B49,test!$A$3:$G$32,6,FALSE) &gt;= (test!$B$34+VLOOKUP(VLOOKUP($B49,test!$A$2:$I$32,4,FALSE),test!$J$24:$P$28,4,FALSE))/1440),1,0)</f>
        <v>0</v>
      </c>
      <c r="AB49" s="2">
        <f>IF(AND(VLOOKUP(AB$1,test!$A$3:$F$32,5,FALSE) - VLOOKUP($B49,test!$A$3:$G$32,6,FALSE) &gt;= (test!$B$34+VLOOKUP(VLOOKUP($B49,test!$A$2:$I$32,4,FALSE),test!$J$24:$P$28,4,FALSE))/1440),1,0)</f>
        <v>1</v>
      </c>
      <c r="AC49" s="2">
        <f>IF(AND(VLOOKUP(AC$1,test!$A$3:$F$32,5,FALSE) - VLOOKUP($B49,test!$A$3:$G$32,6,FALSE) &gt;= (test!$B$34+VLOOKUP(VLOOKUP($B49,test!$A$2:$I$32,4,FALSE),test!$J$24:$P$28,4,FALSE))/1440),1,0)</f>
        <v>1</v>
      </c>
      <c r="AD49" s="2">
        <f>IF(AND(VLOOKUP(AD$1,test!$A$3:$F$32,5,FALSE) - VLOOKUP($B49,test!$A$3:$G$32,6,FALSE) &gt;= (test!$B$34+VLOOKUP(VLOOKUP($B49,test!$A$2:$I$32,4,FALSE),test!$J$24:$P$28,4,FALSE))/1440),1,0)</f>
        <v>1</v>
      </c>
      <c r="AE49" s="2">
        <f>IF(AND(VLOOKUP(AE$1,test!$A$3:$F$32,5,FALSE) - VLOOKUP($B49,test!$A$3:$G$32,6,FALSE) &gt;= (test!$B$34+VLOOKUP(VLOOKUP($B49,test!$A$2:$I$32,4,FALSE),test!$J$24:$P$28,4,FALSE))/1440),1,0)</f>
        <v>0</v>
      </c>
      <c r="AF49" s="2">
        <f>IF(AND(VLOOKUP(AF$1,test!$A$3:$F$32,5,FALSE) - VLOOKUP($B49,test!$A$3:$G$32,6,FALSE) &gt;= (test!$B$34+VLOOKUP(VLOOKUP($B49,test!$A$2:$I$32,4,FALSE),test!$J$24:$P$28,4,FALSE))/1440),1,0)</f>
        <v>1</v>
      </c>
      <c r="AG49" s="2">
        <f>IF(AND(VLOOKUP(AG$1,test!$A$3:$F$32,5,FALSE) - VLOOKUP($B49,test!$A$3:$G$32,6,FALSE) &gt;= (test!$B$34+VLOOKUP(VLOOKUP($B49,test!$A$2:$I$32,4,FALSE),test!$J$24:$P$28,4,FALSE))/1440),1,0)</f>
        <v>0</v>
      </c>
    </row>
    <row r="50" spans="1:33" x14ac:dyDescent="0.25">
      <c r="A50" t="s">
        <v>90</v>
      </c>
      <c r="B50" t="s">
        <v>28</v>
      </c>
      <c r="C50">
        <v>0</v>
      </c>
      <c r="D50" s="2">
        <f>IF(AND(VLOOKUP(D$1,test!$A$3:$F$32,5,FALSE) - VLOOKUP($B50,test!$A$3:$G$32,6,FALSE) &gt;= (test!$B$34+VLOOKUP(VLOOKUP($B50,test!$A$2:$I$32,4,FALSE),test!$J$24:$P$28,4,FALSE))/1440),1,0)</f>
        <v>0</v>
      </c>
      <c r="E50" s="2">
        <f>IF(AND(VLOOKUP(E$1,test!$A$3:$F$32,5,FALSE) - VLOOKUP($B50,test!$A$3:$G$32,6,FALSE) &gt;= (test!$B$34+VLOOKUP(VLOOKUP($B50,test!$A$2:$I$32,4,FALSE),test!$J$24:$P$28,4,FALSE))/1440),1,0)</f>
        <v>0</v>
      </c>
      <c r="F50" s="2">
        <f>IF(AND(VLOOKUP(F$1,test!$A$3:$F$32,5,FALSE) - VLOOKUP($B50,test!$A$3:$G$32,6,FALSE) &gt;= (test!$B$34+VLOOKUP(VLOOKUP($B50,test!$A$2:$I$32,4,FALSE),test!$J$24:$P$28,4,FALSE))/1440),1,0)</f>
        <v>0</v>
      </c>
      <c r="G50" s="2">
        <f>IF(AND(VLOOKUP(G$1,test!$A$3:$F$32,5,FALSE) - VLOOKUP($B50,test!$A$3:$G$32,6,FALSE) &gt;= (test!$B$34+VLOOKUP(VLOOKUP($B50,test!$A$2:$I$32,4,FALSE),test!$J$24:$P$28,4,FALSE))/1440),1,0)</f>
        <v>1</v>
      </c>
      <c r="H50" s="2">
        <f>IF(AND(VLOOKUP(H$1,test!$A$3:$F$32,5,FALSE) - VLOOKUP($B50,test!$A$3:$G$32,6,FALSE) &gt;= (test!$B$34+VLOOKUP(VLOOKUP($B50,test!$A$2:$I$32,4,FALSE),test!$J$24:$P$28,4,FALSE))/1440),1,0)</f>
        <v>1</v>
      </c>
      <c r="I50" s="2">
        <f>IF(AND(VLOOKUP(I$1,test!$A$3:$F$32,5,FALSE) - VLOOKUP($B50,test!$A$3:$G$32,6,FALSE) &gt;= (test!$B$34+VLOOKUP(VLOOKUP($B50,test!$A$2:$I$32,4,FALSE),test!$J$24:$P$28,4,FALSE))/1440),1,0)</f>
        <v>1</v>
      </c>
      <c r="J50" s="2">
        <f>IF(AND(VLOOKUP(J$1,test!$A$3:$F$32,5,FALSE) - VLOOKUP($B50,test!$A$3:$G$32,6,FALSE) &gt;= (test!$B$34+VLOOKUP(VLOOKUP($B50,test!$A$2:$I$32,4,FALSE),test!$J$24:$P$28,4,FALSE))/1440),1,0)</f>
        <v>1</v>
      </c>
      <c r="K50" s="2">
        <f>IF(AND(VLOOKUP(K$1,test!$A$3:$F$32,5,FALSE) - VLOOKUP($B50,test!$A$3:$G$32,6,FALSE) &gt;= (test!$B$34+VLOOKUP(VLOOKUP($B50,test!$A$2:$I$32,4,FALSE),test!$J$24:$P$28,4,FALSE))/1440),1,0)</f>
        <v>1</v>
      </c>
      <c r="L50" s="2">
        <f>IF(AND(VLOOKUP(L$1,test!$A$3:$F$32,5,FALSE) - VLOOKUP($B50,test!$A$3:$G$32,6,FALSE) &gt;= (test!$B$34+VLOOKUP(VLOOKUP($B50,test!$A$2:$I$32,4,FALSE),test!$J$24:$P$28,4,FALSE))/1440),1,0)</f>
        <v>0</v>
      </c>
      <c r="M50" s="2">
        <f>IF(AND(VLOOKUP(M$1,test!$A$3:$F$32,5,FALSE) - VLOOKUP($B50,test!$A$3:$G$32,6,FALSE) &gt;= (test!$B$34+VLOOKUP(VLOOKUP($B50,test!$A$2:$I$32,4,FALSE),test!$J$24:$P$28,4,FALSE))/1440),1,0)</f>
        <v>0</v>
      </c>
      <c r="N50" s="2">
        <f>IF(AND(VLOOKUP(N$1,test!$A$3:$F$32,5,FALSE) - VLOOKUP($B50,test!$A$3:$G$32,6,FALSE) &gt;= (test!$B$34+VLOOKUP(VLOOKUP($B50,test!$A$2:$I$32,4,FALSE),test!$J$24:$P$28,4,FALSE))/1440),1,0)</f>
        <v>0</v>
      </c>
      <c r="O50" s="2">
        <f>IF(AND(VLOOKUP(O$1,test!$A$3:$F$32,5,FALSE) - VLOOKUP($B50,test!$A$3:$G$32,6,FALSE) &gt;= (test!$B$34+VLOOKUP(VLOOKUP($B50,test!$A$2:$I$32,4,FALSE),test!$J$24:$P$28,4,FALSE))/1440),1,0)</f>
        <v>1</v>
      </c>
      <c r="P50" s="2">
        <f>IF(AND(VLOOKUP(P$1,test!$A$3:$F$32,5,FALSE) - VLOOKUP($B50,test!$A$3:$G$32,6,FALSE) &gt;= (test!$B$34+VLOOKUP(VLOOKUP($B50,test!$A$2:$I$32,4,FALSE),test!$J$24:$P$28,4,FALSE))/1440),1,0)</f>
        <v>1</v>
      </c>
      <c r="Q50" s="2">
        <f>IF(AND(VLOOKUP(Q$1,test!$A$3:$F$32,5,FALSE) - VLOOKUP($B50,test!$A$3:$G$32,6,FALSE) &gt;= (test!$B$34+VLOOKUP(VLOOKUP($B50,test!$A$2:$I$32,4,FALSE),test!$J$24:$P$28,4,FALSE))/1440),1,0)</f>
        <v>0</v>
      </c>
      <c r="R50" s="2">
        <f>IF(AND(VLOOKUP(R$1,test!$A$3:$F$32,5,FALSE) - VLOOKUP($B50,test!$A$3:$G$32,6,FALSE) &gt;= (test!$B$34+VLOOKUP(VLOOKUP($B50,test!$A$2:$I$32,4,FALSE),test!$J$24:$P$28,4,FALSE))/1440),1,0)</f>
        <v>0</v>
      </c>
      <c r="S50" s="2">
        <f>IF(AND(VLOOKUP(S$1,test!$A$3:$F$32,5,FALSE) - VLOOKUP($B50,test!$A$3:$G$32,6,FALSE) &gt;= (test!$B$34+VLOOKUP(VLOOKUP($B50,test!$A$2:$I$32,4,FALSE),test!$J$24:$P$28,4,FALSE))/1440),1,0)</f>
        <v>0</v>
      </c>
      <c r="T50" s="2">
        <f>IF(AND(VLOOKUP(T$1,test!$A$3:$F$32,5,FALSE) - VLOOKUP($B50,test!$A$3:$G$32,6,FALSE) &gt;= (test!$B$34+VLOOKUP(VLOOKUP($B50,test!$A$2:$I$32,4,FALSE),test!$J$24:$P$28,4,FALSE))/1440),1,0)</f>
        <v>0</v>
      </c>
      <c r="U50" s="2">
        <f>IF(AND(VLOOKUP(U$1,test!$A$3:$F$32,5,FALSE) - VLOOKUP($B50,test!$A$3:$G$32,6,FALSE) &gt;= (test!$B$34+VLOOKUP(VLOOKUP($B50,test!$A$2:$I$32,4,FALSE),test!$J$24:$P$28,4,FALSE))/1440),1,0)</f>
        <v>0</v>
      </c>
      <c r="V50" s="2">
        <f>IF(AND(VLOOKUP(V$1,test!$A$3:$F$32,5,FALSE) - VLOOKUP($B50,test!$A$3:$G$32,6,FALSE) &gt;= (test!$B$34+VLOOKUP(VLOOKUP($B50,test!$A$2:$I$32,4,FALSE),test!$J$24:$P$28,4,FALSE))/1440),1,0)</f>
        <v>0</v>
      </c>
      <c r="W50" s="2">
        <f>IF(AND(VLOOKUP(W$1,test!$A$3:$F$32,5,FALSE) - VLOOKUP($B50,test!$A$3:$G$32,6,FALSE) &gt;= (test!$B$34+VLOOKUP(VLOOKUP($B50,test!$A$2:$I$32,4,FALSE),test!$J$24:$P$28,4,FALSE))/1440),1,0)</f>
        <v>1</v>
      </c>
      <c r="X50" s="2">
        <f>IF(AND(VLOOKUP(X$1,test!$A$3:$F$32,5,FALSE) - VLOOKUP($B50,test!$A$3:$G$32,6,FALSE) &gt;= (test!$B$34+VLOOKUP(VLOOKUP($B50,test!$A$2:$I$32,4,FALSE),test!$J$24:$P$28,4,FALSE))/1440),1,0)</f>
        <v>1</v>
      </c>
      <c r="Y50" s="2">
        <f>IF(AND(VLOOKUP(Y$1,test!$A$3:$F$32,5,FALSE) - VLOOKUP($B50,test!$A$3:$G$32,6,FALSE) &gt;= (test!$B$34+VLOOKUP(VLOOKUP($B50,test!$A$2:$I$32,4,FALSE),test!$J$24:$P$28,4,FALSE))/1440),1,0)</f>
        <v>1</v>
      </c>
      <c r="Z50" s="2">
        <f>IF(AND(VLOOKUP(Z$1,test!$A$3:$F$32,5,FALSE) - VLOOKUP($B50,test!$A$3:$G$32,6,FALSE) &gt;= (test!$B$34+VLOOKUP(VLOOKUP($B50,test!$A$2:$I$32,4,FALSE),test!$J$24:$P$28,4,FALSE))/1440),1,0)</f>
        <v>0</v>
      </c>
      <c r="AA50" s="2">
        <f>IF(AND(VLOOKUP(AA$1,test!$A$3:$F$32,5,FALSE) - VLOOKUP($B50,test!$A$3:$G$32,6,FALSE) &gt;= (test!$B$34+VLOOKUP(VLOOKUP($B50,test!$A$2:$I$32,4,FALSE),test!$J$24:$P$28,4,FALSE))/1440),1,0)</f>
        <v>0</v>
      </c>
      <c r="AB50" s="2">
        <f>IF(AND(VLOOKUP(AB$1,test!$A$3:$F$32,5,FALSE) - VLOOKUP($B50,test!$A$3:$G$32,6,FALSE) &gt;= (test!$B$34+VLOOKUP(VLOOKUP($B50,test!$A$2:$I$32,4,FALSE),test!$J$24:$P$28,4,FALSE))/1440),1,0)</f>
        <v>0</v>
      </c>
      <c r="AC50" s="2">
        <f>IF(AND(VLOOKUP(AC$1,test!$A$3:$F$32,5,FALSE) - VLOOKUP($B50,test!$A$3:$G$32,6,FALSE) &gt;= (test!$B$34+VLOOKUP(VLOOKUP($B50,test!$A$2:$I$32,4,FALSE),test!$J$24:$P$28,4,FALSE))/1440),1,0)</f>
        <v>1</v>
      </c>
      <c r="AD50" s="2">
        <f>IF(AND(VLOOKUP(AD$1,test!$A$3:$F$32,5,FALSE) - VLOOKUP($B50,test!$A$3:$G$32,6,FALSE) &gt;= (test!$B$34+VLOOKUP(VLOOKUP($B50,test!$A$2:$I$32,4,FALSE),test!$J$24:$P$28,4,FALSE))/1440),1,0)</f>
        <v>1</v>
      </c>
      <c r="AE50" s="2">
        <f>IF(AND(VLOOKUP(AE$1,test!$A$3:$F$32,5,FALSE) - VLOOKUP($B50,test!$A$3:$G$32,6,FALSE) &gt;= (test!$B$34+VLOOKUP(VLOOKUP($B50,test!$A$2:$I$32,4,FALSE),test!$J$24:$P$28,4,FALSE))/1440),1,0)</f>
        <v>0</v>
      </c>
      <c r="AF50" s="2">
        <f>IF(AND(VLOOKUP(AF$1,test!$A$3:$F$32,5,FALSE) - VLOOKUP($B50,test!$A$3:$G$32,6,FALSE) &gt;= (test!$B$34+VLOOKUP(VLOOKUP($B50,test!$A$2:$I$32,4,FALSE),test!$J$24:$P$28,4,FALSE))/1440),1,0)</f>
        <v>0</v>
      </c>
      <c r="AG50" s="2">
        <f>IF(AND(VLOOKUP(AG$1,test!$A$3:$F$32,5,FALSE) - VLOOKUP($B50,test!$A$3:$G$32,6,FALSE) &gt;= (test!$B$34+VLOOKUP(VLOOKUP($B50,test!$A$2:$I$32,4,FALSE),test!$J$24:$P$28,4,FALSE))/1440),1,0)</f>
        <v>0</v>
      </c>
    </row>
    <row r="51" spans="1:33" x14ac:dyDescent="0.25">
      <c r="A51" t="s">
        <v>90</v>
      </c>
      <c r="B51" t="s">
        <v>29</v>
      </c>
      <c r="C51">
        <v>0</v>
      </c>
      <c r="D51" s="2">
        <f>IF(AND(VLOOKUP(D$1,test!$A$3:$F$32,5,FALSE) - VLOOKUP($B51,test!$A$3:$G$32,6,FALSE) &gt;= (test!$B$34+VLOOKUP(VLOOKUP($B51,test!$A$2:$I$32,4,FALSE),test!$J$24:$P$28,4,FALSE))/1440),1,0)</f>
        <v>0</v>
      </c>
      <c r="E51" s="2">
        <f>IF(AND(VLOOKUP(E$1,test!$A$3:$F$32,5,FALSE) - VLOOKUP($B51,test!$A$3:$G$32,6,FALSE) &gt;= (test!$B$34+VLOOKUP(VLOOKUP($B51,test!$A$2:$I$32,4,FALSE),test!$J$24:$P$28,4,FALSE))/1440),1,0)</f>
        <v>0</v>
      </c>
      <c r="F51" s="2">
        <f>IF(AND(VLOOKUP(F$1,test!$A$3:$F$32,5,FALSE) - VLOOKUP($B51,test!$A$3:$G$32,6,FALSE) &gt;= (test!$B$34+VLOOKUP(VLOOKUP($B51,test!$A$2:$I$32,4,FALSE),test!$J$24:$P$28,4,FALSE))/1440),1,0)</f>
        <v>0</v>
      </c>
      <c r="G51" s="2">
        <f>IF(AND(VLOOKUP(G$1,test!$A$3:$F$32,5,FALSE) - VLOOKUP($B51,test!$A$3:$G$32,6,FALSE) &gt;= (test!$B$34+VLOOKUP(VLOOKUP($B51,test!$A$2:$I$32,4,FALSE),test!$J$24:$P$28,4,FALSE))/1440),1,0)</f>
        <v>0</v>
      </c>
      <c r="H51" s="2">
        <f>IF(AND(VLOOKUP(H$1,test!$A$3:$F$32,5,FALSE) - VLOOKUP($B51,test!$A$3:$G$32,6,FALSE) &gt;= (test!$B$34+VLOOKUP(VLOOKUP($B51,test!$A$2:$I$32,4,FALSE),test!$J$24:$P$28,4,FALSE))/1440),1,0)</f>
        <v>0</v>
      </c>
      <c r="I51" s="2">
        <f>IF(AND(VLOOKUP(I$1,test!$A$3:$F$32,5,FALSE) - VLOOKUP($B51,test!$A$3:$G$32,6,FALSE) &gt;= (test!$B$34+VLOOKUP(VLOOKUP($B51,test!$A$2:$I$32,4,FALSE),test!$J$24:$P$28,4,FALSE))/1440),1,0)</f>
        <v>1</v>
      </c>
      <c r="J51" s="2">
        <f>IF(AND(VLOOKUP(J$1,test!$A$3:$F$32,5,FALSE) - VLOOKUP($B51,test!$A$3:$G$32,6,FALSE) &gt;= (test!$B$34+VLOOKUP(VLOOKUP($B51,test!$A$2:$I$32,4,FALSE),test!$J$24:$P$28,4,FALSE))/1440),1,0)</f>
        <v>1</v>
      </c>
      <c r="K51" s="2">
        <f>IF(AND(VLOOKUP(K$1,test!$A$3:$F$32,5,FALSE) - VLOOKUP($B51,test!$A$3:$G$32,6,FALSE) &gt;= (test!$B$34+VLOOKUP(VLOOKUP($B51,test!$A$2:$I$32,4,FALSE),test!$J$24:$P$28,4,FALSE))/1440),1,0)</f>
        <v>1</v>
      </c>
      <c r="L51" s="2">
        <f>IF(AND(VLOOKUP(L$1,test!$A$3:$F$32,5,FALSE) - VLOOKUP($B51,test!$A$3:$G$32,6,FALSE) &gt;= (test!$B$34+VLOOKUP(VLOOKUP($B51,test!$A$2:$I$32,4,FALSE),test!$J$24:$P$28,4,FALSE))/1440),1,0)</f>
        <v>0</v>
      </c>
      <c r="M51" s="2">
        <f>IF(AND(VLOOKUP(M$1,test!$A$3:$F$32,5,FALSE) - VLOOKUP($B51,test!$A$3:$G$32,6,FALSE) &gt;= (test!$B$34+VLOOKUP(VLOOKUP($B51,test!$A$2:$I$32,4,FALSE),test!$J$24:$P$28,4,FALSE))/1440),1,0)</f>
        <v>0</v>
      </c>
      <c r="N51" s="2">
        <f>IF(AND(VLOOKUP(N$1,test!$A$3:$F$32,5,FALSE) - VLOOKUP($B51,test!$A$3:$G$32,6,FALSE) &gt;= (test!$B$34+VLOOKUP(VLOOKUP($B51,test!$A$2:$I$32,4,FALSE),test!$J$24:$P$28,4,FALSE))/1440),1,0)</f>
        <v>0</v>
      </c>
      <c r="O51" s="2">
        <f>IF(AND(VLOOKUP(O$1,test!$A$3:$F$32,5,FALSE) - VLOOKUP($B51,test!$A$3:$G$32,6,FALSE) &gt;= (test!$B$34+VLOOKUP(VLOOKUP($B51,test!$A$2:$I$32,4,FALSE),test!$J$24:$P$28,4,FALSE))/1440),1,0)</f>
        <v>1</v>
      </c>
      <c r="P51" s="2">
        <f>IF(AND(VLOOKUP(P$1,test!$A$3:$F$32,5,FALSE) - VLOOKUP($B51,test!$A$3:$G$32,6,FALSE) &gt;= (test!$B$34+VLOOKUP(VLOOKUP($B51,test!$A$2:$I$32,4,FALSE),test!$J$24:$P$28,4,FALSE))/1440),1,0)</f>
        <v>1</v>
      </c>
      <c r="Q51" s="2">
        <f>IF(AND(VLOOKUP(Q$1,test!$A$3:$F$32,5,FALSE) - VLOOKUP($B51,test!$A$3:$G$32,6,FALSE) &gt;= (test!$B$34+VLOOKUP(VLOOKUP($B51,test!$A$2:$I$32,4,FALSE),test!$J$24:$P$28,4,FALSE))/1440),1,0)</f>
        <v>0</v>
      </c>
      <c r="R51" s="2">
        <f>IF(AND(VLOOKUP(R$1,test!$A$3:$F$32,5,FALSE) - VLOOKUP($B51,test!$A$3:$G$32,6,FALSE) &gt;= (test!$B$34+VLOOKUP(VLOOKUP($B51,test!$A$2:$I$32,4,FALSE),test!$J$24:$P$28,4,FALSE))/1440),1,0)</f>
        <v>0</v>
      </c>
      <c r="S51" s="2">
        <f>IF(AND(VLOOKUP(S$1,test!$A$3:$F$32,5,FALSE) - VLOOKUP($B51,test!$A$3:$G$32,6,FALSE) &gt;= (test!$B$34+VLOOKUP(VLOOKUP($B51,test!$A$2:$I$32,4,FALSE),test!$J$24:$P$28,4,FALSE))/1440),1,0)</f>
        <v>0</v>
      </c>
      <c r="T51" s="2">
        <f>IF(AND(VLOOKUP(T$1,test!$A$3:$F$32,5,FALSE) - VLOOKUP($B51,test!$A$3:$G$32,6,FALSE) &gt;= (test!$B$34+VLOOKUP(VLOOKUP($B51,test!$A$2:$I$32,4,FALSE),test!$J$24:$P$28,4,FALSE))/1440),1,0)</f>
        <v>0</v>
      </c>
      <c r="U51" s="2">
        <f>IF(AND(VLOOKUP(U$1,test!$A$3:$F$32,5,FALSE) - VLOOKUP($B51,test!$A$3:$G$32,6,FALSE) &gt;= (test!$B$34+VLOOKUP(VLOOKUP($B51,test!$A$2:$I$32,4,FALSE),test!$J$24:$P$28,4,FALSE))/1440),1,0)</f>
        <v>0</v>
      </c>
      <c r="V51" s="2">
        <f>IF(AND(VLOOKUP(V$1,test!$A$3:$F$32,5,FALSE) - VLOOKUP($B51,test!$A$3:$G$32,6,FALSE) &gt;= (test!$B$34+VLOOKUP(VLOOKUP($B51,test!$A$2:$I$32,4,FALSE),test!$J$24:$P$28,4,FALSE))/1440),1,0)</f>
        <v>0</v>
      </c>
      <c r="W51" s="2">
        <f>IF(AND(VLOOKUP(W$1,test!$A$3:$F$32,5,FALSE) - VLOOKUP($B51,test!$A$3:$G$32,6,FALSE) &gt;= (test!$B$34+VLOOKUP(VLOOKUP($B51,test!$A$2:$I$32,4,FALSE),test!$J$24:$P$28,4,FALSE))/1440),1,0)</f>
        <v>0</v>
      </c>
      <c r="X51" s="2">
        <f>IF(AND(VLOOKUP(X$1,test!$A$3:$F$32,5,FALSE) - VLOOKUP($B51,test!$A$3:$G$32,6,FALSE) &gt;= (test!$B$34+VLOOKUP(VLOOKUP($B51,test!$A$2:$I$32,4,FALSE),test!$J$24:$P$28,4,FALSE))/1440),1,0)</f>
        <v>1</v>
      </c>
      <c r="Y51" s="2">
        <f>IF(AND(VLOOKUP(Y$1,test!$A$3:$F$32,5,FALSE) - VLOOKUP($B51,test!$A$3:$G$32,6,FALSE) &gt;= (test!$B$34+VLOOKUP(VLOOKUP($B51,test!$A$2:$I$32,4,FALSE),test!$J$24:$P$28,4,FALSE))/1440),1,0)</f>
        <v>1</v>
      </c>
      <c r="Z51" s="2">
        <f>IF(AND(VLOOKUP(Z$1,test!$A$3:$F$32,5,FALSE) - VLOOKUP($B51,test!$A$3:$G$32,6,FALSE) &gt;= (test!$B$34+VLOOKUP(VLOOKUP($B51,test!$A$2:$I$32,4,FALSE),test!$J$24:$P$28,4,FALSE))/1440),1,0)</f>
        <v>0</v>
      </c>
      <c r="AA51" s="2">
        <f>IF(AND(VLOOKUP(AA$1,test!$A$3:$F$32,5,FALSE) - VLOOKUP($B51,test!$A$3:$G$32,6,FALSE) &gt;= (test!$B$34+VLOOKUP(VLOOKUP($B51,test!$A$2:$I$32,4,FALSE),test!$J$24:$P$28,4,FALSE))/1440),1,0)</f>
        <v>0</v>
      </c>
      <c r="AB51" s="2">
        <f>IF(AND(VLOOKUP(AB$1,test!$A$3:$F$32,5,FALSE) - VLOOKUP($B51,test!$A$3:$G$32,6,FALSE) &gt;= (test!$B$34+VLOOKUP(VLOOKUP($B51,test!$A$2:$I$32,4,FALSE),test!$J$24:$P$28,4,FALSE))/1440),1,0)</f>
        <v>0</v>
      </c>
      <c r="AC51" s="2">
        <f>IF(AND(VLOOKUP(AC$1,test!$A$3:$F$32,5,FALSE) - VLOOKUP($B51,test!$A$3:$G$32,6,FALSE) &gt;= (test!$B$34+VLOOKUP(VLOOKUP($B51,test!$A$2:$I$32,4,FALSE),test!$J$24:$P$28,4,FALSE))/1440),1,0)</f>
        <v>0</v>
      </c>
      <c r="AD51" s="2">
        <f>IF(AND(VLOOKUP(AD$1,test!$A$3:$F$32,5,FALSE) - VLOOKUP($B51,test!$A$3:$G$32,6,FALSE) &gt;= (test!$B$34+VLOOKUP(VLOOKUP($B51,test!$A$2:$I$32,4,FALSE),test!$J$24:$P$28,4,FALSE))/1440),1,0)</f>
        <v>1</v>
      </c>
      <c r="AE51" s="2">
        <f>IF(AND(VLOOKUP(AE$1,test!$A$3:$F$32,5,FALSE) - VLOOKUP($B51,test!$A$3:$G$32,6,FALSE) &gt;= (test!$B$34+VLOOKUP(VLOOKUP($B51,test!$A$2:$I$32,4,FALSE),test!$J$24:$P$28,4,FALSE))/1440),1,0)</f>
        <v>0</v>
      </c>
      <c r="AF51" s="2">
        <f>IF(AND(VLOOKUP(AF$1,test!$A$3:$F$32,5,FALSE) - VLOOKUP($B51,test!$A$3:$G$32,6,FALSE) &gt;= (test!$B$34+VLOOKUP(VLOOKUP($B51,test!$A$2:$I$32,4,FALSE),test!$J$24:$P$28,4,FALSE))/1440),1,0)</f>
        <v>0</v>
      </c>
      <c r="AG51" s="2">
        <f>IF(AND(VLOOKUP(AG$1,test!$A$3:$F$32,5,FALSE) - VLOOKUP($B51,test!$A$3:$G$32,6,FALSE) &gt;= (test!$B$34+VLOOKUP(VLOOKUP($B51,test!$A$2:$I$32,4,FALSE),test!$J$24:$P$28,4,FALSE))/1440),1,0)</f>
        <v>0</v>
      </c>
    </row>
    <row r="52" spans="1:33" x14ac:dyDescent="0.25">
      <c r="A52" t="s">
        <v>90</v>
      </c>
      <c r="B52" t="s">
        <v>30</v>
      </c>
      <c r="C52">
        <v>0</v>
      </c>
      <c r="D52" s="2">
        <f>IF(AND(VLOOKUP(D$1,test!$A$3:$F$32,5,FALSE) - VLOOKUP($B52,test!$A$3:$G$32,6,FALSE) &gt;= (test!$B$34+VLOOKUP(VLOOKUP($B52,test!$A$2:$I$32,4,FALSE),test!$J$24:$P$28,4,FALSE))/1440),1,0)</f>
        <v>0</v>
      </c>
      <c r="E52" s="2">
        <f>IF(AND(VLOOKUP(E$1,test!$A$3:$F$32,5,FALSE) - VLOOKUP($B52,test!$A$3:$G$32,6,FALSE) &gt;= (test!$B$34+VLOOKUP(VLOOKUP($B52,test!$A$2:$I$32,4,FALSE),test!$J$24:$P$28,4,FALSE))/1440),1,0)</f>
        <v>0</v>
      </c>
      <c r="F52" s="2">
        <f>IF(AND(VLOOKUP(F$1,test!$A$3:$F$32,5,FALSE) - VLOOKUP($B52,test!$A$3:$G$32,6,FALSE) &gt;= (test!$B$34+VLOOKUP(VLOOKUP($B52,test!$A$2:$I$32,4,FALSE),test!$J$24:$P$28,4,FALSE))/1440),1,0)</f>
        <v>0</v>
      </c>
      <c r="G52" s="2">
        <f>IF(AND(VLOOKUP(G$1,test!$A$3:$F$32,5,FALSE) - VLOOKUP($B52,test!$A$3:$G$32,6,FALSE) &gt;= (test!$B$34+VLOOKUP(VLOOKUP($B52,test!$A$2:$I$32,4,FALSE),test!$J$24:$P$28,4,FALSE))/1440),1,0)</f>
        <v>0</v>
      </c>
      <c r="H52" s="2">
        <f>IF(AND(VLOOKUP(H$1,test!$A$3:$F$32,5,FALSE) - VLOOKUP($B52,test!$A$3:$G$32,6,FALSE) &gt;= (test!$B$34+VLOOKUP(VLOOKUP($B52,test!$A$2:$I$32,4,FALSE),test!$J$24:$P$28,4,FALSE))/1440),1,0)</f>
        <v>0</v>
      </c>
      <c r="I52" s="2">
        <f>IF(AND(VLOOKUP(I$1,test!$A$3:$F$32,5,FALSE) - VLOOKUP($B52,test!$A$3:$G$32,6,FALSE) &gt;= (test!$B$34+VLOOKUP(VLOOKUP($B52,test!$A$2:$I$32,4,FALSE),test!$J$24:$P$28,4,FALSE))/1440),1,0)</f>
        <v>0</v>
      </c>
      <c r="J52" s="2">
        <f>IF(AND(VLOOKUP(J$1,test!$A$3:$F$32,5,FALSE) - VLOOKUP($B52,test!$A$3:$G$32,6,FALSE) &gt;= (test!$B$34+VLOOKUP(VLOOKUP($B52,test!$A$2:$I$32,4,FALSE),test!$J$24:$P$28,4,FALSE))/1440),1,0)</f>
        <v>1</v>
      </c>
      <c r="K52" s="2">
        <f>IF(AND(VLOOKUP(K$1,test!$A$3:$F$32,5,FALSE) - VLOOKUP($B52,test!$A$3:$G$32,6,FALSE) &gt;= (test!$B$34+VLOOKUP(VLOOKUP($B52,test!$A$2:$I$32,4,FALSE),test!$J$24:$P$28,4,FALSE))/1440),1,0)</f>
        <v>1</v>
      </c>
      <c r="L52" s="2">
        <f>IF(AND(VLOOKUP(L$1,test!$A$3:$F$32,5,FALSE) - VLOOKUP($B52,test!$A$3:$G$32,6,FALSE) &gt;= (test!$B$34+VLOOKUP(VLOOKUP($B52,test!$A$2:$I$32,4,FALSE),test!$J$24:$P$28,4,FALSE))/1440),1,0)</f>
        <v>0</v>
      </c>
      <c r="M52" s="2">
        <f>IF(AND(VLOOKUP(M$1,test!$A$3:$F$32,5,FALSE) - VLOOKUP($B52,test!$A$3:$G$32,6,FALSE) &gt;= (test!$B$34+VLOOKUP(VLOOKUP($B52,test!$A$2:$I$32,4,FALSE),test!$J$24:$P$28,4,FALSE))/1440),1,0)</f>
        <v>0</v>
      </c>
      <c r="N52" s="2">
        <f>IF(AND(VLOOKUP(N$1,test!$A$3:$F$32,5,FALSE) - VLOOKUP($B52,test!$A$3:$G$32,6,FALSE) &gt;= (test!$B$34+VLOOKUP(VLOOKUP($B52,test!$A$2:$I$32,4,FALSE),test!$J$24:$P$28,4,FALSE))/1440),1,0)</f>
        <v>0</v>
      </c>
      <c r="O52" s="2">
        <f>IF(AND(VLOOKUP(O$1,test!$A$3:$F$32,5,FALSE) - VLOOKUP($B52,test!$A$3:$G$32,6,FALSE) &gt;= (test!$B$34+VLOOKUP(VLOOKUP($B52,test!$A$2:$I$32,4,FALSE),test!$J$24:$P$28,4,FALSE))/1440),1,0)</f>
        <v>1</v>
      </c>
      <c r="P52" s="2">
        <f>IF(AND(VLOOKUP(P$1,test!$A$3:$F$32,5,FALSE) - VLOOKUP($B52,test!$A$3:$G$32,6,FALSE) &gt;= (test!$B$34+VLOOKUP(VLOOKUP($B52,test!$A$2:$I$32,4,FALSE),test!$J$24:$P$28,4,FALSE))/1440),1,0)</f>
        <v>1</v>
      </c>
      <c r="Q52" s="2">
        <f>IF(AND(VLOOKUP(Q$1,test!$A$3:$F$32,5,FALSE) - VLOOKUP($B52,test!$A$3:$G$32,6,FALSE) &gt;= (test!$B$34+VLOOKUP(VLOOKUP($B52,test!$A$2:$I$32,4,FALSE),test!$J$24:$P$28,4,FALSE))/1440),1,0)</f>
        <v>0</v>
      </c>
      <c r="R52" s="2">
        <f>IF(AND(VLOOKUP(R$1,test!$A$3:$F$32,5,FALSE) - VLOOKUP($B52,test!$A$3:$G$32,6,FALSE) &gt;= (test!$B$34+VLOOKUP(VLOOKUP($B52,test!$A$2:$I$32,4,FALSE),test!$J$24:$P$28,4,FALSE))/1440),1,0)</f>
        <v>0</v>
      </c>
      <c r="S52" s="2">
        <f>IF(AND(VLOOKUP(S$1,test!$A$3:$F$32,5,FALSE) - VLOOKUP($B52,test!$A$3:$G$32,6,FALSE) &gt;= (test!$B$34+VLOOKUP(VLOOKUP($B52,test!$A$2:$I$32,4,FALSE),test!$J$24:$P$28,4,FALSE))/1440),1,0)</f>
        <v>0</v>
      </c>
      <c r="T52" s="2">
        <f>IF(AND(VLOOKUP(T$1,test!$A$3:$F$32,5,FALSE) - VLOOKUP($B52,test!$A$3:$G$32,6,FALSE) &gt;= (test!$B$34+VLOOKUP(VLOOKUP($B52,test!$A$2:$I$32,4,FALSE),test!$J$24:$P$28,4,FALSE))/1440),1,0)</f>
        <v>0</v>
      </c>
      <c r="U52" s="2">
        <f>IF(AND(VLOOKUP(U$1,test!$A$3:$F$32,5,FALSE) - VLOOKUP($B52,test!$A$3:$G$32,6,FALSE) &gt;= (test!$B$34+VLOOKUP(VLOOKUP($B52,test!$A$2:$I$32,4,FALSE),test!$J$24:$P$28,4,FALSE))/1440),1,0)</f>
        <v>0</v>
      </c>
      <c r="V52" s="2">
        <f>IF(AND(VLOOKUP(V$1,test!$A$3:$F$32,5,FALSE) - VLOOKUP($B52,test!$A$3:$G$32,6,FALSE) &gt;= (test!$B$34+VLOOKUP(VLOOKUP($B52,test!$A$2:$I$32,4,FALSE),test!$J$24:$P$28,4,FALSE))/1440),1,0)</f>
        <v>0</v>
      </c>
      <c r="W52" s="2">
        <f>IF(AND(VLOOKUP(W$1,test!$A$3:$F$32,5,FALSE) - VLOOKUP($B52,test!$A$3:$G$32,6,FALSE) &gt;= (test!$B$34+VLOOKUP(VLOOKUP($B52,test!$A$2:$I$32,4,FALSE),test!$J$24:$P$28,4,FALSE))/1440),1,0)</f>
        <v>0</v>
      </c>
      <c r="X52" s="2">
        <f>IF(AND(VLOOKUP(X$1,test!$A$3:$F$32,5,FALSE) - VLOOKUP($B52,test!$A$3:$G$32,6,FALSE) &gt;= (test!$B$34+VLOOKUP(VLOOKUP($B52,test!$A$2:$I$32,4,FALSE),test!$J$24:$P$28,4,FALSE))/1440),1,0)</f>
        <v>0</v>
      </c>
      <c r="Y52" s="2">
        <f>IF(AND(VLOOKUP(Y$1,test!$A$3:$F$32,5,FALSE) - VLOOKUP($B52,test!$A$3:$G$32,6,FALSE) &gt;= (test!$B$34+VLOOKUP(VLOOKUP($B52,test!$A$2:$I$32,4,FALSE),test!$J$24:$P$28,4,FALSE))/1440),1,0)</f>
        <v>1</v>
      </c>
      <c r="Z52" s="2">
        <f>IF(AND(VLOOKUP(Z$1,test!$A$3:$F$32,5,FALSE) - VLOOKUP($B52,test!$A$3:$G$32,6,FALSE) &gt;= (test!$B$34+VLOOKUP(VLOOKUP($B52,test!$A$2:$I$32,4,FALSE),test!$J$24:$P$28,4,FALSE))/1440),1,0)</f>
        <v>0</v>
      </c>
      <c r="AA52" s="2">
        <f>IF(AND(VLOOKUP(AA$1,test!$A$3:$F$32,5,FALSE) - VLOOKUP($B52,test!$A$3:$G$32,6,FALSE) &gt;= (test!$B$34+VLOOKUP(VLOOKUP($B52,test!$A$2:$I$32,4,FALSE),test!$J$24:$P$28,4,FALSE))/1440),1,0)</f>
        <v>0</v>
      </c>
      <c r="AB52" s="2">
        <f>IF(AND(VLOOKUP(AB$1,test!$A$3:$F$32,5,FALSE) - VLOOKUP($B52,test!$A$3:$G$32,6,FALSE) &gt;= (test!$B$34+VLOOKUP(VLOOKUP($B52,test!$A$2:$I$32,4,FALSE),test!$J$24:$P$28,4,FALSE))/1440),1,0)</f>
        <v>0</v>
      </c>
      <c r="AC52" s="2">
        <f>IF(AND(VLOOKUP(AC$1,test!$A$3:$F$32,5,FALSE) - VLOOKUP($B52,test!$A$3:$G$32,6,FALSE) &gt;= (test!$B$34+VLOOKUP(VLOOKUP($B52,test!$A$2:$I$32,4,FALSE),test!$J$24:$P$28,4,FALSE))/1440),1,0)</f>
        <v>0</v>
      </c>
      <c r="AD52" s="2">
        <f>IF(AND(VLOOKUP(AD$1,test!$A$3:$F$32,5,FALSE) - VLOOKUP($B52,test!$A$3:$G$32,6,FALSE) &gt;= (test!$B$34+VLOOKUP(VLOOKUP($B52,test!$A$2:$I$32,4,FALSE),test!$J$24:$P$28,4,FALSE))/1440),1,0)</f>
        <v>0</v>
      </c>
      <c r="AE52" s="2">
        <f>IF(AND(VLOOKUP(AE$1,test!$A$3:$F$32,5,FALSE) - VLOOKUP($B52,test!$A$3:$G$32,6,FALSE) &gt;= (test!$B$34+VLOOKUP(VLOOKUP($B52,test!$A$2:$I$32,4,FALSE),test!$J$24:$P$28,4,FALSE))/1440),1,0)</f>
        <v>0</v>
      </c>
      <c r="AF52" s="2">
        <f>IF(AND(VLOOKUP(AF$1,test!$A$3:$F$32,5,FALSE) - VLOOKUP($B52,test!$A$3:$G$32,6,FALSE) &gt;= (test!$B$34+VLOOKUP(VLOOKUP($B52,test!$A$2:$I$32,4,FALSE),test!$J$24:$P$28,4,FALSE))/1440),1,0)</f>
        <v>0</v>
      </c>
      <c r="AG52" s="2">
        <f>IF(AND(VLOOKUP(AG$1,test!$A$3:$F$32,5,FALSE) - VLOOKUP($B52,test!$A$3:$G$32,6,FALSE) &gt;= (test!$B$34+VLOOKUP(VLOOKUP($B52,test!$A$2:$I$32,4,FALSE),test!$J$24:$P$28,4,FALSE))/1440),1,0)</f>
        <v>0</v>
      </c>
    </row>
    <row r="53" spans="1:33" x14ac:dyDescent="0.25">
      <c r="A53" t="s">
        <v>90</v>
      </c>
      <c r="B53" t="s">
        <v>31</v>
      </c>
      <c r="C53">
        <v>0</v>
      </c>
      <c r="D53" s="2">
        <f>IF(AND(VLOOKUP(D$1,test!$A$3:$F$32,5,FALSE) - VLOOKUP($B53,test!$A$3:$G$32,6,FALSE) &gt;= (test!$B$34+VLOOKUP(VLOOKUP($B53,test!$A$2:$I$32,4,FALSE),test!$J$24:$P$28,4,FALSE))/1440),1,0)</f>
        <v>0</v>
      </c>
      <c r="E53" s="2">
        <f>IF(AND(VLOOKUP(E$1,test!$A$3:$F$32,5,FALSE) - VLOOKUP($B53,test!$A$3:$G$32,6,FALSE) &gt;= (test!$B$34+VLOOKUP(VLOOKUP($B53,test!$A$2:$I$32,4,FALSE),test!$J$24:$P$28,4,FALSE))/1440),1,0)</f>
        <v>0</v>
      </c>
      <c r="F53" s="2">
        <f>IF(AND(VLOOKUP(F$1,test!$A$3:$F$32,5,FALSE) - VLOOKUP($B53,test!$A$3:$G$32,6,FALSE) &gt;= (test!$B$34+VLOOKUP(VLOOKUP($B53,test!$A$2:$I$32,4,FALSE),test!$J$24:$P$28,4,FALSE))/1440),1,0)</f>
        <v>0</v>
      </c>
      <c r="G53" s="2">
        <f>IF(AND(VLOOKUP(G$1,test!$A$3:$F$32,5,FALSE) - VLOOKUP($B53,test!$A$3:$G$32,6,FALSE) &gt;= (test!$B$34+VLOOKUP(VLOOKUP($B53,test!$A$2:$I$32,4,FALSE),test!$J$24:$P$28,4,FALSE))/1440),1,0)</f>
        <v>0</v>
      </c>
      <c r="H53" s="2">
        <f>IF(AND(VLOOKUP(H$1,test!$A$3:$F$32,5,FALSE) - VLOOKUP($B53,test!$A$3:$G$32,6,FALSE) &gt;= (test!$B$34+VLOOKUP(VLOOKUP($B53,test!$A$2:$I$32,4,FALSE),test!$J$24:$P$28,4,FALSE))/1440),1,0)</f>
        <v>0</v>
      </c>
      <c r="I53" s="2">
        <f>IF(AND(VLOOKUP(I$1,test!$A$3:$F$32,5,FALSE) - VLOOKUP($B53,test!$A$3:$G$32,6,FALSE) &gt;= (test!$B$34+VLOOKUP(VLOOKUP($B53,test!$A$2:$I$32,4,FALSE),test!$J$24:$P$28,4,FALSE))/1440),1,0)</f>
        <v>0</v>
      </c>
      <c r="J53" s="2">
        <f>IF(AND(VLOOKUP(J$1,test!$A$3:$F$32,5,FALSE) - VLOOKUP($B53,test!$A$3:$G$32,6,FALSE) &gt;= (test!$B$34+VLOOKUP(VLOOKUP($B53,test!$A$2:$I$32,4,FALSE),test!$J$24:$P$28,4,FALSE))/1440),1,0)</f>
        <v>0</v>
      </c>
      <c r="K53" s="2">
        <f>IF(AND(VLOOKUP(K$1,test!$A$3:$F$32,5,FALSE) - VLOOKUP($B53,test!$A$3:$G$32,6,FALSE) &gt;= (test!$B$34+VLOOKUP(VLOOKUP($B53,test!$A$2:$I$32,4,FALSE),test!$J$24:$P$28,4,FALSE))/1440),1,0)</f>
        <v>1</v>
      </c>
      <c r="L53" s="2">
        <f>IF(AND(VLOOKUP(L$1,test!$A$3:$F$32,5,FALSE) - VLOOKUP($B53,test!$A$3:$G$32,6,FALSE) &gt;= (test!$B$34+VLOOKUP(VLOOKUP($B53,test!$A$2:$I$32,4,FALSE),test!$J$24:$P$28,4,FALSE))/1440),1,0)</f>
        <v>0</v>
      </c>
      <c r="M53" s="2">
        <f>IF(AND(VLOOKUP(M$1,test!$A$3:$F$32,5,FALSE) - VLOOKUP($B53,test!$A$3:$G$32,6,FALSE) &gt;= (test!$B$34+VLOOKUP(VLOOKUP($B53,test!$A$2:$I$32,4,FALSE),test!$J$24:$P$28,4,FALSE))/1440),1,0)</f>
        <v>0</v>
      </c>
      <c r="N53" s="2">
        <f>IF(AND(VLOOKUP(N$1,test!$A$3:$F$32,5,FALSE) - VLOOKUP($B53,test!$A$3:$G$32,6,FALSE) &gt;= (test!$B$34+VLOOKUP(VLOOKUP($B53,test!$A$2:$I$32,4,FALSE),test!$J$24:$P$28,4,FALSE))/1440),1,0)</f>
        <v>0</v>
      </c>
      <c r="O53" s="2">
        <f>IF(AND(VLOOKUP(O$1,test!$A$3:$F$32,5,FALSE) - VLOOKUP($B53,test!$A$3:$G$32,6,FALSE) &gt;= (test!$B$34+VLOOKUP(VLOOKUP($B53,test!$A$2:$I$32,4,FALSE),test!$J$24:$P$28,4,FALSE))/1440),1,0)</f>
        <v>0</v>
      </c>
      <c r="P53" s="2">
        <f>IF(AND(VLOOKUP(P$1,test!$A$3:$F$32,5,FALSE) - VLOOKUP($B53,test!$A$3:$G$32,6,FALSE) &gt;= (test!$B$34+VLOOKUP(VLOOKUP($B53,test!$A$2:$I$32,4,FALSE),test!$J$24:$P$28,4,FALSE))/1440),1,0)</f>
        <v>1</v>
      </c>
      <c r="Q53" s="2">
        <f>IF(AND(VLOOKUP(Q$1,test!$A$3:$F$32,5,FALSE) - VLOOKUP($B53,test!$A$3:$G$32,6,FALSE) &gt;= (test!$B$34+VLOOKUP(VLOOKUP($B53,test!$A$2:$I$32,4,FALSE),test!$J$24:$P$28,4,FALSE))/1440),1,0)</f>
        <v>0</v>
      </c>
      <c r="R53" s="2">
        <f>IF(AND(VLOOKUP(R$1,test!$A$3:$F$32,5,FALSE) - VLOOKUP($B53,test!$A$3:$G$32,6,FALSE) &gt;= (test!$B$34+VLOOKUP(VLOOKUP($B53,test!$A$2:$I$32,4,FALSE),test!$J$24:$P$28,4,FALSE))/1440),1,0)</f>
        <v>0</v>
      </c>
      <c r="S53" s="2">
        <f>IF(AND(VLOOKUP(S$1,test!$A$3:$F$32,5,FALSE) - VLOOKUP($B53,test!$A$3:$G$32,6,FALSE) &gt;= (test!$B$34+VLOOKUP(VLOOKUP($B53,test!$A$2:$I$32,4,FALSE),test!$J$24:$P$28,4,FALSE))/1440),1,0)</f>
        <v>0</v>
      </c>
      <c r="T53" s="2">
        <f>IF(AND(VLOOKUP(T$1,test!$A$3:$F$32,5,FALSE) - VLOOKUP($B53,test!$A$3:$G$32,6,FALSE) &gt;= (test!$B$34+VLOOKUP(VLOOKUP($B53,test!$A$2:$I$32,4,FALSE),test!$J$24:$P$28,4,FALSE))/1440),1,0)</f>
        <v>0</v>
      </c>
      <c r="U53" s="2">
        <f>IF(AND(VLOOKUP(U$1,test!$A$3:$F$32,5,FALSE) - VLOOKUP($B53,test!$A$3:$G$32,6,FALSE) &gt;= (test!$B$34+VLOOKUP(VLOOKUP($B53,test!$A$2:$I$32,4,FALSE),test!$J$24:$P$28,4,FALSE))/1440),1,0)</f>
        <v>0</v>
      </c>
      <c r="V53" s="2">
        <f>IF(AND(VLOOKUP(V$1,test!$A$3:$F$32,5,FALSE) - VLOOKUP($B53,test!$A$3:$G$32,6,FALSE) &gt;= (test!$B$34+VLOOKUP(VLOOKUP($B53,test!$A$2:$I$32,4,FALSE),test!$J$24:$P$28,4,FALSE))/1440),1,0)</f>
        <v>0</v>
      </c>
      <c r="W53" s="2">
        <f>IF(AND(VLOOKUP(W$1,test!$A$3:$F$32,5,FALSE) - VLOOKUP($B53,test!$A$3:$G$32,6,FALSE) &gt;= (test!$B$34+VLOOKUP(VLOOKUP($B53,test!$A$2:$I$32,4,FALSE),test!$J$24:$P$28,4,FALSE))/1440),1,0)</f>
        <v>0</v>
      </c>
      <c r="X53" s="2">
        <f>IF(AND(VLOOKUP(X$1,test!$A$3:$F$32,5,FALSE) - VLOOKUP($B53,test!$A$3:$G$32,6,FALSE) &gt;= (test!$B$34+VLOOKUP(VLOOKUP($B53,test!$A$2:$I$32,4,FALSE),test!$J$24:$P$28,4,FALSE))/1440),1,0)</f>
        <v>0</v>
      </c>
      <c r="Y53" s="2">
        <f>IF(AND(VLOOKUP(Y$1,test!$A$3:$F$32,5,FALSE) - VLOOKUP($B53,test!$A$3:$G$32,6,FALSE) &gt;= (test!$B$34+VLOOKUP(VLOOKUP($B53,test!$A$2:$I$32,4,FALSE),test!$J$24:$P$28,4,FALSE))/1440),1,0)</f>
        <v>0</v>
      </c>
      <c r="Z53" s="2">
        <f>IF(AND(VLOOKUP(Z$1,test!$A$3:$F$32,5,FALSE) - VLOOKUP($B53,test!$A$3:$G$32,6,FALSE) &gt;= (test!$B$34+VLOOKUP(VLOOKUP($B53,test!$A$2:$I$32,4,FALSE),test!$J$24:$P$28,4,FALSE))/1440),1,0)</f>
        <v>0</v>
      </c>
      <c r="AA53" s="2">
        <f>IF(AND(VLOOKUP(AA$1,test!$A$3:$F$32,5,FALSE) - VLOOKUP($B53,test!$A$3:$G$32,6,FALSE) &gt;= (test!$B$34+VLOOKUP(VLOOKUP($B53,test!$A$2:$I$32,4,FALSE),test!$J$24:$P$28,4,FALSE))/1440),1,0)</f>
        <v>0</v>
      </c>
      <c r="AB53" s="2">
        <f>IF(AND(VLOOKUP(AB$1,test!$A$3:$F$32,5,FALSE) - VLOOKUP($B53,test!$A$3:$G$32,6,FALSE) &gt;= (test!$B$34+VLOOKUP(VLOOKUP($B53,test!$A$2:$I$32,4,FALSE),test!$J$24:$P$28,4,FALSE))/1440),1,0)</f>
        <v>0</v>
      </c>
      <c r="AC53" s="2">
        <f>IF(AND(VLOOKUP(AC$1,test!$A$3:$F$32,5,FALSE) - VLOOKUP($B53,test!$A$3:$G$32,6,FALSE) &gt;= (test!$B$34+VLOOKUP(VLOOKUP($B53,test!$A$2:$I$32,4,FALSE),test!$J$24:$P$28,4,FALSE))/1440),1,0)</f>
        <v>0</v>
      </c>
      <c r="AD53" s="2">
        <f>IF(AND(VLOOKUP(AD$1,test!$A$3:$F$32,5,FALSE) - VLOOKUP($B53,test!$A$3:$G$32,6,FALSE) &gt;= (test!$B$34+VLOOKUP(VLOOKUP($B53,test!$A$2:$I$32,4,FALSE),test!$J$24:$P$28,4,FALSE))/1440),1,0)</f>
        <v>0</v>
      </c>
      <c r="AE53" s="2">
        <f>IF(AND(VLOOKUP(AE$1,test!$A$3:$F$32,5,FALSE) - VLOOKUP($B53,test!$A$3:$G$32,6,FALSE) &gt;= (test!$B$34+VLOOKUP(VLOOKUP($B53,test!$A$2:$I$32,4,FALSE),test!$J$24:$P$28,4,FALSE))/1440),1,0)</f>
        <v>0</v>
      </c>
      <c r="AF53" s="2">
        <f>IF(AND(VLOOKUP(AF$1,test!$A$3:$F$32,5,FALSE) - VLOOKUP($B53,test!$A$3:$G$32,6,FALSE) &gt;= (test!$B$34+VLOOKUP(VLOOKUP($B53,test!$A$2:$I$32,4,FALSE),test!$J$24:$P$28,4,FALSE))/1440),1,0)</f>
        <v>0</v>
      </c>
      <c r="AG53" s="2">
        <f>IF(AND(VLOOKUP(AG$1,test!$A$3:$F$32,5,FALSE) - VLOOKUP($B53,test!$A$3:$G$32,6,FALSE) &gt;= (test!$B$34+VLOOKUP(VLOOKUP($B53,test!$A$2:$I$32,4,FALSE),test!$J$24:$P$28,4,FALSE))/1440),1,0)</f>
        <v>0</v>
      </c>
    </row>
    <row r="54" spans="1:33" x14ac:dyDescent="0.25">
      <c r="A54" t="s">
        <v>90</v>
      </c>
      <c r="B54" t="s">
        <v>32</v>
      </c>
      <c r="C54">
        <v>0</v>
      </c>
      <c r="D54" s="2">
        <f>IF(AND(VLOOKUP(D$1,test!$A$3:$F$32,5,FALSE) - VLOOKUP($B54,test!$A$3:$G$32,6,FALSE) &gt;= (test!$B$34+VLOOKUP(VLOOKUP($B54,test!$A$2:$I$32,4,FALSE),test!$J$24:$P$28,4,FALSE))/1440),1,0)</f>
        <v>0</v>
      </c>
      <c r="E54" s="2">
        <f>IF(AND(VLOOKUP(E$1,test!$A$3:$F$32,5,FALSE) - VLOOKUP($B54,test!$A$3:$G$32,6,FALSE) &gt;= (test!$B$34+VLOOKUP(VLOOKUP($B54,test!$A$2:$I$32,4,FALSE),test!$J$24:$P$28,4,FALSE))/1440),1,0)</f>
        <v>0</v>
      </c>
      <c r="F54" s="2">
        <f>IF(AND(VLOOKUP(F$1,test!$A$3:$F$32,5,FALSE) - VLOOKUP($B54,test!$A$3:$G$32,6,FALSE) &gt;= (test!$B$34+VLOOKUP(VLOOKUP($B54,test!$A$2:$I$32,4,FALSE),test!$J$24:$P$28,4,FALSE))/1440),1,0)</f>
        <v>0</v>
      </c>
      <c r="G54" s="2">
        <f>IF(AND(VLOOKUP(G$1,test!$A$3:$F$32,5,FALSE) - VLOOKUP($B54,test!$A$3:$G$32,6,FALSE) &gt;= (test!$B$34+VLOOKUP(VLOOKUP($B54,test!$A$2:$I$32,4,FALSE),test!$J$24:$P$28,4,FALSE))/1440),1,0)</f>
        <v>0</v>
      </c>
      <c r="H54" s="2">
        <f>IF(AND(VLOOKUP(H$1,test!$A$3:$F$32,5,FALSE) - VLOOKUP($B54,test!$A$3:$G$32,6,FALSE) &gt;= (test!$B$34+VLOOKUP(VLOOKUP($B54,test!$A$2:$I$32,4,FALSE),test!$J$24:$P$28,4,FALSE))/1440),1,0)</f>
        <v>0</v>
      </c>
      <c r="I54" s="2">
        <f>IF(AND(VLOOKUP(I$1,test!$A$3:$F$32,5,FALSE) - VLOOKUP($B54,test!$A$3:$G$32,6,FALSE) &gt;= (test!$B$34+VLOOKUP(VLOOKUP($B54,test!$A$2:$I$32,4,FALSE),test!$J$24:$P$28,4,FALSE))/1440),1,0)</f>
        <v>0</v>
      </c>
      <c r="J54" s="2">
        <f>IF(AND(VLOOKUP(J$1,test!$A$3:$F$32,5,FALSE) - VLOOKUP($B54,test!$A$3:$G$32,6,FALSE) &gt;= (test!$B$34+VLOOKUP(VLOOKUP($B54,test!$A$2:$I$32,4,FALSE),test!$J$24:$P$28,4,FALSE))/1440),1,0)</f>
        <v>0</v>
      </c>
      <c r="K54" s="2">
        <f>IF(AND(VLOOKUP(K$1,test!$A$3:$F$32,5,FALSE) - VLOOKUP($B54,test!$A$3:$G$32,6,FALSE) &gt;= (test!$B$34+VLOOKUP(VLOOKUP($B54,test!$A$2:$I$32,4,FALSE),test!$J$24:$P$28,4,FALSE))/1440),1,0)</f>
        <v>0</v>
      </c>
      <c r="L54" s="2">
        <f>IF(AND(VLOOKUP(L$1,test!$A$3:$F$32,5,FALSE) - VLOOKUP($B54,test!$A$3:$G$32,6,FALSE) &gt;= (test!$B$34+VLOOKUP(VLOOKUP($B54,test!$A$2:$I$32,4,FALSE),test!$J$24:$P$28,4,FALSE))/1440),1,0)</f>
        <v>0</v>
      </c>
      <c r="M54" s="2">
        <f>IF(AND(VLOOKUP(M$1,test!$A$3:$F$32,5,FALSE) - VLOOKUP($B54,test!$A$3:$G$32,6,FALSE) &gt;= (test!$B$34+VLOOKUP(VLOOKUP($B54,test!$A$2:$I$32,4,FALSE),test!$J$24:$P$28,4,FALSE))/1440),1,0)</f>
        <v>0</v>
      </c>
      <c r="N54" s="2">
        <f>IF(AND(VLOOKUP(N$1,test!$A$3:$F$32,5,FALSE) - VLOOKUP($B54,test!$A$3:$G$32,6,FALSE) &gt;= (test!$B$34+VLOOKUP(VLOOKUP($B54,test!$A$2:$I$32,4,FALSE),test!$J$24:$P$28,4,FALSE))/1440),1,0)</f>
        <v>0</v>
      </c>
      <c r="O54" s="2">
        <f>IF(AND(VLOOKUP(O$1,test!$A$3:$F$32,5,FALSE) - VLOOKUP($B54,test!$A$3:$G$32,6,FALSE) &gt;= (test!$B$34+VLOOKUP(VLOOKUP($B54,test!$A$2:$I$32,4,FALSE),test!$J$24:$P$28,4,FALSE))/1440),1,0)</f>
        <v>0</v>
      </c>
      <c r="P54" s="2">
        <f>IF(AND(VLOOKUP(P$1,test!$A$3:$F$32,5,FALSE) - VLOOKUP($B54,test!$A$3:$G$32,6,FALSE) &gt;= (test!$B$34+VLOOKUP(VLOOKUP($B54,test!$A$2:$I$32,4,FALSE),test!$J$24:$P$28,4,FALSE))/1440),1,0)</f>
        <v>0</v>
      </c>
      <c r="Q54" s="2">
        <f>IF(AND(VLOOKUP(Q$1,test!$A$3:$F$32,5,FALSE) - VLOOKUP($B54,test!$A$3:$G$32,6,FALSE) &gt;= (test!$B$34+VLOOKUP(VLOOKUP($B54,test!$A$2:$I$32,4,FALSE),test!$J$24:$P$28,4,FALSE))/1440),1,0)</f>
        <v>0</v>
      </c>
      <c r="R54" s="2">
        <f>IF(AND(VLOOKUP(R$1,test!$A$3:$F$32,5,FALSE) - VLOOKUP($B54,test!$A$3:$G$32,6,FALSE) &gt;= (test!$B$34+VLOOKUP(VLOOKUP($B54,test!$A$2:$I$32,4,FALSE),test!$J$24:$P$28,4,FALSE))/1440),1,0)</f>
        <v>0</v>
      </c>
      <c r="S54" s="2">
        <f>IF(AND(VLOOKUP(S$1,test!$A$3:$F$32,5,FALSE) - VLOOKUP($B54,test!$A$3:$G$32,6,FALSE) &gt;= (test!$B$34+VLOOKUP(VLOOKUP($B54,test!$A$2:$I$32,4,FALSE),test!$J$24:$P$28,4,FALSE))/1440),1,0)</f>
        <v>0</v>
      </c>
      <c r="T54" s="2">
        <f>IF(AND(VLOOKUP(T$1,test!$A$3:$F$32,5,FALSE) - VLOOKUP($B54,test!$A$3:$G$32,6,FALSE) &gt;= (test!$B$34+VLOOKUP(VLOOKUP($B54,test!$A$2:$I$32,4,FALSE),test!$J$24:$P$28,4,FALSE))/1440),1,0)</f>
        <v>0</v>
      </c>
      <c r="U54" s="2">
        <f>IF(AND(VLOOKUP(U$1,test!$A$3:$F$32,5,FALSE) - VLOOKUP($B54,test!$A$3:$G$32,6,FALSE) &gt;= (test!$B$34+VLOOKUP(VLOOKUP($B54,test!$A$2:$I$32,4,FALSE),test!$J$24:$P$28,4,FALSE))/1440),1,0)</f>
        <v>0</v>
      </c>
      <c r="V54" s="2">
        <f>IF(AND(VLOOKUP(V$1,test!$A$3:$F$32,5,FALSE) - VLOOKUP($B54,test!$A$3:$G$32,6,FALSE) &gt;= (test!$B$34+VLOOKUP(VLOOKUP($B54,test!$A$2:$I$32,4,FALSE),test!$J$24:$P$28,4,FALSE))/1440),1,0)</f>
        <v>0</v>
      </c>
      <c r="W54" s="2">
        <f>IF(AND(VLOOKUP(W$1,test!$A$3:$F$32,5,FALSE) - VLOOKUP($B54,test!$A$3:$G$32,6,FALSE) &gt;= (test!$B$34+VLOOKUP(VLOOKUP($B54,test!$A$2:$I$32,4,FALSE),test!$J$24:$P$28,4,FALSE))/1440),1,0)</f>
        <v>0</v>
      </c>
      <c r="X54" s="2">
        <f>IF(AND(VLOOKUP(X$1,test!$A$3:$F$32,5,FALSE) - VLOOKUP($B54,test!$A$3:$G$32,6,FALSE) &gt;= (test!$B$34+VLOOKUP(VLOOKUP($B54,test!$A$2:$I$32,4,FALSE),test!$J$24:$P$28,4,FALSE))/1440),1,0)</f>
        <v>0</v>
      </c>
      <c r="Y54" s="2">
        <f>IF(AND(VLOOKUP(Y$1,test!$A$3:$F$32,5,FALSE) - VLOOKUP($B54,test!$A$3:$G$32,6,FALSE) &gt;= (test!$B$34+VLOOKUP(VLOOKUP($B54,test!$A$2:$I$32,4,FALSE),test!$J$24:$P$28,4,FALSE))/1440),1,0)</f>
        <v>0</v>
      </c>
      <c r="Z54" s="2">
        <f>IF(AND(VLOOKUP(Z$1,test!$A$3:$F$32,5,FALSE) - VLOOKUP($B54,test!$A$3:$G$32,6,FALSE) &gt;= (test!$B$34+VLOOKUP(VLOOKUP($B54,test!$A$2:$I$32,4,FALSE),test!$J$24:$P$28,4,FALSE))/1440),1,0)</f>
        <v>0</v>
      </c>
      <c r="AA54" s="2">
        <f>IF(AND(VLOOKUP(AA$1,test!$A$3:$F$32,5,FALSE) - VLOOKUP($B54,test!$A$3:$G$32,6,FALSE) &gt;= (test!$B$34+VLOOKUP(VLOOKUP($B54,test!$A$2:$I$32,4,FALSE),test!$J$24:$P$28,4,FALSE))/1440),1,0)</f>
        <v>0</v>
      </c>
      <c r="AB54" s="2">
        <f>IF(AND(VLOOKUP(AB$1,test!$A$3:$F$32,5,FALSE) - VLOOKUP($B54,test!$A$3:$G$32,6,FALSE) &gt;= (test!$B$34+VLOOKUP(VLOOKUP($B54,test!$A$2:$I$32,4,FALSE),test!$J$24:$P$28,4,FALSE))/1440),1,0)</f>
        <v>0</v>
      </c>
      <c r="AC54" s="2">
        <f>IF(AND(VLOOKUP(AC$1,test!$A$3:$F$32,5,FALSE) - VLOOKUP($B54,test!$A$3:$G$32,6,FALSE) &gt;= (test!$B$34+VLOOKUP(VLOOKUP($B54,test!$A$2:$I$32,4,FALSE),test!$J$24:$P$28,4,FALSE))/1440),1,0)</f>
        <v>0</v>
      </c>
      <c r="AD54" s="2">
        <f>IF(AND(VLOOKUP(AD$1,test!$A$3:$F$32,5,FALSE) - VLOOKUP($B54,test!$A$3:$G$32,6,FALSE) &gt;= (test!$B$34+VLOOKUP(VLOOKUP($B54,test!$A$2:$I$32,4,FALSE),test!$J$24:$P$28,4,FALSE))/1440),1,0)</f>
        <v>0</v>
      </c>
      <c r="AE54" s="2">
        <f>IF(AND(VLOOKUP(AE$1,test!$A$3:$F$32,5,FALSE) - VLOOKUP($B54,test!$A$3:$G$32,6,FALSE) &gt;= (test!$B$34+VLOOKUP(VLOOKUP($B54,test!$A$2:$I$32,4,FALSE),test!$J$24:$P$28,4,FALSE))/1440),1,0)</f>
        <v>0</v>
      </c>
      <c r="AF54" s="2">
        <f>IF(AND(VLOOKUP(AF$1,test!$A$3:$F$32,5,FALSE) - VLOOKUP($B54,test!$A$3:$G$32,6,FALSE) &gt;= (test!$B$34+VLOOKUP(VLOOKUP($B54,test!$A$2:$I$32,4,FALSE),test!$J$24:$P$28,4,FALSE))/1440),1,0)</f>
        <v>0</v>
      </c>
      <c r="AG54" s="2">
        <f>IF(AND(VLOOKUP(AG$1,test!$A$3:$F$32,5,FALSE) - VLOOKUP($B54,test!$A$3:$G$32,6,FALSE) &gt;= (test!$B$34+VLOOKUP(VLOOKUP($B54,test!$A$2:$I$32,4,FALSE),test!$J$24:$P$28,4,FALSE))/1440),1,0)</f>
        <v>0</v>
      </c>
    </row>
    <row r="55" spans="1:33" x14ac:dyDescent="0.25">
      <c r="A55" t="s">
        <v>90</v>
      </c>
      <c r="B55" t="s">
        <v>33</v>
      </c>
      <c r="C55">
        <v>0</v>
      </c>
      <c r="D55" s="2">
        <f>IF(AND(VLOOKUP(D$1,test!$A$3:$F$32,5,FALSE) - VLOOKUP($B55,test!$A$3:$G$32,6,FALSE) &gt;= (test!$B$34+VLOOKUP(VLOOKUP($B55,test!$A$2:$I$32,4,FALSE),test!$J$24:$P$28,4,FALSE))/1440),1,0)</f>
        <v>0</v>
      </c>
      <c r="E55" s="2">
        <f>IF(AND(VLOOKUP(E$1,test!$A$3:$F$32,5,FALSE) - VLOOKUP($B55,test!$A$3:$G$32,6,FALSE) &gt;= (test!$B$34+VLOOKUP(VLOOKUP($B55,test!$A$2:$I$32,4,FALSE),test!$J$24:$P$28,4,FALSE))/1440),1,0)</f>
        <v>0</v>
      </c>
      <c r="F55" s="2">
        <f>IF(AND(VLOOKUP(F$1,test!$A$3:$F$32,5,FALSE) - VLOOKUP($B55,test!$A$3:$G$32,6,FALSE) &gt;= (test!$B$34+VLOOKUP(VLOOKUP($B55,test!$A$2:$I$32,4,FALSE),test!$J$24:$P$28,4,FALSE))/1440),1,0)</f>
        <v>0</v>
      </c>
      <c r="G55" s="2">
        <f>IF(AND(VLOOKUP(G$1,test!$A$3:$F$32,5,FALSE) - VLOOKUP($B55,test!$A$3:$G$32,6,FALSE) &gt;= (test!$B$34+VLOOKUP(VLOOKUP($B55,test!$A$2:$I$32,4,FALSE),test!$J$24:$P$28,4,FALSE))/1440),1,0)</f>
        <v>0</v>
      </c>
      <c r="H55" s="2">
        <f>IF(AND(VLOOKUP(H$1,test!$A$3:$F$32,5,FALSE) - VLOOKUP($B55,test!$A$3:$G$32,6,FALSE) &gt;= (test!$B$34+VLOOKUP(VLOOKUP($B55,test!$A$2:$I$32,4,FALSE),test!$J$24:$P$28,4,FALSE))/1440),1,0)</f>
        <v>0</v>
      </c>
      <c r="I55" s="2">
        <f>IF(AND(VLOOKUP(I$1,test!$A$3:$F$32,5,FALSE) - VLOOKUP($B55,test!$A$3:$G$32,6,FALSE) &gt;= (test!$B$34+VLOOKUP(VLOOKUP($B55,test!$A$2:$I$32,4,FALSE),test!$J$24:$P$28,4,FALSE))/1440),1,0)</f>
        <v>0</v>
      </c>
      <c r="J55" s="2">
        <f>IF(AND(VLOOKUP(J$1,test!$A$3:$F$32,5,FALSE) - VLOOKUP($B55,test!$A$3:$G$32,6,FALSE) &gt;= (test!$B$34+VLOOKUP(VLOOKUP($B55,test!$A$2:$I$32,4,FALSE),test!$J$24:$P$28,4,FALSE))/1440),1,0)</f>
        <v>0</v>
      </c>
      <c r="K55" s="2">
        <f>IF(AND(VLOOKUP(K$1,test!$A$3:$F$32,5,FALSE) - VLOOKUP($B55,test!$A$3:$G$32,6,FALSE) &gt;= (test!$B$34+VLOOKUP(VLOOKUP($B55,test!$A$2:$I$32,4,FALSE),test!$J$24:$P$28,4,FALSE))/1440),1,0)</f>
        <v>0</v>
      </c>
      <c r="L55" s="2">
        <f>IF(AND(VLOOKUP(L$1,test!$A$3:$F$32,5,FALSE) - VLOOKUP($B55,test!$A$3:$G$32,6,FALSE) &gt;= (test!$B$34+VLOOKUP(VLOOKUP($B55,test!$A$2:$I$32,4,FALSE),test!$J$24:$P$28,4,FALSE))/1440),1,0)</f>
        <v>0</v>
      </c>
      <c r="M55" s="2">
        <f>IF(AND(VLOOKUP(M$1,test!$A$3:$F$32,5,FALSE) - VLOOKUP($B55,test!$A$3:$G$32,6,FALSE) &gt;= (test!$B$34+VLOOKUP(VLOOKUP($B55,test!$A$2:$I$32,4,FALSE),test!$J$24:$P$28,4,FALSE))/1440),1,0)</f>
        <v>0</v>
      </c>
      <c r="N55" s="2">
        <f>IF(AND(VLOOKUP(N$1,test!$A$3:$F$32,5,FALSE) - VLOOKUP($B55,test!$A$3:$G$32,6,FALSE) &gt;= (test!$B$34+VLOOKUP(VLOOKUP($B55,test!$A$2:$I$32,4,FALSE),test!$J$24:$P$28,4,FALSE))/1440),1,0)</f>
        <v>0</v>
      </c>
      <c r="O55" s="2">
        <f>IF(AND(VLOOKUP(O$1,test!$A$3:$F$32,5,FALSE) - VLOOKUP($B55,test!$A$3:$G$32,6,FALSE) &gt;= (test!$B$34+VLOOKUP(VLOOKUP($B55,test!$A$2:$I$32,4,FALSE),test!$J$24:$P$28,4,FALSE))/1440),1,0)</f>
        <v>0</v>
      </c>
      <c r="P55" s="2">
        <f>IF(AND(VLOOKUP(P$1,test!$A$3:$F$32,5,FALSE) - VLOOKUP($B55,test!$A$3:$G$32,6,FALSE) &gt;= (test!$B$34+VLOOKUP(VLOOKUP($B55,test!$A$2:$I$32,4,FALSE),test!$J$24:$P$28,4,FALSE))/1440),1,0)</f>
        <v>0</v>
      </c>
      <c r="Q55" s="2">
        <f>IF(AND(VLOOKUP(Q$1,test!$A$3:$F$32,5,FALSE) - VLOOKUP($B55,test!$A$3:$G$32,6,FALSE) &gt;= (test!$B$34+VLOOKUP(VLOOKUP($B55,test!$A$2:$I$32,4,FALSE),test!$J$24:$P$28,4,FALSE))/1440),1,0)</f>
        <v>0</v>
      </c>
      <c r="R55" s="2">
        <f>IF(AND(VLOOKUP(R$1,test!$A$3:$F$32,5,FALSE) - VLOOKUP($B55,test!$A$3:$G$32,6,FALSE) &gt;= (test!$B$34+VLOOKUP(VLOOKUP($B55,test!$A$2:$I$32,4,FALSE),test!$J$24:$P$28,4,FALSE))/1440),1,0)</f>
        <v>0</v>
      </c>
      <c r="S55" s="2">
        <f>IF(AND(VLOOKUP(S$1,test!$A$3:$F$32,5,FALSE) - VLOOKUP($B55,test!$A$3:$G$32,6,FALSE) &gt;= (test!$B$34+VLOOKUP(VLOOKUP($B55,test!$A$2:$I$32,4,FALSE),test!$J$24:$P$28,4,FALSE))/1440),1,0)</f>
        <v>0</v>
      </c>
      <c r="T55" s="2">
        <f>IF(AND(VLOOKUP(T$1,test!$A$3:$F$32,5,FALSE) - VLOOKUP($B55,test!$A$3:$G$32,6,FALSE) &gt;= (test!$B$34+VLOOKUP(VLOOKUP($B55,test!$A$2:$I$32,4,FALSE),test!$J$24:$P$28,4,FALSE))/1440),1,0)</f>
        <v>0</v>
      </c>
      <c r="U55" s="2">
        <f>IF(AND(VLOOKUP(U$1,test!$A$3:$F$32,5,FALSE) - VLOOKUP($B55,test!$A$3:$G$32,6,FALSE) &gt;= (test!$B$34+VLOOKUP(VLOOKUP($B55,test!$A$2:$I$32,4,FALSE),test!$J$24:$P$28,4,FALSE))/1440),1,0)</f>
        <v>0</v>
      </c>
      <c r="V55" s="2">
        <f>IF(AND(VLOOKUP(V$1,test!$A$3:$F$32,5,FALSE) - VLOOKUP($B55,test!$A$3:$G$32,6,FALSE) &gt;= (test!$B$34+VLOOKUP(VLOOKUP($B55,test!$A$2:$I$32,4,FALSE),test!$J$24:$P$28,4,FALSE))/1440),1,0)</f>
        <v>0</v>
      </c>
      <c r="W55" s="2">
        <f>IF(AND(VLOOKUP(W$1,test!$A$3:$F$32,5,FALSE) - VLOOKUP($B55,test!$A$3:$G$32,6,FALSE) &gt;= (test!$B$34+VLOOKUP(VLOOKUP($B55,test!$A$2:$I$32,4,FALSE),test!$J$24:$P$28,4,FALSE))/1440),1,0)</f>
        <v>0</v>
      </c>
      <c r="X55" s="2">
        <f>IF(AND(VLOOKUP(X$1,test!$A$3:$F$32,5,FALSE) - VLOOKUP($B55,test!$A$3:$G$32,6,FALSE) &gt;= (test!$B$34+VLOOKUP(VLOOKUP($B55,test!$A$2:$I$32,4,FALSE),test!$J$24:$P$28,4,FALSE))/1440),1,0)</f>
        <v>0</v>
      </c>
      <c r="Y55" s="2">
        <f>IF(AND(VLOOKUP(Y$1,test!$A$3:$F$32,5,FALSE) - VLOOKUP($B55,test!$A$3:$G$32,6,FALSE) &gt;= (test!$B$34+VLOOKUP(VLOOKUP($B55,test!$A$2:$I$32,4,FALSE),test!$J$24:$P$28,4,FALSE))/1440),1,0)</f>
        <v>0</v>
      </c>
      <c r="Z55" s="2">
        <f>IF(AND(VLOOKUP(Z$1,test!$A$3:$F$32,5,FALSE) - VLOOKUP($B55,test!$A$3:$G$32,6,FALSE) &gt;= (test!$B$34+VLOOKUP(VLOOKUP($B55,test!$A$2:$I$32,4,FALSE),test!$J$24:$P$28,4,FALSE))/1440),1,0)</f>
        <v>0</v>
      </c>
      <c r="AA55" s="2">
        <f>IF(AND(VLOOKUP(AA$1,test!$A$3:$F$32,5,FALSE) - VLOOKUP($B55,test!$A$3:$G$32,6,FALSE) &gt;= (test!$B$34+VLOOKUP(VLOOKUP($B55,test!$A$2:$I$32,4,FALSE),test!$J$24:$P$28,4,FALSE))/1440),1,0)</f>
        <v>0</v>
      </c>
      <c r="AB55" s="2">
        <f>IF(AND(VLOOKUP(AB$1,test!$A$3:$F$32,5,FALSE) - VLOOKUP($B55,test!$A$3:$G$32,6,FALSE) &gt;= (test!$B$34+VLOOKUP(VLOOKUP($B55,test!$A$2:$I$32,4,FALSE),test!$J$24:$P$28,4,FALSE))/1440),1,0)</f>
        <v>0</v>
      </c>
      <c r="AC55" s="2">
        <f>IF(AND(VLOOKUP(AC$1,test!$A$3:$F$32,5,FALSE) - VLOOKUP($B55,test!$A$3:$G$32,6,FALSE) &gt;= (test!$B$34+VLOOKUP(VLOOKUP($B55,test!$A$2:$I$32,4,FALSE),test!$J$24:$P$28,4,FALSE))/1440),1,0)</f>
        <v>0</v>
      </c>
      <c r="AD55" s="2">
        <f>IF(AND(VLOOKUP(AD$1,test!$A$3:$F$32,5,FALSE) - VLOOKUP($B55,test!$A$3:$G$32,6,FALSE) &gt;= (test!$B$34+VLOOKUP(VLOOKUP($B55,test!$A$2:$I$32,4,FALSE),test!$J$24:$P$28,4,FALSE))/1440),1,0)</f>
        <v>0</v>
      </c>
      <c r="AE55" s="2">
        <f>IF(AND(VLOOKUP(AE$1,test!$A$3:$F$32,5,FALSE) - VLOOKUP($B55,test!$A$3:$G$32,6,FALSE) &gt;= (test!$B$34+VLOOKUP(VLOOKUP($B55,test!$A$2:$I$32,4,FALSE),test!$J$24:$P$28,4,FALSE))/1440),1,0)</f>
        <v>0</v>
      </c>
      <c r="AF55" s="2">
        <f>IF(AND(VLOOKUP(AF$1,test!$A$3:$F$32,5,FALSE) - VLOOKUP($B55,test!$A$3:$G$32,6,FALSE) &gt;= (test!$B$34+VLOOKUP(VLOOKUP($B55,test!$A$2:$I$32,4,FALSE),test!$J$24:$P$28,4,FALSE))/1440),1,0)</f>
        <v>0</v>
      </c>
      <c r="AG55" s="2">
        <f>IF(AND(VLOOKUP(AG$1,test!$A$3:$F$32,5,FALSE) - VLOOKUP($B55,test!$A$3:$G$32,6,FALSE) &gt;= (test!$B$34+VLOOKUP(VLOOKUP($B55,test!$A$2:$I$32,4,FALSE),test!$J$24:$P$28,4,FALSE))/1440),1,0)</f>
        <v>0</v>
      </c>
    </row>
    <row r="56" spans="1:33" x14ac:dyDescent="0.25">
      <c r="A56" t="s">
        <v>90</v>
      </c>
      <c r="B56" t="s">
        <v>34</v>
      </c>
      <c r="C56">
        <v>0</v>
      </c>
      <c r="D56" s="2">
        <f>IF(AND(VLOOKUP(D$1,test!$A$3:$F$32,5,FALSE) - VLOOKUP($B56,test!$A$3:$G$32,6,FALSE) &gt;= (test!$B$34+VLOOKUP(VLOOKUP($B56,test!$A$2:$I$32,4,FALSE),test!$J$24:$P$28,4,FALSE))/1440),1,0)</f>
        <v>0</v>
      </c>
      <c r="E56" s="2">
        <f>IF(AND(VLOOKUP(E$1,test!$A$3:$F$32,5,FALSE) - VLOOKUP($B56,test!$A$3:$G$32,6,FALSE) &gt;= (test!$B$34+VLOOKUP(VLOOKUP($B56,test!$A$2:$I$32,4,FALSE),test!$J$24:$P$28,4,FALSE))/1440),1,0)</f>
        <v>0</v>
      </c>
      <c r="F56" s="2">
        <f>IF(AND(VLOOKUP(F$1,test!$A$3:$F$32,5,FALSE) - VLOOKUP($B56,test!$A$3:$G$32,6,FALSE) &gt;= (test!$B$34+VLOOKUP(VLOOKUP($B56,test!$A$2:$I$32,4,FALSE),test!$J$24:$P$28,4,FALSE))/1440),1,0)</f>
        <v>1</v>
      </c>
      <c r="G56" s="2">
        <f>IF(AND(VLOOKUP(G$1,test!$A$3:$F$32,5,FALSE) - VLOOKUP($B56,test!$A$3:$G$32,6,FALSE) &gt;= (test!$B$34+VLOOKUP(VLOOKUP($B56,test!$A$2:$I$32,4,FALSE),test!$J$24:$P$28,4,FALSE))/1440),1,0)</f>
        <v>1</v>
      </c>
      <c r="H56" s="2">
        <f>IF(AND(VLOOKUP(H$1,test!$A$3:$F$32,5,FALSE) - VLOOKUP($B56,test!$A$3:$G$32,6,FALSE) &gt;= (test!$B$34+VLOOKUP(VLOOKUP($B56,test!$A$2:$I$32,4,FALSE),test!$J$24:$P$28,4,FALSE))/1440),1,0)</f>
        <v>1</v>
      </c>
      <c r="I56" s="2">
        <f>IF(AND(VLOOKUP(I$1,test!$A$3:$F$32,5,FALSE) - VLOOKUP($B56,test!$A$3:$G$32,6,FALSE) &gt;= (test!$B$34+VLOOKUP(VLOOKUP($B56,test!$A$2:$I$32,4,FALSE),test!$J$24:$P$28,4,FALSE))/1440),1,0)</f>
        <v>1</v>
      </c>
      <c r="J56" s="2">
        <f>IF(AND(VLOOKUP(J$1,test!$A$3:$F$32,5,FALSE) - VLOOKUP($B56,test!$A$3:$G$32,6,FALSE) &gt;= (test!$B$34+VLOOKUP(VLOOKUP($B56,test!$A$2:$I$32,4,FALSE),test!$J$24:$P$28,4,FALSE))/1440),1,0)</f>
        <v>1</v>
      </c>
      <c r="K56" s="2">
        <f>IF(AND(VLOOKUP(K$1,test!$A$3:$F$32,5,FALSE) - VLOOKUP($B56,test!$A$3:$G$32,6,FALSE) &gt;= (test!$B$34+VLOOKUP(VLOOKUP($B56,test!$A$2:$I$32,4,FALSE),test!$J$24:$P$28,4,FALSE))/1440),1,0)</f>
        <v>1</v>
      </c>
      <c r="L56" s="2">
        <f>IF(AND(VLOOKUP(L$1,test!$A$3:$F$32,5,FALSE) - VLOOKUP($B56,test!$A$3:$G$32,6,FALSE) &gt;= (test!$B$34+VLOOKUP(VLOOKUP($B56,test!$A$2:$I$32,4,FALSE),test!$J$24:$P$28,4,FALSE))/1440),1,0)</f>
        <v>0</v>
      </c>
      <c r="M56" s="2">
        <f>IF(AND(VLOOKUP(M$1,test!$A$3:$F$32,5,FALSE) - VLOOKUP($B56,test!$A$3:$G$32,6,FALSE) &gt;= (test!$B$34+VLOOKUP(VLOOKUP($B56,test!$A$2:$I$32,4,FALSE),test!$J$24:$P$28,4,FALSE))/1440),1,0)</f>
        <v>0</v>
      </c>
      <c r="N56" s="2">
        <f>IF(AND(VLOOKUP(N$1,test!$A$3:$F$32,5,FALSE) - VLOOKUP($B56,test!$A$3:$G$32,6,FALSE) &gt;= (test!$B$34+VLOOKUP(VLOOKUP($B56,test!$A$2:$I$32,4,FALSE),test!$J$24:$P$28,4,FALSE))/1440),1,0)</f>
        <v>1</v>
      </c>
      <c r="O56" s="2">
        <f>IF(AND(VLOOKUP(O$1,test!$A$3:$F$32,5,FALSE) - VLOOKUP($B56,test!$A$3:$G$32,6,FALSE) &gt;= (test!$B$34+VLOOKUP(VLOOKUP($B56,test!$A$2:$I$32,4,FALSE),test!$J$24:$P$28,4,FALSE))/1440),1,0)</f>
        <v>1</v>
      </c>
      <c r="P56" s="2">
        <f>IF(AND(VLOOKUP(P$1,test!$A$3:$F$32,5,FALSE) - VLOOKUP($B56,test!$A$3:$G$32,6,FALSE) &gt;= (test!$B$34+VLOOKUP(VLOOKUP($B56,test!$A$2:$I$32,4,FALSE),test!$J$24:$P$28,4,FALSE))/1440),1,0)</f>
        <v>1</v>
      </c>
      <c r="Q56" s="2">
        <f>IF(AND(VLOOKUP(Q$1,test!$A$3:$F$32,5,FALSE) - VLOOKUP($B56,test!$A$3:$G$32,6,FALSE) &gt;= (test!$B$34+VLOOKUP(VLOOKUP($B56,test!$A$2:$I$32,4,FALSE),test!$J$24:$P$28,4,FALSE))/1440),1,0)</f>
        <v>0</v>
      </c>
      <c r="R56" s="2">
        <f>IF(AND(VLOOKUP(R$1,test!$A$3:$F$32,5,FALSE) - VLOOKUP($B56,test!$A$3:$G$32,6,FALSE) &gt;= (test!$B$34+VLOOKUP(VLOOKUP($B56,test!$A$2:$I$32,4,FALSE),test!$J$24:$P$28,4,FALSE))/1440),1,0)</f>
        <v>0</v>
      </c>
      <c r="S56" s="2">
        <f>IF(AND(VLOOKUP(S$1,test!$A$3:$F$32,5,FALSE) - VLOOKUP($B56,test!$A$3:$G$32,6,FALSE) &gt;= (test!$B$34+VLOOKUP(VLOOKUP($B56,test!$A$2:$I$32,4,FALSE),test!$J$24:$P$28,4,FALSE))/1440),1,0)</f>
        <v>0</v>
      </c>
      <c r="T56" s="2">
        <f>IF(AND(VLOOKUP(T$1,test!$A$3:$F$32,5,FALSE) - VLOOKUP($B56,test!$A$3:$G$32,6,FALSE) &gt;= (test!$B$34+VLOOKUP(VLOOKUP($B56,test!$A$2:$I$32,4,FALSE),test!$J$24:$P$28,4,FALSE))/1440),1,0)</f>
        <v>0</v>
      </c>
      <c r="U56" s="2">
        <f>IF(AND(VLOOKUP(U$1,test!$A$3:$F$32,5,FALSE) - VLOOKUP($B56,test!$A$3:$G$32,6,FALSE) &gt;= (test!$B$34+VLOOKUP(VLOOKUP($B56,test!$A$2:$I$32,4,FALSE),test!$J$24:$P$28,4,FALSE))/1440),1,0)</f>
        <v>1</v>
      </c>
      <c r="V56" s="2">
        <f>IF(AND(VLOOKUP(V$1,test!$A$3:$F$32,5,FALSE) - VLOOKUP($B56,test!$A$3:$G$32,6,FALSE) &gt;= (test!$B$34+VLOOKUP(VLOOKUP($B56,test!$A$2:$I$32,4,FALSE),test!$J$24:$P$28,4,FALSE))/1440),1,0)</f>
        <v>1</v>
      </c>
      <c r="W56" s="2">
        <f>IF(AND(VLOOKUP(W$1,test!$A$3:$F$32,5,FALSE) - VLOOKUP($B56,test!$A$3:$G$32,6,FALSE) &gt;= (test!$B$34+VLOOKUP(VLOOKUP($B56,test!$A$2:$I$32,4,FALSE),test!$J$24:$P$28,4,FALSE))/1440),1,0)</f>
        <v>1</v>
      </c>
      <c r="X56" s="2">
        <f>IF(AND(VLOOKUP(X$1,test!$A$3:$F$32,5,FALSE) - VLOOKUP($B56,test!$A$3:$G$32,6,FALSE) &gt;= (test!$B$34+VLOOKUP(VLOOKUP($B56,test!$A$2:$I$32,4,FALSE),test!$J$24:$P$28,4,FALSE))/1440),1,0)</f>
        <v>1</v>
      </c>
      <c r="Y56" s="2">
        <f>IF(AND(VLOOKUP(Y$1,test!$A$3:$F$32,5,FALSE) - VLOOKUP($B56,test!$A$3:$G$32,6,FALSE) &gt;= (test!$B$34+VLOOKUP(VLOOKUP($B56,test!$A$2:$I$32,4,FALSE),test!$J$24:$P$28,4,FALSE))/1440),1,0)</f>
        <v>1</v>
      </c>
      <c r="Z56" s="2">
        <f>IF(AND(VLOOKUP(Z$1,test!$A$3:$F$32,5,FALSE) - VLOOKUP($B56,test!$A$3:$G$32,6,FALSE) &gt;= (test!$B$34+VLOOKUP(VLOOKUP($B56,test!$A$2:$I$32,4,FALSE),test!$J$24:$P$28,4,FALSE))/1440),1,0)</f>
        <v>0</v>
      </c>
      <c r="AA56" s="2">
        <f>IF(AND(VLOOKUP(AA$1,test!$A$3:$F$32,5,FALSE) - VLOOKUP($B56,test!$A$3:$G$32,6,FALSE) &gt;= (test!$B$34+VLOOKUP(VLOOKUP($B56,test!$A$2:$I$32,4,FALSE),test!$J$24:$P$28,4,FALSE))/1440),1,0)</f>
        <v>0</v>
      </c>
      <c r="AB56" s="2">
        <f>IF(AND(VLOOKUP(AB$1,test!$A$3:$F$32,5,FALSE) - VLOOKUP($B56,test!$A$3:$G$32,6,FALSE) &gt;= (test!$B$34+VLOOKUP(VLOOKUP($B56,test!$A$2:$I$32,4,FALSE),test!$J$24:$P$28,4,FALSE))/1440),1,0)</f>
        <v>1</v>
      </c>
      <c r="AC56" s="2">
        <f>IF(AND(VLOOKUP(AC$1,test!$A$3:$F$32,5,FALSE) - VLOOKUP($B56,test!$A$3:$G$32,6,FALSE) &gt;= (test!$B$34+VLOOKUP(VLOOKUP($B56,test!$A$2:$I$32,4,FALSE),test!$J$24:$P$28,4,FALSE))/1440),1,0)</f>
        <v>1</v>
      </c>
      <c r="AD56" s="2">
        <f>IF(AND(VLOOKUP(AD$1,test!$A$3:$F$32,5,FALSE) - VLOOKUP($B56,test!$A$3:$G$32,6,FALSE) &gt;= (test!$B$34+VLOOKUP(VLOOKUP($B56,test!$A$2:$I$32,4,FALSE),test!$J$24:$P$28,4,FALSE))/1440),1,0)</f>
        <v>1</v>
      </c>
      <c r="AE56" s="2">
        <f>IF(AND(VLOOKUP(AE$1,test!$A$3:$F$32,5,FALSE) - VLOOKUP($B56,test!$A$3:$G$32,6,FALSE) &gt;= (test!$B$34+VLOOKUP(VLOOKUP($B56,test!$A$2:$I$32,4,FALSE),test!$J$24:$P$28,4,FALSE))/1440),1,0)</f>
        <v>0</v>
      </c>
      <c r="AF56" s="2">
        <f>IF(AND(VLOOKUP(AF$1,test!$A$3:$F$32,5,FALSE) - VLOOKUP($B56,test!$A$3:$G$32,6,FALSE) &gt;= (test!$B$34+VLOOKUP(VLOOKUP($B56,test!$A$2:$I$32,4,FALSE),test!$J$24:$P$28,4,FALSE))/1440),1,0)</f>
        <v>1</v>
      </c>
      <c r="AG56" s="2">
        <f>IF(AND(VLOOKUP(AG$1,test!$A$3:$F$32,5,FALSE) - VLOOKUP($B56,test!$A$3:$G$32,6,FALSE) &gt;= (test!$B$34+VLOOKUP(VLOOKUP($B56,test!$A$2:$I$32,4,FALSE),test!$J$24:$P$28,4,FALSE))/1440),1,0)</f>
        <v>1</v>
      </c>
    </row>
    <row r="57" spans="1:33" x14ac:dyDescent="0.25">
      <c r="A57" t="s">
        <v>90</v>
      </c>
      <c r="B57" t="s">
        <v>35</v>
      </c>
      <c r="C57">
        <v>0</v>
      </c>
      <c r="D57" s="2">
        <f>IF(AND(VLOOKUP(D$1,test!$A$3:$F$32,5,FALSE) - VLOOKUP($B57,test!$A$3:$G$32,6,FALSE) &gt;= (test!$B$34+VLOOKUP(VLOOKUP($B57,test!$A$2:$I$32,4,FALSE),test!$J$24:$P$28,4,FALSE))/1440),1,0)</f>
        <v>0</v>
      </c>
      <c r="E57" s="2">
        <f>IF(AND(VLOOKUP(E$1,test!$A$3:$F$32,5,FALSE) - VLOOKUP($B57,test!$A$3:$G$32,6,FALSE) &gt;= (test!$B$34+VLOOKUP(VLOOKUP($B57,test!$A$2:$I$32,4,FALSE),test!$J$24:$P$28,4,FALSE))/1440),1,0)</f>
        <v>0</v>
      </c>
      <c r="F57" s="2">
        <f>IF(AND(VLOOKUP(F$1,test!$A$3:$F$32,5,FALSE) - VLOOKUP($B57,test!$A$3:$G$32,6,FALSE) &gt;= (test!$B$34+VLOOKUP(VLOOKUP($B57,test!$A$2:$I$32,4,FALSE),test!$J$24:$P$28,4,FALSE))/1440),1,0)</f>
        <v>0</v>
      </c>
      <c r="G57" s="2">
        <f>IF(AND(VLOOKUP(G$1,test!$A$3:$F$32,5,FALSE) - VLOOKUP($B57,test!$A$3:$G$32,6,FALSE) &gt;= (test!$B$34+VLOOKUP(VLOOKUP($B57,test!$A$2:$I$32,4,FALSE),test!$J$24:$P$28,4,FALSE))/1440),1,0)</f>
        <v>0</v>
      </c>
      <c r="H57" s="2">
        <f>IF(AND(VLOOKUP(H$1,test!$A$3:$F$32,5,FALSE) - VLOOKUP($B57,test!$A$3:$G$32,6,FALSE) &gt;= (test!$B$34+VLOOKUP(VLOOKUP($B57,test!$A$2:$I$32,4,FALSE),test!$J$24:$P$28,4,FALSE))/1440),1,0)</f>
        <v>1</v>
      </c>
      <c r="I57" s="2">
        <f>IF(AND(VLOOKUP(I$1,test!$A$3:$F$32,5,FALSE) - VLOOKUP($B57,test!$A$3:$G$32,6,FALSE) &gt;= (test!$B$34+VLOOKUP(VLOOKUP($B57,test!$A$2:$I$32,4,FALSE),test!$J$24:$P$28,4,FALSE))/1440),1,0)</f>
        <v>1</v>
      </c>
      <c r="J57" s="2">
        <f>IF(AND(VLOOKUP(J$1,test!$A$3:$F$32,5,FALSE) - VLOOKUP($B57,test!$A$3:$G$32,6,FALSE) &gt;= (test!$B$34+VLOOKUP(VLOOKUP($B57,test!$A$2:$I$32,4,FALSE),test!$J$24:$P$28,4,FALSE))/1440),1,0)</f>
        <v>1</v>
      </c>
      <c r="K57" s="2">
        <f>IF(AND(VLOOKUP(K$1,test!$A$3:$F$32,5,FALSE) - VLOOKUP($B57,test!$A$3:$G$32,6,FALSE) &gt;= (test!$B$34+VLOOKUP(VLOOKUP($B57,test!$A$2:$I$32,4,FALSE),test!$J$24:$P$28,4,FALSE))/1440),1,0)</f>
        <v>1</v>
      </c>
      <c r="L57" s="2">
        <f>IF(AND(VLOOKUP(L$1,test!$A$3:$F$32,5,FALSE) - VLOOKUP($B57,test!$A$3:$G$32,6,FALSE) &gt;= (test!$B$34+VLOOKUP(VLOOKUP($B57,test!$A$2:$I$32,4,FALSE),test!$J$24:$P$28,4,FALSE))/1440),1,0)</f>
        <v>0</v>
      </c>
      <c r="M57" s="2">
        <f>IF(AND(VLOOKUP(M$1,test!$A$3:$F$32,5,FALSE) - VLOOKUP($B57,test!$A$3:$G$32,6,FALSE) &gt;= (test!$B$34+VLOOKUP(VLOOKUP($B57,test!$A$2:$I$32,4,FALSE),test!$J$24:$P$28,4,FALSE))/1440),1,0)</f>
        <v>0</v>
      </c>
      <c r="N57" s="2">
        <f>IF(AND(VLOOKUP(N$1,test!$A$3:$F$32,5,FALSE) - VLOOKUP($B57,test!$A$3:$G$32,6,FALSE) &gt;= (test!$B$34+VLOOKUP(VLOOKUP($B57,test!$A$2:$I$32,4,FALSE),test!$J$24:$P$28,4,FALSE))/1440),1,0)</f>
        <v>0</v>
      </c>
      <c r="O57" s="2">
        <f>IF(AND(VLOOKUP(O$1,test!$A$3:$F$32,5,FALSE) - VLOOKUP($B57,test!$A$3:$G$32,6,FALSE) &gt;= (test!$B$34+VLOOKUP(VLOOKUP($B57,test!$A$2:$I$32,4,FALSE),test!$J$24:$P$28,4,FALSE))/1440),1,0)</f>
        <v>1</v>
      </c>
      <c r="P57" s="2">
        <f>IF(AND(VLOOKUP(P$1,test!$A$3:$F$32,5,FALSE) - VLOOKUP($B57,test!$A$3:$G$32,6,FALSE) &gt;= (test!$B$34+VLOOKUP(VLOOKUP($B57,test!$A$2:$I$32,4,FALSE),test!$J$24:$P$28,4,FALSE))/1440),1,0)</f>
        <v>1</v>
      </c>
      <c r="Q57" s="2">
        <f>IF(AND(VLOOKUP(Q$1,test!$A$3:$F$32,5,FALSE) - VLOOKUP($B57,test!$A$3:$G$32,6,FALSE) &gt;= (test!$B$34+VLOOKUP(VLOOKUP($B57,test!$A$2:$I$32,4,FALSE),test!$J$24:$P$28,4,FALSE))/1440),1,0)</f>
        <v>0</v>
      </c>
      <c r="R57" s="2">
        <f>IF(AND(VLOOKUP(R$1,test!$A$3:$F$32,5,FALSE) - VLOOKUP($B57,test!$A$3:$G$32,6,FALSE) &gt;= (test!$B$34+VLOOKUP(VLOOKUP($B57,test!$A$2:$I$32,4,FALSE),test!$J$24:$P$28,4,FALSE))/1440),1,0)</f>
        <v>0</v>
      </c>
      <c r="S57" s="2">
        <f>IF(AND(VLOOKUP(S$1,test!$A$3:$F$32,5,FALSE) - VLOOKUP($B57,test!$A$3:$G$32,6,FALSE) &gt;= (test!$B$34+VLOOKUP(VLOOKUP($B57,test!$A$2:$I$32,4,FALSE),test!$J$24:$P$28,4,FALSE))/1440),1,0)</f>
        <v>0</v>
      </c>
      <c r="T57" s="2">
        <f>IF(AND(VLOOKUP(T$1,test!$A$3:$F$32,5,FALSE) - VLOOKUP($B57,test!$A$3:$G$32,6,FALSE) &gt;= (test!$B$34+VLOOKUP(VLOOKUP($B57,test!$A$2:$I$32,4,FALSE),test!$J$24:$P$28,4,FALSE))/1440),1,0)</f>
        <v>0</v>
      </c>
      <c r="U57" s="2">
        <f>IF(AND(VLOOKUP(U$1,test!$A$3:$F$32,5,FALSE) - VLOOKUP($B57,test!$A$3:$G$32,6,FALSE) &gt;= (test!$B$34+VLOOKUP(VLOOKUP($B57,test!$A$2:$I$32,4,FALSE),test!$J$24:$P$28,4,FALSE))/1440),1,0)</f>
        <v>0</v>
      </c>
      <c r="V57" s="2">
        <f>IF(AND(VLOOKUP(V$1,test!$A$3:$F$32,5,FALSE) - VLOOKUP($B57,test!$A$3:$G$32,6,FALSE) &gt;= (test!$B$34+VLOOKUP(VLOOKUP($B57,test!$A$2:$I$32,4,FALSE),test!$J$24:$P$28,4,FALSE))/1440),1,0)</f>
        <v>0</v>
      </c>
      <c r="W57" s="2">
        <f>IF(AND(VLOOKUP(W$1,test!$A$3:$F$32,5,FALSE) - VLOOKUP($B57,test!$A$3:$G$32,6,FALSE) &gt;= (test!$B$34+VLOOKUP(VLOOKUP($B57,test!$A$2:$I$32,4,FALSE),test!$J$24:$P$28,4,FALSE))/1440),1,0)</f>
        <v>1</v>
      </c>
      <c r="X57" s="2">
        <f>IF(AND(VLOOKUP(X$1,test!$A$3:$F$32,5,FALSE) - VLOOKUP($B57,test!$A$3:$G$32,6,FALSE) &gt;= (test!$B$34+VLOOKUP(VLOOKUP($B57,test!$A$2:$I$32,4,FALSE),test!$J$24:$P$28,4,FALSE))/1440),1,0)</f>
        <v>1</v>
      </c>
      <c r="Y57" s="2">
        <f>IF(AND(VLOOKUP(Y$1,test!$A$3:$F$32,5,FALSE) - VLOOKUP($B57,test!$A$3:$G$32,6,FALSE) &gt;= (test!$B$34+VLOOKUP(VLOOKUP($B57,test!$A$2:$I$32,4,FALSE),test!$J$24:$P$28,4,FALSE))/1440),1,0)</f>
        <v>1</v>
      </c>
      <c r="Z57" s="2">
        <f>IF(AND(VLOOKUP(Z$1,test!$A$3:$F$32,5,FALSE) - VLOOKUP($B57,test!$A$3:$G$32,6,FALSE) &gt;= (test!$B$34+VLOOKUP(VLOOKUP($B57,test!$A$2:$I$32,4,FALSE),test!$J$24:$P$28,4,FALSE))/1440),1,0)</f>
        <v>0</v>
      </c>
      <c r="AA57" s="2">
        <f>IF(AND(VLOOKUP(AA$1,test!$A$3:$F$32,5,FALSE) - VLOOKUP($B57,test!$A$3:$G$32,6,FALSE) &gt;= (test!$B$34+VLOOKUP(VLOOKUP($B57,test!$A$2:$I$32,4,FALSE),test!$J$24:$P$28,4,FALSE))/1440),1,0)</f>
        <v>0</v>
      </c>
      <c r="AB57" s="2">
        <f>IF(AND(VLOOKUP(AB$1,test!$A$3:$F$32,5,FALSE) - VLOOKUP($B57,test!$A$3:$G$32,6,FALSE) &gt;= (test!$B$34+VLOOKUP(VLOOKUP($B57,test!$A$2:$I$32,4,FALSE),test!$J$24:$P$28,4,FALSE))/1440),1,0)</f>
        <v>0</v>
      </c>
      <c r="AC57" s="2">
        <f>IF(AND(VLOOKUP(AC$1,test!$A$3:$F$32,5,FALSE) - VLOOKUP($B57,test!$A$3:$G$32,6,FALSE) &gt;= (test!$B$34+VLOOKUP(VLOOKUP($B57,test!$A$2:$I$32,4,FALSE),test!$J$24:$P$28,4,FALSE))/1440),1,0)</f>
        <v>0</v>
      </c>
      <c r="AD57" s="2">
        <f>IF(AND(VLOOKUP(AD$1,test!$A$3:$F$32,5,FALSE) - VLOOKUP($B57,test!$A$3:$G$32,6,FALSE) &gt;= (test!$B$34+VLOOKUP(VLOOKUP($B57,test!$A$2:$I$32,4,FALSE),test!$J$24:$P$28,4,FALSE))/1440),1,0)</f>
        <v>1</v>
      </c>
      <c r="AE57" s="2">
        <f>IF(AND(VLOOKUP(AE$1,test!$A$3:$F$32,5,FALSE) - VLOOKUP($B57,test!$A$3:$G$32,6,FALSE) &gt;= (test!$B$34+VLOOKUP(VLOOKUP($B57,test!$A$2:$I$32,4,FALSE),test!$J$24:$P$28,4,FALSE))/1440),1,0)</f>
        <v>0</v>
      </c>
      <c r="AF57" s="2">
        <f>IF(AND(VLOOKUP(AF$1,test!$A$3:$F$32,5,FALSE) - VLOOKUP($B57,test!$A$3:$G$32,6,FALSE) &gt;= (test!$B$34+VLOOKUP(VLOOKUP($B57,test!$A$2:$I$32,4,FALSE),test!$J$24:$P$28,4,FALSE))/1440),1,0)</f>
        <v>0</v>
      </c>
      <c r="AG57" s="2">
        <f>IF(AND(VLOOKUP(AG$1,test!$A$3:$F$32,5,FALSE) - VLOOKUP($B57,test!$A$3:$G$32,6,FALSE) &gt;= (test!$B$34+VLOOKUP(VLOOKUP($B57,test!$A$2:$I$32,4,FALSE),test!$J$24:$P$28,4,FALSE))/1440),1,0)</f>
        <v>0</v>
      </c>
    </row>
    <row r="58" spans="1:33" x14ac:dyDescent="0.25">
      <c r="A58" t="s">
        <v>90</v>
      </c>
      <c r="B58" t="s">
        <v>36</v>
      </c>
      <c r="C58">
        <v>0</v>
      </c>
      <c r="D58" s="2">
        <f>IF(AND(VLOOKUP(D$1,test!$A$3:$F$32,5,FALSE) - VLOOKUP($B58,test!$A$3:$G$32,6,FALSE) &gt;= (test!$B$34+VLOOKUP(VLOOKUP($B58,test!$A$2:$I$32,4,FALSE),test!$J$24:$P$28,4,FALSE))/1440),1,0)</f>
        <v>0</v>
      </c>
      <c r="E58" s="2">
        <f>IF(AND(VLOOKUP(E$1,test!$A$3:$F$32,5,FALSE) - VLOOKUP($B58,test!$A$3:$G$32,6,FALSE) &gt;= (test!$B$34+VLOOKUP(VLOOKUP($B58,test!$A$2:$I$32,4,FALSE),test!$J$24:$P$28,4,FALSE))/1440),1,0)</f>
        <v>0</v>
      </c>
      <c r="F58" s="2">
        <f>IF(AND(VLOOKUP(F$1,test!$A$3:$F$32,5,FALSE) - VLOOKUP($B58,test!$A$3:$G$32,6,FALSE) &gt;= (test!$B$34+VLOOKUP(VLOOKUP($B58,test!$A$2:$I$32,4,FALSE),test!$J$24:$P$28,4,FALSE))/1440),1,0)</f>
        <v>0</v>
      </c>
      <c r="G58" s="2">
        <f>IF(AND(VLOOKUP(G$1,test!$A$3:$F$32,5,FALSE) - VLOOKUP($B58,test!$A$3:$G$32,6,FALSE) &gt;= (test!$B$34+VLOOKUP(VLOOKUP($B58,test!$A$2:$I$32,4,FALSE),test!$J$24:$P$28,4,FALSE))/1440),1,0)</f>
        <v>0</v>
      </c>
      <c r="H58" s="2">
        <f>IF(AND(VLOOKUP(H$1,test!$A$3:$F$32,5,FALSE) - VLOOKUP($B58,test!$A$3:$G$32,6,FALSE) &gt;= (test!$B$34+VLOOKUP(VLOOKUP($B58,test!$A$2:$I$32,4,FALSE),test!$J$24:$P$28,4,FALSE))/1440),1,0)</f>
        <v>0</v>
      </c>
      <c r="I58" s="2">
        <f>IF(AND(VLOOKUP(I$1,test!$A$3:$F$32,5,FALSE) - VLOOKUP($B58,test!$A$3:$G$32,6,FALSE) &gt;= (test!$B$34+VLOOKUP(VLOOKUP($B58,test!$A$2:$I$32,4,FALSE),test!$J$24:$P$28,4,FALSE))/1440),1,0)</f>
        <v>0</v>
      </c>
      <c r="J58" s="2">
        <f>IF(AND(VLOOKUP(J$1,test!$A$3:$F$32,5,FALSE) - VLOOKUP($B58,test!$A$3:$G$32,6,FALSE) &gt;= (test!$B$34+VLOOKUP(VLOOKUP($B58,test!$A$2:$I$32,4,FALSE),test!$J$24:$P$28,4,FALSE))/1440),1,0)</f>
        <v>1</v>
      </c>
      <c r="K58" s="2">
        <f>IF(AND(VLOOKUP(K$1,test!$A$3:$F$32,5,FALSE) - VLOOKUP($B58,test!$A$3:$G$32,6,FALSE) &gt;= (test!$B$34+VLOOKUP(VLOOKUP($B58,test!$A$2:$I$32,4,FALSE),test!$J$24:$P$28,4,FALSE))/1440),1,0)</f>
        <v>1</v>
      </c>
      <c r="L58" s="2">
        <f>IF(AND(VLOOKUP(L$1,test!$A$3:$F$32,5,FALSE) - VLOOKUP($B58,test!$A$3:$G$32,6,FALSE) &gt;= (test!$B$34+VLOOKUP(VLOOKUP($B58,test!$A$2:$I$32,4,FALSE),test!$J$24:$P$28,4,FALSE))/1440),1,0)</f>
        <v>0</v>
      </c>
      <c r="M58" s="2">
        <f>IF(AND(VLOOKUP(M$1,test!$A$3:$F$32,5,FALSE) - VLOOKUP($B58,test!$A$3:$G$32,6,FALSE) &gt;= (test!$B$34+VLOOKUP(VLOOKUP($B58,test!$A$2:$I$32,4,FALSE),test!$J$24:$P$28,4,FALSE))/1440),1,0)</f>
        <v>0</v>
      </c>
      <c r="N58" s="2">
        <f>IF(AND(VLOOKUP(N$1,test!$A$3:$F$32,5,FALSE) - VLOOKUP($B58,test!$A$3:$G$32,6,FALSE) &gt;= (test!$B$34+VLOOKUP(VLOOKUP($B58,test!$A$2:$I$32,4,FALSE),test!$J$24:$P$28,4,FALSE))/1440),1,0)</f>
        <v>0</v>
      </c>
      <c r="O58" s="2">
        <f>IF(AND(VLOOKUP(O$1,test!$A$3:$F$32,5,FALSE) - VLOOKUP($B58,test!$A$3:$G$32,6,FALSE) &gt;= (test!$B$34+VLOOKUP(VLOOKUP($B58,test!$A$2:$I$32,4,FALSE),test!$J$24:$P$28,4,FALSE))/1440),1,0)</f>
        <v>1</v>
      </c>
      <c r="P58" s="2">
        <f>IF(AND(VLOOKUP(P$1,test!$A$3:$F$32,5,FALSE) - VLOOKUP($B58,test!$A$3:$G$32,6,FALSE) &gt;= (test!$B$34+VLOOKUP(VLOOKUP($B58,test!$A$2:$I$32,4,FALSE),test!$J$24:$P$28,4,FALSE))/1440),1,0)</f>
        <v>1</v>
      </c>
      <c r="Q58" s="2">
        <f>IF(AND(VLOOKUP(Q$1,test!$A$3:$F$32,5,FALSE) - VLOOKUP($B58,test!$A$3:$G$32,6,FALSE) &gt;= (test!$B$34+VLOOKUP(VLOOKUP($B58,test!$A$2:$I$32,4,FALSE),test!$J$24:$P$28,4,FALSE))/1440),1,0)</f>
        <v>0</v>
      </c>
      <c r="R58" s="2">
        <f>IF(AND(VLOOKUP(R$1,test!$A$3:$F$32,5,FALSE) - VLOOKUP($B58,test!$A$3:$G$32,6,FALSE) &gt;= (test!$B$34+VLOOKUP(VLOOKUP($B58,test!$A$2:$I$32,4,FALSE),test!$J$24:$P$28,4,FALSE))/1440),1,0)</f>
        <v>0</v>
      </c>
      <c r="S58" s="2">
        <f>IF(AND(VLOOKUP(S$1,test!$A$3:$F$32,5,FALSE) - VLOOKUP($B58,test!$A$3:$G$32,6,FALSE) &gt;= (test!$B$34+VLOOKUP(VLOOKUP($B58,test!$A$2:$I$32,4,FALSE),test!$J$24:$P$28,4,FALSE))/1440),1,0)</f>
        <v>0</v>
      </c>
      <c r="T58" s="2">
        <f>IF(AND(VLOOKUP(T$1,test!$A$3:$F$32,5,FALSE) - VLOOKUP($B58,test!$A$3:$G$32,6,FALSE) &gt;= (test!$B$34+VLOOKUP(VLOOKUP($B58,test!$A$2:$I$32,4,FALSE),test!$J$24:$P$28,4,FALSE))/1440),1,0)</f>
        <v>0</v>
      </c>
      <c r="U58" s="2">
        <f>IF(AND(VLOOKUP(U$1,test!$A$3:$F$32,5,FALSE) - VLOOKUP($B58,test!$A$3:$G$32,6,FALSE) &gt;= (test!$B$34+VLOOKUP(VLOOKUP($B58,test!$A$2:$I$32,4,FALSE),test!$J$24:$P$28,4,FALSE))/1440),1,0)</f>
        <v>0</v>
      </c>
      <c r="V58" s="2">
        <f>IF(AND(VLOOKUP(V$1,test!$A$3:$F$32,5,FALSE) - VLOOKUP($B58,test!$A$3:$G$32,6,FALSE) &gt;= (test!$B$34+VLOOKUP(VLOOKUP($B58,test!$A$2:$I$32,4,FALSE),test!$J$24:$P$28,4,FALSE))/1440),1,0)</f>
        <v>0</v>
      </c>
      <c r="W58" s="2">
        <f>IF(AND(VLOOKUP(W$1,test!$A$3:$F$32,5,FALSE) - VLOOKUP($B58,test!$A$3:$G$32,6,FALSE) &gt;= (test!$B$34+VLOOKUP(VLOOKUP($B58,test!$A$2:$I$32,4,FALSE),test!$J$24:$P$28,4,FALSE))/1440),1,0)</f>
        <v>0</v>
      </c>
      <c r="X58" s="2">
        <f>IF(AND(VLOOKUP(X$1,test!$A$3:$F$32,5,FALSE) - VLOOKUP($B58,test!$A$3:$G$32,6,FALSE) &gt;= (test!$B$34+VLOOKUP(VLOOKUP($B58,test!$A$2:$I$32,4,FALSE),test!$J$24:$P$28,4,FALSE))/1440),1,0)</f>
        <v>1</v>
      </c>
      <c r="Y58" s="2">
        <f>IF(AND(VLOOKUP(Y$1,test!$A$3:$F$32,5,FALSE) - VLOOKUP($B58,test!$A$3:$G$32,6,FALSE) &gt;= (test!$B$34+VLOOKUP(VLOOKUP($B58,test!$A$2:$I$32,4,FALSE),test!$J$24:$P$28,4,FALSE))/1440),1,0)</f>
        <v>1</v>
      </c>
      <c r="Z58" s="2">
        <f>IF(AND(VLOOKUP(Z$1,test!$A$3:$F$32,5,FALSE) - VLOOKUP($B58,test!$A$3:$G$32,6,FALSE) &gt;= (test!$B$34+VLOOKUP(VLOOKUP($B58,test!$A$2:$I$32,4,FALSE),test!$J$24:$P$28,4,FALSE))/1440),1,0)</f>
        <v>0</v>
      </c>
      <c r="AA58" s="2">
        <f>IF(AND(VLOOKUP(AA$1,test!$A$3:$F$32,5,FALSE) - VLOOKUP($B58,test!$A$3:$G$32,6,FALSE) &gt;= (test!$B$34+VLOOKUP(VLOOKUP($B58,test!$A$2:$I$32,4,FALSE),test!$J$24:$P$28,4,FALSE))/1440),1,0)</f>
        <v>0</v>
      </c>
      <c r="AB58" s="2">
        <f>IF(AND(VLOOKUP(AB$1,test!$A$3:$F$32,5,FALSE) - VLOOKUP($B58,test!$A$3:$G$32,6,FALSE) &gt;= (test!$B$34+VLOOKUP(VLOOKUP($B58,test!$A$2:$I$32,4,FALSE),test!$J$24:$P$28,4,FALSE))/1440),1,0)</f>
        <v>0</v>
      </c>
      <c r="AC58" s="2">
        <f>IF(AND(VLOOKUP(AC$1,test!$A$3:$F$32,5,FALSE) - VLOOKUP($B58,test!$A$3:$G$32,6,FALSE) &gt;= (test!$B$34+VLOOKUP(VLOOKUP($B58,test!$A$2:$I$32,4,FALSE),test!$J$24:$P$28,4,FALSE))/1440),1,0)</f>
        <v>0</v>
      </c>
      <c r="AD58" s="2">
        <f>IF(AND(VLOOKUP(AD$1,test!$A$3:$F$32,5,FALSE) - VLOOKUP($B58,test!$A$3:$G$32,6,FALSE) &gt;= (test!$B$34+VLOOKUP(VLOOKUP($B58,test!$A$2:$I$32,4,FALSE),test!$J$24:$P$28,4,FALSE))/1440),1,0)</f>
        <v>0</v>
      </c>
      <c r="AE58" s="2">
        <f>IF(AND(VLOOKUP(AE$1,test!$A$3:$F$32,5,FALSE) - VLOOKUP($B58,test!$A$3:$G$32,6,FALSE) &gt;= (test!$B$34+VLOOKUP(VLOOKUP($B58,test!$A$2:$I$32,4,FALSE),test!$J$24:$P$28,4,FALSE))/1440),1,0)</f>
        <v>0</v>
      </c>
      <c r="AF58" s="2">
        <f>IF(AND(VLOOKUP(AF$1,test!$A$3:$F$32,5,FALSE) - VLOOKUP($B58,test!$A$3:$G$32,6,FALSE) &gt;= (test!$B$34+VLOOKUP(VLOOKUP($B58,test!$A$2:$I$32,4,FALSE),test!$J$24:$P$28,4,FALSE))/1440),1,0)</f>
        <v>0</v>
      </c>
      <c r="AG58" s="2">
        <f>IF(AND(VLOOKUP(AG$1,test!$A$3:$F$32,5,FALSE) - VLOOKUP($B58,test!$A$3:$G$32,6,FALSE) &gt;= (test!$B$34+VLOOKUP(VLOOKUP($B58,test!$A$2:$I$32,4,FALSE),test!$J$24:$P$28,4,FALSE))/1440),1,0)</f>
        <v>0</v>
      </c>
    </row>
    <row r="59" spans="1:33" x14ac:dyDescent="0.25">
      <c r="A59" t="s">
        <v>90</v>
      </c>
      <c r="B59" t="s">
        <v>37</v>
      </c>
      <c r="C59">
        <v>0</v>
      </c>
      <c r="D59" s="2">
        <f>IF(AND(VLOOKUP(D$1,test!$A$3:$F$32,5,FALSE) - VLOOKUP($B59,test!$A$3:$G$32,6,FALSE) &gt;= (test!$B$34+VLOOKUP(VLOOKUP($B59,test!$A$2:$I$32,4,FALSE),test!$J$24:$P$28,4,FALSE))/1440),1,0)</f>
        <v>0</v>
      </c>
      <c r="E59" s="2">
        <f>IF(AND(VLOOKUP(E$1,test!$A$3:$F$32,5,FALSE) - VLOOKUP($B59,test!$A$3:$G$32,6,FALSE) &gt;= (test!$B$34+VLOOKUP(VLOOKUP($B59,test!$A$2:$I$32,4,FALSE),test!$J$24:$P$28,4,FALSE))/1440),1,0)</f>
        <v>0</v>
      </c>
      <c r="F59" s="2">
        <f>IF(AND(VLOOKUP(F$1,test!$A$3:$F$32,5,FALSE) - VLOOKUP($B59,test!$A$3:$G$32,6,FALSE) &gt;= (test!$B$34+VLOOKUP(VLOOKUP($B59,test!$A$2:$I$32,4,FALSE),test!$J$24:$P$28,4,FALSE))/1440),1,0)</f>
        <v>0</v>
      </c>
      <c r="G59" s="2">
        <f>IF(AND(VLOOKUP(G$1,test!$A$3:$F$32,5,FALSE) - VLOOKUP($B59,test!$A$3:$G$32,6,FALSE) &gt;= (test!$B$34+VLOOKUP(VLOOKUP($B59,test!$A$2:$I$32,4,FALSE),test!$J$24:$P$28,4,FALSE))/1440),1,0)</f>
        <v>0</v>
      </c>
      <c r="H59" s="2">
        <f>IF(AND(VLOOKUP(H$1,test!$A$3:$F$32,5,FALSE) - VLOOKUP($B59,test!$A$3:$G$32,6,FALSE) &gt;= (test!$B$34+VLOOKUP(VLOOKUP($B59,test!$A$2:$I$32,4,FALSE),test!$J$24:$P$28,4,FALSE))/1440),1,0)</f>
        <v>0</v>
      </c>
      <c r="I59" s="2">
        <f>IF(AND(VLOOKUP(I$1,test!$A$3:$F$32,5,FALSE) - VLOOKUP($B59,test!$A$3:$G$32,6,FALSE) &gt;= (test!$B$34+VLOOKUP(VLOOKUP($B59,test!$A$2:$I$32,4,FALSE),test!$J$24:$P$28,4,FALSE))/1440),1,0)</f>
        <v>0</v>
      </c>
      <c r="J59" s="2">
        <f>IF(AND(VLOOKUP(J$1,test!$A$3:$F$32,5,FALSE) - VLOOKUP($B59,test!$A$3:$G$32,6,FALSE) &gt;= (test!$B$34+VLOOKUP(VLOOKUP($B59,test!$A$2:$I$32,4,FALSE),test!$J$24:$P$28,4,FALSE))/1440),1,0)</f>
        <v>0</v>
      </c>
      <c r="K59" s="2">
        <f>IF(AND(VLOOKUP(K$1,test!$A$3:$F$32,5,FALSE) - VLOOKUP($B59,test!$A$3:$G$32,6,FALSE) &gt;= (test!$B$34+VLOOKUP(VLOOKUP($B59,test!$A$2:$I$32,4,FALSE),test!$J$24:$P$28,4,FALSE))/1440),1,0)</f>
        <v>1</v>
      </c>
      <c r="L59" s="2">
        <f>IF(AND(VLOOKUP(L$1,test!$A$3:$F$32,5,FALSE) - VLOOKUP($B59,test!$A$3:$G$32,6,FALSE) &gt;= (test!$B$34+VLOOKUP(VLOOKUP($B59,test!$A$2:$I$32,4,FALSE),test!$J$24:$P$28,4,FALSE))/1440),1,0)</f>
        <v>0</v>
      </c>
      <c r="M59" s="2">
        <f>IF(AND(VLOOKUP(M$1,test!$A$3:$F$32,5,FALSE) - VLOOKUP($B59,test!$A$3:$G$32,6,FALSE) &gt;= (test!$B$34+VLOOKUP(VLOOKUP($B59,test!$A$2:$I$32,4,FALSE),test!$J$24:$P$28,4,FALSE))/1440),1,0)</f>
        <v>0</v>
      </c>
      <c r="N59" s="2">
        <f>IF(AND(VLOOKUP(N$1,test!$A$3:$F$32,5,FALSE) - VLOOKUP($B59,test!$A$3:$G$32,6,FALSE) &gt;= (test!$B$34+VLOOKUP(VLOOKUP($B59,test!$A$2:$I$32,4,FALSE),test!$J$24:$P$28,4,FALSE))/1440),1,0)</f>
        <v>0</v>
      </c>
      <c r="O59" s="2">
        <f>IF(AND(VLOOKUP(O$1,test!$A$3:$F$32,5,FALSE) - VLOOKUP($B59,test!$A$3:$G$32,6,FALSE) &gt;= (test!$B$34+VLOOKUP(VLOOKUP($B59,test!$A$2:$I$32,4,FALSE),test!$J$24:$P$28,4,FALSE))/1440),1,0)</f>
        <v>1</v>
      </c>
      <c r="P59" s="2">
        <f>IF(AND(VLOOKUP(P$1,test!$A$3:$F$32,5,FALSE) - VLOOKUP($B59,test!$A$3:$G$32,6,FALSE) &gt;= (test!$B$34+VLOOKUP(VLOOKUP($B59,test!$A$2:$I$32,4,FALSE),test!$J$24:$P$28,4,FALSE))/1440),1,0)</f>
        <v>1</v>
      </c>
      <c r="Q59" s="2">
        <f>IF(AND(VLOOKUP(Q$1,test!$A$3:$F$32,5,FALSE) - VLOOKUP($B59,test!$A$3:$G$32,6,FALSE) &gt;= (test!$B$34+VLOOKUP(VLOOKUP($B59,test!$A$2:$I$32,4,FALSE),test!$J$24:$P$28,4,FALSE))/1440),1,0)</f>
        <v>0</v>
      </c>
      <c r="R59" s="2">
        <f>IF(AND(VLOOKUP(R$1,test!$A$3:$F$32,5,FALSE) - VLOOKUP($B59,test!$A$3:$G$32,6,FALSE) &gt;= (test!$B$34+VLOOKUP(VLOOKUP($B59,test!$A$2:$I$32,4,FALSE),test!$J$24:$P$28,4,FALSE))/1440),1,0)</f>
        <v>0</v>
      </c>
      <c r="S59" s="2">
        <f>IF(AND(VLOOKUP(S$1,test!$A$3:$F$32,5,FALSE) - VLOOKUP($B59,test!$A$3:$G$32,6,FALSE) &gt;= (test!$B$34+VLOOKUP(VLOOKUP($B59,test!$A$2:$I$32,4,FALSE),test!$J$24:$P$28,4,FALSE))/1440),1,0)</f>
        <v>0</v>
      </c>
      <c r="T59" s="2">
        <f>IF(AND(VLOOKUP(T$1,test!$A$3:$F$32,5,FALSE) - VLOOKUP($B59,test!$A$3:$G$32,6,FALSE) &gt;= (test!$B$34+VLOOKUP(VLOOKUP($B59,test!$A$2:$I$32,4,FALSE),test!$J$24:$P$28,4,FALSE))/1440),1,0)</f>
        <v>0</v>
      </c>
      <c r="U59" s="2">
        <f>IF(AND(VLOOKUP(U$1,test!$A$3:$F$32,5,FALSE) - VLOOKUP($B59,test!$A$3:$G$32,6,FALSE) &gt;= (test!$B$34+VLOOKUP(VLOOKUP($B59,test!$A$2:$I$32,4,FALSE),test!$J$24:$P$28,4,FALSE))/1440),1,0)</f>
        <v>0</v>
      </c>
      <c r="V59" s="2">
        <f>IF(AND(VLOOKUP(V$1,test!$A$3:$F$32,5,FALSE) - VLOOKUP($B59,test!$A$3:$G$32,6,FALSE) &gt;= (test!$B$34+VLOOKUP(VLOOKUP($B59,test!$A$2:$I$32,4,FALSE),test!$J$24:$P$28,4,FALSE))/1440),1,0)</f>
        <v>0</v>
      </c>
      <c r="W59" s="2">
        <f>IF(AND(VLOOKUP(W$1,test!$A$3:$F$32,5,FALSE) - VLOOKUP($B59,test!$A$3:$G$32,6,FALSE) &gt;= (test!$B$34+VLOOKUP(VLOOKUP($B59,test!$A$2:$I$32,4,FALSE),test!$J$24:$P$28,4,FALSE))/1440),1,0)</f>
        <v>0</v>
      </c>
      <c r="X59" s="2">
        <f>IF(AND(VLOOKUP(X$1,test!$A$3:$F$32,5,FALSE) - VLOOKUP($B59,test!$A$3:$G$32,6,FALSE) &gt;= (test!$B$34+VLOOKUP(VLOOKUP($B59,test!$A$2:$I$32,4,FALSE),test!$J$24:$P$28,4,FALSE))/1440),1,0)</f>
        <v>0</v>
      </c>
      <c r="Y59" s="2">
        <f>IF(AND(VLOOKUP(Y$1,test!$A$3:$F$32,5,FALSE) - VLOOKUP($B59,test!$A$3:$G$32,6,FALSE) &gt;= (test!$B$34+VLOOKUP(VLOOKUP($B59,test!$A$2:$I$32,4,FALSE),test!$J$24:$P$28,4,FALSE))/1440),1,0)</f>
        <v>1</v>
      </c>
      <c r="Z59" s="2">
        <f>IF(AND(VLOOKUP(Z$1,test!$A$3:$F$32,5,FALSE) - VLOOKUP($B59,test!$A$3:$G$32,6,FALSE) &gt;= (test!$B$34+VLOOKUP(VLOOKUP($B59,test!$A$2:$I$32,4,FALSE),test!$J$24:$P$28,4,FALSE))/1440),1,0)</f>
        <v>0</v>
      </c>
      <c r="AA59" s="2">
        <f>IF(AND(VLOOKUP(AA$1,test!$A$3:$F$32,5,FALSE) - VLOOKUP($B59,test!$A$3:$G$32,6,FALSE) &gt;= (test!$B$34+VLOOKUP(VLOOKUP($B59,test!$A$2:$I$32,4,FALSE),test!$J$24:$P$28,4,FALSE))/1440),1,0)</f>
        <v>0</v>
      </c>
      <c r="AB59" s="2">
        <f>IF(AND(VLOOKUP(AB$1,test!$A$3:$F$32,5,FALSE) - VLOOKUP($B59,test!$A$3:$G$32,6,FALSE) &gt;= (test!$B$34+VLOOKUP(VLOOKUP($B59,test!$A$2:$I$32,4,FALSE),test!$J$24:$P$28,4,FALSE))/1440),1,0)</f>
        <v>0</v>
      </c>
      <c r="AC59" s="2">
        <f>IF(AND(VLOOKUP(AC$1,test!$A$3:$F$32,5,FALSE) - VLOOKUP($B59,test!$A$3:$G$32,6,FALSE) &gt;= (test!$B$34+VLOOKUP(VLOOKUP($B59,test!$A$2:$I$32,4,FALSE),test!$J$24:$P$28,4,FALSE))/1440),1,0)</f>
        <v>0</v>
      </c>
      <c r="AD59" s="2">
        <f>IF(AND(VLOOKUP(AD$1,test!$A$3:$F$32,5,FALSE) - VLOOKUP($B59,test!$A$3:$G$32,6,FALSE) &gt;= (test!$B$34+VLOOKUP(VLOOKUP($B59,test!$A$2:$I$32,4,FALSE),test!$J$24:$P$28,4,FALSE))/1440),1,0)</f>
        <v>0</v>
      </c>
      <c r="AE59" s="2">
        <f>IF(AND(VLOOKUP(AE$1,test!$A$3:$F$32,5,FALSE) - VLOOKUP($B59,test!$A$3:$G$32,6,FALSE) &gt;= (test!$B$34+VLOOKUP(VLOOKUP($B59,test!$A$2:$I$32,4,FALSE),test!$J$24:$P$28,4,FALSE))/1440),1,0)</f>
        <v>0</v>
      </c>
      <c r="AF59" s="2">
        <f>IF(AND(VLOOKUP(AF$1,test!$A$3:$F$32,5,FALSE) - VLOOKUP($B59,test!$A$3:$G$32,6,FALSE) &gt;= (test!$B$34+VLOOKUP(VLOOKUP($B59,test!$A$2:$I$32,4,FALSE),test!$J$24:$P$28,4,FALSE))/1440),1,0)</f>
        <v>0</v>
      </c>
      <c r="AG59" s="2">
        <f>IF(AND(VLOOKUP(AG$1,test!$A$3:$F$32,5,FALSE) - VLOOKUP($B59,test!$A$3:$G$32,6,FALSE) &gt;= (test!$B$34+VLOOKUP(VLOOKUP($B59,test!$A$2:$I$32,4,FALSE),test!$J$24:$P$28,4,FALSE))/1440),1,0)</f>
        <v>0</v>
      </c>
    </row>
    <row r="60" spans="1:33" x14ac:dyDescent="0.25">
      <c r="A60" t="s">
        <v>90</v>
      </c>
      <c r="B60" t="s">
        <v>38</v>
      </c>
      <c r="C60">
        <v>0</v>
      </c>
      <c r="D60" s="2">
        <f>IF(AND(VLOOKUP(D$1,test!$A$3:$F$32,5,FALSE) - VLOOKUP($B60,test!$A$3:$G$32,6,FALSE) &gt;= (test!$B$34+VLOOKUP(VLOOKUP($B60,test!$A$2:$I$32,4,FALSE),test!$J$24:$P$28,4,FALSE))/1440),1,0)</f>
        <v>0</v>
      </c>
      <c r="E60" s="2">
        <f>IF(AND(VLOOKUP(E$1,test!$A$3:$F$32,5,FALSE) - VLOOKUP($B60,test!$A$3:$G$32,6,FALSE) &gt;= (test!$B$34+VLOOKUP(VLOOKUP($B60,test!$A$2:$I$32,4,FALSE),test!$J$24:$P$28,4,FALSE))/1440),1,0)</f>
        <v>0</v>
      </c>
      <c r="F60" s="2">
        <f>IF(AND(VLOOKUP(F$1,test!$A$3:$F$32,5,FALSE) - VLOOKUP($B60,test!$A$3:$G$32,6,FALSE) &gt;= (test!$B$34+VLOOKUP(VLOOKUP($B60,test!$A$2:$I$32,4,FALSE),test!$J$24:$P$28,4,FALSE))/1440),1,0)</f>
        <v>0</v>
      </c>
      <c r="G60" s="2">
        <f>IF(AND(VLOOKUP(G$1,test!$A$3:$F$32,5,FALSE) - VLOOKUP($B60,test!$A$3:$G$32,6,FALSE) &gt;= (test!$B$34+VLOOKUP(VLOOKUP($B60,test!$A$2:$I$32,4,FALSE),test!$J$24:$P$28,4,FALSE))/1440),1,0)</f>
        <v>0</v>
      </c>
      <c r="H60" s="2">
        <f>IF(AND(VLOOKUP(H$1,test!$A$3:$F$32,5,FALSE) - VLOOKUP($B60,test!$A$3:$G$32,6,FALSE) &gt;= (test!$B$34+VLOOKUP(VLOOKUP($B60,test!$A$2:$I$32,4,FALSE),test!$J$24:$P$28,4,FALSE))/1440),1,0)</f>
        <v>0</v>
      </c>
      <c r="I60" s="2">
        <f>IF(AND(VLOOKUP(I$1,test!$A$3:$F$32,5,FALSE) - VLOOKUP($B60,test!$A$3:$G$32,6,FALSE) &gt;= (test!$B$34+VLOOKUP(VLOOKUP($B60,test!$A$2:$I$32,4,FALSE),test!$J$24:$P$28,4,FALSE))/1440),1,0)</f>
        <v>0</v>
      </c>
      <c r="J60" s="2">
        <f>IF(AND(VLOOKUP(J$1,test!$A$3:$F$32,5,FALSE) - VLOOKUP($B60,test!$A$3:$G$32,6,FALSE) &gt;= (test!$B$34+VLOOKUP(VLOOKUP($B60,test!$A$2:$I$32,4,FALSE),test!$J$24:$P$28,4,FALSE))/1440),1,0)</f>
        <v>0</v>
      </c>
      <c r="K60" s="2">
        <f>IF(AND(VLOOKUP(K$1,test!$A$3:$F$32,5,FALSE) - VLOOKUP($B60,test!$A$3:$G$32,6,FALSE) &gt;= (test!$B$34+VLOOKUP(VLOOKUP($B60,test!$A$2:$I$32,4,FALSE),test!$J$24:$P$28,4,FALSE))/1440),1,0)</f>
        <v>0</v>
      </c>
      <c r="L60" s="2">
        <f>IF(AND(VLOOKUP(L$1,test!$A$3:$F$32,5,FALSE) - VLOOKUP($B60,test!$A$3:$G$32,6,FALSE) &gt;= (test!$B$34+VLOOKUP(VLOOKUP($B60,test!$A$2:$I$32,4,FALSE),test!$J$24:$P$28,4,FALSE))/1440),1,0)</f>
        <v>0</v>
      </c>
      <c r="M60" s="2">
        <f>IF(AND(VLOOKUP(M$1,test!$A$3:$F$32,5,FALSE) - VLOOKUP($B60,test!$A$3:$G$32,6,FALSE) &gt;= (test!$B$34+VLOOKUP(VLOOKUP($B60,test!$A$2:$I$32,4,FALSE),test!$J$24:$P$28,4,FALSE))/1440),1,0)</f>
        <v>0</v>
      </c>
      <c r="N60" s="2">
        <f>IF(AND(VLOOKUP(N$1,test!$A$3:$F$32,5,FALSE) - VLOOKUP($B60,test!$A$3:$G$32,6,FALSE) &gt;= (test!$B$34+VLOOKUP(VLOOKUP($B60,test!$A$2:$I$32,4,FALSE),test!$J$24:$P$28,4,FALSE))/1440),1,0)</f>
        <v>0</v>
      </c>
      <c r="O60" s="2">
        <f>IF(AND(VLOOKUP(O$1,test!$A$3:$F$32,5,FALSE) - VLOOKUP($B60,test!$A$3:$G$32,6,FALSE) &gt;= (test!$B$34+VLOOKUP(VLOOKUP($B60,test!$A$2:$I$32,4,FALSE),test!$J$24:$P$28,4,FALSE))/1440),1,0)</f>
        <v>0</v>
      </c>
      <c r="P60" s="2">
        <f>IF(AND(VLOOKUP(P$1,test!$A$3:$F$32,5,FALSE) - VLOOKUP($B60,test!$A$3:$G$32,6,FALSE) &gt;= (test!$B$34+VLOOKUP(VLOOKUP($B60,test!$A$2:$I$32,4,FALSE),test!$J$24:$P$28,4,FALSE))/1440),1,0)</f>
        <v>0</v>
      </c>
      <c r="Q60" s="2">
        <f>IF(AND(VLOOKUP(Q$1,test!$A$3:$F$32,5,FALSE) - VLOOKUP($B60,test!$A$3:$G$32,6,FALSE) &gt;= (test!$B$34+VLOOKUP(VLOOKUP($B60,test!$A$2:$I$32,4,FALSE),test!$J$24:$P$28,4,FALSE))/1440),1,0)</f>
        <v>0</v>
      </c>
      <c r="R60" s="2">
        <f>IF(AND(VLOOKUP(R$1,test!$A$3:$F$32,5,FALSE) - VLOOKUP($B60,test!$A$3:$G$32,6,FALSE) &gt;= (test!$B$34+VLOOKUP(VLOOKUP($B60,test!$A$2:$I$32,4,FALSE),test!$J$24:$P$28,4,FALSE))/1440),1,0)</f>
        <v>0</v>
      </c>
      <c r="S60" s="2">
        <f>IF(AND(VLOOKUP(S$1,test!$A$3:$F$32,5,FALSE) - VLOOKUP($B60,test!$A$3:$G$32,6,FALSE) &gt;= (test!$B$34+VLOOKUP(VLOOKUP($B60,test!$A$2:$I$32,4,FALSE),test!$J$24:$P$28,4,FALSE))/1440),1,0)</f>
        <v>0</v>
      </c>
      <c r="T60" s="2">
        <f>IF(AND(VLOOKUP(T$1,test!$A$3:$F$32,5,FALSE) - VLOOKUP($B60,test!$A$3:$G$32,6,FALSE) &gt;= (test!$B$34+VLOOKUP(VLOOKUP($B60,test!$A$2:$I$32,4,FALSE),test!$J$24:$P$28,4,FALSE))/1440),1,0)</f>
        <v>0</v>
      </c>
      <c r="U60" s="2">
        <f>IF(AND(VLOOKUP(U$1,test!$A$3:$F$32,5,FALSE) - VLOOKUP($B60,test!$A$3:$G$32,6,FALSE) &gt;= (test!$B$34+VLOOKUP(VLOOKUP($B60,test!$A$2:$I$32,4,FALSE),test!$J$24:$P$28,4,FALSE))/1440),1,0)</f>
        <v>0</v>
      </c>
      <c r="V60" s="2">
        <f>IF(AND(VLOOKUP(V$1,test!$A$3:$F$32,5,FALSE) - VLOOKUP($B60,test!$A$3:$G$32,6,FALSE) &gt;= (test!$B$34+VLOOKUP(VLOOKUP($B60,test!$A$2:$I$32,4,FALSE),test!$J$24:$P$28,4,FALSE))/1440),1,0)</f>
        <v>0</v>
      </c>
      <c r="W60" s="2">
        <f>IF(AND(VLOOKUP(W$1,test!$A$3:$F$32,5,FALSE) - VLOOKUP($B60,test!$A$3:$G$32,6,FALSE) &gt;= (test!$B$34+VLOOKUP(VLOOKUP($B60,test!$A$2:$I$32,4,FALSE),test!$J$24:$P$28,4,FALSE))/1440),1,0)</f>
        <v>0</v>
      </c>
      <c r="X60" s="2">
        <f>IF(AND(VLOOKUP(X$1,test!$A$3:$F$32,5,FALSE) - VLOOKUP($B60,test!$A$3:$G$32,6,FALSE) &gt;= (test!$B$34+VLOOKUP(VLOOKUP($B60,test!$A$2:$I$32,4,FALSE),test!$J$24:$P$28,4,FALSE))/1440),1,0)</f>
        <v>0</v>
      </c>
      <c r="Y60" s="2">
        <f>IF(AND(VLOOKUP(Y$1,test!$A$3:$F$32,5,FALSE) - VLOOKUP($B60,test!$A$3:$G$32,6,FALSE) &gt;= (test!$B$34+VLOOKUP(VLOOKUP($B60,test!$A$2:$I$32,4,FALSE),test!$J$24:$P$28,4,FALSE))/1440),1,0)</f>
        <v>0</v>
      </c>
      <c r="Z60" s="2">
        <f>IF(AND(VLOOKUP(Z$1,test!$A$3:$F$32,5,FALSE) - VLOOKUP($B60,test!$A$3:$G$32,6,FALSE) &gt;= (test!$B$34+VLOOKUP(VLOOKUP($B60,test!$A$2:$I$32,4,FALSE),test!$J$24:$P$28,4,FALSE))/1440),1,0)</f>
        <v>0</v>
      </c>
      <c r="AA60" s="2">
        <f>IF(AND(VLOOKUP(AA$1,test!$A$3:$F$32,5,FALSE) - VLOOKUP($B60,test!$A$3:$G$32,6,FALSE) &gt;= (test!$B$34+VLOOKUP(VLOOKUP($B60,test!$A$2:$I$32,4,FALSE),test!$J$24:$P$28,4,FALSE))/1440),1,0)</f>
        <v>0</v>
      </c>
      <c r="AB60" s="2">
        <f>IF(AND(VLOOKUP(AB$1,test!$A$3:$F$32,5,FALSE) - VLOOKUP($B60,test!$A$3:$G$32,6,FALSE) &gt;= (test!$B$34+VLOOKUP(VLOOKUP($B60,test!$A$2:$I$32,4,FALSE),test!$J$24:$P$28,4,FALSE))/1440),1,0)</f>
        <v>0</v>
      </c>
      <c r="AC60" s="2">
        <f>IF(AND(VLOOKUP(AC$1,test!$A$3:$F$32,5,FALSE) - VLOOKUP($B60,test!$A$3:$G$32,6,FALSE) &gt;= (test!$B$34+VLOOKUP(VLOOKUP($B60,test!$A$2:$I$32,4,FALSE),test!$J$24:$P$28,4,FALSE))/1440),1,0)</f>
        <v>0</v>
      </c>
      <c r="AD60" s="2">
        <f>IF(AND(VLOOKUP(AD$1,test!$A$3:$F$32,5,FALSE) - VLOOKUP($B60,test!$A$3:$G$32,6,FALSE) &gt;= (test!$B$34+VLOOKUP(VLOOKUP($B60,test!$A$2:$I$32,4,FALSE),test!$J$24:$P$28,4,FALSE))/1440),1,0)</f>
        <v>0</v>
      </c>
      <c r="AE60" s="2">
        <f>IF(AND(VLOOKUP(AE$1,test!$A$3:$F$32,5,FALSE) - VLOOKUP($B60,test!$A$3:$G$32,6,FALSE) &gt;= (test!$B$34+VLOOKUP(VLOOKUP($B60,test!$A$2:$I$32,4,FALSE),test!$J$24:$P$28,4,FALSE))/1440),1,0)</f>
        <v>0</v>
      </c>
      <c r="AF60" s="2">
        <f>IF(AND(VLOOKUP(AF$1,test!$A$3:$F$32,5,FALSE) - VLOOKUP($B60,test!$A$3:$G$32,6,FALSE) &gt;= (test!$B$34+VLOOKUP(VLOOKUP($B60,test!$A$2:$I$32,4,FALSE),test!$J$24:$P$28,4,FALSE))/1440),1,0)</f>
        <v>0</v>
      </c>
      <c r="AG60" s="2">
        <f>IF(AND(VLOOKUP(AG$1,test!$A$3:$F$32,5,FALSE) - VLOOKUP($B60,test!$A$3:$G$32,6,FALSE) &gt;= (test!$B$34+VLOOKUP(VLOOKUP($B60,test!$A$2:$I$32,4,FALSE),test!$J$24:$P$28,4,FALSE))/1440),1,0)</f>
        <v>0</v>
      </c>
    </row>
    <row r="61" spans="1:33" x14ac:dyDescent="0.25">
      <c r="A61" t="s">
        <v>90</v>
      </c>
      <c r="B61" t="s">
        <v>39</v>
      </c>
      <c r="C61">
        <v>0</v>
      </c>
      <c r="D61" s="2">
        <f>IF(AND(VLOOKUP(D$1,test!$A$3:$F$32,5,FALSE) - VLOOKUP($B61,test!$A$3:$G$32,6,FALSE) &gt;= (test!$B$34+VLOOKUP(VLOOKUP($B61,test!$A$2:$I$32,4,FALSE),test!$J$24:$P$28,4,FALSE))/1440),1,0)</f>
        <v>0</v>
      </c>
      <c r="E61" s="2">
        <f>IF(AND(VLOOKUP(E$1,test!$A$3:$F$32,5,FALSE) - VLOOKUP($B61,test!$A$3:$G$32,6,FALSE) &gt;= (test!$B$34+VLOOKUP(VLOOKUP($B61,test!$A$2:$I$32,4,FALSE),test!$J$24:$P$28,4,FALSE))/1440),1,0)</f>
        <v>0</v>
      </c>
      <c r="F61" s="2">
        <f>IF(AND(VLOOKUP(F$1,test!$A$3:$F$32,5,FALSE) - VLOOKUP($B61,test!$A$3:$G$32,6,FALSE) &gt;= (test!$B$34+VLOOKUP(VLOOKUP($B61,test!$A$2:$I$32,4,FALSE),test!$J$24:$P$28,4,FALSE))/1440),1,0)</f>
        <v>0</v>
      </c>
      <c r="G61" s="2">
        <f>IF(AND(VLOOKUP(G$1,test!$A$3:$F$32,5,FALSE) - VLOOKUP($B61,test!$A$3:$G$32,6,FALSE) &gt;= (test!$B$34+VLOOKUP(VLOOKUP($B61,test!$A$2:$I$32,4,FALSE),test!$J$24:$P$28,4,FALSE))/1440),1,0)</f>
        <v>1</v>
      </c>
      <c r="H61" s="2">
        <f>IF(AND(VLOOKUP(H$1,test!$A$3:$F$32,5,FALSE) - VLOOKUP($B61,test!$A$3:$G$32,6,FALSE) &gt;= (test!$B$34+VLOOKUP(VLOOKUP($B61,test!$A$2:$I$32,4,FALSE),test!$J$24:$P$28,4,FALSE))/1440),1,0)</f>
        <v>1</v>
      </c>
      <c r="I61" s="2">
        <f>IF(AND(VLOOKUP(I$1,test!$A$3:$F$32,5,FALSE) - VLOOKUP($B61,test!$A$3:$G$32,6,FALSE) &gt;= (test!$B$34+VLOOKUP(VLOOKUP($B61,test!$A$2:$I$32,4,FALSE),test!$J$24:$P$28,4,FALSE))/1440),1,0)</f>
        <v>1</v>
      </c>
      <c r="J61" s="2">
        <f>IF(AND(VLOOKUP(J$1,test!$A$3:$F$32,5,FALSE) - VLOOKUP($B61,test!$A$3:$G$32,6,FALSE) &gt;= (test!$B$34+VLOOKUP(VLOOKUP($B61,test!$A$2:$I$32,4,FALSE),test!$J$24:$P$28,4,FALSE))/1440),1,0)</f>
        <v>1</v>
      </c>
      <c r="K61" s="2">
        <f>IF(AND(VLOOKUP(K$1,test!$A$3:$F$32,5,FALSE) - VLOOKUP($B61,test!$A$3:$G$32,6,FALSE) &gt;= (test!$B$34+VLOOKUP(VLOOKUP($B61,test!$A$2:$I$32,4,FALSE),test!$J$24:$P$28,4,FALSE))/1440),1,0)</f>
        <v>1</v>
      </c>
      <c r="L61" s="2">
        <f>IF(AND(VLOOKUP(L$1,test!$A$3:$F$32,5,FALSE) - VLOOKUP($B61,test!$A$3:$G$32,6,FALSE) &gt;= (test!$B$34+VLOOKUP(VLOOKUP($B61,test!$A$2:$I$32,4,FALSE),test!$J$24:$P$28,4,FALSE))/1440),1,0)</f>
        <v>0</v>
      </c>
      <c r="M61" s="2">
        <f>IF(AND(VLOOKUP(M$1,test!$A$3:$F$32,5,FALSE) - VLOOKUP($B61,test!$A$3:$G$32,6,FALSE) &gt;= (test!$B$34+VLOOKUP(VLOOKUP($B61,test!$A$2:$I$32,4,FALSE),test!$J$24:$P$28,4,FALSE))/1440),1,0)</f>
        <v>0</v>
      </c>
      <c r="N61" s="2">
        <f>IF(AND(VLOOKUP(N$1,test!$A$3:$F$32,5,FALSE) - VLOOKUP($B61,test!$A$3:$G$32,6,FALSE) &gt;= (test!$B$34+VLOOKUP(VLOOKUP($B61,test!$A$2:$I$32,4,FALSE),test!$J$24:$P$28,4,FALSE))/1440),1,0)</f>
        <v>0</v>
      </c>
      <c r="O61" s="2">
        <f>IF(AND(VLOOKUP(O$1,test!$A$3:$F$32,5,FALSE) - VLOOKUP($B61,test!$A$3:$G$32,6,FALSE) &gt;= (test!$B$34+VLOOKUP(VLOOKUP($B61,test!$A$2:$I$32,4,FALSE),test!$J$24:$P$28,4,FALSE))/1440),1,0)</f>
        <v>1</v>
      </c>
      <c r="P61" s="2">
        <f>IF(AND(VLOOKUP(P$1,test!$A$3:$F$32,5,FALSE) - VLOOKUP($B61,test!$A$3:$G$32,6,FALSE) &gt;= (test!$B$34+VLOOKUP(VLOOKUP($B61,test!$A$2:$I$32,4,FALSE),test!$J$24:$P$28,4,FALSE))/1440),1,0)</f>
        <v>1</v>
      </c>
      <c r="Q61" s="2">
        <f>IF(AND(VLOOKUP(Q$1,test!$A$3:$F$32,5,FALSE) - VLOOKUP($B61,test!$A$3:$G$32,6,FALSE) &gt;= (test!$B$34+VLOOKUP(VLOOKUP($B61,test!$A$2:$I$32,4,FALSE),test!$J$24:$P$28,4,FALSE))/1440),1,0)</f>
        <v>0</v>
      </c>
      <c r="R61" s="2">
        <f>IF(AND(VLOOKUP(R$1,test!$A$3:$F$32,5,FALSE) - VLOOKUP($B61,test!$A$3:$G$32,6,FALSE) &gt;= (test!$B$34+VLOOKUP(VLOOKUP($B61,test!$A$2:$I$32,4,FALSE),test!$J$24:$P$28,4,FALSE))/1440),1,0)</f>
        <v>0</v>
      </c>
      <c r="S61" s="2">
        <f>IF(AND(VLOOKUP(S$1,test!$A$3:$F$32,5,FALSE) - VLOOKUP($B61,test!$A$3:$G$32,6,FALSE) &gt;= (test!$B$34+VLOOKUP(VLOOKUP($B61,test!$A$2:$I$32,4,FALSE),test!$J$24:$P$28,4,FALSE))/1440),1,0)</f>
        <v>0</v>
      </c>
      <c r="T61" s="2">
        <f>IF(AND(VLOOKUP(T$1,test!$A$3:$F$32,5,FALSE) - VLOOKUP($B61,test!$A$3:$G$32,6,FALSE) &gt;= (test!$B$34+VLOOKUP(VLOOKUP($B61,test!$A$2:$I$32,4,FALSE),test!$J$24:$P$28,4,FALSE))/1440),1,0)</f>
        <v>0</v>
      </c>
      <c r="U61" s="2">
        <f>IF(AND(VLOOKUP(U$1,test!$A$3:$F$32,5,FALSE) - VLOOKUP($B61,test!$A$3:$G$32,6,FALSE) &gt;= (test!$B$34+VLOOKUP(VLOOKUP($B61,test!$A$2:$I$32,4,FALSE),test!$J$24:$P$28,4,FALSE))/1440),1,0)</f>
        <v>0</v>
      </c>
      <c r="V61" s="2">
        <f>IF(AND(VLOOKUP(V$1,test!$A$3:$F$32,5,FALSE) - VLOOKUP($B61,test!$A$3:$G$32,6,FALSE) &gt;= (test!$B$34+VLOOKUP(VLOOKUP($B61,test!$A$2:$I$32,4,FALSE),test!$J$24:$P$28,4,FALSE))/1440),1,0)</f>
        <v>1</v>
      </c>
      <c r="W61" s="2">
        <f>IF(AND(VLOOKUP(W$1,test!$A$3:$F$32,5,FALSE) - VLOOKUP($B61,test!$A$3:$G$32,6,FALSE) &gt;= (test!$B$34+VLOOKUP(VLOOKUP($B61,test!$A$2:$I$32,4,FALSE),test!$J$24:$P$28,4,FALSE))/1440),1,0)</f>
        <v>1</v>
      </c>
      <c r="X61" s="2">
        <f>IF(AND(VLOOKUP(X$1,test!$A$3:$F$32,5,FALSE) - VLOOKUP($B61,test!$A$3:$G$32,6,FALSE) &gt;= (test!$B$34+VLOOKUP(VLOOKUP($B61,test!$A$2:$I$32,4,FALSE),test!$J$24:$P$28,4,FALSE))/1440),1,0)</f>
        <v>1</v>
      </c>
      <c r="Y61" s="2">
        <f>IF(AND(VLOOKUP(Y$1,test!$A$3:$F$32,5,FALSE) - VLOOKUP($B61,test!$A$3:$G$32,6,FALSE) &gt;= (test!$B$34+VLOOKUP(VLOOKUP($B61,test!$A$2:$I$32,4,FALSE),test!$J$24:$P$28,4,FALSE))/1440),1,0)</f>
        <v>1</v>
      </c>
      <c r="Z61" s="2">
        <f>IF(AND(VLOOKUP(Z$1,test!$A$3:$F$32,5,FALSE) - VLOOKUP($B61,test!$A$3:$G$32,6,FALSE) &gt;= (test!$B$34+VLOOKUP(VLOOKUP($B61,test!$A$2:$I$32,4,FALSE),test!$J$24:$P$28,4,FALSE))/1440),1,0)</f>
        <v>0</v>
      </c>
      <c r="AA61" s="2">
        <f>IF(AND(VLOOKUP(AA$1,test!$A$3:$F$32,5,FALSE) - VLOOKUP($B61,test!$A$3:$G$32,6,FALSE) &gt;= (test!$B$34+VLOOKUP(VLOOKUP($B61,test!$A$2:$I$32,4,FALSE),test!$J$24:$P$28,4,FALSE))/1440),1,0)</f>
        <v>0</v>
      </c>
      <c r="AB61" s="2">
        <f>IF(AND(VLOOKUP(AB$1,test!$A$3:$F$32,5,FALSE) - VLOOKUP($B61,test!$A$3:$G$32,6,FALSE) &gt;= (test!$B$34+VLOOKUP(VLOOKUP($B61,test!$A$2:$I$32,4,FALSE),test!$J$24:$P$28,4,FALSE))/1440),1,0)</f>
        <v>0</v>
      </c>
      <c r="AC61" s="2">
        <f>IF(AND(VLOOKUP(AC$1,test!$A$3:$F$32,5,FALSE) - VLOOKUP($B61,test!$A$3:$G$32,6,FALSE) &gt;= (test!$B$34+VLOOKUP(VLOOKUP($B61,test!$A$2:$I$32,4,FALSE),test!$J$24:$P$28,4,FALSE))/1440),1,0)</f>
        <v>1</v>
      </c>
      <c r="AD61" s="2">
        <f>IF(AND(VLOOKUP(AD$1,test!$A$3:$F$32,5,FALSE) - VLOOKUP($B61,test!$A$3:$G$32,6,FALSE) &gt;= (test!$B$34+VLOOKUP(VLOOKUP($B61,test!$A$2:$I$32,4,FALSE),test!$J$24:$P$28,4,FALSE))/1440),1,0)</f>
        <v>1</v>
      </c>
      <c r="AE61" s="2">
        <f>IF(AND(VLOOKUP(AE$1,test!$A$3:$F$32,5,FALSE) - VLOOKUP($B61,test!$A$3:$G$32,6,FALSE) &gt;= (test!$B$34+VLOOKUP(VLOOKUP($B61,test!$A$2:$I$32,4,FALSE),test!$J$24:$P$28,4,FALSE))/1440),1,0)</f>
        <v>0</v>
      </c>
      <c r="AF61" s="2">
        <f>IF(AND(VLOOKUP(AF$1,test!$A$3:$F$32,5,FALSE) - VLOOKUP($B61,test!$A$3:$G$32,6,FALSE) &gt;= (test!$B$34+VLOOKUP(VLOOKUP($B61,test!$A$2:$I$32,4,FALSE),test!$J$24:$P$28,4,FALSE))/1440),1,0)</f>
        <v>0</v>
      </c>
      <c r="AG61" s="2">
        <f>IF(AND(VLOOKUP(AG$1,test!$A$3:$F$32,5,FALSE) - VLOOKUP($B61,test!$A$3:$G$32,6,FALSE) &gt;= (test!$B$34+VLOOKUP(VLOOKUP($B61,test!$A$2:$I$32,4,FALSE),test!$J$24:$P$28,4,FALSE))/1440),1,0)</f>
        <v>0</v>
      </c>
    </row>
    <row r="62" spans="1:33" x14ac:dyDescent="0.25">
      <c r="A62" t="s">
        <v>90</v>
      </c>
      <c r="B62" t="s">
        <v>40</v>
      </c>
      <c r="C62">
        <v>0</v>
      </c>
      <c r="D62" s="2">
        <f>IF(AND(VLOOKUP(D$1,test!$A$3:$F$32,5,FALSE) - VLOOKUP($B62,test!$A$3:$G$32,6,FALSE) &gt;= (test!$B$34+VLOOKUP(VLOOKUP($B62,test!$A$2:$I$32,4,FALSE),test!$J$24:$P$28,4,FALSE))/1440),1,0)</f>
        <v>0</v>
      </c>
      <c r="E62" s="2">
        <f>IF(AND(VLOOKUP(E$1,test!$A$3:$F$32,5,FALSE) - VLOOKUP($B62,test!$A$3:$G$32,6,FALSE) &gt;= (test!$B$34+VLOOKUP(VLOOKUP($B62,test!$A$2:$I$32,4,FALSE),test!$J$24:$P$28,4,FALSE))/1440),1,0)</f>
        <v>0</v>
      </c>
      <c r="F62" s="2">
        <f>IF(AND(VLOOKUP(F$1,test!$A$3:$F$32,5,FALSE) - VLOOKUP($B62,test!$A$3:$G$32,6,FALSE) &gt;= (test!$B$34+VLOOKUP(VLOOKUP($B62,test!$A$2:$I$32,4,FALSE),test!$J$24:$P$28,4,FALSE))/1440),1,0)</f>
        <v>0</v>
      </c>
      <c r="G62" s="2">
        <f>IF(AND(VLOOKUP(G$1,test!$A$3:$F$32,5,FALSE) - VLOOKUP($B62,test!$A$3:$G$32,6,FALSE) &gt;= (test!$B$34+VLOOKUP(VLOOKUP($B62,test!$A$2:$I$32,4,FALSE),test!$J$24:$P$28,4,FALSE))/1440),1,0)</f>
        <v>0</v>
      </c>
      <c r="H62" s="2">
        <f>IF(AND(VLOOKUP(H$1,test!$A$3:$F$32,5,FALSE) - VLOOKUP($B62,test!$A$3:$G$32,6,FALSE) &gt;= (test!$B$34+VLOOKUP(VLOOKUP($B62,test!$A$2:$I$32,4,FALSE),test!$J$24:$P$28,4,FALSE))/1440),1,0)</f>
        <v>0</v>
      </c>
      <c r="I62" s="2">
        <f>IF(AND(VLOOKUP(I$1,test!$A$3:$F$32,5,FALSE) - VLOOKUP($B62,test!$A$3:$G$32,6,FALSE) &gt;= (test!$B$34+VLOOKUP(VLOOKUP($B62,test!$A$2:$I$32,4,FALSE),test!$J$24:$P$28,4,FALSE))/1440),1,0)</f>
        <v>0</v>
      </c>
      <c r="J62" s="2">
        <f>IF(AND(VLOOKUP(J$1,test!$A$3:$F$32,5,FALSE) - VLOOKUP($B62,test!$A$3:$G$32,6,FALSE) &gt;= (test!$B$34+VLOOKUP(VLOOKUP($B62,test!$A$2:$I$32,4,FALSE),test!$J$24:$P$28,4,FALSE))/1440),1,0)</f>
        <v>0</v>
      </c>
      <c r="K62" s="2">
        <f>IF(AND(VLOOKUP(K$1,test!$A$3:$F$32,5,FALSE) - VLOOKUP($B62,test!$A$3:$G$32,6,FALSE) &gt;= (test!$B$34+VLOOKUP(VLOOKUP($B62,test!$A$2:$I$32,4,FALSE),test!$J$24:$P$28,4,FALSE))/1440),1,0)</f>
        <v>1</v>
      </c>
      <c r="L62" s="2">
        <f>IF(AND(VLOOKUP(L$1,test!$A$3:$F$32,5,FALSE) - VLOOKUP($B62,test!$A$3:$G$32,6,FALSE) &gt;= (test!$B$34+VLOOKUP(VLOOKUP($B62,test!$A$2:$I$32,4,FALSE),test!$J$24:$P$28,4,FALSE))/1440),1,0)</f>
        <v>0</v>
      </c>
      <c r="M62" s="2">
        <f>IF(AND(VLOOKUP(M$1,test!$A$3:$F$32,5,FALSE) - VLOOKUP($B62,test!$A$3:$G$32,6,FALSE) &gt;= (test!$B$34+VLOOKUP(VLOOKUP($B62,test!$A$2:$I$32,4,FALSE),test!$J$24:$P$28,4,FALSE))/1440),1,0)</f>
        <v>0</v>
      </c>
      <c r="N62" s="2">
        <f>IF(AND(VLOOKUP(N$1,test!$A$3:$F$32,5,FALSE) - VLOOKUP($B62,test!$A$3:$G$32,6,FALSE) &gt;= (test!$B$34+VLOOKUP(VLOOKUP($B62,test!$A$2:$I$32,4,FALSE),test!$J$24:$P$28,4,FALSE))/1440),1,0)</f>
        <v>0</v>
      </c>
      <c r="O62" s="2">
        <f>IF(AND(VLOOKUP(O$1,test!$A$3:$F$32,5,FALSE) - VLOOKUP($B62,test!$A$3:$G$32,6,FALSE) &gt;= (test!$B$34+VLOOKUP(VLOOKUP($B62,test!$A$2:$I$32,4,FALSE),test!$J$24:$P$28,4,FALSE))/1440),1,0)</f>
        <v>1</v>
      </c>
      <c r="P62" s="2">
        <f>IF(AND(VLOOKUP(P$1,test!$A$3:$F$32,5,FALSE) - VLOOKUP($B62,test!$A$3:$G$32,6,FALSE) &gt;= (test!$B$34+VLOOKUP(VLOOKUP($B62,test!$A$2:$I$32,4,FALSE),test!$J$24:$P$28,4,FALSE))/1440),1,0)</f>
        <v>1</v>
      </c>
      <c r="Q62" s="2">
        <f>IF(AND(VLOOKUP(Q$1,test!$A$3:$F$32,5,FALSE) - VLOOKUP($B62,test!$A$3:$G$32,6,FALSE) &gt;= (test!$B$34+VLOOKUP(VLOOKUP($B62,test!$A$2:$I$32,4,FALSE),test!$J$24:$P$28,4,FALSE))/1440),1,0)</f>
        <v>0</v>
      </c>
      <c r="R62" s="2">
        <f>IF(AND(VLOOKUP(R$1,test!$A$3:$F$32,5,FALSE) - VLOOKUP($B62,test!$A$3:$G$32,6,FALSE) &gt;= (test!$B$34+VLOOKUP(VLOOKUP($B62,test!$A$2:$I$32,4,FALSE),test!$J$24:$P$28,4,FALSE))/1440),1,0)</f>
        <v>0</v>
      </c>
      <c r="S62" s="2">
        <f>IF(AND(VLOOKUP(S$1,test!$A$3:$F$32,5,FALSE) - VLOOKUP($B62,test!$A$3:$G$32,6,FALSE) &gt;= (test!$B$34+VLOOKUP(VLOOKUP($B62,test!$A$2:$I$32,4,FALSE),test!$J$24:$P$28,4,FALSE))/1440),1,0)</f>
        <v>0</v>
      </c>
      <c r="T62" s="2">
        <f>IF(AND(VLOOKUP(T$1,test!$A$3:$F$32,5,FALSE) - VLOOKUP($B62,test!$A$3:$G$32,6,FALSE) &gt;= (test!$B$34+VLOOKUP(VLOOKUP($B62,test!$A$2:$I$32,4,FALSE),test!$J$24:$P$28,4,FALSE))/1440),1,0)</f>
        <v>0</v>
      </c>
      <c r="U62" s="2">
        <f>IF(AND(VLOOKUP(U$1,test!$A$3:$F$32,5,FALSE) - VLOOKUP($B62,test!$A$3:$G$32,6,FALSE) &gt;= (test!$B$34+VLOOKUP(VLOOKUP($B62,test!$A$2:$I$32,4,FALSE),test!$J$24:$P$28,4,FALSE))/1440),1,0)</f>
        <v>0</v>
      </c>
      <c r="V62" s="2">
        <f>IF(AND(VLOOKUP(V$1,test!$A$3:$F$32,5,FALSE) - VLOOKUP($B62,test!$A$3:$G$32,6,FALSE) &gt;= (test!$B$34+VLOOKUP(VLOOKUP($B62,test!$A$2:$I$32,4,FALSE),test!$J$24:$P$28,4,FALSE))/1440),1,0)</f>
        <v>0</v>
      </c>
      <c r="W62" s="2">
        <f>IF(AND(VLOOKUP(W$1,test!$A$3:$F$32,5,FALSE) - VLOOKUP($B62,test!$A$3:$G$32,6,FALSE) &gt;= (test!$B$34+VLOOKUP(VLOOKUP($B62,test!$A$2:$I$32,4,FALSE),test!$J$24:$P$28,4,FALSE))/1440),1,0)</f>
        <v>0</v>
      </c>
      <c r="X62" s="2">
        <f>IF(AND(VLOOKUP(X$1,test!$A$3:$F$32,5,FALSE) - VLOOKUP($B62,test!$A$3:$G$32,6,FALSE) &gt;= (test!$B$34+VLOOKUP(VLOOKUP($B62,test!$A$2:$I$32,4,FALSE),test!$J$24:$P$28,4,FALSE))/1440),1,0)</f>
        <v>0</v>
      </c>
      <c r="Y62" s="2">
        <f>IF(AND(VLOOKUP(Y$1,test!$A$3:$F$32,5,FALSE) - VLOOKUP($B62,test!$A$3:$G$32,6,FALSE) &gt;= (test!$B$34+VLOOKUP(VLOOKUP($B62,test!$A$2:$I$32,4,FALSE),test!$J$24:$P$28,4,FALSE))/1440),1,0)</f>
        <v>1</v>
      </c>
      <c r="Z62" s="2">
        <f>IF(AND(VLOOKUP(Z$1,test!$A$3:$F$32,5,FALSE) - VLOOKUP($B62,test!$A$3:$G$32,6,FALSE) &gt;= (test!$B$34+VLOOKUP(VLOOKUP($B62,test!$A$2:$I$32,4,FALSE),test!$J$24:$P$28,4,FALSE))/1440),1,0)</f>
        <v>0</v>
      </c>
      <c r="AA62" s="2">
        <f>IF(AND(VLOOKUP(AA$1,test!$A$3:$F$32,5,FALSE) - VLOOKUP($B62,test!$A$3:$G$32,6,FALSE) &gt;= (test!$B$34+VLOOKUP(VLOOKUP($B62,test!$A$2:$I$32,4,FALSE),test!$J$24:$P$28,4,FALSE))/1440),1,0)</f>
        <v>0</v>
      </c>
      <c r="AB62" s="2">
        <f>IF(AND(VLOOKUP(AB$1,test!$A$3:$F$32,5,FALSE) - VLOOKUP($B62,test!$A$3:$G$32,6,FALSE) &gt;= (test!$B$34+VLOOKUP(VLOOKUP($B62,test!$A$2:$I$32,4,FALSE),test!$J$24:$P$28,4,FALSE))/1440),1,0)</f>
        <v>0</v>
      </c>
      <c r="AC62" s="2">
        <f>IF(AND(VLOOKUP(AC$1,test!$A$3:$F$32,5,FALSE) - VLOOKUP($B62,test!$A$3:$G$32,6,FALSE) &gt;= (test!$B$34+VLOOKUP(VLOOKUP($B62,test!$A$2:$I$32,4,FALSE),test!$J$24:$P$28,4,FALSE))/1440),1,0)</f>
        <v>0</v>
      </c>
      <c r="AD62" s="2">
        <f>IF(AND(VLOOKUP(AD$1,test!$A$3:$F$32,5,FALSE) - VLOOKUP($B62,test!$A$3:$G$32,6,FALSE) &gt;= (test!$B$34+VLOOKUP(VLOOKUP($B62,test!$A$2:$I$32,4,FALSE),test!$J$24:$P$28,4,FALSE))/1440),1,0)</f>
        <v>0</v>
      </c>
      <c r="AE62" s="2">
        <f>IF(AND(VLOOKUP(AE$1,test!$A$3:$F$32,5,FALSE) - VLOOKUP($B62,test!$A$3:$G$32,6,FALSE) &gt;= (test!$B$34+VLOOKUP(VLOOKUP($B62,test!$A$2:$I$32,4,FALSE),test!$J$24:$P$28,4,FALSE))/1440),1,0)</f>
        <v>0</v>
      </c>
      <c r="AF62" s="2">
        <f>IF(AND(VLOOKUP(AF$1,test!$A$3:$F$32,5,FALSE) - VLOOKUP($B62,test!$A$3:$G$32,6,FALSE) &gt;= (test!$B$34+VLOOKUP(VLOOKUP($B62,test!$A$2:$I$32,4,FALSE),test!$J$24:$P$28,4,FALSE))/1440),1,0)</f>
        <v>0</v>
      </c>
      <c r="AG62" s="2">
        <f>IF(AND(VLOOKUP(AG$1,test!$A$3:$F$32,5,FALSE) - VLOOKUP($B62,test!$A$3:$G$32,6,FALSE) &gt;= (test!$B$34+VLOOKUP(VLOOKUP($B62,test!$A$2:$I$32,4,FALSE),test!$J$24:$P$28,4,FALSE))/1440),1,0)</f>
        <v>0</v>
      </c>
    </row>
    <row r="63" spans="1:33" x14ac:dyDescent="0.25">
      <c r="A63" t="s">
        <v>90</v>
      </c>
      <c r="B63" t="s">
        <v>41</v>
      </c>
      <c r="C63">
        <v>0</v>
      </c>
      <c r="D63" s="2">
        <f>IF(AND(VLOOKUP(D$1,test!$A$3:$F$32,5,FALSE) - VLOOKUP($B63,test!$A$3:$G$32,6,FALSE) &gt;= (test!$B$34+VLOOKUP(VLOOKUP($B63,test!$A$2:$I$32,4,FALSE),test!$J$24:$P$28,4,FALSE))/1440),1,0)</f>
        <v>0</v>
      </c>
      <c r="E63" s="2">
        <f>IF(AND(VLOOKUP(E$1,test!$A$3:$F$32,5,FALSE) - VLOOKUP($B63,test!$A$3:$G$32,6,FALSE) &gt;= (test!$B$34+VLOOKUP(VLOOKUP($B63,test!$A$2:$I$32,4,FALSE),test!$J$24:$P$28,4,FALSE))/1440),1,0)</f>
        <v>0</v>
      </c>
      <c r="F63" s="2">
        <f>IF(AND(VLOOKUP(F$1,test!$A$3:$F$32,5,FALSE) - VLOOKUP($B63,test!$A$3:$G$32,6,FALSE) &gt;= (test!$B$34+VLOOKUP(VLOOKUP($B63,test!$A$2:$I$32,4,FALSE),test!$J$24:$P$28,4,FALSE))/1440),1,0)</f>
        <v>0</v>
      </c>
      <c r="G63" s="2">
        <f>IF(AND(VLOOKUP(G$1,test!$A$3:$F$32,5,FALSE) - VLOOKUP($B63,test!$A$3:$G$32,6,FALSE) &gt;= (test!$B$34+VLOOKUP(VLOOKUP($B63,test!$A$2:$I$32,4,FALSE),test!$J$24:$P$28,4,FALSE))/1440),1,0)</f>
        <v>0</v>
      </c>
      <c r="H63" s="2">
        <f>IF(AND(VLOOKUP(H$1,test!$A$3:$F$32,5,FALSE) - VLOOKUP($B63,test!$A$3:$G$32,6,FALSE) &gt;= (test!$B$34+VLOOKUP(VLOOKUP($B63,test!$A$2:$I$32,4,FALSE),test!$J$24:$P$28,4,FALSE))/1440),1,0)</f>
        <v>0</v>
      </c>
      <c r="I63" s="2">
        <f>IF(AND(VLOOKUP(I$1,test!$A$3:$F$32,5,FALSE) - VLOOKUP($B63,test!$A$3:$G$32,6,FALSE) &gt;= (test!$B$34+VLOOKUP(VLOOKUP($B63,test!$A$2:$I$32,4,FALSE),test!$J$24:$P$28,4,FALSE))/1440),1,0)</f>
        <v>0</v>
      </c>
      <c r="J63" s="2">
        <f>IF(AND(VLOOKUP(J$1,test!$A$3:$F$32,5,FALSE) - VLOOKUP($B63,test!$A$3:$G$32,6,FALSE) &gt;= (test!$B$34+VLOOKUP(VLOOKUP($B63,test!$A$2:$I$32,4,FALSE),test!$J$24:$P$28,4,FALSE))/1440),1,0)</f>
        <v>0</v>
      </c>
      <c r="K63" s="2">
        <f>IF(AND(VLOOKUP(K$1,test!$A$3:$F$32,5,FALSE) - VLOOKUP($B63,test!$A$3:$G$32,6,FALSE) &gt;= (test!$B$34+VLOOKUP(VLOOKUP($B63,test!$A$2:$I$32,4,FALSE),test!$J$24:$P$28,4,FALSE))/1440),1,0)</f>
        <v>0</v>
      </c>
      <c r="L63" s="2">
        <f>IF(AND(VLOOKUP(L$1,test!$A$3:$F$32,5,FALSE) - VLOOKUP($B63,test!$A$3:$G$32,6,FALSE) &gt;= (test!$B$34+VLOOKUP(VLOOKUP($B63,test!$A$2:$I$32,4,FALSE),test!$J$24:$P$28,4,FALSE))/1440),1,0)</f>
        <v>0</v>
      </c>
      <c r="M63" s="2">
        <f>IF(AND(VLOOKUP(M$1,test!$A$3:$F$32,5,FALSE) - VLOOKUP($B63,test!$A$3:$G$32,6,FALSE) &gt;= (test!$B$34+VLOOKUP(VLOOKUP($B63,test!$A$2:$I$32,4,FALSE),test!$J$24:$P$28,4,FALSE))/1440),1,0)</f>
        <v>0</v>
      </c>
      <c r="N63" s="2">
        <f>IF(AND(VLOOKUP(N$1,test!$A$3:$F$32,5,FALSE) - VLOOKUP($B63,test!$A$3:$G$32,6,FALSE) &gt;= (test!$B$34+VLOOKUP(VLOOKUP($B63,test!$A$2:$I$32,4,FALSE),test!$J$24:$P$28,4,FALSE))/1440),1,0)</f>
        <v>0</v>
      </c>
      <c r="O63" s="2">
        <f>IF(AND(VLOOKUP(O$1,test!$A$3:$F$32,5,FALSE) - VLOOKUP($B63,test!$A$3:$G$32,6,FALSE) &gt;= (test!$B$34+VLOOKUP(VLOOKUP($B63,test!$A$2:$I$32,4,FALSE),test!$J$24:$P$28,4,FALSE))/1440),1,0)</f>
        <v>0</v>
      </c>
      <c r="P63" s="2">
        <f>IF(AND(VLOOKUP(P$1,test!$A$3:$F$32,5,FALSE) - VLOOKUP($B63,test!$A$3:$G$32,6,FALSE) &gt;= (test!$B$34+VLOOKUP(VLOOKUP($B63,test!$A$2:$I$32,4,FALSE),test!$J$24:$P$28,4,FALSE))/1440),1,0)</f>
        <v>1</v>
      </c>
      <c r="Q63" s="2">
        <f>IF(AND(VLOOKUP(Q$1,test!$A$3:$F$32,5,FALSE) - VLOOKUP($B63,test!$A$3:$G$32,6,FALSE) &gt;= (test!$B$34+VLOOKUP(VLOOKUP($B63,test!$A$2:$I$32,4,FALSE),test!$J$24:$P$28,4,FALSE))/1440),1,0)</f>
        <v>0</v>
      </c>
      <c r="R63" s="2">
        <f>IF(AND(VLOOKUP(R$1,test!$A$3:$F$32,5,FALSE) - VLOOKUP($B63,test!$A$3:$G$32,6,FALSE) &gt;= (test!$B$34+VLOOKUP(VLOOKUP($B63,test!$A$2:$I$32,4,FALSE),test!$J$24:$P$28,4,FALSE))/1440),1,0)</f>
        <v>0</v>
      </c>
      <c r="S63" s="2">
        <f>IF(AND(VLOOKUP(S$1,test!$A$3:$F$32,5,FALSE) - VLOOKUP($B63,test!$A$3:$G$32,6,FALSE) &gt;= (test!$B$34+VLOOKUP(VLOOKUP($B63,test!$A$2:$I$32,4,FALSE),test!$J$24:$P$28,4,FALSE))/1440),1,0)</f>
        <v>0</v>
      </c>
      <c r="T63" s="2">
        <f>IF(AND(VLOOKUP(T$1,test!$A$3:$F$32,5,FALSE) - VLOOKUP($B63,test!$A$3:$G$32,6,FALSE) &gt;= (test!$B$34+VLOOKUP(VLOOKUP($B63,test!$A$2:$I$32,4,FALSE),test!$J$24:$P$28,4,FALSE))/1440),1,0)</f>
        <v>0</v>
      </c>
      <c r="U63" s="2">
        <f>IF(AND(VLOOKUP(U$1,test!$A$3:$F$32,5,FALSE) - VLOOKUP($B63,test!$A$3:$G$32,6,FALSE) &gt;= (test!$B$34+VLOOKUP(VLOOKUP($B63,test!$A$2:$I$32,4,FALSE),test!$J$24:$P$28,4,FALSE))/1440),1,0)</f>
        <v>0</v>
      </c>
      <c r="V63" s="2">
        <f>IF(AND(VLOOKUP(V$1,test!$A$3:$F$32,5,FALSE) - VLOOKUP($B63,test!$A$3:$G$32,6,FALSE) &gt;= (test!$B$34+VLOOKUP(VLOOKUP($B63,test!$A$2:$I$32,4,FALSE),test!$J$24:$P$28,4,FALSE))/1440),1,0)</f>
        <v>0</v>
      </c>
      <c r="W63" s="2">
        <f>IF(AND(VLOOKUP(W$1,test!$A$3:$F$32,5,FALSE) - VLOOKUP($B63,test!$A$3:$G$32,6,FALSE) &gt;= (test!$B$34+VLOOKUP(VLOOKUP($B63,test!$A$2:$I$32,4,FALSE),test!$J$24:$P$28,4,FALSE))/1440),1,0)</f>
        <v>0</v>
      </c>
      <c r="X63" s="2">
        <f>IF(AND(VLOOKUP(X$1,test!$A$3:$F$32,5,FALSE) - VLOOKUP($B63,test!$A$3:$G$32,6,FALSE) &gt;= (test!$B$34+VLOOKUP(VLOOKUP($B63,test!$A$2:$I$32,4,FALSE),test!$J$24:$P$28,4,FALSE))/1440),1,0)</f>
        <v>0</v>
      </c>
      <c r="Y63" s="2">
        <f>IF(AND(VLOOKUP(Y$1,test!$A$3:$F$32,5,FALSE) - VLOOKUP($B63,test!$A$3:$G$32,6,FALSE) &gt;= (test!$B$34+VLOOKUP(VLOOKUP($B63,test!$A$2:$I$32,4,FALSE),test!$J$24:$P$28,4,FALSE))/1440),1,0)</f>
        <v>0</v>
      </c>
      <c r="Z63" s="2">
        <f>IF(AND(VLOOKUP(Z$1,test!$A$3:$F$32,5,FALSE) - VLOOKUP($B63,test!$A$3:$G$32,6,FALSE) &gt;= (test!$B$34+VLOOKUP(VLOOKUP($B63,test!$A$2:$I$32,4,FALSE),test!$J$24:$P$28,4,FALSE))/1440),1,0)</f>
        <v>0</v>
      </c>
      <c r="AA63" s="2">
        <f>IF(AND(VLOOKUP(AA$1,test!$A$3:$F$32,5,FALSE) - VLOOKUP($B63,test!$A$3:$G$32,6,FALSE) &gt;= (test!$B$34+VLOOKUP(VLOOKUP($B63,test!$A$2:$I$32,4,FALSE),test!$J$24:$P$28,4,FALSE))/1440),1,0)</f>
        <v>0</v>
      </c>
      <c r="AB63" s="2">
        <f>IF(AND(VLOOKUP(AB$1,test!$A$3:$F$32,5,FALSE) - VLOOKUP($B63,test!$A$3:$G$32,6,FALSE) &gt;= (test!$B$34+VLOOKUP(VLOOKUP($B63,test!$A$2:$I$32,4,FALSE),test!$J$24:$P$28,4,FALSE))/1440),1,0)</f>
        <v>0</v>
      </c>
      <c r="AC63" s="2">
        <f>IF(AND(VLOOKUP(AC$1,test!$A$3:$F$32,5,FALSE) - VLOOKUP($B63,test!$A$3:$G$32,6,FALSE) &gt;= (test!$B$34+VLOOKUP(VLOOKUP($B63,test!$A$2:$I$32,4,FALSE),test!$J$24:$P$28,4,FALSE))/1440),1,0)</f>
        <v>0</v>
      </c>
      <c r="AD63" s="2">
        <f>IF(AND(VLOOKUP(AD$1,test!$A$3:$F$32,5,FALSE) - VLOOKUP($B63,test!$A$3:$G$32,6,FALSE) &gt;= (test!$B$34+VLOOKUP(VLOOKUP($B63,test!$A$2:$I$32,4,FALSE),test!$J$24:$P$28,4,FALSE))/1440),1,0)</f>
        <v>0</v>
      </c>
      <c r="AE63" s="2">
        <f>IF(AND(VLOOKUP(AE$1,test!$A$3:$F$32,5,FALSE) - VLOOKUP($B63,test!$A$3:$G$32,6,FALSE) &gt;= (test!$B$34+VLOOKUP(VLOOKUP($B63,test!$A$2:$I$32,4,FALSE),test!$J$24:$P$28,4,FALSE))/1440),1,0)</f>
        <v>0</v>
      </c>
      <c r="AF63" s="2">
        <f>IF(AND(VLOOKUP(AF$1,test!$A$3:$F$32,5,FALSE) - VLOOKUP($B63,test!$A$3:$G$32,6,FALSE) &gt;= (test!$B$34+VLOOKUP(VLOOKUP($B63,test!$A$2:$I$32,4,FALSE),test!$J$24:$P$28,4,FALSE))/1440),1,0)</f>
        <v>0</v>
      </c>
      <c r="AG63" s="2">
        <f>IF(AND(VLOOKUP(AG$1,test!$A$3:$F$32,5,FALSE) - VLOOKUP($B63,test!$A$3:$G$32,6,FALSE) &gt;= (test!$B$34+VLOOKUP(VLOOKUP($B63,test!$A$2:$I$32,4,FALSE),test!$J$24:$P$28,4,FALSE))/1440),1,0)</f>
        <v>0</v>
      </c>
    </row>
    <row r="64" spans="1:33" x14ac:dyDescent="0.25">
      <c r="A64" t="s">
        <v>97</v>
      </c>
      <c r="B64" t="s">
        <v>46</v>
      </c>
      <c r="C64">
        <v>0</v>
      </c>
      <c r="D64" s="2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A65" t="s">
        <v>97</v>
      </c>
      <c r="B65" t="s">
        <v>6</v>
      </c>
      <c r="C65">
        <v>0</v>
      </c>
      <c r="D65" s="2">
        <f>IF(AND(VLOOKUP(D$1,test!$A$3:$F$32,5,FALSE) - VLOOKUP($B65,test!$A$3:$G$32,6,FALSE) &gt;= (test!$B$35+VLOOKUP(VLOOKUP($B65,test!$A$2:$I$32,4,FALSE),test!$J$24:$P$28,5,FALSE))/1440),1,0)</f>
        <v>0</v>
      </c>
      <c r="E65" s="2">
        <f>IF(AND(VLOOKUP(E$1,test!$A$3:$F$32,5,FALSE) - VLOOKUP($B65,test!$A$3:$G$32,6,FALSE) &gt;= (test!$B$35+VLOOKUP(VLOOKUP($B65,test!$A$2:$I$32,4,FALSE),test!$J$24:$P$28,5,FALSE))/1440),1,0)</f>
        <v>0</v>
      </c>
      <c r="F65" s="2">
        <f>IF(AND(VLOOKUP(F$1,test!$A$3:$F$32,5,FALSE) - VLOOKUP($B65,test!$A$3:$G$32,6,FALSE) &gt;= (test!$B$35+VLOOKUP(VLOOKUP($B65,test!$A$2:$I$32,4,FALSE),test!$J$24:$P$28,5,FALSE))/1440),1,0)</f>
        <v>1</v>
      </c>
      <c r="G65" s="2">
        <f>IF(AND(VLOOKUP(G$1,test!$A$3:$F$32,5,FALSE) - VLOOKUP($B65,test!$A$3:$G$32,6,FALSE) &gt;= (test!$B$35+VLOOKUP(VLOOKUP($B65,test!$A$2:$I$32,4,FALSE),test!$J$24:$P$28,5,FALSE))/1440),1,0)</f>
        <v>1</v>
      </c>
      <c r="H65" s="2">
        <f>IF(AND(VLOOKUP(H$1,test!$A$3:$F$32,5,FALSE) - VLOOKUP($B65,test!$A$3:$G$32,6,FALSE) &gt;= (test!$B$35+VLOOKUP(VLOOKUP($B65,test!$A$2:$I$32,4,FALSE),test!$J$24:$P$28,5,FALSE))/1440),1,0)</f>
        <v>1</v>
      </c>
      <c r="I65" s="2">
        <f>IF(AND(VLOOKUP(I$1,test!$A$3:$F$32,5,FALSE) - VLOOKUP($B65,test!$A$3:$G$32,6,FALSE) &gt;= (test!$B$35+VLOOKUP(VLOOKUP($B65,test!$A$2:$I$32,4,FALSE),test!$J$24:$P$28,5,FALSE))/1440),1,0)</f>
        <v>1</v>
      </c>
      <c r="J65" s="2">
        <f>IF(AND(VLOOKUP(J$1,test!$A$3:$F$32,5,FALSE) - VLOOKUP($B65,test!$A$3:$G$32,6,FALSE) &gt;= (test!$B$35+VLOOKUP(VLOOKUP($B65,test!$A$2:$I$32,4,FALSE),test!$J$24:$P$28,5,FALSE))/1440),1,0)</f>
        <v>1</v>
      </c>
      <c r="K65" s="2">
        <f>IF(AND(VLOOKUP(K$1,test!$A$3:$F$32,5,FALSE) - VLOOKUP($B65,test!$A$3:$G$32,6,FALSE) &gt;= (test!$B$35+VLOOKUP(VLOOKUP($B65,test!$A$2:$I$32,4,FALSE),test!$J$24:$P$28,5,FALSE))/1440),1,0)</f>
        <v>1</v>
      </c>
      <c r="L65" s="2">
        <f>IF(AND(VLOOKUP(L$1,test!$A$3:$F$32,5,FALSE) - VLOOKUP($B65,test!$A$3:$G$32,6,FALSE) &gt;= (test!$B$35+VLOOKUP(VLOOKUP($B65,test!$A$2:$I$32,4,FALSE),test!$J$24:$P$28,5,FALSE))/1440),1,0)</f>
        <v>0</v>
      </c>
      <c r="M65" s="2">
        <f>IF(AND(VLOOKUP(M$1,test!$A$3:$F$32,5,FALSE) - VLOOKUP($B65,test!$A$3:$G$32,6,FALSE) &gt;= (test!$B$35+VLOOKUP(VLOOKUP($B65,test!$A$2:$I$32,4,FALSE),test!$J$24:$P$28,5,FALSE))/1440),1,0)</f>
        <v>0</v>
      </c>
      <c r="N65" s="2">
        <f>IF(AND(VLOOKUP(N$1,test!$A$3:$F$32,5,FALSE) - VLOOKUP($B65,test!$A$3:$G$32,6,FALSE) &gt;= (test!$B$35+VLOOKUP(VLOOKUP($B65,test!$A$2:$I$32,4,FALSE),test!$J$24:$P$28,5,FALSE))/1440),1,0)</f>
        <v>1</v>
      </c>
      <c r="O65" s="2">
        <f>IF(AND(VLOOKUP(O$1,test!$A$3:$F$32,5,FALSE) - VLOOKUP($B65,test!$A$3:$G$32,6,FALSE) &gt;= (test!$B$35+VLOOKUP(VLOOKUP($B65,test!$A$2:$I$32,4,FALSE),test!$J$24:$P$28,5,FALSE))/1440),1,0)</f>
        <v>1</v>
      </c>
      <c r="P65" s="2">
        <f>IF(AND(VLOOKUP(P$1,test!$A$3:$F$32,5,FALSE) - VLOOKUP($B65,test!$A$3:$G$32,6,FALSE) &gt;= (test!$B$35+VLOOKUP(VLOOKUP($B65,test!$A$2:$I$32,4,FALSE),test!$J$24:$P$28,5,FALSE))/1440),1,0)</f>
        <v>1</v>
      </c>
      <c r="Q65" s="2">
        <f>IF(AND(VLOOKUP(Q$1,test!$A$3:$F$32,5,FALSE) - VLOOKUP($B65,test!$A$3:$G$32,6,FALSE) &gt;= (test!$B$35+VLOOKUP(VLOOKUP($B65,test!$A$2:$I$32,4,FALSE),test!$J$24:$P$28,5,FALSE))/1440),1,0)</f>
        <v>0</v>
      </c>
      <c r="R65" s="2">
        <f>IF(AND(VLOOKUP(R$1,test!$A$3:$F$32,5,FALSE) - VLOOKUP($B65,test!$A$3:$G$32,6,FALSE) &gt;= (test!$B$35+VLOOKUP(VLOOKUP($B65,test!$A$2:$I$32,4,FALSE),test!$J$24:$P$28,5,FALSE))/1440),1,0)</f>
        <v>0</v>
      </c>
      <c r="S65" s="2">
        <f>IF(AND(VLOOKUP(S$1,test!$A$3:$F$32,5,FALSE) - VLOOKUP($B65,test!$A$3:$G$32,6,FALSE) &gt;= (test!$B$35+VLOOKUP(VLOOKUP($B65,test!$A$2:$I$32,4,FALSE),test!$J$24:$P$28,5,FALSE))/1440),1,0)</f>
        <v>0</v>
      </c>
      <c r="T65" s="2">
        <f>IF(AND(VLOOKUP(T$1,test!$A$3:$F$32,5,FALSE) - VLOOKUP($B65,test!$A$3:$G$32,6,FALSE) &gt;= (test!$B$35+VLOOKUP(VLOOKUP($B65,test!$A$2:$I$32,4,FALSE),test!$J$24:$P$28,5,FALSE))/1440),1,0)</f>
        <v>0</v>
      </c>
      <c r="U65" s="2">
        <f>IF(AND(VLOOKUP(U$1,test!$A$3:$F$32,5,FALSE) - VLOOKUP($B65,test!$A$3:$G$32,6,FALSE) &gt;= (test!$B$35+VLOOKUP(VLOOKUP($B65,test!$A$2:$I$32,4,FALSE),test!$J$24:$P$28,5,FALSE))/1440),1,0)</f>
        <v>1</v>
      </c>
      <c r="V65" s="2">
        <f>IF(AND(VLOOKUP(V$1,test!$A$3:$F$32,5,FALSE) - VLOOKUP($B65,test!$A$3:$G$32,6,FALSE) &gt;= (test!$B$35+VLOOKUP(VLOOKUP($B65,test!$A$2:$I$32,4,FALSE),test!$J$24:$P$28,5,FALSE))/1440),1,0)</f>
        <v>1</v>
      </c>
      <c r="W65" s="2">
        <f>IF(AND(VLOOKUP(W$1,test!$A$3:$F$32,5,FALSE) - VLOOKUP($B65,test!$A$3:$G$32,6,FALSE) &gt;= (test!$B$35+VLOOKUP(VLOOKUP($B65,test!$A$2:$I$32,4,FALSE),test!$J$24:$P$28,5,FALSE))/1440),1,0)</f>
        <v>1</v>
      </c>
      <c r="X65" s="2">
        <f>IF(AND(VLOOKUP(X$1,test!$A$3:$F$32,5,FALSE) - VLOOKUP($B65,test!$A$3:$G$32,6,FALSE) &gt;= (test!$B$35+VLOOKUP(VLOOKUP($B65,test!$A$2:$I$32,4,FALSE),test!$J$24:$P$28,5,FALSE))/1440),1,0)</f>
        <v>1</v>
      </c>
      <c r="Y65" s="2">
        <f>IF(AND(VLOOKUP(Y$1,test!$A$3:$F$32,5,FALSE) - VLOOKUP($B65,test!$A$3:$G$32,6,FALSE) &gt;= (test!$B$35+VLOOKUP(VLOOKUP($B65,test!$A$2:$I$32,4,FALSE),test!$J$24:$P$28,5,FALSE))/1440),1,0)</f>
        <v>1</v>
      </c>
      <c r="Z65" s="2">
        <f>IF(AND(VLOOKUP(Z$1,test!$A$3:$F$32,5,FALSE) - VLOOKUP($B65,test!$A$3:$G$32,6,FALSE) &gt;= (test!$B$35+VLOOKUP(VLOOKUP($B65,test!$A$2:$I$32,4,FALSE),test!$J$24:$P$28,5,FALSE))/1440),1,0)</f>
        <v>0</v>
      </c>
      <c r="AA65" s="2">
        <f>IF(AND(VLOOKUP(AA$1,test!$A$3:$F$32,5,FALSE) - VLOOKUP($B65,test!$A$3:$G$32,6,FALSE) &gt;= (test!$B$35+VLOOKUP(VLOOKUP($B65,test!$A$2:$I$32,4,FALSE),test!$J$24:$P$28,5,FALSE))/1440),1,0)</f>
        <v>0</v>
      </c>
      <c r="AB65" s="2">
        <f>IF(AND(VLOOKUP(AB$1,test!$A$3:$F$32,5,FALSE) - VLOOKUP($B65,test!$A$3:$G$32,6,FALSE) &gt;= (test!$B$35+VLOOKUP(VLOOKUP($B65,test!$A$2:$I$32,4,FALSE),test!$J$24:$P$28,5,FALSE))/1440),1,0)</f>
        <v>1</v>
      </c>
      <c r="AC65" s="2">
        <f>IF(AND(VLOOKUP(AC$1,test!$A$3:$F$32,5,FALSE) - VLOOKUP($B65,test!$A$3:$G$32,6,FALSE) &gt;= (test!$B$35+VLOOKUP(VLOOKUP($B65,test!$A$2:$I$32,4,FALSE),test!$J$24:$P$28,5,FALSE))/1440),1,0)</f>
        <v>1</v>
      </c>
      <c r="AD65" s="2">
        <f>IF(AND(VLOOKUP(AD$1,test!$A$3:$F$32,5,FALSE) - VLOOKUP($B65,test!$A$3:$G$32,6,FALSE) &gt;= (test!$B$35+VLOOKUP(VLOOKUP($B65,test!$A$2:$I$32,4,FALSE),test!$J$24:$P$28,5,FALSE))/1440),1,0)</f>
        <v>1</v>
      </c>
      <c r="AE65" s="2">
        <f>IF(AND(VLOOKUP(AE$1,test!$A$3:$F$32,5,FALSE) - VLOOKUP($B65,test!$A$3:$G$32,6,FALSE) &gt;= (test!$B$35+VLOOKUP(VLOOKUP($B65,test!$A$2:$I$32,4,FALSE),test!$J$24:$P$28,5,FALSE))/1440),1,0)</f>
        <v>0</v>
      </c>
      <c r="AF65" s="2">
        <f>IF(AND(VLOOKUP(AF$1,test!$A$3:$F$32,5,FALSE) - VLOOKUP($B65,test!$A$3:$G$32,6,FALSE) &gt;= (test!$B$35+VLOOKUP(VLOOKUP($B65,test!$A$2:$I$32,4,FALSE),test!$J$24:$P$28,5,FALSE))/1440),1,0)</f>
        <v>1</v>
      </c>
      <c r="AG65" s="2">
        <f>IF(AND(VLOOKUP(AG$1,test!$A$3:$F$32,5,FALSE) - VLOOKUP($B65,test!$A$3:$G$32,6,FALSE) &gt;= (test!$B$35+VLOOKUP(VLOOKUP($B65,test!$A$2:$I$32,4,FALSE),test!$J$24:$P$28,5,FALSE))/1440),1,0)</f>
        <v>1</v>
      </c>
    </row>
    <row r="66" spans="1:33" x14ac:dyDescent="0.25">
      <c r="A66" t="s">
        <v>97</v>
      </c>
      <c r="B66" t="s">
        <v>9</v>
      </c>
      <c r="C66">
        <v>0</v>
      </c>
      <c r="D66" s="2">
        <f>IF(AND(VLOOKUP(D$1,test!$A$3:$F$32,5,FALSE) - VLOOKUP($B66,test!$A$3:$G$32,6,FALSE) &gt;= (test!$B$35+VLOOKUP(VLOOKUP($B66,test!$A$2:$I$32,4,FALSE),test!$J$24:$P$28,5,FALSE))/1440),1,0)</f>
        <v>0</v>
      </c>
      <c r="E66" s="2">
        <f>IF(AND(VLOOKUP(E$1,test!$A$3:$F$32,5,FALSE) - VLOOKUP($B66,test!$A$3:$G$32,6,FALSE) &gt;= (test!$B$35+VLOOKUP(VLOOKUP($B66,test!$A$2:$I$32,4,FALSE),test!$J$24:$P$28,5,FALSE))/1440),1,0)</f>
        <v>0</v>
      </c>
      <c r="F66" s="2">
        <f>IF(AND(VLOOKUP(F$1,test!$A$3:$F$32,5,FALSE) - VLOOKUP($B66,test!$A$3:$G$32,6,FALSE) &gt;= (test!$B$35+VLOOKUP(VLOOKUP($B66,test!$A$2:$I$32,4,FALSE),test!$J$24:$P$28,5,FALSE))/1440),1,0)</f>
        <v>0</v>
      </c>
      <c r="G66" s="2">
        <f>IF(AND(VLOOKUP(G$1,test!$A$3:$F$32,5,FALSE) - VLOOKUP($B66,test!$A$3:$G$32,6,FALSE) &gt;= (test!$B$35+VLOOKUP(VLOOKUP($B66,test!$A$2:$I$32,4,FALSE),test!$J$24:$P$28,5,FALSE))/1440),1,0)</f>
        <v>0</v>
      </c>
      <c r="H66" s="2">
        <f>IF(AND(VLOOKUP(H$1,test!$A$3:$F$32,5,FALSE) - VLOOKUP($B66,test!$A$3:$G$32,6,FALSE) &gt;= (test!$B$35+VLOOKUP(VLOOKUP($B66,test!$A$2:$I$32,4,FALSE),test!$J$24:$P$28,5,FALSE))/1440),1,0)</f>
        <v>1</v>
      </c>
      <c r="I66" s="2">
        <f>IF(AND(VLOOKUP(I$1,test!$A$3:$F$32,5,FALSE) - VLOOKUP($B66,test!$A$3:$G$32,6,FALSE) &gt;= (test!$B$35+VLOOKUP(VLOOKUP($B66,test!$A$2:$I$32,4,FALSE),test!$J$24:$P$28,5,FALSE))/1440),1,0)</f>
        <v>1</v>
      </c>
      <c r="J66" s="2">
        <f>IF(AND(VLOOKUP(J$1,test!$A$3:$F$32,5,FALSE) - VLOOKUP($B66,test!$A$3:$G$32,6,FALSE) &gt;= (test!$B$35+VLOOKUP(VLOOKUP($B66,test!$A$2:$I$32,4,FALSE),test!$J$24:$P$28,5,FALSE))/1440),1,0)</f>
        <v>1</v>
      </c>
      <c r="K66" s="2">
        <f>IF(AND(VLOOKUP(K$1,test!$A$3:$F$32,5,FALSE) - VLOOKUP($B66,test!$A$3:$G$32,6,FALSE) &gt;= (test!$B$35+VLOOKUP(VLOOKUP($B66,test!$A$2:$I$32,4,FALSE),test!$J$24:$P$28,5,FALSE))/1440),1,0)</f>
        <v>1</v>
      </c>
      <c r="L66" s="2">
        <f>IF(AND(VLOOKUP(L$1,test!$A$3:$F$32,5,FALSE) - VLOOKUP($B66,test!$A$3:$G$32,6,FALSE) &gt;= (test!$B$35+VLOOKUP(VLOOKUP($B66,test!$A$2:$I$32,4,FALSE),test!$J$24:$P$28,5,FALSE))/1440),1,0)</f>
        <v>0</v>
      </c>
      <c r="M66" s="2">
        <f>IF(AND(VLOOKUP(M$1,test!$A$3:$F$32,5,FALSE) - VLOOKUP($B66,test!$A$3:$G$32,6,FALSE) &gt;= (test!$B$35+VLOOKUP(VLOOKUP($B66,test!$A$2:$I$32,4,FALSE),test!$J$24:$P$28,5,FALSE))/1440),1,0)</f>
        <v>0</v>
      </c>
      <c r="N66" s="2">
        <f>IF(AND(VLOOKUP(N$1,test!$A$3:$F$32,5,FALSE) - VLOOKUP($B66,test!$A$3:$G$32,6,FALSE) &gt;= (test!$B$35+VLOOKUP(VLOOKUP($B66,test!$A$2:$I$32,4,FALSE),test!$J$24:$P$28,5,FALSE))/1440),1,0)</f>
        <v>0</v>
      </c>
      <c r="O66" s="2">
        <f>IF(AND(VLOOKUP(O$1,test!$A$3:$F$32,5,FALSE) - VLOOKUP($B66,test!$A$3:$G$32,6,FALSE) &gt;= (test!$B$35+VLOOKUP(VLOOKUP($B66,test!$A$2:$I$32,4,FALSE),test!$J$24:$P$28,5,FALSE))/1440),1,0)</f>
        <v>1</v>
      </c>
      <c r="P66" s="2">
        <f>IF(AND(VLOOKUP(P$1,test!$A$3:$F$32,5,FALSE) - VLOOKUP($B66,test!$A$3:$G$32,6,FALSE) &gt;= (test!$B$35+VLOOKUP(VLOOKUP($B66,test!$A$2:$I$32,4,FALSE),test!$J$24:$P$28,5,FALSE))/1440),1,0)</f>
        <v>1</v>
      </c>
      <c r="Q66" s="2">
        <f>IF(AND(VLOOKUP(Q$1,test!$A$3:$F$32,5,FALSE) - VLOOKUP($B66,test!$A$3:$G$32,6,FALSE) &gt;= (test!$B$35+VLOOKUP(VLOOKUP($B66,test!$A$2:$I$32,4,FALSE),test!$J$24:$P$28,5,FALSE))/1440),1,0)</f>
        <v>0</v>
      </c>
      <c r="R66" s="2">
        <f>IF(AND(VLOOKUP(R$1,test!$A$3:$F$32,5,FALSE) - VLOOKUP($B66,test!$A$3:$G$32,6,FALSE) &gt;= (test!$B$35+VLOOKUP(VLOOKUP($B66,test!$A$2:$I$32,4,FALSE),test!$J$24:$P$28,5,FALSE))/1440),1,0)</f>
        <v>0</v>
      </c>
      <c r="S66" s="2">
        <f>IF(AND(VLOOKUP(S$1,test!$A$3:$F$32,5,FALSE) - VLOOKUP($B66,test!$A$3:$G$32,6,FALSE) &gt;= (test!$B$35+VLOOKUP(VLOOKUP($B66,test!$A$2:$I$32,4,FALSE),test!$J$24:$P$28,5,FALSE))/1440),1,0)</f>
        <v>0</v>
      </c>
      <c r="T66" s="2">
        <f>IF(AND(VLOOKUP(T$1,test!$A$3:$F$32,5,FALSE) - VLOOKUP($B66,test!$A$3:$G$32,6,FALSE) &gt;= (test!$B$35+VLOOKUP(VLOOKUP($B66,test!$A$2:$I$32,4,FALSE),test!$J$24:$P$28,5,FALSE))/1440),1,0)</f>
        <v>0</v>
      </c>
      <c r="U66" s="2">
        <f>IF(AND(VLOOKUP(U$1,test!$A$3:$F$32,5,FALSE) - VLOOKUP($B66,test!$A$3:$G$32,6,FALSE) &gt;= (test!$B$35+VLOOKUP(VLOOKUP($B66,test!$A$2:$I$32,4,FALSE),test!$J$24:$P$28,5,FALSE))/1440),1,0)</f>
        <v>0</v>
      </c>
      <c r="V66" s="2">
        <f>IF(AND(VLOOKUP(V$1,test!$A$3:$F$32,5,FALSE) - VLOOKUP($B66,test!$A$3:$G$32,6,FALSE) &gt;= (test!$B$35+VLOOKUP(VLOOKUP($B66,test!$A$2:$I$32,4,FALSE),test!$J$24:$P$28,5,FALSE))/1440),1,0)</f>
        <v>0</v>
      </c>
      <c r="W66" s="2">
        <f>IF(AND(VLOOKUP(W$1,test!$A$3:$F$32,5,FALSE) - VLOOKUP($B66,test!$A$3:$G$32,6,FALSE) &gt;= (test!$B$35+VLOOKUP(VLOOKUP($B66,test!$A$2:$I$32,4,FALSE),test!$J$24:$P$28,5,FALSE))/1440),1,0)</f>
        <v>1</v>
      </c>
      <c r="X66" s="2">
        <f>IF(AND(VLOOKUP(X$1,test!$A$3:$F$32,5,FALSE) - VLOOKUP($B66,test!$A$3:$G$32,6,FALSE) &gt;= (test!$B$35+VLOOKUP(VLOOKUP($B66,test!$A$2:$I$32,4,FALSE),test!$J$24:$P$28,5,FALSE))/1440),1,0)</f>
        <v>1</v>
      </c>
      <c r="Y66" s="2">
        <f>IF(AND(VLOOKUP(Y$1,test!$A$3:$F$32,5,FALSE) - VLOOKUP($B66,test!$A$3:$G$32,6,FALSE) &gt;= (test!$B$35+VLOOKUP(VLOOKUP($B66,test!$A$2:$I$32,4,FALSE),test!$J$24:$P$28,5,FALSE))/1440),1,0)</f>
        <v>1</v>
      </c>
      <c r="Z66" s="2">
        <f>IF(AND(VLOOKUP(Z$1,test!$A$3:$F$32,5,FALSE) - VLOOKUP($B66,test!$A$3:$G$32,6,FALSE) &gt;= (test!$B$35+VLOOKUP(VLOOKUP($B66,test!$A$2:$I$32,4,FALSE),test!$J$24:$P$28,5,FALSE))/1440),1,0)</f>
        <v>0</v>
      </c>
      <c r="AA66" s="2">
        <f>IF(AND(VLOOKUP(AA$1,test!$A$3:$F$32,5,FALSE) - VLOOKUP($B66,test!$A$3:$G$32,6,FALSE) &gt;= (test!$B$35+VLOOKUP(VLOOKUP($B66,test!$A$2:$I$32,4,FALSE),test!$J$24:$P$28,5,FALSE))/1440),1,0)</f>
        <v>0</v>
      </c>
      <c r="AB66" s="2">
        <f>IF(AND(VLOOKUP(AB$1,test!$A$3:$F$32,5,FALSE) - VLOOKUP($B66,test!$A$3:$G$32,6,FALSE) &gt;= (test!$B$35+VLOOKUP(VLOOKUP($B66,test!$A$2:$I$32,4,FALSE),test!$J$24:$P$28,5,FALSE))/1440),1,0)</f>
        <v>0</v>
      </c>
      <c r="AC66" s="2">
        <f>IF(AND(VLOOKUP(AC$1,test!$A$3:$F$32,5,FALSE) - VLOOKUP($B66,test!$A$3:$G$32,6,FALSE) &gt;= (test!$B$35+VLOOKUP(VLOOKUP($B66,test!$A$2:$I$32,4,FALSE),test!$J$24:$P$28,5,FALSE))/1440),1,0)</f>
        <v>0</v>
      </c>
      <c r="AD66" s="2">
        <f>IF(AND(VLOOKUP(AD$1,test!$A$3:$F$32,5,FALSE) - VLOOKUP($B66,test!$A$3:$G$32,6,FALSE) &gt;= (test!$B$35+VLOOKUP(VLOOKUP($B66,test!$A$2:$I$32,4,FALSE),test!$J$24:$P$28,5,FALSE))/1440),1,0)</f>
        <v>1</v>
      </c>
      <c r="AE66" s="2">
        <f>IF(AND(VLOOKUP(AE$1,test!$A$3:$F$32,5,FALSE) - VLOOKUP($B66,test!$A$3:$G$32,6,FALSE) &gt;= (test!$B$35+VLOOKUP(VLOOKUP($B66,test!$A$2:$I$32,4,FALSE),test!$J$24:$P$28,5,FALSE))/1440),1,0)</f>
        <v>0</v>
      </c>
      <c r="AF66" s="2">
        <f>IF(AND(VLOOKUP(AF$1,test!$A$3:$F$32,5,FALSE) - VLOOKUP($B66,test!$A$3:$G$32,6,FALSE) &gt;= (test!$B$35+VLOOKUP(VLOOKUP($B66,test!$A$2:$I$32,4,FALSE),test!$J$24:$P$28,5,FALSE))/1440),1,0)</f>
        <v>0</v>
      </c>
      <c r="AG66" s="2">
        <f>IF(AND(VLOOKUP(AG$1,test!$A$3:$F$32,5,FALSE) - VLOOKUP($B66,test!$A$3:$G$32,6,FALSE) &gt;= (test!$B$35+VLOOKUP(VLOOKUP($B66,test!$A$2:$I$32,4,FALSE),test!$J$24:$P$28,5,FALSE))/1440),1,0)</f>
        <v>0</v>
      </c>
    </row>
    <row r="67" spans="1:33" x14ac:dyDescent="0.25">
      <c r="A67" t="s">
        <v>97</v>
      </c>
      <c r="B67" t="s">
        <v>10</v>
      </c>
      <c r="C67">
        <v>0</v>
      </c>
      <c r="D67" s="2">
        <f>IF(AND(VLOOKUP(D$1,test!$A$3:$F$32,5,FALSE) - VLOOKUP($B67,test!$A$3:$G$32,6,FALSE) &gt;= (test!$B$35+VLOOKUP(VLOOKUP($B67,test!$A$2:$I$32,4,FALSE),test!$J$24:$P$28,5,FALSE))/1440),1,0)</f>
        <v>0</v>
      </c>
      <c r="E67" s="2">
        <f>IF(AND(VLOOKUP(E$1,test!$A$3:$F$32,5,FALSE) - VLOOKUP($B67,test!$A$3:$G$32,6,FALSE) &gt;= (test!$B$35+VLOOKUP(VLOOKUP($B67,test!$A$2:$I$32,4,FALSE),test!$J$24:$P$28,5,FALSE))/1440),1,0)</f>
        <v>0</v>
      </c>
      <c r="F67" s="2">
        <f>IF(AND(VLOOKUP(F$1,test!$A$3:$F$32,5,FALSE) - VLOOKUP($B67,test!$A$3:$G$32,6,FALSE) &gt;= (test!$B$35+VLOOKUP(VLOOKUP($B67,test!$A$2:$I$32,4,FALSE),test!$J$24:$P$28,5,FALSE))/1440),1,0)</f>
        <v>0</v>
      </c>
      <c r="G67" s="2">
        <f>IF(AND(VLOOKUP(G$1,test!$A$3:$F$32,5,FALSE) - VLOOKUP($B67,test!$A$3:$G$32,6,FALSE) &gt;= (test!$B$35+VLOOKUP(VLOOKUP($B67,test!$A$2:$I$32,4,FALSE),test!$J$24:$P$28,5,FALSE))/1440),1,0)</f>
        <v>0</v>
      </c>
      <c r="H67" s="2">
        <f>IF(AND(VLOOKUP(H$1,test!$A$3:$F$32,5,FALSE) - VLOOKUP($B67,test!$A$3:$G$32,6,FALSE) &gt;= (test!$B$35+VLOOKUP(VLOOKUP($B67,test!$A$2:$I$32,4,FALSE),test!$J$24:$P$28,5,FALSE))/1440),1,0)</f>
        <v>0</v>
      </c>
      <c r="I67" s="2">
        <f>IF(AND(VLOOKUP(I$1,test!$A$3:$F$32,5,FALSE) - VLOOKUP($B67,test!$A$3:$G$32,6,FALSE) &gt;= (test!$B$35+VLOOKUP(VLOOKUP($B67,test!$A$2:$I$32,4,FALSE),test!$J$24:$P$28,5,FALSE))/1440),1,0)</f>
        <v>1</v>
      </c>
      <c r="J67" s="2">
        <f>IF(AND(VLOOKUP(J$1,test!$A$3:$F$32,5,FALSE) - VLOOKUP($B67,test!$A$3:$G$32,6,FALSE) &gt;= (test!$B$35+VLOOKUP(VLOOKUP($B67,test!$A$2:$I$32,4,FALSE),test!$J$24:$P$28,5,FALSE))/1440),1,0)</f>
        <v>1</v>
      </c>
      <c r="K67" s="2">
        <f>IF(AND(VLOOKUP(K$1,test!$A$3:$F$32,5,FALSE) - VLOOKUP($B67,test!$A$3:$G$32,6,FALSE) &gt;= (test!$B$35+VLOOKUP(VLOOKUP($B67,test!$A$2:$I$32,4,FALSE),test!$J$24:$P$28,5,FALSE))/1440),1,0)</f>
        <v>1</v>
      </c>
      <c r="L67" s="2">
        <f>IF(AND(VLOOKUP(L$1,test!$A$3:$F$32,5,FALSE) - VLOOKUP($B67,test!$A$3:$G$32,6,FALSE) &gt;= (test!$B$35+VLOOKUP(VLOOKUP($B67,test!$A$2:$I$32,4,FALSE),test!$J$24:$P$28,5,FALSE))/1440),1,0)</f>
        <v>0</v>
      </c>
      <c r="M67" s="2">
        <f>IF(AND(VLOOKUP(M$1,test!$A$3:$F$32,5,FALSE) - VLOOKUP($B67,test!$A$3:$G$32,6,FALSE) &gt;= (test!$B$35+VLOOKUP(VLOOKUP($B67,test!$A$2:$I$32,4,FALSE),test!$J$24:$P$28,5,FALSE))/1440),1,0)</f>
        <v>0</v>
      </c>
      <c r="N67" s="2">
        <f>IF(AND(VLOOKUP(N$1,test!$A$3:$F$32,5,FALSE) - VLOOKUP($B67,test!$A$3:$G$32,6,FALSE) &gt;= (test!$B$35+VLOOKUP(VLOOKUP($B67,test!$A$2:$I$32,4,FALSE),test!$J$24:$P$28,5,FALSE))/1440),1,0)</f>
        <v>0</v>
      </c>
      <c r="O67" s="2">
        <f>IF(AND(VLOOKUP(O$1,test!$A$3:$F$32,5,FALSE) - VLOOKUP($B67,test!$A$3:$G$32,6,FALSE) &gt;= (test!$B$35+VLOOKUP(VLOOKUP($B67,test!$A$2:$I$32,4,FALSE),test!$J$24:$P$28,5,FALSE))/1440),1,0)</f>
        <v>1</v>
      </c>
      <c r="P67" s="2">
        <f>IF(AND(VLOOKUP(P$1,test!$A$3:$F$32,5,FALSE) - VLOOKUP($B67,test!$A$3:$G$32,6,FALSE) &gt;= (test!$B$35+VLOOKUP(VLOOKUP($B67,test!$A$2:$I$32,4,FALSE),test!$J$24:$P$28,5,FALSE))/1440),1,0)</f>
        <v>1</v>
      </c>
      <c r="Q67" s="2">
        <f>IF(AND(VLOOKUP(Q$1,test!$A$3:$F$32,5,FALSE) - VLOOKUP($B67,test!$A$3:$G$32,6,FALSE) &gt;= (test!$B$35+VLOOKUP(VLOOKUP($B67,test!$A$2:$I$32,4,FALSE),test!$J$24:$P$28,5,FALSE))/1440),1,0)</f>
        <v>0</v>
      </c>
      <c r="R67" s="2">
        <f>IF(AND(VLOOKUP(R$1,test!$A$3:$F$32,5,FALSE) - VLOOKUP($B67,test!$A$3:$G$32,6,FALSE) &gt;= (test!$B$35+VLOOKUP(VLOOKUP($B67,test!$A$2:$I$32,4,FALSE),test!$J$24:$P$28,5,FALSE))/1440),1,0)</f>
        <v>0</v>
      </c>
      <c r="S67" s="2">
        <f>IF(AND(VLOOKUP(S$1,test!$A$3:$F$32,5,FALSE) - VLOOKUP($B67,test!$A$3:$G$32,6,FALSE) &gt;= (test!$B$35+VLOOKUP(VLOOKUP($B67,test!$A$2:$I$32,4,FALSE),test!$J$24:$P$28,5,FALSE))/1440),1,0)</f>
        <v>0</v>
      </c>
      <c r="T67" s="2">
        <f>IF(AND(VLOOKUP(T$1,test!$A$3:$F$32,5,FALSE) - VLOOKUP($B67,test!$A$3:$G$32,6,FALSE) &gt;= (test!$B$35+VLOOKUP(VLOOKUP($B67,test!$A$2:$I$32,4,FALSE),test!$J$24:$P$28,5,FALSE))/1440),1,0)</f>
        <v>0</v>
      </c>
      <c r="U67" s="2">
        <f>IF(AND(VLOOKUP(U$1,test!$A$3:$F$32,5,FALSE) - VLOOKUP($B67,test!$A$3:$G$32,6,FALSE) &gt;= (test!$B$35+VLOOKUP(VLOOKUP($B67,test!$A$2:$I$32,4,FALSE),test!$J$24:$P$28,5,FALSE))/1440),1,0)</f>
        <v>0</v>
      </c>
      <c r="V67" s="2">
        <f>IF(AND(VLOOKUP(V$1,test!$A$3:$F$32,5,FALSE) - VLOOKUP($B67,test!$A$3:$G$32,6,FALSE) &gt;= (test!$B$35+VLOOKUP(VLOOKUP($B67,test!$A$2:$I$32,4,FALSE),test!$J$24:$P$28,5,FALSE))/1440),1,0)</f>
        <v>0</v>
      </c>
      <c r="W67" s="2">
        <f>IF(AND(VLOOKUP(W$1,test!$A$3:$F$32,5,FALSE) - VLOOKUP($B67,test!$A$3:$G$32,6,FALSE) &gt;= (test!$B$35+VLOOKUP(VLOOKUP($B67,test!$A$2:$I$32,4,FALSE),test!$J$24:$P$28,5,FALSE))/1440),1,0)</f>
        <v>0</v>
      </c>
      <c r="X67" s="2">
        <f>IF(AND(VLOOKUP(X$1,test!$A$3:$F$32,5,FALSE) - VLOOKUP($B67,test!$A$3:$G$32,6,FALSE) &gt;= (test!$B$35+VLOOKUP(VLOOKUP($B67,test!$A$2:$I$32,4,FALSE),test!$J$24:$P$28,5,FALSE))/1440),1,0)</f>
        <v>1</v>
      </c>
      <c r="Y67" s="2">
        <f>IF(AND(VLOOKUP(Y$1,test!$A$3:$F$32,5,FALSE) - VLOOKUP($B67,test!$A$3:$G$32,6,FALSE) &gt;= (test!$B$35+VLOOKUP(VLOOKUP($B67,test!$A$2:$I$32,4,FALSE),test!$J$24:$P$28,5,FALSE))/1440),1,0)</f>
        <v>1</v>
      </c>
      <c r="Z67" s="2">
        <f>IF(AND(VLOOKUP(Z$1,test!$A$3:$F$32,5,FALSE) - VLOOKUP($B67,test!$A$3:$G$32,6,FALSE) &gt;= (test!$B$35+VLOOKUP(VLOOKUP($B67,test!$A$2:$I$32,4,FALSE),test!$J$24:$P$28,5,FALSE))/1440),1,0)</f>
        <v>0</v>
      </c>
      <c r="AA67" s="2">
        <f>IF(AND(VLOOKUP(AA$1,test!$A$3:$F$32,5,FALSE) - VLOOKUP($B67,test!$A$3:$G$32,6,FALSE) &gt;= (test!$B$35+VLOOKUP(VLOOKUP($B67,test!$A$2:$I$32,4,FALSE),test!$J$24:$P$28,5,FALSE))/1440),1,0)</f>
        <v>0</v>
      </c>
      <c r="AB67" s="2">
        <f>IF(AND(VLOOKUP(AB$1,test!$A$3:$F$32,5,FALSE) - VLOOKUP($B67,test!$A$3:$G$32,6,FALSE) &gt;= (test!$B$35+VLOOKUP(VLOOKUP($B67,test!$A$2:$I$32,4,FALSE),test!$J$24:$P$28,5,FALSE))/1440),1,0)</f>
        <v>0</v>
      </c>
      <c r="AC67" s="2">
        <f>IF(AND(VLOOKUP(AC$1,test!$A$3:$F$32,5,FALSE) - VLOOKUP($B67,test!$A$3:$G$32,6,FALSE) &gt;= (test!$B$35+VLOOKUP(VLOOKUP($B67,test!$A$2:$I$32,4,FALSE),test!$J$24:$P$28,5,FALSE))/1440),1,0)</f>
        <v>0</v>
      </c>
      <c r="AD67" s="2">
        <f>IF(AND(VLOOKUP(AD$1,test!$A$3:$F$32,5,FALSE) - VLOOKUP($B67,test!$A$3:$G$32,6,FALSE) &gt;= (test!$B$35+VLOOKUP(VLOOKUP($B67,test!$A$2:$I$32,4,FALSE),test!$J$24:$P$28,5,FALSE))/1440),1,0)</f>
        <v>1</v>
      </c>
      <c r="AE67" s="2">
        <f>IF(AND(VLOOKUP(AE$1,test!$A$3:$F$32,5,FALSE) - VLOOKUP($B67,test!$A$3:$G$32,6,FALSE) &gt;= (test!$B$35+VLOOKUP(VLOOKUP($B67,test!$A$2:$I$32,4,FALSE),test!$J$24:$P$28,5,FALSE))/1440),1,0)</f>
        <v>0</v>
      </c>
      <c r="AF67" s="2">
        <f>IF(AND(VLOOKUP(AF$1,test!$A$3:$F$32,5,FALSE) - VLOOKUP($B67,test!$A$3:$G$32,6,FALSE) &gt;= (test!$B$35+VLOOKUP(VLOOKUP($B67,test!$A$2:$I$32,4,FALSE),test!$J$24:$P$28,5,FALSE))/1440),1,0)</f>
        <v>0</v>
      </c>
      <c r="AG67" s="2">
        <f>IF(AND(VLOOKUP(AG$1,test!$A$3:$F$32,5,FALSE) - VLOOKUP($B67,test!$A$3:$G$32,6,FALSE) &gt;= (test!$B$35+VLOOKUP(VLOOKUP($B67,test!$A$2:$I$32,4,FALSE),test!$J$24:$P$28,5,FALSE))/1440),1,0)</f>
        <v>0</v>
      </c>
    </row>
    <row r="68" spans="1:33" x14ac:dyDescent="0.25">
      <c r="A68" t="s">
        <v>97</v>
      </c>
      <c r="B68" t="s">
        <v>11</v>
      </c>
      <c r="C68">
        <v>0</v>
      </c>
      <c r="D68" s="2">
        <f>IF(AND(VLOOKUP(D$1,test!$A$3:$F$32,5,FALSE) - VLOOKUP($B68,test!$A$3:$G$32,6,FALSE) &gt;= (test!$B$35+VLOOKUP(VLOOKUP($B68,test!$A$2:$I$32,4,FALSE),test!$J$24:$P$28,5,FALSE))/1440),1,0)</f>
        <v>0</v>
      </c>
      <c r="E68" s="2">
        <f>IF(AND(VLOOKUP(E$1,test!$A$3:$F$32,5,FALSE) - VLOOKUP($B68,test!$A$3:$G$32,6,FALSE) &gt;= (test!$B$35+VLOOKUP(VLOOKUP($B68,test!$A$2:$I$32,4,FALSE),test!$J$24:$P$28,5,FALSE))/1440),1,0)</f>
        <v>0</v>
      </c>
      <c r="F68" s="2">
        <f>IF(AND(VLOOKUP(F$1,test!$A$3:$F$32,5,FALSE) - VLOOKUP($B68,test!$A$3:$G$32,6,FALSE) &gt;= (test!$B$35+VLOOKUP(VLOOKUP($B68,test!$A$2:$I$32,4,FALSE),test!$J$24:$P$28,5,FALSE))/1440),1,0)</f>
        <v>0</v>
      </c>
      <c r="G68" s="2">
        <f>IF(AND(VLOOKUP(G$1,test!$A$3:$F$32,5,FALSE) - VLOOKUP($B68,test!$A$3:$G$32,6,FALSE) &gt;= (test!$B$35+VLOOKUP(VLOOKUP($B68,test!$A$2:$I$32,4,FALSE),test!$J$24:$P$28,5,FALSE))/1440),1,0)</f>
        <v>0</v>
      </c>
      <c r="H68" s="2">
        <f>IF(AND(VLOOKUP(H$1,test!$A$3:$F$32,5,FALSE) - VLOOKUP($B68,test!$A$3:$G$32,6,FALSE) &gt;= (test!$B$35+VLOOKUP(VLOOKUP($B68,test!$A$2:$I$32,4,FALSE),test!$J$24:$P$28,5,FALSE))/1440),1,0)</f>
        <v>0</v>
      </c>
      <c r="I68" s="2">
        <f>IF(AND(VLOOKUP(I$1,test!$A$3:$F$32,5,FALSE) - VLOOKUP($B68,test!$A$3:$G$32,6,FALSE) &gt;= (test!$B$35+VLOOKUP(VLOOKUP($B68,test!$A$2:$I$32,4,FALSE),test!$J$24:$P$28,5,FALSE))/1440),1,0)</f>
        <v>0</v>
      </c>
      <c r="J68" s="2">
        <f>IF(AND(VLOOKUP(J$1,test!$A$3:$F$32,5,FALSE) - VLOOKUP($B68,test!$A$3:$G$32,6,FALSE) &gt;= (test!$B$35+VLOOKUP(VLOOKUP($B68,test!$A$2:$I$32,4,FALSE),test!$J$24:$P$28,5,FALSE))/1440),1,0)</f>
        <v>0</v>
      </c>
      <c r="K68" s="2">
        <f>IF(AND(VLOOKUP(K$1,test!$A$3:$F$32,5,FALSE) - VLOOKUP($B68,test!$A$3:$G$32,6,FALSE) &gt;= (test!$B$35+VLOOKUP(VLOOKUP($B68,test!$A$2:$I$32,4,FALSE),test!$J$24:$P$28,5,FALSE))/1440),1,0)</f>
        <v>1</v>
      </c>
      <c r="L68" s="2">
        <f>IF(AND(VLOOKUP(L$1,test!$A$3:$F$32,5,FALSE) - VLOOKUP($B68,test!$A$3:$G$32,6,FALSE) &gt;= (test!$B$35+VLOOKUP(VLOOKUP($B68,test!$A$2:$I$32,4,FALSE),test!$J$24:$P$28,5,FALSE))/1440),1,0)</f>
        <v>0</v>
      </c>
      <c r="M68" s="2">
        <f>IF(AND(VLOOKUP(M$1,test!$A$3:$F$32,5,FALSE) - VLOOKUP($B68,test!$A$3:$G$32,6,FALSE) &gt;= (test!$B$35+VLOOKUP(VLOOKUP($B68,test!$A$2:$I$32,4,FALSE),test!$J$24:$P$28,5,FALSE))/1440),1,0)</f>
        <v>0</v>
      </c>
      <c r="N68" s="2">
        <f>IF(AND(VLOOKUP(N$1,test!$A$3:$F$32,5,FALSE) - VLOOKUP($B68,test!$A$3:$G$32,6,FALSE) &gt;= (test!$B$35+VLOOKUP(VLOOKUP($B68,test!$A$2:$I$32,4,FALSE),test!$J$24:$P$28,5,FALSE))/1440),1,0)</f>
        <v>0</v>
      </c>
      <c r="O68" s="2">
        <f>IF(AND(VLOOKUP(O$1,test!$A$3:$F$32,5,FALSE) - VLOOKUP($B68,test!$A$3:$G$32,6,FALSE) &gt;= (test!$B$35+VLOOKUP(VLOOKUP($B68,test!$A$2:$I$32,4,FALSE),test!$J$24:$P$28,5,FALSE))/1440),1,0)</f>
        <v>1</v>
      </c>
      <c r="P68" s="2">
        <f>IF(AND(VLOOKUP(P$1,test!$A$3:$F$32,5,FALSE) - VLOOKUP($B68,test!$A$3:$G$32,6,FALSE) &gt;= (test!$B$35+VLOOKUP(VLOOKUP($B68,test!$A$2:$I$32,4,FALSE),test!$J$24:$P$28,5,FALSE))/1440),1,0)</f>
        <v>1</v>
      </c>
      <c r="Q68" s="2">
        <f>IF(AND(VLOOKUP(Q$1,test!$A$3:$F$32,5,FALSE) - VLOOKUP($B68,test!$A$3:$G$32,6,FALSE) &gt;= (test!$B$35+VLOOKUP(VLOOKUP($B68,test!$A$2:$I$32,4,FALSE),test!$J$24:$P$28,5,FALSE))/1440),1,0)</f>
        <v>0</v>
      </c>
      <c r="R68" s="2">
        <f>IF(AND(VLOOKUP(R$1,test!$A$3:$F$32,5,FALSE) - VLOOKUP($B68,test!$A$3:$G$32,6,FALSE) &gt;= (test!$B$35+VLOOKUP(VLOOKUP($B68,test!$A$2:$I$32,4,FALSE),test!$J$24:$P$28,5,FALSE))/1440),1,0)</f>
        <v>0</v>
      </c>
      <c r="S68" s="2">
        <f>IF(AND(VLOOKUP(S$1,test!$A$3:$F$32,5,FALSE) - VLOOKUP($B68,test!$A$3:$G$32,6,FALSE) &gt;= (test!$B$35+VLOOKUP(VLOOKUP($B68,test!$A$2:$I$32,4,FALSE),test!$J$24:$P$28,5,FALSE))/1440),1,0)</f>
        <v>0</v>
      </c>
      <c r="T68" s="2">
        <f>IF(AND(VLOOKUP(T$1,test!$A$3:$F$32,5,FALSE) - VLOOKUP($B68,test!$A$3:$G$32,6,FALSE) &gt;= (test!$B$35+VLOOKUP(VLOOKUP($B68,test!$A$2:$I$32,4,FALSE),test!$J$24:$P$28,5,FALSE))/1440),1,0)</f>
        <v>0</v>
      </c>
      <c r="U68" s="2">
        <f>IF(AND(VLOOKUP(U$1,test!$A$3:$F$32,5,FALSE) - VLOOKUP($B68,test!$A$3:$G$32,6,FALSE) &gt;= (test!$B$35+VLOOKUP(VLOOKUP($B68,test!$A$2:$I$32,4,FALSE),test!$J$24:$P$28,5,FALSE))/1440),1,0)</f>
        <v>0</v>
      </c>
      <c r="V68" s="2">
        <f>IF(AND(VLOOKUP(V$1,test!$A$3:$F$32,5,FALSE) - VLOOKUP($B68,test!$A$3:$G$32,6,FALSE) &gt;= (test!$B$35+VLOOKUP(VLOOKUP($B68,test!$A$2:$I$32,4,FALSE),test!$J$24:$P$28,5,FALSE))/1440),1,0)</f>
        <v>0</v>
      </c>
      <c r="W68" s="2">
        <f>IF(AND(VLOOKUP(W$1,test!$A$3:$F$32,5,FALSE) - VLOOKUP($B68,test!$A$3:$G$32,6,FALSE) &gt;= (test!$B$35+VLOOKUP(VLOOKUP($B68,test!$A$2:$I$32,4,FALSE),test!$J$24:$P$28,5,FALSE))/1440),1,0)</f>
        <v>0</v>
      </c>
      <c r="X68" s="2">
        <f>IF(AND(VLOOKUP(X$1,test!$A$3:$F$32,5,FALSE) - VLOOKUP($B68,test!$A$3:$G$32,6,FALSE) &gt;= (test!$B$35+VLOOKUP(VLOOKUP($B68,test!$A$2:$I$32,4,FALSE),test!$J$24:$P$28,5,FALSE))/1440),1,0)</f>
        <v>0</v>
      </c>
      <c r="Y68" s="2">
        <f>IF(AND(VLOOKUP(Y$1,test!$A$3:$F$32,5,FALSE) - VLOOKUP($B68,test!$A$3:$G$32,6,FALSE) &gt;= (test!$B$35+VLOOKUP(VLOOKUP($B68,test!$A$2:$I$32,4,FALSE),test!$J$24:$P$28,5,FALSE))/1440),1,0)</f>
        <v>1</v>
      </c>
      <c r="Z68" s="2">
        <f>IF(AND(VLOOKUP(Z$1,test!$A$3:$F$32,5,FALSE) - VLOOKUP($B68,test!$A$3:$G$32,6,FALSE) &gt;= (test!$B$35+VLOOKUP(VLOOKUP($B68,test!$A$2:$I$32,4,FALSE),test!$J$24:$P$28,5,FALSE))/1440),1,0)</f>
        <v>0</v>
      </c>
      <c r="AA68" s="2">
        <f>IF(AND(VLOOKUP(AA$1,test!$A$3:$F$32,5,FALSE) - VLOOKUP($B68,test!$A$3:$G$32,6,FALSE) &gt;= (test!$B$35+VLOOKUP(VLOOKUP($B68,test!$A$2:$I$32,4,FALSE),test!$J$24:$P$28,5,FALSE))/1440),1,0)</f>
        <v>0</v>
      </c>
      <c r="AB68" s="2">
        <f>IF(AND(VLOOKUP(AB$1,test!$A$3:$F$32,5,FALSE) - VLOOKUP($B68,test!$A$3:$G$32,6,FALSE) &gt;= (test!$B$35+VLOOKUP(VLOOKUP($B68,test!$A$2:$I$32,4,FALSE),test!$J$24:$P$28,5,FALSE))/1440),1,0)</f>
        <v>0</v>
      </c>
      <c r="AC68" s="2">
        <f>IF(AND(VLOOKUP(AC$1,test!$A$3:$F$32,5,FALSE) - VLOOKUP($B68,test!$A$3:$G$32,6,FALSE) &gt;= (test!$B$35+VLOOKUP(VLOOKUP($B68,test!$A$2:$I$32,4,FALSE),test!$J$24:$P$28,5,FALSE))/1440),1,0)</f>
        <v>0</v>
      </c>
      <c r="AD68" s="2">
        <f>IF(AND(VLOOKUP(AD$1,test!$A$3:$F$32,5,FALSE) - VLOOKUP($B68,test!$A$3:$G$32,6,FALSE) &gt;= (test!$B$35+VLOOKUP(VLOOKUP($B68,test!$A$2:$I$32,4,FALSE),test!$J$24:$P$28,5,FALSE))/1440),1,0)</f>
        <v>0</v>
      </c>
      <c r="AE68" s="2">
        <f>IF(AND(VLOOKUP(AE$1,test!$A$3:$F$32,5,FALSE) - VLOOKUP($B68,test!$A$3:$G$32,6,FALSE) &gt;= (test!$B$35+VLOOKUP(VLOOKUP($B68,test!$A$2:$I$32,4,FALSE),test!$J$24:$P$28,5,FALSE))/1440),1,0)</f>
        <v>0</v>
      </c>
      <c r="AF68" s="2">
        <f>IF(AND(VLOOKUP(AF$1,test!$A$3:$F$32,5,FALSE) - VLOOKUP($B68,test!$A$3:$G$32,6,FALSE) &gt;= (test!$B$35+VLOOKUP(VLOOKUP($B68,test!$A$2:$I$32,4,FALSE),test!$J$24:$P$28,5,FALSE))/1440),1,0)</f>
        <v>0</v>
      </c>
      <c r="AG68" s="2">
        <f>IF(AND(VLOOKUP(AG$1,test!$A$3:$F$32,5,FALSE) - VLOOKUP($B68,test!$A$3:$G$32,6,FALSE) &gt;= (test!$B$35+VLOOKUP(VLOOKUP($B68,test!$A$2:$I$32,4,FALSE),test!$J$24:$P$28,5,FALSE))/1440),1,0)</f>
        <v>0</v>
      </c>
    </row>
    <row r="69" spans="1:33" x14ac:dyDescent="0.25">
      <c r="A69" t="s">
        <v>97</v>
      </c>
      <c r="B69" t="s">
        <v>12</v>
      </c>
      <c r="C69">
        <v>0</v>
      </c>
      <c r="D69" s="2">
        <f>IF(AND(VLOOKUP(D$1,test!$A$3:$F$32,5,FALSE) - VLOOKUP($B69,test!$A$3:$G$32,6,FALSE) &gt;= (test!$B$35+VLOOKUP(VLOOKUP($B69,test!$A$2:$I$32,4,FALSE),test!$J$24:$P$28,5,FALSE))/1440),1,0)</f>
        <v>0</v>
      </c>
      <c r="E69" s="2">
        <f>IF(AND(VLOOKUP(E$1,test!$A$3:$F$32,5,FALSE) - VLOOKUP($B69,test!$A$3:$G$32,6,FALSE) &gt;= (test!$B$35+VLOOKUP(VLOOKUP($B69,test!$A$2:$I$32,4,FALSE),test!$J$24:$P$28,5,FALSE))/1440),1,0)</f>
        <v>0</v>
      </c>
      <c r="F69" s="2">
        <f>IF(AND(VLOOKUP(F$1,test!$A$3:$F$32,5,FALSE) - VLOOKUP($B69,test!$A$3:$G$32,6,FALSE) &gt;= (test!$B$35+VLOOKUP(VLOOKUP($B69,test!$A$2:$I$32,4,FALSE),test!$J$24:$P$28,5,FALSE))/1440),1,0)</f>
        <v>0</v>
      </c>
      <c r="G69" s="2">
        <f>IF(AND(VLOOKUP(G$1,test!$A$3:$F$32,5,FALSE) - VLOOKUP($B69,test!$A$3:$G$32,6,FALSE) &gt;= (test!$B$35+VLOOKUP(VLOOKUP($B69,test!$A$2:$I$32,4,FALSE),test!$J$24:$P$28,5,FALSE))/1440),1,0)</f>
        <v>0</v>
      </c>
      <c r="H69" s="2">
        <f>IF(AND(VLOOKUP(H$1,test!$A$3:$F$32,5,FALSE) - VLOOKUP($B69,test!$A$3:$G$32,6,FALSE) &gt;= (test!$B$35+VLOOKUP(VLOOKUP($B69,test!$A$2:$I$32,4,FALSE),test!$J$24:$P$28,5,FALSE))/1440),1,0)</f>
        <v>0</v>
      </c>
      <c r="I69" s="2">
        <f>IF(AND(VLOOKUP(I$1,test!$A$3:$F$32,5,FALSE) - VLOOKUP($B69,test!$A$3:$G$32,6,FALSE) &gt;= (test!$B$35+VLOOKUP(VLOOKUP($B69,test!$A$2:$I$32,4,FALSE),test!$J$24:$P$28,5,FALSE))/1440),1,0)</f>
        <v>0</v>
      </c>
      <c r="J69" s="2">
        <f>IF(AND(VLOOKUP(J$1,test!$A$3:$F$32,5,FALSE) - VLOOKUP($B69,test!$A$3:$G$32,6,FALSE) &gt;= (test!$B$35+VLOOKUP(VLOOKUP($B69,test!$A$2:$I$32,4,FALSE),test!$J$24:$P$28,5,FALSE))/1440),1,0)</f>
        <v>0</v>
      </c>
      <c r="K69" s="2">
        <f>IF(AND(VLOOKUP(K$1,test!$A$3:$F$32,5,FALSE) - VLOOKUP($B69,test!$A$3:$G$32,6,FALSE) &gt;= (test!$B$35+VLOOKUP(VLOOKUP($B69,test!$A$2:$I$32,4,FALSE),test!$J$24:$P$28,5,FALSE))/1440),1,0)</f>
        <v>1</v>
      </c>
      <c r="L69" s="2">
        <f>IF(AND(VLOOKUP(L$1,test!$A$3:$F$32,5,FALSE) - VLOOKUP($B69,test!$A$3:$G$32,6,FALSE) &gt;= (test!$B$35+VLOOKUP(VLOOKUP($B69,test!$A$2:$I$32,4,FALSE),test!$J$24:$P$28,5,FALSE))/1440),1,0)</f>
        <v>0</v>
      </c>
      <c r="M69" s="2">
        <f>IF(AND(VLOOKUP(M$1,test!$A$3:$F$32,5,FALSE) - VLOOKUP($B69,test!$A$3:$G$32,6,FALSE) &gt;= (test!$B$35+VLOOKUP(VLOOKUP($B69,test!$A$2:$I$32,4,FALSE),test!$J$24:$P$28,5,FALSE))/1440),1,0)</f>
        <v>0</v>
      </c>
      <c r="N69" s="2">
        <f>IF(AND(VLOOKUP(N$1,test!$A$3:$F$32,5,FALSE) - VLOOKUP($B69,test!$A$3:$G$32,6,FALSE) &gt;= (test!$B$35+VLOOKUP(VLOOKUP($B69,test!$A$2:$I$32,4,FALSE),test!$J$24:$P$28,5,FALSE))/1440),1,0)</f>
        <v>0</v>
      </c>
      <c r="O69" s="2">
        <f>IF(AND(VLOOKUP(O$1,test!$A$3:$F$32,5,FALSE) - VLOOKUP($B69,test!$A$3:$G$32,6,FALSE) &gt;= (test!$B$35+VLOOKUP(VLOOKUP($B69,test!$A$2:$I$32,4,FALSE),test!$J$24:$P$28,5,FALSE))/1440),1,0)</f>
        <v>0</v>
      </c>
      <c r="P69" s="2">
        <f>IF(AND(VLOOKUP(P$1,test!$A$3:$F$32,5,FALSE) - VLOOKUP($B69,test!$A$3:$G$32,6,FALSE) &gt;= (test!$B$35+VLOOKUP(VLOOKUP($B69,test!$A$2:$I$32,4,FALSE),test!$J$24:$P$28,5,FALSE))/1440),1,0)</f>
        <v>1</v>
      </c>
      <c r="Q69" s="2">
        <f>IF(AND(VLOOKUP(Q$1,test!$A$3:$F$32,5,FALSE) - VLOOKUP($B69,test!$A$3:$G$32,6,FALSE) &gt;= (test!$B$35+VLOOKUP(VLOOKUP($B69,test!$A$2:$I$32,4,FALSE),test!$J$24:$P$28,5,FALSE))/1440),1,0)</f>
        <v>0</v>
      </c>
      <c r="R69" s="2">
        <f>IF(AND(VLOOKUP(R$1,test!$A$3:$F$32,5,FALSE) - VLOOKUP($B69,test!$A$3:$G$32,6,FALSE) &gt;= (test!$B$35+VLOOKUP(VLOOKUP($B69,test!$A$2:$I$32,4,FALSE),test!$J$24:$P$28,5,FALSE))/1440),1,0)</f>
        <v>0</v>
      </c>
      <c r="S69" s="2">
        <f>IF(AND(VLOOKUP(S$1,test!$A$3:$F$32,5,FALSE) - VLOOKUP($B69,test!$A$3:$G$32,6,FALSE) &gt;= (test!$B$35+VLOOKUP(VLOOKUP($B69,test!$A$2:$I$32,4,FALSE),test!$J$24:$P$28,5,FALSE))/1440),1,0)</f>
        <v>0</v>
      </c>
      <c r="T69" s="2">
        <f>IF(AND(VLOOKUP(T$1,test!$A$3:$F$32,5,FALSE) - VLOOKUP($B69,test!$A$3:$G$32,6,FALSE) &gt;= (test!$B$35+VLOOKUP(VLOOKUP($B69,test!$A$2:$I$32,4,FALSE),test!$J$24:$P$28,5,FALSE))/1440),1,0)</f>
        <v>0</v>
      </c>
      <c r="U69" s="2">
        <f>IF(AND(VLOOKUP(U$1,test!$A$3:$F$32,5,FALSE) - VLOOKUP($B69,test!$A$3:$G$32,6,FALSE) &gt;= (test!$B$35+VLOOKUP(VLOOKUP($B69,test!$A$2:$I$32,4,FALSE),test!$J$24:$P$28,5,FALSE))/1440),1,0)</f>
        <v>0</v>
      </c>
      <c r="V69" s="2">
        <f>IF(AND(VLOOKUP(V$1,test!$A$3:$F$32,5,FALSE) - VLOOKUP($B69,test!$A$3:$G$32,6,FALSE) &gt;= (test!$B$35+VLOOKUP(VLOOKUP($B69,test!$A$2:$I$32,4,FALSE),test!$J$24:$P$28,5,FALSE))/1440),1,0)</f>
        <v>0</v>
      </c>
      <c r="W69" s="2">
        <f>IF(AND(VLOOKUP(W$1,test!$A$3:$F$32,5,FALSE) - VLOOKUP($B69,test!$A$3:$G$32,6,FALSE) &gt;= (test!$B$35+VLOOKUP(VLOOKUP($B69,test!$A$2:$I$32,4,FALSE),test!$J$24:$P$28,5,FALSE))/1440),1,0)</f>
        <v>0</v>
      </c>
      <c r="X69" s="2">
        <f>IF(AND(VLOOKUP(X$1,test!$A$3:$F$32,5,FALSE) - VLOOKUP($B69,test!$A$3:$G$32,6,FALSE) &gt;= (test!$B$35+VLOOKUP(VLOOKUP($B69,test!$A$2:$I$32,4,FALSE),test!$J$24:$P$28,5,FALSE))/1440),1,0)</f>
        <v>0</v>
      </c>
      <c r="Y69" s="2">
        <f>IF(AND(VLOOKUP(Y$1,test!$A$3:$F$32,5,FALSE) - VLOOKUP($B69,test!$A$3:$G$32,6,FALSE) &gt;= (test!$B$35+VLOOKUP(VLOOKUP($B69,test!$A$2:$I$32,4,FALSE),test!$J$24:$P$28,5,FALSE))/1440),1,0)</f>
        <v>0</v>
      </c>
      <c r="Z69" s="2">
        <f>IF(AND(VLOOKUP(Z$1,test!$A$3:$F$32,5,FALSE) - VLOOKUP($B69,test!$A$3:$G$32,6,FALSE) &gt;= (test!$B$35+VLOOKUP(VLOOKUP($B69,test!$A$2:$I$32,4,FALSE),test!$J$24:$P$28,5,FALSE))/1440),1,0)</f>
        <v>0</v>
      </c>
      <c r="AA69" s="2">
        <f>IF(AND(VLOOKUP(AA$1,test!$A$3:$F$32,5,FALSE) - VLOOKUP($B69,test!$A$3:$G$32,6,FALSE) &gt;= (test!$B$35+VLOOKUP(VLOOKUP($B69,test!$A$2:$I$32,4,FALSE),test!$J$24:$P$28,5,FALSE))/1440),1,0)</f>
        <v>0</v>
      </c>
      <c r="AB69" s="2">
        <f>IF(AND(VLOOKUP(AB$1,test!$A$3:$F$32,5,FALSE) - VLOOKUP($B69,test!$A$3:$G$32,6,FALSE) &gt;= (test!$B$35+VLOOKUP(VLOOKUP($B69,test!$A$2:$I$32,4,FALSE),test!$J$24:$P$28,5,FALSE))/1440),1,0)</f>
        <v>0</v>
      </c>
      <c r="AC69" s="2">
        <f>IF(AND(VLOOKUP(AC$1,test!$A$3:$F$32,5,FALSE) - VLOOKUP($B69,test!$A$3:$G$32,6,FALSE) &gt;= (test!$B$35+VLOOKUP(VLOOKUP($B69,test!$A$2:$I$32,4,FALSE),test!$J$24:$P$28,5,FALSE))/1440),1,0)</f>
        <v>0</v>
      </c>
      <c r="AD69" s="2">
        <f>IF(AND(VLOOKUP(AD$1,test!$A$3:$F$32,5,FALSE) - VLOOKUP($B69,test!$A$3:$G$32,6,FALSE) &gt;= (test!$B$35+VLOOKUP(VLOOKUP($B69,test!$A$2:$I$32,4,FALSE),test!$J$24:$P$28,5,FALSE))/1440),1,0)</f>
        <v>0</v>
      </c>
      <c r="AE69" s="2">
        <f>IF(AND(VLOOKUP(AE$1,test!$A$3:$F$32,5,FALSE) - VLOOKUP($B69,test!$A$3:$G$32,6,FALSE) &gt;= (test!$B$35+VLOOKUP(VLOOKUP($B69,test!$A$2:$I$32,4,FALSE),test!$J$24:$P$28,5,FALSE))/1440),1,0)</f>
        <v>0</v>
      </c>
      <c r="AF69" s="2">
        <f>IF(AND(VLOOKUP(AF$1,test!$A$3:$F$32,5,FALSE) - VLOOKUP($B69,test!$A$3:$G$32,6,FALSE) &gt;= (test!$B$35+VLOOKUP(VLOOKUP($B69,test!$A$2:$I$32,4,FALSE),test!$J$24:$P$28,5,FALSE))/1440),1,0)</f>
        <v>0</v>
      </c>
      <c r="AG69" s="2">
        <f>IF(AND(VLOOKUP(AG$1,test!$A$3:$F$32,5,FALSE) - VLOOKUP($B69,test!$A$3:$G$32,6,FALSE) &gt;= (test!$B$35+VLOOKUP(VLOOKUP($B69,test!$A$2:$I$32,4,FALSE),test!$J$24:$P$28,5,FALSE))/1440),1,0)</f>
        <v>0</v>
      </c>
    </row>
    <row r="70" spans="1:33" x14ac:dyDescent="0.25">
      <c r="A70" t="s">
        <v>97</v>
      </c>
      <c r="B70" t="s">
        <v>13</v>
      </c>
      <c r="C70">
        <v>0</v>
      </c>
      <c r="D70" s="2">
        <f>IF(AND(VLOOKUP(D$1,test!$A$3:$F$32,5,FALSE) - VLOOKUP($B70,test!$A$3:$G$32,6,FALSE) &gt;= (test!$B$35+VLOOKUP(VLOOKUP($B70,test!$A$2:$I$32,4,FALSE),test!$J$24:$P$28,5,FALSE))/1440),1,0)</f>
        <v>0</v>
      </c>
      <c r="E70" s="2">
        <f>IF(AND(VLOOKUP(E$1,test!$A$3:$F$32,5,FALSE) - VLOOKUP($B70,test!$A$3:$G$32,6,FALSE) &gt;= (test!$B$35+VLOOKUP(VLOOKUP($B70,test!$A$2:$I$32,4,FALSE),test!$J$24:$P$28,5,FALSE))/1440),1,0)</f>
        <v>0</v>
      </c>
      <c r="F70" s="2">
        <f>IF(AND(VLOOKUP(F$1,test!$A$3:$F$32,5,FALSE) - VLOOKUP($B70,test!$A$3:$G$32,6,FALSE) &gt;= (test!$B$35+VLOOKUP(VLOOKUP($B70,test!$A$2:$I$32,4,FALSE),test!$J$24:$P$28,5,FALSE))/1440),1,0)</f>
        <v>0</v>
      </c>
      <c r="G70" s="2">
        <f>IF(AND(VLOOKUP(G$1,test!$A$3:$F$32,5,FALSE) - VLOOKUP($B70,test!$A$3:$G$32,6,FALSE) &gt;= (test!$B$35+VLOOKUP(VLOOKUP($B70,test!$A$2:$I$32,4,FALSE),test!$J$24:$P$28,5,FALSE))/1440),1,0)</f>
        <v>0</v>
      </c>
      <c r="H70" s="2">
        <f>IF(AND(VLOOKUP(H$1,test!$A$3:$F$32,5,FALSE) - VLOOKUP($B70,test!$A$3:$G$32,6,FALSE) &gt;= (test!$B$35+VLOOKUP(VLOOKUP($B70,test!$A$2:$I$32,4,FALSE),test!$J$24:$P$28,5,FALSE))/1440),1,0)</f>
        <v>0</v>
      </c>
      <c r="I70" s="2">
        <f>IF(AND(VLOOKUP(I$1,test!$A$3:$F$32,5,FALSE) - VLOOKUP($B70,test!$A$3:$G$32,6,FALSE) &gt;= (test!$B$35+VLOOKUP(VLOOKUP($B70,test!$A$2:$I$32,4,FALSE),test!$J$24:$P$28,5,FALSE))/1440),1,0)</f>
        <v>0</v>
      </c>
      <c r="J70" s="2">
        <f>IF(AND(VLOOKUP(J$1,test!$A$3:$F$32,5,FALSE) - VLOOKUP($B70,test!$A$3:$G$32,6,FALSE) &gt;= (test!$B$35+VLOOKUP(VLOOKUP($B70,test!$A$2:$I$32,4,FALSE),test!$J$24:$P$28,5,FALSE))/1440),1,0)</f>
        <v>0</v>
      </c>
      <c r="K70" s="2">
        <f>IF(AND(VLOOKUP(K$1,test!$A$3:$F$32,5,FALSE) - VLOOKUP($B70,test!$A$3:$G$32,6,FALSE) &gt;= (test!$B$35+VLOOKUP(VLOOKUP($B70,test!$A$2:$I$32,4,FALSE),test!$J$24:$P$28,5,FALSE))/1440),1,0)</f>
        <v>0</v>
      </c>
      <c r="L70" s="2">
        <f>IF(AND(VLOOKUP(L$1,test!$A$3:$F$32,5,FALSE) - VLOOKUP($B70,test!$A$3:$G$32,6,FALSE) &gt;= (test!$B$35+VLOOKUP(VLOOKUP($B70,test!$A$2:$I$32,4,FALSE),test!$J$24:$P$28,5,FALSE))/1440),1,0)</f>
        <v>0</v>
      </c>
      <c r="M70" s="2">
        <f>IF(AND(VLOOKUP(M$1,test!$A$3:$F$32,5,FALSE) - VLOOKUP($B70,test!$A$3:$G$32,6,FALSE) &gt;= (test!$B$35+VLOOKUP(VLOOKUP($B70,test!$A$2:$I$32,4,FALSE),test!$J$24:$P$28,5,FALSE))/1440),1,0)</f>
        <v>0</v>
      </c>
      <c r="N70" s="2">
        <f>IF(AND(VLOOKUP(N$1,test!$A$3:$F$32,5,FALSE) - VLOOKUP($B70,test!$A$3:$G$32,6,FALSE) &gt;= (test!$B$35+VLOOKUP(VLOOKUP($B70,test!$A$2:$I$32,4,FALSE),test!$J$24:$P$28,5,FALSE))/1440),1,0)</f>
        <v>0</v>
      </c>
      <c r="O70" s="2">
        <f>IF(AND(VLOOKUP(O$1,test!$A$3:$F$32,5,FALSE) - VLOOKUP($B70,test!$A$3:$G$32,6,FALSE) &gt;= (test!$B$35+VLOOKUP(VLOOKUP($B70,test!$A$2:$I$32,4,FALSE),test!$J$24:$P$28,5,FALSE))/1440),1,0)</f>
        <v>0</v>
      </c>
      <c r="P70" s="2">
        <f>IF(AND(VLOOKUP(P$1,test!$A$3:$F$32,5,FALSE) - VLOOKUP($B70,test!$A$3:$G$32,6,FALSE) &gt;= (test!$B$35+VLOOKUP(VLOOKUP($B70,test!$A$2:$I$32,4,FALSE),test!$J$24:$P$28,5,FALSE))/1440),1,0)</f>
        <v>0</v>
      </c>
      <c r="Q70" s="2">
        <f>IF(AND(VLOOKUP(Q$1,test!$A$3:$F$32,5,FALSE) - VLOOKUP($B70,test!$A$3:$G$32,6,FALSE) &gt;= (test!$B$35+VLOOKUP(VLOOKUP($B70,test!$A$2:$I$32,4,FALSE),test!$J$24:$P$28,5,FALSE))/1440),1,0)</f>
        <v>0</v>
      </c>
      <c r="R70" s="2">
        <f>IF(AND(VLOOKUP(R$1,test!$A$3:$F$32,5,FALSE) - VLOOKUP($B70,test!$A$3:$G$32,6,FALSE) &gt;= (test!$B$35+VLOOKUP(VLOOKUP($B70,test!$A$2:$I$32,4,FALSE),test!$J$24:$P$28,5,FALSE))/1440),1,0)</f>
        <v>0</v>
      </c>
      <c r="S70" s="2">
        <f>IF(AND(VLOOKUP(S$1,test!$A$3:$F$32,5,FALSE) - VLOOKUP($B70,test!$A$3:$G$32,6,FALSE) &gt;= (test!$B$35+VLOOKUP(VLOOKUP($B70,test!$A$2:$I$32,4,FALSE),test!$J$24:$P$28,5,FALSE))/1440),1,0)</f>
        <v>0</v>
      </c>
      <c r="T70" s="2">
        <f>IF(AND(VLOOKUP(T$1,test!$A$3:$F$32,5,FALSE) - VLOOKUP($B70,test!$A$3:$G$32,6,FALSE) &gt;= (test!$B$35+VLOOKUP(VLOOKUP($B70,test!$A$2:$I$32,4,FALSE),test!$J$24:$P$28,5,FALSE))/1440),1,0)</f>
        <v>0</v>
      </c>
      <c r="U70" s="2">
        <f>IF(AND(VLOOKUP(U$1,test!$A$3:$F$32,5,FALSE) - VLOOKUP($B70,test!$A$3:$G$32,6,FALSE) &gt;= (test!$B$35+VLOOKUP(VLOOKUP($B70,test!$A$2:$I$32,4,FALSE),test!$J$24:$P$28,5,FALSE))/1440),1,0)</f>
        <v>0</v>
      </c>
      <c r="V70" s="2">
        <f>IF(AND(VLOOKUP(V$1,test!$A$3:$F$32,5,FALSE) - VLOOKUP($B70,test!$A$3:$G$32,6,FALSE) &gt;= (test!$B$35+VLOOKUP(VLOOKUP($B70,test!$A$2:$I$32,4,FALSE),test!$J$24:$P$28,5,FALSE))/1440),1,0)</f>
        <v>0</v>
      </c>
      <c r="W70" s="2">
        <f>IF(AND(VLOOKUP(W$1,test!$A$3:$F$32,5,FALSE) - VLOOKUP($B70,test!$A$3:$G$32,6,FALSE) &gt;= (test!$B$35+VLOOKUP(VLOOKUP($B70,test!$A$2:$I$32,4,FALSE),test!$J$24:$P$28,5,FALSE))/1440),1,0)</f>
        <v>0</v>
      </c>
      <c r="X70" s="2">
        <f>IF(AND(VLOOKUP(X$1,test!$A$3:$F$32,5,FALSE) - VLOOKUP($B70,test!$A$3:$G$32,6,FALSE) &gt;= (test!$B$35+VLOOKUP(VLOOKUP($B70,test!$A$2:$I$32,4,FALSE),test!$J$24:$P$28,5,FALSE))/1440),1,0)</f>
        <v>0</v>
      </c>
      <c r="Y70" s="2">
        <f>IF(AND(VLOOKUP(Y$1,test!$A$3:$F$32,5,FALSE) - VLOOKUP($B70,test!$A$3:$G$32,6,FALSE) &gt;= (test!$B$35+VLOOKUP(VLOOKUP($B70,test!$A$2:$I$32,4,FALSE),test!$J$24:$P$28,5,FALSE))/1440),1,0)</f>
        <v>0</v>
      </c>
      <c r="Z70" s="2">
        <f>IF(AND(VLOOKUP(Z$1,test!$A$3:$F$32,5,FALSE) - VLOOKUP($B70,test!$A$3:$G$32,6,FALSE) &gt;= (test!$B$35+VLOOKUP(VLOOKUP($B70,test!$A$2:$I$32,4,FALSE),test!$J$24:$P$28,5,FALSE))/1440),1,0)</f>
        <v>0</v>
      </c>
      <c r="AA70" s="2">
        <f>IF(AND(VLOOKUP(AA$1,test!$A$3:$F$32,5,FALSE) - VLOOKUP($B70,test!$A$3:$G$32,6,FALSE) &gt;= (test!$B$35+VLOOKUP(VLOOKUP($B70,test!$A$2:$I$32,4,FALSE),test!$J$24:$P$28,5,FALSE))/1440),1,0)</f>
        <v>0</v>
      </c>
      <c r="AB70" s="2">
        <f>IF(AND(VLOOKUP(AB$1,test!$A$3:$F$32,5,FALSE) - VLOOKUP($B70,test!$A$3:$G$32,6,FALSE) &gt;= (test!$B$35+VLOOKUP(VLOOKUP($B70,test!$A$2:$I$32,4,FALSE),test!$J$24:$P$28,5,FALSE))/1440),1,0)</f>
        <v>0</v>
      </c>
      <c r="AC70" s="2">
        <f>IF(AND(VLOOKUP(AC$1,test!$A$3:$F$32,5,FALSE) - VLOOKUP($B70,test!$A$3:$G$32,6,FALSE) &gt;= (test!$B$35+VLOOKUP(VLOOKUP($B70,test!$A$2:$I$32,4,FALSE),test!$J$24:$P$28,5,FALSE))/1440),1,0)</f>
        <v>0</v>
      </c>
      <c r="AD70" s="2">
        <f>IF(AND(VLOOKUP(AD$1,test!$A$3:$F$32,5,FALSE) - VLOOKUP($B70,test!$A$3:$G$32,6,FALSE) &gt;= (test!$B$35+VLOOKUP(VLOOKUP($B70,test!$A$2:$I$32,4,FALSE),test!$J$24:$P$28,5,FALSE))/1440),1,0)</f>
        <v>0</v>
      </c>
      <c r="AE70" s="2">
        <f>IF(AND(VLOOKUP(AE$1,test!$A$3:$F$32,5,FALSE) - VLOOKUP($B70,test!$A$3:$G$32,6,FALSE) &gt;= (test!$B$35+VLOOKUP(VLOOKUP($B70,test!$A$2:$I$32,4,FALSE),test!$J$24:$P$28,5,FALSE))/1440),1,0)</f>
        <v>0</v>
      </c>
      <c r="AF70" s="2">
        <f>IF(AND(VLOOKUP(AF$1,test!$A$3:$F$32,5,FALSE) - VLOOKUP($B70,test!$A$3:$G$32,6,FALSE) &gt;= (test!$B$35+VLOOKUP(VLOOKUP($B70,test!$A$2:$I$32,4,FALSE),test!$J$24:$P$28,5,FALSE))/1440),1,0)</f>
        <v>0</v>
      </c>
      <c r="AG70" s="2">
        <f>IF(AND(VLOOKUP(AG$1,test!$A$3:$F$32,5,FALSE) - VLOOKUP($B70,test!$A$3:$G$32,6,FALSE) &gt;= (test!$B$35+VLOOKUP(VLOOKUP($B70,test!$A$2:$I$32,4,FALSE),test!$J$24:$P$28,5,FALSE))/1440),1,0)</f>
        <v>0</v>
      </c>
    </row>
    <row r="71" spans="1:33" x14ac:dyDescent="0.25">
      <c r="A71" t="s">
        <v>97</v>
      </c>
      <c r="B71" t="s">
        <v>14</v>
      </c>
      <c r="C71">
        <v>0</v>
      </c>
      <c r="D71" s="2">
        <f>IF(AND(VLOOKUP(D$1,test!$A$3:$F$32,5,FALSE) - VLOOKUP($B71,test!$A$3:$G$32,6,FALSE) &gt;= (test!$B$35+VLOOKUP(VLOOKUP($B71,test!$A$2:$I$32,4,FALSE),test!$J$24:$P$28,5,FALSE))/1440),1,0)</f>
        <v>0</v>
      </c>
      <c r="E71" s="2">
        <f>IF(AND(VLOOKUP(E$1,test!$A$3:$F$32,5,FALSE) - VLOOKUP($B71,test!$A$3:$G$32,6,FALSE) &gt;= (test!$B$35+VLOOKUP(VLOOKUP($B71,test!$A$2:$I$32,4,FALSE),test!$J$24:$P$28,5,FALSE))/1440),1,0)</f>
        <v>0</v>
      </c>
      <c r="F71" s="2">
        <f>IF(AND(VLOOKUP(F$1,test!$A$3:$F$32,5,FALSE) - VLOOKUP($B71,test!$A$3:$G$32,6,FALSE) &gt;= (test!$B$35+VLOOKUP(VLOOKUP($B71,test!$A$2:$I$32,4,FALSE),test!$J$24:$P$28,5,FALSE))/1440),1,0)</f>
        <v>0</v>
      </c>
      <c r="G71" s="2">
        <f>IF(AND(VLOOKUP(G$1,test!$A$3:$F$32,5,FALSE) - VLOOKUP($B71,test!$A$3:$G$32,6,FALSE) &gt;= (test!$B$35+VLOOKUP(VLOOKUP($B71,test!$A$2:$I$32,4,FALSE),test!$J$24:$P$28,5,FALSE))/1440),1,0)</f>
        <v>0</v>
      </c>
      <c r="H71" s="2">
        <f>IF(AND(VLOOKUP(H$1,test!$A$3:$F$32,5,FALSE) - VLOOKUP($B71,test!$A$3:$G$32,6,FALSE) &gt;= (test!$B$35+VLOOKUP(VLOOKUP($B71,test!$A$2:$I$32,4,FALSE),test!$J$24:$P$28,5,FALSE))/1440),1,0)</f>
        <v>0</v>
      </c>
      <c r="I71" s="2">
        <f>IF(AND(VLOOKUP(I$1,test!$A$3:$F$32,5,FALSE) - VLOOKUP($B71,test!$A$3:$G$32,6,FALSE) &gt;= (test!$B$35+VLOOKUP(VLOOKUP($B71,test!$A$2:$I$32,4,FALSE),test!$J$24:$P$28,5,FALSE))/1440),1,0)</f>
        <v>0</v>
      </c>
      <c r="J71" s="2">
        <f>IF(AND(VLOOKUP(J$1,test!$A$3:$F$32,5,FALSE) - VLOOKUP($B71,test!$A$3:$G$32,6,FALSE) &gt;= (test!$B$35+VLOOKUP(VLOOKUP($B71,test!$A$2:$I$32,4,FALSE),test!$J$24:$P$28,5,FALSE))/1440),1,0)</f>
        <v>0</v>
      </c>
      <c r="K71" s="2">
        <f>IF(AND(VLOOKUP(K$1,test!$A$3:$F$32,5,FALSE) - VLOOKUP($B71,test!$A$3:$G$32,6,FALSE) &gt;= (test!$B$35+VLOOKUP(VLOOKUP($B71,test!$A$2:$I$32,4,FALSE),test!$J$24:$P$28,5,FALSE))/1440),1,0)</f>
        <v>0</v>
      </c>
      <c r="L71" s="2">
        <f>IF(AND(VLOOKUP(L$1,test!$A$3:$F$32,5,FALSE) - VLOOKUP($B71,test!$A$3:$G$32,6,FALSE) &gt;= (test!$B$35+VLOOKUP(VLOOKUP($B71,test!$A$2:$I$32,4,FALSE),test!$J$24:$P$28,5,FALSE))/1440),1,0)</f>
        <v>0</v>
      </c>
      <c r="M71" s="2">
        <f>IF(AND(VLOOKUP(M$1,test!$A$3:$F$32,5,FALSE) - VLOOKUP($B71,test!$A$3:$G$32,6,FALSE) &gt;= (test!$B$35+VLOOKUP(VLOOKUP($B71,test!$A$2:$I$32,4,FALSE),test!$J$24:$P$28,5,FALSE))/1440),1,0)</f>
        <v>0</v>
      </c>
      <c r="N71" s="2">
        <f>IF(AND(VLOOKUP(N$1,test!$A$3:$F$32,5,FALSE) - VLOOKUP($B71,test!$A$3:$G$32,6,FALSE) &gt;= (test!$B$35+VLOOKUP(VLOOKUP($B71,test!$A$2:$I$32,4,FALSE),test!$J$24:$P$28,5,FALSE))/1440),1,0)</f>
        <v>0</v>
      </c>
      <c r="O71" s="2">
        <f>IF(AND(VLOOKUP(O$1,test!$A$3:$F$32,5,FALSE) - VLOOKUP($B71,test!$A$3:$G$32,6,FALSE) &gt;= (test!$B$35+VLOOKUP(VLOOKUP($B71,test!$A$2:$I$32,4,FALSE),test!$J$24:$P$28,5,FALSE))/1440),1,0)</f>
        <v>0</v>
      </c>
      <c r="P71" s="2">
        <f>IF(AND(VLOOKUP(P$1,test!$A$3:$F$32,5,FALSE) - VLOOKUP($B71,test!$A$3:$G$32,6,FALSE) &gt;= (test!$B$35+VLOOKUP(VLOOKUP($B71,test!$A$2:$I$32,4,FALSE),test!$J$24:$P$28,5,FALSE))/1440),1,0)</f>
        <v>0</v>
      </c>
      <c r="Q71" s="2">
        <f>IF(AND(VLOOKUP(Q$1,test!$A$3:$F$32,5,FALSE) - VLOOKUP($B71,test!$A$3:$G$32,6,FALSE) &gt;= (test!$B$35+VLOOKUP(VLOOKUP($B71,test!$A$2:$I$32,4,FALSE),test!$J$24:$P$28,5,FALSE))/1440),1,0)</f>
        <v>0</v>
      </c>
      <c r="R71" s="2">
        <f>IF(AND(VLOOKUP(R$1,test!$A$3:$F$32,5,FALSE) - VLOOKUP($B71,test!$A$3:$G$32,6,FALSE) &gt;= (test!$B$35+VLOOKUP(VLOOKUP($B71,test!$A$2:$I$32,4,FALSE),test!$J$24:$P$28,5,FALSE))/1440),1,0)</f>
        <v>0</v>
      </c>
      <c r="S71" s="2">
        <f>IF(AND(VLOOKUP(S$1,test!$A$3:$F$32,5,FALSE) - VLOOKUP($B71,test!$A$3:$G$32,6,FALSE) &gt;= (test!$B$35+VLOOKUP(VLOOKUP($B71,test!$A$2:$I$32,4,FALSE),test!$J$24:$P$28,5,FALSE))/1440),1,0)</f>
        <v>0</v>
      </c>
      <c r="T71" s="2">
        <f>IF(AND(VLOOKUP(T$1,test!$A$3:$F$32,5,FALSE) - VLOOKUP($B71,test!$A$3:$G$32,6,FALSE) &gt;= (test!$B$35+VLOOKUP(VLOOKUP($B71,test!$A$2:$I$32,4,FALSE),test!$J$24:$P$28,5,FALSE))/1440),1,0)</f>
        <v>0</v>
      </c>
      <c r="U71" s="2">
        <f>IF(AND(VLOOKUP(U$1,test!$A$3:$F$32,5,FALSE) - VLOOKUP($B71,test!$A$3:$G$32,6,FALSE) &gt;= (test!$B$35+VLOOKUP(VLOOKUP($B71,test!$A$2:$I$32,4,FALSE),test!$J$24:$P$28,5,FALSE))/1440),1,0)</f>
        <v>0</v>
      </c>
      <c r="V71" s="2">
        <f>IF(AND(VLOOKUP(V$1,test!$A$3:$F$32,5,FALSE) - VLOOKUP($B71,test!$A$3:$G$32,6,FALSE) &gt;= (test!$B$35+VLOOKUP(VLOOKUP($B71,test!$A$2:$I$32,4,FALSE),test!$J$24:$P$28,5,FALSE))/1440),1,0)</f>
        <v>0</v>
      </c>
      <c r="W71" s="2">
        <f>IF(AND(VLOOKUP(W$1,test!$A$3:$F$32,5,FALSE) - VLOOKUP($B71,test!$A$3:$G$32,6,FALSE) &gt;= (test!$B$35+VLOOKUP(VLOOKUP($B71,test!$A$2:$I$32,4,FALSE),test!$J$24:$P$28,5,FALSE))/1440),1,0)</f>
        <v>0</v>
      </c>
      <c r="X71" s="2">
        <f>IF(AND(VLOOKUP(X$1,test!$A$3:$F$32,5,FALSE) - VLOOKUP($B71,test!$A$3:$G$32,6,FALSE) &gt;= (test!$B$35+VLOOKUP(VLOOKUP($B71,test!$A$2:$I$32,4,FALSE),test!$J$24:$P$28,5,FALSE))/1440),1,0)</f>
        <v>0</v>
      </c>
      <c r="Y71" s="2">
        <f>IF(AND(VLOOKUP(Y$1,test!$A$3:$F$32,5,FALSE) - VLOOKUP($B71,test!$A$3:$G$32,6,FALSE) &gt;= (test!$B$35+VLOOKUP(VLOOKUP($B71,test!$A$2:$I$32,4,FALSE),test!$J$24:$P$28,5,FALSE))/1440),1,0)</f>
        <v>0</v>
      </c>
      <c r="Z71" s="2">
        <f>IF(AND(VLOOKUP(Z$1,test!$A$3:$F$32,5,FALSE) - VLOOKUP($B71,test!$A$3:$G$32,6,FALSE) &gt;= (test!$B$35+VLOOKUP(VLOOKUP($B71,test!$A$2:$I$32,4,FALSE),test!$J$24:$P$28,5,FALSE))/1440),1,0)</f>
        <v>0</v>
      </c>
      <c r="AA71" s="2">
        <f>IF(AND(VLOOKUP(AA$1,test!$A$3:$F$32,5,FALSE) - VLOOKUP($B71,test!$A$3:$G$32,6,FALSE) &gt;= (test!$B$35+VLOOKUP(VLOOKUP($B71,test!$A$2:$I$32,4,FALSE),test!$J$24:$P$28,5,FALSE))/1440),1,0)</f>
        <v>0</v>
      </c>
      <c r="AB71" s="2">
        <f>IF(AND(VLOOKUP(AB$1,test!$A$3:$F$32,5,FALSE) - VLOOKUP($B71,test!$A$3:$G$32,6,FALSE) &gt;= (test!$B$35+VLOOKUP(VLOOKUP($B71,test!$A$2:$I$32,4,FALSE),test!$J$24:$P$28,5,FALSE))/1440),1,0)</f>
        <v>0</v>
      </c>
      <c r="AC71" s="2">
        <f>IF(AND(VLOOKUP(AC$1,test!$A$3:$F$32,5,FALSE) - VLOOKUP($B71,test!$A$3:$G$32,6,FALSE) &gt;= (test!$B$35+VLOOKUP(VLOOKUP($B71,test!$A$2:$I$32,4,FALSE),test!$J$24:$P$28,5,FALSE))/1440),1,0)</f>
        <v>0</v>
      </c>
      <c r="AD71" s="2">
        <f>IF(AND(VLOOKUP(AD$1,test!$A$3:$F$32,5,FALSE) - VLOOKUP($B71,test!$A$3:$G$32,6,FALSE) &gt;= (test!$B$35+VLOOKUP(VLOOKUP($B71,test!$A$2:$I$32,4,FALSE),test!$J$24:$P$28,5,FALSE))/1440),1,0)</f>
        <v>0</v>
      </c>
      <c r="AE71" s="2">
        <f>IF(AND(VLOOKUP(AE$1,test!$A$3:$F$32,5,FALSE) - VLOOKUP($B71,test!$A$3:$G$32,6,FALSE) &gt;= (test!$B$35+VLOOKUP(VLOOKUP($B71,test!$A$2:$I$32,4,FALSE),test!$J$24:$P$28,5,FALSE))/1440),1,0)</f>
        <v>0</v>
      </c>
      <c r="AF71" s="2">
        <f>IF(AND(VLOOKUP(AF$1,test!$A$3:$F$32,5,FALSE) - VLOOKUP($B71,test!$A$3:$G$32,6,FALSE) &gt;= (test!$B$35+VLOOKUP(VLOOKUP($B71,test!$A$2:$I$32,4,FALSE),test!$J$24:$P$28,5,FALSE))/1440),1,0)</f>
        <v>0</v>
      </c>
      <c r="AG71" s="2">
        <f>IF(AND(VLOOKUP(AG$1,test!$A$3:$F$32,5,FALSE) - VLOOKUP($B71,test!$A$3:$G$32,6,FALSE) &gt;= (test!$B$35+VLOOKUP(VLOOKUP($B71,test!$A$2:$I$32,4,FALSE),test!$J$24:$P$28,5,FALSE))/1440),1,0)</f>
        <v>0</v>
      </c>
    </row>
    <row r="72" spans="1:33" x14ac:dyDescent="0.25">
      <c r="A72" t="s">
        <v>97</v>
      </c>
      <c r="B72" t="s">
        <v>15</v>
      </c>
      <c r="C72">
        <v>0</v>
      </c>
      <c r="D72" s="2">
        <f>IF(AND(VLOOKUP(D$1,test!$A$3:$F$32,5,FALSE) - VLOOKUP($B72,test!$A$3:$G$32,6,FALSE) &gt;= (test!$B$35+VLOOKUP(VLOOKUP($B72,test!$A$2:$I$32,4,FALSE),test!$J$24:$P$28,5,FALSE))/1440),1,0)</f>
        <v>0</v>
      </c>
      <c r="E72" s="2">
        <f>IF(AND(VLOOKUP(E$1,test!$A$3:$F$32,5,FALSE) - VLOOKUP($B72,test!$A$3:$G$32,6,FALSE) &gt;= (test!$B$35+VLOOKUP(VLOOKUP($B72,test!$A$2:$I$32,4,FALSE),test!$J$24:$P$28,5,FALSE))/1440),1,0)</f>
        <v>0</v>
      </c>
      <c r="F72" s="2">
        <f>IF(AND(VLOOKUP(F$1,test!$A$3:$F$32,5,FALSE) - VLOOKUP($B72,test!$A$3:$G$32,6,FALSE) &gt;= (test!$B$35+VLOOKUP(VLOOKUP($B72,test!$A$2:$I$32,4,FALSE),test!$J$24:$P$28,5,FALSE))/1440),1,0)</f>
        <v>0</v>
      </c>
      <c r="G72" s="2">
        <f>IF(AND(VLOOKUP(G$1,test!$A$3:$F$32,5,FALSE) - VLOOKUP($B72,test!$A$3:$G$32,6,FALSE) &gt;= (test!$B$35+VLOOKUP(VLOOKUP($B72,test!$A$2:$I$32,4,FALSE),test!$J$24:$P$28,5,FALSE))/1440),1,0)</f>
        <v>0</v>
      </c>
      <c r="H72" s="2">
        <f>IF(AND(VLOOKUP(H$1,test!$A$3:$F$32,5,FALSE) - VLOOKUP($B72,test!$A$3:$G$32,6,FALSE) &gt;= (test!$B$35+VLOOKUP(VLOOKUP($B72,test!$A$2:$I$32,4,FALSE),test!$J$24:$P$28,5,FALSE))/1440),1,0)</f>
        <v>0</v>
      </c>
      <c r="I72" s="2">
        <f>IF(AND(VLOOKUP(I$1,test!$A$3:$F$32,5,FALSE) - VLOOKUP($B72,test!$A$3:$G$32,6,FALSE) &gt;= (test!$B$35+VLOOKUP(VLOOKUP($B72,test!$A$2:$I$32,4,FALSE),test!$J$24:$P$28,5,FALSE))/1440),1,0)</f>
        <v>0</v>
      </c>
      <c r="J72" s="2">
        <f>IF(AND(VLOOKUP(J$1,test!$A$3:$F$32,5,FALSE) - VLOOKUP($B72,test!$A$3:$G$32,6,FALSE) &gt;= (test!$B$35+VLOOKUP(VLOOKUP($B72,test!$A$2:$I$32,4,FALSE),test!$J$24:$P$28,5,FALSE))/1440),1,0)</f>
        <v>0</v>
      </c>
      <c r="K72" s="2">
        <f>IF(AND(VLOOKUP(K$1,test!$A$3:$F$32,5,FALSE) - VLOOKUP($B72,test!$A$3:$G$32,6,FALSE) &gt;= (test!$B$35+VLOOKUP(VLOOKUP($B72,test!$A$2:$I$32,4,FALSE),test!$J$24:$P$28,5,FALSE))/1440),1,0)</f>
        <v>0</v>
      </c>
      <c r="L72" s="2">
        <f>IF(AND(VLOOKUP(L$1,test!$A$3:$F$32,5,FALSE) - VLOOKUP($B72,test!$A$3:$G$32,6,FALSE) &gt;= (test!$B$35+VLOOKUP(VLOOKUP($B72,test!$A$2:$I$32,4,FALSE),test!$J$24:$P$28,5,FALSE))/1440),1,0)</f>
        <v>0</v>
      </c>
      <c r="M72" s="2">
        <f>IF(AND(VLOOKUP(M$1,test!$A$3:$F$32,5,FALSE) - VLOOKUP($B72,test!$A$3:$G$32,6,FALSE) &gt;= (test!$B$35+VLOOKUP(VLOOKUP($B72,test!$A$2:$I$32,4,FALSE),test!$J$24:$P$28,5,FALSE))/1440),1,0)</f>
        <v>0</v>
      </c>
      <c r="N72" s="2">
        <f>IF(AND(VLOOKUP(N$1,test!$A$3:$F$32,5,FALSE) - VLOOKUP($B72,test!$A$3:$G$32,6,FALSE) &gt;= (test!$B$35+VLOOKUP(VLOOKUP($B72,test!$A$2:$I$32,4,FALSE),test!$J$24:$P$28,5,FALSE))/1440),1,0)</f>
        <v>0</v>
      </c>
      <c r="O72" s="2">
        <f>IF(AND(VLOOKUP(O$1,test!$A$3:$F$32,5,FALSE) - VLOOKUP($B72,test!$A$3:$G$32,6,FALSE) &gt;= (test!$B$35+VLOOKUP(VLOOKUP($B72,test!$A$2:$I$32,4,FALSE),test!$J$24:$P$28,5,FALSE))/1440),1,0)</f>
        <v>0</v>
      </c>
      <c r="P72" s="2">
        <f>IF(AND(VLOOKUP(P$1,test!$A$3:$F$32,5,FALSE) - VLOOKUP($B72,test!$A$3:$G$32,6,FALSE) &gt;= (test!$B$35+VLOOKUP(VLOOKUP($B72,test!$A$2:$I$32,4,FALSE),test!$J$24:$P$28,5,FALSE))/1440),1,0)</f>
        <v>0</v>
      </c>
      <c r="Q72" s="2">
        <f>IF(AND(VLOOKUP(Q$1,test!$A$3:$F$32,5,FALSE) - VLOOKUP($B72,test!$A$3:$G$32,6,FALSE) &gt;= (test!$B$35+VLOOKUP(VLOOKUP($B72,test!$A$2:$I$32,4,FALSE),test!$J$24:$P$28,5,FALSE))/1440),1,0)</f>
        <v>0</v>
      </c>
      <c r="R72" s="2">
        <f>IF(AND(VLOOKUP(R$1,test!$A$3:$F$32,5,FALSE) - VLOOKUP($B72,test!$A$3:$G$32,6,FALSE) &gt;= (test!$B$35+VLOOKUP(VLOOKUP($B72,test!$A$2:$I$32,4,FALSE),test!$J$24:$P$28,5,FALSE))/1440),1,0)</f>
        <v>0</v>
      </c>
      <c r="S72" s="2">
        <f>IF(AND(VLOOKUP(S$1,test!$A$3:$F$32,5,FALSE) - VLOOKUP($B72,test!$A$3:$G$32,6,FALSE) &gt;= (test!$B$35+VLOOKUP(VLOOKUP($B72,test!$A$2:$I$32,4,FALSE),test!$J$24:$P$28,5,FALSE))/1440),1,0)</f>
        <v>0</v>
      </c>
      <c r="T72" s="2">
        <f>IF(AND(VLOOKUP(T$1,test!$A$3:$F$32,5,FALSE) - VLOOKUP($B72,test!$A$3:$G$32,6,FALSE) &gt;= (test!$B$35+VLOOKUP(VLOOKUP($B72,test!$A$2:$I$32,4,FALSE),test!$J$24:$P$28,5,FALSE))/1440),1,0)</f>
        <v>0</v>
      </c>
      <c r="U72" s="2">
        <f>IF(AND(VLOOKUP(U$1,test!$A$3:$F$32,5,FALSE) - VLOOKUP($B72,test!$A$3:$G$32,6,FALSE) &gt;= (test!$B$35+VLOOKUP(VLOOKUP($B72,test!$A$2:$I$32,4,FALSE),test!$J$24:$P$28,5,FALSE))/1440),1,0)</f>
        <v>0</v>
      </c>
      <c r="V72" s="2">
        <f>IF(AND(VLOOKUP(V$1,test!$A$3:$F$32,5,FALSE) - VLOOKUP($B72,test!$A$3:$G$32,6,FALSE) &gt;= (test!$B$35+VLOOKUP(VLOOKUP($B72,test!$A$2:$I$32,4,FALSE),test!$J$24:$P$28,5,FALSE))/1440),1,0)</f>
        <v>0</v>
      </c>
      <c r="W72" s="2">
        <f>IF(AND(VLOOKUP(W$1,test!$A$3:$F$32,5,FALSE) - VLOOKUP($B72,test!$A$3:$G$32,6,FALSE) &gt;= (test!$B$35+VLOOKUP(VLOOKUP($B72,test!$A$2:$I$32,4,FALSE),test!$J$24:$P$28,5,FALSE))/1440),1,0)</f>
        <v>0</v>
      </c>
      <c r="X72" s="2">
        <f>IF(AND(VLOOKUP(X$1,test!$A$3:$F$32,5,FALSE) - VLOOKUP($B72,test!$A$3:$G$32,6,FALSE) &gt;= (test!$B$35+VLOOKUP(VLOOKUP($B72,test!$A$2:$I$32,4,FALSE),test!$J$24:$P$28,5,FALSE))/1440),1,0)</f>
        <v>0</v>
      </c>
      <c r="Y72" s="2">
        <f>IF(AND(VLOOKUP(Y$1,test!$A$3:$F$32,5,FALSE) - VLOOKUP($B72,test!$A$3:$G$32,6,FALSE) &gt;= (test!$B$35+VLOOKUP(VLOOKUP($B72,test!$A$2:$I$32,4,FALSE),test!$J$24:$P$28,5,FALSE))/1440),1,0)</f>
        <v>0</v>
      </c>
      <c r="Z72" s="2">
        <f>IF(AND(VLOOKUP(Z$1,test!$A$3:$F$32,5,FALSE) - VLOOKUP($B72,test!$A$3:$G$32,6,FALSE) &gt;= (test!$B$35+VLOOKUP(VLOOKUP($B72,test!$A$2:$I$32,4,FALSE),test!$J$24:$P$28,5,FALSE))/1440),1,0)</f>
        <v>0</v>
      </c>
      <c r="AA72" s="2">
        <f>IF(AND(VLOOKUP(AA$1,test!$A$3:$F$32,5,FALSE) - VLOOKUP($B72,test!$A$3:$G$32,6,FALSE) &gt;= (test!$B$35+VLOOKUP(VLOOKUP($B72,test!$A$2:$I$32,4,FALSE),test!$J$24:$P$28,5,FALSE))/1440),1,0)</f>
        <v>0</v>
      </c>
      <c r="AB72" s="2">
        <f>IF(AND(VLOOKUP(AB$1,test!$A$3:$F$32,5,FALSE) - VLOOKUP($B72,test!$A$3:$G$32,6,FALSE) &gt;= (test!$B$35+VLOOKUP(VLOOKUP($B72,test!$A$2:$I$32,4,FALSE),test!$J$24:$P$28,5,FALSE))/1440),1,0)</f>
        <v>0</v>
      </c>
      <c r="AC72" s="2">
        <f>IF(AND(VLOOKUP(AC$1,test!$A$3:$F$32,5,FALSE) - VLOOKUP($B72,test!$A$3:$G$32,6,FALSE) &gt;= (test!$B$35+VLOOKUP(VLOOKUP($B72,test!$A$2:$I$32,4,FALSE),test!$J$24:$P$28,5,FALSE))/1440),1,0)</f>
        <v>0</v>
      </c>
      <c r="AD72" s="2">
        <f>IF(AND(VLOOKUP(AD$1,test!$A$3:$F$32,5,FALSE) - VLOOKUP($B72,test!$A$3:$G$32,6,FALSE) &gt;= (test!$B$35+VLOOKUP(VLOOKUP($B72,test!$A$2:$I$32,4,FALSE),test!$J$24:$P$28,5,FALSE))/1440),1,0)</f>
        <v>0</v>
      </c>
      <c r="AE72" s="2">
        <f>IF(AND(VLOOKUP(AE$1,test!$A$3:$F$32,5,FALSE) - VLOOKUP($B72,test!$A$3:$G$32,6,FALSE) &gt;= (test!$B$35+VLOOKUP(VLOOKUP($B72,test!$A$2:$I$32,4,FALSE),test!$J$24:$P$28,5,FALSE))/1440),1,0)</f>
        <v>0</v>
      </c>
      <c r="AF72" s="2">
        <f>IF(AND(VLOOKUP(AF$1,test!$A$3:$F$32,5,FALSE) - VLOOKUP($B72,test!$A$3:$G$32,6,FALSE) &gt;= (test!$B$35+VLOOKUP(VLOOKUP($B72,test!$A$2:$I$32,4,FALSE),test!$J$24:$P$28,5,FALSE))/1440),1,0)</f>
        <v>0</v>
      </c>
      <c r="AG72" s="2">
        <f>IF(AND(VLOOKUP(AG$1,test!$A$3:$F$32,5,FALSE) - VLOOKUP($B72,test!$A$3:$G$32,6,FALSE) &gt;= (test!$B$35+VLOOKUP(VLOOKUP($B72,test!$A$2:$I$32,4,FALSE),test!$J$24:$P$28,5,FALSE))/1440),1,0)</f>
        <v>0</v>
      </c>
    </row>
    <row r="73" spans="1:33" x14ac:dyDescent="0.25">
      <c r="A73" t="s">
        <v>97</v>
      </c>
      <c r="B73" t="s">
        <v>18</v>
      </c>
      <c r="C73">
        <v>0</v>
      </c>
      <c r="D73" s="2">
        <f>IF(AND(VLOOKUP(D$1,test!$A$3:$F$32,5,FALSE) - VLOOKUP($B73,test!$A$3:$G$32,6,FALSE) &gt;= (test!$B$35+VLOOKUP(VLOOKUP($B73,test!$A$2:$I$32,4,FALSE),test!$J$24:$P$28,5,FALSE))/1440),1,0)</f>
        <v>0</v>
      </c>
      <c r="E73" s="2">
        <f>IF(AND(VLOOKUP(E$1,test!$A$3:$F$32,5,FALSE) - VLOOKUP($B73,test!$A$3:$G$32,6,FALSE) &gt;= (test!$B$35+VLOOKUP(VLOOKUP($B73,test!$A$2:$I$32,4,FALSE),test!$J$24:$P$28,5,FALSE))/1440),1,0)</f>
        <v>0</v>
      </c>
      <c r="F73" s="2">
        <f>IF(AND(VLOOKUP(F$1,test!$A$3:$F$32,5,FALSE) - VLOOKUP($B73,test!$A$3:$G$32,6,FALSE) &gt;= (test!$B$35+VLOOKUP(VLOOKUP($B73,test!$A$2:$I$32,4,FALSE),test!$J$24:$P$28,5,FALSE))/1440),1,0)</f>
        <v>1</v>
      </c>
      <c r="G73" s="2">
        <f>IF(AND(VLOOKUP(G$1,test!$A$3:$F$32,5,FALSE) - VLOOKUP($B73,test!$A$3:$G$32,6,FALSE) &gt;= (test!$B$35+VLOOKUP(VLOOKUP($B73,test!$A$2:$I$32,4,FALSE),test!$J$24:$P$28,5,FALSE))/1440),1,0)</f>
        <v>1</v>
      </c>
      <c r="H73" s="2">
        <f>IF(AND(VLOOKUP(H$1,test!$A$3:$F$32,5,FALSE) - VLOOKUP($B73,test!$A$3:$G$32,6,FALSE) &gt;= (test!$B$35+VLOOKUP(VLOOKUP($B73,test!$A$2:$I$32,4,FALSE),test!$J$24:$P$28,5,FALSE))/1440),1,0)</f>
        <v>1</v>
      </c>
      <c r="I73" s="2">
        <f>IF(AND(VLOOKUP(I$1,test!$A$3:$F$32,5,FALSE) - VLOOKUP($B73,test!$A$3:$G$32,6,FALSE) &gt;= (test!$B$35+VLOOKUP(VLOOKUP($B73,test!$A$2:$I$32,4,FALSE),test!$J$24:$P$28,5,FALSE))/1440),1,0)</f>
        <v>1</v>
      </c>
      <c r="J73" s="2">
        <f>IF(AND(VLOOKUP(J$1,test!$A$3:$F$32,5,FALSE) - VLOOKUP($B73,test!$A$3:$G$32,6,FALSE) &gt;= (test!$B$35+VLOOKUP(VLOOKUP($B73,test!$A$2:$I$32,4,FALSE),test!$J$24:$P$28,5,FALSE))/1440),1,0)</f>
        <v>1</v>
      </c>
      <c r="K73" s="2">
        <f>IF(AND(VLOOKUP(K$1,test!$A$3:$F$32,5,FALSE) - VLOOKUP($B73,test!$A$3:$G$32,6,FALSE) &gt;= (test!$B$35+VLOOKUP(VLOOKUP($B73,test!$A$2:$I$32,4,FALSE),test!$J$24:$P$28,5,FALSE))/1440),1,0)</f>
        <v>1</v>
      </c>
      <c r="L73" s="2">
        <f>IF(AND(VLOOKUP(L$1,test!$A$3:$F$32,5,FALSE) - VLOOKUP($B73,test!$A$3:$G$32,6,FALSE) &gt;= (test!$B$35+VLOOKUP(VLOOKUP($B73,test!$A$2:$I$32,4,FALSE),test!$J$24:$P$28,5,FALSE))/1440),1,0)</f>
        <v>0</v>
      </c>
      <c r="M73" s="2">
        <f>IF(AND(VLOOKUP(M$1,test!$A$3:$F$32,5,FALSE) - VLOOKUP($B73,test!$A$3:$G$32,6,FALSE) &gt;= (test!$B$35+VLOOKUP(VLOOKUP($B73,test!$A$2:$I$32,4,FALSE),test!$J$24:$P$28,5,FALSE))/1440),1,0)</f>
        <v>0</v>
      </c>
      <c r="N73" s="2">
        <f>IF(AND(VLOOKUP(N$1,test!$A$3:$F$32,5,FALSE) - VLOOKUP($B73,test!$A$3:$G$32,6,FALSE) &gt;= (test!$B$35+VLOOKUP(VLOOKUP($B73,test!$A$2:$I$32,4,FALSE),test!$J$24:$P$28,5,FALSE))/1440),1,0)</f>
        <v>0</v>
      </c>
      <c r="O73" s="2">
        <f>IF(AND(VLOOKUP(O$1,test!$A$3:$F$32,5,FALSE) - VLOOKUP($B73,test!$A$3:$G$32,6,FALSE) &gt;= (test!$B$35+VLOOKUP(VLOOKUP($B73,test!$A$2:$I$32,4,FALSE),test!$J$24:$P$28,5,FALSE))/1440),1,0)</f>
        <v>1</v>
      </c>
      <c r="P73" s="2">
        <f>IF(AND(VLOOKUP(P$1,test!$A$3:$F$32,5,FALSE) - VLOOKUP($B73,test!$A$3:$G$32,6,FALSE) &gt;= (test!$B$35+VLOOKUP(VLOOKUP($B73,test!$A$2:$I$32,4,FALSE),test!$J$24:$P$28,5,FALSE))/1440),1,0)</f>
        <v>1</v>
      </c>
      <c r="Q73" s="2">
        <f>IF(AND(VLOOKUP(Q$1,test!$A$3:$F$32,5,FALSE) - VLOOKUP($B73,test!$A$3:$G$32,6,FALSE) &gt;= (test!$B$35+VLOOKUP(VLOOKUP($B73,test!$A$2:$I$32,4,FALSE),test!$J$24:$P$28,5,FALSE))/1440),1,0)</f>
        <v>0</v>
      </c>
      <c r="R73" s="2">
        <f>IF(AND(VLOOKUP(R$1,test!$A$3:$F$32,5,FALSE) - VLOOKUP($B73,test!$A$3:$G$32,6,FALSE) &gt;= (test!$B$35+VLOOKUP(VLOOKUP($B73,test!$A$2:$I$32,4,FALSE),test!$J$24:$P$28,5,FALSE))/1440),1,0)</f>
        <v>0</v>
      </c>
      <c r="S73" s="2">
        <f>IF(AND(VLOOKUP(S$1,test!$A$3:$F$32,5,FALSE) - VLOOKUP($B73,test!$A$3:$G$32,6,FALSE) &gt;= (test!$B$35+VLOOKUP(VLOOKUP($B73,test!$A$2:$I$32,4,FALSE),test!$J$24:$P$28,5,FALSE))/1440),1,0)</f>
        <v>0</v>
      </c>
      <c r="T73" s="2">
        <f>IF(AND(VLOOKUP(T$1,test!$A$3:$F$32,5,FALSE) - VLOOKUP($B73,test!$A$3:$G$32,6,FALSE) &gt;= (test!$B$35+VLOOKUP(VLOOKUP($B73,test!$A$2:$I$32,4,FALSE),test!$J$24:$P$28,5,FALSE))/1440),1,0)</f>
        <v>0</v>
      </c>
      <c r="U73" s="2">
        <f>IF(AND(VLOOKUP(U$1,test!$A$3:$F$32,5,FALSE) - VLOOKUP($B73,test!$A$3:$G$32,6,FALSE) &gt;= (test!$B$35+VLOOKUP(VLOOKUP($B73,test!$A$2:$I$32,4,FALSE),test!$J$24:$P$28,5,FALSE))/1440),1,0)</f>
        <v>1</v>
      </c>
      <c r="V73" s="2">
        <f>IF(AND(VLOOKUP(V$1,test!$A$3:$F$32,5,FALSE) - VLOOKUP($B73,test!$A$3:$G$32,6,FALSE) &gt;= (test!$B$35+VLOOKUP(VLOOKUP($B73,test!$A$2:$I$32,4,FALSE),test!$J$24:$P$28,5,FALSE))/1440),1,0)</f>
        <v>1</v>
      </c>
      <c r="W73" s="2">
        <f>IF(AND(VLOOKUP(W$1,test!$A$3:$F$32,5,FALSE) - VLOOKUP($B73,test!$A$3:$G$32,6,FALSE) &gt;= (test!$B$35+VLOOKUP(VLOOKUP($B73,test!$A$2:$I$32,4,FALSE),test!$J$24:$P$28,5,FALSE))/1440),1,0)</f>
        <v>1</v>
      </c>
      <c r="X73" s="2">
        <f>IF(AND(VLOOKUP(X$1,test!$A$3:$F$32,5,FALSE) - VLOOKUP($B73,test!$A$3:$G$32,6,FALSE) &gt;= (test!$B$35+VLOOKUP(VLOOKUP($B73,test!$A$2:$I$32,4,FALSE),test!$J$24:$P$28,5,FALSE))/1440),1,0)</f>
        <v>1</v>
      </c>
      <c r="Y73" s="2">
        <f>IF(AND(VLOOKUP(Y$1,test!$A$3:$F$32,5,FALSE) - VLOOKUP($B73,test!$A$3:$G$32,6,FALSE) &gt;= (test!$B$35+VLOOKUP(VLOOKUP($B73,test!$A$2:$I$32,4,FALSE),test!$J$24:$P$28,5,FALSE))/1440),1,0)</f>
        <v>1</v>
      </c>
      <c r="Z73" s="2">
        <f>IF(AND(VLOOKUP(Z$1,test!$A$3:$F$32,5,FALSE) - VLOOKUP($B73,test!$A$3:$G$32,6,FALSE) &gt;= (test!$B$35+VLOOKUP(VLOOKUP($B73,test!$A$2:$I$32,4,FALSE),test!$J$24:$P$28,5,FALSE))/1440),1,0)</f>
        <v>0</v>
      </c>
      <c r="AA73" s="2">
        <f>IF(AND(VLOOKUP(AA$1,test!$A$3:$F$32,5,FALSE) - VLOOKUP($B73,test!$A$3:$G$32,6,FALSE) &gt;= (test!$B$35+VLOOKUP(VLOOKUP($B73,test!$A$2:$I$32,4,FALSE),test!$J$24:$P$28,5,FALSE))/1440),1,0)</f>
        <v>0</v>
      </c>
      <c r="AB73" s="2">
        <f>IF(AND(VLOOKUP(AB$1,test!$A$3:$F$32,5,FALSE) - VLOOKUP($B73,test!$A$3:$G$32,6,FALSE) &gt;= (test!$B$35+VLOOKUP(VLOOKUP($B73,test!$A$2:$I$32,4,FALSE),test!$J$24:$P$28,5,FALSE))/1440),1,0)</f>
        <v>1</v>
      </c>
      <c r="AC73" s="2">
        <f>IF(AND(VLOOKUP(AC$1,test!$A$3:$F$32,5,FALSE) - VLOOKUP($B73,test!$A$3:$G$32,6,FALSE) &gt;= (test!$B$35+VLOOKUP(VLOOKUP($B73,test!$A$2:$I$32,4,FALSE),test!$J$24:$P$28,5,FALSE))/1440),1,0)</f>
        <v>1</v>
      </c>
      <c r="AD73" s="2">
        <f>IF(AND(VLOOKUP(AD$1,test!$A$3:$F$32,5,FALSE) - VLOOKUP($B73,test!$A$3:$G$32,6,FALSE) &gt;= (test!$B$35+VLOOKUP(VLOOKUP($B73,test!$A$2:$I$32,4,FALSE),test!$J$24:$P$28,5,FALSE))/1440),1,0)</f>
        <v>1</v>
      </c>
      <c r="AE73" s="2">
        <f>IF(AND(VLOOKUP(AE$1,test!$A$3:$F$32,5,FALSE) - VLOOKUP($B73,test!$A$3:$G$32,6,FALSE) &gt;= (test!$B$35+VLOOKUP(VLOOKUP($B73,test!$A$2:$I$32,4,FALSE),test!$J$24:$P$28,5,FALSE))/1440),1,0)</f>
        <v>0</v>
      </c>
      <c r="AF73" s="2">
        <f>IF(AND(VLOOKUP(AF$1,test!$A$3:$F$32,5,FALSE) - VLOOKUP($B73,test!$A$3:$G$32,6,FALSE) &gt;= (test!$B$35+VLOOKUP(VLOOKUP($B73,test!$A$2:$I$32,4,FALSE),test!$J$24:$P$28,5,FALSE))/1440),1,0)</f>
        <v>1</v>
      </c>
      <c r="AG73" s="2">
        <f>IF(AND(VLOOKUP(AG$1,test!$A$3:$F$32,5,FALSE) - VLOOKUP($B73,test!$A$3:$G$32,6,FALSE) &gt;= (test!$B$35+VLOOKUP(VLOOKUP($B73,test!$A$2:$I$32,4,FALSE),test!$J$24:$P$28,5,FALSE))/1440),1,0)</f>
        <v>1</v>
      </c>
    </row>
    <row r="74" spans="1:33" x14ac:dyDescent="0.25">
      <c r="A74" t="s">
        <v>97</v>
      </c>
      <c r="B74" t="s">
        <v>20</v>
      </c>
      <c r="C74">
        <v>0</v>
      </c>
      <c r="D74" s="2">
        <f>IF(AND(VLOOKUP(D$1,test!$A$3:$F$32,5,FALSE) - VLOOKUP($B74,test!$A$3:$G$32,6,FALSE) &gt;= (test!$B$35+VLOOKUP(VLOOKUP($B74,test!$A$2:$I$32,4,FALSE),test!$J$24:$P$28,5,FALSE))/1440),1,0)</f>
        <v>0</v>
      </c>
      <c r="E74" s="2">
        <f>IF(AND(VLOOKUP(E$1,test!$A$3:$F$32,5,FALSE) - VLOOKUP($B74,test!$A$3:$G$32,6,FALSE) &gt;= (test!$B$35+VLOOKUP(VLOOKUP($B74,test!$A$2:$I$32,4,FALSE),test!$J$24:$P$28,5,FALSE))/1440),1,0)</f>
        <v>0</v>
      </c>
      <c r="F74" s="2">
        <f>IF(AND(VLOOKUP(F$1,test!$A$3:$F$32,5,FALSE) - VLOOKUP($B74,test!$A$3:$G$32,6,FALSE) &gt;= (test!$B$35+VLOOKUP(VLOOKUP($B74,test!$A$2:$I$32,4,FALSE),test!$J$24:$P$28,5,FALSE))/1440),1,0)</f>
        <v>0</v>
      </c>
      <c r="G74" s="2">
        <f>IF(AND(VLOOKUP(G$1,test!$A$3:$F$32,5,FALSE) - VLOOKUP($B74,test!$A$3:$G$32,6,FALSE) &gt;= (test!$B$35+VLOOKUP(VLOOKUP($B74,test!$A$2:$I$32,4,FALSE),test!$J$24:$P$28,5,FALSE))/1440),1,0)</f>
        <v>0</v>
      </c>
      <c r="H74" s="2">
        <f>IF(AND(VLOOKUP(H$1,test!$A$3:$F$32,5,FALSE) - VLOOKUP($B74,test!$A$3:$G$32,6,FALSE) &gt;= (test!$B$35+VLOOKUP(VLOOKUP($B74,test!$A$2:$I$32,4,FALSE),test!$J$24:$P$28,5,FALSE))/1440),1,0)</f>
        <v>1</v>
      </c>
      <c r="I74" s="2">
        <f>IF(AND(VLOOKUP(I$1,test!$A$3:$F$32,5,FALSE) - VLOOKUP($B74,test!$A$3:$G$32,6,FALSE) &gt;= (test!$B$35+VLOOKUP(VLOOKUP($B74,test!$A$2:$I$32,4,FALSE),test!$J$24:$P$28,5,FALSE))/1440),1,0)</f>
        <v>1</v>
      </c>
      <c r="J74" s="2">
        <f>IF(AND(VLOOKUP(J$1,test!$A$3:$F$32,5,FALSE) - VLOOKUP($B74,test!$A$3:$G$32,6,FALSE) &gt;= (test!$B$35+VLOOKUP(VLOOKUP($B74,test!$A$2:$I$32,4,FALSE),test!$J$24:$P$28,5,FALSE))/1440),1,0)</f>
        <v>1</v>
      </c>
      <c r="K74" s="2">
        <f>IF(AND(VLOOKUP(K$1,test!$A$3:$F$32,5,FALSE) - VLOOKUP($B74,test!$A$3:$G$32,6,FALSE) &gt;= (test!$B$35+VLOOKUP(VLOOKUP($B74,test!$A$2:$I$32,4,FALSE),test!$J$24:$P$28,5,FALSE))/1440),1,0)</f>
        <v>1</v>
      </c>
      <c r="L74" s="2">
        <f>IF(AND(VLOOKUP(L$1,test!$A$3:$F$32,5,FALSE) - VLOOKUP($B74,test!$A$3:$G$32,6,FALSE) &gt;= (test!$B$35+VLOOKUP(VLOOKUP($B74,test!$A$2:$I$32,4,FALSE),test!$J$24:$P$28,5,FALSE))/1440),1,0)</f>
        <v>0</v>
      </c>
      <c r="M74" s="2">
        <f>IF(AND(VLOOKUP(M$1,test!$A$3:$F$32,5,FALSE) - VLOOKUP($B74,test!$A$3:$G$32,6,FALSE) &gt;= (test!$B$35+VLOOKUP(VLOOKUP($B74,test!$A$2:$I$32,4,FALSE),test!$J$24:$P$28,5,FALSE))/1440),1,0)</f>
        <v>0</v>
      </c>
      <c r="N74" s="2">
        <f>IF(AND(VLOOKUP(N$1,test!$A$3:$F$32,5,FALSE) - VLOOKUP($B74,test!$A$3:$G$32,6,FALSE) &gt;= (test!$B$35+VLOOKUP(VLOOKUP($B74,test!$A$2:$I$32,4,FALSE),test!$J$24:$P$28,5,FALSE))/1440),1,0)</f>
        <v>0</v>
      </c>
      <c r="O74" s="2">
        <f>IF(AND(VLOOKUP(O$1,test!$A$3:$F$32,5,FALSE) - VLOOKUP($B74,test!$A$3:$G$32,6,FALSE) &gt;= (test!$B$35+VLOOKUP(VLOOKUP($B74,test!$A$2:$I$32,4,FALSE),test!$J$24:$P$28,5,FALSE))/1440),1,0)</f>
        <v>1</v>
      </c>
      <c r="P74" s="2">
        <f>IF(AND(VLOOKUP(P$1,test!$A$3:$F$32,5,FALSE) - VLOOKUP($B74,test!$A$3:$G$32,6,FALSE) &gt;= (test!$B$35+VLOOKUP(VLOOKUP($B74,test!$A$2:$I$32,4,FALSE),test!$J$24:$P$28,5,FALSE))/1440),1,0)</f>
        <v>1</v>
      </c>
      <c r="Q74" s="2">
        <f>IF(AND(VLOOKUP(Q$1,test!$A$3:$F$32,5,FALSE) - VLOOKUP($B74,test!$A$3:$G$32,6,FALSE) &gt;= (test!$B$35+VLOOKUP(VLOOKUP($B74,test!$A$2:$I$32,4,FALSE),test!$J$24:$P$28,5,FALSE))/1440),1,0)</f>
        <v>0</v>
      </c>
      <c r="R74" s="2">
        <f>IF(AND(VLOOKUP(R$1,test!$A$3:$F$32,5,FALSE) - VLOOKUP($B74,test!$A$3:$G$32,6,FALSE) &gt;= (test!$B$35+VLOOKUP(VLOOKUP($B74,test!$A$2:$I$32,4,FALSE),test!$J$24:$P$28,5,FALSE))/1440),1,0)</f>
        <v>0</v>
      </c>
      <c r="S74" s="2">
        <f>IF(AND(VLOOKUP(S$1,test!$A$3:$F$32,5,FALSE) - VLOOKUP($B74,test!$A$3:$G$32,6,FALSE) &gt;= (test!$B$35+VLOOKUP(VLOOKUP($B74,test!$A$2:$I$32,4,FALSE),test!$J$24:$P$28,5,FALSE))/1440),1,0)</f>
        <v>0</v>
      </c>
      <c r="T74" s="2">
        <f>IF(AND(VLOOKUP(T$1,test!$A$3:$F$32,5,FALSE) - VLOOKUP($B74,test!$A$3:$G$32,6,FALSE) &gt;= (test!$B$35+VLOOKUP(VLOOKUP($B74,test!$A$2:$I$32,4,FALSE),test!$J$24:$P$28,5,FALSE))/1440),1,0)</f>
        <v>0</v>
      </c>
      <c r="U74" s="2">
        <f>IF(AND(VLOOKUP(U$1,test!$A$3:$F$32,5,FALSE) - VLOOKUP($B74,test!$A$3:$G$32,6,FALSE) &gt;= (test!$B$35+VLOOKUP(VLOOKUP($B74,test!$A$2:$I$32,4,FALSE),test!$J$24:$P$28,5,FALSE))/1440),1,0)</f>
        <v>0</v>
      </c>
      <c r="V74" s="2">
        <f>IF(AND(VLOOKUP(V$1,test!$A$3:$F$32,5,FALSE) - VLOOKUP($B74,test!$A$3:$G$32,6,FALSE) &gt;= (test!$B$35+VLOOKUP(VLOOKUP($B74,test!$A$2:$I$32,4,FALSE),test!$J$24:$P$28,5,FALSE))/1440),1,0)</f>
        <v>0</v>
      </c>
      <c r="W74" s="2">
        <f>IF(AND(VLOOKUP(W$1,test!$A$3:$F$32,5,FALSE) - VLOOKUP($B74,test!$A$3:$G$32,6,FALSE) &gt;= (test!$B$35+VLOOKUP(VLOOKUP($B74,test!$A$2:$I$32,4,FALSE),test!$J$24:$P$28,5,FALSE))/1440),1,0)</f>
        <v>1</v>
      </c>
      <c r="X74" s="2">
        <f>IF(AND(VLOOKUP(X$1,test!$A$3:$F$32,5,FALSE) - VLOOKUP($B74,test!$A$3:$G$32,6,FALSE) &gt;= (test!$B$35+VLOOKUP(VLOOKUP($B74,test!$A$2:$I$32,4,FALSE),test!$J$24:$P$28,5,FALSE))/1440),1,0)</f>
        <v>1</v>
      </c>
      <c r="Y74" s="2">
        <f>IF(AND(VLOOKUP(Y$1,test!$A$3:$F$32,5,FALSE) - VLOOKUP($B74,test!$A$3:$G$32,6,FALSE) &gt;= (test!$B$35+VLOOKUP(VLOOKUP($B74,test!$A$2:$I$32,4,FALSE),test!$J$24:$P$28,5,FALSE))/1440),1,0)</f>
        <v>1</v>
      </c>
      <c r="Z74" s="2">
        <f>IF(AND(VLOOKUP(Z$1,test!$A$3:$F$32,5,FALSE) - VLOOKUP($B74,test!$A$3:$G$32,6,FALSE) &gt;= (test!$B$35+VLOOKUP(VLOOKUP($B74,test!$A$2:$I$32,4,FALSE),test!$J$24:$P$28,5,FALSE))/1440),1,0)</f>
        <v>0</v>
      </c>
      <c r="AA74" s="2">
        <f>IF(AND(VLOOKUP(AA$1,test!$A$3:$F$32,5,FALSE) - VLOOKUP($B74,test!$A$3:$G$32,6,FALSE) &gt;= (test!$B$35+VLOOKUP(VLOOKUP($B74,test!$A$2:$I$32,4,FALSE),test!$J$24:$P$28,5,FALSE))/1440),1,0)</f>
        <v>0</v>
      </c>
      <c r="AB74" s="2">
        <f>IF(AND(VLOOKUP(AB$1,test!$A$3:$F$32,5,FALSE) - VLOOKUP($B74,test!$A$3:$G$32,6,FALSE) &gt;= (test!$B$35+VLOOKUP(VLOOKUP($B74,test!$A$2:$I$32,4,FALSE),test!$J$24:$P$28,5,FALSE))/1440),1,0)</f>
        <v>0</v>
      </c>
      <c r="AC74" s="2">
        <f>IF(AND(VLOOKUP(AC$1,test!$A$3:$F$32,5,FALSE) - VLOOKUP($B74,test!$A$3:$G$32,6,FALSE) &gt;= (test!$B$35+VLOOKUP(VLOOKUP($B74,test!$A$2:$I$32,4,FALSE),test!$J$24:$P$28,5,FALSE))/1440),1,0)</f>
        <v>0</v>
      </c>
      <c r="AD74" s="2">
        <f>IF(AND(VLOOKUP(AD$1,test!$A$3:$F$32,5,FALSE) - VLOOKUP($B74,test!$A$3:$G$32,6,FALSE) &gt;= (test!$B$35+VLOOKUP(VLOOKUP($B74,test!$A$2:$I$32,4,FALSE),test!$J$24:$P$28,5,FALSE))/1440),1,0)</f>
        <v>1</v>
      </c>
      <c r="AE74" s="2">
        <f>IF(AND(VLOOKUP(AE$1,test!$A$3:$F$32,5,FALSE) - VLOOKUP($B74,test!$A$3:$G$32,6,FALSE) &gt;= (test!$B$35+VLOOKUP(VLOOKUP($B74,test!$A$2:$I$32,4,FALSE),test!$J$24:$P$28,5,FALSE))/1440),1,0)</f>
        <v>0</v>
      </c>
      <c r="AF74" s="2">
        <f>IF(AND(VLOOKUP(AF$1,test!$A$3:$F$32,5,FALSE) - VLOOKUP($B74,test!$A$3:$G$32,6,FALSE) &gt;= (test!$B$35+VLOOKUP(VLOOKUP($B74,test!$A$2:$I$32,4,FALSE),test!$J$24:$P$28,5,FALSE))/1440),1,0)</f>
        <v>0</v>
      </c>
      <c r="AG74" s="2">
        <f>IF(AND(VLOOKUP(AG$1,test!$A$3:$F$32,5,FALSE) - VLOOKUP($B74,test!$A$3:$G$32,6,FALSE) &gt;= (test!$B$35+VLOOKUP(VLOOKUP($B74,test!$A$2:$I$32,4,FALSE),test!$J$24:$P$28,5,FALSE))/1440),1,0)</f>
        <v>0</v>
      </c>
    </row>
    <row r="75" spans="1:33" x14ac:dyDescent="0.25">
      <c r="A75" t="s">
        <v>97</v>
      </c>
      <c r="B75" t="s">
        <v>21</v>
      </c>
      <c r="C75">
        <v>0</v>
      </c>
      <c r="D75" s="2">
        <f>IF(AND(VLOOKUP(D$1,test!$A$3:$F$32,5,FALSE) - VLOOKUP($B75,test!$A$3:$G$32,6,FALSE) &gt;= (test!$B$35+VLOOKUP(VLOOKUP($B75,test!$A$2:$I$32,4,FALSE),test!$J$24:$P$28,5,FALSE))/1440),1,0)</f>
        <v>0</v>
      </c>
      <c r="E75" s="2">
        <f>IF(AND(VLOOKUP(E$1,test!$A$3:$F$32,5,FALSE) - VLOOKUP($B75,test!$A$3:$G$32,6,FALSE) &gt;= (test!$B$35+VLOOKUP(VLOOKUP($B75,test!$A$2:$I$32,4,FALSE),test!$J$24:$P$28,5,FALSE))/1440),1,0)</f>
        <v>0</v>
      </c>
      <c r="F75" s="2">
        <f>IF(AND(VLOOKUP(F$1,test!$A$3:$F$32,5,FALSE) - VLOOKUP($B75,test!$A$3:$G$32,6,FALSE) &gt;= (test!$B$35+VLOOKUP(VLOOKUP($B75,test!$A$2:$I$32,4,FALSE),test!$J$24:$P$28,5,FALSE))/1440),1,0)</f>
        <v>0</v>
      </c>
      <c r="G75" s="2">
        <f>IF(AND(VLOOKUP(G$1,test!$A$3:$F$32,5,FALSE) - VLOOKUP($B75,test!$A$3:$G$32,6,FALSE) &gt;= (test!$B$35+VLOOKUP(VLOOKUP($B75,test!$A$2:$I$32,4,FALSE),test!$J$24:$P$28,5,FALSE))/1440),1,0)</f>
        <v>0</v>
      </c>
      <c r="H75" s="2">
        <f>IF(AND(VLOOKUP(H$1,test!$A$3:$F$32,5,FALSE) - VLOOKUP($B75,test!$A$3:$G$32,6,FALSE) &gt;= (test!$B$35+VLOOKUP(VLOOKUP($B75,test!$A$2:$I$32,4,FALSE),test!$J$24:$P$28,5,FALSE))/1440),1,0)</f>
        <v>0</v>
      </c>
      <c r="I75" s="2">
        <f>IF(AND(VLOOKUP(I$1,test!$A$3:$F$32,5,FALSE) - VLOOKUP($B75,test!$A$3:$G$32,6,FALSE) &gt;= (test!$B$35+VLOOKUP(VLOOKUP($B75,test!$A$2:$I$32,4,FALSE),test!$J$24:$P$28,5,FALSE))/1440),1,0)</f>
        <v>0</v>
      </c>
      <c r="J75" s="2">
        <f>IF(AND(VLOOKUP(J$1,test!$A$3:$F$32,5,FALSE) - VLOOKUP($B75,test!$A$3:$G$32,6,FALSE) &gt;= (test!$B$35+VLOOKUP(VLOOKUP($B75,test!$A$2:$I$32,4,FALSE),test!$J$24:$P$28,5,FALSE))/1440),1,0)</f>
        <v>1</v>
      </c>
      <c r="K75" s="2">
        <f>IF(AND(VLOOKUP(K$1,test!$A$3:$F$32,5,FALSE) - VLOOKUP($B75,test!$A$3:$G$32,6,FALSE) &gt;= (test!$B$35+VLOOKUP(VLOOKUP($B75,test!$A$2:$I$32,4,FALSE),test!$J$24:$P$28,5,FALSE))/1440),1,0)</f>
        <v>1</v>
      </c>
      <c r="L75" s="2">
        <f>IF(AND(VLOOKUP(L$1,test!$A$3:$F$32,5,FALSE) - VLOOKUP($B75,test!$A$3:$G$32,6,FALSE) &gt;= (test!$B$35+VLOOKUP(VLOOKUP($B75,test!$A$2:$I$32,4,FALSE),test!$J$24:$P$28,5,FALSE))/1440),1,0)</f>
        <v>0</v>
      </c>
      <c r="M75" s="2">
        <f>IF(AND(VLOOKUP(M$1,test!$A$3:$F$32,5,FALSE) - VLOOKUP($B75,test!$A$3:$G$32,6,FALSE) &gt;= (test!$B$35+VLOOKUP(VLOOKUP($B75,test!$A$2:$I$32,4,FALSE),test!$J$24:$P$28,5,FALSE))/1440),1,0)</f>
        <v>0</v>
      </c>
      <c r="N75" s="2">
        <f>IF(AND(VLOOKUP(N$1,test!$A$3:$F$32,5,FALSE) - VLOOKUP($B75,test!$A$3:$G$32,6,FALSE) &gt;= (test!$B$35+VLOOKUP(VLOOKUP($B75,test!$A$2:$I$32,4,FALSE),test!$J$24:$P$28,5,FALSE))/1440),1,0)</f>
        <v>0</v>
      </c>
      <c r="O75" s="2">
        <f>IF(AND(VLOOKUP(O$1,test!$A$3:$F$32,5,FALSE) - VLOOKUP($B75,test!$A$3:$G$32,6,FALSE) &gt;= (test!$B$35+VLOOKUP(VLOOKUP($B75,test!$A$2:$I$32,4,FALSE),test!$J$24:$P$28,5,FALSE))/1440),1,0)</f>
        <v>1</v>
      </c>
      <c r="P75" s="2">
        <f>IF(AND(VLOOKUP(P$1,test!$A$3:$F$32,5,FALSE) - VLOOKUP($B75,test!$A$3:$G$32,6,FALSE) &gt;= (test!$B$35+VLOOKUP(VLOOKUP($B75,test!$A$2:$I$32,4,FALSE),test!$J$24:$P$28,5,FALSE))/1440),1,0)</f>
        <v>1</v>
      </c>
      <c r="Q75" s="2">
        <f>IF(AND(VLOOKUP(Q$1,test!$A$3:$F$32,5,FALSE) - VLOOKUP($B75,test!$A$3:$G$32,6,FALSE) &gt;= (test!$B$35+VLOOKUP(VLOOKUP($B75,test!$A$2:$I$32,4,FALSE),test!$J$24:$P$28,5,FALSE))/1440),1,0)</f>
        <v>0</v>
      </c>
      <c r="R75" s="2">
        <f>IF(AND(VLOOKUP(R$1,test!$A$3:$F$32,5,FALSE) - VLOOKUP($B75,test!$A$3:$G$32,6,FALSE) &gt;= (test!$B$35+VLOOKUP(VLOOKUP($B75,test!$A$2:$I$32,4,FALSE),test!$J$24:$P$28,5,FALSE))/1440),1,0)</f>
        <v>0</v>
      </c>
      <c r="S75" s="2">
        <f>IF(AND(VLOOKUP(S$1,test!$A$3:$F$32,5,FALSE) - VLOOKUP($B75,test!$A$3:$G$32,6,FALSE) &gt;= (test!$B$35+VLOOKUP(VLOOKUP($B75,test!$A$2:$I$32,4,FALSE),test!$J$24:$P$28,5,FALSE))/1440),1,0)</f>
        <v>0</v>
      </c>
      <c r="T75" s="2">
        <f>IF(AND(VLOOKUP(T$1,test!$A$3:$F$32,5,FALSE) - VLOOKUP($B75,test!$A$3:$G$32,6,FALSE) &gt;= (test!$B$35+VLOOKUP(VLOOKUP($B75,test!$A$2:$I$32,4,FALSE),test!$J$24:$P$28,5,FALSE))/1440),1,0)</f>
        <v>0</v>
      </c>
      <c r="U75" s="2">
        <f>IF(AND(VLOOKUP(U$1,test!$A$3:$F$32,5,FALSE) - VLOOKUP($B75,test!$A$3:$G$32,6,FALSE) &gt;= (test!$B$35+VLOOKUP(VLOOKUP($B75,test!$A$2:$I$32,4,FALSE),test!$J$24:$P$28,5,FALSE))/1440),1,0)</f>
        <v>0</v>
      </c>
      <c r="V75" s="2">
        <f>IF(AND(VLOOKUP(V$1,test!$A$3:$F$32,5,FALSE) - VLOOKUP($B75,test!$A$3:$G$32,6,FALSE) &gt;= (test!$B$35+VLOOKUP(VLOOKUP($B75,test!$A$2:$I$32,4,FALSE),test!$J$24:$P$28,5,FALSE))/1440),1,0)</f>
        <v>0</v>
      </c>
      <c r="W75" s="2">
        <f>IF(AND(VLOOKUP(W$1,test!$A$3:$F$32,5,FALSE) - VLOOKUP($B75,test!$A$3:$G$32,6,FALSE) &gt;= (test!$B$35+VLOOKUP(VLOOKUP($B75,test!$A$2:$I$32,4,FALSE),test!$J$24:$P$28,5,FALSE))/1440),1,0)</f>
        <v>0</v>
      </c>
      <c r="X75" s="2">
        <f>IF(AND(VLOOKUP(X$1,test!$A$3:$F$32,5,FALSE) - VLOOKUP($B75,test!$A$3:$G$32,6,FALSE) &gt;= (test!$B$35+VLOOKUP(VLOOKUP($B75,test!$A$2:$I$32,4,FALSE),test!$J$24:$P$28,5,FALSE))/1440),1,0)</f>
        <v>1</v>
      </c>
      <c r="Y75" s="2">
        <f>IF(AND(VLOOKUP(Y$1,test!$A$3:$F$32,5,FALSE) - VLOOKUP($B75,test!$A$3:$G$32,6,FALSE) &gt;= (test!$B$35+VLOOKUP(VLOOKUP($B75,test!$A$2:$I$32,4,FALSE),test!$J$24:$P$28,5,FALSE))/1440),1,0)</f>
        <v>1</v>
      </c>
      <c r="Z75" s="2">
        <f>IF(AND(VLOOKUP(Z$1,test!$A$3:$F$32,5,FALSE) - VLOOKUP($B75,test!$A$3:$G$32,6,FALSE) &gt;= (test!$B$35+VLOOKUP(VLOOKUP($B75,test!$A$2:$I$32,4,FALSE),test!$J$24:$P$28,5,FALSE))/1440),1,0)</f>
        <v>0</v>
      </c>
      <c r="AA75" s="2">
        <f>IF(AND(VLOOKUP(AA$1,test!$A$3:$F$32,5,FALSE) - VLOOKUP($B75,test!$A$3:$G$32,6,FALSE) &gt;= (test!$B$35+VLOOKUP(VLOOKUP($B75,test!$A$2:$I$32,4,FALSE),test!$J$24:$P$28,5,FALSE))/1440),1,0)</f>
        <v>0</v>
      </c>
      <c r="AB75" s="2">
        <f>IF(AND(VLOOKUP(AB$1,test!$A$3:$F$32,5,FALSE) - VLOOKUP($B75,test!$A$3:$G$32,6,FALSE) &gt;= (test!$B$35+VLOOKUP(VLOOKUP($B75,test!$A$2:$I$32,4,FALSE),test!$J$24:$P$28,5,FALSE))/1440),1,0)</f>
        <v>0</v>
      </c>
      <c r="AC75" s="2">
        <f>IF(AND(VLOOKUP(AC$1,test!$A$3:$F$32,5,FALSE) - VLOOKUP($B75,test!$A$3:$G$32,6,FALSE) &gt;= (test!$B$35+VLOOKUP(VLOOKUP($B75,test!$A$2:$I$32,4,FALSE),test!$J$24:$P$28,5,FALSE))/1440),1,0)</f>
        <v>0</v>
      </c>
      <c r="AD75" s="2">
        <f>IF(AND(VLOOKUP(AD$1,test!$A$3:$F$32,5,FALSE) - VLOOKUP($B75,test!$A$3:$G$32,6,FALSE) &gt;= (test!$B$35+VLOOKUP(VLOOKUP($B75,test!$A$2:$I$32,4,FALSE),test!$J$24:$P$28,5,FALSE))/1440),1,0)</f>
        <v>0</v>
      </c>
      <c r="AE75" s="2">
        <f>IF(AND(VLOOKUP(AE$1,test!$A$3:$F$32,5,FALSE) - VLOOKUP($B75,test!$A$3:$G$32,6,FALSE) &gt;= (test!$B$35+VLOOKUP(VLOOKUP($B75,test!$A$2:$I$32,4,FALSE),test!$J$24:$P$28,5,FALSE))/1440),1,0)</f>
        <v>0</v>
      </c>
      <c r="AF75" s="2">
        <f>IF(AND(VLOOKUP(AF$1,test!$A$3:$F$32,5,FALSE) - VLOOKUP($B75,test!$A$3:$G$32,6,FALSE) &gt;= (test!$B$35+VLOOKUP(VLOOKUP($B75,test!$A$2:$I$32,4,FALSE),test!$J$24:$P$28,5,FALSE))/1440),1,0)</f>
        <v>0</v>
      </c>
      <c r="AG75" s="2">
        <f>IF(AND(VLOOKUP(AG$1,test!$A$3:$F$32,5,FALSE) - VLOOKUP($B75,test!$A$3:$G$32,6,FALSE) &gt;= (test!$B$35+VLOOKUP(VLOOKUP($B75,test!$A$2:$I$32,4,FALSE),test!$J$24:$P$28,5,FALSE))/1440),1,0)</f>
        <v>0</v>
      </c>
    </row>
    <row r="76" spans="1:33" x14ac:dyDescent="0.25">
      <c r="A76" t="s">
        <v>97</v>
      </c>
      <c r="B76" t="s">
        <v>22</v>
      </c>
      <c r="C76">
        <v>0</v>
      </c>
      <c r="D76" s="2">
        <f>IF(AND(VLOOKUP(D$1,test!$A$3:$F$32,5,FALSE) - VLOOKUP($B76,test!$A$3:$G$32,6,FALSE) &gt;= (test!$B$35+VLOOKUP(VLOOKUP($B76,test!$A$2:$I$32,4,FALSE),test!$J$24:$P$28,5,FALSE))/1440),1,0)</f>
        <v>0</v>
      </c>
      <c r="E76" s="2">
        <f>IF(AND(VLOOKUP(E$1,test!$A$3:$F$32,5,FALSE) - VLOOKUP($B76,test!$A$3:$G$32,6,FALSE) &gt;= (test!$B$35+VLOOKUP(VLOOKUP($B76,test!$A$2:$I$32,4,FALSE),test!$J$24:$P$28,5,FALSE))/1440),1,0)</f>
        <v>0</v>
      </c>
      <c r="F76" s="2">
        <f>IF(AND(VLOOKUP(F$1,test!$A$3:$F$32,5,FALSE) - VLOOKUP($B76,test!$A$3:$G$32,6,FALSE) &gt;= (test!$B$35+VLOOKUP(VLOOKUP($B76,test!$A$2:$I$32,4,FALSE),test!$J$24:$P$28,5,FALSE))/1440),1,0)</f>
        <v>0</v>
      </c>
      <c r="G76" s="2">
        <f>IF(AND(VLOOKUP(G$1,test!$A$3:$F$32,5,FALSE) - VLOOKUP($B76,test!$A$3:$G$32,6,FALSE) &gt;= (test!$B$35+VLOOKUP(VLOOKUP($B76,test!$A$2:$I$32,4,FALSE),test!$J$24:$P$28,5,FALSE))/1440),1,0)</f>
        <v>0</v>
      </c>
      <c r="H76" s="2">
        <f>IF(AND(VLOOKUP(H$1,test!$A$3:$F$32,5,FALSE) - VLOOKUP($B76,test!$A$3:$G$32,6,FALSE) &gt;= (test!$B$35+VLOOKUP(VLOOKUP($B76,test!$A$2:$I$32,4,FALSE),test!$J$24:$P$28,5,FALSE))/1440),1,0)</f>
        <v>0</v>
      </c>
      <c r="I76" s="2">
        <f>IF(AND(VLOOKUP(I$1,test!$A$3:$F$32,5,FALSE) - VLOOKUP($B76,test!$A$3:$G$32,6,FALSE) &gt;= (test!$B$35+VLOOKUP(VLOOKUP($B76,test!$A$2:$I$32,4,FALSE),test!$J$24:$P$28,5,FALSE))/1440),1,0)</f>
        <v>0</v>
      </c>
      <c r="J76" s="2">
        <f>IF(AND(VLOOKUP(J$1,test!$A$3:$F$32,5,FALSE) - VLOOKUP($B76,test!$A$3:$G$32,6,FALSE) &gt;= (test!$B$35+VLOOKUP(VLOOKUP($B76,test!$A$2:$I$32,4,FALSE),test!$J$24:$P$28,5,FALSE))/1440),1,0)</f>
        <v>0</v>
      </c>
      <c r="K76" s="2">
        <f>IF(AND(VLOOKUP(K$1,test!$A$3:$F$32,5,FALSE) - VLOOKUP($B76,test!$A$3:$G$32,6,FALSE) &gt;= (test!$B$35+VLOOKUP(VLOOKUP($B76,test!$A$2:$I$32,4,FALSE),test!$J$24:$P$28,5,FALSE))/1440),1,0)</f>
        <v>0</v>
      </c>
      <c r="L76" s="2">
        <f>IF(AND(VLOOKUP(L$1,test!$A$3:$F$32,5,FALSE) - VLOOKUP($B76,test!$A$3:$G$32,6,FALSE) &gt;= (test!$B$35+VLOOKUP(VLOOKUP($B76,test!$A$2:$I$32,4,FALSE),test!$J$24:$P$28,5,FALSE))/1440),1,0)</f>
        <v>0</v>
      </c>
      <c r="M76" s="2">
        <f>IF(AND(VLOOKUP(M$1,test!$A$3:$F$32,5,FALSE) - VLOOKUP($B76,test!$A$3:$G$32,6,FALSE) &gt;= (test!$B$35+VLOOKUP(VLOOKUP($B76,test!$A$2:$I$32,4,FALSE),test!$J$24:$P$28,5,FALSE))/1440),1,0)</f>
        <v>0</v>
      </c>
      <c r="N76" s="2">
        <f>IF(AND(VLOOKUP(N$1,test!$A$3:$F$32,5,FALSE) - VLOOKUP($B76,test!$A$3:$G$32,6,FALSE) &gt;= (test!$B$35+VLOOKUP(VLOOKUP($B76,test!$A$2:$I$32,4,FALSE),test!$J$24:$P$28,5,FALSE))/1440),1,0)</f>
        <v>0</v>
      </c>
      <c r="O76" s="2">
        <f>IF(AND(VLOOKUP(O$1,test!$A$3:$F$32,5,FALSE) - VLOOKUP($B76,test!$A$3:$G$32,6,FALSE) &gt;= (test!$B$35+VLOOKUP(VLOOKUP($B76,test!$A$2:$I$32,4,FALSE),test!$J$24:$P$28,5,FALSE))/1440),1,0)</f>
        <v>0</v>
      </c>
      <c r="P76" s="2">
        <f>IF(AND(VLOOKUP(P$1,test!$A$3:$F$32,5,FALSE) - VLOOKUP($B76,test!$A$3:$G$32,6,FALSE) &gt;= (test!$B$35+VLOOKUP(VLOOKUP($B76,test!$A$2:$I$32,4,FALSE),test!$J$24:$P$28,5,FALSE))/1440),1,0)</f>
        <v>0</v>
      </c>
      <c r="Q76" s="2">
        <f>IF(AND(VLOOKUP(Q$1,test!$A$3:$F$32,5,FALSE) - VLOOKUP($B76,test!$A$3:$G$32,6,FALSE) &gt;= (test!$B$35+VLOOKUP(VLOOKUP($B76,test!$A$2:$I$32,4,FALSE),test!$J$24:$P$28,5,FALSE))/1440),1,0)</f>
        <v>0</v>
      </c>
      <c r="R76" s="2">
        <f>IF(AND(VLOOKUP(R$1,test!$A$3:$F$32,5,FALSE) - VLOOKUP($B76,test!$A$3:$G$32,6,FALSE) &gt;= (test!$B$35+VLOOKUP(VLOOKUP($B76,test!$A$2:$I$32,4,FALSE),test!$J$24:$P$28,5,FALSE))/1440),1,0)</f>
        <v>0</v>
      </c>
      <c r="S76" s="2">
        <f>IF(AND(VLOOKUP(S$1,test!$A$3:$F$32,5,FALSE) - VLOOKUP($B76,test!$A$3:$G$32,6,FALSE) &gt;= (test!$B$35+VLOOKUP(VLOOKUP($B76,test!$A$2:$I$32,4,FALSE),test!$J$24:$P$28,5,FALSE))/1440),1,0)</f>
        <v>0</v>
      </c>
      <c r="T76" s="2">
        <f>IF(AND(VLOOKUP(T$1,test!$A$3:$F$32,5,FALSE) - VLOOKUP($B76,test!$A$3:$G$32,6,FALSE) &gt;= (test!$B$35+VLOOKUP(VLOOKUP($B76,test!$A$2:$I$32,4,FALSE),test!$J$24:$P$28,5,FALSE))/1440),1,0)</f>
        <v>0</v>
      </c>
      <c r="U76" s="2">
        <f>IF(AND(VLOOKUP(U$1,test!$A$3:$F$32,5,FALSE) - VLOOKUP($B76,test!$A$3:$G$32,6,FALSE) &gt;= (test!$B$35+VLOOKUP(VLOOKUP($B76,test!$A$2:$I$32,4,FALSE),test!$J$24:$P$28,5,FALSE))/1440),1,0)</f>
        <v>0</v>
      </c>
      <c r="V76" s="2">
        <f>IF(AND(VLOOKUP(V$1,test!$A$3:$F$32,5,FALSE) - VLOOKUP($B76,test!$A$3:$G$32,6,FALSE) &gt;= (test!$B$35+VLOOKUP(VLOOKUP($B76,test!$A$2:$I$32,4,FALSE),test!$J$24:$P$28,5,FALSE))/1440),1,0)</f>
        <v>0</v>
      </c>
      <c r="W76" s="2">
        <f>IF(AND(VLOOKUP(W$1,test!$A$3:$F$32,5,FALSE) - VLOOKUP($B76,test!$A$3:$G$32,6,FALSE) &gt;= (test!$B$35+VLOOKUP(VLOOKUP($B76,test!$A$2:$I$32,4,FALSE),test!$J$24:$P$28,5,FALSE))/1440),1,0)</f>
        <v>0</v>
      </c>
      <c r="X76" s="2">
        <f>IF(AND(VLOOKUP(X$1,test!$A$3:$F$32,5,FALSE) - VLOOKUP($B76,test!$A$3:$G$32,6,FALSE) &gt;= (test!$B$35+VLOOKUP(VLOOKUP($B76,test!$A$2:$I$32,4,FALSE),test!$J$24:$P$28,5,FALSE))/1440),1,0)</f>
        <v>0</v>
      </c>
      <c r="Y76" s="2">
        <f>IF(AND(VLOOKUP(Y$1,test!$A$3:$F$32,5,FALSE) - VLOOKUP($B76,test!$A$3:$G$32,6,FALSE) &gt;= (test!$B$35+VLOOKUP(VLOOKUP($B76,test!$A$2:$I$32,4,FALSE),test!$J$24:$P$28,5,FALSE))/1440),1,0)</f>
        <v>0</v>
      </c>
      <c r="Z76" s="2">
        <f>IF(AND(VLOOKUP(Z$1,test!$A$3:$F$32,5,FALSE) - VLOOKUP($B76,test!$A$3:$G$32,6,FALSE) &gt;= (test!$B$35+VLOOKUP(VLOOKUP($B76,test!$A$2:$I$32,4,FALSE),test!$J$24:$P$28,5,FALSE))/1440),1,0)</f>
        <v>0</v>
      </c>
      <c r="AA76" s="2">
        <f>IF(AND(VLOOKUP(AA$1,test!$A$3:$F$32,5,FALSE) - VLOOKUP($B76,test!$A$3:$G$32,6,FALSE) &gt;= (test!$B$35+VLOOKUP(VLOOKUP($B76,test!$A$2:$I$32,4,FALSE),test!$J$24:$P$28,5,FALSE))/1440),1,0)</f>
        <v>0</v>
      </c>
      <c r="AB76" s="2">
        <f>IF(AND(VLOOKUP(AB$1,test!$A$3:$F$32,5,FALSE) - VLOOKUP($B76,test!$A$3:$G$32,6,FALSE) &gt;= (test!$B$35+VLOOKUP(VLOOKUP($B76,test!$A$2:$I$32,4,FALSE),test!$J$24:$P$28,5,FALSE))/1440),1,0)</f>
        <v>0</v>
      </c>
      <c r="AC76" s="2">
        <f>IF(AND(VLOOKUP(AC$1,test!$A$3:$F$32,5,FALSE) - VLOOKUP($B76,test!$A$3:$G$32,6,FALSE) &gt;= (test!$B$35+VLOOKUP(VLOOKUP($B76,test!$A$2:$I$32,4,FALSE),test!$J$24:$P$28,5,FALSE))/1440),1,0)</f>
        <v>0</v>
      </c>
      <c r="AD76" s="2">
        <f>IF(AND(VLOOKUP(AD$1,test!$A$3:$F$32,5,FALSE) - VLOOKUP($B76,test!$A$3:$G$32,6,FALSE) &gt;= (test!$B$35+VLOOKUP(VLOOKUP($B76,test!$A$2:$I$32,4,FALSE),test!$J$24:$P$28,5,FALSE))/1440),1,0)</f>
        <v>0</v>
      </c>
      <c r="AE76" s="2">
        <f>IF(AND(VLOOKUP(AE$1,test!$A$3:$F$32,5,FALSE) - VLOOKUP($B76,test!$A$3:$G$32,6,FALSE) &gt;= (test!$B$35+VLOOKUP(VLOOKUP($B76,test!$A$2:$I$32,4,FALSE),test!$J$24:$P$28,5,FALSE))/1440),1,0)</f>
        <v>0</v>
      </c>
      <c r="AF76" s="2">
        <f>IF(AND(VLOOKUP(AF$1,test!$A$3:$F$32,5,FALSE) - VLOOKUP($B76,test!$A$3:$G$32,6,FALSE) &gt;= (test!$B$35+VLOOKUP(VLOOKUP($B76,test!$A$2:$I$32,4,FALSE),test!$J$24:$P$28,5,FALSE))/1440),1,0)</f>
        <v>0</v>
      </c>
      <c r="AG76" s="2">
        <f>IF(AND(VLOOKUP(AG$1,test!$A$3:$F$32,5,FALSE) - VLOOKUP($B76,test!$A$3:$G$32,6,FALSE) &gt;= (test!$B$35+VLOOKUP(VLOOKUP($B76,test!$A$2:$I$32,4,FALSE),test!$J$24:$P$28,5,FALSE))/1440),1,0)</f>
        <v>0</v>
      </c>
    </row>
    <row r="77" spans="1:33" x14ac:dyDescent="0.25">
      <c r="A77" t="s">
        <v>97</v>
      </c>
      <c r="B77" t="s">
        <v>23</v>
      </c>
      <c r="C77">
        <v>0</v>
      </c>
      <c r="D77" s="2">
        <f>IF(AND(VLOOKUP(D$1,test!$A$3:$F$32,5,FALSE) - VLOOKUP($B77,test!$A$3:$G$32,6,FALSE) &gt;= (test!$B$35+VLOOKUP(VLOOKUP($B77,test!$A$2:$I$32,4,FALSE),test!$J$24:$P$28,5,FALSE))/1440),1,0)</f>
        <v>0</v>
      </c>
      <c r="E77" s="2">
        <f>IF(AND(VLOOKUP(E$1,test!$A$3:$F$32,5,FALSE) - VLOOKUP($B77,test!$A$3:$G$32,6,FALSE) &gt;= (test!$B$35+VLOOKUP(VLOOKUP($B77,test!$A$2:$I$32,4,FALSE),test!$J$24:$P$28,5,FALSE))/1440),1,0)</f>
        <v>0</v>
      </c>
      <c r="F77" s="2">
        <f>IF(AND(VLOOKUP(F$1,test!$A$3:$F$32,5,FALSE) - VLOOKUP($B77,test!$A$3:$G$32,6,FALSE) &gt;= (test!$B$35+VLOOKUP(VLOOKUP($B77,test!$A$2:$I$32,4,FALSE),test!$J$24:$P$28,5,FALSE))/1440),1,0)</f>
        <v>0</v>
      </c>
      <c r="G77" s="2">
        <f>IF(AND(VLOOKUP(G$1,test!$A$3:$F$32,5,FALSE) - VLOOKUP($B77,test!$A$3:$G$32,6,FALSE) &gt;= (test!$B$35+VLOOKUP(VLOOKUP($B77,test!$A$2:$I$32,4,FALSE),test!$J$24:$P$28,5,FALSE))/1440),1,0)</f>
        <v>0</v>
      </c>
      <c r="H77" s="2">
        <f>IF(AND(VLOOKUP(H$1,test!$A$3:$F$32,5,FALSE) - VLOOKUP($B77,test!$A$3:$G$32,6,FALSE) &gt;= (test!$B$35+VLOOKUP(VLOOKUP($B77,test!$A$2:$I$32,4,FALSE),test!$J$24:$P$28,5,FALSE))/1440),1,0)</f>
        <v>0</v>
      </c>
      <c r="I77" s="2">
        <f>IF(AND(VLOOKUP(I$1,test!$A$3:$F$32,5,FALSE) - VLOOKUP($B77,test!$A$3:$G$32,6,FALSE) &gt;= (test!$B$35+VLOOKUP(VLOOKUP($B77,test!$A$2:$I$32,4,FALSE),test!$J$24:$P$28,5,FALSE))/1440),1,0)</f>
        <v>0</v>
      </c>
      <c r="J77" s="2">
        <f>IF(AND(VLOOKUP(J$1,test!$A$3:$F$32,5,FALSE) - VLOOKUP($B77,test!$A$3:$G$32,6,FALSE) &gt;= (test!$B$35+VLOOKUP(VLOOKUP($B77,test!$A$2:$I$32,4,FALSE),test!$J$24:$P$28,5,FALSE))/1440),1,0)</f>
        <v>0</v>
      </c>
      <c r="K77" s="2">
        <f>IF(AND(VLOOKUP(K$1,test!$A$3:$F$32,5,FALSE) - VLOOKUP($B77,test!$A$3:$G$32,6,FALSE) &gt;= (test!$B$35+VLOOKUP(VLOOKUP($B77,test!$A$2:$I$32,4,FALSE),test!$J$24:$P$28,5,FALSE))/1440),1,0)</f>
        <v>0</v>
      </c>
      <c r="L77" s="2">
        <f>IF(AND(VLOOKUP(L$1,test!$A$3:$F$32,5,FALSE) - VLOOKUP($B77,test!$A$3:$G$32,6,FALSE) &gt;= (test!$B$35+VLOOKUP(VLOOKUP($B77,test!$A$2:$I$32,4,FALSE),test!$J$24:$P$28,5,FALSE))/1440),1,0)</f>
        <v>0</v>
      </c>
      <c r="M77" s="2">
        <f>IF(AND(VLOOKUP(M$1,test!$A$3:$F$32,5,FALSE) - VLOOKUP($B77,test!$A$3:$G$32,6,FALSE) &gt;= (test!$B$35+VLOOKUP(VLOOKUP($B77,test!$A$2:$I$32,4,FALSE),test!$J$24:$P$28,5,FALSE))/1440),1,0)</f>
        <v>0</v>
      </c>
      <c r="N77" s="2">
        <f>IF(AND(VLOOKUP(N$1,test!$A$3:$F$32,5,FALSE) - VLOOKUP($B77,test!$A$3:$G$32,6,FALSE) &gt;= (test!$B$35+VLOOKUP(VLOOKUP($B77,test!$A$2:$I$32,4,FALSE),test!$J$24:$P$28,5,FALSE))/1440),1,0)</f>
        <v>0</v>
      </c>
      <c r="O77" s="2">
        <f>IF(AND(VLOOKUP(O$1,test!$A$3:$F$32,5,FALSE) - VLOOKUP($B77,test!$A$3:$G$32,6,FALSE) &gt;= (test!$B$35+VLOOKUP(VLOOKUP($B77,test!$A$2:$I$32,4,FALSE),test!$J$24:$P$28,5,FALSE))/1440),1,0)</f>
        <v>0</v>
      </c>
      <c r="P77" s="2">
        <f>IF(AND(VLOOKUP(P$1,test!$A$3:$F$32,5,FALSE) - VLOOKUP($B77,test!$A$3:$G$32,6,FALSE) &gt;= (test!$B$35+VLOOKUP(VLOOKUP($B77,test!$A$2:$I$32,4,FALSE),test!$J$24:$P$28,5,FALSE))/1440),1,0)</f>
        <v>0</v>
      </c>
      <c r="Q77" s="2">
        <f>IF(AND(VLOOKUP(Q$1,test!$A$3:$F$32,5,FALSE) - VLOOKUP($B77,test!$A$3:$G$32,6,FALSE) &gt;= (test!$B$35+VLOOKUP(VLOOKUP($B77,test!$A$2:$I$32,4,FALSE),test!$J$24:$P$28,5,FALSE))/1440),1,0)</f>
        <v>0</v>
      </c>
      <c r="R77" s="2">
        <f>IF(AND(VLOOKUP(R$1,test!$A$3:$F$32,5,FALSE) - VLOOKUP($B77,test!$A$3:$G$32,6,FALSE) &gt;= (test!$B$35+VLOOKUP(VLOOKUP($B77,test!$A$2:$I$32,4,FALSE),test!$J$24:$P$28,5,FALSE))/1440),1,0)</f>
        <v>0</v>
      </c>
      <c r="S77" s="2">
        <f>IF(AND(VLOOKUP(S$1,test!$A$3:$F$32,5,FALSE) - VLOOKUP($B77,test!$A$3:$G$32,6,FALSE) &gt;= (test!$B$35+VLOOKUP(VLOOKUP($B77,test!$A$2:$I$32,4,FALSE),test!$J$24:$P$28,5,FALSE))/1440),1,0)</f>
        <v>0</v>
      </c>
      <c r="T77" s="2">
        <f>IF(AND(VLOOKUP(T$1,test!$A$3:$F$32,5,FALSE) - VLOOKUP($B77,test!$A$3:$G$32,6,FALSE) &gt;= (test!$B$35+VLOOKUP(VLOOKUP($B77,test!$A$2:$I$32,4,FALSE),test!$J$24:$P$28,5,FALSE))/1440),1,0)</f>
        <v>0</v>
      </c>
      <c r="U77" s="2">
        <f>IF(AND(VLOOKUP(U$1,test!$A$3:$F$32,5,FALSE) - VLOOKUP($B77,test!$A$3:$G$32,6,FALSE) &gt;= (test!$B$35+VLOOKUP(VLOOKUP($B77,test!$A$2:$I$32,4,FALSE),test!$J$24:$P$28,5,FALSE))/1440),1,0)</f>
        <v>0</v>
      </c>
      <c r="V77" s="2">
        <f>IF(AND(VLOOKUP(V$1,test!$A$3:$F$32,5,FALSE) - VLOOKUP($B77,test!$A$3:$G$32,6,FALSE) &gt;= (test!$B$35+VLOOKUP(VLOOKUP($B77,test!$A$2:$I$32,4,FALSE),test!$J$24:$P$28,5,FALSE))/1440),1,0)</f>
        <v>0</v>
      </c>
      <c r="W77" s="2">
        <f>IF(AND(VLOOKUP(W$1,test!$A$3:$F$32,5,FALSE) - VLOOKUP($B77,test!$A$3:$G$32,6,FALSE) &gt;= (test!$B$35+VLOOKUP(VLOOKUP($B77,test!$A$2:$I$32,4,FALSE),test!$J$24:$P$28,5,FALSE))/1440),1,0)</f>
        <v>0</v>
      </c>
      <c r="X77" s="2">
        <f>IF(AND(VLOOKUP(X$1,test!$A$3:$F$32,5,FALSE) - VLOOKUP($B77,test!$A$3:$G$32,6,FALSE) &gt;= (test!$B$35+VLOOKUP(VLOOKUP($B77,test!$A$2:$I$32,4,FALSE),test!$J$24:$P$28,5,FALSE))/1440),1,0)</f>
        <v>0</v>
      </c>
      <c r="Y77" s="2">
        <f>IF(AND(VLOOKUP(Y$1,test!$A$3:$F$32,5,FALSE) - VLOOKUP($B77,test!$A$3:$G$32,6,FALSE) &gt;= (test!$B$35+VLOOKUP(VLOOKUP($B77,test!$A$2:$I$32,4,FALSE),test!$J$24:$P$28,5,FALSE))/1440),1,0)</f>
        <v>0</v>
      </c>
      <c r="Z77" s="2">
        <f>IF(AND(VLOOKUP(Z$1,test!$A$3:$F$32,5,FALSE) - VLOOKUP($B77,test!$A$3:$G$32,6,FALSE) &gt;= (test!$B$35+VLOOKUP(VLOOKUP($B77,test!$A$2:$I$32,4,FALSE),test!$J$24:$P$28,5,FALSE))/1440),1,0)</f>
        <v>0</v>
      </c>
      <c r="AA77" s="2">
        <f>IF(AND(VLOOKUP(AA$1,test!$A$3:$F$32,5,FALSE) - VLOOKUP($B77,test!$A$3:$G$32,6,FALSE) &gt;= (test!$B$35+VLOOKUP(VLOOKUP($B77,test!$A$2:$I$32,4,FALSE),test!$J$24:$P$28,5,FALSE))/1440),1,0)</f>
        <v>0</v>
      </c>
      <c r="AB77" s="2">
        <f>IF(AND(VLOOKUP(AB$1,test!$A$3:$F$32,5,FALSE) - VLOOKUP($B77,test!$A$3:$G$32,6,FALSE) &gt;= (test!$B$35+VLOOKUP(VLOOKUP($B77,test!$A$2:$I$32,4,FALSE),test!$J$24:$P$28,5,FALSE))/1440),1,0)</f>
        <v>0</v>
      </c>
      <c r="AC77" s="2">
        <f>IF(AND(VLOOKUP(AC$1,test!$A$3:$F$32,5,FALSE) - VLOOKUP($B77,test!$A$3:$G$32,6,FALSE) &gt;= (test!$B$35+VLOOKUP(VLOOKUP($B77,test!$A$2:$I$32,4,FALSE),test!$J$24:$P$28,5,FALSE))/1440),1,0)</f>
        <v>0</v>
      </c>
      <c r="AD77" s="2">
        <f>IF(AND(VLOOKUP(AD$1,test!$A$3:$F$32,5,FALSE) - VLOOKUP($B77,test!$A$3:$G$32,6,FALSE) &gt;= (test!$B$35+VLOOKUP(VLOOKUP($B77,test!$A$2:$I$32,4,FALSE),test!$J$24:$P$28,5,FALSE))/1440),1,0)</f>
        <v>0</v>
      </c>
      <c r="AE77" s="2">
        <f>IF(AND(VLOOKUP(AE$1,test!$A$3:$F$32,5,FALSE) - VLOOKUP($B77,test!$A$3:$G$32,6,FALSE) &gt;= (test!$B$35+VLOOKUP(VLOOKUP($B77,test!$A$2:$I$32,4,FALSE),test!$J$24:$P$28,5,FALSE))/1440),1,0)</f>
        <v>0</v>
      </c>
      <c r="AF77" s="2">
        <f>IF(AND(VLOOKUP(AF$1,test!$A$3:$F$32,5,FALSE) - VLOOKUP($B77,test!$A$3:$G$32,6,FALSE) &gt;= (test!$B$35+VLOOKUP(VLOOKUP($B77,test!$A$2:$I$32,4,FALSE),test!$J$24:$P$28,5,FALSE))/1440),1,0)</f>
        <v>0</v>
      </c>
      <c r="AG77" s="2">
        <f>IF(AND(VLOOKUP(AG$1,test!$A$3:$F$32,5,FALSE) - VLOOKUP($B77,test!$A$3:$G$32,6,FALSE) &gt;= (test!$B$35+VLOOKUP(VLOOKUP($B77,test!$A$2:$I$32,4,FALSE),test!$J$24:$P$28,5,FALSE))/1440),1,0)</f>
        <v>0</v>
      </c>
    </row>
    <row r="78" spans="1:33" x14ac:dyDescent="0.25">
      <c r="A78" t="s">
        <v>97</v>
      </c>
      <c r="B78" t="s">
        <v>24</v>
      </c>
      <c r="C78">
        <v>0</v>
      </c>
      <c r="D78" s="2">
        <f>IF(AND(VLOOKUP(D$1,test!$A$3:$F$32,5,FALSE) - VLOOKUP($B78,test!$A$3:$G$32,6,FALSE) &gt;= (test!$B$35+VLOOKUP(VLOOKUP($B78,test!$A$2:$I$32,4,FALSE),test!$J$24:$P$28,5,FALSE))/1440),1,0)</f>
        <v>0</v>
      </c>
      <c r="E78" s="2">
        <f>IF(AND(VLOOKUP(E$1,test!$A$3:$F$32,5,FALSE) - VLOOKUP($B78,test!$A$3:$G$32,6,FALSE) &gt;= (test!$B$35+VLOOKUP(VLOOKUP($B78,test!$A$2:$I$32,4,FALSE),test!$J$24:$P$28,5,FALSE))/1440),1,0)</f>
        <v>0</v>
      </c>
      <c r="F78" s="2">
        <f>IF(AND(VLOOKUP(F$1,test!$A$3:$F$32,5,FALSE) - VLOOKUP($B78,test!$A$3:$G$32,6,FALSE) &gt;= (test!$B$35+VLOOKUP(VLOOKUP($B78,test!$A$2:$I$32,4,FALSE),test!$J$24:$P$28,5,FALSE))/1440),1,0)</f>
        <v>0</v>
      </c>
      <c r="G78" s="2">
        <f>IF(AND(VLOOKUP(G$1,test!$A$3:$F$32,5,FALSE) - VLOOKUP($B78,test!$A$3:$G$32,6,FALSE) &gt;= (test!$B$35+VLOOKUP(VLOOKUP($B78,test!$A$2:$I$32,4,FALSE),test!$J$24:$P$28,5,FALSE))/1440),1,0)</f>
        <v>1</v>
      </c>
      <c r="H78" s="2">
        <f>IF(AND(VLOOKUP(H$1,test!$A$3:$F$32,5,FALSE) - VLOOKUP($B78,test!$A$3:$G$32,6,FALSE) &gt;= (test!$B$35+VLOOKUP(VLOOKUP($B78,test!$A$2:$I$32,4,FALSE),test!$J$24:$P$28,5,FALSE))/1440),1,0)</f>
        <v>1</v>
      </c>
      <c r="I78" s="2">
        <f>IF(AND(VLOOKUP(I$1,test!$A$3:$F$32,5,FALSE) - VLOOKUP($B78,test!$A$3:$G$32,6,FALSE) &gt;= (test!$B$35+VLOOKUP(VLOOKUP($B78,test!$A$2:$I$32,4,FALSE),test!$J$24:$P$28,5,FALSE))/1440),1,0)</f>
        <v>1</v>
      </c>
      <c r="J78" s="2">
        <f>IF(AND(VLOOKUP(J$1,test!$A$3:$F$32,5,FALSE) - VLOOKUP($B78,test!$A$3:$G$32,6,FALSE) &gt;= (test!$B$35+VLOOKUP(VLOOKUP($B78,test!$A$2:$I$32,4,FALSE),test!$J$24:$P$28,5,FALSE))/1440),1,0)</f>
        <v>1</v>
      </c>
      <c r="K78" s="2">
        <f>IF(AND(VLOOKUP(K$1,test!$A$3:$F$32,5,FALSE) - VLOOKUP($B78,test!$A$3:$G$32,6,FALSE) &gt;= (test!$B$35+VLOOKUP(VLOOKUP($B78,test!$A$2:$I$32,4,FALSE),test!$J$24:$P$28,5,FALSE))/1440),1,0)</f>
        <v>1</v>
      </c>
      <c r="L78" s="2">
        <f>IF(AND(VLOOKUP(L$1,test!$A$3:$F$32,5,FALSE) - VLOOKUP($B78,test!$A$3:$G$32,6,FALSE) &gt;= (test!$B$35+VLOOKUP(VLOOKUP($B78,test!$A$2:$I$32,4,FALSE),test!$J$24:$P$28,5,FALSE))/1440),1,0)</f>
        <v>0</v>
      </c>
      <c r="M78" s="2">
        <f>IF(AND(VLOOKUP(M$1,test!$A$3:$F$32,5,FALSE) - VLOOKUP($B78,test!$A$3:$G$32,6,FALSE) &gt;= (test!$B$35+VLOOKUP(VLOOKUP($B78,test!$A$2:$I$32,4,FALSE),test!$J$24:$P$28,5,FALSE))/1440),1,0)</f>
        <v>0</v>
      </c>
      <c r="N78" s="2">
        <f>IF(AND(VLOOKUP(N$1,test!$A$3:$F$32,5,FALSE) - VLOOKUP($B78,test!$A$3:$G$32,6,FALSE) &gt;= (test!$B$35+VLOOKUP(VLOOKUP($B78,test!$A$2:$I$32,4,FALSE),test!$J$24:$P$28,5,FALSE))/1440),1,0)</f>
        <v>0</v>
      </c>
      <c r="O78" s="2">
        <f>IF(AND(VLOOKUP(O$1,test!$A$3:$F$32,5,FALSE) - VLOOKUP($B78,test!$A$3:$G$32,6,FALSE) &gt;= (test!$B$35+VLOOKUP(VLOOKUP($B78,test!$A$2:$I$32,4,FALSE),test!$J$24:$P$28,5,FALSE))/1440),1,0)</f>
        <v>1</v>
      </c>
      <c r="P78" s="2">
        <f>IF(AND(VLOOKUP(P$1,test!$A$3:$F$32,5,FALSE) - VLOOKUP($B78,test!$A$3:$G$32,6,FALSE) &gt;= (test!$B$35+VLOOKUP(VLOOKUP($B78,test!$A$2:$I$32,4,FALSE),test!$J$24:$P$28,5,FALSE))/1440),1,0)</f>
        <v>1</v>
      </c>
      <c r="Q78" s="2">
        <f>IF(AND(VLOOKUP(Q$1,test!$A$3:$F$32,5,FALSE) - VLOOKUP($B78,test!$A$3:$G$32,6,FALSE) &gt;= (test!$B$35+VLOOKUP(VLOOKUP($B78,test!$A$2:$I$32,4,FALSE),test!$J$24:$P$28,5,FALSE))/1440),1,0)</f>
        <v>0</v>
      </c>
      <c r="R78" s="2">
        <f>IF(AND(VLOOKUP(R$1,test!$A$3:$F$32,5,FALSE) - VLOOKUP($B78,test!$A$3:$G$32,6,FALSE) &gt;= (test!$B$35+VLOOKUP(VLOOKUP($B78,test!$A$2:$I$32,4,FALSE),test!$J$24:$P$28,5,FALSE))/1440),1,0)</f>
        <v>0</v>
      </c>
      <c r="S78" s="2">
        <f>IF(AND(VLOOKUP(S$1,test!$A$3:$F$32,5,FALSE) - VLOOKUP($B78,test!$A$3:$G$32,6,FALSE) &gt;= (test!$B$35+VLOOKUP(VLOOKUP($B78,test!$A$2:$I$32,4,FALSE),test!$J$24:$P$28,5,FALSE))/1440),1,0)</f>
        <v>0</v>
      </c>
      <c r="T78" s="2">
        <f>IF(AND(VLOOKUP(T$1,test!$A$3:$F$32,5,FALSE) - VLOOKUP($B78,test!$A$3:$G$32,6,FALSE) &gt;= (test!$B$35+VLOOKUP(VLOOKUP($B78,test!$A$2:$I$32,4,FALSE),test!$J$24:$P$28,5,FALSE))/1440),1,0)</f>
        <v>0</v>
      </c>
      <c r="U78" s="2">
        <f>IF(AND(VLOOKUP(U$1,test!$A$3:$F$32,5,FALSE) - VLOOKUP($B78,test!$A$3:$G$32,6,FALSE) &gt;= (test!$B$35+VLOOKUP(VLOOKUP($B78,test!$A$2:$I$32,4,FALSE),test!$J$24:$P$28,5,FALSE))/1440),1,0)</f>
        <v>0</v>
      </c>
      <c r="V78" s="2">
        <f>IF(AND(VLOOKUP(V$1,test!$A$3:$F$32,5,FALSE) - VLOOKUP($B78,test!$A$3:$G$32,6,FALSE) &gt;= (test!$B$35+VLOOKUP(VLOOKUP($B78,test!$A$2:$I$32,4,FALSE),test!$J$24:$P$28,5,FALSE))/1440),1,0)</f>
        <v>1</v>
      </c>
      <c r="W78" s="2">
        <f>IF(AND(VLOOKUP(W$1,test!$A$3:$F$32,5,FALSE) - VLOOKUP($B78,test!$A$3:$G$32,6,FALSE) &gt;= (test!$B$35+VLOOKUP(VLOOKUP($B78,test!$A$2:$I$32,4,FALSE),test!$J$24:$P$28,5,FALSE))/1440),1,0)</f>
        <v>1</v>
      </c>
      <c r="X78" s="2">
        <f>IF(AND(VLOOKUP(X$1,test!$A$3:$F$32,5,FALSE) - VLOOKUP($B78,test!$A$3:$G$32,6,FALSE) &gt;= (test!$B$35+VLOOKUP(VLOOKUP($B78,test!$A$2:$I$32,4,FALSE),test!$J$24:$P$28,5,FALSE))/1440),1,0)</f>
        <v>1</v>
      </c>
      <c r="Y78" s="2">
        <f>IF(AND(VLOOKUP(Y$1,test!$A$3:$F$32,5,FALSE) - VLOOKUP($B78,test!$A$3:$G$32,6,FALSE) &gt;= (test!$B$35+VLOOKUP(VLOOKUP($B78,test!$A$2:$I$32,4,FALSE),test!$J$24:$P$28,5,FALSE))/1440),1,0)</f>
        <v>1</v>
      </c>
      <c r="Z78" s="2">
        <f>IF(AND(VLOOKUP(Z$1,test!$A$3:$F$32,5,FALSE) - VLOOKUP($B78,test!$A$3:$G$32,6,FALSE) &gt;= (test!$B$35+VLOOKUP(VLOOKUP($B78,test!$A$2:$I$32,4,FALSE),test!$J$24:$P$28,5,FALSE))/1440),1,0)</f>
        <v>0</v>
      </c>
      <c r="AA78" s="2">
        <f>IF(AND(VLOOKUP(AA$1,test!$A$3:$F$32,5,FALSE) - VLOOKUP($B78,test!$A$3:$G$32,6,FALSE) &gt;= (test!$B$35+VLOOKUP(VLOOKUP($B78,test!$A$2:$I$32,4,FALSE),test!$J$24:$P$28,5,FALSE))/1440),1,0)</f>
        <v>0</v>
      </c>
      <c r="AB78" s="2">
        <f>IF(AND(VLOOKUP(AB$1,test!$A$3:$F$32,5,FALSE) - VLOOKUP($B78,test!$A$3:$G$32,6,FALSE) &gt;= (test!$B$35+VLOOKUP(VLOOKUP($B78,test!$A$2:$I$32,4,FALSE),test!$J$24:$P$28,5,FALSE))/1440),1,0)</f>
        <v>0</v>
      </c>
      <c r="AC78" s="2">
        <f>IF(AND(VLOOKUP(AC$1,test!$A$3:$F$32,5,FALSE) - VLOOKUP($B78,test!$A$3:$G$32,6,FALSE) &gt;= (test!$B$35+VLOOKUP(VLOOKUP($B78,test!$A$2:$I$32,4,FALSE),test!$J$24:$P$28,5,FALSE))/1440),1,0)</f>
        <v>1</v>
      </c>
      <c r="AD78" s="2">
        <f>IF(AND(VLOOKUP(AD$1,test!$A$3:$F$32,5,FALSE) - VLOOKUP($B78,test!$A$3:$G$32,6,FALSE) &gt;= (test!$B$35+VLOOKUP(VLOOKUP($B78,test!$A$2:$I$32,4,FALSE),test!$J$24:$P$28,5,FALSE))/1440),1,0)</f>
        <v>1</v>
      </c>
      <c r="AE78" s="2">
        <f>IF(AND(VLOOKUP(AE$1,test!$A$3:$F$32,5,FALSE) - VLOOKUP($B78,test!$A$3:$G$32,6,FALSE) &gt;= (test!$B$35+VLOOKUP(VLOOKUP($B78,test!$A$2:$I$32,4,FALSE),test!$J$24:$P$28,5,FALSE))/1440),1,0)</f>
        <v>0</v>
      </c>
      <c r="AF78" s="2">
        <f>IF(AND(VLOOKUP(AF$1,test!$A$3:$F$32,5,FALSE) - VLOOKUP($B78,test!$A$3:$G$32,6,FALSE) &gt;= (test!$B$35+VLOOKUP(VLOOKUP($B78,test!$A$2:$I$32,4,FALSE),test!$J$24:$P$28,5,FALSE))/1440),1,0)</f>
        <v>0</v>
      </c>
      <c r="AG78" s="2">
        <f>IF(AND(VLOOKUP(AG$1,test!$A$3:$F$32,5,FALSE) - VLOOKUP($B78,test!$A$3:$G$32,6,FALSE) &gt;= (test!$B$35+VLOOKUP(VLOOKUP($B78,test!$A$2:$I$32,4,FALSE),test!$J$24:$P$28,5,FALSE))/1440),1,0)</f>
        <v>0</v>
      </c>
    </row>
    <row r="79" spans="1:33" x14ac:dyDescent="0.25">
      <c r="A79" t="s">
        <v>97</v>
      </c>
      <c r="B79" t="s">
        <v>26</v>
      </c>
      <c r="C79">
        <v>0</v>
      </c>
      <c r="D79" s="2">
        <f>IF(AND(VLOOKUP(D$1,test!$A$3:$F$32,5,FALSE) - VLOOKUP($B79,test!$A$3:$G$32,6,FALSE) &gt;= (test!$B$35+VLOOKUP(VLOOKUP($B79,test!$A$2:$I$32,4,FALSE),test!$J$24:$P$28,5,FALSE))/1440),1,0)</f>
        <v>0</v>
      </c>
      <c r="E79" s="2">
        <f>IF(AND(VLOOKUP(E$1,test!$A$3:$F$32,5,FALSE) - VLOOKUP($B79,test!$A$3:$G$32,6,FALSE) &gt;= (test!$B$35+VLOOKUP(VLOOKUP($B79,test!$A$2:$I$32,4,FALSE),test!$J$24:$P$28,5,FALSE))/1440),1,0)</f>
        <v>0</v>
      </c>
      <c r="F79" s="2">
        <f>IF(AND(VLOOKUP(F$1,test!$A$3:$F$32,5,FALSE) - VLOOKUP($B79,test!$A$3:$G$32,6,FALSE) &gt;= (test!$B$35+VLOOKUP(VLOOKUP($B79,test!$A$2:$I$32,4,FALSE),test!$J$24:$P$28,5,FALSE))/1440),1,0)</f>
        <v>1</v>
      </c>
      <c r="G79" s="2">
        <f>IF(AND(VLOOKUP(G$1,test!$A$3:$F$32,5,FALSE) - VLOOKUP($B79,test!$A$3:$G$32,6,FALSE) &gt;= (test!$B$35+VLOOKUP(VLOOKUP($B79,test!$A$2:$I$32,4,FALSE),test!$J$24:$P$28,5,FALSE))/1440),1,0)</f>
        <v>1</v>
      </c>
      <c r="H79" s="2">
        <f>IF(AND(VLOOKUP(H$1,test!$A$3:$F$32,5,FALSE) - VLOOKUP($B79,test!$A$3:$G$32,6,FALSE) &gt;= (test!$B$35+VLOOKUP(VLOOKUP($B79,test!$A$2:$I$32,4,FALSE),test!$J$24:$P$28,5,FALSE))/1440),1,0)</f>
        <v>1</v>
      </c>
      <c r="I79" s="2">
        <f>IF(AND(VLOOKUP(I$1,test!$A$3:$F$32,5,FALSE) - VLOOKUP($B79,test!$A$3:$G$32,6,FALSE) &gt;= (test!$B$35+VLOOKUP(VLOOKUP($B79,test!$A$2:$I$32,4,FALSE),test!$J$24:$P$28,5,FALSE))/1440),1,0)</f>
        <v>1</v>
      </c>
      <c r="J79" s="2">
        <f>IF(AND(VLOOKUP(J$1,test!$A$3:$F$32,5,FALSE) - VLOOKUP($B79,test!$A$3:$G$32,6,FALSE) &gt;= (test!$B$35+VLOOKUP(VLOOKUP($B79,test!$A$2:$I$32,4,FALSE),test!$J$24:$P$28,5,FALSE))/1440),1,0)</f>
        <v>1</v>
      </c>
      <c r="K79" s="2">
        <f>IF(AND(VLOOKUP(K$1,test!$A$3:$F$32,5,FALSE) - VLOOKUP($B79,test!$A$3:$G$32,6,FALSE) &gt;= (test!$B$35+VLOOKUP(VLOOKUP($B79,test!$A$2:$I$32,4,FALSE),test!$J$24:$P$28,5,FALSE))/1440),1,0)</f>
        <v>1</v>
      </c>
      <c r="L79" s="2">
        <f>IF(AND(VLOOKUP(L$1,test!$A$3:$F$32,5,FALSE) - VLOOKUP($B79,test!$A$3:$G$32,6,FALSE) &gt;= (test!$B$35+VLOOKUP(VLOOKUP($B79,test!$A$2:$I$32,4,FALSE),test!$J$24:$P$28,5,FALSE))/1440),1,0)</f>
        <v>0</v>
      </c>
      <c r="M79" s="2">
        <f>IF(AND(VLOOKUP(M$1,test!$A$3:$F$32,5,FALSE) - VLOOKUP($B79,test!$A$3:$G$32,6,FALSE) &gt;= (test!$B$35+VLOOKUP(VLOOKUP($B79,test!$A$2:$I$32,4,FALSE),test!$J$24:$P$28,5,FALSE))/1440),1,0)</f>
        <v>0</v>
      </c>
      <c r="N79" s="2">
        <f>IF(AND(VLOOKUP(N$1,test!$A$3:$F$32,5,FALSE) - VLOOKUP($B79,test!$A$3:$G$32,6,FALSE) &gt;= (test!$B$35+VLOOKUP(VLOOKUP($B79,test!$A$2:$I$32,4,FALSE),test!$J$24:$P$28,5,FALSE))/1440),1,0)</f>
        <v>0</v>
      </c>
      <c r="O79" s="2">
        <f>IF(AND(VLOOKUP(O$1,test!$A$3:$F$32,5,FALSE) - VLOOKUP($B79,test!$A$3:$G$32,6,FALSE) &gt;= (test!$B$35+VLOOKUP(VLOOKUP($B79,test!$A$2:$I$32,4,FALSE),test!$J$24:$P$28,5,FALSE))/1440),1,0)</f>
        <v>1</v>
      </c>
      <c r="P79" s="2">
        <f>IF(AND(VLOOKUP(P$1,test!$A$3:$F$32,5,FALSE) - VLOOKUP($B79,test!$A$3:$G$32,6,FALSE) &gt;= (test!$B$35+VLOOKUP(VLOOKUP($B79,test!$A$2:$I$32,4,FALSE),test!$J$24:$P$28,5,FALSE))/1440),1,0)</f>
        <v>1</v>
      </c>
      <c r="Q79" s="2">
        <f>IF(AND(VLOOKUP(Q$1,test!$A$3:$F$32,5,FALSE) - VLOOKUP($B79,test!$A$3:$G$32,6,FALSE) &gt;= (test!$B$35+VLOOKUP(VLOOKUP($B79,test!$A$2:$I$32,4,FALSE),test!$J$24:$P$28,5,FALSE))/1440),1,0)</f>
        <v>0</v>
      </c>
      <c r="R79" s="2">
        <f>IF(AND(VLOOKUP(R$1,test!$A$3:$F$32,5,FALSE) - VLOOKUP($B79,test!$A$3:$G$32,6,FALSE) &gt;= (test!$B$35+VLOOKUP(VLOOKUP($B79,test!$A$2:$I$32,4,FALSE),test!$J$24:$P$28,5,FALSE))/1440),1,0)</f>
        <v>0</v>
      </c>
      <c r="S79" s="2">
        <f>IF(AND(VLOOKUP(S$1,test!$A$3:$F$32,5,FALSE) - VLOOKUP($B79,test!$A$3:$G$32,6,FALSE) &gt;= (test!$B$35+VLOOKUP(VLOOKUP($B79,test!$A$2:$I$32,4,FALSE),test!$J$24:$P$28,5,FALSE))/1440),1,0)</f>
        <v>0</v>
      </c>
      <c r="T79" s="2">
        <f>IF(AND(VLOOKUP(T$1,test!$A$3:$F$32,5,FALSE) - VLOOKUP($B79,test!$A$3:$G$32,6,FALSE) &gt;= (test!$B$35+VLOOKUP(VLOOKUP($B79,test!$A$2:$I$32,4,FALSE),test!$J$24:$P$28,5,FALSE))/1440),1,0)</f>
        <v>0</v>
      </c>
      <c r="U79" s="2">
        <f>IF(AND(VLOOKUP(U$1,test!$A$3:$F$32,5,FALSE) - VLOOKUP($B79,test!$A$3:$G$32,6,FALSE) &gt;= (test!$B$35+VLOOKUP(VLOOKUP($B79,test!$A$2:$I$32,4,FALSE),test!$J$24:$P$28,5,FALSE))/1440),1,0)</f>
        <v>1</v>
      </c>
      <c r="V79" s="2">
        <f>IF(AND(VLOOKUP(V$1,test!$A$3:$F$32,5,FALSE) - VLOOKUP($B79,test!$A$3:$G$32,6,FALSE) &gt;= (test!$B$35+VLOOKUP(VLOOKUP($B79,test!$A$2:$I$32,4,FALSE),test!$J$24:$P$28,5,FALSE))/1440),1,0)</f>
        <v>1</v>
      </c>
      <c r="W79" s="2">
        <f>IF(AND(VLOOKUP(W$1,test!$A$3:$F$32,5,FALSE) - VLOOKUP($B79,test!$A$3:$G$32,6,FALSE) &gt;= (test!$B$35+VLOOKUP(VLOOKUP($B79,test!$A$2:$I$32,4,FALSE),test!$J$24:$P$28,5,FALSE))/1440),1,0)</f>
        <v>1</v>
      </c>
      <c r="X79" s="2">
        <f>IF(AND(VLOOKUP(X$1,test!$A$3:$F$32,5,FALSE) - VLOOKUP($B79,test!$A$3:$G$32,6,FALSE) &gt;= (test!$B$35+VLOOKUP(VLOOKUP($B79,test!$A$2:$I$32,4,FALSE),test!$J$24:$P$28,5,FALSE))/1440),1,0)</f>
        <v>1</v>
      </c>
      <c r="Y79" s="2">
        <f>IF(AND(VLOOKUP(Y$1,test!$A$3:$F$32,5,FALSE) - VLOOKUP($B79,test!$A$3:$G$32,6,FALSE) &gt;= (test!$B$35+VLOOKUP(VLOOKUP($B79,test!$A$2:$I$32,4,FALSE),test!$J$24:$P$28,5,FALSE))/1440),1,0)</f>
        <v>1</v>
      </c>
      <c r="Z79" s="2">
        <f>IF(AND(VLOOKUP(Z$1,test!$A$3:$F$32,5,FALSE) - VLOOKUP($B79,test!$A$3:$G$32,6,FALSE) &gt;= (test!$B$35+VLOOKUP(VLOOKUP($B79,test!$A$2:$I$32,4,FALSE),test!$J$24:$P$28,5,FALSE))/1440),1,0)</f>
        <v>0</v>
      </c>
      <c r="AA79" s="2">
        <f>IF(AND(VLOOKUP(AA$1,test!$A$3:$F$32,5,FALSE) - VLOOKUP($B79,test!$A$3:$G$32,6,FALSE) &gt;= (test!$B$35+VLOOKUP(VLOOKUP($B79,test!$A$2:$I$32,4,FALSE),test!$J$24:$P$28,5,FALSE))/1440),1,0)</f>
        <v>0</v>
      </c>
      <c r="AB79" s="2">
        <f>IF(AND(VLOOKUP(AB$1,test!$A$3:$F$32,5,FALSE) - VLOOKUP($B79,test!$A$3:$G$32,6,FALSE) &gt;= (test!$B$35+VLOOKUP(VLOOKUP($B79,test!$A$2:$I$32,4,FALSE),test!$J$24:$P$28,5,FALSE))/1440),1,0)</f>
        <v>1</v>
      </c>
      <c r="AC79" s="2">
        <f>IF(AND(VLOOKUP(AC$1,test!$A$3:$F$32,5,FALSE) - VLOOKUP($B79,test!$A$3:$G$32,6,FALSE) &gt;= (test!$B$35+VLOOKUP(VLOOKUP($B79,test!$A$2:$I$32,4,FALSE),test!$J$24:$P$28,5,FALSE))/1440),1,0)</f>
        <v>1</v>
      </c>
      <c r="AD79" s="2">
        <f>IF(AND(VLOOKUP(AD$1,test!$A$3:$F$32,5,FALSE) - VLOOKUP($B79,test!$A$3:$G$32,6,FALSE) &gt;= (test!$B$35+VLOOKUP(VLOOKUP($B79,test!$A$2:$I$32,4,FALSE),test!$J$24:$P$28,5,FALSE))/1440),1,0)</f>
        <v>1</v>
      </c>
      <c r="AE79" s="2">
        <f>IF(AND(VLOOKUP(AE$1,test!$A$3:$F$32,5,FALSE) - VLOOKUP($B79,test!$A$3:$G$32,6,FALSE) &gt;= (test!$B$35+VLOOKUP(VLOOKUP($B79,test!$A$2:$I$32,4,FALSE),test!$J$24:$P$28,5,FALSE))/1440),1,0)</f>
        <v>0</v>
      </c>
      <c r="AF79" s="2">
        <f>IF(AND(VLOOKUP(AF$1,test!$A$3:$F$32,5,FALSE) - VLOOKUP($B79,test!$A$3:$G$32,6,FALSE) &gt;= (test!$B$35+VLOOKUP(VLOOKUP($B79,test!$A$2:$I$32,4,FALSE),test!$J$24:$P$28,5,FALSE))/1440),1,0)</f>
        <v>1</v>
      </c>
      <c r="AG79" s="2">
        <f>IF(AND(VLOOKUP(AG$1,test!$A$3:$F$32,5,FALSE) - VLOOKUP($B79,test!$A$3:$G$32,6,FALSE) &gt;= (test!$B$35+VLOOKUP(VLOOKUP($B79,test!$A$2:$I$32,4,FALSE),test!$J$24:$P$28,5,FALSE))/1440),1,0)</f>
        <v>1</v>
      </c>
    </row>
    <row r="80" spans="1:33" x14ac:dyDescent="0.25">
      <c r="A80" t="s">
        <v>97</v>
      </c>
      <c r="B80" t="s">
        <v>27</v>
      </c>
      <c r="C80">
        <v>0</v>
      </c>
      <c r="D80" s="2">
        <f>IF(AND(VLOOKUP(D$1,test!$A$3:$F$32,5,FALSE) - VLOOKUP($B80,test!$A$3:$G$32,6,FALSE) &gt;= (test!$B$35+VLOOKUP(VLOOKUP($B80,test!$A$2:$I$32,4,FALSE),test!$J$24:$P$28,5,FALSE))/1440),1,0)</f>
        <v>0</v>
      </c>
      <c r="E80" s="2">
        <f>IF(AND(VLOOKUP(E$1,test!$A$3:$F$32,5,FALSE) - VLOOKUP($B80,test!$A$3:$G$32,6,FALSE) &gt;= (test!$B$35+VLOOKUP(VLOOKUP($B80,test!$A$2:$I$32,4,FALSE),test!$J$24:$P$28,5,FALSE))/1440),1,0)</f>
        <v>0</v>
      </c>
      <c r="F80" s="2">
        <f>IF(AND(VLOOKUP(F$1,test!$A$3:$F$32,5,FALSE) - VLOOKUP($B80,test!$A$3:$G$32,6,FALSE) &gt;= (test!$B$35+VLOOKUP(VLOOKUP($B80,test!$A$2:$I$32,4,FALSE),test!$J$24:$P$28,5,FALSE))/1440),1,0)</f>
        <v>0</v>
      </c>
      <c r="G80" s="2">
        <f>IF(AND(VLOOKUP(G$1,test!$A$3:$F$32,5,FALSE) - VLOOKUP($B80,test!$A$3:$G$32,6,FALSE) &gt;= (test!$B$35+VLOOKUP(VLOOKUP($B80,test!$A$2:$I$32,4,FALSE),test!$J$24:$P$28,5,FALSE))/1440),1,0)</f>
        <v>1</v>
      </c>
      <c r="H80" s="2">
        <f>IF(AND(VLOOKUP(H$1,test!$A$3:$F$32,5,FALSE) - VLOOKUP($B80,test!$A$3:$G$32,6,FALSE) &gt;= (test!$B$35+VLOOKUP(VLOOKUP($B80,test!$A$2:$I$32,4,FALSE),test!$J$24:$P$28,5,FALSE))/1440),1,0)</f>
        <v>1</v>
      </c>
      <c r="I80" s="2">
        <f>IF(AND(VLOOKUP(I$1,test!$A$3:$F$32,5,FALSE) - VLOOKUP($B80,test!$A$3:$G$32,6,FALSE) &gt;= (test!$B$35+VLOOKUP(VLOOKUP($B80,test!$A$2:$I$32,4,FALSE),test!$J$24:$P$28,5,FALSE))/1440),1,0)</f>
        <v>1</v>
      </c>
      <c r="J80" s="2">
        <f>IF(AND(VLOOKUP(J$1,test!$A$3:$F$32,5,FALSE) - VLOOKUP($B80,test!$A$3:$G$32,6,FALSE) &gt;= (test!$B$35+VLOOKUP(VLOOKUP($B80,test!$A$2:$I$32,4,FALSE),test!$J$24:$P$28,5,FALSE))/1440),1,0)</f>
        <v>1</v>
      </c>
      <c r="K80" s="2">
        <f>IF(AND(VLOOKUP(K$1,test!$A$3:$F$32,5,FALSE) - VLOOKUP($B80,test!$A$3:$G$32,6,FALSE) &gt;= (test!$B$35+VLOOKUP(VLOOKUP($B80,test!$A$2:$I$32,4,FALSE),test!$J$24:$P$28,5,FALSE))/1440),1,0)</f>
        <v>1</v>
      </c>
      <c r="L80" s="2">
        <f>IF(AND(VLOOKUP(L$1,test!$A$3:$F$32,5,FALSE) - VLOOKUP($B80,test!$A$3:$G$32,6,FALSE) &gt;= (test!$B$35+VLOOKUP(VLOOKUP($B80,test!$A$2:$I$32,4,FALSE),test!$J$24:$P$28,5,FALSE))/1440),1,0)</f>
        <v>0</v>
      </c>
      <c r="M80" s="2">
        <f>IF(AND(VLOOKUP(M$1,test!$A$3:$F$32,5,FALSE) - VLOOKUP($B80,test!$A$3:$G$32,6,FALSE) &gt;= (test!$B$35+VLOOKUP(VLOOKUP($B80,test!$A$2:$I$32,4,FALSE),test!$J$24:$P$28,5,FALSE))/1440),1,0)</f>
        <v>0</v>
      </c>
      <c r="N80" s="2">
        <f>IF(AND(VLOOKUP(N$1,test!$A$3:$F$32,5,FALSE) - VLOOKUP($B80,test!$A$3:$G$32,6,FALSE) &gt;= (test!$B$35+VLOOKUP(VLOOKUP($B80,test!$A$2:$I$32,4,FALSE),test!$J$24:$P$28,5,FALSE))/1440),1,0)</f>
        <v>0</v>
      </c>
      <c r="O80" s="2">
        <f>IF(AND(VLOOKUP(O$1,test!$A$3:$F$32,5,FALSE) - VLOOKUP($B80,test!$A$3:$G$32,6,FALSE) &gt;= (test!$B$35+VLOOKUP(VLOOKUP($B80,test!$A$2:$I$32,4,FALSE),test!$J$24:$P$28,5,FALSE))/1440),1,0)</f>
        <v>1</v>
      </c>
      <c r="P80" s="2">
        <f>IF(AND(VLOOKUP(P$1,test!$A$3:$F$32,5,FALSE) - VLOOKUP($B80,test!$A$3:$G$32,6,FALSE) &gt;= (test!$B$35+VLOOKUP(VLOOKUP($B80,test!$A$2:$I$32,4,FALSE),test!$J$24:$P$28,5,FALSE))/1440),1,0)</f>
        <v>1</v>
      </c>
      <c r="Q80" s="2">
        <f>IF(AND(VLOOKUP(Q$1,test!$A$3:$F$32,5,FALSE) - VLOOKUP($B80,test!$A$3:$G$32,6,FALSE) &gt;= (test!$B$35+VLOOKUP(VLOOKUP($B80,test!$A$2:$I$32,4,FALSE),test!$J$24:$P$28,5,FALSE))/1440),1,0)</f>
        <v>0</v>
      </c>
      <c r="R80" s="2">
        <f>IF(AND(VLOOKUP(R$1,test!$A$3:$F$32,5,FALSE) - VLOOKUP($B80,test!$A$3:$G$32,6,FALSE) &gt;= (test!$B$35+VLOOKUP(VLOOKUP($B80,test!$A$2:$I$32,4,FALSE),test!$J$24:$P$28,5,FALSE))/1440),1,0)</f>
        <v>0</v>
      </c>
      <c r="S80" s="2">
        <f>IF(AND(VLOOKUP(S$1,test!$A$3:$F$32,5,FALSE) - VLOOKUP($B80,test!$A$3:$G$32,6,FALSE) &gt;= (test!$B$35+VLOOKUP(VLOOKUP($B80,test!$A$2:$I$32,4,FALSE),test!$J$24:$P$28,5,FALSE))/1440),1,0)</f>
        <v>0</v>
      </c>
      <c r="T80" s="2">
        <f>IF(AND(VLOOKUP(T$1,test!$A$3:$F$32,5,FALSE) - VLOOKUP($B80,test!$A$3:$G$32,6,FALSE) &gt;= (test!$B$35+VLOOKUP(VLOOKUP($B80,test!$A$2:$I$32,4,FALSE),test!$J$24:$P$28,5,FALSE))/1440),1,0)</f>
        <v>0</v>
      </c>
      <c r="U80" s="2">
        <f>IF(AND(VLOOKUP(U$1,test!$A$3:$F$32,5,FALSE) - VLOOKUP($B80,test!$A$3:$G$32,6,FALSE) &gt;= (test!$B$35+VLOOKUP(VLOOKUP($B80,test!$A$2:$I$32,4,FALSE),test!$J$24:$P$28,5,FALSE))/1440),1,0)</f>
        <v>0</v>
      </c>
      <c r="V80" s="2">
        <f>IF(AND(VLOOKUP(V$1,test!$A$3:$F$32,5,FALSE) - VLOOKUP($B80,test!$A$3:$G$32,6,FALSE) &gt;= (test!$B$35+VLOOKUP(VLOOKUP($B80,test!$A$2:$I$32,4,FALSE),test!$J$24:$P$28,5,FALSE))/1440),1,0)</f>
        <v>1</v>
      </c>
      <c r="W80" s="2">
        <f>IF(AND(VLOOKUP(W$1,test!$A$3:$F$32,5,FALSE) - VLOOKUP($B80,test!$A$3:$G$32,6,FALSE) &gt;= (test!$B$35+VLOOKUP(VLOOKUP($B80,test!$A$2:$I$32,4,FALSE),test!$J$24:$P$28,5,FALSE))/1440),1,0)</f>
        <v>1</v>
      </c>
      <c r="X80" s="2">
        <f>IF(AND(VLOOKUP(X$1,test!$A$3:$F$32,5,FALSE) - VLOOKUP($B80,test!$A$3:$G$32,6,FALSE) &gt;= (test!$B$35+VLOOKUP(VLOOKUP($B80,test!$A$2:$I$32,4,FALSE),test!$J$24:$P$28,5,FALSE))/1440),1,0)</f>
        <v>1</v>
      </c>
      <c r="Y80" s="2">
        <f>IF(AND(VLOOKUP(Y$1,test!$A$3:$F$32,5,FALSE) - VLOOKUP($B80,test!$A$3:$G$32,6,FALSE) &gt;= (test!$B$35+VLOOKUP(VLOOKUP($B80,test!$A$2:$I$32,4,FALSE),test!$J$24:$P$28,5,FALSE))/1440),1,0)</f>
        <v>1</v>
      </c>
      <c r="Z80" s="2">
        <f>IF(AND(VLOOKUP(Z$1,test!$A$3:$F$32,5,FALSE) - VLOOKUP($B80,test!$A$3:$G$32,6,FALSE) &gt;= (test!$B$35+VLOOKUP(VLOOKUP($B80,test!$A$2:$I$32,4,FALSE),test!$J$24:$P$28,5,FALSE))/1440),1,0)</f>
        <v>0</v>
      </c>
      <c r="AA80" s="2">
        <f>IF(AND(VLOOKUP(AA$1,test!$A$3:$F$32,5,FALSE) - VLOOKUP($B80,test!$A$3:$G$32,6,FALSE) &gt;= (test!$B$35+VLOOKUP(VLOOKUP($B80,test!$A$2:$I$32,4,FALSE),test!$J$24:$P$28,5,FALSE))/1440),1,0)</f>
        <v>0</v>
      </c>
      <c r="AB80" s="2">
        <f>IF(AND(VLOOKUP(AB$1,test!$A$3:$F$32,5,FALSE) - VLOOKUP($B80,test!$A$3:$G$32,6,FALSE) &gt;= (test!$B$35+VLOOKUP(VLOOKUP($B80,test!$A$2:$I$32,4,FALSE),test!$J$24:$P$28,5,FALSE))/1440),1,0)</f>
        <v>0</v>
      </c>
      <c r="AC80" s="2">
        <f>IF(AND(VLOOKUP(AC$1,test!$A$3:$F$32,5,FALSE) - VLOOKUP($B80,test!$A$3:$G$32,6,FALSE) &gt;= (test!$B$35+VLOOKUP(VLOOKUP($B80,test!$A$2:$I$32,4,FALSE),test!$J$24:$P$28,5,FALSE))/1440),1,0)</f>
        <v>1</v>
      </c>
      <c r="AD80" s="2">
        <f>IF(AND(VLOOKUP(AD$1,test!$A$3:$F$32,5,FALSE) - VLOOKUP($B80,test!$A$3:$G$32,6,FALSE) &gt;= (test!$B$35+VLOOKUP(VLOOKUP($B80,test!$A$2:$I$32,4,FALSE),test!$J$24:$P$28,5,FALSE))/1440),1,0)</f>
        <v>1</v>
      </c>
      <c r="AE80" s="2">
        <f>IF(AND(VLOOKUP(AE$1,test!$A$3:$F$32,5,FALSE) - VLOOKUP($B80,test!$A$3:$G$32,6,FALSE) &gt;= (test!$B$35+VLOOKUP(VLOOKUP($B80,test!$A$2:$I$32,4,FALSE),test!$J$24:$P$28,5,FALSE))/1440),1,0)</f>
        <v>0</v>
      </c>
      <c r="AF80" s="2">
        <f>IF(AND(VLOOKUP(AF$1,test!$A$3:$F$32,5,FALSE) - VLOOKUP($B80,test!$A$3:$G$32,6,FALSE) &gt;= (test!$B$35+VLOOKUP(VLOOKUP($B80,test!$A$2:$I$32,4,FALSE),test!$J$24:$P$28,5,FALSE))/1440),1,0)</f>
        <v>0</v>
      </c>
      <c r="AG80" s="2">
        <f>IF(AND(VLOOKUP(AG$1,test!$A$3:$F$32,5,FALSE) - VLOOKUP($B80,test!$A$3:$G$32,6,FALSE) &gt;= (test!$B$35+VLOOKUP(VLOOKUP($B80,test!$A$2:$I$32,4,FALSE),test!$J$24:$P$28,5,FALSE))/1440),1,0)</f>
        <v>0</v>
      </c>
    </row>
    <row r="81" spans="1:33" x14ac:dyDescent="0.25">
      <c r="A81" t="s">
        <v>97</v>
      </c>
      <c r="B81" t="s">
        <v>28</v>
      </c>
      <c r="C81">
        <v>0</v>
      </c>
      <c r="D81" s="2">
        <f>IF(AND(VLOOKUP(D$1,test!$A$3:$F$32,5,FALSE) - VLOOKUP($B81,test!$A$3:$G$32,6,FALSE) &gt;= (test!$B$35+VLOOKUP(VLOOKUP($B81,test!$A$2:$I$32,4,FALSE),test!$J$24:$P$28,5,FALSE))/1440),1,0)</f>
        <v>0</v>
      </c>
      <c r="E81" s="2">
        <f>IF(AND(VLOOKUP(E$1,test!$A$3:$F$32,5,FALSE) - VLOOKUP($B81,test!$A$3:$G$32,6,FALSE) &gt;= (test!$B$35+VLOOKUP(VLOOKUP($B81,test!$A$2:$I$32,4,FALSE),test!$J$24:$P$28,5,FALSE))/1440),1,0)</f>
        <v>0</v>
      </c>
      <c r="F81" s="2">
        <f>IF(AND(VLOOKUP(F$1,test!$A$3:$F$32,5,FALSE) - VLOOKUP($B81,test!$A$3:$G$32,6,FALSE) &gt;= (test!$B$35+VLOOKUP(VLOOKUP($B81,test!$A$2:$I$32,4,FALSE),test!$J$24:$P$28,5,FALSE))/1440),1,0)</f>
        <v>0</v>
      </c>
      <c r="G81" s="2">
        <f>IF(AND(VLOOKUP(G$1,test!$A$3:$F$32,5,FALSE) - VLOOKUP($B81,test!$A$3:$G$32,6,FALSE) &gt;= (test!$B$35+VLOOKUP(VLOOKUP($B81,test!$A$2:$I$32,4,FALSE),test!$J$24:$P$28,5,FALSE))/1440),1,0)</f>
        <v>0</v>
      </c>
      <c r="H81" s="2">
        <f>IF(AND(VLOOKUP(H$1,test!$A$3:$F$32,5,FALSE) - VLOOKUP($B81,test!$A$3:$G$32,6,FALSE) &gt;= (test!$B$35+VLOOKUP(VLOOKUP($B81,test!$A$2:$I$32,4,FALSE),test!$J$24:$P$28,5,FALSE))/1440),1,0)</f>
        <v>0</v>
      </c>
      <c r="I81" s="2">
        <f>IF(AND(VLOOKUP(I$1,test!$A$3:$F$32,5,FALSE) - VLOOKUP($B81,test!$A$3:$G$32,6,FALSE) &gt;= (test!$B$35+VLOOKUP(VLOOKUP($B81,test!$A$2:$I$32,4,FALSE),test!$J$24:$P$28,5,FALSE))/1440),1,0)</f>
        <v>1</v>
      </c>
      <c r="J81" s="2">
        <f>IF(AND(VLOOKUP(J$1,test!$A$3:$F$32,5,FALSE) - VLOOKUP($B81,test!$A$3:$G$32,6,FALSE) &gt;= (test!$B$35+VLOOKUP(VLOOKUP($B81,test!$A$2:$I$32,4,FALSE),test!$J$24:$P$28,5,FALSE))/1440),1,0)</f>
        <v>1</v>
      </c>
      <c r="K81" s="2">
        <f>IF(AND(VLOOKUP(K$1,test!$A$3:$F$32,5,FALSE) - VLOOKUP($B81,test!$A$3:$G$32,6,FALSE) &gt;= (test!$B$35+VLOOKUP(VLOOKUP($B81,test!$A$2:$I$32,4,FALSE),test!$J$24:$P$28,5,FALSE))/1440),1,0)</f>
        <v>1</v>
      </c>
      <c r="L81" s="2">
        <f>IF(AND(VLOOKUP(L$1,test!$A$3:$F$32,5,FALSE) - VLOOKUP($B81,test!$A$3:$G$32,6,FALSE) &gt;= (test!$B$35+VLOOKUP(VLOOKUP($B81,test!$A$2:$I$32,4,FALSE),test!$J$24:$P$28,5,FALSE))/1440),1,0)</f>
        <v>0</v>
      </c>
      <c r="M81" s="2">
        <f>IF(AND(VLOOKUP(M$1,test!$A$3:$F$32,5,FALSE) - VLOOKUP($B81,test!$A$3:$G$32,6,FALSE) &gt;= (test!$B$35+VLOOKUP(VLOOKUP($B81,test!$A$2:$I$32,4,FALSE),test!$J$24:$P$28,5,FALSE))/1440),1,0)</f>
        <v>0</v>
      </c>
      <c r="N81" s="2">
        <f>IF(AND(VLOOKUP(N$1,test!$A$3:$F$32,5,FALSE) - VLOOKUP($B81,test!$A$3:$G$32,6,FALSE) &gt;= (test!$B$35+VLOOKUP(VLOOKUP($B81,test!$A$2:$I$32,4,FALSE),test!$J$24:$P$28,5,FALSE))/1440),1,0)</f>
        <v>0</v>
      </c>
      <c r="O81" s="2">
        <f>IF(AND(VLOOKUP(O$1,test!$A$3:$F$32,5,FALSE) - VLOOKUP($B81,test!$A$3:$G$32,6,FALSE) &gt;= (test!$B$35+VLOOKUP(VLOOKUP($B81,test!$A$2:$I$32,4,FALSE),test!$J$24:$P$28,5,FALSE))/1440),1,0)</f>
        <v>1</v>
      </c>
      <c r="P81" s="2">
        <f>IF(AND(VLOOKUP(P$1,test!$A$3:$F$32,5,FALSE) - VLOOKUP($B81,test!$A$3:$G$32,6,FALSE) &gt;= (test!$B$35+VLOOKUP(VLOOKUP($B81,test!$A$2:$I$32,4,FALSE),test!$J$24:$P$28,5,FALSE))/1440),1,0)</f>
        <v>1</v>
      </c>
      <c r="Q81" s="2">
        <f>IF(AND(VLOOKUP(Q$1,test!$A$3:$F$32,5,FALSE) - VLOOKUP($B81,test!$A$3:$G$32,6,FALSE) &gt;= (test!$B$35+VLOOKUP(VLOOKUP($B81,test!$A$2:$I$32,4,FALSE),test!$J$24:$P$28,5,FALSE))/1440),1,0)</f>
        <v>0</v>
      </c>
      <c r="R81" s="2">
        <f>IF(AND(VLOOKUP(R$1,test!$A$3:$F$32,5,FALSE) - VLOOKUP($B81,test!$A$3:$G$32,6,FALSE) &gt;= (test!$B$35+VLOOKUP(VLOOKUP($B81,test!$A$2:$I$32,4,FALSE),test!$J$24:$P$28,5,FALSE))/1440),1,0)</f>
        <v>0</v>
      </c>
      <c r="S81" s="2">
        <f>IF(AND(VLOOKUP(S$1,test!$A$3:$F$32,5,FALSE) - VLOOKUP($B81,test!$A$3:$G$32,6,FALSE) &gt;= (test!$B$35+VLOOKUP(VLOOKUP($B81,test!$A$2:$I$32,4,FALSE),test!$J$24:$P$28,5,FALSE))/1440),1,0)</f>
        <v>0</v>
      </c>
      <c r="T81" s="2">
        <f>IF(AND(VLOOKUP(T$1,test!$A$3:$F$32,5,FALSE) - VLOOKUP($B81,test!$A$3:$G$32,6,FALSE) &gt;= (test!$B$35+VLOOKUP(VLOOKUP($B81,test!$A$2:$I$32,4,FALSE),test!$J$24:$P$28,5,FALSE))/1440),1,0)</f>
        <v>0</v>
      </c>
      <c r="U81" s="2">
        <f>IF(AND(VLOOKUP(U$1,test!$A$3:$F$32,5,FALSE) - VLOOKUP($B81,test!$A$3:$G$32,6,FALSE) &gt;= (test!$B$35+VLOOKUP(VLOOKUP($B81,test!$A$2:$I$32,4,FALSE),test!$J$24:$P$28,5,FALSE))/1440),1,0)</f>
        <v>0</v>
      </c>
      <c r="V81" s="2">
        <f>IF(AND(VLOOKUP(V$1,test!$A$3:$F$32,5,FALSE) - VLOOKUP($B81,test!$A$3:$G$32,6,FALSE) &gt;= (test!$B$35+VLOOKUP(VLOOKUP($B81,test!$A$2:$I$32,4,FALSE),test!$J$24:$P$28,5,FALSE))/1440),1,0)</f>
        <v>0</v>
      </c>
      <c r="W81" s="2">
        <f>IF(AND(VLOOKUP(W$1,test!$A$3:$F$32,5,FALSE) - VLOOKUP($B81,test!$A$3:$G$32,6,FALSE) &gt;= (test!$B$35+VLOOKUP(VLOOKUP($B81,test!$A$2:$I$32,4,FALSE),test!$J$24:$P$28,5,FALSE))/1440),1,0)</f>
        <v>1</v>
      </c>
      <c r="X81" s="2">
        <f>IF(AND(VLOOKUP(X$1,test!$A$3:$F$32,5,FALSE) - VLOOKUP($B81,test!$A$3:$G$32,6,FALSE) &gt;= (test!$B$35+VLOOKUP(VLOOKUP($B81,test!$A$2:$I$32,4,FALSE),test!$J$24:$P$28,5,FALSE))/1440),1,0)</f>
        <v>1</v>
      </c>
      <c r="Y81" s="2">
        <f>IF(AND(VLOOKUP(Y$1,test!$A$3:$F$32,5,FALSE) - VLOOKUP($B81,test!$A$3:$G$32,6,FALSE) &gt;= (test!$B$35+VLOOKUP(VLOOKUP($B81,test!$A$2:$I$32,4,FALSE),test!$J$24:$P$28,5,FALSE))/1440),1,0)</f>
        <v>1</v>
      </c>
      <c r="Z81" s="2">
        <f>IF(AND(VLOOKUP(Z$1,test!$A$3:$F$32,5,FALSE) - VLOOKUP($B81,test!$A$3:$G$32,6,FALSE) &gt;= (test!$B$35+VLOOKUP(VLOOKUP($B81,test!$A$2:$I$32,4,FALSE),test!$J$24:$P$28,5,FALSE))/1440),1,0)</f>
        <v>0</v>
      </c>
      <c r="AA81" s="2">
        <f>IF(AND(VLOOKUP(AA$1,test!$A$3:$F$32,5,FALSE) - VLOOKUP($B81,test!$A$3:$G$32,6,FALSE) &gt;= (test!$B$35+VLOOKUP(VLOOKUP($B81,test!$A$2:$I$32,4,FALSE),test!$J$24:$P$28,5,FALSE))/1440),1,0)</f>
        <v>0</v>
      </c>
      <c r="AB81" s="2">
        <f>IF(AND(VLOOKUP(AB$1,test!$A$3:$F$32,5,FALSE) - VLOOKUP($B81,test!$A$3:$G$32,6,FALSE) &gt;= (test!$B$35+VLOOKUP(VLOOKUP($B81,test!$A$2:$I$32,4,FALSE),test!$J$24:$P$28,5,FALSE))/1440),1,0)</f>
        <v>0</v>
      </c>
      <c r="AC81" s="2">
        <f>IF(AND(VLOOKUP(AC$1,test!$A$3:$F$32,5,FALSE) - VLOOKUP($B81,test!$A$3:$G$32,6,FALSE) &gt;= (test!$B$35+VLOOKUP(VLOOKUP($B81,test!$A$2:$I$32,4,FALSE),test!$J$24:$P$28,5,FALSE))/1440),1,0)</f>
        <v>0</v>
      </c>
      <c r="AD81" s="2">
        <f>IF(AND(VLOOKUP(AD$1,test!$A$3:$F$32,5,FALSE) - VLOOKUP($B81,test!$A$3:$G$32,6,FALSE) &gt;= (test!$B$35+VLOOKUP(VLOOKUP($B81,test!$A$2:$I$32,4,FALSE),test!$J$24:$P$28,5,FALSE))/1440),1,0)</f>
        <v>1</v>
      </c>
      <c r="AE81" s="2">
        <f>IF(AND(VLOOKUP(AE$1,test!$A$3:$F$32,5,FALSE) - VLOOKUP($B81,test!$A$3:$G$32,6,FALSE) &gt;= (test!$B$35+VLOOKUP(VLOOKUP($B81,test!$A$2:$I$32,4,FALSE),test!$J$24:$P$28,5,FALSE))/1440),1,0)</f>
        <v>0</v>
      </c>
      <c r="AF81" s="2">
        <f>IF(AND(VLOOKUP(AF$1,test!$A$3:$F$32,5,FALSE) - VLOOKUP($B81,test!$A$3:$G$32,6,FALSE) &gt;= (test!$B$35+VLOOKUP(VLOOKUP($B81,test!$A$2:$I$32,4,FALSE),test!$J$24:$P$28,5,FALSE))/1440),1,0)</f>
        <v>0</v>
      </c>
      <c r="AG81" s="2">
        <f>IF(AND(VLOOKUP(AG$1,test!$A$3:$F$32,5,FALSE) - VLOOKUP($B81,test!$A$3:$G$32,6,FALSE) &gt;= (test!$B$35+VLOOKUP(VLOOKUP($B81,test!$A$2:$I$32,4,FALSE),test!$J$24:$P$28,5,FALSE))/1440),1,0)</f>
        <v>0</v>
      </c>
    </row>
    <row r="82" spans="1:33" x14ac:dyDescent="0.25">
      <c r="A82" t="s">
        <v>97</v>
      </c>
      <c r="B82" t="s">
        <v>29</v>
      </c>
      <c r="C82">
        <v>0</v>
      </c>
      <c r="D82" s="2">
        <f>IF(AND(VLOOKUP(D$1,test!$A$3:$F$32,5,FALSE) - VLOOKUP($B82,test!$A$3:$G$32,6,FALSE) &gt;= (test!$B$35+VLOOKUP(VLOOKUP($B82,test!$A$2:$I$32,4,FALSE),test!$J$24:$P$28,5,FALSE))/1440),1,0)</f>
        <v>0</v>
      </c>
      <c r="E82" s="2">
        <f>IF(AND(VLOOKUP(E$1,test!$A$3:$F$32,5,FALSE) - VLOOKUP($B82,test!$A$3:$G$32,6,FALSE) &gt;= (test!$B$35+VLOOKUP(VLOOKUP($B82,test!$A$2:$I$32,4,FALSE),test!$J$24:$P$28,5,FALSE))/1440),1,0)</f>
        <v>0</v>
      </c>
      <c r="F82" s="2">
        <f>IF(AND(VLOOKUP(F$1,test!$A$3:$F$32,5,FALSE) - VLOOKUP($B82,test!$A$3:$G$32,6,FALSE) &gt;= (test!$B$35+VLOOKUP(VLOOKUP($B82,test!$A$2:$I$32,4,FALSE),test!$J$24:$P$28,5,FALSE))/1440),1,0)</f>
        <v>0</v>
      </c>
      <c r="G82" s="2">
        <f>IF(AND(VLOOKUP(G$1,test!$A$3:$F$32,5,FALSE) - VLOOKUP($B82,test!$A$3:$G$32,6,FALSE) &gt;= (test!$B$35+VLOOKUP(VLOOKUP($B82,test!$A$2:$I$32,4,FALSE),test!$J$24:$P$28,5,FALSE))/1440),1,0)</f>
        <v>0</v>
      </c>
      <c r="H82" s="2">
        <f>IF(AND(VLOOKUP(H$1,test!$A$3:$F$32,5,FALSE) - VLOOKUP($B82,test!$A$3:$G$32,6,FALSE) &gt;= (test!$B$35+VLOOKUP(VLOOKUP($B82,test!$A$2:$I$32,4,FALSE),test!$J$24:$P$28,5,FALSE))/1440),1,0)</f>
        <v>0</v>
      </c>
      <c r="I82" s="2">
        <f>IF(AND(VLOOKUP(I$1,test!$A$3:$F$32,5,FALSE) - VLOOKUP($B82,test!$A$3:$G$32,6,FALSE) &gt;= (test!$B$35+VLOOKUP(VLOOKUP($B82,test!$A$2:$I$32,4,FALSE),test!$J$24:$P$28,5,FALSE))/1440),1,0)</f>
        <v>0</v>
      </c>
      <c r="J82" s="2">
        <f>IF(AND(VLOOKUP(J$1,test!$A$3:$F$32,5,FALSE) - VLOOKUP($B82,test!$A$3:$G$32,6,FALSE) &gt;= (test!$B$35+VLOOKUP(VLOOKUP($B82,test!$A$2:$I$32,4,FALSE),test!$J$24:$P$28,5,FALSE))/1440),1,0)</f>
        <v>1</v>
      </c>
      <c r="K82" s="2">
        <f>IF(AND(VLOOKUP(K$1,test!$A$3:$F$32,5,FALSE) - VLOOKUP($B82,test!$A$3:$G$32,6,FALSE) &gt;= (test!$B$35+VLOOKUP(VLOOKUP($B82,test!$A$2:$I$32,4,FALSE),test!$J$24:$P$28,5,FALSE))/1440),1,0)</f>
        <v>1</v>
      </c>
      <c r="L82" s="2">
        <f>IF(AND(VLOOKUP(L$1,test!$A$3:$F$32,5,FALSE) - VLOOKUP($B82,test!$A$3:$G$32,6,FALSE) &gt;= (test!$B$35+VLOOKUP(VLOOKUP($B82,test!$A$2:$I$32,4,FALSE),test!$J$24:$P$28,5,FALSE))/1440),1,0)</f>
        <v>0</v>
      </c>
      <c r="M82" s="2">
        <f>IF(AND(VLOOKUP(M$1,test!$A$3:$F$32,5,FALSE) - VLOOKUP($B82,test!$A$3:$G$32,6,FALSE) &gt;= (test!$B$35+VLOOKUP(VLOOKUP($B82,test!$A$2:$I$32,4,FALSE),test!$J$24:$P$28,5,FALSE))/1440),1,0)</f>
        <v>0</v>
      </c>
      <c r="N82" s="2">
        <f>IF(AND(VLOOKUP(N$1,test!$A$3:$F$32,5,FALSE) - VLOOKUP($B82,test!$A$3:$G$32,6,FALSE) &gt;= (test!$B$35+VLOOKUP(VLOOKUP($B82,test!$A$2:$I$32,4,FALSE),test!$J$24:$P$28,5,FALSE))/1440),1,0)</f>
        <v>0</v>
      </c>
      <c r="O82" s="2">
        <f>IF(AND(VLOOKUP(O$1,test!$A$3:$F$32,5,FALSE) - VLOOKUP($B82,test!$A$3:$G$32,6,FALSE) &gt;= (test!$B$35+VLOOKUP(VLOOKUP($B82,test!$A$2:$I$32,4,FALSE),test!$J$24:$P$28,5,FALSE))/1440),1,0)</f>
        <v>1</v>
      </c>
      <c r="P82" s="2">
        <f>IF(AND(VLOOKUP(P$1,test!$A$3:$F$32,5,FALSE) - VLOOKUP($B82,test!$A$3:$G$32,6,FALSE) &gt;= (test!$B$35+VLOOKUP(VLOOKUP($B82,test!$A$2:$I$32,4,FALSE),test!$J$24:$P$28,5,FALSE))/1440),1,0)</f>
        <v>1</v>
      </c>
      <c r="Q82" s="2">
        <f>IF(AND(VLOOKUP(Q$1,test!$A$3:$F$32,5,FALSE) - VLOOKUP($B82,test!$A$3:$G$32,6,FALSE) &gt;= (test!$B$35+VLOOKUP(VLOOKUP($B82,test!$A$2:$I$32,4,FALSE),test!$J$24:$P$28,5,FALSE))/1440),1,0)</f>
        <v>0</v>
      </c>
      <c r="R82" s="2">
        <f>IF(AND(VLOOKUP(R$1,test!$A$3:$F$32,5,FALSE) - VLOOKUP($B82,test!$A$3:$G$32,6,FALSE) &gt;= (test!$B$35+VLOOKUP(VLOOKUP($B82,test!$A$2:$I$32,4,FALSE),test!$J$24:$P$28,5,FALSE))/1440),1,0)</f>
        <v>0</v>
      </c>
      <c r="S82" s="2">
        <f>IF(AND(VLOOKUP(S$1,test!$A$3:$F$32,5,FALSE) - VLOOKUP($B82,test!$A$3:$G$32,6,FALSE) &gt;= (test!$B$35+VLOOKUP(VLOOKUP($B82,test!$A$2:$I$32,4,FALSE),test!$J$24:$P$28,5,FALSE))/1440),1,0)</f>
        <v>0</v>
      </c>
      <c r="T82" s="2">
        <f>IF(AND(VLOOKUP(T$1,test!$A$3:$F$32,5,FALSE) - VLOOKUP($B82,test!$A$3:$G$32,6,FALSE) &gt;= (test!$B$35+VLOOKUP(VLOOKUP($B82,test!$A$2:$I$32,4,FALSE),test!$J$24:$P$28,5,FALSE))/1440),1,0)</f>
        <v>0</v>
      </c>
      <c r="U82" s="2">
        <f>IF(AND(VLOOKUP(U$1,test!$A$3:$F$32,5,FALSE) - VLOOKUP($B82,test!$A$3:$G$32,6,FALSE) &gt;= (test!$B$35+VLOOKUP(VLOOKUP($B82,test!$A$2:$I$32,4,FALSE),test!$J$24:$P$28,5,FALSE))/1440),1,0)</f>
        <v>0</v>
      </c>
      <c r="V82" s="2">
        <f>IF(AND(VLOOKUP(V$1,test!$A$3:$F$32,5,FALSE) - VLOOKUP($B82,test!$A$3:$G$32,6,FALSE) &gt;= (test!$B$35+VLOOKUP(VLOOKUP($B82,test!$A$2:$I$32,4,FALSE),test!$J$24:$P$28,5,FALSE))/1440),1,0)</f>
        <v>0</v>
      </c>
      <c r="W82" s="2">
        <f>IF(AND(VLOOKUP(W$1,test!$A$3:$F$32,5,FALSE) - VLOOKUP($B82,test!$A$3:$G$32,6,FALSE) &gt;= (test!$B$35+VLOOKUP(VLOOKUP($B82,test!$A$2:$I$32,4,FALSE),test!$J$24:$P$28,5,FALSE))/1440),1,0)</f>
        <v>0</v>
      </c>
      <c r="X82" s="2">
        <f>IF(AND(VLOOKUP(X$1,test!$A$3:$F$32,5,FALSE) - VLOOKUP($B82,test!$A$3:$G$32,6,FALSE) &gt;= (test!$B$35+VLOOKUP(VLOOKUP($B82,test!$A$2:$I$32,4,FALSE),test!$J$24:$P$28,5,FALSE))/1440),1,0)</f>
        <v>1</v>
      </c>
      <c r="Y82" s="2">
        <f>IF(AND(VLOOKUP(Y$1,test!$A$3:$F$32,5,FALSE) - VLOOKUP($B82,test!$A$3:$G$32,6,FALSE) &gt;= (test!$B$35+VLOOKUP(VLOOKUP($B82,test!$A$2:$I$32,4,FALSE),test!$J$24:$P$28,5,FALSE))/1440),1,0)</f>
        <v>1</v>
      </c>
      <c r="Z82" s="2">
        <f>IF(AND(VLOOKUP(Z$1,test!$A$3:$F$32,5,FALSE) - VLOOKUP($B82,test!$A$3:$G$32,6,FALSE) &gt;= (test!$B$35+VLOOKUP(VLOOKUP($B82,test!$A$2:$I$32,4,FALSE),test!$J$24:$P$28,5,FALSE))/1440),1,0)</f>
        <v>0</v>
      </c>
      <c r="AA82" s="2">
        <f>IF(AND(VLOOKUP(AA$1,test!$A$3:$F$32,5,FALSE) - VLOOKUP($B82,test!$A$3:$G$32,6,FALSE) &gt;= (test!$B$35+VLOOKUP(VLOOKUP($B82,test!$A$2:$I$32,4,FALSE),test!$J$24:$P$28,5,FALSE))/1440),1,0)</f>
        <v>0</v>
      </c>
      <c r="AB82" s="2">
        <f>IF(AND(VLOOKUP(AB$1,test!$A$3:$F$32,5,FALSE) - VLOOKUP($B82,test!$A$3:$G$32,6,FALSE) &gt;= (test!$B$35+VLOOKUP(VLOOKUP($B82,test!$A$2:$I$32,4,FALSE),test!$J$24:$P$28,5,FALSE))/1440),1,0)</f>
        <v>0</v>
      </c>
      <c r="AC82" s="2">
        <f>IF(AND(VLOOKUP(AC$1,test!$A$3:$F$32,5,FALSE) - VLOOKUP($B82,test!$A$3:$G$32,6,FALSE) &gt;= (test!$B$35+VLOOKUP(VLOOKUP($B82,test!$A$2:$I$32,4,FALSE),test!$J$24:$P$28,5,FALSE))/1440),1,0)</f>
        <v>0</v>
      </c>
      <c r="AD82" s="2">
        <f>IF(AND(VLOOKUP(AD$1,test!$A$3:$F$32,5,FALSE) - VLOOKUP($B82,test!$A$3:$G$32,6,FALSE) &gt;= (test!$B$35+VLOOKUP(VLOOKUP($B82,test!$A$2:$I$32,4,FALSE),test!$J$24:$P$28,5,FALSE))/1440),1,0)</f>
        <v>0</v>
      </c>
      <c r="AE82" s="2">
        <f>IF(AND(VLOOKUP(AE$1,test!$A$3:$F$32,5,FALSE) - VLOOKUP($B82,test!$A$3:$G$32,6,FALSE) &gt;= (test!$B$35+VLOOKUP(VLOOKUP($B82,test!$A$2:$I$32,4,FALSE),test!$J$24:$P$28,5,FALSE))/1440),1,0)</f>
        <v>0</v>
      </c>
      <c r="AF82" s="2">
        <f>IF(AND(VLOOKUP(AF$1,test!$A$3:$F$32,5,FALSE) - VLOOKUP($B82,test!$A$3:$G$32,6,FALSE) &gt;= (test!$B$35+VLOOKUP(VLOOKUP($B82,test!$A$2:$I$32,4,FALSE),test!$J$24:$P$28,5,FALSE))/1440),1,0)</f>
        <v>0</v>
      </c>
      <c r="AG82" s="2">
        <f>IF(AND(VLOOKUP(AG$1,test!$A$3:$F$32,5,FALSE) - VLOOKUP($B82,test!$A$3:$G$32,6,FALSE) &gt;= (test!$B$35+VLOOKUP(VLOOKUP($B82,test!$A$2:$I$32,4,FALSE),test!$J$24:$P$28,5,FALSE))/1440),1,0)</f>
        <v>0</v>
      </c>
    </row>
    <row r="83" spans="1:33" x14ac:dyDescent="0.25">
      <c r="A83" t="s">
        <v>97</v>
      </c>
      <c r="B83" t="s">
        <v>30</v>
      </c>
      <c r="C83">
        <v>0</v>
      </c>
      <c r="D83" s="2">
        <f>IF(AND(VLOOKUP(D$1,test!$A$3:$F$32,5,FALSE) - VLOOKUP($B83,test!$A$3:$G$32,6,FALSE) &gt;= (test!$B$35+VLOOKUP(VLOOKUP($B83,test!$A$2:$I$32,4,FALSE),test!$J$24:$P$28,5,FALSE))/1440),1,0)</f>
        <v>0</v>
      </c>
      <c r="E83" s="2">
        <f>IF(AND(VLOOKUP(E$1,test!$A$3:$F$32,5,FALSE) - VLOOKUP($B83,test!$A$3:$G$32,6,FALSE) &gt;= (test!$B$35+VLOOKUP(VLOOKUP($B83,test!$A$2:$I$32,4,FALSE),test!$J$24:$P$28,5,FALSE))/1440),1,0)</f>
        <v>0</v>
      </c>
      <c r="F83" s="2">
        <f>IF(AND(VLOOKUP(F$1,test!$A$3:$F$32,5,FALSE) - VLOOKUP($B83,test!$A$3:$G$32,6,FALSE) &gt;= (test!$B$35+VLOOKUP(VLOOKUP($B83,test!$A$2:$I$32,4,FALSE),test!$J$24:$P$28,5,FALSE))/1440),1,0)</f>
        <v>0</v>
      </c>
      <c r="G83" s="2">
        <f>IF(AND(VLOOKUP(G$1,test!$A$3:$F$32,5,FALSE) - VLOOKUP($B83,test!$A$3:$G$32,6,FALSE) &gt;= (test!$B$35+VLOOKUP(VLOOKUP($B83,test!$A$2:$I$32,4,FALSE),test!$J$24:$P$28,5,FALSE))/1440),1,0)</f>
        <v>0</v>
      </c>
      <c r="H83" s="2">
        <f>IF(AND(VLOOKUP(H$1,test!$A$3:$F$32,5,FALSE) - VLOOKUP($B83,test!$A$3:$G$32,6,FALSE) &gt;= (test!$B$35+VLOOKUP(VLOOKUP($B83,test!$A$2:$I$32,4,FALSE),test!$J$24:$P$28,5,FALSE))/1440),1,0)</f>
        <v>0</v>
      </c>
      <c r="I83" s="2">
        <f>IF(AND(VLOOKUP(I$1,test!$A$3:$F$32,5,FALSE) - VLOOKUP($B83,test!$A$3:$G$32,6,FALSE) &gt;= (test!$B$35+VLOOKUP(VLOOKUP($B83,test!$A$2:$I$32,4,FALSE),test!$J$24:$P$28,5,FALSE))/1440),1,0)</f>
        <v>0</v>
      </c>
      <c r="J83" s="2">
        <f>IF(AND(VLOOKUP(J$1,test!$A$3:$F$32,5,FALSE) - VLOOKUP($B83,test!$A$3:$G$32,6,FALSE) &gt;= (test!$B$35+VLOOKUP(VLOOKUP($B83,test!$A$2:$I$32,4,FALSE),test!$J$24:$P$28,5,FALSE))/1440),1,0)</f>
        <v>0</v>
      </c>
      <c r="K83" s="2">
        <f>IF(AND(VLOOKUP(K$1,test!$A$3:$F$32,5,FALSE) - VLOOKUP($B83,test!$A$3:$G$32,6,FALSE) &gt;= (test!$B$35+VLOOKUP(VLOOKUP($B83,test!$A$2:$I$32,4,FALSE),test!$J$24:$P$28,5,FALSE))/1440),1,0)</f>
        <v>1</v>
      </c>
      <c r="L83" s="2">
        <f>IF(AND(VLOOKUP(L$1,test!$A$3:$F$32,5,FALSE) - VLOOKUP($B83,test!$A$3:$G$32,6,FALSE) &gt;= (test!$B$35+VLOOKUP(VLOOKUP($B83,test!$A$2:$I$32,4,FALSE),test!$J$24:$P$28,5,FALSE))/1440),1,0)</f>
        <v>0</v>
      </c>
      <c r="M83" s="2">
        <f>IF(AND(VLOOKUP(M$1,test!$A$3:$F$32,5,FALSE) - VLOOKUP($B83,test!$A$3:$G$32,6,FALSE) &gt;= (test!$B$35+VLOOKUP(VLOOKUP($B83,test!$A$2:$I$32,4,FALSE),test!$J$24:$P$28,5,FALSE))/1440),1,0)</f>
        <v>0</v>
      </c>
      <c r="N83" s="2">
        <f>IF(AND(VLOOKUP(N$1,test!$A$3:$F$32,5,FALSE) - VLOOKUP($B83,test!$A$3:$G$32,6,FALSE) &gt;= (test!$B$35+VLOOKUP(VLOOKUP($B83,test!$A$2:$I$32,4,FALSE),test!$J$24:$P$28,5,FALSE))/1440),1,0)</f>
        <v>0</v>
      </c>
      <c r="O83" s="2">
        <f>IF(AND(VLOOKUP(O$1,test!$A$3:$F$32,5,FALSE) - VLOOKUP($B83,test!$A$3:$G$32,6,FALSE) &gt;= (test!$B$35+VLOOKUP(VLOOKUP($B83,test!$A$2:$I$32,4,FALSE),test!$J$24:$P$28,5,FALSE))/1440),1,0)</f>
        <v>0</v>
      </c>
      <c r="P83" s="2">
        <f>IF(AND(VLOOKUP(P$1,test!$A$3:$F$32,5,FALSE) - VLOOKUP($B83,test!$A$3:$G$32,6,FALSE) &gt;= (test!$B$35+VLOOKUP(VLOOKUP($B83,test!$A$2:$I$32,4,FALSE),test!$J$24:$P$28,5,FALSE))/1440),1,0)</f>
        <v>1</v>
      </c>
      <c r="Q83" s="2">
        <f>IF(AND(VLOOKUP(Q$1,test!$A$3:$F$32,5,FALSE) - VLOOKUP($B83,test!$A$3:$G$32,6,FALSE) &gt;= (test!$B$35+VLOOKUP(VLOOKUP($B83,test!$A$2:$I$32,4,FALSE),test!$J$24:$P$28,5,FALSE))/1440),1,0)</f>
        <v>0</v>
      </c>
      <c r="R83" s="2">
        <f>IF(AND(VLOOKUP(R$1,test!$A$3:$F$32,5,FALSE) - VLOOKUP($B83,test!$A$3:$G$32,6,FALSE) &gt;= (test!$B$35+VLOOKUP(VLOOKUP($B83,test!$A$2:$I$32,4,FALSE),test!$J$24:$P$28,5,FALSE))/1440),1,0)</f>
        <v>0</v>
      </c>
      <c r="S83" s="2">
        <f>IF(AND(VLOOKUP(S$1,test!$A$3:$F$32,5,FALSE) - VLOOKUP($B83,test!$A$3:$G$32,6,FALSE) &gt;= (test!$B$35+VLOOKUP(VLOOKUP($B83,test!$A$2:$I$32,4,FALSE),test!$J$24:$P$28,5,FALSE))/1440),1,0)</f>
        <v>0</v>
      </c>
      <c r="T83" s="2">
        <f>IF(AND(VLOOKUP(T$1,test!$A$3:$F$32,5,FALSE) - VLOOKUP($B83,test!$A$3:$G$32,6,FALSE) &gt;= (test!$B$35+VLOOKUP(VLOOKUP($B83,test!$A$2:$I$32,4,FALSE),test!$J$24:$P$28,5,FALSE))/1440),1,0)</f>
        <v>0</v>
      </c>
      <c r="U83" s="2">
        <f>IF(AND(VLOOKUP(U$1,test!$A$3:$F$32,5,FALSE) - VLOOKUP($B83,test!$A$3:$G$32,6,FALSE) &gt;= (test!$B$35+VLOOKUP(VLOOKUP($B83,test!$A$2:$I$32,4,FALSE),test!$J$24:$P$28,5,FALSE))/1440),1,0)</f>
        <v>0</v>
      </c>
      <c r="V83" s="2">
        <f>IF(AND(VLOOKUP(V$1,test!$A$3:$F$32,5,FALSE) - VLOOKUP($B83,test!$A$3:$G$32,6,FALSE) &gt;= (test!$B$35+VLOOKUP(VLOOKUP($B83,test!$A$2:$I$32,4,FALSE),test!$J$24:$P$28,5,FALSE))/1440),1,0)</f>
        <v>0</v>
      </c>
      <c r="W83" s="2">
        <f>IF(AND(VLOOKUP(W$1,test!$A$3:$F$32,5,FALSE) - VLOOKUP($B83,test!$A$3:$G$32,6,FALSE) &gt;= (test!$B$35+VLOOKUP(VLOOKUP($B83,test!$A$2:$I$32,4,FALSE),test!$J$24:$P$28,5,FALSE))/1440),1,0)</f>
        <v>0</v>
      </c>
      <c r="X83" s="2">
        <f>IF(AND(VLOOKUP(X$1,test!$A$3:$F$32,5,FALSE) - VLOOKUP($B83,test!$A$3:$G$32,6,FALSE) &gt;= (test!$B$35+VLOOKUP(VLOOKUP($B83,test!$A$2:$I$32,4,FALSE),test!$J$24:$P$28,5,FALSE))/1440),1,0)</f>
        <v>0</v>
      </c>
      <c r="Y83" s="2">
        <f>IF(AND(VLOOKUP(Y$1,test!$A$3:$F$32,5,FALSE) - VLOOKUP($B83,test!$A$3:$G$32,6,FALSE) &gt;= (test!$B$35+VLOOKUP(VLOOKUP($B83,test!$A$2:$I$32,4,FALSE),test!$J$24:$P$28,5,FALSE))/1440),1,0)</f>
        <v>0</v>
      </c>
      <c r="Z83" s="2">
        <f>IF(AND(VLOOKUP(Z$1,test!$A$3:$F$32,5,FALSE) - VLOOKUP($B83,test!$A$3:$G$32,6,FALSE) &gt;= (test!$B$35+VLOOKUP(VLOOKUP($B83,test!$A$2:$I$32,4,FALSE),test!$J$24:$P$28,5,FALSE))/1440),1,0)</f>
        <v>0</v>
      </c>
      <c r="AA83" s="2">
        <f>IF(AND(VLOOKUP(AA$1,test!$A$3:$F$32,5,FALSE) - VLOOKUP($B83,test!$A$3:$G$32,6,FALSE) &gt;= (test!$B$35+VLOOKUP(VLOOKUP($B83,test!$A$2:$I$32,4,FALSE),test!$J$24:$P$28,5,FALSE))/1440),1,0)</f>
        <v>0</v>
      </c>
      <c r="AB83" s="2">
        <f>IF(AND(VLOOKUP(AB$1,test!$A$3:$F$32,5,FALSE) - VLOOKUP($B83,test!$A$3:$G$32,6,FALSE) &gt;= (test!$B$35+VLOOKUP(VLOOKUP($B83,test!$A$2:$I$32,4,FALSE),test!$J$24:$P$28,5,FALSE))/1440),1,0)</f>
        <v>0</v>
      </c>
      <c r="AC83" s="2">
        <f>IF(AND(VLOOKUP(AC$1,test!$A$3:$F$32,5,FALSE) - VLOOKUP($B83,test!$A$3:$G$32,6,FALSE) &gt;= (test!$B$35+VLOOKUP(VLOOKUP($B83,test!$A$2:$I$32,4,FALSE),test!$J$24:$P$28,5,FALSE))/1440),1,0)</f>
        <v>0</v>
      </c>
      <c r="AD83" s="2">
        <f>IF(AND(VLOOKUP(AD$1,test!$A$3:$F$32,5,FALSE) - VLOOKUP($B83,test!$A$3:$G$32,6,FALSE) &gt;= (test!$B$35+VLOOKUP(VLOOKUP($B83,test!$A$2:$I$32,4,FALSE),test!$J$24:$P$28,5,FALSE))/1440),1,0)</f>
        <v>0</v>
      </c>
      <c r="AE83" s="2">
        <f>IF(AND(VLOOKUP(AE$1,test!$A$3:$F$32,5,FALSE) - VLOOKUP($B83,test!$A$3:$G$32,6,FALSE) &gt;= (test!$B$35+VLOOKUP(VLOOKUP($B83,test!$A$2:$I$32,4,FALSE),test!$J$24:$P$28,5,FALSE))/1440),1,0)</f>
        <v>0</v>
      </c>
      <c r="AF83" s="2">
        <f>IF(AND(VLOOKUP(AF$1,test!$A$3:$F$32,5,FALSE) - VLOOKUP($B83,test!$A$3:$G$32,6,FALSE) &gt;= (test!$B$35+VLOOKUP(VLOOKUP($B83,test!$A$2:$I$32,4,FALSE),test!$J$24:$P$28,5,FALSE))/1440),1,0)</f>
        <v>0</v>
      </c>
      <c r="AG83" s="2">
        <f>IF(AND(VLOOKUP(AG$1,test!$A$3:$F$32,5,FALSE) - VLOOKUP($B83,test!$A$3:$G$32,6,FALSE) &gt;= (test!$B$35+VLOOKUP(VLOOKUP($B83,test!$A$2:$I$32,4,FALSE),test!$J$24:$P$28,5,FALSE))/1440),1,0)</f>
        <v>0</v>
      </c>
    </row>
    <row r="84" spans="1:33" x14ac:dyDescent="0.25">
      <c r="A84" t="s">
        <v>97</v>
      </c>
      <c r="B84" t="s">
        <v>31</v>
      </c>
      <c r="C84">
        <v>0</v>
      </c>
      <c r="D84" s="2">
        <f>IF(AND(VLOOKUP(D$1,test!$A$3:$F$32,5,FALSE) - VLOOKUP($B84,test!$A$3:$G$32,6,FALSE) &gt;= (test!$B$35+VLOOKUP(VLOOKUP($B84,test!$A$2:$I$32,4,FALSE),test!$J$24:$P$28,5,FALSE))/1440),1,0)</f>
        <v>0</v>
      </c>
      <c r="E84" s="2">
        <f>IF(AND(VLOOKUP(E$1,test!$A$3:$F$32,5,FALSE) - VLOOKUP($B84,test!$A$3:$G$32,6,FALSE) &gt;= (test!$B$35+VLOOKUP(VLOOKUP($B84,test!$A$2:$I$32,4,FALSE),test!$J$24:$P$28,5,FALSE))/1440),1,0)</f>
        <v>0</v>
      </c>
      <c r="F84" s="2">
        <f>IF(AND(VLOOKUP(F$1,test!$A$3:$F$32,5,FALSE) - VLOOKUP($B84,test!$A$3:$G$32,6,FALSE) &gt;= (test!$B$35+VLOOKUP(VLOOKUP($B84,test!$A$2:$I$32,4,FALSE),test!$J$24:$P$28,5,FALSE))/1440),1,0)</f>
        <v>0</v>
      </c>
      <c r="G84" s="2">
        <f>IF(AND(VLOOKUP(G$1,test!$A$3:$F$32,5,FALSE) - VLOOKUP($B84,test!$A$3:$G$32,6,FALSE) &gt;= (test!$B$35+VLOOKUP(VLOOKUP($B84,test!$A$2:$I$32,4,FALSE),test!$J$24:$P$28,5,FALSE))/1440),1,0)</f>
        <v>0</v>
      </c>
      <c r="H84" s="2">
        <f>IF(AND(VLOOKUP(H$1,test!$A$3:$F$32,5,FALSE) - VLOOKUP($B84,test!$A$3:$G$32,6,FALSE) &gt;= (test!$B$35+VLOOKUP(VLOOKUP($B84,test!$A$2:$I$32,4,FALSE),test!$J$24:$P$28,5,FALSE))/1440),1,0)</f>
        <v>0</v>
      </c>
      <c r="I84" s="2">
        <f>IF(AND(VLOOKUP(I$1,test!$A$3:$F$32,5,FALSE) - VLOOKUP($B84,test!$A$3:$G$32,6,FALSE) &gt;= (test!$B$35+VLOOKUP(VLOOKUP($B84,test!$A$2:$I$32,4,FALSE),test!$J$24:$P$28,5,FALSE))/1440),1,0)</f>
        <v>0</v>
      </c>
      <c r="J84" s="2">
        <f>IF(AND(VLOOKUP(J$1,test!$A$3:$F$32,5,FALSE) - VLOOKUP($B84,test!$A$3:$G$32,6,FALSE) &gt;= (test!$B$35+VLOOKUP(VLOOKUP($B84,test!$A$2:$I$32,4,FALSE),test!$J$24:$P$28,5,FALSE))/1440),1,0)</f>
        <v>0</v>
      </c>
      <c r="K84" s="2">
        <f>IF(AND(VLOOKUP(K$1,test!$A$3:$F$32,5,FALSE) - VLOOKUP($B84,test!$A$3:$G$32,6,FALSE) &gt;= (test!$B$35+VLOOKUP(VLOOKUP($B84,test!$A$2:$I$32,4,FALSE),test!$J$24:$P$28,5,FALSE))/1440),1,0)</f>
        <v>0</v>
      </c>
      <c r="L84" s="2">
        <f>IF(AND(VLOOKUP(L$1,test!$A$3:$F$32,5,FALSE) - VLOOKUP($B84,test!$A$3:$G$32,6,FALSE) &gt;= (test!$B$35+VLOOKUP(VLOOKUP($B84,test!$A$2:$I$32,4,FALSE),test!$J$24:$P$28,5,FALSE))/1440),1,0)</f>
        <v>0</v>
      </c>
      <c r="M84" s="2">
        <f>IF(AND(VLOOKUP(M$1,test!$A$3:$F$32,5,FALSE) - VLOOKUP($B84,test!$A$3:$G$32,6,FALSE) &gt;= (test!$B$35+VLOOKUP(VLOOKUP($B84,test!$A$2:$I$32,4,FALSE),test!$J$24:$P$28,5,FALSE))/1440),1,0)</f>
        <v>0</v>
      </c>
      <c r="N84" s="2">
        <f>IF(AND(VLOOKUP(N$1,test!$A$3:$F$32,5,FALSE) - VLOOKUP($B84,test!$A$3:$G$32,6,FALSE) &gt;= (test!$B$35+VLOOKUP(VLOOKUP($B84,test!$A$2:$I$32,4,FALSE),test!$J$24:$P$28,5,FALSE))/1440),1,0)</f>
        <v>0</v>
      </c>
      <c r="O84" s="2">
        <f>IF(AND(VLOOKUP(O$1,test!$A$3:$F$32,5,FALSE) - VLOOKUP($B84,test!$A$3:$G$32,6,FALSE) &gt;= (test!$B$35+VLOOKUP(VLOOKUP($B84,test!$A$2:$I$32,4,FALSE),test!$J$24:$P$28,5,FALSE))/1440),1,0)</f>
        <v>0</v>
      </c>
      <c r="P84" s="2">
        <f>IF(AND(VLOOKUP(P$1,test!$A$3:$F$32,5,FALSE) - VLOOKUP($B84,test!$A$3:$G$32,6,FALSE) &gt;= (test!$B$35+VLOOKUP(VLOOKUP($B84,test!$A$2:$I$32,4,FALSE),test!$J$24:$P$28,5,FALSE))/1440),1,0)</f>
        <v>0</v>
      </c>
      <c r="Q84" s="2">
        <f>IF(AND(VLOOKUP(Q$1,test!$A$3:$F$32,5,FALSE) - VLOOKUP($B84,test!$A$3:$G$32,6,FALSE) &gt;= (test!$B$35+VLOOKUP(VLOOKUP($B84,test!$A$2:$I$32,4,FALSE),test!$J$24:$P$28,5,FALSE))/1440),1,0)</f>
        <v>0</v>
      </c>
      <c r="R84" s="2">
        <f>IF(AND(VLOOKUP(R$1,test!$A$3:$F$32,5,FALSE) - VLOOKUP($B84,test!$A$3:$G$32,6,FALSE) &gt;= (test!$B$35+VLOOKUP(VLOOKUP($B84,test!$A$2:$I$32,4,FALSE),test!$J$24:$P$28,5,FALSE))/1440),1,0)</f>
        <v>0</v>
      </c>
      <c r="S84" s="2">
        <f>IF(AND(VLOOKUP(S$1,test!$A$3:$F$32,5,FALSE) - VLOOKUP($B84,test!$A$3:$G$32,6,FALSE) &gt;= (test!$B$35+VLOOKUP(VLOOKUP($B84,test!$A$2:$I$32,4,FALSE),test!$J$24:$P$28,5,FALSE))/1440),1,0)</f>
        <v>0</v>
      </c>
      <c r="T84" s="2">
        <f>IF(AND(VLOOKUP(T$1,test!$A$3:$F$32,5,FALSE) - VLOOKUP($B84,test!$A$3:$G$32,6,FALSE) &gt;= (test!$B$35+VLOOKUP(VLOOKUP($B84,test!$A$2:$I$32,4,FALSE),test!$J$24:$P$28,5,FALSE))/1440),1,0)</f>
        <v>0</v>
      </c>
      <c r="U84" s="2">
        <f>IF(AND(VLOOKUP(U$1,test!$A$3:$F$32,5,FALSE) - VLOOKUP($B84,test!$A$3:$G$32,6,FALSE) &gt;= (test!$B$35+VLOOKUP(VLOOKUP($B84,test!$A$2:$I$32,4,FALSE),test!$J$24:$P$28,5,FALSE))/1440),1,0)</f>
        <v>0</v>
      </c>
      <c r="V84" s="2">
        <f>IF(AND(VLOOKUP(V$1,test!$A$3:$F$32,5,FALSE) - VLOOKUP($B84,test!$A$3:$G$32,6,FALSE) &gt;= (test!$B$35+VLOOKUP(VLOOKUP($B84,test!$A$2:$I$32,4,FALSE),test!$J$24:$P$28,5,FALSE))/1440),1,0)</f>
        <v>0</v>
      </c>
      <c r="W84" s="2">
        <f>IF(AND(VLOOKUP(W$1,test!$A$3:$F$32,5,FALSE) - VLOOKUP($B84,test!$A$3:$G$32,6,FALSE) &gt;= (test!$B$35+VLOOKUP(VLOOKUP($B84,test!$A$2:$I$32,4,FALSE),test!$J$24:$P$28,5,FALSE))/1440),1,0)</f>
        <v>0</v>
      </c>
      <c r="X84" s="2">
        <f>IF(AND(VLOOKUP(X$1,test!$A$3:$F$32,5,FALSE) - VLOOKUP($B84,test!$A$3:$G$32,6,FALSE) &gt;= (test!$B$35+VLOOKUP(VLOOKUP($B84,test!$A$2:$I$32,4,FALSE),test!$J$24:$P$28,5,FALSE))/1440),1,0)</f>
        <v>0</v>
      </c>
      <c r="Y84" s="2">
        <f>IF(AND(VLOOKUP(Y$1,test!$A$3:$F$32,5,FALSE) - VLOOKUP($B84,test!$A$3:$G$32,6,FALSE) &gt;= (test!$B$35+VLOOKUP(VLOOKUP($B84,test!$A$2:$I$32,4,FALSE),test!$J$24:$P$28,5,FALSE))/1440),1,0)</f>
        <v>0</v>
      </c>
      <c r="Z84" s="2">
        <f>IF(AND(VLOOKUP(Z$1,test!$A$3:$F$32,5,FALSE) - VLOOKUP($B84,test!$A$3:$G$32,6,FALSE) &gt;= (test!$B$35+VLOOKUP(VLOOKUP($B84,test!$A$2:$I$32,4,FALSE),test!$J$24:$P$28,5,FALSE))/1440),1,0)</f>
        <v>0</v>
      </c>
      <c r="AA84" s="2">
        <f>IF(AND(VLOOKUP(AA$1,test!$A$3:$F$32,5,FALSE) - VLOOKUP($B84,test!$A$3:$G$32,6,FALSE) &gt;= (test!$B$35+VLOOKUP(VLOOKUP($B84,test!$A$2:$I$32,4,FALSE),test!$J$24:$P$28,5,FALSE))/1440),1,0)</f>
        <v>0</v>
      </c>
      <c r="AB84" s="2">
        <f>IF(AND(VLOOKUP(AB$1,test!$A$3:$F$32,5,FALSE) - VLOOKUP($B84,test!$A$3:$G$32,6,FALSE) &gt;= (test!$B$35+VLOOKUP(VLOOKUP($B84,test!$A$2:$I$32,4,FALSE),test!$J$24:$P$28,5,FALSE))/1440),1,0)</f>
        <v>0</v>
      </c>
      <c r="AC84" s="2">
        <f>IF(AND(VLOOKUP(AC$1,test!$A$3:$F$32,5,FALSE) - VLOOKUP($B84,test!$A$3:$G$32,6,FALSE) &gt;= (test!$B$35+VLOOKUP(VLOOKUP($B84,test!$A$2:$I$32,4,FALSE),test!$J$24:$P$28,5,FALSE))/1440),1,0)</f>
        <v>0</v>
      </c>
      <c r="AD84" s="2">
        <f>IF(AND(VLOOKUP(AD$1,test!$A$3:$F$32,5,FALSE) - VLOOKUP($B84,test!$A$3:$G$32,6,FALSE) &gt;= (test!$B$35+VLOOKUP(VLOOKUP($B84,test!$A$2:$I$32,4,FALSE),test!$J$24:$P$28,5,FALSE))/1440),1,0)</f>
        <v>0</v>
      </c>
      <c r="AE84" s="2">
        <f>IF(AND(VLOOKUP(AE$1,test!$A$3:$F$32,5,FALSE) - VLOOKUP($B84,test!$A$3:$G$32,6,FALSE) &gt;= (test!$B$35+VLOOKUP(VLOOKUP($B84,test!$A$2:$I$32,4,FALSE),test!$J$24:$P$28,5,FALSE))/1440),1,0)</f>
        <v>0</v>
      </c>
      <c r="AF84" s="2">
        <f>IF(AND(VLOOKUP(AF$1,test!$A$3:$F$32,5,FALSE) - VLOOKUP($B84,test!$A$3:$G$32,6,FALSE) &gt;= (test!$B$35+VLOOKUP(VLOOKUP($B84,test!$A$2:$I$32,4,FALSE),test!$J$24:$P$28,5,FALSE))/1440),1,0)</f>
        <v>0</v>
      </c>
      <c r="AG84" s="2">
        <f>IF(AND(VLOOKUP(AG$1,test!$A$3:$F$32,5,FALSE) - VLOOKUP($B84,test!$A$3:$G$32,6,FALSE) &gt;= (test!$B$35+VLOOKUP(VLOOKUP($B84,test!$A$2:$I$32,4,FALSE),test!$J$24:$P$28,5,FALSE))/1440),1,0)</f>
        <v>0</v>
      </c>
    </row>
    <row r="85" spans="1:33" x14ac:dyDescent="0.25">
      <c r="A85" t="s">
        <v>97</v>
      </c>
      <c r="B85" t="s">
        <v>32</v>
      </c>
      <c r="C85">
        <v>0</v>
      </c>
      <c r="D85" s="2">
        <f>IF(AND(VLOOKUP(D$1,test!$A$3:$F$32,5,FALSE) - VLOOKUP($B85,test!$A$3:$G$32,6,FALSE) &gt;= (test!$B$35+VLOOKUP(VLOOKUP($B85,test!$A$2:$I$32,4,FALSE),test!$J$24:$P$28,5,FALSE))/1440),1,0)</f>
        <v>0</v>
      </c>
      <c r="E85" s="2">
        <f>IF(AND(VLOOKUP(E$1,test!$A$3:$F$32,5,FALSE) - VLOOKUP($B85,test!$A$3:$G$32,6,FALSE) &gt;= (test!$B$35+VLOOKUP(VLOOKUP($B85,test!$A$2:$I$32,4,FALSE),test!$J$24:$P$28,5,FALSE))/1440),1,0)</f>
        <v>0</v>
      </c>
      <c r="F85" s="2">
        <f>IF(AND(VLOOKUP(F$1,test!$A$3:$F$32,5,FALSE) - VLOOKUP($B85,test!$A$3:$G$32,6,FALSE) &gt;= (test!$B$35+VLOOKUP(VLOOKUP($B85,test!$A$2:$I$32,4,FALSE),test!$J$24:$P$28,5,FALSE))/1440),1,0)</f>
        <v>0</v>
      </c>
      <c r="G85" s="2">
        <f>IF(AND(VLOOKUP(G$1,test!$A$3:$F$32,5,FALSE) - VLOOKUP($B85,test!$A$3:$G$32,6,FALSE) &gt;= (test!$B$35+VLOOKUP(VLOOKUP($B85,test!$A$2:$I$32,4,FALSE),test!$J$24:$P$28,5,FALSE))/1440),1,0)</f>
        <v>0</v>
      </c>
      <c r="H85" s="2">
        <f>IF(AND(VLOOKUP(H$1,test!$A$3:$F$32,5,FALSE) - VLOOKUP($B85,test!$A$3:$G$32,6,FALSE) &gt;= (test!$B$35+VLOOKUP(VLOOKUP($B85,test!$A$2:$I$32,4,FALSE),test!$J$24:$P$28,5,FALSE))/1440),1,0)</f>
        <v>0</v>
      </c>
      <c r="I85" s="2">
        <f>IF(AND(VLOOKUP(I$1,test!$A$3:$F$32,5,FALSE) - VLOOKUP($B85,test!$A$3:$G$32,6,FALSE) &gt;= (test!$B$35+VLOOKUP(VLOOKUP($B85,test!$A$2:$I$32,4,FALSE),test!$J$24:$P$28,5,FALSE))/1440),1,0)</f>
        <v>0</v>
      </c>
      <c r="J85" s="2">
        <f>IF(AND(VLOOKUP(J$1,test!$A$3:$F$32,5,FALSE) - VLOOKUP($B85,test!$A$3:$G$32,6,FALSE) &gt;= (test!$B$35+VLOOKUP(VLOOKUP($B85,test!$A$2:$I$32,4,FALSE),test!$J$24:$P$28,5,FALSE))/1440),1,0)</f>
        <v>0</v>
      </c>
      <c r="K85" s="2">
        <f>IF(AND(VLOOKUP(K$1,test!$A$3:$F$32,5,FALSE) - VLOOKUP($B85,test!$A$3:$G$32,6,FALSE) &gt;= (test!$B$35+VLOOKUP(VLOOKUP($B85,test!$A$2:$I$32,4,FALSE),test!$J$24:$P$28,5,FALSE))/1440),1,0)</f>
        <v>0</v>
      </c>
      <c r="L85" s="2">
        <f>IF(AND(VLOOKUP(L$1,test!$A$3:$F$32,5,FALSE) - VLOOKUP($B85,test!$A$3:$G$32,6,FALSE) &gt;= (test!$B$35+VLOOKUP(VLOOKUP($B85,test!$A$2:$I$32,4,FALSE),test!$J$24:$P$28,5,FALSE))/1440),1,0)</f>
        <v>0</v>
      </c>
      <c r="M85" s="2">
        <f>IF(AND(VLOOKUP(M$1,test!$A$3:$F$32,5,FALSE) - VLOOKUP($B85,test!$A$3:$G$32,6,FALSE) &gt;= (test!$B$35+VLOOKUP(VLOOKUP($B85,test!$A$2:$I$32,4,FALSE),test!$J$24:$P$28,5,FALSE))/1440),1,0)</f>
        <v>0</v>
      </c>
      <c r="N85" s="2">
        <f>IF(AND(VLOOKUP(N$1,test!$A$3:$F$32,5,FALSE) - VLOOKUP($B85,test!$A$3:$G$32,6,FALSE) &gt;= (test!$B$35+VLOOKUP(VLOOKUP($B85,test!$A$2:$I$32,4,FALSE),test!$J$24:$P$28,5,FALSE))/1440),1,0)</f>
        <v>0</v>
      </c>
      <c r="O85" s="2">
        <f>IF(AND(VLOOKUP(O$1,test!$A$3:$F$32,5,FALSE) - VLOOKUP($B85,test!$A$3:$G$32,6,FALSE) &gt;= (test!$B$35+VLOOKUP(VLOOKUP($B85,test!$A$2:$I$32,4,FALSE),test!$J$24:$P$28,5,FALSE))/1440),1,0)</f>
        <v>0</v>
      </c>
      <c r="P85" s="2">
        <f>IF(AND(VLOOKUP(P$1,test!$A$3:$F$32,5,FALSE) - VLOOKUP($B85,test!$A$3:$G$32,6,FALSE) &gt;= (test!$B$35+VLOOKUP(VLOOKUP($B85,test!$A$2:$I$32,4,FALSE),test!$J$24:$P$28,5,FALSE))/1440),1,0)</f>
        <v>0</v>
      </c>
      <c r="Q85" s="2">
        <f>IF(AND(VLOOKUP(Q$1,test!$A$3:$F$32,5,FALSE) - VLOOKUP($B85,test!$A$3:$G$32,6,FALSE) &gt;= (test!$B$35+VLOOKUP(VLOOKUP($B85,test!$A$2:$I$32,4,FALSE),test!$J$24:$P$28,5,FALSE))/1440),1,0)</f>
        <v>0</v>
      </c>
      <c r="R85" s="2">
        <f>IF(AND(VLOOKUP(R$1,test!$A$3:$F$32,5,FALSE) - VLOOKUP($B85,test!$A$3:$G$32,6,FALSE) &gt;= (test!$B$35+VLOOKUP(VLOOKUP($B85,test!$A$2:$I$32,4,FALSE),test!$J$24:$P$28,5,FALSE))/1440),1,0)</f>
        <v>0</v>
      </c>
      <c r="S85" s="2">
        <f>IF(AND(VLOOKUP(S$1,test!$A$3:$F$32,5,FALSE) - VLOOKUP($B85,test!$A$3:$G$32,6,FALSE) &gt;= (test!$B$35+VLOOKUP(VLOOKUP($B85,test!$A$2:$I$32,4,FALSE),test!$J$24:$P$28,5,FALSE))/1440),1,0)</f>
        <v>0</v>
      </c>
      <c r="T85" s="2">
        <f>IF(AND(VLOOKUP(T$1,test!$A$3:$F$32,5,FALSE) - VLOOKUP($B85,test!$A$3:$G$32,6,FALSE) &gt;= (test!$B$35+VLOOKUP(VLOOKUP($B85,test!$A$2:$I$32,4,FALSE),test!$J$24:$P$28,5,FALSE))/1440),1,0)</f>
        <v>0</v>
      </c>
      <c r="U85" s="2">
        <f>IF(AND(VLOOKUP(U$1,test!$A$3:$F$32,5,FALSE) - VLOOKUP($B85,test!$A$3:$G$32,6,FALSE) &gt;= (test!$B$35+VLOOKUP(VLOOKUP($B85,test!$A$2:$I$32,4,FALSE),test!$J$24:$P$28,5,FALSE))/1440),1,0)</f>
        <v>0</v>
      </c>
      <c r="V85" s="2">
        <f>IF(AND(VLOOKUP(V$1,test!$A$3:$F$32,5,FALSE) - VLOOKUP($B85,test!$A$3:$G$32,6,FALSE) &gt;= (test!$B$35+VLOOKUP(VLOOKUP($B85,test!$A$2:$I$32,4,FALSE),test!$J$24:$P$28,5,FALSE))/1440),1,0)</f>
        <v>0</v>
      </c>
      <c r="W85" s="2">
        <f>IF(AND(VLOOKUP(W$1,test!$A$3:$F$32,5,FALSE) - VLOOKUP($B85,test!$A$3:$G$32,6,FALSE) &gt;= (test!$B$35+VLOOKUP(VLOOKUP($B85,test!$A$2:$I$32,4,FALSE),test!$J$24:$P$28,5,FALSE))/1440),1,0)</f>
        <v>0</v>
      </c>
      <c r="X85" s="2">
        <f>IF(AND(VLOOKUP(X$1,test!$A$3:$F$32,5,FALSE) - VLOOKUP($B85,test!$A$3:$G$32,6,FALSE) &gt;= (test!$B$35+VLOOKUP(VLOOKUP($B85,test!$A$2:$I$32,4,FALSE),test!$J$24:$P$28,5,FALSE))/1440),1,0)</f>
        <v>0</v>
      </c>
      <c r="Y85" s="2">
        <f>IF(AND(VLOOKUP(Y$1,test!$A$3:$F$32,5,FALSE) - VLOOKUP($B85,test!$A$3:$G$32,6,FALSE) &gt;= (test!$B$35+VLOOKUP(VLOOKUP($B85,test!$A$2:$I$32,4,FALSE),test!$J$24:$P$28,5,FALSE))/1440),1,0)</f>
        <v>0</v>
      </c>
      <c r="Z85" s="2">
        <f>IF(AND(VLOOKUP(Z$1,test!$A$3:$F$32,5,FALSE) - VLOOKUP($B85,test!$A$3:$G$32,6,FALSE) &gt;= (test!$B$35+VLOOKUP(VLOOKUP($B85,test!$A$2:$I$32,4,FALSE),test!$J$24:$P$28,5,FALSE))/1440),1,0)</f>
        <v>0</v>
      </c>
      <c r="AA85" s="2">
        <f>IF(AND(VLOOKUP(AA$1,test!$A$3:$F$32,5,FALSE) - VLOOKUP($B85,test!$A$3:$G$32,6,FALSE) &gt;= (test!$B$35+VLOOKUP(VLOOKUP($B85,test!$A$2:$I$32,4,FALSE),test!$J$24:$P$28,5,FALSE))/1440),1,0)</f>
        <v>0</v>
      </c>
      <c r="AB85" s="2">
        <f>IF(AND(VLOOKUP(AB$1,test!$A$3:$F$32,5,FALSE) - VLOOKUP($B85,test!$A$3:$G$32,6,FALSE) &gt;= (test!$B$35+VLOOKUP(VLOOKUP($B85,test!$A$2:$I$32,4,FALSE),test!$J$24:$P$28,5,FALSE))/1440),1,0)</f>
        <v>0</v>
      </c>
      <c r="AC85" s="2">
        <f>IF(AND(VLOOKUP(AC$1,test!$A$3:$F$32,5,FALSE) - VLOOKUP($B85,test!$A$3:$G$32,6,FALSE) &gt;= (test!$B$35+VLOOKUP(VLOOKUP($B85,test!$A$2:$I$32,4,FALSE),test!$J$24:$P$28,5,FALSE))/1440),1,0)</f>
        <v>0</v>
      </c>
      <c r="AD85" s="2">
        <f>IF(AND(VLOOKUP(AD$1,test!$A$3:$F$32,5,FALSE) - VLOOKUP($B85,test!$A$3:$G$32,6,FALSE) &gt;= (test!$B$35+VLOOKUP(VLOOKUP($B85,test!$A$2:$I$32,4,FALSE),test!$J$24:$P$28,5,FALSE))/1440),1,0)</f>
        <v>0</v>
      </c>
      <c r="AE85" s="2">
        <f>IF(AND(VLOOKUP(AE$1,test!$A$3:$F$32,5,FALSE) - VLOOKUP($B85,test!$A$3:$G$32,6,FALSE) &gt;= (test!$B$35+VLOOKUP(VLOOKUP($B85,test!$A$2:$I$32,4,FALSE),test!$J$24:$P$28,5,FALSE))/1440),1,0)</f>
        <v>0</v>
      </c>
      <c r="AF85" s="2">
        <f>IF(AND(VLOOKUP(AF$1,test!$A$3:$F$32,5,FALSE) - VLOOKUP($B85,test!$A$3:$G$32,6,FALSE) &gt;= (test!$B$35+VLOOKUP(VLOOKUP($B85,test!$A$2:$I$32,4,FALSE),test!$J$24:$P$28,5,FALSE))/1440),1,0)</f>
        <v>0</v>
      </c>
      <c r="AG85" s="2">
        <f>IF(AND(VLOOKUP(AG$1,test!$A$3:$F$32,5,FALSE) - VLOOKUP($B85,test!$A$3:$G$32,6,FALSE) &gt;= (test!$B$35+VLOOKUP(VLOOKUP($B85,test!$A$2:$I$32,4,FALSE),test!$J$24:$P$28,5,FALSE))/1440),1,0)</f>
        <v>0</v>
      </c>
    </row>
    <row r="86" spans="1:33" x14ac:dyDescent="0.25">
      <c r="A86" t="s">
        <v>97</v>
      </c>
      <c r="B86" t="s">
        <v>33</v>
      </c>
      <c r="C86">
        <v>0</v>
      </c>
      <c r="D86" s="2">
        <f>IF(AND(VLOOKUP(D$1,test!$A$3:$F$32,5,FALSE) - VLOOKUP($B86,test!$A$3:$G$32,6,FALSE) &gt;= (test!$B$35+VLOOKUP(VLOOKUP($B86,test!$A$2:$I$32,4,FALSE),test!$J$24:$P$28,5,FALSE))/1440),1,0)</f>
        <v>0</v>
      </c>
      <c r="E86" s="2">
        <f>IF(AND(VLOOKUP(E$1,test!$A$3:$F$32,5,FALSE) - VLOOKUP($B86,test!$A$3:$G$32,6,FALSE) &gt;= (test!$B$35+VLOOKUP(VLOOKUP($B86,test!$A$2:$I$32,4,FALSE),test!$J$24:$P$28,5,FALSE))/1440),1,0)</f>
        <v>0</v>
      </c>
      <c r="F86" s="2">
        <f>IF(AND(VLOOKUP(F$1,test!$A$3:$F$32,5,FALSE) - VLOOKUP($B86,test!$A$3:$G$32,6,FALSE) &gt;= (test!$B$35+VLOOKUP(VLOOKUP($B86,test!$A$2:$I$32,4,FALSE),test!$J$24:$P$28,5,FALSE))/1440),1,0)</f>
        <v>0</v>
      </c>
      <c r="G86" s="2">
        <f>IF(AND(VLOOKUP(G$1,test!$A$3:$F$32,5,FALSE) - VLOOKUP($B86,test!$A$3:$G$32,6,FALSE) &gt;= (test!$B$35+VLOOKUP(VLOOKUP($B86,test!$A$2:$I$32,4,FALSE),test!$J$24:$P$28,5,FALSE))/1440),1,0)</f>
        <v>0</v>
      </c>
      <c r="H86" s="2">
        <f>IF(AND(VLOOKUP(H$1,test!$A$3:$F$32,5,FALSE) - VLOOKUP($B86,test!$A$3:$G$32,6,FALSE) &gt;= (test!$B$35+VLOOKUP(VLOOKUP($B86,test!$A$2:$I$32,4,FALSE),test!$J$24:$P$28,5,FALSE))/1440),1,0)</f>
        <v>0</v>
      </c>
      <c r="I86" s="2">
        <f>IF(AND(VLOOKUP(I$1,test!$A$3:$F$32,5,FALSE) - VLOOKUP($B86,test!$A$3:$G$32,6,FALSE) &gt;= (test!$B$35+VLOOKUP(VLOOKUP($B86,test!$A$2:$I$32,4,FALSE),test!$J$24:$P$28,5,FALSE))/1440),1,0)</f>
        <v>0</v>
      </c>
      <c r="J86" s="2">
        <f>IF(AND(VLOOKUP(J$1,test!$A$3:$F$32,5,FALSE) - VLOOKUP($B86,test!$A$3:$G$32,6,FALSE) &gt;= (test!$B$35+VLOOKUP(VLOOKUP($B86,test!$A$2:$I$32,4,FALSE),test!$J$24:$P$28,5,FALSE))/1440),1,0)</f>
        <v>0</v>
      </c>
      <c r="K86" s="2">
        <f>IF(AND(VLOOKUP(K$1,test!$A$3:$F$32,5,FALSE) - VLOOKUP($B86,test!$A$3:$G$32,6,FALSE) &gt;= (test!$B$35+VLOOKUP(VLOOKUP($B86,test!$A$2:$I$32,4,FALSE),test!$J$24:$P$28,5,FALSE))/1440),1,0)</f>
        <v>0</v>
      </c>
      <c r="L86" s="2">
        <f>IF(AND(VLOOKUP(L$1,test!$A$3:$F$32,5,FALSE) - VLOOKUP($B86,test!$A$3:$G$32,6,FALSE) &gt;= (test!$B$35+VLOOKUP(VLOOKUP($B86,test!$A$2:$I$32,4,FALSE),test!$J$24:$P$28,5,FALSE))/1440),1,0)</f>
        <v>0</v>
      </c>
      <c r="M86" s="2">
        <f>IF(AND(VLOOKUP(M$1,test!$A$3:$F$32,5,FALSE) - VLOOKUP($B86,test!$A$3:$G$32,6,FALSE) &gt;= (test!$B$35+VLOOKUP(VLOOKUP($B86,test!$A$2:$I$32,4,FALSE),test!$J$24:$P$28,5,FALSE))/1440),1,0)</f>
        <v>0</v>
      </c>
      <c r="N86" s="2">
        <f>IF(AND(VLOOKUP(N$1,test!$A$3:$F$32,5,FALSE) - VLOOKUP($B86,test!$A$3:$G$32,6,FALSE) &gt;= (test!$B$35+VLOOKUP(VLOOKUP($B86,test!$A$2:$I$32,4,FALSE),test!$J$24:$P$28,5,FALSE))/1440),1,0)</f>
        <v>0</v>
      </c>
      <c r="O86" s="2">
        <f>IF(AND(VLOOKUP(O$1,test!$A$3:$F$32,5,FALSE) - VLOOKUP($B86,test!$A$3:$G$32,6,FALSE) &gt;= (test!$B$35+VLOOKUP(VLOOKUP($B86,test!$A$2:$I$32,4,FALSE),test!$J$24:$P$28,5,FALSE))/1440),1,0)</f>
        <v>0</v>
      </c>
      <c r="P86" s="2">
        <f>IF(AND(VLOOKUP(P$1,test!$A$3:$F$32,5,FALSE) - VLOOKUP($B86,test!$A$3:$G$32,6,FALSE) &gt;= (test!$B$35+VLOOKUP(VLOOKUP($B86,test!$A$2:$I$32,4,FALSE),test!$J$24:$P$28,5,FALSE))/1440),1,0)</f>
        <v>0</v>
      </c>
      <c r="Q86" s="2">
        <f>IF(AND(VLOOKUP(Q$1,test!$A$3:$F$32,5,FALSE) - VLOOKUP($B86,test!$A$3:$G$32,6,FALSE) &gt;= (test!$B$35+VLOOKUP(VLOOKUP($B86,test!$A$2:$I$32,4,FALSE),test!$J$24:$P$28,5,FALSE))/1440),1,0)</f>
        <v>0</v>
      </c>
      <c r="R86" s="2">
        <f>IF(AND(VLOOKUP(R$1,test!$A$3:$F$32,5,FALSE) - VLOOKUP($B86,test!$A$3:$G$32,6,FALSE) &gt;= (test!$B$35+VLOOKUP(VLOOKUP($B86,test!$A$2:$I$32,4,FALSE),test!$J$24:$P$28,5,FALSE))/1440),1,0)</f>
        <v>0</v>
      </c>
      <c r="S86" s="2">
        <f>IF(AND(VLOOKUP(S$1,test!$A$3:$F$32,5,FALSE) - VLOOKUP($B86,test!$A$3:$G$32,6,FALSE) &gt;= (test!$B$35+VLOOKUP(VLOOKUP($B86,test!$A$2:$I$32,4,FALSE),test!$J$24:$P$28,5,FALSE))/1440),1,0)</f>
        <v>0</v>
      </c>
      <c r="T86" s="2">
        <f>IF(AND(VLOOKUP(T$1,test!$A$3:$F$32,5,FALSE) - VLOOKUP($B86,test!$A$3:$G$32,6,FALSE) &gt;= (test!$B$35+VLOOKUP(VLOOKUP($B86,test!$A$2:$I$32,4,FALSE),test!$J$24:$P$28,5,FALSE))/1440),1,0)</f>
        <v>0</v>
      </c>
      <c r="U86" s="2">
        <f>IF(AND(VLOOKUP(U$1,test!$A$3:$F$32,5,FALSE) - VLOOKUP($B86,test!$A$3:$G$32,6,FALSE) &gt;= (test!$B$35+VLOOKUP(VLOOKUP($B86,test!$A$2:$I$32,4,FALSE),test!$J$24:$P$28,5,FALSE))/1440),1,0)</f>
        <v>0</v>
      </c>
      <c r="V86" s="2">
        <f>IF(AND(VLOOKUP(V$1,test!$A$3:$F$32,5,FALSE) - VLOOKUP($B86,test!$A$3:$G$32,6,FALSE) &gt;= (test!$B$35+VLOOKUP(VLOOKUP($B86,test!$A$2:$I$32,4,FALSE),test!$J$24:$P$28,5,FALSE))/1440),1,0)</f>
        <v>0</v>
      </c>
      <c r="W86" s="2">
        <f>IF(AND(VLOOKUP(W$1,test!$A$3:$F$32,5,FALSE) - VLOOKUP($B86,test!$A$3:$G$32,6,FALSE) &gt;= (test!$B$35+VLOOKUP(VLOOKUP($B86,test!$A$2:$I$32,4,FALSE),test!$J$24:$P$28,5,FALSE))/1440),1,0)</f>
        <v>0</v>
      </c>
      <c r="X86" s="2">
        <f>IF(AND(VLOOKUP(X$1,test!$A$3:$F$32,5,FALSE) - VLOOKUP($B86,test!$A$3:$G$32,6,FALSE) &gt;= (test!$B$35+VLOOKUP(VLOOKUP($B86,test!$A$2:$I$32,4,FALSE),test!$J$24:$P$28,5,FALSE))/1440),1,0)</f>
        <v>0</v>
      </c>
      <c r="Y86" s="2">
        <f>IF(AND(VLOOKUP(Y$1,test!$A$3:$F$32,5,FALSE) - VLOOKUP($B86,test!$A$3:$G$32,6,FALSE) &gt;= (test!$B$35+VLOOKUP(VLOOKUP($B86,test!$A$2:$I$32,4,FALSE),test!$J$24:$P$28,5,FALSE))/1440),1,0)</f>
        <v>0</v>
      </c>
      <c r="Z86" s="2">
        <f>IF(AND(VLOOKUP(Z$1,test!$A$3:$F$32,5,FALSE) - VLOOKUP($B86,test!$A$3:$G$32,6,FALSE) &gt;= (test!$B$35+VLOOKUP(VLOOKUP($B86,test!$A$2:$I$32,4,FALSE),test!$J$24:$P$28,5,FALSE))/1440),1,0)</f>
        <v>0</v>
      </c>
      <c r="AA86" s="2">
        <f>IF(AND(VLOOKUP(AA$1,test!$A$3:$F$32,5,FALSE) - VLOOKUP($B86,test!$A$3:$G$32,6,FALSE) &gt;= (test!$B$35+VLOOKUP(VLOOKUP($B86,test!$A$2:$I$32,4,FALSE),test!$J$24:$P$28,5,FALSE))/1440),1,0)</f>
        <v>0</v>
      </c>
      <c r="AB86" s="2">
        <f>IF(AND(VLOOKUP(AB$1,test!$A$3:$F$32,5,FALSE) - VLOOKUP($B86,test!$A$3:$G$32,6,FALSE) &gt;= (test!$B$35+VLOOKUP(VLOOKUP($B86,test!$A$2:$I$32,4,FALSE),test!$J$24:$P$28,5,FALSE))/1440),1,0)</f>
        <v>0</v>
      </c>
      <c r="AC86" s="2">
        <f>IF(AND(VLOOKUP(AC$1,test!$A$3:$F$32,5,FALSE) - VLOOKUP($B86,test!$A$3:$G$32,6,FALSE) &gt;= (test!$B$35+VLOOKUP(VLOOKUP($B86,test!$A$2:$I$32,4,FALSE),test!$J$24:$P$28,5,FALSE))/1440),1,0)</f>
        <v>0</v>
      </c>
      <c r="AD86" s="2">
        <f>IF(AND(VLOOKUP(AD$1,test!$A$3:$F$32,5,FALSE) - VLOOKUP($B86,test!$A$3:$G$32,6,FALSE) &gt;= (test!$B$35+VLOOKUP(VLOOKUP($B86,test!$A$2:$I$32,4,FALSE),test!$J$24:$P$28,5,FALSE))/1440),1,0)</f>
        <v>0</v>
      </c>
      <c r="AE86" s="2">
        <f>IF(AND(VLOOKUP(AE$1,test!$A$3:$F$32,5,FALSE) - VLOOKUP($B86,test!$A$3:$G$32,6,FALSE) &gt;= (test!$B$35+VLOOKUP(VLOOKUP($B86,test!$A$2:$I$32,4,FALSE),test!$J$24:$P$28,5,FALSE))/1440),1,0)</f>
        <v>0</v>
      </c>
      <c r="AF86" s="2">
        <f>IF(AND(VLOOKUP(AF$1,test!$A$3:$F$32,5,FALSE) - VLOOKUP($B86,test!$A$3:$G$32,6,FALSE) &gt;= (test!$B$35+VLOOKUP(VLOOKUP($B86,test!$A$2:$I$32,4,FALSE),test!$J$24:$P$28,5,FALSE))/1440),1,0)</f>
        <v>0</v>
      </c>
      <c r="AG86" s="2">
        <f>IF(AND(VLOOKUP(AG$1,test!$A$3:$F$32,5,FALSE) - VLOOKUP($B86,test!$A$3:$G$32,6,FALSE) &gt;= (test!$B$35+VLOOKUP(VLOOKUP($B86,test!$A$2:$I$32,4,FALSE),test!$J$24:$P$28,5,FALSE))/1440),1,0)</f>
        <v>0</v>
      </c>
    </row>
    <row r="87" spans="1:33" x14ac:dyDescent="0.25">
      <c r="A87" t="s">
        <v>97</v>
      </c>
      <c r="B87" t="s">
        <v>34</v>
      </c>
      <c r="C87">
        <v>0</v>
      </c>
      <c r="D87" s="2">
        <f>IF(AND(VLOOKUP(D$1,test!$A$3:$F$32,5,FALSE) - VLOOKUP($B87,test!$A$3:$G$32,6,FALSE) &gt;= (test!$B$35+VLOOKUP(VLOOKUP($B87,test!$A$2:$I$32,4,FALSE),test!$J$24:$P$28,5,FALSE))/1440),1,0)</f>
        <v>0</v>
      </c>
      <c r="E87" s="2">
        <f>IF(AND(VLOOKUP(E$1,test!$A$3:$F$32,5,FALSE) - VLOOKUP($B87,test!$A$3:$G$32,6,FALSE) &gt;= (test!$B$35+VLOOKUP(VLOOKUP($B87,test!$A$2:$I$32,4,FALSE),test!$J$24:$P$28,5,FALSE))/1440),1,0)</f>
        <v>0</v>
      </c>
      <c r="F87" s="2">
        <f>IF(AND(VLOOKUP(F$1,test!$A$3:$F$32,5,FALSE) - VLOOKUP($B87,test!$A$3:$G$32,6,FALSE) &gt;= (test!$B$35+VLOOKUP(VLOOKUP($B87,test!$A$2:$I$32,4,FALSE),test!$J$24:$P$28,5,FALSE))/1440),1,0)</f>
        <v>0</v>
      </c>
      <c r="G87" s="2">
        <f>IF(AND(VLOOKUP(G$1,test!$A$3:$F$32,5,FALSE) - VLOOKUP($B87,test!$A$3:$G$32,6,FALSE) &gt;= (test!$B$35+VLOOKUP(VLOOKUP($B87,test!$A$2:$I$32,4,FALSE),test!$J$24:$P$28,5,FALSE))/1440),1,0)</f>
        <v>1</v>
      </c>
      <c r="H87" s="2">
        <f>IF(AND(VLOOKUP(H$1,test!$A$3:$F$32,5,FALSE) - VLOOKUP($B87,test!$A$3:$G$32,6,FALSE) &gt;= (test!$B$35+VLOOKUP(VLOOKUP($B87,test!$A$2:$I$32,4,FALSE),test!$J$24:$P$28,5,FALSE))/1440),1,0)</f>
        <v>1</v>
      </c>
      <c r="I87" s="2">
        <f>IF(AND(VLOOKUP(I$1,test!$A$3:$F$32,5,FALSE) - VLOOKUP($B87,test!$A$3:$G$32,6,FALSE) &gt;= (test!$B$35+VLOOKUP(VLOOKUP($B87,test!$A$2:$I$32,4,FALSE),test!$J$24:$P$28,5,FALSE))/1440),1,0)</f>
        <v>1</v>
      </c>
      <c r="J87" s="2">
        <f>IF(AND(VLOOKUP(J$1,test!$A$3:$F$32,5,FALSE) - VLOOKUP($B87,test!$A$3:$G$32,6,FALSE) &gt;= (test!$B$35+VLOOKUP(VLOOKUP($B87,test!$A$2:$I$32,4,FALSE),test!$J$24:$P$28,5,FALSE))/1440),1,0)</f>
        <v>1</v>
      </c>
      <c r="K87" s="2">
        <f>IF(AND(VLOOKUP(K$1,test!$A$3:$F$32,5,FALSE) - VLOOKUP($B87,test!$A$3:$G$32,6,FALSE) &gt;= (test!$B$35+VLOOKUP(VLOOKUP($B87,test!$A$2:$I$32,4,FALSE),test!$J$24:$P$28,5,FALSE))/1440),1,0)</f>
        <v>1</v>
      </c>
      <c r="L87" s="2">
        <f>IF(AND(VLOOKUP(L$1,test!$A$3:$F$32,5,FALSE) - VLOOKUP($B87,test!$A$3:$G$32,6,FALSE) &gt;= (test!$B$35+VLOOKUP(VLOOKUP($B87,test!$A$2:$I$32,4,FALSE),test!$J$24:$P$28,5,FALSE))/1440),1,0)</f>
        <v>0</v>
      </c>
      <c r="M87" s="2">
        <f>IF(AND(VLOOKUP(M$1,test!$A$3:$F$32,5,FALSE) - VLOOKUP($B87,test!$A$3:$G$32,6,FALSE) &gt;= (test!$B$35+VLOOKUP(VLOOKUP($B87,test!$A$2:$I$32,4,FALSE),test!$J$24:$P$28,5,FALSE))/1440),1,0)</f>
        <v>0</v>
      </c>
      <c r="N87" s="2">
        <f>IF(AND(VLOOKUP(N$1,test!$A$3:$F$32,5,FALSE) - VLOOKUP($B87,test!$A$3:$G$32,6,FALSE) &gt;= (test!$B$35+VLOOKUP(VLOOKUP($B87,test!$A$2:$I$32,4,FALSE),test!$J$24:$P$28,5,FALSE))/1440),1,0)</f>
        <v>0</v>
      </c>
      <c r="O87" s="2">
        <f>IF(AND(VLOOKUP(O$1,test!$A$3:$F$32,5,FALSE) - VLOOKUP($B87,test!$A$3:$G$32,6,FALSE) &gt;= (test!$B$35+VLOOKUP(VLOOKUP($B87,test!$A$2:$I$32,4,FALSE),test!$J$24:$P$28,5,FALSE))/1440),1,0)</f>
        <v>1</v>
      </c>
      <c r="P87" s="2">
        <f>IF(AND(VLOOKUP(P$1,test!$A$3:$F$32,5,FALSE) - VLOOKUP($B87,test!$A$3:$G$32,6,FALSE) &gt;= (test!$B$35+VLOOKUP(VLOOKUP($B87,test!$A$2:$I$32,4,FALSE),test!$J$24:$P$28,5,FALSE))/1440),1,0)</f>
        <v>1</v>
      </c>
      <c r="Q87" s="2">
        <f>IF(AND(VLOOKUP(Q$1,test!$A$3:$F$32,5,FALSE) - VLOOKUP($B87,test!$A$3:$G$32,6,FALSE) &gt;= (test!$B$35+VLOOKUP(VLOOKUP($B87,test!$A$2:$I$32,4,FALSE),test!$J$24:$P$28,5,FALSE))/1440),1,0)</f>
        <v>0</v>
      </c>
      <c r="R87" s="2">
        <f>IF(AND(VLOOKUP(R$1,test!$A$3:$F$32,5,FALSE) - VLOOKUP($B87,test!$A$3:$G$32,6,FALSE) &gt;= (test!$B$35+VLOOKUP(VLOOKUP($B87,test!$A$2:$I$32,4,FALSE),test!$J$24:$P$28,5,FALSE))/1440),1,0)</f>
        <v>0</v>
      </c>
      <c r="S87" s="2">
        <f>IF(AND(VLOOKUP(S$1,test!$A$3:$F$32,5,FALSE) - VLOOKUP($B87,test!$A$3:$G$32,6,FALSE) &gt;= (test!$B$35+VLOOKUP(VLOOKUP($B87,test!$A$2:$I$32,4,FALSE),test!$J$24:$P$28,5,FALSE))/1440),1,0)</f>
        <v>0</v>
      </c>
      <c r="T87" s="2">
        <f>IF(AND(VLOOKUP(T$1,test!$A$3:$F$32,5,FALSE) - VLOOKUP($B87,test!$A$3:$G$32,6,FALSE) &gt;= (test!$B$35+VLOOKUP(VLOOKUP($B87,test!$A$2:$I$32,4,FALSE),test!$J$24:$P$28,5,FALSE))/1440),1,0)</f>
        <v>0</v>
      </c>
      <c r="U87" s="2">
        <f>IF(AND(VLOOKUP(U$1,test!$A$3:$F$32,5,FALSE) - VLOOKUP($B87,test!$A$3:$G$32,6,FALSE) &gt;= (test!$B$35+VLOOKUP(VLOOKUP($B87,test!$A$2:$I$32,4,FALSE),test!$J$24:$P$28,5,FALSE))/1440),1,0)</f>
        <v>0</v>
      </c>
      <c r="V87" s="2">
        <f>IF(AND(VLOOKUP(V$1,test!$A$3:$F$32,5,FALSE) - VLOOKUP($B87,test!$A$3:$G$32,6,FALSE) &gt;= (test!$B$35+VLOOKUP(VLOOKUP($B87,test!$A$2:$I$32,4,FALSE),test!$J$24:$P$28,5,FALSE))/1440),1,0)</f>
        <v>1</v>
      </c>
      <c r="W87" s="2">
        <f>IF(AND(VLOOKUP(W$1,test!$A$3:$F$32,5,FALSE) - VLOOKUP($B87,test!$A$3:$G$32,6,FALSE) &gt;= (test!$B$35+VLOOKUP(VLOOKUP($B87,test!$A$2:$I$32,4,FALSE),test!$J$24:$P$28,5,FALSE))/1440),1,0)</f>
        <v>1</v>
      </c>
      <c r="X87" s="2">
        <f>IF(AND(VLOOKUP(X$1,test!$A$3:$F$32,5,FALSE) - VLOOKUP($B87,test!$A$3:$G$32,6,FALSE) &gt;= (test!$B$35+VLOOKUP(VLOOKUP($B87,test!$A$2:$I$32,4,FALSE),test!$J$24:$P$28,5,FALSE))/1440),1,0)</f>
        <v>1</v>
      </c>
      <c r="Y87" s="2">
        <f>IF(AND(VLOOKUP(Y$1,test!$A$3:$F$32,5,FALSE) - VLOOKUP($B87,test!$A$3:$G$32,6,FALSE) &gt;= (test!$B$35+VLOOKUP(VLOOKUP($B87,test!$A$2:$I$32,4,FALSE),test!$J$24:$P$28,5,FALSE))/1440),1,0)</f>
        <v>1</v>
      </c>
      <c r="Z87" s="2">
        <f>IF(AND(VLOOKUP(Z$1,test!$A$3:$F$32,5,FALSE) - VLOOKUP($B87,test!$A$3:$G$32,6,FALSE) &gt;= (test!$B$35+VLOOKUP(VLOOKUP($B87,test!$A$2:$I$32,4,FALSE),test!$J$24:$P$28,5,FALSE))/1440),1,0)</f>
        <v>0</v>
      </c>
      <c r="AA87" s="2">
        <f>IF(AND(VLOOKUP(AA$1,test!$A$3:$F$32,5,FALSE) - VLOOKUP($B87,test!$A$3:$G$32,6,FALSE) &gt;= (test!$B$35+VLOOKUP(VLOOKUP($B87,test!$A$2:$I$32,4,FALSE),test!$J$24:$P$28,5,FALSE))/1440),1,0)</f>
        <v>0</v>
      </c>
      <c r="AB87" s="2">
        <f>IF(AND(VLOOKUP(AB$1,test!$A$3:$F$32,5,FALSE) - VLOOKUP($B87,test!$A$3:$G$32,6,FALSE) &gt;= (test!$B$35+VLOOKUP(VLOOKUP($B87,test!$A$2:$I$32,4,FALSE),test!$J$24:$P$28,5,FALSE))/1440),1,0)</f>
        <v>1</v>
      </c>
      <c r="AC87" s="2">
        <f>IF(AND(VLOOKUP(AC$1,test!$A$3:$F$32,5,FALSE) - VLOOKUP($B87,test!$A$3:$G$32,6,FALSE) &gt;= (test!$B$35+VLOOKUP(VLOOKUP($B87,test!$A$2:$I$32,4,FALSE),test!$J$24:$P$28,5,FALSE))/1440),1,0)</f>
        <v>1</v>
      </c>
      <c r="AD87" s="2">
        <f>IF(AND(VLOOKUP(AD$1,test!$A$3:$F$32,5,FALSE) - VLOOKUP($B87,test!$A$3:$G$32,6,FALSE) &gt;= (test!$B$35+VLOOKUP(VLOOKUP($B87,test!$A$2:$I$32,4,FALSE),test!$J$24:$P$28,5,FALSE))/1440),1,0)</f>
        <v>1</v>
      </c>
      <c r="AE87" s="2">
        <f>IF(AND(VLOOKUP(AE$1,test!$A$3:$F$32,5,FALSE) - VLOOKUP($B87,test!$A$3:$G$32,6,FALSE) &gt;= (test!$B$35+VLOOKUP(VLOOKUP($B87,test!$A$2:$I$32,4,FALSE),test!$J$24:$P$28,5,FALSE))/1440),1,0)</f>
        <v>0</v>
      </c>
      <c r="AF87" s="2">
        <f>IF(AND(VLOOKUP(AF$1,test!$A$3:$F$32,5,FALSE) - VLOOKUP($B87,test!$A$3:$G$32,6,FALSE) &gt;= (test!$B$35+VLOOKUP(VLOOKUP($B87,test!$A$2:$I$32,4,FALSE),test!$J$24:$P$28,5,FALSE))/1440),1,0)</f>
        <v>1</v>
      </c>
      <c r="AG87" s="2">
        <f>IF(AND(VLOOKUP(AG$1,test!$A$3:$F$32,5,FALSE) - VLOOKUP($B87,test!$A$3:$G$32,6,FALSE) &gt;= (test!$B$35+VLOOKUP(VLOOKUP($B87,test!$A$2:$I$32,4,FALSE),test!$J$24:$P$28,5,FALSE))/1440),1,0)</f>
        <v>0</v>
      </c>
    </row>
    <row r="88" spans="1:33" x14ac:dyDescent="0.25">
      <c r="A88" t="s">
        <v>97</v>
      </c>
      <c r="B88" t="s">
        <v>35</v>
      </c>
      <c r="C88">
        <v>0</v>
      </c>
      <c r="D88" s="2">
        <f>IF(AND(VLOOKUP(D$1,test!$A$3:$F$32,5,FALSE) - VLOOKUP($B88,test!$A$3:$G$32,6,FALSE) &gt;= (test!$B$35+VLOOKUP(VLOOKUP($B88,test!$A$2:$I$32,4,FALSE),test!$J$24:$P$28,5,FALSE))/1440),1,0)</f>
        <v>0</v>
      </c>
      <c r="E88" s="2">
        <f>IF(AND(VLOOKUP(E$1,test!$A$3:$F$32,5,FALSE) - VLOOKUP($B88,test!$A$3:$G$32,6,FALSE) &gt;= (test!$B$35+VLOOKUP(VLOOKUP($B88,test!$A$2:$I$32,4,FALSE),test!$J$24:$P$28,5,FALSE))/1440),1,0)</f>
        <v>0</v>
      </c>
      <c r="F88" s="2">
        <f>IF(AND(VLOOKUP(F$1,test!$A$3:$F$32,5,FALSE) - VLOOKUP($B88,test!$A$3:$G$32,6,FALSE) &gt;= (test!$B$35+VLOOKUP(VLOOKUP($B88,test!$A$2:$I$32,4,FALSE),test!$J$24:$P$28,5,FALSE))/1440),1,0)</f>
        <v>0</v>
      </c>
      <c r="G88" s="2">
        <f>IF(AND(VLOOKUP(G$1,test!$A$3:$F$32,5,FALSE) - VLOOKUP($B88,test!$A$3:$G$32,6,FALSE) &gt;= (test!$B$35+VLOOKUP(VLOOKUP($B88,test!$A$2:$I$32,4,FALSE),test!$J$24:$P$28,5,FALSE))/1440),1,0)</f>
        <v>0</v>
      </c>
      <c r="H88" s="2">
        <f>IF(AND(VLOOKUP(H$1,test!$A$3:$F$32,5,FALSE) - VLOOKUP($B88,test!$A$3:$G$32,6,FALSE) &gt;= (test!$B$35+VLOOKUP(VLOOKUP($B88,test!$A$2:$I$32,4,FALSE),test!$J$24:$P$28,5,FALSE))/1440),1,0)</f>
        <v>0</v>
      </c>
      <c r="I88" s="2">
        <f>IF(AND(VLOOKUP(I$1,test!$A$3:$F$32,5,FALSE) - VLOOKUP($B88,test!$A$3:$G$32,6,FALSE) &gt;= (test!$B$35+VLOOKUP(VLOOKUP($B88,test!$A$2:$I$32,4,FALSE),test!$J$24:$P$28,5,FALSE))/1440),1,0)</f>
        <v>1</v>
      </c>
      <c r="J88" s="2">
        <f>IF(AND(VLOOKUP(J$1,test!$A$3:$F$32,5,FALSE) - VLOOKUP($B88,test!$A$3:$G$32,6,FALSE) &gt;= (test!$B$35+VLOOKUP(VLOOKUP($B88,test!$A$2:$I$32,4,FALSE),test!$J$24:$P$28,5,FALSE))/1440),1,0)</f>
        <v>1</v>
      </c>
      <c r="K88" s="2">
        <f>IF(AND(VLOOKUP(K$1,test!$A$3:$F$32,5,FALSE) - VLOOKUP($B88,test!$A$3:$G$32,6,FALSE) &gt;= (test!$B$35+VLOOKUP(VLOOKUP($B88,test!$A$2:$I$32,4,FALSE),test!$J$24:$P$28,5,FALSE))/1440),1,0)</f>
        <v>1</v>
      </c>
      <c r="L88" s="2">
        <f>IF(AND(VLOOKUP(L$1,test!$A$3:$F$32,5,FALSE) - VLOOKUP($B88,test!$A$3:$G$32,6,FALSE) &gt;= (test!$B$35+VLOOKUP(VLOOKUP($B88,test!$A$2:$I$32,4,FALSE),test!$J$24:$P$28,5,FALSE))/1440),1,0)</f>
        <v>0</v>
      </c>
      <c r="M88" s="2">
        <f>IF(AND(VLOOKUP(M$1,test!$A$3:$F$32,5,FALSE) - VLOOKUP($B88,test!$A$3:$G$32,6,FALSE) &gt;= (test!$B$35+VLOOKUP(VLOOKUP($B88,test!$A$2:$I$32,4,FALSE),test!$J$24:$P$28,5,FALSE))/1440),1,0)</f>
        <v>0</v>
      </c>
      <c r="N88" s="2">
        <f>IF(AND(VLOOKUP(N$1,test!$A$3:$F$32,5,FALSE) - VLOOKUP($B88,test!$A$3:$G$32,6,FALSE) &gt;= (test!$B$35+VLOOKUP(VLOOKUP($B88,test!$A$2:$I$32,4,FALSE),test!$J$24:$P$28,5,FALSE))/1440),1,0)</f>
        <v>0</v>
      </c>
      <c r="O88" s="2">
        <f>IF(AND(VLOOKUP(O$1,test!$A$3:$F$32,5,FALSE) - VLOOKUP($B88,test!$A$3:$G$32,6,FALSE) &gt;= (test!$B$35+VLOOKUP(VLOOKUP($B88,test!$A$2:$I$32,4,FALSE),test!$J$24:$P$28,5,FALSE))/1440),1,0)</f>
        <v>1</v>
      </c>
      <c r="P88" s="2">
        <f>IF(AND(VLOOKUP(P$1,test!$A$3:$F$32,5,FALSE) - VLOOKUP($B88,test!$A$3:$G$32,6,FALSE) &gt;= (test!$B$35+VLOOKUP(VLOOKUP($B88,test!$A$2:$I$32,4,FALSE),test!$J$24:$P$28,5,FALSE))/1440),1,0)</f>
        <v>1</v>
      </c>
      <c r="Q88" s="2">
        <f>IF(AND(VLOOKUP(Q$1,test!$A$3:$F$32,5,FALSE) - VLOOKUP($B88,test!$A$3:$G$32,6,FALSE) &gt;= (test!$B$35+VLOOKUP(VLOOKUP($B88,test!$A$2:$I$32,4,FALSE),test!$J$24:$P$28,5,FALSE))/1440),1,0)</f>
        <v>0</v>
      </c>
      <c r="R88" s="2">
        <f>IF(AND(VLOOKUP(R$1,test!$A$3:$F$32,5,FALSE) - VLOOKUP($B88,test!$A$3:$G$32,6,FALSE) &gt;= (test!$B$35+VLOOKUP(VLOOKUP($B88,test!$A$2:$I$32,4,FALSE),test!$J$24:$P$28,5,FALSE))/1440),1,0)</f>
        <v>0</v>
      </c>
      <c r="S88" s="2">
        <f>IF(AND(VLOOKUP(S$1,test!$A$3:$F$32,5,FALSE) - VLOOKUP($B88,test!$A$3:$G$32,6,FALSE) &gt;= (test!$B$35+VLOOKUP(VLOOKUP($B88,test!$A$2:$I$32,4,FALSE),test!$J$24:$P$28,5,FALSE))/1440),1,0)</f>
        <v>0</v>
      </c>
      <c r="T88" s="2">
        <f>IF(AND(VLOOKUP(T$1,test!$A$3:$F$32,5,FALSE) - VLOOKUP($B88,test!$A$3:$G$32,6,FALSE) &gt;= (test!$B$35+VLOOKUP(VLOOKUP($B88,test!$A$2:$I$32,4,FALSE),test!$J$24:$P$28,5,FALSE))/1440),1,0)</f>
        <v>0</v>
      </c>
      <c r="U88" s="2">
        <f>IF(AND(VLOOKUP(U$1,test!$A$3:$F$32,5,FALSE) - VLOOKUP($B88,test!$A$3:$G$32,6,FALSE) &gt;= (test!$B$35+VLOOKUP(VLOOKUP($B88,test!$A$2:$I$32,4,FALSE),test!$J$24:$P$28,5,FALSE))/1440),1,0)</f>
        <v>0</v>
      </c>
      <c r="V88" s="2">
        <f>IF(AND(VLOOKUP(V$1,test!$A$3:$F$32,5,FALSE) - VLOOKUP($B88,test!$A$3:$G$32,6,FALSE) &gt;= (test!$B$35+VLOOKUP(VLOOKUP($B88,test!$A$2:$I$32,4,FALSE),test!$J$24:$P$28,5,FALSE))/1440),1,0)</f>
        <v>0</v>
      </c>
      <c r="W88" s="2">
        <f>IF(AND(VLOOKUP(W$1,test!$A$3:$F$32,5,FALSE) - VLOOKUP($B88,test!$A$3:$G$32,6,FALSE) &gt;= (test!$B$35+VLOOKUP(VLOOKUP($B88,test!$A$2:$I$32,4,FALSE),test!$J$24:$P$28,5,FALSE))/1440),1,0)</f>
        <v>0</v>
      </c>
      <c r="X88" s="2">
        <f>IF(AND(VLOOKUP(X$1,test!$A$3:$F$32,5,FALSE) - VLOOKUP($B88,test!$A$3:$G$32,6,FALSE) &gt;= (test!$B$35+VLOOKUP(VLOOKUP($B88,test!$A$2:$I$32,4,FALSE),test!$J$24:$P$28,5,FALSE))/1440),1,0)</f>
        <v>1</v>
      </c>
      <c r="Y88" s="2">
        <f>IF(AND(VLOOKUP(Y$1,test!$A$3:$F$32,5,FALSE) - VLOOKUP($B88,test!$A$3:$G$32,6,FALSE) &gt;= (test!$B$35+VLOOKUP(VLOOKUP($B88,test!$A$2:$I$32,4,FALSE),test!$J$24:$P$28,5,FALSE))/1440),1,0)</f>
        <v>1</v>
      </c>
      <c r="Z88" s="2">
        <f>IF(AND(VLOOKUP(Z$1,test!$A$3:$F$32,5,FALSE) - VLOOKUP($B88,test!$A$3:$G$32,6,FALSE) &gt;= (test!$B$35+VLOOKUP(VLOOKUP($B88,test!$A$2:$I$32,4,FALSE),test!$J$24:$P$28,5,FALSE))/1440),1,0)</f>
        <v>0</v>
      </c>
      <c r="AA88" s="2">
        <f>IF(AND(VLOOKUP(AA$1,test!$A$3:$F$32,5,FALSE) - VLOOKUP($B88,test!$A$3:$G$32,6,FALSE) &gt;= (test!$B$35+VLOOKUP(VLOOKUP($B88,test!$A$2:$I$32,4,FALSE),test!$J$24:$P$28,5,FALSE))/1440),1,0)</f>
        <v>0</v>
      </c>
      <c r="AB88" s="2">
        <f>IF(AND(VLOOKUP(AB$1,test!$A$3:$F$32,5,FALSE) - VLOOKUP($B88,test!$A$3:$G$32,6,FALSE) &gt;= (test!$B$35+VLOOKUP(VLOOKUP($B88,test!$A$2:$I$32,4,FALSE),test!$J$24:$P$28,5,FALSE))/1440),1,0)</f>
        <v>0</v>
      </c>
      <c r="AC88" s="2">
        <f>IF(AND(VLOOKUP(AC$1,test!$A$3:$F$32,5,FALSE) - VLOOKUP($B88,test!$A$3:$G$32,6,FALSE) &gt;= (test!$B$35+VLOOKUP(VLOOKUP($B88,test!$A$2:$I$32,4,FALSE),test!$J$24:$P$28,5,FALSE))/1440),1,0)</f>
        <v>0</v>
      </c>
      <c r="AD88" s="2">
        <f>IF(AND(VLOOKUP(AD$1,test!$A$3:$F$32,5,FALSE) - VLOOKUP($B88,test!$A$3:$G$32,6,FALSE) &gt;= (test!$B$35+VLOOKUP(VLOOKUP($B88,test!$A$2:$I$32,4,FALSE),test!$J$24:$P$28,5,FALSE))/1440),1,0)</f>
        <v>1</v>
      </c>
      <c r="AE88" s="2">
        <f>IF(AND(VLOOKUP(AE$1,test!$A$3:$F$32,5,FALSE) - VLOOKUP($B88,test!$A$3:$G$32,6,FALSE) &gt;= (test!$B$35+VLOOKUP(VLOOKUP($B88,test!$A$2:$I$32,4,FALSE),test!$J$24:$P$28,5,FALSE))/1440),1,0)</f>
        <v>0</v>
      </c>
      <c r="AF88" s="2">
        <f>IF(AND(VLOOKUP(AF$1,test!$A$3:$F$32,5,FALSE) - VLOOKUP($B88,test!$A$3:$G$32,6,FALSE) &gt;= (test!$B$35+VLOOKUP(VLOOKUP($B88,test!$A$2:$I$32,4,FALSE),test!$J$24:$P$28,5,FALSE))/1440),1,0)</f>
        <v>0</v>
      </c>
      <c r="AG88" s="2">
        <f>IF(AND(VLOOKUP(AG$1,test!$A$3:$F$32,5,FALSE) - VLOOKUP($B88,test!$A$3:$G$32,6,FALSE) &gt;= (test!$B$35+VLOOKUP(VLOOKUP($B88,test!$A$2:$I$32,4,FALSE),test!$J$24:$P$28,5,FALSE))/1440),1,0)</f>
        <v>0</v>
      </c>
    </row>
    <row r="89" spans="1:33" x14ac:dyDescent="0.25">
      <c r="A89" t="s">
        <v>97</v>
      </c>
      <c r="B89" t="s">
        <v>36</v>
      </c>
      <c r="C89">
        <v>0</v>
      </c>
      <c r="D89" s="2">
        <f>IF(AND(VLOOKUP(D$1,test!$A$3:$F$32,5,FALSE) - VLOOKUP($B89,test!$A$3:$G$32,6,FALSE) &gt;= (test!$B$35+VLOOKUP(VLOOKUP($B89,test!$A$2:$I$32,4,FALSE),test!$J$24:$P$28,5,FALSE))/1440),1,0)</f>
        <v>0</v>
      </c>
      <c r="E89" s="2">
        <f>IF(AND(VLOOKUP(E$1,test!$A$3:$F$32,5,FALSE) - VLOOKUP($B89,test!$A$3:$G$32,6,FALSE) &gt;= (test!$B$35+VLOOKUP(VLOOKUP($B89,test!$A$2:$I$32,4,FALSE),test!$J$24:$P$28,5,FALSE))/1440),1,0)</f>
        <v>0</v>
      </c>
      <c r="F89" s="2">
        <f>IF(AND(VLOOKUP(F$1,test!$A$3:$F$32,5,FALSE) - VLOOKUP($B89,test!$A$3:$G$32,6,FALSE) &gt;= (test!$B$35+VLOOKUP(VLOOKUP($B89,test!$A$2:$I$32,4,FALSE),test!$J$24:$P$28,5,FALSE))/1440),1,0)</f>
        <v>0</v>
      </c>
      <c r="G89" s="2">
        <f>IF(AND(VLOOKUP(G$1,test!$A$3:$F$32,5,FALSE) - VLOOKUP($B89,test!$A$3:$G$32,6,FALSE) &gt;= (test!$B$35+VLOOKUP(VLOOKUP($B89,test!$A$2:$I$32,4,FALSE),test!$J$24:$P$28,5,FALSE))/1440),1,0)</f>
        <v>0</v>
      </c>
      <c r="H89" s="2">
        <f>IF(AND(VLOOKUP(H$1,test!$A$3:$F$32,5,FALSE) - VLOOKUP($B89,test!$A$3:$G$32,6,FALSE) &gt;= (test!$B$35+VLOOKUP(VLOOKUP($B89,test!$A$2:$I$32,4,FALSE),test!$J$24:$P$28,5,FALSE))/1440),1,0)</f>
        <v>0</v>
      </c>
      <c r="I89" s="2">
        <f>IF(AND(VLOOKUP(I$1,test!$A$3:$F$32,5,FALSE) - VLOOKUP($B89,test!$A$3:$G$32,6,FALSE) &gt;= (test!$B$35+VLOOKUP(VLOOKUP($B89,test!$A$2:$I$32,4,FALSE),test!$J$24:$P$28,5,FALSE))/1440),1,0)</f>
        <v>0</v>
      </c>
      <c r="J89" s="2">
        <f>IF(AND(VLOOKUP(J$1,test!$A$3:$F$32,5,FALSE) - VLOOKUP($B89,test!$A$3:$G$32,6,FALSE) &gt;= (test!$B$35+VLOOKUP(VLOOKUP($B89,test!$A$2:$I$32,4,FALSE),test!$J$24:$P$28,5,FALSE))/1440),1,0)</f>
        <v>0</v>
      </c>
      <c r="K89" s="2">
        <f>IF(AND(VLOOKUP(K$1,test!$A$3:$F$32,5,FALSE) - VLOOKUP($B89,test!$A$3:$G$32,6,FALSE) &gt;= (test!$B$35+VLOOKUP(VLOOKUP($B89,test!$A$2:$I$32,4,FALSE),test!$J$24:$P$28,5,FALSE))/1440),1,0)</f>
        <v>1</v>
      </c>
      <c r="L89" s="2">
        <f>IF(AND(VLOOKUP(L$1,test!$A$3:$F$32,5,FALSE) - VLOOKUP($B89,test!$A$3:$G$32,6,FALSE) &gt;= (test!$B$35+VLOOKUP(VLOOKUP($B89,test!$A$2:$I$32,4,FALSE),test!$J$24:$P$28,5,FALSE))/1440),1,0)</f>
        <v>0</v>
      </c>
      <c r="M89" s="2">
        <f>IF(AND(VLOOKUP(M$1,test!$A$3:$F$32,5,FALSE) - VLOOKUP($B89,test!$A$3:$G$32,6,FALSE) &gt;= (test!$B$35+VLOOKUP(VLOOKUP($B89,test!$A$2:$I$32,4,FALSE),test!$J$24:$P$28,5,FALSE))/1440),1,0)</f>
        <v>0</v>
      </c>
      <c r="N89" s="2">
        <f>IF(AND(VLOOKUP(N$1,test!$A$3:$F$32,5,FALSE) - VLOOKUP($B89,test!$A$3:$G$32,6,FALSE) &gt;= (test!$B$35+VLOOKUP(VLOOKUP($B89,test!$A$2:$I$32,4,FALSE),test!$J$24:$P$28,5,FALSE))/1440),1,0)</f>
        <v>0</v>
      </c>
      <c r="O89" s="2">
        <f>IF(AND(VLOOKUP(O$1,test!$A$3:$F$32,5,FALSE) - VLOOKUP($B89,test!$A$3:$G$32,6,FALSE) &gt;= (test!$B$35+VLOOKUP(VLOOKUP($B89,test!$A$2:$I$32,4,FALSE),test!$J$24:$P$28,5,FALSE))/1440),1,0)</f>
        <v>1</v>
      </c>
      <c r="P89" s="2">
        <f>IF(AND(VLOOKUP(P$1,test!$A$3:$F$32,5,FALSE) - VLOOKUP($B89,test!$A$3:$G$32,6,FALSE) &gt;= (test!$B$35+VLOOKUP(VLOOKUP($B89,test!$A$2:$I$32,4,FALSE),test!$J$24:$P$28,5,FALSE))/1440),1,0)</f>
        <v>1</v>
      </c>
      <c r="Q89" s="2">
        <f>IF(AND(VLOOKUP(Q$1,test!$A$3:$F$32,5,FALSE) - VLOOKUP($B89,test!$A$3:$G$32,6,FALSE) &gt;= (test!$B$35+VLOOKUP(VLOOKUP($B89,test!$A$2:$I$32,4,FALSE),test!$J$24:$P$28,5,FALSE))/1440),1,0)</f>
        <v>0</v>
      </c>
      <c r="R89" s="2">
        <f>IF(AND(VLOOKUP(R$1,test!$A$3:$F$32,5,FALSE) - VLOOKUP($B89,test!$A$3:$G$32,6,FALSE) &gt;= (test!$B$35+VLOOKUP(VLOOKUP($B89,test!$A$2:$I$32,4,FALSE),test!$J$24:$P$28,5,FALSE))/1440),1,0)</f>
        <v>0</v>
      </c>
      <c r="S89" s="2">
        <f>IF(AND(VLOOKUP(S$1,test!$A$3:$F$32,5,FALSE) - VLOOKUP($B89,test!$A$3:$G$32,6,FALSE) &gt;= (test!$B$35+VLOOKUP(VLOOKUP($B89,test!$A$2:$I$32,4,FALSE),test!$J$24:$P$28,5,FALSE))/1440),1,0)</f>
        <v>0</v>
      </c>
      <c r="T89" s="2">
        <f>IF(AND(VLOOKUP(T$1,test!$A$3:$F$32,5,FALSE) - VLOOKUP($B89,test!$A$3:$G$32,6,FALSE) &gt;= (test!$B$35+VLOOKUP(VLOOKUP($B89,test!$A$2:$I$32,4,FALSE),test!$J$24:$P$28,5,FALSE))/1440),1,0)</f>
        <v>0</v>
      </c>
      <c r="U89" s="2">
        <f>IF(AND(VLOOKUP(U$1,test!$A$3:$F$32,5,FALSE) - VLOOKUP($B89,test!$A$3:$G$32,6,FALSE) &gt;= (test!$B$35+VLOOKUP(VLOOKUP($B89,test!$A$2:$I$32,4,FALSE),test!$J$24:$P$28,5,FALSE))/1440),1,0)</f>
        <v>0</v>
      </c>
      <c r="V89" s="2">
        <f>IF(AND(VLOOKUP(V$1,test!$A$3:$F$32,5,FALSE) - VLOOKUP($B89,test!$A$3:$G$32,6,FALSE) &gt;= (test!$B$35+VLOOKUP(VLOOKUP($B89,test!$A$2:$I$32,4,FALSE),test!$J$24:$P$28,5,FALSE))/1440),1,0)</f>
        <v>0</v>
      </c>
      <c r="W89" s="2">
        <f>IF(AND(VLOOKUP(W$1,test!$A$3:$F$32,5,FALSE) - VLOOKUP($B89,test!$A$3:$G$32,6,FALSE) &gt;= (test!$B$35+VLOOKUP(VLOOKUP($B89,test!$A$2:$I$32,4,FALSE),test!$J$24:$P$28,5,FALSE))/1440),1,0)</f>
        <v>0</v>
      </c>
      <c r="X89" s="2">
        <f>IF(AND(VLOOKUP(X$1,test!$A$3:$F$32,5,FALSE) - VLOOKUP($B89,test!$A$3:$G$32,6,FALSE) &gt;= (test!$B$35+VLOOKUP(VLOOKUP($B89,test!$A$2:$I$32,4,FALSE),test!$J$24:$P$28,5,FALSE))/1440),1,0)</f>
        <v>0</v>
      </c>
      <c r="Y89" s="2">
        <f>IF(AND(VLOOKUP(Y$1,test!$A$3:$F$32,5,FALSE) - VLOOKUP($B89,test!$A$3:$G$32,6,FALSE) &gt;= (test!$B$35+VLOOKUP(VLOOKUP($B89,test!$A$2:$I$32,4,FALSE),test!$J$24:$P$28,5,FALSE))/1440),1,0)</f>
        <v>1</v>
      </c>
      <c r="Z89" s="2">
        <f>IF(AND(VLOOKUP(Z$1,test!$A$3:$F$32,5,FALSE) - VLOOKUP($B89,test!$A$3:$G$32,6,FALSE) &gt;= (test!$B$35+VLOOKUP(VLOOKUP($B89,test!$A$2:$I$32,4,FALSE),test!$J$24:$P$28,5,FALSE))/1440),1,0)</f>
        <v>0</v>
      </c>
      <c r="AA89" s="2">
        <f>IF(AND(VLOOKUP(AA$1,test!$A$3:$F$32,5,FALSE) - VLOOKUP($B89,test!$A$3:$G$32,6,FALSE) &gt;= (test!$B$35+VLOOKUP(VLOOKUP($B89,test!$A$2:$I$32,4,FALSE),test!$J$24:$P$28,5,FALSE))/1440),1,0)</f>
        <v>0</v>
      </c>
      <c r="AB89" s="2">
        <f>IF(AND(VLOOKUP(AB$1,test!$A$3:$F$32,5,FALSE) - VLOOKUP($B89,test!$A$3:$G$32,6,FALSE) &gt;= (test!$B$35+VLOOKUP(VLOOKUP($B89,test!$A$2:$I$32,4,FALSE),test!$J$24:$P$28,5,FALSE))/1440),1,0)</f>
        <v>0</v>
      </c>
      <c r="AC89" s="2">
        <f>IF(AND(VLOOKUP(AC$1,test!$A$3:$F$32,5,FALSE) - VLOOKUP($B89,test!$A$3:$G$32,6,FALSE) &gt;= (test!$B$35+VLOOKUP(VLOOKUP($B89,test!$A$2:$I$32,4,FALSE),test!$J$24:$P$28,5,FALSE))/1440),1,0)</f>
        <v>0</v>
      </c>
      <c r="AD89" s="2">
        <f>IF(AND(VLOOKUP(AD$1,test!$A$3:$F$32,5,FALSE) - VLOOKUP($B89,test!$A$3:$G$32,6,FALSE) &gt;= (test!$B$35+VLOOKUP(VLOOKUP($B89,test!$A$2:$I$32,4,FALSE),test!$J$24:$P$28,5,FALSE))/1440),1,0)</f>
        <v>0</v>
      </c>
      <c r="AE89" s="2">
        <f>IF(AND(VLOOKUP(AE$1,test!$A$3:$F$32,5,FALSE) - VLOOKUP($B89,test!$A$3:$G$32,6,FALSE) &gt;= (test!$B$35+VLOOKUP(VLOOKUP($B89,test!$A$2:$I$32,4,FALSE),test!$J$24:$P$28,5,FALSE))/1440),1,0)</f>
        <v>0</v>
      </c>
      <c r="AF89" s="2">
        <f>IF(AND(VLOOKUP(AF$1,test!$A$3:$F$32,5,FALSE) - VLOOKUP($B89,test!$A$3:$G$32,6,FALSE) &gt;= (test!$B$35+VLOOKUP(VLOOKUP($B89,test!$A$2:$I$32,4,FALSE),test!$J$24:$P$28,5,FALSE))/1440),1,0)</f>
        <v>0</v>
      </c>
      <c r="AG89" s="2">
        <f>IF(AND(VLOOKUP(AG$1,test!$A$3:$F$32,5,FALSE) - VLOOKUP($B89,test!$A$3:$G$32,6,FALSE) &gt;= (test!$B$35+VLOOKUP(VLOOKUP($B89,test!$A$2:$I$32,4,FALSE),test!$J$24:$P$28,5,FALSE))/1440),1,0)</f>
        <v>0</v>
      </c>
    </row>
    <row r="90" spans="1:33" x14ac:dyDescent="0.25">
      <c r="A90" t="s">
        <v>97</v>
      </c>
      <c r="B90" t="s">
        <v>37</v>
      </c>
      <c r="C90">
        <v>0</v>
      </c>
      <c r="D90" s="2">
        <f>IF(AND(VLOOKUP(D$1,test!$A$3:$F$32,5,FALSE) - VLOOKUP($B90,test!$A$3:$G$32,6,FALSE) &gt;= (test!$B$35+VLOOKUP(VLOOKUP($B90,test!$A$2:$I$32,4,FALSE),test!$J$24:$P$28,5,FALSE))/1440),1,0)</f>
        <v>0</v>
      </c>
      <c r="E90" s="2">
        <f>IF(AND(VLOOKUP(E$1,test!$A$3:$F$32,5,FALSE) - VLOOKUP($B90,test!$A$3:$G$32,6,FALSE) &gt;= (test!$B$35+VLOOKUP(VLOOKUP($B90,test!$A$2:$I$32,4,FALSE),test!$J$24:$P$28,5,FALSE))/1440),1,0)</f>
        <v>0</v>
      </c>
      <c r="F90" s="2">
        <f>IF(AND(VLOOKUP(F$1,test!$A$3:$F$32,5,FALSE) - VLOOKUP($B90,test!$A$3:$G$32,6,FALSE) &gt;= (test!$B$35+VLOOKUP(VLOOKUP($B90,test!$A$2:$I$32,4,FALSE),test!$J$24:$P$28,5,FALSE))/1440),1,0)</f>
        <v>0</v>
      </c>
      <c r="G90" s="2">
        <f>IF(AND(VLOOKUP(G$1,test!$A$3:$F$32,5,FALSE) - VLOOKUP($B90,test!$A$3:$G$32,6,FALSE) &gt;= (test!$B$35+VLOOKUP(VLOOKUP($B90,test!$A$2:$I$32,4,FALSE),test!$J$24:$P$28,5,FALSE))/1440),1,0)</f>
        <v>0</v>
      </c>
      <c r="H90" s="2">
        <f>IF(AND(VLOOKUP(H$1,test!$A$3:$F$32,5,FALSE) - VLOOKUP($B90,test!$A$3:$G$32,6,FALSE) &gt;= (test!$B$35+VLOOKUP(VLOOKUP($B90,test!$A$2:$I$32,4,FALSE),test!$J$24:$P$28,5,FALSE))/1440),1,0)</f>
        <v>0</v>
      </c>
      <c r="I90" s="2">
        <f>IF(AND(VLOOKUP(I$1,test!$A$3:$F$32,5,FALSE) - VLOOKUP($B90,test!$A$3:$G$32,6,FALSE) &gt;= (test!$B$35+VLOOKUP(VLOOKUP($B90,test!$A$2:$I$32,4,FALSE),test!$J$24:$P$28,5,FALSE))/1440),1,0)</f>
        <v>0</v>
      </c>
      <c r="J90" s="2">
        <f>IF(AND(VLOOKUP(J$1,test!$A$3:$F$32,5,FALSE) - VLOOKUP($B90,test!$A$3:$G$32,6,FALSE) &gt;= (test!$B$35+VLOOKUP(VLOOKUP($B90,test!$A$2:$I$32,4,FALSE),test!$J$24:$P$28,5,FALSE))/1440),1,0)</f>
        <v>0</v>
      </c>
      <c r="K90" s="2">
        <f>IF(AND(VLOOKUP(K$1,test!$A$3:$F$32,5,FALSE) - VLOOKUP($B90,test!$A$3:$G$32,6,FALSE) &gt;= (test!$B$35+VLOOKUP(VLOOKUP($B90,test!$A$2:$I$32,4,FALSE),test!$J$24:$P$28,5,FALSE))/1440),1,0)</f>
        <v>1</v>
      </c>
      <c r="L90" s="2">
        <f>IF(AND(VLOOKUP(L$1,test!$A$3:$F$32,5,FALSE) - VLOOKUP($B90,test!$A$3:$G$32,6,FALSE) &gt;= (test!$B$35+VLOOKUP(VLOOKUP($B90,test!$A$2:$I$32,4,FALSE),test!$J$24:$P$28,5,FALSE))/1440),1,0)</f>
        <v>0</v>
      </c>
      <c r="M90" s="2">
        <f>IF(AND(VLOOKUP(M$1,test!$A$3:$F$32,5,FALSE) - VLOOKUP($B90,test!$A$3:$G$32,6,FALSE) &gt;= (test!$B$35+VLOOKUP(VLOOKUP($B90,test!$A$2:$I$32,4,FALSE),test!$J$24:$P$28,5,FALSE))/1440),1,0)</f>
        <v>0</v>
      </c>
      <c r="N90" s="2">
        <f>IF(AND(VLOOKUP(N$1,test!$A$3:$F$32,5,FALSE) - VLOOKUP($B90,test!$A$3:$G$32,6,FALSE) &gt;= (test!$B$35+VLOOKUP(VLOOKUP($B90,test!$A$2:$I$32,4,FALSE),test!$J$24:$P$28,5,FALSE))/1440),1,0)</f>
        <v>0</v>
      </c>
      <c r="O90" s="2">
        <f>IF(AND(VLOOKUP(O$1,test!$A$3:$F$32,5,FALSE) - VLOOKUP($B90,test!$A$3:$G$32,6,FALSE) &gt;= (test!$B$35+VLOOKUP(VLOOKUP($B90,test!$A$2:$I$32,4,FALSE),test!$J$24:$P$28,5,FALSE))/1440),1,0)</f>
        <v>0</v>
      </c>
      <c r="P90" s="2">
        <f>IF(AND(VLOOKUP(P$1,test!$A$3:$F$32,5,FALSE) - VLOOKUP($B90,test!$A$3:$G$32,6,FALSE) &gt;= (test!$B$35+VLOOKUP(VLOOKUP($B90,test!$A$2:$I$32,4,FALSE),test!$J$24:$P$28,5,FALSE))/1440),1,0)</f>
        <v>1</v>
      </c>
      <c r="Q90" s="2">
        <f>IF(AND(VLOOKUP(Q$1,test!$A$3:$F$32,5,FALSE) - VLOOKUP($B90,test!$A$3:$G$32,6,FALSE) &gt;= (test!$B$35+VLOOKUP(VLOOKUP($B90,test!$A$2:$I$32,4,FALSE),test!$J$24:$P$28,5,FALSE))/1440),1,0)</f>
        <v>0</v>
      </c>
      <c r="R90" s="2">
        <f>IF(AND(VLOOKUP(R$1,test!$A$3:$F$32,5,FALSE) - VLOOKUP($B90,test!$A$3:$G$32,6,FALSE) &gt;= (test!$B$35+VLOOKUP(VLOOKUP($B90,test!$A$2:$I$32,4,FALSE),test!$J$24:$P$28,5,FALSE))/1440),1,0)</f>
        <v>0</v>
      </c>
      <c r="S90" s="2">
        <f>IF(AND(VLOOKUP(S$1,test!$A$3:$F$32,5,FALSE) - VLOOKUP($B90,test!$A$3:$G$32,6,FALSE) &gt;= (test!$B$35+VLOOKUP(VLOOKUP($B90,test!$A$2:$I$32,4,FALSE),test!$J$24:$P$28,5,FALSE))/1440),1,0)</f>
        <v>0</v>
      </c>
      <c r="T90" s="2">
        <f>IF(AND(VLOOKUP(T$1,test!$A$3:$F$32,5,FALSE) - VLOOKUP($B90,test!$A$3:$G$32,6,FALSE) &gt;= (test!$B$35+VLOOKUP(VLOOKUP($B90,test!$A$2:$I$32,4,FALSE),test!$J$24:$P$28,5,FALSE))/1440),1,0)</f>
        <v>0</v>
      </c>
      <c r="U90" s="2">
        <f>IF(AND(VLOOKUP(U$1,test!$A$3:$F$32,5,FALSE) - VLOOKUP($B90,test!$A$3:$G$32,6,FALSE) &gt;= (test!$B$35+VLOOKUP(VLOOKUP($B90,test!$A$2:$I$32,4,FALSE),test!$J$24:$P$28,5,FALSE))/1440),1,0)</f>
        <v>0</v>
      </c>
      <c r="V90" s="2">
        <f>IF(AND(VLOOKUP(V$1,test!$A$3:$F$32,5,FALSE) - VLOOKUP($B90,test!$A$3:$G$32,6,FALSE) &gt;= (test!$B$35+VLOOKUP(VLOOKUP($B90,test!$A$2:$I$32,4,FALSE),test!$J$24:$P$28,5,FALSE))/1440),1,0)</f>
        <v>0</v>
      </c>
      <c r="W90" s="2">
        <f>IF(AND(VLOOKUP(W$1,test!$A$3:$F$32,5,FALSE) - VLOOKUP($B90,test!$A$3:$G$32,6,FALSE) &gt;= (test!$B$35+VLOOKUP(VLOOKUP($B90,test!$A$2:$I$32,4,FALSE),test!$J$24:$P$28,5,FALSE))/1440),1,0)</f>
        <v>0</v>
      </c>
      <c r="X90" s="2">
        <f>IF(AND(VLOOKUP(X$1,test!$A$3:$F$32,5,FALSE) - VLOOKUP($B90,test!$A$3:$G$32,6,FALSE) &gt;= (test!$B$35+VLOOKUP(VLOOKUP($B90,test!$A$2:$I$32,4,FALSE),test!$J$24:$P$28,5,FALSE))/1440),1,0)</f>
        <v>0</v>
      </c>
      <c r="Y90" s="2">
        <f>IF(AND(VLOOKUP(Y$1,test!$A$3:$F$32,5,FALSE) - VLOOKUP($B90,test!$A$3:$G$32,6,FALSE) &gt;= (test!$B$35+VLOOKUP(VLOOKUP($B90,test!$A$2:$I$32,4,FALSE),test!$J$24:$P$28,5,FALSE))/1440),1,0)</f>
        <v>0</v>
      </c>
      <c r="Z90" s="2">
        <f>IF(AND(VLOOKUP(Z$1,test!$A$3:$F$32,5,FALSE) - VLOOKUP($B90,test!$A$3:$G$32,6,FALSE) &gt;= (test!$B$35+VLOOKUP(VLOOKUP($B90,test!$A$2:$I$32,4,FALSE),test!$J$24:$P$28,5,FALSE))/1440),1,0)</f>
        <v>0</v>
      </c>
      <c r="AA90" s="2">
        <f>IF(AND(VLOOKUP(AA$1,test!$A$3:$F$32,5,FALSE) - VLOOKUP($B90,test!$A$3:$G$32,6,FALSE) &gt;= (test!$B$35+VLOOKUP(VLOOKUP($B90,test!$A$2:$I$32,4,FALSE),test!$J$24:$P$28,5,FALSE))/1440),1,0)</f>
        <v>0</v>
      </c>
      <c r="AB90" s="2">
        <f>IF(AND(VLOOKUP(AB$1,test!$A$3:$F$32,5,FALSE) - VLOOKUP($B90,test!$A$3:$G$32,6,FALSE) &gt;= (test!$B$35+VLOOKUP(VLOOKUP($B90,test!$A$2:$I$32,4,FALSE),test!$J$24:$P$28,5,FALSE))/1440),1,0)</f>
        <v>0</v>
      </c>
      <c r="AC90" s="2">
        <f>IF(AND(VLOOKUP(AC$1,test!$A$3:$F$32,5,FALSE) - VLOOKUP($B90,test!$A$3:$G$32,6,FALSE) &gt;= (test!$B$35+VLOOKUP(VLOOKUP($B90,test!$A$2:$I$32,4,FALSE),test!$J$24:$P$28,5,FALSE))/1440),1,0)</f>
        <v>0</v>
      </c>
      <c r="AD90" s="2">
        <f>IF(AND(VLOOKUP(AD$1,test!$A$3:$F$32,5,FALSE) - VLOOKUP($B90,test!$A$3:$G$32,6,FALSE) &gt;= (test!$B$35+VLOOKUP(VLOOKUP($B90,test!$A$2:$I$32,4,FALSE),test!$J$24:$P$28,5,FALSE))/1440),1,0)</f>
        <v>0</v>
      </c>
      <c r="AE90" s="2">
        <f>IF(AND(VLOOKUP(AE$1,test!$A$3:$F$32,5,FALSE) - VLOOKUP($B90,test!$A$3:$G$32,6,FALSE) &gt;= (test!$B$35+VLOOKUP(VLOOKUP($B90,test!$A$2:$I$32,4,FALSE),test!$J$24:$P$28,5,FALSE))/1440),1,0)</f>
        <v>0</v>
      </c>
      <c r="AF90" s="2">
        <f>IF(AND(VLOOKUP(AF$1,test!$A$3:$F$32,5,FALSE) - VLOOKUP($B90,test!$A$3:$G$32,6,FALSE) &gt;= (test!$B$35+VLOOKUP(VLOOKUP($B90,test!$A$2:$I$32,4,FALSE),test!$J$24:$P$28,5,FALSE))/1440),1,0)</f>
        <v>0</v>
      </c>
      <c r="AG90" s="2">
        <f>IF(AND(VLOOKUP(AG$1,test!$A$3:$F$32,5,FALSE) - VLOOKUP($B90,test!$A$3:$G$32,6,FALSE) &gt;= (test!$B$35+VLOOKUP(VLOOKUP($B90,test!$A$2:$I$32,4,FALSE),test!$J$24:$P$28,5,FALSE))/1440),1,0)</f>
        <v>0</v>
      </c>
    </row>
    <row r="91" spans="1:33" x14ac:dyDescent="0.25">
      <c r="A91" t="s">
        <v>97</v>
      </c>
      <c r="B91" t="s">
        <v>38</v>
      </c>
      <c r="C91">
        <v>0</v>
      </c>
      <c r="D91" s="2">
        <f>IF(AND(VLOOKUP(D$1,test!$A$3:$F$32,5,FALSE) - VLOOKUP($B91,test!$A$3:$G$32,6,FALSE) &gt;= (test!$B$35+VLOOKUP(VLOOKUP($B91,test!$A$2:$I$32,4,FALSE),test!$J$24:$P$28,5,FALSE))/1440),1,0)</f>
        <v>0</v>
      </c>
      <c r="E91" s="2">
        <f>IF(AND(VLOOKUP(E$1,test!$A$3:$F$32,5,FALSE) - VLOOKUP($B91,test!$A$3:$G$32,6,FALSE) &gt;= (test!$B$35+VLOOKUP(VLOOKUP($B91,test!$A$2:$I$32,4,FALSE),test!$J$24:$P$28,5,FALSE))/1440),1,0)</f>
        <v>0</v>
      </c>
      <c r="F91" s="2">
        <f>IF(AND(VLOOKUP(F$1,test!$A$3:$F$32,5,FALSE) - VLOOKUP($B91,test!$A$3:$G$32,6,FALSE) &gt;= (test!$B$35+VLOOKUP(VLOOKUP($B91,test!$A$2:$I$32,4,FALSE),test!$J$24:$P$28,5,FALSE))/1440),1,0)</f>
        <v>0</v>
      </c>
      <c r="G91" s="2">
        <f>IF(AND(VLOOKUP(G$1,test!$A$3:$F$32,5,FALSE) - VLOOKUP($B91,test!$A$3:$G$32,6,FALSE) &gt;= (test!$B$35+VLOOKUP(VLOOKUP($B91,test!$A$2:$I$32,4,FALSE),test!$J$24:$P$28,5,FALSE))/1440),1,0)</f>
        <v>0</v>
      </c>
      <c r="H91" s="2">
        <f>IF(AND(VLOOKUP(H$1,test!$A$3:$F$32,5,FALSE) - VLOOKUP($B91,test!$A$3:$G$32,6,FALSE) &gt;= (test!$B$35+VLOOKUP(VLOOKUP($B91,test!$A$2:$I$32,4,FALSE),test!$J$24:$P$28,5,FALSE))/1440),1,0)</f>
        <v>0</v>
      </c>
      <c r="I91" s="2">
        <f>IF(AND(VLOOKUP(I$1,test!$A$3:$F$32,5,FALSE) - VLOOKUP($B91,test!$A$3:$G$32,6,FALSE) &gt;= (test!$B$35+VLOOKUP(VLOOKUP($B91,test!$A$2:$I$32,4,FALSE),test!$J$24:$P$28,5,FALSE))/1440),1,0)</f>
        <v>0</v>
      </c>
      <c r="J91" s="2">
        <f>IF(AND(VLOOKUP(J$1,test!$A$3:$F$32,5,FALSE) - VLOOKUP($B91,test!$A$3:$G$32,6,FALSE) &gt;= (test!$B$35+VLOOKUP(VLOOKUP($B91,test!$A$2:$I$32,4,FALSE),test!$J$24:$P$28,5,FALSE))/1440),1,0)</f>
        <v>0</v>
      </c>
      <c r="K91" s="2">
        <f>IF(AND(VLOOKUP(K$1,test!$A$3:$F$32,5,FALSE) - VLOOKUP($B91,test!$A$3:$G$32,6,FALSE) &gt;= (test!$B$35+VLOOKUP(VLOOKUP($B91,test!$A$2:$I$32,4,FALSE),test!$J$24:$P$28,5,FALSE))/1440),1,0)</f>
        <v>0</v>
      </c>
      <c r="L91" s="2">
        <f>IF(AND(VLOOKUP(L$1,test!$A$3:$F$32,5,FALSE) - VLOOKUP($B91,test!$A$3:$G$32,6,FALSE) &gt;= (test!$B$35+VLOOKUP(VLOOKUP($B91,test!$A$2:$I$32,4,FALSE),test!$J$24:$P$28,5,FALSE))/1440),1,0)</f>
        <v>0</v>
      </c>
      <c r="M91" s="2">
        <f>IF(AND(VLOOKUP(M$1,test!$A$3:$F$32,5,FALSE) - VLOOKUP($B91,test!$A$3:$G$32,6,FALSE) &gt;= (test!$B$35+VLOOKUP(VLOOKUP($B91,test!$A$2:$I$32,4,FALSE),test!$J$24:$P$28,5,FALSE))/1440),1,0)</f>
        <v>0</v>
      </c>
      <c r="N91" s="2">
        <f>IF(AND(VLOOKUP(N$1,test!$A$3:$F$32,5,FALSE) - VLOOKUP($B91,test!$A$3:$G$32,6,FALSE) &gt;= (test!$B$35+VLOOKUP(VLOOKUP($B91,test!$A$2:$I$32,4,FALSE),test!$J$24:$P$28,5,FALSE))/1440),1,0)</f>
        <v>0</v>
      </c>
      <c r="O91" s="2">
        <f>IF(AND(VLOOKUP(O$1,test!$A$3:$F$32,5,FALSE) - VLOOKUP($B91,test!$A$3:$G$32,6,FALSE) &gt;= (test!$B$35+VLOOKUP(VLOOKUP($B91,test!$A$2:$I$32,4,FALSE),test!$J$24:$P$28,5,FALSE))/1440),1,0)</f>
        <v>0</v>
      </c>
      <c r="P91" s="2">
        <f>IF(AND(VLOOKUP(P$1,test!$A$3:$F$32,5,FALSE) - VLOOKUP($B91,test!$A$3:$G$32,6,FALSE) &gt;= (test!$B$35+VLOOKUP(VLOOKUP($B91,test!$A$2:$I$32,4,FALSE),test!$J$24:$P$28,5,FALSE))/1440),1,0)</f>
        <v>0</v>
      </c>
      <c r="Q91" s="2">
        <f>IF(AND(VLOOKUP(Q$1,test!$A$3:$F$32,5,FALSE) - VLOOKUP($B91,test!$A$3:$G$32,6,FALSE) &gt;= (test!$B$35+VLOOKUP(VLOOKUP($B91,test!$A$2:$I$32,4,FALSE),test!$J$24:$P$28,5,FALSE))/1440),1,0)</f>
        <v>0</v>
      </c>
      <c r="R91" s="2">
        <f>IF(AND(VLOOKUP(R$1,test!$A$3:$F$32,5,FALSE) - VLOOKUP($B91,test!$A$3:$G$32,6,FALSE) &gt;= (test!$B$35+VLOOKUP(VLOOKUP($B91,test!$A$2:$I$32,4,FALSE),test!$J$24:$P$28,5,FALSE))/1440),1,0)</f>
        <v>0</v>
      </c>
      <c r="S91" s="2">
        <f>IF(AND(VLOOKUP(S$1,test!$A$3:$F$32,5,FALSE) - VLOOKUP($B91,test!$A$3:$G$32,6,FALSE) &gt;= (test!$B$35+VLOOKUP(VLOOKUP($B91,test!$A$2:$I$32,4,FALSE),test!$J$24:$P$28,5,FALSE))/1440),1,0)</f>
        <v>0</v>
      </c>
      <c r="T91" s="2">
        <f>IF(AND(VLOOKUP(T$1,test!$A$3:$F$32,5,FALSE) - VLOOKUP($B91,test!$A$3:$G$32,6,FALSE) &gt;= (test!$B$35+VLOOKUP(VLOOKUP($B91,test!$A$2:$I$32,4,FALSE),test!$J$24:$P$28,5,FALSE))/1440),1,0)</f>
        <v>0</v>
      </c>
      <c r="U91" s="2">
        <f>IF(AND(VLOOKUP(U$1,test!$A$3:$F$32,5,FALSE) - VLOOKUP($B91,test!$A$3:$G$32,6,FALSE) &gt;= (test!$B$35+VLOOKUP(VLOOKUP($B91,test!$A$2:$I$32,4,FALSE),test!$J$24:$P$28,5,FALSE))/1440),1,0)</f>
        <v>0</v>
      </c>
      <c r="V91" s="2">
        <f>IF(AND(VLOOKUP(V$1,test!$A$3:$F$32,5,FALSE) - VLOOKUP($B91,test!$A$3:$G$32,6,FALSE) &gt;= (test!$B$35+VLOOKUP(VLOOKUP($B91,test!$A$2:$I$32,4,FALSE),test!$J$24:$P$28,5,FALSE))/1440),1,0)</f>
        <v>0</v>
      </c>
      <c r="W91" s="2">
        <f>IF(AND(VLOOKUP(W$1,test!$A$3:$F$32,5,FALSE) - VLOOKUP($B91,test!$A$3:$G$32,6,FALSE) &gt;= (test!$B$35+VLOOKUP(VLOOKUP($B91,test!$A$2:$I$32,4,FALSE),test!$J$24:$P$28,5,FALSE))/1440),1,0)</f>
        <v>0</v>
      </c>
      <c r="X91" s="2">
        <f>IF(AND(VLOOKUP(X$1,test!$A$3:$F$32,5,FALSE) - VLOOKUP($B91,test!$A$3:$G$32,6,FALSE) &gt;= (test!$B$35+VLOOKUP(VLOOKUP($B91,test!$A$2:$I$32,4,FALSE),test!$J$24:$P$28,5,FALSE))/1440),1,0)</f>
        <v>0</v>
      </c>
      <c r="Y91" s="2">
        <f>IF(AND(VLOOKUP(Y$1,test!$A$3:$F$32,5,FALSE) - VLOOKUP($B91,test!$A$3:$G$32,6,FALSE) &gt;= (test!$B$35+VLOOKUP(VLOOKUP($B91,test!$A$2:$I$32,4,FALSE),test!$J$24:$P$28,5,FALSE))/1440),1,0)</f>
        <v>0</v>
      </c>
      <c r="Z91" s="2">
        <f>IF(AND(VLOOKUP(Z$1,test!$A$3:$F$32,5,FALSE) - VLOOKUP($B91,test!$A$3:$G$32,6,FALSE) &gt;= (test!$B$35+VLOOKUP(VLOOKUP($B91,test!$A$2:$I$32,4,FALSE),test!$J$24:$P$28,5,FALSE))/1440),1,0)</f>
        <v>0</v>
      </c>
      <c r="AA91" s="2">
        <f>IF(AND(VLOOKUP(AA$1,test!$A$3:$F$32,5,FALSE) - VLOOKUP($B91,test!$A$3:$G$32,6,FALSE) &gt;= (test!$B$35+VLOOKUP(VLOOKUP($B91,test!$A$2:$I$32,4,FALSE),test!$J$24:$P$28,5,FALSE))/1440),1,0)</f>
        <v>0</v>
      </c>
      <c r="AB91" s="2">
        <f>IF(AND(VLOOKUP(AB$1,test!$A$3:$F$32,5,FALSE) - VLOOKUP($B91,test!$A$3:$G$32,6,FALSE) &gt;= (test!$B$35+VLOOKUP(VLOOKUP($B91,test!$A$2:$I$32,4,FALSE),test!$J$24:$P$28,5,FALSE))/1440),1,0)</f>
        <v>0</v>
      </c>
      <c r="AC91" s="2">
        <f>IF(AND(VLOOKUP(AC$1,test!$A$3:$F$32,5,FALSE) - VLOOKUP($B91,test!$A$3:$G$32,6,FALSE) &gt;= (test!$B$35+VLOOKUP(VLOOKUP($B91,test!$A$2:$I$32,4,FALSE),test!$J$24:$P$28,5,FALSE))/1440),1,0)</f>
        <v>0</v>
      </c>
      <c r="AD91" s="2">
        <f>IF(AND(VLOOKUP(AD$1,test!$A$3:$F$32,5,FALSE) - VLOOKUP($B91,test!$A$3:$G$32,6,FALSE) &gt;= (test!$B$35+VLOOKUP(VLOOKUP($B91,test!$A$2:$I$32,4,FALSE),test!$J$24:$P$28,5,FALSE))/1440),1,0)</f>
        <v>0</v>
      </c>
      <c r="AE91" s="2">
        <f>IF(AND(VLOOKUP(AE$1,test!$A$3:$F$32,5,FALSE) - VLOOKUP($B91,test!$A$3:$G$32,6,FALSE) &gt;= (test!$B$35+VLOOKUP(VLOOKUP($B91,test!$A$2:$I$32,4,FALSE),test!$J$24:$P$28,5,FALSE))/1440),1,0)</f>
        <v>0</v>
      </c>
      <c r="AF91" s="2">
        <f>IF(AND(VLOOKUP(AF$1,test!$A$3:$F$32,5,FALSE) - VLOOKUP($B91,test!$A$3:$G$32,6,FALSE) &gt;= (test!$B$35+VLOOKUP(VLOOKUP($B91,test!$A$2:$I$32,4,FALSE),test!$J$24:$P$28,5,FALSE))/1440),1,0)</f>
        <v>0</v>
      </c>
      <c r="AG91" s="2">
        <f>IF(AND(VLOOKUP(AG$1,test!$A$3:$F$32,5,FALSE) - VLOOKUP($B91,test!$A$3:$G$32,6,FALSE) &gt;= (test!$B$35+VLOOKUP(VLOOKUP($B91,test!$A$2:$I$32,4,FALSE),test!$J$24:$P$28,5,FALSE))/1440),1,0)</f>
        <v>0</v>
      </c>
    </row>
    <row r="92" spans="1:33" x14ac:dyDescent="0.25">
      <c r="A92" t="s">
        <v>97</v>
      </c>
      <c r="B92" t="s">
        <v>39</v>
      </c>
      <c r="C92">
        <v>0</v>
      </c>
      <c r="D92" s="2">
        <f>IF(AND(VLOOKUP(D$1,test!$A$3:$F$32,5,FALSE) - VLOOKUP($B92,test!$A$3:$G$32,6,FALSE) &gt;= (test!$B$35+VLOOKUP(VLOOKUP($B92,test!$A$2:$I$32,4,FALSE),test!$J$24:$P$28,5,FALSE))/1440),1,0)</f>
        <v>0</v>
      </c>
      <c r="E92" s="2">
        <f>IF(AND(VLOOKUP(E$1,test!$A$3:$F$32,5,FALSE) - VLOOKUP($B92,test!$A$3:$G$32,6,FALSE) &gt;= (test!$B$35+VLOOKUP(VLOOKUP($B92,test!$A$2:$I$32,4,FALSE),test!$J$24:$P$28,5,FALSE))/1440),1,0)</f>
        <v>0</v>
      </c>
      <c r="F92" s="2">
        <f>IF(AND(VLOOKUP(F$1,test!$A$3:$F$32,5,FALSE) - VLOOKUP($B92,test!$A$3:$G$32,6,FALSE) &gt;= (test!$B$35+VLOOKUP(VLOOKUP($B92,test!$A$2:$I$32,4,FALSE),test!$J$24:$P$28,5,FALSE))/1440),1,0)</f>
        <v>0</v>
      </c>
      <c r="G92" s="2">
        <f>IF(AND(VLOOKUP(G$1,test!$A$3:$F$32,5,FALSE) - VLOOKUP($B92,test!$A$3:$G$32,6,FALSE) &gt;= (test!$B$35+VLOOKUP(VLOOKUP($B92,test!$A$2:$I$32,4,FALSE),test!$J$24:$P$28,5,FALSE))/1440),1,0)</f>
        <v>1</v>
      </c>
      <c r="H92" s="2">
        <f>IF(AND(VLOOKUP(H$1,test!$A$3:$F$32,5,FALSE) - VLOOKUP($B92,test!$A$3:$G$32,6,FALSE) &gt;= (test!$B$35+VLOOKUP(VLOOKUP($B92,test!$A$2:$I$32,4,FALSE),test!$J$24:$P$28,5,FALSE))/1440),1,0)</f>
        <v>1</v>
      </c>
      <c r="I92" s="2">
        <f>IF(AND(VLOOKUP(I$1,test!$A$3:$F$32,5,FALSE) - VLOOKUP($B92,test!$A$3:$G$32,6,FALSE) &gt;= (test!$B$35+VLOOKUP(VLOOKUP($B92,test!$A$2:$I$32,4,FALSE),test!$J$24:$P$28,5,FALSE))/1440),1,0)</f>
        <v>1</v>
      </c>
      <c r="J92" s="2">
        <f>IF(AND(VLOOKUP(J$1,test!$A$3:$F$32,5,FALSE) - VLOOKUP($B92,test!$A$3:$G$32,6,FALSE) &gt;= (test!$B$35+VLOOKUP(VLOOKUP($B92,test!$A$2:$I$32,4,FALSE),test!$J$24:$P$28,5,FALSE))/1440),1,0)</f>
        <v>1</v>
      </c>
      <c r="K92" s="2">
        <f>IF(AND(VLOOKUP(K$1,test!$A$3:$F$32,5,FALSE) - VLOOKUP($B92,test!$A$3:$G$32,6,FALSE) &gt;= (test!$B$35+VLOOKUP(VLOOKUP($B92,test!$A$2:$I$32,4,FALSE),test!$J$24:$P$28,5,FALSE))/1440),1,0)</f>
        <v>1</v>
      </c>
      <c r="L92" s="2">
        <f>IF(AND(VLOOKUP(L$1,test!$A$3:$F$32,5,FALSE) - VLOOKUP($B92,test!$A$3:$G$32,6,FALSE) &gt;= (test!$B$35+VLOOKUP(VLOOKUP($B92,test!$A$2:$I$32,4,FALSE),test!$J$24:$P$28,5,FALSE))/1440),1,0)</f>
        <v>0</v>
      </c>
      <c r="M92" s="2">
        <f>IF(AND(VLOOKUP(M$1,test!$A$3:$F$32,5,FALSE) - VLOOKUP($B92,test!$A$3:$G$32,6,FALSE) &gt;= (test!$B$35+VLOOKUP(VLOOKUP($B92,test!$A$2:$I$32,4,FALSE),test!$J$24:$P$28,5,FALSE))/1440),1,0)</f>
        <v>0</v>
      </c>
      <c r="N92" s="2">
        <f>IF(AND(VLOOKUP(N$1,test!$A$3:$F$32,5,FALSE) - VLOOKUP($B92,test!$A$3:$G$32,6,FALSE) &gt;= (test!$B$35+VLOOKUP(VLOOKUP($B92,test!$A$2:$I$32,4,FALSE),test!$J$24:$P$28,5,FALSE))/1440),1,0)</f>
        <v>0</v>
      </c>
      <c r="O92" s="2">
        <f>IF(AND(VLOOKUP(O$1,test!$A$3:$F$32,5,FALSE) - VLOOKUP($B92,test!$A$3:$G$32,6,FALSE) &gt;= (test!$B$35+VLOOKUP(VLOOKUP($B92,test!$A$2:$I$32,4,FALSE),test!$J$24:$P$28,5,FALSE))/1440),1,0)</f>
        <v>1</v>
      </c>
      <c r="P92" s="2">
        <f>IF(AND(VLOOKUP(P$1,test!$A$3:$F$32,5,FALSE) - VLOOKUP($B92,test!$A$3:$G$32,6,FALSE) &gt;= (test!$B$35+VLOOKUP(VLOOKUP($B92,test!$A$2:$I$32,4,FALSE),test!$J$24:$P$28,5,FALSE))/1440),1,0)</f>
        <v>1</v>
      </c>
      <c r="Q92" s="2">
        <f>IF(AND(VLOOKUP(Q$1,test!$A$3:$F$32,5,FALSE) - VLOOKUP($B92,test!$A$3:$G$32,6,FALSE) &gt;= (test!$B$35+VLOOKUP(VLOOKUP($B92,test!$A$2:$I$32,4,FALSE),test!$J$24:$P$28,5,FALSE))/1440),1,0)</f>
        <v>0</v>
      </c>
      <c r="R92" s="2">
        <f>IF(AND(VLOOKUP(R$1,test!$A$3:$F$32,5,FALSE) - VLOOKUP($B92,test!$A$3:$G$32,6,FALSE) &gt;= (test!$B$35+VLOOKUP(VLOOKUP($B92,test!$A$2:$I$32,4,FALSE),test!$J$24:$P$28,5,FALSE))/1440),1,0)</f>
        <v>0</v>
      </c>
      <c r="S92" s="2">
        <f>IF(AND(VLOOKUP(S$1,test!$A$3:$F$32,5,FALSE) - VLOOKUP($B92,test!$A$3:$G$32,6,FALSE) &gt;= (test!$B$35+VLOOKUP(VLOOKUP($B92,test!$A$2:$I$32,4,FALSE),test!$J$24:$P$28,5,FALSE))/1440),1,0)</f>
        <v>0</v>
      </c>
      <c r="T92" s="2">
        <f>IF(AND(VLOOKUP(T$1,test!$A$3:$F$32,5,FALSE) - VLOOKUP($B92,test!$A$3:$G$32,6,FALSE) &gt;= (test!$B$35+VLOOKUP(VLOOKUP($B92,test!$A$2:$I$32,4,FALSE),test!$J$24:$P$28,5,FALSE))/1440),1,0)</f>
        <v>0</v>
      </c>
      <c r="U92" s="2">
        <f>IF(AND(VLOOKUP(U$1,test!$A$3:$F$32,5,FALSE) - VLOOKUP($B92,test!$A$3:$G$32,6,FALSE) &gt;= (test!$B$35+VLOOKUP(VLOOKUP($B92,test!$A$2:$I$32,4,FALSE),test!$J$24:$P$28,5,FALSE))/1440),1,0)</f>
        <v>0</v>
      </c>
      <c r="V92" s="2">
        <f>IF(AND(VLOOKUP(V$1,test!$A$3:$F$32,5,FALSE) - VLOOKUP($B92,test!$A$3:$G$32,6,FALSE) &gt;= (test!$B$35+VLOOKUP(VLOOKUP($B92,test!$A$2:$I$32,4,FALSE),test!$J$24:$P$28,5,FALSE))/1440),1,0)</f>
        <v>1</v>
      </c>
      <c r="W92" s="2">
        <f>IF(AND(VLOOKUP(W$1,test!$A$3:$F$32,5,FALSE) - VLOOKUP($B92,test!$A$3:$G$32,6,FALSE) &gt;= (test!$B$35+VLOOKUP(VLOOKUP($B92,test!$A$2:$I$32,4,FALSE),test!$J$24:$P$28,5,FALSE))/1440),1,0)</f>
        <v>1</v>
      </c>
      <c r="X92" s="2">
        <f>IF(AND(VLOOKUP(X$1,test!$A$3:$F$32,5,FALSE) - VLOOKUP($B92,test!$A$3:$G$32,6,FALSE) &gt;= (test!$B$35+VLOOKUP(VLOOKUP($B92,test!$A$2:$I$32,4,FALSE),test!$J$24:$P$28,5,FALSE))/1440),1,0)</f>
        <v>1</v>
      </c>
      <c r="Y92" s="2">
        <f>IF(AND(VLOOKUP(Y$1,test!$A$3:$F$32,5,FALSE) - VLOOKUP($B92,test!$A$3:$G$32,6,FALSE) &gt;= (test!$B$35+VLOOKUP(VLOOKUP($B92,test!$A$2:$I$32,4,FALSE),test!$J$24:$P$28,5,FALSE))/1440),1,0)</f>
        <v>1</v>
      </c>
      <c r="Z92" s="2">
        <f>IF(AND(VLOOKUP(Z$1,test!$A$3:$F$32,5,FALSE) - VLOOKUP($B92,test!$A$3:$G$32,6,FALSE) &gt;= (test!$B$35+VLOOKUP(VLOOKUP($B92,test!$A$2:$I$32,4,FALSE),test!$J$24:$P$28,5,FALSE))/1440),1,0)</f>
        <v>0</v>
      </c>
      <c r="AA92" s="2">
        <f>IF(AND(VLOOKUP(AA$1,test!$A$3:$F$32,5,FALSE) - VLOOKUP($B92,test!$A$3:$G$32,6,FALSE) &gt;= (test!$B$35+VLOOKUP(VLOOKUP($B92,test!$A$2:$I$32,4,FALSE),test!$J$24:$P$28,5,FALSE))/1440),1,0)</f>
        <v>0</v>
      </c>
      <c r="AB92" s="2">
        <f>IF(AND(VLOOKUP(AB$1,test!$A$3:$F$32,5,FALSE) - VLOOKUP($B92,test!$A$3:$G$32,6,FALSE) &gt;= (test!$B$35+VLOOKUP(VLOOKUP($B92,test!$A$2:$I$32,4,FALSE),test!$J$24:$P$28,5,FALSE))/1440),1,0)</f>
        <v>1</v>
      </c>
      <c r="AC92" s="2">
        <f>IF(AND(VLOOKUP(AC$1,test!$A$3:$F$32,5,FALSE) - VLOOKUP($B92,test!$A$3:$G$32,6,FALSE) &gt;= (test!$B$35+VLOOKUP(VLOOKUP($B92,test!$A$2:$I$32,4,FALSE),test!$J$24:$P$28,5,FALSE))/1440),1,0)</f>
        <v>1</v>
      </c>
      <c r="AD92" s="2">
        <f>IF(AND(VLOOKUP(AD$1,test!$A$3:$F$32,5,FALSE) - VLOOKUP($B92,test!$A$3:$G$32,6,FALSE) &gt;= (test!$B$35+VLOOKUP(VLOOKUP($B92,test!$A$2:$I$32,4,FALSE),test!$J$24:$P$28,5,FALSE))/1440),1,0)</f>
        <v>1</v>
      </c>
      <c r="AE92" s="2">
        <f>IF(AND(VLOOKUP(AE$1,test!$A$3:$F$32,5,FALSE) - VLOOKUP($B92,test!$A$3:$G$32,6,FALSE) &gt;= (test!$B$35+VLOOKUP(VLOOKUP($B92,test!$A$2:$I$32,4,FALSE),test!$J$24:$P$28,5,FALSE))/1440),1,0)</f>
        <v>0</v>
      </c>
      <c r="AF92" s="2">
        <f>IF(AND(VLOOKUP(AF$1,test!$A$3:$F$32,5,FALSE) - VLOOKUP($B92,test!$A$3:$G$32,6,FALSE) &gt;= (test!$B$35+VLOOKUP(VLOOKUP($B92,test!$A$2:$I$32,4,FALSE),test!$J$24:$P$28,5,FALSE))/1440),1,0)</f>
        <v>1</v>
      </c>
      <c r="AG92" s="2">
        <f>IF(AND(VLOOKUP(AG$1,test!$A$3:$F$32,5,FALSE) - VLOOKUP($B92,test!$A$3:$G$32,6,FALSE) &gt;= (test!$B$35+VLOOKUP(VLOOKUP($B92,test!$A$2:$I$32,4,FALSE),test!$J$24:$P$28,5,FALSE))/1440),1,0)</f>
        <v>0</v>
      </c>
    </row>
    <row r="93" spans="1:33" x14ac:dyDescent="0.25">
      <c r="A93" t="s">
        <v>97</v>
      </c>
      <c r="B93" t="s">
        <v>40</v>
      </c>
      <c r="C93">
        <v>0</v>
      </c>
      <c r="D93" s="2">
        <f>IF(AND(VLOOKUP(D$1,test!$A$3:$F$32,5,FALSE) - VLOOKUP($B93,test!$A$3:$G$32,6,FALSE) &gt;= (test!$B$35+VLOOKUP(VLOOKUP($B93,test!$A$2:$I$32,4,FALSE),test!$J$24:$P$28,5,FALSE))/1440),1,0)</f>
        <v>0</v>
      </c>
      <c r="E93" s="2">
        <f>IF(AND(VLOOKUP(E$1,test!$A$3:$F$32,5,FALSE) - VLOOKUP($B93,test!$A$3:$G$32,6,FALSE) &gt;= (test!$B$35+VLOOKUP(VLOOKUP($B93,test!$A$2:$I$32,4,FALSE),test!$J$24:$P$28,5,FALSE))/1440),1,0)</f>
        <v>0</v>
      </c>
      <c r="F93" s="2">
        <f>IF(AND(VLOOKUP(F$1,test!$A$3:$F$32,5,FALSE) - VLOOKUP($B93,test!$A$3:$G$32,6,FALSE) &gt;= (test!$B$35+VLOOKUP(VLOOKUP($B93,test!$A$2:$I$32,4,FALSE),test!$J$24:$P$28,5,FALSE))/1440),1,0)</f>
        <v>0</v>
      </c>
      <c r="G93" s="2">
        <f>IF(AND(VLOOKUP(G$1,test!$A$3:$F$32,5,FALSE) - VLOOKUP($B93,test!$A$3:$G$32,6,FALSE) &gt;= (test!$B$35+VLOOKUP(VLOOKUP($B93,test!$A$2:$I$32,4,FALSE),test!$J$24:$P$28,5,FALSE))/1440),1,0)</f>
        <v>0</v>
      </c>
      <c r="H93" s="2">
        <f>IF(AND(VLOOKUP(H$1,test!$A$3:$F$32,5,FALSE) - VLOOKUP($B93,test!$A$3:$G$32,6,FALSE) &gt;= (test!$B$35+VLOOKUP(VLOOKUP($B93,test!$A$2:$I$32,4,FALSE),test!$J$24:$P$28,5,FALSE))/1440),1,0)</f>
        <v>0</v>
      </c>
      <c r="I93" s="2">
        <f>IF(AND(VLOOKUP(I$1,test!$A$3:$F$32,5,FALSE) - VLOOKUP($B93,test!$A$3:$G$32,6,FALSE) &gt;= (test!$B$35+VLOOKUP(VLOOKUP($B93,test!$A$2:$I$32,4,FALSE),test!$J$24:$P$28,5,FALSE))/1440),1,0)</f>
        <v>0</v>
      </c>
      <c r="J93" s="2">
        <f>IF(AND(VLOOKUP(J$1,test!$A$3:$F$32,5,FALSE) - VLOOKUP($B93,test!$A$3:$G$32,6,FALSE) &gt;= (test!$B$35+VLOOKUP(VLOOKUP($B93,test!$A$2:$I$32,4,FALSE),test!$J$24:$P$28,5,FALSE))/1440),1,0)</f>
        <v>0</v>
      </c>
      <c r="K93" s="2">
        <f>IF(AND(VLOOKUP(K$1,test!$A$3:$F$32,5,FALSE) - VLOOKUP($B93,test!$A$3:$G$32,6,FALSE) &gt;= (test!$B$35+VLOOKUP(VLOOKUP($B93,test!$A$2:$I$32,4,FALSE),test!$J$24:$P$28,5,FALSE))/1440),1,0)</f>
        <v>0</v>
      </c>
      <c r="L93" s="2">
        <f>IF(AND(VLOOKUP(L$1,test!$A$3:$F$32,5,FALSE) - VLOOKUP($B93,test!$A$3:$G$32,6,FALSE) &gt;= (test!$B$35+VLOOKUP(VLOOKUP($B93,test!$A$2:$I$32,4,FALSE),test!$J$24:$P$28,5,FALSE))/1440),1,0)</f>
        <v>0</v>
      </c>
      <c r="M93" s="2">
        <f>IF(AND(VLOOKUP(M$1,test!$A$3:$F$32,5,FALSE) - VLOOKUP($B93,test!$A$3:$G$32,6,FALSE) &gt;= (test!$B$35+VLOOKUP(VLOOKUP($B93,test!$A$2:$I$32,4,FALSE),test!$J$24:$P$28,5,FALSE))/1440),1,0)</f>
        <v>0</v>
      </c>
      <c r="N93" s="2">
        <f>IF(AND(VLOOKUP(N$1,test!$A$3:$F$32,5,FALSE) - VLOOKUP($B93,test!$A$3:$G$32,6,FALSE) &gt;= (test!$B$35+VLOOKUP(VLOOKUP($B93,test!$A$2:$I$32,4,FALSE),test!$J$24:$P$28,5,FALSE))/1440),1,0)</f>
        <v>0</v>
      </c>
      <c r="O93" s="2">
        <f>IF(AND(VLOOKUP(O$1,test!$A$3:$F$32,5,FALSE) - VLOOKUP($B93,test!$A$3:$G$32,6,FALSE) &gt;= (test!$B$35+VLOOKUP(VLOOKUP($B93,test!$A$2:$I$32,4,FALSE),test!$J$24:$P$28,5,FALSE))/1440),1,0)</f>
        <v>0</v>
      </c>
      <c r="P93" s="2">
        <f>IF(AND(VLOOKUP(P$1,test!$A$3:$F$32,5,FALSE) - VLOOKUP($B93,test!$A$3:$G$32,6,FALSE) &gt;= (test!$B$35+VLOOKUP(VLOOKUP($B93,test!$A$2:$I$32,4,FALSE),test!$J$24:$P$28,5,FALSE))/1440),1,0)</f>
        <v>1</v>
      </c>
      <c r="Q93" s="2">
        <f>IF(AND(VLOOKUP(Q$1,test!$A$3:$F$32,5,FALSE) - VLOOKUP($B93,test!$A$3:$G$32,6,FALSE) &gt;= (test!$B$35+VLOOKUP(VLOOKUP($B93,test!$A$2:$I$32,4,FALSE),test!$J$24:$P$28,5,FALSE))/1440),1,0)</f>
        <v>0</v>
      </c>
      <c r="R93" s="2">
        <f>IF(AND(VLOOKUP(R$1,test!$A$3:$F$32,5,FALSE) - VLOOKUP($B93,test!$A$3:$G$32,6,FALSE) &gt;= (test!$B$35+VLOOKUP(VLOOKUP($B93,test!$A$2:$I$32,4,FALSE),test!$J$24:$P$28,5,FALSE))/1440),1,0)</f>
        <v>0</v>
      </c>
      <c r="S93" s="2">
        <f>IF(AND(VLOOKUP(S$1,test!$A$3:$F$32,5,FALSE) - VLOOKUP($B93,test!$A$3:$G$32,6,FALSE) &gt;= (test!$B$35+VLOOKUP(VLOOKUP($B93,test!$A$2:$I$32,4,FALSE),test!$J$24:$P$28,5,FALSE))/1440),1,0)</f>
        <v>0</v>
      </c>
      <c r="T93" s="2">
        <f>IF(AND(VLOOKUP(T$1,test!$A$3:$F$32,5,FALSE) - VLOOKUP($B93,test!$A$3:$G$32,6,FALSE) &gt;= (test!$B$35+VLOOKUP(VLOOKUP($B93,test!$A$2:$I$32,4,FALSE),test!$J$24:$P$28,5,FALSE))/1440),1,0)</f>
        <v>0</v>
      </c>
      <c r="U93" s="2">
        <f>IF(AND(VLOOKUP(U$1,test!$A$3:$F$32,5,FALSE) - VLOOKUP($B93,test!$A$3:$G$32,6,FALSE) &gt;= (test!$B$35+VLOOKUP(VLOOKUP($B93,test!$A$2:$I$32,4,FALSE),test!$J$24:$P$28,5,FALSE))/1440),1,0)</f>
        <v>0</v>
      </c>
      <c r="V93" s="2">
        <f>IF(AND(VLOOKUP(V$1,test!$A$3:$F$32,5,FALSE) - VLOOKUP($B93,test!$A$3:$G$32,6,FALSE) &gt;= (test!$B$35+VLOOKUP(VLOOKUP($B93,test!$A$2:$I$32,4,FALSE),test!$J$24:$P$28,5,FALSE))/1440),1,0)</f>
        <v>0</v>
      </c>
      <c r="W93" s="2">
        <f>IF(AND(VLOOKUP(W$1,test!$A$3:$F$32,5,FALSE) - VLOOKUP($B93,test!$A$3:$G$32,6,FALSE) &gt;= (test!$B$35+VLOOKUP(VLOOKUP($B93,test!$A$2:$I$32,4,FALSE),test!$J$24:$P$28,5,FALSE))/1440),1,0)</f>
        <v>0</v>
      </c>
      <c r="X93" s="2">
        <f>IF(AND(VLOOKUP(X$1,test!$A$3:$F$32,5,FALSE) - VLOOKUP($B93,test!$A$3:$G$32,6,FALSE) &gt;= (test!$B$35+VLOOKUP(VLOOKUP($B93,test!$A$2:$I$32,4,FALSE),test!$J$24:$P$28,5,FALSE))/1440),1,0)</f>
        <v>0</v>
      </c>
      <c r="Y93" s="2">
        <f>IF(AND(VLOOKUP(Y$1,test!$A$3:$F$32,5,FALSE) - VLOOKUP($B93,test!$A$3:$G$32,6,FALSE) &gt;= (test!$B$35+VLOOKUP(VLOOKUP($B93,test!$A$2:$I$32,4,FALSE),test!$J$24:$P$28,5,FALSE))/1440),1,0)</f>
        <v>0</v>
      </c>
      <c r="Z93" s="2">
        <f>IF(AND(VLOOKUP(Z$1,test!$A$3:$F$32,5,FALSE) - VLOOKUP($B93,test!$A$3:$G$32,6,FALSE) &gt;= (test!$B$35+VLOOKUP(VLOOKUP($B93,test!$A$2:$I$32,4,FALSE),test!$J$24:$P$28,5,FALSE))/1440),1,0)</f>
        <v>0</v>
      </c>
      <c r="AA93" s="2">
        <f>IF(AND(VLOOKUP(AA$1,test!$A$3:$F$32,5,FALSE) - VLOOKUP($B93,test!$A$3:$G$32,6,FALSE) &gt;= (test!$B$35+VLOOKUP(VLOOKUP($B93,test!$A$2:$I$32,4,FALSE),test!$J$24:$P$28,5,FALSE))/1440),1,0)</f>
        <v>0</v>
      </c>
      <c r="AB93" s="2">
        <f>IF(AND(VLOOKUP(AB$1,test!$A$3:$F$32,5,FALSE) - VLOOKUP($B93,test!$A$3:$G$32,6,FALSE) &gt;= (test!$B$35+VLOOKUP(VLOOKUP($B93,test!$A$2:$I$32,4,FALSE),test!$J$24:$P$28,5,FALSE))/1440),1,0)</f>
        <v>0</v>
      </c>
      <c r="AC93" s="2">
        <f>IF(AND(VLOOKUP(AC$1,test!$A$3:$F$32,5,FALSE) - VLOOKUP($B93,test!$A$3:$G$32,6,FALSE) &gt;= (test!$B$35+VLOOKUP(VLOOKUP($B93,test!$A$2:$I$32,4,FALSE),test!$J$24:$P$28,5,FALSE))/1440),1,0)</f>
        <v>0</v>
      </c>
      <c r="AD93" s="2">
        <f>IF(AND(VLOOKUP(AD$1,test!$A$3:$F$32,5,FALSE) - VLOOKUP($B93,test!$A$3:$G$32,6,FALSE) &gt;= (test!$B$35+VLOOKUP(VLOOKUP($B93,test!$A$2:$I$32,4,FALSE),test!$J$24:$P$28,5,FALSE))/1440),1,0)</f>
        <v>0</v>
      </c>
      <c r="AE93" s="2">
        <f>IF(AND(VLOOKUP(AE$1,test!$A$3:$F$32,5,FALSE) - VLOOKUP($B93,test!$A$3:$G$32,6,FALSE) &gt;= (test!$B$35+VLOOKUP(VLOOKUP($B93,test!$A$2:$I$32,4,FALSE),test!$J$24:$P$28,5,FALSE))/1440),1,0)</f>
        <v>0</v>
      </c>
      <c r="AF93" s="2">
        <f>IF(AND(VLOOKUP(AF$1,test!$A$3:$F$32,5,FALSE) - VLOOKUP($B93,test!$A$3:$G$32,6,FALSE) &gt;= (test!$B$35+VLOOKUP(VLOOKUP($B93,test!$A$2:$I$32,4,FALSE),test!$J$24:$P$28,5,FALSE))/1440),1,0)</f>
        <v>0</v>
      </c>
      <c r="AG93" s="2">
        <f>IF(AND(VLOOKUP(AG$1,test!$A$3:$F$32,5,FALSE) - VLOOKUP($B93,test!$A$3:$G$32,6,FALSE) &gt;= (test!$B$35+VLOOKUP(VLOOKUP($B93,test!$A$2:$I$32,4,FALSE),test!$J$24:$P$28,5,FALSE))/1440),1,0)</f>
        <v>0</v>
      </c>
    </row>
    <row r="94" spans="1:33" x14ac:dyDescent="0.25">
      <c r="A94" t="s">
        <v>97</v>
      </c>
      <c r="B94" t="s">
        <v>41</v>
      </c>
      <c r="C94">
        <v>0</v>
      </c>
      <c r="D94" s="2">
        <f>IF(AND(VLOOKUP(D$1,test!$A$3:$F$32,5,FALSE) - VLOOKUP($B94,test!$A$3:$G$32,6,FALSE) &gt;= (test!$B$35+VLOOKUP(VLOOKUP($B94,test!$A$2:$I$32,4,FALSE),test!$J$24:$P$28,5,FALSE))/1440),1,0)</f>
        <v>0</v>
      </c>
      <c r="E94" s="2">
        <f>IF(AND(VLOOKUP(E$1,test!$A$3:$F$32,5,FALSE) - VLOOKUP($B94,test!$A$3:$G$32,6,FALSE) &gt;= (test!$B$35+VLOOKUP(VLOOKUP($B94,test!$A$2:$I$32,4,FALSE),test!$J$24:$P$28,5,FALSE))/1440),1,0)</f>
        <v>0</v>
      </c>
      <c r="F94" s="2">
        <f>IF(AND(VLOOKUP(F$1,test!$A$3:$F$32,5,FALSE) - VLOOKUP($B94,test!$A$3:$G$32,6,FALSE) &gt;= (test!$B$35+VLOOKUP(VLOOKUP($B94,test!$A$2:$I$32,4,FALSE),test!$J$24:$P$28,5,FALSE))/1440),1,0)</f>
        <v>0</v>
      </c>
      <c r="G94" s="2">
        <f>IF(AND(VLOOKUP(G$1,test!$A$3:$F$32,5,FALSE) - VLOOKUP($B94,test!$A$3:$G$32,6,FALSE) &gt;= (test!$B$35+VLOOKUP(VLOOKUP($B94,test!$A$2:$I$32,4,FALSE),test!$J$24:$P$28,5,FALSE))/1440),1,0)</f>
        <v>0</v>
      </c>
      <c r="H94" s="2">
        <f>IF(AND(VLOOKUP(H$1,test!$A$3:$F$32,5,FALSE) - VLOOKUP($B94,test!$A$3:$G$32,6,FALSE) &gt;= (test!$B$35+VLOOKUP(VLOOKUP($B94,test!$A$2:$I$32,4,FALSE),test!$J$24:$P$28,5,FALSE))/1440),1,0)</f>
        <v>0</v>
      </c>
      <c r="I94" s="2">
        <f>IF(AND(VLOOKUP(I$1,test!$A$3:$F$32,5,FALSE) - VLOOKUP($B94,test!$A$3:$G$32,6,FALSE) &gt;= (test!$B$35+VLOOKUP(VLOOKUP($B94,test!$A$2:$I$32,4,FALSE),test!$J$24:$P$28,5,FALSE))/1440),1,0)</f>
        <v>0</v>
      </c>
      <c r="J94" s="2">
        <f>IF(AND(VLOOKUP(J$1,test!$A$3:$F$32,5,FALSE) - VLOOKUP($B94,test!$A$3:$G$32,6,FALSE) &gt;= (test!$B$35+VLOOKUP(VLOOKUP($B94,test!$A$2:$I$32,4,FALSE),test!$J$24:$P$28,5,FALSE))/1440),1,0)</f>
        <v>0</v>
      </c>
      <c r="K94" s="2">
        <f>IF(AND(VLOOKUP(K$1,test!$A$3:$F$32,5,FALSE) - VLOOKUP($B94,test!$A$3:$G$32,6,FALSE) &gt;= (test!$B$35+VLOOKUP(VLOOKUP($B94,test!$A$2:$I$32,4,FALSE),test!$J$24:$P$28,5,FALSE))/1440),1,0)</f>
        <v>0</v>
      </c>
      <c r="L94" s="2">
        <f>IF(AND(VLOOKUP(L$1,test!$A$3:$F$32,5,FALSE) - VLOOKUP($B94,test!$A$3:$G$32,6,FALSE) &gt;= (test!$B$35+VLOOKUP(VLOOKUP($B94,test!$A$2:$I$32,4,FALSE),test!$J$24:$P$28,5,FALSE))/1440),1,0)</f>
        <v>0</v>
      </c>
      <c r="M94" s="2">
        <f>IF(AND(VLOOKUP(M$1,test!$A$3:$F$32,5,FALSE) - VLOOKUP($B94,test!$A$3:$G$32,6,FALSE) &gt;= (test!$B$35+VLOOKUP(VLOOKUP($B94,test!$A$2:$I$32,4,FALSE),test!$J$24:$P$28,5,FALSE))/1440),1,0)</f>
        <v>0</v>
      </c>
      <c r="N94" s="2">
        <f>IF(AND(VLOOKUP(N$1,test!$A$3:$F$32,5,FALSE) - VLOOKUP($B94,test!$A$3:$G$32,6,FALSE) &gt;= (test!$B$35+VLOOKUP(VLOOKUP($B94,test!$A$2:$I$32,4,FALSE),test!$J$24:$P$28,5,FALSE))/1440),1,0)</f>
        <v>0</v>
      </c>
      <c r="O94" s="2">
        <f>IF(AND(VLOOKUP(O$1,test!$A$3:$F$32,5,FALSE) - VLOOKUP($B94,test!$A$3:$G$32,6,FALSE) &gt;= (test!$B$35+VLOOKUP(VLOOKUP($B94,test!$A$2:$I$32,4,FALSE),test!$J$24:$P$28,5,FALSE))/1440),1,0)</f>
        <v>0</v>
      </c>
      <c r="P94" s="2">
        <f>IF(AND(VLOOKUP(P$1,test!$A$3:$F$32,5,FALSE) - VLOOKUP($B94,test!$A$3:$G$32,6,FALSE) &gt;= (test!$B$35+VLOOKUP(VLOOKUP($B94,test!$A$2:$I$32,4,FALSE),test!$J$24:$P$28,5,FALSE))/1440),1,0)</f>
        <v>1</v>
      </c>
      <c r="Q94" s="2">
        <f>IF(AND(VLOOKUP(Q$1,test!$A$3:$F$32,5,FALSE) - VLOOKUP($B94,test!$A$3:$G$32,6,FALSE) &gt;= (test!$B$35+VLOOKUP(VLOOKUP($B94,test!$A$2:$I$32,4,FALSE),test!$J$24:$P$28,5,FALSE))/1440),1,0)</f>
        <v>0</v>
      </c>
      <c r="R94" s="2">
        <f>IF(AND(VLOOKUP(R$1,test!$A$3:$F$32,5,FALSE) - VLOOKUP($B94,test!$A$3:$G$32,6,FALSE) &gt;= (test!$B$35+VLOOKUP(VLOOKUP($B94,test!$A$2:$I$32,4,FALSE),test!$J$24:$P$28,5,FALSE))/1440),1,0)</f>
        <v>0</v>
      </c>
      <c r="S94" s="2">
        <f>IF(AND(VLOOKUP(S$1,test!$A$3:$F$32,5,FALSE) - VLOOKUP($B94,test!$A$3:$G$32,6,FALSE) &gt;= (test!$B$35+VLOOKUP(VLOOKUP($B94,test!$A$2:$I$32,4,FALSE),test!$J$24:$P$28,5,FALSE))/1440),1,0)</f>
        <v>0</v>
      </c>
      <c r="T94" s="2">
        <f>IF(AND(VLOOKUP(T$1,test!$A$3:$F$32,5,FALSE) - VLOOKUP($B94,test!$A$3:$G$32,6,FALSE) &gt;= (test!$B$35+VLOOKUP(VLOOKUP($B94,test!$A$2:$I$32,4,FALSE),test!$J$24:$P$28,5,FALSE))/1440),1,0)</f>
        <v>0</v>
      </c>
      <c r="U94" s="2">
        <f>IF(AND(VLOOKUP(U$1,test!$A$3:$F$32,5,FALSE) - VLOOKUP($B94,test!$A$3:$G$32,6,FALSE) &gt;= (test!$B$35+VLOOKUP(VLOOKUP($B94,test!$A$2:$I$32,4,FALSE),test!$J$24:$P$28,5,FALSE))/1440),1,0)</f>
        <v>0</v>
      </c>
      <c r="V94" s="2">
        <f>IF(AND(VLOOKUP(V$1,test!$A$3:$F$32,5,FALSE) - VLOOKUP($B94,test!$A$3:$G$32,6,FALSE) &gt;= (test!$B$35+VLOOKUP(VLOOKUP($B94,test!$A$2:$I$32,4,FALSE),test!$J$24:$P$28,5,FALSE))/1440),1,0)</f>
        <v>0</v>
      </c>
      <c r="W94" s="2">
        <f>IF(AND(VLOOKUP(W$1,test!$A$3:$F$32,5,FALSE) - VLOOKUP($B94,test!$A$3:$G$32,6,FALSE) &gt;= (test!$B$35+VLOOKUP(VLOOKUP($B94,test!$A$2:$I$32,4,FALSE),test!$J$24:$P$28,5,FALSE))/1440),1,0)</f>
        <v>0</v>
      </c>
      <c r="X94" s="2">
        <f>IF(AND(VLOOKUP(X$1,test!$A$3:$F$32,5,FALSE) - VLOOKUP($B94,test!$A$3:$G$32,6,FALSE) &gt;= (test!$B$35+VLOOKUP(VLOOKUP($B94,test!$A$2:$I$32,4,FALSE),test!$J$24:$P$28,5,FALSE))/1440),1,0)</f>
        <v>0</v>
      </c>
      <c r="Y94" s="2">
        <f>IF(AND(VLOOKUP(Y$1,test!$A$3:$F$32,5,FALSE) - VLOOKUP($B94,test!$A$3:$G$32,6,FALSE) &gt;= (test!$B$35+VLOOKUP(VLOOKUP($B94,test!$A$2:$I$32,4,FALSE),test!$J$24:$P$28,5,FALSE))/1440),1,0)</f>
        <v>0</v>
      </c>
      <c r="Z94" s="2">
        <f>IF(AND(VLOOKUP(Z$1,test!$A$3:$F$32,5,FALSE) - VLOOKUP($B94,test!$A$3:$G$32,6,FALSE) &gt;= (test!$B$35+VLOOKUP(VLOOKUP($B94,test!$A$2:$I$32,4,FALSE),test!$J$24:$P$28,5,FALSE))/1440),1,0)</f>
        <v>0</v>
      </c>
      <c r="AA94" s="2">
        <f>IF(AND(VLOOKUP(AA$1,test!$A$3:$F$32,5,FALSE) - VLOOKUP($B94,test!$A$3:$G$32,6,FALSE) &gt;= (test!$B$35+VLOOKUP(VLOOKUP($B94,test!$A$2:$I$32,4,FALSE),test!$J$24:$P$28,5,FALSE))/1440),1,0)</f>
        <v>0</v>
      </c>
      <c r="AB94" s="2">
        <f>IF(AND(VLOOKUP(AB$1,test!$A$3:$F$32,5,FALSE) - VLOOKUP($B94,test!$A$3:$G$32,6,FALSE) &gt;= (test!$B$35+VLOOKUP(VLOOKUP($B94,test!$A$2:$I$32,4,FALSE),test!$J$24:$P$28,5,FALSE))/1440),1,0)</f>
        <v>0</v>
      </c>
      <c r="AC94" s="2">
        <f>IF(AND(VLOOKUP(AC$1,test!$A$3:$F$32,5,FALSE) - VLOOKUP($B94,test!$A$3:$G$32,6,FALSE) &gt;= (test!$B$35+VLOOKUP(VLOOKUP($B94,test!$A$2:$I$32,4,FALSE),test!$J$24:$P$28,5,FALSE))/1440),1,0)</f>
        <v>0</v>
      </c>
      <c r="AD94" s="2">
        <f>IF(AND(VLOOKUP(AD$1,test!$A$3:$F$32,5,FALSE) - VLOOKUP($B94,test!$A$3:$G$32,6,FALSE) &gt;= (test!$B$35+VLOOKUP(VLOOKUP($B94,test!$A$2:$I$32,4,FALSE),test!$J$24:$P$28,5,FALSE))/1440),1,0)</f>
        <v>0</v>
      </c>
      <c r="AE94" s="2">
        <f>IF(AND(VLOOKUP(AE$1,test!$A$3:$F$32,5,FALSE) - VLOOKUP($B94,test!$A$3:$G$32,6,FALSE) &gt;= (test!$B$35+VLOOKUP(VLOOKUP($B94,test!$A$2:$I$32,4,FALSE),test!$J$24:$P$28,5,FALSE))/1440),1,0)</f>
        <v>0</v>
      </c>
      <c r="AF94" s="2">
        <f>IF(AND(VLOOKUP(AF$1,test!$A$3:$F$32,5,FALSE) - VLOOKUP($B94,test!$A$3:$G$32,6,FALSE) &gt;= (test!$B$35+VLOOKUP(VLOOKUP($B94,test!$A$2:$I$32,4,FALSE),test!$J$24:$P$28,5,FALSE))/1440),1,0)</f>
        <v>0</v>
      </c>
      <c r="AG94" s="2">
        <f>IF(AND(VLOOKUP(AG$1,test!$A$3:$F$32,5,FALSE) - VLOOKUP($B94,test!$A$3:$G$32,6,FALSE) &gt;= (test!$B$35+VLOOKUP(VLOOKUP($B94,test!$A$2:$I$32,4,FALSE),test!$J$24:$P$28,5,FALSE))/1440),1,0)</f>
        <v>0</v>
      </c>
    </row>
    <row r="95" spans="1:33" x14ac:dyDescent="0.25">
      <c r="A95" t="s">
        <v>98</v>
      </c>
      <c r="B95" t="s">
        <v>46</v>
      </c>
      <c r="C95">
        <v>0</v>
      </c>
      <c r="D95" s="2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5">
      <c r="A96" t="s">
        <v>98</v>
      </c>
      <c r="B96" t="s">
        <v>6</v>
      </c>
      <c r="C96">
        <v>0</v>
      </c>
      <c r="D96" s="2">
        <f>IF(AND(VLOOKUP(D$1,test!$A$3:$F$32,5,FALSE) - VLOOKUP($B96,test!$A$3:$G$32,6,FALSE) &gt;= (test!$B$36+VLOOKUP(VLOOKUP($B96,test!$A$2:$I$32,4,FALSE),test!$J$24:$P$28,6,FALSE))/1440),1,0)</f>
        <v>0</v>
      </c>
      <c r="E96" s="2">
        <f>IF(AND(VLOOKUP(E$1,test!$A$3:$F$32,5,FALSE) - VLOOKUP($B96,test!$A$3:$G$32,6,FALSE) &gt;= (test!$B$36+VLOOKUP(VLOOKUP($B96,test!$A$2:$I$32,4,FALSE),test!$J$24:$P$28,6,FALSE))/1440),1,0)</f>
        <v>0</v>
      </c>
      <c r="F96" s="2">
        <f>IF(AND(VLOOKUP(F$1,test!$A$3:$F$32,5,FALSE) - VLOOKUP($B96,test!$A$3:$G$32,6,FALSE) &gt;= (test!$B$36+VLOOKUP(VLOOKUP($B96,test!$A$2:$I$32,4,FALSE),test!$J$24:$P$28,6,FALSE))/1440),1,0)</f>
        <v>1</v>
      </c>
      <c r="G96" s="2">
        <f>IF(AND(VLOOKUP(G$1,test!$A$3:$F$32,5,FALSE) - VLOOKUP($B96,test!$A$3:$G$32,6,FALSE) &gt;= (test!$B$36+VLOOKUP(VLOOKUP($B96,test!$A$2:$I$32,4,FALSE),test!$J$24:$P$28,6,FALSE))/1440),1,0)</f>
        <v>1</v>
      </c>
      <c r="H96" s="2">
        <f>IF(AND(VLOOKUP(H$1,test!$A$3:$F$32,5,FALSE) - VLOOKUP($B96,test!$A$3:$G$32,6,FALSE) &gt;= (test!$B$36+VLOOKUP(VLOOKUP($B96,test!$A$2:$I$32,4,FALSE),test!$J$24:$P$28,6,FALSE))/1440),1,0)</f>
        <v>1</v>
      </c>
      <c r="I96" s="2">
        <f>IF(AND(VLOOKUP(I$1,test!$A$3:$F$32,5,FALSE) - VLOOKUP($B96,test!$A$3:$G$32,6,FALSE) &gt;= (test!$B$36+VLOOKUP(VLOOKUP($B96,test!$A$2:$I$32,4,FALSE),test!$J$24:$P$28,6,FALSE))/1440),1,0)</f>
        <v>1</v>
      </c>
      <c r="J96" s="2">
        <f>IF(AND(VLOOKUP(J$1,test!$A$3:$F$32,5,FALSE) - VLOOKUP($B96,test!$A$3:$G$32,6,FALSE) &gt;= (test!$B$36+VLOOKUP(VLOOKUP($B96,test!$A$2:$I$32,4,FALSE),test!$J$24:$P$28,6,FALSE))/1440),1,0)</f>
        <v>1</v>
      </c>
      <c r="K96" s="2">
        <f>IF(AND(VLOOKUP(K$1,test!$A$3:$F$32,5,FALSE) - VLOOKUP($B96,test!$A$3:$G$32,6,FALSE) &gt;= (test!$B$36+VLOOKUP(VLOOKUP($B96,test!$A$2:$I$32,4,FALSE),test!$J$24:$P$28,6,FALSE))/1440),1,0)</f>
        <v>1</v>
      </c>
      <c r="L96" s="2">
        <f>IF(AND(VLOOKUP(L$1,test!$A$3:$F$32,5,FALSE) - VLOOKUP($B96,test!$A$3:$G$32,6,FALSE) &gt;= (test!$B$36+VLOOKUP(VLOOKUP($B96,test!$A$2:$I$32,4,FALSE),test!$J$24:$P$28,6,FALSE))/1440),1,0)</f>
        <v>0</v>
      </c>
      <c r="M96" s="2">
        <f>IF(AND(VLOOKUP(M$1,test!$A$3:$F$32,5,FALSE) - VLOOKUP($B96,test!$A$3:$G$32,6,FALSE) &gt;= (test!$B$36+VLOOKUP(VLOOKUP($B96,test!$A$2:$I$32,4,FALSE),test!$J$24:$P$28,6,FALSE))/1440),1,0)</f>
        <v>0</v>
      </c>
      <c r="N96" s="2">
        <f>IF(AND(VLOOKUP(N$1,test!$A$3:$F$32,5,FALSE) - VLOOKUP($B96,test!$A$3:$G$32,6,FALSE) &gt;= (test!$B$36+VLOOKUP(VLOOKUP($B96,test!$A$2:$I$32,4,FALSE),test!$J$24:$P$28,6,FALSE))/1440),1,0)</f>
        <v>0</v>
      </c>
      <c r="O96" s="2">
        <f>IF(AND(VLOOKUP(O$1,test!$A$3:$F$32,5,FALSE) - VLOOKUP($B96,test!$A$3:$G$32,6,FALSE) &gt;= (test!$B$36+VLOOKUP(VLOOKUP($B96,test!$A$2:$I$32,4,FALSE),test!$J$24:$P$28,6,FALSE))/1440),1,0)</f>
        <v>1</v>
      </c>
      <c r="P96" s="2">
        <f>IF(AND(VLOOKUP(P$1,test!$A$3:$F$32,5,FALSE) - VLOOKUP($B96,test!$A$3:$G$32,6,FALSE) &gt;= (test!$B$36+VLOOKUP(VLOOKUP($B96,test!$A$2:$I$32,4,FALSE),test!$J$24:$P$28,6,FALSE))/1440),1,0)</f>
        <v>1</v>
      </c>
      <c r="Q96" s="2">
        <f>IF(AND(VLOOKUP(Q$1,test!$A$3:$F$32,5,FALSE) - VLOOKUP($B96,test!$A$3:$G$32,6,FALSE) &gt;= (test!$B$36+VLOOKUP(VLOOKUP($B96,test!$A$2:$I$32,4,FALSE),test!$J$24:$P$28,6,FALSE))/1440),1,0)</f>
        <v>0</v>
      </c>
      <c r="R96" s="2">
        <f>IF(AND(VLOOKUP(R$1,test!$A$3:$F$32,5,FALSE) - VLOOKUP($B96,test!$A$3:$G$32,6,FALSE) &gt;= (test!$B$36+VLOOKUP(VLOOKUP($B96,test!$A$2:$I$32,4,FALSE),test!$J$24:$P$28,6,FALSE))/1440),1,0)</f>
        <v>0</v>
      </c>
      <c r="S96" s="2">
        <f>IF(AND(VLOOKUP(S$1,test!$A$3:$F$32,5,FALSE) - VLOOKUP($B96,test!$A$3:$G$32,6,FALSE) &gt;= (test!$B$36+VLOOKUP(VLOOKUP($B96,test!$A$2:$I$32,4,FALSE),test!$J$24:$P$28,6,FALSE))/1440),1,0)</f>
        <v>0</v>
      </c>
      <c r="T96" s="2">
        <f>IF(AND(VLOOKUP(T$1,test!$A$3:$F$32,5,FALSE) - VLOOKUP($B96,test!$A$3:$G$32,6,FALSE) &gt;= (test!$B$36+VLOOKUP(VLOOKUP($B96,test!$A$2:$I$32,4,FALSE),test!$J$24:$P$28,6,FALSE))/1440),1,0)</f>
        <v>0</v>
      </c>
      <c r="U96" s="2">
        <f>IF(AND(VLOOKUP(U$1,test!$A$3:$F$32,5,FALSE) - VLOOKUP($B96,test!$A$3:$G$32,6,FALSE) &gt;= (test!$B$36+VLOOKUP(VLOOKUP($B96,test!$A$2:$I$32,4,FALSE),test!$J$24:$P$28,6,FALSE))/1440),1,0)</f>
        <v>1</v>
      </c>
      <c r="V96" s="2">
        <f>IF(AND(VLOOKUP(V$1,test!$A$3:$F$32,5,FALSE) - VLOOKUP($B96,test!$A$3:$G$32,6,FALSE) &gt;= (test!$B$36+VLOOKUP(VLOOKUP($B96,test!$A$2:$I$32,4,FALSE),test!$J$24:$P$28,6,FALSE))/1440),1,0)</f>
        <v>1</v>
      </c>
      <c r="W96" s="2">
        <f>IF(AND(VLOOKUP(W$1,test!$A$3:$F$32,5,FALSE) - VLOOKUP($B96,test!$A$3:$G$32,6,FALSE) &gt;= (test!$B$36+VLOOKUP(VLOOKUP($B96,test!$A$2:$I$32,4,FALSE),test!$J$24:$P$28,6,FALSE))/1440),1,0)</f>
        <v>1</v>
      </c>
      <c r="X96" s="2">
        <f>IF(AND(VLOOKUP(X$1,test!$A$3:$F$32,5,FALSE) - VLOOKUP($B96,test!$A$3:$G$32,6,FALSE) &gt;= (test!$B$36+VLOOKUP(VLOOKUP($B96,test!$A$2:$I$32,4,FALSE),test!$J$24:$P$28,6,FALSE))/1440),1,0)</f>
        <v>1</v>
      </c>
      <c r="Y96" s="2">
        <f>IF(AND(VLOOKUP(Y$1,test!$A$3:$F$32,5,FALSE) - VLOOKUP($B96,test!$A$3:$G$32,6,FALSE) &gt;= (test!$B$36+VLOOKUP(VLOOKUP($B96,test!$A$2:$I$32,4,FALSE),test!$J$24:$P$28,6,FALSE))/1440),1,0)</f>
        <v>1</v>
      </c>
      <c r="Z96" s="2">
        <f>IF(AND(VLOOKUP(Z$1,test!$A$3:$F$32,5,FALSE) - VLOOKUP($B96,test!$A$3:$G$32,6,FALSE) &gt;= (test!$B$36+VLOOKUP(VLOOKUP($B96,test!$A$2:$I$32,4,FALSE),test!$J$24:$P$28,6,FALSE))/1440),1,0)</f>
        <v>0</v>
      </c>
      <c r="AA96" s="2">
        <f>IF(AND(VLOOKUP(AA$1,test!$A$3:$F$32,5,FALSE) - VLOOKUP($B96,test!$A$3:$G$32,6,FALSE) &gt;= (test!$B$36+VLOOKUP(VLOOKUP($B96,test!$A$2:$I$32,4,FALSE),test!$J$24:$P$28,6,FALSE))/1440),1,0)</f>
        <v>0</v>
      </c>
      <c r="AB96" s="2">
        <f>IF(AND(VLOOKUP(AB$1,test!$A$3:$F$32,5,FALSE) - VLOOKUP($B96,test!$A$3:$G$32,6,FALSE) &gt;= (test!$B$36+VLOOKUP(VLOOKUP($B96,test!$A$2:$I$32,4,FALSE),test!$J$24:$P$28,6,FALSE))/1440),1,0)</f>
        <v>1</v>
      </c>
      <c r="AC96" s="2">
        <f>IF(AND(VLOOKUP(AC$1,test!$A$3:$F$32,5,FALSE) - VLOOKUP($B96,test!$A$3:$G$32,6,FALSE) &gt;= (test!$B$36+VLOOKUP(VLOOKUP($B96,test!$A$2:$I$32,4,FALSE),test!$J$24:$P$28,6,FALSE))/1440),1,0)</f>
        <v>1</v>
      </c>
      <c r="AD96" s="2">
        <f>IF(AND(VLOOKUP(AD$1,test!$A$3:$F$32,5,FALSE) - VLOOKUP($B96,test!$A$3:$G$32,6,FALSE) &gt;= (test!$B$36+VLOOKUP(VLOOKUP($B96,test!$A$2:$I$32,4,FALSE),test!$J$24:$P$28,6,FALSE))/1440),1,0)</f>
        <v>1</v>
      </c>
      <c r="AE96" s="2">
        <f>IF(AND(VLOOKUP(AE$1,test!$A$3:$F$32,5,FALSE) - VLOOKUP($B96,test!$A$3:$G$32,6,FALSE) &gt;= (test!$B$36+VLOOKUP(VLOOKUP($B96,test!$A$2:$I$32,4,FALSE),test!$J$24:$P$28,6,FALSE))/1440),1,0)</f>
        <v>0</v>
      </c>
      <c r="AF96" s="2">
        <f>IF(AND(VLOOKUP(AF$1,test!$A$3:$F$32,5,FALSE) - VLOOKUP($B96,test!$A$3:$G$32,6,FALSE) &gt;= (test!$B$36+VLOOKUP(VLOOKUP($B96,test!$A$2:$I$32,4,FALSE),test!$J$24:$P$28,6,FALSE))/1440),1,0)</f>
        <v>1</v>
      </c>
      <c r="AG96" s="2">
        <f>IF(AND(VLOOKUP(AG$1,test!$A$3:$F$32,5,FALSE) - VLOOKUP($B96,test!$A$3:$G$32,6,FALSE) &gt;= (test!$B$36+VLOOKUP(VLOOKUP($B96,test!$A$2:$I$32,4,FALSE),test!$J$24:$P$28,6,FALSE))/1440),1,0)</f>
        <v>1</v>
      </c>
    </row>
    <row r="97" spans="1:33" x14ac:dyDescent="0.25">
      <c r="A97" t="s">
        <v>98</v>
      </c>
      <c r="B97" t="s">
        <v>9</v>
      </c>
      <c r="C97">
        <v>0</v>
      </c>
      <c r="D97" s="2">
        <f>IF(AND(VLOOKUP(D$1,test!$A$3:$F$32,5,FALSE) - VLOOKUP($B97,test!$A$3:$G$32,6,FALSE) &gt;= (test!$B$36+VLOOKUP(VLOOKUP($B97,test!$A$2:$I$32,4,FALSE),test!$J$24:$P$28,6,FALSE))/1440),1,0)</f>
        <v>0</v>
      </c>
      <c r="E97" s="2">
        <f>IF(AND(VLOOKUP(E$1,test!$A$3:$F$32,5,FALSE) - VLOOKUP($B97,test!$A$3:$G$32,6,FALSE) &gt;= (test!$B$36+VLOOKUP(VLOOKUP($B97,test!$A$2:$I$32,4,FALSE),test!$J$24:$P$28,6,FALSE))/1440),1,0)</f>
        <v>0</v>
      </c>
      <c r="F97" s="2">
        <f>IF(AND(VLOOKUP(F$1,test!$A$3:$F$32,5,FALSE) - VLOOKUP($B97,test!$A$3:$G$32,6,FALSE) &gt;= (test!$B$36+VLOOKUP(VLOOKUP($B97,test!$A$2:$I$32,4,FALSE),test!$J$24:$P$28,6,FALSE))/1440),1,0)</f>
        <v>0</v>
      </c>
      <c r="G97" s="2">
        <f>IF(AND(VLOOKUP(G$1,test!$A$3:$F$32,5,FALSE) - VLOOKUP($B97,test!$A$3:$G$32,6,FALSE) &gt;= (test!$B$36+VLOOKUP(VLOOKUP($B97,test!$A$2:$I$32,4,FALSE),test!$J$24:$P$28,6,FALSE))/1440),1,0)</f>
        <v>0</v>
      </c>
      <c r="H97" s="2">
        <f>IF(AND(VLOOKUP(H$1,test!$A$3:$F$32,5,FALSE) - VLOOKUP($B97,test!$A$3:$G$32,6,FALSE) &gt;= (test!$B$36+VLOOKUP(VLOOKUP($B97,test!$A$2:$I$32,4,FALSE),test!$J$24:$P$28,6,FALSE))/1440),1,0)</f>
        <v>0</v>
      </c>
      <c r="I97" s="2">
        <f>IF(AND(VLOOKUP(I$1,test!$A$3:$F$32,5,FALSE) - VLOOKUP($B97,test!$A$3:$G$32,6,FALSE) &gt;= (test!$B$36+VLOOKUP(VLOOKUP($B97,test!$A$2:$I$32,4,FALSE),test!$J$24:$P$28,6,FALSE))/1440),1,0)</f>
        <v>1</v>
      </c>
      <c r="J97" s="2">
        <f>IF(AND(VLOOKUP(J$1,test!$A$3:$F$32,5,FALSE) - VLOOKUP($B97,test!$A$3:$G$32,6,FALSE) &gt;= (test!$B$36+VLOOKUP(VLOOKUP($B97,test!$A$2:$I$32,4,FALSE),test!$J$24:$P$28,6,FALSE))/1440),1,0)</f>
        <v>1</v>
      </c>
      <c r="K97" s="2">
        <f>IF(AND(VLOOKUP(K$1,test!$A$3:$F$32,5,FALSE) - VLOOKUP($B97,test!$A$3:$G$32,6,FALSE) &gt;= (test!$B$36+VLOOKUP(VLOOKUP($B97,test!$A$2:$I$32,4,FALSE),test!$J$24:$P$28,6,FALSE))/1440),1,0)</f>
        <v>1</v>
      </c>
      <c r="L97" s="2">
        <f>IF(AND(VLOOKUP(L$1,test!$A$3:$F$32,5,FALSE) - VLOOKUP($B97,test!$A$3:$G$32,6,FALSE) &gt;= (test!$B$36+VLOOKUP(VLOOKUP($B97,test!$A$2:$I$32,4,FALSE),test!$J$24:$P$28,6,FALSE))/1440),1,0)</f>
        <v>0</v>
      </c>
      <c r="M97" s="2">
        <f>IF(AND(VLOOKUP(M$1,test!$A$3:$F$32,5,FALSE) - VLOOKUP($B97,test!$A$3:$G$32,6,FALSE) &gt;= (test!$B$36+VLOOKUP(VLOOKUP($B97,test!$A$2:$I$32,4,FALSE),test!$J$24:$P$28,6,FALSE))/1440),1,0)</f>
        <v>0</v>
      </c>
      <c r="N97" s="2">
        <f>IF(AND(VLOOKUP(N$1,test!$A$3:$F$32,5,FALSE) - VLOOKUP($B97,test!$A$3:$G$32,6,FALSE) &gt;= (test!$B$36+VLOOKUP(VLOOKUP($B97,test!$A$2:$I$32,4,FALSE),test!$J$24:$P$28,6,FALSE))/1440),1,0)</f>
        <v>0</v>
      </c>
      <c r="O97" s="2">
        <f>IF(AND(VLOOKUP(O$1,test!$A$3:$F$32,5,FALSE) - VLOOKUP($B97,test!$A$3:$G$32,6,FALSE) &gt;= (test!$B$36+VLOOKUP(VLOOKUP($B97,test!$A$2:$I$32,4,FALSE),test!$J$24:$P$28,6,FALSE))/1440),1,0)</f>
        <v>1</v>
      </c>
      <c r="P97" s="2">
        <f>IF(AND(VLOOKUP(P$1,test!$A$3:$F$32,5,FALSE) - VLOOKUP($B97,test!$A$3:$G$32,6,FALSE) &gt;= (test!$B$36+VLOOKUP(VLOOKUP($B97,test!$A$2:$I$32,4,FALSE),test!$J$24:$P$28,6,FALSE))/1440),1,0)</f>
        <v>1</v>
      </c>
      <c r="Q97" s="2">
        <f>IF(AND(VLOOKUP(Q$1,test!$A$3:$F$32,5,FALSE) - VLOOKUP($B97,test!$A$3:$G$32,6,FALSE) &gt;= (test!$B$36+VLOOKUP(VLOOKUP($B97,test!$A$2:$I$32,4,FALSE),test!$J$24:$P$28,6,FALSE))/1440),1,0)</f>
        <v>0</v>
      </c>
      <c r="R97" s="2">
        <f>IF(AND(VLOOKUP(R$1,test!$A$3:$F$32,5,FALSE) - VLOOKUP($B97,test!$A$3:$G$32,6,FALSE) &gt;= (test!$B$36+VLOOKUP(VLOOKUP($B97,test!$A$2:$I$32,4,FALSE),test!$J$24:$P$28,6,FALSE))/1440),1,0)</f>
        <v>0</v>
      </c>
      <c r="S97" s="2">
        <f>IF(AND(VLOOKUP(S$1,test!$A$3:$F$32,5,FALSE) - VLOOKUP($B97,test!$A$3:$G$32,6,FALSE) &gt;= (test!$B$36+VLOOKUP(VLOOKUP($B97,test!$A$2:$I$32,4,FALSE),test!$J$24:$P$28,6,FALSE))/1440),1,0)</f>
        <v>0</v>
      </c>
      <c r="T97" s="2">
        <f>IF(AND(VLOOKUP(T$1,test!$A$3:$F$32,5,FALSE) - VLOOKUP($B97,test!$A$3:$G$32,6,FALSE) &gt;= (test!$B$36+VLOOKUP(VLOOKUP($B97,test!$A$2:$I$32,4,FALSE),test!$J$24:$P$28,6,FALSE))/1440),1,0)</f>
        <v>0</v>
      </c>
      <c r="U97" s="2">
        <f>IF(AND(VLOOKUP(U$1,test!$A$3:$F$32,5,FALSE) - VLOOKUP($B97,test!$A$3:$G$32,6,FALSE) &gt;= (test!$B$36+VLOOKUP(VLOOKUP($B97,test!$A$2:$I$32,4,FALSE),test!$J$24:$P$28,6,FALSE))/1440),1,0)</f>
        <v>0</v>
      </c>
      <c r="V97" s="2">
        <f>IF(AND(VLOOKUP(V$1,test!$A$3:$F$32,5,FALSE) - VLOOKUP($B97,test!$A$3:$G$32,6,FALSE) &gt;= (test!$B$36+VLOOKUP(VLOOKUP($B97,test!$A$2:$I$32,4,FALSE),test!$J$24:$P$28,6,FALSE))/1440),1,0)</f>
        <v>0</v>
      </c>
      <c r="W97" s="2">
        <f>IF(AND(VLOOKUP(W$1,test!$A$3:$F$32,5,FALSE) - VLOOKUP($B97,test!$A$3:$G$32,6,FALSE) &gt;= (test!$B$36+VLOOKUP(VLOOKUP($B97,test!$A$2:$I$32,4,FALSE),test!$J$24:$P$28,6,FALSE))/1440),1,0)</f>
        <v>1</v>
      </c>
      <c r="X97" s="2">
        <f>IF(AND(VLOOKUP(X$1,test!$A$3:$F$32,5,FALSE) - VLOOKUP($B97,test!$A$3:$G$32,6,FALSE) &gt;= (test!$B$36+VLOOKUP(VLOOKUP($B97,test!$A$2:$I$32,4,FALSE),test!$J$24:$P$28,6,FALSE))/1440),1,0)</f>
        <v>1</v>
      </c>
      <c r="Y97" s="2">
        <f>IF(AND(VLOOKUP(Y$1,test!$A$3:$F$32,5,FALSE) - VLOOKUP($B97,test!$A$3:$G$32,6,FALSE) &gt;= (test!$B$36+VLOOKUP(VLOOKUP($B97,test!$A$2:$I$32,4,FALSE),test!$J$24:$P$28,6,FALSE))/1440),1,0)</f>
        <v>1</v>
      </c>
      <c r="Z97" s="2">
        <f>IF(AND(VLOOKUP(Z$1,test!$A$3:$F$32,5,FALSE) - VLOOKUP($B97,test!$A$3:$G$32,6,FALSE) &gt;= (test!$B$36+VLOOKUP(VLOOKUP($B97,test!$A$2:$I$32,4,FALSE),test!$J$24:$P$28,6,FALSE))/1440),1,0)</f>
        <v>0</v>
      </c>
      <c r="AA97" s="2">
        <f>IF(AND(VLOOKUP(AA$1,test!$A$3:$F$32,5,FALSE) - VLOOKUP($B97,test!$A$3:$G$32,6,FALSE) &gt;= (test!$B$36+VLOOKUP(VLOOKUP($B97,test!$A$2:$I$32,4,FALSE),test!$J$24:$P$28,6,FALSE))/1440),1,0)</f>
        <v>0</v>
      </c>
      <c r="AB97" s="2">
        <f>IF(AND(VLOOKUP(AB$1,test!$A$3:$F$32,5,FALSE) - VLOOKUP($B97,test!$A$3:$G$32,6,FALSE) &gt;= (test!$B$36+VLOOKUP(VLOOKUP($B97,test!$A$2:$I$32,4,FALSE),test!$J$24:$P$28,6,FALSE))/1440),1,0)</f>
        <v>0</v>
      </c>
      <c r="AC97" s="2">
        <f>IF(AND(VLOOKUP(AC$1,test!$A$3:$F$32,5,FALSE) - VLOOKUP($B97,test!$A$3:$G$32,6,FALSE) &gt;= (test!$B$36+VLOOKUP(VLOOKUP($B97,test!$A$2:$I$32,4,FALSE),test!$J$24:$P$28,6,FALSE))/1440),1,0)</f>
        <v>0</v>
      </c>
      <c r="AD97" s="2">
        <f>IF(AND(VLOOKUP(AD$1,test!$A$3:$F$32,5,FALSE) - VLOOKUP($B97,test!$A$3:$G$32,6,FALSE) &gt;= (test!$B$36+VLOOKUP(VLOOKUP($B97,test!$A$2:$I$32,4,FALSE),test!$J$24:$P$28,6,FALSE))/1440),1,0)</f>
        <v>1</v>
      </c>
      <c r="AE97" s="2">
        <f>IF(AND(VLOOKUP(AE$1,test!$A$3:$F$32,5,FALSE) - VLOOKUP($B97,test!$A$3:$G$32,6,FALSE) &gt;= (test!$B$36+VLOOKUP(VLOOKUP($B97,test!$A$2:$I$32,4,FALSE),test!$J$24:$P$28,6,FALSE))/1440),1,0)</f>
        <v>0</v>
      </c>
      <c r="AF97" s="2">
        <f>IF(AND(VLOOKUP(AF$1,test!$A$3:$F$32,5,FALSE) - VLOOKUP($B97,test!$A$3:$G$32,6,FALSE) &gt;= (test!$B$36+VLOOKUP(VLOOKUP($B97,test!$A$2:$I$32,4,FALSE),test!$J$24:$P$28,6,FALSE))/1440),1,0)</f>
        <v>0</v>
      </c>
      <c r="AG97" s="2">
        <f>IF(AND(VLOOKUP(AG$1,test!$A$3:$F$32,5,FALSE) - VLOOKUP($B97,test!$A$3:$G$32,6,FALSE) &gt;= (test!$B$36+VLOOKUP(VLOOKUP($B97,test!$A$2:$I$32,4,FALSE),test!$J$24:$P$28,6,FALSE))/1440),1,0)</f>
        <v>0</v>
      </c>
    </row>
    <row r="98" spans="1:33" x14ac:dyDescent="0.25">
      <c r="A98" t="s">
        <v>98</v>
      </c>
      <c r="B98" t="s">
        <v>10</v>
      </c>
      <c r="C98">
        <v>0</v>
      </c>
      <c r="D98" s="2">
        <f>IF(AND(VLOOKUP(D$1,test!$A$3:$F$32,5,FALSE) - VLOOKUP($B98,test!$A$3:$G$32,6,FALSE) &gt;= (test!$B$36+VLOOKUP(VLOOKUP($B98,test!$A$2:$I$32,4,FALSE),test!$J$24:$P$28,6,FALSE))/1440),1,0)</f>
        <v>0</v>
      </c>
      <c r="E98" s="2">
        <f>IF(AND(VLOOKUP(E$1,test!$A$3:$F$32,5,FALSE) - VLOOKUP($B98,test!$A$3:$G$32,6,FALSE) &gt;= (test!$B$36+VLOOKUP(VLOOKUP($B98,test!$A$2:$I$32,4,FALSE),test!$J$24:$P$28,6,FALSE))/1440),1,0)</f>
        <v>0</v>
      </c>
      <c r="F98" s="2">
        <f>IF(AND(VLOOKUP(F$1,test!$A$3:$F$32,5,FALSE) - VLOOKUP($B98,test!$A$3:$G$32,6,FALSE) &gt;= (test!$B$36+VLOOKUP(VLOOKUP($B98,test!$A$2:$I$32,4,FALSE),test!$J$24:$P$28,6,FALSE))/1440),1,0)</f>
        <v>0</v>
      </c>
      <c r="G98" s="2">
        <f>IF(AND(VLOOKUP(G$1,test!$A$3:$F$32,5,FALSE) - VLOOKUP($B98,test!$A$3:$G$32,6,FALSE) &gt;= (test!$B$36+VLOOKUP(VLOOKUP($B98,test!$A$2:$I$32,4,FALSE),test!$J$24:$P$28,6,FALSE))/1440),1,0)</f>
        <v>0</v>
      </c>
      <c r="H98" s="2">
        <f>IF(AND(VLOOKUP(H$1,test!$A$3:$F$32,5,FALSE) - VLOOKUP($B98,test!$A$3:$G$32,6,FALSE) &gt;= (test!$B$36+VLOOKUP(VLOOKUP($B98,test!$A$2:$I$32,4,FALSE),test!$J$24:$P$28,6,FALSE))/1440),1,0)</f>
        <v>0</v>
      </c>
      <c r="I98" s="2">
        <f>IF(AND(VLOOKUP(I$1,test!$A$3:$F$32,5,FALSE) - VLOOKUP($B98,test!$A$3:$G$32,6,FALSE) &gt;= (test!$B$36+VLOOKUP(VLOOKUP($B98,test!$A$2:$I$32,4,FALSE),test!$J$24:$P$28,6,FALSE))/1440),1,0)</f>
        <v>0</v>
      </c>
      <c r="J98" s="2">
        <f>IF(AND(VLOOKUP(J$1,test!$A$3:$F$32,5,FALSE) - VLOOKUP($B98,test!$A$3:$G$32,6,FALSE) &gt;= (test!$B$36+VLOOKUP(VLOOKUP($B98,test!$A$2:$I$32,4,FALSE),test!$J$24:$P$28,6,FALSE))/1440),1,0)</f>
        <v>1</v>
      </c>
      <c r="K98" s="2">
        <f>IF(AND(VLOOKUP(K$1,test!$A$3:$F$32,5,FALSE) - VLOOKUP($B98,test!$A$3:$G$32,6,FALSE) &gt;= (test!$B$36+VLOOKUP(VLOOKUP($B98,test!$A$2:$I$32,4,FALSE),test!$J$24:$P$28,6,FALSE))/1440),1,0)</f>
        <v>1</v>
      </c>
      <c r="L98" s="2">
        <f>IF(AND(VLOOKUP(L$1,test!$A$3:$F$32,5,FALSE) - VLOOKUP($B98,test!$A$3:$G$32,6,FALSE) &gt;= (test!$B$36+VLOOKUP(VLOOKUP($B98,test!$A$2:$I$32,4,FALSE),test!$J$24:$P$28,6,FALSE))/1440),1,0)</f>
        <v>0</v>
      </c>
      <c r="M98" s="2">
        <f>IF(AND(VLOOKUP(M$1,test!$A$3:$F$32,5,FALSE) - VLOOKUP($B98,test!$A$3:$G$32,6,FALSE) &gt;= (test!$B$36+VLOOKUP(VLOOKUP($B98,test!$A$2:$I$32,4,FALSE),test!$J$24:$P$28,6,FALSE))/1440),1,0)</f>
        <v>0</v>
      </c>
      <c r="N98" s="2">
        <f>IF(AND(VLOOKUP(N$1,test!$A$3:$F$32,5,FALSE) - VLOOKUP($B98,test!$A$3:$G$32,6,FALSE) &gt;= (test!$B$36+VLOOKUP(VLOOKUP($B98,test!$A$2:$I$32,4,FALSE),test!$J$24:$P$28,6,FALSE))/1440),1,0)</f>
        <v>0</v>
      </c>
      <c r="O98" s="2">
        <f>IF(AND(VLOOKUP(O$1,test!$A$3:$F$32,5,FALSE) - VLOOKUP($B98,test!$A$3:$G$32,6,FALSE) &gt;= (test!$B$36+VLOOKUP(VLOOKUP($B98,test!$A$2:$I$32,4,FALSE),test!$J$24:$P$28,6,FALSE))/1440),1,0)</f>
        <v>1</v>
      </c>
      <c r="P98" s="2">
        <f>IF(AND(VLOOKUP(P$1,test!$A$3:$F$32,5,FALSE) - VLOOKUP($B98,test!$A$3:$G$32,6,FALSE) &gt;= (test!$B$36+VLOOKUP(VLOOKUP($B98,test!$A$2:$I$32,4,FALSE),test!$J$24:$P$28,6,FALSE))/1440),1,0)</f>
        <v>1</v>
      </c>
      <c r="Q98" s="2">
        <f>IF(AND(VLOOKUP(Q$1,test!$A$3:$F$32,5,FALSE) - VLOOKUP($B98,test!$A$3:$G$32,6,FALSE) &gt;= (test!$B$36+VLOOKUP(VLOOKUP($B98,test!$A$2:$I$32,4,FALSE),test!$J$24:$P$28,6,FALSE))/1440),1,0)</f>
        <v>0</v>
      </c>
      <c r="R98" s="2">
        <f>IF(AND(VLOOKUP(R$1,test!$A$3:$F$32,5,FALSE) - VLOOKUP($B98,test!$A$3:$G$32,6,FALSE) &gt;= (test!$B$36+VLOOKUP(VLOOKUP($B98,test!$A$2:$I$32,4,FALSE),test!$J$24:$P$28,6,FALSE))/1440),1,0)</f>
        <v>0</v>
      </c>
      <c r="S98" s="2">
        <f>IF(AND(VLOOKUP(S$1,test!$A$3:$F$32,5,FALSE) - VLOOKUP($B98,test!$A$3:$G$32,6,FALSE) &gt;= (test!$B$36+VLOOKUP(VLOOKUP($B98,test!$A$2:$I$32,4,FALSE),test!$J$24:$P$28,6,FALSE))/1440),1,0)</f>
        <v>0</v>
      </c>
      <c r="T98" s="2">
        <f>IF(AND(VLOOKUP(T$1,test!$A$3:$F$32,5,FALSE) - VLOOKUP($B98,test!$A$3:$G$32,6,FALSE) &gt;= (test!$B$36+VLOOKUP(VLOOKUP($B98,test!$A$2:$I$32,4,FALSE),test!$J$24:$P$28,6,FALSE))/1440),1,0)</f>
        <v>0</v>
      </c>
      <c r="U98" s="2">
        <f>IF(AND(VLOOKUP(U$1,test!$A$3:$F$32,5,FALSE) - VLOOKUP($B98,test!$A$3:$G$32,6,FALSE) &gt;= (test!$B$36+VLOOKUP(VLOOKUP($B98,test!$A$2:$I$32,4,FALSE),test!$J$24:$P$28,6,FALSE))/1440),1,0)</f>
        <v>0</v>
      </c>
      <c r="V98" s="2">
        <f>IF(AND(VLOOKUP(V$1,test!$A$3:$F$32,5,FALSE) - VLOOKUP($B98,test!$A$3:$G$32,6,FALSE) &gt;= (test!$B$36+VLOOKUP(VLOOKUP($B98,test!$A$2:$I$32,4,FALSE),test!$J$24:$P$28,6,FALSE))/1440),1,0)</f>
        <v>0</v>
      </c>
      <c r="W98" s="2">
        <f>IF(AND(VLOOKUP(W$1,test!$A$3:$F$32,5,FALSE) - VLOOKUP($B98,test!$A$3:$G$32,6,FALSE) &gt;= (test!$B$36+VLOOKUP(VLOOKUP($B98,test!$A$2:$I$32,4,FALSE),test!$J$24:$P$28,6,FALSE))/1440),1,0)</f>
        <v>0</v>
      </c>
      <c r="X98" s="2">
        <f>IF(AND(VLOOKUP(X$1,test!$A$3:$F$32,5,FALSE) - VLOOKUP($B98,test!$A$3:$G$32,6,FALSE) &gt;= (test!$B$36+VLOOKUP(VLOOKUP($B98,test!$A$2:$I$32,4,FALSE),test!$J$24:$P$28,6,FALSE))/1440),1,0)</f>
        <v>1</v>
      </c>
      <c r="Y98" s="2">
        <f>IF(AND(VLOOKUP(Y$1,test!$A$3:$F$32,5,FALSE) - VLOOKUP($B98,test!$A$3:$G$32,6,FALSE) &gt;= (test!$B$36+VLOOKUP(VLOOKUP($B98,test!$A$2:$I$32,4,FALSE),test!$J$24:$P$28,6,FALSE))/1440),1,0)</f>
        <v>1</v>
      </c>
      <c r="Z98" s="2">
        <f>IF(AND(VLOOKUP(Z$1,test!$A$3:$F$32,5,FALSE) - VLOOKUP($B98,test!$A$3:$G$32,6,FALSE) &gt;= (test!$B$36+VLOOKUP(VLOOKUP($B98,test!$A$2:$I$32,4,FALSE),test!$J$24:$P$28,6,FALSE))/1440),1,0)</f>
        <v>0</v>
      </c>
      <c r="AA98" s="2">
        <f>IF(AND(VLOOKUP(AA$1,test!$A$3:$F$32,5,FALSE) - VLOOKUP($B98,test!$A$3:$G$32,6,FALSE) &gt;= (test!$B$36+VLOOKUP(VLOOKUP($B98,test!$A$2:$I$32,4,FALSE),test!$J$24:$P$28,6,FALSE))/1440),1,0)</f>
        <v>0</v>
      </c>
      <c r="AB98" s="2">
        <f>IF(AND(VLOOKUP(AB$1,test!$A$3:$F$32,5,FALSE) - VLOOKUP($B98,test!$A$3:$G$32,6,FALSE) &gt;= (test!$B$36+VLOOKUP(VLOOKUP($B98,test!$A$2:$I$32,4,FALSE),test!$J$24:$P$28,6,FALSE))/1440),1,0)</f>
        <v>0</v>
      </c>
      <c r="AC98" s="2">
        <f>IF(AND(VLOOKUP(AC$1,test!$A$3:$F$32,5,FALSE) - VLOOKUP($B98,test!$A$3:$G$32,6,FALSE) &gt;= (test!$B$36+VLOOKUP(VLOOKUP($B98,test!$A$2:$I$32,4,FALSE),test!$J$24:$P$28,6,FALSE))/1440),1,0)</f>
        <v>0</v>
      </c>
      <c r="AD98" s="2">
        <f>IF(AND(VLOOKUP(AD$1,test!$A$3:$F$32,5,FALSE) - VLOOKUP($B98,test!$A$3:$G$32,6,FALSE) &gt;= (test!$B$36+VLOOKUP(VLOOKUP($B98,test!$A$2:$I$32,4,FALSE),test!$J$24:$P$28,6,FALSE))/1440),1,0)</f>
        <v>0</v>
      </c>
      <c r="AE98" s="2">
        <f>IF(AND(VLOOKUP(AE$1,test!$A$3:$F$32,5,FALSE) - VLOOKUP($B98,test!$A$3:$G$32,6,FALSE) &gt;= (test!$B$36+VLOOKUP(VLOOKUP($B98,test!$A$2:$I$32,4,FALSE),test!$J$24:$P$28,6,FALSE))/1440),1,0)</f>
        <v>0</v>
      </c>
      <c r="AF98" s="2">
        <f>IF(AND(VLOOKUP(AF$1,test!$A$3:$F$32,5,FALSE) - VLOOKUP($B98,test!$A$3:$G$32,6,FALSE) &gt;= (test!$B$36+VLOOKUP(VLOOKUP($B98,test!$A$2:$I$32,4,FALSE),test!$J$24:$P$28,6,FALSE))/1440),1,0)</f>
        <v>0</v>
      </c>
      <c r="AG98" s="2">
        <f>IF(AND(VLOOKUP(AG$1,test!$A$3:$F$32,5,FALSE) - VLOOKUP($B98,test!$A$3:$G$32,6,FALSE) &gt;= (test!$B$36+VLOOKUP(VLOOKUP($B98,test!$A$2:$I$32,4,FALSE),test!$J$24:$P$28,6,FALSE))/1440),1,0)</f>
        <v>0</v>
      </c>
    </row>
    <row r="99" spans="1:33" x14ac:dyDescent="0.25">
      <c r="A99" t="s">
        <v>98</v>
      </c>
      <c r="B99" t="s">
        <v>11</v>
      </c>
      <c r="C99">
        <v>0</v>
      </c>
      <c r="D99" s="2">
        <f>IF(AND(VLOOKUP(D$1,test!$A$3:$F$32,5,FALSE) - VLOOKUP($B99,test!$A$3:$G$32,6,FALSE) &gt;= (test!$B$36+VLOOKUP(VLOOKUP($B99,test!$A$2:$I$32,4,FALSE),test!$J$24:$P$28,6,FALSE))/1440),1,0)</f>
        <v>0</v>
      </c>
      <c r="E99" s="2">
        <f>IF(AND(VLOOKUP(E$1,test!$A$3:$F$32,5,FALSE) - VLOOKUP($B99,test!$A$3:$G$32,6,FALSE) &gt;= (test!$B$36+VLOOKUP(VLOOKUP($B99,test!$A$2:$I$32,4,FALSE),test!$J$24:$P$28,6,FALSE))/1440),1,0)</f>
        <v>0</v>
      </c>
      <c r="F99" s="2">
        <f>IF(AND(VLOOKUP(F$1,test!$A$3:$F$32,5,FALSE) - VLOOKUP($B99,test!$A$3:$G$32,6,FALSE) &gt;= (test!$B$36+VLOOKUP(VLOOKUP($B99,test!$A$2:$I$32,4,FALSE),test!$J$24:$P$28,6,FALSE))/1440),1,0)</f>
        <v>0</v>
      </c>
      <c r="G99" s="2">
        <f>IF(AND(VLOOKUP(G$1,test!$A$3:$F$32,5,FALSE) - VLOOKUP($B99,test!$A$3:$G$32,6,FALSE) &gt;= (test!$B$36+VLOOKUP(VLOOKUP($B99,test!$A$2:$I$32,4,FALSE),test!$J$24:$P$28,6,FALSE))/1440),1,0)</f>
        <v>0</v>
      </c>
      <c r="H99" s="2">
        <f>IF(AND(VLOOKUP(H$1,test!$A$3:$F$32,5,FALSE) - VLOOKUP($B99,test!$A$3:$G$32,6,FALSE) &gt;= (test!$B$36+VLOOKUP(VLOOKUP($B99,test!$A$2:$I$32,4,FALSE),test!$J$24:$P$28,6,FALSE))/1440),1,0)</f>
        <v>0</v>
      </c>
      <c r="I99" s="2">
        <f>IF(AND(VLOOKUP(I$1,test!$A$3:$F$32,5,FALSE) - VLOOKUP($B99,test!$A$3:$G$32,6,FALSE) &gt;= (test!$B$36+VLOOKUP(VLOOKUP($B99,test!$A$2:$I$32,4,FALSE),test!$J$24:$P$28,6,FALSE))/1440),1,0)</f>
        <v>0</v>
      </c>
      <c r="J99" s="2">
        <f>IF(AND(VLOOKUP(J$1,test!$A$3:$F$32,5,FALSE) - VLOOKUP($B99,test!$A$3:$G$32,6,FALSE) &gt;= (test!$B$36+VLOOKUP(VLOOKUP($B99,test!$A$2:$I$32,4,FALSE),test!$J$24:$P$28,6,FALSE))/1440),1,0)</f>
        <v>0</v>
      </c>
      <c r="K99" s="2">
        <f>IF(AND(VLOOKUP(K$1,test!$A$3:$F$32,5,FALSE) - VLOOKUP($B99,test!$A$3:$G$32,6,FALSE) &gt;= (test!$B$36+VLOOKUP(VLOOKUP($B99,test!$A$2:$I$32,4,FALSE),test!$J$24:$P$28,6,FALSE))/1440),1,0)</f>
        <v>1</v>
      </c>
      <c r="L99" s="2">
        <f>IF(AND(VLOOKUP(L$1,test!$A$3:$F$32,5,FALSE) - VLOOKUP($B99,test!$A$3:$G$32,6,FALSE) &gt;= (test!$B$36+VLOOKUP(VLOOKUP($B99,test!$A$2:$I$32,4,FALSE),test!$J$24:$P$28,6,FALSE))/1440),1,0)</f>
        <v>0</v>
      </c>
      <c r="M99" s="2">
        <f>IF(AND(VLOOKUP(M$1,test!$A$3:$F$32,5,FALSE) - VLOOKUP($B99,test!$A$3:$G$32,6,FALSE) &gt;= (test!$B$36+VLOOKUP(VLOOKUP($B99,test!$A$2:$I$32,4,FALSE),test!$J$24:$P$28,6,FALSE))/1440),1,0)</f>
        <v>0</v>
      </c>
      <c r="N99" s="2">
        <f>IF(AND(VLOOKUP(N$1,test!$A$3:$F$32,5,FALSE) - VLOOKUP($B99,test!$A$3:$G$32,6,FALSE) &gt;= (test!$B$36+VLOOKUP(VLOOKUP($B99,test!$A$2:$I$32,4,FALSE),test!$J$24:$P$28,6,FALSE))/1440),1,0)</f>
        <v>0</v>
      </c>
      <c r="O99" s="2">
        <f>IF(AND(VLOOKUP(O$1,test!$A$3:$F$32,5,FALSE) - VLOOKUP($B99,test!$A$3:$G$32,6,FALSE) &gt;= (test!$B$36+VLOOKUP(VLOOKUP($B99,test!$A$2:$I$32,4,FALSE),test!$J$24:$P$28,6,FALSE))/1440),1,0)</f>
        <v>0</v>
      </c>
      <c r="P99" s="2">
        <f>IF(AND(VLOOKUP(P$1,test!$A$3:$F$32,5,FALSE) - VLOOKUP($B99,test!$A$3:$G$32,6,FALSE) &gt;= (test!$B$36+VLOOKUP(VLOOKUP($B99,test!$A$2:$I$32,4,FALSE),test!$J$24:$P$28,6,FALSE))/1440),1,0)</f>
        <v>1</v>
      </c>
      <c r="Q99" s="2">
        <f>IF(AND(VLOOKUP(Q$1,test!$A$3:$F$32,5,FALSE) - VLOOKUP($B99,test!$A$3:$G$32,6,FALSE) &gt;= (test!$B$36+VLOOKUP(VLOOKUP($B99,test!$A$2:$I$32,4,FALSE),test!$J$24:$P$28,6,FALSE))/1440),1,0)</f>
        <v>0</v>
      </c>
      <c r="R99" s="2">
        <f>IF(AND(VLOOKUP(R$1,test!$A$3:$F$32,5,FALSE) - VLOOKUP($B99,test!$A$3:$G$32,6,FALSE) &gt;= (test!$B$36+VLOOKUP(VLOOKUP($B99,test!$A$2:$I$32,4,FALSE),test!$J$24:$P$28,6,FALSE))/1440),1,0)</f>
        <v>0</v>
      </c>
      <c r="S99" s="2">
        <f>IF(AND(VLOOKUP(S$1,test!$A$3:$F$32,5,FALSE) - VLOOKUP($B99,test!$A$3:$G$32,6,FALSE) &gt;= (test!$B$36+VLOOKUP(VLOOKUP($B99,test!$A$2:$I$32,4,FALSE),test!$J$24:$P$28,6,FALSE))/1440),1,0)</f>
        <v>0</v>
      </c>
      <c r="T99" s="2">
        <f>IF(AND(VLOOKUP(T$1,test!$A$3:$F$32,5,FALSE) - VLOOKUP($B99,test!$A$3:$G$32,6,FALSE) &gt;= (test!$B$36+VLOOKUP(VLOOKUP($B99,test!$A$2:$I$32,4,FALSE),test!$J$24:$P$28,6,FALSE))/1440),1,0)</f>
        <v>0</v>
      </c>
      <c r="U99" s="2">
        <f>IF(AND(VLOOKUP(U$1,test!$A$3:$F$32,5,FALSE) - VLOOKUP($B99,test!$A$3:$G$32,6,FALSE) &gt;= (test!$B$36+VLOOKUP(VLOOKUP($B99,test!$A$2:$I$32,4,FALSE),test!$J$24:$P$28,6,FALSE))/1440),1,0)</f>
        <v>0</v>
      </c>
      <c r="V99" s="2">
        <f>IF(AND(VLOOKUP(V$1,test!$A$3:$F$32,5,FALSE) - VLOOKUP($B99,test!$A$3:$G$32,6,FALSE) &gt;= (test!$B$36+VLOOKUP(VLOOKUP($B99,test!$A$2:$I$32,4,FALSE),test!$J$24:$P$28,6,FALSE))/1440),1,0)</f>
        <v>0</v>
      </c>
      <c r="W99" s="2">
        <f>IF(AND(VLOOKUP(W$1,test!$A$3:$F$32,5,FALSE) - VLOOKUP($B99,test!$A$3:$G$32,6,FALSE) &gt;= (test!$B$36+VLOOKUP(VLOOKUP($B99,test!$A$2:$I$32,4,FALSE),test!$J$24:$P$28,6,FALSE))/1440),1,0)</f>
        <v>0</v>
      </c>
      <c r="X99" s="2">
        <f>IF(AND(VLOOKUP(X$1,test!$A$3:$F$32,5,FALSE) - VLOOKUP($B99,test!$A$3:$G$32,6,FALSE) &gt;= (test!$B$36+VLOOKUP(VLOOKUP($B99,test!$A$2:$I$32,4,FALSE),test!$J$24:$P$28,6,FALSE))/1440),1,0)</f>
        <v>0</v>
      </c>
      <c r="Y99" s="2">
        <f>IF(AND(VLOOKUP(Y$1,test!$A$3:$F$32,5,FALSE) - VLOOKUP($B99,test!$A$3:$G$32,6,FALSE) &gt;= (test!$B$36+VLOOKUP(VLOOKUP($B99,test!$A$2:$I$32,4,FALSE),test!$J$24:$P$28,6,FALSE))/1440),1,0)</f>
        <v>0</v>
      </c>
      <c r="Z99" s="2">
        <f>IF(AND(VLOOKUP(Z$1,test!$A$3:$F$32,5,FALSE) - VLOOKUP($B99,test!$A$3:$G$32,6,FALSE) &gt;= (test!$B$36+VLOOKUP(VLOOKUP($B99,test!$A$2:$I$32,4,FALSE),test!$J$24:$P$28,6,FALSE))/1440),1,0)</f>
        <v>0</v>
      </c>
      <c r="AA99" s="2">
        <f>IF(AND(VLOOKUP(AA$1,test!$A$3:$F$32,5,FALSE) - VLOOKUP($B99,test!$A$3:$G$32,6,FALSE) &gt;= (test!$B$36+VLOOKUP(VLOOKUP($B99,test!$A$2:$I$32,4,FALSE),test!$J$24:$P$28,6,FALSE))/1440),1,0)</f>
        <v>0</v>
      </c>
      <c r="AB99" s="2">
        <f>IF(AND(VLOOKUP(AB$1,test!$A$3:$F$32,5,FALSE) - VLOOKUP($B99,test!$A$3:$G$32,6,FALSE) &gt;= (test!$B$36+VLOOKUP(VLOOKUP($B99,test!$A$2:$I$32,4,FALSE),test!$J$24:$P$28,6,FALSE))/1440),1,0)</f>
        <v>0</v>
      </c>
      <c r="AC99" s="2">
        <f>IF(AND(VLOOKUP(AC$1,test!$A$3:$F$32,5,FALSE) - VLOOKUP($B99,test!$A$3:$G$32,6,FALSE) &gt;= (test!$B$36+VLOOKUP(VLOOKUP($B99,test!$A$2:$I$32,4,FALSE),test!$J$24:$P$28,6,FALSE))/1440),1,0)</f>
        <v>0</v>
      </c>
      <c r="AD99" s="2">
        <f>IF(AND(VLOOKUP(AD$1,test!$A$3:$F$32,5,FALSE) - VLOOKUP($B99,test!$A$3:$G$32,6,FALSE) &gt;= (test!$B$36+VLOOKUP(VLOOKUP($B99,test!$A$2:$I$32,4,FALSE),test!$J$24:$P$28,6,FALSE))/1440),1,0)</f>
        <v>0</v>
      </c>
      <c r="AE99" s="2">
        <f>IF(AND(VLOOKUP(AE$1,test!$A$3:$F$32,5,FALSE) - VLOOKUP($B99,test!$A$3:$G$32,6,FALSE) &gt;= (test!$B$36+VLOOKUP(VLOOKUP($B99,test!$A$2:$I$32,4,FALSE),test!$J$24:$P$28,6,FALSE))/1440),1,0)</f>
        <v>0</v>
      </c>
      <c r="AF99" s="2">
        <f>IF(AND(VLOOKUP(AF$1,test!$A$3:$F$32,5,FALSE) - VLOOKUP($B99,test!$A$3:$G$32,6,FALSE) &gt;= (test!$B$36+VLOOKUP(VLOOKUP($B99,test!$A$2:$I$32,4,FALSE),test!$J$24:$P$28,6,FALSE))/1440),1,0)</f>
        <v>0</v>
      </c>
      <c r="AG99" s="2">
        <f>IF(AND(VLOOKUP(AG$1,test!$A$3:$F$32,5,FALSE) - VLOOKUP($B99,test!$A$3:$G$32,6,FALSE) &gt;= (test!$B$36+VLOOKUP(VLOOKUP($B99,test!$A$2:$I$32,4,FALSE),test!$J$24:$P$28,6,FALSE))/1440),1,0)</f>
        <v>0</v>
      </c>
    </row>
    <row r="100" spans="1:33" x14ac:dyDescent="0.25">
      <c r="A100" t="s">
        <v>98</v>
      </c>
      <c r="B100" t="s">
        <v>12</v>
      </c>
      <c r="C100">
        <v>0</v>
      </c>
      <c r="D100" s="2">
        <f>IF(AND(VLOOKUP(D$1,test!$A$3:$F$32,5,FALSE) - VLOOKUP($B100,test!$A$3:$G$32,6,FALSE) &gt;= (test!$B$36+VLOOKUP(VLOOKUP($B100,test!$A$2:$I$32,4,FALSE),test!$J$24:$P$28,6,FALSE))/1440),1,0)</f>
        <v>0</v>
      </c>
      <c r="E100" s="2">
        <f>IF(AND(VLOOKUP(E$1,test!$A$3:$F$32,5,FALSE) - VLOOKUP($B100,test!$A$3:$G$32,6,FALSE) &gt;= (test!$B$36+VLOOKUP(VLOOKUP($B100,test!$A$2:$I$32,4,FALSE),test!$J$24:$P$28,6,FALSE))/1440),1,0)</f>
        <v>0</v>
      </c>
      <c r="F100" s="2">
        <f>IF(AND(VLOOKUP(F$1,test!$A$3:$F$32,5,FALSE) - VLOOKUP($B100,test!$A$3:$G$32,6,FALSE) &gt;= (test!$B$36+VLOOKUP(VLOOKUP($B100,test!$A$2:$I$32,4,FALSE),test!$J$24:$P$28,6,FALSE))/1440),1,0)</f>
        <v>0</v>
      </c>
      <c r="G100" s="2">
        <f>IF(AND(VLOOKUP(G$1,test!$A$3:$F$32,5,FALSE) - VLOOKUP($B100,test!$A$3:$G$32,6,FALSE) &gt;= (test!$B$36+VLOOKUP(VLOOKUP($B100,test!$A$2:$I$32,4,FALSE),test!$J$24:$P$28,6,FALSE))/1440),1,0)</f>
        <v>0</v>
      </c>
      <c r="H100" s="2">
        <f>IF(AND(VLOOKUP(H$1,test!$A$3:$F$32,5,FALSE) - VLOOKUP($B100,test!$A$3:$G$32,6,FALSE) &gt;= (test!$B$36+VLOOKUP(VLOOKUP($B100,test!$A$2:$I$32,4,FALSE),test!$J$24:$P$28,6,FALSE))/1440),1,0)</f>
        <v>0</v>
      </c>
      <c r="I100" s="2">
        <f>IF(AND(VLOOKUP(I$1,test!$A$3:$F$32,5,FALSE) - VLOOKUP($B100,test!$A$3:$G$32,6,FALSE) &gt;= (test!$B$36+VLOOKUP(VLOOKUP($B100,test!$A$2:$I$32,4,FALSE),test!$J$24:$P$28,6,FALSE))/1440),1,0)</f>
        <v>0</v>
      </c>
      <c r="J100" s="2">
        <f>IF(AND(VLOOKUP(J$1,test!$A$3:$F$32,5,FALSE) - VLOOKUP($B100,test!$A$3:$G$32,6,FALSE) &gt;= (test!$B$36+VLOOKUP(VLOOKUP($B100,test!$A$2:$I$32,4,FALSE),test!$J$24:$P$28,6,FALSE))/1440),1,0)</f>
        <v>0</v>
      </c>
      <c r="K100" s="2">
        <f>IF(AND(VLOOKUP(K$1,test!$A$3:$F$32,5,FALSE) - VLOOKUP($B100,test!$A$3:$G$32,6,FALSE) &gt;= (test!$B$36+VLOOKUP(VLOOKUP($B100,test!$A$2:$I$32,4,FALSE),test!$J$24:$P$28,6,FALSE))/1440),1,0)</f>
        <v>0</v>
      </c>
      <c r="L100" s="2">
        <f>IF(AND(VLOOKUP(L$1,test!$A$3:$F$32,5,FALSE) - VLOOKUP($B100,test!$A$3:$G$32,6,FALSE) &gt;= (test!$B$36+VLOOKUP(VLOOKUP($B100,test!$A$2:$I$32,4,FALSE),test!$J$24:$P$28,6,FALSE))/1440),1,0)</f>
        <v>0</v>
      </c>
      <c r="M100" s="2">
        <f>IF(AND(VLOOKUP(M$1,test!$A$3:$F$32,5,FALSE) - VLOOKUP($B100,test!$A$3:$G$32,6,FALSE) &gt;= (test!$B$36+VLOOKUP(VLOOKUP($B100,test!$A$2:$I$32,4,FALSE),test!$J$24:$P$28,6,FALSE))/1440),1,0)</f>
        <v>0</v>
      </c>
      <c r="N100" s="2">
        <f>IF(AND(VLOOKUP(N$1,test!$A$3:$F$32,5,FALSE) - VLOOKUP($B100,test!$A$3:$G$32,6,FALSE) &gt;= (test!$B$36+VLOOKUP(VLOOKUP($B100,test!$A$2:$I$32,4,FALSE),test!$J$24:$P$28,6,FALSE))/1440),1,0)</f>
        <v>0</v>
      </c>
      <c r="O100" s="2">
        <f>IF(AND(VLOOKUP(O$1,test!$A$3:$F$32,5,FALSE) - VLOOKUP($B100,test!$A$3:$G$32,6,FALSE) &gt;= (test!$B$36+VLOOKUP(VLOOKUP($B100,test!$A$2:$I$32,4,FALSE),test!$J$24:$P$28,6,FALSE))/1440),1,0)</f>
        <v>0</v>
      </c>
      <c r="P100" s="2">
        <f>IF(AND(VLOOKUP(P$1,test!$A$3:$F$32,5,FALSE) - VLOOKUP($B100,test!$A$3:$G$32,6,FALSE) &gt;= (test!$B$36+VLOOKUP(VLOOKUP($B100,test!$A$2:$I$32,4,FALSE),test!$J$24:$P$28,6,FALSE))/1440),1,0)</f>
        <v>0</v>
      </c>
      <c r="Q100" s="2">
        <f>IF(AND(VLOOKUP(Q$1,test!$A$3:$F$32,5,FALSE) - VLOOKUP($B100,test!$A$3:$G$32,6,FALSE) &gt;= (test!$B$36+VLOOKUP(VLOOKUP($B100,test!$A$2:$I$32,4,FALSE),test!$J$24:$P$28,6,FALSE))/1440),1,0)</f>
        <v>0</v>
      </c>
      <c r="R100" s="2">
        <f>IF(AND(VLOOKUP(R$1,test!$A$3:$F$32,5,FALSE) - VLOOKUP($B100,test!$A$3:$G$32,6,FALSE) &gt;= (test!$B$36+VLOOKUP(VLOOKUP($B100,test!$A$2:$I$32,4,FALSE),test!$J$24:$P$28,6,FALSE))/1440),1,0)</f>
        <v>0</v>
      </c>
      <c r="S100" s="2">
        <f>IF(AND(VLOOKUP(S$1,test!$A$3:$F$32,5,FALSE) - VLOOKUP($B100,test!$A$3:$G$32,6,FALSE) &gt;= (test!$B$36+VLOOKUP(VLOOKUP($B100,test!$A$2:$I$32,4,FALSE),test!$J$24:$P$28,6,FALSE))/1440),1,0)</f>
        <v>0</v>
      </c>
      <c r="T100" s="2">
        <f>IF(AND(VLOOKUP(T$1,test!$A$3:$F$32,5,FALSE) - VLOOKUP($B100,test!$A$3:$G$32,6,FALSE) &gt;= (test!$B$36+VLOOKUP(VLOOKUP($B100,test!$A$2:$I$32,4,FALSE),test!$J$24:$P$28,6,FALSE))/1440),1,0)</f>
        <v>0</v>
      </c>
      <c r="U100" s="2">
        <f>IF(AND(VLOOKUP(U$1,test!$A$3:$F$32,5,FALSE) - VLOOKUP($B100,test!$A$3:$G$32,6,FALSE) &gt;= (test!$B$36+VLOOKUP(VLOOKUP($B100,test!$A$2:$I$32,4,FALSE),test!$J$24:$P$28,6,FALSE))/1440),1,0)</f>
        <v>0</v>
      </c>
      <c r="V100" s="2">
        <f>IF(AND(VLOOKUP(V$1,test!$A$3:$F$32,5,FALSE) - VLOOKUP($B100,test!$A$3:$G$32,6,FALSE) &gt;= (test!$B$36+VLOOKUP(VLOOKUP($B100,test!$A$2:$I$32,4,FALSE),test!$J$24:$P$28,6,FALSE))/1440),1,0)</f>
        <v>0</v>
      </c>
      <c r="W100" s="2">
        <f>IF(AND(VLOOKUP(W$1,test!$A$3:$F$32,5,FALSE) - VLOOKUP($B100,test!$A$3:$G$32,6,FALSE) &gt;= (test!$B$36+VLOOKUP(VLOOKUP($B100,test!$A$2:$I$32,4,FALSE),test!$J$24:$P$28,6,FALSE))/1440),1,0)</f>
        <v>0</v>
      </c>
      <c r="X100" s="2">
        <f>IF(AND(VLOOKUP(X$1,test!$A$3:$F$32,5,FALSE) - VLOOKUP($B100,test!$A$3:$G$32,6,FALSE) &gt;= (test!$B$36+VLOOKUP(VLOOKUP($B100,test!$A$2:$I$32,4,FALSE),test!$J$24:$P$28,6,FALSE))/1440),1,0)</f>
        <v>0</v>
      </c>
      <c r="Y100" s="2">
        <f>IF(AND(VLOOKUP(Y$1,test!$A$3:$F$32,5,FALSE) - VLOOKUP($B100,test!$A$3:$G$32,6,FALSE) &gt;= (test!$B$36+VLOOKUP(VLOOKUP($B100,test!$A$2:$I$32,4,FALSE),test!$J$24:$P$28,6,FALSE))/1440),1,0)</f>
        <v>0</v>
      </c>
      <c r="Z100" s="2">
        <f>IF(AND(VLOOKUP(Z$1,test!$A$3:$F$32,5,FALSE) - VLOOKUP($B100,test!$A$3:$G$32,6,FALSE) &gt;= (test!$B$36+VLOOKUP(VLOOKUP($B100,test!$A$2:$I$32,4,FALSE),test!$J$24:$P$28,6,FALSE))/1440),1,0)</f>
        <v>0</v>
      </c>
      <c r="AA100" s="2">
        <f>IF(AND(VLOOKUP(AA$1,test!$A$3:$F$32,5,FALSE) - VLOOKUP($B100,test!$A$3:$G$32,6,FALSE) &gt;= (test!$B$36+VLOOKUP(VLOOKUP($B100,test!$A$2:$I$32,4,FALSE),test!$J$24:$P$28,6,FALSE))/1440),1,0)</f>
        <v>0</v>
      </c>
      <c r="AB100" s="2">
        <f>IF(AND(VLOOKUP(AB$1,test!$A$3:$F$32,5,FALSE) - VLOOKUP($B100,test!$A$3:$G$32,6,FALSE) &gt;= (test!$B$36+VLOOKUP(VLOOKUP($B100,test!$A$2:$I$32,4,FALSE),test!$J$24:$P$28,6,FALSE))/1440),1,0)</f>
        <v>0</v>
      </c>
      <c r="AC100" s="2">
        <f>IF(AND(VLOOKUP(AC$1,test!$A$3:$F$32,5,FALSE) - VLOOKUP($B100,test!$A$3:$G$32,6,FALSE) &gt;= (test!$B$36+VLOOKUP(VLOOKUP($B100,test!$A$2:$I$32,4,FALSE),test!$J$24:$P$28,6,FALSE))/1440),1,0)</f>
        <v>0</v>
      </c>
      <c r="AD100" s="2">
        <f>IF(AND(VLOOKUP(AD$1,test!$A$3:$F$32,5,FALSE) - VLOOKUP($B100,test!$A$3:$G$32,6,FALSE) &gt;= (test!$B$36+VLOOKUP(VLOOKUP($B100,test!$A$2:$I$32,4,FALSE),test!$J$24:$P$28,6,FALSE))/1440),1,0)</f>
        <v>0</v>
      </c>
      <c r="AE100" s="2">
        <f>IF(AND(VLOOKUP(AE$1,test!$A$3:$F$32,5,FALSE) - VLOOKUP($B100,test!$A$3:$G$32,6,FALSE) &gt;= (test!$B$36+VLOOKUP(VLOOKUP($B100,test!$A$2:$I$32,4,FALSE),test!$J$24:$P$28,6,FALSE))/1440),1,0)</f>
        <v>0</v>
      </c>
      <c r="AF100" s="2">
        <f>IF(AND(VLOOKUP(AF$1,test!$A$3:$F$32,5,FALSE) - VLOOKUP($B100,test!$A$3:$G$32,6,FALSE) &gt;= (test!$B$36+VLOOKUP(VLOOKUP($B100,test!$A$2:$I$32,4,FALSE),test!$J$24:$P$28,6,FALSE))/1440),1,0)</f>
        <v>0</v>
      </c>
      <c r="AG100" s="2">
        <f>IF(AND(VLOOKUP(AG$1,test!$A$3:$F$32,5,FALSE) - VLOOKUP($B100,test!$A$3:$G$32,6,FALSE) &gt;= (test!$B$36+VLOOKUP(VLOOKUP($B100,test!$A$2:$I$32,4,FALSE),test!$J$24:$P$28,6,FALSE))/1440),1,0)</f>
        <v>0</v>
      </c>
    </row>
    <row r="101" spans="1:33" x14ac:dyDescent="0.25">
      <c r="A101" t="s">
        <v>98</v>
      </c>
      <c r="B101" t="s">
        <v>13</v>
      </c>
      <c r="C101">
        <v>0</v>
      </c>
      <c r="D101" s="2">
        <f>IF(AND(VLOOKUP(D$1,test!$A$3:$F$32,5,FALSE) - VLOOKUP($B101,test!$A$3:$G$32,6,FALSE) &gt;= (test!$B$36+VLOOKUP(VLOOKUP($B101,test!$A$2:$I$32,4,FALSE),test!$J$24:$P$28,6,FALSE))/1440),1,0)</f>
        <v>0</v>
      </c>
      <c r="E101" s="2">
        <f>IF(AND(VLOOKUP(E$1,test!$A$3:$F$32,5,FALSE) - VLOOKUP($B101,test!$A$3:$G$32,6,FALSE) &gt;= (test!$B$36+VLOOKUP(VLOOKUP($B101,test!$A$2:$I$32,4,FALSE),test!$J$24:$P$28,6,FALSE))/1440),1,0)</f>
        <v>0</v>
      </c>
      <c r="F101" s="2">
        <f>IF(AND(VLOOKUP(F$1,test!$A$3:$F$32,5,FALSE) - VLOOKUP($B101,test!$A$3:$G$32,6,FALSE) &gt;= (test!$B$36+VLOOKUP(VLOOKUP($B101,test!$A$2:$I$32,4,FALSE),test!$J$24:$P$28,6,FALSE))/1440),1,0)</f>
        <v>0</v>
      </c>
      <c r="G101" s="2">
        <f>IF(AND(VLOOKUP(G$1,test!$A$3:$F$32,5,FALSE) - VLOOKUP($B101,test!$A$3:$G$32,6,FALSE) &gt;= (test!$B$36+VLOOKUP(VLOOKUP($B101,test!$A$2:$I$32,4,FALSE),test!$J$24:$P$28,6,FALSE))/1440),1,0)</f>
        <v>0</v>
      </c>
      <c r="H101" s="2">
        <f>IF(AND(VLOOKUP(H$1,test!$A$3:$F$32,5,FALSE) - VLOOKUP($B101,test!$A$3:$G$32,6,FALSE) &gt;= (test!$B$36+VLOOKUP(VLOOKUP($B101,test!$A$2:$I$32,4,FALSE),test!$J$24:$P$28,6,FALSE))/1440),1,0)</f>
        <v>0</v>
      </c>
      <c r="I101" s="2">
        <f>IF(AND(VLOOKUP(I$1,test!$A$3:$F$32,5,FALSE) - VLOOKUP($B101,test!$A$3:$G$32,6,FALSE) &gt;= (test!$B$36+VLOOKUP(VLOOKUP($B101,test!$A$2:$I$32,4,FALSE),test!$J$24:$P$28,6,FALSE))/1440),1,0)</f>
        <v>0</v>
      </c>
      <c r="J101" s="2">
        <f>IF(AND(VLOOKUP(J$1,test!$A$3:$F$32,5,FALSE) - VLOOKUP($B101,test!$A$3:$G$32,6,FALSE) &gt;= (test!$B$36+VLOOKUP(VLOOKUP($B101,test!$A$2:$I$32,4,FALSE),test!$J$24:$P$28,6,FALSE))/1440),1,0)</f>
        <v>0</v>
      </c>
      <c r="K101" s="2">
        <f>IF(AND(VLOOKUP(K$1,test!$A$3:$F$32,5,FALSE) - VLOOKUP($B101,test!$A$3:$G$32,6,FALSE) &gt;= (test!$B$36+VLOOKUP(VLOOKUP($B101,test!$A$2:$I$32,4,FALSE),test!$J$24:$P$28,6,FALSE))/1440),1,0)</f>
        <v>0</v>
      </c>
      <c r="L101" s="2">
        <f>IF(AND(VLOOKUP(L$1,test!$A$3:$F$32,5,FALSE) - VLOOKUP($B101,test!$A$3:$G$32,6,FALSE) &gt;= (test!$B$36+VLOOKUP(VLOOKUP($B101,test!$A$2:$I$32,4,FALSE),test!$J$24:$P$28,6,FALSE))/1440),1,0)</f>
        <v>0</v>
      </c>
      <c r="M101" s="2">
        <f>IF(AND(VLOOKUP(M$1,test!$A$3:$F$32,5,FALSE) - VLOOKUP($B101,test!$A$3:$G$32,6,FALSE) &gt;= (test!$B$36+VLOOKUP(VLOOKUP($B101,test!$A$2:$I$32,4,FALSE),test!$J$24:$P$28,6,FALSE))/1440),1,0)</f>
        <v>0</v>
      </c>
      <c r="N101" s="2">
        <f>IF(AND(VLOOKUP(N$1,test!$A$3:$F$32,5,FALSE) - VLOOKUP($B101,test!$A$3:$G$32,6,FALSE) &gt;= (test!$B$36+VLOOKUP(VLOOKUP($B101,test!$A$2:$I$32,4,FALSE),test!$J$24:$P$28,6,FALSE))/1440),1,0)</f>
        <v>0</v>
      </c>
      <c r="O101" s="2">
        <f>IF(AND(VLOOKUP(O$1,test!$A$3:$F$32,5,FALSE) - VLOOKUP($B101,test!$A$3:$G$32,6,FALSE) &gt;= (test!$B$36+VLOOKUP(VLOOKUP($B101,test!$A$2:$I$32,4,FALSE),test!$J$24:$P$28,6,FALSE))/1440),1,0)</f>
        <v>0</v>
      </c>
      <c r="P101" s="2">
        <f>IF(AND(VLOOKUP(P$1,test!$A$3:$F$32,5,FALSE) - VLOOKUP($B101,test!$A$3:$G$32,6,FALSE) &gt;= (test!$B$36+VLOOKUP(VLOOKUP($B101,test!$A$2:$I$32,4,FALSE),test!$J$24:$P$28,6,FALSE))/1440),1,0)</f>
        <v>0</v>
      </c>
      <c r="Q101" s="2">
        <f>IF(AND(VLOOKUP(Q$1,test!$A$3:$F$32,5,FALSE) - VLOOKUP($B101,test!$A$3:$G$32,6,FALSE) &gt;= (test!$B$36+VLOOKUP(VLOOKUP($B101,test!$A$2:$I$32,4,FALSE),test!$J$24:$P$28,6,FALSE))/1440),1,0)</f>
        <v>0</v>
      </c>
      <c r="R101" s="2">
        <f>IF(AND(VLOOKUP(R$1,test!$A$3:$F$32,5,FALSE) - VLOOKUP($B101,test!$A$3:$G$32,6,FALSE) &gt;= (test!$B$36+VLOOKUP(VLOOKUP($B101,test!$A$2:$I$32,4,FALSE),test!$J$24:$P$28,6,FALSE))/1440),1,0)</f>
        <v>0</v>
      </c>
      <c r="S101" s="2">
        <f>IF(AND(VLOOKUP(S$1,test!$A$3:$F$32,5,FALSE) - VLOOKUP($B101,test!$A$3:$G$32,6,FALSE) &gt;= (test!$B$36+VLOOKUP(VLOOKUP($B101,test!$A$2:$I$32,4,FALSE),test!$J$24:$P$28,6,FALSE))/1440),1,0)</f>
        <v>0</v>
      </c>
      <c r="T101" s="2">
        <f>IF(AND(VLOOKUP(T$1,test!$A$3:$F$32,5,FALSE) - VLOOKUP($B101,test!$A$3:$G$32,6,FALSE) &gt;= (test!$B$36+VLOOKUP(VLOOKUP($B101,test!$A$2:$I$32,4,FALSE),test!$J$24:$P$28,6,FALSE))/1440),1,0)</f>
        <v>0</v>
      </c>
      <c r="U101" s="2">
        <f>IF(AND(VLOOKUP(U$1,test!$A$3:$F$32,5,FALSE) - VLOOKUP($B101,test!$A$3:$G$32,6,FALSE) &gt;= (test!$B$36+VLOOKUP(VLOOKUP($B101,test!$A$2:$I$32,4,FALSE),test!$J$24:$P$28,6,FALSE))/1440),1,0)</f>
        <v>0</v>
      </c>
      <c r="V101" s="2">
        <f>IF(AND(VLOOKUP(V$1,test!$A$3:$F$32,5,FALSE) - VLOOKUP($B101,test!$A$3:$G$32,6,FALSE) &gt;= (test!$B$36+VLOOKUP(VLOOKUP($B101,test!$A$2:$I$32,4,FALSE),test!$J$24:$P$28,6,FALSE))/1440),1,0)</f>
        <v>0</v>
      </c>
      <c r="W101" s="2">
        <f>IF(AND(VLOOKUP(W$1,test!$A$3:$F$32,5,FALSE) - VLOOKUP($B101,test!$A$3:$G$32,6,FALSE) &gt;= (test!$B$36+VLOOKUP(VLOOKUP($B101,test!$A$2:$I$32,4,FALSE),test!$J$24:$P$28,6,FALSE))/1440),1,0)</f>
        <v>0</v>
      </c>
      <c r="X101" s="2">
        <f>IF(AND(VLOOKUP(X$1,test!$A$3:$F$32,5,FALSE) - VLOOKUP($B101,test!$A$3:$G$32,6,FALSE) &gt;= (test!$B$36+VLOOKUP(VLOOKUP($B101,test!$A$2:$I$32,4,FALSE),test!$J$24:$P$28,6,FALSE))/1440),1,0)</f>
        <v>0</v>
      </c>
      <c r="Y101" s="2">
        <f>IF(AND(VLOOKUP(Y$1,test!$A$3:$F$32,5,FALSE) - VLOOKUP($B101,test!$A$3:$G$32,6,FALSE) &gt;= (test!$B$36+VLOOKUP(VLOOKUP($B101,test!$A$2:$I$32,4,FALSE),test!$J$24:$P$28,6,FALSE))/1440),1,0)</f>
        <v>0</v>
      </c>
      <c r="Z101" s="2">
        <f>IF(AND(VLOOKUP(Z$1,test!$A$3:$F$32,5,FALSE) - VLOOKUP($B101,test!$A$3:$G$32,6,FALSE) &gt;= (test!$B$36+VLOOKUP(VLOOKUP($B101,test!$A$2:$I$32,4,FALSE),test!$J$24:$P$28,6,FALSE))/1440),1,0)</f>
        <v>0</v>
      </c>
      <c r="AA101" s="2">
        <f>IF(AND(VLOOKUP(AA$1,test!$A$3:$F$32,5,FALSE) - VLOOKUP($B101,test!$A$3:$G$32,6,FALSE) &gt;= (test!$B$36+VLOOKUP(VLOOKUP($B101,test!$A$2:$I$32,4,FALSE),test!$J$24:$P$28,6,FALSE))/1440),1,0)</f>
        <v>0</v>
      </c>
      <c r="AB101" s="2">
        <f>IF(AND(VLOOKUP(AB$1,test!$A$3:$F$32,5,FALSE) - VLOOKUP($B101,test!$A$3:$G$32,6,FALSE) &gt;= (test!$B$36+VLOOKUP(VLOOKUP($B101,test!$A$2:$I$32,4,FALSE),test!$J$24:$P$28,6,FALSE))/1440),1,0)</f>
        <v>0</v>
      </c>
      <c r="AC101" s="2">
        <f>IF(AND(VLOOKUP(AC$1,test!$A$3:$F$32,5,FALSE) - VLOOKUP($B101,test!$A$3:$G$32,6,FALSE) &gt;= (test!$B$36+VLOOKUP(VLOOKUP($B101,test!$A$2:$I$32,4,FALSE),test!$J$24:$P$28,6,FALSE))/1440),1,0)</f>
        <v>0</v>
      </c>
      <c r="AD101" s="2">
        <f>IF(AND(VLOOKUP(AD$1,test!$A$3:$F$32,5,FALSE) - VLOOKUP($B101,test!$A$3:$G$32,6,FALSE) &gt;= (test!$B$36+VLOOKUP(VLOOKUP($B101,test!$A$2:$I$32,4,FALSE),test!$J$24:$P$28,6,FALSE))/1440),1,0)</f>
        <v>0</v>
      </c>
      <c r="AE101" s="2">
        <f>IF(AND(VLOOKUP(AE$1,test!$A$3:$F$32,5,FALSE) - VLOOKUP($B101,test!$A$3:$G$32,6,FALSE) &gt;= (test!$B$36+VLOOKUP(VLOOKUP($B101,test!$A$2:$I$32,4,FALSE),test!$J$24:$P$28,6,FALSE))/1440),1,0)</f>
        <v>0</v>
      </c>
      <c r="AF101" s="2">
        <f>IF(AND(VLOOKUP(AF$1,test!$A$3:$F$32,5,FALSE) - VLOOKUP($B101,test!$A$3:$G$32,6,FALSE) &gt;= (test!$B$36+VLOOKUP(VLOOKUP($B101,test!$A$2:$I$32,4,FALSE),test!$J$24:$P$28,6,FALSE))/1440),1,0)</f>
        <v>0</v>
      </c>
      <c r="AG101" s="2">
        <f>IF(AND(VLOOKUP(AG$1,test!$A$3:$F$32,5,FALSE) - VLOOKUP($B101,test!$A$3:$G$32,6,FALSE) &gt;= (test!$B$36+VLOOKUP(VLOOKUP($B101,test!$A$2:$I$32,4,FALSE),test!$J$24:$P$28,6,FALSE))/1440),1,0)</f>
        <v>0</v>
      </c>
    </row>
    <row r="102" spans="1:33" x14ac:dyDescent="0.25">
      <c r="A102" t="s">
        <v>98</v>
      </c>
      <c r="B102" t="s">
        <v>14</v>
      </c>
      <c r="C102">
        <v>0</v>
      </c>
      <c r="D102" s="2">
        <f>IF(AND(VLOOKUP(D$1,test!$A$3:$F$32,5,FALSE) - VLOOKUP($B102,test!$A$3:$G$32,6,FALSE) &gt;= (test!$B$36+VLOOKUP(VLOOKUP($B102,test!$A$2:$I$32,4,FALSE),test!$J$24:$P$28,6,FALSE))/1440),1,0)</f>
        <v>0</v>
      </c>
      <c r="E102" s="2">
        <f>IF(AND(VLOOKUP(E$1,test!$A$3:$F$32,5,FALSE) - VLOOKUP($B102,test!$A$3:$G$32,6,FALSE) &gt;= (test!$B$36+VLOOKUP(VLOOKUP($B102,test!$A$2:$I$32,4,FALSE),test!$J$24:$P$28,6,FALSE))/1440),1,0)</f>
        <v>0</v>
      </c>
      <c r="F102" s="2">
        <f>IF(AND(VLOOKUP(F$1,test!$A$3:$F$32,5,FALSE) - VLOOKUP($B102,test!$A$3:$G$32,6,FALSE) &gt;= (test!$B$36+VLOOKUP(VLOOKUP($B102,test!$A$2:$I$32,4,FALSE),test!$J$24:$P$28,6,FALSE))/1440),1,0)</f>
        <v>0</v>
      </c>
      <c r="G102" s="2">
        <f>IF(AND(VLOOKUP(G$1,test!$A$3:$F$32,5,FALSE) - VLOOKUP($B102,test!$A$3:$G$32,6,FALSE) &gt;= (test!$B$36+VLOOKUP(VLOOKUP($B102,test!$A$2:$I$32,4,FALSE),test!$J$24:$P$28,6,FALSE))/1440),1,0)</f>
        <v>0</v>
      </c>
      <c r="H102" s="2">
        <f>IF(AND(VLOOKUP(H$1,test!$A$3:$F$32,5,FALSE) - VLOOKUP($B102,test!$A$3:$G$32,6,FALSE) &gt;= (test!$B$36+VLOOKUP(VLOOKUP($B102,test!$A$2:$I$32,4,FALSE),test!$J$24:$P$28,6,FALSE))/1440),1,0)</f>
        <v>0</v>
      </c>
      <c r="I102" s="2">
        <f>IF(AND(VLOOKUP(I$1,test!$A$3:$F$32,5,FALSE) - VLOOKUP($B102,test!$A$3:$G$32,6,FALSE) &gt;= (test!$B$36+VLOOKUP(VLOOKUP($B102,test!$A$2:$I$32,4,FALSE),test!$J$24:$P$28,6,FALSE))/1440),1,0)</f>
        <v>0</v>
      </c>
      <c r="J102" s="2">
        <f>IF(AND(VLOOKUP(J$1,test!$A$3:$F$32,5,FALSE) - VLOOKUP($B102,test!$A$3:$G$32,6,FALSE) &gt;= (test!$B$36+VLOOKUP(VLOOKUP($B102,test!$A$2:$I$32,4,FALSE),test!$J$24:$P$28,6,FALSE))/1440),1,0)</f>
        <v>0</v>
      </c>
      <c r="K102" s="2">
        <f>IF(AND(VLOOKUP(K$1,test!$A$3:$F$32,5,FALSE) - VLOOKUP($B102,test!$A$3:$G$32,6,FALSE) &gt;= (test!$B$36+VLOOKUP(VLOOKUP($B102,test!$A$2:$I$32,4,FALSE),test!$J$24:$P$28,6,FALSE))/1440),1,0)</f>
        <v>0</v>
      </c>
      <c r="L102" s="2">
        <f>IF(AND(VLOOKUP(L$1,test!$A$3:$F$32,5,FALSE) - VLOOKUP($B102,test!$A$3:$G$32,6,FALSE) &gt;= (test!$B$36+VLOOKUP(VLOOKUP($B102,test!$A$2:$I$32,4,FALSE),test!$J$24:$P$28,6,FALSE))/1440),1,0)</f>
        <v>0</v>
      </c>
      <c r="M102" s="2">
        <f>IF(AND(VLOOKUP(M$1,test!$A$3:$F$32,5,FALSE) - VLOOKUP($B102,test!$A$3:$G$32,6,FALSE) &gt;= (test!$B$36+VLOOKUP(VLOOKUP($B102,test!$A$2:$I$32,4,FALSE),test!$J$24:$P$28,6,FALSE))/1440),1,0)</f>
        <v>0</v>
      </c>
      <c r="N102" s="2">
        <f>IF(AND(VLOOKUP(N$1,test!$A$3:$F$32,5,FALSE) - VLOOKUP($B102,test!$A$3:$G$32,6,FALSE) &gt;= (test!$B$36+VLOOKUP(VLOOKUP($B102,test!$A$2:$I$32,4,FALSE),test!$J$24:$P$28,6,FALSE))/1440),1,0)</f>
        <v>0</v>
      </c>
      <c r="O102" s="2">
        <f>IF(AND(VLOOKUP(O$1,test!$A$3:$F$32,5,FALSE) - VLOOKUP($B102,test!$A$3:$G$32,6,FALSE) &gt;= (test!$B$36+VLOOKUP(VLOOKUP($B102,test!$A$2:$I$32,4,FALSE),test!$J$24:$P$28,6,FALSE))/1440),1,0)</f>
        <v>0</v>
      </c>
      <c r="P102" s="2">
        <f>IF(AND(VLOOKUP(P$1,test!$A$3:$F$32,5,FALSE) - VLOOKUP($B102,test!$A$3:$G$32,6,FALSE) &gt;= (test!$B$36+VLOOKUP(VLOOKUP($B102,test!$A$2:$I$32,4,FALSE),test!$J$24:$P$28,6,FALSE))/1440),1,0)</f>
        <v>0</v>
      </c>
      <c r="Q102" s="2">
        <f>IF(AND(VLOOKUP(Q$1,test!$A$3:$F$32,5,FALSE) - VLOOKUP($B102,test!$A$3:$G$32,6,FALSE) &gt;= (test!$B$36+VLOOKUP(VLOOKUP($B102,test!$A$2:$I$32,4,FALSE),test!$J$24:$P$28,6,FALSE))/1440),1,0)</f>
        <v>0</v>
      </c>
      <c r="R102" s="2">
        <f>IF(AND(VLOOKUP(R$1,test!$A$3:$F$32,5,FALSE) - VLOOKUP($B102,test!$A$3:$G$32,6,FALSE) &gt;= (test!$B$36+VLOOKUP(VLOOKUP($B102,test!$A$2:$I$32,4,FALSE),test!$J$24:$P$28,6,FALSE))/1440),1,0)</f>
        <v>0</v>
      </c>
      <c r="S102" s="2">
        <f>IF(AND(VLOOKUP(S$1,test!$A$3:$F$32,5,FALSE) - VLOOKUP($B102,test!$A$3:$G$32,6,FALSE) &gt;= (test!$B$36+VLOOKUP(VLOOKUP($B102,test!$A$2:$I$32,4,FALSE),test!$J$24:$P$28,6,FALSE))/1440),1,0)</f>
        <v>0</v>
      </c>
      <c r="T102" s="2">
        <f>IF(AND(VLOOKUP(T$1,test!$A$3:$F$32,5,FALSE) - VLOOKUP($B102,test!$A$3:$G$32,6,FALSE) &gt;= (test!$B$36+VLOOKUP(VLOOKUP($B102,test!$A$2:$I$32,4,FALSE),test!$J$24:$P$28,6,FALSE))/1440),1,0)</f>
        <v>0</v>
      </c>
      <c r="U102" s="2">
        <f>IF(AND(VLOOKUP(U$1,test!$A$3:$F$32,5,FALSE) - VLOOKUP($B102,test!$A$3:$G$32,6,FALSE) &gt;= (test!$B$36+VLOOKUP(VLOOKUP($B102,test!$A$2:$I$32,4,FALSE),test!$J$24:$P$28,6,FALSE))/1440),1,0)</f>
        <v>0</v>
      </c>
      <c r="V102" s="2">
        <f>IF(AND(VLOOKUP(V$1,test!$A$3:$F$32,5,FALSE) - VLOOKUP($B102,test!$A$3:$G$32,6,FALSE) &gt;= (test!$B$36+VLOOKUP(VLOOKUP($B102,test!$A$2:$I$32,4,FALSE),test!$J$24:$P$28,6,FALSE))/1440),1,0)</f>
        <v>0</v>
      </c>
      <c r="W102" s="2">
        <f>IF(AND(VLOOKUP(W$1,test!$A$3:$F$32,5,FALSE) - VLOOKUP($B102,test!$A$3:$G$32,6,FALSE) &gt;= (test!$B$36+VLOOKUP(VLOOKUP($B102,test!$A$2:$I$32,4,FALSE),test!$J$24:$P$28,6,FALSE))/1440),1,0)</f>
        <v>0</v>
      </c>
      <c r="X102" s="2">
        <f>IF(AND(VLOOKUP(X$1,test!$A$3:$F$32,5,FALSE) - VLOOKUP($B102,test!$A$3:$G$32,6,FALSE) &gt;= (test!$B$36+VLOOKUP(VLOOKUP($B102,test!$A$2:$I$32,4,FALSE),test!$J$24:$P$28,6,FALSE))/1440),1,0)</f>
        <v>0</v>
      </c>
      <c r="Y102" s="2">
        <f>IF(AND(VLOOKUP(Y$1,test!$A$3:$F$32,5,FALSE) - VLOOKUP($B102,test!$A$3:$G$32,6,FALSE) &gt;= (test!$B$36+VLOOKUP(VLOOKUP($B102,test!$A$2:$I$32,4,FALSE),test!$J$24:$P$28,6,FALSE))/1440),1,0)</f>
        <v>0</v>
      </c>
      <c r="Z102" s="2">
        <f>IF(AND(VLOOKUP(Z$1,test!$A$3:$F$32,5,FALSE) - VLOOKUP($B102,test!$A$3:$G$32,6,FALSE) &gt;= (test!$B$36+VLOOKUP(VLOOKUP($B102,test!$A$2:$I$32,4,FALSE),test!$J$24:$P$28,6,FALSE))/1440),1,0)</f>
        <v>0</v>
      </c>
      <c r="AA102" s="2">
        <f>IF(AND(VLOOKUP(AA$1,test!$A$3:$F$32,5,FALSE) - VLOOKUP($B102,test!$A$3:$G$32,6,FALSE) &gt;= (test!$B$36+VLOOKUP(VLOOKUP($B102,test!$A$2:$I$32,4,FALSE),test!$J$24:$P$28,6,FALSE))/1440),1,0)</f>
        <v>0</v>
      </c>
      <c r="AB102" s="2">
        <f>IF(AND(VLOOKUP(AB$1,test!$A$3:$F$32,5,FALSE) - VLOOKUP($B102,test!$A$3:$G$32,6,FALSE) &gt;= (test!$B$36+VLOOKUP(VLOOKUP($B102,test!$A$2:$I$32,4,FALSE),test!$J$24:$P$28,6,FALSE))/1440),1,0)</f>
        <v>0</v>
      </c>
      <c r="AC102" s="2">
        <f>IF(AND(VLOOKUP(AC$1,test!$A$3:$F$32,5,FALSE) - VLOOKUP($B102,test!$A$3:$G$32,6,FALSE) &gt;= (test!$B$36+VLOOKUP(VLOOKUP($B102,test!$A$2:$I$32,4,FALSE),test!$J$24:$P$28,6,FALSE))/1440),1,0)</f>
        <v>0</v>
      </c>
      <c r="AD102" s="2">
        <f>IF(AND(VLOOKUP(AD$1,test!$A$3:$F$32,5,FALSE) - VLOOKUP($B102,test!$A$3:$G$32,6,FALSE) &gt;= (test!$B$36+VLOOKUP(VLOOKUP($B102,test!$A$2:$I$32,4,FALSE),test!$J$24:$P$28,6,FALSE))/1440),1,0)</f>
        <v>0</v>
      </c>
      <c r="AE102" s="2">
        <f>IF(AND(VLOOKUP(AE$1,test!$A$3:$F$32,5,FALSE) - VLOOKUP($B102,test!$A$3:$G$32,6,FALSE) &gt;= (test!$B$36+VLOOKUP(VLOOKUP($B102,test!$A$2:$I$32,4,FALSE),test!$J$24:$P$28,6,FALSE))/1440),1,0)</f>
        <v>0</v>
      </c>
      <c r="AF102" s="2">
        <f>IF(AND(VLOOKUP(AF$1,test!$A$3:$F$32,5,FALSE) - VLOOKUP($B102,test!$A$3:$G$32,6,FALSE) &gt;= (test!$B$36+VLOOKUP(VLOOKUP($B102,test!$A$2:$I$32,4,FALSE),test!$J$24:$P$28,6,FALSE))/1440),1,0)</f>
        <v>0</v>
      </c>
      <c r="AG102" s="2">
        <f>IF(AND(VLOOKUP(AG$1,test!$A$3:$F$32,5,FALSE) - VLOOKUP($B102,test!$A$3:$G$32,6,FALSE) &gt;= (test!$B$36+VLOOKUP(VLOOKUP($B102,test!$A$2:$I$32,4,FALSE),test!$J$24:$P$28,6,FALSE))/1440),1,0)</f>
        <v>0</v>
      </c>
    </row>
    <row r="103" spans="1:33" x14ac:dyDescent="0.25">
      <c r="A103" t="s">
        <v>98</v>
      </c>
      <c r="B103" t="s">
        <v>15</v>
      </c>
      <c r="C103">
        <v>0</v>
      </c>
      <c r="D103" s="2">
        <f>IF(AND(VLOOKUP(D$1,test!$A$3:$F$32,5,FALSE) - VLOOKUP($B103,test!$A$3:$G$32,6,FALSE) &gt;= (test!$B$36+VLOOKUP(VLOOKUP($B103,test!$A$2:$I$32,4,FALSE),test!$J$24:$P$28,6,FALSE))/1440),1,0)</f>
        <v>0</v>
      </c>
      <c r="E103" s="2">
        <f>IF(AND(VLOOKUP(E$1,test!$A$3:$F$32,5,FALSE) - VLOOKUP($B103,test!$A$3:$G$32,6,FALSE) &gt;= (test!$B$36+VLOOKUP(VLOOKUP($B103,test!$A$2:$I$32,4,FALSE),test!$J$24:$P$28,6,FALSE))/1440),1,0)</f>
        <v>0</v>
      </c>
      <c r="F103" s="2">
        <f>IF(AND(VLOOKUP(F$1,test!$A$3:$F$32,5,FALSE) - VLOOKUP($B103,test!$A$3:$G$32,6,FALSE) &gt;= (test!$B$36+VLOOKUP(VLOOKUP($B103,test!$A$2:$I$32,4,FALSE),test!$J$24:$P$28,6,FALSE))/1440),1,0)</f>
        <v>0</v>
      </c>
      <c r="G103" s="2">
        <f>IF(AND(VLOOKUP(G$1,test!$A$3:$F$32,5,FALSE) - VLOOKUP($B103,test!$A$3:$G$32,6,FALSE) &gt;= (test!$B$36+VLOOKUP(VLOOKUP($B103,test!$A$2:$I$32,4,FALSE),test!$J$24:$P$28,6,FALSE))/1440),1,0)</f>
        <v>0</v>
      </c>
      <c r="H103" s="2">
        <f>IF(AND(VLOOKUP(H$1,test!$A$3:$F$32,5,FALSE) - VLOOKUP($B103,test!$A$3:$G$32,6,FALSE) &gt;= (test!$B$36+VLOOKUP(VLOOKUP($B103,test!$A$2:$I$32,4,FALSE),test!$J$24:$P$28,6,FALSE))/1440),1,0)</f>
        <v>0</v>
      </c>
      <c r="I103" s="2">
        <f>IF(AND(VLOOKUP(I$1,test!$A$3:$F$32,5,FALSE) - VLOOKUP($B103,test!$A$3:$G$32,6,FALSE) &gt;= (test!$B$36+VLOOKUP(VLOOKUP($B103,test!$A$2:$I$32,4,FALSE),test!$J$24:$P$28,6,FALSE))/1440),1,0)</f>
        <v>0</v>
      </c>
      <c r="J103" s="2">
        <f>IF(AND(VLOOKUP(J$1,test!$A$3:$F$32,5,FALSE) - VLOOKUP($B103,test!$A$3:$G$32,6,FALSE) &gt;= (test!$B$36+VLOOKUP(VLOOKUP($B103,test!$A$2:$I$32,4,FALSE),test!$J$24:$P$28,6,FALSE))/1440),1,0)</f>
        <v>0</v>
      </c>
      <c r="K103" s="2">
        <f>IF(AND(VLOOKUP(K$1,test!$A$3:$F$32,5,FALSE) - VLOOKUP($B103,test!$A$3:$G$32,6,FALSE) &gt;= (test!$B$36+VLOOKUP(VLOOKUP($B103,test!$A$2:$I$32,4,FALSE),test!$J$24:$P$28,6,FALSE))/1440),1,0)</f>
        <v>0</v>
      </c>
      <c r="L103" s="2">
        <f>IF(AND(VLOOKUP(L$1,test!$A$3:$F$32,5,FALSE) - VLOOKUP($B103,test!$A$3:$G$32,6,FALSE) &gt;= (test!$B$36+VLOOKUP(VLOOKUP($B103,test!$A$2:$I$32,4,FALSE),test!$J$24:$P$28,6,FALSE))/1440),1,0)</f>
        <v>0</v>
      </c>
      <c r="M103" s="2">
        <f>IF(AND(VLOOKUP(M$1,test!$A$3:$F$32,5,FALSE) - VLOOKUP($B103,test!$A$3:$G$32,6,FALSE) &gt;= (test!$B$36+VLOOKUP(VLOOKUP($B103,test!$A$2:$I$32,4,FALSE),test!$J$24:$P$28,6,FALSE))/1440),1,0)</f>
        <v>0</v>
      </c>
      <c r="N103" s="2">
        <f>IF(AND(VLOOKUP(N$1,test!$A$3:$F$32,5,FALSE) - VLOOKUP($B103,test!$A$3:$G$32,6,FALSE) &gt;= (test!$B$36+VLOOKUP(VLOOKUP($B103,test!$A$2:$I$32,4,FALSE),test!$J$24:$P$28,6,FALSE))/1440),1,0)</f>
        <v>0</v>
      </c>
      <c r="O103" s="2">
        <f>IF(AND(VLOOKUP(O$1,test!$A$3:$F$32,5,FALSE) - VLOOKUP($B103,test!$A$3:$G$32,6,FALSE) &gt;= (test!$B$36+VLOOKUP(VLOOKUP($B103,test!$A$2:$I$32,4,FALSE),test!$J$24:$P$28,6,FALSE))/1440),1,0)</f>
        <v>0</v>
      </c>
      <c r="P103" s="2">
        <f>IF(AND(VLOOKUP(P$1,test!$A$3:$F$32,5,FALSE) - VLOOKUP($B103,test!$A$3:$G$32,6,FALSE) &gt;= (test!$B$36+VLOOKUP(VLOOKUP($B103,test!$A$2:$I$32,4,FALSE),test!$J$24:$P$28,6,FALSE))/1440),1,0)</f>
        <v>0</v>
      </c>
      <c r="Q103" s="2">
        <f>IF(AND(VLOOKUP(Q$1,test!$A$3:$F$32,5,FALSE) - VLOOKUP($B103,test!$A$3:$G$32,6,FALSE) &gt;= (test!$B$36+VLOOKUP(VLOOKUP($B103,test!$A$2:$I$32,4,FALSE),test!$J$24:$P$28,6,FALSE))/1440),1,0)</f>
        <v>0</v>
      </c>
      <c r="R103" s="2">
        <f>IF(AND(VLOOKUP(R$1,test!$A$3:$F$32,5,FALSE) - VLOOKUP($B103,test!$A$3:$G$32,6,FALSE) &gt;= (test!$B$36+VLOOKUP(VLOOKUP($B103,test!$A$2:$I$32,4,FALSE),test!$J$24:$P$28,6,FALSE))/1440),1,0)</f>
        <v>0</v>
      </c>
      <c r="S103" s="2">
        <f>IF(AND(VLOOKUP(S$1,test!$A$3:$F$32,5,FALSE) - VLOOKUP($B103,test!$A$3:$G$32,6,FALSE) &gt;= (test!$B$36+VLOOKUP(VLOOKUP($B103,test!$A$2:$I$32,4,FALSE),test!$J$24:$P$28,6,FALSE))/1440),1,0)</f>
        <v>0</v>
      </c>
      <c r="T103" s="2">
        <f>IF(AND(VLOOKUP(T$1,test!$A$3:$F$32,5,FALSE) - VLOOKUP($B103,test!$A$3:$G$32,6,FALSE) &gt;= (test!$B$36+VLOOKUP(VLOOKUP($B103,test!$A$2:$I$32,4,FALSE),test!$J$24:$P$28,6,FALSE))/1440),1,0)</f>
        <v>0</v>
      </c>
      <c r="U103" s="2">
        <f>IF(AND(VLOOKUP(U$1,test!$A$3:$F$32,5,FALSE) - VLOOKUP($B103,test!$A$3:$G$32,6,FALSE) &gt;= (test!$B$36+VLOOKUP(VLOOKUP($B103,test!$A$2:$I$32,4,FALSE),test!$J$24:$P$28,6,FALSE))/1440),1,0)</f>
        <v>0</v>
      </c>
      <c r="V103" s="2">
        <f>IF(AND(VLOOKUP(V$1,test!$A$3:$F$32,5,FALSE) - VLOOKUP($B103,test!$A$3:$G$32,6,FALSE) &gt;= (test!$B$36+VLOOKUP(VLOOKUP($B103,test!$A$2:$I$32,4,FALSE),test!$J$24:$P$28,6,FALSE))/1440),1,0)</f>
        <v>0</v>
      </c>
      <c r="W103" s="2">
        <f>IF(AND(VLOOKUP(W$1,test!$A$3:$F$32,5,FALSE) - VLOOKUP($B103,test!$A$3:$G$32,6,FALSE) &gt;= (test!$B$36+VLOOKUP(VLOOKUP($B103,test!$A$2:$I$32,4,FALSE),test!$J$24:$P$28,6,FALSE))/1440),1,0)</f>
        <v>0</v>
      </c>
      <c r="X103" s="2">
        <f>IF(AND(VLOOKUP(X$1,test!$A$3:$F$32,5,FALSE) - VLOOKUP($B103,test!$A$3:$G$32,6,FALSE) &gt;= (test!$B$36+VLOOKUP(VLOOKUP($B103,test!$A$2:$I$32,4,FALSE),test!$J$24:$P$28,6,FALSE))/1440),1,0)</f>
        <v>0</v>
      </c>
      <c r="Y103" s="2">
        <f>IF(AND(VLOOKUP(Y$1,test!$A$3:$F$32,5,FALSE) - VLOOKUP($B103,test!$A$3:$G$32,6,FALSE) &gt;= (test!$B$36+VLOOKUP(VLOOKUP($B103,test!$A$2:$I$32,4,FALSE),test!$J$24:$P$28,6,FALSE))/1440),1,0)</f>
        <v>0</v>
      </c>
      <c r="Z103" s="2">
        <f>IF(AND(VLOOKUP(Z$1,test!$A$3:$F$32,5,FALSE) - VLOOKUP($B103,test!$A$3:$G$32,6,FALSE) &gt;= (test!$B$36+VLOOKUP(VLOOKUP($B103,test!$A$2:$I$32,4,FALSE),test!$J$24:$P$28,6,FALSE))/1440),1,0)</f>
        <v>0</v>
      </c>
      <c r="AA103" s="2">
        <f>IF(AND(VLOOKUP(AA$1,test!$A$3:$F$32,5,FALSE) - VLOOKUP($B103,test!$A$3:$G$32,6,FALSE) &gt;= (test!$B$36+VLOOKUP(VLOOKUP($B103,test!$A$2:$I$32,4,FALSE),test!$J$24:$P$28,6,FALSE))/1440),1,0)</f>
        <v>0</v>
      </c>
      <c r="AB103" s="2">
        <f>IF(AND(VLOOKUP(AB$1,test!$A$3:$F$32,5,FALSE) - VLOOKUP($B103,test!$A$3:$G$32,6,FALSE) &gt;= (test!$B$36+VLOOKUP(VLOOKUP($B103,test!$A$2:$I$32,4,FALSE),test!$J$24:$P$28,6,FALSE))/1440),1,0)</f>
        <v>0</v>
      </c>
      <c r="AC103" s="2">
        <f>IF(AND(VLOOKUP(AC$1,test!$A$3:$F$32,5,FALSE) - VLOOKUP($B103,test!$A$3:$G$32,6,FALSE) &gt;= (test!$B$36+VLOOKUP(VLOOKUP($B103,test!$A$2:$I$32,4,FALSE),test!$J$24:$P$28,6,FALSE))/1440),1,0)</f>
        <v>0</v>
      </c>
      <c r="AD103" s="2">
        <f>IF(AND(VLOOKUP(AD$1,test!$A$3:$F$32,5,FALSE) - VLOOKUP($B103,test!$A$3:$G$32,6,FALSE) &gt;= (test!$B$36+VLOOKUP(VLOOKUP($B103,test!$A$2:$I$32,4,FALSE),test!$J$24:$P$28,6,FALSE))/1440),1,0)</f>
        <v>0</v>
      </c>
      <c r="AE103" s="2">
        <f>IF(AND(VLOOKUP(AE$1,test!$A$3:$F$32,5,FALSE) - VLOOKUP($B103,test!$A$3:$G$32,6,FALSE) &gt;= (test!$B$36+VLOOKUP(VLOOKUP($B103,test!$A$2:$I$32,4,FALSE),test!$J$24:$P$28,6,FALSE))/1440),1,0)</f>
        <v>0</v>
      </c>
      <c r="AF103" s="2">
        <f>IF(AND(VLOOKUP(AF$1,test!$A$3:$F$32,5,FALSE) - VLOOKUP($B103,test!$A$3:$G$32,6,FALSE) &gt;= (test!$B$36+VLOOKUP(VLOOKUP($B103,test!$A$2:$I$32,4,FALSE),test!$J$24:$P$28,6,FALSE))/1440),1,0)</f>
        <v>0</v>
      </c>
      <c r="AG103" s="2">
        <f>IF(AND(VLOOKUP(AG$1,test!$A$3:$F$32,5,FALSE) - VLOOKUP($B103,test!$A$3:$G$32,6,FALSE) &gt;= (test!$B$36+VLOOKUP(VLOOKUP($B103,test!$A$2:$I$32,4,FALSE),test!$J$24:$P$28,6,FALSE))/1440),1,0)</f>
        <v>0</v>
      </c>
    </row>
    <row r="104" spans="1:33" x14ac:dyDescent="0.25">
      <c r="A104" t="s">
        <v>98</v>
      </c>
      <c r="B104" t="s">
        <v>18</v>
      </c>
      <c r="C104">
        <v>0</v>
      </c>
      <c r="D104" s="2">
        <f>IF(AND(VLOOKUP(D$1,test!$A$3:$F$32,5,FALSE) - VLOOKUP($B104,test!$A$3:$G$32,6,FALSE) &gt;= (test!$B$36+VLOOKUP(VLOOKUP($B104,test!$A$2:$I$32,4,FALSE),test!$J$24:$P$28,6,FALSE))/1440),1,0)</f>
        <v>0</v>
      </c>
      <c r="E104" s="2">
        <f>IF(AND(VLOOKUP(E$1,test!$A$3:$F$32,5,FALSE) - VLOOKUP($B104,test!$A$3:$G$32,6,FALSE) &gt;= (test!$B$36+VLOOKUP(VLOOKUP($B104,test!$A$2:$I$32,4,FALSE),test!$J$24:$P$28,6,FALSE))/1440),1,0)</f>
        <v>0</v>
      </c>
      <c r="F104" s="2">
        <f>IF(AND(VLOOKUP(F$1,test!$A$3:$F$32,5,FALSE) - VLOOKUP($B104,test!$A$3:$G$32,6,FALSE) &gt;= (test!$B$36+VLOOKUP(VLOOKUP($B104,test!$A$2:$I$32,4,FALSE),test!$J$24:$P$28,6,FALSE))/1440),1,0)</f>
        <v>1</v>
      </c>
      <c r="G104" s="2">
        <f>IF(AND(VLOOKUP(G$1,test!$A$3:$F$32,5,FALSE) - VLOOKUP($B104,test!$A$3:$G$32,6,FALSE) &gt;= (test!$B$36+VLOOKUP(VLOOKUP($B104,test!$A$2:$I$32,4,FALSE),test!$J$24:$P$28,6,FALSE))/1440),1,0)</f>
        <v>1</v>
      </c>
      <c r="H104" s="2">
        <f>IF(AND(VLOOKUP(H$1,test!$A$3:$F$32,5,FALSE) - VLOOKUP($B104,test!$A$3:$G$32,6,FALSE) &gt;= (test!$B$36+VLOOKUP(VLOOKUP($B104,test!$A$2:$I$32,4,FALSE),test!$J$24:$P$28,6,FALSE))/1440),1,0)</f>
        <v>1</v>
      </c>
      <c r="I104" s="2">
        <f>IF(AND(VLOOKUP(I$1,test!$A$3:$F$32,5,FALSE) - VLOOKUP($B104,test!$A$3:$G$32,6,FALSE) &gt;= (test!$B$36+VLOOKUP(VLOOKUP($B104,test!$A$2:$I$32,4,FALSE),test!$J$24:$P$28,6,FALSE))/1440),1,0)</f>
        <v>1</v>
      </c>
      <c r="J104" s="2">
        <f>IF(AND(VLOOKUP(J$1,test!$A$3:$F$32,5,FALSE) - VLOOKUP($B104,test!$A$3:$G$32,6,FALSE) &gt;= (test!$B$36+VLOOKUP(VLOOKUP($B104,test!$A$2:$I$32,4,FALSE),test!$J$24:$P$28,6,FALSE))/1440),1,0)</f>
        <v>1</v>
      </c>
      <c r="K104" s="2">
        <f>IF(AND(VLOOKUP(K$1,test!$A$3:$F$32,5,FALSE) - VLOOKUP($B104,test!$A$3:$G$32,6,FALSE) &gt;= (test!$B$36+VLOOKUP(VLOOKUP($B104,test!$A$2:$I$32,4,FALSE),test!$J$24:$P$28,6,FALSE))/1440),1,0)</f>
        <v>1</v>
      </c>
      <c r="L104" s="2">
        <f>IF(AND(VLOOKUP(L$1,test!$A$3:$F$32,5,FALSE) - VLOOKUP($B104,test!$A$3:$G$32,6,FALSE) &gt;= (test!$B$36+VLOOKUP(VLOOKUP($B104,test!$A$2:$I$32,4,FALSE),test!$J$24:$P$28,6,FALSE))/1440),1,0)</f>
        <v>0</v>
      </c>
      <c r="M104" s="2">
        <f>IF(AND(VLOOKUP(M$1,test!$A$3:$F$32,5,FALSE) - VLOOKUP($B104,test!$A$3:$G$32,6,FALSE) &gt;= (test!$B$36+VLOOKUP(VLOOKUP($B104,test!$A$2:$I$32,4,FALSE),test!$J$24:$P$28,6,FALSE))/1440),1,0)</f>
        <v>0</v>
      </c>
      <c r="N104" s="2">
        <f>IF(AND(VLOOKUP(N$1,test!$A$3:$F$32,5,FALSE) - VLOOKUP($B104,test!$A$3:$G$32,6,FALSE) &gt;= (test!$B$36+VLOOKUP(VLOOKUP($B104,test!$A$2:$I$32,4,FALSE),test!$J$24:$P$28,6,FALSE))/1440),1,0)</f>
        <v>1</v>
      </c>
      <c r="O104" s="2">
        <f>IF(AND(VLOOKUP(O$1,test!$A$3:$F$32,5,FALSE) - VLOOKUP($B104,test!$A$3:$G$32,6,FALSE) &gt;= (test!$B$36+VLOOKUP(VLOOKUP($B104,test!$A$2:$I$32,4,FALSE),test!$J$24:$P$28,6,FALSE))/1440),1,0)</f>
        <v>1</v>
      </c>
      <c r="P104" s="2">
        <f>IF(AND(VLOOKUP(P$1,test!$A$3:$F$32,5,FALSE) - VLOOKUP($B104,test!$A$3:$G$32,6,FALSE) &gt;= (test!$B$36+VLOOKUP(VLOOKUP($B104,test!$A$2:$I$32,4,FALSE),test!$J$24:$P$28,6,FALSE))/1440),1,0)</f>
        <v>1</v>
      </c>
      <c r="Q104" s="2">
        <f>IF(AND(VLOOKUP(Q$1,test!$A$3:$F$32,5,FALSE) - VLOOKUP($B104,test!$A$3:$G$32,6,FALSE) &gt;= (test!$B$36+VLOOKUP(VLOOKUP($B104,test!$A$2:$I$32,4,FALSE),test!$J$24:$P$28,6,FALSE))/1440),1,0)</f>
        <v>0</v>
      </c>
      <c r="R104" s="2">
        <f>IF(AND(VLOOKUP(R$1,test!$A$3:$F$32,5,FALSE) - VLOOKUP($B104,test!$A$3:$G$32,6,FALSE) &gt;= (test!$B$36+VLOOKUP(VLOOKUP($B104,test!$A$2:$I$32,4,FALSE),test!$J$24:$P$28,6,FALSE))/1440),1,0)</f>
        <v>0</v>
      </c>
      <c r="S104" s="2">
        <f>IF(AND(VLOOKUP(S$1,test!$A$3:$F$32,5,FALSE) - VLOOKUP($B104,test!$A$3:$G$32,6,FALSE) &gt;= (test!$B$36+VLOOKUP(VLOOKUP($B104,test!$A$2:$I$32,4,FALSE),test!$J$24:$P$28,6,FALSE))/1440),1,0)</f>
        <v>0</v>
      </c>
      <c r="T104" s="2">
        <f>IF(AND(VLOOKUP(T$1,test!$A$3:$F$32,5,FALSE) - VLOOKUP($B104,test!$A$3:$G$32,6,FALSE) &gt;= (test!$B$36+VLOOKUP(VLOOKUP($B104,test!$A$2:$I$32,4,FALSE),test!$J$24:$P$28,6,FALSE))/1440),1,0)</f>
        <v>0</v>
      </c>
      <c r="U104" s="2">
        <f>IF(AND(VLOOKUP(U$1,test!$A$3:$F$32,5,FALSE) - VLOOKUP($B104,test!$A$3:$G$32,6,FALSE) &gt;= (test!$B$36+VLOOKUP(VLOOKUP($B104,test!$A$2:$I$32,4,FALSE),test!$J$24:$P$28,6,FALSE))/1440),1,0)</f>
        <v>1</v>
      </c>
      <c r="V104" s="2">
        <f>IF(AND(VLOOKUP(V$1,test!$A$3:$F$32,5,FALSE) - VLOOKUP($B104,test!$A$3:$G$32,6,FALSE) &gt;= (test!$B$36+VLOOKUP(VLOOKUP($B104,test!$A$2:$I$32,4,FALSE),test!$J$24:$P$28,6,FALSE))/1440),1,0)</f>
        <v>1</v>
      </c>
      <c r="W104" s="2">
        <f>IF(AND(VLOOKUP(W$1,test!$A$3:$F$32,5,FALSE) - VLOOKUP($B104,test!$A$3:$G$32,6,FALSE) &gt;= (test!$B$36+VLOOKUP(VLOOKUP($B104,test!$A$2:$I$32,4,FALSE),test!$J$24:$P$28,6,FALSE))/1440),1,0)</f>
        <v>1</v>
      </c>
      <c r="X104" s="2">
        <f>IF(AND(VLOOKUP(X$1,test!$A$3:$F$32,5,FALSE) - VLOOKUP($B104,test!$A$3:$G$32,6,FALSE) &gt;= (test!$B$36+VLOOKUP(VLOOKUP($B104,test!$A$2:$I$32,4,FALSE),test!$J$24:$P$28,6,FALSE))/1440),1,0)</f>
        <v>1</v>
      </c>
      <c r="Y104" s="2">
        <f>IF(AND(VLOOKUP(Y$1,test!$A$3:$F$32,5,FALSE) - VLOOKUP($B104,test!$A$3:$G$32,6,FALSE) &gt;= (test!$B$36+VLOOKUP(VLOOKUP($B104,test!$A$2:$I$32,4,FALSE),test!$J$24:$P$28,6,FALSE))/1440),1,0)</f>
        <v>1</v>
      </c>
      <c r="Z104" s="2">
        <f>IF(AND(VLOOKUP(Z$1,test!$A$3:$F$32,5,FALSE) - VLOOKUP($B104,test!$A$3:$G$32,6,FALSE) &gt;= (test!$B$36+VLOOKUP(VLOOKUP($B104,test!$A$2:$I$32,4,FALSE),test!$J$24:$P$28,6,FALSE))/1440),1,0)</f>
        <v>0</v>
      </c>
      <c r="AA104" s="2">
        <f>IF(AND(VLOOKUP(AA$1,test!$A$3:$F$32,5,FALSE) - VLOOKUP($B104,test!$A$3:$G$32,6,FALSE) &gt;= (test!$B$36+VLOOKUP(VLOOKUP($B104,test!$A$2:$I$32,4,FALSE),test!$J$24:$P$28,6,FALSE))/1440),1,0)</f>
        <v>0</v>
      </c>
      <c r="AB104" s="2">
        <f>IF(AND(VLOOKUP(AB$1,test!$A$3:$F$32,5,FALSE) - VLOOKUP($B104,test!$A$3:$G$32,6,FALSE) &gt;= (test!$B$36+VLOOKUP(VLOOKUP($B104,test!$A$2:$I$32,4,FALSE),test!$J$24:$P$28,6,FALSE))/1440),1,0)</f>
        <v>1</v>
      </c>
      <c r="AC104" s="2">
        <f>IF(AND(VLOOKUP(AC$1,test!$A$3:$F$32,5,FALSE) - VLOOKUP($B104,test!$A$3:$G$32,6,FALSE) &gt;= (test!$B$36+VLOOKUP(VLOOKUP($B104,test!$A$2:$I$32,4,FALSE),test!$J$24:$P$28,6,FALSE))/1440),1,0)</f>
        <v>1</v>
      </c>
      <c r="AD104" s="2">
        <f>IF(AND(VLOOKUP(AD$1,test!$A$3:$F$32,5,FALSE) - VLOOKUP($B104,test!$A$3:$G$32,6,FALSE) &gt;= (test!$B$36+VLOOKUP(VLOOKUP($B104,test!$A$2:$I$32,4,FALSE),test!$J$24:$P$28,6,FALSE))/1440),1,0)</f>
        <v>1</v>
      </c>
      <c r="AE104" s="2">
        <f>IF(AND(VLOOKUP(AE$1,test!$A$3:$F$32,5,FALSE) - VLOOKUP($B104,test!$A$3:$G$32,6,FALSE) &gt;= (test!$B$36+VLOOKUP(VLOOKUP($B104,test!$A$2:$I$32,4,FALSE),test!$J$24:$P$28,6,FALSE))/1440),1,0)</f>
        <v>0</v>
      </c>
      <c r="AF104" s="2">
        <f>IF(AND(VLOOKUP(AF$1,test!$A$3:$F$32,5,FALSE) - VLOOKUP($B104,test!$A$3:$G$32,6,FALSE) &gt;= (test!$B$36+VLOOKUP(VLOOKUP($B104,test!$A$2:$I$32,4,FALSE),test!$J$24:$P$28,6,FALSE))/1440),1,0)</f>
        <v>1</v>
      </c>
      <c r="AG104" s="2">
        <f>IF(AND(VLOOKUP(AG$1,test!$A$3:$F$32,5,FALSE) - VLOOKUP($B104,test!$A$3:$G$32,6,FALSE) &gt;= (test!$B$36+VLOOKUP(VLOOKUP($B104,test!$A$2:$I$32,4,FALSE),test!$J$24:$P$28,6,FALSE))/1440),1,0)</f>
        <v>1</v>
      </c>
    </row>
    <row r="105" spans="1:33" x14ac:dyDescent="0.25">
      <c r="A105" t="s">
        <v>98</v>
      </c>
      <c r="B105" t="s">
        <v>20</v>
      </c>
      <c r="C105">
        <v>0</v>
      </c>
      <c r="D105" s="2">
        <f>IF(AND(VLOOKUP(D$1,test!$A$3:$F$32,5,FALSE) - VLOOKUP($B105,test!$A$3:$G$32,6,FALSE) &gt;= (test!$B$36+VLOOKUP(VLOOKUP($B105,test!$A$2:$I$32,4,FALSE),test!$J$24:$P$28,6,FALSE))/1440),1,0)</f>
        <v>0</v>
      </c>
      <c r="E105" s="2">
        <f>IF(AND(VLOOKUP(E$1,test!$A$3:$F$32,5,FALSE) - VLOOKUP($B105,test!$A$3:$G$32,6,FALSE) &gt;= (test!$B$36+VLOOKUP(VLOOKUP($B105,test!$A$2:$I$32,4,FALSE),test!$J$24:$P$28,6,FALSE))/1440),1,0)</f>
        <v>0</v>
      </c>
      <c r="F105" s="2">
        <f>IF(AND(VLOOKUP(F$1,test!$A$3:$F$32,5,FALSE) - VLOOKUP($B105,test!$A$3:$G$32,6,FALSE) &gt;= (test!$B$36+VLOOKUP(VLOOKUP($B105,test!$A$2:$I$32,4,FALSE),test!$J$24:$P$28,6,FALSE))/1440),1,0)</f>
        <v>0</v>
      </c>
      <c r="G105" s="2">
        <f>IF(AND(VLOOKUP(G$1,test!$A$3:$F$32,5,FALSE) - VLOOKUP($B105,test!$A$3:$G$32,6,FALSE) &gt;= (test!$B$36+VLOOKUP(VLOOKUP($B105,test!$A$2:$I$32,4,FALSE),test!$J$24:$P$28,6,FALSE))/1440),1,0)</f>
        <v>1</v>
      </c>
      <c r="H105" s="2">
        <f>IF(AND(VLOOKUP(H$1,test!$A$3:$F$32,5,FALSE) - VLOOKUP($B105,test!$A$3:$G$32,6,FALSE) &gt;= (test!$B$36+VLOOKUP(VLOOKUP($B105,test!$A$2:$I$32,4,FALSE),test!$J$24:$P$28,6,FALSE))/1440),1,0)</f>
        <v>1</v>
      </c>
      <c r="I105" s="2">
        <f>IF(AND(VLOOKUP(I$1,test!$A$3:$F$32,5,FALSE) - VLOOKUP($B105,test!$A$3:$G$32,6,FALSE) &gt;= (test!$B$36+VLOOKUP(VLOOKUP($B105,test!$A$2:$I$32,4,FALSE),test!$J$24:$P$28,6,FALSE))/1440),1,0)</f>
        <v>1</v>
      </c>
      <c r="J105" s="2">
        <f>IF(AND(VLOOKUP(J$1,test!$A$3:$F$32,5,FALSE) - VLOOKUP($B105,test!$A$3:$G$32,6,FALSE) &gt;= (test!$B$36+VLOOKUP(VLOOKUP($B105,test!$A$2:$I$32,4,FALSE),test!$J$24:$P$28,6,FALSE))/1440),1,0)</f>
        <v>1</v>
      </c>
      <c r="K105" s="2">
        <f>IF(AND(VLOOKUP(K$1,test!$A$3:$F$32,5,FALSE) - VLOOKUP($B105,test!$A$3:$G$32,6,FALSE) &gt;= (test!$B$36+VLOOKUP(VLOOKUP($B105,test!$A$2:$I$32,4,FALSE),test!$J$24:$P$28,6,FALSE))/1440),1,0)</f>
        <v>1</v>
      </c>
      <c r="L105" s="2">
        <f>IF(AND(VLOOKUP(L$1,test!$A$3:$F$32,5,FALSE) - VLOOKUP($B105,test!$A$3:$G$32,6,FALSE) &gt;= (test!$B$36+VLOOKUP(VLOOKUP($B105,test!$A$2:$I$32,4,FALSE),test!$J$24:$P$28,6,FALSE))/1440),1,0)</f>
        <v>0</v>
      </c>
      <c r="M105" s="2">
        <f>IF(AND(VLOOKUP(M$1,test!$A$3:$F$32,5,FALSE) - VLOOKUP($B105,test!$A$3:$G$32,6,FALSE) &gt;= (test!$B$36+VLOOKUP(VLOOKUP($B105,test!$A$2:$I$32,4,FALSE),test!$J$24:$P$28,6,FALSE))/1440),1,0)</f>
        <v>0</v>
      </c>
      <c r="N105" s="2">
        <f>IF(AND(VLOOKUP(N$1,test!$A$3:$F$32,5,FALSE) - VLOOKUP($B105,test!$A$3:$G$32,6,FALSE) &gt;= (test!$B$36+VLOOKUP(VLOOKUP($B105,test!$A$2:$I$32,4,FALSE),test!$J$24:$P$28,6,FALSE))/1440),1,0)</f>
        <v>0</v>
      </c>
      <c r="O105" s="2">
        <f>IF(AND(VLOOKUP(O$1,test!$A$3:$F$32,5,FALSE) - VLOOKUP($B105,test!$A$3:$G$32,6,FALSE) &gt;= (test!$B$36+VLOOKUP(VLOOKUP($B105,test!$A$2:$I$32,4,FALSE),test!$J$24:$P$28,6,FALSE))/1440),1,0)</f>
        <v>1</v>
      </c>
      <c r="P105" s="2">
        <f>IF(AND(VLOOKUP(P$1,test!$A$3:$F$32,5,FALSE) - VLOOKUP($B105,test!$A$3:$G$32,6,FALSE) &gt;= (test!$B$36+VLOOKUP(VLOOKUP($B105,test!$A$2:$I$32,4,FALSE),test!$J$24:$P$28,6,FALSE))/1440),1,0)</f>
        <v>1</v>
      </c>
      <c r="Q105" s="2">
        <f>IF(AND(VLOOKUP(Q$1,test!$A$3:$F$32,5,FALSE) - VLOOKUP($B105,test!$A$3:$G$32,6,FALSE) &gt;= (test!$B$36+VLOOKUP(VLOOKUP($B105,test!$A$2:$I$32,4,FALSE),test!$J$24:$P$28,6,FALSE))/1440),1,0)</f>
        <v>0</v>
      </c>
      <c r="R105" s="2">
        <f>IF(AND(VLOOKUP(R$1,test!$A$3:$F$32,5,FALSE) - VLOOKUP($B105,test!$A$3:$G$32,6,FALSE) &gt;= (test!$B$36+VLOOKUP(VLOOKUP($B105,test!$A$2:$I$32,4,FALSE),test!$J$24:$P$28,6,FALSE))/1440),1,0)</f>
        <v>0</v>
      </c>
      <c r="S105" s="2">
        <f>IF(AND(VLOOKUP(S$1,test!$A$3:$F$32,5,FALSE) - VLOOKUP($B105,test!$A$3:$G$32,6,FALSE) &gt;= (test!$B$36+VLOOKUP(VLOOKUP($B105,test!$A$2:$I$32,4,FALSE),test!$J$24:$P$28,6,FALSE))/1440),1,0)</f>
        <v>0</v>
      </c>
      <c r="T105" s="2">
        <f>IF(AND(VLOOKUP(T$1,test!$A$3:$F$32,5,FALSE) - VLOOKUP($B105,test!$A$3:$G$32,6,FALSE) &gt;= (test!$B$36+VLOOKUP(VLOOKUP($B105,test!$A$2:$I$32,4,FALSE),test!$J$24:$P$28,6,FALSE))/1440),1,0)</f>
        <v>0</v>
      </c>
      <c r="U105" s="2">
        <f>IF(AND(VLOOKUP(U$1,test!$A$3:$F$32,5,FALSE) - VLOOKUP($B105,test!$A$3:$G$32,6,FALSE) &gt;= (test!$B$36+VLOOKUP(VLOOKUP($B105,test!$A$2:$I$32,4,FALSE),test!$J$24:$P$28,6,FALSE))/1440),1,0)</f>
        <v>0</v>
      </c>
      <c r="V105" s="2">
        <f>IF(AND(VLOOKUP(V$1,test!$A$3:$F$32,5,FALSE) - VLOOKUP($B105,test!$A$3:$G$32,6,FALSE) &gt;= (test!$B$36+VLOOKUP(VLOOKUP($B105,test!$A$2:$I$32,4,FALSE),test!$J$24:$P$28,6,FALSE))/1440),1,0)</f>
        <v>1</v>
      </c>
      <c r="W105" s="2">
        <f>IF(AND(VLOOKUP(W$1,test!$A$3:$F$32,5,FALSE) - VLOOKUP($B105,test!$A$3:$G$32,6,FALSE) &gt;= (test!$B$36+VLOOKUP(VLOOKUP($B105,test!$A$2:$I$32,4,FALSE),test!$J$24:$P$28,6,FALSE))/1440),1,0)</f>
        <v>1</v>
      </c>
      <c r="X105" s="2">
        <f>IF(AND(VLOOKUP(X$1,test!$A$3:$F$32,5,FALSE) - VLOOKUP($B105,test!$A$3:$G$32,6,FALSE) &gt;= (test!$B$36+VLOOKUP(VLOOKUP($B105,test!$A$2:$I$32,4,FALSE),test!$J$24:$P$28,6,FALSE))/1440),1,0)</f>
        <v>1</v>
      </c>
      <c r="Y105" s="2">
        <f>IF(AND(VLOOKUP(Y$1,test!$A$3:$F$32,5,FALSE) - VLOOKUP($B105,test!$A$3:$G$32,6,FALSE) &gt;= (test!$B$36+VLOOKUP(VLOOKUP($B105,test!$A$2:$I$32,4,FALSE),test!$J$24:$P$28,6,FALSE))/1440),1,0)</f>
        <v>1</v>
      </c>
      <c r="Z105" s="2">
        <f>IF(AND(VLOOKUP(Z$1,test!$A$3:$F$32,5,FALSE) - VLOOKUP($B105,test!$A$3:$G$32,6,FALSE) &gt;= (test!$B$36+VLOOKUP(VLOOKUP($B105,test!$A$2:$I$32,4,FALSE),test!$J$24:$P$28,6,FALSE))/1440),1,0)</f>
        <v>0</v>
      </c>
      <c r="AA105" s="2">
        <f>IF(AND(VLOOKUP(AA$1,test!$A$3:$F$32,5,FALSE) - VLOOKUP($B105,test!$A$3:$G$32,6,FALSE) &gt;= (test!$B$36+VLOOKUP(VLOOKUP($B105,test!$A$2:$I$32,4,FALSE),test!$J$24:$P$28,6,FALSE))/1440),1,0)</f>
        <v>0</v>
      </c>
      <c r="AB105" s="2">
        <f>IF(AND(VLOOKUP(AB$1,test!$A$3:$F$32,5,FALSE) - VLOOKUP($B105,test!$A$3:$G$32,6,FALSE) &gt;= (test!$B$36+VLOOKUP(VLOOKUP($B105,test!$A$2:$I$32,4,FALSE),test!$J$24:$P$28,6,FALSE))/1440),1,0)</f>
        <v>0</v>
      </c>
      <c r="AC105" s="2">
        <f>IF(AND(VLOOKUP(AC$1,test!$A$3:$F$32,5,FALSE) - VLOOKUP($B105,test!$A$3:$G$32,6,FALSE) &gt;= (test!$B$36+VLOOKUP(VLOOKUP($B105,test!$A$2:$I$32,4,FALSE),test!$J$24:$P$28,6,FALSE))/1440),1,0)</f>
        <v>1</v>
      </c>
      <c r="AD105" s="2">
        <f>IF(AND(VLOOKUP(AD$1,test!$A$3:$F$32,5,FALSE) - VLOOKUP($B105,test!$A$3:$G$32,6,FALSE) &gt;= (test!$B$36+VLOOKUP(VLOOKUP($B105,test!$A$2:$I$32,4,FALSE),test!$J$24:$P$28,6,FALSE))/1440),1,0)</f>
        <v>1</v>
      </c>
      <c r="AE105" s="2">
        <f>IF(AND(VLOOKUP(AE$1,test!$A$3:$F$32,5,FALSE) - VLOOKUP($B105,test!$A$3:$G$32,6,FALSE) &gt;= (test!$B$36+VLOOKUP(VLOOKUP($B105,test!$A$2:$I$32,4,FALSE),test!$J$24:$P$28,6,FALSE))/1440),1,0)</f>
        <v>0</v>
      </c>
      <c r="AF105" s="2">
        <f>IF(AND(VLOOKUP(AF$1,test!$A$3:$F$32,5,FALSE) - VLOOKUP($B105,test!$A$3:$G$32,6,FALSE) &gt;= (test!$B$36+VLOOKUP(VLOOKUP($B105,test!$A$2:$I$32,4,FALSE),test!$J$24:$P$28,6,FALSE))/1440),1,0)</f>
        <v>0</v>
      </c>
      <c r="AG105" s="2">
        <f>IF(AND(VLOOKUP(AG$1,test!$A$3:$F$32,5,FALSE) - VLOOKUP($B105,test!$A$3:$G$32,6,FALSE) &gt;= (test!$B$36+VLOOKUP(VLOOKUP($B105,test!$A$2:$I$32,4,FALSE),test!$J$24:$P$28,6,FALSE))/1440),1,0)</f>
        <v>0</v>
      </c>
    </row>
    <row r="106" spans="1:33" x14ac:dyDescent="0.25">
      <c r="A106" t="s">
        <v>98</v>
      </c>
      <c r="B106" t="s">
        <v>21</v>
      </c>
      <c r="C106">
        <v>0</v>
      </c>
      <c r="D106" s="2">
        <f>IF(AND(VLOOKUP(D$1,test!$A$3:$F$32,5,FALSE) - VLOOKUP($B106,test!$A$3:$G$32,6,FALSE) &gt;= (test!$B$36+VLOOKUP(VLOOKUP($B106,test!$A$2:$I$32,4,FALSE),test!$J$24:$P$28,6,FALSE))/1440),1,0)</f>
        <v>0</v>
      </c>
      <c r="E106" s="2">
        <f>IF(AND(VLOOKUP(E$1,test!$A$3:$F$32,5,FALSE) - VLOOKUP($B106,test!$A$3:$G$32,6,FALSE) &gt;= (test!$B$36+VLOOKUP(VLOOKUP($B106,test!$A$2:$I$32,4,FALSE),test!$J$24:$P$28,6,FALSE))/1440),1,0)</f>
        <v>0</v>
      </c>
      <c r="F106" s="2">
        <f>IF(AND(VLOOKUP(F$1,test!$A$3:$F$32,5,FALSE) - VLOOKUP($B106,test!$A$3:$G$32,6,FALSE) &gt;= (test!$B$36+VLOOKUP(VLOOKUP($B106,test!$A$2:$I$32,4,FALSE),test!$J$24:$P$28,6,FALSE))/1440),1,0)</f>
        <v>0</v>
      </c>
      <c r="G106" s="2">
        <f>IF(AND(VLOOKUP(G$1,test!$A$3:$F$32,5,FALSE) - VLOOKUP($B106,test!$A$3:$G$32,6,FALSE) &gt;= (test!$B$36+VLOOKUP(VLOOKUP($B106,test!$A$2:$I$32,4,FALSE),test!$J$24:$P$28,6,FALSE))/1440),1,0)</f>
        <v>0</v>
      </c>
      <c r="H106" s="2">
        <f>IF(AND(VLOOKUP(H$1,test!$A$3:$F$32,5,FALSE) - VLOOKUP($B106,test!$A$3:$G$32,6,FALSE) &gt;= (test!$B$36+VLOOKUP(VLOOKUP($B106,test!$A$2:$I$32,4,FALSE),test!$J$24:$P$28,6,FALSE))/1440),1,0)</f>
        <v>0</v>
      </c>
      <c r="I106" s="2">
        <f>IF(AND(VLOOKUP(I$1,test!$A$3:$F$32,5,FALSE) - VLOOKUP($B106,test!$A$3:$G$32,6,FALSE) &gt;= (test!$B$36+VLOOKUP(VLOOKUP($B106,test!$A$2:$I$32,4,FALSE),test!$J$24:$P$28,6,FALSE))/1440),1,0)</f>
        <v>1</v>
      </c>
      <c r="J106" s="2">
        <f>IF(AND(VLOOKUP(J$1,test!$A$3:$F$32,5,FALSE) - VLOOKUP($B106,test!$A$3:$G$32,6,FALSE) &gt;= (test!$B$36+VLOOKUP(VLOOKUP($B106,test!$A$2:$I$32,4,FALSE),test!$J$24:$P$28,6,FALSE))/1440),1,0)</f>
        <v>1</v>
      </c>
      <c r="K106" s="2">
        <f>IF(AND(VLOOKUP(K$1,test!$A$3:$F$32,5,FALSE) - VLOOKUP($B106,test!$A$3:$G$32,6,FALSE) &gt;= (test!$B$36+VLOOKUP(VLOOKUP($B106,test!$A$2:$I$32,4,FALSE),test!$J$24:$P$28,6,FALSE))/1440),1,0)</f>
        <v>1</v>
      </c>
      <c r="L106" s="2">
        <f>IF(AND(VLOOKUP(L$1,test!$A$3:$F$32,5,FALSE) - VLOOKUP($B106,test!$A$3:$G$32,6,FALSE) &gt;= (test!$B$36+VLOOKUP(VLOOKUP($B106,test!$A$2:$I$32,4,FALSE),test!$J$24:$P$28,6,FALSE))/1440),1,0)</f>
        <v>0</v>
      </c>
      <c r="M106" s="2">
        <f>IF(AND(VLOOKUP(M$1,test!$A$3:$F$32,5,FALSE) - VLOOKUP($B106,test!$A$3:$G$32,6,FALSE) &gt;= (test!$B$36+VLOOKUP(VLOOKUP($B106,test!$A$2:$I$32,4,FALSE),test!$J$24:$P$28,6,FALSE))/1440),1,0)</f>
        <v>0</v>
      </c>
      <c r="N106" s="2">
        <f>IF(AND(VLOOKUP(N$1,test!$A$3:$F$32,5,FALSE) - VLOOKUP($B106,test!$A$3:$G$32,6,FALSE) &gt;= (test!$B$36+VLOOKUP(VLOOKUP($B106,test!$A$2:$I$32,4,FALSE),test!$J$24:$P$28,6,FALSE))/1440),1,0)</f>
        <v>0</v>
      </c>
      <c r="O106" s="2">
        <f>IF(AND(VLOOKUP(O$1,test!$A$3:$F$32,5,FALSE) - VLOOKUP($B106,test!$A$3:$G$32,6,FALSE) &gt;= (test!$B$36+VLOOKUP(VLOOKUP($B106,test!$A$2:$I$32,4,FALSE),test!$J$24:$P$28,6,FALSE))/1440),1,0)</f>
        <v>1</v>
      </c>
      <c r="P106" s="2">
        <f>IF(AND(VLOOKUP(P$1,test!$A$3:$F$32,5,FALSE) - VLOOKUP($B106,test!$A$3:$G$32,6,FALSE) &gt;= (test!$B$36+VLOOKUP(VLOOKUP($B106,test!$A$2:$I$32,4,FALSE),test!$J$24:$P$28,6,FALSE))/1440),1,0)</f>
        <v>1</v>
      </c>
      <c r="Q106" s="2">
        <f>IF(AND(VLOOKUP(Q$1,test!$A$3:$F$32,5,FALSE) - VLOOKUP($B106,test!$A$3:$G$32,6,FALSE) &gt;= (test!$B$36+VLOOKUP(VLOOKUP($B106,test!$A$2:$I$32,4,FALSE),test!$J$24:$P$28,6,FALSE))/1440),1,0)</f>
        <v>0</v>
      </c>
      <c r="R106" s="2">
        <f>IF(AND(VLOOKUP(R$1,test!$A$3:$F$32,5,FALSE) - VLOOKUP($B106,test!$A$3:$G$32,6,FALSE) &gt;= (test!$B$36+VLOOKUP(VLOOKUP($B106,test!$A$2:$I$32,4,FALSE),test!$J$24:$P$28,6,FALSE))/1440),1,0)</f>
        <v>0</v>
      </c>
      <c r="S106" s="2">
        <f>IF(AND(VLOOKUP(S$1,test!$A$3:$F$32,5,FALSE) - VLOOKUP($B106,test!$A$3:$G$32,6,FALSE) &gt;= (test!$B$36+VLOOKUP(VLOOKUP($B106,test!$A$2:$I$32,4,FALSE),test!$J$24:$P$28,6,FALSE))/1440),1,0)</f>
        <v>0</v>
      </c>
      <c r="T106" s="2">
        <f>IF(AND(VLOOKUP(T$1,test!$A$3:$F$32,5,FALSE) - VLOOKUP($B106,test!$A$3:$G$32,6,FALSE) &gt;= (test!$B$36+VLOOKUP(VLOOKUP($B106,test!$A$2:$I$32,4,FALSE),test!$J$24:$P$28,6,FALSE))/1440),1,0)</f>
        <v>0</v>
      </c>
      <c r="U106" s="2">
        <f>IF(AND(VLOOKUP(U$1,test!$A$3:$F$32,5,FALSE) - VLOOKUP($B106,test!$A$3:$G$32,6,FALSE) &gt;= (test!$B$36+VLOOKUP(VLOOKUP($B106,test!$A$2:$I$32,4,FALSE),test!$J$24:$P$28,6,FALSE))/1440),1,0)</f>
        <v>0</v>
      </c>
      <c r="V106" s="2">
        <f>IF(AND(VLOOKUP(V$1,test!$A$3:$F$32,5,FALSE) - VLOOKUP($B106,test!$A$3:$G$32,6,FALSE) &gt;= (test!$B$36+VLOOKUP(VLOOKUP($B106,test!$A$2:$I$32,4,FALSE),test!$J$24:$P$28,6,FALSE))/1440),1,0)</f>
        <v>0</v>
      </c>
      <c r="W106" s="2">
        <f>IF(AND(VLOOKUP(W$1,test!$A$3:$F$32,5,FALSE) - VLOOKUP($B106,test!$A$3:$G$32,6,FALSE) &gt;= (test!$B$36+VLOOKUP(VLOOKUP($B106,test!$A$2:$I$32,4,FALSE),test!$J$24:$P$28,6,FALSE))/1440),1,0)</f>
        <v>0</v>
      </c>
      <c r="X106" s="2">
        <f>IF(AND(VLOOKUP(X$1,test!$A$3:$F$32,5,FALSE) - VLOOKUP($B106,test!$A$3:$G$32,6,FALSE) &gt;= (test!$B$36+VLOOKUP(VLOOKUP($B106,test!$A$2:$I$32,4,FALSE),test!$J$24:$P$28,6,FALSE))/1440),1,0)</f>
        <v>1</v>
      </c>
      <c r="Y106" s="2">
        <f>IF(AND(VLOOKUP(Y$1,test!$A$3:$F$32,5,FALSE) - VLOOKUP($B106,test!$A$3:$G$32,6,FALSE) &gt;= (test!$B$36+VLOOKUP(VLOOKUP($B106,test!$A$2:$I$32,4,FALSE),test!$J$24:$P$28,6,FALSE))/1440),1,0)</f>
        <v>1</v>
      </c>
      <c r="Z106" s="2">
        <f>IF(AND(VLOOKUP(Z$1,test!$A$3:$F$32,5,FALSE) - VLOOKUP($B106,test!$A$3:$G$32,6,FALSE) &gt;= (test!$B$36+VLOOKUP(VLOOKUP($B106,test!$A$2:$I$32,4,FALSE),test!$J$24:$P$28,6,FALSE))/1440),1,0)</f>
        <v>0</v>
      </c>
      <c r="AA106" s="2">
        <f>IF(AND(VLOOKUP(AA$1,test!$A$3:$F$32,5,FALSE) - VLOOKUP($B106,test!$A$3:$G$32,6,FALSE) &gt;= (test!$B$36+VLOOKUP(VLOOKUP($B106,test!$A$2:$I$32,4,FALSE),test!$J$24:$P$28,6,FALSE))/1440),1,0)</f>
        <v>0</v>
      </c>
      <c r="AB106" s="2">
        <f>IF(AND(VLOOKUP(AB$1,test!$A$3:$F$32,5,FALSE) - VLOOKUP($B106,test!$A$3:$G$32,6,FALSE) &gt;= (test!$B$36+VLOOKUP(VLOOKUP($B106,test!$A$2:$I$32,4,FALSE),test!$J$24:$P$28,6,FALSE))/1440),1,0)</f>
        <v>0</v>
      </c>
      <c r="AC106" s="2">
        <f>IF(AND(VLOOKUP(AC$1,test!$A$3:$F$32,5,FALSE) - VLOOKUP($B106,test!$A$3:$G$32,6,FALSE) &gt;= (test!$B$36+VLOOKUP(VLOOKUP($B106,test!$A$2:$I$32,4,FALSE),test!$J$24:$P$28,6,FALSE))/1440),1,0)</f>
        <v>0</v>
      </c>
      <c r="AD106" s="2">
        <f>IF(AND(VLOOKUP(AD$1,test!$A$3:$F$32,5,FALSE) - VLOOKUP($B106,test!$A$3:$G$32,6,FALSE) &gt;= (test!$B$36+VLOOKUP(VLOOKUP($B106,test!$A$2:$I$32,4,FALSE),test!$J$24:$P$28,6,FALSE))/1440),1,0)</f>
        <v>1</v>
      </c>
      <c r="AE106" s="2">
        <f>IF(AND(VLOOKUP(AE$1,test!$A$3:$F$32,5,FALSE) - VLOOKUP($B106,test!$A$3:$G$32,6,FALSE) &gt;= (test!$B$36+VLOOKUP(VLOOKUP($B106,test!$A$2:$I$32,4,FALSE),test!$J$24:$P$28,6,FALSE))/1440),1,0)</f>
        <v>0</v>
      </c>
      <c r="AF106" s="2">
        <f>IF(AND(VLOOKUP(AF$1,test!$A$3:$F$32,5,FALSE) - VLOOKUP($B106,test!$A$3:$G$32,6,FALSE) &gt;= (test!$B$36+VLOOKUP(VLOOKUP($B106,test!$A$2:$I$32,4,FALSE),test!$J$24:$P$28,6,FALSE))/1440),1,0)</f>
        <v>0</v>
      </c>
      <c r="AG106" s="2">
        <f>IF(AND(VLOOKUP(AG$1,test!$A$3:$F$32,5,FALSE) - VLOOKUP($B106,test!$A$3:$G$32,6,FALSE) &gt;= (test!$B$36+VLOOKUP(VLOOKUP($B106,test!$A$2:$I$32,4,FALSE),test!$J$24:$P$28,6,FALSE))/1440),1,0)</f>
        <v>0</v>
      </c>
    </row>
    <row r="107" spans="1:33" x14ac:dyDescent="0.25">
      <c r="A107" t="s">
        <v>98</v>
      </c>
      <c r="B107" t="s">
        <v>22</v>
      </c>
      <c r="C107">
        <v>0</v>
      </c>
      <c r="D107" s="2">
        <f>IF(AND(VLOOKUP(D$1,test!$A$3:$F$32,5,FALSE) - VLOOKUP($B107,test!$A$3:$G$32,6,FALSE) &gt;= (test!$B$36+VLOOKUP(VLOOKUP($B107,test!$A$2:$I$32,4,FALSE),test!$J$24:$P$28,6,FALSE))/1440),1,0)</f>
        <v>0</v>
      </c>
      <c r="E107" s="2">
        <f>IF(AND(VLOOKUP(E$1,test!$A$3:$F$32,5,FALSE) - VLOOKUP($B107,test!$A$3:$G$32,6,FALSE) &gt;= (test!$B$36+VLOOKUP(VLOOKUP($B107,test!$A$2:$I$32,4,FALSE),test!$J$24:$P$28,6,FALSE))/1440),1,0)</f>
        <v>0</v>
      </c>
      <c r="F107" s="2">
        <f>IF(AND(VLOOKUP(F$1,test!$A$3:$F$32,5,FALSE) - VLOOKUP($B107,test!$A$3:$G$32,6,FALSE) &gt;= (test!$B$36+VLOOKUP(VLOOKUP($B107,test!$A$2:$I$32,4,FALSE),test!$J$24:$P$28,6,FALSE))/1440),1,0)</f>
        <v>0</v>
      </c>
      <c r="G107" s="2">
        <f>IF(AND(VLOOKUP(G$1,test!$A$3:$F$32,5,FALSE) - VLOOKUP($B107,test!$A$3:$G$32,6,FALSE) &gt;= (test!$B$36+VLOOKUP(VLOOKUP($B107,test!$A$2:$I$32,4,FALSE),test!$J$24:$P$28,6,FALSE))/1440),1,0)</f>
        <v>0</v>
      </c>
      <c r="H107" s="2">
        <f>IF(AND(VLOOKUP(H$1,test!$A$3:$F$32,5,FALSE) - VLOOKUP($B107,test!$A$3:$G$32,6,FALSE) &gt;= (test!$B$36+VLOOKUP(VLOOKUP($B107,test!$A$2:$I$32,4,FALSE),test!$J$24:$P$28,6,FALSE))/1440),1,0)</f>
        <v>0</v>
      </c>
      <c r="I107" s="2">
        <f>IF(AND(VLOOKUP(I$1,test!$A$3:$F$32,5,FALSE) - VLOOKUP($B107,test!$A$3:$G$32,6,FALSE) &gt;= (test!$B$36+VLOOKUP(VLOOKUP($B107,test!$A$2:$I$32,4,FALSE),test!$J$24:$P$28,6,FALSE))/1440),1,0)</f>
        <v>0</v>
      </c>
      <c r="J107" s="2">
        <f>IF(AND(VLOOKUP(J$1,test!$A$3:$F$32,5,FALSE) - VLOOKUP($B107,test!$A$3:$G$32,6,FALSE) &gt;= (test!$B$36+VLOOKUP(VLOOKUP($B107,test!$A$2:$I$32,4,FALSE),test!$J$24:$P$28,6,FALSE))/1440),1,0)</f>
        <v>0</v>
      </c>
      <c r="K107" s="2">
        <f>IF(AND(VLOOKUP(K$1,test!$A$3:$F$32,5,FALSE) - VLOOKUP($B107,test!$A$3:$G$32,6,FALSE) &gt;= (test!$B$36+VLOOKUP(VLOOKUP($B107,test!$A$2:$I$32,4,FALSE),test!$J$24:$P$28,6,FALSE))/1440),1,0)</f>
        <v>0</v>
      </c>
      <c r="L107" s="2">
        <f>IF(AND(VLOOKUP(L$1,test!$A$3:$F$32,5,FALSE) - VLOOKUP($B107,test!$A$3:$G$32,6,FALSE) &gt;= (test!$B$36+VLOOKUP(VLOOKUP($B107,test!$A$2:$I$32,4,FALSE),test!$J$24:$P$28,6,FALSE))/1440),1,0)</f>
        <v>0</v>
      </c>
      <c r="M107" s="2">
        <f>IF(AND(VLOOKUP(M$1,test!$A$3:$F$32,5,FALSE) - VLOOKUP($B107,test!$A$3:$G$32,6,FALSE) &gt;= (test!$B$36+VLOOKUP(VLOOKUP($B107,test!$A$2:$I$32,4,FALSE),test!$J$24:$P$28,6,FALSE))/1440),1,0)</f>
        <v>0</v>
      </c>
      <c r="N107" s="2">
        <f>IF(AND(VLOOKUP(N$1,test!$A$3:$F$32,5,FALSE) - VLOOKUP($B107,test!$A$3:$G$32,6,FALSE) &gt;= (test!$B$36+VLOOKUP(VLOOKUP($B107,test!$A$2:$I$32,4,FALSE),test!$J$24:$P$28,6,FALSE))/1440),1,0)</f>
        <v>0</v>
      </c>
      <c r="O107" s="2">
        <f>IF(AND(VLOOKUP(O$1,test!$A$3:$F$32,5,FALSE) - VLOOKUP($B107,test!$A$3:$G$32,6,FALSE) &gt;= (test!$B$36+VLOOKUP(VLOOKUP($B107,test!$A$2:$I$32,4,FALSE),test!$J$24:$P$28,6,FALSE))/1440),1,0)</f>
        <v>0</v>
      </c>
      <c r="P107" s="2">
        <f>IF(AND(VLOOKUP(P$1,test!$A$3:$F$32,5,FALSE) - VLOOKUP($B107,test!$A$3:$G$32,6,FALSE) &gt;= (test!$B$36+VLOOKUP(VLOOKUP($B107,test!$A$2:$I$32,4,FALSE),test!$J$24:$P$28,6,FALSE))/1440),1,0)</f>
        <v>0</v>
      </c>
      <c r="Q107" s="2">
        <f>IF(AND(VLOOKUP(Q$1,test!$A$3:$F$32,5,FALSE) - VLOOKUP($B107,test!$A$3:$G$32,6,FALSE) &gt;= (test!$B$36+VLOOKUP(VLOOKUP($B107,test!$A$2:$I$32,4,FALSE),test!$J$24:$P$28,6,FALSE))/1440),1,0)</f>
        <v>0</v>
      </c>
      <c r="R107" s="2">
        <f>IF(AND(VLOOKUP(R$1,test!$A$3:$F$32,5,FALSE) - VLOOKUP($B107,test!$A$3:$G$32,6,FALSE) &gt;= (test!$B$36+VLOOKUP(VLOOKUP($B107,test!$A$2:$I$32,4,FALSE),test!$J$24:$P$28,6,FALSE))/1440),1,0)</f>
        <v>0</v>
      </c>
      <c r="S107" s="2">
        <f>IF(AND(VLOOKUP(S$1,test!$A$3:$F$32,5,FALSE) - VLOOKUP($B107,test!$A$3:$G$32,6,FALSE) &gt;= (test!$B$36+VLOOKUP(VLOOKUP($B107,test!$A$2:$I$32,4,FALSE),test!$J$24:$P$28,6,FALSE))/1440),1,0)</f>
        <v>0</v>
      </c>
      <c r="T107" s="2">
        <f>IF(AND(VLOOKUP(T$1,test!$A$3:$F$32,5,FALSE) - VLOOKUP($B107,test!$A$3:$G$32,6,FALSE) &gt;= (test!$B$36+VLOOKUP(VLOOKUP($B107,test!$A$2:$I$32,4,FALSE),test!$J$24:$P$28,6,FALSE))/1440),1,0)</f>
        <v>0</v>
      </c>
      <c r="U107" s="2">
        <f>IF(AND(VLOOKUP(U$1,test!$A$3:$F$32,5,FALSE) - VLOOKUP($B107,test!$A$3:$G$32,6,FALSE) &gt;= (test!$B$36+VLOOKUP(VLOOKUP($B107,test!$A$2:$I$32,4,FALSE),test!$J$24:$P$28,6,FALSE))/1440),1,0)</f>
        <v>0</v>
      </c>
      <c r="V107" s="2">
        <f>IF(AND(VLOOKUP(V$1,test!$A$3:$F$32,5,FALSE) - VLOOKUP($B107,test!$A$3:$G$32,6,FALSE) &gt;= (test!$B$36+VLOOKUP(VLOOKUP($B107,test!$A$2:$I$32,4,FALSE),test!$J$24:$P$28,6,FALSE))/1440),1,0)</f>
        <v>0</v>
      </c>
      <c r="W107" s="2">
        <f>IF(AND(VLOOKUP(W$1,test!$A$3:$F$32,5,FALSE) - VLOOKUP($B107,test!$A$3:$G$32,6,FALSE) &gt;= (test!$B$36+VLOOKUP(VLOOKUP($B107,test!$A$2:$I$32,4,FALSE),test!$J$24:$P$28,6,FALSE))/1440),1,0)</f>
        <v>0</v>
      </c>
      <c r="X107" s="2">
        <f>IF(AND(VLOOKUP(X$1,test!$A$3:$F$32,5,FALSE) - VLOOKUP($B107,test!$A$3:$G$32,6,FALSE) &gt;= (test!$B$36+VLOOKUP(VLOOKUP($B107,test!$A$2:$I$32,4,FALSE),test!$J$24:$P$28,6,FALSE))/1440),1,0)</f>
        <v>0</v>
      </c>
      <c r="Y107" s="2">
        <f>IF(AND(VLOOKUP(Y$1,test!$A$3:$F$32,5,FALSE) - VLOOKUP($B107,test!$A$3:$G$32,6,FALSE) &gt;= (test!$B$36+VLOOKUP(VLOOKUP($B107,test!$A$2:$I$32,4,FALSE),test!$J$24:$P$28,6,FALSE))/1440),1,0)</f>
        <v>0</v>
      </c>
      <c r="Z107" s="2">
        <f>IF(AND(VLOOKUP(Z$1,test!$A$3:$F$32,5,FALSE) - VLOOKUP($B107,test!$A$3:$G$32,6,FALSE) &gt;= (test!$B$36+VLOOKUP(VLOOKUP($B107,test!$A$2:$I$32,4,FALSE),test!$J$24:$P$28,6,FALSE))/1440),1,0)</f>
        <v>0</v>
      </c>
      <c r="AA107" s="2">
        <f>IF(AND(VLOOKUP(AA$1,test!$A$3:$F$32,5,FALSE) - VLOOKUP($B107,test!$A$3:$G$32,6,FALSE) &gt;= (test!$B$36+VLOOKUP(VLOOKUP($B107,test!$A$2:$I$32,4,FALSE),test!$J$24:$P$28,6,FALSE))/1440),1,0)</f>
        <v>0</v>
      </c>
      <c r="AB107" s="2">
        <f>IF(AND(VLOOKUP(AB$1,test!$A$3:$F$32,5,FALSE) - VLOOKUP($B107,test!$A$3:$G$32,6,FALSE) &gt;= (test!$B$36+VLOOKUP(VLOOKUP($B107,test!$A$2:$I$32,4,FALSE),test!$J$24:$P$28,6,FALSE))/1440),1,0)</f>
        <v>0</v>
      </c>
      <c r="AC107" s="2">
        <f>IF(AND(VLOOKUP(AC$1,test!$A$3:$F$32,5,FALSE) - VLOOKUP($B107,test!$A$3:$G$32,6,FALSE) &gt;= (test!$B$36+VLOOKUP(VLOOKUP($B107,test!$A$2:$I$32,4,FALSE),test!$J$24:$P$28,6,FALSE))/1440),1,0)</f>
        <v>0</v>
      </c>
      <c r="AD107" s="2">
        <f>IF(AND(VLOOKUP(AD$1,test!$A$3:$F$32,5,FALSE) - VLOOKUP($B107,test!$A$3:$G$32,6,FALSE) &gt;= (test!$B$36+VLOOKUP(VLOOKUP($B107,test!$A$2:$I$32,4,FALSE),test!$J$24:$P$28,6,FALSE))/1440),1,0)</f>
        <v>0</v>
      </c>
      <c r="AE107" s="2">
        <f>IF(AND(VLOOKUP(AE$1,test!$A$3:$F$32,5,FALSE) - VLOOKUP($B107,test!$A$3:$G$32,6,FALSE) &gt;= (test!$B$36+VLOOKUP(VLOOKUP($B107,test!$A$2:$I$32,4,FALSE),test!$J$24:$P$28,6,FALSE))/1440),1,0)</f>
        <v>0</v>
      </c>
      <c r="AF107" s="2">
        <f>IF(AND(VLOOKUP(AF$1,test!$A$3:$F$32,5,FALSE) - VLOOKUP($B107,test!$A$3:$G$32,6,FALSE) &gt;= (test!$B$36+VLOOKUP(VLOOKUP($B107,test!$A$2:$I$32,4,FALSE),test!$J$24:$P$28,6,FALSE))/1440),1,0)</f>
        <v>0</v>
      </c>
      <c r="AG107" s="2">
        <f>IF(AND(VLOOKUP(AG$1,test!$A$3:$F$32,5,FALSE) - VLOOKUP($B107,test!$A$3:$G$32,6,FALSE) &gt;= (test!$B$36+VLOOKUP(VLOOKUP($B107,test!$A$2:$I$32,4,FALSE),test!$J$24:$P$28,6,FALSE))/1440),1,0)</f>
        <v>0</v>
      </c>
    </row>
    <row r="108" spans="1:33" x14ac:dyDescent="0.25">
      <c r="A108" t="s">
        <v>98</v>
      </c>
      <c r="B108" t="s">
        <v>23</v>
      </c>
      <c r="C108">
        <v>0</v>
      </c>
      <c r="D108" s="2">
        <f>IF(AND(VLOOKUP(D$1,test!$A$3:$F$32,5,FALSE) - VLOOKUP($B108,test!$A$3:$G$32,6,FALSE) &gt;= (test!$B$36+VLOOKUP(VLOOKUP($B108,test!$A$2:$I$32,4,FALSE),test!$J$24:$P$28,6,FALSE))/1440),1,0)</f>
        <v>0</v>
      </c>
      <c r="E108" s="2">
        <f>IF(AND(VLOOKUP(E$1,test!$A$3:$F$32,5,FALSE) - VLOOKUP($B108,test!$A$3:$G$32,6,FALSE) &gt;= (test!$B$36+VLOOKUP(VLOOKUP($B108,test!$A$2:$I$32,4,FALSE),test!$J$24:$P$28,6,FALSE))/1440),1,0)</f>
        <v>0</v>
      </c>
      <c r="F108" s="2">
        <f>IF(AND(VLOOKUP(F$1,test!$A$3:$F$32,5,FALSE) - VLOOKUP($B108,test!$A$3:$G$32,6,FALSE) &gt;= (test!$B$36+VLOOKUP(VLOOKUP($B108,test!$A$2:$I$32,4,FALSE),test!$J$24:$P$28,6,FALSE))/1440),1,0)</f>
        <v>0</v>
      </c>
      <c r="G108" s="2">
        <f>IF(AND(VLOOKUP(G$1,test!$A$3:$F$32,5,FALSE) - VLOOKUP($B108,test!$A$3:$G$32,6,FALSE) &gt;= (test!$B$36+VLOOKUP(VLOOKUP($B108,test!$A$2:$I$32,4,FALSE),test!$J$24:$P$28,6,FALSE))/1440),1,0)</f>
        <v>0</v>
      </c>
      <c r="H108" s="2">
        <f>IF(AND(VLOOKUP(H$1,test!$A$3:$F$32,5,FALSE) - VLOOKUP($B108,test!$A$3:$G$32,6,FALSE) &gt;= (test!$B$36+VLOOKUP(VLOOKUP($B108,test!$A$2:$I$32,4,FALSE),test!$J$24:$P$28,6,FALSE))/1440),1,0)</f>
        <v>0</v>
      </c>
      <c r="I108" s="2">
        <f>IF(AND(VLOOKUP(I$1,test!$A$3:$F$32,5,FALSE) - VLOOKUP($B108,test!$A$3:$G$32,6,FALSE) &gt;= (test!$B$36+VLOOKUP(VLOOKUP($B108,test!$A$2:$I$32,4,FALSE),test!$J$24:$P$28,6,FALSE))/1440),1,0)</f>
        <v>0</v>
      </c>
      <c r="J108" s="2">
        <f>IF(AND(VLOOKUP(J$1,test!$A$3:$F$32,5,FALSE) - VLOOKUP($B108,test!$A$3:$G$32,6,FALSE) &gt;= (test!$B$36+VLOOKUP(VLOOKUP($B108,test!$A$2:$I$32,4,FALSE),test!$J$24:$P$28,6,FALSE))/1440),1,0)</f>
        <v>0</v>
      </c>
      <c r="K108" s="2">
        <f>IF(AND(VLOOKUP(K$1,test!$A$3:$F$32,5,FALSE) - VLOOKUP($B108,test!$A$3:$G$32,6,FALSE) &gt;= (test!$B$36+VLOOKUP(VLOOKUP($B108,test!$A$2:$I$32,4,FALSE),test!$J$24:$P$28,6,FALSE))/1440),1,0)</f>
        <v>0</v>
      </c>
      <c r="L108" s="2">
        <f>IF(AND(VLOOKUP(L$1,test!$A$3:$F$32,5,FALSE) - VLOOKUP($B108,test!$A$3:$G$32,6,FALSE) &gt;= (test!$B$36+VLOOKUP(VLOOKUP($B108,test!$A$2:$I$32,4,FALSE),test!$J$24:$P$28,6,FALSE))/1440),1,0)</f>
        <v>0</v>
      </c>
      <c r="M108" s="2">
        <f>IF(AND(VLOOKUP(M$1,test!$A$3:$F$32,5,FALSE) - VLOOKUP($B108,test!$A$3:$G$32,6,FALSE) &gt;= (test!$B$36+VLOOKUP(VLOOKUP($B108,test!$A$2:$I$32,4,FALSE),test!$J$24:$P$28,6,FALSE))/1440),1,0)</f>
        <v>0</v>
      </c>
      <c r="N108" s="2">
        <f>IF(AND(VLOOKUP(N$1,test!$A$3:$F$32,5,FALSE) - VLOOKUP($B108,test!$A$3:$G$32,6,FALSE) &gt;= (test!$B$36+VLOOKUP(VLOOKUP($B108,test!$A$2:$I$32,4,FALSE),test!$J$24:$P$28,6,FALSE))/1440),1,0)</f>
        <v>0</v>
      </c>
      <c r="O108" s="2">
        <f>IF(AND(VLOOKUP(O$1,test!$A$3:$F$32,5,FALSE) - VLOOKUP($B108,test!$A$3:$G$32,6,FALSE) &gt;= (test!$B$36+VLOOKUP(VLOOKUP($B108,test!$A$2:$I$32,4,FALSE),test!$J$24:$P$28,6,FALSE))/1440),1,0)</f>
        <v>0</v>
      </c>
      <c r="P108" s="2">
        <f>IF(AND(VLOOKUP(P$1,test!$A$3:$F$32,5,FALSE) - VLOOKUP($B108,test!$A$3:$G$32,6,FALSE) &gt;= (test!$B$36+VLOOKUP(VLOOKUP($B108,test!$A$2:$I$32,4,FALSE),test!$J$24:$P$28,6,FALSE))/1440),1,0)</f>
        <v>0</v>
      </c>
      <c r="Q108" s="2">
        <f>IF(AND(VLOOKUP(Q$1,test!$A$3:$F$32,5,FALSE) - VLOOKUP($B108,test!$A$3:$G$32,6,FALSE) &gt;= (test!$B$36+VLOOKUP(VLOOKUP($B108,test!$A$2:$I$32,4,FALSE),test!$J$24:$P$28,6,FALSE))/1440),1,0)</f>
        <v>0</v>
      </c>
      <c r="R108" s="2">
        <f>IF(AND(VLOOKUP(R$1,test!$A$3:$F$32,5,FALSE) - VLOOKUP($B108,test!$A$3:$G$32,6,FALSE) &gt;= (test!$B$36+VLOOKUP(VLOOKUP($B108,test!$A$2:$I$32,4,FALSE),test!$J$24:$P$28,6,FALSE))/1440),1,0)</f>
        <v>0</v>
      </c>
      <c r="S108" s="2">
        <f>IF(AND(VLOOKUP(S$1,test!$A$3:$F$32,5,FALSE) - VLOOKUP($B108,test!$A$3:$G$32,6,FALSE) &gt;= (test!$B$36+VLOOKUP(VLOOKUP($B108,test!$A$2:$I$32,4,FALSE),test!$J$24:$P$28,6,FALSE))/1440),1,0)</f>
        <v>0</v>
      </c>
      <c r="T108" s="2">
        <f>IF(AND(VLOOKUP(T$1,test!$A$3:$F$32,5,FALSE) - VLOOKUP($B108,test!$A$3:$G$32,6,FALSE) &gt;= (test!$B$36+VLOOKUP(VLOOKUP($B108,test!$A$2:$I$32,4,FALSE),test!$J$24:$P$28,6,FALSE))/1440),1,0)</f>
        <v>0</v>
      </c>
      <c r="U108" s="2">
        <f>IF(AND(VLOOKUP(U$1,test!$A$3:$F$32,5,FALSE) - VLOOKUP($B108,test!$A$3:$G$32,6,FALSE) &gt;= (test!$B$36+VLOOKUP(VLOOKUP($B108,test!$A$2:$I$32,4,FALSE),test!$J$24:$P$28,6,FALSE))/1440),1,0)</f>
        <v>0</v>
      </c>
      <c r="V108" s="2">
        <f>IF(AND(VLOOKUP(V$1,test!$A$3:$F$32,5,FALSE) - VLOOKUP($B108,test!$A$3:$G$32,6,FALSE) &gt;= (test!$B$36+VLOOKUP(VLOOKUP($B108,test!$A$2:$I$32,4,FALSE),test!$J$24:$P$28,6,FALSE))/1440),1,0)</f>
        <v>0</v>
      </c>
      <c r="W108" s="2">
        <f>IF(AND(VLOOKUP(W$1,test!$A$3:$F$32,5,FALSE) - VLOOKUP($B108,test!$A$3:$G$32,6,FALSE) &gt;= (test!$B$36+VLOOKUP(VLOOKUP($B108,test!$A$2:$I$32,4,FALSE),test!$J$24:$P$28,6,FALSE))/1440),1,0)</f>
        <v>0</v>
      </c>
      <c r="X108" s="2">
        <f>IF(AND(VLOOKUP(X$1,test!$A$3:$F$32,5,FALSE) - VLOOKUP($B108,test!$A$3:$G$32,6,FALSE) &gt;= (test!$B$36+VLOOKUP(VLOOKUP($B108,test!$A$2:$I$32,4,FALSE),test!$J$24:$P$28,6,FALSE))/1440),1,0)</f>
        <v>0</v>
      </c>
      <c r="Y108" s="2">
        <f>IF(AND(VLOOKUP(Y$1,test!$A$3:$F$32,5,FALSE) - VLOOKUP($B108,test!$A$3:$G$32,6,FALSE) &gt;= (test!$B$36+VLOOKUP(VLOOKUP($B108,test!$A$2:$I$32,4,FALSE),test!$J$24:$P$28,6,FALSE))/1440),1,0)</f>
        <v>0</v>
      </c>
      <c r="Z108" s="2">
        <f>IF(AND(VLOOKUP(Z$1,test!$A$3:$F$32,5,FALSE) - VLOOKUP($B108,test!$A$3:$G$32,6,FALSE) &gt;= (test!$B$36+VLOOKUP(VLOOKUP($B108,test!$A$2:$I$32,4,FALSE),test!$J$24:$P$28,6,FALSE))/1440),1,0)</f>
        <v>0</v>
      </c>
      <c r="AA108" s="2">
        <f>IF(AND(VLOOKUP(AA$1,test!$A$3:$F$32,5,FALSE) - VLOOKUP($B108,test!$A$3:$G$32,6,FALSE) &gt;= (test!$B$36+VLOOKUP(VLOOKUP($B108,test!$A$2:$I$32,4,FALSE),test!$J$24:$P$28,6,FALSE))/1440),1,0)</f>
        <v>0</v>
      </c>
      <c r="AB108" s="2">
        <f>IF(AND(VLOOKUP(AB$1,test!$A$3:$F$32,5,FALSE) - VLOOKUP($B108,test!$A$3:$G$32,6,FALSE) &gt;= (test!$B$36+VLOOKUP(VLOOKUP($B108,test!$A$2:$I$32,4,FALSE),test!$J$24:$P$28,6,FALSE))/1440),1,0)</f>
        <v>0</v>
      </c>
      <c r="AC108" s="2">
        <f>IF(AND(VLOOKUP(AC$1,test!$A$3:$F$32,5,FALSE) - VLOOKUP($B108,test!$A$3:$G$32,6,FALSE) &gt;= (test!$B$36+VLOOKUP(VLOOKUP($B108,test!$A$2:$I$32,4,FALSE),test!$J$24:$P$28,6,FALSE))/1440),1,0)</f>
        <v>0</v>
      </c>
      <c r="AD108" s="2">
        <f>IF(AND(VLOOKUP(AD$1,test!$A$3:$F$32,5,FALSE) - VLOOKUP($B108,test!$A$3:$G$32,6,FALSE) &gt;= (test!$B$36+VLOOKUP(VLOOKUP($B108,test!$A$2:$I$32,4,FALSE),test!$J$24:$P$28,6,FALSE))/1440),1,0)</f>
        <v>0</v>
      </c>
      <c r="AE108" s="2">
        <f>IF(AND(VLOOKUP(AE$1,test!$A$3:$F$32,5,FALSE) - VLOOKUP($B108,test!$A$3:$G$32,6,FALSE) &gt;= (test!$B$36+VLOOKUP(VLOOKUP($B108,test!$A$2:$I$32,4,FALSE),test!$J$24:$P$28,6,FALSE))/1440),1,0)</f>
        <v>0</v>
      </c>
      <c r="AF108" s="2">
        <f>IF(AND(VLOOKUP(AF$1,test!$A$3:$F$32,5,FALSE) - VLOOKUP($B108,test!$A$3:$G$32,6,FALSE) &gt;= (test!$B$36+VLOOKUP(VLOOKUP($B108,test!$A$2:$I$32,4,FALSE),test!$J$24:$P$28,6,FALSE))/1440),1,0)</f>
        <v>0</v>
      </c>
      <c r="AG108" s="2">
        <f>IF(AND(VLOOKUP(AG$1,test!$A$3:$F$32,5,FALSE) - VLOOKUP($B108,test!$A$3:$G$32,6,FALSE) &gt;= (test!$B$36+VLOOKUP(VLOOKUP($B108,test!$A$2:$I$32,4,FALSE),test!$J$24:$P$28,6,FALSE))/1440),1,0)</f>
        <v>0</v>
      </c>
    </row>
    <row r="109" spans="1:33" x14ac:dyDescent="0.25">
      <c r="A109" t="s">
        <v>98</v>
      </c>
      <c r="B109" t="s">
        <v>24</v>
      </c>
      <c r="C109">
        <v>0</v>
      </c>
      <c r="D109" s="2">
        <f>IF(AND(VLOOKUP(D$1,test!$A$3:$F$32,5,FALSE) - VLOOKUP($B109,test!$A$3:$G$32,6,FALSE) &gt;= (test!$B$36+VLOOKUP(VLOOKUP($B109,test!$A$2:$I$32,4,FALSE),test!$J$24:$P$28,6,FALSE))/1440),1,0)</f>
        <v>0</v>
      </c>
      <c r="E109" s="2">
        <f>IF(AND(VLOOKUP(E$1,test!$A$3:$F$32,5,FALSE) - VLOOKUP($B109,test!$A$3:$G$32,6,FALSE) &gt;= (test!$B$36+VLOOKUP(VLOOKUP($B109,test!$A$2:$I$32,4,FALSE),test!$J$24:$P$28,6,FALSE))/1440),1,0)</f>
        <v>0</v>
      </c>
      <c r="F109" s="2">
        <f>IF(AND(VLOOKUP(F$1,test!$A$3:$F$32,5,FALSE) - VLOOKUP($B109,test!$A$3:$G$32,6,FALSE) &gt;= (test!$B$36+VLOOKUP(VLOOKUP($B109,test!$A$2:$I$32,4,FALSE),test!$J$24:$P$28,6,FALSE))/1440),1,0)</f>
        <v>0</v>
      </c>
      <c r="G109" s="2">
        <f>IF(AND(VLOOKUP(G$1,test!$A$3:$F$32,5,FALSE) - VLOOKUP($B109,test!$A$3:$G$32,6,FALSE) &gt;= (test!$B$36+VLOOKUP(VLOOKUP($B109,test!$A$2:$I$32,4,FALSE),test!$J$24:$P$28,6,FALSE))/1440),1,0)</f>
        <v>1</v>
      </c>
      <c r="H109" s="2">
        <f>IF(AND(VLOOKUP(H$1,test!$A$3:$F$32,5,FALSE) - VLOOKUP($B109,test!$A$3:$G$32,6,FALSE) &gt;= (test!$B$36+VLOOKUP(VLOOKUP($B109,test!$A$2:$I$32,4,FALSE),test!$J$24:$P$28,6,FALSE))/1440),1,0)</f>
        <v>1</v>
      </c>
      <c r="I109" s="2">
        <f>IF(AND(VLOOKUP(I$1,test!$A$3:$F$32,5,FALSE) - VLOOKUP($B109,test!$A$3:$G$32,6,FALSE) &gt;= (test!$B$36+VLOOKUP(VLOOKUP($B109,test!$A$2:$I$32,4,FALSE),test!$J$24:$P$28,6,FALSE))/1440),1,0)</f>
        <v>1</v>
      </c>
      <c r="J109" s="2">
        <f>IF(AND(VLOOKUP(J$1,test!$A$3:$F$32,5,FALSE) - VLOOKUP($B109,test!$A$3:$G$32,6,FALSE) &gt;= (test!$B$36+VLOOKUP(VLOOKUP($B109,test!$A$2:$I$32,4,FALSE),test!$J$24:$P$28,6,FALSE))/1440),1,0)</f>
        <v>1</v>
      </c>
      <c r="K109" s="2">
        <f>IF(AND(VLOOKUP(K$1,test!$A$3:$F$32,5,FALSE) - VLOOKUP($B109,test!$A$3:$G$32,6,FALSE) &gt;= (test!$B$36+VLOOKUP(VLOOKUP($B109,test!$A$2:$I$32,4,FALSE),test!$J$24:$P$28,6,FALSE))/1440),1,0)</f>
        <v>1</v>
      </c>
      <c r="L109" s="2">
        <f>IF(AND(VLOOKUP(L$1,test!$A$3:$F$32,5,FALSE) - VLOOKUP($B109,test!$A$3:$G$32,6,FALSE) &gt;= (test!$B$36+VLOOKUP(VLOOKUP($B109,test!$A$2:$I$32,4,FALSE),test!$J$24:$P$28,6,FALSE))/1440),1,0)</f>
        <v>0</v>
      </c>
      <c r="M109" s="2">
        <f>IF(AND(VLOOKUP(M$1,test!$A$3:$F$32,5,FALSE) - VLOOKUP($B109,test!$A$3:$G$32,6,FALSE) &gt;= (test!$B$36+VLOOKUP(VLOOKUP($B109,test!$A$2:$I$32,4,FALSE),test!$J$24:$P$28,6,FALSE))/1440),1,0)</f>
        <v>0</v>
      </c>
      <c r="N109" s="2">
        <f>IF(AND(VLOOKUP(N$1,test!$A$3:$F$32,5,FALSE) - VLOOKUP($B109,test!$A$3:$G$32,6,FALSE) &gt;= (test!$B$36+VLOOKUP(VLOOKUP($B109,test!$A$2:$I$32,4,FALSE),test!$J$24:$P$28,6,FALSE))/1440),1,0)</f>
        <v>0</v>
      </c>
      <c r="O109" s="2">
        <f>IF(AND(VLOOKUP(O$1,test!$A$3:$F$32,5,FALSE) - VLOOKUP($B109,test!$A$3:$G$32,6,FALSE) &gt;= (test!$B$36+VLOOKUP(VLOOKUP($B109,test!$A$2:$I$32,4,FALSE),test!$J$24:$P$28,6,FALSE))/1440),1,0)</f>
        <v>1</v>
      </c>
      <c r="P109" s="2">
        <f>IF(AND(VLOOKUP(P$1,test!$A$3:$F$32,5,FALSE) - VLOOKUP($B109,test!$A$3:$G$32,6,FALSE) &gt;= (test!$B$36+VLOOKUP(VLOOKUP($B109,test!$A$2:$I$32,4,FALSE),test!$J$24:$P$28,6,FALSE))/1440),1,0)</f>
        <v>1</v>
      </c>
      <c r="Q109" s="2">
        <f>IF(AND(VLOOKUP(Q$1,test!$A$3:$F$32,5,FALSE) - VLOOKUP($B109,test!$A$3:$G$32,6,FALSE) &gt;= (test!$B$36+VLOOKUP(VLOOKUP($B109,test!$A$2:$I$32,4,FALSE),test!$J$24:$P$28,6,FALSE))/1440),1,0)</f>
        <v>0</v>
      </c>
      <c r="R109" s="2">
        <f>IF(AND(VLOOKUP(R$1,test!$A$3:$F$32,5,FALSE) - VLOOKUP($B109,test!$A$3:$G$32,6,FALSE) &gt;= (test!$B$36+VLOOKUP(VLOOKUP($B109,test!$A$2:$I$32,4,FALSE),test!$J$24:$P$28,6,FALSE))/1440),1,0)</f>
        <v>0</v>
      </c>
      <c r="S109" s="2">
        <f>IF(AND(VLOOKUP(S$1,test!$A$3:$F$32,5,FALSE) - VLOOKUP($B109,test!$A$3:$G$32,6,FALSE) &gt;= (test!$B$36+VLOOKUP(VLOOKUP($B109,test!$A$2:$I$32,4,FALSE),test!$J$24:$P$28,6,FALSE))/1440),1,0)</f>
        <v>0</v>
      </c>
      <c r="T109" s="2">
        <f>IF(AND(VLOOKUP(T$1,test!$A$3:$F$32,5,FALSE) - VLOOKUP($B109,test!$A$3:$G$32,6,FALSE) &gt;= (test!$B$36+VLOOKUP(VLOOKUP($B109,test!$A$2:$I$32,4,FALSE),test!$J$24:$P$28,6,FALSE))/1440),1,0)</f>
        <v>0</v>
      </c>
      <c r="U109" s="2">
        <f>IF(AND(VLOOKUP(U$1,test!$A$3:$F$32,5,FALSE) - VLOOKUP($B109,test!$A$3:$G$32,6,FALSE) &gt;= (test!$B$36+VLOOKUP(VLOOKUP($B109,test!$A$2:$I$32,4,FALSE),test!$J$24:$P$28,6,FALSE))/1440),1,0)</f>
        <v>0</v>
      </c>
      <c r="V109" s="2">
        <f>IF(AND(VLOOKUP(V$1,test!$A$3:$F$32,5,FALSE) - VLOOKUP($B109,test!$A$3:$G$32,6,FALSE) &gt;= (test!$B$36+VLOOKUP(VLOOKUP($B109,test!$A$2:$I$32,4,FALSE),test!$J$24:$P$28,6,FALSE))/1440),1,0)</f>
        <v>1</v>
      </c>
      <c r="W109" s="2">
        <f>IF(AND(VLOOKUP(W$1,test!$A$3:$F$32,5,FALSE) - VLOOKUP($B109,test!$A$3:$G$32,6,FALSE) &gt;= (test!$B$36+VLOOKUP(VLOOKUP($B109,test!$A$2:$I$32,4,FALSE),test!$J$24:$P$28,6,FALSE))/1440),1,0)</f>
        <v>1</v>
      </c>
      <c r="X109" s="2">
        <f>IF(AND(VLOOKUP(X$1,test!$A$3:$F$32,5,FALSE) - VLOOKUP($B109,test!$A$3:$G$32,6,FALSE) &gt;= (test!$B$36+VLOOKUP(VLOOKUP($B109,test!$A$2:$I$32,4,FALSE),test!$J$24:$P$28,6,FALSE))/1440),1,0)</f>
        <v>1</v>
      </c>
      <c r="Y109" s="2">
        <f>IF(AND(VLOOKUP(Y$1,test!$A$3:$F$32,5,FALSE) - VLOOKUP($B109,test!$A$3:$G$32,6,FALSE) &gt;= (test!$B$36+VLOOKUP(VLOOKUP($B109,test!$A$2:$I$32,4,FALSE),test!$J$24:$P$28,6,FALSE))/1440),1,0)</f>
        <v>1</v>
      </c>
      <c r="Z109" s="2">
        <f>IF(AND(VLOOKUP(Z$1,test!$A$3:$F$32,5,FALSE) - VLOOKUP($B109,test!$A$3:$G$32,6,FALSE) &gt;= (test!$B$36+VLOOKUP(VLOOKUP($B109,test!$A$2:$I$32,4,FALSE),test!$J$24:$P$28,6,FALSE))/1440),1,0)</f>
        <v>0</v>
      </c>
      <c r="AA109" s="2">
        <f>IF(AND(VLOOKUP(AA$1,test!$A$3:$F$32,5,FALSE) - VLOOKUP($B109,test!$A$3:$G$32,6,FALSE) &gt;= (test!$B$36+VLOOKUP(VLOOKUP($B109,test!$A$2:$I$32,4,FALSE),test!$J$24:$P$28,6,FALSE))/1440),1,0)</f>
        <v>0</v>
      </c>
      <c r="AB109" s="2">
        <f>IF(AND(VLOOKUP(AB$1,test!$A$3:$F$32,5,FALSE) - VLOOKUP($B109,test!$A$3:$G$32,6,FALSE) &gt;= (test!$B$36+VLOOKUP(VLOOKUP($B109,test!$A$2:$I$32,4,FALSE),test!$J$24:$P$28,6,FALSE))/1440),1,0)</f>
        <v>0</v>
      </c>
      <c r="AC109" s="2">
        <f>IF(AND(VLOOKUP(AC$1,test!$A$3:$F$32,5,FALSE) - VLOOKUP($B109,test!$A$3:$G$32,6,FALSE) &gt;= (test!$B$36+VLOOKUP(VLOOKUP($B109,test!$A$2:$I$32,4,FALSE),test!$J$24:$P$28,6,FALSE))/1440),1,0)</f>
        <v>1</v>
      </c>
      <c r="AD109" s="2">
        <f>IF(AND(VLOOKUP(AD$1,test!$A$3:$F$32,5,FALSE) - VLOOKUP($B109,test!$A$3:$G$32,6,FALSE) &gt;= (test!$B$36+VLOOKUP(VLOOKUP($B109,test!$A$2:$I$32,4,FALSE),test!$J$24:$P$28,6,FALSE))/1440),1,0)</f>
        <v>1</v>
      </c>
      <c r="AE109" s="2">
        <f>IF(AND(VLOOKUP(AE$1,test!$A$3:$F$32,5,FALSE) - VLOOKUP($B109,test!$A$3:$G$32,6,FALSE) &gt;= (test!$B$36+VLOOKUP(VLOOKUP($B109,test!$A$2:$I$32,4,FALSE),test!$J$24:$P$28,6,FALSE))/1440),1,0)</f>
        <v>0</v>
      </c>
      <c r="AF109" s="2">
        <f>IF(AND(VLOOKUP(AF$1,test!$A$3:$F$32,5,FALSE) - VLOOKUP($B109,test!$A$3:$G$32,6,FALSE) &gt;= (test!$B$36+VLOOKUP(VLOOKUP($B109,test!$A$2:$I$32,4,FALSE),test!$J$24:$P$28,6,FALSE))/1440),1,0)</f>
        <v>0</v>
      </c>
      <c r="AG109" s="2">
        <f>IF(AND(VLOOKUP(AG$1,test!$A$3:$F$32,5,FALSE) - VLOOKUP($B109,test!$A$3:$G$32,6,FALSE) &gt;= (test!$B$36+VLOOKUP(VLOOKUP($B109,test!$A$2:$I$32,4,FALSE),test!$J$24:$P$28,6,FALSE))/1440),1,0)</f>
        <v>0</v>
      </c>
    </row>
    <row r="110" spans="1:33" x14ac:dyDescent="0.25">
      <c r="A110" t="s">
        <v>98</v>
      </c>
      <c r="B110" t="s">
        <v>26</v>
      </c>
      <c r="C110">
        <v>0</v>
      </c>
      <c r="D110" s="2">
        <f>IF(AND(VLOOKUP(D$1,test!$A$3:$F$32,5,FALSE) - VLOOKUP($B110,test!$A$3:$G$32,6,FALSE) &gt;= (test!$B$36+VLOOKUP(VLOOKUP($B110,test!$A$2:$I$32,4,FALSE),test!$J$24:$P$28,6,FALSE))/1440),1,0)</f>
        <v>0</v>
      </c>
      <c r="E110" s="2">
        <f>IF(AND(VLOOKUP(E$1,test!$A$3:$F$32,5,FALSE) - VLOOKUP($B110,test!$A$3:$G$32,6,FALSE) &gt;= (test!$B$36+VLOOKUP(VLOOKUP($B110,test!$A$2:$I$32,4,FALSE),test!$J$24:$P$28,6,FALSE))/1440),1,0)</f>
        <v>0</v>
      </c>
      <c r="F110" s="2">
        <f>IF(AND(VLOOKUP(F$1,test!$A$3:$F$32,5,FALSE) - VLOOKUP($B110,test!$A$3:$G$32,6,FALSE) &gt;= (test!$B$36+VLOOKUP(VLOOKUP($B110,test!$A$2:$I$32,4,FALSE),test!$J$24:$P$28,6,FALSE))/1440),1,0)</f>
        <v>1</v>
      </c>
      <c r="G110" s="2">
        <f>IF(AND(VLOOKUP(G$1,test!$A$3:$F$32,5,FALSE) - VLOOKUP($B110,test!$A$3:$G$32,6,FALSE) &gt;= (test!$B$36+VLOOKUP(VLOOKUP($B110,test!$A$2:$I$32,4,FALSE),test!$J$24:$P$28,6,FALSE))/1440),1,0)</f>
        <v>1</v>
      </c>
      <c r="H110" s="2">
        <f>IF(AND(VLOOKUP(H$1,test!$A$3:$F$32,5,FALSE) - VLOOKUP($B110,test!$A$3:$G$32,6,FALSE) &gt;= (test!$B$36+VLOOKUP(VLOOKUP($B110,test!$A$2:$I$32,4,FALSE),test!$J$24:$P$28,6,FALSE))/1440),1,0)</f>
        <v>1</v>
      </c>
      <c r="I110" s="2">
        <f>IF(AND(VLOOKUP(I$1,test!$A$3:$F$32,5,FALSE) - VLOOKUP($B110,test!$A$3:$G$32,6,FALSE) &gt;= (test!$B$36+VLOOKUP(VLOOKUP($B110,test!$A$2:$I$32,4,FALSE),test!$J$24:$P$28,6,FALSE))/1440),1,0)</f>
        <v>1</v>
      </c>
      <c r="J110" s="2">
        <f>IF(AND(VLOOKUP(J$1,test!$A$3:$F$32,5,FALSE) - VLOOKUP($B110,test!$A$3:$G$32,6,FALSE) &gt;= (test!$B$36+VLOOKUP(VLOOKUP($B110,test!$A$2:$I$32,4,FALSE),test!$J$24:$P$28,6,FALSE))/1440),1,0)</f>
        <v>1</v>
      </c>
      <c r="K110" s="2">
        <f>IF(AND(VLOOKUP(K$1,test!$A$3:$F$32,5,FALSE) - VLOOKUP($B110,test!$A$3:$G$32,6,FALSE) &gt;= (test!$B$36+VLOOKUP(VLOOKUP($B110,test!$A$2:$I$32,4,FALSE),test!$J$24:$P$28,6,FALSE))/1440),1,0)</f>
        <v>1</v>
      </c>
      <c r="L110" s="2">
        <f>IF(AND(VLOOKUP(L$1,test!$A$3:$F$32,5,FALSE) - VLOOKUP($B110,test!$A$3:$G$32,6,FALSE) &gt;= (test!$B$36+VLOOKUP(VLOOKUP($B110,test!$A$2:$I$32,4,FALSE),test!$J$24:$P$28,6,FALSE))/1440),1,0)</f>
        <v>0</v>
      </c>
      <c r="M110" s="2">
        <f>IF(AND(VLOOKUP(M$1,test!$A$3:$F$32,5,FALSE) - VLOOKUP($B110,test!$A$3:$G$32,6,FALSE) &gt;= (test!$B$36+VLOOKUP(VLOOKUP($B110,test!$A$2:$I$32,4,FALSE),test!$J$24:$P$28,6,FALSE))/1440),1,0)</f>
        <v>0</v>
      </c>
      <c r="N110" s="2">
        <f>IF(AND(VLOOKUP(N$1,test!$A$3:$F$32,5,FALSE) - VLOOKUP($B110,test!$A$3:$G$32,6,FALSE) &gt;= (test!$B$36+VLOOKUP(VLOOKUP($B110,test!$A$2:$I$32,4,FALSE),test!$J$24:$P$28,6,FALSE))/1440),1,0)</f>
        <v>0</v>
      </c>
      <c r="O110" s="2">
        <f>IF(AND(VLOOKUP(O$1,test!$A$3:$F$32,5,FALSE) - VLOOKUP($B110,test!$A$3:$G$32,6,FALSE) &gt;= (test!$B$36+VLOOKUP(VLOOKUP($B110,test!$A$2:$I$32,4,FALSE),test!$J$24:$P$28,6,FALSE))/1440),1,0)</f>
        <v>1</v>
      </c>
      <c r="P110" s="2">
        <f>IF(AND(VLOOKUP(P$1,test!$A$3:$F$32,5,FALSE) - VLOOKUP($B110,test!$A$3:$G$32,6,FALSE) &gt;= (test!$B$36+VLOOKUP(VLOOKUP($B110,test!$A$2:$I$32,4,FALSE),test!$J$24:$P$28,6,FALSE))/1440),1,0)</f>
        <v>1</v>
      </c>
      <c r="Q110" s="2">
        <f>IF(AND(VLOOKUP(Q$1,test!$A$3:$F$32,5,FALSE) - VLOOKUP($B110,test!$A$3:$G$32,6,FALSE) &gt;= (test!$B$36+VLOOKUP(VLOOKUP($B110,test!$A$2:$I$32,4,FALSE),test!$J$24:$P$28,6,FALSE))/1440),1,0)</f>
        <v>0</v>
      </c>
      <c r="R110" s="2">
        <f>IF(AND(VLOOKUP(R$1,test!$A$3:$F$32,5,FALSE) - VLOOKUP($B110,test!$A$3:$G$32,6,FALSE) &gt;= (test!$B$36+VLOOKUP(VLOOKUP($B110,test!$A$2:$I$32,4,FALSE),test!$J$24:$P$28,6,FALSE))/1440),1,0)</f>
        <v>0</v>
      </c>
      <c r="S110" s="2">
        <f>IF(AND(VLOOKUP(S$1,test!$A$3:$F$32,5,FALSE) - VLOOKUP($B110,test!$A$3:$G$32,6,FALSE) &gt;= (test!$B$36+VLOOKUP(VLOOKUP($B110,test!$A$2:$I$32,4,FALSE),test!$J$24:$P$28,6,FALSE))/1440),1,0)</f>
        <v>0</v>
      </c>
      <c r="T110" s="2">
        <f>IF(AND(VLOOKUP(T$1,test!$A$3:$F$32,5,FALSE) - VLOOKUP($B110,test!$A$3:$G$32,6,FALSE) &gt;= (test!$B$36+VLOOKUP(VLOOKUP($B110,test!$A$2:$I$32,4,FALSE),test!$J$24:$P$28,6,FALSE))/1440),1,0)</f>
        <v>0</v>
      </c>
      <c r="U110" s="2">
        <f>IF(AND(VLOOKUP(U$1,test!$A$3:$F$32,5,FALSE) - VLOOKUP($B110,test!$A$3:$G$32,6,FALSE) &gt;= (test!$B$36+VLOOKUP(VLOOKUP($B110,test!$A$2:$I$32,4,FALSE),test!$J$24:$P$28,6,FALSE))/1440),1,0)</f>
        <v>1</v>
      </c>
      <c r="V110" s="2">
        <f>IF(AND(VLOOKUP(V$1,test!$A$3:$F$32,5,FALSE) - VLOOKUP($B110,test!$A$3:$G$32,6,FALSE) &gt;= (test!$B$36+VLOOKUP(VLOOKUP($B110,test!$A$2:$I$32,4,FALSE),test!$J$24:$P$28,6,FALSE))/1440),1,0)</f>
        <v>1</v>
      </c>
      <c r="W110" s="2">
        <f>IF(AND(VLOOKUP(W$1,test!$A$3:$F$32,5,FALSE) - VLOOKUP($B110,test!$A$3:$G$32,6,FALSE) &gt;= (test!$B$36+VLOOKUP(VLOOKUP($B110,test!$A$2:$I$32,4,FALSE),test!$J$24:$P$28,6,FALSE))/1440),1,0)</f>
        <v>1</v>
      </c>
      <c r="X110" s="2">
        <f>IF(AND(VLOOKUP(X$1,test!$A$3:$F$32,5,FALSE) - VLOOKUP($B110,test!$A$3:$G$32,6,FALSE) &gt;= (test!$B$36+VLOOKUP(VLOOKUP($B110,test!$A$2:$I$32,4,FALSE),test!$J$24:$P$28,6,FALSE))/1440),1,0)</f>
        <v>1</v>
      </c>
      <c r="Y110" s="2">
        <f>IF(AND(VLOOKUP(Y$1,test!$A$3:$F$32,5,FALSE) - VLOOKUP($B110,test!$A$3:$G$32,6,FALSE) &gt;= (test!$B$36+VLOOKUP(VLOOKUP($B110,test!$A$2:$I$32,4,FALSE),test!$J$24:$P$28,6,FALSE))/1440),1,0)</f>
        <v>1</v>
      </c>
      <c r="Z110" s="2">
        <f>IF(AND(VLOOKUP(Z$1,test!$A$3:$F$32,5,FALSE) - VLOOKUP($B110,test!$A$3:$G$32,6,FALSE) &gt;= (test!$B$36+VLOOKUP(VLOOKUP($B110,test!$A$2:$I$32,4,FALSE),test!$J$24:$P$28,6,FALSE))/1440),1,0)</f>
        <v>0</v>
      </c>
      <c r="AA110" s="2">
        <f>IF(AND(VLOOKUP(AA$1,test!$A$3:$F$32,5,FALSE) - VLOOKUP($B110,test!$A$3:$G$32,6,FALSE) &gt;= (test!$B$36+VLOOKUP(VLOOKUP($B110,test!$A$2:$I$32,4,FALSE),test!$J$24:$P$28,6,FALSE))/1440),1,0)</f>
        <v>0</v>
      </c>
      <c r="AB110" s="2">
        <f>IF(AND(VLOOKUP(AB$1,test!$A$3:$F$32,5,FALSE) - VLOOKUP($B110,test!$A$3:$G$32,6,FALSE) &gt;= (test!$B$36+VLOOKUP(VLOOKUP($B110,test!$A$2:$I$32,4,FALSE),test!$J$24:$P$28,6,FALSE))/1440),1,0)</f>
        <v>1</v>
      </c>
      <c r="AC110" s="2">
        <f>IF(AND(VLOOKUP(AC$1,test!$A$3:$F$32,5,FALSE) - VLOOKUP($B110,test!$A$3:$G$32,6,FALSE) &gt;= (test!$B$36+VLOOKUP(VLOOKUP($B110,test!$A$2:$I$32,4,FALSE),test!$J$24:$P$28,6,FALSE))/1440),1,0)</f>
        <v>1</v>
      </c>
      <c r="AD110" s="2">
        <f>IF(AND(VLOOKUP(AD$1,test!$A$3:$F$32,5,FALSE) - VLOOKUP($B110,test!$A$3:$G$32,6,FALSE) &gt;= (test!$B$36+VLOOKUP(VLOOKUP($B110,test!$A$2:$I$32,4,FALSE),test!$J$24:$P$28,6,FALSE))/1440),1,0)</f>
        <v>1</v>
      </c>
      <c r="AE110" s="2">
        <f>IF(AND(VLOOKUP(AE$1,test!$A$3:$F$32,5,FALSE) - VLOOKUP($B110,test!$A$3:$G$32,6,FALSE) &gt;= (test!$B$36+VLOOKUP(VLOOKUP($B110,test!$A$2:$I$32,4,FALSE),test!$J$24:$P$28,6,FALSE))/1440),1,0)</f>
        <v>0</v>
      </c>
      <c r="AF110" s="2">
        <f>IF(AND(VLOOKUP(AF$1,test!$A$3:$F$32,5,FALSE) - VLOOKUP($B110,test!$A$3:$G$32,6,FALSE) &gt;= (test!$B$36+VLOOKUP(VLOOKUP($B110,test!$A$2:$I$32,4,FALSE),test!$J$24:$P$28,6,FALSE))/1440),1,0)</f>
        <v>1</v>
      </c>
      <c r="AG110" s="2">
        <f>IF(AND(VLOOKUP(AG$1,test!$A$3:$F$32,5,FALSE) - VLOOKUP($B110,test!$A$3:$G$32,6,FALSE) &gt;= (test!$B$36+VLOOKUP(VLOOKUP($B110,test!$A$2:$I$32,4,FALSE),test!$J$24:$P$28,6,FALSE))/1440),1,0)</f>
        <v>1</v>
      </c>
    </row>
    <row r="111" spans="1:33" x14ac:dyDescent="0.25">
      <c r="A111" t="s">
        <v>98</v>
      </c>
      <c r="B111" t="s">
        <v>27</v>
      </c>
      <c r="C111">
        <v>0</v>
      </c>
      <c r="D111" s="2">
        <f>IF(AND(VLOOKUP(D$1,test!$A$3:$F$32,5,FALSE) - VLOOKUP($B111,test!$A$3:$G$32,6,FALSE) &gt;= (test!$B$36+VLOOKUP(VLOOKUP($B111,test!$A$2:$I$32,4,FALSE),test!$J$24:$P$28,6,FALSE))/1440),1,0)</f>
        <v>0</v>
      </c>
      <c r="E111" s="2">
        <f>IF(AND(VLOOKUP(E$1,test!$A$3:$F$32,5,FALSE) - VLOOKUP($B111,test!$A$3:$G$32,6,FALSE) &gt;= (test!$B$36+VLOOKUP(VLOOKUP($B111,test!$A$2:$I$32,4,FALSE),test!$J$24:$P$28,6,FALSE))/1440),1,0)</f>
        <v>0</v>
      </c>
      <c r="F111" s="2">
        <f>IF(AND(VLOOKUP(F$1,test!$A$3:$F$32,5,FALSE) - VLOOKUP($B111,test!$A$3:$G$32,6,FALSE) &gt;= (test!$B$36+VLOOKUP(VLOOKUP($B111,test!$A$2:$I$32,4,FALSE),test!$J$24:$P$28,6,FALSE))/1440),1,0)</f>
        <v>0</v>
      </c>
      <c r="G111" s="2">
        <f>IF(AND(VLOOKUP(G$1,test!$A$3:$F$32,5,FALSE) - VLOOKUP($B111,test!$A$3:$G$32,6,FALSE) &gt;= (test!$B$36+VLOOKUP(VLOOKUP($B111,test!$A$2:$I$32,4,FALSE),test!$J$24:$P$28,6,FALSE))/1440),1,0)</f>
        <v>1</v>
      </c>
      <c r="H111" s="2">
        <f>IF(AND(VLOOKUP(H$1,test!$A$3:$F$32,5,FALSE) - VLOOKUP($B111,test!$A$3:$G$32,6,FALSE) &gt;= (test!$B$36+VLOOKUP(VLOOKUP($B111,test!$A$2:$I$32,4,FALSE),test!$J$24:$P$28,6,FALSE))/1440),1,0)</f>
        <v>1</v>
      </c>
      <c r="I111" s="2">
        <f>IF(AND(VLOOKUP(I$1,test!$A$3:$F$32,5,FALSE) - VLOOKUP($B111,test!$A$3:$G$32,6,FALSE) &gt;= (test!$B$36+VLOOKUP(VLOOKUP($B111,test!$A$2:$I$32,4,FALSE),test!$J$24:$P$28,6,FALSE))/1440),1,0)</f>
        <v>1</v>
      </c>
      <c r="J111" s="2">
        <f>IF(AND(VLOOKUP(J$1,test!$A$3:$F$32,5,FALSE) - VLOOKUP($B111,test!$A$3:$G$32,6,FALSE) &gt;= (test!$B$36+VLOOKUP(VLOOKUP($B111,test!$A$2:$I$32,4,FALSE),test!$J$24:$P$28,6,FALSE))/1440),1,0)</f>
        <v>1</v>
      </c>
      <c r="K111" s="2">
        <f>IF(AND(VLOOKUP(K$1,test!$A$3:$F$32,5,FALSE) - VLOOKUP($B111,test!$A$3:$G$32,6,FALSE) &gt;= (test!$B$36+VLOOKUP(VLOOKUP($B111,test!$A$2:$I$32,4,FALSE),test!$J$24:$P$28,6,FALSE))/1440),1,0)</f>
        <v>1</v>
      </c>
      <c r="L111" s="2">
        <f>IF(AND(VLOOKUP(L$1,test!$A$3:$F$32,5,FALSE) - VLOOKUP($B111,test!$A$3:$G$32,6,FALSE) &gt;= (test!$B$36+VLOOKUP(VLOOKUP($B111,test!$A$2:$I$32,4,FALSE),test!$J$24:$P$28,6,FALSE))/1440),1,0)</f>
        <v>0</v>
      </c>
      <c r="M111" s="2">
        <f>IF(AND(VLOOKUP(M$1,test!$A$3:$F$32,5,FALSE) - VLOOKUP($B111,test!$A$3:$G$32,6,FALSE) &gt;= (test!$B$36+VLOOKUP(VLOOKUP($B111,test!$A$2:$I$32,4,FALSE),test!$J$24:$P$28,6,FALSE))/1440),1,0)</f>
        <v>0</v>
      </c>
      <c r="N111" s="2">
        <f>IF(AND(VLOOKUP(N$1,test!$A$3:$F$32,5,FALSE) - VLOOKUP($B111,test!$A$3:$G$32,6,FALSE) &gt;= (test!$B$36+VLOOKUP(VLOOKUP($B111,test!$A$2:$I$32,4,FALSE),test!$J$24:$P$28,6,FALSE))/1440),1,0)</f>
        <v>0</v>
      </c>
      <c r="O111" s="2">
        <f>IF(AND(VLOOKUP(O$1,test!$A$3:$F$32,5,FALSE) - VLOOKUP($B111,test!$A$3:$G$32,6,FALSE) &gt;= (test!$B$36+VLOOKUP(VLOOKUP($B111,test!$A$2:$I$32,4,FALSE),test!$J$24:$P$28,6,FALSE))/1440),1,0)</f>
        <v>1</v>
      </c>
      <c r="P111" s="2">
        <f>IF(AND(VLOOKUP(P$1,test!$A$3:$F$32,5,FALSE) - VLOOKUP($B111,test!$A$3:$G$32,6,FALSE) &gt;= (test!$B$36+VLOOKUP(VLOOKUP($B111,test!$A$2:$I$32,4,FALSE),test!$J$24:$P$28,6,FALSE))/1440),1,0)</f>
        <v>1</v>
      </c>
      <c r="Q111" s="2">
        <f>IF(AND(VLOOKUP(Q$1,test!$A$3:$F$32,5,FALSE) - VLOOKUP($B111,test!$A$3:$G$32,6,FALSE) &gt;= (test!$B$36+VLOOKUP(VLOOKUP($B111,test!$A$2:$I$32,4,FALSE),test!$J$24:$P$28,6,FALSE))/1440),1,0)</f>
        <v>0</v>
      </c>
      <c r="R111" s="2">
        <f>IF(AND(VLOOKUP(R$1,test!$A$3:$F$32,5,FALSE) - VLOOKUP($B111,test!$A$3:$G$32,6,FALSE) &gt;= (test!$B$36+VLOOKUP(VLOOKUP($B111,test!$A$2:$I$32,4,FALSE),test!$J$24:$P$28,6,FALSE))/1440),1,0)</f>
        <v>0</v>
      </c>
      <c r="S111" s="2">
        <f>IF(AND(VLOOKUP(S$1,test!$A$3:$F$32,5,FALSE) - VLOOKUP($B111,test!$A$3:$G$32,6,FALSE) &gt;= (test!$B$36+VLOOKUP(VLOOKUP($B111,test!$A$2:$I$32,4,FALSE),test!$J$24:$P$28,6,FALSE))/1440),1,0)</f>
        <v>0</v>
      </c>
      <c r="T111" s="2">
        <f>IF(AND(VLOOKUP(T$1,test!$A$3:$F$32,5,FALSE) - VLOOKUP($B111,test!$A$3:$G$32,6,FALSE) &gt;= (test!$B$36+VLOOKUP(VLOOKUP($B111,test!$A$2:$I$32,4,FALSE),test!$J$24:$P$28,6,FALSE))/1440),1,0)</f>
        <v>0</v>
      </c>
      <c r="U111" s="2">
        <f>IF(AND(VLOOKUP(U$1,test!$A$3:$F$32,5,FALSE) - VLOOKUP($B111,test!$A$3:$G$32,6,FALSE) &gt;= (test!$B$36+VLOOKUP(VLOOKUP($B111,test!$A$2:$I$32,4,FALSE),test!$J$24:$P$28,6,FALSE))/1440),1,0)</f>
        <v>0</v>
      </c>
      <c r="V111" s="2">
        <f>IF(AND(VLOOKUP(V$1,test!$A$3:$F$32,5,FALSE) - VLOOKUP($B111,test!$A$3:$G$32,6,FALSE) &gt;= (test!$B$36+VLOOKUP(VLOOKUP($B111,test!$A$2:$I$32,4,FALSE),test!$J$24:$P$28,6,FALSE))/1440),1,0)</f>
        <v>1</v>
      </c>
      <c r="W111" s="2">
        <f>IF(AND(VLOOKUP(W$1,test!$A$3:$F$32,5,FALSE) - VLOOKUP($B111,test!$A$3:$G$32,6,FALSE) &gt;= (test!$B$36+VLOOKUP(VLOOKUP($B111,test!$A$2:$I$32,4,FALSE),test!$J$24:$P$28,6,FALSE))/1440),1,0)</f>
        <v>1</v>
      </c>
      <c r="X111" s="2">
        <f>IF(AND(VLOOKUP(X$1,test!$A$3:$F$32,5,FALSE) - VLOOKUP($B111,test!$A$3:$G$32,6,FALSE) &gt;= (test!$B$36+VLOOKUP(VLOOKUP($B111,test!$A$2:$I$32,4,FALSE),test!$J$24:$P$28,6,FALSE))/1440),1,0)</f>
        <v>1</v>
      </c>
      <c r="Y111" s="2">
        <f>IF(AND(VLOOKUP(Y$1,test!$A$3:$F$32,5,FALSE) - VLOOKUP($B111,test!$A$3:$G$32,6,FALSE) &gt;= (test!$B$36+VLOOKUP(VLOOKUP($B111,test!$A$2:$I$32,4,FALSE),test!$J$24:$P$28,6,FALSE))/1440),1,0)</f>
        <v>1</v>
      </c>
      <c r="Z111" s="2">
        <f>IF(AND(VLOOKUP(Z$1,test!$A$3:$F$32,5,FALSE) - VLOOKUP($B111,test!$A$3:$G$32,6,FALSE) &gt;= (test!$B$36+VLOOKUP(VLOOKUP($B111,test!$A$2:$I$32,4,FALSE),test!$J$24:$P$28,6,FALSE))/1440),1,0)</f>
        <v>0</v>
      </c>
      <c r="AA111" s="2">
        <f>IF(AND(VLOOKUP(AA$1,test!$A$3:$F$32,5,FALSE) - VLOOKUP($B111,test!$A$3:$G$32,6,FALSE) &gt;= (test!$B$36+VLOOKUP(VLOOKUP($B111,test!$A$2:$I$32,4,FALSE),test!$J$24:$P$28,6,FALSE))/1440),1,0)</f>
        <v>0</v>
      </c>
      <c r="AB111" s="2">
        <f>IF(AND(VLOOKUP(AB$1,test!$A$3:$F$32,5,FALSE) - VLOOKUP($B111,test!$A$3:$G$32,6,FALSE) &gt;= (test!$B$36+VLOOKUP(VLOOKUP($B111,test!$A$2:$I$32,4,FALSE),test!$J$24:$P$28,6,FALSE))/1440),1,0)</f>
        <v>0</v>
      </c>
      <c r="AC111" s="2">
        <f>IF(AND(VLOOKUP(AC$1,test!$A$3:$F$32,5,FALSE) - VLOOKUP($B111,test!$A$3:$G$32,6,FALSE) &gt;= (test!$B$36+VLOOKUP(VLOOKUP($B111,test!$A$2:$I$32,4,FALSE),test!$J$24:$P$28,6,FALSE))/1440),1,0)</f>
        <v>1</v>
      </c>
      <c r="AD111" s="2">
        <f>IF(AND(VLOOKUP(AD$1,test!$A$3:$F$32,5,FALSE) - VLOOKUP($B111,test!$A$3:$G$32,6,FALSE) &gt;= (test!$B$36+VLOOKUP(VLOOKUP($B111,test!$A$2:$I$32,4,FALSE),test!$J$24:$P$28,6,FALSE))/1440),1,0)</f>
        <v>1</v>
      </c>
      <c r="AE111" s="2">
        <f>IF(AND(VLOOKUP(AE$1,test!$A$3:$F$32,5,FALSE) - VLOOKUP($B111,test!$A$3:$G$32,6,FALSE) &gt;= (test!$B$36+VLOOKUP(VLOOKUP($B111,test!$A$2:$I$32,4,FALSE),test!$J$24:$P$28,6,FALSE))/1440),1,0)</f>
        <v>0</v>
      </c>
      <c r="AF111" s="2">
        <f>IF(AND(VLOOKUP(AF$1,test!$A$3:$F$32,5,FALSE) - VLOOKUP($B111,test!$A$3:$G$32,6,FALSE) &gt;= (test!$B$36+VLOOKUP(VLOOKUP($B111,test!$A$2:$I$32,4,FALSE),test!$J$24:$P$28,6,FALSE))/1440),1,0)</f>
        <v>0</v>
      </c>
      <c r="AG111" s="2">
        <f>IF(AND(VLOOKUP(AG$1,test!$A$3:$F$32,5,FALSE) - VLOOKUP($B111,test!$A$3:$G$32,6,FALSE) &gt;= (test!$B$36+VLOOKUP(VLOOKUP($B111,test!$A$2:$I$32,4,FALSE),test!$J$24:$P$28,6,FALSE))/1440),1,0)</f>
        <v>0</v>
      </c>
    </row>
    <row r="112" spans="1:33" x14ac:dyDescent="0.25">
      <c r="A112" t="s">
        <v>98</v>
      </c>
      <c r="B112" t="s">
        <v>28</v>
      </c>
      <c r="C112">
        <v>0</v>
      </c>
      <c r="D112" s="2">
        <f>IF(AND(VLOOKUP(D$1,test!$A$3:$F$32,5,FALSE) - VLOOKUP($B112,test!$A$3:$G$32,6,FALSE) &gt;= (test!$B$36+VLOOKUP(VLOOKUP($B112,test!$A$2:$I$32,4,FALSE),test!$J$24:$P$28,6,FALSE))/1440),1,0)</f>
        <v>0</v>
      </c>
      <c r="E112" s="2">
        <f>IF(AND(VLOOKUP(E$1,test!$A$3:$F$32,5,FALSE) - VLOOKUP($B112,test!$A$3:$G$32,6,FALSE) &gt;= (test!$B$36+VLOOKUP(VLOOKUP($B112,test!$A$2:$I$32,4,FALSE),test!$J$24:$P$28,6,FALSE))/1440),1,0)</f>
        <v>0</v>
      </c>
      <c r="F112" s="2">
        <f>IF(AND(VLOOKUP(F$1,test!$A$3:$F$32,5,FALSE) - VLOOKUP($B112,test!$A$3:$G$32,6,FALSE) &gt;= (test!$B$36+VLOOKUP(VLOOKUP($B112,test!$A$2:$I$32,4,FALSE),test!$J$24:$P$28,6,FALSE))/1440),1,0)</f>
        <v>0</v>
      </c>
      <c r="G112" s="2">
        <f>IF(AND(VLOOKUP(G$1,test!$A$3:$F$32,5,FALSE) - VLOOKUP($B112,test!$A$3:$G$32,6,FALSE) &gt;= (test!$B$36+VLOOKUP(VLOOKUP($B112,test!$A$2:$I$32,4,FALSE),test!$J$24:$P$28,6,FALSE))/1440),1,0)</f>
        <v>0</v>
      </c>
      <c r="H112" s="2">
        <f>IF(AND(VLOOKUP(H$1,test!$A$3:$F$32,5,FALSE) - VLOOKUP($B112,test!$A$3:$G$32,6,FALSE) &gt;= (test!$B$36+VLOOKUP(VLOOKUP($B112,test!$A$2:$I$32,4,FALSE),test!$J$24:$P$28,6,FALSE))/1440),1,0)</f>
        <v>0</v>
      </c>
      <c r="I112" s="2">
        <f>IF(AND(VLOOKUP(I$1,test!$A$3:$F$32,5,FALSE) - VLOOKUP($B112,test!$A$3:$G$32,6,FALSE) &gt;= (test!$B$36+VLOOKUP(VLOOKUP($B112,test!$A$2:$I$32,4,FALSE),test!$J$24:$P$28,6,FALSE))/1440),1,0)</f>
        <v>1</v>
      </c>
      <c r="J112" s="2">
        <f>IF(AND(VLOOKUP(J$1,test!$A$3:$F$32,5,FALSE) - VLOOKUP($B112,test!$A$3:$G$32,6,FALSE) &gt;= (test!$B$36+VLOOKUP(VLOOKUP($B112,test!$A$2:$I$32,4,FALSE),test!$J$24:$P$28,6,FALSE))/1440),1,0)</f>
        <v>1</v>
      </c>
      <c r="K112" s="2">
        <f>IF(AND(VLOOKUP(K$1,test!$A$3:$F$32,5,FALSE) - VLOOKUP($B112,test!$A$3:$G$32,6,FALSE) &gt;= (test!$B$36+VLOOKUP(VLOOKUP($B112,test!$A$2:$I$32,4,FALSE),test!$J$24:$P$28,6,FALSE))/1440),1,0)</f>
        <v>1</v>
      </c>
      <c r="L112" s="2">
        <f>IF(AND(VLOOKUP(L$1,test!$A$3:$F$32,5,FALSE) - VLOOKUP($B112,test!$A$3:$G$32,6,FALSE) &gt;= (test!$B$36+VLOOKUP(VLOOKUP($B112,test!$A$2:$I$32,4,FALSE),test!$J$24:$P$28,6,FALSE))/1440),1,0)</f>
        <v>0</v>
      </c>
      <c r="M112" s="2">
        <f>IF(AND(VLOOKUP(M$1,test!$A$3:$F$32,5,FALSE) - VLOOKUP($B112,test!$A$3:$G$32,6,FALSE) &gt;= (test!$B$36+VLOOKUP(VLOOKUP($B112,test!$A$2:$I$32,4,FALSE),test!$J$24:$P$28,6,FALSE))/1440),1,0)</f>
        <v>0</v>
      </c>
      <c r="N112" s="2">
        <f>IF(AND(VLOOKUP(N$1,test!$A$3:$F$32,5,FALSE) - VLOOKUP($B112,test!$A$3:$G$32,6,FALSE) &gt;= (test!$B$36+VLOOKUP(VLOOKUP($B112,test!$A$2:$I$32,4,FALSE),test!$J$24:$P$28,6,FALSE))/1440),1,0)</f>
        <v>0</v>
      </c>
      <c r="O112" s="2">
        <f>IF(AND(VLOOKUP(O$1,test!$A$3:$F$32,5,FALSE) - VLOOKUP($B112,test!$A$3:$G$32,6,FALSE) &gt;= (test!$B$36+VLOOKUP(VLOOKUP($B112,test!$A$2:$I$32,4,FALSE),test!$J$24:$P$28,6,FALSE))/1440),1,0)</f>
        <v>1</v>
      </c>
      <c r="P112" s="2">
        <f>IF(AND(VLOOKUP(P$1,test!$A$3:$F$32,5,FALSE) - VLOOKUP($B112,test!$A$3:$G$32,6,FALSE) &gt;= (test!$B$36+VLOOKUP(VLOOKUP($B112,test!$A$2:$I$32,4,FALSE),test!$J$24:$P$28,6,FALSE))/1440),1,0)</f>
        <v>1</v>
      </c>
      <c r="Q112" s="2">
        <f>IF(AND(VLOOKUP(Q$1,test!$A$3:$F$32,5,FALSE) - VLOOKUP($B112,test!$A$3:$G$32,6,FALSE) &gt;= (test!$B$36+VLOOKUP(VLOOKUP($B112,test!$A$2:$I$32,4,FALSE),test!$J$24:$P$28,6,FALSE))/1440),1,0)</f>
        <v>0</v>
      </c>
      <c r="R112" s="2">
        <f>IF(AND(VLOOKUP(R$1,test!$A$3:$F$32,5,FALSE) - VLOOKUP($B112,test!$A$3:$G$32,6,FALSE) &gt;= (test!$B$36+VLOOKUP(VLOOKUP($B112,test!$A$2:$I$32,4,FALSE),test!$J$24:$P$28,6,FALSE))/1440),1,0)</f>
        <v>0</v>
      </c>
      <c r="S112" s="2">
        <f>IF(AND(VLOOKUP(S$1,test!$A$3:$F$32,5,FALSE) - VLOOKUP($B112,test!$A$3:$G$32,6,FALSE) &gt;= (test!$B$36+VLOOKUP(VLOOKUP($B112,test!$A$2:$I$32,4,FALSE),test!$J$24:$P$28,6,FALSE))/1440),1,0)</f>
        <v>0</v>
      </c>
      <c r="T112" s="2">
        <f>IF(AND(VLOOKUP(T$1,test!$A$3:$F$32,5,FALSE) - VLOOKUP($B112,test!$A$3:$G$32,6,FALSE) &gt;= (test!$B$36+VLOOKUP(VLOOKUP($B112,test!$A$2:$I$32,4,FALSE),test!$J$24:$P$28,6,FALSE))/1440),1,0)</f>
        <v>0</v>
      </c>
      <c r="U112" s="2">
        <f>IF(AND(VLOOKUP(U$1,test!$A$3:$F$32,5,FALSE) - VLOOKUP($B112,test!$A$3:$G$32,6,FALSE) &gt;= (test!$B$36+VLOOKUP(VLOOKUP($B112,test!$A$2:$I$32,4,FALSE),test!$J$24:$P$28,6,FALSE))/1440),1,0)</f>
        <v>0</v>
      </c>
      <c r="V112" s="2">
        <f>IF(AND(VLOOKUP(V$1,test!$A$3:$F$32,5,FALSE) - VLOOKUP($B112,test!$A$3:$G$32,6,FALSE) &gt;= (test!$B$36+VLOOKUP(VLOOKUP($B112,test!$A$2:$I$32,4,FALSE),test!$J$24:$P$28,6,FALSE))/1440),1,0)</f>
        <v>0</v>
      </c>
      <c r="W112" s="2">
        <f>IF(AND(VLOOKUP(W$1,test!$A$3:$F$32,5,FALSE) - VLOOKUP($B112,test!$A$3:$G$32,6,FALSE) &gt;= (test!$B$36+VLOOKUP(VLOOKUP($B112,test!$A$2:$I$32,4,FALSE),test!$J$24:$P$28,6,FALSE))/1440),1,0)</f>
        <v>1</v>
      </c>
      <c r="X112" s="2">
        <f>IF(AND(VLOOKUP(X$1,test!$A$3:$F$32,5,FALSE) - VLOOKUP($B112,test!$A$3:$G$32,6,FALSE) &gt;= (test!$B$36+VLOOKUP(VLOOKUP($B112,test!$A$2:$I$32,4,FALSE),test!$J$24:$P$28,6,FALSE))/1440),1,0)</f>
        <v>1</v>
      </c>
      <c r="Y112" s="2">
        <f>IF(AND(VLOOKUP(Y$1,test!$A$3:$F$32,5,FALSE) - VLOOKUP($B112,test!$A$3:$G$32,6,FALSE) &gt;= (test!$B$36+VLOOKUP(VLOOKUP($B112,test!$A$2:$I$32,4,FALSE),test!$J$24:$P$28,6,FALSE))/1440),1,0)</f>
        <v>1</v>
      </c>
      <c r="Z112" s="2">
        <f>IF(AND(VLOOKUP(Z$1,test!$A$3:$F$32,5,FALSE) - VLOOKUP($B112,test!$A$3:$G$32,6,FALSE) &gt;= (test!$B$36+VLOOKUP(VLOOKUP($B112,test!$A$2:$I$32,4,FALSE),test!$J$24:$P$28,6,FALSE))/1440),1,0)</f>
        <v>0</v>
      </c>
      <c r="AA112" s="2">
        <f>IF(AND(VLOOKUP(AA$1,test!$A$3:$F$32,5,FALSE) - VLOOKUP($B112,test!$A$3:$G$32,6,FALSE) &gt;= (test!$B$36+VLOOKUP(VLOOKUP($B112,test!$A$2:$I$32,4,FALSE),test!$J$24:$P$28,6,FALSE))/1440),1,0)</f>
        <v>0</v>
      </c>
      <c r="AB112" s="2">
        <f>IF(AND(VLOOKUP(AB$1,test!$A$3:$F$32,5,FALSE) - VLOOKUP($B112,test!$A$3:$G$32,6,FALSE) &gt;= (test!$B$36+VLOOKUP(VLOOKUP($B112,test!$A$2:$I$32,4,FALSE),test!$J$24:$P$28,6,FALSE))/1440),1,0)</f>
        <v>0</v>
      </c>
      <c r="AC112" s="2">
        <f>IF(AND(VLOOKUP(AC$1,test!$A$3:$F$32,5,FALSE) - VLOOKUP($B112,test!$A$3:$G$32,6,FALSE) &gt;= (test!$B$36+VLOOKUP(VLOOKUP($B112,test!$A$2:$I$32,4,FALSE),test!$J$24:$P$28,6,FALSE))/1440),1,0)</f>
        <v>0</v>
      </c>
      <c r="AD112" s="2">
        <f>IF(AND(VLOOKUP(AD$1,test!$A$3:$F$32,5,FALSE) - VLOOKUP($B112,test!$A$3:$G$32,6,FALSE) &gt;= (test!$B$36+VLOOKUP(VLOOKUP($B112,test!$A$2:$I$32,4,FALSE),test!$J$24:$P$28,6,FALSE))/1440),1,0)</f>
        <v>1</v>
      </c>
      <c r="AE112" s="2">
        <f>IF(AND(VLOOKUP(AE$1,test!$A$3:$F$32,5,FALSE) - VLOOKUP($B112,test!$A$3:$G$32,6,FALSE) &gt;= (test!$B$36+VLOOKUP(VLOOKUP($B112,test!$A$2:$I$32,4,FALSE),test!$J$24:$P$28,6,FALSE))/1440),1,0)</f>
        <v>0</v>
      </c>
      <c r="AF112" s="2">
        <f>IF(AND(VLOOKUP(AF$1,test!$A$3:$F$32,5,FALSE) - VLOOKUP($B112,test!$A$3:$G$32,6,FALSE) &gt;= (test!$B$36+VLOOKUP(VLOOKUP($B112,test!$A$2:$I$32,4,FALSE),test!$J$24:$P$28,6,FALSE))/1440),1,0)</f>
        <v>0</v>
      </c>
      <c r="AG112" s="2">
        <f>IF(AND(VLOOKUP(AG$1,test!$A$3:$F$32,5,FALSE) - VLOOKUP($B112,test!$A$3:$G$32,6,FALSE) &gt;= (test!$B$36+VLOOKUP(VLOOKUP($B112,test!$A$2:$I$32,4,FALSE),test!$J$24:$P$28,6,FALSE))/1440),1,0)</f>
        <v>0</v>
      </c>
    </row>
    <row r="113" spans="1:33" x14ac:dyDescent="0.25">
      <c r="A113" t="s">
        <v>98</v>
      </c>
      <c r="B113" t="s">
        <v>29</v>
      </c>
      <c r="C113">
        <v>0</v>
      </c>
      <c r="D113" s="2">
        <f>IF(AND(VLOOKUP(D$1,test!$A$3:$F$32,5,FALSE) - VLOOKUP($B113,test!$A$3:$G$32,6,FALSE) &gt;= (test!$B$36+VLOOKUP(VLOOKUP($B113,test!$A$2:$I$32,4,FALSE),test!$J$24:$P$28,6,FALSE))/1440),1,0)</f>
        <v>0</v>
      </c>
      <c r="E113" s="2">
        <f>IF(AND(VLOOKUP(E$1,test!$A$3:$F$32,5,FALSE) - VLOOKUP($B113,test!$A$3:$G$32,6,FALSE) &gt;= (test!$B$36+VLOOKUP(VLOOKUP($B113,test!$A$2:$I$32,4,FALSE),test!$J$24:$P$28,6,FALSE))/1440),1,0)</f>
        <v>0</v>
      </c>
      <c r="F113" s="2">
        <f>IF(AND(VLOOKUP(F$1,test!$A$3:$F$32,5,FALSE) - VLOOKUP($B113,test!$A$3:$G$32,6,FALSE) &gt;= (test!$B$36+VLOOKUP(VLOOKUP($B113,test!$A$2:$I$32,4,FALSE),test!$J$24:$P$28,6,FALSE))/1440),1,0)</f>
        <v>0</v>
      </c>
      <c r="G113" s="2">
        <f>IF(AND(VLOOKUP(G$1,test!$A$3:$F$32,5,FALSE) - VLOOKUP($B113,test!$A$3:$G$32,6,FALSE) &gt;= (test!$B$36+VLOOKUP(VLOOKUP($B113,test!$A$2:$I$32,4,FALSE),test!$J$24:$P$28,6,FALSE))/1440),1,0)</f>
        <v>0</v>
      </c>
      <c r="H113" s="2">
        <f>IF(AND(VLOOKUP(H$1,test!$A$3:$F$32,5,FALSE) - VLOOKUP($B113,test!$A$3:$G$32,6,FALSE) &gt;= (test!$B$36+VLOOKUP(VLOOKUP($B113,test!$A$2:$I$32,4,FALSE),test!$J$24:$P$28,6,FALSE))/1440),1,0)</f>
        <v>0</v>
      </c>
      <c r="I113" s="2">
        <f>IF(AND(VLOOKUP(I$1,test!$A$3:$F$32,5,FALSE) - VLOOKUP($B113,test!$A$3:$G$32,6,FALSE) &gt;= (test!$B$36+VLOOKUP(VLOOKUP($B113,test!$A$2:$I$32,4,FALSE),test!$J$24:$P$28,6,FALSE))/1440),1,0)</f>
        <v>0</v>
      </c>
      <c r="J113" s="2">
        <f>IF(AND(VLOOKUP(J$1,test!$A$3:$F$32,5,FALSE) - VLOOKUP($B113,test!$A$3:$G$32,6,FALSE) &gt;= (test!$B$36+VLOOKUP(VLOOKUP($B113,test!$A$2:$I$32,4,FALSE),test!$J$24:$P$28,6,FALSE))/1440),1,0)</f>
        <v>1</v>
      </c>
      <c r="K113" s="2">
        <f>IF(AND(VLOOKUP(K$1,test!$A$3:$F$32,5,FALSE) - VLOOKUP($B113,test!$A$3:$G$32,6,FALSE) &gt;= (test!$B$36+VLOOKUP(VLOOKUP($B113,test!$A$2:$I$32,4,FALSE),test!$J$24:$P$28,6,FALSE))/1440),1,0)</f>
        <v>1</v>
      </c>
      <c r="L113" s="2">
        <f>IF(AND(VLOOKUP(L$1,test!$A$3:$F$32,5,FALSE) - VLOOKUP($B113,test!$A$3:$G$32,6,FALSE) &gt;= (test!$B$36+VLOOKUP(VLOOKUP($B113,test!$A$2:$I$32,4,FALSE),test!$J$24:$P$28,6,FALSE))/1440),1,0)</f>
        <v>0</v>
      </c>
      <c r="M113" s="2">
        <f>IF(AND(VLOOKUP(M$1,test!$A$3:$F$32,5,FALSE) - VLOOKUP($B113,test!$A$3:$G$32,6,FALSE) &gt;= (test!$B$36+VLOOKUP(VLOOKUP($B113,test!$A$2:$I$32,4,FALSE),test!$J$24:$P$28,6,FALSE))/1440),1,0)</f>
        <v>0</v>
      </c>
      <c r="N113" s="2">
        <f>IF(AND(VLOOKUP(N$1,test!$A$3:$F$32,5,FALSE) - VLOOKUP($B113,test!$A$3:$G$32,6,FALSE) &gt;= (test!$B$36+VLOOKUP(VLOOKUP($B113,test!$A$2:$I$32,4,FALSE),test!$J$24:$P$28,6,FALSE))/1440),1,0)</f>
        <v>0</v>
      </c>
      <c r="O113" s="2">
        <f>IF(AND(VLOOKUP(O$1,test!$A$3:$F$32,5,FALSE) - VLOOKUP($B113,test!$A$3:$G$32,6,FALSE) &gt;= (test!$B$36+VLOOKUP(VLOOKUP($B113,test!$A$2:$I$32,4,FALSE),test!$J$24:$P$28,6,FALSE))/1440),1,0)</f>
        <v>1</v>
      </c>
      <c r="P113" s="2">
        <f>IF(AND(VLOOKUP(P$1,test!$A$3:$F$32,5,FALSE) - VLOOKUP($B113,test!$A$3:$G$32,6,FALSE) &gt;= (test!$B$36+VLOOKUP(VLOOKUP($B113,test!$A$2:$I$32,4,FALSE),test!$J$24:$P$28,6,FALSE))/1440),1,0)</f>
        <v>1</v>
      </c>
      <c r="Q113" s="2">
        <f>IF(AND(VLOOKUP(Q$1,test!$A$3:$F$32,5,FALSE) - VLOOKUP($B113,test!$A$3:$G$32,6,FALSE) &gt;= (test!$B$36+VLOOKUP(VLOOKUP($B113,test!$A$2:$I$32,4,FALSE),test!$J$24:$P$28,6,FALSE))/1440),1,0)</f>
        <v>0</v>
      </c>
      <c r="R113" s="2">
        <f>IF(AND(VLOOKUP(R$1,test!$A$3:$F$32,5,FALSE) - VLOOKUP($B113,test!$A$3:$G$32,6,FALSE) &gt;= (test!$B$36+VLOOKUP(VLOOKUP($B113,test!$A$2:$I$32,4,FALSE),test!$J$24:$P$28,6,FALSE))/1440),1,0)</f>
        <v>0</v>
      </c>
      <c r="S113" s="2">
        <f>IF(AND(VLOOKUP(S$1,test!$A$3:$F$32,5,FALSE) - VLOOKUP($B113,test!$A$3:$G$32,6,FALSE) &gt;= (test!$B$36+VLOOKUP(VLOOKUP($B113,test!$A$2:$I$32,4,FALSE),test!$J$24:$P$28,6,FALSE))/1440),1,0)</f>
        <v>0</v>
      </c>
      <c r="T113" s="2">
        <f>IF(AND(VLOOKUP(T$1,test!$A$3:$F$32,5,FALSE) - VLOOKUP($B113,test!$A$3:$G$32,6,FALSE) &gt;= (test!$B$36+VLOOKUP(VLOOKUP($B113,test!$A$2:$I$32,4,FALSE),test!$J$24:$P$28,6,FALSE))/1440),1,0)</f>
        <v>0</v>
      </c>
      <c r="U113" s="2">
        <f>IF(AND(VLOOKUP(U$1,test!$A$3:$F$32,5,FALSE) - VLOOKUP($B113,test!$A$3:$G$32,6,FALSE) &gt;= (test!$B$36+VLOOKUP(VLOOKUP($B113,test!$A$2:$I$32,4,FALSE),test!$J$24:$P$28,6,FALSE))/1440),1,0)</f>
        <v>0</v>
      </c>
      <c r="V113" s="2">
        <f>IF(AND(VLOOKUP(V$1,test!$A$3:$F$32,5,FALSE) - VLOOKUP($B113,test!$A$3:$G$32,6,FALSE) &gt;= (test!$B$36+VLOOKUP(VLOOKUP($B113,test!$A$2:$I$32,4,FALSE),test!$J$24:$P$28,6,FALSE))/1440),1,0)</f>
        <v>0</v>
      </c>
      <c r="W113" s="2">
        <f>IF(AND(VLOOKUP(W$1,test!$A$3:$F$32,5,FALSE) - VLOOKUP($B113,test!$A$3:$G$32,6,FALSE) &gt;= (test!$B$36+VLOOKUP(VLOOKUP($B113,test!$A$2:$I$32,4,FALSE),test!$J$24:$P$28,6,FALSE))/1440),1,0)</f>
        <v>0</v>
      </c>
      <c r="X113" s="2">
        <f>IF(AND(VLOOKUP(X$1,test!$A$3:$F$32,5,FALSE) - VLOOKUP($B113,test!$A$3:$G$32,6,FALSE) &gt;= (test!$B$36+VLOOKUP(VLOOKUP($B113,test!$A$2:$I$32,4,FALSE),test!$J$24:$P$28,6,FALSE))/1440),1,0)</f>
        <v>1</v>
      </c>
      <c r="Y113" s="2">
        <f>IF(AND(VLOOKUP(Y$1,test!$A$3:$F$32,5,FALSE) - VLOOKUP($B113,test!$A$3:$G$32,6,FALSE) &gt;= (test!$B$36+VLOOKUP(VLOOKUP($B113,test!$A$2:$I$32,4,FALSE),test!$J$24:$P$28,6,FALSE))/1440),1,0)</f>
        <v>1</v>
      </c>
      <c r="Z113" s="2">
        <f>IF(AND(VLOOKUP(Z$1,test!$A$3:$F$32,5,FALSE) - VLOOKUP($B113,test!$A$3:$G$32,6,FALSE) &gt;= (test!$B$36+VLOOKUP(VLOOKUP($B113,test!$A$2:$I$32,4,FALSE),test!$J$24:$P$28,6,FALSE))/1440),1,0)</f>
        <v>0</v>
      </c>
      <c r="AA113" s="2">
        <f>IF(AND(VLOOKUP(AA$1,test!$A$3:$F$32,5,FALSE) - VLOOKUP($B113,test!$A$3:$G$32,6,FALSE) &gt;= (test!$B$36+VLOOKUP(VLOOKUP($B113,test!$A$2:$I$32,4,FALSE),test!$J$24:$P$28,6,FALSE))/1440),1,0)</f>
        <v>0</v>
      </c>
      <c r="AB113" s="2">
        <f>IF(AND(VLOOKUP(AB$1,test!$A$3:$F$32,5,FALSE) - VLOOKUP($B113,test!$A$3:$G$32,6,FALSE) &gt;= (test!$B$36+VLOOKUP(VLOOKUP($B113,test!$A$2:$I$32,4,FALSE),test!$J$24:$P$28,6,FALSE))/1440),1,0)</f>
        <v>0</v>
      </c>
      <c r="AC113" s="2">
        <f>IF(AND(VLOOKUP(AC$1,test!$A$3:$F$32,5,FALSE) - VLOOKUP($B113,test!$A$3:$G$32,6,FALSE) &gt;= (test!$B$36+VLOOKUP(VLOOKUP($B113,test!$A$2:$I$32,4,FALSE),test!$J$24:$P$28,6,FALSE))/1440),1,0)</f>
        <v>0</v>
      </c>
      <c r="AD113" s="2">
        <f>IF(AND(VLOOKUP(AD$1,test!$A$3:$F$32,5,FALSE) - VLOOKUP($B113,test!$A$3:$G$32,6,FALSE) &gt;= (test!$B$36+VLOOKUP(VLOOKUP($B113,test!$A$2:$I$32,4,FALSE),test!$J$24:$P$28,6,FALSE))/1440),1,0)</f>
        <v>0</v>
      </c>
      <c r="AE113" s="2">
        <f>IF(AND(VLOOKUP(AE$1,test!$A$3:$F$32,5,FALSE) - VLOOKUP($B113,test!$A$3:$G$32,6,FALSE) &gt;= (test!$B$36+VLOOKUP(VLOOKUP($B113,test!$A$2:$I$32,4,FALSE),test!$J$24:$P$28,6,FALSE))/1440),1,0)</f>
        <v>0</v>
      </c>
      <c r="AF113" s="2">
        <f>IF(AND(VLOOKUP(AF$1,test!$A$3:$F$32,5,FALSE) - VLOOKUP($B113,test!$A$3:$G$32,6,FALSE) &gt;= (test!$B$36+VLOOKUP(VLOOKUP($B113,test!$A$2:$I$32,4,FALSE),test!$J$24:$P$28,6,FALSE))/1440),1,0)</f>
        <v>0</v>
      </c>
      <c r="AG113" s="2">
        <f>IF(AND(VLOOKUP(AG$1,test!$A$3:$F$32,5,FALSE) - VLOOKUP($B113,test!$A$3:$G$32,6,FALSE) &gt;= (test!$B$36+VLOOKUP(VLOOKUP($B113,test!$A$2:$I$32,4,FALSE),test!$J$24:$P$28,6,FALSE))/1440),1,0)</f>
        <v>0</v>
      </c>
    </row>
    <row r="114" spans="1:33" x14ac:dyDescent="0.25">
      <c r="A114" t="s">
        <v>98</v>
      </c>
      <c r="B114" t="s">
        <v>30</v>
      </c>
      <c r="C114">
        <v>0</v>
      </c>
      <c r="D114" s="2">
        <f>IF(AND(VLOOKUP(D$1,test!$A$3:$F$32,5,FALSE) - VLOOKUP($B114,test!$A$3:$G$32,6,FALSE) &gt;= (test!$B$36+VLOOKUP(VLOOKUP($B114,test!$A$2:$I$32,4,FALSE),test!$J$24:$P$28,6,FALSE))/1440),1,0)</f>
        <v>0</v>
      </c>
      <c r="E114" s="2">
        <f>IF(AND(VLOOKUP(E$1,test!$A$3:$F$32,5,FALSE) - VLOOKUP($B114,test!$A$3:$G$32,6,FALSE) &gt;= (test!$B$36+VLOOKUP(VLOOKUP($B114,test!$A$2:$I$32,4,FALSE),test!$J$24:$P$28,6,FALSE))/1440),1,0)</f>
        <v>0</v>
      </c>
      <c r="F114" s="2">
        <f>IF(AND(VLOOKUP(F$1,test!$A$3:$F$32,5,FALSE) - VLOOKUP($B114,test!$A$3:$G$32,6,FALSE) &gt;= (test!$B$36+VLOOKUP(VLOOKUP($B114,test!$A$2:$I$32,4,FALSE),test!$J$24:$P$28,6,FALSE))/1440),1,0)</f>
        <v>0</v>
      </c>
      <c r="G114" s="2">
        <f>IF(AND(VLOOKUP(G$1,test!$A$3:$F$32,5,FALSE) - VLOOKUP($B114,test!$A$3:$G$32,6,FALSE) &gt;= (test!$B$36+VLOOKUP(VLOOKUP($B114,test!$A$2:$I$32,4,FALSE),test!$J$24:$P$28,6,FALSE))/1440),1,0)</f>
        <v>0</v>
      </c>
      <c r="H114" s="2">
        <f>IF(AND(VLOOKUP(H$1,test!$A$3:$F$32,5,FALSE) - VLOOKUP($B114,test!$A$3:$G$32,6,FALSE) &gt;= (test!$B$36+VLOOKUP(VLOOKUP($B114,test!$A$2:$I$32,4,FALSE),test!$J$24:$P$28,6,FALSE))/1440),1,0)</f>
        <v>0</v>
      </c>
      <c r="I114" s="2">
        <f>IF(AND(VLOOKUP(I$1,test!$A$3:$F$32,5,FALSE) - VLOOKUP($B114,test!$A$3:$G$32,6,FALSE) &gt;= (test!$B$36+VLOOKUP(VLOOKUP($B114,test!$A$2:$I$32,4,FALSE),test!$J$24:$P$28,6,FALSE))/1440),1,0)</f>
        <v>0</v>
      </c>
      <c r="J114" s="2">
        <f>IF(AND(VLOOKUP(J$1,test!$A$3:$F$32,5,FALSE) - VLOOKUP($B114,test!$A$3:$G$32,6,FALSE) &gt;= (test!$B$36+VLOOKUP(VLOOKUP($B114,test!$A$2:$I$32,4,FALSE),test!$J$24:$P$28,6,FALSE))/1440),1,0)</f>
        <v>0</v>
      </c>
      <c r="K114" s="2">
        <f>IF(AND(VLOOKUP(K$1,test!$A$3:$F$32,5,FALSE) - VLOOKUP($B114,test!$A$3:$G$32,6,FALSE) &gt;= (test!$B$36+VLOOKUP(VLOOKUP($B114,test!$A$2:$I$32,4,FALSE),test!$J$24:$P$28,6,FALSE))/1440),1,0)</f>
        <v>1</v>
      </c>
      <c r="L114" s="2">
        <f>IF(AND(VLOOKUP(L$1,test!$A$3:$F$32,5,FALSE) - VLOOKUP($B114,test!$A$3:$G$32,6,FALSE) &gt;= (test!$B$36+VLOOKUP(VLOOKUP($B114,test!$A$2:$I$32,4,FALSE),test!$J$24:$P$28,6,FALSE))/1440),1,0)</f>
        <v>0</v>
      </c>
      <c r="M114" s="2">
        <f>IF(AND(VLOOKUP(M$1,test!$A$3:$F$32,5,FALSE) - VLOOKUP($B114,test!$A$3:$G$32,6,FALSE) &gt;= (test!$B$36+VLOOKUP(VLOOKUP($B114,test!$A$2:$I$32,4,FALSE),test!$J$24:$P$28,6,FALSE))/1440),1,0)</f>
        <v>0</v>
      </c>
      <c r="N114" s="2">
        <f>IF(AND(VLOOKUP(N$1,test!$A$3:$F$32,5,FALSE) - VLOOKUP($B114,test!$A$3:$G$32,6,FALSE) &gt;= (test!$B$36+VLOOKUP(VLOOKUP($B114,test!$A$2:$I$32,4,FALSE),test!$J$24:$P$28,6,FALSE))/1440),1,0)</f>
        <v>0</v>
      </c>
      <c r="O114" s="2">
        <f>IF(AND(VLOOKUP(O$1,test!$A$3:$F$32,5,FALSE) - VLOOKUP($B114,test!$A$3:$G$32,6,FALSE) &gt;= (test!$B$36+VLOOKUP(VLOOKUP($B114,test!$A$2:$I$32,4,FALSE),test!$J$24:$P$28,6,FALSE))/1440),1,0)</f>
        <v>0</v>
      </c>
      <c r="P114" s="2">
        <f>IF(AND(VLOOKUP(P$1,test!$A$3:$F$32,5,FALSE) - VLOOKUP($B114,test!$A$3:$G$32,6,FALSE) &gt;= (test!$B$36+VLOOKUP(VLOOKUP($B114,test!$A$2:$I$32,4,FALSE),test!$J$24:$P$28,6,FALSE))/1440),1,0)</f>
        <v>1</v>
      </c>
      <c r="Q114" s="2">
        <f>IF(AND(VLOOKUP(Q$1,test!$A$3:$F$32,5,FALSE) - VLOOKUP($B114,test!$A$3:$G$32,6,FALSE) &gt;= (test!$B$36+VLOOKUP(VLOOKUP($B114,test!$A$2:$I$32,4,FALSE),test!$J$24:$P$28,6,FALSE))/1440),1,0)</f>
        <v>0</v>
      </c>
      <c r="R114" s="2">
        <f>IF(AND(VLOOKUP(R$1,test!$A$3:$F$32,5,FALSE) - VLOOKUP($B114,test!$A$3:$G$32,6,FALSE) &gt;= (test!$B$36+VLOOKUP(VLOOKUP($B114,test!$A$2:$I$32,4,FALSE),test!$J$24:$P$28,6,FALSE))/1440),1,0)</f>
        <v>0</v>
      </c>
      <c r="S114" s="2">
        <f>IF(AND(VLOOKUP(S$1,test!$A$3:$F$32,5,FALSE) - VLOOKUP($B114,test!$A$3:$G$32,6,FALSE) &gt;= (test!$B$36+VLOOKUP(VLOOKUP($B114,test!$A$2:$I$32,4,FALSE),test!$J$24:$P$28,6,FALSE))/1440),1,0)</f>
        <v>0</v>
      </c>
      <c r="T114" s="2">
        <f>IF(AND(VLOOKUP(T$1,test!$A$3:$F$32,5,FALSE) - VLOOKUP($B114,test!$A$3:$G$32,6,FALSE) &gt;= (test!$B$36+VLOOKUP(VLOOKUP($B114,test!$A$2:$I$32,4,FALSE),test!$J$24:$P$28,6,FALSE))/1440),1,0)</f>
        <v>0</v>
      </c>
      <c r="U114" s="2">
        <f>IF(AND(VLOOKUP(U$1,test!$A$3:$F$32,5,FALSE) - VLOOKUP($B114,test!$A$3:$G$32,6,FALSE) &gt;= (test!$B$36+VLOOKUP(VLOOKUP($B114,test!$A$2:$I$32,4,FALSE),test!$J$24:$P$28,6,FALSE))/1440),1,0)</f>
        <v>0</v>
      </c>
      <c r="V114" s="2">
        <f>IF(AND(VLOOKUP(V$1,test!$A$3:$F$32,5,FALSE) - VLOOKUP($B114,test!$A$3:$G$32,6,FALSE) &gt;= (test!$B$36+VLOOKUP(VLOOKUP($B114,test!$A$2:$I$32,4,FALSE),test!$J$24:$P$28,6,FALSE))/1440),1,0)</f>
        <v>0</v>
      </c>
      <c r="W114" s="2">
        <f>IF(AND(VLOOKUP(W$1,test!$A$3:$F$32,5,FALSE) - VLOOKUP($B114,test!$A$3:$G$32,6,FALSE) &gt;= (test!$B$36+VLOOKUP(VLOOKUP($B114,test!$A$2:$I$32,4,FALSE),test!$J$24:$P$28,6,FALSE))/1440),1,0)</f>
        <v>0</v>
      </c>
      <c r="X114" s="2">
        <f>IF(AND(VLOOKUP(X$1,test!$A$3:$F$32,5,FALSE) - VLOOKUP($B114,test!$A$3:$G$32,6,FALSE) &gt;= (test!$B$36+VLOOKUP(VLOOKUP($B114,test!$A$2:$I$32,4,FALSE),test!$J$24:$P$28,6,FALSE))/1440),1,0)</f>
        <v>0</v>
      </c>
      <c r="Y114" s="2">
        <f>IF(AND(VLOOKUP(Y$1,test!$A$3:$F$32,5,FALSE) - VLOOKUP($B114,test!$A$3:$G$32,6,FALSE) &gt;= (test!$B$36+VLOOKUP(VLOOKUP($B114,test!$A$2:$I$32,4,FALSE),test!$J$24:$P$28,6,FALSE))/1440),1,0)</f>
        <v>0</v>
      </c>
      <c r="Z114" s="2">
        <f>IF(AND(VLOOKUP(Z$1,test!$A$3:$F$32,5,FALSE) - VLOOKUP($B114,test!$A$3:$G$32,6,FALSE) &gt;= (test!$B$36+VLOOKUP(VLOOKUP($B114,test!$A$2:$I$32,4,FALSE),test!$J$24:$P$28,6,FALSE))/1440),1,0)</f>
        <v>0</v>
      </c>
      <c r="AA114" s="2">
        <f>IF(AND(VLOOKUP(AA$1,test!$A$3:$F$32,5,FALSE) - VLOOKUP($B114,test!$A$3:$G$32,6,FALSE) &gt;= (test!$B$36+VLOOKUP(VLOOKUP($B114,test!$A$2:$I$32,4,FALSE),test!$J$24:$P$28,6,FALSE))/1440),1,0)</f>
        <v>0</v>
      </c>
      <c r="AB114" s="2">
        <f>IF(AND(VLOOKUP(AB$1,test!$A$3:$F$32,5,FALSE) - VLOOKUP($B114,test!$A$3:$G$32,6,FALSE) &gt;= (test!$B$36+VLOOKUP(VLOOKUP($B114,test!$A$2:$I$32,4,FALSE),test!$J$24:$P$28,6,FALSE))/1440),1,0)</f>
        <v>0</v>
      </c>
      <c r="AC114" s="2">
        <f>IF(AND(VLOOKUP(AC$1,test!$A$3:$F$32,5,FALSE) - VLOOKUP($B114,test!$A$3:$G$32,6,FALSE) &gt;= (test!$B$36+VLOOKUP(VLOOKUP($B114,test!$A$2:$I$32,4,FALSE),test!$J$24:$P$28,6,FALSE))/1440),1,0)</f>
        <v>0</v>
      </c>
      <c r="AD114" s="2">
        <f>IF(AND(VLOOKUP(AD$1,test!$A$3:$F$32,5,FALSE) - VLOOKUP($B114,test!$A$3:$G$32,6,FALSE) &gt;= (test!$B$36+VLOOKUP(VLOOKUP($B114,test!$A$2:$I$32,4,FALSE),test!$J$24:$P$28,6,FALSE))/1440),1,0)</f>
        <v>0</v>
      </c>
      <c r="AE114" s="2">
        <f>IF(AND(VLOOKUP(AE$1,test!$A$3:$F$32,5,FALSE) - VLOOKUP($B114,test!$A$3:$G$32,6,FALSE) &gt;= (test!$B$36+VLOOKUP(VLOOKUP($B114,test!$A$2:$I$32,4,FALSE),test!$J$24:$P$28,6,FALSE))/1440),1,0)</f>
        <v>0</v>
      </c>
      <c r="AF114" s="2">
        <f>IF(AND(VLOOKUP(AF$1,test!$A$3:$F$32,5,FALSE) - VLOOKUP($B114,test!$A$3:$G$32,6,FALSE) &gt;= (test!$B$36+VLOOKUP(VLOOKUP($B114,test!$A$2:$I$32,4,FALSE),test!$J$24:$P$28,6,FALSE))/1440),1,0)</f>
        <v>0</v>
      </c>
      <c r="AG114" s="2">
        <f>IF(AND(VLOOKUP(AG$1,test!$A$3:$F$32,5,FALSE) - VLOOKUP($B114,test!$A$3:$G$32,6,FALSE) &gt;= (test!$B$36+VLOOKUP(VLOOKUP($B114,test!$A$2:$I$32,4,FALSE),test!$J$24:$P$28,6,FALSE))/1440),1,0)</f>
        <v>0</v>
      </c>
    </row>
    <row r="115" spans="1:33" x14ac:dyDescent="0.25">
      <c r="A115" t="s">
        <v>98</v>
      </c>
      <c r="B115" t="s">
        <v>31</v>
      </c>
      <c r="C115">
        <v>0</v>
      </c>
      <c r="D115" s="2">
        <f>IF(AND(VLOOKUP(D$1,test!$A$3:$F$32,5,FALSE) - VLOOKUP($B115,test!$A$3:$G$32,6,FALSE) &gt;= (test!$B$36+VLOOKUP(VLOOKUP($B115,test!$A$2:$I$32,4,FALSE),test!$J$24:$P$28,6,FALSE))/1440),1,0)</f>
        <v>0</v>
      </c>
      <c r="E115" s="2">
        <f>IF(AND(VLOOKUP(E$1,test!$A$3:$F$32,5,FALSE) - VLOOKUP($B115,test!$A$3:$G$32,6,FALSE) &gt;= (test!$B$36+VLOOKUP(VLOOKUP($B115,test!$A$2:$I$32,4,FALSE),test!$J$24:$P$28,6,FALSE))/1440),1,0)</f>
        <v>0</v>
      </c>
      <c r="F115" s="2">
        <f>IF(AND(VLOOKUP(F$1,test!$A$3:$F$32,5,FALSE) - VLOOKUP($B115,test!$A$3:$G$32,6,FALSE) &gt;= (test!$B$36+VLOOKUP(VLOOKUP($B115,test!$A$2:$I$32,4,FALSE),test!$J$24:$P$28,6,FALSE))/1440),1,0)</f>
        <v>0</v>
      </c>
      <c r="G115" s="2">
        <f>IF(AND(VLOOKUP(G$1,test!$A$3:$F$32,5,FALSE) - VLOOKUP($B115,test!$A$3:$G$32,6,FALSE) &gt;= (test!$B$36+VLOOKUP(VLOOKUP($B115,test!$A$2:$I$32,4,FALSE),test!$J$24:$P$28,6,FALSE))/1440),1,0)</f>
        <v>0</v>
      </c>
      <c r="H115" s="2">
        <f>IF(AND(VLOOKUP(H$1,test!$A$3:$F$32,5,FALSE) - VLOOKUP($B115,test!$A$3:$G$32,6,FALSE) &gt;= (test!$B$36+VLOOKUP(VLOOKUP($B115,test!$A$2:$I$32,4,FALSE),test!$J$24:$P$28,6,FALSE))/1440),1,0)</f>
        <v>0</v>
      </c>
      <c r="I115" s="2">
        <f>IF(AND(VLOOKUP(I$1,test!$A$3:$F$32,5,FALSE) - VLOOKUP($B115,test!$A$3:$G$32,6,FALSE) &gt;= (test!$B$36+VLOOKUP(VLOOKUP($B115,test!$A$2:$I$32,4,FALSE),test!$J$24:$P$28,6,FALSE))/1440),1,0)</f>
        <v>0</v>
      </c>
      <c r="J115" s="2">
        <f>IF(AND(VLOOKUP(J$1,test!$A$3:$F$32,5,FALSE) - VLOOKUP($B115,test!$A$3:$G$32,6,FALSE) &gt;= (test!$B$36+VLOOKUP(VLOOKUP($B115,test!$A$2:$I$32,4,FALSE),test!$J$24:$P$28,6,FALSE))/1440),1,0)</f>
        <v>0</v>
      </c>
      <c r="K115" s="2">
        <f>IF(AND(VLOOKUP(K$1,test!$A$3:$F$32,5,FALSE) - VLOOKUP($B115,test!$A$3:$G$32,6,FALSE) &gt;= (test!$B$36+VLOOKUP(VLOOKUP($B115,test!$A$2:$I$32,4,FALSE),test!$J$24:$P$28,6,FALSE))/1440),1,0)</f>
        <v>0</v>
      </c>
      <c r="L115" s="2">
        <f>IF(AND(VLOOKUP(L$1,test!$A$3:$F$32,5,FALSE) - VLOOKUP($B115,test!$A$3:$G$32,6,FALSE) &gt;= (test!$B$36+VLOOKUP(VLOOKUP($B115,test!$A$2:$I$32,4,FALSE),test!$J$24:$P$28,6,FALSE))/1440),1,0)</f>
        <v>0</v>
      </c>
      <c r="M115" s="2">
        <f>IF(AND(VLOOKUP(M$1,test!$A$3:$F$32,5,FALSE) - VLOOKUP($B115,test!$A$3:$G$32,6,FALSE) &gt;= (test!$B$36+VLOOKUP(VLOOKUP($B115,test!$A$2:$I$32,4,FALSE),test!$J$24:$P$28,6,FALSE))/1440),1,0)</f>
        <v>0</v>
      </c>
      <c r="N115" s="2">
        <f>IF(AND(VLOOKUP(N$1,test!$A$3:$F$32,5,FALSE) - VLOOKUP($B115,test!$A$3:$G$32,6,FALSE) &gt;= (test!$B$36+VLOOKUP(VLOOKUP($B115,test!$A$2:$I$32,4,FALSE),test!$J$24:$P$28,6,FALSE))/1440),1,0)</f>
        <v>0</v>
      </c>
      <c r="O115" s="2">
        <f>IF(AND(VLOOKUP(O$1,test!$A$3:$F$32,5,FALSE) - VLOOKUP($B115,test!$A$3:$G$32,6,FALSE) &gt;= (test!$B$36+VLOOKUP(VLOOKUP($B115,test!$A$2:$I$32,4,FALSE),test!$J$24:$P$28,6,FALSE))/1440),1,0)</f>
        <v>0</v>
      </c>
      <c r="P115" s="2">
        <f>IF(AND(VLOOKUP(P$1,test!$A$3:$F$32,5,FALSE) - VLOOKUP($B115,test!$A$3:$G$32,6,FALSE) &gt;= (test!$B$36+VLOOKUP(VLOOKUP($B115,test!$A$2:$I$32,4,FALSE),test!$J$24:$P$28,6,FALSE))/1440),1,0)</f>
        <v>0</v>
      </c>
      <c r="Q115" s="2">
        <f>IF(AND(VLOOKUP(Q$1,test!$A$3:$F$32,5,FALSE) - VLOOKUP($B115,test!$A$3:$G$32,6,FALSE) &gt;= (test!$B$36+VLOOKUP(VLOOKUP($B115,test!$A$2:$I$32,4,FALSE),test!$J$24:$P$28,6,FALSE))/1440),1,0)</f>
        <v>0</v>
      </c>
      <c r="R115" s="2">
        <f>IF(AND(VLOOKUP(R$1,test!$A$3:$F$32,5,FALSE) - VLOOKUP($B115,test!$A$3:$G$32,6,FALSE) &gt;= (test!$B$36+VLOOKUP(VLOOKUP($B115,test!$A$2:$I$32,4,FALSE),test!$J$24:$P$28,6,FALSE))/1440),1,0)</f>
        <v>0</v>
      </c>
      <c r="S115" s="2">
        <f>IF(AND(VLOOKUP(S$1,test!$A$3:$F$32,5,FALSE) - VLOOKUP($B115,test!$A$3:$G$32,6,FALSE) &gt;= (test!$B$36+VLOOKUP(VLOOKUP($B115,test!$A$2:$I$32,4,FALSE),test!$J$24:$P$28,6,FALSE))/1440),1,0)</f>
        <v>0</v>
      </c>
      <c r="T115" s="2">
        <f>IF(AND(VLOOKUP(T$1,test!$A$3:$F$32,5,FALSE) - VLOOKUP($B115,test!$A$3:$G$32,6,FALSE) &gt;= (test!$B$36+VLOOKUP(VLOOKUP($B115,test!$A$2:$I$32,4,FALSE),test!$J$24:$P$28,6,FALSE))/1440),1,0)</f>
        <v>0</v>
      </c>
      <c r="U115" s="2">
        <f>IF(AND(VLOOKUP(U$1,test!$A$3:$F$32,5,FALSE) - VLOOKUP($B115,test!$A$3:$G$32,6,FALSE) &gt;= (test!$B$36+VLOOKUP(VLOOKUP($B115,test!$A$2:$I$32,4,FALSE),test!$J$24:$P$28,6,FALSE))/1440),1,0)</f>
        <v>0</v>
      </c>
      <c r="V115" s="2">
        <f>IF(AND(VLOOKUP(V$1,test!$A$3:$F$32,5,FALSE) - VLOOKUP($B115,test!$A$3:$G$32,6,FALSE) &gt;= (test!$B$36+VLOOKUP(VLOOKUP($B115,test!$A$2:$I$32,4,FALSE),test!$J$24:$P$28,6,FALSE))/1440),1,0)</f>
        <v>0</v>
      </c>
      <c r="W115" s="2">
        <f>IF(AND(VLOOKUP(W$1,test!$A$3:$F$32,5,FALSE) - VLOOKUP($B115,test!$A$3:$G$32,6,FALSE) &gt;= (test!$B$36+VLOOKUP(VLOOKUP($B115,test!$A$2:$I$32,4,FALSE),test!$J$24:$P$28,6,FALSE))/1440),1,0)</f>
        <v>0</v>
      </c>
      <c r="X115" s="2">
        <f>IF(AND(VLOOKUP(X$1,test!$A$3:$F$32,5,FALSE) - VLOOKUP($B115,test!$A$3:$G$32,6,FALSE) &gt;= (test!$B$36+VLOOKUP(VLOOKUP($B115,test!$A$2:$I$32,4,FALSE),test!$J$24:$P$28,6,FALSE))/1440),1,0)</f>
        <v>0</v>
      </c>
      <c r="Y115" s="2">
        <f>IF(AND(VLOOKUP(Y$1,test!$A$3:$F$32,5,FALSE) - VLOOKUP($B115,test!$A$3:$G$32,6,FALSE) &gt;= (test!$B$36+VLOOKUP(VLOOKUP($B115,test!$A$2:$I$32,4,FALSE),test!$J$24:$P$28,6,FALSE))/1440),1,0)</f>
        <v>0</v>
      </c>
      <c r="Z115" s="2">
        <f>IF(AND(VLOOKUP(Z$1,test!$A$3:$F$32,5,FALSE) - VLOOKUP($B115,test!$A$3:$G$32,6,FALSE) &gt;= (test!$B$36+VLOOKUP(VLOOKUP($B115,test!$A$2:$I$32,4,FALSE),test!$J$24:$P$28,6,FALSE))/1440),1,0)</f>
        <v>0</v>
      </c>
      <c r="AA115" s="2">
        <f>IF(AND(VLOOKUP(AA$1,test!$A$3:$F$32,5,FALSE) - VLOOKUP($B115,test!$A$3:$G$32,6,FALSE) &gt;= (test!$B$36+VLOOKUP(VLOOKUP($B115,test!$A$2:$I$32,4,FALSE),test!$J$24:$P$28,6,FALSE))/1440),1,0)</f>
        <v>0</v>
      </c>
      <c r="AB115" s="2">
        <f>IF(AND(VLOOKUP(AB$1,test!$A$3:$F$32,5,FALSE) - VLOOKUP($B115,test!$A$3:$G$32,6,FALSE) &gt;= (test!$B$36+VLOOKUP(VLOOKUP($B115,test!$A$2:$I$32,4,FALSE),test!$J$24:$P$28,6,FALSE))/1440),1,0)</f>
        <v>0</v>
      </c>
      <c r="AC115" s="2">
        <f>IF(AND(VLOOKUP(AC$1,test!$A$3:$F$32,5,FALSE) - VLOOKUP($B115,test!$A$3:$G$32,6,FALSE) &gt;= (test!$B$36+VLOOKUP(VLOOKUP($B115,test!$A$2:$I$32,4,FALSE),test!$J$24:$P$28,6,FALSE))/1440),1,0)</f>
        <v>0</v>
      </c>
      <c r="AD115" s="2">
        <f>IF(AND(VLOOKUP(AD$1,test!$A$3:$F$32,5,FALSE) - VLOOKUP($B115,test!$A$3:$G$32,6,FALSE) &gt;= (test!$B$36+VLOOKUP(VLOOKUP($B115,test!$A$2:$I$32,4,FALSE),test!$J$24:$P$28,6,FALSE))/1440),1,0)</f>
        <v>0</v>
      </c>
      <c r="AE115" s="2">
        <f>IF(AND(VLOOKUP(AE$1,test!$A$3:$F$32,5,FALSE) - VLOOKUP($B115,test!$A$3:$G$32,6,FALSE) &gt;= (test!$B$36+VLOOKUP(VLOOKUP($B115,test!$A$2:$I$32,4,FALSE),test!$J$24:$P$28,6,FALSE))/1440),1,0)</f>
        <v>0</v>
      </c>
      <c r="AF115" s="2">
        <f>IF(AND(VLOOKUP(AF$1,test!$A$3:$F$32,5,FALSE) - VLOOKUP($B115,test!$A$3:$G$32,6,FALSE) &gt;= (test!$B$36+VLOOKUP(VLOOKUP($B115,test!$A$2:$I$32,4,FALSE),test!$J$24:$P$28,6,FALSE))/1440),1,0)</f>
        <v>0</v>
      </c>
      <c r="AG115" s="2">
        <f>IF(AND(VLOOKUP(AG$1,test!$A$3:$F$32,5,FALSE) - VLOOKUP($B115,test!$A$3:$G$32,6,FALSE) &gt;= (test!$B$36+VLOOKUP(VLOOKUP($B115,test!$A$2:$I$32,4,FALSE),test!$J$24:$P$28,6,FALSE))/1440),1,0)</f>
        <v>0</v>
      </c>
    </row>
    <row r="116" spans="1:33" x14ac:dyDescent="0.25">
      <c r="A116" t="s">
        <v>98</v>
      </c>
      <c r="B116" t="s">
        <v>32</v>
      </c>
      <c r="C116">
        <v>0</v>
      </c>
      <c r="D116" s="2">
        <f>IF(AND(VLOOKUP(D$1,test!$A$3:$F$32,5,FALSE) - VLOOKUP($B116,test!$A$3:$G$32,6,FALSE) &gt;= (test!$B$36+VLOOKUP(VLOOKUP($B116,test!$A$2:$I$32,4,FALSE),test!$J$24:$P$28,6,FALSE))/1440),1,0)</f>
        <v>0</v>
      </c>
      <c r="E116" s="2">
        <f>IF(AND(VLOOKUP(E$1,test!$A$3:$F$32,5,FALSE) - VLOOKUP($B116,test!$A$3:$G$32,6,FALSE) &gt;= (test!$B$36+VLOOKUP(VLOOKUP($B116,test!$A$2:$I$32,4,FALSE),test!$J$24:$P$28,6,FALSE))/1440),1,0)</f>
        <v>0</v>
      </c>
      <c r="F116" s="2">
        <f>IF(AND(VLOOKUP(F$1,test!$A$3:$F$32,5,FALSE) - VLOOKUP($B116,test!$A$3:$G$32,6,FALSE) &gt;= (test!$B$36+VLOOKUP(VLOOKUP($B116,test!$A$2:$I$32,4,FALSE),test!$J$24:$P$28,6,FALSE))/1440),1,0)</f>
        <v>0</v>
      </c>
      <c r="G116" s="2">
        <f>IF(AND(VLOOKUP(G$1,test!$A$3:$F$32,5,FALSE) - VLOOKUP($B116,test!$A$3:$G$32,6,FALSE) &gt;= (test!$B$36+VLOOKUP(VLOOKUP($B116,test!$A$2:$I$32,4,FALSE),test!$J$24:$P$28,6,FALSE))/1440),1,0)</f>
        <v>0</v>
      </c>
      <c r="H116" s="2">
        <f>IF(AND(VLOOKUP(H$1,test!$A$3:$F$32,5,FALSE) - VLOOKUP($B116,test!$A$3:$G$32,6,FALSE) &gt;= (test!$B$36+VLOOKUP(VLOOKUP($B116,test!$A$2:$I$32,4,FALSE),test!$J$24:$P$28,6,FALSE))/1440),1,0)</f>
        <v>0</v>
      </c>
      <c r="I116" s="2">
        <f>IF(AND(VLOOKUP(I$1,test!$A$3:$F$32,5,FALSE) - VLOOKUP($B116,test!$A$3:$G$32,6,FALSE) &gt;= (test!$B$36+VLOOKUP(VLOOKUP($B116,test!$A$2:$I$32,4,FALSE),test!$J$24:$P$28,6,FALSE))/1440),1,0)</f>
        <v>0</v>
      </c>
      <c r="J116" s="2">
        <f>IF(AND(VLOOKUP(J$1,test!$A$3:$F$32,5,FALSE) - VLOOKUP($B116,test!$A$3:$G$32,6,FALSE) &gt;= (test!$B$36+VLOOKUP(VLOOKUP($B116,test!$A$2:$I$32,4,FALSE),test!$J$24:$P$28,6,FALSE))/1440),1,0)</f>
        <v>0</v>
      </c>
      <c r="K116" s="2">
        <f>IF(AND(VLOOKUP(K$1,test!$A$3:$F$32,5,FALSE) - VLOOKUP($B116,test!$A$3:$G$32,6,FALSE) &gt;= (test!$B$36+VLOOKUP(VLOOKUP($B116,test!$A$2:$I$32,4,FALSE),test!$J$24:$P$28,6,FALSE))/1440),1,0)</f>
        <v>0</v>
      </c>
      <c r="L116" s="2">
        <f>IF(AND(VLOOKUP(L$1,test!$A$3:$F$32,5,FALSE) - VLOOKUP($B116,test!$A$3:$G$32,6,FALSE) &gt;= (test!$B$36+VLOOKUP(VLOOKUP($B116,test!$A$2:$I$32,4,FALSE),test!$J$24:$P$28,6,FALSE))/1440),1,0)</f>
        <v>0</v>
      </c>
      <c r="M116" s="2">
        <f>IF(AND(VLOOKUP(M$1,test!$A$3:$F$32,5,FALSE) - VLOOKUP($B116,test!$A$3:$G$32,6,FALSE) &gt;= (test!$B$36+VLOOKUP(VLOOKUP($B116,test!$A$2:$I$32,4,FALSE),test!$J$24:$P$28,6,FALSE))/1440),1,0)</f>
        <v>0</v>
      </c>
      <c r="N116" s="2">
        <f>IF(AND(VLOOKUP(N$1,test!$A$3:$F$32,5,FALSE) - VLOOKUP($B116,test!$A$3:$G$32,6,FALSE) &gt;= (test!$B$36+VLOOKUP(VLOOKUP($B116,test!$A$2:$I$32,4,FALSE),test!$J$24:$P$28,6,FALSE))/1440),1,0)</f>
        <v>0</v>
      </c>
      <c r="O116" s="2">
        <f>IF(AND(VLOOKUP(O$1,test!$A$3:$F$32,5,FALSE) - VLOOKUP($B116,test!$A$3:$G$32,6,FALSE) &gt;= (test!$B$36+VLOOKUP(VLOOKUP($B116,test!$A$2:$I$32,4,FALSE),test!$J$24:$P$28,6,FALSE))/1440),1,0)</f>
        <v>0</v>
      </c>
      <c r="P116" s="2">
        <f>IF(AND(VLOOKUP(P$1,test!$A$3:$F$32,5,FALSE) - VLOOKUP($B116,test!$A$3:$G$32,6,FALSE) &gt;= (test!$B$36+VLOOKUP(VLOOKUP($B116,test!$A$2:$I$32,4,FALSE),test!$J$24:$P$28,6,FALSE))/1440),1,0)</f>
        <v>0</v>
      </c>
      <c r="Q116" s="2">
        <f>IF(AND(VLOOKUP(Q$1,test!$A$3:$F$32,5,FALSE) - VLOOKUP($B116,test!$A$3:$G$32,6,FALSE) &gt;= (test!$B$36+VLOOKUP(VLOOKUP($B116,test!$A$2:$I$32,4,FALSE),test!$J$24:$P$28,6,FALSE))/1440),1,0)</f>
        <v>0</v>
      </c>
      <c r="R116" s="2">
        <f>IF(AND(VLOOKUP(R$1,test!$A$3:$F$32,5,FALSE) - VLOOKUP($B116,test!$A$3:$G$32,6,FALSE) &gt;= (test!$B$36+VLOOKUP(VLOOKUP($B116,test!$A$2:$I$32,4,FALSE),test!$J$24:$P$28,6,FALSE))/1440),1,0)</f>
        <v>0</v>
      </c>
      <c r="S116" s="2">
        <f>IF(AND(VLOOKUP(S$1,test!$A$3:$F$32,5,FALSE) - VLOOKUP($B116,test!$A$3:$G$32,6,FALSE) &gt;= (test!$B$36+VLOOKUP(VLOOKUP($B116,test!$A$2:$I$32,4,FALSE),test!$J$24:$P$28,6,FALSE))/1440),1,0)</f>
        <v>0</v>
      </c>
      <c r="T116" s="2">
        <f>IF(AND(VLOOKUP(T$1,test!$A$3:$F$32,5,FALSE) - VLOOKUP($B116,test!$A$3:$G$32,6,FALSE) &gt;= (test!$B$36+VLOOKUP(VLOOKUP($B116,test!$A$2:$I$32,4,FALSE),test!$J$24:$P$28,6,FALSE))/1440),1,0)</f>
        <v>0</v>
      </c>
      <c r="U116" s="2">
        <f>IF(AND(VLOOKUP(U$1,test!$A$3:$F$32,5,FALSE) - VLOOKUP($B116,test!$A$3:$G$32,6,FALSE) &gt;= (test!$B$36+VLOOKUP(VLOOKUP($B116,test!$A$2:$I$32,4,FALSE),test!$J$24:$P$28,6,FALSE))/1440),1,0)</f>
        <v>0</v>
      </c>
      <c r="V116" s="2">
        <f>IF(AND(VLOOKUP(V$1,test!$A$3:$F$32,5,FALSE) - VLOOKUP($B116,test!$A$3:$G$32,6,FALSE) &gt;= (test!$B$36+VLOOKUP(VLOOKUP($B116,test!$A$2:$I$32,4,FALSE),test!$J$24:$P$28,6,FALSE))/1440),1,0)</f>
        <v>0</v>
      </c>
      <c r="W116" s="2">
        <f>IF(AND(VLOOKUP(W$1,test!$A$3:$F$32,5,FALSE) - VLOOKUP($B116,test!$A$3:$G$32,6,FALSE) &gt;= (test!$B$36+VLOOKUP(VLOOKUP($B116,test!$A$2:$I$32,4,FALSE),test!$J$24:$P$28,6,FALSE))/1440),1,0)</f>
        <v>0</v>
      </c>
      <c r="X116" s="2">
        <f>IF(AND(VLOOKUP(X$1,test!$A$3:$F$32,5,FALSE) - VLOOKUP($B116,test!$A$3:$G$32,6,FALSE) &gt;= (test!$B$36+VLOOKUP(VLOOKUP($B116,test!$A$2:$I$32,4,FALSE),test!$J$24:$P$28,6,FALSE))/1440),1,0)</f>
        <v>0</v>
      </c>
      <c r="Y116" s="2">
        <f>IF(AND(VLOOKUP(Y$1,test!$A$3:$F$32,5,FALSE) - VLOOKUP($B116,test!$A$3:$G$32,6,FALSE) &gt;= (test!$B$36+VLOOKUP(VLOOKUP($B116,test!$A$2:$I$32,4,FALSE),test!$J$24:$P$28,6,FALSE))/1440),1,0)</f>
        <v>0</v>
      </c>
      <c r="Z116" s="2">
        <f>IF(AND(VLOOKUP(Z$1,test!$A$3:$F$32,5,FALSE) - VLOOKUP($B116,test!$A$3:$G$32,6,FALSE) &gt;= (test!$B$36+VLOOKUP(VLOOKUP($B116,test!$A$2:$I$32,4,FALSE),test!$J$24:$P$28,6,FALSE))/1440),1,0)</f>
        <v>0</v>
      </c>
      <c r="AA116" s="2">
        <f>IF(AND(VLOOKUP(AA$1,test!$A$3:$F$32,5,FALSE) - VLOOKUP($B116,test!$A$3:$G$32,6,FALSE) &gt;= (test!$B$36+VLOOKUP(VLOOKUP($B116,test!$A$2:$I$32,4,FALSE),test!$J$24:$P$28,6,FALSE))/1440),1,0)</f>
        <v>0</v>
      </c>
      <c r="AB116" s="2">
        <f>IF(AND(VLOOKUP(AB$1,test!$A$3:$F$32,5,FALSE) - VLOOKUP($B116,test!$A$3:$G$32,6,FALSE) &gt;= (test!$B$36+VLOOKUP(VLOOKUP($B116,test!$A$2:$I$32,4,FALSE),test!$J$24:$P$28,6,FALSE))/1440),1,0)</f>
        <v>0</v>
      </c>
      <c r="AC116" s="2">
        <f>IF(AND(VLOOKUP(AC$1,test!$A$3:$F$32,5,FALSE) - VLOOKUP($B116,test!$A$3:$G$32,6,FALSE) &gt;= (test!$B$36+VLOOKUP(VLOOKUP($B116,test!$A$2:$I$32,4,FALSE),test!$J$24:$P$28,6,FALSE))/1440),1,0)</f>
        <v>0</v>
      </c>
      <c r="AD116" s="2">
        <f>IF(AND(VLOOKUP(AD$1,test!$A$3:$F$32,5,FALSE) - VLOOKUP($B116,test!$A$3:$G$32,6,FALSE) &gt;= (test!$B$36+VLOOKUP(VLOOKUP($B116,test!$A$2:$I$32,4,FALSE),test!$J$24:$P$28,6,FALSE))/1440),1,0)</f>
        <v>0</v>
      </c>
      <c r="AE116" s="2">
        <f>IF(AND(VLOOKUP(AE$1,test!$A$3:$F$32,5,FALSE) - VLOOKUP($B116,test!$A$3:$G$32,6,FALSE) &gt;= (test!$B$36+VLOOKUP(VLOOKUP($B116,test!$A$2:$I$32,4,FALSE),test!$J$24:$P$28,6,FALSE))/1440),1,0)</f>
        <v>0</v>
      </c>
      <c r="AF116" s="2">
        <f>IF(AND(VLOOKUP(AF$1,test!$A$3:$F$32,5,FALSE) - VLOOKUP($B116,test!$A$3:$G$32,6,FALSE) &gt;= (test!$B$36+VLOOKUP(VLOOKUP($B116,test!$A$2:$I$32,4,FALSE),test!$J$24:$P$28,6,FALSE))/1440),1,0)</f>
        <v>0</v>
      </c>
      <c r="AG116" s="2">
        <f>IF(AND(VLOOKUP(AG$1,test!$A$3:$F$32,5,FALSE) - VLOOKUP($B116,test!$A$3:$G$32,6,FALSE) &gt;= (test!$B$36+VLOOKUP(VLOOKUP($B116,test!$A$2:$I$32,4,FALSE),test!$J$24:$P$28,6,FALSE))/1440),1,0)</f>
        <v>0</v>
      </c>
    </row>
    <row r="117" spans="1:33" x14ac:dyDescent="0.25">
      <c r="A117" t="s">
        <v>98</v>
      </c>
      <c r="B117" t="s">
        <v>33</v>
      </c>
      <c r="C117">
        <v>0</v>
      </c>
      <c r="D117" s="2">
        <f>IF(AND(VLOOKUP(D$1,test!$A$3:$F$32,5,FALSE) - VLOOKUP($B117,test!$A$3:$G$32,6,FALSE) &gt;= (test!$B$36+VLOOKUP(VLOOKUP($B117,test!$A$2:$I$32,4,FALSE),test!$J$24:$P$28,6,FALSE))/1440),1,0)</f>
        <v>0</v>
      </c>
      <c r="E117" s="2">
        <f>IF(AND(VLOOKUP(E$1,test!$A$3:$F$32,5,FALSE) - VLOOKUP($B117,test!$A$3:$G$32,6,FALSE) &gt;= (test!$B$36+VLOOKUP(VLOOKUP($B117,test!$A$2:$I$32,4,FALSE),test!$J$24:$P$28,6,FALSE))/1440),1,0)</f>
        <v>0</v>
      </c>
      <c r="F117" s="2">
        <f>IF(AND(VLOOKUP(F$1,test!$A$3:$F$32,5,FALSE) - VLOOKUP($B117,test!$A$3:$G$32,6,FALSE) &gt;= (test!$B$36+VLOOKUP(VLOOKUP($B117,test!$A$2:$I$32,4,FALSE),test!$J$24:$P$28,6,FALSE))/1440),1,0)</f>
        <v>0</v>
      </c>
      <c r="G117" s="2">
        <f>IF(AND(VLOOKUP(G$1,test!$A$3:$F$32,5,FALSE) - VLOOKUP($B117,test!$A$3:$G$32,6,FALSE) &gt;= (test!$B$36+VLOOKUP(VLOOKUP($B117,test!$A$2:$I$32,4,FALSE),test!$J$24:$P$28,6,FALSE))/1440),1,0)</f>
        <v>0</v>
      </c>
      <c r="H117" s="2">
        <f>IF(AND(VLOOKUP(H$1,test!$A$3:$F$32,5,FALSE) - VLOOKUP($B117,test!$A$3:$G$32,6,FALSE) &gt;= (test!$B$36+VLOOKUP(VLOOKUP($B117,test!$A$2:$I$32,4,FALSE),test!$J$24:$P$28,6,FALSE))/1440),1,0)</f>
        <v>0</v>
      </c>
      <c r="I117" s="2">
        <f>IF(AND(VLOOKUP(I$1,test!$A$3:$F$32,5,FALSE) - VLOOKUP($B117,test!$A$3:$G$32,6,FALSE) &gt;= (test!$B$36+VLOOKUP(VLOOKUP($B117,test!$A$2:$I$32,4,FALSE),test!$J$24:$P$28,6,FALSE))/1440),1,0)</f>
        <v>0</v>
      </c>
      <c r="J117" s="2">
        <f>IF(AND(VLOOKUP(J$1,test!$A$3:$F$32,5,FALSE) - VLOOKUP($B117,test!$A$3:$G$32,6,FALSE) &gt;= (test!$B$36+VLOOKUP(VLOOKUP($B117,test!$A$2:$I$32,4,FALSE),test!$J$24:$P$28,6,FALSE))/1440),1,0)</f>
        <v>0</v>
      </c>
      <c r="K117" s="2">
        <f>IF(AND(VLOOKUP(K$1,test!$A$3:$F$32,5,FALSE) - VLOOKUP($B117,test!$A$3:$G$32,6,FALSE) &gt;= (test!$B$36+VLOOKUP(VLOOKUP($B117,test!$A$2:$I$32,4,FALSE),test!$J$24:$P$28,6,FALSE))/1440),1,0)</f>
        <v>0</v>
      </c>
      <c r="L117" s="2">
        <f>IF(AND(VLOOKUP(L$1,test!$A$3:$F$32,5,FALSE) - VLOOKUP($B117,test!$A$3:$G$32,6,FALSE) &gt;= (test!$B$36+VLOOKUP(VLOOKUP($B117,test!$A$2:$I$32,4,FALSE),test!$J$24:$P$28,6,FALSE))/1440),1,0)</f>
        <v>0</v>
      </c>
      <c r="M117" s="2">
        <f>IF(AND(VLOOKUP(M$1,test!$A$3:$F$32,5,FALSE) - VLOOKUP($B117,test!$A$3:$G$32,6,FALSE) &gt;= (test!$B$36+VLOOKUP(VLOOKUP($B117,test!$A$2:$I$32,4,FALSE),test!$J$24:$P$28,6,FALSE))/1440),1,0)</f>
        <v>0</v>
      </c>
      <c r="N117" s="2">
        <f>IF(AND(VLOOKUP(N$1,test!$A$3:$F$32,5,FALSE) - VLOOKUP($B117,test!$A$3:$G$32,6,FALSE) &gt;= (test!$B$36+VLOOKUP(VLOOKUP($B117,test!$A$2:$I$32,4,FALSE),test!$J$24:$P$28,6,FALSE))/1440),1,0)</f>
        <v>0</v>
      </c>
      <c r="O117" s="2">
        <f>IF(AND(VLOOKUP(O$1,test!$A$3:$F$32,5,FALSE) - VLOOKUP($B117,test!$A$3:$G$32,6,FALSE) &gt;= (test!$B$36+VLOOKUP(VLOOKUP($B117,test!$A$2:$I$32,4,FALSE),test!$J$24:$P$28,6,FALSE))/1440),1,0)</f>
        <v>0</v>
      </c>
      <c r="P117" s="2">
        <f>IF(AND(VLOOKUP(P$1,test!$A$3:$F$32,5,FALSE) - VLOOKUP($B117,test!$A$3:$G$32,6,FALSE) &gt;= (test!$B$36+VLOOKUP(VLOOKUP($B117,test!$A$2:$I$32,4,FALSE),test!$J$24:$P$28,6,FALSE))/1440),1,0)</f>
        <v>0</v>
      </c>
      <c r="Q117" s="2">
        <f>IF(AND(VLOOKUP(Q$1,test!$A$3:$F$32,5,FALSE) - VLOOKUP($B117,test!$A$3:$G$32,6,FALSE) &gt;= (test!$B$36+VLOOKUP(VLOOKUP($B117,test!$A$2:$I$32,4,FALSE),test!$J$24:$P$28,6,FALSE))/1440),1,0)</f>
        <v>0</v>
      </c>
      <c r="R117" s="2">
        <f>IF(AND(VLOOKUP(R$1,test!$A$3:$F$32,5,FALSE) - VLOOKUP($B117,test!$A$3:$G$32,6,FALSE) &gt;= (test!$B$36+VLOOKUP(VLOOKUP($B117,test!$A$2:$I$32,4,FALSE),test!$J$24:$P$28,6,FALSE))/1440),1,0)</f>
        <v>0</v>
      </c>
      <c r="S117" s="2">
        <f>IF(AND(VLOOKUP(S$1,test!$A$3:$F$32,5,FALSE) - VLOOKUP($B117,test!$A$3:$G$32,6,FALSE) &gt;= (test!$B$36+VLOOKUP(VLOOKUP($B117,test!$A$2:$I$32,4,FALSE),test!$J$24:$P$28,6,FALSE))/1440),1,0)</f>
        <v>0</v>
      </c>
      <c r="T117" s="2">
        <f>IF(AND(VLOOKUP(T$1,test!$A$3:$F$32,5,FALSE) - VLOOKUP($B117,test!$A$3:$G$32,6,FALSE) &gt;= (test!$B$36+VLOOKUP(VLOOKUP($B117,test!$A$2:$I$32,4,FALSE),test!$J$24:$P$28,6,FALSE))/1440),1,0)</f>
        <v>0</v>
      </c>
      <c r="U117" s="2">
        <f>IF(AND(VLOOKUP(U$1,test!$A$3:$F$32,5,FALSE) - VLOOKUP($B117,test!$A$3:$G$32,6,FALSE) &gt;= (test!$B$36+VLOOKUP(VLOOKUP($B117,test!$A$2:$I$32,4,FALSE),test!$J$24:$P$28,6,FALSE))/1440),1,0)</f>
        <v>0</v>
      </c>
      <c r="V117" s="2">
        <f>IF(AND(VLOOKUP(V$1,test!$A$3:$F$32,5,FALSE) - VLOOKUP($B117,test!$A$3:$G$32,6,FALSE) &gt;= (test!$B$36+VLOOKUP(VLOOKUP($B117,test!$A$2:$I$32,4,FALSE),test!$J$24:$P$28,6,FALSE))/1440),1,0)</f>
        <v>0</v>
      </c>
      <c r="W117" s="2">
        <f>IF(AND(VLOOKUP(W$1,test!$A$3:$F$32,5,FALSE) - VLOOKUP($B117,test!$A$3:$G$32,6,FALSE) &gt;= (test!$B$36+VLOOKUP(VLOOKUP($B117,test!$A$2:$I$32,4,FALSE),test!$J$24:$P$28,6,FALSE))/1440),1,0)</f>
        <v>0</v>
      </c>
      <c r="X117" s="2">
        <f>IF(AND(VLOOKUP(X$1,test!$A$3:$F$32,5,FALSE) - VLOOKUP($B117,test!$A$3:$G$32,6,FALSE) &gt;= (test!$B$36+VLOOKUP(VLOOKUP($B117,test!$A$2:$I$32,4,FALSE),test!$J$24:$P$28,6,FALSE))/1440),1,0)</f>
        <v>0</v>
      </c>
      <c r="Y117" s="2">
        <f>IF(AND(VLOOKUP(Y$1,test!$A$3:$F$32,5,FALSE) - VLOOKUP($B117,test!$A$3:$G$32,6,FALSE) &gt;= (test!$B$36+VLOOKUP(VLOOKUP($B117,test!$A$2:$I$32,4,FALSE),test!$J$24:$P$28,6,FALSE))/1440),1,0)</f>
        <v>0</v>
      </c>
      <c r="Z117" s="2">
        <f>IF(AND(VLOOKUP(Z$1,test!$A$3:$F$32,5,FALSE) - VLOOKUP($B117,test!$A$3:$G$32,6,FALSE) &gt;= (test!$B$36+VLOOKUP(VLOOKUP($B117,test!$A$2:$I$32,4,FALSE),test!$J$24:$P$28,6,FALSE))/1440),1,0)</f>
        <v>0</v>
      </c>
      <c r="AA117" s="2">
        <f>IF(AND(VLOOKUP(AA$1,test!$A$3:$F$32,5,FALSE) - VLOOKUP($B117,test!$A$3:$G$32,6,FALSE) &gt;= (test!$B$36+VLOOKUP(VLOOKUP($B117,test!$A$2:$I$32,4,FALSE),test!$J$24:$P$28,6,FALSE))/1440),1,0)</f>
        <v>0</v>
      </c>
      <c r="AB117" s="2">
        <f>IF(AND(VLOOKUP(AB$1,test!$A$3:$F$32,5,FALSE) - VLOOKUP($B117,test!$A$3:$G$32,6,FALSE) &gt;= (test!$B$36+VLOOKUP(VLOOKUP($B117,test!$A$2:$I$32,4,FALSE),test!$J$24:$P$28,6,FALSE))/1440),1,0)</f>
        <v>0</v>
      </c>
      <c r="AC117" s="2">
        <f>IF(AND(VLOOKUP(AC$1,test!$A$3:$F$32,5,FALSE) - VLOOKUP($B117,test!$A$3:$G$32,6,FALSE) &gt;= (test!$B$36+VLOOKUP(VLOOKUP($B117,test!$A$2:$I$32,4,FALSE),test!$J$24:$P$28,6,FALSE))/1440),1,0)</f>
        <v>0</v>
      </c>
      <c r="AD117" s="2">
        <f>IF(AND(VLOOKUP(AD$1,test!$A$3:$F$32,5,FALSE) - VLOOKUP($B117,test!$A$3:$G$32,6,FALSE) &gt;= (test!$B$36+VLOOKUP(VLOOKUP($B117,test!$A$2:$I$32,4,FALSE),test!$J$24:$P$28,6,FALSE))/1440),1,0)</f>
        <v>0</v>
      </c>
      <c r="AE117" s="2">
        <f>IF(AND(VLOOKUP(AE$1,test!$A$3:$F$32,5,FALSE) - VLOOKUP($B117,test!$A$3:$G$32,6,FALSE) &gt;= (test!$B$36+VLOOKUP(VLOOKUP($B117,test!$A$2:$I$32,4,FALSE),test!$J$24:$P$28,6,FALSE))/1440),1,0)</f>
        <v>0</v>
      </c>
      <c r="AF117" s="2">
        <f>IF(AND(VLOOKUP(AF$1,test!$A$3:$F$32,5,FALSE) - VLOOKUP($B117,test!$A$3:$G$32,6,FALSE) &gt;= (test!$B$36+VLOOKUP(VLOOKUP($B117,test!$A$2:$I$32,4,FALSE),test!$J$24:$P$28,6,FALSE))/1440),1,0)</f>
        <v>0</v>
      </c>
      <c r="AG117" s="2">
        <f>IF(AND(VLOOKUP(AG$1,test!$A$3:$F$32,5,FALSE) - VLOOKUP($B117,test!$A$3:$G$32,6,FALSE) &gt;= (test!$B$36+VLOOKUP(VLOOKUP($B117,test!$A$2:$I$32,4,FALSE),test!$J$24:$P$28,6,FALSE))/1440),1,0)</f>
        <v>0</v>
      </c>
    </row>
    <row r="118" spans="1:33" x14ac:dyDescent="0.25">
      <c r="A118" t="s">
        <v>98</v>
      </c>
      <c r="B118" t="s">
        <v>34</v>
      </c>
      <c r="C118">
        <v>0</v>
      </c>
      <c r="D118" s="2">
        <f>IF(AND(VLOOKUP(D$1,test!$A$3:$F$32,5,FALSE) - VLOOKUP($B118,test!$A$3:$G$32,6,FALSE) &gt;= (test!$B$36+VLOOKUP(VLOOKUP($B118,test!$A$2:$I$32,4,FALSE),test!$J$24:$P$28,6,FALSE))/1440),1,0)</f>
        <v>0</v>
      </c>
      <c r="E118" s="2">
        <f>IF(AND(VLOOKUP(E$1,test!$A$3:$F$32,5,FALSE) - VLOOKUP($B118,test!$A$3:$G$32,6,FALSE) &gt;= (test!$B$36+VLOOKUP(VLOOKUP($B118,test!$A$2:$I$32,4,FALSE),test!$J$24:$P$28,6,FALSE))/1440),1,0)</f>
        <v>0</v>
      </c>
      <c r="F118" s="2">
        <f>IF(AND(VLOOKUP(F$1,test!$A$3:$F$32,5,FALSE) - VLOOKUP($B118,test!$A$3:$G$32,6,FALSE) &gt;= (test!$B$36+VLOOKUP(VLOOKUP($B118,test!$A$2:$I$32,4,FALSE),test!$J$24:$P$28,6,FALSE))/1440),1,0)</f>
        <v>0</v>
      </c>
      <c r="G118" s="2">
        <f>IF(AND(VLOOKUP(G$1,test!$A$3:$F$32,5,FALSE) - VLOOKUP($B118,test!$A$3:$G$32,6,FALSE) &gt;= (test!$B$36+VLOOKUP(VLOOKUP($B118,test!$A$2:$I$32,4,FALSE),test!$J$24:$P$28,6,FALSE))/1440),1,0)</f>
        <v>1</v>
      </c>
      <c r="H118" s="2">
        <f>IF(AND(VLOOKUP(H$1,test!$A$3:$F$32,5,FALSE) - VLOOKUP($B118,test!$A$3:$G$32,6,FALSE) &gt;= (test!$B$36+VLOOKUP(VLOOKUP($B118,test!$A$2:$I$32,4,FALSE),test!$J$24:$P$28,6,FALSE))/1440),1,0)</f>
        <v>1</v>
      </c>
      <c r="I118" s="2">
        <f>IF(AND(VLOOKUP(I$1,test!$A$3:$F$32,5,FALSE) - VLOOKUP($B118,test!$A$3:$G$32,6,FALSE) &gt;= (test!$B$36+VLOOKUP(VLOOKUP($B118,test!$A$2:$I$32,4,FALSE),test!$J$24:$P$28,6,FALSE))/1440),1,0)</f>
        <v>1</v>
      </c>
      <c r="J118" s="2">
        <f>IF(AND(VLOOKUP(J$1,test!$A$3:$F$32,5,FALSE) - VLOOKUP($B118,test!$A$3:$G$32,6,FALSE) &gt;= (test!$B$36+VLOOKUP(VLOOKUP($B118,test!$A$2:$I$32,4,FALSE),test!$J$24:$P$28,6,FALSE))/1440),1,0)</f>
        <v>1</v>
      </c>
      <c r="K118" s="2">
        <f>IF(AND(VLOOKUP(K$1,test!$A$3:$F$32,5,FALSE) - VLOOKUP($B118,test!$A$3:$G$32,6,FALSE) &gt;= (test!$B$36+VLOOKUP(VLOOKUP($B118,test!$A$2:$I$32,4,FALSE),test!$J$24:$P$28,6,FALSE))/1440),1,0)</f>
        <v>1</v>
      </c>
      <c r="L118" s="2">
        <f>IF(AND(VLOOKUP(L$1,test!$A$3:$F$32,5,FALSE) - VLOOKUP($B118,test!$A$3:$G$32,6,FALSE) &gt;= (test!$B$36+VLOOKUP(VLOOKUP($B118,test!$A$2:$I$32,4,FALSE),test!$J$24:$P$28,6,FALSE))/1440),1,0)</f>
        <v>0</v>
      </c>
      <c r="M118" s="2">
        <f>IF(AND(VLOOKUP(M$1,test!$A$3:$F$32,5,FALSE) - VLOOKUP($B118,test!$A$3:$G$32,6,FALSE) &gt;= (test!$B$36+VLOOKUP(VLOOKUP($B118,test!$A$2:$I$32,4,FALSE),test!$J$24:$P$28,6,FALSE))/1440),1,0)</f>
        <v>0</v>
      </c>
      <c r="N118" s="2">
        <f>IF(AND(VLOOKUP(N$1,test!$A$3:$F$32,5,FALSE) - VLOOKUP($B118,test!$A$3:$G$32,6,FALSE) &gt;= (test!$B$36+VLOOKUP(VLOOKUP($B118,test!$A$2:$I$32,4,FALSE),test!$J$24:$P$28,6,FALSE))/1440),1,0)</f>
        <v>0</v>
      </c>
      <c r="O118" s="2">
        <f>IF(AND(VLOOKUP(O$1,test!$A$3:$F$32,5,FALSE) - VLOOKUP($B118,test!$A$3:$G$32,6,FALSE) &gt;= (test!$B$36+VLOOKUP(VLOOKUP($B118,test!$A$2:$I$32,4,FALSE),test!$J$24:$P$28,6,FALSE))/1440),1,0)</f>
        <v>1</v>
      </c>
      <c r="P118" s="2">
        <f>IF(AND(VLOOKUP(P$1,test!$A$3:$F$32,5,FALSE) - VLOOKUP($B118,test!$A$3:$G$32,6,FALSE) &gt;= (test!$B$36+VLOOKUP(VLOOKUP($B118,test!$A$2:$I$32,4,FALSE),test!$J$24:$P$28,6,FALSE))/1440),1,0)</f>
        <v>1</v>
      </c>
      <c r="Q118" s="2">
        <f>IF(AND(VLOOKUP(Q$1,test!$A$3:$F$32,5,FALSE) - VLOOKUP($B118,test!$A$3:$G$32,6,FALSE) &gt;= (test!$B$36+VLOOKUP(VLOOKUP($B118,test!$A$2:$I$32,4,FALSE),test!$J$24:$P$28,6,FALSE))/1440),1,0)</f>
        <v>0</v>
      </c>
      <c r="R118" s="2">
        <f>IF(AND(VLOOKUP(R$1,test!$A$3:$F$32,5,FALSE) - VLOOKUP($B118,test!$A$3:$G$32,6,FALSE) &gt;= (test!$B$36+VLOOKUP(VLOOKUP($B118,test!$A$2:$I$32,4,FALSE),test!$J$24:$P$28,6,FALSE))/1440),1,0)</f>
        <v>0</v>
      </c>
      <c r="S118" s="2">
        <f>IF(AND(VLOOKUP(S$1,test!$A$3:$F$32,5,FALSE) - VLOOKUP($B118,test!$A$3:$G$32,6,FALSE) &gt;= (test!$B$36+VLOOKUP(VLOOKUP($B118,test!$A$2:$I$32,4,FALSE),test!$J$24:$P$28,6,FALSE))/1440),1,0)</f>
        <v>0</v>
      </c>
      <c r="T118" s="2">
        <f>IF(AND(VLOOKUP(T$1,test!$A$3:$F$32,5,FALSE) - VLOOKUP($B118,test!$A$3:$G$32,6,FALSE) &gt;= (test!$B$36+VLOOKUP(VLOOKUP($B118,test!$A$2:$I$32,4,FALSE),test!$J$24:$P$28,6,FALSE))/1440),1,0)</f>
        <v>0</v>
      </c>
      <c r="U118" s="2">
        <f>IF(AND(VLOOKUP(U$1,test!$A$3:$F$32,5,FALSE) - VLOOKUP($B118,test!$A$3:$G$32,6,FALSE) &gt;= (test!$B$36+VLOOKUP(VLOOKUP($B118,test!$A$2:$I$32,4,FALSE),test!$J$24:$P$28,6,FALSE))/1440),1,0)</f>
        <v>0</v>
      </c>
      <c r="V118" s="2">
        <f>IF(AND(VLOOKUP(V$1,test!$A$3:$F$32,5,FALSE) - VLOOKUP($B118,test!$A$3:$G$32,6,FALSE) &gt;= (test!$B$36+VLOOKUP(VLOOKUP($B118,test!$A$2:$I$32,4,FALSE),test!$J$24:$P$28,6,FALSE))/1440),1,0)</f>
        <v>1</v>
      </c>
      <c r="W118" s="2">
        <f>IF(AND(VLOOKUP(W$1,test!$A$3:$F$32,5,FALSE) - VLOOKUP($B118,test!$A$3:$G$32,6,FALSE) &gt;= (test!$B$36+VLOOKUP(VLOOKUP($B118,test!$A$2:$I$32,4,FALSE),test!$J$24:$P$28,6,FALSE))/1440),1,0)</f>
        <v>1</v>
      </c>
      <c r="X118" s="2">
        <f>IF(AND(VLOOKUP(X$1,test!$A$3:$F$32,5,FALSE) - VLOOKUP($B118,test!$A$3:$G$32,6,FALSE) &gt;= (test!$B$36+VLOOKUP(VLOOKUP($B118,test!$A$2:$I$32,4,FALSE),test!$J$24:$P$28,6,FALSE))/1440),1,0)</f>
        <v>1</v>
      </c>
      <c r="Y118" s="2">
        <f>IF(AND(VLOOKUP(Y$1,test!$A$3:$F$32,5,FALSE) - VLOOKUP($B118,test!$A$3:$G$32,6,FALSE) &gt;= (test!$B$36+VLOOKUP(VLOOKUP($B118,test!$A$2:$I$32,4,FALSE),test!$J$24:$P$28,6,FALSE))/1440),1,0)</f>
        <v>1</v>
      </c>
      <c r="Z118" s="2">
        <f>IF(AND(VLOOKUP(Z$1,test!$A$3:$F$32,5,FALSE) - VLOOKUP($B118,test!$A$3:$G$32,6,FALSE) &gt;= (test!$B$36+VLOOKUP(VLOOKUP($B118,test!$A$2:$I$32,4,FALSE),test!$J$24:$P$28,6,FALSE))/1440),1,0)</f>
        <v>0</v>
      </c>
      <c r="AA118" s="2">
        <f>IF(AND(VLOOKUP(AA$1,test!$A$3:$F$32,5,FALSE) - VLOOKUP($B118,test!$A$3:$G$32,6,FALSE) &gt;= (test!$B$36+VLOOKUP(VLOOKUP($B118,test!$A$2:$I$32,4,FALSE),test!$J$24:$P$28,6,FALSE))/1440),1,0)</f>
        <v>0</v>
      </c>
      <c r="AB118" s="2">
        <f>IF(AND(VLOOKUP(AB$1,test!$A$3:$F$32,5,FALSE) - VLOOKUP($B118,test!$A$3:$G$32,6,FALSE) &gt;= (test!$B$36+VLOOKUP(VLOOKUP($B118,test!$A$2:$I$32,4,FALSE),test!$J$24:$P$28,6,FALSE))/1440),1,0)</f>
        <v>1</v>
      </c>
      <c r="AC118" s="2">
        <f>IF(AND(VLOOKUP(AC$1,test!$A$3:$F$32,5,FALSE) - VLOOKUP($B118,test!$A$3:$G$32,6,FALSE) &gt;= (test!$B$36+VLOOKUP(VLOOKUP($B118,test!$A$2:$I$32,4,FALSE),test!$J$24:$P$28,6,FALSE))/1440),1,0)</f>
        <v>1</v>
      </c>
      <c r="AD118" s="2">
        <f>IF(AND(VLOOKUP(AD$1,test!$A$3:$F$32,5,FALSE) - VLOOKUP($B118,test!$A$3:$G$32,6,FALSE) &gt;= (test!$B$36+VLOOKUP(VLOOKUP($B118,test!$A$2:$I$32,4,FALSE),test!$J$24:$P$28,6,FALSE))/1440),1,0)</f>
        <v>1</v>
      </c>
      <c r="AE118" s="2">
        <f>IF(AND(VLOOKUP(AE$1,test!$A$3:$F$32,5,FALSE) - VLOOKUP($B118,test!$A$3:$G$32,6,FALSE) &gt;= (test!$B$36+VLOOKUP(VLOOKUP($B118,test!$A$2:$I$32,4,FALSE),test!$J$24:$P$28,6,FALSE))/1440),1,0)</f>
        <v>0</v>
      </c>
      <c r="AF118" s="2">
        <f>IF(AND(VLOOKUP(AF$1,test!$A$3:$F$32,5,FALSE) - VLOOKUP($B118,test!$A$3:$G$32,6,FALSE) &gt;= (test!$B$36+VLOOKUP(VLOOKUP($B118,test!$A$2:$I$32,4,FALSE),test!$J$24:$P$28,6,FALSE))/1440),1,0)</f>
        <v>1</v>
      </c>
      <c r="AG118" s="2">
        <f>IF(AND(VLOOKUP(AG$1,test!$A$3:$F$32,5,FALSE) - VLOOKUP($B118,test!$A$3:$G$32,6,FALSE) &gt;= (test!$B$36+VLOOKUP(VLOOKUP($B118,test!$A$2:$I$32,4,FALSE),test!$J$24:$P$28,6,FALSE))/1440),1,0)</f>
        <v>0</v>
      </c>
    </row>
    <row r="119" spans="1:33" x14ac:dyDescent="0.25">
      <c r="A119" t="s">
        <v>98</v>
      </c>
      <c r="B119" t="s">
        <v>35</v>
      </c>
      <c r="C119">
        <v>0</v>
      </c>
      <c r="D119" s="2">
        <f>IF(AND(VLOOKUP(D$1,test!$A$3:$F$32,5,FALSE) - VLOOKUP($B119,test!$A$3:$G$32,6,FALSE) &gt;= (test!$B$36+VLOOKUP(VLOOKUP($B119,test!$A$2:$I$32,4,FALSE),test!$J$24:$P$28,6,FALSE))/1440),1,0)</f>
        <v>0</v>
      </c>
      <c r="E119" s="2">
        <f>IF(AND(VLOOKUP(E$1,test!$A$3:$F$32,5,FALSE) - VLOOKUP($B119,test!$A$3:$G$32,6,FALSE) &gt;= (test!$B$36+VLOOKUP(VLOOKUP($B119,test!$A$2:$I$32,4,FALSE),test!$J$24:$P$28,6,FALSE))/1440),1,0)</f>
        <v>0</v>
      </c>
      <c r="F119" s="2">
        <f>IF(AND(VLOOKUP(F$1,test!$A$3:$F$32,5,FALSE) - VLOOKUP($B119,test!$A$3:$G$32,6,FALSE) &gt;= (test!$B$36+VLOOKUP(VLOOKUP($B119,test!$A$2:$I$32,4,FALSE),test!$J$24:$P$28,6,FALSE))/1440),1,0)</f>
        <v>0</v>
      </c>
      <c r="G119" s="2">
        <f>IF(AND(VLOOKUP(G$1,test!$A$3:$F$32,5,FALSE) - VLOOKUP($B119,test!$A$3:$G$32,6,FALSE) &gt;= (test!$B$36+VLOOKUP(VLOOKUP($B119,test!$A$2:$I$32,4,FALSE),test!$J$24:$P$28,6,FALSE))/1440),1,0)</f>
        <v>0</v>
      </c>
      <c r="H119" s="2">
        <f>IF(AND(VLOOKUP(H$1,test!$A$3:$F$32,5,FALSE) - VLOOKUP($B119,test!$A$3:$G$32,6,FALSE) &gt;= (test!$B$36+VLOOKUP(VLOOKUP($B119,test!$A$2:$I$32,4,FALSE),test!$J$24:$P$28,6,FALSE))/1440),1,0)</f>
        <v>0</v>
      </c>
      <c r="I119" s="2">
        <f>IF(AND(VLOOKUP(I$1,test!$A$3:$F$32,5,FALSE) - VLOOKUP($B119,test!$A$3:$G$32,6,FALSE) &gt;= (test!$B$36+VLOOKUP(VLOOKUP($B119,test!$A$2:$I$32,4,FALSE),test!$J$24:$P$28,6,FALSE))/1440),1,0)</f>
        <v>1</v>
      </c>
      <c r="J119" s="2">
        <f>IF(AND(VLOOKUP(J$1,test!$A$3:$F$32,5,FALSE) - VLOOKUP($B119,test!$A$3:$G$32,6,FALSE) &gt;= (test!$B$36+VLOOKUP(VLOOKUP($B119,test!$A$2:$I$32,4,FALSE),test!$J$24:$P$28,6,FALSE))/1440),1,0)</f>
        <v>1</v>
      </c>
      <c r="K119" s="2">
        <f>IF(AND(VLOOKUP(K$1,test!$A$3:$F$32,5,FALSE) - VLOOKUP($B119,test!$A$3:$G$32,6,FALSE) &gt;= (test!$B$36+VLOOKUP(VLOOKUP($B119,test!$A$2:$I$32,4,FALSE),test!$J$24:$P$28,6,FALSE))/1440),1,0)</f>
        <v>1</v>
      </c>
      <c r="L119" s="2">
        <f>IF(AND(VLOOKUP(L$1,test!$A$3:$F$32,5,FALSE) - VLOOKUP($B119,test!$A$3:$G$32,6,FALSE) &gt;= (test!$B$36+VLOOKUP(VLOOKUP($B119,test!$A$2:$I$32,4,FALSE),test!$J$24:$P$28,6,FALSE))/1440),1,0)</f>
        <v>0</v>
      </c>
      <c r="M119" s="2">
        <f>IF(AND(VLOOKUP(M$1,test!$A$3:$F$32,5,FALSE) - VLOOKUP($B119,test!$A$3:$G$32,6,FALSE) &gt;= (test!$B$36+VLOOKUP(VLOOKUP($B119,test!$A$2:$I$32,4,FALSE),test!$J$24:$P$28,6,FALSE))/1440),1,0)</f>
        <v>0</v>
      </c>
      <c r="N119" s="2">
        <f>IF(AND(VLOOKUP(N$1,test!$A$3:$F$32,5,FALSE) - VLOOKUP($B119,test!$A$3:$G$32,6,FALSE) &gt;= (test!$B$36+VLOOKUP(VLOOKUP($B119,test!$A$2:$I$32,4,FALSE),test!$J$24:$P$28,6,FALSE))/1440),1,0)</f>
        <v>0</v>
      </c>
      <c r="O119" s="2">
        <f>IF(AND(VLOOKUP(O$1,test!$A$3:$F$32,5,FALSE) - VLOOKUP($B119,test!$A$3:$G$32,6,FALSE) &gt;= (test!$B$36+VLOOKUP(VLOOKUP($B119,test!$A$2:$I$32,4,FALSE),test!$J$24:$P$28,6,FALSE))/1440),1,0)</f>
        <v>1</v>
      </c>
      <c r="P119" s="2">
        <f>IF(AND(VLOOKUP(P$1,test!$A$3:$F$32,5,FALSE) - VLOOKUP($B119,test!$A$3:$G$32,6,FALSE) &gt;= (test!$B$36+VLOOKUP(VLOOKUP($B119,test!$A$2:$I$32,4,FALSE),test!$J$24:$P$28,6,FALSE))/1440),1,0)</f>
        <v>1</v>
      </c>
      <c r="Q119" s="2">
        <f>IF(AND(VLOOKUP(Q$1,test!$A$3:$F$32,5,FALSE) - VLOOKUP($B119,test!$A$3:$G$32,6,FALSE) &gt;= (test!$B$36+VLOOKUP(VLOOKUP($B119,test!$A$2:$I$32,4,FALSE),test!$J$24:$P$28,6,FALSE))/1440),1,0)</f>
        <v>0</v>
      </c>
      <c r="R119" s="2">
        <f>IF(AND(VLOOKUP(R$1,test!$A$3:$F$32,5,FALSE) - VLOOKUP($B119,test!$A$3:$G$32,6,FALSE) &gt;= (test!$B$36+VLOOKUP(VLOOKUP($B119,test!$A$2:$I$32,4,FALSE),test!$J$24:$P$28,6,FALSE))/1440),1,0)</f>
        <v>0</v>
      </c>
      <c r="S119" s="2">
        <f>IF(AND(VLOOKUP(S$1,test!$A$3:$F$32,5,FALSE) - VLOOKUP($B119,test!$A$3:$G$32,6,FALSE) &gt;= (test!$B$36+VLOOKUP(VLOOKUP($B119,test!$A$2:$I$32,4,FALSE),test!$J$24:$P$28,6,FALSE))/1440),1,0)</f>
        <v>0</v>
      </c>
      <c r="T119" s="2">
        <f>IF(AND(VLOOKUP(T$1,test!$A$3:$F$32,5,FALSE) - VLOOKUP($B119,test!$A$3:$G$32,6,FALSE) &gt;= (test!$B$36+VLOOKUP(VLOOKUP($B119,test!$A$2:$I$32,4,FALSE),test!$J$24:$P$28,6,FALSE))/1440),1,0)</f>
        <v>0</v>
      </c>
      <c r="U119" s="2">
        <f>IF(AND(VLOOKUP(U$1,test!$A$3:$F$32,5,FALSE) - VLOOKUP($B119,test!$A$3:$G$32,6,FALSE) &gt;= (test!$B$36+VLOOKUP(VLOOKUP($B119,test!$A$2:$I$32,4,FALSE),test!$J$24:$P$28,6,FALSE))/1440),1,0)</f>
        <v>0</v>
      </c>
      <c r="V119" s="2">
        <f>IF(AND(VLOOKUP(V$1,test!$A$3:$F$32,5,FALSE) - VLOOKUP($B119,test!$A$3:$G$32,6,FALSE) &gt;= (test!$B$36+VLOOKUP(VLOOKUP($B119,test!$A$2:$I$32,4,FALSE),test!$J$24:$P$28,6,FALSE))/1440),1,0)</f>
        <v>0</v>
      </c>
      <c r="W119" s="2">
        <f>IF(AND(VLOOKUP(W$1,test!$A$3:$F$32,5,FALSE) - VLOOKUP($B119,test!$A$3:$G$32,6,FALSE) &gt;= (test!$B$36+VLOOKUP(VLOOKUP($B119,test!$A$2:$I$32,4,FALSE),test!$J$24:$P$28,6,FALSE))/1440),1,0)</f>
        <v>0</v>
      </c>
      <c r="X119" s="2">
        <f>IF(AND(VLOOKUP(X$1,test!$A$3:$F$32,5,FALSE) - VLOOKUP($B119,test!$A$3:$G$32,6,FALSE) &gt;= (test!$B$36+VLOOKUP(VLOOKUP($B119,test!$A$2:$I$32,4,FALSE),test!$J$24:$P$28,6,FALSE))/1440),1,0)</f>
        <v>1</v>
      </c>
      <c r="Y119" s="2">
        <f>IF(AND(VLOOKUP(Y$1,test!$A$3:$F$32,5,FALSE) - VLOOKUP($B119,test!$A$3:$G$32,6,FALSE) &gt;= (test!$B$36+VLOOKUP(VLOOKUP($B119,test!$A$2:$I$32,4,FALSE),test!$J$24:$P$28,6,FALSE))/1440),1,0)</f>
        <v>1</v>
      </c>
      <c r="Z119" s="2">
        <f>IF(AND(VLOOKUP(Z$1,test!$A$3:$F$32,5,FALSE) - VLOOKUP($B119,test!$A$3:$G$32,6,FALSE) &gt;= (test!$B$36+VLOOKUP(VLOOKUP($B119,test!$A$2:$I$32,4,FALSE),test!$J$24:$P$28,6,FALSE))/1440),1,0)</f>
        <v>0</v>
      </c>
      <c r="AA119" s="2">
        <f>IF(AND(VLOOKUP(AA$1,test!$A$3:$F$32,5,FALSE) - VLOOKUP($B119,test!$A$3:$G$32,6,FALSE) &gt;= (test!$B$36+VLOOKUP(VLOOKUP($B119,test!$A$2:$I$32,4,FALSE),test!$J$24:$P$28,6,FALSE))/1440),1,0)</f>
        <v>0</v>
      </c>
      <c r="AB119" s="2">
        <f>IF(AND(VLOOKUP(AB$1,test!$A$3:$F$32,5,FALSE) - VLOOKUP($B119,test!$A$3:$G$32,6,FALSE) &gt;= (test!$B$36+VLOOKUP(VLOOKUP($B119,test!$A$2:$I$32,4,FALSE),test!$J$24:$P$28,6,FALSE))/1440),1,0)</f>
        <v>0</v>
      </c>
      <c r="AC119" s="2">
        <f>IF(AND(VLOOKUP(AC$1,test!$A$3:$F$32,5,FALSE) - VLOOKUP($B119,test!$A$3:$G$32,6,FALSE) &gt;= (test!$B$36+VLOOKUP(VLOOKUP($B119,test!$A$2:$I$32,4,FALSE),test!$J$24:$P$28,6,FALSE))/1440),1,0)</f>
        <v>0</v>
      </c>
      <c r="AD119" s="2">
        <f>IF(AND(VLOOKUP(AD$1,test!$A$3:$F$32,5,FALSE) - VLOOKUP($B119,test!$A$3:$G$32,6,FALSE) &gt;= (test!$B$36+VLOOKUP(VLOOKUP($B119,test!$A$2:$I$32,4,FALSE),test!$J$24:$P$28,6,FALSE))/1440),1,0)</f>
        <v>1</v>
      </c>
      <c r="AE119" s="2">
        <f>IF(AND(VLOOKUP(AE$1,test!$A$3:$F$32,5,FALSE) - VLOOKUP($B119,test!$A$3:$G$32,6,FALSE) &gt;= (test!$B$36+VLOOKUP(VLOOKUP($B119,test!$A$2:$I$32,4,FALSE),test!$J$24:$P$28,6,FALSE))/1440),1,0)</f>
        <v>0</v>
      </c>
      <c r="AF119" s="2">
        <f>IF(AND(VLOOKUP(AF$1,test!$A$3:$F$32,5,FALSE) - VLOOKUP($B119,test!$A$3:$G$32,6,FALSE) &gt;= (test!$B$36+VLOOKUP(VLOOKUP($B119,test!$A$2:$I$32,4,FALSE),test!$J$24:$P$28,6,FALSE))/1440),1,0)</f>
        <v>0</v>
      </c>
      <c r="AG119" s="2">
        <f>IF(AND(VLOOKUP(AG$1,test!$A$3:$F$32,5,FALSE) - VLOOKUP($B119,test!$A$3:$G$32,6,FALSE) &gt;= (test!$B$36+VLOOKUP(VLOOKUP($B119,test!$A$2:$I$32,4,FALSE),test!$J$24:$P$28,6,FALSE))/1440),1,0)</f>
        <v>0</v>
      </c>
    </row>
    <row r="120" spans="1:33" x14ac:dyDescent="0.25">
      <c r="A120" t="s">
        <v>98</v>
      </c>
      <c r="B120" t="s">
        <v>36</v>
      </c>
      <c r="C120">
        <v>0</v>
      </c>
      <c r="D120" s="2">
        <f>IF(AND(VLOOKUP(D$1,test!$A$3:$F$32,5,FALSE) - VLOOKUP($B120,test!$A$3:$G$32,6,FALSE) &gt;= (test!$B$36+VLOOKUP(VLOOKUP($B120,test!$A$2:$I$32,4,FALSE),test!$J$24:$P$28,6,FALSE))/1440),1,0)</f>
        <v>0</v>
      </c>
      <c r="E120" s="2">
        <f>IF(AND(VLOOKUP(E$1,test!$A$3:$F$32,5,FALSE) - VLOOKUP($B120,test!$A$3:$G$32,6,FALSE) &gt;= (test!$B$36+VLOOKUP(VLOOKUP($B120,test!$A$2:$I$32,4,FALSE),test!$J$24:$P$28,6,FALSE))/1440),1,0)</f>
        <v>0</v>
      </c>
      <c r="F120" s="2">
        <f>IF(AND(VLOOKUP(F$1,test!$A$3:$F$32,5,FALSE) - VLOOKUP($B120,test!$A$3:$G$32,6,FALSE) &gt;= (test!$B$36+VLOOKUP(VLOOKUP($B120,test!$A$2:$I$32,4,FALSE),test!$J$24:$P$28,6,FALSE))/1440),1,0)</f>
        <v>0</v>
      </c>
      <c r="G120" s="2">
        <f>IF(AND(VLOOKUP(G$1,test!$A$3:$F$32,5,FALSE) - VLOOKUP($B120,test!$A$3:$G$32,6,FALSE) &gt;= (test!$B$36+VLOOKUP(VLOOKUP($B120,test!$A$2:$I$32,4,FALSE),test!$J$24:$P$28,6,FALSE))/1440),1,0)</f>
        <v>0</v>
      </c>
      <c r="H120" s="2">
        <f>IF(AND(VLOOKUP(H$1,test!$A$3:$F$32,5,FALSE) - VLOOKUP($B120,test!$A$3:$G$32,6,FALSE) &gt;= (test!$B$36+VLOOKUP(VLOOKUP($B120,test!$A$2:$I$32,4,FALSE),test!$J$24:$P$28,6,FALSE))/1440),1,0)</f>
        <v>0</v>
      </c>
      <c r="I120" s="2">
        <f>IF(AND(VLOOKUP(I$1,test!$A$3:$F$32,5,FALSE) - VLOOKUP($B120,test!$A$3:$G$32,6,FALSE) &gt;= (test!$B$36+VLOOKUP(VLOOKUP($B120,test!$A$2:$I$32,4,FALSE),test!$J$24:$P$28,6,FALSE))/1440),1,0)</f>
        <v>0</v>
      </c>
      <c r="J120" s="2">
        <f>IF(AND(VLOOKUP(J$1,test!$A$3:$F$32,5,FALSE) - VLOOKUP($B120,test!$A$3:$G$32,6,FALSE) &gt;= (test!$B$36+VLOOKUP(VLOOKUP($B120,test!$A$2:$I$32,4,FALSE),test!$J$24:$P$28,6,FALSE))/1440),1,0)</f>
        <v>0</v>
      </c>
      <c r="K120" s="2">
        <f>IF(AND(VLOOKUP(K$1,test!$A$3:$F$32,5,FALSE) - VLOOKUP($B120,test!$A$3:$G$32,6,FALSE) &gt;= (test!$B$36+VLOOKUP(VLOOKUP($B120,test!$A$2:$I$32,4,FALSE),test!$J$24:$P$28,6,FALSE))/1440),1,0)</f>
        <v>1</v>
      </c>
      <c r="L120" s="2">
        <f>IF(AND(VLOOKUP(L$1,test!$A$3:$F$32,5,FALSE) - VLOOKUP($B120,test!$A$3:$G$32,6,FALSE) &gt;= (test!$B$36+VLOOKUP(VLOOKUP($B120,test!$A$2:$I$32,4,FALSE),test!$J$24:$P$28,6,FALSE))/1440),1,0)</f>
        <v>0</v>
      </c>
      <c r="M120" s="2">
        <f>IF(AND(VLOOKUP(M$1,test!$A$3:$F$32,5,FALSE) - VLOOKUP($B120,test!$A$3:$G$32,6,FALSE) &gt;= (test!$B$36+VLOOKUP(VLOOKUP($B120,test!$A$2:$I$32,4,FALSE),test!$J$24:$P$28,6,FALSE))/1440),1,0)</f>
        <v>0</v>
      </c>
      <c r="N120" s="2">
        <f>IF(AND(VLOOKUP(N$1,test!$A$3:$F$32,5,FALSE) - VLOOKUP($B120,test!$A$3:$G$32,6,FALSE) &gt;= (test!$B$36+VLOOKUP(VLOOKUP($B120,test!$A$2:$I$32,4,FALSE),test!$J$24:$P$28,6,FALSE))/1440),1,0)</f>
        <v>0</v>
      </c>
      <c r="O120" s="2">
        <f>IF(AND(VLOOKUP(O$1,test!$A$3:$F$32,5,FALSE) - VLOOKUP($B120,test!$A$3:$G$32,6,FALSE) &gt;= (test!$B$36+VLOOKUP(VLOOKUP($B120,test!$A$2:$I$32,4,FALSE),test!$J$24:$P$28,6,FALSE))/1440),1,0)</f>
        <v>1</v>
      </c>
      <c r="P120" s="2">
        <f>IF(AND(VLOOKUP(P$1,test!$A$3:$F$32,5,FALSE) - VLOOKUP($B120,test!$A$3:$G$32,6,FALSE) &gt;= (test!$B$36+VLOOKUP(VLOOKUP($B120,test!$A$2:$I$32,4,FALSE),test!$J$24:$P$28,6,FALSE))/1440),1,0)</f>
        <v>1</v>
      </c>
      <c r="Q120" s="2">
        <f>IF(AND(VLOOKUP(Q$1,test!$A$3:$F$32,5,FALSE) - VLOOKUP($B120,test!$A$3:$G$32,6,FALSE) &gt;= (test!$B$36+VLOOKUP(VLOOKUP($B120,test!$A$2:$I$32,4,FALSE),test!$J$24:$P$28,6,FALSE))/1440),1,0)</f>
        <v>0</v>
      </c>
      <c r="R120" s="2">
        <f>IF(AND(VLOOKUP(R$1,test!$A$3:$F$32,5,FALSE) - VLOOKUP($B120,test!$A$3:$G$32,6,FALSE) &gt;= (test!$B$36+VLOOKUP(VLOOKUP($B120,test!$A$2:$I$32,4,FALSE),test!$J$24:$P$28,6,FALSE))/1440),1,0)</f>
        <v>0</v>
      </c>
      <c r="S120" s="2">
        <f>IF(AND(VLOOKUP(S$1,test!$A$3:$F$32,5,FALSE) - VLOOKUP($B120,test!$A$3:$G$32,6,FALSE) &gt;= (test!$B$36+VLOOKUP(VLOOKUP($B120,test!$A$2:$I$32,4,FALSE),test!$J$24:$P$28,6,FALSE))/1440),1,0)</f>
        <v>0</v>
      </c>
      <c r="T120" s="2">
        <f>IF(AND(VLOOKUP(T$1,test!$A$3:$F$32,5,FALSE) - VLOOKUP($B120,test!$A$3:$G$32,6,FALSE) &gt;= (test!$B$36+VLOOKUP(VLOOKUP($B120,test!$A$2:$I$32,4,FALSE),test!$J$24:$P$28,6,FALSE))/1440),1,0)</f>
        <v>0</v>
      </c>
      <c r="U120" s="2">
        <f>IF(AND(VLOOKUP(U$1,test!$A$3:$F$32,5,FALSE) - VLOOKUP($B120,test!$A$3:$G$32,6,FALSE) &gt;= (test!$B$36+VLOOKUP(VLOOKUP($B120,test!$A$2:$I$32,4,FALSE),test!$J$24:$P$28,6,FALSE))/1440),1,0)</f>
        <v>0</v>
      </c>
      <c r="V120" s="2">
        <f>IF(AND(VLOOKUP(V$1,test!$A$3:$F$32,5,FALSE) - VLOOKUP($B120,test!$A$3:$G$32,6,FALSE) &gt;= (test!$B$36+VLOOKUP(VLOOKUP($B120,test!$A$2:$I$32,4,FALSE),test!$J$24:$P$28,6,FALSE))/1440),1,0)</f>
        <v>0</v>
      </c>
      <c r="W120" s="2">
        <f>IF(AND(VLOOKUP(W$1,test!$A$3:$F$32,5,FALSE) - VLOOKUP($B120,test!$A$3:$G$32,6,FALSE) &gt;= (test!$B$36+VLOOKUP(VLOOKUP($B120,test!$A$2:$I$32,4,FALSE),test!$J$24:$P$28,6,FALSE))/1440),1,0)</f>
        <v>0</v>
      </c>
      <c r="X120" s="2">
        <f>IF(AND(VLOOKUP(X$1,test!$A$3:$F$32,5,FALSE) - VLOOKUP($B120,test!$A$3:$G$32,6,FALSE) &gt;= (test!$B$36+VLOOKUP(VLOOKUP($B120,test!$A$2:$I$32,4,FALSE),test!$J$24:$P$28,6,FALSE))/1440),1,0)</f>
        <v>0</v>
      </c>
      <c r="Y120" s="2">
        <f>IF(AND(VLOOKUP(Y$1,test!$A$3:$F$32,5,FALSE) - VLOOKUP($B120,test!$A$3:$G$32,6,FALSE) &gt;= (test!$B$36+VLOOKUP(VLOOKUP($B120,test!$A$2:$I$32,4,FALSE),test!$J$24:$P$28,6,FALSE))/1440),1,0)</f>
        <v>1</v>
      </c>
      <c r="Z120" s="2">
        <f>IF(AND(VLOOKUP(Z$1,test!$A$3:$F$32,5,FALSE) - VLOOKUP($B120,test!$A$3:$G$32,6,FALSE) &gt;= (test!$B$36+VLOOKUP(VLOOKUP($B120,test!$A$2:$I$32,4,FALSE),test!$J$24:$P$28,6,FALSE))/1440),1,0)</f>
        <v>0</v>
      </c>
      <c r="AA120" s="2">
        <f>IF(AND(VLOOKUP(AA$1,test!$A$3:$F$32,5,FALSE) - VLOOKUP($B120,test!$A$3:$G$32,6,FALSE) &gt;= (test!$B$36+VLOOKUP(VLOOKUP($B120,test!$A$2:$I$32,4,FALSE),test!$J$24:$P$28,6,FALSE))/1440),1,0)</f>
        <v>0</v>
      </c>
      <c r="AB120" s="2">
        <f>IF(AND(VLOOKUP(AB$1,test!$A$3:$F$32,5,FALSE) - VLOOKUP($B120,test!$A$3:$G$32,6,FALSE) &gt;= (test!$B$36+VLOOKUP(VLOOKUP($B120,test!$A$2:$I$32,4,FALSE),test!$J$24:$P$28,6,FALSE))/1440),1,0)</f>
        <v>0</v>
      </c>
      <c r="AC120" s="2">
        <f>IF(AND(VLOOKUP(AC$1,test!$A$3:$F$32,5,FALSE) - VLOOKUP($B120,test!$A$3:$G$32,6,FALSE) &gt;= (test!$B$36+VLOOKUP(VLOOKUP($B120,test!$A$2:$I$32,4,FALSE),test!$J$24:$P$28,6,FALSE))/1440),1,0)</f>
        <v>0</v>
      </c>
      <c r="AD120" s="2">
        <f>IF(AND(VLOOKUP(AD$1,test!$A$3:$F$32,5,FALSE) - VLOOKUP($B120,test!$A$3:$G$32,6,FALSE) &gt;= (test!$B$36+VLOOKUP(VLOOKUP($B120,test!$A$2:$I$32,4,FALSE),test!$J$24:$P$28,6,FALSE))/1440),1,0)</f>
        <v>0</v>
      </c>
      <c r="AE120" s="2">
        <f>IF(AND(VLOOKUP(AE$1,test!$A$3:$F$32,5,FALSE) - VLOOKUP($B120,test!$A$3:$G$32,6,FALSE) &gt;= (test!$B$36+VLOOKUP(VLOOKUP($B120,test!$A$2:$I$32,4,FALSE),test!$J$24:$P$28,6,FALSE))/1440),1,0)</f>
        <v>0</v>
      </c>
      <c r="AF120" s="2">
        <f>IF(AND(VLOOKUP(AF$1,test!$A$3:$F$32,5,FALSE) - VLOOKUP($B120,test!$A$3:$G$32,6,FALSE) &gt;= (test!$B$36+VLOOKUP(VLOOKUP($B120,test!$A$2:$I$32,4,FALSE),test!$J$24:$P$28,6,FALSE))/1440),1,0)</f>
        <v>0</v>
      </c>
      <c r="AG120" s="2">
        <f>IF(AND(VLOOKUP(AG$1,test!$A$3:$F$32,5,FALSE) - VLOOKUP($B120,test!$A$3:$G$32,6,FALSE) &gt;= (test!$B$36+VLOOKUP(VLOOKUP($B120,test!$A$2:$I$32,4,FALSE),test!$J$24:$P$28,6,FALSE))/1440),1,0)</f>
        <v>0</v>
      </c>
    </row>
    <row r="121" spans="1:33" x14ac:dyDescent="0.25">
      <c r="A121" t="s">
        <v>98</v>
      </c>
      <c r="B121" t="s">
        <v>37</v>
      </c>
      <c r="C121">
        <v>0</v>
      </c>
      <c r="D121" s="2">
        <f>IF(AND(VLOOKUP(D$1,test!$A$3:$F$32,5,FALSE) - VLOOKUP($B121,test!$A$3:$G$32,6,FALSE) &gt;= (test!$B$36+VLOOKUP(VLOOKUP($B121,test!$A$2:$I$32,4,FALSE),test!$J$24:$P$28,6,FALSE))/1440),1,0)</f>
        <v>0</v>
      </c>
      <c r="E121" s="2">
        <f>IF(AND(VLOOKUP(E$1,test!$A$3:$F$32,5,FALSE) - VLOOKUP($B121,test!$A$3:$G$32,6,FALSE) &gt;= (test!$B$36+VLOOKUP(VLOOKUP($B121,test!$A$2:$I$32,4,FALSE),test!$J$24:$P$28,6,FALSE))/1440),1,0)</f>
        <v>0</v>
      </c>
      <c r="F121" s="2">
        <f>IF(AND(VLOOKUP(F$1,test!$A$3:$F$32,5,FALSE) - VLOOKUP($B121,test!$A$3:$G$32,6,FALSE) &gt;= (test!$B$36+VLOOKUP(VLOOKUP($B121,test!$A$2:$I$32,4,FALSE),test!$J$24:$P$28,6,FALSE))/1440),1,0)</f>
        <v>0</v>
      </c>
      <c r="G121" s="2">
        <f>IF(AND(VLOOKUP(G$1,test!$A$3:$F$32,5,FALSE) - VLOOKUP($B121,test!$A$3:$G$32,6,FALSE) &gt;= (test!$B$36+VLOOKUP(VLOOKUP($B121,test!$A$2:$I$32,4,FALSE),test!$J$24:$P$28,6,FALSE))/1440),1,0)</f>
        <v>0</v>
      </c>
      <c r="H121" s="2">
        <f>IF(AND(VLOOKUP(H$1,test!$A$3:$F$32,5,FALSE) - VLOOKUP($B121,test!$A$3:$G$32,6,FALSE) &gt;= (test!$B$36+VLOOKUP(VLOOKUP($B121,test!$A$2:$I$32,4,FALSE),test!$J$24:$P$28,6,FALSE))/1440),1,0)</f>
        <v>0</v>
      </c>
      <c r="I121" s="2">
        <f>IF(AND(VLOOKUP(I$1,test!$A$3:$F$32,5,FALSE) - VLOOKUP($B121,test!$A$3:$G$32,6,FALSE) &gt;= (test!$B$36+VLOOKUP(VLOOKUP($B121,test!$A$2:$I$32,4,FALSE),test!$J$24:$P$28,6,FALSE))/1440),1,0)</f>
        <v>0</v>
      </c>
      <c r="J121" s="2">
        <f>IF(AND(VLOOKUP(J$1,test!$A$3:$F$32,5,FALSE) - VLOOKUP($B121,test!$A$3:$G$32,6,FALSE) &gt;= (test!$B$36+VLOOKUP(VLOOKUP($B121,test!$A$2:$I$32,4,FALSE),test!$J$24:$P$28,6,FALSE))/1440),1,0)</f>
        <v>0</v>
      </c>
      <c r="K121" s="2">
        <f>IF(AND(VLOOKUP(K$1,test!$A$3:$F$32,5,FALSE) - VLOOKUP($B121,test!$A$3:$G$32,6,FALSE) &gt;= (test!$B$36+VLOOKUP(VLOOKUP($B121,test!$A$2:$I$32,4,FALSE),test!$J$24:$P$28,6,FALSE))/1440),1,0)</f>
        <v>0</v>
      </c>
      <c r="L121" s="2">
        <f>IF(AND(VLOOKUP(L$1,test!$A$3:$F$32,5,FALSE) - VLOOKUP($B121,test!$A$3:$G$32,6,FALSE) &gt;= (test!$B$36+VLOOKUP(VLOOKUP($B121,test!$A$2:$I$32,4,FALSE),test!$J$24:$P$28,6,FALSE))/1440),1,0)</f>
        <v>0</v>
      </c>
      <c r="M121" s="2">
        <f>IF(AND(VLOOKUP(M$1,test!$A$3:$F$32,5,FALSE) - VLOOKUP($B121,test!$A$3:$G$32,6,FALSE) &gt;= (test!$B$36+VLOOKUP(VLOOKUP($B121,test!$A$2:$I$32,4,FALSE),test!$J$24:$P$28,6,FALSE))/1440),1,0)</f>
        <v>0</v>
      </c>
      <c r="N121" s="2">
        <f>IF(AND(VLOOKUP(N$1,test!$A$3:$F$32,5,FALSE) - VLOOKUP($B121,test!$A$3:$G$32,6,FALSE) &gt;= (test!$B$36+VLOOKUP(VLOOKUP($B121,test!$A$2:$I$32,4,FALSE),test!$J$24:$P$28,6,FALSE))/1440),1,0)</f>
        <v>0</v>
      </c>
      <c r="O121" s="2">
        <f>IF(AND(VLOOKUP(O$1,test!$A$3:$F$32,5,FALSE) - VLOOKUP($B121,test!$A$3:$G$32,6,FALSE) &gt;= (test!$B$36+VLOOKUP(VLOOKUP($B121,test!$A$2:$I$32,4,FALSE),test!$J$24:$P$28,6,FALSE))/1440),1,0)</f>
        <v>0</v>
      </c>
      <c r="P121" s="2">
        <f>IF(AND(VLOOKUP(P$1,test!$A$3:$F$32,5,FALSE) - VLOOKUP($B121,test!$A$3:$G$32,6,FALSE) &gt;= (test!$B$36+VLOOKUP(VLOOKUP($B121,test!$A$2:$I$32,4,FALSE),test!$J$24:$P$28,6,FALSE))/1440),1,0)</f>
        <v>1</v>
      </c>
      <c r="Q121" s="2">
        <f>IF(AND(VLOOKUP(Q$1,test!$A$3:$F$32,5,FALSE) - VLOOKUP($B121,test!$A$3:$G$32,6,FALSE) &gt;= (test!$B$36+VLOOKUP(VLOOKUP($B121,test!$A$2:$I$32,4,FALSE),test!$J$24:$P$28,6,FALSE))/1440),1,0)</f>
        <v>0</v>
      </c>
      <c r="R121" s="2">
        <f>IF(AND(VLOOKUP(R$1,test!$A$3:$F$32,5,FALSE) - VLOOKUP($B121,test!$A$3:$G$32,6,FALSE) &gt;= (test!$B$36+VLOOKUP(VLOOKUP($B121,test!$A$2:$I$32,4,FALSE),test!$J$24:$P$28,6,FALSE))/1440),1,0)</f>
        <v>0</v>
      </c>
      <c r="S121" s="2">
        <f>IF(AND(VLOOKUP(S$1,test!$A$3:$F$32,5,FALSE) - VLOOKUP($B121,test!$A$3:$G$32,6,FALSE) &gt;= (test!$B$36+VLOOKUP(VLOOKUP($B121,test!$A$2:$I$32,4,FALSE),test!$J$24:$P$28,6,FALSE))/1440),1,0)</f>
        <v>0</v>
      </c>
      <c r="T121" s="2">
        <f>IF(AND(VLOOKUP(T$1,test!$A$3:$F$32,5,FALSE) - VLOOKUP($B121,test!$A$3:$G$32,6,FALSE) &gt;= (test!$B$36+VLOOKUP(VLOOKUP($B121,test!$A$2:$I$32,4,FALSE),test!$J$24:$P$28,6,FALSE))/1440),1,0)</f>
        <v>0</v>
      </c>
      <c r="U121" s="2">
        <f>IF(AND(VLOOKUP(U$1,test!$A$3:$F$32,5,FALSE) - VLOOKUP($B121,test!$A$3:$G$32,6,FALSE) &gt;= (test!$B$36+VLOOKUP(VLOOKUP($B121,test!$A$2:$I$32,4,FALSE),test!$J$24:$P$28,6,FALSE))/1440),1,0)</f>
        <v>0</v>
      </c>
      <c r="V121" s="2">
        <f>IF(AND(VLOOKUP(V$1,test!$A$3:$F$32,5,FALSE) - VLOOKUP($B121,test!$A$3:$G$32,6,FALSE) &gt;= (test!$B$36+VLOOKUP(VLOOKUP($B121,test!$A$2:$I$32,4,FALSE),test!$J$24:$P$28,6,FALSE))/1440),1,0)</f>
        <v>0</v>
      </c>
      <c r="W121" s="2">
        <f>IF(AND(VLOOKUP(W$1,test!$A$3:$F$32,5,FALSE) - VLOOKUP($B121,test!$A$3:$G$32,6,FALSE) &gt;= (test!$B$36+VLOOKUP(VLOOKUP($B121,test!$A$2:$I$32,4,FALSE),test!$J$24:$P$28,6,FALSE))/1440),1,0)</f>
        <v>0</v>
      </c>
      <c r="X121" s="2">
        <f>IF(AND(VLOOKUP(X$1,test!$A$3:$F$32,5,FALSE) - VLOOKUP($B121,test!$A$3:$G$32,6,FALSE) &gt;= (test!$B$36+VLOOKUP(VLOOKUP($B121,test!$A$2:$I$32,4,FALSE),test!$J$24:$P$28,6,FALSE))/1440),1,0)</f>
        <v>0</v>
      </c>
      <c r="Y121" s="2">
        <f>IF(AND(VLOOKUP(Y$1,test!$A$3:$F$32,5,FALSE) - VLOOKUP($B121,test!$A$3:$G$32,6,FALSE) &gt;= (test!$B$36+VLOOKUP(VLOOKUP($B121,test!$A$2:$I$32,4,FALSE),test!$J$24:$P$28,6,FALSE))/1440),1,0)</f>
        <v>0</v>
      </c>
      <c r="Z121" s="2">
        <f>IF(AND(VLOOKUP(Z$1,test!$A$3:$F$32,5,FALSE) - VLOOKUP($B121,test!$A$3:$G$32,6,FALSE) &gt;= (test!$B$36+VLOOKUP(VLOOKUP($B121,test!$A$2:$I$32,4,FALSE),test!$J$24:$P$28,6,FALSE))/1440),1,0)</f>
        <v>0</v>
      </c>
      <c r="AA121" s="2">
        <f>IF(AND(VLOOKUP(AA$1,test!$A$3:$F$32,5,FALSE) - VLOOKUP($B121,test!$A$3:$G$32,6,FALSE) &gt;= (test!$B$36+VLOOKUP(VLOOKUP($B121,test!$A$2:$I$32,4,FALSE),test!$J$24:$P$28,6,FALSE))/1440),1,0)</f>
        <v>0</v>
      </c>
      <c r="AB121" s="2">
        <f>IF(AND(VLOOKUP(AB$1,test!$A$3:$F$32,5,FALSE) - VLOOKUP($B121,test!$A$3:$G$32,6,FALSE) &gt;= (test!$B$36+VLOOKUP(VLOOKUP($B121,test!$A$2:$I$32,4,FALSE),test!$J$24:$P$28,6,FALSE))/1440),1,0)</f>
        <v>0</v>
      </c>
      <c r="AC121" s="2">
        <f>IF(AND(VLOOKUP(AC$1,test!$A$3:$F$32,5,FALSE) - VLOOKUP($B121,test!$A$3:$G$32,6,FALSE) &gt;= (test!$B$36+VLOOKUP(VLOOKUP($B121,test!$A$2:$I$32,4,FALSE),test!$J$24:$P$28,6,FALSE))/1440),1,0)</f>
        <v>0</v>
      </c>
      <c r="AD121" s="2">
        <f>IF(AND(VLOOKUP(AD$1,test!$A$3:$F$32,5,FALSE) - VLOOKUP($B121,test!$A$3:$G$32,6,FALSE) &gt;= (test!$B$36+VLOOKUP(VLOOKUP($B121,test!$A$2:$I$32,4,FALSE),test!$J$24:$P$28,6,FALSE))/1440),1,0)</f>
        <v>0</v>
      </c>
      <c r="AE121" s="2">
        <f>IF(AND(VLOOKUP(AE$1,test!$A$3:$F$32,5,FALSE) - VLOOKUP($B121,test!$A$3:$G$32,6,FALSE) &gt;= (test!$B$36+VLOOKUP(VLOOKUP($B121,test!$A$2:$I$32,4,FALSE),test!$J$24:$P$28,6,FALSE))/1440),1,0)</f>
        <v>0</v>
      </c>
      <c r="AF121" s="2">
        <f>IF(AND(VLOOKUP(AF$1,test!$A$3:$F$32,5,FALSE) - VLOOKUP($B121,test!$A$3:$G$32,6,FALSE) &gt;= (test!$B$36+VLOOKUP(VLOOKUP($B121,test!$A$2:$I$32,4,FALSE),test!$J$24:$P$28,6,FALSE))/1440),1,0)</f>
        <v>0</v>
      </c>
      <c r="AG121" s="2">
        <f>IF(AND(VLOOKUP(AG$1,test!$A$3:$F$32,5,FALSE) - VLOOKUP($B121,test!$A$3:$G$32,6,FALSE) &gt;= (test!$B$36+VLOOKUP(VLOOKUP($B121,test!$A$2:$I$32,4,FALSE),test!$J$24:$P$28,6,FALSE))/1440),1,0)</f>
        <v>0</v>
      </c>
    </row>
    <row r="122" spans="1:33" x14ac:dyDescent="0.25">
      <c r="A122" t="s">
        <v>98</v>
      </c>
      <c r="B122" t="s">
        <v>38</v>
      </c>
      <c r="C122">
        <v>0</v>
      </c>
      <c r="D122" s="2">
        <f>IF(AND(VLOOKUP(D$1,test!$A$3:$F$32,5,FALSE) - VLOOKUP($B122,test!$A$3:$G$32,6,FALSE) &gt;= (test!$B$36+VLOOKUP(VLOOKUP($B122,test!$A$2:$I$32,4,FALSE),test!$J$24:$P$28,6,FALSE))/1440),1,0)</f>
        <v>0</v>
      </c>
      <c r="E122" s="2">
        <f>IF(AND(VLOOKUP(E$1,test!$A$3:$F$32,5,FALSE) - VLOOKUP($B122,test!$A$3:$G$32,6,FALSE) &gt;= (test!$B$36+VLOOKUP(VLOOKUP($B122,test!$A$2:$I$32,4,FALSE),test!$J$24:$P$28,6,FALSE))/1440),1,0)</f>
        <v>0</v>
      </c>
      <c r="F122" s="2">
        <f>IF(AND(VLOOKUP(F$1,test!$A$3:$F$32,5,FALSE) - VLOOKUP($B122,test!$A$3:$G$32,6,FALSE) &gt;= (test!$B$36+VLOOKUP(VLOOKUP($B122,test!$A$2:$I$32,4,FALSE),test!$J$24:$P$28,6,FALSE))/1440),1,0)</f>
        <v>0</v>
      </c>
      <c r="G122" s="2">
        <f>IF(AND(VLOOKUP(G$1,test!$A$3:$F$32,5,FALSE) - VLOOKUP($B122,test!$A$3:$G$32,6,FALSE) &gt;= (test!$B$36+VLOOKUP(VLOOKUP($B122,test!$A$2:$I$32,4,FALSE),test!$J$24:$P$28,6,FALSE))/1440),1,0)</f>
        <v>0</v>
      </c>
      <c r="H122" s="2">
        <f>IF(AND(VLOOKUP(H$1,test!$A$3:$F$32,5,FALSE) - VLOOKUP($B122,test!$A$3:$G$32,6,FALSE) &gt;= (test!$B$36+VLOOKUP(VLOOKUP($B122,test!$A$2:$I$32,4,FALSE),test!$J$24:$P$28,6,FALSE))/1440),1,0)</f>
        <v>0</v>
      </c>
      <c r="I122" s="2">
        <f>IF(AND(VLOOKUP(I$1,test!$A$3:$F$32,5,FALSE) - VLOOKUP($B122,test!$A$3:$G$32,6,FALSE) &gt;= (test!$B$36+VLOOKUP(VLOOKUP($B122,test!$A$2:$I$32,4,FALSE),test!$J$24:$P$28,6,FALSE))/1440),1,0)</f>
        <v>0</v>
      </c>
      <c r="J122" s="2">
        <f>IF(AND(VLOOKUP(J$1,test!$A$3:$F$32,5,FALSE) - VLOOKUP($B122,test!$A$3:$G$32,6,FALSE) &gt;= (test!$B$36+VLOOKUP(VLOOKUP($B122,test!$A$2:$I$32,4,FALSE),test!$J$24:$P$28,6,FALSE))/1440),1,0)</f>
        <v>0</v>
      </c>
      <c r="K122" s="2">
        <f>IF(AND(VLOOKUP(K$1,test!$A$3:$F$32,5,FALSE) - VLOOKUP($B122,test!$A$3:$G$32,6,FALSE) &gt;= (test!$B$36+VLOOKUP(VLOOKUP($B122,test!$A$2:$I$32,4,FALSE),test!$J$24:$P$28,6,FALSE))/1440),1,0)</f>
        <v>0</v>
      </c>
      <c r="L122" s="2">
        <f>IF(AND(VLOOKUP(L$1,test!$A$3:$F$32,5,FALSE) - VLOOKUP($B122,test!$A$3:$G$32,6,FALSE) &gt;= (test!$B$36+VLOOKUP(VLOOKUP($B122,test!$A$2:$I$32,4,FALSE),test!$J$24:$P$28,6,FALSE))/1440),1,0)</f>
        <v>0</v>
      </c>
      <c r="M122" s="2">
        <f>IF(AND(VLOOKUP(M$1,test!$A$3:$F$32,5,FALSE) - VLOOKUP($B122,test!$A$3:$G$32,6,FALSE) &gt;= (test!$B$36+VLOOKUP(VLOOKUP($B122,test!$A$2:$I$32,4,FALSE),test!$J$24:$P$28,6,FALSE))/1440),1,0)</f>
        <v>0</v>
      </c>
      <c r="N122" s="2">
        <f>IF(AND(VLOOKUP(N$1,test!$A$3:$F$32,5,FALSE) - VLOOKUP($B122,test!$A$3:$G$32,6,FALSE) &gt;= (test!$B$36+VLOOKUP(VLOOKUP($B122,test!$A$2:$I$32,4,FALSE),test!$J$24:$P$28,6,FALSE))/1440),1,0)</f>
        <v>0</v>
      </c>
      <c r="O122" s="2">
        <f>IF(AND(VLOOKUP(O$1,test!$A$3:$F$32,5,FALSE) - VLOOKUP($B122,test!$A$3:$G$32,6,FALSE) &gt;= (test!$B$36+VLOOKUP(VLOOKUP($B122,test!$A$2:$I$32,4,FALSE),test!$J$24:$P$28,6,FALSE))/1440),1,0)</f>
        <v>0</v>
      </c>
      <c r="P122" s="2">
        <f>IF(AND(VLOOKUP(P$1,test!$A$3:$F$32,5,FALSE) - VLOOKUP($B122,test!$A$3:$G$32,6,FALSE) &gt;= (test!$B$36+VLOOKUP(VLOOKUP($B122,test!$A$2:$I$32,4,FALSE),test!$J$24:$P$28,6,FALSE))/1440),1,0)</f>
        <v>0</v>
      </c>
      <c r="Q122" s="2">
        <f>IF(AND(VLOOKUP(Q$1,test!$A$3:$F$32,5,FALSE) - VLOOKUP($B122,test!$A$3:$G$32,6,FALSE) &gt;= (test!$B$36+VLOOKUP(VLOOKUP($B122,test!$A$2:$I$32,4,FALSE),test!$J$24:$P$28,6,FALSE))/1440),1,0)</f>
        <v>0</v>
      </c>
      <c r="R122" s="2">
        <f>IF(AND(VLOOKUP(R$1,test!$A$3:$F$32,5,FALSE) - VLOOKUP($B122,test!$A$3:$G$32,6,FALSE) &gt;= (test!$B$36+VLOOKUP(VLOOKUP($B122,test!$A$2:$I$32,4,FALSE),test!$J$24:$P$28,6,FALSE))/1440),1,0)</f>
        <v>0</v>
      </c>
      <c r="S122" s="2">
        <f>IF(AND(VLOOKUP(S$1,test!$A$3:$F$32,5,FALSE) - VLOOKUP($B122,test!$A$3:$G$32,6,FALSE) &gt;= (test!$B$36+VLOOKUP(VLOOKUP($B122,test!$A$2:$I$32,4,FALSE),test!$J$24:$P$28,6,FALSE))/1440),1,0)</f>
        <v>0</v>
      </c>
      <c r="T122" s="2">
        <f>IF(AND(VLOOKUP(T$1,test!$A$3:$F$32,5,FALSE) - VLOOKUP($B122,test!$A$3:$G$32,6,FALSE) &gt;= (test!$B$36+VLOOKUP(VLOOKUP($B122,test!$A$2:$I$32,4,FALSE),test!$J$24:$P$28,6,FALSE))/1440),1,0)</f>
        <v>0</v>
      </c>
      <c r="U122" s="2">
        <f>IF(AND(VLOOKUP(U$1,test!$A$3:$F$32,5,FALSE) - VLOOKUP($B122,test!$A$3:$G$32,6,FALSE) &gt;= (test!$B$36+VLOOKUP(VLOOKUP($B122,test!$A$2:$I$32,4,FALSE),test!$J$24:$P$28,6,FALSE))/1440),1,0)</f>
        <v>0</v>
      </c>
      <c r="V122" s="2">
        <f>IF(AND(VLOOKUP(V$1,test!$A$3:$F$32,5,FALSE) - VLOOKUP($B122,test!$A$3:$G$32,6,FALSE) &gt;= (test!$B$36+VLOOKUP(VLOOKUP($B122,test!$A$2:$I$32,4,FALSE),test!$J$24:$P$28,6,FALSE))/1440),1,0)</f>
        <v>0</v>
      </c>
      <c r="W122" s="2">
        <f>IF(AND(VLOOKUP(W$1,test!$A$3:$F$32,5,FALSE) - VLOOKUP($B122,test!$A$3:$G$32,6,FALSE) &gt;= (test!$B$36+VLOOKUP(VLOOKUP($B122,test!$A$2:$I$32,4,FALSE),test!$J$24:$P$28,6,FALSE))/1440),1,0)</f>
        <v>0</v>
      </c>
      <c r="X122" s="2">
        <f>IF(AND(VLOOKUP(X$1,test!$A$3:$F$32,5,FALSE) - VLOOKUP($B122,test!$A$3:$G$32,6,FALSE) &gt;= (test!$B$36+VLOOKUP(VLOOKUP($B122,test!$A$2:$I$32,4,FALSE),test!$J$24:$P$28,6,FALSE))/1440),1,0)</f>
        <v>0</v>
      </c>
      <c r="Y122" s="2">
        <f>IF(AND(VLOOKUP(Y$1,test!$A$3:$F$32,5,FALSE) - VLOOKUP($B122,test!$A$3:$G$32,6,FALSE) &gt;= (test!$B$36+VLOOKUP(VLOOKUP($B122,test!$A$2:$I$32,4,FALSE),test!$J$24:$P$28,6,FALSE))/1440),1,0)</f>
        <v>0</v>
      </c>
      <c r="Z122" s="2">
        <f>IF(AND(VLOOKUP(Z$1,test!$A$3:$F$32,5,FALSE) - VLOOKUP($B122,test!$A$3:$G$32,6,FALSE) &gt;= (test!$B$36+VLOOKUP(VLOOKUP($B122,test!$A$2:$I$32,4,FALSE),test!$J$24:$P$28,6,FALSE))/1440),1,0)</f>
        <v>0</v>
      </c>
      <c r="AA122" s="2">
        <f>IF(AND(VLOOKUP(AA$1,test!$A$3:$F$32,5,FALSE) - VLOOKUP($B122,test!$A$3:$G$32,6,FALSE) &gt;= (test!$B$36+VLOOKUP(VLOOKUP($B122,test!$A$2:$I$32,4,FALSE),test!$J$24:$P$28,6,FALSE))/1440),1,0)</f>
        <v>0</v>
      </c>
      <c r="AB122" s="2">
        <f>IF(AND(VLOOKUP(AB$1,test!$A$3:$F$32,5,FALSE) - VLOOKUP($B122,test!$A$3:$G$32,6,FALSE) &gt;= (test!$B$36+VLOOKUP(VLOOKUP($B122,test!$A$2:$I$32,4,FALSE),test!$J$24:$P$28,6,FALSE))/1440),1,0)</f>
        <v>0</v>
      </c>
      <c r="AC122" s="2">
        <f>IF(AND(VLOOKUP(AC$1,test!$A$3:$F$32,5,FALSE) - VLOOKUP($B122,test!$A$3:$G$32,6,FALSE) &gt;= (test!$B$36+VLOOKUP(VLOOKUP($B122,test!$A$2:$I$32,4,FALSE),test!$J$24:$P$28,6,FALSE))/1440),1,0)</f>
        <v>0</v>
      </c>
      <c r="AD122" s="2">
        <f>IF(AND(VLOOKUP(AD$1,test!$A$3:$F$32,5,FALSE) - VLOOKUP($B122,test!$A$3:$G$32,6,FALSE) &gt;= (test!$B$36+VLOOKUP(VLOOKUP($B122,test!$A$2:$I$32,4,FALSE),test!$J$24:$P$28,6,FALSE))/1440),1,0)</f>
        <v>0</v>
      </c>
      <c r="AE122" s="2">
        <f>IF(AND(VLOOKUP(AE$1,test!$A$3:$F$32,5,FALSE) - VLOOKUP($B122,test!$A$3:$G$32,6,FALSE) &gt;= (test!$B$36+VLOOKUP(VLOOKUP($B122,test!$A$2:$I$32,4,FALSE),test!$J$24:$P$28,6,FALSE))/1440),1,0)</f>
        <v>0</v>
      </c>
      <c r="AF122" s="2">
        <f>IF(AND(VLOOKUP(AF$1,test!$A$3:$F$32,5,FALSE) - VLOOKUP($B122,test!$A$3:$G$32,6,FALSE) &gt;= (test!$B$36+VLOOKUP(VLOOKUP($B122,test!$A$2:$I$32,4,FALSE),test!$J$24:$P$28,6,FALSE))/1440),1,0)</f>
        <v>0</v>
      </c>
      <c r="AG122" s="2">
        <f>IF(AND(VLOOKUP(AG$1,test!$A$3:$F$32,5,FALSE) - VLOOKUP($B122,test!$A$3:$G$32,6,FALSE) &gt;= (test!$B$36+VLOOKUP(VLOOKUP($B122,test!$A$2:$I$32,4,FALSE),test!$J$24:$P$28,6,FALSE))/1440),1,0)</f>
        <v>0</v>
      </c>
    </row>
    <row r="123" spans="1:33" x14ac:dyDescent="0.25">
      <c r="A123" t="s">
        <v>98</v>
      </c>
      <c r="B123" t="s">
        <v>39</v>
      </c>
      <c r="C123">
        <v>0</v>
      </c>
      <c r="D123" s="2">
        <f>IF(AND(VLOOKUP(D$1,test!$A$3:$F$32,5,FALSE) - VLOOKUP($B123,test!$A$3:$G$32,6,FALSE) &gt;= (test!$B$36+VLOOKUP(VLOOKUP($B123,test!$A$2:$I$32,4,FALSE),test!$J$24:$P$28,6,FALSE))/1440),1,0)</f>
        <v>0</v>
      </c>
      <c r="E123" s="2">
        <f>IF(AND(VLOOKUP(E$1,test!$A$3:$F$32,5,FALSE) - VLOOKUP($B123,test!$A$3:$G$32,6,FALSE) &gt;= (test!$B$36+VLOOKUP(VLOOKUP($B123,test!$A$2:$I$32,4,FALSE),test!$J$24:$P$28,6,FALSE))/1440),1,0)</f>
        <v>0</v>
      </c>
      <c r="F123" s="2">
        <f>IF(AND(VLOOKUP(F$1,test!$A$3:$F$32,5,FALSE) - VLOOKUP($B123,test!$A$3:$G$32,6,FALSE) &gt;= (test!$B$36+VLOOKUP(VLOOKUP($B123,test!$A$2:$I$32,4,FALSE),test!$J$24:$P$28,6,FALSE))/1440),1,0)</f>
        <v>1</v>
      </c>
      <c r="G123" s="2">
        <f>IF(AND(VLOOKUP(G$1,test!$A$3:$F$32,5,FALSE) - VLOOKUP($B123,test!$A$3:$G$32,6,FALSE) &gt;= (test!$B$36+VLOOKUP(VLOOKUP($B123,test!$A$2:$I$32,4,FALSE),test!$J$24:$P$28,6,FALSE))/1440),1,0)</f>
        <v>1</v>
      </c>
      <c r="H123" s="2">
        <f>IF(AND(VLOOKUP(H$1,test!$A$3:$F$32,5,FALSE) - VLOOKUP($B123,test!$A$3:$G$32,6,FALSE) &gt;= (test!$B$36+VLOOKUP(VLOOKUP($B123,test!$A$2:$I$32,4,FALSE),test!$J$24:$P$28,6,FALSE))/1440),1,0)</f>
        <v>1</v>
      </c>
      <c r="I123" s="2">
        <f>IF(AND(VLOOKUP(I$1,test!$A$3:$F$32,5,FALSE) - VLOOKUP($B123,test!$A$3:$G$32,6,FALSE) &gt;= (test!$B$36+VLOOKUP(VLOOKUP($B123,test!$A$2:$I$32,4,FALSE),test!$J$24:$P$28,6,FALSE))/1440),1,0)</f>
        <v>1</v>
      </c>
      <c r="J123" s="2">
        <f>IF(AND(VLOOKUP(J$1,test!$A$3:$F$32,5,FALSE) - VLOOKUP($B123,test!$A$3:$G$32,6,FALSE) &gt;= (test!$B$36+VLOOKUP(VLOOKUP($B123,test!$A$2:$I$32,4,FALSE),test!$J$24:$P$28,6,FALSE))/1440),1,0)</f>
        <v>1</v>
      </c>
      <c r="K123" s="2">
        <f>IF(AND(VLOOKUP(K$1,test!$A$3:$F$32,5,FALSE) - VLOOKUP($B123,test!$A$3:$G$32,6,FALSE) &gt;= (test!$B$36+VLOOKUP(VLOOKUP($B123,test!$A$2:$I$32,4,FALSE),test!$J$24:$P$28,6,FALSE))/1440),1,0)</f>
        <v>1</v>
      </c>
      <c r="L123" s="2">
        <f>IF(AND(VLOOKUP(L$1,test!$A$3:$F$32,5,FALSE) - VLOOKUP($B123,test!$A$3:$G$32,6,FALSE) &gt;= (test!$B$36+VLOOKUP(VLOOKUP($B123,test!$A$2:$I$32,4,FALSE),test!$J$24:$P$28,6,FALSE))/1440),1,0)</f>
        <v>0</v>
      </c>
      <c r="M123" s="2">
        <f>IF(AND(VLOOKUP(M$1,test!$A$3:$F$32,5,FALSE) - VLOOKUP($B123,test!$A$3:$G$32,6,FALSE) &gt;= (test!$B$36+VLOOKUP(VLOOKUP($B123,test!$A$2:$I$32,4,FALSE),test!$J$24:$P$28,6,FALSE))/1440),1,0)</f>
        <v>0</v>
      </c>
      <c r="N123" s="2">
        <f>IF(AND(VLOOKUP(N$1,test!$A$3:$F$32,5,FALSE) - VLOOKUP($B123,test!$A$3:$G$32,6,FALSE) &gt;= (test!$B$36+VLOOKUP(VLOOKUP($B123,test!$A$2:$I$32,4,FALSE),test!$J$24:$P$28,6,FALSE))/1440),1,0)</f>
        <v>0</v>
      </c>
      <c r="O123" s="2">
        <f>IF(AND(VLOOKUP(O$1,test!$A$3:$F$32,5,FALSE) - VLOOKUP($B123,test!$A$3:$G$32,6,FALSE) &gt;= (test!$B$36+VLOOKUP(VLOOKUP($B123,test!$A$2:$I$32,4,FALSE),test!$J$24:$P$28,6,FALSE))/1440),1,0)</f>
        <v>1</v>
      </c>
      <c r="P123" s="2">
        <f>IF(AND(VLOOKUP(P$1,test!$A$3:$F$32,5,FALSE) - VLOOKUP($B123,test!$A$3:$G$32,6,FALSE) &gt;= (test!$B$36+VLOOKUP(VLOOKUP($B123,test!$A$2:$I$32,4,FALSE),test!$J$24:$P$28,6,FALSE))/1440),1,0)</f>
        <v>1</v>
      </c>
      <c r="Q123" s="2">
        <f>IF(AND(VLOOKUP(Q$1,test!$A$3:$F$32,5,FALSE) - VLOOKUP($B123,test!$A$3:$G$32,6,FALSE) &gt;= (test!$B$36+VLOOKUP(VLOOKUP($B123,test!$A$2:$I$32,4,FALSE),test!$J$24:$P$28,6,FALSE))/1440),1,0)</f>
        <v>0</v>
      </c>
      <c r="R123" s="2">
        <f>IF(AND(VLOOKUP(R$1,test!$A$3:$F$32,5,FALSE) - VLOOKUP($B123,test!$A$3:$G$32,6,FALSE) &gt;= (test!$B$36+VLOOKUP(VLOOKUP($B123,test!$A$2:$I$32,4,FALSE),test!$J$24:$P$28,6,FALSE))/1440),1,0)</f>
        <v>0</v>
      </c>
      <c r="S123" s="2">
        <f>IF(AND(VLOOKUP(S$1,test!$A$3:$F$32,5,FALSE) - VLOOKUP($B123,test!$A$3:$G$32,6,FALSE) &gt;= (test!$B$36+VLOOKUP(VLOOKUP($B123,test!$A$2:$I$32,4,FALSE),test!$J$24:$P$28,6,FALSE))/1440),1,0)</f>
        <v>0</v>
      </c>
      <c r="T123" s="2">
        <f>IF(AND(VLOOKUP(T$1,test!$A$3:$F$32,5,FALSE) - VLOOKUP($B123,test!$A$3:$G$32,6,FALSE) &gt;= (test!$B$36+VLOOKUP(VLOOKUP($B123,test!$A$2:$I$32,4,FALSE),test!$J$24:$P$28,6,FALSE))/1440),1,0)</f>
        <v>0</v>
      </c>
      <c r="U123" s="2">
        <f>IF(AND(VLOOKUP(U$1,test!$A$3:$F$32,5,FALSE) - VLOOKUP($B123,test!$A$3:$G$32,6,FALSE) &gt;= (test!$B$36+VLOOKUP(VLOOKUP($B123,test!$A$2:$I$32,4,FALSE),test!$J$24:$P$28,6,FALSE))/1440),1,0)</f>
        <v>0</v>
      </c>
      <c r="V123" s="2">
        <f>IF(AND(VLOOKUP(V$1,test!$A$3:$F$32,5,FALSE) - VLOOKUP($B123,test!$A$3:$G$32,6,FALSE) &gt;= (test!$B$36+VLOOKUP(VLOOKUP($B123,test!$A$2:$I$32,4,FALSE),test!$J$24:$P$28,6,FALSE))/1440),1,0)</f>
        <v>1</v>
      </c>
      <c r="W123" s="2">
        <f>IF(AND(VLOOKUP(W$1,test!$A$3:$F$32,5,FALSE) - VLOOKUP($B123,test!$A$3:$G$32,6,FALSE) &gt;= (test!$B$36+VLOOKUP(VLOOKUP($B123,test!$A$2:$I$32,4,FALSE),test!$J$24:$P$28,6,FALSE))/1440),1,0)</f>
        <v>1</v>
      </c>
      <c r="X123" s="2">
        <f>IF(AND(VLOOKUP(X$1,test!$A$3:$F$32,5,FALSE) - VLOOKUP($B123,test!$A$3:$G$32,6,FALSE) &gt;= (test!$B$36+VLOOKUP(VLOOKUP($B123,test!$A$2:$I$32,4,FALSE),test!$J$24:$P$28,6,FALSE))/1440),1,0)</f>
        <v>1</v>
      </c>
      <c r="Y123" s="2">
        <f>IF(AND(VLOOKUP(Y$1,test!$A$3:$F$32,5,FALSE) - VLOOKUP($B123,test!$A$3:$G$32,6,FALSE) &gt;= (test!$B$36+VLOOKUP(VLOOKUP($B123,test!$A$2:$I$32,4,FALSE),test!$J$24:$P$28,6,FALSE))/1440),1,0)</f>
        <v>1</v>
      </c>
      <c r="Z123" s="2">
        <f>IF(AND(VLOOKUP(Z$1,test!$A$3:$F$32,5,FALSE) - VLOOKUP($B123,test!$A$3:$G$32,6,FALSE) &gt;= (test!$B$36+VLOOKUP(VLOOKUP($B123,test!$A$2:$I$32,4,FALSE),test!$J$24:$P$28,6,FALSE))/1440),1,0)</f>
        <v>0</v>
      </c>
      <c r="AA123" s="2">
        <f>IF(AND(VLOOKUP(AA$1,test!$A$3:$F$32,5,FALSE) - VLOOKUP($B123,test!$A$3:$G$32,6,FALSE) &gt;= (test!$B$36+VLOOKUP(VLOOKUP($B123,test!$A$2:$I$32,4,FALSE),test!$J$24:$P$28,6,FALSE))/1440),1,0)</f>
        <v>0</v>
      </c>
      <c r="AB123" s="2">
        <f>IF(AND(VLOOKUP(AB$1,test!$A$3:$F$32,5,FALSE) - VLOOKUP($B123,test!$A$3:$G$32,6,FALSE) &gt;= (test!$B$36+VLOOKUP(VLOOKUP($B123,test!$A$2:$I$32,4,FALSE),test!$J$24:$P$28,6,FALSE))/1440),1,0)</f>
        <v>1</v>
      </c>
      <c r="AC123" s="2">
        <f>IF(AND(VLOOKUP(AC$1,test!$A$3:$F$32,5,FALSE) - VLOOKUP($B123,test!$A$3:$G$32,6,FALSE) &gt;= (test!$B$36+VLOOKUP(VLOOKUP($B123,test!$A$2:$I$32,4,FALSE),test!$J$24:$P$28,6,FALSE))/1440),1,0)</f>
        <v>1</v>
      </c>
      <c r="AD123" s="2">
        <f>IF(AND(VLOOKUP(AD$1,test!$A$3:$F$32,5,FALSE) - VLOOKUP($B123,test!$A$3:$G$32,6,FALSE) &gt;= (test!$B$36+VLOOKUP(VLOOKUP($B123,test!$A$2:$I$32,4,FALSE),test!$J$24:$P$28,6,FALSE))/1440),1,0)</f>
        <v>1</v>
      </c>
      <c r="AE123" s="2">
        <f>IF(AND(VLOOKUP(AE$1,test!$A$3:$F$32,5,FALSE) - VLOOKUP($B123,test!$A$3:$G$32,6,FALSE) &gt;= (test!$B$36+VLOOKUP(VLOOKUP($B123,test!$A$2:$I$32,4,FALSE),test!$J$24:$P$28,6,FALSE))/1440),1,0)</f>
        <v>0</v>
      </c>
      <c r="AF123" s="2">
        <f>IF(AND(VLOOKUP(AF$1,test!$A$3:$F$32,5,FALSE) - VLOOKUP($B123,test!$A$3:$G$32,6,FALSE) &gt;= (test!$B$36+VLOOKUP(VLOOKUP($B123,test!$A$2:$I$32,4,FALSE),test!$J$24:$P$28,6,FALSE))/1440),1,0)</f>
        <v>1</v>
      </c>
      <c r="AG123" s="2">
        <f>IF(AND(VLOOKUP(AG$1,test!$A$3:$F$32,5,FALSE) - VLOOKUP($B123,test!$A$3:$G$32,6,FALSE) &gt;= (test!$B$36+VLOOKUP(VLOOKUP($B123,test!$A$2:$I$32,4,FALSE),test!$J$24:$P$28,6,FALSE))/1440),1,0)</f>
        <v>0</v>
      </c>
    </row>
    <row r="124" spans="1:33" x14ac:dyDescent="0.25">
      <c r="A124" t="s">
        <v>98</v>
      </c>
      <c r="B124" t="s">
        <v>40</v>
      </c>
      <c r="C124">
        <v>0</v>
      </c>
      <c r="D124" s="2">
        <f>IF(AND(VLOOKUP(D$1,test!$A$3:$F$32,5,FALSE) - VLOOKUP($B124,test!$A$3:$G$32,6,FALSE) &gt;= (test!$B$36+VLOOKUP(VLOOKUP($B124,test!$A$2:$I$32,4,FALSE),test!$J$24:$P$28,6,FALSE))/1440),1,0)</f>
        <v>0</v>
      </c>
      <c r="E124" s="2">
        <f>IF(AND(VLOOKUP(E$1,test!$A$3:$F$32,5,FALSE) - VLOOKUP($B124,test!$A$3:$G$32,6,FALSE) &gt;= (test!$B$36+VLOOKUP(VLOOKUP($B124,test!$A$2:$I$32,4,FALSE),test!$J$24:$P$28,6,FALSE))/1440),1,0)</f>
        <v>0</v>
      </c>
      <c r="F124" s="2">
        <f>IF(AND(VLOOKUP(F$1,test!$A$3:$F$32,5,FALSE) - VLOOKUP($B124,test!$A$3:$G$32,6,FALSE) &gt;= (test!$B$36+VLOOKUP(VLOOKUP($B124,test!$A$2:$I$32,4,FALSE),test!$J$24:$P$28,6,FALSE))/1440),1,0)</f>
        <v>0</v>
      </c>
      <c r="G124" s="2">
        <f>IF(AND(VLOOKUP(G$1,test!$A$3:$F$32,5,FALSE) - VLOOKUP($B124,test!$A$3:$G$32,6,FALSE) &gt;= (test!$B$36+VLOOKUP(VLOOKUP($B124,test!$A$2:$I$32,4,FALSE),test!$J$24:$P$28,6,FALSE))/1440),1,0)</f>
        <v>0</v>
      </c>
      <c r="H124" s="2">
        <f>IF(AND(VLOOKUP(H$1,test!$A$3:$F$32,5,FALSE) - VLOOKUP($B124,test!$A$3:$G$32,6,FALSE) &gt;= (test!$B$36+VLOOKUP(VLOOKUP($B124,test!$A$2:$I$32,4,FALSE),test!$J$24:$P$28,6,FALSE))/1440),1,0)</f>
        <v>0</v>
      </c>
      <c r="I124" s="2">
        <f>IF(AND(VLOOKUP(I$1,test!$A$3:$F$32,5,FALSE) - VLOOKUP($B124,test!$A$3:$G$32,6,FALSE) &gt;= (test!$B$36+VLOOKUP(VLOOKUP($B124,test!$A$2:$I$32,4,FALSE),test!$J$24:$P$28,6,FALSE))/1440),1,0)</f>
        <v>0</v>
      </c>
      <c r="J124" s="2">
        <f>IF(AND(VLOOKUP(J$1,test!$A$3:$F$32,5,FALSE) - VLOOKUP($B124,test!$A$3:$G$32,6,FALSE) &gt;= (test!$B$36+VLOOKUP(VLOOKUP($B124,test!$A$2:$I$32,4,FALSE),test!$J$24:$P$28,6,FALSE))/1440),1,0)</f>
        <v>0</v>
      </c>
      <c r="K124" s="2">
        <f>IF(AND(VLOOKUP(K$1,test!$A$3:$F$32,5,FALSE) - VLOOKUP($B124,test!$A$3:$G$32,6,FALSE) &gt;= (test!$B$36+VLOOKUP(VLOOKUP($B124,test!$A$2:$I$32,4,FALSE),test!$J$24:$P$28,6,FALSE))/1440),1,0)</f>
        <v>0</v>
      </c>
      <c r="L124" s="2">
        <f>IF(AND(VLOOKUP(L$1,test!$A$3:$F$32,5,FALSE) - VLOOKUP($B124,test!$A$3:$G$32,6,FALSE) &gt;= (test!$B$36+VLOOKUP(VLOOKUP($B124,test!$A$2:$I$32,4,FALSE),test!$J$24:$P$28,6,FALSE))/1440),1,0)</f>
        <v>0</v>
      </c>
      <c r="M124" s="2">
        <f>IF(AND(VLOOKUP(M$1,test!$A$3:$F$32,5,FALSE) - VLOOKUP($B124,test!$A$3:$G$32,6,FALSE) &gt;= (test!$B$36+VLOOKUP(VLOOKUP($B124,test!$A$2:$I$32,4,FALSE),test!$J$24:$P$28,6,FALSE))/1440),1,0)</f>
        <v>0</v>
      </c>
      <c r="N124" s="2">
        <f>IF(AND(VLOOKUP(N$1,test!$A$3:$F$32,5,FALSE) - VLOOKUP($B124,test!$A$3:$G$32,6,FALSE) &gt;= (test!$B$36+VLOOKUP(VLOOKUP($B124,test!$A$2:$I$32,4,FALSE),test!$J$24:$P$28,6,FALSE))/1440),1,0)</f>
        <v>0</v>
      </c>
      <c r="O124" s="2">
        <f>IF(AND(VLOOKUP(O$1,test!$A$3:$F$32,5,FALSE) - VLOOKUP($B124,test!$A$3:$G$32,6,FALSE) &gt;= (test!$B$36+VLOOKUP(VLOOKUP($B124,test!$A$2:$I$32,4,FALSE),test!$J$24:$P$28,6,FALSE))/1440),1,0)</f>
        <v>0</v>
      </c>
      <c r="P124" s="2">
        <f>IF(AND(VLOOKUP(P$1,test!$A$3:$F$32,5,FALSE) - VLOOKUP($B124,test!$A$3:$G$32,6,FALSE) &gt;= (test!$B$36+VLOOKUP(VLOOKUP($B124,test!$A$2:$I$32,4,FALSE),test!$J$24:$P$28,6,FALSE))/1440),1,0)</f>
        <v>1</v>
      </c>
      <c r="Q124" s="2">
        <f>IF(AND(VLOOKUP(Q$1,test!$A$3:$F$32,5,FALSE) - VLOOKUP($B124,test!$A$3:$G$32,6,FALSE) &gt;= (test!$B$36+VLOOKUP(VLOOKUP($B124,test!$A$2:$I$32,4,FALSE),test!$J$24:$P$28,6,FALSE))/1440),1,0)</f>
        <v>0</v>
      </c>
      <c r="R124" s="2">
        <f>IF(AND(VLOOKUP(R$1,test!$A$3:$F$32,5,FALSE) - VLOOKUP($B124,test!$A$3:$G$32,6,FALSE) &gt;= (test!$B$36+VLOOKUP(VLOOKUP($B124,test!$A$2:$I$32,4,FALSE),test!$J$24:$P$28,6,FALSE))/1440),1,0)</f>
        <v>0</v>
      </c>
      <c r="S124" s="2">
        <f>IF(AND(VLOOKUP(S$1,test!$A$3:$F$32,5,FALSE) - VLOOKUP($B124,test!$A$3:$G$32,6,FALSE) &gt;= (test!$B$36+VLOOKUP(VLOOKUP($B124,test!$A$2:$I$32,4,FALSE),test!$J$24:$P$28,6,FALSE))/1440),1,0)</f>
        <v>0</v>
      </c>
      <c r="T124" s="2">
        <f>IF(AND(VLOOKUP(T$1,test!$A$3:$F$32,5,FALSE) - VLOOKUP($B124,test!$A$3:$G$32,6,FALSE) &gt;= (test!$B$36+VLOOKUP(VLOOKUP($B124,test!$A$2:$I$32,4,FALSE),test!$J$24:$P$28,6,FALSE))/1440),1,0)</f>
        <v>0</v>
      </c>
      <c r="U124" s="2">
        <f>IF(AND(VLOOKUP(U$1,test!$A$3:$F$32,5,FALSE) - VLOOKUP($B124,test!$A$3:$G$32,6,FALSE) &gt;= (test!$B$36+VLOOKUP(VLOOKUP($B124,test!$A$2:$I$32,4,FALSE),test!$J$24:$P$28,6,FALSE))/1440),1,0)</f>
        <v>0</v>
      </c>
      <c r="V124" s="2">
        <f>IF(AND(VLOOKUP(V$1,test!$A$3:$F$32,5,FALSE) - VLOOKUP($B124,test!$A$3:$G$32,6,FALSE) &gt;= (test!$B$36+VLOOKUP(VLOOKUP($B124,test!$A$2:$I$32,4,FALSE),test!$J$24:$P$28,6,FALSE))/1440),1,0)</f>
        <v>0</v>
      </c>
      <c r="W124" s="2">
        <f>IF(AND(VLOOKUP(W$1,test!$A$3:$F$32,5,FALSE) - VLOOKUP($B124,test!$A$3:$G$32,6,FALSE) &gt;= (test!$B$36+VLOOKUP(VLOOKUP($B124,test!$A$2:$I$32,4,FALSE),test!$J$24:$P$28,6,FALSE))/1440),1,0)</f>
        <v>0</v>
      </c>
      <c r="X124" s="2">
        <f>IF(AND(VLOOKUP(X$1,test!$A$3:$F$32,5,FALSE) - VLOOKUP($B124,test!$A$3:$G$32,6,FALSE) &gt;= (test!$B$36+VLOOKUP(VLOOKUP($B124,test!$A$2:$I$32,4,FALSE),test!$J$24:$P$28,6,FALSE))/1440),1,0)</f>
        <v>0</v>
      </c>
      <c r="Y124" s="2">
        <f>IF(AND(VLOOKUP(Y$1,test!$A$3:$F$32,5,FALSE) - VLOOKUP($B124,test!$A$3:$G$32,6,FALSE) &gt;= (test!$B$36+VLOOKUP(VLOOKUP($B124,test!$A$2:$I$32,4,FALSE),test!$J$24:$P$28,6,FALSE))/1440),1,0)</f>
        <v>0</v>
      </c>
      <c r="Z124" s="2">
        <f>IF(AND(VLOOKUP(Z$1,test!$A$3:$F$32,5,FALSE) - VLOOKUP($B124,test!$A$3:$G$32,6,FALSE) &gt;= (test!$B$36+VLOOKUP(VLOOKUP($B124,test!$A$2:$I$32,4,FALSE),test!$J$24:$P$28,6,FALSE))/1440),1,0)</f>
        <v>0</v>
      </c>
      <c r="AA124" s="2">
        <f>IF(AND(VLOOKUP(AA$1,test!$A$3:$F$32,5,FALSE) - VLOOKUP($B124,test!$A$3:$G$32,6,FALSE) &gt;= (test!$B$36+VLOOKUP(VLOOKUP($B124,test!$A$2:$I$32,4,FALSE),test!$J$24:$P$28,6,FALSE))/1440),1,0)</f>
        <v>0</v>
      </c>
      <c r="AB124" s="2">
        <f>IF(AND(VLOOKUP(AB$1,test!$A$3:$F$32,5,FALSE) - VLOOKUP($B124,test!$A$3:$G$32,6,FALSE) &gt;= (test!$B$36+VLOOKUP(VLOOKUP($B124,test!$A$2:$I$32,4,FALSE),test!$J$24:$P$28,6,FALSE))/1440),1,0)</f>
        <v>0</v>
      </c>
      <c r="AC124" s="2">
        <f>IF(AND(VLOOKUP(AC$1,test!$A$3:$F$32,5,FALSE) - VLOOKUP($B124,test!$A$3:$G$32,6,FALSE) &gt;= (test!$B$36+VLOOKUP(VLOOKUP($B124,test!$A$2:$I$32,4,FALSE),test!$J$24:$P$28,6,FALSE))/1440),1,0)</f>
        <v>0</v>
      </c>
      <c r="AD124" s="2">
        <f>IF(AND(VLOOKUP(AD$1,test!$A$3:$F$32,5,FALSE) - VLOOKUP($B124,test!$A$3:$G$32,6,FALSE) &gt;= (test!$B$36+VLOOKUP(VLOOKUP($B124,test!$A$2:$I$32,4,FALSE),test!$J$24:$P$28,6,FALSE))/1440),1,0)</f>
        <v>0</v>
      </c>
      <c r="AE124" s="2">
        <f>IF(AND(VLOOKUP(AE$1,test!$A$3:$F$32,5,FALSE) - VLOOKUP($B124,test!$A$3:$G$32,6,FALSE) &gt;= (test!$B$36+VLOOKUP(VLOOKUP($B124,test!$A$2:$I$32,4,FALSE),test!$J$24:$P$28,6,FALSE))/1440),1,0)</f>
        <v>0</v>
      </c>
      <c r="AF124" s="2">
        <f>IF(AND(VLOOKUP(AF$1,test!$A$3:$F$32,5,FALSE) - VLOOKUP($B124,test!$A$3:$G$32,6,FALSE) &gt;= (test!$B$36+VLOOKUP(VLOOKUP($B124,test!$A$2:$I$32,4,FALSE),test!$J$24:$P$28,6,FALSE))/1440),1,0)</f>
        <v>0</v>
      </c>
      <c r="AG124" s="2">
        <f>IF(AND(VLOOKUP(AG$1,test!$A$3:$F$32,5,FALSE) - VLOOKUP($B124,test!$A$3:$G$32,6,FALSE) &gt;= (test!$B$36+VLOOKUP(VLOOKUP($B124,test!$A$2:$I$32,4,FALSE),test!$J$24:$P$28,6,FALSE))/1440),1,0)</f>
        <v>0</v>
      </c>
    </row>
    <row r="125" spans="1:33" x14ac:dyDescent="0.25">
      <c r="A125" t="s">
        <v>98</v>
      </c>
      <c r="B125" t="s">
        <v>41</v>
      </c>
      <c r="C125">
        <v>0</v>
      </c>
      <c r="D125" s="2">
        <f>IF(AND(VLOOKUP(D$1,test!$A$3:$F$32,5,FALSE) - VLOOKUP($B125,test!$A$3:$G$32,6,FALSE) &gt;= (test!$B$36+VLOOKUP(VLOOKUP($B125,test!$A$2:$I$32,4,FALSE),test!$J$24:$P$28,6,FALSE))/1440),1,0)</f>
        <v>0</v>
      </c>
      <c r="E125" s="2">
        <f>IF(AND(VLOOKUP(E$1,test!$A$3:$F$32,5,FALSE) - VLOOKUP($B125,test!$A$3:$G$32,6,FALSE) &gt;= (test!$B$36+VLOOKUP(VLOOKUP($B125,test!$A$2:$I$32,4,FALSE),test!$J$24:$P$28,6,FALSE))/1440),1,0)</f>
        <v>0</v>
      </c>
      <c r="F125" s="2">
        <f>IF(AND(VLOOKUP(F$1,test!$A$3:$F$32,5,FALSE) - VLOOKUP($B125,test!$A$3:$G$32,6,FALSE) &gt;= (test!$B$36+VLOOKUP(VLOOKUP($B125,test!$A$2:$I$32,4,FALSE),test!$J$24:$P$28,6,FALSE))/1440),1,0)</f>
        <v>0</v>
      </c>
      <c r="G125" s="2">
        <f>IF(AND(VLOOKUP(G$1,test!$A$3:$F$32,5,FALSE) - VLOOKUP($B125,test!$A$3:$G$32,6,FALSE) &gt;= (test!$B$36+VLOOKUP(VLOOKUP($B125,test!$A$2:$I$32,4,FALSE),test!$J$24:$P$28,6,FALSE))/1440),1,0)</f>
        <v>0</v>
      </c>
      <c r="H125" s="2">
        <f>IF(AND(VLOOKUP(H$1,test!$A$3:$F$32,5,FALSE) - VLOOKUP($B125,test!$A$3:$G$32,6,FALSE) &gt;= (test!$B$36+VLOOKUP(VLOOKUP($B125,test!$A$2:$I$32,4,FALSE),test!$J$24:$P$28,6,FALSE))/1440),1,0)</f>
        <v>0</v>
      </c>
      <c r="I125" s="2">
        <f>IF(AND(VLOOKUP(I$1,test!$A$3:$F$32,5,FALSE) - VLOOKUP($B125,test!$A$3:$G$32,6,FALSE) &gt;= (test!$B$36+VLOOKUP(VLOOKUP($B125,test!$A$2:$I$32,4,FALSE),test!$J$24:$P$28,6,FALSE))/1440),1,0)</f>
        <v>0</v>
      </c>
      <c r="J125" s="2">
        <f>IF(AND(VLOOKUP(J$1,test!$A$3:$F$32,5,FALSE) - VLOOKUP($B125,test!$A$3:$G$32,6,FALSE) &gt;= (test!$B$36+VLOOKUP(VLOOKUP($B125,test!$A$2:$I$32,4,FALSE),test!$J$24:$P$28,6,FALSE))/1440),1,0)</f>
        <v>0</v>
      </c>
      <c r="K125" s="2">
        <f>IF(AND(VLOOKUP(K$1,test!$A$3:$F$32,5,FALSE) - VLOOKUP($B125,test!$A$3:$G$32,6,FALSE) &gt;= (test!$B$36+VLOOKUP(VLOOKUP($B125,test!$A$2:$I$32,4,FALSE),test!$J$24:$P$28,6,FALSE))/1440),1,0)</f>
        <v>1</v>
      </c>
      <c r="L125" s="2">
        <f>IF(AND(VLOOKUP(L$1,test!$A$3:$F$32,5,FALSE) - VLOOKUP($B125,test!$A$3:$G$32,6,FALSE) &gt;= (test!$B$36+VLOOKUP(VLOOKUP($B125,test!$A$2:$I$32,4,FALSE),test!$J$24:$P$28,6,FALSE))/1440),1,0)</f>
        <v>0</v>
      </c>
      <c r="M125" s="2">
        <f>IF(AND(VLOOKUP(M$1,test!$A$3:$F$32,5,FALSE) - VLOOKUP($B125,test!$A$3:$G$32,6,FALSE) &gt;= (test!$B$36+VLOOKUP(VLOOKUP($B125,test!$A$2:$I$32,4,FALSE),test!$J$24:$P$28,6,FALSE))/1440),1,0)</f>
        <v>0</v>
      </c>
      <c r="N125" s="2">
        <f>IF(AND(VLOOKUP(N$1,test!$A$3:$F$32,5,FALSE) - VLOOKUP($B125,test!$A$3:$G$32,6,FALSE) &gt;= (test!$B$36+VLOOKUP(VLOOKUP($B125,test!$A$2:$I$32,4,FALSE),test!$J$24:$P$28,6,FALSE))/1440),1,0)</f>
        <v>0</v>
      </c>
      <c r="O125" s="2">
        <f>IF(AND(VLOOKUP(O$1,test!$A$3:$F$32,5,FALSE) - VLOOKUP($B125,test!$A$3:$G$32,6,FALSE) &gt;= (test!$B$36+VLOOKUP(VLOOKUP($B125,test!$A$2:$I$32,4,FALSE),test!$J$24:$P$28,6,FALSE))/1440),1,0)</f>
        <v>1</v>
      </c>
      <c r="P125" s="2">
        <f>IF(AND(VLOOKUP(P$1,test!$A$3:$F$32,5,FALSE) - VLOOKUP($B125,test!$A$3:$G$32,6,FALSE) &gt;= (test!$B$36+VLOOKUP(VLOOKUP($B125,test!$A$2:$I$32,4,FALSE),test!$J$24:$P$28,6,FALSE))/1440),1,0)</f>
        <v>1</v>
      </c>
      <c r="Q125" s="2">
        <f>IF(AND(VLOOKUP(Q$1,test!$A$3:$F$32,5,FALSE) - VLOOKUP($B125,test!$A$3:$G$32,6,FALSE) &gt;= (test!$B$36+VLOOKUP(VLOOKUP($B125,test!$A$2:$I$32,4,FALSE),test!$J$24:$P$28,6,FALSE))/1440),1,0)</f>
        <v>0</v>
      </c>
      <c r="R125" s="2">
        <f>IF(AND(VLOOKUP(R$1,test!$A$3:$F$32,5,FALSE) - VLOOKUP($B125,test!$A$3:$G$32,6,FALSE) &gt;= (test!$B$36+VLOOKUP(VLOOKUP($B125,test!$A$2:$I$32,4,FALSE),test!$J$24:$P$28,6,FALSE))/1440),1,0)</f>
        <v>0</v>
      </c>
      <c r="S125" s="2">
        <f>IF(AND(VLOOKUP(S$1,test!$A$3:$F$32,5,FALSE) - VLOOKUP($B125,test!$A$3:$G$32,6,FALSE) &gt;= (test!$B$36+VLOOKUP(VLOOKUP($B125,test!$A$2:$I$32,4,FALSE),test!$J$24:$P$28,6,FALSE))/1440),1,0)</f>
        <v>0</v>
      </c>
      <c r="T125" s="2">
        <f>IF(AND(VLOOKUP(T$1,test!$A$3:$F$32,5,FALSE) - VLOOKUP($B125,test!$A$3:$G$32,6,FALSE) &gt;= (test!$B$36+VLOOKUP(VLOOKUP($B125,test!$A$2:$I$32,4,FALSE),test!$J$24:$P$28,6,FALSE))/1440),1,0)</f>
        <v>0</v>
      </c>
      <c r="U125" s="2">
        <f>IF(AND(VLOOKUP(U$1,test!$A$3:$F$32,5,FALSE) - VLOOKUP($B125,test!$A$3:$G$32,6,FALSE) &gt;= (test!$B$36+VLOOKUP(VLOOKUP($B125,test!$A$2:$I$32,4,FALSE),test!$J$24:$P$28,6,FALSE))/1440),1,0)</f>
        <v>0</v>
      </c>
      <c r="V125" s="2">
        <f>IF(AND(VLOOKUP(V$1,test!$A$3:$F$32,5,FALSE) - VLOOKUP($B125,test!$A$3:$G$32,6,FALSE) &gt;= (test!$B$36+VLOOKUP(VLOOKUP($B125,test!$A$2:$I$32,4,FALSE),test!$J$24:$P$28,6,FALSE))/1440),1,0)</f>
        <v>0</v>
      </c>
      <c r="W125" s="2">
        <f>IF(AND(VLOOKUP(W$1,test!$A$3:$F$32,5,FALSE) - VLOOKUP($B125,test!$A$3:$G$32,6,FALSE) &gt;= (test!$B$36+VLOOKUP(VLOOKUP($B125,test!$A$2:$I$32,4,FALSE),test!$J$24:$P$28,6,FALSE))/1440),1,0)</f>
        <v>0</v>
      </c>
      <c r="X125" s="2">
        <f>IF(AND(VLOOKUP(X$1,test!$A$3:$F$32,5,FALSE) - VLOOKUP($B125,test!$A$3:$G$32,6,FALSE) &gt;= (test!$B$36+VLOOKUP(VLOOKUP($B125,test!$A$2:$I$32,4,FALSE),test!$J$24:$P$28,6,FALSE))/1440),1,0)</f>
        <v>0</v>
      </c>
      <c r="Y125" s="2">
        <f>IF(AND(VLOOKUP(Y$1,test!$A$3:$F$32,5,FALSE) - VLOOKUP($B125,test!$A$3:$G$32,6,FALSE) &gt;= (test!$B$36+VLOOKUP(VLOOKUP($B125,test!$A$2:$I$32,4,FALSE),test!$J$24:$P$28,6,FALSE))/1440),1,0)</f>
        <v>0</v>
      </c>
      <c r="Z125" s="2">
        <f>IF(AND(VLOOKUP(Z$1,test!$A$3:$F$32,5,FALSE) - VLOOKUP($B125,test!$A$3:$G$32,6,FALSE) &gt;= (test!$B$36+VLOOKUP(VLOOKUP($B125,test!$A$2:$I$32,4,FALSE),test!$J$24:$P$28,6,FALSE))/1440),1,0)</f>
        <v>0</v>
      </c>
      <c r="AA125" s="2">
        <f>IF(AND(VLOOKUP(AA$1,test!$A$3:$F$32,5,FALSE) - VLOOKUP($B125,test!$A$3:$G$32,6,FALSE) &gt;= (test!$B$36+VLOOKUP(VLOOKUP($B125,test!$A$2:$I$32,4,FALSE),test!$J$24:$P$28,6,FALSE))/1440),1,0)</f>
        <v>0</v>
      </c>
      <c r="AB125" s="2">
        <f>IF(AND(VLOOKUP(AB$1,test!$A$3:$F$32,5,FALSE) - VLOOKUP($B125,test!$A$3:$G$32,6,FALSE) &gt;= (test!$B$36+VLOOKUP(VLOOKUP($B125,test!$A$2:$I$32,4,FALSE),test!$J$24:$P$28,6,FALSE))/1440),1,0)</f>
        <v>0</v>
      </c>
      <c r="AC125" s="2">
        <f>IF(AND(VLOOKUP(AC$1,test!$A$3:$F$32,5,FALSE) - VLOOKUP($B125,test!$A$3:$G$32,6,FALSE) &gt;= (test!$B$36+VLOOKUP(VLOOKUP($B125,test!$A$2:$I$32,4,FALSE),test!$J$24:$P$28,6,FALSE))/1440),1,0)</f>
        <v>0</v>
      </c>
      <c r="AD125" s="2">
        <f>IF(AND(VLOOKUP(AD$1,test!$A$3:$F$32,5,FALSE) - VLOOKUP($B125,test!$A$3:$G$32,6,FALSE) &gt;= (test!$B$36+VLOOKUP(VLOOKUP($B125,test!$A$2:$I$32,4,FALSE),test!$J$24:$P$28,6,FALSE))/1440),1,0)</f>
        <v>0</v>
      </c>
      <c r="AE125" s="2">
        <f>IF(AND(VLOOKUP(AE$1,test!$A$3:$F$32,5,FALSE) - VLOOKUP($B125,test!$A$3:$G$32,6,FALSE) &gt;= (test!$B$36+VLOOKUP(VLOOKUP($B125,test!$A$2:$I$32,4,FALSE),test!$J$24:$P$28,6,FALSE))/1440),1,0)</f>
        <v>0</v>
      </c>
      <c r="AF125" s="2">
        <f>IF(AND(VLOOKUP(AF$1,test!$A$3:$F$32,5,FALSE) - VLOOKUP($B125,test!$A$3:$G$32,6,FALSE) &gt;= (test!$B$36+VLOOKUP(VLOOKUP($B125,test!$A$2:$I$32,4,FALSE),test!$J$24:$P$28,6,FALSE))/1440),1,0)</f>
        <v>0</v>
      </c>
      <c r="AG125" s="2">
        <f>IF(AND(VLOOKUP(AG$1,test!$A$3:$F$32,5,FALSE) - VLOOKUP($B125,test!$A$3:$G$32,6,FALSE) &gt;= (test!$B$36+VLOOKUP(VLOOKUP($B125,test!$A$2:$I$32,4,FALSE),test!$J$24:$P$28,6,FALSE))/1440),1,0)</f>
        <v>0</v>
      </c>
    </row>
    <row r="126" spans="1:33" x14ac:dyDescent="0.25">
      <c r="A126" t="s">
        <v>99</v>
      </c>
      <c r="B126" t="s">
        <v>46</v>
      </c>
      <c r="C126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</row>
    <row r="127" spans="1:33" x14ac:dyDescent="0.25">
      <c r="A127" t="s">
        <v>99</v>
      </c>
      <c r="B127" t="s">
        <v>6</v>
      </c>
      <c r="C127">
        <v>0</v>
      </c>
      <c r="D127" s="2">
        <f>IF(AND(VLOOKUP(D$1,test!$A$3:$F$32,5,FALSE) - VLOOKUP($B127,test!$A$3:$G$32,6,FALSE) &gt;= (test!$B$37+VLOOKUP(VLOOKUP($B127,test!$A$2:$I$32,4,FALSE),test!$J$24:$P$28,7,FALSE))/1440),1,0)</f>
        <v>0</v>
      </c>
      <c r="E127" s="2">
        <f>IF(AND(VLOOKUP(E$1,test!$A$3:$F$32,5,FALSE) - VLOOKUP($B127,test!$A$3:$G$32,6,FALSE) &gt;= (test!$B$37+VLOOKUP(VLOOKUP($B127,test!$A$2:$I$32,4,FALSE),test!$J$24:$P$28,7,FALSE))/1440),1,0)</f>
        <v>0</v>
      </c>
      <c r="F127" s="2">
        <f>IF(AND(VLOOKUP(F$1,test!$A$3:$F$32,5,FALSE) - VLOOKUP($B127,test!$A$3:$G$32,6,FALSE) &gt;= (test!$B$37+VLOOKUP(VLOOKUP($B127,test!$A$2:$I$32,4,FALSE),test!$J$24:$P$28,7,FALSE))/1440),1,0)</f>
        <v>1</v>
      </c>
      <c r="G127" s="2">
        <f>IF(AND(VLOOKUP(G$1,test!$A$3:$F$32,5,FALSE) - VLOOKUP($B127,test!$A$3:$G$32,6,FALSE) &gt;= (test!$B$37+VLOOKUP(VLOOKUP($B127,test!$A$2:$I$32,4,FALSE),test!$J$24:$P$28,7,FALSE))/1440),1,0)</f>
        <v>1</v>
      </c>
      <c r="H127" s="2">
        <f>IF(AND(VLOOKUP(H$1,test!$A$3:$F$32,5,FALSE) - VLOOKUP($B127,test!$A$3:$G$32,6,FALSE) &gt;= (test!$B$37+VLOOKUP(VLOOKUP($B127,test!$A$2:$I$32,4,FALSE),test!$J$24:$P$28,7,FALSE))/1440),1,0)</f>
        <v>1</v>
      </c>
      <c r="I127" s="2">
        <f>IF(AND(VLOOKUP(I$1,test!$A$3:$F$32,5,FALSE) - VLOOKUP($B127,test!$A$3:$G$32,6,FALSE) &gt;= (test!$B$37+VLOOKUP(VLOOKUP($B127,test!$A$2:$I$32,4,FALSE),test!$J$24:$P$28,7,FALSE))/1440),1,0)</f>
        <v>1</v>
      </c>
      <c r="J127" s="2">
        <f>IF(AND(VLOOKUP(J$1,test!$A$3:$F$32,5,FALSE) - VLOOKUP($B127,test!$A$3:$G$32,6,FALSE) &gt;= (test!$B$37+VLOOKUP(VLOOKUP($B127,test!$A$2:$I$32,4,FALSE),test!$J$24:$P$28,7,FALSE))/1440),1,0)</f>
        <v>1</v>
      </c>
      <c r="K127" s="2">
        <f>IF(AND(VLOOKUP(K$1,test!$A$3:$F$32,5,FALSE) - VLOOKUP($B127,test!$A$3:$G$32,6,FALSE) &gt;= (test!$B$37+VLOOKUP(VLOOKUP($B127,test!$A$2:$I$32,4,FALSE),test!$J$24:$P$28,7,FALSE))/1440),1,0)</f>
        <v>1</v>
      </c>
      <c r="L127" s="2">
        <f>IF(AND(VLOOKUP(L$1,test!$A$3:$F$32,5,FALSE) - VLOOKUP($B127,test!$A$3:$G$32,6,FALSE) &gt;= (test!$B$37+VLOOKUP(VLOOKUP($B127,test!$A$2:$I$32,4,FALSE),test!$J$24:$P$28,7,FALSE))/1440),1,0)</f>
        <v>0</v>
      </c>
      <c r="M127" s="2">
        <f>IF(AND(VLOOKUP(M$1,test!$A$3:$F$32,5,FALSE) - VLOOKUP($B127,test!$A$3:$G$32,6,FALSE) &gt;= (test!$B$37+VLOOKUP(VLOOKUP($B127,test!$A$2:$I$32,4,FALSE),test!$J$24:$P$28,7,FALSE))/1440),1,0)</f>
        <v>0</v>
      </c>
      <c r="N127" s="2">
        <f>IF(AND(VLOOKUP(N$1,test!$A$3:$F$32,5,FALSE) - VLOOKUP($B127,test!$A$3:$G$32,6,FALSE) &gt;= (test!$B$37+VLOOKUP(VLOOKUP($B127,test!$A$2:$I$32,4,FALSE),test!$J$24:$P$28,7,FALSE))/1440),1,0)</f>
        <v>0</v>
      </c>
      <c r="O127" s="2">
        <f>IF(AND(VLOOKUP(O$1,test!$A$3:$F$32,5,FALSE) - VLOOKUP($B127,test!$A$3:$G$32,6,FALSE) &gt;= (test!$B$37+VLOOKUP(VLOOKUP($B127,test!$A$2:$I$32,4,FALSE),test!$J$24:$P$28,7,FALSE))/1440),1,0)</f>
        <v>1</v>
      </c>
      <c r="P127" s="2">
        <f>IF(AND(VLOOKUP(P$1,test!$A$3:$F$32,5,FALSE) - VLOOKUP($B127,test!$A$3:$G$32,6,FALSE) &gt;= (test!$B$37+VLOOKUP(VLOOKUP($B127,test!$A$2:$I$32,4,FALSE),test!$J$24:$P$28,7,FALSE))/1440),1,0)</f>
        <v>1</v>
      </c>
      <c r="Q127" s="2">
        <f>IF(AND(VLOOKUP(Q$1,test!$A$3:$F$32,5,FALSE) - VLOOKUP($B127,test!$A$3:$G$32,6,FALSE) &gt;= (test!$B$37+VLOOKUP(VLOOKUP($B127,test!$A$2:$I$32,4,FALSE),test!$J$24:$P$28,7,FALSE))/1440),1,0)</f>
        <v>0</v>
      </c>
      <c r="R127" s="2">
        <f>IF(AND(VLOOKUP(R$1,test!$A$3:$F$32,5,FALSE) - VLOOKUP($B127,test!$A$3:$G$32,6,FALSE) &gt;= (test!$B$37+VLOOKUP(VLOOKUP($B127,test!$A$2:$I$32,4,FALSE),test!$J$24:$P$28,7,FALSE))/1440),1,0)</f>
        <v>0</v>
      </c>
      <c r="S127" s="2">
        <f>IF(AND(VLOOKUP(S$1,test!$A$3:$F$32,5,FALSE) - VLOOKUP($B127,test!$A$3:$G$32,6,FALSE) &gt;= (test!$B$37+VLOOKUP(VLOOKUP($B127,test!$A$2:$I$32,4,FALSE),test!$J$24:$P$28,7,FALSE))/1440),1,0)</f>
        <v>0</v>
      </c>
      <c r="T127" s="2">
        <f>IF(AND(VLOOKUP(T$1,test!$A$3:$F$32,5,FALSE) - VLOOKUP($B127,test!$A$3:$G$32,6,FALSE) &gt;= (test!$B$37+VLOOKUP(VLOOKUP($B127,test!$A$2:$I$32,4,FALSE),test!$J$24:$P$28,7,FALSE))/1440),1,0)</f>
        <v>0</v>
      </c>
      <c r="U127" s="2">
        <f>IF(AND(VLOOKUP(U$1,test!$A$3:$F$32,5,FALSE) - VLOOKUP($B127,test!$A$3:$G$32,6,FALSE) &gt;= (test!$B$37+VLOOKUP(VLOOKUP($B127,test!$A$2:$I$32,4,FALSE),test!$J$24:$P$28,7,FALSE))/1440),1,0)</f>
        <v>1</v>
      </c>
      <c r="V127" s="2">
        <f>IF(AND(VLOOKUP(V$1,test!$A$3:$F$32,5,FALSE) - VLOOKUP($B127,test!$A$3:$G$32,6,FALSE) &gt;= (test!$B$37+VLOOKUP(VLOOKUP($B127,test!$A$2:$I$32,4,FALSE),test!$J$24:$P$28,7,FALSE))/1440),1,0)</f>
        <v>1</v>
      </c>
      <c r="W127" s="2">
        <f>IF(AND(VLOOKUP(W$1,test!$A$3:$F$32,5,FALSE) - VLOOKUP($B127,test!$A$3:$G$32,6,FALSE) &gt;= (test!$B$37+VLOOKUP(VLOOKUP($B127,test!$A$2:$I$32,4,FALSE),test!$J$24:$P$28,7,FALSE))/1440),1,0)</f>
        <v>1</v>
      </c>
      <c r="X127" s="2">
        <f>IF(AND(VLOOKUP(X$1,test!$A$3:$F$32,5,FALSE) - VLOOKUP($B127,test!$A$3:$G$32,6,FALSE) &gt;= (test!$B$37+VLOOKUP(VLOOKUP($B127,test!$A$2:$I$32,4,FALSE),test!$J$24:$P$28,7,FALSE))/1440),1,0)</f>
        <v>1</v>
      </c>
      <c r="Y127" s="2">
        <f>IF(AND(VLOOKUP(Y$1,test!$A$3:$F$32,5,FALSE) - VLOOKUP($B127,test!$A$3:$G$32,6,FALSE) &gt;= (test!$B$37+VLOOKUP(VLOOKUP($B127,test!$A$2:$I$32,4,FALSE),test!$J$24:$P$28,7,FALSE))/1440),1,0)</f>
        <v>1</v>
      </c>
      <c r="Z127" s="2">
        <f>IF(AND(VLOOKUP(Z$1,test!$A$3:$F$32,5,FALSE) - VLOOKUP($B127,test!$A$3:$G$32,6,FALSE) &gt;= (test!$B$37+VLOOKUP(VLOOKUP($B127,test!$A$2:$I$32,4,FALSE),test!$J$24:$P$28,7,FALSE))/1440),1,0)</f>
        <v>0</v>
      </c>
      <c r="AA127" s="2">
        <f>IF(AND(VLOOKUP(AA$1,test!$A$3:$F$32,5,FALSE) - VLOOKUP($B127,test!$A$3:$G$32,6,FALSE) &gt;= (test!$B$37+VLOOKUP(VLOOKUP($B127,test!$A$2:$I$32,4,FALSE),test!$J$24:$P$28,7,FALSE))/1440),1,0)</f>
        <v>0</v>
      </c>
      <c r="AB127" s="2">
        <f>IF(AND(VLOOKUP(AB$1,test!$A$3:$F$32,5,FALSE) - VLOOKUP($B127,test!$A$3:$G$32,6,FALSE) &gt;= (test!$B$37+VLOOKUP(VLOOKUP($B127,test!$A$2:$I$32,4,FALSE),test!$J$24:$P$28,7,FALSE))/1440),1,0)</f>
        <v>1</v>
      </c>
      <c r="AC127" s="2">
        <f>IF(AND(VLOOKUP(AC$1,test!$A$3:$F$32,5,FALSE) - VLOOKUP($B127,test!$A$3:$G$32,6,FALSE) &gt;= (test!$B$37+VLOOKUP(VLOOKUP($B127,test!$A$2:$I$32,4,FALSE),test!$J$24:$P$28,7,FALSE))/1440),1,0)</f>
        <v>1</v>
      </c>
      <c r="AD127" s="2">
        <f>IF(AND(VLOOKUP(AD$1,test!$A$3:$F$32,5,FALSE) - VLOOKUP($B127,test!$A$3:$G$32,6,FALSE) &gt;= (test!$B$37+VLOOKUP(VLOOKUP($B127,test!$A$2:$I$32,4,FALSE),test!$J$24:$P$28,7,FALSE))/1440),1,0)</f>
        <v>1</v>
      </c>
      <c r="AE127" s="2">
        <f>IF(AND(VLOOKUP(AE$1,test!$A$3:$F$32,5,FALSE) - VLOOKUP($B127,test!$A$3:$G$32,6,FALSE) &gt;= (test!$B$37+VLOOKUP(VLOOKUP($B127,test!$A$2:$I$32,4,FALSE),test!$J$24:$P$28,7,FALSE))/1440),1,0)</f>
        <v>0</v>
      </c>
      <c r="AF127" s="2">
        <f>IF(AND(VLOOKUP(AF$1,test!$A$3:$F$32,5,FALSE) - VLOOKUP($B127,test!$A$3:$G$32,6,FALSE) &gt;= (test!$B$37+VLOOKUP(VLOOKUP($B127,test!$A$2:$I$32,4,FALSE),test!$J$24:$P$28,7,FALSE))/1440),1,0)</f>
        <v>1</v>
      </c>
      <c r="AG127" s="2">
        <f>IF(AND(VLOOKUP(AG$1,test!$A$3:$F$32,5,FALSE) - VLOOKUP($B127,test!$A$3:$G$32,6,FALSE) &gt;= (test!$B$37+VLOOKUP(VLOOKUP($B127,test!$A$2:$I$32,4,FALSE),test!$J$24:$P$28,7,FALSE))/1440),1,0)</f>
        <v>1</v>
      </c>
    </row>
    <row r="128" spans="1:33" x14ac:dyDescent="0.25">
      <c r="A128" t="s">
        <v>99</v>
      </c>
      <c r="B128" t="s">
        <v>9</v>
      </c>
      <c r="C128">
        <v>0</v>
      </c>
      <c r="D128" s="2">
        <f>IF(AND(VLOOKUP(D$1,test!$A$3:$F$32,5,FALSE) - VLOOKUP($B128,test!$A$3:$G$32,6,FALSE) &gt;= (test!$B$37+VLOOKUP(VLOOKUP($B128,test!$A$2:$I$32,4,FALSE),test!$J$24:$P$28,7,FALSE))/1440),1,0)</f>
        <v>0</v>
      </c>
      <c r="E128" s="2">
        <f>IF(AND(VLOOKUP(E$1,test!$A$3:$F$32,5,FALSE) - VLOOKUP($B128,test!$A$3:$G$32,6,FALSE) &gt;= (test!$B$37+VLOOKUP(VLOOKUP($B128,test!$A$2:$I$32,4,FALSE),test!$J$24:$P$28,7,FALSE))/1440),1,0)</f>
        <v>0</v>
      </c>
      <c r="F128" s="2">
        <f>IF(AND(VLOOKUP(F$1,test!$A$3:$F$32,5,FALSE) - VLOOKUP($B128,test!$A$3:$G$32,6,FALSE) &gt;= (test!$B$37+VLOOKUP(VLOOKUP($B128,test!$A$2:$I$32,4,FALSE),test!$J$24:$P$28,7,FALSE))/1440),1,0)</f>
        <v>0</v>
      </c>
      <c r="G128" s="2">
        <f>IF(AND(VLOOKUP(G$1,test!$A$3:$F$32,5,FALSE) - VLOOKUP($B128,test!$A$3:$G$32,6,FALSE) &gt;= (test!$B$37+VLOOKUP(VLOOKUP($B128,test!$A$2:$I$32,4,FALSE),test!$J$24:$P$28,7,FALSE))/1440),1,0)</f>
        <v>0</v>
      </c>
      <c r="H128" s="2">
        <f>IF(AND(VLOOKUP(H$1,test!$A$3:$F$32,5,FALSE) - VLOOKUP($B128,test!$A$3:$G$32,6,FALSE) &gt;= (test!$B$37+VLOOKUP(VLOOKUP($B128,test!$A$2:$I$32,4,FALSE),test!$J$24:$P$28,7,FALSE))/1440),1,0)</f>
        <v>0</v>
      </c>
      <c r="I128" s="2">
        <f>IF(AND(VLOOKUP(I$1,test!$A$3:$F$32,5,FALSE) - VLOOKUP($B128,test!$A$3:$G$32,6,FALSE) &gt;= (test!$B$37+VLOOKUP(VLOOKUP($B128,test!$A$2:$I$32,4,FALSE),test!$J$24:$P$28,7,FALSE))/1440),1,0)</f>
        <v>1</v>
      </c>
      <c r="J128" s="2">
        <f>IF(AND(VLOOKUP(J$1,test!$A$3:$F$32,5,FALSE) - VLOOKUP($B128,test!$A$3:$G$32,6,FALSE) &gt;= (test!$B$37+VLOOKUP(VLOOKUP($B128,test!$A$2:$I$32,4,FALSE),test!$J$24:$P$28,7,FALSE))/1440),1,0)</f>
        <v>1</v>
      </c>
      <c r="K128" s="2">
        <f>IF(AND(VLOOKUP(K$1,test!$A$3:$F$32,5,FALSE) - VLOOKUP($B128,test!$A$3:$G$32,6,FALSE) &gt;= (test!$B$37+VLOOKUP(VLOOKUP($B128,test!$A$2:$I$32,4,FALSE),test!$J$24:$P$28,7,FALSE))/1440),1,0)</f>
        <v>1</v>
      </c>
      <c r="L128" s="2">
        <f>IF(AND(VLOOKUP(L$1,test!$A$3:$F$32,5,FALSE) - VLOOKUP($B128,test!$A$3:$G$32,6,FALSE) &gt;= (test!$B$37+VLOOKUP(VLOOKUP($B128,test!$A$2:$I$32,4,FALSE),test!$J$24:$P$28,7,FALSE))/1440),1,0)</f>
        <v>0</v>
      </c>
      <c r="M128" s="2">
        <f>IF(AND(VLOOKUP(M$1,test!$A$3:$F$32,5,FALSE) - VLOOKUP($B128,test!$A$3:$G$32,6,FALSE) &gt;= (test!$B$37+VLOOKUP(VLOOKUP($B128,test!$A$2:$I$32,4,FALSE),test!$J$24:$P$28,7,FALSE))/1440),1,0)</f>
        <v>0</v>
      </c>
      <c r="N128" s="2">
        <f>IF(AND(VLOOKUP(N$1,test!$A$3:$F$32,5,FALSE) - VLOOKUP($B128,test!$A$3:$G$32,6,FALSE) &gt;= (test!$B$37+VLOOKUP(VLOOKUP($B128,test!$A$2:$I$32,4,FALSE),test!$J$24:$P$28,7,FALSE))/1440),1,0)</f>
        <v>0</v>
      </c>
      <c r="O128" s="2">
        <f>IF(AND(VLOOKUP(O$1,test!$A$3:$F$32,5,FALSE) - VLOOKUP($B128,test!$A$3:$G$32,6,FALSE) &gt;= (test!$B$37+VLOOKUP(VLOOKUP($B128,test!$A$2:$I$32,4,FALSE),test!$J$24:$P$28,7,FALSE))/1440),1,0)</f>
        <v>1</v>
      </c>
      <c r="P128" s="2">
        <f>IF(AND(VLOOKUP(P$1,test!$A$3:$F$32,5,FALSE) - VLOOKUP($B128,test!$A$3:$G$32,6,FALSE) &gt;= (test!$B$37+VLOOKUP(VLOOKUP($B128,test!$A$2:$I$32,4,FALSE),test!$J$24:$P$28,7,FALSE))/1440),1,0)</f>
        <v>1</v>
      </c>
      <c r="Q128" s="2">
        <f>IF(AND(VLOOKUP(Q$1,test!$A$3:$F$32,5,FALSE) - VLOOKUP($B128,test!$A$3:$G$32,6,FALSE) &gt;= (test!$B$37+VLOOKUP(VLOOKUP($B128,test!$A$2:$I$32,4,FALSE),test!$J$24:$P$28,7,FALSE))/1440),1,0)</f>
        <v>0</v>
      </c>
      <c r="R128" s="2">
        <f>IF(AND(VLOOKUP(R$1,test!$A$3:$F$32,5,FALSE) - VLOOKUP($B128,test!$A$3:$G$32,6,FALSE) &gt;= (test!$B$37+VLOOKUP(VLOOKUP($B128,test!$A$2:$I$32,4,FALSE),test!$J$24:$P$28,7,FALSE))/1440),1,0)</f>
        <v>0</v>
      </c>
      <c r="S128" s="2">
        <f>IF(AND(VLOOKUP(S$1,test!$A$3:$F$32,5,FALSE) - VLOOKUP($B128,test!$A$3:$G$32,6,FALSE) &gt;= (test!$B$37+VLOOKUP(VLOOKUP($B128,test!$A$2:$I$32,4,FALSE),test!$J$24:$P$28,7,FALSE))/1440),1,0)</f>
        <v>0</v>
      </c>
      <c r="T128" s="2">
        <f>IF(AND(VLOOKUP(T$1,test!$A$3:$F$32,5,FALSE) - VLOOKUP($B128,test!$A$3:$G$32,6,FALSE) &gt;= (test!$B$37+VLOOKUP(VLOOKUP($B128,test!$A$2:$I$32,4,FALSE),test!$J$24:$P$28,7,FALSE))/1440),1,0)</f>
        <v>0</v>
      </c>
      <c r="U128" s="2">
        <f>IF(AND(VLOOKUP(U$1,test!$A$3:$F$32,5,FALSE) - VLOOKUP($B128,test!$A$3:$G$32,6,FALSE) &gt;= (test!$B$37+VLOOKUP(VLOOKUP($B128,test!$A$2:$I$32,4,FALSE),test!$J$24:$P$28,7,FALSE))/1440),1,0)</f>
        <v>0</v>
      </c>
      <c r="V128" s="2">
        <f>IF(AND(VLOOKUP(V$1,test!$A$3:$F$32,5,FALSE) - VLOOKUP($B128,test!$A$3:$G$32,6,FALSE) &gt;= (test!$B$37+VLOOKUP(VLOOKUP($B128,test!$A$2:$I$32,4,FALSE),test!$J$24:$P$28,7,FALSE))/1440),1,0)</f>
        <v>0</v>
      </c>
      <c r="W128" s="2">
        <f>IF(AND(VLOOKUP(W$1,test!$A$3:$F$32,5,FALSE) - VLOOKUP($B128,test!$A$3:$G$32,6,FALSE) &gt;= (test!$B$37+VLOOKUP(VLOOKUP($B128,test!$A$2:$I$32,4,FALSE),test!$J$24:$P$28,7,FALSE))/1440),1,0)</f>
        <v>0</v>
      </c>
      <c r="X128" s="2">
        <f>IF(AND(VLOOKUP(X$1,test!$A$3:$F$32,5,FALSE) - VLOOKUP($B128,test!$A$3:$G$32,6,FALSE) &gt;= (test!$B$37+VLOOKUP(VLOOKUP($B128,test!$A$2:$I$32,4,FALSE),test!$J$24:$P$28,7,FALSE))/1440),1,0)</f>
        <v>1</v>
      </c>
      <c r="Y128" s="2">
        <f>IF(AND(VLOOKUP(Y$1,test!$A$3:$F$32,5,FALSE) - VLOOKUP($B128,test!$A$3:$G$32,6,FALSE) &gt;= (test!$B$37+VLOOKUP(VLOOKUP($B128,test!$A$2:$I$32,4,FALSE),test!$J$24:$P$28,7,FALSE))/1440),1,0)</f>
        <v>1</v>
      </c>
      <c r="Z128" s="2">
        <f>IF(AND(VLOOKUP(Z$1,test!$A$3:$F$32,5,FALSE) - VLOOKUP($B128,test!$A$3:$G$32,6,FALSE) &gt;= (test!$B$37+VLOOKUP(VLOOKUP($B128,test!$A$2:$I$32,4,FALSE),test!$J$24:$P$28,7,FALSE))/1440),1,0)</f>
        <v>0</v>
      </c>
      <c r="AA128" s="2">
        <f>IF(AND(VLOOKUP(AA$1,test!$A$3:$F$32,5,FALSE) - VLOOKUP($B128,test!$A$3:$G$32,6,FALSE) &gt;= (test!$B$37+VLOOKUP(VLOOKUP($B128,test!$A$2:$I$32,4,FALSE),test!$J$24:$P$28,7,FALSE))/1440),1,0)</f>
        <v>0</v>
      </c>
      <c r="AB128" s="2">
        <f>IF(AND(VLOOKUP(AB$1,test!$A$3:$F$32,5,FALSE) - VLOOKUP($B128,test!$A$3:$G$32,6,FALSE) &gt;= (test!$B$37+VLOOKUP(VLOOKUP($B128,test!$A$2:$I$32,4,FALSE),test!$J$24:$P$28,7,FALSE))/1440),1,0)</f>
        <v>0</v>
      </c>
      <c r="AC128" s="2">
        <f>IF(AND(VLOOKUP(AC$1,test!$A$3:$F$32,5,FALSE) - VLOOKUP($B128,test!$A$3:$G$32,6,FALSE) &gt;= (test!$B$37+VLOOKUP(VLOOKUP($B128,test!$A$2:$I$32,4,FALSE),test!$J$24:$P$28,7,FALSE))/1440),1,0)</f>
        <v>0</v>
      </c>
      <c r="AD128" s="2">
        <f>IF(AND(VLOOKUP(AD$1,test!$A$3:$F$32,5,FALSE) - VLOOKUP($B128,test!$A$3:$G$32,6,FALSE) &gt;= (test!$B$37+VLOOKUP(VLOOKUP($B128,test!$A$2:$I$32,4,FALSE),test!$J$24:$P$28,7,FALSE))/1440),1,0)</f>
        <v>1</v>
      </c>
      <c r="AE128" s="2">
        <f>IF(AND(VLOOKUP(AE$1,test!$A$3:$F$32,5,FALSE) - VLOOKUP($B128,test!$A$3:$G$32,6,FALSE) &gt;= (test!$B$37+VLOOKUP(VLOOKUP($B128,test!$A$2:$I$32,4,FALSE),test!$J$24:$P$28,7,FALSE))/1440),1,0)</f>
        <v>0</v>
      </c>
      <c r="AF128" s="2">
        <f>IF(AND(VLOOKUP(AF$1,test!$A$3:$F$32,5,FALSE) - VLOOKUP($B128,test!$A$3:$G$32,6,FALSE) &gt;= (test!$B$37+VLOOKUP(VLOOKUP($B128,test!$A$2:$I$32,4,FALSE),test!$J$24:$P$28,7,FALSE))/1440),1,0)</f>
        <v>0</v>
      </c>
      <c r="AG128" s="2">
        <f>IF(AND(VLOOKUP(AG$1,test!$A$3:$F$32,5,FALSE) - VLOOKUP($B128,test!$A$3:$G$32,6,FALSE) &gt;= (test!$B$37+VLOOKUP(VLOOKUP($B128,test!$A$2:$I$32,4,FALSE),test!$J$24:$P$28,7,FALSE))/1440),1,0)</f>
        <v>0</v>
      </c>
    </row>
    <row r="129" spans="1:33" x14ac:dyDescent="0.25">
      <c r="A129" t="s">
        <v>99</v>
      </c>
      <c r="B129" t="s">
        <v>10</v>
      </c>
      <c r="C129">
        <v>0</v>
      </c>
      <c r="D129" s="2">
        <f>IF(AND(VLOOKUP(D$1,test!$A$3:$F$32,5,FALSE) - VLOOKUP($B129,test!$A$3:$G$32,6,FALSE) &gt;= (test!$B$37+VLOOKUP(VLOOKUP($B129,test!$A$2:$I$32,4,FALSE),test!$J$24:$P$28,7,FALSE))/1440),1,0)</f>
        <v>0</v>
      </c>
      <c r="E129" s="2">
        <f>IF(AND(VLOOKUP(E$1,test!$A$3:$F$32,5,FALSE) - VLOOKUP($B129,test!$A$3:$G$32,6,FALSE) &gt;= (test!$B$37+VLOOKUP(VLOOKUP($B129,test!$A$2:$I$32,4,FALSE),test!$J$24:$P$28,7,FALSE))/1440),1,0)</f>
        <v>0</v>
      </c>
      <c r="F129" s="2">
        <f>IF(AND(VLOOKUP(F$1,test!$A$3:$F$32,5,FALSE) - VLOOKUP($B129,test!$A$3:$G$32,6,FALSE) &gt;= (test!$B$37+VLOOKUP(VLOOKUP($B129,test!$A$2:$I$32,4,FALSE),test!$J$24:$P$28,7,FALSE))/1440),1,0)</f>
        <v>0</v>
      </c>
      <c r="G129" s="2">
        <f>IF(AND(VLOOKUP(G$1,test!$A$3:$F$32,5,FALSE) - VLOOKUP($B129,test!$A$3:$G$32,6,FALSE) &gt;= (test!$B$37+VLOOKUP(VLOOKUP($B129,test!$A$2:$I$32,4,FALSE),test!$J$24:$P$28,7,FALSE))/1440),1,0)</f>
        <v>0</v>
      </c>
      <c r="H129" s="2">
        <f>IF(AND(VLOOKUP(H$1,test!$A$3:$F$32,5,FALSE) - VLOOKUP($B129,test!$A$3:$G$32,6,FALSE) &gt;= (test!$B$37+VLOOKUP(VLOOKUP($B129,test!$A$2:$I$32,4,FALSE),test!$J$24:$P$28,7,FALSE))/1440),1,0)</f>
        <v>0</v>
      </c>
      <c r="I129" s="2">
        <f>IF(AND(VLOOKUP(I$1,test!$A$3:$F$32,5,FALSE) - VLOOKUP($B129,test!$A$3:$G$32,6,FALSE) &gt;= (test!$B$37+VLOOKUP(VLOOKUP($B129,test!$A$2:$I$32,4,FALSE),test!$J$24:$P$28,7,FALSE))/1440),1,0)</f>
        <v>0</v>
      </c>
      <c r="J129" s="2">
        <f>IF(AND(VLOOKUP(J$1,test!$A$3:$F$32,5,FALSE) - VLOOKUP($B129,test!$A$3:$G$32,6,FALSE) &gt;= (test!$B$37+VLOOKUP(VLOOKUP($B129,test!$A$2:$I$32,4,FALSE),test!$J$24:$P$28,7,FALSE))/1440),1,0)</f>
        <v>1</v>
      </c>
      <c r="K129" s="2">
        <f>IF(AND(VLOOKUP(K$1,test!$A$3:$F$32,5,FALSE) - VLOOKUP($B129,test!$A$3:$G$32,6,FALSE) &gt;= (test!$B$37+VLOOKUP(VLOOKUP($B129,test!$A$2:$I$32,4,FALSE),test!$J$24:$P$28,7,FALSE))/1440),1,0)</f>
        <v>1</v>
      </c>
      <c r="L129" s="2">
        <f>IF(AND(VLOOKUP(L$1,test!$A$3:$F$32,5,FALSE) - VLOOKUP($B129,test!$A$3:$G$32,6,FALSE) &gt;= (test!$B$37+VLOOKUP(VLOOKUP($B129,test!$A$2:$I$32,4,FALSE),test!$J$24:$P$28,7,FALSE))/1440),1,0)</f>
        <v>0</v>
      </c>
      <c r="M129" s="2">
        <f>IF(AND(VLOOKUP(M$1,test!$A$3:$F$32,5,FALSE) - VLOOKUP($B129,test!$A$3:$G$32,6,FALSE) &gt;= (test!$B$37+VLOOKUP(VLOOKUP($B129,test!$A$2:$I$32,4,FALSE),test!$J$24:$P$28,7,FALSE))/1440),1,0)</f>
        <v>0</v>
      </c>
      <c r="N129" s="2">
        <f>IF(AND(VLOOKUP(N$1,test!$A$3:$F$32,5,FALSE) - VLOOKUP($B129,test!$A$3:$G$32,6,FALSE) &gt;= (test!$B$37+VLOOKUP(VLOOKUP($B129,test!$A$2:$I$32,4,FALSE),test!$J$24:$P$28,7,FALSE))/1440),1,0)</f>
        <v>0</v>
      </c>
      <c r="O129" s="2">
        <f>IF(AND(VLOOKUP(O$1,test!$A$3:$F$32,5,FALSE) - VLOOKUP($B129,test!$A$3:$G$32,6,FALSE) &gt;= (test!$B$37+VLOOKUP(VLOOKUP($B129,test!$A$2:$I$32,4,FALSE),test!$J$24:$P$28,7,FALSE))/1440),1,0)</f>
        <v>1</v>
      </c>
      <c r="P129" s="2">
        <f>IF(AND(VLOOKUP(P$1,test!$A$3:$F$32,5,FALSE) - VLOOKUP($B129,test!$A$3:$G$32,6,FALSE) &gt;= (test!$B$37+VLOOKUP(VLOOKUP($B129,test!$A$2:$I$32,4,FALSE),test!$J$24:$P$28,7,FALSE))/1440),1,0)</f>
        <v>1</v>
      </c>
      <c r="Q129" s="2">
        <f>IF(AND(VLOOKUP(Q$1,test!$A$3:$F$32,5,FALSE) - VLOOKUP($B129,test!$A$3:$G$32,6,FALSE) &gt;= (test!$B$37+VLOOKUP(VLOOKUP($B129,test!$A$2:$I$32,4,FALSE),test!$J$24:$P$28,7,FALSE))/1440),1,0)</f>
        <v>0</v>
      </c>
      <c r="R129" s="2">
        <f>IF(AND(VLOOKUP(R$1,test!$A$3:$F$32,5,FALSE) - VLOOKUP($B129,test!$A$3:$G$32,6,FALSE) &gt;= (test!$B$37+VLOOKUP(VLOOKUP($B129,test!$A$2:$I$32,4,FALSE),test!$J$24:$P$28,7,FALSE))/1440),1,0)</f>
        <v>0</v>
      </c>
      <c r="S129" s="2">
        <f>IF(AND(VLOOKUP(S$1,test!$A$3:$F$32,5,FALSE) - VLOOKUP($B129,test!$A$3:$G$32,6,FALSE) &gt;= (test!$B$37+VLOOKUP(VLOOKUP($B129,test!$A$2:$I$32,4,FALSE),test!$J$24:$P$28,7,FALSE))/1440),1,0)</f>
        <v>0</v>
      </c>
      <c r="T129" s="2">
        <f>IF(AND(VLOOKUP(T$1,test!$A$3:$F$32,5,FALSE) - VLOOKUP($B129,test!$A$3:$G$32,6,FALSE) &gt;= (test!$B$37+VLOOKUP(VLOOKUP($B129,test!$A$2:$I$32,4,FALSE),test!$J$24:$P$28,7,FALSE))/1440),1,0)</f>
        <v>0</v>
      </c>
      <c r="U129" s="2">
        <f>IF(AND(VLOOKUP(U$1,test!$A$3:$F$32,5,FALSE) - VLOOKUP($B129,test!$A$3:$G$32,6,FALSE) &gt;= (test!$B$37+VLOOKUP(VLOOKUP($B129,test!$A$2:$I$32,4,FALSE),test!$J$24:$P$28,7,FALSE))/1440),1,0)</f>
        <v>0</v>
      </c>
      <c r="V129" s="2">
        <f>IF(AND(VLOOKUP(V$1,test!$A$3:$F$32,5,FALSE) - VLOOKUP($B129,test!$A$3:$G$32,6,FALSE) &gt;= (test!$B$37+VLOOKUP(VLOOKUP($B129,test!$A$2:$I$32,4,FALSE),test!$J$24:$P$28,7,FALSE))/1440),1,0)</f>
        <v>0</v>
      </c>
      <c r="W129" s="2">
        <f>IF(AND(VLOOKUP(W$1,test!$A$3:$F$32,5,FALSE) - VLOOKUP($B129,test!$A$3:$G$32,6,FALSE) &gt;= (test!$B$37+VLOOKUP(VLOOKUP($B129,test!$A$2:$I$32,4,FALSE),test!$J$24:$P$28,7,FALSE))/1440),1,0)</f>
        <v>0</v>
      </c>
      <c r="X129" s="2">
        <f>IF(AND(VLOOKUP(X$1,test!$A$3:$F$32,5,FALSE) - VLOOKUP($B129,test!$A$3:$G$32,6,FALSE) &gt;= (test!$B$37+VLOOKUP(VLOOKUP($B129,test!$A$2:$I$32,4,FALSE),test!$J$24:$P$28,7,FALSE))/1440),1,0)</f>
        <v>1</v>
      </c>
      <c r="Y129" s="2">
        <f>IF(AND(VLOOKUP(Y$1,test!$A$3:$F$32,5,FALSE) - VLOOKUP($B129,test!$A$3:$G$32,6,FALSE) &gt;= (test!$B$37+VLOOKUP(VLOOKUP($B129,test!$A$2:$I$32,4,FALSE),test!$J$24:$P$28,7,FALSE))/1440),1,0)</f>
        <v>1</v>
      </c>
      <c r="Z129" s="2">
        <f>IF(AND(VLOOKUP(Z$1,test!$A$3:$F$32,5,FALSE) - VLOOKUP($B129,test!$A$3:$G$32,6,FALSE) &gt;= (test!$B$37+VLOOKUP(VLOOKUP($B129,test!$A$2:$I$32,4,FALSE),test!$J$24:$P$28,7,FALSE))/1440),1,0)</f>
        <v>0</v>
      </c>
      <c r="AA129" s="2">
        <f>IF(AND(VLOOKUP(AA$1,test!$A$3:$F$32,5,FALSE) - VLOOKUP($B129,test!$A$3:$G$32,6,FALSE) &gt;= (test!$B$37+VLOOKUP(VLOOKUP($B129,test!$A$2:$I$32,4,FALSE),test!$J$24:$P$28,7,FALSE))/1440),1,0)</f>
        <v>0</v>
      </c>
      <c r="AB129" s="2">
        <f>IF(AND(VLOOKUP(AB$1,test!$A$3:$F$32,5,FALSE) - VLOOKUP($B129,test!$A$3:$G$32,6,FALSE) &gt;= (test!$B$37+VLOOKUP(VLOOKUP($B129,test!$A$2:$I$32,4,FALSE),test!$J$24:$P$28,7,FALSE))/1440),1,0)</f>
        <v>0</v>
      </c>
      <c r="AC129" s="2">
        <f>IF(AND(VLOOKUP(AC$1,test!$A$3:$F$32,5,FALSE) - VLOOKUP($B129,test!$A$3:$G$32,6,FALSE) &gt;= (test!$B$37+VLOOKUP(VLOOKUP($B129,test!$A$2:$I$32,4,FALSE),test!$J$24:$P$28,7,FALSE))/1440),1,0)</f>
        <v>0</v>
      </c>
      <c r="AD129" s="2">
        <f>IF(AND(VLOOKUP(AD$1,test!$A$3:$F$32,5,FALSE) - VLOOKUP($B129,test!$A$3:$G$32,6,FALSE) &gt;= (test!$B$37+VLOOKUP(VLOOKUP($B129,test!$A$2:$I$32,4,FALSE),test!$J$24:$P$28,7,FALSE))/1440),1,0)</f>
        <v>0</v>
      </c>
      <c r="AE129" s="2">
        <f>IF(AND(VLOOKUP(AE$1,test!$A$3:$F$32,5,FALSE) - VLOOKUP($B129,test!$A$3:$G$32,6,FALSE) &gt;= (test!$B$37+VLOOKUP(VLOOKUP($B129,test!$A$2:$I$32,4,FALSE),test!$J$24:$P$28,7,FALSE))/1440),1,0)</f>
        <v>0</v>
      </c>
      <c r="AF129" s="2">
        <f>IF(AND(VLOOKUP(AF$1,test!$A$3:$F$32,5,FALSE) - VLOOKUP($B129,test!$A$3:$G$32,6,FALSE) &gt;= (test!$B$37+VLOOKUP(VLOOKUP($B129,test!$A$2:$I$32,4,FALSE),test!$J$24:$P$28,7,FALSE))/1440),1,0)</f>
        <v>0</v>
      </c>
      <c r="AG129" s="2">
        <f>IF(AND(VLOOKUP(AG$1,test!$A$3:$F$32,5,FALSE) - VLOOKUP($B129,test!$A$3:$G$32,6,FALSE) &gt;= (test!$B$37+VLOOKUP(VLOOKUP($B129,test!$A$2:$I$32,4,FALSE),test!$J$24:$P$28,7,FALSE))/1440),1,0)</f>
        <v>0</v>
      </c>
    </row>
    <row r="130" spans="1:33" x14ac:dyDescent="0.25">
      <c r="A130" t="s">
        <v>99</v>
      </c>
      <c r="B130" t="s">
        <v>11</v>
      </c>
      <c r="C130">
        <v>0</v>
      </c>
      <c r="D130" s="2">
        <f>IF(AND(VLOOKUP(D$1,test!$A$3:$F$32,5,FALSE) - VLOOKUP($B130,test!$A$3:$G$32,6,FALSE) &gt;= (test!$B$37+VLOOKUP(VLOOKUP($B130,test!$A$2:$I$32,4,FALSE),test!$J$24:$P$28,7,FALSE))/1440),1,0)</f>
        <v>0</v>
      </c>
      <c r="E130" s="2">
        <f>IF(AND(VLOOKUP(E$1,test!$A$3:$F$32,5,FALSE) - VLOOKUP($B130,test!$A$3:$G$32,6,FALSE) &gt;= (test!$B$37+VLOOKUP(VLOOKUP($B130,test!$A$2:$I$32,4,FALSE),test!$J$24:$P$28,7,FALSE))/1440),1,0)</f>
        <v>0</v>
      </c>
      <c r="F130" s="2">
        <f>IF(AND(VLOOKUP(F$1,test!$A$3:$F$32,5,FALSE) - VLOOKUP($B130,test!$A$3:$G$32,6,FALSE) &gt;= (test!$B$37+VLOOKUP(VLOOKUP($B130,test!$A$2:$I$32,4,FALSE),test!$J$24:$P$28,7,FALSE))/1440),1,0)</f>
        <v>0</v>
      </c>
      <c r="G130" s="2">
        <f>IF(AND(VLOOKUP(G$1,test!$A$3:$F$32,5,FALSE) - VLOOKUP($B130,test!$A$3:$G$32,6,FALSE) &gt;= (test!$B$37+VLOOKUP(VLOOKUP($B130,test!$A$2:$I$32,4,FALSE),test!$J$24:$P$28,7,FALSE))/1440),1,0)</f>
        <v>0</v>
      </c>
      <c r="H130" s="2">
        <f>IF(AND(VLOOKUP(H$1,test!$A$3:$F$32,5,FALSE) - VLOOKUP($B130,test!$A$3:$G$32,6,FALSE) &gt;= (test!$B$37+VLOOKUP(VLOOKUP($B130,test!$A$2:$I$32,4,FALSE),test!$J$24:$P$28,7,FALSE))/1440),1,0)</f>
        <v>0</v>
      </c>
      <c r="I130" s="2">
        <f>IF(AND(VLOOKUP(I$1,test!$A$3:$F$32,5,FALSE) - VLOOKUP($B130,test!$A$3:$G$32,6,FALSE) &gt;= (test!$B$37+VLOOKUP(VLOOKUP($B130,test!$A$2:$I$32,4,FALSE),test!$J$24:$P$28,7,FALSE))/1440),1,0)</f>
        <v>0</v>
      </c>
      <c r="J130" s="2">
        <f>IF(AND(VLOOKUP(J$1,test!$A$3:$F$32,5,FALSE) - VLOOKUP($B130,test!$A$3:$G$32,6,FALSE) &gt;= (test!$B$37+VLOOKUP(VLOOKUP($B130,test!$A$2:$I$32,4,FALSE),test!$J$24:$P$28,7,FALSE))/1440),1,0)</f>
        <v>0</v>
      </c>
      <c r="K130" s="2">
        <f>IF(AND(VLOOKUP(K$1,test!$A$3:$F$32,5,FALSE) - VLOOKUP($B130,test!$A$3:$G$32,6,FALSE) &gt;= (test!$B$37+VLOOKUP(VLOOKUP($B130,test!$A$2:$I$32,4,FALSE),test!$J$24:$P$28,7,FALSE))/1440),1,0)</f>
        <v>1</v>
      </c>
      <c r="L130" s="2">
        <f>IF(AND(VLOOKUP(L$1,test!$A$3:$F$32,5,FALSE) - VLOOKUP($B130,test!$A$3:$G$32,6,FALSE) &gt;= (test!$B$37+VLOOKUP(VLOOKUP($B130,test!$A$2:$I$32,4,FALSE),test!$J$24:$P$28,7,FALSE))/1440),1,0)</f>
        <v>0</v>
      </c>
      <c r="M130" s="2">
        <f>IF(AND(VLOOKUP(M$1,test!$A$3:$F$32,5,FALSE) - VLOOKUP($B130,test!$A$3:$G$32,6,FALSE) &gt;= (test!$B$37+VLOOKUP(VLOOKUP($B130,test!$A$2:$I$32,4,FALSE),test!$J$24:$P$28,7,FALSE))/1440),1,0)</f>
        <v>0</v>
      </c>
      <c r="N130" s="2">
        <f>IF(AND(VLOOKUP(N$1,test!$A$3:$F$32,5,FALSE) - VLOOKUP($B130,test!$A$3:$G$32,6,FALSE) &gt;= (test!$B$37+VLOOKUP(VLOOKUP($B130,test!$A$2:$I$32,4,FALSE),test!$J$24:$P$28,7,FALSE))/1440),1,0)</f>
        <v>0</v>
      </c>
      <c r="O130" s="2">
        <f>IF(AND(VLOOKUP(O$1,test!$A$3:$F$32,5,FALSE) - VLOOKUP($B130,test!$A$3:$G$32,6,FALSE) &gt;= (test!$B$37+VLOOKUP(VLOOKUP($B130,test!$A$2:$I$32,4,FALSE),test!$J$24:$P$28,7,FALSE))/1440),1,0)</f>
        <v>0</v>
      </c>
      <c r="P130" s="2">
        <f>IF(AND(VLOOKUP(P$1,test!$A$3:$F$32,5,FALSE) - VLOOKUP($B130,test!$A$3:$G$32,6,FALSE) &gt;= (test!$B$37+VLOOKUP(VLOOKUP($B130,test!$A$2:$I$32,4,FALSE),test!$J$24:$P$28,7,FALSE))/1440),1,0)</f>
        <v>1</v>
      </c>
      <c r="Q130" s="2">
        <f>IF(AND(VLOOKUP(Q$1,test!$A$3:$F$32,5,FALSE) - VLOOKUP($B130,test!$A$3:$G$32,6,FALSE) &gt;= (test!$B$37+VLOOKUP(VLOOKUP($B130,test!$A$2:$I$32,4,FALSE),test!$J$24:$P$28,7,FALSE))/1440),1,0)</f>
        <v>0</v>
      </c>
      <c r="R130" s="2">
        <f>IF(AND(VLOOKUP(R$1,test!$A$3:$F$32,5,FALSE) - VLOOKUP($B130,test!$A$3:$G$32,6,FALSE) &gt;= (test!$B$37+VLOOKUP(VLOOKUP($B130,test!$A$2:$I$32,4,FALSE),test!$J$24:$P$28,7,FALSE))/1440),1,0)</f>
        <v>0</v>
      </c>
      <c r="S130" s="2">
        <f>IF(AND(VLOOKUP(S$1,test!$A$3:$F$32,5,FALSE) - VLOOKUP($B130,test!$A$3:$G$32,6,FALSE) &gt;= (test!$B$37+VLOOKUP(VLOOKUP($B130,test!$A$2:$I$32,4,FALSE),test!$J$24:$P$28,7,FALSE))/1440),1,0)</f>
        <v>0</v>
      </c>
      <c r="T130" s="2">
        <f>IF(AND(VLOOKUP(T$1,test!$A$3:$F$32,5,FALSE) - VLOOKUP($B130,test!$A$3:$G$32,6,FALSE) &gt;= (test!$B$37+VLOOKUP(VLOOKUP($B130,test!$A$2:$I$32,4,FALSE),test!$J$24:$P$28,7,FALSE))/1440),1,0)</f>
        <v>0</v>
      </c>
      <c r="U130" s="2">
        <f>IF(AND(VLOOKUP(U$1,test!$A$3:$F$32,5,FALSE) - VLOOKUP($B130,test!$A$3:$G$32,6,FALSE) &gt;= (test!$B$37+VLOOKUP(VLOOKUP($B130,test!$A$2:$I$32,4,FALSE),test!$J$24:$P$28,7,FALSE))/1440),1,0)</f>
        <v>0</v>
      </c>
      <c r="V130" s="2">
        <f>IF(AND(VLOOKUP(V$1,test!$A$3:$F$32,5,FALSE) - VLOOKUP($B130,test!$A$3:$G$32,6,FALSE) &gt;= (test!$B$37+VLOOKUP(VLOOKUP($B130,test!$A$2:$I$32,4,FALSE),test!$J$24:$P$28,7,FALSE))/1440),1,0)</f>
        <v>0</v>
      </c>
      <c r="W130" s="2">
        <f>IF(AND(VLOOKUP(W$1,test!$A$3:$F$32,5,FALSE) - VLOOKUP($B130,test!$A$3:$G$32,6,FALSE) &gt;= (test!$B$37+VLOOKUP(VLOOKUP($B130,test!$A$2:$I$32,4,FALSE),test!$J$24:$P$28,7,FALSE))/1440),1,0)</f>
        <v>0</v>
      </c>
      <c r="X130" s="2">
        <f>IF(AND(VLOOKUP(X$1,test!$A$3:$F$32,5,FALSE) - VLOOKUP($B130,test!$A$3:$G$32,6,FALSE) &gt;= (test!$B$37+VLOOKUP(VLOOKUP($B130,test!$A$2:$I$32,4,FALSE),test!$J$24:$P$28,7,FALSE))/1440),1,0)</f>
        <v>0</v>
      </c>
      <c r="Y130" s="2">
        <f>IF(AND(VLOOKUP(Y$1,test!$A$3:$F$32,5,FALSE) - VLOOKUP($B130,test!$A$3:$G$32,6,FALSE) &gt;= (test!$B$37+VLOOKUP(VLOOKUP($B130,test!$A$2:$I$32,4,FALSE),test!$J$24:$P$28,7,FALSE))/1440),1,0)</f>
        <v>0</v>
      </c>
      <c r="Z130" s="2">
        <f>IF(AND(VLOOKUP(Z$1,test!$A$3:$F$32,5,FALSE) - VLOOKUP($B130,test!$A$3:$G$32,6,FALSE) &gt;= (test!$B$37+VLOOKUP(VLOOKUP($B130,test!$A$2:$I$32,4,FALSE),test!$J$24:$P$28,7,FALSE))/1440),1,0)</f>
        <v>0</v>
      </c>
      <c r="AA130" s="2">
        <f>IF(AND(VLOOKUP(AA$1,test!$A$3:$F$32,5,FALSE) - VLOOKUP($B130,test!$A$3:$G$32,6,FALSE) &gt;= (test!$B$37+VLOOKUP(VLOOKUP($B130,test!$A$2:$I$32,4,FALSE),test!$J$24:$P$28,7,FALSE))/1440),1,0)</f>
        <v>0</v>
      </c>
      <c r="AB130" s="2">
        <f>IF(AND(VLOOKUP(AB$1,test!$A$3:$F$32,5,FALSE) - VLOOKUP($B130,test!$A$3:$G$32,6,FALSE) &gt;= (test!$B$37+VLOOKUP(VLOOKUP($B130,test!$A$2:$I$32,4,FALSE),test!$J$24:$P$28,7,FALSE))/1440),1,0)</f>
        <v>0</v>
      </c>
      <c r="AC130" s="2">
        <f>IF(AND(VLOOKUP(AC$1,test!$A$3:$F$32,5,FALSE) - VLOOKUP($B130,test!$A$3:$G$32,6,FALSE) &gt;= (test!$B$37+VLOOKUP(VLOOKUP($B130,test!$A$2:$I$32,4,FALSE),test!$J$24:$P$28,7,FALSE))/1440),1,0)</f>
        <v>0</v>
      </c>
      <c r="AD130" s="2">
        <f>IF(AND(VLOOKUP(AD$1,test!$A$3:$F$32,5,FALSE) - VLOOKUP($B130,test!$A$3:$G$32,6,FALSE) &gt;= (test!$B$37+VLOOKUP(VLOOKUP($B130,test!$A$2:$I$32,4,FALSE),test!$J$24:$P$28,7,FALSE))/1440),1,0)</f>
        <v>0</v>
      </c>
      <c r="AE130" s="2">
        <f>IF(AND(VLOOKUP(AE$1,test!$A$3:$F$32,5,FALSE) - VLOOKUP($B130,test!$A$3:$G$32,6,FALSE) &gt;= (test!$B$37+VLOOKUP(VLOOKUP($B130,test!$A$2:$I$32,4,FALSE),test!$J$24:$P$28,7,FALSE))/1440),1,0)</f>
        <v>0</v>
      </c>
      <c r="AF130" s="2">
        <f>IF(AND(VLOOKUP(AF$1,test!$A$3:$F$32,5,FALSE) - VLOOKUP($B130,test!$A$3:$G$32,6,FALSE) &gt;= (test!$B$37+VLOOKUP(VLOOKUP($B130,test!$A$2:$I$32,4,FALSE),test!$J$24:$P$28,7,FALSE))/1440),1,0)</f>
        <v>0</v>
      </c>
      <c r="AG130" s="2">
        <f>IF(AND(VLOOKUP(AG$1,test!$A$3:$F$32,5,FALSE) - VLOOKUP($B130,test!$A$3:$G$32,6,FALSE) &gt;= (test!$B$37+VLOOKUP(VLOOKUP($B130,test!$A$2:$I$32,4,FALSE),test!$J$24:$P$28,7,FALSE))/1440),1,0)</f>
        <v>0</v>
      </c>
    </row>
    <row r="131" spans="1:33" x14ac:dyDescent="0.25">
      <c r="A131" t="s">
        <v>99</v>
      </c>
      <c r="B131" t="s">
        <v>12</v>
      </c>
      <c r="C131">
        <v>0</v>
      </c>
      <c r="D131" s="2">
        <f>IF(AND(VLOOKUP(D$1,test!$A$3:$F$32,5,FALSE) - VLOOKUP($B131,test!$A$3:$G$32,6,FALSE) &gt;= (test!$B$37+VLOOKUP(VLOOKUP($B131,test!$A$2:$I$32,4,FALSE),test!$J$24:$P$28,7,FALSE))/1440),1,0)</f>
        <v>0</v>
      </c>
      <c r="E131" s="2">
        <f>IF(AND(VLOOKUP(E$1,test!$A$3:$F$32,5,FALSE) - VLOOKUP($B131,test!$A$3:$G$32,6,FALSE) &gt;= (test!$B$37+VLOOKUP(VLOOKUP($B131,test!$A$2:$I$32,4,FALSE),test!$J$24:$P$28,7,FALSE))/1440),1,0)</f>
        <v>0</v>
      </c>
      <c r="F131" s="2">
        <f>IF(AND(VLOOKUP(F$1,test!$A$3:$F$32,5,FALSE) - VLOOKUP($B131,test!$A$3:$G$32,6,FALSE) &gt;= (test!$B$37+VLOOKUP(VLOOKUP($B131,test!$A$2:$I$32,4,FALSE),test!$J$24:$P$28,7,FALSE))/1440),1,0)</f>
        <v>0</v>
      </c>
      <c r="G131" s="2">
        <f>IF(AND(VLOOKUP(G$1,test!$A$3:$F$32,5,FALSE) - VLOOKUP($B131,test!$A$3:$G$32,6,FALSE) &gt;= (test!$B$37+VLOOKUP(VLOOKUP($B131,test!$A$2:$I$32,4,FALSE),test!$J$24:$P$28,7,FALSE))/1440),1,0)</f>
        <v>0</v>
      </c>
      <c r="H131" s="2">
        <f>IF(AND(VLOOKUP(H$1,test!$A$3:$F$32,5,FALSE) - VLOOKUP($B131,test!$A$3:$G$32,6,FALSE) &gt;= (test!$B$37+VLOOKUP(VLOOKUP($B131,test!$A$2:$I$32,4,FALSE),test!$J$24:$P$28,7,FALSE))/1440),1,0)</f>
        <v>0</v>
      </c>
      <c r="I131" s="2">
        <f>IF(AND(VLOOKUP(I$1,test!$A$3:$F$32,5,FALSE) - VLOOKUP($B131,test!$A$3:$G$32,6,FALSE) &gt;= (test!$B$37+VLOOKUP(VLOOKUP($B131,test!$A$2:$I$32,4,FALSE),test!$J$24:$P$28,7,FALSE))/1440),1,0)</f>
        <v>0</v>
      </c>
      <c r="J131" s="2">
        <f>IF(AND(VLOOKUP(J$1,test!$A$3:$F$32,5,FALSE) - VLOOKUP($B131,test!$A$3:$G$32,6,FALSE) &gt;= (test!$B$37+VLOOKUP(VLOOKUP($B131,test!$A$2:$I$32,4,FALSE),test!$J$24:$P$28,7,FALSE))/1440),1,0)</f>
        <v>0</v>
      </c>
      <c r="K131" s="2">
        <f>IF(AND(VLOOKUP(K$1,test!$A$3:$F$32,5,FALSE) - VLOOKUP($B131,test!$A$3:$G$32,6,FALSE) &gt;= (test!$B$37+VLOOKUP(VLOOKUP($B131,test!$A$2:$I$32,4,FALSE),test!$J$24:$P$28,7,FALSE))/1440),1,0)</f>
        <v>0</v>
      </c>
      <c r="L131" s="2">
        <f>IF(AND(VLOOKUP(L$1,test!$A$3:$F$32,5,FALSE) - VLOOKUP($B131,test!$A$3:$G$32,6,FALSE) &gt;= (test!$B$37+VLOOKUP(VLOOKUP($B131,test!$A$2:$I$32,4,FALSE),test!$J$24:$P$28,7,FALSE))/1440),1,0)</f>
        <v>0</v>
      </c>
      <c r="M131" s="2">
        <f>IF(AND(VLOOKUP(M$1,test!$A$3:$F$32,5,FALSE) - VLOOKUP($B131,test!$A$3:$G$32,6,FALSE) &gt;= (test!$B$37+VLOOKUP(VLOOKUP($B131,test!$A$2:$I$32,4,FALSE),test!$J$24:$P$28,7,FALSE))/1440),1,0)</f>
        <v>0</v>
      </c>
      <c r="N131" s="2">
        <f>IF(AND(VLOOKUP(N$1,test!$A$3:$F$32,5,FALSE) - VLOOKUP($B131,test!$A$3:$G$32,6,FALSE) &gt;= (test!$B$37+VLOOKUP(VLOOKUP($B131,test!$A$2:$I$32,4,FALSE),test!$J$24:$P$28,7,FALSE))/1440),1,0)</f>
        <v>0</v>
      </c>
      <c r="O131" s="2">
        <f>IF(AND(VLOOKUP(O$1,test!$A$3:$F$32,5,FALSE) - VLOOKUP($B131,test!$A$3:$G$32,6,FALSE) &gt;= (test!$B$37+VLOOKUP(VLOOKUP($B131,test!$A$2:$I$32,4,FALSE),test!$J$24:$P$28,7,FALSE))/1440),1,0)</f>
        <v>0</v>
      </c>
      <c r="P131" s="2">
        <f>IF(AND(VLOOKUP(P$1,test!$A$3:$F$32,5,FALSE) - VLOOKUP($B131,test!$A$3:$G$32,6,FALSE) &gt;= (test!$B$37+VLOOKUP(VLOOKUP($B131,test!$A$2:$I$32,4,FALSE),test!$J$24:$P$28,7,FALSE))/1440),1,0)</f>
        <v>0</v>
      </c>
      <c r="Q131" s="2">
        <f>IF(AND(VLOOKUP(Q$1,test!$A$3:$F$32,5,FALSE) - VLOOKUP($B131,test!$A$3:$G$32,6,FALSE) &gt;= (test!$B$37+VLOOKUP(VLOOKUP($B131,test!$A$2:$I$32,4,FALSE),test!$J$24:$P$28,7,FALSE))/1440),1,0)</f>
        <v>0</v>
      </c>
      <c r="R131" s="2">
        <f>IF(AND(VLOOKUP(R$1,test!$A$3:$F$32,5,FALSE) - VLOOKUP($B131,test!$A$3:$G$32,6,FALSE) &gt;= (test!$B$37+VLOOKUP(VLOOKUP($B131,test!$A$2:$I$32,4,FALSE),test!$J$24:$P$28,7,FALSE))/1440),1,0)</f>
        <v>0</v>
      </c>
      <c r="S131" s="2">
        <f>IF(AND(VLOOKUP(S$1,test!$A$3:$F$32,5,FALSE) - VLOOKUP($B131,test!$A$3:$G$32,6,FALSE) &gt;= (test!$B$37+VLOOKUP(VLOOKUP($B131,test!$A$2:$I$32,4,FALSE),test!$J$24:$P$28,7,FALSE))/1440),1,0)</f>
        <v>0</v>
      </c>
      <c r="T131" s="2">
        <f>IF(AND(VLOOKUP(T$1,test!$A$3:$F$32,5,FALSE) - VLOOKUP($B131,test!$A$3:$G$32,6,FALSE) &gt;= (test!$B$37+VLOOKUP(VLOOKUP($B131,test!$A$2:$I$32,4,FALSE),test!$J$24:$P$28,7,FALSE))/1440),1,0)</f>
        <v>0</v>
      </c>
      <c r="U131" s="2">
        <f>IF(AND(VLOOKUP(U$1,test!$A$3:$F$32,5,FALSE) - VLOOKUP($B131,test!$A$3:$G$32,6,FALSE) &gt;= (test!$B$37+VLOOKUP(VLOOKUP($B131,test!$A$2:$I$32,4,FALSE),test!$J$24:$P$28,7,FALSE))/1440),1,0)</f>
        <v>0</v>
      </c>
      <c r="V131" s="2">
        <f>IF(AND(VLOOKUP(V$1,test!$A$3:$F$32,5,FALSE) - VLOOKUP($B131,test!$A$3:$G$32,6,FALSE) &gt;= (test!$B$37+VLOOKUP(VLOOKUP($B131,test!$A$2:$I$32,4,FALSE),test!$J$24:$P$28,7,FALSE))/1440),1,0)</f>
        <v>0</v>
      </c>
      <c r="W131" s="2">
        <f>IF(AND(VLOOKUP(W$1,test!$A$3:$F$32,5,FALSE) - VLOOKUP($B131,test!$A$3:$G$32,6,FALSE) &gt;= (test!$B$37+VLOOKUP(VLOOKUP($B131,test!$A$2:$I$32,4,FALSE),test!$J$24:$P$28,7,FALSE))/1440),1,0)</f>
        <v>0</v>
      </c>
      <c r="X131" s="2">
        <f>IF(AND(VLOOKUP(X$1,test!$A$3:$F$32,5,FALSE) - VLOOKUP($B131,test!$A$3:$G$32,6,FALSE) &gt;= (test!$B$37+VLOOKUP(VLOOKUP($B131,test!$A$2:$I$32,4,FALSE),test!$J$24:$P$28,7,FALSE))/1440),1,0)</f>
        <v>0</v>
      </c>
      <c r="Y131" s="2">
        <f>IF(AND(VLOOKUP(Y$1,test!$A$3:$F$32,5,FALSE) - VLOOKUP($B131,test!$A$3:$G$32,6,FALSE) &gt;= (test!$B$37+VLOOKUP(VLOOKUP($B131,test!$A$2:$I$32,4,FALSE),test!$J$24:$P$28,7,FALSE))/1440),1,0)</f>
        <v>0</v>
      </c>
      <c r="Z131" s="2">
        <f>IF(AND(VLOOKUP(Z$1,test!$A$3:$F$32,5,FALSE) - VLOOKUP($B131,test!$A$3:$G$32,6,FALSE) &gt;= (test!$B$37+VLOOKUP(VLOOKUP($B131,test!$A$2:$I$32,4,FALSE),test!$J$24:$P$28,7,FALSE))/1440),1,0)</f>
        <v>0</v>
      </c>
      <c r="AA131" s="2">
        <f>IF(AND(VLOOKUP(AA$1,test!$A$3:$F$32,5,FALSE) - VLOOKUP($B131,test!$A$3:$G$32,6,FALSE) &gt;= (test!$B$37+VLOOKUP(VLOOKUP($B131,test!$A$2:$I$32,4,FALSE),test!$J$24:$P$28,7,FALSE))/1440),1,0)</f>
        <v>0</v>
      </c>
      <c r="AB131" s="2">
        <f>IF(AND(VLOOKUP(AB$1,test!$A$3:$F$32,5,FALSE) - VLOOKUP($B131,test!$A$3:$G$32,6,FALSE) &gt;= (test!$B$37+VLOOKUP(VLOOKUP($B131,test!$A$2:$I$32,4,FALSE),test!$J$24:$P$28,7,FALSE))/1440),1,0)</f>
        <v>0</v>
      </c>
      <c r="AC131" s="2">
        <f>IF(AND(VLOOKUP(AC$1,test!$A$3:$F$32,5,FALSE) - VLOOKUP($B131,test!$A$3:$G$32,6,FALSE) &gt;= (test!$B$37+VLOOKUP(VLOOKUP($B131,test!$A$2:$I$32,4,FALSE),test!$J$24:$P$28,7,FALSE))/1440),1,0)</f>
        <v>0</v>
      </c>
      <c r="AD131" s="2">
        <f>IF(AND(VLOOKUP(AD$1,test!$A$3:$F$32,5,FALSE) - VLOOKUP($B131,test!$A$3:$G$32,6,FALSE) &gt;= (test!$B$37+VLOOKUP(VLOOKUP($B131,test!$A$2:$I$32,4,FALSE),test!$J$24:$P$28,7,FALSE))/1440),1,0)</f>
        <v>0</v>
      </c>
      <c r="AE131" s="2">
        <f>IF(AND(VLOOKUP(AE$1,test!$A$3:$F$32,5,FALSE) - VLOOKUP($B131,test!$A$3:$G$32,6,FALSE) &gt;= (test!$B$37+VLOOKUP(VLOOKUP($B131,test!$A$2:$I$32,4,FALSE),test!$J$24:$P$28,7,FALSE))/1440),1,0)</f>
        <v>0</v>
      </c>
      <c r="AF131" s="2">
        <f>IF(AND(VLOOKUP(AF$1,test!$A$3:$F$32,5,FALSE) - VLOOKUP($B131,test!$A$3:$G$32,6,FALSE) &gt;= (test!$B$37+VLOOKUP(VLOOKUP($B131,test!$A$2:$I$32,4,FALSE),test!$J$24:$P$28,7,FALSE))/1440),1,0)</f>
        <v>0</v>
      </c>
      <c r="AG131" s="2">
        <f>IF(AND(VLOOKUP(AG$1,test!$A$3:$F$32,5,FALSE) - VLOOKUP($B131,test!$A$3:$G$32,6,FALSE) &gt;= (test!$B$37+VLOOKUP(VLOOKUP($B131,test!$A$2:$I$32,4,FALSE),test!$J$24:$P$28,7,FALSE))/1440),1,0)</f>
        <v>0</v>
      </c>
    </row>
    <row r="132" spans="1:33" x14ac:dyDescent="0.25">
      <c r="A132" t="s">
        <v>99</v>
      </c>
      <c r="B132" t="s">
        <v>13</v>
      </c>
      <c r="C132">
        <v>0</v>
      </c>
      <c r="D132" s="2">
        <f>IF(AND(VLOOKUP(D$1,test!$A$3:$F$32,5,FALSE) - VLOOKUP($B132,test!$A$3:$G$32,6,FALSE) &gt;= (test!$B$37+VLOOKUP(VLOOKUP($B132,test!$A$2:$I$32,4,FALSE),test!$J$24:$P$28,7,FALSE))/1440),1,0)</f>
        <v>0</v>
      </c>
      <c r="E132" s="2">
        <f>IF(AND(VLOOKUP(E$1,test!$A$3:$F$32,5,FALSE) - VLOOKUP($B132,test!$A$3:$G$32,6,FALSE) &gt;= (test!$B$37+VLOOKUP(VLOOKUP($B132,test!$A$2:$I$32,4,FALSE),test!$J$24:$P$28,7,FALSE))/1440),1,0)</f>
        <v>0</v>
      </c>
      <c r="F132" s="2">
        <f>IF(AND(VLOOKUP(F$1,test!$A$3:$F$32,5,FALSE) - VLOOKUP($B132,test!$A$3:$G$32,6,FALSE) &gt;= (test!$B$37+VLOOKUP(VLOOKUP($B132,test!$A$2:$I$32,4,FALSE),test!$J$24:$P$28,7,FALSE))/1440),1,0)</f>
        <v>0</v>
      </c>
      <c r="G132" s="2">
        <f>IF(AND(VLOOKUP(G$1,test!$A$3:$F$32,5,FALSE) - VLOOKUP($B132,test!$A$3:$G$32,6,FALSE) &gt;= (test!$B$37+VLOOKUP(VLOOKUP($B132,test!$A$2:$I$32,4,FALSE),test!$J$24:$P$28,7,FALSE))/1440),1,0)</f>
        <v>0</v>
      </c>
      <c r="H132" s="2">
        <f>IF(AND(VLOOKUP(H$1,test!$A$3:$F$32,5,FALSE) - VLOOKUP($B132,test!$A$3:$G$32,6,FALSE) &gt;= (test!$B$37+VLOOKUP(VLOOKUP($B132,test!$A$2:$I$32,4,FALSE),test!$J$24:$P$28,7,FALSE))/1440),1,0)</f>
        <v>0</v>
      </c>
      <c r="I132" s="2">
        <f>IF(AND(VLOOKUP(I$1,test!$A$3:$F$32,5,FALSE) - VLOOKUP($B132,test!$A$3:$G$32,6,FALSE) &gt;= (test!$B$37+VLOOKUP(VLOOKUP($B132,test!$A$2:$I$32,4,FALSE),test!$J$24:$P$28,7,FALSE))/1440),1,0)</f>
        <v>0</v>
      </c>
      <c r="J132" s="2">
        <f>IF(AND(VLOOKUP(J$1,test!$A$3:$F$32,5,FALSE) - VLOOKUP($B132,test!$A$3:$G$32,6,FALSE) &gt;= (test!$B$37+VLOOKUP(VLOOKUP($B132,test!$A$2:$I$32,4,FALSE),test!$J$24:$P$28,7,FALSE))/1440),1,0)</f>
        <v>0</v>
      </c>
      <c r="K132" s="2">
        <f>IF(AND(VLOOKUP(K$1,test!$A$3:$F$32,5,FALSE) - VLOOKUP($B132,test!$A$3:$G$32,6,FALSE) &gt;= (test!$B$37+VLOOKUP(VLOOKUP($B132,test!$A$2:$I$32,4,FALSE),test!$J$24:$P$28,7,FALSE))/1440),1,0)</f>
        <v>0</v>
      </c>
      <c r="L132" s="2">
        <f>IF(AND(VLOOKUP(L$1,test!$A$3:$F$32,5,FALSE) - VLOOKUP($B132,test!$A$3:$G$32,6,FALSE) &gt;= (test!$B$37+VLOOKUP(VLOOKUP($B132,test!$A$2:$I$32,4,FALSE),test!$J$24:$P$28,7,FALSE))/1440),1,0)</f>
        <v>0</v>
      </c>
      <c r="M132" s="2">
        <f>IF(AND(VLOOKUP(M$1,test!$A$3:$F$32,5,FALSE) - VLOOKUP($B132,test!$A$3:$G$32,6,FALSE) &gt;= (test!$B$37+VLOOKUP(VLOOKUP($B132,test!$A$2:$I$32,4,FALSE),test!$J$24:$P$28,7,FALSE))/1440),1,0)</f>
        <v>0</v>
      </c>
      <c r="N132" s="2">
        <f>IF(AND(VLOOKUP(N$1,test!$A$3:$F$32,5,FALSE) - VLOOKUP($B132,test!$A$3:$G$32,6,FALSE) &gt;= (test!$B$37+VLOOKUP(VLOOKUP($B132,test!$A$2:$I$32,4,FALSE),test!$J$24:$P$28,7,FALSE))/1440),1,0)</f>
        <v>0</v>
      </c>
      <c r="O132" s="2">
        <f>IF(AND(VLOOKUP(O$1,test!$A$3:$F$32,5,FALSE) - VLOOKUP($B132,test!$A$3:$G$32,6,FALSE) &gt;= (test!$B$37+VLOOKUP(VLOOKUP($B132,test!$A$2:$I$32,4,FALSE),test!$J$24:$P$28,7,FALSE))/1440),1,0)</f>
        <v>0</v>
      </c>
      <c r="P132" s="2">
        <f>IF(AND(VLOOKUP(P$1,test!$A$3:$F$32,5,FALSE) - VLOOKUP($B132,test!$A$3:$G$32,6,FALSE) &gt;= (test!$B$37+VLOOKUP(VLOOKUP($B132,test!$A$2:$I$32,4,FALSE),test!$J$24:$P$28,7,FALSE))/1440),1,0)</f>
        <v>0</v>
      </c>
      <c r="Q132" s="2">
        <f>IF(AND(VLOOKUP(Q$1,test!$A$3:$F$32,5,FALSE) - VLOOKUP($B132,test!$A$3:$G$32,6,FALSE) &gt;= (test!$B$37+VLOOKUP(VLOOKUP($B132,test!$A$2:$I$32,4,FALSE),test!$J$24:$P$28,7,FALSE))/1440),1,0)</f>
        <v>0</v>
      </c>
      <c r="R132" s="2">
        <f>IF(AND(VLOOKUP(R$1,test!$A$3:$F$32,5,FALSE) - VLOOKUP($B132,test!$A$3:$G$32,6,FALSE) &gt;= (test!$B$37+VLOOKUP(VLOOKUP($B132,test!$A$2:$I$32,4,FALSE),test!$J$24:$P$28,7,FALSE))/1440),1,0)</f>
        <v>0</v>
      </c>
      <c r="S132" s="2">
        <f>IF(AND(VLOOKUP(S$1,test!$A$3:$F$32,5,FALSE) - VLOOKUP($B132,test!$A$3:$G$32,6,FALSE) &gt;= (test!$B$37+VLOOKUP(VLOOKUP($B132,test!$A$2:$I$32,4,FALSE),test!$J$24:$P$28,7,FALSE))/1440),1,0)</f>
        <v>0</v>
      </c>
      <c r="T132" s="2">
        <f>IF(AND(VLOOKUP(T$1,test!$A$3:$F$32,5,FALSE) - VLOOKUP($B132,test!$A$3:$G$32,6,FALSE) &gt;= (test!$B$37+VLOOKUP(VLOOKUP($B132,test!$A$2:$I$32,4,FALSE),test!$J$24:$P$28,7,FALSE))/1440),1,0)</f>
        <v>0</v>
      </c>
      <c r="U132" s="2">
        <f>IF(AND(VLOOKUP(U$1,test!$A$3:$F$32,5,FALSE) - VLOOKUP($B132,test!$A$3:$G$32,6,FALSE) &gt;= (test!$B$37+VLOOKUP(VLOOKUP($B132,test!$A$2:$I$32,4,FALSE),test!$J$24:$P$28,7,FALSE))/1440),1,0)</f>
        <v>0</v>
      </c>
      <c r="V132" s="2">
        <f>IF(AND(VLOOKUP(V$1,test!$A$3:$F$32,5,FALSE) - VLOOKUP($B132,test!$A$3:$G$32,6,FALSE) &gt;= (test!$B$37+VLOOKUP(VLOOKUP($B132,test!$A$2:$I$32,4,FALSE),test!$J$24:$P$28,7,FALSE))/1440),1,0)</f>
        <v>0</v>
      </c>
      <c r="W132" s="2">
        <f>IF(AND(VLOOKUP(W$1,test!$A$3:$F$32,5,FALSE) - VLOOKUP($B132,test!$A$3:$G$32,6,FALSE) &gt;= (test!$B$37+VLOOKUP(VLOOKUP($B132,test!$A$2:$I$32,4,FALSE),test!$J$24:$P$28,7,FALSE))/1440),1,0)</f>
        <v>0</v>
      </c>
      <c r="X132" s="2">
        <f>IF(AND(VLOOKUP(X$1,test!$A$3:$F$32,5,FALSE) - VLOOKUP($B132,test!$A$3:$G$32,6,FALSE) &gt;= (test!$B$37+VLOOKUP(VLOOKUP($B132,test!$A$2:$I$32,4,FALSE),test!$J$24:$P$28,7,FALSE))/1440),1,0)</f>
        <v>0</v>
      </c>
      <c r="Y132" s="2">
        <f>IF(AND(VLOOKUP(Y$1,test!$A$3:$F$32,5,FALSE) - VLOOKUP($B132,test!$A$3:$G$32,6,FALSE) &gt;= (test!$B$37+VLOOKUP(VLOOKUP($B132,test!$A$2:$I$32,4,FALSE),test!$J$24:$P$28,7,FALSE))/1440),1,0)</f>
        <v>0</v>
      </c>
      <c r="Z132" s="2">
        <f>IF(AND(VLOOKUP(Z$1,test!$A$3:$F$32,5,FALSE) - VLOOKUP($B132,test!$A$3:$G$32,6,FALSE) &gt;= (test!$B$37+VLOOKUP(VLOOKUP($B132,test!$A$2:$I$32,4,FALSE),test!$J$24:$P$28,7,FALSE))/1440),1,0)</f>
        <v>0</v>
      </c>
      <c r="AA132" s="2">
        <f>IF(AND(VLOOKUP(AA$1,test!$A$3:$F$32,5,FALSE) - VLOOKUP($B132,test!$A$3:$G$32,6,FALSE) &gt;= (test!$B$37+VLOOKUP(VLOOKUP($B132,test!$A$2:$I$32,4,FALSE),test!$J$24:$P$28,7,FALSE))/1440),1,0)</f>
        <v>0</v>
      </c>
      <c r="AB132" s="2">
        <f>IF(AND(VLOOKUP(AB$1,test!$A$3:$F$32,5,FALSE) - VLOOKUP($B132,test!$A$3:$G$32,6,FALSE) &gt;= (test!$B$37+VLOOKUP(VLOOKUP($B132,test!$A$2:$I$32,4,FALSE),test!$J$24:$P$28,7,FALSE))/1440),1,0)</f>
        <v>0</v>
      </c>
      <c r="AC132" s="2">
        <f>IF(AND(VLOOKUP(AC$1,test!$A$3:$F$32,5,FALSE) - VLOOKUP($B132,test!$A$3:$G$32,6,FALSE) &gt;= (test!$B$37+VLOOKUP(VLOOKUP($B132,test!$A$2:$I$32,4,FALSE),test!$J$24:$P$28,7,FALSE))/1440),1,0)</f>
        <v>0</v>
      </c>
      <c r="AD132" s="2">
        <f>IF(AND(VLOOKUP(AD$1,test!$A$3:$F$32,5,FALSE) - VLOOKUP($B132,test!$A$3:$G$32,6,FALSE) &gt;= (test!$B$37+VLOOKUP(VLOOKUP($B132,test!$A$2:$I$32,4,FALSE),test!$J$24:$P$28,7,FALSE))/1440),1,0)</f>
        <v>0</v>
      </c>
      <c r="AE132" s="2">
        <f>IF(AND(VLOOKUP(AE$1,test!$A$3:$F$32,5,FALSE) - VLOOKUP($B132,test!$A$3:$G$32,6,FALSE) &gt;= (test!$B$37+VLOOKUP(VLOOKUP($B132,test!$A$2:$I$32,4,FALSE),test!$J$24:$P$28,7,FALSE))/1440),1,0)</f>
        <v>0</v>
      </c>
      <c r="AF132" s="2">
        <f>IF(AND(VLOOKUP(AF$1,test!$A$3:$F$32,5,FALSE) - VLOOKUP($B132,test!$A$3:$G$32,6,FALSE) &gt;= (test!$B$37+VLOOKUP(VLOOKUP($B132,test!$A$2:$I$32,4,FALSE),test!$J$24:$P$28,7,FALSE))/1440),1,0)</f>
        <v>0</v>
      </c>
      <c r="AG132" s="2">
        <f>IF(AND(VLOOKUP(AG$1,test!$A$3:$F$32,5,FALSE) - VLOOKUP($B132,test!$A$3:$G$32,6,FALSE) &gt;= (test!$B$37+VLOOKUP(VLOOKUP($B132,test!$A$2:$I$32,4,FALSE),test!$J$24:$P$28,7,FALSE))/1440),1,0)</f>
        <v>0</v>
      </c>
    </row>
    <row r="133" spans="1:33" x14ac:dyDescent="0.25">
      <c r="A133" t="s">
        <v>99</v>
      </c>
      <c r="B133" t="s">
        <v>14</v>
      </c>
      <c r="C133">
        <v>0</v>
      </c>
      <c r="D133" s="2">
        <f>IF(AND(VLOOKUP(D$1,test!$A$3:$F$32,5,FALSE) - VLOOKUP($B133,test!$A$3:$G$32,6,FALSE) &gt;= (test!$B$37+VLOOKUP(VLOOKUP($B133,test!$A$2:$I$32,4,FALSE),test!$J$24:$P$28,7,FALSE))/1440),1,0)</f>
        <v>0</v>
      </c>
      <c r="E133" s="2">
        <f>IF(AND(VLOOKUP(E$1,test!$A$3:$F$32,5,FALSE) - VLOOKUP($B133,test!$A$3:$G$32,6,FALSE) &gt;= (test!$B$37+VLOOKUP(VLOOKUP($B133,test!$A$2:$I$32,4,FALSE),test!$J$24:$P$28,7,FALSE))/1440),1,0)</f>
        <v>0</v>
      </c>
      <c r="F133" s="2">
        <f>IF(AND(VLOOKUP(F$1,test!$A$3:$F$32,5,FALSE) - VLOOKUP($B133,test!$A$3:$G$32,6,FALSE) &gt;= (test!$B$37+VLOOKUP(VLOOKUP($B133,test!$A$2:$I$32,4,FALSE),test!$J$24:$P$28,7,FALSE))/1440),1,0)</f>
        <v>0</v>
      </c>
      <c r="G133" s="2">
        <f>IF(AND(VLOOKUP(G$1,test!$A$3:$F$32,5,FALSE) - VLOOKUP($B133,test!$A$3:$G$32,6,FALSE) &gt;= (test!$B$37+VLOOKUP(VLOOKUP($B133,test!$A$2:$I$32,4,FALSE),test!$J$24:$P$28,7,FALSE))/1440),1,0)</f>
        <v>0</v>
      </c>
      <c r="H133" s="2">
        <f>IF(AND(VLOOKUP(H$1,test!$A$3:$F$32,5,FALSE) - VLOOKUP($B133,test!$A$3:$G$32,6,FALSE) &gt;= (test!$B$37+VLOOKUP(VLOOKUP($B133,test!$A$2:$I$32,4,FALSE),test!$J$24:$P$28,7,FALSE))/1440),1,0)</f>
        <v>0</v>
      </c>
      <c r="I133" s="2">
        <f>IF(AND(VLOOKUP(I$1,test!$A$3:$F$32,5,FALSE) - VLOOKUP($B133,test!$A$3:$G$32,6,FALSE) &gt;= (test!$B$37+VLOOKUP(VLOOKUP($B133,test!$A$2:$I$32,4,FALSE),test!$J$24:$P$28,7,FALSE))/1440),1,0)</f>
        <v>0</v>
      </c>
      <c r="J133" s="2">
        <f>IF(AND(VLOOKUP(J$1,test!$A$3:$F$32,5,FALSE) - VLOOKUP($B133,test!$A$3:$G$32,6,FALSE) &gt;= (test!$B$37+VLOOKUP(VLOOKUP($B133,test!$A$2:$I$32,4,FALSE),test!$J$24:$P$28,7,FALSE))/1440),1,0)</f>
        <v>0</v>
      </c>
      <c r="K133" s="2">
        <f>IF(AND(VLOOKUP(K$1,test!$A$3:$F$32,5,FALSE) - VLOOKUP($B133,test!$A$3:$G$32,6,FALSE) &gt;= (test!$B$37+VLOOKUP(VLOOKUP($B133,test!$A$2:$I$32,4,FALSE),test!$J$24:$P$28,7,FALSE))/1440),1,0)</f>
        <v>0</v>
      </c>
      <c r="L133" s="2">
        <f>IF(AND(VLOOKUP(L$1,test!$A$3:$F$32,5,FALSE) - VLOOKUP($B133,test!$A$3:$G$32,6,FALSE) &gt;= (test!$B$37+VLOOKUP(VLOOKUP($B133,test!$A$2:$I$32,4,FALSE),test!$J$24:$P$28,7,FALSE))/1440),1,0)</f>
        <v>0</v>
      </c>
      <c r="M133" s="2">
        <f>IF(AND(VLOOKUP(M$1,test!$A$3:$F$32,5,FALSE) - VLOOKUP($B133,test!$A$3:$G$32,6,FALSE) &gt;= (test!$B$37+VLOOKUP(VLOOKUP($B133,test!$A$2:$I$32,4,FALSE),test!$J$24:$P$28,7,FALSE))/1440),1,0)</f>
        <v>0</v>
      </c>
      <c r="N133" s="2">
        <f>IF(AND(VLOOKUP(N$1,test!$A$3:$F$32,5,FALSE) - VLOOKUP($B133,test!$A$3:$G$32,6,FALSE) &gt;= (test!$B$37+VLOOKUP(VLOOKUP($B133,test!$A$2:$I$32,4,FALSE),test!$J$24:$P$28,7,FALSE))/1440),1,0)</f>
        <v>0</v>
      </c>
      <c r="O133" s="2">
        <f>IF(AND(VLOOKUP(O$1,test!$A$3:$F$32,5,FALSE) - VLOOKUP($B133,test!$A$3:$G$32,6,FALSE) &gt;= (test!$B$37+VLOOKUP(VLOOKUP($B133,test!$A$2:$I$32,4,FALSE),test!$J$24:$P$28,7,FALSE))/1440),1,0)</f>
        <v>0</v>
      </c>
      <c r="P133" s="2">
        <f>IF(AND(VLOOKUP(P$1,test!$A$3:$F$32,5,FALSE) - VLOOKUP($B133,test!$A$3:$G$32,6,FALSE) &gt;= (test!$B$37+VLOOKUP(VLOOKUP($B133,test!$A$2:$I$32,4,FALSE),test!$J$24:$P$28,7,FALSE))/1440),1,0)</f>
        <v>0</v>
      </c>
      <c r="Q133" s="2">
        <f>IF(AND(VLOOKUP(Q$1,test!$A$3:$F$32,5,FALSE) - VLOOKUP($B133,test!$A$3:$G$32,6,FALSE) &gt;= (test!$B$37+VLOOKUP(VLOOKUP($B133,test!$A$2:$I$32,4,FALSE),test!$J$24:$P$28,7,FALSE))/1440),1,0)</f>
        <v>0</v>
      </c>
      <c r="R133" s="2">
        <f>IF(AND(VLOOKUP(R$1,test!$A$3:$F$32,5,FALSE) - VLOOKUP($B133,test!$A$3:$G$32,6,FALSE) &gt;= (test!$B$37+VLOOKUP(VLOOKUP($B133,test!$A$2:$I$32,4,FALSE),test!$J$24:$P$28,7,FALSE))/1440),1,0)</f>
        <v>0</v>
      </c>
      <c r="S133" s="2">
        <f>IF(AND(VLOOKUP(S$1,test!$A$3:$F$32,5,FALSE) - VLOOKUP($B133,test!$A$3:$G$32,6,FALSE) &gt;= (test!$B$37+VLOOKUP(VLOOKUP($B133,test!$A$2:$I$32,4,FALSE),test!$J$24:$P$28,7,FALSE))/1440),1,0)</f>
        <v>0</v>
      </c>
      <c r="T133" s="2">
        <f>IF(AND(VLOOKUP(T$1,test!$A$3:$F$32,5,FALSE) - VLOOKUP($B133,test!$A$3:$G$32,6,FALSE) &gt;= (test!$B$37+VLOOKUP(VLOOKUP($B133,test!$A$2:$I$32,4,FALSE),test!$J$24:$P$28,7,FALSE))/1440),1,0)</f>
        <v>0</v>
      </c>
      <c r="U133" s="2">
        <f>IF(AND(VLOOKUP(U$1,test!$A$3:$F$32,5,FALSE) - VLOOKUP($B133,test!$A$3:$G$32,6,FALSE) &gt;= (test!$B$37+VLOOKUP(VLOOKUP($B133,test!$A$2:$I$32,4,FALSE),test!$J$24:$P$28,7,FALSE))/1440),1,0)</f>
        <v>0</v>
      </c>
      <c r="V133" s="2">
        <f>IF(AND(VLOOKUP(V$1,test!$A$3:$F$32,5,FALSE) - VLOOKUP($B133,test!$A$3:$G$32,6,FALSE) &gt;= (test!$B$37+VLOOKUP(VLOOKUP($B133,test!$A$2:$I$32,4,FALSE),test!$J$24:$P$28,7,FALSE))/1440),1,0)</f>
        <v>0</v>
      </c>
      <c r="W133" s="2">
        <f>IF(AND(VLOOKUP(W$1,test!$A$3:$F$32,5,FALSE) - VLOOKUP($B133,test!$A$3:$G$32,6,FALSE) &gt;= (test!$B$37+VLOOKUP(VLOOKUP($B133,test!$A$2:$I$32,4,FALSE),test!$J$24:$P$28,7,FALSE))/1440),1,0)</f>
        <v>0</v>
      </c>
      <c r="X133" s="2">
        <f>IF(AND(VLOOKUP(X$1,test!$A$3:$F$32,5,FALSE) - VLOOKUP($B133,test!$A$3:$G$32,6,FALSE) &gt;= (test!$B$37+VLOOKUP(VLOOKUP($B133,test!$A$2:$I$32,4,FALSE),test!$J$24:$P$28,7,FALSE))/1440),1,0)</f>
        <v>0</v>
      </c>
      <c r="Y133" s="2">
        <f>IF(AND(VLOOKUP(Y$1,test!$A$3:$F$32,5,FALSE) - VLOOKUP($B133,test!$A$3:$G$32,6,FALSE) &gt;= (test!$B$37+VLOOKUP(VLOOKUP($B133,test!$A$2:$I$32,4,FALSE),test!$J$24:$P$28,7,FALSE))/1440),1,0)</f>
        <v>0</v>
      </c>
      <c r="Z133" s="2">
        <f>IF(AND(VLOOKUP(Z$1,test!$A$3:$F$32,5,FALSE) - VLOOKUP($B133,test!$A$3:$G$32,6,FALSE) &gt;= (test!$B$37+VLOOKUP(VLOOKUP($B133,test!$A$2:$I$32,4,FALSE),test!$J$24:$P$28,7,FALSE))/1440),1,0)</f>
        <v>0</v>
      </c>
      <c r="AA133" s="2">
        <f>IF(AND(VLOOKUP(AA$1,test!$A$3:$F$32,5,FALSE) - VLOOKUP($B133,test!$A$3:$G$32,6,FALSE) &gt;= (test!$B$37+VLOOKUP(VLOOKUP($B133,test!$A$2:$I$32,4,FALSE),test!$J$24:$P$28,7,FALSE))/1440),1,0)</f>
        <v>0</v>
      </c>
      <c r="AB133" s="2">
        <f>IF(AND(VLOOKUP(AB$1,test!$A$3:$F$32,5,FALSE) - VLOOKUP($B133,test!$A$3:$G$32,6,FALSE) &gt;= (test!$B$37+VLOOKUP(VLOOKUP($B133,test!$A$2:$I$32,4,FALSE),test!$J$24:$P$28,7,FALSE))/1440),1,0)</f>
        <v>0</v>
      </c>
      <c r="AC133" s="2">
        <f>IF(AND(VLOOKUP(AC$1,test!$A$3:$F$32,5,FALSE) - VLOOKUP($B133,test!$A$3:$G$32,6,FALSE) &gt;= (test!$B$37+VLOOKUP(VLOOKUP($B133,test!$A$2:$I$32,4,FALSE),test!$J$24:$P$28,7,FALSE))/1440),1,0)</f>
        <v>0</v>
      </c>
      <c r="AD133" s="2">
        <f>IF(AND(VLOOKUP(AD$1,test!$A$3:$F$32,5,FALSE) - VLOOKUP($B133,test!$A$3:$G$32,6,FALSE) &gt;= (test!$B$37+VLOOKUP(VLOOKUP($B133,test!$A$2:$I$32,4,FALSE),test!$J$24:$P$28,7,FALSE))/1440),1,0)</f>
        <v>0</v>
      </c>
      <c r="AE133" s="2">
        <f>IF(AND(VLOOKUP(AE$1,test!$A$3:$F$32,5,FALSE) - VLOOKUP($B133,test!$A$3:$G$32,6,FALSE) &gt;= (test!$B$37+VLOOKUP(VLOOKUP($B133,test!$A$2:$I$32,4,FALSE),test!$J$24:$P$28,7,FALSE))/1440),1,0)</f>
        <v>0</v>
      </c>
      <c r="AF133" s="2">
        <f>IF(AND(VLOOKUP(AF$1,test!$A$3:$F$32,5,FALSE) - VLOOKUP($B133,test!$A$3:$G$32,6,FALSE) &gt;= (test!$B$37+VLOOKUP(VLOOKUP($B133,test!$A$2:$I$32,4,FALSE),test!$J$24:$P$28,7,FALSE))/1440),1,0)</f>
        <v>0</v>
      </c>
      <c r="AG133" s="2">
        <f>IF(AND(VLOOKUP(AG$1,test!$A$3:$F$32,5,FALSE) - VLOOKUP($B133,test!$A$3:$G$32,6,FALSE) &gt;= (test!$B$37+VLOOKUP(VLOOKUP($B133,test!$A$2:$I$32,4,FALSE),test!$J$24:$P$28,7,FALSE))/1440),1,0)</f>
        <v>0</v>
      </c>
    </row>
    <row r="134" spans="1:33" x14ac:dyDescent="0.25">
      <c r="A134" t="s">
        <v>99</v>
      </c>
      <c r="B134" t="s">
        <v>15</v>
      </c>
      <c r="C134">
        <v>0</v>
      </c>
      <c r="D134" s="2">
        <f>IF(AND(VLOOKUP(D$1,test!$A$3:$F$32,5,FALSE) - VLOOKUP($B134,test!$A$3:$G$32,6,FALSE) &gt;= (test!$B$37+VLOOKUP(VLOOKUP($B134,test!$A$2:$I$32,4,FALSE),test!$J$24:$P$28,7,FALSE))/1440),1,0)</f>
        <v>0</v>
      </c>
      <c r="E134" s="2">
        <f>IF(AND(VLOOKUP(E$1,test!$A$3:$F$32,5,FALSE) - VLOOKUP($B134,test!$A$3:$G$32,6,FALSE) &gt;= (test!$B$37+VLOOKUP(VLOOKUP($B134,test!$A$2:$I$32,4,FALSE),test!$J$24:$P$28,7,FALSE))/1440),1,0)</f>
        <v>0</v>
      </c>
      <c r="F134" s="2">
        <f>IF(AND(VLOOKUP(F$1,test!$A$3:$F$32,5,FALSE) - VLOOKUP($B134,test!$A$3:$G$32,6,FALSE) &gt;= (test!$B$37+VLOOKUP(VLOOKUP($B134,test!$A$2:$I$32,4,FALSE),test!$J$24:$P$28,7,FALSE))/1440),1,0)</f>
        <v>0</v>
      </c>
      <c r="G134" s="2">
        <f>IF(AND(VLOOKUP(G$1,test!$A$3:$F$32,5,FALSE) - VLOOKUP($B134,test!$A$3:$G$32,6,FALSE) &gt;= (test!$B$37+VLOOKUP(VLOOKUP($B134,test!$A$2:$I$32,4,FALSE),test!$J$24:$P$28,7,FALSE))/1440),1,0)</f>
        <v>0</v>
      </c>
      <c r="H134" s="2">
        <f>IF(AND(VLOOKUP(H$1,test!$A$3:$F$32,5,FALSE) - VLOOKUP($B134,test!$A$3:$G$32,6,FALSE) &gt;= (test!$B$37+VLOOKUP(VLOOKUP($B134,test!$A$2:$I$32,4,FALSE),test!$J$24:$P$28,7,FALSE))/1440),1,0)</f>
        <v>0</v>
      </c>
      <c r="I134" s="2">
        <f>IF(AND(VLOOKUP(I$1,test!$A$3:$F$32,5,FALSE) - VLOOKUP($B134,test!$A$3:$G$32,6,FALSE) &gt;= (test!$B$37+VLOOKUP(VLOOKUP($B134,test!$A$2:$I$32,4,FALSE),test!$J$24:$P$28,7,FALSE))/1440),1,0)</f>
        <v>0</v>
      </c>
      <c r="J134" s="2">
        <f>IF(AND(VLOOKUP(J$1,test!$A$3:$F$32,5,FALSE) - VLOOKUP($B134,test!$A$3:$G$32,6,FALSE) &gt;= (test!$B$37+VLOOKUP(VLOOKUP($B134,test!$A$2:$I$32,4,FALSE),test!$J$24:$P$28,7,FALSE))/1440),1,0)</f>
        <v>0</v>
      </c>
      <c r="K134" s="2">
        <f>IF(AND(VLOOKUP(K$1,test!$A$3:$F$32,5,FALSE) - VLOOKUP($B134,test!$A$3:$G$32,6,FALSE) &gt;= (test!$B$37+VLOOKUP(VLOOKUP($B134,test!$A$2:$I$32,4,FALSE),test!$J$24:$P$28,7,FALSE))/1440),1,0)</f>
        <v>0</v>
      </c>
      <c r="L134" s="2">
        <f>IF(AND(VLOOKUP(L$1,test!$A$3:$F$32,5,FALSE) - VLOOKUP($B134,test!$A$3:$G$32,6,FALSE) &gt;= (test!$B$37+VLOOKUP(VLOOKUP($B134,test!$A$2:$I$32,4,FALSE),test!$J$24:$P$28,7,FALSE))/1440),1,0)</f>
        <v>0</v>
      </c>
      <c r="M134" s="2">
        <f>IF(AND(VLOOKUP(M$1,test!$A$3:$F$32,5,FALSE) - VLOOKUP($B134,test!$A$3:$G$32,6,FALSE) &gt;= (test!$B$37+VLOOKUP(VLOOKUP($B134,test!$A$2:$I$32,4,FALSE),test!$J$24:$P$28,7,FALSE))/1440),1,0)</f>
        <v>0</v>
      </c>
      <c r="N134" s="2">
        <f>IF(AND(VLOOKUP(N$1,test!$A$3:$F$32,5,FALSE) - VLOOKUP($B134,test!$A$3:$G$32,6,FALSE) &gt;= (test!$B$37+VLOOKUP(VLOOKUP($B134,test!$A$2:$I$32,4,FALSE),test!$J$24:$P$28,7,FALSE))/1440),1,0)</f>
        <v>0</v>
      </c>
      <c r="O134" s="2">
        <f>IF(AND(VLOOKUP(O$1,test!$A$3:$F$32,5,FALSE) - VLOOKUP($B134,test!$A$3:$G$32,6,FALSE) &gt;= (test!$B$37+VLOOKUP(VLOOKUP($B134,test!$A$2:$I$32,4,FALSE),test!$J$24:$P$28,7,FALSE))/1440),1,0)</f>
        <v>0</v>
      </c>
      <c r="P134" s="2">
        <f>IF(AND(VLOOKUP(P$1,test!$A$3:$F$32,5,FALSE) - VLOOKUP($B134,test!$A$3:$G$32,6,FALSE) &gt;= (test!$B$37+VLOOKUP(VLOOKUP($B134,test!$A$2:$I$32,4,FALSE),test!$J$24:$P$28,7,FALSE))/1440),1,0)</f>
        <v>0</v>
      </c>
      <c r="Q134" s="2">
        <f>IF(AND(VLOOKUP(Q$1,test!$A$3:$F$32,5,FALSE) - VLOOKUP($B134,test!$A$3:$G$32,6,FALSE) &gt;= (test!$B$37+VLOOKUP(VLOOKUP($B134,test!$A$2:$I$32,4,FALSE),test!$J$24:$P$28,7,FALSE))/1440),1,0)</f>
        <v>0</v>
      </c>
      <c r="R134" s="2">
        <f>IF(AND(VLOOKUP(R$1,test!$A$3:$F$32,5,FALSE) - VLOOKUP($B134,test!$A$3:$G$32,6,FALSE) &gt;= (test!$B$37+VLOOKUP(VLOOKUP($B134,test!$A$2:$I$32,4,FALSE),test!$J$24:$P$28,7,FALSE))/1440),1,0)</f>
        <v>0</v>
      </c>
      <c r="S134" s="2">
        <f>IF(AND(VLOOKUP(S$1,test!$A$3:$F$32,5,FALSE) - VLOOKUP($B134,test!$A$3:$G$32,6,FALSE) &gt;= (test!$B$37+VLOOKUP(VLOOKUP($B134,test!$A$2:$I$32,4,FALSE),test!$J$24:$P$28,7,FALSE))/1440),1,0)</f>
        <v>0</v>
      </c>
      <c r="T134" s="2">
        <f>IF(AND(VLOOKUP(T$1,test!$A$3:$F$32,5,FALSE) - VLOOKUP($B134,test!$A$3:$G$32,6,FALSE) &gt;= (test!$B$37+VLOOKUP(VLOOKUP($B134,test!$A$2:$I$32,4,FALSE),test!$J$24:$P$28,7,FALSE))/1440),1,0)</f>
        <v>0</v>
      </c>
      <c r="U134" s="2">
        <f>IF(AND(VLOOKUP(U$1,test!$A$3:$F$32,5,FALSE) - VLOOKUP($B134,test!$A$3:$G$32,6,FALSE) &gt;= (test!$B$37+VLOOKUP(VLOOKUP($B134,test!$A$2:$I$32,4,FALSE),test!$J$24:$P$28,7,FALSE))/1440),1,0)</f>
        <v>0</v>
      </c>
      <c r="V134" s="2">
        <f>IF(AND(VLOOKUP(V$1,test!$A$3:$F$32,5,FALSE) - VLOOKUP($B134,test!$A$3:$G$32,6,FALSE) &gt;= (test!$B$37+VLOOKUP(VLOOKUP($B134,test!$A$2:$I$32,4,FALSE),test!$J$24:$P$28,7,FALSE))/1440),1,0)</f>
        <v>0</v>
      </c>
      <c r="W134" s="2">
        <f>IF(AND(VLOOKUP(W$1,test!$A$3:$F$32,5,FALSE) - VLOOKUP($B134,test!$A$3:$G$32,6,FALSE) &gt;= (test!$B$37+VLOOKUP(VLOOKUP($B134,test!$A$2:$I$32,4,FALSE),test!$J$24:$P$28,7,FALSE))/1440),1,0)</f>
        <v>0</v>
      </c>
      <c r="X134" s="2">
        <f>IF(AND(VLOOKUP(X$1,test!$A$3:$F$32,5,FALSE) - VLOOKUP($B134,test!$A$3:$G$32,6,FALSE) &gt;= (test!$B$37+VLOOKUP(VLOOKUP($B134,test!$A$2:$I$32,4,FALSE),test!$J$24:$P$28,7,FALSE))/1440),1,0)</f>
        <v>0</v>
      </c>
      <c r="Y134" s="2">
        <f>IF(AND(VLOOKUP(Y$1,test!$A$3:$F$32,5,FALSE) - VLOOKUP($B134,test!$A$3:$G$32,6,FALSE) &gt;= (test!$B$37+VLOOKUP(VLOOKUP($B134,test!$A$2:$I$32,4,FALSE),test!$J$24:$P$28,7,FALSE))/1440),1,0)</f>
        <v>0</v>
      </c>
      <c r="Z134" s="2">
        <f>IF(AND(VLOOKUP(Z$1,test!$A$3:$F$32,5,FALSE) - VLOOKUP($B134,test!$A$3:$G$32,6,FALSE) &gt;= (test!$B$37+VLOOKUP(VLOOKUP($B134,test!$A$2:$I$32,4,FALSE),test!$J$24:$P$28,7,FALSE))/1440),1,0)</f>
        <v>0</v>
      </c>
      <c r="AA134" s="2">
        <f>IF(AND(VLOOKUP(AA$1,test!$A$3:$F$32,5,FALSE) - VLOOKUP($B134,test!$A$3:$G$32,6,FALSE) &gt;= (test!$B$37+VLOOKUP(VLOOKUP($B134,test!$A$2:$I$32,4,FALSE),test!$J$24:$P$28,7,FALSE))/1440),1,0)</f>
        <v>0</v>
      </c>
      <c r="AB134" s="2">
        <f>IF(AND(VLOOKUP(AB$1,test!$A$3:$F$32,5,FALSE) - VLOOKUP($B134,test!$A$3:$G$32,6,FALSE) &gt;= (test!$B$37+VLOOKUP(VLOOKUP($B134,test!$A$2:$I$32,4,FALSE),test!$J$24:$P$28,7,FALSE))/1440),1,0)</f>
        <v>0</v>
      </c>
      <c r="AC134" s="2">
        <f>IF(AND(VLOOKUP(AC$1,test!$A$3:$F$32,5,FALSE) - VLOOKUP($B134,test!$A$3:$G$32,6,FALSE) &gt;= (test!$B$37+VLOOKUP(VLOOKUP($B134,test!$A$2:$I$32,4,FALSE),test!$J$24:$P$28,7,FALSE))/1440),1,0)</f>
        <v>0</v>
      </c>
      <c r="AD134" s="2">
        <f>IF(AND(VLOOKUP(AD$1,test!$A$3:$F$32,5,FALSE) - VLOOKUP($B134,test!$A$3:$G$32,6,FALSE) &gt;= (test!$B$37+VLOOKUP(VLOOKUP($B134,test!$A$2:$I$32,4,FALSE),test!$J$24:$P$28,7,FALSE))/1440),1,0)</f>
        <v>0</v>
      </c>
      <c r="AE134" s="2">
        <f>IF(AND(VLOOKUP(AE$1,test!$A$3:$F$32,5,FALSE) - VLOOKUP($B134,test!$A$3:$G$32,6,FALSE) &gt;= (test!$B$37+VLOOKUP(VLOOKUP($B134,test!$A$2:$I$32,4,FALSE),test!$J$24:$P$28,7,FALSE))/1440),1,0)</f>
        <v>0</v>
      </c>
      <c r="AF134" s="2">
        <f>IF(AND(VLOOKUP(AF$1,test!$A$3:$F$32,5,FALSE) - VLOOKUP($B134,test!$A$3:$G$32,6,FALSE) &gt;= (test!$B$37+VLOOKUP(VLOOKUP($B134,test!$A$2:$I$32,4,FALSE),test!$J$24:$P$28,7,FALSE))/1440),1,0)</f>
        <v>0</v>
      </c>
      <c r="AG134" s="2">
        <f>IF(AND(VLOOKUP(AG$1,test!$A$3:$F$32,5,FALSE) - VLOOKUP($B134,test!$A$3:$G$32,6,FALSE) &gt;= (test!$B$37+VLOOKUP(VLOOKUP($B134,test!$A$2:$I$32,4,FALSE),test!$J$24:$P$28,7,FALSE))/1440),1,0)</f>
        <v>0</v>
      </c>
    </row>
    <row r="135" spans="1:33" x14ac:dyDescent="0.25">
      <c r="A135" t="s">
        <v>99</v>
      </c>
      <c r="B135" t="s">
        <v>18</v>
      </c>
      <c r="C135">
        <v>0</v>
      </c>
      <c r="D135" s="2">
        <f>IF(AND(VLOOKUP(D$1,test!$A$3:$F$32,5,FALSE) - VLOOKUP($B135,test!$A$3:$G$32,6,FALSE) &gt;= (test!$B$37+VLOOKUP(VLOOKUP($B135,test!$A$2:$I$32,4,FALSE),test!$J$24:$P$28,7,FALSE))/1440),1,0)</f>
        <v>0</v>
      </c>
      <c r="E135" s="2">
        <f>IF(AND(VLOOKUP(E$1,test!$A$3:$F$32,5,FALSE) - VLOOKUP($B135,test!$A$3:$G$32,6,FALSE) &gt;= (test!$B$37+VLOOKUP(VLOOKUP($B135,test!$A$2:$I$32,4,FALSE),test!$J$24:$P$28,7,FALSE))/1440),1,0)</f>
        <v>0</v>
      </c>
      <c r="F135" s="2">
        <f>IF(AND(VLOOKUP(F$1,test!$A$3:$F$32,5,FALSE) - VLOOKUP($B135,test!$A$3:$G$32,6,FALSE) &gt;= (test!$B$37+VLOOKUP(VLOOKUP($B135,test!$A$2:$I$32,4,FALSE),test!$J$24:$P$28,7,FALSE))/1440),1,0)</f>
        <v>1</v>
      </c>
      <c r="G135" s="2">
        <f>IF(AND(VLOOKUP(G$1,test!$A$3:$F$32,5,FALSE) - VLOOKUP($B135,test!$A$3:$G$32,6,FALSE) &gt;= (test!$B$37+VLOOKUP(VLOOKUP($B135,test!$A$2:$I$32,4,FALSE),test!$J$24:$P$28,7,FALSE))/1440),1,0)</f>
        <v>1</v>
      </c>
      <c r="H135" s="2">
        <f>IF(AND(VLOOKUP(H$1,test!$A$3:$F$32,5,FALSE) - VLOOKUP($B135,test!$A$3:$G$32,6,FALSE) &gt;= (test!$B$37+VLOOKUP(VLOOKUP($B135,test!$A$2:$I$32,4,FALSE),test!$J$24:$P$28,7,FALSE))/1440),1,0)</f>
        <v>1</v>
      </c>
      <c r="I135" s="2">
        <f>IF(AND(VLOOKUP(I$1,test!$A$3:$F$32,5,FALSE) - VLOOKUP($B135,test!$A$3:$G$32,6,FALSE) &gt;= (test!$B$37+VLOOKUP(VLOOKUP($B135,test!$A$2:$I$32,4,FALSE),test!$J$24:$P$28,7,FALSE))/1440),1,0)</f>
        <v>1</v>
      </c>
      <c r="J135" s="2">
        <f>IF(AND(VLOOKUP(J$1,test!$A$3:$F$32,5,FALSE) - VLOOKUP($B135,test!$A$3:$G$32,6,FALSE) &gt;= (test!$B$37+VLOOKUP(VLOOKUP($B135,test!$A$2:$I$32,4,FALSE),test!$J$24:$P$28,7,FALSE))/1440),1,0)</f>
        <v>1</v>
      </c>
      <c r="K135" s="2">
        <f>IF(AND(VLOOKUP(K$1,test!$A$3:$F$32,5,FALSE) - VLOOKUP($B135,test!$A$3:$G$32,6,FALSE) &gt;= (test!$B$37+VLOOKUP(VLOOKUP($B135,test!$A$2:$I$32,4,FALSE),test!$J$24:$P$28,7,FALSE))/1440),1,0)</f>
        <v>1</v>
      </c>
      <c r="L135" s="2">
        <f>IF(AND(VLOOKUP(L$1,test!$A$3:$F$32,5,FALSE) - VLOOKUP($B135,test!$A$3:$G$32,6,FALSE) &gt;= (test!$B$37+VLOOKUP(VLOOKUP($B135,test!$A$2:$I$32,4,FALSE),test!$J$24:$P$28,7,FALSE))/1440),1,0)</f>
        <v>0</v>
      </c>
      <c r="M135" s="2">
        <f>IF(AND(VLOOKUP(M$1,test!$A$3:$F$32,5,FALSE) - VLOOKUP($B135,test!$A$3:$G$32,6,FALSE) &gt;= (test!$B$37+VLOOKUP(VLOOKUP($B135,test!$A$2:$I$32,4,FALSE),test!$J$24:$P$28,7,FALSE))/1440),1,0)</f>
        <v>0</v>
      </c>
      <c r="N135" s="2">
        <f>IF(AND(VLOOKUP(N$1,test!$A$3:$F$32,5,FALSE) - VLOOKUP($B135,test!$A$3:$G$32,6,FALSE) &gt;= (test!$B$37+VLOOKUP(VLOOKUP($B135,test!$A$2:$I$32,4,FALSE),test!$J$24:$P$28,7,FALSE))/1440),1,0)</f>
        <v>1</v>
      </c>
      <c r="O135" s="2">
        <f>IF(AND(VLOOKUP(O$1,test!$A$3:$F$32,5,FALSE) - VLOOKUP($B135,test!$A$3:$G$32,6,FALSE) &gt;= (test!$B$37+VLOOKUP(VLOOKUP($B135,test!$A$2:$I$32,4,FALSE),test!$J$24:$P$28,7,FALSE))/1440),1,0)</f>
        <v>1</v>
      </c>
      <c r="P135" s="2">
        <f>IF(AND(VLOOKUP(P$1,test!$A$3:$F$32,5,FALSE) - VLOOKUP($B135,test!$A$3:$G$32,6,FALSE) &gt;= (test!$B$37+VLOOKUP(VLOOKUP($B135,test!$A$2:$I$32,4,FALSE),test!$J$24:$P$28,7,FALSE))/1440),1,0)</f>
        <v>1</v>
      </c>
      <c r="Q135" s="2">
        <f>IF(AND(VLOOKUP(Q$1,test!$A$3:$F$32,5,FALSE) - VLOOKUP($B135,test!$A$3:$G$32,6,FALSE) &gt;= (test!$B$37+VLOOKUP(VLOOKUP($B135,test!$A$2:$I$32,4,FALSE),test!$J$24:$P$28,7,FALSE))/1440),1,0)</f>
        <v>0</v>
      </c>
      <c r="R135" s="2">
        <f>IF(AND(VLOOKUP(R$1,test!$A$3:$F$32,5,FALSE) - VLOOKUP($B135,test!$A$3:$G$32,6,FALSE) &gt;= (test!$B$37+VLOOKUP(VLOOKUP($B135,test!$A$2:$I$32,4,FALSE),test!$J$24:$P$28,7,FALSE))/1440),1,0)</f>
        <v>0</v>
      </c>
      <c r="S135" s="2">
        <f>IF(AND(VLOOKUP(S$1,test!$A$3:$F$32,5,FALSE) - VLOOKUP($B135,test!$A$3:$G$32,6,FALSE) &gt;= (test!$B$37+VLOOKUP(VLOOKUP($B135,test!$A$2:$I$32,4,FALSE),test!$J$24:$P$28,7,FALSE))/1440),1,0)</f>
        <v>0</v>
      </c>
      <c r="T135" s="2">
        <f>IF(AND(VLOOKUP(T$1,test!$A$3:$F$32,5,FALSE) - VLOOKUP($B135,test!$A$3:$G$32,6,FALSE) &gt;= (test!$B$37+VLOOKUP(VLOOKUP($B135,test!$A$2:$I$32,4,FALSE),test!$J$24:$P$28,7,FALSE))/1440),1,0)</f>
        <v>0</v>
      </c>
      <c r="U135" s="2">
        <f>IF(AND(VLOOKUP(U$1,test!$A$3:$F$32,5,FALSE) - VLOOKUP($B135,test!$A$3:$G$32,6,FALSE) &gt;= (test!$B$37+VLOOKUP(VLOOKUP($B135,test!$A$2:$I$32,4,FALSE),test!$J$24:$P$28,7,FALSE))/1440),1,0)</f>
        <v>1</v>
      </c>
      <c r="V135" s="2">
        <f>IF(AND(VLOOKUP(V$1,test!$A$3:$F$32,5,FALSE) - VLOOKUP($B135,test!$A$3:$G$32,6,FALSE) &gt;= (test!$B$37+VLOOKUP(VLOOKUP($B135,test!$A$2:$I$32,4,FALSE),test!$J$24:$P$28,7,FALSE))/1440),1,0)</f>
        <v>1</v>
      </c>
      <c r="W135" s="2">
        <f>IF(AND(VLOOKUP(W$1,test!$A$3:$F$32,5,FALSE) - VLOOKUP($B135,test!$A$3:$G$32,6,FALSE) &gt;= (test!$B$37+VLOOKUP(VLOOKUP($B135,test!$A$2:$I$32,4,FALSE),test!$J$24:$P$28,7,FALSE))/1440),1,0)</f>
        <v>1</v>
      </c>
      <c r="X135" s="2">
        <f>IF(AND(VLOOKUP(X$1,test!$A$3:$F$32,5,FALSE) - VLOOKUP($B135,test!$A$3:$G$32,6,FALSE) &gt;= (test!$B$37+VLOOKUP(VLOOKUP($B135,test!$A$2:$I$32,4,FALSE),test!$J$24:$P$28,7,FALSE))/1440),1,0)</f>
        <v>1</v>
      </c>
      <c r="Y135" s="2">
        <f>IF(AND(VLOOKUP(Y$1,test!$A$3:$F$32,5,FALSE) - VLOOKUP($B135,test!$A$3:$G$32,6,FALSE) &gt;= (test!$B$37+VLOOKUP(VLOOKUP($B135,test!$A$2:$I$32,4,FALSE),test!$J$24:$P$28,7,FALSE))/1440),1,0)</f>
        <v>1</v>
      </c>
      <c r="Z135" s="2">
        <f>IF(AND(VLOOKUP(Z$1,test!$A$3:$F$32,5,FALSE) - VLOOKUP($B135,test!$A$3:$G$32,6,FALSE) &gt;= (test!$B$37+VLOOKUP(VLOOKUP($B135,test!$A$2:$I$32,4,FALSE),test!$J$24:$P$28,7,FALSE))/1440),1,0)</f>
        <v>0</v>
      </c>
      <c r="AA135" s="2">
        <f>IF(AND(VLOOKUP(AA$1,test!$A$3:$F$32,5,FALSE) - VLOOKUP($B135,test!$A$3:$G$32,6,FALSE) &gt;= (test!$B$37+VLOOKUP(VLOOKUP($B135,test!$A$2:$I$32,4,FALSE),test!$J$24:$P$28,7,FALSE))/1440),1,0)</f>
        <v>0</v>
      </c>
      <c r="AB135" s="2">
        <f>IF(AND(VLOOKUP(AB$1,test!$A$3:$F$32,5,FALSE) - VLOOKUP($B135,test!$A$3:$G$32,6,FALSE) &gt;= (test!$B$37+VLOOKUP(VLOOKUP($B135,test!$A$2:$I$32,4,FALSE),test!$J$24:$P$28,7,FALSE))/1440),1,0)</f>
        <v>1</v>
      </c>
      <c r="AC135" s="2">
        <f>IF(AND(VLOOKUP(AC$1,test!$A$3:$F$32,5,FALSE) - VLOOKUP($B135,test!$A$3:$G$32,6,FALSE) &gt;= (test!$B$37+VLOOKUP(VLOOKUP($B135,test!$A$2:$I$32,4,FALSE),test!$J$24:$P$28,7,FALSE))/1440),1,0)</f>
        <v>1</v>
      </c>
      <c r="AD135" s="2">
        <f>IF(AND(VLOOKUP(AD$1,test!$A$3:$F$32,5,FALSE) - VLOOKUP($B135,test!$A$3:$G$32,6,FALSE) &gt;= (test!$B$37+VLOOKUP(VLOOKUP($B135,test!$A$2:$I$32,4,FALSE),test!$J$24:$P$28,7,FALSE))/1440),1,0)</f>
        <v>1</v>
      </c>
      <c r="AE135" s="2">
        <f>IF(AND(VLOOKUP(AE$1,test!$A$3:$F$32,5,FALSE) - VLOOKUP($B135,test!$A$3:$G$32,6,FALSE) &gt;= (test!$B$37+VLOOKUP(VLOOKUP($B135,test!$A$2:$I$32,4,FALSE),test!$J$24:$P$28,7,FALSE))/1440),1,0)</f>
        <v>0</v>
      </c>
      <c r="AF135" s="2">
        <f>IF(AND(VLOOKUP(AF$1,test!$A$3:$F$32,5,FALSE) - VLOOKUP($B135,test!$A$3:$G$32,6,FALSE) &gt;= (test!$B$37+VLOOKUP(VLOOKUP($B135,test!$A$2:$I$32,4,FALSE),test!$J$24:$P$28,7,FALSE))/1440),1,0)</f>
        <v>1</v>
      </c>
      <c r="AG135" s="2">
        <f>IF(AND(VLOOKUP(AG$1,test!$A$3:$F$32,5,FALSE) - VLOOKUP($B135,test!$A$3:$G$32,6,FALSE) &gt;= (test!$B$37+VLOOKUP(VLOOKUP($B135,test!$A$2:$I$32,4,FALSE),test!$J$24:$P$28,7,FALSE))/1440),1,0)</f>
        <v>1</v>
      </c>
    </row>
    <row r="136" spans="1:33" x14ac:dyDescent="0.25">
      <c r="A136" t="s">
        <v>99</v>
      </c>
      <c r="B136" t="s">
        <v>20</v>
      </c>
      <c r="C136">
        <v>0</v>
      </c>
      <c r="D136" s="2">
        <f>IF(AND(VLOOKUP(D$1,test!$A$3:$F$32,5,FALSE) - VLOOKUP($B136,test!$A$3:$G$32,6,FALSE) &gt;= (test!$B$37+VLOOKUP(VLOOKUP($B136,test!$A$2:$I$32,4,FALSE),test!$J$24:$P$28,7,FALSE))/1440),1,0)</f>
        <v>0</v>
      </c>
      <c r="E136" s="2">
        <f>IF(AND(VLOOKUP(E$1,test!$A$3:$F$32,5,FALSE) - VLOOKUP($B136,test!$A$3:$G$32,6,FALSE) &gt;= (test!$B$37+VLOOKUP(VLOOKUP($B136,test!$A$2:$I$32,4,FALSE),test!$J$24:$P$28,7,FALSE))/1440),1,0)</f>
        <v>0</v>
      </c>
      <c r="F136" s="2">
        <f>IF(AND(VLOOKUP(F$1,test!$A$3:$F$32,5,FALSE) - VLOOKUP($B136,test!$A$3:$G$32,6,FALSE) &gt;= (test!$B$37+VLOOKUP(VLOOKUP($B136,test!$A$2:$I$32,4,FALSE),test!$J$24:$P$28,7,FALSE))/1440),1,0)</f>
        <v>0</v>
      </c>
      <c r="G136" s="2">
        <f>IF(AND(VLOOKUP(G$1,test!$A$3:$F$32,5,FALSE) - VLOOKUP($B136,test!$A$3:$G$32,6,FALSE) &gt;= (test!$B$37+VLOOKUP(VLOOKUP($B136,test!$A$2:$I$32,4,FALSE),test!$J$24:$P$28,7,FALSE))/1440),1,0)</f>
        <v>1</v>
      </c>
      <c r="H136" s="2">
        <f>IF(AND(VLOOKUP(H$1,test!$A$3:$F$32,5,FALSE) - VLOOKUP($B136,test!$A$3:$G$32,6,FALSE) &gt;= (test!$B$37+VLOOKUP(VLOOKUP($B136,test!$A$2:$I$32,4,FALSE),test!$J$24:$P$28,7,FALSE))/1440),1,0)</f>
        <v>1</v>
      </c>
      <c r="I136" s="2">
        <f>IF(AND(VLOOKUP(I$1,test!$A$3:$F$32,5,FALSE) - VLOOKUP($B136,test!$A$3:$G$32,6,FALSE) &gt;= (test!$B$37+VLOOKUP(VLOOKUP($B136,test!$A$2:$I$32,4,FALSE),test!$J$24:$P$28,7,FALSE))/1440),1,0)</f>
        <v>1</v>
      </c>
      <c r="J136" s="2">
        <f>IF(AND(VLOOKUP(J$1,test!$A$3:$F$32,5,FALSE) - VLOOKUP($B136,test!$A$3:$G$32,6,FALSE) &gt;= (test!$B$37+VLOOKUP(VLOOKUP($B136,test!$A$2:$I$32,4,FALSE),test!$J$24:$P$28,7,FALSE))/1440),1,0)</f>
        <v>1</v>
      </c>
      <c r="K136" s="2">
        <f>IF(AND(VLOOKUP(K$1,test!$A$3:$F$32,5,FALSE) - VLOOKUP($B136,test!$A$3:$G$32,6,FALSE) &gt;= (test!$B$37+VLOOKUP(VLOOKUP($B136,test!$A$2:$I$32,4,FALSE),test!$J$24:$P$28,7,FALSE))/1440),1,0)</f>
        <v>1</v>
      </c>
      <c r="L136" s="2">
        <f>IF(AND(VLOOKUP(L$1,test!$A$3:$F$32,5,FALSE) - VLOOKUP($B136,test!$A$3:$G$32,6,FALSE) &gt;= (test!$B$37+VLOOKUP(VLOOKUP($B136,test!$A$2:$I$32,4,FALSE),test!$J$24:$P$28,7,FALSE))/1440),1,0)</f>
        <v>0</v>
      </c>
      <c r="M136" s="2">
        <f>IF(AND(VLOOKUP(M$1,test!$A$3:$F$32,5,FALSE) - VLOOKUP($B136,test!$A$3:$G$32,6,FALSE) &gt;= (test!$B$37+VLOOKUP(VLOOKUP($B136,test!$A$2:$I$32,4,FALSE),test!$J$24:$P$28,7,FALSE))/1440),1,0)</f>
        <v>0</v>
      </c>
      <c r="N136" s="2">
        <f>IF(AND(VLOOKUP(N$1,test!$A$3:$F$32,5,FALSE) - VLOOKUP($B136,test!$A$3:$G$32,6,FALSE) &gt;= (test!$B$37+VLOOKUP(VLOOKUP($B136,test!$A$2:$I$32,4,FALSE),test!$J$24:$P$28,7,FALSE))/1440),1,0)</f>
        <v>0</v>
      </c>
      <c r="O136" s="2">
        <f>IF(AND(VLOOKUP(O$1,test!$A$3:$F$32,5,FALSE) - VLOOKUP($B136,test!$A$3:$G$32,6,FALSE) &gt;= (test!$B$37+VLOOKUP(VLOOKUP($B136,test!$A$2:$I$32,4,FALSE),test!$J$24:$P$28,7,FALSE))/1440),1,0)</f>
        <v>1</v>
      </c>
      <c r="P136" s="2">
        <f>IF(AND(VLOOKUP(P$1,test!$A$3:$F$32,5,FALSE) - VLOOKUP($B136,test!$A$3:$G$32,6,FALSE) &gt;= (test!$B$37+VLOOKUP(VLOOKUP($B136,test!$A$2:$I$32,4,FALSE),test!$J$24:$P$28,7,FALSE))/1440),1,0)</f>
        <v>1</v>
      </c>
      <c r="Q136" s="2">
        <f>IF(AND(VLOOKUP(Q$1,test!$A$3:$F$32,5,FALSE) - VLOOKUP($B136,test!$A$3:$G$32,6,FALSE) &gt;= (test!$B$37+VLOOKUP(VLOOKUP($B136,test!$A$2:$I$32,4,FALSE),test!$J$24:$P$28,7,FALSE))/1440),1,0)</f>
        <v>0</v>
      </c>
      <c r="R136" s="2">
        <f>IF(AND(VLOOKUP(R$1,test!$A$3:$F$32,5,FALSE) - VLOOKUP($B136,test!$A$3:$G$32,6,FALSE) &gt;= (test!$B$37+VLOOKUP(VLOOKUP($B136,test!$A$2:$I$32,4,FALSE),test!$J$24:$P$28,7,FALSE))/1440),1,0)</f>
        <v>0</v>
      </c>
      <c r="S136" s="2">
        <f>IF(AND(VLOOKUP(S$1,test!$A$3:$F$32,5,FALSE) - VLOOKUP($B136,test!$A$3:$G$32,6,FALSE) &gt;= (test!$B$37+VLOOKUP(VLOOKUP($B136,test!$A$2:$I$32,4,FALSE),test!$J$24:$P$28,7,FALSE))/1440),1,0)</f>
        <v>0</v>
      </c>
      <c r="T136" s="2">
        <f>IF(AND(VLOOKUP(T$1,test!$A$3:$F$32,5,FALSE) - VLOOKUP($B136,test!$A$3:$G$32,6,FALSE) &gt;= (test!$B$37+VLOOKUP(VLOOKUP($B136,test!$A$2:$I$32,4,FALSE),test!$J$24:$P$28,7,FALSE))/1440),1,0)</f>
        <v>0</v>
      </c>
      <c r="U136" s="2">
        <f>IF(AND(VLOOKUP(U$1,test!$A$3:$F$32,5,FALSE) - VLOOKUP($B136,test!$A$3:$G$32,6,FALSE) &gt;= (test!$B$37+VLOOKUP(VLOOKUP($B136,test!$A$2:$I$32,4,FALSE),test!$J$24:$P$28,7,FALSE))/1440),1,0)</f>
        <v>0</v>
      </c>
      <c r="V136" s="2">
        <f>IF(AND(VLOOKUP(V$1,test!$A$3:$F$32,5,FALSE) - VLOOKUP($B136,test!$A$3:$G$32,6,FALSE) &gt;= (test!$B$37+VLOOKUP(VLOOKUP($B136,test!$A$2:$I$32,4,FALSE),test!$J$24:$P$28,7,FALSE))/1440),1,0)</f>
        <v>0</v>
      </c>
      <c r="W136" s="2">
        <f>IF(AND(VLOOKUP(W$1,test!$A$3:$F$32,5,FALSE) - VLOOKUP($B136,test!$A$3:$G$32,6,FALSE) &gt;= (test!$B$37+VLOOKUP(VLOOKUP($B136,test!$A$2:$I$32,4,FALSE),test!$J$24:$P$28,7,FALSE))/1440),1,0)</f>
        <v>1</v>
      </c>
      <c r="X136" s="2">
        <f>IF(AND(VLOOKUP(X$1,test!$A$3:$F$32,5,FALSE) - VLOOKUP($B136,test!$A$3:$G$32,6,FALSE) &gt;= (test!$B$37+VLOOKUP(VLOOKUP($B136,test!$A$2:$I$32,4,FALSE),test!$J$24:$P$28,7,FALSE))/1440),1,0)</f>
        <v>1</v>
      </c>
      <c r="Y136" s="2">
        <f>IF(AND(VLOOKUP(Y$1,test!$A$3:$F$32,5,FALSE) - VLOOKUP($B136,test!$A$3:$G$32,6,FALSE) &gt;= (test!$B$37+VLOOKUP(VLOOKUP($B136,test!$A$2:$I$32,4,FALSE),test!$J$24:$P$28,7,FALSE))/1440),1,0)</f>
        <v>1</v>
      </c>
      <c r="Z136" s="2">
        <f>IF(AND(VLOOKUP(Z$1,test!$A$3:$F$32,5,FALSE) - VLOOKUP($B136,test!$A$3:$G$32,6,FALSE) &gt;= (test!$B$37+VLOOKUP(VLOOKUP($B136,test!$A$2:$I$32,4,FALSE),test!$J$24:$P$28,7,FALSE))/1440),1,0)</f>
        <v>0</v>
      </c>
      <c r="AA136" s="2">
        <f>IF(AND(VLOOKUP(AA$1,test!$A$3:$F$32,5,FALSE) - VLOOKUP($B136,test!$A$3:$G$32,6,FALSE) &gt;= (test!$B$37+VLOOKUP(VLOOKUP($B136,test!$A$2:$I$32,4,FALSE),test!$J$24:$P$28,7,FALSE))/1440),1,0)</f>
        <v>0</v>
      </c>
      <c r="AB136" s="2">
        <f>IF(AND(VLOOKUP(AB$1,test!$A$3:$F$32,5,FALSE) - VLOOKUP($B136,test!$A$3:$G$32,6,FALSE) &gt;= (test!$B$37+VLOOKUP(VLOOKUP($B136,test!$A$2:$I$32,4,FALSE),test!$J$24:$P$28,7,FALSE))/1440),1,0)</f>
        <v>0</v>
      </c>
      <c r="AC136" s="2">
        <f>IF(AND(VLOOKUP(AC$1,test!$A$3:$F$32,5,FALSE) - VLOOKUP($B136,test!$A$3:$G$32,6,FALSE) &gt;= (test!$B$37+VLOOKUP(VLOOKUP($B136,test!$A$2:$I$32,4,FALSE),test!$J$24:$P$28,7,FALSE))/1440),1,0)</f>
        <v>1</v>
      </c>
      <c r="AD136" s="2">
        <f>IF(AND(VLOOKUP(AD$1,test!$A$3:$F$32,5,FALSE) - VLOOKUP($B136,test!$A$3:$G$32,6,FALSE) &gt;= (test!$B$37+VLOOKUP(VLOOKUP($B136,test!$A$2:$I$32,4,FALSE),test!$J$24:$P$28,7,FALSE))/1440),1,0)</f>
        <v>1</v>
      </c>
      <c r="AE136" s="2">
        <f>IF(AND(VLOOKUP(AE$1,test!$A$3:$F$32,5,FALSE) - VLOOKUP($B136,test!$A$3:$G$32,6,FALSE) &gt;= (test!$B$37+VLOOKUP(VLOOKUP($B136,test!$A$2:$I$32,4,FALSE),test!$J$24:$P$28,7,FALSE))/1440),1,0)</f>
        <v>0</v>
      </c>
      <c r="AF136" s="2">
        <f>IF(AND(VLOOKUP(AF$1,test!$A$3:$F$32,5,FALSE) - VLOOKUP($B136,test!$A$3:$G$32,6,FALSE) &gt;= (test!$B$37+VLOOKUP(VLOOKUP($B136,test!$A$2:$I$32,4,FALSE),test!$J$24:$P$28,7,FALSE))/1440),1,0)</f>
        <v>0</v>
      </c>
      <c r="AG136" s="2">
        <f>IF(AND(VLOOKUP(AG$1,test!$A$3:$F$32,5,FALSE) - VLOOKUP($B136,test!$A$3:$G$32,6,FALSE) &gt;= (test!$B$37+VLOOKUP(VLOOKUP($B136,test!$A$2:$I$32,4,FALSE),test!$J$24:$P$28,7,FALSE))/1440),1,0)</f>
        <v>0</v>
      </c>
    </row>
    <row r="137" spans="1:33" x14ac:dyDescent="0.25">
      <c r="A137" t="s">
        <v>99</v>
      </c>
      <c r="B137" t="s">
        <v>21</v>
      </c>
      <c r="C137">
        <v>0</v>
      </c>
      <c r="D137" s="2">
        <f>IF(AND(VLOOKUP(D$1,test!$A$3:$F$32,5,FALSE) - VLOOKUP($B137,test!$A$3:$G$32,6,FALSE) &gt;= (test!$B$37+VLOOKUP(VLOOKUP($B137,test!$A$2:$I$32,4,FALSE),test!$J$24:$P$28,7,FALSE))/1440),1,0)</f>
        <v>0</v>
      </c>
      <c r="E137" s="2">
        <f>IF(AND(VLOOKUP(E$1,test!$A$3:$F$32,5,FALSE) - VLOOKUP($B137,test!$A$3:$G$32,6,FALSE) &gt;= (test!$B$37+VLOOKUP(VLOOKUP($B137,test!$A$2:$I$32,4,FALSE),test!$J$24:$P$28,7,FALSE))/1440),1,0)</f>
        <v>0</v>
      </c>
      <c r="F137" s="2">
        <f>IF(AND(VLOOKUP(F$1,test!$A$3:$F$32,5,FALSE) - VLOOKUP($B137,test!$A$3:$G$32,6,FALSE) &gt;= (test!$B$37+VLOOKUP(VLOOKUP($B137,test!$A$2:$I$32,4,FALSE),test!$J$24:$P$28,7,FALSE))/1440),1,0)</f>
        <v>0</v>
      </c>
      <c r="G137" s="2">
        <f>IF(AND(VLOOKUP(G$1,test!$A$3:$F$32,5,FALSE) - VLOOKUP($B137,test!$A$3:$G$32,6,FALSE) &gt;= (test!$B$37+VLOOKUP(VLOOKUP($B137,test!$A$2:$I$32,4,FALSE),test!$J$24:$P$28,7,FALSE))/1440),1,0)</f>
        <v>0</v>
      </c>
      <c r="H137" s="2">
        <f>IF(AND(VLOOKUP(H$1,test!$A$3:$F$32,5,FALSE) - VLOOKUP($B137,test!$A$3:$G$32,6,FALSE) &gt;= (test!$B$37+VLOOKUP(VLOOKUP($B137,test!$A$2:$I$32,4,FALSE),test!$J$24:$P$28,7,FALSE))/1440),1,0)</f>
        <v>0</v>
      </c>
      <c r="I137" s="2">
        <f>IF(AND(VLOOKUP(I$1,test!$A$3:$F$32,5,FALSE) - VLOOKUP($B137,test!$A$3:$G$32,6,FALSE) &gt;= (test!$B$37+VLOOKUP(VLOOKUP($B137,test!$A$2:$I$32,4,FALSE),test!$J$24:$P$28,7,FALSE))/1440),1,0)</f>
        <v>1</v>
      </c>
      <c r="J137" s="2">
        <f>IF(AND(VLOOKUP(J$1,test!$A$3:$F$32,5,FALSE) - VLOOKUP($B137,test!$A$3:$G$32,6,FALSE) &gt;= (test!$B$37+VLOOKUP(VLOOKUP($B137,test!$A$2:$I$32,4,FALSE),test!$J$24:$P$28,7,FALSE))/1440),1,0)</f>
        <v>1</v>
      </c>
      <c r="K137" s="2">
        <f>IF(AND(VLOOKUP(K$1,test!$A$3:$F$32,5,FALSE) - VLOOKUP($B137,test!$A$3:$G$32,6,FALSE) &gt;= (test!$B$37+VLOOKUP(VLOOKUP($B137,test!$A$2:$I$32,4,FALSE),test!$J$24:$P$28,7,FALSE))/1440),1,0)</f>
        <v>1</v>
      </c>
      <c r="L137" s="2">
        <f>IF(AND(VLOOKUP(L$1,test!$A$3:$F$32,5,FALSE) - VLOOKUP($B137,test!$A$3:$G$32,6,FALSE) &gt;= (test!$B$37+VLOOKUP(VLOOKUP($B137,test!$A$2:$I$32,4,FALSE),test!$J$24:$P$28,7,FALSE))/1440),1,0)</f>
        <v>0</v>
      </c>
      <c r="M137" s="2">
        <f>IF(AND(VLOOKUP(M$1,test!$A$3:$F$32,5,FALSE) - VLOOKUP($B137,test!$A$3:$G$32,6,FALSE) &gt;= (test!$B$37+VLOOKUP(VLOOKUP($B137,test!$A$2:$I$32,4,FALSE),test!$J$24:$P$28,7,FALSE))/1440),1,0)</f>
        <v>0</v>
      </c>
      <c r="N137" s="2">
        <f>IF(AND(VLOOKUP(N$1,test!$A$3:$F$32,5,FALSE) - VLOOKUP($B137,test!$A$3:$G$32,6,FALSE) &gt;= (test!$B$37+VLOOKUP(VLOOKUP($B137,test!$A$2:$I$32,4,FALSE),test!$J$24:$P$28,7,FALSE))/1440),1,0)</f>
        <v>0</v>
      </c>
      <c r="O137" s="2">
        <f>IF(AND(VLOOKUP(O$1,test!$A$3:$F$32,5,FALSE) - VLOOKUP($B137,test!$A$3:$G$32,6,FALSE) &gt;= (test!$B$37+VLOOKUP(VLOOKUP($B137,test!$A$2:$I$32,4,FALSE),test!$J$24:$P$28,7,FALSE))/1440),1,0)</f>
        <v>1</v>
      </c>
      <c r="P137" s="2">
        <f>IF(AND(VLOOKUP(P$1,test!$A$3:$F$32,5,FALSE) - VLOOKUP($B137,test!$A$3:$G$32,6,FALSE) &gt;= (test!$B$37+VLOOKUP(VLOOKUP($B137,test!$A$2:$I$32,4,FALSE),test!$J$24:$P$28,7,FALSE))/1440),1,0)</f>
        <v>1</v>
      </c>
      <c r="Q137" s="2">
        <f>IF(AND(VLOOKUP(Q$1,test!$A$3:$F$32,5,FALSE) - VLOOKUP($B137,test!$A$3:$G$32,6,FALSE) &gt;= (test!$B$37+VLOOKUP(VLOOKUP($B137,test!$A$2:$I$32,4,FALSE),test!$J$24:$P$28,7,FALSE))/1440),1,0)</f>
        <v>0</v>
      </c>
      <c r="R137" s="2">
        <f>IF(AND(VLOOKUP(R$1,test!$A$3:$F$32,5,FALSE) - VLOOKUP($B137,test!$A$3:$G$32,6,FALSE) &gt;= (test!$B$37+VLOOKUP(VLOOKUP($B137,test!$A$2:$I$32,4,FALSE),test!$J$24:$P$28,7,FALSE))/1440),1,0)</f>
        <v>0</v>
      </c>
      <c r="S137" s="2">
        <f>IF(AND(VLOOKUP(S$1,test!$A$3:$F$32,5,FALSE) - VLOOKUP($B137,test!$A$3:$G$32,6,FALSE) &gt;= (test!$B$37+VLOOKUP(VLOOKUP($B137,test!$A$2:$I$32,4,FALSE),test!$J$24:$P$28,7,FALSE))/1440),1,0)</f>
        <v>0</v>
      </c>
      <c r="T137" s="2">
        <f>IF(AND(VLOOKUP(T$1,test!$A$3:$F$32,5,FALSE) - VLOOKUP($B137,test!$A$3:$G$32,6,FALSE) &gt;= (test!$B$37+VLOOKUP(VLOOKUP($B137,test!$A$2:$I$32,4,FALSE),test!$J$24:$P$28,7,FALSE))/1440),1,0)</f>
        <v>0</v>
      </c>
      <c r="U137" s="2">
        <f>IF(AND(VLOOKUP(U$1,test!$A$3:$F$32,5,FALSE) - VLOOKUP($B137,test!$A$3:$G$32,6,FALSE) &gt;= (test!$B$37+VLOOKUP(VLOOKUP($B137,test!$A$2:$I$32,4,FALSE),test!$J$24:$P$28,7,FALSE))/1440),1,0)</f>
        <v>0</v>
      </c>
      <c r="V137" s="2">
        <f>IF(AND(VLOOKUP(V$1,test!$A$3:$F$32,5,FALSE) - VLOOKUP($B137,test!$A$3:$G$32,6,FALSE) &gt;= (test!$B$37+VLOOKUP(VLOOKUP($B137,test!$A$2:$I$32,4,FALSE),test!$J$24:$P$28,7,FALSE))/1440),1,0)</f>
        <v>0</v>
      </c>
      <c r="W137" s="2">
        <f>IF(AND(VLOOKUP(W$1,test!$A$3:$F$32,5,FALSE) - VLOOKUP($B137,test!$A$3:$G$32,6,FALSE) &gt;= (test!$B$37+VLOOKUP(VLOOKUP($B137,test!$A$2:$I$32,4,FALSE),test!$J$24:$P$28,7,FALSE))/1440),1,0)</f>
        <v>0</v>
      </c>
      <c r="X137" s="2">
        <f>IF(AND(VLOOKUP(X$1,test!$A$3:$F$32,5,FALSE) - VLOOKUP($B137,test!$A$3:$G$32,6,FALSE) &gt;= (test!$B$37+VLOOKUP(VLOOKUP($B137,test!$A$2:$I$32,4,FALSE),test!$J$24:$P$28,7,FALSE))/1440),1,0)</f>
        <v>1</v>
      </c>
      <c r="Y137" s="2">
        <f>IF(AND(VLOOKUP(Y$1,test!$A$3:$F$32,5,FALSE) - VLOOKUP($B137,test!$A$3:$G$32,6,FALSE) &gt;= (test!$B$37+VLOOKUP(VLOOKUP($B137,test!$A$2:$I$32,4,FALSE),test!$J$24:$P$28,7,FALSE))/1440),1,0)</f>
        <v>1</v>
      </c>
      <c r="Z137" s="2">
        <f>IF(AND(VLOOKUP(Z$1,test!$A$3:$F$32,5,FALSE) - VLOOKUP($B137,test!$A$3:$G$32,6,FALSE) &gt;= (test!$B$37+VLOOKUP(VLOOKUP($B137,test!$A$2:$I$32,4,FALSE),test!$J$24:$P$28,7,FALSE))/1440),1,0)</f>
        <v>0</v>
      </c>
      <c r="AA137" s="2">
        <f>IF(AND(VLOOKUP(AA$1,test!$A$3:$F$32,5,FALSE) - VLOOKUP($B137,test!$A$3:$G$32,6,FALSE) &gt;= (test!$B$37+VLOOKUP(VLOOKUP($B137,test!$A$2:$I$32,4,FALSE),test!$J$24:$P$28,7,FALSE))/1440),1,0)</f>
        <v>0</v>
      </c>
      <c r="AB137" s="2">
        <f>IF(AND(VLOOKUP(AB$1,test!$A$3:$F$32,5,FALSE) - VLOOKUP($B137,test!$A$3:$G$32,6,FALSE) &gt;= (test!$B$37+VLOOKUP(VLOOKUP($B137,test!$A$2:$I$32,4,FALSE),test!$J$24:$P$28,7,FALSE))/1440),1,0)</f>
        <v>0</v>
      </c>
      <c r="AC137" s="2">
        <f>IF(AND(VLOOKUP(AC$1,test!$A$3:$F$32,5,FALSE) - VLOOKUP($B137,test!$A$3:$G$32,6,FALSE) &gt;= (test!$B$37+VLOOKUP(VLOOKUP($B137,test!$A$2:$I$32,4,FALSE),test!$J$24:$P$28,7,FALSE))/1440),1,0)</f>
        <v>0</v>
      </c>
      <c r="AD137" s="2">
        <f>IF(AND(VLOOKUP(AD$1,test!$A$3:$F$32,5,FALSE) - VLOOKUP($B137,test!$A$3:$G$32,6,FALSE) &gt;= (test!$B$37+VLOOKUP(VLOOKUP($B137,test!$A$2:$I$32,4,FALSE),test!$J$24:$P$28,7,FALSE))/1440),1,0)</f>
        <v>1</v>
      </c>
      <c r="AE137" s="2">
        <f>IF(AND(VLOOKUP(AE$1,test!$A$3:$F$32,5,FALSE) - VLOOKUP($B137,test!$A$3:$G$32,6,FALSE) &gt;= (test!$B$37+VLOOKUP(VLOOKUP($B137,test!$A$2:$I$32,4,FALSE),test!$J$24:$P$28,7,FALSE))/1440),1,0)</f>
        <v>0</v>
      </c>
      <c r="AF137" s="2">
        <f>IF(AND(VLOOKUP(AF$1,test!$A$3:$F$32,5,FALSE) - VLOOKUP($B137,test!$A$3:$G$32,6,FALSE) &gt;= (test!$B$37+VLOOKUP(VLOOKUP($B137,test!$A$2:$I$32,4,FALSE),test!$J$24:$P$28,7,FALSE))/1440),1,0)</f>
        <v>0</v>
      </c>
      <c r="AG137" s="2">
        <f>IF(AND(VLOOKUP(AG$1,test!$A$3:$F$32,5,FALSE) - VLOOKUP($B137,test!$A$3:$G$32,6,FALSE) &gt;= (test!$B$37+VLOOKUP(VLOOKUP($B137,test!$A$2:$I$32,4,FALSE),test!$J$24:$P$28,7,FALSE))/1440),1,0)</f>
        <v>0</v>
      </c>
    </row>
    <row r="138" spans="1:33" x14ac:dyDescent="0.25">
      <c r="A138" t="s">
        <v>99</v>
      </c>
      <c r="B138" t="s">
        <v>22</v>
      </c>
      <c r="C138">
        <v>0</v>
      </c>
      <c r="D138" s="2">
        <f>IF(AND(VLOOKUP(D$1,test!$A$3:$F$32,5,FALSE) - VLOOKUP($B138,test!$A$3:$G$32,6,FALSE) &gt;= (test!$B$37+VLOOKUP(VLOOKUP($B138,test!$A$2:$I$32,4,FALSE),test!$J$24:$P$28,7,FALSE))/1440),1,0)</f>
        <v>0</v>
      </c>
      <c r="E138" s="2">
        <f>IF(AND(VLOOKUP(E$1,test!$A$3:$F$32,5,FALSE) - VLOOKUP($B138,test!$A$3:$G$32,6,FALSE) &gt;= (test!$B$37+VLOOKUP(VLOOKUP($B138,test!$A$2:$I$32,4,FALSE),test!$J$24:$P$28,7,FALSE))/1440),1,0)</f>
        <v>0</v>
      </c>
      <c r="F138" s="2">
        <f>IF(AND(VLOOKUP(F$1,test!$A$3:$F$32,5,FALSE) - VLOOKUP($B138,test!$A$3:$G$32,6,FALSE) &gt;= (test!$B$37+VLOOKUP(VLOOKUP($B138,test!$A$2:$I$32,4,FALSE),test!$J$24:$P$28,7,FALSE))/1440),1,0)</f>
        <v>0</v>
      </c>
      <c r="G138" s="2">
        <f>IF(AND(VLOOKUP(G$1,test!$A$3:$F$32,5,FALSE) - VLOOKUP($B138,test!$A$3:$G$32,6,FALSE) &gt;= (test!$B$37+VLOOKUP(VLOOKUP($B138,test!$A$2:$I$32,4,FALSE),test!$J$24:$P$28,7,FALSE))/1440),1,0)</f>
        <v>0</v>
      </c>
      <c r="H138" s="2">
        <f>IF(AND(VLOOKUP(H$1,test!$A$3:$F$32,5,FALSE) - VLOOKUP($B138,test!$A$3:$G$32,6,FALSE) &gt;= (test!$B$37+VLOOKUP(VLOOKUP($B138,test!$A$2:$I$32,4,FALSE),test!$J$24:$P$28,7,FALSE))/1440),1,0)</f>
        <v>0</v>
      </c>
      <c r="I138" s="2">
        <f>IF(AND(VLOOKUP(I$1,test!$A$3:$F$32,5,FALSE) - VLOOKUP($B138,test!$A$3:$G$32,6,FALSE) &gt;= (test!$B$37+VLOOKUP(VLOOKUP($B138,test!$A$2:$I$32,4,FALSE),test!$J$24:$P$28,7,FALSE))/1440),1,0)</f>
        <v>0</v>
      </c>
      <c r="J138" s="2">
        <f>IF(AND(VLOOKUP(J$1,test!$A$3:$F$32,5,FALSE) - VLOOKUP($B138,test!$A$3:$G$32,6,FALSE) &gt;= (test!$B$37+VLOOKUP(VLOOKUP($B138,test!$A$2:$I$32,4,FALSE),test!$J$24:$P$28,7,FALSE))/1440),1,0)</f>
        <v>0</v>
      </c>
      <c r="K138" s="2">
        <f>IF(AND(VLOOKUP(K$1,test!$A$3:$F$32,5,FALSE) - VLOOKUP($B138,test!$A$3:$G$32,6,FALSE) &gt;= (test!$B$37+VLOOKUP(VLOOKUP($B138,test!$A$2:$I$32,4,FALSE),test!$J$24:$P$28,7,FALSE))/1440),1,0)</f>
        <v>0</v>
      </c>
      <c r="L138" s="2">
        <f>IF(AND(VLOOKUP(L$1,test!$A$3:$F$32,5,FALSE) - VLOOKUP($B138,test!$A$3:$G$32,6,FALSE) &gt;= (test!$B$37+VLOOKUP(VLOOKUP($B138,test!$A$2:$I$32,4,FALSE),test!$J$24:$P$28,7,FALSE))/1440),1,0)</f>
        <v>0</v>
      </c>
      <c r="M138" s="2">
        <f>IF(AND(VLOOKUP(M$1,test!$A$3:$F$32,5,FALSE) - VLOOKUP($B138,test!$A$3:$G$32,6,FALSE) &gt;= (test!$B$37+VLOOKUP(VLOOKUP($B138,test!$A$2:$I$32,4,FALSE),test!$J$24:$P$28,7,FALSE))/1440),1,0)</f>
        <v>0</v>
      </c>
      <c r="N138" s="2">
        <f>IF(AND(VLOOKUP(N$1,test!$A$3:$F$32,5,FALSE) - VLOOKUP($B138,test!$A$3:$G$32,6,FALSE) &gt;= (test!$B$37+VLOOKUP(VLOOKUP($B138,test!$A$2:$I$32,4,FALSE),test!$J$24:$P$28,7,FALSE))/1440),1,0)</f>
        <v>0</v>
      </c>
      <c r="O138" s="2">
        <f>IF(AND(VLOOKUP(O$1,test!$A$3:$F$32,5,FALSE) - VLOOKUP($B138,test!$A$3:$G$32,6,FALSE) &gt;= (test!$B$37+VLOOKUP(VLOOKUP($B138,test!$A$2:$I$32,4,FALSE),test!$J$24:$P$28,7,FALSE))/1440),1,0)</f>
        <v>0</v>
      </c>
      <c r="P138" s="2">
        <f>IF(AND(VLOOKUP(P$1,test!$A$3:$F$32,5,FALSE) - VLOOKUP($B138,test!$A$3:$G$32,6,FALSE) &gt;= (test!$B$37+VLOOKUP(VLOOKUP($B138,test!$A$2:$I$32,4,FALSE),test!$J$24:$P$28,7,FALSE))/1440),1,0)</f>
        <v>0</v>
      </c>
      <c r="Q138" s="2">
        <f>IF(AND(VLOOKUP(Q$1,test!$A$3:$F$32,5,FALSE) - VLOOKUP($B138,test!$A$3:$G$32,6,FALSE) &gt;= (test!$B$37+VLOOKUP(VLOOKUP($B138,test!$A$2:$I$32,4,FALSE),test!$J$24:$P$28,7,FALSE))/1440),1,0)</f>
        <v>0</v>
      </c>
      <c r="R138" s="2">
        <f>IF(AND(VLOOKUP(R$1,test!$A$3:$F$32,5,FALSE) - VLOOKUP($B138,test!$A$3:$G$32,6,FALSE) &gt;= (test!$B$37+VLOOKUP(VLOOKUP($B138,test!$A$2:$I$32,4,FALSE),test!$J$24:$P$28,7,FALSE))/1440),1,0)</f>
        <v>0</v>
      </c>
      <c r="S138" s="2">
        <f>IF(AND(VLOOKUP(S$1,test!$A$3:$F$32,5,FALSE) - VLOOKUP($B138,test!$A$3:$G$32,6,FALSE) &gt;= (test!$B$37+VLOOKUP(VLOOKUP($B138,test!$A$2:$I$32,4,FALSE),test!$J$24:$P$28,7,FALSE))/1440),1,0)</f>
        <v>0</v>
      </c>
      <c r="T138" s="2">
        <f>IF(AND(VLOOKUP(T$1,test!$A$3:$F$32,5,FALSE) - VLOOKUP($B138,test!$A$3:$G$32,6,FALSE) &gt;= (test!$B$37+VLOOKUP(VLOOKUP($B138,test!$A$2:$I$32,4,FALSE),test!$J$24:$P$28,7,FALSE))/1440),1,0)</f>
        <v>0</v>
      </c>
      <c r="U138" s="2">
        <f>IF(AND(VLOOKUP(U$1,test!$A$3:$F$32,5,FALSE) - VLOOKUP($B138,test!$A$3:$G$32,6,FALSE) &gt;= (test!$B$37+VLOOKUP(VLOOKUP($B138,test!$A$2:$I$32,4,FALSE),test!$J$24:$P$28,7,FALSE))/1440),1,0)</f>
        <v>0</v>
      </c>
      <c r="V138" s="2">
        <f>IF(AND(VLOOKUP(V$1,test!$A$3:$F$32,5,FALSE) - VLOOKUP($B138,test!$A$3:$G$32,6,FALSE) &gt;= (test!$B$37+VLOOKUP(VLOOKUP($B138,test!$A$2:$I$32,4,FALSE),test!$J$24:$P$28,7,FALSE))/1440),1,0)</f>
        <v>0</v>
      </c>
      <c r="W138" s="2">
        <f>IF(AND(VLOOKUP(W$1,test!$A$3:$F$32,5,FALSE) - VLOOKUP($B138,test!$A$3:$G$32,6,FALSE) &gt;= (test!$B$37+VLOOKUP(VLOOKUP($B138,test!$A$2:$I$32,4,FALSE),test!$J$24:$P$28,7,FALSE))/1440),1,0)</f>
        <v>0</v>
      </c>
      <c r="X138" s="2">
        <f>IF(AND(VLOOKUP(X$1,test!$A$3:$F$32,5,FALSE) - VLOOKUP($B138,test!$A$3:$G$32,6,FALSE) &gt;= (test!$B$37+VLOOKUP(VLOOKUP($B138,test!$A$2:$I$32,4,FALSE),test!$J$24:$P$28,7,FALSE))/1440),1,0)</f>
        <v>0</v>
      </c>
      <c r="Y138" s="2">
        <f>IF(AND(VLOOKUP(Y$1,test!$A$3:$F$32,5,FALSE) - VLOOKUP($B138,test!$A$3:$G$32,6,FALSE) &gt;= (test!$B$37+VLOOKUP(VLOOKUP($B138,test!$A$2:$I$32,4,FALSE),test!$J$24:$P$28,7,FALSE))/1440),1,0)</f>
        <v>0</v>
      </c>
      <c r="Z138" s="2">
        <f>IF(AND(VLOOKUP(Z$1,test!$A$3:$F$32,5,FALSE) - VLOOKUP($B138,test!$A$3:$G$32,6,FALSE) &gt;= (test!$B$37+VLOOKUP(VLOOKUP($B138,test!$A$2:$I$32,4,FALSE),test!$J$24:$P$28,7,FALSE))/1440),1,0)</f>
        <v>0</v>
      </c>
      <c r="AA138" s="2">
        <f>IF(AND(VLOOKUP(AA$1,test!$A$3:$F$32,5,FALSE) - VLOOKUP($B138,test!$A$3:$G$32,6,FALSE) &gt;= (test!$B$37+VLOOKUP(VLOOKUP($B138,test!$A$2:$I$32,4,FALSE),test!$J$24:$P$28,7,FALSE))/1440),1,0)</f>
        <v>0</v>
      </c>
      <c r="AB138" s="2">
        <f>IF(AND(VLOOKUP(AB$1,test!$A$3:$F$32,5,FALSE) - VLOOKUP($B138,test!$A$3:$G$32,6,FALSE) &gt;= (test!$B$37+VLOOKUP(VLOOKUP($B138,test!$A$2:$I$32,4,FALSE),test!$J$24:$P$28,7,FALSE))/1440),1,0)</f>
        <v>0</v>
      </c>
      <c r="AC138" s="2">
        <f>IF(AND(VLOOKUP(AC$1,test!$A$3:$F$32,5,FALSE) - VLOOKUP($B138,test!$A$3:$G$32,6,FALSE) &gt;= (test!$B$37+VLOOKUP(VLOOKUP($B138,test!$A$2:$I$32,4,FALSE),test!$J$24:$P$28,7,FALSE))/1440),1,0)</f>
        <v>0</v>
      </c>
      <c r="AD138" s="2">
        <f>IF(AND(VLOOKUP(AD$1,test!$A$3:$F$32,5,FALSE) - VLOOKUP($B138,test!$A$3:$G$32,6,FALSE) &gt;= (test!$B$37+VLOOKUP(VLOOKUP($B138,test!$A$2:$I$32,4,FALSE),test!$J$24:$P$28,7,FALSE))/1440),1,0)</f>
        <v>0</v>
      </c>
      <c r="AE138" s="2">
        <f>IF(AND(VLOOKUP(AE$1,test!$A$3:$F$32,5,FALSE) - VLOOKUP($B138,test!$A$3:$G$32,6,FALSE) &gt;= (test!$B$37+VLOOKUP(VLOOKUP($B138,test!$A$2:$I$32,4,FALSE),test!$J$24:$P$28,7,FALSE))/1440),1,0)</f>
        <v>0</v>
      </c>
      <c r="AF138" s="2">
        <f>IF(AND(VLOOKUP(AF$1,test!$A$3:$F$32,5,FALSE) - VLOOKUP($B138,test!$A$3:$G$32,6,FALSE) &gt;= (test!$B$37+VLOOKUP(VLOOKUP($B138,test!$A$2:$I$32,4,FALSE),test!$J$24:$P$28,7,FALSE))/1440),1,0)</f>
        <v>0</v>
      </c>
      <c r="AG138" s="2">
        <f>IF(AND(VLOOKUP(AG$1,test!$A$3:$F$32,5,FALSE) - VLOOKUP($B138,test!$A$3:$G$32,6,FALSE) &gt;= (test!$B$37+VLOOKUP(VLOOKUP($B138,test!$A$2:$I$32,4,FALSE),test!$J$24:$P$28,7,FALSE))/1440),1,0)</f>
        <v>0</v>
      </c>
    </row>
    <row r="139" spans="1:33" x14ac:dyDescent="0.25">
      <c r="A139" t="s">
        <v>99</v>
      </c>
      <c r="B139" t="s">
        <v>23</v>
      </c>
      <c r="C139">
        <v>0</v>
      </c>
      <c r="D139" s="2">
        <f>IF(AND(VLOOKUP(D$1,test!$A$3:$F$32,5,FALSE) - VLOOKUP($B139,test!$A$3:$G$32,6,FALSE) &gt;= (test!$B$37+VLOOKUP(VLOOKUP($B139,test!$A$2:$I$32,4,FALSE),test!$J$24:$P$28,7,FALSE))/1440),1,0)</f>
        <v>0</v>
      </c>
      <c r="E139" s="2">
        <f>IF(AND(VLOOKUP(E$1,test!$A$3:$F$32,5,FALSE) - VLOOKUP($B139,test!$A$3:$G$32,6,FALSE) &gt;= (test!$B$37+VLOOKUP(VLOOKUP($B139,test!$A$2:$I$32,4,FALSE),test!$J$24:$P$28,7,FALSE))/1440),1,0)</f>
        <v>0</v>
      </c>
      <c r="F139" s="2">
        <f>IF(AND(VLOOKUP(F$1,test!$A$3:$F$32,5,FALSE) - VLOOKUP($B139,test!$A$3:$G$32,6,FALSE) &gt;= (test!$B$37+VLOOKUP(VLOOKUP($B139,test!$A$2:$I$32,4,FALSE),test!$J$24:$P$28,7,FALSE))/1440),1,0)</f>
        <v>0</v>
      </c>
      <c r="G139" s="2">
        <f>IF(AND(VLOOKUP(G$1,test!$A$3:$F$32,5,FALSE) - VLOOKUP($B139,test!$A$3:$G$32,6,FALSE) &gt;= (test!$B$37+VLOOKUP(VLOOKUP($B139,test!$A$2:$I$32,4,FALSE),test!$J$24:$P$28,7,FALSE))/1440),1,0)</f>
        <v>0</v>
      </c>
      <c r="H139" s="2">
        <f>IF(AND(VLOOKUP(H$1,test!$A$3:$F$32,5,FALSE) - VLOOKUP($B139,test!$A$3:$G$32,6,FALSE) &gt;= (test!$B$37+VLOOKUP(VLOOKUP($B139,test!$A$2:$I$32,4,FALSE),test!$J$24:$P$28,7,FALSE))/1440),1,0)</f>
        <v>0</v>
      </c>
      <c r="I139" s="2">
        <f>IF(AND(VLOOKUP(I$1,test!$A$3:$F$32,5,FALSE) - VLOOKUP($B139,test!$A$3:$G$32,6,FALSE) &gt;= (test!$B$37+VLOOKUP(VLOOKUP($B139,test!$A$2:$I$32,4,FALSE),test!$J$24:$P$28,7,FALSE))/1440),1,0)</f>
        <v>0</v>
      </c>
      <c r="J139" s="2">
        <f>IF(AND(VLOOKUP(J$1,test!$A$3:$F$32,5,FALSE) - VLOOKUP($B139,test!$A$3:$G$32,6,FALSE) &gt;= (test!$B$37+VLOOKUP(VLOOKUP($B139,test!$A$2:$I$32,4,FALSE),test!$J$24:$P$28,7,FALSE))/1440),1,0)</f>
        <v>0</v>
      </c>
      <c r="K139" s="2">
        <f>IF(AND(VLOOKUP(K$1,test!$A$3:$F$32,5,FALSE) - VLOOKUP($B139,test!$A$3:$G$32,6,FALSE) &gt;= (test!$B$37+VLOOKUP(VLOOKUP($B139,test!$A$2:$I$32,4,FALSE),test!$J$24:$P$28,7,FALSE))/1440),1,0)</f>
        <v>0</v>
      </c>
      <c r="L139" s="2">
        <f>IF(AND(VLOOKUP(L$1,test!$A$3:$F$32,5,FALSE) - VLOOKUP($B139,test!$A$3:$G$32,6,FALSE) &gt;= (test!$B$37+VLOOKUP(VLOOKUP($B139,test!$A$2:$I$32,4,FALSE),test!$J$24:$P$28,7,FALSE))/1440),1,0)</f>
        <v>0</v>
      </c>
      <c r="M139" s="2">
        <f>IF(AND(VLOOKUP(M$1,test!$A$3:$F$32,5,FALSE) - VLOOKUP($B139,test!$A$3:$G$32,6,FALSE) &gt;= (test!$B$37+VLOOKUP(VLOOKUP($B139,test!$A$2:$I$32,4,FALSE),test!$J$24:$P$28,7,FALSE))/1440),1,0)</f>
        <v>0</v>
      </c>
      <c r="N139" s="2">
        <f>IF(AND(VLOOKUP(N$1,test!$A$3:$F$32,5,FALSE) - VLOOKUP($B139,test!$A$3:$G$32,6,FALSE) &gt;= (test!$B$37+VLOOKUP(VLOOKUP($B139,test!$A$2:$I$32,4,FALSE),test!$J$24:$P$28,7,FALSE))/1440),1,0)</f>
        <v>0</v>
      </c>
      <c r="O139" s="2">
        <f>IF(AND(VLOOKUP(O$1,test!$A$3:$F$32,5,FALSE) - VLOOKUP($B139,test!$A$3:$G$32,6,FALSE) &gt;= (test!$B$37+VLOOKUP(VLOOKUP($B139,test!$A$2:$I$32,4,FALSE),test!$J$24:$P$28,7,FALSE))/1440),1,0)</f>
        <v>0</v>
      </c>
      <c r="P139" s="2">
        <f>IF(AND(VLOOKUP(P$1,test!$A$3:$F$32,5,FALSE) - VLOOKUP($B139,test!$A$3:$G$32,6,FALSE) &gt;= (test!$B$37+VLOOKUP(VLOOKUP($B139,test!$A$2:$I$32,4,FALSE),test!$J$24:$P$28,7,FALSE))/1440),1,0)</f>
        <v>0</v>
      </c>
      <c r="Q139" s="2">
        <f>IF(AND(VLOOKUP(Q$1,test!$A$3:$F$32,5,FALSE) - VLOOKUP($B139,test!$A$3:$G$32,6,FALSE) &gt;= (test!$B$37+VLOOKUP(VLOOKUP($B139,test!$A$2:$I$32,4,FALSE),test!$J$24:$P$28,7,FALSE))/1440),1,0)</f>
        <v>0</v>
      </c>
      <c r="R139" s="2">
        <f>IF(AND(VLOOKUP(R$1,test!$A$3:$F$32,5,FALSE) - VLOOKUP($B139,test!$A$3:$G$32,6,FALSE) &gt;= (test!$B$37+VLOOKUP(VLOOKUP($B139,test!$A$2:$I$32,4,FALSE),test!$J$24:$P$28,7,FALSE))/1440),1,0)</f>
        <v>0</v>
      </c>
      <c r="S139" s="2">
        <f>IF(AND(VLOOKUP(S$1,test!$A$3:$F$32,5,FALSE) - VLOOKUP($B139,test!$A$3:$G$32,6,FALSE) &gt;= (test!$B$37+VLOOKUP(VLOOKUP($B139,test!$A$2:$I$32,4,FALSE),test!$J$24:$P$28,7,FALSE))/1440),1,0)</f>
        <v>0</v>
      </c>
      <c r="T139" s="2">
        <f>IF(AND(VLOOKUP(T$1,test!$A$3:$F$32,5,FALSE) - VLOOKUP($B139,test!$A$3:$G$32,6,FALSE) &gt;= (test!$B$37+VLOOKUP(VLOOKUP($B139,test!$A$2:$I$32,4,FALSE),test!$J$24:$P$28,7,FALSE))/1440),1,0)</f>
        <v>0</v>
      </c>
      <c r="U139" s="2">
        <f>IF(AND(VLOOKUP(U$1,test!$A$3:$F$32,5,FALSE) - VLOOKUP($B139,test!$A$3:$G$32,6,FALSE) &gt;= (test!$B$37+VLOOKUP(VLOOKUP($B139,test!$A$2:$I$32,4,FALSE),test!$J$24:$P$28,7,FALSE))/1440),1,0)</f>
        <v>0</v>
      </c>
      <c r="V139" s="2">
        <f>IF(AND(VLOOKUP(V$1,test!$A$3:$F$32,5,FALSE) - VLOOKUP($B139,test!$A$3:$G$32,6,FALSE) &gt;= (test!$B$37+VLOOKUP(VLOOKUP($B139,test!$A$2:$I$32,4,FALSE),test!$J$24:$P$28,7,FALSE))/1440),1,0)</f>
        <v>0</v>
      </c>
      <c r="W139" s="2">
        <f>IF(AND(VLOOKUP(W$1,test!$A$3:$F$32,5,FALSE) - VLOOKUP($B139,test!$A$3:$G$32,6,FALSE) &gt;= (test!$B$37+VLOOKUP(VLOOKUP($B139,test!$A$2:$I$32,4,FALSE),test!$J$24:$P$28,7,FALSE))/1440),1,0)</f>
        <v>0</v>
      </c>
      <c r="X139" s="2">
        <f>IF(AND(VLOOKUP(X$1,test!$A$3:$F$32,5,FALSE) - VLOOKUP($B139,test!$A$3:$G$32,6,FALSE) &gt;= (test!$B$37+VLOOKUP(VLOOKUP($B139,test!$A$2:$I$32,4,FALSE),test!$J$24:$P$28,7,FALSE))/1440),1,0)</f>
        <v>0</v>
      </c>
      <c r="Y139" s="2">
        <f>IF(AND(VLOOKUP(Y$1,test!$A$3:$F$32,5,FALSE) - VLOOKUP($B139,test!$A$3:$G$32,6,FALSE) &gt;= (test!$B$37+VLOOKUP(VLOOKUP($B139,test!$A$2:$I$32,4,FALSE),test!$J$24:$P$28,7,FALSE))/1440),1,0)</f>
        <v>0</v>
      </c>
      <c r="Z139" s="2">
        <f>IF(AND(VLOOKUP(Z$1,test!$A$3:$F$32,5,FALSE) - VLOOKUP($B139,test!$A$3:$G$32,6,FALSE) &gt;= (test!$B$37+VLOOKUP(VLOOKUP($B139,test!$A$2:$I$32,4,FALSE),test!$J$24:$P$28,7,FALSE))/1440),1,0)</f>
        <v>0</v>
      </c>
      <c r="AA139" s="2">
        <f>IF(AND(VLOOKUP(AA$1,test!$A$3:$F$32,5,FALSE) - VLOOKUP($B139,test!$A$3:$G$32,6,FALSE) &gt;= (test!$B$37+VLOOKUP(VLOOKUP($B139,test!$A$2:$I$32,4,FALSE),test!$J$24:$P$28,7,FALSE))/1440),1,0)</f>
        <v>0</v>
      </c>
      <c r="AB139" s="2">
        <f>IF(AND(VLOOKUP(AB$1,test!$A$3:$F$32,5,FALSE) - VLOOKUP($B139,test!$A$3:$G$32,6,FALSE) &gt;= (test!$B$37+VLOOKUP(VLOOKUP($B139,test!$A$2:$I$32,4,FALSE),test!$J$24:$P$28,7,FALSE))/1440),1,0)</f>
        <v>0</v>
      </c>
      <c r="AC139" s="2">
        <f>IF(AND(VLOOKUP(AC$1,test!$A$3:$F$32,5,FALSE) - VLOOKUP($B139,test!$A$3:$G$32,6,FALSE) &gt;= (test!$B$37+VLOOKUP(VLOOKUP($B139,test!$A$2:$I$32,4,FALSE),test!$J$24:$P$28,7,FALSE))/1440),1,0)</f>
        <v>0</v>
      </c>
      <c r="AD139" s="2">
        <f>IF(AND(VLOOKUP(AD$1,test!$A$3:$F$32,5,FALSE) - VLOOKUP($B139,test!$A$3:$G$32,6,FALSE) &gt;= (test!$B$37+VLOOKUP(VLOOKUP($B139,test!$A$2:$I$32,4,FALSE),test!$J$24:$P$28,7,FALSE))/1440),1,0)</f>
        <v>0</v>
      </c>
      <c r="AE139" s="2">
        <f>IF(AND(VLOOKUP(AE$1,test!$A$3:$F$32,5,FALSE) - VLOOKUP($B139,test!$A$3:$G$32,6,FALSE) &gt;= (test!$B$37+VLOOKUP(VLOOKUP($B139,test!$A$2:$I$32,4,FALSE),test!$J$24:$P$28,7,FALSE))/1440),1,0)</f>
        <v>0</v>
      </c>
      <c r="AF139" s="2">
        <f>IF(AND(VLOOKUP(AF$1,test!$A$3:$F$32,5,FALSE) - VLOOKUP($B139,test!$A$3:$G$32,6,FALSE) &gt;= (test!$B$37+VLOOKUP(VLOOKUP($B139,test!$A$2:$I$32,4,FALSE),test!$J$24:$P$28,7,FALSE))/1440),1,0)</f>
        <v>0</v>
      </c>
      <c r="AG139" s="2">
        <f>IF(AND(VLOOKUP(AG$1,test!$A$3:$F$32,5,FALSE) - VLOOKUP($B139,test!$A$3:$G$32,6,FALSE) &gt;= (test!$B$37+VLOOKUP(VLOOKUP($B139,test!$A$2:$I$32,4,FALSE),test!$J$24:$P$28,7,FALSE))/1440),1,0)</f>
        <v>0</v>
      </c>
    </row>
    <row r="140" spans="1:33" x14ac:dyDescent="0.25">
      <c r="A140" t="s">
        <v>99</v>
      </c>
      <c r="B140" t="s">
        <v>24</v>
      </c>
      <c r="C140">
        <v>0</v>
      </c>
      <c r="D140" s="2">
        <f>IF(AND(VLOOKUP(D$1,test!$A$3:$F$32,5,FALSE) - VLOOKUP($B140,test!$A$3:$G$32,6,FALSE) &gt;= (test!$B$37+VLOOKUP(VLOOKUP($B140,test!$A$2:$I$32,4,FALSE),test!$J$24:$P$28,7,FALSE))/1440),1,0)</f>
        <v>0</v>
      </c>
      <c r="E140" s="2">
        <f>IF(AND(VLOOKUP(E$1,test!$A$3:$F$32,5,FALSE) - VLOOKUP($B140,test!$A$3:$G$32,6,FALSE) &gt;= (test!$B$37+VLOOKUP(VLOOKUP($B140,test!$A$2:$I$32,4,FALSE),test!$J$24:$P$28,7,FALSE))/1440),1,0)</f>
        <v>0</v>
      </c>
      <c r="F140" s="2">
        <f>IF(AND(VLOOKUP(F$1,test!$A$3:$F$32,5,FALSE) - VLOOKUP($B140,test!$A$3:$G$32,6,FALSE) &gt;= (test!$B$37+VLOOKUP(VLOOKUP($B140,test!$A$2:$I$32,4,FALSE),test!$J$24:$P$28,7,FALSE))/1440),1,0)</f>
        <v>1</v>
      </c>
      <c r="G140" s="2">
        <f>IF(AND(VLOOKUP(G$1,test!$A$3:$F$32,5,FALSE) - VLOOKUP($B140,test!$A$3:$G$32,6,FALSE) &gt;= (test!$B$37+VLOOKUP(VLOOKUP($B140,test!$A$2:$I$32,4,FALSE),test!$J$24:$P$28,7,FALSE))/1440),1,0)</f>
        <v>1</v>
      </c>
      <c r="H140" s="2">
        <f>IF(AND(VLOOKUP(H$1,test!$A$3:$F$32,5,FALSE) - VLOOKUP($B140,test!$A$3:$G$32,6,FALSE) &gt;= (test!$B$37+VLOOKUP(VLOOKUP($B140,test!$A$2:$I$32,4,FALSE),test!$J$24:$P$28,7,FALSE))/1440),1,0)</f>
        <v>1</v>
      </c>
      <c r="I140" s="2">
        <f>IF(AND(VLOOKUP(I$1,test!$A$3:$F$32,5,FALSE) - VLOOKUP($B140,test!$A$3:$G$32,6,FALSE) &gt;= (test!$B$37+VLOOKUP(VLOOKUP($B140,test!$A$2:$I$32,4,FALSE),test!$J$24:$P$28,7,FALSE))/1440),1,0)</f>
        <v>1</v>
      </c>
      <c r="J140" s="2">
        <f>IF(AND(VLOOKUP(J$1,test!$A$3:$F$32,5,FALSE) - VLOOKUP($B140,test!$A$3:$G$32,6,FALSE) &gt;= (test!$B$37+VLOOKUP(VLOOKUP($B140,test!$A$2:$I$32,4,FALSE),test!$J$24:$P$28,7,FALSE))/1440),1,0)</f>
        <v>1</v>
      </c>
      <c r="K140" s="2">
        <f>IF(AND(VLOOKUP(K$1,test!$A$3:$F$32,5,FALSE) - VLOOKUP($B140,test!$A$3:$G$32,6,FALSE) &gt;= (test!$B$37+VLOOKUP(VLOOKUP($B140,test!$A$2:$I$32,4,FALSE),test!$J$24:$P$28,7,FALSE))/1440),1,0)</f>
        <v>1</v>
      </c>
      <c r="L140" s="2">
        <f>IF(AND(VLOOKUP(L$1,test!$A$3:$F$32,5,FALSE) - VLOOKUP($B140,test!$A$3:$G$32,6,FALSE) &gt;= (test!$B$37+VLOOKUP(VLOOKUP($B140,test!$A$2:$I$32,4,FALSE),test!$J$24:$P$28,7,FALSE))/1440),1,0)</f>
        <v>0</v>
      </c>
      <c r="M140" s="2">
        <f>IF(AND(VLOOKUP(M$1,test!$A$3:$F$32,5,FALSE) - VLOOKUP($B140,test!$A$3:$G$32,6,FALSE) &gt;= (test!$B$37+VLOOKUP(VLOOKUP($B140,test!$A$2:$I$32,4,FALSE),test!$J$24:$P$28,7,FALSE))/1440),1,0)</f>
        <v>0</v>
      </c>
      <c r="N140" s="2">
        <f>IF(AND(VLOOKUP(N$1,test!$A$3:$F$32,5,FALSE) - VLOOKUP($B140,test!$A$3:$G$32,6,FALSE) &gt;= (test!$B$37+VLOOKUP(VLOOKUP($B140,test!$A$2:$I$32,4,FALSE),test!$J$24:$P$28,7,FALSE))/1440),1,0)</f>
        <v>0</v>
      </c>
      <c r="O140" s="2">
        <f>IF(AND(VLOOKUP(O$1,test!$A$3:$F$32,5,FALSE) - VLOOKUP($B140,test!$A$3:$G$32,6,FALSE) &gt;= (test!$B$37+VLOOKUP(VLOOKUP($B140,test!$A$2:$I$32,4,FALSE),test!$J$24:$P$28,7,FALSE))/1440),1,0)</f>
        <v>1</v>
      </c>
      <c r="P140" s="2">
        <f>IF(AND(VLOOKUP(P$1,test!$A$3:$F$32,5,FALSE) - VLOOKUP($B140,test!$A$3:$G$32,6,FALSE) &gt;= (test!$B$37+VLOOKUP(VLOOKUP($B140,test!$A$2:$I$32,4,FALSE),test!$J$24:$P$28,7,FALSE))/1440),1,0)</f>
        <v>1</v>
      </c>
      <c r="Q140" s="2">
        <f>IF(AND(VLOOKUP(Q$1,test!$A$3:$F$32,5,FALSE) - VLOOKUP($B140,test!$A$3:$G$32,6,FALSE) &gt;= (test!$B$37+VLOOKUP(VLOOKUP($B140,test!$A$2:$I$32,4,FALSE),test!$J$24:$P$28,7,FALSE))/1440),1,0)</f>
        <v>0</v>
      </c>
      <c r="R140" s="2">
        <f>IF(AND(VLOOKUP(R$1,test!$A$3:$F$32,5,FALSE) - VLOOKUP($B140,test!$A$3:$G$32,6,FALSE) &gt;= (test!$B$37+VLOOKUP(VLOOKUP($B140,test!$A$2:$I$32,4,FALSE),test!$J$24:$P$28,7,FALSE))/1440),1,0)</f>
        <v>0</v>
      </c>
      <c r="S140" s="2">
        <f>IF(AND(VLOOKUP(S$1,test!$A$3:$F$32,5,FALSE) - VLOOKUP($B140,test!$A$3:$G$32,6,FALSE) &gt;= (test!$B$37+VLOOKUP(VLOOKUP($B140,test!$A$2:$I$32,4,FALSE),test!$J$24:$P$28,7,FALSE))/1440),1,0)</f>
        <v>0</v>
      </c>
      <c r="T140" s="2">
        <f>IF(AND(VLOOKUP(T$1,test!$A$3:$F$32,5,FALSE) - VLOOKUP($B140,test!$A$3:$G$32,6,FALSE) &gt;= (test!$B$37+VLOOKUP(VLOOKUP($B140,test!$A$2:$I$32,4,FALSE),test!$J$24:$P$28,7,FALSE))/1440),1,0)</f>
        <v>0</v>
      </c>
      <c r="U140" s="2">
        <f>IF(AND(VLOOKUP(U$1,test!$A$3:$F$32,5,FALSE) - VLOOKUP($B140,test!$A$3:$G$32,6,FALSE) &gt;= (test!$B$37+VLOOKUP(VLOOKUP($B140,test!$A$2:$I$32,4,FALSE),test!$J$24:$P$28,7,FALSE))/1440),1,0)</f>
        <v>0</v>
      </c>
      <c r="V140" s="2">
        <f>IF(AND(VLOOKUP(V$1,test!$A$3:$F$32,5,FALSE) - VLOOKUP($B140,test!$A$3:$G$32,6,FALSE) &gt;= (test!$B$37+VLOOKUP(VLOOKUP($B140,test!$A$2:$I$32,4,FALSE),test!$J$24:$P$28,7,FALSE))/1440),1,0)</f>
        <v>1</v>
      </c>
      <c r="W140" s="2">
        <f>IF(AND(VLOOKUP(W$1,test!$A$3:$F$32,5,FALSE) - VLOOKUP($B140,test!$A$3:$G$32,6,FALSE) &gt;= (test!$B$37+VLOOKUP(VLOOKUP($B140,test!$A$2:$I$32,4,FALSE),test!$J$24:$P$28,7,FALSE))/1440),1,0)</f>
        <v>1</v>
      </c>
      <c r="X140" s="2">
        <f>IF(AND(VLOOKUP(X$1,test!$A$3:$F$32,5,FALSE) - VLOOKUP($B140,test!$A$3:$G$32,6,FALSE) &gt;= (test!$B$37+VLOOKUP(VLOOKUP($B140,test!$A$2:$I$32,4,FALSE),test!$J$24:$P$28,7,FALSE))/1440),1,0)</f>
        <v>1</v>
      </c>
      <c r="Y140" s="2">
        <f>IF(AND(VLOOKUP(Y$1,test!$A$3:$F$32,5,FALSE) - VLOOKUP($B140,test!$A$3:$G$32,6,FALSE) &gt;= (test!$B$37+VLOOKUP(VLOOKUP($B140,test!$A$2:$I$32,4,FALSE),test!$J$24:$P$28,7,FALSE))/1440),1,0)</f>
        <v>1</v>
      </c>
      <c r="Z140" s="2">
        <f>IF(AND(VLOOKUP(Z$1,test!$A$3:$F$32,5,FALSE) - VLOOKUP($B140,test!$A$3:$G$32,6,FALSE) &gt;= (test!$B$37+VLOOKUP(VLOOKUP($B140,test!$A$2:$I$32,4,FALSE),test!$J$24:$P$28,7,FALSE))/1440),1,0)</f>
        <v>0</v>
      </c>
      <c r="AA140" s="2">
        <f>IF(AND(VLOOKUP(AA$1,test!$A$3:$F$32,5,FALSE) - VLOOKUP($B140,test!$A$3:$G$32,6,FALSE) &gt;= (test!$B$37+VLOOKUP(VLOOKUP($B140,test!$A$2:$I$32,4,FALSE),test!$J$24:$P$28,7,FALSE))/1440),1,0)</f>
        <v>0</v>
      </c>
      <c r="AB140" s="2">
        <f>IF(AND(VLOOKUP(AB$1,test!$A$3:$F$32,5,FALSE) - VLOOKUP($B140,test!$A$3:$G$32,6,FALSE) &gt;= (test!$B$37+VLOOKUP(VLOOKUP($B140,test!$A$2:$I$32,4,FALSE),test!$J$24:$P$28,7,FALSE))/1440),1,0)</f>
        <v>1</v>
      </c>
      <c r="AC140" s="2">
        <f>IF(AND(VLOOKUP(AC$1,test!$A$3:$F$32,5,FALSE) - VLOOKUP($B140,test!$A$3:$G$32,6,FALSE) &gt;= (test!$B$37+VLOOKUP(VLOOKUP($B140,test!$A$2:$I$32,4,FALSE),test!$J$24:$P$28,7,FALSE))/1440),1,0)</f>
        <v>1</v>
      </c>
      <c r="AD140" s="2">
        <f>IF(AND(VLOOKUP(AD$1,test!$A$3:$F$32,5,FALSE) - VLOOKUP($B140,test!$A$3:$G$32,6,FALSE) &gt;= (test!$B$37+VLOOKUP(VLOOKUP($B140,test!$A$2:$I$32,4,FALSE),test!$J$24:$P$28,7,FALSE))/1440),1,0)</f>
        <v>1</v>
      </c>
      <c r="AE140" s="2">
        <f>IF(AND(VLOOKUP(AE$1,test!$A$3:$F$32,5,FALSE) - VLOOKUP($B140,test!$A$3:$G$32,6,FALSE) &gt;= (test!$B$37+VLOOKUP(VLOOKUP($B140,test!$A$2:$I$32,4,FALSE),test!$J$24:$P$28,7,FALSE))/1440),1,0)</f>
        <v>0</v>
      </c>
      <c r="AF140" s="2">
        <f>IF(AND(VLOOKUP(AF$1,test!$A$3:$F$32,5,FALSE) - VLOOKUP($B140,test!$A$3:$G$32,6,FALSE) &gt;= (test!$B$37+VLOOKUP(VLOOKUP($B140,test!$A$2:$I$32,4,FALSE),test!$J$24:$P$28,7,FALSE))/1440),1,0)</f>
        <v>1</v>
      </c>
      <c r="AG140" s="2">
        <f>IF(AND(VLOOKUP(AG$1,test!$A$3:$F$32,5,FALSE) - VLOOKUP($B140,test!$A$3:$G$32,6,FALSE) &gt;= (test!$B$37+VLOOKUP(VLOOKUP($B140,test!$A$2:$I$32,4,FALSE),test!$J$24:$P$28,7,FALSE))/1440),1,0)</f>
        <v>0</v>
      </c>
    </row>
    <row r="141" spans="1:33" x14ac:dyDescent="0.25">
      <c r="A141" t="s">
        <v>99</v>
      </c>
      <c r="B141" t="s">
        <v>26</v>
      </c>
      <c r="C141">
        <v>0</v>
      </c>
      <c r="D141" s="2">
        <f>IF(AND(VLOOKUP(D$1,test!$A$3:$F$32,5,FALSE) - VLOOKUP($B141,test!$A$3:$G$32,6,FALSE) &gt;= (test!$B$37+VLOOKUP(VLOOKUP($B141,test!$A$2:$I$32,4,FALSE),test!$J$24:$P$28,7,FALSE))/1440),1,0)</f>
        <v>0</v>
      </c>
      <c r="E141" s="2">
        <f>IF(AND(VLOOKUP(E$1,test!$A$3:$F$32,5,FALSE) - VLOOKUP($B141,test!$A$3:$G$32,6,FALSE) &gt;= (test!$B$37+VLOOKUP(VLOOKUP($B141,test!$A$2:$I$32,4,FALSE),test!$J$24:$P$28,7,FALSE))/1440),1,0)</f>
        <v>0</v>
      </c>
      <c r="F141" s="2">
        <f>IF(AND(VLOOKUP(F$1,test!$A$3:$F$32,5,FALSE) - VLOOKUP($B141,test!$A$3:$G$32,6,FALSE) &gt;= (test!$B$37+VLOOKUP(VLOOKUP($B141,test!$A$2:$I$32,4,FALSE),test!$J$24:$P$28,7,FALSE))/1440),1,0)</f>
        <v>1</v>
      </c>
      <c r="G141" s="2">
        <f>IF(AND(VLOOKUP(G$1,test!$A$3:$F$32,5,FALSE) - VLOOKUP($B141,test!$A$3:$G$32,6,FALSE) &gt;= (test!$B$37+VLOOKUP(VLOOKUP($B141,test!$A$2:$I$32,4,FALSE),test!$J$24:$P$28,7,FALSE))/1440),1,0)</f>
        <v>1</v>
      </c>
      <c r="H141" s="2">
        <f>IF(AND(VLOOKUP(H$1,test!$A$3:$F$32,5,FALSE) - VLOOKUP($B141,test!$A$3:$G$32,6,FALSE) &gt;= (test!$B$37+VLOOKUP(VLOOKUP($B141,test!$A$2:$I$32,4,FALSE),test!$J$24:$P$28,7,FALSE))/1440),1,0)</f>
        <v>1</v>
      </c>
      <c r="I141" s="2">
        <f>IF(AND(VLOOKUP(I$1,test!$A$3:$F$32,5,FALSE) - VLOOKUP($B141,test!$A$3:$G$32,6,FALSE) &gt;= (test!$B$37+VLOOKUP(VLOOKUP($B141,test!$A$2:$I$32,4,FALSE),test!$J$24:$P$28,7,FALSE))/1440),1,0)</f>
        <v>1</v>
      </c>
      <c r="J141" s="2">
        <f>IF(AND(VLOOKUP(J$1,test!$A$3:$F$32,5,FALSE) - VLOOKUP($B141,test!$A$3:$G$32,6,FALSE) &gt;= (test!$B$37+VLOOKUP(VLOOKUP($B141,test!$A$2:$I$32,4,FALSE),test!$J$24:$P$28,7,FALSE))/1440),1,0)</f>
        <v>1</v>
      </c>
      <c r="K141" s="2">
        <f>IF(AND(VLOOKUP(K$1,test!$A$3:$F$32,5,FALSE) - VLOOKUP($B141,test!$A$3:$G$32,6,FALSE) &gt;= (test!$B$37+VLOOKUP(VLOOKUP($B141,test!$A$2:$I$32,4,FALSE),test!$J$24:$P$28,7,FALSE))/1440),1,0)</f>
        <v>1</v>
      </c>
      <c r="L141" s="2">
        <f>IF(AND(VLOOKUP(L$1,test!$A$3:$F$32,5,FALSE) - VLOOKUP($B141,test!$A$3:$G$32,6,FALSE) &gt;= (test!$B$37+VLOOKUP(VLOOKUP($B141,test!$A$2:$I$32,4,FALSE),test!$J$24:$P$28,7,FALSE))/1440),1,0)</f>
        <v>0</v>
      </c>
      <c r="M141" s="2">
        <f>IF(AND(VLOOKUP(M$1,test!$A$3:$F$32,5,FALSE) - VLOOKUP($B141,test!$A$3:$G$32,6,FALSE) &gt;= (test!$B$37+VLOOKUP(VLOOKUP($B141,test!$A$2:$I$32,4,FALSE),test!$J$24:$P$28,7,FALSE))/1440),1,0)</f>
        <v>0</v>
      </c>
      <c r="N141" s="2">
        <f>IF(AND(VLOOKUP(N$1,test!$A$3:$F$32,5,FALSE) - VLOOKUP($B141,test!$A$3:$G$32,6,FALSE) &gt;= (test!$B$37+VLOOKUP(VLOOKUP($B141,test!$A$2:$I$32,4,FALSE),test!$J$24:$P$28,7,FALSE))/1440),1,0)</f>
        <v>0</v>
      </c>
      <c r="O141" s="2">
        <f>IF(AND(VLOOKUP(O$1,test!$A$3:$F$32,5,FALSE) - VLOOKUP($B141,test!$A$3:$G$32,6,FALSE) &gt;= (test!$B$37+VLOOKUP(VLOOKUP($B141,test!$A$2:$I$32,4,FALSE),test!$J$24:$P$28,7,FALSE))/1440),1,0)</f>
        <v>1</v>
      </c>
      <c r="P141" s="2">
        <f>IF(AND(VLOOKUP(P$1,test!$A$3:$F$32,5,FALSE) - VLOOKUP($B141,test!$A$3:$G$32,6,FALSE) &gt;= (test!$B$37+VLOOKUP(VLOOKUP($B141,test!$A$2:$I$32,4,FALSE),test!$J$24:$P$28,7,FALSE))/1440),1,0)</f>
        <v>1</v>
      </c>
      <c r="Q141" s="2">
        <f>IF(AND(VLOOKUP(Q$1,test!$A$3:$F$32,5,FALSE) - VLOOKUP($B141,test!$A$3:$G$32,6,FALSE) &gt;= (test!$B$37+VLOOKUP(VLOOKUP($B141,test!$A$2:$I$32,4,FALSE),test!$J$24:$P$28,7,FALSE))/1440),1,0)</f>
        <v>0</v>
      </c>
      <c r="R141" s="2">
        <f>IF(AND(VLOOKUP(R$1,test!$A$3:$F$32,5,FALSE) - VLOOKUP($B141,test!$A$3:$G$32,6,FALSE) &gt;= (test!$B$37+VLOOKUP(VLOOKUP($B141,test!$A$2:$I$32,4,FALSE),test!$J$24:$P$28,7,FALSE))/1440),1,0)</f>
        <v>0</v>
      </c>
      <c r="S141" s="2">
        <f>IF(AND(VLOOKUP(S$1,test!$A$3:$F$32,5,FALSE) - VLOOKUP($B141,test!$A$3:$G$32,6,FALSE) &gt;= (test!$B$37+VLOOKUP(VLOOKUP($B141,test!$A$2:$I$32,4,FALSE),test!$J$24:$P$28,7,FALSE))/1440),1,0)</f>
        <v>0</v>
      </c>
      <c r="T141" s="2">
        <f>IF(AND(VLOOKUP(T$1,test!$A$3:$F$32,5,FALSE) - VLOOKUP($B141,test!$A$3:$G$32,6,FALSE) &gt;= (test!$B$37+VLOOKUP(VLOOKUP($B141,test!$A$2:$I$32,4,FALSE),test!$J$24:$P$28,7,FALSE))/1440),1,0)</f>
        <v>0</v>
      </c>
      <c r="U141" s="2">
        <f>IF(AND(VLOOKUP(U$1,test!$A$3:$F$32,5,FALSE) - VLOOKUP($B141,test!$A$3:$G$32,6,FALSE) &gt;= (test!$B$37+VLOOKUP(VLOOKUP($B141,test!$A$2:$I$32,4,FALSE),test!$J$24:$P$28,7,FALSE))/1440),1,0)</f>
        <v>0</v>
      </c>
      <c r="V141" s="2">
        <f>IF(AND(VLOOKUP(V$1,test!$A$3:$F$32,5,FALSE) - VLOOKUP($B141,test!$A$3:$G$32,6,FALSE) &gt;= (test!$B$37+VLOOKUP(VLOOKUP($B141,test!$A$2:$I$32,4,FALSE),test!$J$24:$P$28,7,FALSE))/1440),1,0)</f>
        <v>1</v>
      </c>
      <c r="W141" s="2">
        <f>IF(AND(VLOOKUP(W$1,test!$A$3:$F$32,5,FALSE) - VLOOKUP($B141,test!$A$3:$G$32,6,FALSE) &gt;= (test!$B$37+VLOOKUP(VLOOKUP($B141,test!$A$2:$I$32,4,FALSE),test!$J$24:$P$28,7,FALSE))/1440),1,0)</f>
        <v>1</v>
      </c>
      <c r="X141" s="2">
        <f>IF(AND(VLOOKUP(X$1,test!$A$3:$F$32,5,FALSE) - VLOOKUP($B141,test!$A$3:$G$32,6,FALSE) &gt;= (test!$B$37+VLOOKUP(VLOOKUP($B141,test!$A$2:$I$32,4,FALSE),test!$J$24:$P$28,7,FALSE))/1440),1,0)</f>
        <v>1</v>
      </c>
      <c r="Y141" s="2">
        <f>IF(AND(VLOOKUP(Y$1,test!$A$3:$F$32,5,FALSE) - VLOOKUP($B141,test!$A$3:$G$32,6,FALSE) &gt;= (test!$B$37+VLOOKUP(VLOOKUP($B141,test!$A$2:$I$32,4,FALSE),test!$J$24:$P$28,7,FALSE))/1440),1,0)</f>
        <v>1</v>
      </c>
      <c r="Z141" s="2">
        <f>IF(AND(VLOOKUP(Z$1,test!$A$3:$F$32,5,FALSE) - VLOOKUP($B141,test!$A$3:$G$32,6,FALSE) &gt;= (test!$B$37+VLOOKUP(VLOOKUP($B141,test!$A$2:$I$32,4,FALSE),test!$J$24:$P$28,7,FALSE))/1440),1,0)</f>
        <v>0</v>
      </c>
      <c r="AA141" s="2">
        <f>IF(AND(VLOOKUP(AA$1,test!$A$3:$F$32,5,FALSE) - VLOOKUP($B141,test!$A$3:$G$32,6,FALSE) &gt;= (test!$B$37+VLOOKUP(VLOOKUP($B141,test!$A$2:$I$32,4,FALSE),test!$J$24:$P$28,7,FALSE))/1440),1,0)</f>
        <v>0</v>
      </c>
      <c r="AB141" s="2">
        <f>IF(AND(VLOOKUP(AB$1,test!$A$3:$F$32,5,FALSE) - VLOOKUP($B141,test!$A$3:$G$32,6,FALSE) &gt;= (test!$B$37+VLOOKUP(VLOOKUP($B141,test!$A$2:$I$32,4,FALSE),test!$J$24:$P$28,7,FALSE))/1440),1,0)</f>
        <v>1</v>
      </c>
      <c r="AC141" s="2">
        <f>IF(AND(VLOOKUP(AC$1,test!$A$3:$F$32,5,FALSE) - VLOOKUP($B141,test!$A$3:$G$32,6,FALSE) &gt;= (test!$B$37+VLOOKUP(VLOOKUP($B141,test!$A$2:$I$32,4,FALSE),test!$J$24:$P$28,7,FALSE))/1440),1,0)</f>
        <v>1</v>
      </c>
      <c r="AD141" s="2">
        <f>IF(AND(VLOOKUP(AD$1,test!$A$3:$F$32,5,FALSE) - VLOOKUP($B141,test!$A$3:$G$32,6,FALSE) &gt;= (test!$B$37+VLOOKUP(VLOOKUP($B141,test!$A$2:$I$32,4,FALSE),test!$J$24:$P$28,7,FALSE))/1440),1,0)</f>
        <v>1</v>
      </c>
      <c r="AE141" s="2">
        <f>IF(AND(VLOOKUP(AE$1,test!$A$3:$F$32,5,FALSE) - VLOOKUP($B141,test!$A$3:$G$32,6,FALSE) &gt;= (test!$B$37+VLOOKUP(VLOOKUP($B141,test!$A$2:$I$32,4,FALSE),test!$J$24:$P$28,7,FALSE))/1440),1,0)</f>
        <v>0</v>
      </c>
      <c r="AF141" s="2">
        <f>IF(AND(VLOOKUP(AF$1,test!$A$3:$F$32,5,FALSE) - VLOOKUP($B141,test!$A$3:$G$32,6,FALSE) &gt;= (test!$B$37+VLOOKUP(VLOOKUP($B141,test!$A$2:$I$32,4,FALSE),test!$J$24:$P$28,7,FALSE))/1440),1,0)</f>
        <v>1</v>
      </c>
      <c r="AG141" s="2">
        <f>IF(AND(VLOOKUP(AG$1,test!$A$3:$F$32,5,FALSE) - VLOOKUP($B141,test!$A$3:$G$32,6,FALSE) &gt;= (test!$B$37+VLOOKUP(VLOOKUP($B141,test!$A$2:$I$32,4,FALSE),test!$J$24:$P$28,7,FALSE))/1440),1,0)</f>
        <v>0</v>
      </c>
    </row>
    <row r="142" spans="1:33" x14ac:dyDescent="0.25">
      <c r="A142" t="s">
        <v>99</v>
      </c>
      <c r="B142" t="s">
        <v>27</v>
      </c>
      <c r="C142">
        <v>0</v>
      </c>
      <c r="D142" s="2">
        <f>IF(AND(VLOOKUP(D$1,test!$A$3:$F$32,5,FALSE) - VLOOKUP($B142,test!$A$3:$G$32,6,FALSE) &gt;= (test!$B$37+VLOOKUP(VLOOKUP($B142,test!$A$2:$I$32,4,FALSE),test!$J$24:$P$28,7,FALSE))/1440),1,0)</f>
        <v>0</v>
      </c>
      <c r="E142" s="2">
        <f>IF(AND(VLOOKUP(E$1,test!$A$3:$F$32,5,FALSE) - VLOOKUP($B142,test!$A$3:$G$32,6,FALSE) &gt;= (test!$B$37+VLOOKUP(VLOOKUP($B142,test!$A$2:$I$32,4,FALSE),test!$J$24:$P$28,7,FALSE))/1440),1,0)</f>
        <v>0</v>
      </c>
      <c r="F142" s="2">
        <f>IF(AND(VLOOKUP(F$1,test!$A$3:$F$32,5,FALSE) - VLOOKUP($B142,test!$A$3:$G$32,6,FALSE) &gt;= (test!$B$37+VLOOKUP(VLOOKUP($B142,test!$A$2:$I$32,4,FALSE),test!$J$24:$P$28,7,FALSE))/1440),1,0)</f>
        <v>0</v>
      </c>
      <c r="G142" s="2">
        <f>IF(AND(VLOOKUP(G$1,test!$A$3:$F$32,5,FALSE) - VLOOKUP($B142,test!$A$3:$G$32,6,FALSE) &gt;= (test!$B$37+VLOOKUP(VLOOKUP($B142,test!$A$2:$I$32,4,FALSE),test!$J$24:$P$28,7,FALSE))/1440),1,0)</f>
        <v>1</v>
      </c>
      <c r="H142" s="2">
        <f>IF(AND(VLOOKUP(H$1,test!$A$3:$F$32,5,FALSE) - VLOOKUP($B142,test!$A$3:$G$32,6,FALSE) &gt;= (test!$B$37+VLOOKUP(VLOOKUP($B142,test!$A$2:$I$32,4,FALSE),test!$J$24:$P$28,7,FALSE))/1440),1,0)</f>
        <v>1</v>
      </c>
      <c r="I142" s="2">
        <f>IF(AND(VLOOKUP(I$1,test!$A$3:$F$32,5,FALSE) - VLOOKUP($B142,test!$A$3:$G$32,6,FALSE) &gt;= (test!$B$37+VLOOKUP(VLOOKUP($B142,test!$A$2:$I$32,4,FALSE),test!$J$24:$P$28,7,FALSE))/1440),1,0)</f>
        <v>1</v>
      </c>
      <c r="J142" s="2">
        <f>IF(AND(VLOOKUP(J$1,test!$A$3:$F$32,5,FALSE) - VLOOKUP($B142,test!$A$3:$G$32,6,FALSE) &gt;= (test!$B$37+VLOOKUP(VLOOKUP($B142,test!$A$2:$I$32,4,FALSE),test!$J$24:$P$28,7,FALSE))/1440),1,0)</f>
        <v>1</v>
      </c>
      <c r="K142" s="2">
        <f>IF(AND(VLOOKUP(K$1,test!$A$3:$F$32,5,FALSE) - VLOOKUP($B142,test!$A$3:$G$32,6,FALSE) &gt;= (test!$B$37+VLOOKUP(VLOOKUP($B142,test!$A$2:$I$32,4,FALSE),test!$J$24:$P$28,7,FALSE))/1440),1,0)</f>
        <v>1</v>
      </c>
      <c r="L142" s="2">
        <f>IF(AND(VLOOKUP(L$1,test!$A$3:$F$32,5,FALSE) - VLOOKUP($B142,test!$A$3:$G$32,6,FALSE) &gt;= (test!$B$37+VLOOKUP(VLOOKUP($B142,test!$A$2:$I$32,4,FALSE),test!$J$24:$P$28,7,FALSE))/1440),1,0)</f>
        <v>0</v>
      </c>
      <c r="M142" s="2">
        <f>IF(AND(VLOOKUP(M$1,test!$A$3:$F$32,5,FALSE) - VLOOKUP($B142,test!$A$3:$G$32,6,FALSE) &gt;= (test!$B$37+VLOOKUP(VLOOKUP($B142,test!$A$2:$I$32,4,FALSE),test!$J$24:$P$28,7,FALSE))/1440),1,0)</f>
        <v>0</v>
      </c>
      <c r="N142" s="2">
        <f>IF(AND(VLOOKUP(N$1,test!$A$3:$F$32,5,FALSE) - VLOOKUP($B142,test!$A$3:$G$32,6,FALSE) &gt;= (test!$B$37+VLOOKUP(VLOOKUP($B142,test!$A$2:$I$32,4,FALSE),test!$J$24:$P$28,7,FALSE))/1440),1,0)</f>
        <v>0</v>
      </c>
      <c r="O142" s="2">
        <f>IF(AND(VLOOKUP(O$1,test!$A$3:$F$32,5,FALSE) - VLOOKUP($B142,test!$A$3:$G$32,6,FALSE) &gt;= (test!$B$37+VLOOKUP(VLOOKUP($B142,test!$A$2:$I$32,4,FALSE),test!$J$24:$P$28,7,FALSE))/1440),1,0)</f>
        <v>1</v>
      </c>
      <c r="P142" s="2">
        <f>IF(AND(VLOOKUP(P$1,test!$A$3:$F$32,5,FALSE) - VLOOKUP($B142,test!$A$3:$G$32,6,FALSE) &gt;= (test!$B$37+VLOOKUP(VLOOKUP($B142,test!$A$2:$I$32,4,FALSE),test!$J$24:$P$28,7,FALSE))/1440),1,0)</f>
        <v>1</v>
      </c>
      <c r="Q142" s="2">
        <f>IF(AND(VLOOKUP(Q$1,test!$A$3:$F$32,5,FALSE) - VLOOKUP($B142,test!$A$3:$G$32,6,FALSE) &gt;= (test!$B$37+VLOOKUP(VLOOKUP($B142,test!$A$2:$I$32,4,FALSE),test!$J$24:$P$28,7,FALSE))/1440),1,0)</f>
        <v>0</v>
      </c>
      <c r="R142" s="2">
        <f>IF(AND(VLOOKUP(R$1,test!$A$3:$F$32,5,FALSE) - VLOOKUP($B142,test!$A$3:$G$32,6,FALSE) &gt;= (test!$B$37+VLOOKUP(VLOOKUP($B142,test!$A$2:$I$32,4,FALSE),test!$J$24:$P$28,7,FALSE))/1440),1,0)</f>
        <v>0</v>
      </c>
      <c r="S142" s="2">
        <f>IF(AND(VLOOKUP(S$1,test!$A$3:$F$32,5,FALSE) - VLOOKUP($B142,test!$A$3:$G$32,6,FALSE) &gt;= (test!$B$37+VLOOKUP(VLOOKUP($B142,test!$A$2:$I$32,4,FALSE),test!$J$24:$P$28,7,FALSE))/1440),1,0)</f>
        <v>0</v>
      </c>
      <c r="T142" s="2">
        <f>IF(AND(VLOOKUP(T$1,test!$A$3:$F$32,5,FALSE) - VLOOKUP($B142,test!$A$3:$G$32,6,FALSE) &gt;= (test!$B$37+VLOOKUP(VLOOKUP($B142,test!$A$2:$I$32,4,FALSE),test!$J$24:$P$28,7,FALSE))/1440),1,0)</f>
        <v>0</v>
      </c>
      <c r="U142" s="2">
        <f>IF(AND(VLOOKUP(U$1,test!$A$3:$F$32,5,FALSE) - VLOOKUP($B142,test!$A$3:$G$32,6,FALSE) &gt;= (test!$B$37+VLOOKUP(VLOOKUP($B142,test!$A$2:$I$32,4,FALSE),test!$J$24:$P$28,7,FALSE))/1440),1,0)</f>
        <v>0</v>
      </c>
      <c r="V142" s="2">
        <f>IF(AND(VLOOKUP(V$1,test!$A$3:$F$32,5,FALSE) - VLOOKUP($B142,test!$A$3:$G$32,6,FALSE) &gt;= (test!$B$37+VLOOKUP(VLOOKUP($B142,test!$A$2:$I$32,4,FALSE),test!$J$24:$P$28,7,FALSE))/1440),1,0)</f>
        <v>0</v>
      </c>
      <c r="W142" s="2">
        <f>IF(AND(VLOOKUP(W$1,test!$A$3:$F$32,5,FALSE) - VLOOKUP($B142,test!$A$3:$G$32,6,FALSE) &gt;= (test!$B$37+VLOOKUP(VLOOKUP($B142,test!$A$2:$I$32,4,FALSE),test!$J$24:$P$28,7,FALSE))/1440),1,0)</f>
        <v>1</v>
      </c>
      <c r="X142" s="2">
        <f>IF(AND(VLOOKUP(X$1,test!$A$3:$F$32,5,FALSE) - VLOOKUP($B142,test!$A$3:$G$32,6,FALSE) &gt;= (test!$B$37+VLOOKUP(VLOOKUP($B142,test!$A$2:$I$32,4,FALSE),test!$J$24:$P$28,7,FALSE))/1440),1,0)</f>
        <v>1</v>
      </c>
      <c r="Y142" s="2">
        <f>IF(AND(VLOOKUP(Y$1,test!$A$3:$F$32,5,FALSE) - VLOOKUP($B142,test!$A$3:$G$32,6,FALSE) &gt;= (test!$B$37+VLOOKUP(VLOOKUP($B142,test!$A$2:$I$32,4,FALSE),test!$J$24:$P$28,7,FALSE))/1440),1,0)</f>
        <v>1</v>
      </c>
      <c r="Z142" s="2">
        <f>IF(AND(VLOOKUP(Z$1,test!$A$3:$F$32,5,FALSE) - VLOOKUP($B142,test!$A$3:$G$32,6,FALSE) &gt;= (test!$B$37+VLOOKUP(VLOOKUP($B142,test!$A$2:$I$32,4,FALSE),test!$J$24:$P$28,7,FALSE))/1440),1,0)</f>
        <v>0</v>
      </c>
      <c r="AA142" s="2">
        <f>IF(AND(VLOOKUP(AA$1,test!$A$3:$F$32,5,FALSE) - VLOOKUP($B142,test!$A$3:$G$32,6,FALSE) &gt;= (test!$B$37+VLOOKUP(VLOOKUP($B142,test!$A$2:$I$32,4,FALSE),test!$J$24:$P$28,7,FALSE))/1440),1,0)</f>
        <v>0</v>
      </c>
      <c r="AB142" s="2">
        <f>IF(AND(VLOOKUP(AB$1,test!$A$3:$F$32,5,FALSE) - VLOOKUP($B142,test!$A$3:$G$32,6,FALSE) &gt;= (test!$B$37+VLOOKUP(VLOOKUP($B142,test!$A$2:$I$32,4,FALSE),test!$J$24:$P$28,7,FALSE))/1440),1,0)</f>
        <v>0</v>
      </c>
      <c r="AC142" s="2">
        <f>IF(AND(VLOOKUP(AC$1,test!$A$3:$F$32,5,FALSE) - VLOOKUP($B142,test!$A$3:$G$32,6,FALSE) &gt;= (test!$B$37+VLOOKUP(VLOOKUP($B142,test!$A$2:$I$32,4,FALSE),test!$J$24:$P$28,7,FALSE))/1440),1,0)</f>
        <v>1</v>
      </c>
      <c r="AD142" s="2">
        <f>IF(AND(VLOOKUP(AD$1,test!$A$3:$F$32,5,FALSE) - VLOOKUP($B142,test!$A$3:$G$32,6,FALSE) &gt;= (test!$B$37+VLOOKUP(VLOOKUP($B142,test!$A$2:$I$32,4,FALSE),test!$J$24:$P$28,7,FALSE))/1440),1,0)</f>
        <v>1</v>
      </c>
      <c r="AE142" s="2">
        <f>IF(AND(VLOOKUP(AE$1,test!$A$3:$F$32,5,FALSE) - VLOOKUP($B142,test!$A$3:$G$32,6,FALSE) &gt;= (test!$B$37+VLOOKUP(VLOOKUP($B142,test!$A$2:$I$32,4,FALSE),test!$J$24:$P$28,7,FALSE))/1440),1,0)</f>
        <v>0</v>
      </c>
      <c r="AF142" s="2">
        <f>IF(AND(VLOOKUP(AF$1,test!$A$3:$F$32,5,FALSE) - VLOOKUP($B142,test!$A$3:$G$32,6,FALSE) &gt;= (test!$B$37+VLOOKUP(VLOOKUP($B142,test!$A$2:$I$32,4,FALSE),test!$J$24:$P$28,7,FALSE))/1440),1,0)</f>
        <v>0</v>
      </c>
      <c r="AG142" s="2">
        <f>IF(AND(VLOOKUP(AG$1,test!$A$3:$F$32,5,FALSE) - VLOOKUP($B142,test!$A$3:$G$32,6,FALSE) &gt;= (test!$B$37+VLOOKUP(VLOOKUP($B142,test!$A$2:$I$32,4,FALSE),test!$J$24:$P$28,7,FALSE))/1440),1,0)</f>
        <v>0</v>
      </c>
    </row>
    <row r="143" spans="1:33" x14ac:dyDescent="0.25">
      <c r="A143" t="s">
        <v>99</v>
      </c>
      <c r="B143" t="s">
        <v>28</v>
      </c>
      <c r="C143">
        <v>0</v>
      </c>
      <c r="D143" s="2">
        <f>IF(AND(VLOOKUP(D$1,test!$A$3:$F$32,5,FALSE) - VLOOKUP($B143,test!$A$3:$G$32,6,FALSE) &gt;= (test!$B$37+VLOOKUP(VLOOKUP($B143,test!$A$2:$I$32,4,FALSE),test!$J$24:$P$28,7,FALSE))/1440),1,0)</f>
        <v>0</v>
      </c>
      <c r="E143" s="2">
        <f>IF(AND(VLOOKUP(E$1,test!$A$3:$F$32,5,FALSE) - VLOOKUP($B143,test!$A$3:$G$32,6,FALSE) &gt;= (test!$B$37+VLOOKUP(VLOOKUP($B143,test!$A$2:$I$32,4,FALSE),test!$J$24:$P$28,7,FALSE))/1440),1,0)</f>
        <v>0</v>
      </c>
      <c r="F143" s="2">
        <f>IF(AND(VLOOKUP(F$1,test!$A$3:$F$32,5,FALSE) - VLOOKUP($B143,test!$A$3:$G$32,6,FALSE) &gt;= (test!$B$37+VLOOKUP(VLOOKUP($B143,test!$A$2:$I$32,4,FALSE),test!$J$24:$P$28,7,FALSE))/1440),1,0)</f>
        <v>0</v>
      </c>
      <c r="G143" s="2">
        <f>IF(AND(VLOOKUP(G$1,test!$A$3:$F$32,5,FALSE) - VLOOKUP($B143,test!$A$3:$G$32,6,FALSE) &gt;= (test!$B$37+VLOOKUP(VLOOKUP($B143,test!$A$2:$I$32,4,FALSE),test!$J$24:$P$28,7,FALSE))/1440),1,0)</f>
        <v>0</v>
      </c>
      <c r="H143" s="2">
        <f>IF(AND(VLOOKUP(H$1,test!$A$3:$F$32,5,FALSE) - VLOOKUP($B143,test!$A$3:$G$32,6,FALSE) &gt;= (test!$B$37+VLOOKUP(VLOOKUP($B143,test!$A$2:$I$32,4,FALSE),test!$J$24:$P$28,7,FALSE))/1440),1,0)</f>
        <v>0</v>
      </c>
      <c r="I143" s="2">
        <f>IF(AND(VLOOKUP(I$1,test!$A$3:$F$32,5,FALSE) - VLOOKUP($B143,test!$A$3:$G$32,6,FALSE) &gt;= (test!$B$37+VLOOKUP(VLOOKUP($B143,test!$A$2:$I$32,4,FALSE),test!$J$24:$P$28,7,FALSE))/1440),1,0)</f>
        <v>1</v>
      </c>
      <c r="J143" s="2">
        <f>IF(AND(VLOOKUP(J$1,test!$A$3:$F$32,5,FALSE) - VLOOKUP($B143,test!$A$3:$G$32,6,FALSE) &gt;= (test!$B$37+VLOOKUP(VLOOKUP($B143,test!$A$2:$I$32,4,FALSE),test!$J$24:$P$28,7,FALSE))/1440),1,0)</f>
        <v>1</v>
      </c>
      <c r="K143" s="2">
        <f>IF(AND(VLOOKUP(K$1,test!$A$3:$F$32,5,FALSE) - VLOOKUP($B143,test!$A$3:$G$32,6,FALSE) &gt;= (test!$B$37+VLOOKUP(VLOOKUP($B143,test!$A$2:$I$32,4,FALSE),test!$J$24:$P$28,7,FALSE))/1440),1,0)</f>
        <v>1</v>
      </c>
      <c r="L143" s="2">
        <f>IF(AND(VLOOKUP(L$1,test!$A$3:$F$32,5,FALSE) - VLOOKUP($B143,test!$A$3:$G$32,6,FALSE) &gt;= (test!$B$37+VLOOKUP(VLOOKUP($B143,test!$A$2:$I$32,4,FALSE),test!$J$24:$P$28,7,FALSE))/1440),1,0)</f>
        <v>0</v>
      </c>
      <c r="M143" s="2">
        <f>IF(AND(VLOOKUP(M$1,test!$A$3:$F$32,5,FALSE) - VLOOKUP($B143,test!$A$3:$G$32,6,FALSE) &gt;= (test!$B$37+VLOOKUP(VLOOKUP($B143,test!$A$2:$I$32,4,FALSE),test!$J$24:$P$28,7,FALSE))/1440),1,0)</f>
        <v>0</v>
      </c>
      <c r="N143" s="2">
        <f>IF(AND(VLOOKUP(N$1,test!$A$3:$F$32,5,FALSE) - VLOOKUP($B143,test!$A$3:$G$32,6,FALSE) &gt;= (test!$B$37+VLOOKUP(VLOOKUP($B143,test!$A$2:$I$32,4,FALSE),test!$J$24:$P$28,7,FALSE))/1440),1,0)</f>
        <v>0</v>
      </c>
      <c r="O143" s="2">
        <f>IF(AND(VLOOKUP(O$1,test!$A$3:$F$32,5,FALSE) - VLOOKUP($B143,test!$A$3:$G$32,6,FALSE) &gt;= (test!$B$37+VLOOKUP(VLOOKUP($B143,test!$A$2:$I$32,4,FALSE),test!$J$24:$P$28,7,FALSE))/1440),1,0)</f>
        <v>1</v>
      </c>
      <c r="P143" s="2">
        <f>IF(AND(VLOOKUP(P$1,test!$A$3:$F$32,5,FALSE) - VLOOKUP($B143,test!$A$3:$G$32,6,FALSE) &gt;= (test!$B$37+VLOOKUP(VLOOKUP($B143,test!$A$2:$I$32,4,FALSE),test!$J$24:$P$28,7,FALSE))/1440),1,0)</f>
        <v>1</v>
      </c>
      <c r="Q143" s="2">
        <f>IF(AND(VLOOKUP(Q$1,test!$A$3:$F$32,5,FALSE) - VLOOKUP($B143,test!$A$3:$G$32,6,FALSE) &gt;= (test!$B$37+VLOOKUP(VLOOKUP($B143,test!$A$2:$I$32,4,FALSE),test!$J$24:$P$28,7,FALSE))/1440),1,0)</f>
        <v>0</v>
      </c>
      <c r="R143" s="2">
        <f>IF(AND(VLOOKUP(R$1,test!$A$3:$F$32,5,FALSE) - VLOOKUP($B143,test!$A$3:$G$32,6,FALSE) &gt;= (test!$B$37+VLOOKUP(VLOOKUP($B143,test!$A$2:$I$32,4,FALSE),test!$J$24:$P$28,7,FALSE))/1440),1,0)</f>
        <v>0</v>
      </c>
      <c r="S143" s="2">
        <f>IF(AND(VLOOKUP(S$1,test!$A$3:$F$32,5,FALSE) - VLOOKUP($B143,test!$A$3:$G$32,6,FALSE) &gt;= (test!$B$37+VLOOKUP(VLOOKUP($B143,test!$A$2:$I$32,4,FALSE),test!$J$24:$P$28,7,FALSE))/1440),1,0)</f>
        <v>0</v>
      </c>
      <c r="T143" s="2">
        <f>IF(AND(VLOOKUP(T$1,test!$A$3:$F$32,5,FALSE) - VLOOKUP($B143,test!$A$3:$G$32,6,FALSE) &gt;= (test!$B$37+VLOOKUP(VLOOKUP($B143,test!$A$2:$I$32,4,FALSE),test!$J$24:$P$28,7,FALSE))/1440),1,0)</f>
        <v>0</v>
      </c>
      <c r="U143" s="2">
        <f>IF(AND(VLOOKUP(U$1,test!$A$3:$F$32,5,FALSE) - VLOOKUP($B143,test!$A$3:$G$32,6,FALSE) &gt;= (test!$B$37+VLOOKUP(VLOOKUP($B143,test!$A$2:$I$32,4,FALSE),test!$J$24:$P$28,7,FALSE))/1440),1,0)</f>
        <v>0</v>
      </c>
      <c r="V143" s="2">
        <f>IF(AND(VLOOKUP(V$1,test!$A$3:$F$32,5,FALSE) - VLOOKUP($B143,test!$A$3:$G$32,6,FALSE) &gt;= (test!$B$37+VLOOKUP(VLOOKUP($B143,test!$A$2:$I$32,4,FALSE),test!$J$24:$P$28,7,FALSE))/1440),1,0)</f>
        <v>0</v>
      </c>
      <c r="W143" s="2">
        <f>IF(AND(VLOOKUP(W$1,test!$A$3:$F$32,5,FALSE) - VLOOKUP($B143,test!$A$3:$G$32,6,FALSE) &gt;= (test!$B$37+VLOOKUP(VLOOKUP($B143,test!$A$2:$I$32,4,FALSE),test!$J$24:$P$28,7,FALSE))/1440),1,0)</f>
        <v>0</v>
      </c>
      <c r="X143" s="2">
        <f>IF(AND(VLOOKUP(X$1,test!$A$3:$F$32,5,FALSE) - VLOOKUP($B143,test!$A$3:$G$32,6,FALSE) &gt;= (test!$B$37+VLOOKUP(VLOOKUP($B143,test!$A$2:$I$32,4,FALSE),test!$J$24:$P$28,7,FALSE))/1440),1,0)</f>
        <v>1</v>
      </c>
      <c r="Y143" s="2">
        <f>IF(AND(VLOOKUP(Y$1,test!$A$3:$F$32,5,FALSE) - VLOOKUP($B143,test!$A$3:$G$32,6,FALSE) &gt;= (test!$B$37+VLOOKUP(VLOOKUP($B143,test!$A$2:$I$32,4,FALSE),test!$J$24:$P$28,7,FALSE))/1440),1,0)</f>
        <v>1</v>
      </c>
      <c r="Z143" s="2">
        <f>IF(AND(VLOOKUP(Z$1,test!$A$3:$F$32,5,FALSE) - VLOOKUP($B143,test!$A$3:$G$32,6,FALSE) &gt;= (test!$B$37+VLOOKUP(VLOOKUP($B143,test!$A$2:$I$32,4,FALSE),test!$J$24:$P$28,7,FALSE))/1440),1,0)</f>
        <v>0</v>
      </c>
      <c r="AA143" s="2">
        <f>IF(AND(VLOOKUP(AA$1,test!$A$3:$F$32,5,FALSE) - VLOOKUP($B143,test!$A$3:$G$32,6,FALSE) &gt;= (test!$B$37+VLOOKUP(VLOOKUP($B143,test!$A$2:$I$32,4,FALSE),test!$J$24:$P$28,7,FALSE))/1440),1,0)</f>
        <v>0</v>
      </c>
      <c r="AB143" s="2">
        <f>IF(AND(VLOOKUP(AB$1,test!$A$3:$F$32,5,FALSE) - VLOOKUP($B143,test!$A$3:$G$32,6,FALSE) &gt;= (test!$B$37+VLOOKUP(VLOOKUP($B143,test!$A$2:$I$32,4,FALSE),test!$J$24:$P$28,7,FALSE))/1440),1,0)</f>
        <v>0</v>
      </c>
      <c r="AC143" s="2">
        <f>IF(AND(VLOOKUP(AC$1,test!$A$3:$F$32,5,FALSE) - VLOOKUP($B143,test!$A$3:$G$32,6,FALSE) &gt;= (test!$B$37+VLOOKUP(VLOOKUP($B143,test!$A$2:$I$32,4,FALSE),test!$J$24:$P$28,7,FALSE))/1440),1,0)</f>
        <v>0</v>
      </c>
      <c r="AD143" s="2">
        <f>IF(AND(VLOOKUP(AD$1,test!$A$3:$F$32,5,FALSE) - VLOOKUP($B143,test!$A$3:$G$32,6,FALSE) &gt;= (test!$B$37+VLOOKUP(VLOOKUP($B143,test!$A$2:$I$32,4,FALSE),test!$J$24:$P$28,7,FALSE))/1440),1,0)</f>
        <v>1</v>
      </c>
      <c r="AE143" s="2">
        <f>IF(AND(VLOOKUP(AE$1,test!$A$3:$F$32,5,FALSE) - VLOOKUP($B143,test!$A$3:$G$32,6,FALSE) &gt;= (test!$B$37+VLOOKUP(VLOOKUP($B143,test!$A$2:$I$32,4,FALSE),test!$J$24:$P$28,7,FALSE))/1440),1,0)</f>
        <v>0</v>
      </c>
      <c r="AF143" s="2">
        <f>IF(AND(VLOOKUP(AF$1,test!$A$3:$F$32,5,FALSE) - VLOOKUP($B143,test!$A$3:$G$32,6,FALSE) &gt;= (test!$B$37+VLOOKUP(VLOOKUP($B143,test!$A$2:$I$32,4,FALSE),test!$J$24:$P$28,7,FALSE))/1440),1,0)</f>
        <v>0</v>
      </c>
      <c r="AG143" s="2">
        <f>IF(AND(VLOOKUP(AG$1,test!$A$3:$F$32,5,FALSE) - VLOOKUP($B143,test!$A$3:$G$32,6,FALSE) &gt;= (test!$B$37+VLOOKUP(VLOOKUP($B143,test!$A$2:$I$32,4,FALSE),test!$J$24:$P$28,7,FALSE))/1440),1,0)</f>
        <v>0</v>
      </c>
    </row>
    <row r="144" spans="1:33" x14ac:dyDescent="0.25">
      <c r="A144" t="s">
        <v>99</v>
      </c>
      <c r="B144" t="s">
        <v>29</v>
      </c>
      <c r="C144">
        <v>0</v>
      </c>
      <c r="D144" s="2">
        <f>IF(AND(VLOOKUP(D$1,test!$A$3:$F$32,5,FALSE) - VLOOKUP($B144,test!$A$3:$G$32,6,FALSE) &gt;= (test!$B$37+VLOOKUP(VLOOKUP($B144,test!$A$2:$I$32,4,FALSE),test!$J$24:$P$28,7,FALSE))/1440),1,0)</f>
        <v>0</v>
      </c>
      <c r="E144" s="2">
        <f>IF(AND(VLOOKUP(E$1,test!$A$3:$F$32,5,FALSE) - VLOOKUP($B144,test!$A$3:$G$32,6,FALSE) &gt;= (test!$B$37+VLOOKUP(VLOOKUP($B144,test!$A$2:$I$32,4,FALSE),test!$J$24:$P$28,7,FALSE))/1440),1,0)</f>
        <v>0</v>
      </c>
      <c r="F144" s="2">
        <f>IF(AND(VLOOKUP(F$1,test!$A$3:$F$32,5,FALSE) - VLOOKUP($B144,test!$A$3:$G$32,6,FALSE) &gt;= (test!$B$37+VLOOKUP(VLOOKUP($B144,test!$A$2:$I$32,4,FALSE),test!$J$24:$P$28,7,FALSE))/1440),1,0)</f>
        <v>0</v>
      </c>
      <c r="G144" s="2">
        <f>IF(AND(VLOOKUP(G$1,test!$A$3:$F$32,5,FALSE) - VLOOKUP($B144,test!$A$3:$G$32,6,FALSE) &gt;= (test!$B$37+VLOOKUP(VLOOKUP($B144,test!$A$2:$I$32,4,FALSE),test!$J$24:$P$28,7,FALSE))/1440),1,0)</f>
        <v>0</v>
      </c>
      <c r="H144" s="2">
        <f>IF(AND(VLOOKUP(H$1,test!$A$3:$F$32,5,FALSE) - VLOOKUP($B144,test!$A$3:$G$32,6,FALSE) &gt;= (test!$B$37+VLOOKUP(VLOOKUP($B144,test!$A$2:$I$32,4,FALSE),test!$J$24:$P$28,7,FALSE))/1440),1,0)</f>
        <v>0</v>
      </c>
      <c r="I144" s="2">
        <f>IF(AND(VLOOKUP(I$1,test!$A$3:$F$32,5,FALSE) - VLOOKUP($B144,test!$A$3:$G$32,6,FALSE) &gt;= (test!$B$37+VLOOKUP(VLOOKUP($B144,test!$A$2:$I$32,4,FALSE),test!$J$24:$P$28,7,FALSE))/1440),1,0)</f>
        <v>0</v>
      </c>
      <c r="J144" s="2">
        <f>IF(AND(VLOOKUP(J$1,test!$A$3:$F$32,5,FALSE) - VLOOKUP($B144,test!$A$3:$G$32,6,FALSE) &gt;= (test!$B$37+VLOOKUP(VLOOKUP($B144,test!$A$2:$I$32,4,FALSE),test!$J$24:$P$28,7,FALSE))/1440),1,0)</f>
        <v>1</v>
      </c>
      <c r="K144" s="2">
        <f>IF(AND(VLOOKUP(K$1,test!$A$3:$F$32,5,FALSE) - VLOOKUP($B144,test!$A$3:$G$32,6,FALSE) &gt;= (test!$B$37+VLOOKUP(VLOOKUP($B144,test!$A$2:$I$32,4,FALSE),test!$J$24:$P$28,7,FALSE))/1440),1,0)</f>
        <v>1</v>
      </c>
      <c r="L144" s="2">
        <f>IF(AND(VLOOKUP(L$1,test!$A$3:$F$32,5,FALSE) - VLOOKUP($B144,test!$A$3:$G$32,6,FALSE) &gt;= (test!$B$37+VLOOKUP(VLOOKUP($B144,test!$A$2:$I$32,4,FALSE),test!$J$24:$P$28,7,FALSE))/1440),1,0)</f>
        <v>0</v>
      </c>
      <c r="M144" s="2">
        <f>IF(AND(VLOOKUP(M$1,test!$A$3:$F$32,5,FALSE) - VLOOKUP($B144,test!$A$3:$G$32,6,FALSE) &gt;= (test!$B$37+VLOOKUP(VLOOKUP($B144,test!$A$2:$I$32,4,FALSE),test!$J$24:$P$28,7,FALSE))/1440),1,0)</f>
        <v>0</v>
      </c>
      <c r="N144" s="2">
        <f>IF(AND(VLOOKUP(N$1,test!$A$3:$F$32,5,FALSE) - VLOOKUP($B144,test!$A$3:$G$32,6,FALSE) &gt;= (test!$B$37+VLOOKUP(VLOOKUP($B144,test!$A$2:$I$32,4,FALSE),test!$J$24:$P$28,7,FALSE))/1440),1,0)</f>
        <v>0</v>
      </c>
      <c r="O144" s="2">
        <f>IF(AND(VLOOKUP(O$1,test!$A$3:$F$32,5,FALSE) - VLOOKUP($B144,test!$A$3:$G$32,6,FALSE) &gt;= (test!$B$37+VLOOKUP(VLOOKUP($B144,test!$A$2:$I$32,4,FALSE),test!$J$24:$P$28,7,FALSE))/1440),1,0)</f>
        <v>1</v>
      </c>
      <c r="P144" s="2">
        <f>IF(AND(VLOOKUP(P$1,test!$A$3:$F$32,5,FALSE) - VLOOKUP($B144,test!$A$3:$G$32,6,FALSE) &gt;= (test!$B$37+VLOOKUP(VLOOKUP($B144,test!$A$2:$I$32,4,FALSE),test!$J$24:$P$28,7,FALSE))/1440),1,0)</f>
        <v>1</v>
      </c>
      <c r="Q144" s="2">
        <f>IF(AND(VLOOKUP(Q$1,test!$A$3:$F$32,5,FALSE) - VLOOKUP($B144,test!$A$3:$G$32,6,FALSE) &gt;= (test!$B$37+VLOOKUP(VLOOKUP($B144,test!$A$2:$I$32,4,FALSE),test!$J$24:$P$28,7,FALSE))/1440),1,0)</f>
        <v>0</v>
      </c>
      <c r="R144" s="2">
        <f>IF(AND(VLOOKUP(R$1,test!$A$3:$F$32,5,FALSE) - VLOOKUP($B144,test!$A$3:$G$32,6,FALSE) &gt;= (test!$B$37+VLOOKUP(VLOOKUP($B144,test!$A$2:$I$32,4,FALSE),test!$J$24:$P$28,7,FALSE))/1440),1,0)</f>
        <v>0</v>
      </c>
      <c r="S144" s="2">
        <f>IF(AND(VLOOKUP(S$1,test!$A$3:$F$32,5,FALSE) - VLOOKUP($B144,test!$A$3:$G$32,6,FALSE) &gt;= (test!$B$37+VLOOKUP(VLOOKUP($B144,test!$A$2:$I$32,4,FALSE),test!$J$24:$P$28,7,FALSE))/1440),1,0)</f>
        <v>0</v>
      </c>
      <c r="T144" s="2">
        <f>IF(AND(VLOOKUP(T$1,test!$A$3:$F$32,5,FALSE) - VLOOKUP($B144,test!$A$3:$G$32,6,FALSE) &gt;= (test!$B$37+VLOOKUP(VLOOKUP($B144,test!$A$2:$I$32,4,FALSE),test!$J$24:$P$28,7,FALSE))/1440),1,0)</f>
        <v>0</v>
      </c>
      <c r="U144" s="2">
        <f>IF(AND(VLOOKUP(U$1,test!$A$3:$F$32,5,FALSE) - VLOOKUP($B144,test!$A$3:$G$32,6,FALSE) &gt;= (test!$B$37+VLOOKUP(VLOOKUP($B144,test!$A$2:$I$32,4,FALSE),test!$J$24:$P$28,7,FALSE))/1440),1,0)</f>
        <v>0</v>
      </c>
      <c r="V144" s="2">
        <f>IF(AND(VLOOKUP(V$1,test!$A$3:$F$32,5,FALSE) - VLOOKUP($B144,test!$A$3:$G$32,6,FALSE) &gt;= (test!$B$37+VLOOKUP(VLOOKUP($B144,test!$A$2:$I$32,4,FALSE),test!$J$24:$P$28,7,FALSE))/1440),1,0)</f>
        <v>0</v>
      </c>
      <c r="W144" s="2">
        <f>IF(AND(VLOOKUP(W$1,test!$A$3:$F$32,5,FALSE) - VLOOKUP($B144,test!$A$3:$G$32,6,FALSE) &gt;= (test!$B$37+VLOOKUP(VLOOKUP($B144,test!$A$2:$I$32,4,FALSE),test!$J$24:$P$28,7,FALSE))/1440),1,0)</f>
        <v>0</v>
      </c>
      <c r="X144" s="2">
        <f>IF(AND(VLOOKUP(X$1,test!$A$3:$F$32,5,FALSE) - VLOOKUP($B144,test!$A$3:$G$32,6,FALSE) &gt;= (test!$B$37+VLOOKUP(VLOOKUP($B144,test!$A$2:$I$32,4,FALSE),test!$J$24:$P$28,7,FALSE))/1440),1,0)</f>
        <v>0</v>
      </c>
      <c r="Y144" s="2">
        <f>IF(AND(VLOOKUP(Y$1,test!$A$3:$F$32,5,FALSE) - VLOOKUP($B144,test!$A$3:$G$32,6,FALSE) &gt;= (test!$B$37+VLOOKUP(VLOOKUP($B144,test!$A$2:$I$32,4,FALSE),test!$J$24:$P$28,7,FALSE))/1440),1,0)</f>
        <v>1</v>
      </c>
      <c r="Z144" s="2">
        <f>IF(AND(VLOOKUP(Z$1,test!$A$3:$F$32,5,FALSE) - VLOOKUP($B144,test!$A$3:$G$32,6,FALSE) &gt;= (test!$B$37+VLOOKUP(VLOOKUP($B144,test!$A$2:$I$32,4,FALSE),test!$J$24:$P$28,7,FALSE))/1440),1,0)</f>
        <v>0</v>
      </c>
      <c r="AA144" s="2">
        <f>IF(AND(VLOOKUP(AA$1,test!$A$3:$F$32,5,FALSE) - VLOOKUP($B144,test!$A$3:$G$32,6,FALSE) &gt;= (test!$B$37+VLOOKUP(VLOOKUP($B144,test!$A$2:$I$32,4,FALSE),test!$J$24:$P$28,7,FALSE))/1440),1,0)</f>
        <v>0</v>
      </c>
      <c r="AB144" s="2">
        <f>IF(AND(VLOOKUP(AB$1,test!$A$3:$F$32,5,FALSE) - VLOOKUP($B144,test!$A$3:$G$32,6,FALSE) &gt;= (test!$B$37+VLOOKUP(VLOOKUP($B144,test!$A$2:$I$32,4,FALSE),test!$J$24:$P$28,7,FALSE))/1440),1,0)</f>
        <v>0</v>
      </c>
      <c r="AC144" s="2">
        <f>IF(AND(VLOOKUP(AC$1,test!$A$3:$F$32,5,FALSE) - VLOOKUP($B144,test!$A$3:$G$32,6,FALSE) &gt;= (test!$B$37+VLOOKUP(VLOOKUP($B144,test!$A$2:$I$32,4,FALSE),test!$J$24:$P$28,7,FALSE))/1440),1,0)</f>
        <v>0</v>
      </c>
      <c r="AD144" s="2">
        <f>IF(AND(VLOOKUP(AD$1,test!$A$3:$F$32,5,FALSE) - VLOOKUP($B144,test!$A$3:$G$32,6,FALSE) &gt;= (test!$B$37+VLOOKUP(VLOOKUP($B144,test!$A$2:$I$32,4,FALSE),test!$J$24:$P$28,7,FALSE))/1440),1,0)</f>
        <v>0</v>
      </c>
      <c r="AE144" s="2">
        <f>IF(AND(VLOOKUP(AE$1,test!$A$3:$F$32,5,FALSE) - VLOOKUP($B144,test!$A$3:$G$32,6,FALSE) &gt;= (test!$B$37+VLOOKUP(VLOOKUP($B144,test!$A$2:$I$32,4,FALSE),test!$J$24:$P$28,7,FALSE))/1440),1,0)</f>
        <v>0</v>
      </c>
      <c r="AF144" s="2">
        <f>IF(AND(VLOOKUP(AF$1,test!$A$3:$F$32,5,FALSE) - VLOOKUP($B144,test!$A$3:$G$32,6,FALSE) &gt;= (test!$B$37+VLOOKUP(VLOOKUP($B144,test!$A$2:$I$32,4,FALSE),test!$J$24:$P$28,7,FALSE))/1440),1,0)</f>
        <v>0</v>
      </c>
      <c r="AG144" s="2">
        <f>IF(AND(VLOOKUP(AG$1,test!$A$3:$F$32,5,FALSE) - VLOOKUP($B144,test!$A$3:$G$32,6,FALSE) &gt;= (test!$B$37+VLOOKUP(VLOOKUP($B144,test!$A$2:$I$32,4,FALSE),test!$J$24:$P$28,7,FALSE))/1440),1,0)</f>
        <v>0</v>
      </c>
    </row>
    <row r="145" spans="1:33" x14ac:dyDescent="0.25">
      <c r="A145" t="s">
        <v>99</v>
      </c>
      <c r="B145" t="s">
        <v>30</v>
      </c>
      <c r="C145">
        <v>0</v>
      </c>
      <c r="D145" s="2">
        <f>IF(AND(VLOOKUP(D$1,test!$A$3:$F$32,5,FALSE) - VLOOKUP($B145,test!$A$3:$G$32,6,FALSE) &gt;= (test!$B$37+VLOOKUP(VLOOKUP($B145,test!$A$2:$I$32,4,FALSE),test!$J$24:$P$28,7,FALSE))/1440),1,0)</f>
        <v>0</v>
      </c>
      <c r="E145" s="2">
        <f>IF(AND(VLOOKUP(E$1,test!$A$3:$F$32,5,FALSE) - VLOOKUP($B145,test!$A$3:$G$32,6,FALSE) &gt;= (test!$B$37+VLOOKUP(VLOOKUP($B145,test!$A$2:$I$32,4,FALSE),test!$J$24:$P$28,7,FALSE))/1440),1,0)</f>
        <v>0</v>
      </c>
      <c r="F145" s="2">
        <f>IF(AND(VLOOKUP(F$1,test!$A$3:$F$32,5,FALSE) - VLOOKUP($B145,test!$A$3:$G$32,6,FALSE) &gt;= (test!$B$37+VLOOKUP(VLOOKUP($B145,test!$A$2:$I$32,4,FALSE),test!$J$24:$P$28,7,FALSE))/1440),1,0)</f>
        <v>0</v>
      </c>
      <c r="G145" s="2">
        <f>IF(AND(VLOOKUP(G$1,test!$A$3:$F$32,5,FALSE) - VLOOKUP($B145,test!$A$3:$G$32,6,FALSE) &gt;= (test!$B$37+VLOOKUP(VLOOKUP($B145,test!$A$2:$I$32,4,FALSE),test!$J$24:$P$28,7,FALSE))/1440),1,0)</f>
        <v>0</v>
      </c>
      <c r="H145" s="2">
        <f>IF(AND(VLOOKUP(H$1,test!$A$3:$F$32,5,FALSE) - VLOOKUP($B145,test!$A$3:$G$32,6,FALSE) &gt;= (test!$B$37+VLOOKUP(VLOOKUP($B145,test!$A$2:$I$32,4,FALSE),test!$J$24:$P$28,7,FALSE))/1440),1,0)</f>
        <v>0</v>
      </c>
      <c r="I145" s="2">
        <f>IF(AND(VLOOKUP(I$1,test!$A$3:$F$32,5,FALSE) - VLOOKUP($B145,test!$A$3:$G$32,6,FALSE) &gt;= (test!$B$37+VLOOKUP(VLOOKUP($B145,test!$A$2:$I$32,4,FALSE),test!$J$24:$P$28,7,FALSE))/1440),1,0)</f>
        <v>0</v>
      </c>
      <c r="J145" s="2">
        <f>IF(AND(VLOOKUP(J$1,test!$A$3:$F$32,5,FALSE) - VLOOKUP($B145,test!$A$3:$G$32,6,FALSE) &gt;= (test!$B$37+VLOOKUP(VLOOKUP($B145,test!$A$2:$I$32,4,FALSE),test!$J$24:$P$28,7,FALSE))/1440),1,0)</f>
        <v>0</v>
      </c>
      <c r="K145" s="2">
        <f>IF(AND(VLOOKUP(K$1,test!$A$3:$F$32,5,FALSE) - VLOOKUP($B145,test!$A$3:$G$32,6,FALSE) &gt;= (test!$B$37+VLOOKUP(VLOOKUP($B145,test!$A$2:$I$32,4,FALSE),test!$J$24:$P$28,7,FALSE))/1440),1,0)</f>
        <v>1</v>
      </c>
      <c r="L145" s="2">
        <f>IF(AND(VLOOKUP(L$1,test!$A$3:$F$32,5,FALSE) - VLOOKUP($B145,test!$A$3:$G$32,6,FALSE) &gt;= (test!$B$37+VLOOKUP(VLOOKUP($B145,test!$A$2:$I$32,4,FALSE),test!$J$24:$P$28,7,FALSE))/1440),1,0)</f>
        <v>0</v>
      </c>
      <c r="M145" s="2">
        <f>IF(AND(VLOOKUP(M$1,test!$A$3:$F$32,5,FALSE) - VLOOKUP($B145,test!$A$3:$G$32,6,FALSE) &gt;= (test!$B$37+VLOOKUP(VLOOKUP($B145,test!$A$2:$I$32,4,FALSE),test!$J$24:$P$28,7,FALSE))/1440),1,0)</f>
        <v>0</v>
      </c>
      <c r="N145" s="2">
        <f>IF(AND(VLOOKUP(N$1,test!$A$3:$F$32,5,FALSE) - VLOOKUP($B145,test!$A$3:$G$32,6,FALSE) &gt;= (test!$B$37+VLOOKUP(VLOOKUP($B145,test!$A$2:$I$32,4,FALSE),test!$J$24:$P$28,7,FALSE))/1440),1,0)</f>
        <v>0</v>
      </c>
      <c r="O145" s="2">
        <f>IF(AND(VLOOKUP(O$1,test!$A$3:$F$32,5,FALSE) - VLOOKUP($B145,test!$A$3:$G$32,6,FALSE) &gt;= (test!$B$37+VLOOKUP(VLOOKUP($B145,test!$A$2:$I$32,4,FALSE),test!$J$24:$P$28,7,FALSE))/1440),1,0)</f>
        <v>0</v>
      </c>
      <c r="P145" s="2">
        <f>IF(AND(VLOOKUP(P$1,test!$A$3:$F$32,5,FALSE) - VLOOKUP($B145,test!$A$3:$G$32,6,FALSE) &gt;= (test!$B$37+VLOOKUP(VLOOKUP($B145,test!$A$2:$I$32,4,FALSE),test!$J$24:$P$28,7,FALSE))/1440),1,0)</f>
        <v>1</v>
      </c>
      <c r="Q145" s="2">
        <f>IF(AND(VLOOKUP(Q$1,test!$A$3:$F$32,5,FALSE) - VLOOKUP($B145,test!$A$3:$G$32,6,FALSE) &gt;= (test!$B$37+VLOOKUP(VLOOKUP($B145,test!$A$2:$I$32,4,FALSE),test!$J$24:$P$28,7,FALSE))/1440),1,0)</f>
        <v>0</v>
      </c>
      <c r="R145" s="2">
        <f>IF(AND(VLOOKUP(R$1,test!$A$3:$F$32,5,FALSE) - VLOOKUP($B145,test!$A$3:$G$32,6,FALSE) &gt;= (test!$B$37+VLOOKUP(VLOOKUP($B145,test!$A$2:$I$32,4,FALSE),test!$J$24:$P$28,7,FALSE))/1440),1,0)</f>
        <v>0</v>
      </c>
      <c r="S145" s="2">
        <f>IF(AND(VLOOKUP(S$1,test!$A$3:$F$32,5,FALSE) - VLOOKUP($B145,test!$A$3:$G$32,6,FALSE) &gt;= (test!$B$37+VLOOKUP(VLOOKUP($B145,test!$A$2:$I$32,4,FALSE),test!$J$24:$P$28,7,FALSE))/1440),1,0)</f>
        <v>0</v>
      </c>
      <c r="T145" s="2">
        <f>IF(AND(VLOOKUP(T$1,test!$A$3:$F$32,5,FALSE) - VLOOKUP($B145,test!$A$3:$G$32,6,FALSE) &gt;= (test!$B$37+VLOOKUP(VLOOKUP($B145,test!$A$2:$I$32,4,FALSE),test!$J$24:$P$28,7,FALSE))/1440),1,0)</f>
        <v>0</v>
      </c>
      <c r="U145" s="2">
        <f>IF(AND(VLOOKUP(U$1,test!$A$3:$F$32,5,FALSE) - VLOOKUP($B145,test!$A$3:$G$32,6,FALSE) &gt;= (test!$B$37+VLOOKUP(VLOOKUP($B145,test!$A$2:$I$32,4,FALSE),test!$J$24:$P$28,7,FALSE))/1440),1,0)</f>
        <v>0</v>
      </c>
      <c r="V145" s="2">
        <f>IF(AND(VLOOKUP(V$1,test!$A$3:$F$32,5,FALSE) - VLOOKUP($B145,test!$A$3:$G$32,6,FALSE) &gt;= (test!$B$37+VLOOKUP(VLOOKUP($B145,test!$A$2:$I$32,4,FALSE),test!$J$24:$P$28,7,FALSE))/1440),1,0)</f>
        <v>0</v>
      </c>
      <c r="W145" s="2">
        <f>IF(AND(VLOOKUP(W$1,test!$A$3:$F$32,5,FALSE) - VLOOKUP($B145,test!$A$3:$G$32,6,FALSE) &gt;= (test!$B$37+VLOOKUP(VLOOKUP($B145,test!$A$2:$I$32,4,FALSE),test!$J$24:$P$28,7,FALSE))/1440),1,0)</f>
        <v>0</v>
      </c>
      <c r="X145" s="2">
        <f>IF(AND(VLOOKUP(X$1,test!$A$3:$F$32,5,FALSE) - VLOOKUP($B145,test!$A$3:$G$32,6,FALSE) &gt;= (test!$B$37+VLOOKUP(VLOOKUP($B145,test!$A$2:$I$32,4,FALSE),test!$J$24:$P$28,7,FALSE))/1440),1,0)</f>
        <v>0</v>
      </c>
      <c r="Y145" s="2">
        <f>IF(AND(VLOOKUP(Y$1,test!$A$3:$F$32,5,FALSE) - VLOOKUP($B145,test!$A$3:$G$32,6,FALSE) &gt;= (test!$B$37+VLOOKUP(VLOOKUP($B145,test!$A$2:$I$32,4,FALSE),test!$J$24:$P$28,7,FALSE))/1440),1,0)</f>
        <v>0</v>
      </c>
      <c r="Z145" s="2">
        <f>IF(AND(VLOOKUP(Z$1,test!$A$3:$F$32,5,FALSE) - VLOOKUP($B145,test!$A$3:$G$32,6,FALSE) &gt;= (test!$B$37+VLOOKUP(VLOOKUP($B145,test!$A$2:$I$32,4,FALSE),test!$J$24:$P$28,7,FALSE))/1440),1,0)</f>
        <v>0</v>
      </c>
      <c r="AA145" s="2">
        <f>IF(AND(VLOOKUP(AA$1,test!$A$3:$F$32,5,FALSE) - VLOOKUP($B145,test!$A$3:$G$32,6,FALSE) &gt;= (test!$B$37+VLOOKUP(VLOOKUP($B145,test!$A$2:$I$32,4,FALSE),test!$J$24:$P$28,7,FALSE))/1440),1,0)</f>
        <v>0</v>
      </c>
      <c r="AB145" s="2">
        <f>IF(AND(VLOOKUP(AB$1,test!$A$3:$F$32,5,FALSE) - VLOOKUP($B145,test!$A$3:$G$32,6,FALSE) &gt;= (test!$B$37+VLOOKUP(VLOOKUP($B145,test!$A$2:$I$32,4,FALSE),test!$J$24:$P$28,7,FALSE))/1440),1,0)</f>
        <v>0</v>
      </c>
      <c r="AC145" s="2">
        <f>IF(AND(VLOOKUP(AC$1,test!$A$3:$F$32,5,FALSE) - VLOOKUP($B145,test!$A$3:$G$32,6,FALSE) &gt;= (test!$B$37+VLOOKUP(VLOOKUP($B145,test!$A$2:$I$32,4,FALSE),test!$J$24:$P$28,7,FALSE))/1440),1,0)</f>
        <v>0</v>
      </c>
      <c r="AD145" s="2">
        <f>IF(AND(VLOOKUP(AD$1,test!$A$3:$F$32,5,FALSE) - VLOOKUP($B145,test!$A$3:$G$32,6,FALSE) &gt;= (test!$B$37+VLOOKUP(VLOOKUP($B145,test!$A$2:$I$32,4,FALSE),test!$J$24:$P$28,7,FALSE))/1440),1,0)</f>
        <v>0</v>
      </c>
      <c r="AE145" s="2">
        <f>IF(AND(VLOOKUP(AE$1,test!$A$3:$F$32,5,FALSE) - VLOOKUP($B145,test!$A$3:$G$32,6,FALSE) &gt;= (test!$B$37+VLOOKUP(VLOOKUP($B145,test!$A$2:$I$32,4,FALSE),test!$J$24:$P$28,7,FALSE))/1440),1,0)</f>
        <v>0</v>
      </c>
      <c r="AF145" s="2">
        <f>IF(AND(VLOOKUP(AF$1,test!$A$3:$F$32,5,FALSE) - VLOOKUP($B145,test!$A$3:$G$32,6,FALSE) &gt;= (test!$B$37+VLOOKUP(VLOOKUP($B145,test!$A$2:$I$32,4,FALSE),test!$J$24:$P$28,7,FALSE))/1440),1,0)</f>
        <v>0</v>
      </c>
      <c r="AG145" s="2">
        <f>IF(AND(VLOOKUP(AG$1,test!$A$3:$F$32,5,FALSE) - VLOOKUP($B145,test!$A$3:$G$32,6,FALSE) &gt;= (test!$B$37+VLOOKUP(VLOOKUP($B145,test!$A$2:$I$32,4,FALSE),test!$J$24:$P$28,7,FALSE))/1440),1,0)</f>
        <v>0</v>
      </c>
    </row>
    <row r="146" spans="1:33" x14ac:dyDescent="0.25">
      <c r="A146" t="s">
        <v>99</v>
      </c>
      <c r="B146" t="s">
        <v>31</v>
      </c>
      <c r="C146">
        <v>0</v>
      </c>
      <c r="D146" s="2">
        <f>IF(AND(VLOOKUP(D$1,test!$A$3:$F$32,5,FALSE) - VLOOKUP($B146,test!$A$3:$G$32,6,FALSE) &gt;= (test!$B$37+VLOOKUP(VLOOKUP($B146,test!$A$2:$I$32,4,FALSE),test!$J$24:$P$28,7,FALSE))/1440),1,0)</f>
        <v>0</v>
      </c>
      <c r="E146" s="2">
        <f>IF(AND(VLOOKUP(E$1,test!$A$3:$F$32,5,FALSE) - VLOOKUP($B146,test!$A$3:$G$32,6,FALSE) &gt;= (test!$B$37+VLOOKUP(VLOOKUP($B146,test!$A$2:$I$32,4,FALSE),test!$J$24:$P$28,7,FALSE))/1440),1,0)</f>
        <v>0</v>
      </c>
      <c r="F146" s="2">
        <f>IF(AND(VLOOKUP(F$1,test!$A$3:$F$32,5,FALSE) - VLOOKUP($B146,test!$A$3:$G$32,6,FALSE) &gt;= (test!$B$37+VLOOKUP(VLOOKUP($B146,test!$A$2:$I$32,4,FALSE),test!$J$24:$P$28,7,FALSE))/1440),1,0)</f>
        <v>0</v>
      </c>
      <c r="G146" s="2">
        <f>IF(AND(VLOOKUP(G$1,test!$A$3:$F$32,5,FALSE) - VLOOKUP($B146,test!$A$3:$G$32,6,FALSE) &gt;= (test!$B$37+VLOOKUP(VLOOKUP($B146,test!$A$2:$I$32,4,FALSE),test!$J$24:$P$28,7,FALSE))/1440),1,0)</f>
        <v>0</v>
      </c>
      <c r="H146" s="2">
        <f>IF(AND(VLOOKUP(H$1,test!$A$3:$F$32,5,FALSE) - VLOOKUP($B146,test!$A$3:$G$32,6,FALSE) &gt;= (test!$B$37+VLOOKUP(VLOOKUP($B146,test!$A$2:$I$32,4,FALSE),test!$J$24:$P$28,7,FALSE))/1440),1,0)</f>
        <v>0</v>
      </c>
      <c r="I146" s="2">
        <f>IF(AND(VLOOKUP(I$1,test!$A$3:$F$32,5,FALSE) - VLOOKUP($B146,test!$A$3:$G$32,6,FALSE) &gt;= (test!$B$37+VLOOKUP(VLOOKUP($B146,test!$A$2:$I$32,4,FALSE),test!$J$24:$P$28,7,FALSE))/1440),1,0)</f>
        <v>0</v>
      </c>
      <c r="J146" s="2">
        <f>IF(AND(VLOOKUP(J$1,test!$A$3:$F$32,5,FALSE) - VLOOKUP($B146,test!$A$3:$G$32,6,FALSE) &gt;= (test!$B$37+VLOOKUP(VLOOKUP($B146,test!$A$2:$I$32,4,FALSE),test!$J$24:$P$28,7,FALSE))/1440),1,0)</f>
        <v>0</v>
      </c>
      <c r="K146" s="2">
        <f>IF(AND(VLOOKUP(K$1,test!$A$3:$F$32,5,FALSE) - VLOOKUP($B146,test!$A$3:$G$32,6,FALSE) &gt;= (test!$B$37+VLOOKUP(VLOOKUP($B146,test!$A$2:$I$32,4,FALSE),test!$J$24:$P$28,7,FALSE))/1440),1,0)</f>
        <v>0</v>
      </c>
      <c r="L146" s="2">
        <f>IF(AND(VLOOKUP(L$1,test!$A$3:$F$32,5,FALSE) - VLOOKUP($B146,test!$A$3:$G$32,6,FALSE) &gt;= (test!$B$37+VLOOKUP(VLOOKUP($B146,test!$A$2:$I$32,4,FALSE),test!$J$24:$P$28,7,FALSE))/1440),1,0)</f>
        <v>0</v>
      </c>
      <c r="M146" s="2">
        <f>IF(AND(VLOOKUP(M$1,test!$A$3:$F$32,5,FALSE) - VLOOKUP($B146,test!$A$3:$G$32,6,FALSE) &gt;= (test!$B$37+VLOOKUP(VLOOKUP($B146,test!$A$2:$I$32,4,FALSE),test!$J$24:$P$28,7,FALSE))/1440),1,0)</f>
        <v>0</v>
      </c>
      <c r="N146" s="2">
        <f>IF(AND(VLOOKUP(N$1,test!$A$3:$F$32,5,FALSE) - VLOOKUP($B146,test!$A$3:$G$32,6,FALSE) &gt;= (test!$B$37+VLOOKUP(VLOOKUP($B146,test!$A$2:$I$32,4,FALSE),test!$J$24:$P$28,7,FALSE))/1440),1,0)</f>
        <v>0</v>
      </c>
      <c r="O146" s="2">
        <f>IF(AND(VLOOKUP(O$1,test!$A$3:$F$32,5,FALSE) - VLOOKUP($B146,test!$A$3:$G$32,6,FALSE) &gt;= (test!$B$37+VLOOKUP(VLOOKUP($B146,test!$A$2:$I$32,4,FALSE),test!$J$24:$P$28,7,FALSE))/1440),1,0)</f>
        <v>0</v>
      </c>
      <c r="P146" s="2">
        <f>IF(AND(VLOOKUP(P$1,test!$A$3:$F$32,5,FALSE) - VLOOKUP($B146,test!$A$3:$G$32,6,FALSE) &gt;= (test!$B$37+VLOOKUP(VLOOKUP($B146,test!$A$2:$I$32,4,FALSE),test!$J$24:$P$28,7,FALSE))/1440),1,0)</f>
        <v>0</v>
      </c>
      <c r="Q146" s="2">
        <f>IF(AND(VLOOKUP(Q$1,test!$A$3:$F$32,5,FALSE) - VLOOKUP($B146,test!$A$3:$G$32,6,FALSE) &gt;= (test!$B$37+VLOOKUP(VLOOKUP($B146,test!$A$2:$I$32,4,FALSE),test!$J$24:$P$28,7,FALSE))/1440),1,0)</f>
        <v>0</v>
      </c>
      <c r="R146" s="2">
        <f>IF(AND(VLOOKUP(R$1,test!$A$3:$F$32,5,FALSE) - VLOOKUP($B146,test!$A$3:$G$32,6,FALSE) &gt;= (test!$B$37+VLOOKUP(VLOOKUP($B146,test!$A$2:$I$32,4,FALSE),test!$J$24:$P$28,7,FALSE))/1440),1,0)</f>
        <v>0</v>
      </c>
      <c r="S146" s="2">
        <f>IF(AND(VLOOKUP(S$1,test!$A$3:$F$32,5,FALSE) - VLOOKUP($B146,test!$A$3:$G$32,6,FALSE) &gt;= (test!$B$37+VLOOKUP(VLOOKUP($B146,test!$A$2:$I$32,4,FALSE),test!$J$24:$P$28,7,FALSE))/1440),1,0)</f>
        <v>0</v>
      </c>
      <c r="T146" s="2">
        <f>IF(AND(VLOOKUP(T$1,test!$A$3:$F$32,5,FALSE) - VLOOKUP($B146,test!$A$3:$G$32,6,FALSE) &gt;= (test!$B$37+VLOOKUP(VLOOKUP($B146,test!$A$2:$I$32,4,FALSE),test!$J$24:$P$28,7,FALSE))/1440),1,0)</f>
        <v>0</v>
      </c>
      <c r="U146" s="2">
        <f>IF(AND(VLOOKUP(U$1,test!$A$3:$F$32,5,FALSE) - VLOOKUP($B146,test!$A$3:$G$32,6,FALSE) &gt;= (test!$B$37+VLOOKUP(VLOOKUP($B146,test!$A$2:$I$32,4,FALSE),test!$J$24:$P$28,7,FALSE))/1440),1,0)</f>
        <v>0</v>
      </c>
      <c r="V146" s="2">
        <f>IF(AND(VLOOKUP(V$1,test!$A$3:$F$32,5,FALSE) - VLOOKUP($B146,test!$A$3:$G$32,6,FALSE) &gt;= (test!$B$37+VLOOKUP(VLOOKUP($B146,test!$A$2:$I$32,4,FALSE),test!$J$24:$P$28,7,FALSE))/1440),1,0)</f>
        <v>0</v>
      </c>
      <c r="W146" s="2">
        <f>IF(AND(VLOOKUP(W$1,test!$A$3:$F$32,5,FALSE) - VLOOKUP($B146,test!$A$3:$G$32,6,FALSE) &gt;= (test!$B$37+VLOOKUP(VLOOKUP($B146,test!$A$2:$I$32,4,FALSE),test!$J$24:$P$28,7,FALSE))/1440),1,0)</f>
        <v>0</v>
      </c>
      <c r="X146" s="2">
        <f>IF(AND(VLOOKUP(X$1,test!$A$3:$F$32,5,FALSE) - VLOOKUP($B146,test!$A$3:$G$32,6,FALSE) &gt;= (test!$B$37+VLOOKUP(VLOOKUP($B146,test!$A$2:$I$32,4,FALSE),test!$J$24:$P$28,7,FALSE))/1440),1,0)</f>
        <v>0</v>
      </c>
      <c r="Y146" s="2">
        <f>IF(AND(VLOOKUP(Y$1,test!$A$3:$F$32,5,FALSE) - VLOOKUP($B146,test!$A$3:$G$32,6,FALSE) &gt;= (test!$B$37+VLOOKUP(VLOOKUP($B146,test!$A$2:$I$32,4,FALSE),test!$J$24:$P$28,7,FALSE))/1440),1,0)</f>
        <v>0</v>
      </c>
      <c r="Z146" s="2">
        <f>IF(AND(VLOOKUP(Z$1,test!$A$3:$F$32,5,FALSE) - VLOOKUP($B146,test!$A$3:$G$32,6,FALSE) &gt;= (test!$B$37+VLOOKUP(VLOOKUP($B146,test!$A$2:$I$32,4,FALSE),test!$J$24:$P$28,7,FALSE))/1440),1,0)</f>
        <v>0</v>
      </c>
      <c r="AA146" s="2">
        <f>IF(AND(VLOOKUP(AA$1,test!$A$3:$F$32,5,FALSE) - VLOOKUP($B146,test!$A$3:$G$32,6,FALSE) &gt;= (test!$B$37+VLOOKUP(VLOOKUP($B146,test!$A$2:$I$32,4,FALSE),test!$J$24:$P$28,7,FALSE))/1440),1,0)</f>
        <v>0</v>
      </c>
      <c r="AB146" s="2">
        <f>IF(AND(VLOOKUP(AB$1,test!$A$3:$F$32,5,FALSE) - VLOOKUP($B146,test!$A$3:$G$32,6,FALSE) &gt;= (test!$B$37+VLOOKUP(VLOOKUP($B146,test!$A$2:$I$32,4,FALSE),test!$J$24:$P$28,7,FALSE))/1440),1,0)</f>
        <v>0</v>
      </c>
      <c r="AC146" s="2">
        <f>IF(AND(VLOOKUP(AC$1,test!$A$3:$F$32,5,FALSE) - VLOOKUP($B146,test!$A$3:$G$32,6,FALSE) &gt;= (test!$B$37+VLOOKUP(VLOOKUP($B146,test!$A$2:$I$32,4,FALSE),test!$J$24:$P$28,7,FALSE))/1440),1,0)</f>
        <v>0</v>
      </c>
      <c r="AD146" s="2">
        <f>IF(AND(VLOOKUP(AD$1,test!$A$3:$F$32,5,FALSE) - VLOOKUP($B146,test!$A$3:$G$32,6,FALSE) &gt;= (test!$B$37+VLOOKUP(VLOOKUP($B146,test!$A$2:$I$32,4,FALSE),test!$J$24:$P$28,7,FALSE))/1440),1,0)</f>
        <v>0</v>
      </c>
      <c r="AE146" s="2">
        <f>IF(AND(VLOOKUP(AE$1,test!$A$3:$F$32,5,FALSE) - VLOOKUP($B146,test!$A$3:$G$32,6,FALSE) &gt;= (test!$B$37+VLOOKUP(VLOOKUP($B146,test!$A$2:$I$32,4,FALSE),test!$J$24:$P$28,7,FALSE))/1440),1,0)</f>
        <v>0</v>
      </c>
      <c r="AF146" s="2">
        <f>IF(AND(VLOOKUP(AF$1,test!$A$3:$F$32,5,FALSE) - VLOOKUP($B146,test!$A$3:$G$32,6,FALSE) &gt;= (test!$B$37+VLOOKUP(VLOOKUP($B146,test!$A$2:$I$32,4,FALSE),test!$J$24:$P$28,7,FALSE))/1440),1,0)</f>
        <v>0</v>
      </c>
      <c r="AG146" s="2">
        <f>IF(AND(VLOOKUP(AG$1,test!$A$3:$F$32,5,FALSE) - VLOOKUP($B146,test!$A$3:$G$32,6,FALSE) &gt;= (test!$B$37+VLOOKUP(VLOOKUP($B146,test!$A$2:$I$32,4,FALSE),test!$J$24:$P$28,7,FALSE))/1440),1,0)</f>
        <v>0</v>
      </c>
    </row>
    <row r="147" spans="1:33" x14ac:dyDescent="0.25">
      <c r="A147" t="s">
        <v>99</v>
      </c>
      <c r="B147" t="s">
        <v>32</v>
      </c>
      <c r="C147">
        <v>0</v>
      </c>
      <c r="D147" s="2">
        <f>IF(AND(VLOOKUP(D$1,test!$A$3:$F$32,5,FALSE) - VLOOKUP($B147,test!$A$3:$G$32,6,FALSE) &gt;= (test!$B$37+VLOOKUP(VLOOKUP($B147,test!$A$2:$I$32,4,FALSE),test!$J$24:$P$28,7,FALSE))/1440),1,0)</f>
        <v>0</v>
      </c>
      <c r="E147" s="2">
        <f>IF(AND(VLOOKUP(E$1,test!$A$3:$F$32,5,FALSE) - VLOOKUP($B147,test!$A$3:$G$32,6,FALSE) &gt;= (test!$B$37+VLOOKUP(VLOOKUP($B147,test!$A$2:$I$32,4,FALSE),test!$J$24:$P$28,7,FALSE))/1440),1,0)</f>
        <v>0</v>
      </c>
      <c r="F147" s="2">
        <f>IF(AND(VLOOKUP(F$1,test!$A$3:$F$32,5,FALSE) - VLOOKUP($B147,test!$A$3:$G$32,6,FALSE) &gt;= (test!$B$37+VLOOKUP(VLOOKUP($B147,test!$A$2:$I$32,4,FALSE),test!$J$24:$P$28,7,FALSE))/1440),1,0)</f>
        <v>0</v>
      </c>
      <c r="G147" s="2">
        <f>IF(AND(VLOOKUP(G$1,test!$A$3:$F$32,5,FALSE) - VLOOKUP($B147,test!$A$3:$G$32,6,FALSE) &gt;= (test!$B$37+VLOOKUP(VLOOKUP($B147,test!$A$2:$I$32,4,FALSE),test!$J$24:$P$28,7,FALSE))/1440),1,0)</f>
        <v>0</v>
      </c>
      <c r="H147" s="2">
        <f>IF(AND(VLOOKUP(H$1,test!$A$3:$F$32,5,FALSE) - VLOOKUP($B147,test!$A$3:$G$32,6,FALSE) &gt;= (test!$B$37+VLOOKUP(VLOOKUP($B147,test!$A$2:$I$32,4,FALSE),test!$J$24:$P$28,7,FALSE))/1440),1,0)</f>
        <v>0</v>
      </c>
      <c r="I147" s="2">
        <f>IF(AND(VLOOKUP(I$1,test!$A$3:$F$32,5,FALSE) - VLOOKUP($B147,test!$A$3:$G$32,6,FALSE) &gt;= (test!$B$37+VLOOKUP(VLOOKUP($B147,test!$A$2:$I$32,4,FALSE),test!$J$24:$P$28,7,FALSE))/1440),1,0)</f>
        <v>0</v>
      </c>
      <c r="J147" s="2">
        <f>IF(AND(VLOOKUP(J$1,test!$A$3:$F$32,5,FALSE) - VLOOKUP($B147,test!$A$3:$G$32,6,FALSE) &gt;= (test!$B$37+VLOOKUP(VLOOKUP($B147,test!$A$2:$I$32,4,FALSE),test!$J$24:$P$28,7,FALSE))/1440),1,0)</f>
        <v>0</v>
      </c>
      <c r="K147" s="2">
        <f>IF(AND(VLOOKUP(K$1,test!$A$3:$F$32,5,FALSE) - VLOOKUP($B147,test!$A$3:$G$32,6,FALSE) &gt;= (test!$B$37+VLOOKUP(VLOOKUP($B147,test!$A$2:$I$32,4,FALSE),test!$J$24:$P$28,7,FALSE))/1440),1,0)</f>
        <v>0</v>
      </c>
      <c r="L147" s="2">
        <f>IF(AND(VLOOKUP(L$1,test!$A$3:$F$32,5,FALSE) - VLOOKUP($B147,test!$A$3:$G$32,6,FALSE) &gt;= (test!$B$37+VLOOKUP(VLOOKUP($B147,test!$A$2:$I$32,4,FALSE),test!$J$24:$P$28,7,FALSE))/1440),1,0)</f>
        <v>0</v>
      </c>
      <c r="M147" s="2">
        <f>IF(AND(VLOOKUP(M$1,test!$A$3:$F$32,5,FALSE) - VLOOKUP($B147,test!$A$3:$G$32,6,FALSE) &gt;= (test!$B$37+VLOOKUP(VLOOKUP($B147,test!$A$2:$I$32,4,FALSE),test!$J$24:$P$28,7,FALSE))/1440),1,0)</f>
        <v>0</v>
      </c>
      <c r="N147" s="2">
        <f>IF(AND(VLOOKUP(N$1,test!$A$3:$F$32,5,FALSE) - VLOOKUP($B147,test!$A$3:$G$32,6,FALSE) &gt;= (test!$B$37+VLOOKUP(VLOOKUP($B147,test!$A$2:$I$32,4,FALSE),test!$J$24:$P$28,7,FALSE))/1440),1,0)</f>
        <v>0</v>
      </c>
      <c r="O147" s="2">
        <f>IF(AND(VLOOKUP(O$1,test!$A$3:$F$32,5,FALSE) - VLOOKUP($B147,test!$A$3:$G$32,6,FALSE) &gt;= (test!$B$37+VLOOKUP(VLOOKUP($B147,test!$A$2:$I$32,4,FALSE),test!$J$24:$P$28,7,FALSE))/1440),1,0)</f>
        <v>0</v>
      </c>
      <c r="P147" s="2">
        <f>IF(AND(VLOOKUP(P$1,test!$A$3:$F$32,5,FALSE) - VLOOKUP($B147,test!$A$3:$G$32,6,FALSE) &gt;= (test!$B$37+VLOOKUP(VLOOKUP($B147,test!$A$2:$I$32,4,FALSE),test!$J$24:$P$28,7,FALSE))/1440),1,0)</f>
        <v>0</v>
      </c>
      <c r="Q147" s="2">
        <f>IF(AND(VLOOKUP(Q$1,test!$A$3:$F$32,5,FALSE) - VLOOKUP($B147,test!$A$3:$G$32,6,FALSE) &gt;= (test!$B$37+VLOOKUP(VLOOKUP($B147,test!$A$2:$I$32,4,FALSE),test!$J$24:$P$28,7,FALSE))/1440),1,0)</f>
        <v>0</v>
      </c>
      <c r="R147" s="2">
        <f>IF(AND(VLOOKUP(R$1,test!$A$3:$F$32,5,FALSE) - VLOOKUP($B147,test!$A$3:$G$32,6,FALSE) &gt;= (test!$B$37+VLOOKUP(VLOOKUP($B147,test!$A$2:$I$32,4,FALSE),test!$J$24:$P$28,7,FALSE))/1440),1,0)</f>
        <v>0</v>
      </c>
      <c r="S147" s="2">
        <f>IF(AND(VLOOKUP(S$1,test!$A$3:$F$32,5,FALSE) - VLOOKUP($B147,test!$A$3:$G$32,6,FALSE) &gt;= (test!$B$37+VLOOKUP(VLOOKUP($B147,test!$A$2:$I$32,4,FALSE),test!$J$24:$P$28,7,FALSE))/1440),1,0)</f>
        <v>0</v>
      </c>
      <c r="T147" s="2">
        <f>IF(AND(VLOOKUP(T$1,test!$A$3:$F$32,5,FALSE) - VLOOKUP($B147,test!$A$3:$G$32,6,FALSE) &gt;= (test!$B$37+VLOOKUP(VLOOKUP($B147,test!$A$2:$I$32,4,FALSE),test!$J$24:$P$28,7,FALSE))/1440),1,0)</f>
        <v>0</v>
      </c>
      <c r="U147" s="2">
        <f>IF(AND(VLOOKUP(U$1,test!$A$3:$F$32,5,FALSE) - VLOOKUP($B147,test!$A$3:$G$32,6,FALSE) &gt;= (test!$B$37+VLOOKUP(VLOOKUP($B147,test!$A$2:$I$32,4,FALSE),test!$J$24:$P$28,7,FALSE))/1440),1,0)</f>
        <v>0</v>
      </c>
      <c r="V147" s="2">
        <f>IF(AND(VLOOKUP(V$1,test!$A$3:$F$32,5,FALSE) - VLOOKUP($B147,test!$A$3:$G$32,6,FALSE) &gt;= (test!$B$37+VLOOKUP(VLOOKUP($B147,test!$A$2:$I$32,4,FALSE),test!$J$24:$P$28,7,FALSE))/1440),1,0)</f>
        <v>0</v>
      </c>
      <c r="W147" s="2">
        <f>IF(AND(VLOOKUP(W$1,test!$A$3:$F$32,5,FALSE) - VLOOKUP($B147,test!$A$3:$G$32,6,FALSE) &gt;= (test!$B$37+VLOOKUP(VLOOKUP($B147,test!$A$2:$I$32,4,FALSE),test!$J$24:$P$28,7,FALSE))/1440),1,0)</f>
        <v>0</v>
      </c>
      <c r="X147" s="2">
        <f>IF(AND(VLOOKUP(X$1,test!$A$3:$F$32,5,FALSE) - VLOOKUP($B147,test!$A$3:$G$32,6,FALSE) &gt;= (test!$B$37+VLOOKUP(VLOOKUP($B147,test!$A$2:$I$32,4,FALSE),test!$J$24:$P$28,7,FALSE))/1440),1,0)</f>
        <v>0</v>
      </c>
      <c r="Y147" s="2">
        <f>IF(AND(VLOOKUP(Y$1,test!$A$3:$F$32,5,FALSE) - VLOOKUP($B147,test!$A$3:$G$32,6,FALSE) &gt;= (test!$B$37+VLOOKUP(VLOOKUP($B147,test!$A$2:$I$32,4,FALSE),test!$J$24:$P$28,7,FALSE))/1440),1,0)</f>
        <v>0</v>
      </c>
      <c r="Z147" s="2">
        <f>IF(AND(VLOOKUP(Z$1,test!$A$3:$F$32,5,FALSE) - VLOOKUP($B147,test!$A$3:$G$32,6,FALSE) &gt;= (test!$B$37+VLOOKUP(VLOOKUP($B147,test!$A$2:$I$32,4,FALSE),test!$J$24:$P$28,7,FALSE))/1440),1,0)</f>
        <v>0</v>
      </c>
      <c r="AA147" s="2">
        <f>IF(AND(VLOOKUP(AA$1,test!$A$3:$F$32,5,FALSE) - VLOOKUP($B147,test!$A$3:$G$32,6,FALSE) &gt;= (test!$B$37+VLOOKUP(VLOOKUP($B147,test!$A$2:$I$32,4,FALSE),test!$J$24:$P$28,7,FALSE))/1440),1,0)</f>
        <v>0</v>
      </c>
      <c r="AB147" s="2">
        <f>IF(AND(VLOOKUP(AB$1,test!$A$3:$F$32,5,FALSE) - VLOOKUP($B147,test!$A$3:$G$32,6,FALSE) &gt;= (test!$B$37+VLOOKUP(VLOOKUP($B147,test!$A$2:$I$32,4,FALSE),test!$J$24:$P$28,7,FALSE))/1440),1,0)</f>
        <v>0</v>
      </c>
      <c r="AC147" s="2">
        <f>IF(AND(VLOOKUP(AC$1,test!$A$3:$F$32,5,FALSE) - VLOOKUP($B147,test!$A$3:$G$32,6,FALSE) &gt;= (test!$B$37+VLOOKUP(VLOOKUP($B147,test!$A$2:$I$32,4,FALSE),test!$J$24:$P$28,7,FALSE))/1440),1,0)</f>
        <v>0</v>
      </c>
      <c r="AD147" s="2">
        <f>IF(AND(VLOOKUP(AD$1,test!$A$3:$F$32,5,FALSE) - VLOOKUP($B147,test!$A$3:$G$32,6,FALSE) &gt;= (test!$B$37+VLOOKUP(VLOOKUP($B147,test!$A$2:$I$32,4,FALSE),test!$J$24:$P$28,7,FALSE))/1440),1,0)</f>
        <v>0</v>
      </c>
      <c r="AE147" s="2">
        <f>IF(AND(VLOOKUP(AE$1,test!$A$3:$F$32,5,FALSE) - VLOOKUP($B147,test!$A$3:$G$32,6,FALSE) &gt;= (test!$B$37+VLOOKUP(VLOOKUP($B147,test!$A$2:$I$32,4,FALSE),test!$J$24:$P$28,7,FALSE))/1440),1,0)</f>
        <v>0</v>
      </c>
      <c r="AF147" s="2">
        <f>IF(AND(VLOOKUP(AF$1,test!$A$3:$F$32,5,FALSE) - VLOOKUP($B147,test!$A$3:$G$32,6,FALSE) &gt;= (test!$B$37+VLOOKUP(VLOOKUP($B147,test!$A$2:$I$32,4,FALSE),test!$J$24:$P$28,7,FALSE))/1440),1,0)</f>
        <v>0</v>
      </c>
      <c r="AG147" s="2">
        <f>IF(AND(VLOOKUP(AG$1,test!$A$3:$F$32,5,FALSE) - VLOOKUP($B147,test!$A$3:$G$32,6,FALSE) &gt;= (test!$B$37+VLOOKUP(VLOOKUP($B147,test!$A$2:$I$32,4,FALSE),test!$J$24:$P$28,7,FALSE))/1440),1,0)</f>
        <v>0</v>
      </c>
    </row>
    <row r="148" spans="1:33" x14ac:dyDescent="0.25">
      <c r="A148" t="s">
        <v>99</v>
      </c>
      <c r="B148" t="s">
        <v>33</v>
      </c>
      <c r="C148">
        <v>0</v>
      </c>
      <c r="D148" s="2">
        <f>IF(AND(VLOOKUP(D$1,test!$A$3:$F$32,5,FALSE) - VLOOKUP($B148,test!$A$3:$G$32,6,FALSE) &gt;= (test!$B$37+VLOOKUP(VLOOKUP($B148,test!$A$2:$I$32,4,FALSE),test!$J$24:$P$28,7,FALSE))/1440),1,0)</f>
        <v>0</v>
      </c>
      <c r="E148" s="2">
        <f>IF(AND(VLOOKUP(E$1,test!$A$3:$F$32,5,FALSE) - VLOOKUP($B148,test!$A$3:$G$32,6,FALSE) &gt;= (test!$B$37+VLOOKUP(VLOOKUP($B148,test!$A$2:$I$32,4,FALSE),test!$J$24:$P$28,7,FALSE))/1440),1,0)</f>
        <v>0</v>
      </c>
      <c r="F148" s="2">
        <f>IF(AND(VLOOKUP(F$1,test!$A$3:$F$32,5,FALSE) - VLOOKUP($B148,test!$A$3:$G$32,6,FALSE) &gt;= (test!$B$37+VLOOKUP(VLOOKUP($B148,test!$A$2:$I$32,4,FALSE),test!$J$24:$P$28,7,FALSE))/1440),1,0)</f>
        <v>0</v>
      </c>
      <c r="G148" s="2">
        <f>IF(AND(VLOOKUP(G$1,test!$A$3:$F$32,5,FALSE) - VLOOKUP($B148,test!$A$3:$G$32,6,FALSE) &gt;= (test!$B$37+VLOOKUP(VLOOKUP($B148,test!$A$2:$I$32,4,FALSE),test!$J$24:$P$28,7,FALSE))/1440),1,0)</f>
        <v>0</v>
      </c>
      <c r="H148" s="2">
        <f>IF(AND(VLOOKUP(H$1,test!$A$3:$F$32,5,FALSE) - VLOOKUP($B148,test!$A$3:$G$32,6,FALSE) &gt;= (test!$B$37+VLOOKUP(VLOOKUP($B148,test!$A$2:$I$32,4,FALSE),test!$J$24:$P$28,7,FALSE))/1440),1,0)</f>
        <v>0</v>
      </c>
      <c r="I148" s="2">
        <f>IF(AND(VLOOKUP(I$1,test!$A$3:$F$32,5,FALSE) - VLOOKUP($B148,test!$A$3:$G$32,6,FALSE) &gt;= (test!$B$37+VLOOKUP(VLOOKUP($B148,test!$A$2:$I$32,4,FALSE),test!$J$24:$P$28,7,FALSE))/1440),1,0)</f>
        <v>0</v>
      </c>
      <c r="J148" s="2">
        <f>IF(AND(VLOOKUP(J$1,test!$A$3:$F$32,5,FALSE) - VLOOKUP($B148,test!$A$3:$G$32,6,FALSE) &gt;= (test!$B$37+VLOOKUP(VLOOKUP($B148,test!$A$2:$I$32,4,FALSE),test!$J$24:$P$28,7,FALSE))/1440),1,0)</f>
        <v>0</v>
      </c>
      <c r="K148" s="2">
        <f>IF(AND(VLOOKUP(K$1,test!$A$3:$F$32,5,FALSE) - VLOOKUP($B148,test!$A$3:$G$32,6,FALSE) &gt;= (test!$B$37+VLOOKUP(VLOOKUP($B148,test!$A$2:$I$32,4,FALSE),test!$J$24:$P$28,7,FALSE))/1440),1,0)</f>
        <v>0</v>
      </c>
      <c r="L148" s="2">
        <f>IF(AND(VLOOKUP(L$1,test!$A$3:$F$32,5,FALSE) - VLOOKUP($B148,test!$A$3:$G$32,6,FALSE) &gt;= (test!$B$37+VLOOKUP(VLOOKUP($B148,test!$A$2:$I$32,4,FALSE),test!$J$24:$P$28,7,FALSE))/1440),1,0)</f>
        <v>0</v>
      </c>
      <c r="M148" s="2">
        <f>IF(AND(VLOOKUP(M$1,test!$A$3:$F$32,5,FALSE) - VLOOKUP($B148,test!$A$3:$G$32,6,FALSE) &gt;= (test!$B$37+VLOOKUP(VLOOKUP($B148,test!$A$2:$I$32,4,FALSE),test!$J$24:$P$28,7,FALSE))/1440),1,0)</f>
        <v>0</v>
      </c>
      <c r="N148" s="2">
        <f>IF(AND(VLOOKUP(N$1,test!$A$3:$F$32,5,FALSE) - VLOOKUP($B148,test!$A$3:$G$32,6,FALSE) &gt;= (test!$B$37+VLOOKUP(VLOOKUP($B148,test!$A$2:$I$32,4,FALSE),test!$J$24:$P$28,7,FALSE))/1440),1,0)</f>
        <v>0</v>
      </c>
      <c r="O148" s="2">
        <f>IF(AND(VLOOKUP(O$1,test!$A$3:$F$32,5,FALSE) - VLOOKUP($B148,test!$A$3:$G$32,6,FALSE) &gt;= (test!$B$37+VLOOKUP(VLOOKUP($B148,test!$A$2:$I$32,4,FALSE),test!$J$24:$P$28,7,FALSE))/1440),1,0)</f>
        <v>0</v>
      </c>
      <c r="P148" s="2">
        <f>IF(AND(VLOOKUP(P$1,test!$A$3:$F$32,5,FALSE) - VLOOKUP($B148,test!$A$3:$G$32,6,FALSE) &gt;= (test!$B$37+VLOOKUP(VLOOKUP($B148,test!$A$2:$I$32,4,FALSE),test!$J$24:$P$28,7,FALSE))/1440),1,0)</f>
        <v>0</v>
      </c>
      <c r="Q148" s="2">
        <f>IF(AND(VLOOKUP(Q$1,test!$A$3:$F$32,5,FALSE) - VLOOKUP($B148,test!$A$3:$G$32,6,FALSE) &gt;= (test!$B$37+VLOOKUP(VLOOKUP($B148,test!$A$2:$I$32,4,FALSE),test!$J$24:$P$28,7,FALSE))/1440),1,0)</f>
        <v>0</v>
      </c>
      <c r="R148" s="2">
        <f>IF(AND(VLOOKUP(R$1,test!$A$3:$F$32,5,FALSE) - VLOOKUP($B148,test!$A$3:$G$32,6,FALSE) &gt;= (test!$B$37+VLOOKUP(VLOOKUP($B148,test!$A$2:$I$32,4,FALSE),test!$J$24:$P$28,7,FALSE))/1440),1,0)</f>
        <v>0</v>
      </c>
      <c r="S148" s="2">
        <f>IF(AND(VLOOKUP(S$1,test!$A$3:$F$32,5,FALSE) - VLOOKUP($B148,test!$A$3:$G$32,6,FALSE) &gt;= (test!$B$37+VLOOKUP(VLOOKUP($B148,test!$A$2:$I$32,4,FALSE),test!$J$24:$P$28,7,FALSE))/1440),1,0)</f>
        <v>0</v>
      </c>
      <c r="T148" s="2">
        <f>IF(AND(VLOOKUP(T$1,test!$A$3:$F$32,5,FALSE) - VLOOKUP($B148,test!$A$3:$G$32,6,FALSE) &gt;= (test!$B$37+VLOOKUP(VLOOKUP($B148,test!$A$2:$I$32,4,FALSE),test!$J$24:$P$28,7,FALSE))/1440),1,0)</f>
        <v>0</v>
      </c>
      <c r="U148" s="2">
        <f>IF(AND(VLOOKUP(U$1,test!$A$3:$F$32,5,FALSE) - VLOOKUP($B148,test!$A$3:$G$32,6,FALSE) &gt;= (test!$B$37+VLOOKUP(VLOOKUP($B148,test!$A$2:$I$32,4,FALSE),test!$J$24:$P$28,7,FALSE))/1440),1,0)</f>
        <v>0</v>
      </c>
      <c r="V148" s="2">
        <f>IF(AND(VLOOKUP(V$1,test!$A$3:$F$32,5,FALSE) - VLOOKUP($B148,test!$A$3:$G$32,6,FALSE) &gt;= (test!$B$37+VLOOKUP(VLOOKUP($B148,test!$A$2:$I$32,4,FALSE),test!$J$24:$P$28,7,FALSE))/1440),1,0)</f>
        <v>0</v>
      </c>
      <c r="W148" s="2">
        <f>IF(AND(VLOOKUP(W$1,test!$A$3:$F$32,5,FALSE) - VLOOKUP($B148,test!$A$3:$G$32,6,FALSE) &gt;= (test!$B$37+VLOOKUP(VLOOKUP($B148,test!$A$2:$I$32,4,FALSE),test!$J$24:$P$28,7,FALSE))/1440),1,0)</f>
        <v>0</v>
      </c>
      <c r="X148" s="2">
        <f>IF(AND(VLOOKUP(X$1,test!$A$3:$F$32,5,FALSE) - VLOOKUP($B148,test!$A$3:$G$32,6,FALSE) &gt;= (test!$B$37+VLOOKUP(VLOOKUP($B148,test!$A$2:$I$32,4,FALSE),test!$J$24:$P$28,7,FALSE))/1440),1,0)</f>
        <v>0</v>
      </c>
      <c r="Y148" s="2">
        <f>IF(AND(VLOOKUP(Y$1,test!$A$3:$F$32,5,FALSE) - VLOOKUP($B148,test!$A$3:$G$32,6,FALSE) &gt;= (test!$B$37+VLOOKUP(VLOOKUP($B148,test!$A$2:$I$32,4,FALSE),test!$J$24:$P$28,7,FALSE))/1440),1,0)</f>
        <v>0</v>
      </c>
      <c r="Z148" s="2">
        <f>IF(AND(VLOOKUP(Z$1,test!$A$3:$F$32,5,FALSE) - VLOOKUP($B148,test!$A$3:$G$32,6,FALSE) &gt;= (test!$B$37+VLOOKUP(VLOOKUP($B148,test!$A$2:$I$32,4,FALSE),test!$J$24:$P$28,7,FALSE))/1440),1,0)</f>
        <v>0</v>
      </c>
      <c r="AA148" s="2">
        <f>IF(AND(VLOOKUP(AA$1,test!$A$3:$F$32,5,FALSE) - VLOOKUP($B148,test!$A$3:$G$32,6,FALSE) &gt;= (test!$B$37+VLOOKUP(VLOOKUP($B148,test!$A$2:$I$32,4,FALSE),test!$J$24:$P$28,7,FALSE))/1440),1,0)</f>
        <v>0</v>
      </c>
      <c r="AB148" s="2">
        <f>IF(AND(VLOOKUP(AB$1,test!$A$3:$F$32,5,FALSE) - VLOOKUP($B148,test!$A$3:$G$32,6,FALSE) &gt;= (test!$B$37+VLOOKUP(VLOOKUP($B148,test!$A$2:$I$32,4,FALSE),test!$J$24:$P$28,7,FALSE))/1440),1,0)</f>
        <v>0</v>
      </c>
      <c r="AC148" s="2">
        <f>IF(AND(VLOOKUP(AC$1,test!$A$3:$F$32,5,FALSE) - VLOOKUP($B148,test!$A$3:$G$32,6,FALSE) &gt;= (test!$B$37+VLOOKUP(VLOOKUP($B148,test!$A$2:$I$32,4,FALSE),test!$J$24:$P$28,7,FALSE))/1440),1,0)</f>
        <v>0</v>
      </c>
      <c r="AD148" s="2">
        <f>IF(AND(VLOOKUP(AD$1,test!$A$3:$F$32,5,FALSE) - VLOOKUP($B148,test!$A$3:$G$32,6,FALSE) &gt;= (test!$B$37+VLOOKUP(VLOOKUP($B148,test!$A$2:$I$32,4,FALSE),test!$J$24:$P$28,7,FALSE))/1440),1,0)</f>
        <v>0</v>
      </c>
      <c r="AE148" s="2">
        <f>IF(AND(VLOOKUP(AE$1,test!$A$3:$F$32,5,FALSE) - VLOOKUP($B148,test!$A$3:$G$32,6,FALSE) &gt;= (test!$B$37+VLOOKUP(VLOOKUP($B148,test!$A$2:$I$32,4,FALSE),test!$J$24:$P$28,7,FALSE))/1440),1,0)</f>
        <v>0</v>
      </c>
      <c r="AF148" s="2">
        <f>IF(AND(VLOOKUP(AF$1,test!$A$3:$F$32,5,FALSE) - VLOOKUP($B148,test!$A$3:$G$32,6,FALSE) &gt;= (test!$B$37+VLOOKUP(VLOOKUP($B148,test!$A$2:$I$32,4,FALSE),test!$J$24:$P$28,7,FALSE))/1440),1,0)</f>
        <v>0</v>
      </c>
      <c r="AG148" s="2">
        <f>IF(AND(VLOOKUP(AG$1,test!$A$3:$F$32,5,FALSE) - VLOOKUP($B148,test!$A$3:$G$32,6,FALSE) &gt;= (test!$B$37+VLOOKUP(VLOOKUP($B148,test!$A$2:$I$32,4,FALSE),test!$J$24:$P$28,7,FALSE))/1440),1,0)</f>
        <v>0</v>
      </c>
    </row>
    <row r="149" spans="1:33" x14ac:dyDescent="0.25">
      <c r="A149" t="s">
        <v>99</v>
      </c>
      <c r="B149" t="s">
        <v>34</v>
      </c>
      <c r="C149">
        <v>0</v>
      </c>
      <c r="D149" s="2">
        <f>IF(AND(VLOOKUP(D$1,test!$A$3:$F$32,5,FALSE) - VLOOKUP($B149,test!$A$3:$G$32,6,FALSE) &gt;= (test!$B$37+VLOOKUP(VLOOKUP($B149,test!$A$2:$I$32,4,FALSE),test!$J$24:$P$28,7,FALSE))/1440),1,0)</f>
        <v>0</v>
      </c>
      <c r="E149" s="2">
        <f>IF(AND(VLOOKUP(E$1,test!$A$3:$F$32,5,FALSE) - VLOOKUP($B149,test!$A$3:$G$32,6,FALSE) &gt;= (test!$B$37+VLOOKUP(VLOOKUP($B149,test!$A$2:$I$32,4,FALSE),test!$J$24:$P$28,7,FALSE))/1440),1,0)</f>
        <v>0</v>
      </c>
      <c r="F149" s="2">
        <f>IF(AND(VLOOKUP(F$1,test!$A$3:$F$32,5,FALSE) - VLOOKUP($B149,test!$A$3:$G$32,6,FALSE) &gt;= (test!$B$37+VLOOKUP(VLOOKUP($B149,test!$A$2:$I$32,4,FALSE),test!$J$24:$P$28,7,FALSE))/1440),1,0)</f>
        <v>0</v>
      </c>
      <c r="G149" s="2">
        <f>IF(AND(VLOOKUP(G$1,test!$A$3:$F$32,5,FALSE) - VLOOKUP($B149,test!$A$3:$G$32,6,FALSE) &gt;= (test!$B$37+VLOOKUP(VLOOKUP($B149,test!$A$2:$I$32,4,FALSE),test!$J$24:$P$28,7,FALSE))/1440),1,0)</f>
        <v>1</v>
      </c>
      <c r="H149" s="2">
        <f>IF(AND(VLOOKUP(H$1,test!$A$3:$F$32,5,FALSE) - VLOOKUP($B149,test!$A$3:$G$32,6,FALSE) &gt;= (test!$B$37+VLOOKUP(VLOOKUP($B149,test!$A$2:$I$32,4,FALSE),test!$J$24:$P$28,7,FALSE))/1440),1,0)</f>
        <v>1</v>
      </c>
      <c r="I149" s="2">
        <f>IF(AND(VLOOKUP(I$1,test!$A$3:$F$32,5,FALSE) - VLOOKUP($B149,test!$A$3:$G$32,6,FALSE) &gt;= (test!$B$37+VLOOKUP(VLOOKUP($B149,test!$A$2:$I$32,4,FALSE),test!$J$24:$P$28,7,FALSE))/1440),1,0)</f>
        <v>1</v>
      </c>
      <c r="J149" s="2">
        <f>IF(AND(VLOOKUP(J$1,test!$A$3:$F$32,5,FALSE) - VLOOKUP($B149,test!$A$3:$G$32,6,FALSE) &gt;= (test!$B$37+VLOOKUP(VLOOKUP($B149,test!$A$2:$I$32,4,FALSE),test!$J$24:$P$28,7,FALSE))/1440),1,0)</f>
        <v>1</v>
      </c>
      <c r="K149" s="2">
        <f>IF(AND(VLOOKUP(K$1,test!$A$3:$F$32,5,FALSE) - VLOOKUP($B149,test!$A$3:$G$32,6,FALSE) &gt;= (test!$B$37+VLOOKUP(VLOOKUP($B149,test!$A$2:$I$32,4,FALSE),test!$J$24:$P$28,7,FALSE))/1440),1,0)</f>
        <v>1</v>
      </c>
      <c r="L149" s="2">
        <f>IF(AND(VLOOKUP(L$1,test!$A$3:$F$32,5,FALSE) - VLOOKUP($B149,test!$A$3:$G$32,6,FALSE) &gt;= (test!$B$37+VLOOKUP(VLOOKUP($B149,test!$A$2:$I$32,4,FALSE),test!$J$24:$P$28,7,FALSE))/1440),1,0)</f>
        <v>0</v>
      </c>
      <c r="M149" s="2">
        <f>IF(AND(VLOOKUP(M$1,test!$A$3:$F$32,5,FALSE) - VLOOKUP($B149,test!$A$3:$G$32,6,FALSE) &gt;= (test!$B$37+VLOOKUP(VLOOKUP($B149,test!$A$2:$I$32,4,FALSE),test!$J$24:$P$28,7,FALSE))/1440),1,0)</f>
        <v>0</v>
      </c>
      <c r="N149" s="2">
        <f>IF(AND(VLOOKUP(N$1,test!$A$3:$F$32,5,FALSE) - VLOOKUP($B149,test!$A$3:$G$32,6,FALSE) &gt;= (test!$B$37+VLOOKUP(VLOOKUP($B149,test!$A$2:$I$32,4,FALSE),test!$J$24:$P$28,7,FALSE))/1440),1,0)</f>
        <v>0</v>
      </c>
      <c r="O149" s="2">
        <f>IF(AND(VLOOKUP(O$1,test!$A$3:$F$32,5,FALSE) - VLOOKUP($B149,test!$A$3:$G$32,6,FALSE) &gt;= (test!$B$37+VLOOKUP(VLOOKUP($B149,test!$A$2:$I$32,4,FALSE),test!$J$24:$P$28,7,FALSE))/1440),1,0)</f>
        <v>1</v>
      </c>
      <c r="P149" s="2">
        <f>IF(AND(VLOOKUP(P$1,test!$A$3:$F$32,5,FALSE) - VLOOKUP($B149,test!$A$3:$G$32,6,FALSE) &gt;= (test!$B$37+VLOOKUP(VLOOKUP($B149,test!$A$2:$I$32,4,FALSE),test!$J$24:$P$28,7,FALSE))/1440),1,0)</f>
        <v>1</v>
      </c>
      <c r="Q149" s="2">
        <f>IF(AND(VLOOKUP(Q$1,test!$A$3:$F$32,5,FALSE) - VLOOKUP($B149,test!$A$3:$G$32,6,FALSE) &gt;= (test!$B$37+VLOOKUP(VLOOKUP($B149,test!$A$2:$I$32,4,FALSE),test!$J$24:$P$28,7,FALSE))/1440),1,0)</f>
        <v>0</v>
      </c>
      <c r="R149" s="2">
        <f>IF(AND(VLOOKUP(R$1,test!$A$3:$F$32,5,FALSE) - VLOOKUP($B149,test!$A$3:$G$32,6,FALSE) &gt;= (test!$B$37+VLOOKUP(VLOOKUP($B149,test!$A$2:$I$32,4,FALSE),test!$J$24:$P$28,7,FALSE))/1440),1,0)</f>
        <v>0</v>
      </c>
      <c r="S149" s="2">
        <f>IF(AND(VLOOKUP(S$1,test!$A$3:$F$32,5,FALSE) - VLOOKUP($B149,test!$A$3:$G$32,6,FALSE) &gt;= (test!$B$37+VLOOKUP(VLOOKUP($B149,test!$A$2:$I$32,4,FALSE),test!$J$24:$P$28,7,FALSE))/1440),1,0)</f>
        <v>0</v>
      </c>
      <c r="T149" s="2">
        <f>IF(AND(VLOOKUP(T$1,test!$A$3:$F$32,5,FALSE) - VLOOKUP($B149,test!$A$3:$G$32,6,FALSE) &gt;= (test!$B$37+VLOOKUP(VLOOKUP($B149,test!$A$2:$I$32,4,FALSE),test!$J$24:$P$28,7,FALSE))/1440),1,0)</f>
        <v>0</v>
      </c>
      <c r="U149" s="2">
        <f>IF(AND(VLOOKUP(U$1,test!$A$3:$F$32,5,FALSE) - VLOOKUP($B149,test!$A$3:$G$32,6,FALSE) &gt;= (test!$B$37+VLOOKUP(VLOOKUP($B149,test!$A$2:$I$32,4,FALSE),test!$J$24:$P$28,7,FALSE))/1440),1,0)</f>
        <v>0</v>
      </c>
      <c r="V149" s="2">
        <f>IF(AND(VLOOKUP(V$1,test!$A$3:$F$32,5,FALSE) - VLOOKUP($B149,test!$A$3:$G$32,6,FALSE) &gt;= (test!$B$37+VLOOKUP(VLOOKUP($B149,test!$A$2:$I$32,4,FALSE),test!$J$24:$P$28,7,FALSE))/1440),1,0)</f>
        <v>1</v>
      </c>
      <c r="W149" s="2">
        <f>IF(AND(VLOOKUP(W$1,test!$A$3:$F$32,5,FALSE) - VLOOKUP($B149,test!$A$3:$G$32,6,FALSE) &gt;= (test!$B$37+VLOOKUP(VLOOKUP($B149,test!$A$2:$I$32,4,FALSE),test!$J$24:$P$28,7,FALSE))/1440),1,0)</f>
        <v>1</v>
      </c>
      <c r="X149" s="2">
        <f>IF(AND(VLOOKUP(X$1,test!$A$3:$F$32,5,FALSE) - VLOOKUP($B149,test!$A$3:$G$32,6,FALSE) &gt;= (test!$B$37+VLOOKUP(VLOOKUP($B149,test!$A$2:$I$32,4,FALSE),test!$J$24:$P$28,7,FALSE))/1440),1,0)</f>
        <v>1</v>
      </c>
      <c r="Y149" s="2">
        <f>IF(AND(VLOOKUP(Y$1,test!$A$3:$F$32,5,FALSE) - VLOOKUP($B149,test!$A$3:$G$32,6,FALSE) &gt;= (test!$B$37+VLOOKUP(VLOOKUP($B149,test!$A$2:$I$32,4,FALSE),test!$J$24:$P$28,7,FALSE))/1440),1,0)</f>
        <v>1</v>
      </c>
      <c r="Z149" s="2">
        <f>IF(AND(VLOOKUP(Z$1,test!$A$3:$F$32,5,FALSE) - VLOOKUP($B149,test!$A$3:$G$32,6,FALSE) &gt;= (test!$B$37+VLOOKUP(VLOOKUP($B149,test!$A$2:$I$32,4,FALSE),test!$J$24:$P$28,7,FALSE))/1440),1,0)</f>
        <v>0</v>
      </c>
      <c r="AA149" s="2">
        <f>IF(AND(VLOOKUP(AA$1,test!$A$3:$F$32,5,FALSE) - VLOOKUP($B149,test!$A$3:$G$32,6,FALSE) &gt;= (test!$B$37+VLOOKUP(VLOOKUP($B149,test!$A$2:$I$32,4,FALSE),test!$J$24:$P$28,7,FALSE))/1440),1,0)</f>
        <v>0</v>
      </c>
      <c r="AB149" s="2">
        <f>IF(AND(VLOOKUP(AB$1,test!$A$3:$F$32,5,FALSE) - VLOOKUP($B149,test!$A$3:$G$32,6,FALSE) &gt;= (test!$B$37+VLOOKUP(VLOOKUP($B149,test!$A$2:$I$32,4,FALSE),test!$J$24:$P$28,7,FALSE))/1440),1,0)</f>
        <v>1</v>
      </c>
      <c r="AC149" s="2">
        <f>IF(AND(VLOOKUP(AC$1,test!$A$3:$F$32,5,FALSE) - VLOOKUP($B149,test!$A$3:$G$32,6,FALSE) &gt;= (test!$B$37+VLOOKUP(VLOOKUP($B149,test!$A$2:$I$32,4,FALSE),test!$J$24:$P$28,7,FALSE))/1440),1,0)</f>
        <v>1</v>
      </c>
      <c r="AD149" s="2">
        <f>IF(AND(VLOOKUP(AD$1,test!$A$3:$F$32,5,FALSE) - VLOOKUP($B149,test!$A$3:$G$32,6,FALSE) &gt;= (test!$B$37+VLOOKUP(VLOOKUP($B149,test!$A$2:$I$32,4,FALSE),test!$J$24:$P$28,7,FALSE))/1440),1,0)</f>
        <v>1</v>
      </c>
      <c r="AE149" s="2">
        <f>IF(AND(VLOOKUP(AE$1,test!$A$3:$F$32,5,FALSE) - VLOOKUP($B149,test!$A$3:$G$32,6,FALSE) &gt;= (test!$B$37+VLOOKUP(VLOOKUP($B149,test!$A$2:$I$32,4,FALSE),test!$J$24:$P$28,7,FALSE))/1440),1,0)</f>
        <v>0</v>
      </c>
      <c r="AF149" s="2">
        <f>IF(AND(VLOOKUP(AF$1,test!$A$3:$F$32,5,FALSE) - VLOOKUP($B149,test!$A$3:$G$32,6,FALSE) &gt;= (test!$B$37+VLOOKUP(VLOOKUP($B149,test!$A$2:$I$32,4,FALSE),test!$J$24:$P$28,7,FALSE))/1440),1,0)</f>
        <v>1</v>
      </c>
      <c r="AG149" s="2">
        <f>IF(AND(VLOOKUP(AG$1,test!$A$3:$F$32,5,FALSE) - VLOOKUP($B149,test!$A$3:$G$32,6,FALSE) &gt;= (test!$B$37+VLOOKUP(VLOOKUP($B149,test!$A$2:$I$32,4,FALSE),test!$J$24:$P$28,7,FALSE))/1440),1,0)</f>
        <v>0</v>
      </c>
    </row>
    <row r="150" spans="1:33" x14ac:dyDescent="0.25">
      <c r="A150" t="s">
        <v>99</v>
      </c>
      <c r="B150" t="s">
        <v>35</v>
      </c>
      <c r="C150">
        <v>0</v>
      </c>
      <c r="D150" s="2">
        <f>IF(AND(VLOOKUP(D$1,test!$A$3:$F$32,5,FALSE) - VLOOKUP($B150,test!$A$3:$G$32,6,FALSE) &gt;= (test!$B$37+VLOOKUP(VLOOKUP($B150,test!$A$2:$I$32,4,FALSE),test!$J$24:$P$28,7,FALSE))/1440),1,0)</f>
        <v>0</v>
      </c>
      <c r="E150" s="2">
        <f>IF(AND(VLOOKUP(E$1,test!$A$3:$F$32,5,FALSE) - VLOOKUP($B150,test!$A$3:$G$32,6,FALSE) &gt;= (test!$B$37+VLOOKUP(VLOOKUP($B150,test!$A$2:$I$32,4,FALSE),test!$J$24:$P$28,7,FALSE))/1440),1,0)</f>
        <v>0</v>
      </c>
      <c r="F150" s="2">
        <f>IF(AND(VLOOKUP(F$1,test!$A$3:$F$32,5,FALSE) - VLOOKUP($B150,test!$A$3:$G$32,6,FALSE) &gt;= (test!$B$37+VLOOKUP(VLOOKUP($B150,test!$A$2:$I$32,4,FALSE),test!$J$24:$P$28,7,FALSE))/1440),1,0)</f>
        <v>0</v>
      </c>
      <c r="G150" s="2">
        <f>IF(AND(VLOOKUP(G$1,test!$A$3:$F$32,5,FALSE) - VLOOKUP($B150,test!$A$3:$G$32,6,FALSE) &gt;= (test!$B$37+VLOOKUP(VLOOKUP($B150,test!$A$2:$I$32,4,FALSE),test!$J$24:$P$28,7,FALSE))/1440),1,0)</f>
        <v>0</v>
      </c>
      <c r="H150" s="2">
        <f>IF(AND(VLOOKUP(H$1,test!$A$3:$F$32,5,FALSE) - VLOOKUP($B150,test!$A$3:$G$32,6,FALSE) &gt;= (test!$B$37+VLOOKUP(VLOOKUP($B150,test!$A$2:$I$32,4,FALSE),test!$J$24:$P$28,7,FALSE))/1440),1,0)</f>
        <v>0</v>
      </c>
      <c r="I150" s="2">
        <f>IF(AND(VLOOKUP(I$1,test!$A$3:$F$32,5,FALSE) - VLOOKUP($B150,test!$A$3:$G$32,6,FALSE) &gt;= (test!$B$37+VLOOKUP(VLOOKUP($B150,test!$A$2:$I$32,4,FALSE),test!$J$24:$P$28,7,FALSE))/1440),1,0)</f>
        <v>1</v>
      </c>
      <c r="J150" s="2">
        <f>IF(AND(VLOOKUP(J$1,test!$A$3:$F$32,5,FALSE) - VLOOKUP($B150,test!$A$3:$G$32,6,FALSE) &gt;= (test!$B$37+VLOOKUP(VLOOKUP($B150,test!$A$2:$I$32,4,FALSE),test!$J$24:$P$28,7,FALSE))/1440),1,0)</f>
        <v>1</v>
      </c>
      <c r="K150" s="2">
        <f>IF(AND(VLOOKUP(K$1,test!$A$3:$F$32,5,FALSE) - VLOOKUP($B150,test!$A$3:$G$32,6,FALSE) &gt;= (test!$B$37+VLOOKUP(VLOOKUP($B150,test!$A$2:$I$32,4,FALSE),test!$J$24:$P$28,7,FALSE))/1440),1,0)</f>
        <v>1</v>
      </c>
      <c r="L150" s="2">
        <f>IF(AND(VLOOKUP(L$1,test!$A$3:$F$32,5,FALSE) - VLOOKUP($B150,test!$A$3:$G$32,6,FALSE) &gt;= (test!$B$37+VLOOKUP(VLOOKUP($B150,test!$A$2:$I$32,4,FALSE),test!$J$24:$P$28,7,FALSE))/1440),1,0)</f>
        <v>0</v>
      </c>
      <c r="M150" s="2">
        <f>IF(AND(VLOOKUP(M$1,test!$A$3:$F$32,5,FALSE) - VLOOKUP($B150,test!$A$3:$G$32,6,FALSE) &gt;= (test!$B$37+VLOOKUP(VLOOKUP($B150,test!$A$2:$I$32,4,FALSE),test!$J$24:$P$28,7,FALSE))/1440),1,0)</f>
        <v>0</v>
      </c>
      <c r="N150" s="2">
        <f>IF(AND(VLOOKUP(N$1,test!$A$3:$F$32,5,FALSE) - VLOOKUP($B150,test!$A$3:$G$32,6,FALSE) &gt;= (test!$B$37+VLOOKUP(VLOOKUP($B150,test!$A$2:$I$32,4,FALSE),test!$J$24:$P$28,7,FALSE))/1440),1,0)</f>
        <v>0</v>
      </c>
      <c r="O150" s="2">
        <f>IF(AND(VLOOKUP(O$1,test!$A$3:$F$32,5,FALSE) - VLOOKUP($B150,test!$A$3:$G$32,6,FALSE) &gt;= (test!$B$37+VLOOKUP(VLOOKUP($B150,test!$A$2:$I$32,4,FALSE),test!$J$24:$P$28,7,FALSE))/1440),1,0)</f>
        <v>1</v>
      </c>
      <c r="P150" s="2">
        <f>IF(AND(VLOOKUP(P$1,test!$A$3:$F$32,5,FALSE) - VLOOKUP($B150,test!$A$3:$G$32,6,FALSE) &gt;= (test!$B$37+VLOOKUP(VLOOKUP($B150,test!$A$2:$I$32,4,FALSE),test!$J$24:$P$28,7,FALSE))/1440),1,0)</f>
        <v>1</v>
      </c>
      <c r="Q150" s="2">
        <f>IF(AND(VLOOKUP(Q$1,test!$A$3:$F$32,5,FALSE) - VLOOKUP($B150,test!$A$3:$G$32,6,FALSE) &gt;= (test!$B$37+VLOOKUP(VLOOKUP($B150,test!$A$2:$I$32,4,FALSE),test!$J$24:$P$28,7,FALSE))/1440),1,0)</f>
        <v>0</v>
      </c>
      <c r="R150" s="2">
        <f>IF(AND(VLOOKUP(R$1,test!$A$3:$F$32,5,FALSE) - VLOOKUP($B150,test!$A$3:$G$32,6,FALSE) &gt;= (test!$B$37+VLOOKUP(VLOOKUP($B150,test!$A$2:$I$32,4,FALSE),test!$J$24:$P$28,7,FALSE))/1440),1,0)</f>
        <v>0</v>
      </c>
      <c r="S150" s="2">
        <f>IF(AND(VLOOKUP(S$1,test!$A$3:$F$32,5,FALSE) - VLOOKUP($B150,test!$A$3:$G$32,6,FALSE) &gt;= (test!$B$37+VLOOKUP(VLOOKUP($B150,test!$A$2:$I$32,4,FALSE),test!$J$24:$P$28,7,FALSE))/1440),1,0)</f>
        <v>0</v>
      </c>
      <c r="T150" s="2">
        <f>IF(AND(VLOOKUP(T$1,test!$A$3:$F$32,5,FALSE) - VLOOKUP($B150,test!$A$3:$G$32,6,FALSE) &gt;= (test!$B$37+VLOOKUP(VLOOKUP($B150,test!$A$2:$I$32,4,FALSE),test!$J$24:$P$28,7,FALSE))/1440),1,0)</f>
        <v>0</v>
      </c>
      <c r="U150" s="2">
        <f>IF(AND(VLOOKUP(U$1,test!$A$3:$F$32,5,FALSE) - VLOOKUP($B150,test!$A$3:$G$32,6,FALSE) &gt;= (test!$B$37+VLOOKUP(VLOOKUP($B150,test!$A$2:$I$32,4,FALSE),test!$J$24:$P$28,7,FALSE))/1440),1,0)</f>
        <v>0</v>
      </c>
      <c r="V150" s="2">
        <f>IF(AND(VLOOKUP(V$1,test!$A$3:$F$32,5,FALSE) - VLOOKUP($B150,test!$A$3:$G$32,6,FALSE) &gt;= (test!$B$37+VLOOKUP(VLOOKUP($B150,test!$A$2:$I$32,4,FALSE),test!$J$24:$P$28,7,FALSE))/1440),1,0)</f>
        <v>0</v>
      </c>
      <c r="W150" s="2">
        <f>IF(AND(VLOOKUP(W$1,test!$A$3:$F$32,5,FALSE) - VLOOKUP($B150,test!$A$3:$G$32,6,FALSE) &gt;= (test!$B$37+VLOOKUP(VLOOKUP($B150,test!$A$2:$I$32,4,FALSE),test!$J$24:$P$28,7,FALSE))/1440),1,0)</f>
        <v>0</v>
      </c>
      <c r="X150" s="2">
        <f>IF(AND(VLOOKUP(X$1,test!$A$3:$F$32,5,FALSE) - VLOOKUP($B150,test!$A$3:$G$32,6,FALSE) &gt;= (test!$B$37+VLOOKUP(VLOOKUP($B150,test!$A$2:$I$32,4,FALSE),test!$J$24:$P$28,7,FALSE))/1440),1,0)</f>
        <v>1</v>
      </c>
      <c r="Y150" s="2">
        <f>IF(AND(VLOOKUP(Y$1,test!$A$3:$F$32,5,FALSE) - VLOOKUP($B150,test!$A$3:$G$32,6,FALSE) &gt;= (test!$B$37+VLOOKUP(VLOOKUP($B150,test!$A$2:$I$32,4,FALSE),test!$J$24:$P$28,7,FALSE))/1440),1,0)</f>
        <v>1</v>
      </c>
      <c r="Z150" s="2">
        <f>IF(AND(VLOOKUP(Z$1,test!$A$3:$F$32,5,FALSE) - VLOOKUP($B150,test!$A$3:$G$32,6,FALSE) &gt;= (test!$B$37+VLOOKUP(VLOOKUP($B150,test!$A$2:$I$32,4,FALSE),test!$J$24:$P$28,7,FALSE))/1440),1,0)</f>
        <v>0</v>
      </c>
      <c r="AA150" s="2">
        <f>IF(AND(VLOOKUP(AA$1,test!$A$3:$F$32,5,FALSE) - VLOOKUP($B150,test!$A$3:$G$32,6,FALSE) &gt;= (test!$B$37+VLOOKUP(VLOOKUP($B150,test!$A$2:$I$32,4,FALSE),test!$J$24:$P$28,7,FALSE))/1440),1,0)</f>
        <v>0</v>
      </c>
      <c r="AB150" s="2">
        <f>IF(AND(VLOOKUP(AB$1,test!$A$3:$F$32,5,FALSE) - VLOOKUP($B150,test!$A$3:$G$32,6,FALSE) &gt;= (test!$B$37+VLOOKUP(VLOOKUP($B150,test!$A$2:$I$32,4,FALSE),test!$J$24:$P$28,7,FALSE))/1440),1,0)</f>
        <v>0</v>
      </c>
      <c r="AC150" s="2">
        <f>IF(AND(VLOOKUP(AC$1,test!$A$3:$F$32,5,FALSE) - VLOOKUP($B150,test!$A$3:$G$32,6,FALSE) &gt;= (test!$B$37+VLOOKUP(VLOOKUP($B150,test!$A$2:$I$32,4,FALSE),test!$J$24:$P$28,7,FALSE))/1440),1,0)</f>
        <v>0</v>
      </c>
      <c r="AD150" s="2">
        <f>IF(AND(VLOOKUP(AD$1,test!$A$3:$F$32,5,FALSE) - VLOOKUP($B150,test!$A$3:$G$32,6,FALSE) &gt;= (test!$B$37+VLOOKUP(VLOOKUP($B150,test!$A$2:$I$32,4,FALSE),test!$J$24:$P$28,7,FALSE))/1440),1,0)</f>
        <v>1</v>
      </c>
      <c r="AE150" s="2">
        <f>IF(AND(VLOOKUP(AE$1,test!$A$3:$F$32,5,FALSE) - VLOOKUP($B150,test!$A$3:$G$32,6,FALSE) &gt;= (test!$B$37+VLOOKUP(VLOOKUP($B150,test!$A$2:$I$32,4,FALSE),test!$J$24:$P$28,7,FALSE))/1440),1,0)</f>
        <v>0</v>
      </c>
      <c r="AF150" s="2">
        <f>IF(AND(VLOOKUP(AF$1,test!$A$3:$F$32,5,FALSE) - VLOOKUP($B150,test!$A$3:$G$32,6,FALSE) &gt;= (test!$B$37+VLOOKUP(VLOOKUP($B150,test!$A$2:$I$32,4,FALSE),test!$J$24:$P$28,7,FALSE))/1440),1,0)</f>
        <v>0</v>
      </c>
      <c r="AG150" s="2">
        <f>IF(AND(VLOOKUP(AG$1,test!$A$3:$F$32,5,FALSE) - VLOOKUP($B150,test!$A$3:$G$32,6,FALSE) &gt;= (test!$B$37+VLOOKUP(VLOOKUP($B150,test!$A$2:$I$32,4,FALSE),test!$J$24:$P$28,7,FALSE))/1440),1,0)</f>
        <v>0</v>
      </c>
    </row>
    <row r="151" spans="1:33" x14ac:dyDescent="0.25">
      <c r="A151" t="s">
        <v>99</v>
      </c>
      <c r="B151" t="s">
        <v>36</v>
      </c>
      <c r="C151">
        <v>0</v>
      </c>
      <c r="D151" s="2">
        <f>IF(AND(VLOOKUP(D$1,test!$A$3:$F$32,5,FALSE) - VLOOKUP($B151,test!$A$3:$G$32,6,FALSE) &gt;= (test!$B$37+VLOOKUP(VLOOKUP($B151,test!$A$2:$I$32,4,FALSE),test!$J$24:$P$28,7,FALSE))/1440),1,0)</f>
        <v>0</v>
      </c>
      <c r="E151" s="2">
        <f>IF(AND(VLOOKUP(E$1,test!$A$3:$F$32,5,FALSE) - VLOOKUP($B151,test!$A$3:$G$32,6,FALSE) &gt;= (test!$B$37+VLOOKUP(VLOOKUP($B151,test!$A$2:$I$32,4,FALSE),test!$J$24:$P$28,7,FALSE))/1440),1,0)</f>
        <v>0</v>
      </c>
      <c r="F151" s="2">
        <f>IF(AND(VLOOKUP(F$1,test!$A$3:$F$32,5,FALSE) - VLOOKUP($B151,test!$A$3:$G$32,6,FALSE) &gt;= (test!$B$37+VLOOKUP(VLOOKUP($B151,test!$A$2:$I$32,4,FALSE),test!$J$24:$P$28,7,FALSE))/1440),1,0)</f>
        <v>0</v>
      </c>
      <c r="G151" s="2">
        <f>IF(AND(VLOOKUP(G$1,test!$A$3:$F$32,5,FALSE) - VLOOKUP($B151,test!$A$3:$G$32,6,FALSE) &gt;= (test!$B$37+VLOOKUP(VLOOKUP($B151,test!$A$2:$I$32,4,FALSE),test!$J$24:$P$28,7,FALSE))/1440),1,0)</f>
        <v>0</v>
      </c>
      <c r="H151" s="2">
        <f>IF(AND(VLOOKUP(H$1,test!$A$3:$F$32,5,FALSE) - VLOOKUP($B151,test!$A$3:$G$32,6,FALSE) &gt;= (test!$B$37+VLOOKUP(VLOOKUP($B151,test!$A$2:$I$32,4,FALSE),test!$J$24:$P$28,7,FALSE))/1440),1,0)</f>
        <v>0</v>
      </c>
      <c r="I151" s="2">
        <f>IF(AND(VLOOKUP(I$1,test!$A$3:$F$32,5,FALSE) - VLOOKUP($B151,test!$A$3:$G$32,6,FALSE) &gt;= (test!$B$37+VLOOKUP(VLOOKUP($B151,test!$A$2:$I$32,4,FALSE),test!$J$24:$P$28,7,FALSE))/1440),1,0)</f>
        <v>0</v>
      </c>
      <c r="J151" s="2">
        <f>IF(AND(VLOOKUP(J$1,test!$A$3:$F$32,5,FALSE) - VLOOKUP($B151,test!$A$3:$G$32,6,FALSE) &gt;= (test!$B$37+VLOOKUP(VLOOKUP($B151,test!$A$2:$I$32,4,FALSE),test!$J$24:$P$28,7,FALSE))/1440),1,0)</f>
        <v>0</v>
      </c>
      <c r="K151" s="2">
        <f>IF(AND(VLOOKUP(K$1,test!$A$3:$F$32,5,FALSE) - VLOOKUP($B151,test!$A$3:$G$32,6,FALSE) &gt;= (test!$B$37+VLOOKUP(VLOOKUP($B151,test!$A$2:$I$32,4,FALSE),test!$J$24:$P$28,7,FALSE))/1440),1,0)</f>
        <v>1</v>
      </c>
      <c r="L151" s="2">
        <f>IF(AND(VLOOKUP(L$1,test!$A$3:$F$32,5,FALSE) - VLOOKUP($B151,test!$A$3:$G$32,6,FALSE) &gt;= (test!$B$37+VLOOKUP(VLOOKUP($B151,test!$A$2:$I$32,4,FALSE),test!$J$24:$P$28,7,FALSE))/1440),1,0)</f>
        <v>0</v>
      </c>
      <c r="M151" s="2">
        <f>IF(AND(VLOOKUP(M$1,test!$A$3:$F$32,5,FALSE) - VLOOKUP($B151,test!$A$3:$G$32,6,FALSE) &gt;= (test!$B$37+VLOOKUP(VLOOKUP($B151,test!$A$2:$I$32,4,FALSE),test!$J$24:$P$28,7,FALSE))/1440),1,0)</f>
        <v>0</v>
      </c>
      <c r="N151" s="2">
        <f>IF(AND(VLOOKUP(N$1,test!$A$3:$F$32,5,FALSE) - VLOOKUP($B151,test!$A$3:$G$32,6,FALSE) &gt;= (test!$B$37+VLOOKUP(VLOOKUP($B151,test!$A$2:$I$32,4,FALSE),test!$J$24:$P$28,7,FALSE))/1440),1,0)</f>
        <v>0</v>
      </c>
      <c r="O151" s="2">
        <f>IF(AND(VLOOKUP(O$1,test!$A$3:$F$32,5,FALSE) - VLOOKUP($B151,test!$A$3:$G$32,6,FALSE) &gt;= (test!$B$37+VLOOKUP(VLOOKUP($B151,test!$A$2:$I$32,4,FALSE),test!$J$24:$P$28,7,FALSE))/1440),1,0)</f>
        <v>1</v>
      </c>
      <c r="P151" s="2">
        <f>IF(AND(VLOOKUP(P$1,test!$A$3:$F$32,5,FALSE) - VLOOKUP($B151,test!$A$3:$G$32,6,FALSE) &gt;= (test!$B$37+VLOOKUP(VLOOKUP($B151,test!$A$2:$I$32,4,FALSE),test!$J$24:$P$28,7,FALSE))/1440),1,0)</f>
        <v>1</v>
      </c>
      <c r="Q151" s="2">
        <f>IF(AND(VLOOKUP(Q$1,test!$A$3:$F$32,5,FALSE) - VLOOKUP($B151,test!$A$3:$G$32,6,FALSE) &gt;= (test!$B$37+VLOOKUP(VLOOKUP($B151,test!$A$2:$I$32,4,FALSE),test!$J$24:$P$28,7,FALSE))/1440),1,0)</f>
        <v>0</v>
      </c>
      <c r="R151" s="2">
        <f>IF(AND(VLOOKUP(R$1,test!$A$3:$F$32,5,FALSE) - VLOOKUP($B151,test!$A$3:$G$32,6,FALSE) &gt;= (test!$B$37+VLOOKUP(VLOOKUP($B151,test!$A$2:$I$32,4,FALSE),test!$J$24:$P$28,7,FALSE))/1440),1,0)</f>
        <v>0</v>
      </c>
      <c r="S151" s="2">
        <f>IF(AND(VLOOKUP(S$1,test!$A$3:$F$32,5,FALSE) - VLOOKUP($B151,test!$A$3:$G$32,6,FALSE) &gt;= (test!$B$37+VLOOKUP(VLOOKUP($B151,test!$A$2:$I$32,4,FALSE),test!$J$24:$P$28,7,FALSE))/1440),1,0)</f>
        <v>0</v>
      </c>
      <c r="T151" s="2">
        <f>IF(AND(VLOOKUP(T$1,test!$A$3:$F$32,5,FALSE) - VLOOKUP($B151,test!$A$3:$G$32,6,FALSE) &gt;= (test!$B$37+VLOOKUP(VLOOKUP($B151,test!$A$2:$I$32,4,FALSE),test!$J$24:$P$28,7,FALSE))/1440),1,0)</f>
        <v>0</v>
      </c>
      <c r="U151" s="2">
        <f>IF(AND(VLOOKUP(U$1,test!$A$3:$F$32,5,FALSE) - VLOOKUP($B151,test!$A$3:$G$32,6,FALSE) &gt;= (test!$B$37+VLOOKUP(VLOOKUP($B151,test!$A$2:$I$32,4,FALSE),test!$J$24:$P$28,7,FALSE))/1440),1,0)</f>
        <v>0</v>
      </c>
      <c r="V151" s="2">
        <f>IF(AND(VLOOKUP(V$1,test!$A$3:$F$32,5,FALSE) - VLOOKUP($B151,test!$A$3:$G$32,6,FALSE) &gt;= (test!$B$37+VLOOKUP(VLOOKUP($B151,test!$A$2:$I$32,4,FALSE),test!$J$24:$P$28,7,FALSE))/1440),1,0)</f>
        <v>0</v>
      </c>
      <c r="W151" s="2">
        <f>IF(AND(VLOOKUP(W$1,test!$A$3:$F$32,5,FALSE) - VLOOKUP($B151,test!$A$3:$G$32,6,FALSE) &gt;= (test!$B$37+VLOOKUP(VLOOKUP($B151,test!$A$2:$I$32,4,FALSE),test!$J$24:$P$28,7,FALSE))/1440),1,0)</f>
        <v>0</v>
      </c>
      <c r="X151" s="2">
        <f>IF(AND(VLOOKUP(X$1,test!$A$3:$F$32,5,FALSE) - VLOOKUP($B151,test!$A$3:$G$32,6,FALSE) &gt;= (test!$B$37+VLOOKUP(VLOOKUP($B151,test!$A$2:$I$32,4,FALSE),test!$J$24:$P$28,7,FALSE))/1440),1,0)</f>
        <v>0</v>
      </c>
      <c r="Y151" s="2">
        <f>IF(AND(VLOOKUP(Y$1,test!$A$3:$F$32,5,FALSE) - VLOOKUP($B151,test!$A$3:$G$32,6,FALSE) &gt;= (test!$B$37+VLOOKUP(VLOOKUP($B151,test!$A$2:$I$32,4,FALSE),test!$J$24:$P$28,7,FALSE))/1440),1,0)</f>
        <v>0</v>
      </c>
      <c r="Z151" s="2">
        <f>IF(AND(VLOOKUP(Z$1,test!$A$3:$F$32,5,FALSE) - VLOOKUP($B151,test!$A$3:$G$32,6,FALSE) &gt;= (test!$B$37+VLOOKUP(VLOOKUP($B151,test!$A$2:$I$32,4,FALSE),test!$J$24:$P$28,7,FALSE))/1440),1,0)</f>
        <v>0</v>
      </c>
      <c r="AA151" s="2">
        <f>IF(AND(VLOOKUP(AA$1,test!$A$3:$F$32,5,FALSE) - VLOOKUP($B151,test!$A$3:$G$32,6,FALSE) &gt;= (test!$B$37+VLOOKUP(VLOOKUP($B151,test!$A$2:$I$32,4,FALSE),test!$J$24:$P$28,7,FALSE))/1440),1,0)</f>
        <v>0</v>
      </c>
      <c r="AB151" s="2">
        <f>IF(AND(VLOOKUP(AB$1,test!$A$3:$F$32,5,FALSE) - VLOOKUP($B151,test!$A$3:$G$32,6,FALSE) &gt;= (test!$B$37+VLOOKUP(VLOOKUP($B151,test!$A$2:$I$32,4,FALSE),test!$J$24:$P$28,7,FALSE))/1440),1,0)</f>
        <v>0</v>
      </c>
      <c r="AC151" s="2">
        <f>IF(AND(VLOOKUP(AC$1,test!$A$3:$F$32,5,FALSE) - VLOOKUP($B151,test!$A$3:$G$32,6,FALSE) &gt;= (test!$B$37+VLOOKUP(VLOOKUP($B151,test!$A$2:$I$32,4,FALSE),test!$J$24:$P$28,7,FALSE))/1440),1,0)</f>
        <v>0</v>
      </c>
      <c r="AD151" s="2">
        <f>IF(AND(VLOOKUP(AD$1,test!$A$3:$F$32,5,FALSE) - VLOOKUP($B151,test!$A$3:$G$32,6,FALSE) &gt;= (test!$B$37+VLOOKUP(VLOOKUP($B151,test!$A$2:$I$32,4,FALSE),test!$J$24:$P$28,7,FALSE))/1440),1,0)</f>
        <v>0</v>
      </c>
      <c r="AE151" s="2">
        <f>IF(AND(VLOOKUP(AE$1,test!$A$3:$F$32,5,FALSE) - VLOOKUP($B151,test!$A$3:$G$32,6,FALSE) &gt;= (test!$B$37+VLOOKUP(VLOOKUP($B151,test!$A$2:$I$32,4,FALSE),test!$J$24:$P$28,7,FALSE))/1440),1,0)</f>
        <v>0</v>
      </c>
      <c r="AF151" s="2">
        <f>IF(AND(VLOOKUP(AF$1,test!$A$3:$F$32,5,FALSE) - VLOOKUP($B151,test!$A$3:$G$32,6,FALSE) &gt;= (test!$B$37+VLOOKUP(VLOOKUP($B151,test!$A$2:$I$32,4,FALSE),test!$J$24:$P$28,7,FALSE))/1440),1,0)</f>
        <v>0</v>
      </c>
      <c r="AG151" s="2">
        <f>IF(AND(VLOOKUP(AG$1,test!$A$3:$F$32,5,FALSE) - VLOOKUP($B151,test!$A$3:$G$32,6,FALSE) &gt;= (test!$B$37+VLOOKUP(VLOOKUP($B151,test!$A$2:$I$32,4,FALSE),test!$J$24:$P$28,7,FALSE))/1440),1,0)</f>
        <v>0</v>
      </c>
    </row>
    <row r="152" spans="1:33" x14ac:dyDescent="0.25">
      <c r="A152" t="s">
        <v>99</v>
      </c>
      <c r="B152" t="s">
        <v>37</v>
      </c>
      <c r="C152">
        <v>0</v>
      </c>
      <c r="D152" s="2">
        <f>IF(AND(VLOOKUP(D$1,test!$A$3:$F$32,5,FALSE) - VLOOKUP($B152,test!$A$3:$G$32,6,FALSE) &gt;= (test!$B$37+VLOOKUP(VLOOKUP($B152,test!$A$2:$I$32,4,FALSE),test!$J$24:$P$28,7,FALSE))/1440),1,0)</f>
        <v>0</v>
      </c>
      <c r="E152" s="2">
        <f>IF(AND(VLOOKUP(E$1,test!$A$3:$F$32,5,FALSE) - VLOOKUP($B152,test!$A$3:$G$32,6,FALSE) &gt;= (test!$B$37+VLOOKUP(VLOOKUP($B152,test!$A$2:$I$32,4,FALSE),test!$J$24:$P$28,7,FALSE))/1440),1,0)</f>
        <v>0</v>
      </c>
      <c r="F152" s="2">
        <f>IF(AND(VLOOKUP(F$1,test!$A$3:$F$32,5,FALSE) - VLOOKUP($B152,test!$A$3:$G$32,6,FALSE) &gt;= (test!$B$37+VLOOKUP(VLOOKUP($B152,test!$A$2:$I$32,4,FALSE),test!$J$24:$P$28,7,FALSE))/1440),1,0)</f>
        <v>0</v>
      </c>
      <c r="G152" s="2">
        <f>IF(AND(VLOOKUP(G$1,test!$A$3:$F$32,5,FALSE) - VLOOKUP($B152,test!$A$3:$G$32,6,FALSE) &gt;= (test!$B$37+VLOOKUP(VLOOKUP($B152,test!$A$2:$I$32,4,FALSE),test!$J$24:$P$28,7,FALSE))/1440),1,0)</f>
        <v>0</v>
      </c>
      <c r="H152" s="2">
        <f>IF(AND(VLOOKUP(H$1,test!$A$3:$F$32,5,FALSE) - VLOOKUP($B152,test!$A$3:$G$32,6,FALSE) &gt;= (test!$B$37+VLOOKUP(VLOOKUP($B152,test!$A$2:$I$32,4,FALSE),test!$J$24:$P$28,7,FALSE))/1440),1,0)</f>
        <v>0</v>
      </c>
      <c r="I152" s="2">
        <f>IF(AND(VLOOKUP(I$1,test!$A$3:$F$32,5,FALSE) - VLOOKUP($B152,test!$A$3:$G$32,6,FALSE) &gt;= (test!$B$37+VLOOKUP(VLOOKUP($B152,test!$A$2:$I$32,4,FALSE),test!$J$24:$P$28,7,FALSE))/1440),1,0)</f>
        <v>0</v>
      </c>
      <c r="J152" s="2">
        <f>IF(AND(VLOOKUP(J$1,test!$A$3:$F$32,5,FALSE) - VLOOKUP($B152,test!$A$3:$G$32,6,FALSE) &gt;= (test!$B$37+VLOOKUP(VLOOKUP($B152,test!$A$2:$I$32,4,FALSE),test!$J$24:$P$28,7,FALSE))/1440),1,0)</f>
        <v>0</v>
      </c>
      <c r="K152" s="2">
        <f>IF(AND(VLOOKUP(K$1,test!$A$3:$F$32,5,FALSE) - VLOOKUP($B152,test!$A$3:$G$32,6,FALSE) &gt;= (test!$B$37+VLOOKUP(VLOOKUP($B152,test!$A$2:$I$32,4,FALSE),test!$J$24:$P$28,7,FALSE))/1440),1,0)</f>
        <v>0</v>
      </c>
      <c r="L152" s="2">
        <f>IF(AND(VLOOKUP(L$1,test!$A$3:$F$32,5,FALSE) - VLOOKUP($B152,test!$A$3:$G$32,6,FALSE) &gt;= (test!$B$37+VLOOKUP(VLOOKUP($B152,test!$A$2:$I$32,4,FALSE),test!$J$24:$P$28,7,FALSE))/1440),1,0)</f>
        <v>0</v>
      </c>
      <c r="M152" s="2">
        <f>IF(AND(VLOOKUP(M$1,test!$A$3:$F$32,5,FALSE) - VLOOKUP($B152,test!$A$3:$G$32,6,FALSE) &gt;= (test!$B$37+VLOOKUP(VLOOKUP($B152,test!$A$2:$I$32,4,FALSE),test!$J$24:$P$28,7,FALSE))/1440),1,0)</f>
        <v>0</v>
      </c>
      <c r="N152" s="2">
        <f>IF(AND(VLOOKUP(N$1,test!$A$3:$F$32,5,FALSE) - VLOOKUP($B152,test!$A$3:$G$32,6,FALSE) &gt;= (test!$B$37+VLOOKUP(VLOOKUP($B152,test!$A$2:$I$32,4,FALSE),test!$J$24:$P$28,7,FALSE))/1440),1,0)</f>
        <v>0</v>
      </c>
      <c r="O152" s="2">
        <f>IF(AND(VLOOKUP(O$1,test!$A$3:$F$32,5,FALSE) - VLOOKUP($B152,test!$A$3:$G$32,6,FALSE) &gt;= (test!$B$37+VLOOKUP(VLOOKUP($B152,test!$A$2:$I$32,4,FALSE),test!$J$24:$P$28,7,FALSE))/1440),1,0)</f>
        <v>0</v>
      </c>
      <c r="P152" s="2">
        <f>IF(AND(VLOOKUP(P$1,test!$A$3:$F$32,5,FALSE) - VLOOKUP($B152,test!$A$3:$G$32,6,FALSE) &gt;= (test!$B$37+VLOOKUP(VLOOKUP($B152,test!$A$2:$I$32,4,FALSE),test!$J$24:$P$28,7,FALSE))/1440),1,0)</f>
        <v>1</v>
      </c>
      <c r="Q152" s="2">
        <f>IF(AND(VLOOKUP(Q$1,test!$A$3:$F$32,5,FALSE) - VLOOKUP($B152,test!$A$3:$G$32,6,FALSE) &gt;= (test!$B$37+VLOOKUP(VLOOKUP($B152,test!$A$2:$I$32,4,FALSE),test!$J$24:$P$28,7,FALSE))/1440),1,0)</f>
        <v>0</v>
      </c>
      <c r="R152" s="2">
        <f>IF(AND(VLOOKUP(R$1,test!$A$3:$F$32,5,FALSE) - VLOOKUP($B152,test!$A$3:$G$32,6,FALSE) &gt;= (test!$B$37+VLOOKUP(VLOOKUP($B152,test!$A$2:$I$32,4,FALSE),test!$J$24:$P$28,7,FALSE))/1440),1,0)</f>
        <v>0</v>
      </c>
      <c r="S152" s="2">
        <f>IF(AND(VLOOKUP(S$1,test!$A$3:$F$32,5,FALSE) - VLOOKUP($B152,test!$A$3:$G$32,6,FALSE) &gt;= (test!$B$37+VLOOKUP(VLOOKUP($B152,test!$A$2:$I$32,4,FALSE),test!$J$24:$P$28,7,FALSE))/1440),1,0)</f>
        <v>0</v>
      </c>
      <c r="T152" s="2">
        <f>IF(AND(VLOOKUP(T$1,test!$A$3:$F$32,5,FALSE) - VLOOKUP($B152,test!$A$3:$G$32,6,FALSE) &gt;= (test!$B$37+VLOOKUP(VLOOKUP($B152,test!$A$2:$I$32,4,FALSE),test!$J$24:$P$28,7,FALSE))/1440),1,0)</f>
        <v>0</v>
      </c>
      <c r="U152" s="2">
        <f>IF(AND(VLOOKUP(U$1,test!$A$3:$F$32,5,FALSE) - VLOOKUP($B152,test!$A$3:$G$32,6,FALSE) &gt;= (test!$B$37+VLOOKUP(VLOOKUP($B152,test!$A$2:$I$32,4,FALSE),test!$J$24:$P$28,7,FALSE))/1440),1,0)</f>
        <v>0</v>
      </c>
      <c r="V152" s="2">
        <f>IF(AND(VLOOKUP(V$1,test!$A$3:$F$32,5,FALSE) - VLOOKUP($B152,test!$A$3:$G$32,6,FALSE) &gt;= (test!$B$37+VLOOKUP(VLOOKUP($B152,test!$A$2:$I$32,4,FALSE),test!$J$24:$P$28,7,FALSE))/1440),1,0)</f>
        <v>0</v>
      </c>
      <c r="W152" s="2">
        <f>IF(AND(VLOOKUP(W$1,test!$A$3:$F$32,5,FALSE) - VLOOKUP($B152,test!$A$3:$G$32,6,FALSE) &gt;= (test!$B$37+VLOOKUP(VLOOKUP($B152,test!$A$2:$I$32,4,FALSE),test!$J$24:$P$28,7,FALSE))/1440),1,0)</f>
        <v>0</v>
      </c>
      <c r="X152" s="2">
        <f>IF(AND(VLOOKUP(X$1,test!$A$3:$F$32,5,FALSE) - VLOOKUP($B152,test!$A$3:$G$32,6,FALSE) &gt;= (test!$B$37+VLOOKUP(VLOOKUP($B152,test!$A$2:$I$32,4,FALSE),test!$J$24:$P$28,7,FALSE))/1440),1,0)</f>
        <v>0</v>
      </c>
      <c r="Y152" s="2">
        <f>IF(AND(VLOOKUP(Y$1,test!$A$3:$F$32,5,FALSE) - VLOOKUP($B152,test!$A$3:$G$32,6,FALSE) &gt;= (test!$B$37+VLOOKUP(VLOOKUP($B152,test!$A$2:$I$32,4,FALSE),test!$J$24:$P$28,7,FALSE))/1440),1,0)</f>
        <v>0</v>
      </c>
      <c r="Z152" s="2">
        <f>IF(AND(VLOOKUP(Z$1,test!$A$3:$F$32,5,FALSE) - VLOOKUP($B152,test!$A$3:$G$32,6,FALSE) &gt;= (test!$B$37+VLOOKUP(VLOOKUP($B152,test!$A$2:$I$32,4,FALSE),test!$J$24:$P$28,7,FALSE))/1440),1,0)</f>
        <v>0</v>
      </c>
      <c r="AA152" s="2">
        <f>IF(AND(VLOOKUP(AA$1,test!$A$3:$F$32,5,FALSE) - VLOOKUP($B152,test!$A$3:$G$32,6,FALSE) &gt;= (test!$B$37+VLOOKUP(VLOOKUP($B152,test!$A$2:$I$32,4,FALSE),test!$J$24:$P$28,7,FALSE))/1440),1,0)</f>
        <v>0</v>
      </c>
      <c r="AB152" s="2">
        <f>IF(AND(VLOOKUP(AB$1,test!$A$3:$F$32,5,FALSE) - VLOOKUP($B152,test!$A$3:$G$32,6,FALSE) &gt;= (test!$B$37+VLOOKUP(VLOOKUP($B152,test!$A$2:$I$32,4,FALSE),test!$J$24:$P$28,7,FALSE))/1440),1,0)</f>
        <v>0</v>
      </c>
      <c r="AC152" s="2">
        <f>IF(AND(VLOOKUP(AC$1,test!$A$3:$F$32,5,FALSE) - VLOOKUP($B152,test!$A$3:$G$32,6,FALSE) &gt;= (test!$B$37+VLOOKUP(VLOOKUP($B152,test!$A$2:$I$32,4,FALSE),test!$J$24:$P$28,7,FALSE))/1440),1,0)</f>
        <v>0</v>
      </c>
      <c r="AD152" s="2">
        <f>IF(AND(VLOOKUP(AD$1,test!$A$3:$F$32,5,FALSE) - VLOOKUP($B152,test!$A$3:$G$32,6,FALSE) &gt;= (test!$B$37+VLOOKUP(VLOOKUP($B152,test!$A$2:$I$32,4,FALSE),test!$J$24:$P$28,7,FALSE))/1440),1,0)</f>
        <v>0</v>
      </c>
      <c r="AE152" s="2">
        <f>IF(AND(VLOOKUP(AE$1,test!$A$3:$F$32,5,FALSE) - VLOOKUP($B152,test!$A$3:$G$32,6,FALSE) &gt;= (test!$B$37+VLOOKUP(VLOOKUP($B152,test!$A$2:$I$32,4,FALSE),test!$J$24:$P$28,7,FALSE))/1440),1,0)</f>
        <v>0</v>
      </c>
      <c r="AF152" s="2">
        <f>IF(AND(VLOOKUP(AF$1,test!$A$3:$F$32,5,FALSE) - VLOOKUP($B152,test!$A$3:$G$32,6,FALSE) &gt;= (test!$B$37+VLOOKUP(VLOOKUP($B152,test!$A$2:$I$32,4,FALSE),test!$J$24:$P$28,7,FALSE))/1440),1,0)</f>
        <v>0</v>
      </c>
      <c r="AG152" s="2">
        <f>IF(AND(VLOOKUP(AG$1,test!$A$3:$F$32,5,FALSE) - VLOOKUP($B152,test!$A$3:$G$32,6,FALSE) &gt;= (test!$B$37+VLOOKUP(VLOOKUP($B152,test!$A$2:$I$32,4,FALSE),test!$J$24:$P$28,7,FALSE))/1440),1,0)</f>
        <v>0</v>
      </c>
    </row>
    <row r="153" spans="1:33" x14ac:dyDescent="0.25">
      <c r="A153" t="s">
        <v>99</v>
      </c>
      <c r="B153" t="s">
        <v>38</v>
      </c>
      <c r="C153">
        <v>0</v>
      </c>
      <c r="D153" s="2">
        <f>IF(AND(VLOOKUP(D$1,test!$A$3:$F$32,5,FALSE) - VLOOKUP($B153,test!$A$3:$G$32,6,FALSE) &gt;= (test!$B$37+VLOOKUP(VLOOKUP($B153,test!$A$2:$I$32,4,FALSE),test!$J$24:$P$28,7,FALSE))/1440),1,0)</f>
        <v>0</v>
      </c>
      <c r="E153" s="2">
        <f>IF(AND(VLOOKUP(E$1,test!$A$3:$F$32,5,FALSE) - VLOOKUP($B153,test!$A$3:$G$32,6,FALSE) &gt;= (test!$B$37+VLOOKUP(VLOOKUP($B153,test!$A$2:$I$32,4,FALSE),test!$J$24:$P$28,7,FALSE))/1440),1,0)</f>
        <v>0</v>
      </c>
      <c r="F153" s="2">
        <f>IF(AND(VLOOKUP(F$1,test!$A$3:$F$32,5,FALSE) - VLOOKUP($B153,test!$A$3:$G$32,6,FALSE) &gt;= (test!$B$37+VLOOKUP(VLOOKUP($B153,test!$A$2:$I$32,4,FALSE),test!$J$24:$P$28,7,FALSE))/1440),1,0)</f>
        <v>0</v>
      </c>
      <c r="G153" s="2">
        <f>IF(AND(VLOOKUP(G$1,test!$A$3:$F$32,5,FALSE) - VLOOKUP($B153,test!$A$3:$G$32,6,FALSE) &gt;= (test!$B$37+VLOOKUP(VLOOKUP($B153,test!$A$2:$I$32,4,FALSE),test!$J$24:$P$28,7,FALSE))/1440),1,0)</f>
        <v>0</v>
      </c>
      <c r="H153" s="2">
        <f>IF(AND(VLOOKUP(H$1,test!$A$3:$F$32,5,FALSE) - VLOOKUP($B153,test!$A$3:$G$32,6,FALSE) &gt;= (test!$B$37+VLOOKUP(VLOOKUP($B153,test!$A$2:$I$32,4,FALSE),test!$J$24:$P$28,7,FALSE))/1440),1,0)</f>
        <v>0</v>
      </c>
      <c r="I153" s="2">
        <f>IF(AND(VLOOKUP(I$1,test!$A$3:$F$32,5,FALSE) - VLOOKUP($B153,test!$A$3:$G$32,6,FALSE) &gt;= (test!$B$37+VLOOKUP(VLOOKUP($B153,test!$A$2:$I$32,4,FALSE),test!$J$24:$P$28,7,FALSE))/1440),1,0)</f>
        <v>0</v>
      </c>
      <c r="J153" s="2">
        <f>IF(AND(VLOOKUP(J$1,test!$A$3:$F$32,5,FALSE) - VLOOKUP($B153,test!$A$3:$G$32,6,FALSE) &gt;= (test!$B$37+VLOOKUP(VLOOKUP($B153,test!$A$2:$I$32,4,FALSE),test!$J$24:$P$28,7,FALSE))/1440),1,0)</f>
        <v>0</v>
      </c>
      <c r="K153" s="2">
        <f>IF(AND(VLOOKUP(K$1,test!$A$3:$F$32,5,FALSE) - VLOOKUP($B153,test!$A$3:$G$32,6,FALSE) &gt;= (test!$B$37+VLOOKUP(VLOOKUP($B153,test!$A$2:$I$32,4,FALSE),test!$J$24:$P$28,7,FALSE))/1440),1,0)</f>
        <v>0</v>
      </c>
      <c r="L153" s="2">
        <f>IF(AND(VLOOKUP(L$1,test!$A$3:$F$32,5,FALSE) - VLOOKUP($B153,test!$A$3:$G$32,6,FALSE) &gt;= (test!$B$37+VLOOKUP(VLOOKUP($B153,test!$A$2:$I$32,4,FALSE),test!$J$24:$P$28,7,FALSE))/1440),1,0)</f>
        <v>0</v>
      </c>
      <c r="M153" s="2">
        <f>IF(AND(VLOOKUP(M$1,test!$A$3:$F$32,5,FALSE) - VLOOKUP($B153,test!$A$3:$G$32,6,FALSE) &gt;= (test!$B$37+VLOOKUP(VLOOKUP($B153,test!$A$2:$I$32,4,FALSE),test!$J$24:$P$28,7,FALSE))/1440),1,0)</f>
        <v>0</v>
      </c>
      <c r="N153" s="2">
        <f>IF(AND(VLOOKUP(N$1,test!$A$3:$F$32,5,FALSE) - VLOOKUP($B153,test!$A$3:$G$32,6,FALSE) &gt;= (test!$B$37+VLOOKUP(VLOOKUP($B153,test!$A$2:$I$32,4,FALSE),test!$J$24:$P$28,7,FALSE))/1440),1,0)</f>
        <v>0</v>
      </c>
      <c r="O153" s="2">
        <f>IF(AND(VLOOKUP(O$1,test!$A$3:$F$32,5,FALSE) - VLOOKUP($B153,test!$A$3:$G$32,6,FALSE) &gt;= (test!$B$37+VLOOKUP(VLOOKUP($B153,test!$A$2:$I$32,4,FALSE),test!$J$24:$P$28,7,FALSE))/1440),1,0)</f>
        <v>0</v>
      </c>
      <c r="P153" s="2">
        <f>IF(AND(VLOOKUP(P$1,test!$A$3:$F$32,5,FALSE) - VLOOKUP($B153,test!$A$3:$G$32,6,FALSE) &gt;= (test!$B$37+VLOOKUP(VLOOKUP($B153,test!$A$2:$I$32,4,FALSE),test!$J$24:$P$28,7,FALSE))/1440),1,0)</f>
        <v>0</v>
      </c>
      <c r="Q153" s="2">
        <f>IF(AND(VLOOKUP(Q$1,test!$A$3:$F$32,5,FALSE) - VLOOKUP($B153,test!$A$3:$G$32,6,FALSE) &gt;= (test!$B$37+VLOOKUP(VLOOKUP($B153,test!$A$2:$I$32,4,FALSE),test!$J$24:$P$28,7,FALSE))/1440),1,0)</f>
        <v>0</v>
      </c>
      <c r="R153" s="2">
        <f>IF(AND(VLOOKUP(R$1,test!$A$3:$F$32,5,FALSE) - VLOOKUP($B153,test!$A$3:$G$32,6,FALSE) &gt;= (test!$B$37+VLOOKUP(VLOOKUP($B153,test!$A$2:$I$32,4,FALSE),test!$J$24:$P$28,7,FALSE))/1440),1,0)</f>
        <v>0</v>
      </c>
      <c r="S153" s="2">
        <f>IF(AND(VLOOKUP(S$1,test!$A$3:$F$32,5,FALSE) - VLOOKUP($B153,test!$A$3:$G$32,6,FALSE) &gt;= (test!$B$37+VLOOKUP(VLOOKUP($B153,test!$A$2:$I$32,4,FALSE),test!$J$24:$P$28,7,FALSE))/1440),1,0)</f>
        <v>0</v>
      </c>
      <c r="T153" s="2">
        <f>IF(AND(VLOOKUP(T$1,test!$A$3:$F$32,5,FALSE) - VLOOKUP($B153,test!$A$3:$G$32,6,FALSE) &gt;= (test!$B$37+VLOOKUP(VLOOKUP($B153,test!$A$2:$I$32,4,FALSE),test!$J$24:$P$28,7,FALSE))/1440),1,0)</f>
        <v>0</v>
      </c>
      <c r="U153" s="2">
        <f>IF(AND(VLOOKUP(U$1,test!$A$3:$F$32,5,FALSE) - VLOOKUP($B153,test!$A$3:$G$32,6,FALSE) &gt;= (test!$B$37+VLOOKUP(VLOOKUP($B153,test!$A$2:$I$32,4,FALSE),test!$J$24:$P$28,7,FALSE))/1440),1,0)</f>
        <v>0</v>
      </c>
      <c r="V153" s="2">
        <f>IF(AND(VLOOKUP(V$1,test!$A$3:$F$32,5,FALSE) - VLOOKUP($B153,test!$A$3:$G$32,6,FALSE) &gt;= (test!$B$37+VLOOKUP(VLOOKUP($B153,test!$A$2:$I$32,4,FALSE),test!$J$24:$P$28,7,FALSE))/1440),1,0)</f>
        <v>0</v>
      </c>
      <c r="W153" s="2">
        <f>IF(AND(VLOOKUP(W$1,test!$A$3:$F$32,5,FALSE) - VLOOKUP($B153,test!$A$3:$G$32,6,FALSE) &gt;= (test!$B$37+VLOOKUP(VLOOKUP($B153,test!$A$2:$I$32,4,FALSE),test!$J$24:$P$28,7,FALSE))/1440),1,0)</f>
        <v>0</v>
      </c>
      <c r="X153" s="2">
        <f>IF(AND(VLOOKUP(X$1,test!$A$3:$F$32,5,FALSE) - VLOOKUP($B153,test!$A$3:$G$32,6,FALSE) &gt;= (test!$B$37+VLOOKUP(VLOOKUP($B153,test!$A$2:$I$32,4,FALSE),test!$J$24:$P$28,7,FALSE))/1440),1,0)</f>
        <v>0</v>
      </c>
      <c r="Y153" s="2">
        <f>IF(AND(VLOOKUP(Y$1,test!$A$3:$F$32,5,FALSE) - VLOOKUP($B153,test!$A$3:$G$32,6,FALSE) &gt;= (test!$B$37+VLOOKUP(VLOOKUP($B153,test!$A$2:$I$32,4,FALSE),test!$J$24:$P$28,7,FALSE))/1440),1,0)</f>
        <v>0</v>
      </c>
      <c r="Z153" s="2">
        <f>IF(AND(VLOOKUP(Z$1,test!$A$3:$F$32,5,FALSE) - VLOOKUP($B153,test!$A$3:$G$32,6,FALSE) &gt;= (test!$B$37+VLOOKUP(VLOOKUP($B153,test!$A$2:$I$32,4,FALSE),test!$J$24:$P$28,7,FALSE))/1440),1,0)</f>
        <v>0</v>
      </c>
      <c r="AA153" s="2">
        <f>IF(AND(VLOOKUP(AA$1,test!$A$3:$F$32,5,FALSE) - VLOOKUP($B153,test!$A$3:$G$32,6,FALSE) &gt;= (test!$B$37+VLOOKUP(VLOOKUP($B153,test!$A$2:$I$32,4,FALSE),test!$J$24:$P$28,7,FALSE))/1440),1,0)</f>
        <v>0</v>
      </c>
      <c r="AB153" s="2">
        <f>IF(AND(VLOOKUP(AB$1,test!$A$3:$F$32,5,FALSE) - VLOOKUP($B153,test!$A$3:$G$32,6,FALSE) &gt;= (test!$B$37+VLOOKUP(VLOOKUP($B153,test!$A$2:$I$32,4,FALSE),test!$J$24:$P$28,7,FALSE))/1440),1,0)</f>
        <v>0</v>
      </c>
      <c r="AC153" s="2">
        <f>IF(AND(VLOOKUP(AC$1,test!$A$3:$F$32,5,FALSE) - VLOOKUP($B153,test!$A$3:$G$32,6,FALSE) &gt;= (test!$B$37+VLOOKUP(VLOOKUP($B153,test!$A$2:$I$32,4,FALSE),test!$J$24:$P$28,7,FALSE))/1440),1,0)</f>
        <v>0</v>
      </c>
      <c r="AD153" s="2">
        <f>IF(AND(VLOOKUP(AD$1,test!$A$3:$F$32,5,FALSE) - VLOOKUP($B153,test!$A$3:$G$32,6,FALSE) &gt;= (test!$B$37+VLOOKUP(VLOOKUP($B153,test!$A$2:$I$32,4,FALSE),test!$J$24:$P$28,7,FALSE))/1440),1,0)</f>
        <v>0</v>
      </c>
      <c r="AE153" s="2">
        <f>IF(AND(VLOOKUP(AE$1,test!$A$3:$F$32,5,FALSE) - VLOOKUP($B153,test!$A$3:$G$32,6,FALSE) &gt;= (test!$B$37+VLOOKUP(VLOOKUP($B153,test!$A$2:$I$32,4,FALSE),test!$J$24:$P$28,7,FALSE))/1440),1,0)</f>
        <v>0</v>
      </c>
      <c r="AF153" s="2">
        <f>IF(AND(VLOOKUP(AF$1,test!$A$3:$F$32,5,FALSE) - VLOOKUP($B153,test!$A$3:$G$32,6,FALSE) &gt;= (test!$B$37+VLOOKUP(VLOOKUP($B153,test!$A$2:$I$32,4,FALSE),test!$J$24:$P$28,7,FALSE))/1440),1,0)</f>
        <v>0</v>
      </c>
      <c r="AG153" s="2">
        <f>IF(AND(VLOOKUP(AG$1,test!$A$3:$F$32,5,FALSE) - VLOOKUP($B153,test!$A$3:$G$32,6,FALSE) &gt;= (test!$B$37+VLOOKUP(VLOOKUP($B153,test!$A$2:$I$32,4,FALSE),test!$J$24:$P$28,7,FALSE))/1440),1,0)</f>
        <v>0</v>
      </c>
    </row>
    <row r="154" spans="1:33" x14ac:dyDescent="0.25">
      <c r="A154" t="s">
        <v>99</v>
      </c>
      <c r="B154" t="s">
        <v>39</v>
      </c>
      <c r="C154">
        <v>0</v>
      </c>
      <c r="D154" s="2">
        <f>IF(AND(VLOOKUP(D$1,test!$A$3:$F$32,5,FALSE) - VLOOKUP($B154,test!$A$3:$G$32,6,FALSE) &gt;= (test!$B$37+VLOOKUP(VLOOKUP($B154,test!$A$2:$I$32,4,FALSE),test!$J$24:$P$28,7,FALSE))/1440),1,0)</f>
        <v>0</v>
      </c>
      <c r="E154" s="2">
        <f>IF(AND(VLOOKUP(E$1,test!$A$3:$F$32,5,FALSE) - VLOOKUP($B154,test!$A$3:$G$32,6,FALSE) &gt;= (test!$B$37+VLOOKUP(VLOOKUP($B154,test!$A$2:$I$32,4,FALSE),test!$J$24:$P$28,7,FALSE))/1440),1,0)</f>
        <v>0</v>
      </c>
      <c r="F154" s="2">
        <f>IF(AND(VLOOKUP(F$1,test!$A$3:$F$32,5,FALSE) - VLOOKUP($B154,test!$A$3:$G$32,6,FALSE) &gt;= (test!$B$37+VLOOKUP(VLOOKUP($B154,test!$A$2:$I$32,4,FALSE),test!$J$24:$P$28,7,FALSE))/1440),1,0)</f>
        <v>1</v>
      </c>
      <c r="G154" s="2">
        <f>IF(AND(VLOOKUP(G$1,test!$A$3:$F$32,5,FALSE) - VLOOKUP($B154,test!$A$3:$G$32,6,FALSE) &gt;= (test!$B$37+VLOOKUP(VLOOKUP($B154,test!$A$2:$I$32,4,FALSE),test!$J$24:$P$28,7,FALSE))/1440),1,0)</f>
        <v>1</v>
      </c>
      <c r="H154" s="2">
        <f>IF(AND(VLOOKUP(H$1,test!$A$3:$F$32,5,FALSE) - VLOOKUP($B154,test!$A$3:$G$32,6,FALSE) &gt;= (test!$B$37+VLOOKUP(VLOOKUP($B154,test!$A$2:$I$32,4,FALSE),test!$J$24:$P$28,7,FALSE))/1440),1,0)</f>
        <v>1</v>
      </c>
      <c r="I154" s="2">
        <f>IF(AND(VLOOKUP(I$1,test!$A$3:$F$32,5,FALSE) - VLOOKUP($B154,test!$A$3:$G$32,6,FALSE) &gt;= (test!$B$37+VLOOKUP(VLOOKUP($B154,test!$A$2:$I$32,4,FALSE),test!$J$24:$P$28,7,FALSE))/1440),1,0)</f>
        <v>1</v>
      </c>
      <c r="J154" s="2">
        <f>IF(AND(VLOOKUP(J$1,test!$A$3:$F$32,5,FALSE) - VLOOKUP($B154,test!$A$3:$G$32,6,FALSE) &gt;= (test!$B$37+VLOOKUP(VLOOKUP($B154,test!$A$2:$I$32,4,FALSE),test!$J$24:$P$28,7,FALSE))/1440),1,0)</f>
        <v>1</v>
      </c>
      <c r="K154" s="2">
        <f>IF(AND(VLOOKUP(K$1,test!$A$3:$F$32,5,FALSE) - VLOOKUP($B154,test!$A$3:$G$32,6,FALSE) &gt;= (test!$B$37+VLOOKUP(VLOOKUP($B154,test!$A$2:$I$32,4,FALSE),test!$J$24:$P$28,7,FALSE))/1440),1,0)</f>
        <v>1</v>
      </c>
      <c r="L154" s="2">
        <f>IF(AND(VLOOKUP(L$1,test!$A$3:$F$32,5,FALSE) - VLOOKUP($B154,test!$A$3:$G$32,6,FALSE) &gt;= (test!$B$37+VLOOKUP(VLOOKUP($B154,test!$A$2:$I$32,4,FALSE),test!$J$24:$P$28,7,FALSE))/1440),1,0)</f>
        <v>0</v>
      </c>
      <c r="M154" s="2">
        <f>IF(AND(VLOOKUP(M$1,test!$A$3:$F$32,5,FALSE) - VLOOKUP($B154,test!$A$3:$G$32,6,FALSE) &gt;= (test!$B$37+VLOOKUP(VLOOKUP($B154,test!$A$2:$I$32,4,FALSE),test!$J$24:$P$28,7,FALSE))/1440),1,0)</f>
        <v>0</v>
      </c>
      <c r="N154" s="2">
        <f>IF(AND(VLOOKUP(N$1,test!$A$3:$F$32,5,FALSE) - VLOOKUP($B154,test!$A$3:$G$32,6,FALSE) &gt;= (test!$B$37+VLOOKUP(VLOOKUP($B154,test!$A$2:$I$32,4,FALSE),test!$J$24:$P$28,7,FALSE))/1440),1,0)</f>
        <v>1</v>
      </c>
      <c r="O154" s="2">
        <f>IF(AND(VLOOKUP(O$1,test!$A$3:$F$32,5,FALSE) - VLOOKUP($B154,test!$A$3:$G$32,6,FALSE) &gt;= (test!$B$37+VLOOKUP(VLOOKUP($B154,test!$A$2:$I$32,4,FALSE),test!$J$24:$P$28,7,FALSE))/1440),1,0)</f>
        <v>1</v>
      </c>
      <c r="P154" s="2">
        <f>IF(AND(VLOOKUP(P$1,test!$A$3:$F$32,5,FALSE) - VLOOKUP($B154,test!$A$3:$G$32,6,FALSE) &gt;= (test!$B$37+VLOOKUP(VLOOKUP($B154,test!$A$2:$I$32,4,FALSE),test!$J$24:$P$28,7,FALSE))/1440),1,0)</f>
        <v>1</v>
      </c>
      <c r="Q154" s="2">
        <f>IF(AND(VLOOKUP(Q$1,test!$A$3:$F$32,5,FALSE) - VLOOKUP($B154,test!$A$3:$G$32,6,FALSE) &gt;= (test!$B$37+VLOOKUP(VLOOKUP($B154,test!$A$2:$I$32,4,FALSE),test!$J$24:$P$28,7,FALSE))/1440),1,0)</f>
        <v>0</v>
      </c>
      <c r="R154" s="2">
        <f>IF(AND(VLOOKUP(R$1,test!$A$3:$F$32,5,FALSE) - VLOOKUP($B154,test!$A$3:$G$32,6,FALSE) &gt;= (test!$B$37+VLOOKUP(VLOOKUP($B154,test!$A$2:$I$32,4,FALSE),test!$J$24:$P$28,7,FALSE))/1440),1,0)</f>
        <v>0</v>
      </c>
      <c r="S154" s="2">
        <f>IF(AND(VLOOKUP(S$1,test!$A$3:$F$32,5,FALSE) - VLOOKUP($B154,test!$A$3:$G$32,6,FALSE) &gt;= (test!$B$37+VLOOKUP(VLOOKUP($B154,test!$A$2:$I$32,4,FALSE),test!$J$24:$P$28,7,FALSE))/1440),1,0)</f>
        <v>0</v>
      </c>
      <c r="T154" s="2">
        <f>IF(AND(VLOOKUP(T$1,test!$A$3:$F$32,5,FALSE) - VLOOKUP($B154,test!$A$3:$G$32,6,FALSE) &gt;= (test!$B$37+VLOOKUP(VLOOKUP($B154,test!$A$2:$I$32,4,FALSE),test!$J$24:$P$28,7,FALSE))/1440),1,0)</f>
        <v>0</v>
      </c>
      <c r="U154" s="2">
        <f>IF(AND(VLOOKUP(U$1,test!$A$3:$F$32,5,FALSE) - VLOOKUP($B154,test!$A$3:$G$32,6,FALSE) &gt;= (test!$B$37+VLOOKUP(VLOOKUP($B154,test!$A$2:$I$32,4,FALSE),test!$J$24:$P$28,7,FALSE))/1440),1,0)</f>
        <v>1</v>
      </c>
      <c r="V154" s="2">
        <f>IF(AND(VLOOKUP(V$1,test!$A$3:$F$32,5,FALSE) - VLOOKUP($B154,test!$A$3:$G$32,6,FALSE) &gt;= (test!$B$37+VLOOKUP(VLOOKUP($B154,test!$A$2:$I$32,4,FALSE),test!$J$24:$P$28,7,FALSE))/1440),1,0)</f>
        <v>1</v>
      </c>
      <c r="W154" s="2">
        <f>IF(AND(VLOOKUP(W$1,test!$A$3:$F$32,5,FALSE) - VLOOKUP($B154,test!$A$3:$G$32,6,FALSE) &gt;= (test!$B$37+VLOOKUP(VLOOKUP($B154,test!$A$2:$I$32,4,FALSE),test!$J$24:$P$28,7,FALSE))/1440),1,0)</f>
        <v>1</v>
      </c>
      <c r="X154" s="2">
        <f>IF(AND(VLOOKUP(X$1,test!$A$3:$F$32,5,FALSE) - VLOOKUP($B154,test!$A$3:$G$32,6,FALSE) &gt;= (test!$B$37+VLOOKUP(VLOOKUP($B154,test!$A$2:$I$32,4,FALSE),test!$J$24:$P$28,7,FALSE))/1440),1,0)</f>
        <v>1</v>
      </c>
      <c r="Y154" s="2">
        <f>IF(AND(VLOOKUP(Y$1,test!$A$3:$F$32,5,FALSE) - VLOOKUP($B154,test!$A$3:$G$32,6,FALSE) &gt;= (test!$B$37+VLOOKUP(VLOOKUP($B154,test!$A$2:$I$32,4,FALSE),test!$J$24:$P$28,7,FALSE))/1440),1,0)</f>
        <v>1</v>
      </c>
      <c r="Z154" s="2">
        <f>IF(AND(VLOOKUP(Z$1,test!$A$3:$F$32,5,FALSE) - VLOOKUP($B154,test!$A$3:$G$32,6,FALSE) &gt;= (test!$B$37+VLOOKUP(VLOOKUP($B154,test!$A$2:$I$32,4,FALSE),test!$J$24:$P$28,7,FALSE))/1440),1,0)</f>
        <v>0</v>
      </c>
      <c r="AA154" s="2">
        <f>IF(AND(VLOOKUP(AA$1,test!$A$3:$F$32,5,FALSE) - VLOOKUP($B154,test!$A$3:$G$32,6,FALSE) &gt;= (test!$B$37+VLOOKUP(VLOOKUP($B154,test!$A$2:$I$32,4,FALSE),test!$J$24:$P$28,7,FALSE))/1440),1,0)</f>
        <v>0</v>
      </c>
      <c r="AB154" s="2">
        <f>IF(AND(VLOOKUP(AB$1,test!$A$3:$F$32,5,FALSE) - VLOOKUP($B154,test!$A$3:$G$32,6,FALSE) &gt;= (test!$B$37+VLOOKUP(VLOOKUP($B154,test!$A$2:$I$32,4,FALSE),test!$J$24:$P$28,7,FALSE))/1440),1,0)</f>
        <v>1</v>
      </c>
      <c r="AC154" s="2">
        <f>IF(AND(VLOOKUP(AC$1,test!$A$3:$F$32,5,FALSE) - VLOOKUP($B154,test!$A$3:$G$32,6,FALSE) &gt;= (test!$B$37+VLOOKUP(VLOOKUP($B154,test!$A$2:$I$32,4,FALSE),test!$J$24:$P$28,7,FALSE))/1440),1,0)</f>
        <v>1</v>
      </c>
      <c r="AD154" s="2">
        <f>IF(AND(VLOOKUP(AD$1,test!$A$3:$F$32,5,FALSE) - VLOOKUP($B154,test!$A$3:$G$32,6,FALSE) &gt;= (test!$B$37+VLOOKUP(VLOOKUP($B154,test!$A$2:$I$32,4,FALSE),test!$J$24:$P$28,7,FALSE))/1440),1,0)</f>
        <v>1</v>
      </c>
      <c r="AE154" s="2">
        <f>IF(AND(VLOOKUP(AE$1,test!$A$3:$F$32,5,FALSE) - VLOOKUP($B154,test!$A$3:$G$32,6,FALSE) &gt;= (test!$B$37+VLOOKUP(VLOOKUP($B154,test!$A$2:$I$32,4,FALSE),test!$J$24:$P$28,7,FALSE))/1440),1,0)</f>
        <v>0</v>
      </c>
      <c r="AF154" s="2">
        <f>IF(AND(VLOOKUP(AF$1,test!$A$3:$F$32,5,FALSE) - VLOOKUP($B154,test!$A$3:$G$32,6,FALSE) &gt;= (test!$B$37+VLOOKUP(VLOOKUP($B154,test!$A$2:$I$32,4,FALSE),test!$J$24:$P$28,7,FALSE))/1440),1,0)</f>
        <v>1</v>
      </c>
      <c r="AG154" s="2">
        <f>IF(AND(VLOOKUP(AG$1,test!$A$3:$F$32,5,FALSE) - VLOOKUP($B154,test!$A$3:$G$32,6,FALSE) &gt;= (test!$B$37+VLOOKUP(VLOOKUP($B154,test!$A$2:$I$32,4,FALSE),test!$J$24:$P$28,7,FALSE))/1440),1,0)</f>
        <v>1</v>
      </c>
    </row>
    <row r="155" spans="1:33" x14ac:dyDescent="0.25">
      <c r="A155" t="s">
        <v>99</v>
      </c>
      <c r="B155" t="s">
        <v>40</v>
      </c>
      <c r="C155">
        <v>0</v>
      </c>
      <c r="D155" s="2">
        <f>IF(AND(VLOOKUP(D$1,test!$A$3:$F$32,5,FALSE) - VLOOKUP($B155,test!$A$3:$G$32,6,FALSE) &gt;= (test!$B$37+VLOOKUP(VLOOKUP($B155,test!$A$2:$I$32,4,FALSE),test!$J$24:$P$28,7,FALSE))/1440),1,0)</f>
        <v>0</v>
      </c>
      <c r="E155" s="2">
        <f>IF(AND(VLOOKUP(E$1,test!$A$3:$F$32,5,FALSE) - VLOOKUP($B155,test!$A$3:$G$32,6,FALSE) &gt;= (test!$B$37+VLOOKUP(VLOOKUP($B155,test!$A$2:$I$32,4,FALSE),test!$J$24:$P$28,7,FALSE))/1440),1,0)</f>
        <v>0</v>
      </c>
      <c r="F155" s="2">
        <f>IF(AND(VLOOKUP(F$1,test!$A$3:$F$32,5,FALSE) - VLOOKUP($B155,test!$A$3:$G$32,6,FALSE) &gt;= (test!$B$37+VLOOKUP(VLOOKUP($B155,test!$A$2:$I$32,4,FALSE),test!$J$24:$P$28,7,FALSE))/1440),1,0)</f>
        <v>0</v>
      </c>
      <c r="G155" s="2">
        <f>IF(AND(VLOOKUP(G$1,test!$A$3:$F$32,5,FALSE) - VLOOKUP($B155,test!$A$3:$G$32,6,FALSE) &gt;= (test!$B$37+VLOOKUP(VLOOKUP($B155,test!$A$2:$I$32,4,FALSE),test!$J$24:$P$28,7,FALSE))/1440),1,0)</f>
        <v>0</v>
      </c>
      <c r="H155" s="2">
        <f>IF(AND(VLOOKUP(H$1,test!$A$3:$F$32,5,FALSE) - VLOOKUP($B155,test!$A$3:$G$32,6,FALSE) &gt;= (test!$B$37+VLOOKUP(VLOOKUP($B155,test!$A$2:$I$32,4,FALSE),test!$J$24:$P$28,7,FALSE))/1440),1,0)</f>
        <v>0</v>
      </c>
      <c r="I155" s="2">
        <f>IF(AND(VLOOKUP(I$1,test!$A$3:$F$32,5,FALSE) - VLOOKUP($B155,test!$A$3:$G$32,6,FALSE) &gt;= (test!$B$37+VLOOKUP(VLOOKUP($B155,test!$A$2:$I$32,4,FALSE),test!$J$24:$P$28,7,FALSE))/1440),1,0)</f>
        <v>0</v>
      </c>
      <c r="J155" s="2">
        <f>IF(AND(VLOOKUP(J$1,test!$A$3:$F$32,5,FALSE) - VLOOKUP($B155,test!$A$3:$G$32,6,FALSE) &gt;= (test!$B$37+VLOOKUP(VLOOKUP($B155,test!$A$2:$I$32,4,FALSE),test!$J$24:$P$28,7,FALSE))/1440),1,0)</f>
        <v>0</v>
      </c>
      <c r="K155" s="2">
        <f>IF(AND(VLOOKUP(K$1,test!$A$3:$F$32,5,FALSE) - VLOOKUP($B155,test!$A$3:$G$32,6,FALSE) &gt;= (test!$B$37+VLOOKUP(VLOOKUP($B155,test!$A$2:$I$32,4,FALSE),test!$J$24:$P$28,7,FALSE))/1440),1,0)</f>
        <v>0</v>
      </c>
      <c r="L155" s="2">
        <f>IF(AND(VLOOKUP(L$1,test!$A$3:$F$32,5,FALSE) - VLOOKUP($B155,test!$A$3:$G$32,6,FALSE) &gt;= (test!$B$37+VLOOKUP(VLOOKUP($B155,test!$A$2:$I$32,4,FALSE),test!$J$24:$P$28,7,FALSE))/1440),1,0)</f>
        <v>0</v>
      </c>
      <c r="M155" s="2">
        <f>IF(AND(VLOOKUP(M$1,test!$A$3:$F$32,5,FALSE) - VLOOKUP($B155,test!$A$3:$G$32,6,FALSE) &gt;= (test!$B$37+VLOOKUP(VLOOKUP($B155,test!$A$2:$I$32,4,FALSE),test!$J$24:$P$28,7,FALSE))/1440),1,0)</f>
        <v>0</v>
      </c>
      <c r="N155" s="2">
        <f>IF(AND(VLOOKUP(N$1,test!$A$3:$F$32,5,FALSE) - VLOOKUP($B155,test!$A$3:$G$32,6,FALSE) &gt;= (test!$B$37+VLOOKUP(VLOOKUP($B155,test!$A$2:$I$32,4,FALSE),test!$J$24:$P$28,7,FALSE))/1440),1,0)</f>
        <v>0</v>
      </c>
      <c r="O155" s="2">
        <f>IF(AND(VLOOKUP(O$1,test!$A$3:$F$32,5,FALSE) - VLOOKUP($B155,test!$A$3:$G$32,6,FALSE) &gt;= (test!$B$37+VLOOKUP(VLOOKUP($B155,test!$A$2:$I$32,4,FALSE),test!$J$24:$P$28,7,FALSE))/1440),1,0)</f>
        <v>0</v>
      </c>
      <c r="P155" s="2">
        <f>IF(AND(VLOOKUP(P$1,test!$A$3:$F$32,5,FALSE) - VLOOKUP($B155,test!$A$3:$G$32,6,FALSE) &gt;= (test!$B$37+VLOOKUP(VLOOKUP($B155,test!$A$2:$I$32,4,FALSE),test!$J$24:$P$28,7,FALSE))/1440),1,0)</f>
        <v>1</v>
      </c>
      <c r="Q155" s="2">
        <f>IF(AND(VLOOKUP(Q$1,test!$A$3:$F$32,5,FALSE) - VLOOKUP($B155,test!$A$3:$G$32,6,FALSE) &gt;= (test!$B$37+VLOOKUP(VLOOKUP($B155,test!$A$2:$I$32,4,FALSE),test!$J$24:$P$28,7,FALSE))/1440),1,0)</f>
        <v>0</v>
      </c>
      <c r="R155" s="2">
        <f>IF(AND(VLOOKUP(R$1,test!$A$3:$F$32,5,FALSE) - VLOOKUP($B155,test!$A$3:$G$32,6,FALSE) &gt;= (test!$B$37+VLOOKUP(VLOOKUP($B155,test!$A$2:$I$32,4,FALSE),test!$J$24:$P$28,7,FALSE))/1440),1,0)</f>
        <v>0</v>
      </c>
      <c r="S155" s="2">
        <f>IF(AND(VLOOKUP(S$1,test!$A$3:$F$32,5,FALSE) - VLOOKUP($B155,test!$A$3:$G$32,6,FALSE) &gt;= (test!$B$37+VLOOKUP(VLOOKUP($B155,test!$A$2:$I$32,4,FALSE),test!$J$24:$P$28,7,FALSE))/1440),1,0)</f>
        <v>0</v>
      </c>
      <c r="T155" s="2">
        <f>IF(AND(VLOOKUP(T$1,test!$A$3:$F$32,5,FALSE) - VLOOKUP($B155,test!$A$3:$G$32,6,FALSE) &gt;= (test!$B$37+VLOOKUP(VLOOKUP($B155,test!$A$2:$I$32,4,FALSE),test!$J$24:$P$28,7,FALSE))/1440),1,0)</f>
        <v>0</v>
      </c>
      <c r="U155" s="2">
        <f>IF(AND(VLOOKUP(U$1,test!$A$3:$F$32,5,FALSE) - VLOOKUP($B155,test!$A$3:$G$32,6,FALSE) &gt;= (test!$B$37+VLOOKUP(VLOOKUP($B155,test!$A$2:$I$32,4,FALSE),test!$J$24:$P$28,7,FALSE))/1440),1,0)</f>
        <v>0</v>
      </c>
      <c r="V155" s="2">
        <f>IF(AND(VLOOKUP(V$1,test!$A$3:$F$32,5,FALSE) - VLOOKUP($B155,test!$A$3:$G$32,6,FALSE) &gt;= (test!$B$37+VLOOKUP(VLOOKUP($B155,test!$A$2:$I$32,4,FALSE),test!$J$24:$P$28,7,FALSE))/1440),1,0)</f>
        <v>0</v>
      </c>
      <c r="W155" s="2">
        <f>IF(AND(VLOOKUP(W$1,test!$A$3:$F$32,5,FALSE) - VLOOKUP($B155,test!$A$3:$G$32,6,FALSE) &gt;= (test!$B$37+VLOOKUP(VLOOKUP($B155,test!$A$2:$I$32,4,FALSE),test!$J$24:$P$28,7,FALSE))/1440),1,0)</f>
        <v>0</v>
      </c>
      <c r="X155" s="2">
        <f>IF(AND(VLOOKUP(X$1,test!$A$3:$F$32,5,FALSE) - VLOOKUP($B155,test!$A$3:$G$32,6,FALSE) &gt;= (test!$B$37+VLOOKUP(VLOOKUP($B155,test!$A$2:$I$32,4,FALSE),test!$J$24:$P$28,7,FALSE))/1440),1,0)</f>
        <v>0</v>
      </c>
      <c r="Y155" s="2">
        <f>IF(AND(VLOOKUP(Y$1,test!$A$3:$F$32,5,FALSE) - VLOOKUP($B155,test!$A$3:$G$32,6,FALSE) &gt;= (test!$B$37+VLOOKUP(VLOOKUP($B155,test!$A$2:$I$32,4,FALSE),test!$J$24:$P$28,7,FALSE))/1440),1,0)</f>
        <v>0</v>
      </c>
      <c r="Z155" s="2">
        <f>IF(AND(VLOOKUP(Z$1,test!$A$3:$F$32,5,FALSE) - VLOOKUP($B155,test!$A$3:$G$32,6,FALSE) &gt;= (test!$B$37+VLOOKUP(VLOOKUP($B155,test!$A$2:$I$32,4,FALSE),test!$J$24:$P$28,7,FALSE))/1440),1,0)</f>
        <v>0</v>
      </c>
      <c r="AA155" s="2">
        <f>IF(AND(VLOOKUP(AA$1,test!$A$3:$F$32,5,FALSE) - VLOOKUP($B155,test!$A$3:$G$32,6,FALSE) &gt;= (test!$B$37+VLOOKUP(VLOOKUP($B155,test!$A$2:$I$32,4,FALSE),test!$J$24:$P$28,7,FALSE))/1440),1,0)</f>
        <v>0</v>
      </c>
      <c r="AB155" s="2">
        <f>IF(AND(VLOOKUP(AB$1,test!$A$3:$F$32,5,FALSE) - VLOOKUP($B155,test!$A$3:$G$32,6,FALSE) &gt;= (test!$B$37+VLOOKUP(VLOOKUP($B155,test!$A$2:$I$32,4,FALSE),test!$J$24:$P$28,7,FALSE))/1440),1,0)</f>
        <v>0</v>
      </c>
      <c r="AC155" s="2">
        <f>IF(AND(VLOOKUP(AC$1,test!$A$3:$F$32,5,FALSE) - VLOOKUP($B155,test!$A$3:$G$32,6,FALSE) &gt;= (test!$B$37+VLOOKUP(VLOOKUP($B155,test!$A$2:$I$32,4,FALSE),test!$J$24:$P$28,7,FALSE))/1440),1,0)</f>
        <v>0</v>
      </c>
      <c r="AD155" s="2">
        <f>IF(AND(VLOOKUP(AD$1,test!$A$3:$F$32,5,FALSE) - VLOOKUP($B155,test!$A$3:$G$32,6,FALSE) &gt;= (test!$B$37+VLOOKUP(VLOOKUP($B155,test!$A$2:$I$32,4,FALSE),test!$J$24:$P$28,7,FALSE))/1440),1,0)</f>
        <v>0</v>
      </c>
      <c r="AE155" s="2">
        <f>IF(AND(VLOOKUP(AE$1,test!$A$3:$F$32,5,FALSE) - VLOOKUP($B155,test!$A$3:$G$32,6,FALSE) &gt;= (test!$B$37+VLOOKUP(VLOOKUP($B155,test!$A$2:$I$32,4,FALSE),test!$J$24:$P$28,7,FALSE))/1440),1,0)</f>
        <v>0</v>
      </c>
      <c r="AF155" s="2">
        <f>IF(AND(VLOOKUP(AF$1,test!$A$3:$F$32,5,FALSE) - VLOOKUP($B155,test!$A$3:$G$32,6,FALSE) &gt;= (test!$B$37+VLOOKUP(VLOOKUP($B155,test!$A$2:$I$32,4,FALSE),test!$J$24:$P$28,7,FALSE))/1440),1,0)</f>
        <v>0</v>
      </c>
      <c r="AG155" s="2">
        <f>IF(AND(VLOOKUP(AG$1,test!$A$3:$F$32,5,FALSE) - VLOOKUP($B155,test!$A$3:$G$32,6,FALSE) &gt;= (test!$B$37+VLOOKUP(VLOOKUP($B155,test!$A$2:$I$32,4,FALSE),test!$J$24:$P$28,7,FALSE))/1440),1,0)</f>
        <v>0</v>
      </c>
    </row>
    <row r="156" spans="1:33" x14ac:dyDescent="0.25">
      <c r="A156" t="s">
        <v>99</v>
      </c>
      <c r="B156" t="s">
        <v>41</v>
      </c>
      <c r="C156">
        <v>0</v>
      </c>
      <c r="D156" s="2">
        <f>IF(AND(VLOOKUP(D$1,test!$A$3:$F$32,5,FALSE) - VLOOKUP($B156,test!$A$3:$G$32,6,FALSE) &gt;= (test!$B$37+VLOOKUP(VLOOKUP($B156,test!$A$2:$I$32,4,FALSE),test!$J$24:$P$28,7,FALSE))/1440),1,0)</f>
        <v>0</v>
      </c>
      <c r="E156" s="2">
        <f>IF(AND(VLOOKUP(E$1,test!$A$3:$F$32,5,FALSE) - VLOOKUP($B156,test!$A$3:$G$32,6,FALSE) &gt;= (test!$B$37+VLOOKUP(VLOOKUP($B156,test!$A$2:$I$32,4,FALSE),test!$J$24:$P$28,7,FALSE))/1440),1,0)</f>
        <v>0</v>
      </c>
      <c r="F156" s="2">
        <f>IF(AND(VLOOKUP(F$1,test!$A$3:$F$32,5,FALSE) - VLOOKUP($B156,test!$A$3:$G$32,6,FALSE) &gt;= (test!$B$37+VLOOKUP(VLOOKUP($B156,test!$A$2:$I$32,4,FALSE),test!$J$24:$P$28,7,FALSE))/1440),1,0)</f>
        <v>0</v>
      </c>
      <c r="G156" s="2">
        <f>IF(AND(VLOOKUP(G$1,test!$A$3:$F$32,5,FALSE) - VLOOKUP($B156,test!$A$3:$G$32,6,FALSE) &gt;= (test!$B$37+VLOOKUP(VLOOKUP($B156,test!$A$2:$I$32,4,FALSE),test!$J$24:$P$28,7,FALSE))/1440),1,0)</f>
        <v>0</v>
      </c>
      <c r="H156" s="2">
        <f>IF(AND(VLOOKUP(H$1,test!$A$3:$F$32,5,FALSE) - VLOOKUP($B156,test!$A$3:$G$32,6,FALSE) &gt;= (test!$B$37+VLOOKUP(VLOOKUP($B156,test!$A$2:$I$32,4,FALSE),test!$J$24:$P$28,7,FALSE))/1440),1,0)</f>
        <v>0</v>
      </c>
      <c r="I156" s="2">
        <f>IF(AND(VLOOKUP(I$1,test!$A$3:$F$32,5,FALSE) - VLOOKUP($B156,test!$A$3:$G$32,6,FALSE) &gt;= (test!$B$37+VLOOKUP(VLOOKUP($B156,test!$A$2:$I$32,4,FALSE),test!$J$24:$P$28,7,FALSE))/1440),1,0)</f>
        <v>0</v>
      </c>
      <c r="J156" s="2">
        <f>IF(AND(VLOOKUP(J$1,test!$A$3:$F$32,5,FALSE) - VLOOKUP($B156,test!$A$3:$G$32,6,FALSE) &gt;= (test!$B$37+VLOOKUP(VLOOKUP($B156,test!$A$2:$I$32,4,FALSE),test!$J$24:$P$28,7,FALSE))/1440),1,0)</f>
        <v>0</v>
      </c>
      <c r="K156" s="2">
        <f>IF(AND(VLOOKUP(K$1,test!$A$3:$F$32,5,FALSE) - VLOOKUP($B156,test!$A$3:$G$32,6,FALSE) &gt;= (test!$B$37+VLOOKUP(VLOOKUP($B156,test!$A$2:$I$32,4,FALSE),test!$J$24:$P$28,7,FALSE))/1440),1,0)</f>
        <v>1</v>
      </c>
      <c r="L156" s="2">
        <f>IF(AND(VLOOKUP(L$1,test!$A$3:$F$32,5,FALSE) - VLOOKUP($B156,test!$A$3:$G$32,6,FALSE) &gt;= (test!$B$37+VLOOKUP(VLOOKUP($B156,test!$A$2:$I$32,4,FALSE),test!$J$24:$P$28,7,FALSE))/1440),1,0)</f>
        <v>0</v>
      </c>
      <c r="M156" s="2">
        <f>IF(AND(VLOOKUP(M$1,test!$A$3:$F$32,5,FALSE) - VLOOKUP($B156,test!$A$3:$G$32,6,FALSE) &gt;= (test!$B$37+VLOOKUP(VLOOKUP($B156,test!$A$2:$I$32,4,FALSE),test!$J$24:$P$28,7,FALSE))/1440),1,0)</f>
        <v>0</v>
      </c>
      <c r="N156" s="2">
        <f>IF(AND(VLOOKUP(N$1,test!$A$3:$F$32,5,FALSE) - VLOOKUP($B156,test!$A$3:$G$32,6,FALSE) &gt;= (test!$B$37+VLOOKUP(VLOOKUP($B156,test!$A$2:$I$32,4,FALSE),test!$J$24:$P$28,7,FALSE))/1440),1,0)</f>
        <v>0</v>
      </c>
      <c r="O156" s="2">
        <f>IF(AND(VLOOKUP(O$1,test!$A$3:$F$32,5,FALSE) - VLOOKUP($B156,test!$A$3:$G$32,6,FALSE) &gt;= (test!$B$37+VLOOKUP(VLOOKUP($B156,test!$A$2:$I$32,4,FALSE),test!$J$24:$P$28,7,FALSE))/1440),1,0)</f>
        <v>0</v>
      </c>
      <c r="P156" s="2">
        <f>IF(AND(VLOOKUP(P$1,test!$A$3:$F$32,5,FALSE) - VLOOKUP($B156,test!$A$3:$G$32,6,FALSE) &gt;= (test!$B$37+VLOOKUP(VLOOKUP($B156,test!$A$2:$I$32,4,FALSE),test!$J$24:$P$28,7,FALSE))/1440),1,0)</f>
        <v>1</v>
      </c>
      <c r="Q156" s="2">
        <f>IF(AND(VLOOKUP(Q$1,test!$A$3:$F$32,5,FALSE) - VLOOKUP($B156,test!$A$3:$G$32,6,FALSE) &gt;= (test!$B$37+VLOOKUP(VLOOKUP($B156,test!$A$2:$I$32,4,FALSE),test!$J$24:$P$28,7,FALSE))/1440),1,0)</f>
        <v>0</v>
      </c>
      <c r="R156" s="2">
        <f>IF(AND(VLOOKUP(R$1,test!$A$3:$F$32,5,FALSE) - VLOOKUP($B156,test!$A$3:$G$32,6,FALSE) &gt;= (test!$B$37+VLOOKUP(VLOOKUP($B156,test!$A$2:$I$32,4,FALSE),test!$J$24:$P$28,7,FALSE))/1440),1,0)</f>
        <v>0</v>
      </c>
      <c r="S156" s="2">
        <f>IF(AND(VLOOKUP(S$1,test!$A$3:$F$32,5,FALSE) - VLOOKUP($B156,test!$A$3:$G$32,6,FALSE) &gt;= (test!$B$37+VLOOKUP(VLOOKUP($B156,test!$A$2:$I$32,4,FALSE),test!$J$24:$P$28,7,FALSE))/1440),1,0)</f>
        <v>0</v>
      </c>
      <c r="T156" s="2">
        <f>IF(AND(VLOOKUP(T$1,test!$A$3:$F$32,5,FALSE) - VLOOKUP($B156,test!$A$3:$G$32,6,FALSE) &gt;= (test!$B$37+VLOOKUP(VLOOKUP($B156,test!$A$2:$I$32,4,FALSE),test!$J$24:$P$28,7,FALSE))/1440),1,0)</f>
        <v>0</v>
      </c>
      <c r="U156" s="2">
        <f>IF(AND(VLOOKUP(U$1,test!$A$3:$F$32,5,FALSE) - VLOOKUP($B156,test!$A$3:$G$32,6,FALSE) &gt;= (test!$B$37+VLOOKUP(VLOOKUP($B156,test!$A$2:$I$32,4,FALSE),test!$J$24:$P$28,7,FALSE))/1440),1,0)</f>
        <v>0</v>
      </c>
      <c r="V156" s="2">
        <f>IF(AND(VLOOKUP(V$1,test!$A$3:$F$32,5,FALSE) - VLOOKUP($B156,test!$A$3:$G$32,6,FALSE) &gt;= (test!$B$37+VLOOKUP(VLOOKUP($B156,test!$A$2:$I$32,4,FALSE),test!$J$24:$P$28,7,FALSE))/1440),1,0)</f>
        <v>0</v>
      </c>
      <c r="W156" s="2">
        <f>IF(AND(VLOOKUP(W$1,test!$A$3:$F$32,5,FALSE) - VLOOKUP($B156,test!$A$3:$G$32,6,FALSE) &gt;= (test!$B$37+VLOOKUP(VLOOKUP($B156,test!$A$2:$I$32,4,FALSE),test!$J$24:$P$28,7,FALSE))/1440),1,0)</f>
        <v>0</v>
      </c>
      <c r="X156" s="2">
        <f>IF(AND(VLOOKUP(X$1,test!$A$3:$F$32,5,FALSE) - VLOOKUP($B156,test!$A$3:$G$32,6,FALSE) &gt;= (test!$B$37+VLOOKUP(VLOOKUP($B156,test!$A$2:$I$32,4,FALSE),test!$J$24:$P$28,7,FALSE))/1440),1,0)</f>
        <v>0</v>
      </c>
      <c r="Y156" s="2">
        <f>IF(AND(VLOOKUP(Y$1,test!$A$3:$F$32,5,FALSE) - VLOOKUP($B156,test!$A$3:$G$32,6,FALSE) &gt;= (test!$B$37+VLOOKUP(VLOOKUP($B156,test!$A$2:$I$32,4,FALSE),test!$J$24:$P$28,7,FALSE))/1440),1,0)</f>
        <v>0</v>
      </c>
      <c r="Z156" s="2">
        <f>IF(AND(VLOOKUP(Z$1,test!$A$3:$F$32,5,FALSE) - VLOOKUP($B156,test!$A$3:$G$32,6,FALSE) &gt;= (test!$B$37+VLOOKUP(VLOOKUP($B156,test!$A$2:$I$32,4,FALSE),test!$J$24:$P$28,7,FALSE))/1440),1,0)</f>
        <v>0</v>
      </c>
      <c r="AA156" s="2">
        <f>IF(AND(VLOOKUP(AA$1,test!$A$3:$F$32,5,FALSE) - VLOOKUP($B156,test!$A$3:$G$32,6,FALSE) &gt;= (test!$B$37+VLOOKUP(VLOOKUP($B156,test!$A$2:$I$32,4,FALSE),test!$J$24:$P$28,7,FALSE))/1440),1,0)</f>
        <v>0</v>
      </c>
      <c r="AB156" s="2">
        <f>IF(AND(VLOOKUP(AB$1,test!$A$3:$F$32,5,FALSE) - VLOOKUP($B156,test!$A$3:$G$32,6,FALSE) &gt;= (test!$B$37+VLOOKUP(VLOOKUP($B156,test!$A$2:$I$32,4,FALSE),test!$J$24:$P$28,7,FALSE))/1440),1,0)</f>
        <v>0</v>
      </c>
      <c r="AC156" s="2">
        <f>IF(AND(VLOOKUP(AC$1,test!$A$3:$F$32,5,FALSE) - VLOOKUP($B156,test!$A$3:$G$32,6,FALSE) &gt;= (test!$B$37+VLOOKUP(VLOOKUP($B156,test!$A$2:$I$32,4,FALSE),test!$J$24:$P$28,7,FALSE))/1440),1,0)</f>
        <v>0</v>
      </c>
      <c r="AD156" s="2">
        <f>IF(AND(VLOOKUP(AD$1,test!$A$3:$F$32,5,FALSE) - VLOOKUP($B156,test!$A$3:$G$32,6,FALSE) &gt;= (test!$B$37+VLOOKUP(VLOOKUP($B156,test!$A$2:$I$32,4,FALSE),test!$J$24:$P$28,7,FALSE))/1440),1,0)</f>
        <v>0</v>
      </c>
      <c r="AE156" s="2">
        <f>IF(AND(VLOOKUP(AE$1,test!$A$3:$F$32,5,FALSE) - VLOOKUP($B156,test!$A$3:$G$32,6,FALSE) &gt;= (test!$B$37+VLOOKUP(VLOOKUP($B156,test!$A$2:$I$32,4,FALSE),test!$J$24:$P$28,7,FALSE))/1440),1,0)</f>
        <v>0</v>
      </c>
      <c r="AF156" s="2">
        <f>IF(AND(VLOOKUP(AF$1,test!$A$3:$F$32,5,FALSE) - VLOOKUP($B156,test!$A$3:$G$32,6,FALSE) &gt;= (test!$B$37+VLOOKUP(VLOOKUP($B156,test!$A$2:$I$32,4,FALSE),test!$J$24:$P$28,7,FALSE))/1440),1,0)</f>
        <v>0</v>
      </c>
      <c r="AG156" s="2">
        <f>IF(AND(VLOOKUP(AG$1,test!$A$3:$F$32,5,FALSE) - VLOOKUP($B156,test!$A$3:$G$32,6,FALSE) &gt;= (test!$B$37+VLOOKUP(VLOOKUP($B156,test!$A$2:$I$32,4,FALSE),test!$J$24:$P$28,7,FALSE))/1440),1,0)</f>
        <v>0</v>
      </c>
    </row>
  </sheetData>
  <conditionalFormatting sqref="D3:AG32 D33:D125 E34:AG63 E65:AG94 E96:AG125 D126:AG156">
    <cfRule type="cellIs" dxfId="34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E1BB-2954-4203-ABA4-D1607545B0E6}">
  <dimension ref="A1:CY125"/>
  <sheetViews>
    <sheetView zoomScale="85" zoomScaleNormal="85" workbookViewId="0">
      <selection activeCell="BX24" sqref="BX24"/>
    </sheetView>
  </sheetViews>
  <sheetFormatPr defaultRowHeight="15" x14ac:dyDescent="0.25"/>
  <cols>
    <col min="64" max="64" width="13.42578125" customWidth="1"/>
  </cols>
  <sheetData>
    <row r="1" spans="1:103" x14ac:dyDescent="0.25">
      <c r="A1" t="s">
        <v>53</v>
      </c>
      <c r="F1" t="s">
        <v>76</v>
      </c>
      <c r="BL1" t="s">
        <v>82</v>
      </c>
      <c r="BZ1" t="s">
        <v>81</v>
      </c>
      <c r="CN1" t="s">
        <v>88</v>
      </c>
    </row>
    <row r="2" spans="1:103" x14ac:dyDescent="0.25">
      <c r="A2" t="s">
        <v>51</v>
      </c>
      <c r="B2" t="s">
        <v>52</v>
      </c>
      <c r="F2" t="s">
        <v>73</v>
      </c>
      <c r="G2" t="s">
        <v>49</v>
      </c>
      <c r="BL2" t="s">
        <v>77</v>
      </c>
      <c r="BM2" t="s">
        <v>49</v>
      </c>
      <c r="BS2">
        <f>BS1+BU1</f>
        <v>0</v>
      </c>
      <c r="BZ2" t="s">
        <v>77</v>
      </c>
      <c r="CA2" t="s">
        <v>49</v>
      </c>
    </row>
    <row r="3" spans="1:103" x14ac:dyDescent="0.25">
      <c r="A3">
        <v>0</v>
      </c>
      <c r="B3" t="s">
        <v>46</v>
      </c>
      <c r="F3" s="5"/>
      <c r="G3">
        <v>0</v>
      </c>
      <c r="H3">
        <v>7</v>
      </c>
      <c r="I3">
        <v>12</v>
      </c>
      <c r="J3">
        <v>4</v>
      </c>
      <c r="K3">
        <v>0</v>
      </c>
      <c r="U3" s="5"/>
      <c r="AW3" s="9"/>
      <c r="BL3" s="13"/>
      <c r="BM3">
        <v>0</v>
      </c>
      <c r="BN3">
        <v>1</v>
      </c>
      <c r="BO3">
        <v>0</v>
      </c>
      <c r="BZ3" s="13"/>
      <c r="CA3">
        <v>0</v>
      </c>
      <c r="CB3">
        <v>1</v>
      </c>
      <c r="CC3">
        <v>0</v>
      </c>
      <c r="CN3" t="s">
        <v>87</v>
      </c>
    </row>
    <row r="4" spans="1:103" x14ac:dyDescent="0.25">
      <c r="A4">
        <f>A3+1</f>
        <v>1</v>
      </c>
      <c r="B4" t="s">
        <v>18</v>
      </c>
      <c r="F4" s="5"/>
      <c r="G4" t="s">
        <v>46</v>
      </c>
      <c r="H4" t="str">
        <f>VLOOKUP(H3,$A$3:$B$34,2,FALSE)</f>
        <v>CA2</v>
      </c>
      <c r="I4" t="str">
        <f t="shared" ref="I4" si="0">VLOOKUP(I3,$A$3:$B$34,2,FALSE)</f>
        <v>CS2</v>
      </c>
      <c r="J4" t="str">
        <f>VLOOKUP(J3,$A$3:$B$34,2,FALSE)</f>
        <v>AC4</v>
      </c>
      <c r="K4" t="str">
        <f>VLOOKUP(K3,$A$3:$B$34,2,FALSE)</f>
        <v>DEPOT</v>
      </c>
      <c r="U4" s="5"/>
      <c r="AW4" s="9"/>
      <c r="BL4" s="13"/>
      <c r="BM4" t="str">
        <f>VLOOKUP(BM3,$A$3:$B$34,2,FALSE)</f>
        <v>DEPOT</v>
      </c>
      <c r="BN4" t="str">
        <f t="shared" ref="BN4:BO4" si="1">VLOOKUP(BN3,$A$3:$B$34,2,FALSE)</f>
        <v>AC1</v>
      </c>
      <c r="BO4" t="str">
        <f t="shared" si="1"/>
        <v>DEPOT</v>
      </c>
      <c r="BZ4" s="13"/>
      <c r="CA4" t="str">
        <f>VLOOKUP(CA3,$A$3:$B$34,2,FALSE)</f>
        <v>DEPOT</v>
      </c>
      <c r="CB4" t="str">
        <f t="shared" ref="CB4:CC4" si="2">VLOOKUP(CB3,$A$3:$B$34,2,FALSE)</f>
        <v>AC1</v>
      </c>
      <c r="CC4" t="str">
        <f t="shared" si="2"/>
        <v>DEPOT</v>
      </c>
      <c r="CN4" t="s">
        <v>80</v>
      </c>
      <c r="CO4" t="s">
        <v>49</v>
      </c>
    </row>
    <row r="5" spans="1:103" x14ac:dyDescent="0.25">
      <c r="A5">
        <f t="shared" ref="A5:A16" si="3">A4+1</f>
        <v>2</v>
      </c>
      <c r="B5" t="s">
        <v>20</v>
      </c>
      <c r="Q5">
        <v>350</v>
      </c>
      <c r="BO5">
        <v>0</v>
      </c>
      <c r="BW5">
        <f>SUM(BM5:BS5)</f>
        <v>0</v>
      </c>
      <c r="CC5">
        <v>0</v>
      </c>
      <c r="CK5">
        <f>SUM(CA5:CG5)</f>
        <v>0</v>
      </c>
      <c r="CN5" s="13"/>
      <c r="CO5">
        <v>0</v>
      </c>
      <c r="CP5">
        <v>1</v>
      </c>
      <c r="CQ5">
        <v>12</v>
      </c>
      <c r="CR5">
        <v>3</v>
      </c>
      <c r="CS5">
        <v>0</v>
      </c>
    </row>
    <row r="6" spans="1:103" x14ac:dyDescent="0.25">
      <c r="A6">
        <f t="shared" si="3"/>
        <v>3</v>
      </c>
      <c r="B6" t="s">
        <v>21</v>
      </c>
      <c r="F6" s="6"/>
      <c r="G6">
        <v>0</v>
      </c>
      <c r="H6">
        <v>1</v>
      </c>
      <c r="I6">
        <v>11</v>
      </c>
      <c r="J6">
        <v>3</v>
      </c>
      <c r="K6">
        <v>12</v>
      </c>
      <c r="L6">
        <v>10</v>
      </c>
      <c r="M6">
        <v>0</v>
      </c>
      <c r="U6" s="6"/>
      <c r="AW6" s="10"/>
      <c r="BL6" s="4"/>
      <c r="BM6">
        <v>0</v>
      </c>
      <c r="BN6">
        <v>7</v>
      </c>
      <c r="BO6">
        <v>9</v>
      </c>
      <c r="BP6">
        <v>11</v>
      </c>
      <c r="BQ6">
        <v>4</v>
      </c>
      <c r="BR6">
        <v>0</v>
      </c>
      <c r="BZ6" s="4"/>
      <c r="CA6">
        <v>0</v>
      </c>
      <c r="CB6">
        <v>7</v>
      </c>
      <c r="CC6">
        <v>9</v>
      </c>
      <c r="CD6">
        <v>13</v>
      </c>
      <c r="CE6">
        <v>4</v>
      </c>
      <c r="CF6">
        <v>0</v>
      </c>
      <c r="CN6" s="13"/>
      <c r="CO6" t="str">
        <f>VLOOKUP(CO5,$A$3:$B$34,2,FALSE)</f>
        <v>DEPOT</v>
      </c>
      <c r="CP6" t="str">
        <f t="shared" ref="CP6:CS6" si="4">VLOOKUP(CP5,$A$3:$B$34,2,FALSE)</f>
        <v>AC1</v>
      </c>
      <c r="CQ6" t="str">
        <f t="shared" si="4"/>
        <v>CS2</v>
      </c>
      <c r="CR6" t="str">
        <f t="shared" si="4"/>
        <v>AC3</v>
      </c>
      <c r="CS6" t="str">
        <f t="shared" si="4"/>
        <v>DEPOT</v>
      </c>
    </row>
    <row r="7" spans="1:103" x14ac:dyDescent="0.25">
      <c r="A7">
        <f t="shared" si="3"/>
        <v>4</v>
      </c>
      <c r="B7" t="s">
        <v>22</v>
      </c>
      <c r="F7" s="6"/>
      <c r="G7" t="str">
        <f>VLOOKUP(G6,$A$3:$B$34,2,FALSE)</f>
        <v>DEPOT</v>
      </c>
      <c r="H7" t="str">
        <f t="shared" ref="H7:M7" si="5">VLOOKUP(H6,$A$3:$B$34,2,FALSE)</f>
        <v>AC1</v>
      </c>
      <c r="I7" t="str">
        <f t="shared" si="5"/>
        <v>CS1</v>
      </c>
      <c r="J7" t="str">
        <f t="shared" si="5"/>
        <v>AC3</v>
      </c>
      <c r="K7" t="str">
        <f t="shared" si="5"/>
        <v>CS2</v>
      </c>
      <c r="L7" t="str">
        <f t="shared" si="5"/>
        <v>CA5</v>
      </c>
      <c r="M7" t="str">
        <f t="shared" si="5"/>
        <v>DEPOT</v>
      </c>
      <c r="U7" s="6"/>
      <c r="AW7" s="10"/>
      <c r="BL7" s="4"/>
      <c r="BM7" t="str">
        <f>VLOOKUP(BM6,$A$3:$B$34,2,FALSE)</f>
        <v>DEPOT</v>
      </c>
      <c r="BN7" t="str">
        <f t="shared" ref="BN7:BP7" si="6">VLOOKUP(BN6,$A$3:$B$34,2,FALSE)</f>
        <v>CA2</v>
      </c>
      <c r="BO7" t="str">
        <f t="shared" si="6"/>
        <v>CA4</v>
      </c>
      <c r="BP7" t="str">
        <f t="shared" si="6"/>
        <v>CS1</v>
      </c>
      <c r="BZ7" s="4"/>
      <c r="CA7" t="str">
        <f>VLOOKUP(CA6,$A$3:$B$34,2,FALSE)</f>
        <v>DEPOT</v>
      </c>
      <c r="CB7" t="str">
        <f t="shared" ref="CB7:CD7" si="7">VLOOKUP(CB6,$A$3:$B$34,2,FALSE)</f>
        <v>CA2</v>
      </c>
      <c r="CC7" t="str">
        <f t="shared" si="7"/>
        <v>CA4</v>
      </c>
      <c r="CD7" t="str">
        <f t="shared" si="7"/>
        <v>CS3</v>
      </c>
      <c r="CQ7">
        <v>0</v>
      </c>
      <c r="CY7">
        <f>SUM(CO7:CU7)</f>
        <v>0</v>
      </c>
    </row>
    <row r="8" spans="1:103" x14ac:dyDescent="0.25">
      <c r="A8">
        <f t="shared" si="3"/>
        <v>5</v>
      </c>
      <c r="B8" t="s">
        <v>23</v>
      </c>
      <c r="J8">
        <v>160</v>
      </c>
      <c r="L8">
        <v>165</v>
      </c>
      <c r="Q8">
        <f>SUM(G8:M8)</f>
        <v>325</v>
      </c>
      <c r="BO8">
        <v>40</v>
      </c>
      <c r="BQ8">
        <v>95</v>
      </c>
      <c r="BW8">
        <f>SUM(BM8:BS8)</f>
        <v>135</v>
      </c>
      <c r="CC8">
        <v>40</v>
      </c>
      <c r="CE8">
        <v>0</v>
      </c>
      <c r="CK8">
        <f>SUM(CA8:CG8)</f>
        <v>40</v>
      </c>
      <c r="CN8" s="4"/>
      <c r="CO8">
        <v>0</v>
      </c>
      <c r="CP8">
        <v>8</v>
      </c>
      <c r="CQ8">
        <v>12</v>
      </c>
      <c r="CR8">
        <v>5</v>
      </c>
      <c r="CS8">
        <v>0</v>
      </c>
    </row>
    <row r="9" spans="1:103" x14ac:dyDescent="0.25">
      <c r="A9">
        <f t="shared" si="3"/>
        <v>6</v>
      </c>
      <c r="B9" t="s">
        <v>34</v>
      </c>
      <c r="F9" s="7"/>
      <c r="G9">
        <v>0</v>
      </c>
      <c r="H9">
        <v>2</v>
      </c>
      <c r="I9">
        <v>13</v>
      </c>
      <c r="J9">
        <v>9</v>
      </c>
      <c r="K9">
        <v>0</v>
      </c>
      <c r="U9" s="7"/>
      <c r="AW9" s="11"/>
      <c r="BL9" s="14"/>
      <c r="BM9">
        <v>0</v>
      </c>
      <c r="BN9">
        <v>6</v>
      </c>
      <c r="BO9">
        <v>3</v>
      </c>
      <c r="BP9">
        <v>11</v>
      </c>
      <c r="BQ9">
        <v>10</v>
      </c>
      <c r="BR9">
        <v>5</v>
      </c>
      <c r="BS9">
        <v>0</v>
      </c>
      <c r="BZ9" s="14"/>
      <c r="CA9">
        <v>0</v>
      </c>
      <c r="CB9">
        <v>6</v>
      </c>
      <c r="CC9">
        <v>11</v>
      </c>
      <c r="CD9">
        <v>3</v>
      </c>
      <c r="CE9">
        <v>11</v>
      </c>
      <c r="CF9">
        <v>10</v>
      </c>
      <c r="CG9">
        <v>5</v>
      </c>
      <c r="CH9">
        <v>0</v>
      </c>
      <c r="CN9" s="4"/>
      <c r="CO9" t="str">
        <f>VLOOKUP(CO8,$A$3:$B$34,2,FALSE)</f>
        <v>DEPOT</v>
      </c>
      <c r="CP9" t="str">
        <f t="shared" ref="CP9:CS9" si="8">VLOOKUP(CP8,$A$3:$B$34,2,FALSE)</f>
        <v>CA3</v>
      </c>
      <c r="CQ9" t="str">
        <f t="shared" si="8"/>
        <v>CS2</v>
      </c>
      <c r="CR9" t="str">
        <f t="shared" si="8"/>
        <v>AC5</v>
      </c>
      <c r="CS9" t="str">
        <f t="shared" si="8"/>
        <v>DEPOT</v>
      </c>
    </row>
    <row r="10" spans="1:103" x14ac:dyDescent="0.25">
      <c r="A10">
        <f t="shared" si="3"/>
        <v>7</v>
      </c>
      <c r="B10" t="s">
        <v>35</v>
      </c>
      <c r="F10" s="7"/>
      <c r="G10" t="str">
        <f>VLOOKUP(G9,$A$3:$B$34,2,FALSE)</f>
        <v>DEPOT</v>
      </c>
      <c r="H10" t="str">
        <f t="shared" ref="H10:K10" si="9">VLOOKUP(H9,$A$3:$B$34,2,FALSE)</f>
        <v>AC2</v>
      </c>
      <c r="I10" t="str">
        <f t="shared" si="9"/>
        <v>CS3</v>
      </c>
      <c r="J10" t="str">
        <f t="shared" si="9"/>
        <v>CA4</v>
      </c>
      <c r="K10" t="str">
        <f t="shared" si="9"/>
        <v>DEPOT</v>
      </c>
      <c r="U10" s="7"/>
      <c r="AW10" s="11"/>
      <c r="BL10" s="14"/>
      <c r="BM10" t="str">
        <f>VLOOKUP(BM9,$A$3:$B$34,2,FALSE)</f>
        <v>DEPOT</v>
      </c>
      <c r="BN10" t="str">
        <f>VLOOKUP(BN9,$A$3:$B$34,2,FALSE)</f>
        <v>CA1</v>
      </c>
      <c r="BO10" t="str">
        <f>VLOOKUP(BO9,$A$3:$B$34,2,FALSE)</f>
        <v>AC3</v>
      </c>
      <c r="BP10" t="str">
        <f>VLOOKUP(BP9,$A$3:$B$34,2,FALSE)</f>
        <v>CS1</v>
      </c>
      <c r="BQ10" t="str">
        <f t="shared" ref="BQ10" si="10">VLOOKUP(BQ9,$A$3:$B$34,2,FALSE)</f>
        <v>CA5</v>
      </c>
      <c r="BR10" t="str">
        <f t="shared" ref="BR10" si="11">VLOOKUP(BR9,$A$3:$B$34,2,FALSE)</f>
        <v>AC5</v>
      </c>
      <c r="BS10" t="str">
        <f t="shared" ref="BS10" si="12">VLOOKUP(BS9,$A$3:$B$34,2,FALSE)</f>
        <v>DEPOT</v>
      </c>
      <c r="BZ10" s="14"/>
      <c r="CA10" t="str">
        <f>VLOOKUP(CA9,$A$3:$B$34,2,FALSE)</f>
        <v>DEPOT</v>
      </c>
      <c r="CB10" t="str">
        <f>VLOOKUP(CB9,$A$3:$B$34,2,FALSE)</f>
        <v>CA1</v>
      </c>
      <c r="CC10" t="str">
        <f>VLOOKUP(CC9,$A$3:$B$34,2,FALSE)</f>
        <v>CS1</v>
      </c>
      <c r="CD10" t="str">
        <f>VLOOKUP(CD9,$A$3:$B$34,2,FALSE)</f>
        <v>AC3</v>
      </c>
      <c r="CQ10">
        <v>40</v>
      </c>
      <c r="CS10">
        <v>0</v>
      </c>
      <c r="CY10">
        <f>SUM(CO10:CU10)</f>
        <v>40</v>
      </c>
    </row>
    <row r="11" spans="1:103" x14ac:dyDescent="0.25">
      <c r="A11">
        <f t="shared" si="3"/>
        <v>8</v>
      </c>
      <c r="B11" t="s">
        <v>36</v>
      </c>
      <c r="J11">
        <v>175</v>
      </c>
      <c r="Q11">
        <v>175</v>
      </c>
      <c r="BO11">
        <v>85</v>
      </c>
      <c r="BQ11">
        <v>105</v>
      </c>
      <c r="BR11">
        <v>35</v>
      </c>
      <c r="BW11">
        <f>SUM(BM11:BS11)</f>
        <v>225</v>
      </c>
      <c r="CC11">
        <v>0</v>
      </c>
      <c r="CG11">
        <v>35</v>
      </c>
      <c r="CK11">
        <f>SUM(CA11:CG11)</f>
        <v>35</v>
      </c>
      <c r="CN11" s="14"/>
      <c r="CO11">
        <v>0</v>
      </c>
      <c r="CP11">
        <v>6</v>
      </c>
      <c r="CQ11">
        <v>7</v>
      </c>
      <c r="CR11">
        <v>11</v>
      </c>
      <c r="CS11">
        <v>10</v>
      </c>
      <c r="CT11">
        <v>0</v>
      </c>
    </row>
    <row r="12" spans="1:103" x14ac:dyDescent="0.25">
      <c r="A12">
        <f t="shared" si="3"/>
        <v>9</v>
      </c>
      <c r="B12" t="s">
        <v>37</v>
      </c>
      <c r="F12" s="8"/>
      <c r="G12">
        <v>0</v>
      </c>
      <c r="H12">
        <v>6</v>
      </c>
      <c r="I12">
        <v>12</v>
      </c>
      <c r="J12">
        <v>8</v>
      </c>
      <c r="K12">
        <v>11</v>
      </c>
      <c r="L12">
        <v>5</v>
      </c>
      <c r="M12">
        <v>0</v>
      </c>
      <c r="U12" s="8"/>
      <c r="AW12" s="12"/>
      <c r="BL12" s="15"/>
      <c r="BM12">
        <v>0</v>
      </c>
      <c r="BN12">
        <v>2</v>
      </c>
      <c r="BO12">
        <v>8</v>
      </c>
      <c r="BP12">
        <v>0</v>
      </c>
      <c r="BZ12" s="15"/>
      <c r="CA12">
        <v>0</v>
      </c>
      <c r="CB12">
        <v>2</v>
      </c>
      <c r="CC12">
        <v>8</v>
      </c>
      <c r="CD12">
        <v>0</v>
      </c>
      <c r="CN12" s="14"/>
      <c r="CO12" t="str">
        <f>VLOOKUP(CO11,$A$3:$B$34,2,FALSE)</f>
        <v>DEPOT</v>
      </c>
      <c r="CP12" t="str">
        <f>VLOOKUP(CP11,$A$3:$B$34,2,FALSE)</f>
        <v>CA1</v>
      </c>
      <c r="CQ12" t="str">
        <f>VLOOKUP(CQ11,$A$3:$B$34,2,FALSE)</f>
        <v>CA2</v>
      </c>
      <c r="CR12" t="str">
        <f>VLOOKUP(CR11,$A$3:$B$34,2,FALSE)</f>
        <v>CS1</v>
      </c>
      <c r="CS12" t="str">
        <f t="shared" ref="CS12:CT12" si="13">VLOOKUP(CS11,$A$3:$B$34,2,FALSE)</f>
        <v>CA5</v>
      </c>
      <c r="CT12" t="str">
        <f t="shared" si="13"/>
        <v>DEPOT</v>
      </c>
    </row>
    <row r="13" spans="1:103" x14ac:dyDescent="0.25">
      <c r="A13">
        <f t="shared" si="3"/>
        <v>10</v>
      </c>
      <c r="B13" t="s">
        <v>38</v>
      </c>
      <c r="F13" s="8"/>
      <c r="G13" t="str">
        <f>VLOOKUP(G12,$A$3:$B$34,2,FALSE)</f>
        <v>DEPOT</v>
      </c>
      <c r="H13" t="str">
        <f t="shared" ref="H13:M13" si="14">VLOOKUP(H12,$A$3:$B$34,2,FALSE)</f>
        <v>CA1</v>
      </c>
      <c r="I13" t="str">
        <f t="shared" si="14"/>
        <v>CS2</v>
      </c>
      <c r="J13" t="str">
        <f t="shared" si="14"/>
        <v>CA3</v>
      </c>
      <c r="K13" t="str">
        <f t="shared" si="14"/>
        <v>CS1</v>
      </c>
      <c r="L13" t="str">
        <f t="shared" si="14"/>
        <v>AC5</v>
      </c>
      <c r="M13" t="str">
        <f t="shared" si="14"/>
        <v>DEPOT</v>
      </c>
      <c r="U13" s="8"/>
      <c r="AW13" s="12"/>
      <c r="BL13" s="15"/>
      <c r="BM13" t="str">
        <f>VLOOKUP(BM12,$A$3:$B$34,2,FALSE)</f>
        <v>DEPOT</v>
      </c>
      <c r="BN13" t="str">
        <f t="shared" ref="BN13:BP13" si="15">VLOOKUP(BN12,$A$3:$B$34,2,FALSE)</f>
        <v>AC2</v>
      </c>
      <c r="BO13" t="str">
        <f t="shared" si="15"/>
        <v>CA3</v>
      </c>
      <c r="BP13" t="str">
        <f t="shared" si="15"/>
        <v>DEPOT</v>
      </c>
      <c r="BZ13" s="15"/>
      <c r="CA13" t="str">
        <f>VLOOKUP(CA12,$A$3:$B$34,2,FALSE)</f>
        <v>DEPOT</v>
      </c>
      <c r="CB13" t="str">
        <f t="shared" ref="CB13:CD13" si="16">VLOOKUP(CB12,$A$3:$B$34,2,FALSE)</f>
        <v>AC2</v>
      </c>
      <c r="CC13" t="str">
        <f t="shared" si="16"/>
        <v>CA3</v>
      </c>
      <c r="CD13" t="str">
        <f t="shared" si="16"/>
        <v>DEPOT</v>
      </c>
      <c r="CQ13">
        <v>0</v>
      </c>
      <c r="CU13">
        <v>35</v>
      </c>
      <c r="CY13">
        <f>SUM(CO13:CU13)</f>
        <v>35</v>
      </c>
    </row>
    <row r="14" spans="1:103" x14ac:dyDescent="0.25">
      <c r="A14">
        <f t="shared" si="3"/>
        <v>11</v>
      </c>
      <c r="B14" t="s">
        <v>48</v>
      </c>
      <c r="J14">
        <v>225</v>
      </c>
      <c r="L14">
        <v>275</v>
      </c>
      <c r="Q14">
        <f>SUM(G14:M14)</f>
        <v>500</v>
      </c>
      <c r="BO14">
        <v>45</v>
      </c>
      <c r="BW14">
        <f>SUM(BM14:BS14)</f>
        <v>45</v>
      </c>
      <c r="CC14">
        <v>45</v>
      </c>
      <c r="CK14">
        <f>SUM(CA14:CG14)</f>
        <v>45</v>
      </c>
      <c r="CN14" s="15"/>
      <c r="CO14">
        <v>0</v>
      </c>
      <c r="CP14">
        <v>2</v>
      </c>
      <c r="CQ14">
        <v>9</v>
      </c>
      <c r="CR14">
        <v>13</v>
      </c>
      <c r="CS14">
        <v>4</v>
      </c>
      <c r="CT14">
        <v>0</v>
      </c>
    </row>
    <row r="15" spans="1:103" x14ac:dyDescent="0.25">
      <c r="A15">
        <f t="shared" si="3"/>
        <v>12</v>
      </c>
      <c r="B15" t="s">
        <v>57</v>
      </c>
      <c r="Q15">
        <f>SUM(Q4:Q14)</f>
        <v>1350</v>
      </c>
      <c r="BW15">
        <f>SUM(BW5:BW14)</f>
        <v>405</v>
      </c>
      <c r="CK15">
        <f>SUM(CK5:CK14)</f>
        <v>120</v>
      </c>
      <c r="CN15" s="15"/>
      <c r="CO15" t="str">
        <f>VLOOKUP(CO14,$A$3:$B$34,2,FALSE)</f>
        <v>DEPOT</v>
      </c>
      <c r="CP15" t="str">
        <f t="shared" ref="CP15:CT15" si="17">VLOOKUP(CP14,$A$3:$B$34,2,FALSE)</f>
        <v>AC2</v>
      </c>
      <c r="CQ15" t="str">
        <f t="shared" si="17"/>
        <v>CA4</v>
      </c>
      <c r="CR15" t="str">
        <f t="shared" si="17"/>
        <v>CS3</v>
      </c>
      <c r="CS15" t="str">
        <f t="shared" si="17"/>
        <v>AC4</v>
      </c>
      <c r="CT15" t="str">
        <f t="shared" si="17"/>
        <v>DEPOT</v>
      </c>
    </row>
    <row r="16" spans="1:103" x14ac:dyDescent="0.25">
      <c r="A16">
        <f t="shared" si="3"/>
        <v>13</v>
      </c>
      <c r="B16" t="s">
        <v>58</v>
      </c>
      <c r="BS16">
        <f>COUNT(BW5:BW14)</f>
        <v>4</v>
      </c>
      <c r="BU16">
        <f>BW15/'10Trips'!$R$8</f>
        <v>0.2988929889298893</v>
      </c>
      <c r="CQ16">
        <v>45</v>
      </c>
      <c r="CY16">
        <f>SUM(CO16:CU16)</f>
        <v>45</v>
      </c>
    </row>
    <row r="17" spans="2:103" x14ac:dyDescent="0.25">
      <c r="F17" t="s">
        <v>74</v>
      </c>
      <c r="G17" t="s">
        <v>49</v>
      </c>
      <c r="AI17" t="s">
        <v>74</v>
      </c>
      <c r="AJ17" t="s">
        <v>49</v>
      </c>
      <c r="BL17" t="s">
        <v>80</v>
      </c>
      <c r="BM17" t="s">
        <v>49</v>
      </c>
      <c r="BS17">
        <f>BS16+BU16</f>
        <v>4.2988929889298895</v>
      </c>
      <c r="CY17">
        <f>SUM(CY7:CY16)</f>
        <v>120</v>
      </c>
    </row>
    <row r="18" spans="2:103" x14ac:dyDescent="0.25">
      <c r="B18" s="4"/>
      <c r="F18" s="9"/>
      <c r="G18">
        <v>0</v>
      </c>
      <c r="H18">
        <v>1</v>
      </c>
      <c r="I18">
        <v>11</v>
      </c>
      <c r="J18">
        <v>3</v>
      </c>
      <c r="K18">
        <v>11</v>
      </c>
      <c r="L18">
        <v>10</v>
      </c>
      <c r="M18">
        <v>0</v>
      </c>
      <c r="U18" s="9"/>
      <c r="AI18" s="9"/>
      <c r="AJ18">
        <v>0</v>
      </c>
      <c r="AK18">
        <v>1</v>
      </c>
      <c r="AL18">
        <v>11</v>
      </c>
      <c r="AM18">
        <v>3</v>
      </c>
      <c r="AN18">
        <v>11</v>
      </c>
      <c r="AO18">
        <v>10</v>
      </c>
      <c r="AP18">
        <v>0</v>
      </c>
      <c r="AW18" s="9"/>
      <c r="BL18" s="13"/>
      <c r="BM18">
        <v>0</v>
      </c>
      <c r="BN18">
        <v>1</v>
      </c>
      <c r="BO18">
        <v>0</v>
      </c>
      <c r="CN18" t="s">
        <v>80</v>
      </c>
      <c r="CO18" t="s">
        <v>49</v>
      </c>
    </row>
    <row r="19" spans="2:103" x14ac:dyDescent="0.25">
      <c r="F19" s="9"/>
      <c r="G19" t="str">
        <f>VLOOKUP(G18,$A$3:$B$34,2,FALSE)</f>
        <v>DEPOT</v>
      </c>
      <c r="H19" t="str">
        <f t="shared" ref="H19:M19" si="18">VLOOKUP(H18,$A$3:$B$34,2,FALSE)</f>
        <v>AC1</v>
      </c>
      <c r="I19" t="str">
        <f t="shared" si="18"/>
        <v>CS1</v>
      </c>
      <c r="J19" t="str">
        <f t="shared" si="18"/>
        <v>AC3</v>
      </c>
      <c r="K19" t="str">
        <f t="shared" si="18"/>
        <v>CS1</v>
      </c>
      <c r="L19" t="str">
        <f t="shared" si="18"/>
        <v>CA5</v>
      </c>
      <c r="M19" t="str">
        <f t="shared" si="18"/>
        <v>DEPOT</v>
      </c>
      <c r="U19" s="9"/>
      <c r="AI19" s="9"/>
      <c r="AJ19" t="str">
        <f>VLOOKUP(AJ18,$A$3:$B$34,2,FALSE)</f>
        <v>DEPOT</v>
      </c>
      <c r="AK19" t="str">
        <f t="shared" ref="AK19:AP19" si="19">VLOOKUP(AK18,$A$3:$B$34,2,FALSE)</f>
        <v>AC1</v>
      </c>
      <c r="AL19" t="str">
        <f t="shared" si="19"/>
        <v>CS1</v>
      </c>
      <c r="AM19" t="str">
        <f t="shared" si="19"/>
        <v>AC3</v>
      </c>
      <c r="AN19" t="str">
        <f t="shared" si="19"/>
        <v>CS1</v>
      </c>
      <c r="AO19" t="str">
        <f t="shared" si="19"/>
        <v>CA5</v>
      </c>
      <c r="AP19" t="str">
        <f t="shared" si="19"/>
        <v>DEPOT</v>
      </c>
      <c r="AW19" s="9"/>
      <c r="BL19" s="13"/>
      <c r="BM19" t="str">
        <f>VLOOKUP(BM18,$A$3:$B$34,2,FALSE)</f>
        <v>DEPOT</v>
      </c>
      <c r="BN19" t="str">
        <f t="shared" ref="BN19:BO19" si="20">VLOOKUP(BN18,$A$3:$B$34,2,FALSE)</f>
        <v>AC1</v>
      </c>
      <c r="BO19" t="str">
        <f t="shared" si="20"/>
        <v>DEPOT</v>
      </c>
      <c r="CN19" s="13"/>
      <c r="CO19">
        <v>0</v>
      </c>
      <c r="CP19">
        <v>1</v>
      </c>
      <c r="CQ19">
        <v>3</v>
      </c>
      <c r="CR19">
        <v>11</v>
      </c>
      <c r="CS19">
        <v>10</v>
      </c>
      <c r="CT19">
        <v>0</v>
      </c>
    </row>
    <row r="20" spans="2:103" x14ac:dyDescent="0.25">
      <c r="J20">
        <v>160</v>
      </c>
      <c r="M20">
        <v>165</v>
      </c>
      <c r="Q20">
        <f>SUM(G20:M20)</f>
        <v>325</v>
      </c>
      <c r="AM20">
        <v>25</v>
      </c>
      <c r="AO20">
        <v>30</v>
      </c>
      <c r="AP20">
        <v>0</v>
      </c>
      <c r="AT20">
        <f>SUM(AJ20:AP20)</f>
        <v>55</v>
      </c>
      <c r="BO20">
        <v>0</v>
      </c>
      <c r="BW20">
        <f>SUM(BM20:BS20)</f>
        <v>0</v>
      </c>
      <c r="CN20" s="13"/>
      <c r="CO20" t="str">
        <f>VLOOKUP(CO19,$A$3:$B$34,2,FALSE)</f>
        <v>DEPOT</v>
      </c>
      <c r="CP20" t="str">
        <f t="shared" ref="CP20:CT20" si="21">VLOOKUP(CP19,$A$3:$B$34,2,FALSE)</f>
        <v>AC1</v>
      </c>
      <c r="CQ20" t="str">
        <f t="shared" si="21"/>
        <v>AC3</v>
      </c>
      <c r="CR20" t="str">
        <f t="shared" si="21"/>
        <v>CS1</v>
      </c>
      <c r="CS20" t="str">
        <f t="shared" si="21"/>
        <v>CA5</v>
      </c>
      <c r="CT20" t="str">
        <f t="shared" si="21"/>
        <v>DEPOT</v>
      </c>
    </row>
    <row r="21" spans="2:103" x14ac:dyDescent="0.25">
      <c r="F21" s="10"/>
      <c r="G21">
        <v>0</v>
      </c>
      <c r="H21">
        <v>6</v>
      </c>
      <c r="I21">
        <v>11</v>
      </c>
      <c r="J21">
        <v>8</v>
      </c>
      <c r="K21">
        <v>11</v>
      </c>
      <c r="L21">
        <v>4</v>
      </c>
      <c r="M21">
        <v>0</v>
      </c>
      <c r="U21" s="10"/>
      <c r="AI21" s="10"/>
      <c r="AJ21">
        <v>0</v>
      </c>
      <c r="AK21">
        <v>7</v>
      </c>
      <c r="AL21">
        <v>0</v>
      </c>
      <c r="AW21" s="10"/>
      <c r="BL21" s="4"/>
      <c r="BM21">
        <v>0</v>
      </c>
      <c r="BN21">
        <v>7</v>
      </c>
      <c r="BO21">
        <v>9</v>
      </c>
      <c r="BP21">
        <v>11</v>
      </c>
      <c r="BQ21">
        <v>4</v>
      </c>
      <c r="BR21">
        <v>0</v>
      </c>
      <c r="CQ21">
        <v>0</v>
      </c>
      <c r="CY21">
        <f>SUM(CO21:CU21)</f>
        <v>0</v>
      </c>
    </row>
    <row r="22" spans="2:103" x14ac:dyDescent="0.25">
      <c r="F22" s="10"/>
      <c r="G22" t="str">
        <f>VLOOKUP(G21,$A$3:$B$34,2,FALSE)</f>
        <v>DEPOT</v>
      </c>
      <c r="H22" t="str">
        <f t="shared" ref="H22:M22" si="22">VLOOKUP(H21,$A$3:$B$34,2,FALSE)</f>
        <v>CA1</v>
      </c>
      <c r="I22" t="str">
        <f t="shared" si="22"/>
        <v>CS1</v>
      </c>
      <c r="J22" t="str">
        <f t="shared" si="22"/>
        <v>CA3</v>
      </c>
      <c r="K22" t="str">
        <f t="shared" si="22"/>
        <v>CS1</v>
      </c>
      <c r="L22" t="str">
        <f t="shared" si="22"/>
        <v>AC4</v>
      </c>
      <c r="M22" t="str">
        <f t="shared" si="22"/>
        <v>DEPOT</v>
      </c>
      <c r="U22" s="10"/>
      <c r="AI22" s="10"/>
      <c r="AJ22" t="str">
        <f>VLOOKUP(AJ21,$A$3:$B$34,2,FALSE)</f>
        <v>DEPOT</v>
      </c>
      <c r="AK22" t="str">
        <f t="shared" ref="AK22:AL22" si="23">VLOOKUP(AK21,$A$3:$B$34,2,FALSE)</f>
        <v>CA2</v>
      </c>
      <c r="AL22" t="str">
        <f t="shared" si="23"/>
        <v>DEPOT</v>
      </c>
      <c r="AW22" s="10"/>
      <c r="BL22" s="4"/>
      <c r="BM22" t="str">
        <f>VLOOKUP(BM21,$A$3:$B$34,2,FALSE)</f>
        <v>DEPOT</v>
      </c>
      <c r="BN22" t="str">
        <f t="shared" ref="BN22:BP22" si="24">VLOOKUP(BN21,$A$3:$B$34,2,FALSE)</f>
        <v>CA2</v>
      </c>
      <c r="BO22" t="str">
        <f t="shared" si="24"/>
        <v>CA4</v>
      </c>
      <c r="BP22" t="str">
        <f t="shared" si="24"/>
        <v>CS1</v>
      </c>
      <c r="CN22" s="4"/>
      <c r="CO22">
        <v>0</v>
      </c>
      <c r="CP22">
        <v>8</v>
      </c>
      <c r="CQ22">
        <v>12</v>
      </c>
      <c r="CR22">
        <v>4</v>
      </c>
      <c r="CS22">
        <v>0</v>
      </c>
    </row>
    <row r="23" spans="2:103" x14ac:dyDescent="0.25">
      <c r="J23">
        <v>210</v>
      </c>
      <c r="M23">
        <v>215</v>
      </c>
      <c r="Q23">
        <f>SUM(G23:M23)</f>
        <v>425</v>
      </c>
      <c r="AT23">
        <f>SUM(AJ23:AP23)</f>
        <v>0</v>
      </c>
      <c r="BO23">
        <v>40</v>
      </c>
      <c r="BQ23">
        <v>95</v>
      </c>
      <c r="BW23">
        <f>SUM(BM23:BS23)</f>
        <v>135</v>
      </c>
      <c r="CN23" s="4"/>
      <c r="CO23" t="str">
        <f>VLOOKUP(CO22,$A$3:$B$34,2,FALSE)</f>
        <v>DEPOT</v>
      </c>
      <c r="CP23" t="str">
        <f t="shared" ref="CP23:CS23" si="25">VLOOKUP(CP22,$A$3:$B$34,2,FALSE)</f>
        <v>CA3</v>
      </c>
      <c r="CQ23" t="str">
        <f t="shared" si="25"/>
        <v>CS2</v>
      </c>
      <c r="CR23" t="str">
        <f t="shared" si="25"/>
        <v>AC4</v>
      </c>
      <c r="CS23" t="str">
        <f t="shared" si="25"/>
        <v>DEPOT</v>
      </c>
    </row>
    <row r="24" spans="2:103" x14ac:dyDescent="0.25">
      <c r="F24" s="11"/>
      <c r="G24">
        <v>0</v>
      </c>
      <c r="H24">
        <v>7</v>
      </c>
      <c r="I24">
        <v>11</v>
      </c>
      <c r="J24">
        <v>5</v>
      </c>
      <c r="K24">
        <v>0</v>
      </c>
      <c r="U24" s="11"/>
      <c r="AI24" s="11"/>
      <c r="AJ24">
        <v>0</v>
      </c>
      <c r="AK24">
        <v>2</v>
      </c>
      <c r="AL24">
        <v>11</v>
      </c>
      <c r="AM24">
        <v>9</v>
      </c>
      <c r="AN24">
        <v>12</v>
      </c>
      <c r="AO24">
        <v>4</v>
      </c>
      <c r="AP24">
        <v>0</v>
      </c>
      <c r="AW24" s="11"/>
      <c r="BL24" s="14"/>
      <c r="BM24">
        <v>0</v>
      </c>
      <c r="BN24">
        <v>6</v>
      </c>
      <c r="BO24">
        <v>3</v>
      </c>
      <c r="BP24">
        <v>11</v>
      </c>
      <c r="BQ24">
        <v>10</v>
      </c>
      <c r="BR24">
        <v>5</v>
      </c>
      <c r="BS24">
        <v>0</v>
      </c>
      <c r="CQ24">
        <v>40</v>
      </c>
      <c r="CS24">
        <v>0</v>
      </c>
      <c r="CY24">
        <f>SUM(CO24:CU24)</f>
        <v>40</v>
      </c>
    </row>
    <row r="25" spans="2:103" x14ac:dyDescent="0.25">
      <c r="F25" s="11"/>
      <c r="G25" t="str">
        <f>VLOOKUP(G24,$A$3:$B$34,2,FALSE)</f>
        <v>DEPOT</v>
      </c>
      <c r="H25" t="str">
        <f t="shared" ref="H25:K25" si="26">VLOOKUP(H24,$A$3:$B$34,2,FALSE)</f>
        <v>CA2</v>
      </c>
      <c r="I25" t="str">
        <f t="shared" si="26"/>
        <v>CS1</v>
      </c>
      <c r="J25" t="str">
        <f t="shared" si="26"/>
        <v>AC5</v>
      </c>
      <c r="K25" t="str">
        <f t="shared" si="26"/>
        <v>DEPOT</v>
      </c>
      <c r="U25" s="11"/>
      <c r="AI25" s="11"/>
      <c r="AJ25" t="str">
        <f>VLOOKUP(AJ24,$A$3:$B$34,2,FALSE)</f>
        <v>DEPOT</v>
      </c>
      <c r="AK25" t="str">
        <f t="shared" ref="AK25:AP25" si="27">VLOOKUP(AK24,$A$3:$B$34,2,FALSE)</f>
        <v>AC2</v>
      </c>
      <c r="AL25" t="str">
        <f t="shared" si="27"/>
        <v>CS1</v>
      </c>
      <c r="AM25" t="str">
        <f t="shared" si="27"/>
        <v>CA4</v>
      </c>
      <c r="AN25" t="str">
        <f t="shared" si="27"/>
        <v>CS2</v>
      </c>
      <c r="AO25" t="str">
        <f t="shared" si="27"/>
        <v>AC4</v>
      </c>
      <c r="AP25" t="str">
        <f t="shared" si="27"/>
        <v>DEPOT</v>
      </c>
      <c r="AW25" s="11"/>
      <c r="BL25" s="14"/>
      <c r="BM25" t="str">
        <f>VLOOKUP(BM24,$A$3:$B$34,2,FALSE)</f>
        <v>DEPOT</v>
      </c>
      <c r="BN25" t="str">
        <f>VLOOKUP(BN24,$A$3:$B$34,2,FALSE)</f>
        <v>CA1</v>
      </c>
      <c r="BO25" t="str">
        <f>VLOOKUP(BO24,$A$3:$B$34,2,FALSE)</f>
        <v>AC3</v>
      </c>
      <c r="BP25" t="str">
        <f>VLOOKUP(BP24,$A$3:$B$34,2,FALSE)</f>
        <v>CS1</v>
      </c>
      <c r="BQ25" t="str">
        <f t="shared" ref="BQ25" si="28">VLOOKUP(BQ24,$A$3:$B$34,2,FALSE)</f>
        <v>CA5</v>
      </c>
      <c r="BR25" t="str">
        <f t="shared" ref="BR25" si="29">VLOOKUP(BR24,$A$3:$B$34,2,FALSE)</f>
        <v>AC5</v>
      </c>
      <c r="BS25" t="str">
        <f t="shared" ref="BS25" si="30">VLOOKUP(BS24,$A$3:$B$34,2,FALSE)</f>
        <v>DEPOT</v>
      </c>
      <c r="CN25" s="14"/>
      <c r="CO25">
        <v>0</v>
      </c>
      <c r="CP25">
        <v>6</v>
      </c>
      <c r="CQ25">
        <v>7</v>
      </c>
      <c r="CR25">
        <v>11</v>
      </c>
      <c r="CS25">
        <v>5</v>
      </c>
      <c r="CT25">
        <v>0</v>
      </c>
    </row>
    <row r="26" spans="2:103" x14ac:dyDescent="0.25">
      <c r="J26">
        <v>395</v>
      </c>
      <c r="Q26">
        <f>SUM(G26:M26)</f>
        <v>395</v>
      </c>
      <c r="AM26">
        <v>265</v>
      </c>
      <c r="AO26">
        <v>80</v>
      </c>
      <c r="AT26">
        <f>SUM(AJ26:AP26)</f>
        <v>345</v>
      </c>
      <c r="BO26">
        <v>85</v>
      </c>
      <c r="BQ26">
        <v>105</v>
      </c>
      <c r="BR26">
        <v>35</v>
      </c>
      <c r="BW26">
        <f>SUM(BM26:BS26)</f>
        <v>225</v>
      </c>
      <c r="CN26" s="14"/>
      <c r="CO26" t="str">
        <f>VLOOKUP(CO25,$A$3:$B$34,2,FALSE)</f>
        <v>DEPOT</v>
      </c>
      <c r="CP26" t="str">
        <f>VLOOKUP(CP25,$A$3:$B$34,2,FALSE)</f>
        <v>CA1</v>
      </c>
      <c r="CQ26" t="str">
        <f>VLOOKUP(CQ25,$A$3:$B$34,2,FALSE)</f>
        <v>CA2</v>
      </c>
      <c r="CR26" t="str">
        <f>VLOOKUP(CR25,$A$3:$B$34,2,FALSE)</f>
        <v>CS1</v>
      </c>
    </row>
    <row r="27" spans="2:103" x14ac:dyDescent="0.25">
      <c r="F27" s="12"/>
      <c r="G27">
        <v>0</v>
      </c>
      <c r="H27">
        <v>2</v>
      </c>
      <c r="I27">
        <v>11</v>
      </c>
      <c r="J27">
        <v>9</v>
      </c>
      <c r="K27">
        <v>0</v>
      </c>
      <c r="U27" s="12"/>
      <c r="AI27" s="12"/>
      <c r="AJ27">
        <v>0</v>
      </c>
      <c r="AK27">
        <v>6</v>
      </c>
      <c r="AL27">
        <v>11</v>
      </c>
      <c r="AM27">
        <v>8</v>
      </c>
      <c r="AN27">
        <v>12</v>
      </c>
      <c r="AO27">
        <v>5</v>
      </c>
      <c r="AP27">
        <v>0</v>
      </c>
      <c r="AW27" s="12"/>
      <c r="BL27" s="15"/>
      <c r="BM27">
        <v>0</v>
      </c>
      <c r="BN27">
        <v>2</v>
      </c>
      <c r="BO27">
        <v>8</v>
      </c>
      <c r="BP27">
        <v>0</v>
      </c>
      <c r="CQ27">
        <v>0</v>
      </c>
      <c r="CU27">
        <v>35</v>
      </c>
      <c r="CY27">
        <f>SUM(CO27:CU27)</f>
        <v>35</v>
      </c>
    </row>
    <row r="28" spans="2:103" x14ac:dyDescent="0.25">
      <c r="F28" s="12"/>
      <c r="G28" t="str">
        <f>VLOOKUP(G27,$A$3:$B$34,2,FALSE)</f>
        <v>DEPOT</v>
      </c>
      <c r="H28" t="str">
        <f>VLOOKUP(H27,$A$3:$B$34,2,FALSE)</f>
        <v>AC2</v>
      </c>
      <c r="I28" t="str">
        <f>VLOOKUP(I27,$A$3:$B$34,2,FALSE)</f>
        <v>CS1</v>
      </c>
      <c r="J28" t="str">
        <f>VLOOKUP(J27,$A$3:$B$34,2,FALSE)</f>
        <v>CA4</v>
      </c>
      <c r="K28" t="str">
        <f>VLOOKUP(K27,$A$3:$B$34,2,FALSE)</f>
        <v>DEPOT</v>
      </c>
      <c r="U28" s="12"/>
      <c r="AI28" s="12"/>
      <c r="AJ28" t="str">
        <f>VLOOKUP(AJ27,$A$3:$B$34,2,FALSE)</f>
        <v>DEPOT</v>
      </c>
      <c r="AK28" t="str">
        <f>VLOOKUP(AK27,$A$3:$B$34,2,FALSE)</f>
        <v>CA1</v>
      </c>
      <c r="AL28" t="str">
        <f>VLOOKUP(AL27,$A$3:$B$34,2,FALSE)</f>
        <v>CS1</v>
      </c>
      <c r="AM28" t="str">
        <f>VLOOKUP(AM27,$A$3:$B$34,2,FALSE)</f>
        <v>CA3</v>
      </c>
      <c r="AN28" t="str">
        <f>VLOOKUP(AN27,$A$3:$B$34,2,FALSE)</f>
        <v>CS2</v>
      </c>
      <c r="AO28" t="str">
        <f t="shared" ref="AO28" si="31">VLOOKUP(AO27,$A$3:$B$34,2,FALSE)</f>
        <v>AC5</v>
      </c>
      <c r="AP28" t="str">
        <f t="shared" ref="AP28" si="32">VLOOKUP(AP27,$A$3:$B$34,2,FALSE)</f>
        <v>DEPOT</v>
      </c>
      <c r="AW28" s="12"/>
      <c r="BL28" s="15"/>
      <c r="BM28" t="str">
        <f>VLOOKUP(BM27,$A$3:$B$34,2,FALSE)</f>
        <v>DEPOT</v>
      </c>
      <c r="BN28" t="str">
        <f t="shared" ref="BN28:BP28" si="33">VLOOKUP(BN27,$A$3:$B$34,2,FALSE)</f>
        <v>AC2</v>
      </c>
      <c r="BO28" t="str">
        <f t="shared" si="33"/>
        <v>CA3</v>
      </c>
      <c r="BP28" t="str">
        <f t="shared" si="33"/>
        <v>DEPOT</v>
      </c>
      <c r="CN28" s="15"/>
      <c r="CO28">
        <v>0</v>
      </c>
      <c r="CP28">
        <v>2</v>
      </c>
      <c r="CQ28">
        <v>11</v>
      </c>
      <c r="CR28">
        <v>9</v>
      </c>
      <c r="CS28">
        <v>0</v>
      </c>
    </row>
    <row r="29" spans="2:103" x14ac:dyDescent="0.25">
      <c r="J29">
        <v>165</v>
      </c>
      <c r="Q29">
        <f>SUM(G29:M29)</f>
        <v>165</v>
      </c>
      <c r="AM29">
        <v>75</v>
      </c>
      <c r="AO29">
        <v>80</v>
      </c>
      <c r="AT29">
        <f>SUM(AJ29:AP29)</f>
        <v>155</v>
      </c>
      <c r="BO29">
        <v>45</v>
      </c>
      <c r="BW29">
        <f>SUM(BM29:BS29)</f>
        <v>45</v>
      </c>
      <c r="CN29" s="15"/>
      <c r="CO29" t="str">
        <f>VLOOKUP(CO28,$A$3:$B$34,2,FALSE)</f>
        <v>DEPOT</v>
      </c>
      <c r="CP29" t="str">
        <f t="shared" ref="CP29:CS29" si="34">VLOOKUP(CP28,$A$3:$B$34,2,FALSE)</f>
        <v>AC2</v>
      </c>
      <c r="CQ29" t="str">
        <f t="shared" si="34"/>
        <v>CS1</v>
      </c>
      <c r="CR29" t="str">
        <f t="shared" si="34"/>
        <v>CA4</v>
      </c>
      <c r="CS29" t="str">
        <f t="shared" si="34"/>
        <v>DEPOT</v>
      </c>
    </row>
    <row r="30" spans="2:103" x14ac:dyDescent="0.25">
      <c r="Q30">
        <f>SUM(Q20:Q29)</f>
        <v>1310</v>
      </c>
      <c r="AT30">
        <f>SUM(AT20:AT29)</f>
        <v>555</v>
      </c>
      <c r="BW30">
        <f>SUM(BW20:BW29)</f>
        <v>405</v>
      </c>
      <c r="CQ30">
        <v>45</v>
      </c>
      <c r="CY30">
        <f>SUM(CO30:CU30)</f>
        <v>45</v>
      </c>
    </row>
    <row r="31" spans="2:103" x14ac:dyDescent="0.25">
      <c r="F31" t="s">
        <v>75</v>
      </c>
      <c r="G31" t="s">
        <v>49</v>
      </c>
      <c r="AI31" t="s">
        <v>77</v>
      </c>
      <c r="AJ31" t="s">
        <v>49</v>
      </c>
      <c r="BS31">
        <f>COUNT(BW20:BW29)</f>
        <v>4</v>
      </c>
      <c r="BU31">
        <f>BW30/'10Trips'!$R$8</f>
        <v>0.2988929889298893</v>
      </c>
      <c r="CY31">
        <f>SUM(CY21:CY30)</f>
        <v>120</v>
      </c>
    </row>
    <row r="32" spans="2:103" x14ac:dyDescent="0.25">
      <c r="F32" s="13"/>
      <c r="G32">
        <v>0</v>
      </c>
      <c r="H32">
        <v>1</v>
      </c>
      <c r="I32">
        <v>3</v>
      </c>
      <c r="J32">
        <v>11</v>
      </c>
      <c r="K32">
        <v>10</v>
      </c>
      <c r="L32">
        <v>5</v>
      </c>
      <c r="M32">
        <v>0</v>
      </c>
      <c r="U32" s="13"/>
      <c r="AI32" s="13"/>
      <c r="AJ32">
        <v>0</v>
      </c>
      <c r="AK32">
        <v>7</v>
      </c>
      <c r="AL32">
        <v>0</v>
      </c>
      <c r="AW32" s="9"/>
      <c r="BL32" t="s">
        <v>75</v>
      </c>
      <c r="BM32" t="s">
        <v>49</v>
      </c>
      <c r="BS32">
        <f>BS31+BU31</f>
        <v>4.2988929889298895</v>
      </c>
    </row>
    <row r="33" spans="6:89" x14ac:dyDescent="0.25">
      <c r="F33" s="13"/>
      <c r="G33" t="str">
        <f>VLOOKUP(G32,$A$3:$B$34,2,FALSE)</f>
        <v>DEPOT</v>
      </c>
      <c r="H33" t="str">
        <f t="shared" ref="H33:M33" si="35">VLOOKUP(H32,$A$3:$B$34,2,FALSE)</f>
        <v>AC1</v>
      </c>
      <c r="I33" t="str">
        <f t="shared" si="35"/>
        <v>AC3</v>
      </c>
      <c r="J33" t="str">
        <f t="shared" si="35"/>
        <v>CS1</v>
      </c>
      <c r="K33" t="str">
        <f t="shared" si="35"/>
        <v>CA5</v>
      </c>
      <c r="L33" t="str">
        <f t="shared" si="35"/>
        <v>AC5</v>
      </c>
      <c r="M33" t="str">
        <f t="shared" si="35"/>
        <v>DEPOT</v>
      </c>
      <c r="U33" s="13"/>
      <c r="AI33" s="13"/>
      <c r="AJ33" t="str">
        <f>VLOOKUP(AJ32,$A$3:$B$34,2,FALSE)</f>
        <v>DEPOT</v>
      </c>
      <c r="AK33" t="str">
        <f t="shared" ref="AK33:AL33" si="36">VLOOKUP(AK32,$A$3:$B$34,2,FALSE)</f>
        <v>CA2</v>
      </c>
      <c r="AL33" t="str">
        <f t="shared" si="36"/>
        <v>DEPOT</v>
      </c>
      <c r="AW33" s="9"/>
      <c r="BL33" s="13"/>
      <c r="BM33">
        <v>0</v>
      </c>
      <c r="BN33">
        <v>1</v>
      </c>
      <c r="BO33">
        <v>0</v>
      </c>
      <c r="BZ33" t="s">
        <v>75</v>
      </c>
      <c r="CA33" t="s">
        <v>49</v>
      </c>
    </row>
    <row r="34" spans="6:89" x14ac:dyDescent="0.25">
      <c r="I34">
        <v>100</v>
      </c>
      <c r="K34">
        <v>165</v>
      </c>
      <c r="L34">
        <v>35</v>
      </c>
      <c r="Q34">
        <f>SUM(G34:M34)</f>
        <v>300</v>
      </c>
      <c r="AT34">
        <f>SUM(AJ34:AP34)</f>
        <v>0</v>
      </c>
      <c r="BL34" s="13"/>
      <c r="BM34" t="str">
        <f>VLOOKUP(BM33,$A$3:$B$34,2,FALSE)</f>
        <v>DEPOT</v>
      </c>
      <c r="BN34" t="str">
        <f t="shared" ref="BN34:BO34" si="37">VLOOKUP(BN33,$A$3:$B$34,2,FALSE)</f>
        <v>AC1</v>
      </c>
      <c r="BO34" t="str">
        <f t="shared" si="37"/>
        <v>DEPOT</v>
      </c>
      <c r="BZ34" s="13"/>
      <c r="CA34">
        <v>0</v>
      </c>
      <c r="CB34">
        <v>1</v>
      </c>
      <c r="CC34">
        <v>0</v>
      </c>
    </row>
    <row r="35" spans="6:89" x14ac:dyDescent="0.25">
      <c r="F35" s="4"/>
      <c r="G35">
        <v>0</v>
      </c>
      <c r="H35">
        <v>2</v>
      </c>
      <c r="I35">
        <v>8</v>
      </c>
      <c r="J35">
        <v>0</v>
      </c>
      <c r="U35" s="4"/>
      <c r="AI35" s="4"/>
      <c r="AJ35">
        <v>0</v>
      </c>
      <c r="AK35">
        <v>2</v>
      </c>
      <c r="AL35">
        <v>13</v>
      </c>
      <c r="AM35">
        <v>9</v>
      </c>
      <c r="AN35">
        <v>13</v>
      </c>
      <c r="AO35">
        <v>4</v>
      </c>
      <c r="AP35">
        <v>0</v>
      </c>
      <c r="AW35" s="10"/>
      <c r="BO35">
        <v>0</v>
      </c>
      <c r="BW35">
        <f>SUM(BM35:BS35)</f>
        <v>0</v>
      </c>
      <c r="BZ35" s="13"/>
      <c r="CA35" t="str">
        <f>VLOOKUP(CA34,$A$3:$B$34,2,FALSE)</f>
        <v>DEPOT</v>
      </c>
      <c r="CB35" t="str">
        <f t="shared" ref="CB35:CC35" si="38">VLOOKUP(CB34,$A$3:$B$34,2,FALSE)</f>
        <v>AC1</v>
      </c>
      <c r="CC35" t="str">
        <f t="shared" si="38"/>
        <v>DEPOT</v>
      </c>
    </row>
    <row r="36" spans="6:89" x14ac:dyDescent="0.25">
      <c r="F36" s="4"/>
      <c r="G36" t="str">
        <f>VLOOKUP(G35,$A$3:$B$34,2,FALSE)</f>
        <v>DEPOT</v>
      </c>
      <c r="H36" t="str">
        <f t="shared" ref="H36:J36" si="39">VLOOKUP(H35,$A$3:$B$34,2,FALSE)</f>
        <v>AC2</v>
      </c>
      <c r="I36" t="str">
        <f t="shared" si="39"/>
        <v>CA3</v>
      </c>
      <c r="J36" t="str">
        <f t="shared" si="39"/>
        <v>DEPOT</v>
      </c>
      <c r="U36" s="4"/>
      <c r="AI36" s="4"/>
      <c r="AJ36" t="str">
        <f>VLOOKUP(AJ35,$A$3:$B$34,2,FALSE)</f>
        <v>DEPOT</v>
      </c>
      <c r="AK36" t="str">
        <f t="shared" ref="AK36:AP36" si="40">VLOOKUP(AK35,$A$3:$B$34,2,FALSE)</f>
        <v>AC2</v>
      </c>
      <c r="AL36" t="str">
        <f t="shared" si="40"/>
        <v>CS3</v>
      </c>
      <c r="AM36" t="str">
        <f t="shared" si="40"/>
        <v>CA4</v>
      </c>
      <c r="AN36" t="str">
        <f t="shared" si="40"/>
        <v>CS3</v>
      </c>
      <c r="AO36" t="str">
        <f t="shared" si="40"/>
        <v>AC4</v>
      </c>
      <c r="AP36" t="str">
        <f t="shared" si="40"/>
        <v>DEPOT</v>
      </c>
      <c r="AW36" s="10"/>
      <c r="BL36" s="4"/>
      <c r="BM36">
        <v>0</v>
      </c>
      <c r="BN36">
        <v>7</v>
      </c>
      <c r="BO36">
        <v>9</v>
      </c>
      <c r="BP36">
        <v>11</v>
      </c>
      <c r="BQ36">
        <v>4</v>
      </c>
      <c r="BR36">
        <v>0</v>
      </c>
      <c r="CC36">
        <v>0</v>
      </c>
      <c r="CK36">
        <f>SUM(CA36:CG36)</f>
        <v>0</v>
      </c>
    </row>
    <row r="37" spans="6:89" x14ac:dyDescent="0.25">
      <c r="I37">
        <v>45</v>
      </c>
      <c r="Q37">
        <f>SUM(G37:M37)</f>
        <v>45</v>
      </c>
      <c r="AL37">
        <v>45</v>
      </c>
      <c r="AT37">
        <f>SUM(AJ37:AP37)</f>
        <v>45</v>
      </c>
      <c r="BL37" s="4"/>
      <c r="BM37" t="str">
        <f>VLOOKUP(BM36,$A$3:$B$34,2,FALSE)</f>
        <v>DEPOT</v>
      </c>
      <c r="BN37" t="str">
        <f t="shared" ref="BN37:BP37" si="41">VLOOKUP(BN36,$A$3:$B$34,2,FALSE)</f>
        <v>CA2</v>
      </c>
      <c r="BO37" t="str">
        <f t="shared" si="41"/>
        <v>CA4</v>
      </c>
      <c r="BP37" t="str">
        <f t="shared" si="41"/>
        <v>CS1</v>
      </c>
      <c r="BZ37" s="4"/>
      <c r="CA37">
        <v>0</v>
      </c>
      <c r="CB37">
        <v>7</v>
      </c>
      <c r="CC37">
        <v>9</v>
      </c>
      <c r="CD37">
        <v>11</v>
      </c>
      <c r="CE37">
        <v>4</v>
      </c>
      <c r="CF37">
        <v>0</v>
      </c>
    </row>
    <row r="38" spans="6:89" x14ac:dyDescent="0.25">
      <c r="F38" s="14"/>
      <c r="G38">
        <v>0</v>
      </c>
      <c r="H38">
        <v>6</v>
      </c>
      <c r="I38">
        <v>7</v>
      </c>
      <c r="J38">
        <v>0</v>
      </c>
      <c r="U38" s="14"/>
      <c r="AI38" s="14"/>
      <c r="AJ38">
        <v>0</v>
      </c>
      <c r="AK38">
        <v>6</v>
      </c>
      <c r="AL38">
        <v>12</v>
      </c>
      <c r="AM38">
        <v>8</v>
      </c>
      <c r="AN38">
        <v>11</v>
      </c>
      <c r="AO38">
        <v>5</v>
      </c>
      <c r="AP38">
        <v>0</v>
      </c>
      <c r="AW38" s="11"/>
      <c r="BO38">
        <v>40</v>
      </c>
      <c r="BQ38">
        <v>95</v>
      </c>
      <c r="BW38">
        <f>SUM(BM38:BS38)</f>
        <v>135</v>
      </c>
      <c r="BZ38" s="4"/>
      <c r="CA38" t="str">
        <f>VLOOKUP(CA37,$A$3:$B$34,2,FALSE)</f>
        <v>DEPOT</v>
      </c>
      <c r="CB38" t="str">
        <f t="shared" ref="CB38:CD38" si="42">VLOOKUP(CB37,$A$3:$B$34,2,FALSE)</f>
        <v>CA2</v>
      </c>
      <c r="CC38" t="str">
        <f t="shared" si="42"/>
        <v>CA4</v>
      </c>
      <c r="CD38" t="str">
        <f t="shared" si="42"/>
        <v>CS1</v>
      </c>
    </row>
    <row r="39" spans="6:89" x14ac:dyDescent="0.25">
      <c r="F39" s="14"/>
      <c r="G39" t="str">
        <f>VLOOKUP(G38,$A$3:$B$34,2,FALSE)</f>
        <v>DEPOT</v>
      </c>
      <c r="H39" t="str">
        <f>VLOOKUP(H38,$A$3:$B$34,2,FALSE)</f>
        <v>CA1</v>
      </c>
      <c r="I39" t="str">
        <f>VLOOKUP(I38,$A$3:$B$34,2,FALSE)</f>
        <v>CA2</v>
      </c>
      <c r="J39" t="str">
        <f>VLOOKUP(J38,$A$3:$B$34,2,FALSE)</f>
        <v>DEPOT</v>
      </c>
      <c r="U39" s="14"/>
      <c r="AI39" s="14"/>
      <c r="AJ39" t="str">
        <f>VLOOKUP(AJ38,$A$3:$B$34,2,FALSE)</f>
        <v>DEPOT</v>
      </c>
      <c r="AK39" t="str">
        <f>VLOOKUP(AK38,$A$3:$B$34,2,FALSE)</f>
        <v>CA1</v>
      </c>
      <c r="AL39" t="str">
        <f>VLOOKUP(AL38,$A$3:$B$34,2,FALSE)</f>
        <v>CS2</v>
      </c>
      <c r="AM39" t="str">
        <f>VLOOKUP(AM38,$A$3:$B$34,2,FALSE)</f>
        <v>CA3</v>
      </c>
      <c r="AN39" t="str">
        <f t="shared" ref="AN39" si="43">VLOOKUP(AN38,$A$3:$B$34,2,FALSE)</f>
        <v>CS1</v>
      </c>
      <c r="AW39" s="11"/>
      <c r="BL39" s="14"/>
      <c r="BM39">
        <v>0</v>
      </c>
      <c r="BN39">
        <v>6</v>
      </c>
      <c r="BO39">
        <v>3</v>
      </c>
      <c r="BP39">
        <v>11</v>
      </c>
      <c r="BQ39">
        <v>10</v>
      </c>
      <c r="BR39">
        <v>5</v>
      </c>
      <c r="BS39">
        <v>0</v>
      </c>
      <c r="CC39">
        <v>40</v>
      </c>
      <c r="CE39">
        <v>0</v>
      </c>
      <c r="CK39">
        <f>SUM(CA39:CG39)</f>
        <v>40</v>
      </c>
    </row>
    <row r="40" spans="6:89" x14ac:dyDescent="0.25">
      <c r="I40">
        <v>30</v>
      </c>
      <c r="Q40">
        <f>SUM(G40:M40)</f>
        <v>30</v>
      </c>
      <c r="AM40">
        <v>25</v>
      </c>
      <c r="AO40">
        <v>45</v>
      </c>
      <c r="AP40">
        <v>35</v>
      </c>
      <c r="AT40">
        <f>SUM(AJ40:AP40)</f>
        <v>105</v>
      </c>
      <c r="BL40" s="14"/>
      <c r="BM40" t="str">
        <f>VLOOKUP(BM39,$A$3:$B$34,2,FALSE)</f>
        <v>DEPOT</v>
      </c>
      <c r="BN40" t="str">
        <f>VLOOKUP(BN39,$A$3:$B$34,2,FALSE)</f>
        <v>CA1</v>
      </c>
      <c r="BO40" t="str">
        <f>VLOOKUP(BO39,$A$3:$B$34,2,FALSE)</f>
        <v>AC3</v>
      </c>
      <c r="BP40" t="str">
        <f>VLOOKUP(BP39,$A$3:$B$34,2,FALSE)</f>
        <v>CS1</v>
      </c>
      <c r="BQ40" t="str">
        <f t="shared" ref="BQ40:BS40" si="44">VLOOKUP(BQ39,$A$3:$B$34,2,FALSE)</f>
        <v>CA5</v>
      </c>
      <c r="BR40" t="str">
        <f t="shared" si="44"/>
        <v>AC5</v>
      </c>
      <c r="BS40" t="str">
        <f t="shared" si="44"/>
        <v>DEPOT</v>
      </c>
      <c r="BZ40" s="14"/>
      <c r="CA40">
        <v>0</v>
      </c>
      <c r="CB40">
        <v>6</v>
      </c>
      <c r="CC40">
        <v>11</v>
      </c>
      <c r="CD40">
        <v>3</v>
      </c>
      <c r="CE40">
        <v>11</v>
      </c>
      <c r="CF40">
        <v>10</v>
      </c>
      <c r="CG40">
        <v>5</v>
      </c>
      <c r="CH40">
        <v>0</v>
      </c>
    </row>
    <row r="41" spans="6:89" x14ac:dyDescent="0.25">
      <c r="F41" s="15"/>
      <c r="G41">
        <v>0</v>
      </c>
      <c r="H41">
        <v>9</v>
      </c>
      <c r="I41">
        <v>4</v>
      </c>
      <c r="J41">
        <v>0</v>
      </c>
      <c r="U41" s="15"/>
      <c r="AI41" s="15"/>
      <c r="AJ41">
        <v>0</v>
      </c>
      <c r="AK41">
        <v>1</v>
      </c>
      <c r="AL41">
        <v>11</v>
      </c>
      <c r="AM41">
        <v>3</v>
      </c>
      <c r="AN41">
        <v>12</v>
      </c>
      <c r="AO41">
        <v>10</v>
      </c>
      <c r="AP41">
        <v>0</v>
      </c>
      <c r="AW41" s="12"/>
      <c r="BO41">
        <v>85</v>
      </c>
      <c r="BQ41">
        <v>105</v>
      </c>
      <c r="BR41">
        <v>35</v>
      </c>
      <c r="BW41">
        <f>SUM(BM41:BS41)</f>
        <v>225</v>
      </c>
      <c r="BZ41" s="14"/>
      <c r="CA41" t="str">
        <f>VLOOKUP(CA40,$A$3:$B$34,2,FALSE)</f>
        <v>DEPOT</v>
      </c>
      <c r="CB41" t="str">
        <f>VLOOKUP(CB40,$A$3:$B$34,2,FALSE)</f>
        <v>CA1</v>
      </c>
      <c r="CC41" t="str">
        <f>VLOOKUP(CC40,$A$3:$B$34,2,FALSE)</f>
        <v>CS1</v>
      </c>
      <c r="CD41" t="str">
        <f>VLOOKUP(CD40,$A$3:$B$34,2,FALSE)</f>
        <v>AC3</v>
      </c>
    </row>
    <row r="42" spans="6:89" x14ac:dyDescent="0.25">
      <c r="F42" s="15"/>
      <c r="G42" t="str">
        <f>VLOOKUP(G41,$A$3:$B$34,2,FALSE)</f>
        <v>DEPOT</v>
      </c>
      <c r="H42" t="str">
        <f t="shared" ref="H42:J42" si="45">VLOOKUP(H41,$A$3:$B$34,2,FALSE)</f>
        <v>CA4</v>
      </c>
      <c r="I42" t="str">
        <f t="shared" si="45"/>
        <v>AC4</v>
      </c>
      <c r="J42" t="str">
        <f t="shared" si="45"/>
        <v>DEPOT</v>
      </c>
      <c r="U42" s="15"/>
      <c r="AI42" s="15"/>
      <c r="AJ42" t="str">
        <f>VLOOKUP(AJ41,$A$3:$B$34,2,FALSE)</f>
        <v>DEPOT</v>
      </c>
      <c r="AK42" t="str">
        <f t="shared" ref="AK42:AP42" si="46">VLOOKUP(AK41,$A$3:$B$34,2,FALSE)</f>
        <v>AC1</v>
      </c>
      <c r="AL42" t="str">
        <f t="shared" si="46"/>
        <v>CS1</v>
      </c>
      <c r="AM42" t="str">
        <f t="shared" si="46"/>
        <v>AC3</v>
      </c>
      <c r="AN42" t="str">
        <f t="shared" si="46"/>
        <v>CS2</v>
      </c>
      <c r="AO42" t="str">
        <f t="shared" si="46"/>
        <v>CA5</v>
      </c>
      <c r="AP42" t="str">
        <f t="shared" si="46"/>
        <v>DEPOT</v>
      </c>
      <c r="AW42" s="12"/>
      <c r="BL42" s="15"/>
      <c r="BM42">
        <v>0</v>
      </c>
      <c r="BN42">
        <v>2</v>
      </c>
      <c r="BO42">
        <v>8</v>
      </c>
      <c r="BP42">
        <v>0</v>
      </c>
      <c r="CC42">
        <v>0</v>
      </c>
      <c r="CG42">
        <v>35</v>
      </c>
      <c r="CK42">
        <f>SUM(CA42:CG42)</f>
        <v>35</v>
      </c>
    </row>
    <row r="43" spans="6:89" x14ac:dyDescent="0.25">
      <c r="I43">
        <v>95</v>
      </c>
      <c r="Q43">
        <f>SUM(G43:M43)</f>
        <v>95</v>
      </c>
      <c r="AT43">
        <f>SUM(AJ43:AP43)</f>
        <v>0</v>
      </c>
      <c r="BL43" s="15"/>
      <c r="BM43" t="str">
        <f>VLOOKUP(BM42,$A$3:$B$34,2,FALSE)</f>
        <v>DEPOT</v>
      </c>
      <c r="BN43" t="str">
        <f t="shared" ref="BN43:BP43" si="47">VLOOKUP(BN42,$A$3:$B$34,2,FALSE)</f>
        <v>AC2</v>
      </c>
      <c r="BO43" t="str">
        <f t="shared" si="47"/>
        <v>CA3</v>
      </c>
      <c r="BP43" t="str">
        <f t="shared" si="47"/>
        <v>DEPOT</v>
      </c>
      <c r="BZ43" s="15"/>
      <c r="CA43">
        <v>0</v>
      </c>
      <c r="CB43">
        <v>2</v>
      </c>
      <c r="CC43">
        <v>8</v>
      </c>
      <c r="CD43">
        <v>0</v>
      </c>
    </row>
    <row r="44" spans="6:89" x14ac:dyDescent="0.25">
      <c r="Q44">
        <f>SUM(Q34:Q43)</f>
        <v>470</v>
      </c>
      <c r="AT44">
        <f>SUM(AT34:AT43)</f>
        <v>150</v>
      </c>
      <c r="BO44">
        <v>45</v>
      </c>
      <c r="BW44">
        <f>SUM(BM44:BS44)</f>
        <v>45</v>
      </c>
      <c r="BZ44" s="15"/>
      <c r="CA44" t="str">
        <f>VLOOKUP(CA43,$A$3:$B$34,2,FALSE)</f>
        <v>DEPOT</v>
      </c>
      <c r="CB44" t="str">
        <f t="shared" ref="CB44:CD44" si="48">VLOOKUP(CB43,$A$3:$B$34,2,FALSE)</f>
        <v>AC2</v>
      </c>
      <c r="CC44" t="str">
        <f t="shared" si="48"/>
        <v>CA3</v>
      </c>
      <c r="CD44" t="str">
        <f t="shared" si="48"/>
        <v>DEPOT</v>
      </c>
    </row>
    <row r="45" spans="6:89" x14ac:dyDescent="0.25">
      <c r="BW45">
        <f>SUM(BW35:BW44)</f>
        <v>405</v>
      </c>
      <c r="CC45">
        <v>45</v>
      </c>
      <c r="CK45">
        <f>SUM(CA45:CG45)</f>
        <v>45</v>
      </c>
    </row>
    <row r="46" spans="6:89" x14ac:dyDescent="0.25">
      <c r="BS46">
        <f>COUNT(BW35:BW44)</f>
        <v>4</v>
      </c>
      <c r="BU46">
        <f>BW45/'10Trips'!$R$8</f>
        <v>0.2988929889298893</v>
      </c>
      <c r="CK46">
        <f>SUM(CK36:CK45)</f>
        <v>120</v>
      </c>
    </row>
    <row r="47" spans="6:89" x14ac:dyDescent="0.25">
      <c r="BS47">
        <f>BS46+BU46</f>
        <v>4.2988929889298895</v>
      </c>
    </row>
    <row r="49" spans="1:28" x14ac:dyDescent="0.25">
      <c r="A49" t="s">
        <v>51</v>
      </c>
      <c r="B49" t="s">
        <v>52</v>
      </c>
      <c r="D49" t="s">
        <v>76</v>
      </c>
    </row>
    <row r="50" spans="1:28" x14ac:dyDescent="0.25">
      <c r="A50">
        <v>0</v>
      </c>
      <c r="B50" t="s">
        <v>46</v>
      </c>
      <c r="D50" t="s">
        <v>73</v>
      </c>
      <c r="E50" t="s">
        <v>49</v>
      </c>
    </row>
    <row r="51" spans="1:28" x14ac:dyDescent="0.25">
      <c r="A51">
        <f>A50+1</f>
        <v>1</v>
      </c>
      <c r="B51" t="s">
        <v>6</v>
      </c>
      <c r="D51" s="5"/>
      <c r="E51">
        <v>0</v>
      </c>
      <c r="F51">
        <v>1</v>
      </c>
      <c r="G51">
        <v>17</v>
      </c>
      <c r="H51">
        <v>31</v>
      </c>
      <c r="I51">
        <v>5</v>
      </c>
      <c r="J51">
        <v>12</v>
      </c>
      <c r="K51">
        <v>0</v>
      </c>
    </row>
    <row r="52" spans="1:28" x14ac:dyDescent="0.25">
      <c r="A52">
        <f t="shared" ref="A52:A81" si="49">A51+1</f>
        <v>2</v>
      </c>
      <c r="B52" t="s">
        <v>9</v>
      </c>
      <c r="D52" s="5"/>
      <c r="E52" t="s">
        <v>46</v>
      </c>
      <c r="F52" t="str">
        <f>VLOOKUP(F51,$A$50:$B$83,2,FALSE)</f>
        <v>AB1</v>
      </c>
      <c r="G52" t="str">
        <f t="shared" ref="G52:I52" si="50">VLOOKUP(G51,$A$50:$B$83,2,FALSE)</f>
        <v>BA3</v>
      </c>
      <c r="H52" t="str">
        <f t="shared" si="50"/>
        <v>CS1</v>
      </c>
      <c r="I52" t="str">
        <f t="shared" si="50"/>
        <v>AB5</v>
      </c>
      <c r="J52" t="str">
        <f t="shared" ref="J52" si="51">VLOOKUP(J51,$A$50:$B$83,2,FALSE)</f>
        <v>AC4</v>
      </c>
      <c r="K52" t="str">
        <f t="shared" ref="K52" si="52">VLOOKUP(K51,$A$50:$B$83,2,FALSE)</f>
        <v>DEPOT</v>
      </c>
    </row>
    <row r="53" spans="1:28" x14ac:dyDescent="0.25">
      <c r="A53">
        <f t="shared" si="49"/>
        <v>3</v>
      </c>
      <c r="B53" s="4" t="s">
        <v>10</v>
      </c>
      <c r="G53">
        <v>25</v>
      </c>
      <c r="I53">
        <v>125</v>
      </c>
      <c r="J53">
        <v>40</v>
      </c>
      <c r="O53">
        <f>SUM(F53:M53)</f>
        <v>190</v>
      </c>
      <c r="Q53" t="s">
        <v>73</v>
      </c>
      <c r="R53" t="s">
        <v>49</v>
      </c>
    </row>
    <row r="54" spans="1:28" x14ac:dyDescent="0.25">
      <c r="A54">
        <f t="shared" si="49"/>
        <v>4</v>
      </c>
      <c r="B54" t="s">
        <v>11</v>
      </c>
      <c r="D54" s="6"/>
      <c r="E54">
        <v>0</v>
      </c>
      <c r="F54">
        <v>16</v>
      </c>
      <c r="G54">
        <v>25</v>
      </c>
      <c r="H54">
        <v>33</v>
      </c>
      <c r="I54">
        <v>21</v>
      </c>
      <c r="J54">
        <v>0</v>
      </c>
      <c r="Q54" s="5"/>
      <c r="R54">
        <v>0</v>
      </c>
      <c r="S54">
        <v>1</v>
      </c>
      <c r="T54">
        <v>31</v>
      </c>
      <c r="U54">
        <v>30</v>
      </c>
      <c r="V54">
        <v>31</v>
      </c>
      <c r="W54">
        <v>12</v>
      </c>
      <c r="X54">
        <v>0</v>
      </c>
    </row>
    <row r="55" spans="1:28" x14ac:dyDescent="0.25">
      <c r="A55">
        <f t="shared" si="49"/>
        <v>5</v>
      </c>
      <c r="B55" t="s">
        <v>12</v>
      </c>
      <c r="D55" s="6"/>
      <c r="E55" t="str">
        <f>VLOOKUP(E54,$A$50:$B$83,2,FALSE)</f>
        <v>DEPOT</v>
      </c>
      <c r="F55" t="str">
        <f t="shared" ref="F55:H55" si="53">VLOOKUP(F54,$A$50:$B$83,2,FALSE)</f>
        <v>BA2</v>
      </c>
      <c r="G55" t="str">
        <f t="shared" si="53"/>
        <v>CA3</v>
      </c>
      <c r="H55" t="str">
        <f t="shared" si="53"/>
        <v>CS3</v>
      </c>
      <c r="I55" t="str">
        <f t="shared" ref="I55" si="54">VLOOKUP(I54,$A$50:$B$83,2,FALSE)</f>
        <v>BA7</v>
      </c>
      <c r="J55" t="str">
        <f t="shared" ref="J55" si="55">VLOOKUP(J54,$A$50:$B$83,2,FALSE)</f>
        <v>DEPOT</v>
      </c>
      <c r="Q55" s="5"/>
      <c r="R55" t="s">
        <v>46</v>
      </c>
      <c r="S55" t="str">
        <f>VLOOKUP(S54,$A$50:$B$83,2,FALSE)</f>
        <v>AB1</v>
      </c>
      <c r="T55" t="str">
        <f t="shared" ref="T55" si="56">VLOOKUP(T54,$A$50:$B$83,2,FALSE)</f>
        <v>CS1</v>
      </c>
      <c r="U55" t="str">
        <f t="shared" ref="U55" si="57">VLOOKUP(U54,$A$50:$B$83,2,FALSE)</f>
        <v>DC1</v>
      </c>
      <c r="V55" t="str">
        <f t="shared" ref="V55" si="58">VLOOKUP(V54,$A$50:$B$83,2,FALSE)</f>
        <v>CS1</v>
      </c>
      <c r="W55" t="str">
        <f t="shared" ref="W55" si="59">VLOOKUP(W54,$A$50:$B$83,2,FALSE)</f>
        <v>AC4</v>
      </c>
    </row>
    <row r="56" spans="1:28" x14ac:dyDescent="0.25">
      <c r="A56">
        <f t="shared" si="49"/>
        <v>6</v>
      </c>
      <c r="B56" t="s">
        <v>13</v>
      </c>
      <c r="G56">
        <v>95</v>
      </c>
      <c r="I56">
        <v>80</v>
      </c>
      <c r="O56">
        <f>SUM(E56:K56)</f>
        <v>175</v>
      </c>
      <c r="U56">
        <v>55</v>
      </c>
      <c r="W56">
        <v>15</v>
      </c>
      <c r="AB56">
        <f>SUM(S56:Z56)</f>
        <v>70</v>
      </c>
    </row>
    <row r="57" spans="1:28" x14ac:dyDescent="0.25">
      <c r="A57">
        <f t="shared" si="49"/>
        <v>7</v>
      </c>
      <c r="B57" t="s">
        <v>14</v>
      </c>
      <c r="D57" s="7"/>
      <c r="E57">
        <v>0</v>
      </c>
      <c r="F57">
        <v>9</v>
      </c>
      <c r="G57">
        <v>33</v>
      </c>
      <c r="H57">
        <v>30</v>
      </c>
      <c r="I57">
        <v>22</v>
      </c>
      <c r="J57">
        <v>0</v>
      </c>
      <c r="Q57" s="6"/>
      <c r="R57">
        <v>0</v>
      </c>
      <c r="S57">
        <v>16</v>
      </c>
      <c r="T57">
        <v>31</v>
      </c>
      <c r="U57">
        <v>25</v>
      </c>
      <c r="V57">
        <v>6</v>
      </c>
      <c r="W57">
        <v>0</v>
      </c>
    </row>
    <row r="58" spans="1:28" x14ac:dyDescent="0.25">
      <c r="A58">
        <f>A57+1</f>
        <v>8</v>
      </c>
      <c r="B58" t="s">
        <v>15</v>
      </c>
      <c r="D58" s="7"/>
      <c r="E58" t="str">
        <f>VLOOKUP(E57,$A$50:$B$83,2,FALSE)</f>
        <v>DEPOT</v>
      </c>
      <c r="F58" t="str">
        <f t="shared" ref="F58:I58" si="60">VLOOKUP(F57,$A$50:$B$83,2,FALSE)</f>
        <v>AC1</v>
      </c>
      <c r="G58" t="str">
        <f t="shared" si="60"/>
        <v>CS3</v>
      </c>
      <c r="H58" t="str">
        <f t="shared" si="60"/>
        <v>DC1</v>
      </c>
      <c r="I58" t="str">
        <f t="shared" si="60"/>
        <v>BA8</v>
      </c>
      <c r="Q58" s="6"/>
      <c r="R58" t="str">
        <f>VLOOKUP(R57,$A$50:$B$83,2,FALSE)</f>
        <v>DEPOT</v>
      </c>
      <c r="S58" t="str">
        <f t="shared" ref="S58" si="61">VLOOKUP(S57,$A$50:$B$83,2,FALSE)</f>
        <v>BA2</v>
      </c>
      <c r="T58" t="str">
        <f t="shared" ref="T58" si="62">VLOOKUP(T57,$A$50:$B$83,2,FALSE)</f>
        <v>CS1</v>
      </c>
      <c r="U58" t="str">
        <f t="shared" ref="U58" si="63">VLOOKUP(U57,$A$50:$B$83,2,FALSE)</f>
        <v>CA3</v>
      </c>
      <c r="V58" t="str">
        <f t="shared" ref="V58" si="64">VLOOKUP(V57,$A$50:$B$83,2,FALSE)</f>
        <v>AB6</v>
      </c>
      <c r="W58" t="str">
        <f t="shared" ref="W58" si="65">VLOOKUP(W57,$A$50:$B$83,2,FALSE)</f>
        <v>DEPOT</v>
      </c>
    </row>
    <row r="59" spans="1:28" x14ac:dyDescent="0.25">
      <c r="A59">
        <f t="shared" si="49"/>
        <v>9</v>
      </c>
      <c r="B59" t="s">
        <v>18</v>
      </c>
      <c r="H59">
        <v>0</v>
      </c>
      <c r="I59">
        <v>0</v>
      </c>
      <c r="O59">
        <f>SUM(F59:M59)</f>
        <v>0</v>
      </c>
      <c r="U59">
        <v>35</v>
      </c>
      <c r="V59">
        <v>40</v>
      </c>
      <c r="AB59">
        <f>SUM(S59:Z59)</f>
        <v>75</v>
      </c>
    </row>
    <row r="60" spans="1:28" x14ac:dyDescent="0.25">
      <c r="A60">
        <f t="shared" si="49"/>
        <v>10</v>
      </c>
      <c r="B60" t="s">
        <v>20</v>
      </c>
      <c r="D60" s="8"/>
      <c r="E60">
        <v>0</v>
      </c>
      <c r="F60">
        <v>14</v>
      </c>
      <c r="G60">
        <v>29</v>
      </c>
      <c r="H60">
        <v>0</v>
      </c>
      <c r="Q60" s="7"/>
      <c r="R60">
        <v>0</v>
      </c>
      <c r="S60">
        <v>9</v>
      </c>
      <c r="T60">
        <v>17</v>
      </c>
      <c r="U60">
        <v>31</v>
      </c>
      <c r="V60">
        <v>26</v>
      </c>
      <c r="W60">
        <v>21</v>
      </c>
      <c r="X60">
        <v>0</v>
      </c>
    </row>
    <row r="61" spans="1:28" x14ac:dyDescent="0.25">
      <c r="A61">
        <f t="shared" si="49"/>
        <v>11</v>
      </c>
      <c r="B61" t="s">
        <v>21</v>
      </c>
      <c r="D61" s="8"/>
      <c r="E61" t="str">
        <f>VLOOKUP(E60,$A$50:$B$83,2,FALSE)</f>
        <v>DEPOT</v>
      </c>
      <c r="F61" t="str">
        <f t="shared" ref="F61:H61" si="66">VLOOKUP(F60,$A$50:$B$83,2,FALSE)</f>
        <v>AD1</v>
      </c>
      <c r="G61" t="str">
        <f t="shared" si="66"/>
        <v>DA1</v>
      </c>
      <c r="H61" t="str">
        <f t="shared" si="66"/>
        <v>DEPOT</v>
      </c>
      <c r="Q61" s="7"/>
      <c r="R61" t="str">
        <f>VLOOKUP(R60,$A$50:$B$83,2,FALSE)</f>
        <v>DEPOT</v>
      </c>
      <c r="S61" t="str">
        <f t="shared" ref="S61" si="67">VLOOKUP(S60,$A$50:$B$83,2,FALSE)</f>
        <v>AC1</v>
      </c>
      <c r="T61" t="str">
        <f t="shared" ref="T61" si="68">VLOOKUP(T60,$A$50:$B$83,2,FALSE)</f>
        <v>BA3</v>
      </c>
      <c r="U61" t="str">
        <f t="shared" ref="U61" si="69">VLOOKUP(U60,$A$50:$B$83,2,FALSE)</f>
        <v>CS1</v>
      </c>
      <c r="V61" t="str">
        <f t="shared" ref="V61" si="70">VLOOKUP(V60,$A$50:$B$83,2,FALSE)</f>
        <v>CA4</v>
      </c>
      <c r="W61" t="str">
        <f t="shared" ref="W61" si="71">VLOOKUP(W60,$A$50:$B$83,2,FALSE)</f>
        <v>BA7</v>
      </c>
      <c r="X61" t="str">
        <f t="shared" ref="X61" si="72">VLOOKUP(X60,$A$50:$B$83,2,FALSE)</f>
        <v>DEPOT</v>
      </c>
    </row>
    <row r="62" spans="1:28" x14ac:dyDescent="0.25">
      <c r="A62">
        <f t="shared" si="49"/>
        <v>12</v>
      </c>
      <c r="B62" t="s">
        <v>22</v>
      </c>
      <c r="G62">
        <v>0</v>
      </c>
      <c r="O62">
        <f>SUM(E62:K62)</f>
        <v>0</v>
      </c>
      <c r="T62">
        <v>25</v>
      </c>
      <c r="V62">
        <v>5</v>
      </c>
      <c r="W62">
        <v>20</v>
      </c>
      <c r="AB62">
        <f>SUM(S62:Z62)</f>
        <v>50</v>
      </c>
    </row>
    <row r="63" spans="1:28" x14ac:dyDescent="0.25">
      <c r="A63">
        <f t="shared" si="49"/>
        <v>13</v>
      </c>
      <c r="B63" t="s">
        <v>23</v>
      </c>
      <c r="D63" s="11"/>
      <c r="E63">
        <v>0</v>
      </c>
      <c r="F63">
        <v>23</v>
      </c>
      <c r="G63">
        <v>31</v>
      </c>
      <c r="H63">
        <v>18</v>
      </c>
      <c r="I63">
        <v>32</v>
      </c>
      <c r="J63">
        <v>6</v>
      </c>
      <c r="K63">
        <v>0</v>
      </c>
      <c r="Q63" s="8"/>
      <c r="R63">
        <v>0</v>
      </c>
      <c r="S63">
        <v>14</v>
      </c>
      <c r="T63">
        <v>11</v>
      </c>
      <c r="U63">
        <v>5</v>
      </c>
      <c r="V63">
        <v>0</v>
      </c>
    </row>
    <row r="64" spans="1:28" x14ac:dyDescent="0.25">
      <c r="A64">
        <f t="shared" si="49"/>
        <v>14</v>
      </c>
      <c r="B64" t="s">
        <v>24</v>
      </c>
      <c r="D64" s="11"/>
      <c r="E64" t="str">
        <f>VLOOKUP(E63,$A$50:$B$83,2,FALSE)</f>
        <v>DEPOT</v>
      </c>
      <c r="F64" t="str">
        <f t="shared" ref="F64" si="73">VLOOKUP(F63,$A$50:$B$83,2,FALSE)</f>
        <v>CA1</v>
      </c>
      <c r="G64" t="str">
        <f t="shared" ref="G64" si="74">VLOOKUP(G63,$A$50:$B$83,2,FALSE)</f>
        <v>CS1</v>
      </c>
      <c r="H64" t="str">
        <f t="shared" ref="H64" si="75">VLOOKUP(H63,$A$50:$B$83,2,FALSE)</f>
        <v>BA4</v>
      </c>
      <c r="I64" t="str">
        <f t="shared" ref="I64" si="76">VLOOKUP(I63,$A$50:$B$83,2,FALSE)</f>
        <v>CS2</v>
      </c>
      <c r="J64" t="str">
        <f t="shared" ref="J64" si="77">VLOOKUP(J63,$A$50:$B$83,2,FALSE)</f>
        <v>AB6</v>
      </c>
      <c r="K64" t="str">
        <f t="shared" ref="K64" si="78">VLOOKUP(K63,$A$50:$B$83,2,FALSE)</f>
        <v>DEPOT</v>
      </c>
      <c r="Q64" s="8"/>
      <c r="R64" t="str">
        <f>VLOOKUP(R63,$A$50:$B$83,2,FALSE)</f>
        <v>DEPOT</v>
      </c>
      <c r="S64" t="str">
        <f t="shared" ref="S64" si="79">VLOOKUP(S63,$A$50:$B$83,2,FALSE)</f>
        <v>AD1</v>
      </c>
      <c r="T64" t="str">
        <f t="shared" ref="T64" si="80">VLOOKUP(T63,$A$50:$B$83,2,FALSE)</f>
        <v>AC3</v>
      </c>
      <c r="U64" t="str">
        <f t="shared" ref="U64" si="81">VLOOKUP(U63,$A$50:$B$83,2,FALSE)</f>
        <v>AB5</v>
      </c>
      <c r="V64" t="str">
        <f t="shared" ref="V64" si="82">VLOOKUP(V63,$A$50:$B$83,2,FALSE)</f>
        <v>DEPOT</v>
      </c>
    </row>
    <row r="65" spans="1:28" x14ac:dyDescent="0.25">
      <c r="A65">
        <f t="shared" si="49"/>
        <v>15</v>
      </c>
      <c r="B65" s="4" t="s">
        <v>26</v>
      </c>
      <c r="H65">
        <v>100</v>
      </c>
      <c r="J65">
        <v>95</v>
      </c>
      <c r="O65">
        <f>SUM(E65:K65)</f>
        <v>195</v>
      </c>
      <c r="T65">
        <v>25</v>
      </c>
      <c r="U65">
        <v>45</v>
      </c>
      <c r="AB65">
        <f>SUM(S65:Z65)</f>
        <v>70</v>
      </c>
    </row>
    <row r="66" spans="1:28" x14ac:dyDescent="0.25">
      <c r="A66">
        <f t="shared" si="49"/>
        <v>16</v>
      </c>
      <c r="B66" t="s">
        <v>27</v>
      </c>
      <c r="D66" s="12"/>
      <c r="E66">
        <v>0</v>
      </c>
      <c r="F66">
        <v>28</v>
      </c>
      <c r="G66">
        <v>4</v>
      </c>
      <c r="H66">
        <v>7</v>
      </c>
      <c r="I66">
        <v>0</v>
      </c>
      <c r="Q66" s="11"/>
      <c r="R66">
        <v>0</v>
      </c>
      <c r="S66">
        <v>23</v>
      </c>
      <c r="T66">
        <v>31</v>
      </c>
      <c r="U66">
        <v>18</v>
      </c>
      <c r="V66">
        <v>20</v>
      </c>
      <c r="W66">
        <v>0</v>
      </c>
    </row>
    <row r="67" spans="1:28" x14ac:dyDescent="0.25">
      <c r="A67">
        <f t="shared" si="49"/>
        <v>17</v>
      </c>
      <c r="B67" t="s">
        <v>28</v>
      </c>
      <c r="D67" s="12"/>
      <c r="E67" t="str">
        <f>VLOOKUP(E66,$A$50:$B$83,2,FALSE)</f>
        <v>DEPOT</v>
      </c>
      <c r="F67" t="str">
        <f t="shared" ref="F67" si="83">VLOOKUP(F66,$A$50:$B$83,2,FALSE)</f>
        <v>CD1</v>
      </c>
      <c r="G67" t="str">
        <f t="shared" ref="G67" si="84">VLOOKUP(G66,$A$50:$B$83,2,FALSE)</f>
        <v>AB4</v>
      </c>
      <c r="H67" t="str">
        <f t="shared" ref="H67" si="85">VLOOKUP(H66,$A$50:$B$83,2,FALSE)</f>
        <v>AB7</v>
      </c>
      <c r="I67" t="str">
        <f t="shared" ref="I67" si="86">VLOOKUP(I66,$A$50:$B$83,2,FALSE)</f>
        <v>DEPOT</v>
      </c>
      <c r="Q67" s="11"/>
      <c r="R67" t="str">
        <f>VLOOKUP(R66,$A$50:$B$83,2,FALSE)</f>
        <v>DEPOT</v>
      </c>
      <c r="S67" t="str">
        <f t="shared" ref="S67" si="87">VLOOKUP(S66,$A$50:$B$83,2,FALSE)</f>
        <v>CA1</v>
      </c>
      <c r="T67" t="str">
        <f t="shared" ref="T67" si="88">VLOOKUP(T66,$A$50:$B$83,2,FALSE)</f>
        <v>CS1</v>
      </c>
      <c r="U67" t="str">
        <f t="shared" ref="U67" si="89">VLOOKUP(U66,$A$50:$B$83,2,FALSE)</f>
        <v>BA4</v>
      </c>
      <c r="V67" t="str">
        <f t="shared" ref="V67" si="90">VLOOKUP(V66,$A$50:$B$83,2,FALSE)</f>
        <v>BA6</v>
      </c>
      <c r="W67" t="str">
        <f t="shared" ref="W67" si="91">VLOOKUP(W66,$A$50:$B$83,2,FALSE)</f>
        <v>DEPOT</v>
      </c>
    </row>
    <row r="68" spans="1:28" x14ac:dyDescent="0.25">
      <c r="A68">
        <f t="shared" si="49"/>
        <v>18</v>
      </c>
      <c r="B68" t="s">
        <v>29</v>
      </c>
      <c r="G68">
        <v>0</v>
      </c>
      <c r="H68">
        <v>45</v>
      </c>
      <c r="O68">
        <f>SUM(E68:K68)</f>
        <v>45</v>
      </c>
      <c r="U68">
        <v>40</v>
      </c>
      <c r="V68">
        <v>45</v>
      </c>
      <c r="AB68">
        <f t="shared" ref="AB68" si="92">SUM(S68:Z68)</f>
        <v>85</v>
      </c>
    </row>
    <row r="69" spans="1:28" x14ac:dyDescent="0.25">
      <c r="A69">
        <f t="shared" si="49"/>
        <v>19</v>
      </c>
      <c r="B69" t="s">
        <v>30</v>
      </c>
      <c r="D69" s="14"/>
      <c r="E69">
        <v>0</v>
      </c>
      <c r="F69">
        <v>10</v>
      </c>
      <c r="G69">
        <v>3</v>
      </c>
      <c r="H69">
        <v>31</v>
      </c>
      <c r="I69">
        <v>27</v>
      </c>
      <c r="J69">
        <v>13</v>
      </c>
      <c r="K69">
        <v>0</v>
      </c>
      <c r="Q69" s="12"/>
      <c r="R69">
        <v>0</v>
      </c>
      <c r="S69">
        <v>28</v>
      </c>
      <c r="T69">
        <v>24</v>
      </c>
      <c r="U69">
        <v>19</v>
      </c>
      <c r="V69">
        <v>31</v>
      </c>
      <c r="W69">
        <v>7</v>
      </c>
      <c r="X69">
        <v>0</v>
      </c>
    </row>
    <row r="70" spans="1:28" x14ac:dyDescent="0.25">
      <c r="A70">
        <f t="shared" si="49"/>
        <v>20</v>
      </c>
      <c r="B70" t="s">
        <v>31</v>
      </c>
      <c r="D70" s="14"/>
      <c r="E70" t="str">
        <f>VLOOKUP(E69,$A$50:$B$83,2,FALSE)</f>
        <v>DEPOT</v>
      </c>
      <c r="F70" t="str">
        <f t="shared" ref="F70" si="93">VLOOKUP(F69,$A$50:$B$83,2,FALSE)</f>
        <v>AC2</v>
      </c>
      <c r="G70" t="str">
        <f t="shared" ref="G70" si="94">VLOOKUP(G69,$A$50:$B$83,2,FALSE)</f>
        <v>AB3</v>
      </c>
      <c r="H70" t="str">
        <f t="shared" ref="H70" si="95">VLOOKUP(H69,$A$50:$B$83,2,FALSE)</f>
        <v>CS1</v>
      </c>
      <c r="I70" t="str">
        <f t="shared" ref="I70" si="96">VLOOKUP(I69,$A$50:$B$83,2,FALSE)</f>
        <v>CA5</v>
      </c>
      <c r="J70" t="str">
        <f t="shared" ref="J70" si="97">VLOOKUP(J69,$A$50:$B$83,2,FALSE)</f>
        <v>AC5</v>
      </c>
      <c r="K70" t="str">
        <f t="shared" ref="K70" si="98">VLOOKUP(K69,$A$50:$B$83,2,FALSE)</f>
        <v>DEPOT</v>
      </c>
      <c r="Q70" s="12"/>
      <c r="R70" t="str">
        <f>VLOOKUP(R69,$A$50:$B$83,2,FALSE)</f>
        <v>DEPOT</v>
      </c>
      <c r="S70" t="str">
        <f t="shared" ref="S70" si="99">VLOOKUP(S69,$A$50:$B$83,2,FALSE)</f>
        <v>CD1</v>
      </c>
      <c r="T70" t="str">
        <f t="shared" ref="T70" si="100">VLOOKUP(T69,$A$50:$B$83,2,FALSE)</f>
        <v>CA2</v>
      </c>
      <c r="U70" t="str">
        <f t="shared" ref="U70" si="101">VLOOKUP(U69,$A$50:$B$83,2,FALSE)</f>
        <v>BA5</v>
      </c>
      <c r="V70" t="str">
        <f t="shared" ref="V70" si="102">VLOOKUP(V69,$A$50:$B$83,2,FALSE)</f>
        <v>CS1</v>
      </c>
      <c r="W70" t="str">
        <f t="shared" ref="W70" si="103">VLOOKUP(W69,$A$50:$B$83,2,FALSE)</f>
        <v>AB7</v>
      </c>
      <c r="X70" t="str">
        <f t="shared" ref="X70" si="104">VLOOKUP(X69,$A$50:$B$83,2,FALSE)</f>
        <v>DEPOT</v>
      </c>
    </row>
    <row r="71" spans="1:28" x14ac:dyDescent="0.25">
      <c r="A71">
        <f t="shared" si="49"/>
        <v>21</v>
      </c>
      <c r="B71" t="s">
        <v>32</v>
      </c>
      <c r="G71">
        <v>15</v>
      </c>
      <c r="I71">
        <v>75</v>
      </c>
      <c r="J71">
        <v>35</v>
      </c>
      <c r="O71">
        <f>SUM(E71:K71)</f>
        <v>125</v>
      </c>
      <c r="T71">
        <v>20</v>
      </c>
      <c r="U71">
        <v>20</v>
      </c>
      <c r="W71">
        <v>55</v>
      </c>
      <c r="AB71">
        <f t="shared" ref="AB71" si="105">SUM(S71:Z71)</f>
        <v>95</v>
      </c>
    </row>
    <row r="72" spans="1:28" x14ac:dyDescent="0.25">
      <c r="A72">
        <f t="shared" si="49"/>
        <v>22</v>
      </c>
      <c r="B72" t="s">
        <v>33</v>
      </c>
      <c r="D72" s="17"/>
      <c r="E72">
        <v>0</v>
      </c>
      <c r="F72">
        <v>15</v>
      </c>
      <c r="G72">
        <v>31</v>
      </c>
      <c r="H72">
        <v>2</v>
      </c>
      <c r="I72">
        <v>26</v>
      </c>
      <c r="J72">
        <v>0</v>
      </c>
      <c r="Q72" s="14"/>
      <c r="R72">
        <v>0</v>
      </c>
      <c r="S72">
        <v>8</v>
      </c>
      <c r="T72">
        <v>0</v>
      </c>
    </row>
    <row r="73" spans="1:28" x14ac:dyDescent="0.25">
      <c r="A73">
        <f t="shared" si="49"/>
        <v>23</v>
      </c>
      <c r="B73" t="s">
        <v>34</v>
      </c>
      <c r="D73" s="17"/>
      <c r="E73" t="str">
        <f>VLOOKUP(E72,$A$50:$B$83,2,FALSE)</f>
        <v>DEPOT</v>
      </c>
      <c r="F73" t="str">
        <f t="shared" ref="F73" si="106">VLOOKUP(F72,$A$50:$B$83,2,FALSE)</f>
        <v>BA1</v>
      </c>
      <c r="G73" t="str">
        <f t="shared" ref="G73" si="107">VLOOKUP(G72,$A$50:$B$83,2,FALSE)</f>
        <v>CS1</v>
      </c>
      <c r="H73" t="str">
        <f t="shared" ref="H73" si="108">VLOOKUP(H72,$A$50:$B$83,2,FALSE)</f>
        <v>AB2</v>
      </c>
      <c r="I73" t="str">
        <f t="shared" ref="I73:J73" si="109">VLOOKUP(I72,$A$50:$B$83,2,FALSE)</f>
        <v>CA4</v>
      </c>
      <c r="J73" t="str">
        <f t="shared" si="109"/>
        <v>DEPOT</v>
      </c>
      <c r="Q73" s="14"/>
      <c r="R73" t="str">
        <f>VLOOKUP(R72,$A$50:$B$83,2,FALSE)</f>
        <v>DEPOT</v>
      </c>
      <c r="S73" t="str">
        <f t="shared" ref="S73" si="110">VLOOKUP(S72,$A$50:$B$83,2,FALSE)</f>
        <v>AB8</v>
      </c>
      <c r="T73" t="str">
        <f t="shared" ref="T73" si="111">VLOOKUP(T72,$A$50:$B$83,2,FALSE)</f>
        <v>DEPOT</v>
      </c>
    </row>
    <row r="74" spans="1:28" x14ac:dyDescent="0.25">
      <c r="A74">
        <f>A73+1</f>
        <v>24</v>
      </c>
      <c r="B74" t="s">
        <v>35</v>
      </c>
      <c r="H74">
        <v>65</v>
      </c>
      <c r="I74">
        <v>45</v>
      </c>
      <c r="O74">
        <f>SUM(E74:K74)</f>
        <v>110</v>
      </c>
      <c r="T74">
        <v>0</v>
      </c>
      <c r="AB74">
        <f t="shared" ref="AB74" si="112">SUM(S74:Z74)</f>
        <v>0</v>
      </c>
    </row>
    <row r="75" spans="1:28" x14ac:dyDescent="0.25">
      <c r="A75">
        <f t="shared" si="49"/>
        <v>25</v>
      </c>
      <c r="B75" t="s">
        <v>36</v>
      </c>
      <c r="D75" s="13"/>
      <c r="E75">
        <v>0</v>
      </c>
      <c r="F75">
        <v>11</v>
      </c>
      <c r="G75">
        <v>20</v>
      </c>
      <c r="H75">
        <v>31</v>
      </c>
      <c r="I75">
        <v>8</v>
      </c>
      <c r="J75">
        <v>0</v>
      </c>
      <c r="Q75" s="17"/>
      <c r="R75">
        <v>0</v>
      </c>
      <c r="S75">
        <v>15</v>
      </c>
      <c r="T75">
        <v>31</v>
      </c>
      <c r="U75">
        <v>2</v>
      </c>
      <c r="V75">
        <v>4</v>
      </c>
      <c r="W75">
        <v>0</v>
      </c>
    </row>
    <row r="76" spans="1:28" x14ac:dyDescent="0.25">
      <c r="A76">
        <f t="shared" si="49"/>
        <v>26</v>
      </c>
      <c r="B76" t="s">
        <v>37</v>
      </c>
      <c r="D76" s="13"/>
      <c r="E76" t="str">
        <f>VLOOKUP(E75,$A$50:$B$83,2,FALSE)</f>
        <v>DEPOT</v>
      </c>
      <c r="F76" t="str">
        <f t="shared" ref="F76" si="113">VLOOKUP(F75,$A$50:$B$83,2,FALSE)</f>
        <v>AC3</v>
      </c>
      <c r="G76" t="str">
        <f t="shared" ref="G76" si="114">VLOOKUP(G75,$A$50:$B$83,2,FALSE)</f>
        <v>BA6</v>
      </c>
      <c r="H76" t="str">
        <f t="shared" ref="H76" si="115">VLOOKUP(H75,$A$50:$B$83,2,FALSE)</f>
        <v>CS1</v>
      </c>
      <c r="I76" t="str">
        <f t="shared" ref="I76" si="116">VLOOKUP(I75,$A$50:$B$83,2,FALSE)</f>
        <v>AB8</v>
      </c>
      <c r="J76" t="str">
        <f t="shared" ref="J76" si="117">VLOOKUP(J75,$A$50:$B$83,2,FALSE)</f>
        <v>DEPOT</v>
      </c>
      <c r="Q76" s="17"/>
      <c r="R76" t="str">
        <f>VLOOKUP(R75,$A$50:$B$83,2,FALSE)</f>
        <v>DEPOT</v>
      </c>
      <c r="S76" t="str">
        <f t="shared" ref="S76" si="118">VLOOKUP(S75,$A$50:$B$83,2,FALSE)</f>
        <v>BA1</v>
      </c>
      <c r="T76" t="str">
        <f t="shared" ref="T76" si="119">VLOOKUP(T75,$A$50:$B$83,2,FALSE)</f>
        <v>CS1</v>
      </c>
      <c r="U76" t="str">
        <f t="shared" ref="U76" si="120">VLOOKUP(U75,$A$50:$B$83,2,FALSE)</f>
        <v>AB2</v>
      </c>
      <c r="V76" t="str">
        <f t="shared" ref="V76" si="121">VLOOKUP(V75,$A$50:$B$83,2,FALSE)</f>
        <v>AB4</v>
      </c>
      <c r="W76" t="str">
        <f t="shared" ref="W76" si="122">VLOOKUP(W75,$A$50:$B$83,2,FALSE)</f>
        <v>DEPOT</v>
      </c>
    </row>
    <row r="77" spans="1:28" x14ac:dyDescent="0.25">
      <c r="A77">
        <f t="shared" si="49"/>
        <v>27</v>
      </c>
      <c r="B77" t="s">
        <v>38</v>
      </c>
      <c r="G77">
        <v>55</v>
      </c>
      <c r="I77">
        <v>65</v>
      </c>
      <c r="O77">
        <f>SUM(E77:K77)</f>
        <v>120</v>
      </c>
      <c r="U77">
        <v>55</v>
      </c>
      <c r="V77">
        <v>45</v>
      </c>
      <c r="AB77">
        <f>SUM(S77:Z77)</f>
        <v>100</v>
      </c>
    </row>
    <row r="78" spans="1:28" x14ac:dyDescent="0.25">
      <c r="A78">
        <f t="shared" si="49"/>
        <v>28</v>
      </c>
      <c r="B78" t="s">
        <v>39</v>
      </c>
      <c r="D78" s="18"/>
      <c r="E78">
        <v>0</v>
      </c>
      <c r="F78">
        <v>24</v>
      </c>
      <c r="G78">
        <v>19</v>
      </c>
      <c r="H78">
        <v>0</v>
      </c>
      <c r="Q78" s="13"/>
      <c r="R78">
        <v>0</v>
      </c>
      <c r="S78">
        <v>29</v>
      </c>
      <c r="T78">
        <v>31</v>
      </c>
      <c r="U78">
        <v>22</v>
      </c>
      <c r="V78">
        <v>0</v>
      </c>
    </row>
    <row r="79" spans="1:28" x14ac:dyDescent="0.25">
      <c r="A79">
        <f t="shared" si="49"/>
        <v>29</v>
      </c>
      <c r="B79" t="s">
        <v>40</v>
      </c>
      <c r="D79" s="18"/>
      <c r="E79" t="str">
        <f>VLOOKUP(E78,$A$50:$B$83,2,FALSE)</f>
        <v>DEPOT</v>
      </c>
      <c r="F79" t="str">
        <f t="shared" ref="F79" si="123">VLOOKUP(F78,$A$50:$B$83,2,FALSE)</f>
        <v>CA2</v>
      </c>
      <c r="G79" t="str">
        <f t="shared" ref="G79" si="124">VLOOKUP(G78,$A$50:$B$83,2,FALSE)</f>
        <v>BA5</v>
      </c>
      <c r="H79" t="str">
        <f t="shared" ref="H79" si="125">VLOOKUP(H78,$A$50:$B$83,2,FALSE)</f>
        <v>DEPOT</v>
      </c>
      <c r="Q79" s="13"/>
      <c r="R79" t="str">
        <f>VLOOKUP(R78,$A$50:$B$83,2,FALSE)</f>
        <v>DEPOT</v>
      </c>
      <c r="S79" t="str">
        <f t="shared" ref="S79" si="126">VLOOKUP(S78,$A$50:$B$83,2,FALSE)</f>
        <v>DA1</v>
      </c>
      <c r="T79" t="str">
        <f t="shared" ref="T79" si="127">VLOOKUP(T78,$A$50:$B$83,2,FALSE)</f>
        <v>CS1</v>
      </c>
      <c r="U79" t="str">
        <f t="shared" ref="U79" si="128">VLOOKUP(U78,$A$50:$B$83,2,FALSE)</f>
        <v>BA8</v>
      </c>
      <c r="V79" t="str">
        <f t="shared" ref="V79" si="129">VLOOKUP(V78,$A$50:$B$83,2,FALSE)</f>
        <v>DEPOT</v>
      </c>
    </row>
    <row r="80" spans="1:28" x14ac:dyDescent="0.25">
      <c r="A80">
        <f t="shared" si="49"/>
        <v>30</v>
      </c>
      <c r="B80" t="s">
        <v>41</v>
      </c>
      <c r="G80">
        <v>20</v>
      </c>
      <c r="O80">
        <f>SUM(E80:K80)</f>
        <v>20</v>
      </c>
      <c r="U80">
        <v>10</v>
      </c>
      <c r="AB80">
        <f t="shared" ref="AB80" si="130">SUM(S80:Z80)</f>
        <v>10</v>
      </c>
    </row>
    <row r="81" spans="1:28" x14ac:dyDescent="0.25">
      <c r="A81">
        <f t="shared" si="49"/>
        <v>31</v>
      </c>
      <c r="B81" t="s">
        <v>48</v>
      </c>
      <c r="O81">
        <f>SUM(O51:O80)</f>
        <v>980</v>
      </c>
      <c r="Q81" s="18"/>
      <c r="R81">
        <v>0</v>
      </c>
      <c r="S81">
        <v>10</v>
      </c>
      <c r="T81">
        <v>3</v>
      </c>
      <c r="U81">
        <v>31</v>
      </c>
      <c r="V81">
        <v>27</v>
      </c>
      <c r="W81">
        <v>13</v>
      </c>
      <c r="X81">
        <v>0</v>
      </c>
    </row>
    <row r="82" spans="1:28" x14ac:dyDescent="0.25">
      <c r="A82">
        <v>32</v>
      </c>
      <c r="B82" t="s">
        <v>57</v>
      </c>
      <c r="K82">
        <v>10</v>
      </c>
      <c r="M82">
        <f>O81/test!K8</f>
        <v>0.7232472324723247</v>
      </c>
      <c r="Q82" s="18"/>
      <c r="R82" t="str">
        <f>VLOOKUP(R81,$A$50:$B$83,2,FALSE)</f>
        <v>DEPOT</v>
      </c>
      <c r="S82" t="str">
        <f t="shared" ref="S82" si="131">VLOOKUP(S81,$A$50:$B$83,2,FALSE)</f>
        <v>AC2</v>
      </c>
      <c r="T82" t="str">
        <f t="shared" ref="T82" si="132">VLOOKUP(T81,$A$50:$B$83,2,FALSE)</f>
        <v>AB3</v>
      </c>
      <c r="U82" t="str">
        <f t="shared" ref="U82" si="133">VLOOKUP(U81,$A$50:$B$83,2,FALSE)</f>
        <v>CS1</v>
      </c>
      <c r="V82" t="str">
        <f t="shared" ref="V82" si="134">VLOOKUP(V81,$A$50:$B$83,2,FALSE)</f>
        <v>CA5</v>
      </c>
      <c r="W82" t="str">
        <f t="shared" ref="W82" si="135">VLOOKUP(W81,$A$50:$B$83,2,FALSE)</f>
        <v>AC5</v>
      </c>
      <c r="X82" t="str">
        <f t="shared" ref="X82" si="136">VLOOKUP(X81,$A$50:$B$83,2,FALSE)</f>
        <v>DEPOT</v>
      </c>
    </row>
    <row r="83" spans="1:28" x14ac:dyDescent="0.25">
      <c r="A83">
        <v>33</v>
      </c>
      <c r="B83" t="s">
        <v>58</v>
      </c>
      <c r="K83">
        <f>K82+M82</f>
        <v>10.723247232472325</v>
      </c>
      <c r="T83">
        <v>15</v>
      </c>
      <c r="V83">
        <v>15</v>
      </c>
      <c r="W83">
        <v>35</v>
      </c>
      <c r="AB83">
        <f>SUM(R83:AA83)</f>
        <v>65</v>
      </c>
    </row>
    <row r="84" spans="1:28" x14ac:dyDescent="0.25">
      <c r="AB84">
        <f>SUM(AB56:AB83)</f>
        <v>620</v>
      </c>
    </row>
    <row r="85" spans="1:28" x14ac:dyDescent="0.25">
      <c r="X85">
        <f>COUNT(AB53:AB83)</f>
        <v>10</v>
      </c>
      <c r="Z85">
        <f>AB84/test!K8</f>
        <v>0.45756457564575648</v>
      </c>
    </row>
    <row r="86" spans="1:28" x14ac:dyDescent="0.25">
      <c r="X86">
        <f>X85+Z85</f>
        <v>10.457564575645756</v>
      </c>
    </row>
    <row r="92" spans="1:28" x14ac:dyDescent="0.25">
      <c r="D92" t="s">
        <v>83</v>
      </c>
      <c r="E92" t="s">
        <v>49</v>
      </c>
      <c r="Q92" t="s">
        <v>83</v>
      </c>
      <c r="R92" t="s">
        <v>49</v>
      </c>
    </row>
    <row r="93" spans="1:28" x14ac:dyDescent="0.25">
      <c r="D93" s="5"/>
      <c r="E93">
        <v>0</v>
      </c>
      <c r="F93">
        <v>1</v>
      </c>
      <c r="G93">
        <v>17</v>
      </c>
      <c r="H93">
        <v>31</v>
      </c>
      <c r="I93">
        <v>26</v>
      </c>
      <c r="J93">
        <v>21</v>
      </c>
      <c r="K93">
        <v>0</v>
      </c>
      <c r="Q93" s="5"/>
      <c r="R93">
        <v>0</v>
      </c>
      <c r="S93">
        <v>1</v>
      </c>
      <c r="T93">
        <v>31</v>
      </c>
      <c r="U93">
        <v>18</v>
      </c>
      <c r="V93">
        <v>5</v>
      </c>
      <c r="W93">
        <v>0</v>
      </c>
    </row>
    <row r="94" spans="1:28" x14ac:dyDescent="0.25">
      <c r="D94" s="5"/>
      <c r="E94" t="s">
        <v>46</v>
      </c>
      <c r="F94" t="str">
        <f>VLOOKUP(F93,$A$50:$B$83,2,FALSE)</f>
        <v>AB1</v>
      </c>
      <c r="G94" t="str">
        <f t="shared" ref="G94" si="137">VLOOKUP(G93,$A$50:$B$83,2,FALSE)</f>
        <v>BA3</v>
      </c>
      <c r="H94" t="str">
        <f t="shared" ref="H94" si="138">VLOOKUP(H93,$A$50:$B$83,2,FALSE)</f>
        <v>CS1</v>
      </c>
      <c r="I94" t="str">
        <f t="shared" ref="I94" si="139">VLOOKUP(I93,$A$50:$B$83,2,FALSE)</f>
        <v>CA4</v>
      </c>
      <c r="J94" t="str">
        <f t="shared" ref="J94" si="140">VLOOKUP(J93,$A$50:$B$83,2,FALSE)</f>
        <v>BA7</v>
      </c>
      <c r="K94" t="str">
        <f t="shared" ref="K94" si="141">VLOOKUP(K93,$A$50:$B$83,2,FALSE)</f>
        <v>DEPOT</v>
      </c>
      <c r="Q94" s="5"/>
      <c r="R94" t="s">
        <v>46</v>
      </c>
      <c r="S94" t="str">
        <f>VLOOKUP(S93,$A$50:$B$83,2,FALSE)</f>
        <v>AB1</v>
      </c>
      <c r="T94" t="str">
        <f t="shared" ref="T94" si="142">VLOOKUP(T93,$A$50:$B$83,2,FALSE)</f>
        <v>CS1</v>
      </c>
      <c r="U94" t="str">
        <f t="shared" ref="U94" si="143">VLOOKUP(U93,$A$50:$B$83,2,FALSE)</f>
        <v>BA4</v>
      </c>
      <c r="V94" t="str">
        <f t="shared" ref="V94" si="144">VLOOKUP(V93,$A$50:$B$83,2,FALSE)</f>
        <v>AB5</v>
      </c>
      <c r="W94" t="str">
        <f t="shared" ref="W94" si="145">VLOOKUP(W93,$A$50:$B$83,2,FALSE)</f>
        <v>DEPOT</v>
      </c>
    </row>
    <row r="95" spans="1:28" x14ac:dyDescent="0.25">
      <c r="G95">
        <v>25</v>
      </c>
      <c r="I95">
        <v>65</v>
      </c>
      <c r="J95">
        <v>20</v>
      </c>
      <c r="O95">
        <f>SUM(F95:M95)</f>
        <v>110</v>
      </c>
      <c r="U95">
        <v>55</v>
      </c>
      <c r="V95">
        <v>35</v>
      </c>
      <c r="AB95">
        <f>SUM(S95:Z95)</f>
        <v>90</v>
      </c>
    </row>
    <row r="96" spans="1:28" x14ac:dyDescent="0.25">
      <c r="D96" s="6"/>
      <c r="E96">
        <v>0</v>
      </c>
      <c r="F96">
        <v>16</v>
      </c>
      <c r="G96">
        <v>11</v>
      </c>
      <c r="H96">
        <v>0</v>
      </c>
      <c r="Q96" s="6"/>
      <c r="R96">
        <v>0</v>
      </c>
      <c r="S96">
        <v>16</v>
      </c>
      <c r="T96">
        <v>11</v>
      </c>
      <c r="U96">
        <v>0</v>
      </c>
    </row>
    <row r="97" spans="4:28" x14ac:dyDescent="0.25">
      <c r="D97" s="6"/>
      <c r="E97" t="str">
        <f>VLOOKUP(E96,$A$50:$B$83,2,FALSE)</f>
        <v>DEPOT</v>
      </c>
      <c r="F97" t="str">
        <f t="shared" ref="F97" si="146">VLOOKUP(F96,$A$50:$B$83,2,FALSE)</f>
        <v>BA2</v>
      </c>
      <c r="G97" t="str">
        <f t="shared" ref="G97" si="147">VLOOKUP(G96,$A$50:$B$83,2,FALSE)</f>
        <v>AC3</v>
      </c>
      <c r="H97" t="str">
        <f t="shared" ref="H97" si="148">VLOOKUP(H96,$A$50:$B$83,2,FALSE)</f>
        <v>DEPOT</v>
      </c>
      <c r="Q97" s="6"/>
      <c r="R97" t="str">
        <f>VLOOKUP(R96,$A$50:$B$83,2,FALSE)</f>
        <v>DEPOT</v>
      </c>
      <c r="S97" t="str">
        <f t="shared" ref="S97" si="149">VLOOKUP(S96,$A$50:$B$83,2,FALSE)</f>
        <v>BA2</v>
      </c>
      <c r="T97" t="str">
        <f t="shared" ref="T97" si="150">VLOOKUP(T96,$A$50:$B$83,2,FALSE)</f>
        <v>AC3</v>
      </c>
      <c r="U97" t="str">
        <f t="shared" ref="U97" si="151">VLOOKUP(U96,$A$50:$B$83,2,FALSE)</f>
        <v>DEPOT</v>
      </c>
    </row>
    <row r="98" spans="4:28" x14ac:dyDescent="0.25">
      <c r="G98">
        <v>30</v>
      </c>
      <c r="O98">
        <f t="shared" ref="O98:O119" si="152">SUM(F98:M98)</f>
        <v>30</v>
      </c>
      <c r="T98">
        <v>30</v>
      </c>
      <c r="AB98">
        <f>SUM(S98:Z98)</f>
        <v>30</v>
      </c>
    </row>
    <row r="99" spans="4:28" x14ac:dyDescent="0.25">
      <c r="D99" s="7"/>
      <c r="E99">
        <v>0</v>
      </c>
      <c r="F99">
        <v>9</v>
      </c>
      <c r="G99">
        <v>31</v>
      </c>
      <c r="H99">
        <v>30</v>
      </c>
      <c r="I99">
        <v>31</v>
      </c>
      <c r="J99">
        <v>12</v>
      </c>
      <c r="K99">
        <v>0</v>
      </c>
      <c r="Q99" s="7"/>
      <c r="R99">
        <v>0</v>
      </c>
      <c r="S99">
        <v>9</v>
      </c>
      <c r="T99">
        <v>17</v>
      </c>
      <c r="U99">
        <v>31</v>
      </c>
      <c r="V99">
        <v>26</v>
      </c>
      <c r="W99">
        <v>21</v>
      </c>
      <c r="X99">
        <v>0</v>
      </c>
    </row>
    <row r="100" spans="4:28" x14ac:dyDescent="0.25">
      <c r="D100" s="7"/>
      <c r="E100" t="str">
        <f>VLOOKUP(E99,$A$50:$B$83,2,FALSE)</f>
        <v>DEPOT</v>
      </c>
      <c r="F100" t="str">
        <f t="shared" ref="F100" si="153">VLOOKUP(F99,$A$50:$B$83,2,FALSE)</f>
        <v>AC1</v>
      </c>
      <c r="G100" t="str">
        <f t="shared" ref="G100" si="154">VLOOKUP(G99,$A$50:$B$83,2,FALSE)</f>
        <v>CS1</v>
      </c>
      <c r="H100" t="str">
        <f t="shared" ref="H100" si="155">VLOOKUP(H99,$A$50:$B$83,2,FALSE)</f>
        <v>DC1</v>
      </c>
      <c r="I100" t="str">
        <f t="shared" ref="I100" si="156">VLOOKUP(I99,$A$50:$B$83,2,FALSE)</f>
        <v>CS1</v>
      </c>
      <c r="J100" t="str">
        <f t="shared" ref="J100" si="157">VLOOKUP(J99,$A$50:$B$83,2,FALSE)</f>
        <v>AC4</v>
      </c>
      <c r="K100" t="str">
        <f t="shared" ref="K100" si="158">VLOOKUP(K99,$A$50:$B$83,2,FALSE)</f>
        <v>DEPOT</v>
      </c>
      <c r="Q100" s="7"/>
      <c r="R100" t="str">
        <f>VLOOKUP(R99,$A$50:$B$83,2,FALSE)</f>
        <v>DEPOT</v>
      </c>
      <c r="S100" t="str">
        <f t="shared" ref="S100" si="159">VLOOKUP(S99,$A$50:$B$83,2,FALSE)</f>
        <v>AC1</v>
      </c>
      <c r="T100" t="str">
        <f t="shared" ref="T100" si="160">VLOOKUP(T99,$A$50:$B$83,2,FALSE)</f>
        <v>BA3</v>
      </c>
      <c r="U100" t="str">
        <f t="shared" ref="U100" si="161">VLOOKUP(U99,$A$50:$B$83,2,FALSE)</f>
        <v>CS1</v>
      </c>
      <c r="V100" t="str">
        <f t="shared" ref="V100:X100" si="162">VLOOKUP(V99,$A$50:$B$83,2,FALSE)</f>
        <v>CA4</v>
      </c>
      <c r="W100" t="str">
        <f t="shared" si="162"/>
        <v>BA7</v>
      </c>
      <c r="X100" t="str">
        <f t="shared" si="162"/>
        <v>DEPOT</v>
      </c>
    </row>
    <row r="101" spans="4:28" x14ac:dyDescent="0.25">
      <c r="H101">
        <v>0</v>
      </c>
      <c r="J101">
        <v>0</v>
      </c>
      <c r="O101">
        <f t="shared" si="152"/>
        <v>0</v>
      </c>
      <c r="T101">
        <v>25</v>
      </c>
      <c r="V101">
        <v>5</v>
      </c>
      <c r="W101">
        <v>20</v>
      </c>
      <c r="AB101">
        <f>SUM(S101:Z101)</f>
        <v>50</v>
      </c>
    </row>
    <row r="102" spans="4:28" x14ac:dyDescent="0.25">
      <c r="D102" s="8"/>
      <c r="E102">
        <v>0</v>
      </c>
      <c r="F102">
        <v>14</v>
      </c>
      <c r="G102">
        <v>29</v>
      </c>
      <c r="H102">
        <v>7</v>
      </c>
      <c r="I102">
        <v>0</v>
      </c>
      <c r="Q102" s="8"/>
      <c r="R102">
        <v>0</v>
      </c>
      <c r="S102">
        <v>14</v>
      </c>
      <c r="T102">
        <v>31</v>
      </c>
      <c r="U102">
        <v>25</v>
      </c>
      <c r="V102">
        <v>6</v>
      </c>
      <c r="W102">
        <v>0</v>
      </c>
    </row>
    <row r="103" spans="4:28" x14ac:dyDescent="0.25">
      <c r="D103" s="8"/>
      <c r="E103" t="str">
        <f>VLOOKUP(E102,$A$50:$B$83,2,FALSE)</f>
        <v>DEPOT</v>
      </c>
      <c r="F103" t="str">
        <f t="shared" ref="F103" si="163">VLOOKUP(F102,$A$50:$B$83,2,FALSE)</f>
        <v>AD1</v>
      </c>
      <c r="G103" t="str">
        <f t="shared" ref="G103" si="164">VLOOKUP(G102,$A$50:$B$83,2,FALSE)</f>
        <v>DA1</v>
      </c>
      <c r="H103" t="str">
        <f t="shared" ref="H103" si="165">VLOOKUP(H102,$A$50:$B$83,2,FALSE)</f>
        <v>AB7</v>
      </c>
      <c r="I103" t="str">
        <f t="shared" ref="I103" si="166">VLOOKUP(I102,$A$50:$B$83,2,FALSE)</f>
        <v>DEPOT</v>
      </c>
      <c r="Q103" s="8"/>
      <c r="R103" t="str">
        <f>VLOOKUP(R102,$A$50:$B$83,2,FALSE)</f>
        <v>DEPOT</v>
      </c>
      <c r="S103" t="str">
        <f t="shared" ref="S103" si="167">VLOOKUP(S102,$A$50:$B$83,2,FALSE)</f>
        <v>AD1</v>
      </c>
      <c r="T103" t="str">
        <f t="shared" ref="T103" si="168">VLOOKUP(T102,$A$50:$B$83,2,FALSE)</f>
        <v>CS1</v>
      </c>
      <c r="U103" t="str">
        <f t="shared" ref="U103" si="169">VLOOKUP(U102,$A$50:$B$83,2,FALSE)</f>
        <v>CA3</v>
      </c>
      <c r="V103" t="str">
        <f t="shared" ref="V103" si="170">VLOOKUP(V102,$A$50:$B$83,2,FALSE)</f>
        <v>AB6</v>
      </c>
      <c r="W103" t="str">
        <f t="shared" ref="W103" si="171">VLOOKUP(W102,$A$50:$B$83,2,FALSE)</f>
        <v>DEPOT</v>
      </c>
    </row>
    <row r="104" spans="4:28" x14ac:dyDescent="0.25">
      <c r="G104">
        <v>0</v>
      </c>
      <c r="H104">
        <v>30</v>
      </c>
      <c r="O104">
        <f t="shared" si="152"/>
        <v>30</v>
      </c>
      <c r="U104">
        <v>30</v>
      </c>
      <c r="V104">
        <v>40</v>
      </c>
      <c r="AB104">
        <f>SUM(S104:Z104)</f>
        <v>70</v>
      </c>
    </row>
    <row r="105" spans="4:28" x14ac:dyDescent="0.25">
      <c r="D105" s="11"/>
      <c r="E105">
        <v>0</v>
      </c>
      <c r="F105">
        <v>23</v>
      </c>
      <c r="G105">
        <v>2</v>
      </c>
      <c r="H105">
        <v>31</v>
      </c>
      <c r="I105">
        <v>5</v>
      </c>
      <c r="J105">
        <v>22</v>
      </c>
      <c r="K105">
        <v>0</v>
      </c>
      <c r="Q105" s="11"/>
      <c r="R105">
        <v>0</v>
      </c>
      <c r="S105">
        <v>23</v>
      </c>
      <c r="T105">
        <v>31</v>
      </c>
      <c r="U105">
        <v>30</v>
      </c>
      <c r="V105">
        <v>31</v>
      </c>
      <c r="W105">
        <v>12</v>
      </c>
      <c r="X105">
        <v>0</v>
      </c>
    </row>
    <row r="106" spans="4:28" x14ac:dyDescent="0.25">
      <c r="D106" s="11"/>
      <c r="E106" t="str">
        <f>VLOOKUP(E105,$A$50:$B$83,2,FALSE)</f>
        <v>DEPOT</v>
      </c>
      <c r="F106" t="str">
        <f t="shared" ref="F106" si="172">VLOOKUP(F105,$A$50:$B$83,2,FALSE)</f>
        <v>CA1</v>
      </c>
      <c r="G106" t="str">
        <f t="shared" ref="G106" si="173">VLOOKUP(G105,$A$50:$B$83,2,FALSE)</f>
        <v>AB2</v>
      </c>
      <c r="H106" t="str">
        <f t="shared" ref="H106" si="174">VLOOKUP(H105,$A$50:$B$83,2,FALSE)</f>
        <v>CS1</v>
      </c>
      <c r="I106" t="str">
        <f t="shared" ref="I106" si="175">VLOOKUP(I105,$A$50:$B$83,2,FALSE)</f>
        <v>AB5</v>
      </c>
      <c r="J106" t="str">
        <f t="shared" ref="J106" si="176">VLOOKUP(J105,$A$50:$B$83,2,FALSE)</f>
        <v>BA8</v>
      </c>
      <c r="K106" t="str">
        <f t="shared" ref="K106" si="177">VLOOKUP(K105,$A$50:$B$83,2,FALSE)</f>
        <v>DEPOT</v>
      </c>
      <c r="Q106" s="11"/>
      <c r="R106" t="str">
        <f>VLOOKUP(R105,$A$50:$B$83,2,FALSE)</f>
        <v>DEPOT</v>
      </c>
      <c r="S106" t="str">
        <f t="shared" ref="S106" si="178">VLOOKUP(S105,$A$50:$B$83,2,FALSE)</f>
        <v>CA1</v>
      </c>
      <c r="T106" t="str">
        <f t="shared" ref="T106" si="179">VLOOKUP(T105,$A$50:$B$83,2,FALSE)</f>
        <v>CS1</v>
      </c>
      <c r="U106" t="str">
        <f t="shared" ref="U106:W106" si="180">VLOOKUP(U105,$A$50:$B$83,2,FALSE)</f>
        <v>DC1</v>
      </c>
      <c r="V106" t="str">
        <f t="shared" si="180"/>
        <v>CS1</v>
      </c>
      <c r="W106" t="str">
        <f t="shared" si="180"/>
        <v>AC4</v>
      </c>
    </row>
    <row r="107" spans="4:28" x14ac:dyDescent="0.25">
      <c r="G107">
        <v>30</v>
      </c>
      <c r="I107">
        <v>105</v>
      </c>
      <c r="J107">
        <v>25</v>
      </c>
      <c r="O107">
        <f t="shared" si="152"/>
        <v>160</v>
      </c>
      <c r="U107">
        <v>40</v>
      </c>
      <c r="W107">
        <v>15</v>
      </c>
      <c r="AB107">
        <f t="shared" ref="AB107" si="181">SUM(S107:Z107)</f>
        <v>55</v>
      </c>
    </row>
    <row r="108" spans="4:28" x14ac:dyDescent="0.25">
      <c r="D108" s="12"/>
      <c r="E108">
        <v>0</v>
      </c>
      <c r="F108">
        <v>28</v>
      </c>
      <c r="G108">
        <v>25</v>
      </c>
      <c r="H108">
        <v>6</v>
      </c>
      <c r="I108">
        <v>0</v>
      </c>
      <c r="Q108" s="12"/>
      <c r="R108">
        <v>0</v>
      </c>
      <c r="S108">
        <v>28</v>
      </c>
      <c r="T108">
        <v>2</v>
      </c>
      <c r="U108">
        <v>19</v>
      </c>
      <c r="V108">
        <v>0</v>
      </c>
    </row>
    <row r="109" spans="4:28" x14ac:dyDescent="0.25">
      <c r="D109" s="12"/>
      <c r="E109" t="str">
        <f>VLOOKUP(E108,$A$50:$B$83,2,FALSE)</f>
        <v>DEPOT</v>
      </c>
      <c r="F109" t="str">
        <f t="shared" ref="F109" si="182">VLOOKUP(F108,$A$50:$B$83,2,FALSE)</f>
        <v>CD1</v>
      </c>
      <c r="G109" t="str">
        <f t="shared" ref="G109" si="183">VLOOKUP(G108,$A$50:$B$83,2,FALSE)</f>
        <v>CA3</v>
      </c>
      <c r="H109" t="str">
        <f t="shared" ref="H109" si="184">VLOOKUP(H108,$A$50:$B$83,2,FALSE)</f>
        <v>AB6</v>
      </c>
      <c r="I109" t="str">
        <f t="shared" ref="I109" si="185">VLOOKUP(I108,$A$50:$B$83,2,FALSE)</f>
        <v>DEPOT</v>
      </c>
      <c r="Q109" s="12"/>
      <c r="R109" t="str">
        <f>VLOOKUP(R108,$A$50:$B$83,2,FALSE)</f>
        <v>DEPOT</v>
      </c>
      <c r="S109" t="str">
        <f t="shared" ref="S109" si="186">VLOOKUP(S108,$A$50:$B$83,2,FALSE)</f>
        <v>CD1</v>
      </c>
      <c r="T109" t="str">
        <f t="shared" ref="T109" si="187">VLOOKUP(T108,$A$50:$B$83,2,FALSE)</f>
        <v>AB2</v>
      </c>
      <c r="U109" t="str">
        <f t="shared" ref="U109" si="188">VLOOKUP(U108,$A$50:$B$83,2,FALSE)</f>
        <v>BA5</v>
      </c>
      <c r="V109" t="str">
        <f t="shared" ref="V109" si="189">VLOOKUP(V108,$A$50:$B$83,2,FALSE)</f>
        <v>DEPOT</v>
      </c>
    </row>
    <row r="110" spans="4:28" x14ac:dyDescent="0.25">
      <c r="G110">
        <v>0</v>
      </c>
      <c r="H110">
        <v>40</v>
      </c>
      <c r="O110">
        <f t="shared" si="152"/>
        <v>40</v>
      </c>
      <c r="T110">
        <v>20</v>
      </c>
      <c r="U110">
        <v>25</v>
      </c>
      <c r="AB110">
        <f t="shared" ref="AB110" si="190">SUM(S110:Z110)</f>
        <v>45</v>
      </c>
    </row>
    <row r="111" spans="4:28" x14ac:dyDescent="0.25">
      <c r="D111" s="14"/>
      <c r="E111">
        <v>0</v>
      </c>
      <c r="F111">
        <v>10</v>
      </c>
      <c r="G111">
        <v>3</v>
      </c>
      <c r="H111">
        <v>31</v>
      </c>
      <c r="I111">
        <v>27</v>
      </c>
      <c r="J111">
        <v>13</v>
      </c>
      <c r="K111">
        <v>0</v>
      </c>
      <c r="Q111" s="14"/>
      <c r="R111">
        <v>0</v>
      </c>
      <c r="S111">
        <v>4</v>
      </c>
      <c r="T111">
        <v>7</v>
      </c>
      <c r="U111">
        <v>0</v>
      </c>
    </row>
    <row r="112" spans="4:28" x14ac:dyDescent="0.25">
      <c r="D112" s="14"/>
      <c r="E112" t="str">
        <f>VLOOKUP(E111,$A$50:$B$83,2,FALSE)</f>
        <v>DEPOT</v>
      </c>
      <c r="F112" t="str">
        <f t="shared" ref="F112" si="191">VLOOKUP(F111,$A$50:$B$83,2,FALSE)</f>
        <v>AC2</v>
      </c>
      <c r="G112" t="str">
        <f t="shared" ref="G112" si="192">VLOOKUP(G111,$A$50:$B$83,2,FALSE)</f>
        <v>AB3</v>
      </c>
      <c r="H112" t="str">
        <f t="shared" ref="H112" si="193">VLOOKUP(H111,$A$50:$B$83,2,FALSE)</f>
        <v>CS1</v>
      </c>
      <c r="I112" t="str">
        <f t="shared" ref="I112" si="194">VLOOKUP(I111,$A$50:$B$83,2,FALSE)</f>
        <v>CA5</v>
      </c>
      <c r="J112" t="str">
        <f t="shared" ref="J112" si="195">VLOOKUP(J111,$A$50:$B$83,2,FALSE)</f>
        <v>AC5</v>
      </c>
      <c r="K112" t="str">
        <f t="shared" ref="K112" si="196">VLOOKUP(K111,$A$50:$B$83,2,FALSE)</f>
        <v>DEPOT</v>
      </c>
      <c r="Q112" s="14"/>
      <c r="R112" t="str">
        <f>VLOOKUP(R111,$A$50:$B$83,2,FALSE)</f>
        <v>DEPOT</v>
      </c>
      <c r="S112" t="str">
        <f t="shared" ref="S112" si="197">VLOOKUP(S111,$A$50:$B$83,2,FALSE)</f>
        <v>AB4</v>
      </c>
      <c r="T112" t="str">
        <f t="shared" ref="T112" si="198">VLOOKUP(T111,$A$50:$B$83,2,FALSE)</f>
        <v>AB7</v>
      </c>
      <c r="U112" t="str">
        <f t="shared" ref="U112" si="199">VLOOKUP(U111,$A$50:$B$83,2,FALSE)</f>
        <v>DEPOT</v>
      </c>
    </row>
    <row r="113" spans="4:28" x14ac:dyDescent="0.25">
      <c r="G113">
        <v>15</v>
      </c>
      <c r="I113">
        <v>75</v>
      </c>
      <c r="J113">
        <v>35</v>
      </c>
      <c r="O113">
        <f t="shared" si="152"/>
        <v>125</v>
      </c>
      <c r="T113">
        <v>45</v>
      </c>
      <c r="AB113">
        <f t="shared" ref="AB113" si="200">SUM(S113:Z113)</f>
        <v>45</v>
      </c>
    </row>
    <row r="114" spans="4:28" x14ac:dyDescent="0.25">
      <c r="D114" s="17"/>
      <c r="E114">
        <v>0</v>
      </c>
      <c r="F114">
        <v>15</v>
      </c>
      <c r="G114">
        <v>31</v>
      </c>
      <c r="H114">
        <v>24</v>
      </c>
      <c r="I114">
        <v>19</v>
      </c>
      <c r="J114">
        <v>0</v>
      </c>
      <c r="Q114" s="17"/>
      <c r="R114">
        <v>0</v>
      </c>
      <c r="S114">
        <v>15</v>
      </c>
      <c r="T114">
        <v>31</v>
      </c>
      <c r="U114">
        <v>24</v>
      </c>
      <c r="V114">
        <v>31</v>
      </c>
      <c r="W114">
        <v>20</v>
      </c>
      <c r="X114">
        <v>8</v>
      </c>
      <c r="Y114">
        <v>0</v>
      </c>
    </row>
    <row r="115" spans="4:28" x14ac:dyDescent="0.25">
      <c r="D115" s="17"/>
      <c r="E115" t="str">
        <f>VLOOKUP(E114,$A$50:$B$83,2,FALSE)</f>
        <v>DEPOT</v>
      </c>
      <c r="F115" t="str">
        <f t="shared" ref="F115" si="201">VLOOKUP(F114,$A$50:$B$83,2,FALSE)</f>
        <v>BA1</v>
      </c>
      <c r="G115" t="str">
        <f t="shared" ref="G115" si="202">VLOOKUP(G114,$A$50:$B$83,2,FALSE)</f>
        <v>CS1</v>
      </c>
      <c r="H115" t="str">
        <f t="shared" ref="H115" si="203">VLOOKUP(H114,$A$50:$B$83,2,FALSE)</f>
        <v>CA2</v>
      </c>
      <c r="I115" t="str">
        <f t="shared" ref="I115:J115" si="204">VLOOKUP(I114,$A$50:$B$83,2,FALSE)</f>
        <v>BA5</v>
      </c>
      <c r="J115" t="str">
        <f t="shared" si="204"/>
        <v>DEPOT</v>
      </c>
      <c r="Q115" s="17"/>
      <c r="R115" t="str">
        <f>VLOOKUP(R114,$A$50:$B$83,2,FALSE)</f>
        <v>DEPOT</v>
      </c>
      <c r="S115" t="str">
        <f t="shared" ref="S115" si="205">VLOOKUP(S114,$A$50:$B$83,2,FALSE)</f>
        <v>BA1</v>
      </c>
      <c r="T115" t="str">
        <f t="shared" ref="T115" si="206">VLOOKUP(T114,$A$50:$B$83,2,FALSE)</f>
        <v>CS1</v>
      </c>
      <c r="U115" t="str">
        <f t="shared" ref="U115" si="207">VLOOKUP(U114,$A$50:$B$83,2,FALSE)</f>
        <v>CA2</v>
      </c>
      <c r="V115" t="str">
        <f t="shared" ref="V115:W115" si="208">VLOOKUP(V114,$A$50:$B$83,2,FALSE)</f>
        <v>CS1</v>
      </c>
      <c r="W115" t="str">
        <f t="shared" si="208"/>
        <v>BA6</v>
      </c>
      <c r="X115" t="str">
        <f t="shared" ref="X115" si="209">VLOOKUP(X114,$A$50:$B$83,2,FALSE)</f>
        <v>AB8</v>
      </c>
      <c r="Y115" t="str">
        <f t="shared" ref="Y115" si="210">VLOOKUP(Y114,$A$50:$B$83,2,FALSE)</f>
        <v>DEPOT</v>
      </c>
    </row>
    <row r="116" spans="4:28" x14ac:dyDescent="0.25">
      <c r="H116">
        <v>65</v>
      </c>
      <c r="I116">
        <v>20</v>
      </c>
      <c r="O116">
        <f t="shared" si="152"/>
        <v>85</v>
      </c>
      <c r="U116">
        <v>5</v>
      </c>
      <c r="W116">
        <v>50</v>
      </c>
      <c r="X116">
        <v>65</v>
      </c>
      <c r="AB116">
        <f>SUM(S116:Z116)</f>
        <v>120</v>
      </c>
    </row>
    <row r="117" spans="4:28" x14ac:dyDescent="0.25">
      <c r="D117" s="13"/>
      <c r="E117">
        <v>0</v>
      </c>
      <c r="F117">
        <v>18</v>
      </c>
      <c r="G117">
        <v>20</v>
      </c>
      <c r="H117">
        <v>31</v>
      </c>
      <c r="I117">
        <v>8</v>
      </c>
      <c r="J117">
        <v>0</v>
      </c>
      <c r="Q117" s="13"/>
      <c r="R117">
        <v>0</v>
      </c>
      <c r="S117">
        <v>29</v>
      </c>
      <c r="T117">
        <v>31</v>
      </c>
      <c r="U117">
        <v>22</v>
      </c>
      <c r="V117">
        <v>0</v>
      </c>
    </row>
    <row r="118" spans="4:28" x14ac:dyDescent="0.25">
      <c r="D118" s="13"/>
      <c r="E118" t="str">
        <f>VLOOKUP(E117,$A$50:$B$83,2,FALSE)</f>
        <v>DEPOT</v>
      </c>
      <c r="F118" t="str">
        <f t="shared" ref="F118" si="211">VLOOKUP(F117,$A$50:$B$83,2,FALSE)</f>
        <v>BA4</v>
      </c>
      <c r="G118" t="str">
        <f t="shared" ref="G118" si="212">VLOOKUP(G117,$A$50:$B$83,2,FALSE)</f>
        <v>BA6</v>
      </c>
      <c r="H118" t="str">
        <f t="shared" ref="H118" si="213">VLOOKUP(H117,$A$50:$B$83,2,FALSE)</f>
        <v>CS1</v>
      </c>
      <c r="I118" t="str">
        <f t="shared" ref="I118" si="214">VLOOKUP(I117,$A$50:$B$83,2,FALSE)</f>
        <v>AB8</v>
      </c>
      <c r="J118" t="str">
        <f t="shared" ref="J118" si="215">VLOOKUP(J117,$A$50:$B$83,2,FALSE)</f>
        <v>DEPOT</v>
      </c>
      <c r="Q118" s="13"/>
      <c r="R118" t="str">
        <f>VLOOKUP(R117,$A$50:$B$83,2,FALSE)</f>
        <v>DEPOT</v>
      </c>
      <c r="S118" t="str">
        <f t="shared" ref="S118" si="216">VLOOKUP(S117,$A$50:$B$83,2,FALSE)</f>
        <v>DA1</v>
      </c>
      <c r="T118" t="str">
        <f t="shared" ref="T118" si="217">VLOOKUP(T117,$A$50:$B$83,2,FALSE)</f>
        <v>CS1</v>
      </c>
      <c r="U118" t="str">
        <f t="shared" ref="U118:V118" si="218">VLOOKUP(U117,$A$50:$B$83,2,FALSE)</f>
        <v>BA8</v>
      </c>
      <c r="V118" t="str">
        <f t="shared" si="218"/>
        <v>DEPOT</v>
      </c>
    </row>
    <row r="119" spans="4:28" x14ac:dyDescent="0.25">
      <c r="G119">
        <v>45</v>
      </c>
      <c r="I119">
        <v>65</v>
      </c>
      <c r="O119">
        <f t="shared" si="152"/>
        <v>110</v>
      </c>
      <c r="U119">
        <v>10</v>
      </c>
      <c r="AB119">
        <f t="shared" ref="AB119" si="219">SUM(S119:Z119)</f>
        <v>10</v>
      </c>
    </row>
    <row r="120" spans="4:28" x14ac:dyDescent="0.25">
      <c r="D120" s="18"/>
      <c r="E120">
        <v>0</v>
      </c>
      <c r="F120">
        <v>4</v>
      </c>
      <c r="G120">
        <v>0</v>
      </c>
      <c r="Q120" s="18"/>
      <c r="R120">
        <v>0</v>
      </c>
      <c r="S120">
        <v>10</v>
      </c>
      <c r="T120">
        <v>3</v>
      </c>
      <c r="U120">
        <v>31</v>
      </c>
      <c r="V120">
        <v>27</v>
      </c>
      <c r="W120">
        <v>13</v>
      </c>
      <c r="X120">
        <v>0</v>
      </c>
    </row>
    <row r="121" spans="4:28" x14ac:dyDescent="0.25">
      <c r="D121" s="18"/>
      <c r="E121" t="str">
        <f>VLOOKUP(E120,$A$50:$B$83,2,FALSE)</f>
        <v>DEPOT</v>
      </c>
      <c r="F121" t="str">
        <f t="shared" ref="F121" si="220">VLOOKUP(F120,$A$50:$B$83,2,FALSE)</f>
        <v>AB4</v>
      </c>
      <c r="G121" t="str">
        <f t="shared" ref="G121" si="221">VLOOKUP(G120,$A$50:$B$83,2,FALSE)</f>
        <v>DEPOT</v>
      </c>
      <c r="Q121" s="18"/>
      <c r="R121" t="str">
        <f>VLOOKUP(R120,$A$50:$B$83,2,FALSE)</f>
        <v>DEPOT</v>
      </c>
      <c r="S121" t="str">
        <f t="shared" ref="S121" si="222">VLOOKUP(S120,$A$50:$B$83,2,FALSE)</f>
        <v>AC2</v>
      </c>
      <c r="T121" t="str">
        <f t="shared" ref="T121" si="223">VLOOKUP(T120,$A$50:$B$83,2,FALSE)</f>
        <v>AB3</v>
      </c>
      <c r="U121" t="str">
        <f t="shared" ref="U121" si="224">VLOOKUP(U120,$A$50:$B$83,2,FALSE)</f>
        <v>CS1</v>
      </c>
      <c r="V121" t="str">
        <f t="shared" ref="V121" si="225">VLOOKUP(V120,$A$50:$B$83,2,FALSE)</f>
        <v>CA5</v>
      </c>
      <c r="W121" t="str">
        <f t="shared" ref="W121" si="226">VLOOKUP(W120,$A$50:$B$83,2,FALSE)</f>
        <v>AC5</v>
      </c>
      <c r="X121" t="str">
        <f t="shared" ref="X121" si="227">VLOOKUP(X120,$A$50:$B$83,2,FALSE)</f>
        <v>DEPOT</v>
      </c>
    </row>
    <row r="122" spans="4:28" x14ac:dyDescent="0.25">
      <c r="G122">
        <v>0</v>
      </c>
      <c r="O122">
        <f>SUM(E122:K122)</f>
        <v>0</v>
      </c>
      <c r="T122">
        <v>15</v>
      </c>
      <c r="V122">
        <v>15</v>
      </c>
      <c r="W122">
        <v>35</v>
      </c>
      <c r="AB122">
        <f>SUM(R122:AA122)</f>
        <v>65</v>
      </c>
    </row>
    <row r="123" spans="4:28" x14ac:dyDescent="0.25">
      <c r="O123">
        <f>SUM(O95:O122)</f>
        <v>690</v>
      </c>
      <c r="AB123">
        <f>SUM(AB95:AB122)</f>
        <v>580</v>
      </c>
    </row>
    <row r="124" spans="4:28" x14ac:dyDescent="0.25">
      <c r="K124">
        <f>COUNT(O95:O122)</f>
        <v>10</v>
      </c>
      <c r="M124">
        <f>O123/test!K8</f>
        <v>0.5092250922509225</v>
      </c>
      <c r="X124">
        <f>COUNT(AB92:AB122)</f>
        <v>10</v>
      </c>
      <c r="Z124">
        <f>AB123/test!K8</f>
        <v>0.4280442804428044</v>
      </c>
    </row>
    <row r="125" spans="4:28" x14ac:dyDescent="0.25">
      <c r="K125">
        <f>K124+M124</f>
        <v>10.509225092250922</v>
      </c>
      <c r="X125">
        <f>X124+Z124</f>
        <v>10.428044280442805</v>
      </c>
    </row>
  </sheetData>
  <conditionalFormatting sqref="E51:N52 E54:N55 E57:N58 E60:N61 E63:N64 E66:N67 E69:N70 E72:N73 E75:N76 E78:N79 I77 I56">
    <cfRule type="duplicateValues" dxfId="33" priority="10"/>
  </conditionalFormatting>
  <conditionalFormatting sqref="E93:N94 E102:N103 E108:N109 E120:N121 E114:N115 E117:N118 E111:N112 E105:N106 E99:N100 E96:N97">
    <cfRule type="duplicateValues" dxfId="32" priority="7"/>
  </conditionalFormatting>
  <conditionalFormatting sqref="G3:M4 G6:M7 G9:M10 G12:M13 J11 J14">
    <cfRule type="duplicateValues" dxfId="31" priority="58"/>
  </conditionalFormatting>
  <conditionalFormatting sqref="G18:M19 G24:M25 G27:M28 G21:M22 J23 M23 J26 J29">
    <cfRule type="duplicateValues" dxfId="30" priority="64"/>
  </conditionalFormatting>
  <conditionalFormatting sqref="G32:M33 G35:M36 G38:M39 G41:M42 N27:N34 I37 I40 I43">
    <cfRule type="duplicateValues" dxfId="29" priority="67"/>
  </conditionalFormatting>
  <conditionalFormatting sqref="R82:X82">
    <cfRule type="duplicateValues" dxfId="28" priority="3"/>
  </conditionalFormatting>
  <conditionalFormatting sqref="R121:X121">
    <cfRule type="duplicateValues" dxfId="27" priority="5"/>
  </conditionalFormatting>
  <conditionalFormatting sqref="R54:AA55 R57:AA58 R60:AA61 R63:AA64 R66:AA67 R69:AA70 R72:AA73 R75:AA76 R78:AA79 R81:AA82">
    <cfRule type="duplicateValues" dxfId="26" priority="4"/>
  </conditionalFormatting>
  <conditionalFormatting sqref="R93:AA94 R96:AA97 R99:AA100 R102:AA103 R105:AA106 R108:AA109 R111:AA112 R114:AA115 R117:AA118 R120:AA121">
    <cfRule type="duplicateValues" dxfId="25" priority="6"/>
  </conditionalFormatting>
  <conditionalFormatting sqref="V3:AB4 V6:AB7 V9:AB10 V12:AB13 Y11 Y14">
    <cfRule type="duplicateValues" dxfId="24" priority="38"/>
  </conditionalFormatting>
  <conditionalFormatting sqref="V18:AB19 V21:AB22 Y23 AB23 Y26 Y29 V27:AB28 V24:AB25 AA29">
    <cfRule type="duplicateValues" dxfId="23" priority="35"/>
  </conditionalFormatting>
  <conditionalFormatting sqref="V32:AB33 V35:AB36 V41:AB42 AC31:AC34 X37 X40 X43 V38:AC39">
    <cfRule type="duplicateValues" dxfId="22" priority="37"/>
  </conditionalFormatting>
  <conditionalFormatting sqref="AC27:AC30">
    <cfRule type="duplicateValues" dxfId="21" priority="36"/>
  </conditionalFormatting>
  <conditionalFormatting sqref="AJ18:AP19 AJ21:AP22 AM23 AP23 AM26 AM29 AJ27:AP28 AJ24:AP25 AO29">
    <cfRule type="duplicateValues" dxfId="20" priority="33"/>
  </conditionalFormatting>
  <conditionalFormatting sqref="AJ32:AP33 AQ31:AQ34 AL37 AL40 AL43 AJ38:AQ39 AJ35:AP36 AJ41:AP42">
    <cfRule type="duplicateValues" dxfId="19" priority="32"/>
  </conditionalFormatting>
  <conditionalFormatting sqref="AQ27:AQ30">
    <cfRule type="duplicateValues" dxfId="18" priority="34"/>
  </conditionalFormatting>
  <conditionalFormatting sqref="AX3:BD4 AX6:BD7 BA8 BD8 BA11 AX12:BD13 AX9:BD10 BC14 AZ14:BA14">
    <cfRule type="duplicateValues" dxfId="17" priority="25"/>
  </conditionalFormatting>
  <conditionalFormatting sqref="AX18:BD19 AX21:BD22 BA23 BD23 BA26 AX27:BD28 AX24:BD25 BC29 AZ29:BA29">
    <cfRule type="duplicateValues" dxfId="16" priority="30"/>
  </conditionalFormatting>
  <conditionalFormatting sqref="AX32:BD33 AX35:BD36 BA37 BD37 BA40 AX41:BD42 AX38:BD39 BC43 AZ43:BA43">
    <cfRule type="duplicateValues" dxfId="15" priority="27"/>
  </conditionalFormatting>
  <conditionalFormatting sqref="BE12:BE15">
    <cfRule type="duplicateValues" dxfId="14" priority="26"/>
  </conditionalFormatting>
  <conditionalFormatting sqref="BE27:BE30">
    <cfRule type="duplicateValues" dxfId="13" priority="31"/>
  </conditionalFormatting>
  <conditionalFormatting sqref="BE31">
    <cfRule type="duplicateValues" dxfId="12" priority="29"/>
  </conditionalFormatting>
  <conditionalFormatting sqref="BE41:BE44">
    <cfRule type="duplicateValues" dxfId="11" priority="28"/>
  </conditionalFormatting>
  <conditionalFormatting sqref="BM3:BS4 BM6:BS7 BM12:BS13 BT3:BT5 BO8 BO11 BO14 BT9 BM9:BS10 BQ11">
    <cfRule type="duplicateValues" dxfId="10" priority="19"/>
  </conditionalFormatting>
  <conditionalFormatting sqref="BM18:BS19 BM21:BS22 BM27:BS28 BO23 BO26 BO29 BM24:BS25 BQ26">
    <cfRule type="duplicateValues" dxfId="9" priority="18"/>
  </conditionalFormatting>
  <conditionalFormatting sqref="BM33:BS34 BM36:BS37 BM42:BS43 BT33:BT35 BO38 BO41 BO44 BT39 BM39:BS40 BQ41">
    <cfRule type="duplicateValues" dxfId="8" priority="24"/>
  </conditionalFormatting>
  <conditionalFormatting sqref="BT18:BT20 BT24">
    <cfRule type="duplicateValues" dxfId="7" priority="23"/>
  </conditionalFormatting>
  <conditionalFormatting sqref="CA3:CG4 CA6:CG7 CA9:CG10 CA12:CG13 CH3:CH5 CC8 CC11 CC14 CH9">
    <cfRule type="duplicateValues" dxfId="6" priority="21"/>
  </conditionalFormatting>
  <conditionalFormatting sqref="CA34:CG35 CA37:CG38 CA40:CG41 CA43:CG44 CH34:CH36 CC39 CC42 CC45 CH40">
    <cfRule type="duplicateValues" dxfId="5" priority="20"/>
  </conditionalFormatting>
  <conditionalFormatting sqref="CO25:CU26 CV19:CV21 CQ24 CQ27 CQ30 CV25 CO22:CU23 CO19:CU20 CO28:CU29">
    <cfRule type="duplicateValues" dxfId="4" priority="2"/>
  </conditionalFormatting>
  <conditionalFormatting sqref="CV5:CV7 CQ10 CQ13 CQ16 CV11 CO8:CU9 CO5:CU6 CO11:CU12 CO14:CU15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DFE8-BB88-40D0-B2D7-F7D777C678D8}">
  <dimension ref="A1"/>
  <sheetViews>
    <sheetView workbookViewId="0">
      <selection sqref="A1:L33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D984-BBED-4C05-90E4-4CD5FF8C00DA}">
  <dimension ref="A1:AT111"/>
  <sheetViews>
    <sheetView tabSelected="1" topLeftCell="A16" zoomScaleNormal="100" workbookViewId="0">
      <selection activeCell="M62" sqref="M62"/>
    </sheetView>
  </sheetViews>
  <sheetFormatPr defaultRowHeight="15" x14ac:dyDescent="0.25"/>
  <cols>
    <col min="3" max="3" width="13.140625" bestFit="1" customWidth="1"/>
    <col min="4" max="4" width="12" bestFit="1" customWidth="1"/>
    <col min="10" max="10" width="9.28515625" customWidth="1"/>
    <col min="17" max="17" width="12.5703125" customWidth="1"/>
    <col min="19" max="19" width="15.7109375" bestFit="1" customWidth="1"/>
    <col min="20" max="20" width="17.285156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</v>
      </c>
      <c r="H1" t="s">
        <v>4</v>
      </c>
      <c r="I1" t="s">
        <v>5</v>
      </c>
      <c r="L1" t="s">
        <v>51</v>
      </c>
    </row>
    <row r="2" spans="1:29" x14ac:dyDescent="0.25">
      <c r="A2" t="s">
        <v>46</v>
      </c>
      <c r="B2">
        <v>0</v>
      </c>
      <c r="C2" t="s">
        <v>47</v>
      </c>
      <c r="D2" t="s">
        <v>47</v>
      </c>
      <c r="E2" t="s">
        <v>47</v>
      </c>
      <c r="F2" t="s">
        <v>47</v>
      </c>
      <c r="G2" t="s">
        <v>47</v>
      </c>
      <c r="L2">
        <v>0</v>
      </c>
      <c r="Q2" t="b">
        <f>VLOOKUP(E$30,$A$3:$G$12,5,FALSE) - VLOOKUP($A37,$A$3:$G$12,6,FALSE)&gt;=(( $B$13+VLOOKUP(VLOOKUP($A37,$A$3:$G$12,4,FALSE),$Q$10:$U$12,3,FALSE))/1440)</f>
        <v>1</v>
      </c>
    </row>
    <row r="3" spans="1:29" x14ac:dyDescent="0.25">
      <c r="A3" t="s">
        <v>18</v>
      </c>
      <c r="B3">
        <f t="shared" ref="B3:B12" si="0">I3-H3</f>
        <v>140</v>
      </c>
      <c r="C3" t="s">
        <v>7</v>
      </c>
      <c r="D3" t="s">
        <v>19</v>
      </c>
      <c r="E3" s="1">
        <v>0.38541666666666669</v>
      </c>
      <c r="F3" s="1">
        <v>0.4826388888888889</v>
      </c>
      <c r="G3">
        <v>150</v>
      </c>
      <c r="H3">
        <f t="shared" ref="H3:H12" si="1">ROUND(E3*1440,0)</f>
        <v>555</v>
      </c>
      <c r="I3">
        <f t="shared" ref="I3:I12" si="2">ROUND(F3*1440,0)</f>
        <v>695</v>
      </c>
      <c r="L3">
        <f t="shared" ref="L3:L13" si="3">L2+1</f>
        <v>1</v>
      </c>
      <c r="Q3" t="s">
        <v>104</v>
      </c>
      <c r="T3">
        <f>(VLOOKUP(S$45,$A$2:$L$12,8,FALSE))-(VLOOKUP($O52,$A$2:$L$12,9,FALSE))</f>
        <v>85</v>
      </c>
    </row>
    <row r="4" spans="1:29" x14ac:dyDescent="0.25">
      <c r="A4" t="s">
        <v>20</v>
      </c>
      <c r="B4">
        <f t="shared" si="0"/>
        <v>140</v>
      </c>
      <c r="C4" t="s">
        <v>7</v>
      </c>
      <c r="D4" t="s">
        <v>19</v>
      </c>
      <c r="E4" s="1">
        <v>0.46875</v>
      </c>
      <c r="F4" s="1">
        <v>0.56597222222222221</v>
      </c>
      <c r="G4">
        <v>150</v>
      </c>
      <c r="H4">
        <f t="shared" si="1"/>
        <v>675</v>
      </c>
      <c r="I4">
        <f t="shared" si="2"/>
        <v>815</v>
      </c>
      <c r="L4">
        <f t="shared" si="3"/>
        <v>2</v>
      </c>
      <c r="Q4" s="1"/>
      <c r="T4">
        <f>VLOOKUP(S$45,$A$2:$L$12,8,FALSE)</f>
        <v>795</v>
      </c>
    </row>
    <row r="5" spans="1:29" x14ac:dyDescent="0.25">
      <c r="A5" t="s">
        <v>21</v>
      </c>
      <c r="B5">
        <f t="shared" si="0"/>
        <v>140</v>
      </c>
      <c r="C5" t="s">
        <v>7</v>
      </c>
      <c r="D5" t="s">
        <v>19</v>
      </c>
      <c r="E5" s="1">
        <v>0.55208333333333337</v>
      </c>
      <c r="F5" s="1">
        <v>0.64930555555555558</v>
      </c>
      <c r="G5">
        <v>150</v>
      </c>
      <c r="H5">
        <f t="shared" si="1"/>
        <v>795</v>
      </c>
      <c r="I5">
        <f t="shared" si="2"/>
        <v>935</v>
      </c>
      <c r="L5">
        <f t="shared" si="3"/>
        <v>3</v>
      </c>
      <c r="N5">
        <f>(VLOOKUP(K$30,$A$3:$G$12,5,FALSE)-VLOOKUP($A44,$A$3:$G$12,6,FALSE))*1440</f>
        <v>105.00000000000011</v>
      </c>
      <c r="Q5">
        <f>(( $B$13+VLOOKUP(VLOOKUP($A37,$A$3:$G$12,4,FALSE),$Q$10:$U$12,3,FALSE)))</f>
        <v>80</v>
      </c>
      <c r="T5">
        <f>(VLOOKUP($O52,$A$2:$L$12,9,FALSE))</f>
        <v>710</v>
      </c>
    </row>
    <row r="6" spans="1:29" x14ac:dyDescent="0.25">
      <c r="A6" t="s">
        <v>22</v>
      </c>
      <c r="B6">
        <f t="shared" si="0"/>
        <v>140</v>
      </c>
      <c r="C6" t="s">
        <v>7</v>
      </c>
      <c r="D6" t="s">
        <v>19</v>
      </c>
      <c r="E6" s="1">
        <v>0.80208333333333337</v>
      </c>
      <c r="F6" s="1">
        <v>0.89930555555555547</v>
      </c>
      <c r="G6">
        <v>150</v>
      </c>
      <c r="H6">
        <f t="shared" si="1"/>
        <v>1155</v>
      </c>
      <c r="I6">
        <f t="shared" si="2"/>
        <v>1295</v>
      </c>
      <c r="L6">
        <f t="shared" si="3"/>
        <v>4</v>
      </c>
      <c r="N6">
        <f>(($B$14+VLOOKUP(VLOOKUP(K$30,$A$3:$G$12,3,FALSE),$Q$10:$U$12,4,FALSE)))</f>
        <v>125</v>
      </c>
      <c r="S6">
        <f>H5-I8</f>
        <v>85</v>
      </c>
    </row>
    <row r="7" spans="1:29" x14ac:dyDescent="0.25">
      <c r="A7" t="s">
        <v>23</v>
      </c>
      <c r="B7">
        <f t="shared" si="0"/>
        <v>140</v>
      </c>
      <c r="C7" t="s">
        <v>7</v>
      </c>
      <c r="D7" t="s">
        <v>19</v>
      </c>
      <c r="E7" s="1">
        <v>0.84375</v>
      </c>
      <c r="F7" s="1">
        <v>0.94097222222222221</v>
      </c>
      <c r="G7">
        <v>150</v>
      </c>
      <c r="H7">
        <f t="shared" si="1"/>
        <v>1215</v>
      </c>
      <c r="I7">
        <f t="shared" si="2"/>
        <v>1355</v>
      </c>
      <c r="L7">
        <f t="shared" si="3"/>
        <v>5</v>
      </c>
      <c r="N7">
        <f>IF(AND(VLOOKUP(K$30,$A$3:$G$12,5,FALSE)-VLOOKUP($A44,$A$3:$G$12,6,FALSE)&gt;=(($B$14+VLOOKUP(VLOOKUP(K$30,$A$3:$G$12,3,FALSE),$Q$10:$U$12,4,FALSE))/1440)),1,0)</f>
        <v>0</v>
      </c>
    </row>
    <row r="8" spans="1:29" x14ac:dyDescent="0.25">
      <c r="A8" t="s">
        <v>34</v>
      </c>
      <c r="B8">
        <f t="shared" si="0"/>
        <v>140</v>
      </c>
      <c r="C8" t="s">
        <v>19</v>
      </c>
      <c r="D8" t="s">
        <v>7</v>
      </c>
      <c r="E8" s="1">
        <v>0.39583333333333331</v>
      </c>
      <c r="F8" s="1">
        <v>0.49305555555555558</v>
      </c>
      <c r="G8">
        <v>10</v>
      </c>
      <c r="H8">
        <f t="shared" si="1"/>
        <v>570</v>
      </c>
      <c r="I8">
        <f t="shared" si="2"/>
        <v>710</v>
      </c>
      <c r="L8">
        <f t="shared" si="3"/>
        <v>6</v>
      </c>
      <c r="Q8" t="s">
        <v>67</v>
      </c>
      <c r="R8">
        <f>MAX(F3:F12)*1440</f>
        <v>1355</v>
      </c>
    </row>
    <row r="9" spans="1:29" x14ac:dyDescent="0.25">
      <c r="A9" t="s">
        <v>35</v>
      </c>
      <c r="B9">
        <f t="shared" si="0"/>
        <v>140</v>
      </c>
      <c r="C9" t="s">
        <v>19</v>
      </c>
      <c r="D9" t="s">
        <v>7</v>
      </c>
      <c r="E9" s="1">
        <v>0.51388888888888884</v>
      </c>
      <c r="F9" s="1">
        <v>0.61111111111111105</v>
      </c>
      <c r="G9">
        <v>10</v>
      </c>
      <c r="H9">
        <f t="shared" si="1"/>
        <v>740</v>
      </c>
      <c r="I9">
        <f t="shared" si="2"/>
        <v>880</v>
      </c>
      <c r="L9">
        <f t="shared" si="3"/>
        <v>7</v>
      </c>
    </row>
    <row r="10" spans="1:29" x14ac:dyDescent="0.25">
      <c r="A10" t="s">
        <v>36</v>
      </c>
      <c r="B10">
        <f t="shared" si="0"/>
        <v>140</v>
      </c>
      <c r="C10" t="s">
        <v>19</v>
      </c>
      <c r="D10" t="s">
        <v>7</v>
      </c>
      <c r="E10" s="1">
        <v>0.59722222222222221</v>
      </c>
      <c r="F10" s="1">
        <v>0.69444444444444453</v>
      </c>
      <c r="G10">
        <v>10</v>
      </c>
      <c r="H10">
        <f t="shared" si="1"/>
        <v>860</v>
      </c>
      <c r="I10">
        <f t="shared" si="2"/>
        <v>1000</v>
      </c>
      <c r="L10">
        <f t="shared" si="3"/>
        <v>8</v>
      </c>
      <c r="Q10" t="s">
        <v>16</v>
      </c>
      <c r="R10" t="s">
        <v>17</v>
      </c>
      <c r="S10" t="s">
        <v>94</v>
      </c>
      <c r="T10" t="s">
        <v>92</v>
      </c>
      <c r="U10" t="s">
        <v>93</v>
      </c>
    </row>
    <row r="11" spans="1:29" x14ac:dyDescent="0.25">
      <c r="A11" t="s">
        <v>37</v>
      </c>
      <c r="B11">
        <f t="shared" si="0"/>
        <v>140</v>
      </c>
      <c r="C11" t="s">
        <v>19</v>
      </c>
      <c r="D11" t="s">
        <v>7</v>
      </c>
      <c r="E11" s="1">
        <v>0.63888888888888895</v>
      </c>
      <c r="F11" s="1">
        <v>0.73611111111111116</v>
      </c>
      <c r="G11">
        <v>10</v>
      </c>
      <c r="H11">
        <f t="shared" si="1"/>
        <v>920</v>
      </c>
      <c r="I11">
        <f t="shared" si="2"/>
        <v>1060</v>
      </c>
      <c r="L11">
        <f t="shared" si="3"/>
        <v>9</v>
      </c>
      <c r="Q11" t="s">
        <v>7</v>
      </c>
      <c r="R11">
        <v>15</v>
      </c>
      <c r="S11">
        <v>30</v>
      </c>
      <c r="T11">
        <v>10</v>
      </c>
      <c r="U11">
        <v>75</v>
      </c>
    </row>
    <row r="12" spans="1:29" x14ac:dyDescent="0.25">
      <c r="A12" t="s">
        <v>38</v>
      </c>
      <c r="B12">
        <f t="shared" si="0"/>
        <v>140</v>
      </c>
      <c r="C12" t="s">
        <v>19</v>
      </c>
      <c r="D12" t="s">
        <v>7</v>
      </c>
      <c r="E12" s="1">
        <v>0.72222222222222221</v>
      </c>
      <c r="F12" s="1">
        <v>0.81944444444444453</v>
      </c>
      <c r="G12">
        <v>10</v>
      </c>
      <c r="H12">
        <f t="shared" si="1"/>
        <v>1040</v>
      </c>
      <c r="I12">
        <f t="shared" si="2"/>
        <v>1180</v>
      </c>
      <c r="L12">
        <f t="shared" si="3"/>
        <v>10</v>
      </c>
      <c r="Q12" t="s">
        <v>19</v>
      </c>
      <c r="R12">
        <v>15</v>
      </c>
      <c r="S12">
        <v>30</v>
      </c>
      <c r="T12">
        <v>75</v>
      </c>
      <c r="U12">
        <v>10</v>
      </c>
    </row>
    <row r="13" spans="1:29" x14ac:dyDescent="0.25">
      <c r="A13" t="s">
        <v>48</v>
      </c>
      <c r="B13">
        <v>50</v>
      </c>
      <c r="C13" t="s">
        <v>47</v>
      </c>
      <c r="D13" t="s">
        <v>47</v>
      </c>
      <c r="E13" t="s">
        <v>47</v>
      </c>
      <c r="F13" t="s">
        <v>47</v>
      </c>
      <c r="G13">
        <v>30</v>
      </c>
      <c r="L13">
        <f t="shared" si="3"/>
        <v>11</v>
      </c>
      <c r="Q13">
        <v>100</v>
      </c>
      <c r="R13" t="s">
        <v>78</v>
      </c>
    </row>
    <row r="14" spans="1:29" x14ac:dyDescent="0.25">
      <c r="A14" t="s">
        <v>90</v>
      </c>
      <c r="B14">
        <v>50</v>
      </c>
      <c r="C14" t="s">
        <v>7</v>
      </c>
      <c r="D14" t="s">
        <v>7</v>
      </c>
      <c r="E14" t="s">
        <v>47</v>
      </c>
      <c r="F14" t="s">
        <v>47</v>
      </c>
      <c r="G14" t="s">
        <v>47</v>
      </c>
      <c r="L14">
        <v>12</v>
      </c>
      <c r="Q14" t="s">
        <v>44</v>
      </c>
      <c r="R14">
        <v>350</v>
      </c>
    </row>
    <row r="15" spans="1:29" x14ac:dyDescent="0.25">
      <c r="A15" t="s">
        <v>91</v>
      </c>
      <c r="B15">
        <v>50</v>
      </c>
      <c r="C15" t="s">
        <v>19</v>
      </c>
      <c r="D15" t="s">
        <v>19</v>
      </c>
      <c r="E15" t="s">
        <v>47</v>
      </c>
      <c r="F15" t="s">
        <v>47</v>
      </c>
      <c r="G15" t="s">
        <v>47</v>
      </c>
      <c r="L15">
        <v>13</v>
      </c>
    </row>
    <row r="16" spans="1:29" x14ac:dyDescent="0.25">
      <c r="A16" t="s">
        <v>54</v>
      </c>
      <c r="B16" t="s">
        <v>46</v>
      </c>
      <c r="C16" t="s">
        <v>18</v>
      </c>
      <c r="D16" t="s">
        <v>20</v>
      </c>
      <c r="E16" t="s">
        <v>21</v>
      </c>
      <c r="F16" t="s">
        <v>22</v>
      </c>
      <c r="G16" t="s">
        <v>23</v>
      </c>
      <c r="H16" t="s">
        <v>34</v>
      </c>
      <c r="I16" t="s">
        <v>35</v>
      </c>
      <c r="J16" t="s">
        <v>36</v>
      </c>
      <c r="K16" t="s">
        <v>37</v>
      </c>
      <c r="L16" t="s">
        <v>38</v>
      </c>
      <c r="O16" t="s">
        <v>55</v>
      </c>
      <c r="P16" t="s">
        <v>46</v>
      </c>
      <c r="Q16" t="s">
        <v>18</v>
      </c>
      <c r="R16" t="s">
        <v>20</v>
      </c>
      <c r="S16" t="s">
        <v>21</v>
      </c>
      <c r="T16" t="s">
        <v>22</v>
      </c>
      <c r="U16" t="s">
        <v>23</v>
      </c>
      <c r="V16" t="s">
        <v>34</v>
      </c>
      <c r="W16" t="s">
        <v>35</v>
      </c>
      <c r="X16" t="s">
        <v>36</v>
      </c>
      <c r="Y16" t="s">
        <v>37</v>
      </c>
      <c r="Z16" t="s">
        <v>38</v>
      </c>
      <c r="AA16" t="s">
        <v>48</v>
      </c>
      <c r="AB16" t="s">
        <v>90</v>
      </c>
      <c r="AC16" t="s">
        <v>91</v>
      </c>
    </row>
    <row r="17" spans="1:46" x14ac:dyDescent="0.25">
      <c r="A17" t="s">
        <v>46</v>
      </c>
      <c r="B17">
        <v>0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O17" t="s">
        <v>46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46" x14ac:dyDescent="0.25">
      <c r="A18" t="s">
        <v>18</v>
      </c>
      <c r="B18">
        <v>1</v>
      </c>
      <c r="C18">
        <f t="shared" ref="C18:L27" si="4">IF(AND(VLOOKUP(C$16,$A$3:$G$12,5,FALSE) - VLOOKUP($A18,$A$3:$G$12,6,FALSE)&gt;=VLOOKUP(VLOOKUP(C$16,$A$3:$G$12,3,FALSE), $Q$11:$T$12, 2, FALSE)/1440),1,0)</f>
        <v>0</v>
      </c>
      <c r="D18">
        <f t="shared" si="4"/>
        <v>0</v>
      </c>
      <c r="E18">
        <f t="shared" si="4"/>
        <v>1</v>
      </c>
      <c r="F18">
        <f t="shared" si="4"/>
        <v>1</v>
      </c>
      <c r="G18">
        <f t="shared" si="4"/>
        <v>1</v>
      </c>
      <c r="H18">
        <f t="shared" si="4"/>
        <v>0</v>
      </c>
      <c r="I18">
        <f t="shared" si="4"/>
        <v>1</v>
      </c>
      <c r="J18">
        <f t="shared" si="4"/>
        <v>1</v>
      </c>
      <c r="K18">
        <f t="shared" si="4"/>
        <v>1</v>
      </c>
      <c r="L18">
        <f t="shared" si="4"/>
        <v>1</v>
      </c>
      <c r="O18" t="s">
        <v>18</v>
      </c>
      <c r="P18">
        <v>0</v>
      </c>
      <c r="Q18">
        <v>0</v>
      </c>
      <c r="R18">
        <f t="shared" ref="R18:R27" si="5">IF(AND(SUM(VLOOKUP($O18,$A$3:$G$12,2,FALSE),VLOOKUP(R$16,$A$3:$G$12,2,FALSE))&lt;$R$14,$O18&lt;&gt;R$16,D18=1),SUM(VLOOKUP($O18,$A$3:$G$12,2,FALSE),VLOOKUP(R$16,$A$3:$G$12,2,FALSE)),0)</f>
        <v>0</v>
      </c>
      <c r="S18">
        <v>280</v>
      </c>
      <c r="T18">
        <v>280</v>
      </c>
      <c r="U18">
        <v>280</v>
      </c>
      <c r="V18">
        <f t="shared" ref="V18:V27" si="6">IF(AND(SUM(VLOOKUP($O18,$A$3:$G$12,2,FALSE),VLOOKUP(V$16,$A$3:$G$12,2,FALSE))&lt;$R$14,$O18&lt;&gt;V$16,H18=1),SUM(VLOOKUP($O18,$A$3:$G$12,2,FALSE),VLOOKUP(V$16,$A$3:$G$12,2,FALSE)),0)</f>
        <v>0</v>
      </c>
      <c r="W18">
        <v>280</v>
      </c>
      <c r="X18">
        <v>280</v>
      </c>
      <c r="Y18">
        <v>280</v>
      </c>
      <c r="Z18">
        <v>280</v>
      </c>
      <c r="AA18">
        <v>0</v>
      </c>
      <c r="AB18">
        <v>0</v>
      </c>
      <c r="AC18">
        <v>0</v>
      </c>
      <c r="AG18" t="s">
        <v>60</v>
      </c>
      <c r="AH18" t="s">
        <v>46</v>
      </c>
      <c r="AI18" t="s">
        <v>18</v>
      </c>
      <c r="AJ18" t="s">
        <v>20</v>
      </c>
      <c r="AK18" t="s">
        <v>21</v>
      </c>
      <c r="AL18" t="s">
        <v>22</v>
      </c>
      <c r="AM18" t="s">
        <v>23</v>
      </c>
      <c r="AN18" t="s">
        <v>34</v>
      </c>
      <c r="AO18" t="s">
        <v>35</v>
      </c>
      <c r="AP18" t="s">
        <v>36</v>
      </c>
      <c r="AQ18" t="s">
        <v>37</v>
      </c>
      <c r="AR18" t="s">
        <v>38</v>
      </c>
      <c r="AS18" t="s">
        <v>48</v>
      </c>
      <c r="AT18" t="s">
        <v>57</v>
      </c>
    </row>
    <row r="19" spans="1:46" x14ac:dyDescent="0.25">
      <c r="A19" t="s">
        <v>20</v>
      </c>
      <c r="B19">
        <v>1</v>
      </c>
      <c r="C19">
        <f t="shared" si="4"/>
        <v>0</v>
      </c>
      <c r="D19">
        <f t="shared" si="4"/>
        <v>0</v>
      </c>
      <c r="E19">
        <f t="shared" si="4"/>
        <v>0</v>
      </c>
      <c r="F19">
        <f t="shared" si="4"/>
        <v>1</v>
      </c>
      <c r="G19">
        <f t="shared" si="4"/>
        <v>1</v>
      </c>
      <c r="H19">
        <f t="shared" si="4"/>
        <v>0</v>
      </c>
      <c r="I19">
        <f t="shared" si="4"/>
        <v>0</v>
      </c>
      <c r="J19">
        <f t="shared" si="4"/>
        <v>1</v>
      </c>
      <c r="K19">
        <f t="shared" si="4"/>
        <v>1</v>
      </c>
      <c r="L19">
        <f t="shared" si="4"/>
        <v>1</v>
      </c>
      <c r="O19" t="s">
        <v>20</v>
      </c>
      <c r="P19">
        <v>0</v>
      </c>
      <c r="Q19">
        <f t="shared" ref="Q19:Q27" si="7">IF(AND(SUM(VLOOKUP($O19,$A$3:$G$12,2,FALSE),VLOOKUP(Q$16,$A$3:$G$12,2,FALSE))&lt;$R$14,$O19&lt;&gt;Q$16,C19=1),SUM(VLOOKUP($O19,$A$3:$G$12,2,FALSE),VLOOKUP(Q$16,$A$3:$G$12,2,FALSE)),0)</f>
        <v>0</v>
      </c>
      <c r="R19">
        <f t="shared" si="5"/>
        <v>0</v>
      </c>
      <c r="S19">
        <f>IF(AND(SUM(VLOOKUP($O19,$A$3:$G$12,2,FALSE),VLOOKUP(S$16,$A$3:$G$12,2,FALSE))&lt;$R$14,$O19&lt;&gt;S$16,E19=1),SUM(VLOOKUP($O19,$A$3:$G$12,2,FALSE),VLOOKUP(S$16,$A$3:$G$12,2,FALSE)),0)</f>
        <v>0</v>
      </c>
      <c r="T19">
        <v>280</v>
      </c>
      <c r="U19">
        <v>280</v>
      </c>
      <c r="V19">
        <f t="shared" si="6"/>
        <v>0</v>
      </c>
      <c r="W19">
        <f>IF(AND(SUM(VLOOKUP($O19,$A$3:$G$12,2,FALSE),VLOOKUP(W$16,$A$3:$G$12,2,FALSE))&lt;$R$14,$O19&lt;&gt;W$16,I19=1),SUM(VLOOKUP($O19,$A$3:$G$12,2,FALSE),VLOOKUP(W$16,$A$3:$G$12,2,FALSE)),0)</f>
        <v>0</v>
      </c>
      <c r="X19">
        <v>280</v>
      </c>
      <c r="Y19">
        <v>280</v>
      </c>
      <c r="Z19">
        <v>280</v>
      </c>
      <c r="AA19">
        <v>0</v>
      </c>
      <c r="AB19">
        <v>0</v>
      </c>
      <c r="AC19">
        <v>0</v>
      </c>
      <c r="AG19" t="s">
        <v>46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10</v>
      </c>
      <c r="AT19">
        <v>15</v>
      </c>
    </row>
    <row r="20" spans="1:46" x14ac:dyDescent="0.25">
      <c r="A20" t="s">
        <v>21</v>
      </c>
      <c r="B20">
        <v>1</v>
      </c>
      <c r="C20">
        <f t="shared" si="4"/>
        <v>0</v>
      </c>
      <c r="D20">
        <f t="shared" si="4"/>
        <v>0</v>
      </c>
      <c r="E20">
        <f t="shared" si="4"/>
        <v>0</v>
      </c>
      <c r="F20">
        <f t="shared" si="4"/>
        <v>1</v>
      </c>
      <c r="G20">
        <f t="shared" si="4"/>
        <v>1</v>
      </c>
      <c r="H20">
        <f t="shared" si="4"/>
        <v>0</v>
      </c>
      <c r="I20">
        <f t="shared" si="4"/>
        <v>0</v>
      </c>
      <c r="J20">
        <f t="shared" si="4"/>
        <v>0</v>
      </c>
      <c r="K20">
        <f t="shared" si="4"/>
        <v>0</v>
      </c>
      <c r="L20">
        <f t="shared" si="4"/>
        <v>1</v>
      </c>
      <c r="O20" t="s">
        <v>21</v>
      </c>
      <c r="P20">
        <v>0</v>
      </c>
      <c r="Q20">
        <f t="shared" si="7"/>
        <v>0</v>
      </c>
      <c r="R20">
        <f t="shared" si="5"/>
        <v>0</v>
      </c>
      <c r="S20">
        <f>IF(AND(SUM(VLOOKUP($O20,$A$3:$G$12,2,FALSE),VLOOKUP(S$16,$A$3:$G$12,2,FALSE))&lt;$R$14,$O20&lt;&gt;S$16,E20=1),SUM(VLOOKUP($O20,$A$3:$G$12,2,FALSE),VLOOKUP(S$16,$A$3:$G$12,2,FALSE)),0)</f>
        <v>0</v>
      </c>
      <c r="T20">
        <v>280</v>
      </c>
      <c r="U20">
        <v>280</v>
      </c>
      <c r="V20">
        <f t="shared" si="6"/>
        <v>0</v>
      </c>
      <c r="W20">
        <f>IF(AND(SUM(VLOOKUP($O20,$A$3:$G$12,2,FALSE),VLOOKUP(W$16,$A$3:$G$12,2,FALSE))&lt;$R$14,$O20&lt;&gt;W$16,I20=1),SUM(VLOOKUP($O20,$A$3:$G$12,2,FALSE),VLOOKUP(W$16,$A$3:$G$12,2,FALSE)),0)</f>
        <v>0</v>
      </c>
      <c r="X20">
        <f t="shared" ref="X20:Y22" si="8">IF(AND(SUM(VLOOKUP($O20,$A$3:$G$12,2,FALSE),VLOOKUP(X$16,$A$3:$G$12,2,FALSE))&lt;$R$14,$O20&lt;&gt;X$16,J20=1),SUM(VLOOKUP($O20,$A$3:$G$12,2,FALSE),VLOOKUP(X$16,$A$3:$G$12,2,FALSE)),0)</f>
        <v>0</v>
      </c>
      <c r="Y20">
        <f t="shared" si="8"/>
        <v>0</v>
      </c>
      <c r="Z20">
        <v>280</v>
      </c>
      <c r="AA20">
        <v>0</v>
      </c>
      <c r="AB20">
        <v>0</v>
      </c>
      <c r="AC20">
        <v>0</v>
      </c>
      <c r="AG20" t="s">
        <v>18</v>
      </c>
      <c r="AH20">
        <v>0</v>
      </c>
      <c r="AI20">
        <f t="shared" ref="AI20:AI29" si="9">IF(AND(SUM(VLOOKUP($AG20,$A$2:$L$12,2,FALSE),VLOOKUP(AI$18,$A$2:$L$12,2,FALSE))&lt;$R$14,$AG20&lt;&gt;AI$18,C18=1),(VLOOKUP(AI$18,$A$2:$L$12,5,FALSE)*1440)-(VLOOKUP($AG20,$A$2:$L$12,6,FALSE))*1440,0)</f>
        <v>0</v>
      </c>
      <c r="AJ20">
        <f t="shared" ref="AJ20:AJ29" si="10">IF(AND(SUM(VLOOKUP($AG20,$A$2:$L$12,2,FALSE),VLOOKUP(AJ$18,$A$2:$L$12,2,FALSE))&lt;$R$14,$AG20&lt;&gt;AJ$18,D18=1),(VLOOKUP(AJ$18,$A$2:$L$12,5,FALSE)*1440)-(VLOOKUP($AG20,$A$2:$L$12,6,FALSE))*1440,0)</f>
        <v>0</v>
      </c>
      <c r="AK20">
        <f t="shared" ref="AK20:AK29" si="11">IF(AND(SUM(VLOOKUP($AG20,$A$2:$L$12,2,FALSE),VLOOKUP(AK$18,$A$2:$L$12,2,FALSE))&lt;$R$14,$AG20&lt;&gt;AK$18,E18=1),(VLOOKUP(AK$18,$A$2:$L$12,5,FALSE)*1440)-(VLOOKUP($AG20,$A$2:$L$12,6,FALSE))*1440,0)</f>
        <v>100</v>
      </c>
      <c r="AL20">
        <f t="shared" ref="AL20:AL29" si="12">IF(AND(SUM(VLOOKUP($AG20,$A$2:$L$12,2,FALSE),VLOOKUP(AL$18,$A$2:$L$12,2,FALSE))&lt;$R$14,$AG20&lt;&gt;AL$18,F18=1),(VLOOKUP(AL$18,$A$2:$L$12,5,FALSE)*1440)-(VLOOKUP($AG20,$A$2:$L$12,6,FALSE))*1440,0)</f>
        <v>460</v>
      </c>
      <c r="AM20">
        <f t="shared" ref="AM20:AM29" si="13">IF(AND(SUM(VLOOKUP($AG20,$A$2:$L$12,2,FALSE),VLOOKUP(AM$18,$A$2:$L$12,2,FALSE))&lt;$R$14,$AG20&lt;&gt;AM$18,G18=1),(VLOOKUP(AM$18,$A$2:$L$12,5,FALSE)*1440)-(VLOOKUP($AG20,$A$2:$L$12,6,FALSE))*1440,0)</f>
        <v>520</v>
      </c>
      <c r="AN20">
        <f t="shared" ref="AN20:AN29" si="14">IF(AND(SUM(VLOOKUP($AG20,$A$2:$L$12,2,FALSE),VLOOKUP(AN$18,$A$2:$L$12,2,FALSE))&lt;$R$14,$AG20&lt;&gt;AN$18,H18=1),(VLOOKUP(AN$18,$A$2:$L$12,5,FALSE)*1440)-(VLOOKUP($AG20,$A$2:$L$12,6,FALSE))*1440,0)</f>
        <v>0</v>
      </c>
      <c r="AO20">
        <f t="shared" ref="AO20:AO29" si="15">IF(AND(SUM(VLOOKUP($AG20,$A$2:$L$12,2,FALSE),VLOOKUP(AO$18,$A$2:$L$12,2,FALSE))&lt;$R$14,$AG20&lt;&gt;AO$18,I18=1),(VLOOKUP(AO$18,$A$2:$L$12,5,FALSE)*1440)-(VLOOKUP($AG20,$A$2:$L$12,6,FALSE))*1440,0)</f>
        <v>44.999999999999886</v>
      </c>
      <c r="AP20">
        <f t="shared" ref="AP20:AP29" si="16">IF(AND(SUM(VLOOKUP($AG20,$A$2:$L$12,2,FALSE),VLOOKUP(AP$18,$A$2:$L$12,2,FALSE))&lt;$R$14,$AG20&lt;&gt;AP$18,J18=1),(VLOOKUP(AP$18,$A$2:$L$12,5,FALSE)*1440)-(VLOOKUP($AG20,$A$2:$L$12,6,FALSE))*1440,0)</f>
        <v>165</v>
      </c>
      <c r="AQ20">
        <f t="shared" ref="AQ20:AQ29" si="17">IF(AND(SUM(VLOOKUP($AG20,$A$2:$L$12,2,FALSE),VLOOKUP(AQ$18,$A$2:$L$12,2,FALSE))&lt;$R$14,$AG20&lt;&gt;AQ$18,K18=1),(VLOOKUP(AQ$18,$A$2:$L$12,5,FALSE)*1440)-(VLOOKUP($AG20,$A$2:$L$12,6,FALSE))*1440,0)</f>
        <v>225.00000000000011</v>
      </c>
      <c r="AR20">
        <f t="shared" ref="AR20:AR29" si="18">IF(AND(SUM(VLOOKUP($AG20,$A$2:$L$12,2,FALSE),VLOOKUP(AR$18,$A$2:$L$12,2,FALSE))&lt;$R$14,$AG20&lt;&gt;AR$18,L18=1),(VLOOKUP(AR$18,$A$2:$L$12,5,FALSE)*1440)-(VLOOKUP($AG20,$A$2:$L$12,6,FALSE))*1440,0)</f>
        <v>345</v>
      </c>
      <c r="AS20">
        <v>10</v>
      </c>
      <c r="AT20">
        <v>15</v>
      </c>
    </row>
    <row r="21" spans="1:46" x14ac:dyDescent="0.25">
      <c r="A21" t="s">
        <v>22</v>
      </c>
      <c r="B21">
        <v>1</v>
      </c>
      <c r="C21">
        <f t="shared" si="4"/>
        <v>0</v>
      </c>
      <c r="D21">
        <f t="shared" si="4"/>
        <v>0</v>
      </c>
      <c r="E21">
        <f t="shared" si="4"/>
        <v>0</v>
      </c>
      <c r="F21">
        <f t="shared" si="4"/>
        <v>0</v>
      </c>
      <c r="G21">
        <f t="shared" si="4"/>
        <v>0</v>
      </c>
      <c r="H21">
        <f t="shared" si="4"/>
        <v>0</v>
      </c>
      <c r="I21">
        <f t="shared" si="4"/>
        <v>0</v>
      </c>
      <c r="J21">
        <f t="shared" si="4"/>
        <v>0</v>
      </c>
      <c r="K21">
        <f t="shared" si="4"/>
        <v>0</v>
      </c>
      <c r="L21">
        <f t="shared" si="4"/>
        <v>0</v>
      </c>
      <c r="O21" t="s">
        <v>22</v>
      </c>
      <c r="P21">
        <v>0</v>
      </c>
      <c r="Q21">
        <f t="shared" si="7"/>
        <v>0</v>
      </c>
      <c r="R21">
        <f t="shared" si="5"/>
        <v>0</v>
      </c>
      <c r="S21">
        <f>IF(AND(SUM(VLOOKUP($O21,$A$3:$G$12,2,FALSE),VLOOKUP(S$16,$A$3:$G$12,2,FALSE))&lt;$R$14,$O21&lt;&gt;S$16,E21=1),SUM(VLOOKUP($O21,$A$3:$G$12,2,FALSE),VLOOKUP(S$16,$A$3:$G$12,2,FALSE)),0)</f>
        <v>0</v>
      </c>
      <c r="T21">
        <f>IF(AND(SUM(VLOOKUP($O21,$A$3:$G$12,2,FALSE),VLOOKUP(T$16,$A$3:$G$12,2,FALSE))&lt;$R$14,$O21&lt;&gt;T$16,F21=1),SUM(VLOOKUP($O21,$A$3:$G$12,2,FALSE),VLOOKUP(T$16,$A$3:$G$12,2,FALSE)),0)</f>
        <v>0</v>
      </c>
      <c r="U21">
        <f>IF(AND(SUM(VLOOKUP($O21,$A$3:$G$12,2,FALSE),VLOOKUP(U$16,$A$3:$G$12,2,FALSE))&lt;$R$14,$O21&lt;&gt;U$16,G21=1),SUM(VLOOKUP($O21,$A$3:$G$12,2,FALSE),VLOOKUP(U$16,$A$3:$G$12,2,FALSE)),0)</f>
        <v>0</v>
      </c>
      <c r="V21">
        <f t="shared" si="6"/>
        <v>0</v>
      </c>
      <c r="W21">
        <f>IF(AND(SUM(VLOOKUP($O21,$A$3:$G$12,2,FALSE),VLOOKUP(W$16,$A$3:$G$12,2,FALSE))&lt;$R$14,$O21&lt;&gt;W$16,I21=1),SUM(VLOOKUP($O21,$A$3:$G$12,2,FALSE),VLOOKUP(W$16,$A$3:$G$12,2,FALSE)),0)</f>
        <v>0</v>
      </c>
      <c r="X21">
        <f t="shared" si="8"/>
        <v>0</v>
      </c>
      <c r="Y21">
        <f t="shared" si="8"/>
        <v>0</v>
      </c>
      <c r="Z21">
        <f>IF(AND(SUM(VLOOKUP($O21,$A$3:$G$12,2,FALSE),VLOOKUP(Z$16,$A$3:$G$12,2,FALSE))&lt;$R$14,$O21&lt;&gt;Z$16,L21=1),SUM(VLOOKUP($O21,$A$3:$G$12,2,FALSE),VLOOKUP(Z$16,$A$3:$G$12,2,FALSE)),0)</f>
        <v>0</v>
      </c>
      <c r="AA21">
        <v>0</v>
      </c>
      <c r="AB21">
        <v>0</v>
      </c>
      <c r="AC21">
        <v>0</v>
      </c>
      <c r="AG21" t="s">
        <v>20</v>
      </c>
      <c r="AH21">
        <v>0</v>
      </c>
      <c r="AI21">
        <f t="shared" si="9"/>
        <v>0</v>
      </c>
      <c r="AJ21">
        <f t="shared" si="10"/>
        <v>0</v>
      </c>
      <c r="AK21">
        <f t="shared" si="11"/>
        <v>0</v>
      </c>
      <c r="AL21">
        <f t="shared" si="12"/>
        <v>340</v>
      </c>
      <c r="AM21">
        <f t="shared" si="13"/>
        <v>400</v>
      </c>
      <c r="AN21">
        <f t="shared" si="14"/>
        <v>0</v>
      </c>
      <c r="AO21">
        <f t="shared" si="15"/>
        <v>0</v>
      </c>
      <c r="AP21">
        <f t="shared" si="16"/>
        <v>45</v>
      </c>
      <c r="AQ21">
        <f t="shared" si="17"/>
        <v>105.00000000000011</v>
      </c>
      <c r="AR21">
        <f t="shared" si="18"/>
        <v>225</v>
      </c>
      <c r="AS21">
        <v>10</v>
      </c>
      <c r="AT21">
        <v>15</v>
      </c>
    </row>
    <row r="22" spans="1:46" x14ac:dyDescent="0.25">
      <c r="A22" t="s">
        <v>23</v>
      </c>
      <c r="B22">
        <v>1</v>
      </c>
      <c r="C22">
        <f t="shared" si="4"/>
        <v>0</v>
      </c>
      <c r="D22">
        <f t="shared" si="4"/>
        <v>0</v>
      </c>
      <c r="E22">
        <f t="shared" si="4"/>
        <v>0</v>
      </c>
      <c r="F22">
        <f t="shared" si="4"/>
        <v>0</v>
      </c>
      <c r="G22">
        <f t="shared" si="4"/>
        <v>0</v>
      </c>
      <c r="H22">
        <f t="shared" si="4"/>
        <v>0</v>
      </c>
      <c r="I22">
        <f t="shared" si="4"/>
        <v>0</v>
      </c>
      <c r="J22">
        <f t="shared" si="4"/>
        <v>0</v>
      </c>
      <c r="K22">
        <f t="shared" si="4"/>
        <v>0</v>
      </c>
      <c r="L22">
        <f t="shared" si="4"/>
        <v>0</v>
      </c>
      <c r="O22" t="s">
        <v>23</v>
      </c>
      <c r="P22">
        <v>0</v>
      </c>
      <c r="Q22">
        <f t="shared" si="7"/>
        <v>0</v>
      </c>
      <c r="R22">
        <f t="shared" si="5"/>
        <v>0</v>
      </c>
      <c r="S22">
        <f>IF(AND(SUM(VLOOKUP($O22,$A$3:$G$12,2,FALSE),VLOOKUP(S$16,$A$3:$G$12,2,FALSE))&lt;$R$14,$O22&lt;&gt;S$16,E22=1),SUM(VLOOKUP($O22,$A$3:$G$12,2,FALSE),VLOOKUP(S$16,$A$3:$G$12,2,FALSE)),0)</f>
        <v>0</v>
      </c>
      <c r="T22">
        <f>IF(AND(SUM(VLOOKUP($O22,$A$3:$G$12,2,FALSE),VLOOKUP(T$16,$A$3:$G$12,2,FALSE))&lt;$R$14,$O22&lt;&gt;T$16,F22=1),SUM(VLOOKUP($O22,$A$3:$G$12,2,FALSE),VLOOKUP(T$16,$A$3:$G$12,2,FALSE)),0)</f>
        <v>0</v>
      </c>
      <c r="U22">
        <f>IF(AND(SUM(VLOOKUP($O22,$A$3:$G$12,2,FALSE),VLOOKUP(U$16,$A$3:$G$12,2,FALSE))&lt;$R$14,$O22&lt;&gt;U$16,G22=1),SUM(VLOOKUP($O22,$A$3:$G$12,2,FALSE),VLOOKUP(U$16,$A$3:$G$12,2,FALSE)),0)</f>
        <v>0</v>
      </c>
      <c r="V22">
        <f t="shared" si="6"/>
        <v>0</v>
      </c>
      <c r="W22">
        <f>IF(AND(SUM(VLOOKUP($O22,$A$3:$G$12,2,FALSE),VLOOKUP(W$16,$A$3:$G$12,2,FALSE))&lt;$R$14,$O22&lt;&gt;W$16,I22=1),SUM(VLOOKUP($O22,$A$3:$G$12,2,FALSE),VLOOKUP(W$16,$A$3:$G$12,2,FALSE)),0)</f>
        <v>0</v>
      </c>
      <c r="X22">
        <f t="shared" si="8"/>
        <v>0</v>
      </c>
      <c r="Y22">
        <f t="shared" si="8"/>
        <v>0</v>
      </c>
      <c r="Z22">
        <f>IF(AND(SUM(VLOOKUP($O22,$A$3:$G$12,2,FALSE),VLOOKUP(Z$16,$A$3:$G$12,2,FALSE))&lt;$R$14,$O22&lt;&gt;Z$16,L22=1),SUM(VLOOKUP($O22,$A$3:$G$12,2,FALSE),VLOOKUP(Z$16,$A$3:$G$12,2,FALSE)),0)</f>
        <v>0</v>
      </c>
      <c r="AA22">
        <v>0</v>
      </c>
      <c r="AB22">
        <v>0</v>
      </c>
      <c r="AC22">
        <v>0</v>
      </c>
      <c r="AG22" t="s">
        <v>21</v>
      </c>
      <c r="AH22">
        <v>0</v>
      </c>
      <c r="AI22">
        <f t="shared" si="9"/>
        <v>0</v>
      </c>
      <c r="AJ22">
        <f t="shared" si="10"/>
        <v>0</v>
      </c>
      <c r="AK22">
        <f t="shared" si="11"/>
        <v>0</v>
      </c>
      <c r="AL22">
        <f t="shared" si="12"/>
        <v>220</v>
      </c>
      <c r="AM22">
        <f t="shared" si="13"/>
        <v>280</v>
      </c>
      <c r="AN22">
        <f t="shared" si="14"/>
        <v>0</v>
      </c>
      <c r="AO22">
        <f t="shared" si="15"/>
        <v>0</v>
      </c>
      <c r="AP22">
        <f t="shared" si="16"/>
        <v>0</v>
      </c>
      <c r="AQ22">
        <f t="shared" si="17"/>
        <v>0</v>
      </c>
      <c r="AR22">
        <f t="shared" si="18"/>
        <v>105</v>
      </c>
      <c r="AS22">
        <v>10</v>
      </c>
      <c r="AT22">
        <v>15</v>
      </c>
    </row>
    <row r="23" spans="1:46" x14ac:dyDescent="0.25">
      <c r="A23" t="s">
        <v>34</v>
      </c>
      <c r="B23">
        <v>1</v>
      </c>
      <c r="C23">
        <f t="shared" si="4"/>
        <v>0</v>
      </c>
      <c r="D23">
        <f t="shared" si="4"/>
        <v>0</v>
      </c>
      <c r="E23">
        <f t="shared" si="4"/>
        <v>1</v>
      </c>
      <c r="F23">
        <f t="shared" si="4"/>
        <v>1</v>
      </c>
      <c r="G23">
        <f t="shared" si="4"/>
        <v>1</v>
      </c>
      <c r="H23">
        <f t="shared" si="4"/>
        <v>0</v>
      </c>
      <c r="I23">
        <f t="shared" si="4"/>
        <v>1</v>
      </c>
      <c r="J23">
        <f t="shared" si="4"/>
        <v>1</v>
      </c>
      <c r="K23">
        <f t="shared" si="4"/>
        <v>1</v>
      </c>
      <c r="L23">
        <f t="shared" si="4"/>
        <v>1</v>
      </c>
      <c r="O23" t="s">
        <v>34</v>
      </c>
      <c r="P23">
        <v>0</v>
      </c>
      <c r="Q23">
        <f t="shared" si="7"/>
        <v>0</v>
      </c>
      <c r="R23">
        <f t="shared" si="5"/>
        <v>0</v>
      </c>
      <c r="S23">
        <v>280</v>
      </c>
      <c r="T23">
        <v>280</v>
      </c>
      <c r="U23">
        <v>280</v>
      </c>
      <c r="V23">
        <f t="shared" si="6"/>
        <v>0</v>
      </c>
      <c r="W23">
        <v>280</v>
      </c>
      <c r="X23">
        <v>280</v>
      </c>
      <c r="Y23">
        <v>280</v>
      </c>
      <c r="Z23">
        <v>280</v>
      </c>
      <c r="AA23">
        <v>0</v>
      </c>
      <c r="AB23">
        <v>0</v>
      </c>
      <c r="AC23">
        <v>0</v>
      </c>
      <c r="AG23" t="s">
        <v>22</v>
      </c>
      <c r="AH23">
        <v>0</v>
      </c>
      <c r="AI23">
        <f t="shared" si="9"/>
        <v>0</v>
      </c>
      <c r="AJ23">
        <f t="shared" si="10"/>
        <v>0</v>
      </c>
      <c r="AK23">
        <f t="shared" si="11"/>
        <v>0</v>
      </c>
      <c r="AL23">
        <f t="shared" si="12"/>
        <v>0</v>
      </c>
      <c r="AM23">
        <f t="shared" si="13"/>
        <v>0</v>
      </c>
      <c r="AN23">
        <f t="shared" si="14"/>
        <v>0</v>
      </c>
      <c r="AO23">
        <f t="shared" si="15"/>
        <v>0</v>
      </c>
      <c r="AP23">
        <f t="shared" si="16"/>
        <v>0</v>
      </c>
      <c r="AQ23">
        <f t="shared" si="17"/>
        <v>0</v>
      </c>
      <c r="AR23">
        <f t="shared" si="18"/>
        <v>0</v>
      </c>
      <c r="AS23">
        <v>10</v>
      </c>
      <c r="AT23">
        <v>15</v>
      </c>
    </row>
    <row r="24" spans="1:46" x14ac:dyDescent="0.25">
      <c r="A24" t="s">
        <v>35</v>
      </c>
      <c r="B24">
        <v>1</v>
      </c>
      <c r="C24">
        <f t="shared" si="4"/>
        <v>0</v>
      </c>
      <c r="D24">
        <f t="shared" si="4"/>
        <v>0</v>
      </c>
      <c r="E24">
        <f t="shared" si="4"/>
        <v>0</v>
      </c>
      <c r="F24">
        <f t="shared" si="4"/>
        <v>1</v>
      </c>
      <c r="G24">
        <f t="shared" si="4"/>
        <v>1</v>
      </c>
      <c r="H24">
        <f t="shared" si="4"/>
        <v>0</v>
      </c>
      <c r="I24">
        <f t="shared" si="4"/>
        <v>0</v>
      </c>
      <c r="J24">
        <f t="shared" si="4"/>
        <v>0</v>
      </c>
      <c r="K24">
        <f t="shared" si="4"/>
        <v>1</v>
      </c>
      <c r="L24">
        <f t="shared" si="4"/>
        <v>1</v>
      </c>
      <c r="O24" t="s">
        <v>35</v>
      </c>
      <c r="P24">
        <v>0</v>
      </c>
      <c r="Q24">
        <f t="shared" si="7"/>
        <v>0</v>
      </c>
      <c r="R24">
        <f t="shared" si="5"/>
        <v>0</v>
      </c>
      <c r="S24">
        <f>IF(AND(SUM(VLOOKUP($O24,$A$3:$G$12,2,FALSE),VLOOKUP(S$16,$A$3:$G$12,2,FALSE))&lt;$R$14,$O24&lt;&gt;S$16,E24=1),SUM(VLOOKUP($O24,$A$3:$G$12,2,FALSE),VLOOKUP(S$16,$A$3:$G$12,2,FALSE)),0)</f>
        <v>0</v>
      </c>
      <c r="T24">
        <v>280</v>
      </c>
      <c r="U24">
        <v>280</v>
      </c>
      <c r="V24">
        <f t="shared" si="6"/>
        <v>0</v>
      </c>
      <c r="W24">
        <f t="shared" ref="W24:X27" si="19">IF(AND(SUM(VLOOKUP($O24,$A$3:$G$12,2,FALSE),VLOOKUP(W$16,$A$3:$G$12,2,FALSE))&lt;$R$14,$O24&lt;&gt;W$16,I24=1),SUM(VLOOKUP($O24,$A$3:$G$12,2,FALSE),VLOOKUP(W$16,$A$3:$G$12,2,FALSE)),0)</f>
        <v>0</v>
      </c>
      <c r="X24">
        <f t="shared" si="19"/>
        <v>0</v>
      </c>
      <c r="Y24">
        <v>280</v>
      </c>
      <c r="Z24">
        <v>280</v>
      </c>
      <c r="AA24">
        <v>0</v>
      </c>
      <c r="AB24">
        <v>0</v>
      </c>
      <c r="AC24">
        <v>0</v>
      </c>
      <c r="AG24" t="s">
        <v>23</v>
      </c>
      <c r="AH24">
        <v>0</v>
      </c>
      <c r="AI24">
        <f t="shared" si="9"/>
        <v>0</v>
      </c>
      <c r="AJ24">
        <f t="shared" si="10"/>
        <v>0</v>
      </c>
      <c r="AK24">
        <f t="shared" si="11"/>
        <v>0</v>
      </c>
      <c r="AL24">
        <f t="shared" si="12"/>
        <v>0</v>
      </c>
      <c r="AM24">
        <f t="shared" si="13"/>
        <v>0</v>
      </c>
      <c r="AN24">
        <f t="shared" si="14"/>
        <v>0</v>
      </c>
      <c r="AO24">
        <f t="shared" si="15"/>
        <v>0</v>
      </c>
      <c r="AP24">
        <f t="shared" si="16"/>
        <v>0</v>
      </c>
      <c r="AQ24">
        <f t="shared" si="17"/>
        <v>0</v>
      </c>
      <c r="AR24">
        <f t="shared" si="18"/>
        <v>0</v>
      </c>
      <c r="AS24">
        <v>10</v>
      </c>
      <c r="AT24">
        <v>15</v>
      </c>
    </row>
    <row r="25" spans="1:46" x14ac:dyDescent="0.25">
      <c r="A25" t="s">
        <v>36</v>
      </c>
      <c r="B25">
        <v>1</v>
      </c>
      <c r="C25">
        <f t="shared" si="4"/>
        <v>0</v>
      </c>
      <c r="D25">
        <f t="shared" si="4"/>
        <v>0</v>
      </c>
      <c r="E25">
        <f t="shared" si="4"/>
        <v>0</v>
      </c>
      <c r="F25">
        <f t="shared" si="4"/>
        <v>1</v>
      </c>
      <c r="G25">
        <f t="shared" si="4"/>
        <v>1</v>
      </c>
      <c r="H25">
        <f t="shared" si="4"/>
        <v>0</v>
      </c>
      <c r="I25">
        <f t="shared" si="4"/>
        <v>0</v>
      </c>
      <c r="J25">
        <f t="shared" si="4"/>
        <v>0</v>
      </c>
      <c r="K25">
        <f t="shared" si="4"/>
        <v>0</v>
      </c>
      <c r="L25">
        <f t="shared" si="4"/>
        <v>1</v>
      </c>
      <c r="O25" t="s">
        <v>36</v>
      </c>
      <c r="P25">
        <v>0</v>
      </c>
      <c r="Q25">
        <f t="shared" si="7"/>
        <v>0</v>
      </c>
      <c r="R25">
        <f t="shared" si="5"/>
        <v>0</v>
      </c>
      <c r="S25">
        <f>IF(AND(SUM(VLOOKUP($O25,$A$3:$G$12,2,FALSE),VLOOKUP(S$16,$A$3:$G$12,2,FALSE))&lt;$R$14,$O25&lt;&gt;S$16,E25=1),SUM(VLOOKUP($O25,$A$3:$G$12,2,FALSE),VLOOKUP(S$16,$A$3:$G$12,2,FALSE)),0)</f>
        <v>0</v>
      </c>
      <c r="T25">
        <v>280</v>
      </c>
      <c r="U25">
        <v>280</v>
      </c>
      <c r="V25">
        <f t="shared" si="6"/>
        <v>0</v>
      </c>
      <c r="W25">
        <f t="shared" si="19"/>
        <v>0</v>
      </c>
      <c r="X25">
        <f t="shared" si="19"/>
        <v>0</v>
      </c>
      <c r="Y25">
        <f>IF(AND(SUM(VLOOKUP($O25,$A$3:$G$12,2,FALSE),VLOOKUP(Y$16,$A$3:$G$12,2,FALSE))&lt;$R$14,$O25&lt;&gt;Y$16,K25=1),SUM(VLOOKUP($O25,$A$3:$G$12,2,FALSE),VLOOKUP(Y$16,$A$3:$G$12,2,FALSE)),0)</f>
        <v>0</v>
      </c>
      <c r="Z25">
        <v>280</v>
      </c>
      <c r="AA25">
        <v>0</v>
      </c>
      <c r="AB25">
        <v>0</v>
      </c>
      <c r="AC25">
        <v>0</v>
      </c>
      <c r="AG25" t="s">
        <v>34</v>
      </c>
      <c r="AH25">
        <v>0</v>
      </c>
      <c r="AI25">
        <f t="shared" si="9"/>
        <v>0</v>
      </c>
      <c r="AJ25">
        <f t="shared" si="10"/>
        <v>0</v>
      </c>
      <c r="AK25">
        <f t="shared" si="11"/>
        <v>85</v>
      </c>
      <c r="AL25">
        <f t="shared" si="12"/>
        <v>445</v>
      </c>
      <c r="AM25">
        <f t="shared" si="13"/>
        <v>505</v>
      </c>
      <c r="AN25">
        <f t="shared" si="14"/>
        <v>0</v>
      </c>
      <c r="AO25">
        <f t="shared" si="15"/>
        <v>29.999999999999886</v>
      </c>
      <c r="AP25">
        <f t="shared" si="16"/>
        <v>150</v>
      </c>
      <c r="AQ25">
        <f t="shared" si="17"/>
        <v>210.00000000000011</v>
      </c>
      <c r="AR25">
        <f t="shared" si="18"/>
        <v>330</v>
      </c>
      <c r="AS25">
        <v>10</v>
      </c>
      <c r="AT25">
        <v>15</v>
      </c>
    </row>
    <row r="26" spans="1:46" x14ac:dyDescent="0.25">
      <c r="A26" t="s">
        <v>37</v>
      </c>
      <c r="B26">
        <v>1</v>
      </c>
      <c r="C26">
        <f t="shared" si="4"/>
        <v>0</v>
      </c>
      <c r="D26">
        <f t="shared" si="4"/>
        <v>0</v>
      </c>
      <c r="E26">
        <f t="shared" si="4"/>
        <v>0</v>
      </c>
      <c r="F26">
        <f t="shared" si="4"/>
        <v>1</v>
      </c>
      <c r="G26">
        <f t="shared" si="4"/>
        <v>1</v>
      </c>
      <c r="H26">
        <f t="shared" si="4"/>
        <v>0</v>
      </c>
      <c r="I26">
        <f t="shared" si="4"/>
        <v>0</v>
      </c>
      <c r="J26">
        <f t="shared" si="4"/>
        <v>0</v>
      </c>
      <c r="K26">
        <f t="shared" si="4"/>
        <v>0</v>
      </c>
      <c r="L26">
        <f t="shared" si="4"/>
        <v>0</v>
      </c>
      <c r="O26" t="s">
        <v>37</v>
      </c>
      <c r="P26">
        <v>0</v>
      </c>
      <c r="Q26">
        <f t="shared" si="7"/>
        <v>0</v>
      </c>
      <c r="R26">
        <f t="shared" si="5"/>
        <v>0</v>
      </c>
      <c r="S26">
        <f>IF(AND(SUM(VLOOKUP($O26,$A$3:$G$12,2,FALSE),VLOOKUP(S$16,$A$3:$G$12,2,FALSE))&lt;$R$14,$O26&lt;&gt;S$16,E26=1),SUM(VLOOKUP($O26,$A$3:$G$12,2,FALSE),VLOOKUP(S$16,$A$3:$G$12,2,FALSE)),0)</f>
        <v>0</v>
      </c>
      <c r="T26">
        <v>280</v>
      </c>
      <c r="U26">
        <v>280</v>
      </c>
      <c r="V26">
        <f t="shared" si="6"/>
        <v>0</v>
      </c>
      <c r="W26">
        <f t="shared" si="19"/>
        <v>0</v>
      </c>
      <c r="X26">
        <f t="shared" si="19"/>
        <v>0</v>
      </c>
      <c r="Y26">
        <f>IF(AND(SUM(VLOOKUP($O26,$A$3:$G$12,2,FALSE),VLOOKUP(Y$16,$A$3:$G$12,2,FALSE))&lt;$R$14,$O26&lt;&gt;Y$16,K26=1),SUM(VLOOKUP($O26,$A$3:$G$12,2,FALSE),VLOOKUP(Y$16,$A$3:$G$12,2,FALSE)),0)</f>
        <v>0</v>
      </c>
      <c r="Z26">
        <f>IF(AND(SUM(VLOOKUP($O26,$A$3:$G$12,2,FALSE),VLOOKUP(Z$16,$A$3:$G$12,2,FALSE))&lt;$R$14,$O26&lt;&gt;Z$16,L26=1),SUM(VLOOKUP($O26,$A$3:$G$12,2,FALSE),VLOOKUP(Z$16,$A$3:$G$12,2,FALSE)),0)</f>
        <v>0</v>
      </c>
      <c r="AA26">
        <v>0</v>
      </c>
      <c r="AB26">
        <v>0</v>
      </c>
      <c r="AC26">
        <v>0</v>
      </c>
      <c r="AG26" t="s">
        <v>35</v>
      </c>
      <c r="AH26">
        <v>0</v>
      </c>
      <c r="AI26">
        <f t="shared" si="9"/>
        <v>0</v>
      </c>
      <c r="AJ26">
        <f t="shared" si="10"/>
        <v>0</v>
      </c>
      <c r="AK26">
        <f t="shared" si="11"/>
        <v>0</v>
      </c>
      <c r="AL26">
        <f t="shared" si="12"/>
        <v>275.00000000000011</v>
      </c>
      <c r="AM26">
        <f t="shared" si="13"/>
        <v>335.00000000000011</v>
      </c>
      <c r="AN26">
        <f t="shared" si="14"/>
        <v>0</v>
      </c>
      <c r="AO26">
        <f t="shared" si="15"/>
        <v>0</v>
      </c>
      <c r="AP26">
        <f t="shared" si="16"/>
        <v>0</v>
      </c>
      <c r="AQ26">
        <f t="shared" si="17"/>
        <v>40.000000000000227</v>
      </c>
      <c r="AR26">
        <f t="shared" si="18"/>
        <v>160.00000000000011</v>
      </c>
      <c r="AS26">
        <v>10</v>
      </c>
      <c r="AT26">
        <v>15</v>
      </c>
    </row>
    <row r="27" spans="1:46" x14ac:dyDescent="0.25">
      <c r="A27" t="s">
        <v>38</v>
      </c>
      <c r="B27">
        <v>1</v>
      </c>
      <c r="C27">
        <f t="shared" si="4"/>
        <v>0</v>
      </c>
      <c r="D27">
        <f t="shared" si="4"/>
        <v>0</v>
      </c>
      <c r="E27">
        <f t="shared" si="4"/>
        <v>0</v>
      </c>
      <c r="F27">
        <f t="shared" si="4"/>
        <v>0</v>
      </c>
      <c r="G27">
        <f t="shared" si="4"/>
        <v>1</v>
      </c>
      <c r="H27">
        <f t="shared" si="4"/>
        <v>0</v>
      </c>
      <c r="I27">
        <f t="shared" si="4"/>
        <v>0</v>
      </c>
      <c r="J27">
        <f t="shared" si="4"/>
        <v>0</v>
      </c>
      <c r="K27">
        <f t="shared" si="4"/>
        <v>0</v>
      </c>
      <c r="L27">
        <f t="shared" si="4"/>
        <v>0</v>
      </c>
      <c r="O27" t="s">
        <v>38</v>
      </c>
      <c r="P27">
        <v>0</v>
      </c>
      <c r="Q27">
        <f t="shared" si="7"/>
        <v>0</v>
      </c>
      <c r="R27">
        <f t="shared" si="5"/>
        <v>0</v>
      </c>
      <c r="S27">
        <f>IF(AND(SUM(VLOOKUP($O27,$A$3:$G$12,2,FALSE),VLOOKUP(S$16,$A$3:$G$12,2,FALSE))&lt;$R$14,$O27&lt;&gt;S$16,E27=1),SUM(VLOOKUP($O27,$A$3:$G$12,2,FALSE),VLOOKUP(S$16,$A$3:$G$12,2,FALSE)),0)</f>
        <v>0</v>
      </c>
      <c r="T27">
        <f>IF(AND(SUM(VLOOKUP($O27,$A$3:$G$12,2,FALSE),VLOOKUP(T$16,$A$3:$G$12,2,FALSE))&lt;$R$14,$O27&lt;&gt;T$16,F27=1),SUM(VLOOKUP($O27,$A$3:$G$12,2,FALSE),VLOOKUP(T$16,$A$3:$G$12,2,FALSE)),0)</f>
        <v>0</v>
      </c>
      <c r="U27">
        <v>280</v>
      </c>
      <c r="V27">
        <f t="shared" si="6"/>
        <v>0</v>
      </c>
      <c r="W27">
        <f t="shared" si="19"/>
        <v>0</v>
      </c>
      <c r="X27">
        <f t="shared" si="19"/>
        <v>0</v>
      </c>
      <c r="Y27">
        <f>IF(AND(SUM(VLOOKUP($O27,$A$3:$G$12,2,FALSE),VLOOKUP(Y$16,$A$3:$G$12,2,FALSE))&lt;$R$14,$O27&lt;&gt;Y$16,K27=1),SUM(VLOOKUP($O27,$A$3:$G$12,2,FALSE),VLOOKUP(Y$16,$A$3:$G$12,2,FALSE)),0)</f>
        <v>0</v>
      </c>
      <c r="Z27">
        <f>IF(AND(SUM(VLOOKUP($O27,$A$3:$G$12,2,FALSE),VLOOKUP(Z$16,$A$3:$G$12,2,FALSE))&lt;$R$14,$O27&lt;&gt;Z$16,L27=1),SUM(VLOOKUP($O27,$A$3:$G$12,2,FALSE),VLOOKUP(Z$16,$A$3:$G$12,2,FALSE)),0)</f>
        <v>0</v>
      </c>
      <c r="AA27">
        <v>0</v>
      </c>
      <c r="AB27">
        <v>0</v>
      </c>
      <c r="AC27">
        <v>0</v>
      </c>
      <c r="AG27" t="s">
        <v>36</v>
      </c>
      <c r="AH27">
        <v>0</v>
      </c>
      <c r="AI27">
        <f t="shared" si="9"/>
        <v>0</v>
      </c>
      <c r="AJ27">
        <f t="shared" si="10"/>
        <v>0</v>
      </c>
      <c r="AK27">
        <f t="shared" si="11"/>
        <v>0</v>
      </c>
      <c r="AL27">
        <f t="shared" si="12"/>
        <v>154.99999999999989</v>
      </c>
      <c r="AM27">
        <f t="shared" si="13"/>
        <v>214.99999999999989</v>
      </c>
      <c r="AN27">
        <f t="shared" si="14"/>
        <v>0</v>
      </c>
      <c r="AO27">
        <f t="shared" si="15"/>
        <v>0</v>
      </c>
      <c r="AP27">
        <f t="shared" si="16"/>
        <v>0</v>
      </c>
      <c r="AQ27">
        <f t="shared" si="17"/>
        <v>0</v>
      </c>
      <c r="AR27">
        <f t="shared" si="18"/>
        <v>39.999999999999886</v>
      </c>
      <c r="AS27">
        <v>10</v>
      </c>
      <c r="AT27">
        <v>15</v>
      </c>
    </row>
    <row r="28" spans="1:46" x14ac:dyDescent="0.25">
      <c r="O28" t="s">
        <v>48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G28" t="s">
        <v>37</v>
      </c>
      <c r="AH28">
        <v>0</v>
      </c>
      <c r="AI28">
        <f t="shared" si="9"/>
        <v>0</v>
      </c>
      <c r="AJ28">
        <f t="shared" si="10"/>
        <v>0</v>
      </c>
      <c r="AK28">
        <f t="shared" si="11"/>
        <v>0</v>
      </c>
      <c r="AL28">
        <f t="shared" si="12"/>
        <v>95</v>
      </c>
      <c r="AM28">
        <f t="shared" si="13"/>
        <v>155</v>
      </c>
      <c r="AN28">
        <f t="shared" si="14"/>
        <v>0</v>
      </c>
      <c r="AO28">
        <f t="shared" si="15"/>
        <v>0</v>
      </c>
      <c r="AP28">
        <f t="shared" si="16"/>
        <v>0</v>
      </c>
      <c r="AQ28">
        <f t="shared" si="17"/>
        <v>0</v>
      </c>
      <c r="AR28">
        <f t="shared" si="18"/>
        <v>0</v>
      </c>
      <c r="AS28">
        <v>10</v>
      </c>
      <c r="AT28">
        <v>15</v>
      </c>
    </row>
    <row r="29" spans="1:46" x14ac:dyDescent="0.25">
      <c r="O29" t="s">
        <v>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G29" t="s">
        <v>38</v>
      </c>
      <c r="AH29">
        <v>0</v>
      </c>
      <c r="AI29">
        <f t="shared" si="9"/>
        <v>0</v>
      </c>
      <c r="AJ29">
        <f t="shared" si="10"/>
        <v>0</v>
      </c>
      <c r="AK29">
        <f t="shared" si="11"/>
        <v>0</v>
      </c>
      <c r="AL29">
        <f t="shared" si="12"/>
        <v>0</v>
      </c>
      <c r="AM29">
        <f t="shared" si="13"/>
        <v>34.999999999999773</v>
      </c>
      <c r="AN29">
        <f t="shared" si="14"/>
        <v>0</v>
      </c>
      <c r="AO29">
        <f t="shared" si="15"/>
        <v>0</v>
      </c>
      <c r="AP29">
        <f t="shared" si="16"/>
        <v>0</v>
      </c>
      <c r="AQ29">
        <f t="shared" si="17"/>
        <v>0</v>
      </c>
      <c r="AR29">
        <f t="shared" si="18"/>
        <v>0</v>
      </c>
      <c r="AS29">
        <v>10</v>
      </c>
      <c r="AT29">
        <v>15</v>
      </c>
    </row>
    <row r="30" spans="1:46" x14ac:dyDescent="0.25">
      <c r="A30" t="s">
        <v>56</v>
      </c>
      <c r="B30" t="s">
        <v>46</v>
      </c>
      <c r="C30" t="s">
        <v>18</v>
      </c>
      <c r="D30" t="s">
        <v>20</v>
      </c>
      <c r="E30" t="s">
        <v>21</v>
      </c>
      <c r="F30" t="s">
        <v>22</v>
      </c>
      <c r="G30" t="s">
        <v>23</v>
      </c>
      <c r="H30" t="s">
        <v>34</v>
      </c>
      <c r="I30" t="s">
        <v>35</v>
      </c>
      <c r="J30" t="s">
        <v>36</v>
      </c>
      <c r="K30" t="s">
        <v>37</v>
      </c>
      <c r="L30" t="s">
        <v>38</v>
      </c>
      <c r="O30" t="s">
        <v>57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G30" t="s">
        <v>46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10</v>
      </c>
      <c r="AT30">
        <v>15</v>
      </c>
    </row>
    <row r="31" spans="1:46" x14ac:dyDescent="0.25">
      <c r="A31" t="s">
        <v>46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AG31" t="s">
        <v>48</v>
      </c>
      <c r="AH31">
        <v>0</v>
      </c>
      <c r="AS31">
        <v>0</v>
      </c>
      <c r="AT31">
        <v>0</v>
      </c>
    </row>
    <row r="32" spans="1:46" x14ac:dyDescent="0.25">
      <c r="A32" t="s">
        <v>18</v>
      </c>
      <c r="B32">
        <v>0</v>
      </c>
      <c r="C32">
        <f>IF(AND(VLOOKUP(C$30,$A$3:$G$12,5,FALSE) - VLOOKUP($A32,$A$3:$G$12,6,FALSE)&gt;=(( $B$13+VLOOKUP(VLOOKUP($A32,$A$3:$G$12,4,FALSE),$Q$10:$U$12,3,FALSE))/1440)),1,0)</f>
        <v>0</v>
      </c>
      <c r="D32">
        <f t="shared" ref="D32:L32" si="20">IF(AND(VLOOKUP(D$30,$A$3:$G$12,5,FALSE) - VLOOKUP($A32,$A$3:$G$12,6,FALSE)&gt;=(( $B$13+VLOOKUP(VLOOKUP($A32,$A$3:$G$12,4,FALSE),$Q$10:$U$12,3,FALSE))/1440)),1,0)</f>
        <v>0</v>
      </c>
      <c r="E32">
        <f t="shared" si="20"/>
        <v>1</v>
      </c>
      <c r="F32">
        <f t="shared" si="20"/>
        <v>1</v>
      </c>
      <c r="G32">
        <f t="shared" si="20"/>
        <v>1</v>
      </c>
      <c r="H32">
        <f t="shared" si="20"/>
        <v>0</v>
      </c>
      <c r="I32">
        <f t="shared" si="20"/>
        <v>0</v>
      </c>
      <c r="J32">
        <f t="shared" si="20"/>
        <v>1</v>
      </c>
      <c r="K32">
        <f t="shared" si="20"/>
        <v>1</v>
      </c>
      <c r="L32">
        <f t="shared" si="20"/>
        <v>1</v>
      </c>
      <c r="O32" t="s">
        <v>56</v>
      </c>
      <c r="P32" t="s">
        <v>46</v>
      </c>
      <c r="Q32" t="s">
        <v>18</v>
      </c>
      <c r="R32" t="s">
        <v>20</v>
      </c>
      <c r="S32" t="s">
        <v>21</v>
      </c>
      <c r="T32" t="s">
        <v>22</v>
      </c>
      <c r="U32" t="s">
        <v>23</v>
      </c>
      <c r="V32" t="s">
        <v>34</v>
      </c>
      <c r="W32" t="s">
        <v>35</v>
      </c>
      <c r="X32" t="s">
        <v>36</v>
      </c>
      <c r="Y32" t="s">
        <v>37</v>
      </c>
      <c r="Z32" t="s">
        <v>38</v>
      </c>
      <c r="AG32" t="s">
        <v>57</v>
      </c>
      <c r="AH32">
        <v>0</v>
      </c>
      <c r="AS32">
        <v>0</v>
      </c>
      <c r="AT32">
        <v>0</v>
      </c>
    </row>
    <row r="33" spans="1:27" x14ac:dyDescent="0.25">
      <c r="A33" t="s">
        <v>20</v>
      </c>
      <c r="B33">
        <v>0</v>
      </c>
      <c r="C33">
        <f t="shared" ref="C33:L41" si="21">IF(AND(VLOOKUP(C$30,$A$3:$G$12,5,FALSE) - VLOOKUP($A33,$A$3:$G$12,6,FALSE)&gt;=(( $B$13+VLOOKUP(VLOOKUP($A33,$A$3:$G$12,4,FALSE),$Q$10:$U$12,3,FALSE))/1440)),1,0)</f>
        <v>0</v>
      </c>
      <c r="D33">
        <f t="shared" si="21"/>
        <v>0</v>
      </c>
      <c r="E33">
        <f t="shared" si="21"/>
        <v>0</v>
      </c>
      <c r="F33">
        <f t="shared" si="21"/>
        <v>1</v>
      </c>
      <c r="G33">
        <f t="shared" si="21"/>
        <v>1</v>
      </c>
      <c r="H33">
        <f t="shared" si="21"/>
        <v>0</v>
      </c>
      <c r="I33">
        <f t="shared" si="21"/>
        <v>0</v>
      </c>
      <c r="J33">
        <f t="shared" si="21"/>
        <v>0</v>
      </c>
      <c r="K33">
        <f t="shared" si="21"/>
        <v>1</v>
      </c>
      <c r="L33">
        <f t="shared" si="21"/>
        <v>1</v>
      </c>
      <c r="O33" t="s">
        <v>46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7" x14ac:dyDescent="0.25">
      <c r="A34" t="s">
        <v>21</v>
      </c>
      <c r="B34">
        <v>0</v>
      </c>
      <c r="C34">
        <f t="shared" si="21"/>
        <v>0</v>
      </c>
      <c r="D34">
        <f t="shared" si="21"/>
        <v>0</v>
      </c>
      <c r="E34">
        <f t="shared" si="21"/>
        <v>0</v>
      </c>
      <c r="F34">
        <f t="shared" si="21"/>
        <v>1</v>
      </c>
      <c r="G34">
        <f t="shared" si="21"/>
        <v>1</v>
      </c>
      <c r="H34">
        <f t="shared" si="21"/>
        <v>0</v>
      </c>
      <c r="I34">
        <f t="shared" si="21"/>
        <v>0</v>
      </c>
      <c r="J34">
        <f t="shared" si="21"/>
        <v>0</v>
      </c>
      <c r="K34">
        <f t="shared" si="21"/>
        <v>0</v>
      </c>
      <c r="L34">
        <f t="shared" si="21"/>
        <v>1</v>
      </c>
      <c r="O34" t="s">
        <v>18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0</v>
      </c>
      <c r="W34">
        <v>0</v>
      </c>
      <c r="X34">
        <v>1</v>
      </c>
      <c r="Y34">
        <v>1</v>
      </c>
      <c r="Z34">
        <v>1</v>
      </c>
    </row>
    <row r="35" spans="1:27" x14ac:dyDescent="0.25">
      <c r="A35" t="s">
        <v>22</v>
      </c>
      <c r="B35">
        <v>0</v>
      </c>
      <c r="C35">
        <f t="shared" si="21"/>
        <v>0</v>
      </c>
      <c r="D35">
        <f t="shared" si="21"/>
        <v>0</v>
      </c>
      <c r="E35">
        <f t="shared" si="21"/>
        <v>0</v>
      </c>
      <c r="F35">
        <f t="shared" si="21"/>
        <v>0</v>
      </c>
      <c r="G35">
        <f t="shared" si="21"/>
        <v>0</v>
      </c>
      <c r="H35">
        <f t="shared" si="21"/>
        <v>0</v>
      </c>
      <c r="I35">
        <f t="shared" si="21"/>
        <v>0</v>
      </c>
      <c r="J35">
        <f t="shared" si="21"/>
        <v>0</v>
      </c>
      <c r="K35">
        <f t="shared" si="21"/>
        <v>0</v>
      </c>
      <c r="L35">
        <f t="shared" si="21"/>
        <v>0</v>
      </c>
      <c r="O35" t="s">
        <v>20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7" x14ac:dyDescent="0.25">
      <c r="A36" t="s">
        <v>23</v>
      </c>
      <c r="B36">
        <v>0</v>
      </c>
      <c r="C36">
        <f t="shared" si="21"/>
        <v>0</v>
      </c>
      <c r="D36">
        <f t="shared" si="21"/>
        <v>0</v>
      </c>
      <c r="E36">
        <f t="shared" si="21"/>
        <v>0</v>
      </c>
      <c r="F36">
        <f t="shared" si="21"/>
        <v>0</v>
      </c>
      <c r="G36">
        <f t="shared" si="21"/>
        <v>0</v>
      </c>
      <c r="H36">
        <f t="shared" si="21"/>
        <v>0</v>
      </c>
      <c r="I36">
        <f t="shared" si="21"/>
        <v>0</v>
      </c>
      <c r="J36">
        <f t="shared" si="21"/>
        <v>0</v>
      </c>
      <c r="K36">
        <f t="shared" si="21"/>
        <v>0</v>
      </c>
      <c r="L36">
        <f t="shared" si="21"/>
        <v>0</v>
      </c>
      <c r="O36" t="s">
        <v>21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7" x14ac:dyDescent="0.25">
      <c r="A37" t="s">
        <v>34</v>
      </c>
      <c r="B37">
        <v>0</v>
      </c>
      <c r="C37">
        <f t="shared" si="21"/>
        <v>0</v>
      </c>
      <c r="D37">
        <f t="shared" si="21"/>
        <v>0</v>
      </c>
      <c r="E37">
        <f t="shared" si="21"/>
        <v>1</v>
      </c>
      <c r="F37">
        <f t="shared" si="21"/>
        <v>1</v>
      </c>
      <c r="G37">
        <f t="shared" si="21"/>
        <v>1</v>
      </c>
      <c r="H37">
        <f t="shared" si="21"/>
        <v>0</v>
      </c>
      <c r="I37">
        <f t="shared" si="21"/>
        <v>0</v>
      </c>
      <c r="J37">
        <f t="shared" si="21"/>
        <v>1</v>
      </c>
      <c r="K37">
        <f t="shared" si="21"/>
        <v>1</v>
      </c>
      <c r="L37">
        <f t="shared" si="21"/>
        <v>1</v>
      </c>
      <c r="O37" t="s">
        <v>22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7" x14ac:dyDescent="0.25">
      <c r="A38" t="s">
        <v>35</v>
      </c>
      <c r="B38">
        <v>0</v>
      </c>
      <c r="C38">
        <f t="shared" si="21"/>
        <v>0</v>
      </c>
      <c r="D38">
        <f t="shared" si="21"/>
        <v>0</v>
      </c>
      <c r="E38">
        <f t="shared" si="21"/>
        <v>0</v>
      </c>
      <c r="F38">
        <f t="shared" si="21"/>
        <v>1</v>
      </c>
      <c r="G38">
        <f t="shared" si="21"/>
        <v>1</v>
      </c>
      <c r="H38">
        <f t="shared" si="21"/>
        <v>0</v>
      </c>
      <c r="I38">
        <f t="shared" si="21"/>
        <v>0</v>
      </c>
      <c r="J38">
        <f t="shared" si="21"/>
        <v>0</v>
      </c>
      <c r="K38">
        <f t="shared" si="21"/>
        <v>0</v>
      </c>
      <c r="L38">
        <f t="shared" si="21"/>
        <v>1</v>
      </c>
      <c r="O38" t="s">
        <v>23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7" x14ac:dyDescent="0.25">
      <c r="A39" t="s">
        <v>36</v>
      </c>
      <c r="B39">
        <v>0</v>
      </c>
      <c r="C39">
        <f t="shared" si="21"/>
        <v>0</v>
      </c>
      <c r="D39">
        <f t="shared" si="21"/>
        <v>0</v>
      </c>
      <c r="E39">
        <f t="shared" si="21"/>
        <v>0</v>
      </c>
      <c r="F39">
        <f t="shared" si="21"/>
        <v>1</v>
      </c>
      <c r="G39">
        <f t="shared" si="21"/>
        <v>1</v>
      </c>
      <c r="H39">
        <f t="shared" si="21"/>
        <v>0</v>
      </c>
      <c r="I39">
        <f t="shared" si="21"/>
        <v>0</v>
      </c>
      <c r="J39">
        <f t="shared" si="21"/>
        <v>0</v>
      </c>
      <c r="K39">
        <f t="shared" si="21"/>
        <v>0</v>
      </c>
      <c r="L39">
        <f t="shared" si="21"/>
        <v>0</v>
      </c>
      <c r="O39" t="s">
        <v>34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0</v>
      </c>
      <c r="W39">
        <v>0</v>
      </c>
      <c r="X39">
        <v>1</v>
      </c>
      <c r="Y39">
        <v>1</v>
      </c>
      <c r="Z39">
        <v>1</v>
      </c>
    </row>
    <row r="40" spans="1:27" x14ac:dyDescent="0.25">
      <c r="A40" t="s">
        <v>37</v>
      </c>
      <c r="B40">
        <v>0</v>
      </c>
      <c r="C40">
        <f t="shared" si="21"/>
        <v>0</v>
      </c>
      <c r="D40">
        <f t="shared" si="21"/>
        <v>0</v>
      </c>
      <c r="E40">
        <f t="shared" si="21"/>
        <v>0</v>
      </c>
      <c r="F40">
        <f t="shared" si="21"/>
        <v>1</v>
      </c>
      <c r="G40">
        <f t="shared" si="21"/>
        <v>1</v>
      </c>
      <c r="H40">
        <f t="shared" si="21"/>
        <v>0</v>
      </c>
      <c r="I40">
        <f t="shared" si="21"/>
        <v>0</v>
      </c>
      <c r="J40">
        <f t="shared" si="21"/>
        <v>0</v>
      </c>
      <c r="K40">
        <f t="shared" si="21"/>
        <v>0</v>
      </c>
      <c r="L40">
        <f t="shared" si="21"/>
        <v>0</v>
      </c>
      <c r="O40" t="s">
        <v>35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7" x14ac:dyDescent="0.25">
      <c r="A41" t="s">
        <v>38</v>
      </c>
      <c r="B41">
        <v>0</v>
      </c>
      <c r="C41">
        <f t="shared" si="21"/>
        <v>0</v>
      </c>
      <c r="D41">
        <f t="shared" si="21"/>
        <v>0</v>
      </c>
      <c r="E41">
        <f t="shared" si="21"/>
        <v>0</v>
      </c>
      <c r="F41">
        <f t="shared" si="21"/>
        <v>0</v>
      </c>
      <c r="G41">
        <f t="shared" si="21"/>
        <v>0</v>
      </c>
      <c r="H41">
        <f t="shared" si="21"/>
        <v>0</v>
      </c>
      <c r="I41">
        <f t="shared" si="21"/>
        <v>0</v>
      </c>
      <c r="J41">
        <f t="shared" si="21"/>
        <v>0</v>
      </c>
      <c r="K41">
        <f t="shared" si="21"/>
        <v>0</v>
      </c>
      <c r="L41">
        <f t="shared" si="21"/>
        <v>0</v>
      </c>
      <c r="O41" t="s">
        <v>36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7" x14ac:dyDescent="0.25">
      <c r="A42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O42" t="s">
        <v>37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7" x14ac:dyDescent="0.25">
      <c r="A43" t="s">
        <v>18</v>
      </c>
      <c r="B43">
        <v>0</v>
      </c>
      <c r="C43">
        <f>IF(AND(VLOOKUP(C$30,$A$3:$G$12,5,FALSE) - VLOOKUP($A43,$A$3:$G$12,6,FALSE)&gt;=(($B$14+VLOOKUP(VLOOKUP(C$30,$A$3:$G$12,3,FALSE),$Q$10:$U$12,4,FALSE))/1440), VLOOKUP(C$30,$A$3:$G$12,3,FALSE)=$C$14),1,0)</f>
        <v>0</v>
      </c>
      <c r="D43">
        <f t="shared" ref="D43:L43" si="22">IF(AND(VLOOKUP(D$30,$A$3:$G$12,5,FALSE) - VLOOKUP($A43,$A$3:$G$12,6,FALSE)&gt;=(($B$14+VLOOKUP(VLOOKUP(D$30,$A$3:$G$12,3,FALSE),$Q$10:$U$12,4,FALSE))/1440), VLOOKUP(D$30,$A$3:$G$12,3,FALSE)=$C$14),1,0)</f>
        <v>0</v>
      </c>
      <c r="E43">
        <f t="shared" si="22"/>
        <v>1</v>
      </c>
      <c r="F43">
        <f t="shared" si="22"/>
        <v>1</v>
      </c>
      <c r="G43">
        <f t="shared" si="22"/>
        <v>1</v>
      </c>
      <c r="H43">
        <f t="shared" si="22"/>
        <v>0</v>
      </c>
      <c r="I43">
        <f t="shared" si="22"/>
        <v>0</v>
      </c>
      <c r="J43">
        <f t="shared" si="22"/>
        <v>0</v>
      </c>
      <c r="K43">
        <f t="shared" si="22"/>
        <v>0</v>
      </c>
      <c r="L43">
        <f t="shared" si="22"/>
        <v>0</v>
      </c>
      <c r="O43" t="s">
        <v>38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7" x14ac:dyDescent="0.25">
      <c r="A44" t="s">
        <v>20</v>
      </c>
      <c r="B44">
        <v>0</v>
      </c>
      <c r="C44">
        <f t="shared" ref="C44:L54" si="23">IF(AND(VLOOKUP(C$30,$A$3:$G$12,5,FALSE) - VLOOKUP($A44,$A$3:$G$12,6,FALSE)&gt;=(($B$14+VLOOKUP(VLOOKUP(C$30,$A$3:$G$12,3,FALSE),$Q$10:$U$12,4,FALSE))/1440), VLOOKUP(C$30,$A$3:$G$12,3,FALSE)=$C$14),1,0)</f>
        <v>0</v>
      </c>
      <c r="D44">
        <f t="shared" si="23"/>
        <v>0</v>
      </c>
      <c r="E44">
        <f t="shared" si="23"/>
        <v>0</v>
      </c>
      <c r="F44">
        <f t="shared" si="23"/>
        <v>1</v>
      </c>
      <c r="G44">
        <f t="shared" si="23"/>
        <v>1</v>
      </c>
      <c r="H44">
        <f t="shared" si="23"/>
        <v>0</v>
      </c>
      <c r="I44">
        <f t="shared" si="23"/>
        <v>0</v>
      </c>
      <c r="J44">
        <f t="shared" si="23"/>
        <v>0</v>
      </c>
      <c r="K44">
        <f t="shared" si="23"/>
        <v>0</v>
      </c>
      <c r="L44">
        <f t="shared" si="23"/>
        <v>0</v>
      </c>
    </row>
    <row r="45" spans="1:27" x14ac:dyDescent="0.25">
      <c r="A45" t="s">
        <v>21</v>
      </c>
      <c r="B45">
        <v>0</v>
      </c>
      <c r="C45">
        <f t="shared" si="23"/>
        <v>0</v>
      </c>
      <c r="D45">
        <f t="shared" si="23"/>
        <v>0</v>
      </c>
      <c r="E45">
        <f t="shared" si="23"/>
        <v>0</v>
      </c>
      <c r="F45">
        <f t="shared" si="23"/>
        <v>1</v>
      </c>
      <c r="G45">
        <f t="shared" si="23"/>
        <v>1</v>
      </c>
      <c r="H45">
        <f t="shared" si="23"/>
        <v>0</v>
      </c>
      <c r="I45">
        <f t="shared" si="23"/>
        <v>0</v>
      </c>
      <c r="J45">
        <f t="shared" si="23"/>
        <v>0</v>
      </c>
      <c r="K45">
        <f t="shared" si="23"/>
        <v>0</v>
      </c>
      <c r="L45">
        <f t="shared" si="23"/>
        <v>0</v>
      </c>
      <c r="O45" t="s">
        <v>60</v>
      </c>
      <c r="P45" t="s">
        <v>46</v>
      </c>
      <c r="Q45" t="s">
        <v>18</v>
      </c>
      <c r="R45" t="s">
        <v>20</v>
      </c>
      <c r="S45" t="s">
        <v>21</v>
      </c>
      <c r="T45" t="s">
        <v>22</v>
      </c>
      <c r="U45" t="s">
        <v>23</v>
      </c>
      <c r="V45" t="s">
        <v>34</v>
      </c>
      <c r="W45" t="s">
        <v>35</v>
      </c>
      <c r="X45" t="s">
        <v>36</v>
      </c>
      <c r="Y45" t="s">
        <v>37</v>
      </c>
      <c r="Z45" t="s">
        <v>38</v>
      </c>
    </row>
    <row r="46" spans="1:27" x14ac:dyDescent="0.25">
      <c r="A46" t="s">
        <v>22</v>
      </c>
      <c r="B46">
        <v>0</v>
      </c>
      <c r="C46">
        <f t="shared" si="23"/>
        <v>0</v>
      </c>
      <c r="D46">
        <f t="shared" si="23"/>
        <v>0</v>
      </c>
      <c r="E46">
        <f t="shared" si="23"/>
        <v>0</v>
      </c>
      <c r="F46">
        <f t="shared" si="23"/>
        <v>0</v>
      </c>
      <c r="G46">
        <f t="shared" si="23"/>
        <v>0</v>
      </c>
      <c r="H46">
        <f t="shared" si="23"/>
        <v>0</v>
      </c>
      <c r="I46">
        <f t="shared" si="23"/>
        <v>0</v>
      </c>
      <c r="J46">
        <f t="shared" si="23"/>
        <v>0</v>
      </c>
      <c r="K46">
        <f t="shared" si="23"/>
        <v>0</v>
      </c>
      <c r="L46">
        <f t="shared" si="23"/>
        <v>0</v>
      </c>
      <c r="N46">
        <v>0</v>
      </c>
      <c r="O46" t="s">
        <v>46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5">
      <c r="A47" t="s">
        <v>23</v>
      </c>
      <c r="B47">
        <v>0</v>
      </c>
      <c r="C47">
        <f t="shared" si="23"/>
        <v>0</v>
      </c>
      <c r="D47">
        <f t="shared" si="23"/>
        <v>0</v>
      </c>
      <c r="E47">
        <f t="shared" si="23"/>
        <v>0</v>
      </c>
      <c r="F47">
        <f t="shared" si="23"/>
        <v>0</v>
      </c>
      <c r="G47">
        <f t="shared" si="23"/>
        <v>0</v>
      </c>
      <c r="H47">
        <f t="shared" si="23"/>
        <v>0</v>
      </c>
      <c r="I47">
        <f t="shared" si="23"/>
        <v>0</v>
      </c>
      <c r="J47">
        <f t="shared" si="23"/>
        <v>0</v>
      </c>
      <c r="K47">
        <f t="shared" si="23"/>
        <v>0</v>
      </c>
      <c r="L47">
        <f t="shared" si="23"/>
        <v>0</v>
      </c>
      <c r="N47">
        <v>0</v>
      </c>
      <c r="O47" t="s">
        <v>18</v>
      </c>
      <c r="P47">
        <v>0</v>
      </c>
      <c r="Q47">
        <f t="shared" ref="Q47:Q56" si="24">IF(AND($O47&lt;&gt;Q$45,C18=1),(VLOOKUP(Q$45,$A$2:$L$12,8,FALSE))-(VLOOKUP($O47,$A$2:$L$12,9,FALSE)),0)</f>
        <v>0</v>
      </c>
      <c r="R47">
        <f t="shared" ref="R47:R56" si="25">IF(AND($O47&lt;&gt;R$45,D18=1),(VLOOKUP(R$45,$A$2:$L$12,8,FALSE))-(VLOOKUP($O47,$A$2:$L$12,9,FALSE)),0)</f>
        <v>0</v>
      </c>
      <c r="S47">
        <f t="shared" ref="S47:S56" si="26">IF(AND($O47&lt;&gt;S$45,E18=1),(VLOOKUP(S$45,$A$2:$L$12,8,FALSE))-(VLOOKUP($O47,$A$2:$L$12,9,FALSE)),0)</f>
        <v>100</v>
      </c>
      <c r="T47">
        <f t="shared" ref="T47:T56" si="27">IF(AND($O47&lt;&gt;T$45,F18=1),(VLOOKUP(T$45,$A$2:$L$12,8,FALSE))-(VLOOKUP($O47,$A$2:$L$12,9,FALSE)),0)</f>
        <v>460</v>
      </c>
      <c r="U47">
        <f t="shared" ref="U47:U56" si="28">IF(AND($O47&lt;&gt;U$45,G18=1),(VLOOKUP(U$45,$A$2:$L$12,8,FALSE))-(VLOOKUP($O47,$A$2:$L$12,9,FALSE)),0)</f>
        <v>520</v>
      </c>
      <c r="V47">
        <f t="shared" ref="V47:V56" si="29">IF(AND($O47&lt;&gt;V$45,H18=1),(VLOOKUP(V$45,$A$2:$L$12,8,FALSE))-(VLOOKUP($O47,$A$2:$L$12,9,FALSE)),0)</f>
        <v>0</v>
      </c>
      <c r="W47">
        <f t="shared" ref="W47:W56" si="30">IF(AND($O47&lt;&gt;W$45,I18=1),(VLOOKUP(W$45,$A$2:$L$12,8,FALSE))-(VLOOKUP($O47,$A$2:$L$12,9,FALSE)),0)</f>
        <v>45</v>
      </c>
      <c r="X47">
        <f t="shared" ref="X47:X56" si="31">IF(AND($O47&lt;&gt;X$45,J18=1),(VLOOKUP(X$45,$A$2:$L$12,8,FALSE))-(VLOOKUP($O47,$A$2:$L$12,9,FALSE)),0)</f>
        <v>165</v>
      </c>
      <c r="Y47">
        <f t="shared" ref="Y47:Y56" si="32">IF(AND($O47&lt;&gt;Y$45,K18=1),(VLOOKUP(Y$45,$A$2:$L$12,8,FALSE))-(VLOOKUP($O47,$A$2:$L$12,9,FALSE)),0)</f>
        <v>225</v>
      </c>
      <c r="Z47">
        <f t="shared" ref="Z47:Z56" si="33">IF(AND($O47&lt;&gt;Z$45,L18=1),(VLOOKUP(Z$45,$A$2:$L$12,8,FALSE))-(VLOOKUP($O47,$A$2:$L$12,9,FALSE)),0)</f>
        <v>345</v>
      </c>
      <c r="AA47">
        <f>AA46+1</f>
        <v>1</v>
      </c>
    </row>
    <row r="48" spans="1:27" x14ac:dyDescent="0.25">
      <c r="A48" t="s">
        <v>34</v>
      </c>
      <c r="B48">
        <v>0</v>
      </c>
      <c r="C48">
        <f t="shared" si="23"/>
        <v>0</v>
      </c>
      <c r="D48">
        <f t="shared" si="23"/>
        <v>0</v>
      </c>
      <c r="E48">
        <f t="shared" si="23"/>
        <v>1</v>
      </c>
      <c r="F48">
        <f t="shared" si="23"/>
        <v>1</v>
      </c>
      <c r="G48">
        <f t="shared" si="23"/>
        <v>1</v>
      </c>
      <c r="H48">
        <f t="shared" si="23"/>
        <v>0</v>
      </c>
      <c r="I48">
        <f t="shared" si="23"/>
        <v>0</v>
      </c>
      <c r="J48">
        <f t="shared" si="23"/>
        <v>0</v>
      </c>
      <c r="K48">
        <f t="shared" si="23"/>
        <v>0</v>
      </c>
      <c r="L48">
        <f t="shared" si="23"/>
        <v>0</v>
      </c>
      <c r="N48">
        <v>0</v>
      </c>
      <c r="O48" t="s">
        <v>20</v>
      </c>
      <c r="P48">
        <v>0</v>
      </c>
      <c r="Q48">
        <f t="shared" si="24"/>
        <v>0</v>
      </c>
      <c r="R48">
        <f t="shared" si="25"/>
        <v>0</v>
      </c>
      <c r="S48">
        <f t="shared" si="26"/>
        <v>0</v>
      </c>
      <c r="T48">
        <f t="shared" si="27"/>
        <v>340</v>
      </c>
      <c r="U48">
        <f t="shared" si="28"/>
        <v>400</v>
      </c>
      <c r="V48">
        <f t="shared" si="29"/>
        <v>0</v>
      </c>
      <c r="W48">
        <f t="shared" si="30"/>
        <v>0</v>
      </c>
      <c r="X48">
        <f t="shared" si="31"/>
        <v>45</v>
      </c>
      <c r="Y48">
        <f t="shared" si="32"/>
        <v>105</v>
      </c>
      <c r="Z48">
        <f t="shared" si="33"/>
        <v>225</v>
      </c>
      <c r="AA48">
        <f t="shared" ref="AA48:AA56" si="34">AA47+1</f>
        <v>2</v>
      </c>
    </row>
    <row r="49" spans="1:34" x14ac:dyDescent="0.25">
      <c r="A49" t="s">
        <v>35</v>
      </c>
      <c r="B49">
        <v>0</v>
      </c>
      <c r="C49">
        <f t="shared" si="23"/>
        <v>0</v>
      </c>
      <c r="D49">
        <f t="shared" si="23"/>
        <v>0</v>
      </c>
      <c r="E49">
        <f t="shared" si="23"/>
        <v>0</v>
      </c>
      <c r="F49">
        <f t="shared" si="23"/>
        <v>1</v>
      </c>
      <c r="G49">
        <f t="shared" si="23"/>
        <v>1</v>
      </c>
      <c r="H49">
        <f t="shared" si="23"/>
        <v>0</v>
      </c>
      <c r="I49">
        <f t="shared" si="23"/>
        <v>0</v>
      </c>
      <c r="J49">
        <f t="shared" si="23"/>
        <v>0</v>
      </c>
      <c r="K49">
        <f t="shared" si="23"/>
        <v>0</v>
      </c>
      <c r="L49">
        <f t="shared" si="23"/>
        <v>0</v>
      </c>
      <c r="N49">
        <v>0</v>
      </c>
      <c r="O49" t="s">
        <v>21</v>
      </c>
      <c r="P49">
        <v>0</v>
      </c>
      <c r="Q49">
        <f t="shared" si="24"/>
        <v>0</v>
      </c>
      <c r="R49">
        <f t="shared" si="25"/>
        <v>0</v>
      </c>
      <c r="S49">
        <f t="shared" si="26"/>
        <v>0</v>
      </c>
      <c r="T49">
        <f t="shared" si="27"/>
        <v>220</v>
      </c>
      <c r="U49">
        <f t="shared" si="28"/>
        <v>280</v>
      </c>
      <c r="V49">
        <f t="shared" si="29"/>
        <v>0</v>
      </c>
      <c r="W49">
        <f t="shared" si="30"/>
        <v>0</v>
      </c>
      <c r="X49">
        <f t="shared" si="31"/>
        <v>0</v>
      </c>
      <c r="Y49">
        <f t="shared" si="32"/>
        <v>0</v>
      </c>
      <c r="Z49">
        <f t="shared" si="33"/>
        <v>105</v>
      </c>
      <c r="AA49">
        <f t="shared" si="34"/>
        <v>3</v>
      </c>
    </row>
    <row r="50" spans="1:34" x14ac:dyDescent="0.25">
      <c r="A50" t="s">
        <v>36</v>
      </c>
      <c r="B50">
        <v>0</v>
      </c>
      <c r="C50">
        <f t="shared" si="23"/>
        <v>0</v>
      </c>
      <c r="D50">
        <f t="shared" si="23"/>
        <v>0</v>
      </c>
      <c r="E50">
        <f t="shared" si="23"/>
        <v>0</v>
      </c>
      <c r="F50">
        <f t="shared" si="23"/>
        <v>1</v>
      </c>
      <c r="G50">
        <f t="shared" si="23"/>
        <v>1</v>
      </c>
      <c r="H50">
        <f t="shared" si="23"/>
        <v>0</v>
      </c>
      <c r="I50">
        <f t="shared" si="23"/>
        <v>0</v>
      </c>
      <c r="J50">
        <f t="shared" si="23"/>
        <v>0</v>
      </c>
      <c r="K50">
        <f t="shared" si="23"/>
        <v>0</v>
      </c>
      <c r="L50">
        <f t="shared" si="23"/>
        <v>0</v>
      </c>
      <c r="N50">
        <v>0</v>
      </c>
      <c r="O50" t="s">
        <v>22</v>
      </c>
      <c r="P50">
        <v>0</v>
      </c>
      <c r="Q50">
        <f t="shared" si="24"/>
        <v>0</v>
      </c>
      <c r="R50">
        <f t="shared" si="25"/>
        <v>0</v>
      </c>
      <c r="S50">
        <f t="shared" si="26"/>
        <v>0</v>
      </c>
      <c r="T50">
        <f t="shared" si="27"/>
        <v>0</v>
      </c>
      <c r="U50">
        <f t="shared" si="28"/>
        <v>0</v>
      </c>
      <c r="V50">
        <f t="shared" si="29"/>
        <v>0</v>
      </c>
      <c r="W50">
        <f t="shared" si="30"/>
        <v>0</v>
      </c>
      <c r="X50">
        <f t="shared" si="31"/>
        <v>0</v>
      </c>
      <c r="Y50">
        <f t="shared" si="32"/>
        <v>0</v>
      </c>
      <c r="Z50">
        <f t="shared" si="33"/>
        <v>0</v>
      </c>
      <c r="AA50">
        <f t="shared" si="34"/>
        <v>4</v>
      </c>
      <c r="AC50" t="s">
        <v>61</v>
      </c>
      <c r="AD50" t="s">
        <v>62</v>
      </c>
      <c r="AE50" t="s">
        <v>63</v>
      </c>
      <c r="AF50" t="s">
        <v>64</v>
      </c>
      <c r="AG50" t="s">
        <v>65</v>
      </c>
      <c r="AH50" t="s">
        <v>66</v>
      </c>
    </row>
    <row r="51" spans="1:34" x14ac:dyDescent="0.25">
      <c r="A51" t="s">
        <v>37</v>
      </c>
      <c r="B51">
        <v>0</v>
      </c>
      <c r="C51">
        <f t="shared" si="23"/>
        <v>0</v>
      </c>
      <c r="D51">
        <f t="shared" si="23"/>
        <v>0</v>
      </c>
      <c r="E51">
        <f t="shared" si="23"/>
        <v>0</v>
      </c>
      <c r="F51">
        <f t="shared" si="23"/>
        <v>1</v>
      </c>
      <c r="G51">
        <f t="shared" si="23"/>
        <v>1</v>
      </c>
      <c r="H51">
        <f t="shared" si="23"/>
        <v>0</v>
      </c>
      <c r="I51">
        <f t="shared" si="23"/>
        <v>0</v>
      </c>
      <c r="J51">
        <f t="shared" si="23"/>
        <v>0</v>
      </c>
      <c r="K51">
        <f t="shared" si="23"/>
        <v>0</v>
      </c>
      <c r="L51">
        <f t="shared" si="23"/>
        <v>0</v>
      </c>
      <c r="N51">
        <v>0</v>
      </c>
      <c r="O51" t="s">
        <v>23</v>
      </c>
      <c r="P51">
        <v>0</v>
      </c>
      <c r="Q51">
        <f t="shared" si="24"/>
        <v>0</v>
      </c>
      <c r="R51">
        <f t="shared" si="25"/>
        <v>0</v>
      </c>
      <c r="S51">
        <f t="shared" si="26"/>
        <v>0</v>
      </c>
      <c r="T51">
        <f t="shared" si="27"/>
        <v>0</v>
      </c>
      <c r="U51">
        <f t="shared" si="28"/>
        <v>0</v>
      </c>
      <c r="V51">
        <f t="shared" si="29"/>
        <v>0</v>
      </c>
      <c r="W51">
        <f t="shared" si="30"/>
        <v>0</v>
      </c>
      <c r="X51">
        <f t="shared" si="31"/>
        <v>0</v>
      </c>
      <c r="Y51">
        <f t="shared" si="32"/>
        <v>0</v>
      </c>
      <c r="Z51">
        <f t="shared" si="33"/>
        <v>0</v>
      </c>
      <c r="AA51">
        <f t="shared" si="34"/>
        <v>5</v>
      </c>
      <c r="AC51">
        <v>11</v>
      </c>
      <c r="AD51">
        <v>4</v>
      </c>
      <c r="AE51">
        <v>5</v>
      </c>
      <c r="AF51">
        <f>(AC51-10)*11+AD51+1</f>
        <v>16</v>
      </c>
      <c r="AG51">
        <f>AE51+1</f>
        <v>6</v>
      </c>
      <c r="AH51">
        <f ca="1">OFFSET($O$45,AF51,AG51)</f>
        <v>0</v>
      </c>
    </row>
    <row r="52" spans="1:34" x14ac:dyDescent="0.25">
      <c r="A52" t="s">
        <v>38</v>
      </c>
      <c r="B52">
        <v>0</v>
      </c>
      <c r="C52">
        <f t="shared" si="23"/>
        <v>0</v>
      </c>
      <c r="D52">
        <f t="shared" si="23"/>
        <v>0</v>
      </c>
      <c r="E52">
        <f t="shared" si="23"/>
        <v>0</v>
      </c>
      <c r="F52">
        <f t="shared" si="23"/>
        <v>0</v>
      </c>
      <c r="G52">
        <f t="shared" si="23"/>
        <v>0</v>
      </c>
      <c r="H52">
        <f t="shared" si="23"/>
        <v>0</v>
      </c>
      <c r="I52">
        <f t="shared" si="23"/>
        <v>0</v>
      </c>
      <c r="J52">
        <f t="shared" si="23"/>
        <v>0</v>
      </c>
      <c r="K52">
        <f t="shared" si="23"/>
        <v>0</v>
      </c>
      <c r="L52">
        <f t="shared" si="23"/>
        <v>0</v>
      </c>
      <c r="N52">
        <v>0</v>
      </c>
      <c r="O52" t="s">
        <v>34</v>
      </c>
      <c r="P52">
        <v>0</v>
      </c>
      <c r="Q52">
        <f t="shared" si="24"/>
        <v>0</v>
      </c>
      <c r="R52">
        <f t="shared" si="25"/>
        <v>0</v>
      </c>
      <c r="S52">
        <f t="shared" si="26"/>
        <v>85</v>
      </c>
      <c r="T52">
        <f t="shared" si="27"/>
        <v>445</v>
      </c>
      <c r="U52">
        <f t="shared" si="28"/>
        <v>505</v>
      </c>
      <c r="V52">
        <f t="shared" si="29"/>
        <v>0</v>
      </c>
      <c r="W52">
        <f t="shared" si="30"/>
        <v>30</v>
      </c>
      <c r="X52">
        <f t="shared" si="31"/>
        <v>150</v>
      </c>
      <c r="Y52">
        <f t="shared" si="32"/>
        <v>210</v>
      </c>
      <c r="Z52">
        <f t="shared" si="33"/>
        <v>330</v>
      </c>
      <c r="AA52">
        <f t="shared" si="34"/>
        <v>6</v>
      </c>
      <c r="AC52">
        <v>11</v>
      </c>
      <c r="AD52">
        <v>1</v>
      </c>
      <c r="AE52">
        <v>7</v>
      </c>
      <c r="AF52">
        <f>(AC52-10)*11+AD52+1</f>
        <v>13</v>
      </c>
      <c r="AG52">
        <f>AE52+1</f>
        <v>8</v>
      </c>
      <c r="AH52">
        <f t="shared" ref="AH52:AH53" ca="1" si="35">OFFSET($O$45,AF52,AG52)</f>
        <v>0</v>
      </c>
    </row>
    <row r="53" spans="1:34" x14ac:dyDescent="0.25">
      <c r="A53" t="s">
        <v>46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N53">
        <v>0</v>
      </c>
      <c r="O53" t="s">
        <v>35</v>
      </c>
      <c r="P53">
        <v>0</v>
      </c>
      <c r="Q53">
        <f t="shared" si="24"/>
        <v>0</v>
      </c>
      <c r="R53">
        <f t="shared" si="25"/>
        <v>0</v>
      </c>
      <c r="S53">
        <f t="shared" si="26"/>
        <v>0</v>
      </c>
      <c r="T53">
        <f t="shared" si="27"/>
        <v>275</v>
      </c>
      <c r="U53">
        <f t="shared" si="28"/>
        <v>335</v>
      </c>
      <c r="V53">
        <f t="shared" si="29"/>
        <v>0</v>
      </c>
      <c r="W53">
        <f t="shared" si="30"/>
        <v>0</v>
      </c>
      <c r="X53">
        <f t="shared" si="31"/>
        <v>0</v>
      </c>
      <c r="Y53">
        <f t="shared" si="32"/>
        <v>40</v>
      </c>
      <c r="Z53">
        <f t="shared" si="33"/>
        <v>160</v>
      </c>
      <c r="AA53">
        <f t="shared" si="34"/>
        <v>7</v>
      </c>
      <c r="AC53">
        <v>10</v>
      </c>
      <c r="AD53">
        <v>1</v>
      </c>
      <c r="AE53">
        <v>7</v>
      </c>
      <c r="AF53">
        <f>(AC53-10)*11+AD53+1</f>
        <v>2</v>
      </c>
      <c r="AG53">
        <f>AE53+1</f>
        <v>8</v>
      </c>
      <c r="AH53">
        <f t="shared" ca="1" si="35"/>
        <v>45</v>
      </c>
    </row>
    <row r="54" spans="1:34" x14ac:dyDescent="0.25">
      <c r="A54" t="s">
        <v>18</v>
      </c>
      <c r="B54">
        <v>0</v>
      </c>
      <c r="C54">
        <f>IF(AND(VLOOKUP(C$30,$A$3:$G$12,5,FALSE) - VLOOKUP($A54,$A$3:$G$12,6,FALSE)&gt;=(($B$14+VLOOKUP(VLOOKUP(C$30,$A$3:$G$12,3,FALSE),$Q$10:$U$12,4,FALSE))/1440), VLOOKUP(C$30,$A$3:$G$12,3,FALSE)=$C$15),1,0)</f>
        <v>0</v>
      </c>
      <c r="D54">
        <f t="shared" ref="D54:L54" si="36">IF(AND(VLOOKUP(D$30,$A$3:$G$12,5,FALSE) - VLOOKUP($A54,$A$3:$G$12,6,FALSE)&gt;=(($B$14+VLOOKUP(VLOOKUP(D$30,$A$3:$G$12,3,FALSE),$Q$10:$U$12,4,FALSE))/1440), VLOOKUP(D$30,$A$3:$G$12,3,FALSE)=$C$15),1,0)</f>
        <v>0</v>
      </c>
      <c r="E54">
        <f t="shared" si="36"/>
        <v>0</v>
      </c>
      <c r="F54">
        <f t="shared" si="36"/>
        <v>0</v>
      </c>
      <c r="G54">
        <f t="shared" si="36"/>
        <v>0</v>
      </c>
      <c r="H54">
        <f t="shared" si="36"/>
        <v>0</v>
      </c>
      <c r="I54">
        <f t="shared" si="36"/>
        <v>0</v>
      </c>
      <c r="J54">
        <f t="shared" si="36"/>
        <v>1</v>
      </c>
      <c r="K54">
        <f t="shared" si="36"/>
        <v>1</v>
      </c>
      <c r="L54">
        <f t="shared" si="36"/>
        <v>1</v>
      </c>
      <c r="N54">
        <v>0</v>
      </c>
      <c r="O54" t="s">
        <v>36</v>
      </c>
      <c r="P54">
        <v>0</v>
      </c>
      <c r="Q54">
        <f t="shared" si="24"/>
        <v>0</v>
      </c>
      <c r="R54">
        <f t="shared" si="25"/>
        <v>0</v>
      </c>
      <c r="S54">
        <f t="shared" si="26"/>
        <v>0</v>
      </c>
      <c r="T54">
        <f t="shared" si="27"/>
        <v>155</v>
      </c>
      <c r="U54">
        <f t="shared" si="28"/>
        <v>215</v>
      </c>
      <c r="V54">
        <f t="shared" si="29"/>
        <v>0</v>
      </c>
      <c r="W54">
        <f t="shared" si="30"/>
        <v>0</v>
      </c>
      <c r="X54">
        <f t="shared" si="31"/>
        <v>0</v>
      </c>
      <c r="Y54">
        <f t="shared" si="32"/>
        <v>0</v>
      </c>
      <c r="Z54">
        <f t="shared" si="33"/>
        <v>40</v>
      </c>
      <c r="AA54">
        <f t="shared" si="34"/>
        <v>8</v>
      </c>
      <c r="AF54">
        <v>3</v>
      </c>
      <c r="AG54">
        <v>8</v>
      </c>
      <c r="AH54">
        <f t="shared" ref="AH54:AH56" ca="1" si="37">OFFSET($O$45,AF54,AG54)</f>
        <v>0</v>
      </c>
    </row>
    <row r="55" spans="1:34" x14ac:dyDescent="0.25">
      <c r="A55" t="s">
        <v>20</v>
      </c>
      <c r="B55">
        <v>0</v>
      </c>
      <c r="C55">
        <f t="shared" ref="C55:L63" si="38">IF(AND(VLOOKUP(C$30,$A$3:$G$12,5,FALSE) - VLOOKUP($A55,$A$3:$G$12,6,FALSE)&gt;=(($B$14+VLOOKUP(VLOOKUP(C$30,$A$3:$G$12,3,FALSE),$Q$10:$U$12,4,FALSE))/1440), VLOOKUP(C$30,$A$3:$G$12,3,FALSE)=$C$15),1,0)</f>
        <v>0</v>
      </c>
      <c r="D55">
        <f t="shared" si="38"/>
        <v>0</v>
      </c>
      <c r="E55">
        <f t="shared" si="38"/>
        <v>0</v>
      </c>
      <c r="F55">
        <f t="shared" si="38"/>
        <v>0</v>
      </c>
      <c r="G55">
        <f t="shared" si="38"/>
        <v>0</v>
      </c>
      <c r="H55">
        <f t="shared" si="38"/>
        <v>0</v>
      </c>
      <c r="I55">
        <f t="shared" si="38"/>
        <v>0</v>
      </c>
      <c r="J55">
        <f t="shared" si="38"/>
        <v>0</v>
      </c>
      <c r="K55">
        <f t="shared" si="38"/>
        <v>0</v>
      </c>
      <c r="L55">
        <f t="shared" si="38"/>
        <v>1</v>
      </c>
      <c r="N55">
        <v>0</v>
      </c>
      <c r="O55" t="s">
        <v>37</v>
      </c>
      <c r="P55">
        <v>0</v>
      </c>
      <c r="Q55">
        <f t="shared" si="24"/>
        <v>0</v>
      </c>
      <c r="R55">
        <f t="shared" si="25"/>
        <v>0</v>
      </c>
      <c r="S55">
        <f t="shared" si="26"/>
        <v>0</v>
      </c>
      <c r="T55">
        <f t="shared" si="27"/>
        <v>95</v>
      </c>
      <c r="U55">
        <f t="shared" si="28"/>
        <v>155</v>
      </c>
      <c r="V55">
        <f t="shared" si="29"/>
        <v>0</v>
      </c>
      <c r="W55">
        <f t="shared" si="30"/>
        <v>0</v>
      </c>
      <c r="X55">
        <f t="shared" si="31"/>
        <v>0</v>
      </c>
      <c r="Y55">
        <f t="shared" si="32"/>
        <v>0</v>
      </c>
      <c r="Z55">
        <f t="shared" si="33"/>
        <v>0</v>
      </c>
      <c r="AA55">
        <f t="shared" si="34"/>
        <v>9</v>
      </c>
      <c r="AC55">
        <v>11</v>
      </c>
      <c r="AD55">
        <v>2</v>
      </c>
      <c r="AE55">
        <v>10</v>
      </c>
      <c r="AF55">
        <f t="shared" ref="AF55:AF56" si="39">(AC55-10)*11+AD55+1</f>
        <v>14</v>
      </c>
      <c r="AG55">
        <f t="shared" ref="AG55:AG56" si="40">AE55+1</f>
        <v>11</v>
      </c>
      <c r="AH55">
        <f t="shared" ca="1" si="37"/>
        <v>275</v>
      </c>
    </row>
    <row r="56" spans="1:34" x14ac:dyDescent="0.25">
      <c r="A56" t="s">
        <v>21</v>
      </c>
      <c r="B56">
        <v>0</v>
      </c>
      <c r="C56">
        <f t="shared" si="38"/>
        <v>0</v>
      </c>
      <c r="D56">
        <f t="shared" si="38"/>
        <v>0</v>
      </c>
      <c r="E56">
        <f t="shared" si="38"/>
        <v>0</v>
      </c>
      <c r="F56">
        <f t="shared" si="38"/>
        <v>0</v>
      </c>
      <c r="G56">
        <f t="shared" si="38"/>
        <v>0</v>
      </c>
      <c r="H56">
        <f t="shared" si="38"/>
        <v>0</v>
      </c>
      <c r="I56">
        <f t="shared" si="38"/>
        <v>0</v>
      </c>
      <c r="J56">
        <f t="shared" si="38"/>
        <v>0</v>
      </c>
      <c r="K56">
        <f t="shared" si="38"/>
        <v>0</v>
      </c>
      <c r="L56">
        <f t="shared" si="38"/>
        <v>0</v>
      </c>
      <c r="N56">
        <v>0</v>
      </c>
      <c r="O56" t="s">
        <v>38</v>
      </c>
      <c r="P56">
        <v>0</v>
      </c>
      <c r="Q56">
        <f t="shared" si="24"/>
        <v>0</v>
      </c>
      <c r="R56">
        <f t="shared" si="25"/>
        <v>0</v>
      </c>
      <c r="S56">
        <f t="shared" si="26"/>
        <v>0</v>
      </c>
      <c r="T56">
        <f t="shared" si="27"/>
        <v>0</v>
      </c>
      <c r="U56">
        <f t="shared" si="28"/>
        <v>35</v>
      </c>
      <c r="V56">
        <f t="shared" si="29"/>
        <v>0</v>
      </c>
      <c r="W56">
        <f t="shared" si="30"/>
        <v>0</v>
      </c>
      <c r="X56">
        <f t="shared" si="31"/>
        <v>0</v>
      </c>
      <c r="Y56">
        <f t="shared" si="32"/>
        <v>0</v>
      </c>
      <c r="Z56">
        <f t="shared" si="33"/>
        <v>0</v>
      </c>
      <c r="AA56">
        <f t="shared" si="34"/>
        <v>10</v>
      </c>
      <c r="AC56">
        <v>10</v>
      </c>
      <c r="AD56">
        <v>8</v>
      </c>
      <c r="AE56">
        <v>4</v>
      </c>
      <c r="AF56">
        <f t="shared" si="39"/>
        <v>9</v>
      </c>
      <c r="AG56">
        <f t="shared" si="40"/>
        <v>5</v>
      </c>
      <c r="AH56">
        <f t="shared" ca="1" si="37"/>
        <v>155</v>
      </c>
    </row>
    <row r="57" spans="1:34" x14ac:dyDescent="0.25">
      <c r="A57" t="s">
        <v>22</v>
      </c>
      <c r="B57">
        <v>0</v>
      </c>
      <c r="C57">
        <f t="shared" si="38"/>
        <v>0</v>
      </c>
      <c r="D57">
        <f t="shared" si="38"/>
        <v>0</v>
      </c>
      <c r="E57">
        <f t="shared" si="38"/>
        <v>0</v>
      </c>
      <c r="F57">
        <f t="shared" si="38"/>
        <v>0</v>
      </c>
      <c r="G57">
        <f t="shared" si="38"/>
        <v>0</v>
      </c>
      <c r="H57">
        <f t="shared" si="38"/>
        <v>0</v>
      </c>
      <c r="I57">
        <f t="shared" si="38"/>
        <v>0</v>
      </c>
      <c r="J57">
        <f t="shared" si="38"/>
        <v>0</v>
      </c>
      <c r="K57">
        <f t="shared" si="38"/>
        <v>0</v>
      </c>
      <c r="L57">
        <f t="shared" si="38"/>
        <v>0</v>
      </c>
      <c r="N57">
        <v>1</v>
      </c>
      <c r="O57" t="s">
        <v>46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34" x14ac:dyDescent="0.25">
      <c r="A58" t="s">
        <v>23</v>
      </c>
      <c r="B58">
        <v>0</v>
      </c>
      <c r="C58">
        <f t="shared" si="38"/>
        <v>0</v>
      </c>
      <c r="D58">
        <f t="shared" si="38"/>
        <v>0</v>
      </c>
      <c r="E58">
        <f t="shared" si="38"/>
        <v>0</v>
      </c>
      <c r="F58">
        <f t="shared" si="38"/>
        <v>0</v>
      </c>
      <c r="G58">
        <f t="shared" si="38"/>
        <v>0</v>
      </c>
      <c r="H58">
        <f t="shared" si="38"/>
        <v>0</v>
      </c>
      <c r="I58">
        <f t="shared" si="38"/>
        <v>0</v>
      </c>
      <c r="J58">
        <f t="shared" si="38"/>
        <v>0</v>
      </c>
      <c r="K58">
        <f t="shared" si="38"/>
        <v>0</v>
      </c>
      <c r="L58">
        <f t="shared" si="38"/>
        <v>0</v>
      </c>
      <c r="N58">
        <v>1</v>
      </c>
      <c r="O58" t="s">
        <v>18</v>
      </c>
      <c r="P58">
        <v>0</v>
      </c>
      <c r="Q58">
        <f>IF(AND($O58&lt;&gt;Q$45,C32=1),(VLOOKUP(Q$45,$A$2:$L$12,8,FALSE))-(VLOOKUP($O58,$A$2:$L$12,9,FALSE))+($B$13-50),0)</f>
        <v>0</v>
      </c>
      <c r="R58">
        <f t="shared" ref="R58:R67" si="41">IF(AND($O58&lt;&gt;R$45,D32=1),(VLOOKUP(R$45,$A$2:$L$12,8,FALSE))-(VLOOKUP($O58,$A$2:$L$12,9,FALSE))+($B$13),0)</f>
        <v>0</v>
      </c>
      <c r="S58">
        <f t="shared" ref="S58:S67" si="42">IF(AND($O58&lt;&gt;S$45,E32=1),(VLOOKUP(S$45,$A$2:$L$12,8,FALSE))-(VLOOKUP($O58,$A$2:$L$12,9,FALSE))+($B$13),0)</f>
        <v>150</v>
      </c>
      <c r="T58">
        <f t="shared" ref="T58:T67" si="43">IF(AND($O58&lt;&gt;T$45,F32=1),(VLOOKUP(T$45,$A$2:$L$12,8,FALSE))-(VLOOKUP($O58,$A$2:$L$12,9,FALSE))+($B$13),0)</f>
        <v>510</v>
      </c>
      <c r="U58">
        <f t="shared" ref="U58:U67" si="44">IF(AND($O58&lt;&gt;U$45,G32=1),(VLOOKUP(U$45,$A$2:$L$12,8,FALSE))-(VLOOKUP($O58,$A$2:$L$12,9,FALSE))+($B$13),0)</f>
        <v>570</v>
      </c>
      <c r="V58">
        <f t="shared" ref="V58:V67" si="45">IF(AND($O58&lt;&gt;V$45,H32=1),(VLOOKUP(V$45,$A$2:$L$12,8,FALSE))-(VLOOKUP($O58,$A$2:$L$12,9,FALSE))+($B$13),0)</f>
        <v>0</v>
      </c>
      <c r="W58">
        <f t="shared" ref="W58:W67" si="46">IF(AND($O58&lt;&gt;W$45,I32=1),(VLOOKUP(W$45,$A$2:$L$12,8,FALSE))-(VLOOKUP($O58,$A$2:$L$12,9,FALSE))+($B$13),0)</f>
        <v>0</v>
      </c>
      <c r="X58">
        <f t="shared" ref="X58:X67" si="47">IF(AND($O58&lt;&gt;X$45,J32=1),(VLOOKUP(X$45,$A$2:$L$12,8,FALSE))-(VLOOKUP($O58,$A$2:$L$12,9,FALSE))+($B$13),0)</f>
        <v>215</v>
      </c>
      <c r="Y58">
        <f t="shared" ref="Y58:Y67" si="48">IF(AND($O58&lt;&gt;Y$45,K32=1),(VLOOKUP(Y$45,$A$2:$L$12,8,FALSE))-(VLOOKUP($O58,$A$2:$L$12,9,FALSE))+($B$13),0)</f>
        <v>275</v>
      </c>
      <c r="Z58">
        <f t="shared" ref="Z58:Z67" si="49">IF(AND($O58&lt;&gt;Z$45,L32=1),(VLOOKUP(Z$45,$A$2:$L$12,8,FALSE))-(VLOOKUP($O58,$A$2:$L$12,9,FALSE))+($B$13),0)</f>
        <v>395</v>
      </c>
      <c r="AA58">
        <f>AA57+1</f>
        <v>1</v>
      </c>
    </row>
    <row r="59" spans="1:34" x14ac:dyDescent="0.25">
      <c r="A59" t="s">
        <v>34</v>
      </c>
      <c r="B59">
        <v>0</v>
      </c>
      <c r="C59">
        <f t="shared" si="38"/>
        <v>0</v>
      </c>
      <c r="D59">
        <f t="shared" si="38"/>
        <v>0</v>
      </c>
      <c r="E59">
        <f t="shared" si="38"/>
        <v>0</v>
      </c>
      <c r="F59">
        <f t="shared" si="38"/>
        <v>0</v>
      </c>
      <c r="G59">
        <f t="shared" si="38"/>
        <v>0</v>
      </c>
      <c r="H59">
        <f t="shared" si="38"/>
        <v>0</v>
      </c>
      <c r="I59">
        <f t="shared" si="38"/>
        <v>0</v>
      </c>
      <c r="J59">
        <f t="shared" si="38"/>
        <v>1</v>
      </c>
      <c r="K59">
        <f t="shared" si="38"/>
        <v>1</v>
      </c>
      <c r="L59">
        <f t="shared" si="38"/>
        <v>1</v>
      </c>
      <c r="N59">
        <v>1</v>
      </c>
      <c r="O59" t="s">
        <v>20</v>
      </c>
      <c r="P59">
        <v>0</v>
      </c>
      <c r="Q59">
        <f t="shared" ref="Q59:Q67" si="50">IF(AND($O59&lt;&gt;Q$45,C33=1),(VLOOKUP(Q$45,$A$2:$L$12,8,FALSE))-(VLOOKUP($O59,$A$2:$L$12,9,FALSE))+($B$13),0)</f>
        <v>0</v>
      </c>
      <c r="R59">
        <f t="shared" si="41"/>
        <v>0</v>
      </c>
      <c r="S59">
        <f t="shared" si="42"/>
        <v>0</v>
      </c>
      <c r="T59">
        <f t="shared" si="43"/>
        <v>390</v>
      </c>
      <c r="U59">
        <f t="shared" si="44"/>
        <v>450</v>
      </c>
      <c r="V59">
        <f t="shared" si="45"/>
        <v>0</v>
      </c>
      <c r="W59">
        <f t="shared" si="46"/>
        <v>0</v>
      </c>
      <c r="X59">
        <f t="shared" si="47"/>
        <v>0</v>
      </c>
      <c r="Y59">
        <f t="shared" si="48"/>
        <v>155</v>
      </c>
      <c r="Z59">
        <f t="shared" si="49"/>
        <v>275</v>
      </c>
      <c r="AA59">
        <f t="shared" ref="AA59:AA67" si="51">AA58+1</f>
        <v>2</v>
      </c>
    </row>
    <row r="60" spans="1:34" x14ac:dyDescent="0.25">
      <c r="A60" t="s">
        <v>35</v>
      </c>
      <c r="B60">
        <v>0</v>
      </c>
      <c r="C60">
        <f t="shared" si="38"/>
        <v>0</v>
      </c>
      <c r="D60">
        <f t="shared" si="38"/>
        <v>0</v>
      </c>
      <c r="E60">
        <f t="shared" si="38"/>
        <v>0</v>
      </c>
      <c r="F60">
        <f t="shared" si="38"/>
        <v>0</v>
      </c>
      <c r="G60">
        <f t="shared" si="38"/>
        <v>0</v>
      </c>
      <c r="H60">
        <f t="shared" si="38"/>
        <v>0</v>
      </c>
      <c r="I60">
        <f t="shared" si="38"/>
        <v>0</v>
      </c>
      <c r="J60">
        <f t="shared" si="38"/>
        <v>0</v>
      </c>
      <c r="K60">
        <f t="shared" si="38"/>
        <v>0</v>
      </c>
      <c r="L60">
        <f t="shared" si="38"/>
        <v>1</v>
      </c>
      <c r="N60">
        <v>1</v>
      </c>
      <c r="O60" t="s">
        <v>21</v>
      </c>
      <c r="P60">
        <v>0</v>
      </c>
      <c r="Q60">
        <f t="shared" si="50"/>
        <v>0</v>
      </c>
      <c r="R60">
        <f t="shared" si="41"/>
        <v>0</v>
      </c>
      <c r="S60">
        <f t="shared" si="42"/>
        <v>0</v>
      </c>
      <c r="T60">
        <f t="shared" si="43"/>
        <v>270</v>
      </c>
      <c r="U60">
        <f t="shared" si="44"/>
        <v>330</v>
      </c>
      <c r="V60">
        <f t="shared" si="45"/>
        <v>0</v>
      </c>
      <c r="W60">
        <f t="shared" si="46"/>
        <v>0</v>
      </c>
      <c r="X60">
        <f t="shared" si="47"/>
        <v>0</v>
      </c>
      <c r="Y60">
        <f t="shared" si="48"/>
        <v>0</v>
      </c>
      <c r="Z60">
        <f t="shared" si="49"/>
        <v>155</v>
      </c>
      <c r="AA60">
        <f t="shared" si="51"/>
        <v>3</v>
      </c>
    </row>
    <row r="61" spans="1:34" x14ac:dyDescent="0.25">
      <c r="A61" t="s">
        <v>36</v>
      </c>
      <c r="B61">
        <v>0</v>
      </c>
      <c r="C61">
        <f t="shared" si="38"/>
        <v>0</v>
      </c>
      <c r="D61">
        <f t="shared" si="38"/>
        <v>0</v>
      </c>
      <c r="E61">
        <f t="shared" si="38"/>
        <v>0</v>
      </c>
      <c r="F61">
        <f t="shared" si="38"/>
        <v>0</v>
      </c>
      <c r="G61">
        <f t="shared" si="38"/>
        <v>0</v>
      </c>
      <c r="H61">
        <f t="shared" si="38"/>
        <v>0</v>
      </c>
      <c r="I61">
        <f t="shared" si="38"/>
        <v>0</v>
      </c>
      <c r="J61">
        <f t="shared" si="38"/>
        <v>0</v>
      </c>
      <c r="K61">
        <f t="shared" si="38"/>
        <v>0</v>
      </c>
      <c r="L61">
        <f t="shared" si="38"/>
        <v>0</v>
      </c>
      <c r="N61">
        <v>1</v>
      </c>
      <c r="O61" t="s">
        <v>22</v>
      </c>
      <c r="P61">
        <v>0</v>
      </c>
      <c r="Q61">
        <f t="shared" si="50"/>
        <v>0</v>
      </c>
      <c r="R61">
        <f t="shared" si="41"/>
        <v>0</v>
      </c>
      <c r="S61">
        <f t="shared" si="42"/>
        <v>0</v>
      </c>
      <c r="T61">
        <f t="shared" si="43"/>
        <v>0</v>
      </c>
      <c r="U61">
        <f t="shared" si="44"/>
        <v>0</v>
      </c>
      <c r="V61">
        <f t="shared" si="45"/>
        <v>0</v>
      </c>
      <c r="W61">
        <f t="shared" si="46"/>
        <v>0</v>
      </c>
      <c r="X61">
        <f t="shared" si="47"/>
        <v>0</v>
      </c>
      <c r="Y61">
        <f t="shared" si="48"/>
        <v>0</v>
      </c>
      <c r="Z61">
        <f t="shared" si="49"/>
        <v>0</v>
      </c>
      <c r="AA61">
        <f t="shared" si="51"/>
        <v>4</v>
      </c>
    </row>
    <row r="62" spans="1:34" x14ac:dyDescent="0.25">
      <c r="A62" t="s">
        <v>37</v>
      </c>
      <c r="B62">
        <v>0</v>
      </c>
      <c r="C62">
        <f t="shared" si="38"/>
        <v>0</v>
      </c>
      <c r="D62">
        <f t="shared" si="38"/>
        <v>0</v>
      </c>
      <c r="E62">
        <f t="shared" si="38"/>
        <v>0</v>
      </c>
      <c r="F62">
        <f t="shared" si="38"/>
        <v>0</v>
      </c>
      <c r="G62">
        <f t="shared" si="38"/>
        <v>0</v>
      </c>
      <c r="H62">
        <f t="shared" si="38"/>
        <v>0</v>
      </c>
      <c r="I62">
        <f t="shared" si="38"/>
        <v>0</v>
      </c>
      <c r="J62">
        <f t="shared" si="38"/>
        <v>0</v>
      </c>
      <c r="K62">
        <f t="shared" si="38"/>
        <v>0</v>
      </c>
      <c r="L62">
        <f t="shared" si="38"/>
        <v>0</v>
      </c>
      <c r="N62">
        <v>1</v>
      </c>
      <c r="O62" t="s">
        <v>23</v>
      </c>
      <c r="P62">
        <v>0</v>
      </c>
      <c r="Q62">
        <f t="shared" si="50"/>
        <v>0</v>
      </c>
      <c r="R62">
        <f t="shared" si="41"/>
        <v>0</v>
      </c>
      <c r="S62">
        <f t="shared" si="42"/>
        <v>0</v>
      </c>
      <c r="T62">
        <f t="shared" si="43"/>
        <v>0</v>
      </c>
      <c r="U62">
        <f t="shared" si="44"/>
        <v>0</v>
      </c>
      <c r="V62">
        <f t="shared" si="45"/>
        <v>0</v>
      </c>
      <c r="W62">
        <f t="shared" si="46"/>
        <v>0</v>
      </c>
      <c r="X62">
        <f t="shared" si="47"/>
        <v>0</v>
      </c>
      <c r="Y62">
        <f t="shared" si="48"/>
        <v>0</v>
      </c>
      <c r="Z62">
        <f t="shared" si="49"/>
        <v>0</v>
      </c>
      <c r="AA62">
        <f t="shared" si="51"/>
        <v>5</v>
      </c>
    </row>
    <row r="63" spans="1:34" x14ac:dyDescent="0.25">
      <c r="A63" t="s">
        <v>38</v>
      </c>
      <c r="B63">
        <v>0</v>
      </c>
      <c r="C63">
        <f t="shared" si="38"/>
        <v>0</v>
      </c>
      <c r="D63">
        <f t="shared" si="38"/>
        <v>0</v>
      </c>
      <c r="E63">
        <f t="shared" si="38"/>
        <v>0</v>
      </c>
      <c r="F63">
        <f t="shared" si="38"/>
        <v>0</v>
      </c>
      <c r="G63">
        <f t="shared" si="38"/>
        <v>0</v>
      </c>
      <c r="H63">
        <f t="shared" si="38"/>
        <v>0</v>
      </c>
      <c r="I63">
        <f t="shared" si="38"/>
        <v>0</v>
      </c>
      <c r="J63">
        <f t="shared" si="38"/>
        <v>0</v>
      </c>
      <c r="K63">
        <f t="shared" si="38"/>
        <v>0</v>
      </c>
      <c r="L63">
        <f t="shared" si="38"/>
        <v>0</v>
      </c>
      <c r="N63">
        <v>1</v>
      </c>
      <c r="O63" t="s">
        <v>34</v>
      </c>
      <c r="P63">
        <v>0</v>
      </c>
      <c r="Q63">
        <f t="shared" si="50"/>
        <v>0</v>
      </c>
      <c r="R63">
        <f t="shared" si="41"/>
        <v>0</v>
      </c>
      <c r="S63">
        <f t="shared" si="42"/>
        <v>135</v>
      </c>
      <c r="T63">
        <f t="shared" si="43"/>
        <v>495</v>
      </c>
      <c r="U63">
        <f t="shared" si="44"/>
        <v>555</v>
      </c>
      <c r="V63">
        <f t="shared" si="45"/>
        <v>0</v>
      </c>
      <c r="W63">
        <f t="shared" si="46"/>
        <v>0</v>
      </c>
      <c r="X63">
        <f t="shared" si="47"/>
        <v>200</v>
      </c>
      <c r="Y63">
        <f t="shared" si="48"/>
        <v>260</v>
      </c>
      <c r="Z63">
        <f t="shared" si="49"/>
        <v>380</v>
      </c>
      <c r="AA63">
        <f t="shared" si="51"/>
        <v>6</v>
      </c>
    </row>
    <row r="64" spans="1:34" x14ac:dyDescent="0.25">
      <c r="N64">
        <v>1</v>
      </c>
      <c r="O64" t="s">
        <v>35</v>
      </c>
      <c r="P64">
        <v>0</v>
      </c>
      <c r="Q64">
        <f t="shared" si="50"/>
        <v>0</v>
      </c>
      <c r="R64">
        <f t="shared" si="41"/>
        <v>0</v>
      </c>
      <c r="S64">
        <f t="shared" si="42"/>
        <v>0</v>
      </c>
      <c r="T64">
        <f t="shared" si="43"/>
        <v>325</v>
      </c>
      <c r="U64">
        <f t="shared" si="44"/>
        <v>385</v>
      </c>
      <c r="V64">
        <f t="shared" si="45"/>
        <v>0</v>
      </c>
      <c r="W64">
        <f t="shared" si="46"/>
        <v>0</v>
      </c>
      <c r="X64">
        <f t="shared" si="47"/>
        <v>0</v>
      </c>
      <c r="Y64">
        <f t="shared" si="48"/>
        <v>0</v>
      </c>
      <c r="Z64">
        <f t="shared" si="49"/>
        <v>210</v>
      </c>
      <c r="AA64">
        <f t="shared" si="51"/>
        <v>7</v>
      </c>
    </row>
    <row r="65" spans="1:29" x14ac:dyDescent="0.25">
      <c r="A65" t="s">
        <v>56</v>
      </c>
      <c r="B65" t="s">
        <v>46</v>
      </c>
      <c r="C65" t="s">
        <v>18</v>
      </c>
      <c r="D65" t="s">
        <v>20</v>
      </c>
      <c r="E65" t="s">
        <v>21</v>
      </c>
      <c r="F65" t="s">
        <v>22</v>
      </c>
      <c r="G65" t="s">
        <v>23</v>
      </c>
      <c r="H65" t="s">
        <v>34</v>
      </c>
      <c r="I65" t="s">
        <v>35</v>
      </c>
      <c r="J65" t="s">
        <v>36</v>
      </c>
      <c r="K65" t="s">
        <v>37</v>
      </c>
      <c r="L65" t="s">
        <v>38</v>
      </c>
      <c r="N65">
        <v>1</v>
      </c>
      <c r="O65" t="s">
        <v>36</v>
      </c>
      <c r="P65">
        <v>0</v>
      </c>
      <c r="Q65">
        <f t="shared" si="50"/>
        <v>0</v>
      </c>
      <c r="R65">
        <f t="shared" si="41"/>
        <v>0</v>
      </c>
      <c r="S65">
        <f t="shared" si="42"/>
        <v>0</v>
      </c>
      <c r="T65">
        <f t="shared" si="43"/>
        <v>205</v>
      </c>
      <c r="U65">
        <f t="shared" si="44"/>
        <v>265</v>
      </c>
      <c r="V65">
        <f t="shared" si="45"/>
        <v>0</v>
      </c>
      <c r="W65">
        <f t="shared" si="46"/>
        <v>0</v>
      </c>
      <c r="X65">
        <f t="shared" si="47"/>
        <v>0</v>
      </c>
      <c r="Y65">
        <f t="shared" si="48"/>
        <v>0</v>
      </c>
      <c r="Z65">
        <f t="shared" si="49"/>
        <v>0</v>
      </c>
      <c r="AA65">
        <f t="shared" si="51"/>
        <v>8</v>
      </c>
    </row>
    <row r="66" spans="1:29" x14ac:dyDescent="0.25">
      <c r="A66" t="s">
        <v>46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N66">
        <v>1</v>
      </c>
      <c r="O66" t="s">
        <v>37</v>
      </c>
      <c r="P66">
        <v>0</v>
      </c>
      <c r="Q66">
        <f t="shared" si="50"/>
        <v>0</v>
      </c>
      <c r="R66">
        <f t="shared" si="41"/>
        <v>0</v>
      </c>
      <c r="S66">
        <f t="shared" si="42"/>
        <v>0</v>
      </c>
      <c r="T66">
        <f t="shared" si="43"/>
        <v>145</v>
      </c>
      <c r="U66">
        <f t="shared" si="44"/>
        <v>205</v>
      </c>
      <c r="V66">
        <f t="shared" si="45"/>
        <v>0</v>
      </c>
      <c r="W66">
        <f t="shared" si="46"/>
        <v>0</v>
      </c>
      <c r="X66">
        <f t="shared" si="47"/>
        <v>0</v>
      </c>
      <c r="Y66">
        <f t="shared" si="48"/>
        <v>0</v>
      </c>
      <c r="Z66">
        <f t="shared" si="49"/>
        <v>0</v>
      </c>
      <c r="AA66">
        <f t="shared" si="51"/>
        <v>9</v>
      </c>
    </row>
    <row r="67" spans="1:29" x14ac:dyDescent="0.25">
      <c r="A67" t="s">
        <v>18</v>
      </c>
      <c r="B67">
        <v>0</v>
      </c>
      <c r="C67">
        <f>IF(AND(VLOOKUP(C$30,$A$3:$G$12,5,FALSE) - VLOOKUP($A67,$A$3:$G$12,6,FALSE)&gt;=(( $B$13+VLOOKUP(VLOOKUP($A67,$A$3:$G$12,4,FALSE),$Q$10:$U$12,3,FALSE))/1440)),1,0)</f>
        <v>0</v>
      </c>
      <c r="D67">
        <f t="shared" ref="D67:L67" si="52">IF(AND(VLOOKUP(D$30,$A$3:$G$12,5,FALSE) - VLOOKUP($A67,$A$3:$G$12,6,FALSE)&gt;=(( $B$13+VLOOKUP(VLOOKUP($A67,$A$3:$G$12,4,FALSE),$Q$10:$U$12,3,FALSE))/1440)),1,0)</f>
        <v>0</v>
      </c>
      <c r="E67">
        <f t="shared" si="52"/>
        <v>1</v>
      </c>
      <c r="F67">
        <f t="shared" si="52"/>
        <v>1</v>
      </c>
      <c r="G67">
        <f t="shared" si="52"/>
        <v>1</v>
      </c>
      <c r="H67">
        <f t="shared" si="52"/>
        <v>0</v>
      </c>
      <c r="I67">
        <f t="shared" si="52"/>
        <v>0</v>
      </c>
      <c r="J67">
        <f t="shared" si="52"/>
        <v>1</v>
      </c>
      <c r="K67">
        <f t="shared" si="52"/>
        <v>1</v>
      </c>
      <c r="L67">
        <f t="shared" si="52"/>
        <v>1</v>
      </c>
      <c r="N67">
        <v>1</v>
      </c>
      <c r="O67" t="s">
        <v>38</v>
      </c>
      <c r="P67">
        <v>0</v>
      </c>
      <c r="Q67">
        <f t="shared" si="50"/>
        <v>0</v>
      </c>
      <c r="R67">
        <f t="shared" si="41"/>
        <v>0</v>
      </c>
      <c r="S67">
        <f t="shared" si="42"/>
        <v>0</v>
      </c>
      <c r="T67">
        <f t="shared" si="43"/>
        <v>0</v>
      </c>
      <c r="U67">
        <f t="shared" si="44"/>
        <v>0</v>
      </c>
      <c r="V67">
        <f t="shared" si="45"/>
        <v>0</v>
      </c>
      <c r="W67">
        <f t="shared" si="46"/>
        <v>0</v>
      </c>
      <c r="X67">
        <f t="shared" si="47"/>
        <v>0</v>
      </c>
      <c r="Y67">
        <f t="shared" si="48"/>
        <v>0</v>
      </c>
      <c r="Z67">
        <f t="shared" si="49"/>
        <v>0</v>
      </c>
      <c r="AA67">
        <f t="shared" si="51"/>
        <v>10</v>
      </c>
    </row>
    <row r="68" spans="1:29" x14ac:dyDescent="0.25">
      <c r="A68" t="s">
        <v>20</v>
      </c>
      <c r="B68">
        <v>0</v>
      </c>
      <c r="C68">
        <f t="shared" ref="C68:L76" si="53">IF(AND(VLOOKUP(C$30,$A$3:$G$12,5,FALSE) - VLOOKUP($A68,$A$3:$G$12,6,FALSE)&gt;=(( $B$13+VLOOKUP(VLOOKUP($A68,$A$3:$G$12,4,FALSE),$Q$10:$U$12,3,FALSE))/1440)),1,0)</f>
        <v>0</v>
      </c>
      <c r="D68">
        <f t="shared" si="53"/>
        <v>0</v>
      </c>
      <c r="E68">
        <f t="shared" si="53"/>
        <v>0</v>
      </c>
      <c r="F68">
        <f t="shared" si="53"/>
        <v>1</v>
      </c>
      <c r="G68">
        <f t="shared" si="53"/>
        <v>1</v>
      </c>
      <c r="H68">
        <f t="shared" si="53"/>
        <v>0</v>
      </c>
      <c r="I68">
        <f t="shared" si="53"/>
        <v>0</v>
      </c>
      <c r="J68">
        <f t="shared" si="53"/>
        <v>0</v>
      </c>
      <c r="K68">
        <f t="shared" si="53"/>
        <v>1</v>
      </c>
      <c r="L68">
        <f t="shared" si="53"/>
        <v>1</v>
      </c>
      <c r="N68">
        <v>2</v>
      </c>
      <c r="O68" t="s">
        <v>46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9" x14ac:dyDescent="0.25">
      <c r="A69" t="s">
        <v>21</v>
      </c>
      <c r="B69">
        <v>0</v>
      </c>
      <c r="C69">
        <f t="shared" si="53"/>
        <v>0</v>
      </c>
      <c r="D69">
        <f t="shared" si="53"/>
        <v>0</v>
      </c>
      <c r="E69">
        <f t="shared" si="53"/>
        <v>0</v>
      </c>
      <c r="F69">
        <f t="shared" si="53"/>
        <v>1</v>
      </c>
      <c r="G69">
        <f t="shared" si="53"/>
        <v>1</v>
      </c>
      <c r="H69">
        <f t="shared" si="53"/>
        <v>0</v>
      </c>
      <c r="I69">
        <f t="shared" si="53"/>
        <v>0</v>
      </c>
      <c r="J69">
        <f t="shared" si="53"/>
        <v>0</v>
      </c>
      <c r="K69">
        <f t="shared" si="53"/>
        <v>0</v>
      </c>
      <c r="L69">
        <f t="shared" si="53"/>
        <v>1</v>
      </c>
      <c r="N69">
        <v>2</v>
      </c>
      <c r="O69" t="s">
        <v>18</v>
      </c>
      <c r="P69">
        <v>0</v>
      </c>
      <c r="Q69">
        <f t="shared" ref="Q69:Q78" si="54">IF(AND($O69&lt;&gt;Q$45,C43=1),(VLOOKUP(Q$45,$A$2:$L$12,8,FALSE))-(VLOOKUP($O69,$A$2:$L$12,9,FALSE))+($B$14),0)</f>
        <v>0</v>
      </c>
      <c r="R69">
        <f t="shared" ref="R69:R78" si="55">IF(AND($O69&lt;&gt;R$45,D43=1),(VLOOKUP(R$45,$A$2:$L$12,8,FALSE))-(VLOOKUP($O69,$A$2:$L$12,9,FALSE))+($B$14),0)</f>
        <v>0</v>
      </c>
      <c r="S69">
        <f t="shared" ref="S69:S78" si="56">IF(AND($O69&lt;&gt;S$45,E43=1),(VLOOKUP(S$45,$A$2:$L$12,8,FALSE))-(VLOOKUP($O69,$A$2:$L$12,9,FALSE))+($B$14),0)</f>
        <v>150</v>
      </c>
      <c r="T69">
        <f t="shared" ref="T69:T78" si="57">IF(AND($O69&lt;&gt;T$45,F43=1),(VLOOKUP(T$45,$A$2:$L$12,8,FALSE))-(VLOOKUP($O69,$A$2:$L$12,9,FALSE))+($B$14),0)</f>
        <v>510</v>
      </c>
      <c r="U69">
        <f t="shared" ref="U69:U78" si="58">IF(AND($O69&lt;&gt;U$45,G43=1),(VLOOKUP(U$45,$A$2:$L$12,8,FALSE))-(VLOOKUP($O69,$A$2:$L$12,9,FALSE))+($B$14),0)</f>
        <v>570</v>
      </c>
      <c r="V69">
        <f t="shared" ref="V69:V78" si="59">IF(AND($O69&lt;&gt;V$45,H43=1),(VLOOKUP(V$45,$A$2:$L$12,8,FALSE))-(VLOOKUP($O69,$A$2:$L$12,9,FALSE))+($B$14),0)</f>
        <v>0</v>
      </c>
      <c r="W69">
        <f t="shared" ref="W69:W78" si="60">IF(AND($O69&lt;&gt;W$45,I43=1),(VLOOKUP(W$45,$A$2:$L$12,8,FALSE))-(VLOOKUP($O69,$A$2:$L$12,9,FALSE))+($B$14),0)</f>
        <v>0</v>
      </c>
      <c r="X69">
        <f t="shared" ref="X69:X78" si="61">IF(AND($O69&lt;&gt;X$45,J43=1),(VLOOKUP(X$45,$A$2:$L$12,8,FALSE))-(VLOOKUP($O69,$A$2:$L$12,9,FALSE))+($B$14),0)</f>
        <v>0</v>
      </c>
      <c r="Y69">
        <f t="shared" ref="Y69:Y78" si="62">IF(AND($O69&lt;&gt;Y$45,K43=1),(VLOOKUP(Y$45,$A$2:$L$12,8,FALSE))-(VLOOKUP($O69,$A$2:$L$12,9,FALSE))+($B$14),0)</f>
        <v>0</v>
      </c>
      <c r="Z69">
        <f t="shared" ref="Z69:Z78" si="63">IF(AND($O69&lt;&gt;Z$45,L43=1),(VLOOKUP(Z$45,$A$2:$L$12,8,FALSE))-(VLOOKUP($O69,$A$2:$L$12,9,FALSE))+($B$14),0)</f>
        <v>0</v>
      </c>
      <c r="AA69">
        <f>AA68+1</f>
        <v>1</v>
      </c>
    </row>
    <row r="70" spans="1:29" x14ac:dyDescent="0.25">
      <c r="A70" t="s">
        <v>22</v>
      </c>
      <c r="B70">
        <v>0</v>
      </c>
      <c r="C70">
        <f t="shared" si="53"/>
        <v>0</v>
      </c>
      <c r="D70">
        <f t="shared" si="53"/>
        <v>0</v>
      </c>
      <c r="E70">
        <f t="shared" si="53"/>
        <v>0</v>
      </c>
      <c r="F70">
        <f t="shared" si="53"/>
        <v>0</v>
      </c>
      <c r="G70">
        <f t="shared" si="53"/>
        <v>0</v>
      </c>
      <c r="H70">
        <f t="shared" si="53"/>
        <v>0</v>
      </c>
      <c r="I70">
        <f t="shared" si="53"/>
        <v>0</v>
      </c>
      <c r="J70">
        <f t="shared" si="53"/>
        <v>0</v>
      </c>
      <c r="K70">
        <f t="shared" si="53"/>
        <v>0</v>
      </c>
      <c r="L70">
        <f t="shared" si="53"/>
        <v>0</v>
      </c>
      <c r="N70">
        <v>2</v>
      </c>
      <c r="O70" t="s">
        <v>20</v>
      </c>
      <c r="P70">
        <v>0</v>
      </c>
      <c r="Q70">
        <f t="shared" si="54"/>
        <v>0</v>
      </c>
      <c r="R70">
        <f t="shared" si="55"/>
        <v>0</v>
      </c>
      <c r="S70">
        <f t="shared" si="56"/>
        <v>0</v>
      </c>
      <c r="T70">
        <f t="shared" si="57"/>
        <v>390</v>
      </c>
      <c r="U70">
        <f t="shared" si="58"/>
        <v>450</v>
      </c>
      <c r="V70">
        <f t="shared" si="59"/>
        <v>0</v>
      </c>
      <c r="W70">
        <f t="shared" si="60"/>
        <v>0</v>
      </c>
      <c r="X70">
        <f t="shared" si="61"/>
        <v>0</v>
      </c>
      <c r="Y70">
        <f t="shared" si="62"/>
        <v>0</v>
      </c>
      <c r="Z70">
        <f t="shared" si="63"/>
        <v>0</v>
      </c>
      <c r="AA70">
        <f t="shared" ref="AA70:AA78" si="64">AA69+1</f>
        <v>2</v>
      </c>
    </row>
    <row r="71" spans="1:29" x14ac:dyDescent="0.25">
      <c r="A71" t="s">
        <v>23</v>
      </c>
      <c r="B71">
        <v>0</v>
      </c>
      <c r="C71">
        <f t="shared" si="53"/>
        <v>0</v>
      </c>
      <c r="D71">
        <f t="shared" si="53"/>
        <v>0</v>
      </c>
      <c r="E71">
        <f t="shared" si="53"/>
        <v>0</v>
      </c>
      <c r="F71">
        <f t="shared" si="53"/>
        <v>0</v>
      </c>
      <c r="G71">
        <f t="shared" si="53"/>
        <v>0</v>
      </c>
      <c r="H71">
        <f t="shared" si="53"/>
        <v>0</v>
      </c>
      <c r="I71">
        <f t="shared" si="53"/>
        <v>0</v>
      </c>
      <c r="J71">
        <f t="shared" si="53"/>
        <v>0</v>
      </c>
      <c r="K71">
        <f t="shared" si="53"/>
        <v>0</v>
      </c>
      <c r="L71">
        <f t="shared" si="53"/>
        <v>0</v>
      </c>
      <c r="N71">
        <v>2</v>
      </c>
      <c r="O71" t="s">
        <v>21</v>
      </c>
      <c r="P71">
        <v>0</v>
      </c>
      <c r="Q71">
        <f t="shared" si="54"/>
        <v>0</v>
      </c>
      <c r="R71">
        <f t="shared" si="55"/>
        <v>0</v>
      </c>
      <c r="S71">
        <f t="shared" si="56"/>
        <v>0</v>
      </c>
      <c r="T71">
        <f t="shared" si="57"/>
        <v>270</v>
      </c>
      <c r="U71">
        <f t="shared" si="58"/>
        <v>330</v>
      </c>
      <c r="V71">
        <f t="shared" si="59"/>
        <v>0</v>
      </c>
      <c r="W71">
        <f t="shared" si="60"/>
        <v>0</v>
      </c>
      <c r="X71">
        <f t="shared" si="61"/>
        <v>0</v>
      </c>
      <c r="Y71">
        <f t="shared" si="62"/>
        <v>0</v>
      </c>
      <c r="Z71">
        <f t="shared" si="63"/>
        <v>0</v>
      </c>
      <c r="AA71">
        <f t="shared" si="64"/>
        <v>3</v>
      </c>
    </row>
    <row r="72" spans="1:29" x14ac:dyDescent="0.25">
      <c r="A72" t="s">
        <v>34</v>
      </c>
      <c r="B72">
        <v>0</v>
      </c>
      <c r="C72">
        <f t="shared" si="53"/>
        <v>0</v>
      </c>
      <c r="D72">
        <f t="shared" si="53"/>
        <v>0</v>
      </c>
      <c r="E72">
        <f t="shared" si="53"/>
        <v>1</v>
      </c>
      <c r="F72">
        <f t="shared" si="53"/>
        <v>1</v>
      </c>
      <c r="G72">
        <f t="shared" si="53"/>
        <v>1</v>
      </c>
      <c r="H72">
        <f t="shared" si="53"/>
        <v>0</v>
      </c>
      <c r="I72">
        <f t="shared" si="53"/>
        <v>0</v>
      </c>
      <c r="J72">
        <f t="shared" si="53"/>
        <v>1</v>
      </c>
      <c r="K72">
        <f t="shared" si="53"/>
        <v>1</v>
      </c>
      <c r="L72">
        <f t="shared" si="53"/>
        <v>1</v>
      </c>
      <c r="N72">
        <v>2</v>
      </c>
      <c r="O72" t="s">
        <v>22</v>
      </c>
      <c r="P72">
        <v>0</v>
      </c>
      <c r="Q72">
        <f t="shared" si="54"/>
        <v>0</v>
      </c>
      <c r="R72">
        <f t="shared" si="55"/>
        <v>0</v>
      </c>
      <c r="S72">
        <f t="shared" si="56"/>
        <v>0</v>
      </c>
      <c r="T72">
        <f t="shared" si="57"/>
        <v>0</v>
      </c>
      <c r="U72">
        <f t="shared" si="58"/>
        <v>0</v>
      </c>
      <c r="V72">
        <f t="shared" si="59"/>
        <v>0</v>
      </c>
      <c r="W72">
        <f t="shared" si="60"/>
        <v>0</v>
      </c>
      <c r="X72">
        <f t="shared" si="61"/>
        <v>0</v>
      </c>
      <c r="Y72">
        <f t="shared" si="62"/>
        <v>0</v>
      </c>
      <c r="Z72">
        <f t="shared" si="63"/>
        <v>0</v>
      </c>
      <c r="AA72">
        <f t="shared" si="64"/>
        <v>4</v>
      </c>
    </row>
    <row r="73" spans="1:29" x14ac:dyDescent="0.25">
      <c r="A73" t="s">
        <v>35</v>
      </c>
      <c r="B73">
        <v>0</v>
      </c>
      <c r="C73">
        <f t="shared" si="53"/>
        <v>0</v>
      </c>
      <c r="D73">
        <f t="shared" si="53"/>
        <v>0</v>
      </c>
      <c r="E73">
        <f t="shared" si="53"/>
        <v>0</v>
      </c>
      <c r="F73">
        <f t="shared" si="53"/>
        <v>1</v>
      </c>
      <c r="G73">
        <f t="shared" si="53"/>
        <v>1</v>
      </c>
      <c r="H73">
        <f t="shared" si="53"/>
        <v>0</v>
      </c>
      <c r="I73">
        <f t="shared" si="53"/>
        <v>0</v>
      </c>
      <c r="J73">
        <f t="shared" si="53"/>
        <v>0</v>
      </c>
      <c r="K73">
        <f t="shared" si="53"/>
        <v>0</v>
      </c>
      <c r="L73">
        <f t="shared" si="53"/>
        <v>1</v>
      </c>
      <c r="N73">
        <v>2</v>
      </c>
      <c r="O73" t="s">
        <v>23</v>
      </c>
      <c r="P73">
        <v>0</v>
      </c>
      <c r="Q73">
        <f t="shared" si="54"/>
        <v>0</v>
      </c>
      <c r="R73">
        <f t="shared" si="55"/>
        <v>0</v>
      </c>
      <c r="S73">
        <f t="shared" si="56"/>
        <v>0</v>
      </c>
      <c r="T73">
        <f t="shared" si="57"/>
        <v>0</v>
      </c>
      <c r="U73">
        <f t="shared" si="58"/>
        <v>0</v>
      </c>
      <c r="V73">
        <f t="shared" si="59"/>
        <v>0</v>
      </c>
      <c r="W73">
        <f t="shared" si="60"/>
        <v>0</v>
      </c>
      <c r="X73">
        <f t="shared" si="61"/>
        <v>0</v>
      </c>
      <c r="Y73">
        <f t="shared" si="62"/>
        <v>0</v>
      </c>
      <c r="Z73">
        <f t="shared" si="63"/>
        <v>0</v>
      </c>
      <c r="AA73">
        <f t="shared" si="64"/>
        <v>5</v>
      </c>
    </row>
    <row r="74" spans="1:29" x14ac:dyDescent="0.25">
      <c r="A74" t="s">
        <v>36</v>
      </c>
      <c r="B74">
        <v>0</v>
      </c>
      <c r="C74">
        <f t="shared" si="53"/>
        <v>0</v>
      </c>
      <c r="D74">
        <f t="shared" si="53"/>
        <v>0</v>
      </c>
      <c r="E74">
        <f t="shared" si="53"/>
        <v>0</v>
      </c>
      <c r="F74">
        <f t="shared" si="53"/>
        <v>1</v>
      </c>
      <c r="G74">
        <f t="shared" si="53"/>
        <v>1</v>
      </c>
      <c r="H74">
        <f t="shared" si="53"/>
        <v>0</v>
      </c>
      <c r="I74">
        <f t="shared" si="53"/>
        <v>0</v>
      </c>
      <c r="J74">
        <f t="shared" si="53"/>
        <v>0</v>
      </c>
      <c r="K74">
        <f t="shared" si="53"/>
        <v>0</v>
      </c>
      <c r="L74">
        <f t="shared" si="53"/>
        <v>0</v>
      </c>
      <c r="N74">
        <v>2</v>
      </c>
      <c r="O74" t="s">
        <v>34</v>
      </c>
      <c r="P74">
        <v>0</v>
      </c>
      <c r="Q74">
        <f t="shared" si="54"/>
        <v>0</v>
      </c>
      <c r="R74">
        <f t="shared" si="55"/>
        <v>0</v>
      </c>
      <c r="S74">
        <f t="shared" si="56"/>
        <v>135</v>
      </c>
      <c r="T74">
        <f t="shared" si="57"/>
        <v>495</v>
      </c>
      <c r="U74">
        <f t="shared" si="58"/>
        <v>555</v>
      </c>
      <c r="V74">
        <f t="shared" si="59"/>
        <v>0</v>
      </c>
      <c r="W74">
        <f t="shared" si="60"/>
        <v>0</v>
      </c>
      <c r="X74">
        <f t="shared" si="61"/>
        <v>0</v>
      </c>
      <c r="Y74">
        <f t="shared" si="62"/>
        <v>0</v>
      </c>
      <c r="Z74">
        <f t="shared" si="63"/>
        <v>0</v>
      </c>
      <c r="AA74">
        <f t="shared" si="64"/>
        <v>6</v>
      </c>
    </row>
    <row r="75" spans="1:29" x14ac:dyDescent="0.25">
      <c r="A75" t="s">
        <v>37</v>
      </c>
      <c r="B75">
        <v>0</v>
      </c>
      <c r="C75">
        <f t="shared" si="53"/>
        <v>0</v>
      </c>
      <c r="D75">
        <f t="shared" si="53"/>
        <v>0</v>
      </c>
      <c r="E75">
        <f t="shared" si="53"/>
        <v>0</v>
      </c>
      <c r="F75">
        <f t="shared" si="53"/>
        <v>1</v>
      </c>
      <c r="G75">
        <f t="shared" si="53"/>
        <v>1</v>
      </c>
      <c r="H75">
        <f t="shared" si="53"/>
        <v>0</v>
      </c>
      <c r="I75">
        <f t="shared" si="53"/>
        <v>0</v>
      </c>
      <c r="J75">
        <f t="shared" si="53"/>
        <v>0</v>
      </c>
      <c r="K75">
        <f t="shared" si="53"/>
        <v>0</v>
      </c>
      <c r="L75">
        <f t="shared" si="53"/>
        <v>0</v>
      </c>
      <c r="N75">
        <v>2</v>
      </c>
      <c r="O75" t="s">
        <v>35</v>
      </c>
      <c r="P75">
        <v>0</v>
      </c>
      <c r="Q75">
        <f t="shared" si="54"/>
        <v>0</v>
      </c>
      <c r="R75">
        <f t="shared" si="55"/>
        <v>0</v>
      </c>
      <c r="S75">
        <f t="shared" si="56"/>
        <v>0</v>
      </c>
      <c r="T75">
        <f t="shared" si="57"/>
        <v>325</v>
      </c>
      <c r="U75">
        <f t="shared" si="58"/>
        <v>385</v>
      </c>
      <c r="V75">
        <f t="shared" si="59"/>
        <v>0</v>
      </c>
      <c r="W75">
        <f t="shared" si="60"/>
        <v>0</v>
      </c>
      <c r="X75">
        <f t="shared" si="61"/>
        <v>0</v>
      </c>
      <c r="Y75">
        <f t="shared" si="62"/>
        <v>0</v>
      </c>
      <c r="Z75">
        <f t="shared" si="63"/>
        <v>0</v>
      </c>
      <c r="AA75">
        <f t="shared" si="64"/>
        <v>7</v>
      </c>
    </row>
    <row r="76" spans="1:29" x14ac:dyDescent="0.25">
      <c r="A76" t="s">
        <v>38</v>
      </c>
      <c r="B76">
        <v>0</v>
      </c>
      <c r="C76">
        <f t="shared" si="53"/>
        <v>0</v>
      </c>
      <c r="D76">
        <f t="shared" si="53"/>
        <v>0</v>
      </c>
      <c r="E76">
        <f t="shared" si="53"/>
        <v>0</v>
      </c>
      <c r="F76">
        <f t="shared" si="53"/>
        <v>0</v>
      </c>
      <c r="G76">
        <f t="shared" si="53"/>
        <v>0</v>
      </c>
      <c r="H76">
        <f t="shared" si="53"/>
        <v>0</v>
      </c>
      <c r="I76">
        <f t="shared" si="53"/>
        <v>0</v>
      </c>
      <c r="J76">
        <f t="shared" si="53"/>
        <v>0</v>
      </c>
      <c r="K76">
        <f t="shared" si="53"/>
        <v>0</v>
      </c>
      <c r="L76">
        <f t="shared" si="53"/>
        <v>0</v>
      </c>
      <c r="N76">
        <v>2</v>
      </c>
      <c r="O76" t="s">
        <v>36</v>
      </c>
      <c r="P76">
        <v>0</v>
      </c>
      <c r="Q76">
        <f t="shared" si="54"/>
        <v>0</v>
      </c>
      <c r="R76">
        <f t="shared" si="55"/>
        <v>0</v>
      </c>
      <c r="S76">
        <f t="shared" si="56"/>
        <v>0</v>
      </c>
      <c r="T76">
        <f t="shared" si="57"/>
        <v>205</v>
      </c>
      <c r="U76">
        <f t="shared" si="58"/>
        <v>265</v>
      </c>
      <c r="V76">
        <f t="shared" si="59"/>
        <v>0</v>
      </c>
      <c r="W76">
        <f t="shared" si="60"/>
        <v>0</v>
      </c>
      <c r="X76">
        <f t="shared" si="61"/>
        <v>0</v>
      </c>
      <c r="Y76">
        <f t="shared" si="62"/>
        <v>0</v>
      </c>
      <c r="Z76">
        <f t="shared" si="63"/>
        <v>0</v>
      </c>
      <c r="AA76">
        <f t="shared" si="64"/>
        <v>8</v>
      </c>
    </row>
    <row r="77" spans="1:29" x14ac:dyDescent="0.25">
      <c r="A77" t="s">
        <v>46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N77">
        <v>2</v>
      </c>
      <c r="O77" t="s">
        <v>37</v>
      </c>
      <c r="P77">
        <v>0</v>
      </c>
      <c r="Q77">
        <f t="shared" si="54"/>
        <v>0</v>
      </c>
      <c r="R77">
        <f t="shared" si="55"/>
        <v>0</v>
      </c>
      <c r="S77">
        <f t="shared" si="56"/>
        <v>0</v>
      </c>
      <c r="T77">
        <f t="shared" si="57"/>
        <v>145</v>
      </c>
      <c r="U77">
        <f t="shared" si="58"/>
        <v>205</v>
      </c>
      <c r="V77">
        <f t="shared" si="59"/>
        <v>0</v>
      </c>
      <c r="W77">
        <f t="shared" si="60"/>
        <v>0</v>
      </c>
      <c r="X77">
        <f t="shared" si="61"/>
        <v>0</v>
      </c>
      <c r="Y77">
        <f t="shared" si="62"/>
        <v>0</v>
      </c>
      <c r="Z77">
        <f t="shared" si="63"/>
        <v>0</v>
      </c>
      <c r="AA77">
        <f t="shared" si="64"/>
        <v>9</v>
      </c>
      <c r="AC77" t="s">
        <v>72</v>
      </c>
    </row>
    <row r="78" spans="1:29" x14ac:dyDescent="0.25">
      <c r="A78" t="s">
        <v>18</v>
      </c>
      <c r="B78">
        <v>0</v>
      </c>
      <c r="C78">
        <f>IF(AND(C18=1, VLOOKUP("CS1a",$A$13:$I$15, 3,FALSE)=VLOOKUP(C$65,$A$3:$I$12,3,FALSE)),1,0)</f>
        <v>0</v>
      </c>
      <c r="D78">
        <f t="shared" ref="D78:L78" si="65">IF(AND(D18=1, VLOOKUP("CS1a",$A$13:$I$15, 3,FALSE)=VLOOKUP(D$65,$A$3:$I$12,3,FALSE)),1,0)</f>
        <v>0</v>
      </c>
      <c r="E78">
        <f t="shared" si="65"/>
        <v>1</v>
      </c>
      <c r="F78">
        <f t="shared" si="65"/>
        <v>1</v>
      </c>
      <c r="G78">
        <f t="shared" si="65"/>
        <v>1</v>
      </c>
      <c r="H78">
        <f t="shared" si="65"/>
        <v>0</v>
      </c>
      <c r="I78">
        <f t="shared" si="65"/>
        <v>0</v>
      </c>
      <c r="J78">
        <f t="shared" si="65"/>
        <v>0</v>
      </c>
      <c r="K78">
        <f t="shared" si="65"/>
        <v>0</v>
      </c>
      <c r="L78">
        <f t="shared" si="65"/>
        <v>0</v>
      </c>
      <c r="N78">
        <v>2</v>
      </c>
      <c r="O78" t="s">
        <v>38</v>
      </c>
      <c r="P78">
        <v>0</v>
      </c>
      <c r="Q78">
        <f t="shared" si="54"/>
        <v>0</v>
      </c>
      <c r="R78">
        <f t="shared" si="55"/>
        <v>0</v>
      </c>
      <c r="S78">
        <f t="shared" si="56"/>
        <v>0</v>
      </c>
      <c r="T78">
        <f t="shared" si="57"/>
        <v>0</v>
      </c>
      <c r="U78">
        <f t="shared" si="58"/>
        <v>0</v>
      </c>
      <c r="V78">
        <f t="shared" si="59"/>
        <v>0</v>
      </c>
      <c r="W78">
        <f t="shared" si="60"/>
        <v>0</v>
      </c>
      <c r="X78">
        <f t="shared" si="61"/>
        <v>0</v>
      </c>
      <c r="Y78">
        <f t="shared" si="62"/>
        <v>0</v>
      </c>
      <c r="Z78">
        <f t="shared" si="63"/>
        <v>0</v>
      </c>
      <c r="AA78">
        <f t="shared" si="64"/>
        <v>10</v>
      </c>
      <c r="AC78">
        <f>SUM(VLOOKUP($O80,$A$2:$L$12,2,FALSE),VLOOKUP(S$45,$A$2:$L$12,2,FALSE))</f>
        <v>280</v>
      </c>
    </row>
    <row r="79" spans="1:29" x14ac:dyDescent="0.25">
      <c r="A79" t="s">
        <v>20</v>
      </c>
      <c r="B79">
        <v>0</v>
      </c>
      <c r="C79">
        <f t="shared" ref="C79:L87" si="66">IF(AND(C19=1, VLOOKUP("CS1a",$A$13:$I$15, 3,FALSE)=VLOOKUP(C$65,$A$3:$I$12,3,FALSE)),1,0)</f>
        <v>0</v>
      </c>
      <c r="D79">
        <f t="shared" si="66"/>
        <v>0</v>
      </c>
      <c r="E79">
        <f t="shared" si="66"/>
        <v>0</v>
      </c>
      <c r="F79">
        <f t="shared" si="66"/>
        <v>1</v>
      </c>
      <c r="G79">
        <f t="shared" si="66"/>
        <v>1</v>
      </c>
      <c r="H79">
        <f t="shared" si="66"/>
        <v>0</v>
      </c>
      <c r="I79">
        <f t="shared" si="66"/>
        <v>0</v>
      </c>
      <c r="J79">
        <f t="shared" si="66"/>
        <v>0</v>
      </c>
      <c r="K79">
        <f t="shared" si="66"/>
        <v>0</v>
      </c>
      <c r="L79">
        <f t="shared" si="66"/>
        <v>0</v>
      </c>
      <c r="N79">
        <v>3</v>
      </c>
      <c r="O79" t="s">
        <v>46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C79">
        <f>$R$14</f>
        <v>350</v>
      </c>
    </row>
    <row r="80" spans="1:29" x14ac:dyDescent="0.25">
      <c r="A80" t="s">
        <v>21</v>
      </c>
      <c r="B80">
        <v>0</v>
      </c>
      <c r="C80">
        <f t="shared" si="66"/>
        <v>0</v>
      </c>
      <c r="D80">
        <f t="shared" si="66"/>
        <v>0</v>
      </c>
      <c r="E80">
        <f t="shared" si="66"/>
        <v>0</v>
      </c>
      <c r="F80">
        <f t="shared" si="66"/>
        <v>1</v>
      </c>
      <c r="G80">
        <f t="shared" si="66"/>
        <v>1</v>
      </c>
      <c r="H80">
        <f t="shared" si="66"/>
        <v>0</v>
      </c>
      <c r="I80">
        <f t="shared" si="66"/>
        <v>0</v>
      </c>
      <c r="J80">
        <f t="shared" si="66"/>
        <v>0</v>
      </c>
      <c r="K80">
        <f t="shared" si="66"/>
        <v>0</v>
      </c>
      <c r="L80">
        <f t="shared" si="66"/>
        <v>0</v>
      </c>
      <c r="N80">
        <v>3</v>
      </c>
      <c r="O80" t="s">
        <v>18</v>
      </c>
      <c r="P80">
        <v>0</v>
      </c>
      <c r="Q80">
        <f t="shared" ref="Q80:Q89" si="67">IF(AND($O80&lt;&gt;Q$45,C54=1),(VLOOKUP(Q$45,$A$2:$L$12,8,FALSE))-(VLOOKUP($O80,$A$2:$L$12,9,FALSE))+($B$15),0)</f>
        <v>0</v>
      </c>
      <c r="R80">
        <f t="shared" ref="R80:R89" si="68">IF(AND($O80&lt;&gt;R$45,D54=1),(VLOOKUP(R$45,$A$2:$L$12,8,FALSE))-(VLOOKUP($O80,$A$2:$L$12,9,FALSE))+($B$15),0)</f>
        <v>0</v>
      </c>
      <c r="S80">
        <f t="shared" ref="S80:S89" si="69">IF(AND($O80&lt;&gt;S$45,E54=1),(VLOOKUP(S$45,$A$2:$L$12,8,FALSE))-(VLOOKUP($O80,$A$2:$L$12,9,FALSE))+($B$15),0)</f>
        <v>0</v>
      </c>
      <c r="T80">
        <f t="shared" ref="T80:T89" si="70">IF(AND($O80&lt;&gt;T$45,F54=1),(VLOOKUP(T$45,$A$2:$L$12,8,FALSE))-(VLOOKUP($O80,$A$2:$L$12,9,FALSE))+($B$15),0)</f>
        <v>0</v>
      </c>
      <c r="U80">
        <f t="shared" ref="U80:U89" si="71">IF(AND($O80&lt;&gt;U$45,G54=1),(VLOOKUP(U$45,$A$2:$L$12,8,FALSE))-(VLOOKUP($O80,$A$2:$L$12,9,FALSE))+($B$15),0)</f>
        <v>0</v>
      </c>
      <c r="V80">
        <f t="shared" ref="V80:V89" si="72">IF(AND($O80&lt;&gt;V$45,H54=1),(VLOOKUP(V$45,$A$2:$L$12,8,FALSE))-(VLOOKUP($O80,$A$2:$L$12,9,FALSE))+($B$15),0)</f>
        <v>0</v>
      </c>
      <c r="W80">
        <f t="shared" ref="W80:W89" si="73">IF(AND($O80&lt;&gt;W$45,I54=1),(VLOOKUP(W$45,$A$2:$L$12,8,FALSE))-(VLOOKUP($O80,$A$2:$L$12,9,FALSE))+($B$15),0)</f>
        <v>0</v>
      </c>
      <c r="X80">
        <f t="shared" ref="X80:X89" si="74">IF(AND($O80&lt;&gt;X$45,J54=1),(VLOOKUP(X$45,$A$2:$L$12,8,FALSE))-(VLOOKUP($O80,$A$2:$L$12,9,FALSE))+($B$15),0)</f>
        <v>215</v>
      </c>
      <c r="Y80">
        <f t="shared" ref="Y80:Y89" si="75">IF(AND($O80&lt;&gt;Y$45,K54=1),(VLOOKUP(Y$45,$A$2:$L$12,8,FALSE))-(VLOOKUP($O80,$A$2:$L$12,9,FALSE))+($B$15),0)</f>
        <v>275</v>
      </c>
      <c r="Z80">
        <f t="shared" ref="Z80:Z89" si="76">IF(AND($O80&lt;&gt;Z$45,L54=1),(VLOOKUP(Z$45,$A$2:$L$12,8,FALSE))-(VLOOKUP($O80,$A$2:$L$12,9,FALSE))+($B$15),0)</f>
        <v>395</v>
      </c>
      <c r="AA80">
        <f>AA79+1</f>
        <v>1</v>
      </c>
      <c r="AC80" t="b">
        <f>$O80&lt;&gt;S$45</f>
        <v>1</v>
      </c>
    </row>
    <row r="81" spans="1:29" x14ac:dyDescent="0.25">
      <c r="A81" t="s">
        <v>22</v>
      </c>
      <c r="B81">
        <v>0</v>
      </c>
      <c r="C81">
        <f t="shared" si="66"/>
        <v>0</v>
      </c>
      <c r="D81">
        <f t="shared" si="66"/>
        <v>0</v>
      </c>
      <c r="E81">
        <f t="shared" si="66"/>
        <v>0</v>
      </c>
      <c r="F81">
        <f t="shared" si="66"/>
        <v>0</v>
      </c>
      <c r="G81">
        <f t="shared" si="66"/>
        <v>0</v>
      </c>
      <c r="H81">
        <f t="shared" si="66"/>
        <v>0</v>
      </c>
      <c r="I81">
        <f t="shared" si="66"/>
        <v>0</v>
      </c>
      <c r="J81">
        <f t="shared" si="66"/>
        <v>0</v>
      </c>
      <c r="K81">
        <f t="shared" si="66"/>
        <v>0</v>
      </c>
      <c r="L81">
        <f t="shared" si="66"/>
        <v>0</v>
      </c>
      <c r="N81">
        <v>3</v>
      </c>
      <c r="O81" t="s">
        <v>20</v>
      </c>
      <c r="P81">
        <v>0</v>
      </c>
      <c r="Q81">
        <f t="shared" si="67"/>
        <v>0</v>
      </c>
      <c r="R81">
        <f t="shared" si="68"/>
        <v>0</v>
      </c>
      <c r="S81">
        <f t="shared" si="69"/>
        <v>0</v>
      </c>
      <c r="T81">
        <f t="shared" si="70"/>
        <v>0</v>
      </c>
      <c r="U81">
        <f t="shared" si="71"/>
        <v>0</v>
      </c>
      <c r="V81">
        <f t="shared" si="72"/>
        <v>0</v>
      </c>
      <c r="W81">
        <f t="shared" si="73"/>
        <v>0</v>
      </c>
      <c r="X81">
        <f t="shared" si="74"/>
        <v>0</v>
      </c>
      <c r="Y81">
        <f t="shared" si="75"/>
        <v>0</v>
      </c>
      <c r="Z81">
        <f t="shared" si="76"/>
        <v>275</v>
      </c>
      <c r="AA81">
        <f t="shared" ref="AA81:AA89" si="77">AA80+1</f>
        <v>2</v>
      </c>
      <c r="AC81" t="b">
        <f>E54=1</f>
        <v>0</v>
      </c>
    </row>
    <row r="82" spans="1:29" x14ac:dyDescent="0.25">
      <c r="A82" t="s">
        <v>23</v>
      </c>
      <c r="B82">
        <v>0</v>
      </c>
      <c r="C82">
        <f t="shared" si="66"/>
        <v>0</v>
      </c>
      <c r="D82">
        <f t="shared" si="66"/>
        <v>0</v>
      </c>
      <c r="E82">
        <f t="shared" si="66"/>
        <v>0</v>
      </c>
      <c r="F82">
        <f t="shared" si="66"/>
        <v>0</v>
      </c>
      <c r="G82">
        <f t="shared" si="66"/>
        <v>0</v>
      </c>
      <c r="H82">
        <f t="shared" si="66"/>
        <v>0</v>
      </c>
      <c r="I82">
        <f t="shared" si="66"/>
        <v>0</v>
      </c>
      <c r="J82">
        <f t="shared" si="66"/>
        <v>0</v>
      </c>
      <c r="K82">
        <f t="shared" si="66"/>
        <v>0</v>
      </c>
      <c r="L82">
        <f t="shared" si="66"/>
        <v>0</v>
      </c>
      <c r="N82">
        <v>3</v>
      </c>
      <c r="O82" t="s">
        <v>21</v>
      </c>
      <c r="P82">
        <v>0</v>
      </c>
      <c r="Q82">
        <f t="shared" si="67"/>
        <v>0</v>
      </c>
      <c r="R82">
        <f t="shared" si="68"/>
        <v>0</v>
      </c>
      <c r="S82">
        <f t="shared" si="69"/>
        <v>0</v>
      </c>
      <c r="T82">
        <f t="shared" si="70"/>
        <v>0</v>
      </c>
      <c r="U82">
        <f t="shared" si="71"/>
        <v>0</v>
      </c>
      <c r="V82">
        <f t="shared" si="72"/>
        <v>0</v>
      </c>
      <c r="W82">
        <f t="shared" si="73"/>
        <v>0</v>
      </c>
      <c r="X82">
        <f t="shared" si="74"/>
        <v>0</v>
      </c>
      <c r="Y82">
        <f t="shared" si="75"/>
        <v>0</v>
      </c>
      <c r="Z82">
        <f t="shared" si="76"/>
        <v>0</v>
      </c>
      <c r="AA82">
        <f t="shared" si="77"/>
        <v>3</v>
      </c>
    </row>
    <row r="83" spans="1:29" x14ac:dyDescent="0.25">
      <c r="A83" t="s">
        <v>34</v>
      </c>
      <c r="B83">
        <v>0</v>
      </c>
      <c r="C83">
        <f t="shared" si="66"/>
        <v>0</v>
      </c>
      <c r="D83">
        <f t="shared" si="66"/>
        <v>0</v>
      </c>
      <c r="E83">
        <f t="shared" si="66"/>
        <v>1</v>
      </c>
      <c r="F83">
        <f t="shared" si="66"/>
        <v>1</v>
      </c>
      <c r="G83">
        <f t="shared" si="66"/>
        <v>1</v>
      </c>
      <c r="H83">
        <f t="shared" si="66"/>
        <v>0</v>
      </c>
      <c r="I83">
        <f t="shared" si="66"/>
        <v>0</v>
      </c>
      <c r="J83">
        <f t="shared" si="66"/>
        <v>0</v>
      </c>
      <c r="K83">
        <f t="shared" si="66"/>
        <v>0</v>
      </c>
      <c r="L83">
        <f t="shared" si="66"/>
        <v>0</v>
      </c>
      <c r="N83">
        <v>3</v>
      </c>
      <c r="O83" t="s">
        <v>22</v>
      </c>
      <c r="P83">
        <v>0</v>
      </c>
      <c r="Q83">
        <f t="shared" si="67"/>
        <v>0</v>
      </c>
      <c r="R83">
        <f t="shared" si="68"/>
        <v>0</v>
      </c>
      <c r="S83">
        <f t="shared" si="69"/>
        <v>0</v>
      </c>
      <c r="T83">
        <f t="shared" si="70"/>
        <v>0</v>
      </c>
      <c r="U83">
        <f t="shared" si="71"/>
        <v>0</v>
      </c>
      <c r="V83">
        <f t="shared" si="72"/>
        <v>0</v>
      </c>
      <c r="W83">
        <f t="shared" si="73"/>
        <v>0</v>
      </c>
      <c r="X83">
        <f t="shared" si="74"/>
        <v>0</v>
      </c>
      <c r="Y83">
        <f t="shared" si="75"/>
        <v>0</v>
      </c>
      <c r="Z83">
        <f t="shared" si="76"/>
        <v>0</v>
      </c>
      <c r="AA83">
        <f t="shared" si="77"/>
        <v>4</v>
      </c>
    </row>
    <row r="84" spans="1:29" x14ac:dyDescent="0.25">
      <c r="A84" t="s">
        <v>35</v>
      </c>
      <c r="B84">
        <v>0</v>
      </c>
      <c r="C84">
        <f t="shared" si="66"/>
        <v>0</v>
      </c>
      <c r="D84">
        <f t="shared" si="66"/>
        <v>0</v>
      </c>
      <c r="E84">
        <f t="shared" si="66"/>
        <v>0</v>
      </c>
      <c r="F84">
        <f t="shared" si="66"/>
        <v>1</v>
      </c>
      <c r="G84">
        <f t="shared" si="66"/>
        <v>1</v>
      </c>
      <c r="H84">
        <f t="shared" si="66"/>
        <v>0</v>
      </c>
      <c r="I84">
        <f t="shared" si="66"/>
        <v>0</v>
      </c>
      <c r="J84">
        <f t="shared" si="66"/>
        <v>0</v>
      </c>
      <c r="K84">
        <f t="shared" si="66"/>
        <v>0</v>
      </c>
      <c r="L84">
        <f t="shared" si="66"/>
        <v>0</v>
      </c>
      <c r="N84">
        <v>3</v>
      </c>
      <c r="O84" t="s">
        <v>23</v>
      </c>
      <c r="P84">
        <v>0</v>
      </c>
      <c r="Q84">
        <f t="shared" si="67"/>
        <v>0</v>
      </c>
      <c r="R84">
        <f t="shared" si="68"/>
        <v>0</v>
      </c>
      <c r="S84">
        <f t="shared" si="69"/>
        <v>0</v>
      </c>
      <c r="T84">
        <f t="shared" si="70"/>
        <v>0</v>
      </c>
      <c r="U84">
        <f t="shared" si="71"/>
        <v>0</v>
      </c>
      <c r="V84">
        <f t="shared" si="72"/>
        <v>0</v>
      </c>
      <c r="W84">
        <f t="shared" si="73"/>
        <v>0</v>
      </c>
      <c r="X84">
        <f t="shared" si="74"/>
        <v>0</v>
      </c>
      <c r="Y84">
        <f t="shared" si="75"/>
        <v>0</v>
      </c>
      <c r="Z84">
        <f t="shared" si="76"/>
        <v>0</v>
      </c>
      <c r="AA84">
        <f t="shared" si="77"/>
        <v>5</v>
      </c>
    </row>
    <row r="85" spans="1:29" x14ac:dyDescent="0.25">
      <c r="A85" t="s">
        <v>36</v>
      </c>
      <c r="B85">
        <v>0</v>
      </c>
      <c r="C85">
        <f t="shared" si="66"/>
        <v>0</v>
      </c>
      <c r="D85">
        <f t="shared" si="66"/>
        <v>0</v>
      </c>
      <c r="E85">
        <f t="shared" si="66"/>
        <v>0</v>
      </c>
      <c r="F85">
        <f t="shared" si="66"/>
        <v>1</v>
      </c>
      <c r="G85">
        <f t="shared" si="66"/>
        <v>1</v>
      </c>
      <c r="H85">
        <f t="shared" si="66"/>
        <v>0</v>
      </c>
      <c r="I85">
        <f t="shared" si="66"/>
        <v>0</v>
      </c>
      <c r="J85">
        <f t="shared" si="66"/>
        <v>0</v>
      </c>
      <c r="K85">
        <f t="shared" si="66"/>
        <v>0</v>
      </c>
      <c r="L85">
        <f t="shared" si="66"/>
        <v>0</v>
      </c>
      <c r="N85">
        <v>3</v>
      </c>
      <c r="O85" t="s">
        <v>34</v>
      </c>
      <c r="P85">
        <v>0</v>
      </c>
      <c r="Q85">
        <f t="shared" si="67"/>
        <v>0</v>
      </c>
      <c r="R85">
        <f t="shared" si="68"/>
        <v>0</v>
      </c>
      <c r="S85">
        <f t="shared" si="69"/>
        <v>0</v>
      </c>
      <c r="T85">
        <f t="shared" si="70"/>
        <v>0</v>
      </c>
      <c r="U85">
        <f t="shared" si="71"/>
        <v>0</v>
      </c>
      <c r="V85">
        <f t="shared" si="72"/>
        <v>0</v>
      </c>
      <c r="W85">
        <f t="shared" si="73"/>
        <v>0</v>
      </c>
      <c r="X85">
        <f t="shared" si="74"/>
        <v>200</v>
      </c>
      <c r="Y85">
        <f t="shared" si="75"/>
        <v>260</v>
      </c>
      <c r="Z85">
        <f t="shared" si="76"/>
        <v>380</v>
      </c>
      <c r="AA85">
        <f t="shared" si="77"/>
        <v>6</v>
      </c>
    </row>
    <row r="86" spans="1:29" x14ac:dyDescent="0.25">
      <c r="A86" t="s">
        <v>37</v>
      </c>
      <c r="B86">
        <v>0</v>
      </c>
      <c r="C86">
        <f t="shared" si="66"/>
        <v>0</v>
      </c>
      <c r="D86">
        <f t="shared" si="66"/>
        <v>0</v>
      </c>
      <c r="E86">
        <f t="shared" si="66"/>
        <v>0</v>
      </c>
      <c r="F86">
        <f t="shared" si="66"/>
        <v>1</v>
      </c>
      <c r="G86">
        <f t="shared" si="66"/>
        <v>1</v>
      </c>
      <c r="H86">
        <f t="shared" si="66"/>
        <v>0</v>
      </c>
      <c r="I86">
        <f t="shared" si="66"/>
        <v>0</v>
      </c>
      <c r="J86">
        <f t="shared" si="66"/>
        <v>0</v>
      </c>
      <c r="K86">
        <f t="shared" si="66"/>
        <v>0</v>
      </c>
      <c r="L86">
        <f t="shared" si="66"/>
        <v>0</v>
      </c>
      <c r="M86">
        <f>($B$13)/1440</f>
        <v>3.4722222222222224E-2</v>
      </c>
      <c r="N86">
        <v>3</v>
      </c>
      <c r="O86" t="s">
        <v>35</v>
      </c>
      <c r="P86">
        <v>0</v>
      </c>
      <c r="Q86">
        <f t="shared" si="67"/>
        <v>0</v>
      </c>
      <c r="R86">
        <f t="shared" si="68"/>
        <v>0</v>
      </c>
      <c r="S86">
        <f t="shared" si="69"/>
        <v>0</v>
      </c>
      <c r="T86">
        <f t="shared" si="70"/>
        <v>0</v>
      </c>
      <c r="U86">
        <f t="shared" si="71"/>
        <v>0</v>
      </c>
      <c r="V86">
        <f t="shared" si="72"/>
        <v>0</v>
      </c>
      <c r="W86">
        <f t="shared" si="73"/>
        <v>0</v>
      </c>
      <c r="X86">
        <f t="shared" si="74"/>
        <v>0</v>
      </c>
      <c r="Y86">
        <f t="shared" si="75"/>
        <v>0</v>
      </c>
      <c r="Z86">
        <f t="shared" si="76"/>
        <v>210</v>
      </c>
      <c r="AA86">
        <f t="shared" si="77"/>
        <v>7</v>
      </c>
    </row>
    <row r="87" spans="1:29" x14ac:dyDescent="0.25">
      <c r="A87" t="s">
        <v>38</v>
      </c>
      <c r="B87">
        <v>0</v>
      </c>
      <c r="C87">
        <f t="shared" si="66"/>
        <v>0</v>
      </c>
      <c r="D87">
        <f t="shared" si="66"/>
        <v>0</v>
      </c>
      <c r="E87">
        <f t="shared" si="66"/>
        <v>0</v>
      </c>
      <c r="F87">
        <f t="shared" si="66"/>
        <v>0</v>
      </c>
      <c r="G87">
        <f t="shared" si="66"/>
        <v>1</v>
      </c>
      <c r="H87">
        <f t="shared" si="66"/>
        <v>0</v>
      </c>
      <c r="I87">
        <f t="shared" si="66"/>
        <v>0</v>
      </c>
      <c r="J87">
        <f t="shared" si="66"/>
        <v>0</v>
      </c>
      <c r="K87">
        <f t="shared" si="66"/>
        <v>0</v>
      </c>
      <c r="L87">
        <f t="shared" si="66"/>
        <v>0</v>
      </c>
      <c r="N87">
        <v>3</v>
      </c>
      <c r="O87" t="s">
        <v>36</v>
      </c>
      <c r="P87">
        <v>0</v>
      </c>
      <c r="Q87">
        <f t="shared" si="67"/>
        <v>0</v>
      </c>
      <c r="R87">
        <f t="shared" si="68"/>
        <v>0</v>
      </c>
      <c r="S87">
        <f t="shared" si="69"/>
        <v>0</v>
      </c>
      <c r="T87">
        <f t="shared" si="70"/>
        <v>0</v>
      </c>
      <c r="U87">
        <f t="shared" si="71"/>
        <v>0</v>
      </c>
      <c r="V87">
        <f t="shared" si="72"/>
        <v>0</v>
      </c>
      <c r="W87">
        <f t="shared" si="73"/>
        <v>0</v>
      </c>
      <c r="X87">
        <f t="shared" si="74"/>
        <v>0</v>
      </c>
      <c r="Y87">
        <f t="shared" si="75"/>
        <v>0</v>
      </c>
      <c r="Z87">
        <f t="shared" si="76"/>
        <v>0</v>
      </c>
      <c r="AA87">
        <f t="shared" si="77"/>
        <v>8</v>
      </c>
    </row>
    <row r="88" spans="1:29" x14ac:dyDescent="0.25">
      <c r="A88" t="s">
        <v>46</v>
      </c>
      <c r="B88">
        <v>0</v>
      </c>
      <c r="C88">
        <v>0</v>
      </c>
      <c r="D88">
        <f t="shared" ref="D88:L88" si="78">IF(AND(D28=1, VLOOKUP("CS2c",$A$13:$I$15, 3,FALSE)=VLOOKUP(D$65,$A$3:$I$12,3,FALSE)),1,0)</f>
        <v>0</v>
      </c>
      <c r="E88">
        <f t="shared" si="78"/>
        <v>0</v>
      </c>
      <c r="F88">
        <f t="shared" si="78"/>
        <v>0</v>
      </c>
      <c r="G88">
        <f t="shared" si="78"/>
        <v>0</v>
      </c>
      <c r="H88">
        <f t="shared" si="78"/>
        <v>0</v>
      </c>
      <c r="I88">
        <f t="shared" si="78"/>
        <v>0</v>
      </c>
      <c r="J88">
        <f t="shared" si="78"/>
        <v>0</v>
      </c>
      <c r="K88">
        <f t="shared" si="78"/>
        <v>0</v>
      </c>
      <c r="L88">
        <f t="shared" si="78"/>
        <v>0</v>
      </c>
      <c r="N88">
        <v>3</v>
      </c>
      <c r="O88" t="s">
        <v>37</v>
      </c>
      <c r="P88">
        <v>0</v>
      </c>
      <c r="Q88">
        <f t="shared" si="67"/>
        <v>0</v>
      </c>
      <c r="R88">
        <f t="shared" si="68"/>
        <v>0</v>
      </c>
      <c r="S88">
        <f t="shared" si="69"/>
        <v>0</v>
      </c>
      <c r="T88">
        <f t="shared" si="70"/>
        <v>0</v>
      </c>
      <c r="U88">
        <f t="shared" si="71"/>
        <v>0</v>
      </c>
      <c r="V88">
        <f t="shared" si="72"/>
        <v>0</v>
      </c>
      <c r="W88">
        <f t="shared" si="73"/>
        <v>0</v>
      </c>
      <c r="X88">
        <f t="shared" si="74"/>
        <v>0</v>
      </c>
      <c r="Y88">
        <f t="shared" si="75"/>
        <v>0</v>
      </c>
      <c r="Z88">
        <f t="shared" si="76"/>
        <v>0</v>
      </c>
      <c r="AA88">
        <f t="shared" si="77"/>
        <v>9</v>
      </c>
    </row>
    <row r="89" spans="1:29" x14ac:dyDescent="0.25">
      <c r="A89" t="s">
        <v>18</v>
      </c>
      <c r="B89">
        <v>0</v>
      </c>
      <c r="C89">
        <f>IF(AND(C18=1, VLOOKUP("CS2c",$A$13:$I$15, 3,FALSE)=VLOOKUP(C$65,$A$3:$I$12,3,FALSE)),1,0)</f>
        <v>0</v>
      </c>
      <c r="D89">
        <f t="shared" ref="D89:L89" si="79">IF(AND(D18=1, VLOOKUP("CS2c",$A$13:$I$15, 3,FALSE)=VLOOKUP(D$65,$A$3:$I$12,3,FALSE)),1,0)</f>
        <v>0</v>
      </c>
      <c r="E89">
        <f t="shared" si="79"/>
        <v>0</v>
      </c>
      <c r="F89">
        <f t="shared" si="79"/>
        <v>0</v>
      </c>
      <c r="G89">
        <f t="shared" si="79"/>
        <v>0</v>
      </c>
      <c r="H89">
        <f t="shared" si="79"/>
        <v>0</v>
      </c>
      <c r="I89">
        <f t="shared" si="79"/>
        <v>1</v>
      </c>
      <c r="J89">
        <f t="shared" si="79"/>
        <v>1</v>
      </c>
      <c r="K89">
        <f t="shared" si="79"/>
        <v>1</v>
      </c>
      <c r="L89">
        <f t="shared" si="79"/>
        <v>1</v>
      </c>
      <c r="N89">
        <v>3</v>
      </c>
      <c r="O89" t="s">
        <v>38</v>
      </c>
      <c r="P89">
        <v>0</v>
      </c>
      <c r="Q89">
        <f t="shared" si="67"/>
        <v>0</v>
      </c>
      <c r="R89">
        <f t="shared" si="68"/>
        <v>0</v>
      </c>
      <c r="S89">
        <f t="shared" si="69"/>
        <v>0</v>
      </c>
      <c r="T89">
        <f t="shared" si="70"/>
        <v>0</v>
      </c>
      <c r="U89">
        <f t="shared" si="71"/>
        <v>0</v>
      </c>
      <c r="V89">
        <f t="shared" si="72"/>
        <v>0</v>
      </c>
      <c r="W89">
        <f t="shared" si="73"/>
        <v>0</v>
      </c>
      <c r="X89">
        <f t="shared" si="74"/>
        <v>0</v>
      </c>
      <c r="Y89">
        <f t="shared" si="75"/>
        <v>0</v>
      </c>
      <c r="Z89">
        <f t="shared" si="76"/>
        <v>0</v>
      </c>
      <c r="AA89">
        <f t="shared" si="77"/>
        <v>10</v>
      </c>
    </row>
    <row r="90" spans="1:29" x14ac:dyDescent="0.25">
      <c r="A90" t="s">
        <v>20</v>
      </c>
      <c r="B90">
        <v>0</v>
      </c>
      <c r="C90">
        <f t="shared" ref="C90:L98" si="80">IF(AND(C19=1, VLOOKUP("CS2c",$A$13:$I$15, 3,FALSE)=VLOOKUP(C$65,$A$3:$I$12,3,FALSE)),1,0)</f>
        <v>0</v>
      </c>
      <c r="D90">
        <f t="shared" si="80"/>
        <v>0</v>
      </c>
      <c r="E90">
        <f t="shared" si="80"/>
        <v>0</v>
      </c>
      <c r="F90">
        <f t="shared" si="80"/>
        <v>0</v>
      </c>
      <c r="G90">
        <f t="shared" si="80"/>
        <v>0</v>
      </c>
      <c r="H90">
        <f t="shared" si="80"/>
        <v>0</v>
      </c>
      <c r="I90">
        <f t="shared" si="80"/>
        <v>0</v>
      </c>
      <c r="J90">
        <f t="shared" si="80"/>
        <v>1</v>
      </c>
      <c r="K90">
        <f t="shared" si="80"/>
        <v>1</v>
      </c>
      <c r="L90">
        <f t="shared" si="80"/>
        <v>1</v>
      </c>
      <c r="M90" t="s">
        <v>23</v>
      </c>
    </row>
    <row r="91" spans="1:29" x14ac:dyDescent="0.25">
      <c r="A91" t="s">
        <v>21</v>
      </c>
      <c r="B91">
        <v>0</v>
      </c>
      <c r="C91">
        <f t="shared" si="80"/>
        <v>0</v>
      </c>
      <c r="D91">
        <f t="shared" si="80"/>
        <v>0</v>
      </c>
      <c r="E91">
        <f t="shared" si="80"/>
        <v>0</v>
      </c>
      <c r="F91">
        <f t="shared" si="80"/>
        <v>0</v>
      </c>
      <c r="G91">
        <f t="shared" si="80"/>
        <v>0</v>
      </c>
      <c r="H91">
        <f t="shared" si="80"/>
        <v>0</v>
      </c>
      <c r="I91">
        <f t="shared" si="80"/>
        <v>0</v>
      </c>
      <c r="J91">
        <f t="shared" si="80"/>
        <v>0</v>
      </c>
      <c r="K91">
        <f t="shared" si="80"/>
        <v>0</v>
      </c>
      <c r="L91">
        <f t="shared" si="80"/>
        <v>1</v>
      </c>
    </row>
    <row r="92" spans="1:29" x14ac:dyDescent="0.25">
      <c r="A92" t="s">
        <v>22</v>
      </c>
      <c r="B92">
        <v>0</v>
      </c>
      <c r="C92">
        <f t="shared" si="80"/>
        <v>0</v>
      </c>
      <c r="D92">
        <f t="shared" si="80"/>
        <v>0</v>
      </c>
      <c r="E92">
        <f t="shared" si="80"/>
        <v>0</v>
      </c>
      <c r="F92">
        <f t="shared" si="80"/>
        <v>0</v>
      </c>
      <c r="G92">
        <f t="shared" si="80"/>
        <v>0</v>
      </c>
      <c r="H92">
        <f t="shared" si="80"/>
        <v>0</v>
      </c>
      <c r="I92">
        <f t="shared" si="80"/>
        <v>0</v>
      </c>
      <c r="J92">
        <f t="shared" si="80"/>
        <v>0</v>
      </c>
      <c r="K92">
        <f t="shared" si="80"/>
        <v>0</v>
      </c>
      <c r="L92">
        <f t="shared" si="80"/>
        <v>0</v>
      </c>
    </row>
    <row r="93" spans="1:29" x14ac:dyDescent="0.25">
      <c r="A93" t="s">
        <v>23</v>
      </c>
      <c r="B93">
        <v>0</v>
      </c>
      <c r="C93">
        <f t="shared" si="80"/>
        <v>0</v>
      </c>
      <c r="D93">
        <f t="shared" si="80"/>
        <v>0</v>
      </c>
      <c r="E93">
        <f t="shared" si="80"/>
        <v>0</v>
      </c>
      <c r="F93">
        <f t="shared" si="80"/>
        <v>0</v>
      </c>
      <c r="G93">
        <f t="shared" si="80"/>
        <v>0</v>
      </c>
      <c r="H93">
        <f t="shared" si="80"/>
        <v>0</v>
      </c>
      <c r="I93">
        <f t="shared" si="80"/>
        <v>0</v>
      </c>
      <c r="J93">
        <f t="shared" si="80"/>
        <v>0</v>
      </c>
      <c r="K93">
        <f t="shared" si="80"/>
        <v>0</v>
      </c>
      <c r="L93">
        <f t="shared" si="80"/>
        <v>0</v>
      </c>
    </row>
    <row r="94" spans="1:29" x14ac:dyDescent="0.25">
      <c r="A94" t="s">
        <v>34</v>
      </c>
      <c r="B94">
        <v>0</v>
      </c>
      <c r="C94">
        <f t="shared" si="80"/>
        <v>0</v>
      </c>
      <c r="D94">
        <f t="shared" si="80"/>
        <v>0</v>
      </c>
      <c r="E94">
        <f t="shared" si="80"/>
        <v>0</v>
      </c>
      <c r="F94">
        <f t="shared" si="80"/>
        <v>0</v>
      </c>
      <c r="G94">
        <f t="shared" si="80"/>
        <v>0</v>
      </c>
      <c r="H94">
        <f t="shared" si="80"/>
        <v>0</v>
      </c>
      <c r="I94">
        <f t="shared" si="80"/>
        <v>1</v>
      </c>
      <c r="J94">
        <f t="shared" si="80"/>
        <v>1</v>
      </c>
      <c r="K94">
        <f t="shared" si="80"/>
        <v>1</v>
      </c>
      <c r="L94">
        <f t="shared" si="80"/>
        <v>1</v>
      </c>
    </row>
    <row r="95" spans="1:29" x14ac:dyDescent="0.25">
      <c r="A95" t="s">
        <v>35</v>
      </c>
      <c r="B95">
        <v>0</v>
      </c>
      <c r="C95">
        <f t="shared" si="80"/>
        <v>0</v>
      </c>
      <c r="D95">
        <f t="shared" si="80"/>
        <v>0</v>
      </c>
      <c r="E95">
        <f t="shared" si="80"/>
        <v>0</v>
      </c>
      <c r="F95">
        <f t="shared" si="80"/>
        <v>0</v>
      </c>
      <c r="G95">
        <f t="shared" si="80"/>
        <v>0</v>
      </c>
      <c r="H95">
        <f t="shared" si="80"/>
        <v>0</v>
      </c>
      <c r="I95">
        <f t="shared" si="80"/>
        <v>0</v>
      </c>
      <c r="J95">
        <f t="shared" si="80"/>
        <v>0</v>
      </c>
      <c r="K95">
        <f t="shared" si="80"/>
        <v>1</v>
      </c>
      <c r="L95">
        <f t="shared" si="80"/>
        <v>1</v>
      </c>
    </row>
    <row r="96" spans="1:29" x14ac:dyDescent="0.25">
      <c r="A96" t="s">
        <v>36</v>
      </c>
      <c r="B96">
        <v>0</v>
      </c>
      <c r="C96">
        <f t="shared" si="80"/>
        <v>0</v>
      </c>
      <c r="D96">
        <f t="shared" si="80"/>
        <v>0</v>
      </c>
      <c r="E96">
        <f t="shared" si="80"/>
        <v>0</v>
      </c>
      <c r="F96">
        <f t="shared" si="80"/>
        <v>0</v>
      </c>
      <c r="G96">
        <f t="shared" si="80"/>
        <v>0</v>
      </c>
      <c r="H96">
        <f t="shared" si="80"/>
        <v>0</v>
      </c>
      <c r="I96">
        <f t="shared" si="80"/>
        <v>0</v>
      </c>
      <c r="J96">
        <f t="shared" si="80"/>
        <v>0</v>
      </c>
      <c r="K96">
        <f t="shared" si="80"/>
        <v>0</v>
      </c>
      <c r="L96">
        <f t="shared" si="80"/>
        <v>1</v>
      </c>
    </row>
    <row r="97" spans="1:27" x14ac:dyDescent="0.25">
      <c r="A97" t="s">
        <v>37</v>
      </c>
      <c r="B97">
        <v>0</v>
      </c>
      <c r="C97">
        <f t="shared" si="80"/>
        <v>0</v>
      </c>
      <c r="D97">
        <f t="shared" si="80"/>
        <v>0</v>
      </c>
      <c r="E97">
        <f t="shared" si="80"/>
        <v>0</v>
      </c>
      <c r="F97">
        <f t="shared" si="80"/>
        <v>0</v>
      </c>
      <c r="G97">
        <f t="shared" si="80"/>
        <v>0</v>
      </c>
      <c r="H97">
        <f t="shared" si="80"/>
        <v>0</v>
      </c>
      <c r="I97">
        <f t="shared" si="80"/>
        <v>0</v>
      </c>
      <c r="J97">
        <f t="shared" si="80"/>
        <v>0</v>
      </c>
      <c r="K97">
        <f t="shared" si="80"/>
        <v>0</v>
      </c>
      <c r="L97">
        <f t="shared" si="80"/>
        <v>0</v>
      </c>
    </row>
    <row r="98" spans="1:27" x14ac:dyDescent="0.25">
      <c r="A98" t="s">
        <v>38</v>
      </c>
      <c r="B98">
        <v>0</v>
      </c>
      <c r="C98">
        <f t="shared" si="80"/>
        <v>0</v>
      </c>
      <c r="D98">
        <f t="shared" si="80"/>
        <v>0</v>
      </c>
      <c r="E98">
        <f t="shared" si="80"/>
        <v>0</v>
      </c>
      <c r="F98">
        <f t="shared" si="80"/>
        <v>0</v>
      </c>
      <c r="G98">
        <f t="shared" si="80"/>
        <v>0</v>
      </c>
      <c r="H98">
        <f t="shared" si="80"/>
        <v>0</v>
      </c>
      <c r="I98">
        <f t="shared" si="80"/>
        <v>0</v>
      </c>
      <c r="J98">
        <f t="shared" si="80"/>
        <v>0</v>
      </c>
      <c r="K98">
        <f t="shared" si="80"/>
        <v>0</v>
      </c>
      <c r="L98">
        <f t="shared" si="80"/>
        <v>0</v>
      </c>
    </row>
    <row r="102" spans="1:27" x14ac:dyDescent="0.25">
      <c r="C102" t="s">
        <v>101</v>
      </c>
    </row>
    <row r="103" spans="1:27" x14ac:dyDescent="0.25">
      <c r="C103" t="b">
        <f>L28=1</f>
        <v>0</v>
      </c>
      <c r="D103" t="str">
        <f>VLOOKUP($A78,$A$3:$I$12,4,FALSE)</f>
        <v>Terminal C</v>
      </c>
    </row>
    <row r="104" spans="1:27" x14ac:dyDescent="0.25">
      <c r="C104" t="b">
        <f>VLOOKUP("CS1a",$A$13:$I$15, 3,FALSE)=VLOOKUP(E$65,$A$3:$I$12,3,FALSE)</f>
        <v>1</v>
      </c>
    </row>
    <row r="111" spans="1:27" x14ac:dyDescent="0.25">
      <c r="A111">
        <v>1</v>
      </c>
      <c r="B111">
        <f>A111+1</f>
        <v>2</v>
      </c>
      <c r="C111">
        <f t="shared" ref="C111:AA111" si="81">B111+1</f>
        <v>3</v>
      </c>
      <c r="D111">
        <f t="shared" si="81"/>
        <v>4</v>
      </c>
      <c r="E111">
        <f t="shared" si="81"/>
        <v>5</v>
      </c>
      <c r="F111">
        <f t="shared" si="81"/>
        <v>6</v>
      </c>
      <c r="G111">
        <f t="shared" si="81"/>
        <v>7</v>
      </c>
      <c r="H111">
        <f t="shared" si="81"/>
        <v>8</v>
      </c>
      <c r="I111">
        <f t="shared" si="81"/>
        <v>9</v>
      </c>
      <c r="J111">
        <f t="shared" si="81"/>
        <v>10</v>
      </c>
      <c r="K111">
        <f t="shared" si="81"/>
        <v>11</v>
      </c>
      <c r="L111">
        <f t="shared" si="81"/>
        <v>12</v>
      </c>
      <c r="M111">
        <f t="shared" si="81"/>
        <v>13</v>
      </c>
      <c r="N111">
        <f t="shared" si="81"/>
        <v>14</v>
      </c>
      <c r="O111">
        <f t="shared" si="81"/>
        <v>15</v>
      </c>
      <c r="P111">
        <f t="shared" si="81"/>
        <v>16</v>
      </c>
      <c r="Q111">
        <f t="shared" si="81"/>
        <v>17</v>
      </c>
      <c r="R111">
        <f t="shared" si="81"/>
        <v>18</v>
      </c>
      <c r="S111">
        <f t="shared" si="81"/>
        <v>19</v>
      </c>
      <c r="T111">
        <f t="shared" si="81"/>
        <v>20</v>
      </c>
      <c r="U111">
        <f t="shared" si="81"/>
        <v>21</v>
      </c>
      <c r="V111">
        <f t="shared" si="81"/>
        <v>22</v>
      </c>
      <c r="W111">
        <f t="shared" si="81"/>
        <v>23</v>
      </c>
      <c r="X111">
        <f t="shared" si="81"/>
        <v>24</v>
      </c>
      <c r="Y111">
        <f t="shared" si="81"/>
        <v>25</v>
      </c>
      <c r="Z111">
        <f t="shared" si="81"/>
        <v>26</v>
      </c>
      <c r="AA111">
        <f t="shared" si="81"/>
        <v>27</v>
      </c>
    </row>
  </sheetData>
  <conditionalFormatting sqref="B66:B9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L28 M28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2:L52 C53:C63 D54:L6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6:L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7:L9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3:L5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 M28 B17:L28 B31:B63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8:M2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 M86 C31:L4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79:P89 R79:AA79 AA80:AA8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:Z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:Z4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6:AA78 Q79:Q89 R80:Z89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:AC30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8:AA28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0:AB30 AA29 AB24:AB29 Q28:Z30 AA18:AB27 AC18:AC3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8:AB2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8:AB29 AA29 AA30:AB30 Q28:Z30 Q18:AB27 AC18:AC30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3:AC2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1:AH32 AH19:AT30 AS31:AT3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C6F9-D3C6-4C35-84CE-77AE2DCA964C}">
  <dimension ref="A1:AF36"/>
  <sheetViews>
    <sheetView workbookViewId="0">
      <selection activeCell="AE3" sqref="AE3"/>
    </sheetView>
  </sheetViews>
  <sheetFormatPr defaultRowHeight="15" x14ac:dyDescent="0.25"/>
  <sheetData>
    <row r="1" spans="1:32" x14ac:dyDescent="0.25">
      <c r="B1" t="s">
        <v>46</v>
      </c>
      <c r="C1" t="s">
        <v>6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18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</row>
    <row r="2" spans="1:32" x14ac:dyDescent="0.25">
      <c r="A2" t="s">
        <v>46</v>
      </c>
      <c r="B2">
        <v>0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</row>
    <row r="3" spans="1:32" x14ac:dyDescent="0.25">
      <c r="A3" t="s">
        <v>6</v>
      </c>
      <c r="B3" s="3">
        <v>1</v>
      </c>
      <c r="C3" s="2">
        <f>IF(AND(VLOOKUP(C$1,test!$A$3:$I$32,8,FALSE)-VLOOKUP($A3,test!$A$3:$I$32,9,FALSE)&gt;=VLOOKUP(VLOOKUP(C$1, test!$A$3:$I$32,3,FALSE), test!$J$11:$K$14, 2, FALSE)),1,0)</f>
        <v>0</v>
      </c>
      <c r="D3" s="2">
        <f>IF(AND(VLOOKUP(D$1,test!$A$3:$I$32,8,FALSE)-VLOOKUP($A3,test!$A$3:$I$32,9,FALSE)&gt;=VLOOKUP(VLOOKUP(D$1, test!$A$3:$I$32,3,FALSE), test!$J$11:$K$14, 2, FALSE)),1,0)</f>
        <v>1</v>
      </c>
      <c r="E3" s="2">
        <f>IF(AND(VLOOKUP(E$1,test!$A$3:$I$32,8,FALSE)-VLOOKUP($A3,test!$A$3:$I$32,9,FALSE)&gt;=VLOOKUP(VLOOKUP(E$1, test!$A$3:$I$32,3,FALSE), test!$J$11:$K$14, 2, FALSE)),1,0)</f>
        <v>1</v>
      </c>
      <c r="F3" s="2">
        <f>IF(AND(VLOOKUP(F$1,test!$A$3:$I$32,8,FALSE)-VLOOKUP($A3,test!$A$3:$I$32,9,FALSE)&gt;=VLOOKUP(VLOOKUP(F$1, test!$A$3:$I$32,3,FALSE), test!$J$11:$K$14, 2, FALSE)),1,0)</f>
        <v>1</v>
      </c>
      <c r="G3" s="2">
        <f>IF(AND(VLOOKUP(G$1,test!$A$3:$I$32,8,FALSE)-VLOOKUP($A3,test!$A$3:$I$32,9,FALSE)&gt;=VLOOKUP(VLOOKUP(G$1, test!$A$3:$I$32,3,FALSE), test!$J$11:$K$14, 2, FALSE)),1,0)</f>
        <v>1</v>
      </c>
      <c r="H3" s="2">
        <f>IF(AND(VLOOKUP(H$1,test!$A$3:$I$32,8,FALSE)-VLOOKUP($A3,test!$A$3:$I$32,9,FALSE)&gt;=VLOOKUP(VLOOKUP(H$1, test!$A$3:$I$32,3,FALSE), test!$J$11:$K$14, 2, FALSE)),1,0)</f>
        <v>1</v>
      </c>
      <c r="I3" s="2">
        <f>IF(AND(VLOOKUP(I$1,test!$A$3:$I$32,8,FALSE)-VLOOKUP($A3,test!$A$3:$I$32,9,FALSE)&gt;=VLOOKUP(VLOOKUP(I$1, test!$A$3:$I$32,3,FALSE), test!$J$11:$K$14, 2, FALSE)),1,0)</f>
        <v>1</v>
      </c>
      <c r="J3" s="2">
        <f>IF(AND(VLOOKUP(J$1,test!$A$3:$I$32,8,FALSE)-VLOOKUP($A3,test!$A$3:$I$32,9,FALSE)&gt;=VLOOKUP(VLOOKUP(J$1, test!$A$3:$I$32,3,FALSE), test!$J$11:$K$14, 2, FALSE)),1,0)</f>
        <v>1</v>
      </c>
      <c r="K3" s="2">
        <f>IF(AND(VLOOKUP(K$1,test!$A$3:$I$32,8,FALSE)-VLOOKUP($A3,test!$A$3:$I$32,9,FALSE)&gt;=VLOOKUP(VLOOKUP(K$1, test!$A$3:$I$32,3,FALSE), test!$J$11:$K$14, 2, FALSE)),1,0)</f>
        <v>0</v>
      </c>
      <c r="L3" s="2">
        <f>IF(AND(VLOOKUP(L$1,test!$A$3:$I$32,8,FALSE)-VLOOKUP($A3,test!$A$3:$I$32,9,FALSE)&gt;=VLOOKUP(VLOOKUP(L$1, test!$A$3:$I$32,3,FALSE), test!$J$11:$K$14, 2, FALSE)),1,0)</f>
        <v>0</v>
      </c>
      <c r="M3" s="2">
        <f>IF(AND(VLOOKUP(M$1,test!$A$3:$I$32,8,FALSE)-VLOOKUP($A3,test!$A$3:$I$32,9,FALSE)&gt;=VLOOKUP(VLOOKUP(M$1, test!$A$3:$I$32,3,FALSE), test!$J$11:$K$14, 2, FALSE)),1,0)</f>
        <v>1</v>
      </c>
      <c r="N3" s="2">
        <f>IF(AND(VLOOKUP(N$1,test!$A$3:$I$32,8,FALSE)-VLOOKUP($A3,test!$A$3:$I$32,9,FALSE)&gt;=VLOOKUP(VLOOKUP(N$1, test!$A$3:$I$32,3,FALSE), test!$J$11:$K$14, 2, FALSE)),1,0)</f>
        <v>1</v>
      </c>
      <c r="O3" s="2">
        <f>IF(AND(VLOOKUP(O$1,test!$A$3:$I$32,8,FALSE)-VLOOKUP($A3,test!$A$3:$I$32,9,FALSE)&gt;=VLOOKUP(VLOOKUP(O$1, test!$A$3:$I$32,3,FALSE), test!$J$11:$K$14, 2, FALSE)),1,0)</f>
        <v>1</v>
      </c>
      <c r="P3" s="2">
        <f>IF(AND(VLOOKUP(P$1,test!$A$3:$I$32,8,FALSE)-VLOOKUP($A3,test!$A$3:$I$32,9,FALSE)&gt;=VLOOKUP(VLOOKUP(P$1, test!$A$3:$I$32,3,FALSE), test!$J$11:$K$14, 2, FALSE)),1,0)</f>
        <v>0</v>
      </c>
      <c r="Q3" s="2">
        <f>IF(AND(VLOOKUP(Q$1,test!$A$3:$I$32,8,FALSE)-VLOOKUP($A3,test!$A$3:$I$32,9,FALSE)&gt;=VLOOKUP(VLOOKUP(Q$1, test!$A$3:$I$32,3,FALSE), test!$J$11:$K$14, 2, FALSE)),1,0)</f>
        <v>0</v>
      </c>
      <c r="R3" s="2">
        <f>IF(AND(VLOOKUP(R$1,test!$A$3:$I$32,8,FALSE)-VLOOKUP($A3,test!$A$3:$I$32,9,FALSE)&gt;=VLOOKUP(VLOOKUP(R$1, test!$A$3:$I$32,3,FALSE), test!$J$11:$K$14, 2, FALSE)),1,0)</f>
        <v>0</v>
      </c>
      <c r="S3" s="2">
        <f>IF(AND(VLOOKUP(S$1,test!$A$3:$I$32,8,FALSE)-VLOOKUP($A3,test!$A$3:$I$32,9,FALSE)&gt;=VLOOKUP(VLOOKUP(S$1, test!$A$3:$I$32,3,FALSE), test!$J$11:$K$14, 2, FALSE)),1,0)</f>
        <v>1</v>
      </c>
      <c r="T3" s="2">
        <f>IF(AND(VLOOKUP(T$1,test!$A$3:$I$32,8,FALSE)-VLOOKUP($A3,test!$A$3:$I$32,9,FALSE)&gt;=VLOOKUP(VLOOKUP(T$1, test!$A$3:$I$32,3,FALSE), test!$J$11:$K$14, 2, FALSE)),1,0)</f>
        <v>1</v>
      </c>
      <c r="U3" s="2">
        <f>IF(AND(VLOOKUP(U$1,test!$A$3:$I$32,8,FALSE)-VLOOKUP($A3,test!$A$3:$I$32,9,FALSE)&gt;=VLOOKUP(VLOOKUP(U$1, test!$A$3:$I$32,3,FALSE), test!$J$11:$K$14, 2, FALSE)),1,0)</f>
        <v>1</v>
      </c>
      <c r="V3" s="2">
        <f>IF(AND(VLOOKUP(V$1,test!$A$3:$I$32,8,FALSE)-VLOOKUP($A3,test!$A$3:$I$32,9,FALSE)&gt;=VLOOKUP(VLOOKUP(V$1, test!$A$3:$I$32,3,FALSE), test!$J$11:$K$14, 2, FALSE)),1,0)</f>
        <v>1</v>
      </c>
      <c r="W3" s="2">
        <f>IF(AND(VLOOKUP(W$1,test!$A$3:$I$32,8,FALSE)-VLOOKUP($A3,test!$A$3:$I$32,9,FALSE)&gt;=VLOOKUP(VLOOKUP(W$1, test!$A$3:$I$32,3,FALSE), test!$J$11:$K$14, 2, FALSE)),1,0)</f>
        <v>1</v>
      </c>
      <c r="X3" s="2">
        <f>IF(AND(VLOOKUP(X$1,test!$A$3:$I$32,8,FALSE)-VLOOKUP($A3,test!$A$3:$I$32,9,FALSE)&gt;=VLOOKUP(VLOOKUP(X$1, test!$A$3:$I$32,3,FALSE), test!$J$11:$K$14, 2, FALSE)),1,0)</f>
        <v>1</v>
      </c>
      <c r="Y3" s="2">
        <f>IF(AND(VLOOKUP(Y$1,test!$A$3:$I$32,8,FALSE)-VLOOKUP($A3,test!$A$3:$I$32,9,FALSE)&gt;=VLOOKUP(VLOOKUP(Y$1, test!$A$3:$I$32,3,FALSE), test!$J$11:$K$14, 2, FALSE)),1,0)</f>
        <v>0</v>
      </c>
      <c r="Z3" s="2">
        <f>IF(AND(VLOOKUP(Z$1,test!$A$3:$I$32,8,FALSE)-VLOOKUP($A3,test!$A$3:$I$32,9,FALSE)&gt;=VLOOKUP(VLOOKUP(Z$1, test!$A$3:$I$32,3,FALSE), test!$J$11:$K$14, 2, FALSE)),1,0)</f>
        <v>1</v>
      </c>
      <c r="AA3" s="2">
        <f>IF(AND(VLOOKUP(AA$1,test!$A$3:$I$32,8,FALSE)-VLOOKUP($A3,test!$A$3:$I$32,9,FALSE)&gt;=VLOOKUP(VLOOKUP(AA$1, test!$A$3:$I$32,3,FALSE), test!$J$11:$K$14, 2, FALSE)),1,0)</f>
        <v>1</v>
      </c>
      <c r="AB3" s="2">
        <f>IF(AND(VLOOKUP(AB$1,test!$A$3:$I$32,8,FALSE)-VLOOKUP($A3,test!$A$3:$I$32,9,FALSE)&gt;=VLOOKUP(VLOOKUP(AB$1, test!$A$3:$I$32,3,FALSE), test!$J$11:$K$14, 2, FALSE)),1,0)</f>
        <v>1</v>
      </c>
      <c r="AC3" s="2">
        <f>IF(AND(VLOOKUP(AC$1,test!$A$3:$I$32,8,FALSE)-VLOOKUP($A3,test!$A$3:$I$32,9,FALSE)&gt;=VLOOKUP(VLOOKUP(AC$1, test!$A$3:$I$32,3,FALSE), test!$J$11:$K$14, 2, FALSE)),1,0)</f>
        <v>1</v>
      </c>
      <c r="AD3" s="2">
        <f>IF(AND(VLOOKUP(AD$1,test!$A$3:$I$32,8,FALSE)-VLOOKUP($A3,test!$A$3:$I$32,9,FALSE)&gt;=VLOOKUP(VLOOKUP(AD$1, test!$A$3:$I$32,3,FALSE), test!$J$11:$K$14, 2, FALSE)),1,0)</f>
        <v>0</v>
      </c>
      <c r="AE3" s="2">
        <f>IF(AND(VLOOKUP(AE$1,test!$A$3:$I$32,8,FALSE)-VLOOKUP($A3,test!$A$3:$I$32,9,FALSE)&gt;=VLOOKUP(VLOOKUP(AE$1, test!$A$3:$I$32,3,FALSE), test!$J$11:$K$14, 2, FALSE)),1,0)</f>
        <v>1</v>
      </c>
      <c r="AF3" s="2">
        <f>IF(AND(VLOOKUP(AF$1,test!$A$3:$I$32,8,FALSE)-VLOOKUP($A3,test!$A$3:$I$32,9,FALSE)&gt;=VLOOKUP(VLOOKUP(AF$1, test!$A$3:$I$32,3,FALSE), test!$J$11:$K$14, 2, FALSE)),1,0)</f>
        <v>1</v>
      </c>
    </row>
    <row r="4" spans="1:32" x14ac:dyDescent="0.25">
      <c r="A4" t="s">
        <v>9</v>
      </c>
      <c r="B4" s="3">
        <v>1</v>
      </c>
      <c r="C4" s="2">
        <f>IF(AND(VLOOKUP(C$1,test!$A$3:$I$32,8,FALSE)-VLOOKUP($A4,test!$A$3:$I$32,9,FALSE)&gt;=VLOOKUP(VLOOKUP(C$1, test!$A$3:$I$32,3,FALSE), test!$J$11:$K$14, 2, FALSE)),1,0)</f>
        <v>0</v>
      </c>
      <c r="D4" s="2">
        <f>IF(AND(VLOOKUP(D$1,test!$A$3:$I$32,8,FALSE)-VLOOKUP($A4,test!$A$3:$I$32,9,FALSE)&gt;=VLOOKUP(VLOOKUP(D$1, test!$A$3:$I$32,3,FALSE), test!$J$11:$K$14, 2, FALSE)),1,0)</f>
        <v>0</v>
      </c>
      <c r="E4" s="2">
        <f>IF(AND(VLOOKUP(E$1,test!$A$3:$I$32,8,FALSE)-VLOOKUP($A4,test!$A$3:$I$32,9,FALSE)&gt;=VLOOKUP(VLOOKUP(E$1, test!$A$3:$I$32,3,FALSE), test!$J$11:$K$14, 2, FALSE)),1,0)</f>
        <v>0</v>
      </c>
      <c r="F4" s="2">
        <f>IF(AND(VLOOKUP(F$1,test!$A$3:$I$32,8,FALSE)-VLOOKUP($A4,test!$A$3:$I$32,9,FALSE)&gt;=VLOOKUP(VLOOKUP(F$1, test!$A$3:$I$32,3,FALSE), test!$J$11:$K$14, 2, FALSE)),1,0)</f>
        <v>1</v>
      </c>
      <c r="G4" s="2">
        <f>IF(AND(VLOOKUP(G$1,test!$A$3:$I$32,8,FALSE)-VLOOKUP($A4,test!$A$3:$I$32,9,FALSE)&gt;=VLOOKUP(VLOOKUP(G$1, test!$A$3:$I$32,3,FALSE), test!$J$11:$K$14, 2, FALSE)),1,0)</f>
        <v>1</v>
      </c>
      <c r="H4" s="2">
        <f>IF(AND(VLOOKUP(H$1,test!$A$3:$I$32,8,FALSE)-VLOOKUP($A4,test!$A$3:$I$32,9,FALSE)&gt;=VLOOKUP(VLOOKUP(H$1, test!$A$3:$I$32,3,FALSE), test!$J$11:$K$14, 2, FALSE)),1,0)</f>
        <v>1</v>
      </c>
      <c r="I4" s="2">
        <f>IF(AND(VLOOKUP(I$1,test!$A$3:$I$32,8,FALSE)-VLOOKUP($A4,test!$A$3:$I$32,9,FALSE)&gt;=VLOOKUP(VLOOKUP(I$1, test!$A$3:$I$32,3,FALSE), test!$J$11:$K$14, 2, FALSE)),1,0)</f>
        <v>1</v>
      </c>
      <c r="J4" s="2">
        <f>IF(AND(VLOOKUP(J$1,test!$A$3:$I$32,8,FALSE)-VLOOKUP($A4,test!$A$3:$I$32,9,FALSE)&gt;=VLOOKUP(VLOOKUP(J$1, test!$A$3:$I$32,3,FALSE), test!$J$11:$K$14, 2, FALSE)),1,0)</f>
        <v>1</v>
      </c>
      <c r="K4" s="2">
        <f>IF(AND(VLOOKUP(K$1,test!$A$3:$I$32,8,FALSE)-VLOOKUP($A4,test!$A$3:$I$32,9,FALSE)&gt;=VLOOKUP(VLOOKUP(K$1, test!$A$3:$I$32,3,FALSE), test!$J$11:$K$14, 2, FALSE)),1,0)</f>
        <v>0</v>
      </c>
      <c r="L4" s="2">
        <f>IF(AND(VLOOKUP(L$1,test!$A$3:$I$32,8,FALSE)-VLOOKUP($A4,test!$A$3:$I$32,9,FALSE)&gt;=VLOOKUP(VLOOKUP(L$1, test!$A$3:$I$32,3,FALSE), test!$J$11:$K$14, 2, FALSE)),1,0)</f>
        <v>0</v>
      </c>
      <c r="M4" s="2">
        <f>IF(AND(VLOOKUP(M$1,test!$A$3:$I$32,8,FALSE)-VLOOKUP($A4,test!$A$3:$I$32,9,FALSE)&gt;=VLOOKUP(VLOOKUP(M$1, test!$A$3:$I$32,3,FALSE), test!$J$11:$K$14, 2, FALSE)),1,0)</f>
        <v>0</v>
      </c>
      <c r="N4" s="2">
        <f>IF(AND(VLOOKUP(N$1,test!$A$3:$I$32,8,FALSE)-VLOOKUP($A4,test!$A$3:$I$32,9,FALSE)&gt;=VLOOKUP(VLOOKUP(N$1, test!$A$3:$I$32,3,FALSE), test!$J$11:$K$14, 2, FALSE)),1,0)</f>
        <v>1</v>
      </c>
      <c r="O4" s="2">
        <f>IF(AND(VLOOKUP(O$1,test!$A$3:$I$32,8,FALSE)-VLOOKUP($A4,test!$A$3:$I$32,9,FALSE)&gt;=VLOOKUP(VLOOKUP(O$1, test!$A$3:$I$32,3,FALSE), test!$J$11:$K$14, 2, FALSE)),1,0)</f>
        <v>1</v>
      </c>
      <c r="P4" s="2">
        <f>IF(AND(VLOOKUP(P$1,test!$A$3:$I$32,8,FALSE)-VLOOKUP($A4,test!$A$3:$I$32,9,FALSE)&gt;=VLOOKUP(VLOOKUP(P$1, test!$A$3:$I$32,3,FALSE), test!$J$11:$K$14, 2, FALSE)),1,0)</f>
        <v>0</v>
      </c>
      <c r="Q4" s="2">
        <f>IF(AND(VLOOKUP(Q$1,test!$A$3:$I$32,8,FALSE)-VLOOKUP($A4,test!$A$3:$I$32,9,FALSE)&gt;=VLOOKUP(VLOOKUP(Q$1, test!$A$3:$I$32,3,FALSE), test!$J$11:$K$14, 2, FALSE)),1,0)</f>
        <v>0</v>
      </c>
      <c r="R4" s="2">
        <f>IF(AND(VLOOKUP(R$1,test!$A$3:$I$32,8,FALSE)-VLOOKUP($A4,test!$A$3:$I$32,9,FALSE)&gt;=VLOOKUP(VLOOKUP(R$1, test!$A$3:$I$32,3,FALSE), test!$J$11:$K$14, 2, FALSE)),1,0)</f>
        <v>0</v>
      </c>
      <c r="S4" s="2">
        <f>IF(AND(VLOOKUP(S$1,test!$A$3:$I$32,8,FALSE)-VLOOKUP($A4,test!$A$3:$I$32,9,FALSE)&gt;=VLOOKUP(VLOOKUP(S$1, test!$A$3:$I$32,3,FALSE), test!$J$11:$K$14, 2, FALSE)),1,0)</f>
        <v>0</v>
      </c>
      <c r="T4" s="2">
        <f>IF(AND(VLOOKUP(T$1,test!$A$3:$I$32,8,FALSE)-VLOOKUP($A4,test!$A$3:$I$32,9,FALSE)&gt;=VLOOKUP(VLOOKUP(T$1, test!$A$3:$I$32,3,FALSE), test!$J$11:$K$14, 2, FALSE)),1,0)</f>
        <v>0</v>
      </c>
      <c r="U4" s="2">
        <f>IF(AND(VLOOKUP(U$1,test!$A$3:$I$32,8,FALSE)-VLOOKUP($A4,test!$A$3:$I$32,9,FALSE)&gt;=VLOOKUP(VLOOKUP(U$1, test!$A$3:$I$32,3,FALSE), test!$J$11:$K$14, 2, FALSE)),1,0)</f>
        <v>1</v>
      </c>
      <c r="V4" s="2">
        <f>IF(AND(VLOOKUP(V$1,test!$A$3:$I$32,8,FALSE)-VLOOKUP($A4,test!$A$3:$I$32,9,FALSE)&gt;=VLOOKUP(VLOOKUP(V$1, test!$A$3:$I$32,3,FALSE), test!$J$11:$K$14, 2, FALSE)),1,0)</f>
        <v>1</v>
      </c>
      <c r="W4" s="2">
        <f>IF(AND(VLOOKUP(W$1,test!$A$3:$I$32,8,FALSE)-VLOOKUP($A4,test!$A$3:$I$32,9,FALSE)&gt;=VLOOKUP(VLOOKUP(W$1, test!$A$3:$I$32,3,FALSE), test!$J$11:$K$14, 2, FALSE)),1,0)</f>
        <v>1</v>
      </c>
      <c r="X4" s="2">
        <f>IF(AND(VLOOKUP(X$1,test!$A$3:$I$32,8,FALSE)-VLOOKUP($A4,test!$A$3:$I$32,9,FALSE)&gt;=VLOOKUP(VLOOKUP(X$1, test!$A$3:$I$32,3,FALSE), test!$J$11:$K$14, 2, FALSE)),1,0)</f>
        <v>1</v>
      </c>
      <c r="Y4" s="2">
        <f>IF(AND(VLOOKUP(Y$1,test!$A$3:$I$32,8,FALSE)-VLOOKUP($A4,test!$A$3:$I$32,9,FALSE)&gt;=VLOOKUP(VLOOKUP(Y$1, test!$A$3:$I$32,3,FALSE), test!$J$11:$K$14, 2, FALSE)),1,0)</f>
        <v>0</v>
      </c>
      <c r="Z4" s="2">
        <f>IF(AND(VLOOKUP(Z$1,test!$A$3:$I$32,8,FALSE)-VLOOKUP($A4,test!$A$3:$I$32,9,FALSE)&gt;=VLOOKUP(VLOOKUP(Z$1, test!$A$3:$I$32,3,FALSE), test!$J$11:$K$14, 2, FALSE)),1,0)</f>
        <v>0</v>
      </c>
      <c r="AA4" s="2">
        <f>IF(AND(VLOOKUP(AA$1,test!$A$3:$I$32,8,FALSE)-VLOOKUP($A4,test!$A$3:$I$32,9,FALSE)&gt;=VLOOKUP(VLOOKUP(AA$1, test!$A$3:$I$32,3,FALSE), test!$J$11:$K$14, 2, FALSE)),1,0)</f>
        <v>0</v>
      </c>
      <c r="AB4" s="2">
        <f>IF(AND(VLOOKUP(AB$1,test!$A$3:$I$32,8,FALSE)-VLOOKUP($A4,test!$A$3:$I$32,9,FALSE)&gt;=VLOOKUP(VLOOKUP(AB$1, test!$A$3:$I$32,3,FALSE), test!$J$11:$K$14, 2, FALSE)),1,0)</f>
        <v>1</v>
      </c>
      <c r="AC4" s="2">
        <f>IF(AND(VLOOKUP(AC$1,test!$A$3:$I$32,8,FALSE)-VLOOKUP($A4,test!$A$3:$I$32,9,FALSE)&gt;=VLOOKUP(VLOOKUP(AC$1, test!$A$3:$I$32,3,FALSE), test!$J$11:$K$14, 2, FALSE)),1,0)</f>
        <v>1</v>
      </c>
      <c r="AD4" s="2">
        <f>IF(AND(VLOOKUP(AD$1,test!$A$3:$I$32,8,FALSE)-VLOOKUP($A4,test!$A$3:$I$32,9,FALSE)&gt;=VLOOKUP(VLOOKUP(AD$1, test!$A$3:$I$32,3,FALSE), test!$J$11:$K$14, 2, FALSE)),1,0)</f>
        <v>0</v>
      </c>
      <c r="AE4" s="2">
        <f>IF(AND(VLOOKUP(AE$1,test!$A$3:$I$32,8,FALSE)-VLOOKUP($A4,test!$A$3:$I$32,9,FALSE)&gt;=VLOOKUP(VLOOKUP(AE$1, test!$A$3:$I$32,3,FALSE), test!$J$11:$K$14, 2, FALSE)),1,0)</f>
        <v>0</v>
      </c>
      <c r="AF4" s="2">
        <f>IF(AND(VLOOKUP(AF$1,test!$A$3:$I$32,8,FALSE)-VLOOKUP($A4,test!$A$3:$I$32,9,FALSE)&gt;=VLOOKUP(VLOOKUP(AF$1, test!$A$3:$I$32,3,FALSE), test!$J$11:$K$14, 2, FALSE)),1,0)</f>
        <v>0</v>
      </c>
    </row>
    <row r="5" spans="1:32" x14ac:dyDescent="0.25">
      <c r="A5" t="s">
        <v>10</v>
      </c>
      <c r="B5" s="3">
        <v>1</v>
      </c>
      <c r="C5" s="2">
        <f>IF(AND(VLOOKUP(C$1,test!$A$3:$I$32,8,FALSE)-VLOOKUP($A5,test!$A$3:$I$32,9,FALSE)&gt;=VLOOKUP(VLOOKUP(C$1, test!$A$3:$I$32,3,FALSE), test!$J$11:$K$14, 2, FALSE)),1,0)</f>
        <v>0</v>
      </c>
      <c r="D5" s="2">
        <f>IF(AND(VLOOKUP(D$1,test!$A$3:$I$32,8,FALSE)-VLOOKUP($A5,test!$A$3:$I$32,9,FALSE)&gt;=VLOOKUP(VLOOKUP(D$1, test!$A$3:$I$32,3,FALSE), test!$J$11:$K$14, 2, FALSE)),1,0)</f>
        <v>0</v>
      </c>
      <c r="E5" s="2">
        <f>IF(AND(VLOOKUP(E$1,test!$A$3:$I$32,8,FALSE)-VLOOKUP($A5,test!$A$3:$I$32,9,FALSE)&gt;=VLOOKUP(VLOOKUP(E$1, test!$A$3:$I$32,3,FALSE), test!$J$11:$K$14, 2, FALSE)),1,0)</f>
        <v>0</v>
      </c>
      <c r="F5" s="2">
        <f>IF(AND(VLOOKUP(F$1,test!$A$3:$I$32,8,FALSE)-VLOOKUP($A5,test!$A$3:$I$32,9,FALSE)&gt;=VLOOKUP(VLOOKUP(F$1, test!$A$3:$I$32,3,FALSE), test!$J$11:$K$14, 2, FALSE)),1,0)</f>
        <v>0</v>
      </c>
      <c r="G5" s="2">
        <f>IF(AND(VLOOKUP(G$1,test!$A$3:$I$32,8,FALSE)-VLOOKUP($A5,test!$A$3:$I$32,9,FALSE)&gt;=VLOOKUP(VLOOKUP(G$1, test!$A$3:$I$32,3,FALSE), test!$J$11:$K$14, 2, FALSE)),1,0)</f>
        <v>1</v>
      </c>
      <c r="H5" s="2">
        <f>IF(AND(VLOOKUP(H$1,test!$A$3:$I$32,8,FALSE)-VLOOKUP($A5,test!$A$3:$I$32,9,FALSE)&gt;=VLOOKUP(VLOOKUP(H$1, test!$A$3:$I$32,3,FALSE), test!$J$11:$K$14, 2, FALSE)),1,0)</f>
        <v>1</v>
      </c>
      <c r="I5" s="2">
        <f>IF(AND(VLOOKUP(I$1,test!$A$3:$I$32,8,FALSE)-VLOOKUP($A5,test!$A$3:$I$32,9,FALSE)&gt;=VLOOKUP(VLOOKUP(I$1, test!$A$3:$I$32,3,FALSE), test!$J$11:$K$14, 2, FALSE)),1,0)</f>
        <v>1</v>
      </c>
      <c r="J5" s="2">
        <f>IF(AND(VLOOKUP(J$1,test!$A$3:$I$32,8,FALSE)-VLOOKUP($A5,test!$A$3:$I$32,9,FALSE)&gt;=VLOOKUP(VLOOKUP(J$1, test!$A$3:$I$32,3,FALSE), test!$J$11:$K$14, 2, FALSE)),1,0)</f>
        <v>1</v>
      </c>
      <c r="K5" s="2">
        <f>IF(AND(VLOOKUP(K$1,test!$A$3:$I$32,8,FALSE)-VLOOKUP($A5,test!$A$3:$I$32,9,FALSE)&gt;=VLOOKUP(VLOOKUP(K$1, test!$A$3:$I$32,3,FALSE), test!$J$11:$K$14, 2, FALSE)),1,0)</f>
        <v>0</v>
      </c>
      <c r="L5" s="2">
        <f>IF(AND(VLOOKUP(L$1,test!$A$3:$I$32,8,FALSE)-VLOOKUP($A5,test!$A$3:$I$32,9,FALSE)&gt;=VLOOKUP(VLOOKUP(L$1, test!$A$3:$I$32,3,FALSE), test!$J$11:$K$14, 2, FALSE)),1,0)</f>
        <v>0</v>
      </c>
      <c r="M5" s="2">
        <f>IF(AND(VLOOKUP(M$1,test!$A$3:$I$32,8,FALSE)-VLOOKUP($A5,test!$A$3:$I$32,9,FALSE)&gt;=VLOOKUP(VLOOKUP(M$1, test!$A$3:$I$32,3,FALSE), test!$J$11:$K$14, 2, FALSE)),1,0)</f>
        <v>0</v>
      </c>
      <c r="N5" s="2">
        <f>IF(AND(VLOOKUP(N$1,test!$A$3:$I$32,8,FALSE)-VLOOKUP($A5,test!$A$3:$I$32,9,FALSE)&gt;=VLOOKUP(VLOOKUP(N$1, test!$A$3:$I$32,3,FALSE), test!$J$11:$K$14, 2, FALSE)),1,0)</f>
        <v>1</v>
      </c>
      <c r="O5" s="2">
        <f>IF(AND(VLOOKUP(O$1,test!$A$3:$I$32,8,FALSE)-VLOOKUP($A5,test!$A$3:$I$32,9,FALSE)&gt;=VLOOKUP(VLOOKUP(O$1, test!$A$3:$I$32,3,FALSE), test!$J$11:$K$14, 2, FALSE)),1,0)</f>
        <v>1</v>
      </c>
      <c r="P5" s="2">
        <f>IF(AND(VLOOKUP(P$1,test!$A$3:$I$32,8,FALSE)-VLOOKUP($A5,test!$A$3:$I$32,9,FALSE)&gt;=VLOOKUP(VLOOKUP(P$1, test!$A$3:$I$32,3,FALSE), test!$J$11:$K$14, 2, FALSE)),1,0)</f>
        <v>0</v>
      </c>
      <c r="Q5" s="2">
        <f>IF(AND(VLOOKUP(Q$1,test!$A$3:$I$32,8,FALSE)-VLOOKUP($A5,test!$A$3:$I$32,9,FALSE)&gt;=VLOOKUP(VLOOKUP(Q$1, test!$A$3:$I$32,3,FALSE), test!$J$11:$K$14, 2, FALSE)),1,0)</f>
        <v>0</v>
      </c>
      <c r="R5" s="2">
        <f>IF(AND(VLOOKUP(R$1,test!$A$3:$I$32,8,FALSE)-VLOOKUP($A5,test!$A$3:$I$32,9,FALSE)&gt;=VLOOKUP(VLOOKUP(R$1, test!$A$3:$I$32,3,FALSE), test!$J$11:$K$14, 2, FALSE)),1,0)</f>
        <v>0</v>
      </c>
      <c r="S5" s="2">
        <f>IF(AND(VLOOKUP(S$1,test!$A$3:$I$32,8,FALSE)-VLOOKUP($A5,test!$A$3:$I$32,9,FALSE)&gt;=VLOOKUP(VLOOKUP(S$1, test!$A$3:$I$32,3,FALSE), test!$J$11:$K$14, 2, FALSE)),1,0)</f>
        <v>0</v>
      </c>
      <c r="T5" s="2">
        <f>IF(AND(VLOOKUP(T$1,test!$A$3:$I$32,8,FALSE)-VLOOKUP($A5,test!$A$3:$I$32,9,FALSE)&gt;=VLOOKUP(VLOOKUP(T$1, test!$A$3:$I$32,3,FALSE), test!$J$11:$K$14, 2, FALSE)),1,0)</f>
        <v>0</v>
      </c>
      <c r="U5" s="2">
        <f>IF(AND(VLOOKUP(U$1,test!$A$3:$I$32,8,FALSE)-VLOOKUP($A5,test!$A$3:$I$32,9,FALSE)&gt;=VLOOKUP(VLOOKUP(U$1, test!$A$3:$I$32,3,FALSE), test!$J$11:$K$14, 2, FALSE)),1,0)</f>
        <v>0</v>
      </c>
      <c r="V5" s="2">
        <f>IF(AND(VLOOKUP(V$1,test!$A$3:$I$32,8,FALSE)-VLOOKUP($A5,test!$A$3:$I$32,9,FALSE)&gt;=VLOOKUP(VLOOKUP(V$1, test!$A$3:$I$32,3,FALSE), test!$J$11:$K$14, 2, FALSE)),1,0)</f>
        <v>1</v>
      </c>
      <c r="W5" s="2">
        <f>IF(AND(VLOOKUP(W$1,test!$A$3:$I$32,8,FALSE)-VLOOKUP($A5,test!$A$3:$I$32,9,FALSE)&gt;=VLOOKUP(VLOOKUP(W$1, test!$A$3:$I$32,3,FALSE), test!$J$11:$K$14, 2, FALSE)),1,0)</f>
        <v>1</v>
      </c>
      <c r="X5" s="2">
        <f>IF(AND(VLOOKUP(X$1,test!$A$3:$I$32,8,FALSE)-VLOOKUP($A5,test!$A$3:$I$32,9,FALSE)&gt;=VLOOKUP(VLOOKUP(X$1, test!$A$3:$I$32,3,FALSE), test!$J$11:$K$14, 2, FALSE)),1,0)</f>
        <v>1</v>
      </c>
      <c r="Y5" s="2">
        <f>IF(AND(VLOOKUP(Y$1,test!$A$3:$I$32,8,FALSE)-VLOOKUP($A5,test!$A$3:$I$32,9,FALSE)&gt;=VLOOKUP(VLOOKUP(Y$1, test!$A$3:$I$32,3,FALSE), test!$J$11:$K$14, 2, FALSE)),1,0)</f>
        <v>0</v>
      </c>
      <c r="Z5" s="2">
        <f>IF(AND(VLOOKUP(Z$1,test!$A$3:$I$32,8,FALSE)-VLOOKUP($A5,test!$A$3:$I$32,9,FALSE)&gt;=VLOOKUP(VLOOKUP(Z$1, test!$A$3:$I$32,3,FALSE), test!$J$11:$K$14, 2, FALSE)),1,0)</f>
        <v>0</v>
      </c>
      <c r="AA5" s="2">
        <f>IF(AND(VLOOKUP(AA$1,test!$A$3:$I$32,8,FALSE)-VLOOKUP($A5,test!$A$3:$I$32,9,FALSE)&gt;=VLOOKUP(VLOOKUP(AA$1, test!$A$3:$I$32,3,FALSE), test!$J$11:$K$14, 2, FALSE)),1,0)</f>
        <v>0</v>
      </c>
      <c r="AB5" s="2">
        <f>IF(AND(VLOOKUP(AB$1,test!$A$3:$I$32,8,FALSE)-VLOOKUP($A5,test!$A$3:$I$32,9,FALSE)&gt;=VLOOKUP(VLOOKUP(AB$1, test!$A$3:$I$32,3,FALSE), test!$J$11:$K$14, 2, FALSE)),1,0)</f>
        <v>0</v>
      </c>
      <c r="AC5" s="2">
        <f>IF(AND(VLOOKUP(AC$1,test!$A$3:$I$32,8,FALSE)-VLOOKUP($A5,test!$A$3:$I$32,9,FALSE)&gt;=VLOOKUP(VLOOKUP(AC$1, test!$A$3:$I$32,3,FALSE), test!$J$11:$K$14, 2, FALSE)),1,0)</f>
        <v>1</v>
      </c>
      <c r="AD5" s="2">
        <f>IF(AND(VLOOKUP(AD$1,test!$A$3:$I$32,8,FALSE)-VLOOKUP($A5,test!$A$3:$I$32,9,FALSE)&gt;=VLOOKUP(VLOOKUP(AD$1, test!$A$3:$I$32,3,FALSE), test!$J$11:$K$14, 2, FALSE)),1,0)</f>
        <v>0</v>
      </c>
      <c r="AE5" s="2">
        <f>IF(AND(VLOOKUP(AE$1,test!$A$3:$I$32,8,FALSE)-VLOOKUP($A5,test!$A$3:$I$32,9,FALSE)&gt;=VLOOKUP(VLOOKUP(AE$1, test!$A$3:$I$32,3,FALSE), test!$J$11:$K$14, 2, FALSE)),1,0)</f>
        <v>0</v>
      </c>
      <c r="AF5" s="2">
        <f>IF(AND(VLOOKUP(AF$1,test!$A$3:$I$32,8,FALSE)-VLOOKUP($A5,test!$A$3:$I$32,9,FALSE)&gt;=VLOOKUP(VLOOKUP(AF$1, test!$A$3:$I$32,3,FALSE), test!$J$11:$K$14, 2, FALSE)),1,0)</f>
        <v>0</v>
      </c>
    </row>
    <row r="6" spans="1:32" x14ac:dyDescent="0.25">
      <c r="A6" t="s">
        <v>11</v>
      </c>
      <c r="B6" s="3">
        <v>1</v>
      </c>
      <c r="C6" s="2">
        <f>IF(AND(VLOOKUP(C$1,test!$A$3:$I$32,8,FALSE)-VLOOKUP($A6,test!$A$3:$I$32,9,FALSE)&gt;=VLOOKUP(VLOOKUP(C$1, test!$A$3:$I$32,3,FALSE), test!$J$11:$K$14, 2, FALSE)),1,0)</f>
        <v>0</v>
      </c>
      <c r="D6" s="2">
        <f>IF(AND(VLOOKUP(D$1,test!$A$3:$I$32,8,FALSE)-VLOOKUP($A6,test!$A$3:$I$32,9,FALSE)&gt;=VLOOKUP(VLOOKUP(D$1, test!$A$3:$I$32,3,FALSE), test!$J$11:$K$14, 2, FALSE)),1,0)</f>
        <v>0</v>
      </c>
      <c r="E6" s="2">
        <f>IF(AND(VLOOKUP(E$1,test!$A$3:$I$32,8,FALSE)-VLOOKUP($A6,test!$A$3:$I$32,9,FALSE)&gt;=VLOOKUP(VLOOKUP(E$1, test!$A$3:$I$32,3,FALSE), test!$J$11:$K$14, 2, FALSE)),1,0)</f>
        <v>0</v>
      </c>
      <c r="F6" s="2">
        <f>IF(AND(VLOOKUP(F$1,test!$A$3:$I$32,8,FALSE)-VLOOKUP($A6,test!$A$3:$I$32,9,FALSE)&gt;=VLOOKUP(VLOOKUP(F$1, test!$A$3:$I$32,3,FALSE), test!$J$11:$K$14, 2, FALSE)),1,0)</f>
        <v>0</v>
      </c>
      <c r="G6" s="2">
        <f>IF(AND(VLOOKUP(G$1,test!$A$3:$I$32,8,FALSE)-VLOOKUP($A6,test!$A$3:$I$32,9,FALSE)&gt;=VLOOKUP(VLOOKUP(G$1, test!$A$3:$I$32,3,FALSE), test!$J$11:$K$14, 2, FALSE)),1,0)</f>
        <v>0</v>
      </c>
      <c r="H6" s="2">
        <f>IF(AND(VLOOKUP(H$1,test!$A$3:$I$32,8,FALSE)-VLOOKUP($A6,test!$A$3:$I$32,9,FALSE)&gt;=VLOOKUP(VLOOKUP(H$1, test!$A$3:$I$32,3,FALSE), test!$J$11:$K$14, 2, FALSE)),1,0)</f>
        <v>0</v>
      </c>
      <c r="I6" s="2">
        <f>IF(AND(VLOOKUP(I$1,test!$A$3:$I$32,8,FALSE)-VLOOKUP($A6,test!$A$3:$I$32,9,FALSE)&gt;=VLOOKUP(VLOOKUP(I$1, test!$A$3:$I$32,3,FALSE), test!$J$11:$K$14, 2, FALSE)),1,0)</f>
        <v>1</v>
      </c>
      <c r="J6" s="2">
        <f>IF(AND(VLOOKUP(J$1,test!$A$3:$I$32,8,FALSE)-VLOOKUP($A6,test!$A$3:$I$32,9,FALSE)&gt;=VLOOKUP(VLOOKUP(J$1, test!$A$3:$I$32,3,FALSE), test!$J$11:$K$14, 2, FALSE)),1,0)</f>
        <v>1</v>
      </c>
      <c r="K6" s="2">
        <f>IF(AND(VLOOKUP(K$1,test!$A$3:$I$32,8,FALSE)-VLOOKUP($A6,test!$A$3:$I$32,9,FALSE)&gt;=VLOOKUP(VLOOKUP(K$1, test!$A$3:$I$32,3,FALSE), test!$J$11:$K$14, 2, FALSE)),1,0)</f>
        <v>0</v>
      </c>
      <c r="L6" s="2">
        <f>IF(AND(VLOOKUP(L$1,test!$A$3:$I$32,8,FALSE)-VLOOKUP($A6,test!$A$3:$I$32,9,FALSE)&gt;=VLOOKUP(VLOOKUP(L$1, test!$A$3:$I$32,3,FALSE), test!$J$11:$K$14, 2, FALSE)),1,0)</f>
        <v>0</v>
      </c>
      <c r="M6" s="2">
        <f>IF(AND(VLOOKUP(M$1,test!$A$3:$I$32,8,FALSE)-VLOOKUP($A6,test!$A$3:$I$32,9,FALSE)&gt;=VLOOKUP(VLOOKUP(M$1, test!$A$3:$I$32,3,FALSE), test!$J$11:$K$14, 2, FALSE)),1,0)</f>
        <v>0</v>
      </c>
      <c r="N6" s="2">
        <f>IF(AND(VLOOKUP(N$1,test!$A$3:$I$32,8,FALSE)-VLOOKUP($A6,test!$A$3:$I$32,9,FALSE)&gt;=VLOOKUP(VLOOKUP(N$1, test!$A$3:$I$32,3,FALSE), test!$J$11:$K$14, 2, FALSE)),1,0)</f>
        <v>1</v>
      </c>
      <c r="O6" s="2">
        <f>IF(AND(VLOOKUP(O$1,test!$A$3:$I$32,8,FALSE)-VLOOKUP($A6,test!$A$3:$I$32,9,FALSE)&gt;=VLOOKUP(VLOOKUP(O$1, test!$A$3:$I$32,3,FALSE), test!$J$11:$K$14, 2, FALSE)),1,0)</f>
        <v>1</v>
      </c>
      <c r="P6" s="2">
        <f>IF(AND(VLOOKUP(P$1,test!$A$3:$I$32,8,FALSE)-VLOOKUP($A6,test!$A$3:$I$32,9,FALSE)&gt;=VLOOKUP(VLOOKUP(P$1, test!$A$3:$I$32,3,FALSE), test!$J$11:$K$14, 2, FALSE)),1,0)</f>
        <v>0</v>
      </c>
      <c r="Q6" s="2">
        <f>IF(AND(VLOOKUP(Q$1,test!$A$3:$I$32,8,FALSE)-VLOOKUP($A6,test!$A$3:$I$32,9,FALSE)&gt;=VLOOKUP(VLOOKUP(Q$1, test!$A$3:$I$32,3,FALSE), test!$J$11:$K$14, 2, FALSE)),1,0)</f>
        <v>0</v>
      </c>
      <c r="R6" s="2">
        <f>IF(AND(VLOOKUP(R$1,test!$A$3:$I$32,8,FALSE)-VLOOKUP($A6,test!$A$3:$I$32,9,FALSE)&gt;=VLOOKUP(VLOOKUP(R$1, test!$A$3:$I$32,3,FALSE), test!$J$11:$K$14, 2, FALSE)),1,0)</f>
        <v>0</v>
      </c>
      <c r="S6" s="2">
        <f>IF(AND(VLOOKUP(S$1,test!$A$3:$I$32,8,FALSE)-VLOOKUP($A6,test!$A$3:$I$32,9,FALSE)&gt;=VLOOKUP(VLOOKUP(S$1, test!$A$3:$I$32,3,FALSE), test!$J$11:$K$14, 2, FALSE)),1,0)</f>
        <v>0</v>
      </c>
      <c r="T6" s="2">
        <f>IF(AND(VLOOKUP(T$1,test!$A$3:$I$32,8,FALSE)-VLOOKUP($A6,test!$A$3:$I$32,9,FALSE)&gt;=VLOOKUP(VLOOKUP(T$1, test!$A$3:$I$32,3,FALSE), test!$J$11:$K$14, 2, FALSE)),1,0)</f>
        <v>0</v>
      </c>
      <c r="U6" s="2">
        <f>IF(AND(VLOOKUP(U$1,test!$A$3:$I$32,8,FALSE)-VLOOKUP($A6,test!$A$3:$I$32,9,FALSE)&gt;=VLOOKUP(VLOOKUP(U$1, test!$A$3:$I$32,3,FALSE), test!$J$11:$K$14, 2, FALSE)),1,0)</f>
        <v>0</v>
      </c>
      <c r="V6" s="2">
        <f>IF(AND(VLOOKUP(V$1,test!$A$3:$I$32,8,FALSE)-VLOOKUP($A6,test!$A$3:$I$32,9,FALSE)&gt;=VLOOKUP(VLOOKUP(V$1, test!$A$3:$I$32,3,FALSE), test!$J$11:$K$14, 2, FALSE)),1,0)</f>
        <v>0</v>
      </c>
      <c r="W6" s="2">
        <f>IF(AND(VLOOKUP(W$1,test!$A$3:$I$32,8,FALSE)-VLOOKUP($A6,test!$A$3:$I$32,9,FALSE)&gt;=VLOOKUP(VLOOKUP(W$1, test!$A$3:$I$32,3,FALSE), test!$J$11:$K$14, 2, FALSE)),1,0)</f>
        <v>1</v>
      </c>
      <c r="X6" s="2">
        <f>IF(AND(VLOOKUP(X$1,test!$A$3:$I$32,8,FALSE)-VLOOKUP($A6,test!$A$3:$I$32,9,FALSE)&gt;=VLOOKUP(VLOOKUP(X$1, test!$A$3:$I$32,3,FALSE), test!$J$11:$K$14, 2, FALSE)),1,0)</f>
        <v>1</v>
      </c>
      <c r="Y6" s="2">
        <f>IF(AND(VLOOKUP(Y$1,test!$A$3:$I$32,8,FALSE)-VLOOKUP($A6,test!$A$3:$I$32,9,FALSE)&gt;=VLOOKUP(VLOOKUP(Y$1, test!$A$3:$I$32,3,FALSE), test!$J$11:$K$14, 2, FALSE)),1,0)</f>
        <v>0</v>
      </c>
      <c r="Z6" s="2">
        <f>IF(AND(VLOOKUP(Z$1,test!$A$3:$I$32,8,FALSE)-VLOOKUP($A6,test!$A$3:$I$32,9,FALSE)&gt;=VLOOKUP(VLOOKUP(Z$1, test!$A$3:$I$32,3,FALSE), test!$J$11:$K$14, 2, FALSE)),1,0)</f>
        <v>0</v>
      </c>
      <c r="AA6" s="2">
        <f>IF(AND(VLOOKUP(AA$1,test!$A$3:$I$32,8,FALSE)-VLOOKUP($A6,test!$A$3:$I$32,9,FALSE)&gt;=VLOOKUP(VLOOKUP(AA$1, test!$A$3:$I$32,3,FALSE), test!$J$11:$K$14, 2, FALSE)),1,0)</f>
        <v>0</v>
      </c>
      <c r="AB6" s="2">
        <f>IF(AND(VLOOKUP(AB$1,test!$A$3:$I$32,8,FALSE)-VLOOKUP($A6,test!$A$3:$I$32,9,FALSE)&gt;=VLOOKUP(VLOOKUP(AB$1, test!$A$3:$I$32,3,FALSE), test!$J$11:$K$14, 2, FALSE)),1,0)</f>
        <v>0</v>
      </c>
      <c r="AC6" s="2">
        <f>IF(AND(VLOOKUP(AC$1,test!$A$3:$I$32,8,FALSE)-VLOOKUP($A6,test!$A$3:$I$32,9,FALSE)&gt;=VLOOKUP(VLOOKUP(AC$1, test!$A$3:$I$32,3,FALSE), test!$J$11:$K$14, 2, FALSE)),1,0)</f>
        <v>0</v>
      </c>
      <c r="AD6" s="2">
        <f>IF(AND(VLOOKUP(AD$1,test!$A$3:$I$32,8,FALSE)-VLOOKUP($A6,test!$A$3:$I$32,9,FALSE)&gt;=VLOOKUP(VLOOKUP(AD$1, test!$A$3:$I$32,3,FALSE), test!$J$11:$K$14, 2, FALSE)),1,0)</f>
        <v>0</v>
      </c>
      <c r="AE6" s="2">
        <f>IF(AND(VLOOKUP(AE$1,test!$A$3:$I$32,8,FALSE)-VLOOKUP($A6,test!$A$3:$I$32,9,FALSE)&gt;=VLOOKUP(VLOOKUP(AE$1, test!$A$3:$I$32,3,FALSE), test!$J$11:$K$14, 2, FALSE)),1,0)</f>
        <v>0</v>
      </c>
      <c r="AF6" s="2">
        <f>IF(AND(VLOOKUP(AF$1,test!$A$3:$I$32,8,FALSE)-VLOOKUP($A6,test!$A$3:$I$32,9,FALSE)&gt;=VLOOKUP(VLOOKUP(AF$1, test!$A$3:$I$32,3,FALSE), test!$J$11:$K$14, 2, FALSE)),1,0)</f>
        <v>0</v>
      </c>
    </row>
    <row r="7" spans="1:32" x14ac:dyDescent="0.25">
      <c r="A7" t="s">
        <v>12</v>
      </c>
      <c r="B7" s="3">
        <v>1</v>
      </c>
      <c r="C7" s="2">
        <f>IF(AND(VLOOKUP(C$1,test!$A$3:$I$32,8,FALSE)-VLOOKUP($A7,test!$A$3:$I$32,9,FALSE)&gt;=VLOOKUP(VLOOKUP(C$1, test!$A$3:$I$32,3,FALSE), test!$J$11:$K$14, 2, FALSE)),1,0)</f>
        <v>0</v>
      </c>
      <c r="D7" s="2">
        <f>IF(AND(VLOOKUP(D$1,test!$A$3:$I$32,8,FALSE)-VLOOKUP($A7,test!$A$3:$I$32,9,FALSE)&gt;=VLOOKUP(VLOOKUP(D$1, test!$A$3:$I$32,3,FALSE), test!$J$11:$K$14, 2, FALSE)),1,0)</f>
        <v>0</v>
      </c>
      <c r="E7" s="2">
        <f>IF(AND(VLOOKUP(E$1,test!$A$3:$I$32,8,FALSE)-VLOOKUP($A7,test!$A$3:$I$32,9,FALSE)&gt;=VLOOKUP(VLOOKUP(E$1, test!$A$3:$I$32,3,FALSE), test!$J$11:$K$14, 2, FALSE)),1,0)</f>
        <v>0</v>
      </c>
      <c r="F7" s="2">
        <f>IF(AND(VLOOKUP(F$1,test!$A$3:$I$32,8,FALSE)-VLOOKUP($A7,test!$A$3:$I$32,9,FALSE)&gt;=VLOOKUP(VLOOKUP(F$1, test!$A$3:$I$32,3,FALSE), test!$J$11:$K$14, 2, FALSE)),1,0)</f>
        <v>0</v>
      </c>
      <c r="G7" s="2">
        <f>IF(AND(VLOOKUP(G$1,test!$A$3:$I$32,8,FALSE)-VLOOKUP($A7,test!$A$3:$I$32,9,FALSE)&gt;=VLOOKUP(VLOOKUP(G$1, test!$A$3:$I$32,3,FALSE), test!$J$11:$K$14, 2, FALSE)),1,0)</f>
        <v>0</v>
      </c>
      <c r="H7" s="2">
        <f>IF(AND(VLOOKUP(H$1,test!$A$3:$I$32,8,FALSE)-VLOOKUP($A7,test!$A$3:$I$32,9,FALSE)&gt;=VLOOKUP(VLOOKUP(H$1, test!$A$3:$I$32,3,FALSE), test!$J$11:$K$14, 2, FALSE)),1,0)</f>
        <v>0</v>
      </c>
      <c r="I7" s="2">
        <f>IF(AND(VLOOKUP(I$1,test!$A$3:$I$32,8,FALSE)-VLOOKUP($A7,test!$A$3:$I$32,9,FALSE)&gt;=VLOOKUP(VLOOKUP(I$1, test!$A$3:$I$32,3,FALSE), test!$J$11:$K$14, 2, FALSE)),1,0)</f>
        <v>0</v>
      </c>
      <c r="J7" s="2">
        <f>IF(AND(VLOOKUP(J$1,test!$A$3:$I$32,8,FALSE)-VLOOKUP($A7,test!$A$3:$I$32,9,FALSE)&gt;=VLOOKUP(VLOOKUP(J$1, test!$A$3:$I$32,3,FALSE), test!$J$11:$K$14, 2, FALSE)),1,0)</f>
        <v>1</v>
      </c>
      <c r="K7" s="2">
        <f>IF(AND(VLOOKUP(K$1,test!$A$3:$I$32,8,FALSE)-VLOOKUP($A7,test!$A$3:$I$32,9,FALSE)&gt;=VLOOKUP(VLOOKUP(K$1, test!$A$3:$I$32,3,FALSE), test!$J$11:$K$14, 2, FALSE)),1,0)</f>
        <v>0</v>
      </c>
      <c r="L7" s="2">
        <f>IF(AND(VLOOKUP(L$1,test!$A$3:$I$32,8,FALSE)-VLOOKUP($A7,test!$A$3:$I$32,9,FALSE)&gt;=VLOOKUP(VLOOKUP(L$1, test!$A$3:$I$32,3,FALSE), test!$J$11:$K$14, 2, FALSE)),1,0)</f>
        <v>0</v>
      </c>
      <c r="M7" s="2">
        <f>IF(AND(VLOOKUP(M$1,test!$A$3:$I$32,8,FALSE)-VLOOKUP($A7,test!$A$3:$I$32,9,FALSE)&gt;=VLOOKUP(VLOOKUP(M$1, test!$A$3:$I$32,3,FALSE), test!$J$11:$K$14, 2, FALSE)),1,0)</f>
        <v>0</v>
      </c>
      <c r="N7" s="2">
        <f>IF(AND(VLOOKUP(N$1,test!$A$3:$I$32,8,FALSE)-VLOOKUP($A7,test!$A$3:$I$32,9,FALSE)&gt;=VLOOKUP(VLOOKUP(N$1, test!$A$3:$I$32,3,FALSE), test!$J$11:$K$14, 2, FALSE)),1,0)</f>
        <v>1</v>
      </c>
      <c r="O7" s="2">
        <f>IF(AND(VLOOKUP(O$1,test!$A$3:$I$32,8,FALSE)-VLOOKUP($A7,test!$A$3:$I$32,9,FALSE)&gt;=VLOOKUP(VLOOKUP(O$1, test!$A$3:$I$32,3,FALSE), test!$J$11:$K$14, 2, FALSE)),1,0)</f>
        <v>1</v>
      </c>
      <c r="P7" s="2">
        <f>IF(AND(VLOOKUP(P$1,test!$A$3:$I$32,8,FALSE)-VLOOKUP($A7,test!$A$3:$I$32,9,FALSE)&gt;=VLOOKUP(VLOOKUP(P$1, test!$A$3:$I$32,3,FALSE), test!$J$11:$K$14, 2, FALSE)),1,0)</f>
        <v>0</v>
      </c>
      <c r="Q7" s="2">
        <f>IF(AND(VLOOKUP(Q$1,test!$A$3:$I$32,8,FALSE)-VLOOKUP($A7,test!$A$3:$I$32,9,FALSE)&gt;=VLOOKUP(VLOOKUP(Q$1, test!$A$3:$I$32,3,FALSE), test!$J$11:$K$14, 2, FALSE)),1,0)</f>
        <v>0</v>
      </c>
      <c r="R7" s="2">
        <f>IF(AND(VLOOKUP(R$1,test!$A$3:$I$32,8,FALSE)-VLOOKUP($A7,test!$A$3:$I$32,9,FALSE)&gt;=VLOOKUP(VLOOKUP(R$1, test!$A$3:$I$32,3,FALSE), test!$J$11:$K$14, 2, FALSE)),1,0)</f>
        <v>0</v>
      </c>
      <c r="S7" s="2">
        <f>IF(AND(VLOOKUP(S$1,test!$A$3:$I$32,8,FALSE)-VLOOKUP($A7,test!$A$3:$I$32,9,FALSE)&gt;=VLOOKUP(VLOOKUP(S$1, test!$A$3:$I$32,3,FALSE), test!$J$11:$K$14, 2, FALSE)),1,0)</f>
        <v>0</v>
      </c>
      <c r="T7" s="2">
        <f>IF(AND(VLOOKUP(T$1,test!$A$3:$I$32,8,FALSE)-VLOOKUP($A7,test!$A$3:$I$32,9,FALSE)&gt;=VLOOKUP(VLOOKUP(T$1, test!$A$3:$I$32,3,FALSE), test!$J$11:$K$14, 2, FALSE)),1,0)</f>
        <v>0</v>
      </c>
      <c r="U7" s="2">
        <f>IF(AND(VLOOKUP(U$1,test!$A$3:$I$32,8,FALSE)-VLOOKUP($A7,test!$A$3:$I$32,9,FALSE)&gt;=VLOOKUP(VLOOKUP(U$1, test!$A$3:$I$32,3,FALSE), test!$J$11:$K$14, 2, FALSE)),1,0)</f>
        <v>0</v>
      </c>
      <c r="V7" s="2">
        <f>IF(AND(VLOOKUP(V$1,test!$A$3:$I$32,8,FALSE)-VLOOKUP($A7,test!$A$3:$I$32,9,FALSE)&gt;=VLOOKUP(VLOOKUP(V$1, test!$A$3:$I$32,3,FALSE), test!$J$11:$K$14, 2, FALSE)),1,0)</f>
        <v>0</v>
      </c>
      <c r="W7" s="2">
        <f>IF(AND(VLOOKUP(W$1,test!$A$3:$I$32,8,FALSE)-VLOOKUP($A7,test!$A$3:$I$32,9,FALSE)&gt;=VLOOKUP(VLOOKUP(W$1, test!$A$3:$I$32,3,FALSE), test!$J$11:$K$14, 2, FALSE)),1,0)</f>
        <v>0</v>
      </c>
      <c r="X7" s="2">
        <f>IF(AND(VLOOKUP(X$1,test!$A$3:$I$32,8,FALSE)-VLOOKUP($A7,test!$A$3:$I$32,9,FALSE)&gt;=VLOOKUP(VLOOKUP(X$1, test!$A$3:$I$32,3,FALSE), test!$J$11:$K$14, 2, FALSE)),1,0)</f>
        <v>1</v>
      </c>
      <c r="Y7" s="2">
        <f>IF(AND(VLOOKUP(Y$1,test!$A$3:$I$32,8,FALSE)-VLOOKUP($A7,test!$A$3:$I$32,9,FALSE)&gt;=VLOOKUP(VLOOKUP(Y$1, test!$A$3:$I$32,3,FALSE), test!$J$11:$K$14, 2, FALSE)),1,0)</f>
        <v>0</v>
      </c>
      <c r="Z7" s="2">
        <f>IF(AND(VLOOKUP(Z$1,test!$A$3:$I$32,8,FALSE)-VLOOKUP($A7,test!$A$3:$I$32,9,FALSE)&gt;=VLOOKUP(VLOOKUP(Z$1, test!$A$3:$I$32,3,FALSE), test!$J$11:$K$14, 2, FALSE)),1,0)</f>
        <v>0</v>
      </c>
      <c r="AA7" s="2">
        <f>IF(AND(VLOOKUP(AA$1,test!$A$3:$I$32,8,FALSE)-VLOOKUP($A7,test!$A$3:$I$32,9,FALSE)&gt;=VLOOKUP(VLOOKUP(AA$1, test!$A$3:$I$32,3,FALSE), test!$J$11:$K$14, 2, FALSE)),1,0)</f>
        <v>0</v>
      </c>
      <c r="AB7" s="2">
        <f>IF(AND(VLOOKUP(AB$1,test!$A$3:$I$32,8,FALSE)-VLOOKUP($A7,test!$A$3:$I$32,9,FALSE)&gt;=VLOOKUP(VLOOKUP(AB$1, test!$A$3:$I$32,3,FALSE), test!$J$11:$K$14, 2, FALSE)),1,0)</f>
        <v>0</v>
      </c>
      <c r="AC7" s="2">
        <f>IF(AND(VLOOKUP(AC$1,test!$A$3:$I$32,8,FALSE)-VLOOKUP($A7,test!$A$3:$I$32,9,FALSE)&gt;=VLOOKUP(VLOOKUP(AC$1, test!$A$3:$I$32,3,FALSE), test!$J$11:$K$14, 2, FALSE)),1,0)</f>
        <v>0</v>
      </c>
      <c r="AD7" s="2">
        <f>IF(AND(VLOOKUP(AD$1,test!$A$3:$I$32,8,FALSE)-VLOOKUP($A7,test!$A$3:$I$32,9,FALSE)&gt;=VLOOKUP(VLOOKUP(AD$1, test!$A$3:$I$32,3,FALSE), test!$J$11:$K$14, 2, FALSE)),1,0)</f>
        <v>0</v>
      </c>
      <c r="AE7" s="2">
        <f>IF(AND(VLOOKUP(AE$1,test!$A$3:$I$32,8,FALSE)-VLOOKUP($A7,test!$A$3:$I$32,9,FALSE)&gt;=VLOOKUP(VLOOKUP(AE$1, test!$A$3:$I$32,3,FALSE), test!$J$11:$K$14, 2, FALSE)),1,0)</f>
        <v>0</v>
      </c>
      <c r="AF7" s="2">
        <f>IF(AND(VLOOKUP(AF$1,test!$A$3:$I$32,8,FALSE)-VLOOKUP($A7,test!$A$3:$I$32,9,FALSE)&gt;=VLOOKUP(VLOOKUP(AF$1, test!$A$3:$I$32,3,FALSE), test!$J$11:$K$14, 2, FALSE)),1,0)</f>
        <v>0</v>
      </c>
    </row>
    <row r="8" spans="1:32" x14ac:dyDescent="0.25">
      <c r="A8" t="s">
        <v>13</v>
      </c>
      <c r="B8" s="3">
        <v>1</v>
      </c>
      <c r="C8" s="2">
        <f>IF(AND(VLOOKUP(C$1,test!$A$3:$I$32,8,FALSE)-VLOOKUP($A8,test!$A$3:$I$32,9,FALSE)&gt;=VLOOKUP(VLOOKUP(C$1, test!$A$3:$I$32,3,FALSE), test!$J$11:$K$14, 2, FALSE)),1,0)</f>
        <v>0</v>
      </c>
      <c r="D8" s="2">
        <f>IF(AND(VLOOKUP(D$1,test!$A$3:$I$32,8,FALSE)-VLOOKUP($A8,test!$A$3:$I$32,9,FALSE)&gt;=VLOOKUP(VLOOKUP(D$1, test!$A$3:$I$32,3,FALSE), test!$J$11:$K$14, 2, FALSE)),1,0)</f>
        <v>0</v>
      </c>
      <c r="E8" s="2">
        <f>IF(AND(VLOOKUP(E$1,test!$A$3:$I$32,8,FALSE)-VLOOKUP($A8,test!$A$3:$I$32,9,FALSE)&gt;=VLOOKUP(VLOOKUP(E$1, test!$A$3:$I$32,3,FALSE), test!$J$11:$K$14, 2, FALSE)),1,0)</f>
        <v>0</v>
      </c>
      <c r="F8" s="2">
        <f>IF(AND(VLOOKUP(F$1,test!$A$3:$I$32,8,FALSE)-VLOOKUP($A8,test!$A$3:$I$32,9,FALSE)&gt;=VLOOKUP(VLOOKUP(F$1, test!$A$3:$I$32,3,FALSE), test!$J$11:$K$14, 2, FALSE)),1,0)</f>
        <v>0</v>
      </c>
      <c r="G8" s="2">
        <f>IF(AND(VLOOKUP(G$1,test!$A$3:$I$32,8,FALSE)-VLOOKUP($A8,test!$A$3:$I$32,9,FALSE)&gt;=VLOOKUP(VLOOKUP(G$1, test!$A$3:$I$32,3,FALSE), test!$J$11:$K$14, 2, FALSE)),1,0)</f>
        <v>0</v>
      </c>
      <c r="H8" s="2">
        <f>IF(AND(VLOOKUP(H$1,test!$A$3:$I$32,8,FALSE)-VLOOKUP($A8,test!$A$3:$I$32,9,FALSE)&gt;=VLOOKUP(VLOOKUP(H$1, test!$A$3:$I$32,3,FALSE), test!$J$11:$K$14, 2, FALSE)),1,0)</f>
        <v>0</v>
      </c>
      <c r="I8" s="2">
        <f>IF(AND(VLOOKUP(I$1,test!$A$3:$I$32,8,FALSE)-VLOOKUP($A8,test!$A$3:$I$32,9,FALSE)&gt;=VLOOKUP(VLOOKUP(I$1, test!$A$3:$I$32,3,FALSE), test!$J$11:$K$14, 2, FALSE)),1,0)</f>
        <v>0</v>
      </c>
      <c r="J8" s="2">
        <f>IF(AND(VLOOKUP(J$1,test!$A$3:$I$32,8,FALSE)-VLOOKUP($A8,test!$A$3:$I$32,9,FALSE)&gt;=VLOOKUP(VLOOKUP(J$1, test!$A$3:$I$32,3,FALSE), test!$J$11:$K$14, 2, FALSE)),1,0)</f>
        <v>1</v>
      </c>
      <c r="K8" s="2">
        <f>IF(AND(VLOOKUP(K$1,test!$A$3:$I$32,8,FALSE)-VLOOKUP($A8,test!$A$3:$I$32,9,FALSE)&gt;=VLOOKUP(VLOOKUP(K$1, test!$A$3:$I$32,3,FALSE), test!$J$11:$K$14, 2, FALSE)),1,0)</f>
        <v>0</v>
      </c>
      <c r="L8" s="2">
        <f>IF(AND(VLOOKUP(L$1,test!$A$3:$I$32,8,FALSE)-VLOOKUP($A8,test!$A$3:$I$32,9,FALSE)&gt;=VLOOKUP(VLOOKUP(L$1, test!$A$3:$I$32,3,FALSE), test!$J$11:$K$14, 2, FALSE)),1,0)</f>
        <v>0</v>
      </c>
      <c r="M8" s="2">
        <f>IF(AND(VLOOKUP(M$1,test!$A$3:$I$32,8,FALSE)-VLOOKUP($A8,test!$A$3:$I$32,9,FALSE)&gt;=VLOOKUP(VLOOKUP(M$1, test!$A$3:$I$32,3,FALSE), test!$J$11:$K$14, 2, FALSE)),1,0)</f>
        <v>0</v>
      </c>
      <c r="N8" s="2">
        <f>IF(AND(VLOOKUP(N$1,test!$A$3:$I$32,8,FALSE)-VLOOKUP($A8,test!$A$3:$I$32,9,FALSE)&gt;=VLOOKUP(VLOOKUP(N$1, test!$A$3:$I$32,3,FALSE), test!$J$11:$K$14, 2, FALSE)),1,0)</f>
        <v>0</v>
      </c>
      <c r="O8" s="2">
        <f>IF(AND(VLOOKUP(O$1,test!$A$3:$I$32,8,FALSE)-VLOOKUP($A8,test!$A$3:$I$32,9,FALSE)&gt;=VLOOKUP(VLOOKUP(O$1, test!$A$3:$I$32,3,FALSE), test!$J$11:$K$14, 2, FALSE)),1,0)</f>
        <v>1</v>
      </c>
      <c r="P8" s="2">
        <f>IF(AND(VLOOKUP(P$1,test!$A$3:$I$32,8,FALSE)-VLOOKUP($A8,test!$A$3:$I$32,9,FALSE)&gt;=VLOOKUP(VLOOKUP(P$1, test!$A$3:$I$32,3,FALSE), test!$J$11:$K$14, 2, FALSE)),1,0)</f>
        <v>0</v>
      </c>
      <c r="Q8" s="2">
        <f>IF(AND(VLOOKUP(Q$1,test!$A$3:$I$32,8,FALSE)-VLOOKUP($A8,test!$A$3:$I$32,9,FALSE)&gt;=VLOOKUP(VLOOKUP(Q$1, test!$A$3:$I$32,3,FALSE), test!$J$11:$K$14, 2, FALSE)),1,0)</f>
        <v>0</v>
      </c>
      <c r="R8" s="2">
        <f>IF(AND(VLOOKUP(R$1,test!$A$3:$I$32,8,FALSE)-VLOOKUP($A8,test!$A$3:$I$32,9,FALSE)&gt;=VLOOKUP(VLOOKUP(R$1, test!$A$3:$I$32,3,FALSE), test!$J$11:$K$14, 2, FALSE)),1,0)</f>
        <v>0</v>
      </c>
      <c r="S8" s="2">
        <f>IF(AND(VLOOKUP(S$1,test!$A$3:$I$32,8,FALSE)-VLOOKUP($A8,test!$A$3:$I$32,9,FALSE)&gt;=VLOOKUP(VLOOKUP(S$1, test!$A$3:$I$32,3,FALSE), test!$J$11:$K$14, 2, FALSE)),1,0)</f>
        <v>0</v>
      </c>
      <c r="T8" s="2">
        <f>IF(AND(VLOOKUP(T$1,test!$A$3:$I$32,8,FALSE)-VLOOKUP($A8,test!$A$3:$I$32,9,FALSE)&gt;=VLOOKUP(VLOOKUP(T$1, test!$A$3:$I$32,3,FALSE), test!$J$11:$K$14, 2, FALSE)),1,0)</f>
        <v>0</v>
      </c>
      <c r="U8" s="2">
        <f>IF(AND(VLOOKUP(U$1,test!$A$3:$I$32,8,FALSE)-VLOOKUP($A8,test!$A$3:$I$32,9,FALSE)&gt;=VLOOKUP(VLOOKUP(U$1, test!$A$3:$I$32,3,FALSE), test!$J$11:$K$14, 2, FALSE)),1,0)</f>
        <v>0</v>
      </c>
      <c r="V8" s="2">
        <f>IF(AND(VLOOKUP(V$1,test!$A$3:$I$32,8,FALSE)-VLOOKUP($A8,test!$A$3:$I$32,9,FALSE)&gt;=VLOOKUP(VLOOKUP(V$1, test!$A$3:$I$32,3,FALSE), test!$J$11:$K$14, 2, FALSE)),1,0)</f>
        <v>0</v>
      </c>
      <c r="W8" s="2">
        <f>IF(AND(VLOOKUP(W$1,test!$A$3:$I$32,8,FALSE)-VLOOKUP($A8,test!$A$3:$I$32,9,FALSE)&gt;=VLOOKUP(VLOOKUP(W$1, test!$A$3:$I$32,3,FALSE), test!$J$11:$K$14, 2, FALSE)),1,0)</f>
        <v>0</v>
      </c>
      <c r="X8" s="2">
        <f>IF(AND(VLOOKUP(X$1,test!$A$3:$I$32,8,FALSE)-VLOOKUP($A8,test!$A$3:$I$32,9,FALSE)&gt;=VLOOKUP(VLOOKUP(X$1, test!$A$3:$I$32,3,FALSE), test!$J$11:$K$14, 2, FALSE)),1,0)</f>
        <v>0</v>
      </c>
      <c r="Y8" s="2">
        <f>IF(AND(VLOOKUP(Y$1,test!$A$3:$I$32,8,FALSE)-VLOOKUP($A8,test!$A$3:$I$32,9,FALSE)&gt;=VLOOKUP(VLOOKUP(Y$1, test!$A$3:$I$32,3,FALSE), test!$J$11:$K$14, 2, FALSE)),1,0)</f>
        <v>0</v>
      </c>
      <c r="Z8" s="2">
        <f>IF(AND(VLOOKUP(Z$1,test!$A$3:$I$32,8,FALSE)-VLOOKUP($A8,test!$A$3:$I$32,9,FALSE)&gt;=VLOOKUP(VLOOKUP(Z$1, test!$A$3:$I$32,3,FALSE), test!$J$11:$K$14, 2, FALSE)),1,0)</f>
        <v>0</v>
      </c>
      <c r="AA8" s="2">
        <f>IF(AND(VLOOKUP(AA$1,test!$A$3:$I$32,8,FALSE)-VLOOKUP($A8,test!$A$3:$I$32,9,FALSE)&gt;=VLOOKUP(VLOOKUP(AA$1, test!$A$3:$I$32,3,FALSE), test!$J$11:$K$14, 2, FALSE)),1,0)</f>
        <v>0</v>
      </c>
      <c r="AB8" s="2">
        <f>IF(AND(VLOOKUP(AB$1,test!$A$3:$I$32,8,FALSE)-VLOOKUP($A8,test!$A$3:$I$32,9,FALSE)&gt;=VLOOKUP(VLOOKUP(AB$1, test!$A$3:$I$32,3,FALSE), test!$J$11:$K$14, 2, FALSE)),1,0)</f>
        <v>0</v>
      </c>
      <c r="AC8" s="2">
        <f>IF(AND(VLOOKUP(AC$1,test!$A$3:$I$32,8,FALSE)-VLOOKUP($A8,test!$A$3:$I$32,9,FALSE)&gt;=VLOOKUP(VLOOKUP(AC$1, test!$A$3:$I$32,3,FALSE), test!$J$11:$K$14, 2, FALSE)),1,0)</f>
        <v>0</v>
      </c>
      <c r="AD8" s="2">
        <f>IF(AND(VLOOKUP(AD$1,test!$A$3:$I$32,8,FALSE)-VLOOKUP($A8,test!$A$3:$I$32,9,FALSE)&gt;=VLOOKUP(VLOOKUP(AD$1, test!$A$3:$I$32,3,FALSE), test!$J$11:$K$14, 2, FALSE)),1,0)</f>
        <v>0</v>
      </c>
      <c r="AE8" s="2">
        <f>IF(AND(VLOOKUP(AE$1,test!$A$3:$I$32,8,FALSE)-VLOOKUP($A8,test!$A$3:$I$32,9,FALSE)&gt;=VLOOKUP(VLOOKUP(AE$1, test!$A$3:$I$32,3,FALSE), test!$J$11:$K$14, 2, FALSE)),1,0)</f>
        <v>0</v>
      </c>
      <c r="AF8" s="2">
        <f>IF(AND(VLOOKUP(AF$1,test!$A$3:$I$32,8,FALSE)-VLOOKUP($A8,test!$A$3:$I$32,9,FALSE)&gt;=VLOOKUP(VLOOKUP(AF$1, test!$A$3:$I$32,3,FALSE), test!$J$11:$K$14, 2, FALSE)),1,0)</f>
        <v>0</v>
      </c>
    </row>
    <row r="9" spans="1:32" x14ac:dyDescent="0.25">
      <c r="A9" t="s">
        <v>14</v>
      </c>
      <c r="B9" s="3">
        <v>1</v>
      </c>
      <c r="C9" s="2">
        <f>IF(AND(VLOOKUP(C$1,test!$A$3:$I$32,8,FALSE)-VLOOKUP($A9,test!$A$3:$I$32,9,FALSE)&gt;=VLOOKUP(VLOOKUP(C$1, test!$A$3:$I$32,3,FALSE), test!$J$11:$K$14, 2, FALSE)),1,0)</f>
        <v>0</v>
      </c>
      <c r="D9" s="2">
        <f>IF(AND(VLOOKUP(D$1,test!$A$3:$I$32,8,FALSE)-VLOOKUP($A9,test!$A$3:$I$32,9,FALSE)&gt;=VLOOKUP(VLOOKUP(D$1, test!$A$3:$I$32,3,FALSE), test!$J$11:$K$14, 2, FALSE)),1,0)</f>
        <v>0</v>
      </c>
      <c r="E9" s="2">
        <f>IF(AND(VLOOKUP(E$1,test!$A$3:$I$32,8,FALSE)-VLOOKUP($A9,test!$A$3:$I$32,9,FALSE)&gt;=VLOOKUP(VLOOKUP(E$1, test!$A$3:$I$32,3,FALSE), test!$J$11:$K$14, 2, FALSE)),1,0)</f>
        <v>0</v>
      </c>
      <c r="F9" s="2">
        <f>IF(AND(VLOOKUP(F$1,test!$A$3:$I$32,8,FALSE)-VLOOKUP($A9,test!$A$3:$I$32,9,FALSE)&gt;=VLOOKUP(VLOOKUP(F$1, test!$A$3:$I$32,3,FALSE), test!$J$11:$K$14, 2, FALSE)),1,0)</f>
        <v>0</v>
      </c>
      <c r="G9" s="2">
        <f>IF(AND(VLOOKUP(G$1,test!$A$3:$I$32,8,FALSE)-VLOOKUP($A9,test!$A$3:$I$32,9,FALSE)&gt;=VLOOKUP(VLOOKUP(G$1, test!$A$3:$I$32,3,FALSE), test!$J$11:$K$14, 2, FALSE)),1,0)</f>
        <v>0</v>
      </c>
      <c r="H9" s="2">
        <f>IF(AND(VLOOKUP(H$1,test!$A$3:$I$32,8,FALSE)-VLOOKUP($A9,test!$A$3:$I$32,9,FALSE)&gt;=VLOOKUP(VLOOKUP(H$1, test!$A$3:$I$32,3,FALSE), test!$J$11:$K$14, 2, FALSE)),1,0)</f>
        <v>0</v>
      </c>
      <c r="I9" s="2">
        <f>IF(AND(VLOOKUP(I$1,test!$A$3:$I$32,8,FALSE)-VLOOKUP($A9,test!$A$3:$I$32,9,FALSE)&gt;=VLOOKUP(VLOOKUP(I$1, test!$A$3:$I$32,3,FALSE), test!$J$11:$K$14, 2, FALSE)),1,0)</f>
        <v>0</v>
      </c>
      <c r="J9" s="2">
        <f>IF(AND(VLOOKUP(J$1,test!$A$3:$I$32,8,FALSE)-VLOOKUP($A9,test!$A$3:$I$32,9,FALSE)&gt;=VLOOKUP(VLOOKUP(J$1, test!$A$3:$I$32,3,FALSE), test!$J$11:$K$14, 2, FALSE)),1,0)</f>
        <v>0</v>
      </c>
      <c r="K9" s="2">
        <f>IF(AND(VLOOKUP(K$1,test!$A$3:$I$32,8,FALSE)-VLOOKUP($A9,test!$A$3:$I$32,9,FALSE)&gt;=VLOOKUP(VLOOKUP(K$1, test!$A$3:$I$32,3,FALSE), test!$J$11:$K$14, 2, FALSE)),1,0)</f>
        <v>0</v>
      </c>
      <c r="L9" s="2">
        <f>IF(AND(VLOOKUP(L$1,test!$A$3:$I$32,8,FALSE)-VLOOKUP($A9,test!$A$3:$I$32,9,FALSE)&gt;=VLOOKUP(VLOOKUP(L$1, test!$A$3:$I$32,3,FALSE), test!$J$11:$K$14, 2, FALSE)),1,0)</f>
        <v>0</v>
      </c>
      <c r="M9" s="2">
        <f>IF(AND(VLOOKUP(M$1,test!$A$3:$I$32,8,FALSE)-VLOOKUP($A9,test!$A$3:$I$32,9,FALSE)&gt;=VLOOKUP(VLOOKUP(M$1, test!$A$3:$I$32,3,FALSE), test!$J$11:$K$14, 2, FALSE)),1,0)</f>
        <v>0</v>
      </c>
      <c r="N9" s="2">
        <f>IF(AND(VLOOKUP(N$1,test!$A$3:$I$32,8,FALSE)-VLOOKUP($A9,test!$A$3:$I$32,9,FALSE)&gt;=VLOOKUP(VLOOKUP(N$1, test!$A$3:$I$32,3,FALSE), test!$J$11:$K$14, 2, FALSE)),1,0)</f>
        <v>0</v>
      </c>
      <c r="O9" s="2">
        <f>IF(AND(VLOOKUP(O$1,test!$A$3:$I$32,8,FALSE)-VLOOKUP($A9,test!$A$3:$I$32,9,FALSE)&gt;=VLOOKUP(VLOOKUP(O$1, test!$A$3:$I$32,3,FALSE), test!$J$11:$K$14, 2, FALSE)),1,0)</f>
        <v>0</v>
      </c>
      <c r="P9" s="2">
        <f>IF(AND(VLOOKUP(P$1,test!$A$3:$I$32,8,FALSE)-VLOOKUP($A9,test!$A$3:$I$32,9,FALSE)&gt;=VLOOKUP(VLOOKUP(P$1, test!$A$3:$I$32,3,FALSE), test!$J$11:$K$14, 2, FALSE)),1,0)</f>
        <v>0</v>
      </c>
      <c r="Q9" s="2">
        <f>IF(AND(VLOOKUP(Q$1,test!$A$3:$I$32,8,FALSE)-VLOOKUP($A9,test!$A$3:$I$32,9,FALSE)&gt;=VLOOKUP(VLOOKUP(Q$1, test!$A$3:$I$32,3,FALSE), test!$J$11:$K$14, 2, FALSE)),1,0)</f>
        <v>0</v>
      </c>
      <c r="R9" s="2">
        <f>IF(AND(VLOOKUP(R$1,test!$A$3:$I$32,8,FALSE)-VLOOKUP($A9,test!$A$3:$I$32,9,FALSE)&gt;=VLOOKUP(VLOOKUP(R$1, test!$A$3:$I$32,3,FALSE), test!$J$11:$K$14, 2, FALSE)),1,0)</f>
        <v>0</v>
      </c>
      <c r="S9" s="2">
        <f>IF(AND(VLOOKUP(S$1,test!$A$3:$I$32,8,FALSE)-VLOOKUP($A9,test!$A$3:$I$32,9,FALSE)&gt;=VLOOKUP(VLOOKUP(S$1, test!$A$3:$I$32,3,FALSE), test!$J$11:$K$14, 2, FALSE)),1,0)</f>
        <v>0</v>
      </c>
      <c r="T9" s="2">
        <f>IF(AND(VLOOKUP(T$1,test!$A$3:$I$32,8,FALSE)-VLOOKUP($A9,test!$A$3:$I$32,9,FALSE)&gt;=VLOOKUP(VLOOKUP(T$1, test!$A$3:$I$32,3,FALSE), test!$J$11:$K$14, 2, FALSE)),1,0)</f>
        <v>0</v>
      </c>
      <c r="U9" s="2">
        <f>IF(AND(VLOOKUP(U$1,test!$A$3:$I$32,8,FALSE)-VLOOKUP($A9,test!$A$3:$I$32,9,FALSE)&gt;=VLOOKUP(VLOOKUP(U$1, test!$A$3:$I$32,3,FALSE), test!$J$11:$K$14, 2, FALSE)),1,0)</f>
        <v>0</v>
      </c>
      <c r="V9" s="2">
        <f>IF(AND(VLOOKUP(V$1,test!$A$3:$I$32,8,FALSE)-VLOOKUP($A9,test!$A$3:$I$32,9,FALSE)&gt;=VLOOKUP(VLOOKUP(V$1, test!$A$3:$I$32,3,FALSE), test!$J$11:$K$14, 2, FALSE)),1,0)</f>
        <v>0</v>
      </c>
      <c r="W9" s="2">
        <f>IF(AND(VLOOKUP(W$1,test!$A$3:$I$32,8,FALSE)-VLOOKUP($A9,test!$A$3:$I$32,9,FALSE)&gt;=VLOOKUP(VLOOKUP(W$1, test!$A$3:$I$32,3,FALSE), test!$J$11:$K$14, 2, FALSE)),1,0)</f>
        <v>0</v>
      </c>
      <c r="X9" s="2">
        <f>IF(AND(VLOOKUP(X$1,test!$A$3:$I$32,8,FALSE)-VLOOKUP($A9,test!$A$3:$I$32,9,FALSE)&gt;=VLOOKUP(VLOOKUP(X$1, test!$A$3:$I$32,3,FALSE), test!$J$11:$K$14, 2, FALSE)),1,0)</f>
        <v>0</v>
      </c>
      <c r="Y9" s="2">
        <f>IF(AND(VLOOKUP(Y$1,test!$A$3:$I$32,8,FALSE)-VLOOKUP($A9,test!$A$3:$I$32,9,FALSE)&gt;=VLOOKUP(VLOOKUP(Y$1, test!$A$3:$I$32,3,FALSE), test!$J$11:$K$14, 2, FALSE)),1,0)</f>
        <v>0</v>
      </c>
      <c r="Z9" s="2">
        <f>IF(AND(VLOOKUP(Z$1,test!$A$3:$I$32,8,FALSE)-VLOOKUP($A9,test!$A$3:$I$32,9,FALSE)&gt;=VLOOKUP(VLOOKUP(Z$1, test!$A$3:$I$32,3,FALSE), test!$J$11:$K$14, 2, FALSE)),1,0)</f>
        <v>0</v>
      </c>
      <c r="AA9" s="2">
        <f>IF(AND(VLOOKUP(AA$1,test!$A$3:$I$32,8,FALSE)-VLOOKUP($A9,test!$A$3:$I$32,9,FALSE)&gt;=VLOOKUP(VLOOKUP(AA$1, test!$A$3:$I$32,3,FALSE), test!$J$11:$K$14, 2, FALSE)),1,0)</f>
        <v>0</v>
      </c>
      <c r="AB9" s="2">
        <f>IF(AND(VLOOKUP(AB$1,test!$A$3:$I$32,8,FALSE)-VLOOKUP($A9,test!$A$3:$I$32,9,FALSE)&gt;=VLOOKUP(VLOOKUP(AB$1, test!$A$3:$I$32,3,FALSE), test!$J$11:$K$14, 2, FALSE)),1,0)</f>
        <v>0</v>
      </c>
      <c r="AC9" s="2">
        <f>IF(AND(VLOOKUP(AC$1,test!$A$3:$I$32,8,FALSE)-VLOOKUP($A9,test!$A$3:$I$32,9,FALSE)&gt;=VLOOKUP(VLOOKUP(AC$1, test!$A$3:$I$32,3,FALSE), test!$J$11:$K$14, 2, FALSE)),1,0)</f>
        <v>0</v>
      </c>
      <c r="AD9" s="2">
        <f>IF(AND(VLOOKUP(AD$1,test!$A$3:$I$32,8,FALSE)-VLOOKUP($A9,test!$A$3:$I$32,9,FALSE)&gt;=VLOOKUP(VLOOKUP(AD$1, test!$A$3:$I$32,3,FALSE), test!$J$11:$K$14, 2, FALSE)),1,0)</f>
        <v>0</v>
      </c>
      <c r="AE9" s="2">
        <f>IF(AND(VLOOKUP(AE$1,test!$A$3:$I$32,8,FALSE)-VLOOKUP($A9,test!$A$3:$I$32,9,FALSE)&gt;=VLOOKUP(VLOOKUP(AE$1, test!$A$3:$I$32,3,FALSE), test!$J$11:$K$14, 2, FALSE)),1,0)</f>
        <v>0</v>
      </c>
      <c r="AF9" s="2">
        <f>IF(AND(VLOOKUP(AF$1,test!$A$3:$I$32,8,FALSE)-VLOOKUP($A9,test!$A$3:$I$32,9,FALSE)&gt;=VLOOKUP(VLOOKUP(AF$1, test!$A$3:$I$32,3,FALSE), test!$J$11:$K$14, 2, FALSE)),1,0)</f>
        <v>0</v>
      </c>
    </row>
    <row r="10" spans="1:32" x14ac:dyDescent="0.25">
      <c r="A10" t="s">
        <v>15</v>
      </c>
      <c r="B10" s="3">
        <v>1</v>
      </c>
      <c r="C10" s="2">
        <f>IF(AND(VLOOKUP(C$1,test!$A$3:$I$32,8,FALSE)-VLOOKUP($A10,test!$A$3:$I$32,9,FALSE)&gt;=VLOOKUP(VLOOKUP(C$1, test!$A$3:$I$32,3,FALSE), test!$J$11:$K$14, 2, FALSE)),1,0)</f>
        <v>0</v>
      </c>
      <c r="D10" s="2">
        <f>IF(AND(VLOOKUP(D$1,test!$A$3:$I$32,8,FALSE)-VLOOKUP($A10,test!$A$3:$I$32,9,FALSE)&gt;=VLOOKUP(VLOOKUP(D$1, test!$A$3:$I$32,3,FALSE), test!$J$11:$K$14, 2, FALSE)),1,0)</f>
        <v>0</v>
      </c>
      <c r="E10" s="2">
        <f>IF(AND(VLOOKUP(E$1,test!$A$3:$I$32,8,FALSE)-VLOOKUP($A10,test!$A$3:$I$32,9,FALSE)&gt;=VLOOKUP(VLOOKUP(E$1, test!$A$3:$I$32,3,FALSE), test!$J$11:$K$14, 2, FALSE)),1,0)</f>
        <v>0</v>
      </c>
      <c r="F10" s="2">
        <f>IF(AND(VLOOKUP(F$1,test!$A$3:$I$32,8,FALSE)-VLOOKUP($A10,test!$A$3:$I$32,9,FALSE)&gt;=VLOOKUP(VLOOKUP(F$1, test!$A$3:$I$32,3,FALSE), test!$J$11:$K$14, 2, FALSE)),1,0)</f>
        <v>0</v>
      </c>
      <c r="G10" s="2">
        <f>IF(AND(VLOOKUP(G$1,test!$A$3:$I$32,8,FALSE)-VLOOKUP($A10,test!$A$3:$I$32,9,FALSE)&gt;=VLOOKUP(VLOOKUP(G$1, test!$A$3:$I$32,3,FALSE), test!$J$11:$K$14, 2, FALSE)),1,0)</f>
        <v>0</v>
      </c>
      <c r="H10" s="2">
        <f>IF(AND(VLOOKUP(H$1,test!$A$3:$I$32,8,FALSE)-VLOOKUP($A10,test!$A$3:$I$32,9,FALSE)&gt;=VLOOKUP(VLOOKUP(H$1, test!$A$3:$I$32,3,FALSE), test!$J$11:$K$14, 2, FALSE)),1,0)</f>
        <v>0</v>
      </c>
      <c r="I10" s="2">
        <f>IF(AND(VLOOKUP(I$1,test!$A$3:$I$32,8,FALSE)-VLOOKUP($A10,test!$A$3:$I$32,9,FALSE)&gt;=VLOOKUP(VLOOKUP(I$1, test!$A$3:$I$32,3,FALSE), test!$J$11:$K$14, 2, FALSE)),1,0)</f>
        <v>0</v>
      </c>
      <c r="J10" s="2">
        <f>IF(AND(VLOOKUP(J$1,test!$A$3:$I$32,8,FALSE)-VLOOKUP($A10,test!$A$3:$I$32,9,FALSE)&gt;=VLOOKUP(VLOOKUP(J$1, test!$A$3:$I$32,3,FALSE), test!$J$11:$K$14, 2, FALSE)),1,0)</f>
        <v>0</v>
      </c>
      <c r="K10" s="2">
        <f>IF(AND(VLOOKUP(K$1,test!$A$3:$I$32,8,FALSE)-VLOOKUP($A10,test!$A$3:$I$32,9,FALSE)&gt;=VLOOKUP(VLOOKUP(K$1, test!$A$3:$I$32,3,FALSE), test!$J$11:$K$14, 2, FALSE)),1,0)</f>
        <v>0</v>
      </c>
      <c r="L10" s="2">
        <f>IF(AND(VLOOKUP(L$1,test!$A$3:$I$32,8,FALSE)-VLOOKUP($A10,test!$A$3:$I$32,9,FALSE)&gt;=VLOOKUP(VLOOKUP(L$1, test!$A$3:$I$32,3,FALSE), test!$J$11:$K$14, 2, FALSE)),1,0)</f>
        <v>0</v>
      </c>
      <c r="M10" s="2">
        <f>IF(AND(VLOOKUP(M$1,test!$A$3:$I$32,8,FALSE)-VLOOKUP($A10,test!$A$3:$I$32,9,FALSE)&gt;=VLOOKUP(VLOOKUP(M$1, test!$A$3:$I$32,3,FALSE), test!$J$11:$K$14, 2, FALSE)),1,0)</f>
        <v>0</v>
      </c>
      <c r="N10" s="2">
        <f>IF(AND(VLOOKUP(N$1,test!$A$3:$I$32,8,FALSE)-VLOOKUP($A10,test!$A$3:$I$32,9,FALSE)&gt;=VLOOKUP(VLOOKUP(N$1, test!$A$3:$I$32,3,FALSE), test!$J$11:$K$14, 2, FALSE)),1,0)</f>
        <v>0</v>
      </c>
      <c r="O10" s="2">
        <f>IF(AND(VLOOKUP(O$1,test!$A$3:$I$32,8,FALSE)-VLOOKUP($A10,test!$A$3:$I$32,9,FALSE)&gt;=VLOOKUP(VLOOKUP(O$1, test!$A$3:$I$32,3,FALSE), test!$J$11:$K$14, 2, FALSE)),1,0)</f>
        <v>0</v>
      </c>
      <c r="P10" s="2">
        <f>IF(AND(VLOOKUP(P$1,test!$A$3:$I$32,8,FALSE)-VLOOKUP($A10,test!$A$3:$I$32,9,FALSE)&gt;=VLOOKUP(VLOOKUP(P$1, test!$A$3:$I$32,3,FALSE), test!$J$11:$K$14, 2, FALSE)),1,0)</f>
        <v>0</v>
      </c>
      <c r="Q10" s="2">
        <f>IF(AND(VLOOKUP(Q$1,test!$A$3:$I$32,8,FALSE)-VLOOKUP($A10,test!$A$3:$I$32,9,FALSE)&gt;=VLOOKUP(VLOOKUP(Q$1, test!$A$3:$I$32,3,FALSE), test!$J$11:$K$14, 2, FALSE)),1,0)</f>
        <v>0</v>
      </c>
      <c r="R10" s="2">
        <f>IF(AND(VLOOKUP(R$1,test!$A$3:$I$32,8,FALSE)-VLOOKUP($A10,test!$A$3:$I$32,9,FALSE)&gt;=VLOOKUP(VLOOKUP(R$1, test!$A$3:$I$32,3,FALSE), test!$J$11:$K$14, 2, FALSE)),1,0)</f>
        <v>0</v>
      </c>
      <c r="S10" s="2">
        <f>IF(AND(VLOOKUP(S$1,test!$A$3:$I$32,8,FALSE)-VLOOKUP($A10,test!$A$3:$I$32,9,FALSE)&gt;=VLOOKUP(VLOOKUP(S$1, test!$A$3:$I$32,3,FALSE), test!$J$11:$K$14, 2, FALSE)),1,0)</f>
        <v>0</v>
      </c>
      <c r="T10" s="2">
        <f>IF(AND(VLOOKUP(T$1,test!$A$3:$I$32,8,FALSE)-VLOOKUP($A10,test!$A$3:$I$32,9,FALSE)&gt;=VLOOKUP(VLOOKUP(T$1, test!$A$3:$I$32,3,FALSE), test!$J$11:$K$14, 2, FALSE)),1,0)</f>
        <v>0</v>
      </c>
      <c r="U10" s="2">
        <f>IF(AND(VLOOKUP(U$1,test!$A$3:$I$32,8,FALSE)-VLOOKUP($A10,test!$A$3:$I$32,9,FALSE)&gt;=VLOOKUP(VLOOKUP(U$1, test!$A$3:$I$32,3,FALSE), test!$J$11:$K$14, 2, FALSE)),1,0)</f>
        <v>0</v>
      </c>
      <c r="V10" s="2">
        <f>IF(AND(VLOOKUP(V$1,test!$A$3:$I$32,8,FALSE)-VLOOKUP($A10,test!$A$3:$I$32,9,FALSE)&gt;=VLOOKUP(VLOOKUP(V$1, test!$A$3:$I$32,3,FALSE), test!$J$11:$K$14, 2, FALSE)),1,0)</f>
        <v>0</v>
      </c>
      <c r="W10" s="2">
        <f>IF(AND(VLOOKUP(W$1,test!$A$3:$I$32,8,FALSE)-VLOOKUP($A10,test!$A$3:$I$32,9,FALSE)&gt;=VLOOKUP(VLOOKUP(W$1, test!$A$3:$I$32,3,FALSE), test!$J$11:$K$14, 2, FALSE)),1,0)</f>
        <v>0</v>
      </c>
      <c r="X10" s="2">
        <f>IF(AND(VLOOKUP(X$1,test!$A$3:$I$32,8,FALSE)-VLOOKUP($A10,test!$A$3:$I$32,9,FALSE)&gt;=VLOOKUP(VLOOKUP(X$1, test!$A$3:$I$32,3,FALSE), test!$J$11:$K$14, 2, FALSE)),1,0)</f>
        <v>0</v>
      </c>
      <c r="Y10" s="2">
        <f>IF(AND(VLOOKUP(Y$1,test!$A$3:$I$32,8,FALSE)-VLOOKUP($A10,test!$A$3:$I$32,9,FALSE)&gt;=VLOOKUP(VLOOKUP(Y$1, test!$A$3:$I$32,3,FALSE), test!$J$11:$K$14, 2, FALSE)),1,0)</f>
        <v>0</v>
      </c>
      <c r="Z10" s="2">
        <f>IF(AND(VLOOKUP(Z$1,test!$A$3:$I$32,8,FALSE)-VLOOKUP($A10,test!$A$3:$I$32,9,FALSE)&gt;=VLOOKUP(VLOOKUP(Z$1, test!$A$3:$I$32,3,FALSE), test!$J$11:$K$14, 2, FALSE)),1,0)</f>
        <v>0</v>
      </c>
      <c r="AA10" s="2">
        <f>IF(AND(VLOOKUP(AA$1,test!$A$3:$I$32,8,FALSE)-VLOOKUP($A10,test!$A$3:$I$32,9,FALSE)&gt;=VLOOKUP(VLOOKUP(AA$1, test!$A$3:$I$32,3,FALSE), test!$J$11:$K$14, 2, FALSE)),1,0)</f>
        <v>0</v>
      </c>
      <c r="AB10" s="2">
        <f>IF(AND(VLOOKUP(AB$1,test!$A$3:$I$32,8,FALSE)-VLOOKUP($A10,test!$A$3:$I$32,9,FALSE)&gt;=VLOOKUP(VLOOKUP(AB$1, test!$A$3:$I$32,3,FALSE), test!$J$11:$K$14, 2, FALSE)),1,0)</f>
        <v>0</v>
      </c>
      <c r="AC10" s="2">
        <f>IF(AND(VLOOKUP(AC$1,test!$A$3:$I$32,8,FALSE)-VLOOKUP($A10,test!$A$3:$I$32,9,FALSE)&gt;=VLOOKUP(VLOOKUP(AC$1, test!$A$3:$I$32,3,FALSE), test!$J$11:$K$14, 2, FALSE)),1,0)</f>
        <v>0</v>
      </c>
      <c r="AD10" s="2">
        <f>IF(AND(VLOOKUP(AD$1,test!$A$3:$I$32,8,FALSE)-VLOOKUP($A10,test!$A$3:$I$32,9,FALSE)&gt;=VLOOKUP(VLOOKUP(AD$1, test!$A$3:$I$32,3,FALSE), test!$J$11:$K$14, 2, FALSE)),1,0)</f>
        <v>0</v>
      </c>
      <c r="AE10" s="2">
        <f>IF(AND(VLOOKUP(AE$1,test!$A$3:$I$32,8,FALSE)-VLOOKUP($A10,test!$A$3:$I$32,9,FALSE)&gt;=VLOOKUP(VLOOKUP(AE$1, test!$A$3:$I$32,3,FALSE), test!$J$11:$K$14, 2, FALSE)),1,0)</f>
        <v>0</v>
      </c>
      <c r="AF10" s="2">
        <f>IF(AND(VLOOKUP(AF$1,test!$A$3:$I$32,8,FALSE)-VLOOKUP($A10,test!$A$3:$I$32,9,FALSE)&gt;=VLOOKUP(VLOOKUP(AF$1, test!$A$3:$I$32,3,FALSE), test!$J$11:$K$14, 2, FALSE)),1,0)</f>
        <v>0</v>
      </c>
    </row>
    <row r="11" spans="1:32" x14ac:dyDescent="0.25">
      <c r="A11" t="s">
        <v>18</v>
      </c>
      <c r="B11" s="3">
        <v>1</v>
      </c>
      <c r="C11" s="2">
        <f>IF(AND(VLOOKUP(C$1,test!$A$3:$I$32,8,FALSE)-VLOOKUP($A11,test!$A$3:$I$32,9,FALSE)&gt;=VLOOKUP(VLOOKUP(C$1, test!$A$3:$I$32,3,FALSE), test!$J$11:$K$14, 2, FALSE)),1,0)</f>
        <v>0</v>
      </c>
      <c r="D11" s="2">
        <f>IF(AND(VLOOKUP(D$1,test!$A$3:$I$32,8,FALSE)-VLOOKUP($A11,test!$A$3:$I$32,9,FALSE)&gt;=VLOOKUP(VLOOKUP(D$1, test!$A$3:$I$32,3,FALSE), test!$J$11:$K$14, 2, FALSE)),1,0)</f>
        <v>1</v>
      </c>
      <c r="E11" s="2">
        <f>IF(AND(VLOOKUP(E$1,test!$A$3:$I$32,8,FALSE)-VLOOKUP($A11,test!$A$3:$I$32,9,FALSE)&gt;=VLOOKUP(VLOOKUP(E$1, test!$A$3:$I$32,3,FALSE), test!$J$11:$K$14, 2, FALSE)),1,0)</f>
        <v>1</v>
      </c>
      <c r="F11" s="2">
        <f>IF(AND(VLOOKUP(F$1,test!$A$3:$I$32,8,FALSE)-VLOOKUP($A11,test!$A$3:$I$32,9,FALSE)&gt;=VLOOKUP(VLOOKUP(F$1, test!$A$3:$I$32,3,FALSE), test!$J$11:$K$14, 2, FALSE)),1,0)</f>
        <v>1</v>
      </c>
      <c r="G11" s="2">
        <f>IF(AND(VLOOKUP(G$1,test!$A$3:$I$32,8,FALSE)-VLOOKUP($A11,test!$A$3:$I$32,9,FALSE)&gt;=VLOOKUP(VLOOKUP(G$1, test!$A$3:$I$32,3,FALSE), test!$J$11:$K$14, 2, FALSE)),1,0)</f>
        <v>1</v>
      </c>
      <c r="H11" s="2">
        <f>IF(AND(VLOOKUP(H$1,test!$A$3:$I$32,8,FALSE)-VLOOKUP($A11,test!$A$3:$I$32,9,FALSE)&gt;=VLOOKUP(VLOOKUP(H$1, test!$A$3:$I$32,3,FALSE), test!$J$11:$K$14, 2, FALSE)),1,0)</f>
        <v>1</v>
      </c>
      <c r="I11" s="2">
        <f>IF(AND(VLOOKUP(I$1,test!$A$3:$I$32,8,FALSE)-VLOOKUP($A11,test!$A$3:$I$32,9,FALSE)&gt;=VLOOKUP(VLOOKUP(I$1, test!$A$3:$I$32,3,FALSE), test!$J$11:$K$14, 2, FALSE)),1,0)</f>
        <v>1</v>
      </c>
      <c r="J11" s="2">
        <f>IF(AND(VLOOKUP(J$1,test!$A$3:$I$32,8,FALSE)-VLOOKUP($A11,test!$A$3:$I$32,9,FALSE)&gt;=VLOOKUP(VLOOKUP(J$1, test!$A$3:$I$32,3,FALSE), test!$J$11:$K$14, 2, FALSE)),1,0)</f>
        <v>1</v>
      </c>
      <c r="K11" s="2">
        <f>IF(AND(VLOOKUP(K$1,test!$A$3:$I$32,8,FALSE)-VLOOKUP($A11,test!$A$3:$I$32,9,FALSE)&gt;=VLOOKUP(VLOOKUP(K$1, test!$A$3:$I$32,3,FALSE), test!$J$11:$K$14, 2, FALSE)),1,0)</f>
        <v>0</v>
      </c>
      <c r="L11" s="2">
        <f>IF(AND(VLOOKUP(L$1,test!$A$3:$I$32,8,FALSE)-VLOOKUP($A11,test!$A$3:$I$32,9,FALSE)&gt;=VLOOKUP(VLOOKUP(L$1, test!$A$3:$I$32,3,FALSE), test!$J$11:$K$14, 2, FALSE)),1,0)</f>
        <v>0</v>
      </c>
      <c r="M11" s="2">
        <f>IF(AND(VLOOKUP(M$1,test!$A$3:$I$32,8,FALSE)-VLOOKUP($A11,test!$A$3:$I$32,9,FALSE)&gt;=VLOOKUP(VLOOKUP(M$1, test!$A$3:$I$32,3,FALSE), test!$J$11:$K$14, 2, FALSE)),1,0)</f>
        <v>1</v>
      </c>
      <c r="N11" s="2">
        <f>IF(AND(VLOOKUP(N$1,test!$A$3:$I$32,8,FALSE)-VLOOKUP($A11,test!$A$3:$I$32,9,FALSE)&gt;=VLOOKUP(VLOOKUP(N$1, test!$A$3:$I$32,3,FALSE), test!$J$11:$K$14, 2, FALSE)),1,0)</f>
        <v>1</v>
      </c>
      <c r="O11" s="2">
        <f>IF(AND(VLOOKUP(O$1,test!$A$3:$I$32,8,FALSE)-VLOOKUP($A11,test!$A$3:$I$32,9,FALSE)&gt;=VLOOKUP(VLOOKUP(O$1, test!$A$3:$I$32,3,FALSE), test!$J$11:$K$14, 2, FALSE)),1,0)</f>
        <v>1</v>
      </c>
      <c r="P11" s="2">
        <f>IF(AND(VLOOKUP(P$1,test!$A$3:$I$32,8,FALSE)-VLOOKUP($A11,test!$A$3:$I$32,9,FALSE)&gt;=VLOOKUP(VLOOKUP(P$1, test!$A$3:$I$32,3,FALSE), test!$J$11:$K$14, 2, FALSE)),1,0)</f>
        <v>0</v>
      </c>
      <c r="Q11" s="2">
        <f>IF(AND(VLOOKUP(Q$1,test!$A$3:$I$32,8,FALSE)-VLOOKUP($A11,test!$A$3:$I$32,9,FALSE)&gt;=VLOOKUP(VLOOKUP(Q$1, test!$A$3:$I$32,3,FALSE), test!$J$11:$K$14, 2, FALSE)),1,0)</f>
        <v>0</v>
      </c>
      <c r="R11" s="2">
        <f>IF(AND(VLOOKUP(R$1,test!$A$3:$I$32,8,FALSE)-VLOOKUP($A11,test!$A$3:$I$32,9,FALSE)&gt;=VLOOKUP(VLOOKUP(R$1, test!$A$3:$I$32,3,FALSE), test!$J$11:$K$14, 2, FALSE)),1,0)</f>
        <v>0</v>
      </c>
      <c r="S11" s="2">
        <f>IF(AND(VLOOKUP(S$1,test!$A$3:$I$32,8,FALSE)-VLOOKUP($A11,test!$A$3:$I$32,9,FALSE)&gt;=VLOOKUP(VLOOKUP(S$1, test!$A$3:$I$32,3,FALSE), test!$J$11:$K$14, 2, FALSE)),1,0)</f>
        <v>1</v>
      </c>
      <c r="T11" s="2">
        <f>IF(AND(VLOOKUP(T$1,test!$A$3:$I$32,8,FALSE)-VLOOKUP($A11,test!$A$3:$I$32,9,FALSE)&gt;=VLOOKUP(VLOOKUP(T$1, test!$A$3:$I$32,3,FALSE), test!$J$11:$K$14, 2, FALSE)),1,0)</f>
        <v>1</v>
      </c>
      <c r="U11" s="2">
        <f>IF(AND(VLOOKUP(U$1,test!$A$3:$I$32,8,FALSE)-VLOOKUP($A11,test!$A$3:$I$32,9,FALSE)&gt;=VLOOKUP(VLOOKUP(U$1, test!$A$3:$I$32,3,FALSE), test!$J$11:$K$14, 2, FALSE)),1,0)</f>
        <v>1</v>
      </c>
      <c r="V11" s="2">
        <f>IF(AND(VLOOKUP(V$1,test!$A$3:$I$32,8,FALSE)-VLOOKUP($A11,test!$A$3:$I$32,9,FALSE)&gt;=VLOOKUP(VLOOKUP(V$1, test!$A$3:$I$32,3,FALSE), test!$J$11:$K$14, 2, FALSE)),1,0)</f>
        <v>1</v>
      </c>
      <c r="W11" s="2">
        <f>IF(AND(VLOOKUP(W$1,test!$A$3:$I$32,8,FALSE)-VLOOKUP($A11,test!$A$3:$I$32,9,FALSE)&gt;=VLOOKUP(VLOOKUP(W$1, test!$A$3:$I$32,3,FALSE), test!$J$11:$K$14, 2, FALSE)),1,0)</f>
        <v>1</v>
      </c>
      <c r="X11" s="2">
        <f>IF(AND(VLOOKUP(X$1,test!$A$3:$I$32,8,FALSE)-VLOOKUP($A11,test!$A$3:$I$32,9,FALSE)&gt;=VLOOKUP(VLOOKUP(X$1, test!$A$3:$I$32,3,FALSE), test!$J$11:$K$14, 2, FALSE)),1,0)</f>
        <v>1</v>
      </c>
      <c r="Y11" s="2">
        <f>IF(AND(VLOOKUP(Y$1,test!$A$3:$I$32,8,FALSE)-VLOOKUP($A11,test!$A$3:$I$32,9,FALSE)&gt;=VLOOKUP(VLOOKUP(Y$1, test!$A$3:$I$32,3,FALSE), test!$J$11:$K$14, 2, FALSE)),1,0)</f>
        <v>0</v>
      </c>
      <c r="Z11" s="2">
        <f>IF(AND(VLOOKUP(Z$1,test!$A$3:$I$32,8,FALSE)-VLOOKUP($A11,test!$A$3:$I$32,9,FALSE)&gt;=VLOOKUP(VLOOKUP(Z$1, test!$A$3:$I$32,3,FALSE), test!$J$11:$K$14, 2, FALSE)),1,0)</f>
        <v>1</v>
      </c>
      <c r="AA11" s="2">
        <f>IF(AND(VLOOKUP(AA$1,test!$A$3:$I$32,8,FALSE)-VLOOKUP($A11,test!$A$3:$I$32,9,FALSE)&gt;=VLOOKUP(VLOOKUP(AA$1, test!$A$3:$I$32,3,FALSE), test!$J$11:$K$14, 2, FALSE)),1,0)</f>
        <v>1</v>
      </c>
      <c r="AB11" s="2">
        <f>IF(AND(VLOOKUP(AB$1,test!$A$3:$I$32,8,FALSE)-VLOOKUP($A11,test!$A$3:$I$32,9,FALSE)&gt;=VLOOKUP(VLOOKUP(AB$1, test!$A$3:$I$32,3,FALSE), test!$J$11:$K$14, 2, FALSE)),1,0)</f>
        <v>1</v>
      </c>
      <c r="AC11" s="2">
        <f>IF(AND(VLOOKUP(AC$1,test!$A$3:$I$32,8,FALSE)-VLOOKUP($A11,test!$A$3:$I$32,9,FALSE)&gt;=VLOOKUP(VLOOKUP(AC$1, test!$A$3:$I$32,3,FALSE), test!$J$11:$K$14, 2, FALSE)),1,0)</f>
        <v>1</v>
      </c>
      <c r="AD11" s="2">
        <f>IF(AND(VLOOKUP(AD$1,test!$A$3:$I$32,8,FALSE)-VLOOKUP($A11,test!$A$3:$I$32,9,FALSE)&gt;=VLOOKUP(VLOOKUP(AD$1, test!$A$3:$I$32,3,FALSE), test!$J$11:$K$14, 2, FALSE)),1,0)</f>
        <v>0</v>
      </c>
      <c r="AE11" s="2">
        <f>IF(AND(VLOOKUP(AE$1,test!$A$3:$I$32,8,FALSE)-VLOOKUP($A11,test!$A$3:$I$32,9,FALSE)&gt;=VLOOKUP(VLOOKUP(AE$1, test!$A$3:$I$32,3,FALSE), test!$J$11:$K$14, 2, FALSE)),1,0)</f>
        <v>1</v>
      </c>
      <c r="AF11" s="2">
        <f>IF(AND(VLOOKUP(AF$1,test!$A$3:$I$32,8,FALSE)-VLOOKUP($A11,test!$A$3:$I$32,9,FALSE)&gt;=VLOOKUP(VLOOKUP(AF$1, test!$A$3:$I$32,3,FALSE), test!$J$11:$K$14, 2, FALSE)),1,0)</f>
        <v>1</v>
      </c>
    </row>
    <row r="12" spans="1:32" x14ac:dyDescent="0.25">
      <c r="A12" t="s">
        <v>20</v>
      </c>
      <c r="B12" s="3">
        <v>1</v>
      </c>
      <c r="C12" s="2">
        <f>IF(AND(VLOOKUP(C$1,test!$A$3:$I$32,8,FALSE)-VLOOKUP($A12,test!$A$3:$I$32,9,FALSE)&gt;=VLOOKUP(VLOOKUP(C$1, test!$A$3:$I$32,3,FALSE), test!$J$11:$K$14, 2, FALSE)),1,0)</f>
        <v>0</v>
      </c>
      <c r="D12" s="2">
        <f>IF(AND(VLOOKUP(D$1,test!$A$3:$I$32,8,FALSE)-VLOOKUP($A12,test!$A$3:$I$32,9,FALSE)&gt;=VLOOKUP(VLOOKUP(D$1, test!$A$3:$I$32,3,FALSE), test!$J$11:$K$14, 2, FALSE)),1,0)</f>
        <v>0</v>
      </c>
      <c r="E12" s="2">
        <f>IF(AND(VLOOKUP(E$1,test!$A$3:$I$32,8,FALSE)-VLOOKUP($A12,test!$A$3:$I$32,9,FALSE)&gt;=VLOOKUP(VLOOKUP(E$1, test!$A$3:$I$32,3,FALSE), test!$J$11:$K$14, 2, FALSE)),1,0)</f>
        <v>1</v>
      </c>
      <c r="F12" s="2">
        <f>IF(AND(VLOOKUP(F$1,test!$A$3:$I$32,8,FALSE)-VLOOKUP($A12,test!$A$3:$I$32,9,FALSE)&gt;=VLOOKUP(VLOOKUP(F$1, test!$A$3:$I$32,3,FALSE), test!$J$11:$K$14, 2, FALSE)),1,0)</f>
        <v>1</v>
      </c>
      <c r="G12" s="2">
        <f>IF(AND(VLOOKUP(G$1,test!$A$3:$I$32,8,FALSE)-VLOOKUP($A12,test!$A$3:$I$32,9,FALSE)&gt;=VLOOKUP(VLOOKUP(G$1, test!$A$3:$I$32,3,FALSE), test!$J$11:$K$14, 2, FALSE)),1,0)</f>
        <v>1</v>
      </c>
      <c r="H12" s="2">
        <f>IF(AND(VLOOKUP(H$1,test!$A$3:$I$32,8,FALSE)-VLOOKUP($A12,test!$A$3:$I$32,9,FALSE)&gt;=VLOOKUP(VLOOKUP(H$1, test!$A$3:$I$32,3,FALSE), test!$J$11:$K$14, 2, FALSE)),1,0)</f>
        <v>1</v>
      </c>
      <c r="I12" s="2">
        <f>IF(AND(VLOOKUP(I$1,test!$A$3:$I$32,8,FALSE)-VLOOKUP($A12,test!$A$3:$I$32,9,FALSE)&gt;=VLOOKUP(VLOOKUP(I$1, test!$A$3:$I$32,3,FALSE), test!$J$11:$K$14, 2, FALSE)),1,0)</f>
        <v>1</v>
      </c>
      <c r="J12" s="2">
        <f>IF(AND(VLOOKUP(J$1,test!$A$3:$I$32,8,FALSE)-VLOOKUP($A12,test!$A$3:$I$32,9,FALSE)&gt;=VLOOKUP(VLOOKUP(J$1, test!$A$3:$I$32,3,FALSE), test!$J$11:$K$14, 2, FALSE)),1,0)</f>
        <v>1</v>
      </c>
      <c r="K12" s="2">
        <f>IF(AND(VLOOKUP(K$1,test!$A$3:$I$32,8,FALSE)-VLOOKUP($A12,test!$A$3:$I$32,9,FALSE)&gt;=VLOOKUP(VLOOKUP(K$1, test!$A$3:$I$32,3,FALSE), test!$J$11:$K$14, 2, FALSE)),1,0)</f>
        <v>0</v>
      </c>
      <c r="L12" s="2">
        <f>IF(AND(VLOOKUP(L$1,test!$A$3:$I$32,8,FALSE)-VLOOKUP($A12,test!$A$3:$I$32,9,FALSE)&gt;=VLOOKUP(VLOOKUP(L$1, test!$A$3:$I$32,3,FALSE), test!$J$11:$K$14, 2, FALSE)),1,0)</f>
        <v>0</v>
      </c>
      <c r="M12" s="2">
        <f>IF(AND(VLOOKUP(M$1,test!$A$3:$I$32,8,FALSE)-VLOOKUP($A12,test!$A$3:$I$32,9,FALSE)&gt;=VLOOKUP(VLOOKUP(M$1, test!$A$3:$I$32,3,FALSE), test!$J$11:$K$14, 2, FALSE)),1,0)</f>
        <v>0</v>
      </c>
      <c r="N12" s="2">
        <f>IF(AND(VLOOKUP(N$1,test!$A$3:$I$32,8,FALSE)-VLOOKUP($A12,test!$A$3:$I$32,9,FALSE)&gt;=VLOOKUP(VLOOKUP(N$1, test!$A$3:$I$32,3,FALSE), test!$J$11:$K$14, 2, FALSE)),1,0)</f>
        <v>1</v>
      </c>
      <c r="O12" s="2">
        <f>IF(AND(VLOOKUP(O$1,test!$A$3:$I$32,8,FALSE)-VLOOKUP($A12,test!$A$3:$I$32,9,FALSE)&gt;=VLOOKUP(VLOOKUP(O$1, test!$A$3:$I$32,3,FALSE), test!$J$11:$K$14, 2, FALSE)),1,0)</f>
        <v>1</v>
      </c>
      <c r="P12" s="2">
        <f>IF(AND(VLOOKUP(P$1,test!$A$3:$I$32,8,FALSE)-VLOOKUP($A12,test!$A$3:$I$32,9,FALSE)&gt;=VLOOKUP(VLOOKUP(P$1, test!$A$3:$I$32,3,FALSE), test!$J$11:$K$14, 2, FALSE)),1,0)</f>
        <v>0</v>
      </c>
      <c r="Q12" s="2">
        <f>IF(AND(VLOOKUP(Q$1,test!$A$3:$I$32,8,FALSE)-VLOOKUP($A12,test!$A$3:$I$32,9,FALSE)&gt;=VLOOKUP(VLOOKUP(Q$1, test!$A$3:$I$32,3,FALSE), test!$J$11:$K$14, 2, FALSE)),1,0)</f>
        <v>0</v>
      </c>
      <c r="R12" s="2">
        <f>IF(AND(VLOOKUP(R$1,test!$A$3:$I$32,8,FALSE)-VLOOKUP($A12,test!$A$3:$I$32,9,FALSE)&gt;=VLOOKUP(VLOOKUP(R$1, test!$A$3:$I$32,3,FALSE), test!$J$11:$K$14, 2, FALSE)),1,0)</f>
        <v>0</v>
      </c>
      <c r="S12" s="2">
        <f>IF(AND(VLOOKUP(S$1,test!$A$3:$I$32,8,FALSE)-VLOOKUP($A12,test!$A$3:$I$32,9,FALSE)&gt;=VLOOKUP(VLOOKUP(S$1, test!$A$3:$I$32,3,FALSE), test!$J$11:$K$14, 2, FALSE)),1,0)</f>
        <v>0</v>
      </c>
      <c r="T12" s="2">
        <f>IF(AND(VLOOKUP(T$1,test!$A$3:$I$32,8,FALSE)-VLOOKUP($A12,test!$A$3:$I$32,9,FALSE)&gt;=VLOOKUP(VLOOKUP(T$1, test!$A$3:$I$32,3,FALSE), test!$J$11:$K$14, 2, FALSE)),1,0)</f>
        <v>0</v>
      </c>
      <c r="U12" s="2">
        <f>IF(AND(VLOOKUP(U$1,test!$A$3:$I$32,8,FALSE)-VLOOKUP($A12,test!$A$3:$I$32,9,FALSE)&gt;=VLOOKUP(VLOOKUP(U$1, test!$A$3:$I$32,3,FALSE), test!$J$11:$K$14, 2, FALSE)),1,0)</f>
        <v>1</v>
      </c>
      <c r="V12" s="2">
        <f>IF(AND(VLOOKUP(V$1,test!$A$3:$I$32,8,FALSE)-VLOOKUP($A12,test!$A$3:$I$32,9,FALSE)&gt;=VLOOKUP(VLOOKUP(V$1, test!$A$3:$I$32,3,FALSE), test!$J$11:$K$14, 2, FALSE)),1,0)</f>
        <v>1</v>
      </c>
      <c r="W12" s="2">
        <f>IF(AND(VLOOKUP(W$1,test!$A$3:$I$32,8,FALSE)-VLOOKUP($A12,test!$A$3:$I$32,9,FALSE)&gt;=VLOOKUP(VLOOKUP(W$1, test!$A$3:$I$32,3,FALSE), test!$J$11:$K$14, 2, FALSE)),1,0)</f>
        <v>1</v>
      </c>
      <c r="X12" s="2">
        <f>IF(AND(VLOOKUP(X$1,test!$A$3:$I$32,8,FALSE)-VLOOKUP($A12,test!$A$3:$I$32,9,FALSE)&gt;=VLOOKUP(VLOOKUP(X$1, test!$A$3:$I$32,3,FALSE), test!$J$11:$K$14, 2, FALSE)),1,0)</f>
        <v>1</v>
      </c>
      <c r="Y12" s="2">
        <f>IF(AND(VLOOKUP(Y$1,test!$A$3:$I$32,8,FALSE)-VLOOKUP($A12,test!$A$3:$I$32,9,FALSE)&gt;=VLOOKUP(VLOOKUP(Y$1, test!$A$3:$I$32,3,FALSE), test!$J$11:$K$14, 2, FALSE)),1,0)</f>
        <v>0</v>
      </c>
      <c r="Z12" s="2">
        <f>IF(AND(VLOOKUP(Z$1,test!$A$3:$I$32,8,FALSE)-VLOOKUP($A12,test!$A$3:$I$32,9,FALSE)&gt;=VLOOKUP(VLOOKUP(Z$1, test!$A$3:$I$32,3,FALSE), test!$J$11:$K$14, 2, FALSE)),1,0)</f>
        <v>0</v>
      </c>
      <c r="AA12" s="2">
        <f>IF(AND(VLOOKUP(AA$1,test!$A$3:$I$32,8,FALSE)-VLOOKUP($A12,test!$A$3:$I$32,9,FALSE)&gt;=VLOOKUP(VLOOKUP(AA$1, test!$A$3:$I$32,3,FALSE), test!$J$11:$K$14, 2, FALSE)),1,0)</f>
        <v>1</v>
      </c>
      <c r="AB12" s="2">
        <f>IF(AND(VLOOKUP(AB$1,test!$A$3:$I$32,8,FALSE)-VLOOKUP($A12,test!$A$3:$I$32,9,FALSE)&gt;=VLOOKUP(VLOOKUP(AB$1, test!$A$3:$I$32,3,FALSE), test!$J$11:$K$14, 2, FALSE)),1,0)</f>
        <v>1</v>
      </c>
      <c r="AC12" s="2">
        <f>IF(AND(VLOOKUP(AC$1,test!$A$3:$I$32,8,FALSE)-VLOOKUP($A12,test!$A$3:$I$32,9,FALSE)&gt;=VLOOKUP(VLOOKUP(AC$1, test!$A$3:$I$32,3,FALSE), test!$J$11:$K$14, 2, FALSE)),1,0)</f>
        <v>1</v>
      </c>
      <c r="AD12" s="2">
        <f>IF(AND(VLOOKUP(AD$1,test!$A$3:$I$32,8,FALSE)-VLOOKUP($A12,test!$A$3:$I$32,9,FALSE)&gt;=VLOOKUP(VLOOKUP(AD$1, test!$A$3:$I$32,3,FALSE), test!$J$11:$K$14, 2, FALSE)),1,0)</f>
        <v>0</v>
      </c>
      <c r="AE12" s="2">
        <f>IF(AND(VLOOKUP(AE$1,test!$A$3:$I$32,8,FALSE)-VLOOKUP($A12,test!$A$3:$I$32,9,FALSE)&gt;=VLOOKUP(VLOOKUP(AE$1, test!$A$3:$I$32,3,FALSE), test!$J$11:$K$14, 2, FALSE)),1,0)</f>
        <v>1</v>
      </c>
      <c r="AF12" s="2">
        <f>IF(AND(VLOOKUP(AF$1,test!$A$3:$I$32,8,FALSE)-VLOOKUP($A12,test!$A$3:$I$32,9,FALSE)&gt;=VLOOKUP(VLOOKUP(AF$1, test!$A$3:$I$32,3,FALSE), test!$J$11:$K$14, 2, FALSE)),1,0)</f>
        <v>0</v>
      </c>
    </row>
    <row r="13" spans="1:32" x14ac:dyDescent="0.25">
      <c r="A13" t="s">
        <v>21</v>
      </c>
      <c r="B13" s="3">
        <v>1</v>
      </c>
      <c r="C13" s="2">
        <f>IF(AND(VLOOKUP(C$1,test!$A$3:$I$32,8,FALSE)-VLOOKUP($A13,test!$A$3:$I$32,9,FALSE)&gt;=VLOOKUP(VLOOKUP(C$1, test!$A$3:$I$32,3,FALSE), test!$J$11:$K$14, 2, FALSE)),1,0)</f>
        <v>0</v>
      </c>
      <c r="D13" s="2">
        <f>IF(AND(VLOOKUP(D$1,test!$A$3:$I$32,8,FALSE)-VLOOKUP($A13,test!$A$3:$I$32,9,FALSE)&gt;=VLOOKUP(VLOOKUP(D$1, test!$A$3:$I$32,3,FALSE), test!$J$11:$K$14, 2, FALSE)),1,0)</f>
        <v>0</v>
      </c>
      <c r="E13" s="2">
        <f>IF(AND(VLOOKUP(E$1,test!$A$3:$I$32,8,FALSE)-VLOOKUP($A13,test!$A$3:$I$32,9,FALSE)&gt;=VLOOKUP(VLOOKUP(E$1, test!$A$3:$I$32,3,FALSE), test!$J$11:$K$14, 2, FALSE)),1,0)</f>
        <v>0</v>
      </c>
      <c r="F13" s="2">
        <f>IF(AND(VLOOKUP(F$1,test!$A$3:$I$32,8,FALSE)-VLOOKUP($A13,test!$A$3:$I$32,9,FALSE)&gt;=VLOOKUP(VLOOKUP(F$1, test!$A$3:$I$32,3,FALSE), test!$J$11:$K$14, 2, FALSE)),1,0)</f>
        <v>0</v>
      </c>
      <c r="G13" s="2">
        <f>IF(AND(VLOOKUP(G$1,test!$A$3:$I$32,8,FALSE)-VLOOKUP($A13,test!$A$3:$I$32,9,FALSE)&gt;=VLOOKUP(VLOOKUP(G$1, test!$A$3:$I$32,3,FALSE), test!$J$11:$K$14, 2, FALSE)),1,0)</f>
        <v>1</v>
      </c>
      <c r="H13" s="2">
        <f>IF(AND(VLOOKUP(H$1,test!$A$3:$I$32,8,FALSE)-VLOOKUP($A13,test!$A$3:$I$32,9,FALSE)&gt;=VLOOKUP(VLOOKUP(H$1, test!$A$3:$I$32,3,FALSE), test!$J$11:$K$14, 2, FALSE)),1,0)</f>
        <v>1</v>
      </c>
      <c r="I13" s="2">
        <f>IF(AND(VLOOKUP(I$1,test!$A$3:$I$32,8,FALSE)-VLOOKUP($A13,test!$A$3:$I$32,9,FALSE)&gt;=VLOOKUP(VLOOKUP(I$1, test!$A$3:$I$32,3,FALSE), test!$J$11:$K$14, 2, FALSE)),1,0)</f>
        <v>1</v>
      </c>
      <c r="J13" s="2">
        <f>IF(AND(VLOOKUP(J$1,test!$A$3:$I$32,8,FALSE)-VLOOKUP($A13,test!$A$3:$I$32,9,FALSE)&gt;=VLOOKUP(VLOOKUP(J$1, test!$A$3:$I$32,3,FALSE), test!$J$11:$K$14, 2, FALSE)),1,0)</f>
        <v>1</v>
      </c>
      <c r="K13" s="2">
        <f>IF(AND(VLOOKUP(K$1,test!$A$3:$I$32,8,FALSE)-VLOOKUP($A13,test!$A$3:$I$32,9,FALSE)&gt;=VLOOKUP(VLOOKUP(K$1, test!$A$3:$I$32,3,FALSE), test!$J$11:$K$14, 2, FALSE)),1,0)</f>
        <v>0</v>
      </c>
      <c r="L13" s="2">
        <f>IF(AND(VLOOKUP(L$1,test!$A$3:$I$32,8,FALSE)-VLOOKUP($A13,test!$A$3:$I$32,9,FALSE)&gt;=VLOOKUP(VLOOKUP(L$1, test!$A$3:$I$32,3,FALSE), test!$J$11:$K$14, 2, FALSE)),1,0)</f>
        <v>0</v>
      </c>
      <c r="M13" s="2">
        <f>IF(AND(VLOOKUP(M$1,test!$A$3:$I$32,8,FALSE)-VLOOKUP($A13,test!$A$3:$I$32,9,FALSE)&gt;=VLOOKUP(VLOOKUP(M$1, test!$A$3:$I$32,3,FALSE), test!$J$11:$K$14, 2, FALSE)),1,0)</f>
        <v>0</v>
      </c>
      <c r="N13" s="2">
        <f>IF(AND(VLOOKUP(N$1,test!$A$3:$I$32,8,FALSE)-VLOOKUP($A13,test!$A$3:$I$32,9,FALSE)&gt;=VLOOKUP(VLOOKUP(N$1, test!$A$3:$I$32,3,FALSE), test!$J$11:$K$14, 2, FALSE)),1,0)</f>
        <v>1</v>
      </c>
      <c r="O13" s="2">
        <f>IF(AND(VLOOKUP(O$1,test!$A$3:$I$32,8,FALSE)-VLOOKUP($A13,test!$A$3:$I$32,9,FALSE)&gt;=VLOOKUP(VLOOKUP(O$1, test!$A$3:$I$32,3,FALSE), test!$J$11:$K$14, 2, FALSE)),1,0)</f>
        <v>1</v>
      </c>
      <c r="P13" s="2">
        <f>IF(AND(VLOOKUP(P$1,test!$A$3:$I$32,8,FALSE)-VLOOKUP($A13,test!$A$3:$I$32,9,FALSE)&gt;=VLOOKUP(VLOOKUP(P$1, test!$A$3:$I$32,3,FALSE), test!$J$11:$K$14, 2, FALSE)),1,0)</f>
        <v>0</v>
      </c>
      <c r="Q13" s="2">
        <f>IF(AND(VLOOKUP(Q$1,test!$A$3:$I$32,8,FALSE)-VLOOKUP($A13,test!$A$3:$I$32,9,FALSE)&gt;=VLOOKUP(VLOOKUP(Q$1, test!$A$3:$I$32,3,FALSE), test!$J$11:$K$14, 2, FALSE)),1,0)</f>
        <v>0</v>
      </c>
      <c r="R13" s="2">
        <f>IF(AND(VLOOKUP(R$1,test!$A$3:$I$32,8,FALSE)-VLOOKUP($A13,test!$A$3:$I$32,9,FALSE)&gt;=VLOOKUP(VLOOKUP(R$1, test!$A$3:$I$32,3,FALSE), test!$J$11:$K$14, 2, FALSE)),1,0)</f>
        <v>0</v>
      </c>
      <c r="S13" s="2">
        <f>IF(AND(VLOOKUP(S$1,test!$A$3:$I$32,8,FALSE)-VLOOKUP($A13,test!$A$3:$I$32,9,FALSE)&gt;=VLOOKUP(VLOOKUP(S$1, test!$A$3:$I$32,3,FALSE), test!$J$11:$K$14, 2, FALSE)),1,0)</f>
        <v>0</v>
      </c>
      <c r="T13" s="2">
        <f>IF(AND(VLOOKUP(T$1,test!$A$3:$I$32,8,FALSE)-VLOOKUP($A13,test!$A$3:$I$32,9,FALSE)&gt;=VLOOKUP(VLOOKUP(T$1, test!$A$3:$I$32,3,FALSE), test!$J$11:$K$14, 2, FALSE)),1,0)</f>
        <v>0</v>
      </c>
      <c r="U13" s="2">
        <f>IF(AND(VLOOKUP(U$1,test!$A$3:$I$32,8,FALSE)-VLOOKUP($A13,test!$A$3:$I$32,9,FALSE)&gt;=VLOOKUP(VLOOKUP(U$1, test!$A$3:$I$32,3,FALSE), test!$J$11:$K$14, 2, FALSE)),1,0)</f>
        <v>0</v>
      </c>
      <c r="V13" s="2">
        <f>IF(AND(VLOOKUP(V$1,test!$A$3:$I$32,8,FALSE)-VLOOKUP($A13,test!$A$3:$I$32,9,FALSE)&gt;=VLOOKUP(VLOOKUP(V$1, test!$A$3:$I$32,3,FALSE), test!$J$11:$K$14, 2, FALSE)),1,0)</f>
        <v>1</v>
      </c>
      <c r="W13" s="2">
        <f>IF(AND(VLOOKUP(W$1,test!$A$3:$I$32,8,FALSE)-VLOOKUP($A13,test!$A$3:$I$32,9,FALSE)&gt;=VLOOKUP(VLOOKUP(W$1, test!$A$3:$I$32,3,FALSE), test!$J$11:$K$14, 2, FALSE)),1,0)</f>
        <v>1</v>
      </c>
      <c r="X13" s="2">
        <f>IF(AND(VLOOKUP(X$1,test!$A$3:$I$32,8,FALSE)-VLOOKUP($A13,test!$A$3:$I$32,9,FALSE)&gt;=VLOOKUP(VLOOKUP(X$1, test!$A$3:$I$32,3,FALSE), test!$J$11:$K$14, 2, FALSE)),1,0)</f>
        <v>1</v>
      </c>
      <c r="Y13" s="2">
        <f>IF(AND(VLOOKUP(Y$1,test!$A$3:$I$32,8,FALSE)-VLOOKUP($A13,test!$A$3:$I$32,9,FALSE)&gt;=VLOOKUP(VLOOKUP(Y$1, test!$A$3:$I$32,3,FALSE), test!$J$11:$K$14, 2, FALSE)),1,0)</f>
        <v>0</v>
      </c>
      <c r="Z13" s="2">
        <f>IF(AND(VLOOKUP(Z$1,test!$A$3:$I$32,8,FALSE)-VLOOKUP($A13,test!$A$3:$I$32,9,FALSE)&gt;=VLOOKUP(VLOOKUP(Z$1, test!$A$3:$I$32,3,FALSE), test!$J$11:$K$14, 2, FALSE)),1,0)</f>
        <v>0</v>
      </c>
      <c r="AA13" s="2">
        <f>IF(AND(VLOOKUP(AA$1,test!$A$3:$I$32,8,FALSE)-VLOOKUP($A13,test!$A$3:$I$32,9,FALSE)&gt;=VLOOKUP(VLOOKUP(AA$1, test!$A$3:$I$32,3,FALSE), test!$J$11:$K$14, 2, FALSE)),1,0)</f>
        <v>0</v>
      </c>
      <c r="AB13" s="2">
        <f>IF(AND(VLOOKUP(AB$1,test!$A$3:$I$32,8,FALSE)-VLOOKUP($A13,test!$A$3:$I$32,9,FALSE)&gt;=VLOOKUP(VLOOKUP(AB$1, test!$A$3:$I$32,3,FALSE), test!$J$11:$K$14, 2, FALSE)),1,0)</f>
        <v>0</v>
      </c>
      <c r="AC13" s="2">
        <f>IF(AND(VLOOKUP(AC$1,test!$A$3:$I$32,8,FALSE)-VLOOKUP($A13,test!$A$3:$I$32,9,FALSE)&gt;=VLOOKUP(VLOOKUP(AC$1, test!$A$3:$I$32,3,FALSE), test!$J$11:$K$14, 2, FALSE)),1,0)</f>
        <v>1</v>
      </c>
      <c r="AD13" s="2">
        <f>IF(AND(VLOOKUP(AD$1,test!$A$3:$I$32,8,FALSE)-VLOOKUP($A13,test!$A$3:$I$32,9,FALSE)&gt;=VLOOKUP(VLOOKUP(AD$1, test!$A$3:$I$32,3,FALSE), test!$J$11:$K$14, 2, FALSE)),1,0)</f>
        <v>0</v>
      </c>
      <c r="AE13" s="2">
        <f>IF(AND(VLOOKUP(AE$1,test!$A$3:$I$32,8,FALSE)-VLOOKUP($A13,test!$A$3:$I$32,9,FALSE)&gt;=VLOOKUP(VLOOKUP(AE$1, test!$A$3:$I$32,3,FALSE), test!$J$11:$K$14, 2, FALSE)),1,0)</f>
        <v>0</v>
      </c>
      <c r="AF13" s="2">
        <f>IF(AND(VLOOKUP(AF$1,test!$A$3:$I$32,8,FALSE)-VLOOKUP($A13,test!$A$3:$I$32,9,FALSE)&gt;=VLOOKUP(VLOOKUP(AF$1, test!$A$3:$I$32,3,FALSE), test!$J$11:$K$14, 2, FALSE)),1,0)</f>
        <v>0</v>
      </c>
    </row>
    <row r="14" spans="1:32" x14ac:dyDescent="0.25">
      <c r="A14" t="s">
        <v>22</v>
      </c>
      <c r="B14" s="3">
        <v>1</v>
      </c>
      <c r="C14" s="2">
        <f>IF(AND(VLOOKUP(C$1,test!$A$3:$I$32,8,FALSE)-VLOOKUP($A14,test!$A$3:$I$32,9,FALSE)&gt;=VLOOKUP(VLOOKUP(C$1, test!$A$3:$I$32,3,FALSE), test!$J$11:$K$14, 2, FALSE)),1,0)</f>
        <v>0</v>
      </c>
      <c r="D14" s="2">
        <f>IF(AND(VLOOKUP(D$1,test!$A$3:$I$32,8,FALSE)-VLOOKUP($A14,test!$A$3:$I$32,9,FALSE)&gt;=VLOOKUP(VLOOKUP(D$1, test!$A$3:$I$32,3,FALSE), test!$J$11:$K$14, 2, FALSE)),1,0)</f>
        <v>0</v>
      </c>
      <c r="E14" s="2">
        <f>IF(AND(VLOOKUP(E$1,test!$A$3:$I$32,8,FALSE)-VLOOKUP($A14,test!$A$3:$I$32,9,FALSE)&gt;=VLOOKUP(VLOOKUP(E$1, test!$A$3:$I$32,3,FALSE), test!$J$11:$K$14, 2, FALSE)),1,0)</f>
        <v>0</v>
      </c>
      <c r="F14" s="2">
        <f>IF(AND(VLOOKUP(F$1,test!$A$3:$I$32,8,FALSE)-VLOOKUP($A14,test!$A$3:$I$32,9,FALSE)&gt;=VLOOKUP(VLOOKUP(F$1, test!$A$3:$I$32,3,FALSE), test!$J$11:$K$14, 2, FALSE)),1,0)</f>
        <v>0</v>
      </c>
      <c r="G14" s="2">
        <f>IF(AND(VLOOKUP(G$1,test!$A$3:$I$32,8,FALSE)-VLOOKUP($A14,test!$A$3:$I$32,9,FALSE)&gt;=VLOOKUP(VLOOKUP(G$1, test!$A$3:$I$32,3,FALSE), test!$J$11:$K$14, 2, FALSE)),1,0)</f>
        <v>0</v>
      </c>
      <c r="H14" s="2">
        <f>IF(AND(VLOOKUP(H$1,test!$A$3:$I$32,8,FALSE)-VLOOKUP($A14,test!$A$3:$I$32,9,FALSE)&gt;=VLOOKUP(VLOOKUP(H$1, test!$A$3:$I$32,3,FALSE), test!$J$11:$K$14, 2, FALSE)),1,0)</f>
        <v>0</v>
      </c>
      <c r="I14" s="2">
        <f>IF(AND(VLOOKUP(I$1,test!$A$3:$I$32,8,FALSE)-VLOOKUP($A14,test!$A$3:$I$32,9,FALSE)&gt;=VLOOKUP(VLOOKUP(I$1, test!$A$3:$I$32,3,FALSE), test!$J$11:$K$14, 2, FALSE)),1,0)</f>
        <v>0</v>
      </c>
      <c r="J14" s="2">
        <f>IF(AND(VLOOKUP(J$1,test!$A$3:$I$32,8,FALSE)-VLOOKUP($A14,test!$A$3:$I$32,9,FALSE)&gt;=VLOOKUP(VLOOKUP(J$1, test!$A$3:$I$32,3,FALSE), test!$J$11:$K$14, 2, FALSE)),1,0)</f>
        <v>0</v>
      </c>
      <c r="K14" s="2">
        <f>IF(AND(VLOOKUP(K$1,test!$A$3:$I$32,8,FALSE)-VLOOKUP($A14,test!$A$3:$I$32,9,FALSE)&gt;=VLOOKUP(VLOOKUP(K$1, test!$A$3:$I$32,3,FALSE), test!$J$11:$K$14, 2, FALSE)),1,0)</f>
        <v>0</v>
      </c>
      <c r="L14" s="2">
        <f>IF(AND(VLOOKUP(L$1,test!$A$3:$I$32,8,FALSE)-VLOOKUP($A14,test!$A$3:$I$32,9,FALSE)&gt;=VLOOKUP(VLOOKUP(L$1, test!$A$3:$I$32,3,FALSE), test!$J$11:$K$14, 2, FALSE)),1,0)</f>
        <v>0</v>
      </c>
      <c r="M14" s="2">
        <f>IF(AND(VLOOKUP(M$1,test!$A$3:$I$32,8,FALSE)-VLOOKUP($A14,test!$A$3:$I$32,9,FALSE)&gt;=VLOOKUP(VLOOKUP(M$1, test!$A$3:$I$32,3,FALSE), test!$J$11:$K$14, 2, FALSE)),1,0)</f>
        <v>0</v>
      </c>
      <c r="N14" s="2">
        <f>IF(AND(VLOOKUP(N$1,test!$A$3:$I$32,8,FALSE)-VLOOKUP($A14,test!$A$3:$I$32,9,FALSE)&gt;=VLOOKUP(VLOOKUP(N$1, test!$A$3:$I$32,3,FALSE), test!$J$11:$K$14, 2, FALSE)),1,0)</f>
        <v>0</v>
      </c>
      <c r="O14" s="2">
        <f>IF(AND(VLOOKUP(O$1,test!$A$3:$I$32,8,FALSE)-VLOOKUP($A14,test!$A$3:$I$32,9,FALSE)&gt;=VLOOKUP(VLOOKUP(O$1, test!$A$3:$I$32,3,FALSE), test!$J$11:$K$14, 2, FALSE)),1,0)</f>
        <v>0</v>
      </c>
      <c r="P14" s="2">
        <f>IF(AND(VLOOKUP(P$1,test!$A$3:$I$32,8,FALSE)-VLOOKUP($A14,test!$A$3:$I$32,9,FALSE)&gt;=VLOOKUP(VLOOKUP(P$1, test!$A$3:$I$32,3,FALSE), test!$J$11:$K$14, 2, FALSE)),1,0)</f>
        <v>0</v>
      </c>
      <c r="Q14" s="2">
        <f>IF(AND(VLOOKUP(Q$1,test!$A$3:$I$32,8,FALSE)-VLOOKUP($A14,test!$A$3:$I$32,9,FALSE)&gt;=VLOOKUP(VLOOKUP(Q$1, test!$A$3:$I$32,3,FALSE), test!$J$11:$K$14, 2, FALSE)),1,0)</f>
        <v>0</v>
      </c>
      <c r="R14" s="2">
        <f>IF(AND(VLOOKUP(R$1,test!$A$3:$I$32,8,FALSE)-VLOOKUP($A14,test!$A$3:$I$32,9,FALSE)&gt;=VLOOKUP(VLOOKUP(R$1, test!$A$3:$I$32,3,FALSE), test!$J$11:$K$14, 2, FALSE)),1,0)</f>
        <v>0</v>
      </c>
      <c r="S14" s="2">
        <f>IF(AND(VLOOKUP(S$1,test!$A$3:$I$32,8,FALSE)-VLOOKUP($A14,test!$A$3:$I$32,9,FALSE)&gt;=VLOOKUP(VLOOKUP(S$1, test!$A$3:$I$32,3,FALSE), test!$J$11:$K$14, 2, FALSE)),1,0)</f>
        <v>0</v>
      </c>
      <c r="T14" s="2">
        <f>IF(AND(VLOOKUP(T$1,test!$A$3:$I$32,8,FALSE)-VLOOKUP($A14,test!$A$3:$I$32,9,FALSE)&gt;=VLOOKUP(VLOOKUP(T$1, test!$A$3:$I$32,3,FALSE), test!$J$11:$K$14, 2, FALSE)),1,0)</f>
        <v>0</v>
      </c>
      <c r="U14" s="2">
        <f>IF(AND(VLOOKUP(U$1,test!$A$3:$I$32,8,FALSE)-VLOOKUP($A14,test!$A$3:$I$32,9,FALSE)&gt;=VLOOKUP(VLOOKUP(U$1, test!$A$3:$I$32,3,FALSE), test!$J$11:$K$14, 2, FALSE)),1,0)</f>
        <v>0</v>
      </c>
      <c r="V14" s="2">
        <f>IF(AND(VLOOKUP(V$1,test!$A$3:$I$32,8,FALSE)-VLOOKUP($A14,test!$A$3:$I$32,9,FALSE)&gt;=VLOOKUP(VLOOKUP(V$1, test!$A$3:$I$32,3,FALSE), test!$J$11:$K$14, 2, FALSE)),1,0)</f>
        <v>0</v>
      </c>
      <c r="W14" s="2">
        <f>IF(AND(VLOOKUP(W$1,test!$A$3:$I$32,8,FALSE)-VLOOKUP($A14,test!$A$3:$I$32,9,FALSE)&gt;=VLOOKUP(VLOOKUP(W$1, test!$A$3:$I$32,3,FALSE), test!$J$11:$K$14, 2, FALSE)),1,0)</f>
        <v>0</v>
      </c>
      <c r="X14" s="2">
        <f>IF(AND(VLOOKUP(X$1,test!$A$3:$I$32,8,FALSE)-VLOOKUP($A14,test!$A$3:$I$32,9,FALSE)&gt;=VLOOKUP(VLOOKUP(X$1, test!$A$3:$I$32,3,FALSE), test!$J$11:$K$14, 2, FALSE)),1,0)</f>
        <v>0</v>
      </c>
      <c r="Y14" s="2">
        <f>IF(AND(VLOOKUP(Y$1,test!$A$3:$I$32,8,FALSE)-VLOOKUP($A14,test!$A$3:$I$32,9,FALSE)&gt;=VLOOKUP(VLOOKUP(Y$1, test!$A$3:$I$32,3,FALSE), test!$J$11:$K$14, 2, FALSE)),1,0)</f>
        <v>0</v>
      </c>
      <c r="Z14" s="2">
        <f>IF(AND(VLOOKUP(Z$1,test!$A$3:$I$32,8,FALSE)-VLOOKUP($A14,test!$A$3:$I$32,9,FALSE)&gt;=VLOOKUP(VLOOKUP(Z$1, test!$A$3:$I$32,3,FALSE), test!$J$11:$K$14, 2, FALSE)),1,0)</f>
        <v>0</v>
      </c>
      <c r="AA14" s="2">
        <f>IF(AND(VLOOKUP(AA$1,test!$A$3:$I$32,8,FALSE)-VLOOKUP($A14,test!$A$3:$I$32,9,FALSE)&gt;=VLOOKUP(VLOOKUP(AA$1, test!$A$3:$I$32,3,FALSE), test!$J$11:$K$14, 2, FALSE)),1,0)</f>
        <v>0</v>
      </c>
      <c r="AB14" s="2">
        <f>IF(AND(VLOOKUP(AB$1,test!$A$3:$I$32,8,FALSE)-VLOOKUP($A14,test!$A$3:$I$32,9,FALSE)&gt;=VLOOKUP(VLOOKUP(AB$1, test!$A$3:$I$32,3,FALSE), test!$J$11:$K$14, 2, FALSE)),1,0)</f>
        <v>0</v>
      </c>
      <c r="AC14" s="2">
        <f>IF(AND(VLOOKUP(AC$1,test!$A$3:$I$32,8,FALSE)-VLOOKUP($A14,test!$A$3:$I$32,9,FALSE)&gt;=VLOOKUP(VLOOKUP(AC$1, test!$A$3:$I$32,3,FALSE), test!$J$11:$K$14, 2, FALSE)),1,0)</f>
        <v>0</v>
      </c>
      <c r="AD14" s="2">
        <f>IF(AND(VLOOKUP(AD$1,test!$A$3:$I$32,8,FALSE)-VLOOKUP($A14,test!$A$3:$I$32,9,FALSE)&gt;=VLOOKUP(VLOOKUP(AD$1, test!$A$3:$I$32,3,FALSE), test!$J$11:$K$14, 2, FALSE)),1,0)</f>
        <v>0</v>
      </c>
      <c r="AE14" s="2">
        <f>IF(AND(VLOOKUP(AE$1,test!$A$3:$I$32,8,FALSE)-VLOOKUP($A14,test!$A$3:$I$32,9,FALSE)&gt;=VLOOKUP(VLOOKUP(AE$1, test!$A$3:$I$32,3,FALSE), test!$J$11:$K$14, 2, FALSE)),1,0)</f>
        <v>0</v>
      </c>
      <c r="AF14" s="2">
        <f>IF(AND(VLOOKUP(AF$1,test!$A$3:$I$32,8,FALSE)-VLOOKUP($A14,test!$A$3:$I$32,9,FALSE)&gt;=VLOOKUP(VLOOKUP(AF$1, test!$A$3:$I$32,3,FALSE), test!$J$11:$K$14, 2, FALSE)),1,0)</f>
        <v>0</v>
      </c>
    </row>
    <row r="15" spans="1:32" x14ac:dyDescent="0.25">
      <c r="A15" t="s">
        <v>23</v>
      </c>
      <c r="B15" s="3">
        <v>1</v>
      </c>
      <c r="C15" s="2">
        <f>IF(AND(VLOOKUP(C$1,test!$A$3:$I$32,8,FALSE)-VLOOKUP($A15,test!$A$3:$I$32,9,FALSE)&gt;=VLOOKUP(VLOOKUP(C$1, test!$A$3:$I$32,3,FALSE), test!$J$11:$K$14, 2, FALSE)),1,0)</f>
        <v>0</v>
      </c>
      <c r="D15" s="2">
        <f>IF(AND(VLOOKUP(D$1,test!$A$3:$I$32,8,FALSE)-VLOOKUP($A15,test!$A$3:$I$32,9,FALSE)&gt;=VLOOKUP(VLOOKUP(D$1, test!$A$3:$I$32,3,FALSE), test!$J$11:$K$14, 2, FALSE)),1,0)</f>
        <v>0</v>
      </c>
      <c r="E15" s="2">
        <f>IF(AND(VLOOKUP(E$1,test!$A$3:$I$32,8,FALSE)-VLOOKUP($A15,test!$A$3:$I$32,9,FALSE)&gt;=VLOOKUP(VLOOKUP(E$1, test!$A$3:$I$32,3,FALSE), test!$J$11:$K$14, 2, FALSE)),1,0)</f>
        <v>0</v>
      </c>
      <c r="F15" s="2">
        <f>IF(AND(VLOOKUP(F$1,test!$A$3:$I$32,8,FALSE)-VLOOKUP($A15,test!$A$3:$I$32,9,FALSE)&gt;=VLOOKUP(VLOOKUP(F$1, test!$A$3:$I$32,3,FALSE), test!$J$11:$K$14, 2, FALSE)),1,0)</f>
        <v>0</v>
      </c>
      <c r="G15" s="2">
        <f>IF(AND(VLOOKUP(G$1,test!$A$3:$I$32,8,FALSE)-VLOOKUP($A15,test!$A$3:$I$32,9,FALSE)&gt;=VLOOKUP(VLOOKUP(G$1, test!$A$3:$I$32,3,FALSE), test!$J$11:$K$14, 2, FALSE)),1,0)</f>
        <v>0</v>
      </c>
      <c r="H15" s="2">
        <f>IF(AND(VLOOKUP(H$1,test!$A$3:$I$32,8,FALSE)-VLOOKUP($A15,test!$A$3:$I$32,9,FALSE)&gt;=VLOOKUP(VLOOKUP(H$1, test!$A$3:$I$32,3,FALSE), test!$J$11:$K$14, 2, FALSE)),1,0)</f>
        <v>0</v>
      </c>
      <c r="I15" s="2">
        <f>IF(AND(VLOOKUP(I$1,test!$A$3:$I$32,8,FALSE)-VLOOKUP($A15,test!$A$3:$I$32,9,FALSE)&gt;=VLOOKUP(VLOOKUP(I$1, test!$A$3:$I$32,3,FALSE), test!$J$11:$K$14, 2, FALSE)),1,0)</f>
        <v>0</v>
      </c>
      <c r="J15" s="2">
        <f>IF(AND(VLOOKUP(J$1,test!$A$3:$I$32,8,FALSE)-VLOOKUP($A15,test!$A$3:$I$32,9,FALSE)&gt;=VLOOKUP(VLOOKUP(J$1, test!$A$3:$I$32,3,FALSE), test!$J$11:$K$14, 2, FALSE)),1,0)</f>
        <v>0</v>
      </c>
      <c r="K15" s="2">
        <f>IF(AND(VLOOKUP(K$1,test!$A$3:$I$32,8,FALSE)-VLOOKUP($A15,test!$A$3:$I$32,9,FALSE)&gt;=VLOOKUP(VLOOKUP(K$1, test!$A$3:$I$32,3,FALSE), test!$J$11:$K$14, 2, FALSE)),1,0)</f>
        <v>0</v>
      </c>
      <c r="L15" s="2">
        <f>IF(AND(VLOOKUP(L$1,test!$A$3:$I$32,8,FALSE)-VLOOKUP($A15,test!$A$3:$I$32,9,FALSE)&gt;=VLOOKUP(VLOOKUP(L$1, test!$A$3:$I$32,3,FALSE), test!$J$11:$K$14, 2, FALSE)),1,0)</f>
        <v>0</v>
      </c>
      <c r="M15" s="2">
        <f>IF(AND(VLOOKUP(M$1,test!$A$3:$I$32,8,FALSE)-VLOOKUP($A15,test!$A$3:$I$32,9,FALSE)&gt;=VLOOKUP(VLOOKUP(M$1, test!$A$3:$I$32,3,FALSE), test!$J$11:$K$14, 2, FALSE)),1,0)</f>
        <v>0</v>
      </c>
      <c r="N15" s="2">
        <f>IF(AND(VLOOKUP(N$1,test!$A$3:$I$32,8,FALSE)-VLOOKUP($A15,test!$A$3:$I$32,9,FALSE)&gt;=VLOOKUP(VLOOKUP(N$1, test!$A$3:$I$32,3,FALSE), test!$J$11:$K$14, 2, FALSE)),1,0)</f>
        <v>0</v>
      </c>
      <c r="O15" s="2">
        <f>IF(AND(VLOOKUP(O$1,test!$A$3:$I$32,8,FALSE)-VLOOKUP($A15,test!$A$3:$I$32,9,FALSE)&gt;=VLOOKUP(VLOOKUP(O$1, test!$A$3:$I$32,3,FALSE), test!$J$11:$K$14, 2, FALSE)),1,0)</f>
        <v>0</v>
      </c>
      <c r="P15" s="2">
        <f>IF(AND(VLOOKUP(P$1,test!$A$3:$I$32,8,FALSE)-VLOOKUP($A15,test!$A$3:$I$32,9,FALSE)&gt;=VLOOKUP(VLOOKUP(P$1, test!$A$3:$I$32,3,FALSE), test!$J$11:$K$14, 2, FALSE)),1,0)</f>
        <v>0</v>
      </c>
      <c r="Q15" s="2">
        <f>IF(AND(VLOOKUP(Q$1,test!$A$3:$I$32,8,FALSE)-VLOOKUP($A15,test!$A$3:$I$32,9,FALSE)&gt;=VLOOKUP(VLOOKUP(Q$1, test!$A$3:$I$32,3,FALSE), test!$J$11:$K$14, 2, FALSE)),1,0)</f>
        <v>0</v>
      </c>
      <c r="R15" s="2">
        <f>IF(AND(VLOOKUP(R$1,test!$A$3:$I$32,8,FALSE)-VLOOKUP($A15,test!$A$3:$I$32,9,FALSE)&gt;=VLOOKUP(VLOOKUP(R$1, test!$A$3:$I$32,3,FALSE), test!$J$11:$K$14, 2, FALSE)),1,0)</f>
        <v>0</v>
      </c>
      <c r="S15" s="2">
        <f>IF(AND(VLOOKUP(S$1,test!$A$3:$I$32,8,FALSE)-VLOOKUP($A15,test!$A$3:$I$32,9,FALSE)&gt;=VLOOKUP(VLOOKUP(S$1, test!$A$3:$I$32,3,FALSE), test!$J$11:$K$14, 2, FALSE)),1,0)</f>
        <v>0</v>
      </c>
      <c r="T15" s="2">
        <f>IF(AND(VLOOKUP(T$1,test!$A$3:$I$32,8,FALSE)-VLOOKUP($A15,test!$A$3:$I$32,9,FALSE)&gt;=VLOOKUP(VLOOKUP(T$1, test!$A$3:$I$32,3,FALSE), test!$J$11:$K$14, 2, FALSE)),1,0)</f>
        <v>0</v>
      </c>
      <c r="U15" s="2">
        <f>IF(AND(VLOOKUP(U$1,test!$A$3:$I$32,8,FALSE)-VLOOKUP($A15,test!$A$3:$I$32,9,FALSE)&gt;=VLOOKUP(VLOOKUP(U$1, test!$A$3:$I$32,3,FALSE), test!$J$11:$K$14, 2, FALSE)),1,0)</f>
        <v>0</v>
      </c>
      <c r="V15" s="2">
        <f>IF(AND(VLOOKUP(V$1,test!$A$3:$I$32,8,FALSE)-VLOOKUP($A15,test!$A$3:$I$32,9,FALSE)&gt;=VLOOKUP(VLOOKUP(V$1, test!$A$3:$I$32,3,FALSE), test!$J$11:$K$14, 2, FALSE)),1,0)</f>
        <v>0</v>
      </c>
      <c r="W15" s="2">
        <f>IF(AND(VLOOKUP(W$1,test!$A$3:$I$32,8,FALSE)-VLOOKUP($A15,test!$A$3:$I$32,9,FALSE)&gt;=VLOOKUP(VLOOKUP(W$1, test!$A$3:$I$32,3,FALSE), test!$J$11:$K$14, 2, FALSE)),1,0)</f>
        <v>0</v>
      </c>
      <c r="X15" s="2">
        <f>IF(AND(VLOOKUP(X$1,test!$A$3:$I$32,8,FALSE)-VLOOKUP($A15,test!$A$3:$I$32,9,FALSE)&gt;=VLOOKUP(VLOOKUP(X$1, test!$A$3:$I$32,3,FALSE), test!$J$11:$K$14, 2, FALSE)),1,0)</f>
        <v>0</v>
      </c>
      <c r="Y15" s="2">
        <f>IF(AND(VLOOKUP(Y$1,test!$A$3:$I$32,8,FALSE)-VLOOKUP($A15,test!$A$3:$I$32,9,FALSE)&gt;=VLOOKUP(VLOOKUP(Y$1, test!$A$3:$I$32,3,FALSE), test!$J$11:$K$14, 2, FALSE)),1,0)</f>
        <v>0</v>
      </c>
      <c r="Z15" s="2">
        <f>IF(AND(VLOOKUP(Z$1,test!$A$3:$I$32,8,FALSE)-VLOOKUP($A15,test!$A$3:$I$32,9,FALSE)&gt;=VLOOKUP(VLOOKUP(Z$1, test!$A$3:$I$32,3,FALSE), test!$J$11:$K$14, 2, FALSE)),1,0)</f>
        <v>0</v>
      </c>
      <c r="AA15" s="2">
        <f>IF(AND(VLOOKUP(AA$1,test!$A$3:$I$32,8,FALSE)-VLOOKUP($A15,test!$A$3:$I$32,9,FALSE)&gt;=VLOOKUP(VLOOKUP(AA$1, test!$A$3:$I$32,3,FALSE), test!$J$11:$K$14, 2, FALSE)),1,0)</f>
        <v>0</v>
      </c>
      <c r="AB15" s="2">
        <f>IF(AND(VLOOKUP(AB$1,test!$A$3:$I$32,8,FALSE)-VLOOKUP($A15,test!$A$3:$I$32,9,FALSE)&gt;=VLOOKUP(VLOOKUP(AB$1, test!$A$3:$I$32,3,FALSE), test!$J$11:$K$14, 2, FALSE)),1,0)</f>
        <v>0</v>
      </c>
      <c r="AC15" s="2">
        <f>IF(AND(VLOOKUP(AC$1,test!$A$3:$I$32,8,FALSE)-VLOOKUP($A15,test!$A$3:$I$32,9,FALSE)&gt;=VLOOKUP(VLOOKUP(AC$1, test!$A$3:$I$32,3,FALSE), test!$J$11:$K$14, 2, FALSE)),1,0)</f>
        <v>0</v>
      </c>
      <c r="AD15" s="2">
        <f>IF(AND(VLOOKUP(AD$1,test!$A$3:$I$32,8,FALSE)-VLOOKUP($A15,test!$A$3:$I$32,9,FALSE)&gt;=VLOOKUP(VLOOKUP(AD$1, test!$A$3:$I$32,3,FALSE), test!$J$11:$K$14, 2, FALSE)),1,0)</f>
        <v>0</v>
      </c>
      <c r="AE15" s="2">
        <f>IF(AND(VLOOKUP(AE$1,test!$A$3:$I$32,8,FALSE)-VLOOKUP($A15,test!$A$3:$I$32,9,FALSE)&gt;=VLOOKUP(VLOOKUP(AE$1, test!$A$3:$I$32,3,FALSE), test!$J$11:$K$14, 2, FALSE)),1,0)</f>
        <v>0</v>
      </c>
      <c r="AF15" s="2">
        <f>IF(AND(VLOOKUP(AF$1,test!$A$3:$I$32,8,FALSE)-VLOOKUP($A15,test!$A$3:$I$32,9,FALSE)&gt;=VLOOKUP(VLOOKUP(AF$1, test!$A$3:$I$32,3,FALSE), test!$J$11:$K$14, 2, FALSE)),1,0)</f>
        <v>0</v>
      </c>
    </row>
    <row r="16" spans="1:32" x14ac:dyDescent="0.25">
      <c r="A16" t="s">
        <v>24</v>
      </c>
      <c r="B16" s="3">
        <v>1</v>
      </c>
      <c r="C16" s="2">
        <f>IF(AND(VLOOKUP(C$1,test!$A$3:$I$32,8,FALSE)-VLOOKUP($A16,test!$A$3:$I$32,9,FALSE)&gt;=VLOOKUP(VLOOKUP(C$1, test!$A$3:$I$32,3,FALSE), test!$J$11:$K$14, 2, FALSE)),1,0)</f>
        <v>0</v>
      </c>
      <c r="D16" s="2">
        <f>IF(AND(VLOOKUP(D$1,test!$A$3:$I$32,8,FALSE)-VLOOKUP($A16,test!$A$3:$I$32,9,FALSE)&gt;=VLOOKUP(VLOOKUP(D$1, test!$A$3:$I$32,3,FALSE), test!$J$11:$K$14, 2, FALSE)),1,0)</f>
        <v>0</v>
      </c>
      <c r="E16" s="2">
        <f>IF(AND(VLOOKUP(E$1,test!$A$3:$I$32,8,FALSE)-VLOOKUP($A16,test!$A$3:$I$32,9,FALSE)&gt;=VLOOKUP(VLOOKUP(E$1, test!$A$3:$I$32,3,FALSE), test!$J$11:$K$14, 2, FALSE)),1,0)</f>
        <v>1</v>
      </c>
      <c r="F16" s="2">
        <f>IF(AND(VLOOKUP(F$1,test!$A$3:$I$32,8,FALSE)-VLOOKUP($A16,test!$A$3:$I$32,9,FALSE)&gt;=VLOOKUP(VLOOKUP(F$1, test!$A$3:$I$32,3,FALSE), test!$J$11:$K$14, 2, FALSE)),1,0)</f>
        <v>1</v>
      </c>
      <c r="G16" s="2">
        <f>IF(AND(VLOOKUP(G$1,test!$A$3:$I$32,8,FALSE)-VLOOKUP($A16,test!$A$3:$I$32,9,FALSE)&gt;=VLOOKUP(VLOOKUP(G$1, test!$A$3:$I$32,3,FALSE), test!$J$11:$K$14, 2, FALSE)),1,0)</f>
        <v>1</v>
      </c>
      <c r="H16" s="2">
        <f>IF(AND(VLOOKUP(H$1,test!$A$3:$I$32,8,FALSE)-VLOOKUP($A16,test!$A$3:$I$32,9,FALSE)&gt;=VLOOKUP(VLOOKUP(H$1, test!$A$3:$I$32,3,FALSE), test!$J$11:$K$14, 2, FALSE)),1,0)</f>
        <v>1</v>
      </c>
      <c r="I16" s="2">
        <f>IF(AND(VLOOKUP(I$1,test!$A$3:$I$32,8,FALSE)-VLOOKUP($A16,test!$A$3:$I$32,9,FALSE)&gt;=VLOOKUP(VLOOKUP(I$1, test!$A$3:$I$32,3,FALSE), test!$J$11:$K$14, 2, FALSE)),1,0)</f>
        <v>1</v>
      </c>
      <c r="J16" s="2">
        <f>IF(AND(VLOOKUP(J$1,test!$A$3:$I$32,8,FALSE)-VLOOKUP($A16,test!$A$3:$I$32,9,FALSE)&gt;=VLOOKUP(VLOOKUP(J$1, test!$A$3:$I$32,3,FALSE), test!$J$11:$K$14, 2, FALSE)),1,0)</f>
        <v>1</v>
      </c>
      <c r="K16" s="2">
        <f>IF(AND(VLOOKUP(K$1,test!$A$3:$I$32,8,FALSE)-VLOOKUP($A16,test!$A$3:$I$32,9,FALSE)&gt;=VLOOKUP(VLOOKUP(K$1, test!$A$3:$I$32,3,FALSE), test!$J$11:$K$14, 2, FALSE)),1,0)</f>
        <v>0</v>
      </c>
      <c r="L16" s="2">
        <f>IF(AND(VLOOKUP(L$1,test!$A$3:$I$32,8,FALSE)-VLOOKUP($A16,test!$A$3:$I$32,9,FALSE)&gt;=VLOOKUP(VLOOKUP(L$1, test!$A$3:$I$32,3,FALSE), test!$J$11:$K$14, 2, FALSE)),1,0)</f>
        <v>0</v>
      </c>
      <c r="M16" s="2">
        <f>IF(AND(VLOOKUP(M$1,test!$A$3:$I$32,8,FALSE)-VLOOKUP($A16,test!$A$3:$I$32,9,FALSE)&gt;=VLOOKUP(VLOOKUP(M$1, test!$A$3:$I$32,3,FALSE), test!$J$11:$K$14, 2, FALSE)),1,0)</f>
        <v>1</v>
      </c>
      <c r="N16" s="2">
        <f>IF(AND(VLOOKUP(N$1,test!$A$3:$I$32,8,FALSE)-VLOOKUP($A16,test!$A$3:$I$32,9,FALSE)&gt;=VLOOKUP(VLOOKUP(N$1, test!$A$3:$I$32,3,FALSE), test!$J$11:$K$14, 2, FALSE)),1,0)</f>
        <v>1</v>
      </c>
      <c r="O16" s="2">
        <f>IF(AND(VLOOKUP(O$1,test!$A$3:$I$32,8,FALSE)-VLOOKUP($A16,test!$A$3:$I$32,9,FALSE)&gt;=VLOOKUP(VLOOKUP(O$1, test!$A$3:$I$32,3,FALSE), test!$J$11:$K$14, 2, FALSE)),1,0)</f>
        <v>1</v>
      </c>
      <c r="P16" s="2">
        <f>IF(AND(VLOOKUP(P$1,test!$A$3:$I$32,8,FALSE)-VLOOKUP($A16,test!$A$3:$I$32,9,FALSE)&gt;=VLOOKUP(VLOOKUP(P$1, test!$A$3:$I$32,3,FALSE), test!$J$11:$K$14, 2, FALSE)),1,0)</f>
        <v>0</v>
      </c>
      <c r="Q16" s="2">
        <f>IF(AND(VLOOKUP(Q$1,test!$A$3:$I$32,8,FALSE)-VLOOKUP($A16,test!$A$3:$I$32,9,FALSE)&gt;=VLOOKUP(VLOOKUP(Q$1, test!$A$3:$I$32,3,FALSE), test!$J$11:$K$14, 2, FALSE)),1,0)</f>
        <v>0</v>
      </c>
      <c r="R16" s="2">
        <f>IF(AND(VLOOKUP(R$1,test!$A$3:$I$32,8,FALSE)-VLOOKUP($A16,test!$A$3:$I$32,9,FALSE)&gt;=VLOOKUP(VLOOKUP(R$1, test!$A$3:$I$32,3,FALSE), test!$J$11:$K$14, 2, FALSE)),1,0)</f>
        <v>0</v>
      </c>
      <c r="S16" s="2">
        <f>IF(AND(VLOOKUP(S$1,test!$A$3:$I$32,8,FALSE)-VLOOKUP($A16,test!$A$3:$I$32,9,FALSE)&gt;=VLOOKUP(VLOOKUP(S$1, test!$A$3:$I$32,3,FALSE), test!$J$11:$K$14, 2, FALSE)),1,0)</f>
        <v>0</v>
      </c>
      <c r="T16" s="2">
        <f>IF(AND(VLOOKUP(T$1,test!$A$3:$I$32,8,FALSE)-VLOOKUP($A16,test!$A$3:$I$32,9,FALSE)&gt;=VLOOKUP(VLOOKUP(T$1, test!$A$3:$I$32,3,FALSE), test!$J$11:$K$14, 2, FALSE)),1,0)</f>
        <v>1</v>
      </c>
      <c r="U16" s="2">
        <f>IF(AND(VLOOKUP(U$1,test!$A$3:$I$32,8,FALSE)-VLOOKUP($A16,test!$A$3:$I$32,9,FALSE)&gt;=VLOOKUP(VLOOKUP(U$1, test!$A$3:$I$32,3,FALSE), test!$J$11:$K$14, 2, FALSE)),1,0)</f>
        <v>1</v>
      </c>
      <c r="V16" s="2">
        <f>IF(AND(VLOOKUP(V$1,test!$A$3:$I$32,8,FALSE)-VLOOKUP($A16,test!$A$3:$I$32,9,FALSE)&gt;=VLOOKUP(VLOOKUP(V$1, test!$A$3:$I$32,3,FALSE), test!$J$11:$K$14, 2, FALSE)),1,0)</f>
        <v>1</v>
      </c>
      <c r="W16" s="2">
        <f>IF(AND(VLOOKUP(W$1,test!$A$3:$I$32,8,FALSE)-VLOOKUP($A16,test!$A$3:$I$32,9,FALSE)&gt;=VLOOKUP(VLOOKUP(W$1, test!$A$3:$I$32,3,FALSE), test!$J$11:$K$14, 2, FALSE)),1,0)</f>
        <v>1</v>
      </c>
      <c r="X16" s="2">
        <f>IF(AND(VLOOKUP(X$1,test!$A$3:$I$32,8,FALSE)-VLOOKUP($A16,test!$A$3:$I$32,9,FALSE)&gt;=VLOOKUP(VLOOKUP(X$1, test!$A$3:$I$32,3,FALSE), test!$J$11:$K$14, 2, FALSE)),1,0)</f>
        <v>1</v>
      </c>
      <c r="Y16" s="2">
        <f>IF(AND(VLOOKUP(Y$1,test!$A$3:$I$32,8,FALSE)-VLOOKUP($A16,test!$A$3:$I$32,9,FALSE)&gt;=VLOOKUP(VLOOKUP(Y$1, test!$A$3:$I$32,3,FALSE), test!$J$11:$K$14, 2, FALSE)),1,0)</f>
        <v>0</v>
      </c>
      <c r="Z16" s="2">
        <f>IF(AND(VLOOKUP(Z$1,test!$A$3:$I$32,8,FALSE)-VLOOKUP($A16,test!$A$3:$I$32,9,FALSE)&gt;=VLOOKUP(VLOOKUP(Z$1, test!$A$3:$I$32,3,FALSE), test!$J$11:$K$14, 2, FALSE)),1,0)</f>
        <v>0</v>
      </c>
      <c r="AA16" s="2">
        <f>IF(AND(VLOOKUP(AA$1,test!$A$3:$I$32,8,FALSE)-VLOOKUP($A16,test!$A$3:$I$32,9,FALSE)&gt;=VLOOKUP(VLOOKUP(AA$1, test!$A$3:$I$32,3,FALSE), test!$J$11:$K$14, 2, FALSE)),1,0)</f>
        <v>1</v>
      </c>
      <c r="AB16" s="2">
        <f>IF(AND(VLOOKUP(AB$1,test!$A$3:$I$32,8,FALSE)-VLOOKUP($A16,test!$A$3:$I$32,9,FALSE)&gt;=VLOOKUP(VLOOKUP(AB$1, test!$A$3:$I$32,3,FALSE), test!$J$11:$K$14, 2, FALSE)),1,0)</f>
        <v>1</v>
      </c>
      <c r="AC16" s="2">
        <f>IF(AND(VLOOKUP(AC$1,test!$A$3:$I$32,8,FALSE)-VLOOKUP($A16,test!$A$3:$I$32,9,FALSE)&gt;=VLOOKUP(VLOOKUP(AC$1, test!$A$3:$I$32,3,FALSE), test!$J$11:$K$14, 2, FALSE)),1,0)</f>
        <v>1</v>
      </c>
      <c r="AD16" s="2">
        <f>IF(AND(VLOOKUP(AD$1,test!$A$3:$I$32,8,FALSE)-VLOOKUP($A16,test!$A$3:$I$32,9,FALSE)&gt;=VLOOKUP(VLOOKUP(AD$1, test!$A$3:$I$32,3,FALSE), test!$J$11:$K$14, 2, FALSE)),1,0)</f>
        <v>0</v>
      </c>
      <c r="AE16" s="2">
        <f>IF(AND(VLOOKUP(AE$1,test!$A$3:$I$32,8,FALSE)-VLOOKUP($A16,test!$A$3:$I$32,9,FALSE)&gt;=VLOOKUP(VLOOKUP(AE$1, test!$A$3:$I$32,3,FALSE), test!$J$11:$K$14, 2, FALSE)),1,0)</f>
        <v>1</v>
      </c>
      <c r="AF16" s="2">
        <f>IF(AND(VLOOKUP(AF$1,test!$A$3:$I$32,8,FALSE)-VLOOKUP($A16,test!$A$3:$I$32,9,FALSE)&gt;=VLOOKUP(VLOOKUP(AF$1, test!$A$3:$I$32,3,FALSE), test!$J$11:$K$14, 2, FALSE)),1,0)</f>
        <v>1</v>
      </c>
    </row>
    <row r="17" spans="1:32" x14ac:dyDescent="0.25">
      <c r="A17" t="s">
        <v>26</v>
      </c>
      <c r="B17" s="3">
        <v>1</v>
      </c>
      <c r="C17" s="2">
        <f>IF(AND(VLOOKUP(C$1,test!$A$3:$I$32,8,FALSE)-VLOOKUP($A17,test!$A$3:$I$32,9,FALSE)&gt;=VLOOKUP(VLOOKUP(C$1, test!$A$3:$I$32,3,FALSE), test!$J$11:$K$14, 2, FALSE)),1,0)</f>
        <v>0</v>
      </c>
      <c r="D17" s="2">
        <f>IF(AND(VLOOKUP(D$1,test!$A$3:$I$32,8,FALSE)-VLOOKUP($A17,test!$A$3:$I$32,9,FALSE)&gt;=VLOOKUP(VLOOKUP(D$1, test!$A$3:$I$32,3,FALSE), test!$J$11:$K$14, 2, FALSE)),1,0)</f>
        <v>1</v>
      </c>
      <c r="E17" s="2">
        <f>IF(AND(VLOOKUP(E$1,test!$A$3:$I$32,8,FALSE)-VLOOKUP($A17,test!$A$3:$I$32,9,FALSE)&gt;=VLOOKUP(VLOOKUP(E$1, test!$A$3:$I$32,3,FALSE), test!$J$11:$K$14, 2, FALSE)),1,0)</f>
        <v>1</v>
      </c>
      <c r="F17" s="2">
        <f>IF(AND(VLOOKUP(F$1,test!$A$3:$I$32,8,FALSE)-VLOOKUP($A17,test!$A$3:$I$32,9,FALSE)&gt;=VLOOKUP(VLOOKUP(F$1, test!$A$3:$I$32,3,FALSE), test!$J$11:$K$14, 2, FALSE)),1,0)</f>
        <v>1</v>
      </c>
      <c r="G17" s="2">
        <f>IF(AND(VLOOKUP(G$1,test!$A$3:$I$32,8,FALSE)-VLOOKUP($A17,test!$A$3:$I$32,9,FALSE)&gt;=VLOOKUP(VLOOKUP(G$1, test!$A$3:$I$32,3,FALSE), test!$J$11:$K$14, 2, FALSE)),1,0)</f>
        <v>1</v>
      </c>
      <c r="H17" s="2">
        <f>IF(AND(VLOOKUP(H$1,test!$A$3:$I$32,8,FALSE)-VLOOKUP($A17,test!$A$3:$I$32,9,FALSE)&gt;=VLOOKUP(VLOOKUP(H$1, test!$A$3:$I$32,3,FALSE), test!$J$11:$K$14, 2, FALSE)),1,0)</f>
        <v>1</v>
      </c>
      <c r="I17" s="2">
        <f>IF(AND(VLOOKUP(I$1,test!$A$3:$I$32,8,FALSE)-VLOOKUP($A17,test!$A$3:$I$32,9,FALSE)&gt;=VLOOKUP(VLOOKUP(I$1, test!$A$3:$I$32,3,FALSE), test!$J$11:$K$14, 2, FALSE)),1,0)</f>
        <v>1</v>
      </c>
      <c r="J17" s="2">
        <f>IF(AND(VLOOKUP(J$1,test!$A$3:$I$32,8,FALSE)-VLOOKUP($A17,test!$A$3:$I$32,9,FALSE)&gt;=VLOOKUP(VLOOKUP(J$1, test!$A$3:$I$32,3,FALSE), test!$J$11:$K$14, 2, FALSE)),1,0)</f>
        <v>1</v>
      </c>
      <c r="K17" s="2">
        <f>IF(AND(VLOOKUP(K$1,test!$A$3:$I$32,8,FALSE)-VLOOKUP($A17,test!$A$3:$I$32,9,FALSE)&gt;=VLOOKUP(VLOOKUP(K$1, test!$A$3:$I$32,3,FALSE), test!$J$11:$K$14, 2, FALSE)),1,0)</f>
        <v>0</v>
      </c>
      <c r="L17" s="2">
        <f>IF(AND(VLOOKUP(L$1,test!$A$3:$I$32,8,FALSE)-VLOOKUP($A17,test!$A$3:$I$32,9,FALSE)&gt;=VLOOKUP(VLOOKUP(L$1, test!$A$3:$I$32,3,FALSE), test!$J$11:$K$14, 2, FALSE)),1,0)</f>
        <v>0</v>
      </c>
      <c r="M17" s="2">
        <f>IF(AND(VLOOKUP(M$1,test!$A$3:$I$32,8,FALSE)-VLOOKUP($A17,test!$A$3:$I$32,9,FALSE)&gt;=VLOOKUP(VLOOKUP(M$1, test!$A$3:$I$32,3,FALSE), test!$J$11:$K$14, 2, FALSE)),1,0)</f>
        <v>1</v>
      </c>
      <c r="N17" s="2">
        <f>IF(AND(VLOOKUP(N$1,test!$A$3:$I$32,8,FALSE)-VLOOKUP($A17,test!$A$3:$I$32,9,FALSE)&gt;=VLOOKUP(VLOOKUP(N$1, test!$A$3:$I$32,3,FALSE), test!$J$11:$K$14, 2, FALSE)),1,0)</f>
        <v>1</v>
      </c>
      <c r="O17" s="2">
        <f>IF(AND(VLOOKUP(O$1,test!$A$3:$I$32,8,FALSE)-VLOOKUP($A17,test!$A$3:$I$32,9,FALSE)&gt;=VLOOKUP(VLOOKUP(O$1, test!$A$3:$I$32,3,FALSE), test!$J$11:$K$14, 2, FALSE)),1,0)</f>
        <v>1</v>
      </c>
      <c r="P17" s="2">
        <f>IF(AND(VLOOKUP(P$1,test!$A$3:$I$32,8,FALSE)-VLOOKUP($A17,test!$A$3:$I$32,9,FALSE)&gt;=VLOOKUP(VLOOKUP(P$1, test!$A$3:$I$32,3,FALSE), test!$J$11:$K$14, 2, FALSE)),1,0)</f>
        <v>0</v>
      </c>
      <c r="Q17" s="2">
        <f>IF(AND(VLOOKUP(Q$1,test!$A$3:$I$32,8,FALSE)-VLOOKUP($A17,test!$A$3:$I$32,9,FALSE)&gt;=VLOOKUP(VLOOKUP(Q$1, test!$A$3:$I$32,3,FALSE), test!$J$11:$K$14, 2, FALSE)),1,0)</f>
        <v>0</v>
      </c>
      <c r="R17" s="2">
        <f>IF(AND(VLOOKUP(R$1,test!$A$3:$I$32,8,FALSE)-VLOOKUP($A17,test!$A$3:$I$32,9,FALSE)&gt;=VLOOKUP(VLOOKUP(R$1, test!$A$3:$I$32,3,FALSE), test!$J$11:$K$14, 2, FALSE)),1,0)</f>
        <v>0</v>
      </c>
      <c r="S17" s="2">
        <f>IF(AND(VLOOKUP(S$1,test!$A$3:$I$32,8,FALSE)-VLOOKUP($A17,test!$A$3:$I$32,9,FALSE)&gt;=VLOOKUP(VLOOKUP(S$1, test!$A$3:$I$32,3,FALSE), test!$J$11:$K$14, 2, FALSE)),1,0)</f>
        <v>1</v>
      </c>
      <c r="T17" s="2">
        <f>IF(AND(VLOOKUP(T$1,test!$A$3:$I$32,8,FALSE)-VLOOKUP($A17,test!$A$3:$I$32,9,FALSE)&gt;=VLOOKUP(VLOOKUP(T$1, test!$A$3:$I$32,3,FALSE), test!$J$11:$K$14, 2, FALSE)),1,0)</f>
        <v>1</v>
      </c>
      <c r="U17" s="2">
        <f>IF(AND(VLOOKUP(U$1,test!$A$3:$I$32,8,FALSE)-VLOOKUP($A17,test!$A$3:$I$32,9,FALSE)&gt;=VLOOKUP(VLOOKUP(U$1, test!$A$3:$I$32,3,FALSE), test!$J$11:$K$14, 2, FALSE)),1,0)</f>
        <v>1</v>
      </c>
      <c r="V17" s="2">
        <f>IF(AND(VLOOKUP(V$1,test!$A$3:$I$32,8,FALSE)-VLOOKUP($A17,test!$A$3:$I$32,9,FALSE)&gt;=VLOOKUP(VLOOKUP(V$1, test!$A$3:$I$32,3,FALSE), test!$J$11:$K$14, 2, FALSE)),1,0)</f>
        <v>1</v>
      </c>
      <c r="W17" s="2">
        <f>IF(AND(VLOOKUP(W$1,test!$A$3:$I$32,8,FALSE)-VLOOKUP($A17,test!$A$3:$I$32,9,FALSE)&gt;=VLOOKUP(VLOOKUP(W$1, test!$A$3:$I$32,3,FALSE), test!$J$11:$K$14, 2, FALSE)),1,0)</f>
        <v>1</v>
      </c>
      <c r="X17" s="2">
        <f>IF(AND(VLOOKUP(X$1,test!$A$3:$I$32,8,FALSE)-VLOOKUP($A17,test!$A$3:$I$32,9,FALSE)&gt;=VLOOKUP(VLOOKUP(X$1, test!$A$3:$I$32,3,FALSE), test!$J$11:$K$14, 2, FALSE)),1,0)</f>
        <v>1</v>
      </c>
      <c r="Y17" s="2">
        <f>IF(AND(VLOOKUP(Y$1,test!$A$3:$I$32,8,FALSE)-VLOOKUP($A17,test!$A$3:$I$32,9,FALSE)&gt;=VLOOKUP(VLOOKUP(Y$1, test!$A$3:$I$32,3,FALSE), test!$J$11:$K$14, 2, FALSE)),1,0)</f>
        <v>0</v>
      </c>
      <c r="Z17" s="2">
        <f>IF(AND(VLOOKUP(Z$1,test!$A$3:$I$32,8,FALSE)-VLOOKUP($A17,test!$A$3:$I$32,9,FALSE)&gt;=VLOOKUP(VLOOKUP(Z$1, test!$A$3:$I$32,3,FALSE), test!$J$11:$K$14, 2, FALSE)),1,0)</f>
        <v>1</v>
      </c>
      <c r="AA17" s="2">
        <f>IF(AND(VLOOKUP(AA$1,test!$A$3:$I$32,8,FALSE)-VLOOKUP($A17,test!$A$3:$I$32,9,FALSE)&gt;=VLOOKUP(VLOOKUP(AA$1, test!$A$3:$I$32,3,FALSE), test!$J$11:$K$14, 2, FALSE)),1,0)</f>
        <v>1</v>
      </c>
      <c r="AB17" s="2">
        <f>IF(AND(VLOOKUP(AB$1,test!$A$3:$I$32,8,FALSE)-VLOOKUP($A17,test!$A$3:$I$32,9,FALSE)&gt;=VLOOKUP(VLOOKUP(AB$1, test!$A$3:$I$32,3,FALSE), test!$J$11:$K$14, 2, FALSE)),1,0)</f>
        <v>1</v>
      </c>
      <c r="AC17" s="2">
        <f>IF(AND(VLOOKUP(AC$1,test!$A$3:$I$32,8,FALSE)-VLOOKUP($A17,test!$A$3:$I$32,9,FALSE)&gt;=VLOOKUP(VLOOKUP(AC$1, test!$A$3:$I$32,3,FALSE), test!$J$11:$K$14, 2, FALSE)),1,0)</f>
        <v>1</v>
      </c>
      <c r="AD17" s="2">
        <f>IF(AND(VLOOKUP(AD$1,test!$A$3:$I$32,8,FALSE)-VLOOKUP($A17,test!$A$3:$I$32,9,FALSE)&gt;=VLOOKUP(VLOOKUP(AD$1, test!$A$3:$I$32,3,FALSE), test!$J$11:$K$14, 2, FALSE)),1,0)</f>
        <v>0</v>
      </c>
      <c r="AE17" s="2">
        <f>IF(AND(VLOOKUP(AE$1,test!$A$3:$I$32,8,FALSE)-VLOOKUP($A17,test!$A$3:$I$32,9,FALSE)&gt;=VLOOKUP(VLOOKUP(AE$1, test!$A$3:$I$32,3,FALSE), test!$J$11:$K$14, 2, FALSE)),1,0)</f>
        <v>1</v>
      </c>
      <c r="AF17" s="2">
        <f>IF(AND(VLOOKUP(AF$1,test!$A$3:$I$32,8,FALSE)-VLOOKUP($A17,test!$A$3:$I$32,9,FALSE)&gt;=VLOOKUP(VLOOKUP(AF$1, test!$A$3:$I$32,3,FALSE), test!$J$11:$K$14, 2, FALSE)),1,0)</f>
        <v>1</v>
      </c>
    </row>
    <row r="18" spans="1:32" x14ac:dyDescent="0.25">
      <c r="A18" t="s">
        <v>27</v>
      </c>
      <c r="B18" s="3">
        <v>1</v>
      </c>
      <c r="C18" s="2">
        <f>IF(AND(VLOOKUP(C$1,test!$A$3:$I$32,8,FALSE)-VLOOKUP($A18,test!$A$3:$I$32,9,FALSE)&gt;=VLOOKUP(VLOOKUP(C$1, test!$A$3:$I$32,3,FALSE), test!$J$11:$K$14, 2, FALSE)),1,0)</f>
        <v>0</v>
      </c>
      <c r="D18" s="2">
        <f>IF(AND(VLOOKUP(D$1,test!$A$3:$I$32,8,FALSE)-VLOOKUP($A18,test!$A$3:$I$32,9,FALSE)&gt;=VLOOKUP(VLOOKUP(D$1, test!$A$3:$I$32,3,FALSE), test!$J$11:$K$14, 2, FALSE)),1,0)</f>
        <v>0</v>
      </c>
      <c r="E18" s="2">
        <f>IF(AND(VLOOKUP(E$1,test!$A$3:$I$32,8,FALSE)-VLOOKUP($A18,test!$A$3:$I$32,9,FALSE)&gt;=VLOOKUP(VLOOKUP(E$1, test!$A$3:$I$32,3,FALSE), test!$J$11:$K$14, 2, FALSE)),1,0)</f>
        <v>1</v>
      </c>
      <c r="F18" s="2">
        <f>IF(AND(VLOOKUP(F$1,test!$A$3:$I$32,8,FALSE)-VLOOKUP($A18,test!$A$3:$I$32,9,FALSE)&gt;=VLOOKUP(VLOOKUP(F$1, test!$A$3:$I$32,3,FALSE), test!$J$11:$K$14, 2, FALSE)),1,0)</f>
        <v>1</v>
      </c>
      <c r="G18" s="2">
        <f>IF(AND(VLOOKUP(G$1,test!$A$3:$I$32,8,FALSE)-VLOOKUP($A18,test!$A$3:$I$32,9,FALSE)&gt;=VLOOKUP(VLOOKUP(G$1, test!$A$3:$I$32,3,FALSE), test!$J$11:$K$14, 2, FALSE)),1,0)</f>
        <v>1</v>
      </c>
      <c r="H18" s="2">
        <f>IF(AND(VLOOKUP(H$1,test!$A$3:$I$32,8,FALSE)-VLOOKUP($A18,test!$A$3:$I$32,9,FALSE)&gt;=VLOOKUP(VLOOKUP(H$1, test!$A$3:$I$32,3,FALSE), test!$J$11:$K$14, 2, FALSE)),1,0)</f>
        <v>1</v>
      </c>
      <c r="I18" s="2">
        <f>IF(AND(VLOOKUP(I$1,test!$A$3:$I$32,8,FALSE)-VLOOKUP($A18,test!$A$3:$I$32,9,FALSE)&gt;=VLOOKUP(VLOOKUP(I$1, test!$A$3:$I$32,3,FALSE), test!$J$11:$K$14, 2, FALSE)),1,0)</f>
        <v>1</v>
      </c>
      <c r="J18" s="2">
        <f>IF(AND(VLOOKUP(J$1,test!$A$3:$I$32,8,FALSE)-VLOOKUP($A18,test!$A$3:$I$32,9,FALSE)&gt;=VLOOKUP(VLOOKUP(J$1, test!$A$3:$I$32,3,FALSE), test!$J$11:$K$14, 2, FALSE)),1,0)</f>
        <v>1</v>
      </c>
      <c r="K18" s="2">
        <f>IF(AND(VLOOKUP(K$1,test!$A$3:$I$32,8,FALSE)-VLOOKUP($A18,test!$A$3:$I$32,9,FALSE)&gt;=VLOOKUP(VLOOKUP(K$1, test!$A$3:$I$32,3,FALSE), test!$J$11:$K$14, 2, FALSE)),1,0)</f>
        <v>0</v>
      </c>
      <c r="L18" s="2">
        <f>IF(AND(VLOOKUP(L$1,test!$A$3:$I$32,8,FALSE)-VLOOKUP($A18,test!$A$3:$I$32,9,FALSE)&gt;=VLOOKUP(VLOOKUP(L$1, test!$A$3:$I$32,3,FALSE), test!$J$11:$K$14, 2, FALSE)),1,0)</f>
        <v>0</v>
      </c>
      <c r="M18" s="2">
        <f>IF(AND(VLOOKUP(M$1,test!$A$3:$I$32,8,FALSE)-VLOOKUP($A18,test!$A$3:$I$32,9,FALSE)&gt;=VLOOKUP(VLOOKUP(M$1, test!$A$3:$I$32,3,FALSE), test!$J$11:$K$14, 2, FALSE)),1,0)</f>
        <v>1</v>
      </c>
      <c r="N18" s="2">
        <f>IF(AND(VLOOKUP(N$1,test!$A$3:$I$32,8,FALSE)-VLOOKUP($A18,test!$A$3:$I$32,9,FALSE)&gt;=VLOOKUP(VLOOKUP(N$1, test!$A$3:$I$32,3,FALSE), test!$J$11:$K$14, 2, FALSE)),1,0)</f>
        <v>1</v>
      </c>
      <c r="O18" s="2">
        <f>IF(AND(VLOOKUP(O$1,test!$A$3:$I$32,8,FALSE)-VLOOKUP($A18,test!$A$3:$I$32,9,FALSE)&gt;=VLOOKUP(VLOOKUP(O$1, test!$A$3:$I$32,3,FALSE), test!$J$11:$K$14, 2, FALSE)),1,0)</f>
        <v>1</v>
      </c>
      <c r="P18" s="2">
        <f>IF(AND(VLOOKUP(P$1,test!$A$3:$I$32,8,FALSE)-VLOOKUP($A18,test!$A$3:$I$32,9,FALSE)&gt;=VLOOKUP(VLOOKUP(P$1, test!$A$3:$I$32,3,FALSE), test!$J$11:$K$14, 2, FALSE)),1,0)</f>
        <v>0</v>
      </c>
      <c r="Q18" s="2">
        <f>IF(AND(VLOOKUP(Q$1,test!$A$3:$I$32,8,FALSE)-VLOOKUP($A18,test!$A$3:$I$32,9,FALSE)&gt;=VLOOKUP(VLOOKUP(Q$1, test!$A$3:$I$32,3,FALSE), test!$J$11:$K$14, 2, FALSE)),1,0)</f>
        <v>0</v>
      </c>
      <c r="R18" s="2">
        <f>IF(AND(VLOOKUP(R$1,test!$A$3:$I$32,8,FALSE)-VLOOKUP($A18,test!$A$3:$I$32,9,FALSE)&gt;=VLOOKUP(VLOOKUP(R$1, test!$A$3:$I$32,3,FALSE), test!$J$11:$K$14, 2, FALSE)),1,0)</f>
        <v>0</v>
      </c>
      <c r="S18" s="2">
        <f>IF(AND(VLOOKUP(S$1,test!$A$3:$I$32,8,FALSE)-VLOOKUP($A18,test!$A$3:$I$32,9,FALSE)&gt;=VLOOKUP(VLOOKUP(S$1, test!$A$3:$I$32,3,FALSE), test!$J$11:$K$14, 2, FALSE)),1,0)</f>
        <v>0</v>
      </c>
      <c r="T18" s="2">
        <f>IF(AND(VLOOKUP(T$1,test!$A$3:$I$32,8,FALSE)-VLOOKUP($A18,test!$A$3:$I$32,9,FALSE)&gt;=VLOOKUP(VLOOKUP(T$1, test!$A$3:$I$32,3,FALSE), test!$J$11:$K$14, 2, FALSE)),1,0)</f>
        <v>1</v>
      </c>
      <c r="U18" s="2">
        <f>IF(AND(VLOOKUP(U$1,test!$A$3:$I$32,8,FALSE)-VLOOKUP($A18,test!$A$3:$I$32,9,FALSE)&gt;=VLOOKUP(VLOOKUP(U$1, test!$A$3:$I$32,3,FALSE), test!$J$11:$K$14, 2, FALSE)),1,0)</f>
        <v>1</v>
      </c>
      <c r="V18" s="2">
        <f>IF(AND(VLOOKUP(V$1,test!$A$3:$I$32,8,FALSE)-VLOOKUP($A18,test!$A$3:$I$32,9,FALSE)&gt;=VLOOKUP(VLOOKUP(V$1, test!$A$3:$I$32,3,FALSE), test!$J$11:$K$14, 2, FALSE)),1,0)</f>
        <v>1</v>
      </c>
      <c r="W18" s="2">
        <f>IF(AND(VLOOKUP(W$1,test!$A$3:$I$32,8,FALSE)-VLOOKUP($A18,test!$A$3:$I$32,9,FALSE)&gt;=VLOOKUP(VLOOKUP(W$1, test!$A$3:$I$32,3,FALSE), test!$J$11:$K$14, 2, FALSE)),1,0)</f>
        <v>1</v>
      </c>
      <c r="X18" s="2">
        <f>IF(AND(VLOOKUP(X$1,test!$A$3:$I$32,8,FALSE)-VLOOKUP($A18,test!$A$3:$I$32,9,FALSE)&gt;=VLOOKUP(VLOOKUP(X$1, test!$A$3:$I$32,3,FALSE), test!$J$11:$K$14, 2, FALSE)),1,0)</f>
        <v>1</v>
      </c>
      <c r="Y18" s="2">
        <f>IF(AND(VLOOKUP(Y$1,test!$A$3:$I$32,8,FALSE)-VLOOKUP($A18,test!$A$3:$I$32,9,FALSE)&gt;=VLOOKUP(VLOOKUP(Y$1, test!$A$3:$I$32,3,FALSE), test!$J$11:$K$14, 2, FALSE)),1,0)</f>
        <v>0</v>
      </c>
      <c r="Z18" s="2">
        <f>IF(AND(VLOOKUP(Z$1,test!$A$3:$I$32,8,FALSE)-VLOOKUP($A18,test!$A$3:$I$32,9,FALSE)&gt;=VLOOKUP(VLOOKUP(Z$1, test!$A$3:$I$32,3,FALSE), test!$J$11:$K$14, 2, FALSE)),1,0)</f>
        <v>0</v>
      </c>
      <c r="AA18" s="2">
        <f>IF(AND(VLOOKUP(AA$1,test!$A$3:$I$32,8,FALSE)-VLOOKUP($A18,test!$A$3:$I$32,9,FALSE)&gt;=VLOOKUP(VLOOKUP(AA$1, test!$A$3:$I$32,3,FALSE), test!$J$11:$K$14, 2, FALSE)),1,0)</f>
        <v>1</v>
      </c>
      <c r="AB18" s="2">
        <f>IF(AND(VLOOKUP(AB$1,test!$A$3:$I$32,8,FALSE)-VLOOKUP($A18,test!$A$3:$I$32,9,FALSE)&gt;=VLOOKUP(VLOOKUP(AB$1, test!$A$3:$I$32,3,FALSE), test!$J$11:$K$14, 2, FALSE)),1,0)</f>
        <v>1</v>
      </c>
      <c r="AC18" s="2">
        <f>IF(AND(VLOOKUP(AC$1,test!$A$3:$I$32,8,FALSE)-VLOOKUP($A18,test!$A$3:$I$32,9,FALSE)&gt;=VLOOKUP(VLOOKUP(AC$1, test!$A$3:$I$32,3,FALSE), test!$J$11:$K$14, 2, FALSE)),1,0)</f>
        <v>1</v>
      </c>
      <c r="AD18" s="2">
        <f>IF(AND(VLOOKUP(AD$1,test!$A$3:$I$32,8,FALSE)-VLOOKUP($A18,test!$A$3:$I$32,9,FALSE)&gt;=VLOOKUP(VLOOKUP(AD$1, test!$A$3:$I$32,3,FALSE), test!$J$11:$K$14, 2, FALSE)),1,0)</f>
        <v>0</v>
      </c>
      <c r="AE18" s="2">
        <f>IF(AND(VLOOKUP(AE$1,test!$A$3:$I$32,8,FALSE)-VLOOKUP($A18,test!$A$3:$I$32,9,FALSE)&gt;=VLOOKUP(VLOOKUP(AE$1, test!$A$3:$I$32,3,FALSE), test!$J$11:$K$14, 2, FALSE)),1,0)</f>
        <v>1</v>
      </c>
      <c r="AF18" s="2">
        <f>IF(AND(VLOOKUP(AF$1,test!$A$3:$I$32,8,FALSE)-VLOOKUP($A18,test!$A$3:$I$32,9,FALSE)&gt;=VLOOKUP(VLOOKUP(AF$1, test!$A$3:$I$32,3,FALSE), test!$J$11:$K$14, 2, FALSE)),1,0)</f>
        <v>1</v>
      </c>
    </row>
    <row r="19" spans="1:32" x14ac:dyDescent="0.25">
      <c r="A19" t="s">
        <v>28</v>
      </c>
      <c r="B19" s="3">
        <v>1</v>
      </c>
      <c r="C19" s="2">
        <f>IF(AND(VLOOKUP(C$1,test!$A$3:$I$32,8,FALSE)-VLOOKUP($A19,test!$A$3:$I$32,9,FALSE)&gt;=VLOOKUP(VLOOKUP(C$1, test!$A$3:$I$32,3,FALSE), test!$J$11:$K$14, 2, FALSE)),1,0)</f>
        <v>0</v>
      </c>
      <c r="D19" s="2">
        <f>IF(AND(VLOOKUP(D$1,test!$A$3:$I$32,8,FALSE)-VLOOKUP($A19,test!$A$3:$I$32,9,FALSE)&gt;=VLOOKUP(VLOOKUP(D$1, test!$A$3:$I$32,3,FALSE), test!$J$11:$K$14, 2, FALSE)),1,0)</f>
        <v>0</v>
      </c>
      <c r="E19" s="2">
        <f>IF(AND(VLOOKUP(E$1,test!$A$3:$I$32,8,FALSE)-VLOOKUP($A19,test!$A$3:$I$32,9,FALSE)&gt;=VLOOKUP(VLOOKUP(E$1, test!$A$3:$I$32,3,FALSE), test!$J$11:$K$14, 2, FALSE)),1,0)</f>
        <v>0</v>
      </c>
      <c r="F19" s="2">
        <f>IF(AND(VLOOKUP(F$1,test!$A$3:$I$32,8,FALSE)-VLOOKUP($A19,test!$A$3:$I$32,9,FALSE)&gt;=VLOOKUP(VLOOKUP(F$1, test!$A$3:$I$32,3,FALSE), test!$J$11:$K$14, 2, FALSE)),1,0)</f>
        <v>1</v>
      </c>
      <c r="G19" s="2">
        <f>IF(AND(VLOOKUP(G$1,test!$A$3:$I$32,8,FALSE)-VLOOKUP($A19,test!$A$3:$I$32,9,FALSE)&gt;=VLOOKUP(VLOOKUP(G$1, test!$A$3:$I$32,3,FALSE), test!$J$11:$K$14, 2, FALSE)),1,0)</f>
        <v>1</v>
      </c>
      <c r="H19" s="2">
        <f>IF(AND(VLOOKUP(H$1,test!$A$3:$I$32,8,FALSE)-VLOOKUP($A19,test!$A$3:$I$32,9,FALSE)&gt;=VLOOKUP(VLOOKUP(H$1, test!$A$3:$I$32,3,FALSE), test!$J$11:$K$14, 2, FALSE)),1,0)</f>
        <v>1</v>
      </c>
      <c r="I19" s="2">
        <f>IF(AND(VLOOKUP(I$1,test!$A$3:$I$32,8,FALSE)-VLOOKUP($A19,test!$A$3:$I$32,9,FALSE)&gt;=VLOOKUP(VLOOKUP(I$1, test!$A$3:$I$32,3,FALSE), test!$J$11:$K$14, 2, FALSE)),1,0)</f>
        <v>1</v>
      </c>
      <c r="J19" s="2">
        <f>IF(AND(VLOOKUP(J$1,test!$A$3:$I$32,8,FALSE)-VLOOKUP($A19,test!$A$3:$I$32,9,FALSE)&gt;=VLOOKUP(VLOOKUP(J$1, test!$A$3:$I$32,3,FALSE), test!$J$11:$K$14, 2, FALSE)),1,0)</f>
        <v>1</v>
      </c>
      <c r="K19" s="2">
        <f>IF(AND(VLOOKUP(K$1,test!$A$3:$I$32,8,FALSE)-VLOOKUP($A19,test!$A$3:$I$32,9,FALSE)&gt;=VLOOKUP(VLOOKUP(K$1, test!$A$3:$I$32,3,FALSE), test!$J$11:$K$14, 2, FALSE)),1,0)</f>
        <v>0</v>
      </c>
      <c r="L19" s="2">
        <f>IF(AND(VLOOKUP(L$1,test!$A$3:$I$32,8,FALSE)-VLOOKUP($A19,test!$A$3:$I$32,9,FALSE)&gt;=VLOOKUP(VLOOKUP(L$1, test!$A$3:$I$32,3,FALSE), test!$J$11:$K$14, 2, FALSE)),1,0)</f>
        <v>0</v>
      </c>
      <c r="M19" s="2">
        <f>IF(AND(VLOOKUP(M$1,test!$A$3:$I$32,8,FALSE)-VLOOKUP($A19,test!$A$3:$I$32,9,FALSE)&gt;=VLOOKUP(VLOOKUP(M$1, test!$A$3:$I$32,3,FALSE), test!$J$11:$K$14, 2, FALSE)),1,0)</f>
        <v>0</v>
      </c>
      <c r="N19" s="2">
        <f>IF(AND(VLOOKUP(N$1,test!$A$3:$I$32,8,FALSE)-VLOOKUP($A19,test!$A$3:$I$32,9,FALSE)&gt;=VLOOKUP(VLOOKUP(N$1, test!$A$3:$I$32,3,FALSE), test!$J$11:$K$14, 2, FALSE)),1,0)</f>
        <v>1</v>
      </c>
      <c r="O19" s="2">
        <f>IF(AND(VLOOKUP(O$1,test!$A$3:$I$32,8,FALSE)-VLOOKUP($A19,test!$A$3:$I$32,9,FALSE)&gt;=VLOOKUP(VLOOKUP(O$1, test!$A$3:$I$32,3,FALSE), test!$J$11:$K$14, 2, FALSE)),1,0)</f>
        <v>1</v>
      </c>
      <c r="P19" s="2">
        <f>IF(AND(VLOOKUP(P$1,test!$A$3:$I$32,8,FALSE)-VLOOKUP($A19,test!$A$3:$I$32,9,FALSE)&gt;=VLOOKUP(VLOOKUP(P$1, test!$A$3:$I$32,3,FALSE), test!$J$11:$K$14, 2, FALSE)),1,0)</f>
        <v>0</v>
      </c>
      <c r="Q19" s="2">
        <f>IF(AND(VLOOKUP(Q$1,test!$A$3:$I$32,8,FALSE)-VLOOKUP($A19,test!$A$3:$I$32,9,FALSE)&gt;=VLOOKUP(VLOOKUP(Q$1, test!$A$3:$I$32,3,FALSE), test!$J$11:$K$14, 2, FALSE)),1,0)</f>
        <v>0</v>
      </c>
      <c r="R19" s="2">
        <f>IF(AND(VLOOKUP(R$1,test!$A$3:$I$32,8,FALSE)-VLOOKUP($A19,test!$A$3:$I$32,9,FALSE)&gt;=VLOOKUP(VLOOKUP(R$1, test!$A$3:$I$32,3,FALSE), test!$J$11:$K$14, 2, FALSE)),1,0)</f>
        <v>0</v>
      </c>
      <c r="S19" s="2">
        <f>IF(AND(VLOOKUP(S$1,test!$A$3:$I$32,8,FALSE)-VLOOKUP($A19,test!$A$3:$I$32,9,FALSE)&gt;=VLOOKUP(VLOOKUP(S$1, test!$A$3:$I$32,3,FALSE), test!$J$11:$K$14, 2, FALSE)),1,0)</f>
        <v>0</v>
      </c>
      <c r="T19" s="2">
        <f>IF(AND(VLOOKUP(T$1,test!$A$3:$I$32,8,FALSE)-VLOOKUP($A19,test!$A$3:$I$32,9,FALSE)&gt;=VLOOKUP(VLOOKUP(T$1, test!$A$3:$I$32,3,FALSE), test!$J$11:$K$14, 2, FALSE)),1,0)</f>
        <v>0</v>
      </c>
      <c r="U19" s="2">
        <f>IF(AND(VLOOKUP(U$1,test!$A$3:$I$32,8,FALSE)-VLOOKUP($A19,test!$A$3:$I$32,9,FALSE)&gt;=VLOOKUP(VLOOKUP(U$1, test!$A$3:$I$32,3,FALSE), test!$J$11:$K$14, 2, FALSE)),1,0)</f>
        <v>1</v>
      </c>
      <c r="V19" s="2">
        <f>IF(AND(VLOOKUP(V$1,test!$A$3:$I$32,8,FALSE)-VLOOKUP($A19,test!$A$3:$I$32,9,FALSE)&gt;=VLOOKUP(VLOOKUP(V$1, test!$A$3:$I$32,3,FALSE), test!$J$11:$K$14, 2, FALSE)),1,0)</f>
        <v>1</v>
      </c>
      <c r="W19" s="2">
        <f>IF(AND(VLOOKUP(W$1,test!$A$3:$I$32,8,FALSE)-VLOOKUP($A19,test!$A$3:$I$32,9,FALSE)&gt;=VLOOKUP(VLOOKUP(W$1, test!$A$3:$I$32,3,FALSE), test!$J$11:$K$14, 2, FALSE)),1,0)</f>
        <v>1</v>
      </c>
      <c r="X19" s="2">
        <f>IF(AND(VLOOKUP(X$1,test!$A$3:$I$32,8,FALSE)-VLOOKUP($A19,test!$A$3:$I$32,9,FALSE)&gt;=VLOOKUP(VLOOKUP(X$1, test!$A$3:$I$32,3,FALSE), test!$J$11:$K$14, 2, FALSE)),1,0)</f>
        <v>1</v>
      </c>
      <c r="Y19" s="2">
        <f>IF(AND(VLOOKUP(Y$1,test!$A$3:$I$32,8,FALSE)-VLOOKUP($A19,test!$A$3:$I$32,9,FALSE)&gt;=VLOOKUP(VLOOKUP(Y$1, test!$A$3:$I$32,3,FALSE), test!$J$11:$K$14, 2, FALSE)),1,0)</f>
        <v>0</v>
      </c>
      <c r="Z19" s="2">
        <f>IF(AND(VLOOKUP(Z$1,test!$A$3:$I$32,8,FALSE)-VLOOKUP($A19,test!$A$3:$I$32,9,FALSE)&gt;=VLOOKUP(VLOOKUP(Z$1, test!$A$3:$I$32,3,FALSE), test!$J$11:$K$14, 2, FALSE)),1,0)</f>
        <v>0</v>
      </c>
      <c r="AA19" s="2">
        <f>IF(AND(VLOOKUP(AA$1,test!$A$3:$I$32,8,FALSE)-VLOOKUP($A19,test!$A$3:$I$32,9,FALSE)&gt;=VLOOKUP(VLOOKUP(AA$1, test!$A$3:$I$32,3,FALSE), test!$J$11:$K$14, 2, FALSE)),1,0)</f>
        <v>0</v>
      </c>
      <c r="AB19" s="2">
        <f>IF(AND(VLOOKUP(AB$1,test!$A$3:$I$32,8,FALSE)-VLOOKUP($A19,test!$A$3:$I$32,9,FALSE)&gt;=VLOOKUP(VLOOKUP(AB$1, test!$A$3:$I$32,3,FALSE), test!$J$11:$K$14, 2, FALSE)),1,0)</f>
        <v>1</v>
      </c>
      <c r="AC19" s="2">
        <f>IF(AND(VLOOKUP(AC$1,test!$A$3:$I$32,8,FALSE)-VLOOKUP($A19,test!$A$3:$I$32,9,FALSE)&gt;=VLOOKUP(VLOOKUP(AC$1, test!$A$3:$I$32,3,FALSE), test!$J$11:$K$14, 2, FALSE)),1,0)</f>
        <v>1</v>
      </c>
      <c r="AD19" s="2">
        <f>IF(AND(VLOOKUP(AD$1,test!$A$3:$I$32,8,FALSE)-VLOOKUP($A19,test!$A$3:$I$32,9,FALSE)&gt;=VLOOKUP(VLOOKUP(AD$1, test!$A$3:$I$32,3,FALSE), test!$J$11:$K$14, 2, FALSE)),1,0)</f>
        <v>0</v>
      </c>
      <c r="AE19" s="2">
        <f>IF(AND(VLOOKUP(AE$1,test!$A$3:$I$32,8,FALSE)-VLOOKUP($A19,test!$A$3:$I$32,9,FALSE)&gt;=VLOOKUP(VLOOKUP(AE$1, test!$A$3:$I$32,3,FALSE), test!$J$11:$K$14, 2, FALSE)),1,0)</f>
        <v>0</v>
      </c>
      <c r="AF19" s="2">
        <f>IF(AND(VLOOKUP(AF$1,test!$A$3:$I$32,8,FALSE)-VLOOKUP($A19,test!$A$3:$I$32,9,FALSE)&gt;=VLOOKUP(VLOOKUP(AF$1, test!$A$3:$I$32,3,FALSE), test!$J$11:$K$14, 2, FALSE)),1,0)</f>
        <v>0</v>
      </c>
    </row>
    <row r="20" spans="1:32" x14ac:dyDescent="0.25">
      <c r="A20" t="s">
        <v>29</v>
      </c>
      <c r="B20" s="3">
        <v>1</v>
      </c>
      <c r="C20" s="2">
        <f>IF(AND(VLOOKUP(C$1,test!$A$3:$I$32,8,FALSE)-VLOOKUP($A20,test!$A$3:$I$32,9,FALSE)&gt;=VLOOKUP(VLOOKUP(C$1, test!$A$3:$I$32,3,FALSE), test!$J$11:$K$14, 2, FALSE)),1,0)</f>
        <v>0</v>
      </c>
      <c r="D20" s="2">
        <f>IF(AND(VLOOKUP(D$1,test!$A$3:$I$32,8,FALSE)-VLOOKUP($A20,test!$A$3:$I$32,9,FALSE)&gt;=VLOOKUP(VLOOKUP(D$1, test!$A$3:$I$32,3,FALSE), test!$J$11:$K$14, 2, FALSE)),1,0)</f>
        <v>0</v>
      </c>
      <c r="E20" s="2">
        <f>IF(AND(VLOOKUP(E$1,test!$A$3:$I$32,8,FALSE)-VLOOKUP($A20,test!$A$3:$I$32,9,FALSE)&gt;=VLOOKUP(VLOOKUP(E$1, test!$A$3:$I$32,3,FALSE), test!$J$11:$K$14, 2, FALSE)),1,0)</f>
        <v>0</v>
      </c>
      <c r="F20" s="2">
        <f>IF(AND(VLOOKUP(F$1,test!$A$3:$I$32,8,FALSE)-VLOOKUP($A20,test!$A$3:$I$32,9,FALSE)&gt;=VLOOKUP(VLOOKUP(F$1, test!$A$3:$I$32,3,FALSE), test!$J$11:$K$14, 2, FALSE)),1,0)</f>
        <v>0</v>
      </c>
      <c r="G20" s="2">
        <f>IF(AND(VLOOKUP(G$1,test!$A$3:$I$32,8,FALSE)-VLOOKUP($A20,test!$A$3:$I$32,9,FALSE)&gt;=VLOOKUP(VLOOKUP(G$1, test!$A$3:$I$32,3,FALSE), test!$J$11:$K$14, 2, FALSE)),1,0)</f>
        <v>1</v>
      </c>
      <c r="H20" s="2">
        <f>IF(AND(VLOOKUP(H$1,test!$A$3:$I$32,8,FALSE)-VLOOKUP($A20,test!$A$3:$I$32,9,FALSE)&gt;=VLOOKUP(VLOOKUP(H$1, test!$A$3:$I$32,3,FALSE), test!$J$11:$K$14, 2, FALSE)),1,0)</f>
        <v>1</v>
      </c>
      <c r="I20" s="2">
        <f>IF(AND(VLOOKUP(I$1,test!$A$3:$I$32,8,FALSE)-VLOOKUP($A20,test!$A$3:$I$32,9,FALSE)&gt;=VLOOKUP(VLOOKUP(I$1, test!$A$3:$I$32,3,FALSE), test!$J$11:$K$14, 2, FALSE)),1,0)</f>
        <v>1</v>
      </c>
      <c r="J20" s="2">
        <f>IF(AND(VLOOKUP(J$1,test!$A$3:$I$32,8,FALSE)-VLOOKUP($A20,test!$A$3:$I$32,9,FALSE)&gt;=VLOOKUP(VLOOKUP(J$1, test!$A$3:$I$32,3,FALSE), test!$J$11:$K$14, 2, FALSE)),1,0)</f>
        <v>1</v>
      </c>
      <c r="K20" s="2">
        <f>IF(AND(VLOOKUP(K$1,test!$A$3:$I$32,8,FALSE)-VLOOKUP($A20,test!$A$3:$I$32,9,FALSE)&gt;=VLOOKUP(VLOOKUP(K$1, test!$A$3:$I$32,3,FALSE), test!$J$11:$K$14, 2, FALSE)),1,0)</f>
        <v>0</v>
      </c>
      <c r="L20" s="2">
        <f>IF(AND(VLOOKUP(L$1,test!$A$3:$I$32,8,FALSE)-VLOOKUP($A20,test!$A$3:$I$32,9,FALSE)&gt;=VLOOKUP(VLOOKUP(L$1, test!$A$3:$I$32,3,FALSE), test!$J$11:$K$14, 2, FALSE)),1,0)</f>
        <v>0</v>
      </c>
      <c r="M20" s="2">
        <f>IF(AND(VLOOKUP(M$1,test!$A$3:$I$32,8,FALSE)-VLOOKUP($A20,test!$A$3:$I$32,9,FALSE)&gt;=VLOOKUP(VLOOKUP(M$1, test!$A$3:$I$32,3,FALSE), test!$J$11:$K$14, 2, FALSE)),1,0)</f>
        <v>0</v>
      </c>
      <c r="N20" s="2">
        <f>IF(AND(VLOOKUP(N$1,test!$A$3:$I$32,8,FALSE)-VLOOKUP($A20,test!$A$3:$I$32,9,FALSE)&gt;=VLOOKUP(VLOOKUP(N$1, test!$A$3:$I$32,3,FALSE), test!$J$11:$K$14, 2, FALSE)),1,0)</f>
        <v>1</v>
      </c>
      <c r="O20" s="2">
        <f>IF(AND(VLOOKUP(O$1,test!$A$3:$I$32,8,FALSE)-VLOOKUP($A20,test!$A$3:$I$32,9,FALSE)&gt;=VLOOKUP(VLOOKUP(O$1, test!$A$3:$I$32,3,FALSE), test!$J$11:$K$14, 2, FALSE)),1,0)</f>
        <v>1</v>
      </c>
      <c r="P20" s="2">
        <f>IF(AND(VLOOKUP(P$1,test!$A$3:$I$32,8,FALSE)-VLOOKUP($A20,test!$A$3:$I$32,9,FALSE)&gt;=VLOOKUP(VLOOKUP(P$1, test!$A$3:$I$32,3,FALSE), test!$J$11:$K$14, 2, FALSE)),1,0)</f>
        <v>0</v>
      </c>
      <c r="Q20" s="2">
        <f>IF(AND(VLOOKUP(Q$1,test!$A$3:$I$32,8,FALSE)-VLOOKUP($A20,test!$A$3:$I$32,9,FALSE)&gt;=VLOOKUP(VLOOKUP(Q$1, test!$A$3:$I$32,3,FALSE), test!$J$11:$K$14, 2, FALSE)),1,0)</f>
        <v>0</v>
      </c>
      <c r="R20" s="2">
        <f>IF(AND(VLOOKUP(R$1,test!$A$3:$I$32,8,FALSE)-VLOOKUP($A20,test!$A$3:$I$32,9,FALSE)&gt;=VLOOKUP(VLOOKUP(R$1, test!$A$3:$I$32,3,FALSE), test!$J$11:$K$14, 2, FALSE)),1,0)</f>
        <v>0</v>
      </c>
      <c r="S20" s="2">
        <f>IF(AND(VLOOKUP(S$1,test!$A$3:$I$32,8,FALSE)-VLOOKUP($A20,test!$A$3:$I$32,9,FALSE)&gt;=VLOOKUP(VLOOKUP(S$1, test!$A$3:$I$32,3,FALSE), test!$J$11:$K$14, 2, FALSE)),1,0)</f>
        <v>0</v>
      </c>
      <c r="T20" s="2">
        <f>IF(AND(VLOOKUP(T$1,test!$A$3:$I$32,8,FALSE)-VLOOKUP($A20,test!$A$3:$I$32,9,FALSE)&gt;=VLOOKUP(VLOOKUP(T$1, test!$A$3:$I$32,3,FALSE), test!$J$11:$K$14, 2, FALSE)),1,0)</f>
        <v>0</v>
      </c>
      <c r="U20" s="2">
        <f>IF(AND(VLOOKUP(U$1,test!$A$3:$I$32,8,FALSE)-VLOOKUP($A20,test!$A$3:$I$32,9,FALSE)&gt;=VLOOKUP(VLOOKUP(U$1, test!$A$3:$I$32,3,FALSE), test!$J$11:$K$14, 2, FALSE)),1,0)</f>
        <v>0</v>
      </c>
      <c r="V20" s="2">
        <f>IF(AND(VLOOKUP(V$1,test!$A$3:$I$32,8,FALSE)-VLOOKUP($A20,test!$A$3:$I$32,9,FALSE)&gt;=VLOOKUP(VLOOKUP(V$1, test!$A$3:$I$32,3,FALSE), test!$J$11:$K$14, 2, FALSE)),1,0)</f>
        <v>1</v>
      </c>
      <c r="W20" s="2">
        <f>IF(AND(VLOOKUP(W$1,test!$A$3:$I$32,8,FALSE)-VLOOKUP($A20,test!$A$3:$I$32,9,FALSE)&gt;=VLOOKUP(VLOOKUP(W$1, test!$A$3:$I$32,3,FALSE), test!$J$11:$K$14, 2, FALSE)),1,0)</f>
        <v>1</v>
      </c>
      <c r="X20" s="2">
        <f>IF(AND(VLOOKUP(X$1,test!$A$3:$I$32,8,FALSE)-VLOOKUP($A20,test!$A$3:$I$32,9,FALSE)&gt;=VLOOKUP(VLOOKUP(X$1, test!$A$3:$I$32,3,FALSE), test!$J$11:$K$14, 2, FALSE)),1,0)</f>
        <v>1</v>
      </c>
      <c r="Y20" s="2">
        <f>IF(AND(VLOOKUP(Y$1,test!$A$3:$I$32,8,FALSE)-VLOOKUP($A20,test!$A$3:$I$32,9,FALSE)&gt;=VLOOKUP(VLOOKUP(Y$1, test!$A$3:$I$32,3,FALSE), test!$J$11:$K$14, 2, FALSE)),1,0)</f>
        <v>0</v>
      </c>
      <c r="Z20" s="2">
        <f>IF(AND(VLOOKUP(Z$1,test!$A$3:$I$32,8,FALSE)-VLOOKUP($A20,test!$A$3:$I$32,9,FALSE)&gt;=VLOOKUP(VLOOKUP(Z$1, test!$A$3:$I$32,3,FALSE), test!$J$11:$K$14, 2, FALSE)),1,0)</f>
        <v>0</v>
      </c>
      <c r="AA20" s="2">
        <f>IF(AND(VLOOKUP(AA$1,test!$A$3:$I$32,8,FALSE)-VLOOKUP($A20,test!$A$3:$I$32,9,FALSE)&gt;=VLOOKUP(VLOOKUP(AA$1, test!$A$3:$I$32,3,FALSE), test!$J$11:$K$14, 2, FALSE)),1,0)</f>
        <v>0</v>
      </c>
      <c r="AB20" s="2">
        <f>IF(AND(VLOOKUP(AB$1,test!$A$3:$I$32,8,FALSE)-VLOOKUP($A20,test!$A$3:$I$32,9,FALSE)&gt;=VLOOKUP(VLOOKUP(AB$1, test!$A$3:$I$32,3,FALSE), test!$J$11:$K$14, 2, FALSE)),1,0)</f>
        <v>0</v>
      </c>
      <c r="AC20" s="2">
        <f>IF(AND(VLOOKUP(AC$1,test!$A$3:$I$32,8,FALSE)-VLOOKUP($A20,test!$A$3:$I$32,9,FALSE)&gt;=VLOOKUP(VLOOKUP(AC$1, test!$A$3:$I$32,3,FALSE), test!$J$11:$K$14, 2, FALSE)),1,0)</f>
        <v>1</v>
      </c>
      <c r="AD20" s="2">
        <f>IF(AND(VLOOKUP(AD$1,test!$A$3:$I$32,8,FALSE)-VLOOKUP($A20,test!$A$3:$I$32,9,FALSE)&gt;=VLOOKUP(VLOOKUP(AD$1, test!$A$3:$I$32,3,FALSE), test!$J$11:$K$14, 2, FALSE)),1,0)</f>
        <v>0</v>
      </c>
      <c r="AE20" s="2">
        <f>IF(AND(VLOOKUP(AE$1,test!$A$3:$I$32,8,FALSE)-VLOOKUP($A20,test!$A$3:$I$32,9,FALSE)&gt;=VLOOKUP(VLOOKUP(AE$1, test!$A$3:$I$32,3,FALSE), test!$J$11:$K$14, 2, FALSE)),1,0)</f>
        <v>0</v>
      </c>
      <c r="AF20" s="2">
        <f>IF(AND(VLOOKUP(AF$1,test!$A$3:$I$32,8,FALSE)-VLOOKUP($A20,test!$A$3:$I$32,9,FALSE)&gt;=VLOOKUP(VLOOKUP(AF$1, test!$A$3:$I$32,3,FALSE), test!$J$11:$K$14, 2, FALSE)),1,0)</f>
        <v>0</v>
      </c>
    </row>
    <row r="21" spans="1:32" x14ac:dyDescent="0.25">
      <c r="A21" t="s">
        <v>30</v>
      </c>
      <c r="B21" s="3">
        <v>1</v>
      </c>
      <c r="C21" s="2">
        <f>IF(AND(VLOOKUP(C$1,test!$A$3:$I$32,8,FALSE)-VLOOKUP($A21,test!$A$3:$I$32,9,FALSE)&gt;=VLOOKUP(VLOOKUP(C$1, test!$A$3:$I$32,3,FALSE), test!$J$11:$K$14, 2, FALSE)),1,0)</f>
        <v>0</v>
      </c>
      <c r="D21" s="2">
        <f>IF(AND(VLOOKUP(D$1,test!$A$3:$I$32,8,FALSE)-VLOOKUP($A21,test!$A$3:$I$32,9,FALSE)&gt;=VLOOKUP(VLOOKUP(D$1, test!$A$3:$I$32,3,FALSE), test!$J$11:$K$14, 2, FALSE)),1,0)</f>
        <v>0</v>
      </c>
      <c r="E21" s="2">
        <f>IF(AND(VLOOKUP(E$1,test!$A$3:$I$32,8,FALSE)-VLOOKUP($A21,test!$A$3:$I$32,9,FALSE)&gt;=VLOOKUP(VLOOKUP(E$1, test!$A$3:$I$32,3,FALSE), test!$J$11:$K$14, 2, FALSE)),1,0)</f>
        <v>0</v>
      </c>
      <c r="F21" s="2">
        <f>IF(AND(VLOOKUP(F$1,test!$A$3:$I$32,8,FALSE)-VLOOKUP($A21,test!$A$3:$I$32,9,FALSE)&gt;=VLOOKUP(VLOOKUP(F$1, test!$A$3:$I$32,3,FALSE), test!$J$11:$K$14, 2, FALSE)),1,0)</f>
        <v>0</v>
      </c>
      <c r="G21" s="2">
        <f>IF(AND(VLOOKUP(G$1,test!$A$3:$I$32,8,FALSE)-VLOOKUP($A21,test!$A$3:$I$32,9,FALSE)&gt;=VLOOKUP(VLOOKUP(G$1, test!$A$3:$I$32,3,FALSE), test!$J$11:$K$14, 2, FALSE)),1,0)</f>
        <v>0</v>
      </c>
      <c r="H21" s="2">
        <f>IF(AND(VLOOKUP(H$1,test!$A$3:$I$32,8,FALSE)-VLOOKUP($A21,test!$A$3:$I$32,9,FALSE)&gt;=VLOOKUP(VLOOKUP(H$1, test!$A$3:$I$32,3,FALSE), test!$J$11:$K$14, 2, FALSE)),1,0)</f>
        <v>0</v>
      </c>
      <c r="I21" s="2">
        <f>IF(AND(VLOOKUP(I$1,test!$A$3:$I$32,8,FALSE)-VLOOKUP($A21,test!$A$3:$I$32,9,FALSE)&gt;=VLOOKUP(VLOOKUP(I$1, test!$A$3:$I$32,3,FALSE), test!$J$11:$K$14, 2, FALSE)),1,0)</f>
        <v>1</v>
      </c>
      <c r="J21" s="2">
        <f>IF(AND(VLOOKUP(J$1,test!$A$3:$I$32,8,FALSE)-VLOOKUP($A21,test!$A$3:$I$32,9,FALSE)&gt;=VLOOKUP(VLOOKUP(J$1, test!$A$3:$I$32,3,FALSE), test!$J$11:$K$14, 2, FALSE)),1,0)</f>
        <v>1</v>
      </c>
      <c r="K21" s="2">
        <f>IF(AND(VLOOKUP(K$1,test!$A$3:$I$32,8,FALSE)-VLOOKUP($A21,test!$A$3:$I$32,9,FALSE)&gt;=VLOOKUP(VLOOKUP(K$1, test!$A$3:$I$32,3,FALSE), test!$J$11:$K$14, 2, FALSE)),1,0)</f>
        <v>0</v>
      </c>
      <c r="L21" s="2">
        <f>IF(AND(VLOOKUP(L$1,test!$A$3:$I$32,8,FALSE)-VLOOKUP($A21,test!$A$3:$I$32,9,FALSE)&gt;=VLOOKUP(VLOOKUP(L$1, test!$A$3:$I$32,3,FALSE), test!$J$11:$K$14, 2, FALSE)),1,0)</f>
        <v>0</v>
      </c>
      <c r="M21" s="2">
        <f>IF(AND(VLOOKUP(M$1,test!$A$3:$I$32,8,FALSE)-VLOOKUP($A21,test!$A$3:$I$32,9,FALSE)&gt;=VLOOKUP(VLOOKUP(M$1, test!$A$3:$I$32,3,FALSE), test!$J$11:$K$14, 2, FALSE)),1,0)</f>
        <v>0</v>
      </c>
      <c r="N21" s="2">
        <f>IF(AND(VLOOKUP(N$1,test!$A$3:$I$32,8,FALSE)-VLOOKUP($A21,test!$A$3:$I$32,9,FALSE)&gt;=VLOOKUP(VLOOKUP(N$1, test!$A$3:$I$32,3,FALSE), test!$J$11:$K$14, 2, FALSE)),1,0)</f>
        <v>1</v>
      </c>
      <c r="O21" s="2">
        <f>IF(AND(VLOOKUP(O$1,test!$A$3:$I$32,8,FALSE)-VLOOKUP($A21,test!$A$3:$I$32,9,FALSE)&gt;=VLOOKUP(VLOOKUP(O$1, test!$A$3:$I$32,3,FALSE), test!$J$11:$K$14, 2, FALSE)),1,0)</f>
        <v>1</v>
      </c>
      <c r="P21" s="2">
        <f>IF(AND(VLOOKUP(P$1,test!$A$3:$I$32,8,FALSE)-VLOOKUP($A21,test!$A$3:$I$32,9,FALSE)&gt;=VLOOKUP(VLOOKUP(P$1, test!$A$3:$I$32,3,FALSE), test!$J$11:$K$14, 2, FALSE)),1,0)</f>
        <v>0</v>
      </c>
      <c r="Q21" s="2">
        <f>IF(AND(VLOOKUP(Q$1,test!$A$3:$I$32,8,FALSE)-VLOOKUP($A21,test!$A$3:$I$32,9,FALSE)&gt;=VLOOKUP(VLOOKUP(Q$1, test!$A$3:$I$32,3,FALSE), test!$J$11:$K$14, 2, FALSE)),1,0)</f>
        <v>0</v>
      </c>
      <c r="R21" s="2">
        <f>IF(AND(VLOOKUP(R$1,test!$A$3:$I$32,8,FALSE)-VLOOKUP($A21,test!$A$3:$I$32,9,FALSE)&gt;=VLOOKUP(VLOOKUP(R$1, test!$A$3:$I$32,3,FALSE), test!$J$11:$K$14, 2, FALSE)),1,0)</f>
        <v>0</v>
      </c>
      <c r="S21" s="2">
        <f>IF(AND(VLOOKUP(S$1,test!$A$3:$I$32,8,FALSE)-VLOOKUP($A21,test!$A$3:$I$32,9,FALSE)&gt;=VLOOKUP(VLOOKUP(S$1, test!$A$3:$I$32,3,FALSE), test!$J$11:$K$14, 2, FALSE)),1,0)</f>
        <v>0</v>
      </c>
      <c r="T21" s="2">
        <f>IF(AND(VLOOKUP(T$1,test!$A$3:$I$32,8,FALSE)-VLOOKUP($A21,test!$A$3:$I$32,9,FALSE)&gt;=VLOOKUP(VLOOKUP(T$1, test!$A$3:$I$32,3,FALSE), test!$J$11:$K$14, 2, FALSE)),1,0)</f>
        <v>0</v>
      </c>
      <c r="U21" s="2">
        <f>IF(AND(VLOOKUP(U$1,test!$A$3:$I$32,8,FALSE)-VLOOKUP($A21,test!$A$3:$I$32,9,FALSE)&gt;=VLOOKUP(VLOOKUP(U$1, test!$A$3:$I$32,3,FALSE), test!$J$11:$K$14, 2, FALSE)),1,0)</f>
        <v>0</v>
      </c>
      <c r="V21" s="2">
        <f>IF(AND(VLOOKUP(V$1,test!$A$3:$I$32,8,FALSE)-VLOOKUP($A21,test!$A$3:$I$32,9,FALSE)&gt;=VLOOKUP(VLOOKUP(V$1, test!$A$3:$I$32,3,FALSE), test!$J$11:$K$14, 2, FALSE)),1,0)</f>
        <v>0</v>
      </c>
      <c r="W21" s="2">
        <f>IF(AND(VLOOKUP(W$1,test!$A$3:$I$32,8,FALSE)-VLOOKUP($A21,test!$A$3:$I$32,9,FALSE)&gt;=VLOOKUP(VLOOKUP(W$1, test!$A$3:$I$32,3,FALSE), test!$J$11:$K$14, 2, FALSE)),1,0)</f>
        <v>1</v>
      </c>
      <c r="X21" s="2">
        <f>IF(AND(VLOOKUP(X$1,test!$A$3:$I$32,8,FALSE)-VLOOKUP($A21,test!$A$3:$I$32,9,FALSE)&gt;=VLOOKUP(VLOOKUP(X$1, test!$A$3:$I$32,3,FALSE), test!$J$11:$K$14, 2, FALSE)),1,0)</f>
        <v>1</v>
      </c>
      <c r="Y21" s="2">
        <f>IF(AND(VLOOKUP(Y$1,test!$A$3:$I$32,8,FALSE)-VLOOKUP($A21,test!$A$3:$I$32,9,FALSE)&gt;=VLOOKUP(VLOOKUP(Y$1, test!$A$3:$I$32,3,FALSE), test!$J$11:$K$14, 2, FALSE)),1,0)</f>
        <v>0</v>
      </c>
      <c r="Z21" s="2">
        <f>IF(AND(VLOOKUP(Z$1,test!$A$3:$I$32,8,FALSE)-VLOOKUP($A21,test!$A$3:$I$32,9,FALSE)&gt;=VLOOKUP(VLOOKUP(Z$1, test!$A$3:$I$32,3,FALSE), test!$J$11:$K$14, 2, FALSE)),1,0)</f>
        <v>0</v>
      </c>
      <c r="AA21" s="2">
        <f>IF(AND(VLOOKUP(AA$1,test!$A$3:$I$32,8,FALSE)-VLOOKUP($A21,test!$A$3:$I$32,9,FALSE)&gt;=VLOOKUP(VLOOKUP(AA$1, test!$A$3:$I$32,3,FALSE), test!$J$11:$K$14, 2, FALSE)),1,0)</f>
        <v>0</v>
      </c>
      <c r="AB21" s="2">
        <f>IF(AND(VLOOKUP(AB$1,test!$A$3:$I$32,8,FALSE)-VLOOKUP($A21,test!$A$3:$I$32,9,FALSE)&gt;=VLOOKUP(VLOOKUP(AB$1, test!$A$3:$I$32,3,FALSE), test!$J$11:$K$14, 2, FALSE)),1,0)</f>
        <v>0</v>
      </c>
      <c r="AC21" s="2">
        <f>IF(AND(VLOOKUP(AC$1,test!$A$3:$I$32,8,FALSE)-VLOOKUP($A21,test!$A$3:$I$32,9,FALSE)&gt;=VLOOKUP(VLOOKUP(AC$1, test!$A$3:$I$32,3,FALSE), test!$J$11:$K$14, 2, FALSE)),1,0)</f>
        <v>0</v>
      </c>
      <c r="AD21" s="2">
        <f>IF(AND(VLOOKUP(AD$1,test!$A$3:$I$32,8,FALSE)-VLOOKUP($A21,test!$A$3:$I$32,9,FALSE)&gt;=VLOOKUP(VLOOKUP(AD$1, test!$A$3:$I$32,3,FALSE), test!$J$11:$K$14, 2, FALSE)),1,0)</f>
        <v>0</v>
      </c>
      <c r="AE21" s="2">
        <f>IF(AND(VLOOKUP(AE$1,test!$A$3:$I$32,8,FALSE)-VLOOKUP($A21,test!$A$3:$I$32,9,FALSE)&gt;=VLOOKUP(VLOOKUP(AE$1, test!$A$3:$I$32,3,FALSE), test!$J$11:$K$14, 2, FALSE)),1,0)</f>
        <v>0</v>
      </c>
      <c r="AF21" s="2">
        <f>IF(AND(VLOOKUP(AF$1,test!$A$3:$I$32,8,FALSE)-VLOOKUP($A21,test!$A$3:$I$32,9,FALSE)&gt;=VLOOKUP(VLOOKUP(AF$1, test!$A$3:$I$32,3,FALSE), test!$J$11:$K$14, 2, FALSE)),1,0)</f>
        <v>0</v>
      </c>
    </row>
    <row r="22" spans="1:32" x14ac:dyDescent="0.25">
      <c r="A22" t="s">
        <v>31</v>
      </c>
      <c r="B22" s="3">
        <v>1</v>
      </c>
      <c r="C22" s="2">
        <f>IF(AND(VLOOKUP(C$1,test!$A$3:$I$32,8,FALSE)-VLOOKUP($A22,test!$A$3:$I$32,9,FALSE)&gt;=VLOOKUP(VLOOKUP(C$1, test!$A$3:$I$32,3,FALSE), test!$J$11:$K$14, 2, FALSE)),1,0)</f>
        <v>0</v>
      </c>
      <c r="D22" s="2">
        <f>IF(AND(VLOOKUP(D$1,test!$A$3:$I$32,8,FALSE)-VLOOKUP($A22,test!$A$3:$I$32,9,FALSE)&gt;=VLOOKUP(VLOOKUP(D$1, test!$A$3:$I$32,3,FALSE), test!$J$11:$K$14, 2, FALSE)),1,0)</f>
        <v>0</v>
      </c>
      <c r="E22" s="2">
        <f>IF(AND(VLOOKUP(E$1,test!$A$3:$I$32,8,FALSE)-VLOOKUP($A22,test!$A$3:$I$32,9,FALSE)&gt;=VLOOKUP(VLOOKUP(E$1, test!$A$3:$I$32,3,FALSE), test!$J$11:$K$14, 2, FALSE)),1,0)</f>
        <v>0</v>
      </c>
      <c r="F22" s="2">
        <f>IF(AND(VLOOKUP(F$1,test!$A$3:$I$32,8,FALSE)-VLOOKUP($A22,test!$A$3:$I$32,9,FALSE)&gt;=VLOOKUP(VLOOKUP(F$1, test!$A$3:$I$32,3,FALSE), test!$J$11:$K$14, 2, FALSE)),1,0)</f>
        <v>0</v>
      </c>
      <c r="G22" s="2">
        <f>IF(AND(VLOOKUP(G$1,test!$A$3:$I$32,8,FALSE)-VLOOKUP($A22,test!$A$3:$I$32,9,FALSE)&gt;=VLOOKUP(VLOOKUP(G$1, test!$A$3:$I$32,3,FALSE), test!$J$11:$K$14, 2, FALSE)),1,0)</f>
        <v>0</v>
      </c>
      <c r="H22" s="2">
        <f>IF(AND(VLOOKUP(H$1,test!$A$3:$I$32,8,FALSE)-VLOOKUP($A22,test!$A$3:$I$32,9,FALSE)&gt;=VLOOKUP(VLOOKUP(H$1, test!$A$3:$I$32,3,FALSE), test!$J$11:$K$14, 2, FALSE)),1,0)</f>
        <v>0</v>
      </c>
      <c r="I22" s="2">
        <f>IF(AND(VLOOKUP(I$1,test!$A$3:$I$32,8,FALSE)-VLOOKUP($A22,test!$A$3:$I$32,9,FALSE)&gt;=VLOOKUP(VLOOKUP(I$1, test!$A$3:$I$32,3,FALSE), test!$J$11:$K$14, 2, FALSE)),1,0)</f>
        <v>0</v>
      </c>
      <c r="J22" s="2">
        <f>IF(AND(VLOOKUP(J$1,test!$A$3:$I$32,8,FALSE)-VLOOKUP($A22,test!$A$3:$I$32,9,FALSE)&gt;=VLOOKUP(VLOOKUP(J$1, test!$A$3:$I$32,3,FALSE), test!$J$11:$K$14, 2, FALSE)),1,0)</f>
        <v>1</v>
      </c>
      <c r="K22" s="2">
        <f>IF(AND(VLOOKUP(K$1,test!$A$3:$I$32,8,FALSE)-VLOOKUP($A22,test!$A$3:$I$32,9,FALSE)&gt;=VLOOKUP(VLOOKUP(K$1, test!$A$3:$I$32,3,FALSE), test!$J$11:$K$14, 2, FALSE)),1,0)</f>
        <v>0</v>
      </c>
      <c r="L22" s="2">
        <f>IF(AND(VLOOKUP(L$1,test!$A$3:$I$32,8,FALSE)-VLOOKUP($A22,test!$A$3:$I$32,9,FALSE)&gt;=VLOOKUP(VLOOKUP(L$1, test!$A$3:$I$32,3,FALSE), test!$J$11:$K$14, 2, FALSE)),1,0)</f>
        <v>0</v>
      </c>
      <c r="M22" s="2">
        <f>IF(AND(VLOOKUP(M$1,test!$A$3:$I$32,8,FALSE)-VLOOKUP($A22,test!$A$3:$I$32,9,FALSE)&gt;=VLOOKUP(VLOOKUP(M$1, test!$A$3:$I$32,3,FALSE), test!$J$11:$K$14, 2, FALSE)),1,0)</f>
        <v>0</v>
      </c>
      <c r="N22" s="2">
        <f>IF(AND(VLOOKUP(N$1,test!$A$3:$I$32,8,FALSE)-VLOOKUP($A22,test!$A$3:$I$32,9,FALSE)&gt;=VLOOKUP(VLOOKUP(N$1, test!$A$3:$I$32,3,FALSE), test!$J$11:$K$14, 2, FALSE)),1,0)</f>
        <v>1</v>
      </c>
      <c r="O22" s="2">
        <f>IF(AND(VLOOKUP(O$1,test!$A$3:$I$32,8,FALSE)-VLOOKUP($A22,test!$A$3:$I$32,9,FALSE)&gt;=VLOOKUP(VLOOKUP(O$1, test!$A$3:$I$32,3,FALSE), test!$J$11:$K$14, 2, FALSE)),1,0)</f>
        <v>1</v>
      </c>
      <c r="P22" s="2">
        <f>IF(AND(VLOOKUP(P$1,test!$A$3:$I$32,8,FALSE)-VLOOKUP($A22,test!$A$3:$I$32,9,FALSE)&gt;=VLOOKUP(VLOOKUP(P$1, test!$A$3:$I$32,3,FALSE), test!$J$11:$K$14, 2, FALSE)),1,0)</f>
        <v>0</v>
      </c>
      <c r="Q22" s="2">
        <f>IF(AND(VLOOKUP(Q$1,test!$A$3:$I$32,8,FALSE)-VLOOKUP($A22,test!$A$3:$I$32,9,FALSE)&gt;=VLOOKUP(VLOOKUP(Q$1, test!$A$3:$I$32,3,FALSE), test!$J$11:$K$14, 2, FALSE)),1,0)</f>
        <v>0</v>
      </c>
      <c r="R22" s="2">
        <f>IF(AND(VLOOKUP(R$1,test!$A$3:$I$32,8,FALSE)-VLOOKUP($A22,test!$A$3:$I$32,9,FALSE)&gt;=VLOOKUP(VLOOKUP(R$1, test!$A$3:$I$32,3,FALSE), test!$J$11:$K$14, 2, FALSE)),1,0)</f>
        <v>0</v>
      </c>
      <c r="S22" s="2">
        <f>IF(AND(VLOOKUP(S$1,test!$A$3:$I$32,8,FALSE)-VLOOKUP($A22,test!$A$3:$I$32,9,FALSE)&gt;=VLOOKUP(VLOOKUP(S$1, test!$A$3:$I$32,3,FALSE), test!$J$11:$K$14, 2, FALSE)),1,0)</f>
        <v>0</v>
      </c>
      <c r="T22" s="2">
        <f>IF(AND(VLOOKUP(T$1,test!$A$3:$I$32,8,FALSE)-VLOOKUP($A22,test!$A$3:$I$32,9,FALSE)&gt;=VLOOKUP(VLOOKUP(T$1, test!$A$3:$I$32,3,FALSE), test!$J$11:$K$14, 2, FALSE)),1,0)</f>
        <v>0</v>
      </c>
      <c r="U22" s="2">
        <f>IF(AND(VLOOKUP(U$1,test!$A$3:$I$32,8,FALSE)-VLOOKUP($A22,test!$A$3:$I$32,9,FALSE)&gt;=VLOOKUP(VLOOKUP(U$1, test!$A$3:$I$32,3,FALSE), test!$J$11:$K$14, 2, FALSE)),1,0)</f>
        <v>0</v>
      </c>
      <c r="V22" s="2">
        <f>IF(AND(VLOOKUP(V$1,test!$A$3:$I$32,8,FALSE)-VLOOKUP($A22,test!$A$3:$I$32,9,FALSE)&gt;=VLOOKUP(VLOOKUP(V$1, test!$A$3:$I$32,3,FALSE), test!$J$11:$K$14, 2, FALSE)),1,0)</f>
        <v>0</v>
      </c>
      <c r="W22" s="2">
        <f>IF(AND(VLOOKUP(W$1,test!$A$3:$I$32,8,FALSE)-VLOOKUP($A22,test!$A$3:$I$32,9,FALSE)&gt;=VLOOKUP(VLOOKUP(W$1, test!$A$3:$I$32,3,FALSE), test!$J$11:$K$14, 2, FALSE)),1,0)</f>
        <v>0</v>
      </c>
      <c r="X22" s="2">
        <f>IF(AND(VLOOKUP(X$1,test!$A$3:$I$32,8,FALSE)-VLOOKUP($A22,test!$A$3:$I$32,9,FALSE)&gt;=VLOOKUP(VLOOKUP(X$1, test!$A$3:$I$32,3,FALSE), test!$J$11:$K$14, 2, FALSE)),1,0)</f>
        <v>1</v>
      </c>
      <c r="Y22" s="2">
        <f>IF(AND(VLOOKUP(Y$1,test!$A$3:$I$32,8,FALSE)-VLOOKUP($A22,test!$A$3:$I$32,9,FALSE)&gt;=VLOOKUP(VLOOKUP(Y$1, test!$A$3:$I$32,3,FALSE), test!$J$11:$K$14, 2, FALSE)),1,0)</f>
        <v>0</v>
      </c>
      <c r="Z22" s="2">
        <f>IF(AND(VLOOKUP(Z$1,test!$A$3:$I$32,8,FALSE)-VLOOKUP($A22,test!$A$3:$I$32,9,FALSE)&gt;=VLOOKUP(VLOOKUP(Z$1, test!$A$3:$I$32,3,FALSE), test!$J$11:$K$14, 2, FALSE)),1,0)</f>
        <v>0</v>
      </c>
      <c r="AA22" s="2">
        <f>IF(AND(VLOOKUP(AA$1,test!$A$3:$I$32,8,FALSE)-VLOOKUP($A22,test!$A$3:$I$32,9,FALSE)&gt;=VLOOKUP(VLOOKUP(AA$1, test!$A$3:$I$32,3,FALSE), test!$J$11:$K$14, 2, FALSE)),1,0)</f>
        <v>0</v>
      </c>
      <c r="AB22" s="2">
        <f>IF(AND(VLOOKUP(AB$1,test!$A$3:$I$32,8,FALSE)-VLOOKUP($A22,test!$A$3:$I$32,9,FALSE)&gt;=VLOOKUP(VLOOKUP(AB$1, test!$A$3:$I$32,3,FALSE), test!$J$11:$K$14, 2, FALSE)),1,0)</f>
        <v>0</v>
      </c>
      <c r="AC22" s="2">
        <f>IF(AND(VLOOKUP(AC$1,test!$A$3:$I$32,8,FALSE)-VLOOKUP($A22,test!$A$3:$I$32,9,FALSE)&gt;=VLOOKUP(VLOOKUP(AC$1, test!$A$3:$I$32,3,FALSE), test!$J$11:$K$14, 2, FALSE)),1,0)</f>
        <v>0</v>
      </c>
      <c r="AD22" s="2">
        <f>IF(AND(VLOOKUP(AD$1,test!$A$3:$I$32,8,FALSE)-VLOOKUP($A22,test!$A$3:$I$32,9,FALSE)&gt;=VLOOKUP(VLOOKUP(AD$1, test!$A$3:$I$32,3,FALSE), test!$J$11:$K$14, 2, FALSE)),1,0)</f>
        <v>0</v>
      </c>
      <c r="AE22" s="2">
        <f>IF(AND(VLOOKUP(AE$1,test!$A$3:$I$32,8,FALSE)-VLOOKUP($A22,test!$A$3:$I$32,9,FALSE)&gt;=VLOOKUP(VLOOKUP(AE$1, test!$A$3:$I$32,3,FALSE), test!$J$11:$K$14, 2, FALSE)),1,0)</f>
        <v>0</v>
      </c>
      <c r="AF22" s="2">
        <f>IF(AND(VLOOKUP(AF$1,test!$A$3:$I$32,8,FALSE)-VLOOKUP($A22,test!$A$3:$I$32,9,FALSE)&gt;=VLOOKUP(VLOOKUP(AF$1, test!$A$3:$I$32,3,FALSE), test!$J$11:$K$14, 2, FALSE)),1,0)</f>
        <v>0</v>
      </c>
    </row>
    <row r="23" spans="1:32" x14ac:dyDescent="0.25">
      <c r="A23" t="s">
        <v>32</v>
      </c>
      <c r="B23" s="3">
        <v>1</v>
      </c>
      <c r="C23" s="2">
        <f>IF(AND(VLOOKUP(C$1,test!$A$3:$I$32,8,FALSE)-VLOOKUP($A23,test!$A$3:$I$32,9,FALSE)&gt;=VLOOKUP(VLOOKUP(C$1, test!$A$3:$I$32,3,FALSE), test!$J$11:$K$14, 2, FALSE)),1,0)</f>
        <v>0</v>
      </c>
      <c r="D23" s="2">
        <f>IF(AND(VLOOKUP(D$1,test!$A$3:$I$32,8,FALSE)-VLOOKUP($A23,test!$A$3:$I$32,9,FALSE)&gt;=VLOOKUP(VLOOKUP(D$1, test!$A$3:$I$32,3,FALSE), test!$J$11:$K$14, 2, FALSE)),1,0)</f>
        <v>0</v>
      </c>
      <c r="E23" s="2">
        <f>IF(AND(VLOOKUP(E$1,test!$A$3:$I$32,8,FALSE)-VLOOKUP($A23,test!$A$3:$I$32,9,FALSE)&gt;=VLOOKUP(VLOOKUP(E$1, test!$A$3:$I$32,3,FALSE), test!$J$11:$K$14, 2, FALSE)),1,0)</f>
        <v>0</v>
      </c>
      <c r="F23" s="2">
        <f>IF(AND(VLOOKUP(F$1,test!$A$3:$I$32,8,FALSE)-VLOOKUP($A23,test!$A$3:$I$32,9,FALSE)&gt;=VLOOKUP(VLOOKUP(F$1, test!$A$3:$I$32,3,FALSE), test!$J$11:$K$14, 2, FALSE)),1,0)</f>
        <v>0</v>
      </c>
      <c r="G23" s="2">
        <f>IF(AND(VLOOKUP(G$1,test!$A$3:$I$32,8,FALSE)-VLOOKUP($A23,test!$A$3:$I$32,9,FALSE)&gt;=VLOOKUP(VLOOKUP(G$1, test!$A$3:$I$32,3,FALSE), test!$J$11:$K$14, 2, FALSE)),1,0)</f>
        <v>0</v>
      </c>
      <c r="H23" s="2">
        <f>IF(AND(VLOOKUP(H$1,test!$A$3:$I$32,8,FALSE)-VLOOKUP($A23,test!$A$3:$I$32,9,FALSE)&gt;=VLOOKUP(VLOOKUP(H$1, test!$A$3:$I$32,3,FALSE), test!$J$11:$K$14, 2, FALSE)),1,0)</f>
        <v>0</v>
      </c>
      <c r="I23" s="2">
        <f>IF(AND(VLOOKUP(I$1,test!$A$3:$I$32,8,FALSE)-VLOOKUP($A23,test!$A$3:$I$32,9,FALSE)&gt;=VLOOKUP(VLOOKUP(I$1, test!$A$3:$I$32,3,FALSE), test!$J$11:$K$14, 2, FALSE)),1,0)</f>
        <v>0</v>
      </c>
      <c r="J23" s="2">
        <f>IF(AND(VLOOKUP(J$1,test!$A$3:$I$32,8,FALSE)-VLOOKUP($A23,test!$A$3:$I$32,9,FALSE)&gt;=VLOOKUP(VLOOKUP(J$1, test!$A$3:$I$32,3,FALSE), test!$J$11:$K$14, 2, FALSE)),1,0)</f>
        <v>0</v>
      </c>
      <c r="K23" s="2">
        <f>IF(AND(VLOOKUP(K$1,test!$A$3:$I$32,8,FALSE)-VLOOKUP($A23,test!$A$3:$I$32,9,FALSE)&gt;=VLOOKUP(VLOOKUP(K$1, test!$A$3:$I$32,3,FALSE), test!$J$11:$K$14, 2, FALSE)),1,0)</f>
        <v>0</v>
      </c>
      <c r="L23" s="2">
        <f>IF(AND(VLOOKUP(L$1,test!$A$3:$I$32,8,FALSE)-VLOOKUP($A23,test!$A$3:$I$32,9,FALSE)&gt;=VLOOKUP(VLOOKUP(L$1, test!$A$3:$I$32,3,FALSE), test!$J$11:$K$14, 2, FALSE)),1,0)</f>
        <v>0</v>
      </c>
      <c r="M23" s="2">
        <f>IF(AND(VLOOKUP(M$1,test!$A$3:$I$32,8,FALSE)-VLOOKUP($A23,test!$A$3:$I$32,9,FALSE)&gt;=VLOOKUP(VLOOKUP(M$1, test!$A$3:$I$32,3,FALSE), test!$J$11:$K$14, 2, FALSE)),1,0)</f>
        <v>0</v>
      </c>
      <c r="N23" s="2">
        <f>IF(AND(VLOOKUP(N$1,test!$A$3:$I$32,8,FALSE)-VLOOKUP($A23,test!$A$3:$I$32,9,FALSE)&gt;=VLOOKUP(VLOOKUP(N$1, test!$A$3:$I$32,3,FALSE), test!$J$11:$K$14, 2, FALSE)),1,0)</f>
        <v>0</v>
      </c>
      <c r="O23" s="2">
        <f>IF(AND(VLOOKUP(O$1,test!$A$3:$I$32,8,FALSE)-VLOOKUP($A23,test!$A$3:$I$32,9,FALSE)&gt;=VLOOKUP(VLOOKUP(O$1, test!$A$3:$I$32,3,FALSE), test!$J$11:$K$14, 2, FALSE)),1,0)</f>
        <v>0</v>
      </c>
      <c r="P23" s="2">
        <f>IF(AND(VLOOKUP(P$1,test!$A$3:$I$32,8,FALSE)-VLOOKUP($A23,test!$A$3:$I$32,9,FALSE)&gt;=VLOOKUP(VLOOKUP(P$1, test!$A$3:$I$32,3,FALSE), test!$J$11:$K$14, 2, FALSE)),1,0)</f>
        <v>0</v>
      </c>
      <c r="Q23" s="2">
        <f>IF(AND(VLOOKUP(Q$1,test!$A$3:$I$32,8,FALSE)-VLOOKUP($A23,test!$A$3:$I$32,9,FALSE)&gt;=VLOOKUP(VLOOKUP(Q$1, test!$A$3:$I$32,3,FALSE), test!$J$11:$K$14, 2, FALSE)),1,0)</f>
        <v>0</v>
      </c>
      <c r="R23" s="2">
        <f>IF(AND(VLOOKUP(R$1,test!$A$3:$I$32,8,FALSE)-VLOOKUP($A23,test!$A$3:$I$32,9,FALSE)&gt;=VLOOKUP(VLOOKUP(R$1, test!$A$3:$I$32,3,FALSE), test!$J$11:$K$14, 2, FALSE)),1,0)</f>
        <v>0</v>
      </c>
      <c r="S23" s="2">
        <f>IF(AND(VLOOKUP(S$1,test!$A$3:$I$32,8,FALSE)-VLOOKUP($A23,test!$A$3:$I$32,9,FALSE)&gt;=VLOOKUP(VLOOKUP(S$1, test!$A$3:$I$32,3,FALSE), test!$J$11:$K$14, 2, FALSE)),1,0)</f>
        <v>0</v>
      </c>
      <c r="T23" s="2">
        <f>IF(AND(VLOOKUP(T$1,test!$A$3:$I$32,8,FALSE)-VLOOKUP($A23,test!$A$3:$I$32,9,FALSE)&gt;=VLOOKUP(VLOOKUP(T$1, test!$A$3:$I$32,3,FALSE), test!$J$11:$K$14, 2, FALSE)),1,0)</f>
        <v>0</v>
      </c>
      <c r="U23" s="2">
        <f>IF(AND(VLOOKUP(U$1,test!$A$3:$I$32,8,FALSE)-VLOOKUP($A23,test!$A$3:$I$32,9,FALSE)&gt;=VLOOKUP(VLOOKUP(U$1, test!$A$3:$I$32,3,FALSE), test!$J$11:$K$14, 2, FALSE)),1,0)</f>
        <v>0</v>
      </c>
      <c r="V23" s="2">
        <f>IF(AND(VLOOKUP(V$1,test!$A$3:$I$32,8,FALSE)-VLOOKUP($A23,test!$A$3:$I$32,9,FALSE)&gt;=VLOOKUP(VLOOKUP(V$1, test!$A$3:$I$32,3,FALSE), test!$J$11:$K$14, 2, FALSE)),1,0)</f>
        <v>0</v>
      </c>
      <c r="W23" s="2">
        <f>IF(AND(VLOOKUP(W$1,test!$A$3:$I$32,8,FALSE)-VLOOKUP($A23,test!$A$3:$I$32,9,FALSE)&gt;=VLOOKUP(VLOOKUP(W$1, test!$A$3:$I$32,3,FALSE), test!$J$11:$K$14, 2, FALSE)),1,0)</f>
        <v>0</v>
      </c>
      <c r="X23" s="2">
        <f>IF(AND(VLOOKUP(X$1,test!$A$3:$I$32,8,FALSE)-VLOOKUP($A23,test!$A$3:$I$32,9,FALSE)&gt;=VLOOKUP(VLOOKUP(X$1, test!$A$3:$I$32,3,FALSE), test!$J$11:$K$14, 2, FALSE)),1,0)</f>
        <v>0</v>
      </c>
      <c r="Y23" s="2">
        <f>IF(AND(VLOOKUP(Y$1,test!$A$3:$I$32,8,FALSE)-VLOOKUP($A23,test!$A$3:$I$32,9,FALSE)&gt;=VLOOKUP(VLOOKUP(Y$1, test!$A$3:$I$32,3,FALSE), test!$J$11:$K$14, 2, FALSE)),1,0)</f>
        <v>0</v>
      </c>
      <c r="Z23" s="2">
        <f>IF(AND(VLOOKUP(Z$1,test!$A$3:$I$32,8,FALSE)-VLOOKUP($A23,test!$A$3:$I$32,9,FALSE)&gt;=VLOOKUP(VLOOKUP(Z$1, test!$A$3:$I$32,3,FALSE), test!$J$11:$K$14, 2, FALSE)),1,0)</f>
        <v>0</v>
      </c>
      <c r="AA23" s="2">
        <f>IF(AND(VLOOKUP(AA$1,test!$A$3:$I$32,8,FALSE)-VLOOKUP($A23,test!$A$3:$I$32,9,FALSE)&gt;=VLOOKUP(VLOOKUP(AA$1, test!$A$3:$I$32,3,FALSE), test!$J$11:$K$14, 2, FALSE)),1,0)</f>
        <v>0</v>
      </c>
      <c r="AB23" s="2">
        <f>IF(AND(VLOOKUP(AB$1,test!$A$3:$I$32,8,FALSE)-VLOOKUP($A23,test!$A$3:$I$32,9,FALSE)&gt;=VLOOKUP(VLOOKUP(AB$1, test!$A$3:$I$32,3,FALSE), test!$J$11:$K$14, 2, FALSE)),1,0)</f>
        <v>0</v>
      </c>
      <c r="AC23" s="2">
        <f>IF(AND(VLOOKUP(AC$1,test!$A$3:$I$32,8,FALSE)-VLOOKUP($A23,test!$A$3:$I$32,9,FALSE)&gt;=VLOOKUP(VLOOKUP(AC$1, test!$A$3:$I$32,3,FALSE), test!$J$11:$K$14, 2, FALSE)),1,0)</f>
        <v>0</v>
      </c>
      <c r="AD23" s="2">
        <f>IF(AND(VLOOKUP(AD$1,test!$A$3:$I$32,8,FALSE)-VLOOKUP($A23,test!$A$3:$I$32,9,FALSE)&gt;=VLOOKUP(VLOOKUP(AD$1, test!$A$3:$I$32,3,FALSE), test!$J$11:$K$14, 2, FALSE)),1,0)</f>
        <v>0</v>
      </c>
      <c r="AE23" s="2">
        <f>IF(AND(VLOOKUP(AE$1,test!$A$3:$I$32,8,FALSE)-VLOOKUP($A23,test!$A$3:$I$32,9,FALSE)&gt;=VLOOKUP(VLOOKUP(AE$1, test!$A$3:$I$32,3,FALSE), test!$J$11:$K$14, 2, FALSE)),1,0)</f>
        <v>0</v>
      </c>
      <c r="AF23" s="2">
        <f>IF(AND(VLOOKUP(AF$1,test!$A$3:$I$32,8,FALSE)-VLOOKUP($A23,test!$A$3:$I$32,9,FALSE)&gt;=VLOOKUP(VLOOKUP(AF$1, test!$A$3:$I$32,3,FALSE), test!$J$11:$K$14, 2, FALSE)),1,0)</f>
        <v>0</v>
      </c>
    </row>
    <row r="24" spans="1:32" x14ac:dyDescent="0.25">
      <c r="A24" t="s">
        <v>33</v>
      </c>
      <c r="B24" s="3">
        <v>1</v>
      </c>
      <c r="C24" s="2">
        <f>IF(AND(VLOOKUP(C$1,test!$A$3:$I$32,8,FALSE)-VLOOKUP($A24,test!$A$3:$I$32,9,FALSE)&gt;=VLOOKUP(VLOOKUP(C$1, test!$A$3:$I$32,3,FALSE), test!$J$11:$K$14, 2, FALSE)),1,0)</f>
        <v>0</v>
      </c>
      <c r="D24" s="2">
        <f>IF(AND(VLOOKUP(D$1,test!$A$3:$I$32,8,FALSE)-VLOOKUP($A24,test!$A$3:$I$32,9,FALSE)&gt;=VLOOKUP(VLOOKUP(D$1, test!$A$3:$I$32,3,FALSE), test!$J$11:$K$14, 2, FALSE)),1,0)</f>
        <v>0</v>
      </c>
      <c r="E24" s="2">
        <f>IF(AND(VLOOKUP(E$1,test!$A$3:$I$32,8,FALSE)-VLOOKUP($A24,test!$A$3:$I$32,9,FALSE)&gt;=VLOOKUP(VLOOKUP(E$1, test!$A$3:$I$32,3,FALSE), test!$J$11:$K$14, 2, FALSE)),1,0)</f>
        <v>0</v>
      </c>
      <c r="F24" s="2">
        <f>IF(AND(VLOOKUP(F$1,test!$A$3:$I$32,8,FALSE)-VLOOKUP($A24,test!$A$3:$I$32,9,FALSE)&gt;=VLOOKUP(VLOOKUP(F$1, test!$A$3:$I$32,3,FALSE), test!$J$11:$K$14, 2, FALSE)),1,0)</f>
        <v>0</v>
      </c>
      <c r="G24" s="2">
        <f>IF(AND(VLOOKUP(G$1,test!$A$3:$I$32,8,FALSE)-VLOOKUP($A24,test!$A$3:$I$32,9,FALSE)&gt;=VLOOKUP(VLOOKUP(G$1, test!$A$3:$I$32,3,FALSE), test!$J$11:$K$14, 2, FALSE)),1,0)</f>
        <v>0</v>
      </c>
      <c r="H24" s="2">
        <f>IF(AND(VLOOKUP(H$1,test!$A$3:$I$32,8,FALSE)-VLOOKUP($A24,test!$A$3:$I$32,9,FALSE)&gt;=VLOOKUP(VLOOKUP(H$1, test!$A$3:$I$32,3,FALSE), test!$J$11:$K$14, 2, FALSE)),1,0)</f>
        <v>0</v>
      </c>
      <c r="I24" s="2">
        <f>IF(AND(VLOOKUP(I$1,test!$A$3:$I$32,8,FALSE)-VLOOKUP($A24,test!$A$3:$I$32,9,FALSE)&gt;=VLOOKUP(VLOOKUP(I$1, test!$A$3:$I$32,3,FALSE), test!$J$11:$K$14, 2, FALSE)),1,0)</f>
        <v>0</v>
      </c>
      <c r="J24" s="2">
        <f>IF(AND(VLOOKUP(J$1,test!$A$3:$I$32,8,FALSE)-VLOOKUP($A24,test!$A$3:$I$32,9,FALSE)&gt;=VLOOKUP(VLOOKUP(J$1, test!$A$3:$I$32,3,FALSE), test!$J$11:$K$14, 2, FALSE)),1,0)</f>
        <v>0</v>
      </c>
      <c r="K24" s="2">
        <f>IF(AND(VLOOKUP(K$1,test!$A$3:$I$32,8,FALSE)-VLOOKUP($A24,test!$A$3:$I$32,9,FALSE)&gt;=VLOOKUP(VLOOKUP(K$1, test!$A$3:$I$32,3,FALSE), test!$J$11:$K$14, 2, FALSE)),1,0)</f>
        <v>0</v>
      </c>
      <c r="L24" s="2">
        <f>IF(AND(VLOOKUP(L$1,test!$A$3:$I$32,8,FALSE)-VLOOKUP($A24,test!$A$3:$I$32,9,FALSE)&gt;=VLOOKUP(VLOOKUP(L$1, test!$A$3:$I$32,3,FALSE), test!$J$11:$K$14, 2, FALSE)),1,0)</f>
        <v>0</v>
      </c>
      <c r="M24" s="2">
        <f>IF(AND(VLOOKUP(M$1,test!$A$3:$I$32,8,FALSE)-VLOOKUP($A24,test!$A$3:$I$32,9,FALSE)&gt;=VLOOKUP(VLOOKUP(M$1, test!$A$3:$I$32,3,FALSE), test!$J$11:$K$14, 2, FALSE)),1,0)</f>
        <v>0</v>
      </c>
      <c r="N24" s="2">
        <f>IF(AND(VLOOKUP(N$1,test!$A$3:$I$32,8,FALSE)-VLOOKUP($A24,test!$A$3:$I$32,9,FALSE)&gt;=VLOOKUP(VLOOKUP(N$1, test!$A$3:$I$32,3,FALSE), test!$J$11:$K$14, 2, FALSE)),1,0)</f>
        <v>0</v>
      </c>
      <c r="O24" s="2">
        <f>IF(AND(VLOOKUP(O$1,test!$A$3:$I$32,8,FALSE)-VLOOKUP($A24,test!$A$3:$I$32,9,FALSE)&gt;=VLOOKUP(VLOOKUP(O$1, test!$A$3:$I$32,3,FALSE), test!$J$11:$K$14, 2, FALSE)),1,0)</f>
        <v>0</v>
      </c>
      <c r="P24" s="2">
        <f>IF(AND(VLOOKUP(P$1,test!$A$3:$I$32,8,FALSE)-VLOOKUP($A24,test!$A$3:$I$32,9,FALSE)&gt;=VLOOKUP(VLOOKUP(P$1, test!$A$3:$I$32,3,FALSE), test!$J$11:$K$14, 2, FALSE)),1,0)</f>
        <v>0</v>
      </c>
      <c r="Q24" s="2">
        <f>IF(AND(VLOOKUP(Q$1,test!$A$3:$I$32,8,FALSE)-VLOOKUP($A24,test!$A$3:$I$32,9,FALSE)&gt;=VLOOKUP(VLOOKUP(Q$1, test!$A$3:$I$32,3,FALSE), test!$J$11:$K$14, 2, FALSE)),1,0)</f>
        <v>0</v>
      </c>
      <c r="R24" s="2">
        <f>IF(AND(VLOOKUP(R$1,test!$A$3:$I$32,8,FALSE)-VLOOKUP($A24,test!$A$3:$I$32,9,FALSE)&gt;=VLOOKUP(VLOOKUP(R$1, test!$A$3:$I$32,3,FALSE), test!$J$11:$K$14, 2, FALSE)),1,0)</f>
        <v>0</v>
      </c>
      <c r="S24" s="2">
        <f>IF(AND(VLOOKUP(S$1,test!$A$3:$I$32,8,FALSE)-VLOOKUP($A24,test!$A$3:$I$32,9,FALSE)&gt;=VLOOKUP(VLOOKUP(S$1, test!$A$3:$I$32,3,FALSE), test!$J$11:$K$14, 2, FALSE)),1,0)</f>
        <v>0</v>
      </c>
      <c r="T24" s="2">
        <f>IF(AND(VLOOKUP(T$1,test!$A$3:$I$32,8,FALSE)-VLOOKUP($A24,test!$A$3:$I$32,9,FALSE)&gt;=VLOOKUP(VLOOKUP(T$1, test!$A$3:$I$32,3,FALSE), test!$J$11:$K$14, 2, FALSE)),1,0)</f>
        <v>0</v>
      </c>
      <c r="U24" s="2">
        <f>IF(AND(VLOOKUP(U$1,test!$A$3:$I$32,8,FALSE)-VLOOKUP($A24,test!$A$3:$I$32,9,FALSE)&gt;=VLOOKUP(VLOOKUP(U$1, test!$A$3:$I$32,3,FALSE), test!$J$11:$K$14, 2, FALSE)),1,0)</f>
        <v>0</v>
      </c>
      <c r="V24" s="2">
        <f>IF(AND(VLOOKUP(V$1,test!$A$3:$I$32,8,FALSE)-VLOOKUP($A24,test!$A$3:$I$32,9,FALSE)&gt;=VLOOKUP(VLOOKUP(V$1, test!$A$3:$I$32,3,FALSE), test!$J$11:$K$14, 2, FALSE)),1,0)</f>
        <v>0</v>
      </c>
      <c r="W24" s="2">
        <f>IF(AND(VLOOKUP(W$1,test!$A$3:$I$32,8,FALSE)-VLOOKUP($A24,test!$A$3:$I$32,9,FALSE)&gt;=VLOOKUP(VLOOKUP(W$1, test!$A$3:$I$32,3,FALSE), test!$J$11:$K$14, 2, FALSE)),1,0)</f>
        <v>0</v>
      </c>
      <c r="X24" s="2">
        <f>IF(AND(VLOOKUP(X$1,test!$A$3:$I$32,8,FALSE)-VLOOKUP($A24,test!$A$3:$I$32,9,FALSE)&gt;=VLOOKUP(VLOOKUP(X$1, test!$A$3:$I$32,3,FALSE), test!$J$11:$K$14, 2, FALSE)),1,0)</f>
        <v>0</v>
      </c>
      <c r="Y24" s="2">
        <f>IF(AND(VLOOKUP(Y$1,test!$A$3:$I$32,8,FALSE)-VLOOKUP($A24,test!$A$3:$I$32,9,FALSE)&gt;=VLOOKUP(VLOOKUP(Y$1, test!$A$3:$I$32,3,FALSE), test!$J$11:$K$14, 2, FALSE)),1,0)</f>
        <v>0</v>
      </c>
      <c r="Z24" s="2">
        <f>IF(AND(VLOOKUP(Z$1,test!$A$3:$I$32,8,FALSE)-VLOOKUP($A24,test!$A$3:$I$32,9,FALSE)&gt;=VLOOKUP(VLOOKUP(Z$1, test!$A$3:$I$32,3,FALSE), test!$J$11:$K$14, 2, FALSE)),1,0)</f>
        <v>0</v>
      </c>
      <c r="AA24" s="2">
        <f>IF(AND(VLOOKUP(AA$1,test!$A$3:$I$32,8,FALSE)-VLOOKUP($A24,test!$A$3:$I$32,9,FALSE)&gt;=VLOOKUP(VLOOKUP(AA$1, test!$A$3:$I$32,3,FALSE), test!$J$11:$K$14, 2, FALSE)),1,0)</f>
        <v>0</v>
      </c>
      <c r="AB24" s="2">
        <f>IF(AND(VLOOKUP(AB$1,test!$A$3:$I$32,8,FALSE)-VLOOKUP($A24,test!$A$3:$I$32,9,FALSE)&gt;=VLOOKUP(VLOOKUP(AB$1, test!$A$3:$I$32,3,FALSE), test!$J$11:$K$14, 2, FALSE)),1,0)</f>
        <v>0</v>
      </c>
      <c r="AC24" s="2">
        <f>IF(AND(VLOOKUP(AC$1,test!$A$3:$I$32,8,FALSE)-VLOOKUP($A24,test!$A$3:$I$32,9,FALSE)&gt;=VLOOKUP(VLOOKUP(AC$1, test!$A$3:$I$32,3,FALSE), test!$J$11:$K$14, 2, FALSE)),1,0)</f>
        <v>0</v>
      </c>
      <c r="AD24" s="2">
        <f>IF(AND(VLOOKUP(AD$1,test!$A$3:$I$32,8,FALSE)-VLOOKUP($A24,test!$A$3:$I$32,9,FALSE)&gt;=VLOOKUP(VLOOKUP(AD$1, test!$A$3:$I$32,3,FALSE), test!$J$11:$K$14, 2, FALSE)),1,0)</f>
        <v>0</v>
      </c>
      <c r="AE24" s="2">
        <f>IF(AND(VLOOKUP(AE$1,test!$A$3:$I$32,8,FALSE)-VLOOKUP($A24,test!$A$3:$I$32,9,FALSE)&gt;=VLOOKUP(VLOOKUP(AE$1, test!$A$3:$I$32,3,FALSE), test!$J$11:$K$14, 2, FALSE)),1,0)</f>
        <v>0</v>
      </c>
      <c r="AF24" s="2">
        <f>IF(AND(VLOOKUP(AF$1,test!$A$3:$I$32,8,FALSE)-VLOOKUP($A24,test!$A$3:$I$32,9,FALSE)&gt;=VLOOKUP(VLOOKUP(AF$1, test!$A$3:$I$32,3,FALSE), test!$J$11:$K$14, 2, FALSE)),1,0)</f>
        <v>0</v>
      </c>
    </row>
    <row r="25" spans="1:32" x14ac:dyDescent="0.25">
      <c r="A25" t="s">
        <v>34</v>
      </c>
      <c r="B25" s="3">
        <v>1</v>
      </c>
      <c r="C25" s="2">
        <f>IF(AND(VLOOKUP(C$1,test!$A$3:$I$32,8,FALSE)-VLOOKUP($A25,test!$A$3:$I$32,9,FALSE)&gt;=VLOOKUP(VLOOKUP(C$1, test!$A$3:$I$32,3,FALSE), test!$J$11:$K$14, 2, FALSE)),1,0)</f>
        <v>0</v>
      </c>
      <c r="D25" s="2">
        <f>IF(AND(VLOOKUP(D$1,test!$A$3:$I$32,8,FALSE)-VLOOKUP($A25,test!$A$3:$I$32,9,FALSE)&gt;=VLOOKUP(VLOOKUP(D$1, test!$A$3:$I$32,3,FALSE), test!$J$11:$K$14, 2, FALSE)),1,0)</f>
        <v>1</v>
      </c>
      <c r="E25" s="2">
        <f>IF(AND(VLOOKUP(E$1,test!$A$3:$I$32,8,FALSE)-VLOOKUP($A25,test!$A$3:$I$32,9,FALSE)&gt;=VLOOKUP(VLOOKUP(E$1, test!$A$3:$I$32,3,FALSE), test!$J$11:$K$14, 2, FALSE)),1,0)</f>
        <v>1</v>
      </c>
      <c r="F25" s="2">
        <f>IF(AND(VLOOKUP(F$1,test!$A$3:$I$32,8,FALSE)-VLOOKUP($A25,test!$A$3:$I$32,9,FALSE)&gt;=VLOOKUP(VLOOKUP(F$1, test!$A$3:$I$32,3,FALSE), test!$J$11:$K$14, 2, FALSE)),1,0)</f>
        <v>1</v>
      </c>
      <c r="G25" s="2">
        <f>IF(AND(VLOOKUP(G$1,test!$A$3:$I$32,8,FALSE)-VLOOKUP($A25,test!$A$3:$I$32,9,FALSE)&gt;=VLOOKUP(VLOOKUP(G$1, test!$A$3:$I$32,3,FALSE), test!$J$11:$K$14, 2, FALSE)),1,0)</f>
        <v>1</v>
      </c>
      <c r="H25" s="2">
        <f>IF(AND(VLOOKUP(H$1,test!$A$3:$I$32,8,FALSE)-VLOOKUP($A25,test!$A$3:$I$32,9,FALSE)&gt;=VLOOKUP(VLOOKUP(H$1, test!$A$3:$I$32,3,FALSE), test!$J$11:$K$14, 2, FALSE)),1,0)</f>
        <v>1</v>
      </c>
      <c r="I25" s="2">
        <f>IF(AND(VLOOKUP(I$1,test!$A$3:$I$32,8,FALSE)-VLOOKUP($A25,test!$A$3:$I$32,9,FALSE)&gt;=VLOOKUP(VLOOKUP(I$1, test!$A$3:$I$32,3,FALSE), test!$J$11:$K$14, 2, FALSE)),1,0)</f>
        <v>1</v>
      </c>
      <c r="J25" s="2">
        <f>IF(AND(VLOOKUP(J$1,test!$A$3:$I$32,8,FALSE)-VLOOKUP($A25,test!$A$3:$I$32,9,FALSE)&gt;=VLOOKUP(VLOOKUP(J$1, test!$A$3:$I$32,3,FALSE), test!$J$11:$K$14, 2, FALSE)),1,0)</f>
        <v>1</v>
      </c>
      <c r="K25" s="2">
        <f>IF(AND(VLOOKUP(K$1,test!$A$3:$I$32,8,FALSE)-VLOOKUP($A25,test!$A$3:$I$32,9,FALSE)&gt;=VLOOKUP(VLOOKUP(K$1, test!$A$3:$I$32,3,FALSE), test!$J$11:$K$14, 2, FALSE)),1,0)</f>
        <v>0</v>
      </c>
      <c r="L25" s="2">
        <f>IF(AND(VLOOKUP(L$1,test!$A$3:$I$32,8,FALSE)-VLOOKUP($A25,test!$A$3:$I$32,9,FALSE)&gt;=VLOOKUP(VLOOKUP(L$1, test!$A$3:$I$32,3,FALSE), test!$J$11:$K$14, 2, FALSE)),1,0)</f>
        <v>0</v>
      </c>
      <c r="M25" s="2">
        <f>IF(AND(VLOOKUP(M$1,test!$A$3:$I$32,8,FALSE)-VLOOKUP($A25,test!$A$3:$I$32,9,FALSE)&gt;=VLOOKUP(VLOOKUP(M$1, test!$A$3:$I$32,3,FALSE), test!$J$11:$K$14, 2, FALSE)),1,0)</f>
        <v>1</v>
      </c>
      <c r="N25" s="2">
        <f>IF(AND(VLOOKUP(N$1,test!$A$3:$I$32,8,FALSE)-VLOOKUP($A25,test!$A$3:$I$32,9,FALSE)&gt;=VLOOKUP(VLOOKUP(N$1, test!$A$3:$I$32,3,FALSE), test!$J$11:$K$14, 2, FALSE)),1,0)</f>
        <v>1</v>
      </c>
      <c r="O25" s="2">
        <f>IF(AND(VLOOKUP(O$1,test!$A$3:$I$32,8,FALSE)-VLOOKUP($A25,test!$A$3:$I$32,9,FALSE)&gt;=VLOOKUP(VLOOKUP(O$1, test!$A$3:$I$32,3,FALSE), test!$J$11:$K$14, 2, FALSE)),1,0)</f>
        <v>1</v>
      </c>
      <c r="P25" s="2">
        <f>IF(AND(VLOOKUP(P$1,test!$A$3:$I$32,8,FALSE)-VLOOKUP($A25,test!$A$3:$I$32,9,FALSE)&gt;=VLOOKUP(VLOOKUP(P$1, test!$A$3:$I$32,3,FALSE), test!$J$11:$K$14, 2, FALSE)),1,0)</f>
        <v>0</v>
      </c>
      <c r="Q25" s="2">
        <f>IF(AND(VLOOKUP(Q$1,test!$A$3:$I$32,8,FALSE)-VLOOKUP($A25,test!$A$3:$I$32,9,FALSE)&gt;=VLOOKUP(VLOOKUP(Q$1, test!$A$3:$I$32,3,FALSE), test!$J$11:$K$14, 2, FALSE)),1,0)</f>
        <v>0</v>
      </c>
      <c r="R25" s="2">
        <f>IF(AND(VLOOKUP(R$1,test!$A$3:$I$32,8,FALSE)-VLOOKUP($A25,test!$A$3:$I$32,9,FALSE)&gt;=VLOOKUP(VLOOKUP(R$1, test!$A$3:$I$32,3,FALSE), test!$J$11:$K$14, 2, FALSE)),1,0)</f>
        <v>0</v>
      </c>
      <c r="S25" s="2">
        <f>IF(AND(VLOOKUP(S$1,test!$A$3:$I$32,8,FALSE)-VLOOKUP($A25,test!$A$3:$I$32,9,FALSE)&gt;=VLOOKUP(VLOOKUP(S$1, test!$A$3:$I$32,3,FALSE), test!$J$11:$K$14, 2, FALSE)),1,0)</f>
        <v>0</v>
      </c>
      <c r="T25" s="2">
        <f>IF(AND(VLOOKUP(T$1,test!$A$3:$I$32,8,FALSE)-VLOOKUP($A25,test!$A$3:$I$32,9,FALSE)&gt;=VLOOKUP(VLOOKUP(T$1, test!$A$3:$I$32,3,FALSE), test!$J$11:$K$14, 2, FALSE)),1,0)</f>
        <v>1</v>
      </c>
      <c r="U25" s="2">
        <f>IF(AND(VLOOKUP(U$1,test!$A$3:$I$32,8,FALSE)-VLOOKUP($A25,test!$A$3:$I$32,9,FALSE)&gt;=VLOOKUP(VLOOKUP(U$1, test!$A$3:$I$32,3,FALSE), test!$J$11:$K$14, 2, FALSE)),1,0)</f>
        <v>1</v>
      </c>
      <c r="V25" s="2">
        <f>IF(AND(VLOOKUP(V$1,test!$A$3:$I$32,8,FALSE)-VLOOKUP($A25,test!$A$3:$I$32,9,FALSE)&gt;=VLOOKUP(VLOOKUP(V$1, test!$A$3:$I$32,3,FALSE), test!$J$11:$K$14, 2, FALSE)),1,0)</f>
        <v>1</v>
      </c>
      <c r="W25" s="2">
        <f>IF(AND(VLOOKUP(W$1,test!$A$3:$I$32,8,FALSE)-VLOOKUP($A25,test!$A$3:$I$32,9,FALSE)&gt;=VLOOKUP(VLOOKUP(W$1, test!$A$3:$I$32,3,FALSE), test!$J$11:$K$14, 2, FALSE)),1,0)</f>
        <v>1</v>
      </c>
      <c r="X25" s="2">
        <f>IF(AND(VLOOKUP(X$1,test!$A$3:$I$32,8,FALSE)-VLOOKUP($A25,test!$A$3:$I$32,9,FALSE)&gt;=VLOOKUP(VLOOKUP(X$1, test!$A$3:$I$32,3,FALSE), test!$J$11:$K$14, 2, FALSE)),1,0)</f>
        <v>1</v>
      </c>
      <c r="Y25" s="2">
        <f>IF(AND(VLOOKUP(Y$1,test!$A$3:$I$32,8,FALSE)-VLOOKUP($A25,test!$A$3:$I$32,9,FALSE)&gt;=VLOOKUP(VLOOKUP(Y$1, test!$A$3:$I$32,3,FALSE), test!$J$11:$K$14, 2, FALSE)),1,0)</f>
        <v>0</v>
      </c>
      <c r="Z25" s="2">
        <f>IF(AND(VLOOKUP(Z$1,test!$A$3:$I$32,8,FALSE)-VLOOKUP($A25,test!$A$3:$I$32,9,FALSE)&gt;=VLOOKUP(VLOOKUP(Z$1, test!$A$3:$I$32,3,FALSE), test!$J$11:$K$14, 2, FALSE)),1,0)</f>
        <v>1</v>
      </c>
      <c r="AA25" s="2">
        <f>IF(AND(VLOOKUP(AA$1,test!$A$3:$I$32,8,FALSE)-VLOOKUP($A25,test!$A$3:$I$32,9,FALSE)&gt;=VLOOKUP(VLOOKUP(AA$1, test!$A$3:$I$32,3,FALSE), test!$J$11:$K$14, 2, FALSE)),1,0)</f>
        <v>1</v>
      </c>
      <c r="AB25" s="2">
        <f>IF(AND(VLOOKUP(AB$1,test!$A$3:$I$32,8,FALSE)-VLOOKUP($A25,test!$A$3:$I$32,9,FALSE)&gt;=VLOOKUP(VLOOKUP(AB$1, test!$A$3:$I$32,3,FALSE), test!$J$11:$K$14, 2, FALSE)),1,0)</f>
        <v>1</v>
      </c>
      <c r="AC25" s="2">
        <f>IF(AND(VLOOKUP(AC$1,test!$A$3:$I$32,8,FALSE)-VLOOKUP($A25,test!$A$3:$I$32,9,FALSE)&gt;=VLOOKUP(VLOOKUP(AC$1, test!$A$3:$I$32,3,FALSE), test!$J$11:$K$14, 2, FALSE)),1,0)</f>
        <v>1</v>
      </c>
      <c r="AD25" s="2">
        <f>IF(AND(VLOOKUP(AD$1,test!$A$3:$I$32,8,FALSE)-VLOOKUP($A25,test!$A$3:$I$32,9,FALSE)&gt;=VLOOKUP(VLOOKUP(AD$1, test!$A$3:$I$32,3,FALSE), test!$J$11:$K$14, 2, FALSE)),1,0)</f>
        <v>0</v>
      </c>
      <c r="AE25" s="2">
        <f>IF(AND(VLOOKUP(AE$1,test!$A$3:$I$32,8,FALSE)-VLOOKUP($A25,test!$A$3:$I$32,9,FALSE)&gt;=VLOOKUP(VLOOKUP(AE$1, test!$A$3:$I$32,3,FALSE), test!$J$11:$K$14, 2, FALSE)),1,0)</f>
        <v>1</v>
      </c>
      <c r="AF25" s="2">
        <f>IF(AND(VLOOKUP(AF$1,test!$A$3:$I$32,8,FALSE)-VLOOKUP($A25,test!$A$3:$I$32,9,FALSE)&gt;=VLOOKUP(VLOOKUP(AF$1, test!$A$3:$I$32,3,FALSE), test!$J$11:$K$14, 2, FALSE)),1,0)</f>
        <v>1</v>
      </c>
    </row>
    <row r="26" spans="1:32" x14ac:dyDescent="0.25">
      <c r="A26" t="s">
        <v>35</v>
      </c>
      <c r="B26" s="3">
        <v>1</v>
      </c>
      <c r="C26" s="2">
        <f>IF(AND(VLOOKUP(C$1,test!$A$3:$I$32,8,FALSE)-VLOOKUP($A26,test!$A$3:$I$32,9,FALSE)&gt;=VLOOKUP(VLOOKUP(C$1, test!$A$3:$I$32,3,FALSE), test!$J$11:$K$14, 2, FALSE)),1,0)</f>
        <v>0</v>
      </c>
      <c r="D26" s="2">
        <f>IF(AND(VLOOKUP(D$1,test!$A$3:$I$32,8,FALSE)-VLOOKUP($A26,test!$A$3:$I$32,9,FALSE)&gt;=VLOOKUP(VLOOKUP(D$1, test!$A$3:$I$32,3,FALSE), test!$J$11:$K$14, 2, FALSE)),1,0)</f>
        <v>0</v>
      </c>
      <c r="E26" s="2">
        <f>IF(AND(VLOOKUP(E$1,test!$A$3:$I$32,8,FALSE)-VLOOKUP($A26,test!$A$3:$I$32,9,FALSE)&gt;=VLOOKUP(VLOOKUP(E$1, test!$A$3:$I$32,3,FALSE), test!$J$11:$K$14, 2, FALSE)),1,0)</f>
        <v>0</v>
      </c>
      <c r="F26" s="2">
        <f>IF(AND(VLOOKUP(F$1,test!$A$3:$I$32,8,FALSE)-VLOOKUP($A26,test!$A$3:$I$32,9,FALSE)&gt;=VLOOKUP(VLOOKUP(F$1, test!$A$3:$I$32,3,FALSE), test!$J$11:$K$14, 2, FALSE)),1,0)</f>
        <v>1</v>
      </c>
      <c r="G26" s="2">
        <f>IF(AND(VLOOKUP(G$1,test!$A$3:$I$32,8,FALSE)-VLOOKUP($A26,test!$A$3:$I$32,9,FALSE)&gt;=VLOOKUP(VLOOKUP(G$1, test!$A$3:$I$32,3,FALSE), test!$J$11:$K$14, 2, FALSE)),1,0)</f>
        <v>1</v>
      </c>
      <c r="H26" s="2">
        <f>IF(AND(VLOOKUP(H$1,test!$A$3:$I$32,8,FALSE)-VLOOKUP($A26,test!$A$3:$I$32,9,FALSE)&gt;=VLOOKUP(VLOOKUP(H$1, test!$A$3:$I$32,3,FALSE), test!$J$11:$K$14, 2, FALSE)),1,0)</f>
        <v>1</v>
      </c>
      <c r="I26" s="2">
        <f>IF(AND(VLOOKUP(I$1,test!$A$3:$I$32,8,FALSE)-VLOOKUP($A26,test!$A$3:$I$32,9,FALSE)&gt;=VLOOKUP(VLOOKUP(I$1, test!$A$3:$I$32,3,FALSE), test!$J$11:$K$14, 2, FALSE)),1,0)</f>
        <v>1</v>
      </c>
      <c r="J26" s="2">
        <f>IF(AND(VLOOKUP(J$1,test!$A$3:$I$32,8,FALSE)-VLOOKUP($A26,test!$A$3:$I$32,9,FALSE)&gt;=VLOOKUP(VLOOKUP(J$1, test!$A$3:$I$32,3,FALSE), test!$J$11:$K$14, 2, FALSE)),1,0)</f>
        <v>1</v>
      </c>
      <c r="K26" s="2">
        <f>IF(AND(VLOOKUP(K$1,test!$A$3:$I$32,8,FALSE)-VLOOKUP($A26,test!$A$3:$I$32,9,FALSE)&gt;=VLOOKUP(VLOOKUP(K$1, test!$A$3:$I$32,3,FALSE), test!$J$11:$K$14, 2, FALSE)),1,0)</f>
        <v>0</v>
      </c>
      <c r="L26" s="2">
        <f>IF(AND(VLOOKUP(L$1,test!$A$3:$I$32,8,FALSE)-VLOOKUP($A26,test!$A$3:$I$32,9,FALSE)&gt;=VLOOKUP(VLOOKUP(L$1, test!$A$3:$I$32,3,FALSE), test!$J$11:$K$14, 2, FALSE)),1,0)</f>
        <v>0</v>
      </c>
      <c r="M26" s="2">
        <f>IF(AND(VLOOKUP(M$1,test!$A$3:$I$32,8,FALSE)-VLOOKUP($A26,test!$A$3:$I$32,9,FALSE)&gt;=VLOOKUP(VLOOKUP(M$1, test!$A$3:$I$32,3,FALSE), test!$J$11:$K$14, 2, FALSE)),1,0)</f>
        <v>0</v>
      </c>
      <c r="N26" s="2">
        <f>IF(AND(VLOOKUP(N$1,test!$A$3:$I$32,8,FALSE)-VLOOKUP($A26,test!$A$3:$I$32,9,FALSE)&gt;=VLOOKUP(VLOOKUP(N$1, test!$A$3:$I$32,3,FALSE), test!$J$11:$K$14, 2, FALSE)),1,0)</f>
        <v>1</v>
      </c>
      <c r="O26" s="2">
        <f>IF(AND(VLOOKUP(O$1,test!$A$3:$I$32,8,FALSE)-VLOOKUP($A26,test!$A$3:$I$32,9,FALSE)&gt;=VLOOKUP(VLOOKUP(O$1, test!$A$3:$I$32,3,FALSE), test!$J$11:$K$14, 2, FALSE)),1,0)</f>
        <v>1</v>
      </c>
      <c r="P26" s="2">
        <f>IF(AND(VLOOKUP(P$1,test!$A$3:$I$32,8,FALSE)-VLOOKUP($A26,test!$A$3:$I$32,9,FALSE)&gt;=VLOOKUP(VLOOKUP(P$1, test!$A$3:$I$32,3,FALSE), test!$J$11:$K$14, 2, FALSE)),1,0)</f>
        <v>0</v>
      </c>
      <c r="Q26" s="2">
        <f>IF(AND(VLOOKUP(Q$1,test!$A$3:$I$32,8,FALSE)-VLOOKUP($A26,test!$A$3:$I$32,9,FALSE)&gt;=VLOOKUP(VLOOKUP(Q$1, test!$A$3:$I$32,3,FALSE), test!$J$11:$K$14, 2, FALSE)),1,0)</f>
        <v>0</v>
      </c>
      <c r="R26" s="2">
        <f>IF(AND(VLOOKUP(R$1,test!$A$3:$I$32,8,FALSE)-VLOOKUP($A26,test!$A$3:$I$32,9,FALSE)&gt;=VLOOKUP(VLOOKUP(R$1, test!$A$3:$I$32,3,FALSE), test!$J$11:$K$14, 2, FALSE)),1,0)</f>
        <v>0</v>
      </c>
      <c r="S26" s="2">
        <f>IF(AND(VLOOKUP(S$1,test!$A$3:$I$32,8,FALSE)-VLOOKUP($A26,test!$A$3:$I$32,9,FALSE)&gt;=VLOOKUP(VLOOKUP(S$1, test!$A$3:$I$32,3,FALSE), test!$J$11:$K$14, 2, FALSE)),1,0)</f>
        <v>0</v>
      </c>
      <c r="T26" s="2">
        <f>IF(AND(VLOOKUP(T$1,test!$A$3:$I$32,8,FALSE)-VLOOKUP($A26,test!$A$3:$I$32,9,FALSE)&gt;=VLOOKUP(VLOOKUP(T$1, test!$A$3:$I$32,3,FALSE), test!$J$11:$K$14, 2, FALSE)),1,0)</f>
        <v>0</v>
      </c>
      <c r="U26" s="2">
        <f>IF(AND(VLOOKUP(U$1,test!$A$3:$I$32,8,FALSE)-VLOOKUP($A26,test!$A$3:$I$32,9,FALSE)&gt;=VLOOKUP(VLOOKUP(U$1, test!$A$3:$I$32,3,FALSE), test!$J$11:$K$14, 2, FALSE)),1,0)</f>
        <v>1</v>
      </c>
      <c r="V26" s="2">
        <f>IF(AND(VLOOKUP(V$1,test!$A$3:$I$32,8,FALSE)-VLOOKUP($A26,test!$A$3:$I$32,9,FALSE)&gt;=VLOOKUP(VLOOKUP(V$1, test!$A$3:$I$32,3,FALSE), test!$J$11:$K$14, 2, FALSE)),1,0)</f>
        <v>1</v>
      </c>
      <c r="W26" s="2">
        <f>IF(AND(VLOOKUP(W$1,test!$A$3:$I$32,8,FALSE)-VLOOKUP($A26,test!$A$3:$I$32,9,FALSE)&gt;=VLOOKUP(VLOOKUP(W$1, test!$A$3:$I$32,3,FALSE), test!$J$11:$K$14, 2, FALSE)),1,0)</f>
        <v>1</v>
      </c>
      <c r="X26" s="2">
        <f>IF(AND(VLOOKUP(X$1,test!$A$3:$I$32,8,FALSE)-VLOOKUP($A26,test!$A$3:$I$32,9,FALSE)&gt;=VLOOKUP(VLOOKUP(X$1, test!$A$3:$I$32,3,FALSE), test!$J$11:$K$14, 2, FALSE)),1,0)</f>
        <v>1</v>
      </c>
      <c r="Y26" s="2">
        <f>IF(AND(VLOOKUP(Y$1,test!$A$3:$I$32,8,FALSE)-VLOOKUP($A26,test!$A$3:$I$32,9,FALSE)&gt;=VLOOKUP(VLOOKUP(Y$1, test!$A$3:$I$32,3,FALSE), test!$J$11:$K$14, 2, FALSE)),1,0)</f>
        <v>0</v>
      </c>
      <c r="Z26" s="2">
        <f>IF(AND(VLOOKUP(Z$1,test!$A$3:$I$32,8,FALSE)-VLOOKUP($A26,test!$A$3:$I$32,9,FALSE)&gt;=VLOOKUP(VLOOKUP(Z$1, test!$A$3:$I$32,3,FALSE), test!$J$11:$K$14, 2, FALSE)),1,0)</f>
        <v>0</v>
      </c>
      <c r="AA26" s="2">
        <f>IF(AND(VLOOKUP(AA$1,test!$A$3:$I$32,8,FALSE)-VLOOKUP($A26,test!$A$3:$I$32,9,FALSE)&gt;=VLOOKUP(VLOOKUP(AA$1, test!$A$3:$I$32,3,FALSE), test!$J$11:$K$14, 2, FALSE)),1,0)</f>
        <v>0</v>
      </c>
      <c r="AB26" s="2">
        <f>IF(AND(VLOOKUP(AB$1,test!$A$3:$I$32,8,FALSE)-VLOOKUP($A26,test!$A$3:$I$32,9,FALSE)&gt;=VLOOKUP(VLOOKUP(AB$1, test!$A$3:$I$32,3,FALSE), test!$J$11:$K$14, 2, FALSE)),1,0)</f>
        <v>1</v>
      </c>
      <c r="AC26" s="2">
        <f>IF(AND(VLOOKUP(AC$1,test!$A$3:$I$32,8,FALSE)-VLOOKUP($A26,test!$A$3:$I$32,9,FALSE)&gt;=VLOOKUP(VLOOKUP(AC$1, test!$A$3:$I$32,3,FALSE), test!$J$11:$K$14, 2, FALSE)),1,0)</f>
        <v>1</v>
      </c>
      <c r="AD26" s="2">
        <f>IF(AND(VLOOKUP(AD$1,test!$A$3:$I$32,8,FALSE)-VLOOKUP($A26,test!$A$3:$I$32,9,FALSE)&gt;=VLOOKUP(VLOOKUP(AD$1, test!$A$3:$I$32,3,FALSE), test!$J$11:$K$14, 2, FALSE)),1,0)</f>
        <v>0</v>
      </c>
      <c r="AE26" s="2">
        <f>IF(AND(VLOOKUP(AE$1,test!$A$3:$I$32,8,FALSE)-VLOOKUP($A26,test!$A$3:$I$32,9,FALSE)&gt;=VLOOKUP(VLOOKUP(AE$1, test!$A$3:$I$32,3,FALSE), test!$J$11:$K$14, 2, FALSE)),1,0)</f>
        <v>0</v>
      </c>
      <c r="AF26" s="2">
        <f>IF(AND(VLOOKUP(AF$1,test!$A$3:$I$32,8,FALSE)-VLOOKUP($A26,test!$A$3:$I$32,9,FALSE)&gt;=VLOOKUP(VLOOKUP(AF$1, test!$A$3:$I$32,3,FALSE), test!$J$11:$K$14, 2, FALSE)),1,0)</f>
        <v>0</v>
      </c>
    </row>
    <row r="27" spans="1:32" x14ac:dyDescent="0.25">
      <c r="A27" t="s">
        <v>36</v>
      </c>
      <c r="B27" s="3">
        <v>1</v>
      </c>
      <c r="C27" s="2">
        <f>IF(AND(VLOOKUP(C$1,test!$A$3:$I$32,8,FALSE)-VLOOKUP($A27,test!$A$3:$I$32,9,FALSE)&gt;=VLOOKUP(VLOOKUP(C$1, test!$A$3:$I$32,3,FALSE), test!$J$11:$K$14, 2, FALSE)),1,0)</f>
        <v>0</v>
      </c>
      <c r="D27" s="2">
        <f>IF(AND(VLOOKUP(D$1,test!$A$3:$I$32,8,FALSE)-VLOOKUP($A27,test!$A$3:$I$32,9,FALSE)&gt;=VLOOKUP(VLOOKUP(D$1, test!$A$3:$I$32,3,FALSE), test!$J$11:$K$14, 2, FALSE)),1,0)</f>
        <v>0</v>
      </c>
      <c r="E27" s="2">
        <f>IF(AND(VLOOKUP(E$1,test!$A$3:$I$32,8,FALSE)-VLOOKUP($A27,test!$A$3:$I$32,9,FALSE)&gt;=VLOOKUP(VLOOKUP(E$1, test!$A$3:$I$32,3,FALSE), test!$J$11:$K$14, 2, FALSE)),1,0)</f>
        <v>0</v>
      </c>
      <c r="F27" s="2">
        <f>IF(AND(VLOOKUP(F$1,test!$A$3:$I$32,8,FALSE)-VLOOKUP($A27,test!$A$3:$I$32,9,FALSE)&gt;=VLOOKUP(VLOOKUP(F$1, test!$A$3:$I$32,3,FALSE), test!$J$11:$K$14, 2, FALSE)),1,0)</f>
        <v>0</v>
      </c>
      <c r="G27" s="2">
        <f>IF(AND(VLOOKUP(G$1,test!$A$3:$I$32,8,FALSE)-VLOOKUP($A27,test!$A$3:$I$32,9,FALSE)&gt;=VLOOKUP(VLOOKUP(G$1, test!$A$3:$I$32,3,FALSE), test!$J$11:$K$14, 2, FALSE)),1,0)</f>
        <v>0</v>
      </c>
      <c r="H27" s="2">
        <f>IF(AND(VLOOKUP(H$1,test!$A$3:$I$32,8,FALSE)-VLOOKUP($A27,test!$A$3:$I$32,9,FALSE)&gt;=VLOOKUP(VLOOKUP(H$1, test!$A$3:$I$32,3,FALSE), test!$J$11:$K$14, 2, FALSE)),1,0)</f>
        <v>1</v>
      </c>
      <c r="I27" s="2">
        <f>IF(AND(VLOOKUP(I$1,test!$A$3:$I$32,8,FALSE)-VLOOKUP($A27,test!$A$3:$I$32,9,FALSE)&gt;=VLOOKUP(VLOOKUP(I$1, test!$A$3:$I$32,3,FALSE), test!$J$11:$K$14, 2, FALSE)),1,0)</f>
        <v>1</v>
      </c>
      <c r="J27" s="2">
        <f>IF(AND(VLOOKUP(J$1,test!$A$3:$I$32,8,FALSE)-VLOOKUP($A27,test!$A$3:$I$32,9,FALSE)&gt;=VLOOKUP(VLOOKUP(J$1, test!$A$3:$I$32,3,FALSE), test!$J$11:$K$14, 2, FALSE)),1,0)</f>
        <v>1</v>
      </c>
      <c r="K27" s="2">
        <f>IF(AND(VLOOKUP(K$1,test!$A$3:$I$32,8,FALSE)-VLOOKUP($A27,test!$A$3:$I$32,9,FALSE)&gt;=VLOOKUP(VLOOKUP(K$1, test!$A$3:$I$32,3,FALSE), test!$J$11:$K$14, 2, FALSE)),1,0)</f>
        <v>0</v>
      </c>
      <c r="L27" s="2">
        <f>IF(AND(VLOOKUP(L$1,test!$A$3:$I$32,8,FALSE)-VLOOKUP($A27,test!$A$3:$I$32,9,FALSE)&gt;=VLOOKUP(VLOOKUP(L$1, test!$A$3:$I$32,3,FALSE), test!$J$11:$K$14, 2, FALSE)),1,0)</f>
        <v>0</v>
      </c>
      <c r="M27" s="2">
        <f>IF(AND(VLOOKUP(M$1,test!$A$3:$I$32,8,FALSE)-VLOOKUP($A27,test!$A$3:$I$32,9,FALSE)&gt;=VLOOKUP(VLOOKUP(M$1, test!$A$3:$I$32,3,FALSE), test!$J$11:$K$14, 2, FALSE)),1,0)</f>
        <v>0</v>
      </c>
      <c r="N27" s="2">
        <f>IF(AND(VLOOKUP(N$1,test!$A$3:$I$32,8,FALSE)-VLOOKUP($A27,test!$A$3:$I$32,9,FALSE)&gt;=VLOOKUP(VLOOKUP(N$1, test!$A$3:$I$32,3,FALSE), test!$J$11:$K$14, 2, FALSE)),1,0)</f>
        <v>1</v>
      </c>
      <c r="O27" s="2">
        <f>IF(AND(VLOOKUP(O$1,test!$A$3:$I$32,8,FALSE)-VLOOKUP($A27,test!$A$3:$I$32,9,FALSE)&gt;=VLOOKUP(VLOOKUP(O$1, test!$A$3:$I$32,3,FALSE), test!$J$11:$K$14, 2, FALSE)),1,0)</f>
        <v>1</v>
      </c>
      <c r="P27" s="2">
        <f>IF(AND(VLOOKUP(P$1,test!$A$3:$I$32,8,FALSE)-VLOOKUP($A27,test!$A$3:$I$32,9,FALSE)&gt;=VLOOKUP(VLOOKUP(P$1, test!$A$3:$I$32,3,FALSE), test!$J$11:$K$14, 2, FALSE)),1,0)</f>
        <v>0</v>
      </c>
      <c r="Q27" s="2">
        <f>IF(AND(VLOOKUP(Q$1,test!$A$3:$I$32,8,FALSE)-VLOOKUP($A27,test!$A$3:$I$32,9,FALSE)&gt;=VLOOKUP(VLOOKUP(Q$1, test!$A$3:$I$32,3,FALSE), test!$J$11:$K$14, 2, FALSE)),1,0)</f>
        <v>0</v>
      </c>
      <c r="R27" s="2">
        <f>IF(AND(VLOOKUP(R$1,test!$A$3:$I$32,8,FALSE)-VLOOKUP($A27,test!$A$3:$I$32,9,FALSE)&gt;=VLOOKUP(VLOOKUP(R$1, test!$A$3:$I$32,3,FALSE), test!$J$11:$K$14, 2, FALSE)),1,0)</f>
        <v>0</v>
      </c>
      <c r="S27" s="2">
        <f>IF(AND(VLOOKUP(S$1,test!$A$3:$I$32,8,FALSE)-VLOOKUP($A27,test!$A$3:$I$32,9,FALSE)&gt;=VLOOKUP(VLOOKUP(S$1, test!$A$3:$I$32,3,FALSE), test!$J$11:$K$14, 2, FALSE)),1,0)</f>
        <v>0</v>
      </c>
      <c r="T27" s="2">
        <f>IF(AND(VLOOKUP(T$1,test!$A$3:$I$32,8,FALSE)-VLOOKUP($A27,test!$A$3:$I$32,9,FALSE)&gt;=VLOOKUP(VLOOKUP(T$1, test!$A$3:$I$32,3,FALSE), test!$J$11:$K$14, 2, FALSE)),1,0)</f>
        <v>0</v>
      </c>
      <c r="U27" s="2">
        <f>IF(AND(VLOOKUP(U$1,test!$A$3:$I$32,8,FALSE)-VLOOKUP($A27,test!$A$3:$I$32,9,FALSE)&gt;=VLOOKUP(VLOOKUP(U$1, test!$A$3:$I$32,3,FALSE), test!$J$11:$K$14, 2, FALSE)),1,0)</f>
        <v>0</v>
      </c>
      <c r="V27" s="2">
        <f>IF(AND(VLOOKUP(V$1,test!$A$3:$I$32,8,FALSE)-VLOOKUP($A27,test!$A$3:$I$32,9,FALSE)&gt;=VLOOKUP(VLOOKUP(V$1, test!$A$3:$I$32,3,FALSE), test!$J$11:$K$14, 2, FALSE)),1,0)</f>
        <v>0</v>
      </c>
      <c r="W27" s="2">
        <f>IF(AND(VLOOKUP(W$1,test!$A$3:$I$32,8,FALSE)-VLOOKUP($A27,test!$A$3:$I$32,9,FALSE)&gt;=VLOOKUP(VLOOKUP(W$1, test!$A$3:$I$32,3,FALSE), test!$J$11:$K$14, 2, FALSE)),1,0)</f>
        <v>1</v>
      </c>
      <c r="X27" s="2">
        <f>IF(AND(VLOOKUP(X$1,test!$A$3:$I$32,8,FALSE)-VLOOKUP($A27,test!$A$3:$I$32,9,FALSE)&gt;=VLOOKUP(VLOOKUP(X$1, test!$A$3:$I$32,3,FALSE), test!$J$11:$K$14, 2, FALSE)),1,0)</f>
        <v>1</v>
      </c>
      <c r="Y27" s="2">
        <f>IF(AND(VLOOKUP(Y$1,test!$A$3:$I$32,8,FALSE)-VLOOKUP($A27,test!$A$3:$I$32,9,FALSE)&gt;=VLOOKUP(VLOOKUP(Y$1, test!$A$3:$I$32,3,FALSE), test!$J$11:$K$14, 2, FALSE)),1,0)</f>
        <v>0</v>
      </c>
      <c r="Z27" s="2">
        <f>IF(AND(VLOOKUP(Z$1,test!$A$3:$I$32,8,FALSE)-VLOOKUP($A27,test!$A$3:$I$32,9,FALSE)&gt;=VLOOKUP(VLOOKUP(Z$1, test!$A$3:$I$32,3,FALSE), test!$J$11:$K$14, 2, FALSE)),1,0)</f>
        <v>0</v>
      </c>
      <c r="AA27" s="2">
        <f>IF(AND(VLOOKUP(AA$1,test!$A$3:$I$32,8,FALSE)-VLOOKUP($A27,test!$A$3:$I$32,9,FALSE)&gt;=VLOOKUP(VLOOKUP(AA$1, test!$A$3:$I$32,3,FALSE), test!$J$11:$K$14, 2, FALSE)),1,0)</f>
        <v>0</v>
      </c>
      <c r="AB27" s="2">
        <f>IF(AND(VLOOKUP(AB$1,test!$A$3:$I$32,8,FALSE)-VLOOKUP($A27,test!$A$3:$I$32,9,FALSE)&gt;=VLOOKUP(VLOOKUP(AB$1, test!$A$3:$I$32,3,FALSE), test!$J$11:$K$14, 2, FALSE)),1,0)</f>
        <v>0</v>
      </c>
      <c r="AC27" s="2">
        <f>IF(AND(VLOOKUP(AC$1,test!$A$3:$I$32,8,FALSE)-VLOOKUP($A27,test!$A$3:$I$32,9,FALSE)&gt;=VLOOKUP(VLOOKUP(AC$1, test!$A$3:$I$32,3,FALSE), test!$J$11:$K$14, 2, FALSE)),1,0)</f>
        <v>1</v>
      </c>
      <c r="AD27" s="2">
        <f>IF(AND(VLOOKUP(AD$1,test!$A$3:$I$32,8,FALSE)-VLOOKUP($A27,test!$A$3:$I$32,9,FALSE)&gt;=VLOOKUP(VLOOKUP(AD$1, test!$A$3:$I$32,3,FALSE), test!$J$11:$K$14, 2, FALSE)),1,0)</f>
        <v>0</v>
      </c>
      <c r="AE27" s="2">
        <f>IF(AND(VLOOKUP(AE$1,test!$A$3:$I$32,8,FALSE)-VLOOKUP($A27,test!$A$3:$I$32,9,FALSE)&gt;=VLOOKUP(VLOOKUP(AE$1, test!$A$3:$I$32,3,FALSE), test!$J$11:$K$14, 2, FALSE)),1,0)</f>
        <v>0</v>
      </c>
      <c r="AF27" s="2">
        <f>IF(AND(VLOOKUP(AF$1,test!$A$3:$I$32,8,FALSE)-VLOOKUP($A27,test!$A$3:$I$32,9,FALSE)&gt;=VLOOKUP(VLOOKUP(AF$1, test!$A$3:$I$32,3,FALSE), test!$J$11:$K$14, 2, FALSE)),1,0)</f>
        <v>0</v>
      </c>
    </row>
    <row r="28" spans="1:32" x14ac:dyDescent="0.25">
      <c r="A28" t="s">
        <v>37</v>
      </c>
      <c r="B28" s="3">
        <v>1</v>
      </c>
      <c r="C28" s="2">
        <f>IF(AND(VLOOKUP(C$1,test!$A$3:$I$32,8,FALSE)-VLOOKUP($A28,test!$A$3:$I$32,9,FALSE)&gt;=VLOOKUP(VLOOKUP(C$1, test!$A$3:$I$32,3,FALSE), test!$J$11:$K$14, 2, FALSE)),1,0)</f>
        <v>0</v>
      </c>
      <c r="D28" s="2">
        <f>IF(AND(VLOOKUP(D$1,test!$A$3:$I$32,8,FALSE)-VLOOKUP($A28,test!$A$3:$I$32,9,FALSE)&gt;=VLOOKUP(VLOOKUP(D$1, test!$A$3:$I$32,3,FALSE), test!$J$11:$K$14, 2, FALSE)),1,0)</f>
        <v>0</v>
      </c>
      <c r="E28" s="2">
        <f>IF(AND(VLOOKUP(E$1,test!$A$3:$I$32,8,FALSE)-VLOOKUP($A28,test!$A$3:$I$32,9,FALSE)&gt;=VLOOKUP(VLOOKUP(E$1, test!$A$3:$I$32,3,FALSE), test!$J$11:$K$14, 2, FALSE)),1,0)</f>
        <v>0</v>
      </c>
      <c r="F28" s="2">
        <f>IF(AND(VLOOKUP(F$1,test!$A$3:$I$32,8,FALSE)-VLOOKUP($A28,test!$A$3:$I$32,9,FALSE)&gt;=VLOOKUP(VLOOKUP(F$1, test!$A$3:$I$32,3,FALSE), test!$J$11:$K$14, 2, FALSE)),1,0)</f>
        <v>0</v>
      </c>
      <c r="G28" s="2">
        <f>IF(AND(VLOOKUP(G$1,test!$A$3:$I$32,8,FALSE)-VLOOKUP($A28,test!$A$3:$I$32,9,FALSE)&gt;=VLOOKUP(VLOOKUP(G$1, test!$A$3:$I$32,3,FALSE), test!$J$11:$K$14, 2, FALSE)),1,0)</f>
        <v>0</v>
      </c>
      <c r="H28" s="2">
        <f>IF(AND(VLOOKUP(H$1,test!$A$3:$I$32,8,FALSE)-VLOOKUP($A28,test!$A$3:$I$32,9,FALSE)&gt;=VLOOKUP(VLOOKUP(H$1, test!$A$3:$I$32,3,FALSE), test!$J$11:$K$14, 2, FALSE)),1,0)</f>
        <v>0</v>
      </c>
      <c r="I28" s="2">
        <f>IF(AND(VLOOKUP(I$1,test!$A$3:$I$32,8,FALSE)-VLOOKUP($A28,test!$A$3:$I$32,9,FALSE)&gt;=VLOOKUP(VLOOKUP(I$1, test!$A$3:$I$32,3,FALSE), test!$J$11:$K$14, 2, FALSE)),1,0)</f>
        <v>1</v>
      </c>
      <c r="J28" s="2">
        <f>IF(AND(VLOOKUP(J$1,test!$A$3:$I$32,8,FALSE)-VLOOKUP($A28,test!$A$3:$I$32,9,FALSE)&gt;=VLOOKUP(VLOOKUP(J$1, test!$A$3:$I$32,3,FALSE), test!$J$11:$K$14, 2, FALSE)),1,0)</f>
        <v>1</v>
      </c>
      <c r="K28" s="2">
        <f>IF(AND(VLOOKUP(K$1,test!$A$3:$I$32,8,FALSE)-VLOOKUP($A28,test!$A$3:$I$32,9,FALSE)&gt;=VLOOKUP(VLOOKUP(K$1, test!$A$3:$I$32,3,FALSE), test!$J$11:$K$14, 2, FALSE)),1,0)</f>
        <v>0</v>
      </c>
      <c r="L28" s="2">
        <f>IF(AND(VLOOKUP(L$1,test!$A$3:$I$32,8,FALSE)-VLOOKUP($A28,test!$A$3:$I$32,9,FALSE)&gt;=VLOOKUP(VLOOKUP(L$1, test!$A$3:$I$32,3,FALSE), test!$J$11:$K$14, 2, FALSE)),1,0)</f>
        <v>0</v>
      </c>
      <c r="M28" s="2">
        <f>IF(AND(VLOOKUP(M$1,test!$A$3:$I$32,8,FALSE)-VLOOKUP($A28,test!$A$3:$I$32,9,FALSE)&gt;=VLOOKUP(VLOOKUP(M$1, test!$A$3:$I$32,3,FALSE), test!$J$11:$K$14, 2, FALSE)),1,0)</f>
        <v>0</v>
      </c>
      <c r="N28" s="2">
        <f>IF(AND(VLOOKUP(N$1,test!$A$3:$I$32,8,FALSE)-VLOOKUP($A28,test!$A$3:$I$32,9,FALSE)&gt;=VLOOKUP(VLOOKUP(N$1, test!$A$3:$I$32,3,FALSE), test!$J$11:$K$14, 2, FALSE)),1,0)</f>
        <v>1</v>
      </c>
      <c r="O28" s="2">
        <f>IF(AND(VLOOKUP(O$1,test!$A$3:$I$32,8,FALSE)-VLOOKUP($A28,test!$A$3:$I$32,9,FALSE)&gt;=VLOOKUP(VLOOKUP(O$1, test!$A$3:$I$32,3,FALSE), test!$J$11:$K$14, 2, FALSE)),1,0)</f>
        <v>1</v>
      </c>
      <c r="P28" s="2">
        <f>IF(AND(VLOOKUP(P$1,test!$A$3:$I$32,8,FALSE)-VLOOKUP($A28,test!$A$3:$I$32,9,FALSE)&gt;=VLOOKUP(VLOOKUP(P$1, test!$A$3:$I$32,3,FALSE), test!$J$11:$K$14, 2, FALSE)),1,0)</f>
        <v>0</v>
      </c>
      <c r="Q28" s="2">
        <f>IF(AND(VLOOKUP(Q$1,test!$A$3:$I$32,8,FALSE)-VLOOKUP($A28,test!$A$3:$I$32,9,FALSE)&gt;=VLOOKUP(VLOOKUP(Q$1, test!$A$3:$I$32,3,FALSE), test!$J$11:$K$14, 2, FALSE)),1,0)</f>
        <v>0</v>
      </c>
      <c r="R28" s="2">
        <f>IF(AND(VLOOKUP(R$1,test!$A$3:$I$32,8,FALSE)-VLOOKUP($A28,test!$A$3:$I$32,9,FALSE)&gt;=VLOOKUP(VLOOKUP(R$1, test!$A$3:$I$32,3,FALSE), test!$J$11:$K$14, 2, FALSE)),1,0)</f>
        <v>0</v>
      </c>
      <c r="S28" s="2">
        <f>IF(AND(VLOOKUP(S$1,test!$A$3:$I$32,8,FALSE)-VLOOKUP($A28,test!$A$3:$I$32,9,FALSE)&gt;=VLOOKUP(VLOOKUP(S$1, test!$A$3:$I$32,3,FALSE), test!$J$11:$K$14, 2, FALSE)),1,0)</f>
        <v>0</v>
      </c>
      <c r="T28" s="2">
        <f>IF(AND(VLOOKUP(T$1,test!$A$3:$I$32,8,FALSE)-VLOOKUP($A28,test!$A$3:$I$32,9,FALSE)&gt;=VLOOKUP(VLOOKUP(T$1, test!$A$3:$I$32,3,FALSE), test!$J$11:$K$14, 2, FALSE)),1,0)</f>
        <v>0</v>
      </c>
      <c r="U28" s="2">
        <f>IF(AND(VLOOKUP(U$1,test!$A$3:$I$32,8,FALSE)-VLOOKUP($A28,test!$A$3:$I$32,9,FALSE)&gt;=VLOOKUP(VLOOKUP(U$1, test!$A$3:$I$32,3,FALSE), test!$J$11:$K$14, 2, FALSE)),1,0)</f>
        <v>0</v>
      </c>
      <c r="V28" s="2">
        <f>IF(AND(VLOOKUP(V$1,test!$A$3:$I$32,8,FALSE)-VLOOKUP($A28,test!$A$3:$I$32,9,FALSE)&gt;=VLOOKUP(VLOOKUP(V$1, test!$A$3:$I$32,3,FALSE), test!$J$11:$K$14, 2, FALSE)),1,0)</f>
        <v>0</v>
      </c>
      <c r="W28" s="2">
        <f>IF(AND(VLOOKUP(W$1,test!$A$3:$I$32,8,FALSE)-VLOOKUP($A28,test!$A$3:$I$32,9,FALSE)&gt;=VLOOKUP(VLOOKUP(W$1, test!$A$3:$I$32,3,FALSE), test!$J$11:$K$14, 2, FALSE)),1,0)</f>
        <v>1</v>
      </c>
      <c r="X28" s="2">
        <f>IF(AND(VLOOKUP(X$1,test!$A$3:$I$32,8,FALSE)-VLOOKUP($A28,test!$A$3:$I$32,9,FALSE)&gt;=VLOOKUP(VLOOKUP(X$1, test!$A$3:$I$32,3,FALSE), test!$J$11:$K$14, 2, FALSE)),1,0)</f>
        <v>1</v>
      </c>
      <c r="Y28" s="2">
        <f>IF(AND(VLOOKUP(Y$1,test!$A$3:$I$32,8,FALSE)-VLOOKUP($A28,test!$A$3:$I$32,9,FALSE)&gt;=VLOOKUP(VLOOKUP(Y$1, test!$A$3:$I$32,3,FALSE), test!$J$11:$K$14, 2, FALSE)),1,0)</f>
        <v>0</v>
      </c>
      <c r="Z28" s="2">
        <f>IF(AND(VLOOKUP(Z$1,test!$A$3:$I$32,8,FALSE)-VLOOKUP($A28,test!$A$3:$I$32,9,FALSE)&gt;=VLOOKUP(VLOOKUP(Z$1, test!$A$3:$I$32,3,FALSE), test!$J$11:$K$14, 2, FALSE)),1,0)</f>
        <v>0</v>
      </c>
      <c r="AA28" s="2">
        <f>IF(AND(VLOOKUP(AA$1,test!$A$3:$I$32,8,FALSE)-VLOOKUP($A28,test!$A$3:$I$32,9,FALSE)&gt;=VLOOKUP(VLOOKUP(AA$1, test!$A$3:$I$32,3,FALSE), test!$J$11:$K$14, 2, FALSE)),1,0)</f>
        <v>0</v>
      </c>
      <c r="AB28" s="2">
        <f>IF(AND(VLOOKUP(AB$1,test!$A$3:$I$32,8,FALSE)-VLOOKUP($A28,test!$A$3:$I$32,9,FALSE)&gt;=VLOOKUP(VLOOKUP(AB$1, test!$A$3:$I$32,3,FALSE), test!$J$11:$K$14, 2, FALSE)),1,0)</f>
        <v>0</v>
      </c>
      <c r="AC28" s="2">
        <f>IF(AND(VLOOKUP(AC$1,test!$A$3:$I$32,8,FALSE)-VLOOKUP($A28,test!$A$3:$I$32,9,FALSE)&gt;=VLOOKUP(VLOOKUP(AC$1, test!$A$3:$I$32,3,FALSE), test!$J$11:$K$14, 2, FALSE)),1,0)</f>
        <v>0</v>
      </c>
      <c r="AD28" s="2">
        <f>IF(AND(VLOOKUP(AD$1,test!$A$3:$I$32,8,FALSE)-VLOOKUP($A28,test!$A$3:$I$32,9,FALSE)&gt;=VLOOKUP(VLOOKUP(AD$1, test!$A$3:$I$32,3,FALSE), test!$J$11:$K$14, 2, FALSE)),1,0)</f>
        <v>0</v>
      </c>
      <c r="AE28" s="2">
        <f>IF(AND(VLOOKUP(AE$1,test!$A$3:$I$32,8,FALSE)-VLOOKUP($A28,test!$A$3:$I$32,9,FALSE)&gt;=VLOOKUP(VLOOKUP(AE$1, test!$A$3:$I$32,3,FALSE), test!$J$11:$K$14, 2, FALSE)),1,0)</f>
        <v>0</v>
      </c>
      <c r="AF28" s="2">
        <f>IF(AND(VLOOKUP(AF$1,test!$A$3:$I$32,8,FALSE)-VLOOKUP($A28,test!$A$3:$I$32,9,FALSE)&gt;=VLOOKUP(VLOOKUP(AF$1, test!$A$3:$I$32,3,FALSE), test!$J$11:$K$14, 2, FALSE)),1,0)</f>
        <v>0</v>
      </c>
    </row>
    <row r="29" spans="1:32" x14ac:dyDescent="0.25">
      <c r="A29" t="s">
        <v>38</v>
      </c>
      <c r="B29" s="3">
        <v>1</v>
      </c>
      <c r="C29" s="2">
        <f>IF(AND(VLOOKUP(C$1,test!$A$3:$I$32,8,FALSE)-VLOOKUP($A29,test!$A$3:$I$32,9,FALSE)&gt;=VLOOKUP(VLOOKUP(C$1, test!$A$3:$I$32,3,FALSE), test!$J$11:$K$14, 2, FALSE)),1,0)</f>
        <v>0</v>
      </c>
      <c r="D29" s="2">
        <f>IF(AND(VLOOKUP(D$1,test!$A$3:$I$32,8,FALSE)-VLOOKUP($A29,test!$A$3:$I$32,9,FALSE)&gt;=VLOOKUP(VLOOKUP(D$1, test!$A$3:$I$32,3,FALSE), test!$J$11:$K$14, 2, FALSE)),1,0)</f>
        <v>0</v>
      </c>
      <c r="E29" s="2">
        <f>IF(AND(VLOOKUP(E$1,test!$A$3:$I$32,8,FALSE)-VLOOKUP($A29,test!$A$3:$I$32,9,FALSE)&gt;=VLOOKUP(VLOOKUP(E$1, test!$A$3:$I$32,3,FALSE), test!$J$11:$K$14, 2, FALSE)),1,0)</f>
        <v>0</v>
      </c>
      <c r="F29" s="2">
        <f>IF(AND(VLOOKUP(F$1,test!$A$3:$I$32,8,FALSE)-VLOOKUP($A29,test!$A$3:$I$32,9,FALSE)&gt;=VLOOKUP(VLOOKUP(F$1, test!$A$3:$I$32,3,FALSE), test!$J$11:$K$14, 2, FALSE)),1,0)</f>
        <v>0</v>
      </c>
      <c r="G29" s="2">
        <f>IF(AND(VLOOKUP(G$1,test!$A$3:$I$32,8,FALSE)-VLOOKUP($A29,test!$A$3:$I$32,9,FALSE)&gt;=VLOOKUP(VLOOKUP(G$1, test!$A$3:$I$32,3,FALSE), test!$J$11:$K$14, 2, FALSE)),1,0)</f>
        <v>0</v>
      </c>
      <c r="H29" s="2">
        <f>IF(AND(VLOOKUP(H$1,test!$A$3:$I$32,8,FALSE)-VLOOKUP($A29,test!$A$3:$I$32,9,FALSE)&gt;=VLOOKUP(VLOOKUP(H$1, test!$A$3:$I$32,3,FALSE), test!$J$11:$K$14, 2, FALSE)),1,0)</f>
        <v>0</v>
      </c>
      <c r="I29" s="2">
        <f>IF(AND(VLOOKUP(I$1,test!$A$3:$I$32,8,FALSE)-VLOOKUP($A29,test!$A$3:$I$32,9,FALSE)&gt;=VLOOKUP(VLOOKUP(I$1, test!$A$3:$I$32,3,FALSE), test!$J$11:$K$14, 2, FALSE)),1,0)</f>
        <v>0</v>
      </c>
      <c r="J29" s="2">
        <f>IF(AND(VLOOKUP(J$1,test!$A$3:$I$32,8,FALSE)-VLOOKUP($A29,test!$A$3:$I$32,9,FALSE)&gt;=VLOOKUP(VLOOKUP(J$1, test!$A$3:$I$32,3,FALSE), test!$J$11:$K$14, 2, FALSE)),1,0)</f>
        <v>0</v>
      </c>
      <c r="K29" s="2">
        <f>IF(AND(VLOOKUP(K$1,test!$A$3:$I$32,8,FALSE)-VLOOKUP($A29,test!$A$3:$I$32,9,FALSE)&gt;=VLOOKUP(VLOOKUP(K$1, test!$A$3:$I$32,3,FALSE), test!$J$11:$K$14, 2, FALSE)),1,0)</f>
        <v>0</v>
      </c>
      <c r="L29" s="2">
        <f>IF(AND(VLOOKUP(L$1,test!$A$3:$I$32,8,FALSE)-VLOOKUP($A29,test!$A$3:$I$32,9,FALSE)&gt;=VLOOKUP(VLOOKUP(L$1, test!$A$3:$I$32,3,FALSE), test!$J$11:$K$14, 2, FALSE)),1,0)</f>
        <v>0</v>
      </c>
      <c r="M29" s="2">
        <f>IF(AND(VLOOKUP(M$1,test!$A$3:$I$32,8,FALSE)-VLOOKUP($A29,test!$A$3:$I$32,9,FALSE)&gt;=VLOOKUP(VLOOKUP(M$1, test!$A$3:$I$32,3,FALSE), test!$J$11:$K$14, 2, FALSE)),1,0)</f>
        <v>0</v>
      </c>
      <c r="N29" s="2">
        <f>IF(AND(VLOOKUP(N$1,test!$A$3:$I$32,8,FALSE)-VLOOKUP($A29,test!$A$3:$I$32,9,FALSE)&gt;=VLOOKUP(VLOOKUP(N$1, test!$A$3:$I$32,3,FALSE), test!$J$11:$K$14, 2, FALSE)),1,0)</f>
        <v>0</v>
      </c>
      <c r="O29" s="2">
        <f>IF(AND(VLOOKUP(O$1,test!$A$3:$I$32,8,FALSE)-VLOOKUP($A29,test!$A$3:$I$32,9,FALSE)&gt;=VLOOKUP(VLOOKUP(O$1, test!$A$3:$I$32,3,FALSE), test!$J$11:$K$14, 2, FALSE)),1,0)</f>
        <v>1</v>
      </c>
      <c r="P29" s="2">
        <f>IF(AND(VLOOKUP(P$1,test!$A$3:$I$32,8,FALSE)-VLOOKUP($A29,test!$A$3:$I$32,9,FALSE)&gt;=VLOOKUP(VLOOKUP(P$1, test!$A$3:$I$32,3,FALSE), test!$J$11:$K$14, 2, FALSE)),1,0)</f>
        <v>0</v>
      </c>
      <c r="Q29" s="2">
        <f>IF(AND(VLOOKUP(Q$1,test!$A$3:$I$32,8,FALSE)-VLOOKUP($A29,test!$A$3:$I$32,9,FALSE)&gt;=VLOOKUP(VLOOKUP(Q$1, test!$A$3:$I$32,3,FALSE), test!$J$11:$K$14, 2, FALSE)),1,0)</f>
        <v>0</v>
      </c>
      <c r="R29" s="2">
        <f>IF(AND(VLOOKUP(R$1,test!$A$3:$I$32,8,FALSE)-VLOOKUP($A29,test!$A$3:$I$32,9,FALSE)&gt;=VLOOKUP(VLOOKUP(R$1, test!$A$3:$I$32,3,FALSE), test!$J$11:$K$14, 2, FALSE)),1,0)</f>
        <v>0</v>
      </c>
      <c r="S29" s="2">
        <f>IF(AND(VLOOKUP(S$1,test!$A$3:$I$32,8,FALSE)-VLOOKUP($A29,test!$A$3:$I$32,9,FALSE)&gt;=VLOOKUP(VLOOKUP(S$1, test!$A$3:$I$32,3,FALSE), test!$J$11:$K$14, 2, FALSE)),1,0)</f>
        <v>0</v>
      </c>
      <c r="T29" s="2">
        <f>IF(AND(VLOOKUP(T$1,test!$A$3:$I$32,8,FALSE)-VLOOKUP($A29,test!$A$3:$I$32,9,FALSE)&gt;=VLOOKUP(VLOOKUP(T$1, test!$A$3:$I$32,3,FALSE), test!$J$11:$K$14, 2, FALSE)),1,0)</f>
        <v>0</v>
      </c>
      <c r="U29" s="2">
        <f>IF(AND(VLOOKUP(U$1,test!$A$3:$I$32,8,FALSE)-VLOOKUP($A29,test!$A$3:$I$32,9,FALSE)&gt;=VLOOKUP(VLOOKUP(U$1, test!$A$3:$I$32,3,FALSE), test!$J$11:$K$14, 2, FALSE)),1,0)</f>
        <v>0</v>
      </c>
      <c r="V29" s="2">
        <f>IF(AND(VLOOKUP(V$1,test!$A$3:$I$32,8,FALSE)-VLOOKUP($A29,test!$A$3:$I$32,9,FALSE)&gt;=VLOOKUP(VLOOKUP(V$1, test!$A$3:$I$32,3,FALSE), test!$J$11:$K$14, 2, FALSE)),1,0)</f>
        <v>0</v>
      </c>
      <c r="W29" s="2">
        <f>IF(AND(VLOOKUP(W$1,test!$A$3:$I$32,8,FALSE)-VLOOKUP($A29,test!$A$3:$I$32,9,FALSE)&gt;=VLOOKUP(VLOOKUP(W$1, test!$A$3:$I$32,3,FALSE), test!$J$11:$K$14, 2, FALSE)),1,0)</f>
        <v>0</v>
      </c>
      <c r="X29" s="2">
        <f>IF(AND(VLOOKUP(X$1,test!$A$3:$I$32,8,FALSE)-VLOOKUP($A29,test!$A$3:$I$32,9,FALSE)&gt;=VLOOKUP(VLOOKUP(X$1, test!$A$3:$I$32,3,FALSE), test!$J$11:$K$14, 2, FALSE)),1,0)</f>
        <v>0</v>
      </c>
      <c r="Y29" s="2">
        <f>IF(AND(VLOOKUP(Y$1,test!$A$3:$I$32,8,FALSE)-VLOOKUP($A29,test!$A$3:$I$32,9,FALSE)&gt;=VLOOKUP(VLOOKUP(Y$1, test!$A$3:$I$32,3,FALSE), test!$J$11:$K$14, 2, FALSE)),1,0)</f>
        <v>0</v>
      </c>
      <c r="Z29" s="2">
        <f>IF(AND(VLOOKUP(Z$1,test!$A$3:$I$32,8,FALSE)-VLOOKUP($A29,test!$A$3:$I$32,9,FALSE)&gt;=VLOOKUP(VLOOKUP(Z$1, test!$A$3:$I$32,3,FALSE), test!$J$11:$K$14, 2, FALSE)),1,0)</f>
        <v>0</v>
      </c>
      <c r="AA29" s="2">
        <f>IF(AND(VLOOKUP(AA$1,test!$A$3:$I$32,8,FALSE)-VLOOKUP($A29,test!$A$3:$I$32,9,FALSE)&gt;=VLOOKUP(VLOOKUP(AA$1, test!$A$3:$I$32,3,FALSE), test!$J$11:$K$14, 2, FALSE)),1,0)</f>
        <v>0</v>
      </c>
      <c r="AB29" s="2">
        <f>IF(AND(VLOOKUP(AB$1,test!$A$3:$I$32,8,FALSE)-VLOOKUP($A29,test!$A$3:$I$32,9,FALSE)&gt;=VLOOKUP(VLOOKUP(AB$1, test!$A$3:$I$32,3,FALSE), test!$J$11:$K$14, 2, FALSE)),1,0)</f>
        <v>0</v>
      </c>
      <c r="AC29" s="2">
        <f>IF(AND(VLOOKUP(AC$1,test!$A$3:$I$32,8,FALSE)-VLOOKUP($A29,test!$A$3:$I$32,9,FALSE)&gt;=VLOOKUP(VLOOKUP(AC$1, test!$A$3:$I$32,3,FALSE), test!$J$11:$K$14, 2, FALSE)),1,0)</f>
        <v>0</v>
      </c>
      <c r="AD29" s="2">
        <f>IF(AND(VLOOKUP(AD$1,test!$A$3:$I$32,8,FALSE)-VLOOKUP($A29,test!$A$3:$I$32,9,FALSE)&gt;=VLOOKUP(VLOOKUP(AD$1, test!$A$3:$I$32,3,FALSE), test!$J$11:$K$14, 2, FALSE)),1,0)</f>
        <v>0</v>
      </c>
      <c r="AE29" s="2">
        <f>IF(AND(VLOOKUP(AE$1,test!$A$3:$I$32,8,FALSE)-VLOOKUP($A29,test!$A$3:$I$32,9,FALSE)&gt;=VLOOKUP(VLOOKUP(AE$1, test!$A$3:$I$32,3,FALSE), test!$J$11:$K$14, 2, FALSE)),1,0)</f>
        <v>0</v>
      </c>
      <c r="AF29" s="2">
        <f>IF(AND(VLOOKUP(AF$1,test!$A$3:$I$32,8,FALSE)-VLOOKUP($A29,test!$A$3:$I$32,9,FALSE)&gt;=VLOOKUP(VLOOKUP(AF$1, test!$A$3:$I$32,3,FALSE), test!$J$11:$K$14, 2, FALSE)),1,0)</f>
        <v>0</v>
      </c>
    </row>
    <row r="30" spans="1:32" x14ac:dyDescent="0.25">
      <c r="A30" t="s">
        <v>39</v>
      </c>
      <c r="B30" s="3">
        <v>1</v>
      </c>
      <c r="C30" s="2">
        <f>IF(AND(VLOOKUP(C$1,test!$A$3:$I$32,8,FALSE)-VLOOKUP($A30,test!$A$3:$I$32,9,FALSE)&gt;=VLOOKUP(VLOOKUP(C$1, test!$A$3:$I$32,3,FALSE), test!$J$11:$K$14, 2, FALSE)),1,0)</f>
        <v>0</v>
      </c>
      <c r="D30" s="2">
        <f>IF(AND(VLOOKUP(D$1,test!$A$3:$I$32,8,FALSE)-VLOOKUP($A30,test!$A$3:$I$32,9,FALSE)&gt;=VLOOKUP(VLOOKUP(D$1, test!$A$3:$I$32,3,FALSE), test!$J$11:$K$14, 2, FALSE)),1,0)</f>
        <v>1</v>
      </c>
      <c r="E30" s="2">
        <f>IF(AND(VLOOKUP(E$1,test!$A$3:$I$32,8,FALSE)-VLOOKUP($A30,test!$A$3:$I$32,9,FALSE)&gt;=VLOOKUP(VLOOKUP(E$1, test!$A$3:$I$32,3,FALSE), test!$J$11:$K$14, 2, FALSE)),1,0)</f>
        <v>1</v>
      </c>
      <c r="F30" s="2">
        <f>IF(AND(VLOOKUP(F$1,test!$A$3:$I$32,8,FALSE)-VLOOKUP($A30,test!$A$3:$I$32,9,FALSE)&gt;=VLOOKUP(VLOOKUP(F$1, test!$A$3:$I$32,3,FALSE), test!$J$11:$K$14, 2, FALSE)),1,0)</f>
        <v>1</v>
      </c>
      <c r="G30" s="2">
        <f>IF(AND(VLOOKUP(G$1,test!$A$3:$I$32,8,FALSE)-VLOOKUP($A30,test!$A$3:$I$32,9,FALSE)&gt;=VLOOKUP(VLOOKUP(G$1, test!$A$3:$I$32,3,FALSE), test!$J$11:$K$14, 2, FALSE)),1,0)</f>
        <v>1</v>
      </c>
      <c r="H30" s="2">
        <f>IF(AND(VLOOKUP(H$1,test!$A$3:$I$32,8,FALSE)-VLOOKUP($A30,test!$A$3:$I$32,9,FALSE)&gt;=VLOOKUP(VLOOKUP(H$1, test!$A$3:$I$32,3,FALSE), test!$J$11:$K$14, 2, FALSE)),1,0)</f>
        <v>1</v>
      </c>
      <c r="I30" s="2">
        <f>IF(AND(VLOOKUP(I$1,test!$A$3:$I$32,8,FALSE)-VLOOKUP($A30,test!$A$3:$I$32,9,FALSE)&gt;=VLOOKUP(VLOOKUP(I$1, test!$A$3:$I$32,3,FALSE), test!$J$11:$K$14, 2, FALSE)),1,0)</f>
        <v>1</v>
      </c>
      <c r="J30" s="2">
        <f>IF(AND(VLOOKUP(J$1,test!$A$3:$I$32,8,FALSE)-VLOOKUP($A30,test!$A$3:$I$32,9,FALSE)&gt;=VLOOKUP(VLOOKUP(J$1, test!$A$3:$I$32,3,FALSE), test!$J$11:$K$14, 2, FALSE)),1,0)</f>
        <v>1</v>
      </c>
      <c r="K30" s="2">
        <f>IF(AND(VLOOKUP(K$1,test!$A$3:$I$32,8,FALSE)-VLOOKUP($A30,test!$A$3:$I$32,9,FALSE)&gt;=VLOOKUP(VLOOKUP(K$1, test!$A$3:$I$32,3,FALSE), test!$J$11:$K$14, 2, FALSE)),1,0)</f>
        <v>0</v>
      </c>
      <c r="L30" s="2">
        <f>IF(AND(VLOOKUP(L$1,test!$A$3:$I$32,8,FALSE)-VLOOKUP($A30,test!$A$3:$I$32,9,FALSE)&gt;=VLOOKUP(VLOOKUP(L$1, test!$A$3:$I$32,3,FALSE), test!$J$11:$K$14, 2, FALSE)),1,0)</f>
        <v>0</v>
      </c>
      <c r="M30" s="2">
        <f>IF(AND(VLOOKUP(M$1,test!$A$3:$I$32,8,FALSE)-VLOOKUP($A30,test!$A$3:$I$32,9,FALSE)&gt;=VLOOKUP(VLOOKUP(M$1, test!$A$3:$I$32,3,FALSE), test!$J$11:$K$14, 2, FALSE)),1,0)</f>
        <v>1</v>
      </c>
      <c r="N30" s="2">
        <f>IF(AND(VLOOKUP(N$1,test!$A$3:$I$32,8,FALSE)-VLOOKUP($A30,test!$A$3:$I$32,9,FALSE)&gt;=VLOOKUP(VLOOKUP(N$1, test!$A$3:$I$32,3,FALSE), test!$J$11:$K$14, 2, FALSE)),1,0)</f>
        <v>1</v>
      </c>
      <c r="O30" s="2">
        <f>IF(AND(VLOOKUP(O$1,test!$A$3:$I$32,8,FALSE)-VLOOKUP($A30,test!$A$3:$I$32,9,FALSE)&gt;=VLOOKUP(VLOOKUP(O$1, test!$A$3:$I$32,3,FALSE), test!$J$11:$K$14, 2, FALSE)),1,0)</f>
        <v>1</v>
      </c>
      <c r="P30" s="2">
        <f>IF(AND(VLOOKUP(P$1,test!$A$3:$I$32,8,FALSE)-VLOOKUP($A30,test!$A$3:$I$32,9,FALSE)&gt;=VLOOKUP(VLOOKUP(P$1, test!$A$3:$I$32,3,FALSE), test!$J$11:$K$14, 2, FALSE)),1,0)</f>
        <v>0</v>
      </c>
      <c r="Q30" s="2">
        <f>IF(AND(VLOOKUP(Q$1,test!$A$3:$I$32,8,FALSE)-VLOOKUP($A30,test!$A$3:$I$32,9,FALSE)&gt;=VLOOKUP(VLOOKUP(Q$1, test!$A$3:$I$32,3,FALSE), test!$J$11:$K$14, 2, FALSE)),1,0)</f>
        <v>0</v>
      </c>
      <c r="R30" s="2">
        <f>IF(AND(VLOOKUP(R$1,test!$A$3:$I$32,8,FALSE)-VLOOKUP($A30,test!$A$3:$I$32,9,FALSE)&gt;=VLOOKUP(VLOOKUP(R$1, test!$A$3:$I$32,3,FALSE), test!$J$11:$K$14, 2, FALSE)),1,0)</f>
        <v>0</v>
      </c>
      <c r="S30" s="2">
        <f>IF(AND(VLOOKUP(S$1,test!$A$3:$I$32,8,FALSE)-VLOOKUP($A30,test!$A$3:$I$32,9,FALSE)&gt;=VLOOKUP(VLOOKUP(S$1, test!$A$3:$I$32,3,FALSE), test!$J$11:$K$14, 2, FALSE)),1,0)</f>
        <v>0</v>
      </c>
      <c r="T30" s="2">
        <f>IF(AND(VLOOKUP(T$1,test!$A$3:$I$32,8,FALSE)-VLOOKUP($A30,test!$A$3:$I$32,9,FALSE)&gt;=VLOOKUP(VLOOKUP(T$1, test!$A$3:$I$32,3,FALSE), test!$J$11:$K$14, 2, FALSE)),1,0)</f>
        <v>1</v>
      </c>
      <c r="U30" s="2">
        <f>IF(AND(VLOOKUP(U$1,test!$A$3:$I$32,8,FALSE)-VLOOKUP($A30,test!$A$3:$I$32,9,FALSE)&gt;=VLOOKUP(VLOOKUP(U$1, test!$A$3:$I$32,3,FALSE), test!$J$11:$K$14, 2, FALSE)),1,0)</f>
        <v>1</v>
      </c>
      <c r="V30" s="2">
        <f>IF(AND(VLOOKUP(V$1,test!$A$3:$I$32,8,FALSE)-VLOOKUP($A30,test!$A$3:$I$32,9,FALSE)&gt;=VLOOKUP(VLOOKUP(V$1, test!$A$3:$I$32,3,FALSE), test!$J$11:$K$14, 2, FALSE)),1,0)</f>
        <v>1</v>
      </c>
      <c r="W30" s="2">
        <f>IF(AND(VLOOKUP(W$1,test!$A$3:$I$32,8,FALSE)-VLOOKUP($A30,test!$A$3:$I$32,9,FALSE)&gt;=VLOOKUP(VLOOKUP(W$1, test!$A$3:$I$32,3,FALSE), test!$J$11:$K$14, 2, FALSE)),1,0)</f>
        <v>1</v>
      </c>
      <c r="X30" s="2">
        <f>IF(AND(VLOOKUP(X$1,test!$A$3:$I$32,8,FALSE)-VLOOKUP($A30,test!$A$3:$I$32,9,FALSE)&gt;=VLOOKUP(VLOOKUP(X$1, test!$A$3:$I$32,3,FALSE), test!$J$11:$K$14, 2, FALSE)),1,0)</f>
        <v>1</v>
      </c>
      <c r="Y30" s="2">
        <f>IF(AND(VLOOKUP(Y$1,test!$A$3:$I$32,8,FALSE)-VLOOKUP($A30,test!$A$3:$I$32,9,FALSE)&gt;=VLOOKUP(VLOOKUP(Y$1, test!$A$3:$I$32,3,FALSE), test!$J$11:$K$14, 2, FALSE)),1,0)</f>
        <v>0</v>
      </c>
      <c r="Z30" s="2">
        <f>IF(AND(VLOOKUP(Z$1,test!$A$3:$I$32,8,FALSE)-VLOOKUP($A30,test!$A$3:$I$32,9,FALSE)&gt;=VLOOKUP(VLOOKUP(Z$1, test!$A$3:$I$32,3,FALSE), test!$J$11:$K$14, 2, FALSE)),1,0)</f>
        <v>1</v>
      </c>
      <c r="AA30" s="2">
        <f>IF(AND(VLOOKUP(AA$1,test!$A$3:$I$32,8,FALSE)-VLOOKUP($A30,test!$A$3:$I$32,9,FALSE)&gt;=VLOOKUP(VLOOKUP(AA$1, test!$A$3:$I$32,3,FALSE), test!$J$11:$K$14, 2, FALSE)),1,0)</f>
        <v>1</v>
      </c>
      <c r="AB30" s="2">
        <f>IF(AND(VLOOKUP(AB$1,test!$A$3:$I$32,8,FALSE)-VLOOKUP($A30,test!$A$3:$I$32,9,FALSE)&gt;=VLOOKUP(VLOOKUP(AB$1, test!$A$3:$I$32,3,FALSE), test!$J$11:$K$14, 2, FALSE)),1,0)</f>
        <v>1</v>
      </c>
      <c r="AC30" s="2">
        <f>IF(AND(VLOOKUP(AC$1,test!$A$3:$I$32,8,FALSE)-VLOOKUP($A30,test!$A$3:$I$32,9,FALSE)&gt;=VLOOKUP(VLOOKUP(AC$1, test!$A$3:$I$32,3,FALSE), test!$J$11:$K$14, 2, FALSE)),1,0)</f>
        <v>1</v>
      </c>
      <c r="AD30" s="2">
        <f>IF(AND(VLOOKUP(AD$1,test!$A$3:$I$32,8,FALSE)-VLOOKUP($A30,test!$A$3:$I$32,9,FALSE)&gt;=VLOOKUP(VLOOKUP(AD$1, test!$A$3:$I$32,3,FALSE), test!$J$11:$K$14, 2, FALSE)),1,0)</f>
        <v>0</v>
      </c>
      <c r="AE30" s="2">
        <f>IF(AND(VLOOKUP(AE$1,test!$A$3:$I$32,8,FALSE)-VLOOKUP($A30,test!$A$3:$I$32,9,FALSE)&gt;=VLOOKUP(VLOOKUP(AE$1, test!$A$3:$I$32,3,FALSE), test!$J$11:$K$14, 2, FALSE)),1,0)</f>
        <v>1</v>
      </c>
      <c r="AF30" s="2">
        <f>IF(AND(VLOOKUP(AF$1,test!$A$3:$I$32,8,FALSE)-VLOOKUP($A30,test!$A$3:$I$32,9,FALSE)&gt;=VLOOKUP(VLOOKUP(AF$1, test!$A$3:$I$32,3,FALSE), test!$J$11:$K$14, 2, FALSE)),1,0)</f>
        <v>1</v>
      </c>
    </row>
    <row r="31" spans="1:32" x14ac:dyDescent="0.25">
      <c r="A31" t="s">
        <v>40</v>
      </c>
      <c r="B31" s="3">
        <v>1</v>
      </c>
      <c r="C31" s="2">
        <f>IF(AND(VLOOKUP(C$1,test!$A$3:$I$32,8,FALSE)-VLOOKUP($A31,test!$A$3:$I$32,9,FALSE)&gt;=VLOOKUP(VLOOKUP(C$1, test!$A$3:$I$32,3,FALSE), test!$J$11:$K$14, 2, FALSE)),1,0)</f>
        <v>0</v>
      </c>
      <c r="D31" s="2">
        <f>IF(AND(VLOOKUP(D$1,test!$A$3:$I$32,8,FALSE)-VLOOKUP($A31,test!$A$3:$I$32,9,FALSE)&gt;=VLOOKUP(VLOOKUP(D$1, test!$A$3:$I$32,3,FALSE), test!$J$11:$K$14, 2, FALSE)),1,0)</f>
        <v>0</v>
      </c>
      <c r="E31" s="2">
        <f>IF(AND(VLOOKUP(E$1,test!$A$3:$I$32,8,FALSE)-VLOOKUP($A31,test!$A$3:$I$32,9,FALSE)&gt;=VLOOKUP(VLOOKUP(E$1, test!$A$3:$I$32,3,FALSE), test!$J$11:$K$14, 2, FALSE)),1,0)</f>
        <v>0</v>
      </c>
      <c r="F31" s="2">
        <f>IF(AND(VLOOKUP(F$1,test!$A$3:$I$32,8,FALSE)-VLOOKUP($A31,test!$A$3:$I$32,9,FALSE)&gt;=VLOOKUP(VLOOKUP(F$1, test!$A$3:$I$32,3,FALSE), test!$J$11:$K$14, 2, FALSE)),1,0)</f>
        <v>0</v>
      </c>
      <c r="G31" s="2">
        <f>IF(AND(VLOOKUP(G$1,test!$A$3:$I$32,8,FALSE)-VLOOKUP($A31,test!$A$3:$I$32,9,FALSE)&gt;=VLOOKUP(VLOOKUP(G$1, test!$A$3:$I$32,3,FALSE), test!$J$11:$K$14, 2, FALSE)),1,0)</f>
        <v>0</v>
      </c>
      <c r="H31" s="2">
        <f>IF(AND(VLOOKUP(H$1,test!$A$3:$I$32,8,FALSE)-VLOOKUP($A31,test!$A$3:$I$32,9,FALSE)&gt;=VLOOKUP(VLOOKUP(H$1, test!$A$3:$I$32,3,FALSE), test!$J$11:$K$14, 2, FALSE)),1,0)</f>
        <v>0</v>
      </c>
      <c r="I31" s="2">
        <f>IF(AND(VLOOKUP(I$1,test!$A$3:$I$32,8,FALSE)-VLOOKUP($A31,test!$A$3:$I$32,9,FALSE)&gt;=VLOOKUP(VLOOKUP(I$1, test!$A$3:$I$32,3,FALSE), test!$J$11:$K$14, 2, FALSE)),1,0)</f>
        <v>1</v>
      </c>
      <c r="J31" s="2">
        <f>IF(AND(VLOOKUP(J$1,test!$A$3:$I$32,8,FALSE)-VLOOKUP($A31,test!$A$3:$I$32,9,FALSE)&gt;=VLOOKUP(VLOOKUP(J$1, test!$A$3:$I$32,3,FALSE), test!$J$11:$K$14, 2, FALSE)),1,0)</f>
        <v>1</v>
      </c>
      <c r="K31" s="2">
        <f>IF(AND(VLOOKUP(K$1,test!$A$3:$I$32,8,FALSE)-VLOOKUP($A31,test!$A$3:$I$32,9,FALSE)&gt;=VLOOKUP(VLOOKUP(K$1, test!$A$3:$I$32,3,FALSE), test!$J$11:$K$14, 2, FALSE)),1,0)</f>
        <v>0</v>
      </c>
      <c r="L31" s="2">
        <f>IF(AND(VLOOKUP(L$1,test!$A$3:$I$32,8,FALSE)-VLOOKUP($A31,test!$A$3:$I$32,9,FALSE)&gt;=VLOOKUP(VLOOKUP(L$1, test!$A$3:$I$32,3,FALSE), test!$J$11:$K$14, 2, FALSE)),1,0)</f>
        <v>0</v>
      </c>
      <c r="M31" s="2">
        <f>IF(AND(VLOOKUP(M$1,test!$A$3:$I$32,8,FALSE)-VLOOKUP($A31,test!$A$3:$I$32,9,FALSE)&gt;=VLOOKUP(VLOOKUP(M$1, test!$A$3:$I$32,3,FALSE), test!$J$11:$K$14, 2, FALSE)),1,0)</f>
        <v>0</v>
      </c>
      <c r="N31" s="2">
        <f>IF(AND(VLOOKUP(N$1,test!$A$3:$I$32,8,FALSE)-VLOOKUP($A31,test!$A$3:$I$32,9,FALSE)&gt;=VLOOKUP(VLOOKUP(N$1, test!$A$3:$I$32,3,FALSE), test!$J$11:$K$14, 2, FALSE)),1,0)</f>
        <v>1</v>
      </c>
      <c r="O31" s="2">
        <f>IF(AND(VLOOKUP(O$1,test!$A$3:$I$32,8,FALSE)-VLOOKUP($A31,test!$A$3:$I$32,9,FALSE)&gt;=VLOOKUP(VLOOKUP(O$1, test!$A$3:$I$32,3,FALSE), test!$J$11:$K$14, 2, FALSE)),1,0)</f>
        <v>1</v>
      </c>
      <c r="P31" s="2">
        <f>IF(AND(VLOOKUP(P$1,test!$A$3:$I$32,8,FALSE)-VLOOKUP($A31,test!$A$3:$I$32,9,FALSE)&gt;=VLOOKUP(VLOOKUP(P$1, test!$A$3:$I$32,3,FALSE), test!$J$11:$K$14, 2, FALSE)),1,0)</f>
        <v>0</v>
      </c>
      <c r="Q31" s="2">
        <f>IF(AND(VLOOKUP(Q$1,test!$A$3:$I$32,8,FALSE)-VLOOKUP($A31,test!$A$3:$I$32,9,FALSE)&gt;=VLOOKUP(VLOOKUP(Q$1, test!$A$3:$I$32,3,FALSE), test!$J$11:$K$14, 2, FALSE)),1,0)</f>
        <v>0</v>
      </c>
      <c r="R31" s="2">
        <f>IF(AND(VLOOKUP(R$1,test!$A$3:$I$32,8,FALSE)-VLOOKUP($A31,test!$A$3:$I$32,9,FALSE)&gt;=VLOOKUP(VLOOKUP(R$1, test!$A$3:$I$32,3,FALSE), test!$J$11:$K$14, 2, FALSE)),1,0)</f>
        <v>0</v>
      </c>
      <c r="S31" s="2">
        <f>IF(AND(VLOOKUP(S$1,test!$A$3:$I$32,8,FALSE)-VLOOKUP($A31,test!$A$3:$I$32,9,FALSE)&gt;=VLOOKUP(VLOOKUP(S$1, test!$A$3:$I$32,3,FALSE), test!$J$11:$K$14, 2, FALSE)),1,0)</f>
        <v>0</v>
      </c>
      <c r="T31" s="2">
        <f>IF(AND(VLOOKUP(T$1,test!$A$3:$I$32,8,FALSE)-VLOOKUP($A31,test!$A$3:$I$32,9,FALSE)&gt;=VLOOKUP(VLOOKUP(T$1, test!$A$3:$I$32,3,FALSE), test!$J$11:$K$14, 2, FALSE)),1,0)</f>
        <v>0</v>
      </c>
      <c r="U31" s="2">
        <f>IF(AND(VLOOKUP(U$1,test!$A$3:$I$32,8,FALSE)-VLOOKUP($A31,test!$A$3:$I$32,9,FALSE)&gt;=VLOOKUP(VLOOKUP(U$1, test!$A$3:$I$32,3,FALSE), test!$J$11:$K$14, 2, FALSE)),1,0)</f>
        <v>0</v>
      </c>
      <c r="V31" s="2">
        <f>IF(AND(VLOOKUP(V$1,test!$A$3:$I$32,8,FALSE)-VLOOKUP($A31,test!$A$3:$I$32,9,FALSE)&gt;=VLOOKUP(VLOOKUP(V$1, test!$A$3:$I$32,3,FALSE), test!$J$11:$K$14, 2, FALSE)),1,0)</f>
        <v>0</v>
      </c>
      <c r="W31" s="2">
        <f>IF(AND(VLOOKUP(W$1,test!$A$3:$I$32,8,FALSE)-VLOOKUP($A31,test!$A$3:$I$32,9,FALSE)&gt;=VLOOKUP(VLOOKUP(W$1, test!$A$3:$I$32,3,FALSE), test!$J$11:$K$14, 2, FALSE)),1,0)</f>
        <v>0</v>
      </c>
      <c r="X31" s="2">
        <f>IF(AND(VLOOKUP(X$1,test!$A$3:$I$32,8,FALSE)-VLOOKUP($A31,test!$A$3:$I$32,9,FALSE)&gt;=VLOOKUP(VLOOKUP(X$1, test!$A$3:$I$32,3,FALSE), test!$J$11:$K$14, 2, FALSE)),1,0)</f>
        <v>1</v>
      </c>
      <c r="Y31" s="2">
        <f>IF(AND(VLOOKUP(Y$1,test!$A$3:$I$32,8,FALSE)-VLOOKUP($A31,test!$A$3:$I$32,9,FALSE)&gt;=VLOOKUP(VLOOKUP(Y$1, test!$A$3:$I$32,3,FALSE), test!$J$11:$K$14, 2, FALSE)),1,0)</f>
        <v>0</v>
      </c>
      <c r="Z31" s="2">
        <f>IF(AND(VLOOKUP(Z$1,test!$A$3:$I$32,8,FALSE)-VLOOKUP($A31,test!$A$3:$I$32,9,FALSE)&gt;=VLOOKUP(VLOOKUP(Z$1, test!$A$3:$I$32,3,FALSE), test!$J$11:$K$14, 2, FALSE)),1,0)</f>
        <v>0</v>
      </c>
      <c r="AA31" s="2">
        <f>IF(AND(VLOOKUP(AA$1,test!$A$3:$I$32,8,FALSE)-VLOOKUP($A31,test!$A$3:$I$32,9,FALSE)&gt;=VLOOKUP(VLOOKUP(AA$1, test!$A$3:$I$32,3,FALSE), test!$J$11:$K$14, 2, FALSE)),1,0)</f>
        <v>0</v>
      </c>
      <c r="AB31" s="2">
        <f>IF(AND(VLOOKUP(AB$1,test!$A$3:$I$32,8,FALSE)-VLOOKUP($A31,test!$A$3:$I$32,9,FALSE)&gt;=VLOOKUP(VLOOKUP(AB$1, test!$A$3:$I$32,3,FALSE), test!$J$11:$K$14, 2, FALSE)),1,0)</f>
        <v>0</v>
      </c>
      <c r="AC31" s="2">
        <f>IF(AND(VLOOKUP(AC$1,test!$A$3:$I$32,8,FALSE)-VLOOKUP($A31,test!$A$3:$I$32,9,FALSE)&gt;=VLOOKUP(VLOOKUP(AC$1, test!$A$3:$I$32,3,FALSE), test!$J$11:$K$14, 2, FALSE)),1,0)</f>
        <v>0</v>
      </c>
      <c r="AD31" s="2">
        <f>IF(AND(VLOOKUP(AD$1,test!$A$3:$I$32,8,FALSE)-VLOOKUP($A31,test!$A$3:$I$32,9,FALSE)&gt;=VLOOKUP(VLOOKUP(AD$1, test!$A$3:$I$32,3,FALSE), test!$J$11:$K$14, 2, FALSE)),1,0)</f>
        <v>0</v>
      </c>
      <c r="AE31" s="2">
        <f>IF(AND(VLOOKUP(AE$1,test!$A$3:$I$32,8,FALSE)-VLOOKUP($A31,test!$A$3:$I$32,9,FALSE)&gt;=VLOOKUP(VLOOKUP(AE$1, test!$A$3:$I$32,3,FALSE), test!$J$11:$K$14, 2, FALSE)),1,0)</f>
        <v>0</v>
      </c>
      <c r="AF31" s="2">
        <f>IF(AND(VLOOKUP(AF$1,test!$A$3:$I$32,8,FALSE)-VLOOKUP($A31,test!$A$3:$I$32,9,FALSE)&gt;=VLOOKUP(VLOOKUP(AF$1, test!$A$3:$I$32,3,FALSE), test!$J$11:$K$14, 2, FALSE)),1,0)</f>
        <v>0</v>
      </c>
    </row>
    <row r="32" spans="1:32" x14ac:dyDescent="0.25">
      <c r="A32" t="s">
        <v>41</v>
      </c>
      <c r="B32" s="3">
        <v>1</v>
      </c>
      <c r="C32" s="2">
        <f>IF(AND(VLOOKUP(C$1,test!$A$3:$I$32,8,FALSE)-VLOOKUP($A32,test!$A$3:$I$32,9,FALSE)&gt;=VLOOKUP(VLOOKUP(C$1, test!$A$3:$I$32,3,FALSE), test!$J$11:$K$14, 2, FALSE)),1,0)</f>
        <v>0</v>
      </c>
      <c r="D32" s="2">
        <f>IF(AND(VLOOKUP(D$1,test!$A$3:$I$32,8,FALSE)-VLOOKUP($A32,test!$A$3:$I$32,9,FALSE)&gt;=VLOOKUP(VLOOKUP(D$1, test!$A$3:$I$32,3,FALSE), test!$J$11:$K$14, 2, FALSE)),1,0)</f>
        <v>0</v>
      </c>
      <c r="E32" s="2">
        <f>IF(AND(VLOOKUP(E$1,test!$A$3:$I$32,8,FALSE)-VLOOKUP($A32,test!$A$3:$I$32,9,FALSE)&gt;=VLOOKUP(VLOOKUP(E$1, test!$A$3:$I$32,3,FALSE), test!$J$11:$K$14, 2, FALSE)),1,0)</f>
        <v>0</v>
      </c>
      <c r="F32" s="2">
        <f>IF(AND(VLOOKUP(F$1,test!$A$3:$I$32,8,FALSE)-VLOOKUP($A32,test!$A$3:$I$32,9,FALSE)&gt;=VLOOKUP(VLOOKUP(F$1, test!$A$3:$I$32,3,FALSE), test!$J$11:$K$14, 2, FALSE)),1,0)</f>
        <v>0</v>
      </c>
      <c r="G32" s="2">
        <f>IF(AND(VLOOKUP(G$1,test!$A$3:$I$32,8,FALSE)-VLOOKUP($A32,test!$A$3:$I$32,9,FALSE)&gt;=VLOOKUP(VLOOKUP(G$1, test!$A$3:$I$32,3,FALSE), test!$J$11:$K$14, 2, FALSE)),1,0)</f>
        <v>0</v>
      </c>
      <c r="H32" s="2">
        <f>IF(AND(VLOOKUP(H$1,test!$A$3:$I$32,8,FALSE)-VLOOKUP($A32,test!$A$3:$I$32,9,FALSE)&gt;=VLOOKUP(VLOOKUP(H$1, test!$A$3:$I$32,3,FALSE), test!$J$11:$K$14, 2, FALSE)),1,0)</f>
        <v>0</v>
      </c>
      <c r="I32" s="2">
        <f>IF(AND(VLOOKUP(I$1,test!$A$3:$I$32,8,FALSE)-VLOOKUP($A32,test!$A$3:$I$32,9,FALSE)&gt;=VLOOKUP(VLOOKUP(I$1, test!$A$3:$I$32,3,FALSE), test!$J$11:$K$14, 2, FALSE)),1,0)</f>
        <v>1</v>
      </c>
      <c r="J32" s="2">
        <f>IF(AND(VLOOKUP(J$1,test!$A$3:$I$32,8,FALSE)-VLOOKUP($A32,test!$A$3:$I$32,9,FALSE)&gt;=VLOOKUP(VLOOKUP(J$1, test!$A$3:$I$32,3,FALSE), test!$J$11:$K$14, 2, FALSE)),1,0)</f>
        <v>1</v>
      </c>
      <c r="K32" s="2">
        <f>IF(AND(VLOOKUP(K$1,test!$A$3:$I$32,8,FALSE)-VLOOKUP($A32,test!$A$3:$I$32,9,FALSE)&gt;=VLOOKUP(VLOOKUP(K$1, test!$A$3:$I$32,3,FALSE), test!$J$11:$K$14, 2, FALSE)),1,0)</f>
        <v>0</v>
      </c>
      <c r="L32" s="2">
        <f>IF(AND(VLOOKUP(L$1,test!$A$3:$I$32,8,FALSE)-VLOOKUP($A32,test!$A$3:$I$32,9,FALSE)&gt;=VLOOKUP(VLOOKUP(L$1, test!$A$3:$I$32,3,FALSE), test!$J$11:$K$14, 2, FALSE)),1,0)</f>
        <v>0</v>
      </c>
      <c r="M32" s="2">
        <f>IF(AND(VLOOKUP(M$1,test!$A$3:$I$32,8,FALSE)-VLOOKUP($A32,test!$A$3:$I$32,9,FALSE)&gt;=VLOOKUP(VLOOKUP(M$1, test!$A$3:$I$32,3,FALSE), test!$J$11:$K$14, 2, FALSE)),1,0)</f>
        <v>0</v>
      </c>
      <c r="N32" s="2">
        <f>IF(AND(VLOOKUP(N$1,test!$A$3:$I$32,8,FALSE)-VLOOKUP($A32,test!$A$3:$I$32,9,FALSE)&gt;=VLOOKUP(VLOOKUP(N$1, test!$A$3:$I$32,3,FALSE), test!$J$11:$K$14, 2, FALSE)),1,0)</f>
        <v>1</v>
      </c>
      <c r="O32" s="2">
        <f>IF(AND(VLOOKUP(O$1,test!$A$3:$I$32,8,FALSE)-VLOOKUP($A32,test!$A$3:$I$32,9,FALSE)&gt;=VLOOKUP(VLOOKUP(O$1, test!$A$3:$I$32,3,FALSE), test!$J$11:$K$14, 2, FALSE)),1,0)</f>
        <v>1</v>
      </c>
      <c r="P32" s="2">
        <f>IF(AND(VLOOKUP(P$1,test!$A$3:$I$32,8,FALSE)-VLOOKUP($A32,test!$A$3:$I$32,9,FALSE)&gt;=VLOOKUP(VLOOKUP(P$1, test!$A$3:$I$32,3,FALSE), test!$J$11:$K$14, 2, FALSE)),1,0)</f>
        <v>0</v>
      </c>
      <c r="Q32" s="2">
        <f>IF(AND(VLOOKUP(Q$1,test!$A$3:$I$32,8,FALSE)-VLOOKUP($A32,test!$A$3:$I$32,9,FALSE)&gt;=VLOOKUP(VLOOKUP(Q$1, test!$A$3:$I$32,3,FALSE), test!$J$11:$K$14, 2, FALSE)),1,0)</f>
        <v>0</v>
      </c>
      <c r="R32" s="2">
        <f>IF(AND(VLOOKUP(R$1,test!$A$3:$I$32,8,FALSE)-VLOOKUP($A32,test!$A$3:$I$32,9,FALSE)&gt;=VLOOKUP(VLOOKUP(R$1, test!$A$3:$I$32,3,FALSE), test!$J$11:$K$14, 2, FALSE)),1,0)</f>
        <v>0</v>
      </c>
      <c r="S32" s="2">
        <f>IF(AND(VLOOKUP(S$1,test!$A$3:$I$32,8,FALSE)-VLOOKUP($A32,test!$A$3:$I$32,9,FALSE)&gt;=VLOOKUP(VLOOKUP(S$1, test!$A$3:$I$32,3,FALSE), test!$J$11:$K$14, 2, FALSE)),1,0)</f>
        <v>0</v>
      </c>
      <c r="T32" s="2">
        <f>IF(AND(VLOOKUP(T$1,test!$A$3:$I$32,8,FALSE)-VLOOKUP($A32,test!$A$3:$I$32,9,FALSE)&gt;=VLOOKUP(VLOOKUP(T$1, test!$A$3:$I$32,3,FALSE), test!$J$11:$K$14, 2, FALSE)),1,0)</f>
        <v>0</v>
      </c>
      <c r="U32" s="2">
        <f>IF(AND(VLOOKUP(U$1,test!$A$3:$I$32,8,FALSE)-VLOOKUP($A32,test!$A$3:$I$32,9,FALSE)&gt;=VLOOKUP(VLOOKUP(U$1, test!$A$3:$I$32,3,FALSE), test!$J$11:$K$14, 2, FALSE)),1,0)</f>
        <v>0</v>
      </c>
      <c r="V32" s="2">
        <f>IF(AND(VLOOKUP(V$1,test!$A$3:$I$32,8,FALSE)-VLOOKUP($A32,test!$A$3:$I$32,9,FALSE)&gt;=VLOOKUP(VLOOKUP(V$1, test!$A$3:$I$32,3,FALSE), test!$J$11:$K$14, 2, FALSE)),1,0)</f>
        <v>0</v>
      </c>
      <c r="W32" s="2">
        <f>IF(AND(VLOOKUP(W$1,test!$A$3:$I$32,8,FALSE)-VLOOKUP($A32,test!$A$3:$I$32,9,FALSE)&gt;=VLOOKUP(VLOOKUP(W$1, test!$A$3:$I$32,3,FALSE), test!$J$11:$K$14, 2, FALSE)),1,0)</f>
        <v>0</v>
      </c>
      <c r="X32" s="2">
        <f>IF(AND(VLOOKUP(X$1,test!$A$3:$I$32,8,FALSE)-VLOOKUP($A32,test!$A$3:$I$32,9,FALSE)&gt;=VLOOKUP(VLOOKUP(X$1, test!$A$3:$I$32,3,FALSE), test!$J$11:$K$14, 2, FALSE)),1,0)</f>
        <v>1</v>
      </c>
      <c r="Y32" s="2">
        <f>IF(AND(VLOOKUP(Y$1,test!$A$3:$I$32,8,FALSE)-VLOOKUP($A32,test!$A$3:$I$32,9,FALSE)&gt;=VLOOKUP(VLOOKUP(Y$1, test!$A$3:$I$32,3,FALSE), test!$J$11:$K$14, 2, FALSE)),1,0)</f>
        <v>0</v>
      </c>
      <c r="Z32" s="2">
        <f>IF(AND(VLOOKUP(Z$1,test!$A$3:$I$32,8,FALSE)-VLOOKUP($A32,test!$A$3:$I$32,9,FALSE)&gt;=VLOOKUP(VLOOKUP(Z$1, test!$A$3:$I$32,3,FALSE), test!$J$11:$K$14, 2, FALSE)),1,0)</f>
        <v>0</v>
      </c>
      <c r="AA32" s="2">
        <f>IF(AND(VLOOKUP(AA$1,test!$A$3:$I$32,8,FALSE)-VLOOKUP($A32,test!$A$3:$I$32,9,FALSE)&gt;=VLOOKUP(VLOOKUP(AA$1, test!$A$3:$I$32,3,FALSE), test!$J$11:$K$14, 2, FALSE)),1,0)</f>
        <v>0</v>
      </c>
      <c r="AB32" s="2">
        <f>IF(AND(VLOOKUP(AB$1,test!$A$3:$I$32,8,FALSE)-VLOOKUP($A32,test!$A$3:$I$32,9,FALSE)&gt;=VLOOKUP(VLOOKUP(AB$1, test!$A$3:$I$32,3,FALSE), test!$J$11:$K$14, 2, FALSE)),1,0)</f>
        <v>0</v>
      </c>
      <c r="AC32" s="2">
        <f>IF(AND(VLOOKUP(AC$1,test!$A$3:$I$32,8,FALSE)-VLOOKUP($A32,test!$A$3:$I$32,9,FALSE)&gt;=VLOOKUP(VLOOKUP(AC$1, test!$A$3:$I$32,3,FALSE), test!$J$11:$K$14, 2, FALSE)),1,0)</f>
        <v>0</v>
      </c>
      <c r="AD32" s="2">
        <f>IF(AND(VLOOKUP(AD$1,test!$A$3:$I$32,8,FALSE)-VLOOKUP($A32,test!$A$3:$I$32,9,FALSE)&gt;=VLOOKUP(VLOOKUP(AD$1, test!$A$3:$I$32,3,FALSE), test!$J$11:$K$14, 2, FALSE)),1,0)</f>
        <v>0</v>
      </c>
      <c r="AE32" s="2">
        <f>IF(AND(VLOOKUP(AE$1,test!$A$3:$I$32,8,FALSE)-VLOOKUP($A32,test!$A$3:$I$32,9,FALSE)&gt;=VLOOKUP(VLOOKUP(AE$1, test!$A$3:$I$32,3,FALSE), test!$J$11:$K$14, 2, FALSE)),1,0)</f>
        <v>0</v>
      </c>
      <c r="AF32" s="2">
        <f>IF(AND(VLOOKUP(AF$1,test!$A$3:$I$32,8,FALSE)-VLOOKUP($A32,test!$A$3:$I$32,9,FALSE)&gt;=VLOOKUP(VLOOKUP(AF$1, test!$A$3:$I$32,3,FALSE), test!$J$11:$K$14, 2, FALSE)),1,0)</f>
        <v>0</v>
      </c>
    </row>
    <row r="34" spans="4:12" x14ac:dyDescent="0.25">
      <c r="D34" t="b">
        <f>AND(VLOOKUP(G$1,test!$A$3:$G$32,5,FALSE)-VLOOKUP($A5,test!$A$3:$G$32,6,FALSE)&gt;=VLOOKUP(VLOOKUP(G$1, test!$A$3:$G$32,3,FALSE), test!$J$11:$K$14, 2, FALSE)/1440)</f>
        <v>0</v>
      </c>
      <c r="F34" t="b">
        <f>VLOOKUP(G$1,test!$A$3:$I$32,8,FALSE)-VLOOKUP($A5,test!$A$3:$I$32,9,FALSE)&gt;=VLOOKUP(VLOOKUP(G$1,test!$A$3:$G$32,3,FALSE),test!$J$11:$K$14,2,FALSE)</f>
        <v>1</v>
      </c>
      <c r="L34" t="s">
        <v>103</v>
      </c>
    </row>
    <row r="35" spans="4:12" x14ac:dyDescent="0.25">
      <c r="D35">
        <f>VLOOKUP(G$1,test!$A$3:$G$32,5,FALSE)-VLOOKUP($A5,test!$A$3:$G$32,6,FALSE)</f>
        <v>1.041666666666663E-2</v>
      </c>
      <c r="F35">
        <f>VLOOKUP(G$1,test!$A$3:$I$32,8,FALSE)-VLOOKUP($A5,test!$A$3:$I$32,9,FALSE)</f>
        <v>15</v>
      </c>
      <c r="L35">
        <f>VLOOKUP(T$1,test!$A$3:$I$32,8,FALSE)-VLOOKUP($A16,test!$A$3:$I$32,9,FALSE)</f>
        <v>40</v>
      </c>
    </row>
    <row r="36" spans="4:12" x14ac:dyDescent="0.25">
      <c r="D36">
        <f>VLOOKUP(VLOOKUP(G$1, test!$A$3:$G$32,3,FALSE), test!$J$11:$K$14, 2, FALSE)/1440</f>
        <v>1.0416666666666666E-2</v>
      </c>
      <c r="F36">
        <f>VLOOKUP(VLOOKUP(G$1,test!$A$3:$G$32,3,FALSE),test!$J$11:$K$14,2,FALSE)</f>
        <v>15</v>
      </c>
    </row>
  </sheetData>
  <conditionalFormatting sqref="C3:AF32">
    <cfRule type="cellIs" dxfId="2" priority="1" operator="equal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9962-F4D7-4FEB-9F14-68B5F9DF7379}">
  <dimension ref="A1:AK41"/>
  <sheetViews>
    <sheetView topLeftCell="A22" workbookViewId="0">
      <selection activeCell="AF22" sqref="AF22"/>
    </sheetView>
  </sheetViews>
  <sheetFormatPr defaultRowHeight="15" x14ac:dyDescent="0.25"/>
  <sheetData>
    <row r="1" spans="1:37" x14ac:dyDescent="0.25">
      <c r="B1" t="s">
        <v>46</v>
      </c>
      <c r="C1" t="s">
        <v>6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18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48</v>
      </c>
      <c r="AH1" t="s">
        <v>90</v>
      </c>
      <c r="AI1" t="s">
        <v>97</v>
      </c>
      <c r="AJ1" t="s">
        <v>98</v>
      </c>
      <c r="AK1" t="s">
        <v>99</v>
      </c>
    </row>
    <row r="2" spans="1:37" x14ac:dyDescent="0.2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5">
      <c r="A3" t="s">
        <v>6</v>
      </c>
      <c r="B3">
        <v>0</v>
      </c>
      <c r="C3">
        <f>IF(AND(SUM(VLOOKUP($A3,test!$A$3:$F$32,2,FALSE),VLOOKUP(C$1,test!$A$3:$F$32,2,FALSE))&lt;test!$K$16,$A3&lt;&gt;C$1,feasible_mat!C3=1),SUM(VLOOKUP($A3,test!$A$3:$F$32,2,FALSE), VLOOKUP(C$1,test!$A$3:$F$32,2,FALSE)),0)</f>
        <v>0</v>
      </c>
      <c r="D3">
        <f>IF(AND(SUM(VLOOKUP($A3,test!$A$3:$F$32,2,FALSE),VLOOKUP(D$1,test!$A$3:$F$32,2,FALSE))&lt;test!$K$16,$A3&lt;&gt;D$1,feasible_mat!D3=1),SUM(VLOOKUP($A3,test!$A$3:$F$32,2,FALSE), VLOOKUP(D$1,test!$A$3:$F$32,2,FALSE)),0)</f>
        <v>270</v>
      </c>
      <c r="E3">
        <f>IF(AND(SUM(VLOOKUP($A3,test!$A$3:$F$32,2,FALSE),VLOOKUP(E$1,test!$A$3:$F$32,2,FALSE))&lt;test!$K$16,$A3&lt;&gt;E$1,feasible_mat!E3=1),SUM(VLOOKUP($A3,test!$A$3:$F$32,2,FALSE), VLOOKUP(E$1,test!$A$3:$F$32,2,FALSE)),0)</f>
        <v>270</v>
      </c>
      <c r="F3">
        <f>IF(AND(SUM(VLOOKUP($A3,test!$A$3:$F$32,2,FALSE),VLOOKUP(F$1,test!$A$3:$F$32,2,FALSE))&lt;test!$K$16,$A3&lt;&gt;F$1,feasible_mat!F3=1),SUM(VLOOKUP($A3,test!$A$3:$F$32,2,FALSE), VLOOKUP(F$1,test!$A$3:$F$32,2,FALSE)),0)</f>
        <v>270</v>
      </c>
      <c r="G3">
        <f>IF(AND(SUM(VLOOKUP($A3,test!$A$3:$F$32,2,FALSE),VLOOKUP(G$1,test!$A$3:$F$32,2,FALSE))&lt;test!$K$16,$A3&lt;&gt;G$1,feasible_mat!G3=1),SUM(VLOOKUP($A3,test!$A$3:$F$32,2,FALSE), VLOOKUP(G$1,test!$A$3:$F$32,2,FALSE)),0)</f>
        <v>270</v>
      </c>
      <c r="H3">
        <f>IF(AND(SUM(VLOOKUP($A3,test!$A$3:$F$32,2,FALSE),VLOOKUP(H$1,test!$A$3:$F$32,2,FALSE))&lt;test!$K$16,$A3&lt;&gt;H$1,feasible_mat!H3=1),SUM(VLOOKUP($A3,test!$A$3:$F$32,2,FALSE), VLOOKUP(H$1,test!$A$3:$F$32,2,FALSE)),0)</f>
        <v>270</v>
      </c>
      <c r="I3">
        <f>IF(AND(SUM(VLOOKUP($A3,test!$A$3:$F$32,2,FALSE),VLOOKUP(I$1,test!$A$3:$F$32,2,FALSE))&lt;test!$K$16,$A3&lt;&gt;I$1,feasible_mat!I3=1),SUM(VLOOKUP($A3,test!$A$3:$F$32,2,FALSE), VLOOKUP(I$1,test!$A$3:$F$32,2,FALSE)),0)</f>
        <v>270</v>
      </c>
      <c r="J3">
        <f>IF(AND(SUM(VLOOKUP($A3,test!$A$3:$F$32,2,FALSE),VLOOKUP(J$1,test!$A$3:$F$32,2,FALSE))&lt;test!$K$16,$A3&lt;&gt;J$1,feasible_mat!J3=1),SUM(VLOOKUP($A3,test!$A$3:$F$32,2,FALSE), VLOOKUP(J$1,test!$A$3:$F$32,2,FALSE)),0)</f>
        <v>270</v>
      </c>
      <c r="K3">
        <f>IF(AND(SUM(VLOOKUP($A3,test!$A$3:$F$32,2,FALSE),VLOOKUP(K$1,test!$A$3:$F$32,2,FALSE))&lt;test!$K$16,$A3&lt;&gt;K$1,feasible_mat!K3=1),SUM(VLOOKUP($A3,test!$A$3:$F$32,2,FALSE), VLOOKUP(K$1,test!$A$3:$F$32,2,FALSE)),0)</f>
        <v>0</v>
      </c>
      <c r="L3">
        <f>IF(AND(SUM(VLOOKUP($A3,test!$A$3:$F$32,2,FALSE),VLOOKUP(L$1,test!$A$3:$F$32,2,FALSE))&lt;test!$K$16,$A3&lt;&gt;L$1,feasible_mat!L3=1),SUM(VLOOKUP($A3,test!$A$3:$F$32,2,FALSE), VLOOKUP(L$1,test!$A$3:$F$32,2,FALSE)),0)</f>
        <v>0</v>
      </c>
      <c r="M3">
        <f>IF(AND(SUM(VLOOKUP($A3,test!$A$3:$F$32,2,FALSE),VLOOKUP(M$1,test!$A$3:$F$32,2,FALSE))&lt;test!$K$16,$A3&lt;&gt;M$1,feasible_mat!M3=1),SUM(VLOOKUP($A3,test!$A$3:$F$32,2,FALSE), VLOOKUP(M$1,test!$A$3:$F$32,2,FALSE)),0)</f>
        <v>275</v>
      </c>
      <c r="N3">
        <f>IF(AND(SUM(VLOOKUP($A3,test!$A$3:$F$32,2,FALSE),VLOOKUP(N$1,test!$A$3:$F$32,2,FALSE))&lt;test!$K$16,$A3&lt;&gt;N$1,feasible_mat!N3=1),SUM(VLOOKUP($A3,test!$A$3:$F$32,2,FALSE), VLOOKUP(N$1,test!$A$3:$F$32,2,FALSE)),0)</f>
        <v>275</v>
      </c>
      <c r="O3">
        <f>IF(AND(SUM(VLOOKUP($A3,test!$A$3:$F$32,2,FALSE),VLOOKUP(O$1,test!$A$3:$F$32,2,FALSE))&lt;test!$K$16,$A3&lt;&gt;O$1,feasible_mat!O3=1),SUM(VLOOKUP($A3,test!$A$3:$F$32,2,FALSE), VLOOKUP(O$1,test!$A$3:$F$32,2,FALSE)),0)</f>
        <v>275</v>
      </c>
      <c r="P3">
        <f>IF(AND(SUM(VLOOKUP($A3,test!$A$3:$F$32,2,FALSE),VLOOKUP(P$1,test!$A$3:$F$32,2,FALSE))&lt;test!$K$16,$A3&lt;&gt;P$1,feasible_mat!P3=1),SUM(VLOOKUP($A3,test!$A$3:$F$32,2,FALSE), VLOOKUP(P$1,test!$A$3:$F$32,2,FALSE)),0)</f>
        <v>0</v>
      </c>
      <c r="Q3">
        <f>IF(AND(SUM(VLOOKUP($A3,test!$A$3:$F$32,2,FALSE),VLOOKUP(Q$1,test!$A$3:$F$32,2,FALSE))&lt;test!$K$16,$A3&lt;&gt;Q$1,feasible_mat!Q3=1),SUM(VLOOKUP($A3,test!$A$3:$F$32,2,FALSE), VLOOKUP(Q$1,test!$A$3:$F$32,2,FALSE)),0)</f>
        <v>0</v>
      </c>
      <c r="R3">
        <f>IF(AND(SUM(VLOOKUP($A3,test!$A$3:$F$32,2,FALSE),VLOOKUP(R$1,test!$A$3:$F$32,2,FALSE))&lt;test!$K$16,$A3&lt;&gt;R$1,feasible_mat!R3=1),SUM(VLOOKUP($A3,test!$A$3:$F$32,2,FALSE), VLOOKUP(R$1,test!$A$3:$F$32,2,FALSE)),0)</f>
        <v>0</v>
      </c>
      <c r="S3">
        <f>IF(AND(SUM(VLOOKUP($A3,test!$A$3:$F$32,2,FALSE),VLOOKUP(S$1,test!$A$3:$F$32,2,FALSE))&lt;test!$K$16,$A3&lt;&gt;S$1,feasible_mat!S3=1),SUM(VLOOKUP($A3,test!$A$3:$F$32,2,FALSE), VLOOKUP(S$1,test!$A$3:$F$32,2,FALSE)),0)</f>
        <v>270</v>
      </c>
      <c r="T3">
        <f>IF(AND(SUM(VLOOKUP($A3,test!$A$3:$F$32,2,FALSE),VLOOKUP(T$1,test!$A$3:$F$32,2,FALSE))&lt;test!$K$16,$A3&lt;&gt;T$1,feasible_mat!T3=1),SUM(VLOOKUP($A3,test!$A$3:$F$32,2,FALSE), VLOOKUP(T$1,test!$A$3:$F$32,2,FALSE)),0)</f>
        <v>270</v>
      </c>
      <c r="U3">
        <f>IF(AND(SUM(VLOOKUP($A3,test!$A$3:$F$32,2,FALSE),VLOOKUP(U$1,test!$A$3:$F$32,2,FALSE))&lt;test!$K$16,$A3&lt;&gt;U$1,feasible_mat!U3=1),SUM(VLOOKUP($A3,test!$A$3:$F$32,2,FALSE), VLOOKUP(U$1,test!$A$3:$F$32,2,FALSE)),0)</f>
        <v>270</v>
      </c>
      <c r="V3">
        <f>IF(AND(SUM(VLOOKUP($A3,test!$A$3:$F$32,2,FALSE),VLOOKUP(V$1,test!$A$3:$F$32,2,FALSE))&lt;test!$K$16,$A3&lt;&gt;V$1,feasible_mat!V3=1),SUM(VLOOKUP($A3,test!$A$3:$F$32,2,FALSE), VLOOKUP(V$1,test!$A$3:$F$32,2,FALSE)),0)</f>
        <v>270</v>
      </c>
      <c r="W3">
        <f>IF(AND(SUM(VLOOKUP($A3,test!$A$3:$F$32,2,FALSE),VLOOKUP(W$1,test!$A$3:$F$32,2,FALSE))&lt;test!$K$16,$A3&lt;&gt;W$1,feasible_mat!W3=1),SUM(VLOOKUP($A3,test!$A$3:$F$32,2,FALSE), VLOOKUP(W$1,test!$A$3:$F$32,2,FALSE)),0)</f>
        <v>270</v>
      </c>
      <c r="X3">
        <f>IF(AND(SUM(VLOOKUP($A3,test!$A$3:$F$32,2,FALSE),VLOOKUP(X$1,test!$A$3:$F$32,2,FALSE))&lt;test!$K$16,$A3&lt;&gt;X$1,feasible_mat!X3=1),SUM(VLOOKUP($A3,test!$A$3:$F$32,2,FALSE), VLOOKUP(X$1,test!$A$3:$F$32,2,FALSE)),0)</f>
        <v>270</v>
      </c>
      <c r="Y3">
        <f>IF(AND(SUM(VLOOKUP($A3,test!$A$3:$F$32,2,FALSE),VLOOKUP(Y$1,test!$A$3:$F$32,2,FALSE))&lt;test!$K$16,$A3&lt;&gt;Y$1,feasible_mat!Y3=1),SUM(VLOOKUP($A3,test!$A$3:$F$32,2,FALSE), VLOOKUP(Y$1,test!$A$3:$F$32,2,FALSE)),0)</f>
        <v>0</v>
      </c>
      <c r="Z3">
        <f>IF(AND(SUM(VLOOKUP($A3,test!$A$3:$F$32,2,FALSE),VLOOKUP(Z$1,test!$A$3:$F$32,2,FALSE))&lt;test!$K$16,$A3&lt;&gt;Z$1,feasible_mat!Z3=1),SUM(VLOOKUP($A3,test!$A$3:$F$32,2,FALSE), VLOOKUP(Z$1,test!$A$3:$F$32,2,FALSE)),0)</f>
        <v>275</v>
      </c>
      <c r="AA3">
        <f>IF(AND(SUM(VLOOKUP($A3,test!$A$3:$F$32,2,FALSE),VLOOKUP(AA$1,test!$A$3:$F$32,2,FALSE))&lt;test!$K$16,$A3&lt;&gt;AA$1,feasible_mat!AA3=1),SUM(VLOOKUP($A3,test!$A$3:$F$32,2,FALSE), VLOOKUP(AA$1,test!$A$3:$F$32,2,FALSE)),0)</f>
        <v>275</v>
      </c>
      <c r="AB3">
        <f>IF(AND(SUM(VLOOKUP($A3,test!$A$3:$F$32,2,FALSE),VLOOKUP(AB$1,test!$A$3:$F$32,2,FALSE))&lt;test!$K$16,$A3&lt;&gt;AB$1,feasible_mat!AB3=1),SUM(VLOOKUP($A3,test!$A$3:$F$32,2,FALSE), VLOOKUP(AB$1,test!$A$3:$F$32,2,FALSE)),0)</f>
        <v>275</v>
      </c>
      <c r="AC3">
        <f>IF(AND(SUM(VLOOKUP($A3,test!$A$3:$F$32,2,FALSE),VLOOKUP(AC$1,test!$A$3:$F$32,2,FALSE))&lt;test!$K$16,$A3&lt;&gt;AC$1,feasible_mat!AC3=1),SUM(VLOOKUP($A3,test!$A$3:$F$32,2,FALSE), VLOOKUP(AC$1,test!$A$3:$F$32,2,FALSE)),0)</f>
        <v>275</v>
      </c>
      <c r="AD3">
        <f>IF(AND(SUM(VLOOKUP($A3,test!$A$3:$F$32,2,FALSE),VLOOKUP(AD$1,test!$A$3:$F$32,2,FALSE))&lt;test!$K$16,$A3&lt;&gt;AD$1,feasible_mat!AD3=1),SUM(VLOOKUP($A3,test!$A$3:$F$32,2,FALSE), VLOOKUP(AD$1,test!$A$3:$F$32,2,FALSE)),0)</f>
        <v>0</v>
      </c>
      <c r="AE3">
        <f>IF(AND(SUM(VLOOKUP($A3,test!$A$3:$F$32,2,FALSE),VLOOKUP(AE$1,test!$A$3:$F$32,2,FALSE))&lt;test!$K$16,$A3&lt;&gt;AE$1,feasible_mat!AE3=1),SUM(VLOOKUP($A3,test!$A$3:$F$32,2,FALSE), VLOOKUP(AE$1,test!$A$3:$F$32,2,FALSE)),0)</f>
        <v>345</v>
      </c>
      <c r="AF3">
        <f>IF(AND(SUM(VLOOKUP($A3,test!$A$3:$F$32,2,FALSE),VLOOKUP(AF$1,test!$A$3:$F$32,2,FALSE))&lt;test!$K$16,$A3&lt;&gt;AF$1,feasible_mat!AF3=1),SUM(VLOOKUP($A3,test!$A$3:$F$32,2,FALSE), VLOOKUP(AF$1,test!$A$3:$F$32,2,FALSE)),0)</f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5">
      <c r="A4" t="s">
        <v>9</v>
      </c>
      <c r="B4">
        <v>0</v>
      </c>
      <c r="C4">
        <f>IF(AND(SUM(VLOOKUP($A4,test!$A$3:$F$32,2,FALSE),VLOOKUP(C$1,test!$A$3:$F$32,2,FALSE))&lt;test!$K$16,$A4&lt;&gt;C$1,feasible_mat!C4=1),SUM(VLOOKUP($A4,test!$A$3:$F$32,2,FALSE), VLOOKUP(C$1,test!$A$3:$F$32,2,FALSE)),0)</f>
        <v>0</v>
      </c>
      <c r="D4">
        <f>IF(AND(SUM(VLOOKUP($A4,test!$A$3:$F$32,2,FALSE),VLOOKUP(D$1,test!$A$3:$F$32,2,FALSE))&lt;test!$K$16,$A4&lt;&gt;D$1,feasible_mat!D4=1),SUM(VLOOKUP($A4,test!$A$3:$F$32,2,FALSE), VLOOKUP(D$1,test!$A$3:$F$32,2,FALSE)),0)</f>
        <v>0</v>
      </c>
      <c r="E4">
        <f>IF(AND(SUM(VLOOKUP($A4,test!$A$3:$F$32,2,FALSE),VLOOKUP(E$1,test!$A$3:$F$32,2,FALSE))&lt;test!$K$16,$A4&lt;&gt;E$1,feasible_mat!E4=1),SUM(VLOOKUP($A4,test!$A$3:$F$32,2,FALSE), VLOOKUP(E$1,test!$A$3:$F$32,2,FALSE)),0)</f>
        <v>0</v>
      </c>
      <c r="F4">
        <f>IF(AND(SUM(VLOOKUP($A4,test!$A$3:$F$32,2,FALSE),VLOOKUP(F$1,test!$A$3:$F$32,2,FALSE))&lt;test!$K$16,$A4&lt;&gt;F$1,feasible_mat!F4=1),SUM(VLOOKUP($A4,test!$A$3:$F$32,2,FALSE), VLOOKUP(F$1,test!$A$3:$F$32,2,FALSE)),0)</f>
        <v>270</v>
      </c>
      <c r="G4">
        <f>IF(AND(SUM(VLOOKUP($A4,test!$A$3:$F$32,2,FALSE),VLOOKUP(G$1,test!$A$3:$F$32,2,FALSE))&lt;test!$K$16,$A4&lt;&gt;G$1,feasible_mat!G4=1),SUM(VLOOKUP($A4,test!$A$3:$F$32,2,FALSE), VLOOKUP(G$1,test!$A$3:$F$32,2,FALSE)),0)</f>
        <v>270</v>
      </c>
      <c r="H4">
        <f>IF(AND(SUM(VLOOKUP($A4,test!$A$3:$F$32,2,FALSE),VLOOKUP(H$1,test!$A$3:$F$32,2,FALSE))&lt;test!$K$16,$A4&lt;&gt;H$1,feasible_mat!H4=1),SUM(VLOOKUP($A4,test!$A$3:$F$32,2,FALSE), VLOOKUP(H$1,test!$A$3:$F$32,2,FALSE)),0)</f>
        <v>270</v>
      </c>
      <c r="I4">
        <f>IF(AND(SUM(VLOOKUP($A4,test!$A$3:$F$32,2,FALSE),VLOOKUP(I$1,test!$A$3:$F$32,2,FALSE))&lt;test!$K$16,$A4&lt;&gt;I$1,feasible_mat!I4=1),SUM(VLOOKUP($A4,test!$A$3:$F$32,2,FALSE), VLOOKUP(I$1,test!$A$3:$F$32,2,FALSE)),0)</f>
        <v>270</v>
      </c>
      <c r="J4">
        <f>IF(AND(SUM(VLOOKUP($A4,test!$A$3:$F$32,2,FALSE),VLOOKUP(J$1,test!$A$3:$F$32,2,FALSE))&lt;test!$K$16,$A4&lt;&gt;J$1,feasible_mat!J4=1),SUM(VLOOKUP($A4,test!$A$3:$F$32,2,FALSE), VLOOKUP(J$1,test!$A$3:$F$32,2,FALSE)),0)</f>
        <v>270</v>
      </c>
      <c r="K4">
        <f>IF(AND(SUM(VLOOKUP($A4,test!$A$3:$F$32,2,FALSE),VLOOKUP(K$1,test!$A$3:$F$32,2,FALSE))&lt;test!$K$16,$A4&lt;&gt;K$1,feasible_mat!K4=1),SUM(VLOOKUP($A4,test!$A$3:$F$32,2,FALSE), VLOOKUP(K$1,test!$A$3:$F$32,2,FALSE)),0)</f>
        <v>0</v>
      </c>
      <c r="L4">
        <f>IF(AND(SUM(VLOOKUP($A4,test!$A$3:$F$32,2,FALSE),VLOOKUP(L$1,test!$A$3:$F$32,2,FALSE))&lt;test!$K$16,$A4&lt;&gt;L$1,feasible_mat!L4=1),SUM(VLOOKUP($A4,test!$A$3:$F$32,2,FALSE), VLOOKUP(L$1,test!$A$3:$F$32,2,FALSE)),0)</f>
        <v>0</v>
      </c>
      <c r="M4">
        <f>IF(AND(SUM(VLOOKUP($A4,test!$A$3:$F$32,2,FALSE),VLOOKUP(M$1,test!$A$3:$F$32,2,FALSE))&lt;test!$K$16,$A4&lt;&gt;M$1,feasible_mat!M4=1),SUM(VLOOKUP($A4,test!$A$3:$F$32,2,FALSE), VLOOKUP(M$1,test!$A$3:$F$32,2,FALSE)),0)</f>
        <v>0</v>
      </c>
      <c r="N4">
        <f>IF(AND(SUM(VLOOKUP($A4,test!$A$3:$F$32,2,FALSE),VLOOKUP(N$1,test!$A$3:$F$32,2,FALSE))&lt;test!$K$16,$A4&lt;&gt;N$1,feasible_mat!N4=1),SUM(VLOOKUP($A4,test!$A$3:$F$32,2,FALSE), VLOOKUP(N$1,test!$A$3:$F$32,2,FALSE)),0)</f>
        <v>275</v>
      </c>
      <c r="O4">
        <f>IF(AND(SUM(VLOOKUP($A4,test!$A$3:$F$32,2,FALSE),VLOOKUP(O$1,test!$A$3:$F$32,2,FALSE))&lt;test!$K$16,$A4&lt;&gt;O$1,feasible_mat!O4=1),SUM(VLOOKUP($A4,test!$A$3:$F$32,2,FALSE), VLOOKUP(O$1,test!$A$3:$F$32,2,FALSE)),0)</f>
        <v>275</v>
      </c>
      <c r="P4">
        <f>IF(AND(SUM(VLOOKUP($A4,test!$A$3:$F$32,2,FALSE),VLOOKUP(P$1,test!$A$3:$F$32,2,FALSE))&lt;test!$K$16,$A4&lt;&gt;P$1,feasible_mat!P4=1),SUM(VLOOKUP($A4,test!$A$3:$F$32,2,FALSE), VLOOKUP(P$1,test!$A$3:$F$32,2,FALSE)),0)</f>
        <v>0</v>
      </c>
      <c r="Q4">
        <f>IF(AND(SUM(VLOOKUP($A4,test!$A$3:$F$32,2,FALSE),VLOOKUP(Q$1,test!$A$3:$F$32,2,FALSE))&lt;test!$K$16,$A4&lt;&gt;Q$1,feasible_mat!Q4=1),SUM(VLOOKUP($A4,test!$A$3:$F$32,2,FALSE), VLOOKUP(Q$1,test!$A$3:$F$32,2,FALSE)),0)</f>
        <v>0</v>
      </c>
      <c r="R4">
        <f>IF(AND(SUM(VLOOKUP($A4,test!$A$3:$F$32,2,FALSE),VLOOKUP(R$1,test!$A$3:$F$32,2,FALSE))&lt;test!$K$16,$A4&lt;&gt;R$1,feasible_mat!R4=1),SUM(VLOOKUP($A4,test!$A$3:$F$32,2,FALSE), VLOOKUP(R$1,test!$A$3:$F$32,2,FALSE)),0)</f>
        <v>0</v>
      </c>
      <c r="S4">
        <f>IF(AND(SUM(VLOOKUP($A4,test!$A$3:$F$32,2,FALSE),VLOOKUP(S$1,test!$A$3:$F$32,2,FALSE))&lt;test!$K$16,$A4&lt;&gt;S$1,feasible_mat!S4=1),SUM(VLOOKUP($A4,test!$A$3:$F$32,2,FALSE), VLOOKUP(S$1,test!$A$3:$F$32,2,FALSE)),0)</f>
        <v>0</v>
      </c>
      <c r="T4">
        <f>IF(AND(SUM(VLOOKUP($A4,test!$A$3:$F$32,2,FALSE),VLOOKUP(T$1,test!$A$3:$F$32,2,FALSE))&lt;test!$K$16,$A4&lt;&gt;T$1,feasible_mat!T4=1),SUM(VLOOKUP($A4,test!$A$3:$F$32,2,FALSE), VLOOKUP(T$1,test!$A$3:$F$32,2,FALSE)),0)</f>
        <v>0</v>
      </c>
      <c r="U4">
        <f>IF(AND(SUM(VLOOKUP($A4,test!$A$3:$F$32,2,FALSE),VLOOKUP(U$1,test!$A$3:$F$32,2,FALSE))&lt;test!$K$16,$A4&lt;&gt;U$1,feasible_mat!U4=1),SUM(VLOOKUP($A4,test!$A$3:$F$32,2,FALSE), VLOOKUP(U$1,test!$A$3:$F$32,2,FALSE)),0)</f>
        <v>270</v>
      </c>
      <c r="V4">
        <f>IF(AND(SUM(VLOOKUP($A4,test!$A$3:$F$32,2,FALSE),VLOOKUP(V$1,test!$A$3:$F$32,2,FALSE))&lt;test!$K$16,$A4&lt;&gt;V$1,feasible_mat!V4=1),SUM(VLOOKUP($A4,test!$A$3:$F$32,2,FALSE), VLOOKUP(V$1,test!$A$3:$F$32,2,FALSE)),0)</f>
        <v>270</v>
      </c>
      <c r="W4">
        <f>IF(AND(SUM(VLOOKUP($A4,test!$A$3:$F$32,2,FALSE),VLOOKUP(W$1,test!$A$3:$F$32,2,FALSE))&lt;test!$K$16,$A4&lt;&gt;W$1,feasible_mat!W4=1),SUM(VLOOKUP($A4,test!$A$3:$F$32,2,FALSE), VLOOKUP(W$1,test!$A$3:$F$32,2,FALSE)),0)</f>
        <v>270</v>
      </c>
      <c r="X4">
        <f>IF(AND(SUM(VLOOKUP($A4,test!$A$3:$F$32,2,FALSE),VLOOKUP(X$1,test!$A$3:$F$32,2,FALSE))&lt;test!$K$16,$A4&lt;&gt;X$1,feasible_mat!X4=1),SUM(VLOOKUP($A4,test!$A$3:$F$32,2,FALSE), VLOOKUP(X$1,test!$A$3:$F$32,2,FALSE)),0)</f>
        <v>270</v>
      </c>
      <c r="Y4">
        <f>IF(AND(SUM(VLOOKUP($A4,test!$A$3:$F$32,2,FALSE),VLOOKUP(Y$1,test!$A$3:$F$32,2,FALSE))&lt;test!$K$16,$A4&lt;&gt;Y$1,feasible_mat!Y4=1),SUM(VLOOKUP($A4,test!$A$3:$F$32,2,FALSE), VLOOKUP(Y$1,test!$A$3:$F$32,2,FALSE)),0)</f>
        <v>0</v>
      </c>
      <c r="Z4">
        <f>IF(AND(SUM(VLOOKUP($A4,test!$A$3:$F$32,2,FALSE),VLOOKUP(Z$1,test!$A$3:$F$32,2,FALSE))&lt;test!$K$16,$A4&lt;&gt;Z$1,feasible_mat!Z4=1),SUM(VLOOKUP($A4,test!$A$3:$F$32,2,FALSE), VLOOKUP(Z$1,test!$A$3:$F$32,2,FALSE)),0)</f>
        <v>0</v>
      </c>
      <c r="AA4">
        <f>IF(AND(SUM(VLOOKUP($A4,test!$A$3:$F$32,2,FALSE),VLOOKUP(AA$1,test!$A$3:$F$32,2,FALSE))&lt;test!$K$16,$A4&lt;&gt;AA$1,feasible_mat!AA4=1),SUM(VLOOKUP($A4,test!$A$3:$F$32,2,FALSE), VLOOKUP(AA$1,test!$A$3:$F$32,2,FALSE)),0)</f>
        <v>0</v>
      </c>
      <c r="AB4">
        <f>IF(AND(SUM(VLOOKUP($A4,test!$A$3:$F$32,2,FALSE),VLOOKUP(AB$1,test!$A$3:$F$32,2,FALSE))&lt;test!$K$16,$A4&lt;&gt;AB$1,feasible_mat!AB4=1),SUM(VLOOKUP($A4,test!$A$3:$F$32,2,FALSE), VLOOKUP(AB$1,test!$A$3:$F$32,2,FALSE)),0)</f>
        <v>275</v>
      </c>
      <c r="AC4">
        <f>IF(AND(SUM(VLOOKUP($A4,test!$A$3:$F$32,2,FALSE),VLOOKUP(AC$1,test!$A$3:$F$32,2,FALSE))&lt;test!$K$16,$A4&lt;&gt;AC$1,feasible_mat!AC4=1),SUM(VLOOKUP($A4,test!$A$3:$F$32,2,FALSE), VLOOKUP(AC$1,test!$A$3:$F$32,2,FALSE)),0)</f>
        <v>275</v>
      </c>
      <c r="AD4">
        <f>IF(AND(SUM(VLOOKUP($A4,test!$A$3:$F$32,2,FALSE),VLOOKUP(AD$1,test!$A$3:$F$32,2,FALSE))&lt;test!$K$16,$A4&lt;&gt;AD$1,feasible_mat!AD4=1),SUM(VLOOKUP($A4,test!$A$3:$F$32,2,FALSE), VLOOKUP(AD$1,test!$A$3:$F$32,2,FALSE)),0)</f>
        <v>0</v>
      </c>
      <c r="AE4">
        <f>IF(AND(SUM(VLOOKUP($A4,test!$A$3:$F$32,2,FALSE),VLOOKUP(AE$1,test!$A$3:$F$32,2,FALSE))&lt;test!$K$16,$A4&lt;&gt;AE$1,feasible_mat!AE4=1),SUM(VLOOKUP($A4,test!$A$3:$F$32,2,FALSE), VLOOKUP(AE$1,test!$A$3:$F$32,2,FALSE)),0)</f>
        <v>0</v>
      </c>
      <c r="AF4">
        <f>IF(AND(SUM(VLOOKUP($A4,test!$A$3:$F$32,2,FALSE),VLOOKUP(AF$1,test!$A$3:$F$32,2,FALSE))&lt;test!$K$16,$A4&lt;&gt;AF$1,feasible_mat!AF4=1),SUM(VLOOKUP($A4,test!$A$3:$F$32,2,FALSE), VLOOKUP(AF$1,test!$A$3:$F$32,2,FALSE)),0)</f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5">
      <c r="A5" t="s">
        <v>10</v>
      </c>
      <c r="B5">
        <v>0</v>
      </c>
      <c r="C5">
        <f>IF(AND(SUM(VLOOKUP($A5,test!$A$3:$F$32,2,FALSE),VLOOKUP(C$1,test!$A$3:$F$32,2,FALSE))&lt;test!$K$16,$A5&lt;&gt;C$1,feasible_mat!C5=1),SUM(VLOOKUP($A5,test!$A$3:$F$32,2,FALSE), VLOOKUP(C$1,test!$A$3:$F$32,2,FALSE)),0)</f>
        <v>0</v>
      </c>
      <c r="D5">
        <f>IF(AND(SUM(VLOOKUP($A5,test!$A$3:$F$32,2,FALSE),VLOOKUP(D$1,test!$A$3:$F$32,2,FALSE))&lt;test!$K$16,$A5&lt;&gt;D$1,feasible_mat!D5=1),SUM(VLOOKUP($A5,test!$A$3:$F$32,2,FALSE), VLOOKUP(D$1,test!$A$3:$F$32,2,FALSE)),0)</f>
        <v>0</v>
      </c>
      <c r="E5">
        <f>IF(AND(SUM(VLOOKUP($A5,test!$A$3:$F$32,2,FALSE),VLOOKUP(E$1,test!$A$3:$F$32,2,FALSE))&lt;test!$K$16,$A5&lt;&gt;E$1,feasible_mat!E5=1),SUM(VLOOKUP($A5,test!$A$3:$F$32,2,FALSE), VLOOKUP(E$1,test!$A$3:$F$32,2,FALSE)),0)</f>
        <v>0</v>
      </c>
      <c r="F5">
        <f>IF(AND(SUM(VLOOKUP($A5,test!$A$3:$F$32,2,FALSE),VLOOKUP(F$1,test!$A$3:$F$32,2,FALSE))&lt;test!$K$16,$A5&lt;&gt;F$1,feasible_mat!F5=1),SUM(VLOOKUP($A5,test!$A$3:$F$32,2,FALSE), VLOOKUP(F$1,test!$A$3:$F$32,2,FALSE)),0)</f>
        <v>0</v>
      </c>
      <c r="G5">
        <f>IF(AND(SUM(VLOOKUP($A5,test!$A$3:$F$32,2,FALSE),VLOOKUP(G$1,test!$A$3:$F$32,2,FALSE))&lt;test!$K$16,$A5&lt;&gt;G$1,feasible_mat!G5=1),SUM(VLOOKUP($A5,test!$A$3:$F$32,2,FALSE), VLOOKUP(G$1,test!$A$3:$F$32,2,FALSE)),0)</f>
        <v>270</v>
      </c>
      <c r="H5">
        <f>IF(AND(SUM(VLOOKUP($A5,test!$A$3:$F$32,2,FALSE),VLOOKUP(H$1,test!$A$3:$F$32,2,FALSE))&lt;test!$K$16,$A5&lt;&gt;H$1,feasible_mat!H5=1),SUM(VLOOKUP($A5,test!$A$3:$F$32,2,FALSE), VLOOKUP(H$1,test!$A$3:$F$32,2,FALSE)),0)</f>
        <v>270</v>
      </c>
      <c r="I5">
        <f>IF(AND(SUM(VLOOKUP($A5,test!$A$3:$F$32,2,FALSE),VLOOKUP(I$1,test!$A$3:$F$32,2,FALSE))&lt;test!$K$16,$A5&lt;&gt;I$1,feasible_mat!I5=1),SUM(VLOOKUP($A5,test!$A$3:$F$32,2,FALSE), VLOOKUP(I$1,test!$A$3:$F$32,2,FALSE)),0)</f>
        <v>270</v>
      </c>
      <c r="J5">
        <f>IF(AND(SUM(VLOOKUP($A5,test!$A$3:$F$32,2,FALSE),VLOOKUP(J$1,test!$A$3:$F$32,2,FALSE))&lt;test!$K$16,$A5&lt;&gt;J$1,feasible_mat!J5=1),SUM(VLOOKUP($A5,test!$A$3:$F$32,2,FALSE), VLOOKUP(J$1,test!$A$3:$F$32,2,FALSE)),0)</f>
        <v>270</v>
      </c>
      <c r="K5">
        <f>IF(AND(SUM(VLOOKUP($A5,test!$A$3:$F$32,2,FALSE),VLOOKUP(K$1,test!$A$3:$F$32,2,FALSE))&lt;test!$K$16,$A5&lt;&gt;K$1,feasible_mat!K5=1),SUM(VLOOKUP($A5,test!$A$3:$F$32,2,FALSE), VLOOKUP(K$1,test!$A$3:$F$32,2,FALSE)),0)</f>
        <v>0</v>
      </c>
      <c r="L5">
        <f>IF(AND(SUM(VLOOKUP($A5,test!$A$3:$F$32,2,FALSE),VLOOKUP(L$1,test!$A$3:$F$32,2,FALSE))&lt;test!$K$16,$A5&lt;&gt;L$1,feasible_mat!L5=1),SUM(VLOOKUP($A5,test!$A$3:$F$32,2,FALSE), VLOOKUP(L$1,test!$A$3:$F$32,2,FALSE)),0)</f>
        <v>0</v>
      </c>
      <c r="M5">
        <f>IF(AND(SUM(VLOOKUP($A5,test!$A$3:$F$32,2,FALSE),VLOOKUP(M$1,test!$A$3:$F$32,2,FALSE))&lt;test!$K$16,$A5&lt;&gt;M$1,feasible_mat!M5=1),SUM(VLOOKUP($A5,test!$A$3:$F$32,2,FALSE), VLOOKUP(M$1,test!$A$3:$F$32,2,FALSE)),0)</f>
        <v>0</v>
      </c>
      <c r="N5">
        <f>IF(AND(SUM(VLOOKUP($A5,test!$A$3:$F$32,2,FALSE),VLOOKUP(N$1,test!$A$3:$F$32,2,FALSE))&lt;test!$K$16,$A5&lt;&gt;N$1,feasible_mat!N5=1),SUM(VLOOKUP($A5,test!$A$3:$F$32,2,FALSE), VLOOKUP(N$1,test!$A$3:$F$32,2,FALSE)),0)</f>
        <v>275</v>
      </c>
      <c r="O5">
        <f>IF(AND(SUM(VLOOKUP($A5,test!$A$3:$F$32,2,FALSE),VLOOKUP(O$1,test!$A$3:$F$32,2,FALSE))&lt;test!$K$16,$A5&lt;&gt;O$1,feasible_mat!O5=1),SUM(VLOOKUP($A5,test!$A$3:$F$32,2,FALSE), VLOOKUP(O$1,test!$A$3:$F$32,2,FALSE)),0)</f>
        <v>275</v>
      </c>
      <c r="P5">
        <f>IF(AND(SUM(VLOOKUP($A5,test!$A$3:$F$32,2,FALSE),VLOOKUP(P$1,test!$A$3:$F$32,2,FALSE))&lt;test!$K$16,$A5&lt;&gt;P$1,feasible_mat!P5=1),SUM(VLOOKUP($A5,test!$A$3:$F$32,2,FALSE), VLOOKUP(P$1,test!$A$3:$F$32,2,FALSE)),0)</f>
        <v>0</v>
      </c>
      <c r="Q5">
        <f>IF(AND(SUM(VLOOKUP($A5,test!$A$3:$F$32,2,FALSE),VLOOKUP(Q$1,test!$A$3:$F$32,2,FALSE))&lt;test!$K$16,$A5&lt;&gt;Q$1,feasible_mat!Q5=1),SUM(VLOOKUP($A5,test!$A$3:$F$32,2,FALSE), VLOOKUP(Q$1,test!$A$3:$F$32,2,FALSE)),0)</f>
        <v>0</v>
      </c>
      <c r="R5">
        <f>IF(AND(SUM(VLOOKUP($A5,test!$A$3:$F$32,2,FALSE),VLOOKUP(R$1,test!$A$3:$F$32,2,FALSE))&lt;test!$K$16,$A5&lt;&gt;R$1,feasible_mat!R5=1),SUM(VLOOKUP($A5,test!$A$3:$F$32,2,FALSE), VLOOKUP(R$1,test!$A$3:$F$32,2,FALSE)),0)</f>
        <v>0</v>
      </c>
      <c r="S5">
        <f>IF(AND(SUM(VLOOKUP($A5,test!$A$3:$F$32,2,FALSE),VLOOKUP(S$1,test!$A$3:$F$32,2,FALSE))&lt;test!$K$16,$A5&lt;&gt;S$1,feasible_mat!S5=1),SUM(VLOOKUP($A5,test!$A$3:$F$32,2,FALSE), VLOOKUP(S$1,test!$A$3:$F$32,2,FALSE)),0)</f>
        <v>0</v>
      </c>
      <c r="T5">
        <f>IF(AND(SUM(VLOOKUP($A5,test!$A$3:$F$32,2,FALSE),VLOOKUP(T$1,test!$A$3:$F$32,2,FALSE))&lt;test!$K$16,$A5&lt;&gt;T$1,feasible_mat!T5=1),SUM(VLOOKUP($A5,test!$A$3:$F$32,2,FALSE), VLOOKUP(T$1,test!$A$3:$F$32,2,FALSE)),0)</f>
        <v>0</v>
      </c>
      <c r="U5">
        <f>IF(AND(SUM(VLOOKUP($A5,test!$A$3:$F$32,2,FALSE),VLOOKUP(U$1,test!$A$3:$F$32,2,FALSE))&lt;test!$K$16,$A5&lt;&gt;U$1,feasible_mat!U5=1),SUM(VLOOKUP($A5,test!$A$3:$F$32,2,FALSE), VLOOKUP(U$1,test!$A$3:$F$32,2,FALSE)),0)</f>
        <v>0</v>
      </c>
      <c r="V5">
        <f>IF(AND(SUM(VLOOKUP($A5,test!$A$3:$F$32,2,FALSE),VLOOKUP(V$1,test!$A$3:$F$32,2,FALSE))&lt;test!$K$16,$A5&lt;&gt;V$1,feasible_mat!V5=1),SUM(VLOOKUP($A5,test!$A$3:$F$32,2,FALSE), VLOOKUP(V$1,test!$A$3:$F$32,2,FALSE)),0)</f>
        <v>270</v>
      </c>
      <c r="W5">
        <f>IF(AND(SUM(VLOOKUP($A5,test!$A$3:$F$32,2,FALSE),VLOOKUP(W$1,test!$A$3:$F$32,2,FALSE))&lt;test!$K$16,$A5&lt;&gt;W$1,feasible_mat!W5=1),SUM(VLOOKUP($A5,test!$A$3:$F$32,2,FALSE), VLOOKUP(W$1,test!$A$3:$F$32,2,FALSE)),0)</f>
        <v>270</v>
      </c>
      <c r="X5">
        <f>IF(AND(SUM(VLOOKUP($A5,test!$A$3:$F$32,2,FALSE),VLOOKUP(X$1,test!$A$3:$F$32,2,FALSE))&lt;test!$K$16,$A5&lt;&gt;X$1,feasible_mat!X5=1),SUM(VLOOKUP($A5,test!$A$3:$F$32,2,FALSE), VLOOKUP(X$1,test!$A$3:$F$32,2,FALSE)),0)</f>
        <v>270</v>
      </c>
      <c r="Y5">
        <f>IF(AND(SUM(VLOOKUP($A5,test!$A$3:$F$32,2,FALSE),VLOOKUP(Y$1,test!$A$3:$F$32,2,FALSE))&lt;test!$K$16,$A5&lt;&gt;Y$1,feasible_mat!Y5=1),SUM(VLOOKUP($A5,test!$A$3:$F$32,2,FALSE), VLOOKUP(Y$1,test!$A$3:$F$32,2,FALSE)),0)</f>
        <v>0</v>
      </c>
      <c r="Z5">
        <f>IF(AND(SUM(VLOOKUP($A5,test!$A$3:$F$32,2,FALSE),VLOOKUP(Z$1,test!$A$3:$F$32,2,FALSE))&lt;test!$K$16,$A5&lt;&gt;Z$1,feasible_mat!Z5=1),SUM(VLOOKUP($A5,test!$A$3:$F$32,2,FALSE), VLOOKUP(Z$1,test!$A$3:$F$32,2,FALSE)),0)</f>
        <v>0</v>
      </c>
      <c r="AA5">
        <f>IF(AND(SUM(VLOOKUP($A5,test!$A$3:$F$32,2,FALSE),VLOOKUP(AA$1,test!$A$3:$F$32,2,FALSE))&lt;test!$K$16,$A5&lt;&gt;AA$1,feasible_mat!AA5=1),SUM(VLOOKUP($A5,test!$A$3:$F$32,2,FALSE), VLOOKUP(AA$1,test!$A$3:$F$32,2,FALSE)),0)</f>
        <v>0</v>
      </c>
      <c r="AB5">
        <f>IF(AND(SUM(VLOOKUP($A5,test!$A$3:$F$32,2,FALSE),VLOOKUP(AB$1,test!$A$3:$F$32,2,FALSE))&lt;test!$K$16,$A5&lt;&gt;AB$1,feasible_mat!AB5=1),SUM(VLOOKUP($A5,test!$A$3:$F$32,2,FALSE), VLOOKUP(AB$1,test!$A$3:$F$32,2,FALSE)),0)</f>
        <v>0</v>
      </c>
      <c r="AC5">
        <f>IF(AND(SUM(VLOOKUP($A5,test!$A$3:$F$32,2,FALSE),VLOOKUP(AC$1,test!$A$3:$F$32,2,FALSE))&lt;test!$K$16,$A5&lt;&gt;AC$1,feasible_mat!AC5=1),SUM(VLOOKUP($A5,test!$A$3:$F$32,2,FALSE), VLOOKUP(AC$1,test!$A$3:$F$32,2,FALSE)),0)</f>
        <v>275</v>
      </c>
      <c r="AD5">
        <f>IF(AND(SUM(VLOOKUP($A5,test!$A$3:$F$32,2,FALSE),VLOOKUP(AD$1,test!$A$3:$F$32,2,FALSE))&lt;test!$K$16,$A5&lt;&gt;AD$1,feasible_mat!AD5=1),SUM(VLOOKUP($A5,test!$A$3:$F$32,2,FALSE), VLOOKUP(AD$1,test!$A$3:$F$32,2,FALSE)),0)</f>
        <v>0</v>
      </c>
      <c r="AE5">
        <f>IF(AND(SUM(VLOOKUP($A5,test!$A$3:$F$32,2,FALSE),VLOOKUP(AE$1,test!$A$3:$F$32,2,FALSE))&lt;test!$K$16,$A5&lt;&gt;AE$1,feasible_mat!AE5=1),SUM(VLOOKUP($A5,test!$A$3:$F$32,2,FALSE), VLOOKUP(AE$1,test!$A$3:$F$32,2,FALSE)),0)</f>
        <v>0</v>
      </c>
      <c r="AF5">
        <f>IF(AND(SUM(VLOOKUP($A5,test!$A$3:$F$32,2,FALSE),VLOOKUP(AF$1,test!$A$3:$F$32,2,FALSE))&lt;test!$K$16,$A5&lt;&gt;AF$1,feasible_mat!AF5=1),SUM(VLOOKUP($A5,test!$A$3:$F$32,2,FALSE), VLOOKUP(AF$1,test!$A$3:$F$32,2,FALSE)),0)</f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5">
      <c r="A6" t="s">
        <v>11</v>
      </c>
      <c r="B6">
        <v>0</v>
      </c>
      <c r="C6">
        <f>IF(AND(SUM(VLOOKUP($A6,test!$A$3:$F$32,2,FALSE),VLOOKUP(C$1,test!$A$3:$F$32,2,FALSE))&lt;test!$K$16,$A6&lt;&gt;C$1,feasible_mat!C6=1),SUM(VLOOKUP($A6,test!$A$3:$F$32,2,FALSE), VLOOKUP(C$1,test!$A$3:$F$32,2,FALSE)),0)</f>
        <v>0</v>
      </c>
      <c r="D6">
        <f>IF(AND(SUM(VLOOKUP($A6,test!$A$3:$F$32,2,FALSE),VLOOKUP(D$1,test!$A$3:$F$32,2,FALSE))&lt;test!$K$16,$A6&lt;&gt;D$1,feasible_mat!D6=1),SUM(VLOOKUP($A6,test!$A$3:$F$32,2,FALSE), VLOOKUP(D$1,test!$A$3:$F$32,2,FALSE)),0)</f>
        <v>0</v>
      </c>
      <c r="E6">
        <f>IF(AND(SUM(VLOOKUP($A6,test!$A$3:$F$32,2,FALSE),VLOOKUP(E$1,test!$A$3:$F$32,2,FALSE))&lt;test!$K$16,$A6&lt;&gt;E$1,feasible_mat!E6=1),SUM(VLOOKUP($A6,test!$A$3:$F$32,2,FALSE), VLOOKUP(E$1,test!$A$3:$F$32,2,FALSE)),0)</f>
        <v>0</v>
      </c>
      <c r="F6">
        <f>IF(AND(SUM(VLOOKUP($A6,test!$A$3:$F$32,2,FALSE),VLOOKUP(F$1,test!$A$3:$F$32,2,FALSE))&lt;test!$K$16,$A6&lt;&gt;F$1,feasible_mat!F6=1),SUM(VLOOKUP($A6,test!$A$3:$F$32,2,FALSE), VLOOKUP(F$1,test!$A$3:$F$32,2,FALSE)),0)</f>
        <v>0</v>
      </c>
      <c r="G6">
        <f>IF(AND(SUM(VLOOKUP($A6,test!$A$3:$F$32,2,FALSE),VLOOKUP(G$1,test!$A$3:$F$32,2,FALSE))&lt;test!$K$16,$A6&lt;&gt;G$1,feasible_mat!G6=1),SUM(VLOOKUP($A6,test!$A$3:$F$32,2,FALSE), VLOOKUP(G$1,test!$A$3:$F$32,2,FALSE)),0)</f>
        <v>0</v>
      </c>
      <c r="H6">
        <f>IF(AND(SUM(VLOOKUP($A6,test!$A$3:$F$32,2,FALSE),VLOOKUP(H$1,test!$A$3:$F$32,2,FALSE))&lt;test!$K$16,$A6&lt;&gt;H$1,feasible_mat!H6=1),SUM(VLOOKUP($A6,test!$A$3:$F$32,2,FALSE), VLOOKUP(H$1,test!$A$3:$F$32,2,FALSE)),0)</f>
        <v>0</v>
      </c>
      <c r="I6">
        <f>IF(AND(SUM(VLOOKUP($A6,test!$A$3:$F$32,2,FALSE),VLOOKUP(I$1,test!$A$3:$F$32,2,FALSE))&lt;test!$K$16,$A6&lt;&gt;I$1,feasible_mat!I6=1),SUM(VLOOKUP($A6,test!$A$3:$F$32,2,FALSE), VLOOKUP(I$1,test!$A$3:$F$32,2,FALSE)),0)</f>
        <v>270</v>
      </c>
      <c r="J6">
        <f>IF(AND(SUM(VLOOKUP($A6,test!$A$3:$F$32,2,FALSE),VLOOKUP(J$1,test!$A$3:$F$32,2,FALSE))&lt;test!$K$16,$A6&lt;&gt;J$1,feasible_mat!J6=1),SUM(VLOOKUP($A6,test!$A$3:$F$32,2,FALSE), VLOOKUP(J$1,test!$A$3:$F$32,2,FALSE)),0)</f>
        <v>270</v>
      </c>
      <c r="K6">
        <f>IF(AND(SUM(VLOOKUP($A6,test!$A$3:$F$32,2,FALSE),VLOOKUP(K$1,test!$A$3:$F$32,2,FALSE))&lt;test!$K$16,$A6&lt;&gt;K$1,feasible_mat!K6=1),SUM(VLOOKUP($A6,test!$A$3:$F$32,2,FALSE), VLOOKUP(K$1,test!$A$3:$F$32,2,FALSE)),0)</f>
        <v>0</v>
      </c>
      <c r="L6">
        <f>IF(AND(SUM(VLOOKUP($A6,test!$A$3:$F$32,2,FALSE),VLOOKUP(L$1,test!$A$3:$F$32,2,FALSE))&lt;test!$K$16,$A6&lt;&gt;L$1,feasible_mat!L6=1),SUM(VLOOKUP($A6,test!$A$3:$F$32,2,FALSE), VLOOKUP(L$1,test!$A$3:$F$32,2,FALSE)),0)</f>
        <v>0</v>
      </c>
      <c r="M6">
        <f>IF(AND(SUM(VLOOKUP($A6,test!$A$3:$F$32,2,FALSE),VLOOKUP(M$1,test!$A$3:$F$32,2,FALSE))&lt;test!$K$16,$A6&lt;&gt;M$1,feasible_mat!M6=1),SUM(VLOOKUP($A6,test!$A$3:$F$32,2,FALSE), VLOOKUP(M$1,test!$A$3:$F$32,2,FALSE)),0)</f>
        <v>0</v>
      </c>
      <c r="N6">
        <f>IF(AND(SUM(VLOOKUP($A6,test!$A$3:$F$32,2,FALSE),VLOOKUP(N$1,test!$A$3:$F$32,2,FALSE))&lt;test!$K$16,$A6&lt;&gt;N$1,feasible_mat!N6=1),SUM(VLOOKUP($A6,test!$A$3:$F$32,2,FALSE), VLOOKUP(N$1,test!$A$3:$F$32,2,FALSE)),0)</f>
        <v>275</v>
      </c>
      <c r="O6">
        <f>IF(AND(SUM(VLOOKUP($A6,test!$A$3:$F$32,2,FALSE),VLOOKUP(O$1,test!$A$3:$F$32,2,FALSE))&lt;test!$K$16,$A6&lt;&gt;O$1,feasible_mat!O6=1),SUM(VLOOKUP($A6,test!$A$3:$F$32,2,FALSE), VLOOKUP(O$1,test!$A$3:$F$32,2,FALSE)),0)</f>
        <v>275</v>
      </c>
      <c r="P6">
        <f>IF(AND(SUM(VLOOKUP($A6,test!$A$3:$F$32,2,FALSE),VLOOKUP(P$1,test!$A$3:$F$32,2,FALSE))&lt;test!$K$16,$A6&lt;&gt;P$1,feasible_mat!P6=1),SUM(VLOOKUP($A6,test!$A$3:$F$32,2,FALSE), VLOOKUP(P$1,test!$A$3:$F$32,2,FALSE)),0)</f>
        <v>0</v>
      </c>
      <c r="Q6">
        <f>IF(AND(SUM(VLOOKUP($A6,test!$A$3:$F$32,2,FALSE),VLOOKUP(Q$1,test!$A$3:$F$32,2,FALSE))&lt;test!$K$16,$A6&lt;&gt;Q$1,feasible_mat!Q6=1),SUM(VLOOKUP($A6,test!$A$3:$F$32,2,FALSE), VLOOKUP(Q$1,test!$A$3:$F$32,2,FALSE)),0)</f>
        <v>0</v>
      </c>
      <c r="R6">
        <f>IF(AND(SUM(VLOOKUP($A6,test!$A$3:$F$32,2,FALSE),VLOOKUP(R$1,test!$A$3:$F$32,2,FALSE))&lt;test!$K$16,$A6&lt;&gt;R$1,feasible_mat!R6=1),SUM(VLOOKUP($A6,test!$A$3:$F$32,2,FALSE), VLOOKUP(R$1,test!$A$3:$F$32,2,FALSE)),0)</f>
        <v>0</v>
      </c>
      <c r="S6">
        <f>IF(AND(SUM(VLOOKUP($A6,test!$A$3:$F$32,2,FALSE),VLOOKUP(S$1,test!$A$3:$F$32,2,FALSE))&lt;test!$K$16,$A6&lt;&gt;S$1,feasible_mat!S6=1),SUM(VLOOKUP($A6,test!$A$3:$F$32,2,FALSE), VLOOKUP(S$1,test!$A$3:$F$32,2,FALSE)),0)</f>
        <v>0</v>
      </c>
      <c r="T6">
        <f>IF(AND(SUM(VLOOKUP($A6,test!$A$3:$F$32,2,FALSE),VLOOKUP(T$1,test!$A$3:$F$32,2,FALSE))&lt;test!$K$16,$A6&lt;&gt;T$1,feasible_mat!T6=1),SUM(VLOOKUP($A6,test!$A$3:$F$32,2,FALSE), VLOOKUP(T$1,test!$A$3:$F$32,2,FALSE)),0)</f>
        <v>0</v>
      </c>
      <c r="U6">
        <f>IF(AND(SUM(VLOOKUP($A6,test!$A$3:$F$32,2,FALSE),VLOOKUP(U$1,test!$A$3:$F$32,2,FALSE))&lt;test!$K$16,$A6&lt;&gt;U$1,feasible_mat!U6=1),SUM(VLOOKUP($A6,test!$A$3:$F$32,2,FALSE), VLOOKUP(U$1,test!$A$3:$F$32,2,FALSE)),0)</f>
        <v>0</v>
      </c>
      <c r="V6">
        <f>IF(AND(SUM(VLOOKUP($A6,test!$A$3:$F$32,2,FALSE),VLOOKUP(V$1,test!$A$3:$F$32,2,FALSE))&lt;test!$K$16,$A6&lt;&gt;V$1,feasible_mat!V6=1),SUM(VLOOKUP($A6,test!$A$3:$F$32,2,FALSE), VLOOKUP(V$1,test!$A$3:$F$32,2,FALSE)),0)</f>
        <v>0</v>
      </c>
      <c r="W6">
        <f>IF(AND(SUM(VLOOKUP($A6,test!$A$3:$F$32,2,FALSE),VLOOKUP(W$1,test!$A$3:$F$32,2,FALSE))&lt;test!$K$16,$A6&lt;&gt;W$1,feasible_mat!W6=1),SUM(VLOOKUP($A6,test!$A$3:$F$32,2,FALSE), VLOOKUP(W$1,test!$A$3:$F$32,2,FALSE)),0)</f>
        <v>270</v>
      </c>
      <c r="X6">
        <f>IF(AND(SUM(VLOOKUP($A6,test!$A$3:$F$32,2,FALSE),VLOOKUP(X$1,test!$A$3:$F$32,2,FALSE))&lt;test!$K$16,$A6&lt;&gt;X$1,feasible_mat!X6=1),SUM(VLOOKUP($A6,test!$A$3:$F$32,2,FALSE), VLOOKUP(X$1,test!$A$3:$F$32,2,FALSE)),0)</f>
        <v>270</v>
      </c>
      <c r="Y6">
        <f>IF(AND(SUM(VLOOKUP($A6,test!$A$3:$F$32,2,FALSE),VLOOKUP(Y$1,test!$A$3:$F$32,2,FALSE))&lt;test!$K$16,$A6&lt;&gt;Y$1,feasible_mat!Y6=1),SUM(VLOOKUP($A6,test!$A$3:$F$32,2,FALSE), VLOOKUP(Y$1,test!$A$3:$F$32,2,FALSE)),0)</f>
        <v>0</v>
      </c>
      <c r="Z6">
        <f>IF(AND(SUM(VLOOKUP($A6,test!$A$3:$F$32,2,FALSE),VLOOKUP(Z$1,test!$A$3:$F$32,2,FALSE))&lt;test!$K$16,$A6&lt;&gt;Z$1,feasible_mat!Z6=1),SUM(VLOOKUP($A6,test!$A$3:$F$32,2,FALSE), VLOOKUP(Z$1,test!$A$3:$F$32,2,FALSE)),0)</f>
        <v>0</v>
      </c>
      <c r="AA6">
        <f>IF(AND(SUM(VLOOKUP($A6,test!$A$3:$F$32,2,FALSE),VLOOKUP(AA$1,test!$A$3:$F$32,2,FALSE))&lt;test!$K$16,$A6&lt;&gt;AA$1,feasible_mat!AA6=1),SUM(VLOOKUP($A6,test!$A$3:$F$32,2,FALSE), VLOOKUP(AA$1,test!$A$3:$F$32,2,FALSE)),0)</f>
        <v>0</v>
      </c>
      <c r="AB6">
        <f>IF(AND(SUM(VLOOKUP($A6,test!$A$3:$F$32,2,FALSE),VLOOKUP(AB$1,test!$A$3:$F$32,2,FALSE))&lt;test!$K$16,$A6&lt;&gt;AB$1,feasible_mat!AB6=1),SUM(VLOOKUP($A6,test!$A$3:$F$32,2,FALSE), VLOOKUP(AB$1,test!$A$3:$F$32,2,FALSE)),0)</f>
        <v>0</v>
      </c>
      <c r="AC6">
        <f>IF(AND(SUM(VLOOKUP($A6,test!$A$3:$F$32,2,FALSE),VLOOKUP(AC$1,test!$A$3:$F$32,2,FALSE))&lt;test!$K$16,$A6&lt;&gt;AC$1,feasible_mat!AC6=1),SUM(VLOOKUP($A6,test!$A$3:$F$32,2,FALSE), VLOOKUP(AC$1,test!$A$3:$F$32,2,FALSE)),0)</f>
        <v>0</v>
      </c>
      <c r="AD6">
        <f>IF(AND(SUM(VLOOKUP($A6,test!$A$3:$F$32,2,FALSE),VLOOKUP(AD$1,test!$A$3:$F$32,2,FALSE))&lt;test!$K$16,$A6&lt;&gt;AD$1,feasible_mat!AD6=1),SUM(VLOOKUP($A6,test!$A$3:$F$32,2,FALSE), VLOOKUP(AD$1,test!$A$3:$F$32,2,FALSE)),0)</f>
        <v>0</v>
      </c>
      <c r="AE6">
        <f>IF(AND(SUM(VLOOKUP($A6,test!$A$3:$F$32,2,FALSE),VLOOKUP(AE$1,test!$A$3:$F$32,2,FALSE))&lt;test!$K$16,$A6&lt;&gt;AE$1,feasible_mat!AE6=1),SUM(VLOOKUP($A6,test!$A$3:$F$32,2,FALSE), VLOOKUP(AE$1,test!$A$3:$F$32,2,FALSE)),0)</f>
        <v>0</v>
      </c>
      <c r="AF6">
        <f>IF(AND(SUM(VLOOKUP($A6,test!$A$3:$F$32,2,FALSE),VLOOKUP(AF$1,test!$A$3:$F$32,2,FALSE))&lt;test!$K$16,$A6&lt;&gt;AF$1,feasible_mat!AF6=1),SUM(VLOOKUP($A6,test!$A$3:$F$32,2,FALSE), VLOOKUP(AF$1,test!$A$3:$F$32,2,FALSE)),0)</f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12</v>
      </c>
      <c r="B7">
        <v>0</v>
      </c>
      <c r="C7">
        <f>IF(AND(SUM(VLOOKUP($A7,test!$A$3:$F$32,2,FALSE),VLOOKUP(C$1,test!$A$3:$F$32,2,FALSE))&lt;test!$K$16,$A7&lt;&gt;C$1,feasible_mat!C7=1),SUM(VLOOKUP($A7,test!$A$3:$F$32,2,FALSE), VLOOKUP(C$1,test!$A$3:$F$32,2,FALSE)),0)</f>
        <v>0</v>
      </c>
      <c r="D7">
        <f>IF(AND(SUM(VLOOKUP($A7,test!$A$3:$F$32,2,FALSE),VLOOKUP(D$1,test!$A$3:$F$32,2,FALSE))&lt;test!$K$16,$A7&lt;&gt;D$1,feasible_mat!D7=1),SUM(VLOOKUP($A7,test!$A$3:$F$32,2,FALSE), VLOOKUP(D$1,test!$A$3:$F$32,2,FALSE)),0)</f>
        <v>0</v>
      </c>
      <c r="E7">
        <f>IF(AND(SUM(VLOOKUP($A7,test!$A$3:$F$32,2,FALSE),VLOOKUP(E$1,test!$A$3:$F$32,2,FALSE))&lt;test!$K$16,$A7&lt;&gt;E$1,feasible_mat!E7=1),SUM(VLOOKUP($A7,test!$A$3:$F$32,2,FALSE), VLOOKUP(E$1,test!$A$3:$F$32,2,FALSE)),0)</f>
        <v>0</v>
      </c>
      <c r="F7">
        <f>IF(AND(SUM(VLOOKUP($A7,test!$A$3:$F$32,2,FALSE),VLOOKUP(F$1,test!$A$3:$F$32,2,FALSE))&lt;test!$K$16,$A7&lt;&gt;F$1,feasible_mat!F7=1),SUM(VLOOKUP($A7,test!$A$3:$F$32,2,FALSE), VLOOKUP(F$1,test!$A$3:$F$32,2,FALSE)),0)</f>
        <v>0</v>
      </c>
      <c r="G7">
        <f>IF(AND(SUM(VLOOKUP($A7,test!$A$3:$F$32,2,FALSE),VLOOKUP(G$1,test!$A$3:$F$32,2,FALSE))&lt;test!$K$16,$A7&lt;&gt;G$1,feasible_mat!G7=1),SUM(VLOOKUP($A7,test!$A$3:$F$32,2,FALSE), VLOOKUP(G$1,test!$A$3:$F$32,2,FALSE)),0)</f>
        <v>0</v>
      </c>
      <c r="H7">
        <f>IF(AND(SUM(VLOOKUP($A7,test!$A$3:$F$32,2,FALSE),VLOOKUP(H$1,test!$A$3:$F$32,2,FALSE))&lt;test!$K$16,$A7&lt;&gt;H$1,feasible_mat!H7=1),SUM(VLOOKUP($A7,test!$A$3:$F$32,2,FALSE), VLOOKUP(H$1,test!$A$3:$F$32,2,FALSE)),0)</f>
        <v>0</v>
      </c>
      <c r="I7">
        <f>IF(AND(SUM(VLOOKUP($A7,test!$A$3:$F$32,2,FALSE),VLOOKUP(I$1,test!$A$3:$F$32,2,FALSE))&lt;test!$K$16,$A7&lt;&gt;I$1,feasible_mat!I7=1),SUM(VLOOKUP($A7,test!$A$3:$F$32,2,FALSE), VLOOKUP(I$1,test!$A$3:$F$32,2,FALSE)),0)</f>
        <v>0</v>
      </c>
      <c r="J7">
        <f>IF(AND(SUM(VLOOKUP($A7,test!$A$3:$F$32,2,FALSE),VLOOKUP(J$1,test!$A$3:$F$32,2,FALSE))&lt;test!$K$16,$A7&lt;&gt;J$1,feasible_mat!J7=1),SUM(VLOOKUP($A7,test!$A$3:$F$32,2,FALSE), VLOOKUP(J$1,test!$A$3:$F$32,2,FALSE)),0)</f>
        <v>270</v>
      </c>
      <c r="K7">
        <f>IF(AND(SUM(VLOOKUP($A7,test!$A$3:$F$32,2,FALSE),VLOOKUP(K$1,test!$A$3:$F$32,2,FALSE))&lt;test!$K$16,$A7&lt;&gt;K$1,feasible_mat!K7=1),SUM(VLOOKUP($A7,test!$A$3:$F$32,2,FALSE), VLOOKUP(K$1,test!$A$3:$F$32,2,FALSE)),0)</f>
        <v>0</v>
      </c>
      <c r="L7">
        <f>IF(AND(SUM(VLOOKUP($A7,test!$A$3:$F$32,2,FALSE),VLOOKUP(L$1,test!$A$3:$F$32,2,FALSE))&lt;test!$K$16,$A7&lt;&gt;L$1,feasible_mat!L7=1),SUM(VLOOKUP($A7,test!$A$3:$F$32,2,FALSE), VLOOKUP(L$1,test!$A$3:$F$32,2,FALSE)),0)</f>
        <v>0</v>
      </c>
      <c r="M7">
        <f>IF(AND(SUM(VLOOKUP($A7,test!$A$3:$F$32,2,FALSE),VLOOKUP(M$1,test!$A$3:$F$32,2,FALSE))&lt;test!$K$16,$A7&lt;&gt;M$1,feasible_mat!M7=1),SUM(VLOOKUP($A7,test!$A$3:$F$32,2,FALSE), VLOOKUP(M$1,test!$A$3:$F$32,2,FALSE)),0)</f>
        <v>0</v>
      </c>
      <c r="N7">
        <f>IF(AND(SUM(VLOOKUP($A7,test!$A$3:$F$32,2,FALSE),VLOOKUP(N$1,test!$A$3:$F$32,2,FALSE))&lt;test!$K$16,$A7&lt;&gt;N$1,feasible_mat!N7=1),SUM(VLOOKUP($A7,test!$A$3:$F$32,2,FALSE), VLOOKUP(N$1,test!$A$3:$F$32,2,FALSE)),0)</f>
        <v>275</v>
      </c>
      <c r="O7">
        <f>IF(AND(SUM(VLOOKUP($A7,test!$A$3:$F$32,2,FALSE),VLOOKUP(O$1,test!$A$3:$F$32,2,FALSE))&lt;test!$K$16,$A7&lt;&gt;O$1,feasible_mat!O7=1),SUM(VLOOKUP($A7,test!$A$3:$F$32,2,FALSE), VLOOKUP(O$1,test!$A$3:$F$32,2,FALSE)),0)</f>
        <v>275</v>
      </c>
      <c r="P7">
        <f>IF(AND(SUM(VLOOKUP($A7,test!$A$3:$F$32,2,FALSE),VLOOKUP(P$1,test!$A$3:$F$32,2,FALSE))&lt;test!$K$16,$A7&lt;&gt;P$1,feasible_mat!P7=1),SUM(VLOOKUP($A7,test!$A$3:$F$32,2,FALSE), VLOOKUP(P$1,test!$A$3:$F$32,2,FALSE)),0)</f>
        <v>0</v>
      </c>
      <c r="Q7">
        <f>IF(AND(SUM(VLOOKUP($A7,test!$A$3:$F$32,2,FALSE),VLOOKUP(Q$1,test!$A$3:$F$32,2,FALSE))&lt;test!$K$16,$A7&lt;&gt;Q$1,feasible_mat!Q7=1),SUM(VLOOKUP($A7,test!$A$3:$F$32,2,FALSE), VLOOKUP(Q$1,test!$A$3:$F$32,2,FALSE)),0)</f>
        <v>0</v>
      </c>
      <c r="R7">
        <f>IF(AND(SUM(VLOOKUP($A7,test!$A$3:$F$32,2,FALSE),VLOOKUP(R$1,test!$A$3:$F$32,2,FALSE))&lt;test!$K$16,$A7&lt;&gt;R$1,feasible_mat!R7=1),SUM(VLOOKUP($A7,test!$A$3:$F$32,2,FALSE), VLOOKUP(R$1,test!$A$3:$F$32,2,FALSE)),0)</f>
        <v>0</v>
      </c>
      <c r="S7">
        <f>IF(AND(SUM(VLOOKUP($A7,test!$A$3:$F$32,2,FALSE),VLOOKUP(S$1,test!$A$3:$F$32,2,FALSE))&lt;test!$K$16,$A7&lt;&gt;S$1,feasible_mat!S7=1),SUM(VLOOKUP($A7,test!$A$3:$F$32,2,FALSE), VLOOKUP(S$1,test!$A$3:$F$32,2,FALSE)),0)</f>
        <v>0</v>
      </c>
      <c r="T7">
        <f>IF(AND(SUM(VLOOKUP($A7,test!$A$3:$F$32,2,FALSE),VLOOKUP(T$1,test!$A$3:$F$32,2,FALSE))&lt;test!$K$16,$A7&lt;&gt;T$1,feasible_mat!T7=1),SUM(VLOOKUP($A7,test!$A$3:$F$32,2,FALSE), VLOOKUP(T$1,test!$A$3:$F$32,2,FALSE)),0)</f>
        <v>0</v>
      </c>
      <c r="U7">
        <f>IF(AND(SUM(VLOOKUP($A7,test!$A$3:$F$32,2,FALSE),VLOOKUP(U$1,test!$A$3:$F$32,2,FALSE))&lt;test!$K$16,$A7&lt;&gt;U$1,feasible_mat!U7=1),SUM(VLOOKUP($A7,test!$A$3:$F$32,2,FALSE), VLOOKUP(U$1,test!$A$3:$F$32,2,FALSE)),0)</f>
        <v>0</v>
      </c>
      <c r="V7">
        <f>IF(AND(SUM(VLOOKUP($A7,test!$A$3:$F$32,2,FALSE),VLOOKUP(V$1,test!$A$3:$F$32,2,FALSE))&lt;test!$K$16,$A7&lt;&gt;V$1,feasible_mat!V7=1),SUM(VLOOKUP($A7,test!$A$3:$F$32,2,FALSE), VLOOKUP(V$1,test!$A$3:$F$32,2,FALSE)),0)</f>
        <v>0</v>
      </c>
      <c r="W7">
        <f>IF(AND(SUM(VLOOKUP($A7,test!$A$3:$F$32,2,FALSE),VLOOKUP(W$1,test!$A$3:$F$32,2,FALSE))&lt;test!$K$16,$A7&lt;&gt;W$1,feasible_mat!W7=1),SUM(VLOOKUP($A7,test!$A$3:$F$32,2,FALSE), VLOOKUP(W$1,test!$A$3:$F$32,2,FALSE)),0)</f>
        <v>0</v>
      </c>
      <c r="X7">
        <f>IF(AND(SUM(VLOOKUP($A7,test!$A$3:$F$32,2,FALSE),VLOOKUP(X$1,test!$A$3:$F$32,2,FALSE))&lt;test!$K$16,$A7&lt;&gt;X$1,feasible_mat!X7=1),SUM(VLOOKUP($A7,test!$A$3:$F$32,2,FALSE), VLOOKUP(X$1,test!$A$3:$F$32,2,FALSE)),0)</f>
        <v>270</v>
      </c>
      <c r="Y7">
        <f>IF(AND(SUM(VLOOKUP($A7,test!$A$3:$F$32,2,FALSE),VLOOKUP(Y$1,test!$A$3:$F$32,2,FALSE))&lt;test!$K$16,$A7&lt;&gt;Y$1,feasible_mat!Y7=1),SUM(VLOOKUP($A7,test!$A$3:$F$32,2,FALSE), VLOOKUP(Y$1,test!$A$3:$F$32,2,FALSE)),0)</f>
        <v>0</v>
      </c>
      <c r="Z7">
        <f>IF(AND(SUM(VLOOKUP($A7,test!$A$3:$F$32,2,FALSE),VLOOKUP(Z$1,test!$A$3:$F$32,2,FALSE))&lt;test!$K$16,$A7&lt;&gt;Z$1,feasible_mat!Z7=1),SUM(VLOOKUP($A7,test!$A$3:$F$32,2,FALSE), VLOOKUP(Z$1,test!$A$3:$F$32,2,FALSE)),0)</f>
        <v>0</v>
      </c>
      <c r="AA7">
        <f>IF(AND(SUM(VLOOKUP($A7,test!$A$3:$F$32,2,FALSE),VLOOKUP(AA$1,test!$A$3:$F$32,2,FALSE))&lt;test!$K$16,$A7&lt;&gt;AA$1,feasible_mat!AA7=1),SUM(VLOOKUP($A7,test!$A$3:$F$32,2,FALSE), VLOOKUP(AA$1,test!$A$3:$F$32,2,FALSE)),0)</f>
        <v>0</v>
      </c>
      <c r="AB7">
        <f>IF(AND(SUM(VLOOKUP($A7,test!$A$3:$F$32,2,FALSE),VLOOKUP(AB$1,test!$A$3:$F$32,2,FALSE))&lt;test!$K$16,$A7&lt;&gt;AB$1,feasible_mat!AB7=1),SUM(VLOOKUP($A7,test!$A$3:$F$32,2,FALSE), VLOOKUP(AB$1,test!$A$3:$F$32,2,FALSE)),0)</f>
        <v>0</v>
      </c>
      <c r="AC7">
        <f>IF(AND(SUM(VLOOKUP($A7,test!$A$3:$F$32,2,FALSE),VLOOKUP(AC$1,test!$A$3:$F$32,2,FALSE))&lt;test!$K$16,$A7&lt;&gt;AC$1,feasible_mat!AC7=1),SUM(VLOOKUP($A7,test!$A$3:$F$32,2,FALSE), VLOOKUP(AC$1,test!$A$3:$F$32,2,FALSE)),0)</f>
        <v>0</v>
      </c>
      <c r="AD7">
        <f>IF(AND(SUM(VLOOKUP($A7,test!$A$3:$F$32,2,FALSE),VLOOKUP(AD$1,test!$A$3:$F$32,2,FALSE))&lt;test!$K$16,$A7&lt;&gt;AD$1,feasible_mat!AD7=1),SUM(VLOOKUP($A7,test!$A$3:$F$32,2,FALSE), VLOOKUP(AD$1,test!$A$3:$F$32,2,FALSE)),0)</f>
        <v>0</v>
      </c>
      <c r="AE7">
        <f>IF(AND(SUM(VLOOKUP($A7,test!$A$3:$F$32,2,FALSE),VLOOKUP(AE$1,test!$A$3:$F$32,2,FALSE))&lt;test!$K$16,$A7&lt;&gt;AE$1,feasible_mat!AE7=1),SUM(VLOOKUP($A7,test!$A$3:$F$32,2,FALSE), VLOOKUP(AE$1,test!$A$3:$F$32,2,FALSE)),0)</f>
        <v>0</v>
      </c>
      <c r="AF7">
        <f>IF(AND(SUM(VLOOKUP($A7,test!$A$3:$F$32,2,FALSE),VLOOKUP(AF$1,test!$A$3:$F$32,2,FALSE))&lt;test!$K$16,$A7&lt;&gt;AF$1,feasible_mat!AF7=1),SUM(VLOOKUP($A7,test!$A$3:$F$32,2,FALSE), VLOOKUP(AF$1,test!$A$3:$F$32,2,FALSE)),0)</f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5">
      <c r="A8" t="s">
        <v>13</v>
      </c>
      <c r="B8">
        <v>0</v>
      </c>
      <c r="C8">
        <f>IF(AND(SUM(VLOOKUP($A8,test!$A$3:$F$32,2,FALSE),VLOOKUP(C$1,test!$A$3:$F$32,2,FALSE))&lt;test!$K$16,$A8&lt;&gt;C$1,feasible_mat!C8=1),SUM(VLOOKUP($A8,test!$A$3:$F$32,2,FALSE), VLOOKUP(C$1,test!$A$3:$F$32,2,FALSE)),0)</f>
        <v>0</v>
      </c>
      <c r="D8">
        <f>IF(AND(SUM(VLOOKUP($A8,test!$A$3:$F$32,2,FALSE),VLOOKUP(D$1,test!$A$3:$F$32,2,FALSE))&lt;test!$K$16,$A8&lt;&gt;D$1,feasible_mat!D8=1),SUM(VLOOKUP($A8,test!$A$3:$F$32,2,FALSE), VLOOKUP(D$1,test!$A$3:$F$32,2,FALSE)),0)</f>
        <v>0</v>
      </c>
      <c r="E8">
        <f>IF(AND(SUM(VLOOKUP($A8,test!$A$3:$F$32,2,FALSE),VLOOKUP(E$1,test!$A$3:$F$32,2,FALSE))&lt;test!$K$16,$A8&lt;&gt;E$1,feasible_mat!E8=1),SUM(VLOOKUP($A8,test!$A$3:$F$32,2,FALSE), VLOOKUP(E$1,test!$A$3:$F$32,2,FALSE)),0)</f>
        <v>0</v>
      </c>
      <c r="F8">
        <f>IF(AND(SUM(VLOOKUP($A8,test!$A$3:$F$32,2,FALSE),VLOOKUP(F$1,test!$A$3:$F$32,2,FALSE))&lt;test!$K$16,$A8&lt;&gt;F$1,feasible_mat!F8=1),SUM(VLOOKUP($A8,test!$A$3:$F$32,2,FALSE), VLOOKUP(F$1,test!$A$3:$F$32,2,FALSE)),0)</f>
        <v>0</v>
      </c>
      <c r="G8">
        <f>IF(AND(SUM(VLOOKUP($A8,test!$A$3:$F$32,2,FALSE),VLOOKUP(G$1,test!$A$3:$F$32,2,FALSE))&lt;test!$K$16,$A8&lt;&gt;G$1,feasible_mat!G8=1),SUM(VLOOKUP($A8,test!$A$3:$F$32,2,FALSE), VLOOKUP(G$1,test!$A$3:$F$32,2,FALSE)),0)</f>
        <v>0</v>
      </c>
      <c r="H8">
        <f>IF(AND(SUM(VLOOKUP($A8,test!$A$3:$F$32,2,FALSE),VLOOKUP(H$1,test!$A$3:$F$32,2,FALSE))&lt;test!$K$16,$A8&lt;&gt;H$1,feasible_mat!H8=1),SUM(VLOOKUP($A8,test!$A$3:$F$32,2,FALSE), VLOOKUP(H$1,test!$A$3:$F$32,2,FALSE)),0)</f>
        <v>0</v>
      </c>
      <c r="I8">
        <f>IF(AND(SUM(VLOOKUP($A8,test!$A$3:$F$32,2,FALSE),VLOOKUP(I$1,test!$A$3:$F$32,2,FALSE))&lt;test!$K$16,$A8&lt;&gt;I$1,feasible_mat!I8=1),SUM(VLOOKUP($A8,test!$A$3:$F$32,2,FALSE), VLOOKUP(I$1,test!$A$3:$F$32,2,FALSE)),0)</f>
        <v>0</v>
      </c>
      <c r="J8">
        <f>IF(AND(SUM(VLOOKUP($A8,test!$A$3:$F$32,2,FALSE),VLOOKUP(J$1,test!$A$3:$F$32,2,FALSE))&lt;test!$K$16,$A8&lt;&gt;J$1,feasible_mat!J8=1),SUM(VLOOKUP($A8,test!$A$3:$F$32,2,FALSE), VLOOKUP(J$1,test!$A$3:$F$32,2,FALSE)),0)</f>
        <v>270</v>
      </c>
      <c r="K8">
        <f>IF(AND(SUM(VLOOKUP($A8,test!$A$3:$F$32,2,FALSE),VLOOKUP(K$1,test!$A$3:$F$32,2,FALSE))&lt;test!$K$16,$A8&lt;&gt;K$1,feasible_mat!K8=1),SUM(VLOOKUP($A8,test!$A$3:$F$32,2,FALSE), VLOOKUP(K$1,test!$A$3:$F$32,2,FALSE)),0)</f>
        <v>0</v>
      </c>
      <c r="L8">
        <f>IF(AND(SUM(VLOOKUP($A8,test!$A$3:$F$32,2,FALSE),VLOOKUP(L$1,test!$A$3:$F$32,2,FALSE))&lt;test!$K$16,$A8&lt;&gt;L$1,feasible_mat!L8=1),SUM(VLOOKUP($A8,test!$A$3:$F$32,2,FALSE), VLOOKUP(L$1,test!$A$3:$F$32,2,FALSE)),0)</f>
        <v>0</v>
      </c>
      <c r="M8">
        <f>IF(AND(SUM(VLOOKUP($A8,test!$A$3:$F$32,2,FALSE),VLOOKUP(M$1,test!$A$3:$F$32,2,FALSE))&lt;test!$K$16,$A8&lt;&gt;M$1,feasible_mat!M8=1),SUM(VLOOKUP($A8,test!$A$3:$F$32,2,FALSE), VLOOKUP(M$1,test!$A$3:$F$32,2,FALSE)),0)</f>
        <v>0</v>
      </c>
      <c r="N8">
        <f>IF(AND(SUM(VLOOKUP($A8,test!$A$3:$F$32,2,FALSE),VLOOKUP(N$1,test!$A$3:$F$32,2,FALSE))&lt;test!$K$16,$A8&lt;&gt;N$1,feasible_mat!N8=1),SUM(VLOOKUP($A8,test!$A$3:$F$32,2,FALSE), VLOOKUP(N$1,test!$A$3:$F$32,2,FALSE)),0)</f>
        <v>0</v>
      </c>
      <c r="O8">
        <f>IF(AND(SUM(VLOOKUP($A8,test!$A$3:$F$32,2,FALSE),VLOOKUP(O$1,test!$A$3:$F$32,2,FALSE))&lt;test!$K$16,$A8&lt;&gt;O$1,feasible_mat!O8=1),SUM(VLOOKUP($A8,test!$A$3:$F$32,2,FALSE), VLOOKUP(O$1,test!$A$3:$F$32,2,FALSE)),0)</f>
        <v>275</v>
      </c>
      <c r="P8">
        <f>IF(AND(SUM(VLOOKUP($A8,test!$A$3:$F$32,2,FALSE),VLOOKUP(P$1,test!$A$3:$F$32,2,FALSE))&lt;test!$K$16,$A8&lt;&gt;P$1,feasible_mat!P8=1),SUM(VLOOKUP($A8,test!$A$3:$F$32,2,FALSE), VLOOKUP(P$1,test!$A$3:$F$32,2,FALSE)),0)</f>
        <v>0</v>
      </c>
      <c r="Q8">
        <f>IF(AND(SUM(VLOOKUP($A8,test!$A$3:$F$32,2,FALSE),VLOOKUP(Q$1,test!$A$3:$F$32,2,FALSE))&lt;test!$K$16,$A8&lt;&gt;Q$1,feasible_mat!Q8=1),SUM(VLOOKUP($A8,test!$A$3:$F$32,2,FALSE), VLOOKUP(Q$1,test!$A$3:$F$32,2,FALSE)),0)</f>
        <v>0</v>
      </c>
      <c r="R8">
        <f>IF(AND(SUM(VLOOKUP($A8,test!$A$3:$F$32,2,FALSE),VLOOKUP(R$1,test!$A$3:$F$32,2,FALSE))&lt;test!$K$16,$A8&lt;&gt;R$1,feasible_mat!R8=1),SUM(VLOOKUP($A8,test!$A$3:$F$32,2,FALSE), VLOOKUP(R$1,test!$A$3:$F$32,2,FALSE)),0)</f>
        <v>0</v>
      </c>
      <c r="S8">
        <f>IF(AND(SUM(VLOOKUP($A8,test!$A$3:$F$32,2,FALSE),VLOOKUP(S$1,test!$A$3:$F$32,2,FALSE))&lt;test!$K$16,$A8&lt;&gt;S$1,feasible_mat!S8=1),SUM(VLOOKUP($A8,test!$A$3:$F$32,2,FALSE), VLOOKUP(S$1,test!$A$3:$F$32,2,FALSE)),0)</f>
        <v>0</v>
      </c>
      <c r="T8">
        <f>IF(AND(SUM(VLOOKUP($A8,test!$A$3:$F$32,2,FALSE),VLOOKUP(T$1,test!$A$3:$F$32,2,FALSE))&lt;test!$K$16,$A8&lt;&gt;T$1,feasible_mat!T8=1),SUM(VLOOKUP($A8,test!$A$3:$F$32,2,FALSE), VLOOKUP(T$1,test!$A$3:$F$32,2,FALSE)),0)</f>
        <v>0</v>
      </c>
      <c r="U8">
        <f>IF(AND(SUM(VLOOKUP($A8,test!$A$3:$F$32,2,FALSE),VLOOKUP(U$1,test!$A$3:$F$32,2,FALSE))&lt;test!$K$16,$A8&lt;&gt;U$1,feasible_mat!U8=1),SUM(VLOOKUP($A8,test!$A$3:$F$32,2,FALSE), VLOOKUP(U$1,test!$A$3:$F$32,2,FALSE)),0)</f>
        <v>0</v>
      </c>
      <c r="V8">
        <f>IF(AND(SUM(VLOOKUP($A8,test!$A$3:$F$32,2,FALSE),VLOOKUP(V$1,test!$A$3:$F$32,2,FALSE))&lt;test!$K$16,$A8&lt;&gt;V$1,feasible_mat!V8=1),SUM(VLOOKUP($A8,test!$A$3:$F$32,2,FALSE), VLOOKUP(V$1,test!$A$3:$F$32,2,FALSE)),0)</f>
        <v>0</v>
      </c>
      <c r="W8">
        <f>IF(AND(SUM(VLOOKUP($A8,test!$A$3:$F$32,2,FALSE),VLOOKUP(W$1,test!$A$3:$F$32,2,FALSE))&lt;test!$K$16,$A8&lt;&gt;W$1,feasible_mat!W8=1),SUM(VLOOKUP($A8,test!$A$3:$F$32,2,FALSE), VLOOKUP(W$1,test!$A$3:$F$32,2,FALSE)),0)</f>
        <v>0</v>
      </c>
      <c r="X8">
        <f>IF(AND(SUM(VLOOKUP($A8,test!$A$3:$F$32,2,FALSE),VLOOKUP(X$1,test!$A$3:$F$32,2,FALSE))&lt;test!$K$16,$A8&lt;&gt;X$1,feasible_mat!X8=1),SUM(VLOOKUP($A8,test!$A$3:$F$32,2,FALSE), VLOOKUP(X$1,test!$A$3:$F$32,2,FALSE)),0)</f>
        <v>0</v>
      </c>
      <c r="Y8">
        <f>IF(AND(SUM(VLOOKUP($A8,test!$A$3:$F$32,2,FALSE),VLOOKUP(Y$1,test!$A$3:$F$32,2,FALSE))&lt;test!$K$16,$A8&lt;&gt;Y$1,feasible_mat!Y8=1),SUM(VLOOKUP($A8,test!$A$3:$F$32,2,FALSE), VLOOKUP(Y$1,test!$A$3:$F$32,2,FALSE)),0)</f>
        <v>0</v>
      </c>
      <c r="Z8">
        <f>IF(AND(SUM(VLOOKUP($A8,test!$A$3:$F$32,2,FALSE),VLOOKUP(Z$1,test!$A$3:$F$32,2,FALSE))&lt;test!$K$16,$A8&lt;&gt;Z$1,feasible_mat!Z8=1),SUM(VLOOKUP($A8,test!$A$3:$F$32,2,FALSE), VLOOKUP(Z$1,test!$A$3:$F$32,2,FALSE)),0)</f>
        <v>0</v>
      </c>
      <c r="AA8">
        <f>IF(AND(SUM(VLOOKUP($A8,test!$A$3:$F$32,2,FALSE),VLOOKUP(AA$1,test!$A$3:$F$32,2,FALSE))&lt;test!$K$16,$A8&lt;&gt;AA$1,feasible_mat!AA8=1),SUM(VLOOKUP($A8,test!$A$3:$F$32,2,FALSE), VLOOKUP(AA$1,test!$A$3:$F$32,2,FALSE)),0)</f>
        <v>0</v>
      </c>
      <c r="AB8">
        <f>IF(AND(SUM(VLOOKUP($A8,test!$A$3:$F$32,2,FALSE),VLOOKUP(AB$1,test!$A$3:$F$32,2,FALSE))&lt;test!$K$16,$A8&lt;&gt;AB$1,feasible_mat!AB8=1),SUM(VLOOKUP($A8,test!$A$3:$F$32,2,FALSE), VLOOKUP(AB$1,test!$A$3:$F$32,2,FALSE)),0)</f>
        <v>0</v>
      </c>
      <c r="AC8">
        <f>IF(AND(SUM(VLOOKUP($A8,test!$A$3:$F$32,2,FALSE),VLOOKUP(AC$1,test!$A$3:$F$32,2,FALSE))&lt;test!$K$16,$A8&lt;&gt;AC$1,feasible_mat!AC8=1),SUM(VLOOKUP($A8,test!$A$3:$F$32,2,FALSE), VLOOKUP(AC$1,test!$A$3:$F$32,2,FALSE)),0)</f>
        <v>0</v>
      </c>
      <c r="AD8">
        <f>IF(AND(SUM(VLOOKUP($A8,test!$A$3:$F$32,2,FALSE),VLOOKUP(AD$1,test!$A$3:$F$32,2,FALSE))&lt;test!$K$16,$A8&lt;&gt;AD$1,feasible_mat!AD8=1),SUM(VLOOKUP($A8,test!$A$3:$F$32,2,FALSE), VLOOKUP(AD$1,test!$A$3:$F$32,2,FALSE)),0)</f>
        <v>0</v>
      </c>
      <c r="AE8">
        <f>IF(AND(SUM(VLOOKUP($A8,test!$A$3:$F$32,2,FALSE),VLOOKUP(AE$1,test!$A$3:$F$32,2,FALSE))&lt;test!$K$16,$A8&lt;&gt;AE$1,feasible_mat!AE8=1),SUM(VLOOKUP($A8,test!$A$3:$F$32,2,FALSE), VLOOKUP(AE$1,test!$A$3:$F$32,2,FALSE)),0)</f>
        <v>0</v>
      </c>
      <c r="AF8">
        <f>IF(AND(SUM(VLOOKUP($A8,test!$A$3:$F$32,2,FALSE),VLOOKUP(AF$1,test!$A$3:$F$32,2,FALSE))&lt;test!$K$16,$A8&lt;&gt;AF$1,feasible_mat!AF8=1),SUM(VLOOKUP($A8,test!$A$3:$F$32,2,FALSE), VLOOKUP(AF$1,test!$A$3:$F$32,2,FALSE)),0)</f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14</v>
      </c>
      <c r="B9">
        <v>0</v>
      </c>
      <c r="C9">
        <f>IF(AND(SUM(VLOOKUP($A9,test!$A$3:$F$32,2,FALSE),VLOOKUP(C$1,test!$A$3:$F$32,2,FALSE))&lt;test!$K$16,$A9&lt;&gt;C$1,feasible_mat!C9=1),SUM(VLOOKUP($A9,test!$A$3:$F$32,2,FALSE), VLOOKUP(C$1,test!$A$3:$F$32,2,FALSE)),0)</f>
        <v>0</v>
      </c>
      <c r="D9">
        <f>IF(AND(SUM(VLOOKUP($A9,test!$A$3:$F$32,2,FALSE),VLOOKUP(D$1,test!$A$3:$F$32,2,FALSE))&lt;test!$K$16,$A9&lt;&gt;D$1,feasible_mat!D9=1),SUM(VLOOKUP($A9,test!$A$3:$F$32,2,FALSE), VLOOKUP(D$1,test!$A$3:$F$32,2,FALSE)),0)</f>
        <v>0</v>
      </c>
      <c r="E9">
        <f>IF(AND(SUM(VLOOKUP($A9,test!$A$3:$F$32,2,FALSE),VLOOKUP(E$1,test!$A$3:$F$32,2,FALSE))&lt;test!$K$16,$A9&lt;&gt;E$1,feasible_mat!E9=1),SUM(VLOOKUP($A9,test!$A$3:$F$32,2,FALSE), VLOOKUP(E$1,test!$A$3:$F$32,2,FALSE)),0)</f>
        <v>0</v>
      </c>
      <c r="F9">
        <f>IF(AND(SUM(VLOOKUP($A9,test!$A$3:$F$32,2,FALSE),VLOOKUP(F$1,test!$A$3:$F$32,2,FALSE))&lt;test!$K$16,$A9&lt;&gt;F$1,feasible_mat!F9=1),SUM(VLOOKUP($A9,test!$A$3:$F$32,2,FALSE), VLOOKUP(F$1,test!$A$3:$F$32,2,FALSE)),0)</f>
        <v>0</v>
      </c>
      <c r="G9">
        <f>IF(AND(SUM(VLOOKUP($A9,test!$A$3:$F$32,2,FALSE),VLOOKUP(G$1,test!$A$3:$F$32,2,FALSE))&lt;test!$K$16,$A9&lt;&gt;G$1,feasible_mat!G9=1),SUM(VLOOKUP($A9,test!$A$3:$F$32,2,FALSE), VLOOKUP(G$1,test!$A$3:$F$32,2,FALSE)),0)</f>
        <v>0</v>
      </c>
      <c r="H9">
        <f>IF(AND(SUM(VLOOKUP($A9,test!$A$3:$F$32,2,FALSE),VLOOKUP(H$1,test!$A$3:$F$32,2,FALSE))&lt;test!$K$16,$A9&lt;&gt;H$1,feasible_mat!H9=1),SUM(VLOOKUP($A9,test!$A$3:$F$32,2,FALSE), VLOOKUP(H$1,test!$A$3:$F$32,2,FALSE)),0)</f>
        <v>0</v>
      </c>
      <c r="I9">
        <f>IF(AND(SUM(VLOOKUP($A9,test!$A$3:$F$32,2,FALSE),VLOOKUP(I$1,test!$A$3:$F$32,2,FALSE))&lt;test!$K$16,$A9&lt;&gt;I$1,feasible_mat!I9=1),SUM(VLOOKUP($A9,test!$A$3:$F$32,2,FALSE), VLOOKUP(I$1,test!$A$3:$F$32,2,FALSE)),0)</f>
        <v>0</v>
      </c>
      <c r="J9">
        <f>IF(AND(SUM(VLOOKUP($A9,test!$A$3:$F$32,2,FALSE),VLOOKUP(J$1,test!$A$3:$F$32,2,FALSE))&lt;test!$K$16,$A9&lt;&gt;J$1,feasible_mat!J9=1),SUM(VLOOKUP($A9,test!$A$3:$F$32,2,FALSE), VLOOKUP(J$1,test!$A$3:$F$32,2,FALSE)),0)</f>
        <v>0</v>
      </c>
      <c r="K9">
        <f>IF(AND(SUM(VLOOKUP($A9,test!$A$3:$F$32,2,FALSE),VLOOKUP(K$1,test!$A$3:$F$32,2,FALSE))&lt;test!$K$16,$A9&lt;&gt;K$1,feasible_mat!K9=1),SUM(VLOOKUP($A9,test!$A$3:$F$32,2,FALSE), VLOOKUP(K$1,test!$A$3:$F$32,2,FALSE)),0)</f>
        <v>0</v>
      </c>
      <c r="L9">
        <f>IF(AND(SUM(VLOOKUP($A9,test!$A$3:$F$32,2,FALSE),VLOOKUP(L$1,test!$A$3:$F$32,2,FALSE))&lt;test!$K$16,$A9&lt;&gt;L$1,feasible_mat!L9=1),SUM(VLOOKUP($A9,test!$A$3:$F$32,2,FALSE), VLOOKUP(L$1,test!$A$3:$F$32,2,FALSE)),0)</f>
        <v>0</v>
      </c>
      <c r="M9">
        <f>IF(AND(SUM(VLOOKUP($A9,test!$A$3:$F$32,2,FALSE),VLOOKUP(M$1,test!$A$3:$F$32,2,FALSE))&lt;test!$K$16,$A9&lt;&gt;M$1,feasible_mat!M9=1),SUM(VLOOKUP($A9,test!$A$3:$F$32,2,FALSE), VLOOKUP(M$1,test!$A$3:$F$32,2,FALSE)),0)</f>
        <v>0</v>
      </c>
      <c r="N9">
        <f>IF(AND(SUM(VLOOKUP($A9,test!$A$3:$F$32,2,FALSE),VLOOKUP(N$1,test!$A$3:$F$32,2,FALSE))&lt;test!$K$16,$A9&lt;&gt;N$1,feasible_mat!N9=1),SUM(VLOOKUP($A9,test!$A$3:$F$32,2,FALSE), VLOOKUP(N$1,test!$A$3:$F$32,2,FALSE)),0)</f>
        <v>0</v>
      </c>
      <c r="O9">
        <f>IF(AND(SUM(VLOOKUP($A9,test!$A$3:$F$32,2,FALSE),VLOOKUP(O$1,test!$A$3:$F$32,2,FALSE))&lt;test!$K$16,$A9&lt;&gt;O$1,feasible_mat!O9=1),SUM(VLOOKUP($A9,test!$A$3:$F$32,2,FALSE), VLOOKUP(O$1,test!$A$3:$F$32,2,FALSE)),0)</f>
        <v>0</v>
      </c>
      <c r="P9">
        <f>IF(AND(SUM(VLOOKUP($A9,test!$A$3:$F$32,2,FALSE),VLOOKUP(P$1,test!$A$3:$F$32,2,FALSE))&lt;test!$K$16,$A9&lt;&gt;P$1,feasible_mat!P9=1),SUM(VLOOKUP($A9,test!$A$3:$F$32,2,FALSE), VLOOKUP(P$1,test!$A$3:$F$32,2,FALSE)),0)</f>
        <v>0</v>
      </c>
      <c r="Q9">
        <f>IF(AND(SUM(VLOOKUP($A9,test!$A$3:$F$32,2,FALSE),VLOOKUP(Q$1,test!$A$3:$F$32,2,FALSE))&lt;test!$K$16,$A9&lt;&gt;Q$1,feasible_mat!Q9=1),SUM(VLOOKUP($A9,test!$A$3:$F$32,2,FALSE), VLOOKUP(Q$1,test!$A$3:$F$32,2,FALSE)),0)</f>
        <v>0</v>
      </c>
      <c r="R9">
        <f>IF(AND(SUM(VLOOKUP($A9,test!$A$3:$F$32,2,FALSE),VLOOKUP(R$1,test!$A$3:$F$32,2,FALSE))&lt;test!$K$16,$A9&lt;&gt;R$1,feasible_mat!R9=1),SUM(VLOOKUP($A9,test!$A$3:$F$32,2,FALSE), VLOOKUP(R$1,test!$A$3:$F$32,2,FALSE)),0)</f>
        <v>0</v>
      </c>
      <c r="S9">
        <f>IF(AND(SUM(VLOOKUP($A9,test!$A$3:$F$32,2,FALSE),VLOOKUP(S$1,test!$A$3:$F$32,2,FALSE))&lt;test!$K$16,$A9&lt;&gt;S$1,feasible_mat!S9=1),SUM(VLOOKUP($A9,test!$A$3:$F$32,2,FALSE), VLOOKUP(S$1,test!$A$3:$F$32,2,FALSE)),0)</f>
        <v>0</v>
      </c>
      <c r="T9">
        <f>IF(AND(SUM(VLOOKUP($A9,test!$A$3:$F$32,2,FALSE),VLOOKUP(T$1,test!$A$3:$F$32,2,FALSE))&lt;test!$K$16,$A9&lt;&gt;T$1,feasible_mat!T9=1),SUM(VLOOKUP($A9,test!$A$3:$F$32,2,FALSE), VLOOKUP(T$1,test!$A$3:$F$32,2,FALSE)),0)</f>
        <v>0</v>
      </c>
      <c r="U9">
        <f>IF(AND(SUM(VLOOKUP($A9,test!$A$3:$F$32,2,FALSE),VLOOKUP(U$1,test!$A$3:$F$32,2,FALSE))&lt;test!$K$16,$A9&lt;&gt;U$1,feasible_mat!U9=1),SUM(VLOOKUP($A9,test!$A$3:$F$32,2,FALSE), VLOOKUP(U$1,test!$A$3:$F$32,2,FALSE)),0)</f>
        <v>0</v>
      </c>
      <c r="V9">
        <f>IF(AND(SUM(VLOOKUP($A9,test!$A$3:$F$32,2,FALSE),VLOOKUP(V$1,test!$A$3:$F$32,2,FALSE))&lt;test!$K$16,$A9&lt;&gt;V$1,feasible_mat!V9=1),SUM(VLOOKUP($A9,test!$A$3:$F$32,2,FALSE), VLOOKUP(V$1,test!$A$3:$F$32,2,FALSE)),0)</f>
        <v>0</v>
      </c>
      <c r="W9">
        <f>IF(AND(SUM(VLOOKUP($A9,test!$A$3:$F$32,2,FALSE),VLOOKUP(W$1,test!$A$3:$F$32,2,FALSE))&lt;test!$K$16,$A9&lt;&gt;W$1,feasible_mat!W9=1),SUM(VLOOKUP($A9,test!$A$3:$F$32,2,FALSE), VLOOKUP(W$1,test!$A$3:$F$32,2,FALSE)),0)</f>
        <v>0</v>
      </c>
      <c r="X9">
        <f>IF(AND(SUM(VLOOKUP($A9,test!$A$3:$F$32,2,FALSE),VLOOKUP(X$1,test!$A$3:$F$32,2,FALSE))&lt;test!$K$16,$A9&lt;&gt;X$1,feasible_mat!X9=1),SUM(VLOOKUP($A9,test!$A$3:$F$32,2,FALSE), VLOOKUP(X$1,test!$A$3:$F$32,2,FALSE)),0)</f>
        <v>0</v>
      </c>
      <c r="Y9">
        <f>IF(AND(SUM(VLOOKUP($A9,test!$A$3:$F$32,2,FALSE),VLOOKUP(Y$1,test!$A$3:$F$32,2,FALSE))&lt;test!$K$16,$A9&lt;&gt;Y$1,feasible_mat!Y9=1),SUM(VLOOKUP($A9,test!$A$3:$F$32,2,FALSE), VLOOKUP(Y$1,test!$A$3:$F$32,2,FALSE)),0)</f>
        <v>0</v>
      </c>
      <c r="Z9">
        <f>IF(AND(SUM(VLOOKUP($A9,test!$A$3:$F$32,2,FALSE),VLOOKUP(Z$1,test!$A$3:$F$32,2,FALSE))&lt;test!$K$16,$A9&lt;&gt;Z$1,feasible_mat!Z9=1),SUM(VLOOKUP($A9,test!$A$3:$F$32,2,FALSE), VLOOKUP(Z$1,test!$A$3:$F$32,2,FALSE)),0)</f>
        <v>0</v>
      </c>
      <c r="AA9">
        <f>IF(AND(SUM(VLOOKUP($A9,test!$A$3:$F$32,2,FALSE),VLOOKUP(AA$1,test!$A$3:$F$32,2,FALSE))&lt;test!$K$16,$A9&lt;&gt;AA$1,feasible_mat!AA9=1),SUM(VLOOKUP($A9,test!$A$3:$F$32,2,FALSE), VLOOKUP(AA$1,test!$A$3:$F$32,2,FALSE)),0)</f>
        <v>0</v>
      </c>
      <c r="AB9">
        <f>IF(AND(SUM(VLOOKUP($A9,test!$A$3:$F$32,2,FALSE),VLOOKUP(AB$1,test!$A$3:$F$32,2,FALSE))&lt;test!$K$16,$A9&lt;&gt;AB$1,feasible_mat!AB9=1),SUM(VLOOKUP($A9,test!$A$3:$F$32,2,FALSE), VLOOKUP(AB$1,test!$A$3:$F$32,2,FALSE)),0)</f>
        <v>0</v>
      </c>
      <c r="AC9">
        <f>IF(AND(SUM(VLOOKUP($A9,test!$A$3:$F$32,2,FALSE),VLOOKUP(AC$1,test!$A$3:$F$32,2,FALSE))&lt;test!$K$16,$A9&lt;&gt;AC$1,feasible_mat!AC9=1),SUM(VLOOKUP($A9,test!$A$3:$F$32,2,FALSE), VLOOKUP(AC$1,test!$A$3:$F$32,2,FALSE)),0)</f>
        <v>0</v>
      </c>
      <c r="AD9">
        <f>IF(AND(SUM(VLOOKUP($A9,test!$A$3:$F$32,2,FALSE),VLOOKUP(AD$1,test!$A$3:$F$32,2,FALSE))&lt;test!$K$16,$A9&lt;&gt;AD$1,feasible_mat!AD9=1),SUM(VLOOKUP($A9,test!$A$3:$F$32,2,FALSE), VLOOKUP(AD$1,test!$A$3:$F$32,2,FALSE)),0)</f>
        <v>0</v>
      </c>
      <c r="AE9">
        <f>IF(AND(SUM(VLOOKUP($A9,test!$A$3:$F$32,2,FALSE),VLOOKUP(AE$1,test!$A$3:$F$32,2,FALSE))&lt;test!$K$16,$A9&lt;&gt;AE$1,feasible_mat!AE9=1),SUM(VLOOKUP($A9,test!$A$3:$F$32,2,FALSE), VLOOKUP(AE$1,test!$A$3:$F$32,2,FALSE)),0)</f>
        <v>0</v>
      </c>
      <c r="AF9">
        <f>IF(AND(SUM(VLOOKUP($A9,test!$A$3:$F$32,2,FALSE),VLOOKUP(AF$1,test!$A$3:$F$32,2,FALSE))&lt;test!$K$16,$A9&lt;&gt;AF$1,feasible_mat!AF9=1),SUM(VLOOKUP($A9,test!$A$3:$F$32,2,FALSE), VLOOKUP(AF$1,test!$A$3:$F$32,2,FALSE)),0)</f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 t="s">
        <v>15</v>
      </c>
      <c r="B10">
        <v>0</v>
      </c>
      <c r="C10">
        <f>IF(AND(SUM(VLOOKUP($A10,test!$A$3:$F$32,2,FALSE),VLOOKUP(C$1,test!$A$3:$F$32,2,FALSE))&lt;test!$K$16,$A10&lt;&gt;C$1,feasible_mat!C10=1),SUM(VLOOKUP($A10,test!$A$3:$F$32,2,FALSE), VLOOKUP(C$1,test!$A$3:$F$32,2,FALSE)),0)</f>
        <v>0</v>
      </c>
      <c r="D10">
        <f>IF(AND(SUM(VLOOKUP($A10,test!$A$3:$F$32,2,FALSE),VLOOKUP(D$1,test!$A$3:$F$32,2,FALSE))&lt;test!$K$16,$A10&lt;&gt;D$1,feasible_mat!D10=1),SUM(VLOOKUP($A10,test!$A$3:$F$32,2,FALSE), VLOOKUP(D$1,test!$A$3:$F$32,2,FALSE)),0)</f>
        <v>0</v>
      </c>
      <c r="E10">
        <f>IF(AND(SUM(VLOOKUP($A10,test!$A$3:$F$32,2,FALSE),VLOOKUP(E$1,test!$A$3:$F$32,2,FALSE))&lt;test!$K$16,$A10&lt;&gt;E$1,feasible_mat!E10=1),SUM(VLOOKUP($A10,test!$A$3:$F$32,2,FALSE), VLOOKUP(E$1,test!$A$3:$F$32,2,FALSE)),0)</f>
        <v>0</v>
      </c>
      <c r="F10">
        <f>IF(AND(SUM(VLOOKUP($A10,test!$A$3:$F$32,2,FALSE),VLOOKUP(F$1,test!$A$3:$F$32,2,FALSE))&lt;test!$K$16,$A10&lt;&gt;F$1,feasible_mat!F10=1),SUM(VLOOKUP($A10,test!$A$3:$F$32,2,FALSE), VLOOKUP(F$1,test!$A$3:$F$32,2,FALSE)),0)</f>
        <v>0</v>
      </c>
      <c r="G10">
        <f>IF(AND(SUM(VLOOKUP($A10,test!$A$3:$F$32,2,FALSE),VLOOKUP(G$1,test!$A$3:$F$32,2,FALSE))&lt;test!$K$16,$A10&lt;&gt;G$1,feasible_mat!G10=1),SUM(VLOOKUP($A10,test!$A$3:$F$32,2,FALSE), VLOOKUP(G$1,test!$A$3:$F$32,2,FALSE)),0)</f>
        <v>0</v>
      </c>
      <c r="H10">
        <f>IF(AND(SUM(VLOOKUP($A10,test!$A$3:$F$32,2,FALSE),VLOOKUP(H$1,test!$A$3:$F$32,2,FALSE))&lt;test!$K$16,$A10&lt;&gt;H$1,feasible_mat!H10=1),SUM(VLOOKUP($A10,test!$A$3:$F$32,2,FALSE), VLOOKUP(H$1,test!$A$3:$F$32,2,FALSE)),0)</f>
        <v>0</v>
      </c>
      <c r="I10">
        <f>IF(AND(SUM(VLOOKUP($A10,test!$A$3:$F$32,2,FALSE),VLOOKUP(I$1,test!$A$3:$F$32,2,FALSE))&lt;test!$K$16,$A10&lt;&gt;I$1,feasible_mat!I10=1),SUM(VLOOKUP($A10,test!$A$3:$F$32,2,FALSE), VLOOKUP(I$1,test!$A$3:$F$32,2,FALSE)),0)</f>
        <v>0</v>
      </c>
      <c r="J10">
        <f>IF(AND(SUM(VLOOKUP($A10,test!$A$3:$F$32,2,FALSE),VLOOKUP(J$1,test!$A$3:$F$32,2,FALSE))&lt;test!$K$16,$A10&lt;&gt;J$1,feasible_mat!J10=1),SUM(VLOOKUP($A10,test!$A$3:$F$32,2,FALSE), VLOOKUP(J$1,test!$A$3:$F$32,2,FALSE)),0)</f>
        <v>0</v>
      </c>
      <c r="K10">
        <f>IF(AND(SUM(VLOOKUP($A10,test!$A$3:$F$32,2,FALSE),VLOOKUP(K$1,test!$A$3:$F$32,2,FALSE))&lt;test!$K$16,$A10&lt;&gt;K$1,feasible_mat!K10=1),SUM(VLOOKUP($A10,test!$A$3:$F$32,2,FALSE), VLOOKUP(K$1,test!$A$3:$F$32,2,FALSE)),0)</f>
        <v>0</v>
      </c>
      <c r="L10">
        <f>IF(AND(SUM(VLOOKUP($A10,test!$A$3:$F$32,2,FALSE),VLOOKUP(L$1,test!$A$3:$F$32,2,FALSE))&lt;test!$K$16,$A10&lt;&gt;L$1,feasible_mat!L10=1),SUM(VLOOKUP($A10,test!$A$3:$F$32,2,FALSE), VLOOKUP(L$1,test!$A$3:$F$32,2,FALSE)),0)</f>
        <v>0</v>
      </c>
      <c r="M10">
        <f>IF(AND(SUM(VLOOKUP($A10,test!$A$3:$F$32,2,FALSE),VLOOKUP(M$1,test!$A$3:$F$32,2,FALSE))&lt;test!$K$16,$A10&lt;&gt;M$1,feasible_mat!M10=1),SUM(VLOOKUP($A10,test!$A$3:$F$32,2,FALSE), VLOOKUP(M$1,test!$A$3:$F$32,2,FALSE)),0)</f>
        <v>0</v>
      </c>
      <c r="N10">
        <f>IF(AND(SUM(VLOOKUP($A10,test!$A$3:$F$32,2,FALSE),VLOOKUP(N$1,test!$A$3:$F$32,2,FALSE))&lt;test!$K$16,$A10&lt;&gt;N$1,feasible_mat!N10=1),SUM(VLOOKUP($A10,test!$A$3:$F$32,2,FALSE), VLOOKUP(N$1,test!$A$3:$F$32,2,FALSE)),0)</f>
        <v>0</v>
      </c>
      <c r="O10">
        <f>IF(AND(SUM(VLOOKUP($A10,test!$A$3:$F$32,2,FALSE),VLOOKUP(O$1,test!$A$3:$F$32,2,FALSE))&lt;test!$K$16,$A10&lt;&gt;O$1,feasible_mat!O10=1),SUM(VLOOKUP($A10,test!$A$3:$F$32,2,FALSE), VLOOKUP(O$1,test!$A$3:$F$32,2,FALSE)),0)</f>
        <v>0</v>
      </c>
      <c r="P10">
        <f>IF(AND(SUM(VLOOKUP($A10,test!$A$3:$F$32,2,FALSE),VLOOKUP(P$1,test!$A$3:$F$32,2,FALSE))&lt;test!$K$16,$A10&lt;&gt;P$1,feasible_mat!P10=1),SUM(VLOOKUP($A10,test!$A$3:$F$32,2,FALSE), VLOOKUP(P$1,test!$A$3:$F$32,2,FALSE)),0)</f>
        <v>0</v>
      </c>
      <c r="Q10">
        <f>IF(AND(SUM(VLOOKUP($A10,test!$A$3:$F$32,2,FALSE),VLOOKUP(Q$1,test!$A$3:$F$32,2,FALSE))&lt;test!$K$16,$A10&lt;&gt;Q$1,feasible_mat!Q10=1),SUM(VLOOKUP($A10,test!$A$3:$F$32,2,FALSE), VLOOKUP(Q$1,test!$A$3:$F$32,2,FALSE)),0)</f>
        <v>0</v>
      </c>
      <c r="R10">
        <f>IF(AND(SUM(VLOOKUP($A10,test!$A$3:$F$32,2,FALSE),VLOOKUP(R$1,test!$A$3:$F$32,2,FALSE))&lt;test!$K$16,$A10&lt;&gt;R$1,feasible_mat!R10=1),SUM(VLOOKUP($A10,test!$A$3:$F$32,2,FALSE), VLOOKUP(R$1,test!$A$3:$F$32,2,FALSE)),0)</f>
        <v>0</v>
      </c>
      <c r="S10">
        <f>IF(AND(SUM(VLOOKUP($A10,test!$A$3:$F$32,2,FALSE),VLOOKUP(S$1,test!$A$3:$F$32,2,FALSE))&lt;test!$K$16,$A10&lt;&gt;S$1,feasible_mat!S10=1),SUM(VLOOKUP($A10,test!$A$3:$F$32,2,FALSE), VLOOKUP(S$1,test!$A$3:$F$32,2,FALSE)),0)</f>
        <v>0</v>
      </c>
      <c r="T10">
        <f>IF(AND(SUM(VLOOKUP($A10,test!$A$3:$F$32,2,FALSE),VLOOKUP(T$1,test!$A$3:$F$32,2,FALSE))&lt;test!$K$16,$A10&lt;&gt;T$1,feasible_mat!T10=1),SUM(VLOOKUP($A10,test!$A$3:$F$32,2,FALSE), VLOOKUP(T$1,test!$A$3:$F$32,2,FALSE)),0)</f>
        <v>0</v>
      </c>
      <c r="U10">
        <f>IF(AND(SUM(VLOOKUP($A10,test!$A$3:$F$32,2,FALSE),VLOOKUP(U$1,test!$A$3:$F$32,2,FALSE))&lt;test!$K$16,$A10&lt;&gt;U$1,feasible_mat!U10=1),SUM(VLOOKUP($A10,test!$A$3:$F$32,2,FALSE), VLOOKUP(U$1,test!$A$3:$F$32,2,FALSE)),0)</f>
        <v>0</v>
      </c>
      <c r="V10">
        <f>IF(AND(SUM(VLOOKUP($A10,test!$A$3:$F$32,2,FALSE),VLOOKUP(V$1,test!$A$3:$F$32,2,FALSE))&lt;test!$K$16,$A10&lt;&gt;V$1,feasible_mat!V10=1),SUM(VLOOKUP($A10,test!$A$3:$F$32,2,FALSE), VLOOKUP(V$1,test!$A$3:$F$32,2,FALSE)),0)</f>
        <v>0</v>
      </c>
      <c r="W10">
        <f>IF(AND(SUM(VLOOKUP($A10,test!$A$3:$F$32,2,FALSE),VLOOKUP(W$1,test!$A$3:$F$32,2,FALSE))&lt;test!$K$16,$A10&lt;&gt;W$1,feasible_mat!W10=1),SUM(VLOOKUP($A10,test!$A$3:$F$32,2,FALSE), VLOOKUP(W$1,test!$A$3:$F$32,2,FALSE)),0)</f>
        <v>0</v>
      </c>
      <c r="X10">
        <f>IF(AND(SUM(VLOOKUP($A10,test!$A$3:$F$32,2,FALSE),VLOOKUP(X$1,test!$A$3:$F$32,2,FALSE))&lt;test!$K$16,$A10&lt;&gt;X$1,feasible_mat!X10=1),SUM(VLOOKUP($A10,test!$A$3:$F$32,2,FALSE), VLOOKUP(X$1,test!$A$3:$F$32,2,FALSE)),0)</f>
        <v>0</v>
      </c>
      <c r="Y10">
        <f>IF(AND(SUM(VLOOKUP($A10,test!$A$3:$F$32,2,FALSE),VLOOKUP(Y$1,test!$A$3:$F$32,2,FALSE))&lt;test!$K$16,$A10&lt;&gt;Y$1,feasible_mat!Y10=1),SUM(VLOOKUP($A10,test!$A$3:$F$32,2,FALSE), VLOOKUP(Y$1,test!$A$3:$F$32,2,FALSE)),0)</f>
        <v>0</v>
      </c>
      <c r="Z10">
        <f>IF(AND(SUM(VLOOKUP($A10,test!$A$3:$F$32,2,FALSE),VLOOKUP(Z$1,test!$A$3:$F$32,2,FALSE))&lt;test!$K$16,$A10&lt;&gt;Z$1,feasible_mat!Z10=1),SUM(VLOOKUP($A10,test!$A$3:$F$32,2,FALSE), VLOOKUP(Z$1,test!$A$3:$F$32,2,FALSE)),0)</f>
        <v>0</v>
      </c>
      <c r="AA10">
        <f>IF(AND(SUM(VLOOKUP($A10,test!$A$3:$F$32,2,FALSE),VLOOKUP(AA$1,test!$A$3:$F$32,2,FALSE))&lt;test!$K$16,$A10&lt;&gt;AA$1,feasible_mat!AA10=1),SUM(VLOOKUP($A10,test!$A$3:$F$32,2,FALSE), VLOOKUP(AA$1,test!$A$3:$F$32,2,FALSE)),0)</f>
        <v>0</v>
      </c>
      <c r="AB10">
        <f>IF(AND(SUM(VLOOKUP($A10,test!$A$3:$F$32,2,FALSE),VLOOKUP(AB$1,test!$A$3:$F$32,2,FALSE))&lt;test!$K$16,$A10&lt;&gt;AB$1,feasible_mat!AB10=1),SUM(VLOOKUP($A10,test!$A$3:$F$32,2,FALSE), VLOOKUP(AB$1,test!$A$3:$F$32,2,FALSE)),0)</f>
        <v>0</v>
      </c>
      <c r="AC10">
        <f>IF(AND(SUM(VLOOKUP($A10,test!$A$3:$F$32,2,FALSE),VLOOKUP(AC$1,test!$A$3:$F$32,2,FALSE))&lt;test!$K$16,$A10&lt;&gt;AC$1,feasible_mat!AC10=1),SUM(VLOOKUP($A10,test!$A$3:$F$32,2,FALSE), VLOOKUP(AC$1,test!$A$3:$F$32,2,FALSE)),0)</f>
        <v>0</v>
      </c>
      <c r="AD10">
        <f>IF(AND(SUM(VLOOKUP($A10,test!$A$3:$F$32,2,FALSE),VLOOKUP(AD$1,test!$A$3:$F$32,2,FALSE))&lt;test!$K$16,$A10&lt;&gt;AD$1,feasible_mat!AD10=1),SUM(VLOOKUP($A10,test!$A$3:$F$32,2,FALSE), VLOOKUP(AD$1,test!$A$3:$F$32,2,FALSE)),0)</f>
        <v>0</v>
      </c>
      <c r="AE10">
        <f>IF(AND(SUM(VLOOKUP($A10,test!$A$3:$F$32,2,FALSE),VLOOKUP(AE$1,test!$A$3:$F$32,2,FALSE))&lt;test!$K$16,$A10&lt;&gt;AE$1,feasible_mat!AE10=1),SUM(VLOOKUP($A10,test!$A$3:$F$32,2,FALSE), VLOOKUP(AE$1,test!$A$3:$F$32,2,FALSE)),0)</f>
        <v>0</v>
      </c>
      <c r="AF10">
        <f>IF(AND(SUM(VLOOKUP($A10,test!$A$3:$F$32,2,FALSE),VLOOKUP(AF$1,test!$A$3:$F$32,2,FALSE))&lt;test!$K$16,$A10&lt;&gt;AF$1,feasible_mat!AF10=1),SUM(VLOOKUP($A10,test!$A$3:$F$32,2,FALSE), VLOOKUP(AF$1,test!$A$3:$F$32,2,FALSE)),0)</f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5">
      <c r="A11" t="s">
        <v>18</v>
      </c>
      <c r="B11">
        <v>0</v>
      </c>
      <c r="C11">
        <f>IF(AND(SUM(VLOOKUP($A11,test!$A$3:$F$32,2,FALSE),VLOOKUP(C$1,test!$A$3:$F$32,2,FALSE))&lt;test!$K$16,$A11&lt;&gt;C$1,feasible_mat!C11=1),SUM(VLOOKUP($A11,test!$A$3:$F$32,2,FALSE), VLOOKUP(C$1,test!$A$3:$F$32,2,FALSE)),0)</f>
        <v>0</v>
      </c>
      <c r="D11">
        <f>IF(AND(SUM(VLOOKUP($A11,test!$A$3:$F$32,2,FALSE),VLOOKUP(D$1,test!$A$3:$F$32,2,FALSE))&lt;test!$K$16,$A11&lt;&gt;D$1,feasible_mat!D11=1),SUM(VLOOKUP($A11,test!$A$3:$F$32,2,FALSE), VLOOKUP(D$1,test!$A$3:$F$32,2,FALSE)),0)</f>
        <v>275</v>
      </c>
      <c r="E11">
        <f>IF(AND(SUM(VLOOKUP($A11,test!$A$3:$F$32,2,FALSE),VLOOKUP(E$1,test!$A$3:$F$32,2,FALSE))&lt;test!$K$16,$A11&lt;&gt;E$1,feasible_mat!E11=1),SUM(VLOOKUP($A11,test!$A$3:$F$32,2,FALSE), VLOOKUP(E$1,test!$A$3:$F$32,2,FALSE)),0)</f>
        <v>275</v>
      </c>
      <c r="F11">
        <f>IF(AND(SUM(VLOOKUP($A11,test!$A$3:$F$32,2,FALSE),VLOOKUP(F$1,test!$A$3:$F$32,2,FALSE))&lt;test!$K$16,$A11&lt;&gt;F$1,feasible_mat!F11=1),SUM(VLOOKUP($A11,test!$A$3:$F$32,2,FALSE), VLOOKUP(F$1,test!$A$3:$F$32,2,FALSE)),0)</f>
        <v>275</v>
      </c>
      <c r="G11">
        <f>IF(AND(SUM(VLOOKUP($A11,test!$A$3:$F$32,2,FALSE),VLOOKUP(G$1,test!$A$3:$F$32,2,FALSE))&lt;test!$K$16,$A11&lt;&gt;G$1,feasible_mat!G11=1),SUM(VLOOKUP($A11,test!$A$3:$F$32,2,FALSE), VLOOKUP(G$1,test!$A$3:$F$32,2,FALSE)),0)</f>
        <v>275</v>
      </c>
      <c r="H11">
        <f>IF(AND(SUM(VLOOKUP($A11,test!$A$3:$F$32,2,FALSE),VLOOKUP(H$1,test!$A$3:$F$32,2,FALSE))&lt;test!$K$16,$A11&lt;&gt;H$1,feasible_mat!H11=1),SUM(VLOOKUP($A11,test!$A$3:$F$32,2,FALSE), VLOOKUP(H$1,test!$A$3:$F$32,2,FALSE)),0)</f>
        <v>275</v>
      </c>
      <c r="I11">
        <f>IF(AND(SUM(VLOOKUP($A11,test!$A$3:$F$32,2,FALSE),VLOOKUP(I$1,test!$A$3:$F$32,2,FALSE))&lt;test!$K$16,$A11&lt;&gt;I$1,feasible_mat!I11=1),SUM(VLOOKUP($A11,test!$A$3:$F$32,2,FALSE), VLOOKUP(I$1,test!$A$3:$F$32,2,FALSE)),0)</f>
        <v>275</v>
      </c>
      <c r="J11">
        <f>IF(AND(SUM(VLOOKUP($A11,test!$A$3:$F$32,2,FALSE),VLOOKUP(J$1,test!$A$3:$F$32,2,FALSE))&lt;test!$K$16,$A11&lt;&gt;J$1,feasible_mat!J11=1),SUM(VLOOKUP($A11,test!$A$3:$F$32,2,FALSE), VLOOKUP(J$1,test!$A$3:$F$32,2,FALSE)),0)</f>
        <v>275</v>
      </c>
      <c r="K11">
        <f>IF(AND(SUM(VLOOKUP($A11,test!$A$3:$F$32,2,FALSE),VLOOKUP(K$1,test!$A$3:$F$32,2,FALSE))&lt;test!$K$16,$A11&lt;&gt;K$1,feasible_mat!K11=1),SUM(VLOOKUP($A11,test!$A$3:$F$32,2,FALSE), VLOOKUP(K$1,test!$A$3:$F$32,2,FALSE)),0)</f>
        <v>0</v>
      </c>
      <c r="L11">
        <f>IF(AND(SUM(VLOOKUP($A11,test!$A$3:$F$32,2,FALSE),VLOOKUP(L$1,test!$A$3:$F$32,2,FALSE))&lt;test!$K$16,$A11&lt;&gt;L$1,feasible_mat!L11=1),SUM(VLOOKUP($A11,test!$A$3:$F$32,2,FALSE), VLOOKUP(L$1,test!$A$3:$F$32,2,FALSE)),0)</f>
        <v>0</v>
      </c>
      <c r="M11">
        <f>IF(AND(SUM(VLOOKUP($A11,test!$A$3:$F$32,2,FALSE),VLOOKUP(M$1,test!$A$3:$F$32,2,FALSE))&lt;test!$K$16,$A11&lt;&gt;M$1,feasible_mat!M11=1),SUM(VLOOKUP($A11,test!$A$3:$F$32,2,FALSE), VLOOKUP(M$1,test!$A$3:$F$32,2,FALSE)),0)</f>
        <v>280</v>
      </c>
      <c r="N11">
        <f>IF(AND(SUM(VLOOKUP($A11,test!$A$3:$F$32,2,FALSE),VLOOKUP(N$1,test!$A$3:$F$32,2,FALSE))&lt;test!$K$16,$A11&lt;&gt;N$1,feasible_mat!N11=1),SUM(VLOOKUP($A11,test!$A$3:$F$32,2,FALSE), VLOOKUP(N$1,test!$A$3:$F$32,2,FALSE)),0)</f>
        <v>280</v>
      </c>
      <c r="O11">
        <f>IF(AND(SUM(VLOOKUP($A11,test!$A$3:$F$32,2,FALSE),VLOOKUP(O$1,test!$A$3:$F$32,2,FALSE))&lt;test!$K$16,$A11&lt;&gt;O$1,feasible_mat!O11=1),SUM(VLOOKUP($A11,test!$A$3:$F$32,2,FALSE), VLOOKUP(O$1,test!$A$3:$F$32,2,FALSE)),0)</f>
        <v>280</v>
      </c>
      <c r="P11">
        <f>IF(AND(SUM(VLOOKUP($A11,test!$A$3:$F$32,2,FALSE),VLOOKUP(P$1,test!$A$3:$F$32,2,FALSE))&lt;test!$K$16,$A11&lt;&gt;P$1,feasible_mat!P11=1),SUM(VLOOKUP($A11,test!$A$3:$F$32,2,FALSE), VLOOKUP(P$1,test!$A$3:$F$32,2,FALSE)),0)</f>
        <v>0</v>
      </c>
      <c r="Q11">
        <f>IF(AND(SUM(VLOOKUP($A11,test!$A$3:$F$32,2,FALSE),VLOOKUP(Q$1,test!$A$3:$F$32,2,FALSE))&lt;test!$K$16,$A11&lt;&gt;Q$1,feasible_mat!Q11=1),SUM(VLOOKUP($A11,test!$A$3:$F$32,2,FALSE), VLOOKUP(Q$1,test!$A$3:$F$32,2,FALSE)),0)</f>
        <v>0</v>
      </c>
      <c r="R11">
        <f>IF(AND(SUM(VLOOKUP($A11,test!$A$3:$F$32,2,FALSE),VLOOKUP(R$1,test!$A$3:$F$32,2,FALSE))&lt;test!$K$16,$A11&lt;&gt;R$1,feasible_mat!R11=1),SUM(VLOOKUP($A11,test!$A$3:$F$32,2,FALSE), VLOOKUP(R$1,test!$A$3:$F$32,2,FALSE)),0)</f>
        <v>0</v>
      </c>
      <c r="S11">
        <f>IF(AND(SUM(VLOOKUP($A11,test!$A$3:$F$32,2,FALSE),VLOOKUP(S$1,test!$A$3:$F$32,2,FALSE))&lt;test!$K$16,$A11&lt;&gt;S$1,feasible_mat!S11=1),SUM(VLOOKUP($A11,test!$A$3:$F$32,2,FALSE), VLOOKUP(S$1,test!$A$3:$F$32,2,FALSE)),0)</f>
        <v>275</v>
      </c>
      <c r="T11">
        <f>IF(AND(SUM(VLOOKUP($A11,test!$A$3:$F$32,2,FALSE),VLOOKUP(T$1,test!$A$3:$F$32,2,FALSE))&lt;test!$K$16,$A11&lt;&gt;T$1,feasible_mat!T11=1),SUM(VLOOKUP($A11,test!$A$3:$F$32,2,FALSE), VLOOKUP(T$1,test!$A$3:$F$32,2,FALSE)),0)</f>
        <v>275</v>
      </c>
      <c r="U11">
        <f>IF(AND(SUM(VLOOKUP($A11,test!$A$3:$F$32,2,FALSE),VLOOKUP(U$1,test!$A$3:$F$32,2,FALSE))&lt;test!$K$16,$A11&lt;&gt;U$1,feasible_mat!U11=1),SUM(VLOOKUP($A11,test!$A$3:$F$32,2,FALSE), VLOOKUP(U$1,test!$A$3:$F$32,2,FALSE)),0)</f>
        <v>275</v>
      </c>
      <c r="V11">
        <f>IF(AND(SUM(VLOOKUP($A11,test!$A$3:$F$32,2,FALSE),VLOOKUP(V$1,test!$A$3:$F$32,2,FALSE))&lt;test!$K$16,$A11&lt;&gt;V$1,feasible_mat!V11=1),SUM(VLOOKUP($A11,test!$A$3:$F$32,2,FALSE), VLOOKUP(V$1,test!$A$3:$F$32,2,FALSE)),0)</f>
        <v>275</v>
      </c>
      <c r="W11">
        <f>IF(AND(SUM(VLOOKUP($A11,test!$A$3:$F$32,2,FALSE),VLOOKUP(W$1,test!$A$3:$F$32,2,FALSE))&lt;test!$K$16,$A11&lt;&gt;W$1,feasible_mat!W11=1),SUM(VLOOKUP($A11,test!$A$3:$F$32,2,FALSE), VLOOKUP(W$1,test!$A$3:$F$32,2,FALSE)),0)</f>
        <v>275</v>
      </c>
      <c r="X11">
        <f>IF(AND(SUM(VLOOKUP($A11,test!$A$3:$F$32,2,FALSE),VLOOKUP(X$1,test!$A$3:$F$32,2,FALSE))&lt;test!$K$16,$A11&lt;&gt;X$1,feasible_mat!X11=1),SUM(VLOOKUP($A11,test!$A$3:$F$32,2,FALSE), VLOOKUP(X$1,test!$A$3:$F$32,2,FALSE)),0)</f>
        <v>275</v>
      </c>
      <c r="Y11">
        <f>IF(AND(SUM(VLOOKUP($A11,test!$A$3:$F$32,2,FALSE),VLOOKUP(Y$1,test!$A$3:$F$32,2,FALSE))&lt;test!$K$16,$A11&lt;&gt;Y$1,feasible_mat!Y11=1),SUM(VLOOKUP($A11,test!$A$3:$F$32,2,FALSE), VLOOKUP(Y$1,test!$A$3:$F$32,2,FALSE)),0)</f>
        <v>0</v>
      </c>
      <c r="Z11">
        <f>IF(AND(SUM(VLOOKUP($A11,test!$A$3:$F$32,2,FALSE),VLOOKUP(Z$1,test!$A$3:$F$32,2,FALSE))&lt;test!$K$16,$A11&lt;&gt;Z$1,feasible_mat!Z11=1),SUM(VLOOKUP($A11,test!$A$3:$F$32,2,FALSE), VLOOKUP(Z$1,test!$A$3:$F$32,2,FALSE)),0)</f>
        <v>280</v>
      </c>
      <c r="AA11">
        <f>IF(AND(SUM(VLOOKUP($A11,test!$A$3:$F$32,2,FALSE),VLOOKUP(AA$1,test!$A$3:$F$32,2,FALSE))&lt;test!$K$16,$A11&lt;&gt;AA$1,feasible_mat!AA11=1),SUM(VLOOKUP($A11,test!$A$3:$F$32,2,FALSE), VLOOKUP(AA$1,test!$A$3:$F$32,2,FALSE)),0)</f>
        <v>280</v>
      </c>
      <c r="AB11">
        <f>IF(AND(SUM(VLOOKUP($A11,test!$A$3:$F$32,2,FALSE),VLOOKUP(AB$1,test!$A$3:$F$32,2,FALSE))&lt;test!$K$16,$A11&lt;&gt;AB$1,feasible_mat!AB11=1),SUM(VLOOKUP($A11,test!$A$3:$F$32,2,FALSE), VLOOKUP(AB$1,test!$A$3:$F$32,2,FALSE)),0)</f>
        <v>280</v>
      </c>
      <c r="AC11">
        <f>IF(AND(SUM(VLOOKUP($A11,test!$A$3:$F$32,2,FALSE),VLOOKUP(AC$1,test!$A$3:$F$32,2,FALSE))&lt;test!$K$16,$A11&lt;&gt;AC$1,feasible_mat!AC11=1),SUM(VLOOKUP($A11,test!$A$3:$F$32,2,FALSE), VLOOKUP(AC$1,test!$A$3:$F$32,2,FALSE)),0)</f>
        <v>280</v>
      </c>
      <c r="AD11">
        <f>IF(AND(SUM(VLOOKUP($A11,test!$A$3:$F$32,2,FALSE),VLOOKUP(AD$1,test!$A$3:$F$32,2,FALSE))&lt;test!$K$16,$A11&lt;&gt;AD$1,feasible_mat!AD11=1),SUM(VLOOKUP($A11,test!$A$3:$F$32,2,FALSE), VLOOKUP(AD$1,test!$A$3:$F$32,2,FALSE)),0)</f>
        <v>0</v>
      </c>
      <c r="AE11">
        <f>IF(AND(SUM(VLOOKUP($A11,test!$A$3:$F$32,2,FALSE),VLOOKUP(AE$1,test!$A$3:$F$32,2,FALSE))&lt;test!$K$16,$A11&lt;&gt;AE$1,feasible_mat!AE11=1),SUM(VLOOKUP($A11,test!$A$3:$F$32,2,FALSE), VLOOKUP(AE$1,test!$A$3:$F$32,2,FALSE)),0)</f>
        <v>0</v>
      </c>
      <c r="AF11">
        <f>IF(AND(SUM(VLOOKUP($A11,test!$A$3:$F$32,2,FALSE),VLOOKUP(AF$1,test!$A$3:$F$32,2,FALSE))&lt;test!$K$16,$A11&lt;&gt;AF$1,feasible_mat!AF11=1),SUM(VLOOKUP($A11,test!$A$3:$F$32,2,FALSE), VLOOKUP(AF$1,test!$A$3:$F$32,2,FALSE)),0)</f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5">
      <c r="A12" t="s">
        <v>20</v>
      </c>
      <c r="B12">
        <v>0</v>
      </c>
      <c r="C12">
        <f>IF(AND(SUM(VLOOKUP($A12,test!$A$3:$F$32,2,FALSE),VLOOKUP(C$1,test!$A$3:$F$32,2,FALSE))&lt;test!$K$16,$A12&lt;&gt;C$1,feasible_mat!C12=1),SUM(VLOOKUP($A12,test!$A$3:$F$32,2,FALSE), VLOOKUP(C$1,test!$A$3:$F$32,2,FALSE)),0)</f>
        <v>0</v>
      </c>
      <c r="D12">
        <f>IF(AND(SUM(VLOOKUP($A12,test!$A$3:$F$32,2,FALSE),VLOOKUP(D$1,test!$A$3:$F$32,2,FALSE))&lt;test!$K$16,$A12&lt;&gt;D$1,feasible_mat!D12=1),SUM(VLOOKUP($A12,test!$A$3:$F$32,2,FALSE), VLOOKUP(D$1,test!$A$3:$F$32,2,FALSE)),0)</f>
        <v>0</v>
      </c>
      <c r="E12">
        <f>IF(AND(SUM(VLOOKUP($A12,test!$A$3:$F$32,2,FALSE),VLOOKUP(E$1,test!$A$3:$F$32,2,FALSE))&lt;test!$K$16,$A12&lt;&gt;E$1,feasible_mat!E12=1),SUM(VLOOKUP($A12,test!$A$3:$F$32,2,FALSE), VLOOKUP(E$1,test!$A$3:$F$32,2,FALSE)),0)</f>
        <v>275</v>
      </c>
      <c r="F12">
        <f>IF(AND(SUM(VLOOKUP($A12,test!$A$3:$F$32,2,FALSE),VLOOKUP(F$1,test!$A$3:$F$32,2,FALSE))&lt;test!$K$16,$A12&lt;&gt;F$1,feasible_mat!F12=1),SUM(VLOOKUP($A12,test!$A$3:$F$32,2,FALSE), VLOOKUP(F$1,test!$A$3:$F$32,2,FALSE)),0)</f>
        <v>275</v>
      </c>
      <c r="G12">
        <f>IF(AND(SUM(VLOOKUP($A12,test!$A$3:$F$32,2,FALSE),VLOOKUP(G$1,test!$A$3:$F$32,2,FALSE))&lt;test!$K$16,$A12&lt;&gt;G$1,feasible_mat!G12=1),SUM(VLOOKUP($A12,test!$A$3:$F$32,2,FALSE), VLOOKUP(G$1,test!$A$3:$F$32,2,FALSE)),0)</f>
        <v>275</v>
      </c>
      <c r="H12">
        <f>IF(AND(SUM(VLOOKUP($A12,test!$A$3:$F$32,2,FALSE),VLOOKUP(H$1,test!$A$3:$F$32,2,FALSE))&lt;test!$K$16,$A12&lt;&gt;H$1,feasible_mat!H12=1),SUM(VLOOKUP($A12,test!$A$3:$F$32,2,FALSE), VLOOKUP(H$1,test!$A$3:$F$32,2,FALSE)),0)</f>
        <v>275</v>
      </c>
      <c r="I12">
        <f>IF(AND(SUM(VLOOKUP($A12,test!$A$3:$F$32,2,FALSE),VLOOKUP(I$1,test!$A$3:$F$32,2,FALSE))&lt;test!$K$16,$A12&lt;&gt;I$1,feasible_mat!I12=1),SUM(VLOOKUP($A12,test!$A$3:$F$32,2,FALSE), VLOOKUP(I$1,test!$A$3:$F$32,2,FALSE)),0)</f>
        <v>275</v>
      </c>
      <c r="J12">
        <f>IF(AND(SUM(VLOOKUP($A12,test!$A$3:$F$32,2,FALSE),VLOOKUP(J$1,test!$A$3:$F$32,2,FALSE))&lt;test!$K$16,$A12&lt;&gt;J$1,feasible_mat!J12=1),SUM(VLOOKUP($A12,test!$A$3:$F$32,2,FALSE), VLOOKUP(J$1,test!$A$3:$F$32,2,FALSE)),0)</f>
        <v>275</v>
      </c>
      <c r="K12">
        <f>IF(AND(SUM(VLOOKUP($A12,test!$A$3:$F$32,2,FALSE),VLOOKUP(K$1,test!$A$3:$F$32,2,FALSE))&lt;test!$K$16,$A12&lt;&gt;K$1,feasible_mat!K12=1),SUM(VLOOKUP($A12,test!$A$3:$F$32,2,FALSE), VLOOKUP(K$1,test!$A$3:$F$32,2,FALSE)),0)</f>
        <v>0</v>
      </c>
      <c r="L12">
        <f>IF(AND(SUM(VLOOKUP($A12,test!$A$3:$F$32,2,FALSE),VLOOKUP(L$1,test!$A$3:$F$32,2,FALSE))&lt;test!$K$16,$A12&lt;&gt;L$1,feasible_mat!L12=1),SUM(VLOOKUP($A12,test!$A$3:$F$32,2,FALSE), VLOOKUP(L$1,test!$A$3:$F$32,2,FALSE)),0)</f>
        <v>0</v>
      </c>
      <c r="M12">
        <f>IF(AND(SUM(VLOOKUP($A12,test!$A$3:$F$32,2,FALSE),VLOOKUP(M$1,test!$A$3:$F$32,2,FALSE))&lt;test!$K$16,$A12&lt;&gt;M$1,feasible_mat!M12=1),SUM(VLOOKUP($A12,test!$A$3:$F$32,2,FALSE), VLOOKUP(M$1,test!$A$3:$F$32,2,FALSE)),0)</f>
        <v>0</v>
      </c>
      <c r="N12">
        <f>IF(AND(SUM(VLOOKUP($A12,test!$A$3:$F$32,2,FALSE),VLOOKUP(N$1,test!$A$3:$F$32,2,FALSE))&lt;test!$K$16,$A12&lt;&gt;N$1,feasible_mat!N12=1),SUM(VLOOKUP($A12,test!$A$3:$F$32,2,FALSE), VLOOKUP(N$1,test!$A$3:$F$32,2,FALSE)),0)</f>
        <v>280</v>
      </c>
      <c r="O12">
        <f>IF(AND(SUM(VLOOKUP($A12,test!$A$3:$F$32,2,FALSE),VLOOKUP(O$1,test!$A$3:$F$32,2,FALSE))&lt;test!$K$16,$A12&lt;&gt;O$1,feasible_mat!O12=1),SUM(VLOOKUP($A12,test!$A$3:$F$32,2,FALSE), VLOOKUP(O$1,test!$A$3:$F$32,2,FALSE)),0)</f>
        <v>280</v>
      </c>
      <c r="P12">
        <f>IF(AND(SUM(VLOOKUP($A12,test!$A$3:$F$32,2,FALSE),VLOOKUP(P$1,test!$A$3:$F$32,2,FALSE))&lt;test!$K$16,$A12&lt;&gt;P$1,feasible_mat!P12=1),SUM(VLOOKUP($A12,test!$A$3:$F$32,2,FALSE), VLOOKUP(P$1,test!$A$3:$F$32,2,FALSE)),0)</f>
        <v>0</v>
      </c>
      <c r="Q12">
        <f>IF(AND(SUM(VLOOKUP($A12,test!$A$3:$F$32,2,FALSE),VLOOKUP(Q$1,test!$A$3:$F$32,2,FALSE))&lt;test!$K$16,$A12&lt;&gt;Q$1,feasible_mat!Q12=1),SUM(VLOOKUP($A12,test!$A$3:$F$32,2,FALSE), VLOOKUP(Q$1,test!$A$3:$F$32,2,FALSE)),0)</f>
        <v>0</v>
      </c>
      <c r="R12">
        <f>IF(AND(SUM(VLOOKUP($A12,test!$A$3:$F$32,2,FALSE),VLOOKUP(R$1,test!$A$3:$F$32,2,FALSE))&lt;test!$K$16,$A12&lt;&gt;R$1,feasible_mat!R12=1),SUM(VLOOKUP($A12,test!$A$3:$F$32,2,FALSE), VLOOKUP(R$1,test!$A$3:$F$32,2,FALSE)),0)</f>
        <v>0</v>
      </c>
      <c r="S12">
        <f>IF(AND(SUM(VLOOKUP($A12,test!$A$3:$F$32,2,FALSE),VLOOKUP(S$1,test!$A$3:$F$32,2,FALSE))&lt;test!$K$16,$A12&lt;&gt;S$1,feasible_mat!S12=1),SUM(VLOOKUP($A12,test!$A$3:$F$32,2,FALSE), VLOOKUP(S$1,test!$A$3:$F$32,2,FALSE)),0)</f>
        <v>0</v>
      </c>
      <c r="T12">
        <f>IF(AND(SUM(VLOOKUP($A12,test!$A$3:$F$32,2,FALSE),VLOOKUP(T$1,test!$A$3:$F$32,2,FALSE))&lt;test!$K$16,$A12&lt;&gt;T$1,feasible_mat!T12=1),SUM(VLOOKUP($A12,test!$A$3:$F$32,2,FALSE), VLOOKUP(T$1,test!$A$3:$F$32,2,FALSE)),0)</f>
        <v>0</v>
      </c>
      <c r="U12">
        <f>IF(AND(SUM(VLOOKUP($A12,test!$A$3:$F$32,2,FALSE),VLOOKUP(U$1,test!$A$3:$F$32,2,FALSE))&lt;test!$K$16,$A12&lt;&gt;U$1,feasible_mat!U12=1),SUM(VLOOKUP($A12,test!$A$3:$F$32,2,FALSE), VLOOKUP(U$1,test!$A$3:$F$32,2,FALSE)),0)</f>
        <v>275</v>
      </c>
      <c r="V12">
        <f>IF(AND(SUM(VLOOKUP($A12,test!$A$3:$F$32,2,FALSE),VLOOKUP(V$1,test!$A$3:$F$32,2,FALSE))&lt;test!$K$16,$A12&lt;&gt;V$1,feasible_mat!V12=1),SUM(VLOOKUP($A12,test!$A$3:$F$32,2,FALSE), VLOOKUP(V$1,test!$A$3:$F$32,2,FALSE)),0)</f>
        <v>275</v>
      </c>
      <c r="W12">
        <f>IF(AND(SUM(VLOOKUP($A12,test!$A$3:$F$32,2,FALSE),VLOOKUP(W$1,test!$A$3:$F$32,2,FALSE))&lt;test!$K$16,$A12&lt;&gt;W$1,feasible_mat!W12=1),SUM(VLOOKUP($A12,test!$A$3:$F$32,2,FALSE), VLOOKUP(W$1,test!$A$3:$F$32,2,FALSE)),0)</f>
        <v>275</v>
      </c>
      <c r="X12">
        <f>IF(AND(SUM(VLOOKUP($A12,test!$A$3:$F$32,2,FALSE),VLOOKUP(X$1,test!$A$3:$F$32,2,FALSE))&lt;test!$K$16,$A12&lt;&gt;X$1,feasible_mat!X12=1),SUM(VLOOKUP($A12,test!$A$3:$F$32,2,FALSE), VLOOKUP(X$1,test!$A$3:$F$32,2,FALSE)),0)</f>
        <v>275</v>
      </c>
      <c r="Y12">
        <f>IF(AND(SUM(VLOOKUP($A12,test!$A$3:$F$32,2,FALSE),VLOOKUP(Y$1,test!$A$3:$F$32,2,FALSE))&lt;test!$K$16,$A12&lt;&gt;Y$1,feasible_mat!Y12=1),SUM(VLOOKUP($A12,test!$A$3:$F$32,2,FALSE), VLOOKUP(Y$1,test!$A$3:$F$32,2,FALSE)),0)</f>
        <v>0</v>
      </c>
      <c r="Z12">
        <f>IF(AND(SUM(VLOOKUP($A12,test!$A$3:$F$32,2,FALSE),VLOOKUP(Z$1,test!$A$3:$F$32,2,FALSE))&lt;test!$K$16,$A12&lt;&gt;Z$1,feasible_mat!Z12=1),SUM(VLOOKUP($A12,test!$A$3:$F$32,2,FALSE), VLOOKUP(Z$1,test!$A$3:$F$32,2,FALSE)),0)</f>
        <v>0</v>
      </c>
      <c r="AA12">
        <f>IF(AND(SUM(VLOOKUP($A12,test!$A$3:$F$32,2,FALSE),VLOOKUP(AA$1,test!$A$3:$F$32,2,FALSE))&lt;test!$K$16,$A12&lt;&gt;AA$1,feasible_mat!AA12=1),SUM(VLOOKUP($A12,test!$A$3:$F$32,2,FALSE), VLOOKUP(AA$1,test!$A$3:$F$32,2,FALSE)),0)</f>
        <v>280</v>
      </c>
      <c r="AB12">
        <f>IF(AND(SUM(VLOOKUP($A12,test!$A$3:$F$32,2,FALSE),VLOOKUP(AB$1,test!$A$3:$F$32,2,FALSE))&lt;test!$K$16,$A12&lt;&gt;AB$1,feasible_mat!AB12=1),SUM(VLOOKUP($A12,test!$A$3:$F$32,2,FALSE), VLOOKUP(AB$1,test!$A$3:$F$32,2,FALSE)),0)</f>
        <v>280</v>
      </c>
      <c r="AC12">
        <f>IF(AND(SUM(VLOOKUP($A12,test!$A$3:$F$32,2,FALSE),VLOOKUP(AC$1,test!$A$3:$F$32,2,FALSE))&lt;test!$K$16,$A12&lt;&gt;AC$1,feasible_mat!AC12=1),SUM(VLOOKUP($A12,test!$A$3:$F$32,2,FALSE), VLOOKUP(AC$1,test!$A$3:$F$32,2,FALSE)),0)</f>
        <v>280</v>
      </c>
      <c r="AD12">
        <f>IF(AND(SUM(VLOOKUP($A12,test!$A$3:$F$32,2,FALSE),VLOOKUP(AD$1,test!$A$3:$F$32,2,FALSE))&lt;test!$K$16,$A12&lt;&gt;AD$1,feasible_mat!AD12=1),SUM(VLOOKUP($A12,test!$A$3:$F$32,2,FALSE), VLOOKUP(AD$1,test!$A$3:$F$32,2,FALSE)),0)</f>
        <v>0</v>
      </c>
      <c r="AE12">
        <f>IF(AND(SUM(VLOOKUP($A12,test!$A$3:$F$32,2,FALSE),VLOOKUP(AE$1,test!$A$3:$F$32,2,FALSE))&lt;test!$K$16,$A12&lt;&gt;AE$1,feasible_mat!AE12=1),SUM(VLOOKUP($A12,test!$A$3:$F$32,2,FALSE), VLOOKUP(AE$1,test!$A$3:$F$32,2,FALSE)),0)</f>
        <v>0</v>
      </c>
      <c r="AF12">
        <f>IF(AND(SUM(VLOOKUP($A12,test!$A$3:$F$32,2,FALSE),VLOOKUP(AF$1,test!$A$3:$F$32,2,FALSE))&lt;test!$K$16,$A12&lt;&gt;AF$1,feasible_mat!AF12=1),SUM(VLOOKUP($A12,test!$A$3:$F$32,2,FALSE), VLOOKUP(AF$1,test!$A$3:$F$32,2,FALSE)),0)</f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5">
      <c r="A13" t="s">
        <v>21</v>
      </c>
      <c r="B13">
        <v>0</v>
      </c>
      <c r="C13">
        <f>IF(AND(SUM(VLOOKUP($A13,test!$A$3:$F$32,2,FALSE),VLOOKUP(C$1,test!$A$3:$F$32,2,FALSE))&lt;test!$K$16,$A13&lt;&gt;C$1,feasible_mat!C13=1),SUM(VLOOKUP($A13,test!$A$3:$F$32,2,FALSE), VLOOKUP(C$1,test!$A$3:$F$32,2,FALSE)),0)</f>
        <v>0</v>
      </c>
      <c r="D13">
        <f>IF(AND(SUM(VLOOKUP($A13,test!$A$3:$F$32,2,FALSE),VLOOKUP(D$1,test!$A$3:$F$32,2,FALSE))&lt;test!$K$16,$A13&lt;&gt;D$1,feasible_mat!D13=1),SUM(VLOOKUP($A13,test!$A$3:$F$32,2,FALSE), VLOOKUP(D$1,test!$A$3:$F$32,2,FALSE)),0)</f>
        <v>0</v>
      </c>
      <c r="E13">
        <f>IF(AND(SUM(VLOOKUP($A13,test!$A$3:$F$32,2,FALSE),VLOOKUP(E$1,test!$A$3:$F$32,2,FALSE))&lt;test!$K$16,$A13&lt;&gt;E$1,feasible_mat!E13=1),SUM(VLOOKUP($A13,test!$A$3:$F$32,2,FALSE), VLOOKUP(E$1,test!$A$3:$F$32,2,FALSE)),0)</f>
        <v>0</v>
      </c>
      <c r="F13">
        <f>IF(AND(SUM(VLOOKUP($A13,test!$A$3:$F$32,2,FALSE),VLOOKUP(F$1,test!$A$3:$F$32,2,FALSE))&lt;test!$K$16,$A13&lt;&gt;F$1,feasible_mat!F13=1),SUM(VLOOKUP($A13,test!$A$3:$F$32,2,FALSE), VLOOKUP(F$1,test!$A$3:$F$32,2,FALSE)),0)</f>
        <v>0</v>
      </c>
      <c r="G13">
        <f>IF(AND(SUM(VLOOKUP($A13,test!$A$3:$F$32,2,FALSE),VLOOKUP(G$1,test!$A$3:$F$32,2,FALSE))&lt;test!$K$16,$A13&lt;&gt;G$1,feasible_mat!G13=1),SUM(VLOOKUP($A13,test!$A$3:$F$32,2,FALSE), VLOOKUP(G$1,test!$A$3:$F$32,2,FALSE)),0)</f>
        <v>275</v>
      </c>
      <c r="H13">
        <f>IF(AND(SUM(VLOOKUP($A13,test!$A$3:$F$32,2,FALSE),VLOOKUP(H$1,test!$A$3:$F$32,2,FALSE))&lt;test!$K$16,$A13&lt;&gt;H$1,feasible_mat!H13=1),SUM(VLOOKUP($A13,test!$A$3:$F$32,2,FALSE), VLOOKUP(H$1,test!$A$3:$F$32,2,FALSE)),0)</f>
        <v>275</v>
      </c>
      <c r="I13">
        <f>IF(AND(SUM(VLOOKUP($A13,test!$A$3:$F$32,2,FALSE),VLOOKUP(I$1,test!$A$3:$F$32,2,FALSE))&lt;test!$K$16,$A13&lt;&gt;I$1,feasible_mat!I13=1),SUM(VLOOKUP($A13,test!$A$3:$F$32,2,FALSE), VLOOKUP(I$1,test!$A$3:$F$32,2,FALSE)),0)</f>
        <v>275</v>
      </c>
      <c r="J13">
        <f>IF(AND(SUM(VLOOKUP($A13,test!$A$3:$F$32,2,FALSE),VLOOKUP(J$1,test!$A$3:$F$32,2,FALSE))&lt;test!$K$16,$A13&lt;&gt;J$1,feasible_mat!J13=1),SUM(VLOOKUP($A13,test!$A$3:$F$32,2,FALSE), VLOOKUP(J$1,test!$A$3:$F$32,2,FALSE)),0)</f>
        <v>275</v>
      </c>
      <c r="K13">
        <f>IF(AND(SUM(VLOOKUP($A13,test!$A$3:$F$32,2,FALSE),VLOOKUP(K$1,test!$A$3:$F$32,2,FALSE))&lt;test!$K$16,$A13&lt;&gt;K$1,feasible_mat!K13=1),SUM(VLOOKUP($A13,test!$A$3:$F$32,2,FALSE), VLOOKUP(K$1,test!$A$3:$F$32,2,FALSE)),0)</f>
        <v>0</v>
      </c>
      <c r="L13">
        <f>IF(AND(SUM(VLOOKUP($A13,test!$A$3:$F$32,2,FALSE),VLOOKUP(L$1,test!$A$3:$F$32,2,FALSE))&lt;test!$K$16,$A13&lt;&gt;L$1,feasible_mat!L13=1),SUM(VLOOKUP($A13,test!$A$3:$F$32,2,FALSE), VLOOKUP(L$1,test!$A$3:$F$32,2,FALSE)),0)</f>
        <v>0</v>
      </c>
      <c r="M13">
        <f>IF(AND(SUM(VLOOKUP($A13,test!$A$3:$F$32,2,FALSE),VLOOKUP(M$1,test!$A$3:$F$32,2,FALSE))&lt;test!$K$16,$A13&lt;&gt;M$1,feasible_mat!M13=1),SUM(VLOOKUP($A13,test!$A$3:$F$32,2,FALSE), VLOOKUP(M$1,test!$A$3:$F$32,2,FALSE)),0)</f>
        <v>0</v>
      </c>
      <c r="N13">
        <f>IF(AND(SUM(VLOOKUP($A13,test!$A$3:$F$32,2,FALSE),VLOOKUP(N$1,test!$A$3:$F$32,2,FALSE))&lt;test!$K$16,$A13&lt;&gt;N$1,feasible_mat!N13=1),SUM(VLOOKUP($A13,test!$A$3:$F$32,2,FALSE), VLOOKUP(N$1,test!$A$3:$F$32,2,FALSE)),0)</f>
        <v>280</v>
      </c>
      <c r="O13">
        <f>IF(AND(SUM(VLOOKUP($A13,test!$A$3:$F$32,2,FALSE),VLOOKUP(O$1,test!$A$3:$F$32,2,FALSE))&lt;test!$K$16,$A13&lt;&gt;O$1,feasible_mat!O13=1),SUM(VLOOKUP($A13,test!$A$3:$F$32,2,FALSE), VLOOKUP(O$1,test!$A$3:$F$32,2,FALSE)),0)</f>
        <v>280</v>
      </c>
      <c r="P13">
        <f>IF(AND(SUM(VLOOKUP($A13,test!$A$3:$F$32,2,FALSE),VLOOKUP(P$1,test!$A$3:$F$32,2,FALSE))&lt;test!$K$16,$A13&lt;&gt;P$1,feasible_mat!P13=1),SUM(VLOOKUP($A13,test!$A$3:$F$32,2,FALSE), VLOOKUP(P$1,test!$A$3:$F$32,2,FALSE)),0)</f>
        <v>0</v>
      </c>
      <c r="Q13">
        <f>IF(AND(SUM(VLOOKUP($A13,test!$A$3:$F$32,2,FALSE),VLOOKUP(Q$1,test!$A$3:$F$32,2,FALSE))&lt;test!$K$16,$A13&lt;&gt;Q$1,feasible_mat!Q13=1),SUM(VLOOKUP($A13,test!$A$3:$F$32,2,FALSE), VLOOKUP(Q$1,test!$A$3:$F$32,2,FALSE)),0)</f>
        <v>0</v>
      </c>
      <c r="R13">
        <f>IF(AND(SUM(VLOOKUP($A13,test!$A$3:$F$32,2,FALSE),VLOOKUP(R$1,test!$A$3:$F$32,2,FALSE))&lt;test!$K$16,$A13&lt;&gt;R$1,feasible_mat!R13=1),SUM(VLOOKUP($A13,test!$A$3:$F$32,2,FALSE), VLOOKUP(R$1,test!$A$3:$F$32,2,FALSE)),0)</f>
        <v>0</v>
      </c>
      <c r="S13">
        <f>IF(AND(SUM(VLOOKUP($A13,test!$A$3:$F$32,2,FALSE),VLOOKUP(S$1,test!$A$3:$F$32,2,FALSE))&lt;test!$K$16,$A13&lt;&gt;S$1,feasible_mat!S13=1),SUM(VLOOKUP($A13,test!$A$3:$F$32,2,FALSE), VLOOKUP(S$1,test!$A$3:$F$32,2,FALSE)),0)</f>
        <v>0</v>
      </c>
      <c r="T13">
        <f>IF(AND(SUM(VLOOKUP($A13,test!$A$3:$F$32,2,FALSE),VLOOKUP(T$1,test!$A$3:$F$32,2,FALSE))&lt;test!$K$16,$A13&lt;&gt;T$1,feasible_mat!T13=1),SUM(VLOOKUP($A13,test!$A$3:$F$32,2,FALSE), VLOOKUP(T$1,test!$A$3:$F$32,2,FALSE)),0)</f>
        <v>0</v>
      </c>
      <c r="U13">
        <f>IF(AND(SUM(VLOOKUP($A13,test!$A$3:$F$32,2,FALSE),VLOOKUP(U$1,test!$A$3:$F$32,2,FALSE))&lt;test!$K$16,$A13&lt;&gt;U$1,feasible_mat!U13=1),SUM(VLOOKUP($A13,test!$A$3:$F$32,2,FALSE), VLOOKUP(U$1,test!$A$3:$F$32,2,FALSE)),0)</f>
        <v>0</v>
      </c>
      <c r="V13">
        <f>IF(AND(SUM(VLOOKUP($A13,test!$A$3:$F$32,2,FALSE),VLOOKUP(V$1,test!$A$3:$F$32,2,FALSE))&lt;test!$K$16,$A13&lt;&gt;V$1,feasible_mat!V13=1),SUM(VLOOKUP($A13,test!$A$3:$F$32,2,FALSE), VLOOKUP(V$1,test!$A$3:$F$32,2,FALSE)),0)</f>
        <v>275</v>
      </c>
      <c r="W13">
        <f>IF(AND(SUM(VLOOKUP($A13,test!$A$3:$F$32,2,FALSE),VLOOKUP(W$1,test!$A$3:$F$32,2,FALSE))&lt;test!$K$16,$A13&lt;&gt;W$1,feasible_mat!W13=1),SUM(VLOOKUP($A13,test!$A$3:$F$32,2,FALSE), VLOOKUP(W$1,test!$A$3:$F$32,2,FALSE)),0)</f>
        <v>275</v>
      </c>
      <c r="X13">
        <f>IF(AND(SUM(VLOOKUP($A13,test!$A$3:$F$32,2,FALSE),VLOOKUP(X$1,test!$A$3:$F$32,2,FALSE))&lt;test!$K$16,$A13&lt;&gt;X$1,feasible_mat!X13=1),SUM(VLOOKUP($A13,test!$A$3:$F$32,2,FALSE), VLOOKUP(X$1,test!$A$3:$F$32,2,FALSE)),0)</f>
        <v>275</v>
      </c>
      <c r="Y13">
        <f>IF(AND(SUM(VLOOKUP($A13,test!$A$3:$F$32,2,FALSE),VLOOKUP(Y$1,test!$A$3:$F$32,2,FALSE))&lt;test!$K$16,$A13&lt;&gt;Y$1,feasible_mat!Y13=1),SUM(VLOOKUP($A13,test!$A$3:$F$32,2,FALSE), VLOOKUP(Y$1,test!$A$3:$F$32,2,FALSE)),0)</f>
        <v>0</v>
      </c>
      <c r="Z13">
        <f>IF(AND(SUM(VLOOKUP($A13,test!$A$3:$F$32,2,FALSE),VLOOKUP(Z$1,test!$A$3:$F$32,2,FALSE))&lt;test!$K$16,$A13&lt;&gt;Z$1,feasible_mat!Z13=1),SUM(VLOOKUP($A13,test!$A$3:$F$32,2,FALSE), VLOOKUP(Z$1,test!$A$3:$F$32,2,FALSE)),0)</f>
        <v>0</v>
      </c>
      <c r="AA13">
        <f>IF(AND(SUM(VLOOKUP($A13,test!$A$3:$F$32,2,FALSE),VLOOKUP(AA$1,test!$A$3:$F$32,2,FALSE))&lt;test!$K$16,$A13&lt;&gt;AA$1,feasible_mat!AA13=1),SUM(VLOOKUP($A13,test!$A$3:$F$32,2,FALSE), VLOOKUP(AA$1,test!$A$3:$F$32,2,FALSE)),0)</f>
        <v>0</v>
      </c>
      <c r="AB13">
        <f>IF(AND(SUM(VLOOKUP($A13,test!$A$3:$F$32,2,FALSE),VLOOKUP(AB$1,test!$A$3:$F$32,2,FALSE))&lt;test!$K$16,$A13&lt;&gt;AB$1,feasible_mat!AB13=1),SUM(VLOOKUP($A13,test!$A$3:$F$32,2,FALSE), VLOOKUP(AB$1,test!$A$3:$F$32,2,FALSE)),0)</f>
        <v>0</v>
      </c>
      <c r="AC13">
        <f>IF(AND(SUM(VLOOKUP($A13,test!$A$3:$F$32,2,FALSE),VLOOKUP(AC$1,test!$A$3:$F$32,2,FALSE))&lt;test!$K$16,$A13&lt;&gt;AC$1,feasible_mat!AC13=1),SUM(VLOOKUP($A13,test!$A$3:$F$32,2,FALSE), VLOOKUP(AC$1,test!$A$3:$F$32,2,FALSE)),0)</f>
        <v>280</v>
      </c>
      <c r="AD13">
        <f>IF(AND(SUM(VLOOKUP($A13,test!$A$3:$F$32,2,FALSE),VLOOKUP(AD$1,test!$A$3:$F$32,2,FALSE))&lt;test!$K$16,$A13&lt;&gt;AD$1,feasible_mat!AD13=1),SUM(VLOOKUP($A13,test!$A$3:$F$32,2,FALSE), VLOOKUP(AD$1,test!$A$3:$F$32,2,FALSE)),0)</f>
        <v>0</v>
      </c>
      <c r="AE13">
        <f>IF(AND(SUM(VLOOKUP($A13,test!$A$3:$F$32,2,FALSE),VLOOKUP(AE$1,test!$A$3:$F$32,2,FALSE))&lt;test!$K$16,$A13&lt;&gt;AE$1,feasible_mat!AE13=1),SUM(VLOOKUP($A13,test!$A$3:$F$32,2,FALSE), VLOOKUP(AE$1,test!$A$3:$F$32,2,FALSE)),0)</f>
        <v>0</v>
      </c>
      <c r="AF13">
        <f>IF(AND(SUM(VLOOKUP($A13,test!$A$3:$F$32,2,FALSE),VLOOKUP(AF$1,test!$A$3:$F$32,2,FALSE))&lt;test!$K$16,$A13&lt;&gt;AF$1,feasible_mat!AF13=1),SUM(VLOOKUP($A13,test!$A$3:$F$32,2,FALSE), VLOOKUP(AF$1,test!$A$3:$F$32,2,FALSE)),0)</f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5">
      <c r="A14" t="s">
        <v>22</v>
      </c>
      <c r="B14">
        <v>0</v>
      </c>
      <c r="C14">
        <f>IF(AND(SUM(VLOOKUP($A14,test!$A$3:$F$32,2,FALSE),VLOOKUP(C$1,test!$A$3:$F$32,2,FALSE))&lt;test!$K$16,$A14&lt;&gt;C$1,feasible_mat!C14=1),SUM(VLOOKUP($A14,test!$A$3:$F$32,2,FALSE), VLOOKUP(C$1,test!$A$3:$F$32,2,FALSE)),0)</f>
        <v>0</v>
      </c>
      <c r="D14">
        <f>IF(AND(SUM(VLOOKUP($A14,test!$A$3:$F$32,2,FALSE),VLOOKUP(D$1,test!$A$3:$F$32,2,FALSE))&lt;test!$K$16,$A14&lt;&gt;D$1,feasible_mat!D14=1),SUM(VLOOKUP($A14,test!$A$3:$F$32,2,FALSE), VLOOKUP(D$1,test!$A$3:$F$32,2,FALSE)),0)</f>
        <v>0</v>
      </c>
      <c r="E14">
        <f>IF(AND(SUM(VLOOKUP($A14,test!$A$3:$F$32,2,FALSE),VLOOKUP(E$1,test!$A$3:$F$32,2,FALSE))&lt;test!$K$16,$A14&lt;&gt;E$1,feasible_mat!E14=1),SUM(VLOOKUP($A14,test!$A$3:$F$32,2,FALSE), VLOOKUP(E$1,test!$A$3:$F$32,2,FALSE)),0)</f>
        <v>0</v>
      </c>
      <c r="F14">
        <f>IF(AND(SUM(VLOOKUP($A14,test!$A$3:$F$32,2,FALSE),VLOOKUP(F$1,test!$A$3:$F$32,2,FALSE))&lt;test!$K$16,$A14&lt;&gt;F$1,feasible_mat!F14=1),SUM(VLOOKUP($A14,test!$A$3:$F$32,2,FALSE), VLOOKUP(F$1,test!$A$3:$F$32,2,FALSE)),0)</f>
        <v>0</v>
      </c>
      <c r="G14">
        <f>IF(AND(SUM(VLOOKUP($A14,test!$A$3:$F$32,2,FALSE),VLOOKUP(G$1,test!$A$3:$F$32,2,FALSE))&lt;test!$K$16,$A14&lt;&gt;G$1,feasible_mat!G14=1),SUM(VLOOKUP($A14,test!$A$3:$F$32,2,FALSE), VLOOKUP(G$1,test!$A$3:$F$32,2,FALSE)),0)</f>
        <v>0</v>
      </c>
      <c r="H14">
        <f>IF(AND(SUM(VLOOKUP($A14,test!$A$3:$F$32,2,FALSE),VLOOKUP(H$1,test!$A$3:$F$32,2,FALSE))&lt;test!$K$16,$A14&lt;&gt;H$1,feasible_mat!H14=1),SUM(VLOOKUP($A14,test!$A$3:$F$32,2,FALSE), VLOOKUP(H$1,test!$A$3:$F$32,2,FALSE)),0)</f>
        <v>0</v>
      </c>
      <c r="I14">
        <f>IF(AND(SUM(VLOOKUP($A14,test!$A$3:$F$32,2,FALSE),VLOOKUP(I$1,test!$A$3:$F$32,2,FALSE))&lt;test!$K$16,$A14&lt;&gt;I$1,feasible_mat!I14=1),SUM(VLOOKUP($A14,test!$A$3:$F$32,2,FALSE), VLOOKUP(I$1,test!$A$3:$F$32,2,FALSE)),0)</f>
        <v>0</v>
      </c>
      <c r="J14">
        <f>IF(AND(SUM(VLOOKUP($A14,test!$A$3:$F$32,2,FALSE),VLOOKUP(J$1,test!$A$3:$F$32,2,FALSE))&lt;test!$K$16,$A14&lt;&gt;J$1,feasible_mat!J14=1),SUM(VLOOKUP($A14,test!$A$3:$F$32,2,FALSE), VLOOKUP(J$1,test!$A$3:$F$32,2,FALSE)),0)</f>
        <v>0</v>
      </c>
      <c r="K14">
        <f>IF(AND(SUM(VLOOKUP($A14,test!$A$3:$F$32,2,FALSE),VLOOKUP(K$1,test!$A$3:$F$32,2,FALSE))&lt;test!$K$16,$A14&lt;&gt;K$1,feasible_mat!K14=1),SUM(VLOOKUP($A14,test!$A$3:$F$32,2,FALSE), VLOOKUP(K$1,test!$A$3:$F$32,2,FALSE)),0)</f>
        <v>0</v>
      </c>
      <c r="L14">
        <f>IF(AND(SUM(VLOOKUP($A14,test!$A$3:$F$32,2,FALSE),VLOOKUP(L$1,test!$A$3:$F$32,2,FALSE))&lt;test!$K$16,$A14&lt;&gt;L$1,feasible_mat!L14=1),SUM(VLOOKUP($A14,test!$A$3:$F$32,2,FALSE), VLOOKUP(L$1,test!$A$3:$F$32,2,FALSE)),0)</f>
        <v>0</v>
      </c>
      <c r="M14">
        <f>IF(AND(SUM(VLOOKUP($A14,test!$A$3:$F$32,2,FALSE),VLOOKUP(M$1,test!$A$3:$F$32,2,FALSE))&lt;test!$K$16,$A14&lt;&gt;M$1,feasible_mat!M14=1),SUM(VLOOKUP($A14,test!$A$3:$F$32,2,FALSE), VLOOKUP(M$1,test!$A$3:$F$32,2,FALSE)),0)</f>
        <v>0</v>
      </c>
      <c r="N14">
        <f>IF(AND(SUM(VLOOKUP($A14,test!$A$3:$F$32,2,FALSE),VLOOKUP(N$1,test!$A$3:$F$32,2,FALSE))&lt;test!$K$16,$A14&lt;&gt;N$1,feasible_mat!N14=1),SUM(VLOOKUP($A14,test!$A$3:$F$32,2,FALSE), VLOOKUP(N$1,test!$A$3:$F$32,2,FALSE)),0)</f>
        <v>0</v>
      </c>
      <c r="O14">
        <f>IF(AND(SUM(VLOOKUP($A14,test!$A$3:$F$32,2,FALSE),VLOOKUP(O$1,test!$A$3:$F$32,2,FALSE))&lt;test!$K$16,$A14&lt;&gt;O$1,feasible_mat!O14=1),SUM(VLOOKUP($A14,test!$A$3:$F$32,2,FALSE), VLOOKUP(O$1,test!$A$3:$F$32,2,FALSE)),0)</f>
        <v>0</v>
      </c>
      <c r="P14">
        <f>IF(AND(SUM(VLOOKUP($A14,test!$A$3:$F$32,2,FALSE),VLOOKUP(P$1,test!$A$3:$F$32,2,FALSE))&lt;test!$K$16,$A14&lt;&gt;P$1,feasible_mat!P14=1),SUM(VLOOKUP($A14,test!$A$3:$F$32,2,FALSE), VLOOKUP(P$1,test!$A$3:$F$32,2,FALSE)),0)</f>
        <v>0</v>
      </c>
      <c r="Q14">
        <f>IF(AND(SUM(VLOOKUP($A14,test!$A$3:$F$32,2,FALSE),VLOOKUP(Q$1,test!$A$3:$F$32,2,FALSE))&lt;test!$K$16,$A14&lt;&gt;Q$1,feasible_mat!Q14=1),SUM(VLOOKUP($A14,test!$A$3:$F$32,2,FALSE), VLOOKUP(Q$1,test!$A$3:$F$32,2,FALSE)),0)</f>
        <v>0</v>
      </c>
      <c r="R14">
        <f>IF(AND(SUM(VLOOKUP($A14,test!$A$3:$F$32,2,FALSE),VLOOKUP(R$1,test!$A$3:$F$32,2,FALSE))&lt;test!$K$16,$A14&lt;&gt;R$1,feasible_mat!R14=1),SUM(VLOOKUP($A14,test!$A$3:$F$32,2,FALSE), VLOOKUP(R$1,test!$A$3:$F$32,2,FALSE)),0)</f>
        <v>0</v>
      </c>
      <c r="S14">
        <f>IF(AND(SUM(VLOOKUP($A14,test!$A$3:$F$32,2,FALSE),VLOOKUP(S$1,test!$A$3:$F$32,2,FALSE))&lt;test!$K$16,$A14&lt;&gt;S$1,feasible_mat!S14=1),SUM(VLOOKUP($A14,test!$A$3:$F$32,2,FALSE), VLOOKUP(S$1,test!$A$3:$F$32,2,FALSE)),0)</f>
        <v>0</v>
      </c>
      <c r="T14">
        <f>IF(AND(SUM(VLOOKUP($A14,test!$A$3:$F$32,2,FALSE),VLOOKUP(T$1,test!$A$3:$F$32,2,FALSE))&lt;test!$K$16,$A14&lt;&gt;T$1,feasible_mat!T14=1),SUM(VLOOKUP($A14,test!$A$3:$F$32,2,FALSE), VLOOKUP(T$1,test!$A$3:$F$32,2,FALSE)),0)</f>
        <v>0</v>
      </c>
      <c r="U14">
        <f>IF(AND(SUM(VLOOKUP($A14,test!$A$3:$F$32,2,FALSE),VLOOKUP(U$1,test!$A$3:$F$32,2,FALSE))&lt;test!$K$16,$A14&lt;&gt;U$1,feasible_mat!U14=1),SUM(VLOOKUP($A14,test!$A$3:$F$32,2,FALSE), VLOOKUP(U$1,test!$A$3:$F$32,2,FALSE)),0)</f>
        <v>0</v>
      </c>
      <c r="V14">
        <f>IF(AND(SUM(VLOOKUP($A14,test!$A$3:$F$32,2,FALSE),VLOOKUP(V$1,test!$A$3:$F$32,2,FALSE))&lt;test!$K$16,$A14&lt;&gt;V$1,feasible_mat!V14=1),SUM(VLOOKUP($A14,test!$A$3:$F$32,2,FALSE), VLOOKUP(V$1,test!$A$3:$F$32,2,FALSE)),0)</f>
        <v>0</v>
      </c>
      <c r="W14">
        <f>IF(AND(SUM(VLOOKUP($A14,test!$A$3:$F$32,2,FALSE),VLOOKUP(W$1,test!$A$3:$F$32,2,FALSE))&lt;test!$K$16,$A14&lt;&gt;W$1,feasible_mat!W14=1),SUM(VLOOKUP($A14,test!$A$3:$F$32,2,FALSE), VLOOKUP(W$1,test!$A$3:$F$32,2,FALSE)),0)</f>
        <v>0</v>
      </c>
      <c r="X14">
        <f>IF(AND(SUM(VLOOKUP($A14,test!$A$3:$F$32,2,FALSE),VLOOKUP(X$1,test!$A$3:$F$32,2,FALSE))&lt;test!$K$16,$A14&lt;&gt;X$1,feasible_mat!X14=1),SUM(VLOOKUP($A14,test!$A$3:$F$32,2,FALSE), VLOOKUP(X$1,test!$A$3:$F$32,2,FALSE)),0)</f>
        <v>0</v>
      </c>
      <c r="Y14">
        <f>IF(AND(SUM(VLOOKUP($A14,test!$A$3:$F$32,2,FALSE),VLOOKUP(Y$1,test!$A$3:$F$32,2,FALSE))&lt;test!$K$16,$A14&lt;&gt;Y$1,feasible_mat!Y14=1),SUM(VLOOKUP($A14,test!$A$3:$F$32,2,FALSE), VLOOKUP(Y$1,test!$A$3:$F$32,2,FALSE)),0)</f>
        <v>0</v>
      </c>
      <c r="Z14">
        <f>IF(AND(SUM(VLOOKUP($A14,test!$A$3:$F$32,2,FALSE),VLOOKUP(Z$1,test!$A$3:$F$32,2,FALSE))&lt;test!$K$16,$A14&lt;&gt;Z$1,feasible_mat!Z14=1),SUM(VLOOKUP($A14,test!$A$3:$F$32,2,FALSE), VLOOKUP(Z$1,test!$A$3:$F$32,2,FALSE)),0)</f>
        <v>0</v>
      </c>
      <c r="AA14">
        <f>IF(AND(SUM(VLOOKUP($A14,test!$A$3:$F$32,2,FALSE),VLOOKUP(AA$1,test!$A$3:$F$32,2,FALSE))&lt;test!$K$16,$A14&lt;&gt;AA$1,feasible_mat!AA14=1),SUM(VLOOKUP($A14,test!$A$3:$F$32,2,FALSE), VLOOKUP(AA$1,test!$A$3:$F$32,2,FALSE)),0)</f>
        <v>0</v>
      </c>
      <c r="AB14">
        <f>IF(AND(SUM(VLOOKUP($A14,test!$A$3:$F$32,2,FALSE),VLOOKUP(AB$1,test!$A$3:$F$32,2,FALSE))&lt;test!$K$16,$A14&lt;&gt;AB$1,feasible_mat!AB14=1),SUM(VLOOKUP($A14,test!$A$3:$F$32,2,FALSE), VLOOKUP(AB$1,test!$A$3:$F$32,2,FALSE)),0)</f>
        <v>0</v>
      </c>
      <c r="AC14">
        <f>IF(AND(SUM(VLOOKUP($A14,test!$A$3:$F$32,2,FALSE),VLOOKUP(AC$1,test!$A$3:$F$32,2,FALSE))&lt;test!$K$16,$A14&lt;&gt;AC$1,feasible_mat!AC14=1),SUM(VLOOKUP($A14,test!$A$3:$F$32,2,FALSE), VLOOKUP(AC$1,test!$A$3:$F$32,2,FALSE)),0)</f>
        <v>0</v>
      </c>
      <c r="AD14">
        <f>IF(AND(SUM(VLOOKUP($A14,test!$A$3:$F$32,2,FALSE),VLOOKUP(AD$1,test!$A$3:$F$32,2,FALSE))&lt;test!$K$16,$A14&lt;&gt;AD$1,feasible_mat!AD14=1),SUM(VLOOKUP($A14,test!$A$3:$F$32,2,FALSE), VLOOKUP(AD$1,test!$A$3:$F$32,2,FALSE)),0)</f>
        <v>0</v>
      </c>
      <c r="AE14">
        <f>IF(AND(SUM(VLOOKUP($A14,test!$A$3:$F$32,2,FALSE),VLOOKUP(AE$1,test!$A$3:$F$32,2,FALSE))&lt;test!$K$16,$A14&lt;&gt;AE$1,feasible_mat!AE14=1),SUM(VLOOKUP($A14,test!$A$3:$F$32,2,FALSE), VLOOKUP(AE$1,test!$A$3:$F$32,2,FALSE)),0)</f>
        <v>0</v>
      </c>
      <c r="AF14">
        <f>IF(AND(SUM(VLOOKUP($A14,test!$A$3:$F$32,2,FALSE),VLOOKUP(AF$1,test!$A$3:$F$32,2,FALSE))&lt;test!$K$16,$A14&lt;&gt;AF$1,feasible_mat!AF14=1),SUM(VLOOKUP($A14,test!$A$3:$F$32,2,FALSE), VLOOKUP(AF$1,test!$A$3:$F$32,2,FALSE)),0)</f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5">
      <c r="A15" t="s">
        <v>23</v>
      </c>
      <c r="B15">
        <v>0</v>
      </c>
      <c r="C15">
        <f>IF(AND(SUM(VLOOKUP($A15,test!$A$3:$F$32,2,FALSE),VLOOKUP(C$1,test!$A$3:$F$32,2,FALSE))&lt;test!$K$16,$A15&lt;&gt;C$1,feasible_mat!C15=1),SUM(VLOOKUP($A15,test!$A$3:$F$32,2,FALSE), VLOOKUP(C$1,test!$A$3:$F$32,2,FALSE)),0)</f>
        <v>0</v>
      </c>
      <c r="D15">
        <f>IF(AND(SUM(VLOOKUP($A15,test!$A$3:$F$32,2,FALSE),VLOOKUP(D$1,test!$A$3:$F$32,2,FALSE))&lt;test!$K$16,$A15&lt;&gt;D$1,feasible_mat!D15=1),SUM(VLOOKUP($A15,test!$A$3:$F$32,2,FALSE), VLOOKUP(D$1,test!$A$3:$F$32,2,FALSE)),0)</f>
        <v>0</v>
      </c>
      <c r="E15">
        <f>IF(AND(SUM(VLOOKUP($A15,test!$A$3:$F$32,2,FALSE),VLOOKUP(E$1,test!$A$3:$F$32,2,FALSE))&lt;test!$K$16,$A15&lt;&gt;E$1,feasible_mat!E15=1),SUM(VLOOKUP($A15,test!$A$3:$F$32,2,FALSE), VLOOKUP(E$1,test!$A$3:$F$32,2,FALSE)),0)</f>
        <v>0</v>
      </c>
      <c r="F15">
        <f>IF(AND(SUM(VLOOKUP($A15,test!$A$3:$F$32,2,FALSE),VLOOKUP(F$1,test!$A$3:$F$32,2,FALSE))&lt;test!$K$16,$A15&lt;&gt;F$1,feasible_mat!F15=1),SUM(VLOOKUP($A15,test!$A$3:$F$32,2,FALSE), VLOOKUP(F$1,test!$A$3:$F$32,2,FALSE)),0)</f>
        <v>0</v>
      </c>
      <c r="G15">
        <f>IF(AND(SUM(VLOOKUP($A15,test!$A$3:$F$32,2,FALSE),VLOOKUP(G$1,test!$A$3:$F$32,2,FALSE))&lt;test!$K$16,$A15&lt;&gt;G$1,feasible_mat!G15=1),SUM(VLOOKUP($A15,test!$A$3:$F$32,2,FALSE), VLOOKUP(G$1,test!$A$3:$F$32,2,FALSE)),0)</f>
        <v>0</v>
      </c>
      <c r="H15">
        <f>IF(AND(SUM(VLOOKUP($A15,test!$A$3:$F$32,2,FALSE),VLOOKUP(H$1,test!$A$3:$F$32,2,FALSE))&lt;test!$K$16,$A15&lt;&gt;H$1,feasible_mat!H15=1),SUM(VLOOKUP($A15,test!$A$3:$F$32,2,FALSE), VLOOKUP(H$1,test!$A$3:$F$32,2,FALSE)),0)</f>
        <v>0</v>
      </c>
      <c r="I15">
        <f>IF(AND(SUM(VLOOKUP($A15,test!$A$3:$F$32,2,FALSE),VLOOKUP(I$1,test!$A$3:$F$32,2,FALSE))&lt;test!$K$16,$A15&lt;&gt;I$1,feasible_mat!I15=1),SUM(VLOOKUP($A15,test!$A$3:$F$32,2,FALSE), VLOOKUP(I$1,test!$A$3:$F$32,2,FALSE)),0)</f>
        <v>0</v>
      </c>
      <c r="J15">
        <f>IF(AND(SUM(VLOOKUP($A15,test!$A$3:$F$32,2,FALSE),VLOOKUP(J$1,test!$A$3:$F$32,2,FALSE))&lt;test!$K$16,$A15&lt;&gt;J$1,feasible_mat!J15=1),SUM(VLOOKUP($A15,test!$A$3:$F$32,2,FALSE), VLOOKUP(J$1,test!$A$3:$F$32,2,FALSE)),0)</f>
        <v>0</v>
      </c>
      <c r="K15">
        <f>IF(AND(SUM(VLOOKUP($A15,test!$A$3:$F$32,2,FALSE),VLOOKUP(K$1,test!$A$3:$F$32,2,FALSE))&lt;test!$K$16,$A15&lt;&gt;K$1,feasible_mat!K15=1),SUM(VLOOKUP($A15,test!$A$3:$F$32,2,FALSE), VLOOKUP(K$1,test!$A$3:$F$32,2,FALSE)),0)</f>
        <v>0</v>
      </c>
      <c r="L15">
        <f>IF(AND(SUM(VLOOKUP($A15,test!$A$3:$F$32,2,FALSE),VLOOKUP(L$1,test!$A$3:$F$32,2,FALSE))&lt;test!$K$16,$A15&lt;&gt;L$1,feasible_mat!L15=1),SUM(VLOOKUP($A15,test!$A$3:$F$32,2,FALSE), VLOOKUP(L$1,test!$A$3:$F$32,2,FALSE)),0)</f>
        <v>0</v>
      </c>
      <c r="M15">
        <f>IF(AND(SUM(VLOOKUP($A15,test!$A$3:$F$32,2,FALSE),VLOOKUP(M$1,test!$A$3:$F$32,2,FALSE))&lt;test!$K$16,$A15&lt;&gt;M$1,feasible_mat!M15=1),SUM(VLOOKUP($A15,test!$A$3:$F$32,2,FALSE), VLOOKUP(M$1,test!$A$3:$F$32,2,FALSE)),0)</f>
        <v>0</v>
      </c>
      <c r="N15">
        <f>IF(AND(SUM(VLOOKUP($A15,test!$A$3:$F$32,2,FALSE),VLOOKUP(N$1,test!$A$3:$F$32,2,FALSE))&lt;test!$K$16,$A15&lt;&gt;N$1,feasible_mat!N15=1),SUM(VLOOKUP($A15,test!$A$3:$F$32,2,FALSE), VLOOKUP(N$1,test!$A$3:$F$32,2,FALSE)),0)</f>
        <v>0</v>
      </c>
      <c r="O15">
        <f>IF(AND(SUM(VLOOKUP($A15,test!$A$3:$F$32,2,FALSE),VLOOKUP(O$1,test!$A$3:$F$32,2,FALSE))&lt;test!$K$16,$A15&lt;&gt;O$1,feasible_mat!O15=1),SUM(VLOOKUP($A15,test!$A$3:$F$32,2,FALSE), VLOOKUP(O$1,test!$A$3:$F$32,2,FALSE)),0)</f>
        <v>0</v>
      </c>
      <c r="P15">
        <f>IF(AND(SUM(VLOOKUP($A15,test!$A$3:$F$32,2,FALSE),VLOOKUP(P$1,test!$A$3:$F$32,2,FALSE))&lt;test!$K$16,$A15&lt;&gt;P$1,feasible_mat!P15=1),SUM(VLOOKUP($A15,test!$A$3:$F$32,2,FALSE), VLOOKUP(P$1,test!$A$3:$F$32,2,FALSE)),0)</f>
        <v>0</v>
      </c>
      <c r="Q15">
        <f>IF(AND(SUM(VLOOKUP($A15,test!$A$3:$F$32,2,FALSE),VLOOKUP(Q$1,test!$A$3:$F$32,2,FALSE))&lt;test!$K$16,$A15&lt;&gt;Q$1,feasible_mat!Q15=1),SUM(VLOOKUP($A15,test!$A$3:$F$32,2,FALSE), VLOOKUP(Q$1,test!$A$3:$F$32,2,FALSE)),0)</f>
        <v>0</v>
      </c>
      <c r="R15">
        <f>IF(AND(SUM(VLOOKUP($A15,test!$A$3:$F$32,2,FALSE),VLOOKUP(R$1,test!$A$3:$F$32,2,FALSE))&lt;test!$K$16,$A15&lt;&gt;R$1,feasible_mat!R15=1),SUM(VLOOKUP($A15,test!$A$3:$F$32,2,FALSE), VLOOKUP(R$1,test!$A$3:$F$32,2,FALSE)),0)</f>
        <v>0</v>
      </c>
      <c r="S15">
        <f>IF(AND(SUM(VLOOKUP($A15,test!$A$3:$F$32,2,FALSE),VLOOKUP(S$1,test!$A$3:$F$32,2,FALSE))&lt;test!$K$16,$A15&lt;&gt;S$1,feasible_mat!S15=1),SUM(VLOOKUP($A15,test!$A$3:$F$32,2,FALSE), VLOOKUP(S$1,test!$A$3:$F$32,2,FALSE)),0)</f>
        <v>0</v>
      </c>
      <c r="T15">
        <f>IF(AND(SUM(VLOOKUP($A15,test!$A$3:$F$32,2,FALSE),VLOOKUP(T$1,test!$A$3:$F$32,2,FALSE))&lt;test!$K$16,$A15&lt;&gt;T$1,feasible_mat!T15=1),SUM(VLOOKUP($A15,test!$A$3:$F$32,2,FALSE), VLOOKUP(T$1,test!$A$3:$F$32,2,FALSE)),0)</f>
        <v>0</v>
      </c>
      <c r="U15">
        <f>IF(AND(SUM(VLOOKUP($A15,test!$A$3:$F$32,2,FALSE),VLOOKUP(U$1,test!$A$3:$F$32,2,FALSE))&lt;test!$K$16,$A15&lt;&gt;U$1,feasible_mat!U15=1),SUM(VLOOKUP($A15,test!$A$3:$F$32,2,FALSE), VLOOKUP(U$1,test!$A$3:$F$32,2,FALSE)),0)</f>
        <v>0</v>
      </c>
      <c r="V15">
        <f>IF(AND(SUM(VLOOKUP($A15,test!$A$3:$F$32,2,FALSE),VLOOKUP(V$1,test!$A$3:$F$32,2,FALSE))&lt;test!$K$16,$A15&lt;&gt;V$1,feasible_mat!V15=1),SUM(VLOOKUP($A15,test!$A$3:$F$32,2,FALSE), VLOOKUP(V$1,test!$A$3:$F$32,2,FALSE)),0)</f>
        <v>0</v>
      </c>
      <c r="W15">
        <f>IF(AND(SUM(VLOOKUP($A15,test!$A$3:$F$32,2,FALSE),VLOOKUP(W$1,test!$A$3:$F$32,2,FALSE))&lt;test!$K$16,$A15&lt;&gt;W$1,feasible_mat!W15=1),SUM(VLOOKUP($A15,test!$A$3:$F$32,2,FALSE), VLOOKUP(W$1,test!$A$3:$F$32,2,FALSE)),0)</f>
        <v>0</v>
      </c>
      <c r="X15">
        <f>IF(AND(SUM(VLOOKUP($A15,test!$A$3:$F$32,2,FALSE),VLOOKUP(X$1,test!$A$3:$F$32,2,FALSE))&lt;test!$K$16,$A15&lt;&gt;X$1,feasible_mat!X15=1),SUM(VLOOKUP($A15,test!$A$3:$F$32,2,FALSE), VLOOKUP(X$1,test!$A$3:$F$32,2,FALSE)),0)</f>
        <v>0</v>
      </c>
      <c r="Y15">
        <f>IF(AND(SUM(VLOOKUP($A15,test!$A$3:$F$32,2,FALSE),VLOOKUP(Y$1,test!$A$3:$F$32,2,FALSE))&lt;test!$K$16,$A15&lt;&gt;Y$1,feasible_mat!Y15=1),SUM(VLOOKUP($A15,test!$A$3:$F$32,2,FALSE), VLOOKUP(Y$1,test!$A$3:$F$32,2,FALSE)),0)</f>
        <v>0</v>
      </c>
      <c r="Z15">
        <f>IF(AND(SUM(VLOOKUP($A15,test!$A$3:$F$32,2,FALSE),VLOOKUP(Z$1,test!$A$3:$F$32,2,FALSE))&lt;test!$K$16,$A15&lt;&gt;Z$1,feasible_mat!Z15=1),SUM(VLOOKUP($A15,test!$A$3:$F$32,2,FALSE), VLOOKUP(Z$1,test!$A$3:$F$32,2,FALSE)),0)</f>
        <v>0</v>
      </c>
      <c r="AA15">
        <f>IF(AND(SUM(VLOOKUP($A15,test!$A$3:$F$32,2,FALSE),VLOOKUP(AA$1,test!$A$3:$F$32,2,FALSE))&lt;test!$K$16,$A15&lt;&gt;AA$1,feasible_mat!AA15=1),SUM(VLOOKUP($A15,test!$A$3:$F$32,2,FALSE), VLOOKUP(AA$1,test!$A$3:$F$32,2,FALSE)),0)</f>
        <v>0</v>
      </c>
      <c r="AB15">
        <f>IF(AND(SUM(VLOOKUP($A15,test!$A$3:$F$32,2,FALSE),VLOOKUP(AB$1,test!$A$3:$F$32,2,FALSE))&lt;test!$K$16,$A15&lt;&gt;AB$1,feasible_mat!AB15=1),SUM(VLOOKUP($A15,test!$A$3:$F$32,2,FALSE), VLOOKUP(AB$1,test!$A$3:$F$32,2,FALSE)),0)</f>
        <v>0</v>
      </c>
      <c r="AC15">
        <f>IF(AND(SUM(VLOOKUP($A15,test!$A$3:$F$32,2,FALSE),VLOOKUP(AC$1,test!$A$3:$F$32,2,FALSE))&lt;test!$K$16,$A15&lt;&gt;AC$1,feasible_mat!AC15=1),SUM(VLOOKUP($A15,test!$A$3:$F$32,2,FALSE), VLOOKUP(AC$1,test!$A$3:$F$32,2,FALSE)),0)</f>
        <v>0</v>
      </c>
      <c r="AD15">
        <f>IF(AND(SUM(VLOOKUP($A15,test!$A$3:$F$32,2,FALSE),VLOOKUP(AD$1,test!$A$3:$F$32,2,FALSE))&lt;test!$K$16,$A15&lt;&gt;AD$1,feasible_mat!AD15=1),SUM(VLOOKUP($A15,test!$A$3:$F$32,2,FALSE), VLOOKUP(AD$1,test!$A$3:$F$32,2,FALSE)),0)</f>
        <v>0</v>
      </c>
      <c r="AE15">
        <f>IF(AND(SUM(VLOOKUP($A15,test!$A$3:$F$32,2,FALSE),VLOOKUP(AE$1,test!$A$3:$F$32,2,FALSE))&lt;test!$K$16,$A15&lt;&gt;AE$1,feasible_mat!AE15=1),SUM(VLOOKUP($A15,test!$A$3:$F$32,2,FALSE), VLOOKUP(AE$1,test!$A$3:$F$32,2,FALSE)),0)</f>
        <v>0</v>
      </c>
      <c r="AF15">
        <f>IF(AND(SUM(VLOOKUP($A15,test!$A$3:$F$32,2,FALSE),VLOOKUP(AF$1,test!$A$3:$F$32,2,FALSE))&lt;test!$K$16,$A15&lt;&gt;AF$1,feasible_mat!AF15=1),SUM(VLOOKUP($A15,test!$A$3:$F$32,2,FALSE), VLOOKUP(AF$1,test!$A$3:$F$32,2,FALSE)),0)</f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0</v>
      </c>
      <c r="C16">
        <f>IF(AND(SUM(VLOOKUP($A16,test!$A$3:$F$32,2,FALSE),VLOOKUP(C$1,test!$A$3:$F$32,2,FALSE))&lt;test!$K$16,$A16&lt;&gt;C$1,feasible_mat!C16=1),SUM(VLOOKUP($A16,test!$A$3:$F$32,2,FALSE), VLOOKUP(C$1,test!$A$3:$F$32,2,FALSE)),0)</f>
        <v>0</v>
      </c>
      <c r="D16">
        <f>IF(AND(SUM(VLOOKUP($A16,test!$A$3:$F$32,2,FALSE),VLOOKUP(D$1,test!$A$3:$F$32,2,FALSE))&lt;test!$K$16,$A16&lt;&gt;D$1,feasible_mat!D16=1),SUM(VLOOKUP($A16,test!$A$3:$F$32,2,FALSE), VLOOKUP(D$1,test!$A$3:$F$32,2,FALSE)),0)</f>
        <v>0</v>
      </c>
      <c r="E16">
        <f>IF(AND(SUM(VLOOKUP($A16,test!$A$3:$F$32,2,FALSE),VLOOKUP(E$1,test!$A$3:$F$32,2,FALSE))&lt;test!$K$16,$A16&lt;&gt;E$1,feasible_mat!E16=1),SUM(VLOOKUP($A16,test!$A$3:$F$32,2,FALSE), VLOOKUP(E$1,test!$A$3:$F$32,2,FALSE)),0)</f>
        <v>345</v>
      </c>
      <c r="F16">
        <f>IF(AND(SUM(VLOOKUP($A16,test!$A$3:$F$32,2,FALSE),VLOOKUP(F$1,test!$A$3:$F$32,2,FALSE))&lt;test!$K$16,$A16&lt;&gt;F$1,feasible_mat!F16=1),SUM(VLOOKUP($A16,test!$A$3:$F$32,2,FALSE), VLOOKUP(F$1,test!$A$3:$F$32,2,FALSE)),0)</f>
        <v>345</v>
      </c>
      <c r="G16">
        <f>IF(AND(SUM(VLOOKUP($A16,test!$A$3:$F$32,2,FALSE),VLOOKUP(G$1,test!$A$3:$F$32,2,FALSE))&lt;test!$K$16,$A16&lt;&gt;G$1,feasible_mat!G16=1),SUM(VLOOKUP($A16,test!$A$3:$F$32,2,FALSE), VLOOKUP(G$1,test!$A$3:$F$32,2,FALSE)),0)</f>
        <v>345</v>
      </c>
      <c r="H16">
        <f>IF(AND(SUM(VLOOKUP($A16,test!$A$3:$F$32,2,FALSE),VLOOKUP(H$1,test!$A$3:$F$32,2,FALSE))&lt;test!$K$16,$A16&lt;&gt;H$1,feasible_mat!H16=1),SUM(VLOOKUP($A16,test!$A$3:$F$32,2,FALSE), VLOOKUP(H$1,test!$A$3:$F$32,2,FALSE)),0)</f>
        <v>345</v>
      </c>
      <c r="I16">
        <f>IF(AND(SUM(VLOOKUP($A16,test!$A$3:$F$32,2,FALSE),VLOOKUP(I$1,test!$A$3:$F$32,2,FALSE))&lt;test!$K$16,$A16&lt;&gt;I$1,feasible_mat!I16=1),SUM(VLOOKUP($A16,test!$A$3:$F$32,2,FALSE), VLOOKUP(I$1,test!$A$3:$F$32,2,FALSE)),0)</f>
        <v>345</v>
      </c>
      <c r="J16">
        <f>IF(AND(SUM(VLOOKUP($A16,test!$A$3:$F$32,2,FALSE),VLOOKUP(J$1,test!$A$3:$F$32,2,FALSE))&lt;test!$K$16,$A16&lt;&gt;J$1,feasible_mat!J16=1),SUM(VLOOKUP($A16,test!$A$3:$F$32,2,FALSE), VLOOKUP(J$1,test!$A$3:$F$32,2,FALSE)),0)</f>
        <v>345</v>
      </c>
      <c r="K16">
        <f>IF(AND(SUM(VLOOKUP($A16,test!$A$3:$F$32,2,FALSE),VLOOKUP(K$1,test!$A$3:$F$32,2,FALSE))&lt;test!$K$16,$A16&lt;&gt;K$1,feasible_mat!K16=1),SUM(VLOOKUP($A16,test!$A$3:$F$32,2,FALSE), VLOOKUP(K$1,test!$A$3:$F$32,2,FALSE)),0)</f>
        <v>0</v>
      </c>
      <c r="L16">
        <f>IF(AND(SUM(VLOOKUP($A16,test!$A$3:$F$32,2,FALSE),VLOOKUP(L$1,test!$A$3:$F$32,2,FALSE))&lt;test!$K$16,$A16&lt;&gt;L$1,feasible_mat!L16=1),SUM(VLOOKUP($A16,test!$A$3:$F$32,2,FALSE), VLOOKUP(L$1,test!$A$3:$F$32,2,FALSE)),0)</f>
        <v>0</v>
      </c>
      <c r="M16">
        <f>IF(AND(SUM(VLOOKUP($A16,test!$A$3:$F$32,2,FALSE),VLOOKUP(M$1,test!$A$3:$F$32,2,FALSE))&lt;test!$K$16,$A16&lt;&gt;M$1,feasible_mat!M16=1),SUM(VLOOKUP($A16,test!$A$3:$F$32,2,FALSE), VLOOKUP(M$1,test!$A$3:$F$32,2,FALSE)),0)</f>
        <v>0</v>
      </c>
      <c r="N16">
        <f>IF(AND(SUM(VLOOKUP($A16,test!$A$3:$F$32,2,FALSE),VLOOKUP(N$1,test!$A$3:$F$32,2,FALSE))&lt;test!$K$16,$A16&lt;&gt;N$1,feasible_mat!N16=1),SUM(VLOOKUP($A16,test!$A$3:$F$32,2,FALSE), VLOOKUP(N$1,test!$A$3:$F$32,2,FALSE)),0)</f>
        <v>0</v>
      </c>
      <c r="O16">
        <f>IF(AND(SUM(VLOOKUP($A16,test!$A$3:$F$32,2,FALSE),VLOOKUP(O$1,test!$A$3:$F$32,2,FALSE))&lt;test!$K$16,$A16&lt;&gt;O$1,feasible_mat!O16=1),SUM(VLOOKUP($A16,test!$A$3:$F$32,2,FALSE), VLOOKUP(O$1,test!$A$3:$F$32,2,FALSE)),0)</f>
        <v>0</v>
      </c>
      <c r="P16">
        <f>IF(AND(SUM(VLOOKUP($A16,test!$A$3:$F$32,2,FALSE),VLOOKUP(P$1,test!$A$3:$F$32,2,FALSE))&lt;test!$K$16,$A16&lt;&gt;P$1,feasible_mat!P16=1),SUM(VLOOKUP($A16,test!$A$3:$F$32,2,FALSE), VLOOKUP(P$1,test!$A$3:$F$32,2,FALSE)),0)</f>
        <v>0</v>
      </c>
      <c r="Q16">
        <f>IF(AND(SUM(VLOOKUP($A16,test!$A$3:$F$32,2,FALSE),VLOOKUP(Q$1,test!$A$3:$F$32,2,FALSE))&lt;test!$K$16,$A16&lt;&gt;Q$1,feasible_mat!Q16=1),SUM(VLOOKUP($A16,test!$A$3:$F$32,2,FALSE), VLOOKUP(Q$1,test!$A$3:$F$32,2,FALSE)),0)</f>
        <v>0</v>
      </c>
      <c r="R16">
        <f>IF(AND(SUM(VLOOKUP($A16,test!$A$3:$F$32,2,FALSE),VLOOKUP(R$1,test!$A$3:$F$32,2,FALSE))&lt;test!$K$16,$A16&lt;&gt;R$1,feasible_mat!R16=1),SUM(VLOOKUP($A16,test!$A$3:$F$32,2,FALSE), VLOOKUP(R$1,test!$A$3:$F$32,2,FALSE)),0)</f>
        <v>0</v>
      </c>
      <c r="S16">
        <f>IF(AND(SUM(VLOOKUP($A16,test!$A$3:$F$32,2,FALSE),VLOOKUP(S$1,test!$A$3:$F$32,2,FALSE))&lt;test!$K$16,$A16&lt;&gt;S$1,feasible_mat!S16=1),SUM(VLOOKUP($A16,test!$A$3:$F$32,2,FALSE), VLOOKUP(S$1,test!$A$3:$F$32,2,FALSE)),0)</f>
        <v>0</v>
      </c>
      <c r="T16">
        <f>IF(AND(SUM(VLOOKUP($A16,test!$A$3:$F$32,2,FALSE),VLOOKUP(T$1,test!$A$3:$F$32,2,FALSE))&lt;test!$K$16,$A16&lt;&gt;T$1,feasible_mat!T16=1),SUM(VLOOKUP($A16,test!$A$3:$F$32,2,FALSE), VLOOKUP(T$1,test!$A$3:$F$32,2,FALSE)),0)</f>
        <v>345</v>
      </c>
      <c r="U16">
        <f>IF(AND(SUM(VLOOKUP($A16,test!$A$3:$F$32,2,FALSE),VLOOKUP(U$1,test!$A$3:$F$32,2,FALSE))&lt;test!$K$16,$A16&lt;&gt;U$1,feasible_mat!U16=1),SUM(VLOOKUP($A16,test!$A$3:$F$32,2,FALSE), VLOOKUP(U$1,test!$A$3:$F$32,2,FALSE)),0)</f>
        <v>345</v>
      </c>
      <c r="V16">
        <f>IF(AND(SUM(VLOOKUP($A16,test!$A$3:$F$32,2,FALSE),VLOOKUP(V$1,test!$A$3:$F$32,2,FALSE))&lt;test!$K$16,$A16&lt;&gt;V$1,feasible_mat!V16=1),SUM(VLOOKUP($A16,test!$A$3:$F$32,2,FALSE), VLOOKUP(V$1,test!$A$3:$F$32,2,FALSE)),0)</f>
        <v>345</v>
      </c>
      <c r="W16">
        <f>IF(AND(SUM(VLOOKUP($A16,test!$A$3:$F$32,2,FALSE),VLOOKUP(W$1,test!$A$3:$F$32,2,FALSE))&lt;test!$K$16,$A16&lt;&gt;W$1,feasible_mat!W16=1),SUM(VLOOKUP($A16,test!$A$3:$F$32,2,FALSE), VLOOKUP(W$1,test!$A$3:$F$32,2,FALSE)),0)</f>
        <v>345</v>
      </c>
      <c r="X16">
        <f>IF(AND(SUM(VLOOKUP($A16,test!$A$3:$F$32,2,FALSE),VLOOKUP(X$1,test!$A$3:$F$32,2,FALSE))&lt;test!$K$16,$A16&lt;&gt;X$1,feasible_mat!X16=1),SUM(VLOOKUP($A16,test!$A$3:$F$32,2,FALSE), VLOOKUP(X$1,test!$A$3:$F$32,2,FALSE)),0)</f>
        <v>345</v>
      </c>
      <c r="Y16">
        <f>IF(AND(SUM(VLOOKUP($A16,test!$A$3:$F$32,2,FALSE),VLOOKUP(Y$1,test!$A$3:$F$32,2,FALSE))&lt;test!$K$16,$A16&lt;&gt;Y$1,feasible_mat!Y16=1),SUM(VLOOKUP($A16,test!$A$3:$F$32,2,FALSE), VLOOKUP(Y$1,test!$A$3:$F$32,2,FALSE)),0)</f>
        <v>0</v>
      </c>
      <c r="Z16">
        <f>IF(AND(SUM(VLOOKUP($A16,test!$A$3:$F$32,2,FALSE),VLOOKUP(Z$1,test!$A$3:$F$32,2,FALSE))&lt;test!$K$16,$A16&lt;&gt;Z$1,feasible_mat!Z16=1),SUM(VLOOKUP($A16,test!$A$3:$F$32,2,FALSE), VLOOKUP(Z$1,test!$A$3:$F$32,2,FALSE)),0)</f>
        <v>0</v>
      </c>
      <c r="AA16">
        <f>IF(AND(SUM(VLOOKUP($A16,test!$A$3:$F$32,2,FALSE),VLOOKUP(AA$1,test!$A$3:$F$32,2,FALSE))&lt;test!$K$16,$A16&lt;&gt;AA$1,feasible_mat!AA16=1),SUM(VLOOKUP($A16,test!$A$3:$F$32,2,FALSE), VLOOKUP(AA$1,test!$A$3:$F$32,2,FALSE)),0)</f>
        <v>0</v>
      </c>
      <c r="AB16">
        <f>IF(AND(SUM(VLOOKUP($A16,test!$A$3:$F$32,2,FALSE),VLOOKUP(AB$1,test!$A$3:$F$32,2,FALSE))&lt;test!$K$16,$A16&lt;&gt;AB$1,feasible_mat!AB16=1),SUM(VLOOKUP($A16,test!$A$3:$F$32,2,FALSE), VLOOKUP(AB$1,test!$A$3:$F$32,2,FALSE)),0)</f>
        <v>0</v>
      </c>
      <c r="AC16">
        <f>IF(AND(SUM(VLOOKUP($A16,test!$A$3:$F$32,2,FALSE),VLOOKUP(AC$1,test!$A$3:$F$32,2,FALSE))&lt;test!$K$16,$A16&lt;&gt;AC$1,feasible_mat!AC16=1),SUM(VLOOKUP($A16,test!$A$3:$F$32,2,FALSE), VLOOKUP(AC$1,test!$A$3:$F$32,2,FALSE)),0)</f>
        <v>0</v>
      </c>
      <c r="AD16">
        <f>IF(AND(SUM(VLOOKUP($A16,test!$A$3:$F$32,2,FALSE),VLOOKUP(AD$1,test!$A$3:$F$32,2,FALSE))&lt;test!$K$16,$A16&lt;&gt;AD$1,feasible_mat!AD16=1),SUM(VLOOKUP($A16,test!$A$3:$F$32,2,FALSE), VLOOKUP(AD$1,test!$A$3:$F$32,2,FALSE)),0)</f>
        <v>0</v>
      </c>
      <c r="AE16">
        <f>IF(AND(SUM(VLOOKUP($A16,test!$A$3:$F$32,2,FALSE),VLOOKUP(AE$1,test!$A$3:$F$32,2,FALSE))&lt;test!$K$16,$A16&lt;&gt;AE$1,feasible_mat!AE16=1),SUM(VLOOKUP($A16,test!$A$3:$F$32,2,FALSE), VLOOKUP(AE$1,test!$A$3:$F$32,2,FALSE)),0)</f>
        <v>0</v>
      </c>
      <c r="AF16">
        <f>IF(AND(SUM(VLOOKUP($A16,test!$A$3:$F$32,2,FALSE),VLOOKUP(AF$1,test!$A$3:$F$32,2,FALSE))&lt;test!$K$16,$A16&lt;&gt;AF$1,feasible_mat!AF16=1),SUM(VLOOKUP($A16,test!$A$3:$F$32,2,FALSE), VLOOKUP(AF$1,test!$A$3:$F$32,2,FALSE)),0)</f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5">
      <c r="A17" t="s">
        <v>26</v>
      </c>
      <c r="B17">
        <v>0</v>
      </c>
      <c r="C17">
        <f>IF(AND(SUM(VLOOKUP($A17,test!$A$3:$F$32,2,FALSE),VLOOKUP(C$1,test!$A$3:$F$32,2,FALSE))&lt;test!$K$16,$A17&lt;&gt;C$1,feasible_mat!C17=1),SUM(VLOOKUP($A17,test!$A$3:$F$32,2,FALSE), VLOOKUP(C$1,test!$A$3:$F$32,2,FALSE)),0)</f>
        <v>0</v>
      </c>
      <c r="D17">
        <f>IF(AND(SUM(VLOOKUP($A17,test!$A$3:$F$32,2,FALSE),VLOOKUP(D$1,test!$A$3:$F$32,2,FALSE))&lt;test!$K$16,$A17&lt;&gt;D$1,feasible_mat!D17=1),SUM(VLOOKUP($A17,test!$A$3:$F$32,2,FALSE), VLOOKUP(D$1,test!$A$3:$F$32,2,FALSE)),0)</f>
        <v>270</v>
      </c>
      <c r="E17">
        <f>IF(AND(SUM(VLOOKUP($A17,test!$A$3:$F$32,2,FALSE),VLOOKUP(E$1,test!$A$3:$F$32,2,FALSE))&lt;test!$K$16,$A17&lt;&gt;E$1,feasible_mat!E17=1),SUM(VLOOKUP($A17,test!$A$3:$F$32,2,FALSE), VLOOKUP(E$1,test!$A$3:$F$32,2,FALSE)),0)</f>
        <v>270</v>
      </c>
      <c r="F17">
        <f>IF(AND(SUM(VLOOKUP($A17,test!$A$3:$F$32,2,FALSE),VLOOKUP(F$1,test!$A$3:$F$32,2,FALSE))&lt;test!$K$16,$A17&lt;&gt;F$1,feasible_mat!F17=1),SUM(VLOOKUP($A17,test!$A$3:$F$32,2,FALSE), VLOOKUP(F$1,test!$A$3:$F$32,2,FALSE)),0)</f>
        <v>270</v>
      </c>
      <c r="G17">
        <f>IF(AND(SUM(VLOOKUP($A17,test!$A$3:$F$32,2,FALSE),VLOOKUP(G$1,test!$A$3:$F$32,2,FALSE))&lt;test!$K$16,$A17&lt;&gt;G$1,feasible_mat!G17=1),SUM(VLOOKUP($A17,test!$A$3:$F$32,2,FALSE), VLOOKUP(G$1,test!$A$3:$F$32,2,FALSE)),0)</f>
        <v>270</v>
      </c>
      <c r="H17">
        <f>IF(AND(SUM(VLOOKUP($A17,test!$A$3:$F$32,2,FALSE),VLOOKUP(H$1,test!$A$3:$F$32,2,FALSE))&lt;test!$K$16,$A17&lt;&gt;H$1,feasible_mat!H17=1),SUM(VLOOKUP($A17,test!$A$3:$F$32,2,FALSE), VLOOKUP(H$1,test!$A$3:$F$32,2,FALSE)),0)</f>
        <v>270</v>
      </c>
      <c r="I17">
        <f>IF(AND(SUM(VLOOKUP($A17,test!$A$3:$F$32,2,FALSE),VLOOKUP(I$1,test!$A$3:$F$32,2,FALSE))&lt;test!$K$16,$A17&lt;&gt;I$1,feasible_mat!I17=1),SUM(VLOOKUP($A17,test!$A$3:$F$32,2,FALSE), VLOOKUP(I$1,test!$A$3:$F$32,2,FALSE)),0)</f>
        <v>270</v>
      </c>
      <c r="J17">
        <f>IF(AND(SUM(VLOOKUP($A17,test!$A$3:$F$32,2,FALSE),VLOOKUP(J$1,test!$A$3:$F$32,2,FALSE))&lt;test!$K$16,$A17&lt;&gt;J$1,feasible_mat!J17=1),SUM(VLOOKUP($A17,test!$A$3:$F$32,2,FALSE), VLOOKUP(J$1,test!$A$3:$F$32,2,FALSE)),0)</f>
        <v>270</v>
      </c>
      <c r="K17">
        <f>IF(AND(SUM(VLOOKUP($A17,test!$A$3:$F$32,2,FALSE),VLOOKUP(K$1,test!$A$3:$F$32,2,FALSE))&lt;test!$K$16,$A17&lt;&gt;K$1,feasible_mat!K17=1),SUM(VLOOKUP($A17,test!$A$3:$F$32,2,FALSE), VLOOKUP(K$1,test!$A$3:$F$32,2,FALSE)),0)</f>
        <v>0</v>
      </c>
      <c r="L17">
        <f>IF(AND(SUM(VLOOKUP($A17,test!$A$3:$F$32,2,FALSE),VLOOKUP(L$1,test!$A$3:$F$32,2,FALSE))&lt;test!$K$16,$A17&lt;&gt;L$1,feasible_mat!L17=1),SUM(VLOOKUP($A17,test!$A$3:$F$32,2,FALSE), VLOOKUP(L$1,test!$A$3:$F$32,2,FALSE)),0)</f>
        <v>0</v>
      </c>
      <c r="M17">
        <f>IF(AND(SUM(VLOOKUP($A17,test!$A$3:$F$32,2,FALSE),VLOOKUP(M$1,test!$A$3:$F$32,2,FALSE))&lt;test!$K$16,$A17&lt;&gt;M$1,feasible_mat!M17=1),SUM(VLOOKUP($A17,test!$A$3:$F$32,2,FALSE), VLOOKUP(M$1,test!$A$3:$F$32,2,FALSE)),0)</f>
        <v>275</v>
      </c>
      <c r="N17">
        <f>IF(AND(SUM(VLOOKUP($A17,test!$A$3:$F$32,2,FALSE),VLOOKUP(N$1,test!$A$3:$F$32,2,FALSE))&lt;test!$K$16,$A17&lt;&gt;N$1,feasible_mat!N17=1),SUM(VLOOKUP($A17,test!$A$3:$F$32,2,FALSE), VLOOKUP(N$1,test!$A$3:$F$32,2,FALSE)),0)</f>
        <v>275</v>
      </c>
      <c r="O17">
        <f>IF(AND(SUM(VLOOKUP($A17,test!$A$3:$F$32,2,FALSE),VLOOKUP(O$1,test!$A$3:$F$32,2,FALSE))&lt;test!$K$16,$A17&lt;&gt;O$1,feasible_mat!O17=1),SUM(VLOOKUP($A17,test!$A$3:$F$32,2,FALSE), VLOOKUP(O$1,test!$A$3:$F$32,2,FALSE)),0)</f>
        <v>275</v>
      </c>
      <c r="P17">
        <f>IF(AND(SUM(VLOOKUP($A17,test!$A$3:$F$32,2,FALSE),VLOOKUP(P$1,test!$A$3:$F$32,2,FALSE))&lt;test!$K$16,$A17&lt;&gt;P$1,feasible_mat!P17=1),SUM(VLOOKUP($A17,test!$A$3:$F$32,2,FALSE), VLOOKUP(P$1,test!$A$3:$F$32,2,FALSE)),0)</f>
        <v>0</v>
      </c>
      <c r="Q17">
        <f>IF(AND(SUM(VLOOKUP($A17,test!$A$3:$F$32,2,FALSE),VLOOKUP(Q$1,test!$A$3:$F$32,2,FALSE))&lt;test!$K$16,$A17&lt;&gt;Q$1,feasible_mat!Q17=1),SUM(VLOOKUP($A17,test!$A$3:$F$32,2,FALSE), VLOOKUP(Q$1,test!$A$3:$F$32,2,FALSE)),0)</f>
        <v>0</v>
      </c>
      <c r="R17">
        <f>IF(AND(SUM(VLOOKUP($A17,test!$A$3:$F$32,2,FALSE),VLOOKUP(R$1,test!$A$3:$F$32,2,FALSE))&lt;test!$K$16,$A17&lt;&gt;R$1,feasible_mat!R17=1),SUM(VLOOKUP($A17,test!$A$3:$F$32,2,FALSE), VLOOKUP(R$1,test!$A$3:$F$32,2,FALSE)),0)</f>
        <v>0</v>
      </c>
      <c r="S17">
        <f>IF(AND(SUM(VLOOKUP($A17,test!$A$3:$F$32,2,FALSE),VLOOKUP(S$1,test!$A$3:$F$32,2,FALSE))&lt;test!$K$16,$A17&lt;&gt;S$1,feasible_mat!S17=1),SUM(VLOOKUP($A17,test!$A$3:$F$32,2,FALSE), VLOOKUP(S$1,test!$A$3:$F$32,2,FALSE)),0)</f>
        <v>270</v>
      </c>
      <c r="T17">
        <f>IF(AND(SUM(VLOOKUP($A17,test!$A$3:$F$32,2,FALSE),VLOOKUP(T$1,test!$A$3:$F$32,2,FALSE))&lt;test!$K$16,$A17&lt;&gt;T$1,feasible_mat!T17=1),SUM(VLOOKUP($A17,test!$A$3:$F$32,2,FALSE), VLOOKUP(T$1,test!$A$3:$F$32,2,FALSE)),0)</f>
        <v>270</v>
      </c>
      <c r="U17">
        <f>IF(AND(SUM(VLOOKUP($A17,test!$A$3:$F$32,2,FALSE),VLOOKUP(U$1,test!$A$3:$F$32,2,FALSE))&lt;test!$K$16,$A17&lt;&gt;U$1,feasible_mat!U17=1),SUM(VLOOKUP($A17,test!$A$3:$F$32,2,FALSE), VLOOKUP(U$1,test!$A$3:$F$32,2,FALSE)),0)</f>
        <v>270</v>
      </c>
      <c r="V17">
        <f>IF(AND(SUM(VLOOKUP($A17,test!$A$3:$F$32,2,FALSE),VLOOKUP(V$1,test!$A$3:$F$32,2,FALSE))&lt;test!$K$16,$A17&lt;&gt;V$1,feasible_mat!V17=1),SUM(VLOOKUP($A17,test!$A$3:$F$32,2,FALSE), VLOOKUP(V$1,test!$A$3:$F$32,2,FALSE)),0)</f>
        <v>270</v>
      </c>
      <c r="W17">
        <f>IF(AND(SUM(VLOOKUP($A17,test!$A$3:$F$32,2,FALSE),VLOOKUP(W$1,test!$A$3:$F$32,2,FALSE))&lt;test!$K$16,$A17&lt;&gt;W$1,feasible_mat!W17=1),SUM(VLOOKUP($A17,test!$A$3:$F$32,2,FALSE), VLOOKUP(W$1,test!$A$3:$F$32,2,FALSE)),0)</f>
        <v>270</v>
      </c>
      <c r="X17">
        <f>IF(AND(SUM(VLOOKUP($A17,test!$A$3:$F$32,2,FALSE),VLOOKUP(X$1,test!$A$3:$F$32,2,FALSE))&lt;test!$K$16,$A17&lt;&gt;X$1,feasible_mat!X17=1),SUM(VLOOKUP($A17,test!$A$3:$F$32,2,FALSE), VLOOKUP(X$1,test!$A$3:$F$32,2,FALSE)),0)</f>
        <v>270</v>
      </c>
      <c r="Y17">
        <f>IF(AND(SUM(VLOOKUP($A17,test!$A$3:$F$32,2,FALSE),VLOOKUP(Y$1,test!$A$3:$F$32,2,FALSE))&lt;test!$K$16,$A17&lt;&gt;Y$1,feasible_mat!Y17=1),SUM(VLOOKUP($A17,test!$A$3:$F$32,2,FALSE), VLOOKUP(Y$1,test!$A$3:$F$32,2,FALSE)),0)</f>
        <v>0</v>
      </c>
      <c r="Z17">
        <f>IF(AND(SUM(VLOOKUP($A17,test!$A$3:$F$32,2,FALSE),VLOOKUP(Z$1,test!$A$3:$F$32,2,FALSE))&lt;test!$K$16,$A17&lt;&gt;Z$1,feasible_mat!Z17=1),SUM(VLOOKUP($A17,test!$A$3:$F$32,2,FALSE), VLOOKUP(Z$1,test!$A$3:$F$32,2,FALSE)),0)</f>
        <v>275</v>
      </c>
      <c r="AA17">
        <f>IF(AND(SUM(VLOOKUP($A17,test!$A$3:$F$32,2,FALSE),VLOOKUP(AA$1,test!$A$3:$F$32,2,FALSE))&lt;test!$K$16,$A17&lt;&gt;AA$1,feasible_mat!AA17=1),SUM(VLOOKUP($A17,test!$A$3:$F$32,2,FALSE), VLOOKUP(AA$1,test!$A$3:$F$32,2,FALSE)),0)</f>
        <v>275</v>
      </c>
      <c r="AB17">
        <f>IF(AND(SUM(VLOOKUP($A17,test!$A$3:$F$32,2,FALSE),VLOOKUP(AB$1,test!$A$3:$F$32,2,FALSE))&lt;test!$K$16,$A17&lt;&gt;AB$1,feasible_mat!AB17=1),SUM(VLOOKUP($A17,test!$A$3:$F$32,2,FALSE), VLOOKUP(AB$1,test!$A$3:$F$32,2,FALSE)),0)</f>
        <v>275</v>
      </c>
      <c r="AC17">
        <f>IF(AND(SUM(VLOOKUP($A17,test!$A$3:$F$32,2,FALSE),VLOOKUP(AC$1,test!$A$3:$F$32,2,FALSE))&lt;test!$K$16,$A17&lt;&gt;AC$1,feasible_mat!AC17=1),SUM(VLOOKUP($A17,test!$A$3:$F$32,2,FALSE), VLOOKUP(AC$1,test!$A$3:$F$32,2,FALSE)),0)</f>
        <v>275</v>
      </c>
      <c r="AD17">
        <f>IF(AND(SUM(VLOOKUP($A17,test!$A$3:$F$32,2,FALSE),VLOOKUP(AD$1,test!$A$3:$F$32,2,FALSE))&lt;test!$K$16,$A17&lt;&gt;AD$1,feasible_mat!AD17=1),SUM(VLOOKUP($A17,test!$A$3:$F$32,2,FALSE), VLOOKUP(AD$1,test!$A$3:$F$32,2,FALSE)),0)</f>
        <v>0</v>
      </c>
      <c r="AE17">
        <f>IF(AND(SUM(VLOOKUP($A17,test!$A$3:$F$32,2,FALSE),VLOOKUP(AE$1,test!$A$3:$F$32,2,FALSE))&lt;test!$K$16,$A17&lt;&gt;AE$1,feasible_mat!AE17=1),SUM(VLOOKUP($A17,test!$A$3:$F$32,2,FALSE), VLOOKUP(AE$1,test!$A$3:$F$32,2,FALSE)),0)</f>
        <v>345</v>
      </c>
      <c r="AF17">
        <f>IF(AND(SUM(VLOOKUP($A17,test!$A$3:$F$32,2,FALSE),VLOOKUP(AF$1,test!$A$3:$F$32,2,FALSE))&lt;test!$K$16,$A17&lt;&gt;AF$1,feasible_mat!AF17=1),SUM(VLOOKUP($A17,test!$A$3:$F$32,2,FALSE), VLOOKUP(AF$1,test!$A$3:$F$32,2,FALSE)),0)</f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27</v>
      </c>
      <c r="B18">
        <v>0</v>
      </c>
      <c r="C18">
        <f>IF(AND(SUM(VLOOKUP($A18,test!$A$3:$F$32,2,FALSE),VLOOKUP(C$1,test!$A$3:$F$32,2,FALSE))&lt;test!$K$16,$A18&lt;&gt;C$1,feasible_mat!C18=1),SUM(VLOOKUP($A18,test!$A$3:$F$32,2,FALSE), VLOOKUP(C$1,test!$A$3:$F$32,2,FALSE)),0)</f>
        <v>0</v>
      </c>
      <c r="D18">
        <f>IF(AND(SUM(VLOOKUP($A18,test!$A$3:$F$32,2,FALSE),VLOOKUP(D$1,test!$A$3:$F$32,2,FALSE))&lt;test!$K$16,$A18&lt;&gt;D$1,feasible_mat!D18=1),SUM(VLOOKUP($A18,test!$A$3:$F$32,2,FALSE), VLOOKUP(D$1,test!$A$3:$F$32,2,FALSE)),0)</f>
        <v>0</v>
      </c>
      <c r="E18">
        <f>IF(AND(SUM(VLOOKUP($A18,test!$A$3:$F$32,2,FALSE),VLOOKUP(E$1,test!$A$3:$F$32,2,FALSE))&lt;test!$K$16,$A18&lt;&gt;E$1,feasible_mat!E18=1),SUM(VLOOKUP($A18,test!$A$3:$F$32,2,FALSE), VLOOKUP(E$1,test!$A$3:$F$32,2,FALSE)),0)</f>
        <v>270</v>
      </c>
      <c r="F18">
        <f>IF(AND(SUM(VLOOKUP($A18,test!$A$3:$F$32,2,FALSE),VLOOKUP(F$1,test!$A$3:$F$32,2,FALSE))&lt;test!$K$16,$A18&lt;&gt;F$1,feasible_mat!F18=1),SUM(VLOOKUP($A18,test!$A$3:$F$32,2,FALSE), VLOOKUP(F$1,test!$A$3:$F$32,2,FALSE)),0)</f>
        <v>270</v>
      </c>
      <c r="G18">
        <f>IF(AND(SUM(VLOOKUP($A18,test!$A$3:$F$32,2,FALSE),VLOOKUP(G$1,test!$A$3:$F$32,2,FALSE))&lt;test!$K$16,$A18&lt;&gt;G$1,feasible_mat!G18=1),SUM(VLOOKUP($A18,test!$A$3:$F$32,2,FALSE), VLOOKUP(G$1,test!$A$3:$F$32,2,FALSE)),0)</f>
        <v>270</v>
      </c>
      <c r="H18">
        <f>IF(AND(SUM(VLOOKUP($A18,test!$A$3:$F$32,2,FALSE),VLOOKUP(H$1,test!$A$3:$F$32,2,FALSE))&lt;test!$K$16,$A18&lt;&gt;H$1,feasible_mat!H18=1),SUM(VLOOKUP($A18,test!$A$3:$F$32,2,FALSE), VLOOKUP(H$1,test!$A$3:$F$32,2,FALSE)),0)</f>
        <v>270</v>
      </c>
      <c r="I18">
        <f>IF(AND(SUM(VLOOKUP($A18,test!$A$3:$F$32,2,FALSE),VLOOKUP(I$1,test!$A$3:$F$32,2,FALSE))&lt;test!$K$16,$A18&lt;&gt;I$1,feasible_mat!I18=1),SUM(VLOOKUP($A18,test!$A$3:$F$32,2,FALSE), VLOOKUP(I$1,test!$A$3:$F$32,2,FALSE)),0)</f>
        <v>270</v>
      </c>
      <c r="J18">
        <f>IF(AND(SUM(VLOOKUP($A18,test!$A$3:$F$32,2,FALSE),VLOOKUP(J$1,test!$A$3:$F$32,2,FALSE))&lt;test!$K$16,$A18&lt;&gt;J$1,feasible_mat!J18=1),SUM(VLOOKUP($A18,test!$A$3:$F$32,2,FALSE), VLOOKUP(J$1,test!$A$3:$F$32,2,FALSE)),0)</f>
        <v>270</v>
      </c>
      <c r="K18">
        <f>IF(AND(SUM(VLOOKUP($A18,test!$A$3:$F$32,2,FALSE),VLOOKUP(K$1,test!$A$3:$F$32,2,FALSE))&lt;test!$K$16,$A18&lt;&gt;K$1,feasible_mat!K18=1),SUM(VLOOKUP($A18,test!$A$3:$F$32,2,FALSE), VLOOKUP(K$1,test!$A$3:$F$32,2,FALSE)),0)</f>
        <v>0</v>
      </c>
      <c r="L18">
        <f>IF(AND(SUM(VLOOKUP($A18,test!$A$3:$F$32,2,FALSE),VLOOKUP(L$1,test!$A$3:$F$32,2,FALSE))&lt;test!$K$16,$A18&lt;&gt;L$1,feasible_mat!L18=1),SUM(VLOOKUP($A18,test!$A$3:$F$32,2,FALSE), VLOOKUP(L$1,test!$A$3:$F$32,2,FALSE)),0)</f>
        <v>0</v>
      </c>
      <c r="M18">
        <f>IF(AND(SUM(VLOOKUP($A18,test!$A$3:$F$32,2,FALSE),VLOOKUP(M$1,test!$A$3:$F$32,2,FALSE))&lt;test!$K$16,$A18&lt;&gt;M$1,feasible_mat!M18=1),SUM(VLOOKUP($A18,test!$A$3:$F$32,2,FALSE), VLOOKUP(M$1,test!$A$3:$F$32,2,FALSE)),0)</f>
        <v>275</v>
      </c>
      <c r="N18">
        <f>IF(AND(SUM(VLOOKUP($A18,test!$A$3:$F$32,2,FALSE),VLOOKUP(N$1,test!$A$3:$F$32,2,FALSE))&lt;test!$K$16,$A18&lt;&gt;N$1,feasible_mat!N18=1),SUM(VLOOKUP($A18,test!$A$3:$F$32,2,FALSE), VLOOKUP(N$1,test!$A$3:$F$32,2,FALSE)),0)</f>
        <v>275</v>
      </c>
      <c r="O18">
        <f>IF(AND(SUM(VLOOKUP($A18,test!$A$3:$F$32,2,FALSE),VLOOKUP(O$1,test!$A$3:$F$32,2,FALSE))&lt;test!$K$16,$A18&lt;&gt;O$1,feasible_mat!O18=1),SUM(VLOOKUP($A18,test!$A$3:$F$32,2,FALSE), VLOOKUP(O$1,test!$A$3:$F$32,2,FALSE)),0)</f>
        <v>275</v>
      </c>
      <c r="P18">
        <f>IF(AND(SUM(VLOOKUP($A18,test!$A$3:$F$32,2,FALSE),VLOOKUP(P$1,test!$A$3:$F$32,2,FALSE))&lt;test!$K$16,$A18&lt;&gt;P$1,feasible_mat!P18=1),SUM(VLOOKUP($A18,test!$A$3:$F$32,2,FALSE), VLOOKUP(P$1,test!$A$3:$F$32,2,FALSE)),0)</f>
        <v>0</v>
      </c>
      <c r="Q18">
        <f>IF(AND(SUM(VLOOKUP($A18,test!$A$3:$F$32,2,FALSE),VLOOKUP(Q$1,test!$A$3:$F$32,2,FALSE))&lt;test!$K$16,$A18&lt;&gt;Q$1,feasible_mat!Q18=1),SUM(VLOOKUP($A18,test!$A$3:$F$32,2,FALSE), VLOOKUP(Q$1,test!$A$3:$F$32,2,FALSE)),0)</f>
        <v>0</v>
      </c>
      <c r="R18">
        <f>IF(AND(SUM(VLOOKUP($A18,test!$A$3:$F$32,2,FALSE),VLOOKUP(R$1,test!$A$3:$F$32,2,FALSE))&lt;test!$K$16,$A18&lt;&gt;R$1,feasible_mat!R18=1),SUM(VLOOKUP($A18,test!$A$3:$F$32,2,FALSE), VLOOKUP(R$1,test!$A$3:$F$32,2,FALSE)),0)</f>
        <v>0</v>
      </c>
      <c r="S18">
        <f>IF(AND(SUM(VLOOKUP($A18,test!$A$3:$F$32,2,FALSE),VLOOKUP(S$1,test!$A$3:$F$32,2,FALSE))&lt;test!$K$16,$A18&lt;&gt;S$1,feasible_mat!S18=1),SUM(VLOOKUP($A18,test!$A$3:$F$32,2,FALSE), VLOOKUP(S$1,test!$A$3:$F$32,2,FALSE)),0)</f>
        <v>0</v>
      </c>
      <c r="T18">
        <f>IF(AND(SUM(VLOOKUP($A18,test!$A$3:$F$32,2,FALSE),VLOOKUP(T$1,test!$A$3:$F$32,2,FALSE))&lt;test!$K$16,$A18&lt;&gt;T$1,feasible_mat!T18=1),SUM(VLOOKUP($A18,test!$A$3:$F$32,2,FALSE), VLOOKUP(T$1,test!$A$3:$F$32,2,FALSE)),0)</f>
        <v>270</v>
      </c>
      <c r="U18">
        <f>IF(AND(SUM(VLOOKUP($A18,test!$A$3:$F$32,2,FALSE),VLOOKUP(U$1,test!$A$3:$F$32,2,FALSE))&lt;test!$K$16,$A18&lt;&gt;U$1,feasible_mat!U18=1),SUM(VLOOKUP($A18,test!$A$3:$F$32,2,FALSE), VLOOKUP(U$1,test!$A$3:$F$32,2,FALSE)),0)</f>
        <v>270</v>
      </c>
      <c r="V18">
        <f>IF(AND(SUM(VLOOKUP($A18,test!$A$3:$F$32,2,FALSE),VLOOKUP(V$1,test!$A$3:$F$32,2,FALSE))&lt;test!$K$16,$A18&lt;&gt;V$1,feasible_mat!V18=1),SUM(VLOOKUP($A18,test!$A$3:$F$32,2,FALSE), VLOOKUP(V$1,test!$A$3:$F$32,2,FALSE)),0)</f>
        <v>270</v>
      </c>
      <c r="W18">
        <f>IF(AND(SUM(VLOOKUP($A18,test!$A$3:$F$32,2,FALSE),VLOOKUP(W$1,test!$A$3:$F$32,2,FALSE))&lt;test!$K$16,$A18&lt;&gt;W$1,feasible_mat!W18=1),SUM(VLOOKUP($A18,test!$A$3:$F$32,2,FALSE), VLOOKUP(W$1,test!$A$3:$F$32,2,FALSE)),0)</f>
        <v>270</v>
      </c>
      <c r="X18">
        <f>IF(AND(SUM(VLOOKUP($A18,test!$A$3:$F$32,2,FALSE),VLOOKUP(X$1,test!$A$3:$F$32,2,FALSE))&lt;test!$K$16,$A18&lt;&gt;X$1,feasible_mat!X18=1),SUM(VLOOKUP($A18,test!$A$3:$F$32,2,FALSE), VLOOKUP(X$1,test!$A$3:$F$32,2,FALSE)),0)</f>
        <v>270</v>
      </c>
      <c r="Y18">
        <f>IF(AND(SUM(VLOOKUP($A18,test!$A$3:$F$32,2,FALSE),VLOOKUP(Y$1,test!$A$3:$F$32,2,FALSE))&lt;test!$K$16,$A18&lt;&gt;Y$1,feasible_mat!Y18=1),SUM(VLOOKUP($A18,test!$A$3:$F$32,2,FALSE), VLOOKUP(Y$1,test!$A$3:$F$32,2,FALSE)),0)</f>
        <v>0</v>
      </c>
      <c r="Z18">
        <f>IF(AND(SUM(VLOOKUP($A18,test!$A$3:$F$32,2,FALSE),VLOOKUP(Z$1,test!$A$3:$F$32,2,FALSE))&lt;test!$K$16,$A18&lt;&gt;Z$1,feasible_mat!Z18=1),SUM(VLOOKUP($A18,test!$A$3:$F$32,2,FALSE), VLOOKUP(Z$1,test!$A$3:$F$32,2,FALSE)),0)</f>
        <v>0</v>
      </c>
      <c r="AA18">
        <f>IF(AND(SUM(VLOOKUP($A18,test!$A$3:$F$32,2,FALSE),VLOOKUP(AA$1,test!$A$3:$F$32,2,FALSE))&lt;test!$K$16,$A18&lt;&gt;AA$1,feasible_mat!AA18=1),SUM(VLOOKUP($A18,test!$A$3:$F$32,2,FALSE), VLOOKUP(AA$1,test!$A$3:$F$32,2,FALSE)),0)</f>
        <v>275</v>
      </c>
      <c r="AB18">
        <f>IF(AND(SUM(VLOOKUP($A18,test!$A$3:$F$32,2,FALSE),VLOOKUP(AB$1,test!$A$3:$F$32,2,FALSE))&lt;test!$K$16,$A18&lt;&gt;AB$1,feasible_mat!AB18=1),SUM(VLOOKUP($A18,test!$A$3:$F$32,2,FALSE), VLOOKUP(AB$1,test!$A$3:$F$32,2,FALSE)),0)</f>
        <v>275</v>
      </c>
      <c r="AC18">
        <f>IF(AND(SUM(VLOOKUP($A18,test!$A$3:$F$32,2,FALSE),VLOOKUP(AC$1,test!$A$3:$F$32,2,FALSE))&lt;test!$K$16,$A18&lt;&gt;AC$1,feasible_mat!AC18=1),SUM(VLOOKUP($A18,test!$A$3:$F$32,2,FALSE), VLOOKUP(AC$1,test!$A$3:$F$32,2,FALSE)),0)</f>
        <v>275</v>
      </c>
      <c r="AD18">
        <f>IF(AND(SUM(VLOOKUP($A18,test!$A$3:$F$32,2,FALSE),VLOOKUP(AD$1,test!$A$3:$F$32,2,FALSE))&lt;test!$K$16,$A18&lt;&gt;AD$1,feasible_mat!AD18=1),SUM(VLOOKUP($A18,test!$A$3:$F$32,2,FALSE), VLOOKUP(AD$1,test!$A$3:$F$32,2,FALSE)),0)</f>
        <v>0</v>
      </c>
      <c r="AE18">
        <f>IF(AND(SUM(VLOOKUP($A18,test!$A$3:$F$32,2,FALSE),VLOOKUP(AE$1,test!$A$3:$F$32,2,FALSE))&lt;test!$K$16,$A18&lt;&gt;AE$1,feasible_mat!AE18=1),SUM(VLOOKUP($A18,test!$A$3:$F$32,2,FALSE), VLOOKUP(AE$1,test!$A$3:$F$32,2,FALSE)),0)</f>
        <v>345</v>
      </c>
      <c r="AF18">
        <f>IF(AND(SUM(VLOOKUP($A18,test!$A$3:$F$32,2,FALSE),VLOOKUP(AF$1,test!$A$3:$F$32,2,FALSE))&lt;test!$K$16,$A18&lt;&gt;AF$1,feasible_mat!AF18=1),SUM(VLOOKUP($A18,test!$A$3:$F$32,2,FALSE), VLOOKUP(AF$1,test!$A$3:$F$32,2,FALSE)),0)</f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5">
      <c r="A19" t="s">
        <v>28</v>
      </c>
      <c r="B19">
        <v>0</v>
      </c>
      <c r="C19">
        <f>IF(AND(SUM(VLOOKUP($A19,test!$A$3:$F$32,2,FALSE),VLOOKUP(C$1,test!$A$3:$F$32,2,FALSE))&lt;test!$K$16,$A19&lt;&gt;C$1,feasible_mat!C19=1),SUM(VLOOKUP($A19,test!$A$3:$F$32,2,FALSE), VLOOKUP(C$1,test!$A$3:$F$32,2,FALSE)),0)</f>
        <v>0</v>
      </c>
      <c r="D19">
        <f>IF(AND(SUM(VLOOKUP($A19,test!$A$3:$F$32,2,FALSE),VLOOKUP(D$1,test!$A$3:$F$32,2,FALSE))&lt;test!$K$16,$A19&lt;&gt;D$1,feasible_mat!D19=1),SUM(VLOOKUP($A19,test!$A$3:$F$32,2,FALSE), VLOOKUP(D$1,test!$A$3:$F$32,2,FALSE)),0)</f>
        <v>0</v>
      </c>
      <c r="E19">
        <f>IF(AND(SUM(VLOOKUP($A19,test!$A$3:$F$32,2,FALSE),VLOOKUP(E$1,test!$A$3:$F$32,2,FALSE))&lt;test!$K$16,$A19&lt;&gt;E$1,feasible_mat!E19=1),SUM(VLOOKUP($A19,test!$A$3:$F$32,2,FALSE), VLOOKUP(E$1,test!$A$3:$F$32,2,FALSE)),0)</f>
        <v>0</v>
      </c>
      <c r="F19">
        <f>IF(AND(SUM(VLOOKUP($A19,test!$A$3:$F$32,2,FALSE),VLOOKUP(F$1,test!$A$3:$F$32,2,FALSE))&lt;test!$K$16,$A19&lt;&gt;F$1,feasible_mat!F19=1),SUM(VLOOKUP($A19,test!$A$3:$F$32,2,FALSE), VLOOKUP(F$1,test!$A$3:$F$32,2,FALSE)),0)</f>
        <v>270</v>
      </c>
      <c r="G19">
        <f>IF(AND(SUM(VLOOKUP($A19,test!$A$3:$F$32,2,FALSE),VLOOKUP(G$1,test!$A$3:$F$32,2,FALSE))&lt;test!$K$16,$A19&lt;&gt;G$1,feasible_mat!G19=1),SUM(VLOOKUP($A19,test!$A$3:$F$32,2,FALSE), VLOOKUP(G$1,test!$A$3:$F$32,2,FALSE)),0)</f>
        <v>270</v>
      </c>
      <c r="H19">
        <f>IF(AND(SUM(VLOOKUP($A19,test!$A$3:$F$32,2,FALSE),VLOOKUP(H$1,test!$A$3:$F$32,2,FALSE))&lt;test!$K$16,$A19&lt;&gt;H$1,feasible_mat!H19=1),SUM(VLOOKUP($A19,test!$A$3:$F$32,2,FALSE), VLOOKUP(H$1,test!$A$3:$F$32,2,FALSE)),0)</f>
        <v>270</v>
      </c>
      <c r="I19">
        <f>IF(AND(SUM(VLOOKUP($A19,test!$A$3:$F$32,2,FALSE),VLOOKUP(I$1,test!$A$3:$F$32,2,FALSE))&lt;test!$K$16,$A19&lt;&gt;I$1,feasible_mat!I19=1),SUM(VLOOKUP($A19,test!$A$3:$F$32,2,FALSE), VLOOKUP(I$1,test!$A$3:$F$32,2,FALSE)),0)</f>
        <v>270</v>
      </c>
      <c r="J19">
        <f>IF(AND(SUM(VLOOKUP($A19,test!$A$3:$F$32,2,FALSE),VLOOKUP(J$1,test!$A$3:$F$32,2,FALSE))&lt;test!$K$16,$A19&lt;&gt;J$1,feasible_mat!J19=1),SUM(VLOOKUP($A19,test!$A$3:$F$32,2,FALSE), VLOOKUP(J$1,test!$A$3:$F$32,2,FALSE)),0)</f>
        <v>270</v>
      </c>
      <c r="K19">
        <f>IF(AND(SUM(VLOOKUP($A19,test!$A$3:$F$32,2,FALSE),VLOOKUP(K$1,test!$A$3:$F$32,2,FALSE))&lt;test!$K$16,$A19&lt;&gt;K$1,feasible_mat!K19=1),SUM(VLOOKUP($A19,test!$A$3:$F$32,2,FALSE), VLOOKUP(K$1,test!$A$3:$F$32,2,FALSE)),0)</f>
        <v>0</v>
      </c>
      <c r="L19">
        <f>IF(AND(SUM(VLOOKUP($A19,test!$A$3:$F$32,2,FALSE),VLOOKUP(L$1,test!$A$3:$F$32,2,FALSE))&lt;test!$K$16,$A19&lt;&gt;L$1,feasible_mat!L19=1),SUM(VLOOKUP($A19,test!$A$3:$F$32,2,FALSE), VLOOKUP(L$1,test!$A$3:$F$32,2,FALSE)),0)</f>
        <v>0</v>
      </c>
      <c r="M19">
        <f>IF(AND(SUM(VLOOKUP($A19,test!$A$3:$F$32,2,FALSE),VLOOKUP(M$1,test!$A$3:$F$32,2,FALSE))&lt;test!$K$16,$A19&lt;&gt;M$1,feasible_mat!M19=1),SUM(VLOOKUP($A19,test!$A$3:$F$32,2,FALSE), VLOOKUP(M$1,test!$A$3:$F$32,2,FALSE)),0)</f>
        <v>0</v>
      </c>
      <c r="N19">
        <f>IF(AND(SUM(VLOOKUP($A19,test!$A$3:$F$32,2,FALSE),VLOOKUP(N$1,test!$A$3:$F$32,2,FALSE))&lt;test!$K$16,$A19&lt;&gt;N$1,feasible_mat!N19=1),SUM(VLOOKUP($A19,test!$A$3:$F$32,2,FALSE), VLOOKUP(N$1,test!$A$3:$F$32,2,FALSE)),0)</f>
        <v>275</v>
      </c>
      <c r="O19">
        <f>IF(AND(SUM(VLOOKUP($A19,test!$A$3:$F$32,2,FALSE),VLOOKUP(O$1,test!$A$3:$F$32,2,FALSE))&lt;test!$K$16,$A19&lt;&gt;O$1,feasible_mat!O19=1),SUM(VLOOKUP($A19,test!$A$3:$F$32,2,FALSE), VLOOKUP(O$1,test!$A$3:$F$32,2,FALSE)),0)</f>
        <v>275</v>
      </c>
      <c r="P19">
        <f>IF(AND(SUM(VLOOKUP($A19,test!$A$3:$F$32,2,FALSE),VLOOKUP(P$1,test!$A$3:$F$32,2,FALSE))&lt;test!$K$16,$A19&lt;&gt;P$1,feasible_mat!P19=1),SUM(VLOOKUP($A19,test!$A$3:$F$32,2,FALSE), VLOOKUP(P$1,test!$A$3:$F$32,2,FALSE)),0)</f>
        <v>0</v>
      </c>
      <c r="Q19">
        <f>IF(AND(SUM(VLOOKUP($A19,test!$A$3:$F$32,2,FALSE),VLOOKUP(Q$1,test!$A$3:$F$32,2,FALSE))&lt;test!$K$16,$A19&lt;&gt;Q$1,feasible_mat!Q19=1),SUM(VLOOKUP($A19,test!$A$3:$F$32,2,FALSE), VLOOKUP(Q$1,test!$A$3:$F$32,2,FALSE)),0)</f>
        <v>0</v>
      </c>
      <c r="R19">
        <f>IF(AND(SUM(VLOOKUP($A19,test!$A$3:$F$32,2,FALSE),VLOOKUP(R$1,test!$A$3:$F$32,2,FALSE))&lt;test!$K$16,$A19&lt;&gt;R$1,feasible_mat!R19=1),SUM(VLOOKUP($A19,test!$A$3:$F$32,2,FALSE), VLOOKUP(R$1,test!$A$3:$F$32,2,FALSE)),0)</f>
        <v>0</v>
      </c>
      <c r="S19">
        <f>IF(AND(SUM(VLOOKUP($A19,test!$A$3:$F$32,2,FALSE),VLOOKUP(S$1,test!$A$3:$F$32,2,FALSE))&lt;test!$K$16,$A19&lt;&gt;S$1,feasible_mat!S19=1),SUM(VLOOKUP($A19,test!$A$3:$F$32,2,FALSE), VLOOKUP(S$1,test!$A$3:$F$32,2,FALSE)),0)</f>
        <v>0</v>
      </c>
      <c r="T19">
        <f>IF(AND(SUM(VLOOKUP($A19,test!$A$3:$F$32,2,FALSE),VLOOKUP(T$1,test!$A$3:$F$32,2,FALSE))&lt;test!$K$16,$A19&lt;&gt;T$1,feasible_mat!T19=1),SUM(VLOOKUP($A19,test!$A$3:$F$32,2,FALSE), VLOOKUP(T$1,test!$A$3:$F$32,2,FALSE)),0)</f>
        <v>0</v>
      </c>
      <c r="U19">
        <f>IF(AND(SUM(VLOOKUP($A19,test!$A$3:$F$32,2,FALSE),VLOOKUP(U$1,test!$A$3:$F$32,2,FALSE))&lt;test!$K$16,$A19&lt;&gt;U$1,feasible_mat!U19=1),SUM(VLOOKUP($A19,test!$A$3:$F$32,2,FALSE), VLOOKUP(U$1,test!$A$3:$F$32,2,FALSE)),0)</f>
        <v>270</v>
      </c>
      <c r="V19">
        <f>IF(AND(SUM(VLOOKUP($A19,test!$A$3:$F$32,2,FALSE),VLOOKUP(V$1,test!$A$3:$F$32,2,FALSE))&lt;test!$K$16,$A19&lt;&gt;V$1,feasible_mat!V19=1),SUM(VLOOKUP($A19,test!$A$3:$F$32,2,FALSE), VLOOKUP(V$1,test!$A$3:$F$32,2,FALSE)),0)</f>
        <v>270</v>
      </c>
      <c r="W19">
        <f>IF(AND(SUM(VLOOKUP($A19,test!$A$3:$F$32,2,FALSE),VLOOKUP(W$1,test!$A$3:$F$32,2,FALSE))&lt;test!$K$16,$A19&lt;&gt;W$1,feasible_mat!W19=1),SUM(VLOOKUP($A19,test!$A$3:$F$32,2,FALSE), VLOOKUP(W$1,test!$A$3:$F$32,2,FALSE)),0)</f>
        <v>270</v>
      </c>
      <c r="X19">
        <f>IF(AND(SUM(VLOOKUP($A19,test!$A$3:$F$32,2,FALSE),VLOOKUP(X$1,test!$A$3:$F$32,2,FALSE))&lt;test!$K$16,$A19&lt;&gt;X$1,feasible_mat!X19=1),SUM(VLOOKUP($A19,test!$A$3:$F$32,2,FALSE), VLOOKUP(X$1,test!$A$3:$F$32,2,FALSE)),0)</f>
        <v>270</v>
      </c>
      <c r="Y19">
        <f>IF(AND(SUM(VLOOKUP($A19,test!$A$3:$F$32,2,FALSE),VLOOKUP(Y$1,test!$A$3:$F$32,2,FALSE))&lt;test!$K$16,$A19&lt;&gt;Y$1,feasible_mat!Y19=1),SUM(VLOOKUP($A19,test!$A$3:$F$32,2,FALSE), VLOOKUP(Y$1,test!$A$3:$F$32,2,FALSE)),0)</f>
        <v>0</v>
      </c>
      <c r="Z19">
        <f>IF(AND(SUM(VLOOKUP($A19,test!$A$3:$F$32,2,FALSE),VLOOKUP(Z$1,test!$A$3:$F$32,2,FALSE))&lt;test!$K$16,$A19&lt;&gt;Z$1,feasible_mat!Z19=1),SUM(VLOOKUP($A19,test!$A$3:$F$32,2,FALSE), VLOOKUP(Z$1,test!$A$3:$F$32,2,FALSE)),0)</f>
        <v>0</v>
      </c>
      <c r="AA19">
        <f>IF(AND(SUM(VLOOKUP($A19,test!$A$3:$F$32,2,FALSE),VLOOKUP(AA$1,test!$A$3:$F$32,2,FALSE))&lt;test!$K$16,$A19&lt;&gt;AA$1,feasible_mat!AA19=1),SUM(VLOOKUP($A19,test!$A$3:$F$32,2,FALSE), VLOOKUP(AA$1,test!$A$3:$F$32,2,FALSE)),0)</f>
        <v>0</v>
      </c>
      <c r="AB19">
        <f>IF(AND(SUM(VLOOKUP($A19,test!$A$3:$F$32,2,FALSE),VLOOKUP(AB$1,test!$A$3:$F$32,2,FALSE))&lt;test!$K$16,$A19&lt;&gt;AB$1,feasible_mat!AB19=1),SUM(VLOOKUP($A19,test!$A$3:$F$32,2,FALSE), VLOOKUP(AB$1,test!$A$3:$F$32,2,FALSE)),0)</f>
        <v>275</v>
      </c>
      <c r="AC19">
        <f>IF(AND(SUM(VLOOKUP($A19,test!$A$3:$F$32,2,FALSE),VLOOKUP(AC$1,test!$A$3:$F$32,2,FALSE))&lt;test!$K$16,$A19&lt;&gt;AC$1,feasible_mat!AC19=1),SUM(VLOOKUP($A19,test!$A$3:$F$32,2,FALSE), VLOOKUP(AC$1,test!$A$3:$F$32,2,FALSE)),0)</f>
        <v>275</v>
      </c>
      <c r="AD19">
        <f>IF(AND(SUM(VLOOKUP($A19,test!$A$3:$F$32,2,FALSE),VLOOKUP(AD$1,test!$A$3:$F$32,2,FALSE))&lt;test!$K$16,$A19&lt;&gt;AD$1,feasible_mat!AD19=1),SUM(VLOOKUP($A19,test!$A$3:$F$32,2,FALSE), VLOOKUP(AD$1,test!$A$3:$F$32,2,FALSE)),0)</f>
        <v>0</v>
      </c>
      <c r="AE19">
        <f>IF(AND(SUM(VLOOKUP($A19,test!$A$3:$F$32,2,FALSE),VLOOKUP(AE$1,test!$A$3:$F$32,2,FALSE))&lt;test!$K$16,$A19&lt;&gt;AE$1,feasible_mat!AE19=1),SUM(VLOOKUP($A19,test!$A$3:$F$32,2,FALSE), VLOOKUP(AE$1,test!$A$3:$F$32,2,FALSE)),0)</f>
        <v>0</v>
      </c>
      <c r="AF19">
        <f>IF(AND(SUM(VLOOKUP($A19,test!$A$3:$F$32,2,FALSE),VLOOKUP(AF$1,test!$A$3:$F$32,2,FALSE))&lt;test!$K$16,$A19&lt;&gt;AF$1,feasible_mat!AF19=1),SUM(VLOOKUP($A19,test!$A$3:$F$32,2,FALSE), VLOOKUP(AF$1,test!$A$3:$F$32,2,FALSE)),0)</f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29</v>
      </c>
      <c r="B20">
        <v>0</v>
      </c>
      <c r="C20">
        <f>IF(AND(SUM(VLOOKUP($A20,test!$A$3:$F$32,2,FALSE),VLOOKUP(C$1,test!$A$3:$F$32,2,FALSE))&lt;test!$K$16,$A20&lt;&gt;C$1,feasible_mat!C20=1),SUM(VLOOKUP($A20,test!$A$3:$F$32,2,FALSE), VLOOKUP(C$1,test!$A$3:$F$32,2,FALSE)),0)</f>
        <v>0</v>
      </c>
      <c r="D20">
        <f>IF(AND(SUM(VLOOKUP($A20,test!$A$3:$F$32,2,FALSE),VLOOKUP(D$1,test!$A$3:$F$32,2,FALSE))&lt;test!$K$16,$A20&lt;&gt;D$1,feasible_mat!D20=1),SUM(VLOOKUP($A20,test!$A$3:$F$32,2,FALSE), VLOOKUP(D$1,test!$A$3:$F$32,2,FALSE)),0)</f>
        <v>0</v>
      </c>
      <c r="E20">
        <f>IF(AND(SUM(VLOOKUP($A20,test!$A$3:$F$32,2,FALSE),VLOOKUP(E$1,test!$A$3:$F$32,2,FALSE))&lt;test!$K$16,$A20&lt;&gt;E$1,feasible_mat!E20=1),SUM(VLOOKUP($A20,test!$A$3:$F$32,2,FALSE), VLOOKUP(E$1,test!$A$3:$F$32,2,FALSE)),0)</f>
        <v>0</v>
      </c>
      <c r="F20">
        <f>IF(AND(SUM(VLOOKUP($A20,test!$A$3:$F$32,2,FALSE),VLOOKUP(F$1,test!$A$3:$F$32,2,FALSE))&lt;test!$K$16,$A20&lt;&gt;F$1,feasible_mat!F20=1),SUM(VLOOKUP($A20,test!$A$3:$F$32,2,FALSE), VLOOKUP(F$1,test!$A$3:$F$32,2,FALSE)),0)</f>
        <v>0</v>
      </c>
      <c r="G20">
        <f>IF(AND(SUM(VLOOKUP($A20,test!$A$3:$F$32,2,FALSE),VLOOKUP(G$1,test!$A$3:$F$32,2,FALSE))&lt;test!$K$16,$A20&lt;&gt;G$1,feasible_mat!G20=1),SUM(VLOOKUP($A20,test!$A$3:$F$32,2,FALSE), VLOOKUP(G$1,test!$A$3:$F$32,2,FALSE)),0)</f>
        <v>270</v>
      </c>
      <c r="H20">
        <f>IF(AND(SUM(VLOOKUP($A20,test!$A$3:$F$32,2,FALSE),VLOOKUP(H$1,test!$A$3:$F$32,2,FALSE))&lt;test!$K$16,$A20&lt;&gt;H$1,feasible_mat!H20=1),SUM(VLOOKUP($A20,test!$A$3:$F$32,2,FALSE), VLOOKUP(H$1,test!$A$3:$F$32,2,FALSE)),0)</f>
        <v>270</v>
      </c>
      <c r="I20">
        <f>IF(AND(SUM(VLOOKUP($A20,test!$A$3:$F$32,2,FALSE),VLOOKUP(I$1,test!$A$3:$F$32,2,FALSE))&lt;test!$K$16,$A20&lt;&gt;I$1,feasible_mat!I20=1),SUM(VLOOKUP($A20,test!$A$3:$F$32,2,FALSE), VLOOKUP(I$1,test!$A$3:$F$32,2,FALSE)),0)</f>
        <v>270</v>
      </c>
      <c r="J20">
        <f>IF(AND(SUM(VLOOKUP($A20,test!$A$3:$F$32,2,FALSE),VLOOKUP(J$1,test!$A$3:$F$32,2,FALSE))&lt;test!$K$16,$A20&lt;&gt;J$1,feasible_mat!J20=1),SUM(VLOOKUP($A20,test!$A$3:$F$32,2,FALSE), VLOOKUP(J$1,test!$A$3:$F$32,2,FALSE)),0)</f>
        <v>270</v>
      </c>
      <c r="K20">
        <f>IF(AND(SUM(VLOOKUP($A20,test!$A$3:$F$32,2,FALSE),VLOOKUP(K$1,test!$A$3:$F$32,2,FALSE))&lt;test!$K$16,$A20&lt;&gt;K$1,feasible_mat!K20=1),SUM(VLOOKUP($A20,test!$A$3:$F$32,2,FALSE), VLOOKUP(K$1,test!$A$3:$F$32,2,FALSE)),0)</f>
        <v>0</v>
      </c>
      <c r="L20">
        <f>IF(AND(SUM(VLOOKUP($A20,test!$A$3:$F$32,2,FALSE),VLOOKUP(L$1,test!$A$3:$F$32,2,FALSE))&lt;test!$K$16,$A20&lt;&gt;L$1,feasible_mat!L20=1),SUM(VLOOKUP($A20,test!$A$3:$F$32,2,FALSE), VLOOKUP(L$1,test!$A$3:$F$32,2,FALSE)),0)</f>
        <v>0</v>
      </c>
      <c r="M20">
        <f>IF(AND(SUM(VLOOKUP($A20,test!$A$3:$F$32,2,FALSE),VLOOKUP(M$1,test!$A$3:$F$32,2,FALSE))&lt;test!$K$16,$A20&lt;&gt;M$1,feasible_mat!M20=1),SUM(VLOOKUP($A20,test!$A$3:$F$32,2,FALSE), VLOOKUP(M$1,test!$A$3:$F$32,2,FALSE)),0)</f>
        <v>0</v>
      </c>
      <c r="N20">
        <f>IF(AND(SUM(VLOOKUP($A20,test!$A$3:$F$32,2,FALSE),VLOOKUP(N$1,test!$A$3:$F$32,2,FALSE))&lt;test!$K$16,$A20&lt;&gt;N$1,feasible_mat!N20=1),SUM(VLOOKUP($A20,test!$A$3:$F$32,2,FALSE), VLOOKUP(N$1,test!$A$3:$F$32,2,FALSE)),0)</f>
        <v>275</v>
      </c>
      <c r="O20">
        <f>IF(AND(SUM(VLOOKUP($A20,test!$A$3:$F$32,2,FALSE),VLOOKUP(O$1,test!$A$3:$F$32,2,FALSE))&lt;test!$K$16,$A20&lt;&gt;O$1,feasible_mat!O20=1),SUM(VLOOKUP($A20,test!$A$3:$F$32,2,FALSE), VLOOKUP(O$1,test!$A$3:$F$32,2,FALSE)),0)</f>
        <v>275</v>
      </c>
      <c r="P20">
        <f>IF(AND(SUM(VLOOKUP($A20,test!$A$3:$F$32,2,FALSE),VLOOKUP(P$1,test!$A$3:$F$32,2,FALSE))&lt;test!$K$16,$A20&lt;&gt;P$1,feasible_mat!P20=1),SUM(VLOOKUP($A20,test!$A$3:$F$32,2,FALSE), VLOOKUP(P$1,test!$A$3:$F$32,2,FALSE)),0)</f>
        <v>0</v>
      </c>
      <c r="Q20">
        <f>IF(AND(SUM(VLOOKUP($A20,test!$A$3:$F$32,2,FALSE),VLOOKUP(Q$1,test!$A$3:$F$32,2,FALSE))&lt;test!$K$16,$A20&lt;&gt;Q$1,feasible_mat!Q20=1),SUM(VLOOKUP($A20,test!$A$3:$F$32,2,FALSE), VLOOKUP(Q$1,test!$A$3:$F$32,2,FALSE)),0)</f>
        <v>0</v>
      </c>
      <c r="R20">
        <f>IF(AND(SUM(VLOOKUP($A20,test!$A$3:$F$32,2,FALSE),VLOOKUP(R$1,test!$A$3:$F$32,2,FALSE))&lt;test!$K$16,$A20&lt;&gt;R$1,feasible_mat!R20=1),SUM(VLOOKUP($A20,test!$A$3:$F$32,2,FALSE), VLOOKUP(R$1,test!$A$3:$F$32,2,FALSE)),0)</f>
        <v>0</v>
      </c>
      <c r="S20">
        <f>IF(AND(SUM(VLOOKUP($A20,test!$A$3:$F$32,2,FALSE),VLOOKUP(S$1,test!$A$3:$F$32,2,FALSE))&lt;test!$K$16,$A20&lt;&gt;S$1,feasible_mat!S20=1),SUM(VLOOKUP($A20,test!$A$3:$F$32,2,FALSE), VLOOKUP(S$1,test!$A$3:$F$32,2,FALSE)),0)</f>
        <v>0</v>
      </c>
      <c r="T20">
        <f>IF(AND(SUM(VLOOKUP($A20,test!$A$3:$F$32,2,FALSE),VLOOKUP(T$1,test!$A$3:$F$32,2,FALSE))&lt;test!$K$16,$A20&lt;&gt;T$1,feasible_mat!T20=1),SUM(VLOOKUP($A20,test!$A$3:$F$32,2,FALSE), VLOOKUP(T$1,test!$A$3:$F$32,2,FALSE)),0)</f>
        <v>0</v>
      </c>
      <c r="U20">
        <f>IF(AND(SUM(VLOOKUP($A20,test!$A$3:$F$32,2,FALSE),VLOOKUP(U$1,test!$A$3:$F$32,2,FALSE))&lt;test!$K$16,$A20&lt;&gt;U$1,feasible_mat!U20=1),SUM(VLOOKUP($A20,test!$A$3:$F$32,2,FALSE), VLOOKUP(U$1,test!$A$3:$F$32,2,FALSE)),0)</f>
        <v>0</v>
      </c>
      <c r="V20">
        <f>IF(AND(SUM(VLOOKUP($A20,test!$A$3:$F$32,2,FALSE),VLOOKUP(V$1,test!$A$3:$F$32,2,FALSE))&lt;test!$K$16,$A20&lt;&gt;V$1,feasible_mat!V20=1),SUM(VLOOKUP($A20,test!$A$3:$F$32,2,FALSE), VLOOKUP(V$1,test!$A$3:$F$32,2,FALSE)),0)</f>
        <v>270</v>
      </c>
      <c r="W20">
        <f>IF(AND(SUM(VLOOKUP($A20,test!$A$3:$F$32,2,FALSE),VLOOKUP(W$1,test!$A$3:$F$32,2,FALSE))&lt;test!$K$16,$A20&lt;&gt;W$1,feasible_mat!W20=1),SUM(VLOOKUP($A20,test!$A$3:$F$32,2,FALSE), VLOOKUP(W$1,test!$A$3:$F$32,2,FALSE)),0)</f>
        <v>270</v>
      </c>
      <c r="X20">
        <f>IF(AND(SUM(VLOOKUP($A20,test!$A$3:$F$32,2,FALSE),VLOOKUP(X$1,test!$A$3:$F$32,2,FALSE))&lt;test!$K$16,$A20&lt;&gt;X$1,feasible_mat!X20=1),SUM(VLOOKUP($A20,test!$A$3:$F$32,2,FALSE), VLOOKUP(X$1,test!$A$3:$F$32,2,FALSE)),0)</f>
        <v>270</v>
      </c>
      <c r="Y20">
        <f>IF(AND(SUM(VLOOKUP($A20,test!$A$3:$F$32,2,FALSE),VLOOKUP(Y$1,test!$A$3:$F$32,2,FALSE))&lt;test!$K$16,$A20&lt;&gt;Y$1,feasible_mat!Y20=1),SUM(VLOOKUP($A20,test!$A$3:$F$32,2,FALSE), VLOOKUP(Y$1,test!$A$3:$F$32,2,FALSE)),0)</f>
        <v>0</v>
      </c>
      <c r="Z20">
        <f>IF(AND(SUM(VLOOKUP($A20,test!$A$3:$F$32,2,FALSE),VLOOKUP(Z$1,test!$A$3:$F$32,2,FALSE))&lt;test!$K$16,$A20&lt;&gt;Z$1,feasible_mat!Z20=1),SUM(VLOOKUP($A20,test!$A$3:$F$32,2,FALSE), VLOOKUP(Z$1,test!$A$3:$F$32,2,FALSE)),0)</f>
        <v>0</v>
      </c>
      <c r="AA20">
        <f>IF(AND(SUM(VLOOKUP($A20,test!$A$3:$F$32,2,FALSE),VLOOKUP(AA$1,test!$A$3:$F$32,2,FALSE))&lt;test!$K$16,$A20&lt;&gt;AA$1,feasible_mat!AA20=1),SUM(VLOOKUP($A20,test!$A$3:$F$32,2,FALSE), VLOOKUP(AA$1,test!$A$3:$F$32,2,FALSE)),0)</f>
        <v>0</v>
      </c>
      <c r="AB20">
        <f>IF(AND(SUM(VLOOKUP($A20,test!$A$3:$F$32,2,FALSE),VLOOKUP(AB$1,test!$A$3:$F$32,2,FALSE))&lt;test!$K$16,$A20&lt;&gt;AB$1,feasible_mat!AB20=1),SUM(VLOOKUP($A20,test!$A$3:$F$32,2,FALSE), VLOOKUP(AB$1,test!$A$3:$F$32,2,FALSE)),0)</f>
        <v>0</v>
      </c>
      <c r="AC20">
        <f>IF(AND(SUM(VLOOKUP($A20,test!$A$3:$F$32,2,FALSE),VLOOKUP(AC$1,test!$A$3:$F$32,2,FALSE))&lt;test!$K$16,$A20&lt;&gt;AC$1,feasible_mat!AC20=1),SUM(VLOOKUP($A20,test!$A$3:$F$32,2,FALSE), VLOOKUP(AC$1,test!$A$3:$F$32,2,FALSE)),0)</f>
        <v>275</v>
      </c>
      <c r="AD20">
        <f>IF(AND(SUM(VLOOKUP($A20,test!$A$3:$F$32,2,FALSE),VLOOKUP(AD$1,test!$A$3:$F$32,2,FALSE))&lt;test!$K$16,$A20&lt;&gt;AD$1,feasible_mat!AD20=1),SUM(VLOOKUP($A20,test!$A$3:$F$32,2,FALSE), VLOOKUP(AD$1,test!$A$3:$F$32,2,FALSE)),0)</f>
        <v>0</v>
      </c>
      <c r="AE20">
        <f>IF(AND(SUM(VLOOKUP($A20,test!$A$3:$F$32,2,FALSE),VLOOKUP(AE$1,test!$A$3:$F$32,2,FALSE))&lt;test!$K$16,$A20&lt;&gt;AE$1,feasible_mat!AE20=1),SUM(VLOOKUP($A20,test!$A$3:$F$32,2,FALSE), VLOOKUP(AE$1,test!$A$3:$F$32,2,FALSE)),0)</f>
        <v>0</v>
      </c>
      <c r="AF20">
        <f>IF(AND(SUM(VLOOKUP($A20,test!$A$3:$F$32,2,FALSE),VLOOKUP(AF$1,test!$A$3:$F$32,2,FALSE))&lt;test!$K$16,$A20&lt;&gt;AF$1,feasible_mat!AF20=1),SUM(VLOOKUP($A20,test!$A$3:$F$32,2,FALSE), VLOOKUP(AF$1,test!$A$3:$F$32,2,FALSE)),0)</f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30</v>
      </c>
      <c r="B21">
        <v>0</v>
      </c>
      <c r="C21">
        <f>IF(AND(SUM(VLOOKUP($A21,test!$A$3:$F$32,2,FALSE),VLOOKUP(C$1,test!$A$3:$F$32,2,FALSE))&lt;test!$K$16,$A21&lt;&gt;C$1,feasible_mat!C21=1),SUM(VLOOKUP($A21,test!$A$3:$F$32,2,FALSE), VLOOKUP(C$1,test!$A$3:$F$32,2,FALSE)),0)</f>
        <v>0</v>
      </c>
      <c r="D21">
        <f>IF(AND(SUM(VLOOKUP($A21,test!$A$3:$F$32,2,FALSE),VLOOKUP(D$1,test!$A$3:$F$32,2,FALSE))&lt;test!$K$16,$A21&lt;&gt;D$1,feasible_mat!D21=1),SUM(VLOOKUP($A21,test!$A$3:$F$32,2,FALSE), VLOOKUP(D$1,test!$A$3:$F$32,2,FALSE)),0)</f>
        <v>0</v>
      </c>
      <c r="E21">
        <f>IF(AND(SUM(VLOOKUP($A21,test!$A$3:$F$32,2,FALSE),VLOOKUP(E$1,test!$A$3:$F$32,2,FALSE))&lt;test!$K$16,$A21&lt;&gt;E$1,feasible_mat!E21=1),SUM(VLOOKUP($A21,test!$A$3:$F$32,2,FALSE), VLOOKUP(E$1,test!$A$3:$F$32,2,FALSE)),0)</f>
        <v>0</v>
      </c>
      <c r="F21">
        <f>IF(AND(SUM(VLOOKUP($A21,test!$A$3:$F$32,2,FALSE),VLOOKUP(F$1,test!$A$3:$F$32,2,FALSE))&lt;test!$K$16,$A21&lt;&gt;F$1,feasible_mat!F21=1),SUM(VLOOKUP($A21,test!$A$3:$F$32,2,FALSE), VLOOKUP(F$1,test!$A$3:$F$32,2,FALSE)),0)</f>
        <v>0</v>
      </c>
      <c r="G21">
        <f>IF(AND(SUM(VLOOKUP($A21,test!$A$3:$F$32,2,FALSE),VLOOKUP(G$1,test!$A$3:$F$32,2,FALSE))&lt;test!$K$16,$A21&lt;&gt;G$1,feasible_mat!G21=1),SUM(VLOOKUP($A21,test!$A$3:$F$32,2,FALSE), VLOOKUP(G$1,test!$A$3:$F$32,2,FALSE)),0)</f>
        <v>0</v>
      </c>
      <c r="H21">
        <f>IF(AND(SUM(VLOOKUP($A21,test!$A$3:$F$32,2,FALSE),VLOOKUP(H$1,test!$A$3:$F$32,2,FALSE))&lt;test!$K$16,$A21&lt;&gt;H$1,feasible_mat!H21=1),SUM(VLOOKUP($A21,test!$A$3:$F$32,2,FALSE), VLOOKUP(H$1,test!$A$3:$F$32,2,FALSE)),0)</f>
        <v>0</v>
      </c>
      <c r="I21">
        <f>IF(AND(SUM(VLOOKUP($A21,test!$A$3:$F$32,2,FALSE),VLOOKUP(I$1,test!$A$3:$F$32,2,FALSE))&lt;test!$K$16,$A21&lt;&gt;I$1,feasible_mat!I21=1),SUM(VLOOKUP($A21,test!$A$3:$F$32,2,FALSE), VLOOKUP(I$1,test!$A$3:$F$32,2,FALSE)),0)</f>
        <v>270</v>
      </c>
      <c r="J21">
        <f>IF(AND(SUM(VLOOKUP($A21,test!$A$3:$F$32,2,FALSE),VLOOKUP(J$1,test!$A$3:$F$32,2,FALSE))&lt;test!$K$16,$A21&lt;&gt;J$1,feasible_mat!J21=1),SUM(VLOOKUP($A21,test!$A$3:$F$32,2,FALSE), VLOOKUP(J$1,test!$A$3:$F$32,2,FALSE)),0)</f>
        <v>270</v>
      </c>
      <c r="K21">
        <f>IF(AND(SUM(VLOOKUP($A21,test!$A$3:$F$32,2,FALSE),VLOOKUP(K$1,test!$A$3:$F$32,2,FALSE))&lt;test!$K$16,$A21&lt;&gt;K$1,feasible_mat!K21=1),SUM(VLOOKUP($A21,test!$A$3:$F$32,2,FALSE), VLOOKUP(K$1,test!$A$3:$F$32,2,FALSE)),0)</f>
        <v>0</v>
      </c>
      <c r="L21">
        <f>IF(AND(SUM(VLOOKUP($A21,test!$A$3:$F$32,2,FALSE),VLOOKUP(L$1,test!$A$3:$F$32,2,FALSE))&lt;test!$K$16,$A21&lt;&gt;L$1,feasible_mat!L21=1),SUM(VLOOKUP($A21,test!$A$3:$F$32,2,FALSE), VLOOKUP(L$1,test!$A$3:$F$32,2,FALSE)),0)</f>
        <v>0</v>
      </c>
      <c r="M21">
        <f>IF(AND(SUM(VLOOKUP($A21,test!$A$3:$F$32,2,FALSE),VLOOKUP(M$1,test!$A$3:$F$32,2,FALSE))&lt;test!$K$16,$A21&lt;&gt;M$1,feasible_mat!M21=1),SUM(VLOOKUP($A21,test!$A$3:$F$32,2,FALSE), VLOOKUP(M$1,test!$A$3:$F$32,2,FALSE)),0)</f>
        <v>0</v>
      </c>
      <c r="N21">
        <f>IF(AND(SUM(VLOOKUP($A21,test!$A$3:$F$32,2,FALSE),VLOOKUP(N$1,test!$A$3:$F$32,2,FALSE))&lt;test!$K$16,$A21&lt;&gt;N$1,feasible_mat!N21=1),SUM(VLOOKUP($A21,test!$A$3:$F$32,2,FALSE), VLOOKUP(N$1,test!$A$3:$F$32,2,FALSE)),0)</f>
        <v>275</v>
      </c>
      <c r="O21">
        <f>IF(AND(SUM(VLOOKUP($A21,test!$A$3:$F$32,2,FALSE),VLOOKUP(O$1,test!$A$3:$F$32,2,FALSE))&lt;test!$K$16,$A21&lt;&gt;O$1,feasible_mat!O21=1),SUM(VLOOKUP($A21,test!$A$3:$F$32,2,FALSE), VLOOKUP(O$1,test!$A$3:$F$32,2,FALSE)),0)</f>
        <v>275</v>
      </c>
      <c r="P21">
        <f>IF(AND(SUM(VLOOKUP($A21,test!$A$3:$F$32,2,FALSE),VLOOKUP(P$1,test!$A$3:$F$32,2,FALSE))&lt;test!$K$16,$A21&lt;&gt;P$1,feasible_mat!P21=1),SUM(VLOOKUP($A21,test!$A$3:$F$32,2,FALSE), VLOOKUP(P$1,test!$A$3:$F$32,2,FALSE)),0)</f>
        <v>0</v>
      </c>
      <c r="Q21">
        <f>IF(AND(SUM(VLOOKUP($A21,test!$A$3:$F$32,2,FALSE),VLOOKUP(Q$1,test!$A$3:$F$32,2,FALSE))&lt;test!$K$16,$A21&lt;&gt;Q$1,feasible_mat!Q21=1),SUM(VLOOKUP($A21,test!$A$3:$F$32,2,FALSE), VLOOKUP(Q$1,test!$A$3:$F$32,2,FALSE)),0)</f>
        <v>0</v>
      </c>
      <c r="R21">
        <f>IF(AND(SUM(VLOOKUP($A21,test!$A$3:$F$32,2,FALSE),VLOOKUP(R$1,test!$A$3:$F$32,2,FALSE))&lt;test!$K$16,$A21&lt;&gt;R$1,feasible_mat!R21=1),SUM(VLOOKUP($A21,test!$A$3:$F$32,2,FALSE), VLOOKUP(R$1,test!$A$3:$F$32,2,FALSE)),0)</f>
        <v>0</v>
      </c>
      <c r="S21">
        <f>IF(AND(SUM(VLOOKUP($A21,test!$A$3:$F$32,2,FALSE),VLOOKUP(S$1,test!$A$3:$F$32,2,FALSE))&lt;test!$K$16,$A21&lt;&gt;S$1,feasible_mat!S21=1),SUM(VLOOKUP($A21,test!$A$3:$F$32,2,FALSE), VLOOKUP(S$1,test!$A$3:$F$32,2,FALSE)),0)</f>
        <v>0</v>
      </c>
      <c r="T21">
        <f>IF(AND(SUM(VLOOKUP($A21,test!$A$3:$F$32,2,FALSE),VLOOKUP(T$1,test!$A$3:$F$32,2,FALSE))&lt;test!$K$16,$A21&lt;&gt;T$1,feasible_mat!T21=1),SUM(VLOOKUP($A21,test!$A$3:$F$32,2,FALSE), VLOOKUP(T$1,test!$A$3:$F$32,2,FALSE)),0)</f>
        <v>0</v>
      </c>
      <c r="U21">
        <f>IF(AND(SUM(VLOOKUP($A21,test!$A$3:$F$32,2,FALSE),VLOOKUP(U$1,test!$A$3:$F$32,2,FALSE))&lt;test!$K$16,$A21&lt;&gt;U$1,feasible_mat!U21=1),SUM(VLOOKUP($A21,test!$A$3:$F$32,2,FALSE), VLOOKUP(U$1,test!$A$3:$F$32,2,FALSE)),0)</f>
        <v>0</v>
      </c>
      <c r="V21">
        <f>IF(AND(SUM(VLOOKUP($A21,test!$A$3:$F$32,2,FALSE),VLOOKUP(V$1,test!$A$3:$F$32,2,FALSE))&lt;test!$K$16,$A21&lt;&gt;V$1,feasible_mat!V21=1),SUM(VLOOKUP($A21,test!$A$3:$F$32,2,FALSE), VLOOKUP(V$1,test!$A$3:$F$32,2,FALSE)),0)</f>
        <v>0</v>
      </c>
      <c r="W21">
        <f>IF(AND(SUM(VLOOKUP($A21,test!$A$3:$F$32,2,FALSE),VLOOKUP(W$1,test!$A$3:$F$32,2,FALSE))&lt;test!$K$16,$A21&lt;&gt;W$1,feasible_mat!W21=1),SUM(VLOOKUP($A21,test!$A$3:$F$32,2,FALSE), VLOOKUP(W$1,test!$A$3:$F$32,2,FALSE)),0)</f>
        <v>270</v>
      </c>
      <c r="X21">
        <f>IF(AND(SUM(VLOOKUP($A21,test!$A$3:$F$32,2,FALSE),VLOOKUP(X$1,test!$A$3:$F$32,2,FALSE))&lt;test!$K$16,$A21&lt;&gt;X$1,feasible_mat!X21=1),SUM(VLOOKUP($A21,test!$A$3:$F$32,2,FALSE), VLOOKUP(X$1,test!$A$3:$F$32,2,FALSE)),0)</f>
        <v>270</v>
      </c>
      <c r="Y21">
        <f>IF(AND(SUM(VLOOKUP($A21,test!$A$3:$F$32,2,FALSE),VLOOKUP(Y$1,test!$A$3:$F$32,2,FALSE))&lt;test!$K$16,$A21&lt;&gt;Y$1,feasible_mat!Y21=1),SUM(VLOOKUP($A21,test!$A$3:$F$32,2,FALSE), VLOOKUP(Y$1,test!$A$3:$F$32,2,FALSE)),0)</f>
        <v>0</v>
      </c>
      <c r="Z21">
        <f>IF(AND(SUM(VLOOKUP($A21,test!$A$3:$F$32,2,FALSE),VLOOKUP(Z$1,test!$A$3:$F$32,2,FALSE))&lt;test!$K$16,$A21&lt;&gt;Z$1,feasible_mat!Z21=1),SUM(VLOOKUP($A21,test!$A$3:$F$32,2,FALSE), VLOOKUP(Z$1,test!$A$3:$F$32,2,FALSE)),0)</f>
        <v>0</v>
      </c>
      <c r="AA21">
        <f>IF(AND(SUM(VLOOKUP($A21,test!$A$3:$F$32,2,FALSE),VLOOKUP(AA$1,test!$A$3:$F$32,2,FALSE))&lt;test!$K$16,$A21&lt;&gt;AA$1,feasible_mat!AA21=1),SUM(VLOOKUP($A21,test!$A$3:$F$32,2,FALSE), VLOOKUP(AA$1,test!$A$3:$F$32,2,FALSE)),0)</f>
        <v>0</v>
      </c>
      <c r="AB21">
        <f>IF(AND(SUM(VLOOKUP($A21,test!$A$3:$F$32,2,FALSE),VLOOKUP(AB$1,test!$A$3:$F$32,2,FALSE))&lt;test!$K$16,$A21&lt;&gt;AB$1,feasible_mat!AB21=1),SUM(VLOOKUP($A21,test!$A$3:$F$32,2,FALSE), VLOOKUP(AB$1,test!$A$3:$F$32,2,FALSE)),0)</f>
        <v>0</v>
      </c>
      <c r="AC21">
        <f>IF(AND(SUM(VLOOKUP($A21,test!$A$3:$F$32,2,FALSE),VLOOKUP(AC$1,test!$A$3:$F$32,2,FALSE))&lt;test!$K$16,$A21&lt;&gt;AC$1,feasible_mat!AC21=1),SUM(VLOOKUP($A21,test!$A$3:$F$32,2,FALSE), VLOOKUP(AC$1,test!$A$3:$F$32,2,FALSE)),0)</f>
        <v>0</v>
      </c>
      <c r="AD21">
        <f>IF(AND(SUM(VLOOKUP($A21,test!$A$3:$F$32,2,FALSE),VLOOKUP(AD$1,test!$A$3:$F$32,2,FALSE))&lt;test!$K$16,$A21&lt;&gt;AD$1,feasible_mat!AD21=1),SUM(VLOOKUP($A21,test!$A$3:$F$32,2,FALSE), VLOOKUP(AD$1,test!$A$3:$F$32,2,FALSE)),0)</f>
        <v>0</v>
      </c>
      <c r="AE21">
        <f>IF(AND(SUM(VLOOKUP($A21,test!$A$3:$F$32,2,FALSE),VLOOKUP(AE$1,test!$A$3:$F$32,2,FALSE))&lt;test!$K$16,$A21&lt;&gt;AE$1,feasible_mat!AE21=1),SUM(VLOOKUP($A21,test!$A$3:$F$32,2,FALSE), VLOOKUP(AE$1,test!$A$3:$F$32,2,FALSE)),0)</f>
        <v>0</v>
      </c>
      <c r="AF21">
        <f>IF(AND(SUM(VLOOKUP($A21,test!$A$3:$F$32,2,FALSE),VLOOKUP(AF$1,test!$A$3:$F$32,2,FALSE))&lt;test!$K$16,$A21&lt;&gt;AF$1,feasible_mat!AF21=1),SUM(VLOOKUP($A21,test!$A$3:$F$32,2,FALSE), VLOOKUP(AF$1,test!$A$3:$F$32,2,FALSE)),0)</f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31</v>
      </c>
      <c r="B22">
        <v>0</v>
      </c>
      <c r="C22">
        <f>IF(AND(SUM(VLOOKUP($A22,test!$A$3:$F$32,2,FALSE),VLOOKUP(C$1,test!$A$3:$F$32,2,FALSE))&lt;test!$K$16,$A22&lt;&gt;C$1,feasible_mat!C22=1),SUM(VLOOKUP($A22,test!$A$3:$F$32,2,FALSE), VLOOKUP(C$1,test!$A$3:$F$32,2,FALSE)),0)</f>
        <v>0</v>
      </c>
      <c r="D22">
        <f>IF(AND(SUM(VLOOKUP($A22,test!$A$3:$F$32,2,FALSE),VLOOKUP(D$1,test!$A$3:$F$32,2,FALSE))&lt;test!$K$16,$A22&lt;&gt;D$1,feasible_mat!D22=1),SUM(VLOOKUP($A22,test!$A$3:$F$32,2,FALSE), VLOOKUP(D$1,test!$A$3:$F$32,2,FALSE)),0)</f>
        <v>0</v>
      </c>
      <c r="E22">
        <f>IF(AND(SUM(VLOOKUP($A22,test!$A$3:$F$32,2,FALSE),VLOOKUP(E$1,test!$A$3:$F$32,2,FALSE))&lt;test!$K$16,$A22&lt;&gt;E$1,feasible_mat!E22=1),SUM(VLOOKUP($A22,test!$A$3:$F$32,2,FALSE), VLOOKUP(E$1,test!$A$3:$F$32,2,FALSE)),0)</f>
        <v>0</v>
      </c>
      <c r="F22">
        <f>IF(AND(SUM(VLOOKUP($A22,test!$A$3:$F$32,2,FALSE),VLOOKUP(F$1,test!$A$3:$F$32,2,FALSE))&lt;test!$K$16,$A22&lt;&gt;F$1,feasible_mat!F22=1),SUM(VLOOKUP($A22,test!$A$3:$F$32,2,FALSE), VLOOKUP(F$1,test!$A$3:$F$32,2,FALSE)),0)</f>
        <v>0</v>
      </c>
      <c r="G22">
        <f>IF(AND(SUM(VLOOKUP($A22,test!$A$3:$F$32,2,FALSE),VLOOKUP(G$1,test!$A$3:$F$32,2,FALSE))&lt;test!$K$16,$A22&lt;&gt;G$1,feasible_mat!G22=1),SUM(VLOOKUP($A22,test!$A$3:$F$32,2,FALSE), VLOOKUP(G$1,test!$A$3:$F$32,2,FALSE)),0)</f>
        <v>0</v>
      </c>
      <c r="H22">
        <f>IF(AND(SUM(VLOOKUP($A22,test!$A$3:$F$32,2,FALSE),VLOOKUP(H$1,test!$A$3:$F$32,2,FALSE))&lt;test!$K$16,$A22&lt;&gt;H$1,feasible_mat!H22=1),SUM(VLOOKUP($A22,test!$A$3:$F$32,2,FALSE), VLOOKUP(H$1,test!$A$3:$F$32,2,FALSE)),0)</f>
        <v>0</v>
      </c>
      <c r="I22">
        <f>IF(AND(SUM(VLOOKUP($A22,test!$A$3:$F$32,2,FALSE),VLOOKUP(I$1,test!$A$3:$F$32,2,FALSE))&lt;test!$K$16,$A22&lt;&gt;I$1,feasible_mat!I22=1),SUM(VLOOKUP($A22,test!$A$3:$F$32,2,FALSE), VLOOKUP(I$1,test!$A$3:$F$32,2,FALSE)),0)</f>
        <v>0</v>
      </c>
      <c r="J22">
        <f>IF(AND(SUM(VLOOKUP($A22,test!$A$3:$F$32,2,FALSE),VLOOKUP(J$1,test!$A$3:$F$32,2,FALSE))&lt;test!$K$16,$A22&lt;&gt;J$1,feasible_mat!J22=1),SUM(VLOOKUP($A22,test!$A$3:$F$32,2,FALSE), VLOOKUP(J$1,test!$A$3:$F$32,2,FALSE)),0)</f>
        <v>270</v>
      </c>
      <c r="K22">
        <f>IF(AND(SUM(VLOOKUP($A22,test!$A$3:$F$32,2,FALSE),VLOOKUP(K$1,test!$A$3:$F$32,2,FALSE))&lt;test!$K$16,$A22&lt;&gt;K$1,feasible_mat!K22=1),SUM(VLOOKUP($A22,test!$A$3:$F$32,2,FALSE), VLOOKUP(K$1,test!$A$3:$F$32,2,FALSE)),0)</f>
        <v>0</v>
      </c>
      <c r="L22">
        <f>IF(AND(SUM(VLOOKUP($A22,test!$A$3:$F$32,2,FALSE),VLOOKUP(L$1,test!$A$3:$F$32,2,FALSE))&lt;test!$K$16,$A22&lt;&gt;L$1,feasible_mat!L22=1),SUM(VLOOKUP($A22,test!$A$3:$F$32,2,FALSE), VLOOKUP(L$1,test!$A$3:$F$32,2,FALSE)),0)</f>
        <v>0</v>
      </c>
      <c r="M22">
        <f>IF(AND(SUM(VLOOKUP($A22,test!$A$3:$F$32,2,FALSE),VLOOKUP(M$1,test!$A$3:$F$32,2,FALSE))&lt;test!$K$16,$A22&lt;&gt;M$1,feasible_mat!M22=1),SUM(VLOOKUP($A22,test!$A$3:$F$32,2,FALSE), VLOOKUP(M$1,test!$A$3:$F$32,2,FALSE)),0)</f>
        <v>0</v>
      </c>
      <c r="N22">
        <f>IF(AND(SUM(VLOOKUP($A22,test!$A$3:$F$32,2,FALSE),VLOOKUP(N$1,test!$A$3:$F$32,2,FALSE))&lt;test!$K$16,$A22&lt;&gt;N$1,feasible_mat!N22=1),SUM(VLOOKUP($A22,test!$A$3:$F$32,2,FALSE), VLOOKUP(N$1,test!$A$3:$F$32,2,FALSE)),0)</f>
        <v>275</v>
      </c>
      <c r="O22">
        <f>IF(AND(SUM(VLOOKUP($A22,test!$A$3:$F$32,2,FALSE),VLOOKUP(O$1,test!$A$3:$F$32,2,FALSE))&lt;test!$K$16,$A22&lt;&gt;O$1,feasible_mat!O22=1),SUM(VLOOKUP($A22,test!$A$3:$F$32,2,FALSE), VLOOKUP(O$1,test!$A$3:$F$32,2,FALSE)),0)</f>
        <v>275</v>
      </c>
      <c r="P22">
        <f>IF(AND(SUM(VLOOKUP($A22,test!$A$3:$F$32,2,FALSE),VLOOKUP(P$1,test!$A$3:$F$32,2,FALSE))&lt;test!$K$16,$A22&lt;&gt;P$1,feasible_mat!P22=1),SUM(VLOOKUP($A22,test!$A$3:$F$32,2,FALSE), VLOOKUP(P$1,test!$A$3:$F$32,2,FALSE)),0)</f>
        <v>0</v>
      </c>
      <c r="Q22">
        <f>IF(AND(SUM(VLOOKUP($A22,test!$A$3:$F$32,2,FALSE),VLOOKUP(Q$1,test!$A$3:$F$32,2,FALSE))&lt;test!$K$16,$A22&lt;&gt;Q$1,feasible_mat!Q22=1),SUM(VLOOKUP($A22,test!$A$3:$F$32,2,FALSE), VLOOKUP(Q$1,test!$A$3:$F$32,2,FALSE)),0)</f>
        <v>0</v>
      </c>
      <c r="R22">
        <f>IF(AND(SUM(VLOOKUP($A22,test!$A$3:$F$32,2,FALSE),VLOOKUP(R$1,test!$A$3:$F$32,2,FALSE))&lt;test!$K$16,$A22&lt;&gt;R$1,feasible_mat!R22=1),SUM(VLOOKUP($A22,test!$A$3:$F$32,2,FALSE), VLOOKUP(R$1,test!$A$3:$F$32,2,FALSE)),0)</f>
        <v>0</v>
      </c>
      <c r="S22">
        <f>IF(AND(SUM(VLOOKUP($A22,test!$A$3:$F$32,2,FALSE),VLOOKUP(S$1,test!$A$3:$F$32,2,FALSE))&lt;test!$K$16,$A22&lt;&gt;S$1,feasible_mat!S22=1),SUM(VLOOKUP($A22,test!$A$3:$F$32,2,FALSE), VLOOKUP(S$1,test!$A$3:$F$32,2,FALSE)),0)</f>
        <v>0</v>
      </c>
      <c r="T22">
        <f>IF(AND(SUM(VLOOKUP($A22,test!$A$3:$F$32,2,FALSE),VLOOKUP(T$1,test!$A$3:$F$32,2,FALSE))&lt;test!$K$16,$A22&lt;&gt;T$1,feasible_mat!T22=1),SUM(VLOOKUP($A22,test!$A$3:$F$32,2,FALSE), VLOOKUP(T$1,test!$A$3:$F$32,2,FALSE)),0)</f>
        <v>0</v>
      </c>
      <c r="U22">
        <f>IF(AND(SUM(VLOOKUP($A22,test!$A$3:$F$32,2,FALSE),VLOOKUP(U$1,test!$A$3:$F$32,2,FALSE))&lt;test!$K$16,$A22&lt;&gt;U$1,feasible_mat!U22=1),SUM(VLOOKUP($A22,test!$A$3:$F$32,2,FALSE), VLOOKUP(U$1,test!$A$3:$F$32,2,FALSE)),0)</f>
        <v>0</v>
      </c>
      <c r="V22">
        <f>IF(AND(SUM(VLOOKUP($A22,test!$A$3:$F$32,2,FALSE),VLOOKUP(V$1,test!$A$3:$F$32,2,FALSE))&lt;test!$K$16,$A22&lt;&gt;V$1,feasible_mat!V22=1),SUM(VLOOKUP($A22,test!$A$3:$F$32,2,FALSE), VLOOKUP(V$1,test!$A$3:$F$32,2,FALSE)),0)</f>
        <v>0</v>
      </c>
      <c r="W22">
        <f>IF(AND(SUM(VLOOKUP($A22,test!$A$3:$F$32,2,FALSE),VLOOKUP(W$1,test!$A$3:$F$32,2,FALSE))&lt;test!$K$16,$A22&lt;&gt;W$1,feasible_mat!W22=1),SUM(VLOOKUP($A22,test!$A$3:$F$32,2,FALSE), VLOOKUP(W$1,test!$A$3:$F$32,2,FALSE)),0)</f>
        <v>0</v>
      </c>
      <c r="X22">
        <f>IF(AND(SUM(VLOOKUP($A22,test!$A$3:$F$32,2,FALSE),VLOOKUP(X$1,test!$A$3:$F$32,2,FALSE))&lt;test!$K$16,$A22&lt;&gt;X$1,feasible_mat!X22=1),SUM(VLOOKUP($A22,test!$A$3:$F$32,2,FALSE), VLOOKUP(X$1,test!$A$3:$F$32,2,FALSE)),0)</f>
        <v>270</v>
      </c>
      <c r="Y22">
        <f>IF(AND(SUM(VLOOKUP($A22,test!$A$3:$F$32,2,FALSE),VLOOKUP(Y$1,test!$A$3:$F$32,2,FALSE))&lt;test!$K$16,$A22&lt;&gt;Y$1,feasible_mat!Y22=1),SUM(VLOOKUP($A22,test!$A$3:$F$32,2,FALSE), VLOOKUP(Y$1,test!$A$3:$F$32,2,FALSE)),0)</f>
        <v>0</v>
      </c>
      <c r="Z22">
        <f>IF(AND(SUM(VLOOKUP($A22,test!$A$3:$F$32,2,FALSE),VLOOKUP(Z$1,test!$A$3:$F$32,2,FALSE))&lt;test!$K$16,$A22&lt;&gt;Z$1,feasible_mat!Z22=1),SUM(VLOOKUP($A22,test!$A$3:$F$32,2,FALSE), VLOOKUP(Z$1,test!$A$3:$F$32,2,FALSE)),0)</f>
        <v>0</v>
      </c>
      <c r="AA22">
        <f>IF(AND(SUM(VLOOKUP($A22,test!$A$3:$F$32,2,FALSE),VLOOKUP(AA$1,test!$A$3:$F$32,2,FALSE))&lt;test!$K$16,$A22&lt;&gt;AA$1,feasible_mat!AA22=1),SUM(VLOOKUP($A22,test!$A$3:$F$32,2,FALSE), VLOOKUP(AA$1,test!$A$3:$F$32,2,FALSE)),0)</f>
        <v>0</v>
      </c>
      <c r="AB22">
        <f>IF(AND(SUM(VLOOKUP($A22,test!$A$3:$F$32,2,FALSE),VLOOKUP(AB$1,test!$A$3:$F$32,2,FALSE))&lt;test!$K$16,$A22&lt;&gt;AB$1,feasible_mat!AB22=1),SUM(VLOOKUP($A22,test!$A$3:$F$32,2,FALSE), VLOOKUP(AB$1,test!$A$3:$F$32,2,FALSE)),0)</f>
        <v>0</v>
      </c>
      <c r="AC22">
        <f>IF(AND(SUM(VLOOKUP($A22,test!$A$3:$F$32,2,FALSE),VLOOKUP(AC$1,test!$A$3:$F$32,2,FALSE))&lt;test!$K$16,$A22&lt;&gt;AC$1,feasible_mat!AC22=1),SUM(VLOOKUP($A22,test!$A$3:$F$32,2,FALSE), VLOOKUP(AC$1,test!$A$3:$F$32,2,FALSE)),0)</f>
        <v>0</v>
      </c>
      <c r="AD22">
        <f>IF(AND(SUM(VLOOKUP($A22,test!$A$3:$F$32,2,FALSE),VLOOKUP(AD$1,test!$A$3:$F$32,2,FALSE))&lt;test!$K$16,$A22&lt;&gt;AD$1,feasible_mat!AD22=1),SUM(VLOOKUP($A22,test!$A$3:$F$32,2,FALSE), VLOOKUP(AD$1,test!$A$3:$F$32,2,FALSE)),0)</f>
        <v>0</v>
      </c>
      <c r="AE22">
        <f>IF(AND(SUM(VLOOKUP($A22,test!$A$3:$F$32,2,FALSE),VLOOKUP(AE$1,test!$A$3:$F$32,2,FALSE))&lt;test!$K$16,$A22&lt;&gt;AE$1,feasible_mat!AE22=1),SUM(VLOOKUP($A22,test!$A$3:$F$32,2,FALSE), VLOOKUP(AE$1,test!$A$3:$F$32,2,FALSE)),0)</f>
        <v>0</v>
      </c>
      <c r="AF22">
        <f>IF(AND(SUM(VLOOKUP($A22,test!$A$3:$F$32,2,FALSE),VLOOKUP(AF$1,test!$A$3:$F$32,2,FALSE))&lt;test!$K$16,$A22&lt;&gt;AF$1,feasible_mat!AF22=1),SUM(VLOOKUP($A22,test!$A$3:$F$32,2,FALSE), VLOOKUP(AF$1,test!$A$3:$F$32,2,FALSE)),0)</f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32</v>
      </c>
      <c r="B23">
        <v>0</v>
      </c>
      <c r="C23">
        <f>IF(AND(SUM(VLOOKUP($A23,test!$A$3:$F$32,2,FALSE),VLOOKUP(C$1,test!$A$3:$F$32,2,FALSE))&lt;test!$K$16,$A23&lt;&gt;C$1,feasible_mat!C23=1),SUM(VLOOKUP($A23,test!$A$3:$F$32,2,FALSE), VLOOKUP(C$1,test!$A$3:$F$32,2,FALSE)),0)</f>
        <v>0</v>
      </c>
      <c r="D23">
        <f>IF(AND(SUM(VLOOKUP($A23,test!$A$3:$F$32,2,FALSE),VLOOKUP(D$1,test!$A$3:$F$32,2,FALSE))&lt;test!$K$16,$A23&lt;&gt;D$1,feasible_mat!D23=1),SUM(VLOOKUP($A23,test!$A$3:$F$32,2,FALSE), VLOOKUP(D$1,test!$A$3:$F$32,2,FALSE)),0)</f>
        <v>0</v>
      </c>
      <c r="E23">
        <f>IF(AND(SUM(VLOOKUP($A23,test!$A$3:$F$32,2,FALSE),VLOOKUP(E$1,test!$A$3:$F$32,2,FALSE))&lt;test!$K$16,$A23&lt;&gt;E$1,feasible_mat!E23=1),SUM(VLOOKUP($A23,test!$A$3:$F$32,2,FALSE), VLOOKUP(E$1,test!$A$3:$F$32,2,FALSE)),0)</f>
        <v>0</v>
      </c>
      <c r="F23">
        <f>IF(AND(SUM(VLOOKUP($A23,test!$A$3:$F$32,2,FALSE),VLOOKUP(F$1,test!$A$3:$F$32,2,FALSE))&lt;test!$K$16,$A23&lt;&gt;F$1,feasible_mat!F23=1),SUM(VLOOKUP($A23,test!$A$3:$F$32,2,FALSE), VLOOKUP(F$1,test!$A$3:$F$32,2,FALSE)),0)</f>
        <v>0</v>
      </c>
      <c r="G23">
        <f>IF(AND(SUM(VLOOKUP($A23,test!$A$3:$F$32,2,FALSE),VLOOKUP(G$1,test!$A$3:$F$32,2,FALSE))&lt;test!$K$16,$A23&lt;&gt;G$1,feasible_mat!G23=1),SUM(VLOOKUP($A23,test!$A$3:$F$32,2,FALSE), VLOOKUP(G$1,test!$A$3:$F$32,2,FALSE)),0)</f>
        <v>0</v>
      </c>
      <c r="H23">
        <f>IF(AND(SUM(VLOOKUP($A23,test!$A$3:$F$32,2,FALSE),VLOOKUP(H$1,test!$A$3:$F$32,2,FALSE))&lt;test!$K$16,$A23&lt;&gt;H$1,feasible_mat!H23=1),SUM(VLOOKUP($A23,test!$A$3:$F$32,2,FALSE), VLOOKUP(H$1,test!$A$3:$F$32,2,FALSE)),0)</f>
        <v>0</v>
      </c>
      <c r="I23">
        <f>IF(AND(SUM(VLOOKUP($A23,test!$A$3:$F$32,2,FALSE),VLOOKUP(I$1,test!$A$3:$F$32,2,FALSE))&lt;test!$K$16,$A23&lt;&gt;I$1,feasible_mat!I23=1),SUM(VLOOKUP($A23,test!$A$3:$F$32,2,FALSE), VLOOKUP(I$1,test!$A$3:$F$32,2,FALSE)),0)</f>
        <v>0</v>
      </c>
      <c r="J23">
        <f>IF(AND(SUM(VLOOKUP($A23,test!$A$3:$F$32,2,FALSE),VLOOKUP(J$1,test!$A$3:$F$32,2,FALSE))&lt;test!$K$16,$A23&lt;&gt;J$1,feasible_mat!J23=1),SUM(VLOOKUP($A23,test!$A$3:$F$32,2,FALSE), VLOOKUP(J$1,test!$A$3:$F$32,2,FALSE)),0)</f>
        <v>0</v>
      </c>
      <c r="K23">
        <f>IF(AND(SUM(VLOOKUP($A23,test!$A$3:$F$32,2,FALSE),VLOOKUP(K$1,test!$A$3:$F$32,2,FALSE))&lt;test!$K$16,$A23&lt;&gt;K$1,feasible_mat!K23=1),SUM(VLOOKUP($A23,test!$A$3:$F$32,2,FALSE), VLOOKUP(K$1,test!$A$3:$F$32,2,FALSE)),0)</f>
        <v>0</v>
      </c>
      <c r="L23">
        <f>IF(AND(SUM(VLOOKUP($A23,test!$A$3:$F$32,2,FALSE),VLOOKUP(L$1,test!$A$3:$F$32,2,FALSE))&lt;test!$K$16,$A23&lt;&gt;L$1,feasible_mat!L23=1),SUM(VLOOKUP($A23,test!$A$3:$F$32,2,FALSE), VLOOKUP(L$1,test!$A$3:$F$32,2,FALSE)),0)</f>
        <v>0</v>
      </c>
      <c r="M23">
        <f>IF(AND(SUM(VLOOKUP($A23,test!$A$3:$F$32,2,FALSE),VLOOKUP(M$1,test!$A$3:$F$32,2,FALSE))&lt;test!$K$16,$A23&lt;&gt;M$1,feasible_mat!M23=1),SUM(VLOOKUP($A23,test!$A$3:$F$32,2,FALSE), VLOOKUP(M$1,test!$A$3:$F$32,2,FALSE)),0)</f>
        <v>0</v>
      </c>
      <c r="N23">
        <f>IF(AND(SUM(VLOOKUP($A23,test!$A$3:$F$32,2,FALSE),VLOOKUP(N$1,test!$A$3:$F$32,2,FALSE))&lt;test!$K$16,$A23&lt;&gt;N$1,feasible_mat!N23=1),SUM(VLOOKUP($A23,test!$A$3:$F$32,2,FALSE), VLOOKUP(N$1,test!$A$3:$F$32,2,FALSE)),0)</f>
        <v>0</v>
      </c>
      <c r="O23">
        <f>IF(AND(SUM(VLOOKUP($A23,test!$A$3:$F$32,2,FALSE),VLOOKUP(O$1,test!$A$3:$F$32,2,FALSE))&lt;test!$K$16,$A23&lt;&gt;O$1,feasible_mat!O23=1),SUM(VLOOKUP($A23,test!$A$3:$F$32,2,FALSE), VLOOKUP(O$1,test!$A$3:$F$32,2,FALSE)),0)</f>
        <v>0</v>
      </c>
      <c r="P23">
        <f>IF(AND(SUM(VLOOKUP($A23,test!$A$3:$F$32,2,FALSE),VLOOKUP(P$1,test!$A$3:$F$32,2,FALSE))&lt;test!$K$16,$A23&lt;&gt;P$1,feasible_mat!P23=1),SUM(VLOOKUP($A23,test!$A$3:$F$32,2,FALSE), VLOOKUP(P$1,test!$A$3:$F$32,2,FALSE)),0)</f>
        <v>0</v>
      </c>
      <c r="Q23">
        <f>IF(AND(SUM(VLOOKUP($A23,test!$A$3:$F$32,2,FALSE),VLOOKUP(Q$1,test!$A$3:$F$32,2,FALSE))&lt;test!$K$16,$A23&lt;&gt;Q$1,feasible_mat!Q23=1),SUM(VLOOKUP($A23,test!$A$3:$F$32,2,FALSE), VLOOKUP(Q$1,test!$A$3:$F$32,2,FALSE)),0)</f>
        <v>0</v>
      </c>
      <c r="R23">
        <f>IF(AND(SUM(VLOOKUP($A23,test!$A$3:$F$32,2,FALSE),VLOOKUP(R$1,test!$A$3:$F$32,2,FALSE))&lt;test!$K$16,$A23&lt;&gt;R$1,feasible_mat!R23=1),SUM(VLOOKUP($A23,test!$A$3:$F$32,2,FALSE), VLOOKUP(R$1,test!$A$3:$F$32,2,FALSE)),0)</f>
        <v>0</v>
      </c>
      <c r="S23">
        <f>IF(AND(SUM(VLOOKUP($A23,test!$A$3:$F$32,2,FALSE),VLOOKUP(S$1,test!$A$3:$F$32,2,FALSE))&lt;test!$K$16,$A23&lt;&gt;S$1,feasible_mat!S23=1),SUM(VLOOKUP($A23,test!$A$3:$F$32,2,FALSE), VLOOKUP(S$1,test!$A$3:$F$32,2,FALSE)),0)</f>
        <v>0</v>
      </c>
      <c r="T23">
        <f>IF(AND(SUM(VLOOKUP($A23,test!$A$3:$F$32,2,FALSE),VLOOKUP(T$1,test!$A$3:$F$32,2,FALSE))&lt;test!$K$16,$A23&lt;&gt;T$1,feasible_mat!T23=1),SUM(VLOOKUP($A23,test!$A$3:$F$32,2,FALSE), VLOOKUP(T$1,test!$A$3:$F$32,2,FALSE)),0)</f>
        <v>0</v>
      </c>
      <c r="U23">
        <f>IF(AND(SUM(VLOOKUP($A23,test!$A$3:$F$32,2,FALSE),VLOOKUP(U$1,test!$A$3:$F$32,2,FALSE))&lt;test!$K$16,$A23&lt;&gt;U$1,feasible_mat!U23=1),SUM(VLOOKUP($A23,test!$A$3:$F$32,2,FALSE), VLOOKUP(U$1,test!$A$3:$F$32,2,FALSE)),0)</f>
        <v>0</v>
      </c>
      <c r="V23">
        <f>IF(AND(SUM(VLOOKUP($A23,test!$A$3:$F$32,2,FALSE),VLOOKUP(V$1,test!$A$3:$F$32,2,FALSE))&lt;test!$K$16,$A23&lt;&gt;V$1,feasible_mat!V23=1),SUM(VLOOKUP($A23,test!$A$3:$F$32,2,FALSE), VLOOKUP(V$1,test!$A$3:$F$32,2,FALSE)),0)</f>
        <v>0</v>
      </c>
      <c r="W23">
        <f>IF(AND(SUM(VLOOKUP($A23,test!$A$3:$F$32,2,FALSE),VLOOKUP(W$1,test!$A$3:$F$32,2,FALSE))&lt;test!$K$16,$A23&lt;&gt;W$1,feasible_mat!W23=1),SUM(VLOOKUP($A23,test!$A$3:$F$32,2,FALSE), VLOOKUP(W$1,test!$A$3:$F$32,2,FALSE)),0)</f>
        <v>0</v>
      </c>
      <c r="X23">
        <f>IF(AND(SUM(VLOOKUP($A23,test!$A$3:$F$32,2,FALSE),VLOOKUP(X$1,test!$A$3:$F$32,2,FALSE))&lt;test!$K$16,$A23&lt;&gt;X$1,feasible_mat!X23=1),SUM(VLOOKUP($A23,test!$A$3:$F$32,2,FALSE), VLOOKUP(X$1,test!$A$3:$F$32,2,FALSE)),0)</f>
        <v>0</v>
      </c>
      <c r="Y23">
        <f>IF(AND(SUM(VLOOKUP($A23,test!$A$3:$F$32,2,FALSE),VLOOKUP(Y$1,test!$A$3:$F$32,2,FALSE))&lt;test!$K$16,$A23&lt;&gt;Y$1,feasible_mat!Y23=1),SUM(VLOOKUP($A23,test!$A$3:$F$32,2,FALSE), VLOOKUP(Y$1,test!$A$3:$F$32,2,FALSE)),0)</f>
        <v>0</v>
      </c>
      <c r="Z23">
        <f>IF(AND(SUM(VLOOKUP($A23,test!$A$3:$F$32,2,FALSE),VLOOKUP(Z$1,test!$A$3:$F$32,2,FALSE))&lt;test!$K$16,$A23&lt;&gt;Z$1,feasible_mat!Z23=1),SUM(VLOOKUP($A23,test!$A$3:$F$32,2,FALSE), VLOOKUP(Z$1,test!$A$3:$F$32,2,FALSE)),0)</f>
        <v>0</v>
      </c>
      <c r="AA23">
        <f>IF(AND(SUM(VLOOKUP($A23,test!$A$3:$F$32,2,FALSE),VLOOKUP(AA$1,test!$A$3:$F$32,2,FALSE))&lt;test!$K$16,$A23&lt;&gt;AA$1,feasible_mat!AA23=1),SUM(VLOOKUP($A23,test!$A$3:$F$32,2,FALSE), VLOOKUP(AA$1,test!$A$3:$F$32,2,FALSE)),0)</f>
        <v>0</v>
      </c>
      <c r="AB23">
        <f>IF(AND(SUM(VLOOKUP($A23,test!$A$3:$F$32,2,FALSE),VLOOKUP(AB$1,test!$A$3:$F$32,2,FALSE))&lt;test!$K$16,$A23&lt;&gt;AB$1,feasible_mat!AB23=1),SUM(VLOOKUP($A23,test!$A$3:$F$32,2,FALSE), VLOOKUP(AB$1,test!$A$3:$F$32,2,FALSE)),0)</f>
        <v>0</v>
      </c>
      <c r="AC23">
        <f>IF(AND(SUM(VLOOKUP($A23,test!$A$3:$F$32,2,FALSE),VLOOKUP(AC$1,test!$A$3:$F$32,2,FALSE))&lt;test!$K$16,$A23&lt;&gt;AC$1,feasible_mat!AC23=1),SUM(VLOOKUP($A23,test!$A$3:$F$32,2,FALSE), VLOOKUP(AC$1,test!$A$3:$F$32,2,FALSE)),0)</f>
        <v>0</v>
      </c>
      <c r="AD23">
        <f>IF(AND(SUM(VLOOKUP($A23,test!$A$3:$F$32,2,FALSE),VLOOKUP(AD$1,test!$A$3:$F$32,2,FALSE))&lt;test!$K$16,$A23&lt;&gt;AD$1,feasible_mat!AD23=1),SUM(VLOOKUP($A23,test!$A$3:$F$32,2,FALSE), VLOOKUP(AD$1,test!$A$3:$F$32,2,FALSE)),0)</f>
        <v>0</v>
      </c>
      <c r="AE23">
        <f>IF(AND(SUM(VLOOKUP($A23,test!$A$3:$F$32,2,FALSE),VLOOKUP(AE$1,test!$A$3:$F$32,2,FALSE))&lt;test!$K$16,$A23&lt;&gt;AE$1,feasible_mat!AE23=1),SUM(VLOOKUP($A23,test!$A$3:$F$32,2,FALSE), VLOOKUP(AE$1,test!$A$3:$F$32,2,FALSE)),0)</f>
        <v>0</v>
      </c>
      <c r="AF23">
        <f>IF(AND(SUM(VLOOKUP($A23,test!$A$3:$F$32,2,FALSE),VLOOKUP(AF$1,test!$A$3:$F$32,2,FALSE))&lt;test!$K$16,$A23&lt;&gt;AF$1,feasible_mat!AF23=1),SUM(VLOOKUP($A23,test!$A$3:$F$32,2,FALSE), VLOOKUP(AF$1,test!$A$3:$F$32,2,FALSE)),0)</f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t="s">
        <v>33</v>
      </c>
      <c r="B24">
        <v>0</v>
      </c>
      <c r="C24">
        <f>IF(AND(SUM(VLOOKUP($A24,test!$A$3:$F$32,2,FALSE),VLOOKUP(C$1,test!$A$3:$F$32,2,FALSE))&lt;test!$K$16,$A24&lt;&gt;C$1,feasible_mat!C24=1),SUM(VLOOKUP($A24,test!$A$3:$F$32,2,FALSE), VLOOKUP(C$1,test!$A$3:$F$32,2,FALSE)),0)</f>
        <v>0</v>
      </c>
      <c r="D24">
        <f>IF(AND(SUM(VLOOKUP($A24,test!$A$3:$F$32,2,FALSE),VLOOKUP(D$1,test!$A$3:$F$32,2,FALSE))&lt;test!$K$16,$A24&lt;&gt;D$1,feasible_mat!D24=1),SUM(VLOOKUP($A24,test!$A$3:$F$32,2,FALSE), VLOOKUP(D$1,test!$A$3:$F$32,2,FALSE)),0)</f>
        <v>0</v>
      </c>
      <c r="E24">
        <f>IF(AND(SUM(VLOOKUP($A24,test!$A$3:$F$32,2,FALSE),VLOOKUP(E$1,test!$A$3:$F$32,2,FALSE))&lt;test!$K$16,$A24&lt;&gt;E$1,feasible_mat!E24=1),SUM(VLOOKUP($A24,test!$A$3:$F$32,2,FALSE), VLOOKUP(E$1,test!$A$3:$F$32,2,FALSE)),0)</f>
        <v>0</v>
      </c>
      <c r="F24">
        <f>IF(AND(SUM(VLOOKUP($A24,test!$A$3:$F$32,2,FALSE),VLOOKUP(F$1,test!$A$3:$F$32,2,FALSE))&lt;test!$K$16,$A24&lt;&gt;F$1,feasible_mat!F24=1),SUM(VLOOKUP($A24,test!$A$3:$F$32,2,FALSE), VLOOKUP(F$1,test!$A$3:$F$32,2,FALSE)),0)</f>
        <v>0</v>
      </c>
      <c r="G24">
        <f>IF(AND(SUM(VLOOKUP($A24,test!$A$3:$F$32,2,FALSE),VLOOKUP(G$1,test!$A$3:$F$32,2,FALSE))&lt;test!$K$16,$A24&lt;&gt;G$1,feasible_mat!G24=1),SUM(VLOOKUP($A24,test!$A$3:$F$32,2,FALSE), VLOOKUP(G$1,test!$A$3:$F$32,2,FALSE)),0)</f>
        <v>0</v>
      </c>
      <c r="H24">
        <f>IF(AND(SUM(VLOOKUP($A24,test!$A$3:$F$32,2,FALSE),VLOOKUP(H$1,test!$A$3:$F$32,2,FALSE))&lt;test!$K$16,$A24&lt;&gt;H$1,feasible_mat!H24=1),SUM(VLOOKUP($A24,test!$A$3:$F$32,2,FALSE), VLOOKUP(H$1,test!$A$3:$F$32,2,FALSE)),0)</f>
        <v>0</v>
      </c>
      <c r="I24">
        <f>IF(AND(SUM(VLOOKUP($A24,test!$A$3:$F$32,2,FALSE),VLOOKUP(I$1,test!$A$3:$F$32,2,FALSE))&lt;test!$K$16,$A24&lt;&gt;I$1,feasible_mat!I24=1),SUM(VLOOKUP($A24,test!$A$3:$F$32,2,FALSE), VLOOKUP(I$1,test!$A$3:$F$32,2,FALSE)),0)</f>
        <v>0</v>
      </c>
      <c r="J24">
        <f>IF(AND(SUM(VLOOKUP($A24,test!$A$3:$F$32,2,FALSE),VLOOKUP(J$1,test!$A$3:$F$32,2,FALSE))&lt;test!$K$16,$A24&lt;&gt;J$1,feasible_mat!J24=1),SUM(VLOOKUP($A24,test!$A$3:$F$32,2,FALSE), VLOOKUP(J$1,test!$A$3:$F$32,2,FALSE)),0)</f>
        <v>0</v>
      </c>
      <c r="K24">
        <f>IF(AND(SUM(VLOOKUP($A24,test!$A$3:$F$32,2,FALSE),VLOOKUP(K$1,test!$A$3:$F$32,2,FALSE))&lt;test!$K$16,$A24&lt;&gt;K$1,feasible_mat!K24=1),SUM(VLOOKUP($A24,test!$A$3:$F$32,2,FALSE), VLOOKUP(K$1,test!$A$3:$F$32,2,FALSE)),0)</f>
        <v>0</v>
      </c>
      <c r="L24">
        <f>IF(AND(SUM(VLOOKUP($A24,test!$A$3:$F$32,2,FALSE),VLOOKUP(L$1,test!$A$3:$F$32,2,FALSE))&lt;test!$K$16,$A24&lt;&gt;L$1,feasible_mat!L24=1),SUM(VLOOKUP($A24,test!$A$3:$F$32,2,FALSE), VLOOKUP(L$1,test!$A$3:$F$32,2,FALSE)),0)</f>
        <v>0</v>
      </c>
      <c r="M24">
        <f>IF(AND(SUM(VLOOKUP($A24,test!$A$3:$F$32,2,FALSE),VLOOKUP(M$1,test!$A$3:$F$32,2,FALSE))&lt;test!$K$16,$A24&lt;&gt;M$1,feasible_mat!M24=1),SUM(VLOOKUP($A24,test!$A$3:$F$32,2,FALSE), VLOOKUP(M$1,test!$A$3:$F$32,2,FALSE)),0)</f>
        <v>0</v>
      </c>
      <c r="N24">
        <f>IF(AND(SUM(VLOOKUP($A24,test!$A$3:$F$32,2,FALSE),VLOOKUP(N$1,test!$A$3:$F$32,2,FALSE))&lt;test!$K$16,$A24&lt;&gt;N$1,feasible_mat!N24=1),SUM(VLOOKUP($A24,test!$A$3:$F$32,2,FALSE), VLOOKUP(N$1,test!$A$3:$F$32,2,FALSE)),0)</f>
        <v>0</v>
      </c>
      <c r="O24">
        <f>IF(AND(SUM(VLOOKUP($A24,test!$A$3:$F$32,2,FALSE),VLOOKUP(O$1,test!$A$3:$F$32,2,FALSE))&lt;test!$K$16,$A24&lt;&gt;O$1,feasible_mat!O24=1),SUM(VLOOKUP($A24,test!$A$3:$F$32,2,FALSE), VLOOKUP(O$1,test!$A$3:$F$32,2,FALSE)),0)</f>
        <v>0</v>
      </c>
      <c r="P24">
        <f>IF(AND(SUM(VLOOKUP($A24,test!$A$3:$F$32,2,FALSE),VLOOKUP(P$1,test!$A$3:$F$32,2,FALSE))&lt;test!$K$16,$A24&lt;&gt;P$1,feasible_mat!P24=1),SUM(VLOOKUP($A24,test!$A$3:$F$32,2,FALSE), VLOOKUP(P$1,test!$A$3:$F$32,2,FALSE)),0)</f>
        <v>0</v>
      </c>
      <c r="Q24">
        <f>IF(AND(SUM(VLOOKUP($A24,test!$A$3:$F$32,2,FALSE),VLOOKUP(Q$1,test!$A$3:$F$32,2,FALSE))&lt;test!$K$16,$A24&lt;&gt;Q$1,feasible_mat!Q24=1),SUM(VLOOKUP($A24,test!$A$3:$F$32,2,FALSE), VLOOKUP(Q$1,test!$A$3:$F$32,2,FALSE)),0)</f>
        <v>0</v>
      </c>
      <c r="R24">
        <f>IF(AND(SUM(VLOOKUP($A24,test!$A$3:$F$32,2,FALSE),VLOOKUP(R$1,test!$A$3:$F$32,2,FALSE))&lt;test!$K$16,$A24&lt;&gt;R$1,feasible_mat!R24=1),SUM(VLOOKUP($A24,test!$A$3:$F$32,2,FALSE), VLOOKUP(R$1,test!$A$3:$F$32,2,FALSE)),0)</f>
        <v>0</v>
      </c>
      <c r="S24">
        <f>IF(AND(SUM(VLOOKUP($A24,test!$A$3:$F$32,2,FALSE),VLOOKUP(S$1,test!$A$3:$F$32,2,FALSE))&lt;test!$K$16,$A24&lt;&gt;S$1,feasible_mat!S24=1),SUM(VLOOKUP($A24,test!$A$3:$F$32,2,FALSE), VLOOKUP(S$1,test!$A$3:$F$32,2,FALSE)),0)</f>
        <v>0</v>
      </c>
      <c r="T24">
        <f>IF(AND(SUM(VLOOKUP($A24,test!$A$3:$F$32,2,FALSE),VLOOKUP(T$1,test!$A$3:$F$32,2,FALSE))&lt;test!$K$16,$A24&lt;&gt;T$1,feasible_mat!T24=1),SUM(VLOOKUP($A24,test!$A$3:$F$32,2,FALSE), VLOOKUP(T$1,test!$A$3:$F$32,2,FALSE)),0)</f>
        <v>0</v>
      </c>
      <c r="U24">
        <f>IF(AND(SUM(VLOOKUP($A24,test!$A$3:$F$32,2,FALSE),VLOOKUP(U$1,test!$A$3:$F$32,2,FALSE))&lt;test!$K$16,$A24&lt;&gt;U$1,feasible_mat!U24=1),SUM(VLOOKUP($A24,test!$A$3:$F$32,2,FALSE), VLOOKUP(U$1,test!$A$3:$F$32,2,FALSE)),0)</f>
        <v>0</v>
      </c>
      <c r="V24">
        <f>IF(AND(SUM(VLOOKUP($A24,test!$A$3:$F$32,2,FALSE),VLOOKUP(V$1,test!$A$3:$F$32,2,FALSE))&lt;test!$K$16,$A24&lt;&gt;V$1,feasible_mat!V24=1),SUM(VLOOKUP($A24,test!$A$3:$F$32,2,FALSE), VLOOKUP(V$1,test!$A$3:$F$32,2,FALSE)),0)</f>
        <v>0</v>
      </c>
      <c r="W24">
        <f>IF(AND(SUM(VLOOKUP($A24,test!$A$3:$F$32,2,FALSE),VLOOKUP(W$1,test!$A$3:$F$32,2,FALSE))&lt;test!$K$16,$A24&lt;&gt;W$1,feasible_mat!W24=1),SUM(VLOOKUP($A24,test!$A$3:$F$32,2,FALSE), VLOOKUP(W$1,test!$A$3:$F$32,2,FALSE)),0)</f>
        <v>0</v>
      </c>
      <c r="X24">
        <f>IF(AND(SUM(VLOOKUP($A24,test!$A$3:$F$32,2,FALSE),VLOOKUP(X$1,test!$A$3:$F$32,2,FALSE))&lt;test!$K$16,$A24&lt;&gt;X$1,feasible_mat!X24=1),SUM(VLOOKUP($A24,test!$A$3:$F$32,2,FALSE), VLOOKUP(X$1,test!$A$3:$F$32,2,FALSE)),0)</f>
        <v>0</v>
      </c>
      <c r="Y24">
        <f>IF(AND(SUM(VLOOKUP($A24,test!$A$3:$F$32,2,FALSE),VLOOKUP(Y$1,test!$A$3:$F$32,2,FALSE))&lt;test!$K$16,$A24&lt;&gt;Y$1,feasible_mat!Y24=1),SUM(VLOOKUP($A24,test!$A$3:$F$32,2,FALSE), VLOOKUP(Y$1,test!$A$3:$F$32,2,FALSE)),0)</f>
        <v>0</v>
      </c>
      <c r="Z24">
        <f>IF(AND(SUM(VLOOKUP($A24,test!$A$3:$F$32,2,FALSE),VLOOKUP(Z$1,test!$A$3:$F$32,2,FALSE))&lt;test!$K$16,$A24&lt;&gt;Z$1,feasible_mat!Z24=1),SUM(VLOOKUP($A24,test!$A$3:$F$32,2,FALSE), VLOOKUP(Z$1,test!$A$3:$F$32,2,FALSE)),0)</f>
        <v>0</v>
      </c>
      <c r="AA24">
        <f>IF(AND(SUM(VLOOKUP($A24,test!$A$3:$F$32,2,FALSE),VLOOKUP(AA$1,test!$A$3:$F$32,2,FALSE))&lt;test!$K$16,$A24&lt;&gt;AA$1,feasible_mat!AA24=1),SUM(VLOOKUP($A24,test!$A$3:$F$32,2,FALSE), VLOOKUP(AA$1,test!$A$3:$F$32,2,FALSE)),0)</f>
        <v>0</v>
      </c>
      <c r="AB24">
        <f>IF(AND(SUM(VLOOKUP($A24,test!$A$3:$F$32,2,FALSE),VLOOKUP(AB$1,test!$A$3:$F$32,2,FALSE))&lt;test!$K$16,$A24&lt;&gt;AB$1,feasible_mat!AB24=1),SUM(VLOOKUP($A24,test!$A$3:$F$32,2,FALSE), VLOOKUP(AB$1,test!$A$3:$F$32,2,FALSE)),0)</f>
        <v>0</v>
      </c>
      <c r="AC24">
        <f>IF(AND(SUM(VLOOKUP($A24,test!$A$3:$F$32,2,FALSE),VLOOKUP(AC$1,test!$A$3:$F$32,2,FALSE))&lt;test!$K$16,$A24&lt;&gt;AC$1,feasible_mat!AC24=1),SUM(VLOOKUP($A24,test!$A$3:$F$32,2,FALSE), VLOOKUP(AC$1,test!$A$3:$F$32,2,FALSE)),0)</f>
        <v>0</v>
      </c>
      <c r="AD24">
        <f>IF(AND(SUM(VLOOKUP($A24,test!$A$3:$F$32,2,FALSE),VLOOKUP(AD$1,test!$A$3:$F$32,2,FALSE))&lt;test!$K$16,$A24&lt;&gt;AD$1,feasible_mat!AD24=1),SUM(VLOOKUP($A24,test!$A$3:$F$32,2,FALSE), VLOOKUP(AD$1,test!$A$3:$F$32,2,FALSE)),0)</f>
        <v>0</v>
      </c>
      <c r="AE24">
        <f>IF(AND(SUM(VLOOKUP($A24,test!$A$3:$F$32,2,FALSE),VLOOKUP(AE$1,test!$A$3:$F$32,2,FALSE))&lt;test!$K$16,$A24&lt;&gt;AE$1,feasible_mat!AE24=1),SUM(VLOOKUP($A24,test!$A$3:$F$32,2,FALSE), VLOOKUP(AE$1,test!$A$3:$F$32,2,FALSE)),0)</f>
        <v>0</v>
      </c>
      <c r="AF24">
        <f>IF(AND(SUM(VLOOKUP($A24,test!$A$3:$F$32,2,FALSE),VLOOKUP(AF$1,test!$A$3:$F$32,2,FALSE))&lt;test!$K$16,$A24&lt;&gt;AF$1,feasible_mat!AF24=1),SUM(VLOOKUP($A24,test!$A$3:$F$32,2,FALSE), VLOOKUP(AF$1,test!$A$3:$F$32,2,FALSE)),0)</f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t="s">
        <v>34</v>
      </c>
      <c r="B25">
        <v>0</v>
      </c>
      <c r="C25">
        <f>IF(AND(SUM(VLOOKUP($A25,test!$A$3:$F$32,2,FALSE),VLOOKUP(C$1,test!$A$3:$F$32,2,FALSE))&lt;test!$K$16,$A25&lt;&gt;C$1,feasible_mat!C25=1),SUM(VLOOKUP($A25,test!$A$3:$F$32,2,FALSE), VLOOKUP(C$1,test!$A$3:$F$32,2,FALSE)),0)</f>
        <v>0</v>
      </c>
      <c r="D25">
        <f>IF(AND(SUM(VLOOKUP($A25,test!$A$3:$F$32,2,FALSE),VLOOKUP(D$1,test!$A$3:$F$32,2,FALSE))&lt;test!$K$16,$A25&lt;&gt;D$1,feasible_mat!D25=1),SUM(VLOOKUP($A25,test!$A$3:$F$32,2,FALSE), VLOOKUP(D$1,test!$A$3:$F$32,2,FALSE)),0)</f>
        <v>275</v>
      </c>
      <c r="E25">
        <f>IF(AND(SUM(VLOOKUP($A25,test!$A$3:$F$32,2,FALSE),VLOOKUP(E$1,test!$A$3:$F$32,2,FALSE))&lt;test!$K$16,$A25&lt;&gt;E$1,feasible_mat!E25=1),SUM(VLOOKUP($A25,test!$A$3:$F$32,2,FALSE), VLOOKUP(E$1,test!$A$3:$F$32,2,FALSE)),0)</f>
        <v>275</v>
      </c>
      <c r="F25">
        <f>IF(AND(SUM(VLOOKUP($A25,test!$A$3:$F$32,2,FALSE),VLOOKUP(F$1,test!$A$3:$F$32,2,FALSE))&lt;test!$K$16,$A25&lt;&gt;F$1,feasible_mat!F25=1),SUM(VLOOKUP($A25,test!$A$3:$F$32,2,FALSE), VLOOKUP(F$1,test!$A$3:$F$32,2,FALSE)),0)</f>
        <v>275</v>
      </c>
      <c r="G25">
        <f>IF(AND(SUM(VLOOKUP($A25,test!$A$3:$F$32,2,FALSE),VLOOKUP(G$1,test!$A$3:$F$32,2,FALSE))&lt;test!$K$16,$A25&lt;&gt;G$1,feasible_mat!G25=1),SUM(VLOOKUP($A25,test!$A$3:$F$32,2,FALSE), VLOOKUP(G$1,test!$A$3:$F$32,2,FALSE)),0)</f>
        <v>275</v>
      </c>
      <c r="H25">
        <f>IF(AND(SUM(VLOOKUP($A25,test!$A$3:$F$32,2,FALSE),VLOOKUP(H$1,test!$A$3:$F$32,2,FALSE))&lt;test!$K$16,$A25&lt;&gt;H$1,feasible_mat!H25=1),SUM(VLOOKUP($A25,test!$A$3:$F$32,2,FALSE), VLOOKUP(H$1,test!$A$3:$F$32,2,FALSE)),0)</f>
        <v>275</v>
      </c>
      <c r="I25">
        <f>IF(AND(SUM(VLOOKUP($A25,test!$A$3:$F$32,2,FALSE),VLOOKUP(I$1,test!$A$3:$F$32,2,FALSE))&lt;test!$K$16,$A25&lt;&gt;I$1,feasible_mat!I25=1),SUM(VLOOKUP($A25,test!$A$3:$F$32,2,FALSE), VLOOKUP(I$1,test!$A$3:$F$32,2,FALSE)),0)</f>
        <v>275</v>
      </c>
      <c r="J25">
        <f>IF(AND(SUM(VLOOKUP($A25,test!$A$3:$F$32,2,FALSE),VLOOKUP(J$1,test!$A$3:$F$32,2,FALSE))&lt;test!$K$16,$A25&lt;&gt;J$1,feasible_mat!J25=1),SUM(VLOOKUP($A25,test!$A$3:$F$32,2,FALSE), VLOOKUP(J$1,test!$A$3:$F$32,2,FALSE)),0)</f>
        <v>275</v>
      </c>
      <c r="K25">
        <f>IF(AND(SUM(VLOOKUP($A25,test!$A$3:$F$32,2,FALSE),VLOOKUP(K$1,test!$A$3:$F$32,2,FALSE))&lt;test!$K$16,$A25&lt;&gt;K$1,feasible_mat!K25=1),SUM(VLOOKUP($A25,test!$A$3:$F$32,2,FALSE), VLOOKUP(K$1,test!$A$3:$F$32,2,FALSE)),0)</f>
        <v>0</v>
      </c>
      <c r="L25">
        <f>IF(AND(SUM(VLOOKUP($A25,test!$A$3:$F$32,2,FALSE),VLOOKUP(L$1,test!$A$3:$F$32,2,FALSE))&lt;test!$K$16,$A25&lt;&gt;L$1,feasible_mat!L25=1),SUM(VLOOKUP($A25,test!$A$3:$F$32,2,FALSE), VLOOKUP(L$1,test!$A$3:$F$32,2,FALSE)),0)</f>
        <v>0</v>
      </c>
      <c r="M25">
        <f>IF(AND(SUM(VLOOKUP($A25,test!$A$3:$F$32,2,FALSE),VLOOKUP(M$1,test!$A$3:$F$32,2,FALSE))&lt;test!$K$16,$A25&lt;&gt;M$1,feasible_mat!M25=1),SUM(VLOOKUP($A25,test!$A$3:$F$32,2,FALSE), VLOOKUP(M$1,test!$A$3:$F$32,2,FALSE)),0)</f>
        <v>280</v>
      </c>
      <c r="N25">
        <f>IF(AND(SUM(VLOOKUP($A25,test!$A$3:$F$32,2,FALSE),VLOOKUP(N$1,test!$A$3:$F$32,2,FALSE))&lt;test!$K$16,$A25&lt;&gt;N$1,feasible_mat!N25=1),SUM(VLOOKUP($A25,test!$A$3:$F$32,2,FALSE), VLOOKUP(N$1,test!$A$3:$F$32,2,FALSE)),0)</f>
        <v>280</v>
      </c>
      <c r="O25">
        <f>IF(AND(SUM(VLOOKUP($A25,test!$A$3:$F$32,2,FALSE),VLOOKUP(O$1,test!$A$3:$F$32,2,FALSE))&lt;test!$K$16,$A25&lt;&gt;O$1,feasible_mat!O25=1),SUM(VLOOKUP($A25,test!$A$3:$F$32,2,FALSE), VLOOKUP(O$1,test!$A$3:$F$32,2,FALSE)),0)</f>
        <v>280</v>
      </c>
      <c r="P25">
        <f>IF(AND(SUM(VLOOKUP($A25,test!$A$3:$F$32,2,FALSE),VLOOKUP(P$1,test!$A$3:$F$32,2,FALSE))&lt;test!$K$16,$A25&lt;&gt;P$1,feasible_mat!P25=1),SUM(VLOOKUP($A25,test!$A$3:$F$32,2,FALSE), VLOOKUP(P$1,test!$A$3:$F$32,2,FALSE)),0)</f>
        <v>0</v>
      </c>
      <c r="Q25">
        <f>IF(AND(SUM(VLOOKUP($A25,test!$A$3:$F$32,2,FALSE),VLOOKUP(Q$1,test!$A$3:$F$32,2,FALSE))&lt;test!$K$16,$A25&lt;&gt;Q$1,feasible_mat!Q25=1),SUM(VLOOKUP($A25,test!$A$3:$F$32,2,FALSE), VLOOKUP(Q$1,test!$A$3:$F$32,2,FALSE)),0)</f>
        <v>0</v>
      </c>
      <c r="R25">
        <f>IF(AND(SUM(VLOOKUP($A25,test!$A$3:$F$32,2,FALSE),VLOOKUP(R$1,test!$A$3:$F$32,2,FALSE))&lt;test!$K$16,$A25&lt;&gt;R$1,feasible_mat!R25=1),SUM(VLOOKUP($A25,test!$A$3:$F$32,2,FALSE), VLOOKUP(R$1,test!$A$3:$F$32,2,FALSE)),0)</f>
        <v>0</v>
      </c>
      <c r="S25">
        <f>IF(AND(SUM(VLOOKUP($A25,test!$A$3:$F$32,2,FALSE),VLOOKUP(S$1,test!$A$3:$F$32,2,FALSE))&lt;test!$K$16,$A25&lt;&gt;S$1,feasible_mat!S25=1),SUM(VLOOKUP($A25,test!$A$3:$F$32,2,FALSE), VLOOKUP(S$1,test!$A$3:$F$32,2,FALSE)),0)</f>
        <v>0</v>
      </c>
      <c r="T25">
        <f>IF(AND(SUM(VLOOKUP($A25,test!$A$3:$F$32,2,FALSE),VLOOKUP(T$1,test!$A$3:$F$32,2,FALSE))&lt;test!$K$16,$A25&lt;&gt;T$1,feasible_mat!T25=1),SUM(VLOOKUP($A25,test!$A$3:$F$32,2,FALSE), VLOOKUP(T$1,test!$A$3:$F$32,2,FALSE)),0)</f>
        <v>275</v>
      </c>
      <c r="U25">
        <f>IF(AND(SUM(VLOOKUP($A25,test!$A$3:$F$32,2,FALSE),VLOOKUP(U$1,test!$A$3:$F$32,2,FALSE))&lt;test!$K$16,$A25&lt;&gt;U$1,feasible_mat!U25=1),SUM(VLOOKUP($A25,test!$A$3:$F$32,2,FALSE), VLOOKUP(U$1,test!$A$3:$F$32,2,FALSE)),0)</f>
        <v>275</v>
      </c>
      <c r="V25">
        <f>IF(AND(SUM(VLOOKUP($A25,test!$A$3:$F$32,2,FALSE),VLOOKUP(V$1,test!$A$3:$F$32,2,FALSE))&lt;test!$K$16,$A25&lt;&gt;V$1,feasible_mat!V25=1),SUM(VLOOKUP($A25,test!$A$3:$F$32,2,FALSE), VLOOKUP(V$1,test!$A$3:$F$32,2,FALSE)),0)</f>
        <v>275</v>
      </c>
      <c r="W25">
        <f>IF(AND(SUM(VLOOKUP($A25,test!$A$3:$F$32,2,FALSE),VLOOKUP(W$1,test!$A$3:$F$32,2,FALSE))&lt;test!$K$16,$A25&lt;&gt;W$1,feasible_mat!W25=1),SUM(VLOOKUP($A25,test!$A$3:$F$32,2,FALSE), VLOOKUP(W$1,test!$A$3:$F$32,2,FALSE)),0)</f>
        <v>275</v>
      </c>
      <c r="X25">
        <f>IF(AND(SUM(VLOOKUP($A25,test!$A$3:$F$32,2,FALSE),VLOOKUP(X$1,test!$A$3:$F$32,2,FALSE))&lt;test!$K$16,$A25&lt;&gt;X$1,feasible_mat!X25=1),SUM(VLOOKUP($A25,test!$A$3:$F$32,2,FALSE), VLOOKUP(X$1,test!$A$3:$F$32,2,FALSE)),0)</f>
        <v>275</v>
      </c>
      <c r="Y25">
        <f>IF(AND(SUM(VLOOKUP($A25,test!$A$3:$F$32,2,FALSE),VLOOKUP(Y$1,test!$A$3:$F$32,2,FALSE))&lt;test!$K$16,$A25&lt;&gt;Y$1,feasible_mat!Y25=1),SUM(VLOOKUP($A25,test!$A$3:$F$32,2,FALSE), VLOOKUP(Y$1,test!$A$3:$F$32,2,FALSE)),0)</f>
        <v>0</v>
      </c>
      <c r="Z25">
        <f>IF(AND(SUM(VLOOKUP($A25,test!$A$3:$F$32,2,FALSE),VLOOKUP(Z$1,test!$A$3:$F$32,2,FALSE))&lt;test!$K$16,$A25&lt;&gt;Z$1,feasible_mat!Z25=1),SUM(VLOOKUP($A25,test!$A$3:$F$32,2,FALSE), VLOOKUP(Z$1,test!$A$3:$F$32,2,FALSE)),0)</f>
        <v>280</v>
      </c>
      <c r="AA25">
        <f>IF(AND(SUM(VLOOKUP($A25,test!$A$3:$F$32,2,FALSE),VLOOKUP(AA$1,test!$A$3:$F$32,2,FALSE))&lt;test!$K$16,$A25&lt;&gt;AA$1,feasible_mat!AA25=1),SUM(VLOOKUP($A25,test!$A$3:$F$32,2,FALSE), VLOOKUP(AA$1,test!$A$3:$F$32,2,FALSE)),0)</f>
        <v>280</v>
      </c>
      <c r="AB25">
        <f>IF(AND(SUM(VLOOKUP($A25,test!$A$3:$F$32,2,FALSE),VLOOKUP(AB$1,test!$A$3:$F$32,2,FALSE))&lt;test!$K$16,$A25&lt;&gt;AB$1,feasible_mat!AB25=1),SUM(VLOOKUP($A25,test!$A$3:$F$32,2,FALSE), VLOOKUP(AB$1,test!$A$3:$F$32,2,FALSE)),0)</f>
        <v>280</v>
      </c>
      <c r="AC25">
        <f>IF(AND(SUM(VLOOKUP($A25,test!$A$3:$F$32,2,FALSE),VLOOKUP(AC$1,test!$A$3:$F$32,2,FALSE))&lt;test!$K$16,$A25&lt;&gt;AC$1,feasible_mat!AC25=1),SUM(VLOOKUP($A25,test!$A$3:$F$32,2,FALSE), VLOOKUP(AC$1,test!$A$3:$F$32,2,FALSE)),0)</f>
        <v>280</v>
      </c>
      <c r="AD25">
        <f>IF(AND(SUM(VLOOKUP($A25,test!$A$3:$F$32,2,FALSE),VLOOKUP(AD$1,test!$A$3:$F$32,2,FALSE))&lt;test!$K$16,$A25&lt;&gt;AD$1,feasible_mat!AD25=1),SUM(VLOOKUP($A25,test!$A$3:$F$32,2,FALSE), VLOOKUP(AD$1,test!$A$3:$F$32,2,FALSE)),0)</f>
        <v>0</v>
      </c>
      <c r="AE25">
        <f>IF(AND(SUM(VLOOKUP($A25,test!$A$3:$F$32,2,FALSE),VLOOKUP(AE$1,test!$A$3:$F$32,2,FALSE))&lt;test!$K$16,$A25&lt;&gt;AE$1,feasible_mat!AE25=1),SUM(VLOOKUP($A25,test!$A$3:$F$32,2,FALSE), VLOOKUP(AE$1,test!$A$3:$F$32,2,FALSE)),0)</f>
        <v>0</v>
      </c>
      <c r="AF25">
        <f>IF(AND(SUM(VLOOKUP($A25,test!$A$3:$F$32,2,FALSE),VLOOKUP(AF$1,test!$A$3:$F$32,2,FALSE))&lt;test!$K$16,$A25&lt;&gt;AF$1,feasible_mat!AF25=1),SUM(VLOOKUP($A25,test!$A$3:$F$32,2,FALSE), VLOOKUP(AF$1,test!$A$3:$F$32,2,FALSE)),0)</f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5">
      <c r="A26" t="s">
        <v>35</v>
      </c>
      <c r="B26">
        <v>0</v>
      </c>
      <c r="C26">
        <f>IF(AND(SUM(VLOOKUP($A26,test!$A$3:$F$32,2,FALSE),VLOOKUP(C$1,test!$A$3:$F$32,2,FALSE))&lt;test!$K$16,$A26&lt;&gt;C$1,feasible_mat!C26=1),SUM(VLOOKUP($A26,test!$A$3:$F$32,2,FALSE), VLOOKUP(C$1,test!$A$3:$F$32,2,FALSE)),0)</f>
        <v>0</v>
      </c>
      <c r="D26">
        <f>IF(AND(SUM(VLOOKUP($A26,test!$A$3:$F$32,2,FALSE),VLOOKUP(D$1,test!$A$3:$F$32,2,FALSE))&lt;test!$K$16,$A26&lt;&gt;D$1,feasible_mat!D26=1),SUM(VLOOKUP($A26,test!$A$3:$F$32,2,FALSE), VLOOKUP(D$1,test!$A$3:$F$32,2,FALSE)),0)</f>
        <v>0</v>
      </c>
      <c r="E26">
        <f>IF(AND(SUM(VLOOKUP($A26,test!$A$3:$F$32,2,FALSE),VLOOKUP(E$1,test!$A$3:$F$32,2,FALSE))&lt;test!$K$16,$A26&lt;&gt;E$1,feasible_mat!E26=1),SUM(VLOOKUP($A26,test!$A$3:$F$32,2,FALSE), VLOOKUP(E$1,test!$A$3:$F$32,2,FALSE)),0)</f>
        <v>0</v>
      </c>
      <c r="F26">
        <f>IF(AND(SUM(VLOOKUP($A26,test!$A$3:$F$32,2,FALSE),VLOOKUP(F$1,test!$A$3:$F$32,2,FALSE))&lt;test!$K$16,$A26&lt;&gt;F$1,feasible_mat!F26=1),SUM(VLOOKUP($A26,test!$A$3:$F$32,2,FALSE), VLOOKUP(F$1,test!$A$3:$F$32,2,FALSE)),0)</f>
        <v>275</v>
      </c>
      <c r="G26">
        <f>IF(AND(SUM(VLOOKUP($A26,test!$A$3:$F$32,2,FALSE),VLOOKUP(G$1,test!$A$3:$F$32,2,FALSE))&lt;test!$K$16,$A26&lt;&gt;G$1,feasible_mat!G26=1),SUM(VLOOKUP($A26,test!$A$3:$F$32,2,FALSE), VLOOKUP(G$1,test!$A$3:$F$32,2,FALSE)),0)</f>
        <v>275</v>
      </c>
      <c r="H26">
        <f>IF(AND(SUM(VLOOKUP($A26,test!$A$3:$F$32,2,FALSE),VLOOKUP(H$1,test!$A$3:$F$32,2,FALSE))&lt;test!$K$16,$A26&lt;&gt;H$1,feasible_mat!H26=1),SUM(VLOOKUP($A26,test!$A$3:$F$32,2,FALSE), VLOOKUP(H$1,test!$A$3:$F$32,2,FALSE)),0)</f>
        <v>275</v>
      </c>
      <c r="I26">
        <f>IF(AND(SUM(VLOOKUP($A26,test!$A$3:$F$32,2,FALSE),VLOOKUP(I$1,test!$A$3:$F$32,2,FALSE))&lt;test!$K$16,$A26&lt;&gt;I$1,feasible_mat!I26=1),SUM(VLOOKUP($A26,test!$A$3:$F$32,2,FALSE), VLOOKUP(I$1,test!$A$3:$F$32,2,FALSE)),0)</f>
        <v>275</v>
      </c>
      <c r="J26">
        <f>IF(AND(SUM(VLOOKUP($A26,test!$A$3:$F$32,2,FALSE),VLOOKUP(J$1,test!$A$3:$F$32,2,FALSE))&lt;test!$K$16,$A26&lt;&gt;J$1,feasible_mat!J26=1),SUM(VLOOKUP($A26,test!$A$3:$F$32,2,FALSE), VLOOKUP(J$1,test!$A$3:$F$32,2,FALSE)),0)</f>
        <v>275</v>
      </c>
      <c r="K26">
        <f>IF(AND(SUM(VLOOKUP($A26,test!$A$3:$F$32,2,FALSE),VLOOKUP(K$1,test!$A$3:$F$32,2,FALSE))&lt;test!$K$16,$A26&lt;&gt;K$1,feasible_mat!K26=1),SUM(VLOOKUP($A26,test!$A$3:$F$32,2,FALSE), VLOOKUP(K$1,test!$A$3:$F$32,2,FALSE)),0)</f>
        <v>0</v>
      </c>
      <c r="L26">
        <f>IF(AND(SUM(VLOOKUP($A26,test!$A$3:$F$32,2,FALSE),VLOOKUP(L$1,test!$A$3:$F$32,2,FALSE))&lt;test!$K$16,$A26&lt;&gt;L$1,feasible_mat!L26=1),SUM(VLOOKUP($A26,test!$A$3:$F$32,2,FALSE), VLOOKUP(L$1,test!$A$3:$F$32,2,FALSE)),0)</f>
        <v>0</v>
      </c>
      <c r="M26">
        <f>IF(AND(SUM(VLOOKUP($A26,test!$A$3:$F$32,2,FALSE),VLOOKUP(M$1,test!$A$3:$F$32,2,FALSE))&lt;test!$K$16,$A26&lt;&gt;M$1,feasible_mat!M26=1),SUM(VLOOKUP($A26,test!$A$3:$F$32,2,FALSE), VLOOKUP(M$1,test!$A$3:$F$32,2,FALSE)),0)</f>
        <v>0</v>
      </c>
      <c r="N26">
        <f>IF(AND(SUM(VLOOKUP($A26,test!$A$3:$F$32,2,FALSE),VLOOKUP(N$1,test!$A$3:$F$32,2,FALSE))&lt;test!$K$16,$A26&lt;&gt;N$1,feasible_mat!N26=1),SUM(VLOOKUP($A26,test!$A$3:$F$32,2,FALSE), VLOOKUP(N$1,test!$A$3:$F$32,2,FALSE)),0)</f>
        <v>280</v>
      </c>
      <c r="O26">
        <f>IF(AND(SUM(VLOOKUP($A26,test!$A$3:$F$32,2,FALSE),VLOOKUP(O$1,test!$A$3:$F$32,2,FALSE))&lt;test!$K$16,$A26&lt;&gt;O$1,feasible_mat!O26=1),SUM(VLOOKUP($A26,test!$A$3:$F$32,2,FALSE), VLOOKUP(O$1,test!$A$3:$F$32,2,FALSE)),0)</f>
        <v>280</v>
      </c>
      <c r="P26">
        <f>IF(AND(SUM(VLOOKUP($A26,test!$A$3:$F$32,2,FALSE),VLOOKUP(P$1,test!$A$3:$F$32,2,FALSE))&lt;test!$K$16,$A26&lt;&gt;P$1,feasible_mat!P26=1),SUM(VLOOKUP($A26,test!$A$3:$F$32,2,FALSE), VLOOKUP(P$1,test!$A$3:$F$32,2,FALSE)),0)</f>
        <v>0</v>
      </c>
      <c r="Q26">
        <f>IF(AND(SUM(VLOOKUP($A26,test!$A$3:$F$32,2,FALSE),VLOOKUP(Q$1,test!$A$3:$F$32,2,FALSE))&lt;test!$K$16,$A26&lt;&gt;Q$1,feasible_mat!Q26=1),SUM(VLOOKUP($A26,test!$A$3:$F$32,2,FALSE), VLOOKUP(Q$1,test!$A$3:$F$32,2,FALSE)),0)</f>
        <v>0</v>
      </c>
      <c r="R26">
        <f>IF(AND(SUM(VLOOKUP($A26,test!$A$3:$F$32,2,FALSE),VLOOKUP(R$1,test!$A$3:$F$32,2,FALSE))&lt;test!$K$16,$A26&lt;&gt;R$1,feasible_mat!R26=1),SUM(VLOOKUP($A26,test!$A$3:$F$32,2,FALSE), VLOOKUP(R$1,test!$A$3:$F$32,2,FALSE)),0)</f>
        <v>0</v>
      </c>
      <c r="S26">
        <f>IF(AND(SUM(VLOOKUP($A26,test!$A$3:$F$32,2,FALSE),VLOOKUP(S$1,test!$A$3:$F$32,2,FALSE))&lt;test!$K$16,$A26&lt;&gt;S$1,feasible_mat!S26=1),SUM(VLOOKUP($A26,test!$A$3:$F$32,2,FALSE), VLOOKUP(S$1,test!$A$3:$F$32,2,FALSE)),0)</f>
        <v>0</v>
      </c>
      <c r="T26">
        <f>IF(AND(SUM(VLOOKUP($A26,test!$A$3:$F$32,2,FALSE),VLOOKUP(T$1,test!$A$3:$F$32,2,FALSE))&lt;test!$K$16,$A26&lt;&gt;T$1,feasible_mat!T26=1),SUM(VLOOKUP($A26,test!$A$3:$F$32,2,FALSE), VLOOKUP(T$1,test!$A$3:$F$32,2,FALSE)),0)</f>
        <v>0</v>
      </c>
      <c r="U26">
        <f>IF(AND(SUM(VLOOKUP($A26,test!$A$3:$F$32,2,FALSE),VLOOKUP(U$1,test!$A$3:$F$32,2,FALSE))&lt;test!$K$16,$A26&lt;&gt;U$1,feasible_mat!U26=1),SUM(VLOOKUP($A26,test!$A$3:$F$32,2,FALSE), VLOOKUP(U$1,test!$A$3:$F$32,2,FALSE)),0)</f>
        <v>275</v>
      </c>
      <c r="V26">
        <f>IF(AND(SUM(VLOOKUP($A26,test!$A$3:$F$32,2,FALSE),VLOOKUP(V$1,test!$A$3:$F$32,2,FALSE))&lt;test!$K$16,$A26&lt;&gt;V$1,feasible_mat!V26=1),SUM(VLOOKUP($A26,test!$A$3:$F$32,2,FALSE), VLOOKUP(V$1,test!$A$3:$F$32,2,FALSE)),0)</f>
        <v>275</v>
      </c>
      <c r="W26">
        <f>IF(AND(SUM(VLOOKUP($A26,test!$A$3:$F$32,2,FALSE),VLOOKUP(W$1,test!$A$3:$F$32,2,FALSE))&lt;test!$K$16,$A26&lt;&gt;W$1,feasible_mat!W26=1),SUM(VLOOKUP($A26,test!$A$3:$F$32,2,FALSE), VLOOKUP(W$1,test!$A$3:$F$32,2,FALSE)),0)</f>
        <v>275</v>
      </c>
      <c r="X26">
        <f>IF(AND(SUM(VLOOKUP($A26,test!$A$3:$F$32,2,FALSE),VLOOKUP(X$1,test!$A$3:$F$32,2,FALSE))&lt;test!$K$16,$A26&lt;&gt;X$1,feasible_mat!X26=1),SUM(VLOOKUP($A26,test!$A$3:$F$32,2,FALSE), VLOOKUP(X$1,test!$A$3:$F$32,2,FALSE)),0)</f>
        <v>275</v>
      </c>
      <c r="Y26">
        <f>IF(AND(SUM(VLOOKUP($A26,test!$A$3:$F$32,2,FALSE),VLOOKUP(Y$1,test!$A$3:$F$32,2,FALSE))&lt;test!$K$16,$A26&lt;&gt;Y$1,feasible_mat!Y26=1),SUM(VLOOKUP($A26,test!$A$3:$F$32,2,FALSE), VLOOKUP(Y$1,test!$A$3:$F$32,2,FALSE)),0)</f>
        <v>0</v>
      </c>
      <c r="Z26">
        <f>IF(AND(SUM(VLOOKUP($A26,test!$A$3:$F$32,2,FALSE),VLOOKUP(Z$1,test!$A$3:$F$32,2,FALSE))&lt;test!$K$16,$A26&lt;&gt;Z$1,feasible_mat!Z26=1),SUM(VLOOKUP($A26,test!$A$3:$F$32,2,FALSE), VLOOKUP(Z$1,test!$A$3:$F$32,2,FALSE)),0)</f>
        <v>0</v>
      </c>
      <c r="AA26">
        <f>IF(AND(SUM(VLOOKUP($A26,test!$A$3:$F$32,2,FALSE),VLOOKUP(AA$1,test!$A$3:$F$32,2,FALSE))&lt;test!$K$16,$A26&lt;&gt;AA$1,feasible_mat!AA26=1),SUM(VLOOKUP($A26,test!$A$3:$F$32,2,FALSE), VLOOKUP(AA$1,test!$A$3:$F$32,2,FALSE)),0)</f>
        <v>0</v>
      </c>
      <c r="AB26">
        <f>IF(AND(SUM(VLOOKUP($A26,test!$A$3:$F$32,2,FALSE),VLOOKUP(AB$1,test!$A$3:$F$32,2,FALSE))&lt;test!$K$16,$A26&lt;&gt;AB$1,feasible_mat!AB26=1),SUM(VLOOKUP($A26,test!$A$3:$F$32,2,FALSE), VLOOKUP(AB$1,test!$A$3:$F$32,2,FALSE)),0)</f>
        <v>280</v>
      </c>
      <c r="AC26">
        <f>IF(AND(SUM(VLOOKUP($A26,test!$A$3:$F$32,2,FALSE),VLOOKUP(AC$1,test!$A$3:$F$32,2,FALSE))&lt;test!$K$16,$A26&lt;&gt;AC$1,feasible_mat!AC26=1),SUM(VLOOKUP($A26,test!$A$3:$F$32,2,FALSE), VLOOKUP(AC$1,test!$A$3:$F$32,2,FALSE)),0)</f>
        <v>280</v>
      </c>
      <c r="AD26">
        <f>IF(AND(SUM(VLOOKUP($A26,test!$A$3:$F$32,2,FALSE),VLOOKUP(AD$1,test!$A$3:$F$32,2,FALSE))&lt;test!$K$16,$A26&lt;&gt;AD$1,feasible_mat!AD26=1),SUM(VLOOKUP($A26,test!$A$3:$F$32,2,FALSE), VLOOKUP(AD$1,test!$A$3:$F$32,2,FALSE)),0)</f>
        <v>0</v>
      </c>
      <c r="AE26">
        <f>IF(AND(SUM(VLOOKUP($A26,test!$A$3:$F$32,2,FALSE),VLOOKUP(AE$1,test!$A$3:$F$32,2,FALSE))&lt;test!$K$16,$A26&lt;&gt;AE$1,feasible_mat!AE26=1),SUM(VLOOKUP($A26,test!$A$3:$F$32,2,FALSE), VLOOKUP(AE$1,test!$A$3:$F$32,2,FALSE)),0)</f>
        <v>0</v>
      </c>
      <c r="AF26">
        <f>IF(AND(SUM(VLOOKUP($A26,test!$A$3:$F$32,2,FALSE),VLOOKUP(AF$1,test!$A$3:$F$32,2,FALSE))&lt;test!$K$16,$A26&lt;&gt;AF$1,feasible_mat!AF26=1),SUM(VLOOKUP($A26,test!$A$3:$F$32,2,FALSE), VLOOKUP(AF$1,test!$A$3:$F$32,2,FALSE)),0)</f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5">
      <c r="A27" t="s">
        <v>36</v>
      </c>
      <c r="B27">
        <v>0</v>
      </c>
      <c r="C27">
        <f>IF(AND(SUM(VLOOKUP($A27,test!$A$3:$F$32,2,FALSE),VLOOKUP(C$1,test!$A$3:$F$32,2,FALSE))&lt;test!$K$16,$A27&lt;&gt;C$1,feasible_mat!C27=1),SUM(VLOOKUP($A27,test!$A$3:$F$32,2,FALSE), VLOOKUP(C$1,test!$A$3:$F$32,2,FALSE)),0)</f>
        <v>0</v>
      </c>
      <c r="D27">
        <f>IF(AND(SUM(VLOOKUP($A27,test!$A$3:$F$32,2,FALSE),VLOOKUP(D$1,test!$A$3:$F$32,2,FALSE))&lt;test!$K$16,$A27&lt;&gt;D$1,feasible_mat!D27=1),SUM(VLOOKUP($A27,test!$A$3:$F$32,2,FALSE), VLOOKUP(D$1,test!$A$3:$F$32,2,FALSE)),0)</f>
        <v>0</v>
      </c>
      <c r="E27">
        <f>IF(AND(SUM(VLOOKUP($A27,test!$A$3:$F$32,2,FALSE),VLOOKUP(E$1,test!$A$3:$F$32,2,FALSE))&lt;test!$K$16,$A27&lt;&gt;E$1,feasible_mat!E27=1),SUM(VLOOKUP($A27,test!$A$3:$F$32,2,FALSE), VLOOKUP(E$1,test!$A$3:$F$32,2,FALSE)),0)</f>
        <v>0</v>
      </c>
      <c r="F27">
        <f>IF(AND(SUM(VLOOKUP($A27,test!$A$3:$F$32,2,FALSE),VLOOKUP(F$1,test!$A$3:$F$32,2,FALSE))&lt;test!$K$16,$A27&lt;&gt;F$1,feasible_mat!F27=1),SUM(VLOOKUP($A27,test!$A$3:$F$32,2,FALSE), VLOOKUP(F$1,test!$A$3:$F$32,2,FALSE)),0)</f>
        <v>0</v>
      </c>
      <c r="G27">
        <f>IF(AND(SUM(VLOOKUP($A27,test!$A$3:$F$32,2,FALSE),VLOOKUP(G$1,test!$A$3:$F$32,2,FALSE))&lt;test!$K$16,$A27&lt;&gt;G$1,feasible_mat!G27=1),SUM(VLOOKUP($A27,test!$A$3:$F$32,2,FALSE), VLOOKUP(G$1,test!$A$3:$F$32,2,FALSE)),0)</f>
        <v>0</v>
      </c>
      <c r="H27">
        <f>IF(AND(SUM(VLOOKUP($A27,test!$A$3:$F$32,2,FALSE),VLOOKUP(H$1,test!$A$3:$F$32,2,FALSE))&lt;test!$K$16,$A27&lt;&gt;H$1,feasible_mat!H27=1),SUM(VLOOKUP($A27,test!$A$3:$F$32,2,FALSE), VLOOKUP(H$1,test!$A$3:$F$32,2,FALSE)),0)</f>
        <v>275</v>
      </c>
      <c r="I27">
        <f>IF(AND(SUM(VLOOKUP($A27,test!$A$3:$F$32,2,FALSE),VLOOKUP(I$1,test!$A$3:$F$32,2,FALSE))&lt;test!$K$16,$A27&lt;&gt;I$1,feasible_mat!I27=1),SUM(VLOOKUP($A27,test!$A$3:$F$32,2,FALSE), VLOOKUP(I$1,test!$A$3:$F$32,2,FALSE)),0)</f>
        <v>275</v>
      </c>
      <c r="J27">
        <f>IF(AND(SUM(VLOOKUP($A27,test!$A$3:$F$32,2,FALSE),VLOOKUP(J$1,test!$A$3:$F$32,2,FALSE))&lt;test!$K$16,$A27&lt;&gt;J$1,feasible_mat!J27=1),SUM(VLOOKUP($A27,test!$A$3:$F$32,2,FALSE), VLOOKUP(J$1,test!$A$3:$F$32,2,FALSE)),0)</f>
        <v>275</v>
      </c>
      <c r="K27">
        <f>IF(AND(SUM(VLOOKUP($A27,test!$A$3:$F$32,2,FALSE),VLOOKUP(K$1,test!$A$3:$F$32,2,FALSE))&lt;test!$K$16,$A27&lt;&gt;K$1,feasible_mat!K27=1),SUM(VLOOKUP($A27,test!$A$3:$F$32,2,FALSE), VLOOKUP(K$1,test!$A$3:$F$32,2,FALSE)),0)</f>
        <v>0</v>
      </c>
      <c r="L27">
        <f>IF(AND(SUM(VLOOKUP($A27,test!$A$3:$F$32,2,FALSE),VLOOKUP(L$1,test!$A$3:$F$32,2,FALSE))&lt;test!$K$16,$A27&lt;&gt;L$1,feasible_mat!L27=1),SUM(VLOOKUP($A27,test!$A$3:$F$32,2,FALSE), VLOOKUP(L$1,test!$A$3:$F$32,2,FALSE)),0)</f>
        <v>0</v>
      </c>
      <c r="M27">
        <f>IF(AND(SUM(VLOOKUP($A27,test!$A$3:$F$32,2,FALSE),VLOOKUP(M$1,test!$A$3:$F$32,2,FALSE))&lt;test!$K$16,$A27&lt;&gt;M$1,feasible_mat!M27=1),SUM(VLOOKUP($A27,test!$A$3:$F$32,2,FALSE), VLOOKUP(M$1,test!$A$3:$F$32,2,FALSE)),0)</f>
        <v>0</v>
      </c>
      <c r="N27">
        <f>IF(AND(SUM(VLOOKUP($A27,test!$A$3:$F$32,2,FALSE),VLOOKUP(N$1,test!$A$3:$F$32,2,FALSE))&lt;test!$K$16,$A27&lt;&gt;N$1,feasible_mat!N27=1),SUM(VLOOKUP($A27,test!$A$3:$F$32,2,FALSE), VLOOKUP(N$1,test!$A$3:$F$32,2,FALSE)),0)</f>
        <v>280</v>
      </c>
      <c r="O27">
        <f>IF(AND(SUM(VLOOKUP($A27,test!$A$3:$F$32,2,FALSE),VLOOKUP(O$1,test!$A$3:$F$32,2,FALSE))&lt;test!$K$16,$A27&lt;&gt;O$1,feasible_mat!O27=1),SUM(VLOOKUP($A27,test!$A$3:$F$32,2,FALSE), VLOOKUP(O$1,test!$A$3:$F$32,2,FALSE)),0)</f>
        <v>280</v>
      </c>
      <c r="P27">
        <f>IF(AND(SUM(VLOOKUP($A27,test!$A$3:$F$32,2,FALSE),VLOOKUP(P$1,test!$A$3:$F$32,2,FALSE))&lt;test!$K$16,$A27&lt;&gt;P$1,feasible_mat!P27=1),SUM(VLOOKUP($A27,test!$A$3:$F$32,2,FALSE), VLOOKUP(P$1,test!$A$3:$F$32,2,FALSE)),0)</f>
        <v>0</v>
      </c>
      <c r="Q27">
        <f>IF(AND(SUM(VLOOKUP($A27,test!$A$3:$F$32,2,FALSE),VLOOKUP(Q$1,test!$A$3:$F$32,2,FALSE))&lt;test!$K$16,$A27&lt;&gt;Q$1,feasible_mat!Q27=1),SUM(VLOOKUP($A27,test!$A$3:$F$32,2,FALSE), VLOOKUP(Q$1,test!$A$3:$F$32,2,FALSE)),0)</f>
        <v>0</v>
      </c>
      <c r="R27">
        <f>IF(AND(SUM(VLOOKUP($A27,test!$A$3:$F$32,2,FALSE),VLOOKUP(R$1,test!$A$3:$F$32,2,FALSE))&lt;test!$K$16,$A27&lt;&gt;R$1,feasible_mat!R27=1),SUM(VLOOKUP($A27,test!$A$3:$F$32,2,FALSE), VLOOKUP(R$1,test!$A$3:$F$32,2,FALSE)),0)</f>
        <v>0</v>
      </c>
      <c r="S27">
        <f>IF(AND(SUM(VLOOKUP($A27,test!$A$3:$F$32,2,FALSE),VLOOKUP(S$1,test!$A$3:$F$32,2,FALSE))&lt;test!$K$16,$A27&lt;&gt;S$1,feasible_mat!S27=1),SUM(VLOOKUP($A27,test!$A$3:$F$32,2,FALSE), VLOOKUP(S$1,test!$A$3:$F$32,2,FALSE)),0)</f>
        <v>0</v>
      </c>
      <c r="T27">
        <f>IF(AND(SUM(VLOOKUP($A27,test!$A$3:$F$32,2,FALSE),VLOOKUP(T$1,test!$A$3:$F$32,2,FALSE))&lt;test!$K$16,$A27&lt;&gt;T$1,feasible_mat!T27=1),SUM(VLOOKUP($A27,test!$A$3:$F$32,2,FALSE), VLOOKUP(T$1,test!$A$3:$F$32,2,FALSE)),0)</f>
        <v>0</v>
      </c>
      <c r="U27">
        <f>IF(AND(SUM(VLOOKUP($A27,test!$A$3:$F$32,2,FALSE),VLOOKUP(U$1,test!$A$3:$F$32,2,FALSE))&lt;test!$K$16,$A27&lt;&gt;U$1,feasible_mat!U27=1),SUM(VLOOKUP($A27,test!$A$3:$F$32,2,FALSE), VLOOKUP(U$1,test!$A$3:$F$32,2,FALSE)),0)</f>
        <v>0</v>
      </c>
      <c r="V27">
        <f>IF(AND(SUM(VLOOKUP($A27,test!$A$3:$F$32,2,FALSE),VLOOKUP(V$1,test!$A$3:$F$32,2,FALSE))&lt;test!$K$16,$A27&lt;&gt;V$1,feasible_mat!V27=1),SUM(VLOOKUP($A27,test!$A$3:$F$32,2,FALSE), VLOOKUP(V$1,test!$A$3:$F$32,2,FALSE)),0)</f>
        <v>0</v>
      </c>
      <c r="W27">
        <f>IF(AND(SUM(VLOOKUP($A27,test!$A$3:$F$32,2,FALSE),VLOOKUP(W$1,test!$A$3:$F$32,2,FALSE))&lt;test!$K$16,$A27&lt;&gt;W$1,feasible_mat!W27=1),SUM(VLOOKUP($A27,test!$A$3:$F$32,2,FALSE), VLOOKUP(W$1,test!$A$3:$F$32,2,FALSE)),0)</f>
        <v>275</v>
      </c>
      <c r="X27">
        <f>IF(AND(SUM(VLOOKUP($A27,test!$A$3:$F$32,2,FALSE),VLOOKUP(X$1,test!$A$3:$F$32,2,FALSE))&lt;test!$K$16,$A27&lt;&gt;X$1,feasible_mat!X27=1),SUM(VLOOKUP($A27,test!$A$3:$F$32,2,FALSE), VLOOKUP(X$1,test!$A$3:$F$32,2,FALSE)),0)</f>
        <v>275</v>
      </c>
      <c r="Y27">
        <f>IF(AND(SUM(VLOOKUP($A27,test!$A$3:$F$32,2,FALSE),VLOOKUP(Y$1,test!$A$3:$F$32,2,FALSE))&lt;test!$K$16,$A27&lt;&gt;Y$1,feasible_mat!Y27=1),SUM(VLOOKUP($A27,test!$A$3:$F$32,2,FALSE), VLOOKUP(Y$1,test!$A$3:$F$32,2,FALSE)),0)</f>
        <v>0</v>
      </c>
      <c r="Z27">
        <f>IF(AND(SUM(VLOOKUP($A27,test!$A$3:$F$32,2,FALSE),VLOOKUP(Z$1,test!$A$3:$F$32,2,FALSE))&lt;test!$K$16,$A27&lt;&gt;Z$1,feasible_mat!Z27=1),SUM(VLOOKUP($A27,test!$A$3:$F$32,2,FALSE), VLOOKUP(Z$1,test!$A$3:$F$32,2,FALSE)),0)</f>
        <v>0</v>
      </c>
      <c r="AA27">
        <f>IF(AND(SUM(VLOOKUP($A27,test!$A$3:$F$32,2,FALSE),VLOOKUP(AA$1,test!$A$3:$F$32,2,FALSE))&lt;test!$K$16,$A27&lt;&gt;AA$1,feasible_mat!AA27=1),SUM(VLOOKUP($A27,test!$A$3:$F$32,2,FALSE), VLOOKUP(AA$1,test!$A$3:$F$32,2,FALSE)),0)</f>
        <v>0</v>
      </c>
      <c r="AB27">
        <f>IF(AND(SUM(VLOOKUP($A27,test!$A$3:$F$32,2,FALSE),VLOOKUP(AB$1,test!$A$3:$F$32,2,FALSE))&lt;test!$K$16,$A27&lt;&gt;AB$1,feasible_mat!AB27=1),SUM(VLOOKUP($A27,test!$A$3:$F$32,2,FALSE), VLOOKUP(AB$1,test!$A$3:$F$32,2,FALSE)),0)</f>
        <v>0</v>
      </c>
      <c r="AC27">
        <f>IF(AND(SUM(VLOOKUP($A27,test!$A$3:$F$32,2,FALSE),VLOOKUP(AC$1,test!$A$3:$F$32,2,FALSE))&lt;test!$K$16,$A27&lt;&gt;AC$1,feasible_mat!AC27=1),SUM(VLOOKUP($A27,test!$A$3:$F$32,2,FALSE), VLOOKUP(AC$1,test!$A$3:$F$32,2,FALSE)),0)</f>
        <v>280</v>
      </c>
      <c r="AD27">
        <f>IF(AND(SUM(VLOOKUP($A27,test!$A$3:$F$32,2,FALSE),VLOOKUP(AD$1,test!$A$3:$F$32,2,FALSE))&lt;test!$K$16,$A27&lt;&gt;AD$1,feasible_mat!AD27=1),SUM(VLOOKUP($A27,test!$A$3:$F$32,2,FALSE), VLOOKUP(AD$1,test!$A$3:$F$32,2,FALSE)),0)</f>
        <v>0</v>
      </c>
      <c r="AE27">
        <f>IF(AND(SUM(VLOOKUP($A27,test!$A$3:$F$32,2,FALSE),VLOOKUP(AE$1,test!$A$3:$F$32,2,FALSE))&lt;test!$K$16,$A27&lt;&gt;AE$1,feasible_mat!AE27=1),SUM(VLOOKUP($A27,test!$A$3:$F$32,2,FALSE), VLOOKUP(AE$1,test!$A$3:$F$32,2,FALSE)),0)</f>
        <v>0</v>
      </c>
      <c r="AF27">
        <f>IF(AND(SUM(VLOOKUP($A27,test!$A$3:$F$32,2,FALSE),VLOOKUP(AF$1,test!$A$3:$F$32,2,FALSE))&lt;test!$K$16,$A27&lt;&gt;AF$1,feasible_mat!AF27=1),SUM(VLOOKUP($A27,test!$A$3:$F$32,2,FALSE), VLOOKUP(AF$1,test!$A$3:$F$32,2,FALSE)),0)</f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5">
      <c r="A28" t="s">
        <v>37</v>
      </c>
      <c r="B28">
        <v>0</v>
      </c>
      <c r="C28">
        <f>IF(AND(SUM(VLOOKUP($A28,test!$A$3:$F$32,2,FALSE),VLOOKUP(C$1,test!$A$3:$F$32,2,FALSE))&lt;test!$K$16,$A28&lt;&gt;C$1,feasible_mat!C28=1),SUM(VLOOKUP($A28,test!$A$3:$F$32,2,FALSE), VLOOKUP(C$1,test!$A$3:$F$32,2,FALSE)),0)</f>
        <v>0</v>
      </c>
      <c r="D28">
        <f>IF(AND(SUM(VLOOKUP($A28,test!$A$3:$F$32,2,FALSE),VLOOKUP(D$1,test!$A$3:$F$32,2,FALSE))&lt;test!$K$16,$A28&lt;&gt;D$1,feasible_mat!D28=1),SUM(VLOOKUP($A28,test!$A$3:$F$32,2,FALSE), VLOOKUP(D$1,test!$A$3:$F$32,2,FALSE)),0)</f>
        <v>0</v>
      </c>
      <c r="E28">
        <f>IF(AND(SUM(VLOOKUP($A28,test!$A$3:$F$32,2,FALSE),VLOOKUP(E$1,test!$A$3:$F$32,2,FALSE))&lt;test!$K$16,$A28&lt;&gt;E$1,feasible_mat!E28=1),SUM(VLOOKUP($A28,test!$A$3:$F$32,2,FALSE), VLOOKUP(E$1,test!$A$3:$F$32,2,FALSE)),0)</f>
        <v>0</v>
      </c>
      <c r="F28">
        <f>IF(AND(SUM(VLOOKUP($A28,test!$A$3:$F$32,2,FALSE),VLOOKUP(F$1,test!$A$3:$F$32,2,FALSE))&lt;test!$K$16,$A28&lt;&gt;F$1,feasible_mat!F28=1),SUM(VLOOKUP($A28,test!$A$3:$F$32,2,FALSE), VLOOKUP(F$1,test!$A$3:$F$32,2,FALSE)),0)</f>
        <v>0</v>
      </c>
      <c r="G28">
        <f>IF(AND(SUM(VLOOKUP($A28,test!$A$3:$F$32,2,FALSE),VLOOKUP(G$1,test!$A$3:$F$32,2,FALSE))&lt;test!$K$16,$A28&lt;&gt;G$1,feasible_mat!G28=1),SUM(VLOOKUP($A28,test!$A$3:$F$32,2,FALSE), VLOOKUP(G$1,test!$A$3:$F$32,2,FALSE)),0)</f>
        <v>0</v>
      </c>
      <c r="H28">
        <f>IF(AND(SUM(VLOOKUP($A28,test!$A$3:$F$32,2,FALSE),VLOOKUP(H$1,test!$A$3:$F$32,2,FALSE))&lt;test!$K$16,$A28&lt;&gt;H$1,feasible_mat!H28=1),SUM(VLOOKUP($A28,test!$A$3:$F$32,2,FALSE), VLOOKUP(H$1,test!$A$3:$F$32,2,FALSE)),0)</f>
        <v>0</v>
      </c>
      <c r="I28">
        <f>IF(AND(SUM(VLOOKUP($A28,test!$A$3:$F$32,2,FALSE),VLOOKUP(I$1,test!$A$3:$F$32,2,FALSE))&lt;test!$K$16,$A28&lt;&gt;I$1,feasible_mat!I28=1),SUM(VLOOKUP($A28,test!$A$3:$F$32,2,FALSE), VLOOKUP(I$1,test!$A$3:$F$32,2,FALSE)),0)</f>
        <v>275</v>
      </c>
      <c r="J28">
        <f>IF(AND(SUM(VLOOKUP($A28,test!$A$3:$F$32,2,FALSE),VLOOKUP(J$1,test!$A$3:$F$32,2,FALSE))&lt;test!$K$16,$A28&lt;&gt;J$1,feasible_mat!J28=1),SUM(VLOOKUP($A28,test!$A$3:$F$32,2,FALSE), VLOOKUP(J$1,test!$A$3:$F$32,2,FALSE)),0)</f>
        <v>275</v>
      </c>
      <c r="K28">
        <f>IF(AND(SUM(VLOOKUP($A28,test!$A$3:$F$32,2,FALSE),VLOOKUP(K$1,test!$A$3:$F$32,2,FALSE))&lt;test!$K$16,$A28&lt;&gt;K$1,feasible_mat!K28=1),SUM(VLOOKUP($A28,test!$A$3:$F$32,2,FALSE), VLOOKUP(K$1,test!$A$3:$F$32,2,FALSE)),0)</f>
        <v>0</v>
      </c>
      <c r="L28">
        <f>IF(AND(SUM(VLOOKUP($A28,test!$A$3:$F$32,2,FALSE),VLOOKUP(L$1,test!$A$3:$F$32,2,FALSE))&lt;test!$K$16,$A28&lt;&gt;L$1,feasible_mat!L28=1),SUM(VLOOKUP($A28,test!$A$3:$F$32,2,FALSE), VLOOKUP(L$1,test!$A$3:$F$32,2,FALSE)),0)</f>
        <v>0</v>
      </c>
      <c r="M28">
        <f>IF(AND(SUM(VLOOKUP($A28,test!$A$3:$F$32,2,FALSE),VLOOKUP(M$1,test!$A$3:$F$32,2,FALSE))&lt;test!$K$16,$A28&lt;&gt;M$1,feasible_mat!M28=1),SUM(VLOOKUP($A28,test!$A$3:$F$32,2,FALSE), VLOOKUP(M$1,test!$A$3:$F$32,2,FALSE)),0)</f>
        <v>0</v>
      </c>
      <c r="N28">
        <f>IF(AND(SUM(VLOOKUP($A28,test!$A$3:$F$32,2,FALSE),VLOOKUP(N$1,test!$A$3:$F$32,2,FALSE))&lt;test!$K$16,$A28&lt;&gt;N$1,feasible_mat!N28=1),SUM(VLOOKUP($A28,test!$A$3:$F$32,2,FALSE), VLOOKUP(N$1,test!$A$3:$F$32,2,FALSE)),0)</f>
        <v>280</v>
      </c>
      <c r="O28">
        <f>IF(AND(SUM(VLOOKUP($A28,test!$A$3:$F$32,2,FALSE),VLOOKUP(O$1,test!$A$3:$F$32,2,FALSE))&lt;test!$K$16,$A28&lt;&gt;O$1,feasible_mat!O28=1),SUM(VLOOKUP($A28,test!$A$3:$F$32,2,FALSE), VLOOKUP(O$1,test!$A$3:$F$32,2,FALSE)),0)</f>
        <v>280</v>
      </c>
      <c r="P28">
        <f>IF(AND(SUM(VLOOKUP($A28,test!$A$3:$F$32,2,FALSE),VLOOKUP(P$1,test!$A$3:$F$32,2,FALSE))&lt;test!$K$16,$A28&lt;&gt;P$1,feasible_mat!P28=1),SUM(VLOOKUP($A28,test!$A$3:$F$32,2,FALSE), VLOOKUP(P$1,test!$A$3:$F$32,2,FALSE)),0)</f>
        <v>0</v>
      </c>
      <c r="Q28">
        <f>IF(AND(SUM(VLOOKUP($A28,test!$A$3:$F$32,2,FALSE),VLOOKUP(Q$1,test!$A$3:$F$32,2,FALSE))&lt;test!$K$16,$A28&lt;&gt;Q$1,feasible_mat!Q28=1),SUM(VLOOKUP($A28,test!$A$3:$F$32,2,FALSE), VLOOKUP(Q$1,test!$A$3:$F$32,2,FALSE)),0)</f>
        <v>0</v>
      </c>
      <c r="R28">
        <f>IF(AND(SUM(VLOOKUP($A28,test!$A$3:$F$32,2,FALSE),VLOOKUP(R$1,test!$A$3:$F$32,2,FALSE))&lt;test!$K$16,$A28&lt;&gt;R$1,feasible_mat!R28=1),SUM(VLOOKUP($A28,test!$A$3:$F$32,2,FALSE), VLOOKUP(R$1,test!$A$3:$F$32,2,FALSE)),0)</f>
        <v>0</v>
      </c>
      <c r="S28">
        <f>IF(AND(SUM(VLOOKUP($A28,test!$A$3:$F$32,2,FALSE),VLOOKUP(S$1,test!$A$3:$F$32,2,FALSE))&lt;test!$K$16,$A28&lt;&gt;S$1,feasible_mat!S28=1),SUM(VLOOKUP($A28,test!$A$3:$F$32,2,FALSE), VLOOKUP(S$1,test!$A$3:$F$32,2,FALSE)),0)</f>
        <v>0</v>
      </c>
      <c r="T28">
        <f>IF(AND(SUM(VLOOKUP($A28,test!$A$3:$F$32,2,FALSE),VLOOKUP(T$1,test!$A$3:$F$32,2,FALSE))&lt;test!$K$16,$A28&lt;&gt;T$1,feasible_mat!T28=1),SUM(VLOOKUP($A28,test!$A$3:$F$32,2,FALSE), VLOOKUP(T$1,test!$A$3:$F$32,2,FALSE)),0)</f>
        <v>0</v>
      </c>
      <c r="U28">
        <f>IF(AND(SUM(VLOOKUP($A28,test!$A$3:$F$32,2,FALSE),VLOOKUP(U$1,test!$A$3:$F$32,2,FALSE))&lt;test!$K$16,$A28&lt;&gt;U$1,feasible_mat!U28=1),SUM(VLOOKUP($A28,test!$A$3:$F$32,2,FALSE), VLOOKUP(U$1,test!$A$3:$F$32,2,FALSE)),0)</f>
        <v>0</v>
      </c>
      <c r="V28">
        <f>IF(AND(SUM(VLOOKUP($A28,test!$A$3:$F$32,2,FALSE),VLOOKUP(V$1,test!$A$3:$F$32,2,FALSE))&lt;test!$K$16,$A28&lt;&gt;V$1,feasible_mat!V28=1),SUM(VLOOKUP($A28,test!$A$3:$F$32,2,FALSE), VLOOKUP(V$1,test!$A$3:$F$32,2,FALSE)),0)</f>
        <v>0</v>
      </c>
      <c r="W28">
        <f>IF(AND(SUM(VLOOKUP($A28,test!$A$3:$F$32,2,FALSE),VLOOKUP(W$1,test!$A$3:$F$32,2,FALSE))&lt;test!$K$16,$A28&lt;&gt;W$1,feasible_mat!W28=1),SUM(VLOOKUP($A28,test!$A$3:$F$32,2,FALSE), VLOOKUP(W$1,test!$A$3:$F$32,2,FALSE)),0)</f>
        <v>275</v>
      </c>
      <c r="X28">
        <f>IF(AND(SUM(VLOOKUP($A28,test!$A$3:$F$32,2,FALSE),VLOOKUP(X$1,test!$A$3:$F$32,2,FALSE))&lt;test!$K$16,$A28&lt;&gt;X$1,feasible_mat!X28=1),SUM(VLOOKUP($A28,test!$A$3:$F$32,2,FALSE), VLOOKUP(X$1,test!$A$3:$F$32,2,FALSE)),0)</f>
        <v>275</v>
      </c>
      <c r="Y28">
        <f>IF(AND(SUM(VLOOKUP($A28,test!$A$3:$F$32,2,FALSE),VLOOKUP(Y$1,test!$A$3:$F$32,2,FALSE))&lt;test!$K$16,$A28&lt;&gt;Y$1,feasible_mat!Y28=1),SUM(VLOOKUP($A28,test!$A$3:$F$32,2,FALSE), VLOOKUP(Y$1,test!$A$3:$F$32,2,FALSE)),0)</f>
        <v>0</v>
      </c>
      <c r="Z28">
        <f>IF(AND(SUM(VLOOKUP($A28,test!$A$3:$F$32,2,FALSE),VLOOKUP(Z$1,test!$A$3:$F$32,2,FALSE))&lt;test!$K$16,$A28&lt;&gt;Z$1,feasible_mat!Z28=1),SUM(VLOOKUP($A28,test!$A$3:$F$32,2,FALSE), VLOOKUP(Z$1,test!$A$3:$F$32,2,FALSE)),0)</f>
        <v>0</v>
      </c>
      <c r="AA28">
        <f>IF(AND(SUM(VLOOKUP($A28,test!$A$3:$F$32,2,FALSE),VLOOKUP(AA$1,test!$A$3:$F$32,2,FALSE))&lt;test!$K$16,$A28&lt;&gt;AA$1,feasible_mat!AA28=1),SUM(VLOOKUP($A28,test!$A$3:$F$32,2,FALSE), VLOOKUP(AA$1,test!$A$3:$F$32,2,FALSE)),0)</f>
        <v>0</v>
      </c>
      <c r="AB28">
        <f>IF(AND(SUM(VLOOKUP($A28,test!$A$3:$F$32,2,FALSE),VLOOKUP(AB$1,test!$A$3:$F$32,2,FALSE))&lt;test!$K$16,$A28&lt;&gt;AB$1,feasible_mat!AB28=1),SUM(VLOOKUP($A28,test!$A$3:$F$32,2,FALSE), VLOOKUP(AB$1,test!$A$3:$F$32,2,FALSE)),0)</f>
        <v>0</v>
      </c>
      <c r="AC28">
        <f>IF(AND(SUM(VLOOKUP($A28,test!$A$3:$F$32,2,FALSE),VLOOKUP(AC$1,test!$A$3:$F$32,2,FALSE))&lt;test!$K$16,$A28&lt;&gt;AC$1,feasible_mat!AC28=1),SUM(VLOOKUP($A28,test!$A$3:$F$32,2,FALSE), VLOOKUP(AC$1,test!$A$3:$F$32,2,FALSE)),0)</f>
        <v>0</v>
      </c>
      <c r="AD28">
        <f>IF(AND(SUM(VLOOKUP($A28,test!$A$3:$F$32,2,FALSE),VLOOKUP(AD$1,test!$A$3:$F$32,2,FALSE))&lt;test!$K$16,$A28&lt;&gt;AD$1,feasible_mat!AD28=1),SUM(VLOOKUP($A28,test!$A$3:$F$32,2,FALSE), VLOOKUP(AD$1,test!$A$3:$F$32,2,FALSE)),0)</f>
        <v>0</v>
      </c>
      <c r="AE28">
        <f>IF(AND(SUM(VLOOKUP($A28,test!$A$3:$F$32,2,FALSE),VLOOKUP(AE$1,test!$A$3:$F$32,2,FALSE))&lt;test!$K$16,$A28&lt;&gt;AE$1,feasible_mat!AE28=1),SUM(VLOOKUP($A28,test!$A$3:$F$32,2,FALSE), VLOOKUP(AE$1,test!$A$3:$F$32,2,FALSE)),0)</f>
        <v>0</v>
      </c>
      <c r="AF28">
        <f>IF(AND(SUM(VLOOKUP($A28,test!$A$3:$F$32,2,FALSE),VLOOKUP(AF$1,test!$A$3:$F$32,2,FALSE))&lt;test!$K$16,$A28&lt;&gt;AF$1,feasible_mat!AF28=1),SUM(VLOOKUP($A28,test!$A$3:$F$32,2,FALSE), VLOOKUP(AF$1,test!$A$3:$F$32,2,FALSE)),0)</f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5">
      <c r="A29" t="s">
        <v>38</v>
      </c>
      <c r="B29">
        <v>0</v>
      </c>
      <c r="C29">
        <f>IF(AND(SUM(VLOOKUP($A29,test!$A$3:$F$32,2,FALSE),VLOOKUP(C$1,test!$A$3:$F$32,2,FALSE))&lt;test!$K$16,$A29&lt;&gt;C$1,feasible_mat!C29=1),SUM(VLOOKUP($A29,test!$A$3:$F$32,2,FALSE), VLOOKUP(C$1,test!$A$3:$F$32,2,FALSE)),0)</f>
        <v>0</v>
      </c>
      <c r="D29">
        <f>IF(AND(SUM(VLOOKUP($A29,test!$A$3:$F$32,2,FALSE),VLOOKUP(D$1,test!$A$3:$F$32,2,FALSE))&lt;test!$K$16,$A29&lt;&gt;D$1,feasible_mat!D29=1),SUM(VLOOKUP($A29,test!$A$3:$F$32,2,FALSE), VLOOKUP(D$1,test!$A$3:$F$32,2,FALSE)),0)</f>
        <v>0</v>
      </c>
      <c r="E29">
        <f>IF(AND(SUM(VLOOKUP($A29,test!$A$3:$F$32,2,FALSE),VLOOKUP(E$1,test!$A$3:$F$32,2,FALSE))&lt;test!$K$16,$A29&lt;&gt;E$1,feasible_mat!E29=1),SUM(VLOOKUP($A29,test!$A$3:$F$32,2,FALSE), VLOOKUP(E$1,test!$A$3:$F$32,2,FALSE)),0)</f>
        <v>0</v>
      </c>
      <c r="F29">
        <f>IF(AND(SUM(VLOOKUP($A29,test!$A$3:$F$32,2,FALSE),VLOOKUP(F$1,test!$A$3:$F$32,2,FALSE))&lt;test!$K$16,$A29&lt;&gt;F$1,feasible_mat!F29=1),SUM(VLOOKUP($A29,test!$A$3:$F$32,2,FALSE), VLOOKUP(F$1,test!$A$3:$F$32,2,FALSE)),0)</f>
        <v>0</v>
      </c>
      <c r="G29">
        <f>IF(AND(SUM(VLOOKUP($A29,test!$A$3:$F$32,2,FALSE),VLOOKUP(G$1,test!$A$3:$F$32,2,FALSE))&lt;test!$K$16,$A29&lt;&gt;G$1,feasible_mat!G29=1),SUM(VLOOKUP($A29,test!$A$3:$F$32,2,FALSE), VLOOKUP(G$1,test!$A$3:$F$32,2,FALSE)),0)</f>
        <v>0</v>
      </c>
      <c r="H29">
        <f>IF(AND(SUM(VLOOKUP($A29,test!$A$3:$F$32,2,FALSE),VLOOKUP(H$1,test!$A$3:$F$32,2,FALSE))&lt;test!$K$16,$A29&lt;&gt;H$1,feasible_mat!H29=1),SUM(VLOOKUP($A29,test!$A$3:$F$32,2,FALSE), VLOOKUP(H$1,test!$A$3:$F$32,2,FALSE)),0)</f>
        <v>0</v>
      </c>
      <c r="I29">
        <f>IF(AND(SUM(VLOOKUP($A29,test!$A$3:$F$32,2,FALSE),VLOOKUP(I$1,test!$A$3:$F$32,2,FALSE))&lt;test!$K$16,$A29&lt;&gt;I$1,feasible_mat!I29=1),SUM(VLOOKUP($A29,test!$A$3:$F$32,2,FALSE), VLOOKUP(I$1,test!$A$3:$F$32,2,FALSE)),0)</f>
        <v>0</v>
      </c>
      <c r="J29">
        <f>IF(AND(SUM(VLOOKUP($A29,test!$A$3:$F$32,2,FALSE),VLOOKUP(J$1,test!$A$3:$F$32,2,FALSE))&lt;test!$K$16,$A29&lt;&gt;J$1,feasible_mat!J29=1),SUM(VLOOKUP($A29,test!$A$3:$F$32,2,FALSE), VLOOKUP(J$1,test!$A$3:$F$32,2,FALSE)),0)</f>
        <v>0</v>
      </c>
      <c r="K29">
        <f>IF(AND(SUM(VLOOKUP($A29,test!$A$3:$F$32,2,FALSE),VLOOKUP(K$1,test!$A$3:$F$32,2,FALSE))&lt;test!$K$16,$A29&lt;&gt;K$1,feasible_mat!K29=1),SUM(VLOOKUP($A29,test!$A$3:$F$32,2,FALSE), VLOOKUP(K$1,test!$A$3:$F$32,2,FALSE)),0)</f>
        <v>0</v>
      </c>
      <c r="L29">
        <f>IF(AND(SUM(VLOOKUP($A29,test!$A$3:$F$32,2,FALSE),VLOOKUP(L$1,test!$A$3:$F$32,2,FALSE))&lt;test!$K$16,$A29&lt;&gt;L$1,feasible_mat!L29=1),SUM(VLOOKUP($A29,test!$A$3:$F$32,2,FALSE), VLOOKUP(L$1,test!$A$3:$F$32,2,FALSE)),0)</f>
        <v>0</v>
      </c>
      <c r="M29">
        <f>IF(AND(SUM(VLOOKUP($A29,test!$A$3:$F$32,2,FALSE),VLOOKUP(M$1,test!$A$3:$F$32,2,FALSE))&lt;test!$K$16,$A29&lt;&gt;M$1,feasible_mat!M29=1),SUM(VLOOKUP($A29,test!$A$3:$F$32,2,FALSE), VLOOKUP(M$1,test!$A$3:$F$32,2,FALSE)),0)</f>
        <v>0</v>
      </c>
      <c r="N29">
        <f>IF(AND(SUM(VLOOKUP($A29,test!$A$3:$F$32,2,FALSE),VLOOKUP(N$1,test!$A$3:$F$32,2,FALSE))&lt;test!$K$16,$A29&lt;&gt;N$1,feasible_mat!N29=1),SUM(VLOOKUP($A29,test!$A$3:$F$32,2,FALSE), VLOOKUP(N$1,test!$A$3:$F$32,2,FALSE)),0)</f>
        <v>0</v>
      </c>
      <c r="O29">
        <f>IF(AND(SUM(VLOOKUP($A29,test!$A$3:$F$32,2,FALSE),VLOOKUP(O$1,test!$A$3:$F$32,2,FALSE))&lt;test!$K$16,$A29&lt;&gt;O$1,feasible_mat!O29=1),SUM(VLOOKUP($A29,test!$A$3:$F$32,2,FALSE), VLOOKUP(O$1,test!$A$3:$F$32,2,FALSE)),0)</f>
        <v>280</v>
      </c>
      <c r="P29">
        <f>IF(AND(SUM(VLOOKUP($A29,test!$A$3:$F$32,2,FALSE),VLOOKUP(P$1,test!$A$3:$F$32,2,FALSE))&lt;test!$K$16,$A29&lt;&gt;P$1,feasible_mat!P29=1),SUM(VLOOKUP($A29,test!$A$3:$F$32,2,FALSE), VLOOKUP(P$1,test!$A$3:$F$32,2,FALSE)),0)</f>
        <v>0</v>
      </c>
      <c r="Q29">
        <f>IF(AND(SUM(VLOOKUP($A29,test!$A$3:$F$32,2,FALSE),VLOOKUP(Q$1,test!$A$3:$F$32,2,FALSE))&lt;test!$K$16,$A29&lt;&gt;Q$1,feasible_mat!Q29=1),SUM(VLOOKUP($A29,test!$A$3:$F$32,2,FALSE), VLOOKUP(Q$1,test!$A$3:$F$32,2,FALSE)),0)</f>
        <v>0</v>
      </c>
      <c r="R29">
        <f>IF(AND(SUM(VLOOKUP($A29,test!$A$3:$F$32,2,FALSE),VLOOKUP(R$1,test!$A$3:$F$32,2,FALSE))&lt;test!$K$16,$A29&lt;&gt;R$1,feasible_mat!R29=1),SUM(VLOOKUP($A29,test!$A$3:$F$32,2,FALSE), VLOOKUP(R$1,test!$A$3:$F$32,2,FALSE)),0)</f>
        <v>0</v>
      </c>
      <c r="S29">
        <f>IF(AND(SUM(VLOOKUP($A29,test!$A$3:$F$32,2,FALSE),VLOOKUP(S$1,test!$A$3:$F$32,2,FALSE))&lt;test!$K$16,$A29&lt;&gt;S$1,feasible_mat!S29=1),SUM(VLOOKUP($A29,test!$A$3:$F$32,2,FALSE), VLOOKUP(S$1,test!$A$3:$F$32,2,FALSE)),0)</f>
        <v>0</v>
      </c>
      <c r="T29">
        <f>IF(AND(SUM(VLOOKUP($A29,test!$A$3:$F$32,2,FALSE),VLOOKUP(T$1,test!$A$3:$F$32,2,FALSE))&lt;test!$K$16,$A29&lt;&gt;T$1,feasible_mat!T29=1),SUM(VLOOKUP($A29,test!$A$3:$F$32,2,FALSE), VLOOKUP(T$1,test!$A$3:$F$32,2,FALSE)),0)</f>
        <v>0</v>
      </c>
      <c r="U29">
        <f>IF(AND(SUM(VLOOKUP($A29,test!$A$3:$F$32,2,FALSE),VLOOKUP(U$1,test!$A$3:$F$32,2,FALSE))&lt;test!$K$16,$A29&lt;&gt;U$1,feasible_mat!U29=1),SUM(VLOOKUP($A29,test!$A$3:$F$32,2,FALSE), VLOOKUP(U$1,test!$A$3:$F$32,2,FALSE)),0)</f>
        <v>0</v>
      </c>
      <c r="V29">
        <f>IF(AND(SUM(VLOOKUP($A29,test!$A$3:$F$32,2,FALSE),VLOOKUP(V$1,test!$A$3:$F$32,2,FALSE))&lt;test!$K$16,$A29&lt;&gt;V$1,feasible_mat!V29=1),SUM(VLOOKUP($A29,test!$A$3:$F$32,2,FALSE), VLOOKUP(V$1,test!$A$3:$F$32,2,FALSE)),0)</f>
        <v>0</v>
      </c>
      <c r="W29">
        <f>IF(AND(SUM(VLOOKUP($A29,test!$A$3:$F$32,2,FALSE),VLOOKUP(W$1,test!$A$3:$F$32,2,FALSE))&lt;test!$K$16,$A29&lt;&gt;W$1,feasible_mat!W29=1),SUM(VLOOKUP($A29,test!$A$3:$F$32,2,FALSE), VLOOKUP(W$1,test!$A$3:$F$32,2,FALSE)),0)</f>
        <v>0</v>
      </c>
      <c r="X29">
        <f>IF(AND(SUM(VLOOKUP($A29,test!$A$3:$F$32,2,FALSE),VLOOKUP(X$1,test!$A$3:$F$32,2,FALSE))&lt;test!$K$16,$A29&lt;&gt;X$1,feasible_mat!X29=1),SUM(VLOOKUP($A29,test!$A$3:$F$32,2,FALSE), VLOOKUP(X$1,test!$A$3:$F$32,2,FALSE)),0)</f>
        <v>0</v>
      </c>
      <c r="Y29">
        <f>IF(AND(SUM(VLOOKUP($A29,test!$A$3:$F$32,2,FALSE),VLOOKUP(Y$1,test!$A$3:$F$32,2,FALSE))&lt;test!$K$16,$A29&lt;&gt;Y$1,feasible_mat!Y29=1),SUM(VLOOKUP($A29,test!$A$3:$F$32,2,FALSE), VLOOKUP(Y$1,test!$A$3:$F$32,2,FALSE)),0)</f>
        <v>0</v>
      </c>
      <c r="Z29">
        <f>IF(AND(SUM(VLOOKUP($A29,test!$A$3:$F$32,2,FALSE),VLOOKUP(Z$1,test!$A$3:$F$32,2,FALSE))&lt;test!$K$16,$A29&lt;&gt;Z$1,feasible_mat!Z29=1),SUM(VLOOKUP($A29,test!$A$3:$F$32,2,FALSE), VLOOKUP(Z$1,test!$A$3:$F$32,2,FALSE)),0)</f>
        <v>0</v>
      </c>
      <c r="AA29">
        <f>IF(AND(SUM(VLOOKUP($A29,test!$A$3:$F$32,2,FALSE),VLOOKUP(AA$1,test!$A$3:$F$32,2,FALSE))&lt;test!$K$16,$A29&lt;&gt;AA$1,feasible_mat!AA29=1),SUM(VLOOKUP($A29,test!$A$3:$F$32,2,FALSE), VLOOKUP(AA$1,test!$A$3:$F$32,2,FALSE)),0)</f>
        <v>0</v>
      </c>
      <c r="AB29">
        <f>IF(AND(SUM(VLOOKUP($A29,test!$A$3:$F$32,2,FALSE),VLOOKUP(AB$1,test!$A$3:$F$32,2,FALSE))&lt;test!$K$16,$A29&lt;&gt;AB$1,feasible_mat!AB29=1),SUM(VLOOKUP($A29,test!$A$3:$F$32,2,FALSE), VLOOKUP(AB$1,test!$A$3:$F$32,2,FALSE)),0)</f>
        <v>0</v>
      </c>
      <c r="AC29">
        <f>IF(AND(SUM(VLOOKUP($A29,test!$A$3:$F$32,2,FALSE),VLOOKUP(AC$1,test!$A$3:$F$32,2,FALSE))&lt;test!$K$16,$A29&lt;&gt;AC$1,feasible_mat!AC29=1),SUM(VLOOKUP($A29,test!$A$3:$F$32,2,FALSE), VLOOKUP(AC$1,test!$A$3:$F$32,2,FALSE)),0)</f>
        <v>0</v>
      </c>
      <c r="AD29">
        <f>IF(AND(SUM(VLOOKUP($A29,test!$A$3:$F$32,2,FALSE),VLOOKUP(AD$1,test!$A$3:$F$32,2,FALSE))&lt;test!$K$16,$A29&lt;&gt;AD$1,feasible_mat!AD29=1),SUM(VLOOKUP($A29,test!$A$3:$F$32,2,FALSE), VLOOKUP(AD$1,test!$A$3:$F$32,2,FALSE)),0)</f>
        <v>0</v>
      </c>
      <c r="AE29">
        <f>IF(AND(SUM(VLOOKUP($A29,test!$A$3:$F$32,2,FALSE),VLOOKUP(AE$1,test!$A$3:$F$32,2,FALSE))&lt;test!$K$16,$A29&lt;&gt;AE$1,feasible_mat!AE29=1),SUM(VLOOKUP($A29,test!$A$3:$F$32,2,FALSE), VLOOKUP(AE$1,test!$A$3:$F$32,2,FALSE)),0)</f>
        <v>0</v>
      </c>
      <c r="AF29">
        <f>IF(AND(SUM(VLOOKUP($A29,test!$A$3:$F$32,2,FALSE),VLOOKUP(AF$1,test!$A$3:$F$32,2,FALSE))&lt;test!$K$16,$A29&lt;&gt;AF$1,feasible_mat!AF29=1),SUM(VLOOKUP($A29,test!$A$3:$F$32,2,FALSE), VLOOKUP(AF$1,test!$A$3:$F$32,2,FALSE)),0)</f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39</v>
      </c>
      <c r="B30">
        <v>0</v>
      </c>
      <c r="C30">
        <f>IF(AND(SUM(VLOOKUP($A30,test!$A$3:$F$32,2,FALSE),VLOOKUP(C$1,test!$A$3:$F$32,2,FALSE))&lt;test!$K$16,$A30&lt;&gt;C$1,feasible_mat!C30=1),SUM(VLOOKUP($A30,test!$A$3:$F$32,2,FALSE), VLOOKUP(C$1,test!$A$3:$F$32,2,FALSE)),0)</f>
        <v>0</v>
      </c>
      <c r="D30">
        <f>IF(AND(SUM(VLOOKUP($A30,test!$A$3:$F$32,2,FALSE),VLOOKUP(D$1,test!$A$3:$F$32,2,FALSE))&lt;test!$K$16,$A30&lt;&gt;D$1,feasible_mat!D30=1),SUM(VLOOKUP($A30,test!$A$3:$F$32,2,FALSE), VLOOKUP(D$1,test!$A$3:$F$32,2,FALSE)),0)</f>
        <v>0</v>
      </c>
      <c r="E30">
        <f>IF(AND(SUM(VLOOKUP($A30,test!$A$3:$F$32,2,FALSE),VLOOKUP(E$1,test!$A$3:$F$32,2,FALSE))&lt;test!$K$16,$A30&lt;&gt;E$1,feasible_mat!E30=1),SUM(VLOOKUP($A30,test!$A$3:$F$32,2,FALSE), VLOOKUP(E$1,test!$A$3:$F$32,2,FALSE)),0)</f>
        <v>0</v>
      </c>
      <c r="F30">
        <f>IF(AND(SUM(VLOOKUP($A30,test!$A$3:$F$32,2,FALSE),VLOOKUP(F$1,test!$A$3:$F$32,2,FALSE))&lt;test!$K$16,$A30&lt;&gt;F$1,feasible_mat!F30=1),SUM(VLOOKUP($A30,test!$A$3:$F$32,2,FALSE), VLOOKUP(F$1,test!$A$3:$F$32,2,FALSE)),0)</f>
        <v>0</v>
      </c>
      <c r="G30">
        <f>IF(AND(SUM(VLOOKUP($A30,test!$A$3:$F$32,2,FALSE),VLOOKUP(G$1,test!$A$3:$F$32,2,FALSE))&lt;test!$K$16,$A30&lt;&gt;G$1,feasible_mat!G30=1),SUM(VLOOKUP($A30,test!$A$3:$F$32,2,FALSE), VLOOKUP(G$1,test!$A$3:$F$32,2,FALSE)),0)</f>
        <v>0</v>
      </c>
      <c r="H30">
        <f>IF(AND(SUM(VLOOKUP($A30,test!$A$3:$F$32,2,FALSE),VLOOKUP(H$1,test!$A$3:$F$32,2,FALSE))&lt;test!$K$16,$A30&lt;&gt;H$1,feasible_mat!H30=1),SUM(VLOOKUP($A30,test!$A$3:$F$32,2,FALSE), VLOOKUP(H$1,test!$A$3:$F$32,2,FALSE)),0)</f>
        <v>0</v>
      </c>
      <c r="I30">
        <f>IF(AND(SUM(VLOOKUP($A30,test!$A$3:$F$32,2,FALSE),VLOOKUP(I$1,test!$A$3:$F$32,2,FALSE))&lt;test!$K$16,$A30&lt;&gt;I$1,feasible_mat!I30=1),SUM(VLOOKUP($A30,test!$A$3:$F$32,2,FALSE), VLOOKUP(I$1,test!$A$3:$F$32,2,FALSE)),0)</f>
        <v>0</v>
      </c>
      <c r="J30">
        <f>IF(AND(SUM(VLOOKUP($A30,test!$A$3:$F$32,2,FALSE),VLOOKUP(J$1,test!$A$3:$F$32,2,FALSE))&lt;test!$K$16,$A30&lt;&gt;J$1,feasible_mat!J30=1),SUM(VLOOKUP($A30,test!$A$3:$F$32,2,FALSE), VLOOKUP(J$1,test!$A$3:$F$32,2,FALSE)),0)</f>
        <v>0</v>
      </c>
      <c r="K30">
        <f>IF(AND(SUM(VLOOKUP($A30,test!$A$3:$F$32,2,FALSE),VLOOKUP(K$1,test!$A$3:$F$32,2,FALSE))&lt;test!$K$16,$A30&lt;&gt;K$1,feasible_mat!K30=1),SUM(VLOOKUP($A30,test!$A$3:$F$32,2,FALSE), VLOOKUP(K$1,test!$A$3:$F$32,2,FALSE)),0)</f>
        <v>0</v>
      </c>
      <c r="L30">
        <f>IF(AND(SUM(VLOOKUP($A30,test!$A$3:$F$32,2,FALSE),VLOOKUP(L$1,test!$A$3:$F$32,2,FALSE))&lt;test!$K$16,$A30&lt;&gt;L$1,feasible_mat!L30=1),SUM(VLOOKUP($A30,test!$A$3:$F$32,2,FALSE), VLOOKUP(L$1,test!$A$3:$F$32,2,FALSE)),0)</f>
        <v>0</v>
      </c>
      <c r="M30">
        <f>IF(AND(SUM(VLOOKUP($A30,test!$A$3:$F$32,2,FALSE),VLOOKUP(M$1,test!$A$3:$F$32,2,FALSE))&lt;test!$K$16,$A30&lt;&gt;M$1,feasible_mat!M30=1),SUM(VLOOKUP($A30,test!$A$3:$F$32,2,FALSE), VLOOKUP(M$1,test!$A$3:$F$32,2,FALSE)),0)</f>
        <v>0</v>
      </c>
      <c r="N30">
        <f>IF(AND(SUM(VLOOKUP($A30,test!$A$3:$F$32,2,FALSE),VLOOKUP(N$1,test!$A$3:$F$32,2,FALSE))&lt;test!$K$16,$A30&lt;&gt;N$1,feasible_mat!N30=1),SUM(VLOOKUP($A30,test!$A$3:$F$32,2,FALSE), VLOOKUP(N$1,test!$A$3:$F$32,2,FALSE)),0)</f>
        <v>0</v>
      </c>
      <c r="O30">
        <f>IF(AND(SUM(VLOOKUP($A30,test!$A$3:$F$32,2,FALSE),VLOOKUP(O$1,test!$A$3:$F$32,2,FALSE))&lt;test!$K$16,$A30&lt;&gt;O$1,feasible_mat!O30=1),SUM(VLOOKUP($A30,test!$A$3:$F$32,2,FALSE), VLOOKUP(O$1,test!$A$3:$F$32,2,FALSE)),0)</f>
        <v>0</v>
      </c>
      <c r="P30">
        <f>IF(AND(SUM(VLOOKUP($A30,test!$A$3:$F$32,2,FALSE),VLOOKUP(P$1,test!$A$3:$F$32,2,FALSE))&lt;test!$K$16,$A30&lt;&gt;P$1,feasible_mat!P30=1),SUM(VLOOKUP($A30,test!$A$3:$F$32,2,FALSE), VLOOKUP(P$1,test!$A$3:$F$32,2,FALSE)),0)</f>
        <v>0</v>
      </c>
      <c r="Q30">
        <f>IF(AND(SUM(VLOOKUP($A30,test!$A$3:$F$32,2,FALSE),VLOOKUP(Q$1,test!$A$3:$F$32,2,FALSE))&lt;test!$K$16,$A30&lt;&gt;Q$1,feasible_mat!Q30=1),SUM(VLOOKUP($A30,test!$A$3:$F$32,2,FALSE), VLOOKUP(Q$1,test!$A$3:$F$32,2,FALSE)),0)</f>
        <v>0</v>
      </c>
      <c r="R30">
        <f>IF(AND(SUM(VLOOKUP($A30,test!$A$3:$F$32,2,FALSE),VLOOKUP(R$1,test!$A$3:$F$32,2,FALSE))&lt;test!$K$16,$A30&lt;&gt;R$1,feasible_mat!R30=1),SUM(VLOOKUP($A30,test!$A$3:$F$32,2,FALSE), VLOOKUP(R$1,test!$A$3:$F$32,2,FALSE)),0)</f>
        <v>0</v>
      </c>
      <c r="S30">
        <f>IF(AND(SUM(VLOOKUP($A30,test!$A$3:$F$32,2,FALSE),VLOOKUP(S$1,test!$A$3:$F$32,2,FALSE))&lt;test!$K$16,$A30&lt;&gt;S$1,feasible_mat!S30=1),SUM(VLOOKUP($A30,test!$A$3:$F$32,2,FALSE), VLOOKUP(S$1,test!$A$3:$F$32,2,FALSE)),0)</f>
        <v>0</v>
      </c>
      <c r="T30">
        <f>IF(AND(SUM(VLOOKUP($A30,test!$A$3:$F$32,2,FALSE),VLOOKUP(T$1,test!$A$3:$F$32,2,FALSE))&lt;test!$K$16,$A30&lt;&gt;T$1,feasible_mat!T30=1),SUM(VLOOKUP($A30,test!$A$3:$F$32,2,FALSE), VLOOKUP(T$1,test!$A$3:$F$32,2,FALSE)),0)</f>
        <v>0</v>
      </c>
      <c r="U30">
        <f>IF(AND(SUM(VLOOKUP($A30,test!$A$3:$F$32,2,FALSE),VLOOKUP(U$1,test!$A$3:$F$32,2,FALSE))&lt;test!$K$16,$A30&lt;&gt;U$1,feasible_mat!U30=1),SUM(VLOOKUP($A30,test!$A$3:$F$32,2,FALSE), VLOOKUP(U$1,test!$A$3:$F$32,2,FALSE)),0)</f>
        <v>0</v>
      </c>
      <c r="V30">
        <f>IF(AND(SUM(VLOOKUP($A30,test!$A$3:$F$32,2,FALSE),VLOOKUP(V$1,test!$A$3:$F$32,2,FALSE))&lt;test!$K$16,$A30&lt;&gt;V$1,feasible_mat!V30=1),SUM(VLOOKUP($A30,test!$A$3:$F$32,2,FALSE), VLOOKUP(V$1,test!$A$3:$F$32,2,FALSE)),0)</f>
        <v>0</v>
      </c>
      <c r="W30">
        <f>IF(AND(SUM(VLOOKUP($A30,test!$A$3:$F$32,2,FALSE),VLOOKUP(W$1,test!$A$3:$F$32,2,FALSE))&lt;test!$K$16,$A30&lt;&gt;W$1,feasible_mat!W30=1),SUM(VLOOKUP($A30,test!$A$3:$F$32,2,FALSE), VLOOKUP(W$1,test!$A$3:$F$32,2,FALSE)),0)</f>
        <v>0</v>
      </c>
      <c r="X30">
        <f>IF(AND(SUM(VLOOKUP($A30,test!$A$3:$F$32,2,FALSE),VLOOKUP(X$1,test!$A$3:$F$32,2,FALSE))&lt;test!$K$16,$A30&lt;&gt;X$1,feasible_mat!X30=1),SUM(VLOOKUP($A30,test!$A$3:$F$32,2,FALSE), VLOOKUP(X$1,test!$A$3:$F$32,2,FALSE)),0)</f>
        <v>0</v>
      </c>
      <c r="Y30">
        <f>IF(AND(SUM(VLOOKUP($A30,test!$A$3:$F$32,2,FALSE),VLOOKUP(Y$1,test!$A$3:$F$32,2,FALSE))&lt;test!$K$16,$A30&lt;&gt;Y$1,feasible_mat!Y30=1),SUM(VLOOKUP($A30,test!$A$3:$F$32,2,FALSE), VLOOKUP(Y$1,test!$A$3:$F$32,2,FALSE)),0)</f>
        <v>0</v>
      </c>
      <c r="Z30">
        <f>IF(AND(SUM(VLOOKUP($A30,test!$A$3:$F$32,2,FALSE),VLOOKUP(Z$1,test!$A$3:$F$32,2,FALSE))&lt;test!$K$16,$A30&lt;&gt;Z$1,feasible_mat!Z30=1),SUM(VLOOKUP($A30,test!$A$3:$F$32,2,FALSE), VLOOKUP(Z$1,test!$A$3:$F$32,2,FALSE)),0)</f>
        <v>0</v>
      </c>
      <c r="AA30">
        <f>IF(AND(SUM(VLOOKUP($A30,test!$A$3:$F$32,2,FALSE),VLOOKUP(AA$1,test!$A$3:$F$32,2,FALSE))&lt;test!$K$16,$A30&lt;&gt;AA$1,feasible_mat!AA30=1),SUM(VLOOKUP($A30,test!$A$3:$F$32,2,FALSE), VLOOKUP(AA$1,test!$A$3:$F$32,2,FALSE)),0)</f>
        <v>0</v>
      </c>
      <c r="AB30">
        <f>IF(AND(SUM(VLOOKUP($A30,test!$A$3:$F$32,2,FALSE),VLOOKUP(AB$1,test!$A$3:$F$32,2,FALSE))&lt;test!$K$16,$A30&lt;&gt;AB$1,feasible_mat!AB30=1),SUM(VLOOKUP($A30,test!$A$3:$F$32,2,FALSE), VLOOKUP(AB$1,test!$A$3:$F$32,2,FALSE)),0)</f>
        <v>0</v>
      </c>
      <c r="AC30">
        <f>IF(AND(SUM(VLOOKUP($A30,test!$A$3:$F$32,2,FALSE),VLOOKUP(AC$1,test!$A$3:$F$32,2,FALSE))&lt;test!$K$16,$A30&lt;&gt;AC$1,feasible_mat!AC30=1),SUM(VLOOKUP($A30,test!$A$3:$F$32,2,FALSE), VLOOKUP(AC$1,test!$A$3:$F$32,2,FALSE)),0)</f>
        <v>0</v>
      </c>
      <c r="AD30">
        <f>IF(AND(SUM(VLOOKUP($A30,test!$A$3:$F$32,2,FALSE),VLOOKUP(AD$1,test!$A$3:$F$32,2,FALSE))&lt;test!$K$16,$A30&lt;&gt;AD$1,feasible_mat!AD30=1),SUM(VLOOKUP($A30,test!$A$3:$F$32,2,FALSE), VLOOKUP(AD$1,test!$A$3:$F$32,2,FALSE)),0)</f>
        <v>0</v>
      </c>
      <c r="AE30">
        <f>IF(AND(SUM(VLOOKUP($A30,test!$A$3:$F$32,2,FALSE),VLOOKUP(AE$1,test!$A$3:$F$32,2,FALSE))&lt;test!$K$16,$A30&lt;&gt;AE$1,feasible_mat!AE30=1),SUM(VLOOKUP($A30,test!$A$3:$F$32,2,FALSE), VLOOKUP(AE$1,test!$A$3:$F$32,2,FALSE)),0)</f>
        <v>0</v>
      </c>
      <c r="AF30">
        <f>IF(AND(SUM(VLOOKUP($A30,test!$A$3:$F$32,2,FALSE),VLOOKUP(AF$1,test!$A$3:$F$32,2,FALSE))&lt;test!$K$16,$A30&lt;&gt;AF$1,feasible_mat!AF30=1),SUM(VLOOKUP($A30,test!$A$3:$F$32,2,FALSE), VLOOKUP(AF$1,test!$A$3:$F$32,2,FALSE)),0)</f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40</v>
      </c>
      <c r="B31">
        <v>0</v>
      </c>
      <c r="C31">
        <f>IF(AND(SUM(VLOOKUP($A31,test!$A$3:$F$32,2,FALSE),VLOOKUP(C$1,test!$A$3:$F$32,2,FALSE))&lt;test!$K$16,$A31&lt;&gt;C$1,feasible_mat!C31=1),SUM(VLOOKUP($A31,test!$A$3:$F$32,2,FALSE), VLOOKUP(C$1,test!$A$3:$F$32,2,FALSE)),0)</f>
        <v>0</v>
      </c>
      <c r="D31">
        <f>IF(AND(SUM(VLOOKUP($A31,test!$A$3:$F$32,2,FALSE),VLOOKUP(D$1,test!$A$3:$F$32,2,FALSE))&lt;test!$K$16,$A31&lt;&gt;D$1,feasible_mat!D31=1),SUM(VLOOKUP($A31,test!$A$3:$F$32,2,FALSE), VLOOKUP(D$1,test!$A$3:$F$32,2,FALSE)),0)</f>
        <v>0</v>
      </c>
      <c r="E31">
        <f>IF(AND(SUM(VLOOKUP($A31,test!$A$3:$F$32,2,FALSE),VLOOKUP(E$1,test!$A$3:$F$32,2,FALSE))&lt;test!$K$16,$A31&lt;&gt;E$1,feasible_mat!E31=1),SUM(VLOOKUP($A31,test!$A$3:$F$32,2,FALSE), VLOOKUP(E$1,test!$A$3:$F$32,2,FALSE)),0)</f>
        <v>0</v>
      </c>
      <c r="F31">
        <f>IF(AND(SUM(VLOOKUP($A31,test!$A$3:$F$32,2,FALSE),VLOOKUP(F$1,test!$A$3:$F$32,2,FALSE))&lt;test!$K$16,$A31&lt;&gt;F$1,feasible_mat!F31=1),SUM(VLOOKUP($A31,test!$A$3:$F$32,2,FALSE), VLOOKUP(F$1,test!$A$3:$F$32,2,FALSE)),0)</f>
        <v>0</v>
      </c>
      <c r="G31">
        <f>IF(AND(SUM(VLOOKUP($A31,test!$A$3:$F$32,2,FALSE),VLOOKUP(G$1,test!$A$3:$F$32,2,FALSE))&lt;test!$K$16,$A31&lt;&gt;G$1,feasible_mat!G31=1),SUM(VLOOKUP($A31,test!$A$3:$F$32,2,FALSE), VLOOKUP(G$1,test!$A$3:$F$32,2,FALSE)),0)</f>
        <v>0</v>
      </c>
      <c r="H31">
        <f>IF(AND(SUM(VLOOKUP($A31,test!$A$3:$F$32,2,FALSE),VLOOKUP(H$1,test!$A$3:$F$32,2,FALSE))&lt;test!$K$16,$A31&lt;&gt;H$1,feasible_mat!H31=1),SUM(VLOOKUP($A31,test!$A$3:$F$32,2,FALSE), VLOOKUP(H$1,test!$A$3:$F$32,2,FALSE)),0)</f>
        <v>0</v>
      </c>
      <c r="I31">
        <f>IF(AND(SUM(VLOOKUP($A31,test!$A$3:$F$32,2,FALSE),VLOOKUP(I$1,test!$A$3:$F$32,2,FALSE))&lt;test!$K$16,$A31&lt;&gt;I$1,feasible_mat!I31=1),SUM(VLOOKUP($A31,test!$A$3:$F$32,2,FALSE), VLOOKUP(I$1,test!$A$3:$F$32,2,FALSE)),0)</f>
        <v>345</v>
      </c>
      <c r="J31">
        <f>IF(AND(SUM(VLOOKUP($A31,test!$A$3:$F$32,2,FALSE),VLOOKUP(J$1,test!$A$3:$F$32,2,FALSE))&lt;test!$K$16,$A31&lt;&gt;J$1,feasible_mat!J31=1),SUM(VLOOKUP($A31,test!$A$3:$F$32,2,FALSE), VLOOKUP(J$1,test!$A$3:$F$32,2,FALSE)),0)</f>
        <v>345</v>
      </c>
      <c r="K31">
        <f>IF(AND(SUM(VLOOKUP($A31,test!$A$3:$F$32,2,FALSE),VLOOKUP(K$1,test!$A$3:$F$32,2,FALSE))&lt;test!$K$16,$A31&lt;&gt;K$1,feasible_mat!K31=1),SUM(VLOOKUP($A31,test!$A$3:$F$32,2,FALSE), VLOOKUP(K$1,test!$A$3:$F$32,2,FALSE)),0)</f>
        <v>0</v>
      </c>
      <c r="L31">
        <f>IF(AND(SUM(VLOOKUP($A31,test!$A$3:$F$32,2,FALSE),VLOOKUP(L$1,test!$A$3:$F$32,2,FALSE))&lt;test!$K$16,$A31&lt;&gt;L$1,feasible_mat!L31=1),SUM(VLOOKUP($A31,test!$A$3:$F$32,2,FALSE), VLOOKUP(L$1,test!$A$3:$F$32,2,FALSE)),0)</f>
        <v>0</v>
      </c>
      <c r="M31">
        <f>IF(AND(SUM(VLOOKUP($A31,test!$A$3:$F$32,2,FALSE),VLOOKUP(M$1,test!$A$3:$F$32,2,FALSE))&lt;test!$K$16,$A31&lt;&gt;M$1,feasible_mat!M31=1),SUM(VLOOKUP($A31,test!$A$3:$F$32,2,FALSE), VLOOKUP(M$1,test!$A$3:$F$32,2,FALSE)),0)</f>
        <v>0</v>
      </c>
      <c r="N31">
        <f>IF(AND(SUM(VLOOKUP($A31,test!$A$3:$F$32,2,FALSE),VLOOKUP(N$1,test!$A$3:$F$32,2,FALSE))&lt;test!$K$16,$A31&lt;&gt;N$1,feasible_mat!N31=1),SUM(VLOOKUP($A31,test!$A$3:$F$32,2,FALSE), VLOOKUP(N$1,test!$A$3:$F$32,2,FALSE)),0)</f>
        <v>0</v>
      </c>
      <c r="O31">
        <f>IF(AND(SUM(VLOOKUP($A31,test!$A$3:$F$32,2,FALSE),VLOOKUP(O$1,test!$A$3:$F$32,2,FALSE))&lt;test!$K$16,$A31&lt;&gt;O$1,feasible_mat!O31=1),SUM(VLOOKUP($A31,test!$A$3:$F$32,2,FALSE), VLOOKUP(O$1,test!$A$3:$F$32,2,FALSE)),0)</f>
        <v>0</v>
      </c>
      <c r="P31">
        <f>IF(AND(SUM(VLOOKUP($A31,test!$A$3:$F$32,2,FALSE),VLOOKUP(P$1,test!$A$3:$F$32,2,FALSE))&lt;test!$K$16,$A31&lt;&gt;P$1,feasible_mat!P31=1),SUM(VLOOKUP($A31,test!$A$3:$F$32,2,FALSE), VLOOKUP(P$1,test!$A$3:$F$32,2,FALSE)),0)</f>
        <v>0</v>
      </c>
      <c r="Q31">
        <f>IF(AND(SUM(VLOOKUP($A31,test!$A$3:$F$32,2,FALSE),VLOOKUP(Q$1,test!$A$3:$F$32,2,FALSE))&lt;test!$K$16,$A31&lt;&gt;Q$1,feasible_mat!Q31=1),SUM(VLOOKUP($A31,test!$A$3:$F$32,2,FALSE), VLOOKUP(Q$1,test!$A$3:$F$32,2,FALSE)),0)</f>
        <v>0</v>
      </c>
      <c r="R31">
        <f>IF(AND(SUM(VLOOKUP($A31,test!$A$3:$F$32,2,FALSE),VLOOKUP(R$1,test!$A$3:$F$32,2,FALSE))&lt;test!$K$16,$A31&lt;&gt;R$1,feasible_mat!R31=1),SUM(VLOOKUP($A31,test!$A$3:$F$32,2,FALSE), VLOOKUP(R$1,test!$A$3:$F$32,2,FALSE)),0)</f>
        <v>0</v>
      </c>
      <c r="S31">
        <f>IF(AND(SUM(VLOOKUP($A31,test!$A$3:$F$32,2,FALSE),VLOOKUP(S$1,test!$A$3:$F$32,2,FALSE))&lt;test!$K$16,$A31&lt;&gt;S$1,feasible_mat!S31=1),SUM(VLOOKUP($A31,test!$A$3:$F$32,2,FALSE), VLOOKUP(S$1,test!$A$3:$F$32,2,FALSE)),0)</f>
        <v>0</v>
      </c>
      <c r="T31">
        <f>IF(AND(SUM(VLOOKUP($A31,test!$A$3:$F$32,2,FALSE),VLOOKUP(T$1,test!$A$3:$F$32,2,FALSE))&lt;test!$K$16,$A31&lt;&gt;T$1,feasible_mat!T31=1),SUM(VLOOKUP($A31,test!$A$3:$F$32,2,FALSE), VLOOKUP(T$1,test!$A$3:$F$32,2,FALSE)),0)</f>
        <v>0</v>
      </c>
      <c r="U31">
        <f>IF(AND(SUM(VLOOKUP($A31,test!$A$3:$F$32,2,FALSE),VLOOKUP(U$1,test!$A$3:$F$32,2,FALSE))&lt;test!$K$16,$A31&lt;&gt;U$1,feasible_mat!U31=1),SUM(VLOOKUP($A31,test!$A$3:$F$32,2,FALSE), VLOOKUP(U$1,test!$A$3:$F$32,2,FALSE)),0)</f>
        <v>0</v>
      </c>
      <c r="V31">
        <f>IF(AND(SUM(VLOOKUP($A31,test!$A$3:$F$32,2,FALSE),VLOOKUP(V$1,test!$A$3:$F$32,2,FALSE))&lt;test!$K$16,$A31&lt;&gt;V$1,feasible_mat!V31=1),SUM(VLOOKUP($A31,test!$A$3:$F$32,2,FALSE), VLOOKUP(V$1,test!$A$3:$F$32,2,FALSE)),0)</f>
        <v>0</v>
      </c>
      <c r="W31">
        <f>IF(AND(SUM(VLOOKUP($A31,test!$A$3:$F$32,2,FALSE),VLOOKUP(W$1,test!$A$3:$F$32,2,FALSE))&lt;test!$K$16,$A31&lt;&gt;W$1,feasible_mat!W31=1),SUM(VLOOKUP($A31,test!$A$3:$F$32,2,FALSE), VLOOKUP(W$1,test!$A$3:$F$32,2,FALSE)),0)</f>
        <v>0</v>
      </c>
      <c r="X31">
        <f>IF(AND(SUM(VLOOKUP($A31,test!$A$3:$F$32,2,FALSE),VLOOKUP(X$1,test!$A$3:$F$32,2,FALSE))&lt;test!$K$16,$A31&lt;&gt;X$1,feasible_mat!X31=1),SUM(VLOOKUP($A31,test!$A$3:$F$32,2,FALSE), VLOOKUP(X$1,test!$A$3:$F$32,2,FALSE)),0)</f>
        <v>345</v>
      </c>
      <c r="Y31">
        <f>IF(AND(SUM(VLOOKUP($A31,test!$A$3:$F$32,2,FALSE),VLOOKUP(Y$1,test!$A$3:$F$32,2,FALSE))&lt;test!$K$16,$A31&lt;&gt;Y$1,feasible_mat!Y31=1),SUM(VLOOKUP($A31,test!$A$3:$F$32,2,FALSE), VLOOKUP(Y$1,test!$A$3:$F$32,2,FALSE)),0)</f>
        <v>0</v>
      </c>
      <c r="Z31">
        <f>IF(AND(SUM(VLOOKUP($A31,test!$A$3:$F$32,2,FALSE),VLOOKUP(Z$1,test!$A$3:$F$32,2,FALSE))&lt;test!$K$16,$A31&lt;&gt;Z$1,feasible_mat!Z31=1),SUM(VLOOKUP($A31,test!$A$3:$F$32,2,FALSE), VLOOKUP(Z$1,test!$A$3:$F$32,2,FALSE)),0)</f>
        <v>0</v>
      </c>
      <c r="AA31">
        <f>IF(AND(SUM(VLOOKUP($A31,test!$A$3:$F$32,2,FALSE),VLOOKUP(AA$1,test!$A$3:$F$32,2,FALSE))&lt;test!$K$16,$A31&lt;&gt;AA$1,feasible_mat!AA31=1),SUM(VLOOKUP($A31,test!$A$3:$F$32,2,FALSE), VLOOKUP(AA$1,test!$A$3:$F$32,2,FALSE)),0)</f>
        <v>0</v>
      </c>
      <c r="AB31">
        <f>IF(AND(SUM(VLOOKUP($A31,test!$A$3:$F$32,2,FALSE),VLOOKUP(AB$1,test!$A$3:$F$32,2,FALSE))&lt;test!$K$16,$A31&lt;&gt;AB$1,feasible_mat!AB31=1),SUM(VLOOKUP($A31,test!$A$3:$F$32,2,FALSE), VLOOKUP(AB$1,test!$A$3:$F$32,2,FALSE)),0)</f>
        <v>0</v>
      </c>
      <c r="AC31">
        <f>IF(AND(SUM(VLOOKUP($A31,test!$A$3:$F$32,2,FALSE),VLOOKUP(AC$1,test!$A$3:$F$32,2,FALSE))&lt;test!$K$16,$A31&lt;&gt;AC$1,feasible_mat!AC31=1),SUM(VLOOKUP($A31,test!$A$3:$F$32,2,FALSE), VLOOKUP(AC$1,test!$A$3:$F$32,2,FALSE)),0)</f>
        <v>0</v>
      </c>
      <c r="AD31">
        <f>IF(AND(SUM(VLOOKUP($A31,test!$A$3:$F$32,2,FALSE),VLOOKUP(AD$1,test!$A$3:$F$32,2,FALSE))&lt;test!$K$16,$A31&lt;&gt;AD$1,feasible_mat!AD31=1),SUM(VLOOKUP($A31,test!$A$3:$F$32,2,FALSE), VLOOKUP(AD$1,test!$A$3:$F$32,2,FALSE)),0)</f>
        <v>0</v>
      </c>
      <c r="AE31">
        <f>IF(AND(SUM(VLOOKUP($A31,test!$A$3:$F$32,2,FALSE),VLOOKUP(AE$1,test!$A$3:$F$32,2,FALSE))&lt;test!$K$16,$A31&lt;&gt;AE$1,feasible_mat!AE31=1),SUM(VLOOKUP($A31,test!$A$3:$F$32,2,FALSE), VLOOKUP(AE$1,test!$A$3:$F$32,2,FALSE)),0)</f>
        <v>0</v>
      </c>
      <c r="AF31">
        <f>IF(AND(SUM(VLOOKUP($A31,test!$A$3:$F$32,2,FALSE),VLOOKUP(AF$1,test!$A$3:$F$32,2,FALSE))&lt;test!$K$16,$A31&lt;&gt;AF$1,feasible_mat!AF31=1),SUM(VLOOKUP($A31,test!$A$3:$F$32,2,FALSE), VLOOKUP(AF$1,test!$A$3:$F$32,2,FALSE)),0)</f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41</v>
      </c>
      <c r="B32">
        <v>0</v>
      </c>
      <c r="C32">
        <f>IF(AND(SUM(VLOOKUP($A32,test!$A$3:$F$32,2,FALSE),VLOOKUP(C$1,test!$A$3:$F$32,2,FALSE))&lt;test!$K$16,$A32&lt;&gt;C$1,feasible_mat!C32=1),SUM(VLOOKUP($A32,test!$A$3:$F$32,2,FALSE), VLOOKUP(C$1,test!$A$3:$F$32,2,FALSE)),0)</f>
        <v>0</v>
      </c>
      <c r="D32">
        <f>IF(AND(SUM(VLOOKUP($A32,test!$A$3:$F$32,2,FALSE),VLOOKUP(D$1,test!$A$3:$F$32,2,FALSE))&lt;test!$K$16,$A32&lt;&gt;D$1,feasible_mat!D32=1),SUM(VLOOKUP($A32,test!$A$3:$F$32,2,FALSE), VLOOKUP(D$1,test!$A$3:$F$32,2,FALSE)),0)</f>
        <v>0</v>
      </c>
      <c r="E32">
        <f>IF(AND(SUM(VLOOKUP($A32,test!$A$3:$F$32,2,FALSE),VLOOKUP(E$1,test!$A$3:$F$32,2,FALSE))&lt;test!$K$16,$A32&lt;&gt;E$1,feasible_mat!E32=1),SUM(VLOOKUP($A32,test!$A$3:$F$32,2,FALSE), VLOOKUP(E$1,test!$A$3:$F$32,2,FALSE)),0)</f>
        <v>0</v>
      </c>
      <c r="F32">
        <f>IF(AND(SUM(VLOOKUP($A32,test!$A$3:$F$32,2,FALSE),VLOOKUP(F$1,test!$A$3:$F$32,2,FALSE))&lt;test!$K$16,$A32&lt;&gt;F$1,feasible_mat!F32=1),SUM(VLOOKUP($A32,test!$A$3:$F$32,2,FALSE), VLOOKUP(F$1,test!$A$3:$F$32,2,FALSE)),0)</f>
        <v>0</v>
      </c>
      <c r="G32">
        <f>IF(AND(SUM(VLOOKUP($A32,test!$A$3:$F$32,2,FALSE),VLOOKUP(G$1,test!$A$3:$F$32,2,FALSE))&lt;test!$K$16,$A32&lt;&gt;G$1,feasible_mat!G32=1),SUM(VLOOKUP($A32,test!$A$3:$F$32,2,FALSE), VLOOKUP(G$1,test!$A$3:$F$32,2,FALSE)),0)</f>
        <v>0</v>
      </c>
      <c r="H32">
        <f>IF(AND(SUM(VLOOKUP($A32,test!$A$3:$F$32,2,FALSE),VLOOKUP(H$1,test!$A$3:$F$32,2,FALSE))&lt;test!$K$16,$A32&lt;&gt;H$1,feasible_mat!H32=1),SUM(VLOOKUP($A32,test!$A$3:$F$32,2,FALSE), VLOOKUP(H$1,test!$A$3:$F$32,2,FALSE)),0)</f>
        <v>0</v>
      </c>
      <c r="I32">
        <f>IF(AND(SUM(VLOOKUP($A32,test!$A$3:$F$32,2,FALSE),VLOOKUP(I$1,test!$A$3:$F$32,2,FALSE))&lt;test!$K$16,$A32&lt;&gt;I$1,feasible_mat!I32=1),SUM(VLOOKUP($A32,test!$A$3:$F$32,2,FALSE), VLOOKUP(I$1,test!$A$3:$F$32,2,FALSE)),0)</f>
        <v>0</v>
      </c>
      <c r="J32">
        <f>IF(AND(SUM(VLOOKUP($A32,test!$A$3:$F$32,2,FALSE),VLOOKUP(J$1,test!$A$3:$F$32,2,FALSE))&lt;test!$K$16,$A32&lt;&gt;J$1,feasible_mat!J32=1),SUM(VLOOKUP($A32,test!$A$3:$F$32,2,FALSE), VLOOKUP(J$1,test!$A$3:$F$32,2,FALSE)),0)</f>
        <v>0</v>
      </c>
      <c r="K32">
        <f>IF(AND(SUM(VLOOKUP($A32,test!$A$3:$F$32,2,FALSE),VLOOKUP(K$1,test!$A$3:$F$32,2,FALSE))&lt;test!$K$16,$A32&lt;&gt;K$1,feasible_mat!K32=1),SUM(VLOOKUP($A32,test!$A$3:$F$32,2,FALSE), VLOOKUP(K$1,test!$A$3:$F$32,2,FALSE)),0)</f>
        <v>0</v>
      </c>
      <c r="L32">
        <f>IF(AND(SUM(VLOOKUP($A32,test!$A$3:$F$32,2,FALSE),VLOOKUP(L$1,test!$A$3:$F$32,2,FALSE))&lt;test!$K$16,$A32&lt;&gt;L$1,feasible_mat!L32=1),SUM(VLOOKUP($A32,test!$A$3:$F$32,2,FALSE), VLOOKUP(L$1,test!$A$3:$F$32,2,FALSE)),0)</f>
        <v>0</v>
      </c>
      <c r="M32">
        <f>IF(AND(SUM(VLOOKUP($A32,test!$A$3:$F$32,2,FALSE),VLOOKUP(M$1,test!$A$3:$F$32,2,FALSE))&lt;test!$K$16,$A32&lt;&gt;M$1,feasible_mat!M32=1),SUM(VLOOKUP($A32,test!$A$3:$F$32,2,FALSE), VLOOKUP(M$1,test!$A$3:$F$32,2,FALSE)),0)</f>
        <v>0</v>
      </c>
      <c r="N32">
        <f>IF(AND(SUM(VLOOKUP($A32,test!$A$3:$F$32,2,FALSE),VLOOKUP(N$1,test!$A$3:$F$32,2,FALSE))&lt;test!$K$16,$A32&lt;&gt;N$1,feasible_mat!N32=1),SUM(VLOOKUP($A32,test!$A$3:$F$32,2,FALSE), VLOOKUP(N$1,test!$A$3:$F$32,2,FALSE)),0)</f>
        <v>0</v>
      </c>
      <c r="O32">
        <f>IF(AND(SUM(VLOOKUP($A32,test!$A$3:$F$32,2,FALSE),VLOOKUP(O$1,test!$A$3:$F$32,2,FALSE))&lt;test!$K$16,$A32&lt;&gt;O$1,feasible_mat!O32=1),SUM(VLOOKUP($A32,test!$A$3:$F$32,2,FALSE), VLOOKUP(O$1,test!$A$3:$F$32,2,FALSE)),0)</f>
        <v>0</v>
      </c>
      <c r="P32">
        <f>IF(AND(SUM(VLOOKUP($A32,test!$A$3:$F$32,2,FALSE),VLOOKUP(P$1,test!$A$3:$F$32,2,FALSE))&lt;test!$K$16,$A32&lt;&gt;P$1,feasible_mat!P32=1),SUM(VLOOKUP($A32,test!$A$3:$F$32,2,FALSE), VLOOKUP(P$1,test!$A$3:$F$32,2,FALSE)),0)</f>
        <v>0</v>
      </c>
      <c r="Q32">
        <f>IF(AND(SUM(VLOOKUP($A32,test!$A$3:$F$32,2,FALSE),VLOOKUP(Q$1,test!$A$3:$F$32,2,FALSE))&lt;test!$K$16,$A32&lt;&gt;Q$1,feasible_mat!Q32=1),SUM(VLOOKUP($A32,test!$A$3:$F$32,2,FALSE), VLOOKUP(Q$1,test!$A$3:$F$32,2,FALSE)),0)</f>
        <v>0</v>
      </c>
      <c r="R32">
        <f>IF(AND(SUM(VLOOKUP($A32,test!$A$3:$F$32,2,FALSE),VLOOKUP(R$1,test!$A$3:$F$32,2,FALSE))&lt;test!$K$16,$A32&lt;&gt;R$1,feasible_mat!R32=1),SUM(VLOOKUP($A32,test!$A$3:$F$32,2,FALSE), VLOOKUP(R$1,test!$A$3:$F$32,2,FALSE)),0)</f>
        <v>0</v>
      </c>
      <c r="S32">
        <f>IF(AND(SUM(VLOOKUP($A32,test!$A$3:$F$32,2,FALSE),VLOOKUP(S$1,test!$A$3:$F$32,2,FALSE))&lt;test!$K$16,$A32&lt;&gt;S$1,feasible_mat!S32=1),SUM(VLOOKUP($A32,test!$A$3:$F$32,2,FALSE), VLOOKUP(S$1,test!$A$3:$F$32,2,FALSE)),0)</f>
        <v>0</v>
      </c>
      <c r="T32">
        <f>IF(AND(SUM(VLOOKUP($A32,test!$A$3:$F$32,2,FALSE),VLOOKUP(T$1,test!$A$3:$F$32,2,FALSE))&lt;test!$K$16,$A32&lt;&gt;T$1,feasible_mat!T32=1),SUM(VLOOKUP($A32,test!$A$3:$F$32,2,FALSE), VLOOKUP(T$1,test!$A$3:$F$32,2,FALSE)),0)</f>
        <v>0</v>
      </c>
      <c r="U32">
        <f>IF(AND(SUM(VLOOKUP($A32,test!$A$3:$F$32,2,FALSE),VLOOKUP(U$1,test!$A$3:$F$32,2,FALSE))&lt;test!$K$16,$A32&lt;&gt;U$1,feasible_mat!U32=1),SUM(VLOOKUP($A32,test!$A$3:$F$32,2,FALSE), VLOOKUP(U$1,test!$A$3:$F$32,2,FALSE)),0)</f>
        <v>0</v>
      </c>
      <c r="V32">
        <f>IF(AND(SUM(VLOOKUP($A32,test!$A$3:$F$32,2,FALSE),VLOOKUP(V$1,test!$A$3:$F$32,2,FALSE))&lt;test!$K$16,$A32&lt;&gt;V$1,feasible_mat!V32=1),SUM(VLOOKUP($A32,test!$A$3:$F$32,2,FALSE), VLOOKUP(V$1,test!$A$3:$F$32,2,FALSE)),0)</f>
        <v>0</v>
      </c>
      <c r="W32">
        <f>IF(AND(SUM(VLOOKUP($A32,test!$A$3:$F$32,2,FALSE),VLOOKUP(W$1,test!$A$3:$F$32,2,FALSE))&lt;test!$K$16,$A32&lt;&gt;W$1,feasible_mat!W32=1),SUM(VLOOKUP($A32,test!$A$3:$F$32,2,FALSE), VLOOKUP(W$1,test!$A$3:$F$32,2,FALSE)),0)</f>
        <v>0</v>
      </c>
      <c r="X32">
        <f>IF(AND(SUM(VLOOKUP($A32,test!$A$3:$F$32,2,FALSE),VLOOKUP(X$1,test!$A$3:$F$32,2,FALSE))&lt;test!$K$16,$A32&lt;&gt;X$1,feasible_mat!X32=1),SUM(VLOOKUP($A32,test!$A$3:$F$32,2,FALSE), VLOOKUP(X$1,test!$A$3:$F$32,2,FALSE)),0)</f>
        <v>0</v>
      </c>
      <c r="Y32">
        <f>IF(AND(SUM(VLOOKUP($A32,test!$A$3:$F$32,2,FALSE),VLOOKUP(Y$1,test!$A$3:$F$32,2,FALSE))&lt;test!$K$16,$A32&lt;&gt;Y$1,feasible_mat!Y32=1),SUM(VLOOKUP($A32,test!$A$3:$F$32,2,FALSE), VLOOKUP(Y$1,test!$A$3:$F$32,2,FALSE)),0)</f>
        <v>0</v>
      </c>
      <c r="Z32">
        <f>IF(AND(SUM(VLOOKUP($A32,test!$A$3:$F$32,2,FALSE),VLOOKUP(Z$1,test!$A$3:$F$32,2,FALSE))&lt;test!$K$16,$A32&lt;&gt;Z$1,feasible_mat!Z32=1),SUM(VLOOKUP($A32,test!$A$3:$F$32,2,FALSE), VLOOKUP(Z$1,test!$A$3:$F$32,2,FALSE)),0)</f>
        <v>0</v>
      </c>
      <c r="AA32">
        <f>IF(AND(SUM(VLOOKUP($A32,test!$A$3:$F$32,2,FALSE),VLOOKUP(AA$1,test!$A$3:$F$32,2,FALSE))&lt;test!$K$16,$A32&lt;&gt;AA$1,feasible_mat!AA32=1),SUM(VLOOKUP($A32,test!$A$3:$F$32,2,FALSE), VLOOKUP(AA$1,test!$A$3:$F$32,2,FALSE)),0)</f>
        <v>0</v>
      </c>
      <c r="AB32">
        <f>IF(AND(SUM(VLOOKUP($A32,test!$A$3:$F$32,2,FALSE),VLOOKUP(AB$1,test!$A$3:$F$32,2,FALSE))&lt;test!$K$16,$A32&lt;&gt;AB$1,feasible_mat!AB32=1),SUM(VLOOKUP($A32,test!$A$3:$F$32,2,FALSE), VLOOKUP(AB$1,test!$A$3:$F$32,2,FALSE)),0)</f>
        <v>0</v>
      </c>
      <c r="AC32">
        <f>IF(AND(SUM(VLOOKUP($A32,test!$A$3:$F$32,2,FALSE),VLOOKUP(AC$1,test!$A$3:$F$32,2,FALSE))&lt;test!$K$16,$A32&lt;&gt;AC$1,feasible_mat!AC32=1),SUM(VLOOKUP($A32,test!$A$3:$F$32,2,FALSE), VLOOKUP(AC$1,test!$A$3:$F$32,2,FALSE)),0)</f>
        <v>0</v>
      </c>
      <c r="AD32">
        <f>IF(AND(SUM(VLOOKUP($A32,test!$A$3:$F$32,2,FALSE),VLOOKUP(AD$1,test!$A$3:$F$32,2,FALSE))&lt;test!$K$16,$A32&lt;&gt;AD$1,feasible_mat!AD32=1),SUM(VLOOKUP($A32,test!$A$3:$F$32,2,FALSE), VLOOKUP(AD$1,test!$A$3:$F$32,2,FALSE)),0)</f>
        <v>0</v>
      </c>
      <c r="AE32">
        <f>IF(AND(SUM(VLOOKUP($A32,test!$A$3:$F$32,2,FALSE),VLOOKUP(AE$1,test!$A$3:$F$32,2,FALSE))&lt;test!$K$16,$A32&lt;&gt;AE$1,feasible_mat!AE32=1),SUM(VLOOKUP($A32,test!$A$3:$F$32,2,FALSE), VLOOKUP(AE$1,test!$A$3:$F$32,2,FALSE)),0)</f>
        <v>0</v>
      </c>
      <c r="AF32">
        <f>IF(AND(SUM(VLOOKUP($A32,test!$A$3:$F$32,2,FALSE),VLOOKUP(AF$1,test!$A$3:$F$32,2,FALSE))&lt;test!$K$16,$A32&lt;&gt;AF$1,feasible_mat!AF32=1),SUM(VLOOKUP($A32,test!$A$3:$F$32,2,FALSE), VLOOKUP(AF$1,test!$A$3:$F$32,2,FALSE)),0)</f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48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90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97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98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5">
      <c r="A37" t="s">
        <v>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9" spans="1:37" x14ac:dyDescent="0.25">
      <c r="D39" t="s">
        <v>79</v>
      </c>
    </row>
    <row r="40" spans="1:37" x14ac:dyDescent="0.25">
      <c r="D40">
        <f>VLOOKUP($A30,test!$A$3:$F$32,2,FALSE)</f>
        <v>270</v>
      </c>
    </row>
    <row r="41" spans="1:37" x14ac:dyDescent="0.25">
      <c r="D41" t="b">
        <f>$A4&lt;&gt;D$1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3A09-77CB-480E-A128-4A5BE093D235}">
  <dimension ref="A1:AJ140"/>
  <sheetViews>
    <sheetView zoomScale="98" zoomScaleNormal="98" workbookViewId="0">
      <pane xSplit="1" topLeftCell="B1" activePane="topRight" state="frozen"/>
      <selection activeCell="A25" sqref="A25"/>
      <selection pane="topRight" activeCell="C3" sqref="C3"/>
    </sheetView>
  </sheetViews>
  <sheetFormatPr defaultRowHeight="15" x14ac:dyDescent="0.25"/>
  <cols>
    <col min="1" max="4" width="9.140625" style="16"/>
    <col min="5" max="5" width="14.42578125" style="16" bestFit="1" customWidth="1"/>
    <col min="6" max="6" width="12" style="16" bestFit="1" customWidth="1"/>
    <col min="7" max="21" width="9.140625" style="16"/>
    <col min="22" max="22" width="16.7109375" style="16" bestFit="1" customWidth="1"/>
    <col min="23" max="16384" width="9.140625" style="16"/>
  </cols>
  <sheetData>
    <row r="1" spans="1:36" x14ac:dyDescent="0.25">
      <c r="A1"/>
      <c r="B1" t="s">
        <v>46</v>
      </c>
      <c r="C1" t="s">
        <v>6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18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</row>
    <row r="2" spans="1:36" x14ac:dyDescent="0.2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6</v>
      </c>
      <c r="B3">
        <v>0</v>
      </c>
      <c r="C3">
        <f>IF(AND(SUM(VLOOKUP($A3,test!$A$3:$F$32,2,FALSE),VLOOKUP(C$1,test!$A$3:$F$32,2,FALSE))&lt;=test!$K$16,$A3&lt;&gt;C$1,feasible_mat!C3=1),(VLOOKUP(C$1,test!$A$3:$I$32,8,FALSE))-(VLOOKUP($A3,test!$A$3:$I$32,9,FALSE)),0)</f>
        <v>0</v>
      </c>
      <c r="D3">
        <f>IF(AND(SUM(VLOOKUP($A3,test!$A$3:$F$32,2,FALSE),VLOOKUP(D$1,test!$A$3:$F$32,2,FALSE))&lt;=test!$K$16,$A3&lt;&gt;D$1,feasible_mat!D3=1),(VLOOKUP(D$1,test!$A$3:$I$32,8,FALSE))-(VLOOKUP($A3,test!$A$3:$I$32,9,FALSE)),0)</f>
        <v>45</v>
      </c>
      <c r="E3">
        <f>IF(AND(SUM(VLOOKUP($A3,test!$A$3:$F$32,2,FALSE),VLOOKUP(E$1,test!$A$3:$F$32,2,FALSE))&lt;=test!$K$16,$A3&lt;&gt;E$1,feasible_mat!E3=1),(VLOOKUP(E$1,test!$A$3:$I$32,8,FALSE))-(VLOOKUP($A3,test!$A$3:$I$32,9,FALSE)),0)</f>
        <v>135</v>
      </c>
      <c r="F3">
        <f>IF(AND(SUM(VLOOKUP($A3,test!$A$3:$F$32,2,FALSE),VLOOKUP(F$1,test!$A$3:$F$32,2,FALSE))&lt;=test!$K$16,$A3&lt;&gt;F$1,feasible_mat!F3=1),(VLOOKUP(F$1,test!$A$3:$I$32,8,FALSE))-(VLOOKUP($A3,test!$A$3:$I$32,9,FALSE)),0)</f>
        <v>225</v>
      </c>
      <c r="G3">
        <f>IF(AND(SUM(VLOOKUP($A3,test!$A$3:$F$32,2,FALSE),VLOOKUP(G$1,test!$A$3:$F$32,2,FALSE))&lt;=test!$K$16,$A3&lt;&gt;G$1,feasible_mat!G3=1),(VLOOKUP(G$1,test!$A$3:$I$32,8,FALSE))-(VLOOKUP($A3,test!$A$3:$I$32,9,FALSE)),0)</f>
        <v>285</v>
      </c>
      <c r="H3">
        <f>IF(AND(SUM(VLOOKUP($A3,test!$A$3:$F$32,2,FALSE),VLOOKUP(H$1,test!$A$3:$F$32,2,FALSE))&lt;=test!$K$16,$A3&lt;&gt;H$1,feasible_mat!H3=1),(VLOOKUP(H$1,test!$A$3:$I$32,8,FALSE))-(VLOOKUP($A3,test!$A$3:$I$32,9,FALSE)),0)</f>
        <v>345</v>
      </c>
      <c r="I3">
        <f>IF(AND(SUM(VLOOKUP($A3,test!$A$3:$F$32,2,FALSE),VLOOKUP(I$1,test!$A$3:$F$32,2,FALSE))&lt;=test!$K$16,$A3&lt;&gt;I$1,feasible_mat!I3=1),(VLOOKUP(I$1,test!$A$3:$I$32,8,FALSE))-(VLOOKUP($A3,test!$A$3:$I$32,9,FALSE)),0)</f>
        <v>405</v>
      </c>
      <c r="J3">
        <f>IF(AND(SUM(VLOOKUP($A3,test!$A$3:$F$32,2,FALSE),VLOOKUP(J$1,test!$A$3:$F$32,2,FALSE))&lt;=test!$K$16,$A3&lt;&gt;J$1,feasible_mat!J3=1),(VLOOKUP(J$1,test!$A$3:$I$32,8,FALSE))-(VLOOKUP($A3,test!$A$3:$I$32,9,FALSE)),0)</f>
        <v>495</v>
      </c>
      <c r="K3">
        <f>IF(AND(SUM(VLOOKUP($A3,test!$A$3:$F$32,2,FALSE),VLOOKUP(K$1,test!$A$3:$F$32,2,FALSE))&lt;=test!$K$16,$A3&lt;&gt;K$1,feasible_mat!K3=1),(VLOOKUP(K$1,test!$A$3:$I$32,8,FALSE))-(VLOOKUP($A3,test!$A$3:$I$32,9,FALSE)),0)</f>
        <v>0</v>
      </c>
      <c r="L3">
        <f>IF(AND(SUM(VLOOKUP($A3,test!$A$3:$F$32,2,FALSE),VLOOKUP(L$1,test!$A$3:$F$32,2,FALSE))&lt;=test!$K$16,$A3&lt;&gt;L$1,feasible_mat!L3=1),(VLOOKUP(L$1,test!$A$3:$I$32,8,FALSE))-(VLOOKUP($A3,test!$A$3:$I$32,9,FALSE)),0)</f>
        <v>0</v>
      </c>
      <c r="M3">
        <f>IF(AND(SUM(VLOOKUP($A3,test!$A$3:$F$32,2,FALSE),VLOOKUP(M$1,test!$A$3:$F$32,2,FALSE))&lt;=test!$K$16,$A3&lt;&gt;M$1,feasible_mat!M3=1),(VLOOKUP(M$1,test!$A$3:$I$32,8,FALSE))-(VLOOKUP($A3,test!$A$3:$I$32,9,FALSE)),0)</f>
        <v>100</v>
      </c>
      <c r="N3">
        <f>IF(AND(SUM(VLOOKUP($A3,test!$A$3:$F$32,2,FALSE),VLOOKUP(N$1,test!$A$3:$F$32,2,FALSE))&lt;=test!$K$16,$A3&lt;&gt;N$1,feasible_mat!N3=1),(VLOOKUP(N$1,test!$A$3:$I$32,8,FALSE))-(VLOOKUP($A3,test!$A$3:$I$32,9,FALSE)),0)</f>
        <v>460</v>
      </c>
      <c r="O3">
        <f>IF(AND(SUM(VLOOKUP($A3,test!$A$3:$F$32,2,FALSE),VLOOKUP(O$1,test!$A$3:$F$32,2,FALSE))&lt;=test!$K$16,$A3&lt;&gt;O$1,feasible_mat!O3=1),(VLOOKUP(O$1,test!$A$3:$I$32,8,FALSE))-(VLOOKUP($A3,test!$A$3:$I$32,9,FALSE)),0)</f>
        <v>520</v>
      </c>
      <c r="P3">
        <f>IF(AND(SUM(VLOOKUP($A3,test!$A$3:$F$32,2,FALSE),VLOOKUP(P$1,test!$A$3:$F$32,2,FALSE))&lt;=test!$K$16,$A3&lt;&gt;P$1,feasible_mat!P3=1),(VLOOKUP(P$1,test!$A$3:$I$32,8,FALSE))-(VLOOKUP($A3,test!$A$3:$I$32,9,FALSE)),0)</f>
        <v>0</v>
      </c>
      <c r="Q3">
        <f>IF(AND(SUM(VLOOKUP($A3,test!$A$3:$F$32,2,FALSE),VLOOKUP(Q$1,test!$A$3:$F$32,2,FALSE))&lt;=test!$K$16,$A3&lt;&gt;Q$1,feasible_mat!Q3=1),(VLOOKUP(Q$1,test!$A$3:$I$32,8,FALSE))-(VLOOKUP($A3,test!$A$3:$I$32,9,FALSE)),0)</f>
        <v>0</v>
      </c>
      <c r="R3">
        <f>IF(AND(SUM(VLOOKUP($A3,test!$A$3:$F$32,2,FALSE),VLOOKUP(R$1,test!$A$3:$F$32,2,FALSE))&lt;=test!$K$16,$A3&lt;&gt;R$1,feasible_mat!R3=1),(VLOOKUP(R$1,test!$A$3:$I$32,8,FALSE))-(VLOOKUP($A3,test!$A$3:$I$32,9,FALSE)),0)</f>
        <v>0</v>
      </c>
      <c r="S3">
        <f>IF(AND(SUM(VLOOKUP($A3,test!$A$3:$F$32,2,FALSE),VLOOKUP(S$1,test!$A$3:$F$32,2,FALSE))&lt;=test!$K$16,$A3&lt;&gt;S$1,feasible_mat!S3=1),(VLOOKUP(S$1,test!$A$3:$I$32,8,FALSE))-(VLOOKUP($A3,test!$A$3:$I$32,9,FALSE)),0)</f>
        <v>25</v>
      </c>
      <c r="T3">
        <f>IF(AND(SUM(VLOOKUP($A3,test!$A$3:$F$32,2,FALSE),VLOOKUP(T$1,test!$A$3:$F$32,2,FALSE))&lt;=test!$K$16,$A3&lt;&gt;T$1,feasible_mat!T3=1),(VLOOKUP(T$1,test!$A$3:$I$32,8,FALSE))-(VLOOKUP($A3,test!$A$3:$I$32,9,FALSE)),0)</f>
        <v>115</v>
      </c>
      <c r="U3">
        <f>IF(AND(SUM(VLOOKUP($A3,test!$A$3:$F$32,2,FALSE),VLOOKUP(U$1,test!$A$3:$F$32,2,FALSE))&lt;=test!$K$16,$A3&lt;&gt;U$1,feasible_mat!U3=1),(VLOOKUP(U$1,test!$A$3:$I$32,8,FALSE))-(VLOOKUP($A3,test!$A$3:$I$32,9,FALSE)),0)</f>
        <v>205</v>
      </c>
      <c r="V3">
        <f>IF(AND(SUM(VLOOKUP($A3,test!$A$3:$F$32,2,FALSE),VLOOKUP(V$1,test!$A$3:$F$32,2,FALSE))&lt;=test!$K$16,$A3&lt;&gt;V$1,feasible_mat!V3=1),(VLOOKUP(V$1,test!$A$3:$I$32,8,FALSE))-(VLOOKUP($A3,test!$A$3:$I$32,9,FALSE)),0)</f>
        <v>295</v>
      </c>
      <c r="W3">
        <f>IF(AND(SUM(VLOOKUP($A3,test!$A$3:$F$32,2,FALSE),VLOOKUP(W$1,test!$A$3:$F$32,2,FALSE))&lt;=test!$K$16,$A3&lt;&gt;W$1,feasible_mat!W3=1),(VLOOKUP(W$1,test!$A$3:$I$32,8,FALSE))-(VLOOKUP($A3,test!$A$3:$I$32,9,FALSE)),0)</f>
        <v>385</v>
      </c>
      <c r="X3">
        <f>IF(AND(SUM(VLOOKUP($A3,test!$A$3:$F$32,2,FALSE),VLOOKUP(X$1,test!$A$3:$F$32,2,FALSE))&lt;=test!$K$16,$A3&lt;&gt;X$1,feasible_mat!X3=1),(VLOOKUP(X$1,test!$A$3:$I$32,8,FALSE))-(VLOOKUP($A3,test!$A$3:$I$32,9,FALSE)),0)</f>
        <v>445</v>
      </c>
      <c r="Y3">
        <f>IF(AND(SUM(VLOOKUP($A3,test!$A$3:$F$32,2,FALSE),VLOOKUP(Y$1,test!$A$3:$F$32,2,FALSE))&lt;=test!$K$16,$A3&lt;&gt;Y$1,feasible_mat!Y3=1),(VLOOKUP(Y$1,test!$A$3:$I$32,8,FALSE))-(VLOOKUP($A3,test!$A$3:$I$32,9,FALSE)),0)</f>
        <v>0</v>
      </c>
      <c r="Z3">
        <f>IF(AND(SUM(VLOOKUP($A3,test!$A$3:$F$32,2,FALSE),VLOOKUP(Z$1,test!$A$3:$F$32,2,FALSE))&lt;=test!$K$16,$A3&lt;&gt;Z$1,feasible_mat!Z3=1),(VLOOKUP(Z$1,test!$A$3:$I$32,8,FALSE))-(VLOOKUP($A3,test!$A$3:$I$32,9,FALSE)),0)</f>
        <v>45</v>
      </c>
      <c r="AA3">
        <f>IF(AND(SUM(VLOOKUP($A3,test!$A$3:$F$32,2,FALSE),VLOOKUP(AA$1,test!$A$3:$F$32,2,FALSE))&lt;=test!$K$16,$A3&lt;&gt;AA$1,feasible_mat!AA3=1),(VLOOKUP(AA$1,test!$A$3:$I$32,8,FALSE))-(VLOOKUP($A3,test!$A$3:$I$32,9,FALSE)),0)</f>
        <v>165</v>
      </c>
      <c r="AB3">
        <f>IF(AND(SUM(VLOOKUP($A3,test!$A$3:$F$32,2,FALSE),VLOOKUP(AB$1,test!$A$3:$F$32,2,FALSE))&lt;=test!$K$16,$A3&lt;&gt;AB$1,feasible_mat!AB3=1),(VLOOKUP(AB$1,test!$A$3:$I$32,8,FALSE))-(VLOOKUP($A3,test!$A$3:$I$32,9,FALSE)),0)</f>
        <v>225</v>
      </c>
      <c r="AC3">
        <f>IF(AND(SUM(VLOOKUP($A3,test!$A$3:$F$32,2,FALSE),VLOOKUP(AC$1,test!$A$3:$F$32,2,FALSE))&lt;=test!$K$16,$A3&lt;&gt;AC$1,feasible_mat!AC3=1),(VLOOKUP(AC$1,test!$A$3:$I$32,8,FALSE))-(VLOOKUP($A3,test!$A$3:$I$32,9,FALSE)),0)</f>
        <v>345</v>
      </c>
      <c r="AD3">
        <f>IF(AND(SUM(VLOOKUP($A3,test!$A$3:$F$32,2,FALSE),VLOOKUP(AD$1,test!$A$3:$F$32,2,FALSE))&lt;=test!$K$16,$A3&lt;&gt;AD$1,feasible_mat!AD3=1),(VLOOKUP(AD$1,test!$A$3:$I$32,8,FALSE))-(VLOOKUP($A3,test!$A$3:$I$32,9,FALSE)),0)</f>
        <v>0</v>
      </c>
      <c r="AE3">
        <f>IF(AND(SUM(VLOOKUP($A3,test!$A$3:$F$32,2,FALSE),VLOOKUP(AE$1,test!$A$3:$F$32,2,FALSE))&lt;=test!$K$16,$A3&lt;&gt;AE$1,feasible_mat!AE3=1),(VLOOKUP(AE$1,test!$A$3:$I$32,8,FALSE))-(VLOOKUP($A3,test!$A$3:$I$32,9,FALSE)),0)</f>
        <v>165</v>
      </c>
      <c r="AF3">
        <f>IF(AND(SUM(VLOOKUP($A3,test!$A$3:$F$32,2,FALSE),VLOOKUP(AF$1,test!$A$3:$F$32,2,FALSE))&lt;=test!$K$16,$A3&lt;&gt;AF$1,feasible_mat!AF3=1),(VLOOKUP(AF$1,test!$A$3:$I$32,8,FALSE))-(VLOOKUP($A3,test!$A$3:$I$32,9,FALSE)),0)</f>
        <v>0</v>
      </c>
    </row>
    <row r="4" spans="1:36" x14ac:dyDescent="0.25">
      <c r="A4" t="s">
        <v>9</v>
      </c>
      <c r="B4">
        <v>0</v>
      </c>
      <c r="C4">
        <f>IF(AND(SUM(VLOOKUP($A4,test!$A$3:$F$32,2,FALSE),VLOOKUP(C$1,test!$A$3:$F$32,2,FALSE))&lt;=test!$K$16,$A4&lt;&gt;C$1,feasible_mat!C4=1),(VLOOKUP(C$1,test!$A$3:$I$32,8,FALSE))-(VLOOKUP($A4,test!$A$3:$I$32,9,FALSE)),0)</f>
        <v>0</v>
      </c>
      <c r="D4">
        <f>IF(AND(SUM(VLOOKUP($A4,test!$A$3:$F$32,2,FALSE),VLOOKUP(D$1,test!$A$3:$F$32,2,FALSE))&lt;=test!$K$16,$A4&lt;&gt;D$1,feasible_mat!D4=1),(VLOOKUP(D$1,test!$A$3:$I$32,8,FALSE))-(VLOOKUP($A4,test!$A$3:$I$32,9,FALSE)),0)</f>
        <v>0</v>
      </c>
      <c r="E4">
        <f>IF(AND(SUM(VLOOKUP($A4,test!$A$3:$F$32,2,FALSE),VLOOKUP(E$1,test!$A$3:$F$32,2,FALSE))&lt;=test!$K$16,$A4&lt;&gt;E$1,feasible_mat!E4=1),(VLOOKUP(E$1,test!$A$3:$I$32,8,FALSE))-(VLOOKUP($A4,test!$A$3:$I$32,9,FALSE)),0)</f>
        <v>0</v>
      </c>
      <c r="F4">
        <f>IF(AND(SUM(VLOOKUP($A4,test!$A$3:$F$32,2,FALSE),VLOOKUP(F$1,test!$A$3:$F$32,2,FALSE))&lt;=test!$K$16,$A4&lt;&gt;F$1,feasible_mat!F4=1),(VLOOKUP(F$1,test!$A$3:$I$32,8,FALSE))-(VLOOKUP($A4,test!$A$3:$I$32,9,FALSE)),0)</f>
        <v>45</v>
      </c>
      <c r="G4">
        <f>IF(AND(SUM(VLOOKUP($A4,test!$A$3:$F$32,2,FALSE),VLOOKUP(G$1,test!$A$3:$F$32,2,FALSE))&lt;=test!$K$16,$A4&lt;&gt;G$1,feasible_mat!G4=1),(VLOOKUP(G$1,test!$A$3:$I$32,8,FALSE))-(VLOOKUP($A4,test!$A$3:$I$32,9,FALSE)),0)</f>
        <v>105</v>
      </c>
      <c r="H4">
        <f>IF(AND(SUM(VLOOKUP($A4,test!$A$3:$F$32,2,FALSE),VLOOKUP(H$1,test!$A$3:$F$32,2,FALSE))&lt;=test!$K$16,$A4&lt;&gt;H$1,feasible_mat!H4=1),(VLOOKUP(H$1,test!$A$3:$I$32,8,FALSE))-(VLOOKUP($A4,test!$A$3:$I$32,9,FALSE)),0)</f>
        <v>165</v>
      </c>
      <c r="I4">
        <f>IF(AND(SUM(VLOOKUP($A4,test!$A$3:$F$32,2,FALSE),VLOOKUP(I$1,test!$A$3:$F$32,2,FALSE))&lt;=test!$K$16,$A4&lt;&gt;I$1,feasible_mat!I4=1),(VLOOKUP(I$1,test!$A$3:$I$32,8,FALSE))-(VLOOKUP($A4,test!$A$3:$I$32,9,FALSE)),0)</f>
        <v>225</v>
      </c>
      <c r="J4">
        <f>IF(AND(SUM(VLOOKUP($A4,test!$A$3:$F$32,2,FALSE),VLOOKUP(J$1,test!$A$3:$F$32,2,FALSE))&lt;=test!$K$16,$A4&lt;&gt;J$1,feasible_mat!J4=1),(VLOOKUP(J$1,test!$A$3:$I$32,8,FALSE))-(VLOOKUP($A4,test!$A$3:$I$32,9,FALSE)),0)</f>
        <v>315</v>
      </c>
      <c r="K4">
        <f>IF(AND(SUM(VLOOKUP($A4,test!$A$3:$F$32,2,FALSE),VLOOKUP(K$1,test!$A$3:$F$32,2,FALSE))&lt;=test!$K$16,$A4&lt;&gt;K$1,feasible_mat!K4=1),(VLOOKUP(K$1,test!$A$3:$I$32,8,FALSE))-(VLOOKUP($A4,test!$A$3:$I$32,9,FALSE)),0)</f>
        <v>0</v>
      </c>
      <c r="L4">
        <f>IF(AND(SUM(VLOOKUP($A4,test!$A$3:$F$32,2,FALSE),VLOOKUP(L$1,test!$A$3:$F$32,2,FALSE))&lt;=test!$K$16,$A4&lt;&gt;L$1,feasible_mat!L4=1),(VLOOKUP(L$1,test!$A$3:$I$32,8,FALSE))-(VLOOKUP($A4,test!$A$3:$I$32,9,FALSE)),0)</f>
        <v>0</v>
      </c>
      <c r="M4">
        <f>IF(AND(SUM(VLOOKUP($A4,test!$A$3:$F$32,2,FALSE),VLOOKUP(M$1,test!$A$3:$F$32,2,FALSE))&lt;=test!$K$16,$A4&lt;&gt;M$1,feasible_mat!M4=1),(VLOOKUP(M$1,test!$A$3:$I$32,8,FALSE))-(VLOOKUP($A4,test!$A$3:$I$32,9,FALSE)),0)</f>
        <v>0</v>
      </c>
      <c r="N4">
        <f>IF(AND(SUM(VLOOKUP($A4,test!$A$3:$F$32,2,FALSE),VLOOKUP(N$1,test!$A$3:$F$32,2,FALSE))&lt;=test!$K$16,$A4&lt;&gt;N$1,feasible_mat!N4=1),(VLOOKUP(N$1,test!$A$3:$I$32,8,FALSE))-(VLOOKUP($A4,test!$A$3:$I$32,9,FALSE)),0)</f>
        <v>280</v>
      </c>
      <c r="O4">
        <f>IF(AND(SUM(VLOOKUP($A4,test!$A$3:$F$32,2,FALSE),VLOOKUP(O$1,test!$A$3:$F$32,2,FALSE))&lt;=test!$K$16,$A4&lt;&gt;O$1,feasible_mat!O4=1),(VLOOKUP(O$1,test!$A$3:$I$32,8,FALSE))-(VLOOKUP($A4,test!$A$3:$I$32,9,FALSE)),0)</f>
        <v>340</v>
      </c>
      <c r="P4">
        <f>IF(AND(SUM(VLOOKUP($A4,test!$A$3:$F$32,2,FALSE),VLOOKUP(P$1,test!$A$3:$F$32,2,FALSE))&lt;=test!$K$16,$A4&lt;&gt;P$1,feasible_mat!P4=1),(VLOOKUP(P$1,test!$A$3:$I$32,8,FALSE))-(VLOOKUP($A4,test!$A$3:$I$32,9,FALSE)),0)</f>
        <v>0</v>
      </c>
      <c r="Q4">
        <f>IF(AND(SUM(VLOOKUP($A4,test!$A$3:$F$32,2,FALSE),VLOOKUP(Q$1,test!$A$3:$F$32,2,FALSE))&lt;=test!$K$16,$A4&lt;&gt;Q$1,feasible_mat!Q4=1),(VLOOKUP(Q$1,test!$A$3:$I$32,8,FALSE))-(VLOOKUP($A4,test!$A$3:$I$32,9,FALSE)),0)</f>
        <v>0</v>
      </c>
      <c r="R4">
        <f>IF(AND(SUM(VLOOKUP($A4,test!$A$3:$F$32,2,FALSE),VLOOKUP(R$1,test!$A$3:$F$32,2,FALSE))&lt;=test!$K$16,$A4&lt;&gt;R$1,feasible_mat!R4=1),(VLOOKUP(R$1,test!$A$3:$I$32,8,FALSE))-(VLOOKUP($A4,test!$A$3:$I$32,9,FALSE)),0)</f>
        <v>0</v>
      </c>
      <c r="S4">
        <f>IF(AND(SUM(VLOOKUP($A4,test!$A$3:$F$32,2,FALSE),VLOOKUP(S$1,test!$A$3:$F$32,2,FALSE))&lt;=test!$K$16,$A4&lt;&gt;S$1,feasible_mat!S4=1),(VLOOKUP(S$1,test!$A$3:$I$32,8,FALSE))-(VLOOKUP($A4,test!$A$3:$I$32,9,FALSE)),0)</f>
        <v>0</v>
      </c>
      <c r="T4">
        <f>IF(AND(SUM(VLOOKUP($A4,test!$A$3:$F$32,2,FALSE),VLOOKUP(T$1,test!$A$3:$F$32,2,FALSE))&lt;=test!$K$16,$A4&lt;&gt;T$1,feasible_mat!T4=1),(VLOOKUP(T$1,test!$A$3:$I$32,8,FALSE))-(VLOOKUP($A4,test!$A$3:$I$32,9,FALSE)),0)</f>
        <v>0</v>
      </c>
      <c r="U4">
        <f>IF(AND(SUM(VLOOKUP($A4,test!$A$3:$F$32,2,FALSE),VLOOKUP(U$1,test!$A$3:$F$32,2,FALSE))&lt;=test!$K$16,$A4&lt;&gt;U$1,feasible_mat!U4=1),(VLOOKUP(U$1,test!$A$3:$I$32,8,FALSE))-(VLOOKUP($A4,test!$A$3:$I$32,9,FALSE)),0)</f>
        <v>25</v>
      </c>
      <c r="V4">
        <f>IF(AND(SUM(VLOOKUP($A4,test!$A$3:$F$32,2,FALSE),VLOOKUP(V$1,test!$A$3:$F$32,2,FALSE))&lt;=test!$K$16,$A4&lt;&gt;V$1,feasible_mat!V4=1),(VLOOKUP(V$1,test!$A$3:$I$32,8,FALSE))-(VLOOKUP($A4,test!$A$3:$I$32,9,FALSE)),0)</f>
        <v>115</v>
      </c>
      <c r="W4">
        <f>IF(AND(SUM(VLOOKUP($A4,test!$A$3:$F$32,2,FALSE),VLOOKUP(W$1,test!$A$3:$F$32,2,FALSE))&lt;=test!$K$16,$A4&lt;&gt;W$1,feasible_mat!W4=1),(VLOOKUP(W$1,test!$A$3:$I$32,8,FALSE))-(VLOOKUP($A4,test!$A$3:$I$32,9,FALSE)),0)</f>
        <v>205</v>
      </c>
      <c r="X4">
        <f>IF(AND(SUM(VLOOKUP($A4,test!$A$3:$F$32,2,FALSE),VLOOKUP(X$1,test!$A$3:$F$32,2,FALSE))&lt;=test!$K$16,$A4&lt;&gt;X$1,feasible_mat!X4=1),(VLOOKUP(X$1,test!$A$3:$I$32,8,FALSE))-(VLOOKUP($A4,test!$A$3:$I$32,9,FALSE)),0)</f>
        <v>265</v>
      </c>
      <c r="Y4">
        <f>IF(AND(SUM(VLOOKUP($A4,test!$A$3:$F$32,2,FALSE),VLOOKUP(Y$1,test!$A$3:$F$32,2,FALSE))&lt;=test!$K$16,$A4&lt;&gt;Y$1,feasible_mat!Y4=1),(VLOOKUP(Y$1,test!$A$3:$I$32,8,FALSE))-(VLOOKUP($A4,test!$A$3:$I$32,9,FALSE)),0)</f>
        <v>0</v>
      </c>
      <c r="Z4">
        <f>IF(AND(SUM(VLOOKUP($A4,test!$A$3:$F$32,2,FALSE),VLOOKUP(Z$1,test!$A$3:$F$32,2,FALSE))&lt;=test!$K$16,$A4&lt;&gt;Z$1,feasible_mat!Z4=1),(VLOOKUP(Z$1,test!$A$3:$I$32,8,FALSE))-(VLOOKUP($A4,test!$A$3:$I$32,9,FALSE)),0)</f>
        <v>0</v>
      </c>
      <c r="AA4">
        <f>IF(AND(SUM(VLOOKUP($A4,test!$A$3:$F$32,2,FALSE),VLOOKUP(AA$1,test!$A$3:$F$32,2,FALSE))&lt;=test!$K$16,$A4&lt;&gt;AA$1,feasible_mat!AA4=1),(VLOOKUP(AA$1,test!$A$3:$I$32,8,FALSE))-(VLOOKUP($A4,test!$A$3:$I$32,9,FALSE)),0)</f>
        <v>0</v>
      </c>
      <c r="AB4">
        <f>IF(AND(SUM(VLOOKUP($A4,test!$A$3:$F$32,2,FALSE),VLOOKUP(AB$1,test!$A$3:$F$32,2,FALSE))&lt;=test!$K$16,$A4&lt;&gt;AB$1,feasible_mat!AB4=1),(VLOOKUP(AB$1,test!$A$3:$I$32,8,FALSE))-(VLOOKUP($A4,test!$A$3:$I$32,9,FALSE)),0)</f>
        <v>45</v>
      </c>
      <c r="AC4">
        <f>IF(AND(SUM(VLOOKUP($A4,test!$A$3:$F$32,2,FALSE),VLOOKUP(AC$1,test!$A$3:$F$32,2,FALSE))&lt;=test!$K$16,$A4&lt;&gt;AC$1,feasible_mat!AC4=1),(VLOOKUP(AC$1,test!$A$3:$I$32,8,FALSE))-(VLOOKUP($A4,test!$A$3:$I$32,9,FALSE)),0)</f>
        <v>165</v>
      </c>
      <c r="AD4">
        <f>IF(AND(SUM(VLOOKUP($A4,test!$A$3:$F$32,2,FALSE),VLOOKUP(AD$1,test!$A$3:$F$32,2,FALSE))&lt;=test!$K$16,$A4&lt;&gt;AD$1,feasible_mat!AD4=1),(VLOOKUP(AD$1,test!$A$3:$I$32,8,FALSE))-(VLOOKUP($A4,test!$A$3:$I$32,9,FALSE)),0)</f>
        <v>0</v>
      </c>
      <c r="AE4">
        <f>IF(AND(SUM(VLOOKUP($A4,test!$A$3:$F$32,2,FALSE),VLOOKUP(AE$1,test!$A$3:$F$32,2,FALSE))&lt;=test!$K$16,$A4&lt;&gt;AE$1,feasible_mat!AE4=1),(VLOOKUP(AE$1,test!$A$3:$I$32,8,FALSE))-(VLOOKUP($A4,test!$A$3:$I$32,9,FALSE)),0)</f>
        <v>0</v>
      </c>
      <c r="AF4">
        <f>IF(AND(SUM(VLOOKUP($A4,test!$A$3:$F$32,2,FALSE),VLOOKUP(AF$1,test!$A$3:$F$32,2,FALSE))&lt;=test!$K$16,$A4&lt;&gt;AF$1,feasible_mat!AF4=1),(VLOOKUP(AF$1,test!$A$3:$I$32,8,FALSE))-(VLOOKUP($A4,test!$A$3:$I$32,9,FALSE)),0)</f>
        <v>0</v>
      </c>
      <c r="AJ4" s="16" t="s">
        <v>84</v>
      </c>
    </row>
    <row r="5" spans="1:36" x14ac:dyDescent="0.25">
      <c r="A5" t="s">
        <v>10</v>
      </c>
      <c r="B5">
        <v>0</v>
      </c>
      <c r="C5">
        <f>IF(AND(SUM(VLOOKUP($A5,test!$A$3:$F$32,2,FALSE),VLOOKUP(C$1,test!$A$3:$F$32,2,FALSE))&lt;=test!$K$16,$A5&lt;&gt;C$1,feasible_mat!C5=1),(VLOOKUP(C$1,test!$A$3:$I$32,8,FALSE))-(VLOOKUP($A5,test!$A$3:$I$32,9,FALSE)),0)</f>
        <v>0</v>
      </c>
      <c r="D5">
        <f>IF(AND(SUM(VLOOKUP($A5,test!$A$3:$F$32,2,FALSE),VLOOKUP(D$1,test!$A$3:$F$32,2,FALSE))&lt;=test!$K$16,$A5&lt;&gt;D$1,feasible_mat!D5=1),(VLOOKUP(D$1,test!$A$3:$I$32,8,FALSE))-(VLOOKUP($A5,test!$A$3:$I$32,9,FALSE)),0)</f>
        <v>0</v>
      </c>
      <c r="E5">
        <f>IF(AND(SUM(VLOOKUP($A5,test!$A$3:$F$32,2,FALSE),VLOOKUP(E$1,test!$A$3:$F$32,2,FALSE))&lt;=test!$K$16,$A5&lt;&gt;E$1,feasible_mat!E5=1),(VLOOKUP(E$1,test!$A$3:$I$32,8,FALSE))-(VLOOKUP($A5,test!$A$3:$I$32,9,FALSE)),0)</f>
        <v>0</v>
      </c>
      <c r="F5">
        <f>IF(AND(SUM(VLOOKUP($A5,test!$A$3:$F$32,2,FALSE),VLOOKUP(F$1,test!$A$3:$F$32,2,FALSE))&lt;=test!$K$16,$A5&lt;&gt;F$1,feasible_mat!F5=1),(VLOOKUP(F$1,test!$A$3:$I$32,8,FALSE))-(VLOOKUP($A5,test!$A$3:$I$32,9,FALSE)),0)</f>
        <v>0</v>
      </c>
      <c r="G5">
        <f>IF(AND(SUM(VLOOKUP($A5,test!$A$3:$F$32,2,FALSE),VLOOKUP(G$1,test!$A$3:$F$32,2,FALSE))&lt;=test!$K$16,$A5&lt;&gt;G$1,feasible_mat!G5=1),(VLOOKUP(G$1,test!$A$3:$I$32,8,FALSE))-(VLOOKUP($A5,test!$A$3:$I$32,9,FALSE)),0)</f>
        <v>15</v>
      </c>
      <c r="H5">
        <f>IF(AND(SUM(VLOOKUP($A5,test!$A$3:$F$32,2,FALSE),VLOOKUP(H$1,test!$A$3:$F$32,2,FALSE))&lt;=test!$K$16,$A5&lt;&gt;H$1,feasible_mat!H5=1),(VLOOKUP(H$1,test!$A$3:$I$32,8,FALSE))-(VLOOKUP($A5,test!$A$3:$I$32,9,FALSE)),0)</f>
        <v>75</v>
      </c>
      <c r="I5">
        <f>IF(AND(SUM(VLOOKUP($A5,test!$A$3:$F$32,2,FALSE),VLOOKUP(I$1,test!$A$3:$F$32,2,FALSE))&lt;=test!$K$16,$A5&lt;&gt;I$1,feasible_mat!I5=1),(VLOOKUP(I$1,test!$A$3:$I$32,8,FALSE))-(VLOOKUP($A5,test!$A$3:$I$32,9,FALSE)),0)</f>
        <v>135</v>
      </c>
      <c r="J5">
        <f>IF(AND(SUM(VLOOKUP($A5,test!$A$3:$F$32,2,FALSE),VLOOKUP(J$1,test!$A$3:$F$32,2,FALSE))&lt;=test!$K$16,$A5&lt;&gt;J$1,feasible_mat!J5=1),(VLOOKUP(J$1,test!$A$3:$I$32,8,FALSE))-(VLOOKUP($A5,test!$A$3:$I$32,9,FALSE)),0)</f>
        <v>225</v>
      </c>
      <c r="K5">
        <f>IF(AND(SUM(VLOOKUP($A5,test!$A$3:$F$32,2,FALSE),VLOOKUP(K$1,test!$A$3:$F$32,2,FALSE))&lt;=test!$K$16,$A5&lt;&gt;K$1,feasible_mat!K5=1),(VLOOKUP(K$1,test!$A$3:$I$32,8,FALSE))-(VLOOKUP($A5,test!$A$3:$I$32,9,FALSE)),0)</f>
        <v>0</v>
      </c>
      <c r="L5">
        <f>IF(AND(SUM(VLOOKUP($A5,test!$A$3:$F$32,2,FALSE),VLOOKUP(L$1,test!$A$3:$F$32,2,FALSE))&lt;=test!$K$16,$A5&lt;&gt;L$1,feasible_mat!L5=1),(VLOOKUP(L$1,test!$A$3:$I$32,8,FALSE))-(VLOOKUP($A5,test!$A$3:$I$32,9,FALSE)),0)</f>
        <v>0</v>
      </c>
      <c r="M5">
        <f>IF(AND(SUM(VLOOKUP($A5,test!$A$3:$F$32,2,FALSE),VLOOKUP(M$1,test!$A$3:$F$32,2,FALSE))&lt;=test!$K$16,$A5&lt;&gt;M$1,feasible_mat!M5=1),(VLOOKUP(M$1,test!$A$3:$I$32,8,FALSE))-(VLOOKUP($A5,test!$A$3:$I$32,9,FALSE)),0)</f>
        <v>0</v>
      </c>
      <c r="N5">
        <f>IF(AND(SUM(VLOOKUP($A5,test!$A$3:$F$32,2,FALSE),VLOOKUP(N$1,test!$A$3:$F$32,2,FALSE))&lt;=test!$K$16,$A5&lt;&gt;N$1,feasible_mat!N5=1),(VLOOKUP(N$1,test!$A$3:$I$32,8,FALSE))-(VLOOKUP($A5,test!$A$3:$I$32,9,FALSE)),0)</f>
        <v>190</v>
      </c>
      <c r="O5">
        <f>IF(AND(SUM(VLOOKUP($A5,test!$A$3:$F$32,2,FALSE),VLOOKUP(O$1,test!$A$3:$F$32,2,FALSE))&lt;=test!$K$16,$A5&lt;&gt;O$1,feasible_mat!O5=1),(VLOOKUP(O$1,test!$A$3:$I$32,8,FALSE))-(VLOOKUP($A5,test!$A$3:$I$32,9,FALSE)),0)</f>
        <v>250</v>
      </c>
      <c r="P5">
        <f>IF(AND(SUM(VLOOKUP($A5,test!$A$3:$F$32,2,FALSE),VLOOKUP(P$1,test!$A$3:$F$32,2,FALSE))&lt;=test!$K$16,$A5&lt;&gt;P$1,feasible_mat!P5=1),(VLOOKUP(P$1,test!$A$3:$I$32,8,FALSE))-(VLOOKUP($A5,test!$A$3:$I$32,9,FALSE)),0)</f>
        <v>0</v>
      </c>
      <c r="Q5">
        <f>IF(AND(SUM(VLOOKUP($A5,test!$A$3:$F$32,2,FALSE),VLOOKUP(Q$1,test!$A$3:$F$32,2,FALSE))&lt;=test!$K$16,$A5&lt;&gt;Q$1,feasible_mat!Q5=1),(VLOOKUP(Q$1,test!$A$3:$I$32,8,FALSE))-(VLOOKUP($A5,test!$A$3:$I$32,9,FALSE)),0)</f>
        <v>0</v>
      </c>
      <c r="R5">
        <f>IF(AND(SUM(VLOOKUP($A5,test!$A$3:$F$32,2,FALSE),VLOOKUP(R$1,test!$A$3:$F$32,2,FALSE))&lt;=test!$K$16,$A5&lt;&gt;R$1,feasible_mat!R5=1),(VLOOKUP(R$1,test!$A$3:$I$32,8,FALSE))-(VLOOKUP($A5,test!$A$3:$I$32,9,FALSE)),0)</f>
        <v>0</v>
      </c>
      <c r="S5">
        <f>IF(AND(SUM(VLOOKUP($A5,test!$A$3:$F$32,2,FALSE),VLOOKUP(S$1,test!$A$3:$F$32,2,FALSE))&lt;=test!$K$16,$A5&lt;&gt;S$1,feasible_mat!S5=1),(VLOOKUP(S$1,test!$A$3:$I$32,8,FALSE))-(VLOOKUP($A5,test!$A$3:$I$32,9,FALSE)),0)</f>
        <v>0</v>
      </c>
      <c r="T5">
        <f>IF(AND(SUM(VLOOKUP($A5,test!$A$3:$F$32,2,FALSE),VLOOKUP(T$1,test!$A$3:$F$32,2,FALSE))&lt;=test!$K$16,$A5&lt;&gt;T$1,feasible_mat!T5=1),(VLOOKUP(T$1,test!$A$3:$I$32,8,FALSE))-(VLOOKUP($A5,test!$A$3:$I$32,9,FALSE)),0)</f>
        <v>0</v>
      </c>
      <c r="U5">
        <f>IF(AND(SUM(VLOOKUP($A5,test!$A$3:$F$32,2,FALSE),VLOOKUP(U$1,test!$A$3:$F$32,2,FALSE))&lt;=test!$K$16,$A5&lt;&gt;U$1,feasible_mat!U5=1),(VLOOKUP(U$1,test!$A$3:$I$32,8,FALSE))-(VLOOKUP($A5,test!$A$3:$I$32,9,FALSE)),0)</f>
        <v>0</v>
      </c>
      <c r="V5">
        <f>IF(AND(SUM(VLOOKUP($A5,test!$A$3:$F$32,2,FALSE),VLOOKUP(V$1,test!$A$3:$F$32,2,FALSE))&lt;=test!$K$16,$A5&lt;&gt;V$1,feasible_mat!V5=1),(VLOOKUP(V$1,test!$A$3:$I$32,8,FALSE))-(VLOOKUP($A5,test!$A$3:$I$32,9,FALSE)),0)</f>
        <v>25</v>
      </c>
      <c r="W5">
        <f>IF(AND(SUM(VLOOKUP($A5,test!$A$3:$F$32,2,FALSE),VLOOKUP(W$1,test!$A$3:$F$32,2,FALSE))&lt;=test!$K$16,$A5&lt;&gt;W$1,feasible_mat!W5=1),(VLOOKUP(W$1,test!$A$3:$I$32,8,FALSE))-(VLOOKUP($A5,test!$A$3:$I$32,9,FALSE)),0)</f>
        <v>115</v>
      </c>
      <c r="X5">
        <f>IF(AND(SUM(VLOOKUP($A5,test!$A$3:$F$32,2,FALSE),VLOOKUP(X$1,test!$A$3:$F$32,2,FALSE))&lt;=test!$K$16,$A5&lt;&gt;X$1,feasible_mat!X5=1),(VLOOKUP(X$1,test!$A$3:$I$32,8,FALSE))-(VLOOKUP($A5,test!$A$3:$I$32,9,FALSE)),0)</f>
        <v>175</v>
      </c>
      <c r="Y5">
        <f>IF(AND(SUM(VLOOKUP($A5,test!$A$3:$F$32,2,FALSE),VLOOKUP(Y$1,test!$A$3:$F$32,2,FALSE))&lt;=test!$K$16,$A5&lt;&gt;Y$1,feasible_mat!Y5=1),(VLOOKUP(Y$1,test!$A$3:$I$32,8,FALSE))-(VLOOKUP($A5,test!$A$3:$I$32,9,FALSE)),0)</f>
        <v>0</v>
      </c>
      <c r="Z5">
        <f>IF(AND(SUM(VLOOKUP($A5,test!$A$3:$F$32,2,FALSE),VLOOKUP(Z$1,test!$A$3:$F$32,2,FALSE))&lt;=test!$K$16,$A5&lt;&gt;Z$1,feasible_mat!Z5=1),(VLOOKUP(Z$1,test!$A$3:$I$32,8,FALSE))-(VLOOKUP($A5,test!$A$3:$I$32,9,FALSE)),0)</f>
        <v>0</v>
      </c>
      <c r="AA5">
        <f>IF(AND(SUM(VLOOKUP($A5,test!$A$3:$F$32,2,FALSE),VLOOKUP(AA$1,test!$A$3:$F$32,2,FALSE))&lt;=test!$K$16,$A5&lt;&gt;AA$1,feasible_mat!AA5=1),(VLOOKUP(AA$1,test!$A$3:$I$32,8,FALSE))-(VLOOKUP($A5,test!$A$3:$I$32,9,FALSE)),0)</f>
        <v>0</v>
      </c>
      <c r="AB5">
        <f>IF(AND(SUM(VLOOKUP($A5,test!$A$3:$F$32,2,FALSE),VLOOKUP(AB$1,test!$A$3:$F$32,2,FALSE))&lt;=test!$K$16,$A5&lt;&gt;AB$1,feasible_mat!AB5=1),(VLOOKUP(AB$1,test!$A$3:$I$32,8,FALSE))-(VLOOKUP($A5,test!$A$3:$I$32,9,FALSE)),0)</f>
        <v>0</v>
      </c>
      <c r="AC5">
        <f>IF(AND(SUM(VLOOKUP($A5,test!$A$3:$F$32,2,FALSE),VLOOKUP(AC$1,test!$A$3:$F$32,2,FALSE))&lt;=test!$K$16,$A5&lt;&gt;AC$1,feasible_mat!AC5=1),(VLOOKUP(AC$1,test!$A$3:$I$32,8,FALSE))-(VLOOKUP($A5,test!$A$3:$I$32,9,FALSE)),0)</f>
        <v>75</v>
      </c>
      <c r="AD5">
        <f>IF(AND(SUM(VLOOKUP($A5,test!$A$3:$F$32,2,FALSE),VLOOKUP(AD$1,test!$A$3:$F$32,2,FALSE))&lt;=test!$K$16,$A5&lt;&gt;AD$1,feasible_mat!AD5=1),(VLOOKUP(AD$1,test!$A$3:$I$32,8,FALSE))-(VLOOKUP($A5,test!$A$3:$I$32,9,FALSE)),0)</f>
        <v>0</v>
      </c>
      <c r="AE5">
        <f>IF(AND(SUM(VLOOKUP($A5,test!$A$3:$F$32,2,FALSE),VLOOKUP(AE$1,test!$A$3:$F$32,2,FALSE))&lt;=test!$K$16,$A5&lt;&gt;AE$1,feasible_mat!AE5=1),(VLOOKUP(AE$1,test!$A$3:$I$32,8,FALSE))-(VLOOKUP($A5,test!$A$3:$I$32,9,FALSE)),0)</f>
        <v>0</v>
      </c>
      <c r="AF5">
        <f>IF(AND(SUM(VLOOKUP($A5,test!$A$3:$F$32,2,FALSE),VLOOKUP(AF$1,test!$A$3:$F$32,2,FALSE))&lt;=test!$K$16,$A5&lt;&gt;AF$1,feasible_mat!AF5=1),(VLOOKUP(AF$1,test!$A$3:$I$32,8,FALSE))-(VLOOKUP($A5,test!$A$3:$I$32,9,FALSE)),0)</f>
        <v>0</v>
      </c>
    </row>
    <row r="6" spans="1:36" x14ac:dyDescent="0.25">
      <c r="A6" t="s">
        <v>11</v>
      </c>
      <c r="B6">
        <v>0</v>
      </c>
      <c r="C6">
        <f>IF(AND(SUM(VLOOKUP($A6,test!$A$3:$F$32,2,FALSE),VLOOKUP(C$1,test!$A$3:$F$32,2,FALSE))&lt;=test!$K$16,$A6&lt;&gt;C$1,feasible_mat!C6=1),(VLOOKUP(C$1,test!$A$3:$I$32,8,FALSE))-(VLOOKUP($A6,test!$A$3:$I$32,9,FALSE)),0)</f>
        <v>0</v>
      </c>
      <c r="D6">
        <f>IF(AND(SUM(VLOOKUP($A6,test!$A$3:$F$32,2,FALSE),VLOOKUP(D$1,test!$A$3:$F$32,2,FALSE))&lt;=test!$K$16,$A6&lt;&gt;D$1,feasible_mat!D6=1),(VLOOKUP(D$1,test!$A$3:$I$32,8,FALSE))-(VLOOKUP($A6,test!$A$3:$I$32,9,FALSE)),0)</f>
        <v>0</v>
      </c>
      <c r="E6">
        <f>IF(AND(SUM(VLOOKUP($A6,test!$A$3:$F$32,2,FALSE),VLOOKUP(E$1,test!$A$3:$F$32,2,FALSE))&lt;=test!$K$16,$A6&lt;&gt;E$1,feasible_mat!E6=1),(VLOOKUP(E$1,test!$A$3:$I$32,8,FALSE))-(VLOOKUP($A6,test!$A$3:$I$32,9,FALSE)),0)</f>
        <v>0</v>
      </c>
      <c r="F6">
        <f>IF(AND(SUM(VLOOKUP($A6,test!$A$3:$F$32,2,FALSE),VLOOKUP(F$1,test!$A$3:$F$32,2,FALSE))&lt;=test!$K$16,$A6&lt;&gt;F$1,feasible_mat!F6=1),(VLOOKUP(F$1,test!$A$3:$I$32,8,FALSE))-(VLOOKUP($A6,test!$A$3:$I$32,9,FALSE)),0)</f>
        <v>0</v>
      </c>
      <c r="G6">
        <f>IF(AND(SUM(VLOOKUP($A6,test!$A$3:$F$32,2,FALSE),VLOOKUP(G$1,test!$A$3:$F$32,2,FALSE))&lt;=test!$K$16,$A6&lt;&gt;G$1,feasible_mat!G6=1),(VLOOKUP(G$1,test!$A$3:$I$32,8,FALSE))-(VLOOKUP($A6,test!$A$3:$I$32,9,FALSE)),0)</f>
        <v>0</v>
      </c>
      <c r="H6">
        <f>IF(AND(SUM(VLOOKUP($A6,test!$A$3:$F$32,2,FALSE),VLOOKUP(H$1,test!$A$3:$F$32,2,FALSE))&lt;=test!$K$16,$A6&lt;&gt;H$1,feasible_mat!H6=1),(VLOOKUP(H$1,test!$A$3:$I$32,8,FALSE))-(VLOOKUP($A6,test!$A$3:$I$32,9,FALSE)),0)</f>
        <v>0</v>
      </c>
      <c r="I6">
        <f>IF(AND(SUM(VLOOKUP($A6,test!$A$3:$F$32,2,FALSE),VLOOKUP(I$1,test!$A$3:$F$32,2,FALSE))&lt;=test!$K$16,$A6&lt;&gt;I$1,feasible_mat!I6=1),(VLOOKUP(I$1,test!$A$3:$I$32,8,FALSE))-(VLOOKUP($A6,test!$A$3:$I$32,9,FALSE)),0)</f>
        <v>45</v>
      </c>
      <c r="J6">
        <f>IF(AND(SUM(VLOOKUP($A6,test!$A$3:$F$32,2,FALSE),VLOOKUP(J$1,test!$A$3:$F$32,2,FALSE))&lt;=test!$K$16,$A6&lt;&gt;J$1,feasible_mat!J6=1),(VLOOKUP(J$1,test!$A$3:$I$32,8,FALSE))-(VLOOKUP($A6,test!$A$3:$I$32,9,FALSE)),0)</f>
        <v>135</v>
      </c>
      <c r="K6">
        <f>IF(AND(SUM(VLOOKUP($A6,test!$A$3:$F$32,2,FALSE),VLOOKUP(K$1,test!$A$3:$F$32,2,FALSE))&lt;=test!$K$16,$A6&lt;&gt;K$1,feasible_mat!K6=1),(VLOOKUP(K$1,test!$A$3:$I$32,8,FALSE))-(VLOOKUP($A6,test!$A$3:$I$32,9,FALSE)),0)</f>
        <v>0</v>
      </c>
      <c r="L6">
        <f>IF(AND(SUM(VLOOKUP($A6,test!$A$3:$F$32,2,FALSE),VLOOKUP(L$1,test!$A$3:$F$32,2,FALSE))&lt;=test!$K$16,$A6&lt;&gt;L$1,feasible_mat!L6=1),(VLOOKUP(L$1,test!$A$3:$I$32,8,FALSE))-(VLOOKUP($A6,test!$A$3:$I$32,9,FALSE)),0)</f>
        <v>0</v>
      </c>
      <c r="M6">
        <f>IF(AND(SUM(VLOOKUP($A6,test!$A$3:$F$32,2,FALSE),VLOOKUP(M$1,test!$A$3:$F$32,2,FALSE))&lt;=test!$K$16,$A6&lt;&gt;M$1,feasible_mat!M6=1),(VLOOKUP(M$1,test!$A$3:$I$32,8,FALSE))-(VLOOKUP($A6,test!$A$3:$I$32,9,FALSE)),0)</f>
        <v>0</v>
      </c>
      <c r="N6">
        <f>IF(AND(SUM(VLOOKUP($A6,test!$A$3:$F$32,2,FALSE),VLOOKUP(N$1,test!$A$3:$F$32,2,FALSE))&lt;=test!$K$16,$A6&lt;&gt;N$1,feasible_mat!N6=1),(VLOOKUP(N$1,test!$A$3:$I$32,8,FALSE))-(VLOOKUP($A6,test!$A$3:$I$32,9,FALSE)),0)</f>
        <v>100</v>
      </c>
      <c r="O6">
        <f>IF(AND(SUM(VLOOKUP($A6,test!$A$3:$F$32,2,FALSE),VLOOKUP(O$1,test!$A$3:$F$32,2,FALSE))&lt;=test!$K$16,$A6&lt;&gt;O$1,feasible_mat!O6=1),(VLOOKUP(O$1,test!$A$3:$I$32,8,FALSE))-(VLOOKUP($A6,test!$A$3:$I$32,9,FALSE)),0)</f>
        <v>160</v>
      </c>
      <c r="P6">
        <f>IF(AND(SUM(VLOOKUP($A6,test!$A$3:$F$32,2,FALSE),VLOOKUP(P$1,test!$A$3:$F$32,2,FALSE))&lt;=test!$K$16,$A6&lt;&gt;P$1,feasible_mat!P6=1),(VLOOKUP(P$1,test!$A$3:$I$32,8,FALSE))-(VLOOKUP($A6,test!$A$3:$I$32,9,FALSE)),0)</f>
        <v>0</v>
      </c>
      <c r="Q6">
        <f>IF(AND(SUM(VLOOKUP($A6,test!$A$3:$F$32,2,FALSE),VLOOKUP(Q$1,test!$A$3:$F$32,2,FALSE))&lt;=test!$K$16,$A6&lt;&gt;Q$1,feasible_mat!Q6=1),(VLOOKUP(Q$1,test!$A$3:$I$32,8,FALSE))-(VLOOKUP($A6,test!$A$3:$I$32,9,FALSE)),0)</f>
        <v>0</v>
      </c>
      <c r="R6">
        <f>IF(AND(SUM(VLOOKUP($A6,test!$A$3:$F$32,2,FALSE),VLOOKUP(R$1,test!$A$3:$F$32,2,FALSE))&lt;=test!$K$16,$A6&lt;&gt;R$1,feasible_mat!R6=1),(VLOOKUP(R$1,test!$A$3:$I$32,8,FALSE))-(VLOOKUP($A6,test!$A$3:$I$32,9,FALSE)),0)</f>
        <v>0</v>
      </c>
      <c r="S6">
        <f>IF(AND(SUM(VLOOKUP($A6,test!$A$3:$F$32,2,FALSE),VLOOKUP(S$1,test!$A$3:$F$32,2,FALSE))&lt;=test!$K$16,$A6&lt;&gt;S$1,feasible_mat!S6=1),(VLOOKUP(S$1,test!$A$3:$I$32,8,FALSE))-(VLOOKUP($A6,test!$A$3:$I$32,9,FALSE)),0)</f>
        <v>0</v>
      </c>
      <c r="T6">
        <f>IF(AND(SUM(VLOOKUP($A6,test!$A$3:$F$32,2,FALSE),VLOOKUP(T$1,test!$A$3:$F$32,2,FALSE))&lt;=test!$K$16,$A6&lt;&gt;T$1,feasible_mat!T6=1),(VLOOKUP(T$1,test!$A$3:$I$32,8,FALSE))-(VLOOKUP($A6,test!$A$3:$I$32,9,FALSE)),0)</f>
        <v>0</v>
      </c>
      <c r="U6">
        <f>IF(AND(SUM(VLOOKUP($A6,test!$A$3:$F$32,2,FALSE),VLOOKUP(U$1,test!$A$3:$F$32,2,FALSE))&lt;=test!$K$16,$A6&lt;&gt;U$1,feasible_mat!U6=1),(VLOOKUP(U$1,test!$A$3:$I$32,8,FALSE))-(VLOOKUP($A6,test!$A$3:$I$32,9,FALSE)),0)</f>
        <v>0</v>
      </c>
      <c r="V6">
        <f>IF(AND(SUM(VLOOKUP($A6,test!$A$3:$F$32,2,FALSE),VLOOKUP(V$1,test!$A$3:$F$32,2,FALSE))&lt;=test!$K$16,$A6&lt;&gt;V$1,feasible_mat!V6=1),(VLOOKUP(V$1,test!$A$3:$I$32,8,FALSE))-(VLOOKUP($A6,test!$A$3:$I$32,9,FALSE)),0)</f>
        <v>0</v>
      </c>
      <c r="W6">
        <f>IF(AND(SUM(VLOOKUP($A6,test!$A$3:$F$32,2,FALSE),VLOOKUP(W$1,test!$A$3:$F$32,2,FALSE))&lt;=test!$K$16,$A6&lt;&gt;W$1,feasible_mat!W6=1),(VLOOKUP(W$1,test!$A$3:$I$32,8,FALSE))-(VLOOKUP($A6,test!$A$3:$I$32,9,FALSE)),0)</f>
        <v>25</v>
      </c>
      <c r="X6">
        <f>IF(AND(SUM(VLOOKUP($A6,test!$A$3:$F$32,2,FALSE),VLOOKUP(X$1,test!$A$3:$F$32,2,FALSE))&lt;=test!$K$16,$A6&lt;&gt;X$1,feasible_mat!X6=1),(VLOOKUP(X$1,test!$A$3:$I$32,8,FALSE))-(VLOOKUP($A6,test!$A$3:$I$32,9,FALSE)),0)</f>
        <v>85</v>
      </c>
      <c r="Y6">
        <f>IF(AND(SUM(VLOOKUP($A6,test!$A$3:$F$32,2,FALSE),VLOOKUP(Y$1,test!$A$3:$F$32,2,FALSE))&lt;=test!$K$16,$A6&lt;&gt;Y$1,feasible_mat!Y6=1),(VLOOKUP(Y$1,test!$A$3:$I$32,8,FALSE))-(VLOOKUP($A6,test!$A$3:$I$32,9,FALSE)),0)</f>
        <v>0</v>
      </c>
      <c r="Z6">
        <f>IF(AND(SUM(VLOOKUP($A6,test!$A$3:$F$32,2,FALSE),VLOOKUP(Z$1,test!$A$3:$F$32,2,FALSE))&lt;=test!$K$16,$A6&lt;&gt;Z$1,feasible_mat!Z6=1),(VLOOKUP(Z$1,test!$A$3:$I$32,8,FALSE))-(VLOOKUP($A6,test!$A$3:$I$32,9,FALSE)),0)</f>
        <v>0</v>
      </c>
      <c r="AA6">
        <f>IF(AND(SUM(VLOOKUP($A6,test!$A$3:$F$32,2,FALSE),VLOOKUP(AA$1,test!$A$3:$F$32,2,FALSE))&lt;=test!$K$16,$A6&lt;&gt;AA$1,feasible_mat!AA6=1),(VLOOKUP(AA$1,test!$A$3:$I$32,8,FALSE))-(VLOOKUP($A6,test!$A$3:$I$32,9,FALSE)),0)</f>
        <v>0</v>
      </c>
      <c r="AB6">
        <f>IF(AND(SUM(VLOOKUP($A6,test!$A$3:$F$32,2,FALSE),VLOOKUP(AB$1,test!$A$3:$F$32,2,FALSE))&lt;=test!$K$16,$A6&lt;&gt;AB$1,feasible_mat!AB6=1),(VLOOKUP(AB$1,test!$A$3:$I$32,8,FALSE))-(VLOOKUP($A6,test!$A$3:$I$32,9,FALSE)),0)</f>
        <v>0</v>
      </c>
      <c r="AC6">
        <f>IF(AND(SUM(VLOOKUP($A6,test!$A$3:$F$32,2,FALSE),VLOOKUP(AC$1,test!$A$3:$F$32,2,FALSE))&lt;=test!$K$16,$A6&lt;&gt;AC$1,feasible_mat!AC6=1),(VLOOKUP(AC$1,test!$A$3:$I$32,8,FALSE))-(VLOOKUP($A6,test!$A$3:$I$32,9,FALSE)),0)</f>
        <v>0</v>
      </c>
      <c r="AD6">
        <f>IF(AND(SUM(VLOOKUP($A6,test!$A$3:$F$32,2,FALSE),VLOOKUP(AD$1,test!$A$3:$F$32,2,FALSE))&lt;=test!$K$16,$A6&lt;&gt;AD$1,feasible_mat!AD6=1),(VLOOKUP(AD$1,test!$A$3:$I$32,8,FALSE))-(VLOOKUP($A6,test!$A$3:$I$32,9,FALSE)),0)</f>
        <v>0</v>
      </c>
      <c r="AE6">
        <f>IF(AND(SUM(VLOOKUP($A6,test!$A$3:$F$32,2,FALSE),VLOOKUP(AE$1,test!$A$3:$F$32,2,FALSE))&lt;=test!$K$16,$A6&lt;&gt;AE$1,feasible_mat!AE6=1),(VLOOKUP(AE$1,test!$A$3:$I$32,8,FALSE))-(VLOOKUP($A6,test!$A$3:$I$32,9,FALSE)),0)</f>
        <v>0</v>
      </c>
      <c r="AF6">
        <f>IF(AND(SUM(VLOOKUP($A6,test!$A$3:$F$32,2,FALSE),VLOOKUP(AF$1,test!$A$3:$F$32,2,FALSE))&lt;=test!$K$16,$A6&lt;&gt;AF$1,feasible_mat!AF6=1),(VLOOKUP(AF$1,test!$A$3:$I$32,8,FALSE))-(VLOOKUP($A6,test!$A$3:$I$32,9,FALSE)),0)</f>
        <v>0</v>
      </c>
      <c r="AJ6" s="16" t="b">
        <f>AND(SUM(VLOOKUP($A11,test!$A$3:$F$32,2,FALSE),VLOOKUP(AE$1,test!$A$3:$F$32,2,FALSE))&lt;test!$K$16,$A11&lt;&gt;AE$1,feasible_mat!AE11=1)</f>
        <v>0</v>
      </c>
    </row>
    <row r="7" spans="1:36" x14ac:dyDescent="0.25">
      <c r="A7" t="s">
        <v>12</v>
      </c>
      <c r="B7">
        <v>0</v>
      </c>
      <c r="C7">
        <f>IF(AND(SUM(VLOOKUP($A7,test!$A$3:$F$32,2,FALSE),VLOOKUP(C$1,test!$A$3:$F$32,2,FALSE))&lt;=test!$K$16,$A7&lt;&gt;C$1,feasible_mat!C7=1),(VLOOKUP(C$1,test!$A$3:$I$32,8,FALSE))-(VLOOKUP($A7,test!$A$3:$I$32,9,FALSE)),0)</f>
        <v>0</v>
      </c>
      <c r="D7">
        <f>IF(AND(SUM(VLOOKUP($A7,test!$A$3:$F$32,2,FALSE),VLOOKUP(D$1,test!$A$3:$F$32,2,FALSE))&lt;=test!$K$16,$A7&lt;&gt;D$1,feasible_mat!D7=1),(VLOOKUP(D$1,test!$A$3:$I$32,8,FALSE))-(VLOOKUP($A7,test!$A$3:$I$32,9,FALSE)),0)</f>
        <v>0</v>
      </c>
      <c r="E7">
        <f>IF(AND(SUM(VLOOKUP($A7,test!$A$3:$F$32,2,FALSE),VLOOKUP(E$1,test!$A$3:$F$32,2,FALSE))&lt;=test!$K$16,$A7&lt;&gt;E$1,feasible_mat!E7=1),(VLOOKUP(E$1,test!$A$3:$I$32,8,FALSE))-(VLOOKUP($A7,test!$A$3:$I$32,9,FALSE)),0)</f>
        <v>0</v>
      </c>
      <c r="F7">
        <f>IF(AND(SUM(VLOOKUP($A7,test!$A$3:$F$32,2,FALSE),VLOOKUP(F$1,test!$A$3:$F$32,2,FALSE))&lt;=test!$K$16,$A7&lt;&gt;F$1,feasible_mat!F7=1),(VLOOKUP(F$1,test!$A$3:$I$32,8,FALSE))-(VLOOKUP($A7,test!$A$3:$I$32,9,FALSE)),0)</f>
        <v>0</v>
      </c>
      <c r="G7">
        <f>IF(AND(SUM(VLOOKUP($A7,test!$A$3:$F$32,2,FALSE),VLOOKUP(G$1,test!$A$3:$F$32,2,FALSE))&lt;=test!$K$16,$A7&lt;&gt;G$1,feasible_mat!G7=1),(VLOOKUP(G$1,test!$A$3:$I$32,8,FALSE))-(VLOOKUP($A7,test!$A$3:$I$32,9,FALSE)),0)</f>
        <v>0</v>
      </c>
      <c r="H7">
        <f>IF(AND(SUM(VLOOKUP($A7,test!$A$3:$F$32,2,FALSE),VLOOKUP(H$1,test!$A$3:$F$32,2,FALSE))&lt;=test!$K$16,$A7&lt;&gt;H$1,feasible_mat!H7=1),(VLOOKUP(H$1,test!$A$3:$I$32,8,FALSE))-(VLOOKUP($A7,test!$A$3:$I$32,9,FALSE)),0)</f>
        <v>0</v>
      </c>
      <c r="I7">
        <f>IF(AND(SUM(VLOOKUP($A7,test!$A$3:$F$32,2,FALSE),VLOOKUP(I$1,test!$A$3:$F$32,2,FALSE))&lt;=test!$K$16,$A7&lt;&gt;I$1,feasible_mat!I7=1),(VLOOKUP(I$1,test!$A$3:$I$32,8,FALSE))-(VLOOKUP($A7,test!$A$3:$I$32,9,FALSE)),0)</f>
        <v>0</v>
      </c>
      <c r="J7">
        <f>IF(AND(SUM(VLOOKUP($A7,test!$A$3:$F$32,2,FALSE),VLOOKUP(J$1,test!$A$3:$F$32,2,FALSE))&lt;=test!$K$16,$A7&lt;&gt;J$1,feasible_mat!J7=1),(VLOOKUP(J$1,test!$A$3:$I$32,8,FALSE))-(VLOOKUP($A7,test!$A$3:$I$32,9,FALSE)),0)</f>
        <v>75</v>
      </c>
      <c r="K7">
        <f>IF(AND(SUM(VLOOKUP($A7,test!$A$3:$F$32,2,FALSE),VLOOKUP(K$1,test!$A$3:$F$32,2,FALSE))&lt;=test!$K$16,$A7&lt;&gt;K$1,feasible_mat!K7=1),(VLOOKUP(K$1,test!$A$3:$I$32,8,FALSE))-(VLOOKUP($A7,test!$A$3:$I$32,9,FALSE)),0)</f>
        <v>0</v>
      </c>
      <c r="L7">
        <f>IF(AND(SUM(VLOOKUP($A7,test!$A$3:$F$32,2,FALSE),VLOOKUP(L$1,test!$A$3:$F$32,2,FALSE))&lt;=test!$K$16,$A7&lt;&gt;L$1,feasible_mat!L7=1),(VLOOKUP(L$1,test!$A$3:$I$32,8,FALSE))-(VLOOKUP($A7,test!$A$3:$I$32,9,FALSE)),0)</f>
        <v>0</v>
      </c>
      <c r="M7">
        <f>IF(AND(SUM(VLOOKUP($A7,test!$A$3:$F$32,2,FALSE),VLOOKUP(M$1,test!$A$3:$F$32,2,FALSE))&lt;=test!$K$16,$A7&lt;&gt;M$1,feasible_mat!M7=1),(VLOOKUP(M$1,test!$A$3:$I$32,8,FALSE))-(VLOOKUP($A7,test!$A$3:$I$32,9,FALSE)),0)</f>
        <v>0</v>
      </c>
      <c r="N7">
        <f>IF(AND(SUM(VLOOKUP($A7,test!$A$3:$F$32,2,FALSE),VLOOKUP(N$1,test!$A$3:$F$32,2,FALSE))&lt;=test!$K$16,$A7&lt;&gt;N$1,feasible_mat!N7=1),(VLOOKUP(N$1,test!$A$3:$I$32,8,FALSE))-(VLOOKUP($A7,test!$A$3:$I$32,9,FALSE)),0)</f>
        <v>40</v>
      </c>
      <c r="O7">
        <f>IF(AND(SUM(VLOOKUP($A7,test!$A$3:$F$32,2,FALSE),VLOOKUP(O$1,test!$A$3:$F$32,2,FALSE))&lt;=test!$K$16,$A7&lt;&gt;O$1,feasible_mat!O7=1),(VLOOKUP(O$1,test!$A$3:$I$32,8,FALSE))-(VLOOKUP($A7,test!$A$3:$I$32,9,FALSE)),0)</f>
        <v>100</v>
      </c>
      <c r="P7">
        <f>IF(AND(SUM(VLOOKUP($A7,test!$A$3:$F$32,2,FALSE),VLOOKUP(P$1,test!$A$3:$F$32,2,FALSE))&lt;=test!$K$16,$A7&lt;&gt;P$1,feasible_mat!P7=1),(VLOOKUP(P$1,test!$A$3:$I$32,8,FALSE))-(VLOOKUP($A7,test!$A$3:$I$32,9,FALSE)),0)</f>
        <v>0</v>
      </c>
      <c r="Q7">
        <f>IF(AND(SUM(VLOOKUP($A7,test!$A$3:$F$32,2,FALSE),VLOOKUP(Q$1,test!$A$3:$F$32,2,FALSE))&lt;=test!$K$16,$A7&lt;&gt;Q$1,feasible_mat!Q7=1),(VLOOKUP(Q$1,test!$A$3:$I$32,8,FALSE))-(VLOOKUP($A7,test!$A$3:$I$32,9,FALSE)),0)</f>
        <v>0</v>
      </c>
      <c r="R7">
        <f>IF(AND(SUM(VLOOKUP($A7,test!$A$3:$F$32,2,FALSE),VLOOKUP(R$1,test!$A$3:$F$32,2,FALSE))&lt;=test!$K$16,$A7&lt;&gt;R$1,feasible_mat!R7=1),(VLOOKUP(R$1,test!$A$3:$I$32,8,FALSE))-(VLOOKUP($A7,test!$A$3:$I$32,9,FALSE)),0)</f>
        <v>0</v>
      </c>
      <c r="S7">
        <f>IF(AND(SUM(VLOOKUP($A7,test!$A$3:$F$32,2,FALSE),VLOOKUP(S$1,test!$A$3:$F$32,2,FALSE))&lt;=test!$K$16,$A7&lt;&gt;S$1,feasible_mat!S7=1),(VLOOKUP(S$1,test!$A$3:$I$32,8,FALSE))-(VLOOKUP($A7,test!$A$3:$I$32,9,FALSE)),0)</f>
        <v>0</v>
      </c>
      <c r="T7">
        <f>IF(AND(SUM(VLOOKUP($A7,test!$A$3:$F$32,2,FALSE),VLOOKUP(T$1,test!$A$3:$F$32,2,FALSE))&lt;=test!$K$16,$A7&lt;&gt;T$1,feasible_mat!T7=1),(VLOOKUP(T$1,test!$A$3:$I$32,8,FALSE))-(VLOOKUP($A7,test!$A$3:$I$32,9,FALSE)),0)</f>
        <v>0</v>
      </c>
      <c r="U7">
        <f>IF(AND(SUM(VLOOKUP($A7,test!$A$3:$F$32,2,FALSE),VLOOKUP(U$1,test!$A$3:$F$32,2,FALSE))&lt;=test!$K$16,$A7&lt;&gt;U$1,feasible_mat!U7=1),(VLOOKUP(U$1,test!$A$3:$I$32,8,FALSE))-(VLOOKUP($A7,test!$A$3:$I$32,9,FALSE)),0)</f>
        <v>0</v>
      </c>
      <c r="V7">
        <f>IF(AND(SUM(VLOOKUP($A7,test!$A$3:$F$32,2,FALSE),VLOOKUP(V$1,test!$A$3:$F$32,2,FALSE))&lt;=test!$K$16,$A7&lt;&gt;V$1,feasible_mat!V7=1),(VLOOKUP(V$1,test!$A$3:$I$32,8,FALSE))-(VLOOKUP($A7,test!$A$3:$I$32,9,FALSE)),0)</f>
        <v>0</v>
      </c>
      <c r="W7">
        <f>IF(AND(SUM(VLOOKUP($A7,test!$A$3:$F$32,2,FALSE),VLOOKUP(W$1,test!$A$3:$F$32,2,FALSE))&lt;=test!$K$16,$A7&lt;&gt;W$1,feasible_mat!W7=1),(VLOOKUP(W$1,test!$A$3:$I$32,8,FALSE))-(VLOOKUP($A7,test!$A$3:$I$32,9,FALSE)),0)</f>
        <v>0</v>
      </c>
      <c r="X7">
        <f>IF(AND(SUM(VLOOKUP($A7,test!$A$3:$F$32,2,FALSE),VLOOKUP(X$1,test!$A$3:$F$32,2,FALSE))&lt;=test!$K$16,$A7&lt;&gt;X$1,feasible_mat!X7=1),(VLOOKUP(X$1,test!$A$3:$I$32,8,FALSE))-(VLOOKUP($A7,test!$A$3:$I$32,9,FALSE)),0)</f>
        <v>25</v>
      </c>
      <c r="Y7">
        <f>IF(AND(SUM(VLOOKUP($A7,test!$A$3:$F$32,2,FALSE),VLOOKUP(Y$1,test!$A$3:$F$32,2,FALSE))&lt;=test!$K$16,$A7&lt;&gt;Y$1,feasible_mat!Y7=1),(VLOOKUP(Y$1,test!$A$3:$I$32,8,FALSE))-(VLOOKUP($A7,test!$A$3:$I$32,9,FALSE)),0)</f>
        <v>0</v>
      </c>
      <c r="Z7">
        <f>IF(AND(SUM(VLOOKUP($A7,test!$A$3:$F$32,2,FALSE),VLOOKUP(Z$1,test!$A$3:$F$32,2,FALSE))&lt;=test!$K$16,$A7&lt;&gt;Z$1,feasible_mat!Z7=1),(VLOOKUP(Z$1,test!$A$3:$I$32,8,FALSE))-(VLOOKUP($A7,test!$A$3:$I$32,9,FALSE)),0)</f>
        <v>0</v>
      </c>
      <c r="AA7">
        <f>IF(AND(SUM(VLOOKUP($A7,test!$A$3:$F$32,2,FALSE),VLOOKUP(AA$1,test!$A$3:$F$32,2,FALSE))&lt;=test!$K$16,$A7&lt;&gt;AA$1,feasible_mat!AA7=1),(VLOOKUP(AA$1,test!$A$3:$I$32,8,FALSE))-(VLOOKUP($A7,test!$A$3:$I$32,9,FALSE)),0)</f>
        <v>0</v>
      </c>
      <c r="AB7">
        <f>IF(AND(SUM(VLOOKUP($A7,test!$A$3:$F$32,2,FALSE),VLOOKUP(AB$1,test!$A$3:$F$32,2,FALSE))&lt;=test!$K$16,$A7&lt;&gt;AB$1,feasible_mat!AB7=1),(VLOOKUP(AB$1,test!$A$3:$I$32,8,FALSE))-(VLOOKUP($A7,test!$A$3:$I$32,9,FALSE)),0)</f>
        <v>0</v>
      </c>
      <c r="AC7">
        <f>IF(AND(SUM(VLOOKUP($A7,test!$A$3:$F$32,2,FALSE),VLOOKUP(AC$1,test!$A$3:$F$32,2,FALSE))&lt;=test!$K$16,$A7&lt;&gt;AC$1,feasible_mat!AC7=1),(VLOOKUP(AC$1,test!$A$3:$I$32,8,FALSE))-(VLOOKUP($A7,test!$A$3:$I$32,9,FALSE)),0)</f>
        <v>0</v>
      </c>
      <c r="AD7">
        <f>IF(AND(SUM(VLOOKUP($A7,test!$A$3:$F$32,2,FALSE),VLOOKUP(AD$1,test!$A$3:$F$32,2,FALSE))&lt;=test!$K$16,$A7&lt;&gt;AD$1,feasible_mat!AD7=1),(VLOOKUP(AD$1,test!$A$3:$I$32,8,FALSE))-(VLOOKUP($A7,test!$A$3:$I$32,9,FALSE)),0)</f>
        <v>0</v>
      </c>
      <c r="AE7">
        <f>IF(AND(SUM(VLOOKUP($A7,test!$A$3:$F$32,2,FALSE),VLOOKUP(AE$1,test!$A$3:$F$32,2,FALSE))&lt;=test!$K$16,$A7&lt;&gt;AE$1,feasible_mat!AE7=1),(VLOOKUP(AE$1,test!$A$3:$I$32,8,FALSE))-(VLOOKUP($A7,test!$A$3:$I$32,9,FALSE)),0)</f>
        <v>0</v>
      </c>
      <c r="AF7">
        <f>IF(AND(SUM(VLOOKUP($A7,test!$A$3:$F$32,2,FALSE),VLOOKUP(AF$1,test!$A$3:$F$32,2,FALSE))&lt;=test!$K$16,$A7&lt;&gt;AF$1,feasible_mat!AF7=1),(VLOOKUP(AF$1,test!$A$3:$I$32,8,FALSE))-(VLOOKUP($A7,test!$A$3:$I$32,9,FALSE)),0)</f>
        <v>0</v>
      </c>
      <c r="AJ7" s="16">
        <f>VLOOKUP(AE$1,test!$A$3:$F$32,2,FALSE)</f>
        <v>210</v>
      </c>
    </row>
    <row r="8" spans="1:36" x14ac:dyDescent="0.25">
      <c r="A8" t="s">
        <v>13</v>
      </c>
      <c r="B8">
        <v>0</v>
      </c>
      <c r="C8">
        <f>IF(AND(SUM(VLOOKUP($A8,test!$A$3:$F$32,2,FALSE),VLOOKUP(C$1,test!$A$3:$F$32,2,FALSE))&lt;=test!$K$16,$A8&lt;&gt;C$1,feasible_mat!C8=1),(VLOOKUP(C$1,test!$A$3:$I$32,8,FALSE))-(VLOOKUP($A8,test!$A$3:$I$32,9,FALSE)),0)</f>
        <v>0</v>
      </c>
      <c r="D8">
        <f>IF(AND(SUM(VLOOKUP($A8,test!$A$3:$F$32,2,FALSE),VLOOKUP(D$1,test!$A$3:$F$32,2,FALSE))&lt;=test!$K$16,$A8&lt;&gt;D$1,feasible_mat!D8=1),(VLOOKUP(D$1,test!$A$3:$I$32,8,FALSE))-(VLOOKUP($A8,test!$A$3:$I$32,9,FALSE)),0)</f>
        <v>0</v>
      </c>
      <c r="E8">
        <f>IF(AND(SUM(VLOOKUP($A8,test!$A$3:$F$32,2,FALSE),VLOOKUP(E$1,test!$A$3:$F$32,2,FALSE))&lt;=test!$K$16,$A8&lt;&gt;E$1,feasible_mat!E8=1),(VLOOKUP(E$1,test!$A$3:$I$32,8,FALSE))-(VLOOKUP($A8,test!$A$3:$I$32,9,FALSE)),0)</f>
        <v>0</v>
      </c>
      <c r="F8">
        <f>IF(AND(SUM(VLOOKUP($A8,test!$A$3:$F$32,2,FALSE),VLOOKUP(F$1,test!$A$3:$F$32,2,FALSE))&lt;=test!$K$16,$A8&lt;&gt;F$1,feasible_mat!F8=1),(VLOOKUP(F$1,test!$A$3:$I$32,8,FALSE))-(VLOOKUP($A8,test!$A$3:$I$32,9,FALSE)),0)</f>
        <v>0</v>
      </c>
      <c r="G8">
        <f>IF(AND(SUM(VLOOKUP($A8,test!$A$3:$F$32,2,FALSE),VLOOKUP(G$1,test!$A$3:$F$32,2,FALSE))&lt;=test!$K$16,$A8&lt;&gt;G$1,feasible_mat!G8=1),(VLOOKUP(G$1,test!$A$3:$I$32,8,FALSE))-(VLOOKUP($A8,test!$A$3:$I$32,9,FALSE)),0)</f>
        <v>0</v>
      </c>
      <c r="H8">
        <f>IF(AND(SUM(VLOOKUP($A8,test!$A$3:$F$32,2,FALSE),VLOOKUP(H$1,test!$A$3:$F$32,2,FALSE))&lt;=test!$K$16,$A8&lt;&gt;H$1,feasible_mat!H8=1),(VLOOKUP(H$1,test!$A$3:$I$32,8,FALSE))-(VLOOKUP($A8,test!$A$3:$I$32,9,FALSE)),0)</f>
        <v>0</v>
      </c>
      <c r="I8">
        <f>IF(AND(SUM(VLOOKUP($A8,test!$A$3:$F$32,2,FALSE),VLOOKUP(I$1,test!$A$3:$F$32,2,FALSE))&lt;=test!$K$16,$A8&lt;&gt;I$1,feasible_mat!I8=1),(VLOOKUP(I$1,test!$A$3:$I$32,8,FALSE))-(VLOOKUP($A8,test!$A$3:$I$32,9,FALSE)),0)</f>
        <v>0</v>
      </c>
      <c r="J8">
        <f>IF(AND(SUM(VLOOKUP($A8,test!$A$3:$F$32,2,FALSE),VLOOKUP(J$1,test!$A$3:$F$32,2,FALSE))&lt;=test!$K$16,$A8&lt;&gt;J$1,feasible_mat!J8=1),(VLOOKUP(J$1,test!$A$3:$I$32,8,FALSE))-(VLOOKUP($A8,test!$A$3:$I$32,9,FALSE)),0)</f>
        <v>15</v>
      </c>
      <c r="K8">
        <f>IF(AND(SUM(VLOOKUP($A8,test!$A$3:$F$32,2,FALSE),VLOOKUP(K$1,test!$A$3:$F$32,2,FALSE))&lt;=test!$K$16,$A8&lt;&gt;K$1,feasible_mat!K8=1),(VLOOKUP(K$1,test!$A$3:$I$32,8,FALSE))-(VLOOKUP($A8,test!$A$3:$I$32,9,FALSE)),0)</f>
        <v>0</v>
      </c>
      <c r="L8">
        <f>IF(AND(SUM(VLOOKUP($A8,test!$A$3:$F$32,2,FALSE),VLOOKUP(L$1,test!$A$3:$F$32,2,FALSE))&lt;=test!$K$16,$A8&lt;&gt;L$1,feasible_mat!L8=1),(VLOOKUP(L$1,test!$A$3:$I$32,8,FALSE))-(VLOOKUP($A8,test!$A$3:$I$32,9,FALSE)),0)</f>
        <v>0</v>
      </c>
      <c r="M8">
        <f>IF(AND(SUM(VLOOKUP($A8,test!$A$3:$F$32,2,FALSE),VLOOKUP(M$1,test!$A$3:$F$32,2,FALSE))&lt;=test!$K$16,$A8&lt;&gt;M$1,feasible_mat!M8=1),(VLOOKUP(M$1,test!$A$3:$I$32,8,FALSE))-(VLOOKUP($A8,test!$A$3:$I$32,9,FALSE)),0)</f>
        <v>0</v>
      </c>
      <c r="N8">
        <f>IF(AND(SUM(VLOOKUP($A8,test!$A$3:$F$32,2,FALSE),VLOOKUP(N$1,test!$A$3:$F$32,2,FALSE))&lt;=test!$K$16,$A8&lt;&gt;N$1,feasible_mat!N8=1),(VLOOKUP(N$1,test!$A$3:$I$32,8,FALSE))-(VLOOKUP($A8,test!$A$3:$I$32,9,FALSE)),0)</f>
        <v>0</v>
      </c>
      <c r="O8">
        <f>IF(AND(SUM(VLOOKUP($A8,test!$A$3:$F$32,2,FALSE),VLOOKUP(O$1,test!$A$3:$F$32,2,FALSE))&lt;=test!$K$16,$A8&lt;&gt;O$1,feasible_mat!O8=1),(VLOOKUP(O$1,test!$A$3:$I$32,8,FALSE))-(VLOOKUP($A8,test!$A$3:$I$32,9,FALSE)),0)</f>
        <v>40</v>
      </c>
      <c r="P8">
        <f>IF(AND(SUM(VLOOKUP($A8,test!$A$3:$F$32,2,FALSE),VLOOKUP(P$1,test!$A$3:$F$32,2,FALSE))&lt;=test!$K$16,$A8&lt;&gt;P$1,feasible_mat!P8=1),(VLOOKUP(P$1,test!$A$3:$I$32,8,FALSE))-(VLOOKUP($A8,test!$A$3:$I$32,9,FALSE)),0)</f>
        <v>0</v>
      </c>
      <c r="Q8">
        <f>IF(AND(SUM(VLOOKUP($A8,test!$A$3:$F$32,2,FALSE),VLOOKUP(Q$1,test!$A$3:$F$32,2,FALSE))&lt;=test!$K$16,$A8&lt;&gt;Q$1,feasible_mat!Q8=1),(VLOOKUP(Q$1,test!$A$3:$I$32,8,FALSE))-(VLOOKUP($A8,test!$A$3:$I$32,9,FALSE)),0)</f>
        <v>0</v>
      </c>
      <c r="R8">
        <f>IF(AND(SUM(VLOOKUP($A8,test!$A$3:$F$32,2,FALSE),VLOOKUP(R$1,test!$A$3:$F$32,2,FALSE))&lt;=test!$K$16,$A8&lt;&gt;R$1,feasible_mat!R8=1),(VLOOKUP(R$1,test!$A$3:$I$32,8,FALSE))-(VLOOKUP($A8,test!$A$3:$I$32,9,FALSE)),0)</f>
        <v>0</v>
      </c>
      <c r="S8">
        <f>IF(AND(SUM(VLOOKUP($A8,test!$A$3:$F$32,2,FALSE),VLOOKUP(S$1,test!$A$3:$F$32,2,FALSE))&lt;=test!$K$16,$A8&lt;&gt;S$1,feasible_mat!S8=1),(VLOOKUP(S$1,test!$A$3:$I$32,8,FALSE))-(VLOOKUP($A8,test!$A$3:$I$32,9,FALSE)),0)</f>
        <v>0</v>
      </c>
      <c r="T8">
        <f>IF(AND(SUM(VLOOKUP($A8,test!$A$3:$F$32,2,FALSE),VLOOKUP(T$1,test!$A$3:$F$32,2,FALSE))&lt;=test!$K$16,$A8&lt;&gt;T$1,feasible_mat!T8=1),(VLOOKUP(T$1,test!$A$3:$I$32,8,FALSE))-(VLOOKUP($A8,test!$A$3:$I$32,9,FALSE)),0)</f>
        <v>0</v>
      </c>
      <c r="U8">
        <f>IF(AND(SUM(VLOOKUP($A8,test!$A$3:$F$32,2,FALSE),VLOOKUP(U$1,test!$A$3:$F$32,2,FALSE))&lt;=test!$K$16,$A8&lt;&gt;U$1,feasible_mat!U8=1),(VLOOKUP(U$1,test!$A$3:$I$32,8,FALSE))-(VLOOKUP($A8,test!$A$3:$I$32,9,FALSE)),0)</f>
        <v>0</v>
      </c>
      <c r="V8">
        <f>IF(AND(SUM(VLOOKUP($A8,test!$A$3:$F$32,2,FALSE),VLOOKUP(V$1,test!$A$3:$F$32,2,FALSE))&lt;=test!$K$16,$A8&lt;&gt;V$1,feasible_mat!V8=1),(VLOOKUP(V$1,test!$A$3:$I$32,8,FALSE))-(VLOOKUP($A8,test!$A$3:$I$32,9,FALSE)),0)</f>
        <v>0</v>
      </c>
      <c r="W8">
        <f>IF(AND(SUM(VLOOKUP($A8,test!$A$3:$F$32,2,FALSE),VLOOKUP(W$1,test!$A$3:$F$32,2,FALSE))&lt;=test!$K$16,$A8&lt;&gt;W$1,feasible_mat!W8=1),(VLOOKUP(W$1,test!$A$3:$I$32,8,FALSE))-(VLOOKUP($A8,test!$A$3:$I$32,9,FALSE)),0)</f>
        <v>0</v>
      </c>
      <c r="X8">
        <f>IF(AND(SUM(VLOOKUP($A8,test!$A$3:$F$32,2,FALSE),VLOOKUP(X$1,test!$A$3:$F$32,2,FALSE))&lt;=test!$K$16,$A8&lt;&gt;X$1,feasible_mat!X8=1),(VLOOKUP(X$1,test!$A$3:$I$32,8,FALSE))-(VLOOKUP($A8,test!$A$3:$I$32,9,FALSE)),0)</f>
        <v>0</v>
      </c>
      <c r="Y8">
        <f>IF(AND(SUM(VLOOKUP($A8,test!$A$3:$F$32,2,FALSE),VLOOKUP(Y$1,test!$A$3:$F$32,2,FALSE))&lt;=test!$K$16,$A8&lt;&gt;Y$1,feasible_mat!Y8=1),(VLOOKUP(Y$1,test!$A$3:$I$32,8,FALSE))-(VLOOKUP($A8,test!$A$3:$I$32,9,FALSE)),0)</f>
        <v>0</v>
      </c>
      <c r="Z8">
        <f>IF(AND(SUM(VLOOKUP($A8,test!$A$3:$F$32,2,FALSE),VLOOKUP(Z$1,test!$A$3:$F$32,2,FALSE))&lt;=test!$K$16,$A8&lt;&gt;Z$1,feasible_mat!Z8=1),(VLOOKUP(Z$1,test!$A$3:$I$32,8,FALSE))-(VLOOKUP($A8,test!$A$3:$I$32,9,FALSE)),0)</f>
        <v>0</v>
      </c>
      <c r="AA8">
        <f>IF(AND(SUM(VLOOKUP($A8,test!$A$3:$F$32,2,FALSE),VLOOKUP(AA$1,test!$A$3:$F$32,2,FALSE))&lt;=test!$K$16,$A8&lt;&gt;AA$1,feasible_mat!AA8=1),(VLOOKUP(AA$1,test!$A$3:$I$32,8,FALSE))-(VLOOKUP($A8,test!$A$3:$I$32,9,FALSE)),0)</f>
        <v>0</v>
      </c>
      <c r="AB8">
        <f>IF(AND(SUM(VLOOKUP($A8,test!$A$3:$F$32,2,FALSE),VLOOKUP(AB$1,test!$A$3:$F$32,2,FALSE))&lt;=test!$K$16,$A8&lt;&gt;AB$1,feasible_mat!AB8=1),(VLOOKUP(AB$1,test!$A$3:$I$32,8,FALSE))-(VLOOKUP($A8,test!$A$3:$I$32,9,FALSE)),0)</f>
        <v>0</v>
      </c>
      <c r="AC8">
        <f>IF(AND(SUM(VLOOKUP($A8,test!$A$3:$F$32,2,FALSE),VLOOKUP(AC$1,test!$A$3:$F$32,2,FALSE))&lt;=test!$K$16,$A8&lt;&gt;AC$1,feasible_mat!AC8=1),(VLOOKUP(AC$1,test!$A$3:$I$32,8,FALSE))-(VLOOKUP($A8,test!$A$3:$I$32,9,FALSE)),0)</f>
        <v>0</v>
      </c>
      <c r="AD8">
        <f>IF(AND(SUM(VLOOKUP($A8,test!$A$3:$F$32,2,FALSE),VLOOKUP(AD$1,test!$A$3:$F$32,2,FALSE))&lt;=test!$K$16,$A8&lt;&gt;AD$1,feasible_mat!AD8=1),(VLOOKUP(AD$1,test!$A$3:$I$32,8,FALSE))-(VLOOKUP($A8,test!$A$3:$I$32,9,FALSE)),0)</f>
        <v>0</v>
      </c>
      <c r="AE8">
        <f>IF(AND(SUM(VLOOKUP($A8,test!$A$3:$F$32,2,FALSE),VLOOKUP(AE$1,test!$A$3:$F$32,2,FALSE))&lt;=test!$K$16,$A8&lt;&gt;AE$1,feasible_mat!AE8=1),(VLOOKUP(AE$1,test!$A$3:$I$32,8,FALSE))-(VLOOKUP($A8,test!$A$3:$I$32,9,FALSE)),0)</f>
        <v>0</v>
      </c>
      <c r="AF8">
        <f>IF(AND(SUM(VLOOKUP($A8,test!$A$3:$F$32,2,FALSE),VLOOKUP(AF$1,test!$A$3:$F$32,2,FALSE))&lt;=test!$K$16,$A8&lt;&gt;AF$1,feasible_mat!AF8=1),(VLOOKUP(AF$1,test!$A$3:$I$32,8,FALSE))-(VLOOKUP($A8,test!$A$3:$I$32,9,FALSE)),0)</f>
        <v>0</v>
      </c>
      <c r="AJ8" s="16">
        <f>SUM(VLOOKUP($A11,test!$A$3:$F$32,2,FALSE),VLOOKUP(AE$1,test!$A$3:$F$32,2,FALSE))</f>
        <v>350</v>
      </c>
    </row>
    <row r="9" spans="1:36" x14ac:dyDescent="0.25">
      <c r="A9" t="s">
        <v>14</v>
      </c>
      <c r="B9">
        <v>0</v>
      </c>
      <c r="C9">
        <f>IF(AND(SUM(VLOOKUP($A9,test!$A$3:$F$32,2,FALSE),VLOOKUP(C$1,test!$A$3:$F$32,2,FALSE))&lt;=test!$K$16,$A9&lt;&gt;C$1,feasible_mat!C9=1),(VLOOKUP(C$1,test!$A$3:$I$32,8,FALSE))-(VLOOKUP($A9,test!$A$3:$I$32,9,FALSE)),0)</f>
        <v>0</v>
      </c>
      <c r="D9">
        <f>IF(AND(SUM(VLOOKUP($A9,test!$A$3:$F$32,2,FALSE),VLOOKUP(D$1,test!$A$3:$F$32,2,FALSE))&lt;=test!$K$16,$A9&lt;&gt;D$1,feasible_mat!D9=1),(VLOOKUP(D$1,test!$A$3:$I$32,8,FALSE))-(VLOOKUP($A9,test!$A$3:$I$32,9,FALSE)),0)</f>
        <v>0</v>
      </c>
      <c r="E9">
        <f>IF(AND(SUM(VLOOKUP($A9,test!$A$3:$F$32,2,FALSE),VLOOKUP(E$1,test!$A$3:$F$32,2,FALSE))&lt;=test!$K$16,$A9&lt;&gt;E$1,feasible_mat!E9=1),(VLOOKUP(E$1,test!$A$3:$I$32,8,FALSE))-(VLOOKUP($A9,test!$A$3:$I$32,9,FALSE)),0)</f>
        <v>0</v>
      </c>
      <c r="F9">
        <f>IF(AND(SUM(VLOOKUP($A9,test!$A$3:$F$32,2,FALSE),VLOOKUP(F$1,test!$A$3:$F$32,2,FALSE))&lt;=test!$K$16,$A9&lt;&gt;F$1,feasible_mat!F9=1),(VLOOKUP(F$1,test!$A$3:$I$32,8,FALSE))-(VLOOKUP($A9,test!$A$3:$I$32,9,FALSE)),0)</f>
        <v>0</v>
      </c>
      <c r="G9">
        <f>IF(AND(SUM(VLOOKUP($A9,test!$A$3:$F$32,2,FALSE),VLOOKUP(G$1,test!$A$3:$F$32,2,FALSE))&lt;=test!$K$16,$A9&lt;&gt;G$1,feasible_mat!G9=1),(VLOOKUP(G$1,test!$A$3:$I$32,8,FALSE))-(VLOOKUP($A9,test!$A$3:$I$32,9,FALSE)),0)</f>
        <v>0</v>
      </c>
      <c r="H9">
        <f>IF(AND(SUM(VLOOKUP($A9,test!$A$3:$F$32,2,FALSE),VLOOKUP(H$1,test!$A$3:$F$32,2,FALSE))&lt;=test!$K$16,$A9&lt;&gt;H$1,feasible_mat!H9=1),(VLOOKUP(H$1,test!$A$3:$I$32,8,FALSE))-(VLOOKUP($A9,test!$A$3:$I$32,9,FALSE)),0)</f>
        <v>0</v>
      </c>
      <c r="I9">
        <f>IF(AND(SUM(VLOOKUP($A9,test!$A$3:$F$32,2,FALSE),VLOOKUP(I$1,test!$A$3:$F$32,2,FALSE))&lt;=test!$K$16,$A9&lt;&gt;I$1,feasible_mat!I9=1),(VLOOKUP(I$1,test!$A$3:$I$32,8,FALSE))-(VLOOKUP($A9,test!$A$3:$I$32,9,FALSE)),0)</f>
        <v>0</v>
      </c>
      <c r="J9">
        <f>IF(AND(SUM(VLOOKUP($A9,test!$A$3:$F$32,2,FALSE),VLOOKUP(J$1,test!$A$3:$F$32,2,FALSE))&lt;=test!$K$16,$A9&lt;&gt;J$1,feasible_mat!J9=1),(VLOOKUP(J$1,test!$A$3:$I$32,8,FALSE))-(VLOOKUP($A9,test!$A$3:$I$32,9,FALSE)),0)</f>
        <v>0</v>
      </c>
      <c r="K9">
        <f>IF(AND(SUM(VLOOKUP($A9,test!$A$3:$F$32,2,FALSE),VLOOKUP(K$1,test!$A$3:$F$32,2,FALSE))&lt;=test!$K$16,$A9&lt;&gt;K$1,feasible_mat!K9=1),(VLOOKUP(K$1,test!$A$3:$I$32,8,FALSE))-(VLOOKUP($A9,test!$A$3:$I$32,9,FALSE)),0)</f>
        <v>0</v>
      </c>
      <c r="L9">
        <f>IF(AND(SUM(VLOOKUP($A9,test!$A$3:$F$32,2,FALSE),VLOOKUP(L$1,test!$A$3:$F$32,2,FALSE))&lt;=test!$K$16,$A9&lt;&gt;L$1,feasible_mat!L9=1),(VLOOKUP(L$1,test!$A$3:$I$32,8,FALSE))-(VLOOKUP($A9,test!$A$3:$I$32,9,FALSE)),0)</f>
        <v>0</v>
      </c>
      <c r="M9">
        <f>IF(AND(SUM(VLOOKUP($A9,test!$A$3:$F$32,2,FALSE),VLOOKUP(M$1,test!$A$3:$F$32,2,FALSE))&lt;=test!$K$16,$A9&lt;&gt;M$1,feasible_mat!M9=1),(VLOOKUP(M$1,test!$A$3:$I$32,8,FALSE))-(VLOOKUP($A9,test!$A$3:$I$32,9,FALSE)),0)</f>
        <v>0</v>
      </c>
      <c r="N9">
        <f>IF(AND(SUM(VLOOKUP($A9,test!$A$3:$F$32,2,FALSE),VLOOKUP(N$1,test!$A$3:$F$32,2,FALSE))&lt;=test!$K$16,$A9&lt;&gt;N$1,feasible_mat!N9=1),(VLOOKUP(N$1,test!$A$3:$I$32,8,FALSE))-(VLOOKUP($A9,test!$A$3:$I$32,9,FALSE)),0)</f>
        <v>0</v>
      </c>
      <c r="O9">
        <f>IF(AND(SUM(VLOOKUP($A9,test!$A$3:$F$32,2,FALSE),VLOOKUP(O$1,test!$A$3:$F$32,2,FALSE))&lt;=test!$K$16,$A9&lt;&gt;O$1,feasible_mat!O9=1),(VLOOKUP(O$1,test!$A$3:$I$32,8,FALSE))-(VLOOKUP($A9,test!$A$3:$I$32,9,FALSE)),0)</f>
        <v>0</v>
      </c>
      <c r="P9">
        <f>IF(AND(SUM(VLOOKUP($A9,test!$A$3:$F$32,2,FALSE),VLOOKUP(P$1,test!$A$3:$F$32,2,FALSE))&lt;=test!$K$16,$A9&lt;&gt;P$1,feasible_mat!P9=1),(VLOOKUP(P$1,test!$A$3:$I$32,8,FALSE))-(VLOOKUP($A9,test!$A$3:$I$32,9,FALSE)),0)</f>
        <v>0</v>
      </c>
      <c r="Q9">
        <f>IF(AND(SUM(VLOOKUP($A9,test!$A$3:$F$32,2,FALSE),VLOOKUP(Q$1,test!$A$3:$F$32,2,FALSE))&lt;=test!$K$16,$A9&lt;&gt;Q$1,feasible_mat!Q9=1),(VLOOKUP(Q$1,test!$A$3:$I$32,8,FALSE))-(VLOOKUP($A9,test!$A$3:$I$32,9,FALSE)),0)</f>
        <v>0</v>
      </c>
      <c r="R9">
        <f>IF(AND(SUM(VLOOKUP($A9,test!$A$3:$F$32,2,FALSE),VLOOKUP(R$1,test!$A$3:$F$32,2,FALSE))&lt;=test!$K$16,$A9&lt;&gt;R$1,feasible_mat!R9=1),(VLOOKUP(R$1,test!$A$3:$I$32,8,FALSE))-(VLOOKUP($A9,test!$A$3:$I$32,9,FALSE)),0)</f>
        <v>0</v>
      </c>
      <c r="S9">
        <f>IF(AND(SUM(VLOOKUP($A9,test!$A$3:$F$32,2,FALSE),VLOOKUP(S$1,test!$A$3:$F$32,2,FALSE))&lt;=test!$K$16,$A9&lt;&gt;S$1,feasible_mat!S9=1),(VLOOKUP(S$1,test!$A$3:$I$32,8,FALSE))-(VLOOKUP($A9,test!$A$3:$I$32,9,FALSE)),0)</f>
        <v>0</v>
      </c>
      <c r="T9">
        <f>IF(AND(SUM(VLOOKUP($A9,test!$A$3:$F$32,2,FALSE),VLOOKUP(T$1,test!$A$3:$F$32,2,FALSE))&lt;=test!$K$16,$A9&lt;&gt;T$1,feasible_mat!T9=1),(VLOOKUP(T$1,test!$A$3:$I$32,8,FALSE))-(VLOOKUP($A9,test!$A$3:$I$32,9,FALSE)),0)</f>
        <v>0</v>
      </c>
      <c r="U9">
        <f>IF(AND(SUM(VLOOKUP($A9,test!$A$3:$F$32,2,FALSE),VLOOKUP(U$1,test!$A$3:$F$32,2,FALSE))&lt;=test!$K$16,$A9&lt;&gt;U$1,feasible_mat!U9=1),(VLOOKUP(U$1,test!$A$3:$I$32,8,FALSE))-(VLOOKUP($A9,test!$A$3:$I$32,9,FALSE)),0)</f>
        <v>0</v>
      </c>
      <c r="V9">
        <f>IF(AND(SUM(VLOOKUP($A9,test!$A$3:$F$32,2,FALSE),VLOOKUP(V$1,test!$A$3:$F$32,2,FALSE))&lt;=test!$K$16,$A9&lt;&gt;V$1,feasible_mat!V9=1),(VLOOKUP(V$1,test!$A$3:$I$32,8,FALSE))-(VLOOKUP($A9,test!$A$3:$I$32,9,FALSE)),0)</f>
        <v>0</v>
      </c>
      <c r="W9">
        <f>IF(AND(SUM(VLOOKUP($A9,test!$A$3:$F$32,2,FALSE),VLOOKUP(W$1,test!$A$3:$F$32,2,FALSE))&lt;=test!$K$16,$A9&lt;&gt;W$1,feasible_mat!W9=1),(VLOOKUP(W$1,test!$A$3:$I$32,8,FALSE))-(VLOOKUP($A9,test!$A$3:$I$32,9,FALSE)),0)</f>
        <v>0</v>
      </c>
      <c r="X9">
        <f>IF(AND(SUM(VLOOKUP($A9,test!$A$3:$F$32,2,FALSE),VLOOKUP(X$1,test!$A$3:$F$32,2,FALSE))&lt;=test!$K$16,$A9&lt;&gt;X$1,feasible_mat!X9=1),(VLOOKUP(X$1,test!$A$3:$I$32,8,FALSE))-(VLOOKUP($A9,test!$A$3:$I$32,9,FALSE)),0)</f>
        <v>0</v>
      </c>
      <c r="Y9">
        <f>IF(AND(SUM(VLOOKUP($A9,test!$A$3:$F$32,2,FALSE),VLOOKUP(Y$1,test!$A$3:$F$32,2,FALSE))&lt;=test!$K$16,$A9&lt;&gt;Y$1,feasible_mat!Y9=1),(VLOOKUP(Y$1,test!$A$3:$I$32,8,FALSE))-(VLOOKUP($A9,test!$A$3:$I$32,9,FALSE)),0)</f>
        <v>0</v>
      </c>
      <c r="Z9">
        <f>IF(AND(SUM(VLOOKUP($A9,test!$A$3:$F$32,2,FALSE),VLOOKUP(Z$1,test!$A$3:$F$32,2,FALSE))&lt;=test!$K$16,$A9&lt;&gt;Z$1,feasible_mat!Z9=1),(VLOOKUP(Z$1,test!$A$3:$I$32,8,FALSE))-(VLOOKUP($A9,test!$A$3:$I$32,9,FALSE)),0)</f>
        <v>0</v>
      </c>
      <c r="AA9">
        <f>IF(AND(SUM(VLOOKUP($A9,test!$A$3:$F$32,2,FALSE),VLOOKUP(AA$1,test!$A$3:$F$32,2,FALSE))&lt;=test!$K$16,$A9&lt;&gt;AA$1,feasible_mat!AA9=1),(VLOOKUP(AA$1,test!$A$3:$I$32,8,FALSE))-(VLOOKUP($A9,test!$A$3:$I$32,9,FALSE)),0)</f>
        <v>0</v>
      </c>
      <c r="AB9">
        <f>IF(AND(SUM(VLOOKUP($A9,test!$A$3:$F$32,2,FALSE),VLOOKUP(AB$1,test!$A$3:$F$32,2,FALSE))&lt;=test!$K$16,$A9&lt;&gt;AB$1,feasible_mat!AB9=1),(VLOOKUP(AB$1,test!$A$3:$I$32,8,FALSE))-(VLOOKUP($A9,test!$A$3:$I$32,9,FALSE)),0)</f>
        <v>0</v>
      </c>
      <c r="AC9">
        <f>IF(AND(SUM(VLOOKUP($A9,test!$A$3:$F$32,2,FALSE),VLOOKUP(AC$1,test!$A$3:$F$32,2,FALSE))&lt;=test!$K$16,$A9&lt;&gt;AC$1,feasible_mat!AC9=1),(VLOOKUP(AC$1,test!$A$3:$I$32,8,FALSE))-(VLOOKUP($A9,test!$A$3:$I$32,9,FALSE)),0)</f>
        <v>0</v>
      </c>
      <c r="AD9">
        <f>IF(AND(SUM(VLOOKUP($A9,test!$A$3:$F$32,2,FALSE),VLOOKUP(AD$1,test!$A$3:$F$32,2,FALSE))&lt;=test!$K$16,$A9&lt;&gt;AD$1,feasible_mat!AD9=1),(VLOOKUP(AD$1,test!$A$3:$I$32,8,FALSE))-(VLOOKUP($A9,test!$A$3:$I$32,9,FALSE)),0)</f>
        <v>0</v>
      </c>
      <c r="AE9">
        <f>IF(AND(SUM(VLOOKUP($A9,test!$A$3:$F$32,2,FALSE),VLOOKUP(AE$1,test!$A$3:$F$32,2,FALSE))&lt;=test!$K$16,$A9&lt;&gt;AE$1,feasible_mat!AE9=1),(VLOOKUP(AE$1,test!$A$3:$I$32,8,FALSE))-(VLOOKUP($A9,test!$A$3:$I$32,9,FALSE)),0)</f>
        <v>0</v>
      </c>
      <c r="AF9">
        <f>IF(AND(SUM(VLOOKUP($A9,test!$A$3:$F$32,2,FALSE),VLOOKUP(AF$1,test!$A$3:$F$32,2,FALSE))&lt;=test!$K$16,$A9&lt;&gt;AF$1,feasible_mat!AF9=1),(VLOOKUP(AF$1,test!$A$3:$I$32,8,FALSE))-(VLOOKUP($A9,test!$A$3:$I$32,9,FALSE)),0)</f>
        <v>0</v>
      </c>
      <c r="AJ9" s="16">
        <f>test!$K$16</f>
        <v>350</v>
      </c>
    </row>
    <row r="10" spans="1:36" x14ac:dyDescent="0.25">
      <c r="A10" t="s">
        <v>15</v>
      </c>
      <c r="B10">
        <v>0</v>
      </c>
      <c r="C10">
        <f>IF(AND(SUM(VLOOKUP($A10,test!$A$3:$F$32,2,FALSE),VLOOKUP(C$1,test!$A$3:$F$32,2,FALSE))&lt;=test!$K$16,$A10&lt;&gt;C$1,feasible_mat!C10=1),(VLOOKUP(C$1,test!$A$3:$I$32,8,FALSE))-(VLOOKUP($A10,test!$A$3:$I$32,9,FALSE)),0)</f>
        <v>0</v>
      </c>
      <c r="D10">
        <f>IF(AND(SUM(VLOOKUP($A10,test!$A$3:$F$32,2,FALSE),VLOOKUP(D$1,test!$A$3:$F$32,2,FALSE))&lt;=test!$K$16,$A10&lt;&gt;D$1,feasible_mat!D10=1),(VLOOKUP(D$1,test!$A$3:$I$32,8,FALSE))-(VLOOKUP($A10,test!$A$3:$I$32,9,FALSE)),0)</f>
        <v>0</v>
      </c>
      <c r="E10">
        <f>IF(AND(SUM(VLOOKUP($A10,test!$A$3:$F$32,2,FALSE),VLOOKUP(E$1,test!$A$3:$F$32,2,FALSE))&lt;=test!$K$16,$A10&lt;&gt;E$1,feasible_mat!E10=1),(VLOOKUP(E$1,test!$A$3:$I$32,8,FALSE))-(VLOOKUP($A10,test!$A$3:$I$32,9,FALSE)),0)</f>
        <v>0</v>
      </c>
      <c r="F10">
        <f>IF(AND(SUM(VLOOKUP($A10,test!$A$3:$F$32,2,FALSE),VLOOKUP(F$1,test!$A$3:$F$32,2,FALSE))&lt;=test!$K$16,$A10&lt;&gt;F$1,feasible_mat!F10=1),(VLOOKUP(F$1,test!$A$3:$I$32,8,FALSE))-(VLOOKUP($A10,test!$A$3:$I$32,9,FALSE)),0)</f>
        <v>0</v>
      </c>
      <c r="G10">
        <f>IF(AND(SUM(VLOOKUP($A10,test!$A$3:$F$32,2,FALSE),VLOOKUP(G$1,test!$A$3:$F$32,2,FALSE))&lt;=test!$K$16,$A10&lt;&gt;G$1,feasible_mat!G10=1),(VLOOKUP(G$1,test!$A$3:$I$32,8,FALSE))-(VLOOKUP($A10,test!$A$3:$I$32,9,FALSE)),0)</f>
        <v>0</v>
      </c>
      <c r="H10">
        <f>IF(AND(SUM(VLOOKUP($A10,test!$A$3:$F$32,2,FALSE),VLOOKUP(H$1,test!$A$3:$F$32,2,FALSE))&lt;=test!$K$16,$A10&lt;&gt;H$1,feasible_mat!H10=1),(VLOOKUP(H$1,test!$A$3:$I$32,8,FALSE))-(VLOOKUP($A10,test!$A$3:$I$32,9,FALSE)),0)</f>
        <v>0</v>
      </c>
      <c r="I10">
        <f>IF(AND(SUM(VLOOKUP($A10,test!$A$3:$F$32,2,FALSE),VLOOKUP(I$1,test!$A$3:$F$32,2,FALSE))&lt;=test!$K$16,$A10&lt;&gt;I$1,feasible_mat!I10=1),(VLOOKUP(I$1,test!$A$3:$I$32,8,FALSE))-(VLOOKUP($A10,test!$A$3:$I$32,9,FALSE)),0)</f>
        <v>0</v>
      </c>
      <c r="J10">
        <f>IF(AND(SUM(VLOOKUP($A10,test!$A$3:$F$32,2,FALSE),VLOOKUP(J$1,test!$A$3:$F$32,2,FALSE))&lt;=test!$K$16,$A10&lt;&gt;J$1,feasible_mat!J10=1),(VLOOKUP(J$1,test!$A$3:$I$32,8,FALSE))-(VLOOKUP($A10,test!$A$3:$I$32,9,FALSE)),0)</f>
        <v>0</v>
      </c>
      <c r="K10">
        <f>IF(AND(SUM(VLOOKUP($A10,test!$A$3:$F$32,2,FALSE),VLOOKUP(K$1,test!$A$3:$F$32,2,FALSE))&lt;=test!$K$16,$A10&lt;&gt;K$1,feasible_mat!K10=1),(VLOOKUP(K$1,test!$A$3:$I$32,8,FALSE))-(VLOOKUP($A10,test!$A$3:$I$32,9,FALSE)),0)</f>
        <v>0</v>
      </c>
      <c r="L10">
        <f>IF(AND(SUM(VLOOKUP($A10,test!$A$3:$F$32,2,FALSE),VLOOKUP(L$1,test!$A$3:$F$32,2,FALSE))&lt;=test!$K$16,$A10&lt;&gt;L$1,feasible_mat!L10=1),(VLOOKUP(L$1,test!$A$3:$I$32,8,FALSE))-(VLOOKUP($A10,test!$A$3:$I$32,9,FALSE)),0)</f>
        <v>0</v>
      </c>
      <c r="M10">
        <f>IF(AND(SUM(VLOOKUP($A10,test!$A$3:$F$32,2,FALSE),VLOOKUP(M$1,test!$A$3:$F$32,2,FALSE))&lt;=test!$K$16,$A10&lt;&gt;M$1,feasible_mat!M10=1),(VLOOKUP(M$1,test!$A$3:$I$32,8,FALSE))-(VLOOKUP($A10,test!$A$3:$I$32,9,FALSE)),0)</f>
        <v>0</v>
      </c>
      <c r="N10">
        <f>IF(AND(SUM(VLOOKUP($A10,test!$A$3:$F$32,2,FALSE),VLOOKUP(N$1,test!$A$3:$F$32,2,FALSE))&lt;=test!$K$16,$A10&lt;&gt;N$1,feasible_mat!N10=1),(VLOOKUP(N$1,test!$A$3:$I$32,8,FALSE))-(VLOOKUP($A10,test!$A$3:$I$32,9,FALSE)),0)</f>
        <v>0</v>
      </c>
      <c r="O10">
        <f>IF(AND(SUM(VLOOKUP($A10,test!$A$3:$F$32,2,FALSE),VLOOKUP(O$1,test!$A$3:$F$32,2,FALSE))&lt;=test!$K$16,$A10&lt;&gt;O$1,feasible_mat!O10=1),(VLOOKUP(O$1,test!$A$3:$I$32,8,FALSE))-(VLOOKUP($A10,test!$A$3:$I$32,9,FALSE)),0)</f>
        <v>0</v>
      </c>
      <c r="P10">
        <f>IF(AND(SUM(VLOOKUP($A10,test!$A$3:$F$32,2,FALSE),VLOOKUP(P$1,test!$A$3:$F$32,2,FALSE))&lt;=test!$K$16,$A10&lt;&gt;P$1,feasible_mat!P10=1),(VLOOKUP(P$1,test!$A$3:$I$32,8,FALSE))-(VLOOKUP($A10,test!$A$3:$I$32,9,FALSE)),0)</f>
        <v>0</v>
      </c>
      <c r="Q10">
        <f>IF(AND(SUM(VLOOKUP($A10,test!$A$3:$F$32,2,FALSE),VLOOKUP(Q$1,test!$A$3:$F$32,2,FALSE))&lt;=test!$K$16,$A10&lt;&gt;Q$1,feasible_mat!Q10=1),(VLOOKUP(Q$1,test!$A$3:$I$32,8,FALSE))-(VLOOKUP($A10,test!$A$3:$I$32,9,FALSE)),0)</f>
        <v>0</v>
      </c>
      <c r="R10">
        <f>IF(AND(SUM(VLOOKUP($A10,test!$A$3:$F$32,2,FALSE),VLOOKUP(R$1,test!$A$3:$F$32,2,FALSE))&lt;=test!$K$16,$A10&lt;&gt;R$1,feasible_mat!R10=1),(VLOOKUP(R$1,test!$A$3:$I$32,8,FALSE))-(VLOOKUP($A10,test!$A$3:$I$32,9,FALSE)),0)</f>
        <v>0</v>
      </c>
      <c r="S10">
        <f>IF(AND(SUM(VLOOKUP($A10,test!$A$3:$F$32,2,FALSE),VLOOKUP(S$1,test!$A$3:$F$32,2,FALSE))&lt;=test!$K$16,$A10&lt;&gt;S$1,feasible_mat!S10=1),(VLOOKUP(S$1,test!$A$3:$I$32,8,FALSE))-(VLOOKUP($A10,test!$A$3:$I$32,9,FALSE)),0)</f>
        <v>0</v>
      </c>
      <c r="T10">
        <f>IF(AND(SUM(VLOOKUP($A10,test!$A$3:$F$32,2,FALSE),VLOOKUP(T$1,test!$A$3:$F$32,2,FALSE))&lt;=test!$K$16,$A10&lt;&gt;T$1,feasible_mat!T10=1),(VLOOKUP(T$1,test!$A$3:$I$32,8,FALSE))-(VLOOKUP($A10,test!$A$3:$I$32,9,FALSE)),0)</f>
        <v>0</v>
      </c>
      <c r="U10">
        <f>IF(AND(SUM(VLOOKUP($A10,test!$A$3:$F$32,2,FALSE),VLOOKUP(U$1,test!$A$3:$F$32,2,FALSE))&lt;=test!$K$16,$A10&lt;&gt;U$1,feasible_mat!U10=1),(VLOOKUP(U$1,test!$A$3:$I$32,8,FALSE))-(VLOOKUP($A10,test!$A$3:$I$32,9,FALSE)),0)</f>
        <v>0</v>
      </c>
      <c r="V10">
        <f>IF(AND(SUM(VLOOKUP($A10,test!$A$3:$F$32,2,FALSE),VLOOKUP(V$1,test!$A$3:$F$32,2,FALSE))&lt;=test!$K$16,$A10&lt;&gt;V$1,feasible_mat!V10=1),(VLOOKUP(V$1,test!$A$3:$I$32,8,FALSE))-(VLOOKUP($A10,test!$A$3:$I$32,9,FALSE)),0)</f>
        <v>0</v>
      </c>
      <c r="W10">
        <f>IF(AND(SUM(VLOOKUP($A10,test!$A$3:$F$32,2,FALSE),VLOOKUP(W$1,test!$A$3:$F$32,2,FALSE))&lt;=test!$K$16,$A10&lt;&gt;W$1,feasible_mat!W10=1),(VLOOKUP(W$1,test!$A$3:$I$32,8,FALSE))-(VLOOKUP($A10,test!$A$3:$I$32,9,FALSE)),0)</f>
        <v>0</v>
      </c>
      <c r="X10">
        <f>IF(AND(SUM(VLOOKUP($A10,test!$A$3:$F$32,2,FALSE),VLOOKUP(X$1,test!$A$3:$F$32,2,FALSE))&lt;=test!$K$16,$A10&lt;&gt;X$1,feasible_mat!X10=1),(VLOOKUP(X$1,test!$A$3:$I$32,8,FALSE))-(VLOOKUP($A10,test!$A$3:$I$32,9,FALSE)),0)</f>
        <v>0</v>
      </c>
      <c r="Y10">
        <f>IF(AND(SUM(VLOOKUP($A10,test!$A$3:$F$32,2,FALSE),VLOOKUP(Y$1,test!$A$3:$F$32,2,FALSE))&lt;=test!$K$16,$A10&lt;&gt;Y$1,feasible_mat!Y10=1),(VLOOKUP(Y$1,test!$A$3:$I$32,8,FALSE))-(VLOOKUP($A10,test!$A$3:$I$32,9,FALSE)),0)</f>
        <v>0</v>
      </c>
      <c r="Z10">
        <f>IF(AND(SUM(VLOOKUP($A10,test!$A$3:$F$32,2,FALSE),VLOOKUP(Z$1,test!$A$3:$F$32,2,FALSE))&lt;=test!$K$16,$A10&lt;&gt;Z$1,feasible_mat!Z10=1),(VLOOKUP(Z$1,test!$A$3:$I$32,8,FALSE))-(VLOOKUP($A10,test!$A$3:$I$32,9,FALSE)),0)</f>
        <v>0</v>
      </c>
      <c r="AA10">
        <f>IF(AND(SUM(VLOOKUP($A10,test!$A$3:$F$32,2,FALSE),VLOOKUP(AA$1,test!$A$3:$F$32,2,FALSE))&lt;=test!$K$16,$A10&lt;&gt;AA$1,feasible_mat!AA10=1),(VLOOKUP(AA$1,test!$A$3:$I$32,8,FALSE))-(VLOOKUP($A10,test!$A$3:$I$32,9,FALSE)),0)</f>
        <v>0</v>
      </c>
      <c r="AB10">
        <f>IF(AND(SUM(VLOOKUP($A10,test!$A$3:$F$32,2,FALSE),VLOOKUP(AB$1,test!$A$3:$F$32,2,FALSE))&lt;=test!$K$16,$A10&lt;&gt;AB$1,feasible_mat!AB10=1),(VLOOKUP(AB$1,test!$A$3:$I$32,8,FALSE))-(VLOOKUP($A10,test!$A$3:$I$32,9,FALSE)),0)</f>
        <v>0</v>
      </c>
      <c r="AC10">
        <f>IF(AND(SUM(VLOOKUP($A10,test!$A$3:$F$32,2,FALSE),VLOOKUP(AC$1,test!$A$3:$F$32,2,FALSE))&lt;=test!$K$16,$A10&lt;&gt;AC$1,feasible_mat!AC10=1),(VLOOKUP(AC$1,test!$A$3:$I$32,8,FALSE))-(VLOOKUP($A10,test!$A$3:$I$32,9,FALSE)),0)</f>
        <v>0</v>
      </c>
      <c r="AD10">
        <f>IF(AND(SUM(VLOOKUP($A10,test!$A$3:$F$32,2,FALSE),VLOOKUP(AD$1,test!$A$3:$F$32,2,FALSE))&lt;=test!$K$16,$A10&lt;&gt;AD$1,feasible_mat!AD10=1),(VLOOKUP(AD$1,test!$A$3:$I$32,8,FALSE))-(VLOOKUP($A10,test!$A$3:$I$32,9,FALSE)),0)</f>
        <v>0</v>
      </c>
      <c r="AE10">
        <f>IF(AND(SUM(VLOOKUP($A10,test!$A$3:$F$32,2,FALSE),VLOOKUP(AE$1,test!$A$3:$F$32,2,FALSE))&lt;=test!$K$16,$A10&lt;&gt;AE$1,feasible_mat!AE10=1),(VLOOKUP(AE$1,test!$A$3:$I$32,8,FALSE))-(VLOOKUP($A10,test!$A$3:$I$32,9,FALSE)),0)</f>
        <v>0</v>
      </c>
      <c r="AF10">
        <f>IF(AND(SUM(VLOOKUP($A10,test!$A$3:$F$32,2,FALSE),VLOOKUP(AF$1,test!$A$3:$F$32,2,FALSE))&lt;=test!$K$16,$A10&lt;&gt;AF$1,feasible_mat!AF10=1),(VLOOKUP(AF$1,test!$A$3:$I$32,8,FALSE))-(VLOOKUP($A10,test!$A$3:$I$32,9,FALSE)),0)</f>
        <v>0</v>
      </c>
      <c r="AJ10" s="16" t="b">
        <f>$A11&lt;&gt;AE$1</f>
        <v>1</v>
      </c>
    </row>
    <row r="11" spans="1:36" x14ac:dyDescent="0.25">
      <c r="A11" t="s">
        <v>18</v>
      </c>
      <c r="B11">
        <v>0</v>
      </c>
      <c r="C11">
        <f>IF(AND(SUM(VLOOKUP($A11,test!$A$3:$F$32,2,FALSE),VLOOKUP(C$1,test!$A$3:$F$32,2,FALSE))&lt;=test!$K$16,$A11&lt;&gt;C$1,feasible_mat!C11=1),(VLOOKUP(C$1,test!$A$3:$I$32,8,FALSE))-(VLOOKUP($A11,test!$A$3:$I$32,9,FALSE)),0)</f>
        <v>0</v>
      </c>
      <c r="D11">
        <f>IF(AND(SUM(VLOOKUP($A11,test!$A$3:$F$32,2,FALSE),VLOOKUP(D$1,test!$A$3:$F$32,2,FALSE))&lt;=test!$K$16,$A11&lt;&gt;D$1,feasible_mat!D11=1),(VLOOKUP(D$1,test!$A$3:$I$32,8,FALSE))-(VLOOKUP($A11,test!$A$3:$I$32,9,FALSE)),0)</f>
        <v>45</v>
      </c>
      <c r="E11">
        <f>IF(AND(SUM(VLOOKUP($A11,test!$A$3:$F$32,2,FALSE),VLOOKUP(E$1,test!$A$3:$F$32,2,FALSE))&lt;=test!$K$16,$A11&lt;&gt;E$1,feasible_mat!E11=1),(VLOOKUP(E$1,test!$A$3:$I$32,8,FALSE))-(VLOOKUP($A11,test!$A$3:$I$32,9,FALSE)),0)</f>
        <v>135</v>
      </c>
      <c r="F11">
        <f>IF(AND(SUM(VLOOKUP($A11,test!$A$3:$F$32,2,FALSE),VLOOKUP(F$1,test!$A$3:$F$32,2,FALSE))&lt;=test!$K$16,$A11&lt;&gt;F$1,feasible_mat!F11=1),(VLOOKUP(F$1,test!$A$3:$I$32,8,FALSE))-(VLOOKUP($A11,test!$A$3:$I$32,9,FALSE)),0)</f>
        <v>225</v>
      </c>
      <c r="G11">
        <f>IF(AND(SUM(VLOOKUP($A11,test!$A$3:$F$32,2,FALSE),VLOOKUP(G$1,test!$A$3:$F$32,2,FALSE))&lt;=test!$K$16,$A11&lt;&gt;G$1,feasible_mat!G11=1),(VLOOKUP(G$1,test!$A$3:$I$32,8,FALSE))-(VLOOKUP($A11,test!$A$3:$I$32,9,FALSE)),0)</f>
        <v>285</v>
      </c>
      <c r="H11">
        <f>IF(AND(SUM(VLOOKUP($A11,test!$A$3:$F$32,2,FALSE),VLOOKUP(H$1,test!$A$3:$F$32,2,FALSE))&lt;=test!$K$16,$A11&lt;&gt;H$1,feasible_mat!H11=1),(VLOOKUP(H$1,test!$A$3:$I$32,8,FALSE))-(VLOOKUP($A11,test!$A$3:$I$32,9,FALSE)),0)</f>
        <v>345</v>
      </c>
      <c r="I11">
        <f>IF(AND(SUM(VLOOKUP($A11,test!$A$3:$F$32,2,FALSE),VLOOKUP(I$1,test!$A$3:$F$32,2,FALSE))&lt;=test!$K$16,$A11&lt;&gt;I$1,feasible_mat!I11=1),(VLOOKUP(I$1,test!$A$3:$I$32,8,FALSE))-(VLOOKUP($A11,test!$A$3:$I$32,9,FALSE)),0)</f>
        <v>405</v>
      </c>
      <c r="J11">
        <f>IF(AND(SUM(VLOOKUP($A11,test!$A$3:$F$32,2,FALSE),VLOOKUP(J$1,test!$A$3:$F$32,2,FALSE))&lt;=test!$K$16,$A11&lt;&gt;J$1,feasible_mat!J11=1),(VLOOKUP(J$1,test!$A$3:$I$32,8,FALSE))-(VLOOKUP($A11,test!$A$3:$I$32,9,FALSE)),0)</f>
        <v>495</v>
      </c>
      <c r="K11">
        <f>IF(AND(SUM(VLOOKUP($A11,test!$A$3:$F$32,2,FALSE),VLOOKUP(K$1,test!$A$3:$F$32,2,FALSE))&lt;=test!$K$16,$A11&lt;&gt;K$1,feasible_mat!K11=1),(VLOOKUP(K$1,test!$A$3:$I$32,8,FALSE))-(VLOOKUP($A11,test!$A$3:$I$32,9,FALSE)),0)</f>
        <v>0</v>
      </c>
      <c r="L11">
        <f>IF(AND(SUM(VLOOKUP($A11,test!$A$3:$F$32,2,FALSE),VLOOKUP(L$1,test!$A$3:$F$32,2,FALSE))&lt;=test!$K$16,$A11&lt;&gt;L$1,feasible_mat!L11=1),(VLOOKUP(L$1,test!$A$3:$I$32,8,FALSE))-(VLOOKUP($A11,test!$A$3:$I$32,9,FALSE)),0)</f>
        <v>0</v>
      </c>
      <c r="M11">
        <f>IF(AND(SUM(VLOOKUP($A11,test!$A$3:$F$32,2,FALSE),VLOOKUP(M$1,test!$A$3:$F$32,2,FALSE))&lt;=test!$K$16,$A11&lt;&gt;M$1,feasible_mat!M11=1),(VLOOKUP(M$1,test!$A$3:$I$32,8,FALSE))-(VLOOKUP($A11,test!$A$3:$I$32,9,FALSE)),0)</f>
        <v>100</v>
      </c>
      <c r="N11">
        <f>IF(AND(SUM(VLOOKUP($A11,test!$A$3:$F$32,2,FALSE),VLOOKUP(N$1,test!$A$3:$F$32,2,FALSE))&lt;=test!$K$16,$A11&lt;&gt;N$1,feasible_mat!N11=1),(VLOOKUP(N$1,test!$A$3:$I$32,8,FALSE))-(VLOOKUP($A11,test!$A$3:$I$32,9,FALSE)),0)</f>
        <v>460</v>
      </c>
      <c r="O11">
        <f>IF(AND(SUM(VLOOKUP($A11,test!$A$3:$F$32,2,FALSE),VLOOKUP(O$1,test!$A$3:$F$32,2,FALSE))&lt;=test!$K$16,$A11&lt;&gt;O$1,feasible_mat!O11=1),(VLOOKUP(O$1,test!$A$3:$I$32,8,FALSE))-(VLOOKUP($A11,test!$A$3:$I$32,9,FALSE)),0)</f>
        <v>520</v>
      </c>
      <c r="P11">
        <f>IF(AND(SUM(VLOOKUP($A11,test!$A$3:$F$32,2,FALSE),VLOOKUP(P$1,test!$A$3:$F$32,2,FALSE))&lt;=test!$K$16,$A11&lt;&gt;P$1,feasible_mat!P11=1),(VLOOKUP(P$1,test!$A$3:$I$32,8,FALSE))-(VLOOKUP($A11,test!$A$3:$I$32,9,FALSE)),0)</f>
        <v>0</v>
      </c>
      <c r="Q11">
        <f>IF(AND(SUM(VLOOKUP($A11,test!$A$3:$F$32,2,FALSE),VLOOKUP(Q$1,test!$A$3:$F$32,2,FALSE))&lt;=test!$K$16,$A11&lt;&gt;Q$1,feasible_mat!Q11=1),(VLOOKUP(Q$1,test!$A$3:$I$32,8,FALSE))-(VLOOKUP($A11,test!$A$3:$I$32,9,FALSE)),0)</f>
        <v>0</v>
      </c>
      <c r="R11">
        <f>IF(AND(SUM(VLOOKUP($A11,test!$A$3:$F$32,2,FALSE),VLOOKUP(R$1,test!$A$3:$F$32,2,FALSE))&lt;=test!$K$16,$A11&lt;&gt;R$1,feasible_mat!R11=1),(VLOOKUP(R$1,test!$A$3:$I$32,8,FALSE))-(VLOOKUP($A11,test!$A$3:$I$32,9,FALSE)),0)</f>
        <v>0</v>
      </c>
      <c r="S11">
        <f>IF(AND(SUM(VLOOKUP($A11,test!$A$3:$F$32,2,FALSE),VLOOKUP(S$1,test!$A$3:$F$32,2,FALSE))&lt;=test!$K$16,$A11&lt;&gt;S$1,feasible_mat!S11=1),(VLOOKUP(S$1,test!$A$3:$I$32,8,FALSE))-(VLOOKUP($A11,test!$A$3:$I$32,9,FALSE)),0)</f>
        <v>25</v>
      </c>
      <c r="T11">
        <f>IF(AND(SUM(VLOOKUP($A11,test!$A$3:$F$32,2,FALSE),VLOOKUP(T$1,test!$A$3:$F$32,2,FALSE))&lt;=test!$K$16,$A11&lt;&gt;T$1,feasible_mat!T11=1),(VLOOKUP(T$1,test!$A$3:$I$32,8,FALSE))-(VLOOKUP($A11,test!$A$3:$I$32,9,FALSE)),0)</f>
        <v>115</v>
      </c>
      <c r="U11">
        <f>IF(AND(SUM(VLOOKUP($A11,test!$A$3:$F$32,2,FALSE),VLOOKUP(U$1,test!$A$3:$F$32,2,FALSE))&lt;=test!$K$16,$A11&lt;&gt;U$1,feasible_mat!U11=1),(VLOOKUP(U$1,test!$A$3:$I$32,8,FALSE))-(VLOOKUP($A11,test!$A$3:$I$32,9,FALSE)),0)</f>
        <v>205</v>
      </c>
      <c r="V11">
        <f>IF(AND(SUM(VLOOKUP($A11,test!$A$3:$F$32,2,FALSE),VLOOKUP(V$1,test!$A$3:$F$32,2,FALSE))&lt;=test!$K$16,$A11&lt;&gt;V$1,feasible_mat!V11=1),(VLOOKUP(V$1,test!$A$3:$I$32,8,FALSE))-(VLOOKUP($A11,test!$A$3:$I$32,9,FALSE)),0)</f>
        <v>295</v>
      </c>
      <c r="W11">
        <f>IF(AND(SUM(VLOOKUP($A11,test!$A$3:$F$32,2,FALSE),VLOOKUP(W$1,test!$A$3:$F$32,2,FALSE))&lt;=test!$K$16,$A11&lt;&gt;W$1,feasible_mat!W11=1),(VLOOKUP(W$1,test!$A$3:$I$32,8,FALSE))-(VLOOKUP($A11,test!$A$3:$I$32,9,FALSE)),0)</f>
        <v>385</v>
      </c>
      <c r="X11">
        <f>IF(AND(SUM(VLOOKUP($A11,test!$A$3:$F$32,2,FALSE),VLOOKUP(X$1,test!$A$3:$F$32,2,FALSE))&lt;=test!$K$16,$A11&lt;&gt;X$1,feasible_mat!X11=1),(VLOOKUP(X$1,test!$A$3:$I$32,8,FALSE))-(VLOOKUP($A11,test!$A$3:$I$32,9,FALSE)),0)</f>
        <v>445</v>
      </c>
      <c r="Y11">
        <f>IF(AND(SUM(VLOOKUP($A11,test!$A$3:$F$32,2,FALSE),VLOOKUP(Y$1,test!$A$3:$F$32,2,FALSE))&lt;=test!$K$16,$A11&lt;&gt;Y$1,feasible_mat!Y11=1),(VLOOKUP(Y$1,test!$A$3:$I$32,8,FALSE))-(VLOOKUP($A11,test!$A$3:$I$32,9,FALSE)),0)</f>
        <v>0</v>
      </c>
      <c r="Z11">
        <f>IF(AND(SUM(VLOOKUP($A11,test!$A$3:$F$32,2,FALSE),VLOOKUP(Z$1,test!$A$3:$F$32,2,FALSE))&lt;=test!$K$16,$A11&lt;&gt;Z$1,feasible_mat!Z11=1),(VLOOKUP(Z$1,test!$A$3:$I$32,8,FALSE))-(VLOOKUP($A11,test!$A$3:$I$32,9,FALSE)),0)</f>
        <v>45</v>
      </c>
      <c r="AA11">
        <f>IF(AND(SUM(VLOOKUP($A11,test!$A$3:$F$32,2,FALSE),VLOOKUP(AA$1,test!$A$3:$F$32,2,FALSE))&lt;=test!$K$16,$A11&lt;&gt;AA$1,feasible_mat!AA11=1),(VLOOKUP(AA$1,test!$A$3:$I$32,8,FALSE))-(VLOOKUP($A11,test!$A$3:$I$32,9,FALSE)),0)</f>
        <v>165</v>
      </c>
      <c r="AB11">
        <f>IF(AND(SUM(VLOOKUP($A11,test!$A$3:$F$32,2,FALSE),VLOOKUP(AB$1,test!$A$3:$F$32,2,FALSE))&lt;=test!$K$16,$A11&lt;&gt;AB$1,feasible_mat!AB11=1),(VLOOKUP(AB$1,test!$A$3:$I$32,8,FALSE))-(VLOOKUP($A11,test!$A$3:$I$32,9,FALSE)),0)</f>
        <v>225</v>
      </c>
      <c r="AC11">
        <f>IF(AND(SUM(VLOOKUP($A11,test!$A$3:$F$32,2,FALSE),VLOOKUP(AC$1,test!$A$3:$F$32,2,FALSE))&lt;=test!$K$16,$A11&lt;&gt;AC$1,feasible_mat!AC11=1),(VLOOKUP(AC$1,test!$A$3:$I$32,8,FALSE))-(VLOOKUP($A11,test!$A$3:$I$32,9,FALSE)),0)</f>
        <v>345</v>
      </c>
      <c r="AD11">
        <f>IF(AND(SUM(VLOOKUP($A11,test!$A$3:$F$32,2,FALSE),VLOOKUP(AD$1,test!$A$3:$F$32,2,FALSE))&lt;=test!$K$16,$A11&lt;&gt;AD$1,feasible_mat!AD11=1),(VLOOKUP(AD$1,test!$A$3:$I$32,8,FALSE))-(VLOOKUP($A11,test!$A$3:$I$32,9,FALSE)),0)</f>
        <v>0</v>
      </c>
      <c r="AE11">
        <f>IF(AND(SUM(VLOOKUP($A11,test!$A$3:$F$32,2,FALSE),VLOOKUP(AE$1,test!$A$3:$F$32,2,FALSE))&lt;=test!$K$16,$A11&lt;&gt;AE$1,feasible_mat!AE11=1),(VLOOKUP(AE$1,test!$A$3:$I$32,8,FALSE))-(VLOOKUP($A11,test!$A$3:$I$32,9,FALSE)),0)</f>
        <v>165</v>
      </c>
      <c r="AF11">
        <f>IF(AND(SUM(VLOOKUP($A11,test!$A$3:$F$32,2,FALSE),VLOOKUP(AF$1,test!$A$3:$F$32,2,FALSE))&lt;=test!$K$16,$A11&lt;&gt;AF$1,feasible_mat!AF11=1),(VLOOKUP(AF$1,test!$A$3:$I$32,8,FALSE))-(VLOOKUP($A11,test!$A$3:$I$32,9,FALSE)),0)</f>
        <v>0</v>
      </c>
      <c r="AJ11" s="16" t="b">
        <f>feasible_mat!AE11=1</f>
        <v>1</v>
      </c>
    </row>
    <row r="12" spans="1:36" x14ac:dyDescent="0.25">
      <c r="A12" t="s">
        <v>20</v>
      </c>
      <c r="B12">
        <v>0</v>
      </c>
      <c r="C12">
        <f>IF(AND(SUM(VLOOKUP($A12,test!$A$3:$F$32,2,FALSE),VLOOKUP(C$1,test!$A$3:$F$32,2,FALSE))&lt;=test!$K$16,$A12&lt;&gt;C$1,feasible_mat!C12=1),(VLOOKUP(C$1,test!$A$3:$I$32,8,FALSE))-(VLOOKUP($A12,test!$A$3:$I$32,9,FALSE)),0)</f>
        <v>0</v>
      </c>
      <c r="D12">
        <f>IF(AND(SUM(VLOOKUP($A12,test!$A$3:$F$32,2,FALSE),VLOOKUP(D$1,test!$A$3:$F$32,2,FALSE))&lt;=test!$K$16,$A12&lt;&gt;D$1,feasible_mat!D12=1),(VLOOKUP(D$1,test!$A$3:$I$32,8,FALSE))-(VLOOKUP($A12,test!$A$3:$I$32,9,FALSE)),0)</f>
        <v>0</v>
      </c>
      <c r="E12">
        <f>IF(AND(SUM(VLOOKUP($A12,test!$A$3:$F$32,2,FALSE),VLOOKUP(E$1,test!$A$3:$F$32,2,FALSE))&lt;=test!$K$16,$A12&lt;&gt;E$1,feasible_mat!E12=1),(VLOOKUP(E$1,test!$A$3:$I$32,8,FALSE))-(VLOOKUP($A12,test!$A$3:$I$32,9,FALSE)),0)</f>
        <v>15</v>
      </c>
      <c r="F12">
        <f>IF(AND(SUM(VLOOKUP($A12,test!$A$3:$F$32,2,FALSE),VLOOKUP(F$1,test!$A$3:$F$32,2,FALSE))&lt;=test!$K$16,$A12&lt;&gt;F$1,feasible_mat!F12=1),(VLOOKUP(F$1,test!$A$3:$I$32,8,FALSE))-(VLOOKUP($A12,test!$A$3:$I$32,9,FALSE)),0)</f>
        <v>105</v>
      </c>
      <c r="G12">
        <f>IF(AND(SUM(VLOOKUP($A12,test!$A$3:$F$32,2,FALSE),VLOOKUP(G$1,test!$A$3:$F$32,2,FALSE))&lt;=test!$K$16,$A12&lt;&gt;G$1,feasible_mat!G12=1),(VLOOKUP(G$1,test!$A$3:$I$32,8,FALSE))-(VLOOKUP($A12,test!$A$3:$I$32,9,FALSE)),0)</f>
        <v>165</v>
      </c>
      <c r="H12">
        <f>IF(AND(SUM(VLOOKUP($A12,test!$A$3:$F$32,2,FALSE),VLOOKUP(H$1,test!$A$3:$F$32,2,FALSE))&lt;=test!$K$16,$A12&lt;&gt;H$1,feasible_mat!H12=1),(VLOOKUP(H$1,test!$A$3:$I$32,8,FALSE))-(VLOOKUP($A12,test!$A$3:$I$32,9,FALSE)),0)</f>
        <v>225</v>
      </c>
      <c r="I12">
        <f>IF(AND(SUM(VLOOKUP($A12,test!$A$3:$F$32,2,FALSE),VLOOKUP(I$1,test!$A$3:$F$32,2,FALSE))&lt;=test!$K$16,$A12&lt;&gt;I$1,feasible_mat!I12=1),(VLOOKUP(I$1,test!$A$3:$I$32,8,FALSE))-(VLOOKUP($A12,test!$A$3:$I$32,9,FALSE)),0)</f>
        <v>285</v>
      </c>
      <c r="J12">
        <f>IF(AND(SUM(VLOOKUP($A12,test!$A$3:$F$32,2,FALSE),VLOOKUP(J$1,test!$A$3:$F$32,2,FALSE))&lt;=test!$K$16,$A12&lt;&gt;J$1,feasible_mat!J12=1),(VLOOKUP(J$1,test!$A$3:$I$32,8,FALSE))-(VLOOKUP($A12,test!$A$3:$I$32,9,FALSE)),0)</f>
        <v>375</v>
      </c>
      <c r="K12">
        <f>IF(AND(SUM(VLOOKUP($A12,test!$A$3:$F$32,2,FALSE),VLOOKUP(K$1,test!$A$3:$F$32,2,FALSE))&lt;=test!$K$16,$A12&lt;&gt;K$1,feasible_mat!K12=1),(VLOOKUP(K$1,test!$A$3:$I$32,8,FALSE))-(VLOOKUP($A12,test!$A$3:$I$32,9,FALSE)),0)</f>
        <v>0</v>
      </c>
      <c r="L12">
        <f>IF(AND(SUM(VLOOKUP($A12,test!$A$3:$F$32,2,FALSE),VLOOKUP(L$1,test!$A$3:$F$32,2,FALSE))&lt;=test!$K$16,$A12&lt;&gt;L$1,feasible_mat!L12=1),(VLOOKUP(L$1,test!$A$3:$I$32,8,FALSE))-(VLOOKUP($A12,test!$A$3:$I$32,9,FALSE)),0)</f>
        <v>0</v>
      </c>
      <c r="M12">
        <f>IF(AND(SUM(VLOOKUP($A12,test!$A$3:$F$32,2,FALSE),VLOOKUP(M$1,test!$A$3:$F$32,2,FALSE))&lt;=test!$K$16,$A12&lt;&gt;M$1,feasible_mat!M12=1),(VLOOKUP(M$1,test!$A$3:$I$32,8,FALSE))-(VLOOKUP($A12,test!$A$3:$I$32,9,FALSE)),0)</f>
        <v>0</v>
      </c>
      <c r="N12">
        <f>IF(AND(SUM(VLOOKUP($A12,test!$A$3:$F$32,2,FALSE),VLOOKUP(N$1,test!$A$3:$F$32,2,FALSE))&lt;=test!$K$16,$A12&lt;&gt;N$1,feasible_mat!N12=1),(VLOOKUP(N$1,test!$A$3:$I$32,8,FALSE))-(VLOOKUP($A12,test!$A$3:$I$32,9,FALSE)),0)</f>
        <v>340</v>
      </c>
      <c r="O12">
        <f>IF(AND(SUM(VLOOKUP($A12,test!$A$3:$F$32,2,FALSE),VLOOKUP(O$1,test!$A$3:$F$32,2,FALSE))&lt;=test!$K$16,$A12&lt;&gt;O$1,feasible_mat!O12=1),(VLOOKUP(O$1,test!$A$3:$I$32,8,FALSE))-(VLOOKUP($A12,test!$A$3:$I$32,9,FALSE)),0)</f>
        <v>400</v>
      </c>
      <c r="P12">
        <f>IF(AND(SUM(VLOOKUP($A12,test!$A$3:$F$32,2,FALSE),VLOOKUP(P$1,test!$A$3:$F$32,2,FALSE))&lt;=test!$K$16,$A12&lt;&gt;P$1,feasible_mat!P12=1),(VLOOKUP(P$1,test!$A$3:$I$32,8,FALSE))-(VLOOKUP($A12,test!$A$3:$I$32,9,FALSE)),0)</f>
        <v>0</v>
      </c>
      <c r="Q12">
        <f>IF(AND(SUM(VLOOKUP($A12,test!$A$3:$F$32,2,FALSE),VLOOKUP(Q$1,test!$A$3:$F$32,2,FALSE))&lt;=test!$K$16,$A12&lt;&gt;Q$1,feasible_mat!Q12=1),(VLOOKUP(Q$1,test!$A$3:$I$32,8,FALSE))-(VLOOKUP($A12,test!$A$3:$I$32,9,FALSE)),0)</f>
        <v>0</v>
      </c>
      <c r="R12">
        <f>IF(AND(SUM(VLOOKUP($A12,test!$A$3:$F$32,2,FALSE),VLOOKUP(R$1,test!$A$3:$F$32,2,FALSE))&lt;=test!$K$16,$A12&lt;&gt;R$1,feasible_mat!R12=1),(VLOOKUP(R$1,test!$A$3:$I$32,8,FALSE))-(VLOOKUP($A12,test!$A$3:$I$32,9,FALSE)),0)</f>
        <v>0</v>
      </c>
      <c r="S12">
        <f>IF(AND(SUM(VLOOKUP($A12,test!$A$3:$F$32,2,FALSE),VLOOKUP(S$1,test!$A$3:$F$32,2,FALSE))&lt;=test!$K$16,$A12&lt;&gt;S$1,feasible_mat!S12=1),(VLOOKUP(S$1,test!$A$3:$I$32,8,FALSE))-(VLOOKUP($A12,test!$A$3:$I$32,9,FALSE)),0)</f>
        <v>0</v>
      </c>
      <c r="T12">
        <f>IF(AND(SUM(VLOOKUP($A12,test!$A$3:$F$32,2,FALSE),VLOOKUP(T$1,test!$A$3:$F$32,2,FALSE))&lt;=test!$K$16,$A12&lt;&gt;T$1,feasible_mat!T12=1),(VLOOKUP(T$1,test!$A$3:$I$32,8,FALSE))-(VLOOKUP($A12,test!$A$3:$I$32,9,FALSE)),0)</f>
        <v>0</v>
      </c>
      <c r="U12">
        <f>IF(AND(SUM(VLOOKUP($A12,test!$A$3:$F$32,2,FALSE),VLOOKUP(U$1,test!$A$3:$F$32,2,FALSE))&lt;=test!$K$16,$A12&lt;&gt;U$1,feasible_mat!U12=1),(VLOOKUP(U$1,test!$A$3:$I$32,8,FALSE))-(VLOOKUP($A12,test!$A$3:$I$32,9,FALSE)),0)</f>
        <v>85</v>
      </c>
      <c r="V12">
        <f>IF(AND(SUM(VLOOKUP($A12,test!$A$3:$F$32,2,FALSE),VLOOKUP(V$1,test!$A$3:$F$32,2,FALSE))&lt;=test!$K$16,$A12&lt;&gt;V$1,feasible_mat!V12=1),(VLOOKUP(V$1,test!$A$3:$I$32,8,FALSE))-(VLOOKUP($A12,test!$A$3:$I$32,9,FALSE)),0)</f>
        <v>175</v>
      </c>
      <c r="W12">
        <f>IF(AND(SUM(VLOOKUP($A12,test!$A$3:$F$32,2,FALSE),VLOOKUP(W$1,test!$A$3:$F$32,2,FALSE))&lt;=test!$K$16,$A12&lt;&gt;W$1,feasible_mat!W12=1),(VLOOKUP(W$1,test!$A$3:$I$32,8,FALSE))-(VLOOKUP($A12,test!$A$3:$I$32,9,FALSE)),0)</f>
        <v>265</v>
      </c>
      <c r="X12">
        <f>IF(AND(SUM(VLOOKUP($A12,test!$A$3:$F$32,2,FALSE),VLOOKUP(X$1,test!$A$3:$F$32,2,FALSE))&lt;=test!$K$16,$A12&lt;&gt;X$1,feasible_mat!X12=1),(VLOOKUP(X$1,test!$A$3:$I$32,8,FALSE))-(VLOOKUP($A12,test!$A$3:$I$32,9,FALSE)),0)</f>
        <v>325</v>
      </c>
      <c r="Y12">
        <f>IF(AND(SUM(VLOOKUP($A12,test!$A$3:$F$32,2,FALSE),VLOOKUP(Y$1,test!$A$3:$F$32,2,FALSE))&lt;=test!$K$16,$A12&lt;&gt;Y$1,feasible_mat!Y12=1),(VLOOKUP(Y$1,test!$A$3:$I$32,8,FALSE))-(VLOOKUP($A12,test!$A$3:$I$32,9,FALSE)),0)</f>
        <v>0</v>
      </c>
      <c r="Z12">
        <f>IF(AND(SUM(VLOOKUP($A12,test!$A$3:$F$32,2,FALSE),VLOOKUP(Z$1,test!$A$3:$F$32,2,FALSE))&lt;=test!$K$16,$A12&lt;&gt;Z$1,feasible_mat!Z12=1),(VLOOKUP(Z$1,test!$A$3:$I$32,8,FALSE))-(VLOOKUP($A12,test!$A$3:$I$32,9,FALSE)),0)</f>
        <v>0</v>
      </c>
      <c r="AA12">
        <f>IF(AND(SUM(VLOOKUP($A12,test!$A$3:$F$32,2,FALSE),VLOOKUP(AA$1,test!$A$3:$F$32,2,FALSE))&lt;=test!$K$16,$A12&lt;&gt;AA$1,feasible_mat!AA12=1),(VLOOKUP(AA$1,test!$A$3:$I$32,8,FALSE))-(VLOOKUP($A12,test!$A$3:$I$32,9,FALSE)),0)</f>
        <v>45</v>
      </c>
      <c r="AB12">
        <f>IF(AND(SUM(VLOOKUP($A12,test!$A$3:$F$32,2,FALSE),VLOOKUP(AB$1,test!$A$3:$F$32,2,FALSE))&lt;=test!$K$16,$A12&lt;&gt;AB$1,feasible_mat!AB12=1),(VLOOKUP(AB$1,test!$A$3:$I$32,8,FALSE))-(VLOOKUP($A12,test!$A$3:$I$32,9,FALSE)),0)</f>
        <v>105</v>
      </c>
      <c r="AC12">
        <f>IF(AND(SUM(VLOOKUP($A12,test!$A$3:$F$32,2,FALSE),VLOOKUP(AC$1,test!$A$3:$F$32,2,FALSE))&lt;=test!$K$16,$A12&lt;&gt;AC$1,feasible_mat!AC12=1),(VLOOKUP(AC$1,test!$A$3:$I$32,8,FALSE))-(VLOOKUP($A12,test!$A$3:$I$32,9,FALSE)),0)</f>
        <v>225</v>
      </c>
      <c r="AD12">
        <f>IF(AND(SUM(VLOOKUP($A12,test!$A$3:$F$32,2,FALSE),VLOOKUP(AD$1,test!$A$3:$F$32,2,FALSE))&lt;=test!$K$16,$A12&lt;&gt;AD$1,feasible_mat!AD12=1),(VLOOKUP(AD$1,test!$A$3:$I$32,8,FALSE))-(VLOOKUP($A12,test!$A$3:$I$32,9,FALSE)),0)</f>
        <v>0</v>
      </c>
      <c r="AE12">
        <f>IF(AND(SUM(VLOOKUP($A12,test!$A$3:$F$32,2,FALSE),VLOOKUP(AE$1,test!$A$3:$F$32,2,FALSE))&lt;=test!$K$16,$A12&lt;&gt;AE$1,feasible_mat!AE12=1),(VLOOKUP(AE$1,test!$A$3:$I$32,8,FALSE))-(VLOOKUP($A12,test!$A$3:$I$32,9,FALSE)),0)</f>
        <v>45</v>
      </c>
      <c r="AF12">
        <f>IF(AND(SUM(VLOOKUP($A12,test!$A$3:$F$32,2,FALSE),VLOOKUP(AF$1,test!$A$3:$F$32,2,FALSE))&lt;=test!$K$16,$A12&lt;&gt;AF$1,feasible_mat!AF12=1),(VLOOKUP(AF$1,test!$A$3:$I$32,8,FALSE))-(VLOOKUP($A12,test!$A$3:$I$32,9,FALSE)),0)</f>
        <v>0</v>
      </c>
      <c r="AJ12" s="16" t="s">
        <v>70</v>
      </c>
    </row>
    <row r="13" spans="1:36" x14ac:dyDescent="0.25">
      <c r="A13" t="s">
        <v>21</v>
      </c>
      <c r="B13">
        <v>0</v>
      </c>
      <c r="C13">
        <f>IF(AND(SUM(VLOOKUP($A13,test!$A$3:$F$32,2,FALSE),VLOOKUP(C$1,test!$A$3:$F$32,2,FALSE))&lt;=test!$K$16,$A13&lt;&gt;C$1,feasible_mat!C13=1),(VLOOKUP(C$1,test!$A$3:$I$32,8,FALSE))-(VLOOKUP($A13,test!$A$3:$I$32,9,FALSE)),0)</f>
        <v>0</v>
      </c>
      <c r="D13">
        <f>IF(AND(SUM(VLOOKUP($A13,test!$A$3:$F$32,2,FALSE),VLOOKUP(D$1,test!$A$3:$F$32,2,FALSE))&lt;=test!$K$16,$A13&lt;&gt;D$1,feasible_mat!D13=1),(VLOOKUP(D$1,test!$A$3:$I$32,8,FALSE))-(VLOOKUP($A13,test!$A$3:$I$32,9,FALSE)),0)</f>
        <v>0</v>
      </c>
      <c r="E13">
        <f>IF(AND(SUM(VLOOKUP($A13,test!$A$3:$F$32,2,FALSE),VLOOKUP(E$1,test!$A$3:$F$32,2,FALSE))&lt;=test!$K$16,$A13&lt;&gt;E$1,feasible_mat!E13=1),(VLOOKUP(E$1,test!$A$3:$I$32,8,FALSE))-(VLOOKUP($A13,test!$A$3:$I$32,9,FALSE)),0)</f>
        <v>0</v>
      </c>
      <c r="F13">
        <f>IF(AND(SUM(VLOOKUP($A13,test!$A$3:$F$32,2,FALSE),VLOOKUP(F$1,test!$A$3:$F$32,2,FALSE))&lt;=test!$K$16,$A13&lt;&gt;F$1,feasible_mat!F13=1),(VLOOKUP(F$1,test!$A$3:$I$32,8,FALSE))-(VLOOKUP($A13,test!$A$3:$I$32,9,FALSE)),0)</f>
        <v>0</v>
      </c>
      <c r="G13">
        <f>IF(AND(SUM(VLOOKUP($A13,test!$A$3:$F$32,2,FALSE),VLOOKUP(G$1,test!$A$3:$F$32,2,FALSE))&lt;=test!$K$16,$A13&lt;&gt;G$1,feasible_mat!G13=1),(VLOOKUP(G$1,test!$A$3:$I$32,8,FALSE))-(VLOOKUP($A13,test!$A$3:$I$32,9,FALSE)),0)</f>
        <v>45</v>
      </c>
      <c r="H13">
        <f>IF(AND(SUM(VLOOKUP($A13,test!$A$3:$F$32,2,FALSE),VLOOKUP(H$1,test!$A$3:$F$32,2,FALSE))&lt;=test!$K$16,$A13&lt;&gt;H$1,feasible_mat!H13=1),(VLOOKUP(H$1,test!$A$3:$I$32,8,FALSE))-(VLOOKUP($A13,test!$A$3:$I$32,9,FALSE)),0)</f>
        <v>105</v>
      </c>
      <c r="I13">
        <f>IF(AND(SUM(VLOOKUP($A13,test!$A$3:$F$32,2,FALSE),VLOOKUP(I$1,test!$A$3:$F$32,2,FALSE))&lt;=test!$K$16,$A13&lt;&gt;I$1,feasible_mat!I13=1),(VLOOKUP(I$1,test!$A$3:$I$32,8,FALSE))-(VLOOKUP($A13,test!$A$3:$I$32,9,FALSE)),0)</f>
        <v>165</v>
      </c>
      <c r="J13">
        <f>IF(AND(SUM(VLOOKUP($A13,test!$A$3:$F$32,2,FALSE),VLOOKUP(J$1,test!$A$3:$F$32,2,FALSE))&lt;=test!$K$16,$A13&lt;&gt;J$1,feasible_mat!J13=1),(VLOOKUP(J$1,test!$A$3:$I$32,8,FALSE))-(VLOOKUP($A13,test!$A$3:$I$32,9,FALSE)),0)</f>
        <v>255</v>
      </c>
      <c r="K13">
        <f>IF(AND(SUM(VLOOKUP($A13,test!$A$3:$F$32,2,FALSE),VLOOKUP(K$1,test!$A$3:$F$32,2,FALSE))&lt;=test!$K$16,$A13&lt;&gt;K$1,feasible_mat!K13=1),(VLOOKUP(K$1,test!$A$3:$I$32,8,FALSE))-(VLOOKUP($A13,test!$A$3:$I$32,9,FALSE)),0)</f>
        <v>0</v>
      </c>
      <c r="L13">
        <f>IF(AND(SUM(VLOOKUP($A13,test!$A$3:$F$32,2,FALSE),VLOOKUP(L$1,test!$A$3:$F$32,2,FALSE))&lt;=test!$K$16,$A13&lt;&gt;L$1,feasible_mat!L13=1),(VLOOKUP(L$1,test!$A$3:$I$32,8,FALSE))-(VLOOKUP($A13,test!$A$3:$I$32,9,FALSE)),0)</f>
        <v>0</v>
      </c>
      <c r="M13">
        <f>IF(AND(SUM(VLOOKUP($A13,test!$A$3:$F$32,2,FALSE),VLOOKUP(M$1,test!$A$3:$F$32,2,FALSE))&lt;=test!$K$16,$A13&lt;&gt;M$1,feasible_mat!M13=1),(VLOOKUP(M$1,test!$A$3:$I$32,8,FALSE))-(VLOOKUP($A13,test!$A$3:$I$32,9,FALSE)),0)</f>
        <v>0</v>
      </c>
      <c r="N13">
        <f>IF(AND(SUM(VLOOKUP($A13,test!$A$3:$F$32,2,FALSE),VLOOKUP(N$1,test!$A$3:$F$32,2,FALSE))&lt;=test!$K$16,$A13&lt;&gt;N$1,feasible_mat!N13=1),(VLOOKUP(N$1,test!$A$3:$I$32,8,FALSE))-(VLOOKUP($A13,test!$A$3:$I$32,9,FALSE)),0)</f>
        <v>220</v>
      </c>
      <c r="O13">
        <f>IF(AND(SUM(VLOOKUP($A13,test!$A$3:$F$32,2,FALSE),VLOOKUP(O$1,test!$A$3:$F$32,2,FALSE))&lt;=test!$K$16,$A13&lt;&gt;O$1,feasible_mat!O13=1),(VLOOKUP(O$1,test!$A$3:$I$32,8,FALSE))-(VLOOKUP($A13,test!$A$3:$I$32,9,FALSE)),0)</f>
        <v>280</v>
      </c>
      <c r="P13">
        <f>IF(AND(SUM(VLOOKUP($A13,test!$A$3:$F$32,2,FALSE),VLOOKUP(P$1,test!$A$3:$F$32,2,FALSE))&lt;=test!$K$16,$A13&lt;&gt;P$1,feasible_mat!P13=1),(VLOOKUP(P$1,test!$A$3:$I$32,8,FALSE))-(VLOOKUP($A13,test!$A$3:$I$32,9,FALSE)),0)</f>
        <v>0</v>
      </c>
      <c r="Q13">
        <f>IF(AND(SUM(VLOOKUP($A13,test!$A$3:$F$32,2,FALSE),VLOOKUP(Q$1,test!$A$3:$F$32,2,FALSE))&lt;=test!$K$16,$A13&lt;&gt;Q$1,feasible_mat!Q13=1),(VLOOKUP(Q$1,test!$A$3:$I$32,8,FALSE))-(VLOOKUP($A13,test!$A$3:$I$32,9,FALSE)),0)</f>
        <v>0</v>
      </c>
      <c r="R13">
        <f>IF(AND(SUM(VLOOKUP($A13,test!$A$3:$F$32,2,FALSE),VLOOKUP(R$1,test!$A$3:$F$32,2,FALSE))&lt;=test!$K$16,$A13&lt;&gt;R$1,feasible_mat!R13=1),(VLOOKUP(R$1,test!$A$3:$I$32,8,FALSE))-(VLOOKUP($A13,test!$A$3:$I$32,9,FALSE)),0)</f>
        <v>0</v>
      </c>
      <c r="S13">
        <f>IF(AND(SUM(VLOOKUP($A13,test!$A$3:$F$32,2,FALSE),VLOOKUP(S$1,test!$A$3:$F$32,2,FALSE))&lt;=test!$K$16,$A13&lt;&gt;S$1,feasible_mat!S13=1),(VLOOKUP(S$1,test!$A$3:$I$32,8,FALSE))-(VLOOKUP($A13,test!$A$3:$I$32,9,FALSE)),0)</f>
        <v>0</v>
      </c>
      <c r="T13">
        <f>IF(AND(SUM(VLOOKUP($A13,test!$A$3:$F$32,2,FALSE),VLOOKUP(T$1,test!$A$3:$F$32,2,FALSE))&lt;=test!$K$16,$A13&lt;&gt;T$1,feasible_mat!T13=1),(VLOOKUP(T$1,test!$A$3:$I$32,8,FALSE))-(VLOOKUP($A13,test!$A$3:$I$32,9,FALSE)),0)</f>
        <v>0</v>
      </c>
      <c r="U13">
        <f>IF(AND(SUM(VLOOKUP($A13,test!$A$3:$F$32,2,FALSE),VLOOKUP(U$1,test!$A$3:$F$32,2,FALSE))&lt;=test!$K$16,$A13&lt;&gt;U$1,feasible_mat!U13=1),(VLOOKUP(U$1,test!$A$3:$I$32,8,FALSE))-(VLOOKUP($A13,test!$A$3:$I$32,9,FALSE)),0)</f>
        <v>0</v>
      </c>
      <c r="V13">
        <f>IF(AND(SUM(VLOOKUP($A13,test!$A$3:$F$32,2,FALSE),VLOOKUP(V$1,test!$A$3:$F$32,2,FALSE))&lt;=test!$K$16,$A13&lt;&gt;V$1,feasible_mat!V13=1),(VLOOKUP(V$1,test!$A$3:$I$32,8,FALSE))-(VLOOKUP($A13,test!$A$3:$I$32,9,FALSE)),0)</f>
        <v>55</v>
      </c>
      <c r="W13">
        <f>IF(AND(SUM(VLOOKUP($A13,test!$A$3:$F$32,2,FALSE),VLOOKUP(W$1,test!$A$3:$F$32,2,FALSE))&lt;=test!$K$16,$A13&lt;&gt;W$1,feasible_mat!W13=1),(VLOOKUP(W$1,test!$A$3:$I$32,8,FALSE))-(VLOOKUP($A13,test!$A$3:$I$32,9,FALSE)),0)</f>
        <v>145</v>
      </c>
      <c r="X13">
        <f>IF(AND(SUM(VLOOKUP($A13,test!$A$3:$F$32,2,FALSE),VLOOKUP(X$1,test!$A$3:$F$32,2,FALSE))&lt;=test!$K$16,$A13&lt;&gt;X$1,feasible_mat!X13=1),(VLOOKUP(X$1,test!$A$3:$I$32,8,FALSE))-(VLOOKUP($A13,test!$A$3:$I$32,9,FALSE)),0)</f>
        <v>205</v>
      </c>
      <c r="Y13">
        <f>IF(AND(SUM(VLOOKUP($A13,test!$A$3:$F$32,2,FALSE),VLOOKUP(Y$1,test!$A$3:$F$32,2,FALSE))&lt;=test!$K$16,$A13&lt;&gt;Y$1,feasible_mat!Y13=1),(VLOOKUP(Y$1,test!$A$3:$I$32,8,FALSE))-(VLOOKUP($A13,test!$A$3:$I$32,9,FALSE)),0)</f>
        <v>0</v>
      </c>
      <c r="Z13">
        <f>IF(AND(SUM(VLOOKUP($A13,test!$A$3:$F$32,2,FALSE),VLOOKUP(Z$1,test!$A$3:$F$32,2,FALSE))&lt;=test!$K$16,$A13&lt;&gt;Z$1,feasible_mat!Z13=1),(VLOOKUP(Z$1,test!$A$3:$I$32,8,FALSE))-(VLOOKUP($A13,test!$A$3:$I$32,9,FALSE)),0)</f>
        <v>0</v>
      </c>
      <c r="AA13">
        <f>IF(AND(SUM(VLOOKUP($A13,test!$A$3:$F$32,2,FALSE),VLOOKUP(AA$1,test!$A$3:$F$32,2,FALSE))&lt;=test!$K$16,$A13&lt;&gt;AA$1,feasible_mat!AA13=1),(VLOOKUP(AA$1,test!$A$3:$I$32,8,FALSE))-(VLOOKUP($A13,test!$A$3:$I$32,9,FALSE)),0)</f>
        <v>0</v>
      </c>
      <c r="AB13">
        <f>IF(AND(SUM(VLOOKUP($A13,test!$A$3:$F$32,2,FALSE),VLOOKUP(AB$1,test!$A$3:$F$32,2,FALSE))&lt;=test!$K$16,$A13&lt;&gt;AB$1,feasible_mat!AB13=1),(VLOOKUP(AB$1,test!$A$3:$I$32,8,FALSE))-(VLOOKUP($A13,test!$A$3:$I$32,9,FALSE)),0)</f>
        <v>0</v>
      </c>
      <c r="AC13">
        <f>IF(AND(SUM(VLOOKUP($A13,test!$A$3:$F$32,2,FALSE),VLOOKUP(AC$1,test!$A$3:$F$32,2,FALSE))&lt;=test!$K$16,$A13&lt;&gt;AC$1,feasible_mat!AC13=1),(VLOOKUP(AC$1,test!$A$3:$I$32,8,FALSE))-(VLOOKUP($A13,test!$A$3:$I$32,9,FALSE)),0)</f>
        <v>105</v>
      </c>
      <c r="AD13">
        <f>IF(AND(SUM(VLOOKUP($A13,test!$A$3:$F$32,2,FALSE),VLOOKUP(AD$1,test!$A$3:$F$32,2,FALSE))&lt;=test!$K$16,$A13&lt;&gt;AD$1,feasible_mat!AD13=1),(VLOOKUP(AD$1,test!$A$3:$I$32,8,FALSE))-(VLOOKUP($A13,test!$A$3:$I$32,9,FALSE)),0)</f>
        <v>0</v>
      </c>
      <c r="AE13">
        <f>IF(AND(SUM(VLOOKUP($A13,test!$A$3:$F$32,2,FALSE),VLOOKUP(AE$1,test!$A$3:$F$32,2,FALSE))&lt;=test!$K$16,$A13&lt;&gt;AE$1,feasible_mat!AE13=1),(VLOOKUP(AE$1,test!$A$3:$I$32,8,FALSE))-(VLOOKUP($A13,test!$A$3:$I$32,9,FALSE)),0)</f>
        <v>0</v>
      </c>
      <c r="AF13">
        <f>IF(AND(SUM(VLOOKUP($A13,test!$A$3:$F$32,2,FALSE),VLOOKUP(AF$1,test!$A$3:$F$32,2,FALSE))&lt;=test!$K$16,$A13&lt;&gt;AF$1,feasible_mat!AF13=1),(VLOOKUP(AF$1,test!$A$3:$I$32,8,FALSE))-(VLOOKUP($A13,test!$A$3:$I$32,9,FALSE)),0)</f>
        <v>0</v>
      </c>
      <c r="AJ13" s="16" t="e">
        <f>VLOOKUP(AE$1,test!$A$3:$F$32,8,FALSE)</f>
        <v>#REF!</v>
      </c>
    </row>
    <row r="14" spans="1:36" x14ac:dyDescent="0.25">
      <c r="A14" t="s">
        <v>22</v>
      </c>
      <c r="B14">
        <v>0</v>
      </c>
      <c r="C14">
        <f>IF(AND(SUM(VLOOKUP($A14,test!$A$3:$F$32,2,FALSE),VLOOKUP(C$1,test!$A$3:$F$32,2,FALSE))&lt;=test!$K$16,$A14&lt;&gt;C$1,feasible_mat!C14=1),(VLOOKUP(C$1,test!$A$3:$I$32,8,FALSE))-(VLOOKUP($A14,test!$A$3:$I$32,9,FALSE)),0)</f>
        <v>0</v>
      </c>
      <c r="D14">
        <f>IF(AND(SUM(VLOOKUP($A14,test!$A$3:$F$32,2,FALSE),VLOOKUP(D$1,test!$A$3:$F$32,2,FALSE))&lt;=test!$K$16,$A14&lt;&gt;D$1,feasible_mat!D14=1),(VLOOKUP(D$1,test!$A$3:$I$32,8,FALSE))-(VLOOKUP($A14,test!$A$3:$I$32,9,FALSE)),0)</f>
        <v>0</v>
      </c>
      <c r="E14">
        <f>IF(AND(SUM(VLOOKUP($A14,test!$A$3:$F$32,2,FALSE),VLOOKUP(E$1,test!$A$3:$F$32,2,FALSE))&lt;=test!$K$16,$A14&lt;&gt;E$1,feasible_mat!E14=1),(VLOOKUP(E$1,test!$A$3:$I$32,8,FALSE))-(VLOOKUP($A14,test!$A$3:$I$32,9,FALSE)),0)</f>
        <v>0</v>
      </c>
      <c r="F14">
        <f>IF(AND(SUM(VLOOKUP($A14,test!$A$3:$F$32,2,FALSE),VLOOKUP(F$1,test!$A$3:$F$32,2,FALSE))&lt;=test!$K$16,$A14&lt;&gt;F$1,feasible_mat!F14=1),(VLOOKUP(F$1,test!$A$3:$I$32,8,FALSE))-(VLOOKUP($A14,test!$A$3:$I$32,9,FALSE)),0)</f>
        <v>0</v>
      </c>
      <c r="G14">
        <f>IF(AND(SUM(VLOOKUP($A14,test!$A$3:$F$32,2,FALSE),VLOOKUP(G$1,test!$A$3:$F$32,2,FALSE))&lt;=test!$K$16,$A14&lt;&gt;G$1,feasible_mat!G14=1),(VLOOKUP(G$1,test!$A$3:$I$32,8,FALSE))-(VLOOKUP($A14,test!$A$3:$I$32,9,FALSE)),0)</f>
        <v>0</v>
      </c>
      <c r="H14">
        <f>IF(AND(SUM(VLOOKUP($A14,test!$A$3:$F$32,2,FALSE),VLOOKUP(H$1,test!$A$3:$F$32,2,FALSE))&lt;=test!$K$16,$A14&lt;&gt;H$1,feasible_mat!H14=1),(VLOOKUP(H$1,test!$A$3:$I$32,8,FALSE))-(VLOOKUP($A14,test!$A$3:$I$32,9,FALSE)),0)</f>
        <v>0</v>
      </c>
      <c r="I14">
        <f>IF(AND(SUM(VLOOKUP($A14,test!$A$3:$F$32,2,FALSE),VLOOKUP(I$1,test!$A$3:$F$32,2,FALSE))&lt;=test!$K$16,$A14&lt;&gt;I$1,feasible_mat!I14=1),(VLOOKUP(I$1,test!$A$3:$I$32,8,FALSE))-(VLOOKUP($A14,test!$A$3:$I$32,9,FALSE)),0)</f>
        <v>0</v>
      </c>
      <c r="J14">
        <f>IF(AND(SUM(VLOOKUP($A14,test!$A$3:$F$32,2,FALSE),VLOOKUP(J$1,test!$A$3:$F$32,2,FALSE))&lt;=test!$K$16,$A14&lt;&gt;J$1,feasible_mat!J14=1),(VLOOKUP(J$1,test!$A$3:$I$32,8,FALSE))-(VLOOKUP($A14,test!$A$3:$I$32,9,FALSE)),0)</f>
        <v>0</v>
      </c>
      <c r="K14">
        <f>IF(AND(SUM(VLOOKUP($A14,test!$A$3:$F$32,2,FALSE),VLOOKUP(K$1,test!$A$3:$F$32,2,FALSE))&lt;=test!$K$16,$A14&lt;&gt;K$1,feasible_mat!K14=1),(VLOOKUP(K$1,test!$A$3:$I$32,8,FALSE))-(VLOOKUP($A14,test!$A$3:$I$32,9,FALSE)),0)</f>
        <v>0</v>
      </c>
      <c r="L14">
        <f>IF(AND(SUM(VLOOKUP($A14,test!$A$3:$F$32,2,FALSE),VLOOKUP(L$1,test!$A$3:$F$32,2,FALSE))&lt;=test!$K$16,$A14&lt;&gt;L$1,feasible_mat!L14=1),(VLOOKUP(L$1,test!$A$3:$I$32,8,FALSE))-(VLOOKUP($A14,test!$A$3:$I$32,9,FALSE)),0)</f>
        <v>0</v>
      </c>
      <c r="M14">
        <f>IF(AND(SUM(VLOOKUP($A14,test!$A$3:$F$32,2,FALSE),VLOOKUP(M$1,test!$A$3:$F$32,2,FALSE))&lt;=test!$K$16,$A14&lt;&gt;M$1,feasible_mat!M14=1),(VLOOKUP(M$1,test!$A$3:$I$32,8,FALSE))-(VLOOKUP($A14,test!$A$3:$I$32,9,FALSE)),0)</f>
        <v>0</v>
      </c>
      <c r="N14">
        <f>IF(AND(SUM(VLOOKUP($A14,test!$A$3:$F$32,2,FALSE),VLOOKUP(N$1,test!$A$3:$F$32,2,FALSE))&lt;=test!$K$16,$A14&lt;&gt;N$1,feasible_mat!N14=1),(VLOOKUP(N$1,test!$A$3:$I$32,8,FALSE))-(VLOOKUP($A14,test!$A$3:$I$32,9,FALSE)),0)</f>
        <v>0</v>
      </c>
      <c r="O14">
        <f>IF(AND(SUM(VLOOKUP($A14,test!$A$3:$F$32,2,FALSE),VLOOKUP(O$1,test!$A$3:$F$32,2,FALSE))&lt;=test!$K$16,$A14&lt;&gt;O$1,feasible_mat!O14=1),(VLOOKUP(O$1,test!$A$3:$I$32,8,FALSE))-(VLOOKUP($A14,test!$A$3:$I$32,9,FALSE)),0)</f>
        <v>0</v>
      </c>
      <c r="P14">
        <f>IF(AND(SUM(VLOOKUP($A14,test!$A$3:$F$32,2,FALSE),VLOOKUP(P$1,test!$A$3:$F$32,2,FALSE))&lt;=test!$K$16,$A14&lt;&gt;P$1,feasible_mat!P14=1),(VLOOKUP(P$1,test!$A$3:$I$32,8,FALSE))-(VLOOKUP($A14,test!$A$3:$I$32,9,FALSE)),0)</f>
        <v>0</v>
      </c>
      <c r="Q14">
        <f>IF(AND(SUM(VLOOKUP($A14,test!$A$3:$F$32,2,FALSE),VLOOKUP(Q$1,test!$A$3:$F$32,2,FALSE))&lt;=test!$K$16,$A14&lt;&gt;Q$1,feasible_mat!Q14=1),(VLOOKUP(Q$1,test!$A$3:$I$32,8,FALSE))-(VLOOKUP($A14,test!$A$3:$I$32,9,FALSE)),0)</f>
        <v>0</v>
      </c>
      <c r="R14">
        <f>IF(AND(SUM(VLOOKUP($A14,test!$A$3:$F$32,2,FALSE),VLOOKUP(R$1,test!$A$3:$F$32,2,FALSE))&lt;=test!$K$16,$A14&lt;&gt;R$1,feasible_mat!R14=1),(VLOOKUP(R$1,test!$A$3:$I$32,8,FALSE))-(VLOOKUP($A14,test!$A$3:$I$32,9,FALSE)),0)</f>
        <v>0</v>
      </c>
      <c r="S14">
        <f>IF(AND(SUM(VLOOKUP($A14,test!$A$3:$F$32,2,FALSE),VLOOKUP(S$1,test!$A$3:$F$32,2,FALSE))&lt;=test!$K$16,$A14&lt;&gt;S$1,feasible_mat!S14=1),(VLOOKUP(S$1,test!$A$3:$I$32,8,FALSE))-(VLOOKUP($A14,test!$A$3:$I$32,9,FALSE)),0)</f>
        <v>0</v>
      </c>
      <c r="T14">
        <f>IF(AND(SUM(VLOOKUP($A14,test!$A$3:$F$32,2,FALSE),VLOOKUP(T$1,test!$A$3:$F$32,2,FALSE))&lt;=test!$K$16,$A14&lt;&gt;T$1,feasible_mat!T14=1),(VLOOKUP(T$1,test!$A$3:$I$32,8,FALSE))-(VLOOKUP($A14,test!$A$3:$I$32,9,FALSE)),0)</f>
        <v>0</v>
      </c>
      <c r="U14">
        <f>IF(AND(SUM(VLOOKUP($A14,test!$A$3:$F$32,2,FALSE),VLOOKUP(U$1,test!$A$3:$F$32,2,FALSE))&lt;=test!$K$16,$A14&lt;&gt;U$1,feasible_mat!U14=1),(VLOOKUP(U$1,test!$A$3:$I$32,8,FALSE))-(VLOOKUP($A14,test!$A$3:$I$32,9,FALSE)),0)</f>
        <v>0</v>
      </c>
      <c r="V14">
        <f>IF(AND(SUM(VLOOKUP($A14,test!$A$3:$F$32,2,FALSE),VLOOKUP(V$1,test!$A$3:$F$32,2,FALSE))&lt;=test!$K$16,$A14&lt;&gt;V$1,feasible_mat!V14=1),(VLOOKUP(V$1,test!$A$3:$I$32,8,FALSE))-(VLOOKUP($A14,test!$A$3:$I$32,9,FALSE)),0)</f>
        <v>0</v>
      </c>
      <c r="W14">
        <f>IF(AND(SUM(VLOOKUP($A14,test!$A$3:$F$32,2,FALSE),VLOOKUP(W$1,test!$A$3:$F$32,2,FALSE))&lt;=test!$K$16,$A14&lt;&gt;W$1,feasible_mat!W14=1),(VLOOKUP(W$1,test!$A$3:$I$32,8,FALSE))-(VLOOKUP($A14,test!$A$3:$I$32,9,FALSE)),0)</f>
        <v>0</v>
      </c>
      <c r="X14">
        <f>IF(AND(SUM(VLOOKUP($A14,test!$A$3:$F$32,2,FALSE),VLOOKUP(X$1,test!$A$3:$F$32,2,FALSE))&lt;=test!$K$16,$A14&lt;&gt;X$1,feasible_mat!X14=1),(VLOOKUP(X$1,test!$A$3:$I$32,8,FALSE))-(VLOOKUP($A14,test!$A$3:$I$32,9,FALSE)),0)</f>
        <v>0</v>
      </c>
      <c r="Y14">
        <f>IF(AND(SUM(VLOOKUP($A14,test!$A$3:$F$32,2,FALSE),VLOOKUP(Y$1,test!$A$3:$F$32,2,FALSE))&lt;=test!$K$16,$A14&lt;&gt;Y$1,feasible_mat!Y14=1),(VLOOKUP(Y$1,test!$A$3:$I$32,8,FALSE))-(VLOOKUP($A14,test!$A$3:$I$32,9,FALSE)),0)</f>
        <v>0</v>
      </c>
      <c r="Z14">
        <f>IF(AND(SUM(VLOOKUP($A14,test!$A$3:$F$32,2,FALSE),VLOOKUP(Z$1,test!$A$3:$F$32,2,FALSE))&lt;=test!$K$16,$A14&lt;&gt;Z$1,feasible_mat!Z14=1),(VLOOKUP(Z$1,test!$A$3:$I$32,8,FALSE))-(VLOOKUP($A14,test!$A$3:$I$32,9,FALSE)),0)</f>
        <v>0</v>
      </c>
      <c r="AA14">
        <f>IF(AND(SUM(VLOOKUP($A14,test!$A$3:$F$32,2,FALSE),VLOOKUP(AA$1,test!$A$3:$F$32,2,FALSE))&lt;=test!$K$16,$A14&lt;&gt;AA$1,feasible_mat!AA14=1),(VLOOKUP(AA$1,test!$A$3:$I$32,8,FALSE))-(VLOOKUP($A14,test!$A$3:$I$32,9,FALSE)),0)</f>
        <v>0</v>
      </c>
      <c r="AB14">
        <f>IF(AND(SUM(VLOOKUP($A14,test!$A$3:$F$32,2,FALSE),VLOOKUP(AB$1,test!$A$3:$F$32,2,FALSE))&lt;=test!$K$16,$A14&lt;&gt;AB$1,feasible_mat!AB14=1),(VLOOKUP(AB$1,test!$A$3:$I$32,8,FALSE))-(VLOOKUP($A14,test!$A$3:$I$32,9,FALSE)),0)</f>
        <v>0</v>
      </c>
      <c r="AC14">
        <f>IF(AND(SUM(VLOOKUP($A14,test!$A$3:$F$32,2,FALSE),VLOOKUP(AC$1,test!$A$3:$F$32,2,FALSE))&lt;=test!$K$16,$A14&lt;&gt;AC$1,feasible_mat!AC14=1),(VLOOKUP(AC$1,test!$A$3:$I$32,8,FALSE))-(VLOOKUP($A14,test!$A$3:$I$32,9,FALSE)),0)</f>
        <v>0</v>
      </c>
      <c r="AD14">
        <f>IF(AND(SUM(VLOOKUP($A14,test!$A$3:$F$32,2,FALSE),VLOOKUP(AD$1,test!$A$3:$F$32,2,FALSE))&lt;=test!$K$16,$A14&lt;&gt;AD$1,feasible_mat!AD14=1),(VLOOKUP(AD$1,test!$A$3:$I$32,8,FALSE))-(VLOOKUP($A14,test!$A$3:$I$32,9,FALSE)),0)</f>
        <v>0</v>
      </c>
      <c r="AE14">
        <f>IF(AND(SUM(VLOOKUP($A14,test!$A$3:$F$32,2,FALSE),VLOOKUP(AE$1,test!$A$3:$F$32,2,FALSE))&lt;=test!$K$16,$A14&lt;&gt;AE$1,feasible_mat!AE14=1),(VLOOKUP(AE$1,test!$A$3:$I$32,8,FALSE))-(VLOOKUP($A14,test!$A$3:$I$32,9,FALSE)),0)</f>
        <v>0</v>
      </c>
      <c r="AF14">
        <f>IF(AND(SUM(VLOOKUP($A14,test!$A$3:$F$32,2,FALSE),VLOOKUP(AF$1,test!$A$3:$F$32,2,FALSE))&lt;=test!$K$16,$A14&lt;&gt;AF$1,feasible_mat!AF14=1),(VLOOKUP(AF$1,test!$A$3:$I$32,8,FALSE))-(VLOOKUP($A14,test!$A$3:$I$32,9,FALSE)),0)</f>
        <v>0</v>
      </c>
    </row>
    <row r="15" spans="1:36" x14ac:dyDescent="0.25">
      <c r="A15" t="s">
        <v>23</v>
      </c>
      <c r="B15">
        <v>0</v>
      </c>
      <c r="C15">
        <f>IF(AND(SUM(VLOOKUP($A15,test!$A$3:$F$32,2,FALSE),VLOOKUP(C$1,test!$A$3:$F$32,2,FALSE))&lt;=test!$K$16,$A15&lt;&gt;C$1,feasible_mat!C15=1),(VLOOKUP(C$1,test!$A$3:$I$32,8,FALSE))-(VLOOKUP($A15,test!$A$3:$I$32,9,FALSE)),0)</f>
        <v>0</v>
      </c>
      <c r="D15">
        <f>IF(AND(SUM(VLOOKUP($A15,test!$A$3:$F$32,2,FALSE),VLOOKUP(D$1,test!$A$3:$F$32,2,FALSE))&lt;=test!$K$16,$A15&lt;&gt;D$1,feasible_mat!D15=1),(VLOOKUP(D$1,test!$A$3:$I$32,8,FALSE))-(VLOOKUP($A15,test!$A$3:$I$32,9,FALSE)),0)</f>
        <v>0</v>
      </c>
      <c r="E15">
        <f>IF(AND(SUM(VLOOKUP($A15,test!$A$3:$F$32,2,FALSE),VLOOKUP(E$1,test!$A$3:$F$32,2,FALSE))&lt;=test!$K$16,$A15&lt;&gt;E$1,feasible_mat!E15=1),(VLOOKUP(E$1,test!$A$3:$I$32,8,FALSE))-(VLOOKUP($A15,test!$A$3:$I$32,9,FALSE)),0)</f>
        <v>0</v>
      </c>
      <c r="F15">
        <f>IF(AND(SUM(VLOOKUP($A15,test!$A$3:$F$32,2,FALSE),VLOOKUP(F$1,test!$A$3:$F$32,2,FALSE))&lt;=test!$K$16,$A15&lt;&gt;F$1,feasible_mat!F15=1),(VLOOKUP(F$1,test!$A$3:$I$32,8,FALSE))-(VLOOKUP($A15,test!$A$3:$I$32,9,FALSE)),0)</f>
        <v>0</v>
      </c>
      <c r="G15">
        <f>IF(AND(SUM(VLOOKUP($A15,test!$A$3:$F$32,2,FALSE),VLOOKUP(G$1,test!$A$3:$F$32,2,FALSE))&lt;=test!$K$16,$A15&lt;&gt;G$1,feasible_mat!G15=1),(VLOOKUP(G$1,test!$A$3:$I$32,8,FALSE))-(VLOOKUP($A15,test!$A$3:$I$32,9,FALSE)),0)</f>
        <v>0</v>
      </c>
      <c r="H15">
        <f>IF(AND(SUM(VLOOKUP($A15,test!$A$3:$F$32,2,FALSE),VLOOKUP(H$1,test!$A$3:$F$32,2,FALSE))&lt;=test!$K$16,$A15&lt;&gt;H$1,feasible_mat!H15=1),(VLOOKUP(H$1,test!$A$3:$I$32,8,FALSE))-(VLOOKUP($A15,test!$A$3:$I$32,9,FALSE)),0)</f>
        <v>0</v>
      </c>
      <c r="I15">
        <f>IF(AND(SUM(VLOOKUP($A15,test!$A$3:$F$32,2,FALSE),VLOOKUP(I$1,test!$A$3:$F$32,2,FALSE))&lt;=test!$K$16,$A15&lt;&gt;I$1,feasible_mat!I15=1),(VLOOKUP(I$1,test!$A$3:$I$32,8,FALSE))-(VLOOKUP($A15,test!$A$3:$I$32,9,FALSE)),0)</f>
        <v>0</v>
      </c>
      <c r="J15">
        <f>IF(AND(SUM(VLOOKUP($A15,test!$A$3:$F$32,2,FALSE),VLOOKUP(J$1,test!$A$3:$F$32,2,FALSE))&lt;=test!$K$16,$A15&lt;&gt;J$1,feasible_mat!J15=1),(VLOOKUP(J$1,test!$A$3:$I$32,8,FALSE))-(VLOOKUP($A15,test!$A$3:$I$32,9,FALSE)),0)</f>
        <v>0</v>
      </c>
      <c r="K15">
        <f>IF(AND(SUM(VLOOKUP($A15,test!$A$3:$F$32,2,FALSE),VLOOKUP(K$1,test!$A$3:$F$32,2,FALSE))&lt;=test!$K$16,$A15&lt;&gt;K$1,feasible_mat!K15=1),(VLOOKUP(K$1,test!$A$3:$I$32,8,FALSE))-(VLOOKUP($A15,test!$A$3:$I$32,9,FALSE)),0)</f>
        <v>0</v>
      </c>
      <c r="L15">
        <f>IF(AND(SUM(VLOOKUP($A15,test!$A$3:$F$32,2,FALSE),VLOOKUP(L$1,test!$A$3:$F$32,2,FALSE))&lt;=test!$K$16,$A15&lt;&gt;L$1,feasible_mat!L15=1),(VLOOKUP(L$1,test!$A$3:$I$32,8,FALSE))-(VLOOKUP($A15,test!$A$3:$I$32,9,FALSE)),0)</f>
        <v>0</v>
      </c>
      <c r="M15">
        <f>IF(AND(SUM(VLOOKUP($A15,test!$A$3:$F$32,2,FALSE),VLOOKUP(M$1,test!$A$3:$F$32,2,FALSE))&lt;=test!$K$16,$A15&lt;&gt;M$1,feasible_mat!M15=1),(VLOOKUP(M$1,test!$A$3:$I$32,8,FALSE))-(VLOOKUP($A15,test!$A$3:$I$32,9,FALSE)),0)</f>
        <v>0</v>
      </c>
      <c r="N15">
        <f>IF(AND(SUM(VLOOKUP($A15,test!$A$3:$F$32,2,FALSE),VLOOKUP(N$1,test!$A$3:$F$32,2,FALSE))&lt;=test!$K$16,$A15&lt;&gt;N$1,feasible_mat!N15=1),(VLOOKUP(N$1,test!$A$3:$I$32,8,FALSE))-(VLOOKUP($A15,test!$A$3:$I$32,9,FALSE)),0)</f>
        <v>0</v>
      </c>
      <c r="O15">
        <f>IF(AND(SUM(VLOOKUP($A15,test!$A$3:$F$32,2,FALSE),VLOOKUP(O$1,test!$A$3:$F$32,2,FALSE))&lt;=test!$K$16,$A15&lt;&gt;O$1,feasible_mat!O15=1),(VLOOKUP(O$1,test!$A$3:$I$32,8,FALSE))-(VLOOKUP($A15,test!$A$3:$I$32,9,FALSE)),0)</f>
        <v>0</v>
      </c>
      <c r="P15">
        <f>IF(AND(SUM(VLOOKUP($A15,test!$A$3:$F$32,2,FALSE),VLOOKUP(P$1,test!$A$3:$F$32,2,FALSE))&lt;=test!$K$16,$A15&lt;&gt;P$1,feasible_mat!P15=1),(VLOOKUP(P$1,test!$A$3:$I$32,8,FALSE))-(VLOOKUP($A15,test!$A$3:$I$32,9,FALSE)),0)</f>
        <v>0</v>
      </c>
      <c r="Q15">
        <f>IF(AND(SUM(VLOOKUP($A15,test!$A$3:$F$32,2,FALSE),VLOOKUP(Q$1,test!$A$3:$F$32,2,FALSE))&lt;=test!$K$16,$A15&lt;&gt;Q$1,feasible_mat!Q15=1),(VLOOKUP(Q$1,test!$A$3:$I$32,8,FALSE))-(VLOOKUP($A15,test!$A$3:$I$32,9,FALSE)),0)</f>
        <v>0</v>
      </c>
      <c r="R15">
        <f>IF(AND(SUM(VLOOKUP($A15,test!$A$3:$F$32,2,FALSE),VLOOKUP(R$1,test!$A$3:$F$32,2,FALSE))&lt;=test!$K$16,$A15&lt;&gt;R$1,feasible_mat!R15=1),(VLOOKUP(R$1,test!$A$3:$I$32,8,FALSE))-(VLOOKUP($A15,test!$A$3:$I$32,9,FALSE)),0)</f>
        <v>0</v>
      </c>
      <c r="S15">
        <f>IF(AND(SUM(VLOOKUP($A15,test!$A$3:$F$32,2,FALSE),VLOOKUP(S$1,test!$A$3:$F$32,2,FALSE))&lt;=test!$K$16,$A15&lt;&gt;S$1,feasible_mat!S15=1),(VLOOKUP(S$1,test!$A$3:$I$32,8,FALSE))-(VLOOKUP($A15,test!$A$3:$I$32,9,FALSE)),0)</f>
        <v>0</v>
      </c>
      <c r="T15">
        <f>IF(AND(SUM(VLOOKUP($A15,test!$A$3:$F$32,2,FALSE),VLOOKUP(T$1,test!$A$3:$F$32,2,FALSE))&lt;=test!$K$16,$A15&lt;&gt;T$1,feasible_mat!T15=1),(VLOOKUP(T$1,test!$A$3:$I$32,8,FALSE))-(VLOOKUP($A15,test!$A$3:$I$32,9,FALSE)),0)</f>
        <v>0</v>
      </c>
      <c r="U15">
        <f>IF(AND(SUM(VLOOKUP($A15,test!$A$3:$F$32,2,FALSE),VLOOKUP(U$1,test!$A$3:$F$32,2,FALSE))&lt;=test!$K$16,$A15&lt;&gt;U$1,feasible_mat!U15=1),(VLOOKUP(U$1,test!$A$3:$I$32,8,FALSE))-(VLOOKUP($A15,test!$A$3:$I$32,9,FALSE)),0)</f>
        <v>0</v>
      </c>
      <c r="V15">
        <f>IF(AND(SUM(VLOOKUP($A15,test!$A$3:$F$32,2,FALSE),VLOOKUP(V$1,test!$A$3:$F$32,2,FALSE))&lt;=test!$K$16,$A15&lt;&gt;V$1,feasible_mat!V15=1),(VLOOKUP(V$1,test!$A$3:$I$32,8,FALSE))-(VLOOKUP($A15,test!$A$3:$I$32,9,FALSE)),0)</f>
        <v>0</v>
      </c>
      <c r="W15">
        <f>IF(AND(SUM(VLOOKUP($A15,test!$A$3:$F$32,2,FALSE),VLOOKUP(W$1,test!$A$3:$F$32,2,FALSE))&lt;=test!$K$16,$A15&lt;&gt;W$1,feasible_mat!W15=1),(VLOOKUP(W$1,test!$A$3:$I$32,8,FALSE))-(VLOOKUP($A15,test!$A$3:$I$32,9,FALSE)),0)</f>
        <v>0</v>
      </c>
      <c r="X15">
        <f>IF(AND(SUM(VLOOKUP($A15,test!$A$3:$F$32,2,FALSE),VLOOKUP(X$1,test!$A$3:$F$32,2,FALSE))&lt;=test!$K$16,$A15&lt;&gt;X$1,feasible_mat!X15=1),(VLOOKUP(X$1,test!$A$3:$I$32,8,FALSE))-(VLOOKUP($A15,test!$A$3:$I$32,9,FALSE)),0)</f>
        <v>0</v>
      </c>
      <c r="Y15">
        <f>IF(AND(SUM(VLOOKUP($A15,test!$A$3:$F$32,2,FALSE),VLOOKUP(Y$1,test!$A$3:$F$32,2,FALSE))&lt;=test!$K$16,$A15&lt;&gt;Y$1,feasible_mat!Y15=1),(VLOOKUP(Y$1,test!$A$3:$I$32,8,FALSE))-(VLOOKUP($A15,test!$A$3:$I$32,9,FALSE)),0)</f>
        <v>0</v>
      </c>
      <c r="Z15">
        <f>IF(AND(SUM(VLOOKUP($A15,test!$A$3:$F$32,2,FALSE),VLOOKUP(Z$1,test!$A$3:$F$32,2,FALSE))&lt;=test!$K$16,$A15&lt;&gt;Z$1,feasible_mat!Z15=1),(VLOOKUP(Z$1,test!$A$3:$I$32,8,FALSE))-(VLOOKUP($A15,test!$A$3:$I$32,9,FALSE)),0)</f>
        <v>0</v>
      </c>
      <c r="AA15">
        <f>IF(AND(SUM(VLOOKUP($A15,test!$A$3:$F$32,2,FALSE),VLOOKUP(AA$1,test!$A$3:$F$32,2,FALSE))&lt;=test!$K$16,$A15&lt;&gt;AA$1,feasible_mat!AA15=1),(VLOOKUP(AA$1,test!$A$3:$I$32,8,FALSE))-(VLOOKUP($A15,test!$A$3:$I$32,9,FALSE)),0)</f>
        <v>0</v>
      </c>
      <c r="AB15">
        <f>IF(AND(SUM(VLOOKUP($A15,test!$A$3:$F$32,2,FALSE),VLOOKUP(AB$1,test!$A$3:$F$32,2,FALSE))&lt;=test!$K$16,$A15&lt;&gt;AB$1,feasible_mat!AB15=1),(VLOOKUP(AB$1,test!$A$3:$I$32,8,FALSE))-(VLOOKUP($A15,test!$A$3:$I$32,9,FALSE)),0)</f>
        <v>0</v>
      </c>
      <c r="AC15">
        <f>IF(AND(SUM(VLOOKUP($A15,test!$A$3:$F$32,2,FALSE),VLOOKUP(AC$1,test!$A$3:$F$32,2,FALSE))&lt;=test!$K$16,$A15&lt;&gt;AC$1,feasible_mat!AC15=1),(VLOOKUP(AC$1,test!$A$3:$I$32,8,FALSE))-(VLOOKUP($A15,test!$A$3:$I$32,9,FALSE)),0)</f>
        <v>0</v>
      </c>
      <c r="AD15">
        <f>IF(AND(SUM(VLOOKUP($A15,test!$A$3:$F$32,2,FALSE),VLOOKUP(AD$1,test!$A$3:$F$32,2,FALSE))&lt;=test!$K$16,$A15&lt;&gt;AD$1,feasible_mat!AD15=1),(VLOOKUP(AD$1,test!$A$3:$I$32,8,FALSE))-(VLOOKUP($A15,test!$A$3:$I$32,9,FALSE)),0)</f>
        <v>0</v>
      </c>
      <c r="AE15">
        <f>IF(AND(SUM(VLOOKUP($A15,test!$A$3:$F$32,2,FALSE),VLOOKUP(AE$1,test!$A$3:$F$32,2,FALSE))&lt;=test!$K$16,$A15&lt;&gt;AE$1,feasible_mat!AE15=1),(VLOOKUP(AE$1,test!$A$3:$I$32,8,FALSE))-(VLOOKUP($A15,test!$A$3:$I$32,9,FALSE)),0)</f>
        <v>0</v>
      </c>
      <c r="AF15">
        <f>IF(AND(SUM(VLOOKUP($A15,test!$A$3:$F$32,2,FALSE),VLOOKUP(AF$1,test!$A$3:$F$32,2,FALSE))&lt;=test!$K$16,$A15&lt;&gt;AF$1,feasible_mat!AF15=1),(VLOOKUP(AF$1,test!$A$3:$I$32,8,FALSE))-(VLOOKUP($A15,test!$A$3:$I$32,9,FALSE)),0)</f>
        <v>0</v>
      </c>
      <c r="AJ15" s="16">
        <f>IF(SUM(VLOOKUP($A11,test!$A$3:$F$32,2,FALSE),VLOOKUP(AF$1,test!$A$3:$F$32,2,FALSE))&lt;=test!$K$16,IF(AND($A11&lt;&gt;AF$1,feasible_mat!AF11=1),(VLOOKUP(AF$1,test!$A$3:$I$32,8,FALSE))-(VLOOKUP($A11,test!$A$3:$I$32,9,FALSE)),0),IF(AND($A11&lt;&gt;AF$1,feasible_mat!AF11=1),(VLOOKUP(AF$1,test!$A$3:$I$32,8,FALSE))-(VLOOKUP($A11,test!$A$3:$I$32,9,FALSE))-50,0))</f>
        <v>65</v>
      </c>
    </row>
    <row r="16" spans="1:36" x14ac:dyDescent="0.25">
      <c r="A16" t="s">
        <v>24</v>
      </c>
      <c r="B16">
        <v>0</v>
      </c>
      <c r="C16">
        <f>IF(AND(SUM(VLOOKUP($A16,test!$A$3:$F$32,2,FALSE),VLOOKUP(C$1,test!$A$3:$F$32,2,FALSE))&lt;=test!$K$16,$A16&lt;&gt;C$1,feasible_mat!C16=1),(VLOOKUP(C$1,test!$A$3:$I$32,8,FALSE))-(VLOOKUP($A16,test!$A$3:$I$32,9,FALSE)),0)</f>
        <v>0</v>
      </c>
      <c r="D16">
        <f>IF(AND(SUM(VLOOKUP($A16,test!$A$3:$F$32,2,FALSE),VLOOKUP(D$1,test!$A$3:$F$32,2,FALSE))&lt;=test!$K$16,$A16&lt;&gt;D$1,feasible_mat!D16=1),(VLOOKUP(D$1,test!$A$3:$I$32,8,FALSE))-(VLOOKUP($A16,test!$A$3:$I$32,9,FALSE)),0)</f>
        <v>0</v>
      </c>
      <c r="E16">
        <f>IF(AND(SUM(VLOOKUP($A16,test!$A$3:$F$32,2,FALSE),VLOOKUP(E$1,test!$A$3:$F$32,2,FALSE))&lt;=test!$K$16,$A16&lt;&gt;E$1,feasible_mat!E16=1),(VLOOKUP(E$1,test!$A$3:$I$32,8,FALSE))-(VLOOKUP($A16,test!$A$3:$I$32,9,FALSE)),0)</f>
        <v>60</v>
      </c>
      <c r="F16">
        <f>IF(AND(SUM(VLOOKUP($A16,test!$A$3:$F$32,2,FALSE),VLOOKUP(F$1,test!$A$3:$F$32,2,FALSE))&lt;=test!$K$16,$A16&lt;&gt;F$1,feasible_mat!F16=1),(VLOOKUP(F$1,test!$A$3:$I$32,8,FALSE))-(VLOOKUP($A16,test!$A$3:$I$32,9,FALSE)),0)</f>
        <v>150</v>
      </c>
      <c r="G16">
        <f>IF(AND(SUM(VLOOKUP($A16,test!$A$3:$F$32,2,FALSE),VLOOKUP(G$1,test!$A$3:$F$32,2,FALSE))&lt;=test!$K$16,$A16&lt;&gt;G$1,feasible_mat!G16=1),(VLOOKUP(G$1,test!$A$3:$I$32,8,FALSE))-(VLOOKUP($A16,test!$A$3:$I$32,9,FALSE)),0)</f>
        <v>210</v>
      </c>
      <c r="H16">
        <f>IF(AND(SUM(VLOOKUP($A16,test!$A$3:$F$32,2,FALSE),VLOOKUP(H$1,test!$A$3:$F$32,2,FALSE))&lt;=test!$K$16,$A16&lt;&gt;H$1,feasible_mat!H16=1),(VLOOKUP(H$1,test!$A$3:$I$32,8,FALSE))-(VLOOKUP($A16,test!$A$3:$I$32,9,FALSE)),0)</f>
        <v>270</v>
      </c>
      <c r="I16">
        <f>IF(AND(SUM(VLOOKUP($A16,test!$A$3:$F$32,2,FALSE),VLOOKUP(I$1,test!$A$3:$F$32,2,FALSE))&lt;=test!$K$16,$A16&lt;&gt;I$1,feasible_mat!I16=1),(VLOOKUP(I$1,test!$A$3:$I$32,8,FALSE))-(VLOOKUP($A16,test!$A$3:$I$32,9,FALSE)),0)</f>
        <v>330</v>
      </c>
      <c r="J16">
        <f>IF(AND(SUM(VLOOKUP($A16,test!$A$3:$F$32,2,FALSE),VLOOKUP(J$1,test!$A$3:$F$32,2,FALSE))&lt;=test!$K$16,$A16&lt;&gt;J$1,feasible_mat!J16=1),(VLOOKUP(J$1,test!$A$3:$I$32,8,FALSE))-(VLOOKUP($A16,test!$A$3:$I$32,9,FALSE)),0)</f>
        <v>420</v>
      </c>
      <c r="K16">
        <f>IF(AND(SUM(VLOOKUP($A16,test!$A$3:$F$32,2,FALSE),VLOOKUP(K$1,test!$A$3:$F$32,2,FALSE))&lt;=test!$K$16,$A16&lt;&gt;K$1,feasible_mat!K16=1),(VLOOKUP(K$1,test!$A$3:$I$32,8,FALSE))-(VLOOKUP($A16,test!$A$3:$I$32,9,FALSE)),0)</f>
        <v>0</v>
      </c>
      <c r="L16">
        <f>IF(AND(SUM(VLOOKUP($A16,test!$A$3:$F$32,2,FALSE),VLOOKUP(L$1,test!$A$3:$F$32,2,FALSE))&lt;=test!$K$16,$A16&lt;&gt;L$1,feasible_mat!L16=1),(VLOOKUP(L$1,test!$A$3:$I$32,8,FALSE))-(VLOOKUP($A16,test!$A$3:$I$32,9,FALSE)),0)</f>
        <v>0</v>
      </c>
      <c r="M16">
        <f>IF(AND(SUM(VLOOKUP($A16,test!$A$3:$F$32,2,FALSE),VLOOKUP(M$1,test!$A$3:$F$32,2,FALSE))&lt;=test!$K$16,$A16&lt;&gt;M$1,feasible_mat!M16=1),(VLOOKUP(M$1,test!$A$3:$I$32,8,FALSE))-(VLOOKUP($A16,test!$A$3:$I$32,9,FALSE)),0)</f>
        <v>25</v>
      </c>
      <c r="N16">
        <f>IF(AND(SUM(VLOOKUP($A16,test!$A$3:$F$32,2,FALSE),VLOOKUP(N$1,test!$A$3:$F$32,2,FALSE))&lt;=test!$K$16,$A16&lt;&gt;N$1,feasible_mat!N16=1),(VLOOKUP(N$1,test!$A$3:$I$32,8,FALSE))-(VLOOKUP($A16,test!$A$3:$I$32,9,FALSE)),0)</f>
        <v>385</v>
      </c>
      <c r="O16">
        <f>IF(AND(SUM(VLOOKUP($A16,test!$A$3:$F$32,2,FALSE),VLOOKUP(O$1,test!$A$3:$F$32,2,FALSE))&lt;=test!$K$16,$A16&lt;&gt;O$1,feasible_mat!O16=1),(VLOOKUP(O$1,test!$A$3:$I$32,8,FALSE))-(VLOOKUP($A16,test!$A$3:$I$32,9,FALSE)),0)</f>
        <v>445</v>
      </c>
      <c r="P16">
        <f>IF(AND(SUM(VLOOKUP($A16,test!$A$3:$F$32,2,FALSE),VLOOKUP(P$1,test!$A$3:$F$32,2,FALSE))&lt;=test!$K$16,$A16&lt;&gt;P$1,feasible_mat!P16=1),(VLOOKUP(P$1,test!$A$3:$I$32,8,FALSE))-(VLOOKUP($A16,test!$A$3:$I$32,9,FALSE)),0)</f>
        <v>0</v>
      </c>
      <c r="Q16">
        <f>IF(AND(SUM(VLOOKUP($A16,test!$A$3:$F$32,2,FALSE),VLOOKUP(Q$1,test!$A$3:$F$32,2,FALSE))&lt;=test!$K$16,$A16&lt;&gt;Q$1,feasible_mat!Q16=1),(VLOOKUP(Q$1,test!$A$3:$I$32,8,FALSE))-(VLOOKUP($A16,test!$A$3:$I$32,9,FALSE)),0)</f>
        <v>0</v>
      </c>
      <c r="R16">
        <f>IF(AND(SUM(VLOOKUP($A16,test!$A$3:$F$32,2,FALSE),VLOOKUP(R$1,test!$A$3:$F$32,2,FALSE))&lt;=test!$K$16,$A16&lt;&gt;R$1,feasible_mat!R16=1),(VLOOKUP(R$1,test!$A$3:$I$32,8,FALSE))-(VLOOKUP($A16,test!$A$3:$I$32,9,FALSE)),0)</f>
        <v>0</v>
      </c>
      <c r="S16">
        <f>IF(AND(SUM(VLOOKUP($A16,test!$A$3:$F$32,2,FALSE),VLOOKUP(S$1,test!$A$3:$F$32,2,FALSE))&lt;=test!$K$16,$A16&lt;&gt;S$1,feasible_mat!S16=1),(VLOOKUP(S$1,test!$A$3:$I$32,8,FALSE))-(VLOOKUP($A16,test!$A$3:$I$32,9,FALSE)),0)</f>
        <v>0</v>
      </c>
      <c r="T16">
        <f>IF(AND(SUM(VLOOKUP($A16,test!$A$3:$F$32,2,FALSE),VLOOKUP(T$1,test!$A$3:$F$32,2,FALSE))&lt;=test!$K$16,$A16&lt;&gt;T$1,feasible_mat!T16=1),(VLOOKUP(T$1,test!$A$3:$I$32,8,FALSE))-(VLOOKUP($A16,test!$A$3:$I$32,9,FALSE)),0)</f>
        <v>40</v>
      </c>
      <c r="U16">
        <f>IF(AND(SUM(VLOOKUP($A16,test!$A$3:$F$32,2,FALSE),VLOOKUP(U$1,test!$A$3:$F$32,2,FALSE))&lt;=test!$K$16,$A16&lt;&gt;U$1,feasible_mat!U16=1),(VLOOKUP(U$1,test!$A$3:$I$32,8,FALSE))-(VLOOKUP($A16,test!$A$3:$I$32,9,FALSE)),0)</f>
        <v>130</v>
      </c>
      <c r="V16">
        <f>IF(AND(SUM(VLOOKUP($A16,test!$A$3:$F$32,2,FALSE),VLOOKUP(V$1,test!$A$3:$F$32,2,FALSE))&lt;=test!$K$16,$A16&lt;&gt;V$1,feasible_mat!V16=1),(VLOOKUP(V$1,test!$A$3:$I$32,8,FALSE))-(VLOOKUP($A16,test!$A$3:$I$32,9,FALSE)),0)</f>
        <v>220</v>
      </c>
      <c r="W16">
        <f>IF(AND(SUM(VLOOKUP($A16,test!$A$3:$F$32,2,FALSE),VLOOKUP(W$1,test!$A$3:$F$32,2,FALSE))&lt;=test!$K$16,$A16&lt;&gt;W$1,feasible_mat!W16=1),(VLOOKUP(W$1,test!$A$3:$I$32,8,FALSE))-(VLOOKUP($A16,test!$A$3:$I$32,9,FALSE)),0)</f>
        <v>310</v>
      </c>
      <c r="X16">
        <f>IF(AND(SUM(VLOOKUP($A16,test!$A$3:$F$32,2,FALSE),VLOOKUP(X$1,test!$A$3:$F$32,2,FALSE))&lt;=test!$K$16,$A16&lt;&gt;X$1,feasible_mat!X16=1),(VLOOKUP(X$1,test!$A$3:$I$32,8,FALSE))-(VLOOKUP($A16,test!$A$3:$I$32,9,FALSE)),0)</f>
        <v>370</v>
      </c>
      <c r="Y16">
        <f>IF(AND(SUM(VLOOKUP($A16,test!$A$3:$F$32,2,FALSE),VLOOKUP(Y$1,test!$A$3:$F$32,2,FALSE))&lt;=test!$K$16,$A16&lt;&gt;Y$1,feasible_mat!Y16=1),(VLOOKUP(Y$1,test!$A$3:$I$32,8,FALSE))-(VLOOKUP($A16,test!$A$3:$I$32,9,FALSE)),0)</f>
        <v>0</v>
      </c>
      <c r="Z16">
        <f>IF(AND(SUM(VLOOKUP($A16,test!$A$3:$F$32,2,FALSE),VLOOKUP(Z$1,test!$A$3:$F$32,2,FALSE))&lt;=test!$K$16,$A16&lt;&gt;Z$1,feasible_mat!Z16=1),(VLOOKUP(Z$1,test!$A$3:$I$32,8,FALSE))-(VLOOKUP($A16,test!$A$3:$I$32,9,FALSE)),0)</f>
        <v>0</v>
      </c>
      <c r="AA16">
        <f>IF(AND(SUM(VLOOKUP($A16,test!$A$3:$F$32,2,FALSE),VLOOKUP(AA$1,test!$A$3:$F$32,2,FALSE))&lt;=test!$K$16,$A16&lt;&gt;AA$1,feasible_mat!AA16=1),(VLOOKUP(AA$1,test!$A$3:$I$32,8,FALSE))-(VLOOKUP($A16,test!$A$3:$I$32,9,FALSE)),0)</f>
        <v>90</v>
      </c>
      <c r="AB16">
        <f>IF(AND(SUM(VLOOKUP($A16,test!$A$3:$F$32,2,FALSE),VLOOKUP(AB$1,test!$A$3:$F$32,2,FALSE))&lt;=test!$K$16,$A16&lt;&gt;AB$1,feasible_mat!AB16=1),(VLOOKUP(AB$1,test!$A$3:$I$32,8,FALSE))-(VLOOKUP($A16,test!$A$3:$I$32,9,FALSE)),0)</f>
        <v>150</v>
      </c>
      <c r="AC16">
        <f>IF(AND(SUM(VLOOKUP($A16,test!$A$3:$F$32,2,FALSE),VLOOKUP(AC$1,test!$A$3:$F$32,2,FALSE))&lt;=test!$K$16,$A16&lt;&gt;AC$1,feasible_mat!AC16=1),(VLOOKUP(AC$1,test!$A$3:$I$32,8,FALSE))-(VLOOKUP($A16,test!$A$3:$I$32,9,FALSE)),0)</f>
        <v>270</v>
      </c>
      <c r="AD16">
        <f>IF(AND(SUM(VLOOKUP($A16,test!$A$3:$F$32,2,FALSE),VLOOKUP(AD$1,test!$A$3:$F$32,2,FALSE))&lt;=test!$K$16,$A16&lt;&gt;AD$1,feasible_mat!AD16=1),(VLOOKUP(AD$1,test!$A$3:$I$32,8,FALSE))-(VLOOKUP($A16,test!$A$3:$I$32,9,FALSE)),0)</f>
        <v>0</v>
      </c>
      <c r="AE16">
        <f>IF(AND(SUM(VLOOKUP($A16,test!$A$3:$F$32,2,FALSE),VLOOKUP(AE$1,test!$A$3:$F$32,2,FALSE))&lt;=test!$K$16,$A16&lt;&gt;AE$1,feasible_mat!AE16=1),(VLOOKUP(AE$1,test!$A$3:$I$32,8,FALSE))-(VLOOKUP($A16,test!$A$3:$I$32,9,FALSE)),0)</f>
        <v>0</v>
      </c>
      <c r="AF16">
        <f>IF(AND(SUM(VLOOKUP($A16,test!$A$3:$F$32,2,FALSE),VLOOKUP(AF$1,test!$A$3:$F$32,2,FALSE))&lt;=test!$K$16,$A16&lt;&gt;AF$1,feasible_mat!AF16=1),(VLOOKUP(AF$1,test!$A$3:$I$32,8,FALSE))-(VLOOKUP($A16,test!$A$3:$I$32,9,FALSE)),0)</f>
        <v>0</v>
      </c>
      <c r="AJ16" s="16" t="s">
        <v>85</v>
      </c>
    </row>
    <row r="17" spans="1:36" x14ac:dyDescent="0.25">
      <c r="A17" t="s">
        <v>26</v>
      </c>
      <c r="B17">
        <v>0</v>
      </c>
      <c r="C17">
        <f>IF(AND(SUM(VLOOKUP($A17,test!$A$3:$F$32,2,FALSE),VLOOKUP(C$1,test!$A$3:$F$32,2,FALSE))&lt;=test!$K$16,$A17&lt;&gt;C$1,feasible_mat!C17=1),(VLOOKUP(C$1,test!$A$3:$I$32,8,FALSE))-(VLOOKUP($A17,test!$A$3:$I$32,9,FALSE)),0)</f>
        <v>0</v>
      </c>
      <c r="D17">
        <f>IF(AND(SUM(VLOOKUP($A17,test!$A$3:$F$32,2,FALSE),VLOOKUP(D$1,test!$A$3:$F$32,2,FALSE))&lt;=test!$K$16,$A17&lt;&gt;D$1,feasible_mat!D17=1),(VLOOKUP(D$1,test!$A$3:$I$32,8,FALSE))-(VLOOKUP($A17,test!$A$3:$I$32,9,FALSE)),0)</f>
        <v>65</v>
      </c>
      <c r="E17">
        <f>IF(AND(SUM(VLOOKUP($A17,test!$A$3:$F$32,2,FALSE),VLOOKUP(E$1,test!$A$3:$F$32,2,FALSE))&lt;=test!$K$16,$A17&lt;&gt;E$1,feasible_mat!E17=1),(VLOOKUP(E$1,test!$A$3:$I$32,8,FALSE))-(VLOOKUP($A17,test!$A$3:$I$32,9,FALSE)),0)</f>
        <v>155</v>
      </c>
      <c r="F17">
        <f>IF(AND(SUM(VLOOKUP($A17,test!$A$3:$F$32,2,FALSE),VLOOKUP(F$1,test!$A$3:$F$32,2,FALSE))&lt;=test!$K$16,$A17&lt;&gt;F$1,feasible_mat!F17=1),(VLOOKUP(F$1,test!$A$3:$I$32,8,FALSE))-(VLOOKUP($A17,test!$A$3:$I$32,9,FALSE)),0)</f>
        <v>245</v>
      </c>
      <c r="G17">
        <f>IF(AND(SUM(VLOOKUP($A17,test!$A$3:$F$32,2,FALSE),VLOOKUP(G$1,test!$A$3:$F$32,2,FALSE))&lt;=test!$K$16,$A17&lt;&gt;G$1,feasible_mat!G17=1),(VLOOKUP(G$1,test!$A$3:$I$32,8,FALSE))-(VLOOKUP($A17,test!$A$3:$I$32,9,FALSE)),0)</f>
        <v>305</v>
      </c>
      <c r="H17">
        <f>IF(AND(SUM(VLOOKUP($A17,test!$A$3:$F$32,2,FALSE),VLOOKUP(H$1,test!$A$3:$F$32,2,FALSE))&lt;=test!$K$16,$A17&lt;&gt;H$1,feasible_mat!H17=1),(VLOOKUP(H$1,test!$A$3:$I$32,8,FALSE))-(VLOOKUP($A17,test!$A$3:$I$32,9,FALSE)),0)</f>
        <v>365</v>
      </c>
      <c r="I17">
        <f>IF(AND(SUM(VLOOKUP($A17,test!$A$3:$F$32,2,FALSE),VLOOKUP(I$1,test!$A$3:$F$32,2,FALSE))&lt;=test!$K$16,$A17&lt;&gt;I$1,feasible_mat!I17=1),(VLOOKUP(I$1,test!$A$3:$I$32,8,FALSE))-(VLOOKUP($A17,test!$A$3:$I$32,9,FALSE)),0)</f>
        <v>425</v>
      </c>
      <c r="J17">
        <f>IF(AND(SUM(VLOOKUP($A17,test!$A$3:$F$32,2,FALSE),VLOOKUP(J$1,test!$A$3:$F$32,2,FALSE))&lt;=test!$K$16,$A17&lt;&gt;J$1,feasible_mat!J17=1),(VLOOKUP(J$1,test!$A$3:$I$32,8,FALSE))-(VLOOKUP($A17,test!$A$3:$I$32,9,FALSE)),0)</f>
        <v>515</v>
      </c>
      <c r="K17">
        <f>IF(AND(SUM(VLOOKUP($A17,test!$A$3:$F$32,2,FALSE),VLOOKUP(K$1,test!$A$3:$F$32,2,FALSE))&lt;=test!$K$16,$A17&lt;&gt;K$1,feasible_mat!K17=1),(VLOOKUP(K$1,test!$A$3:$I$32,8,FALSE))-(VLOOKUP($A17,test!$A$3:$I$32,9,FALSE)),0)</f>
        <v>0</v>
      </c>
      <c r="L17">
        <f>IF(AND(SUM(VLOOKUP($A17,test!$A$3:$F$32,2,FALSE),VLOOKUP(L$1,test!$A$3:$F$32,2,FALSE))&lt;=test!$K$16,$A17&lt;&gt;L$1,feasible_mat!L17=1),(VLOOKUP(L$1,test!$A$3:$I$32,8,FALSE))-(VLOOKUP($A17,test!$A$3:$I$32,9,FALSE)),0)</f>
        <v>0</v>
      </c>
      <c r="M17">
        <f>IF(AND(SUM(VLOOKUP($A17,test!$A$3:$F$32,2,FALSE),VLOOKUP(M$1,test!$A$3:$F$32,2,FALSE))&lt;=test!$K$16,$A17&lt;&gt;M$1,feasible_mat!M17=1),(VLOOKUP(M$1,test!$A$3:$I$32,8,FALSE))-(VLOOKUP($A17,test!$A$3:$I$32,9,FALSE)),0)</f>
        <v>120</v>
      </c>
      <c r="N17">
        <f>IF(AND(SUM(VLOOKUP($A17,test!$A$3:$F$32,2,FALSE),VLOOKUP(N$1,test!$A$3:$F$32,2,FALSE))&lt;=test!$K$16,$A17&lt;&gt;N$1,feasible_mat!N17=1),(VLOOKUP(N$1,test!$A$3:$I$32,8,FALSE))-(VLOOKUP($A17,test!$A$3:$I$32,9,FALSE)),0)</f>
        <v>480</v>
      </c>
      <c r="O17">
        <f>IF(AND(SUM(VLOOKUP($A17,test!$A$3:$F$32,2,FALSE),VLOOKUP(O$1,test!$A$3:$F$32,2,FALSE))&lt;=test!$K$16,$A17&lt;&gt;O$1,feasible_mat!O17=1),(VLOOKUP(O$1,test!$A$3:$I$32,8,FALSE))-(VLOOKUP($A17,test!$A$3:$I$32,9,FALSE)),0)</f>
        <v>540</v>
      </c>
      <c r="P17">
        <f>IF(AND(SUM(VLOOKUP($A17,test!$A$3:$F$32,2,FALSE),VLOOKUP(P$1,test!$A$3:$F$32,2,FALSE))&lt;=test!$K$16,$A17&lt;&gt;P$1,feasible_mat!P17=1),(VLOOKUP(P$1,test!$A$3:$I$32,8,FALSE))-(VLOOKUP($A17,test!$A$3:$I$32,9,FALSE)),0)</f>
        <v>0</v>
      </c>
      <c r="Q17">
        <f>IF(AND(SUM(VLOOKUP($A17,test!$A$3:$F$32,2,FALSE),VLOOKUP(Q$1,test!$A$3:$F$32,2,FALSE))&lt;=test!$K$16,$A17&lt;&gt;Q$1,feasible_mat!Q17=1),(VLOOKUP(Q$1,test!$A$3:$I$32,8,FALSE))-(VLOOKUP($A17,test!$A$3:$I$32,9,FALSE)),0)</f>
        <v>0</v>
      </c>
      <c r="R17">
        <f>IF(AND(SUM(VLOOKUP($A17,test!$A$3:$F$32,2,FALSE),VLOOKUP(R$1,test!$A$3:$F$32,2,FALSE))&lt;=test!$K$16,$A17&lt;&gt;R$1,feasible_mat!R17=1),(VLOOKUP(R$1,test!$A$3:$I$32,8,FALSE))-(VLOOKUP($A17,test!$A$3:$I$32,9,FALSE)),0)</f>
        <v>0</v>
      </c>
      <c r="S17">
        <f>IF(AND(SUM(VLOOKUP($A17,test!$A$3:$F$32,2,FALSE),VLOOKUP(S$1,test!$A$3:$F$32,2,FALSE))&lt;=test!$K$16,$A17&lt;&gt;S$1,feasible_mat!S17=1),(VLOOKUP(S$1,test!$A$3:$I$32,8,FALSE))-(VLOOKUP($A17,test!$A$3:$I$32,9,FALSE)),0)</f>
        <v>45</v>
      </c>
      <c r="T17">
        <f>IF(AND(SUM(VLOOKUP($A17,test!$A$3:$F$32,2,FALSE),VLOOKUP(T$1,test!$A$3:$F$32,2,FALSE))&lt;=test!$K$16,$A17&lt;&gt;T$1,feasible_mat!T17=1),(VLOOKUP(T$1,test!$A$3:$I$32,8,FALSE))-(VLOOKUP($A17,test!$A$3:$I$32,9,FALSE)),0)</f>
        <v>135</v>
      </c>
      <c r="U17">
        <f>IF(AND(SUM(VLOOKUP($A17,test!$A$3:$F$32,2,FALSE),VLOOKUP(U$1,test!$A$3:$F$32,2,FALSE))&lt;=test!$K$16,$A17&lt;&gt;U$1,feasible_mat!U17=1),(VLOOKUP(U$1,test!$A$3:$I$32,8,FALSE))-(VLOOKUP($A17,test!$A$3:$I$32,9,FALSE)),0)</f>
        <v>225</v>
      </c>
      <c r="V17">
        <f>IF(AND(SUM(VLOOKUP($A17,test!$A$3:$F$32,2,FALSE),VLOOKUP(V$1,test!$A$3:$F$32,2,FALSE))&lt;=test!$K$16,$A17&lt;&gt;V$1,feasible_mat!V17=1),(VLOOKUP(V$1,test!$A$3:$I$32,8,FALSE))-(VLOOKUP($A17,test!$A$3:$I$32,9,FALSE)),0)</f>
        <v>315</v>
      </c>
      <c r="W17">
        <f>IF(AND(SUM(VLOOKUP($A17,test!$A$3:$F$32,2,FALSE),VLOOKUP(W$1,test!$A$3:$F$32,2,FALSE))&lt;=test!$K$16,$A17&lt;&gt;W$1,feasible_mat!W17=1),(VLOOKUP(W$1,test!$A$3:$I$32,8,FALSE))-(VLOOKUP($A17,test!$A$3:$I$32,9,FALSE)),0)</f>
        <v>405</v>
      </c>
      <c r="X17">
        <f>IF(AND(SUM(VLOOKUP($A17,test!$A$3:$F$32,2,FALSE),VLOOKUP(X$1,test!$A$3:$F$32,2,FALSE))&lt;=test!$K$16,$A17&lt;&gt;X$1,feasible_mat!X17=1),(VLOOKUP(X$1,test!$A$3:$I$32,8,FALSE))-(VLOOKUP($A17,test!$A$3:$I$32,9,FALSE)),0)</f>
        <v>465</v>
      </c>
      <c r="Y17">
        <f>IF(AND(SUM(VLOOKUP($A17,test!$A$3:$F$32,2,FALSE),VLOOKUP(Y$1,test!$A$3:$F$32,2,FALSE))&lt;=test!$K$16,$A17&lt;&gt;Y$1,feasible_mat!Y17=1),(VLOOKUP(Y$1,test!$A$3:$I$32,8,FALSE))-(VLOOKUP($A17,test!$A$3:$I$32,9,FALSE)),0)</f>
        <v>0</v>
      </c>
      <c r="Z17">
        <f>IF(AND(SUM(VLOOKUP($A17,test!$A$3:$F$32,2,FALSE),VLOOKUP(Z$1,test!$A$3:$F$32,2,FALSE))&lt;=test!$K$16,$A17&lt;&gt;Z$1,feasible_mat!Z17=1),(VLOOKUP(Z$1,test!$A$3:$I$32,8,FALSE))-(VLOOKUP($A17,test!$A$3:$I$32,9,FALSE)),0)</f>
        <v>65</v>
      </c>
      <c r="AA17">
        <f>IF(AND(SUM(VLOOKUP($A17,test!$A$3:$F$32,2,FALSE),VLOOKUP(AA$1,test!$A$3:$F$32,2,FALSE))&lt;=test!$K$16,$A17&lt;&gt;AA$1,feasible_mat!AA17=1),(VLOOKUP(AA$1,test!$A$3:$I$32,8,FALSE))-(VLOOKUP($A17,test!$A$3:$I$32,9,FALSE)),0)</f>
        <v>185</v>
      </c>
      <c r="AB17">
        <f>IF(AND(SUM(VLOOKUP($A17,test!$A$3:$F$32,2,FALSE),VLOOKUP(AB$1,test!$A$3:$F$32,2,FALSE))&lt;=test!$K$16,$A17&lt;&gt;AB$1,feasible_mat!AB17=1),(VLOOKUP(AB$1,test!$A$3:$I$32,8,FALSE))-(VLOOKUP($A17,test!$A$3:$I$32,9,FALSE)),0)</f>
        <v>245</v>
      </c>
      <c r="AC17">
        <f>IF(AND(SUM(VLOOKUP($A17,test!$A$3:$F$32,2,FALSE),VLOOKUP(AC$1,test!$A$3:$F$32,2,FALSE))&lt;=test!$K$16,$A17&lt;&gt;AC$1,feasible_mat!AC17=1),(VLOOKUP(AC$1,test!$A$3:$I$32,8,FALSE))-(VLOOKUP($A17,test!$A$3:$I$32,9,FALSE)),0)</f>
        <v>365</v>
      </c>
      <c r="AD17">
        <f>IF(AND(SUM(VLOOKUP($A17,test!$A$3:$F$32,2,FALSE),VLOOKUP(AD$1,test!$A$3:$F$32,2,FALSE))&lt;=test!$K$16,$A17&lt;&gt;AD$1,feasible_mat!AD17=1),(VLOOKUP(AD$1,test!$A$3:$I$32,8,FALSE))-(VLOOKUP($A17,test!$A$3:$I$32,9,FALSE)),0)</f>
        <v>0</v>
      </c>
      <c r="AE17">
        <f>IF(AND(SUM(VLOOKUP($A17,test!$A$3:$F$32,2,FALSE),VLOOKUP(AE$1,test!$A$3:$F$32,2,FALSE))&lt;=test!$K$16,$A17&lt;&gt;AE$1,feasible_mat!AE17=1),(VLOOKUP(AE$1,test!$A$3:$I$32,8,FALSE))-(VLOOKUP($A17,test!$A$3:$I$32,9,FALSE)),0)</f>
        <v>185</v>
      </c>
      <c r="AF17">
        <f>IF(AND(SUM(VLOOKUP($A17,test!$A$3:$F$32,2,FALSE),VLOOKUP(AF$1,test!$A$3:$F$32,2,FALSE))&lt;=test!$K$16,$A17&lt;&gt;AF$1,feasible_mat!AF17=1),(VLOOKUP(AF$1,test!$A$3:$I$32,8,FALSE))-(VLOOKUP($A17,test!$A$3:$I$32,9,FALSE)),0)</f>
        <v>0</v>
      </c>
      <c r="AJ17" s="16" t="b">
        <f>SUM(VLOOKUP($A11,test!$A$3:$F$32,2,FALSE),VLOOKUP(AF$1,test!$A$3:$F$32,2,FALSE))&lt;=test!$K$16</f>
        <v>0</v>
      </c>
    </row>
    <row r="18" spans="1:36" x14ac:dyDescent="0.25">
      <c r="A18" t="s">
        <v>27</v>
      </c>
      <c r="B18">
        <v>0</v>
      </c>
      <c r="C18">
        <f>IF(AND(SUM(VLOOKUP($A18,test!$A$3:$F$32,2,FALSE),VLOOKUP(C$1,test!$A$3:$F$32,2,FALSE))&lt;=test!$K$16,$A18&lt;&gt;C$1,feasible_mat!C18=1),(VLOOKUP(C$1,test!$A$3:$I$32,8,FALSE))-(VLOOKUP($A18,test!$A$3:$I$32,9,FALSE)),0)</f>
        <v>0</v>
      </c>
      <c r="D18">
        <f>IF(AND(SUM(VLOOKUP($A18,test!$A$3:$F$32,2,FALSE),VLOOKUP(D$1,test!$A$3:$F$32,2,FALSE))&lt;=test!$K$16,$A18&lt;&gt;D$1,feasible_mat!D18=1),(VLOOKUP(D$1,test!$A$3:$I$32,8,FALSE))-(VLOOKUP($A18,test!$A$3:$I$32,9,FALSE)),0)</f>
        <v>0</v>
      </c>
      <c r="E18">
        <f>IF(AND(SUM(VLOOKUP($A18,test!$A$3:$F$32,2,FALSE),VLOOKUP(E$1,test!$A$3:$F$32,2,FALSE))&lt;=test!$K$16,$A18&lt;&gt;E$1,feasible_mat!E18=1),(VLOOKUP(E$1,test!$A$3:$I$32,8,FALSE))-(VLOOKUP($A18,test!$A$3:$I$32,9,FALSE)),0)</f>
        <v>65</v>
      </c>
      <c r="F18">
        <f>IF(AND(SUM(VLOOKUP($A18,test!$A$3:$F$32,2,FALSE),VLOOKUP(F$1,test!$A$3:$F$32,2,FALSE))&lt;=test!$K$16,$A18&lt;&gt;F$1,feasible_mat!F18=1),(VLOOKUP(F$1,test!$A$3:$I$32,8,FALSE))-(VLOOKUP($A18,test!$A$3:$I$32,9,FALSE)),0)</f>
        <v>155</v>
      </c>
      <c r="G18">
        <f>IF(AND(SUM(VLOOKUP($A18,test!$A$3:$F$32,2,FALSE),VLOOKUP(G$1,test!$A$3:$F$32,2,FALSE))&lt;=test!$K$16,$A18&lt;&gt;G$1,feasible_mat!G18=1),(VLOOKUP(G$1,test!$A$3:$I$32,8,FALSE))-(VLOOKUP($A18,test!$A$3:$I$32,9,FALSE)),0)</f>
        <v>215</v>
      </c>
      <c r="H18">
        <f>IF(AND(SUM(VLOOKUP($A18,test!$A$3:$F$32,2,FALSE),VLOOKUP(H$1,test!$A$3:$F$32,2,FALSE))&lt;=test!$K$16,$A18&lt;&gt;H$1,feasible_mat!H18=1),(VLOOKUP(H$1,test!$A$3:$I$32,8,FALSE))-(VLOOKUP($A18,test!$A$3:$I$32,9,FALSE)),0)</f>
        <v>275</v>
      </c>
      <c r="I18">
        <f>IF(AND(SUM(VLOOKUP($A18,test!$A$3:$F$32,2,FALSE),VLOOKUP(I$1,test!$A$3:$F$32,2,FALSE))&lt;=test!$K$16,$A18&lt;&gt;I$1,feasible_mat!I18=1),(VLOOKUP(I$1,test!$A$3:$I$32,8,FALSE))-(VLOOKUP($A18,test!$A$3:$I$32,9,FALSE)),0)</f>
        <v>335</v>
      </c>
      <c r="J18">
        <f>IF(AND(SUM(VLOOKUP($A18,test!$A$3:$F$32,2,FALSE),VLOOKUP(J$1,test!$A$3:$F$32,2,FALSE))&lt;=test!$K$16,$A18&lt;&gt;J$1,feasible_mat!J18=1),(VLOOKUP(J$1,test!$A$3:$I$32,8,FALSE))-(VLOOKUP($A18,test!$A$3:$I$32,9,FALSE)),0)</f>
        <v>425</v>
      </c>
      <c r="K18">
        <f>IF(AND(SUM(VLOOKUP($A18,test!$A$3:$F$32,2,FALSE),VLOOKUP(K$1,test!$A$3:$F$32,2,FALSE))&lt;=test!$K$16,$A18&lt;&gt;K$1,feasible_mat!K18=1),(VLOOKUP(K$1,test!$A$3:$I$32,8,FALSE))-(VLOOKUP($A18,test!$A$3:$I$32,9,FALSE)),0)</f>
        <v>0</v>
      </c>
      <c r="L18">
        <f>IF(AND(SUM(VLOOKUP($A18,test!$A$3:$F$32,2,FALSE),VLOOKUP(L$1,test!$A$3:$F$32,2,FALSE))&lt;=test!$K$16,$A18&lt;&gt;L$1,feasible_mat!L18=1),(VLOOKUP(L$1,test!$A$3:$I$32,8,FALSE))-(VLOOKUP($A18,test!$A$3:$I$32,9,FALSE)),0)</f>
        <v>0</v>
      </c>
      <c r="M18">
        <f>IF(AND(SUM(VLOOKUP($A18,test!$A$3:$F$32,2,FALSE),VLOOKUP(M$1,test!$A$3:$F$32,2,FALSE))&lt;=test!$K$16,$A18&lt;&gt;M$1,feasible_mat!M18=1),(VLOOKUP(M$1,test!$A$3:$I$32,8,FALSE))-(VLOOKUP($A18,test!$A$3:$I$32,9,FALSE)),0)</f>
        <v>30</v>
      </c>
      <c r="N18">
        <f>IF(AND(SUM(VLOOKUP($A18,test!$A$3:$F$32,2,FALSE),VLOOKUP(N$1,test!$A$3:$F$32,2,FALSE))&lt;=test!$K$16,$A18&lt;&gt;N$1,feasible_mat!N18=1),(VLOOKUP(N$1,test!$A$3:$I$32,8,FALSE))-(VLOOKUP($A18,test!$A$3:$I$32,9,FALSE)),0)</f>
        <v>390</v>
      </c>
      <c r="O18">
        <f>IF(AND(SUM(VLOOKUP($A18,test!$A$3:$F$32,2,FALSE),VLOOKUP(O$1,test!$A$3:$F$32,2,FALSE))&lt;=test!$K$16,$A18&lt;&gt;O$1,feasible_mat!O18=1),(VLOOKUP(O$1,test!$A$3:$I$32,8,FALSE))-(VLOOKUP($A18,test!$A$3:$I$32,9,FALSE)),0)</f>
        <v>450</v>
      </c>
      <c r="P18">
        <f>IF(AND(SUM(VLOOKUP($A18,test!$A$3:$F$32,2,FALSE),VLOOKUP(P$1,test!$A$3:$F$32,2,FALSE))&lt;=test!$K$16,$A18&lt;&gt;P$1,feasible_mat!P18=1),(VLOOKUP(P$1,test!$A$3:$I$32,8,FALSE))-(VLOOKUP($A18,test!$A$3:$I$32,9,FALSE)),0)</f>
        <v>0</v>
      </c>
      <c r="Q18">
        <f>IF(AND(SUM(VLOOKUP($A18,test!$A$3:$F$32,2,FALSE),VLOOKUP(Q$1,test!$A$3:$F$32,2,FALSE))&lt;=test!$K$16,$A18&lt;&gt;Q$1,feasible_mat!Q18=1),(VLOOKUP(Q$1,test!$A$3:$I$32,8,FALSE))-(VLOOKUP($A18,test!$A$3:$I$32,9,FALSE)),0)</f>
        <v>0</v>
      </c>
      <c r="R18">
        <f>IF(AND(SUM(VLOOKUP($A18,test!$A$3:$F$32,2,FALSE),VLOOKUP(R$1,test!$A$3:$F$32,2,FALSE))&lt;=test!$K$16,$A18&lt;&gt;R$1,feasible_mat!R18=1),(VLOOKUP(R$1,test!$A$3:$I$32,8,FALSE))-(VLOOKUP($A18,test!$A$3:$I$32,9,FALSE)),0)</f>
        <v>0</v>
      </c>
      <c r="S18">
        <f>IF(AND(SUM(VLOOKUP($A18,test!$A$3:$F$32,2,FALSE),VLOOKUP(S$1,test!$A$3:$F$32,2,FALSE))&lt;=test!$K$16,$A18&lt;&gt;S$1,feasible_mat!S18=1),(VLOOKUP(S$1,test!$A$3:$I$32,8,FALSE))-(VLOOKUP($A18,test!$A$3:$I$32,9,FALSE)),0)</f>
        <v>0</v>
      </c>
      <c r="T18">
        <f>IF(AND(SUM(VLOOKUP($A18,test!$A$3:$F$32,2,FALSE),VLOOKUP(T$1,test!$A$3:$F$32,2,FALSE))&lt;=test!$K$16,$A18&lt;&gt;T$1,feasible_mat!T18=1),(VLOOKUP(T$1,test!$A$3:$I$32,8,FALSE))-(VLOOKUP($A18,test!$A$3:$I$32,9,FALSE)),0)</f>
        <v>45</v>
      </c>
      <c r="U18">
        <f>IF(AND(SUM(VLOOKUP($A18,test!$A$3:$F$32,2,FALSE),VLOOKUP(U$1,test!$A$3:$F$32,2,FALSE))&lt;=test!$K$16,$A18&lt;&gt;U$1,feasible_mat!U18=1),(VLOOKUP(U$1,test!$A$3:$I$32,8,FALSE))-(VLOOKUP($A18,test!$A$3:$I$32,9,FALSE)),0)</f>
        <v>135</v>
      </c>
      <c r="V18">
        <f>IF(AND(SUM(VLOOKUP($A18,test!$A$3:$F$32,2,FALSE),VLOOKUP(V$1,test!$A$3:$F$32,2,FALSE))&lt;=test!$K$16,$A18&lt;&gt;V$1,feasible_mat!V18=1),(VLOOKUP(V$1,test!$A$3:$I$32,8,FALSE))-(VLOOKUP($A18,test!$A$3:$I$32,9,FALSE)),0)</f>
        <v>225</v>
      </c>
      <c r="W18">
        <f>IF(AND(SUM(VLOOKUP($A18,test!$A$3:$F$32,2,FALSE),VLOOKUP(W$1,test!$A$3:$F$32,2,FALSE))&lt;=test!$K$16,$A18&lt;&gt;W$1,feasible_mat!W18=1),(VLOOKUP(W$1,test!$A$3:$I$32,8,FALSE))-(VLOOKUP($A18,test!$A$3:$I$32,9,FALSE)),0)</f>
        <v>315</v>
      </c>
      <c r="X18">
        <f>IF(AND(SUM(VLOOKUP($A18,test!$A$3:$F$32,2,FALSE),VLOOKUP(X$1,test!$A$3:$F$32,2,FALSE))&lt;=test!$K$16,$A18&lt;&gt;X$1,feasible_mat!X18=1),(VLOOKUP(X$1,test!$A$3:$I$32,8,FALSE))-(VLOOKUP($A18,test!$A$3:$I$32,9,FALSE)),0)</f>
        <v>375</v>
      </c>
      <c r="Y18">
        <f>IF(AND(SUM(VLOOKUP($A18,test!$A$3:$F$32,2,FALSE),VLOOKUP(Y$1,test!$A$3:$F$32,2,FALSE))&lt;=test!$K$16,$A18&lt;&gt;Y$1,feasible_mat!Y18=1),(VLOOKUP(Y$1,test!$A$3:$I$32,8,FALSE))-(VLOOKUP($A18,test!$A$3:$I$32,9,FALSE)),0)</f>
        <v>0</v>
      </c>
      <c r="Z18">
        <f>IF(AND(SUM(VLOOKUP($A18,test!$A$3:$F$32,2,FALSE),VLOOKUP(Z$1,test!$A$3:$F$32,2,FALSE))&lt;=test!$K$16,$A18&lt;&gt;Z$1,feasible_mat!Z18=1),(VLOOKUP(Z$1,test!$A$3:$I$32,8,FALSE))-(VLOOKUP($A18,test!$A$3:$I$32,9,FALSE)),0)</f>
        <v>0</v>
      </c>
      <c r="AA18">
        <f>IF(AND(SUM(VLOOKUP($A18,test!$A$3:$F$32,2,FALSE),VLOOKUP(AA$1,test!$A$3:$F$32,2,FALSE))&lt;=test!$K$16,$A18&lt;&gt;AA$1,feasible_mat!AA18=1),(VLOOKUP(AA$1,test!$A$3:$I$32,8,FALSE))-(VLOOKUP($A18,test!$A$3:$I$32,9,FALSE)),0)</f>
        <v>95</v>
      </c>
      <c r="AB18">
        <f>IF(AND(SUM(VLOOKUP($A18,test!$A$3:$F$32,2,FALSE),VLOOKUP(AB$1,test!$A$3:$F$32,2,FALSE))&lt;=test!$K$16,$A18&lt;&gt;AB$1,feasible_mat!AB18=1),(VLOOKUP(AB$1,test!$A$3:$I$32,8,FALSE))-(VLOOKUP($A18,test!$A$3:$I$32,9,FALSE)),0)</f>
        <v>155</v>
      </c>
      <c r="AC18">
        <f>IF(AND(SUM(VLOOKUP($A18,test!$A$3:$F$32,2,FALSE),VLOOKUP(AC$1,test!$A$3:$F$32,2,FALSE))&lt;=test!$K$16,$A18&lt;&gt;AC$1,feasible_mat!AC18=1),(VLOOKUP(AC$1,test!$A$3:$I$32,8,FALSE))-(VLOOKUP($A18,test!$A$3:$I$32,9,FALSE)),0)</f>
        <v>275</v>
      </c>
      <c r="AD18">
        <f>IF(AND(SUM(VLOOKUP($A18,test!$A$3:$F$32,2,FALSE),VLOOKUP(AD$1,test!$A$3:$F$32,2,FALSE))&lt;=test!$K$16,$A18&lt;&gt;AD$1,feasible_mat!AD18=1),(VLOOKUP(AD$1,test!$A$3:$I$32,8,FALSE))-(VLOOKUP($A18,test!$A$3:$I$32,9,FALSE)),0)</f>
        <v>0</v>
      </c>
      <c r="AE18">
        <f>IF(AND(SUM(VLOOKUP($A18,test!$A$3:$F$32,2,FALSE),VLOOKUP(AE$1,test!$A$3:$F$32,2,FALSE))&lt;=test!$K$16,$A18&lt;&gt;AE$1,feasible_mat!AE18=1),(VLOOKUP(AE$1,test!$A$3:$I$32,8,FALSE))-(VLOOKUP($A18,test!$A$3:$I$32,9,FALSE)),0)</f>
        <v>95</v>
      </c>
      <c r="AF18">
        <f>IF(AND(SUM(VLOOKUP($A18,test!$A$3:$F$32,2,FALSE),VLOOKUP(AF$1,test!$A$3:$F$32,2,FALSE))&lt;=test!$K$16,$A18&lt;&gt;AF$1,feasible_mat!AF18=1),(VLOOKUP(AF$1,test!$A$3:$I$32,8,FALSE))-(VLOOKUP($A18,test!$A$3:$I$32,9,FALSE)),0)</f>
        <v>0</v>
      </c>
      <c r="AJ18" s="16">
        <f>IF(SUM(VLOOKUP($A11,test!$A$3:$F$32,2,FALSE),VLOOKUP(AF$1,test!$A$3:$F$32,2,FALSE))&lt;=350,10,0)</f>
        <v>0</v>
      </c>
    </row>
    <row r="19" spans="1:36" x14ac:dyDescent="0.25">
      <c r="A19" t="s">
        <v>28</v>
      </c>
      <c r="B19">
        <v>0</v>
      </c>
      <c r="C19">
        <f>IF(AND(SUM(VLOOKUP($A19,test!$A$3:$F$32,2,FALSE),VLOOKUP(C$1,test!$A$3:$F$32,2,FALSE))&lt;=test!$K$16,$A19&lt;&gt;C$1,feasible_mat!C19=1),(VLOOKUP(C$1,test!$A$3:$I$32,8,FALSE))-(VLOOKUP($A19,test!$A$3:$I$32,9,FALSE)),0)</f>
        <v>0</v>
      </c>
      <c r="D19">
        <f>IF(AND(SUM(VLOOKUP($A19,test!$A$3:$F$32,2,FALSE),VLOOKUP(D$1,test!$A$3:$F$32,2,FALSE))&lt;=test!$K$16,$A19&lt;&gt;D$1,feasible_mat!D19=1),(VLOOKUP(D$1,test!$A$3:$I$32,8,FALSE))-(VLOOKUP($A19,test!$A$3:$I$32,9,FALSE)),0)</f>
        <v>0</v>
      </c>
      <c r="E19">
        <f>IF(AND(SUM(VLOOKUP($A19,test!$A$3:$F$32,2,FALSE),VLOOKUP(E$1,test!$A$3:$F$32,2,FALSE))&lt;=test!$K$16,$A19&lt;&gt;E$1,feasible_mat!E19=1),(VLOOKUP(E$1,test!$A$3:$I$32,8,FALSE))-(VLOOKUP($A19,test!$A$3:$I$32,9,FALSE)),0)</f>
        <v>0</v>
      </c>
      <c r="F19">
        <f>IF(AND(SUM(VLOOKUP($A19,test!$A$3:$F$32,2,FALSE),VLOOKUP(F$1,test!$A$3:$F$32,2,FALSE))&lt;=test!$K$16,$A19&lt;&gt;F$1,feasible_mat!F19=1),(VLOOKUP(F$1,test!$A$3:$I$32,8,FALSE))-(VLOOKUP($A19,test!$A$3:$I$32,9,FALSE)),0)</f>
        <v>65</v>
      </c>
      <c r="G19">
        <f>IF(AND(SUM(VLOOKUP($A19,test!$A$3:$F$32,2,FALSE),VLOOKUP(G$1,test!$A$3:$F$32,2,FALSE))&lt;=test!$K$16,$A19&lt;&gt;G$1,feasible_mat!G19=1),(VLOOKUP(G$1,test!$A$3:$I$32,8,FALSE))-(VLOOKUP($A19,test!$A$3:$I$32,9,FALSE)),0)</f>
        <v>125</v>
      </c>
      <c r="H19">
        <f>IF(AND(SUM(VLOOKUP($A19,test!$A$3:$F$32,2,FALSE),VLOOKUP(H$1,test!$A$3:$F$32,2,FALSE))&lt;=test!$K$16,$A19&lt;&gt;H$1,feasible_mat!H19=1),(VLOOKUP(H$1,test!$A$3:$I$32,8,FALSE))-(VLOOKUP($A19,test!$A$3:$I$32,9,FALSE)),0)</f>
        <v>185</v>
      </c>
      <c r="I19">
        <f>IF(AND(SUM(VLOOKUP($A19,test!$A$3:$F$32,2,FALSE),VLOOKUP(I$1,test!$A$3:$F$32,2,FALSE))&lt;=test!$K$16,$A19&lt;&gt;I$1,feasible_mat!I19=1),(VLOOKUP(I$1,test!$A$3:$I$32,8,FALSE))-(VLOOKUP($A19,test!$A$3:$I$32,9,FALSE)),0)</f>
        <v>245</v>
      </c>
      <c r="J19">
        <f>IF(AND(SUM(VLOOKUP($A19,test!$A$3:$F$32,2,FALSE),VLOOKUP(J$1,test!$A$3:$F$32,2,FALSE))&lt;=test!$K$16,$A19&lt;&gt;J$1,feasible_mat!J19=1),(VLOOKUP(J$1,test!$A$3:$I$32,8,FALSE))-(VLOOKUP($A19,test!$A$3:$I$32,9,FALSE)),0)</f>
        <v>335</v>
      </c>
      <c r="K19">
        <f>IF(AND(SUM(VLOOKUP($A19,test!$A$3:$F$32,2,FALSE),VLOOKUP(K$1,test!$A$3:$F$32,2,FALSE))&lt;=test!$K$16,$A19&lt;&gt;K$1,feasible_mat!K19=1),(VLOOKUP(K$1,test!$A$3:$I$32,8,FALSE))-(VLOOKUP($A19,test!$A$3:$I$32,9,FALSE)),0)</f>
        <v>0</v>
      </c>
      <c r="L19">
        <f>IF(AND(SUM(VLOOKUP($A19,test!$A$3:$F$32,2,FALSE),VLOOKUP(L$1,test!$A$3:$F$32,2,FALSE))&lt;=test!$K$16,$A19&lt;&gt;L$1,feasible_mat!L19=1),(VLOOKUP(L$1,test!$A$3:$I$32,8,FALSE))-(VLOOKUP($A19,test!$A$3:$I$32,9,FALSE)),0)</f>
        <v>0</v>
      </c>
      <c r="M19">
        <f>IF(AND(SUM(VLOOKUP($A19,test!$A$3:$F$32,2,FALSE),VLOOKUP(M$1,test!$A$3:$F$32,2,FALSE))&lt;=test!$K$16,$A19&lt;&gt;M$1,feasible_mat!M19=1),(VLOOKUP(M$1,test!$A$3:$I$32,8,FALSE))-(VLOOKUP($A19,test!$A$3:$I$32,9,FALSE)),0)</f>
        <v>0</v>
      </c>
      <c r="N19">
        <f>IF(AND(SUM(VLOOKUP($A19,test!$A$3:$F$32,2,FALSE),VLOOKUP(N$1,test!$A$3:$F$32,2,FALSE))&lt;=test!$K$16,$A19&lt;&gt;N$1,feasible_mat!N19=1),(VLOOKUP(N$1,test!$A$3:$I$32,8,FALSE))-(VLOOKUP($A19,test!$A$3:$I$32,9,FALSE)),0)</f>
        <v>300</v>
      </c>
      <c r="O19">
        <f>IF(AND(SUM(VLOOKUP($A19,test!$A$3:$F$32,2,FALSE),VLOOKUP(O$1,test!$A$3:$F$32,2,FALSE))&lt;=test!$K$16,$A19&lt;&gt;O$1,feasible_mat!O19=1),(VLOOKUP(O$1,test!$A$3:$I$32,8,FALSE))-(VLOOKUP($A19,test!$A$3:$I$32,9,FALSE)),0)</f>
        <v>360</v>
      </c>
      <c r="P19">
        <f>IF(AND(SUM(VLOOKUP($A19,test!$A$3:$F$32,2,FALSE),VLOOKUP(P$1,test!$A$3:$F$32,2,FALSE))&lt;=test!$K$16,$A19&lt;&gt;P$1,feasible_mat!P19=1),(VLOOKUP(P$1,test!$A$3:$I$32,8,FALSE))-(VLOOKUP($A19,test!$A$3:$I$32,9,FALSE)),0)</f>
        <v>0</v>
      </c>
      <c r="Q19">
        <f>IF(AND(SUM(VLOOKUP($A19,test!$A$3:$F$32,2,FALSE),VLOOKUP(Q$1,test!$A$3:$F$32,2,FALSE))&lt;=test!$K$16,$A19&lt;&gt;Q$1,feasible_mat!Q19=1),(VLOOKUP(Q$1,test!$A$3:$I$32,8,FALSE))-(VLOOKUP($A19,test!$A$3:$I$32,9,FALSE)),0)</f>
        <v>0</v>
      </c>
      <c r="R19">
        <f>IF(AND(SUM(VLOOKUP($A19,test!$A$3:$F$32,2,FALSE),VLOOKUP(R$1,test!$A$3:$F$32,2,FALSE))&lt;=test!$K$16,$A19&lt;&gt;R$1,feasible_mat!R19=1),(VLOOKUP(R$1,test!$A$3:$I$32,8,FALSE))-(VLOOKUP($A19,test!$A$3:$I$32,9,FALSE)),0)</f>
        <v>0</v>
      </c>
      <c r="S19">
        <f>IF(AND(SUM(VLOOKUP($A19,test!$A$3:$F$32,2,FALSE),VLOOKUP(S$1,test!$A$3:$F$32,2,FALSE))&lt;=test!$K$16,$A19&lt;&gt;S$1,feasible_mat!S19=1),(VLOOKUP(S$1,test!$A$3:$I$32,8,FALSE))-(VLOOKUP($A19,test!$A$3:$I$32,9,FALSE)),0)</f>
        <v>0</v>
      </c>
      <c r="T19">
        <f>IF(AND(SUM(VLOOKUP($A19,test!$A$3:$F$32,2,FALSE),VLOOKUP(T$1,test!$A$3:$F$32,2,FALSE))&lt;=test!$K$16,$A19&lt;&gt;T$1,feasible_mat!T19=1),(VLOOKUP(T$1,test!$A$3:$I$32,8,FALSE))-(VLOOKUP($A19,test!$A$3:$I$32,9,FALSE)),0)</f>
        <v>0</v>
      </c>
      <c r="U19">
        <f>IF(AND(SUM(VLOOKUP($A19,test!$A$3:$F$32,2,FALSE),VLOOKUP(U$1,test!$A$3:$F$32,2,FALSE))&lt;=test!$K$16,$A19&lt;&gt;U$1,feasible_mat!U19=1),(VLOOKUP(U$1,test!$A$3:$I$32,8,FALSE))-(VLOOKUP($A19,test!$A$3:$I$32,9,FALSE)),0)</f>
        <v>45</v>
      </c>
      <c r="V19">
        <f>IF(AND(SUM(VLOOKUP($A19,test!$A$3:$F$32,2,FALSE),VLOOKUP(V$1,test!$A$3:$F$32,2,FALSE))&lt;=test!$K$16,$A19&lt;&gt;V$1,feasible_mat!V19=1),(VLOOKUP(V$1,test!$A$3:$I$32,8,FALSE))-(VLOOKUP($A19,test!$A$3:$I$32,9,FALSE)),0)</f>
        <v>135</v>
      </c>
      <c r="W19">
        <f>IF(AND(SUM(VLOOKUP($A19,test!$A$3:$F$32,2,FALSE),VLOOKUP(W$1,test!$A$3:$F$32,2,FALSE))&lt;=test!$K$16,$A19&lt;&gt;W$1,feasible_mat!W19=1),(VLOOKUP(W$1,test!$A$3:$I$32,8,FALSE))-(VLOOKUP($A19,test!$A$3:$I$32,9,FALSE)),0)</f>
        <v>225</v>
      </c>
      <c r="X19">
        <f>IF(AND(SUM(VLOOKUP($A19,test!$A$3:$F$32,2,FALSE),VLOOKUP(X$1,test!$A$3:$F$32,2,FALSE))&lt;=test!$K$16,$A19&lt;&gt;X$1,feasible_mat!X19=1),(VLOOKUP(X$1,test!$A$3:$I$32,8,FALSE))-(VLOOKUP($A19,test!$A$3:$I$32,9,FALSE)),0)</f>
        <v>285</v>
      </c>
      <c r="Y19">
        <f>IF(AND(SUM(VLOOKUP($A19,test!$A$3:$F$32,2,FALSE),VLOOKUP(Y$1,test!$A$3:$F$32,2,FALSE))&lt;=test!$K$16,$A19&lt;&gt;Y$1,feasible_mat!Y19=1),(VLOOKUP(Y$1,test!$A$3:$I$32,8,FALSE))-(VLOOKUP($A19,test!$A$3:$I$32,9,FALSE)),0)</f>
        <v>0</v>
      </c>
      <c r="Z19">
        <f>IF(AND(SUM(VLOOKUP($A19,test!$A$3:$F$32,2,FALSE),VLOOKUP(Z$1,test!$A$3:$F$32,2,FALSE))&lt;=test!$K$16,$A19&lt;&gt;Z$1,feasible_mat!Z19=1),(VLOOKUP(Z$1,test!$A$3:$I$32,8,FALSE))-(VLOOKUP($A19,test!$A$3:$I$32,9,FALSE)),0)</f>
        <v>0</v>
      </c>
      <c r="AA19">
        <f>IF(AND(SUM(VLOOKUP($A19,test!$A$3:$F$32,2,FALSE),VLOOKUP(AA$1,test!$A$3:$F$32,2,FALSE))&lt;=test!$K$16,$A19&lt;&gt;AA$1,feasible_mat!AA19=1),(VLOOKUP(AA$1,test!$A$3:$I$32,8,FALSE))-(VLOOKUP($A19,test!$A$3:$I$32,9,FALSE)),0)</f>
        <v>0</v>
      </c>
      <c r="AB19">
        <f>IF(AND(SUM(VLOOKUP($A19,test!$A$3:$F$32,2,FALSE),VLOOKUP(AB$1,test!$A$3:$F$32,2,FALSE))&lt;=test!$K$16,$A19&lt;&gt;AB$1,feasible_mat!AB19=1),(VLOOKUP(AB$1,test!$A$3:$I$32,8,FALSE))-(VLOOKUP($A19,test!$A$3:$I$32,9,FALSE)),0)</f>
        <v>65</v>
      </c>
      <c r="AC19">
        <f>IF(AND(SUM(VLOOKUP($A19,test!$A$3:$F$32,2,FALSE),VLOOKUP(AC$1,test!$A$3:$F$32,2,FALSE))&lt;=test!$K$16,$A19&lt;&gt;AC$1,feasible_mat!AC19=1),(VLOOKUP(AC$1,test!$A$3:$I$32,8,FALSE))-(VLOOKUP($A19,test!$A$3:$I$32,9,FALSE)),0)</f>
        <v>185</v>
      </c>
      <c r="AD19">
        <f>IF(AND(SUM(VLOOKUP($A19,test!$A$3:$F$32,2,FALSE),VLOOKUP(AD$1,test!$A$3:$F$32,2,FALSE))&lt;=test!$K$16,$A19&lt;&gt;AD$1,feasible_mat!AD19=1),(VLOOKUP(AD$1,test!$A$3:$I$32,8,FALSE))-(VLOOKUP($A19,test!$A$3:$I$32,9,FALSE)),0)</f>
        <v>0</v>
      </c>
      <c r="AE19">
        <f>IF(AND(SUM(VLOOKUP($A19,test!$A$3:$F$32,2,FALSE),VLOOKUP(AE$1,test!$A$3:$F$32,2,FALSE))&lt;=test!$K$16,$A19&lt;&gt;AE$1,feasible_mat!AE19=1),(VLOOKUP(AE$1,test!$A$3:$I$32,8,FALSE))-(VLOOKUP($A19,test!$A$3:$I$32,9,FALSE)),0)</f>
        <v>0</v>
      </c>
      <c r="AF19">
        <f>IF(AND(SUM(VLOOKUP($A19,test!$A$3:$F$32,2,FALSE),VLOOKUP(AF$1,test!$A$3:$F$32,2,FALSE))&lt;=test!$K$16,$A19&lt;&gt;AF$1,feasible_mat!AF19=1),(VLOOKUP(AF$1,test!$A$3:$I$32,8,FALSE))-(VLOOKUP($A19,test!$A$3:$I$32,9,FALSE)),0)</f>
        <v>0</v>
      </c>
      <c r="AJ19" s="16">
        <f>SUM(VLOOKUP($A11,test!$A$3:$F$32,2,FALSE),VLOOKUP(AF$1,test!$A$3:$F$32,2,FALSE))</f>
        <v>410</v>
      </c>
    </row>
    <row r="20" spans="1:36" x14ac:dyDescent="0.25">
      <c r="A20" t="s">
        <v>29</v>
      </c>
      <c r="B20">
        <v>0</v>
      </c>
      <c r="C20">
        <f>IF(AND(SUM(VLOOKUP($A20,test!$A$3:$F$32,2,FALSE),VLOOKUP(C$1,test!$A$3:$F$32,2,FALSE))&lt;=test!$K$16,$A20&lt;&gt;C$1,feasible_mat!C20=1),(VLOOKUP(C$1,test!$A$3:$I$32,8,FALSE))-(VLOOKUP($A20,test!$A$3:$I$32,9,FALSE)),0)</f>
        <v>0</v>
      </c>
      <c r="D20">
        <f>IF(AND(SUM(VLOOKUP($A20,test!$A$3:$F$32,2,FALSE),VLOOKUP(D$1,test!$A$3:$F$32,2,FALSE))&lt;=test!$K$16,$A20&lt;&gt;D$1,feasible_mat!D20=1),(VLOOKUP(D$1,test!$A$3:$I$32,8,FALSE))-(VLOOKUP($A20,test!$A$3:$I$32,9,FALSE)),0)</f>
        <v>0</v>
      </c>
      <c r="E20">
        <f>IF(AND(SUM(VLOOKUP($A20,test!$A$3:$F$32,2,FALSE),VLOOKUP(E$1,test!$A$3:$F$32,2,FALSE))&lt;=test!$K$16,$A20&lt;&gt;E$1,feasible_mat!E20=1),(VLOOKUP(E$1,test!$A$3:$I$32,8,FALSE))-(VLOOKUP($A20,test!$A$3:$I$32,9,FALSE)),0)</f>
        <v>0</v>
      </c>
      <c r="F20">
        <f>IF(AND(SUM(VLOOKUP($A20,test!$A$3:$F$32,2,FALSE),VLOOKUP(F$1,test!$A$3:$F$32,2,FALSE))&lt;=test!$K$16,$A20&lt;&gt;F$1,feasible_mat!F20=1),(VLOOKUP(F$1,test!$A$3:$I$32,8,FALSE))-(VLOOKUP($A20,test!$A$3:$I$32,9,FALSE)),0)</f>
        <v>0</v>
      </c>
      <c r="G20">
        <f>IF(AND(SUM(VLOOKUP($A20,test!$A$3:$F$32,2,FALSE),VLOOKUP(G$1,test!$A$3:$F$32,2,FALSE))&lt;=test!$K$16,$A20&lt;&gt;G$1,feasible_mat!G20=1),(VLOOKUP(G$1,test!$A$3:$I$32,8,FALSE))-(VLOOKUP($A20,test!$A$3:$I$32,9,FALSE)),0)</f>
        <v>35</v>
      </c>
      <c r="H20">
        <f>IF(AND(SUM(VLOOKUP($A20,test!$A$3:$F$32,2,FALSE),VLOOKUP(H$1,test!$A$3:$F$32,2,FALSE))&lt;=test!$K$16,$A20&lt;&gt;H$1,feasible_mat!H20=1),(VLOOKUP(H$1,test!$A$3:$I$32,8,FALSE))-(VLOOKUP($A20,test!$A$3:$I$32,9,FALSE)),0)</f>
        <v>95</v>
      </c>
      <c r="I20">
        <f>IF(AND(SUM(VLOOKUP($A20,test!$A$3:$F$32,2,FALSE),VLOOKUP(I$1,test!$A$3:$F$32,2,FALSE))&lt;=test!$K$16,$A20&lt;&gt;I$1,feasible_mat!I20=1),(VLOOKUP(I$1,test!$A$3:$I$32,8,FALSE))-(VLOOKUP($A20,test!$A$3:$I$32,9,FALSE)),0)</f>
        <v>155</v>
      </c>
      <c r="J20">
        <f>IF(AND(SUM(VLOOKUP($A20,test!$A$3:$F$32,2,FALSE),VLOOKUP(J$1,test!$A$3:$F$32,2,FALSE))&lt;=test!$K$16,$A20&lt;&gt;J$1,feasible_mat!J20=1),(VLOOKUP(J$1,test!$A$3:$I$32,8,FALSE))-(VLOOKUP($A20,test!$A$3:$I$32,9,FALSE)),0)</f>
        <v>245</v>
      </c>
      <c r="K20">
        <f>IF(AND(SUM(VLOOKUP($A20,test!$A$3:$F$32,2,FALSE),VLOOKUP(K$1,test!$A$3:$F$32,2,FALSE))&lt;=test!$K$16,$A20&lt;&gt;K$1,feasible_mat!K20=1),(VLOOKUP(K$1,test!$A$3:$I$32,8,FALSE))-(VLOOKUP($A20,test!$A$3:$I$32,9,FALSE)),0)</f>
        <v>0</v>
      </c>
      <c r="L20">
        <f>IF(AND(SUM(VLOOKUP($A20,test!$A$3:$F$32,2,FALSE),VLOOKUP(L$1,test!$A$3:$F$32,2,FALSE))&lt;=test!$K$16,$A20&lt;&gt;L$1,feasible_mat!L20=1),(VLOOKUP(L$1,test!$A$3:$I$32,8,FALSE))-(VLOOKUP($A20,test!$A$3:$I$32,9,FALSE)),0)</f>
        <v>0</v>
      </c>
      <c r="M20">
        <f>IF(AND(SUM(VLOOKUP($A20,test!$A$3:$F$32,2,FALSE),VLOOKUP(M$1,test!$A$3:$F$32,2,FALSE))&lt;=test!$K$16,$A20&lt;&gt;M$1,feasible_mat!M20=1),(VLOOKUP(M$1,test!$A$3:$I$32,8,FALSE))-(VLOOKUP($A20,test!$A$3:$I$32,9,FALSE)),0)</f>
        <v>0</v>
      </c>
      <c r="N20">
        <f>IF(AND(SUM(VLOOKUP($A20,test!$A$3:$F$32,2,FALSE),VLOOKUP(N$1,test!$A$3:$F$32,2,FALSE))&lt;=test!$K$16,$A20&lt;&gt;N$1,feasible_mat!N20=1),(VLOOKUP(N$1,test!$A$3:$I$32,8,FALSE))-(VLOOKUP($A20,test!$A$3:$I$32,9,FALSE)),0)</f>
        <v>210</v>
      </c>
      <c r="O20">
        <f>IF(AND(SUM(VLOOKUP($A20,test!$A$3:$F$32,2,FALSE),VLOOKUP(O$1,test!$A$3:$F$32,2,FALSE))&lt;=test!$K$16,$A20&lt;&gt;O$1,feasible_mat!O20=1),(VLOOKUP(O$1,test!$A$3:$I$32,8,FALSE))-(VLOOKUP($A20,test!$A$3:$I$32,9,FALSE)),0)</f>
        <v>270</v>
      </c>
      <c r="P20">
        <f>IF(AND(SUM(VLOOKUP($A20,test!$A$3:$F$32,2,FALSE),VLOOKUP(P$1,test!$A$3:$F$32,2,FALSE))&lt;=test!$K$16,$A20&lt;&gt;P$1,feasible_mat!P20=1),(VLOOKUP(P$1,test!$A$3:$I$32,8,FALSE))-(VLOOKUP($A20,test!$A$3:$I$32,9,FALSE)),0)</f>
        <v>0</v>
      </c>
      <c r="Q20">
        <f>IF(AND(SUM(VLOOKUP($A20,test!$A$3:$F$32,2,FALSE),VLOOKUP(Q$1,test!$A$3:$F$32,2,FALSE))&lt;=test!$K$16,$A20&lt;&gt;Q$1,feasible_mat!Q20=1),(VLOOKUP(Q$1,test!$A$3:$I$32,8,FALSE))-(VLOOKUP($A20,test!$A$3:$I$32,9,FALSE)),0)</f>
        <v>0</v>
      </c>
      <c r="R20">
        <f>IF(AND(SUM(VLOOKUP($A20,test!$A$3:$F$32,2,FALSE),VLOOKUP(R$1,test!$A$3:$F$32,2,FALSE))&lt;=test!$K$16,$A20&lt;&gt;R$1,feasible_mat!R20=1),(VLOOKUP(R$1,test!$A$3:$I$32,8,FALSE))-(VLOOKUP($A20,test!$A$3:$I$32,9,FALSE)),0)</f>
        <v>0</v>
      </c>
      <c r="S20">
        <f>IF(AND(SUM(VLOOKUP($A20,test!$A$3:$F$32,2,FALSE),VLOOKUP(S$1,test!$A$3:$F$32,2,FALSE))&lt;=test!$K$16,$A20&lt;&gt;S$1,feasible_mat!S20=1),(VLOOKUP(S$1,test!$A$3:$I$32,8,FALSE))-(VLOOKUP($A20,test!$A$3:$I$32,9,FALSE)),0)</f>
        <v>0</v>
      </c>
      <c r="T20">
        <f>IF(AND(SUM(VLOOKUP($A20,test!$A$3:$F$32,2,FALSE),VLOOKUP(T$1,test!$A$3:$F$32,2,FALSE))&lt;=test!$K$16,$A20&lt;&gt;T$1,feasible_mat!T20=1),(VLOOKUP(T$1,test!$A$3:$I$32,8,FALSE))-(VLOOKUP($A20,test!$A$3:$I$32,9,FALSE)),0)</f>
        <v>0</v>
      </c>
      <c r="U20">
        <f>IF(AND(SUM(VLOOKUP($A20,test!$A$3:$F$32,2,FALSE),VLOOKUP(U$1,test!$A$3:$F$32,2,FALSE))&lt;=test!$K$16,$A20&lt;&gt;U$1,feasible_mat!U20=1),(VLOOKUP(U$1,test!$A$3:$I$32,8,FALSE))-(VLOOKUP($A20,test!$A$3:$I$32,9,FALSE)),0)</f>
        <v>0</v>
      </c>
      <c r="V20">
        <f>IF(AND(SUM(VLOOKUP($A20,test!$A$3:$F$32,2,FALSE),VLOOKUP(V$1,test!$A$3:$F$32,2,FALSE))&lt;=test!$K$16,$A20&lt;&gt;V$1,feasible_mat!V20=1),(VLOOKUP(V$1,test!$A$3:$I$32,8,FALSE))-(VLOOKUP($A20,test!$A$3:$I$32,9,FALSE)),0)</f>
        <v>45</v>
      </c>
      <c r="W20">
        <f>IF(AND(SUM(VLOOKUP($A20,test!$A$3:$F$32,2,FALSE),VLOOKUP(W$1,test!$A$3:$F$32,2,FALSE))&lt;=test!$K$16,$A20&lt;&gt;W$1,feasible_mat!W20=1),(VLOOKUP(W$1,test!$A$3:$I$32,8,FALSE))-(VLOOKUP($A20,test!$A$3:$I$32,9,FALSE)),0)</f>
        <v>135</v>
      </c>
      <c r="X20">
        <f>IF(AND(SUM(VLOOKUP($A20,test!$A$3:$F$32,2,FALSE),VLOOKUP(X$1,test!$A$3:$F$32,2,FALSE))&lt;=test!$K$16,$A20&lt;&gt;X$1,feasible_mat!X20=1),(VLOOKUP(X$1,test!$A$3:$I$32,8,FALSE))-(VLOOKUP($A20,test!$A$3:$I$32,9,FALSE)),0)</f>
        <v>195</v>
      </c>
      <c r="Y20">
        <f>IF(AND(SUM(VLOOKUP($A20,test!$A$3:$F$32,2,FALSE),VLOOKUP(Y$1,test!$A$3:$F$32,2,FALSE))&lt;=test!$K$16,$A20&lt;&gt;Y$1,feasible_mat!Y20=1),(VLOOKUP(Y$1,test!$A$3:$I$32,8,FALSE))-(VLOOKUP($A20,test!$A$3:$I$32,9,FALSE)),0)</f>
        <v>0</v>
      </c>
      <c r="Z20">
        <f>IF(AND(SUM(VLOOKUP($A20,test!$A$3:$F$32,2,FALSE),VLOOKUP(Z$1,test!$A$3:$F$32,2,FALSE))&lt;=test!$K$16,$A20&lt;&gt;Z$1,feasible_mat!Z20=1),(VLOOKUP(Z$1,test!$A$3:$I$32,8,FALSE))-(VLOOKUP($A20,test!$A$3:$I$32,9,FALSE)),0)</f>
        <v>0</v>
      </c>
      <c r="AA20">
        <f>IF(AND(SUM(VLOOKUP($A20,test!$A$3:$F$32,2,FALSE),VLOOKUP(AA$1,test!$A$3:$F$32,2,FALSE))&lt;=test!$K$16,$A20&lt;&gt;AA$1,feasible_mat!AA20=1),(VLOOKUP(AA$1,test!$A$3:$I$32,8,FALSE))-(VLOOKUP($A20,test!$A$3:$I$32,9,FALSE)),0)</f>
        <v>0</v>
      </c>
      <c r="AB20">
        <f>IF(AND(SUM(VLOOKUP($A20,test!$A$3:$F$32,2,FALSE),VLOOKUP(AB$1,test!$A$3:$F$32,2,FALSE))&lt;=test!$K$16,$A20&lt;&gt;AB$1,feasible_mat!AB20=1),(VLOOKUP(AB$1,test!$A$3:$I$32,8,FALSE))-(VLOOKUP($A20,test!$A$3:$I$32,9,FALSE)),0)</f>
        <v>0</v>
      </c>
      <c r="AC20">
        <f>IF(AND(SUM(VLOOKUP($A20,test!$A$3:$F$32,2,FALSE),VLOOKUP(AC$1,test!$A$3:$F$32,2,FALSE))&lt;=test!$K$16,$A20&lt;&gt;AC$1,feasible_mat!AC20=1),(VLOOKUP(AC$1,test!$A$3:$I$32,8,FALSE))-(VLOOKUP($A20,test!$A$3:$I$32,9,FALSE)),0)</f>
        <v>95</v>
      </c>
      <c r="AD20">
        <f>IF(AND(SUM(VLOOKUP($A20,test!$A$3:$F$32,2,FALSE),VLOOKUP(AD$1,test!$A$3:$F$32,2,FALSE))&lt;=test!$K$16,$A20&lt;&gt;AD$1,feasible_mat!AD20=1),(VLOOKUP(AD$1,test!$A$3:$I$32,8,FALSE))-(VLOOKUP($A20,test!$A$3:$I$32,9,FALSE)),0)</f>
        <v>0</v>
      </c>
      <c r="AE20">
        <f>IF(AND(SUM(VLOOKUP($A20,test!$A$3:$F$32,2,FALSE),VLOOKUP(AE$1,test!$A$3:$F$32,2,FALSE))&lt;=test!$K$16,$A20&lt;&gt;AE$1,feasible_mat!AE20=1),(VLOOKUP(AE$1,test!$A$3:$I$32,8,FALSE))-(VLOOKUP($A20,test!$A$3:$I$32,9,FALSE)),0)</f>
        <v>0</v>
      </c>
      <c r="AF20">
        <f>IF(AND(SUM(VLOOKUP($A20,test!$A$3:$F$32,2,FALSE),VLOOKUP(AF$1,test!$A$3:$F$32,2,FALSE))&lt;=test!$K$16,$A20&lt;&gt;AF$1,feasible_mat!AF20=1),(VLOOKUP(AF$1,test!$A$3:$I$32,8,FALSE))-(VLOOKUP($A20,test!$A$3:$I$32,9,FALSE)),0)</f>
        <v>0</v>
      </c>
    </row>
    <row r="21" spans="1:36" x14ac:dyDescent="0.25">
      <c r="A21" t="s">
        <v>30</v>
      </c>
      <c r="B21">
        <v>0</v>
      </c>
      <c r="C21">
        <f>IF(AND(SUM(VLOOKUP($A21,test!$A$3:$F$32,2,FALSE),VLOOKUP(C$1,test!$A$3:$F$32,2,FALSE))&lt;=test!$K$16,$A21&lt;&gt;C$1,feasible_mat!C21=1),(VLOOKUP(C$1,test!$A$3:$I$32,8,FALSE))-(VLOOKUP($A21,test!$A$3:$I$32,9,FALSE)),0)</f>
        <v>0</v>
      </c>
      <c r="D21">
        <f>IF(AND(SUM(VLOOKUP($A21,test!$A$3:$F$32,2,FALSE),VLOOKUP(D$1,test!$A$3:$F$32,2,FALSE))&lt;=test!$K$16,$A21&lt;&gt;D$1,feasible_mat!D21=1),(VLOOKUP(D$1,test!$A$3:$I$32,8,FALSE))-(VLOOKUP($A21,test!$A$3:$I$32,9,FALSE)),0)</f>
        <v>0</v>
      </c>
      <c r="E21">
        <f>IF(AND(SUM(VLOOKUP($A21,test!$A$3:$F$32,2,FALSE),VLOOKUP(E$1,test!$A$3:$F$32,2,FALSE))&lt;=test!$K$16,$A21&lt;&gt;E$1,feasible_mat!E21=1),(VLOOKUP(E$1,test!$A$3:$I$32,8,FALSE))-(VLOOKUP($A21,test!$A$3:$I$32,9,FALSE)),0)</f>
        <v>0</v>
      </c>
      <c r="F21">
        <f>IF(AND(SUM(VLOOKUP($A21,test!$A$3:$F$32,2,FALSE),VLOOKUP(F$1,test!$A$3:$F$32,2,FALSE))&lt;=test!$K$16,$A21&lt;&gt;F$1,feasible_mat!F21=1),(VLOOKUP(F$1,test!$A$3:$I$32,8,FALSE))-(VLOOKUP($A21,test!$A$3:$I$32,9,FALSE)),0)</f>
        <v>0</v>
      </c>
      <c r="G21">
        <f>IF(AND(SUM(VLOOKUP($A21,test!$A$3:$F$32,2,FALSE),VLOOKUP(G$1,test!$A$3:$F$32,2,FALSE))&lt;=test!$K$16,$A21&lt;&gt;G$1,feasible_mat!G21=1),(VLOOKUP(G$1,test!$A$3:$I$32,8,FALSE))-(VLOOKUP($A21,test!$A$3:$I$32,9,FALSE)),0)</f>
        <v>0</v>
      </c>
      <c r="H21">
        <f>IF(AND(SUM(VLOOKUP($A21,test!$A$3:$F$32,2,FALSE),VLOOKUP(H$1,test!$A$3:$F$32,2,FALSE))&lt;=test!$K$16,$A21&lt;&gt;H$1,feasible_mat!H21=1),(VLOOKUP(H$1,test!$A$3:$I$32,8,FALSE))-(VLOOKUP($A21,test!$A$3:$I$32,9,FALSE)),0)</f>
        <v>0</v>
      </c>
      <c r="I21">
        <f>IF(AND(SUM(VLOOKUP($A21,test!$A$3:$F$32,2,FALSE),VLOOKUP(I$1,test!$A$3:$F$32,2,FALSE))&lt;=test!$K$16,$A21&lt;&gt;I$1,feasible_mat!I21=1),(VLOOKUP(I$1,test!$A$3:$I$32,8,FALSE))-(VLOOKUP($A21,test!$A$3:$I$32,9,FALSE)),0)</f>
        <v>65</v>
      </c>
      <c r="J21">
        <f>IF(AND(SUM(VLOOKUP($A21,test!$A$3:$F$32,2,FALSE),VLOOKUP(J$1,test!$A$3:$F$32,2,FALSE))&lt;=test!$K$16,$A21&lt;&gt;J$1,feasible_mat!J21=1),(VLOOKUP(J$1,test!$A$3:$I$32,8,FALSE))-(VLOOKUP($A21,test!$A$3:$I$32,9,FALSE)),0)</f>
        <v>155</v>
      </c>
      <c r="K21">
        <f>IF(AND(SUM(VLOOKUP($A21,test!$A$3:$F$32,2,FALSE),VLOOKUP(K$1,test!$A$3:$F$32,2,FALSE))&lt;=test!$K$16,$A21&lt;&gt;K$1,feasible_mat!K21=1),(VLOOKUP(K$1,test!$A$3:$I$32,8,FALSE))-(VLOOKUP($A21,test!$A$3:$I$32,9,FALSE)),0)</f>
        <v>0</v>
      </c>
      <c r="L21">
        <f>IF(AND(SUM(VLOOKUP($A21,test!$A$3:$F$32,2,FALSE),VLOOKUP(L$1,test!$A$3:$F$32,2,FALSE))&lt;=test!$K$16,$A21&lt;&gt;L$1,feasible_mat!L21=1),(VLOOKUP(L$1,test!$A$3:$I$32,8,FALSE))-(VLOOKUP($A21,test!$A$3:$I$32,9,FALSE)),0)</f>
        <v>0</v>
      </c>
      <c r="M21">
        <f>IF(AND(SUM(VLOOKUP($A21,test!$A$3:$F$32,2,FALSE),VLOOKUP(M$1,test!$A$3:$F$32,2,FALSE))&lt;=test!$K$16,$A21&lt;&gt;M$1,feasible_mat!M21=1),(VLOOKUP(M$1,test!$A$3:$I$32,8,FALSE))-(VLOOKUP($A21,test!$A$3:$I$32,9,FALSE)),0)</f>
        <v>0</v>
      </c>
      <c r="N21">
        <f>IF(AND(SUM(VLOOKUP($A21,test!$A$3:$F$32,2,FALSE),VLOOKUP(N$1,test!$A$3:$F$32,2,FALSE))&lt;=test!$K$16,$A21&lt;&gt;N$1,feasible_mat!N21=1),(VLOOKUP(N$1,test!$A$3:$I$32,8,FALSE))-(VLOOKUP($A21,test!$A$3:$I$32,9,FALSE)),0)</f>
        <v>120</v>
      </c>
      <c r="O21">
        <f>IF(AND(SUM(VLOOKUP($A21,test!$A$3:$F$32,2,FALSE),VLOOKUP(O$1,test!$A$3:$F$32,2,FALSE))&lt;=test!$K$16,$A21&lt;&gt;O$1,feasible_mat!O21=1),(VLOOKUP(O$1,test!$A$3:$I$32,8,FALSE))-(VLOOKUP($A21,test!$A$3:$I$32,9,FALSE)),0)</f>
        <v>180</v>
      </c>
      <c r="P21">
        <f>IF(AND(SUM(VLOOKUP($A21,test!$A$3:$F$32,2,FALSE),VLOOKUP(P$1,test!$A$3:$F$32,2,FALSE))&lt;=test!$K$16,$A21&lt;&gt;P$1,feasible_mat!P21=1),(VLOOKUP(P$1,test!$A$3:$I$32,8,FALSE))-(VLOOKUP($A21,test!$A$3:$I$32,9,FALSE)),0)</f>
        <v>0</v>
      </c>
      <c r="Q21">
        <f>IF(AND(SUM(VLOOKUP($A21,test!$A$3:$F$32,2,FALSE),VLOOKUP(Q$1,test!$A$3:$F$32,2,FALSE))&lt;=test!$K$16,$A21&lt;&gt;Q$1,feasible_mat!Q21=1),(VLOOKUP(Q$1,test!$A$3:$I$32,8,FALSE))-(VLOOKUP($A21,test!$A$3:$I$32,9,FALSE)),0)</f>
        <v>0</v>
      </c>
      <c r="R21">
        <f>IF(AND(SUM(VLOOKUP($A21,test!$A$3:$F$32,2,FALSE),VLOOKUP(R$1,test!$A$3:$F$32,2,FALSE))&lt;=test!$K$16,$A21&lt;&gt;R$1,feasible_mat!R21=1),(VLOOKUP(R$1,test!$A$3:$I$32,8,FALSE))-(VLOOKUP($A21,test!$A$3:$I$32,9,FALSE)),0)</f>
        <v>0</v>
      </c>
      <c r="S21">
        <f>IF(AND(SUM(VLOOKUP($A21,test!$A$3:$F$32,2,FALSE),VLOOKUP(S$1,test!$A$3:$F$32,2,FALSE))&lt;=test!$K$16,$A21&lt;&gt;S$1,feasible_mat!S21=1),(VLOOKUP(S$1,test!$A$3:$I$32,8,FALSE))-(VLOOKUP($A21,test!$A$3:$I$32,9,FALSE)),0)</f>
        <v>0</v>
      </c>
      <c r="T21">
        <f>IF(AND(SUM(VLOOKUP($A21,test!$A$3:$F$32,2,FALSE),VLOOKUP(T$1,test!$A$3:$F$32,2,FALSE))&lt;=test!$K$16,$A21&lt;&gt;T$1,feasible_mat!T21=1),(VLOOKUP(T$1,test!$A$3:$I$32,8,FALSE))-(VLOOKUP($A21,test!$A$3:$I$32,9,FALSE)),0)</f>
        <v>0</v>
      </c>
      <c r="U21">
        <f>IF(AND(SUM(VLOOKUP($A21,test!$A$3:$F$32,2,FALSE),VLOOKUP(U$1,test!$A$3:$F$32,2,FALSE))&lt;=test!$K$16,$A21&lt;&gt;U$1,feasible_mat!U21=1),(VLOOKUP(U$1,test!$A$3:$I$32,8,FALSE))-(VLOOKUP($A21,test!$A$3:$I$32,9,FALSE)),0)</f>
        <v>0</v>
      </c>
      <c r="V21">
        <f>IF(AND(SUM(VLOOKUP($A21,test!$A$3:$F$32,2,FALSE),VLOOKUP(V$1,test!$A$3:$F$32,2,FALSE))&lt;=test!$K$16,$A21&lt;&gt;V$1,feasible_mat!V21=1),(VLOOKUP(V$1,test!$A$3:$I$32,8,FALSE))-(VLOOKUP($A21,test!$A$3:$I$32,9,FALSE)),0)</f>
        <v>0</v>
      </c>
      <c r="W21">
        <f>IF(AND(SUM(VLOOKUP($A21,test!$A$3:$F$32,2,FALSE),VLOOKUP(W$1,test!$A$3:$F$32,2,FALSE))&lt;=test!$K$16,$A21&lt;&gt;W$1,feasible_mat!W21=1),(VLOOKUP(W$1,test!$A$3:$I$32,8,FALSE))-(VLOOKUP($A21,test!$A$3:$I$32,9,FALSE)),0)</f>
        <v>45</v>
      </c>
      <c r="X21">
        <f>IF(AND(SUM(VLOOKUP($A21,test!$A$3:$F$32,2,FALSE),VLOOKUP(X$1,test!$A$3:$F$32,2,FALSE))&lt;=test!$K$16,$A21&lt;&gt;X$1,feasible_mat!X21=1),(VLOOKUP(X$1,test!$A$3:$I$32,8,FALSE))-(VLOOKUP($A21,test!$A$3:$I$32,9,FALSE)),0)</f>
        <v>105</v>
      </c>
      <c r="Y21">
        <f>IF(AND(SUM(VLOOKUP($A21,test!$A$3:$F$32,2,FALSE),VLOOKUP(Y$1,test!$A$3:$F$32,2,FALSE))&lt;=test!$K$16,$A21&lt;&gt;Y$1,feasible_mat!Y21=1),(VLOOKUP(Y$1,test!$A$3:$I$32,8,FALSE))-(VLOOKUP($A21,test!$A$3:$I$32,9,FALSE)),0)</f>
        <v>0</v>
      </c>
      <c r="Z21">
        <f>IF(AND(SUM(VLOOKUP($A21,test!$A$3:$F$32,2,FALSE),VLOOKUP(Z$1,test!$A$3:$F$32,2,FALSE))&lt;=test!$K$16,$A21&lt;&gt;Z$1,feasible_mat!Z21=1),(VLOOKUP(Z$1,test!$A$3:$I$32,8,FALSE))-(VLOOKUP($A21,test!$A$3:$I$32,9,FALSE)),0)</f>
        <v>0</v>
      </c>
      <c r="AA21">
        <f>IF(AND(SUM(VLOOKUP($A21,test!$A$3:$F$32,2,FALSE),VLOOKUP(AA$1,test!$A$3:$F$32,2,FALSE))&lt;=test!$K$16,$A21&lt;&gt;AA$1,feasible_mat!AA21=1),(VLOOKUP(AA$1,test!$A$3:$I$32,8,FALSE))-(VLOOKUP($A21,test!$A$3:$I$32,9,FALSE)),0)</f>
        <v>0</v>
      </c>
      <c r="AB21">
        <f>IF(AND(SUM(VLOOKUP($A21,test!$A$3:$F$32,2,FALSE),VLOOKUP(AB$1,test!$A$3:$F$32,2,FALSE))&lt;=test!$K$16,$A21&lt;&gt;AB$1,feasible_mat!AB21=1),(VLOOKUP(AB$1,test!$A$3:$I$32,8,FALSE))-(VLOOKUP($A21,test!$A$3:$I$32,9,FALSE)),0)</f>
        <v>0</v>
      </c>
      <c r="AC21">
        <f>IF(AND(SUM(VLOOKUP($A21,test!$A$3:$F$32,2,FALSE),VLOOKUP(AC$1,test!$A$3:$F$32,2,FALSE))&lt;=test!$K$16,$A21&lt;&gt;AC$1,feasible_mat!AC21=1),(VLOOKUP(AC$1,test!$A$3:$I$32,8,FALSE))-(VLOOKUP($A21,test!$A$3:$I$32,9,FALSE)),0)</f>
        <v>0</v>
      </c>
      <c r="AD21">
        <f>IF(AND(SUM(VLOOKUP($A21,test!$A$3:$F$32,2,FALSE),VLOOKUP(AD$1,test!$A$3:$F$32,2,FALSE))&lt;=test!$K$16,$A21&lt;&gt;AD$1,feasible_mat!AD21=1),(VLOOKUP(AD$1,test!$A$3:$I$32,8,FALSE))-(VLOOKUP($A21,test!$A$3:$I$32,9,FALSE)),0)</f>
        <v>0</v>
      </c>
      <c r="AE21">
        <f>IF(AND(SUM(VLOOKUP($A21,test!$A$3:$F$32,2,FALSE),VLOOKUP(AE$1,test!$A$3:$F$32,2,FALSE))&lt;=test!$K$16,$A21&lt;&gt;AE$1,feasible_mat!AE21=1),(VLOOKUP(AE$1,test!$A$3:$I$32,8,FALSE))-(VLOOKUP($A21,test!$A$3:$I$32,9,FALSE)),0)</f>
        <v>0</v>
      </c>
      <c r="AF21">
        <f>IF(AND(SUM(VLOOKUP($A21,test!$A$3:$F$32,2,FALSE),VLOOKUP(AF$1,test!$A$3:$F$32,2,FALSE))&lt;=test!$K$16,$A21&lt;&gt;AF$1,feasible_mat!AF21=1),(VLOOKUP(AF$1,test!$A$3:$I$32,8,FALSE))-(VLOOKUP($A21,test!$A$3:$I$32,9,FALSE)),0)</f>
        <v>0</v>
      </c>
      <c r="AJ21" s="16">
        <f>VLOOKUP(AF$1,test!$A$3:$I$32,8,FALSE)</f>
        <v>810</v>
      </c>
    </row>
    <row r="22" spans="1:36" x14ac:dyDescent="0.25">
      <c r="A22" t="s">
        <v>31</v>
      </c>
      <c r="B22">
        <v>0</v>
      </c>
      <c r="C22">
        <f>IF(AND(SUM(VLOOKUP($A22,test!$A$3:$F$32,2,FALSE),VLOOKUP(C$1,test!$A$3:$F$32,2,FALSE))&lt;=test!$K$16,$A22&lt;&gt;C$1,feasible_mat!C22=1),(VLOOKUP(C$1,test!$A$3:$I$32,8,FALSE))-(VLOOKUP($A22,test!$A$3:$I$32,9,FALSE)),0)</f>
        <v>0</v>
      </c>
      <c r="D22">
        <f>IF(AND(SUM(VLOOKUP($A22,test!$A$3:$F$32,2,FALSE),VLOOKUP(D$1,test!$A$3:$F$32,2,FALSE))&lt;=test!$K$16,$A22&lt;&gt;D$1,feasible_mat!D22=1),(VLOOKUP(D$1,test!$A$3:$I$32,8,FALSE))-(VLOOKUP($A22,test!$A$3:$I$32,9,FALSE)),0)</f>
        <v>0</v>
      </c>
      <c r="E22">
        <f>IF(AND(SUM(VLOOKUP($A22,test!$A$3:$F$32,2,FALSE),VLOOKUP(E$1,test!$A$3:$F$32,2,FALSE))&lt;=test!$K$16,$A22&lt;&gt;E$1,feasible_mat!E22=1),(VLOOKUP(E$1,test!$A$3:$I$32,8,FALSE))-(VLOOKUP($A22,test!$A$3:$I$32,9,FALSE)),0)</f>
        <v>0</v>
      </c>
      <c r="F22">
        <f>IF(AND(SUM(VLOOKUP($A22,test!$A$3:$F$32,2,FALSE),VLOOKUP(F$1,test!$A$3:$F$32,2,FALSE))&lt;=test!$K$16,$A22&lt;&gt;F$1,feasible_mat!F22=1),(VLOOKUP(F$1,test!$A$3:$I$32,8,FALSE))-(VLOOKUP($A22,test!$A$3:$I$32,9,FALSE)),0)</f>
        <v>0</v>
      </c>
      <c r="G22">
        <f>IF(AND(SUM(VLOOKUP($A22,test!$A$3:$F$32,2,FALSE),VLOOKUP(G$1,test!$A$3:$F$32,2,FALSE))&lt;=test!$K$16,$A22&lt;&gt;G$1,feasible_mat!G22=1),(VLOOKUP(G$1,test!$A$3:$I$32,8,FALSE))-(VLOOKUP($A22,test!$A$3:$I$32,9,FALSE)),0)</f>
        <v>0</v>
      </c>
      <c r="H22">
        <f>IF(AND(SUM(VLOOKUP($A22,test!$A$3:$F$32,2,FALSE),VLOOKUP(H$1,test!$A$3:$F$32,2,FALSE))&lt;=test!$K$16,$A22&lt;&gt;H$1,feasible_mat!H22=1),(VLOOKUP(H$1,test!$A$3:$I$32,8,FALSE))-(VLOOKUP($A22,test!$A$3:$I$32,9,FALSE)),0)</f>
        <v>0</v>
      </c>
      <c r="I22">
        <f>IF(AND(SUM(VLOOKUP($A22,test!$A$3:$F$32,2,FALSE),VLOOKUP(I$1,test!$A$3:$F$32,2,FALSE))&lt;=test!$K$16,$A22&lt;&gt;I$1,feasible_mat!I22=1),(VLOOKUP(I$1,test!$A$3:$I$32,8,FALSE))-(VLOOKUP($A22,test!$A$3:$I$32,9,FALSE)),0)</f>
        <v>0</v>
      </c>
      <c r="J22">
        <f>IF(AND(SUM(VLOOKUP($A22,test!$A$3:$F$32,2,FALSE),VLOOKUP(J$1,test!$A$3:$F$32,2,FALSE))&lt;=test!$K$16,$A22&lt;&gt;J$1,feasible_mat!J22=1),(VLOOKUP(J$1,test!$A$3:$I$32,8,FALSE))-(VLOOKUP($A22,test!$A$3:$I$32,9,FALSE)),0)</f>
        <v>65</v>
      </c>
      <c r="K22">
        <f>IF(AND(SUM(VLOOKUP($A22,test!$A$3:$F$32,2,FALSE),VLOOKUP(K$1,test!$A$3:$F$32,2,FALSE))&lt;=test!$K$16,$A22&lt;&gt;K$1,feasible_mat!K22=1),(VLOOKUP(K$1,test!$A$3:$I$32,8,FALSE))-(VLOOKUP($A22,test!$A$3:$I$32,9,FALSE)),0)</f>
        <v>0</v>
      </c>
      <c r="L22">
        <f>IF(AND(SUM(VLOOKUP($A22,test!$A$3:$F$32,2,FALSE),VLOOKUP(L$1,test!$A$3:$F$32,2,FALSE))&lt;=test!$K$16,$A22&lt;&gt;L$1,feasible_mat!L22=1),(VLOOKUP(L$1,test!$A$3:$I$32,8,FALSE))-(VLOOKUP($A22,test!$A$3:$I$32,9,FALSE)),0)</f>
        <v>0</v>
      </c>
      <c r="M22">
        <f>IF(AND(SUM(VLOOKUP($A22,test!$A$3:$F$32,2,FALSE),VLOOKUP(M$1,test!$A$3:$F$32,2,FALSE))&lt;=test!$K$16,$A22&lt;&gt;M$1,feasible_mat!M22=1),(VLOOKUP(M$1,test!$A$3:$I$32,8,FALSE))-(VLOOKUP($A22,test!$A$3:$I$32,9,FALSE)),0)</f>
        <v>0</v>
      </c>
      <c r="N22">
        <f>IF(AND(SUM(VLOOKUP($A22,test!$A$3:$F$32,2,FALSE),VLOOKUP(N$1,test!$A$3:$F$32,2,FALSE))&lt;=test!$K$16,$A22&lt;&gt;N$1,feasible_mat!N22=1),(VLOOKUP(N$1,test!$A$3:$I$32,8,FALSE))-(VLOOKUP($A22,test!$A$3:$I$32,9,FALSE)),0)</f>
        <v>30</v>
      </c>
      <c r="O22">
        <f>IF(AND(SUM(VLOOKUP($A22,test!$A$3:$F$32,2,FALSE),VLOOKUP(O$1,test!$A$3:$F$32,2,FALSE))&lt;=test!$K$16,$A22&lt;&gt;O$1,feasible_mat!O22=1),(VLOOKUP(O$1,test!$A$3:$I$32,8,FALSE))-(VLOOKUP($A22,test!$A$3:$I$32,9,FALSE)),0)</f>
        <v>90</v>
      </c>
      <c r="P22">
        <f>IF(AND(SUM(VLOOKUP($A22,test!$A$3:$F$32,2,FALSE),VLOOKUP(P$1,test!$A$3:$F$32,2,FALSE))&lt;=test!$K$16,$A22&lt;&gt;P$1,feasible_mat!P22=1),(VLOOKUP(P$1,test!$A$3:$I$32,8,FALSE))-(VLOOKUP($A22,test!$A$3:$I$32,9,FALSE)),0)</f>
        <v>0</v>
      </c>
      <c r="Q22">
        <f>IF(AND(SUM(VLOOKUP($A22,test!$A$3:$F$32,2,FALSE),VLOOKUP(Q$1,test!$A$3:$F$32,2,FALSE))&lt;=test!$K$16,$A22&lt;&gt;Q$1,feasible_mat!Q22=1),(VLOOKUP(Q$1,test!$A$3:$I$32,8,FALSE))-(VLOOKUP($A22,test!$A$3:$I$32,9,FALSE)),0)</f>
        <v>0</v>
      </c>
      <c r="R22">
        <f>IF(AND(SUM(VLOOKUP($A22,test!$A$3:$F$32,2,FALSE),VLOOKUP(R$1,test!$A$3:$F$32,2,FALSE))&lt;=test!$K$16,$A22&lt;&gt;R$1,feasible_mat!R22=1),(VLOOKUP(R$1,test!$A$3:$I$32,8,FALSE))-(VLOOKUP($A22,test!$A$3:$I$32,9,FALSE)),0)</f>
        <v>0</v>
      </c>
      <c r="S22">
        <f>IF(AND(SUM(VLOOKUP($A22,test!$A$3:$F$32,2,FALSE),VLOOKUP(S$1,test!$A$3:$F$32,2,FALSE))&lt;=test!$K$16,$A22&lt;&gt;S$1,feasible_mat!S22=1),(VLOOKUP(S$1,test!$A$3:$I$32,8,FALSE))-(VLOOKUP($A22,test!$A$3:$I$32,9,FALSE)),0)</f>
        <v>0</v>
      </c>
      <c r="T22">
        <f>IF(AND(SUM(VLOOKUP($A22,test!$A$3:$F$32,2,FALSE),VLOOKUP(T$1,test!$A$3:$F$32,2,FALSE))&lt;=test!$K$16,$A22&lt;&gt;T$1,feasible_mat!T22=1),(VLOOKUP(T$1,test!$A$3:$I$32,8,FALSE))-(VLOOKUP($A22,test!$A$3:$I$32,9,FALSE)),0)</f>
        <v>0</v>
      </c>
      <c r="U22">
        <f>IF(AND(SUM(VLOOKUP($A22,test!$A$3:$F$32,2,FALSE),VLOOKUP(U$1,test!$A$3:$F$32,2,FALSE))&lt;=test!$K$16,$A22&lt;&gt;U$1,feasible_mat!U22=1),(VLOOKUP(U$1,test!$A$3:$I$32,8,FALSE))-(VLOOKUP($A22,test!$A$3:$I$32,9,FALSE)),0)</f>
        <v>0</v>
      </c>
      <c r="V22">
        <f>IF(AND(SUM(VLOOKUP($A22,test!$A$3:$F$32,2,FALSE),VLOOKUP(V$1,test!$A$3:$F$32,2,FALSE))&lt;=test!$K$16,$A22&lt;&gt;V$1,feasible_mat!V22=1),(VLOOKUP(V$1,test!$A$3:$I$32,8,FALSE))-(VLOOKUP($A22,test!$A$3:$I$32,9,FALSE)),0)</f>
        <v>0</v>
      </c>
      <c r="W22">
        <f>IF(AND(SUM(VLOOKUP($A22,test!$A$3:$F$32,2,FALSE),VLOOKUP(W$1,test!$A$3:$F$32,2,FALSE))&lt;=test!$K$16,$A22&lt;&gt;W$1,feasible_mat!W22=1),(VLOOKUP(W$1,test!$A$3:$I$32,8,FALSE))-(VLOOKUP($A22,test!$A$3:$I$32,9,FALSE)),0)</f>
        <v>0</v>
      </c>
      <c r="X22">
        <f>IF(AND(SUM(VLOOKUP($A22,test!$A$3:$F$32,2,FALSE),VLOOKUP(X$1,test!$A$3:$F$32,2,FALSE))&lt;=test!$K$16,$A22&lt;&gt;X$1,feasible_mat!X22=1),(VLOOKUP(X$1,test!$A$3:$I$32,8,FALSE))-(VLOOKUP($A22,test!$A$3:$I$32,9,FALSE)),0)</f>
        <v>15</v>
      </c>
      <c r="Y22">
        <f>IF(AND(SUM(VLOOKUP($A22,test!$A$3:$F$32,2,FALSE),VLOOKUP(Y$1,test!$A$3:$F$32,2,FALSE))&lt;=test!$K$16,$A22&lt;&gt;Y$1,feasible_mat!Y22=1),(VLOOKUP(Y$1,test!$A$3:$I$32,8,FALSE))-(VLOOKUP($A22,test!$A$3:$I$32,9,FALSE)),0)</f>
        <v>0</v>
      </c>
      <c r="Z22">
        <f>IF(AND(SUM(VLOOKUP($A22,test!$A$3:$F$32,2,FALSE),VLOOKUP(Z$1,test!$A$3:$F$32,2,FALSE))&lt;=test!$K$16,$A22&lt;&gt;Z$1,feasible_mat!Z22=1),(VLOOKUP(Z$1,test!$A$3:$I$32,8,FALSE))-(VLOOKUP($A22,test!$A$3:$I$32,9,FALSE)),0)</f>
        <v>0</v>
      </c>
      <c r="AA22">
        <f>IF(AND(SUM(VLOOKUP($A22,test!$A$3:$F$32,2,FALSE),VLOOKUP(AA$1,test!$A$3:$F$32,2,FALSE))&lt;=test!$K$16,$A22&lt;&gt;AA$1,feasible_mat!AA22=1),(VLOOKUP(AA$1,test!$A$3:$I$32,8,FALSE))-(VLOOKUP($A22,test!$A$3:$I$32,9,FALSE)),0)</f>
        <v>0</v>
      </c>
      <c r="AB22">
        <f>IF(AND(SUM(VLOOKUP($A22,test!$A$3:$F$32,2,FALSE),VLOOKUP(AB$1,test!$A$3:$F$32,2,FALSE))&lt;=test!$K$16,$A22&lt;&gt;AB$1,feasible_mat!AB22=1),(VLOOKUP(AB$1,test!$A$3:$I$32,8,FALSE))-(VLOOKUP($A22,test!$A$3:$I$32,9,FALSE)),0)</f>
        <v>0</v>
      </c>
      <c r="AC22">
        <f>IF(AND(SUM(VLOOKUP($A22,test!$A$3:$F$32,2,FALSE),VLOOKUP(AC$1,test!$A$3:$F$32,2,FALSE))&lt;=test!$K$16,$A22&lt;&gt;AC$1,feasible_mat!AC22=1),(VLOOKUP(AC$1,test!$A$3:$I$32,8,FALSE))-(VLOOKUP($A22,test!$A$3:$I$32,9,FALSE)),0)</f>
        <v>0</v>
      </c>
      <c r="AD22">
        <f>IF(AND(SUM(VLOOKUP($A22,test!$A$3:$F$32,2,FALSE),VLOOKUP(AD$1,test!$A$3:$F$32,2,FALSE))&lt;=test!$K$16,$A22&lt;&gt;AD$1,feasible_mat!AD22=1),(VLOOKUP(AD$1,test!$A$3:$I$32,8,FALSE))-(VLOOKUP($A22,test!$A$3:$I$32,9,FALSE)),0)</f>
        <v>0</v>
      </c>
      <c r="AE22">
        <f>IF(AND(SUM(VLOOKUP($A22,test!$A$3:$F$32,2,FALSE),VLOOKUP(AE$1,test!$A$3:$F$32,2,FALSE))&lt;=test!$K$16,$A22&lt;&gt;AE$1,feasible_mat!AE22=1),(VLOOKUP(AE$1,test!$A$3:$I$32,8,FALSE))-(VLOOKUP($A22,test!$A$3:$I$32,9,FALSE)),0)</f>
        <v>0</v>
      </c>
      <c r="AF22">
        <f>IF(AND(SUM(VLOOKUP($A22,test!$A$3:$F$32,2,FALSE),VLOOKUP(AF$1,test!$A$3:$F$32,2,FALSE))&lt;=test!$K$16,$A22&lt;&gt;AF$1,feasible_mat!AF22=1),(VLOOKUP(AF$1,test!$A$3:$I$32,8,FALSE))-(VLOOKUP($A22,test!$A$3:$I$32,9,FALSE)),0)</f>
        <v>0</v>
      </c>
      <c r="AJ22" s="16">
        <f>(VLOOKUP($A11,test!$A$3:$I$32,9,FALSE))</f>
        <v>695</v>
      </c>
    </row>
    <row r="23" spans="1:36" x14ac:dyDescent="0.25">
      <c r="A23" t="s">
        <v>32</v>
      </c>
      <c r="B23">
        <v>0</v>
      </c>
      <c r="C23">
        <f>IF(AND(SUM(VLOOKUP($A23,test!$A$3:$F$32,2,FALSE),VLOOKUP(C$1,test!$A$3:$F$32,2,FALSE))&lt;=test!$K$16,$A23&lt;&gt;C$1,feasible_mat!C23=1),(VLOOKUP(C$1,test!$A$3:$I$32,8,FALSE))-(VLOOKUP($A23,test!$A$3:$I$32,9,FALSE)),0)</f>
        <v>0</v>
      </c>
      <c r="D23">
        <f>IF(AND(SUM(VLOOKUP($A23,test!$A$3:$F$32,2,FALSE),VLOOKUP(D$1,test!$A$3:$F$32,2,FALSE))&lt;=test!$K$16,$A23&lt;&gt;D$1,feasible_mat!D23=1),(VLOOKUP(D$1,test!$A$3:$I$32,8,FALSE))-(VLOOKUP($A23,test!$A$3:$I$32,9,FALSE)),0)</f>
        <v>0</v>
      </c>
      <c r="E23">
        <f>IF(AND(SUM(VLOOKUP($A23,test!$A$3:$F$32,2,FALSE),VLOOKUP(E$1,test!$A$3:$F$32,2,FALSE))&lt;=test!$K$16,$A23&lt;&gt;E$1,feasible_mat!E23=1),(VLOOKUP(E$1,test!$A$3:$I$32,8,FALSE))-(VLOOKUP($A23,test!$A$3:$I$32,9,FALSE)),0)</f>
        <v>0</v>
      </c>
      <c r="F23">
        <f>IF(AND(SUM(VLOOKUP($A23,test!$A$3:$F$32,2,FALSE),VLOOKUP(F$1,test!$A$3:$F$32,2,FALSE))&lt;=test!$K$16,$A23&lt;&gt;F$1,feasible_mat!F23=1),(VLOOKUP(F$1,test!$A$3:$I$32,8,FALSE))-(VLOOKUP($A23,test!$A$3:$I$32,9,FALSE)),0)</f>
        <v>0</v>
      </c>
      <c r="G23">
        <f>IF(AND(SUM(VLOOKUP($A23,test!$A$3:$F$32,2,FALSE),VLOOKUP(G$1,test!$A$3:$F$32,2,FALSE))&lt;=test!$K$16,$A23&lt;&gt;G$1,feasible_mat!G23=1),(VLOOKUP(G$1,test!$A$3:$I$32,8,FALSE))-(VLOOKUP($A23,test!$A$3:$I$32,9,FALSE)),0)</f>
        <v>0</v>
      </c>
      <c r="H23">
        <f>IF(AND(SUM(VLOOKUP($A23,test!$A$3:$F$32,2,FALSE),VLOOKUP(H$1,test!$A$3:$F$32,2,FALSE))&lt;=test!$K$16,$A23&lt;&gt;H$1,feasible_mat!H23=1),(VLOOKUP(H$1,test!$A$3:$I$32,8,FALSE))-(VLOOKUP($A23,test!$A$3:$I$32,9,FALSE)),0)</f>
        <v>0</v>
      </c>
      <c r="I23">
        <f>IF(AND(SUM(VLOOKUP($A23,test!$A$3:$F$32,2,FALSE),VLOOKUP(I$1,test!$A$3:$F$32,2,FALSE))&lt;=test!$K$16,$A23&lt;&gt;I$1,feasible_mat!I23=1),(VLOOKUP(I$1,test!$A$3:$I$32,8,FALSE))-(VLOOKUP($A23,test!$A$3:$I$32,9,FALSE)),0)</f>
        <v>0</v>
      </c>
      <c r="J23">
        <f>IF(AND(SUM(VLOOKUP($A23,test!$A$3:$F$32,2,FALSE),VLOOKUP(J$1,test!$A$3:$F$32,2,FALSE))&lt;=test!$K$16,$A23&lt;&gt;J$1,feasible_mat!J23=1),(VLOOKUP(J$1,test!$A$3:$I$32,8,FALSE))-(VLOOKUP($A23,test!$A$3:$I$32,9,FALSE)),0)</f>
        <v>0</v>
      </c>
      <c r="K23">
        <f>IF(AND(SUM(VLOOKUP($A23,test!$A$3:$F$32,2,FALSE),VLOOKUP(K$1,test!$A$3:$F$32,2,FALSE))&lt;=test!$K$16,$A23&lt;&gt;K$1,feasible_mat!K23=1),(VLOOKUP(K$1,test!$A$3:$I$32,8,FALSE))-(VLOOKUP($A23,test!$A$3:$I$32,9,FALSE)),0)</f>
        <v>0</v>
      </c>
      <c r="L23">
        <f>IF(AND(SUM(VLOOKUP($A23,test!$A$3:$F$32,2,FALSE),VLOOKUP(L$1,test!$A$3:$F$32,2,FALSE))&lt;=test!$K$16,$A23&lt;&gt;L$1,feasible_mat!L23=1),(VLOOKUP(L$1,test!$A$3:$I$32,8,FALSE))-(VLOOKUP($A23,test!$A$3:$I$32,9,FALSE)),0)</f>
        <v>0</v>
      </c>
      <c r="M23">
        <f>IF(AND(SUM(VLOOKUP($A23,test!$A$3:$F$32,2,FALSE),VLOOKUP(M$1,test!$A$3:$F$32,2,FALSE))&lt;=test!$K$16,$A23&lt;&gt;M$1,feasible_mat!M23=1),(VLOOKUP(M$1,test!$A$3:$I$32,8,FALSE))-(VLOOKUP($A23,test!$A$3:$I$32,9,FALSE)),0)</f>
        <v>0</v>
      </c>
      <c r="N23">
        <f>IF(AND(SUM(VLOOKUP($A23,test!$A$3:$F$32,2,FALSE),VLOOKUP(N$1,test!$A$3:$F$32,2,FALSE))&lt;=test!$K$16,$A23&lt;&gt;N$1,feasible_mat!N23=1),(VLOOKUP(N$1,test!$A$3:$I$32,8,FALSE))-(VLOOKUP($A23,test!$A$3:$I$32,9,FALSE)),0)</f>
        <v>0</v>
      </c>
      <c r="O23">
        <f>IF(AND(SUM(VLOOKUP($A23,test!$A$3:$F$32,2,FALSE),VLOOKUP(O$1,test!$A$3:$F$32,2,FALSE))&lt;=test!$K$16,$A23&lt;&gt;O$1,feasible_mat!O23=1),(VLOOKUP(O$1,test!$A$3:$I$32,8,FALSE))-(VLOOKUP($A23,test!$A$3:$I$32,9,FALSE)),0)</f>
        <v>0</v>
      </c>
      <c r="P23">
        <f>IF(AND(SUM(VLOOKUP($A23,test!$A$3:$F$32,2,FALSE),VLOOKUP(P$1,test!$A$3:$F$32,2,FALSE))&lt;=test!$K$16,$A23&lt;&gt;P$1,feasible_mat!P23=1),(VLOOKUP(P$1,test!$A$3:$I$32,8,FALSE))-(VLOOKUP($A23,test!$A$3:$I$32,9,FALSE)),0)</f>
        <v>0</v>
      </c>
      <c r="Q23">
        <f>IF(AND(SUM(VLOOKUP($A23,test!$A$3:$F$32,2,FALSE),VLOOKUP(Q$1,test!$A$3:$F$32,2,FALSE))&lt;=test!$K$16,$A23&lt;&gt;Q$1,feasible_mat!Q23=1),(VLOOKUP(Q$1,test!$A$3:$I$32,8,FALSE))-(VLOOKUP($A23,test!$A$3:$I$32,9,FALSE)),0)</f>
        <v>0</v>
      </c>
      <c r="R23">
        <f>IF(AND(SUM(VLOOKUP($A23,test!$A$3:$F$32,2,FALSE),VLOOKUP(R$1,test!$A$3:$F$32,2,FALSE))&lt;=test!$K$16,$A23&lt;&gt;R$1,feasible_mat!R23=1),(VLOOKUP(R$1,test!$A$3:$I$32,8,FALSE))-(VLOOKUP($A23,test!$A$3:$I$32,9,FALSE)),0)</f>
        <v>0</v>
      </c>
      <c r="S23">
        <f>IF(AND(SUM(VLOOKUP($A23,test!$A$3:$F$32,2,FALSE),VLOOKUP(S$1,test!$A$3:$F$32,2,FALSE))&lt;=test!$K$16,$A23&lt;&gt;S$1,feasible_mat!S23=1),(VLOOKUP(S$1,test!$A$3:$I$32,8,FALSE))-(VLOOKUP($A23,test!$A$3:$I$32,9,FALSE)),0)</f>
        <v>0</v>
      </c>
      <c r="T23">
        <f>IF(AND(SUM(VLOOKUP($A23,test!$A$3:$F$32,2,FALSE),VLOOKUP(T$1,test!$A$3:$F$32,2,FALSE))&lt;=test!$K$16,$A23&lt;&gt;T$1,feasible_mat!T23=1),(VLOOKUP(T$1,test!$A$3:$I$32,8,FALSE))-(VLOOKUP($A23,test!$A$3:$I$32,9,FALSE)),0)</f>
        <v>0</v>
      </c>
      <c r="U23">
        <f>IF(AND(SUM(VLOOKUP($A23,test!$A$3:$F$32,2,FALSE),VLOOKUP(U$1,test!$A$3:$F$32,2,FALSE))&lt;=test!$K$16,$A23&lt;&gt;U$1,feasible_mat!U23=1),(VLOOKUP(U$1,test!$A$3:$I$32,8,FALSE))-(VLOOKUP($A23,test!$A$3:$I$32,9,FALSE)),0)</f>
        <v>0</v>
      </c>
      <c r="V23">
        <f>IF(AND(SUM(VLOOKUP($A23,test!$A$3:$F$32,2,FALSE),VLOOKUP(V$1,test!$A$3:$F$32,2,FALSE))&lt;=test!$K$16,$A23&lt;&gt;V$1,feasible_mat!V23=1),(VLOOKUP(V$1,test!$A$3:$I$32,8,FALSE))-(VLOOKUP($A23,test!$A$3:$I$32,9,FALSE)),0)</f>
        <v>0</v>
      </c>
      <c r="W23">
        <f>IF(AND(SUM(VLOOKUP($A23,test!$A$3:$F$32,2,FALSE),VLOOKUP(W$1,test!$A$3:$F$32,2,FALSE))&lt;=test!$K$16,$A23&lt;&gt;W$1,feasible_mat!W23=1),(VLOOKUP(W$1,test!$A$3:$I$32,8,FALSE))-(VLOOKUP($A23,test!$A$3:$I$32,9,FALSE)),0)</f>
        <v>0</v>
      </c>
      <c r="X23">
        <f>IF(AND(SUM(VLOOKUP($A23,test!$A$3:$F$32,2,FALSE),VLOOKUP(X$1,test!$A$3:$F$32,2,FALSE))&lt;=test!$K$16,$A23&lt;&gt;X$1,feasible_mat!X23=1),(VLOOKUP(X$1,test!$A$3:$I$32,8,FALSE))-(VLOOKUP($A23,test!$A$3:$I$32,9,FALSE)),0)</f>
        <v>0</v>
      </c>
      <c r="Y23">
        <f>IF(AND(SUM(VLOOKUP($A23,test!$A$3:$F$32,2,FALSE),VLOOKUP(Y$1,test!$A$3:$F$32,2,FALSE))&lt;=test!$K$16,$A23&lt;&gt;Y$1,feasible_mat!Y23=1),(VLOOKUP(Y$1,test!$A$3:$I$32,8,FALSE))-(VLOOKUP($A23,test!$A$3:$I$32,9,FALSE)),0)</f>
        <v>0</v>
      </c>
      <c r="Z23">
        <f>IF(AND(SUM(VLOOKUP($A23,test!$A$3:$F$32,2,FALSE),VLOOKUP(Z$1,test!$A$3:$F$32,2,FALSE))&lt;=test!$K$16,$A23&lt;&gt;Z$1,feasible_mat!Z23=1),(VLOOKUP(Z$1,test!$A$3:$I$32,8,FALSE))-(VLOOKUP($A23,test!$A$3:$I$32,9,FALSE)),0)</f>
        <v>0</v>
      </c>
      <c r="AA23">
        <f>IF(AND(SUM(VLOOKUP($A23,test!$A$3:$F$32,2,FALSE),VLOOKUP(AA$1,test!$A$3:$F$32,2,FALSE))&lt;=test!$K$16,$A23&lt;&gt;AA$1,feasible_mat!AA23=1),(VLOOKUP(AA$1,test!$A$3:$I$32,8,FALSE))-(VLOOKUP($A23,test!$A$3:$I$32,9,FALSE)),0)</f>
        <v>0</v>
      </c>
      <c r="AB23">
        <f>IF(AND(SUM(VLOOKUP($A23,test!$A$3:$F$32,2,FALSE),VLOOKUP(AB$1,test!$A$3:$F$32,2,FALSE))&lt;=test!$K$16,$A23&lt;&gt;AB$1,feasible_mat!AB23=1),(VLOOKUP(AB$1,test!$A$3:$I$32,8,FALSE))-(VLOOKUP($A23,test!$A$3:$I$32,9,FALSE)),0)</f>
        <v>0</v>
      </c>
      <c r="AC23">
        <f>IF(AND(SUM(VLOOKUP($A23,test!$A$3:$F$32,2,FALSE),VLOOKUP(AC$1,test!$A$3:$F$32,2,FALSE))&lt;=test!$K$16,$A23&lt;&gt;AC$1,feasible_mat!AC23=1),(VLOOKUP(AC$1,test!$A$3:$I$32,8,FALSE))-(VLOOKUP($A23,test!$A$3:$I$32,9,FALSE)),0)</f>
        <v>0</v>
      </c>
      <c r="AD23">
        <f>IF(AND(SUM(VLOOKUP($A23,test!$A$3:$F$32,2,FALSE),VLOOKUP(AD$1,test!$A$3:$F$32,2,FALSE))&lt;=test!$K$16,$A23&lt;&gt;AD$1,feasible_mat!AD23=1),(VLOOKUP(AD$1,test!$A$3:$I$32,8,FALSE))-(VLOOKUP($A23,test!$A$3:$I$32,9,FALSE)),0)</f>
        <v>0</v>
      </c>
      <c r="AE23">
        <f>IF(AND(SUM(VLOOKUP($A23,test!$A$3:$F$32,2,FALSE),VLOOKUP(AE$1,test!$A$3:$F$32,2,FALSE))&lt;=test!$K$16,$A23&lt;&gt;AE$1,feasible_mat!AE23=1),(VLOOKUP(AE$1,test!$A$3:$I$32,8,FALSE))-(VLOOKUP($A23,test!$A$3:$I$32,9,FALSE)),0)</f>
        <v>0</v>
      </c>
      <c r="AF23">
        <f>IF(AND(SUM(VLOOKUP($A23,test!$A$3:$F$32,2,FALSE),VLOOKUP(AF$1,test!$A$3:$F$32,2,FALSE))&lt;=test!$K$16,$A23&lt;&gt;AF$1,feasible_mat!AF23=1),(VLOOKUP(AF$1,test!$A$3:$I$32,8,FALSE))-(VLOOKUP($A23,test!$A$3:$I$32,9,FALSE)),0)</f>
        <v>0</v>
      </c>
    </row>
    <row r="24" spans="1:36" x14ac:dyDescent="0.25">
      <c r="A24" t="s">
        <v>33</v>
      </c>
      <c r="B24">
        <v>0</v>
      </c>
      <c r="C24">
        <f>IF(AND(SUM(VLOOKUP($A24,test!$A$3:$F$32,2,FALSE),VLOOKUP(C$1,test!$A$3:$F$32,2,FALSE))&lt;=test!$K$16,$A24&lt;&gt;C$1,feasible_mat!C24=1),(VLOOKUP(C$1,test!$A$3:$I$32,8,FALSE))-(VLOOKUP($A24,test!$A$3:$I$32,9,FALSE)),0)</f>
        <v>0</v>
      </c>
      <c r="D24">
        <f>IF(AND(SUM(VLOOKUP($A24,test!$A$3:$F$32,2,FALSE),VLOOKUP(D$1,test!$A$3:$F$32,2,FALSE))&lt;=test!$K$16,$A24&lt;&gt;D$1,feasible_mat!D24=1),(VLOOKUP(D$1,test!$A$3:$I$32,8,FALSE))-(VLOOKUP($A24,test!$A$3:$I$32,9,FALSE)),0)</f>
        <v>0</v>
      </c>
      <c r="E24">
        <f>IF(AND(SUM(VLOOKUP($A24,test!$A$3:$F$32,2,FALSE),VLOOKUP(E$1,test!$A$3:$F$32,2,FALSE))&lt;=test!$K$16,$A24&lt;&gt;E$1,feasible_mat!E24=1),(VLOOKUP(E$1,test!$A$3:$I$32,8,FALSE))-(VLOOKUP($A24,test!$A$3:$I$32,9,FALSE)),0)</f>
        <v>0</v>
      </c>
      <c r="F24">
        <f>IF(AND(SUM(VLOOKUP($A24,test!$A$3:$F$32,2,FALSE),VLOOKUP(F$1,test!$A$3:$F$32,2,FALSE))&lt;=test!$K$16,$A24&lt;&gt;F$1,feasible_mat!F24=1),(VLOOKUP(F$1,test!$A$3:$I$32,8,FALSE))-(VLOOKUP($A24,test!$A$3:$I$32,9,FALSE)),0)</f>
        <v>0</v>
      </c>
      <c r="G24">
        <f>IF(AND(SUM(VLOOKUP($A24,test!$A$3:$F$32,2,FALSE),VLOOKUP(G$1,test!$A$3:$F$32,2,FALSE))&lt;=test!$K$16,$A24&lt;&gt;G$1,feasible_mat!G24=1),(VLOOKUP(G$1,test!$A$3:$I$32,8,FALSE))-(VLOOKUP($A24,test!$A$3:$I$32,9,FALSE)),0)</f>
        <v>0</v>
      </c>
      <c r="H24">
        <f>IF(AND(SUM(VLOOKUP($A24,test!$A$3:$F$32,2,FALSE),VLOOKUP(H$1,test!$A$3:$F$32,2,FALSE))&lt;=test!$K$16,$A24&lt;&gt;H$1,feasible_mat!H24=1),(VLOOKUP(H$1,test!$A$3:$I$32,8,FALSE))-(VLOOKUP($A24,test!$A$3:$I$32,9,FALSE)),0)</f>
        <v>0</v>
      </c>
      <c r="I24">
        <f>IF(AND(SUM(VLOOKUP($A24,test!$A$3:$F$32,2,FALSE),VLOOKUP(I$1,test!$A$3:$F$32,2,FALSE))&lt;=test!$K$16,$A24&lt;&gt;I$1,feasible_mat!I24=1),(VLOOKUP(I$1,test!$A$3:$I$32,8,FALSE))-(VLOOKUP($A24,test!$A$3:$I$32,9,FALSE)),0)</f>
        <v>0</v>
      </c>
      <c r="J24">
        <f>IF(AND(SUM(VLOOKUP($A24,test!$A$3:$F$32,2,FALSE),VLOOKUP(J$1,test!$A$3:$F$32,2,FALSE))&lt;=test!$K$16,$A24&lt;&gt;J$1,feasible_mat!J24=1),(VLOOKUP(J$1,test!$A$3:$I$32,8,FALSE))-(VLOOKUP($A24,test!$A$3:$I$32,9,FALSE)),0)</f>
        <v>0</v>
      </c>
      <c r="K24">
        <f>IF(AND(SUM(VLOOKUP($A24,test!$A$3:$F$32,2,FALSE),VLOOKUP(K$1,test!$A$3:$F$32,2,FALSE))&lt;=test!$K$16,$A24&lt;&gt;K$1,feasible_mat!K24=1),(VLOOKUP(K$1,test!$A$3:$I$32,8,FALSE))-(VLOOKUP($A24,test!$A$3:$I$32,9,FALSE)),0)</f>
        <v>0</v>
      </c>
      <c r="L24">
        <f>IF(AND(SUM(VLOOKUP($A24,test!$A$3:$F$32,2,FALSE),VLOOKUP(L$1,test!$A$3:$F$32,2,FALSE))&lt;=test!$K$16,$A24&lt;&gt;L$1,feasible_mat!L24=1),(VLOOKUP(L$1,test!$A$3:$I$32,8,FALSE))-(VLOOKUP($A24,test!$A$3:$I$32,9,FALSE)),0)</f>
        <v>0</v>
      </c>
      <c r="M24">
        <f>IF(AND(SUM(VLOOKUP($A24,test!$A$3:$F$32,2,FALSE),VLOOKUP(M$1,test!$A$3:$F$32,2,FALSE))&lt;=test!$K$16,$A24&lt;&gt;M$1,feasible_mat!M24=1),(VLOOKUP(M$1,test!$A$3:$I$32,8,FALSE))-(VLOOKUP($A24,test!$A$3:$I$32,9,FALSE)),0)</f>
        <v>0</v>
      </c>
      <c r="N24">
        <f>IF(AND(SUM(VLOOKUP($A24,test!$A$3:$F$32,2,FALSE),VLOOKUP(N$1,test!$A$3:$F$32,2,FALSE))&lt;=test!$K$16,$A24&lt;&gt;N$1,feasible_mat!N24=1),(VLOOKUP(N$1,test!$A$3:$I$32,8,FALSE))-(VLOOKUP($A24,test!$A$3:$I$32,9,FALSE)),0)</f>
        <v>0</v>
      </c>
      <c r="O24">
        <f>IF(AND(SUM(VLOOKUP($A24,test!$A$3:$F$32,2,FALSE),VLOOKUP(O$1,test!$A$3:$F$32,2,FALSE))&lt;=test!$K$16,$A24&lt;&gt;O$1,feasible_mat!O24=1),(VLOOKUP(O$1,test!$A$3:$I$32,8,FALSE))-(VLOOKUP($A24,test!$A$3:$I$32,9,FALSE)),0)</f>
        <v>0</v>
      </c>
      <c r="P24">
        <f>IF(AND(SUM(VLOOKUP($A24,test!$A$3:$F$32,2,FALSE),VLOOKUP(P$1,test!$A$3:$F$32,2,FALSE))&lt;=test!$K$16,$A24&lt;&gt;P$1,feasible_mat!P24=1),(VLOOKUP(P$1,test!$A$3:$I$32,8,FALSE))-(VLOOKUP($A24,test!$A$3:$I$32,9,FALSE)),0)</f>
        <v>0</v>
      </c>
      <c r="Q24">
        <f>IF(AND(SUM(VLOOKUP($A24,test!$A$3:$F$32,2,FALSE),VLOOKUP(Q$1,test!$A$3:$F$32,2,FALSE))&lt;=test!$K$16,$A24&lt;&gt;Q$1,feasible_mat!Q24=1),(VLOOKUP(Q$1,test!$A$3:$I$32,8,FALSE))-(VLOOKUP($A24,test!$A$3:$I$32,9,FALSE)),0)</f>
        <v>0</v>
      </c>
      <c r="R24">
        <f>IF(AND(SUM(VLOOKUP($A24,test!$A$3:$F$32,2,FALSE),VLOOKUP(R$1,test!$A$3:$F$32,2,FALSE))&lt;=test!$K$16,$A24&lt;&gt;R$1,feasible_mat!R24=1),(VLOOKUP(R$1,test!$A$3:$I$32,8,FALSE))-(VLOOKUP($A24,test!$A$3:$I$32,9,FALSE)),0)</f>
        <v>0</v>
      </c>
      <c r="S24">
        <f>IF(AND(SUM(VLOOKUP($A24,test!$A$3:$F$32,2,FALSE),VLOOKUP(S$1,test!$A$3:$F$32,2,FALSE))&lt;=test!$K$16,$A24&lt;&gt;S$1,feasible_mat!S24=1),(VLOOKUP(S$1,test!$A$3:$I$32,8,FALSE))-(VLOOKUP($A24,test!$A$3:$I$32,9,FALSE)),0)</f>
        <v>0</v>
      </c>
      <c r="T24">
        <f>IF(AND(SUM(VLOOKUP($A24,test!$A$3:$F$32,2,FALSE),VLOOKUP(T$1,test!$A$3:$F$32,2,FALSE))&lt;=test!$K$16,$A24&lt;&gt;T$1,feasible_mat!T24=1),(VLOOKUP(T$1,test!$A$3:$I$32,8,FALSE))-(VLOOKUP($A24,test!$A$3:$I$32,9,FALSE)),0)</f>
        <v>0</v>
      </c>
      <c r="U24">
        <f>IF(AND(SUM(VLOOKUP($A24,test!$A$3:$F$32,2,FALSE),VLOOKUP(U$1,test!$A$3:$F$32,2,FALSE))&lt;=test!$K$16,$A24&lt;&gt;U$1,feasible_mat!U24=1),(VLOOKUP(U$1,test!$A$3:$I$32,8,FALSE))-(VLOOKUP($A24,test!$A$3:$I$32,9,FALSE)),0)</f>
        <v>0</v>
      </c>
      <c r="V24">
        <f>IF(AND(SUM(VLOOKUP($A24,test!$A$3:$F$32,2,FALSE),VLOOKUP(V$1,test!$A$3:$F$32,2,FALSE))&lt;=test!$K$16,$A24&lt;&gt;V$1,feasible_mat!V24=1),(VLOOKUP(V$1,test!$A$3:$I$32,8,FALSE))-(VLOOKUP($A24,test!$A$3:$I$32,9,FALSE)),0)</f>
        <v>0</v>
      </c>
      <c r="W24">
        <f>IF(AND(SUM(VLOOKUP($A24,test!$A$3:$F$32,2,FALSE),VLOOKUP(W$1,test!$A$3:$F$32,2,FALSE))&lt;=test!$K$16,$A24&lt;&gt;W$1,feasible_mat!W24=1),(VLOOKUP(W$1,test!$A$3:$I$32,8,FALSE))-(VLOOKUP($A24,test!$A$3:$I$32,9,FALSE)),0)</f>
        <v>0</v>
      </c>
      <c r="X24">
        <f>IF(AND(SUM(VLOOKUP($A24,test!$A$3:$F$32,2,FALSE),VLOOKUP(X$1,test!$A$3:$F$32,2,FALSE))&lt;=test!$K$16,$A24&lt;&gt;X$1,feasible_mat!X24=1),(VLOOKUP(X$1,test!$A$3:$I$32,8,FALSE))-(VLOOKUP($A24,test!$A$3:$I$32,9,FALSE)),0)</f>
        <v>0</v>
      </c>
      <c r="Y24">
        <f>IF(AND(SUM(VLOOKUP($A24,test!$A$3:$F$32,2,FALSE),VLOOKUP(Y$1,test!$A$3:$F$32,2,FALSE))&lt;=test!$K$16,$A24&lt;&gt;Y$1,feasible_mat!Y24=1),(VLOOKUP(Y$1,test!$A$3:$I$32,8,FALSE))-(VLOOKUP($A24,test!$A$3:$I$32,9,FALSE)),0)</f>
        <v>0</v>
      </c>
      <c r="Z24">
        <f>IF(AND(SUM(VLOOKUP($A24,test!$A$3:$F$32,2,FALSE),VLOOKUP(Z$1,test!$A$3:$F$32,2,FALSE))&lt;=test!$K$16,$A24&lt;&gt;Z$1,feasible_mat!Z24=1),(VLOOKUP(Z$1,test!$A$3:$I$32,8,FALSE))-(VLOOKUP($A24,test!$A$3:$I$32,9,FALSE)),0)</f>
        <v>0</v>
      </c>
      <c r="AA24">
        <f>IF(AND(SUM(VLOOKUP($A24,test!$A$3:$F$32,2,FALSE),VLOOKUP(AA$1,test!$A$3:$F$32,2,FALSE))&lt;=test!$K$16,$A24&lt;&gt;AA$1,feasible_mat!AA24=1),(VLOOKUP(AA$1,test!$A$3:$I$32,8,FALSE))-(VLOOKUP($A24,test!$A$3:$I$32,9,FALSE)),0)</f>
        <v>0</v>
      </c>
      <c r="AB24">
        <f>IF(AND(SUM(VLOOKUP($A24,test!$A$3:$F$32,2,FALSE),VLOOKUP(AB$1,test!$A$3:$F$32,2,FALSE))&lt;=test!$K$16,$A24&lt;&gt;AB$1,feasible_mat!AB24=1),(VLOOKUP(AB$1,test!$A$3:$I$32,8,FALSE))-(VLOOKUP($A24,test!$A$3:$I$32,9,FALSE)),0)</f>
        <v>0</v>
      </c>
      <c r="AC24">
        <f>IF(AND(SUM(VLOOKUP($A24,test!$A$3:$F$32,2,FALSE),VLOOKUP(AC$1,test!$A$3:$F$32,2,FALSE))&lt;=test!$K$16,$A24&lt;&gt;AC$1,feasible_mat!AC24=1),(VLOOKUP(AC$1,test!$A$3:$I$32,8,FALSE))-(VLOOKUP($A24,test!$A$3:$I$32,9,FALSE)),0)</f>
        <v>0</v>
      </c>
      <c r="AD24">
        <f>IF(AND(SUM(VLOOKUP($A24,test!$A$3:$F$32,2,FALSE),VLOOKUP(AD$1,test!$A$3:$F$32,2,FALSE))&lt;=test!$K$16,$A24&lt;&gt;AD$1,feasible_mat!AD24=1),(VLOOKUP(AD$1,test!$A$3:$I$32,8,FALSE))-(VLOOKUP($A24,test!$A$3:$I$32,9,FALSE)),0)</f>
        <v>0</v>
      </c>
      <c r="AE24">
        <f>IF(AND(SUM(VLOOKUP($A24,test!$A$3:$F$32,2,FALSE),VLOOKUP(AE$1,test!$A$3:$F$32,2,FALSE))&lt;=test!$K$16,$A24&lt;&gt;AE$1,feasible_mat!AE24=1),(VLOOKUP(AE$1,test!$A$3:$I$32,8,FALSE))-(VLOOKUP($A24,test!$A$3:$I$32,9,FALSE)),0)</f>
        <v>0</v>
      </c>
      <c r="AF24">
        <f>IF(AND(SUM(VLOOKUP($A24,test!$A$3:$F$32,2,FALSE),VLOOKUP(AF$1,test!$A$3:$F$32,2,FALSE))&lt;=test!$K$16,$A24&lt;&gt;AF$1,feasible_mat!AF24=1),(VLOOKUP(AF$1,test!$A$3:$I$32,8,FALSE))-(VLOOKUP($A24,test!$A$3:$I$32,9,FALSE)),0)</f>
        <v>0</v>
      </c>
    </row>
    <row r="25" spans="1:36" x14ac:dyDescent="0.25">
      <c r="A25" t="s">
        <v>34</v>
      </c>
      <c r="B25">
        <v>0</v>
      </c>
      <c r="C25">
        <f>IF(AND(SUM(VLOOKUP($A25,test!$A$3:$F$32,2,FALSE),VLOOKUP(C$1,test!$A$3:$F$32,2,FALSE))&lt;=test!$K$16,$A25&lt;&gt;C$1,feasible_mat!C25=1),(VLOOKUP(C$1,test!$A$3:$I$32,8,FALSE))-(VLOOKUP($A25,test!$A$3:$I$32,9,FALSE)),0)</f>
        <v>0</v>
      </c>
      <c r="D25">
        <f>IF(AND(SUM(VLOOKUP($A25,test!$A$3:$F$32,2,FALSE),VLOOKUP(D$1,test!$A$3:$F$32,2,FALSE))&lt;=test!$K$16,$A25&lt;&gt;D$1,feasible_mat!D25=1),(VLOOKUP(D$1,test!$A$3:$I$32,8,FALSE))-(VLOOKUP($A25,test!$A$3:$I$32,9,FALSE)),0)</f>
        <v>30</v>
      </c>
      <c r="E25">
        <f>IF(AND(SUM(VLOOKUP($A25,test!$A$3:$F$32,2,FALSE),VLOOKUP(E$1,test!$A$3:$F$32,2,FALSE))&lt;=test!$K$16,$A25&lt;&gt;E$1,feasible_mat!E25=1),(VLOOKUP(E$1,test!$A$3:$I$32,8,FALSE))-(VLOOKUP($A25,test!$A$3:$I$32,9,FALSE)),0)</f>
        <v>120</v>
      </c>
      <c r="F25">
        <f>IF(AND(SUM(VLOOKUP($A25,test!$A$3:$F$32,2,FALSE),VLOOKUP(F$1,test!$A$3:$F$32,2,FALSE))&lt;=test!$K$16,$A25&lt;&gt;F$1,feasible_mat!F25=1),(VLOOKUP(F$1,test!$A$3:$I$32,8,FALSE))-(VLOOKUP($A25,test!$A$3:$I$32,9,FALSE)),0)</f>
        <v>210</v>
      </c>
      <c r="G25">
        <f>IF(AND(SUM(VLOOKUP($A25,test!$A$3:$F$32,2,FALSE),VLOOKUP(G$1,test!$A$3:$F$32,2,FALSE))&lt;=test!$K$16,$A25&lt;&gt;G$1,feasible_mat!G25=1),(VLOOKUP(G$1,test!$A$3:$I$32,8,FALSE))-(VLOOKUP($A25,test!$A$3:$I$32,9,FALSE)),0)</f>
        <v>270</v>
      </c>
      <c r="H25">
        <f>IF(AND(SUM(VLOOKUP($A25,test!$A$3:$F$32,2,FALSE),VLOOKUP(H$1,test!$A$3:$F$32,2,FALSE))&lt;=test!$K$16,$A25&lt;&gt;H$1,feasible_mat!H25=1),(VLOOKUP(H$1,test!$A$3:$I$32,8,FALSE))-(VLOOKUP($A25,test!$A$3:$I$32,9,FALSE)),0)</f>
        <v>330</v>
      </c>
      <c r="I25">
        <f>IF(AND(SUM(VLOOKUP($A25,test!$A$3:$F$32,2,FALSE),VLOOKUP(I$1,test!$A$3:$F$32,2,FALSE))&lt;=test!$K$16,$A25&lt;&gt;I$1,feasible_mat!I25=1),(VLOOKUP(I$1,test!$A$3:$I$32,8,FALSE))-(VLOOKUP($A25,test!$A$3:$I$32,9,FALSE)),0)</f>
        <v>390</v>
      </c>
      <c r="J25">
        <f>IF(AND(SUM(VLOOKUP($A25,test!$A$3:$F$32,2,FALSE),VLOOKUP(J$1,test!$A$3:$F$32,2,FALSE))&lt;=test!$K$16,$A25&lt;&gt;J$1,feasible_mat!J25=1),(VLOOKUP(J$1,test!$A$3:$I$32,8,FALSE))-(VLOOKUP($A25,test!$A$3:$I$32,9,FALSE)),0)</f>
        <v>480</v>
      </c>
      <c r="K25">
        <f>IF(AND(SUM(VLOOKUP($A25,test!$A$3:$F$32,2,FALSE),VLOOKUP(K$1,test!$A$3:$F$32,2,FALSE))&lt;=test!$K$16,$A25&lt;&gt;K$1,feasible_mat!K25=1),(VLOOKUP(K$1,test!$A$3:$I$32,8,FALSE))-(VLOOKUP($A25,test!$A$3:$I$32,9,FALSE)),0)</f>
        <v>0</v>
      </c>
      <c r="L25">
        <f>IF(AND(SUM(VLOOKUP($A25,test!$A$3:$F$32,2,FALSE),VLOOKUP(L$1,test!$A$3:$F$32,2,FALSE))&lt;=test!$K$16,$A25&lt;&gt;L$1,feasible_mat!L25=1),(VLOOKUP(L$1,test!$A$3:$I$32,8,FALSE))-(VLOOKUP($A25,test!$A$3:$I$32,9,FALSE)),0)</f>
        <v>0</v>
      </c>
      <c r="M25">
        <f>IF(AND(SUM(VLOOKUP($A25,test!$A$3:$F$32,2,FALSE),VLOOKUP(M$1,test!$A$3:$F$32,2,FALSE))&lt;=test!$K$16,$A25&lt;&gt;M$1,feasible_mat!M25=1),(VLOOKUP(M$1,test!$A$3:$I$32,8,FALSE))-(VLOOKUP($A25,test!$A$3:$I$32,9,FALSE)),0)</f>
        <v>85</v>
      </c>
      <c r="N25">
        <f>IF(AND(SUM(VLOOKUP($A25,test!$A$3:$F$32,2,FALSE),VLOOKUP(N$1,test!$A$3:$F$32,2,FALSE))&lt;=test!$K$16,$A25&lt;&gt;N$1,feasible_mat!N25=1),(VLOOKUP(N$1,test!$A$3:$I$32,8,FALSE))-(VLOOKUP($A25,test!$A$3:$I$32,9,FALSE)),0)</f>
        <v>445</v>
      </c>
      <c r="O25">
        <f>IF(AND(SUM(VLOOKUP($A25,test!$A$3:$F$32,2,FALSE),VLOOKUP(O$1,test!$A$3:$F$32,2,FALSE))&lt;=test!$K$16,$A25&lt;&gt;O$1,feasible_mat!O25=1),(VLOOKUP(O$1,test!$A$3:$I$32,8,FALSE))-(VLOOKUP($A25,test!$A$3:$I$32,9,FALSE)),0)</f>
        <v>505</v>
      </c>
      <c r="P25">
        <f>IF(AND(SUM(VLOOKUP($A25,test!$A$3:$F$32,2,FALSE),VLOOKUP(P$1,test!$A$3:$F$32,2,FALSE))&lt;=test!$K$16,$A25&lt;&gt;P$1,feasible_mat!P25=1),(VLOOKUP(P$1,test!$A$3:$I$32,8,FALSE))-(VLOOKUP($A25,test!$A$3:$I$32,9,FALSE)),0)</f>
        <v>0</v>
      </c>
      <c r="Q25">
        <f>IF(AND(SUM(VLOOKUP($A25,test!$A$3:$F$32,2,FALSE),VLOOKUP(Q$1,test!$A$3:$F$32,2,FALSE))&lt;=test!$K$16,$A25&lt;&gt;Q$1,feasible_mat!Q25=1),(VLOOKUP(Q$1,test!$A$3:$I$32,8,FALSE))-(VLOOKUP($A25,test!$A$3:$I$32,9,FALSE)),0)</f>
        <v>0</v>
      </c>
      <c r="R25">
        <f>IF(AND(SUM(VLOOKUP($A25,test!$A$3:$F$32,2,FALSE),VLOOKUP(R$1,test!$A$3:$F$32,2,FALSE))&lt;=test!$K$16,$A25&lt;&gt;R$1,feasible_mat!R25=1),(VLOOKUP(R$1,test!$A$3:$I$32,8,FALSE))-(VLOOKUP($A25,test!$A$3:$I$32,9,FALSE)),0)</f>
        <v>0</v>
      </c>
      <c r="S25">
        <f>IF(AND(SUM(VLOOKUP($A25,test!$A$3:$F$32,2,FALSE),VLOOKUP(S$1,test!$A$3:$F$32,2,FALSE))&lt;=test!$K$16,$A25&lt;&gt;S$1,feasible_mat!S25=1),(VLOOKUP(S$1,test!$A$3:$I$32,8,FALSE))-(VLOOKUP($A25,test!$A$3:$I$32,9,FALSE)),0)</f>
        <v>0</v>
      </c>
      <c r="T25">
        <f>IF(AND(SUM(VLOOKUP($A25,test!$A$3:$F$32,2,FALSE),VLOOKUP(T$1,test!$A$3:$F$32,2,FALSE))&lt;=test!$K$16,$A25&lt;&gt;T$1,feasible_mat!T25=1),(VLOOKUP(T$1,test!$A$3:$I$32,8,FALSE))-(VLOOKUP($A25,test!$A$3:$I$32,9,FALSE)),0)</f>
        <v>100</v>
      </c>
      <c r="U25">
        <f>IF(AND(SUM(VLOOKUP($A25,test!$A$3:$F$32,2,FALSE),VLOOKUP(U$1,test!$A$3:$F$32,2,FALSE))&lt;=test!$K$16,$A25&lt;&gt;U$1,feasible_mat!U25=1),(VLOOKUP(U$1,test!$A$3:$I$32,8,FALSE))-(VLOOKUP($A25,test!$A$3:$I$32,9,FALSE)),0)</f>
        <v>190</v>
      </c>
      <c r="V25">
        <f>IF(AND(SUM(VLOOKUP($A25,test!$A$3:$F$32,2,FALSE),VLOOKUP(V$1,test!$A$3:$F$32,2,FALSE))&lt;=test!$K$16,$A25&lt;&gt;V$1,feasible_mat!V25=1),(VLOOKUP(V$1,test!$A$3:$I$32,8,FALSE))-(VLOOKUP($A25,test!$A$3:$I$32,9,FALSE)),0)</f>
        <v>280</v>
      </c>
      <c r="W25">
        <f>IF(AND(SUM(VLOOKUP($A25,test!$A$3:$F$32,2,FALSE),VLOOKUP(W$1,test!$A$3:$F$32,2,FALSE))&lt;=test!$K$16,$A25&lt;&gt;W$1,feasible_mat!W25=1),(VLOOKUP(W$1,test!$A$3:$I$32,8,FALSE))-(VLOOKUP($A25,test!$A$3:$I$32,9,FALSE)),0)</f>
        <v>370</v>
      </c>
      <c r="X25">
        <f>IF(AND(SUM(VLOOKUP($A25,test!$A$3:$F$32,2,FALSE),VLOOKUP(X$1,test!$A$3:$F$32,2,FALSE))&lt;=test!$K$16,$A25&lt;&gt;X$1,feasible_mat!X25=1),(VLOOKUP(X$1,test!$A$3:$I$32,8,FALSE))-(VLOOKUP($A25,test!$A$3:$I$32,9,FALSE)),0)</f>
        <v>430</v>
      </c>
      <c r="Y25">
        <f>IF(AND(SUM(VLOOKUP($A25,test!$A$3:$F$32,2,FALSE),VLOOKUP(Y$1,test!$A$3:$F$32,2,FALSE))&lt;=test!$K$16,$A25&lt;&gt;Y$1,feasible_mat!Y25=1),(VLOOKUP(Y$1,test!$A$3:$I$32,8,FALSE))-(VLOOKUP($A25,test!$A$3:$I$32,9,FALSE)),0)</f>
        <v>0</v>
      </c>
      <c r="Z25">
        <f>IF(AND(SUM(VLOOKUP($A25,test!$A$3:$F$32,2,FALSE),VLOOKUP(Z$1,test!$A$3:$F$32,2,FALSE))&lt;=test!$K$16,$A25&lt;&gt;Z$1,feasible_mat!Z25=1),(VLOOKUP(Z$1,test!$A$3:$I$32,8,FALSE))-(VLOOKUP($A25,test!$A$3:$I$32,9,FALSE)),0)</f>
        <v>30</v>
      </c>
      <c r="AA25">
        <f>IF(AND(SUM(VLOOKUP($A25,test!$A$3:$F$32,2,FALSE),VLOOKUP(AA$1,test!$A$3:$F$32,2,FALSE))&lt;=test!$K$16,$A25&lt;&gt;AA$1,feasible_mat!AA25=1),(VLOOKUP(AA$1,test!$A$3:$I$32,8,FALSE))-(VLOOKUP($A25,test!$A$3:$I$32,9,FALSE)),0)</f>
        <v>150</v>
      </c>
      <c r="AB25">
        <f>IF(AND(SUM(VLOOKUP($A25,test!$A$3:$F$32,2,FALSE),VLOOKUP(AB$1,test!$A$3:$F$32,2,FALSE))&lt;=test!$K$16,$A25&lt;&gt;AB$1,feasible_mat!AB25=1),(VLOOKUP(AB$1,test!$A$3:$I$32,8,FALSE))-(VLOOKUP($A25,test!$A$3:$I$32,9,FALSE)),0)</f>
        <v>210</v>
      </c>
      <c r="AC25">
        <f>IF(AND(SUM(VLOOKUP($A25,test!$A$3:$F$32,2,FALSE),VLOOKUP(AC$1,test!$A$3:$F$32,2,FALSE))&lt;=test!$K$16,$A25&lt;&gt;AC$1,feasible_mat!AC25=1),(VLOOKUP(AC$1,test!$A$3:$I$32,8,FALSE))-(VLOOKUP($A25,test!$A$3:$I$32,9,FALSE)),0)</f>
        <v>330</v>
      </c>
      <c r="AD25">
        <f>IF(AND(SUM(VLOOKUP($A25,test!$A$3:$F$32,2,FALSE),VLOOKUP(AD$1,test!$A$3:$F$32,2,FALSE))&lt;=test!$K$16,$A25&lt;&gt;AD$1,feasible_mat!AD25=1),(VLOOKUP(AD$1,test!$A$3:$I$32,8,FALSE))-(VLOOKUP($A25,test!$A$3:$I$32,9,FALSE)),0)</f>
        <v>0</v>
      </c>
      <c r="AE25">
        <f>IF(AND(SUM(VLOOKUP($A25,test!$A$3:$F$32,2,FALSE),VLOOKUP(AE$1,test!$A$3:$F$32,2,FALSE))&lt;=test!$K$16,$A25&lt;&gt;AE$1,feasible_mat!AE25=1),(VLOOKUP(AE$1,test!$A$3:$I$32,8,FALSE))-(VLOOKUP($A25,test!$A$3:$I$32,9,FALSE)),0)</f>
        <v>150</v>
      </c>
      <c r="AF25">
        <f>IF(AND(SUM(VLOOKUP($A25,test!$A$3:$F$32,2,FALSE),VLOOKUP(AF$1,test!$A$3:$F$32,2,FALSE))&lt;=test!$K$16,$A25&lt;&gt;AF$1,feasible_mat!AF25=1),(VLOOKUP(AF$1,test!$A$3:$I$32,8,FALSE))-(VLOOKUP($A25,test!$A$3:$I$32,9,FALSE)),0)</f>
        <v>0</v>
      </c>
    </row>
    <row r="26" spans="1:36" x14ac:dyDescent="0.25">
      <c r="A26" t="s">
        <v>35</v>
      </c>
      <c r="B26">
        <v>0</v>
      </c>
      <c r="C26">
        <f>IF(AND(SUM(VLOOKUP($A26,test!$A$3:$F$32,2,FALSE),VLOOKUP(C$1,test!$A$3:$F$32,2,FALSE))&lt;=test!$K$16,$A26&lt;&gt;C$1,feasible_mat!C26=1),(VLOOKUP(C$1,test!$A$3:$I$32,8,FALSE))-(VLOOKUP($A26,test!$A$3:$I$32,9,FALSE)),0)</f>
        <v>0</v>
      </c>
      <c r="D26">
        <f>IF(AND(SUM(VLOOKUP($A26,test!$A$3:$F$32,2,FALSE),VLOOKUP(D$1,test!$A$3:$F$32,2,FALSE))&lt;=test!$K$16,$A26&lt;&gt;D$1,feasible_mat!D26=1),(VLOOKUP(D$1,test!$A$3:$I$32,8,FALSE))-(VLOOKUP($A26,test!$A$3:$I$32,9,FALSE)),0)</f>
        <v>0</v>
      </c>
      <c r="E26">
        <f>IF(AND(SUM(VLOOKUP($A26,test!$A$3:$F$32,2,FALSE),VLOOKUP(E$1,test!$A$3:$F$32,2,FALSE))&lt;=test!$K$16,$A26&lt;&gt;E$1,feasible_mat!E26=1),(VLOOKUP(E$1,test!$A$3:$I$32,8,FALSE))-(VLOOKUP($A26,test!$A$3:$I$32,9,FALSE)),0)</f>
        <v>0</v>
      </c>
      <c r="F26">
        <f>IF(AND(SUM(VLOOKUP($A26,test!$A$3:$F$32,2,FALSE),VLOOKUP(F$1,test!$A$3:$F$32,2,FALSE))&lt;=test!$K$16,$A26&lt;&gt;F$1,feasible_mat!F26=1),(VLOOKUP(F$1,test!$A$3:$I$32,8,FALSE))-(VLOOKUP($A26,test!$A$3:$I$32,9,FALSE)),0)</f>
        <v>40</v>
      </c>
      <c r="G26">
        <f>IF(AND(SUM(VLOOKUP($A26,test!$A$3:$F$32,2,FALSE),VLOOKUP(G$1,test!$A$3:$F$32,2,FALSE))&lt;=test!$K$16,$A26&lt;&gt;G$1,feasible_mat!G26=1),(VLOOKUP(G$1,test!$A$3:$I$32,8,FALSE))-(VLOOKUP($A26,test!$A$3:$I$32,9,FALSE)),0)</f>
        <v>100</v>
      </c>
      <c r="H26">
        <f>IF(AND(SUM(VLOOKUP($A26,test!$A$3:$F$32,2,FALSE),VLOOKUP(H$1,test!$A$3:$F$32,2,FALSE))&lt;=test!$K$16,$A26&lt;&gt;H$1,feasible_mat!H26=1),(VLOOKUP(H$1,test!$A$3:$I$32,8,FALSE))-(VLOOKUP($A26,test!$A$3:$I$32,9,FALSE)),0)</f>
        <v>160</v>
      </c>
      <c r="I26">
        <f>IF(AND(SUM(VLOOKUP($A26,test!$A$3:$F$32,2,FALSE),VLOOKUP(I$1,test!$A$3:$F$32,2,FALSE))&lt;=test!$K$16,$A26&lt;&gt;I$1,feasible_mat!I26=1),(VLOOKUP(I$1,test!$A$3:$I$32,8,FALSE))-(VLOOKUP($A26,test!$A$3:$I$32,9,FALSE)),0)</f>
        <v>220</v>
      </c>
      <c r="J26">
        <f>IF(AND(SUM(VLOOKUP($A26,test!$A$3:$F$32,2,FALSE),VLOOKUP(J$1,test!$A$3:$F$32,2,FALSE))&lt;=test!$K$16,$A26&lt;&gt;J$1,feasible_mat!J26=1),(VLOOKUP(J$1,test!$A$3:$I$32,8,FALSE))-(VLOOKUP($A26,test!$A$3:$I$32,9,FALSE)),0)</f>
        <v>310</v>
      </c>
      <c r="K26">
        <f>IF(AND(SUM(VLOOKUP($A26,test!$A$3:$F$32,2,FALSE),VLOOKUP(K$1,test!$A$3:$F$32,2,FALSE))&lt;=test!$K$16,$A26&lt;&gt;K$1,feasible_mat!K26=1),(VLOOKUP(K$1,test!$A$3:$I$32,8,FALSE))-(VLOOKUP($A26,test!$A$3:$I$32,9,FALSE)),0)</f>
        <v>0</v>
      </c>
      <c r="L26">
        <f>IF(AND(SUM(VLOOKUP($A26,test!$A$3:$F$32,2,FALSE),VLOOKUP(L$1,test!$A$3:$F$32,2,FALSE))&lt;=test!$K$16,$A26&lt;&gt;L$1,feasible_mat!L26=1),(VLOOKUP(L$1,test!$A$3:$I$32,8,FALSE))-(VLOOKUP($A26,test!$A$3:$I$32,9,FALSE)),0)</f>
        <v>0</v>
      </c>
      <c r="M26">
        <f>IF(AND(SUM(VLOOKUP($A26,test!$A$3:$F$32,2,FALSE),VLOOKUP(M$1,test!$A$3:$F$32,2,FALSE))&lt;=test!$K$16,$A26&lt;&gt;M$1,feasible_mat!M26=1),(VLOOKUP(M$1,test!$A$3:$I$32,8,FALSE))-(VLOOKUP($A26,test!$A$3:$I$32,9,FALSE)),0)</f>
        <v>0</v>
      </c>
      <c r="N26">
        <f>IF(AND(SUM(VLOOKUP($A26,test!$A$3:$F$32,2,FALSE),VLOOKUP(N$1,test!$A$3:$F$32,2,FALSE))&lt;=test!$K$16,$A26&lt;&gt;N$1,feasible_mat!N26=1),(VLOOKUP(N$1,test!$A$3:$I$32,8,FALSE))-(VLOOKUP($A26,test!$A$3:$I$32,9,FALSE)),0)</f>
        <v>275</v>
      </c>
      <c r="O26">
        <f>IF(AND(SUM(VLOOKUP($A26,test!$A$3:$F$32,2,FALSE),VLOOKUP(O$1,test!$A$3:$F$32,2,FALSE))&lt;=test!$K$16,$A26&lt;&gt;O$1,feasible_mat!O26=1),(VLOOKUP(O$1,test!$A$3:$I$32,8,FALSE))-(VLOOKUP($A26,test!$A$3:$I$32,9,FALSE)),0)</f>
        <v>335</v>
      </c>
      <c r="P26">
        <f>IF(AND(SUM(VLOOKUP($A26,test!$A$3:$F$32,2,FALSE),VLOOKUP(P$1,test!$A$3:$F$32,2,FALSE))&lt;=test!$K$16,$A26&lt;&gt;P$1,feasible_mat!P26=1),(VLOOKUP(P$1,test!$A$3:$I$32,8,FALSE))-(VLOOKUP($A26,test!$A$3:$I$32,9,FALSE)),0)</f>
        <v>0</v>
      </c>
      <c r="Q26">
        <f>IF(AND(SUM(VLOOKUP($A26,test!$A$3:$F$32,2,FALSE),VLOOKUP(Q$1,test!$A$3:$F$32,2,FALSE))&lt;=test!$K$16,$A26&lt;&gt;Q$1,feasible_mat!Q26=1),(VLOOKUP(Q$1,test!$A$3:$I$32,8,FALSE))-(VLOOKUP($A26,test!$A$3:$I$32,9,FALSE)),0)</f>
        <v>0</v>
      </c>
      <c r="R26">
        <f>IF(AND(SUM(VLOOKUP($A26,test!$A$3:$F$32,2,FALSE),VLOOKUP(R$1,test!$A$3:$F$32,2,FALSE))&lt;=test!$K$16,$A26&lt;&gt;R$1,feasible_mat!R26=1),(VLOOKUP(R$1,test!$A$3:$I$32,8,FALSE))-(VLOOKUP($A26,test!$A$3:$I$32,9,FALSE)),0)</f>
        <v>0</v>
      </c>
      <c r="S26">
        <f>IF(AND(SUM(VLOOKUP($A26,test!$A$3:$F$32,2,FALSE),VLOOKUP(S$1,test!$A$3:$F$32,2,FALSE))&lt;=test!$K$16,$A26&lt;&gt;S$1,feasible_mat!S26=1),(VLOOKUP(S$1,test!$A$3:$I$32,8,FALSE))-(VLOOKUP($A26,test!$A$3:$I$32,9,FALSE)),0)</f>
        <v>0</v>
      </c>
      <c r="T26">
        <f>IF(AND(SUM(VLOOKUP($A26,test!$A$3:$F$32,2,FALSE),VLOOKUP(T$1,test!$A$3:$F$32,2,FALSE))&lt;=test!$K$16,$A26&lt;&gt;T$1,feasible_mat!T26=1),(VLOOKUP(T$1,test!$A$3:$I$32,8,FALSE))-(VLOOKUP($A26,test!$A$3:$I$32,9,FALSE)),0)</f>
        <v>0</v>
      </c>
      <c r="U26">
        <f>IF(AND(SUM(VLOOKUP($A26,test!$A$3:$F$32,2,FALSE),VLOOKUP(U$1,test!$A$3:$F$32,2,FALSE))&lt;=test!$K$16,$A26&lt;&gt;U$1,feasible_mat!U26=1),(VLOOKUP(U$1,test!$A$3:$I$32,8,FALSE))-(VLOOKUP($A26,test!$A$3:$I$32,9,FALSE)),0)</f>
        <v>20</v>
      </c>
      <c r="V26">
        <f>IF(AND(SUM(VLOOKUP($A26,test!$A$3:$F$32,2,FALSE),VLOOKUP(V$1,test!$A$3:$F$32,2,FALSE))&lt;=test!$K$16,$A26&lt;&gt;V$1,feasible_mat!V26=1),(VLOOKUP(V$1,test!$A$3:$I$32,8,FALSE))-(VLOOKUP($A26,test!$A$3:$I$32,9,FALSE)),0)</f>
        <v>110</v>
      </c>
      <c r="W26">
        <f>IF(AND(SUM(VLOOKUP($A26,test!$A$3:$F$32,2,FALSE),VLOOKUP(W$1,test!$A$3:$F$32,2,FALSE))&lt;=test!$K$16,$A26&lt;&gt;W$1,feasible_mat!W26=1),(VLOOKUP(W$1,test!$A$3:$I$32,8,FALSE))-(VLOOKUP($A26,test!$A$3:$I$32,9,FALSE)),0)</f>
        <v>200</v>
      </c>
      <c r="X26">
        <f>IF(AND(SUM(VLOOKUP($A26,test!$A$3:$F$32,2,FALSE),VLOOKUP(X$1,test!$A$3:$F$32,2,FALSE))&lt;=test!$K$16,$A26&lt;&gt;X$1,feasible_mat!X26=1),(VLOOKUP(X$1,test!$A$3:$I$32,8,FALSE))-(VLOOKUP($A26,test!$A$3:$I$32,9,FALSE)),0)</f>
        <v>260</v>
      </c>
      <c r="Y26">
        <f>IF(AND(SUM(VLOOKUP($A26,test!$A$3:$F$32,2,FALSE),VLOOKUP(Y$1,test!$A$3:$F$32,2,FALSE))&lt;=test!$K$16,$A26&lt;&gt;Y$1,feasible_mat!Y26=1),(VLOOKUP(Y$1,test!$A$3:$I$32,8,FALSE))-(VLOOKUP($A26,test!$A$3:$I$32,9,FALSE)),0)</f>
        <v>0</v>
      </c>
      <c r="Z26">
        <f>IF(AND(SUM(VLOOKUP($A26,test!$A$3:$F$32,2,FALSE),VLOOKUP(Z$1,test!$A$3:$F$32,2,FALSE))&lt;=test!$K$16,$A26&lt;&gt;Z$1,feasible_mat!Z26=1),(VLOOKUP(Z$1,test!$A$3:$I$32,8,FALSE))-(VLOOKUP($A26,test!$A$3:$I$32,9,FALSE)),0)</f>
        <v>0</v>
      </c>
      <c r="AA26">
        <f>IF(AND(SUM(VLOOKUP($A26,test!$A$3:$F$32,2,FALSE),VLOOKUP(AA$1,test!$A$3:$F$32,2,FALSE))&lt;=test!$K$16,$A26&lt;&gt;AA$1,feasible_mat!AA26=1),(VLOOKUP(AA$1,test!$A$3:$I$32,8,FALSE))-(VLOOKUP($A26,test!$A$3:$I$32,9,FALSE)),0)</f>
        <v>0</v>
      </c>
      <c r="AB26">
        <f>IF(AND(SUM(VLOOKUP($A26,test!$A$3:$F$32,2,FALSE),VLOOKUP(AB$1,test!$A$3:$F$32,2,FALSE))&lt;=test!$K$16,$A26&lt;&gt;AB$1,feasible_mat!AB26=1),(VLOOKUP(AB$1,test!$A$3:$I$32,8,FALSE))-(VLOOKUP($A26,test!$A$3:$I$32,9,FALSE)),0)</f>
        <v>40</v>
      </c>
      <c r="AC26">
        <f>IF(AND(SUM(VLOOKUP($A26,test!$A$3:$F$32,2,FALSE),VLOOKUP(AC$1,test!$A$3:$F$32,2,FALSE))&lt;=test!$K$16,$A26&lt;&gt;AC$1,feasible_mat!AC26=1),(VLOOKUP(AC$1,test!$A$3:$I$32,8,FALSE))-(VLOOKUP($A26,test!$A$3:$I$32,9,FALSE)),0)</f>
        <v>160</v>
      </c>
      <c r="AD26">
        <f>IF(AND(SUM(VLOOKUP($A26,test!$A$3:$F$32,2,FALSE),VLOOKUP(AD$1,test!$A$3:$F$32,2,FALSE))&lt;=test!$K$16,$A26&lt;&gt;AD$1,feasible_mat!AD26=1),(VLOOKUP(AD$1,test!$A$3:$I$32,8,FALSE))-(VLOOKUP($A26,test!$A$3:$I$32,9,FALSE)),0)</f>
        <v>0</v>
      </c>
      <c r="AE26">
        <f>IF(AND(SUM(VLOOKUP($A26,test!$A$3:$F$32,2,FALSE),VLOOKUP(AE$1,test!$A$3:$F$32,2,FALSE))&lt;=test!$K$16,$A26&lt;&gt;AE$1,feasible_mat!AE26=1),(VLOOKUP(AE$1,test!$A$3:$I$32,8,FALSE))-(VLOOKUP($A26,test!$A$3:$I$32,9,FALSE)),0)</f>
        <v>0</v>
      </c>
      <c r="AF26">
        <f>IF(AND(SUM(VLOOKUP($A26,test!$A$3:$F$32,2,FALSE),VLOOKUP(AF$1,test!$A$3:$F$32,2,FALSE))&lt;=test!$K$16,$A26&lt;&gt;AF$1,feasible_mat!AF26=1),(VLOOKUP(AF$1,test!$A$3:$I$32,8,FALSE))-(VLOOKUP($A26,test!$A$3:$I$32,9,FALSE)),0)</f>
        <v>0</v>
      </c>
    </row>
    <row r="27" spans="1:36" x14ac:dyDescent="0.25">
      <c r="A27" t="s">
        <v>36</v>
      </c>
      <c r="B27">
        <v>0</v>
      </c>
      <c r="C27">
        <f>IF(AND(SUM(VLOOKUP($A27,test!$A$3:$F$32,2,FALSE),VLOOKUP(C$1,test!$A$3:$F$32,2,FALSE))&lt;=test!$K$16,$A27&lt;&gt;C$1,feasible_mat!C27=1),(VLOOKUP(C$1,test!$A$3:$I$32,8,FALSE))-(VLOOKUP($A27,test!$A$3:$I$32,9,FALSE)),0)</f>
        <v>0</v>
      </c>
      <c r="D27">
        <f>IF(AND(SUM(VLOOKUP($A27,test!$A$3:$F$32,2,FALSE),VLOOKUP(D$1,test!$A$3:$F$32,2,FALSE))&lt;=test!$K$16,$A27&lt;&gt;D$1,feasible_mat!D27=1),(VLOOKUP(D$1,test!$A$3:$I$32,8,FALSE))-(VLOOKUP($A27,test!$A$3:$I$32,9,FALSE)),0)</f>
        <v>0</v>
      </c>
      <c r="E27">
        <f>IF(AND(SUM(VLOOKUP($A27,test!$A$3:$F$32,2,FALSE),VLOOKUP(E$1,test!$A$3:$F$32,2,FALSE))&lt;=test!$K$16,$A27&lt;&gt;E$1,feasible_mat!E27=1),(VLOOKUP(E$1,test!$A$3:$I$32,8,FALSE))-(VLOOKUP($A27,test!$A$3:$I$32,9,FALSE)),0)</f>
        <v>0</v>
      </c>
      <c r="F27">
        <f>IF(AND(SUM(VLOOKUP($A27,test!$A$3:$F$32,2,FALSE),VLOOKUP(F$1,test!$A$3:$F$32,2,FALSE))&lt;=test!$K$16,$A27&lt;&gt;F$1,feasible_mat!F27=1),(VLOOKUP(F$1,test!$A$3:$I$32,8,FALSE))-(VLOOKUP($A27,test!$A$3:$I$32,9,FALSE)),0)</f>
        <v>0</v>
      </c>
      <c r="G27">
        <f>IF(AND(SUM(VLOOKUP($A27,test!$A$3:$F$32,2,FALSE),VLOOKUP(G$1,test!$A$3:$F$32,2,FALSE))&lt;=test!$K$16,$A27&lt;&gt;G$1,feasible_mat!G27=1),(VLOOKUP(G$1,test!$A$3:$I$32,8,FALSE))-(VLOOKUP($A27,test!$A$3:$I$32,9,FALSE)),0)</f>
        <v>0</v>
      </c>
      <c r="H27">
        <f>IF(AND(SUM(VLOOKUP($A27,test!$A$3:$F$32,2,FALSE),VLOOKUP(H$1,test!$A$3:$F$32,2,FALSE))&lt;=test!$K$16,$A27&lt;&gt;H$1,feasible_mat!H27=1),(VLOOKUP(H$1,test!$A$3:$I$32,8,FALSE))-(VLOOKUP($A27,test!$A$3:$I$32,9,FALSE)),0)</f>
        <v>40</v>
      </c>
      <c r="I27">
        <f>IF(AND(SUM(VLOOKUP($A27,test!$A$3:$F$32,2,FALSE),VLOOKUP(I$1,test!$A$3:$F$32,2,FALSE))&lt;=test!$K$16,$A27&lt;&gt;I$1,feasible_mat!I27=1),(VLOOKUP(I$1,test!$A$3:$I$32,8,FALSE))-(VLOOKUP($A27,test!$A$3:$I$32,9,FALSE)),0)</f>
        <v>100</v>
      </c>
      <c r="J27">
        <f>IF(AND(SUM(VLOOKUP($A27,test!$A$3:$F$32,2,FALSE),VLOOKUP(J$1,test!$A$3:$F$32,2,FALSE))&lt;=test!$K$16,$A27&lt;&gt;J$1,feasible_mat!J27=1),(VLOOKUP(J$1,test!$A$3:$I$32,8,FALSE))-(VLOOKUP($A27,test!$A$3:$I$32,9,FALSE)),0)</f>
        <v>190</v>
      </c>
      <c r="K27">
        <f>IF(AND(SUM(VLOOKUP($A27,test!$A$3:$F$32,2,FALSE),VLOOKUP(K$1,test!$A$3:$F$32,2,FALSE))&lt;=test!$K$16,$A27&lt;&gt;K$1,feasible_mat!K27=1),(VLOOKUP(K$1,test!$A$3:$I$32,8,FALSE))-(VLOOKUP($A27,test!$A$3:$I$32,9,FALSE)),0)</f>
        <v>0</v>
      </c>
      <c r="L27">
        <f>IF(AND(SUM(VLOOKUP($A27,test!$A$3:$F$32,2,FALSE),VLOOKUP(L$1,test!$A$3:$F$32,2,FALSE))&lt;=test!$K$16,$A27&lt;&gt;L$1,feasible_mat!L27=1),(VLOOKUP(L$1,test!$A$3:$I$32,8,FALSE))-(VLOOKUP($A27,test!$A$3:$I$32,9,FALSE)),0)</f>
        <v>0</v>
      </c>
      <c r="M27">
        <f>IF(AND(SUM(VLOOKUP($A27,test!$A$3:$F$32,2,FALSE),VLOOKUP(M$1,test!$A$3:$F$32,2,FALSE))&lt;=test!$K$16,$A27&lt;&gt;M$1,feasible_mat!M27=1),(VLOOKUP(M$1,test!$A$3:$I$32,8,FALSE))-(VLOOKUP($A27,test!$A$3:$I$32,9,FALSE)),0)</f>
        <v>0</v>
      </c>
      <c r="N27">
        <f>IF(AND(SUM(VLOOKUP($A27,test!$A$3:$F$32,2,FALSE),VLOOKUP(N$1,test!$A$3:$F$32,2,FALSE))&lt;=test!$K$16,$A27&lt;&gt;N$1,feasible_mat!N27=1),(VLOOKUP(N$1,test!$A$3:$I$32,8,FALSE))-(VLOOKUP($A27,test!$A$3:$I$32,9,FALSE)),0)</f>
        <v>155</v>
      </c>
      <c r="O27">
        <f>IF(AND(SUM(VLOOKUP($A27,test!$A$3:$F$32,2,FALSE),VLOOKUP(O$1,test!$A$3:$F$32,2,FALSE))&lt;=test!$K$16,$A27&lt;&gt;O$1,feasible_mat!O27=1),(VLOOKUP(O$1,test!$A$3:$I$32,8,FALSE))-(VLOOKUP($A27,test!$A$3:$I$32,9,FALSE)),0)</f>
        <v>215</v>
      </c>
      <c r="P27">
        <f>IF(AND(SUM(VLOOKUP($A27,test!$A$3:$F$32,2,FALSE),VLOOKUP(P$1,test!$A$3:$F$32,2,FALSE))&lt;=test!$K$16,$A27&lt;&gt;P$1,feasible_mat!P27=1),(VLOOKUP(P$1,test!$A$3:$I$32,8,FALSE))-(VLOOKUP($A27,test!$A$3:$I$32,9,FALSE)),0)</f>
        <v>0</v>
      </c>
      <c r="Q27">
        <f>IF(AND(SUM(VLOOKUP($A27,test!$A$3:$F$32,2,FALSE),VLOOKUP(Q$1,test!$A$3:$F$32,2,FALSE))&lt;=test!$K$16,$A27&lt;&gt;Q$1,feasible_mat!Q27=1),(VLOOKUP(Q$1,test!$A$3:$I$32,8,FALSE))-(VLOOKUP($A27,test!$A$3:$I$32,9,FALSE)),0)</f>
        <v>0</v>
      </c>
      <c r="R27">
        <f>IF(AND(SUM(VLOOKUP($A27,test!$A$3:$F$32,2,FALSE),VLOOKUP(R$1,test!$A$3:$F$32,2,FALSE))&lt;=test!$K$16,$A27&lt;&gt;R$1,feasible_mat!R27=1),(VLOOKUP(R$1,test!$A$3:$I$32,8,FALSE))-(VLOOKUP($A27,test!$A$3:$I$32,9,FALSE)),0)</f>
        <v>0</v>
      </c>
      <c r="S27">
        <f>IF(AND(SUM(VLOOKUP($A27,test!$A$3:$F$32,2,FALSE),VLOOKUP(S$1,test!$A$3:$F$32,2,FALSE))&lt;=test!$K$16,$A27&lt;&gt;S$1,feasible_mat!S27=1),(VLOOKUP(S$1,test!$A$3:$I$32,8,FALSE))-(VLOOKUP($A27,test!$A$3:$I$32,9,FALSE)),0)</f>
        <v>0</v>
      </c>
      <c r="T27">
        <f>IF(AND(SUM(VLOOKUP($A27,test!$A$3:$F$32,2,FALSE),VLOOKUP(T$1,test!$A$3:$F$32,2,FALSE))&lt;=test!$K$16,$A27&lt;&gt;T$1,feasible_mat!T27=1),(VLOOKUP(T$1,test!$A$3:$I$32,8,FALSE))-(VLOOKUP($A27,test!$A$3:$I$32,9,FALSE)),0)</f>
        <v>0</v>
      </c>
      <c r="U27">
        <f>IF(AND(SUM(VLOOKUP($A27,test!$A$3:$F$32,2,FALSE),VLOOKUP(U$1,test!$A$3:$F$32,2,FALSE))&lt;=test!$K$16,$A27&lt;&gt;U$1,feasible_mat!U27=1),(VLOOKUP(U$1,test!$A$3:$I$32,8,FALSE))-(VLOOKUP($A27,test!$A$3:$I$32,9,FALSE)),0)</f>
        <v>0</v>
      </c>
      <c r="V27">
        <f>IF(AND(SUM(VLOOKUP($A27,test!$A$3:$F$32,2,FALSE),VLOOKUP(V$1,test!$A$3:$F$32,2,FALSE))&lt;=test!$K$16,$A27&lt;&gt;V$1,feasible_mat!V27=1),(VLOOKUP(V$1,test!$A$3:$I$32,8,FALSE))-(VLOOKUP($A27,test!$A$3:$I$32,9,FALSE)),0)</f>
        <v>0</v>
      </c>
      <c r="W27">
        <f>IF(AND(SUM(VLOOKUP($A27,test!$A$3:$F$32,2,FALSE),VLOOKUP(W$1,test!$A$3:$F$32,2,FALSE))&lt;=test!$K$16,$A27&lt;&gt;W$1,feasible_mat!W27=1),(VLOOKUP(W$1,test!$A$3:$I$32,8,FALSE))-(VLOOKUP($A27,test!$A$3:$I$32,9,FALSE)),0)</f>
        <v>80</v>
      </c>
      <c r="X27">
        <f>IF(AND(SUM(VLOOKUP($A27,test!$A$3:$F$32,2,FALSE),VLOOKUP(X$1,test!$A$3:$F$32,2,FALSE))&lt;=test!$K$16,$A27&lt;&gt;X$1,feasible_mat!X27=1),(VLOOKUP(X$1,test!$A$3:$I$32,8,FALSE))-(VLOOKUP($A27,test!$A$3:$I$32,9,FALSE)),0)</f>
        <v>140</v>
      </c>
      <c r="Y27">
        <f>IF(AND(SUM(VLOOKUP($A27,test!$A$3:$F$32,2,FALSE),VLOOKUP(Y$1,test!$A$3:$F$32,2,FALSE))&lt;=test!$K$16,$A27&lt;&gt;Y$1,feasible_mat!Y27=1),(VLOOKUP(Y$1,test!$A$3:$I$32,8,FALSE))-(VLOOKUP($A27,test!$A$3:$I$32,9,FALSE)),0)</f>
        <v>0</v>
      </c>
      <c r="Z27">
        <f>IF(AND(SUM(VLOOKUP($A27,test!$A$3:$F$32,2,FALSE),VLOOKUP(Z$1,test!$A$3:$F$32,2,FALSE))&lt;=test!$K$16,$A27&lt;&gt;Z$1,feasible_mat!Z27=1),(VLOOKUP(Z$1,test!$A$3:$I$32,8,FALSE))-(VLOOKUP($A27,test!$A$3:$I$32,9,FALSE)),0)</f>
        <v>0</v>
      </c>
      <c r="AA27">
        <f>IF(AND(SUM(VLOOKUP($A27,test!$A$3:$F$32,2,FALSE),VLOOKUP(AA$1,test!$A$3:$F$32,2,FALSE))&lt;=test!$K$16,$A27&lt;&gt;AA$1,feasible_mat!AA27=1),(VLOOKUP(AA$1,test!$A$3:$I$32,8,FALSE))-(VLOOKUP($A27,test!$A$3:$I$32,9,FALSE)),0)</f>
        <v>0</v>
      </c>
      <c r="AB27">
        <f>IF(AND(SUM(VLOOKUP($A27,test!$A$3:$F$32,2,FALSE),VLOOKUP(AB$1,test!$A$3:$F$32,2,FALSE))&lt;=test!$K$16,$A27&lt;&gt;AB$1,feasible_mat!AB27=1),(VLOOKUP(AB$1,test!$A$3:$I$32,8,FALSE))-(VLOOKUP($A27,test!$A$3:$I$32,9,FALSE)),0)</f>
        <v>0</v>
      </c>
      <c r="AC27">
        <f>IF(AND(SUM(VLOOKUP($A27,test!$A$3:$F$32,2,FALSE),VLOOKUP(AC$1,test!$A$3:$F$32,2,FALSE))&lt;=test!$K$16,$A27&lt;&gt;AC$1,feasible_mat!AC27=1),(VLOOKUP(AC$1,test!$A$3:$I$32,8,FALSE))-(VLOOKUP($A27,test!$A$3:$I$32,9,FALSE)),0)</f>
        <v>40</v>
      </c>
      <c r="AD27">
        <f>IF(AND(SUM(VLOOKUP($A27,test!$A$3:$F$32,2,FALSE),VLOOKUP(AD$1,test!$A$3:$F$32,2,FALSE))&lt;=test!$K$16,$A27&lt;&gt;AD$1,feasible_mat!AD27=1),(VLOOKUP(AD$1,test!$A$3:$I$32,8,FALSE))-(VLOOKUP($A27,test!$A$3:$I$32,9,FALSE)),0)</f>
        <v>0</v>
      </c>
      <c r="AE27">
        <f>IF(AND(SUM(VLOOKUP($A27,test!$A$3:$F$32,2,FALSE),VLOOKUP(AE$1,test!$A$3:$F$32,2,FALSE))&lt;=test!$K$16,$A27&lt;&gt;AE$1,feasible_mat!AE27=1),(VLOOKUP(AE$1,test!$A$3:$I$32,8,FALSE))-(VLOOKUP($A27,test!$A$3:$I$32,9,FALSE)),0)</f>
        <v>0</v>
      </c>
      <c r="AF27">
        <f>IF(AND(SUM(VLOOKUP($A27,test!$A$3:$F$32,2,FALSE),VLOOKUP(AF$1,test!$A$3:$F$32,2,FALSE))&lt;=test!$K$16,$A27&lt;&gt;AF$1,feasible_mat!AF27=1),(VLOOKUP(AF$1,test!$A$3:$I$32,8,FALSE))-(VLOOKUP($A27,test!$A$3:$I$32,9,FALSE)),0)</f>
        <v>0</v>
      </c>
    </row>
    <row r="28" spans="1:36" x14ac:dyDescent="0.25">
      <c r="A28" t="s">
        <v>37</v>
      </c>
      <c r="B28">
        <v>0</v>
      </c>
      <c r="C28">
        <f>IF(AND(SUM(VLOOKUP($A28,test!$A$3:$F$32,2,FALSE),VLOOKUP(C$1,test!$A$3:$F$32,2,FALSE))&lt;=test!$K$16,$A28&lt;&gt;C$1,feasible_mat!C28=1),(VLOOKUP(C$1,test!$A$3:$I$32,8,FALSE))-(VLOOKUP($A28,test!$A$3:$I$32,9,FALSE)),0)</f>
        <v>0</v>
      </c>
      <c r="D28">
        <f>IF(AND(SUM(VLOOKUP($A28,test!$A$3:$F$32,2,FALSE),VLOOKUP(D$1,test!$A$3:$F$32,2,FALSE))&lt;=test!$K$16,$A28&lt;&gt;D$1,feasible_mat!D28=1),(VLOOKUP(D$1,test!$A$3:$I$32,8,FALSE))-(VLOOKUP($A28,test!$A$3:$I$32,9,FALSE)),0)</f>
        <v>0</v>
      </c>
      <c r="E28">
        <f>IF(AND(SUM(VLOOKUP($A28,test!$A$3:$F$32,2,FALSE),VLOOKUP(E$1,test!$A$3:$F$32,2,FALSE))&lt;=test!$K$16,$A28&lt;&gt;E$1,feasible_mat!E28=1),(VLOOKUP(E$1,test!$A$3:$I$32,8,FALSE))-(VLOOKUP($A28,test!$A$3:$I$32,9,FALSE)),0)</f>
        <v>0</v>
      </c>
      <c r="F28">
        <f>IF(AND(SUM(VLOOKUP($A28,test!$A$3:$F$32,2,FALSE),VLOOKUP(F$1,test!$A$3:$F$32,2,FALSE))&lt;=test!$K$16,$A28&lt;&gt;F$1,feasible_mat!F28=1),(VLOOKUP(F$1,test!$A$3:$I$32,8,FALSE))-(VLOOKUP($A28,test!$A$3:$I$32,9,FALSE)),0)</f>
        <v>0</v>
      </c>
      <c r="G28">
        <f>IF(AND(SUM(VLOOKUP($A28,test!$A$3:$F$32,2,FALSE),VLOOKUP(G$1,test!$A$3:$F$32,2,FALSE))&lt;=test!$K$16,$A28&lt;&gt;G$1,feasible_mat!G28=1),(VLOOKUP(G$1,test!$A$3:$I$32,8,FALSE))-(VLOOKUP($A28,test!$A$3:$I$32,9,FALSE)),0)</f>
        <v>0</v>
      </c>
      <c r="H28">
        <f>IF(AND(SUM(VLOOKUP($A28,test!$A$3:$F$32,2,FALSE),VLOOKUP(H$1,test!$A$3:$F$32,2,FALSE))&lt;=test!$K$16,$A28&lt;&gt;H$1,feasible_mat!H28=1),(VLOOKUP(H$1,test!$A$3:$I$32,8,FALSE))-(VLOOKUP($A28,test!$A$3:$I$32,9,FALSE)),0)</f>
        <v>0</v>
      </c>
      <c r="I28">
        <f>IF(AND(SUM(VLOOKUP($A28,test!$A$3:$F$32,2,FALSE),VLOOKUP(I$1,test!$A$3:$F$32,2,FALSE))&lt;=test!$K$16,$A28&lt;&gt;I$1,feasible_mat!I28=1),(VLOOKUP(I$1,test!$A$3:$I$32,8,FALSE))-(VLOOKUP($A28,test!$A$3:$I$32,9,FALSE)),0)</f>
        <v>40</v>
      </c>
      <c r="J28">
        <f>IF(AND(SUM(VLOOKUP($A28,test!$A$3:$F$32,2,FALSE),VLOOKUP(J$1,test!$A$3:$F$32,2,FALSE))&lt;=test!$K$16,$A28&lt;&gt;J$1,feasible_mat!J28=1),(VLOOKUP(J$1,test!$A$3:$I$32,8,FALSE))-(VLOOKUP($A28,test!$A$3:$I$32,9,FALSE)),0)</f>
        <v>130</v>
      </c>
      <c r="K28">
        <f>IF(AND(SUM(VLOOKUP($A28,test!$A$3:$F$32,2,FALSE),VLOOKUP(K$1,test!$A$3:$F$32,2,FALSE))&lt;=test!$K$16,$A28&lt;&gt;K$1,feasible_mat!K28=1),(VLOOKUP(K$1,test!$A$3:$I$32,8,FALSE))-(VLOOKUP($A28,test!$A$3:$I$32,9,FALSE)),0)</f>
        <v>0</v>
      </c>
      <c r="L28">
        <f>IF(AND(SUM(VLOOKUP($A28,test!$A$3:$F$32,2,FALSE),VLOOKUP(L$1,test!$A$3:$F$32,2,FALSE))&lt;=test!$K$16,$A28&lt;&gt;L$1,feasible_mat!L28=1),(VLOOKUP(L$1,test!$A$3:$I$32,8,FALSE))-(VLOOKUP($A28,test!$A$3:$I$32,9,FALSE)),0)</f>
        <v>0</v>
      </c>
      <c r="M28">
        <f>IF(AND(SUM(VLOOKUP($A28,test!$A$3:$F$32,2,FALSE),VLOOKUP(M$1,test!$A$3:$F$32,2,FALSE))&lt;=test!$K$16,$A28&lt;&gt;M$1,feasible_mat!M28=1),(VLOOKUP(M$1,test!$A$3:$I$32,8,FALSE))-(VLOOKUP($A28,test!$A$3:$I$32,9,FALSE)),0)</f>
        <v>0</v>
      </c>
      <c r="N28">
        <f>IF(AND(SUM(VLOOKUP($A28,test!$A$3:$F$32,2,FALSE),VLOOKUP(N$1,test!$A$3:$F$32,2,FALSE))&lt;=test!$K$16,$A28&lt;&gt;N$1,feasible_mat!N28=1),(VLOOKUP(N$1,test!$A$3:$I$32,8,FALSE))-(VLOOKUP($A28,test!$A$3:$I$32,9,FALSE)),0)</f>
        <v>95</v>
      </c>
      <c r="O28">
        <f>IF(AND(SUM(VLOOKUP($A28,test!$A$3:$F$32,2,FALSE),VLOOKUP(O$1,test!$A$3:$F$32,2,FALSE))&lt;=test!$K$16,$A28&lt;&gt;O$1,feasible_mat!O28=1),(VLOOKUP(O$1,test!$A$3:$I$32,8,FALSE))-(VLOOKUP($A28,test!$A$3:$I$32,9,FALSE)),0)</f>
        <v>155</v>
      </c>
      <c r="P28">
        <f>IF(AND(SUM(VLOOKUP($A28,test!$A$3:$F$32,2,FALSE),VLOOKUP(P$1,test!$A$3:$F$32,2,FALSE))&lt;=test!$K$16,$A28&lt;&gt;P$1,feasible_mat!P28=1),(VLOOKUP(P$1,test!$A$3:$I$32,8,FALSE))-(VLOOKUP($A28,test!$A$3:$I$32,9,FALSE)),0)</f>
        <v>0</v>
      </c>
      <c r="Q28">
        <f>IF(AND(SUM(VLOOKUP($A28,test!$A$3:$F$32,2,FALSE),VLOOKUP(Q$1,test!$A$3:$F$32,2,FALSE))&lt;=test!$K$16,$A28&lt;&gt;Q$1,feasible_mat!Q28=1),(VLOOKUP(Q$1,test!$A$3:$I$32,8,FALSE))-(VLOOKUP($A28,test!$A$3:$I$32,9,FALSE)),0)</f>
        <v>0</v>
      </c>
      <c r="R28">
        <f>IF(AND(SUM(VLOOKUP($A28,test!$A$3:$F$32,2,FALSE),VLOOKUP(R$1,test!$A$3:$F$32,2,FALSE))&lt;=test!$K$16,$A28&lt;&gt;R$1,feasible_mat!R28=1),(VLOOKUP(R$1,test!$A$3:$I$32,8,FALSE))-(VLOOKUP($A28,test!$A$3:$I$32,9,FALSE)),0)</f>
        <v>0</v>
      </c>
      <c r="S28">
        <f>IF(AND(SUM(VLOOKUP($A28,test!$A$3:$F$32,2,FALSE),VLOOKUP(S$1,test!$A$3:$F$32,2,FALSE))&lt;=test!$K$16,$A28&lt;&gt;S$1,feasible_mat!S28=1),(VLOOKUP(S$1,test!$A$3:$I$32,8,FALSE))-(VLOOKUP($A28,test!$A$3:$I$32,9,FALSE)),0)</f>
        <v>0</v>
      </c>
      <c r="T28">
        <f>IF(AND(SUM(VLOOKUP($A28,test!$A$3:$F$32,2,FALSE),VLOOKUP(T$1,test!$A$3:$F$32,2,FALSE))&lt;=test!$K$16,$A28&lt;&gt;T$1,feasible_mat!T28=1),(VLOOKUP(T$1,test!$A$3:$I$32,8,FALSE))-(VLOOKUP($A28,test!$A$3:$I$32,9,FALSE)),0)</f>
        <v>0</v>
      </c>
      <c r="U28">
        <f>IF(AND(SUM(VLOOKUP($A28,test!$A$3:$F$32,2,FALSE),VLOOKUP(U$1,test!$A$3:$F$32,2,FALSE))&lt;=test!$K$16,$A28&lt;&gt;U$1,feasible_mat!U28=1),(VLOOKUP(U$1,test!$A$3:$I$32,8,FALSE))-(VLOOKUP($A28,test!$A$3:$I$32,9,FALSE)),0)</f>
        <v>0</v>
      </c>
      <c r="V28">
        <f>IF(AND(SUM(VLOOKUP($A28,test!$A$3:$F$32,2,FALSE),VLOOKUP(V$1,test!$A$3:$F$32,2,FALSE))&lt;=test!$K$16,$A28&lt;&gt;V$1,feasible_mat!V28=1),(VLOOKUP(V$1,test!$A$3:$I$32,8,FALSE))-(VLOOKUP($A28,test!$A$3:$I$32,9,FALSE)),0)</f>
        <v>0</v>
      </c>
      <c r="W28">
        <f>IF(AND(SUM(VLOOKUP($A28,test!$A$3:$F$32,2,FALSE),VLOOKUP(W$1,test!$A$3:$F$32,2,FALSE))&lt;=test!$K$16,$A28&lt;&gt;W$1,feasible_mat!W28=1),(VLOOKUP(W$1,test!$A$3:$I$32,8,FALSE))-(VLOOKUP($A28,test!$A$3:$I$32,9,FALSE)),0)</f>
        <v>20</v>
      </c>
      <c r="X28">
        <f>IF(AND(SUM(VLOOKUP($A28,test!$A$3:$F$32,2,FALSE),VLOOKUP(X$1,test!$A$3:$F$32,2,FALSE))&lt;=test!$K$16,$A28&lt;&gt;X$1,feasible_mat!X28=1),(VLOOKUP(X$1,test!$A$3:$I$32,8,FALSE))-(VLOOKUP($A28,test!$A$3:$I$32,9,FALSE)),0)</f>
        <v>80</v>
      </c>
      <c r="Y28">
        <f>IF(AND(SUM(VLOOKUP($A28,test!$A$3:$F$32,2,FALSE),VLOOKUP(Y$1,test!$A$3:$F$32,2,FALSE))&lt;=test!$K$16,$A28&lt;&gt;Y$1,feasible_mat!Y28=1),(VLOOKUP(Y$1,test!$A$3:$I$32,8,FALSE))-(VLOOKUP($A28,test!$A$3:$I$32,9,FALSE)),0)</f>
        <v>0</v>
      </c>
      <c r="Z28">
        <f>IF(AND(SUM(VLOOKUP($A28,test!$A$3:$F$32,2,FALSE),VLOOKUP(Z$1,test!$A$3:$F$32,2,FALSE))&lt;=test!$K$16,$A28&lt;&gt;Z$1,feasible_mat!Z28=1),(VLOOKUP(Z$1,test!$A$3:$I$32,8,FALSE))-(VLOOKUP($A28,test!$A$3:$I$32,9,FALSE)),0)</f>
        <v>0</v>
      </c>
      <c r="AA28">
        <f>IF(AND(SUM(VLOOKUP($A28,test!$A$3:$F$32,2,FALSE),VLOOKUP(AA$1,test!$A$3:$F$32,2,FALSE))&lt;=test!$K$16,$A28&lt;&gt;AA$1,feasible_mat!AA28=1),(VLOOKUP(AA$1,test!$A$3:$I$32,8,FALSE))-(VLOOKUP($A28,test!$A$3:$I$32,9,FALSE)),0)</f>
        <v>0</v>
      </c>
      <c r="AB28">
        <f>IF(AND(SUM(VLOOKUP($A28,test!$A$3:$F$32,2,FALSE),VLOOKUP(AB$1,test!$A$3:$F$32,2,FALSE))&lt;=test!$K$16,$A28&lt;&gt;AB$1,feasible_mat!AB28=1),(VLOOKUP(AB$1,test!$A$3:$I$32,8,FALSE))-(VLOOKUP($A28,test!$A$3:$I$32,9,FALSE)),0)</f>
        <v>0</v>
      </c>
      <c r="AC28">
        <f>IF(AND(SUM(VLOOKUP($A28,test!$A$3:$F$32,2,FALSE),VLOOKUP(AC$1,test!$A$3:$F$32,2,FALSE))&lt;=test!$K$16,$A28&lt;&gt;AC$1,feasible_mat!AC28=1),(VLOOKUP(AC$1,test!$A$3:$I$32,8,FALSE))-(VLOOKUP($A28,test!$A$3:$I$32,9,FALSE)),0)</f>
        <v>0</v>
      </c>
      <c r="AD28">
        <f>IF(AND(SUM(VLOOKUP($A28,test!$A$3:$F$32,2,FALSE),VLOOKUP(AD$1,test!$A$3:$F$32,2,FALSE))&lt;=test!$K$16,$A28&lt;&gt;AD$1,feasible_mat!AD28=1),(VLOOKUP(AD$1,test!$A$3:$I$32,8,FALSE))-(VLOOKUP($A28,test!$A$3:$I$32,9,FALSE)),0)</f>
        <v>0</v>
      </c>
      <c r="AE28">
        <f>IF(AND(SUM(VLOOKUP($A28,test!$A$3:$F$32,2,FALSE),VLOOKUP(AE$1,test!$A$3:$F$32,2,FALSE))&lt;=test!$K$16,$A28&lt;&gt;AE$1,feasible_mat!AE28=1),(VLOOKUP(AE$1,test!$A$3:$I$32,8,FALSE))-(VLOOKUP($A28,test!$A$3:$I$32,9,FALSE)),0)</f>
        <v>0</v>
      </c>
      <c r="AF28">
        <f>IF(AND(SUM(VLOOKUP($A28,test!$A$3:$F$32,2,FALSE),VLOOKUP(AF$1,test!$A$3:$F$32,2,FALSE))&lt;=test!$K$16,$A28&lt;&gt;AF$1,feasible_mat!AF28=1),(VLOOKUP(AF$1,test!$A$3:$I$32,8,FALSE))-(VLOOKUP($A28,test!$A$3:$I$32,9,FALSE)),0)</f>
        <v>0</v>
      </c>
    </row>
    <row r="29" spans="1:36" x14ac:dyDescent="0.25">
      <c r="A29" t="s">
        <v>38</v>
      </c>
      <c r="B29">
        <v>0</v>
      </c>
      <c r="C29">
        <f>IF(AND(SUM(VLOOKUP($A29,test!$A$3:$F$32,2,FALSE),VLOOKUP(C$1,test!$A$3:$F$32,2,FALSE))&lt;=test!$K$16,$A29&lt;&gt;C$1,feasible_mat!C29=1),(VLOOKUP(C$1,test!$A$3:$I$32,8,FALSE))-(VLOOKUP($A29,test!$A$3:$I$32,9,FALSE)),0)</f>
        <v>0</v>
      </c>
      <c r="D29">
        <f>IF(AND(SUM(VLOOKUP($A29,test!$A$3:$F$32,2,FALSE),VLOOKUP(D$1,test!$A$3:$F$32,2,FALSE))&lt;=test!$K$16,$A29&lt;&gt;D$1,feasible_mat!D29=1),(VLOOKUP(D$1,test!$A$3:$I$32,8,FALSE))-(VLOOKUP($A29,test!$A$3:$I$32,9,FALSE)),0)</f>
        <v>0</v>
      </c>
      <c r="E29">
        <f>IF(AND(SUM(VLOOKUP($A29,test!$A$3:$F$32,2,FALSE),VLOOKUP(E$1,test!$A$3:$F$32,2,FALSE))&lt;=test!$K$16,$A29&lt;&gt;E$1,feasible_mat!E29=1),(VLOOKUP(E$1,test!$A$3:$I$32,8,FALSE))-(VLOOKUP($A29,test!$A$3:$I$32,9,FALSE)),0)</f>
        <v>0</v>
      </c>
      <c r="F29">
        <f>IF(AND(SUM(VLOOKUP($A29,test!$A$3:$F$32,2,FALSE),VLOOKUP(F$1,test!$A$3:$F$32,2,FALSE))&lt;=test!$K$16,$A29&lt;&gt;F$1,feasible_mat!F29=1),(VLOOKUP(F$1,test!$A$3:$I$32,8,FALSE))-(VLOOKUP($A29,test!$A$3:$I$32,9,FALSE)),0)</f>
        <v>0</v>
      </c>
      <c r="G29">
        <f>IF(AND(SUM(VLOOKUP($A29,test!$A$3:$F$32,2,FALSE),VLOOKUP(G$1,test!$A$3:$F$32,2,FALSE))&lt;=test!$K$16,$A29&lt;&gt;G$1,feasible_mat!G29=1),(VLOOKUP(G$1,test!$A$3:$I$32,8,FALSE))-(VLOOKUP($A29,test!$A$3:$I$32,9,FALSE)),0)</f>
        <v>0</v>
      </c>
      <c r="H29">
        <f>IF(AND(SUM(VLOOKUP($A29,test!$A$3:$F$32,2,FALSE),VLOOKUP(H$1,test!$A$3:$F$32,2,FALSE))&lt;=test!$K$16,$A29&lt;&gt;H$1,feasible_mat!H29=1),(VLOOKUP(H$1,test!$A$3:$I$32,8,FALSE))-(VLOOKUP($A29,test!$A$3:$I$32,9,FALSE)),0)</f>
        <v>0</v>
      </c>
      <c r="I29">
        <f>IF(AND(SUM(VLOOKUP($A29,test!$A$3:$F$32,2,FALSE),VLOOKUP(I$1,test!$A$3:$F$32,2,FALSE))&lt;=test!$K$16,$A29&lt;&gt;I$1,feasible_mat!I29=1),(VLOOKUP(I$1,test!$A$3:$I$32,8,FALSE))-(VLOOKUP($A29,test!$A$3:$I$32,9,FALSE)),0)</f>
        <v>0</v>
      </c>
      <c r="J29">
        <f>IF(AND(SUM(VLOOKUP($A29,test!$A$3:$F$32,2,FALSE),VLOOKUP(J$1,test!$A$3:$F$32,2,FALSE))&lt;=test!$K$16,$A29&lt;&gt;J$1,feasible_mat!J29=1),(VLOOKUP(J$1,test!$A$3:$I$32,8,FALSE))-(VLOOKUP($A29,test!$A$3:$I$32,9,FALSE)),0)</f>
        <v>0</v>
      </c>
      <c r="K29">
        <f>IF(AND(SUM(VLOOKUP($A29,test!$A$3:$F$32,2,FALSE),VLOOKUP(K$1,test!$A$3:$F$32,2,FALSE))&lt;=test!$K$16,$A29&lt;&gt;K$1,feasible_mat!K29=1),(VLOOKUP(K$1,test!$A$3:$I$32,8,FALSE))-(VLOOKUP($A29,test!$A$3:$I$32,9,FALSE)),0)</f>
        <v>0</v>
      </c>
      <c r="L29">
        <f>IF(AND(SUM(VLOOKUP($A29,test!$A$3:$F$32,2,FALSE),VLOOKUP(L$1,test!$A$3:$F$32,2,FALSE))&lt;=test!$K$16,$A29&lt;&gt;L$1,feasible_mat!L29=1),(VLOOKUP(L$1,test!$A$3:$I$32,8,FALSE))-(VLOOKUP($A29,test!$A$3:$I$32,9,FALSE)),0)</f>
        <v>0</v>
      </c>
      <c r="M29">
        <f>IF(AND(SUM(VLOOKUP($A29,test!$A$3:$F$32,2,FALSE),VLOOKUP(M$1,test!$A$3:$F$32,2,FALSE))&lt;=test!$K$16,$A29&lt;&gt;M$1,feasible_mat!M29=1),(VLOOKUP(M$1,test!$A$3:$I$32,8,FALSE))-(VLOOKUP($A29,test!$A$3:$I$32,9,FALSE)),0)</f>
        <v>0</v>
      </c>
      <c r="N29">
        <f>IF(AND(SUM(VLOOKUP($A29,test!$A$3:$F$32,2,FALSE),VLOOKUP(N$1,test!$A$3:$F$32,2,FALSE))&lt;=test!$K$16,$A29&lt;&gt;N$1,feasible_mat!N29=1),(VLOOKUP(N$1,test!$A$3:$I$32,8,FALSE))-(VLOOKUP($A29,test!$A$3:$I$32,9,FALSE)),0)</f>
        <v>0</v>
      </c>
      <c r="O29">
        <f>IF(AND(SUM(VLOOKUP($A29,test!$A$3:$F$32,2,FALSE),VLOOKUP(O$1,test!$A$3:$F$32,2,FALSE))&lt;=test!$K$16,$A29&lt;&gt;O$1,feasible_mat!O29=1),(VLOOKUP(O$1,test!$A$3:$I$32,8,FALSE))-(VLOOKUP($A29,test!$A$3:$I$32,9,FALSE)),0)</f>
        <v>35</v>
      </c>
      <c r="P29">
        <f>IF(AND(SUM(VLOOKUP($A29,test!$A$3:$F$32,2,FALSE),VLOOKUP(P$1,test!$A$3:$F$32,2,FALSE))&lt;=test!$K$16,$A29&lt;&gt;P$1,feasible_mat!P29=1),(VLOOKUP(P$1,test!$A$3:$I$32,8,FALSE))-(VLOOKUP($A29,test!$A$3:$I$32,9,FALSE)),0)</f>
        <v>0</v>
      </c>
      <c r="Q29">
        <f>IF(AND(SUM(VLOOKUP($A29,test!$A$3:$F$32,2,FALSE),VLOOKUP(Q$1,test!$A$3:$F$32,2,FALSE))&lt;=test!$K$16,$A29&lt;&gt;Q$1,feasible_mat!Q29=1),(VLOOKUP(Q$1,test!$A$3:$I$32,8,FALSE))-(VLOOKUP($A29,test!$A$3:$I$32,9,FALSE)),0)</f>
        <v>0</v>
      </c>
      <c r="R29">
        <f>IF(AND(SUM(VLOOKUP($A29,test!$A$3:$F$32,2,FALSE),VLOOKUP(R$1,test!$A$3:$F$32,2,FALSE))&lt;=test!$K$16,$A29&lt;&gt;R$1,feasible_mat!R29=1),(VLOOKUP(R$1,test!$A$3:$I$32,8,FALSE))-(VLOOKUP($A29,test!$A$3:$I$32,9,FALSE)),0)</f>
        <v>0</v>
      </c>
      <c r="S29">
        <f>IF(AND(SUM(VLOOKUP($A29,test!$A$3:$F$32,2,FALSE),VLOOKUP(S$1,test!$A$3:$F$32,2,FALSE))&lt;=test!$K$16,$A29&lt;&gt;S$1,feasible_mat!S29=1),(VLOOKUP(S$1,test!$A$3:$I$32,8,FALSE))-(VLOOKUP($A29,test!$A$3:$I$32,9,FALSE)),0)</f>
        <v>0</v>
      </c>
      <c r="T29">
        <f>IF(AND(SUM(VLOOKUP($A29,test!$A$3:$F$32,2,FALSE),VLOOKUP(T$1,test!$A$3:$F$32,2,FALSE))&lt;=test!$K$16,$A29&lt;&gt;T$1,feasible_mat!T29=1),(VLOOKUP(T$1,test!$A$3:$I$32,8,FALSE))-(VLOOKUP($A29,test!$A$3:$I$32,9,FALSE)),0)</f>
        <v>0</v>
      </c>
      <c r="U29">
        <f>IF(AND(SUM(VLOOKUP($A29,test!$A$3:$F$32,2,FALSE),VLOOKUP(U$1,test!$A$3:$F$32,2,FALSE))&lt;=test!$K$16,$A29&lt;&gt;U$1,feasible_mat!U29=1),(VLOOKUP(U$1,test!$A$3:$I$32,8,FALSE))-(VLOOKUP($A29,test!$A$3:$I$32,9,FALSE)),0)</f>
        <v>0</v>
      </c>
      <c r="V29">
        <f>IF(AND(SUM(VLOOKUP($A29,test!$A$3:$F$32,2,FALSE),VLOOKUP(V$1,test!$A$3:$F$32,2,FALSE))&lt;=test!$K$16,$A29&lt;&gt;V$1,feasible_mat!V29=1),(VLOOKUP(V$1,test!$A$3:$I$32,8,FALSE))-(VLOOKUP($A29,test!$A$3:$I$32,9,FALSE)),0)</f>
        <v>0</v>
      </c>
      <c r="W29">
        <f>IF(AND(SUM(VLOOKUP($A29,test!$A$3:$F$32,2,FALSE),VLOOKUP(W$1,test!$A$3:$F$32,2,FALSE))&lt;=test!$K$16,$A29&lt;&gt;W$1,feasible_mat!W29=1),(VLOOKUP(W$1,test!$A$3:$I$32,8,FALSE))-(VLOOKUP($A29,test!$A$3:$I$32,9,FALSE)),0)</f>
        <v>0</v>
      </c>
      <c r="X29">
        <f>IF(AND(SUM(VLOOKUP($A29,test!$A$3:$F$32,2,FALSE),VLOOKUP(X$1,test!$A$3:$F$32,2,FALSE))&lt;=test!$K$16,$A29&lt;&gt;X$1,feasible_mat!X29=1),(VLOOKUP(X$1,test!$A$3:$I$32,8,FALSE))-(VLOOKUP($A29,test!$A$3:$I$32,9,FALSE)),0)</f>
        <v>0</v>
      </c>
      <c r="Y29">
        <f>IF(AND(SUM(VLOOKUP($A29,test!$A$3:$F$32,2,FALSE),VLOOKUP(Y$1,test!$A$3:$F$32,2,FALSE))&lt;=test!$K$16,$A29&lt;&gt;Y$1,feasible_mat!Y29=1),(VLOOKUP(Y$1,test!$A$3:$I$32,8,FALSE))-(VLOOKUP($A29,test!$A$3:$I$32,9,FALSE)),0)</f>
        <v>0</v>
      </c>
      <c r="Z29">
        <f>IF(AND(SUM(VLOOKUP($A29,test!$A$3:$F$32,2,FALSE),VLOOKUP(Z$1,test!$A$3:$F$32,2,FALSE))&lt;=test!$K$16,$A29&lt;&gt;Z$1,feasible_mat!Z29=1),(VLOOKUP(Z$1,test!$A$3:$I$32,8,FALSE))-(VLOOKUP($A29,test!$A$3:$I$32,9,FALSE)),0)</f>
        <v>0</v>
      </c>
      <c r="AA29">
        <f>IF(AND(SUM(VLOOKUP($A29,test!$A$3:$F$32,2,FALSE),VLOOKUP(AA$1,test!$A$3:$F$32,2,FALSE))&lt;=test!$K$16,$A29&lt;&gt;AA$1,feasible_mat!AA29=1),(VLOOKUP(AA$1,test!$A$3:$I$32,8,FALSE))-(VLOOKUP($A29,test!$A$3:$I$32,9,FALSE)),0)</f>
        <v>0</v>
      </c>
      <c r="AB29">
        <f>IF(AND(SUM(VLOOKUP($A29,test!$A$3:$F$32,2,FALSE),VLOOKUP(AB$1,test!$A$3:$F$32,2,FALSE))&lt;=test!$K$16,$A29&lt;&gt;AB$1,feasible_mat!AB29=1),(VLOOKUP(AB$1,test!$A$3:$I$32,8,FALSE))-(VLOOKUP($A29,test!$A$3:$I$32,9,FALSE)),0)</f>
        <v>0</v>
      </c>
      <c r="AC29">
        <f>IF(AND(SUM(VLOOKUP($A29,test!$A$3:$F$32,2,FALSE),VLOOKUP(AC$1,test!$A$3:$F$32,2,FALSE))&lt;=test!$K$16,$A29&lt;&gt;AC$1,feasible_mat!AC29=1),(VLOOKUP(AC$1,test!$A$3:$I$32,8,FALSE))-(VLOOKUP($A29,test!$A$3:$I$32,9,FALSE)),0)</f>
        <v>0</v>
      </c>
      <c r="AD29">
        <f>IF(AND(SUM(VLOOKUP($A29,test!$A$3:$F$32,2,FALSE),VLOOKUP(AD$1,test!$A$3:$F$32,2,FALSE))&lt;=test!$K$16,$A29&lt;&gt;AD$1,feasible_mat!AD29=1),(VLOOKUP(AD$1,test!$A$3:$I$32,8,FALSE))-(VLOOKUP($A29,test!$A$3:$I$32,9,FALSE)),0)</f>
        <v>0</v>
      </c>
      <c r="AE29">
        <f>IF(AND(SUM(VLOOKUP($A29,test!$A$3:$F$32,2,FALSE),VLOOKUP(AE$1,test!$A$3:$F$32,2,FALSE))&lt;=test!$K$16,$A29&lt;&gt;AE$1,feasible_mat!AE29=1),(VLOOKUP(AE$1,test!$A$3:$I$32,8,FALSE))-(VLOOKUP($A29,test!$A$3:$I$32,9,FALSE)),0)</f>
        <v>0</v>
      </c>
      <c r="AF29">
        <f>IF(AND(SUM(VLOOKUP($A29,test!$A$3:$F$32,2,FALSE),VLOOKUP(AF$1,test!$A$3:$F$32,2,FALSE))&lt;=test!$K$16,$A29&lt;&gt;AF$1,feasible_mat!AF29=1),(VLOOKUP(AF$1,test!$A$3:$I$32,8,FALSE))-(VLOOKUP($A29,test!$A$3:$I$32,9,FALSE)),0)</f>
        <v>0</v>
      </c>
    </row>
    <row r="30" spans="1:36" x14ac:dyDescent="0.25">
      <c r="A30" t="s">
        <v>39</v>
      </c>
      <c r="B30">
        <v>0</v>
      </c>
      <c r="C30">
        <f>IF(AND(SUM(VLOOKUP($A30,test!$A$3:$F$32,2,FALSE),VLOOKUP(C$1,test!$A$3:$F$32,2,FALSE))&lt;=test!$K$16,$A30&lt;&gt;C$1,feasible_mat!C30=1),(VLOOKUP(C$1,test!$A$3:$I$32,8,FALSE))-(VLOOKUP($A30,test!$A$3:$I$32,9,FALSE)),0)</f>
        <v>0</v>
      </c>
      <c r="D30">
        <f>IF(AND(SUM(VLOOKUP($A30,test!$A$3:$F$32,2,FALSE),VLOOKUP(D$1,test!$A$3:$F$32,2,FALSE))&lt;=test!$K$16,$A30&lt;&gt;D$1,feasible_mat!D30=1),(VLOOKUP(D$1,test!$A$3:$I$32,8,FALSE))-(VLOOKUP($A30,test!$A$3:$I$32,9,FALSE)),0)</f>
        <v>0</v>
      </c>
      <c r="E30">
        <f>IF(AND(SUM(VLOOKUP($A30,test!$A$3:$F$32,2,FALSE),VLOOKUP(E$1,test!$A$3:$F$32,2,FALSE))&lt;=test!$K$16,$A30&lt;&gt;E$1,feasible_mat!E30=1),(VLOOKUP(E$1,test!$A$3:$I$32,8,FALSE))-(VLOOKUP($A30,test!$A$3:$I$32,9,FALSE)),0)</f>
        <v>0</v>
      </c>
      <c r="F30">
        <f>IF(AND(SUM(VLOOKUP($A30,test!$A$3:$F$32,2,FALSE),VLOOKUP(F$1,test!$A$3:$F$32,2,FALSE))&lt;=test!$K$16,$A30&lt;&gt;F$1,feasible_mat!F30=1),(VLOOKUP(F$1,test!$A$3:$I$32,8,FALSE))-(VLOOKUP($A30,test!$A$3:$I$32,9,FALSE)),0)</f>
        <v>0</v>
      </c>
      <c r="G30">
        <f>IF(AND(SUM(VLOOKUP($A30,test!$A$3:$F$32,2,FALSE),VLOOKUP(G$1,test!$A$3:$F$32,2,FALSE))&lt;=test!$K$16,$A30&lt;&gt;G$1,feasible_mat!G30=1),(VLOOKUP(G$1,test!$A$3:$I$32,8,FALSE))-(VLOOKUP($A30,test!$A$3:$I$32,9,FALSE)),0)</f>
        <v>0</v>
      </c>
      <c r="H30">
        <f>IF(AND(SUM(VLOOKUP($A30,test!$A$3:$F$32,2,FALSE),VLOOKUP(H$1,test!$A$3:$F$32,2,FALSE))&lt;=test!$K$16,$A30&lt;&gt;H$1,feasible_mat!H30=1),(VLOOKUP(H$1,test!$A$3:$I$32,8,FALSE))-(VLOOKUP($A30,test!$A$3:$I$32,9,FALSE)),0)</f>
        <v>0</v>
      </c>
      <c r="I30">
        <f>IF(AND(SUM(VLOOKUP($A30,test!$A$3:$F$32,2,FALSE),VLOOKUP(I$1,test!$A$3:$F$32,2,FALSE))&lt;=test!$K$16,$A30&lt;&gt;I$1,feasible_mat!I30=1),(VLOOKUP(I$1,test!$A$3:$I$32,8,FALSE))-(VLOOKUP($A30,test!$A$3:$I$32,9,FALSE)),0)</f>
        <v>0</v>
      </c>
      <c r="J30">
        <f>IF(AND(SUM(VLOOKUP($A30,test!$A$3:$F$32,2,FALSE),VLOOKUP(J$1,test!$A$3:$F$32,2,FALSE))&lt;=test!$K$16,$A30&lt;&gt;J$1,feasible_mat!J30=1),(VLOOKUP(J$1,test!$A$3:$I$32,8,FALSE))-(VLOOKUP($A30,test!$A$3:$I$32,9,FALSE)),0)</f>
        <v>0</v>
      </c>
      <c r="K30">
        <f>IF(AND(SUM(VLOOKUP($A30,test!$A$3:$F$32,2,FALSE),VLOOKUP(K$1,test!$A$3:$F$32,2,FALSE))&lt;=test!$K$16,$A30&lt;&gt;K$1,feasible_mat!K30=1),(VLOOKUP(K$1,test!$A$3:$I$32,8,FALSE))-(VLOOKUP($A30,test!$A$3:$I$32,9,FALSE)),0)</f>
        <v>0</v>
      </c>
      <c r="L30">
        <f>IF(AND(SUM(VLOOKUP($A30,test!$A$3:$F$32,2,FALSE),VLOOKUP(L$1,test!$A$3:$F$32,2,FALSE))&lt;=test!$K$16,$A30&lt;&gt;L$1,feasible_mat!L30=1),(VLOOKUP(L$1,test!$A$3:$I$32,8,FALSE))-(VLOOKUP($A30,test!$A$3:$I$32,9,FALSE)),0)</f>
        <v>0</v>
      </c>
      <c r="M30">
        <f>IF(AND(SUM(VLOOKUP($A30,test!$A$3:$F$32,2,FALSE),VLOOKUP(M$1,test!$A$3:$F$32,2,FALSE))&lt;=test!$K$16,$A30&lt;&gt;M$1,feasible_mat!M30=1),(VLOOKUP(M$1,test!$A$3:$I$32,8,FALSE))-(VLOOKUP($A30,test!$A$3:$I$32,9,FALSE)),0)</f>
        <v>0</v>
      </c>
      <c r="N30">
        <f>IF(AND(SUM(VLOOKUP($A30,test!$A$3:$F$32,2,FALSE),VLOOKUP(N$1,test!$A$3:$F$32,2,FALSE))&lt;=test!$K$16,$A30&lt;&gt;N$1,feasible_mat!N30=1),(VLOOKUP(N$1,test!$A$3:$I$32,8,FALSE))-(VLOOKUP($A30,test!$A$3:$I$32,9,FALSE)),0)</f>
        <v>0</v>
      </c>
      <c r="O30">
        <f>IF(AND(SUM(VLOOKUP($A30,test!$A$3:$F$32,2,FALSE),VLOOKUP(O$1,test!$A$3:$F$32,2,FALSE))&lt;=test!$K$16,$A30&lt;&gt;O$1,feasible_mat!O30=1),(VLOOKUP(O$1,test!$A$3:$I$32,8,FALSE))-(VLOOKUP($A30,test!$A$3:$I$32,9,FALSE)),0)</f>
        <v>0</v>
      </c>
      <c r="P30">
        <f>IF(AND(SUM(VLOOKUP($A30,test!$A$3:$F$32,2,FALSE),VLOOKUP(P$1,test!$A$3:$F$32,2,FALSE))&lt;=test!$K$16,$A30&lt;&gt;P$1,feasible_mat!P30=1),(VLOOKUP(P$1,test!$A$3:$I$32,8,FALSE))-(VLOOKUP($A30,test!$A$3:$I$32,9,FALSE)),0)</f>
        <v>0</v>
      </c>
      <c r="Q30">
        <f>IF(AND(SUM(VLOOKUP($A30,test!$A$3:$F$32,2,FALSE),VLOOKUP(Q$1,test!$A$3:$F$32,2,FALSE))&lt;=test!$K$16,$A30&lt;&gt;Q$1,feasible_mat!Q30=1),(VLOOKUP(Q$1,test!$A$3:$I$32,8,FALSE))-(VLOOKUP($A30,test!$A$3:$I$32,9,FALSE)),0)</f>
        <v>0</v>
      </c>
      <c r="R30">
        <f>IF(AND(SUM(VLOOKUP($A30,test!$A$3:$F$32,2,FALSE),VLOOKUP(R$1,test!$A$3:$F$32,2,FALSE))&lt;=test!$K$16,$A30&lt;&gt;R$1,feasible_mat!R30=1),(VLOOKUP(R$1,test!$A$3:$I$32,8,FALSE))-(VLOOKUP($A30,test!$A$3:$I$32,9,FALSE)),0)</f>
        <v>0</v>
      </c>
      <c r="S30">
        <f>IF(AND(SUM(VLOOKUP($A30,test!$A$3:$F$32,2,FALSE),VLOOKUP(S$1,test!$A$3:$F$32,2,FALSE))&lt;=test!$K$16,$A30&lt;&gt;S$1,feasible_mat!S30=1),(VLOOKUP(S$1,test!$A$3:$I$32,8,FALSE))-(VLOOKUP($A30,test!$A$3:$I$32,9,FALSE)),0)</f>
        <v>0</v>
      </c>
      <c r="T30">
        <f>IF(AND(SUM(VLOOKUP($A30,test!$A$3:$F$32,2,FALSE),VLOOKUP(T$1,test!$A$3:$F$32,2,FALSE))&lt;=test!$K$16,$A30&lt;&gt;T$1,feasible_mat!T30=1),(VLOOKUP(T$1,test!$A$3:$I$32,8,FALSE))-(VLOOKUP($A30,test!$A$3:$I$32,9,FALSE)),0)</f>
        <v>0</v>
      </c>
      <c r="U30">
        <f>IF(AND(SUM(VLOOKUP($A30,test!$A$3:$F$32,2,FALSE),VLOOKUP(U$1,test!$A$3:$F$32,2,FALSE))&lt;=test!$K$16,$A30&lt;&gt;U$1,feasible_mat!U30=1),(VLOOKUP(U$1,test!$A$3:$I$32,8,FALSE))-(VLOOKUP($A30,test!$A$3:$I$32,9,FALSE)),0)</f>
        <v>0</v>
      </c>
      <c r="V30">
        <f>IF(AND(SUM(VLOOKUP($A30,test!$A$3:$F$32,2,FALSE),VLOOKUP(V$1,test!$A$3:$F$32,2,FALSE))&lt;=test!$K$16,$A30&lt;&gt;V$1,feasible_mat!V30=1),(VLOOKUP(V$1,test!$A$3:$I$32,8,FALSE))-(VLOOKUP($A30,test!$A$3:$I$32,9,FALSE)),0)</f>
        <v>0</v>
      </c>
      <c r="W30">
        <f>IF(AND(SUM(VLOOKUP($A30,test!$A$3:$F$32,2,FALSE),VLOOKUP(W$1,test!$A$3:$F$32,2,FALSE))&lt;=test!$K$16,$A30&lt;&gt;W$1,feasible_mat!W30=1),(VLOOKUP(W$1,test!$A$3:$I$32,8,FALSE))-(VLOOKUP($A30,test!$A$3:$I$32,9,FALSE)),0)</f>
        <v>0</v>
      </c>
      <c r="X30">
        <f>IF(AND(SUM(VLOOKUP($A30,test!$A$3:$F$32,2,FALSE),VLOOKUP(X$1,test!$A$3:$F$32,2,FALSE))&lt;=test!$K$16,$A30&lt;&gt;X$1,feasible_mat!X30=1),(VLOOKUP(X$1,test!$A$3:$I$32,8,FALSE))-(VLOOKUP($A30,test!$A$3:$I$32,9,FALSE)),0)</f>
        <v>0</v>
      </c>
      <c r="Y30">
        <f>IF(AND(SUM(VLOOKUP($A30,test!$A$3:$F$32,2,FALSE),VLOOKUP(Y$1,test!$A$3:$F$32,2,FALSE))&lt;=test!$K$16,$A30&lt;&gt;Y$1,feasible_mat!Y30=1),(VLOOKUP(Y$1,test!$A$3:$I$32,8,FALSE))-(VLOOKUP($A30,test!$A$3:$I$32,9,FALSE)),0)</f>
        <v>0</v>
      </c>
      <c r="Z30">
        <f>IF(AND(SUM(VLOOKUP($A30,test!$A$3:$F$32,2,FALSE),VLOOKUP(Z$1,test!$A$3:$F$32,2,FALSE))&lt;=test!$K$16,$A30&lt;&gt;Z$1,feasible_mat!Z30=1),(VLOOKUP(Z$1,test!$A$3:$I$32,8,FALSE))-(VLOOKUP($A30,test!$A$3:$I$32,9,FALSE)),0)</f>
        <v>0</v>
      </c>
      <c r="AA30">
        <f>IF(AND(SUM(VLOOKUP($A30,test!$A$3:$F$32,2,FALSE),VLOOKUP(AA$1,test!$A$3:$F$32,2,FALSE))&lt;=test!$K$16,$A30&lt;&gt;AA$1,feasible_mat!AA30=1),(VLOOKUP(AA$1,test!$A$3:$I$32,8,FALSE))-(VLOOKUP($A30,test!$A$3:$I$32,9,FALSE)),0)</f>
        <v>0</v>
      </c>
      <c r="AB30">
        <f>IF(AND(SUM(VLOOKUP($A30,test!$A$3:$F$32,2,FALSE),VLOOKUP(AB$1,test!$A$3:$F$32,2,FALSE))&lt;=test!$K$16,$A30&lt;&gt;AB$1,feasible_mat!AB30=1),(VLOOKUP(AB$1,test!$A$3:$I$32,8,FALSE))-(VLOOKUP($A30,test!$A$3:$I$32,9,FALSE)),0)</f>
        <v>0</v>
      </c>
      <c r="AC30">
        <f>IF(AND(SUM(VLOOKUP($A30,test!$A$3:$F$32,2,FALSE),VLOOKUP(AC$1,test!$A$3:$F$32,2,FALSE))&lt;=test!$K$16,$A30&lt;&gt;AC$1,feasible_mat!AC30=1),(VLOOKUP(AC$1,test!$A$3:$I$32,8,FALSE))-(VLOOKUP($A30,test!$A$3:$I$32,9,FALSE)),0)</f>
        <v>0</v>
      </c>
      <c r="AD30">
        <f>IF(AND(SUM(VLOOKUP($A30,test!$A$3:$F$32,2,FALSE),VLOOKUP(AD$1,test!$A$3:$F$32,2,FALSE))&lt;=test!$K$16,$A30&lt;&gt;AD$1,feasible_mat!AD30=1),(VLOOKUP(AD$1,test!$A$3:$I$32,8,FALSE))-(VLOOKUP($A30,test!$A$3:$I$32,9,FALSE)),0)</f>
        <v>0</v>
      </c>
      <c r="AE30">
        <f>IF(AND(SUM(VLOOKUP($A30,test!$A$3:$F$32,2,FALSE),VLOOKUP(AE$1,test!$A$3:$F$32,2,FALSE))&lt;=test!$K$16,$A30&lt;&gt;AE$1,feasible_mat!AE30=1),(VLOOKUP(AE$1,test!$A$3:$I$32,8,FALSE))-(VLOOKUP($A30,test!$A$3:$I$32,9,FALSE)),0)</f>
        <v>0</v>
      </c>
      <c r="AF30">
        <f>IF(AND(SUM(VLOOKUP($A30,test!$A$3:$F$32,2,FALSE),VLOOKUP(AF$1,test!$A$3:$F$32,2,FALSE))&lt;=test!$K$16,$A30&lt;&gt;AF$1,feasible_mat!AF30=1),(VLOOKUP(AF$1,test!$A$3:$I$32,8,FALSE))-(VLOOKUP($A30,test!$A$3:$I$32,9,FALSE)),0)</f>
        <v>0</v>
      </c>
    </row>
    <row r="31" spans="1:36" x14ac:dyDescent="0.25">
      <c r="A31" t="s">
        <v>40</v>
      </c>
      <c r="B31">
        <v>0</v>
      </c>
      <c r="C31">
        <f>IF(AND(SUM(VLOOKUP($A31,test!$A$3:$F$32,2,FALSE),VLOOKUP(C$1,test!$A$3:$F$32,2,FALSE))&lt;=test!$K$16,$A31&lt;&gt;C$1,feasible_mat!C31=1),(VLOOKUP(C$1,test!$A$3:$I$32,8,FALSE))-(VLOOKUP($A31,test!$A$3:$I$32,9,FALSE)),0)</f>
        <v>0</v>
      </c>
      <c r="D31">
        <f>IF(AND(SUM(VLOOKUP($A31,test!$A$3:$F$32,2,FALSE),VLOOKUP(D$1,test!$A$3:$F$32,2,FALSE))&lt;=test!$K$16,$A31&lt;&gt;D$1,feasible_mat!D31=1),(VLOOKUP(D$1,test!$A$3:$I$32,8,FALSE))-(VLOOKUP($A31,test!$A$3:$I$32,9,FALSE)),0)</f>
        <v>0</v>
      </c>
      <c r="E31">
        <f>IF(AND(SUM(VLOOKUP($A31,test!$A$3:$F$32,2,FALSE),VLOOKUP(E$1,test!$A$3:$F$32,2,FALSE))&lt;=test!$K$16,$A31&lt;&gt;E$1,feasible_mat!E31=1),(VLOOKUP(E$1,test!$A$3:$I$32,8,FALSE))-(VLOOKUP($A31,test!$A$3:$I$32,9,FALSE)),0)</f>
        <v>0</v>
      </c>
      <c r="F31">
        <f>IF(AND(SUM(VLOOKUP($A31,test!$A$3:$F$32,2,FALSE),VLOOKUP(F$1,test!$A$3:$F$32,2,FALSE))&lt;=test!$K$16,$A31&lt;&gt;F$1,feasible_mat!F31=1),(VLOOKUP(F$1,test!$A$3:$I$32,8,FALSE))-(VLOOKUP($A31,test!$A$3:$I$32,9,FALSE)),0)</f>
        <v>0</v>
      </c>
      <c r="G31">
        <f>IF(AND(SUM(VLOOKUP($A31,test!$A$3:$F$32,2,FALSE),VLOOKUP(G$1,test!$A$3:$F$32,2,FALSE))&lt;=test!$K$16,$A31&lt;&gt;G$1,feasible_mat!G31=1),(VLOOKUP(G$1,test!$A$3:$I$32,8,FALSE))-(VLOOKUP($A31,test!$A$3:$I$32,9,FALSE)),0)</f>
        <v>0</v>
      </c>
      <c r="H31">
        <f>IF(AND(SUM(VLOOKUP($A31,test!$A$3:$F$32,2,FALSE),VLOOKUP(H$1,test!$A$3:$F$32,2,FALSE))&lt;=test!$K$16,$A31&lt;&gt;H$1,feasible_mat!H31=1),(VLOOKUP(H$1,test!$A$3:$I$32,8,FALSE))-(VLOOKUP($A31,test!$A$3:$I$32,9,FALSE)),0)</f>
        <v>0</v>
      </c>
      <c r="I31">
        <f>IF(AND(SUM(VLOOKUP($A31,test!$A$3:$F$32,2,FALSE),VLOOKUP(I$1,test!$A$3:$F$32,2,FALSE))&lt;=test!$K$16,$A31&lt;&gt;I$1,feasible_mat!I31=1),(VLOOKUP(I$1,test!$A$3:$I$32,8,FALSE))-(VLOOKUP($A31,test!$A$3:$I$32,9,FALSE)),0)</f>
        <v>30</v>
      </c>
      <c r="J31">
        <f>IF(AND(SUM(VLOOKUP($A31,test!$A$3:$F$32,2,FALSE),VLOOKUP(J$1,test!$A$3:$F$32,2,FALSE))&lt;=test!$K$16,$A31&lt;&gt;J$1,feasible_mat!J31=1),(VLOOKUP(J$1,test!$A$3:$I$32,8,FALSE))-(VLOOKUP($A31,test!$A$3:$I$32,9,FALSE)),0)</f>
        <v>120</v>
      </c>
      <c r="K31">
        <f>IF(AND(SUM(VLOOKUP($A31,test!$A$3:$F$32,2,FALSE),VLOOKUP(K$1,test!$A$3:$F$32,2,FALSE))&lt;=test!$K$16,$A31&lt;&gt;K$1,feasible_mat!K31=1),(VLOOKUP(K$1,test!$A$3:$I$32,8,FALSE))-(VLOOKUP($A31,test!$A$3:$I$32,9,FALSE)),0)</f>
        <v>0</v>
      </c>
      <c r="L31">
        <f>IF(AND(SUM(VLOOKUP($A31,test!$A$3:$F$32,2,FALSE),VLOOKUP(L$1,test!$A$3:$F$32,2,FALSE))&lt;=test!$K$16,$A31&lt;&gt;L$1,feasible_mat!L31=1),(VLOOKUP(L$1,test!$A$3:$I$32,8,FALSE))-(VLOOKUP($A31,test!$A$3:$I$32,9,FALSE)),0)</f>
        <v>0</v>
      </c>
      <c r="M31">
        <f>IF(AND(SUM(VLOOKUP($A31,test!$A$3:$F$32,2,FALSE),VLOOKUP(M$1,test!$A$3:$F$32,2,FALSE))&lt;=test!$K$16,$A31&lt;&gt;M$1,feasible_mat!M31=1),(VLOOKUP(M$1,test!$A$3:$I$32,8,FALSE))-(VLOOKUP($A31,test!$A$3:$I$32,9,FALSE)),0)</f>
        <v>0</v>
      </c>
      <c r="N31">
        <f>IF(AND(SUM(VLOOKUP($A31,test!$A$3:$F$32,2,FALSE),VLOOKUP(N$1,test!$A$3:$F$32,2,FALSE))&lt;=test!$K$16,$A31&lt;&gt;N$1,feasible_mat!N31=1),(VLOOKUP(N$1,test!$A$3:$I$32,8,FALSE))-(VLOOKUP($A31,test!$A$3:$I$32,9,FALSE)),0)</f>
        <v>85</v>
      </c>
      <c r="O31">
        <f>IF(AND(SUM(VLOOKUP($A31,test!$A$3:$F$32,2,FALSE),VLOOKUP(O$1,test!$A$3:$F$32,2,FALSE))&lt;=test!$K$16,$A31&lt;&gt;O$1,feasible_mat!O31=1),(VLOOKUP(O$1,test!$A$3:$I$32,8,FALSE))-(VLOOKUP($A31,test!$A$3:$I$32,9,FALSE)),0)</f>
        <v>145</v>
      </c>
      <c r="P31">
        <f>IF(AND(SUM(VLOOKUP($A31,test!$A$3:$F$32,2,FALSE),VLOOKUP(P$1,test!$A$3:$F$32,2,FALSE))&lt;=test!$K$16,$A31&lt;&gt;P$1,feasible_mat!P31=1),(VLOOKUP(P$1,test!$A$3:$I$32,8,FALSE))-(VLOOKUP($A31,test!$A$3:$I$32,9,FALSE)),0)</f>
        <v>0</v>
      </c>
      <c r="Q31">
        <f>IF(AND(SUM(VLOOKUP($A31,test!$A$3:$F$32,2,FALSE),VLOOKUP(Q$1,test!$A$3:$F$32,2,FALSE))&lt;=test!$K$16,$A31&lt;&gt;Q$1,feasible_mat!Q31=1),(VLOOKUP(Q$1,test!$A$3:$I$32,8,FALSE))-(VLOOKUP($A31,test!$A$3:$I$32,9,FALSE)),0)</f>
        <v>0</v>
      </c>
      <c r="R31">
        <f>IF(AND(SUM(VLOOKUP($A31,test!$A$3:$F$32,2,FALSE),VLOOKUP(R$1,test!$A$3:$F$32,2,FALSE))&lt;=test!$K$16,$A31&lt;&gt;R$1,feasible_mat!R31=1),(VLOOKUP(R$1,test!$A$3:$I$32,8,FALSE))-(VLOOKUP($A31,test!$A$3:$I$32,9,FALSE)),0)</f>
        <v>0</v>
      </c>
      <c r="S31">
        <f>IF(AND(SUM(VLOOKUP($A31,test!$A$3:$F$32,2,FALSE),VLOOKUP(S$1,test!$A$3:$F$32,2,FALSE))&lt;=test!$K$16,$A31&lt;&gt;S$1,feasible_mat!S31=1),(VLOOKUP(S$1,test!$A$3:$I$32,8,FALSE))-(VLOOKUP($A31,test!$A$3:$I$32,9,FALSE)),0)</f>
        <v>0</v>
      </c>
      <c r="T31">
        <f>IF(AND(SUM(VLOOKUP($A31,test!$A$3:$F$32,2,FALSE),VLOOKUP(T$1,test!$A$3:$F$32,2,FALSE))&lt;=test!$K$16,$A31&lt;&gt;T$1,feasible_mat!T31=1),(VLOOKUP(T$1,test!$A$3:$I$32,8,FALSE))-(VLOOKUP($A31,test!$A$3:$I$32,9,FALSE)),0)</f>
        <v>0</v>
      </c>
      <c r="U31">
        <f>IF(AND(SUM(VLOOKUP($A31,test!$A$3:$F$32,2,FALSE),VLOOKUP(U$1,test!$A$3:$F$32,2,FALSE))&lt;=test!$K$16,$A31&lt;&gt;U$1,feasible_mat!U31=1),(VLOOKUP(U$1,test!$A$3:$I$32,8,FALSE))-(VLOOKUP($A31,test!$A$3:$I$32,9,FALSE)),0)</f>
        <v>0</v>
      </c>
      <c r="V31">
        <f>IF(AND(SUM(VLOOKUP($A31,test!$A$3:$F$32,2,FALSE),VLOOKUP(V$1,test!$A$3:$F$32,2,FALSE))&lt;=test!$K$16,$A31&lt;&gt;V$1,feasible_mat!V31=1),(VLOOKUP(V$1,test!$A$3:$I$32,8,FALSE))-(VLOOKUP($A31,test!$A$3:$I$32,9,FALSE)),0)</f>
        <v>0</v>
      </c>
      <c r="W31">
        <f>IF(AND(SUM(VLOOKUP($A31,test!$A$3:$F$32,2,FALSE),VLOOKUP(W$1,test!$A$3:$F$32,2,FALSE))&lt;=test!$K$16,$A31&lt;&gt;W$1,feasible_mat!W31=1),(VLOOKUP(W$1,test!$A$3:$I$32,8,FALSE))-(VLOOKUP($A31,test!$A$3:$I$32,9,FALSE)),0)</f>
        <v>0</v>
      </c>
      <c r="X31">
        <f>IF(AND(SUM(VLOOKUP($A31,test!$A$3:$F$32,2,FALSE),VLOOKUP(X$1,test!$A$3:$F$32,2,FALSE))&lt;=test!$K$16,$A31&lt;&gt;X$1,feasible_mat!X31=1),(VLOOKUP(X$1,test!$A$3:$I$32,8,FALSE))-(VLOOKUP($A31,test!$A$3:$I$32,9,FALSE)),0)</f>
        <v>70</v>
      </c>
      <c r="Y31">
        <f>IF(AND(SUM(VLOOKUP($A31,test!$A$3:$F$32,2,FALSE),VLOOKUP(Y$1,test!$A$3:$F$32,2,FALSE))&lt;=test!$K$16,$A31&lt;&gt;Y$1,feasible_mat!Y31=1),(VLOOKUP(Y$1,test!$A$3:$I$32,8,FALSE))-(VLOOKUP($A31,test!$A$3:$I$32,9,FALSE)),0)</f>
        <v>0</v>
      </c>
      <c r="Z31">
        <f>IF(AND(SUM(VLOOKUP($A31,test!$A$3:$F$32,2,FALSE),VLOOKUP(Z$1,test!$A$3:$F$32,2,FALSE))&lt;=test!$K$16,$A31&lt;&gt;Z$1,feasible_mat!Z31=1),(VLOOKUP(Z$1,test!$A$3:$I$32,8,FALSE))-(VLOOKUP($A31,test!$A$3:$I$32,9,FALSE)),0)</f>
        <v>0</v>
      </c>
      <c r="AA31">
        <f>IF(AND(SUM(VLOOKUP($A31,test!$A$3:$F$32,2,FALSE),VLOOKUP(AA$1,test!$A$3:$F$32,2,FALSE))&lt;=test!$K$16,$A31&lt;&gt;AA$1,feasible_mat!AA31=1),(VLOOKUP(AA$1,test!$A$3:$I$32,8,FALSE))-(VLOOKUP($A31,test!$A$3:$I$32,9,FALSE)),0)</f>
        <v>0</v>
      </c>
      <c r="AB31">
        <f>IF(AND(SUM(VLOOKUP($A31,test!$A$3:$F$32,2,FALSE),VLOOKUP(AB$1,test!$A$3:$F$32,2,FALSE))&lt;=test!$K$16,$A31&lt;&gt;AB$1,feasible_mat!AB31=1),(VLOOKUP(AB$1,test!$A$3:$I$32,8,FALSE))-(VLOOKUP($A31,test!$A$3:$I$32,9,FALSE)),0)</f>
        <v>0</v>
      </c>
      <c r="AC31">
        <f>IF(AND(SUM(VLOOKUP($A31,test!$A$3:$F$32,2,FALSE),VLOOKUP(AC$1,test!$A$3:$F$32,2,FALSE))&lt;=test!$K$16,$A31&lt;&gt;AC$1,feasible_mat!AC31=1),(VLOOKUP(AC$1,test!$A$3:$I$32,8,FALSE))-(VLOOKUP($A31,test!$A$3:$I$32,9,FALSE)),0)</f>
        <v>0</v>
      </c>
      <c r="AD31">
        <f>IF(AND(SUM(VLOOKUP($A31,test!$A$3:$F$32,2,FALSE),VLOOKUP(AD$1,test!$A$3:$F$32,2,FALSE))&lt;=test!$K$16,$A31&lt;&gt;AD$1,feasible_mat!AD31=1),(VLOOKUP(AD$1,test!$A$3:$I$32,8,FALSE))-(VLOOKUP($A31,test!$A$3:$I$32,9,FALSE)),0)</f>
        <v>0</v>
      </c>
      <c r="AE31">
        <f>IF(AND(SUM(VLOOKUP($A31,test!$A$3:$F$32,2,FALSE),VLOOKUP(AE$1,test!$A$3:$F$32,2,FALSE))&lt;=test!$K$16,$A31&lt;&gt;AE$1,feasible_mat!AE31=1),(VLOOKUP(AE$1,test!$A$3:$I$32,8,FALSE))-(VLOOKUP($A31,test!$A$3:$I$32,9,FALSE)),0)</f>
        <v>0</v>
      </c>
      <c r="AF31">
        <f>IF(AND(SUM(VLOOKUP($A31,test!$A$3:$F$32,2,FALSE),VLOOKUP(AF$1,test!$A$3:$F$32,2,FALSE))&lt;=test!$K$16,$A31&lt;&gt;AF$1,feasible_mat!AF31=1),(VLOOKUP(AF$1,test!$A$3:$I$32,8,FALSE))-(VLOOKUP($A31,test!$A$3:$I$32,9,FALSE)),0)</f>
        <v>0</v>
      </c>
    </row>
    <row r="32" spans="1:36" x14ac:dyDescent="0.25">
      <c r="A32" t="s">
        <v>41</v>
      </c>
      <c r="B32">
        <v>0</v>
      </c>
      <c r="C32">
        <f>IF(AND(SUM(VLOOKUP($A32,test!$A$3:$F$32,2,FALSE),VLOOKUP(C$1,test!$A$3:$F$32,2,FALSE))&lt;=test!$K$16,$A32&lt;&gt;C$1,feasible_mat!C32=1),(VLOOKUP(C$1,test!$A$3:$I$32,8,FALSE))-(VLOOKUP($A32,test!$A$3:$I$32,9,FALSE)),0)</f>
        <v>0</v>
      </c>
      <c r="D32">
        <f>IF(AND(SUM(VLOOKUP($A32,test!$A$3:$F$32,2,FALSE),VLOOKUP(D$1,test!$A$3:$F$32,2,FALSE))&lt;=test!$K$16,$A32&lt;&gt;D$1,feasible_mat!D32=1),(VLOOKUP(D$1,test!$A$3:$I$32,8,FALSE))-(VLOOKUP($A32,test!$A$3:$I$32,9,FALSE)),0)</f>
        <v>0</v>
      </c>
      <c r="E32">
        <f>IF(AND(SUM(VLOOKUP($A32,test!$A$3:$F$32,2,FALSE),VLOOKUP(E$1,test!$A$3:$F$32,2,FALSE))&lt;=test!$K$16,$A32&lt;&gt;E$1,feasible_mat!E32=1),(VLOOKUP(E$1,test!$A$3:$I$32,8,FALSE))-(VLOOKUP($A32,test!$A$3:$I$32,9,FALSE)),0)</f>
        <v>0</v>
      </c>
      <c r="F32">
        <f>IF(AND(SUM(VLOOKUP($A32,test!$A$3:$F$32,2,FALSE),VLOOKUP(F$1,test!$A$3:$F$32,2,FALSE))&lt;=test!$K$16,$A32&lt;&gt;F$1,feasible_mat!F32=1),(VLOOKUP(F$1,test!$A$3:$I$32,8,FALSE))-(VLOOKUP($A32,test!$A$3:$I$32,9,FALSE)),0)</f>
        <v>0</v>
      </c>
      <c r="G32">
        <f>IF(AND(SUM(VLOOKUP($A32,test!$A$3:$F$32,2,FALSE),VLOOKUP(G$1,test!$A$3:$F$32,2,FALSE))&lt;=test!$K$16,$A32&lt;&gt;G$1,feasible_mat!G32=1),(VLOOKUP(G$1,test!$A$3:$I$32,8,FALSE))-(VLOOKUP($A32,test!$A$3:$I$32,9,FALSE)),0)</f>
        <v>0</v>
      </c>
      <c r="H32">
        <f>IF(AND(SUM(VLOOKUP($A32,test!$A$3:$F$32,2,FALSE),VLOOKUP(H$1,test!$A$3:$F$32,2,FALSE))&lt;=test!$K$16,$A32&lt;&gt;H$1,feasible_mat!H32=1),(VLOOKUP(H$1,test!$A$3:$I$32,8,FALSE))-(VLOOKUP($A32,test!$A$3:$I$32,9,FALSE)),0)</f>
        <v>0</v>
      </c>
      <c r="I32">
        <f>IF(AND(SUM(VLOOKUP($A32,test!$A$3:$F$32,2,FALSE),VLOOKUP(I$1,test!$A$3:$F$32,2,FALSE))&lt;=test!$K$16,$A32&lt;&gt;I$1,feasible_mat!I32=1),(VLOOKUP(I$1,test!$A$3:$I$32,8,FALSE))-(VLOOKUP($A32,test!$A$3:$I$32,9,FALSE)),0)</f>
        <v>0</v>
      </c>
      <c r="J32">
        <f>IF(AND(SUM(VLOOKUP($A32,test!$A$3:$F$32,2,FALSE),VLOOKUP(J$1,test!$A$3:$F$32,2,FALSE))&lt;=test!$K$16,$A32&lt;&gt;J$1,feasible_mat!J32=1),(VLOOKUP(J$1,test!$A$3:$I$32,8,FALSE))-(VLOOKUP($A32,test!$A$3:$I$32,9,FALSE)),0)</f>
        <v>0</v>
      </c>
      <c r="K32">
        <f>IF(AND(SUM(VLOOKUP($A32,test!$A$3:$F$32,2,FALSE),VLOOKUP(K$1,test!$A$3:$F$32,2,FALSE))&lt;=test!$K$16,$A32&lt;&gt;K$1,feasible_mat!K32=1),(VLOOKUP(K$1,test!$A$3:$I$32,8,FALSE))-(VLOOKUP($A32,test!$A$3:$I$32,9,FALSE)),0)</f>
        <v>0</v>
      </c>
      <c r="L32">
        <f>IF(AND(SUM(VLOOKUP($A32,test!$A$3:$F$32,2,FALSE),VLOOKUP(L$1,test!$A$3:$F$32,2,FALSE))&lt;=test!$K$16,$A32&lt;&gt;L$1,feasible_mat!L32=1),(VLOOKUP(L$1,test!$A$3:$I$32,8,FALSE))-(VLOOKUP($A32,test!$A$3:$I$32,9,FALSE)),0)</f>
        <v>0</v>
      </c>
      <c r="M32">
        <f>IF(AND(SUM(VLOOKUP($A32,test!$A$3:$F$32,2,FALSE),VLOOKUP(M$1,test!$A$3:$F$32,2,FALSE))&lt;=test!$K$16,$A32&lt;&gt;M$1,feasible_mat!M32=1),(VLOOKUP(M$1,test!$A$3:$I$32,8,FALSE))-(VLOOKUP($A32,test!$A$3:$I$32,9,FALSE)),0)</f>
        <v>0</v>
      </c>
      <c r="N32">
        <f>IF(AND(SUM(VLOOKUP($A32,test!$A$3:$F$32,2,FALSE),VLOOKUP(N$1,test!$A$3:$F$32,2,FALSE))&lt;=test!$K$16,$A32&lt;&gt;N$1,feasible_mat!N32=1),(VLOOKUP(N$1,test!$A$3:$I$32,8,FALSE))-(VLOOKUP($A32,test!$A$3:$I$32,9,FALSE)),0)</f>
        <v>0</v>
      </c>
      <c r="O32">
        <f>IF(AND(SUM(VLOOKUP($A32,test!$A$3:$F$32,2,FALSE),VLOOKUP(O$1,test!$A$3:$F$32,2,FALSE))&lt;=test!$K$16,$A32&lt;&gt;O$1,feasible_mat!O32=1),(VLOOKUP(O$1,test!$A$3:$I$32,8,FALSE))-(VLOOKUP($A32,test!$A$3:$I$32,9,FALSE)),0)</f>
        <v>0</v>
      </c>
      <c r="P32">
        <f>IF(AND(SUM(VLOOKUP($A32,test!$A$3:$F$32,2,FALSE),VLOOKUP(P$1,test!$A$3:$F$32,2,FALSE))&lt;=test!$K$16,$A32&lt;&gt;P$1,feasible_mat!P32=1),(VLOOKUP(P$1,test!$A$3:$I$32,8,FALSE))-(VLOOKUP($A32,test!$A$3:$I$32,9,FALSE)),0)</f>
        <v>0</v>
      </c>
      <c r="Q32">
        <f>IF(AND(SUM(VLOOKUP($A32,test!$A$3:$F$32,2,FALSE),VLOOKUP(Q$1,test!$A$3:$F$32,2,FALSE))&lt;=test!$K$16,$A32&lt;&gt;Q$1,feasible_mat!Q32=1),(VLOOKUP(Q$1,test!$A$3:$I$32,8,FALSE))-(VLOOKUP($A32,test!$A$3:$I$32,9,FALSE)),0)</f>
        <v>0</v>
      </c>
      <c r="R32">
        <f>IF(AND(SUM(VLOOKUP($A32,test!$A$3:$F$32,2,FALSE),VLOOKUP(R$1,test!$A$3:$F$32,2,FALSE))&lt;=test!$K$16,$A32&lt;&gt;R$1,feasible_mat!R32=1),(VLOOKUP(R$1,test!$A$3:$I$32,8,FALSE))-(VLOOKUP($A32,test!$A$3:$I$32,9,FALSE)),0)</f>
        <v>0</v>
      </c>
      <c r="S32">
        <f>IF(AND(SUM(VLOOKUP($A32,test!$A$3:$F$32,2,FALSE),VLOOKUP(S$1,test!$A$3:$F$32,2,FALSE))&lt;=test!$K$16,$A32&lt;&gt;S$1,feasible_mat!S32=1),(VLOOKUP(S$1,test!$A$3:$I$32,8,FALSE))-(VLOOKUP($A32,test!$A$3:$I$32,9,FALSE)),0)</f>
        <v>0</v>
      </c>
      <c r="T32">
        <f>IF(AND(SUM(VLOOKUP($A32,test!$A$3:$F$32,2,FALSE),VLOOKUP(T$1,test!$A$3:$F$32,2,FALSE))&lt;=test!$K$16,$A32&lt;&gt;T$1,feasible_mat!T32=1),(VLOOKUP(T$1,test!$A$3:$I$32,8,FALSE))-(VLOOKUP($A32,test!$A$3:$I$32,9,FALSE)),0)</f>
        <v>0</v>
      </c>
      <c r="U32">
        <f>IF(AND(SUM(VLOOKUP($A32,test!$A$3:$F$32,2,FALSE),VLOOKUP(U$1,test!$A$3:$F$32,2,FALSE))&lt;=test!$K$16,$A32&lt;&gt;U$1,feasible_mat!U32=1),(VLOOKUP(U$1,test!$A$3:$I$32,8,FALSE))-(VLOOKUP($A32,test!$A$3:$I$32,9,FALSE)),0)</f>
        <v>0</v>
      </c>
      <c r="V32">
        <f>IF(AND(SUM(VLOOKUP($A32,test!$A$3:$F$32,2,FALSE),VLOOKUP(V$1,test!$A$3:$F$32,2,FALSE))&lt;=test!$K$16,$A32&lt;&gt;V$1,feasible_mat!V32=1),(VLOOKUP(V$1,test!$A$3:$I$32,8,FALSE))-(VLOOKUP($A32,test!$A$3:$I$32,9,FALSE)),0)</f>
        <v>0</v>
      </c>
      <c r="W32">
        <f>IF(AND(SUM(VLOOKUP($A32,test!$A$3:$F$32,2,FALSE),VLOOKUP(W$1,test!$A$3:$F$32,2,FALSE))&lt;=test!$K$16,$A32&lt;&gt;W$1,feasible_mat!W32=1),(VLOOKUP(W$1,test!$A$3:$I$32,8,FALSE))-(VLOOKUP($A32,test!$A$3:$I$32,9,FALSE)),0)</f>
        <v>0</v>
      </c>
      <c r="X32">
        <f>IF(AND(SUM(VLOOKUP($A32,test!$A$3:$F$32,2,FALSE),VLOOKUP(X$1,test!$A$3:$F$32,2,FALSE))&lt;=test!$K$16,$A32&lt;&gt;X$1,feasible_mat!X32=1),(VLOOKUP(X$1,test!$A$3:$I$32,8,FALSE))-(VLOOKUP($A32,test!$A$3:$I$32,9,FALSE)),0)</f>
        <v>0</v>
      </c>
      <c r="Y32">
        <f>IF(AND(SUM(VLOOKUP($A32,test!$A$3:$F$32,2,FALSE),VLOOKUP(Y$1,test!$A$3:$F$32,2,FALSE))&lt;=test!$K$16,$A32&lt;&gt;Y$1,feasible_mat!Y32=1),(VLOOKUP(Y$1,test!$A$3:$I$32,8,FALSE))-(VLOOKUP($A32,test!$A$3:$I$32,9,FALSE)),0)</f>
        <v>0</v>
      </c>
      <c r="Z32">
        <f>IF(AND(SUM(VLOOKUP($A32,test!$A$3:$F$32,2,FALSE),VLOOKUP(Z$1,test!$A$3:$F$32,2,FALSE))&lt;=test!$K$16,$A32&lt;&gt;Z$1,feasible_mat!Z32=1),(VLOOKUP(Z$1,test!$A$3:$I$32,8,FALSE))-(VLOOKUP($A32,test!$A$3:$I$32,9,FALSE)),0)</f>
        <v>0</v>
      </c>
      <c r="AA32">
        <f>IF(AND(SUM(VLOOKUP($A32,test!$A$3:$F$32,2,FALSE),VLOOKUP(AA$1,test!$A$3:$F$32,2,FALSE))&lt;=test!$K$16,$A32&lt;&gt;AA$1,feasible_mat!AA32=1),(VLOOKUP(AA$1,test!$A$3:$I$32,8,FALSE))-(VLOOKUP($A32,test!$A$3:$I$32,9,FALSE)),0)</f>
        <v>0</v>
      </c>
      <c r="AB32">
        <f>IF(AND(SUM(VLOOKUP($A32,test!$A$3:$F$32,2,FALSE),VLOOKUP(AB$1,test!$A$3:$F$32,2,FALSE))&lt;=test!$K$16,$A32&lt;&gt;AB$1,feasible_mat!AB32=1),(VLOOKUP(AB$1,test!$A$3:$I$32,8,FALSE))-(VLOOKUP($A32,test!$A$3:$I$32,9,FALSE)),0)</f>
        <v>0</v>
      </c>
      <c r="AC32">
        <f>IF(AND(SUM(VLOOKUP($A32,test!$A$3:$F$32,2,FALSE),VLOOKUP(AC$1,test!$A$3:$F$32,2,FALSE))&lt;=test!$K$16,$A32&lt;&gt;AC$1,feasible_mat!AC32=1),(VLOOKUP(AC$1,test!$A$3:$I$32,8,FALSE))-(VLOOKUP($A32,test!$A$3:$I$32,9,FALSE)),0)</f>
        <v>0</v>
      </c>
      <c r="AD32">
        <f>IF(AND(SUM(VLOOKUP($A32,test!$A$3:$F$32,2,FALSE),VLOOKUP(AD$1,test!$A$3:$F$32,2,FALSE))&lt;=test!$K$16,$A32&lt;&gt;AD$1,feasible_mat!AD32=1),(VLOOKUP(AD$1,test!$A$3:$I$32,8,FALSE))-(VLOOKUP($A32,test!$A$3:$I$32,9,FALSE)),0)</f>
        <v>0</v>
      </c>
      <c r="AE32">
        <f>IF(AND(SUM(VLOOKUP($A32,test!$A$3:$F$32,2,FALSE),VLOOKUP(AE$1,test!$A$3:$F$32,2,FALSE))&lt;=test!$K$16,$A32&lt;&gt;AE$1,feasible_mat!AE32=1),(VLOOKUP(AE$1,test!$A$3:$I$32,8,FALSE))-(VLOOKUP($A32,test!$A$3:$I$32,9,FALSE)),0)</f>
        <v>0</v>
      </c>
      <c r="AF32">
        <f>IF(AND(SUM(VLOOKUP($A32,test!$A$3:$F$32,2,FALSE),VLOOKUP(AF$1,test!$A$3:$F$32,2,FALSE))&lt;=test!$K$16,$A32&lt;&gt;AF$1,feasible_mat!AF32=1),(VLOOKUP(AF$1,test!$A$3:$I$32,8,FALSE))-(VLOOKUP($A32,test!$A$3:$I$32,9,FALSE)),0)</f>
        <v>0</v>
      </c>
    </row>
    <row r="33" spans="1:32" x14ac:dyDescent="0.25">
      <c r="A33" t="s">
        <v>46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6</v>
      </c>
      <c r="B34">
        <v>0</v>
      </c>
      <c r="C34">
        <f>IF(AND(SUM(VLOOKUP($A34,test!$A$3:$F$32,2,FALSE),VLOOKUP(C$1,test!$A$3:$F$32,2,FALSE))&lt;test!$K$16,$A34&lt;&gt;C$1,feasible_mat!C34=1),(VLOOKUP(C$1,test!$A$3:$I$32,8,FALSE))-(VLOOKUP($A34,test!$A$3:$I$32,9,FALSE))-(test!$B$33-50),0)</f>
        <v>0</v>
      </c>
      <c r="D34">
        <f>IF(AND(SUM(VLOOKUP($A34,test!$A$3:$F$32,2,FALSE),VLOOKUP(D$1,test!$A$3:$F$32,2,FALSE))&lt;test!$K$16,$A34&lt;&gt;D$1,Recharged_Feasible_mat!E3=1),(VLOOKUP(D$1,test!$A$3:$I$32,8,FALSE))-(VLOOKUP($A34,test!$A$3:$I$32,9,FALSE))+test!$B$33,0)</f>
        <v>0</v>
      </c>
      <c r="E34">
        <f>IF(AND(SUM(VLOOKUP($A34,test!$A$3:$F$32,2,FALSE),VLOOKUP(E$1,test!$A$3:$F$32,2,FALSE))&lt;test!$K$16,$A34&lt;&gt;E$1,Recharged_Feasible_mat!F3=1),(VLOOKUP(E$1,test!$A$3:$I$32,8,FALSE))-(VLOOKUP($A34,test!$A$3:$I$32,9,FALSE))+test!$B$33,0)</f>
        <v>185</v>
      </c>
      <c r="F34">
        <f>IF(AND(SUM(VLOOKUP($A34,test!$A$3:$F$32,2,FALSE),VLOOKUP(F$1,test!$A$3:$F$32,2,FALSE))&lt;test!$K$16,$A34&lt;&gt;F$1,Recharged_Feasible_mat!G3=1),(VLOOKUP(F$1,test!$A$3:$I$32,8,FALSE))-(VLOOKUP($A34,test!$A$3:$I$32,9,FALSE))+test!$B$33,0)</f>
        <v>275</v>
      </c>
      <c r="G34">
        <f>IF(AND(SUM(VLOOKUP($A34,test!$A$3:$F$32,2,FALSE),VLOOKUP(G$1,test!$A$3:$F$32,2,FALSE))&lt;test!$K$16,$A34&lt;&gt;G$1,Recharged_Feasible_mat!H3=1),(VLOOKUP(G$1,test!$A$3:$I$32,8,FALSE))-(VLOOKUP($A34,test!$A$3:$I$32,9,FALSE))+test!$B$33,0)</f>
        <v>335</v>
      </c>
      <c r="H34">
        <f>IF(AND(SUM(VLOOKUP($A34,test!$A$3:$F$32,2,FALSE),VLOOKUP(H$1,test!$A$3:$F$32,2,FALSE))&lt;test!$K$16,$A34&lt;&gt;H$1,Recharged_Feasible_mat!I3=1),(VLOOKUP(H$1,test!$A$3:$I$32,8,FALSE))-(VLOOKUP($A34,test!$A$3:$I$32,9,FALSE))+test!$B$33,0)</f>
        <v>395</v>
      </c>
      <c r="I34">
        <f>IF(AND(SUM(VLOOKUP($A34,test!$A$3:$F$32,2,FALSE),VLOOKUP(I$1,test!$A$3:$F$32,2,FALSE))&lt;test!$K$16,$A34&lt;&gt;I$1,Recharged_Feasible_mat!J3=1),(VLOOKUP(I$1,test!$A$3:$I$32,8,FALSE))-(VLOOKUP($A34,test!$A$3:$I$32,9,FALSE))+test!$B$33,0)</f>
        <v>455</v>
      </c>
      <c r="J34">
        <f>IF(AND(SUM(VLOOKUP($A34,test!$A$3:$F$32,2,FALSE),VLOOKUP(J$1,test!$A$3:$F$32,2,FALSE))&lt;test!$K$16,$A34&lt;&gt;J$1,Recharged_Feasible_mat!K3=1),(VLOOKUP(J$1,test!$A$3:$I$32,8,FALSE))-(VLOOKUP($A34,test!$A$3:$I$32,9,FALSE))+test!$B$33,0)</f>
        <v>545</v>
      </c>
      <c r="K34">
        <f>IF(AND(SUM(VLOOKUP($A34,test!$A$3:$F$32,2,FALSE),VLOOKUP(K$1,test!$A$3:$F$32,2,FALSE))&lt;test!$K$16,$A34&lt;&gt;K$1,Recharged_Feasible_mat!L3=1),(VLOOKUP(K$1,test!$A$3:$I$32,8,FALSE))-(VLOOKUP($A34,test!$A$3:$I$32,9,FALSE))+test!$B$33,0)</f>
        <v>0</v>
      </c>
      <c r="L34">
        <f>IF(AND(SUM(VLOOKUP($A34,test!$A$3:$F$32,2,FALSE),VLOOKUP(L$1,test!$A$3:$F$32,2,FALSE))&lt;test!$K$16,$A34&lt;&gt;L$1,Recharged_Feasible_mat!M3=1),(VLOOKUP(L$1,test!$A$3:$I$32,8,FALSE))-(VLOOKUP($A34,test!$A$3:$I$32,9,FALSE))+test!$B$33,0)</f>
        <v>0</v>
      </c>
      <c r="M34">
        <f>IF(AND(SUM(VLOOKUP($A34,test!$A$3:$F$32,2,FALSE),VLOOKUP(M$1,test!$A$3:$F$32,2,FALSE))&lt;test!$K$16,$A34&lt;&gt;M$1,Recharged_Feasible_mat!N3=1),(VLOOKUP(M$1,test!$A$3:$I$32,8,FALSE))-(VLOOKUP($A34,test!$A$3:$I$32,9,FALSE))+test!$B$33,0)</f>
        <v>150</v>
      </c>
      <c r="N34">
        <f>IF(AND(SUM(VLOOKUP($A34,test!$A$3:$F$32,2,FALSE),VLOOKUP(N$1,test!$A$3:$F$32,2,FALSE))&lt;test!$K$16,$A34&lt;&gt;N$1,Recharged_Feasible_mat!O3=1),(VLOOKUP(N$1,test!$A$3:$I$32,8,FALSE))-(VLOOKUP($A34,test!$A$3:$I$32,9,FALSE))+test!$B$33,0)</f>
        <v>510</v>
      </c>
      <c r="O34">
        <f>IF(AND(SUM(VLOOKUP($A34,test!$A$3:$F$32,2,FALSE),VLOOKUP(O$1,test!$A$3:$F$32,2,FALSE))&lt;test!$K$16,$A34&lt;&gt;O$1,Recharged_Feasible_mat!P3=1),(VLOOKUP(O$1,test!$A$3:$I$32,8,FALSE))-(VLOOKUP($A34,test!$A$3:$I$32,9,FALSE))+test!$B$33,0)</f>
        <v>570</v>
      </c>
      <c r="P34">
        <f>IF(AND(SUM(VLOOKUP($A34,test!$A$3:$F$32,2,FALSE),VLOOKUP(P$1,test!$A$3:$F$32,2,FALSE))&lt;test!$K$16,$A34&lt;&gt;P$1,Recharged_Feasible_mat!Q3=1),(VLOOKUP(P$1,test!$A$3:$I$32,8,FALSE))-(VLOOKUP($A34,test!$A$3:$I$32,9,FALSE))+test!$B$33,0)</f>
        <v>0</v>
      </c>
      <c r="Q34">
        <f>IF(AND(SUM(VLOOKUP($A34,test!$A$3:$F$32,2,FALSE),VLOOKUP(Q$1,test!$A$3:$F$32,2,FALSE))&lt;test!$K$16,$A34&lt;&gt;Q$1,Recharged_Feasible_mat!R3=1),(VLOOKUP(Q$1,test!$A$3:$I$32,8,FALSE))-(VLOOKUP($A34,test!$A$3:$I$32,9,FALSE))+test!$B$33,0)</f>
        <v>0</v>
      </c>
      <c r="R34">
        <f>IF(AND(SUM(VLOOKUP($A34,test!$A$3:$F$32,2,FALSE),VLOOKUP(R$1,test!$A$3:$F$32,2,FALSE))&lt;test!$K$16,$A34&lt;&gt;R$1,Recharged_Feasible_mat!S3=1),(VLOOKUP(R$1,test!$A$3:$I$32,8,FALSE))-(VLOOKUP($A34,test!$A$3:$I$32,9,FALSE))+test!$B$33,0)</f>
        <v>0</v>
      </c>
      <c r="S34">
        <f>IF(AND(SUM(VLOOKUP($A34,test!$A$3:$F$32,2,FALSE),VLOOKUP(S$1,test!$A$3:$F$32,2,FALSE))&lt;test!$K$16,$A34&lt;&gt;S$1,Recharged_Feasible_mat!T3=1),(VLOOKUP(S$1,test!$A$3:$I$32,8,FALSE))-(VLOOKUP($A34,test!$A$3:$I$32,9,FALSE))+test!$B$33,0)</f>
        <v>0</v>
      </c>
      <c r="T34">
        <f>IF(AND(SUM(VLOOKUP($A34,test!$A$3:$F$32,2,FALSE),VLOOKUP(T$1,test!$A$3:$F$32,2,FALSE))&lt;test!$K$16,$A34&lt;&gt;T$1,Recharged_Feasible_mat!U3=1),(VLOOKUP(T$1,test!$A$3:$I$32,8,FALSE))-(VLOOKUP($A34,test!$A$3:$I$32,9,FALSE))+test!$B$33,0)</f>
        <v>165</v>
      </c>
      <c r="U34">
        <f>IF(AND(SUM(VLOOKUP($A34,test!$A$3:$F$32,2,FALSE),VLOOKUP(U$1,test!$A$3:$F$32,2,FALSE))&lt;test!$K$16,$A34&lt;&gt;U$1,Recharged_Feasible_mat!V3=1),(VLOOKUP(U$1,test!$A$3:$I$32,8,FALSE))-(VLOOKUP($A34,test!$A$3:$I$32,9,FALSE))+test!$B$33,0)</f>
        <v>255</v>
      </c>
      <c r="V34">
        <f>IF(AND(SUM(VLOOKUP($A34,test!$A$3:$F$32,2,FALSE),VLOOKUP(V$1,test!$A$3:$F$32,2,FALSE))&lt;test!$K$16,$A34&lt;&gt;V$1,Recharged_Feasible_mat!W3=1),(VLOOKUP(V$1,test!$A$3:$I$32,8,FALSE))-(VLOOKUP($A34,test!$A$3:$I$32,9,FALSE))+test!$B$33,0)</f>
        <v>345</v>
      </c>
      <c r="W34">
        <f>IF(AND(SUM(VLOOKUP($A34,test!$A$3:$F$32,2,FALSE),VLOOKUP(W$1,test!$A$3:$F$32,2,FALSE))&lt;test!$K$16,$A34&lt;&gt;W$1,Recharged_Feasible_mat!X3=1),(VLOOKUP(W$1,test!$A$3:$I$32,8,FALSE))-(VLOOKUP($A34,test!$A$3:$I$32,9,FALSE))+test!$B$33,0)</f>
        <v>435</v>
      </c>
      <c r="X34">
        <f>IF(AND(SUM(VLOOKUP($A34,test!$A$3:$F$32,2,FALSE),VLOOKUP(X$1,test!$A$3:$F$32,2,FALSE))&lt;test!$K$16,$A34&lt;&gt;X$1,Recharged_Feasible_mat!Y3=1),(VLOOKUP(X$1,test!$A$3:$I$32,8,FALSE))-(VLOOKUP($A34,test!$A$3:$I$32,9,FALSE))+test!$B$33,0)</f>
        <v>495</v>
      </c>
      <c r="Y34">
        <f>IF(AND(SUM(VLOOKUP($A34,test!$A$3:$F$32,2,FALSE),VLOOKUP(Y$1,test!$A$3:$F$32,2,FALSE))&lt;test!$K$16,$A34&lt;&gt;Y$1,Recharged_Feasible_mat!Z3=1),(VLOOKUP(Y$1,test!$A$3:$I$32,8,FALSE))-(VLOOKUP($A34,test!$A$3:$I$32,9,FALSE))+test!$B$33,0)</f>
        <v>0</v>
      </c>
      <c r="Z34">
        <f>IF(AND(SUM(VLOOKUP($A34,test!$A$3:$F$32,2,FALSE),VLOOKUP(Z$1,test!$A$3:$F$32,2,FALSE))&lt;test!$K$16,$A34&lt;&gt;Z$1,Recharged_Feasible_mat!AA3=1),(VLOOKUP(Z$1,test!$A$3:$I$32,8,FALSE))-(VLOOKUP($A34,test!$A$3:$I$32,9,FALSE))+test!$B$33,0)</f>
        <v>0</v>
      </c>
      <c r="AA34">
        <f>IF(AND(SUM(VLOOKUP($A34,test!$A$3:$F$32,2,FALSE),VLOOKUP(AA$1,test!$A$3:$F$32,2,FALSE))&lt;test!$K$16,$A34&lt;&gt;AA$1,Recharged_Feasible_mat!AB3=1),(VLOOKUP(AA$1,test!$A$3:$I$32,8,FALSE))-(VLOOKUP($A34,test!$A$3:$I$32,9,FALSE))+test!$B$33,0)</f>
        <v>215</v>
      </c>
      <c r="AB34">
        <f>IF(AND(SUM(VLOOKUP($A34,test!$A$3:$F$32,2,FALSE),VLOOKUP(AB$1,test!$A$3:$F$32,2,FALSE))&lt;test!$K$16,$A34&lt;&gt;AB$1,Recharged_Feasible_mat!AC3=1),(VLOOKUP(AB$1,test!$A$3:$I$32,8,FALSE))-(VLOOKUP($A34,test!$A$3:$I$32,9,FALSE))+test!$B$33,0)</f>
        <v>275</v>
      </c>
      <c r="AC34">
        <f>IF(AND(SUM(VLOOKUP($A34,test!$A$3:$F$32,2,FALSE),VLOOKUP(AC$1,test!$A$3:$F$32,2,FALSE))&lt;test!$K$16,$A34&lt;&gt;AC$1,Recharged_Feasible_mat!AD3=1),(VLOOKUP(AC$1,test!$A$3:$I$32,8,FALSE))-(VLOOKUP($A34,test!$A$3:$I$32,9,FALSE))+test!$B$33,0)</f>
        <v>395</v>
      </c>
      <c r="AD34">
        <f>IF(AND(SUM(VLOOKUP($A34,test!$A$3:$F$32,2,FALSE),VLOOKUP(AD$1,test!$A$3:$F$32,2,FALSE))&lt;test!$K$16,$A34&lt;&gt;AD$1,Recharged_Feasible_mat!AE3=1),(VLOOKUP(AD$1,test!$A$3:$I$32,8,FALSE))-(VLOOKUP($A34,test!$A$3:$I$32,9,FALSE))+test!$B$33,0)</f>
        <v>0</v>
      </c>
      <c r="AE34">
        <f>IF(AND(SUM(VLOOKUP($A34,test!$A$3:$F$32,2,FALSE),VLOOKUP(AE$1,test!$A$3:$F$32,2,FALSE))&lt;test!$K$16,$A34&lt;&gt;AE$1,Recharged_Feasible_mat!AF3=1),(VLOOKUP(AE$1,test!$A$3:$I$32,8,FALSE))-(VLOOKUP($A34,test!$A$3:$I$32,9,FALSE))+test!$B$33,0)</f>
        <v>215</v>
      </c>
      <c r="AF34">
        <f>IF(AND(SUM(VLOOKUP($A34,test!$A$3:$F$32,2,FALSE),VLOOKUP(AF$1,test!$A$3:$F$32,2,FALSE))&lt;test!$K$16,$A34&lt;&gt;AF$1,Recharged_Feasible_mat!AG3=1),(VLOOKUP(AF$1,test!$A$3:$I$32,8,FALSE))-(VLOOKUP($A34,test!$A$3:$I$32,9,FALSE))+test!$B$33,0)</f>
        <v>0</v>
      </c>
    </row>
    <row r="35" spans="1:32" x14ac:dyDescent="0.25">
      <c r="A35" t="s">
        <v>9</v>
      </c>
      <c r="B35">
        <v>0</v>
      </c>
      <c r="C35">
        <f>IF(AND(SUM(VLOOKUP($A35,test!$A$3:$F$32,2,FALSE),VLOOKUP(C$1,test!$A$3:$F$32,2,FALSE))&lt;test!$K$16,$A35&lt;&gt;C$1,feasible_mat!C35=1),(VLOOKUP(C$1,test!$A$3:$I$32,8,FALSE))-(VLOOKUP($A35,test!$A$3:$I$32,9,FALSE))+test!$B$33,0)</f>
        <v>0</v>
      </c>
      <c r="D35">
        <f>IF(AND(SUM(VLOOKUP($A35,test!$A$3:$F$32,2,FALSE),VLOOKUP(D$1,test!$A$3:$F$32,2,FALSE))&lt;test!$K$16,$A35&lt;&gt;D$1,Recharged_Feasible_mat!E4=1),(VLOOKUP(D$1,test!$A$3:$I$32,8,FALSE))-(VLOOKUP($A35,test!$A$3:$I$32,9,FALSE))+test!$B$33,0)</f>
        <v>0</v>
      </c>
      <c r="E35">
        <f>IF(AND(SUM(VLOOKUP($A35,test!$A$3:$F$32,2,FALSE),VLOOKUP(E$1,test!$A$3:$F$32,2,FALSE))&lt;test!$K$16,$A35&lt;&gt;E$1,Recharged_Feasible_mat!F4=1),(VLOOKUP(E$1,test!$A$3:$I$32,8,FALSE))-(VLOOKUP($A35,test!$A$3:$I$32,9,FALSE))+test!$B$33,0)</f>
        <v>0</v>
      </c>
      <c r="F35">
        <f>IF(AND(SUM(VLOOKUP($A35,test!$A$3:$F$32,2,FALSE),VLOOKUP(F$1,test!$A$3:$F$32,2,FALSE))&lt;test!$K$16,$A35&lt;&gt;F$1,Recharged_Feasible_mat!G4=1),(VLOOKUP(F$1,test!$A$3:$I$32,8,FALSE))-(VLOOKUP($A35,test!$A$3:$I$32,9,FALSE))+test!$B$33,0)</f>
        <v>0</v>
      </c>
      <c r="G35">
        <f>IF(AND(SUM(VLOOKUP($A35,test!$A$3:$F$32,2,FALSE),VLOOKUP(G$1,test!$A$3:$F$32,2,FALSE))&lt;test!$K$16,$A35&lt;&gt;G$1,Recharged_Feasible_mat!H4=1),(VLOOKUP(G$1,test!$A$3:$I$32,8,FALSE))-(VLOOKUP($A35,test!$A$3:$I$32,9,FALSE))+test!$B$33,0)</f>
        <v>155</v>
      </c>
      <c r="H35">
        <f>IF(AND(SUM(VLOOKUP($A35,test!$A$3:$F$32,2,FALSE),VLOOKUP(H$1,test!$A$3:$F$32,2,FALSE))&lt;test!$K$16,$A35&lt;&gt;H$1,Recharged_Feasible_mat!I4=1),(VLOOKUP(H$1,test!$A$3:$I$32,8,FALSE))-(VLOOKUP($A35,test!$A$3:$I$32,9,FALSE))+test!$B$33,0)</f>
        <v>215</v>
      </c>
      <c r="I35">
        <f>IF(AND(SUM(VLOOKUP($A35,test!$A$3:$F$32,2,FALSE),VLOOKUP(I$1,test!$A$3:$F$32,2,FALSE))&lt;test!$K$16,$A35&lt;&gt;I$1,Recharged_Feasible_mat!J4=1),(VLOOKUP(I$1,test!$A$3:$I$32,8,FALSE))-(VLOOKUP($A35,test!$A$3:$I$32,9,FALSE))+test!$B$33,0)</f>
        <v>275</v>
      </c>
      <c r="J35">
        <f>IF(AND(SUM(VLOOKUP($A35,test!$A$3:$F$32,2,FALSE),VLOOKUP(J$1,test!$A$3:$F$32,2,FALSE))&lt;test!$K$16,$A35&lt;&gt;J$1,Recharged_Feasible_mat!K4=1),(VLOOKUP(J$1,test!$A$3:$I$32,8,FALSE))-(VLOOKUP($A35,test!$A$3:$I$32,9,FALSE))+test!$B$33,0)</f>
        <v>365</v>
      </c>
      <c r="K35">
        <f>IF(AND(SUM(VLOOKUP($A35,test!$A$3:$F$32,2,FALSE),VLOOKUP(K$1,test!$A$3:$F$32,2,FALSE))&lt;test!$K$16,$A35&lt;&gt;K$1,Recharged_Feasible_mat!L4=1),(VLOOKUP(K$1,test!$A$3:$I$32,8,FALSE))-(VLOOKUP($A35,test!$A$3:$I$32,9,FALSE))+test!$B$33,0)</f>
        <v>0</v>
      </c>
      <c r="L35">
        <f>IF(AND(SUM(VLOOKUP($A35,test!$A$3:$F$32,2,FALSE),VLOOKUP(L$1,test!$A$3:$F$32,2,FALSE))&lt;test!$K$16,$A35&lt;&gt;L$1,Recharged_Feasible_mat!M4=1),(VLOOKUP(L$1,test!$A$3:$I$32,8,FALSE))-(VLOOKUP($A35,test!$A$3:$I$32,9,FALSE))+test!$B$33,0)</f>
        <v>0</v>
      </c>
      <c r="M35">
        <f>IF(AND(SUM(VLOOKUP($A35,test!$A$3:$F$32,2,FALSE),VLOOKUP(M$1,test!$A$3:$F$32,2,FALSE))&lt;test!$K$16,$A35&lt;&gt;M$1,Recharged_Feasible_mat!N4=1),(VLOOKUP(M$1,test!$A$3:$I$32,8,FALSE))-(VLOOKUP($A35,test!$A$3:$I$32,9,FALSE))+test!$B$33,0)</f>
        <v>0</v>
      </c>
      <c r="N35">
        <f>IF(AND(SUM(VLOOKUP($A35,test!$A$3:$F$32,2,FALSE),VLOOKUP(N$1,test!$A$3:$F$32,2,FALSE))&lt;test!$K$16,$A35&lt;&gt;N$1,Recharged_Feasible_mat!O4=1),(VLOOKUP(N$1,test!$A$3:$I$32,8,FALSE))-(VLOOKUP($A35,test!$A$3:$I$32,9,FALSE))+test!$B$33,0)</f>
        <v>330</v>
      </c>
      <c r="O35">
        <f>IF(AND(SUM(VLOOKUP($A35,test!$A$3:$F$32,2,FALSE),VLOOKUP(O$1,test!$A$3:$F$32,2,FALSE))&lt;test!$K$16,$A35&lt;&gt;O$1,Recharged_Feasible_mat!P4=1),(VLOOKUP(O$1,test!$A$3:$I$32,8,FALSE))-(VLOOKUP($A35,test!$A$3:$I$32,9,FALSE))+test!$B$33,0)</f>
        <v>390</v>
      </c>
      <c r="P35">
        <f>IF(AND(SUM(VLOOKUP($A35,test!$A$3:$F$32,2,FALSE),VLOOKUP(P$1,test!$A$3:$F$32,2,FALSE))&lt;test!$K$16,$A35&lt;&gt;P$1,Recharged_Feasible_mat!Q4=1),(VLOOKUP(P$1,test!$A$3:$I$32,8,FALSE))-(VLOOKUP($A35,test!$A$3:$I$32,9,FALSE))+test!$B$33,0)</f>
        <v>0</v>
      </c>
      <c r="Q35">
        <f>IF(AND(SUM(VLOOKUP($A35,test!$A$3:$F$32,2,FALSE),VLOOKUP(Q$1,test!$A$3:$F$32,2,FALSE))&lt;test!$K$16,$A35&lt;&gt;Q$1,Recharged_Feasible_mat!R4=1),(VLOOKUP(Q$1,test!$A$3:$I$32,8,FALSE))-(VLOOKUP($A35,test!$A$3:$I$32,9,FALSE))+test!$B$33,0)</f>
        <v>0</v>
      </c>
      <c r="R35">
        <f>IF(AND(SUM(VLOOKUP($A35,test!$A$3:$F$32,2,FALSE),VLOOKUP(R$1,test!$A$3:$F$32,2,FALSE))&lt;test!$K$16,$A35&lt;&gt;R$1,Recharged_Feasible_mat!S4=1),(VLOOKUP(R$1,test!$A$3:$I$32,8,FALSE))-(VLOOKUP($A35,test!$A$3:$I$32,9,FALSE))+test!$B$33,0)</f>
        <v>0</v>
      </c>
      <c r="S35">
        <f>IF(AND(SUM(VLOOKUP($A35,test!$A$3:$F$32,2,FALSE),VLOOKUP(S$1,test!$A$3:$F$32,2,FALSE))&lt;test!$K$16,$A35&lt;&gt;S$1,Recharged_Feasible_mat!T4=1),(VLOOKUP(S$1,test!$A$3:$I$32,8,FALSE))-(VLOOKUP($A35,test!$A$3:$I$32,9,FALSE))+test!$B$33,0)</f>
        <v>0</v>
      </c>
      <c r="T35">
        <f>IF(AND(SUM(VLOOKUP($A35,test!$A$3:$F$32,2,FALSE),VLOOKUP(T$1,test!$A$3:$F$32,2,FALSE))&lt;test!$K$16,$A35&lt;&gt;T$1,Recharged_Feasible_mat!U4=1),(VLOOKUP(T$1,test!$A$3:$I$32,8,FALSE))-(VLOOKUP($A35,test!$A$3:$I$32,9,FALSE))+test!$B$33,0)</f>
        <v>0</v>
      </c>
      <c r="U35">
        <f>IF(AND(SUM(VLOOKUP($A35,test!$A$3:$F$32,2,FALSE),VLOOKUP(U$1,test!$A$3:$F$32,2,FALSE))&lt;test!$K$16,$A35&lt;&gt;U$1,Recharged_Feasible_mat!V4=1),(VLOOKUP(U$1,test!$A$3:$I$32,8,FALSE))-(VLOOKUP($A35,test!$A$3:$I$32,9,FALSE))+test!$B$33,0)</f>
        <v>0</v>
      </c>
      <c r="V35">
        <f>IF(AND(SUM(VLOOKUP($A35,test!$A$3:$F$32,2,FALSE),VLOOKUP(V$1,test!$A$3:$F$32,2,FALSE))&lt;test!$K$16,$A35&lt;&gt;V$1,Recharged_Feasible_mat!W4=1),(VLOOKUP(V$1,test!$A$3:$I$32,8,FALSE))-(VLOOKUP($A35,test!$A$3:$I$32,9,FALSE))+test!$B$33,0)</f>
        <v>165</v>
      </c>
      <c r="W35">
        <f>IF(AND(SUM(VLOOKUP($A35,test!$A$3:$F$32,2,FALSE),VLOOKUP(W$1,test!$A$3:$F$32,2,FALSE))&lt;test!$K$16,$A35&lt;&gt;W$1,Recharged_Feasible_mat!X4=1),(VLOOKUP(W$1,test!$A$3:$I$32,8,FALSE))-(VLOOKUP($A35,test!$A$3:$I$32,9,FALSE))+test!$B$33,0)</f>
        <v>255</v>
      </c>
      <c r="X35">
        <f>IF(AND(SUM(VLOOKUP($A35,test!$A$3:$F$32,2,FALSE),VLOOKUP(X$1,test!$A$3:$F$32,2,FALSE))&lt;test!$K$16,$A35&lt;&gt;X$1,Recharged_Feasible_mat!Y4=1),(VLOOKUP(X$1,test!$A$3:$I$32,8,FALSE))-(VLOOKUP($A35,test!$A$3:$I$32,9,FALSE))+test!$B$33,0)</f>
        <v>315</v>
      </c>
      <c r="Y35">
        <f>IF(AND(SUM(VLOOKUP($A35,test!$A$3:$F$32,2,FALSE),VLOOKUP(Y$1,test!$A$3:$F$32,2,FALSE))&lt;test!$K$16,$A35&lt;&gt;Y$1,Recharged_Feasible_mat!Z4=1),(VLOOKUP(Y$1,test!$A$3:$I$32,8,FALSE))-(VLOOKUP($A35,test!$A$3:$I$32,9,FALSE))+test!$B$33,0)</f>
        <v>0</v>
      </c>
      <c r="Z35">
        <f>IF(AND(SUM(VLOOKUP($A35,test!$A$3:$F$32,2,FALSE),VLOOKUP(Z$1,test!$A$3:$F$32,2,FALSE))&lt;test!$K$16,$A35&lt;&gt;Z$1,Recharged_Feasible_mat!AA4=1),(VLOOKUP(Z$1,test!$A$3:$I$32,8,FALSE))-(VLOOKUP($A35,test!$A$3:$I$32,9,FALSE))+test!$B$33,0)</f>
        <v>0</v>
      </c>
      <c r="AA35">
        <f>IF(AND(SUM(VLOOKUP($A35,test!$A$3:$F$32,2,FALSE),VLOOKUP(AA$1,test!$A$3:$F$32,2,FALSE))&lt;test!$K$16,$A35&lt;&gt;AA$1,Recharged_Feasible_mat!AB4=1),(VLOOKUP(AA$1,test!$A$3:$I$32,8,FALSE))-(VLOOKUP($A35,test!$A$3:$I$32,9,FALSE))+test!$B$33,0)</f>
        <v>0</v>
      </c>
      <c r="AB35">
        <f>IF(AND(SUM(VLOOKUP($A35,test!$A$3:$F$32,2,FALSE),VLOOKUP(AB$1,test!$A$3:$F$32,2,FALSE))&lt;test!$K$16,$A35&lt;&gt;AB$1,Recharged_Feasible_mat!AC4=1),(VLOOKUP(AB$1,test!$A$3:$I$32,8,FALSE))-(VLOOKUP($A35,test!$A$3:$I$32,9,FALSE))+test!$B$33,0)</f>
        <v>0</v>
      </c>
      <c r="AC35">
        <f>IF(AND(SUM(VLOOKUP($A35,test!$A$3:$F$32,2,FALSE),VLOOKUP(AC$1,test!$A$3:$F$32,2,FALSE))&lt;test!$K$16,$A35&lt;&gt;AC$1,Recharged_Feasible_mat!AD4=1),(VLOOKUP(AC$1,test!$A$3:$I$32,8,FALSE))-(VLOOKUP($A35,test!$A$3:$I$32,9,FALSE))+test!$B$33,0)</f>
        <v>215</v>
      </c>
      <c r="AD35">
        <f>IF(AND(SUM(VLOOKUP($A35,test!$A$3:$F$32,2,FALSE),VLOOKUP(AD$1,test!$A$3:$F$32,2,FALSE))&lt;test!$K$16,$A35&lt;&gt;AD$1,Recharged_Feasible_mat!AE4=1),(VLOOKUP(AD$1,test!$A$3:$I$32,8,FALSE))-(VLOOKUP($A35,test!$A$3:$I$32,9,FALSE))+test!$B$33,0)</f>
        <v>0</v>
      </c>
      <c r="AE35">
        <f>IF(AND(SUM(VLOOKUP($A35,test!$A$3:$F$32,2,FALSE),VLOOKUP(AE$1,test!$A$3:$F$32,2,FALSE))&lt;test!$K$16,$A35&lt;&gt;AE$1,Recharged_Feasible_mat!AF4=1),(VLOOKUP(AE$1,test!$A$3:$I$32,8,FALSE))-(VLOOKUP($A35,test!$A$3:$I$32,9,FALSE))+test!$B$33,0)</f>
        <v>0</v>
      </c>
      <c r="AF35">
        <f>IF(AND(SUM(VLOOKUP($A35,test!$A$3:$F$32,2,FALSE),VLOOKUP(AF$1,test!$A$3:$F$32,2,FALSE))&lt;test!$K$16,$A35&lt;&gt;AF$1,Recharged_Feasible_mat!AG4=1),(VLOOKUP(AF$1,test!$A$3:$I$32,8,FALSE))-(VLOOKUP($A35,test!$A$3:$I$32,9,FALSE))+test!$B$33,0)</f>
        <v>0</v>
      </c>
    </row>
    <row r="36" spans="1:32" x14ac:dyDescent="0.25">
      <c r="A36" t="s">
        <v>10</v>
      </c>
      <c r="B36">
        <v>0</v>
      </c>
      <c r="C36">
        <f>IF(AND(SUM(VLOOKUP($A36,test!$A$3:$F$32,2,FALSE),VLOOKUP(C$1,test!$A$3:$F$32,2,FALSE))&lt;test!$K$16,$A36&lt;&gt;C$1,feasible_mat!C36=1),(VLOOKUP(C$1,test!$A$3:$I$32,8,FALSE))-(VLOOKUP($A36,test!$A$3:$I$32,9,FALSE))+test!$B$33,0)</f>
        <v>0</v>
      </c>
      <c r="D36">
        <f>IF(AND(SUM(VLOOKUP($A36,test!$A$3:$F$32,2,FALSE),VLOOKUP(D$1,test!$A$3:$F$32,2,FALSE))&lt;test!$K$16,$A36&lt;&gt;D$1,Recharged_Feasible_mat!E5=1),(VLOOKUP(D$1,test!$A$3:$I$32,8,FALSE))-(VLOOKUP($A36,test!$A$3:$I$32,9,FALSE))+test!$B$33,0)</f>
        <v>0</v>
      </c>
      <c r="E36">
        <f>IF(AND(SUM(VLOOKUP($A36,test!$A$3:$F$32,2,FALSE),VLOOKUP(E$1,test!$A$3:$F$32,2,FALSE))&lt;test!$K$16,$A36&lt;&gt;E$1,Recharged_Feasible_mat!F5=1),(VLOOKUP(E$1,test!$A$3:$I$32,8,FALSE))-(VLOOKUP($A36,test!$A$3:$I$32,9,FALSE))+test!$B$33,0)</f>
        <v>0</v>
      </c>
      <c r="F36">
        <f>IF(AND(SUM(VLOOKUP($A36,test!$A$3:$F$32,2,FALSE),VLOOKUP(F$1,test!$A$3:$F$32,2,FALSE))&lt;test!$K$16,$A36&lt;&gt;F$1,Recharged_Feasible_mat!G5=1),(VLOOKUP(F$1,test!$A$3:$I$32,8,FALSE))-(VLOOKUP($A36,test!$A$3:$I$32,9,FALSE))+test!$B$33,0)</f>
        <v>0</v>
      </c>
      <c r="G36">
        <f>IF(AND(SUM(VLOOKUP($A36,test!$A$3:$F$32,2,FALSE),VLOOKUP(G$1,test!$A$3:$F$32,2,FALSE))&lt;test!$K$16,$A36&lt;&gt;G$1,Recharged_Feasible_mat!H5=1),(VLOOKUP(G$1,test!$A$3:$I$32,8,FALSE))-(VLOOKUP($A36,test!$A$3:$I$32,9,FALSE))+test!$B$33,0)</f>
        <v>0</v>
      </c>
      <c r="H36">
        <f>IF(AND(SUM(VLOOKUP($A36,test!$A$3:$F$32,2,FALSE),VLOOKUP(H$1,test!$A$3:$F$32,2,FALSE))&lt;test!$K$16,$A36&lt;&gt;H$1,Recharged_Feasible_mat!I5=1),(VLOOKUP(H$1,test!$A$3:$I$32,8,FALSE))-(VLOOKUP($A36,test!$A$3:$I$32,9,FALSE))+test!$B$33,0)</f>
        <v>0</v>
      </c>
      <c r="I36">
        <f>IF(AND(SUM(VLOOKUP($A36,test!$A$3:$F$32,2,FALSE),VLOOKUP(I$1,test!$A$3:$F$32,2,FALSE))&lt;test!$K$16,$A36&lt;&gt;I$1,Recharged_Feasible_mat!J5=1),(VLOOKUP(I$1,test!$A$3:$I$32,8,FALSE))-(VLOOKUP($A36,test!$A$3:$I$32,9,FALSE))+test!$B$33,0)</f>
        <v>185</v>
      </c>
      <c r="J36">
        <f>IF(AND(SUM(VLOOKUP($A36,test!$A$3:$F$32,2,FALSE),VLOOKUP(J$1,test!$A$3:$F$32,2,FALSE))&lt;test!$K$16,$A36&lt;&gt;J$1,Recharged_Feasible_mat!K5=1),(VLOOKUP(J$1,test!$A$3:$I$32,8,FALSE))-(VLOOKUP($A36,test!$A$3:$I$32,9,FALSE))+test!$B$33,0)</f>
        <v>275</v>
      </c>
      <c r="K36">
        <f>IF(AND(SUM(VLOOKUP($A36,test!$A$3:$F$32,2,FALSE),VLOOKUP(K$1,test!$A$3:$F$32,2,FALSE))&lt;test!$K$16,$A36&lt;&gt;K$1,Recharged_Feasible_mat!L5=1),(VLOOKUP(K$1,test!$A$3:$I$32,8,FALSE))-(VLOOKUP($A36,test!$A$3:$I$32,9,FALSE))+test!$B$33,0)</f>
        <v>0</v>
      </c>
      <c r="L36">
        <f>IF(AND(SUM(VLOOKUP($A36,test!$A$3:$F$32,2,FALSE),VLOOKUP(L$1,test!$A$3:$F$32,2,FALSE))&lt;test!$K$16,$A36&lt;&gt;L$1,Recharged_Feasible_mat!M5=1),(VLOOKUP(L$1,test!$A$3:$I$32,8,FALSE))-(VLOOKUP($A36,test!$A$3:$I$32,9,FALSE))+test!$B$33,0)</f>
        <v>0</v>
      </c>
      <c r="M36">
        <f>IF(AND(SUM(VLOOKUP($A36,test!$A$3:$F$32,2,FALSE),VLOOKUP(M$1,test!$A$3:$F$32,2,FALSE))&lt;test!$K$16,$A36&lt;&gt;M$1,Recharged_Feasible_mat!N5=1),(VLOOKUP(M$1,test!$A$3:$I$32,8,FALSE))-(VLOOKUP($A36,test!$A$3:$I$32,9,FALSE))+test!$B$33,0)</f>
        <v>0</v>
      </c>
      <c r="N36">
        <f>IF(AND(SUM(VLOOKUP($A36,test!$A$3:$F$32,2,FALSE),VLOOKUP(N$1,test!$A$3:$F$32,2,FALSE))&lt;test!$K$16,$A36&lt;&gt;N$1,Recharged_Feasible_mat!O5=1),(VLOOKUP(N$1,test!$A$3:$I$32,8,FALSE))-(VLOOKUP($A36,test!$A$3:$I$32,9,FALSE))+test!$B$33,0)</f>
        <v>240</v>
      </c>
      <c r="O36">
        <f>IF(AND(SUM(VLOOKUP($A36,test!$A$3:$F$32,2,FALSE),VLOOKUP(O$1,test!$A$3:$F$32,2,FALSE))&lt;test!$K$16,$A36&lt;&gt;O$1,Recharged_Feasible_mat!P5=1),(VLOOKUP(O$1,test!$A$3:$I$32,8,FALSE))-(VLOOKUP($A36,test!$A$3:$I$32,9,FALSE))+test!$B$33,0)</f>
        <v>300</v>
      </c>
      <c r="P36">
        <f>IF(AND(SUM(VLOOKUP($A36,test!$A$3:$F$32,2,FALSE),VLOOKUP(P$1,test!$A$3:$F$32,2,FALSE))&lt;test!$K$16,$A36&lt;&gt;P$1,Recharged_Feasible_mat!Q5=1),(VLOOKUP(P$1,test!$A$3:$I$32,8,FALSE))-(VLOOKUP($A36,test!$A$3:$I$32,9,FALSE))+test!$B$33,0)</f>
        <v>0</v>
      </c>
      <c r="Q36">
        <f>IF(AND(SUM(VLOOKUP($A36,test!$A$3:$F$32,2,FALSE),VLOOKUP(Q$1,test!$A$3:$F$32,2,FALSE))&lt;test!$K$16,$A36&lt;&gt;Q$1,Recharged_Feasible_mat!R5=1),(VLOOKUP(Q$1,test!$A$3:$I$32,8,FALSE))-(VLOOKUP($A36,test!$A$3:$I$32,9,FALSE))+test!$B$33,0)</f>
        <v>0</v>
      </c>
      <c r="R36">
        <f>IF(AND(SUM(VLOOKUP($A36,test!$A$3:$F$32,2,FALSE),VLOOKUP(R$1,test!$A$3:$F$32,2,FALSE))&lt;test!$K$16,$A36&lt;&gt;R$1,Recharged_Feasible_mat!S5=1),(VLOOKUP(R$1,test!$A$3:$I$32,8,FALSE))-(VLOOKUP($A36,test!$A$3:$I$32,9,FALSE))+test!$B$33,0)</f>
        <v>0</v>
      </c>
      <c r="S36">
        <f>IF(AND(SUM(VLOOKUP($A36,test!$A$3:$F$32,2,FALSE),VLOOKUP(S$1,test!$A$3:$F$32,2,FALSE))&lt;test!$K$16,$A36&lt;&gt;S$1,Recharged_Feasible_mat!T5=1),(VLOOKUP(S$1,test!$A$3:$I$32,8,FALSE))-(VLOOKUP($A36,test!$A$3:$I$32,9,FALSE))+test!$B$33,0)</f>
        <v>0</v>
      </c>
      <c r="T36">
        <f>IF(AND(SUM(VLOOKUP($A36,test!$A$3:$F$32,2,FALSE),VLOOKUP(T$1,test!$A$3:$F$32,2,FALSE))&lt;test!$K$16,$A36&lt;&gt;T$1,Recharged_Feasible_mat!U5=1),(VLOOKUP(T$1,test!$A$3:$I$32,8,FALSE))-(VLOOKUP($A36,test!$A$3:$I$32,9,FALSE))+test!$B$33,0)</f>
        <v>0</v>
      </c>
      <c r="U36">
        <f>IF(AND(SUM(VLOOKUP($A36,test!$A$3:$F$32,2,FALSE),VLOOKUP(U$1,test!$A$3:$F$32,2,FALSE))&lt;test!$K$16,$A36&lt;&gt;U$1,Recharged_Feasible_mat!V5=1),(VLOOKUP(U$1,test!$A$3:$I$32,8,FALSE))-(VLOOKUP($A36,test!$A$3:$I$32,9,FALSE))+test!$B$33,0)</f>
        <v>0</v>
      </c>
      <c r="V36">
        <f>IF(AND(SUM(VLOOKUP($A36,test!$A$3:$F$32,2,FALSE),VLOOKUP(V$1,test!$A$3:$F$32,2,FALSE))&lt;test!$K$16,$A36&lt;&gt;V$1,Recharged_Feasible_mat!W5=1),(VLOOKUP(V$1,test!$A$3:$I$32,8,FALSE))-(VLOOKUP($A36,test!$A$3:$I$32,9,FALSE))+test!$B$33,0)</f>
        <v>0</v>
      </c>
      <c r="W36">
        <f>IF(AND(SUM(VLOOKUP($A36,test!$A$3:$F$32,2,FALSE),VLOOKUP(W$1,test!$A$3:$F$32,2,FALSE))&lt;test!$K$16,$A36&lt;&gt;W$1,Recharged_Feasible_mat!X5=1),(VLOOKUP(W$1,test!$A$3:$I$32,8,FALSE))-(VLOOKUP($A36,test!$A$3:$I$32,9,FALSE))+test!$B$33,0)</f>
        <v>165</v>
      </c>
      <c r="X36">
        <f>IF(AND(SUM(VLOOKUP($A36,test!$A$3:$F$32,2,FALSE),VLOOKUP(X$1,test!$A$3:$F$32,2,FALSE))&lt;test!$K$16,$A36&lt;&gt;X$1,Recharged_Feasible_mat!Y5=1),(VLOOKUP(X$1,test!$A$3:$I$32,8,FALSE))-(VLOOKUP($A36,test!$A$3:$I$32,9,FALSE))+test!$B$33,0)</f>
        <v>225</v>
      </c>
      <c r="Y36">
        <f>IF(AND(SUM(VLOOKUP($A36,test!$A$3:$F$32,2,FALSE),VLOOKUP(Y$1,test!$A$3:$F$32,2,FALSE))&lt;test!$K$16,$A36&lt;&gt;Y$1,Recharged_Feasible_mat!Z5=1),(VLOOKUP(Y$1,test!$A$3:$I$32,8,FALSE))-(VLOOKUP($A36,test!$A$3:$I$32,9,FALSE))+test!$B$33,0)</f>
        <v>0</v>
      </c>
      <c r="Z36">
        <f>IF(AND(SUM(VLOOKUP($A36,test!$A$3:$F$32,2,FALSE),VLOOKUP(Z$1,test!$A$3:$F$32,2,FALSE))&lt;test!$K$16,$A36&lt;&gt;Z$1,Recharged_Feasible_mat!AA5=1),(VLOOKUP(Z$1,test!$A$3:$I$32,8,FALSE))-(VLOOKUP($A36,test!$A$3:$I$32,9,FALSE))+test!$B$33,0)</f>
        <v>0</v>
      </c>
      <c r="AA36">
        <f>IF(AND(SUM(VLOOKUP($A36,test!$A$3:$F$32,2,FALSE),VLOOKUP(AA$1,test!$A$3:$F$32,2,FALSE))&lt;test!$K$16,$A36&lt;&gt;AA$1,Recharged_Feasible_mat!AB5=1),(VLOOKUP(AA$1,test!$A$3:$I$32,8,FALSE))-(VLOOKUP($A36,test!$A$3:$I$32,9,FALSE))+test!$B$33,0)</f>
        <v>0</v>
      </c>
      <c r="AB36">
        <f>IF(AND(SUM(VLOOKUP($A36,test!$A$3:$F$32,2,FALSE),VLOOKUP(AB$1,test!$A$3:$F$32,2,FALSE))&lt;test!$K$16,$A36&lt;&gt;AB$1,Recharged_Feasible_mat!AC5=1),(VLOOKUP(AB$1,test!$A$3:$I$32,8,FALSE))-(VLOOKUP($A36,test!$A$3:$I$32,9,FALSE))+test!$B$33,0)</f>
        <v>0</v>
      </c>
      <c r="AC36">
        <f>IF(AND(SUM(VLOOKUP($A36,test!$A$3:$F$32,2,FALSE),VLOOKUP(AC$1,test!$A$3:$F$32,2,FALSE))&lt;test!$K$16,$A36&lt;&gt;AC$1,Recharged_Feasible_mat!AD5=1),(VLOOKUP(AC$1,test!$A$3:$I$32,8,FALSE))-(VLOOKUP($A36,test!$A$3:$I$32,9,FALSE))+test!$B$33,0)</f>
        <v>0</v>
      </c>
      <c r="AD36">
        <f>IF(AND(SUM(VLOOKUP($A36,test!$A$3:$F$32,2,FALSE),VLOOKUP(AD$1,test!$A$3:$F$32,2,FALSE))&lt;test!$K$16,$A36&lt;&gt;AD$1,Recharged_Feasible_mat!AE5=1),(VLOOKUP(AD$1,test!$A$3:$I$32,8,FALSE))-(VLOOKUP($A36,test!$A$3:$I$32,9,FALSE))+test!$B$33,0)</f>
        <v>0</v>
      </c>
      <c r="AE36">
        <f>IF(AND(SUM(VLOOKUP($A36,test!$A$3:$F$32,2,FALSE),VLOOKUP(AE$1,test!$A$3:$F$32,2,FALSE))&lt;test!$K$16,$A36&lt;&gt;AE$1,Recharged_Feasible_mat!AF5=1),(VLOOKUP(AE$1,test!$A$3:$I$32,8,FALSE))-(VLOOKUP($A36,test!$A$3:$I$32,9,FALSE))+test!$B$33,0)</f>
        <v>0</v>
      </c>
      <c r="AF36">
        <f>IF(AND(SUM(VLOOKUP($A36,test!$A$3:$F$32,2,FALSE),VLOOKUP(AF$1,test!$A$3:$F$32,2,FALSE))&lt;test!$K$16,$A36&lt;&gt;AF$1,Recharged_Feasible_mat!AG5=1),(VLOOKUP(AF$1,test!$A$3:$I$32,8,FALSE))-(VLOOKUP($A36,test!$A$3:$I$32,9,FALSE))+test!$B$33,0)</f>
        <v>0</v>
      </c>
    </row>
    <row r="37" spans="1:32" x14ac:dyDescent="0.25">
      <c r="A37" t="s">
        <v>11</v>
      </c>
      <c r="B37">
        <v>0</v>
      </c>
      <c r="C37">
        <f>IF(AND(SUM(VLOOKUP($A37,test!$A$3:$F$32,2,FALSE),VLOOKUP(C$1,test!$A$3:$F$32,2,FALSE))&lt;test!$K$16,$A37&lt;&gt;C$1,feasible_mat!C37=1),(VLOOKUP(C$1,test!$A$3:$I$32,8,FALSE))-(VLOOKUP($A37,test!$A$3:$I$32,9,FALSE))+test!$B$33,0)</f>
        <v>0</v>
      </c>
      <c r="D37">
        <f>IF(AND(SUM(VLOOKUP($A37,test!$A$3:$F$32,2,FALSE),VLOOKUP(D$1,test!$A$3:$F$32,2,FALSE))&lt;test!$K$16,$A37&lt;&gt;D$1,Recharged_Feasible_mat!E6=1),(VLOOKUP(D$1,test!$A$3:$I$32,8,FALSE))-(VLOOKUP($A37,test!$A$3:$I$32,9,FALSE))+test!$B$33,0)</f>
        <v>0</v>
      </c>
      <c r="E37">
        <f>IF(AND(SUM(VLOOKUP($A37,test!$A$3:$F$32,2,FALSE),VLOOKUP(E$1,test!$A$3:$F$32,2,FALSE))&lt;test!$K$16,$A37&lt;&gt;E$1,Recharged_Feasible_mat!F6=1),(VLOOKUP(E$1,test!$A$3:$I$32,8,FALSE))-(VLOOKUP($A37,test!$A$3:$I$32,9,FALSE))+test!$B$33,0)</f>
        <v>0</v>
      </c>
      <c r="F37">
        <f>IF(AND(SUM(VLOOKUP($A37,test!$A$3:$F$32,2,FALSE),VLOOKUP(F$1,test!$A$3:$F$32,2,FALSE))&lt;test!$K$16,$A37&lt;&gt;F$1,Recharged_Feasible_mat!G6=1),(VLOOKUP(F$1,test!$A$3:$I$32,8,FALSE))-(VLOOKUP($A37,test!$A$3:$I$32,9,FALSE))+test!$B$33,0)</f>
        <v>0</v>
      </c>
      <c r="G37">
        <f>IF(AND(SUM(VLOOKUP($A37,test!$A$3:$F$32,2,FALSE),VLOOKUP(G$1,test!$A$3:$F$32,2,FALSE))&lt;test!$K$16,$A37&lt;&gt;G$1,Recharged_Feasible_mat!H6=1),(VLOOKUP(G$1,test!$A$3:$I$32,8,FALSE))-(VLOOKUP($A37,test!$A$3:$I$32,9,FALSE))+test!$B$33,0)</f>
        <v>0</v>
      </c>
      <c r="H37">
        <f>IF(AND(SUM(VLOOKUP($A37,test!$A$3:$F$32,2,FALSE),VLOOKUP(H$1,test!$A$3:$F$32,2,FALSE))&lt;test!$K$16,$A37&lt;&gt;H$1,Recharged_Feasible_mat!I6=1),(VLOOKUP(H$1,test!$A$3:$I$32,8,FALSE))-(VLOOKUP($A37,test!$A$3:$I$32,9,FALSE))+test!$B$33,0)</f>
        <v>0</v>
      </c>
      <c r="I37">
        <f>IF(AND(SUM(VLOOKUP($A37,test!$A$3:$F$32,2,FALSE),VLOOKUP(I$1,test!$A$3:$F$32,2,FALSE))&lt;test!$K$16,$A37&lt;&gt;I$1,Recharged_Feasible_mat!J6=1),(VLOOKUP(I$1,test!$A$3:$I$32,8,FALSE))-(VLOOKUP($A37,test!$A$3:$I$32,9,FALSE))+test!$B$33,0)</f>
        <v>0</v>
      </c>
      <c r="J37">
        <f>IF(AND(SUM(VLOOKUP($A37,test!$A$3:$F$32,2,FALSE),VLOOKUP(J$1,test!$A$3:$F$32,2,FALSE))&lt;test!$K$16,$A37&lt;&gt;J$1,Recharged_Feasible_mat!K6=1),(VLOOKUP(J$1,test!$A$3:$I$32,8,FALSE))-(VLOOKUP($A37,test!$A$3:$I$32,9,FALSE))+test!$B$33,0)</f>
        <v>185</v>
      </c>
      <c r="K37">
        <f>IF(AND(SUM(VLOOKUP($A37,test!$A$3:$F$32,2,FALSE),VLOOKUP(K$1,test!$A$3:$F$32,2,FALSE))&lt;test!$K$16,$A37&lt;&gt;K$1,Recharged_Feasible_mat!L6=1),(VLOOKUP(K$1,test!$A$3:$I$32,8,FALSE))-(VLOOKUP($A37,test!$A$3:$I$32,9,FALSE))+test!$B$33,0)</f>
        <v>0</v>
      </c>
      <c r="L37">
        <f>IF(AND(SUM(VLOOKUP($A37,test!$A$3:$F$32,2,FALSE),VLOOKUP(L$1,test!$A$3:$F$32,2,FALSE))&lt;test!$K$16,$A37&lt;&gt;L$1,Recharged_Feasible_mat!M6=1),(VLOOKUP(L$1,test!$A$3:$I$32,8,FALSE))-(VLOOKUP($A37,test!$A$3:$I$32,9,FALSE))+test!$B$33,0)</f>
        <v>0</v>
      </c>
      <c r="M37">
        <f>IF(AND(SUM(VLOOKUP($A37,test!$A$3:$F$32,2,FALSE),VLOOKUP(M$1,test!$A$3:$F$32,2,FALSE))&lt;test!$K$16,$A37&lt;&gt;M$1,Recharged_Feasible_mat!N6=1),(VLOOKUP(M$1,test!$A$3:$I$32,8,FALSE))-(VLOOKUP($A37,test!$A$3:$I$32,9,FALSE))+test!$B$33,0)</f>
        <v>0</v>
      </c>
      <c r="N37">
        <f>IF(AND(SUM(VLOOKUP($A37,test!$A$3:$F$32,2,FALSE),VLOOKUP(N$1,test!$A$3:$F$32,2,FALSE))&lt;test!$K$16,$A37&lt;&gt;N$1,Recharged_Feasible_mat!O6=1),(VLOOKUP(N$1,test!$A$3:$I$32,8,FALSE))-(VLOOKUP($A37,test!$A$3:$I$32,9,FALSE))+test!$B$33,0)</f>
        <v>150</v>
      </c>
      <c r="O37">
        <f>IF(AND(SUM(VLOOKUP($A37,test!$A$3:$F$32,2,FALSE),VLOOKUP(O$1,test!$A$3:$F$32,2,FALSE))&lt;test!$K$16,$A37&lt;&gt;O$1,Recharged_Feasible_mat!P6=1),(VLOOKUP(O$1,test!$A$3:$I$32,8,FALSE))-(VLOOKUP($A37,test!$A$3:$I$32,9,FALSE))+test!$B$33,0)</f>
        <v>210</v>
      </c>
      <c r="P37">
        <f>IF(AND(SUM(VLOOKUP($A37,test!$A$3:$F$32,2,FALSE),VLOOKUP(P$1,test!$A$3:$F$32,2,FALSE))&lt;test!$K$16,$A37&lt;&gt;P$1,Recharged_Feasible_mat!Q6=1),(VLOOKUP(P$1,test!$A$3:$I$32,8,FALSE))-(VLOOKUP($A37,test!$A$3:$I$32,9,FALSE))+test!$B$33,0)</f>
        <v>0</v>
      </c>
      <c r="Q37">
        <f>IF(AND(SUM(VLOOKUP($A37,test!$A$3:$F$32,2,FALSE),VLOOKUP(Q$1,test!$A$3:$F$32,2,FALSE))&lt;test!$K$16,$A37&lt;&gt;Q$1,Recharged_Feasible_mat!R6=1),(VLOOKUP(Q$1,test!$A$3:$I$32,8,FALSE))-(VLOOKUP($A37,test!$A$3:$I$32,9,FALSE))+test!$B$33,0)</f>
        <v>0</v>
      </c>
      <c r="R37">
        <f>IF(AND(SUM(VLOOKUP($A37,test!$A$3:$F$32,2,FALSE),VLOOKUP(R$1,test!$A$3:$F$32,2,FALSE))&lt;test!$K$16,$A37&lt;&gt;R$1,Recharged_Feasible_mat!S6=1),(VLOOKUP(R$1,test!$A$3:$I$32,8,FALSE))-(VLOOKUP($A37,test!$A$3:$I$32,9,FALSE))+test!$B$33,0)</f>
        <v>0</v>
      </c>
      <c r="S37">
        <f>IF(AND(SUM(VLOOKUP($A37,test!$A$3:$F$32,2,FALSE),VLOOKUP(S$1,test!$A$3:$F$32,2,FALSE))&lt;test!$K$16,$A37&lt;&gt;S$1,Recharged_Feasible_mat!T6=1),(VLOOKUP(S$1,test!$A$3:$I$32,8,FALSE))-(VLOOKUP($A37,test!$A$3:$I$32,9,FALSE))+test!$B$33,0)</f>
        <v>0</v>
      </c>
      <c r="T37">
        <f>IF(AND(SUM(VLOOKUP($A37,test!$A$3:$F$32,2,FALSE),VLOOKUP(T$1,test!$A$3:$F$32,2,FALSE))&lt;test!$K$16,$A37&lt;&gt;T$1,Recharged_Feasible_mat!U6=1),(VLOOKUP(T$1,test!$A$3:$I$32,8,FALSE))-(VLOOKUP($A37,test!$A$3:$I$32,9,FALSE))+test!$B$33,0)</f>
        <v>0</v>
      </c>
      <c r="U37">
        <f>IF(AND(SUM(VLOOKUP($A37,test!$A$3:$F$32,2,FALSE),VLOOKUP(U$1,test!$A$3:$F$32,2,FALSE))&lt;test!$K$16,$A37&lt;&gt;U$1,Recharged_Feasible_mat!V6=1),(VLOOKUP(U$1,test!$A$3:$I$32,8,FALSE))-(VLOOKUP($A37,test!$A$3:$I$32,9,FALSE))+test!$B$33,0)</f>
        <v>0</v>
      </c>
      <c r="V37">
        <f>IF(AND(SUM(VLOOKUP($A37,test!$A$3:$F$32,2,FALSE),VLOOKUP(V$1,test!$A$3:$F$32,2,FALSE))&lt;test!$K$16,$A37&lt;&gt;V$1,Recharged_Feasible_mat!W6=1),(VLOOKUP(V$1,test!$A$3:$I$32,8,FALSE))-(VLOOKUP($A37,test!$A$3:$I$32,9,FALSE))+test!$B$33,0)</f>
        <v>0</v>
      </c>
      <c r="W37">
        <f>IF(AND(SUM(VLOOKUP($A37,test!$A$3:$F$32,2,FALSE),VLOOKUP(W$1,test!$A$3:$F$32,2,FALSE))&lt;test!$K$16,$A37&lt;&gt;W$1,Recharged_Feasible_mat!X6=1),(VLOOKUP(W$1,test!$A$3:$I$32,8,FALSE))-(VLOOKUP($A37,test!$A$3:$I$32,9,FALSE))+test!$B$33,0)</f>
        <v>0</v>
      </c>
      <c r="X37">
        <f>IF(AND(SUM(VLOOKUP($A37,test!$A$3:$F$32,2,FALSE),VLOOKUP(X$1,test!$A$3:$F$32,2,FALSE))&lt;test!$K$16,$A37&lt;&gt;X$1,Recharged_Feasible_mat!Y6=1),(VLOOKUP(X$1,test!$A$3:$I$32,8,FALSE))-(VLOOKUP($A37,test!$A$3:$I$32,9,FALSE))+test!$B$33,0)</f>
        <v>135</v>
      </c>
      <c r="Y37">
        <f>IF(AND(SUM(VLOOKUP($A37,test!$A$3:$F$32,2,FALSE),VLOOKUP(Y$1,test!$A$3:$F$32,2,FALSE))&lt;test!$K$16,$A37&lt;&gt;Y$1,Recharged_Feasible_mat!Z6=1),(VLOOKUP(Y$1,test!$A$3:$I$32,8,FALSE))-(VLOOKUP($A37,test!$A$3:$I$32,9,FALSE))+test!$B$33,0)</f>
        <v>0</v>
      </c>
      <c r="Z37">
        <f>IF(AND(SUM(VLOOKUP($A37,test!$A$3:$F$32,2,FALSE),VLOOKUP(Z$1,test!$A$3:$F$32,2,FALSE))&lt;test!$K$16,$A37&lt;&gt;Z$1,Recharged_Feasible_mat!AA6=1),(VLOOKUP(Z$1,test!$A$3:$I$32,8,FALSE))-(VLOOKUP($A37,test!$A$3:$I$32,9,FALSE))+test!$B$33,0)</f>
        <v>0</v>
      </c>
      <c r="AA37">
        <f>IF(AND(SUM(VLOOKUP($A37,test!$A$3:$F$32,2,FALSE),VLOOKUP(AA$1,test!$A$3:$F$32,2,FALSE))&lt;test!$K$16,$A37&lt;&gt;AA$1,Recharged_Feasible_mat!AB6=1),(VLOOKUP(AA$1,test!$A$3:$I$32,8,FALSE))-(VLOOKUP($A37,test!$A$3:$I$32,9,FALSE))+test!$B$33,0)</f>
        <v>0</v>
      </c>
      <c r="AB37">
        <f>IF(AND(SUM(VLOOKUP($A37,test!$A$3:$F$32,2,FALSE),VLOOKUP(AB$1,test!$A$3:$F$32,2,FALSE))&lt;test!$K$16,$A37&lt;&gt;AB$1,Recharged_Feasible_mat!AC6=1),(VLOOKUP(AB$1,test!$A$3:$I$32,8,FALSE))-(VLOOKUP($A37,test!$A$3:$I$32,9,FALSE))+test!$B$33,0)</f>
        <v>0</v>
      </c>
      <c r="AC37">
        <f>IF(AND(SUM(VLOOKUP($A37,test!$A$3:$F$32,2,FALSE),VLOOKUP(AC$1,test!$A$3:$F$32,2,FALSE))&lt;test!$K$16,$A37&lt;&gt;AC$1,Recharged_Feasible_mat!AD6=1),(VLOOKUP(AC$1,test!$A$3:$I$32,8,FALSE))-(VLOOKUP($A37,test!$A$3:$I$32,9,FALSE))+test!$B$33,0)</f>
        <v>0</v>
      </c>
      <c r="AD37">
        <f>IF(AND(SUM(VLOOKUP($A37,test!$A$3:$F$32,2,FALSE),VLOOKUP(AD$1,test!$A$3:$F$32,2,FALSE))&lt;test!$K$16,$A37&lt;&gt;AD$1,Recharged_Feasible_mat!AE6=1),(VLOOKUP(AD$1,test!$A$3:$I$32,8,FALSE))-(VLOOKUP($A37,test!$A$3:$I$32,9,FALSE))+test!$B$33,0)</f>
        <v>0</v>
      </c>
      <c r="AE37">
        <f>IF(AND(SUM(VLOOKUP($A37,test!$A$3:$F$32,2,FALSE),VLOOKUP(AE$1,test!$A$3:$F$32,2,FALSE))&lt;test!$K$16,$A37&lt;&gt;AE$1,Recharged_Feasible_mat!AF6=1),(VLOOKUP(AE$1,test!$A$3:$I$32,8,FALSE))-(VLOOKUP($A37,test!$A$3:$I$32,9,FALSE))+test!$B$33,0)</f>
        <v>0</v>
      </c>
      <c r="AF37">
        <f>IF(AND(SUM(VLOOKUP($A37,test!$A$3:$F$32,2,FALSE),VLOOKUP(AF$1,test!$A$3:$F$32,2,FALSE))&lt;test!$K$16,$A37&lt;&gt;AF$1,Recharged_Feasible_mat!AG6=1),(VLOOKUP(AF$1,test!$A$3:$I$32,8,FALSE))-(VLOOKUP($A37,test!$A$3:$I$32,9,FALSE))+test!$B$33,0)</f>
        <v>0</v>
      </c>
    </row>
    <row r="38" spans="1:32" x14ac:dyDescent="0.25">
      <c r="A38" t="s">
        <v>12</v>
      </c>
      <c r="B38">
        <v>0</v>
      </c>
      <c r="C38">
        <f>IF(AND(SUM(VLOOKUP($A38,test!$A$3:$F$32,2,FALSE),VLOOKUP(C$1,test!$A$3:$F$32,2,FALSE))&lt;test!$K$16,$A38&lt;&gt;C$1,feasible_mat!C38=1),(VLOOKUP(C$1,test!$A$3:$I$32,8,FALSE))-(VLOOKUP($A38,test!$A$3:$I$32,9,FALSE))+test!$B$33,0)</f>
        <v>0</v>
      </c>
      <c r="D38">
        <f>IF(AND(SUM(VLOOKUP($A38,test!$A$3:$F$32,2,FALSE),VLOOKUP(D$1,test!$A$3:$F$32,2,FALSE))&lt;test!$K$16,$A38&lt;&gt;D$1,Recharged_Feasible_mat!E7=1),(VLOOKUP(D$1,test!$A$3:$I$32,8,FALSE))-(VLOOKUP($A38,test!$A$3:$I$32,9,FALSE))+test!$B$33,0)</f>
        <v>0</v>
      </c>
      <c r="E38">
        <f>IF(AND(SUM(VLOOKUP($A38,test!$A$3:$F$32,2,FALSE),VLOOKUP(E$1,test!$A$3:$F$32,2,FALSE))&lt;test!$K$16,$A38&lt;&gt;E$1,Recharged_Feasible_mat!F7=1),(VLOOKUP(E$1,test!$A$3:$I$32,8,FALSE))-(VLOOKUP($A38,test!$A$3:$I$32,9,FALSE))+test!$B$33,0)</f>
        <v>0</v>
      </c>
      <c r="F38">
        <f>IF(AND(SUM(VLOOKUP($A38,test!$A$3:$F$32,2,FALSE),VLOOKUP(F$1,test!$A$3:$F$32,2,FALSE))&lt;test!$K$16,$A38&lt;&gt;F$1,Recharged_Feasible_mat!G7=1),(VLOOKUP(F$1,test!$A$3:$I$32,8,FALSE))-(VLOOKUP($A38,test!$A$3:$I$32,9,FALSE))+test!$B$33,0)</f>
        <v>0</v>
      </c>
      <c r="G38">
        <f>IF(AND(SUM(VLOOKUP($A38,test!$A$3:$F$32,2,FALSE),VLOOKUP(G$1,test!$A$3:$F$32,2,FALSE))&lt;test!$K$16,$A38&lt;&gt;G$1,Recharged_Feasible_mat!H7=1),(VLOOKUP(G$1,test!$A$3:$I$32,8,FALSE))-(VLOOKUP($A38,test!$A$3:$I$32,9,FALSE))+test!$B$33,0)</f>
        <v>0</v>
      </c>
      <c r="H38">
        <f>IF(AND(SUM(VLOOKUP($A38,test!$A$3:$F$32,2,FALSE),VLOOKUP(H$1,test!$A$3:$F$32,2,FALSE))&lt;test!$K$16,$A38&lt;&gt;H$1,Recharged_Feasible_mat!I7=1),(VLOOKUP(H$1,test!$A$3:$I$32,8,FALSE))-(VLOOKUP($A38,test!$A$3:$I$32,9,FALSE))+test!$B$33,0)</f>
        <v>0</v>
      </c>
      <c r="I38">
        <f>IF(AND(SUM(VLOOKUP($A38,test!$A$3:$F$32,2,FALSE),VLOOKUP(I$1,test!$A$3:$F$32,2,FALSE))&lt;test!$K$16,$A38&lt;&gt;I$1,Recharged_Feasible_mat!J7=1),(VLOOKUP(I$1,test!$A$3:$I$32,8,FALSE))-(VLOOKUP($A38,test!$A$3:$I$32,9,FALSE))+test!$B$33,0)</f>
        <v>0</v>
      </c>
      <c r="J38">
        <f>IF(AND(SUM(VLOOKUP($A38,test!$A$3:$F$32,2,FALSE),VLOOKUP(J$1,test!$A$3:$F$32,2,FALSE))&lt;test!$K$16,$A38&lt;&gt;J$1,Recharged_Feasible_mat!K7=1),(VLOOKUP(J$1,test!$A$3:$I$32,8,FALSE))-(VLOOKUP($A38,test!$A$3:$I$32,9,FALSE))+test!$B$33,0)</f>
        <v>0</v>
      </c>
      <c r="K38">
        <f>IF(AND(SUM(VLOOKUP($A38,test!$A$3:$F$32,2,FALSE),VLOOKUP(K$1,test!$A$3:$F$32,2,FALSE))&lt;test!$K$16,$A38&lt;&gt;K$1,Recharged_Feasible_mat!L7=1),(VLOOKUP(K$1,test!$A$3:$I$32,8,FALSE))-(VLOOKUP($A38,test!$A$3:$I$32,9,FALSE))+test!$B$33,0)</f>
        <v>0</v>
      </c>
      <c r="L38">
        <f>IF(AND(SUM(VLOOKUP($A38,test!$A$3:$F$32,2,FALSE),VLOOKUP(L$1,test!$A$3:$F$32,2,FALSE))&lt;test!$K$16,$A38&lt;&gt;L$1,Recharged_Feasible_mat!M7=1),(VLOOKUP(L$1,test!$A$3:$I$32,8,FALSE))-(VLOOKUP($A38,test!$A$3:$I$32,9,FALSE))+test!$B$33,0)</f>
        <v>0</v>
      </c>
      <c r="M38">
        <f>IF(AND(SUM(VLOOKUP($A38,test!$A$3:$F$32,2,FALSE),VLOOKUP(M$1,test!$A$3:$F$32,2,FALSE))&lt;test!$K$16,$A38&lt;&gt;M$1,Recharged_Feasible_mat!N7=1),(VLOOKUP(M$1,test!$A$3:$I$32,8,FALSE))-(VLOOKUP($A38,test!$A$3:$I$32,9,FALSE))+test!$B$33,0)</f>
        <v>0</v>
      </c>
      <c r="N38">
        <f>IF(AND(SUM(VLOOKUP($A38,test!$A$3:$F$32,2,FALSE),VLOOKUP(N$1,test!$A$3:$F$32,2,FALSE))&lt;test!$K$16,$A38&lt;&gt;N$1,Recharged_Feasible_mat!O7=1),(VLOOKUP(N$1,test!$A$3:$I$32,8,FALSE))-(VLOOKUP($A38,test!$A$3:$I$32,9,FALSE))+test!$B$33,0)</f>
        <v>0</v>
      </c>
      <c r="O38">
        <f>IF(AND(SUM(VLOOKUP($A38,test!$A$3:$F$32,2,FALSE),VLOOKUP(O$1,test!$A$3:$F$32,2,FALSE))&lt;test!$K$16,$A38&lt;&gt;O$1,Recharged_Feasible_mat!P7=1),(VLOOKUP(O$1,test!$A$3:$I$32,8,FALSE))-(VLOOKUP($A38,test!$A$3:$I$32,9,FALSE))+test!$B$33,0)</f>
        <v>150</v>
      </c>
      <c r="P38">
        <f>IF(AND(SUM(VLOOKUP($A38,test!$A$3:$F$32,2,FALSE),VLOOKUP(P$1,test!$A$3:$F$32,2,FALSE))&lt;test!$K$16,$A38&lt;&gt;P$1,Recharged_Feasible_mat!Q7=1),(VLOOKUP(P$1,test!$A$3:$I$32,8,FALSE))-(VLOOKUP($A38,test!$A$3:$I$32,9,FALSE))+test!$B$33,0)</f>
        <v>0</v>
      </c>
      <c r="Q38">
        <f>IF(AND(SUM(VLOOKUP($A38,test!$A$3:$F$32,2,FALSE),VLOOKUP(Q$1,test!$A$3:$F$32,2,FALSE))&lt;test!$K$16,$A38&lt;&gt;Q$1,Recharged_Feasible_mat!R7=1),(VLOOKUP(Q$1,test!$A$3:$I$32,8,FALSE))-(VLOOKUP($A38,test!$A$3:$I$32,9,FALSE))+test!$B$33,0)</f>
        <v>0</v>
      </c>
      <c r="R38">
        <f>IF(AND(SUM(VLOOKUP($A38,test!$A$3:$F$32,2,FALSE),VLOOKUP(R$1,test!$A$3:$F$32,2,FALSE))&lt;test!$K$16,$A38&lt;&gt;R$1,Recharged_Feasible_mat!S7=1),(VLOOKUP(R$1,test!$A$3:$I$32,8,FALSE))-(VLOOKUP($A38,test!$A$3:$I$32,9,FALSE))+test!$B$33,0)</f>
        <v>0</v>
      </c>
      <c r="S38">
        <f>IF(AND(SUM(VLOOKUP($A38,test!$A$3:$F$32,2,FALSE),VLOOKUP(S$1,test!$A$3:$F$32,2,FALSE))&lt;test!$K$16,$A38&lt;&gt;S$1,Recharged_Feasible_mat!T7=1),(VLOOKUP(S$1,test!$A$3:$I$32,8,FALSE))-(VLOOKUP($A38,test!$A$3:$I$32,9,FALSE))+test!$B$33,0)</f>
        <v>0</v>
      </c>
      <c r="T38">
        <f>IF(AND(SUM(VLOOKUP($A38,test!$A$3:$F$32,2,FALSE),VLOOKUP(T$1,test!$A$3:$F$32,2,FALSE))&lt;test!$K$16,$A38&lt;&gt;T$1,Recharged_Feasible_mat!U7=1),(VLOOKUP(T$1,test!$A$3:$I$32,8,FALSE))-(VLOOKUP($A38,test!$A$3:$I$32,9,FALSE))+test!$B$33,0)</f>
        <v>0</v>
      </c>
      <c r="U38">
        <f>IF(AND(SUM(VLOOKUP($A38,test!$A$3:$F$32,2,FALSE),VLOOKUP(U$1,test!$A$3:$F$32,2,FALSE))&lt;test!$K$16,$A38&lt;&gt;U$1,Recharged_Feasible_mat!V7=1),(VLOOKUP(U$1,test!$A$3:$I$32,8,FALSE))-(VLOOKUP($A38,test!$A$3:$I$32,9,FALSE))+test!$B$33,0)</f>
        <v>0</v>
      </c>
      <c r="V38">
        <f>IF(AND(SUM(VLOOKUP($A38,test!$A$3:$F$32,2,FALSE),VLOOKUP(V$1,test!$A$3:$F$32,2,FALSE))&lt;test!$K$16,$A38&lt;&gt;V$1,Recharged_Feasible_mat!W7=1),(VLOOKUP(V$1,test!$A$3:$I$32,8,FALSE))-(VLOOKUP($A38,test!$A$3:$I$32,9,FALSE))+test!$B$33,0)</f>
        <v>0</v>
      </c>
      <c r="W38">
        <f>IF(AND(SUM(VLOOKUP($A38,test!$A$3:$F$32,2,FALSE),VLOOKUP(W$1,test!$A$3:$F$32,2,FALSE))&lt;test!$K$16,$A38&lt;&gt;W$1,Recharged_Feasible_mat!X7=1),(VLOOKUP(W$1,test!$A$3:$I$32,8,FALSE))-(VLOOKUP($A38,test!$A$3:$I$32,9,FALSE))+test!$B$33,0)</f>
        <v>0</v>
      </c>
      <c r="X38">
        <f>IF(AND(SUM(VLOOKUP($A38,test!$A$3:$F$32,2,FALSE),VLOOKUP(X$1,test!$A$3:$F$32,2,FALSE))&lt;test!$K$16,$A38&lt;&gt;X$1,Recharged_Feasible_mat!Y7=1),(VLOOKUP(X$1,test!$A$3:$I$32,8,FALSE))-(VLOOKUP($A38,test!$A$3:$I$32,9,FALSE))+test!$B$33,0)</f>
        <v>0</v>
      </c>
      <c r="Y38">
        <f>IF(AND(SUM(VLOOKUP($A38,test!$A$3:$F$32,2,FALSE),VLOOKUP(Y$1,test!$A$3:$F$32,2,FALSE))&lt;test!$K$16,$A38&lt;&gt;Y$1,Recharged_Feasible_mat!Z7=1),(VLOOKUP(Y$1,test!$A$3:$I$32,8,FALSE))-(VLOOKUP($A38,test!$A$3:$I$32,9,FALSE))+test!$B$33,0)</f>
        <v>0</v>
      </c>
      <c r="Z38">
        <f>IF(AND(SUM(VLOOKUP($A38,test!$A$3:$F$32,2,FALSE),VLOOKUP(Z$1,test!$A$3:$F$32,2,FALSE))&lt;test!$K$16,$A38&lt;&gt;Z$1,Recharged_Feasible_mat!AA7=1),(VLOOKUP(Z$1,test!$A$3:$I$32,8,FALSE))-(VLOOKUP($A38,test!$A$3:$I$32,9,FALSE))+test!$B$33,0)</f>
        <v>0</v>
      </c>
      <c r="AA38">
        <f>IF(AND(SUM(VLOOKUP($A38,test!$A$3:$F$32,2,FALSE),VLOOKUP(AA$1,test!$A$3:$F$32,2,FALSE))&lt;test!$K$16,$A38&lt;&gt;AA$1,Recharged_Feasible_mat!AB7=1),(VLOOKUP(AA$1,test!$A$3:$I$32,8,FALSE))-(VLOOKUP($A38,test!$A$3:$I$32,9,FALSE))+test!$B$33,0)</f>
        <v>0</v>
      </c>
      <c r="AB38">
        <f>IF(AND(SUM(VLOOKUP($A38,test!$A$3:$F$32,2,FALSE),VLOOKUP(AB$1,test!$A$3:$F$32,2,FALSE))&lt;test!$K$16,$A38&lt;&gt;AB$1,Recharged_Feasible_mat!AC7=1),(VLOOKUP(AB$1,test!$A$3:$I$32,8,FALSE))-(VLOOKUP($A38,test!$A$3:$I$32,9,FALSE))+test!$B$33,0)</f>
        <v>0</v>
      </c>
      <c r="AC38">
        <f>IF(AND(SUM(VLOOKUP($A38,test!$A$3:$F$32,2,FALSE),VLOOKUP(AC$1,test!$A$3:$F$32,2,FALSE))&lt;test!$K$16,$A38&lt;&gt;AC$1,Recharged_Feasible_mat!AD7=1),(VLOOKUP(AC$1,test!$A$3:$I$32,8,FALSE))-(VLOOKUP($A38,test!$A$3:$I$32,9,FALSE))+test!$B$33,0)</f>
        <v>0</v>
      </c>
      <c r="AD38">
        <f>IF(AND(SUM(VLOOKUP($A38,test!$A$3:$F$32,2,FALSE),VLOOKUP(AD$1,test!$A$3:$F$32,2,FALSE))&lt;test!$K$16,$A38&lt;&gt;AD$1,Recharged_Feasible_mat!AE7=1),(VLOOKUP(AD$1,test!$A$3:$I$32,8,FALSE))-(VLOOKUP($A38,test!$A$3:$I$32,9,FALSE))+test!$B$33,0)</f>
        <v>0</v>
      </c>
      <c r="AE38">
        <f>IF(AND(SUM(VLOOKUP($A38,test!$A$3:$F$32,2,FALSE),VLOOKUP(AE$1,test!$A$3:$F$32,2,FALSE))&lt;test!$K$16,$A38&lt;&gt;AE$1,Recharged_Feasible_mat!AF7=1),(VLOOKUP(AE$1,test!$A$3:$I$32,8,FALSE))-(VLOOKUP($A38,test!$A$3:$I$32,9,FALSE))+test!$B$33,0)</f>
        <v>0</v>
      </c>
      <c r="AF38">
        <f>IF(AND(SUM(VLOOKUP($A38,test!$A$3:$F$32,2,FALSE),VLOOKUP(AF$1,test!$A$3:$F$32,2,FALSE))&lt;test!$K$16,$A38&lt;&gt;AF$1,Recharged_Feasible_mat!AG7=1),(VLOOKUP(AF$1,test!$A$3:$I$32,8,FALSE))-(VLOOKUP($A38,test!$A$3:$I$32,9,FALSE))+test!$B$33,0)</f>
        <v>0</v>
      </c>
    </row>
    <row r="39" spans="1:32" x14ac:dyDescent="0.25">
      <c r="A39" t="s">
        <v>13</v>
      </c>
      <c r="B39">
        <v>0</v>
      </c>
      <c r="C39">
        <f>IF(AND(SUM(VLOOKUP($A39,test!$A$3:$F$32,2,FALSE),VLOOKUP(C$1,test!$A$3:$F$32,2,FALSE))&lt;test!$K$16,$A39&lt;&gt;C$1,feasible_mat!C39=1),(VLOOKUP(C$1,test!$A$3:$I$32,8,FALSE))-(VLOOKUP($A39,test!$A$3:$I$32,9,FALSE))+test!$B$33,0)</f>
        <v>0</v>
      </c>
      <c r="D39">
        <f>IF(AND(SUM(VLOOKUP($A39,test!$A$3:$F$32,2,FALSE),VLOOKUP(D$1,test!$A$3:$F$32,2,FALSE))&lt;test!$K$16,$A39&lt;&gt;D$1,Recharged_Feasible_mat!E8=1),(VLOOKUP(D$1,test!$A$3:$I$32,8,FALSE))-(VLOOKUP($A39,test!$A$3:$I$32,9,FALSE))+test!$B$33,0)</f>
        <v>0</v>
      </c>
      <c r="E39">
        <f>IF(AND(SUM(VLOOKUP($A39,test!$A$3:$F$32,2,FALSE),VLOOKUP(E$1,test!$A$3:$F$32,2,FALSE))&lt;test!$K$16,$A39&lt;&gt;E$1,Recharged_Feasible_mat!F8=1),(VLOOKUP(E$1,test!$A$3:$I$32,8,FALSE))-(VLOOKUP($A39,test!$A$3:$I$32,9,FALSE))+test!$B$33,0)</f>
        <v>0</v>
      </c>
      <c r="F39">
        <f>IF(AND(SUM(VLOOKUP($A39,test!$A$3:$F$32,2,FALSE),VLOOKUP(F$1,test!$A$3:$F$32,2,FALSE))&lt;test!$K$16,$A39&lt;&gt;F$1,Recharged_Feasible_mat!G8=1),(VLOOKUP(F$1,test!$A$3:$I$32,8,FALSE))-(VLOOKUP($A39,test!$A$3:$I$32,9,FALSE))+test!$B$33,0)</f>
        <v>0</v>
      </c>
      <c r="G39">
        <f>IF(AND(SUM(VLOOKUP($A39,test!$A$3:$F$32,2,FALSE),VLOOKUP(G$1,test!$A$3:$F$32,2,FALSE))&lt;test!$K$16,$A39&lt;&gt;G$1,Recharged_Feasible_mat!H8=1),(VLOOKUP(G$1,test!$A$3:$I$32,8,FALSE))-(VLOOKUP($A39,test!$A$3:$I$32,9,FALSE))+test!$B$33,0)</f>
        <v>0</v>
      </c>
      <c r="H39">
        <f>IF(AND(SUM(VLOOKUP($A39,test!$A$3:$F$32,2,FALSE),VLOOKUP(H$1,test!$A$3:$F$32,2,FALSE))&lt;test!$K$16,$A39&lt;&gt;H$1,Recharged_Feasible_mat!I8=1),(VLOOKUP(H$1,test!$A$3:$I$32,8,FALSE))-(VLOOKUP($A39,test!$A$3:$I$32,9,FALSE))+test!$B$33,0)</f>
        <v>0</v>
      </c>
      <c r="I39">
        <f>IF(AND(SUM(VLOOKUP($A39,test!$A$3:$F$32,2,FALSE),VLOOKUP(I$1,test!$A$3:$F$32,2,FALSE))&lt;test!$K$16,$A39&lt;&gt;I$1,Recharged_Feasible_mat!J8=1),(VLOOKUP(I$1,test!$A$3:$I$32,8,FALSE))-(VLOOKUP($A39,test!$A$3:$I$32,9,FALSE))+test!$B$33,0)</f>
        <v>0</v>
      </c>
      <c r="J39">
        <f>IF(AND(SUM(VLOOKUP($A39,test!$A$3:$F$32,2,FALSE),VLOOKUP(J$1,test!$A$3:$F$32,2,FALSE))&lt;test!$K$16,$A39&lt;&gt;J$1,Recharged_Feasible_mat!K8=1),(VLOOKUP(J$1,test!$A$3:$I$32,8,FALSE))-(VLOOKUP($A39,test!$A$3:$I$32,9,FALSE))+test!$B$33,0)</f>
        <v>0</v>
      </c>
      <c r="K39">
        <f>IF(AND(SUM(VLOOKUP($A39,test!$A$3:$F$32,2,FALSE),VLOOKUP(K$1,test!$A$3:$F$32,2,FALSE))&lt;test!$K$16,$A39&lt;&gt;K$1,Recharged_Feasible_mat!L8=1),(VLOOKUP(K$1,test!$A$3:$I$32,8,FALSE))-(VLOOKUP($A39,test!$A$3:$I$32,9,FALSE))+test!$B$33,0)</f>
        <v>0</v>
      </c>
      <c r="L39">
        <f>IF(AND(SUM(VLOOKUP($A39,test!$A$3:$F$32,2,FALSE),VLOOKUP(L$1,test!$A$3:$F$32,2,FALSE))&lt;test!$K$16,$A39&lt;&gt;L$1,Recharged_Feasible_mat!M8=1),(VLOOKUP(L$1,test!$A$3:$I$32,8,FALSE))-(VLOOKUP($A39,test!$A$3:$I$32,9,FALSE))+test!$B$33,0)</f>
        <v>0</v>
      </c>
      <c r="M39">
        <f>IF(AND(SUM(VLOOKUP($A39,test!$A$3:$F$32,2,FALSE),VLOOKUP(M$1,test!$A$3:$F$32,2,FALSE))&lt;test!$K$16,$A39&lt;&gt;M$1,Recharged_Feasible_mat!N8=1),(VLOOKUP(M$1,test!$A$3:$I$32,8,FALSE))-(VLOOKUP($A39,test!$A$3:$I$32,9,FALSE))+test!$B$33,0)</f>
        <v>0</v>
      </c>
      <c r="N39">
        <f>IF(AND(SUM(VLOOKUP($A39,test!$A$3:$F$32,2,FALSE),VLOOKUP(N$1,test!$A$3:$F$32,2,FALSE))&lt;test!$K$16,$A39&lt;&gt;N$1,Recharged_Feasible_mat!O8=1),(VLOOKUP(N$1,test!$A$3:$I$32,8,FALSE))-(VLOOKUP($A39,test!$A$3:$I$32,9,FALSE))+test!$B$33,0)</f>
        <v>0</v>
      </c>
      <c r="O39">
        <f>IF(AND(SUM(VLOOKUP($A39,test!$A$3:$F$32,2,FALSE),VLOOKUP(O$1,test!$A$3:$F$32,2,FALSE))&lt;test!$K$16,$A39&lt;&gt;O$1,Recharged_Feasible_mat!P8=1),(VLOOKUP(O$1,test!$A$3:$I$32,8,FALSE))-(VLOOKUP($A39,test!$A$3:$I$32,9,FALSE))+test!$B$33,0)</f>
        <v>0</v>
      </c>
      <c r="P39">
        <f>IF(AND(SUM(VLOOKUP($A39,test!$A$3:$F$32,2,FALSE),VLOOKUP(P$1,test!$A$3:$F$32,2,FALSE))&lt;test!$K$16,$A39&lt;&gt;P$1,Recharged_Feasible_mat!Q8=1),(VLOOKUP(P$1,test!$A$3:$I$32,8,FALSE))-(VLOOKUP($A39,test!$A$3:$I$32,9,FALSE))+test!$B$33,0)</f>
        <v>0</v>
      </c>
      <c r="Q39">
        <f>IF(AND(SUM(VLOOKUP($A39,test!$A$3:$F$32,2,FALSE),VLOOKUP(Q$1,test!$A$3:$F$32,2,FALSE))&lt;test!$K$16,$A39&lt;&gt;Q$1,Recharged_Feasible_mat!R8=1),(VLOOKUP(Q$1,test!$A$3:$I$32,8,FALSE))-(VLOOKUP($A39,test!$A$3:$I$32,9,FALSE))+test!$B$33,0)</f>
        <v>0</v>
      </c>
      <c r="R39">
        <f>IF(AND(SUM(VLOOKUP($A39,test!$A$3:$F$32,2,FALSE),VLOOKUP(R$1,test!$A$3:$F$32,2,FALSE))&lt;test!$K$16,$A39&lt;&gt;R$1,Recharged_Feasible_mat!S8=1),(VLOOKUP(R$1,test!$A$3:$I$32,8,FALSE))-(VLOOKUP($A39,test!$A$3:$I$32,9,FALSE))+test!$B$33,0)</f>
        <v>0</v>
      </c>
      <c r="S39">
        <f>IF(AND(SUM(VLOOKUP($A39,test!$A$3:$F$32,2,FALSE),VLOOKUP(S$1,test!$A$3:$F$32,2,FALSE))&lt;test!$K$16,$A39&lt;&gt;S$1,Recharged_Feasible_mat!T8=1),(VLOOKUP(S$1,test!$A$3:$I$32,8,FALSE))-(VLOOKUP($A39,test!$A$3:$I$32,9,FALSE))+test!$B$33,0)</f>
        <v>0</v>
      </c>
      <c r="T39">
        <f>IF(AND(SUM(VLOOKUP($A39,test!$A$3:$F$32,2,FALSE),VLOOKUP(T$1,test!$A$3:$F$32,2,FALSE))&lt;test!$K$16,$A39&lt;&gt;T$1,Recharged_Feasible_mat!U8=1),(VLOOKUP(T$1,test!$A$3:$I$32,8,FALSE))-(VLOOKUP($A39,test!$A$3:$I$32,9,FALSE))+test!$B$33,0)</f>
        <v>0</v>
      </c>
      <c r="U39">
        <f>IF(AND(SUM(VLOOKUP($A39,test!$A$3:$F$32,2,FALSE),VLOOKUP(U$1,test!$A$3:$F$32,2,FALSE))&lt;test!$K$16,$A39&lt;&gt;U$1,Recharged_Feasible_mat!V8=1),(VLOOKUP(U$1,test!$A$3:$I$32,8,FALSE))-(VLOOKUP($A39,test!$A$3:$I$32,9,FALSE))+test!$B$33,0)</f>
        <v>0</v>
      </c>
      <c r="V39">
        <f>IF(AND(SUM(VLOOKUP($A39,test!$A$3:$F$32,2,FALSE),VLOOKUP(V$1,test!$A$3:$F$32,2,FALSE))&lt;test!$K$16,$A39&lt;&gt;V$1,Recharged_Feasible_mat!W8=1),(VLOOKUP(V$1,test!$A$3:$I$32,8,FALSE))-(VLOOKUP($A39,test!$A$3:$I$32,9,FALSE))+test!$B$33,0)</f>
        <v>0</v>
      </c>
      <c r="W39">
        <f>IF(AND(SUM(VLOOKUP($A39,test!$A$3:$F$32,2,FALSE),VLOOKUP(W$1,test!$A$3:$F$32,2,FALSE))&lt;test!$K$16,$A39&lt;&gt;W$1,Recharged_Feasible_mat!X8=1),(VLOOKUP(W$1,test!$A$3:$I$32,8,FALSE))-(VLOOKUP($A39,test!$A$3:$I$32,9,FALSE))+test!$B$33,0)</f>
        <v>0</v>
      </c>
      <c r="X39">
        <f>IF(AND(SUM(VLOOKUP($A39,test!$A$3:$F$32,2,FALSE),VLOOKUP(X$1,test!$A$3:$F$32,2,FALSE))&lt;test!$K$16,$A39&lt;&gt;X$1,Recharged_Feasible_mat!Y8=1),(VLOOKUP(X$1,test!$A$3:$I$32,8,FALSE))-(VLOOKUP($A39,test!$A$3:$I$32,9,FALSE))+test!$B$33,0)</f>
        <v>0</v>
      </c>
      <c r="Y39">
        <f>IF(AND(SUM(VLOOKUP($A39,test!$A$3:$F$32,2,FALSE),VLOOKUP(Y$1,test!$A$3:$F$32,2,FALSE))&lt;test!$K$16,$A39&lt;&gt;Y$1,Recharged_Feasible_mat!Z8=1),(VLOOKUP(Y$1,test!$A$3:$I$32,8,FALSE))-(VLOOKUP($A39,test!$A$3:$I$32,9,FALSE))+test!$B$33,0)</f>
        <v>0</v>
      </c>
      <c r="Z39">
        <f>IF(AND(SUM(VLOOKUP($A39,test!$A$3:$F$32,2,FALSE),VLOOKUP(Z$1,test!$A$3:$F$32,2,FALSE))&lt;test!$K$16,$A39&lt;&gt;Z$1,Recharged_Feasible_mat!AA8=1),(VLOOKUP(Z$1,test!$A$3:$I$32,8,FALSE))-(VLOOKUP($A39,test!$A$3:$I$32,9,FALSE))+test!$B$33,0)</f>
        <v>0</v>
      </c>
      <c r="AA39">
        <f>IF(AND(SUM(VLOOKUP($A39,test!$A$3:$F$32,2,FALSE),VLOOKUP(AA$1,test!$A$3:$F$32,2,FALSE))&lt;test!$K$16,$A39&lt;&gt;AA$1,Recharged_Feasible_mat!AB8=1),(VLOOKUP(AA$1,test!$A$3:$I$32,8,FALSE))-(VLOOKUP($A39,test!$A$3:$I$32,9,FALSE))+test!$B$33,0)</f>
        <v>0</v>
      </c>
      <c r="AB39">
        <f>IF(AND(SUM(VLOOKUP($A39,test!$A$3:$F$32,2,FALSE),VLOOKUP(AB$1,test!$A$3:$F$32,2,FALSE))&lt;test!$K$16,$A39&lt;&gt;AB$1,Recharged_Feasible_mat!AC8=1),(VLOOKUP(AB$1,test!$A$3:$I$32,8,FALSE))-(VLOOKUP($A39,test!$A$3:$I$32,9,FALSE))+test!$B$33,0)</f>
        <v>0</v>
      </c>
      <c r="AC39">
        <f>IF(AND(SUM(VLOOKUP($A39,test!$A$3:$F$32,2,FALSE),VLOOKUP(AC$1,test!$A$3:$F$32,2,FALSE))&lt;test!$K$16,$A39&lt;&gt;AC$1,Recharged_Feasible_mat!AD8=1),(VLOOKUP(AC$1,test!$A$3:$I$32,8,FALSE))-(VLOOKUP($A39,test!$A$3:$I$32,9,FALSE))+test!$B$33,0)</f>
        <v>0</v>
      </c>
      <c r="AD39">
        <f>IF(AND(SUM(VLOOKUP($A39,test!$A$3:$F$32,2,FALSE),VLOOKUP(AD$1,test!$A$3:$F$32,2,FALSE))&lt;test!$K$16,$A39&lt;&gt;AD$1,Recharged_Feasible_mat!AE8=1),(VLOOKUP(AD$1,test!$A$3:$I$32,8,FALSE))-(VLOOKUP($A39,test!$A$3:$I$32,9,FALSE))+test!$B$33,0)</f>
        <v>0</v>
      </c>
      <c r="AE39">
        <f>IF(AND(SUM(VLOOKUP($A39,test!$A$3:$F$32,2,FALSE),VLOOKUP(AE$1,test!$A$3:$F$32,2,FALSE))&lt;test!$K$16,$A39&lt;&gt;AE$1,Recharged_Feasible_mat!AF8=1),(VLOOKUP(AE$1,test!$A$3:$I$32,8,FALSE))-(VLOOKUP($A39,test!$A$3:$I$32,9,FALSE))+test!$B$33,0)</f>
        <v>0</v>
      </c>
      <c r="AF39">
        <f>IF(AND(SUM(VLOOKUP($A39,test!$A$3:$F$32,2,FALSE),VLOOKUP(AF$1,test!$A$3:$F$32,2,FALSE))&lt;test!$K$16,$A39&lt;&gt;AF$1,Recharged_Feasible_mat!AG8=1),(VLOOKUP(AF$1,test!$A$3:$I$32,8,FALSE))-(VLOOKUP($A39,test!$A$3:$I$32,9,FALSE))+test!$B$33,0)</f>
        <v>0</v>
      </c>
    </row>
    <row r="40" spans="1:32" x14ac:dyDescent="0.25">
      <c r="A40" t="s">
        <v>14</v>
      </c>
      <c r="B40">
        <v>0</v>
      </c>
      <c r="C40">
        <f>IF(AND(SUM(VLOOKUP($A40,test!$A$3:$F$32,2,FALSE),VLOOKUP(C$1,test!$A$3:$F$32,2,FALSE))&lt;test!$K$16,$A40&lt;&gt;C$1,feasible_mat!C40=1),(VLOOKUP(C$1,test!$A$3:$I$32,8,FALSE))-(VLOOKUP($A40,test!$A$3:$I$32,9,FALSE))+test!$B$33,0)</f>
        <v>0</v>
      </c>
      <c r="D40">
        <f>IF(AND(SUM(VLOOKUP($A40,test!$A$3:$F$32,2,FALSE),VLOOKUP(D$1,test!$A$3:$F$32,2,FALSE))&lt;test!$K$16,$A40&lt;&gt;D$1,Recharged_Feasible_mat!E9=1),(VLOOKUP(D$1,test!$A$3:$I$32,8,FALSE))-(VLOOKUP($A40,test!$A$3:$I$32,9,FALSE))+test!$B$33,0)</f>
        <v>0</v>
      </c>
      <c r="E40">
        <f>IF(AND(SUM(VLOOKUP($A40,test!$A$3:$F$32,2,FALSE),VLOOKUP(E$1,test!$A$3:$F$32,2,FALSE))&lt;test!$K$16,$A40&lt;&gt;E$1,Recharged_Feasible_mat!F9=1),(VLOOKUP(E$1,test!$A$3:$I$32,8,FALSE))-(VLOOKUP($A40,test!$A$3:$I$32,9,FALSE))+test!$B$33,0)</f>
        <v>0</v>
      </c>
      <c r="F40">
        <f>IF(AND(SUM(VLOOKUP($A40,test!$A$3:$F$32,2,FALSE),VLOOKUP(F$1,test!$A$3:$F$32,2,FALSE))&lt;test!$K$16,$A40&lt;&gt;F$1,Recharged_Feasible_mat!G9=1),(VLOOKUP(F$1,test!$A$3:$I$32,8,FALSE))-(VLOOKUP($A40,test!$A$3:$I$32,9,FALSE))+test!$B$33,0)</f>
        <v>0</v>
      </c>
      <c r="G40">
        <f>IF(AND(SUM(VLOOKUP($A40,test!$A$3:$F$32,2,FALSE),VLOOKUP(G$1,test!$A$3:$F$32,2,FALSE))&lt;test!$K$16,$A40&lt;&gt;G$1,Recharged_Feasible_mat!H9=1),(VLOOKUP(G$1,test!$A$3:$I$32,8,FALSE))-(VLOOKUP($A40,test!$A$3:$I$32,9,FALSE))+test!$B$33,0)</f>
        <v>0</v>
      </c>
      <c r="H40">
        <f>IF(AND(SUM(VLOOKUP($A40,test!$A$3:$F$32,2,FALSE),VLOOKUP(H$1,test!$A$3:$F$32,2,FALSE))&lt;test!$K$16,$A40&lt;&gt;H$1,Recharged_Feasible_mat!I9=1),(VLOOKUP(H$1,test!$A$3:$I$32,8,FALSE))-(VLOOKUP($A40,test!$A$3:$I$32,9,FALSE))+test!$B$33,0)</f>
        <v>0</v>
      </c>
      <c r="I40">
        <f>IF(AND(SUM(VLOOKUP($A40,test!$A$3:$F$32,2,FALSE),VLOOKUP(I$1,test!$A$3:$F$32,2,FALSE))&lt;test!$K$16,$A40&lt;&gt;I$1,Recharged_Feasible_mat!J9=1),(VLOOKUP(I$1,test!$A$3:$I$32,8,FALSE))-(VLOOKUP($A40,test!$A$3:$I$32,9,FALSE))+test!$B$33,0)</f>
        <v>0</v>
      </c>
      <c r="J40">
        <f>IF(AND(SUM(VLOOKUP($A40,test!$A$3:$F$32,2,FALSE),VLOOKUP(J$1,test!$A$3:$F$32,2,FALSE))&lt;test!$K$16,$A40&lt;&gt;J$1,Recharged_Feasible_mat!K9=1),(VLOOKUP(J$1,test!$A$3:$I$32,8,FALSE))-(VLOOKUP($A40,test!$A$3:$I$32,9,FALSE))+test!$B$33,0)</f>
        <v>0</v>
      </c>
      <c r="K40">
        <f>IF(AND(SUM(VLOOKUP($A40,test!$A$3:$F$32,2,FALSE),VLOOKUP(K$1,test!$A$3:$F$32,2,FALSE))&lt;test!$K$16,$A40&lt;&gt;K$1,Recharged_Feasible_mat!L9=1),(VLOOKUP(K$1,test!$A$3:$I$32,8,FALSE))-(VLOOKUP($A40,test!$A$3:$I$32,9,FALSE))+test!$B$33,0)</f>
        <v>0</v>
      </c>
      <c r="L40">
        <f>IF(AND(SUM(VLOOKUP($A40,test!$A$3:$F$32,2,FALSE),VLOOKUP(L$1,test!$A$3:$F$32,2,FALSE))&lt;test!$K$16,$A40&lt;&gt;L$1,Recharged_Feasible_mat!M9=1),(VLOOKUP(L$1,test!$A$3:$I$32,8,FALSE))-(VLOOKUP($A40,test!$A$3:$I$32,9,FALSE))+test!$B$33,0)</f>
        <v>0</v>
      </c>
      <c r="M40">
        <f>IF(AND(SUM(VLOOKUP($A40,test!$A$3:$F$32,2,FALSE),VLOOKUP(M$1,test!$A$3:$F$32,2,FALSE))&lt;test!$K$16,$A40&lt;&gt;M$1,Recharged_Feasible_mat!N9=1),(VLOOKUP(M$1,test!$A$3:$I$32,8,FALSE))-(VLOOKUP($A40,test!$A$3:$I$32,9,FALSE))+test!$B$33,0)</f>
        <v>0</v>
      </c>
      <c r="N40">
        <f>IF(AND(SUM(VLOOKUP($A40,test!$A$3:$F$32,2,FALSE),VLOOKUP(N$1,test!$A$3:$F$32,2,FALSE))&lt;test!$K$16,$A40&lt;&gt;N$1,Recharged_Feasible_mat!O9=1),(VLOOKUP(N$1,test!$A$3:$I$32,8,FALSE))-(VLOOKUP($A40,test!$A$3:$I$32,9,FALSE))+test!$B$33,0)</f>
        <v>0</v>
      </c>
      <c r="O40">
        <f>IF(AND(SUM(VLOOKUP($A40,test!$A$3:$F$32,2,FALSE),VLOOKUP(O$1,test!$A$3:$F$32,2,FALSE))&lt;test!$K$16,$A40&lt;&gt;O$1,Recharged_Feasible_mat!P9=1),(VLOOKUP(O$1,test!$A$3:$I$32,8,FALSE))-(VLOOKUP($A40,test!$A$3:$I$32,9,FALSE))+test!$B$33,0)</f>
        <v>0</v>
      </c>
      <c r="P40">
        <f>IF(AND(SUM(VLOOKUP($A40,test!$A$3:$F$32,2,FALSE),VLOOKUP(P$1,test!$A$3:$F$32,2,FALSE))&lt;test!$K$16,$A40&lt;&gt;P$1,Recharged_Feasible_mat!Q9=1),(VLOOKUP(P$1,test!$A$3:$I$32,8,FALSE))-(VLOOKUP($A40,test!$A$3:$I$32,9,FALSE))+test!$B$33,0)</f>
        <v>0</v>
      </c>
      <c r="Q40">
        <f>IF(AND(SUM(VLOOKUP($A40,test!$A$3:$F$32,2,FALSE),VLOOKUP(Q$1,test!$A$3:$F$32,2,FALSE))&lt;test!$K$16,$A40&lt;&gt;Q$1,Recharged_Feasible_mat!R9=1),(VLOOKUP(Q$1,test!$A$3:$I$32,8,FALSE))-(VLOOKUP($A40,test!$A$3:$I$32,9,FALSE))+test!$B$33,0)</f>
        <v>0</v>
      </c>
      <c r="R40">
        <f>IF(AND(SUM(VLOOKUP($A40,test!$A$3:$F$32,2,FALSE),VLOOKUP(R$1,test!$A$3:$F$32,2,FALSE))&lt;test!$K$16,$A40&lt;&gt;R$1,Recharged_Feasible_mat!S9=1),(VLOOKUP(R$1,test!$A$3:$I$32,8,FALSE))-(VLOOKUP($A40,test!$A$3:$I$32,9,FALSE))+test!$B$33,0)</f>
        <v>0</v>
      </c>
      <c r="S40">
        <f>IF(AND(SUM(VLOOKUP($A40,test!$A$3:$F$32,2,FALSE),VLOOKUP(S$1,test!$A$3:$F$32,2,FALSE))&lt;test!$K$16,$A40&lt;&gt;S$1,Recharged_Feasible_mat!T9=1),(VLOOKUP(S$1,test!$A$3:$I$32,8,FALSE))-(VLOOKUP($A40,test!$A$3:$I$32,9,FALSE))+test!$B$33,0)</f>
        <v>0</v>
      </c>
      <c r="T40">
        <f>IF(AND(SUM(VLOOKUP($A40,test!$A$3:$F$32,2,FALSE),VLOOKUP(T$1,test!$A$3:$F$32,2,FALSE))&lt;test!$K$16,$A40&lt;&gt;T$1,Recharged_Feasible_mat!U9=1),(VLOOKUP(T$1,test!$A$3:$I$32,8,FALSE))-(VLOOKUP($A40,test!$A$3:$I$32,9,FALSE))+test!$B$33,0)</f>
        <v>0</v>
      </c>
      <c r="U40">
        <f>IF(AND(SUM(VLOOKUP($A40,test!$A$3:$F$32,2,FALSE),VLOOKUP(U$1,test!$A$3:$F$32,2,FALSE))&lt;test!$K$16,$A40&lt;&gt;U$1,Recharged_Feasible_mat!V9=1),(VLOOKUP(U$1,test!$A$3:$I$32,8,FALSE))-(VLOOKUP($A40,test!$A$3:$I$32,9,FALSE))+test!$B$33,0)</f>
        <v>0</v>
      </c>
      <c r="V40">
        <f>IF(AND(SUM(VLOOKUP($A40,test!$A$3:$F$32,2,FALSE),VLOOKUP(V$1,test!$A$3:$F$32,2,FALSE))&lt;test!$K$16,$A40&lt;&gt;V$1,Recharged_Feasible_mat!W9=1),(VLOOKUP(V$1,test!$A$3:$I$32,8,FALSE))-(VLOOKUP($A40,test!$A$3:$I$32,9,FALSE))+test!$B$33,0)</f>
        <v>0</v>
      </c>
      <c r="W40">
        <f>IF(AND(SUM(VLOOKUP($A40,test!$A$3:$F$32,2,FALSE),VLOOKUP(W$1,test!$A$3:$F$32,2,FALSE))&lt;test!$K$16,$A40&lt;&gt;W$1,Recharged_Feasible_mat!X9=1),(VLOOKUP(W$1,test!$A$3:$I$32,8,FALSE))-(VLOOKUP($A40,test!$A$3:$I$32,9,FALSE))+test!$B$33,0)</f>
        <v>0</v>
      </c>
      <c r="X40">
        <f>IF(AND(SUM(VLOOKUP($A40,test!$A$3:$F$32,2,FALSE),VLOOKUP(X$1,test!$A$3:$F$32,2,FALSE))&lt;test!$K$16,$A40&lt;&gt;X$1,Recharged_Feasible_mat!Y9=1),(VLOOKUP(X$1,test!$A$3:$I$32,8,FALSE))-(VLOOKUP($A40,test!$A$3:$I$32,9,FALSE))+test!$B$33,0)</f>
        <v>0</v>
      </c>
      <c r="Y40">
        <f>IF(AND(SUM(VLOOKUP($A40,test!$A$3:$F$32,2,FALSE),VLOOKUP(Y$1,test!$A$3:$F$32,2,FALSE))&lt;test!$K$16,$A40&lt;&gt;Y$1,Recharged_Feasible_mat!Z9=1),(VLOOKUP(Y$1,test!$A$3:$I$32,8,FALSE))-(VLOOKUP($A40,test!$A$3:$I$32,9,FALSE))+test!$B$33,0)</f>
        <v>0</v>
      </c>
      <c r="Z40">
        <f>IF(AND(SUM(VLOOKUP($A40,test!$A$3:$F$32,2,FALSE),VLOOKUP(Z$1,test!$A$3:$F$32,2,FALSE))&lt;test!$K$16,$A40&lt;&gt;Z$1,Recharged_Feasible_mat!AA9=1),(VLOOKUP(Z$1,test!$A$3:$I$32,8,FALSE))-(VLOOKUP($A40,test!$A$3:$I$32,9,FALSE))+test!$B$33,0)</f>
        <v>0</v>
      </c>
      <c r="AA40">
        <f>IF(AND(SUM(VLOOKUP($A40,test!$A$3:$F$32,2,FALSE),VLOOKUP(AA$1,test!$A$3:$F$32,2,FALSE))&lt;test!$K$16,$A40&lt;&gt;AA$1,Recharged_Feasible_mat!AB9=1),(VLOOKUP(AA$1,test!$A$3:$I$32,8,FALSE))-(VLOOKUP($A40,test!$A$3:$I$32,9,FALSE))+test!$B$33,0)</f>
        <v>0</v>
      </c>
      <c r="AB40">
        <f>IF(AND(SUM(VLOOKUP($A40,test!$A$3:$F$32,2,FALSE),VLOOKUP(AB$1,test!$A$3:$F$32,2,FALSE))&lt;test!$K$16,$A40&lt;&gt;AB$1,Recharged_Feasible_mat!AC9=1),(VLOOKUP(AB$1,test!$A$3:$I$32,8,FALSE))-(VLOOKUP($A40,test!$A$3:$I$32,9,FALSE))+test!$B$33,0)</f>
        <v>0</v>
      </c>
      <c r="AC40">
        <f>IF(AND(SUM(VLOOKUP($A40,test!$A$3:$F$32,2,FALSE),VLOOKUP(AC$1,test!$A$3:$F$32,2,FALSE))&lt;test!$K$16,$A40&lt;&gt;AC$1,Recharged_Feasible_mat!AD9=1),(VLOOKUP(AC$1,test!$A$3:$I$32,8,FALSE))-(VLOOKUP($A40,test!$A$3:$I$32,9,FALSE))+test!$B$33,0)</f>
        <v>0</v>
      </c>
      <c r="AD40">
        <f>IF(AND(SUM(VLOOKUP($A40,test!$A$3:$F$32,2,FALSE),VLOOKUP(AD$1,test!$A$3:$F$32,2,FALSE))&lt;test!$K$16,$A40&lt;&gt;AD$1,Recharged_Feasible_mat!AE9=1),(VLOOKUP(AD$1,test!$A$3:$I$32,8,FALSE))-(VLOOKUP($A40,test!$A$3:$I$32,9,FALSE))+test!$B$33,0)</f>
        <v>0</v>
      </c>
      <c r="AE40">
        <f>IF(AND(SUM(VLOOKUP($A40,test!$A$3:$F$32,2,FALSE),VLOOKUP(AE$1,test!$A$3:$F$32,2,FALSE))&lt;test!$K$16,$A40&lt;&gt;AE$1,Recharged_Feasible_mat!AF9=1),(VLOOKUP(AE$1,test!$A$3:$I$32,8,FALSE))-(VLOOKUP($A40,test!$A$3:$I$32,9,FALSE))+test!$B$33,0)</f>
        <v>0</v>
      </c>
      <c r="AF40">
        <f>IF(AND(SUM(VLOOKUP($A40,test!$A$3:$F$32,2,FALSE),VLOOKUP(AF$1,test!$A$3:$F$32,2,FALSE))&lt;test!$K$16,$A40&lt;&gt;AF$1,Recharged_Feasible_mat!AG9=1),(VLOOKUP(AF$1,test!$A$3:$I$32,8,FALSE))-(VLOOKUP($A40,test!$A$3:$I$32,9,FALSE))+test!$B$33,0)</f>
        <v>0</v>
      </c>
    </row>
    <row r="41" spans="1:32" x14ac:dyDescent="0.25">
      <c r="A41" t="s">
        <v>15</v>
      </c>
      <c r="B41">
        <v>0</v>
      </c>
      <c r="C41">
        <f>IF(AND(SUM(VLOOKUP($A41,test!$A$3:$F$32,2,FALSE),VLOOKUP(C$1,test!$A$3:$F$32,2,FALSE))&lt;test!$K$16,$A41&lt;&gt;C$1,feasible_mat!C41=1),(VLOOKUP(C$1,test!$A$3:$I$32,8,FALSE))-(VLOOKUP($A41,test!$A$3:$I$32,9,FALSE))+test!$B$33,0)</f>
        <v>0</v>
      </c>
      <c r="D41">
        <f>IF(AND(SUM(VLOOKUP($A41,test!$A$3:$F$32,2,FALSE),VLOOKUP(D$1,test!$A$3:$F$32,2,FALSE))&lt;test!$K$16,$A41&lt;&gt;D$1,Recharged_Feasible_mat!E10=1),(VLOOKUP(D$1,test!$A$3:$I$32,8,FALSE))-(VLOOKUP($A41,test!$A$3:$I$32,9,FALSE))+test!$B$33,0)</f>
        <v>0</v>
      </c>
      <c r="E41">
        <f>IF(AND(SUM(VLOOKUP($A41,test!$A$3:$F$32,2,FALSE),VLOOKUP(E$1,test!$A$3:$F$32,2,FALSE))&lt;test!$K$16,$A41&lt;&gt;E$1,Recharged_Feasible_mat!F10=1),(VLOOKUP(E$1,test!$A$3:$I$32,8,FALSE))-(VLOOKUP($A41,test!$A$3:$I$32,9,FALSE))+test!$B$33,0)</f>
        <v>0</v>
      </c>
      <c r="F41">
        <f>IF(AND(SUM(VLOOKUP($A41,test!$A$3:$F$32,2,FALSE),VLOOKUP(F$1,test!$A$3:$F$32,2,FALSE))&lt;test!$K$16,$A41&lt;&gt;F$1,Recharged_Feasible_mat!G10=1),(VLOOKUP(F$1,test!$A$3:$I$32,8,FALSE))-(VLOOKUP($A41,test!$A$3:$I$32,9,FALSE))+test!$B$33,0)</f>
        <v>0</v>
      </c>
      <c r="G41">
        <f>IF(AND(SUM(VLOOKUP($A41,test!$A$3:$F$32,2,FALSE),VLOOKUP(G$1,test!$A$3:$F$32,2,FALSE))&lt;test!$K$16,$A41&lt;&gt;G$1,Recharged_Feasible_mat!H10=1),(VLOOKUP(G$1,test!$A$3:$I$32,8,FALSE))-(VLOOKUP($A41,test!$A$3:$I$32,9,FALSE))+test!$B$33,0)</f>
        <v>0</v>
      </c>
      <c r="H41">
        <f>IF(AND(SUM(VLOOKUP($A41,test!$A$3:$F$32,2,FALSE),VLOOKUP(H$1,test!$A$3:$F$32,2,FALSE))&lt;test!$K$16,$A41&lt;&gt;H$1,Recharged_Feasible_mat!I10=1),(VLOOKUP(H$1,test!$A$3:$I$32,8,FALSE))-(VLOOKUP($A41,test!$A$3:$I$32,9,FALSE))+test!$B$33,0)</f>
        <v>0</v>
      </c>
      <c r="I41">
        <f>IF(AND(SUM(VLOOKUP($A41,test!$A$3:$F$32,2,FALSE),VLOOKUP(I$1,test!$A$3:$F$32,2,FALSE))&lt;test!$K$16,$A41&lt;&gt;I$1,Recharged_Feasible_mat!J10=1),(VLOOKUP(I$1,test!$A$3:$I$32,8,FALSE))-(VLOOKUP($A41,test!$A$3:$I$32,9,FALSE))+test!$B$33,0)</f>
        <v>0</v>
      </c>
      <c r="J41">
        <f>IF(AND(SUM(VLOOKUP($A41,test!$A$3:$F$32,2,FALSE),VLOOKUP(J$1,test!$A$3:$F$32,2,FALSE))&lt;test!$K$16,$A41&lt;&gt;J$1,Recharged_Feasible_mat!K10=1),(VLOOKUP(J$1,test!$A$3:$I$32,8,FALSE))-(VLOOKUP($A41,test!$A$3:$I$32,9,FALSE))+test!$B$33,0)</f>
        <v>0</v>
      </c>
      <c r="K41">
        <f>IF(AND(SUM(VLOOKUP($A41,test!$A$3:$F$32,2,FALSE),VLOOKUP(K$1,test!$A$3:$F$32,2,FALSE))&lt;test!$K$16,$A41&lt;&gt;K$1,Recharged_Feasible_mat!L10=1),(VLOOKUP(K$1,test!$A$3:$I$32,8,FALSE))-(VLOOKUP($A41,test!$A$3:$I$32,9,FALSE))+test!$B$33,0)</f>
        <v>0</v>
      </c>
      <c r="L41">
        <f>IF(AND(SUM(VLOOKUP($A41,test!$A$3:$F$32,2,FALSE),VLOOKUP(L$1,test!$A$3:$F$32,2,FALSE))&lt;test!$K$16,$A41&lt;&gt;L$1,Recharged_Feasible_mat!M10=1),(VLOOKUP(L$1,test!$A$3:$I$32,8,FALSE))-(VLOOKUP($A41,test!$A$3:$I$32,9,FALSE))+test!$B$33,0)</f>
        <v>0</v>
      </c>
      <c r="M41">
        <f>IF(AND(SUM(VLOOKUP($A41,test!$A$3:$F$32,2,FALSE),VLOOKUP(M$1,test!$A$3:$F$32,2,FALSE))&lt;test!$K$16,$A41&lt;&gt;M$1,Recharged_Feasible_mat!N10=1),(VLOOKUP(M$1,test!$A$3:$I$32,8,FALSE))-(VLOOKUP($A41,test!$A$3:$I$32,9,FALSE))+test!$B$33,0)</f>
        <v>0</v>
      </c>
      <c r="N41">
        <f>IF(AND(SUM(VLOOKUP($A41,test!$A$3:$F$32,2,FALSE),VLOOKUP(N$1,test!$A$3:$F$32,2,FALSE))&lt;test!$K$16,$A41&lt;&gt;N$1,Recharged_Feasible_mat!O10=1),(VLOOKUP(N$1,test!$A$3:$I$32,8,FALSE))-(VLOOKUP($A41,test!$A$3:$I$32,9,FALSE))+test!$B$33,0)</f>
        <v>0</v>
      </c>
      <c r="O41">
        <f>IF(AND(SUM(VLOOKUP($A41,test!$A$3:$F$32,2,FALSE),VLOOKUP(O$1,test!$A$3:$F$32,2,FALSE))&lt;test!$K$16,$A41&lt;&gt;O$1,Recharged_Feasible_mat!P10=1),(VLOOKUP(O$1,test!$A$3:$I$32,8,FALSE))-(VLOOKUP($A41,test!$A$3:$I$32,9,FALSE))+test!$B$33,0)</f>
        <v>0</v>
      </c>
      <c r="P41">
        <f>IF(AND(SUM(VLOOKUP($A41,test!$A$3:$F$32,2,FALSE),VLOOKUP(P$1,test!$A$3:$F$32,2,FALSE))&lt;test!$K$16,$A41&lt;&gt;P$1,Recharged_Feasible_mat!Q10=1),(VLOOKUP(P$1,test!$A$3:$I$32,8,FALSE))-(VLOOKUP($A41,test!$A$3:$I$32,9,FALSE))+test!$B$33,0)</f>
        <v>0</v>
      </c>
      <c r="Q41">
        <f>IF(AND(SUM(VLOOKUP($A41,test!$A$3:$F$32,2,FALSE),VLOOKUP(Q$1,test!$A$3:$F$32,2,FALSE))&lt;test!$K$16,$A41&lt;&gt;Q$1,Recharged_Feasible_mat!R10=1),(VLOOKUP(Q$1,test!$A$3:$I$32,8,FALSE))-(VLOOKUP($A41,test!$A$3:$I$32,9,FALSE))+test!$B$33,0)</f>
        <v>0</v>
      </c>
      <c r="R41">
        <f>IF(AND(SUM(VLOOKUP($A41,test!$A$3:$F$32,2,FALSE),VLOOKUP(R$1,test!$A$3:$F$32,2,FALSE))&lt;test!$K$16,$A41&lt;&gt;R$1,Recharged_Feasible_mat!S10=1),(VLOOKUP(R$1,test!$A$3:$I$32,8,FALSE))-(VLOOKUP($A41,test!$A$3:$I$32,9,FALSE))+test!$B$33,0)</f>
        <v>0</v>
      </c>
      <c r="S41">
        <f>IF(AND(SUM(VLOOKUP($A41,test!$A$3:$F$32,2,FALSE),VLOOKUP(S$1,test!$A$3:$F$32,2,FALSE))&lt;test!$K$16,$A41&lt;&gt;S$1,Recharged_Feasible_mat!T10=1),(VLOOKUP(S$1,test!$A$3:$I$32,8,FALSE))-(VLOOKUP($A41,test!$A$3:$I$32,9,FALSE))+test!$B$33,0)</f>
        <v>0</v>
      </c>
      <c r="T41">
        <f>IF(AND(SUM(VLOOKUP($A41,test!$A$3:$F$32,2,FALSE),VLOOKUP(T$1,test!$A$3:$F$32,2,FALSE))&lt;test!$K$16,$A41&lt;&gt;T$1,Recharged_Feasible_mat!U10=1),(VLOOKUP(T$1,test!$A$3:$I$32,8,FALSE))-(VLOOKUP($A41,test!$A$3:$I$32,9,FALSE))+test!$B$33,0)</f>
        <v>0</v>
      </c>
      <c r="U41">
        <f>IF(AND(SUM(VLOOKUP($A41,test!$A$3:$F$32,2,FALSE),VLOOKUP(U$1,test!$A$3:$F$32,2,FALSE))&lt;test!$K$16,$A41&lt;&gt;U$1,Recharged_Feasible_mat!V10=1),(VLOOKUP(U$1,test!$A$3:$I$32,8,FALSE))-(VLOOKUP($A41,test!$A$3:$I$32,9,FALSE))+test!$B$33,0)</f>
        <v>0</v>
      </c>
      <c r="V41">
        <f>IF(AND(SUM(VLOOKUP($A41,test!$A$3:$F$32,2,FALSE),VLOOKUP(V$1,test!$A$3:$F$32,2,FALSE))&lt;test!$K$16,$A41&lt;&gt;V$1,Recharged_Feasible_mat!W10=1),(VLOOKUP(V$1,test!$A$3:$I$32,8,FALSE))-(VLOOKUP($A41,test!$A$3:$I$32,9,FALSE))+test!$B$33,0)</f>
        <v>0</v>
      </c>
      <c r="W41">
        <f>IF(AND(SUM(VLOOKUP($A41,test!$A$3:$F$32,2,FALSE),VLOOKUP(W$1,test!$A$3:$F$32,2,FALSE))&lt;test!$K$16,$A41&lt;&gt;W$1,Recharged_Feasible_mat!X10=1),(VLOOKUP(W$1,test!$A$3:$I$32,8,FALSE))-(VLOOKUP($A41,test!$A$3:$I$32,9,FALSE))+test!$B$33,0)</f>
        <v>0</v>
      </c>
      <c r="X41">
        <f>IF(AND(SUM(VLOOKUP($A41,test!$A$3:$F$32,2,FALSE),VLOOKUP(X$1,test!$A$3:$F$32,2,FALSE))&lt;test!$K$16,$A41&lt;&gt;X$1,Recharged_Feasible_mat!Y10=1),(VLOOKUP(X$1,test!$A$3:$I$32,8,FALSE))-(VLOOKUP($A41,test!$A$3:$I$32,9,FALSE))+test!$B$33,0)</f>
        <v>0</v>
      </c>
      <c r="Y41">
        <f>IF(AND(SUM(VLOOKUP($A41,test!$A$3:$F$32,2,FALSE),VLOOKUP(Y$1,test!$A$3:$F$32,2,FALSE))&lt;test!$K$16,$A41&lt;&gt;Y$1,Recharged_Feasible_mat!Z10=1),(VLOOKUP(Y$1,test!$A$3:$I$32,8,FALSE))-(VLOOKUP($A41,test!$A$3:$I$32,9,FALSE))+test!$B$33,0)</f>
        <v>0</v>
      </c>
      <c r="Z41">
        <f>IF(AND(SUM(VLOOKUP($A41,test!$A$3:$F$32,2,FALSE),VLOOKUP(Z$1,test!$A$3:$F$32,2,FALSE))&lt;test!$K$16,$A41&lt;&gt;Z$1,Recharged_Feasible_mat!AA10=1),(VLOOKUP(Z$1,test!$A$3:$I$32,8,FALSE))-(VLOOKUP($A41,test!$A$3:$I$32,9,FALSE))+test!$B$33,0)</f>
        <v>0</v>
      </c>
      <c r="AA41">
        <f>IF(AND(SUM(VLOOKUP($A41,test!$A$3:$F$32,2,FALSE),VLOOKUP(AA$1,test!$A$3:$F$32,2,FALSE))&lt;test!$K$16,$A41&lt;&gt;AA$1,Recharged_Feasible_mat!AB10=1),(VLOOKUP(AA$1,test!$A$3:$I$32,8,FALSE))-(VLOOKUP($A41,test!$A$3:$I$32,9,FALSE))+test!$B$33,0)</f>
        <v>0</v>
      </c>
      <c r="AB41">
        <f>IF(AND(SUM(VLOOKUP($A41,test!$A$3:$F$32,2,FALSE),VLOOKUP(AB$1,test!$A$3:$F$32,2,FALSE))&lt;test!$K$16,$A41&lt;&gt;AB$1,Recharged_Feasible_mat!AC10=1),(VLOOKUP(AB$1,test!$A$3:$I$32,8,FALSE))-(VLOOKUP($A41,test!$A$3:$I$32,9,FALSE))+test!$B$33,0)</f>
        <v>0</v>
      </c>
      <c r="AC41">
        <f>IF(AND(SUM(VLOOKUP($A41,test!$A$3:$F$32,2,FALSE),VLOOKUP(AC$1,test!$A$3:$F$32,2,FALSE))&lt;test!$K$16,$A41&lt;&gt;AC$1,Recharged_Feasible_mat!AD10=1),(VLOOKUP(AC$1,test!$A$3:$I$32,8,FALSE))-(VLOOKUP($A41,test!$A$3:$I$32,9,FALSE))+test!$B$33,0)</f>
        <v>0</v>
      </c>
      <c r="AD41">
        <f>IF(AND(SUM(VLOOKUP($A41,test!$A$3:$F$32,2,FALSE),VLOOKUP(AD$1,test!$A$3:$F$32,2,FALSE))&lt;test!$K$16,$A41&lt;&gt;AD$1,Recharged_Feasible_mat!AE10=1),(VLOOKUP(AD$1,test!$A$3:$I$32,8,FALSE))-(VLOOKUP($A41,test!$A$3:$I$32,9,FALSE))+test!$B$33,0)</f>
        <v>0</v>
      </c>
      <c r="AE41">
        <f>IF(AND(SUM(VLOOKUP($A41,test!$A$3:$F$32,2,FALSE),VLOOKUP(AE$1,test!$A$3:$F$32,2,FALSE))&lt;test!$K$16,$A41&lt;&gt;AE$1,Recharged_Feasible_mat!AF10=1),(VLOOKUP(AE$1,test!$A$3:$I$32,8,FALSE))-(VLOOKUP($A41,test!$A$3:$I$32,9,FALSE))+test!$B$33,0)</f>
        <v>0</v>
      </c>
      <c r="AF41">
        <f>IF(AND(SUM(VLOOKUP($A41,test!$A$3:$F$32,2,FALSE),VLOOKUP(AF$1,test!$A$3:$F$32,2,FALSE))&lt;test!$K$16,$A41&lt;&gt;AF$1,Recharged_Feasible_mat!AG10=1),(VLOOKUP(AF$1,test!$A$3:$I$32,8,FALSE))-(VLOOKUP($A41,test!$A$3:$I$32,9,FALSE))+test!$B$33,0)</f>
        <v>0</v>
      </c>
    </row>
    <row r="42" spans="1:32" x14ac:dyDescent="0.25">
      <c r="A42" t="s">
        <v>18</v>
      </c>
      <c r="B42">
        <v>0</v>
      </c>
      <c r="C42">
        <f>IF(AND(SUM(VLOOKUP($A42,test!$A$3:$F$32,2,FALSE),VLOOKUP(C$1,test!$A$3:$F$32,2,FALSE))&lt;test!$K$16,$A42&lt;&gt;C$1,feasible_mat!C42=1),(VLOOKUP(C$1,test!$A$3:$I$32,8,FALSE))-(VLOOKUP($A42,test!$A$3:$I$32,9,FALSE))+test!$B$33,0)</f>
        <v>0</v>
      </c>
      <c r="D42">
        <f>IF(AND(SUM(VLOOKUP($A42,test!$A$3:$F$32,2,FALSE),VLOOKUP(D$1,test!$A$3:$F$32,2,FALSE))&lt;test!$K$16,$A42&lt;&gt;D$1,Recharged_Feasible_mat!E11=1),(VLOOKUP(D$1,test!$A$3:$I$32,8,FALSE))-(VLOOKUP($A42,test!$A$3:$I$32,9,FALSE))+test!$B$33,0)</f>
        <v>0</v>
      </c>
      <c r="E42">
        <f>IF(AND(SUM(VLOOKUP($A42,test!$A$3:$F$32,2,FALSE),VLOOKUP(E$1,test!$A$3:$F$32,2,FALSE))&lt;test!$K$16,$A42&lt;&gt;E$1,Recharged_Feasible_mat!F11=1),(VLOOKUP(E$1,test!$A$3:$I$32,8,FALSE))-(VLOOKUP($A42,test!$A$3:$I$32,9,FALSE))+test!$B$33,0)</f>
        <v>185</v>
      </c>
      <c r="F42">
        <f>IF(AND(SUM(VLOOKUP($A42,test!$A$3:$F$32,2,FALSE),VLOOKUP(F$1,test!$A$3:$F$32,2,FALSE))&lt;test!$K$16,$A42&lt;&gt;F$1,Recharged_Feasible_mat!G11=1),(VLOOKUP(F$1,test!$A$3:$I$32,8,FALSE))-(VLOOKUP($A42,test!$A$3:$I$32,9,FALSE))+test!$B$33,0)</f>
        <v>275</v>
      </c>
      <c r="G42">
        <f>IF(AND(SUM(VLOOKUP($A42,test!$A$3:$F$32,2,FALSE),VLOOKUP(G$1,test!$A$3:$F$32,2,FALSE))&lt;test!$K$16,$A42&lt;&gt;G$1,Recharged_Feasible_mat!H11=1),(VLOOKUP(G$1,test!$A$3:$I$32,8,FALSE))-(VLOOKUP($A42,test!$A$3:$I$32,9,FALSE))+test!$B$33,0)</f>
        <v>335</v>
      </c>
      <c r="H42">
        <f>IF(AND(SUM(VLOOKUP($A42,test!$A$3:$F$32,2,FALSE),VLOOKUP(H$1,test!$A$3:$F$32,2,FALSE))&lt;test!$K$16,$A42&lt;&gt;H$1,Recharged_Feasible_mat!I11=1),(VLOOKUP(H$1,test!$A$3:$I$32,8,FALSE))-(VLOOKUP($A42,test!$A$3:$I$32,9,FALSE))+test!$B$33,0)</f>
        <v>395</v>
      </c>
      <c r="I42">
        <f>IF(AND(SUM(VLOOKUP($A42,test!$A$3:$F$32,2,FALSE),VLOOKUP(I$1,test!$A$3:$F$32,2,FALSE))&lt;test!$K$16,$A42&lt;&gt;I$1,Recharged_Feasible_mat!J11=1),(VLOOKUP(I$1,test!$A$3:$I$32,8,FALSE))-(VLOOKUP($A42,test!$A$3:$I$32,9,FALSE))+test!$B$33,0)</f>
        <v>455</v>
      </c>
      <c r="J42">
        <f>IF(AND(SUM(VLOOKUP($A42,test!$A$3:$F$32,2,FALSE),VLOOKUP(J$1,test!$A$3:$F$32,2,FALSE))&lt;test!$K$16,$A42&lt;&gt;J$1,Recharged_Feasible_mat!K11=1),(VLOOKUP(J$1,test!$A$3:$I$32,8,FALSE))-(VLOOKUP($A42,test!$A$3:$I$32,9,FALSE))+test!$B$33,0)</f>
        <v>545</v>
      </c>
      <c r="K42">
        <f>IF(AND(SUM(VLOOKUP($A42,test!$A$3:$F$32,2,FALSE),VLOOKUP(K$1,test!$A$3:$F$32,2,FALSE))&lt;test!$K$16,$A42&lt;&gt;K$1,Recharged_Feasible_mat!L11=1),(VLOOKUP(K$1,test!$A$3:$I$32,8,FALSE))-(VLOOKUP($A42,test!$A$3:$I$32,9,FALSE))+test!$B$33,0)</f>
        <v>0</v>
      </c>
      <c r="L42">
        <f>IF(AND(SUM(VLOOKUP($A42,test!$A$3:$F$32,2,FALSE),VLOOKUP(L$1,test!$A$3:$F$32,2,FALSE))&lt;test!$K$16,$A42&lt;&gt;L$1,Recharged_Feasible_mat!M11=1),(VLOOKUP(L$1,test!$A$3:$I$32,8,FALSE))-(VLOOKUP($A42,test!$A$3:$I$32,9,FALSE))+test!$B$33,0)</f>
        <v>0</v>
      </c>
      <c r="M42">
        <f>IF(AND(SUM(VLOOKUP($A42,test!$A$3:$F$32,2,FALSE),VLOOKUP(M$1,test!$A$3:$F$32,2,FALSE))&lt;test!$K$16,$A42&lt;&gt;M$1,Recharged_Feasible_mat!N11=1),(VLOOKUP(M$1,test!$A$3:$I$32,8,FALSE))-(VLOOKUP($A42,test!$A$3:$I$32,9,FALSE))+test!$B$33,0)</f>
        <v>150</v>
      </c>
      <c r="N42">
        <f>IF(AND(SUM(VLOOKUP($A42,test!$A$3:$F$32,2,FALSE),VLOOKUP(N$1,test!$A$3:$F$32,2,FALSE))&lt;test!$K$16,$A42&lt;&gt;N$1,Recharged_Feasible_mat!O11=1),(VLOOKUP(N$1,test!$A$3:$I$32,8,FALSE))-(VLOOKUP($A42,test!$A$3:$I$32,9,FALSE))+test!$B$33,0)</f>
        <v>510</v>
      </c>
      <c r="O42">
        <f>IF(AND(SUM(VLOOKUP($A42,test!$A$3:$F$32,2,FALSE),VLOOKUP(O$1,test!$A$3:$F$32,2,FALSE))&lt;test!$K$16,$A42&lt;&gt;O$1,Recharged_Feasible_mat!P11=1),(VLOOKUP(O$1,test!$A$3:$I$32,8,FALSE))-(VLOOKUP($A42,test!$A$3:$I$32,9,FALSE))+test!$B$33,0)</f>
        <v>570</v>
      </c>
      <c r="P42">
        <f>IF(AND(SUM(VLOOKUP($A42,test!$A$3:$F$32,2,FALSE),VLOOKUP(P$1,test!$A$3:$F$32,2,FALSE))&lt;test!$K$16,$A42&lt;&gt;P$1,Recharged_Feasible_mat!Q11=1),(VLOOKUP(P$1,test!$A$3:$I$32,8,FALSE))-(VLOOKUP($A42,test!$A$3:$I$32,9,FALSE))+test!$B$33,0)</f>
        <v>0</v>
      </c>
      <c r="Q42">
        <f>IF(AND(SUM(VLOOKUP($A42,test!$A$3:$F$32,2,FALSE),VLOOKUP(Q$1,test!$A$3:$F$32,2,FALSE))&lt;test!$K$16,$A42&lt;&gt;Q$1,Recharged_Feasible_mat!R11=1),(VLOOKUP(Q$1,test!$A$3:$I$32,8,FALSE))-(VLOOKUP($A42,test!$A$3:$I$32,9,FALSE))+test!$B$33,0)</f>
        <v>0</v>
      </c>
      <c r="R42">
        <f>IF(AND(SUM(VLOOKUP($A42,test!$A$3:$F$32,2,FALSE),VLOOKUP(R$1,test!$A$3:$F$32,2,FALSE))&lt;test!$K$16,$A42&lt;&gt;R$1,Recharged_Feasible_mat!S11=1),(VLOOKUP(R$1,test!$A$3:$I$32,8,FALSE))-(VLOOKUP($A42,test!$A$3:$I$32,9,FALSE))+test!$B$33,0)</f>
        <v>0</v>
      </c>
      <c r="S42">
        <f>IF(AND(SUM(VLOOKUP($A42,test!$A$3:$F$32,2,FALSE),VLOOKUP(S$1,test!$A$3:$F$32,2,FALSE))&lt;test!$K$16,$A42&lt;&gt;S$1,Recharged_Feasible_mat!T11=1),(VLOOKUP(S$1,test!$A$3:$I$32,8,FALSE))-(VLOOKUP($A42,test!$A$3:$I$32,9,FALSE))+test!$B$33,0)</f>
        <v>0</v>
      </c>
      <c r="T42">
        <f>IF(AND(SUM(VLOOKUP($A42,test!$A$3:$F$32,2,FALSE),VLOOKUP(T$1,test!$A$3:$F$32,2,FALSE))&lt;test!$K$16,$A42&lt;&gt;T$1,Recharged_Feasible_mat!U11=1),(VLOOKUP(T$1,test!$A$3:$I$32,8,FALSE))-(VLOOKUP($A42,test!$A$3:$I$32,9,FALSE))+test!$B$33,0)</f>
        <v>165</v>
      </c>
      <c r="U42">
        <f>IF(AND(SUM(VLOOKUP($A42,test!$A$3:$F$32,2,FALSE),VLOOKUP(U$1,test!$A$3:$F$32,2,FALSE))&lt;test!$K$16,$A42&lt;&gt;U$1,Recharged_Feasible_mat!V11=1),(VLOOKUP(U$1,test!$A$3:$I$32,8,FALSE))-(VLOOKUP($A42,test!$A$3:$I$32,9,FALSE))+test!$B$33,0)</f>
        <v>255</v>
      </c>
      <c r="V42">
        <f>IF(AND(SUM(VLOOKUP($A42,test!$A$3:$F$32,2,FALSE),VLOOKUP(V$1,test!$A$3:$F$32,2,FALSE))&lt;test!$K$16,$A42&lt;&gt;V$1,Recharged_Feasible_mat!W11=1),(VLOOKUP(V$1,test!$A$3:$I$32,8,FALSE))-(VLOOKUP($A42,test!$A$3:$I$32,9,FALSE))+test!$B$33,0)</f>
        <v>345</v>
      </c>
      <c r="W42">
        <f>IF(AND(SUM(VLOOKUP($A42,test!$A$3:$F$32,2,FALSE),VLOOKUP(W$1,test!$A$3:$F$32,2,FALSE))&lt;test!$K$16,$A42&lt;&gt;W$1,Recharged_Feasible_mat!X11=1),(VLOOKUP(W$1,test!$A$3:$I$32,8,FALSE))-(VLOOKUP($A42,test!$A$3:$I$32,9,FALSE))+test!$B$33,0)</f>
        <v>435</v>
      </c>
      <c r="X42">
        <f>IF(AND(SUM(VLOOKUP($A42,test!$A$3:$F$32,2,FALSE),VLOOKUP(X$1,test!$A$3:$F$32,2,FALSE))&lt;test!$K$16,$A42&lt;&gt;X$1,Recharged_Feasible_mat!Y11=1),(VLOOKUP(X$1,test!$A$3:$I$32,8,FALSE))-(VLOOKUP($A42,test!$A$3:$I$32,9,FALSE))+test!$B$33,0)</f>
        <v>495</v>
      </c>
      <c r="Y42">
        <f>IF(AND(SUM(VLOOKUP($A42,test!$A$3:$F$32,2,FALSE),VLOOKUP(Y$1,test!$A$3:$F$32,2,FALSE))&lt;test!$K$16,$A42&lt;&gt;Y$1,Recharged_Feasible_mat!Z11=1),(VLOOKUP(Y$1,test!$A$3:$I$32,8,FALSE))-(VLOOKUP($A42,test!$A$3:$I$32,9,FALSE))+test!$B$33,0)</f>
        <v>0</v>
      </c>
      <c r="Z42">
        <f>IF(AND(SUM(VLOOKUP($A42,test!$A$3:$F$32,2,FALSE),VLOOKUP(Z$1,test!$A$3:$F$32,2,FALSE))&lt;test!$K$16,$A42&lt;&gt;Z$1,Recharged_Feasible_mat!AA11=1),(VLOOKUP(Z$1,test!$A$3:$I$32,8,FALSE))-(VLOOKUP($A42,test!$A$3:$I$32,9,FALSE))+test!$B$33,0)</f>
        <v>0</v>
      </c>
      <c r="AA42">
        <f>IF(AND(SUM(VLOOKUP($A42,test!$A$3:$F$32,2,FALSE),VLOOKUP(AA$1,test!$A$3:$F$32,2,FALSE))&lt;test!$K$16,$A42&lt;&gt;AA$1,Recharged_Feasible_mat!AB11=1),(VLOOKUP(AA$1,test!$A$3:$I$32,8,FALSE))-(VLOOKUP($A42,test!$A$3:$I$32,9,FALSE))+test!$B$33,0)</f>
        <v>215</v>
      </c>
      <c r="AB42">
        <f>IF(AND(SUM(VLOOKUP($A42,test!$A$3:$F$32,2,FALSE),VLOOKUP(AB$1,test!$A$3:$F$32,2,FALSE))&lt;test!$K$16,$A42&lt;&gt;AB$1,Recharged_Feasible_mat!AC11=1),(VLOOKUP(AB$1,test!$A$3:$I$32,8,FALSE))-(VLOOKUP($A42,test!$A$3:$I$32,9,FALSE))+test!$B$33,0)</f>
        <v>275</v>
      </c>
      <c r="AC42">
        <f>IF(AND(SUM(VLOOKUP($A42,test!$A$3:$F$32,2,FALSE),VLOOKUP(AC$1,test!$A$3:$F$32,2,FALSE))&lt;test!$K$16,$A42&lt;&gt;AC$1,Recharged_Feasible_mat!AD11=1),(VLOOKUP(AC$1,test!$A$3:$I$32,8,FALSE))-(VLOOKUP($A42,test!$A$3:$I$32,9,FALSE))+test!$B$33,0)</f>
        <v>395</v>
      </c>
      <c r="AD42">
        <f>IF(AND(SUM(VLOOKUP($A42,test!$A$3:$F$32,2,FALSE),VLOOKUP(AD$1,test!$A$3:$F$32,2,FALSE))&lt;test!$K$16,$A42&lt;&gt;AD$1,Recharged_Feasible_mat!AE11=1),(VLOOKUP(AD$1,test!$A$3:$I$32,8,FALSE))-(VLOOKUP($A42,test!$A$3:$I$32,9,FALSE))+test!$B$33,0)</f>
        <v>0</v>
      </c>
      <c r="AE42">
        <f>IF(AND(SUM(VLOOKUP($A42,test!$A$3:$F$32,2,FALSE),VLOOKUP(AE$1,test!$A$3:$F$32,2,FALSE))&lt;test!$K$16,$A42&lt;&gt;AE$1,Recharged_Feasible_mat!AF11=1),(VLOOKUP(AE$1,test!$A$3:$I$32,8,FALSE))-(VLOOKUP($A42,test!$A$3:$I$32,9,FALSE))+test!$B$33,0)</f>
        <v>0</v>
      </c>
      <c r="AF42">
        <f>IF(AND(SUM(VLOOKUP($A42,test!$A$3:$F$32,2,FALSE),VLOOKUP(AF$1,test!$A$3:$F$32,2,FALSE))&lt;test!$K$16,$A42&lt;&gt;AF$1,Recharged_Feasible_mat!AG11=1),(VLOOKUP(AF$1,test!$A$3:$I$32,8,FALSE))-(VLOOKUP($A42,test!$A$3:$I$32,9,FALSE))+test!$B$33,0)</f>
        <v>0</v>
      </c>
    </row>
    <row r="43" spans="1:32" x14ac:dyDescent="0.25">
      <c r="A43" t="s">
        <v>20</v>
      </c>
      <c r="B43">
        <v>0</v>
      </c>
      <c r="C43">
        <f>IF(AND(SUM(VLOOKUP($A43,test!$A$3:$F$32,2,FALSE),VLOOKUP(C$1,test!$A$3:$F$32,2,FALSE))&lt;test!$K$16,$A43&lt;&gt;C$1,feasible_mat!C43=1),(VLOOKUP(C$1,test!$A$3:$I$32,8,FALSE))-(VLOOKUP($A43,test!$A$3:$I$32,9,FALSE))+test!$B$33,0)</f>
        <v>0</v>
      </c>
      <c r="D43">
        <f>IF(AND(SUM(VLOOKUP($A43,test!$A$3:$F$32,2,FALSE),VLOOKUP(D$1,test!$A$3:$F$32,2,FALSE))&lt;test!$K$16,$A43&lt;&gt;D$1,Recharged_Feasible_mat!E12=1),(VLOOKUP(D$1,test!$A$3:$I$32,8,FALSE))-(VLOOKUP($A43,test!$A$3:$I$32,9,FALSE))+test!$B$33,0)</f>
        <v>0</v>
      </c>
      <c r="E43">
        <f>IF(AND(SUM(VLOOKUP($A43,test!$A$3:$F$32,2,FALSE),VLOOKUP(E$1,test!$A$3:$F$32,2,FALSE))&lt;test!$K$16,$A43&lt;&gt;E$1,Recharged_Feasible_mat!F12=1),(VLOOKUP(E$1,test!$A$3:$I$32,8,FALSE))-(VLOOKUP($A43,test!$A$3:$I$32,9,FALSE))+test!$B$33,0)</f>
        <v>0</v>
      </c>
      <c r="F43">
        <f>IF(AND(SUM(VLOOKUP($A43,test!$A$3:$F$32,2,FALSE),VLOOKUP(F$1,test!$A$3:$F$32,2,FALSE))&lt;test!$K$16,$A43&lt;&gt;F$1,Recharged_Feasible_mat!G12=1),(VLOOKUP(F$1,test!$A$3:$I$32,8,FALSE))-(VLOOKUP($A43,test!$A$3:$I$32,9,FALSE))+test!$B$33,0)</f>
        <v>155</v>
      </c>
      <c r="G43">
        <f>IF(AND(SUM(VLOOKUP($A43,test!$A$3:$F$32,2,FALSE),VLOOKUP(G$1,test!$A$3:$F$32,2,FALSE))&lt;test!$K$16,$A43&lt;&gt;G$1,Recharged_Feasible_mat!H12=1),(VLOOKUP(G$1,test!$A$3:$I$32,8,FALSE))-(VLOOKUP($A43,test!$A$3:$I$32,9,FALSE))+test!$B$33,0)</f>
        <v>215</v>
      </c>
      <c r="H43">
        <f>IF(AND(SUM(VLOOKUP($A43,test!$A$3:$F$32,2,FALSE),VLOOKUP(H$1,test!$A$3:$F$32,2,FALSE))&lt;test!$K$16,$A43&lt;&gt;H$1,Recharged_Feasible_mat!I12=1),(VLOOKUP(H$1,test!$A$3:$I$32,8,FALSE))-(VLOOKUP($A43,test!$A$3:$I$32,9,FALSE))+test!$B$33,0)</f>
        <v>275</v>
      </c>
      <c r="I43">
        <f>IF(AND(SUM(VLOOKUP($A43,test!$A$3:$F$32,2,FALSE),VLOOKUP(I$1,test!$A$3:$F$32,2,FALSE))&lt;test!$K$16,$A43&lt;&gt;I$1,Recharged_Feasible_mat!J12=1),(VLOOKUP(I$1,test!$A$3:$I$32,8,FALSE))-(VLOOKUP($A43,test!$A$3:$I$32,9,FALSE))+test!$B$33,0)</f>
        <v>335</v>
      </c>
      <c r="J43">
        <f>IF(AND(SUM(VLOOKUP($A43,test!$A$3:$F$32,2,FALSE),VLOOKUP(J$1,test!$A$3:$F$32,2,FALSE))&lt;test!$K$16,$A43&lt;&gt;J$1,Recharged_Feasible_mat!K12=1),(VLOOKUP(J$1,test!$A$3:$I$32,8,FALSE))-(VLOOKUP($A43,test!$A$3:$I$32,9,FALSE))+test!$B$33,0)</f>
        <v>425</v>
      </c>
      <c r="K43">
        <f>IF(AND(SUM(VLOOKUP($A43,test!$A$3:$F$32,2,FALSE),VLOOKUP(K$1,test!$A$3:$F$32,2,FALSE))&lt;test!$K$16,$A43&lt;&gt;K$1,Recharged_Feasible_mat!L12=1),(VLOOKUP(K$1,test!$A$3:$I$32,8,FALSE))-(VLOOKUP($A43,test!$A$3:$I$32,9,FALSE))+test!$B$33,0)</f>
        <v>0</v>
      </c>
      <c r="L43">
        <f>IF(AND(SUM(VLOOKUP($A43,test!$A$3:$F$32,2,FALSE),VLOOKUP(L$1,test!$A$3:$F$32,2,FALSE))&lt;test!$K$16,$A43&lt;&gt;L$1,Recharged_Feasible_mat!M12=1),(VLOOKUP(L$1,test!$A$3:$I$32,8,FALSE))-(VLOOKUP($A43,test!$A$3:$I$32,9,FALSE))+test!$B$33,0)</f>
        <v>0</v>
      </c>
      <c r="M43">
        <f>IF(AND(SUM(VLOOKUP($A43,test!$A$3:$F$32,2,FALSE),VLOOKUP(M$1,test!$A$3:$F$32,2,FALSE))&lt;test!$K$16,$A43&lt;&gt;M$1,Recharged_Feasible_mat!N12=1),(VLOOKUP(M$1,test!$A$3:$I$32,8,FALSE))-(VLOOKUP($A43,test!$A$3:$I$32,9,FALSE))+test!$B$33,0)</f>
        <v>0</v>
      </c>
      <c r="N43">
        <f>IF(AND(SUM(VLOOKUP($A43,test!$A$3:$F$32,2,FALSE),VLOOKUP(N$1,test!$A$3:$F$32,2,FALSE))&lt;test!$K$16,$A43&lt;&gt;N$1,Recharged_Feasible_mat!O12=1),(VLOOKUP(N$1,test!$A$3:$I$32,8,FALSE))-(VLOOKUP($A43,test!$A$3:$I$32,9,FALSE))+test!$B$33,0)</f>
        <v>390</v>
      </c>
      <c r="O43">
        <f>IF(AND(SUM(VLOOKUP($A43,test!$A$3:$F$32,2,FALSE),VLOOKUP(O$1,test!$A$3:$F$32,2,FALSE))&lt;test!$K$16,$A43&lt;&gt;O$1,Recharged_Feasible_mat!P12=1),(VLOOKUP(O$1,test!$A$3:$I$32,8,FALSE))-(VLOOKUP($A43,test!$A$3:$I$32,9,FALSE))+test!$B$33,0)</f>
        <v>450</v>
      </c>
      <c r="P43">
        <f>IF(AND(SUM(VLOOKUP($A43,test!$A$3:$F$32,2,FALSE),VLOOKUP(P$1,test!$A$3:$F$32,2,FALSE))&lt;test!$K$16,$A43&lt;&gt;P$1,Recharged_Feasible_mat!Q12=1),(VLOOKUP(P$1,test!$A$3:$I$32,8,FALSE))-(VLOOKUP($A43,test!$A$3:$I$32,9,FALSE))+test!$B$33,0)</f>
        <v>0</v>
      </c>
      <c r="Q43">
        <f>IF(AND(SUM(VLOOKUP($A43,test!$A$3:$F$32,2,FALSE),VLOOKUP(Q$1,test!$A$3:$F$32,2,FALSE))&lt;test!$K$16,$A43&lt;&gt;Q$1,Recharged_Feasible_mat!R12=1),(VLOOKUP(Q$1,test!$A$3:$I$32,8,FALSE))-(VLOOKUP($A43,test!$A$3:$I$32,9,FALSE))+test!$B$33,0)</f>
        <v>0</v>
      </c>
      <c r="R43">
        <f>IF(AND(SUM(VLOOKUP($A43,test!$A$3:$F$32,2,FALSE),VLOOKUP(R$1,test!$A$3:$F$32,2,FALSE))&lt;test!$K$16,$A43&lt;&gt;R$1,Recharged_Feasible_mat!S12=1),(VLOOKUP(R$1,test!$A$3:$I$32,8,FALSE))-(VLOOKUP($A43,test!$A$3:$I$32,9,FALSE))+test!$B$33,0)</f>
        <v>0</v>
      </c>
      <c r="S43">
        <f>IF(AND(SUM(VLOOKUP($A43,test!$A$3:$F$32,2,FALSE),VLOOKUP(S$1,test!$A$3:$F$32,2,FALSE))&lt;test!$K$16,$A43&lt;&gt;S$1,Recharged_Feasible_mat!T12=1),(VLOOKUP(S$1,test!$A$3:$I$32,8,FALSE))-(VLOOKUP($A43,test!$A$3:$I$32,9,FALSE))+test!$B$33,0)</f>
        <v>0</v>
      </c>
      <c r="T43">
        <f>IF(AND(SUM(VLOOKUP($A43,test!$A$3:$F$32,2,FALSE),VLOOKUP(T$1,test!$A$3:$F$32,2,FALSE))&lt;test!$K$16,$A43&lt;&gt;T$1,Recharged_Feasible_mat!U12=1),(VLOOKUP(T$1,test!$A$3:$I$32,8,FALSE))-(VLOOKUP($A43,test!$A$3:$I$32,9,FALSE))+test!$B$33,0)</f>
        <v>0</v>
      </c>
      <c r="U43">
        <f>IF(AND(SUM(VLOOKUP($A43,test!$A$3:$F$32,2,FALSE),VLOOKUP(U$1,test!$A$3:$F$32,2,FALSE))&lt;test!$K$16,$A43&lt;&gt;U$1,Recharged_Feasible_mat!V12=1),(VLOOKUP(U$1,test!$A$3:$I$32,8,FALSE))-(VLOOKUP($A43,test!$A$3:$I$32,9,FALSE))+test!$B$33,0)</f>
        <v>135</v>
      </c>
      <c r="V43">
        <f>IF(AND(SUM(VLOOKUP($A43,test!$A$3:$F$32,2,FALSE),VLOOKUP(V$1,test!$A$3:$F$32,2,FALSE))&lt;test!$K$16,$A43&lt;&gt;V$1,Recharged_Feasible_mat!W12=1),(VLOOKUP(V$1,test!$A$3:$I$32,8,FALSE))-(VLOOKUP($A43,test!$A$3:$I$32,9,FALSE))+test!$B$33,0)</f>
        <v>225</v>
      </c>
      <c r="W43">
        <f>IF(AND(SUM(VLOOKUP($A43,test!$A$3:$F$32,2,FALSE),VLOOKUP(W$1,test!$A$3:$F$32,2,FALSE))&lt;test!$K$16,$A43&lt;&gt;W$1,Recharged_Feasible_mat!X12=1),(VLOOKUP(W$1,test!$A$3:$I$32,8,FALSE))-(VLOOKUP($A43,test!$A$3:$I$32,9,FALSE))+test!$B$33,0)</f>
        <v>315</v>
      </c>
      <c r="X43">
        <f>IF(AND(SUM(VLOOKUP($A43,test!$A$3:$F$32,2,FALSE),VLOOKUP(X$1,test!$A$3:$F$32,2,FALSE))&lt;test!$K$16,$A43&lt;&gt;X$1,Recharged_Feasible_mat!Y12=1),(VLOOKUP(X$1,test!$A$3:$I$32,8,FALSE))-(VLOOKUP($A43,test!$A$3:$I$32,9,FALSE))+test!$B$33,0)</f>
        <v>375</v>
      </c>
      <c r="Y43">
        <f>IF(AND(SUM(VLOOKUP($A43,test!$A$3:$F$32,2,FALSE),VLOOKUP(Y$1,test!$A$3:$F$32,2,FALSE))&lt;test!$K$16,$A43&lt;&gt;Y$1,Recharged_Feasible_mat!Z12=1),(VLOOKUP(Y$1,test!$A$3:$I$32,8,FALSE))-(VLOOKUP($A43,test!$A$3:$I$32,9,FALSE))+test!$B$33,0)</f>
        <v>0</v>
      </c>
      <c r="Z43">
        <f>IF(AND(SUM(VLOOKUP($A43,test!$A$3:$F$32,2,FALSE),VLOOKUP(Z$1,test!$A$3:$F$32,2,FALSE))&lt;test!$K$16,$A43&lt;&gt;Z$1,Recharged_Feasible_mat!AA12=1),(VLOOKUP(Z$1,test!$A$3:$I$32,8,FALSE))-(VLOOKUP($A43,test!$A$3:$I$32,9,FALSE))+test!$B$33,0)</f>
        <v>0</v>
      </c>
      <c r="AA43">
        <f>IF(AND(SUM(VLOOKUP($A43,test!$A$3:$F$32,2,FALSE),VLOOKUP(AA$1,test!$A$3:$F$32,2,FALSE))&lt;test!$K$16,$A43&lt;&gt;AA$1,Recharged_Feasible_mat!AB12=1),(VLOOKUP(AA$1,test!$A$3:$I$32,8,FALSE))-(VLOOKUP($A43,test!$A$3:$I$32,9,FALSE))+test!$B$33,0)</f>
        <v>0</v>
      </c>
      <c r="AB43">
        <f>IF(AND(SUM(VLOOKUP($A43,test!$A$3:$F$32,2,FALSE),VLOOKUP(AB$1,test!$A$3:$F$32,2,FALSE))&lt;test!$K$16,$A43&lt;&gt;AB$1,Recharged_Feasible_mat!AC12=1),(VLOOKUP(AB$1,test!$A$3:$I$32,8,FALSE))-(VLOOKUP($A43,test!$A$3:$I$32,9,FALSE))+test!$B$33,0)</f>
        <v>155</v>
      </c>
      <c r="AC43">
        <f>IF(AND(SUM(VLOOKUP($A43,test!$A$3:$F$32,2,FALSE),VLOOKUP(AC$1,test!$A$3:$F$32,2,FALSE))&lt;test!$K$16,$A43&lt;&gt;AC$1,Recharged_Feasible_mat!AD12=1),(VLOOKUP(AC$1,test!$A$3:$I$32,8,FALSE))-(VLOOKUP($A43,test!$A$3:$I$32,9,FALSE))+test!$B$33,0)</f>
        <v>275</v>
      </c>
      <c r="AD43">
        <f>IF(AND(SUM(VLOOKUP($A43,test!$A$3:$F$32,2,FALSE),VLOOKUP(AD$1,test!$A$3:$F$32,2,FALSE))&lt;test!$K$16,$A43&lt;&gt;AD$1,Recharged_Feasible_mat!AE12=1),(VLOOKUP(AD$1,test!$A$3:$I$32,8,FALSE))-(VLOOKUP($A43,test!$A$3:$I$32,9,FALSE))+test!$B$33,0)</f>
        <v>0</v>
      </c>
      <c r="AE43">
        <f>IF(AND(SUM(VLOOKUP($A43,test!$A$3:$F$32,2,FALSE),VLOOKUP(AE$1,test!$A$3:$F$32,2,FALSE))&lt;test!$K$16,$A43&lt;&gt;AE$1,Recharged_Feasible_mat!AF12=1),(VLOOKUP(AE$1,test!$A$3:$I$32,8,FALSE))-(VLOOKUP($A43,test!$A$3:$I$32,9,FALSE))+test!$B$33,0)</f>
        <v>0</v>
      </c>
      <c r="AF43">
        <f>IF(AND(SUM(VLOOKUP($A43,test!$A$3:$F$32,2,FALSE),VLOOKUP(AF$1,test!$A$3:$F$32,2,FALSE))&lt;test!$K$16,$A43&lt;&gt;AF$1,Recharged_Feasible_mat!AG12=1),(VLOOKUP(AF$1,test!$A$3:$I$32,8,FALSE))-(VLOOKUP($A43,test!$A$3:$I$32,9,FALSE))+test!$B$33,0)</f>
        <v>0</v>
      </c>
    </row>
    <row r="44" spans="1:32" x14ac:dyDescent="0.25">
      <c r="A44" t="s">
        <v>21</v>
      </c>
      <c r="B44">
        <v>0</v>
      </c>
      <c r="C44">
        <f>IF(AND(SUM(VLOOKUP($A44,test!$A$3:$F$32,2,FALSE),VLOOKUP(C$1,test!$A$3:$F$32,2,FALSE))&lt;test!$K$16,$A44&lt;&gt;C$1,feasible_mat!C44=1),(VLOOKUP(C$1,test!$A$3:$I$32,8,FALSE))-(VLOOKUP($A44,test!$A$3:$I$32,9,FALSE))+test!$B$33,0)</f>
        <v>0</v>
      </c>
      <c r="D44">
        <f>IF(AND(SUM(VLOOKUP($A44,test!$A$3:$F$32,2,FALSE),VLOOKUP(D$1,test!$A$3:$F$32,2,FALSE))&lt;test!$K$16,$A44&lt;&gt;D$1,Recharged_Feasible_mat!E13=1),(VLOOKUP(D$1,test!$A$3:$I$32,8,FALSE))-(VLOOKUP($A44,test!$A$3:$I$32,9,FALSE))+test!$B$33,0)</f>
        <v>0</v>
      </c>
      <c r="E44">
        <f>IF(AND(SUM(VLOOKUP($A44,test!$A$3:$F$32,2,FALSE),VLOOKUP(E$1,test!$A$3:$F$32,2,FALSE))&lt;test!$K$16,$A44&lt;&gt;E$1,Recharged_Feasible_mat!F13=1),(VLOOKUP(E$1,test!$A$3:$I$32,8,FALSE))-(VLOOKUP($A44,test!$A$3:$I$32,9,FALSE))+test!$B$33,0)</f>
        <v>0</v>
      </c>
      <c r="F44">
        <f>IF(AND(SUM(VLOOKUP($A44,test!$A$3:$F$32,2,FALSE),VLOOKUP(F$1,test!$A$3:$F$32,2,FALSE))&lt;test!$K$16,$A44&lt;&gt;F$1,Recharged_Feasible_mat!G13=1),(VLOOKUP(F$1,test!$A$3:$I$32,8,FALSE))-(VLOOKUP($A44,test!$A$3:$I$32,9,FALSE))+test!$B$33,0)</f>
        <v>0</v>
      </c>
      <c r="G44">
        <f>IF(AND(SUM(VLOOKUP($A44,test!$A$3:$F$32,2,FALSE),VLOOKUP(G$1,test!$A$3:$F$32,2,FALSE))&lt;test!$K$16,$A44&lt;&gt;G$1,Recharged_Feasible_mat!H13=1),(VLOOKUP(G$1,test!$A$3:$I$32,8,FALSE))-(VLOOKUP($A44,test!$A$3:$I$32,9,FALSE))+test!$B$33,0)</f>
        <v>0</v>
      </c>
      <c r="H44">
        <f>IF(AND(SUM(VLOOKUP($A44,test!$A$3:$F$32,2,FALSE),VLOOKUP(H$1,test!$A$3:$F$32,2,FALSE))&lt;test!$K$16,$A44&lt;&gt;H$1,Recharged_Feasible_mat!I13=1),(VLOOKUP(H$1,test!$A$3:$I$32,8,FALSE))-(VLOOKUP($A44,test!$A$3:$I$32,9,FALSE))+test!$B$33,0)</f>
        <v>155</v>
      </c>
      <c r="I44">
        <f>IF(AND(SUM(VLOOKUP($A44,test!$A$3:$F$32,2,FALSE),VLOOKUP(I$1,test!$A$3:$F$32,2,FALSE))&lt;test!$K$16,$A44&lt;&gt;I$1,Recharged_Feasible_mat!J13=1),(VLOOKUP(I$1,test!$A$3:$I$32,8,FALSE))-(VLOOKUP($A44,test!$A$3:$I$32,9,FALSE))+test!$B$33,0)</f>
        <v>215</v>
      </c>
      <c r="J44">
        <f>IF(AND(SUM(VLOOKUP($A44,test!$A$3:$F$32,2,FALSE),VLOOKUP(J$1,test!$A$3:$F$32,2,FALSE))&lt;test!$K$16,$A44&lt;&gt;J$1,Recharged_Feasible_mat!K13=1),(VLOOKUP(J$1,test!$A$3:$I$32,8,FALSE))-(VLOOKUP($A44,test!$A$3:$I$32,9,FALSE))+test!$B$33,0)</f>
        <v>305</v>
      </c>
      <c r="K44">
        <f>IF(AND(SUM(VLOOKUP($A44,test!$A$3:$F$32,2,FALSE),VLOOKUP(K$1,test!$A$3:$F$32,2,FALSE))&lt;test!$K$16,$A44&lt;&gt;K$1,Recharged_Feasible_mat!L13=1),(VLOOKUP(K$1,test!$A$3:$I$32,8,FALSE))-(VLOOKUP($A44,test!$A$3:$I$32,9,FALSE))+test!$B$33,0)</f>
        <v>0</v>
      </c>
      <c r="L44">
        <f>IF(AND(SUM(VLOOKUP($A44,test!$A$3:$F$32,2,FALSE),VLOOKUP(L$1,test!$A$3:$F$32,2,FALSE))&lt;test!$K$16,$A44&lt;&gt;L$1,Recharged_Feasible_mat!M13=1),(VLOOKUP(L$1,test!$A$3:$I$32,8,FALSE))-(VLOOKUP($A44,test!$A$3:$I$32,9,FALSE))+test!$B$33,0)</f>
        <v>0</v>
      </c>
      <c r="M44">
        <f>IF(AND(SUM(VLOOKUP($A44,test!$A$3:$F$32,2,FALSE),VLOOKUP(M$1,test!$A$3:$F$32,2,FALSE))&lt;test!$K$16,$A44&lt;&gt;M$1,Recharged_Feasible_mat!N13=1),(VLOOKUP(M$1,test!$A$3:$I$32,8,FALSE))-(VLOOKUP($A44,test!$A$3:$I$32,9,FALSE))+test!$B$33,0)</f>
        <v>0</v>
      </c>
      <c r="N44">
        <f>IF(AND(SUM(VLOOKUP($A44,test!$A$3:$F$32,2,FALSE),VLOOKUP(N$1,test!$A$3:$F$32,2,FALSE))&lt;test!$K$16,$A44&lt;&gt;N$1,Recharged_Feasible_mat!O13=1),(VLOOKUP(N$1,test!$A$3:$I$32,8,FALSE))-(VLOOKUP($A44,test!$A$3:$I$32,9,FALSE))+test!$B$33,0)</f>
        <v>270</v>
      </c>
      <c r="O44">
        <f>IF(AND(SUM(VLOOKUP($A44,test!$A$3:$F$32,2,FALSE),VLOOKUP(O$1,test!$A$3:$F$32,2,FALSE))&lt;test!$K$16,$A44&lt;&gt;O$1,Recharged_Feasible_mat!P13=1),(VLOOKUP(O$1,test!$A$3:$I$32,8,FALSE))-(VLOOKUP($A44,test!$A$3:$I$32,9,FALSE))+test!$B$33,0)</f>
        <v>330</v>
      </c>
      <c r="P44">
        <f>IF(AND(SUM(VLOOKUP($A44,test!$A$3:$F$32,2,FALSE),VLOOKUP(P$1,test!$A$3:$F$32,2,FALSE))&lt;test!$K$16,$A44&lt;&gt;P$1,Recharged_Feasible_mat!Q13=1),(VLOOKUP(P$1,test!$A$3:$I$32,8,FALSE))-(VLOOKUP($A44,test!$A$3:$I$32,9,FALSE))+test!$B$33,0)</f>
        <v>0</v>
      </c>
      <c r="Q44">
        <f>IF(AND(SUM(VLOOKUP($A44,test!$A$3:$F$32,2,FALSE),VLOOKUP(Q$1,test!$A$3:$F$32,2,FALSE))&lt;test!$K$16,$A44&lt;&gt;Q$1,Recharged_Feasible_mat!R13=1),(VLOOKUP(Q$1,test!$A$3:$I$32,8,FALSE))-(VLOOKUP($A44,test!$A$3:$I$32,9,FALSE))+test!$B$33,0)</f>
        <v>0</v>
      </c>
      <c r="R44">
        <f>IF(AND(SUM(VLOOKUP($A44,test!$A$3:$F$32,2,FALSE),VLOOKUP(R$1,test!$A$3:$F$32,2,FALSE))&lt;test!$K$16,$A44&lt;&gt;R$1,Recharged_Feasible_mat!S13=1),(VLOOKUP(R$1,test!$A$3:$I$32,8,FALSE))-(VLOOKUP($A44,test!$A$3:$I$32,9,FALSE))+test!$B$33,0)</f>
        <v>0</v>
      </c>
      <c r="S44">
        <f>IF(AND(SUM(VLOOKUP($A44,test!$A$3:$F$32,2,FALSE),VLOOKUP(S$1,test!$A$3:$F$32,2,FALSE))&lt;test!$K$16,$A44&lt;&gt;S$1,Recharged_Feasible_mat!T13=1),(VLOOKUP(S$1,test!$A$3:$I$32,8,FALSE))-(VLOOKUP($A44,test!$A$3:$I$32,9,FALSE))+test!$B$33,0)</f>
        <v>0</v>
      </c>
      <c r="T44">
        <f>IF(AND(SUM(VLOOKUP($A44,test!$A$3:$F$32,2,FALSE),VLOOKUP(T$1,test!$A$3:$F$32,2,FALSE))&lt;test!$K$16,$A44&lt;&gt;T$1,Recharged_Feasible_mat!U13=1),(VLOOKUP(T$1,test!$A$3:$I$32,8,FALSE))-(VLOOKUP($A44,test!$A$3:$I$32,9,FALSE))+test!$B$33,0)</f>
        <v>0</v>
      </c>
      <c r="U44">
        <f>IF(AND(SUM(VLOOKUP($A44,test!$A$3:$F$32,2,FALSE),VLOOKUP(U$1,test!$A$3:$F$32,2,FALSE))&lt;test!$K$16,$A44&lt;&gt;U$1,Recharged_Feasible_mat!V13=1),(VLOOKUP(U$1,test!$A$3:$I$32,8,FALSE))-(VLOOKUP($A44,test!$A$3:$I$32,9,FALSE))+test!$B$33,0)</f>
        <v>0</v>
      </c>
      <c r="V44">
        <f>IF(AND(SUM(VLOOKUP($A44,test!$A$3:$F$32,2,FALSE),VLOOKUP(V$1,test!$A$3:$F$32,2,FALSE))&lt;test!$K$16,$A44&lt;&gt;V$1,Recharged_Feasible_mat!W13=1),(VLOOKUP(V$1,test!$A$3:$I$32,8,FALSE))-(VLOOKUP($A44,test!$A$3:$I$32,9,FALSE))+test!$B$33,0)</f>
        <v>0</v>
      </c>
      <c r="W44">
        <f>IF(AND(SUM(VLOOKUP($A44,test!$A$3:$F$32,2,FALSE),VLOOKUP(W$1,test!$A$3:$F$32,2,FALSE))&lt;test!$K$16,$A44&lt;&gt;W$1,Recharged_Feasible_mat!X13=1),(VLOOKUP(W$1,test!$A$3:$I$32,8,FALSE))-(VLOOKUP($A44,test!$A$3:$I$32,9,FALSE))+test!$B$33,0)</f>
        <v>195</v>
      </c>
      <c r="X44">
        <f>IF(AND(SUM(VLOOKUP($A44,test!$A$3:$F$32,2,FALSE),VLOOKUP(X$1,test!$A$3:$F$32,2,FALSE))&lt;test!$K$16,$A44&lt;&gt;X$1,Recharged_Feasible_mat!Y13=1),(VLOOKUP(X$1,test!$A$3:$I$32,8,FALSE))-(VLOOKUP($A44,test!$A$3:$I$32,9,FALSE))+test!$B$33,0)</f>
        <v>255</v>
      </c>
      <c r="Y44">
        <f>IF(AND(SUM(VLOOKUP($A44,test!$A$3:$F$32,2,FALSE),VLOOKUP(Y$1,test!$A$3:$F$32,2,FALSE))&lt;test!$K$16,$A44&lt;&gt;Y$1,Recharged_Feasible_mat!Z13=1),(VLOOKUP(Y$1,test!$A$3:$I$32,8,FALSE))-(VLOOKUP($A44,test!$A$3:$I$32,9,FALSE))+test!$B$33,0)</f>
        <v>0</v>
      </c>
      <c r="Z44">
        <f>IF(AND(SUM(VLOOKUP($A44,test!$A$3:$F$32,2,FALSE),VLOOKUP(Z$1,test!$A$3:$F$32,2,FALSE))&lt;test!$K$16,$A44&lt;&gt;Z$1,Recharged_Feasible_mat!AA13=1),(VLOOKUP(Z$1,test!$A$3:$I$32,8,FALSE))-(VLOOKUP($A44,test!$A$3:$I$32,9,FALSE))+test!$B$33,0)</f>
        <v>0</v>
      </c>
      <c r="AA44">
        <f>IF(AND(SUM(VLOOKUP($A44,test!$A$3:$F$32,2,FALSE),VLOOKUP(AA$1,test!$A$3:$F$32,2,FALSE))&lt;test!$K$16,$A44&lt;&gt;AA$1,Recharged_Feasible_mat!AB13=1),(VLOOKUP(AA$1,test!$A$3:$I$32,8,FALSE))-(VLOOKUP($A44,test!$A$3:$I$32,9,FALSE))+test!$B$33,0)</f>
        <v>0</v>
      </c>
      <c r="AB44">
        <f>IF(AND(SUM(VLOOKUP($A44,test!$A$3:$F$32,2,FALSE),VLOOKUP(AB$1,test!$A$3:$F$32,2,FALSE))&lt;test!$K$16,$A44&lt;&gt;AB$1,Recharged_Feasible_mat!AC13=1),(VLOOKUP(AB$1,test!$A$3:$I$32,8,FALSE))-(VLOOKUP($A44,test!$A$3:$I$32,9,FALSE))+test!$B$33,0)</f>
        <v>0</v>
      </c>
      <c r="AC44">
        <f>IF(AND(SUM(VLOOKUP($A44,test!$A$3:$F$32,2,FALSE),VLOOKUP(AC$1,test!$A$3:$F$32,2,FALSE))&lt;test!$K$16,$A44&lt;&gt;AC$1,Recharged_Feasible_mat!AD13=1),(VLOOKUP(AC$1,test!$A$3:$I$32,8,FALSE))-(VLOOKUP($A44,test!$A$3:$I$32,9,FALSE))+test!$B$33,0)</f>
        <v>155</v>
      </c>
      <c r="AD44">
        <f>IF(AND(SUM(VLOOKUP($A44,test!$A$3:$F$32,2,FALSE),VLOOKUP(AD$1,test!$A$3:$F$32,2,FALSE))&lt;test!$K$16,$A44&lt;&gt;AD$1,Recharged_Feasible_mat!AE13=1),(VLOOKUP(AD$1,test!$A$3:$I$32,8,FALSE))-(VLOOKUP($A44,test!$A$3:$I$32,9,FALSE))+test!$B$33,0)</f>
        <v>0</v>
      </c>
      <c r="AE44">
        <f>IF(AND(SUM(VLOOKUP($A44,test!$A$3:$F$32,2,FALSE),VLOOKUP(AE$1,test!$A$3:$F$32,2,FALSE))&lt;test!$K$16,$A44&lt;&gt;AE$1,Recharged_Feasible_mat!AF13=1),(VLOOKUP(AE$1,test!$A$3:$I$32,8,FALSE))-(VLOOKUP($A44,test!$A$3:$I$32,9,FALSE))+test!$B$33,0)</f>
        <v>0</v>
      </c>
      <c r="AF44">
        <f>IF(AND(SUM(VLOOKUP($A44,test!$A$3:$F$32,2,FALSE),VLOOKUP(AF$1,test!$A$3:$F$32,2,FALSE))&lt;test!$K$16,$A44&lt;&gt;AF$1,Recharged_Feasible_mat!AG13=1),(VLOOKUP(AF$1,test!$A$3:$I$32,8,FALSE))-(VLOOKUP($A44,test!$A$3:$I$32,9,FALSE))+test!$B$33,0)</f>
        <v>0</v>
      </c>
    </row>
    <row r="45" spans="1:32" x14ac:dyDescent="0.25">
      <c r="A45" t="s">
        <v>22</v>
      </c>
      <c r="B45">
        <v>0</v>
      </c>
      <c r="C45">
        <f>IF(AND(SUM(VLOOKUP($A45,test!$A$3:$F$32,2,FALSE),VLOOKUP(C$1,test!$A$3:$F$32,2,FALSE))&lt;test!$K$16,$A45&lt;&gt;C$1,feasible_mat!C45=1),(VLOOKUP(C$1,test!$A$3:$I$32,8,FALSE))-(VLOOKUP($A45,test!$A$3:$I$32,9,FALSE))+test!$B$33,0)</f>
        <v>0</v>
      </c>
      <c r="D45">
        <f>IF(AND(SUM(VLOOKUP($A45,test!$A$3:$F$32,2,FALSE),VLOOKUP(D$1,test!$A$3:$F$32,2,FALSE))&lt;test!$K$16,$A45&lt;&gt;D$1,Recharged_Feasible_mat!E14=1),(VLOOKUP(D$1,test!$A$3:$I$32,8,FALSE))-(VLOOKUP($A45,test!$A$3:$I$32,9,FALSE))+test!$B$33,0)</f>
        <v>0</v>
      </c>
      <c r="E45">
        <f>IF(AND(SUM(VLOOKUP($A45,test!$A$3:$F$32,2,FALSE),VLOOKUP(E$1,test!$A$3:$F$32,2,FALSE))&lt;test!$K$16,$A45&lt;&gt;E$1,Recharged_Feasible_mat!F14=1),(VLOOKUP(E$1,test!$A$3:$I$32,8,FALSE))-(VLOOKUP($A45,test!$A$3:$I$32,9,FALSE))+test!$B$33,0)</f>
        <v>0</v>
      </c>
      <c r="F45">
        <f>IF(AND(SUM(VLOOKUP($A45,test!$A$3:$F$32,2,FALSE),VLOOKUP(F$1,test!$A$3:$F$32,2,FALSE))&lt;test!$K$16,$A45&lt;&gt;F$1,Recharged_Feasible_mat!G14=1),(VLOOKUP(F$1,test!$A$3:$I$32,8,FALSE))-(VLOOKUP($A45,test!$A$3:$I$32,9,FALSE))+test!$B$33,0)</f>
        <v>0</v>
      </c>
      <c r="G45">
        <f>IF(AND(SUM(VLOOKUP($A45,test!$A$3:$F$32,2,FALSE),VLOOKUP(G$1,test!$A$3:$F$32,2,FALSE))&lt;test!$K$16,$A45&lt;&gt;G$1,Recharged_Feasible_mat!H14=1),(VLOOKUP(G$1,test!$A$3:$I$32,8,FALSE))-(VLOOKUP($A45,test!$A$3:$I$32,9,FALSE))+test!$B$33,0)</f>
        <v>0</v>
      </c>
      <c r="H45">
        <f>IF(AND(SUM(VLOOKUP($A45,test!$A$3:$F$32,2,FALSE),VLOOKUP(H$1,test!$A$3:$F$32,2,FALSE))&lt;test!$K$16,$A45&lt;&gt;H$1,Recharged_Feasible_mat!I14=1),(VLOOKUP(H$1,test!$A$3:$I$32,8,FALSE))-(VLOOKUP($A45,test!$A$3:$I$32,9,FALSE))+test!$B$33,0)</f>
        <v>0</v>
      </c>
      <c r="I45">
        <f>IF(AND(SUM(VLOOKUP($A45,test!$A$3:$F$32,2,FALSE),VLOOKUP(I$1,test!$A$3:$F$32,2,FALSE))&lt;test!$K$16,$A45&lt;&gt;I$1,Recharged_Feasible_mat!J14=1),(VLOOKUP(I$1,test!$A$3:$I$32,8,FALSE))-(VLOOKUP($A45,test!$A$3:$I$32,9,FALSE))+test!$B$33,0)</f>
        <v>0</v>
      </c>
      <c r="J45">
        <f>IF(AND(SUM(VLOOKUP($A45,test!$A$3:$F$32,2,FALSE),VLOOKUP(J$1,test!$A$3:$F$32,2,FALSE))&lt;test!$K$16,$A45&lt;&gt;J$1,Recharged_Feasible_mat!K14=1),(VLOOKUP(J$1,test!$A$3:$I$32,8,FALSE))-(VLOOKUP($A45,test!$A$3:$I$32,9,FALSE))+test!$B$33,0)</f>
        <v>0</v>
      </c>
      <c r="K45">
        <f>IF(AND(SUM(VLOOKUP($A45,test!$A$3:$F$32,2,FALSE),VLOOKUP(K$1,test!$A$3:$F$32,2,FALSE))&lt;test!$K$16,$A45&lt;&gt;K$1,Recharged_Feasible_mat!L14=1),(VLOOKUP(K$1,test!$A$3:$I$32,8,FALSE))-(VLOOKUP($A45,test!$A$3:$I$32,9,FALSE))+test!$B$33,0)</f>
        <v>0</v>
      </c>
      <c r="L45">
        <f>IF(AND(SUM(VLOOKUP($A45,test!$A$3:$F$32,2,FALSE),VLOOKUP(L$1,test!$A$3:$F$32,2,FALSE))&lt;test!$K$16,$A45&lt;&gt;L$1,Recharged_Feasible_mat!M14=1),(VLOOKUP(L$1,test!$A$3:$I$32,8,FALSE))-(VLOOKUP($A45,test!$A$3:$I$32,9,FALSE))+test!$B$33,0)</f>
        <v>0</v>
      </c>
      <c r="M45">
        <f>IF(AND(SUM(VLOOKUP($A45,test!$A$3:$F$32,2,FALSE),VLOOKUP(M$1,test!$A$3:$F$32,2,FALSE))&lt;test!$K$16,$A45&lt;&gt;M$1,Recharged_Feasible_mat!N14=1),(VLOOKUP(M$1,test!$A$3:$I$32,8,FALSE))-(VLOOKUP($A45,test!$A$3:$I$32,9,FALSE))+test!$B$33,0)</f>
        <v>0</v>
      </c>
      <c r="N45">
        <f>IF(AND(SUM(VLOOKUP($A45,test!$A$3:$F$32,2,FALSE),VLOOKUP(N$1,test!$A$3:$F$32,2,FALSE))&lt;test!$K$16,$A45&lt;&gt;N$1,Recharged_Feasible_mat!O14=1),(VLOOKUP(N$1,test!$A$3:$I$32,8,FALSE))-(VLOOKUP($A45,test!$A$3:$I$32,9,FALSE))+test!$B$33,0)</f>
        <v>0</v>
      </c>
      <c r="O45">
        <f>IF(AND(SUM(VLOOKUP($A45,test!$A$3:$F$32,2,FALSE),VLOOKUP(O$1,test!$A$3:$F$32,2,FALSE))&lt;test!$K$16,$A45&lt;&gt;O$1,Recharged_Feasible_mat!P14=1),(VLOOKUP(O$1,test!$A$3:$I$32,8,FALSE))-(VLOOKUP($A45,test!$A$3:$I$32,9,FALSE))+test!$B$33,0)</f>
        <v>0</v>
      </c>
      <c r="P45">
        <f>IF(AND(SUM(VLOOKUP($A45,test!$A$3:$F$32,2,FALSE),VLOOKUP(P$1,test!$A$3:$F$32,2,FALSE))&lt;test!$K$16,$A45&lt;&gt;P$1,Recharged_Feasible_mat!Q14=1),(VLOOKUP(P$1,test!$A$3:$I$32,8,FALSE))-(VLOOKUP($A45,test!$A$3:$I$32,9,FALSE))+test!$B$33,0)</f>
        <v>0</v>
      </c>
      <c r="Q45">
        <f>IF(AND(SUM(VLOOKUP($A45,test!$A$3:$F$32,2,FALSE),VLOOKUP(Q$1,test!$A$3:$F$32,2,FALSE))&lt;test!$K$16,$A45&lt;&gt;Q$1,Recharged_Feasible_mat!R14=1),(VLOOKUP(Q$1,test!$A$3:$I$32,8,FALSE))-(VLOOKUP($A45,test!$A$3:$I$32,9,FALSE))+test!$B$33,0)</f>
        <v>0</v>
      </c>
      <c r="R45">
        <f>IF(AND(SUM(VLOOKUP($A45,test!$A$3:$F$32,2,FALSE),VLOOKUP(R$1,test!$A$3:$F$32,2,FALSE))&lt;test!$K$16,$A45&lt;&gt;R$1,Recharged_Feasible_mat!S14=1),(VLOOKUP(R$1,test!$A$3:$I$32,8,FALSE))-(VLOOKUP($A45,test!$A$3:$I$32,9,FALSE))+test!$B$33,0)</f>
        <v>0</v>
      </c>
      <c r="S45">
        <f>IF(AND(SUM(VLOOKUP($A45,test!$A$3:$F$32,2,FALSE),VLOOKUP(S$1,test!$A$3:$F$32,2,FALSE))&lt;test!$K$16,$A45&lt;&gt;S$1,Recharged_Feasible_mat!T14=1),(VLOOKUP(S$1,test!$A$3:$I$32,8,FALSE))-(VLOOKUP($A45,test!$A$3:$I$32,9,FALSE))+test!$B$33,0)</f>
        <v>0</v>
      </c>
      <c r="T45">
        <f>IF(AND(SUM(VLOOKUP($A45,test!$A$3:$F$32,2,FALSE),VLOOKUP(T$1,test!$A$3:$F$32,2,FALSE))&lt;test!$K$16,$A45&lt;&gt;T$1,Recharged_Feasible_mat!U14=1),(VLOOKUP(T$1,test!$A$3:$I$32,8,FALSE))-(VLOOKUP($A45,test!$A$3:$I$32,9,FALSE))+test!$B$33,0)</f>
        <v>0</v>
      </c>
      <c r="U45">
        <f>IF(AND(SUM(VLOOKUP($A45,test!$A$3:$F$32,2,FALSE),VLOOKUP(U$1,test!$A$3:$F$32,2,FALSE))&lt;test!$K$16,$A45&lt;&gt;U$1,Recharged_Feasible_mat!V14=1),(VLOOKUP(U$1,test!$A$3:$I$32,8,FALSE))-(VLOOKUP($A45,test!$A$3:$I$32,9,FALSE))+test!$B$33,0)</f>
        <v>0</v>
      </c>
      <c r="V45">
        <f>IF(AND(SUM(VLOOKUP($A45,test!$A$3:$F$32,2,FALSE),VLOOKUP(V$1,test!$A$3:$F$32,2,FALSE))&lt;test!$K$16,$A45&lt;&gt;V$1,Recharged_Feasible_mat!W14=1),(VLOOKUP(V$1,test!$A$3:$I$32,8,FALSE))-(VLOOKUP($A45,test!$A$3:$I$32,9,FALSE))+test!$B$33,0)</f>
        <v>0</v>
      </c>
      <c r="W45">
        <f>IF(AND(SUM(VLOOKUP($A45,test!$A$3:$F$32,2,FALSE),VLOOKUP(W$1,test!$A$3:$F$32,2,FALSE))&lt;test!$K$16,$A45&lt;&gt;W$1,Recharged_Feasible_mat!X14=1),(VLOOKUP(W$1,test!$A$3:$I$32,8,FALSE))-(VLOOKUP($A45,test!$A$3:$I$32,9,FALSE))+test!$B$33,0)</f>
        <v>0</v>
      </c>
      <c r="X45">
        <f>IF(AND(SUM(VLOOKUP($A45,test!$A$3:$F$32,2,FALSE),VLOOKUP(X$1,test!$A$3:$F$32,2,FALSE))&lt;test!$K$16,$A45&lt;&gt;X$1,Recharged_Feasible_mat!Y14=1),(VLOOKUP(X$1,test!$A$3:$I$32,8,FALSE))-(VLOOKUP($A45,test!$A$3:$I$32,9,FALSE))+test!$B$33,0)</f>
        <v>0</v>
      </c>
      <c r="Y45">
        <f>IF(AND(SUM(VLOOKUP($A45,test!$A$3:$F$32,2,FALSE),VLOOKUP(Y$1,test!$A$3:$F$32,2,FALSE))&lt;test!$K$16,$A45&lt;&gt;Y$1,Recharged_Feasible_mat!Z14=1),(VLOOKUP(Y$1,test!$A$3:$I$32,8,FALSE))-(VLOOKUP($A45,test!$A$3:$I$32,9,FALSE))+test!$B$33,0)</f>
        <v>0</v>
      </c>
      <c r="Z45">
        <f>IF(AND(SUM(VLOOKUP($A45,test!$A$3:$F$32,2,FALSE),VLOOKUP(Z$1,test!$A$3:$F$32,2,FALSE))&lt;test!$K$16,$A45&lt;&gt;Z$1,Recharged_Feasible_mat!AA14=1),(VLOOKUP(Z$1,test!$A$3:$I$32,8,FALSE))-(VLOOKUP($A45,test!$A$3:$I$32,9,FALSE))+test!$B$33,0)</f>
        <v>0</v>
      </c>
      <c r="AA45">
        <f>IF(AND(SUM(VLOOKUP($A45,test!$A$3:$F$32,2,FALSE),VLOOKUP(AA$1,test!$A$3:$F$32,2,FALSE))&lt;test!$K$16,$A45&lt;&gt;AA$1,Recharged_Feasible_mat!AB14=1),(VLOOKUP(AA$1,test!$A$3:$I$32,8,FALSE))-(VLOOKUP($A45,test!$A$3:$I$32,9,FALSE))+test!$B$33,0)</f>
        <v>0</v>
      </c>
      <c r="AB45">
        <f>IF(AND(SUM(VLOOKUP($A45,test!$A$3:$F$32,2,FALSE),VLOOKUP(AB$1,test!$A$3:$F$32,2,FALSE))&lt;test!$K$16,$A45&lt;&gt;AB$1,Recharged_Feasible_mat!AC14=1),(VLOOKUP(AB$1,test!$A$3:$I$32,8,FALSE))-(VLOOKUP($A45,test!$A$3:$I$32,9,FALSE))+test!$B$33,0)</f>
        <v>0</v>
      </c>
      <c r="AC45">
        <f>IF(AND(SUM(VLOOKUP($A45,test!$A$3:$F$32,2,FALSE),VLOOKUP(AC$1,test!$A$3:$F$32,2,FALSE))&lt;test!$K$16,$A45&lt;&gt;AC$1,Recharged_Feasible_mat!AD14=1),(VLOOKUP(AC$1,test!$A$3:$I$32,8,FALSE))-(VLOOKUP($A45,test!$A$3:$I$32,9,FALSE))+test!$B$33,0)</f>
        <v>0</v>
      </c>
      <c r="AD45">
        <f>IF(AND(SUM(VLOOKUP($A45,test!$A$3:$F$32,2,FALSE),VLOOKUP(AD$1,test!$A$3:$F$32,2,FALSE))&lt;test!$K$16,$A45&lt;&gt;AD$1,Recharged_Feasible_mat!AE14=1),(VLOOKUP(AD$1,test!$A$3:$I$32,8,FALSE))-(VLOOKUP($A45,test!$A$3:$I$32,9,FALSE))+test!$B$33,0)</f>
        <v>0</v>
      </c>
      <c r="AE45">
        <f>IF(AND(SUM(VLOOKUP($A45,test!$A$3:$F$32,2,FALSE),VLOOKUP(AE$1,test!$A$3:$F$32,2,FALSE))&lt;test!$K$16,$A45&lt;&gt;AE$1,Recharged_Feasible_mat!AF14=1),(VLOOKUP(AE$1,test!$A$3:$I$32,8,FALSE))-(VLOOKUP($A45,test!$A$3:$I$32,9,FALSE))+test!$B$33,0)</f>
        <v>0</v>
      </c>
      <c r="AF45">
        <f>IF(AND(SUM(VLOOKUP($A45,test!$A$3:$F$32,2,FALSE),VLOOKUP(AF$1,test!$A$3:$F$32,2,FALSE))&lt;test!$K$16,$A45&lt;&gt;AF$1,Recharged_Feasible_mat!AG14=1),(VLOOKUP(AF$1,test!$A$3:$I$32,8,FALSE))-(VLOOKUP($A45,test!$A$3:$I$32,9,FALSE))+test!$B$33,0)</f>
        <v>0</v>
      </c>
    </row>
    <row r="46" spans="1:32" x14ac:dyDescent="0.25">
      <c r="A46" t="s">
        <v>23</v>
      </c>
      <c r="B46">
        <v>0</v>
      </c>
      <c r="C46">
        <f>IF(AND(SUM(VLOOKUP($A46,test!$A$3:$F$32,2,FALSE),VLOOKUP(C$1,test!$A$3:$F$32,2,FALSE))&lt;test!$K$16,$A46&lt;&gt;C$1,feasible_mat!C46=1),(VLOOKUP(C$1,test!$A$3:$I$32,8,FALSE))-(VLOOKUP($A46,test!$A$3:$I$32,9,FALSE))+test!$B$33,0)</f>
        <v>0</v>
      </c>
      <c r="D46">
        <f>IF(AND(SUM(VLOOKUP($A46,test!$A$3:$F$32,2,FALSE),VLOOKUP(D$1,test!$A$3:$F$32,2,FALSE))&lt;test!$K$16,$A46&lt;&gt;D$1,Recharged_Feasible_mat!E15=1),(VLOOKUP(D$1,test!$A$3:$I$32,8,FALSE))-(VLOOKUP($A46,test!$A$3:$I$32,9,FALSE))+test!$B$33,0)</f>
        <v>0</v>
      </c>
      <c r="E46">
        <f>IF(AND(SUM(VLOOKUP($A46,test!$A$3:$F$32,2,FALSE),VLOOKUP(E$1,test!$A$3:$F$32,2,FALSE))&lt;test!$K$16,$A46&lt;&gt;E$1,Recharged_Feasible_mat!F15=1),(VLOOKUP(E$1,test!$A$3:$I$32,8,FALSE))-(VLOOKUP($A46,test!$A$3:$I$32,9,FALSE))+test!$B$33,0)</f>
        <v>0</v>
      </c>
      <c r="F46">
        <f>IF(AND(SUM(VLOOKUP($A46,test!$A$3:$F$32,2,FALSE),VLOOKUP(F$1,test!$A$3:$F$32,2,FALSE))&lt;test!$K$16,$A46&lt;&gt;F$1,Recharged_Feasible_mat!G15=1),(VLOOKUP(F$1,test!$A$3:$I$32,8,FALSE))-(VLOOKUP($A46,test!$A$3:$I$32,9,FALSE))+test!$B$33,0)</f>
        <v>0</v>
      </c>
      <c r="G46">
        <f>IF(AND(SUM(VLOOKUP($A46,test!$A$3:$F$32,2,FALSE),VLOOKUP(G$1,test!$A$3:$F$32,2,FALSE))&lt;test!$K$16,$A46&lt;&gt;G$1,Recharged_Feasible_mat!H15=1),(VLOOKUP(G$1,test!$A$3:$I$32,8,FALSE))-(VLOOKUP($A46,test!$A$3:$I$32,9,FALSE))+test!$B$33,0)</f>
        <v>0</v>
      </c>
      <c r="H46">
        <f>IF(AND(SUM(VLOOKUP($A46,test!$A$3:$F$32,2,FALSE),VLOOKUP(H$1,test!$A$3:$F$32,2,FALSE))&lt;test!$K$16,$A46&lt;&gt;H$1,Recharged_Feasible_mat!I15=1),(VLOOKUP(H$1,test!$A$3:$I$32,8,FALSE))-(VLOOKUP($A46,test!$A$3:$I$32,9,FALSE))+test!$B$33,0)</f>
        <v>0</v>
      </c>
      <c r="I46">
        <f>IF(AND(SUM(VLOOKUP($A46,test!$A$3:$F$32,2,FALSE),VLOOKUP(I$1,test!$A$3:$F$32,2,FALSE))&lt;test!$K$16,$A46&lt;&gt;I$1,Recharged_Feasible_mat!J15=1),(VLOOKUP(I$1,test!$A$3:$I$32,8,FALSE))-(VLOOKUP($A46,test!$A$3:$I$32,9,FALSE))+test!$B$33,0)</f>
        <v>0</v>
      </c>
      <c r="J46">
        <f>IF(AND(SUM(VLOOKUP($A46,test!$A$3:$F$32,2,FALSE),VLOOKUP(J$1,test!$A$3:$F$32,2,FALSE))&lt;test!$K$16,$A46&lt;&gt;J$1,Recharged_Feasible_mat!K15=1),(VLOOKUP(J$1,test!$A$3:$I$32,8,FALSE))-(VLOOKUP($A46,test!$A$3:$I$32,9,FALSE))+test!$B$33,0)</f>
        <v>0</v>
      </c>
      <c r="K46">
        <f>IF(AND(SUM(VLOOKUP($A46,test!$A$3:$F$32,2,FALSE),VLOOKUP(K$1,test!$A$3:$F$32,2,FALSE))&lt;test!$K$16,$A46&lt;&gt;K$1,Recharged_Feasible_mat!L15=1),(VLOOKUP(K$1,test!$A$3:$I$32,8,FALSE))-(VLOOKUP($A46,test!$A$3:$I$32,9,FALSE))+test!$B$33,0)</f>
        <v>0</v>
      </c>
      <c r="L46">
        <f>IF(AND(SUM(VLOOKUP($A46,test!$A$3:$F$32,2,FALSE),VLOOKUP(L$1,test!$A$3:$F$32,2,FALSE))&lt;test!$K$16,$A46&lt;&gt;L$1,Recharged_Feasible_mat!M15=1),(VLOOKUP(L$1,test!$A$3:$I$32,8,FALSE))-(VLOOKUP($A46,test!$A$3:$I$32,9,FALSE))+test!$B$33,0)</f>
        <v>0</v>
      </c>
      <c r="M46">
        <f>IF(AND(SUM(VLOOKUP($A46,test!$A$3:$F$32,2,FALSE),VLOOKUP(M$1,test!$A$3:$F$32,2,FALSE))&lt;test!$K$16,$A46&lt;&gt;M$1,Recharged_Feasible_mat!N15=1),(VLOOKUP(M$1,test!$A$3:$I$32,8,FALSE))-(VLOOKUP($A46,test!$A$3:$I$32,9,FALSE))+test!$B$33,0)</f>
        <v>0</v>
      </c>
      <c r="N46">
        <f>IF(AND(SUM(VLOOKUP($A46,test!$A$3:$F$32,2,FALSE),VLOOKUP(N$1,test!$A$3:$F$32,2,FALSE))&lt;test!$K$16,$A46&lt;&gt;N$1,Recharged_Feasible_mat!O15=1),(VLOOKUP(N$1,test!$A$3:$I$32,8,FALSE))-(VLOOKUP($A46,test!$A$3:$I$32,9,FALSE))+test!$B$33,0)</f>
        <v>0</v>
      </c>
      <c r="O46">
        <f>IF(AND(SUM(VLOOKUP($A46,test!$A$3:$F$32,2,FALSE),VLOOKUP(O$1,test!$A$3:$F$32,2,FALSE))&lt;test!$K$16,$A46&lt;&gt;O$1,Recharged_Feasible_mat!P15=1),(VLOOKUP(O$1,test!$A$3:$I$32,8,FALSE))-(VLOOKUP($A46,test!$A$3:$I$32,9,FALSE))+test!$B$33,0)</f>
        <v>0</v>
      </c>
      <c r="P46">
        <f>IF(AND(SUM(VLOOKUP($A46,test!$A$3:$F$32,2,FALSE),VLOOKUP(P$1,test!$A$3:$F$32,2,FALSE))&lt;test!$K$16,$A46&lt;&gt;P$1,Recharged_Feasible_mat!Q15=1),(VLOOKUP(P$1,test!$A$3:$I$32,8,FALSE))-(VLOOKUP($A46,test!$A$3:$I$32,9,FALSE))+test!$B$33,0)</f>
        <v>0</v>
      </c>
      <c r="Q46">
        <f>IF(AND(SUM(VLOOKUP($A46,test!$A$3:$F$32,2,FALSE),VLOOKUP(Q$1,test!$A$3:$F$32,2,FALSE))&lt;test!$K$16,$A46&lt;&gt;Q$1,Recharged_Feasible_mat!R15=1),(VLOOKUP(Q$1,test!$A$3:$I$32,8,FALSE))-(VLOOKUP($A46,test!$A$3:$I$32,9,FALSE))+test!$B$33,0)</f>
        <v>0</v>
      </c>
      <c r="R46">
        <f>IF(AND(SUM(VLOOKUP($A46,test!$A$3:$F$32,2,FALSE),VLOOKUP(R$1,test!$A$3:$F$32,2,FALSE))&lt;test!$K$16,$A46&lt;&gt;R$1,Recharged_Feasible_mat!S15=1),(VLOOKUP(R$1,test!$A$3:$I$32,8,FALSE))-(VLOOKUP($A46,test!$A$3:$I$32,9,FALSE))+test!$B$33,0)</f>
        <v>0</v>
      </c>
      <c r="S46">
        <f>IF(AND(SUM(VLOOKUP($A46,test!$A$3:$F$32,2,FALSE),VLOOKUP(S$1,test!$A$3:$F$32,2,FALSE))&lt;test!$K$16,$A46&lt;&gt;S$1,Recharged_Feasible_mat!T15=1),(VLOOKUP(S$1,test!$A$3:$I$32,8,FALSE))-(VLOOKUP($A46,test!$A$3:$I$32,9,FALSE))+test!$B$33,0)</f>
        <v>0</v>
      </c>
      <c r="T46">
        <f>IF(AND(SUM(VLOOKUP($A46,test!$A$3:$F$32,2,FALSE),VLOOKUP(T$1,test!$A$3:$F$32,2,FALSE))&lt;test!$K$16,$A46&lt;&gt;T$1,Recharged_Feasible_mat!U15=1),(VLOOKUP(T$1,test!$A$3:$I$32,8,FALSE))-(VLOOKUP($A46,test!$A$3:$I$32,9,FALSE))+test!$B$33,0)</f>
        <v>0</v>
      </c>
      <c r="U46">
        <f>IF(AND(SUM(VLOOKUP($A46,test!$A$3:$F$32,2,FALSE),VLOOKUP(U$1,test!$A$3:$F$32,2,FALSE))&lt;test!$K$16,$A46&lt;&gt;U$1,Recharged_Feasible_mat!V15=1),(VLOOKUP(U$1,test!$A$3:$I$32,8,FALSE))-(VLOOKUP($A46,test!$A$3:$I$32,9,FALSE))+test!$B$33,0)</f>
        <v>0</v>
      </c>
      <c r="V46">
        <f>IF(AND(SUM(VLOOKUP($A46,test!$A$3:$F$32,2,FALSE),VLOOKUP(V$1,test!$A$3:$F$32,2,FALSE))&lt;test!$K$16,$A46&lt;&gt;V$1,Recharged_Feasible_mat!W15=1),(VLOOKUP(V$1,test!$A$3:$I$32,8,FALSE))-(VLOOKUP($A46,test!$A$3:$I$32,9,FALSE))+test!$B$33,0)</f>
        <v>0</v>
      </c>
      <c r="W46">
        <f>IF(AND(SUM(VLOOKUP($A46,test!$A$3:$F$32,2,FALSE),VLOOKUP(W$1,test!$A$3:$F$32,2,FALSE))&lt;test!$K$16,$A46&lt;&gt;W$1,Recharged_Feasible_mat!X15=1),(VLOOKUP(W$1,test!$A$3:$I$32,8,FALSE))-(VLOOKUP($A46,test!$A$3:$I$32,9,FALSE))+test!$B$33,0)</f>
        <v>0</v>
      </c>
      <c r="X46">
        <f>IF(AND(SUM(VLOOKUP($A46,test!$A$3:$F$32,2,FALSE),VLOOKUP(X$1,test!$A$3:$F$32,2,FALSE))&lt;test!$K$16,$A46&lt;&gt;X$1,Recharged_Feasible_mat!Y15=1),(VLOOKUP(X$1,test!$A$3:$I$32,8,FALSE))-(VLOOKUP($A46,test!$A$3:$I$32,9,FALSE))+test!$B$33,0)</f>
        <v>0</v>
      </c>
      <c r="Y46">
        <f>IF(AND(SUM(VLOOKUP($A46,test!$A$3:$F$32,2,FALSE),VLOOKUP(Y$1,test!$A$3:$F$32,2,FALSE))&lt;test!$K$16,$A46&lt;&gt;Y$1,Recharged_Feasible_mat!Z15=1),(VLOOKUP(Y$1,test!$A$3:$I$32,8,FALSE))-(VLOOKUP($A46,test!$A$3:$I$32,9,FALSE))+test!$B$33,0)</f>
        <v>0</v>
      </c>
      <c r="Z46">
        <f>IF(AND(SUM(VLOOKUP($A46,test!$A$3:$F$32,2,FALSE),VLOOKUP(Z$1,test!$A$3:$F$32,2,FALSE))&lt;test!$K$16,$A46&lt;&gt;Z$1,Recharged_Feasible_mat!AA15=1),(VLOOKUP(Z$1,test!$A$3:$I$32,8,FALSE))-(VLOOKUP($A46,test!$A$3:$I$32,9,FALSE))+test!$B$33,0)</f>
        <v>0</v>
      </c>
      <c r="AA46">
        <f>IF(AND(SUM(VLOOKUP($A46,test!$A$3:$F$32,2,FALSE),VLOOKUP(AA$1,test!$A$3:$F$32,2,FALSE))&lt;test!$K$16,$A46&lt;&gt;AA$1,Recharged_Feasible_mat!AB15=1),(VLOOKUP(AA$1,test!$A$3:$I$32,8,FALSE))-(VLOOKUP($A46,test!$A$3:$I$32,9,FALSE))+test!$B$33,0)</f>
        <v>0</v>
      </c>
      <c r="AB46">
        <f>IF(AND(SUM(VLOOKUP($A46,test!$A$3:$F$32,2,FALSE),VLOOKUP(AB$1,test!$A$3:$F$32,2,FALSE))&lt;test!$K$16,$A46&lt;&gt;AB$1,Recharged_Feasible_mat!AC15=1),(VLOOKUP(AB$1,test!$A$3:$I$32,8,FALSE))-(VLOOKUP($A46,test!$A$3:$I$32,9,FALSE))+test!$B$33,0)</f>
        <v>0</v>
      </c>
      <c r="AC46">
        <f>IF(AND(SUM(VLOOKUP($A46,test!$A$3:$F$32,2,FALSE),VLOOKUP(AC$1,test!$A$3:$F$32,2,FALSE))&lt;test!$K$16,$A46&lt;&gt;AC$1,Recharged_Feasible_mat!AD15=1),(VLOOKUP(AC$1,test!$A$3:$I$32,8,FALSE))-(VLOOKUP($A46,test!$A$3:$I$32,9,FALSE))+test!$B$33,0)</f>
        <v>0</v>
      </c>
      <c r="AD46">
        <f>IF(AND(SUM(VLOOKUP($A46,test!$A$3:$F$32,2,FALSE),VLOOKUP(AD$1,test!$A$3:$F$32,2,FALSE))&lt;test!$K$16,$A46&lt;&gt;AD$1,Recharged_Feasible_mat!AE15=1),(VLOOKUP(AD$1,test!$A$3:$I$32,8,FALSE))-(VLOOKUP($A46,test!$A$3:$I$32,9,FALSE))+test!$B$33,0)</f>
        <v>0</v>
      </c>
      <c r="AE46">
        <f>IF(AND(SUM(VLOOKUP($A46,test!$A$3:$F$32,2,FALSE),VLOOKUP(AE$1,test!$A$3:$F$32,2,FALSE))&lt;test!$K$16,$A46&lt;&gt;AE$1,Recharged_Feasible_mat!AF15=1),(VLOOKUP(AE$1,test!$A$3:$I$32,8,FALSE))-(VLOOKUP($A46,test!$A$3:$I$32,9,FALSE))+test!$B$33,0)</f>
        <v>0</v>
      </c>
      <c r="AF46">
        <f>IF(AND(SUM(VLOOKUP($A46,test!$A$3:$F$32,2,FALSE),VLOOKUP(AF$1,test!$A$3:$F$32,2,FALSE))&lt;test!$K$16,$A46&lt;&gt;AF$1,Recharged_Feasible_mat!AG15=1),(VLOOKUP(AF$1,test!$A$3:$I$32,8,FALSE))-(VLOOKUP($A46,test!$A$3:$I$32,9,FALSE))+test!$B$33,0)</f>
        <v>0</v>
      </c>
    </row>
    <row r="47" spans="1:32" x14ac:dyDescent="0.25">
      <c r="A47" t="s">
        <v>24</v>
      </c>
      <c r="B47">
        <v>0</v>
      </c>
      <c r="C47">
        <f>IF(AND(SUM(VLOOKUP($A47,test!$A$3:$F$32,2,FALSE),VLOOKUP(C$1,test!$A$3:$F$32,2,FALSE))&lt;test!$K$16,$A47&lt;&gt;C$1,feasible_mat!C47=1),(VLOOKUP(C$1,test!$A$3:$I$32,8,FALSE))-(VLOOKUP($A47,test!$A$3:$I$32,9,FALSE))+test!$B$33,0)</f>
        <v>0</v>
      </c>
      <c r="D47">
        <f>IF(AND(SUM(VLOOKUP($A47,test!$A$3:$F$32,2,FALSE),VLOOKUP(D$1,test!$A$3:$F$32,2,FALSE))&lt;test!$K$16,$A47&lt;&gt;D$1,Recharged_Feasible_mat!E16=1),(VLOOKUP(D$1,test!$A$3:$I$32,8,FALSE))-(VLOOKUP($A47,test!$A$3:$I$32,9,FALSE))+test!$B$33,0)</f>
        <v>0</v>
      </c>
      <c r="E47">
        <f>IF(AND(SUM(VLOOKUP($A47,test!$A$3:$F$32,2,FALSE),VLOOKUP(E$1,test!$A$3:$F$32,2,FALSE))&lt;test!$K$16,$A47&lt;&gt;E$1,Recharged_Feasible_mat!F16=1),(VLOOKUP(E$1,test!$A$3:$I$32,8,FALSE))-(VLOOKUP($A47,test!$A$3:$I$32,9,FALSE))+test!$B$33,0)</f>
        <v>0</v>
      </c>
      <c r="F47">
        <f>IF(AND(SUM(VLOOKUP($A47,test!$A$3:$F$32,2,FALSE),VLOOKUP(F$1,test!$A$3:$F$32,2,FALSE))&lt;test!$K$16,$A47&lt;&gt;F$1,Recharged_Feasible_mat!G16=1),(VLOOKUP(F$1,test!$A$3:$I$32,8,FALSE))-(VLOOKUP($A47,test!$A$3:$I$32,9,FALSE))+test!$B$33,0)</f>
        <v>200</v>
      </c>
      <c r="G47">
        <f>IF(AND(SUM(VLOOKUP($A47,test!$A$3:$F$32,2,FALSE),VLOOKUP(G$1,test!$A$3:$F$32,2,FALSE))&lt;test!$K$16,$A47&lt;&gt;G$1,Recharged_Feasible_mat!H16=1),(VLOOKUP(G$1,test!$A$3:$I$32,8,FALSE))-(VLOOKUP($A47,test!$A$3:$I$32,9,FALSE))+test!$B$33,0)</f>
        <v>260</v>
      </c>
      <c r="H47">
        <f>IF(AND(SUM(VLOOKUP($A47,test!$A$3:$F$32,2,FALSE),VLOOKUP(H$1,test!$A$3:$F$32,2,FALSE))&lt;test!$K$16,$A47&lt;&gt;H$1,Recharged_Feasible_mat!I16=1),(VLOOKUP(H$1,test!$A$3:$I$32,8,FALSE))-(VLOOKUP($A47,test!$A$3:$I$32,9,FALSE))+test!$B$33,0)</f>
        <v>320</v>
      </c>
      <c r="I47">
        <f>IF(AND(SUM(VLOOKUP($A47,test!$A$3:$F$32,2,FALSE),VLOOKUP(I$1,test!$A$3:$F$32,2,FALSE))&lt;test!$K$16,$A47&lt;&gt;I$1,Recharged_Feasible_mat!J16=1),(VLOOKUP(I$1,test!$A$3:$I$32,8,FALSE))-(VLOOKUP($A47,test!$A$3:$I$32,9,FALSE))+test!$B$33,0)</f>
        <v>380</v>
      </c>
      <c r="J47">
        <f>IF(AND(SUM(VLOOKUP($A47,test!$A$3:$F$32,2,FALSE),VLOOKUP(J$1,test!$A$3:$F$32,2,FALSE))&lt;test!$K$16,$A47&lt;&gt;J$1,Recharged_Feasible_mat!K16=1),(VLOOKUP(J$1,test!$A$3:$I$32,8,FALSE))-(VLOOKUP($A47,test!$A$3:$I$32,9,FALSE))+test!$B$33,0)</f>
        <v>470</v>
      </c>
      <c r="K47">
        <f>IF(AND(SUM(VLOOKUP($A47,test!$A$3:$F$32,2,FALSE),VLOOKUP(K$1,test!$A$3:$F$32,2,FALSE))&lt;test!$K$16,$A47&lt;&gt;K$1,Recharged_Feasible_mat!L16=1),(VLOOKUP(K$1,test!$A$3:$I$32,8,FALSE))-(VLOOKUP($A47,test!$A$3:$I$32,9,FALSE))+test!$B$33,0)</f>
        <v>0</v>
      </c>
      <c r="L47">
        <f>IF(AND(SUM(VLOOKUP($A47,test!$A$3:$F$32,2,FALSE),VLOOKUP(L$1,test!$A$3:$F$32,2,FALSE))&lt;test!$K$16,$A47&lt;&gt;L$1,Recharged_Feasible_mat!M16=1),(VLOOKUP(L$1,test!$A$3:$I$32,8,FALSE))-(VLOOKUP($A47,test!$A$3:$I$32,9,FALSE))+test!$B$33,0)</f>
        <v>0</v>
      </c>
      <c r="M47">
        <f>IF(AND(SUM(VLOOKUP($A47,test!$A$3:$F$32,2,FALSE),VLOOKUP(M$1,test!$A$3:$F$32,2,FALSE))&lt;test!$K$16,$A47&lt;&gt;M$1,Recharged_Feasible_mat!N16=1),(VLOOKUP(M$1,test!$A$3:$I$32,8,FALSE))-(VLOOKUP($A47,test!$A$3:$I$32,9,FALSE))+test!$B$33,0)</f>
        <v>0</v>
      </c>
      <c r="N47">
        <f>IF(AND(SUM(VLOOKUP($A47,test!$A$3:$F$32,2,FALSE),VLOOKUP(N$1,test!$A$3:$F$32,2,FALSE))&lt;test!$K$16,$A47&lt;&gt;N$1,Recharged_Feasible_mat!O16=1),(VLOOKUP(N$1,test!$A$3:$I$32,8,FALSE))-(VLOOKUP($A47,test!$A$3:$I$32,9,FALSE))+test!$B$33,0)</f>
        <v>0</v>
      </c>
      <c r="O47">
        <f>IF(AND(SUM(VLOOKUP($A47,test!$A$3:$F$32,2,FALSE),VLOOKUP(O$1,test!$A$3:$F$32,2,FALSE))&lt;test!$K$16,$A47&lt;&gt;O$1,Recharged_Feasible_mat!P16=1),(VLOOKUP(O$1,test!$A$3:$I$32,8,FALSE))-(VLOOKUP($A47,test!$A$3:$I$32,9,FALSE))+test!$B$33,0)</f>
        <v>0</v>
      </c>
      <c r="P47">
        <f>IF(AND(SUM(VLOOKUP($A47,test!$A$3:$F$32,2,FALSE),VLOOKUP(P$1,test!$A$3:$F$32,2,FALSE))&lt;test!$K$16,$A47&lt;&gt;P$1,Recharged_Feasible_mat!Q16=1),(VLOOKUP(P$1,test!$A$3:$I$32,8,FALSE))-(VLOOKUP($A47,test!$A$3:$I$32,9,FALSE))+test!$B$33,0)</f>
        <v>0</v>
      </c>
      <c r="Q47">
        <f>IF(AND(SUM(VLOOKUP($A47,test!$A$3:$F$32,2,FALSE),VLOOKUP(Q$1,test!$A$3:$F$32,2,FALSE))&lt;test!$K$16,$A47&lt;&gt;Q$1,Recharged_Feasible_mat!R16=1),(VLOOKUP(Q$1,test!$A$3:$I$32,8,FALSE))-(VLOOKUP($A47,test!$A$3:$I$32,9,FALSE))+test!$B$33,0)</f>
        <v>0</v>
      </c>
      <c r="R47">
        <f>IF(AND(SUM(VLOOKUP($A47,test!$A$3:$F$32,2,FALSE),VLOOKUP(R$1,test!$A$3:$F$32,2,FALSE))&lt;test!$K$16,$A47&lt;&gt;R$1,Recharged_Feasible_mat!S16=1),(VLOOKUP(R$1,test!$A$3:$I$32,8,FALSE))-(VLOOKUP($A47,test!$A$3:$I$32,9,FALSE))+test!$B$33,0)</f>
        <v>0</v>
      </c>
      <c r="S47">
        <f>IF(AND(SUM(VLOOKUP($A47,test!$A$3:$F$32,2,FALSE),VLOOKUP(S$1,test!$A$3:$F$32,2,FALSE))&lt;test!$K$16,$A47&lt;&gt;S$1,Recharged_Feasible_mat!T16=1),(VLOOKUP(S$1,test!$A$3:$I$32,8,FALSE))-(VLOOKUP($A47,test!$A$3:$I$32,9,FALSE))+test!$B$33,0)</f>
        <v>0</v>
      </c>
      <c r="T47">
        <f>IF(AND(SUM(VLOOKUP($A47,test!$A$3:$F$32,2,FALSE),VLOOKUP(T$1,test!$A$3:$F$32,2,FALSE))&lt;test!$K$16,$A47&lt;&gt;T$1,Recharged_Feasible_mat!U16=1),(VLOOKUP(T$1,test!$A$3:$I$32,8,FALSE))-(VLOOKUP($A47,test!$A$3:$I$32,9,FALSE))+test!$B$33,0)</f>
        <v>0</v>
      </c>
      <c r="U47">
        <f>IF(AND(SUM(VLOOKUP($A47,test!$A$3:$F$32,2,FALSE),VLOOKUP(U$1,test!$A$3:$F$32,2,FALSE))&lt;test!$K$16,$A47&lt;&gt;U$1,Recharged_Feasible_mat!V16=1),(VLOOKUP(U$1,test!$A$3:$I$32,8,FALSE))-(VLOOKUP($A47,test!$A$3:$I$32,9,FALSE))+test!$B$33,0)</f>
        <v>180</v>
      </c>
      <c r="V47">
        <f>IF(AND(SUM(VLOOKUP($A47,test!$A$3:$F$32,2,FALSE),VLOOKUP(V$1,test!$A$3:$F$32,2,FALSE))&lt;test!$K$16,$A47&lt;&gt;V$1,Recharged_Feasible_mat!W16=1),(VLOOKUP(V$1,test!$A$3:$I$32,8,FALSE))-(VLOOKUP($A47,test!$A$3:$I$32,9,FALSE))+test!$B$33,0)</f>
        <v>270</v>
      </c>
      <c r="W47">
        <f>IF(AND(SUM(VLOOKUP($A47,test!$A$3:$F$32,2,FALSE),VLOOKUP(W$1,test!$A$3:$F$32,2,FALSE))&lt;test!$K$16,$A47&lt;&gt;W$1,Recharged_Feasible_mat!X16=1),(VLOOKUP(W$1,test!$A$3:$I$32,8,FALSE))-(VLOOKUP($A47,test!$A$3:$I$32,9,FALSE))+test!$B$33,0)</f>
        <v>360</v>
      </c>
      <c r="X47">
        <f>IF(AND(SUM(VLOOKUP($A47,test!$A$3:$F$32,2,FALSE),VLOOKUP(X$1,test!$A$3:$F$32,2,FALSE))&lt;test!$K$16,$A47&lt;&gt;X$1,Recharged_Feasible_mat!Y16=1),(VLOOKUP(X$1,test!$A$3:$I$32,8,FALSE))-(VLOOKUP($A47,test!$A$3:$I$32,9,FALSE))+test!$B$33,0)</f>
        <v>420</v>
      </c>
      <c r="Y47">
        <f>IF(AND(SUM(VLOOKUP($A47,test!$A$3:$F$32,2,FALSE),VLOOKUP(Y$1,test!$A$3:$F$32,2,FALSE))&lt;test!$K$16,$A47&lt;&gt;Y$1,Recharged_Feasible_mat!Z16=1),(VLOOKUP(Y$1,test!$A$3:$I$32,8,FALSE))-(VLOOKUP($A47,test!$A$3:$I$32,9,FALSE))+test!$B$33,0)</f>
        <v>0</v>
      </c>
      <c r="Z47">
        <f>IF(AND(SUM(VLOOKUP($A47,test!$A$3:$F$32,2,FALSE),VLOOKUP(Z$1,test!$A$3:$F$32,2,FALSE))&lt;test!$K$16,$A47&lt;&gt;Z$1,Recharged_Feasible_mat!AA16=1),(VLOOKUP(Z$1,test!$A$3:$I$32,8,FALSE))-(VLOOKUP($A47,test!$A$3:$I$32,9,FALSE))+test!$B$33,0)</f>
        <v>0</v>
      </c>
      <c r="AA47">
        <f>IF(AND(SUM(VLOOKUP($A47,test!$A$3:$F$32,2,FALSE),VLOOKUP(AA$1,test!$A$3:$F$32,2,FALSE))&lt;test!$K$16,$A47&lt;&gt;AA$1,Recharged_Feasible_mat!AB16=1),(VLOOKUP(AA$1,test!$A$3:$I$32,8,FALSE))-(VLOOKUP($A47,test!$A$3:$I$32,9,FALSE))+test!$B$33,0)</f>
        <v>0</v>
      </c>
      <c r="AB47">
        <f>IF(AND(SUM(VLOOKUP($A47,test!$A$3:$F$32,2,FALSE),VLOOKUP(AB$1,test!$A$3:$F$32,2,FALSE))&lt;test!$K$16,$A47&lt;&gt;AB$1,Recharged_Feasible_mat!AC16=1),(VLOOKUP(AB$1,test!$A$3:$I$32,8,FALSE))-(VLOOKUP($A47,test!$A$3:$I$32,9,FALSE))+test!$B$33,0)</f>
        <v>0</v>
      </c>
      <c r="AC47">
        <f>IF(AND(SUM(VLOOKUP($A47,test!$A$3:$F$32,2,FALSE),VLOOKUP(AC$1,test!$A$3:$F$32,2,FALSE))&lt;test!$K$16,$A47&lt;&gt;AC$1,Recharged_Feasible_mat!AD16=1),(VLOOKUP(AC$1,test!$A$3:$I$32,8,FALSE))-(VLOOKUP($A47,test!$A$3:$I$32,9,FALSE))+test!$B$33,0)</f>
        <v>0</v>
      </c>
      <c r="AD47">
        <f>IF(AND(SUM(VLOOKUP($A47,test!$A$3:$F$32,2,FALSE),VLOOKUP(AD$1,test!$A$3:$F$32,2,FALSE))&lt;test!$K$16,$A47&lt;&gt;AD$1,Recharged_Feasible_mat!AE16=1),(VLOOKUP(AD$1,test!$A$3:$I$32,8,FALSE))-(VLOOKUP($A47,test!$A$3:$I$32,9,FALSE))+test!$B$33,0)</f>
        <v>0</v>
      </c>
      <c r="AE47">
        <f>IF(AND(SUM(VLOOKUP($A47,test!$A$3:$F$32,2,FALSE),VLOOKUP(AE$1,test!$A$3:$F$32,2,FALSE))&lt;test!$K$16,$A47&lt;&gt;AE$1,Recharged_Feasible_mat!AF16=1),(VLOOKUP(AE$1,test!$A$3:$I$32,8,FALSE))-(VLOOKUP($A47,test!$A$3:$I$32,9,FALSE))+test!$B$33,0)</f>
        <v>0</v>
      </c>
      <c r="AF47">
        <f>IF(AND(SUM(VLOOKUP($A47,test!$A$3:$F$32,2,FALSE),VLOOKUP(AF$1,test!$A$3:$F$32,2,FALSE))&lt;test!$K$16,$A47&lt;&gt;AF$1,Recharged_Feasible_mat!AG16=1),(VLOOKUP(AF$1,test!$A$3:$I$32,8,FALSE))-(VLOOKUP($A47,test!$A$3:$I$32,9,FALSE))+test!$B$33,0)</f>
        <v>0</v>
      </c>
    </row>
    <row r="48" spans="1:32" x14ac:dyDescent="0.25">
      <c r="A48" t="s">
        <v>26</v>
      </c>
      <c r="B48">
        <v>0</v>
      </c>
      <c r="C48">
        <f>IF(AND(SUM(VLOOKUP($A48,test!$A$3:$F$32,2,FALSE),VLOOKUP(C$1,test!$A$3:$F$32,2,FALSE))&lt;test!$K$16,$A48&lt;&gt;C$1,feasible_mat!C48=1),(VLOOKUP(C$1,test!$A$3:$I$32,8,FALSE))-(VLOOKUP($A48,test!$A$3:$I$32,9,FALSE))+test!$B$33,0)</f>
        <v>0</v>
      </c>
      <c r="D48">
        <f>IF(AND(SUM(VLOOKUP($A48,test!$A$3:$F$32,2,FALSE),VLOOKUP(D$1,test!$A$3:$F$32,2,FALSE))&lt;test!$K$16,$A48&lt;&gt;D$1,Recharged_Feasible_mat!E17=1),(VLOOKUP(D$1,test!$A$3:$I$32,8,FALSE))-(VLOOKUP($A48,test!$A$3:$I$32,9,FALSE))+test!$B$33,0)</f>
        <v>0</v>
      </c>
      <c r="E48">
        <f>IF(AND(SUM(VLOOKUP($A48,test!$A$3:$F$32,2,FALSE),VLOOKUP(E$1,test!$A$3:$F$32,2,FALSE))&lt;test!$K$16,$A48&lt;&gt;E$1,Recharged_Feasible_mat!F17=1),(VLOOKUP(E$1,test!$A$3:$I$32,8,FALSE))-(VLOOKUP($A48,test!$A$3:$I$32,9,FALSE))+test!$B$33,0)</f>
        <v>205</v>
      </c>
      <c r="F48">
        <f>IF(AND(SUM(VLOOKUP($A48,test!$A$3:$F$32,2,FALSE),VLOOKUP(F$1,test!$A$3:$F$32,2,FALSE))&lt;test!$K$16,$A48&lt;&gt;F$1,Recharged_Feasible_mat!G17=1),(VLOOKUP(F$1,test!$A$3:$I$32,8,FALSE))-(VLOOKUP($A48,test!$A$3:$I$32,9,FALSE))+test!$B$33,0)</f>
        <v>295</v>
      </c>
      <c r="G48">
        <f>IF(AND(SUM(VLOOKUP($A48,test!$A$3:$F$32,2,FALSE),VLOOKUP(G$1,test!$A$3:$F$32,2,FALSE))&lt;test!$K$16,$A48&lt;&gt;G$1,Recharged_Feasible_mat!H17=1),(VLOOKUP(G$1,test!$A$3:$I$32,8,FALSE))-(VLOOKUP($A48,test!$A$3:$I$32,9,FALSE))+test!$B$33,0)</f>
        <v>355</v>
      </c>
      <c r="H48">
        <f>IF(AND(SUM(VLOOKUP($A48,test!$A$3:$F$32,2,FALSE),VLOOKUP(H$1,test!$A$3:$F$32,2,FALSE))&lt;test!$K$16,$A48&lt;&gt;H$1,Recharged_Feasible_mat!I17=1),(VLOOKUP(H$1,test!$A$3:$I$32,8,FALSE))-(VLOOKUP($A48,test!$A$3:$I$32,9,FALSE))+test!$B$33,0)</f>
        <v>415</v>
      </c>
      <c r="I48">
        <f>IF(AND(SUM(VLOOKUP($A48,test!$A$3:$F$32,2,FALSE),VLOOKUP(I$1,test!$A$3:$F$32,2,FALSE))&lt;test!$K$16,$A48&lt;&gt;I$1,Recharged_Feasible_mat!J17=1),(VLOOKUP(I$1,test!$A$3:$I$32,8,FALSE))-(VLOOKUP($A48,test!$A$3:$I$32,9,FALSE))+test!$B$33,0)</f>
        <v>475</v>
      </c>
      <c r="J48">
        <f>IF(AND(SUM(VLOOKUP($A48,test!$A$3:$F$32,2,FALSE),VLOOKUP(J$1,test!$A$3:$F$32,2,FALSE))&lt;test!$K$16,$A48&lt;&gt;J$1,Recharged_Feasible_mat!K17=1),(VLOOKUP(J$1,test!$A$3:$I$32,8,FALSE))-(VLOOKUP($A48,test!$A$3:$I$32,9,FALSE))+test!$B$33,0)</f>
        <v>565</v>
      </c>
      <c r="K48">
        <f>IF(AND(SUM(VLOOKUP($A48,test!$A$3:$F$32,2,FALSE),VLOOKUP(K$1,test!$A$3:$F$32,2,FALSE))&lt;test!$K$16,$A48&lt;&gt;K$1,Recharged_Feasible_mat!L17=1),(VLOOKUP(K$1,test!$A$3:$I$32,8,FALSE))-(VLOOKUP($A48,test!$A$3:$I$32,9,FALSE))+test!$B$33,0)</f>
        <v>0</v>
      </c>
      <c r="L48">
        <f>IF(AND(SUM(VLOOKUP($A48,test!$A$3:$F$32,2,FALSE),VLOOKUP(L$1,test!$A$3:$F$32,2,FALSE))&lt;test!$K$16,$A48&lt;&gt;L$1,Recharged_Feasible_mat!M17=1),(VLOOKUP(L$1,test!$A$3:$I$32,8,FALSE))-(VLOOKUP($A48,test!$A$3:$I$32,9,FALSE))+test!$B$33,0)</f>
        <v>0</v>
      </c>
      <c r="M48">
        <f>IF(AND(SUM(VLOOKUP($A48,test!$A$3:$F$32,2,FALSE),VLOOKUP(M$1,test!$A$3:$F$32,2,FALSE))&lt;test!$K$16,$A48&lt;&gt;M$1,Recharged_Feasible_mat!N17=1),(VLOOKUP(M$1,test!$A$3:$I$32,8,FALSE))-(VLOOKUP($A48,test!$A$3:$I$32,9,FALSE))+test!$B$33,0)</f>
        <v>170</v>
      </c>
      <c r="N48">
        <f>IF(AND(SUM(VLOOKUP($A48,test!$A$3:$F$32,2,FALSE),VLOOKUP(N$1,test!$A$3:$F$32,2,FALSE))&lt;test!$K$16,$A48&lt;&gt;N$1,Recharged_Feasible_mat!O17=1),(VLOOKUP(N$1,test!$A$3:$I$32,8,FALSE))-(VLOOKUP($A48,test!$A$3:$I$32,9,FALSE))+test!$B$33,0)</f>
        <v>530</v>
      </c>
      <c r="O48">
        <f>IF(AND(SUM(VLOOKUP($A48,test!$A$3:$F$32,2,FALSE),VLOOKUP(O$1,test!$A$3:$F$32,2,FALSE))&lt;test!$K$16,$A48&lt;&gt;O$1,Recharged_Feasible_mat!P17=1),(VLOOKUP(O$1,test!$A$3:$I$32,8,FALSE))-(VLOOKUP($A48,test!$A$3:$I$32,9,FALSE))+test!$B$33,0)</f>
        <v>590</v>
      </c>
      <c r="P48">
        <f>IF(AND(SUM(VLOOKUP($A48,test!$A$3:$F$32,2,FALSE),VLOOKUP(P$1,test!$A$3:$F$32,2,FALSE))&lt;test!$K$16,$A48&lt;&gt;P$1,Recharged_Feasible_mat!Q17=1),(VLOOKUP(P$1,test!$A$3:$I$32,8,FALSE))-(VLOOKUP($A48,test!$A$3:$I$32,9,FALSE))+test!$B$33,0)</f>
        <v>0</v>
      </c>
      <c r="Q48">
        <f>IF(AND(SUM(VLOOKUP($A48,test!$A$3:$F$32,2,FALSE),VLOOKUP(Q$1,test!$A$3:$F$32,2,FALSE))&lt;test!$K$16,$A48&lt;&gt;Q$1,Recharged_Feasible_mat!R17=1),(VLOOKUP(Q$1,test!$A$3:$I$32,8,FALSE))-(VLOOKUP($A48,test!$A$3:$I$32,9,FALSE))+test!$B$33,0)</f>
        <v>0</v>
      </c>
      <c r="R48">
        <f>IF(AND(SUM(VLOOKUP($A48,test!$A$3:$F$32,2,FALSE),VLOOKUP(R$1,test!$A$3:$F$32,2,FALSE))&lt;test!$K$16,$A48&lt;&gt;R$1,Recharged_Feasible_mat!S17=1),(VLOOKUP(R$1,test!$A$3:$I$32,8,FALSE))-(VLOOKUP($A48,test!$A$3:$I$32,9,FALSE))+test!$B$33,0)</f>
        <v>0</v>
      </c>
      <c r="S48">
        <f>IF(AND(SUM(VLOOKUP($A48,test!$A$3:$F$32,2,FALSE),VLOOKUP(S$1,test!$A$3:$F$32,2,FALSE))&lt;test!$K$16,$A48&lt;&gt;S$1,Recharged_Feasible_mat!T17=1),(VLOOKUP(S$1,test!$A$3:$I$32,8,FALSE))-(VLOOKUP($A48,test!$A$3:$I$32,9,FALSE))+test!$B$33,0)</f>
        <v>0</v>
      </c>
      <c r="T48">
        <f>IF(AND(SUM(VLOOKUP($A48,test!$A$3:$F$32,2,FALSE),VLOOKUP(T$1,test!$A$3:$F$32,2,FALSE))&lt;test!$K$16,$A48&lt;&gt;T$1,Recharged_Feasible_mat!U17=1),(VLOOKUP(T$1,test!$A$3:$I$32,8,FALSE))-(VLOOKUP($A48,test!$A$3:$I$32,9,FALSE))+test!$B$33,0)</f>
        <v>185</v>
      </c>
      <c r="U48">
        <f>IF(AND(SUM(VLOOKUP($A48,test!$A$3:$F$32,2,FALSE),VLOOKUP(U$1,test!$A$3:$F$32,2,FALSE))&lt;test!$K$16,$A48&lt;&gt;U$1,Recharged_Feasible_mat!V17=1),(VLOOKUP(U$1,test!$A$3:$I$32,8,FALSE))-(VLOOKUP($A48,test!$A$3:$I$32,9,FALSE))+test!$B$33,0)</f>
        <v>275</v>
      </c>
      <c r="V48">
        <f>IF(AND(SUM(VLOOKUP($A48,test!$A$3:$F$32,2,FALSE),VLOOKUP(V$1,test!$A$3:$F$32,2,FALSE))&lt;test!$K$16,$A48&lt;&gt;V$1,Recharged_Feasible_mat!W17=1),(VLOOKUP(V$1,test!$A$3:$I$32,8,FALSE))-(VLOOKUP($A48,test!$A$3:$I$32,9,FALSE))+test!$B$33,0)</f>
        <v>365</v>
      </c>
      <c r="W48">
        <f>IF(AND(SUM(VLOOKUP($A48,test!$A$3:$F$32,2,FALSE),VLOOKUP(W$1,test!$A$3:$F$32,2,FALSE))&lt;test!$K$16,$A48&lt;&gt;W$1,Recharged_Feasible_mat!X17=1),(VLOOKUP(W$1,test!$A$3:$I$32,8,FALSE))-(VLOOKUP($A48,test!$A$3:$I$32,9,FALSE))+test!$B$33,0)</f>
        <v>455</v>
      </c>
      <c r="X48">
        <f>IF(AND(SUM(VLOOKUP($A48,test!$A$3:$F$32,2,FALSE),VLOOKUP(X$1,test!$A$3:$F$32,2,FALSE))&lt;test!$K$16,$A48&lt;&gt;X$1,Recharged_Feasible_mat!Y17=1),(VLOOKUP(X$1,test!$A$3:$I$32,8,FALSE))-(VLOOKUP($A48,test!$A$3:$I$32,9,FALSE))+test!$B$33,0)</f>
        <v>515</v>
      </c>
      <c r="Y48">
        <f>IF(AND(SUM(VLOOKUP($A48,test!$A$3:$F$32,2,FALSE),VLOOKUP(Y$1,test!$A$3:$F$32,2,FALSE))&lt;test!$K$16,$A48&lt;&gt;Y$1,Recharged_Feasible_mat!Z17=1),(VLOOKUP(Y$1,test!$A$3:$I$32,8,FALSE))-(VLOOKUP($A48,test!$A$3:$I$32,9,FALSE))+test!$B$33,0)</f>
        <v>0</v>
      </c>
      <c r="Z48">
        <f>IF(AND(SUM(VLOOKUP($A48,test!$A$3:$F$32,2,FALSE),VLOOKUP(Z$1,test!$A$3:$F$32,2,FALSE))&lt;test!$K$16,$A48&lt;&gt;Z$1,Recharged_Feasible_mat!AA17=1),(VLOOKUP(Z$1,test!$A$3:$I$32,8,FALSE))-(VLOOKUP($A48,test!$A$3:$I$32,9,FALSE))+test!$B$33,0)</f>
        <v>0</v>
      </c>
      <c r="AA48">
        <f>IF(AND(SUM(VLOOKUP($A48,test!$A$3:$F$32,2,FALSE),VLOOKUP(AA$1,test!$A$3:$F$32,2,FALSE))&lt;test!$K$16,$A48&lt;&gt;AA$1,Recharged_Feasible_mat!AB17=1),(VLOOKUP(AA$1,test!$A$3:$I$32,8,FALSE))-(VLOOKUP($A48,test!$A$3:$I$32,9,FALSE))+test!$B$33,0)</f>
        <v>235</v>
      </c>
      <c r="AB48">
        <f>IF(AND(SUM(VLOOKUP($A48,test!$A$3:$F$32,2,FALSE),VLOOKUP(AB$1,test!$A$3:$F$32,2,FALSE))&lt;test!$K$16,$A48&lt;&gt;AB$1,Recharged_Feasible_mat!AC17=1),(VLOOKUP(AB$1,test!$A$3:$I$32,8,FALSE))-(VLOOKUP($A48,test!$A$3:$I$32,9,FALSE))+test!$B$33,0)</f>
        <v>295</v>
      </c>
      <c r="AC48">
        <f>IF(AND(SUM(VLOOKUP($A48,test!$A$3:$F$32,2,FALSE),VLOOKUP(AC$1,test!$A$3:$F$32,2,FALSE))&lt;test!$K$16,$A48&lt;&gt;AC$1,Recharged_Feasible_mat!AD17=1),(VLOOKUP(AC$1,test!$A$3:$I$32,8,FALSE))-(VLOOKUP($A48,test!$A$3:$I$32,9,FALSE))+test!$B$33,0)</f>
        <v>415</v>
      </c>
      <c r="AD48">
        <f>IF(AND(SUM(VLOOKUP($A48,test!$A$3:$F$32,2,FALSE),VLOOKUP(AD$1,test!$A$3:$F$32,2,FALSE))&lt;test!$K$16,$A48&lt;&gt;AD$1,Recharged_Feasible_mat!AE17=1),(VLOOKUP(AD$1,test!$A$3:$I$32,8,FALSE))-(VLOOKUP($A48,test!$A$3:$I$32,9,FALSE))+test!$B$33,0)</f>
        <v>0</v>
      </c>
      <c r="AE48">
        <f>IF(AND(SUM(VLOOKUP($A48,test!$A$3:$F$32,2,FALSE),VLOOKUP(AE$1,test!$A$3:$F$32,2,FALSE))&lt;test!$K$16,$A48&lt;&gt;AE$1,Recharged_Feasible_mat!AF17=1),(VLOOKUP(AE$1,test!$A$3:$I$32,8,FALSE))-(VLOOKUP($A48,test!$A$3:$I$32,9,FALSE))+test!$B$33,0)</f>
        <v>235</v>
      </c>
      <c r="AF48">
        <f>IF(AND(SUM(VLOOKUP($A48,test!$A$3:$F$32,2,FALSE),VLOOKUP(AF$1,test!$A$3:$F$32,2,FALSE))&lt;test!$K$16,$A48&lt;&gt;AF$1,Recharged_Feasible_mat!AG17=1),(VLOOKUP(AF$1,test!$A$3:$I$32,8,FALSE))-(VLOOKUP($A48,test!$A$3:$I$32,9,FALSE))+test!$B$33,0)</f>
        <v>0</v>
      </c>
    </row>
    <row r="49" spans="1:32" x14ac:dyDescent="0.25">
      <c r="A49" t="s">
        <v>27</v>
      </c>
      <c r="B49">
        <v>0</v>
      </c>
      <c r="C49">
        <f>IF(AND(SUM(VLOOKUP($A49,test!$A$3:$F$32,2,FALSE),VLOOKUP(C$1,test!$A$3:$F$32,2,FALSE))&lt;test!$K$16,$A49&lt;&gt;C$1,feasible_mat!C49=1),(VLOOKUP(C$1,test!$A$3:$I$32,8,FALSE))-(VLOOKUP($A49,test!$A$3:$I$32,9,FALSE))+test!$B$33,0)</f>
        <v>0</v>
      </c>
      <c r="D49">
        <f>IF(AND(SUM(VLOOKUP($A49,test!$A$3:$F$32,2,FALSE),VLOOKUP(D$1,test!$A$3:$F$32,2,FALSE))&lt;test!$K$16,$A49&lt;&gt;D$1,Recharged_Feasible_mat!E18=1),(VLOOKUP(D$1,test!$A$3:$I$32,8,FALSE))-(VLOOKUP($A49,test!$A$3:$I$32,9,FALSE))+test!$B$33,0)</f>
        <v>0</v>
      </c>
      <c r="E49">
        <f>IF(AND(SUM(VLOOKUP($A49,test!$A$3:$F$32,2,FALSE),VLOOKUP(E$1,test!$A$3:$F$32,2,FALSE))&lt;test!$K$16,$A49&lt;&gt;E$1,Recharged_Feasible_mat!F18=1),(VLOOKUP(E$1,test!$A$3:$I$32,8,FALSE))-(VLOOKUP($A49,test!$A$3:$I$32,9,FALSE))+test!$B$33,0)</f>
        <v>0</v>
      </c>
      <c r="F49">
        <f>IF(AND(SUM(VLOOKUP($A49,test!$A$3:$F$32,2,FALSE),VLOOKUP(F$1,test!$A$3:$F$32,2,FALSE))&lt;test!$K$16,$A49&lt;&gt;F$1,Recharged_Feasible_mat!G18=1),(VLOOKUP(F$1,test!$A$3:$I$32,8,FALSE))-(VLOOKUP($A49,test!$A$3:$I$32,9,FALSE))+test!$B$33,0)</f>
        <v>205</v>
      </c>
      <c r="G49">
        <f>IF(AND(SUM(VLOOKUP($A49,test!$A$3:$F$32,2,FALSE),VLOOKUP(G$1,test!$A$3:$F$32,2,FALSE))&lt;test!$K$16,$A49&lt;&gt;G$1,Recharged_Feasible_mat!H18=1),(VLOOKUP(G$1,test!$A$3:$I$32,8,FALSE))-(VLOOKUP($A49,test!$A$3:$I$32,9,FALSE))+test!$B$33,0)</f>
        <v>265</v>
      </c>
      <c r="H49">
        <f>IF(AND(SUM(VLOOKUP($A49,test!$A$3:$F$32,2,FALSE),VLOOKUP(H$1,test!$A$3:$F$32,2,FALSE))&lt;test!$K$16,$A49&lt;&gt;H$1,Recharged_Feasible_mat!I18=1),(VLOOKUP(H$1,test!$A$3:$I$32,8,FALSE))-(VLOOKUP($A49,test!$A$3:$I$32,9,FALSE))+test!$B$33,0)</f>
        <v>325</v>
      </c>
      <c r="I49">
        <f>IF(AND(SUM(VLOOKUP($A49,test!$A$3:$F$32,2,FALSE),VLOOKUP(I$1,test!$A$3:$F$32,2,FALSE))&lt;test!$K$16,$A49&lt;&gt;I$1,Recharged_Feasible_mat!J18=1),(VLOOKUP(I$1,test!$A$3:$I$32,8,FALSE))-(VLOOKUP($A49,test!$A$3:$I$32,9,FALSE))+test!$B$33,0)</f>
        <v>385</v>
      </c>
      <c r="J49">
        <f>IF(AND(SUM(VLOOKUP($A49,test!$A$3:$F$32,2,FALSE),VLOOKUP(J$1,test!$A$3:$F$32,2,FALSE))&lt;test!$K$16,$A49&lt;&gt;J$1,Recharged_Feasible_mat!K18=1),(VLOOKUP(J$1,test!$A$3:$I$32,8,FALSE))-(VLOOKUP($A49,test!$A$3:$I$32,9,FALSE))+test!$B$33,0)</f>
        <v>475</v>
      </c>
      <c r="K49">
        <f>IF(AND(SUM(VLOOKUP($A49,test!$A$3:$F$32,2,FALSE),VLOOKUP(K$1,test!$A$3:$F$32,2,FALSE))&lt;test!$K$16,$A49&lt;&gt;K$1,Recharged_Feasible_mat!L18=1),(VLOOKUP(K$1,test!$A$3:$I$32,8,FALSE))-(VLOOKUP($A49,test!$A$3:$I$32,9,FALSE))+test!$B$33,0)</f>
        <v>0</v>
      </c>
      <c r="L49">
        <f>IF(AND(SUM(VLOOKUP($A49,test!$A$3:$F$32,2,FALSE),VLOOKUP(L$1,test!$A$3:$F$32,2,FALSE))&lt;test!$K$16,$A49&lt;&gt;L$1,Recharged_Feasible_mat!M18=1),(VLOOKUP(L$1,test!$A$3:$I$32,8,FALSE))-(VLOOKUP($A49,test!$A$3:$I$32,9,FALSE))+test!$B$33,0)</f>
        <v>0</v>
      </c>
      <c r="M49">
        <f>IF(AND(SUM(VLOOKUP($A49,test!$A$3:$F$32,2,FALSE),VLOOKUP(M$1,test!$A$3:$F$32,2,FALSE))&lt;test!$K$16,$A49&lt;&gt;M$1,Recharged_Feasible_mat!N18=1),(VLOOKUP(M$1,test!$A$3:$I$32,8,FALSE))-(VLOOKUP($A49,test!$A$3:$I$32,9,FALSE))+test!$B$33,0)</f>
        <v>0</v>
      </c>
      <c r="N49">
        <f>IF(AND(SUM(VLOOKUP($A49,test!$A$3:$F$32,2,FALSE),VLOOKUP(N$1,test!$A$3:$F$32,2,FALSE))&lt;test!$K$16,$A49&lt;&gt;N$1,Recharged_Feasible_mat!O18=1),(VLOOKUP(N$1,test!$A$3:$I$32,8,FALSE))-(VLOOKUP($A49,test!$A$3:$I$32,9,FALSE))+test!$B$33,0)</f>
        <v>440</v>
      </c>
      <c r="O49">
        <f>IF(AND(SUM(VLOOKUP($A49,test!$A$3:$F$32,2,FALSE),VLOOKUP(O$1,test!$A$3:$F$32,2,FALSE))&lt;test!$K$16,$A49&lt;&gt;O$1,Recharged_Feasible_mat!P18=1),(VLOOKUP(O$1,test!$A$3:$I$32,8,FALSE))-(VLOOKUP($A49,test!$A$3:$I$32,9,FALSE))+test!$B$33,0)</f>
        <v>500</v>
      </c>
      <c r="P49">
        <f>IF(AND(SUM(VLOOKUP($A49,test!$A$3:$F$32,2,FALSE),VLOOKUP(P$1,test!$A$3:$F$32,2,FALSE))&lt;test!$K$16,$A49&lt;&gt;P$1,Recharged_Feasible_mat!Q18=1),(VLOOKUP(P$1,test!$A$3:$I$32,8,FALSE))-(VLOOKUP($A49,test!$A$3:$I$32,9,FALSE))+test!$B$33,0)</f>
        <v>0</v>
      </c>
      <c r="Q49">
        <f>IF(AND(SUM(VLOOKUP($A49,test!$A$3:$F$32,2,FALSE),VLOOKUP(Q$1,test!$A$3:$F$32,2,FALSE))&lt;test!$K$16,$A49&lt;&gt;Q$1,Recharged_Feasible_mat!R18=1),(VLOOKUP(Q$1,test!$A$3:$I$32,8,FALSE))-(VLOOKUP($A49,test!$A$3:$I$32,9,FALSE))+test!$B$33,0)</f>
        <v>0</v>
      </c>
      <c r="R49">
        <f>IF(AND(SUM(VLOOKUP($A49,test!$A$3:$F$32,2,FALSE),VLOOKUP(R$1,test!$A$3:$F$32,2,FALSE))&lt;test!$K$16,$A49&lt;&gt;R$1,Recharged_Feasible_mat!S18=1),(VLOOKUP(R$1,test!$A$3:$I$32,8,FALSE))-(VLOOKUP($A49,test!$A$3:$I$32,9,FALSE))+test!$B$33,0)</f>
        <v>0</v>
      </c>
      <c r="S49">
        <f>IF(AND(SUM(VLOOKUP($A49,test!$A$3:$F$32,2,FALSE),VLOOKUP(S$1,test!$A$3:$F$32,2,FALSE))&lt;test!$K$16,$A49&lt;&gt;S$1,Recharged_Feasible_mat!T18=1),(VLOOKUP(S$1,test!$A$3:$I$32,8,FALSE))-(VLOOKUP($A49,test!$A$3:$I$32,9,FALSE))+test!$B$33,0)</f>
        <v>0</v>
      </c>
      <c r="T49">
        <f>IF(AND(SUM(VLOOKUP($A49,test!$A$3:$F$32,2,FALSE),VLOOKUP(T$1,test!$A$3:$F$32,2,FALSE))&lt;test!$K$16,$A49&lt;&gt;T$1,Recharged_Feasible_mat!U18=1),(VLOOKUP(T$1,test!$A$3:$I$32,8,FALSE))-(VLOOKUP($A49,test!$A$3:$I$32,9,FALSE))+test!$B$33,0)</f>
        <v>0</v>
      </c>
      <c r="U49">
        <f>IF(AND(SUM(VLOOKUP($A49,test!$A$3:$F$32,2,FALSE),VLOOKUP(U$1,test!$A$3:$F$32,2,FALSE))&lt;test!$K$16,$A49&lt;&gt;U$1,Recharged_Feasible_mat!V18=1),(VLOOKUP(U$1,test!$A$3:$I$32,8,FALSE))-(VLOOKUP($A49,test!$A$3:$I$32,9,FALSE))+test!$B$33,0)</f>
        <v>185</v>
      </c>
      <c r="V49">
        <f>IF(AND(SUM(VLOOKUP($A49,test!$A$3:$F$32,2,FALSE),VLOOKUP(V$1,test!$A$3:$F$32,2,FALSE))&lt;test!$K$16,$A49&lt;&gt;V$1,Recharged_Feasible_mat!W18=1),(VLOOKUP(V$1,test!$A$3:$I$32,8,FALSE))-(VLOOKUP($A49,test!$A$3:$I$32,9,FALSE))+test!$B$33,0)</f>
        <v>275</v>
      </c>
      <c r="W49">
        <f>IF(AND(SUM(VLOOKUP($A49,test!$A$3:$F$32,2,FALSE),VLOOKUP(W$1,test!$A$3:$F$32,2,FALSE))&lt;test!$K$16,$A49&lt;&gt;W$1,Recharged_Feasible_mat!X18=1),(VLOOKUP(W$1,test!$A$3:$I$32,8,FALSE))-(VLOOKUP($A49,test!$A$3:$I$32,9,FALSE))+test!$B$33,0)</f>
        <v>365</v>
      </c>
      <c r="X49">
        <f>IF(AND(SUM(VLOOKUP($A49,test!$A$3:$F$32,2,FALSE),VLOOKUP(X$1,test!$A$3:$F$32,2,FALSE))&lt;test!$K$16,$A49&lt;&gt;X$1,Recharged_Feasible_mat!Y18=1),(VLOOKUP(X$1,test!$A$3:$I$32,8,FALSE))-(VLOOKUP($A49,test!$A$3:$I$32,9,FALSE))+test!$B$33,0)</f>
        <v>425</v>
      </c>
      <c r="Y49">
        <f>IF(AND(SUM(VLOOKUP($A49,test!$A$3:$F$32,2,FALSE),VLOOKUP(Y$1,test!$A$3:$F$32,2,FALSE))&lt;test!$K$16,$A49&lt;&gt;Y$1,Recharged_Feasible_mat!Z18=1),(VLOOKUP(Y$1,test!$A$3:$I$32,8,FALSE))-(VLOOKUP($A49,test!$A$3:$I$32,9,FALSE))+test!$B$33,0)</f>
        <v>0</v>
      </c>
      <c r="Z49">
        <f>IF(AND(SUM(VLOOKUP($A49,test!$A$3:$F$32,2,FALSE),VLOOKUP(Z$1,test!$A$3:$F$32,2,FALSE))&lt;test!$K$16,$A49&lt;&gt;Z$1,Recharged_Feasible_mat!AA18=1),(VLOOKUP(Z$1,test!$A$3:$I$32,8,FALSE))-(VLOOKUP($A49,test!$A$3:$I$32,9,FALSE))+test!$B$33,0)</f>
        <v>0</v>
      </c>
      <c r="AA49">
        <f>IF(AND(SUM(VLOOKUP($A49,test!$A$3:$F$32,2,FALSE),VLOOKUP(AA$1,test!$A$3:$F$32,2,FALSE))&lt;test!$K$16,$A49&lt;&gt;AA$1,Recharged_Feasible_mat!AB18=1),(VLOOKUP(AA$1,test!$A$3:$I$32,8,FALSE))-(VLOOKUP($A49,test!$A$3:$I$32,9,FALSE))+test!$B$33,0)</f>
        <v>145</v>
      </c>
      <c r="AB49">
        <f>IF(AND(SUM(VLOOKUP($A49,test!$A$3:$F$32,2,FALSE),VLOOKUP(AB$1,test!$A$3:$F$32,2,FALSE))&lt;test!$K$16,$A49&lt;&gt;AB$1,Recharged_Feasible_mat!AC18=1),(VLOOKUP(AB$1,test!$A$3:$I$32,8,FALSE))-(VLOOKUP($A49,test!$A$3:$I$32,9,FALSE))+test!$B$33,0)</f>
        <v>205</v>
      </c>
      <c r="AC49">
        <f>IF(AND(SUM(VLOOKUP($A49,test!$A$3:$F$32,2,FALSE),VLOOKUP(AC$1,test!$A$3:$F$32,2,FALSE))&lt;test!$K$16,$A49&lt;&gt;AC$1,Recharged_Feasible_mat!AD18=1),(VLOOKUP(AC$1,test!$A$3:$I$32,8,FALSE))-(VLOOKUP($A49,test!$A$3:$I$32,9,FALSE))+test!$B$33,0)</f>
        <v>325</v>
      </c>
      <c r="AD49">
        <f>IF(AND(SUM(VLOOKUP($A49,test!$A$3:$F$32,2,FALSE),VLOOKUP(AD$1,test!$A$3:$F$32,2,FALSE))&lt;test!$K$16,$A49&lt;&gt;AD$1,Recharged_Feasible_mat!AE18=1),(VLOOKUP(AD$1,test!$A$3:$I$32,8,FALSE))-(VLOOKUP($A49,test!$A$3:$I$32,9,FALSE))+test!$B$33,0)</f>
        <v>0</v>
      </c>
      <c r="AE49">
        <f>IF(AND(SUM(VLOOKUP($A49,test!$A$3:$F$32,2,FALSE),VLOOKUP(AE$1,test!$A$3:$F$32,2,FALSE))&lt;test!$K$16,$A49&lt;&gt;AE$1,Recharged_Feasible_mat!AF18=1),(VLOOKUP(AE$1,test!$A$3:$I$32,8,FALSE))-(VLOOKUP($A49,test!$A$3:$I$32,9,FALSE))+test!$B$33,0)</f>
        <v>145</v>
      </c>
      <c r="AF49">
        <f>IF(AND(SUM(VLOOKUP($A49,test!$A$3:$F$32,2,FALSE),VLOOKUP(AF$1,test!$A$3:$F$32,2,FALSE))&lt;test!$K$16,$A49&lt;&gt;AF$1,Recharged_Feasible_mat!AG18=1),(VLOOKUP(AF$1,test!$A$3:$I$32,8,FALSE))-(VLOOKUP($A49,test!$A$3:$I$32,9,FALSE))+test!$B$33,0)</f>
        <v>0</v>
      </c>
    </row>
    <row r="50" spans="1:32" x14ac:dyDescent="0.25">
      <c r="A50" t="s">
        <v>28</v>
      </c>
      <c r="B50">
        <v>0</v>
      </c>
      <c r="C50">
        <f>IF(AND(SUM(VLOOKUP($A50,test!$A$3:$F$32,2,FALSE),VLOOKUP(C$1,test!$A$3:$F$32,2,FALSE))&lt;test!$K$16,$A50&lt;&gt;C$1,feasible_mat!C50=1),(VLOOKUP(C$1,test!$A$3:$I$32,8,FALSE))-(VLOOKUP($A50,test!$A$3:$I$32,9,FALSE))+test!$B$33,0)</f>
        <v>0</v>
      </c>
      <c r="D50">
        <f>IF(AND(SUM(VLOOKUP($A50,test!$A$3:$F$32,2,FALSE),VLOOKUP(D$1,test!$A$3:$F$32,2,FALSE))&lt;test!$K$16,$A50&lt;&gt;D$1,Recharged_Feasible_mat!E19=1),(VLOOKUP(D$1,test!$A$3:$I$32,8,FALSE))-(VLOOKUP($A50,test!$A$3:$I$32,9,FALSE))+test!$B$33,0)</f>
        <v>0</v>
      </c>
      <c r="E50">
        <f>IF(AND(SUM(VLOOKUP($A50,test!$A$3:$F$32,2,FALSE),VLOOKUP(E$1,test!$A$3:$F$32,2,FALSE))&lt;test!$K$16,$A50&lt;&gt;E$1,Recharged_Feasible_mat!F19=1),(VLOOKUP(E$1,test!$A$3:$I$32,8,FALSE))-(VLOOKUP($A50,test!$A$3:$I$32,9,FALSE))+test!$B$33,0)</f>
        <v>0</v>
      </c>
      <c r="F50">
        <f>IF(AND(SUM(VLOOKUP($A50,test!$A$3:$F$32,2,FALSE),VLOOKUP(F$1,test!$A$3:$F$32,2,FALSE))&lt;test!$K$16,$A50&lt;&gt;F$1,Recharged_Feasible_mat!G19=1),(VLOOKUP(F$1,test!$A$3:$I$32,8,FALSE))-(VLOOKUP($A50,test!$A$3:$I$32,9,FALSE))+test!$B$33,0)</f>
        <v>0</v>
      </c>
      <c r="G50">
        <f>IF(AND(SUM(VLOOKUP($A50,test!$A$3:$F$32,2,FALSE),VLOOKUP(G$1,test!$A$3:$F$32,2,FALSE))&lt;test!$K$16,$A50&lt;&gt;G$1,Recharged_Feasible_mat!H19=1),(VLOOKUP(G$1,test!$A$3:$I$32,8,FALSE))-(VLOOKUP($A50,test!$A$3:$I$32,9,FALSE))+test!$B$33,0)</f>
        <v>175</v>
      </c>
      <c r="H50">
        <f>IF(AND(SUM(VLOOKUP($A50,test!$A$3:$F$32,2,FALSE),VLOOKUP(H$1,test!$A$3:$F$32,2,FALSE))&lt;test!$K$16,$A50&lt;&gt;H$1,Recharged_Feasible_mat!I19=1),(VLOOKUP(H$1,test!$A$3:$I$32,8,FALSE))-(VLOOKUP($A50,test!$A$3:$I$32,9,FALSE))+test!$B$33,0)</f>
        <v>235</v>
      </c>
      <c r="I50">
        <f>IF(AND(SUM(VLOOKUP($A50,test!$A$3:$F$32,2,FALSE),VLOOKUP(I$1,test!$A$3:$F$32,2,FALSE))&lt;test!$K$16,$A50&lt;&gt;I$1,Recharged_Feasible_mat!J19=1),(VLOOKUP(I$1,test!$A$3:$I$32,8,FALSE))-(VLOOKUP($A50,test!$A$3:$I$32,9,FALSE))+test!$B$33,0)</f>
        <v>295</v>
      </c>
      <c r="J50">
        <f>IF(AND(SUM(VLOOKUP($A50,test!$A$3:$F$32,2,FALSE),VLOOKUP(J$1,test!$A$3:$F$32,2,FALSE))&lt;test!$K$16,$A50&lt;&gt;J$1,Recharged_Feasible_mat!K19=1),(VLOOKUP(J$1,test!$A$3:$I$32,8,FALSE))-(VLOOKUP($A50,test!$A$3:$I$32,9,FALSE))+test!$B$33,0)</f>
        <v>385</v>
      </c>
      <c r="K50">
        <f>IF(AND(SUM(VLOOKUP($A50,test!$A$3:$F$32,2,FALSE),VLOOKUP(K$1,test!$A$3:$F$32,2,FALSE))&lt;test!$K$16,$A50&lt;&gt;K$1,Recharged_Feasible_mat!L19=1),(VLOOKUP(K$1,test!$A$3:$I$32,8,FALSE))-(VLOOKUP($A50,test!$A$3:$I$32,9,FALSE))+test!$B$33,0)</f>
        <v>0</v>
      </c>
      <c r="L50">
        <f>IF(AND(SUM(VLOOKUP($A50,test!$A$3:$F$32,2,FALSE),VLOOKUP(L$1,test!$A$3:$F$32,2,FALSE))&lt;test!$K$16,$A50&lt;&gt;L$1,Recharged_Feasible_mat!M19=1),(VLOOKUP(L$1,test!$A$3:$I$32,8,FALSE))-(VLOOKUP($A50,test!$A$3:$I$32,9,FALSE))+test!$B$33,0)</f>
        <v>0</v>
      </c>
      <c r="M50">
        <f>IF(AND(SUM(VLOOKUP($A50,test!$A$3:$F$32,2,FALSE),VLOOKUP(M$1,test!$A$3:$F$32,2,FALSE))&lt;test!$K$16,$A50&lt;&gt;M$1,Recharged_Feasible_mat!N19=1),(VLOOKUP(M$1,test!$A$3:$I$32,8,FALSE))-(VLOOKUP($A50,test!$A$3:$I$32,9,FALSE))+test!$B$33,0)</f>
        <v>0</v>
      </c>
      <c r="N50">
        <f>IF(AND(SUM(VLOOKUP($A50,test!$A$3:$F$32,2,FALSE),VLOOKUP(N$1,test!$A$3:$F$32,2,FALSE))&lt;test!$K$16,$A50&lt;&gt;N$1,Recharged_Feasible_mat!O19=1),(VLOOKUP(N$1,test!$A$3:$I$32,8,FALSE))-(VLOOKUP($A50,test!$A$3:$I$32,9,FALSE))+test!$B$33,0)</f>
        <v>350</v>
      </c>
      <c r="O50">
        <f>IF(AND(SUM(VLOOKUP($A50,test!$A$3:$F$32,2,FALSE),VLOOKUP(O$1,test!$A$3:$F$32,2,FALSE))&lt;test!$K$16,$A50&lt;&gt;O$1,Recharged_Feasible_mat!P19=1),(VLOOKUP(O$1,test!$A$3:$I$32,8,FALSE))-(VLOOKUP($A50,test!$A$3:$I$32,9,FALSE))+test!$B$33,0)</f>
        <v>410</v>
      </c>
      <c r="P50">
        <f>IF(AND(SUM(VLOOKUP($A50,test!$A$3:$F$32,2,FALSE),VLOOKUP(P$1,test!$A$3:$F$32,2,FALSE))&lt;test!$K$16,$A50&lt;&gt;P$1,Recharged_Feasible_mat!Q19=1),(VLOOKUP(P$1,test!$A$3:$I$32,8,FALSE))-(VLOOKUP($A50,test!$A$3:$I$32,9,FALSE))+test!$B$33,0)</f>
        <v>0</v>
      </c>
      <c r="Q50">
        <f>IF(AND(SUM(VLOOKUP($A50,test!$A$3:$F$32,2,FALSE),VLOOKUP(Q$1,test!$A$3:$F$32,2,FALSE))&lt;test!$K$16,$A50&lt;&gt;Q$1,Recharged_Feasible_mat!R19=1),(VLOOKUP(Q$1,test!$A$3:$I$32,8,FALSE))-(VLOOKUP($A50,test!$A$3:$I$32,9,FALSE))+test!$B$33,0)</f>
        <v>0</v>
      </c>
      <c r="R50">
        <f>IF(AND(SUM(VLOOKUP($A50,test!$A$3:$F$32,2,FALSE),VLOOKUP(R$1,test!$A$3:$F$32,2,FALSE))&lt;test!$K$16,$A50&lt;&gt;R$1,Recharged_Feasible_mat!S19=1),(VLOOKUP(R$1,test!$A$3:$I$32,8,FALSE))-(VLOOKUP($A50,test!$A$3:$I$32,9,FALSE))+test!$B$33,0)</f>
        <v>0</v>
      </c>
      <c r="S50">
        <f>IF(AND(SUM(VLOOKUP($A50,test!$A$3:$F$32,2,FALSE),VLOOKUP(S$1,test!$A$3:$F$32,2,FALSE))&lt;test!$K$16,$A50&lt;&gt;S$1,Recharged_Feasible_mat!T19=1),(VLOOKUP(S$1,test!$A$3:$I$32,8,FALSE))-(VLOOKUP($A50,test!$A$3:$I$32,9,FALSE))+test!$B$33,0)</f>
        <v>0</v>
      </c>
      <c r="T50">
        <f>IF(AND(SUM(VLOOKUP($A50,test!$A$3:$F$32,2,FALSE),VLOOKUP(T$1,test!$A$3:$F$32,2,FALSE))&lt;test!$K$16,$A50&lt;&gt;T$1,Recharged_Feasible_mat!U19=1),(VLOOKUP(T$1,test!$A$3:$I$32,8,FALSE))-(VLOOKUP($A50,test!$A$3:$I$32,9,FALSE))+test!$B$33,0)</f>
        <v>0</v>
      </c>
      <c r="U50">
        <f>IF(AND(SUM(VLOOKUP($A50,test!$A$3:$F$32,2,FALSE),VLOOKUP(U$1,test!$A$3:$F$32,2,FALSE))&lt;test!$K$16,$A50&lt;&gt;U$1,Recharged_Feasible_mat!V19=1),(VLOOKUP(U$1,test!$A$3:$I$32,8,FALSE))-(VLOOKUP($A50,test!$A$3:$I$32,9,FALSE))+test!$B$33,0)</f>
        <v>0</v>
      </c>
      <c r="V50">
        <f>IF(AND(SUM(VLOOKUP($A50,test!$A$3:$F$32,2,FALSE),VLOOKUP(V$1,test!$A$3:$F$32,2,FALSE))&lt;test!$K$16,$A50&lt;&gt;V$1,Recharged_Feasible_mat!W19=1),(VLOOKUP(V$1,test!$A$3:$I$32,8,FALSE))-(VLOOKUP($A50,test!$A$3:$I$32,9,FALSE))+test!$B$33,0)</f>
        <v>185</v>
      </c>
      <c r="W50">
        <f>IF(AND(SUM(VLOOKUP($A50,test!$A$3:$F$32,2,FALSE),VLOOKUP(W$1,test!$A$3:$F$32,2,FALSE))&lt;test!$K$16,$A50&lt;&gt;W$1,Recharged_Feasible_mat!X19=1),(VLOOKUP(W$1,test!$A$3:$I$32,8,FALSE))-(VLOOKUP($A50,test!$A$3:$I$32,9,FALSE))+test!$B$33,0)</f>
        <v>275</v>
      </c>
      <c r="X50">
        <f>IF(AND(SUM(VLOOKUP($A50,test!$A$3:$F$32,2,FALSE),VLOOKUP(X$1,test!$A$3:$F$32,2,FALSE))&lt;test!$K$16,$A50&lt;&gt;X$1,Recharged_Feasible_mat!Y19=1),(VLOOKUP(X$1,test!$A$3:$I$32,8,FALSE))-(VLOOKUP($A50,test!$A$3:$I$32,9,FALSE))+test!$B$33,0)</f>
        <v>335</v>
      </c>
      <c r="Y50">
        <f>IF(AND(SUM(VLOOKUP($A50,test!$A$3:$F$32,2,FALSE),VLOOKUP(Y$1,test!$A$3:$F$32,2,FALSE))&lt;test!$K$16,$A50&lt;&gt;Y$1,Recharged_Feasible_mat!Z19=1),(VLOOKUP(Y$1,test!$A$3:$I$32,8,FALSE))-(VLOOKUP($A50,test!$A$3:$I$32,9,FALSE))+test!$B$33,0)</f>
        <v>0</v>
      </c>
      <c r="Z50">
        <f>IF(AND(SUM(VLOOKUP($A50,test!$A$3:$F$32,2,FALSE),VLOOKUP(Z$1,test!$A$3:$F$32,2,FALSE))&lt;test!$K$16,$A50&lt;&gt;Z$1,Recharged_Feasible_mat!AA19=1),(VLOOKUP(Z$1,test!$A$3:$I$32,8,FALSE))-(VLOOKUP($A50,test!$A$3:$I$32,9,FALSE))+test!$B$33,0)</f>
        <v>0</v>
      </c>
      <c r="AA50">
        <f>IF(AND(SUM(VLOOKUP($A50,test!$A$3:$F$32,2,FALSE),VLOOKUP(AA$1,test!$A$3:$F$32,2,FALSE))&lt;test!$K$16,$A50&lt;&gt;AA$1,Recharged_Feasible_mat!AB19=1),(VLOOKUP(AA$1,test!$A$3:$I$32,8,FALSE))-(VLOOKUP($A50,test!$A$3:$I$32,9,FALSE))+test!$B$33,0)</f>
        <v>0</v>
      </c>
      <c r="AB50">
        <f>IF(AND(SUM(VLOOKUP($A50,test!$A$3:$F$32,2,FALSE),VLOOKUP(AB$1,test!$A$3:$F$32,2,FALSE))&lt;test!$K$16,$A50&lt;&gt;AB$1,Recharged_Feasible_mat!AC19=1),(VLOOKUP(AB$1,test!$A$3:$I$32,8,FALSE))-(VLOOKUP($A50,test!$A$3:$I$32,9,FALSE))+test!$B$33,0)</f>
        <v>0</v>
      </c>
      <c r="AC50">
        <f>IF(AND(SUM(VLOOKUP($A50,test!$A$3:$F$32,2,FALSE),VLOOKUP(AC$1,test!$A$3:$F$32,2,FALSE))&lt;test!$K$16,$A50&lt;&gt;AC$1,Recharged_Feasible_mat!AD19=1),(VLOOKUP(AC$1,test!$A$3:$I$32,8,FALSE))-(VLOOKUP($A50,test!$A$3:$I$32,9,FALSE))+test!$B$33,0)</f>
        <v>235</v>
      </c>
      <c r="AD50">
        <f>IF(AND(SUM(VLOOKUP($A50,test!$A$3:$F$32,2,FALSE),VLOOKUP(AD$1,test!$A$3:$F$32,2,FALSE))&lt;test!$K$16,$A50&lt;&gt;AD$1,Recharged_Feasible_mat!AE19=1),(VLOOKUP(AD$1,test!$A$3:$I$32,8,FALSE))-(VLOOKUP($A50,test!$A$3:$I$32,9,FALSE))+test!$B$33,0)</f>
        <v>0</v>
      </c>
      <c r="AE50">
        <f>IF(AND(SUM(VLOOKUP($A50,test!$A$3:$F$32,2,FALSE),VLOOKUP(AE$1,test!$A$3:$F$32,2,FALSE))&lt;test!$K$16,$A50&lt;&gt;AE$1,Recharged_Feasible_mat!AF19=1),(VLOOKUP(AE$1,test!$A$3:$I$32,8,FALSE))-(VLOOKUP($A50,test!$A$3:$I$32,9,FALSE))+test!$B$33,0)</f>
        <v>0</v>
      </c>
      <c r="AF50">
        <f>IF(AND(SUM(VLOOKUP($A50,test!$A$3:$F$32,2,FALSE),VLOOKUP(AF$1,test!$A$3:$F$32,2,FALSE))&lt;test!$K$16,$A50&lt;&gt;AF$1,Recharged_Feasible_mat!AG19=1),(VLOOKUP(AF$1,test!$A$3:$I$32,8,FALSE))-(VLOOKUP($A50,test!$A$3:$I$32,9,FALSE))+test!$B$33,0)</f>
        <v>0</v>
      </c>
    </row>
    <row r="51" spans="1:32" x14ac:dyDescent="0.25">
      <c r="A51" t="s">
        <v>29</v>
      </c>
      <c r="B51">
        <v>0</v>
      </c>
      <c r="C51">
        <f>IF(AND(SUM(VLOOKUP($A51,test!$A$3:$F$32,2,FALSE),VLOOKUP(C$1,test!$A$3:$F$32,2,FALSE))&lt;test!$K$16,$A51&lt;&gt;C$1,feasible_mat!C51=1),(VLOOKUP(C$1,test!$A$3:$I$32,8,FALSE))-(VLOOKUP($A51,test!$A$3:$I$32,9,FALSE))+test!$B$33,0)</f>
        <v>0</v>
      </c>
      <c r="D51">
        <f>IF(AND(SUM(VLOOKUP($A51,test!$A$3:$F$32,2,FALSE),VLOOKUP(D$1,test!$A$3:$F$32,2,FALSE))&lt;test!$K$16,$A51&lt;&gt;D$1,Recharged_Feasible_mat!E20=1),(VLOOKUP(D$1,test!$A$3:$I$32,8,FALSE))-(VLOOKUP($A51,test!$A$3:$I$32,9,FALSE))+test!$B$33,0)</f>
        <v>0</v>
      </c>
      <c r="E51">
        <f>IF(AND(SUM(VLOOKUP($A51,test!$A$3:$F$32,2,FALSE),VLOOKUP(E$1,test!$A$3:$F$32,2,FALSE))&lt;test!$K$16,$A51&lt;&gt;E$1,Recharged_Feasible_mat!F20=1),(VLOOKUP(E$1,test!$A$3:$I$32,8,FALSE))-(VLOOKUP($A51,test!$A$3:$I$32,9,FALSE))+test!$B$33,0)</f>
        <v>0</v>
      </c>
      <c r="F51">
        <f>IF(AND(SUM(VLOOKUP($A51,test!$A$3:$F$32,2,FALSE),VLOOKUP(F$1,test!$A$3:$F$32,2,FALSE))&lt;test!$K$16,$A51&lt;&gt;F$1,Recharged_Feasible_mat!G20=1),(VLOOKUP(F$1,test!$A$3:$I$32,8,FALSE))-(VLOOKUP($A51,test!$A$3:$I$32,9,FALSE))+test!$B$33,0)</f>
        <v>0</v>
      </c>
      <c r="G51">
        <f>IF(AND(SUM(VLOOKUP($A51,test!$A$3:$F$32,2,FALSE),VLOOKUP(G$1,test!$A$3:$F$32,2,FALSE))&lt;test!$K$16,$A51&lt;&gt;G$1,Recharged_Feasible_mat!H20=1),(VLOOKUP(G$1,test!$A$3:$I$32,8,FALSE))-(VLOOKUP($A51,test!$A$3:$I$32,9,FALSE))+test!$B$33,0)</f>
        <v>0</v>
      </c>
      <c r="H51">
        <f>IF(AND(SUM(VLOOKUP($A51,test!$A$3:$F$32,2,FALSE),VLOOKUP(H$1,test!$A$3:$F$32,2,FALSE))&lt;test!$K$16,$A51&lt;&gt;H$1,Recharged_Feasible_mat!I20=1),(VLOOKUP(H$1,test!$A$3:$I$32,8,FALSE))-(VLOOKUP($A51,test!$A$3:$I$32,9,FALSE))+test!$B$33,0)</f>
        <v>145</v>
      </c>
      <c r="I51">
        <f>IF(AND(SUM(VLOOKUP($A51,test!$A$3:$F$32,2,FALSE),VLOOKUP(I$1,test!$A$3:$F$32,2,FALSE))&lt;test!$K$16,$A51&lt;&gt;I$1,Recharged_Feasible_mat!J20=1),(VLOOKUP(I$1,test!$A$3:$I$32,8,FALSE))-(VLOOKUP($A51,test!$A$3:$I$32,9,FALSE))+test!$B$33,0)</f>
        <v>205</v>
      </c>
      <c r="J51">
        <f>IF(AND(SUM(VLOOKUP($A51,test!$A$3:$F$32,2,FALSE),VLOOKUP(J$1,test!$A$3:$F$32,2,FALSE))&lt;test!$K$16,$A51&lt;&gt;J$1,Recharged_Feasible_mat!K20=1),(VLOOKUP(J$1,test!$A$3:$I$32,8,FALSE))-(VLOOKUP($A51,test!$A$3:$I$32,9,FALSE))+test!$B$33,0)</f>
        <v>295</v>
      </c>
      <c r="K51">
        <f>IF(AND(SUM(VLOOKUP($A51,test!$A$3:$F$32,2,FALSE),VLOOKUP(K$1,test!$A$3:$F$32,2,FALSE))&lt;test!$K$16,$A51&lt;&gt;K$1,Recharged_Feasible_mat!L20=1),(VLOOKUP(K$1,test!$A$3:$I$32,8,FALSE))-(VLOOKUP($A51,test!$A$3:$I$32,9,FALSE))+test!$B$33,0)</f>
        <v>0</v>
      </c>
      <c r="L51">
        <f>IF(AND(SUM(VLOOKUP($A51,test!$A$3:$F$32,2,FALSE),VLOOKUP(L$1,test!$A$3:$F$32,2,FALSE))&lt;test!$K$16,$A51&lt;&gt;L$1,Recharged_Feasible_mat!M20=1),(VLOOKUP(L$1,test!$A$3:$I$32,8,FALSE))-(VLOOKUP($A51,test!$A$3:$I$32,9,FALSE))+test!$B$33,0)</f>
        <v>0</v>
      </c>
      <c r="M51">
        <f>IF(AND(SUM(VLOOKUP($A51,test!$A$3:$F$32,2,FALSE),VLOOKUP(M$1,test!$A$3:$F$32,2,FALSE))&lt;test!$K$16,$A51&lt;&gt;M$1,Recharged_Feasible_mat!N20=1),(VLOOKUP(M$1,test!$A$3:$I$32,8,FALSE))-(VLOOKUP($A51,test!$A$3:$I$32,9,FALSE))+test!$B$33,0)</f>
        <v>0</v>
      </c>
      <c r="N51">
        <f>IF(AND(SUM(VLOOKUP($A51,test!$A$3:$F$32,2,FALSE),VLOOKUP(N$1,test!$A$3:$F$32,2,FALSE))&lt;test!$K$16,$A51&lt;&gt;N$1,Recharged_Feasible_mat!O20=1),(VLOOKUP(N$1,test!$A$3:$I$32,8,FALSE))-(VLOOKUP($A51,test!$A$3:$I$32,9,FALSE))+test!$B$33,0)</f>
        <v>260</v>
      </c>
      <c r="O51">
        <f>IF(AND(SUM(VLOOKUP($A51,test!$A$3:$F$32,2,FALSE),VLOOKUP(O$1,test!$A$3:$F$32,2,FALSE))&lt;test!$K$16,$A51&lt;&gt;O$1,Recharged_Feasible_mat!P20=1),(VLOOKUP(O$1,test!$A$3:$I$32,8,FALSE))-(VLOOKUP($A51,test!$A$3:$I$32,9,FALSE))+test!$B$33,0)</f>
        <v>320</v>
      </c>
      <c r="P51">
        <f>IF(AND(SUM(VLOOKUP($A51,test!$A$3:$F$32,2,FALSE),VLOOKUP(P$1,test!$A$3:$F$32,2,FALSE))&lt;test!$K$16,$A51&lt;&gt;P$1,Recharged_Feasible_mat!Q20=1),(VLOOKUP(P$1,test!$A$3:$I$32,8,FALSE))-(VLOOKUP($A51,test!$A$3:$I$32,9,FALSE))+test!$B$33,0)</f>
        <v>0</v>
      </c>
      <c r="Q51">
        <f>IF(AND(SUM(VLOOKUP($A51,test!$A$3:$F$32,2,FALSE),VLOOKUP(Q$1,test!$A$3:$F$32,2,FALSE))&lt;test!$K$16,$A51&lt;&gt;Q$1,Recharged_Feasible_mat!R20=1),(VLOOKUP(Q$1,test!$A$3:$I$32,8,FALSE))-(VLOOKUP($A51,test!$A$3:$I$32,9,FALSE))+test!$B$33,0)</f>
        <v>0</v>
      </c>
      <c r="R51">
        <f>IF(AND(SUM(VLOOKUP($A51,test!$A$3:$F$32,2,FALSE),VLOOKUP(R$1,test!$A$3:$F$32,2,FALSE))&lt;test!$K$16,$A51&lt;&gt;R$1,Recharged_Feasible_mat!S20=1),(VLOOKUP(R$1,test!$A$3:$I$32,8,FALSE))-(VLOOKUP($A51,test!$A$3:$I$32,9,FALSE))+test!$B$33,0)</f>
        <v>0</v>
      </c>
      <c r="S51">
        <f>IF(AND(SUM(VLOOKUP($A51,test!$A$3:$F$32,2,FALSE),VLOOKUP(S$1,test!$A$3:$F$32,2,FALSE))&lt;test!$K$16,$A51&lt;&gt;S$1,Recharged_Feasible_mat!T20=1),(VLOOKUP(S$1,test!$A$3:$I$32,8,FALSE))-(VLOOKUP($A51,test!$A$3:$I$32,9,FALSE))+test!$B$33,0)</f>
        <v>0</v>
      </c>
      <c r="T51">
        <f>IF(AND(SUM(VLOOKUP($A51,test!$A$3:$F$32,2,FALSE),VLOOKUP(T$1,test!$A$3:$F$32,2,FALSE))&lt;test!$K$16,$A51&lt;&gt;T$1,Recharged_Feasible_mat!U20=1),(VLOOKUP(T$1,test!$A$3:$I$32,8,FALSE))-(VLOOKUP($A51,test!$A$3:$I$32,9,FALSE))+test!$B$33,0)</f>
        <v>0</v>
      </c>
      <c r="U51">
        <f>IF(AND(SUM(VLOOKUP($A51,test!$A$3:$F$32,2,FALSE),VLOOKUP(U$1,test!$A$3:$F$32,2,FALSE))&lt;test!$K$16,$A51&lt;&gt;U$1,Recharged_Feasible_mat!V20=1),(VLOOKUP(U$1,test!$A$3:$I$32,8,FALSE))-(VLOOKUP($A51,test!$A$3:$I$32,9,FALSE))+test!$B$33,0)</f>
        <v>0</v>
      </c>
      <c r="V51">
        <f>IF(AND(SUM(VLOOKUP($A51,test!$A$3:$F$32,2,FALSE),VLOOKUP(V$1,test!$A$3:$F$32,2,FALSE))&lt;test!$K$16,$A51&lt;&gt;V$1,Recharged_Feasible_mat!W20=1),(VLOOKUP(V$1,test!$A$3:$I$32,8,FALSE))-(VLOOKUP($A51,test!$A$3:$I$32,9,FALSE))+test!$B$33,0)</f>
        <v>0</v>
      </c>
      <c r="W51">
        <f>IF(AND(SUM(VLOOKUP($A51,test!$A$3:$F$32,2,FALSE),VLOOKUP(W$1,test!$A$3:$F$32,2,FALSE))&lt;test!$K$16,$A51&lt;&gt;W$1,Recharged_Feasible_mat!X20=1),(VLOOKUP(W$1,test!$A$3:$I$32,8,FALSE))-(VLOOKUP($A51,test!$A$3:$I$32,9,FALSE))+test!$B$33,0)</f>
        <v>185</v>
      </c>
      <c r="X51">
        <f>IF(AND(SUM(VLOOKUP($A51,test!$A$3:$F$32,2,FALSE),VLOOKUP(X$1,test!$A$3:$F$32,2,FALSE))&lt;test!$K$16,$A51&lt;&gt;X$1,Recharged_Feasible_mat!Y20=1),(VLOOKUP(X$1,test!$A$3:$I$32,8,FALSE))-(VLOOKUP($A51,test!$A$3:$I$32,9,FALSE))+test!$B$33,0)</f>
        <v>245</v>
      </c>
      <c r="Y51">
        <f>IF(AND(SUM(VLOOKUP($A51,test!$A$3:$F$32,2,FALSE),VLOOKUP(Y$1,test!$A$3:$F$32,2,FALSE))&lt;test!$K$16,$A51&lt;&gt;Y$1,Recharged_Feasible_mat!Z20=1),(VLOOKUP(Y$1,test!$A$3:$I$32,8,FALSE))-(VLOOKUP($A51,test!$A$3:$I$32,9,FALSE))+test!$B$33,0)</f>
        <v>0</v>
      </c>
      <c r="Z51">
        <f>IF(AND(SUM(VLOOKUP($A51,test!$A$3:$F$32,2,FALSE),VLOOKUP(Z$1,test!$A$3:$F$32,2,FALSE))&lt;test!$K$16,$A51&lt;&gt;Z$1,Recharged_Feasible_mat!AA20=1),(VLOOKUP(Z$1,test!$A$3:$I$32,8,FALSE))-(VLOOKUP($A51,test!$A$3:$I$32,9,FALSE))+test!$B$33,0)</f>
        <v>0</v>
      </c>
      <c r="AA51">
        <f>IF(AND(SUM(VLOOKUP($A51,test!$A$3:$F$32,2,FALSE),VLOOKUP(AA$1,test!$A$3:$F$32,2,FALSE))&lt;test!$K$16,$A51&lt;&gt;AA$1,Recharged_Feasible_mat!AB20=1),(VLOOKUP(AA$1,test!$A$3:$I$32,8,FALSE))-(VLOOKUP($A51,test!$A$3:$I$32,9,FALSE))+test!$B$33,0)</f>
        <v>0</v>
      </c>
      <c r="AB51">
        <f>IF(AND(SUM(VLOOKUP($A51,test!$A$3:$F$32,2,FALSE),VLOOKUP(AB$1,test!$A$3:$F$32,2,FALSE))&lt;test!$K$16,$A51&lt;&gt;AB$1,Recharged_Feasible_mat!AC20=1),(VLOOKUP(AB$1,test!$A$3:$I$32,8,FALSE))-(VLOOKUP($A51,test!$A$3:$I$32,9,FALSE))+test!$B$33,0)</f>
        <v>0</v>
      </c>
      <c r="AC51">
        <f>IF(AND(SUM(VLOOKUP($A51,test!$A$3:$F$32,2,FALSE),VLOOKUP(AC$1,test!$A$3:$F$32,2,FALSE))&lt;test!$K$16,$A51&lt;&gt;AC$1,Recharged_Feasible_mat!AD20=1),(VLOOKUP(AC$1,test!$A$3:$I$32,8,FALSE))-(VLOOKUP($A51,test!$A$3:$I$32,9,FALSE))+test!$B$33,0)</f>
        <v>145</v>
      </c>
      <c r="AD51">
        <f>IF(AND(SUM(VLOOKUP($A51,test!$A$3:$F$32,2,FALSE),VLOOKUP(AD$1,test!$A$3:$F$32,2,FALSE))&lt;test!$K$16,$A51&lt;&gt;AD$1,Recharged_Feasible_mat!AE20=1),(VLOOKUP(AD$1,test!$A$3:$I$32,8,FALSE))-(VLOOKUP($A51,test!$A$3:$I$32,9,FALSE))+test!$B$33,0)</f>
        <v>0</v>
      </c>
      <c r="AE51">
        <f>IF(AND(SUM(VLOOKUP($A51,test!$A$3:$F$32,2,FALSE),VLOOKUP(AE$1,test!$A$3:$F$32,2,FALSE))&lt;test!$K$16,$A51&lt;&gt;AE$1,Recharged_Feasible_mat!AF20=1),(VLOOKUP(AE$1,test!$A$3:$I$32,8,FALSE))-(VLOOKUP($A51,test!$A$3:$I$32,9,FALSE))+test!$B$33,0)</f>
        <v>0</v>
      </c>
      <c r="AF51">
        <f>IF(AND(SUM(VLOOKUP($A51,test!$A$3:$F$32,2,FALSE),VLOOKUP(AF$1,test!$A$3:$F$32,2,FALSE))&lt;test!$K$16,$A51&lt;&gt;AF$1,Recharged_Feasible_mat!AG20=1),(VLOOKUP(AF$1,test!$A$3:$I$32,8,FALSE))-(VLOOKUP($A51,test!$A$3:$I$32,9,FALSE))+test!$B$33,0)</f>
        <v>0</v>
      </c>
    </row>
    <row r="52" spans="1:32" x14ac:dyDescent="0.25">
      <c r="A52" t="s">
        <v>30</v>
      </c>
      <c r="B52">
        <v>0</v>
      </c>
      <c r="C52">
        <f>IF(AND(SUM(VLOOKUP($A52,test!$A$3:$F$32,2,FALSE),VLOOKUP(C$1,test!$A$3:$F$32,2,FALSE))&lt;test!$K$16,$A52&lt;&gt;C$1,feasible_mat!C52=1),(VLOOKUP(C$1,test!$A$3:$I$32,8,FALSE))-(VLOOKUP($A52,test!$A$3:$I$32,9,FALSE))+test!$B$33,0)</f>
        <v>0</v>
      </c>
      <c r="D52">
        <f>IF(AND(SUM(VLOOKUP($A52,test!$A$3:$F$32,2,FALSE),VLOOKUP(D$1,test!$A$3:$F$32,2,FALSE))&lt;test!$K$16,$A52&lt;&gt;D$1,Recharged_Feasible_mat!E21=1),(VLOOKUP(D$1,test!$A$3:$I$32,8,FALSE))-(VLOOKUP($A52,test!$A$3:$I$32,9,FALSE))+test!$B$33,0)</f>
        <v>0</v>
      </c>
      <c r="E52">
        <f>IF(AND(SUM(VLOOKUP($A52,test!$A$3:$F$32,2,FALSE),VLOOKUP(E$1,test!$A$3:$F$32,2,FALSE))&lt;test!$K$16,$A52&lt;&gt;E$1,Recharged_Feasible_mat!F21=1),(VLOOKUP(E$1,test!$A$3:$I$32,8,FALSE))-(VLOOKUP($A52,test!$A$3:$I$32,9,FALSE))+test!$B$33,0)</f>
        <v>0</v>
      </c>
      <c r="F52">
        <f>IF(AND(SUM(VLOOKUP($A52,test!$A$3:$F$32,2,FALSE),VLOOKUP(F$1,test!$A$3:$F$32,2,FALSE))&lt;test!$K$16,$A52&lt;&gt;F$1,Recharged_Feasible_mat!G21=1),(VLOOKUP(F$1,test!$A$3:$I$32,8,FALSE))-(VLOOKUP($A52,test!$A$3:$I$32,9,FALSE))+test!$B$33,0)</f>
        <v>0</v>
      </c>
      <c r="G52">
        <f>IF(AND(SUM(VLOOKUP($A52,test!$A$3:$F$32,2,FALSE),VLOOKUP(G$1,test!$A$3:$F$32,2,FALSE))&lt;test!$K$16,$A52&lt;&gt;G$1,Recharged_Feasible_mat!H21=1),(VLOOKUP(G$1,test!$A$3:$I$32,8,FALSE))-(VLOOKUP($A52,test!$A$3:$I$32,9,FALSE))+test!$B$33,0)</f>
        <v>0</v>
      </c>
      <c r="H52">
        <f>IF(AND(SUM(VLOOKUP($A52,test!$A$3:$F$32,2,FALSE),VLOOKUP(H$1,test!$A$3:$F$32,2,FALSE))&lt;test!$K$16,$A52&lt;&gt;H$1,Recharged_Feasible_mat!I21=1),(VLOOKUP(H$1,test!$A$3:$I$32,8,FALSE))-(VLOOKUP($A52,test!$A$3:$I$32,9,FALSE))+test!$B$33,0)</f>
        <v>0</v>
      </c>
      <c r="I52">
        <f>IF(AND(SUM(VLOOKUP($A52,test!$A$3:$F$32,2,FALSE),VLOOKUP(I$1,test!$A$3:$F$32,2,FALSE))&lt;test!$K$16,$A52&lt;&gt;I$1,Recharged_Feasible_mat!J21=1),(VLOOKUP(I$1,test!$A$3:$I$32,8,FALSE))-(VLOOKUP($A52,test!$A$3:$I$32,9,FALSE))+test!$B$33,0)</f>
        <v>0</v>
      </c>
      <c r="J52">
        <f>IF(AND(SUM(VLOOKUP($A52,test!$A$3:$F$32,2,FALSE),VLOOKUP(J$1,test!$A$3:$F$32,2,FALSE))&lt;test!$K$16,$A52&lt;&gt;J$1,Recharged_Feasible_mat!K21=1),(VLOOKUP(J$1,test!$A$3:$I$32,8,FALSE))-(VLOOKUP($A52,test!$A$3:$I$32,9,FALSE))+test!$B$33,0)</f>
        <v>205</v>
      </c>
      <c r="K52">
        <f>IF(AND(SUM(VLOOKUP($A52,test!$A$3:$F$32,2,FALSE),VLOOKUP(K$1,test!$A$3:$F$32,2,FALSE))&lt;test!$K$16,$A52&lt;&gt;K$1,Recharged_Feasible_mat!L21=1),(VLOOKUP(K$1,test!$A$3:$I$32,8,FALSE))-(VLOOKUP($A52,test!$A$3:$I$32,9,FALSE))+test!$B$33,0)</f>
        <v>0</v>
      </c>
      <c r="L52">
        <f>IF(AND(SUM(VLOOKUP($A52,test!$A$3:$F$32,2,FALSE),VLOOKUP(L$1,test!$A$3:$F$32,2,FALSE))&lt;test!$K$16,$A52&lt;&gt;L$1,Recharged_Feasible_mat!M21=1),(VLOOKUP(L$1,test!$A$3:$I$32,8,FALSE))-(VLOOKUP($A52,test!$A$3:$I$32,9,FALSE))+test!$B$33,0)</f>
        <v>0</v>
      </c>
      <c r="M52">
        <f>IF(AND(SUM(VLOOKUP($A52,test!$A$3:$F$32,2,FALSE),VLOOKUP(M$1,test!$A$3:$F$32,2,FALSE))&lt;test!$K$16,$A52&lt;&gt;M$1,Recharged_Feasible_mat!N21=1),(VLOOKUP(M$1,test!$A$3:$I$32,8,FALSE))-(VLOOKUP($A52,test!$A$3:$I$32,9,FALSE))+test!$B$33,0)</f>
        <v>0</v>
      </c>
      <c r="N52">
        <f>IF(AND(SUM(VLOOKUP($A52,test!$A$3:$F$32,2,FALSE),VLOOKUP(N$1,test!$A$3:$F$32,2,FALSE))&lt;test!$K$16,$A52&lt;&gt;N$1,Recharged_Feasible_mat!O21=1),(VLOOKUP(N$1,test!$A$3:$I$32,8,FALSE))-(VLOOKUP($A52,test!$A$3:$I$32,9,FALSE))+test!$B$33,0)</f>
        <v>170</v>
      </c>
      <c r="O52">
        <f>IF(AND(SUM(VLOOKUP($A52,test!$A$3:$F$32,2,FALSE),VLOOKUP(O$1,test!$A$3:$F$32,2,FALSE))&lt;test!$K$16,$A52&lt;&gt;O$1,Recharged_Feasible_mat!P21=1),(VLOOKUP(O$1,test!$A$3:$I$32,8,FALSE))-(VLOOKUP($A52,test!$A$3:$I$32,9,FALSE))+test!$B$33,0)</f>
        <v>230</v>
      </c>
      <c r="P52">
        <f>IF(AND(SUM(VLOOKUP($A52,test!$A$3:$F$32,2,FALSE),VLOOKUP(P$1,test!$A$3:$F$32,2,FALSE))&lt;test!$K$16,$A52&lt;&gt;P$1,Recharged_Feasible_mat!Q21=1),(VLOOKUP(P$1,test!$A$3:$I$32,8,FALSE))-(VLOOKUP($A52,test!$A$3:$I$32,9,FALSE))+test!$B$33,0)</f>
        <v>0</v>
      </c>
      <c r="Q52">
        <f>IF(AND(SUM(VLOOKUP($A52,test!$A$3:$F$32,2,FALSE),VLOOKUP(Q$1,test!$A$3:$F$32,2,FALSE))&lt;test!$K$16,$A52&lt;&gt;Q$1,Recharged_Feasible_mat!R21=1),(VLOOKUP(Q$1,test!$A$3:$I$32,8,FALSE))-(VLOOKUP($A52,test!$A$3:$I$32,9,FALSE))+test!$B$33,0)</f>
        <v>0</v>
      </c>
      <c r="R52">
        <f>IF(AND(SUM(VLOOKUP($A52,test!$A$3:$F$32,2,FALSE),VLOOKUP(R$1,test!$A$3:$F$32,2,FALSE))&lt;test!$K$16,$A52&lt;&gt;R$1,Recharged_Feasible_mat!S21=1),(VLOOKUP(R$1,test!$A$3:$I$32,8,FALSE))-(VLOOKUP($A52,test!$A$3:$I$32,9,FALSE))+test!$B$33,0)</f>
        <v>0</v>
      </c>
      <c r="S52">
        <f>IF(AND(SUM(VLOOKUP($A52,test!$A$3:$F$32,2,FALSE),VLOOKUP(S$1,test!$A$3:$F$32,2,FALSE))&lt;test!$K$16,$A52&lt;&gt;S$1,Recharged_Feasible_mat!T21=1),(VLOOKUP(S$1,test!$A$3:$I$32,8,FALSE))-(VLOOKUP($A52,test!$A$3:$I$32,9,FALSE))+test!$B$33,0)</f>
        <v>0</v>
      </c>
      <c r="T52">
        <f>IF(AND(SUM(VLOOKUP($A52,test!$A$3:$F$32,2,FALSE),VLOOKUP(T$1,test!$A$3:$F$32,2,FALSE))&lt;test!$K$16,$A52&lt;&gt;T$1,Recharged_Feasible_mat!U21=1),(VLOOKUP(T$1,test!$A$3:$I$32,8,FALSE))-(VLOOKUP($A52,test!$A$3:$I$32,9,FALSE))+test!$B$33,0)</f>
        <v>0</v>
      </c>
      <c r="U52">
        <f>IF(AND(SUM(VLOOKUP($A52,test!$A$3:$F$32,2,FALSE),VLOOKUP(U$1,test!$A$3:$F$32,2,FALSE))&lt;test!$K$16,$A52&lt;&gt;U$1,Recharged_Feasible_mat!V21=1),(VLOOKUP(U$1,test!$A$3:$I$32,8,FALSE))-(VLOOKUP($A52,test!$A$3:$I$32,9,FALSE))+test!$B$33,0)</f>
        <v>0</v>
      </c>
      <c r="V52">
        <f>IF(AND(SUM(VLOOKUP($A52,test!$A$3:$F$32,2,FALSE),VLOOKUP(V$1,test!$A$3:$F$32,2,FALSE))&lt;test!$K$16,$A52&lt;&gt;V$1,Recharged_Feasible_mat!W21=1),(VLOOKUP(V$1,test!$A$3:$I$32,8,FALSE))-(VLOOKUP($A52,test!$A$3:$I$32,9,FALSE))+test!$B$33,0)</f>
        <v>0</v>
      </c>
      <c r="W52">
        <f>IF(AND(SUM(VLOOKUP($A52,test!$A$3:$F$32,2,FALSE),VLOOKUP(W$1,test!$A$3:$F$32,2,FALSE))&lt;test!$K$16,$A52&lt;&gt;W$1,Recharged_Feasible_mat!X21=1),(VLOOKUP(W$1,test!$A$3:$I$32,8,FALSE))-(VLOOKUP($A52,test!$A$3:$I$32,9,FALSE))+test!$B$33,0)</f>
        <v>0</v>
      </c>
      <c r="X52">
        <f>IF(AND(SUM(VLOOKUP($A52,test!$A$3:$F$32,2,FALSE),VLOOKUP(X$1,test!$A$3:$F$32,2,FALSE))&lt;test!$K$16,$A52&lt;&gt;X$1,Recharged_Feasible_mat!Y21=1),(VLOOKUP(X$1,test!$A$3:$I$32,8,FALSE))-(VLOOKUP($A52,test!$A$3:$I$32,9,FALSE))+test!$B$33,0)</f>
        <v>155</v>
      </c>
      <c r="Y52">
        <f>IF(AND(SUM(VLOOKUP($A52,test!$A$3:$F$32,2,FALSE),VLOOKUP(Y$1,test!$A$3:$F$32,2,FALSE))&lt;test!$K$16,$A52&lt;&gt;Y$1,Recharged_Feasible_mat!Z21=1),(VLOOKUP(Y$1,test!$A$3:$I$32,8,FALSE))-(VLOOKUP($A52,test!$A$3:$I$32,9,FALSE))+test!$B$33,0)</f>
        <v>0</v>
      </c>
      <c r="Z52">
        <f>IF(AND(SUM(VLOOKUP($A52,test!$A$3:$F$32,2,FALSE),VLOOKUP(Z$1,test!$A$3:$F$32,2,FALSE))&lt;test!$K$16,$A52&lt;&gt;Z$1,Recharged_Feasible_mat!AA21=1),(VLOOKUP(Z$1,test!$A$3:$I$32,8,FALSE))-(VLOOKUP($A52,test!$A$3:$I$32,9,FALSE))+test!$B$33,0)</f>
        <v>0</v>
      </c>
      <c r="AA52">
        <f>IF(AND(SUM(VLOOKUP($A52,test!$A$3:$F$32,2,FALSE),VLOOKUP(AA$1,test!$A$3:$F$32,2,FALSE))&lt;test!$K$16,$A52&lt;&gt;AA$1,Recharged_Feasible_mat!AB21=1),(VLOOKUP(AA$1,test!$A$3:$I$32,8,FALSE))-(VLOOKUP($A52,test!$A$3:$I$32,9,FALSE))+test!$B$33,0)</f>
        <v>0</v>
      </c>
      <c r="AB52">
        <f>IF(AND(SUM(VLOOKUP($A52,test!$A$3:$F$32,2,FALSE),VLOOKUP(AB$1,test!$A$3:$F$32,2,FALSE))&lt;test!$K$16,$A52&lt;&gt;AB$1,Recharged_Feasible_mat!AC21=1),(VLOOKUP(AB$1,test!$A$3:$I$32,8,FALSE))-(VLOOKUP($A52,test!$A$3:$I$32,9,FALSE))+test!$B$33,0)</f>
        <v>0</v>
      </c>
      <c r="AC52">
        <f>IF(AND(SUM(VLOOKUP($A52,test!$A$3:$F$32,2,FALSE),VLOOKUP(AC$1,test!$A$3:$F$32,2,FALSE))&lt;test!$K$16,$A52&lt;&gt;AC$1,Recharged_Feasible_mat!AD21=1),(VLOOKUP(AC$1,test!$A$3:$I$32,8,FALSE))-(VLOOKUP($A52,test!$A$3:$I$32,9,FALSE))+test!$B$33,0)</f>
        <v>0</v>
      </c>
      <c r="AD52">
        <f>IF(AND(SUM(VLOOKUP($A52,test!$A$3:$F$32,2,FALSE),VLOOKUP(AD$1,test!$A$3:$F$32,2,FALSE))&lt;test!$K$16,$A52&lt;&gt;AD$1,Recharged_Feasible_mat!AE21=1),(VLOOKUP(AD$1,test!$A$3:$I$32,8,FALSE))-(VLOOKUP($A52,test!$A$3:$I$32,9,FALSE))+test!$B$33,0)</f>
        <v>0</v>
      </c>
      <c r="AE52">
        <f>IF(AND(SUM(VLOOKUP($A52,test!$A$3:$F$32,2,FALSE),VLOOKUP(AE$1,test!$A$3:$F$32,2,FALSE))&lt;test!$K$16,$A52&lt;&gt;AE$1,Recharged_Feasible_mat!AF21=1),(VLOOKUP(AE$1,test!$A$3:$I$32,8,FALSE))-(VLOOKUP($A52,test!$A$3:$I$32,9,FALSE))+test!$B$33,0)</f>
        <v>0</v>
      </c>
      <c r="AF52">
        <f>IF(AND(SUM(VLOOKUP($A52,test!$A$3:$F$32,2,FALSE),VLOOKUP(AF$1,test!$A$3:$F$32,2,FALSE))&lt;test!$K$16,$A52&lt;&gt;AF$1,Recharged_Feasible_mat!AG21=1),(VLOOKUP(AF$1,test!$A$3:$I$32,8,FALSE))-(VLOOKUP($A52,test!$A$3:$I$32,9,FALSE))+test!$B$33,0)</f>
        <v>0</v>
      </c>
    </row>
    <row r="53" spans="1:32" x14ac:dyDescent="0.25">
      <c r="A53" t="s">
        <v>31</v>
      </c>
      <c r="B53">
        <v>0</v>
      </c>
      <c r="C53">
        <f>IF(AND(SUM(VLOOKUP($A53,test!$A$3:$F$32,2,FALSE),VLOOKUP(C$1,test!$A$3:$F$32,2,FALSE))&lt;test!$K$16,$A53&lt;&gt;C$1,feasible_mat!C53=1),(VLOOKUP(C$1,test!$A$3:$I$32,8,FALSE))-(VLOOKUP($A53,test!$A$3:$I$32,9,FALSE))+test!$B$33,0)</f>
        <v>0</v>
      </c>
      <c r="D53">
        <f>IF(AND(SUM(VLOOKUP($A53,test!$A$3:$F$32,2,FALSE),VLOOKUP(D$1,test!$A$3:$F$32,2,FALSE))&lt;test!$K$16,$A53&lt;&gt;D$1,Recharged_Feasible_mat!E22=1),(VLOOKUP(D$1,test!$A$3:$I$32,8,FALSE))-(VLOOKUP($A53,test!$A$3:$I$32,9,FALSE))+test!$B$33,0)</f>
        <v>0</v>
      </c>
      <c r="E53">
        <f>IF(AND(SUM(VLOOKUP($A53,test!$A$3:$F$32,2,FALSE),VLOOKUP(E$1,test!$A$3:$F$32,2,FALSE))&lt;test!$K$16,$A53&lt;&gt;E$1,Recharged_Feasible_mat!F22=1),(VLOOKUP(E$1,test!$A$3:$I$32,8,FALSE))-(VLOOKUP($A53,test!$A$3:$I$32,9,FALSE))+test!$B$33,0)</f>
        <v>0</v>
      </c>
      <c r="F53">
        <f>IF(AND(SUM(VLOOKUP($A53,test!$A$3:$F$32,2,FALSE),VLOOKUP(F$1,test!$A$3:$F$32,2,FALSE))&lt;test!$K$16,$A53&lt;&gt;F$1,Recharged_Feasible_mat!G22=1),(VLOOKUP(F$1,test!$A$3:$I$32,8,FALSE))-(VLOOKUP($A53,test!$A$3:$I$32,9,FALSE))+test!$B$33,0)</f>
        <v>0</v>
      </c>
      <c r="G53">
        <f>IF(AND(SUM(VLOOKUP($A53,test!$A$3:$F$32,2,FALSE),VLOOKUP(G$1,test!$A$3:$F$32,2,FALSE))&lt;test!$K$16,$A53&lt;&gt;G$1,Recharged_Feasible_mat!H22=1),(VLOOKUP(G$1,test!$A$3:$I$32,8,FALSE))-(VLOOKUP($A53,test!$A$3:$I$32,9,FALSE))+test!$B$33,0)</f>
        <v>0</v>
      </c>
      <c r="H53">
        <f>IF(AND(SUM(VLOOKUP($A53,test!$A$3:$F$32,2,FALSE),VLOOKUP(H$1,test!$A$3:$F$32,2,FALSE))&lt;test!$K$16,$A53&lt;&gt;H$1,Recharged_Feasible_mat!I22=1),(VLOOKUP(H$1,test!$A$3:$I$32,8,FALSE))-(VLOOKUP($A53,test!$A$3:$I$32,9,FALSE))+test!$B$33,0)</f>
        <v>0</v>
      </c>
      <c r="I53">
        <f>IF(AND(SUM(VLOOKUP($A53,test!$A$3:$F$32,2,FALSE),VLOOKUP(I$1,test!$A$3:$F$32,2,FALSE))&lt;test!$K$16,$A53&lt;&gt;I$1,Recharged_Feasible_mat!J22=1),(VLOOKUP(I$1,test!$A$3:$I$32,8,FALSE))-(VLOOKUP($A53,test!$A$3:$I$32,9,FALSE))+test!$B$33,0)</f>
        <v>0</v>
      </c>
      <c r="J53">
        <f>IF(AND(SUM(VLOOKUP($A53,test!$A$3:$F$32,2,FALSE),VLOOKUP(J$1,test!$A$3:$F$32,2,FALSE))&lt;test!$K$16,$A53&lt;&gt;J$1,Recharged_Feasible_mat!K22=1),(VLOOKUP(J$1,test!$A$3:$I$32,8,FALSE))-(VLOOKUP($A53,test!$A$3:$I$32,9,FALSE))+test!$B$33,0)</f>
        <v>0</v>
      </c>
      <c r="K53">
        <f>IF(AND(SUM(VLOOKUP($A53,test!$A$3:$F$32,2,FALSE),VLOOKUP(K$1,test!$A$3:$F$32,2,FALSE))&lt;test!$K$16,$A53&lt;&gt;K$1,Recharged_Feasible_mat!L22=1),(VLOOKUP(K$1,test!$A$3:$I$32,8,FALSE))-(VLOOKUP($A53,test!$A$3:$I$32,9,FALSE))+test!$B$33,0)</f>
        <v>0</v>
      </c>
      <c r="L53">
        <f>IF(AND(SUM(VLOOKUP($A53,test!$A$3:$F$32,2,FALSE),VLOOKUP(L$1,test!$A$3:$F$32,2,FALSE))&lt;test!$K$16,$A53&lt;&gt;L$1,Recharged_Feasible_mat!M22=1),(VLOOKUP(L$1,test!$A$3:$I$32,8,FALSE))-(VLOOKUP($A53,test!$A$3:$I$32,9,FALSE))+test!$B$33,0)</f>
        <v>0</v>
      </c>
      <c r="M53">
        <f>IF(AND(SUM(VLOOKUP($A53,test!$A$3:$F$32,2,FALSE),VLOOKUP(M$1,test!$A$3:$F$32,2,FALSE))&lt;test!$K$16,$A53&lt;&gt;M$1,Recharged_Feasible_mat!N22=1),(VLOOKUP(M$1,test!$A$3:$I$32,8,FALSE))-(VLOOKUP($A53,test!$A$3:$I$32,9,FALSE))+test!$B$33,0)</f>
        <v>0</v>
      </c>
      <c r="N53">
        <f>IF(AND(SUM(VLOOKUP($A53,test!$A$3:$F$32,2,FALSE),VLOOKUP(N$1,test!$A$3:$F$32,2,FALSE))&lt;test!$K$16,$A53&lt;&gt;N$1,Recharged_Feasible_mat!O22=1),(VLOOKUP(N$1,test!$A$3:$I$32,8,FALSE))-(VLOOKUP($A53,test!$A$3:$I$32,9,FALSE))+test!$B$33,0)</f>
        <v>0</v>
      </c>
      <c r="O53">
        <f>IF(AND(SUM(VLOOKUP($A53,test!$A$3:$F$32,2,FALSE),VLOOKUP(O$1,test!$A$3:$F$32,2,FALSE))&lt;test!$K$16,$A53&lt;&gt;O$1,Recharged_Feasible_mat!P22=1),(VLOOKUP(O$1,test!$A$3:$I$32,8,FALSE))-(VLOOKUP($A53,test!$A$3:$I$32,9,FALSE))+test!$B$33,0)</f>
        <v>140</v>
      </c>
      <c r="P53">
        <f>IF(AND(SUM(VLOOKUP($A53,test!$A$3:$F$32,2,FALSE),VLOOKUP(P$1,test!$A$3:$F$32,2,FALSE))&lt;test!$K$16,$A53&lt;&gt;P$1,Recharged_Feasible_mat!Q22=1),(VLOOKUP(P$1,test!$A$3:$I$32,8,FALSE))-(VLOOKUP($A53,test!$A$3:$I$32,9,FALSE))+test!$B$33,0)</f>
        <v>0</v>
      </c>
      <c r="Q53">
        <f>IF(AND(SUM(VLOOKUP($A53,test!$A$3:$F$32,2,FALSE),VLOOKUP(Q$1,test!$A$3:$F$32,2,FALSE))&lt;test!$K$16,$A53&lt;&gt;Q$1,Recharged_Feasible_mat!R22=1),(VLOOKUP(Q$1,test!$A$3:$I$32,8,FALSE))-(VLOOKUP($A53,test!$A$3:$I$32,9,FALSE))+test!$B$33,0)</f>
        <v>0</v>
      </c>
      <c r="R53">
        <f>IF(AND(SUM(VLOOKUP($A53,test!$A$3:$F$32,2,FALSE),VLOOKUP(R$1,test!$A$3:$F$32,2,FALSE))&lt;test!$K$16,$A53&lt;&gt;R$1,Recharged_Feasible_mat!S22=1),(VLOOKUP(R$1,test!$A$3:$I$32,8,FALSE))-(VLOOKUP($A53,test!$A$3:$I$32,9,FALSE))+test!$B$33,0)</f>
        <v>0</v>
      </c>
      <c r="S53">
        <f>IF(AND(SUM(VLOOKUP($A53,test!$A$3:$F$32,2,FALSE),VLOOKUP(S$1,test!$A$3:$F$32,2,FALSE))&lt;test!$K$16,$A53&lt;&gt;S$1,Recharged_Feasible_mat!T22=1),(VLOOKUP(S$1,test!$A$3:$I$32,8,FALSE))-(VLOOKUP($A53,test!$A$3:$I$32,9,FALSE))+test!$B$33,0)</f>
        <v>0</v>
      </c>
      <c r="T53">
        <f>IF(AND(SUM(VLOOKUP($A53,test!$A$3:$F$32,2,FALSE),VLOOKUP(T$1,test!$A$3:$F$32,2,FALSE))&lt;test!$K$16,$A53&lt;&gt;T$1,Recharged_Feasible_mat!U22=1),(VLOOKUP(T$1,test!$A$3:$I$32,8,FALSE))-(VLOOKUP($A53,test!$A$3:$I$32,9,FALSE))+test!$B$33,0)</f>
        <v>0</v>
      </c>
      <c r="U53">
        <f>IF(AND(SUM(VLOOKUP($A53,test!$A$3:$F$32,2,FALSE),VLOOKUP(U$1,test!$A$3:$F$32,2,FALSE))&lt;test!$K$16,$A53&lt;&gt;U$1,Recharged_Feasible_mat!V22=1),(VLOOKUP(U$1,test!$A$3:$I$32,8,FALSE))-(VLOOKUP($A53,test!$A$3:$I$32,9,FALSE))+test!$B$33,0)</f>
        <v>0</v>
      </c>
      <c r="V53">
        <f>IF(AND(SUM(VLOOKUP($A53,test!$A$3:$F$32,2,FALSE),VLOOKUP(V$1,test!$A$3:$F$32,2,FALSE))&lt;test!$K$16,$A53&lt;&gt;V$1,Recharged_Feasible_mat!W22=1),(VLOOKUP(V$1,test!$A$3:$I$32,8,FALSE))-(VLOOKUP($A53,test!$A$3:$I$32,9,FALSE))+test!$B$33,0)</f>
        <v>0</v>
      </c>
      <c r="W53">
        <f>IF(AND(SUM(VLOOKUP($A53,test!$A$3:$F$32,2,FALSE),VLOOKUP(W$1,test!$A$3:$F$32,2,FALSE))&lt;test!$K$16,$A53&lt;&gt;W$1,Recharged_Feasible_mat!X22=1),(VLOOKUP(W$1,test!$A$3:$I$32,8,FALSE))-(VLOOKUP($A53,test!$A$3:$I$32,9,FALSE))+test!$B$33,0)</f>
        <v>0</v>
      </c>
      <c r="X53">
        <f>IF(AND(SUM(VLOOKUP($A53,test!$A$3:$F$32,2,FALSE),VLOOKUP(X$1,test!$A$3:$F$32,2,FALSE))&lt;test!$K$16,$A53&lt;&gt;X$1,Recharged_Feasible_mat!Y22=1),(VLOOKUP(X$1,test!$A$3:$I$32,8,FALSE))-(VLOOKUP($A53,test!$A$3:$I$32,9,FALSE))+test!$B$33,0)</f>
        <v>0</v>
      </c>
      <c r="Y53">
        <f>IF(AND(SUM(VLOOKUP($A53,test!$A$3:$F$32,2,FALSE),VLOOKUP(Y$1,test!$A$3:$F$32,2,FALSE))&lt;test!$K$16,$A53&lt;&gt;Y$1,Recharged_Feasible_mat!Z22=1),(VLOOKUP(Y$1,test!$A$3:$I$32,8,FALSE))-(VLOOKUP($A53,test!$A$3:$I$32,9,FALSE))+test!$B$33,0)</f>
        <v>0</v>
      </c>
      <c r="Z53">
        <f>IF(AND(SUM(VLOOKUP($A53,test!$A$3:$F$32,2,FALSE),VLOOKUP(Z$1,test!$A$3:$F$32,2,FALSE))&lt;test!$K$16,$A53&lt;&gt;Z$1,Recharged_Feasible_mat!AA22=1),(VLOOKUP(Z$1,test!$A$3:$I$32,8,FALSE))-(VLOOKUP($A53,test!$A$3:$I$32,9,FALSE))+test!$B$33,0)</f>
        <v>0</v>
      </c>
      <c r="AA53">
        <f>IF(AND(SUM(VLOOKUP($A53,test!$A$3:$F$32,2,FALSE),VLOOKUP(AA$1,test!$A$3:$F$32,2,FALSE))&lt;test!$K$16,$A53&lt;&gt;AA$1,Recharged_Feasible_mat!AB22=1),(VLOOKUP(AA$1,test!$A$3:$I$32,8,FALSE))-(VLOOKUP($A53,test!$A$3:$I$32,9,FALSE))+test!$B$33,0)</f>
        <v>0</v>
      </c>
      <c r="AB53">
        <f>IF(AND(SUM(VLOOKUP($A53,test!$A$3:$F$32,2,FALSE),VLOOKUP(AB$1,test!$A$3:$F$32,2,FALSE))&lt;test!$K$16,$A53&lt;&gt;AB$1,Recharged_Feasible_mat!AC22=1),(VLOOKUP(AB$1,test!$A$3:$I$32,8,FALSE))-(VLOOKUP($A53,test!$A$3:$I$32,9,FALSE))+test!$B$33,0)</f>
        <v>0</v>
      </c>
      <c r="AC53">
        <f>IF(AND(SUM(VLOOKUP($A53,test!$A$3:$F$32,2,FALSE),VLOOKUP(AC$1,test!$A$3:$F$32,2,FALSE))&lt;test!$K$16,$A53&lt;&gt;AC$1,Recharged_Feasible_mat!AD22=1),(VLOOKUP(AC$1,test!$A$3:$I$32,8,FALSE))-(VLOOKUP($A53,test!$A$3:$I$32,9,FALSE))+test!$B$33,0)</f>
        <v>0</v>
      </c>
      <c r="AD53">
        <f>IF(AND(SUM(VLOOKUP($A53,test!$A$3:$F$32,2,FALSE),VLOOKUP(AD$1,test!$A$3:$F$32,2,FALSE))&lt;test!$K$16,$A53&lt;&gt;AD$1,Recharged_Feasible_mat!AE22=1),(VLOOKUP(AD$1,test!$A$3:$I$32,8,FALSE))-(VLOOKUP($A53,test!$A$3:$I$32,9,FALSE))+test!$B$33,0)</f>
        <v>0</v>
      </c>
      <c r="AE53">
        <f>IF(AND(SUM(VLOOKUP($A53,test!$A$3:$F$32,2,FALSE),VLOOKUP(AE$1,test!$A$3:$F$32,2,FALSE))&lt;test!$K$16,$A53&lt;&gt;AE$1,Recharged_Feasible_mat!AF22=1),(VLOOKUP(AE$1,test!$A$3:$I$32,8,FALSE))-(VLOOKUP($A53,test!$A$3:$I$32,9,FALSE))+test!$B$33,0)</f>
        <v>0</v>
      </c>
      <c r="AF53">
        <f>IF(AND(SUM(VLOOKUP($A53,test!$A$3:$F$32,2,FALSE),VLOOKUP(AF$1,test!$A$3:$F$32,2,FALSE))&lt;test!$K$16,$A53&lt;&gt;AF$1,Recharged_Feasible_mat!AG22=1),(VLOOKUP(AF$1,test!$A$3:$I$32,8,FALSE))-(VLOOKUP($A53,test!$A$3:$I$32,9,FALSE))+test!$B$33,0)</f>
        <v>0</v>
      </c>
    </row>
    <row r="54" spans="1:32" x14ac:dyDescent="0.25">
      <c r="A54" t="s">
        <v>32</v>
      </c>
      <c r="B54">
        <v>0</v>
      </c>
      <c r="C54">
        <f>IF(AND(SUM(VLOOKUP($A54,test!$A$3:$F$32,2,FALSE),VLOOKUP(C$1,test!$A$3:$F$32,2,FALSE))&lt;test!$K$16,$A54&lt;&gt;C$1,feasible_mat!C54=1),(VLOOKUP(C$1,test!$A$3:$I$32,8,FALSE))-(VLOOKUP($A54,test!$A$3:$I$32,9,FALSE))+test!$B$33,0)</f>
        <v>0</v>
      </c>
      <c r="D54">
        <f>IF(AND(SUM(VLOOKUP($A54,test!$A$3:$F$32,2,FALSE),VLOOKUP(D$1,test!$A$3:$F$32,2,FALSE))&lt;test!$K$16,$A54&lt;&gt;D$1,Recharged_Feasible_mat!E23=1),(VLOOKUP(D$1,test!$A$3:$I$32,8,FALSE))-(VLOOKUP($A54,test!$A$3:$I$32,9,FALSE))+test!$B$33,0)</f>
        <v>0</v>
      </c>
      <c r="E54">
        <f>IF(AND(SUM(VLOOKUP($A54,test!$A$3:$F$32,2,FALSE),VLOOKUP(E$1,test!$A$3:$F$32,2,FALSE))&lt;test!$K$16,$A54&lt;&gt;E$1,Recharged_Feasible_mat!F23=1),(VLOOKUP(E$1,test!$A$3:$I$32,8,FALSE))-(VLOOKUP($A54,test!$A$3:$I$32,9,FALSE))+test!$B$33,0)</f>
        <v>0</v>
      </c>
      <c r="F54">
        <f>IF(AND(SUM(VLOOKUP($A54,test!$A$3:$F$32,2,FALSE),VLOOKUP(F$1,test!$A$3:$F$32,2,FALSE))&lt;test!$K$16,$A54&lt;&gt;F$1,Recharged_Feasible_mat!G23=1),(VLOOKUP(F$1,test!$A$3:$I$32,8,FALSE))-(VLOOKUP($A54,test!$A$3:$I$32,9,FALSE))+test!$B$33,0)</f>
        <v>0</v>
      </c>
      <c r="G54">
        <f>IF(AND(SUM(VLOOKUP($A54,test!$A$3:$F$32,2,FALSE),VLOOKUP(G$1,test!$A$3:$F$32,2,FALSE))&lt;test!$K$16,$A54&lt;&gt;G$1,Recharged_Feasible_mat!H23=1),(VLOOKUP(G$1,test!$A$3:$I$32,8,FALSE))-(VLOOKUP($A54,test!$A$3:$I$32,9,FALSE))+test!$B$33,0)</f>
        <v>0</v>
      </c>
      <c r="H54">
        <f>IF(AND(SUM(VLOOKUP($A54,test!$A$3:$F$32,2,FALSE),VLOOKUP(H$1,test!$A$3:$F$32,2,FALSE))&lt;test!$K$16,$A54&lt;&gt;H$1,Recharged_Feasible_mat!I23=1),(VLOOKUP(H$1,test!$A$3:$I$32,8,FALSE))-(VLOOKUP($A54,test!$A$3:$I$32,9,FALSE))+test!$B$33,0)</f>
        <v>0</v>
      </c>
      <c r="I54">
        <f>IF(AND(SUM(VLOOKUP($A54,test!$A$3:$F$32,2,FALSE),VLOOKUP(I$1,test!$A$3:$F$32,2,FALSE))&lt;test!$K$16,$A54&lt;&gt;I$1,Recharged_Feasible_mat!J23=1),(VLOOKUP(I$1,test!$A$3:$I$32,8,FALSE))-(VLOOKUP($A54,test!$A$3:$I$32,9,FALSE))+test!$B$33,0)</f>
        <v>0</v>
      </c>
      <c r="J54">
        <f>IF(AND(SUM(VLOOKUP($A54,test!$A$3:$F$32,2,FALSE),VLOOKUP(J$1,test!$A$3:$F$32,2,FALSE))&lt;test!$K$16,$A54&lt;&gt;J$1,Recharged_Feasible_mat!K23=1),(VLOOKUP(J$1,test!$A$3:$I$32,8,FALSE))-(VLOOKUP($A54,test!$A$3:$I$32,9,FALSE))+test!$B$33,0)</f>
        <v>0</v>
      </c>
      <c r="K54">
        <f>IF(AND(SUM(VLOOKUP($A54,test!$A$3:$F$32,2,FALSE),VLOOKUP(K$1,test!$A$3:$F$32,2,FALSE))&lt;test!$K$16,$A54&lt;&gt;K$1,Recharged_Feasible_mat!L23=1),(VLOOKUP(K$1,test!$A$3:$I$32,8,FALSE))-(VLOOKUP($A54,test!$A$3:$I$32,9,FALSE))+test!$B$33,0)</f>
        <v>0</v>
      </c>
      <c r="L54">
        <f>IF(AND(SUM(VLOOKUP($A54,test!$A$3:$F$32,2,FALSE),VLOOKUP(L$1,test!$A$3:$F$32,2,FALSE))&lt;test!$K$16,$A54&lt;&gt;L$1,Recharged_Feasible_mat!M23=1),(VLOOKUP(L$1,test!$A$3:$I$32,8,FALSE))-(VLOOKUP($A54,test!$A$3:$I$32,9,FALSE))+test!$B$33,0)</f>
        <v>0</v>
      </c>
      <c r="M54">
        <f>IF(AND(SUM(VLOOKUP($A54,test!$A$3:$F$32,2,FALSE),VLOOKUP(M$1,test!$A$3:$F$32,2,FALSE))&lt;test!$K$16,$A54&lt;&gt;M$1,Recharged_Feasible_mat!N23=1),(VLOOKUP(M$1,test!$A$3:$I$32,8,FALSE))-(VLOOKUP($A54,test!$A$3:$I$32,9,FALSE))+test!$B$33,0)</f>
        <v>0</v>
      </c>
      <c r="N54">
        <f>IF(AND(SUM(VLOOKUP($A54,test!$A$3:$F$32,2,FALSE),VLOOKUP(N$1,test!$A$3:$F$32,2,FALSE))&lt;test!$K$16,$A54&lt;&gt;N$1,Recharged_Feasible_mat!O23=1),(VLOOKUP(N$1,test!$A$3:$I$32,8,FALSE))-(VLOOKUP($A54,test!$A$3:$I$32,9,FALSE))+test!$B$33,0)</f>
        <v>0</v>
      </c>
      <c r="O54">
        <f>IF(AND(SUM(VLOOKUP($A54,test!$A$3:$F$32,2,FALSE),VLOOKUP(O$1,test!$A$3:$F$32,2,FALSE))&lt;test!$K$16,$A54&lt;&gt;O$1,Recharged_Feasible_mat!P23=1),(VLOOKUP(O$1,test!$A$3:$I$32,8,FALSE))-(VLOOKUP($A54,test!$A$3:$I$32,9,FALSE))+test!$B$33,0)</f>
        <v>0</v>
      </c>
      <c r="P54">
        <f>IF(AND(SUM(VLOOKUP($A54,test!$A$3:$F$32,2,FALSE),VLOOKUP(P$1,test!$A$3:$F$32,2,FALSE))&lt;test!$K$16,$A54&lt;&gt;P$1,Recharged_Feasible_mat!Q23=1),(VLOOKUP(P$1,test!$A$3:$I$32,8,FALSE))-(VLOOKUP($A54,test!$A$3:$I$32,9,FALSE))+test!$B$33,0)</f>
        <v>0</v>
      </c>
      <c r="Q54">
        <f>IF(AND(SUM(VLOOKUP($A54,test!$A$3:$F$32,2,FALSE),VLOOKUP(Q$1,test!$A$3:$F$32,2,FALSE))&lt;test!$K$16,$A54&lt;&gt;Q$1,Recharged_Feasible_mat!R23=1),(VLOOKUP(Q$1,test!$A$3:$I$32,8,FALSE))-(VLOOKUP($A54,test!$A$3:$I$32,9,FALSE))+test!$B$33,0)</f>
        <v>0</v>
      </c>
      <c r="R54">
        <f>IF(AND(SUM(VLOOKUP($A54,test!$A$3:$F$32,2,FALSE),VLOOKUP(R$1,test!$A$3:$F$32,2,FALSE))&lt;test!$K$16,$A54&lt;&gt;R$1,Recharged_Feasible_mat!S23=1),(VLOOKUP(R$1,test!$A$3:$I$32,8,FALSE))-(VLOOKUP($A54,test!$A$3:$I$32,9,FALSE))+test!$B$33,0)</f>
        <v>0</v>
      </c>
      <c r="S54">
        <f>IF(AND(SUM(VLOOKUP($A54,test!$A$3:$F$32,2,FALSE),VLOOKUP(S$1,test!$A$3:$F$32,2,FALSE))&lt;test!$K$16,$A54&lt;&gt;S$1,Recharged_Feasible_mat!T23=1),(VLOOKUP(S$1,test!$A$3:$I$32,8,FALSE))-(VLOOKUP($A54,test!$A$3:$I$32,9,FALSE))+test!$B$33,0)</f>
        <v>0</v>
      </c>
      <c r="T54">
        <f>IF(AND(SUM(VLOOKUP($A54,test!$A$3:$F$32,2,FALSE),VLOOKUP(T$1,test!$A$3:$F$32,2,FALSE))&lt;test!$K$16,$A54&lt;&gt;T$1,Recharged_Feasible_mat!U23=1),(VLOOKUP(T$1,test!$A$3:$I$32,8,FALSE))-(VLOOKUP($A54,test!$A$3:$I$32,9,FALSE))+test!$B$33,0)</f>
        <v>0</v>
      </c>
      <c r="U54">
        <f>IF(AND(SUM(VLOOKUP($A54,test!$A$3:$F$32,2,FALSE),VLOOKUP(U$1,test!$A$3:$F$32,2,FALSE))&lt;test!$K$16,$A54&lt;&gt;U$1,Recharged_Feasible_mat!V23=1),(VLOOKUP(U$1,test!$A$3:$I$32,8,FALSE))-(VLOOKUP($A54,test!$A$3:$I$32,9,FALSE))+test!$B$33,0)</f>
        <v>0</v>
      </c>
      <c r="V54">
        <f>IF(AND(SUM(VLOOKUP($A54,test!$A$3:$F$32,2,FALSE),VLOOKUP(V$1,test!$A$3:$F$32,2,FALSE))&lt;test!$K$16,$A54&lt;&gt;V$1,Recharged_Feasible_mat!W23=1),(VLOOKUP(V$1,test!$A$3:$I$32,8,FALSE))-(VLOOKUP($A54,test!$A$3:$I$32,9,FALSE))+test!$B$33,0)</f>
        <v>0</v>
      </c>
      <c r="W54">
        <f>IF(AND(SUM(VLOOKUP($A54,test!$A$3:$F$32,2,FALSE),VLOOKUP(W$1,test!$A$3:$F$32,2,FALSE))&lt;test!$K$16,$A54&lt;&gt;W$1,Recharged_Feasible_mat!X23=1),(VLOOKUP(W$1,test!$A$3:$I$32,8,FALSE))-(VLOOKUP($A54,test!$A$3:$I$32,9,FALSE))+test!$B$33,0)</f>
        <v>0</v>
      </c>
      <c r="X54">
        <f>IF(AND(SUM(VLOOKUP($A54,test!$A$3:$F$32,2,FALSE),VLOOKUP(X$1,test!$A$3:$F$32,2,FALSE))&lt;test!$K$16,$A54&lt;&gt;X$1,Recharged_Feasible_mat!Y23=1),(VLOOKUP(X$1,test!$A$3:$I$32,8,FALSE))-(VLOOKUP($A54,test!$A$3:$I$32,9,FALSE))+test!$B$33,0)</f>
        <v>0</v>
      </c>
      <c r="Y54">
        <f>IF(AND(SUM(VLOOKUP($A54,test!$A$3:$F$32,2,FALSE),VLOOKUP(Y$1,test!$A$3:$F$32,2,FALSE))&lt;test!$K$16,$A54&lt;&gt;Y$1,Recharged_Feasible_mat!Z23=1),(VLOOKUP(Y$1,test!$A$3:$I$32,8,FALSE))-(VLOOKUP($A54,test!$A$3:$I$32,9,FALSE))+test!$B$33,0)</f>
        <v>0</v>
      </c>
      <c r="Z54">
        <f>IF(AND(SUM(VLOOKUP($A54,test!$A$3:$F$32,2,FALSE),VLOOKUP(Z$1,test!$A$3:$F$32,2,FALSE))&lt;test!$K$16,$A54&lt;&gt;Z$1,Recharged_Feasible_mat!AA23=1),(VLOOKUP(Z$1,test!$A$3:$I$32,8,FALSE))-(VLOOKUP($A54,test!$A$3:$I$32,9,FALSE))+test!$B$33,0)</f>
        <v>0</v>
      </c>
      <c r="AA54">
        <f>IF(AND(SUM(VLOOKUP($A54,test!$A$3:$F$32,2,FALSE),VLOOKUP(AA$1,test!$A$3:$F$32,2,FALSE))&lt;test!$K$16,$A54&lt;&gt;AA$1,Recharged_Feasible_mat!AB23=1),(VLOOKUP(AA$1,test!$A$3:$I$32,8,FALSE))-(VLOOKUP($A54,test!$A$3:$I$32,9,FALSE))+test!$B$33,0)</f>
        <v>0</v>
      </c>
      <c r="AB54">
        <f>IF(AND(SUM(VLOOKUP($A54,test!$A$3:$F$32,2,FALSE),VLOOKUP(AB$1,test!$A$3:$F$32,2,FALSE))&lt;test!$K$16,$A54&lt;&gt;AB$1,Recharged_Feasible_mat!AC23=1),(VLOOKUP(AB$1,test!$A$3:$I$32,8,FALSE))-(VLOOKUP($A54,test!$A$3:$I$32,9,FALSE))+test!$B$33,0)</f>
        <v>0</v>
      </c>
      <c r="AC54">
        <f>IF(AND(SUM(VLOOKUP($A54,test!$A$3:$F$32,2,FALSE),VLOOKUP(AC$1,test!$A$3:$F$32,2,FALSE))&lt;test!$K$16,$A54&lt;&gt;AC$1,Recharged_Feasible_mat!AD23=1),(VLOOKUP(AC$1,test!$A$3:$I$32,8,FALSE))-(VLOOKUP($A54,test!$A$3:$I$32,9,FALSE))+test!$B$33,0)</f>
        <v>0</v>
      </c>
      <c r="AD54">
        <f>IF(AND(SUM(VLOOKUP($A54,test!$A$3:$F$32,2,FALSE),VLOOKUP(AD$1,test!$A$3:$F$32,2,FALSE))&lt;test!$K$16,$A54&lt;&gt;AD$1,Recharged_Feasible_mat!AE23=1),(VLOOKUP(AD$1,test!$A$3:$I$32,8,FALSE))-(VLOOKUP($A54,test!$A$3:$I$32,9,FALSE))+test!$B$33,0)</f>
        <v>0</v>
      </c>
      <c r="AE54">
        <f>IF(AND(SUM(VLOOKUP($A54,test!$A$3:$F$32,2,FALSE),VLOOKUP(AE$1,test!$A$3:$F$32,2,FALSE))&lt;test!$K$16,$A54&lt;&gt;AE$1,Recharged_Feasible_mat!AF23=1),(VLOOKUP(AE$1,test!$A$3:$I$32,8,FALSE))-(VLOOKUP($A54,test!$A$3:$I$32,9,FALSE))+test!$B$33,0)</f>
        <v>0</v>
      </c>
      <c r="AF54">
        <f>IF(AND(SUM(VLOOKUP($A54,test!$A$3:$F$32,2,FALSE),VLOOKUP(AF$1,test!$A$3:$F$32,2,FALSE))&lt;test!$K$16,$A54&lt;&gt;AF$1,Recharged_Feasible_mat!AG23=1),(VLOOKUP(AF$1,test!$A$3:$I$32,8,FALSE))-(VLOOKUP($A54,test!$A$3:$I$32,9,FALSE))+test!$B$33,0)</f>
        <v>0</v>
      </c>
    </row>
    <row r="55" spans="1:32" x14ac:dyDescent="0.25">
      <c r="A55" t="s">
        <v>33</v>
      </c>
      <c r="B55">
        <v>0</v>
      </c>
      <c r="C55">
        <f>IF(AND(SUM(VLOOKUP($A55,test!$A$3:$F$32,2,FALSE),VLOOKUP(C$1,test!$A$3:$F$32,2,FALSE))&lt;test!$K$16,$A55&lt;&gt;C$1,feasible_mat!C55=1),(VLOOKUP(C$1,test!$A$3:$I$32,8,FALSE))-(VLOOKUP($A55,test!$A$3:$I$32,9,FALSE))+test!$B$33,0)</f>
        <v>0</v>
      </c>
      <c r="D55">
        <f>IF(AND(SUM(VLOOKUP($A55,test!$A$3:$F$32,2,FALSE),VLOOKUP(D$1,test!$A$3:$F$32,2,FALSE))&lt;test!$K$16,$A55&lt;&gt;D$1,Recharged_Feasible_mat!E24=1),(VLOOKUP(D$1,test!$A$3:$I$32,8,FALSE))-(VLOOKUP($A55,test!$A$3:$I$32,9,FALSE))+test!$B$33,0)</f>
        <v>0</v>
      </c>
      <c r="E55">
        <f>IF(AND(SUM(VLOOKUP($A55,test!$A$3:$F$32,2,FALSE),VLOOKUP(E$1,test!$A$3:$F$32,2,FALSE))&lt;test!$K$16,$A55&lt;&gt;E$1,Recharged_Feasible_mat!F24=1),(VLOOKUP(E$1,test!$A$3:$I$32,8,FALSE))-(VLOOKUP($A55,test!$A$3:$I$32,9,FALSE))+test!$B$33,0)</f>
        <v>0</v>
      </c>
      <c r="F55">
        <f>IF(AND(SUM(VLOOKUP($A55,test!$A$3:$F$32,2,FALSE),VLOOKUP(F$1,test!$A$3:$F$32,2,FALSE))&lt;test!$K$16,$A55&lt;&gt;F$1,Recharged_Feasible_mat!G24=1),(VLOOKUP(F$1,test!$A$3:$I$32,8,FALSE))-(VLOOKUP($A55,test!$A$3:$I$32,9,FALSE))+test!$B$33,0)</f>
        <v>0</v>
      </c>
      <c r="G55">
        <f>IF(AND(SUM(VLOOKUP($A55,test!$A$3:$F$32,2,FALSE),VLOOKUP(G$1,test!$A$3:$F$32,2,FALSE))&lt;test!$K$16,$A55&lt;&gt;G$1,Recharged_Feasible_mat!H24=1),(VLOOKUP(G$1,test!$A$3:$I$32,8,FALSE))-(VLOOKUP($A55,test!$A$3:$I$32,9,FALSE))+test!$B$33,0)</f>
        <v>0</v>
      </c>
      <c r="H55">
        <f>IF(AND(SUM(VLOOKUP($A55,test!$A$3:$F$32,2,FALSE),VLOOKUP(H$1,test!$A$3:$F$32,2,FALSE))&lt;test!$K$16,$A55&lt;&gt;H$1,Recharged_Feasible_mat!I24=1),(VLOOKUP(H$1,test!$A$3:$I$32,8,FALSE))-(VLOOKUP($A55,test!$A$3:$I$32,9,FALSE))+test!$B$33,0)</f>
        <v>0</v>
      </c>
      <c r="I55">
        <f>IF(AND(SUM(VLOOKUP($A55,test!$A$3:$F$32,2,FALSE),VLOOKUP(I$1,test!$A$3:$F$32,2,FALSE))&lt;test!$K$16,$A55&lt;&gt;I$1,Recharged_Feasible_mat!J24=1),(VLOOKUP(I$1,test!$A$3:$I$32,8,FALSE))-(VLOOKUP($A55,test!$A$3:$I$32,9,FALSE))+test!$B$33,0)</f>
        <v>0</v>
      </c>
      <c r="J55">
        <f>IF(AND(SUM(VLOOKUP($A55,test!$A$3:$F$32,2,FALSE),VLOOKUP(J$1,test!$A$3:$F$32,2,FALSE))&lt;test!$K$16,$A55&lt;&gt;J$1,Recharged_Feasible_mat!K24=1),(VLOOKUP(J$1,test!$A$3:$I$32,8,FALSE))-(VLOOKUP($A55,test!$A$3:$I$32,9,FALSE))+test!$B$33,0)</f>
        <v>0</v>
      </c>
      <c r="K55">
        <f>IF(AND(SUM(VLOOKUP($A55,test!$A$3:$F$32,2,FALSE),VLOOKUP(K$1,test!$A$3:$F$32,2,FALSE))&lt;test!$K$16,$A55&lt;&gt;K$1,Recharged_Feasible_mat!L24=1),(VLOOKUP(K$1,test!$A$3:$I$32,8,FALSE))-(VLOOKUP($A55,test!$A$3:$I$32,9,FALSE))+test!$B$33,0)</f>
        <v>0</v>
      </c>
      <c r="L55">
        <f>IF(AND(SUM(VLOOKUP($A55,test!$A$3:$F$32,2,FALSE),VLOOKUP(L$1,test!$A$3:$F$32,2,FALSE))&lt;test!$K$16,$A55&lt;&gt;L$1,Recharged_Feasible_mat!M24=1),(VLOOKUP(L$1,test!$A$3:$I$32,8,FALSE))-(VLOOKUP($A55,test!$A$3:$I$32,9,FALSE))+test!$B$33,0)</f>
        <v>0</v>
      </c>
      <c r="M55">
        <f>IF(AND(SUM(VLOOKUP($A55,test!$A$3:$F$32,2,FALSE),VLOOKUP(M$1,test!$A$3:$F$32,2,FALSE))&lt;test!$K$16,$A55&lt;&gt;M$1,Recharged_Feasible_mat!N24=1),(VLOOKUP(M$1,test!$A$3:$I$32,8,FALSE))-(VLOOKUP($A55,test!$A$3:$I$32,9,FALSE))+test!$B$33,0)</f>
        <v>0</v>
      </c>
      <c r="N55">
        <f>IF(AND(SUM(VLOOKUP($A55,test!$A$3:$F$32,2,FALSE),VLOOKUP(N$1,test!$A$3:$F$32,2,FALSE))&lt;test!$K$16,$A55&lt;&gt;N$1,Recharged_Feasible_mat!O24=1),(VLOOKUP(N$1,test!$A$3:$I$32,8,FALSE))-(VLOOKUP($A55,test!$A$3:$I$32,9,FALSE))+test!$B$33,0)</f>
        <v>0</v>
      </c>
      <c r="O55">
        <f>IF(AND(SUM(VLOOKUP($A55,test!$A$3:$F$32,2,FALSE),VLOOKUP(O$1,test!$A$3:$F$32,2,FALSE))&lt;test!$K$16,$A55&lt;&gt;O$1,Recharged_Feasible_mat!P24=1),(VLOOKUP(O$1,test!$A$3:$I$32,8,FALSE))-(VLOOKUP($A55,test!$A$3:$I$32,9,FALSE))+test!$B$33,0)</f>
        <v>0</v>
      </c>
      <c r="P55">
        <f>IF(AND(SUM(VLOOKUP($A55,test!$A$3:$F$32,2,FALSE),VLOOKUP(P$1,test!$A$3:$F$32,2,FALSE))&lt;test!$K$16,$A55&lt;&gt;P$1,Recharged_Feasible_mat!Q24=1),(VLOOKUP(P$1,test!$A$3:$I$32,8,FALSE))-(VLOOKUP($A55,test!$A$3:$I$32,9,FALSE))+test!$B$33,0)</f>
        <v>0</v>
      </c>
      <c r="Q55">
        <f>IF(AND(SUM(VLOOKUP($A55,test!$A$3:$F$32,2,FALSE),VLOOKUP(Q$1,test!$A$3:$F$32,2,FALSE))&lt;test!$K$16,$A55&lt;&gt;Q$1,Recharged_Feasible_mat!R24=1),(VLOOKUP(Q$1,test!$A$3:$I$32,8,FALSE))-(VLOOKUP($A55,test!$A$3:$I$32,9,FALSE))+test!$B$33,0)</f>
        <v>0</v>
      </c>
      <c r="R55">
        <f>IF(AND(SUM(VLOOKUP($A55,test!$A$3:$F$32,2,FALSE),VLOOKUP(R$1,test!$A$3:$F$32,2,FALSE))&lt;test!$K$16,$A55&lt;&gt;R$1,Recharged_Feasible_mat!S24=1),(VLOOKUP(R$1,test!$A$3:$I$32,8,FALSE))-(VLOOKUP($A55,test!$A$3:$I$32,9,FALSE))+test!$B$33,0)</f>
        <v>0</v>
      </c>
      <c r="S55">
        <f>IF(AND(SUM(VLOOKUP($A55,test!$A$3:$F$32,2,FALSE),VLOOKUP(S$1,test!$A$3:$F$32,2,FALSE))&lt;test!$K$16,$A55&lt;&gt;S$1,Recharged_Feasible_mat!T24=1),(VLOOKUP(S$1,test!$A$3:$I$32,8,FALSE))-(VLOOKUP($A55,test!$A$3:$I$32,9,FALSE))+test!$B$33,0)</f>
        <v>0</v>
      </c>
      <c r="T55">
        <f>IF(AND(SUM(VLOOKUP($A55,test!$A$3:$F$32,2,FALSE),VLOOKUP(T$1,test!$A$3:$F$32,2,FALSE))&lt;test!$K$16,$A55&lt;&gt;T$1,Recharged_Feasible_mat!U24=1),(VLOOKUP(T$1,test!$A$3:$I$32,8,FALSE))-(VLOOKUP($A55,test!$A$3:$I$32,9,FALSE))+test!$B$33,0)</f>
        <v>0</v>
      </c>
      <c r="U55">
        <f>IF(AND(SUM(VLOOKUP($A55,test!$A$3:$F$32,2,FALSE),VLOOKUP(U$1,test!$A$3:$F$32,2,FALSE))&lt;test!$K$16,$A55&lt;&gt;U$1,Recharged_Feasible_mat!V24=1),(VLOOKUP(U$1,test!$A$3:$I$32,8,FALSE))-(VLOOKUP($A55,test!$A$3:$I$32,9,FALSE))+test!$B$33,0)</f>
        <v>0</v>
      </c>
      <c r="V55">
        <f>IF(AND(SUM(VLOOKUP($A55,test!$A$3:$F$32,2,FALSE),VLOOKUP(V$1,test!$A$3:$F$32,2,FALSE))&lt;test!$K$16,$A55&lt;&gt;V$1,Recharged_Feasible_mat!W24=1),(VLOOKUP(V$1,test!$A$3:$I$32,8,FALSE))-(VLOOKUP($A55,test!$A$3:$I$32,9,FALSE))+test!$B$33,0)</f>
        <v>0</v>
      </c>
      <c r="W55">
        <f>IF(AND(SUM(VLOOKUP($A55,test!$A$3:$F$32,2,FALSE),VLOOKUP(W$1,test!$A$3:$F$32,2,FALSE))&lt;test!$K$16,$A55&lt;&gt;W$1,Recharged_Feasible_mat!X24=1),(VLOOKUP(W$1,test!$A$3:$I$32,8,FALSE))-(VLOOKUP($A55,test!$A$3:$I$32,9,FALSE))+test!$B$33,0)</f>
        <v>0</v>
      </c>
      <c r="X55">
        <f>IF(AND(SUM(VLOOKUP($A55,test!$A$3:$F$32,2,FALSE),VLOOKUP(X$1,test!$A$3:$F$32,2,FALSE))&lt;test!$K$16,$A55&lt;&gt;X$1,Recharged_Feasible_mat!Y24=1),(VLOOKUP(X$1,test!$A$3:$I$32,8,FALSE))-(VLOOKUP($A55,test!$A$3:$I$32,9,FALSE))+test!$B$33,0)</f>
        <v>0</v>
      </c>
      <c r="Y55">
        <f>IF(AND(SUM(VLOOKUP($A55,test!$A$3:$F$32,2,FALSE),VLOOKUP(Y$1,test!$A$3:$F$32,2,FALSE))&lt;test!$K$16,$A55&lt;&gt;Y$1,Recharged_Feasible_mat!Z24=1),(VLOOKUP(Y$1,test!$A$3:$I$32,8,FALSE))-(VLOOKUP($A55,test!$A$3:$I$32,9,FALSE))+test!$B$33,0)</f>
        <v>0</v>
      </c>
      <c r="Z55">
        <f>IF(AND(SUM(VLOOKUP($A55,test!$A$3:$F$32,2,FALSE),VLOOKUP(Z$1,test!$A$3:$F$32,2,FALSE))&lt;test!$K$16,$A55&lt;&gt;Z$1,Recharged_Feasible_mat!AA24=1),(VLOOKUP(Z$1,test!$A$3:$I$32,8,FALSE))-(VLOOKUP($A55,test!$A$3:$I$32,9,FALSE))+test!$B$33,0)</f>
        <v>0</v>
      </c>
      <c r="AA55">
        <f>IF(AND(SUM(VLOOKUP($A55,test!$A$3:$F$32,2,FALSE),VLOOKUP(AA$1,test!$A$3:$F$32,2,FALSE))&lt;test!$K$16,$A55&lt;&gt;AA$1,Recharged_Feasible_mat!AB24=1),(VLOOKUP(AA$1,test!$A$3:$I$32,8,FALSE))-(VLOOKUP($A55,test!$A$3:$I$32,9,FALSE))+test!$B$33,0)</f>
        <v>0</v>
      </c>
      <c r="AB55">
        <f>IF(AND(SUM(VLOOKUP($A55,test!$A$3:$F$32,2,FALSE),VLOOKUP(AB$1,test!$A$3:$F$32,2,FALSE))&lt;test!$K$16,$A55&lt;&gt;AB$1,Recharged_Feasible_mat!AC24=1),(VLOOKUP(AB$1,test!$A$3:$I$32,8,FALSE))-(VLOOKUP($A55,test!$A$3:$I$32,9,FALSE))+test!$B$33,0)</f>
        <v>0</v>
      </c>
      <c r="AC55">
        <f>IF(AND(SUM(VLOOKUP($A55,test!$A$3:$F$32,2,FALSE),VLOOKUP(AC$1,test!$A$3:$F$32,2,FALSE))&lt;test!$K$16,$A55&lt;&gt;AC$1,Recharged_Feasible_mat!AD24=1),(VLOOKUP(AC$1,test!$A$3:$I$32,8,FALSE))-(VLOOKUP($A55,test!$A$3:$I$32,9,FALSE))+test!$B$33,0)</f>
        <v>0</v>
      </c>
      <c r="AD55">
        <f>IF(AND(SUM(VLOOKUP($A55,test!$A$3:$F$32,2,FALSE),VLOOKUP(AD$1,test!$A$3:$F$32,2,FALSE))&lt;test!$K$16,$A55&lt;&gt;AD$1,Recharged_Feasible_mat!AE24=1),(VLOOKUP(AD$1,test!$A$3:$I$32,8,FALSE))-(VLOOKUP($A55,test!$A$3:$I$32,9,FALSE))+test!$B$33,0)</f>
        <v>0</v>
      </c>
      <c r="AE55">
        <f>IF(AND(SUM(VLOOKUP($A55,test!$A$3:$F$32,2,FALSE),VLOOKUP(AE$1,test!$A$3:$F$32,2,FALSE))&lt;test!$K$16,$A55&lt;&gt;AE$1,Recharged_Feasible_mat!AF24=1),(VLOOKUP(AE$1,test!$A$3:$I$32,8,FALSE))-(VLOOKUP($A55,test!$A$3:$I$32,9,FALSE))+test!$B$33,0)</f>
        <v>0</v>
      </c>
      <c r="AF55">
        <f>IF(AND(SUM(VLOOKUP($A55,test!$A$3:$F$32,2,FALSE),VLOOKUP(AF$1,test!$A$3:$F$32,2,FALSE))&lt;test!$K$16,$A55&lt;&gt;AF$1,Recharged_Feasible_mat!AG24=1),(VLOOKUP(AF$1,test!$A$3:$I$32,8,FALSE))-(VLOOKUP($A55,test!$A$3:$I$32,9,FALSE))+test!$B$33,0)</f>
        <v>0</v>
      </c>
    </row>
    <row r="56" spans="1:32" x14ac:dyDescent="0.25">
      <c r="A56" t="s">
        <v>34</v>
      </c>
      <c r="B56">
        <v>0</v>
      </c>
      <c r="C56">
        <f>IF(AND(SUM(VLOOKUP($A56,test!$A$3:$F$32,2,FALSE),VLOOKUP(C$1,test!$A$3:$F$32,2,FALSE))&lt;test!$K$16,$A56&lt;&gt;C$1,feasible_mat!C56=1),(VLOOKUP(C$1,test!$A$3:$I$32,8,FALSE))-(VLOOKUP($A56,test!$A$3:$I$32,9,FALSE))+test!$B$33,0)</f>
        <v>0</v>
      </c>
      <c r="D56">
        <f>IF(AND(SUM(VLOOKUP($A56,test!$A$3:$F$32,2,FALSE),VLOOKUP(D$1,test!$A$3:$F$32,2,FALSE))&lt;test!$K$16,$A56&lt;&gt;D$1,Recharged_Feasible_mat!E25=1),(VLOOKUP(D$1,test!$A$3:$I$32,8,FALSE))-(VLOOKUP($A56,test!$A$3:$I$32,9,FALSE))+test!$B$33,0)</f>
        <v>0</v>
      </c>
      <c r="E56">
        <f>IF(AND(SUM(VLOOKUP($A56,test!$A$3:$F$32,2,FALSE),VLOOKUP(E$1,test!$A$3:$F$32,2,FALSE))&lt;test!$K$16,$A56&lt;&gt;E$1,Recharged_Feasible_mat!F25=1),(VLOOKUP(E$1,test!$A$3:$I$32,8,FALSE))-(VLOOKUP($A56,test!$A$3:$I$32,9,FALSE))+test!$B$33,0)</f>
        <v>170</v>
      </c>
      <c r="F56">
        <f>IF(AND(SUM(VLOOKUP($A56,test!$A$3:$F$32,2,FALSE),VLOOKUP(F$1,test!$A$3:$F$32,2,FALSE))&lt;test!$K$16,$A56&lt;&gt;F$1,Recharged_Feasible_mat!G25=1),(VLOOKUP(F$1,test!$A$3:$I$32,8,FALSE))-(VLOOKUP($A56,test!$A$3:$I$32,9,FALSE))+test!$B$33,0)</f>
        <v>260</v>
      </c>
      <c r="G56">
        <f>IF(AND(SUM(VLOOKUP($A56,test!$A$3:$F$32,2,FALSE),VLOOKUP(G$1,test!$A$3:$F$32,2,FALSE))&lt;test!$K$16,$A56&lt;&gt;G$1,Recharged_Feasible_mat!H25=1),(VLOOKUP(G$1,test!$A$3:$I$32,8,FALSE))-(VLOOKUP($A56,test!$A$3:$I$32,9,FALSE))+test!$B$33,0)</f>
        <v>320</v>
      </c>
      <c r="H56">
        <f>IF(AND(SUM(VLOOKUP($A56,test!$A$3:$F$32,2,FALSE),VLOOKUP(H$1,test!$A$3:$F$32,2,FALSE))&lt;test!$K$16,$A56&lt;&gt;H$1,Recharged_Feasible_mat!I25=1),(VLOOKUP(H$1,test!$A$3:$I$32,8,FALSE))-(VLOOKUP($A56,test!$A$3:$I$32,9,FALSE))+test!$B$33,0)</f>
        <v>380</v>
      </c>
      <c r="I56">
        <f>IF(AND(SUM(VLOOKUP($A56,test!$A$3:$F$32,2,FALSE),VLOOKUP(I$1,test!$A$3:$F$32,2,FALSE))&lt;test!$K$16,$A56&lt;&gt;I$1,Recharged_Feasible_mat!J25=1),(VLOOKUP(I$1,test!$A$3:$I$32,8,FALSE))-(VLOOKUP($A56,test!$A$3:$I$32,9,FALSE))+test!$B$33,0)</f>
        <v>440</v>
      </c>
      <c r="J56">
        <f>IF(AND(SUM(VLOOKUP($A56,test!$A$3:$F$32,2,FALSE),VLOOKUP(J$1,test!$A$3:$F$32,2,FALSE))&lt;test!$K$16,$A56&lt;&gt;J$1,Recharged_Feasible_mat!K25=1),(VLOOKUP(J$1,test!$A$3:$I$32,8,FALSE))-(VLOOKUP($A56,test!$A$3:$I$32,9,FALSE))+test!$B$33,0)</f>
        <v>530</v>
      </c>
      <c r="K56">
        <f>IF(AND(SUM(VLOOKUP($A56,test!$A$3:$F$32,2,FALSE),VLOOKUP(K$1,test!$A$3:$F$32,2,FALSE))&lt;test!$K$16,$A56&lt;&gt;K$1,Recharged_Feasible_mat!L25=1),(VLOOKUP(K$1,test!$A$3:$I$32,8,FALSE))-(VLOOKUP($A56,test!$A$3:$I$32,9,FALSE))+test!$B$33,0)</f>
        <v>0</v>
      </c>
      <c r="L56">
        <f>IF(AND(SUM(VLOOKUP($A56,test!$A$3:$F$32,2,FALSE),VLOOKUP(L$1,test!$A$3:$F$32,2,FALSE))&lt;test!$K$16,$A56&lt;&gt;L$1,Recharged_Feasible_mat!M25=1),(VLOOKUP(L$1,test!$A$3:$I$32,8,FALSE))-(VLOOKUP($A56,test!$A$3:$I$32,9,FALSE))+test!$B$33,0)</f>
        <v>0</v>
      </c>
      <c r="M56">
        <f>IF(AND(SUM(VLOOKUP($A56,test!$A$3:$F$32,2,FALSE),VLOOKUP(M$1,test!$A$3:$F$32,2,FALSE))&lt;test!$K$16,$A56&lt;&gt;M$1,Recharged_Feasible_mat!N25=1),(VLOOKUP(M$1,test!$A$3:$I$32,8,FALSE))-(VLOOKUP($A56,test!$A$3:$I$32,9,FALSE))+test!$B$33,0)</f>
        <v>135</v>
      </c>
      <c r="N56">
        <f>IF(AND(SUM(VLOOKUP($A56,test!$A$3:$F$32,2,FALSE),VLOOKUP(N$1,test!$A$3:$F$32,2,FALSE))&lt;test!$K$16,$A56&lt;&gt;N$1,Recharged_Feasible_mat!O25=1),(VLOOKUP(N$1,test!$A$3:$I$32,8,FALSE))-(VLOOKUP($A56,test!$A$3:$I$32,9,FALSE))+test!$B$33,0)</f>
        <v>495</v>
      </c>
      <c r="O56">
        <f>IF(AND(SUM(VLOOKUP($A56,test!$A$3:$F$32,2,FALSE),VLOOKUP(O$1,test!$A$3:$F$32,2,FALSE))&lt;test!$K$16,$A56&lt;&gt;O$1,Recharged_Feasible_mat!P25=1),(VLOOKUP(O$1,test!$A$3:$I$32,8,FALSE))-(VLOOKUP($A56,test!$A$3:$I$32,9,FALSE))+test!$B$33,0)</f>
        <v>555</v>
      </c>
      <c r="P56">
        <f>IF(AND(SUM(VLOOKUP($A56,test!$A$3:$F$32,2,FALSE),VLOOKUP(P$1,test!$A$3:$F$32,2,FALSE))&lt;test!$K$16,$A56&lt;&gt;P$1,Recharged_Feasible_mat!Q25=1),(VLOOKUP(P$1,test!$A$3:$I$32,8,FALSE))-(VLOOKUP($A56,test!$A$3:$I$32,9,FALSE))+test!$B$33,0)</f>
        <v>0</v>
      </c>
      <c r="Q56">
        <f>IF(AND(SUM(VLOOKUP($A56,test!$A$3:$F$32,2,FALSE),VLOOKUP(Q$1,test!$A$3:$F$32,2,FALSE))&lt;test!$K$16,$A56&lt;&gt;Q$1,Recharged_Feasible_mat!R25=1),(VLOOKUP(Q$1,test!$A$3:$I$32,8,FALSE))-(VLOOKUP($A56,test!$A$3:$I$32,9,FALSE))+test!$B$33,0)</f>
        <v>0</v>
      </c>
      <c r="R56">
        <f>IF(AND(SUM(VLOOKUP($A56,test!$A$3:$F$32,2,FALSE),VLOOKUP(R$1,test!$A$3:$F$32,2,FALSE))&lt;test!$K$16,$A56&lt;&gt;R$1,Recharged_Feasible_mat!S25=1),(VLOOKUP(R$1,test!$A$3:$I$32,8,FALSE))-(VLOOKUP($A56,test!$A$3:$I$32,9,FALSE))+test!$B$33,0)</f>
        <v>0</v>
      </c>
      <c r="S56">
        <f>IF(AND(SUM(VLOOKUP($A56,test!$A$3:$F$32,2,FALSE),VLOOKUP(S$1,test!$A$3:$F$32,2,FALSE))&lt;test!$K$16,$A56&lt;&gt;S$1,Recharged_Feasible_mat!T25=1),(VLOOKUP(S$1,test!$A$3:$I$32,8,FALSE))-(VLOOKUP($A56,test!$A$3:$I$32,9,FALSE))+test!$B$33,0)</f>
        <v>0</v>
      </c>
      <c r="T56">
        <f>IF(AND(SUM(VLOOKUP($A56,test!$A$3:$F$32,2,FALSE),VLOOKUP(T$1,test!$A$3:$F$32,2,FALSE))&lt;test!$K$16,$A56&lt;&gt;T$1,Recharged_Feasible_mat!U25=1),(VLOOKUP(T$1,test!$A$3:$I$32,8,FALSE))-(VLOOKUP($A56,test!$A$3:$I$32,9,FALSE))+test!$B$33,0)</f>
        <v>150</v>
      </c>
      <c r="U56">
        <f>IF(AND(SUM(VLOOKUP($A56,test!$A$3:$F$32,2,FALSE),VLOOKUP(U$1,test!$A$3:$F$32,2,FALSE))&lt;test!$K$16,$A56&lt;&gt;U$1,Recharged_Feasible_mat!V25=1),(VLOOKUP(U$1,test!$A$3:$I$32,8,FALSE))-(VLOOKUP($A56,test!$A$3:$I$32,9,FALSE))+test!$B$33,0)</f>
        <v>240</v>
      </c>
      <c r="V56">
        <f>IF(AND(SUM(VLOOKUP($A56,test!$A$3:$F$32,2,FALSE),VLOOKUP(V$1,test!$A$3:$F$32,2,FALSE))&lt;test!$K$16,$A56&lt;&gt;V$1,Recharged_Feasible_mat!W25=1),(VLOOKUP(V$1,test!$A$3:$I$32,8,FALSE))-(VLOOKUP($A56,test!$A$3:$I$32,9,FALSE))+test!$B$33,0)</f>
        <v>330</v>
      </c>
      <c r="W56">
        <f>IF(AND(SUM(VLOOKUP($A56,test!$A$3:$F$32,2,FALSE),VLOOKUP(W$1,test!$A$3:$F$32,2,FALSE))&lt;test!$K$16,$A56&lt;&gt;W$1,Recharged_Feasible_mat!X25=1),(VLOOKUP(W$1,test!$A$3:$I$32,8,FALSE))-(VLOOKUP($A56,test!$A$3:$I$32,9,FALSE))+test!$B$33,0)</f>
        <v>420</v>
      </c>
      <c r="X56">
        <f>IF(AND(SUM(VLOOKUP($A56,test!$A$3:$F$32,2,FALSE),VLOOKUP(X$1,test!$A$3:$F$32,2,FALSE))&lt;test!$K$16,$A56&lt;&gt;X$1,Recharged_Feasible_mat!Y25=1),(VLOOKUP(X$1,test!$A$3:$I$32,8,FALSE))-(VLOOKUP($A56,test!$A$3:$I$32,9,FALSE))+test!$B$33,0)</f>
        <v>480</v>
      </c>
      <c r="Y56">
        <f>IF(AND(SUM(VLOOKUP($A56,test!$A$3:$F$32,2,FALSE),VLOOKUP(Y$1,test!$A$3:$F$32,2,FALSE))&lt;test!$K$16,$A56&lt;&gt;Y$1,Recharged_Feasible_mat!Z25=1),(VLOOKUP(Y$1,test!$A$3:$I$32,8,FALSE))-(VLOOKUP($A56,test!$A$3:$I$32,9,FALSE))+test!$B$33,0)</f>
        <v>0</v>
      </c>
      <c r="Z56">
        <f>IF(AND(SUM(VLOOKUP($A56,test!$A$3:$F$32,2,FALSE),VLOOKUP(Z$1,test!$A$3:$F$32,2,FALSE))&lt;test!$K$16,$A56&lt;&gt;Z$1,Recharged_Feasible_mat!AA25=1),(VLOOKUP(Z$1,test!$A$3:$I$32,8,FALSE))-(VLOOKUP($A56,test!$A$3:$I$32,9,FALSE))+test!$B$33,0)</f>
        <v>0</v>
      </c>
      <c r="AA56">
        <f>IF(AND(SUM(VLOOKUP($A56,test!$A$3:$F$32,2,FALSE),VLOOKUP(AA$1,test!$A$3:$F$32,2,FALSE))&lt;test!$K$16,$A56&lt;&gt;AA$1,Recharged_Feasible_mat!AB25=1),(VLOOKUP(AA$1,test!$A$3:$I$32,8,FALSE))-(VLOOKUP($A56,test!$A$3:$I$32,9,FALSE))+test!$B$33,0)</f>
        <v>200</v>
      </c>
      <c r="AB56">
        <f>IF(AND(SUM(VLOOKUP($A56,test!$A$3:$F$32,2,FALSE),VLOOKUP(AB$1,test!$A$3:$F$32,2,FALSE))&lt;test!$K$16,$A56&lt;&gt;AB$1,Recharged_Feasible_mat!AC25=1),(VLOOKUP(AB$1,test!$A$3:$I$32,8,FALSE))-(VLOOKUP($A56,test!$A$3:$I$32,9,FALSE))+test!$B$33,0)</f>
        <v>260</v>
      </c>
      <c r="AC56">
        <f>IF(AND(SUM(VLOOKUP($A56,test!$A$3:$F$32,2,FALSE),VLOOKUP(AC$1,test!$A$3:$F$32,2,FALSE))&lt;test!$K$16,$A56&lt;&gt;AC$1,Recharged_Feasible_mat!AD25=1),(VLOOKUP(AC$1,test!$A$3:$I$32,8,FALSE))-(VLOOKUP($A56,test!$A$3:$I$32,9,FALSE))+test!$B$33,0)</f>
        <v>380</v>
      </c>
      <c r="AD56">
        <f>IF(AND(SUM(VLOOKUP($A56,test!$A$3:$F$32,2,FALSE),VLOOKUP(AD$1,test!$A$3:$F$32,2,FALSE))&lt;test!$K$16,$A56&lt;&gt;AD$1,Recharged_Feasible_mat!AE25=1),(VLOOKUP(AD$1,test!$A$3:$I$32,8,FALSE))-(VLOOKUP($A56,test!$A$3:$I$32,9,FALSE))+test!$B$33,0)</f>
        <v>0</v>
      </c>
      <c r="AE56">
        <f>IF(AND(SUM(VLOOKUP($A56,test!$A$3:$F$32,2,FALSE),VLOOKUP(AE$1,test!$A$3:$F$32,2,FALSE))&lt;test!$K$16,$A56&lt;&gt;AE$1,Recharged_Feasible_mat!AF25=1),(VLOOKUP(AE$1,test!$A$3:$I$32,8,FALSE))-(VLOOKUP($A56,test!$A$3:$I$32,9,FALSE))+test!$B$33,0)</f>
        <v>0</v>
      </c>
      <c r="AF56">
        <f>IF(AND(SUM(VLOOKUP($A56,test!$A$3:$F$32,2,FALSE),VLOOKUP(AF$1,test!$A$3:$F$32,2,FALSE))&lt;test!$K$16,$A56&lt;&gt;AF$1,Recharged_Feasible_mat!AG25=1),(VLOOKUP(AF$1,test!$A$3:$I$32,8,FALSE))-(VLOOKUP($A56,test!$A$3:$I$32,9,FALSE))+test!$B$33,0)</f>
        <v>0</v>
      </c>
    </row>
    <row r="57" spans="1:32" x14ac:dyDescent="0.25">
      <c r="A57" t="s">
        <v>35</v>
      </c>
      <c r="B57">
        <v>0</v>
      </c>
      <c r="C57">
        <f>IF(AND(SUM(VLOOKUP($A57,test!$A$3:$F$32,2,FALSE),VLOOKUP(C$1,test!$A$3:$F$32,2,FALSE))&lt;test!$K$16,$A57&lt;&gt;C$1,feasible_mat!C57=1),(VLOOKUP(C$1,test!$A$3:$I$32,8,FALSE))-(VLOOKUP($A57,test!$A$3:$I$32,9,FALSE))+test!$B$33,0)</f>
        <v>0</v>
      </c>
      <c r="D57">
        <f>IF(AND(SUM(VLOOKUP($A57,test!$A$3:$F$32,2,FALSE),VLOOKUP(D$1,test!$A$3:$F$32,2,FALSE))&lt;test!$K$16,$A57&lt;&gt;D$1,Recharged_Feasible_mat!E26=1),(VLOOKUP(D$1,test!$A$3:$I$32,8,FALSE))-(VLOOKUP($A57,test!$A$3:$I$32,9,FALSE))+test!$B$33,0)</f>
        <v>0</v>
      </c>
      <c r="E57">
        <f>IF(AND(SUM(VLOOKUP($A57,test!$A$3:$F$32,2,FALSE),VLOOKUP(E$1,test!$A$3:$F$32,2,FALSE))&lt;test!$K$16,$A57&lt;&gt;E$1,Recharged_Feasible_mat!F26=1),(VLOOKUP(E$1,test!$A$3:$I$32,8,FALSE))-(VLOOKUP($A57,test!$A$3:$I$32,9,FALSE))+test!$B$33,0)</f>
        <v>0</v>
      </c>
      <c r="F57">
        <f>IF(AND(SUM(VLOOKUP($A57,test!$A$3:$F$32,2,FALSE),VLOOKUP(F$1,test!$A$3:$F$32,2,FALSE))&lt;test!$K$16,$A57&lt;&gt;F$1,Recharged_Feasible_mat!G26=1),(VLOOKUP(F$1,test!$A$3:$I$32,8,FALSE))-(VLOOKUP($A57,test!$A$3:$I$32,9,FALSE))+test!$B$33,0)</f>
        <v>0</v>
      </c>
      <c r="G57">
        <f>IF(AND(SUM(VLOOKUP($A57,test!$A$3:$F$32,2,FALSE),VLOOKUP(G$1,test!$A$3:$F$32,2,FALSE))&lt;test!$K$16,$A57&lt;&gt;G$1,Recharged_Feasible_mat!H26=1),(VLOOKUP(G$1,test!$A$3:$I$32,8,FALSE))-(VLOOKUP($A57,test!$A$3:$I$32,9,FALSE))+test!$B$33,0)</f>
        <v>150</v>
      </c>
      <c r="H57">
        <f>IF(AND(SUM(VLOOKUP($A57,test!$A$3:$F$32,2,FALSE),VLOOKUP(H$1,test!$A$3:$F$32,2,FALSE))&lt;test!$K$16,$A57&lt;&gt;H$1,Recharged_Feasible_mat!I26=1),(VLOOKUP(H$1,test!$A$3:$I$32,8,FALSE))-(VLOOKUP($A57,test!$A$3:$I$32,9,FALSE))+test!$B$33,0)</f>
        <v>210</v>
      </c>
      <c r="I57">
        <f>IF(AND(SUM(VLOOKUP($A57,test!$A$3:$F$32,2,FALSE),VLOOKUP(I$1,test!$A$3:$F$32,2,FALSE))&lt;test!$K$16,$A57&lt;&gt;I$1,Recharged_Feasible_mat!J26=1),(VLOOKUP(I$1,test!$A$3:$I$32,8,FALSE))-(VLOOKUP($A57,test!$A$3:$I$32,9,FALSE))+test!$B$33,0)</f>
        <v>270</v>
      </c>
      <c r="J57">
        <f>IF(AND(SUM(VLOOKUP($A57,test!$A$3:$F$32,2,FALSE),VLOOKUP(J$1,test!$A$3:$F$32,2,FALSE))&lt;test!$K$16,$A57&lt;&gt;J$1,Recharged_Feasible_mat!K26=1),(VLOOKUP(J$1,test!$A$3:$I$32,8,FALSE))-(VLOOKUP($A57,test!$A$3:$I$32,9,FALSE))+test!$B$33,0)</f>
        <v>360</v>
      </c>
      <c r="K57">
        <f>IF(AND(SUM(VLOOKUP($A57,test!$A$3:$F$32,2,FALSE),VLOOKUP(K$1,test!$A$3:$F$32,2,FALSE))&lt;test!$K$16,$A57&lt;&gt;K$1,Recharged_Feasible_mat!L26=1),(VLOOKUP(K$1,test!$A$3:$I$32,8,FALSE))-(VLOOKUP($A57,test!$A$3:$I$32,9,FALSE))+test!$B$33,0)</f>
        <v>0</v>
      </c>
      <c r="L57">
        <f>IF(AND(SUM(VLOOKUP($A57,test!$A$3:$F$32,2,FALSE),VLOOKUP(L$1,test!$A$3:$F$32,2,FALSE))&lt;test!$K$16,$A57&lt;&gt;L$1,Recharged_Feasible_mat!M26=1),(VLOOKUP(L$1,test!$A$3:$I$32,8,FALSE))-(VLOOKUP($A57,test!$A$3:$I$32,9,FALSE))+test!$B$33,0)</f>
        <v>0</v>
      </c>
      <c r="M57">
        <f>IF(AND(SUM(VLOOKUP($A57,test!$A$3:$F$32,2,FALSE),VLOOKUP(M$1,test!$A$3:$F$32,2,FALSE))&lt;test!$K$16,$A57&lt;&gt;M$1,Recharged_Feasible_mat!N26=1),(VLOOKUP(M$1,test!$A$3:$I$32,8,FALSE))-(VLOOKUP($A57,test!$A$3:$I$32,9,FALSE))+test!$B$33,0)</f>
        <v>0</v>
      </c>
      <c r="N57">
        <f>IF(AND(SUM(VLOOKUP($A57,test!$A$3:$F$32,2,FALSE),VLOOKUP(N$1,test!$A$3:$F$32,2,FALSE))&lt;test!$K$16,$A57&lt;&gt;N$1,Recharged_Feasible_mat!O26=1),(VLOOKUP(N$1,test!$A$3:$I$32,8,FALSE))-(VLOOKUP($A57,test!$A$3:$I$32,9,FALSE))+test!$B$33,0)</f>
        <v>325</v>
      </c>
      <c r="O57">
        <f>IF(AND(SUM(VLOOKUP($A57,test!$A$3:$F$32,2,FALSE),VLOOKUP(O$1,test!$A$3:$F$32,2,FALSE))&lt;test!$K$16,$A57&lt;&gt;O$1,Recharged_Feasible_mat!P26=1),(VLOOKUP(O$1,test!$A$3:$I$32,8,FALSE))-(VLOOKUP($A57,test!$A$3:$I$32,9,FALSE))+test!$B$33,0)</f>
        <v>385</v>
      </c>
      <c r="P57">
        <f>IF(AND(SUM(VLOOKUP($A57,test!$A$3:$F$32,2,FALSE),VLOOKUP(P$1,test!$A$3:$F$32,2,FALSE))&lt;test!$K$16,$A57&lt;&gt;P$1,Recharged_Feasible_mat!Q26=1),(VLOOKUP(P$1,test!$A$3:$I$32,8,FALSE))-(VLOOKUP($A57,test!$A$3:$I$32,9,FALSE))+test!$B$33,0)</f>
        <v>0</v>
      </c>
      <c r="Q57">
        <f>IF(AND(SUM(VLOOKUP($A57,test!$A$3:$F$32,2,FALSE),VLOOKUP(Q$1,test!$A$3:$F$32,2,FALSE))&lt;test!$K$16,$A57&lt;&gt;Q$1,Recharged_Feasible_mat!R26=1),(VLOOKUP(Q$1,test!$A$3:$I$32,8,FALSE))-(VLOOKUP($A57,test!$A$3:$I$32,9,FALSE))+test!$B$33,0)</f>
        <v>0</v>
      </c>
      <c r="R57">
        <f>IF(AND(SUM(VLOOKUP($A57,test!$A$3:$F$32,2,FALSE),VLOOKUP(R$1,test!$A$3:$F$32,2,FALSE))&lt;test!$K$16,$A57&lt;&gt;R$1,Recharged_Feasible_mat!S26=1),(VLOOKUP(R$1,test!$A$3:$I$32,8,FALSE))-(VLOOKUP($A57,test!$A$3:$I$32,9,FALSE))+test!$B$33,0)</f>
        <v>0</v>
      </c>
      <c r="S57">
        <f>IF(AND(SUM(VLOOKUP($A57,test!$A$3:$F$32,2,FALSE),VLOOKUP(S$1,test!$A$3:$F$32,2,FALSE))&lt;test!$K$16,$A57&lt;&gt;S$1,Recharged_Feasible_mat!T26=1),(VLOOKUP(S$1,test!$A$3:$I$32,8,FALSE))-(VLOOKUP($A57,test!$A$3:$I$32,9,FALSE))+test!$B$33,0)</f>
        <v>0</v>
      </c>
      <c r="T57">
        <f>IF(AND(SUM(VLOOKUP($A57,test!$A$3:$F$32,2,FALSE),VLOOKUP(T$1,test!$A$3:$F$32,2,FALSE))&lt;test!$K$16,$A57&lt;&gt;T$1,Recharged_Feasible_mat!U26=1),(VLOOKUP(T$1,test!$A$3:$I$32,8,FALSE))-(VLOOKUP($A57,test!$A$3:$I$32,9,FALSE))+test!$B$33,0)</f>
        <v>0</v>
      </c>
      <c r="U57">
        <f>IF(AND(SUM(VLOOKUP($A57,test!$A$3:$F$32,2,FALSE),VLOOKUP(U$1,test!$A$3:$F$32,2,FALSE))&lt;test!$K$16,$A57&lt;&gt;U$1,Recharged_Feasible_mat!V26=1),(VLOOKUP(U$1,test!$A$3:$I$32,8,FALSE))-(VLOOKUP($A57,test!$A$3:$I$32,9,FALSE))+test!$B$33,0)</f>
        <v>0</v>
      </c>
      <c r="V57">
        <f>IF(AND(SUM(VLOOKUP($A57,test!$A$3:$F$32,2,FALSE),VLOOKUP(V$1,test!$A$3:$F$32,2,FALSE))&lt;test!$K$16,$A57&lt;&gt;V$1,Recharged_Feasible_mat!W26=1),(VLOOKUP(V$1,test!$A$3:$I$32,8,FALSE))-(VLOOKUP($A57,test!$A$3:$I$32,9,FALSE))+test!$B$33,0)</f>
        <v>160</v>
      </c>
      <c r="W57">
        <f>IF(AND(SUM(VLOOKUP($A57,test!$A$3:$F$32,2,FALSE),VLOOKUP(W$1,test!$A$3:$F$32,2,FALSE))&lt;test!$K$16,$A57&lt;&gt;W$1,Recharged_Feasible_mat!X26=1),(VLOOKUP(W$1,test!$A$3:$I$32,8,FALSE))-(VLOOKUP($A57,test!$A$3:$I$32,9,FALSE))+test!$B$33,0)</f>
        <v>250</v>
      </c>
      <c r="X57">
        <f>IF(AND(SUM(VLOOKUP($A57,test!$A$3:$F$32,2,FALSE),VLOOKUP(X$1,test!$A$3:$F$32,2,FALSE))&lt;test!$K$16,$A57&lt;&gt;X$1,Recharged_Feasible_mat!Y26=1),(VLOOKUP(X$1,test!$A$3:$I$32,8,FALSE))-(VLOOKUP($A57,test!$A$3:$I$32,9,FALSE))+test!$B$33,0)</f>
        <v>310</v>
      </c>
      <c r="Y57">
        <f>IF(AND(SUM(VLOOKUP($A57,test!$A$3:$F$32,2,FALSE),VLOOKUP(Y$1,test!$A$3:$F$32,2,FALSE))&lt;test!$K$16,$A57&lt;&gt;Y$1,Recharged_Feasible_mat!Z26=1),(VLOOKUP(Y$1,test!$A$3:$I$32,8,FALSE))-(VLOOKUP($A57,test!$A$3:$I$32,9,FALSE))+test!$B$33,0)</f>
        <v>0</v>
      </c>
      <c r="Z57">
        <f>IF(AND(SUM(VLOOKUP($A57,test!$A$3:$F$32,2,FALSE),VLOOKUP(Z$1,test!$A$3:$F$32,2,FALSE))&lt;test!$K$16,$A57&lt;&gt;Z$1,Recharged_Feasible_mat!AA26=1),(VLOOKUP(Z$1,test!$A$3:$I$32,8,FALSE))-(VLOOKUP($A57,test!$A$3:$I$32,9,FALSE))+test!$B$33,0)</f>
        <v>0</v>
      </c>
      <c r="AA57">
        <f>IF(AND(SUM(VLOOKUP($A57,test!$A$3:$F$32,2,FALSE),VLOOKUP(AA$1,test!$A$3:$F$32,2,FALSE))&lt;test!$K$16,$A57&lt;&gt;AA$1,Recharged_Feasible_mat!AB26=1),(VLOOKUP(AA$1,test!$A$3:$I$32,8,FALSE))-(VLOOKUP($A57,test!$A$3:$I$32,9,FALSE))+test!$B$33,0)</f>
        <v>0</v>
      </c>
      <c r="AB57">
        <f>IF(AND(SUM(VLOOKUP($A57,test!$A$3:$F$32,2,FALSE),VLOOKUP(AB$1,test!$A$3:$F$32,2,FALSE))&lt;test!$K$16,$A57&lt;&gt;AB$1,Recharged_Feasible_mat!AC26=1),(VLOOKUP(AB$1,test!$A$3:$I$32,8,FALSE))-(VLOOKUP($A57,test!$A$3:$I$32,9,FALSE))+test!$B$33,0)</f>
        <v>0</v>
      </c>
      <c r="AC57">
        <f>IF(AND(SUM(VLOOKUP($A57,test!$A$3:$F$32,2,FALSE),VLOOKUP(AC$1,test!$A$3:$F$32,2,FALSE))&lt;test!$K$16,$A57&lt;&gt;AC$1,Recharged_Feasible_mat!AD26=1),(VLOOKUP(AC$1,test!$A$3:$I$32,8,FALSE))-(VLOOKUP($A57,test!$A$3:$I$32,9,FALSE))+test!$B$33,0)</f>
        <v>210</v>
      </c>
      <c r="AD57">
        <f>IF(AND(SUM(VLOOKUP($A57,test!$A$3:$F$32,2,FALSE),VLOOKUP(AD$1,test!$A$3:$F$32,2,FALSE))&lt;test!$K$16,$A57&lt;&gt;AD$1,Recharged_Feasible_mat!AE26=1),(VLOOKUP(AD$1,test!$A$3:$I$32,8,FALSE))-(VLOOKUP($A57,test!$A$3:$I$32,9,FALSE))+test!$B$33,0)</f>
        <v>0</v>
      </c>
      <c r="AE57">
        <f>IF(AND(SUM(VLOOKUP($A57,test!$A$3:$F$32,2,FALSE),VLOOKUP(AE$1,test!$A$3:$F$32,2,FALSE))&lt;test!$K$16,$A57&lt;&gt;AE$1,Recharged_Feasible_mat!AF26=1),(VLOOKUP(AE$1,test!$A$3:$I$32,8,FALSE))-(VLOOKUP($A57,test!$A$3:$I$32,9,FALSE))+test!$B$33,0)</f>
        <v>0</v>
      </c>
      <c r="AF57">
        <f>IF(AND(SUM(VLOOKUP($A57,test!$A$3:$F$32,2,FALSE),VLOOKUP(AF$1,test!$A$3:$F$32,2,FALSE))&lt;test!$K$16,$A57&lt;&gt;AF$1,Recharged_Feasible_mat!AG26=1),(VLOOKUP(AF$1,test!$A$3:$I$32,8,FALSE))-(VLOOKUP($A57,test!$A$3:$I$32,9,FALSE))+test!$B$33,0)</f>
        <v>0</v>
      </c>
    </row>
    <row r="58" spans="1:32" x14ac:dyDescent="0.25">
      <c r="A58" t="s">
        <v>36</v>
      </c>
      <c r="B58">
        <v>0</v>
      </c>
      <c r="C58">
        <f>IF(AND(SUM(VLOOKUP($A58,test!$A$3:$F$32,2,FALSE),VLOOKUP(C$1,test!$A$3:$F$32,2,FALSE))&lt;test!$K$16,$A58&lt;&gt;C$1,feasible_mat!C58=1),(VLOOKUP(C$1,test!$A$3:$I$32,8,FALSE))-(VLOOKUP($A58,test!$A$3:$I$32,9,FALSE))+test!$B$33,0)</f>
        <v>0</v>
      </c>
      <c r="D58">
        <f>IF(AND(SUM(VLOOKUP($A58,test!$A$3:$F$32,2,FALSE),VLOOKUP(D$1,test!$A$3:$F$32,2,FALSE))&lt;test!$K$16,$A58&lt;&gt;D$1,Recharged_Feasible_mat!E27=1),(VLOOKUP(D$1,test!$A$3:$I$32,8,FALSE))-(VLOOKUP($A58,test!$A$3:$I$32,9,FALSE))+test!$B$33,0)</f>
        <v>0</v>
      </c>
      <c r="E58">
        <f>IF(AND(SUM(VLOOKUP($A58,test!$A$3:$F$32,2,FALSE),VLOOKUP(E$1,test!$A$3:$F$32,2,FALSE))&lt;test!$K$16,$A58&lt;&gt;E$1,Recharged_Feasible_mat!F27=1),(VLOOKUP(E$1,test!$A$3:$I$32,8,FALSE))-(VLOOKUP($A58,test!$A$3:$I$32,9,FALSE))+test!$B$33,0)</f>
        <v>0</v>
      </c>
      <c r="F58">
        <f>IF(AND(SUM(VLOOKUP($A58,test!$A$3:$F$32,2,FALSE),VLOOKUP(F$1,test!$A$3:$F$32,2,FALSE))&lt;test!$K$16,$A58&lt;&gt;F$1,Recharged_Feasible_mat!G27=1),(VLOOKUP(F$1,test!$A$3:$I$32,8,FALSE))-(VLOOKUP($A58,test!$A$3:$I$32,9,FALSE))+test!$B$33,0)</f>
        <v>0</v>
      </c>
      <c r="G58">
        <f>IF(AND(SUM(VLOOKUP($A58,test!$A$3:$F$32,2,FALSE),VLOOKUP(G$1,test!$A$3:$F$32,2,FALSE))&lt;test!$K$16,$A58&lt;&gt;G$1,Recharged_Feasible_mat!H27=1),(VLOOKUP(G$1,test!$A$3:$I$32,8,FALSE))-(VLOOKUP($A58,test!$A$3:$I$32,9,FALSE))+test!$B$33,0)</f>
        <v>0</v>
      </c>
      <c r="H58">
        <f>IF(AND(SUM(VLOOKUP($A58,test!$A$3:$F$32,2,FALSE),VLOOKUP(H$1,test!$A$3:$F$32,2,FALSE))&lt;test!$K$16,$A58&lt;&gt;H$1,Recharged_Feasible_mat!I27=1),(VLOOKUP(H$1,test!$A$3:$I$32,8,FALSE))-(VLOOKUP($A58,test!$A$3:$I$32,9,FALSE))+test!$B$33,0)</f>
        <v>0</v>
      </c>
      <c r="I58">
        <f>IF(AND(SUM(VLOOKUP($A58,test!$A$3:$F$32,2,FALSE),VLOOKUP(I$1,test!$A$3:$F$32,2,FALSE))&lt;test!$K$16,$A58&lt;&gt;I$1,Recharged_Feasible_mat!J27=1),(VLOOKUP(I$1,test!$A$3:$I$32,8,FALSE))-(VLOOKUP($A58,test!$A$3:$I$32,9,FALSE))+test!$B$33,0)</f>
        <v>150</v>
      </c>
      <c r="J58">
        <f>IF(AND(SUM(VLOOKUP($A58,test!$A$3:$F$32,2,FALSE),VLOOKUP(J$1,test!$A$3:$F$32,2,FALSE))&lt;test!$K$16,$A58&lt;&gt;J$1,Recharged_Feasible_mat!K27=1),(VLOOKUP(J$1,test!$A$3:$I$32,8,FALSE))-(VLOOKUP($A58,test!$A$3:$I$32,9,FALSE))+test!$B$33,0)</f>
        <v>240</v>
      </c>
      <c r="K58">
        <f>IF(AND(SUM(VLOOKUP($A58,test!$A$3:$F$32,2,FALSE),VLOOKUP(K$1,test!$A$3:$F$32,2,FALSE))&lt;test!$K$16,$A58&lt;&gt;K$1,Recharged_Feasible_mat!L27=1),(VLOOKUP(K$1,test!$A$3:$I$32,8,FALSE))-(VLOOKUP($A58,test!$A$3:$I$32,9,FALSE))+test!$B$33,0)</f>
        <v>0</v>
      </c>
      <c r="L58">
        <f>IF(AND(SUM(VLOOKUP($A58,test!$A$3:$F$32,2,FALSE),VLOOKUP(L$1,test!$A$3:$F$32,2,FALSE))&lt;test!$K$16,$A58&lt;&gt;L$1,Recharged_Feasible_mat!M27=1),(VLOOKUP(L$1,test!$A$3:$I$32,8,FALSE))-(VLOOKUP($A58,test!$A$3:$I$32,9,FALSE))+test!$B$33,0)</f>
        <v>0</v>
      </c>
      <c r="M58">
        <f>IF(AND(SUM(VLOOKUP($A58,test!$A$3:$F$32,2,FALSE),VLOOKUP(M$1,test!$A$3:$F$32,2,FALSE))&lt;test!$K$16,$A58&lt;&gt;M$1,Recharged_Feasible_mat!N27=1),(VLOOKUP(M$1,test!$A$3:$I$32,8,FALSE))-(VLOOKUP($A58,test!$A$3:$I$32,9,FALSE))+test!$B$33,0)</f>
        <v>0</v>
      </c>
      <c r="N58">
        <f>IF(AND(SUM(VLOOKUP($A58,test!$A$3:$F$32,2,FALSE),VLOOKUP(N$1,test!$A$3:$F$32,2,FALSE))&lt;test!$K$16,$A58&lt;&gt;N$1,Recharged_Feasible_mat!O27=1),(VLOOKUP(N$1,test!$A$3:$I$32,8,FALSE))-(VLOOKUP($A58,test!$A$3:$I$32,9,FALSE))+test!$B$33,0)</f>
        <v>205</v>
      </c>
      <c r="O58">
        <f>IF(AND(SUM(VLOOKUP($A58,test!$A$3:$F$32,2,FALSE),VLOOKUP(O$1,test!$A$3:$F$32,2,FALSE))&lt;test!$K$16,$A58&lt;&gt;O$1,Recharged_Feasible_mat!P27=1),(VLOOKUP(O$1,test!$A$3:$I$32,8,FALSE))-(VLOOKUP($A58,test!$A$3:$I$32,9,FALSE))+test!$B$33,0)</f>
        <v>265</v>
      </c>
      <c r="P58">
        <f>IF(AND(SUM(VLOOKUP($A58,test!$A$3:$F$32,2,FALSE),VLOOKUP(P$1,test!$A$3:$F$32,2,FALSE))&lt;test!$K$16,$A58&lt;&gt;P$1,Recharged_Feasible_mat!Q27=1),(VLOOKUP(P$1,test!$A$3:$I$32,8,FALSE))-(VLOOKUP($A58,test!$A$3:$I$32,9,FALSE))+test!$B$33,0)</f>
        <v>0</v>
      </c>
      <c r="Q58">
        <f>IF(AND(SUM(VLOOKUP($A58,test!$A$3:$F$32,2,FALSE),VLOOKUP(Q$1,test!$A$3:$F$32,2,FALSE))&lt;test!$K$16,$A58&lt;&gt;Q$1,Recharged_Feasible_mat!R27=1),(VLOOKUP(Q$1,test!$A$3:$I$32,8,FALSE))-(VLOOKUP($A58,test!$A$3:$I$32,9,FALSE))+test!$B$33,0)</f>
        <v>0</v>
      </c>
      <c r="R58">
        <f>IF(AND(SUM(VLOOKUP($A58,test!$A$3:$F$32,2,FALSE),VLOOKUP(R$1,test!$A$3:$F$32,2,FALSE))&lt;test!$K$16,$A58&lt;&gt;R$1,Recharged_Feasible_mat!S27=1),(VLOOKUP(R$1,test!$A$3:$I$32,8,FALSE))-(VLOOKUP($A58,test!$A$3:$I$32,9,FALSE))+test!$B$33,0)</f>
        <v>0</v>
      </c>
      <c r="S58">
        <f>IF(AND(SUM(VLOOKUP($A58,test!$A$3:$F$32,2,FALSE),VLOOKUP(S$1,test!$A$3:$F$32,2,FALSE))&lt;test!$K$16,$A58&lt;&gt;S$1,Recharged_Feasible_mat!T27=1),(VLOOKUP(S$1,test!$A$3:$I$32,8,FALSE))-(VLOOKUP($A58,test!$A$3:$I$32,9,FALSE))+test!$B$33,0)</f>
        <v>0</v>
      </c>
      <c r="T58">
        <f>IF(AND(SUM(VLOOKUP($A58,test!$A$3:$F$32,2,FALSE),VLOOKUP(T$1,test!$A$3:$F$32,2,FALSE))&lt;test!$K$16,$A58&lt;&gt;T$1,Recharged_Feasible_mat!U27=1),(VLOOKUP(T$1,test!$A$3:$I$32,8,FALSE))-(VLOOKUP($A58,test!$A$3:$I$32,9,FALSE))+test!$B$33,0)</f>
        <v>0</v>
      </c>
      <c r="U58">
        <f>IF(AND(SUM(VLOOKUP($A58,test!$A$3:$F$32,2,FALSE),VLOOKUP(U$1,test!$A$3:$F$32,2,FALSE))&lt;test!$K$16,$A58&lt;&gt;U$1,Recharged_Feasible_mat!V27=1),(VLOOKUP(U$1,test!$A$3:$I$32,8,FALSE))-(VLOOKUP($A58,test!$A$3:$I$32,9,FALSE))+test!$B$33,0)</f>
        <v>0</v>
      </c>
      <c r="V58">
        <f>IF(AND(SUM(VLOOKUP($A58,test!$A$3:$F$32,2,FALSE),VLOOKUP(V$1,test!$A$3:$F$32,2,FALSE))&lt;test!$K$16,$A58&lt;&gt;V$1,Recharged_Feasible_mat!W27=1),(VLOOKUP(V$1,test!$A$3:$I$32,8,FALSE))-(VLOOKUP($A58,test!$A$3:$I$32,9,FALSE))+test!$B$33,0)</f>
        <v>0</v>
      </c>
      <c r="W58">
        <f>IF(AND(SUM(VLOOKUP($A58,test!$A$3:$F$32,2,FALSE),VLOOKUP(W$1,test!$A$3:$F$32,2,FALSE))&lt;test!$K$16,$A58&lt;&gt;W$1,Recharged_Feasible_mat!X27=1),(VLOOKUP(W$1,test!$A$3:$I$32,8,FALSE))-(VLOOKUP($A58,test!$A$3:$I$32,9,FALSE))+test!$B$33,0)</f>
        <v>0</v>
      </c>
      <c r="X58">
        <f>IF(AND(SUM(VLOOKUP($A58,test!$A$3:$F$32,2,FALSE),VLOOKUP(X$1,test!$A$3:$F$32,2,FALSE))&lt;test!$K$16,$A58&lt;&gt;X$1,Recharged_Feasible_mat!Y27=1),(VLOOKUP(X$1,test!$A$3:$I$32,8,FALSE))-(VLOOKUP($A58,test!$A$3:$I$32,9,FALSE))+test!$B$33,0)</f>
        <v>190</v>
      </c>
      <c r="Y58">
        <f>IF(AND(SUM(VLOOKUP($A58,test!$A$3:$F$32,2,FALSE),VLOOKUP(Y$1,test!$A$3:$F$32,2,FALSE))&lt;test!$K$16,$A58&lt;&gt;Y$1,Recharged_Feasible_mat!Z27=1),(VLOOKUP(Y$1,test!$A$3:$I$32,8,FALSE))-(VLOOKUP($A58,test!$A$3:$I$32,9,FALSE))+test!$B$33,0)</f>
        <v>0</v>
      </c>
      <c r="Z58">
        <f>IF(AND(SUM(VLOOKUP($A58,test!$A$3:$F$32,2,FALSE),VLOOKUP(Z$1,test!$A$3:$F$32,2,FALSE))&lt;test!$K$16,$A58&lt;&gt;Z$1,Recharged_Feasible_mat!AA27=1),(VLOOKUP(Z$1,test!$A$3:$I$32,8,FALSE))-(VLOOKUP($A58,test!$A$3:$I$32,9,FALSE))+test!$B$33,0)</f>
        <v>0</v>
      </c>
      <c r="AA58">
        <f>IF(AND(SUM(VLOOKUP($A58,test!$A$3:$F$32,2,FALSE),VLOOKUP(AA$1,test!$A$3:$F$32,2,FALSE))&lt;test!$K$16,$A58&lt;&gt;AA$1,Recharged_Feasible_mat!AB27=1),(VLOOKUP(AA$1,test!$A$3:$I$32,8,FALSE))-(VLOOKUP($A58,test!$A$3:$I$32,9,FALSE))+test!$B$33,0)</f>
        <v>0</v>
      </c>
      <c r="AB58">
        <f>IF(AND(SUM(VLOOKUP($A58,test!$A$3:$F$32,2,FALSE),VLOOKUP(AB$1,test!$A$3:$F$32,2,FALSE))&lt;test!$K$16,$A58&lt;&gt;AB$1,Recharged_Feasible_mat!AC27=1),(VLOOKUP(AB$1,test!$A$3:$I$32,8,FALSE))-(VLOOKUP($A58,test!$A$3:$I$32,9,FALSE))+test!$B$33,0)</f>
        <v>0</v>
      </c>
      <c r="AC58">
        <f>IF(AND(SUM(VLOOKUP($A58,test!$A$3:$F$32,2,FALSE),VLOOKUP(AC$1,test!$A$3:$F$32,2,FALSE))&lt;test!$K$16,$A58&lt;&gt;AC$1,Recharged_Feasible_mat!AD27=1),(VLOOKUP(AC$1,test!$A$3:$I$32,8,FALSE))-(VLOOKUP($A58,test!$A$3:$I$32,9,FALSE))+test!$B$33,0)</f>
        <v>0</v>
      </c>
      <c r="AD58">
        <f>IF(AND(SUM(VLOOKUP($A58,test!$A$3:$F$32,2,FALSE),VLOOKUP(AD$1,test!$A$3:$F$32,2,FALSE))&lt;test!$K$16,$A58&lt;&gt;AD$1,Recharged_Feasible_mat!AE27=1),(VLOOKUP(AD$1,test!$A$3:$I$32,8,FALSE))-(VLOOKUP($A58,test!$A$3:$I$32,9,FALSE))+test!$B$33,0)</f>
        <v>0</v>
      </c>
      <c r="AE58">
        <f>IF(AND(SUM(VLOOKUP($A58,test!$A$3:$F$32,2,FALSE),VLOOKUP(AE$1,test!$A$3:$F$32,2,FALSE))&lt;test!$K$16,$A58&lt;&gt;AE$1,Recharged_Feasible_mat!AF27=1),(VLOOKUP(AE$1,test!$A$3:$I$32,8,FALSE))-(VLOOKUP($A58,test!$A$3:$I$32,9,FALSE))+test!$B$33,0)</f>
        <v>0</v>
      </c>
      <c r="AF58">
        <f>IF(AND(SUM(VLOOKUP($A58,test!$A$3:$F$32,2,FALSE),VLOOKUP(AF$1,test!$A$3:$F$32,2,FALSE))&lt;test!$K$16,$A58&lt;&gt;AF$1,Recharged_Feasible_mat!AG27=1),(VLOOKUP(AF$1,test!$A$3:$I$32,8,FALSE))-(VLOOKUP($A58,test!$A$3:$I$32,9,FALSE))+test!$B$33,0)</f>
        <v>0</v>
      </c>
    </row>
    <row r="59" spans="1:32" x14ac:dyDescent="0.25">
      <c r="A59" t="s">
        <v>37</v>
      </c>
      <c r="B59">
        <v>0</v>
      </c>
      <c r="C59">
        <f>IF(AND(SUM(VLOOKUP($A59,test!$A$3:$F$32,2,FALSE),VLOOKUP(C$1,test!$A$3:$F$32,2,FALSE))&lt;test!$K$16,$A59&lt;&gt;C$1,feasible_mat!C59=1),(VLOOKUP(C$1,test!$A$3:$I$32,8,FALSE))-(VLOOKUP($A59,test!$A$3:$I$32,9,FALSE))+test!$B$33,0)</f>
        <v>0</v>
      </c>
      <c r="D59">
        <f>IF(AND(SUM(VLOOKUP($A59,test!$A$3:$F$32,2,FALSE),VLOOKUP(D$1,test!$A$3:$F$32,2,FALSE))&lt;test!$K$16,$A59&lt;&gt;D$1,Recharged_Feasible_mat!E28=1),(VLOOKUP(D$1,test!$A$3:$I$32,8,FALSE))-(VLOOKUP($A59,test!$A$3:$I$32,9,FALSE))+test!$B$33,0)</f>
        <v>0</v>
      </c>
      <c r="E59">
        <f>IF(AND(SUM(VLOOKUP($A59,test!$A$3:$F$32,2,FALSE),VLOOKUP(E$1,test!$A$3:$F$32,2,FALSE))&lt;test!$K$16,$A59&lt;&gt;E$1,Recharged_Feasible_mat!F28=1),(VLOOKUP(E$1,test!$A$3:$I$32,8,FALSE))-(VLOOKUP($A59,test!$A$3:$I$32,9,FALSE))+test!$B$33,0)</f>
        <v>0</v>
      </c>
      <c r="F59">
        <f>IF(AND(SUM(VLOOKUP($A59,test!$A$3:$F$32,2,FALSE),VLOOKUP(F$1,test!$A$3:$F$32,2,FALSE))&lt;test!$K$16,$A59&lt;&gt;F$1,Recharged_Feasible_mat!G28=1),(VLOOKUP(F$1,test!$A$3:$I$32,8,FALSE))-(VLOOKUP($A59,test!$A$3:$I$32,9,FALSE))+test!$B$33,0)</f>
        <v>0</v>
      </c>
      <c r="G59">
        <f>IF(AND(SUM(VLOOKUP($A59,test!$A$3:$F$32,2,FALSE),VLOOKUP(G$1,test!$A$3:$F$32,2,FALSE))&lt;test!$K$16,$A59&lt;&gt;G$1,Recharged_Feasible_mat!H28=1),(VLOOKUP(G$1,test!$A$3:$I$32,8,FALSE))-(VLOOKUP($A59,test!$A$3:$I$32,9,FALSE))+test!$B$33,0)</f>
        <v>0</v>
      </c>
      <c r="H59">
        <f>IF(AND(SUM(VLOOKUP($A59,test!$A$3:$F$32,2,FALSE),VLOOKUP(H$1,test!$A$3:$F$32,2,FALSE))&lt;test!$K$16,$A59&lt;&gt;H$1,Recharged_Feasible_mat!I28=1),(VLOOKUP(H$1,test!$A$3:$I$32,8,FALSE))-(VLOOKUP($A59,test!$A$3:$I$32,9,FALSE))+test!$B$33,0)</f>
        <v>0</v>
      </c>
      <c r="I59">
        <f>IF(AND(SUM(VLOOKUP($A59,test!$A$3:$F$32,2,FALSE),VLOOKUP(I$1,test!$A$3:$F$32,2,FALSE))&lt;test!$K$16,$A59&lt;&gt;I$1,Recharged_Feasible_mat!J28=1),(VLOOKUP(I$1,test!$A$3:$I$32,8,FALSE))-(VLOOKUP($A59,test!$A$3:$I$32,9,FALSE))+test!$B$33,0)</f>
        <v>0</v>
      </c>
      <c r="J59">
        <f>IF(AND(SUM(VLOOKUP($A59,test!$A$3:$F$32,2,FALSE),VLOOKUP(J$1,test!$A$3:$F$32,2,FALSE))&lt;test!$K$16,$A59&lt;&gt;J$1,Recharged_Feasible_mat!K28=1),(VLOOKUP(J$1,test!$A$3:$I$32,8,FALSE))-(VLOOKUP($A59,test!$A$3:$I$32,9,FALSE))+test!$B$33,0)</f>
        <v>180</v>
      </c>
      <c r="K59">
        <f>IF(AND(SUM(VLOOKUP($A59,test!$A$3:$F$32,2,FALSE),VLOOKUP(K$1,test!$A$3:$F$32,2,FALSE))&lt;test!$K$16,$A59&lt;&gt;K$1,Recharged_Feasible_mat!L28=1),(VLOOKUP(K$1,test!$A$3:$I$32,8,FALSE))-(VLOOKUP($A59,test!$A$3:$I$32,9,FALSE))+test!$B$33,0)</f>
        <v>0</v>
      </c>
      <c r="L59">
        <f>IF(AND(SUM(VLOOKUP($A59,test!$A$3:$F$32,2,FALSE),VLOOKUP(L$1,test!$A$3:$F$32,2,FALSE))&lt;test!$K$16,$A59&lt;&gt;L$1,Recharged_Feasible_mat!M28=1),(VLOOKUP(L$1,test!$A$3:$I$32,8,FALSE))-(VLOOKUP($A59,test!$A$3:$I$32,9,FALSE))+test!$B$33,0)</f>
        <v>0</v>
      </c>
      <c r="M59">
        <f>IF(AND(SUM(VLOOKUP($A59,test!$A$3:$F$32,2,FALSE),VLOOKUP(M$1,test!$A$3:$F$32,2,FALSE))&lt;test!$K$16,$A59&lt;&gt;M$1,Recharged_Feasible_mat!N28=1),(VLOOKUP(M$1,test!$A$3:$I$32,8,FALSE))-(VLOOKUP($A59,test!$A$3:$I$32,9,FALSE))+test!$B$33,0)</f>
        <v>0</v>
      </c>
      <c r="N59">
        <f>IF(AND(SUM(VLOOKUP($A59,test!$A$3:$F$32,2,FALSE),VLOOKUP(N$1,test!$A$3:$F$32,2,FALSE))&lt;test!$K$16,$A59&lt;&gt;N$1,Recharged_Feasible_mat!O28=1),(VLOOKUP(N$1,test!$A$3:$I$32,8,FALSE))-(VLOOKUP($A59,test!$A$3:$I$32,9,FALSE))+test!$B$33,0)</f>
        <v>145</v>
      </c>
      <c r="O59">
        <f>IF(AND(SUM(VLOOKUP($A59,test!$A$3:$F$32,2,FALSE),VLOOKUP(O$1,test!$A$3:$F$32,2,FALSE))&lt;test!$K$16,$A59&lt;&gt;O$1,Recharged_Feasible_mat!P28=1),(VLOOKUP(O$1,test!$A$3:$I$32,8,FALSE))-(VLOOKUP($A59,test!$A$3:$I$32,9,FALSE))+test!$B$33,0)</f>
        <v>205</v>
      </c>
      <c r="P59">
        <f>IF(AND(SUM(VLOOKUP($A59,test!$A$3:$F$32,2,FALSE),VLOOKUP(P$1,test!$A$3:$F$32,2,FALSE))&lt;test!$K$16,$A59&lt;&gt;P$1,Recharged_Feasible_mat!Q28=1),(VLOOKUP(P$1,test!$A$3:$I$32,8,FALSE))-(VLOOKUP($A59,test!$A$3:$I$32,9,FALSE))+test!$B$33,0)</f>
        <v>0</v>
      </c>
      <c r="Q59">
        <f>IF(AND(SUM(VLOOKUP($A59,test!$A$3:$F$32,2,FALSE),VLOOKUP(Q$1,test!$A$3:$F$32,2,FALSE))&lt;test!$K$16,$A59&lt;&gt;Q$1,Recharged_Feasible_mat!R28=1),(VLOOKUP(Q$1,test!$A$3:$I$32,8,FALSE))-(VLOOKUP($A59,test!$A$3:$I$32,9,FALSE))+test!$B$33,0)</f>
        <v>0</v>
      </c>
      <c r="R59">
        <f>IF(AND(SUM(VLOOKUP($A59,test!$A$3:$F$32,2,FALSE),VLOOKUP(R$1,test!$A$3:$F$32,2,FALSE))&lt;test!$K$16,$A59&lt;&gt;R$1,Recharged_Feasible_mat!S28=1),(VLOOKUP(R$1,test!$A$3:$I$32,8,FALSE))-(VLOOKUP($A59,test!$A$3:$I$32,9,FALSE))+test!$B$33,0)</f>
        <v>0</v>
      </c>
      <c r="S59">
        <f>IF(AND(SUM(VLOOKUP($A59,test!$A$3:$F$32,2,FALSE),VLOOKUP(S$1,test!$A$3:$F$32,2,FALSE))&lt;test!$K$16,$A59&lt;&gt;S$1,Recharged_Feasible_mat!T28=1),(VLOOKUP(S$1,test!$A$3:$I$32,8,FALSE))-(VLOOKUP($A59,test!$A$3:$I$32,9,FALSE))+test!$B$33,0)</f>
        <v>0</v>
      </c>
      <c r="T59">
        <f>IF(AND(SUM(VLOOKUP($A59,test!$A$3:$F$32,2,FALSE),VLOOKUP(T$1,test!$A$3:$F$32,2,FALSE))&lt;test!$K$16,$A59&lt;&gt;T$1,Recharged_Feasible_mat!U28=1),(VLOOKUP(T$1,test!$A$3:$I$32,8,FALSE))-(VLOOKUP($A59,test!$A$3:$I$32,9,FALSE))+test!$B$33,0)</f>
        <v>0</v>
      </c>
      <c r="U59">
        <f>IF(AND(SUM(VLOOKUP($A59,test!$A$3:$F$32,2,FALSE),VLOOKUP(U$1,test!$A$3:$F$32,2,FALSE))&lt;test!$K$16,$A59&lt;&gt;U$1,Recharged_Feasible_mat!V28=1),(VLOOKUP(U$1,test!$A$3:$I$32,8,FALSE))-(VLOOKUP($A59,test!$A$3:$I$32,9,FALSE))+test!$B$33,0)</f>
        <v>0</v>
      </c>
      <c r="V59">
        <f>IF(AND(SUM(VLOOKUP($A59,test!$A$3:$F$32,2,FALSE),VLOOKUP(V$1,test!$A$3:$F$32,2,FALSE))&lt;test!$K$16,$A59&lt;&gt;V$1,Recharged_Feasible_mat!W28=1),(VLOOKUP(V$1,test!$A$3:$I$32,8,FALSE))-(VLOOKUP($A59,test!$A$3:$I$32,9,FALSE))+test!$B$33,0)</f>
        <v>0</v>
      </c>
      <c r="W59">
        <f>IF(AND(SUM(VLOOKUP($A59,test!$A$3:$F$32,2,FALSE),VLOOKUP(W$1,test!$A$3:$F$32,2,FALSE))&lt;test!$K$16,$A59&lt;&gt;W$1,Recharged_Feasible_mat!X28=1),(VLOOKUP(W$1,test!$A$3:$I$32,8,FALSE))-(VLOOKUP($A59,test!$A$3:$I$32,9,FALSE))+test!$B$33,0)</f>
        <v>0</v>
      </c>
      <c r="X59">
        <f>IF(AND(SUM(VLOOKUP($A59,test!$A$3:$F$32,2,FALSE),VLOOKUP(X$1,test!$A$3:$F$32,2,FALSE))&lt;test!$K$16,$A59&lt;&gt;X$1,Recharged_Feasible_mat!Y28=1),(VLOOKUP(X$1,test!$A$3:$I$32,8,FALSE))-(VLOOKUP($A59,test!$A$3:$I$32,9,FALSE))+test!$B$33,0)</f>
        <v>0</v>
      </c>
      <c r="Y59">
        <f>IF(AND(SUM(VLOOKUP($A59,test!$A$3:$F$32,2,FALSE),VLOOKUP(Y$1,test!$A$3:$F$32,2,FALSE))&lt;test!$K$16,$A59&lt;&gt;Y$1,Recharged_Feasible_mat!Z28=1),(VLOOKUP(Y$1,test!$A$3:$I$32,8,FALSE))-(VLOOKUP($A59,test!$A$3:$I$32,9,FALSE))+test!$B$33,0)</f>
        <v>0</v>
      </c>
      <c r="Z59">
        <f>IF(AND(SUM(VLOOKUP($A59,test!$A$3:$F$32,2,FALSE),VLOOKUP(Z$1,test!$A$3:$F$32,2,FALSE))&lt;test!$K$16,$A59&lt;&gt;Z$1,Recharged_Feasible_mat!AA28=1),(VLOOKUP(Z$1,test!$A$3:$I$32,8,FALSE))-(VLOOKUP($A59,test!$A$3:$I$32,9,FALSE))+test!$B$33,0)</f>
        <v>0</v>
      </c>
      <c r="AA59">
        <f>IF(AND(SUM(VLOOKUP($A59,test!$A$3:$F$32,2,FALSE),VLOOKUP(AA$1,test!$A$3:$F$32,2,FALSE))&lt;test!$K$16,$A59&lt;&gt;AA$1,Recharged_Feasible_mat!AB28=1),(VLOOKUP(AA$1,test!$A$3:$I$32,8,FALSE))-(VLOOKUP($A59,test!$A$3:$I$32,9,FALSE))+test!$B$33,0)</f>
        <v>0</v>
      </c>
      <c r="AB59">
        <f>IF(AND(SUM(VLOOKUP($A59,test!$A$3:$F$32,2,FALSE),VLOOKUP(AB$1,test!$A$3:$F$32,2,FALSE))&lt;test!$K$16,$A59&lt;&gt;AB$1,Recharged_Feasible_mat!AC28=1),(VLOOKUP(AB$1,test!$A$3:$I$32,8,FALSE))-(VLOOKUP($A59,test!$A$3:$I$32,9,FALSE))+test!$B$33,0)</f>
        <v>0</v>
      </c>
      <c r="AC59">
        <f>IF(AND(SUM(VLOOKUP($A59,test!$A$3:$F$32,2,FALSE),VLOOKUP(AC$1,test!$A$3:$F$32,2,FALSE))&lt;test!$K$16,$A59&lt;&gt;AC$1,Recharged_Feasible_mat!AD28=1),(VLOOKUP(AC$1,test!$A$3:$I$32,8,FALSE))-(VLOOKUP($A59,test!$A$3:$I$32,9,FALSE))+test!$B$33,0)</f>
        <v>0</v>
      </c>
      <c r="AD59">
        <f>IF(AND(SUM(VLOOKUP($A59,test!$A$3:$F$32,2,FALSE),VLOOKUP(AD$1,test!$A$3:$F$32,2,FALSE))&lt;test!$K$16,$A59&lt;&gt;AD$1,Recharged_Feasible_mat!AE28=1),(VLOOKUP(AD$1,test!$A$3:$I$32,8,FALSE))-(VLOOKUP($A59,test!$A$3:$I$32,9,FALSE))+test!$B$33,0)</f>
        <v>0</v>
      </c>
      <c r="AE59">
        <f>IF(AND(SUM(VLOOKUP($A59,test!$A$3:$F$32,2,FALSE),VLOOKUP(AE$1,test!$A$3:$F$32,2,FALSE))&lt;test!$K$16,$A59&lt;&gt;AE$1,Recharged_Feasible_mat!AF28=1),(VLOOKUP(AE$1,test!$A$3:$I$32,8,FALSE))-(VLOOKUP($A59,test!$A$3:$I$32,9,FALSE))+test!$B$33,0)</f>
        <v>0</v>
      </c>
      <c r="AF59">
        <f>IF(AND(SUM(VLOOKUP($A59,test!$A$3:$F$32,2,FALSE),VLOOKUP(AF$1,test!$A$3:$F$32,2,FALSE))&lt;test!$K$16,$A59&lt;&gt;AF$1,Recharged_Feasible_mat!AG28=1),(VLOOKUP(AF$1,test!$A$3:$I$32,8,FALSE))-(VLOOKUP($A59,test!$A$3:$I$32,9,FALSE))+test!$B$33,0)</f>
        <v>0</v>
      </c>
    </row>
    <row r="60" spans="1:32" x14ac:dyDescent="0.25">
      <c r="A60" t="s">
        <v>38</v>
      </c>
      <c r="B60">
        <v>0</v>
      </c>
      <c r="C60">
        <f>IF(AND(SUM(VLOOKUP($A60,test!$A$3:$F$32,2,FALSE),VLOOKUP(C$1,test!$A$3:$F$32,2,FALSE))&lt;test!$K$16,$A60&lt;&gt;C$1,feasible_mat!C60=1),(VLOOKUP(C$1,test!$A$3:$I$32,8,FALSE))-(VLOOKUP($A60,test!$A$3:$I$32,9,FALSE))+test!$B$33,0)</f>
        <v>0</v>
      </c>
      <c r="D60">
        <f>IF(AND(SUM(VLOOKUP($A60,test!$A$3:$F$32,2,FALSE),VLOOKUP(D$1,test!$A$3:$F$32,2,FALSE))&lt;test!$K$16,$A60&lt;&gt;D$1,Recharged_Feasible_mat!E29=1),(VLOOKUP(D$1,test!$A$3:$I$32,8,FALSE))-(VLOOKUP($A60,test!$A$3:$I$32,9,FALSE))+test!$B$33,0)</f>
        <v>0</v>
      </c>
      <c r="E60">
        <f>IF(AND(SUM(VLOOKUP($A60,test!$A$3:$F$32,2,FALSE),VLOOKUP(E$1,test!$A$3:$F$32,2,FALSE))&lt;test!$K$16,$A60&lt;&gt;E$1,Recharged_Feasible_mat!F29=1),(VLOOKUP(E$1,test!$A$3:$I$32,8,FALSE))-(VLOOKUP($A60,test!$A$3:$I$32,9,FALSE))+test!$B$33,0)</f>
        <v>0</v>
      </c>
      <c r="F60">
        <f>IF(AND(SUM(VLOOKUP($A60,test!$A$3:$F$32,2,FALSE),VLOOKUP(F$1,test!$A$3:$F$32,2,FALSE))&lt;test!$K$16,$A60&lt;&gt;F$1,Recharged_Feasible_mat!G29=1),(VLOOKUP(F$1,test!$A$3:$I$32,8,FALSE))-(VLOOKUP($A60,test!$A$3:$I$32,9,FALSE))+test!$B$33,0)</f>
        <v>0</v>
      </c>
      <c r="G60">
        <f>IF(AND(SUM(VLOOKUP($A60,test!$A$3:$F$32,2,FALSE),VLOOKUP(G$1,test!$A$3:$F$32,2,FALSE))&lt;test!$K$16,$A60&lt;&gt;G$1,Recharged_Feasible_mat!H29=1),(VLOOKUP(G$1,test!$A$3:$I$32,8,FALSE))-(VLOOKUP($A60,test!$A$3:$I$32,9,FALSE))+test!$B$33,0)</f>
        <v>0</v>
      </c>
      <c r="H60">
        <f>IF(AND(SUM(VLOOKUP($A60,test!$A$3:$F$32,2,FALSE),VLOOKUP(H$1,test!$A$3:$F$32,2,FALSE))&lt;test!$K$16,$A60&lt;&gt;H$1,Recharged_Feasible_mat!I29=1),(VLOOKUP(H$1,test!$A$3:$I$32,8,FALSE))-(VLOOKUP($A60,test!$A$3:$I$32,9,FALSE))+test!$B$33,0)</f>
        <v>0</v>
      </c>
      <c r="I60">
        <f>IF(AND(SUM(VLOOKUP($A60,test!$A$3:$F$32,2,FALSE),VLOOKUP(I$1,test!$A$3:$F$32,2,FALSE))&lt;test!$K$16,$A60&lt;&gt;I$1,Recharged_Feasible_mat!J29=1),(VLOOKUP(I$1,test!$A$3:$I$32,8,FALSE))-(VLOOKUP($A60,test!$A$3:$I$32,9,FALSE))+test!$B$33,0)</f>
        <v>0</v>
      </c>
      <c r="J60">
        <f>IF(AND(SUM(VLOOKUP($A60,test!$A$3:$F$32,2,FALSE),VLOOKUP(J$1,test!$A$3:$F$32,2,FALSE))&lt;test!$K$16,$A60&lt;&gt;J$1,Recharged_Feasible_mat!K29=1),(VLOOKUP(J$1,test!$A$3:$I$32,8,FALSE))-(VLOOKUP($A60,test!$A$3:$I$32,9,FALSE))+test!$B$33,0)</f>
        <v>0</v>
      </c>
      <c r="K60">
        <f>IF(AND(SUM(VLOOKUP($A60,test!$A$3:$F$32,2,FALSE),VLOOKUP(K$1,test!$A$3:$F$32,2,FALSE))&lt;test!$K$16,$A60&lt;&gt;K$1,Recharged_Feasible_mat!L29=1),(VLOOKUP(K$1,test!$A$3:$I$32,8,FALSE))-(VLOOKUP($A60,test!$A$3:$I$32,9,FALSE))+test!$B$33,0)</f>
        <v>0</v>
      </c>
      <c r="L60">
        <f>IF(AND(SUM(VLOOKUP($A60,test!$A$3:$F$32,2,FALSE),VLOOKUP(L$1,test!$A$3:$F$32,2,FALSE))&lt;test!$K$16,$A60&lt;&gt;L$1,Recharged_Feasible_mat!M29=1),(VLOOKUP(L$1,test!$A$3:$I$32,8,FALSE))-(VLOOKUP($A60,test!$A$3:$I$32,9,FALSE))+test!$B$33,0)</f>
        <v>0</v>
      </c>
      <c r="M60">
        <f>IF(AND(SUM(VLOOKUP($A60,test!$A$3:$F$32,2,FALSE),VLOOKUP(M$1,test!$A$3:$F$32,2,FALSE))&lt;test!$K$16,$A60&lt;&gt;M$1,Recharged_Feasible_mat!N29=1),(VLOOKUP(M$1,test!$A$3:$I$32,8,FALSE))-(VLOOKUP($A60,test!$A$3:$I$32,9,FALSE))+test!$B$33,0)</f>
        <v>0</v>
      </c>
      <c r="N60">
        <f>IF(AND(SUM(VLOOKUP($A60,test!$A$3:$F$32,2,FALSE),VLOOKUP(N$1,test!$A$3:$F$32,2,FALSE))&lt;test!$K$16,$A60&lt;&gt;N$1,Recharged_Feasible_mat!O29=1),(VLOOKUP(N$1,test!$A$3:$I$32,8,FALSE))-(VLOOKUP($A60,test!$A$3:$I$32,9,FALSE))+test!$B$33,0)</f>
        <v>0</v>
      </c>
      <c r="O60">
        <f>IF(AND(SUM(VLOOKUP($A60,test!$A$3:$F$32,2,FALSE),VLOOKUP(O$1,test!$A$3:$F$32,2,FALSE))&lt;test!$K$16,$A60&lt;&gt;O$1,Recharged_Feasible_mat!P29=1),(VLOOKUP(O$1,test!$A$3:$I$32,8,FALSE))-(VLOOKUP($A60,test!$A$3:$I$32,9,FALSE))+test!$B$33,0)</f>
        <v>0</v>
      </c>
      <c r="P60">
        <f>IF(AND(SUM(VLOOKUP($A60,test!$A$3:$F$32,2,FALSE),VLOOKUP(P$1,test!$A$3:$F$32,2,FALSE))&lt;test!$K$16,$A60&lt;&gt;P$1,Recharged_Feasible_mat!Q29=1),(VLOOKUP(P$1,test!$A$3:$I$32,8,FALSE))-(VLOOKUP($A60,test!$A$3:$I$32,9,FALSE))+test!$B$33,0)</f>
        <v>0</v>
      </c>
      <c r="Q60">
        <f>IF(AND(SUM(VLOOKUP($A60,test!$A$3:$F$32,2,FALSE),VLOOKUP(Q$1,test!$A$3:$F$32,2,FALSE))&lt;test!$K$16,$A60&lt;&gt;Q$1,Recharged_Feasible_mat!R29=1),(VLOOKUP(Q$1,test!$A$3:$I$32,8,FALSE))-(VLOOKUP($A60,test!$A$3:$I$32,9,FALSE))+test!$B$33,0)</f>
        <v>0</v>
      </c>
      <c r="R60">
        <f>IF(AND(SUM(VLOOKUP($A60,test!$A$3:$F$32,2,FALSE),VLOOKUP(R$1,test!$A$3:$F$32,2,FALSE))&lt;test!$K$16,$A60&lt;&gt;R$1,Recharged_Feasible_mat!S29=1),(VLOOKUP(R$1,test!$A$3:$I$32,8,FALSE))-(VLOOKUP($A60,test!$A$3:$I$32,9,FALSE))+test!$B$33,0)</f>
        <v>0</v>
      </c>
      <c r="S60">
        <f>IF(AND(SUM(VLOOKUP($A60,test!$A$3:$F$32,2,FALSE),VLOOKUP(S$1,test!$A$3:$F$32,2,FALSE))&lt;test!$K$16,$A60&lt;&gt;S$1,Recharged_Feasible_mat!T29=1),(VLOOKUP(S$1,test!$A$3:$I$32,8,FALSE))-(VLOOKUP($A60,test!$A$3:$I$32,9,FALSE))+test!$B$33,0)</f>
        <v>0</v>
      </c>
      <c r="T60">
        <f>IF(AND(SUM(VLOOKUP($A60,test!$A$3:$F$32,2,FALSE),VLOOKUP(T$1,test!$A$3:$F$32,2,FALSE))&lt;test!$K$16,$A60&lt;&gt;T$1,Recharged_Feasible_mat!U29=1),(VLOOKUP(T$1,test!$A$3:$I$32,8,FALSE))-(VLOOKUP($A60,test!$A$3:$I$32,9,FALSE))+test!$B$33,0)</f>
        <v>0</v>
      </c>
      <c r="U60">
        <f>IF(AND(SUM(VLOOKUP($A60,test!$A$3:$F$32,2,FALSE),VLOOKUP(U$1,test!$A$3:$F$32,2,FALSE))&lt;test!$K$16,$A60&lt;&gt;U$1,Recharged_Feasible_mat!V29=1),(VLOOKUP(U$1,test!$A$3:$I$32,8,FALSE))-(VLOOKUP($A60,test!$A$3:$I$32,9,FALSE))+test!$B$33,0)</f>
        <v>0</v>
      </c>
      <c r="V60">
        <f>IF(AND(SUM(VLOOKUP($A60,test!$A$3:$F$32,2,FALSE),VLOOKUP(V$1,test!$A$3:$F$32,2,FALSE))&lt;test!$K$16,$A60&lt;&gt;V$1,Recharged_Feasible_mat!W29=1),(VLOOKUP(V$1,test!$A$3:$I$32,8,FALSE))-(VLOOKUP($A60,test!$A$3:$I$32,9,FALSE))+test!$B$33,0)</f>
        <v>0</v>
      </c>
      <c r="W60">
        <f>IF(AND(SUM(VLOOKUP($A60,test!$A$3:$F$32,2,FALSE),VLOOKUP(W$1,test!$A$3:$F$32,2,FALSE))&lt;test!$K$16,$A60&lt;&gt;W$1,Recharged_Feasible_mat!X29=1),(VLOOKUP(W$1,test!$A$3:$I$32,8,FALSE))-(VLOOKUP($A60,test!$A$3:$I$32,9,FALSE))+test!$B$33,0)</f>
        <v>0</v>
      </c>
      <c r="X60">
        <f>IF(AND(SUM(VLOOKUP($A60,test!$A$3:$F$32,2,FALSE),VLOOKUP(X$1,test!$A$3:$F$32,2,FALSE))&lt;test!$K$16,$A60&lt;&gt;X$1,Recharged_Feasible_mat!Y29=1),(VLOOKUP(X$1,test!$A$3:$I$32,8,FALSE))-(VLOOKUP($A60,test!$A$3:$I$32,9,FALSE))+test!$B$33,0)</f>
        <v>0</v>
      </c>
      <c r="Y60">
        <f>IF(AND(SUM(VLOOKUP($A60,test!$A$3:$F$32,2,FALSE),VLOOKUP(Y$1,test!$A$3:$F$32,2,FALSE))&lt;test!$K$16,$A60&lt;&gt;Y$1,Recharged_Feasible_mat!Z29=1),(VLOOKUP(Y$1,test!$A$3:$I$32,8,FALSE))-(VLOOKUP($A60,test!$A$3:$I$32,9,FALSE))+test!$B$33,0)</f>
        <v>0</v>
      </c>
      <c r="Z60">
        <f>IF(AND(SUM(VLOOKUP($A60,test!$A$3:$F$32,2,FALSE),VLOOKUP(Z$1,test!$A$3:$F$32,2,FALSE))&lt;test!$K$16,$A60&lt;&gt;Z$1,Recharged_Feasible_mat!AA29=1),(VLOOKUP(Z$1,test!$A$3:$I$32,8,FALSE))-(VLOOKUP($A60,test!$A$3:$I$32,9,FALSE))+test!$B$33,0)</f>
        <v>0</v>
      </c>
      <c r="AA60">
        <f>IF(AND(SUM(VLOOKUP($A60,test!$A$3:$F$32,2,FALSE),VLOOKUP(AA$1,test!$A$3:$F$32,2,FALSE))&lt;test!$K$16,$A60&lt;&gt;AA$1,Recharged_Feasible_mat!AB29=1),(VLOOKUP(AA$1,test!$A$3:$I$32,8,FALSE))-(VLOOKUP($A60,test!$A$3:$I$32,9,FALSE))+test!$B$33,0)</f>
        <v>0</v>
      </c>
      <c r="AB60">
        <f>IF(AND(SUM(VLOOKUP($A60,test!$A$3:$F$32,2,FALSE),VLOOKUP(AB$1,test!$A$3:$F$32,2,FALSE))&lt;test!$K$16,$A60&lt;&gt;AB$1,Recharged_Feasible_mat!AC29=1),(VLOOKUP(AB$1,test!$A$3:$I$32,8,FALSE))-(VLOOKUP($A60,test!$A$3:$I$32,9,FALSE))+test!$B$33,0)</f>
        <v>0</v>
      </c>
      <c r="AC60">
        <f>IF(AND(SUM(VLOOKUP($A60,test!$A$3:$F$32,2,FALSE),VLOOKUP(AC$1,test!$A$3:$F$32,2,FALSE))&lt;test!$K$16,$A60&lt;&gt;AC$1,Recharged_Feasible_mat!AD29=1),(VLOOKUP(AC$1,test!$A$3:$I$32,8,FALSE))-(VLOOKUP($A60,test!$A$3:$I$32,9,FALSE))+test!$B$33,0)</f>
        <v>0</v>
      </c>
      <c r="AD60">
        <f>IF(AND(SUM(VLOOKUP($A60,test!$A$3:$F$32,2,FALSE),VLOOKUP(AD$1,test!$A$3:$F$32,2,FALSE))&lt;test!$K$16,$A60&lt;&gt;AD$1,Recharged_Feasible_mat!AE29=1),(VLOOKUP(AD$1,test!$A$3:$I$32,8,FALSE))-(VLOOKUP($A60,test!$A$3:$I$32,9,FALSE))+test!$B$33,0)</f>
        <v>0</v>
      </c>
      <c r="AE60">
        <f>IF(AND(SUM(VLOOKUP($A60,test!$A$3:$F$32,2,FALSE),VLOOKUP(AE$1,test!$A$3:$F$32,2,FALSE))&lt;test!$K$16,$A60&lt;&gt;AE$1,Recharged_Feasible_mat!AF29=1),(VLOOKUP(AE$1,test!$A$3:$I$32,8,FALSE))-(VLOOKUP($A60,test!$A$3:$I$32,9,FALSE))+test!$B$33,0)</f>
        <v>0</v>
      </c>
      <c r="AF60">
        <f>IF(AND(SUM(VLOOKUP($A60,test!$A$3:$F$32,2,FALSE),VLOOKUP(AF$1,test!$A$3:$F$32,2,FALSE))&lt;test!$K$16,$A60&lt;&gt;AF$1,Recharged_Feasible_mat!AG29=1),(VLOOKUP(AF$1,test!$A$3:$I$32,8,FALSE))-(VLOOKUP($A60,test!$A$3:$I$32,9,FALSE))+test!$B$33,0)</f>
        <v>0</v>
      </c>
    </row>
    <row r="61" spans="1:32" x14ac:dyDescent="0.25">
      <c r="A61" t="s">
        <v>39</v>
      </c>
      <c r="B61">
        <v>0</v>
      </c>
      <c r="C61">
        <f>IF(AND(SUM(VLOOKUP($A61,test!$A$3:$F$32,2,FALSE),VLOOKUP(C$1,test!$A$3:$F$32,2,FALSE))&lt;test!$K$16,$A61&lt;&gt;C$1,feasible_mat!C61=1),(VLOOKUP(C$1,test!$A$3:$I$32,8,FALSE))-(VLOOKUP($A61,test!$A$3:$I$32,9,FALSE))+test!$B$33,0)</f>
        <v>0</v>
      </c>
      <c r="D61">
        <f>IF(AND(SUM(VLOOKUP($A61,test!$A$3:$F$32,2,FALSE),VLOOKUP(D$1,test!$A$3:$F$32,2,FALSE))&lt;test!$K$16,$A61&lt;&gt;D$1,Recharged_Feasible_mat!E30=1),(VLOOKUP(D$1,test!$A$3:$I$32,8,FALSE))-(VLOOKUP($A61,test!$A$3:$I$32,9,FALSE))+test!$B$33,0)</f>
        <v>0</v>
      </c>
      <c r="E61">
        <f>IF(AND(SUM(VLOOKUP($A61,test!$A$3:$F$32,2,FALSE),VLOOKUP(E$1,test!$A$3:$F$32,2,FALSE))&lt;test!$K$16,$A61&lt;&gt;E$1,Recharged_Feasible_mat!F30=1),(VLOOKUP(E$1,test!$A$3:$I$32,8,FALSE))-(VLOOKUP($A61,test!$A$3:$I$32,9,FALSE))+test!$B$33,0)</f>
        <v>0</v>
      </c>
      <c r="F61">
        <f>IF(AND(SUM(VLOOKUP($A61,test!$A$3:$F$32,2,FALSE),VLOOKUP(F$1,test!$A$3:$F$32,2,FALSE))&lt;test!$K$16,$A61&lt;&gt;F$1,Recharged_Feasible_mat!G30=1),(VLOOKUP(F$1,test!$A$3:$I$32,8,FALSE))-(VLOOKUP($A61,test!$A$3:$I$32,9,FALSE))+test!$B$33,0)</f>
        <v>0</v>
      </c>
      <c r="G61">
        <f>IF(AND(SUM(VLOOKUP($A61,test!$A$3:$F$32,2,FALSE),VLOOKUP(G$1,test!$A$3:$F$32,2,FALSE))&lt;test!$K$16,$A61&lt;&gt;G$1,Recharged_Feasible_mat!H30=1),(VLOOKUP(G$1,test!$A$3:$I$32,8,FALSE))-(VLOOKUP($A61,test!$A$3:$I$32,9,FALSE))+test!$B$33,0)</f>
        <v>0</v>
      </c>
      <c r="H61">
        <f>IF(AND(SUM(VLOOKUP($A61,test!$A$3:$F$32,2,FALSE),VLOOKUP(H$1,test!$A$3:$F$32,2,FALSE))&lt;test!$K$16,$A61&lt;&gt;H$1,Recharged_Feasible_mat!I30=1),(VLOOKUP(H$1,test!$A$3:$I$32,8,FALSE))-(VLOOKUP($A61,test!$A$3:$I$32,9,FALSE))+test!$B$33,0)</f>
        <v>0</v>
      </c>
      <c r="I61">
        <f>IF(AND(SUM(VLOOKUP($A61,test!$A$3:$F$32,2,FALSE),VLOOKUP(I$1,test!$A$3:$F$32,2,FALSE))&lt;test!$K$16,$A61&lt;&gt;I$1,Recharged_Feasible_mat!J30=1),(VLOOKUP(I$1,test!$A$3:$I$32,8,FALSE))-(VLOOKUP($A61,test!$A$3:$I$32,9,FALSE))+test!$B$33,0)</f>
        <v>0</v>
      </c>
      <c r="J61">
        <f>IF(AND(SUM(VLOOKUP($A61,test!$A$3:$F$32,2,FALSE),VLOOKUP(J$1,test!$A$3:$F$32,2,FALSE))&lt;test!$K$16,$A61&lt;&gt;J$1,Recharged_Feasible_mat!K30=1),(VLOOKUP(J$1,test!$A$3:$I$32,8,FALSE))-(VLOOKUP($A61,test!$A$3:$I$32,9,FALSE))+test!$B$33,0)</f>
        <v>0</v>
      </c>
      <c r="K61">
        <f>IF(AND(SUM(VLOOKUP($A61,test!$A$3:$F$32,2,FALSE),VLOOKUP(K$1,test!$A$3:$F$32,2,FALSE))&lt;test!$K$16,$A61&lt;&gt;K$1,Recharged_Feasible_mat!L30=1),(VLOOKUP(K$1,test!$A$3:$I$32,8,FALSE))-(VLOOKUP($A61,test!$A$3:$I$32,9,FALSE))+test!$B$33,0)</f>
        <v>0</v>
      </c>
      <c r="L61">
        <f>IF(AND(SUM(VLOOKUP($A61,test!$A$3:$F$32,2,FALSE),VLOOKUP(L$1,test!$A$3:$F$32,2,FALSE))&lt;test!$K$16,$A61&lt;&gt;L$1,Recharged_Feasible_mat!M30=1),(VLOOKUP(L$1,test!$A$3:$I$32,8,FALSE))-(VLOOKUP($A61,test!$A$3:$I$32,9,FALSE))+test!$B$33,0)</f>
        <v>0</v>
      </c>
      <c r="M61">
        <f>IF(AND(SUM(VLOOKUP($A61,test!$A$3:$F$32,2,FALSE),VLOOKUP(M$1,test!$A$3:$F$32,2,FALSE))&lt;test!$K$16,$A61&lt;&gt;M$1,Recharged_Feasible_mat!N30=1),(VLOOKUP(M$1,test!$A$3:$I$32,8,FALSE))-(VLOOKUP($A61,test!$A$3:$I$32,9,FALSE))+test!$B$33,0)</f>
        <v>0</v>
      </c>
      <c r="N61">
        <f>IF(AND(SUM(VLOOKUP($A61,test!$A$3:$F$32,2,FALSE),VLOOKUP(N$1,test!$A$3:$F$32,2,FALSE))&lt;test!$K$16,$A61&lt;&gt;N$1,Recharged_Feasible_mat!O30=1),(VLOOKUP(N$1,test!$A$3:$I$32,8,FALSE))-(VLOOKUP($A61,test!$A$3:$I$32,9,FALSE))+test!$B$33,0)</f>
        <v>0</v>
      </c>
      <c r="O61">
        <f>IF(AND(SUM(VLOOKUP($A61,test!$A$3:$F$32,2,FALSE),VLOOKUP(O$1,test!$A$3:$F$32,2,FALSE))&lt;test!$K$16,$A61&lt;&gt;O$1,Recharged_Feasible_mat!P30=1),(VLOOKUP(O$1,test!$A$3:$I$32,8,FALSE))-(VLOOKUP($A61,test!$A$3:$I$32,9,FALSE))+test!$B$33,0)</f>
        <v>0</v>
      </c>
      <c r="P61">
        <f>IF(AND(SUM(VLOOKUP($A61,test!$A$3:$F$32,2,FALSE),VLOOKUP(P$1,test!$A$3:$F$32,2,FALSE))&lt;test!$K$16,$A61&lt;&gt;P$1,Recharged_Feasible_mat!Q30=1),(VLOOKUP(P$1,test!$A$3:$I$32,8,FALSE))-(VLOOKUP($A61,test!$A$3:$I$32,9,FALSE))+test!$B$33,0)</f>
        <v>0</v>
      </c>
      <c r="Q61">
        <f>IF(AND(SUM(VLOOKUP($A61,test!$A$3:$F$32,2,FALSE),VLOOKUP(Q$1,test!$A$3:$F$32,2,FALSE))&lt;test!$K$16,$A61&lt;&gt;Q$1,Recharged_Feasible_mat!R30=1),(VLOOKUP(Q$1,test!$A$3:$I$32,8,FALSE))-(VLOOKUP($A61,test!$A$3:$I$32,9,FALSE))+test!$B$33,0)</f>
        <v>0</v>
      </c>
      <c r="R61">
        <f>IF(AND(SUM(VLOOKUP($A61,test!$A$3:$F$32,2,FALSE),VLOOKUP(R$1,test!$A$3:$F$32,2,FALSE))&lt;test!$K$16,$A61&lt;&gt;R$1,Recharged_Feasible_mat!S30=1),(VLOOKUP(R$1,test!$A$3:$I$32,8,FALSE))-(VLOOKUP($A61,test!$A$3:$I$32,9,FALSE))+test!$B$33,0)</f>
        <v>0</v>
      </c>
      <c r="S61">
        <f>IF(AND(SUM(VLOOKUP($A61,test!$A$3:$F$32,2,FALSE),VLOOKUP(S$1,test!$A$3:$F$32,2,FALSE))&lt;test!$K$16,$A61&lt;&gt;S$1,Recharged_Feasible_mat!T30=1),(VLOOKUP(S$1,test!$A$3:$I$32,8,FALSE))-(VLOOKUP($A61,test!$A$3:$I$32,9,FALSE))+test!$B$33,0)</f>
        <v>0</v>
      </c>
      <c r="T61">
        <f>IF(AND(SUM(VLOOKUP($A61,test!$A$3:$F$32,2,FALSE),VLOOKUP(T$1,test!$A$3:$F$32,2,FALSE))&lt;test!$K$16,$A61&lt;&gt;T$1,Recharged_Feasible_mat!U30=1),(VLOOKUP(T$1,test!$A$3:$I$32,8,FALSE))-(VLOOKUP($A61,test!$A$3:$I$32,9,FALSE))+test!$B$33,0)</f>
        <v>0</v>
      </c>
      <c r="U61">
        <f>IF(AND(SUM(VLOOKUP($A61,test!$A$3:$F$32,2,FALSE),VLOOKUP(U$1,test!$A$3:$F$32,2,FALSE))&lt;test!$K$16,$A61&lt;&gt;U$1,Recharged_Feasible_mat!V30=1),(VLOOKUP(U$1,test!$A$3:$I$32,8,FALSE))-(VLOOKUP($A61,test!$A$3:$I$32,9,FALSE))+test!$B$33,0)</f>
        <v>0</v>
      </c>
      <c r="V61">
        <f>IF(AND(SUM(VLOOKUP($A61,test!$A$3:$F$32,2,FALSE),VLOOKUP(V$1,test!$A$3:$F$32,2,FALSE))&lt;test!$K$16,$A61&lt;&gt;V$1,Recharged_Feasible_mat!W30=1),(VLOOKUP(V$1,test!$A$3:$I$32,8,FALSE))-(VLOOKUP($A61,test!$A$3:$I$32,9,FALSE))+test!$B$33,0)</f>
        <v>0</v>
      </c>
      <c r="W61">
        <f>IF(AND(SUM(VLOOKUP($A61,test!$A$3:$F$32,2,FALSE),VLOOKUP(W$1,test!$A$3:$F$32,2,FALSE))&lt;test!$K$16,$A61&lt;&gt;W$1,Recharged_Feasible_mat!X30=1),(VLOOKUP(W$1,test!$A$3:$I$32,8,FALSE))-(VLOOKUP($A61,test!$A$3:$I$32,9,FALSE))+test!$B$33,0)</f>
        <v>0</v>
      </c>
      <c r="X61">
        <f>IF(AND(SUM(VLOOKUP($A61,test!$A$3:$F$32,2,FALSE),VLOOKUP(X$1,test!$A$3:$F$32,2,FALSE))&lt;test!$K$16,$A61&lt;&gt;X$1,Recharged_Feasible_mat!Y30=1),(VLOOKUP(X$1,test!$A$3:$I$32,8,FALSE))-(VLOOKUP($A61,test!$A$3:$I$32,9,FALSE))+test!$B$33,0)</f>
        <v>0</v>
      </c>
      <c r="Y61">
        <f>IF(AND(SUM(VLOOKUP($A61,test!$A$3:$F$32,2,FALSE),VLOOKUP(Y$1,test!$A$3:$F$32,2,FALSE))&lt;test!$K$16,$A61&lt;&gt;Y$1,Recharged_Feasible_mat!Z30=1),(VLOOKUP(Y$1,test!$A$3:$I$32,8,FALSE))-(VLOOKUP($A61,test!$A$3:$I$32,9,FALSE))+test!$B$33,0)</f>
        <v>0</v>
      </c>
      <c r="Z61">
        <f>IF(AND(SUM(VLOOKUP($A61,test!$A$3:$F$32,2,FALSE),VLOOKUP(Z$1,test!$A$3:$F$32,2,FALSE))&lt;test!$K$16,$A61&lt;&gt;Z$1,Recharged_Feasible_mat!AA30=1),(VLOOKUP(Z$1,test!$A$3:$I$32,8,FALSE))-(VLOOKUP($A61,test!$A$3:$I$32,9,FALSE))+test!$B$33,0)</f>
        <v>0</v>
      </c>
      <c r="AA61">
        <f>IF(AND(SUM(VLOOKUP($A61,test!$A$3:$F$32,2,FALSE),VLOOKUP(AA$1,test!$A$3:$F$32,2,FALSE))&lt;test!$K$16,$A61&lt;&gt;AA$1,Recharged_Feasible_mat!AB30=1),(VLOOKUP(AA$1,test!$A$3:$I$32,8,FALSE))-(VLOOKUP($A61,test!$A$3:$I$32,9,FALSE))+test!$B$33,0)</f>
        <v>0</v>
      </c>
      <c r="AB61">
        <f>IF(AND(SUM(VLOOKUP($A61,test!$A$3:$F$32,2,FALSE),VLOOKUP(AB$1,test!$A$3:$F$32,2,FALSE))&lt;test!$K$16,$A61&lt;&gt;AB$1,Recharged_Feasible_mat!AC30=1),(VLOOKUP(AB$1,test!$A$3:$I$32,8,FALSE))-(VLOOKUP($A61,test!$A$3:$I$32,9,FALSE))+test!$B$33,0)</f>
        <v>0</v>
      </c>
      <c r="AC61">
        <f>IF(AND(SUM(VLOOKUP($A61,test!$A$3:$F$32,2,FALSE),VLOOKUP(AC$1,test!$A$3:$F$32,2,FALSE))&lt;test!$K$16,$A61&lt;&gt;AC$1,Recharged_Feasible_mat!AD30=1),(VLOOKUP(AC$1,test!$A$3:$I$32,8,FALSE))-(VLOOKUP($A61,test!$A$3:$I$32,9,FALSE))+test!$B$33,0)</f>
        <v>0</v>
      </c>
      <c r="AD61">
        <f>IF(AND(SUM(VLOOKUP($A61,test!$A$3:$F$32,2,FALSE),VLOOKUP(AD$1,test!$A$3:$F$32,2,FALSE))&lt;test!$K$16,$A61&lt;&gt;AD$1,Recharged_Feasible_mat!AE30=1),(VLOOKUP(AD$1,test!$A$3:$I$32,8,FALSE))-(VLOOKUP($A61,test!$A$3:$I$32,9,FALSE))+test!$B$33,0)</f>
        <v>0</v>
      </c>
      <c r="AE61">
        <f>IF(AND(SUM(VLOOKUP($A61,test!$A$3:$F$32,2,FALSE),VLOOKUP(AE$1,test!$A$3:$F$32,2,FALSE))&lt;test!$K$16,$A61&lt;&gt;AE$1,Recharged_Feasible_mat!AF30=1),(VLOOKUP(AE$1,test!$A$3:$I$32,8,FALSE))-(VLOOKUP($A61,test!$A$3:$I$32,9,FALSE))+test!$B$33,0)</f>
        <v>0</v>
      </c>
      <c r="AF61">
        <f>IF(AND(SUM(VLOOKUP($A61,test!$A$3:$F$32,2,FALSE),VLOOKUP(AF$1,test!$A$3:$F$32,2,FALSE))&lt;test!$K$16,$A61&lt;&gt;AF$1,Recharged_Feasible_mat!AG30=1),(VLOOKUP(AF$1,test!$A$3:$I$32,8,FALSE))-(VLOOKUP($A61,test!$A$3:$I$32,9,FALSE))+test!$B$33,0)</f>
        <v>0</v>
      </c>
    </row>
    <row r="62" spans="1:32" x14ac:dyDescent="0.25">
      <c r="A62" t="s">
        <v>40</v>
      </c>
      <c r="B62">
        <v>0</v>
      </c>
      <c r="C62">
        <f>IF(AND(SUM(VLOOKUP($A62,test!$A$3:$F$32,2,FALSE),VLOOKUP(C$1,test!$A$3:$F$32,2,FALSE))&lt;test!$K$16,$A62&lt;&gt;C$1,feasible_mat!C62=1),(VLOOKUP(C$1,test!$A$3:$I$32,8,FALSE))-(VLOOKUP($A62,test!$A$3:$I$32,9,FALSE))+test!$B$33,0)</f>
        <v>0</v>
      </c>
      <c r="D62">
        <f>IF(AND(SUM(VLOOKUP($A62,test!$A$3:$F$32,2,FALSE),VLOOKUP(D$1,test!$A$3:$F$32,2,FALSE))&lt;test!$K$16,$A62&lt;&gt;D$1,Recharged_Feasible_mat!E31=1),(VLOOKUP(D$1,test!$A$3:$I$32,8,FALSE))-(VLOOKUP($A62,test!$A$3:$I$32,9,FALSE))+test!$B$33,0)</f>
        <v>0</v>
      </c>
      <c r="E62">
        <f>IF(AND(SUM(VLOOKUP($A62,test!$A$3:$F$32,2,FALSE),VLOOKUP(E$1,test!$A$3:$F$32,2,FALSE))&lt;test!$K$16,$A62&lt;&gt;E$1,Recharged_Feasible_mat!F31=1),(VLOOKUP(E$1,test!$A$3:$I$32,8,FALSE))-(VLOOKUP($A62,test!$A$3:$I$32,9,FALSE))+test!$B$33,0)</f>
        <v>0</v>
      </c>
      <c r="F62">
        <f>IF(AND(SUM(VLOOKUP($A62,test!$A$3:$F$32,2,FALSE),VLOOKUP(F$1,test!$A$3:$F$32,2,FALSE))&lt;test!$K$16,$A62&lt;&gt;F$1,Recharged_Feasible_mat!G31=1),(VLOOKUP(F$1,test!$A$3:$I$32,8,FALSE))-(VLOOKUP($A62,test!$A$3:$I$32,9,FALSE))+test!$B$33,0)</f>
        <v>0</v>
      </c>
      <c r="G62">
        <f>IF(AND(SUM(VLOOKUP($A62,test!$A$3:$F$32,2,FALSE),VLOOKUP(G$1,test!$A$3:$F$32,2,FALSE))&lt;test!$K$16,$A62&lt;&gt;G$1,Recharged_Feasible_mat!H31=1),(VLOOKUP(G$1,test!$A$3:$I$32,8,FALSE))-(VLOOKUP($A62,test!$A$3:$I$32,9,FALSE))+test!$B$33,0)</f>
        <v>0</v>
      </c>
      <c r="H62">
        <f>IF(AND(SUM(VLOOKUP($A62,test!$A$3:$F$32,2,FALSE),VLOOKUP(H$1,test!$A$3:$F$32,2,FALSE))&lt;test!$K$16,$A62&lt;&gt;H$1,Recharged_Feasible_mat!I31=1),(VLOOKUP(H$1,test!$A$3:$I$32,8,FALSE))-(VLOOKUP($A62,test!$A$3:$I$32,9,FALSE))+test!$B$33,0)</f>
        <v>0</v>
      </c>
      <c r="I62">
        <f>IF(AND(SUM(VLOOKUP($A62,test!$A$3:$F$32,2,FALSE),VLOOKUP(I$1,test!$A$3:$F$32,2,FALSE))&lt;test!$K$16,$A62&lt;&gt;I$1,Recharged_Feasible_mat!J31=1),(VLOOKUP(I$1,test!$A$3:$I$32,8,FALSE))-(VLOOKUP($A62,test!$A$3:$I$32,9,FALSE))+test!$B$33,0)</f>
        <v>0</v>
      </c>
      <c r="J62">
        <f>IF(AND(SUM(VLOOKUP($A62,test!$A$3:$F$32,2,FALSE),VLOOKUP(J$1,test!$A$3:$F$32,2,FALSE))&lt;test!$K$16,$A62&lt;&gt;J$1,Recharged_Feasible_mat!K31=1),(VLOOKUP(J$1,test!$A$3:$I$32,8,FALSE))-(VLOOKUP($A62,test!$A$3:$I$32,9,FALSE))+test!$B$33,0)</f>
        <v>170</v>
      </c>
      <c r="K62">
        <f>IF(AND(SUM(VLOOKUP($A62,test!$A$3:$F$32,2,FALSE),VLOOKUP(K$1,test!$A$3:$F$32,2,FALSE))&lt;test!$K$16,$A62&lt;&gt;K$1,Recharged_Feasible_mat!L31=1),(VLOOKUP(K$1,test!$A$3:$I$32,8,FALSE))-(VLOOKUP($A62,test!$A$3:$I$32,9,FALSE))+test!$B$33,0)</f>
        <v>0</v>
      </c>
      <c r="L62">
        <f>IF(AND(SUM(VLOOKUP($A62,test!$A$3:$F$32,2,FALSE),VLOOKUP(L$1,test!$A$3:$F$32,2,FALSE))&lt;test!$K$16,$A62&lt;&gt;L$1,Recharged_Feasible_mat!M31=1),(VLOOKUP(L$1,test!$A$3:$I$32,8,FALSE))-(VLOOKUP($A62,test!$A$3:$I$32,9,FALSE))+test!$B$33,0)</f>
        <v>0</v>
      </c>
      <c r="M62">
        <f>IF(AND(SUM(VLOOKUP($A62,test!$A$3:$F$32,2,FALSE),VLOOKUP(M$1,test!$A$3:$F$32,2,FALSE))&lt;test!$K$16,$A62&lt;&gt;M$1,Recharged_Feasible_mat!N31=1),(VLOOKUP(M$1,test!$A$3:$I$32,8,FALSE))-(VLOOKUP($A62,test!$A$3:$I$32,9,FALSE))+test!$B$33,0)</f>
        <v>0</v>
      </c>
      <c r="N62">
        <f>IF(AND(SUM(VLOOKUP($A62,test!$A$3:$F$32,2,FALSE),VLOOKUP(N$1,test!$A$3:$F$32,2,FALSE))&lt;test!$K$16,$A62&lt;&gt;N$1,Recharged_Feasible_mat!O31=1),(VLOOKUP(N$1,test!$A$3:$I$32,8,FALSE))-(VLOOKUP($A62,test!$A$3:$I$32,9,FALSE))+test!$B$33,0)</f>
        <v>0</v>
      </c>
      <c r="O62">
        <f>IF(AND(SUM(VLOOKUP($A62,test!$A$3:$F$32,2,FALSE),VLOOKUP(O$1,test!$A$3:$F$32,2,FALSE))&lt;test!$K$16,$A62&lt;&gt;O$1,Recharged_Feasible_mat!P31=1),(VLOOKUP(O$1,test!$A$3:$I$32,8,FALSE))-(VLOOKUP($A62,test!$A$3:$I$32,9,FALSE))+test!$B$33,0)</f>
        <v>0</v>
      </c>
      <c r="P62">
        <f>IF(AND(SUM(VLOOKUP($A62,test!$A$3:$F$32,2,FALSE),VLOOKUP(P$1,test!$A$3:$F$32,2,FALSE))&lt;test!$K$16,$A62&lt;&gt;P$1,Recharged_Feasible_mat!Q31=1),(VLOOKUP(P$1,test!$A$3:$I$32,8,FALSE))-(VLOOKUP($A62,test!$A$3:$I$32,9,FALSE))+test!$B$33,0)</f>
        <v>0</v>
      </c>
      <c r="Q62">
        <f>IF(AND(SUM(VLOOKUP($A62,test!$A$3:$F$32,2,FALSE),VLOOKUP(Q$1,test!$A$3:$F$32,2,FALSE))&lt;test!$K$16,$A62&lt;&gt;Q$1,Recharged_Feasible_mat!R31=1),(VLOOKUP(Q$1,test!$A$3:$I$32,8,FALSE))-(VLOOKUP($A62,test!$A$3:$I$32,9,FALSE))+test!$B$33,0)</f>
        <v>0</v>
      </c>
      <c r="R62">
        <f>IF(AND(SUM(VLOOKUP($A62,test!$A$3:$F$32,2,FALSE),VLOOKUP(R$1,test!$A$3:$F$32,2,FALSE))&lt;test!$K$16,$A62&lt;&gt;R$1,Recharged_Feasible_mat!S31=1),(VLOOKUP(R$1,test!$A$3:$I$32,8,FALSE))-(VLOOKUP($A62,test!$A$3:$I$32,9,FALSE))+test!$B$33,0)</f>
        <v>0</v>
      </c>
      <c r="S62">
        <f>IF(AND(SUM(VLOOKUP($A62,test!$A$3:$F$32,2,FALSE),VLOOKUP(S$1,test!$A$3:$F$32,2,FALSE))&lt;test!$K$16,$A62&lt;&gt;S$1,Recharged_Feasible_mat!T31=1),(VLOOKUP(S$1,test!$A$3:$I$32,8,FALSE))-(VLOOKUP($A62,test!$A$3:$I$32,9,FALSE))+test!$B$33,0)</f>
        <v>0</v>
      </c>
      <c r="T62">
        <f>IF(AND(SUM(VLOOKUP($A62,test!$A$3:$F$32,2,FALSE),VLOOKUP(T$1,test!$A$3:$F$32,2,FALSE))&lt;test!$K$16,$A62&lt;&gt;T$1,Recharged_Feasible_mat!U31=1),(VLOOKUP(T$1,test!$A$3:$I$32,8,FALSE))-(VLOOKUP($A62,test!$A$3:$I$32,9,FALSE))+test!$B$33,0)</f>
        <v>0</v>
      </c>
      <c r="U62">
        <f>IF(AND(SUM(VLOOKUP($A62,test!$A$3:$F$32,2,FALSE),VLOOKUP(U$1,test!$A$3:$F$32,2,FALSE))&lt;test!$K$16,$A62&lt;&gt;U$1,Recharged_Feasible_mat!V31=1),(VLOOKUP(U$1,test!$A$3:$I$32,8,FALSE))-(VLOOKUP($A62,test!$A$3:$I$32,9,FALSE))+test!$B$33,0)</f>
        <v>0</v>
      </c>
      <c r="V62">
        <f>IF(AND(SUM(VLOOKUP($A62,test!$A$3:$F$32,2,FALSE),VLOOKUP(V$1,test!$A$3:$F$32,2,FALSE))&lt;test!$K$16,$A62&lt;&gt;V$1,Recharged_Feasible_mat!W31=1),(VLOOKUP(V$1,test!$A$3:$I$32,8,FALSE))-(VLOOKUP($A62,test!$A$3:$I$32,9,FALSE))+test!$B$33,0)</f>
        <v>0</v>
      </c>
      <c r="W62">
        <f>IF(AND(SUM(VLOOKUP($A62,test!$A$3:$F$32,2,FALSE),VLOOKUP(W$1,test!$A$3:$F$32,2,FALSE))&lt;test!$K$16,$A62&lt;&gt;W$1,Recharged_Feasible_mat!X31=1),(VLOOKUP(W$1,test!$A$3:$I$32,8,FALSE))-(VLOOKUP($A62,test!$A$3:$I$32,9,FALSE))+test!$B$33,0)</f>
        <v>0</v>
      </c>
      <c r="X62">
        <f>IF(AND(SUM(VLOOKUP($A62,test!$A$3:$F$32,2,FALSE),VLOOKUP(X$1,test!$A$3:$F$32,2,FALSE))&lt;test!$K$16,$A62&lt;&gt;X$1,Recharged_Feasible_mat!Y31=1),(VLOOKUP(X$1,test!$A$3:$I$32,8,FALSE))-(VLOOKUP($A62,test!$A$3:$I$32,9,FALSE))+test!$B$33,0)</f>
        <v>0</v>
      </c>
      <c r="Y62">
        <f>IF(AND(SUM(VLOOKUP($A62,test!$A$3:$F$32,2,FALSE),VLOOKUP(Y$1,test!$A$3:$F$32,2,FALSE))&lt;test!$K$16,$A62&lt;&gt;Y$1,Recharged_Feasible_mat!Z31=1),(VLOOKUP(Y$1,test!$A$3:$I$32,8,FALSE))-(VLOOKUP($A62,test!$A$3:$I$32,9,FALSE))+test!$B$33,0)</f>
        <v>0</v>
      </c>
      <c r="Z62">
        <f>IF(AND(SUM(VLOOKUP($A62,test!$A$3:$F$32,2,FALSE),VLOOKUP(Z$1,test!$A$3:$F$32,2,FALSE))&lt;test!$K$16,$A62&lt;&gt;Z$1,Recharged_Feasible_mat!AA31=1),(VLOOKUP(Z$1,test!$A$3:$I$32,8,FALSE))-(VLOOKUP($A62,test!$A$3:$I$32,9,FALSE))+test!$B$33,0)</f>
        <v>0</v>
      </c>
      <c r="AA62">
        <f>IF(AND(SUM(VLOOKUP($A62,test!$A$3:$F$32,2,FALSE),VLOOKUP(AA$1,test!$A$3:$F$32,2,FALSE))&lt;test!$K$16,$A62&lt;&gt;AA$1,Recharged_Feasible_mat!AB31=1),(VLOOKUP(AA$1,test!$A$3:$I$32,8,FALSE))-(VLOOKUP($A62,test!$A$3:$I$32,9,FALSE))+test!$B$33,0)</f>
        <v>0</v>
      </c>
      <c r="AB62">
        <f>IF(AND(SUM(VLOOKUP($A62,test!$A$3:$F$32,2,FALSE),VLOOKUP(AB$1,test!$A$3:$F$32,2,FALSE))&lt;test!$K$16,$A62&lt;&gt;AB$1,Recharged_Feasible_mat!AC31=1),(VLOOKUP(AB$1,test!$A$3:$I$32,8,FALSE))-(VLOOKUP($A62,test!$A$3:$I$32,9,FALSE))+test!$B$33,0)</f>
        <v>0</v>
      </c>
      <c r="AC62">
        <f>IF(AND(SUM(VLOOKUP($A62,test!$A$3:$F$32,2,FALSE),VLOOKUP(AC$1,test!$A$3:$F$32,2,FALSE))&lt;test!$K$16,$A62&lt;&gt;AC$1,Recharged_Feasible_mat!AD31=1),(VLOOKUP(AC$1,test!$A$3:$I$32,8,FALSE))-(VLOOKUP($A62,test!$A$3:$I$32,9,FALSE))+test!$B$33,0)</f>
        <v>0</v>
      </c>
      <c r="AD62">
        <f>IF(AND(SUM(VLOOKUP($A62,test!$A$3:$F$32,2,FALSE),VLOOKUP(AD$1,test!$A$3:$F$32,2,FALSE))&lt;test!$K$16,$A62&lt;&gt;AD$1,Recharged_Feasible_mat!AE31=1),(VLOOKUP(AD$1,test!$A$3:$I$32,8,FALSE))-(VLOOKUP($A62,test!$A$3:$I$32,9,FALSE))+test!$B$33,0)</f>
        <v>0</v>
      </c>
      <c r="AE62">
        <f>IF(AND(SUM(VLOOKUP($A62,test!$A$3:$F$32,2,FALSE),VLOOKUP(AE$1,test!$A$3:$F$32,2,FALSE))&lt;test!$K$16,$A62&lt;&gt;AE$1,Recharged_Feasible_mat!AF31=1),(VLOOKUP(AE$1,test!$A$3:$I$32,8,FALSE))-(VLOOKUP($A62,test!$A$3:$I$32,9,FALSE))+test!$B$33,0)</f>
        <v>0</v>
      </c>
      <c r="AF62">
        <f>IF(AND(SUM(VLOOKUP($A62,test!$A$3:$F$32,2,FALSE),VLOOKUP(AF$1,test!$A$3:$F$32,2,FALSE))&lt;test!$K$16,$A62&lt;&gt;AF$1,Recharged_Feasible_mat!AG31=1),(VLOOKUP(AF$1,test!$A$3:$I$32,8,FALSE))-(VLOOKUP($A62,test!$A$3:$I$32,9,FALSE))+test!$B$33,0)</f>
        <v>0</v>
      </c>
    </row>
    <row r="63" spans="1:32" x14ac:dyDescent="0.25">
      <c r="A63" t="s">
        <v>41</v>
      </c>
      <c r="B63">
        <v>0</v>
      </c>
      <c r="C63">
        <f>IF(AND(SUM(VLOOKUP($A63,test!$A$3:$F$32,2,FALSE),VLOOKUP(C$1,test!$A$3:$F$32,2,FALSE))&lt;test!$K$16,$A63&lt;&gt;C$1,feasible_mat!C63=1),(VLOOKUP(C$1,test!$A$3:$I$32,8,FALSE))-(VLOOKUP($A63,test!$A$3:$I$32,9,FALSE))+test!$B$33,0)</f>
        <v>0</v>
      </c>
      <c r="D63">
        <f>IF(AND(SUM(VLOOKUP($A63,test!$A$3:$F$32,2,FALSE),VLOOKUP(D$1,test!$A$3:$F$32,2,FALSE))&lt;test!$K$16,$A63&lt;&gt;D$1,Recharged_Feasible_mat!E32=1),(VLOOKUP(D$1,test!$A$3:$I$32,8,FALSE))-(VLOOKUP($A63,test!$A$3:$I$32,9,FALSE))+test!$B$33,0)</f>
        <v>0</v>
      </c>
      <c r="E63">
        <f>IF(AND(SUM(VLOOKUP($A63,test!$A$3:$F$32,2,FALSE),VLOOKUP(E$1,test!$A$3:$F$32,2,FALSE))&lt;test!$K$16,$A63&lt;&gt;E$1,Recharged_Feasible_mat!F32=1),(VLOOKUP(E$1,test!$A$3:$I$32,8,FALSE))-(VLOOKUP($A63,test!$A$3:$I$32,9,FALSE))+test!$B$33,0)</f>
        <v>0</v>
      </c>
      <c r="F63">
        <f>IF(AND(SUM(VLOOKUP($A63,test!$A$3:$F$32,2,FALSE),VLOOKUP(F$1,test!$A$3:$F$32,2,FALSE))&lt;test!$K$16,$A63&lt;&gt;F$1,Recharged_Feasible_mat!G32=1),(VLOOKUP(F$1,test!$A$3:$I$32,8,FALSE))-(VLOOKUP($A63,test!$A$3:$I$32,9,FALSE))+test!$B$33,0)</f>
        <v>0</v>
      </c>
      <c r="G63">
        <f>IF(AND(SUM(VLOOKUP($A63,test!$A$3:$F$32,2,FALSE),VLOOKUP(G$1,test!$A$3:$F$32,2,FALSE))&lt;test!$K$16,$A63&lt;&gt;G$1,Recharged_Feasible_mat!H32=1),(VLOOKUP(G$1,test!$A$3:$I$32,8,FALSE))-(VLOOKUP($A63,test!$A$3:$I$32,9,FALSE))+test!$B$33,0)</f>
        <v>0</v>
      </c>
      <c r="H63">
        <f>IF(AND(SUM(VLOOKUP($A63,test!$A$3:$F$32,2,FALSE),VLOOKUP(H$1,test!$A$3:$F$32,2,FALSE))&lt;test!$K$16,$A63&lt;&gt;H$1,Recharged_Feasible_mat!I32=1),(VLOOKUP(H$1,test!$A$3:$I$32,8,FALSE))-(VLOOKUP($A63,test!$A$3:$I$32,9,FALSE))+test!$B$33,0)</f>
        <v>0</v>
      </c>
      <c r="I63">
        <f>IF(AND(SUM(VLOOKUP($A63,test!$A$3:$F$32,2,FALSE),VLOOKUP(I$1,test!$A$3:$F$32,2,FALSE))&lt;test!$K$16,$A63&lt;&gt;I$1,Recharged_Feasible_mat!J32=1),(VLOOKUP(I$1,test!$A$3:$I$32,8,FALSE))-(VLOOKUP($A63,test!$A$3:$I$32,9,FALSE))+test!$B$33,0)</f>
        <v>0</v>
      </c>
      <c r="J63">
        <f>IF(AND(SUM(VLOOKUP($A63,test!$A$3:$F$32,2,FALSE),VLOOKUP(J$1,test!$A$3:$F$32,2,FALSE))&lt;test!$K$16,$A63&lt;&gt;J$1,Recharged_Feasible_mat!K32=1),(VLOOKUP(J$1,test!$A$3:$I$32,8,FALSE))-(VLOOKUP($A63,test!$A$3:$I$32,9,FALSE))+test!$B$33,0)</f>
        <v>0</v>
      </c>
      <c r="K63">
        <f>IF(AND(SUM(VLOOKUP($A63,test!$A$3:$F$32,2,FALSE),VLOOKUP(K$1,test!$A$3:$F$32,2,FALSE))&lt;test!$K$16,$A63&lt;&gt;K$1,Recharged_Feasible_mat!L32=1),(VLOOKUP(K$1,test!$A$3:$I$32,8,FALSE))-(VLOOKUP($A63,test!$A$3:$I$32,9,FALSE))+test!$B$33,0)</f>
        <v>0</v>
      </c>
      <c r="L63">
        <f>IF(AND(SUM(VLOOKUP($A63,test!$A$3:$F$32,2,FALSE),VLOOKUP(L$1,test!$A$3:$F$32,2,FALSE))&lt;test!$K$16,$A63&lt;&gt;L$1,Recharged_Feasible_mat!M32=1),(VLOOKUP(L$1,test!$A$3:$I$32,8,FALSE))-(VLOOKUP($A63,test!$A$3:$I$32,9,FALSE))+test!$B$33,0)</f>
        <v>0</v>
      </c>
      <c r="M63">
        <f>IF(AND(SUM(VLOOKUP($A63,test!$A$3:$F$32,2,FALSE),VLOOKUP(M$1,test!$A$3:$F$32,2,FALSE))&lt;test!$K$16,$A63&lt;&gt;M$1,Recharged_Feasible_mat!N32=1),(VLOOKUP(M$1,test!$A$3:$I$32,8,FALSE))-(VLOOKUP($A63,test!$A$3:$I$32,9,FALSE))+test!$B$33,0)</f>
        <v>0</v>
      </c>
      <c r="N63">
        <f>IF(AND(SUM(VLOOKUP($A63,test!$A$3:$F$32,2,FALSE),VLOOKUP(N$1,test!$A$3:$F$32,2,FALSE))&lt;test!$K$16,$A63&lt;&gt;N$1,Recharged_Feasible_mat!O32=1),(VLOOKUP(N$1,test!$A$3:$I$32,8,FALSE))-(VLOOKUP($A63,test!$A$3:$I$32,9,FALSE))+test!$B$33,0)</f>
        <v>0</v>
      </c>
      <c r="O63">
        <f>IF(AND(SUM(VLOOKUP($A63,test!$A$3:$F$32,2,FALSE),VLOOKUP(O$1,test!$A$3:$F$32,2,FALSE))&lt;test!$K$16,$A63&lt;&gt;O$1,Recharged_Feasible_mat!P32=1),(VLOOKUP(O$1,test!$A$3:$I$32,8,FALSE))-(VLOOKUP($A63,test!$A$3:$I$32,9,FALSE))+test!$B$33,0)</f>
        <v>0</v>
      </c>
      <c r="P63">
        <f>IF(AND(SUM(VLOOKUP($A63,test!$A$3:$F$32,2,FALSE),VLOOKUP(P$1,test!$A$3:$F$32,2,FALSE))&lt;test!$K$16,$A63&lt;&gt;P$1,Recharged_Feasible_mat!Q32=1),(VLOOKUP(P$1,test!$A$3:$I$32,8,FALSE))-(VLOOKUP($A63,test!$A$3:$I$32,9,FALSE))+test!$B$33,0)</f>
        <v>0</v>
      </c>
      <c r="Q63">
        <f>IF(AND(SUM(VLOOKUP($A63,test!$A$3:$F$32,2,FALSE),VLOOKUP(Q$1,test!$A$3:$F$32,2,FALSE))&lt;test!$K$16,$A63&lt;&gt;Q$1,Recharged_Feasible_mat!R32=1),(VLOOKUP(Q$1,test!$A$3:$I$32,8,FALSE))-(VLOOKUP($A63,test!$A$3:$I$32,9,FALSE))+test!$B$33,0)</f>
        <v>0</v>
      </c>
      <c r="R63">
        <f>IF(AND(SUM(VLOOKUP($A63,test!$A$3:$F$32,2,FALSE),VLOOKUP(R$1,test!$A$3:$F$32,2,FALSE))&lt;test!$K$16,$A63&lt;&gt;R$1,Recharged_Feasible_mat!S32=1),(VLOOKUP(R$1,test!$A$3:$I$32,8,FALSE))-(VLOOKUP($A63,test!$A$3:$I$32,9,FALSE))+test!$B$33,0)</f>
        <v>0</v>
      </c>
      <c r="S63">
        <f>IF(AND(SUM(VLOOKUP($A63,test!$A$3:$F$32,2,FALSE),VLOOKUP(S$1,test!$A$3:$F$32,2,FALSE))&lt;test!$K$16,$A63&lt;&gt;S$1,Recharged_Feasible_mat!T32=1),(VLOOKUP(S$1,test!$A$3:$I$32,8,FALSE))-(VLOOKUP($A63,test!$A$3:$I$32,9,FALSE))+test!$B$33,0)</f>
        <v>0</v>
      </c>
      <c r="T63">
        <f>IF(AND(SUM(VLOOKUP($A63,test!$A$3:$F$32,2,FALSE),VLOOKUP(T$1,test!$A$3:$F$32,2,FALSE))&lt;test!$K$16,$A63&lt;&gt;T$1,Recharged_Feasible_mat!U32=1),(VLOOKUP(T$1,test!$A$3:$I$32,8,FALSE))-(VLOOKUP($A63,test!$A$3:$I$32,9,FALSE))+test!$B$33,0)</f>
        <v>0</v>
      </c>
      <c r="U63">
        <f>IF(AND(SUM(VLOOKUP($A63,test!$A$3:$F$32,2,FALSE),VLOOKUP(U$1,test!$A$3:$F$32,2,FALSE))&lt;test!$K$16,$A63&lt;&gt;U$1,Recharged_Feasible_mat!V32=1),(VLOOKUP(U$1,test!$A$3:$I$32,8,FALSE))-(VLOOKUP($A63,test!$A$3:$I$32,9,FALSE))+test!$B$33,0)</f>
        <v>0</v>
      </c>
      <c r="V63">
        <f>IF(AND(SUM(VLOOKUP($A63,test!$A$3:$F$32,2,FALSE),VLOOKUP(V$1,test!$A$3:$F$32,2,FALSE))&lt;test!$K$16,$A63&lt;&gt;V$1,Recharged_Feasible_mat!W32=1),(VLOOKUP(V$1,test!$A$3:$I$32,8,FALSE))-(VLOOKUP($A63,test!$A$3:$I$32,9,FALSE))+test!$B$33,0)</f>
        <v>0</v>
      </c>
      <c r="W63">
        <f>IF(AND(SUM(VLOOKUP($A63,test!$A$3:$F$32,2,FALSE),VLOOKUP(W$1,test!$A$3:$F$32,2,FALSE))&lt;test!$K$16,$A63&lt;&gt;W$1,Recharged_Feasible_mat!X32=1),(VLOOKUP(W$1,test!$A$3:$I$32,8,FALSE))-(VLOOKUP($A63,test!$A$3:$I$32,9,FALSE))+test!$B$33,0)</f>
        <v>0</v>
      </c>
      <c r="X63">
        <f>IF(AND(SUM(VLOOKUP($A63,test!$A$3:$F$32,2,FALSE),VLOOKUP(X$1,test!$A$3:$F$32,2,FALSE))&lt;test!$K$16,$A63&lt;&gt;X$1,Recharged_Feasible_mat!Y32=1),(VLOOKUP(X$1,test!$A$3:$I$32,8,FALSE))-(VLOOKUP($A63,test!$A$3:$I$32,9,FALSE))+test!$B$33,0)</f>
        <v>0</v>
      </c>
      <c r="Y63">
        <f>IF(AND(SUM(VLOOKUP($A63,test!$A$3:$F$32,2,FALSE),VLOOKUP(Y$1,test!$A$3:$F$32,2,FALSE))&lt;test!$K$16,$A63&lt;&gt;Y$1,Recharged_Feasible_mat!Z32=1),(VLOOKUP(Y$1,test!$A$3:$I$32,8,FALSE))-(VLOOKUP($A63,test!$A$3:$I$32,9,FALSE))+test!$B$33,0)</f>
        <v>0</v>
      </c>
      <c r="Z63">
        <f>IF(AND(SUM(VLOOKUP($A63,test!$A$3:$F$32,2,FALSE),VLOOKUP(Z$1,test!$A$3:$F$32,2,FALSE))&lt;test!$K$16,$A63&lt;&gt;Z$1,Recharged_Feasible_mat!AA32=1),(VLOOKUP(Z$1,test!$A$3:$I$32,8,FALSE))-(VLOOKUP($A63,test!$A$3:$I$32,9,FALSE))+test!$B$33,0)</f>
        <v>0</v>
      </c>
      <c r="AA63">
        <f>IF(AND(SUM(VLOOKUP($A63,test!$A$3:$F$32,2,FALSE),VLOOKUP(AA$1,test!$A$3:$F$32,2,FALSE))&lt;test!$K$16,$A63&lt;&gt;AA$1,Recharged_Feasible_mat!AB32=1),(VLOOKUP(AA$1,test!$A$3:$I$32,8,FALSE))-(VLOOKUP($A63,test!$A$3:$I$32,9,FALSE))+test!$B$33,0)</f>
        <v>0</v>
      </c>
      <c r="AB63">
        <f>IF(AND(SUM(VLOOKUP($A63,test!$A$3:$F$32,2,FALSE),VLOOKUP(AB$1,test!$A$3:$F$32,2,FALSE))&lt;test!$K$16,$A63&lt;&gt;AB$1,Recharged_Feasible_mat!AC32=1),(VLOOKUP(AB$1,test!$A$3:$I$32,8,FALSE))-(VLOOKUP($A63,test!$A$3:$I$32,9,FALSE))+test!$B$33,0)</f>
        <v>0</v>
      </c>
      <c r="AC63">
        <f>IF(AND(SUM(VLOOKUP($A63,test!$A$3:$F$32,2,FALSE),VLOOKUP(AC$1,test!$A$3:$F$32,2,FALSE))&lt;test!$K$16,$A63&lt;&gt;AC$1,Recharged_Feasible_mat!AD32=1),(VLOOKUP(AC$1,test!$A$3:$I$32,8,FALSE))-(VLOOKUP($A63,test!$A$3:$I$32,9,FALSE))+test!$B$33,0)</f>
        <v>0</v>
      </c>
      <c r="AD63">
        <f>IF(AND(SUM(VLOOKUP($A63,test!$A$3:$F$32,2,FALSE),VLOOKUP(AD$1,test!$A$3:$F$32,2,FALSE))&lt;test!$K$16,$A63&lt;&gt;AD$1,Recharged_Feasible_mat!AE32=1),(VLOOKUP(AD$1,test!$A$3:$I$32,8,FALSE))-(VLOOKUP($A63,test!$A$3:$I$32,9,FALSE))+test!$B$33,0)</f>
        <v>0</v>
      </c>
      <c r="AE63">
        <f>IF(AND(SUM(VLOOKUP($A63,test!$A$3:$F$32,2,FALSE),VLOOKUP(AE$1,test!$A$3:$F$32,2,FALSE))&lt;test!$K$16,$A63&lt;&gt;AE$1,Recharged_Feasible_mat!AF32=1),(VLOOKUP(AE$1,test!$A$3:$I$32,8,FALSE))-(VLOOKUP($A63,test!$A$3:$I$32,9,FALSE))+test!$B$33,0)</f>
        <v>0</v>
      </c>
      <c r="AF63">
        <f>IF(AND(SUM(VLOOKUP($A63,test!$A$3:$F$32,2,FALSE),VLOOKUP(AF$1,test!$A$3:$F$32,2,FALSE))&lt;test!$K$16,$A63&lt;&gt;AF$1,Recharged_Feasible_mat!AG32=1),(VLOOKUP(AF$1,test!$A$3:$I$32,8,FALSE))-(VLOOKUP($A63,test!$A$3:$I$32,9,FALSE))+test!$B$33,0)</f>
        <v>0</v>
      </c>
    </row>
    <row r="64" spans="1:32" x14ac:dyDescent="0.25">
      <c r="A64" t="s">
        <v>46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6</v>
      </c>
      <c r="B65">
        <v>0</v>
      </c>
      <c r="C65">
        <f>IF(AND(SUM(VLOOKUP($A65,test!$A$3:$F$32,2,FALSE),VLOOKUP(C$1,test!$A$3:$F$32,2,FALSE))&lt;test!$K$16,$A65&lt;&gt;C$1,Recharged_Feasible_mat!D34=1),(VLOOKUP(C$1,test!$A$3:$I$32,8,FALSE))-(VLOOKUP($A65,test!$A$3:$I$32,9,FALSE))+test!$B$34,0)</f>
        <v>0</v>
      </c>
      <c r="D65">
        <f>IF(AND(SUM(VLOOKUP($A65,test!$A$3:$F$32,2,FALSE),VLOOKUP(D$1,test!$A$3:$F$32,2,FALSE))&lt;test!$K$16,$A65&lt;&gt;D$1,Recharged_Feasible_mat!E34=1),(VLOOKUP(D$1,test!$A$3:$I$32,8,FALSE))-(VLOOKUP($A65,test!$A$3:$I$32,9,FALSE))+test!$B$34,0)</f>
        <v>0</v>
      </c>
      <c r="E65">
        <f>IF(AND(SUM(VLOOKUP($A65,test!$A$3:$F$32,2,FALSE),VLOOKUP(E$1,test!$A$3:$F$32,2,FALSE))&lt;test!$K$16,$A65&lt;&gt;E$1,Recharged_Feasible_mat!F34=1),(VLOOKUP(E$1,test!$A$3:$I$32,8,FALSE))-(VLOOKUP($A65,test!$A$3:$I$32,9,FALSE))+test!$B$34,0)</f>
        <v>0</v>
      </c>
      <c r="F65">
        <f>IF(AND(SUM(VLOOKUP($A65,test!$A$3:$F$32,2,FALSE),VLOOKUP(F$1,test!$A$3:$F$32,2,FALSE))&lt;test!$K$16,$A65&lt;&gt;F$1,Recharged_Feasible_mat!G34=1),(VLOOKUP(F$1,test!$A$3:$I$32,8,FALSE))-(VLOOKUP($A65,test!$A$3:$I$32,9,FALSE))+test!$B$34,0)</f>
        <v>275</v>
      </c>
      <c r="G65">
        <f>IF(AND(SUM(VLOOKUP($A65,test!$A$3:$F$32,2,FALSE),VLOOKUP(G$1,test!$A$3:$F$32,2,FALSE))&lt;test!$K$16,$A65&lt;&gt;G$1,Recharged_Feasible_mat!H34=1),(VLOOKUP(G$1,test!$A$3:$I$32,8,FALSE))-(VLOOKUP($A65,test!$A$3:$I$32,9,FALSE))+test!$B$34,0)</f>
        <v>335</v>
      </c>
      <c r="H65">
        <f>IF(AND(SUM(VLOOKUP($A65,test!$A$3:$F$32,2,FALSE),VLOOKUP(H$1,test!$A$3:$F$32,2,FALSE))&lt;test!$K$16,$A65&lt;&gt;H$1,Recharged_Feasible_mat!I34=1),(VLOOKUP(H$1,test!$A$3:$I$32,8,FALSE))-(VLOOKUP($A65,test!$A$3:$I$32,9,FALSE))+test!$B$34,0)</f>
        <v>395</v>
      </c>
      <c r="I65">
        <f>IF(AND(SUM(VLOOKUP($A65,test!$A$3:$F$32,2,FALSE),VLOOKUP(I$1,test!$A$3:$F$32,2,FALSE))&lt;test!$K$16,$A65&lt;&gt;I$1,Recharged_Feasible_mat!J34=1),(VLOOKUP(I$1,test!$A$3:$I$32,8,FALSE))-(VLOOKUP($A65,test!$A$3:$I$32,9,FALSE))+test!$B$34,0)</f>
        <v>455</v>
      </c>
      <c r="J65">
        <f>IF(AND(SUM(VLOOKUP($A65,test!$A$3:$F$32,2,FALSE),VLOOKUP(J$1,test!$A$3:$F$32,2,FALSE))&lt;test!$K$16,$A65&lt;&gt;J$1,Recharged_Feasible_mat!K34=1),(VLOOKUP(J$1,test!$A$3:$I$32,8,FALSE))-(VLOOKUP($A65,test!$A$3:$I$32,9,FALSE))+test!$B$34,0)</f>
        <v>545</v>
      </c>
      <c r="K65">
        <f>IF(AND(SUM(VLOOKUP($A65,test!$A$3:$F$32,2,FALSE),VLOOKUP(K$1,test!$A$3:$F$32,2,FALSE))&lt;test!$K$16,$A65&lt;&gt;K$1,Recharged_Feasible_mat!L34=1),(VLOOKUP(K$1,test!$A$3:$I$32,8,FALSE))-(VLOOKUP($A65,test!$A$3:$I$32,9,FALSE))+test!$B$34,0)</f>
        <v>0</v>
      </c>
      <c r="L65">
        <f>IF(AND(SUM(VLOOKUP($A65,test!$A$3:$F$32,2,FALSE),VLOOKUP(L$1,test!$A$3:$F$32,2,FALSE))&lt;test!$K$16,$A65&lt;&gt;L$1,Recharged_Feasible_mat!M34=1),(VLOOKUP(L$1,test!$A$3:$I$32,8,FALSE))-(VLOOKUP($A65,test!$A$3:$I$32,9,FALSE))+test!$B$34,0)</f>
        <v>0</v>
      </c>
      <c r="M65">
        <f>IF(AND(SUM(VLOOKUP($A65,test!$A$3:$F$32,2,FALSE),VLOOKUP(M$1,test!$A$3:$F$32,2,FALSE))&lt;test!$K$16,$A65&lt;&gt;M$1,Recharged_Feasible_mat!N34=1),(VLOOKUP(M$1,test!$A$3:$I$32,8,FALSE))-(VLOOKUP($A65,test!$A$3:$I$32,9,FALSE))+test!$B$34,0)</f>
        <v>0</v>
      </c>
      <c r="N65">
        <f>IF(AND(SUM(VLOOKUP($A65,test!$A$3:$F$32,2,FALSE),VLOOKUP(N$1,test!$A$3:$F$32,2,FALSE))&lt;test!$K$16,$A65&lt;&gt;N$1,Recharged_Feasible_mat!O34=1),(VLOOKUP(N$1,test!$A$3:$I$32,8,FALSE))-(VLOOKUP($A65,test!$A$3:$I$32,9,FALSE))+test!$B$34,0)</f>
        <v>510</v>
      </c>
      <c r="O65">
        <f>IF(AND(SUM(VLOOKUP($A65,test!$A$3:$F$32,2,FALSE),VLOOKUP(O$1,test!$A$3:$F$32,2,FALSE))&lt;test!$K$16,$A65&lt;&gt;O$1,Recharged_Feasible_mat!P34=1),(VLOOKUP(O$1,test!$A$3:$I$32,8,FALSE))-(VLOOKUP($A65,test!$A$3:$I$32,9,FALSE))+test!$B$34,0)</f>
        <v>570</v>
      </c>
      <c r="P65">
        <f>IF(AND(SUM(VLOOKUP($A65,test!$A$3:$F$32,2,FALSE),VLOOKUP(P$1,test!$A$3:$F$32,2,FALSE))&lt;test!$K$16,$A65&lt;&gt;P$1,Recharged_Feasible_mat!Q34=1),(VLOOKUP(P$1,test!$A$3:$I$32,8,FALSE))-(VLOOKUP($A65,test!$A$3:$I$32,9,FALSE))+test!$B$34,0)</f>
        <v>0</v>
      </c>
      <c r="Q65">
        <f>IF(AND(SUM(VLOOKUP($A65,test!$A$3:$F$32,2,FALSE),VLOOKUP(Q$1,test!$A$3:$F$32,2,FALSE))&lt;test!$K$16,$A65&lt;&gt;Q$1,Recharged_Feasible_mat!R34=1),(VLOOKUP(Q$1,test!$A$3:$I$32,8,FALSE))-(VLOOKUP($A65,test!$A$3:$I$32,9,FALSE))+test!$B$34,0)</f>
        <v>0</v>
      </c>
      <c r="R65">
        <f>IF(AND(SUM(VLOOKUP($A65,test!$A$3:$F$32,2,FALSE),VLOOKUP(R$1,test!$A$3:$F$32,2,FALSE))&lt;test!$K$16,$A65&lt;&gt;R$1,Recharged_Feasible_mat!S34=1),(VLOOKUP(R$1,test!$A$3:$I$32,8,FALSE))-(VLOOKUP($A65,test!$A$3:$I$32,9,FALSE))+test!$B$34,0)</f>
        <v>0</v>
      </c>
      <c r="S65">
        <f>IF(AND(SUM(VLOOKUP($A65,test!$A$3:$F$32,2,FALSE),VLOOKUP(S$1,test!$A$3:$F$32,2,FALSE))&lt;test!$K$16,$A65&lt;&gt;S$1,Recharged_Feasible_mat!T34=1),(VLOOKUP(S$1,test!$A$3:$I$32,8,FALSE))-(VLOOKUP($A65,test!$A$3:$I$32,9,FALSE))+test!$B$34,0)</f>
        <v>0</v>
      </c>
      <c r="T65">
        <f>IF(AND(SUM(VLOOKUP($A65,test!$A$3:$F$32,2,FALSE),VLOOKUP(T$1,test!$A$3:$F$32,2,FALSE))&lt;test!$K$16,$A65&lt;&gt;T$1,Recharged_Feasible_mat!U34=1),(VLOOKUP(T$1,test!$A$3:$I$32,8,FALSE))-(VLOOKUP($A65,test!$A$3:$I$32,9,FALSE))+test!$B$34,0)</f>
        <v>0</v>
      </c>
      <c r="U65">
        <f>IF(AND(SUM(VLOOKUP($A65,test!$A$3:$F$32,2,FALSE),VLOOKUP(U$1,test!$A$3:$F$32,2,FALSE))&lt;test!$K$16,$A65&lt;&gt;U$1,Recharged_Feasible_mat!V34=1),(VLOOKUP(U$1,test!$A$3:$I$32,8,FALSE))-(VLOOKUP($A65,test!$A$3:$I$32,9,FALSE))+test!$B$34,0)</f>
        <v>255</v>
      </c>
      <c r="V65">
        <f>IF(AND(SUM(VLOOKUP($A65,test!$A$3:$F$32,2,FALSE),VLOOKUP(V$1,test!$A$3:$F$32,2,FALSE))&lt;test!$K$16,$A65&lt;&gt;V$1,Recharged_Feasible_mat!W34=1),(VLOOKUP(V$1,test!$A$3:$I$32,8,FALSE))-(VLOOKUP($A65,test!$A$3:$I$32,9,FALSE))+test!$B$34,0)</f>
        <v>345</v>
      </c>
      <c r="W65">
        <f>IF(AND(SUM(VLOOKUP($A65,test!$A$3:$F$32,2,FALSE),VLOOKUP(W$1,test!$A$3:$F$32,2,FALSE))&lt;test!$K$16,$A65&lt;&gt;W$1,Recharged_Feasible_mat!X34=1),(VLOOKUP(W$1,test!$A$3:$I$32,8,FALSE))-(VLOOKUP($A65,test!$A$3:$I$32,9,FALSE))+test!$B$34,0)</f>
        <v>435</v>
      </c>
      <c r="X65">
        <f>IF(AND(SUM(VLOOKUP($A65,test!$A$3:$F$32,2,FALSE),VLOOKUP(X$1,test!$A$3:$F$32,2,FALSE))&lt;test!$K$16,$A65&lt;&gt;X$1,Recharged_Feasible_mat!Y34=1),(VLOOKUP(X$1,test!$A$3:$I$32,8,FALSE))-(VLOOKUP($A65,test!$A$3:$I$32,9,FALSE))+test!$B$34,0)</f>
        <v>495</v>
      </c>
      <c r="Y65">
        <f>IF(AND(SUM(VLOOKUP($A65,test!$A$3:$F$32,2,FALSE),VLOOKUP(Y$1,test!$A$3:$F$32,2,FALSE))&lt;test!$K$16,$A65&lt;&gt;Y$1,Recharged_Feasible_mat!Z34=1),(VLOOKUP(Y$1,test!$A$3:$I$32,8,FALSE))-(VLOOKUP($A65,test!$A$3:$I$32,9,FALSE))+test!$B$34,0)</f>
        <v>0</v>
      </c>
      <c r="Z65">
        <f>IF(AND(SUM(VLOOKUP($A65,test!$A$3:$F$32,2,FALSE),VLOOKUP(Z$1,test!$A$3:$F$32,2,FALSE))&lt;test!$K$16,$A65&lt;&gt;Z$1,Recharged_Feasible_mat!AA34=1),(VLOOKUP(Z$1,test!$A$3:$I$32,8,FALSE))-(VLOOKUP($A65,test!$A$3:$I$32,9,FALSE))+test!$B$34,0)</f>
        <v>0</v>
      </c>
      <c r="AA65">
        <f>IF(AND(SUM(VLOOKUP($A65,test!$A$3:$F$32,2,FALSE),VLOOKUP(AA$1,test!$A$3:$F$32,2,FALSE))&lt;test!$K$16,$A65&lt;&gt;AA$1,Recharged_Feasible_mat!AB34=1),(VLOOKUP(AA$1,test!$A$3:$I$32,8,FALSE))-(VLOOKUP($A65,test!$A$3:$I$32,9,FALSE))+test!$B$34,0)</f>
        <v>0</v>
      </c>
      <c r="AB65">
        <f>IF(AND(SUM(VLOOKUP($A65,test!$A$3:$F$32,2,FALSE),VLOOKUP(AB$1,test!$A$3:$F$32,2,FALSE))&lt;test!$K$16,$A65&lt;&gt;AB$1,Recharged_Feasible_mat!AC34=1),(VLOOKUP(AB$1,test!$A$3:$I$32,8,FALSE))-(VLOOKUP($A65,test!$A$3:$I$32,9,FALSE))+test!$B$34,0)</f>
        <v>275</v>
      </c>
      <c r="AC65">
        <f>IF(AND(SUM(VLOOKUP($A65,test!$A$3:$F$32,2,FALSE),VLOOKUP(AC$1,test!$A$3:$F$32,2,FALSE))&lt;test!$K$16,$A65&lt;&gt;AC$1,Recharged_Feasible_mat!AD34=1),(VLOOKUP(AC$1,test!$A$3:$I$32,8,FALSE))-(VLOOKUP($A65,test!$A$3:$I$32,9,FALSE))+test!$B$34,0)</f>
        <v>395</v>
      </c>
      <c r="AD65">
        <f>IF(AND(SUM(VLOOKUP($A65,test!$A$3:$F$32,2,FALSE),VLOOKUP(AD$1,test!$A$3:$F$32,2,FALSE))&lt;test!$K$16,$A65&lt;&gt;AD$1,Recharged_Feasible_mat!AE34=1),(VLOOKUP(AD$1,test!$A$3:$I$32,8,FALSE))-(VLOOKUP($A65,test!$A$3:$I$32,9,FALSE))+test!$B$34,0)</f>
        <v>0</v>
      </c>
      <c r="AE65">
        <f>IF(AND(SUM(VLOOKUP($A65,test!$A$3:$F$32,2,FALSE),VLOOKUP(AE$1,test!$A$3:$F$32,2,FALSE))&lt;test!$K$16,$A65&lt;&gt;AE$1,Recharged_Feasible_mat!AF34=1),(VLOOKUP(AE$1,test!$A$3:$I$32,8,FALSE))-(VLOOKUP($A65,test!$A$3:$I$32,9,FALSE))+test!$B$34,0)</f>
        <v>0</v>
      </c>
      <c r="AF65">
        <f>IF(AND(SUM(VLOOKUP($A65,test!$A$3:$F$32,2,FALSE),VLOOKUP(AF$1,test!$A$3:$F$32,2,FALSE))&lt;test!$K$16,$A65&lt;&gt;AF$1,Recharged_Feasible_mat!AG34=1),(VLOOKUP(AF$1,test!$A$3:$I$32,8,FALSE))-(VLOOKUP($A65,test!$A$3:$I$32,9,FALSE))+test!$B$34,0)</f>
        <v>0</v>
      </c>
    </row>
    <row r="66" spans="1:32" x14ac:dyDescent="0.25">
      <c r="A66" t="s">
        <v>9</v>
      </c>
      <c r="B66">
        <v>0</v>
      </c>
      <c r="C66">
        <f>IF(AND(SUM(VLOOKUP($A66,test!$A$3:$F$32,2,FALSE),VLOOKUP(C$1,test!$A$3:$F$32,2,FALSE))&lt;test!$K$16,$A66&lt;&gt;C$1,Recharged_Feasible_mat!D35=1),(VLOOKUP(C$1,test!$A$3:$I$32,8,FALSE))-(VLOOKUP($A66,test!$A$3:$I$32,9,FALSE))+test!$B$34,0)</f>
        <v>0</v>
      </c>
      <c r="D66">
        <f>IF(AND(SUM(VLOOKUP($A66,test!$A$3:$F$32,2,FALSE),VLOOKUP(D$1,test!$A$3:$F$32,2,FALSE))&lt;test!$K$16,$A66&lt;&gt;D$1,Recharged_Feasible_mat!E35=1),(VLOOKUP(D$1,test!$A$3:$I$32,8,FALSE))-(VLOOKUP($A66,test!$A$3:$I$32,9,FALSE))+test!$B$34,0)</f>
        <v>0</v>
      </c>
      <c r="E66">
        <f>IF(AND(SUM(VLOOKUP($A66,test!$A$3:$F$32,2,FALSE),VLOOKUP(E$1,test!$A$3:$F$32,2,FALSE))&lt;test!$K$16,$A66&lt;&gt;E$1,Recharged_Feasible_mat!F35=1),(VLOOKUP(E$1,test!$A$3:$I$32,8,FALSE))-(VLOOKUP($A66,test!$A$3:$I$32,9,FALSE))+test!$B$34,0)</f>
        <v>0</v>
      </c>
      <c r="F66">
        <f>IF(AND(SUM(VLOOKUP($A66,test!$A$3:$F$32,2,FALSE),VLOOKUP(F$1,test!$A$3:$F$32,2,FALSE))&lt;test!$K$16,$A66&lt;&gt;F$1,Recharged_Feasible_mat!G35=1),(VLOOKUP(F$1,test!$A$3:$I$32,8,FALSE))-(VLOOKUP($A66,test!$A$3:$I$32,9,FALSE))+test!$B$34,0)</f>
        <v>0</v>
      </c>
      <c r="G66">
        <f>IF(AND(SUM(VLOOKUP($A66,test!$A$3:$F$32,2,FALSE),VLOOKUP(G$1,test!$A$3:$F$32,2,FALSE))&lt;test!$K$16,$A66&lt;&gt;G$1,Recharged_Feasible_mat!H35=1),(VLOOKUP(G$1,test!$A$3:$I$32,8,FALSE))-(VLOOKUP($A66,test!$A$3:$I$32,9,FALSE))+test!$B$34,0)</f>
        <v>0</v>
      </c>
      <c r="H66">
        <f>IF(AND(SUM(VLOOKUP($A66,test!$A$3:$F$32,2,FALSE),VLOOKUP(H$1,test!$A$3:$F$32,2,FALSE))&lt;test!$K$16,$A66&lt;&gt;H$1,Recharged_Feasible_mat!I35=1),(VLOOKUP(H$1,test!$A$3:$I$32,8,FALSE))-(VLOOKUP($A66,test!$A$3:$I$32,9,FALSE))+test!$B$34,0)</f>
        <v>0</v>
      </c>
      <c r="I66">
        <f>IF(AND(SUM(VLOOKUP($A66,test!$A$3:$F$32,2,FALSE),VLOOKUP(I$1,test!$A$3:$F$32,2,FALSE))&lt;test!$K$16,$A66&lt;&gt;I$1,Recharged_Feasible_mat!J35=1),(VLOOKUP(I$1,test!$A$3:$I$32,8,FALSE))-(VLOOKUP($A66,test!$A$3:$I$32,9,FALSE))+test!$B$34,0)</f>
        <v>275</v>
      </c>
      <c r="J66">
        <f>IF(AND(SUM(VLOOKUP($A66,test!$A$3:$F$32,2,FALSE),VLOOKUP(J$1,test!$A$3:$F$32,2,FALSE))&lt;test!$K$16,$A66&lt;&gt;J$1,Recharged_Feasible_mat!K35=1),(VLOOKUP(J$1,test!$A$3:$I$32,8,FALSE))-(VLOOKUP($A66,test!$A$3:$I$32,9,FALSE))+test!$B$34,0)</f>
        <v>365</v>
      </c>
      <c r="K66">
        <f>IF(AND(SUM(VLOOKUP($A66,test!$A$3:$F$32,2,FALSE),VLOOKUP(K$1,test!$A$3:$F$32,2,FALSE))&lt;test!$K$16,$A66&lt;&gt;K$1,Recharged_Feasible_mat!L35=1),(VLOOKUP(K$1,test!$A$3:$I$32,8,FALSE))-(VLOOKUP($A66,test!$A$3:$I$32,9,FALSE))+test!$B$34,0)</f>
        <v>0</v>
      </c>
      <c r="L66">
        <f>IF(AND(SUM(VLOOKUP($A66,test!$A$3:$F$32,2,FALSE),VLOOKUP(L$1,test!$A$3:$F$32,2,FALSE))&lt;test!$K$16,$A66&lt;&gt;L$1,Recharged_Feasible_mat!M35=1),(VLOOKUP(L$1,test!$A$3:$I$32,8,FALSE))-(VLOOKUP($A66,test!$A$3:$I$32,9,FALSE))+test!$B$34,0)</f>
        <v>0</v>
      </c>
      <c r="M66">
        <f>IF(AND(SUM(VLOOKUP($A66,test!$A$3:$F$32,2,FALSE),VLOOKUP(M$1,test!$A$3:$F$32,2,FALSE))&lt;test!$K$16,$A66&lt;&gt;M$1,Recharged_Feasible_mat!N35=1),(VLOOKUP(M$1,test!$A$3:$I$32,8,FALSE))-(VLOOKUP($A66,test!$A$3:$I$32,9,FALSE))+test!$B$34,0)</f>
        <v>0</v>
      </c>
      <c r="N66">
        <f>IF(AND(SUM(VLOOKUP($A66,test!$A$3:$F$32,2,FALSE),VLOOKUP(N$1,test!$A$3:$F$32,2,FALSE))&lt;test!$K$16,$A66&lt;&gt;N$1,Recharged_Feasible_mat!O35=1),(VLOOKUP(N$1,test!$A$3:$I$32,8,FALSE))-(VLOOKUP($A66,test!$A$3:$I$32,9,FALSE))+test!$B$34,0)</f>
        <v>330</v>
      </c>
      <c r="O66">
        <f>IF(AND(SUM(VLOOKUP($A66,test!$A$3:$F$32,2,FALSE),VLOOKUP(O$1,test!$A$3:$F$32,2,FALSE))&lt;test!$K$16,$A66&lt;&gt;O$1,Recharged_Feasible_mat!P35=1),(VLOOKUP(O$1,test!$A$3:$I$32,8,FALSE))-(VLOOKUP($A66,test!$A$3:$I$32,9,FALSE))+test!$B$34,0)</f>
        <v>390</v>
      </c>
      <c r="P66">
        <f>IF(AND(SUM(VLOOKUP($A66,test!$A$3:$F$32,2,FALSE),VLOOKUP(P$1,test!$A$3:$F$32,2,FALSE))&lt;test!$K$16,$A66&lt;&gt;P$1,Recharged_Feasible_mat!Q35=1),(VLOOKUP(P$1,test!$A$3:$I$32,8,FALSE))-(VLOOKUP($A66,test!$A$3:$I$32,9,FALSE))+test!$B$34,0)</f>
        <v>0</v>
      </c>
      <c r="Q66">
        <f>IF(AND(SUM(VLOOKUP($A66,test!$A$3:$F$32,2,FALSE),VLOOKUP(Q$1,test!$A$3:$F$32,2,FALSE))&lt;test!$K$16,$A66&lt;&gt;Q$1,Recharged_Feasible_mat!R35=1),(VLOOKUP(Q$1,test!$A$3:$I$32,8,FALSE))-(VLOOKUP($A66,test!$A$3:$I$32,9,FALSE))+test!$B$34,0)</f>
        <v>0</v>
      </c>
      <c r="R66">
        <f>IF(AND(SUM(VLOOKUP($A66,test!$A$3:$F$32,2,FALSE),VLOOKUP(R$1,test!$A$3:$F$32,2,FALSE))&lt;test!$K$16,$A66&lt;&gt;R$1,Recharged_Feasible_mat!S35=1),(VLOOKUP(R$1,test!$A$3:$I$32,8,FALSE))-(VLOOKUP($A66,test!$A$3:$I$32,9,FALSE))+test!$B$34,0)</f>
        <v>0</v>
      </c>
      <c r="S66">
        <f>IF(AND(SUM(VLOOKUP($A66,test!$A$3:$F$32,2,FALSE),VLOOKUP(S$1,test!$A$3:$F$32,2,FALSE))&lt;test!$K$16,$A66&lt;&gt;S$1,Recharged_Feasible_mat!T35=1),(VLOOKUP(S$1,test!$A$3:$I$32,8,FALSE))-(VLOOKUP($A66,test!$A$3:$I$32,9,FALSE))+test!$B$34,0)</f>
        <v>0</v>
      </c>
      <c r="T66">
        <f>IF(AND(SUM(VLOOKUP($A66,test!$A$3:$F$32,2,FALSE),VLOOKUP(T$1,test!$A$3:$F$32,2,FALSE))&lt;test!$K$16,$A66&lt;&gt;T$1,Recharged_Feasible_mat!U35=1),(VLOOKUP(T$1,test!$A$3:$I$32,8,FALSE))-(VLOOKUP($A66,test!$A$3:$I$32,9,FALSE))+test!$B$34,0)</f>
        <v>0</v>
      </c>
      <c r="U66">
        <f>IF(AND(SUM(VLOOKUP($A66,test!$A$3:$F$32,2,FALSE),VLOOKUP(U$1,test!$A$3:$F$32,2,FALSE))&lt;test!$K$16,$A66&lt;&gt;U$1,Recharged_Feasible_mat!V35=1),(VLOOKUP(U$1,test!$A$3:$I$32,8,FALSE))-(VLOOKUP($A66,test!$A$3:$I$32,9,FALSE))+test!$B$34,0)</f>
        <v>0</v>
      </c>
      <c r="V66">
        <f>IF(AND(SUM(VLOOKUP($A66,test!$A$3:$F$32,2,FALSE),VLOOKUP(V$1,test!$A$3:$F$32,2,FALSE))&lt;test!$K$16,$A66&lt;&gt;V$1,Recharged_Feasible_mat!W35=1),(VLOOKUP(V$1,test!$A$3:$I$32,8,FALSE))-(VLOOKUP($A66,test!$A$3:$I$32,9,FALSE))+test!$B$34,0)</f>
        <v>0</v>
      </c>
      <c r="W66">
        <f>IF(AND(SUM(VLOOKUP($A66,test!$A$3:$F$32,2,FALSE),VLOOKUP(W$1,test!$A$3:$F$32,2,FALSE))&lt;test!$K$16,$A66&lt;&gt;W$1,Recharged_Feasible_mat!X35=1),(VLOOKUP(W$1,test!$A$3:$I$32,8,FALSE))-(VLOOKUP($A66,test!$A$3:$I$32,9,FALSE))+test!$B$34,0)</f>
        <v>255</v>
      </c>
      <c r="X66">
        <f>IF(AND(SUM(VLOOKUP($A66,test!$A$3:$F$32,2,FALSE),VLOOKUP(X$1,test!$A$3:$F$32,2,FALSE))&lt;test!$K$16,$A66&lt;&gt;X$1,Recharged_Feasible_mat!Y35=1),(VLOOKUP(X$1,test!$A$3:$I$32,8,FALSE))-(VLOOKUP($A66,test!$A$3:$I$32,9,FALSE))+test!$B$34,0)</f>
        <v>315</v>
      </c>
      <c r="Y66">
        <f>IF(AND(SUM(VLOOKUP($A66,test!$A$3:$F$32,2,FALSE),VLOOKUP(Y$1,test!$A$3:$F$32,2,FALSE))&lt;test!$K$16,$A66&lt;&gt;Y$1,Recharged_Feasible_mat!Z35=1),(VLOOKUP(Y$1,test!$A$3:$I$32,8,FALSE))-(VLOOKUP($A66,test!$A$3:$I$32,9,FALSE))+test!$B$34,0)</f>
        <v>0</v>
      </c>
      <c r="Z66">
        <f>IF(AND(SUM(VLOOKUP($A66,test!$A$3:$F$32,2,FALSE),VLOOKUP(Z$1,test!$A$3:$F$32,2,FALSE))&lt;test!$K$16,$A66&lt;&gt;Z$1,Recharged_Feasible_mat!AA35=1),(VLOOKUP(Z$1,test!$A$3:$I$32,8,FALSE))-(VLOOKUP($A66,test!$A$3:$I$32,9,FALSE))+test!$B$34,0)</f>
        <v>0</v>
      </c>
      <c r="AA66">
        <f>IF(AND(SUM(VLOOKUP($A66,test!$A$3:$F$32,2,FALSE),VLOOKUP(AA$1,test!$A$3:$F$32,2,FALSE))&lt;test!$K$16,$A66&lt;&gt;AA$1,Recharged_Feasible_mat!AB35=1),(VLOOKUP(AA$1,test!$A$3:$I$32,8,FALSE))-(VLOOKUP($A66,test!$A$3:$I$32,9,FALSE))+test!$B$34,0)</f>
        <v>0</v>
      </c>
      <c r="AB66">
        <f>IF(AND(SUM(VLOOKUP($A66,test!$A$3:$F$32,2,FALSE),VLOOKUP(AB$1,test!$A$3:$F$32,2,FALSE))&lt;test!$K$16,$A66&lt;&gt;AB$1,Recharged_Feasible_mat!AC35=1),(VLOOKUP(AB$1,test!$A$3:$I$32,8,FALSE))-(VLOOKUP($A66,test!$A$3:$I$32,9,FALSE))+test!$B$34,0)</f>
        <v>0</v>
      </c>
      <c r="AC66">
        <f>IF(AND(SUM(VLOOKUP($A66,test!$A$3:$F$32,2,FALSE),VLOOKUP(AC$1,test!$A$3:$F$32,2,FALSE))&lt;test!$K$16,$A66&lt;&gt;AC$1,Recharged_Feasible_mat!AD35=1),(VLOOKUP(AC$1,test!$A$3:$I$32,8,FALSE))-(VLOOKUP($A66,test!$A$3:$I$32,9,FALSE))+test!$B$34,0)</f>
        <v>0</v>
      </c>
      <c r="AD66">
        <f>IF(AND(SUM(VLOOKUP($A66,test!$A$3:$F$32,2,FALSE),VLOOKUP(AD$1,test!$A$3:$F$32,2,FALSE))&lt;test!$K$16,$A66&lt;&gt;AD$1,Recharged_Feasible_mat!AE35=1),(VLOOKUP(AD$1,test!$A$3:$I$32,8,FALSE))-(VLOOKUP($A66,test!$A$3:$I$32,9,FALSE))+test!$B$34,0)</f>
        <v>0</v>
      </c>
      <c r="AE66">
        <f>IF(AND(SUM(VLOOKUP($A66,test!$A$3:$F$32,2,FALSE),VLOOKUP(AE$1,test!$A$3:$F$32,2,FALSE))&lt;test!$K$16,$A66&lt;&gt;AE$1,Recharged_Feasible_mat!AF35=1),(VLOOKUP(AE$1,test!$A$3:$I$32,8,FALSE))-(VLOOKUP($A66,test!$A$3:$I$32,9,FALSE))+test!$B$34,0)</f>
        <v>0</v>
      </c>
      <c r="AF66">
        <f>IF(AND(SUM(VLOOKUP($A66,test!$A$3:$F$32,2,FALSE),VLOOKUP(AF$1,test!$A$3:$F$32,2,FALSE))&lt;test!$K$16,$A66&lt;&gt;AF$1,Recharged_Feasible_mat!AG35=1),(VLOOKUP(AF$1,test!$A$3:$I$32,8,FALSE))-(VLOOKUP($A66,test!$A$3:$I$32,9,FALSE))+test!$B$34,0)</f>
        <v>0</v>
      </c>
    </row>
    <row r="67" spans="1:32" x14ac:dyDescent="0.25">
      <c r="A67" t="s">
        <v>10</v>
      </c>
      <c r="B67">
        <v>0</v>
      </c>
      <c r="C67">
        <f>IF(AND(SUM(VLOOKUP($A67,test!$A$3:$F$32,2,FALSE),VLOOKUP(C$1,test!$A$3:$F$32,2,FALSE))&lt;test!$K$16,$A67&lt;&gt;C$1,Recharged_Feasible_mat!D36=1),(VLOOKUP(C$1,test!$A$3:$I$32,8,FALSE))-(VLOOKUP($A67,test!$A$3:$I$32,9,FALSE))+test!$B$34,0)</f>
        <v>0</v>
      </c>
      <c r="D67">
        <f>IF(AND(SUM(VLOOKUP($A67,test!$A$3:$F$32,2,FALSE),VLOOKUP(D$1,test!$A$3:$F$32,2,FALSE))&lt;test!$K$16,$A67&lt;&gt;D$1,Recharged_Feasible_mat!E36=1),(VLOOKUP(D$1,test!$A$3:$I$32,8,FALSE))-(VLOOKUP($A67,test!$A$3:$I$32,9,FALSE))+test!$B$34,0)</f>
        <v>0</v>
      </c>
      <c r="E67">
        <f>IF(AND(SUM(VLOOKUP($A67,test!$A$3:$F$32,2,FALSE),VLOOKUP(E$1,test!$A$3:$F$32,2,FALSE))&lt;test!$K$16,$A67&lt;&gt;E$1,Recharged_Feasible_mat!F36=1),(VLOOKUP(E$1,test!$A$3:$I$32,8,FALSE))-(VLOOKUP($A67,test!$A$3:$I$32,9,FALSE))+test!$B$34,0)</f>
        <v>0</v>
      </c>
      <c r="F67">
        <f>IF(AND(SUM(VLOOKUP($A67,test!$A$3:$F$32,2,FALSE),VLOOKUP(F$1,test!$A$3:$F$32,2,FALSE))&lt;test!$K$16,$A67&lt;&gt;F$1,Recharged_Feasible_mat!G36=1),(VLOOKUP(F$1,test!$A$3:$I$32,8,FALSE))-(VLOOKUP($A67,test!$A$3:$I$32,9,FALSE))+test!$B$34,0)</f>
        <v>0</v>
      </c>
      <c r="G67">
        <f>IF(AND(SUM(VLOOKUP($A67,test!$A$3:$F$32,2,FALSE),VLOOKUP(G$1,test!$A$3:$F$32,2,FALSE))&lt;test!$K$16,$A67&lt;&gt;G$1,Recharged_Feasible_mat!H36=1),(VLOOKUP(G$1,test!$A$3:$I$32,8,FALSE))-(VLOOKUP($A67,test!$A$3:$I$32,9,FALSE))+test!$B$34,0)</f>
        <v>0</v>
      </c>
      <c r="H67">
        <f>IF(AND(SUM(VLOOKUP($A67,test!$A$3:$F$32,2,FALSE),VLOOKUP(H$1,test!$A$3:$F$32,2,FALSE))&lt;test!$K$16,$A67&lt;&gt;H$1,Recharged_Feasible_mat!I36=1),(VLOOKUP(H$1,test!$A$3:$I$32,8,FALSE))-(VLOOKUP($A67,test!$A$3:$I$32,9,FALSE))+test!$B$34,0)</f>
        <v>0</v>
      </c>
      <c r="I67">
        <f>IF(AND(SUM(VLOOKUP($A67,test!$A$3:$F$32,2,FALSE),VLOOKUP(I$1,test!$A$3:$F$32,2,FALSE))&lt;test!$K$16,$A67&lt;&gt;I$1,Recharged_Feasible_mat!J36=1),(VLOOKUP(I$1,test!$A$3:$I$32,8,FALSE))-(VLOOKUP($A67,test!$A$3:$I$32,9,FALSE))+test!$B$34,0)</f>
        <v>0</v>
      </c>
      <c r="J67">
        <f>IF(AND(SUM(VLOOKUP($A67,test!$A$3:$F$32,2,FALSE),VLOOKUP(J$1,test!$A$3:$F$32,2,FALSE))&lt;test!$K$16,$A67&lt;&gt;J$1,Recharged_Feasible_mat!K36=1),(VLOOKUP(J$1,test!$A$3:$I$32,8,FALSE))-(VLOOKUP($A67,test!$A$3:$I$32,9,FALSE))+test!$B$34,0)</f>
        <v>275</v>
      </c>
      <c r="K67">
        <f>IF(AND(SUM(VLOOKUP($A67,test!$A$3:$F$32,2,FALSE),VLOOKUP(K$1,test!$A$3:$F$32,2,FALSE))&lt;test!$K$16,$A67&lt;&gt;K$1,Recharged_Feasible_mat!L36=1),(VLOOKUP(K$1,test!$A$3:$I$32,8,FALSE))-(VLOOKUP($A67,test!$A$3:$I$32,9,FALSE))+test!$B$34,0)</f>
        <v>0</v>
      </c>
      <c r="L67">
        <f>IF(AND(SUM(VLOOKUP($A67,test!$A$3:$F$32,2,FALSE),VLOOKUP(L$1,test!$A$3:$F$32,2,FALSE))&lt;test!$K$16,$A67&lt;&gt;L$1,Recharged_Feasible_mat!M36=1),(VLOOKUP(L$1,test!$A$3:$I$32,8,FALSE))-(VLOOKUP($A67,test!$A$3:$I$32,9,FALSE))+test!$B$34,0)</f>
        <v>0</v>
      </c>
      <c r="M67">
        <f>IF(AND(SUM(VLOOKUP($A67,test!$A$3:$F$32,2,FALSE),VLOOKUP(M$1,test!$A$3:$F$32,2,FALSE))&lt;test!$K$16,$A67&lt;&gt;M$1,Recharged_Feasible_mat!N36=1),(VLOOKUP(M$1,test!$A$3:$I$32,8,FALSE))-(VLOOKUP($A67,test!$A$3:$I$32,9,FALSE))+test!$B$34,0)</f>
        <v>0</v>
      </c>
      <c r="N67">
        <f>IF(AND(SUM(VLOOKUP($A67,test!$A$3:$F$32,2,FALSE),VLOOKUP(N$1,test!$A$3:$F$32,2,FALSE))&lt;test!$K$16,$A67&lt;&gt;N$1,Recharged_Feasible_mat!O36=1),(VLOOKUP(N$1,test!$A$3:$I$32,8,FALSE))-(VLOOKUP($A67,test!$A$3:$I$32,9,FALSE))+test!$B$34,0)</f>
        <v>0</v>
      </c>
      <c r="O67">
        <f>IF(AND(SUM(VLOOKUP($A67,test!$A$3:$F$32,2,FALSE),VLOOKUP(O$1,test!$A$3:$F$32,2,FALSE))&lt;test!$K$16,$A67&lt;&gt;O$1,Recharged_Feasible_mat!P36=1),(VLOOKUP(O$1,test!$A$3:$I$32,8,FALSE))-(VLOOKUP($A67,test!$A$3:$I$32,9,FALSE))+test!$B$34,0)</f>
        <v>300</v>
      </c>
      <c r="P67">
        <f>IF(AND(SUM(VLOOKUP($A67,test!$A$3:$F$32,2,FALSE),VLOOKUP(P$1,test!$A$3:$F$32,2,FALSE))&lt;test!$K$16,$A67&lt;&gt;P$1,Recharged_Feasible_mat!Q36=1),(VLOOKUP(P$1,test!$A$3:$I$32,8,FALSE))-(VLOOKUP($A67,test!$A$3:$I$32,9,FALSE))+test!$B$34,0)</f>
        <v>0</v>
      </c>
      <c r="Q67">
        <f>IF(AND(SUM(VLOOKUP($A67,test!$A$3:$F$32,2,FALSE),VLOOKUP(Q$1,test!$A$3:$F$32,2,FALSE))&lt;test!$K$16,$A67&lt;&gt;Q$1,Recharged_Feasible_mat!R36=1),(VLOOKUP(Q$1,test!$A$3:$I$32,8,FALSE))-(VLOOKUP($A67,test!$A$3:$I$32,9,FALSE))+test!$B$34,0)</f>
        <v>0</v>
      </c>
      <c r="R67">
        <f>IF(AND(SUM(VLOOKUP($A67,test!$A$3:$F$32,2,FALSE),VLOOKUP(R$1,test!$A$3:$F$32,2,FALSE))&lt;test!$K$16,$A67&lt;&gt;R$1,Recharged_Feasible_mat!S36=1),(VLOOKUP(R$1,test!$A$3:$I$32,8,FALSE))-(VLOOKUP($A67,test!$A$3:$I$32,9,FALSE))+test!$B$34,0)</f>
        <v>0</v>
      </c>
      <c r="S67">
        <f>IF(AND(SUM(VLOOKUP($A67,test!$A$3:$F$32,2,FALSE),VLOOKUP(S$1,test!$A$3:$F$32,2,FALSE))&lt;test!$K$16,$A67&lt;&gt;S$1,Recharged_Feasible_mat!T36=1),(VLOOKUP(S$1,test!$A$3:$I$32,8,FALSE))-(VLOOKUP($A67,test!$A$3:$I$32,9,FALSE))+test!$B$34,0)</f>
        <v>0</v>
      </c>
      <c r="T67">
        <f>IF(AND(SUM(VLOOKUP($A67,test!$A$3:$F$32,2,FALSE),VLOOKUP(T$1,test!$A$3:$F$32,2,FALSE))&lt;test!$K$16,$A67&lt;&gt;T$1,Recharged_Feasible_mat!U36=1),(VLOOKUP(T$1,test!$A$3:$I$32,8,FALSE))-(VLOOKUP($A67,test!$A$3:$I$32,9,FALSE))+test!$B$34,0)</f>
        <v>0</v>
      </c>
      <c r="U67">
        <f>IF(AND(SUM(VLOOKUP($A67,test!$A$3:$F$32,2,FALSE),VLOOKUP(U$1,test!$A$3:$F$32,2,FALSE))&lt;test!$K$16,$A67&lt;&gt;U$1,Recharged_Feasible_mat!V36=1),(VLOOKUP(U$1,test!$A$3:$I$32,8,FALSE))-(VLOOKUP($A67,test!$A$3:$I$32,9,FALSE))+test!$B$34,0)</f>
        <v>0</v>
      </c>
      <c r="V67">
        <f>IF(AND(SUM(VLOOKUP($A67,test!$A$3:$F$32,2,FALSE),VLOOKUP(V$1,test!$A$3:$F$32,2,FALSE))&lt;test!$K$16,$A67&lt;&gt;V$1,Recharged_Feasible_mat!W36=1),(VLOOKUP(V$1,test!$A$3:$I$32,8,FALSE))-(VLOOKUP($A67,test!$A$3:$I$32,9,FALSE))+test!$B$34,0)</f>
        <v>0</v>
      </c>
      <c r="W67">
        <f>IF(AND(SUM(VLOOKUP($A67,test!$A$3:$F$32,2,FALSE),VLOOKUP(W$1,test!$A$3:$F$32,2,FALSE))&lt;test!$K$16,$A67&lt;&gt;W$1,Recharged_Feasible_mat!X36=1),(VLOOKUP(W$1,test!$A$3:$I$32,8,FALSE))-(VLOOKUP($A67,test!$A$3:$I$32,9,FALSE))+test!$B$34,0)</f>
        <v>0</v>
      </c>
      <c r="X67">
        <f>IF(AND(SUM(VLOOKUP($A67,test!$A$3:$F$32,2,FALSE),VLOOKUP(X$1,test!$A$3:$F$32,2,FALSE))&lt;test!$K$16,$A67&lt;&gt;X$1,Recharged_Feasible_mat!Y36=1),(VLOOKUP(X$1,test!$A$3:$I$32,8,FALSE))-(VLOOKUP($A67,test!$A$3:$I$32,9,FALSE))+test!$B$34,0)</f>
        <v>0</v>
      </c>
      <c r="Y67">
        <f>IF(AND(SUM(VLOOKUP($A67,test!$A$3:$F$32,2,FALSE),VLOOKUP(Y$1,test!$A$3:$F$32,2,FALSE))&lt;test!$K$16,$A67&lt;&gt;Y$1,Recharged_Feasible_mat!Z36=1),(VLOOKUP(Y$1,test!$A$3:$I$32,8,FALSE))-(VLOOKUP($A67,test!$A$3:$I$32,9,FALSE))+test!$B$34,0)</f>
        <v>0</v>
      </c>
      <c r="Z67">
        <f>IF(AND(SUM(VLOOKUP($A67,test!$A$3:$F$32,2,FALSE),VLOOKUP(Z$1,test!$A$3:$F$32,2,FALSE))&lt;test!$K$16,$A67&lt;&gt;Z$1,Recharged_Feasible_mat!AA36=1),(VLOOKUP(Z$1,test!$A$3:$I$32,8,FALSE))-(VLOOKUP($A67,test!$A$3:$I$32,9,FALSE))+test!$B$34,0)</f>
        <v>0</v>
      </c>
      <c r="AA67">
        <f>IF(AND(SUM(VLOOKUP($A67,test!$A$3:$F$32,2,FALSE),VLOOKUP(AA$1,test!$A$3:$F$32,2,FALSE))&lt;test!$K$16,$A67&lt;&gt;AA$1,Recharged_Feasible_mat!AB36=1),(VLOOKUP(AA$1,test!$A$3:$I$32,8,FALSE))-(VLOOKUP($A67,test!$A$3:$I$32,9,FALSE))+test!$B$34,0)</f>
        <v>0</v>
      </c>
      <c r="AB67">
        <f>IF(AND(SUM(VLOOKUP($A67,test!$A$3:$F$32,2,FALSE),VLOOKUP(AB$1,test!$A$3:$F$32,2,FALSE))&lt;test!$K$16,$A67&lt;&gt;AB$1,Recharged_Feasible_mat!AC36=1),(VLOOKUP(AB$1,test!$A$3:$I$32,8,FALSE))-(VLOOKUP($A67,test!$A$3:$I$32,9,FALSE))+test!$B$34,0)</f>
        <v>0</v>
      </c>
      <c r="AC67">
        <f>IF(AND(SUM(VLOOKUP($A67,test!$A$3:$F$32,2,FALSE),VLOOKUP(AC$1,test!$A$3:$F$32,2,FALSE))&lt;test!$K$16,$A67&lt;&gt;AC$1,Recharged_Feasible_mat!AD36=1),(VLOOKUP(AC$1,test!$A$3:$I$32,8,FALSE))-(VLOOKUP($A67,test!$A$3:$I$32,9,FALSE))+test!$B$34,0)</f>
        <v>0</v>
      </c>
      <c r="AD67">
        <f>IF(AND(SUM(VLOOKUP($A67,test!$A$3:$F$32,2,FALSE),VLOOKUP(AD$1,test!$A$3:$F$32,2,FALSE))&lt;test!$K$16,$A67&lt;&gt;AD$1,Recharged_Feasible_mat!AE36=1),(VLOOKUP(AD$1,test!$A$3:$I$32,8,FALSE))-(VLOOKUP($A67,test!$A$3:$I$32,9,FALSE))+test!$B$34,0)</f>
        <v>0</v>
      </c>
      <c r="AE67">
        <f>IF(AND(SUM(VLOOKUP($A67,test!$A$3:$F$32,2,FALSE),VLOOKUP(AE$1,test!$A$3:$F$32,2,FALSE))&lt;test!$K$16,$A67&lt;&gt;AE$1,Recharged_Feasible_mat!AF36=1),(VLOOKUP(AE$1,test!$A$3:$I$32,8,FALSE))-(VLOOKUP($A67,test!$A$3:$I$32,9,FALSE))+test!$B$34,0)</f>
        <v>0</v>
      </c>
      <c r="AF67">
        <f>IF(AND(SUM(VLOOKUP($A67,test!$A$3:$F$32,2,FALSE),VLOOKUP(AF$1,test!$A$3:$F$32,2,FALSE))&lt;test!$K$16,$A67&lt;&gt;AF$1,Recharged_Feasible_mat!AG36=1),(VLOOKUP(AF$1,test!$A$3:$I$32,8,FALSE))-(VLOOKUP($A67,test!$A$3:$I$32,9,FALSE))+test!$B$34,0)</f>
        <v>0</v>
      </c>
    </row>
    <row r="68" spans="1:32" x14ac:dyDescent="0.25">
      <c r="A68" t="s">
        <v>11</v>
      </c>
      <c r="B68">
        <v>0</v>
      </c>
      <c r="C68">
        <f>IF(AND(SUM(VLOOKUP($A68,test!$A$3:$F$32,2,FALSE),VLOOKUP(C$1,test!$A$3:$F$32,2,FALSE))&lt;test!$K$16,$A68&lt;&gt;C$1,Recharged_Feasible_mat!D37=1),(VLOOKUP(C$1,test!$A$3:$I$32,8,FALSE))-(VLOOKUP($A68,test!$A$3:$I$32,9,FALSE))+test!$B$34,0)</f>
        <v>0</v>
      </c>
      <c r="D68">
        <f>IF(AND(SUM(VLOOKUP($A68,test!$A$3:$F$32,2,FALSE),VLOOKUP(D$1,test!$A$3:$F$32,2,FALSE))&lt;test!$K$16,$A68&lt;&gt;D$1,Recharged_Feasible_mat!E37=1),(VLOOKUP(D$1,test!$A$3:$I$32,8,FALSE))-(VLOOKUP($A68,test!$A$3:$I$32,9,FALSE))+test!$B$34,0)</f>
        <v>0</v>
      </c>
      <c r="E68">
        <f>IF(AND(SUM(VLOOKUP($A68,test!$A$3:$F$32,2,FALSE),VLOOKUP(E$1,test!$A$3:$F$32,2,FALSE))&lt;test!$K$16,$A68&lt;&gt;E$1,Recharged_Feasible_mat!F37=1),(VLOOKUP(E$1,test!$A$3:$I$32,8,FALSE))-(VLOOKUP($A68,test!$A$3:$I$32,9,FALSE))+test!$B$34,0)</f>
        <v>0</v>
      </c>
      <c r="F68">
        <f>IF(AND(SUM(VLOOKUP($A68,test!$A$3:$F$32,2,FALSE),VLOOKUP(F$1,test!$A$3:$F$32,2,FALSE))&lt;test!$K$16,$A68&lt;&gt;F$1,Recharged_Feasible_mat!G37=1),(VLOOKUP(F$1,test!$A$3:$I$32,8,FALSE))-(VLOOKUP($A68,test!$A$3:$I$32,9,FALSE))+test!$B$34,0)</f>
        <v>0</v>
      </c>
      <c r="G68">
        <f>IF(AND(SUM(VLOOKUP($A68,test!$A$3:$F$32,2,FALSE),VLOOKUP(G$1,test!$A$3:$F$32,2,FALSE))&lt;test!$K$16,$A68&lt;&gt;G$1,Recharged_Feasible_mat!H37=1),(VLOOKUP(G$1,test!$A$3:$I$32,8,FALSE))-(VLOOKUP($A68,test!$A$3:$I$32,9,FALSE))+test!$B$34,0)</f>
        <v>0</v>
      </c>
      <c r="H68">
        <f>IF(AND(SUM(VLOOKUP($A68,test!$A$3:$F$32,2,FALSE),VLOOKUP(H$1,test!$A$3:$F$32,2,FALSE))&lt;test!$K$16,$A68&lt;&gt;H$1,Recharged_Feasible_mat!I37=1),(VLOOKUP(H$1,test!$A$3:$I$32,8,FALSE))-(VLOOKUP($A68,test!$A$3:$I$32,9,FALSE))+test!$B$34,0)</f>
        <v>0</v>
      </c>
      <c r="I68">
        <f>IF(AND(SUM(VLOOKUP($A68,test!$A$3:$F$32,2,FALSE),VLOOKUP(I$1,test!$A$3:$F$32,2,FALSE))&lt;test!$K$16,$A68&lt;&gt;I$1,Recharged_Feasible_mat!J37=1),(VLOOKUP(I$1,test!$A$3:$I$32,8,FALSE))-(VLOOKUP($A68,test!$A$3:$I$32,9,FALSE))+test!$B$34,0)</f>
        <v>0</v>
      </c>
      <c r="J68">
        <f>IF(AND(SUM(VLOOKUP($A68,test!$A$3:$F$32,2,FALSE),VLOOKUP(J$1,test!$A$3:$F$32,2,FALSE))&lt;test!$K$16,$A68&lt;&gt;J$1,Recharged_Feasible_mat!K37=1),(VLOOKUP(J$1,test!$A$3:$I$32,8,FALSE))-(VLOOKUP($A68,test!$A$3:$I$32,9,FALSE))+test!$B$34,0)</f>
        <v>0</v>
      </c>
      <c r="K68">
        <f>IF(AND(SUM(VLOOKUP($A68,test!$A$3:$F$32,2,FALSE),VLOOKUP(K$1,test!$A$3:$F$32,2,FALSE))&lt;test!$K$16,$A68&lt;&gt;K$1,Recharged_Feasible_mat!L37=1),(VLOOKUP(K$1,test!$A$3:$I$32,8,FALSE))-(VLOOKUP($A68,test!$A$3:$I$32,9,FALSE))+test!$B$34,0)</f>
        <v>0</v>
      </c>
      <c r="L68">
        <f>IF(AND(SUM(VLOOKUP($A68,test!$A$3:$F$32,2,FALSE),VLOOKUP(L$1,test!$A$3:$F$32,2,FALSE))&lt;test!$K$16,$A68&lt;&gt;L$1,Recharged_Feasible_mat!M37=1),(VLOOKUP(L$1,test!$A$3:$I$32,8,FALSE))-(VLOOKUP($A68,test!$A$3:$I$32,9,FALSE))+test!$B$34,0)</f>
        <v>0</v>
      </c>
      <c r="M68">
        <f>IF(AND(SUM(VLOOKUP($A68,test!$A$3:$F$32,2,FALSE),VLOOKUP(M$1,test!$A$3:$F$32,2,FALSE))&lt;test!$K$16,$A68&lt;&gt;M$1,Recharged_Feasible_mat!N37=1),(VLOOKUP(M$1,test!$A$3:$I$32,8,FALSE))-(VLOOKUP($A68,test!$A$3:$I$32,9,FALSE))+test!$B$34,0)</f>
        <v>0</v>
      </c>
      <c r="N68">
        <f>IF(AND(SUM(VLOOKUP($A68,test!$A$3:$F$32,2,FALSE),VLOOKUP(N$1,test!$A$3:$F$32,2,FALSE))&lt;test!$K$16,$A68&lt;&gt;N$1,Recharged_Feasible_mat!O37=1),(VLOOKUP(N$1,test!$A$3:$I$32,8,FALSE))-(VLOOKUP($A68,test!$A$3:$I$32,9,FALSE))+test!$B$34,0)</f>
        <v>0</v>
      </c>
      <c r="O68">
        <f>IF(AND(SUM(VLOOKUP($A68,test!$A$3:$F$32,2,FALSE),VLOOKUP(O$1,test!$A$3:$F$32,2,FALSE))&lt;test!$K$16,$A68&lt;&gt;O$1,Recharged_Feasible_mat!P37=1),(VLOOKUP(O$1,test!$A$3:$I$32,8,FALSE))-(VLOOKUP($A68,test!$A$3:$I$32,9,FALSE))+test!$B$34,0)</f>
        <v>0</v>
      </c>
      <c r="P68">
        <f>IF(AND(SUM(VLOOKUP($A68,test!$A$3:$F$32,2,FALSE),VLOOKUP(P$1,test!$A$3:$F$32,2,FALSE))&lt;test!$K$16,$A68&lt;&gt;P$1,Recharged_Feasible_mat!Q37=1),(VLOOKUP(P$1,test!$A$3:$I$32,8,FALSE))-(VLOOKUP($A68,test!$A$3:$I$32,9,FALSE))+test!$B$34,0)</f>
        <v>0</v>
      </c>
      <c r="Q68">
        <f>IF(AND(SUM(VLOOKUP($A68,test!$A$3:$F$32,2,FALSE),VLOOKUP(Q$1,test!$A$3:$F$32,2,FALSE))&lt;test!$K$16,$A68&lt;&gt;Q$1,Recharged_Feasible_mat!R37=1),(VLOOKUP(Q$1,test!$A$3:$I$32,8,FALSE))-(VLOOKUP($A68,test!$A$3:$I$32,9,FALSE))+test!$B$34,0)</f>
        <v>0</v>
      </c>
      <c r="R68">
        <f>IF(AND(SUM(VLOOKUP($A68,test!$A$3:$F$32,2,FALSE),VLOOKUP(R$1,test!$A$3:$F$32,2,FALSE))&lt;test!$K$16,$A68&lt;&gt;R$1,Recharged_Feasible_mat!S37=1),(VLOOKUP(R$1,test!$A$3:$I$32,8,FALSE))-(VLOOKUP($A68,test!$A$3:$I$32,9,FALSE))+test!$B$34,0)</f>
        <v>0</v>
      </c>
      <c r="S68">
        <f>IF(AND(SUM(VLOOKUP($A68,test!$A$3:$F$32,2,FALSE),VLOOKUP(S$1,test!$A$3:$F$32,2,FALSE))&lt;test!$K$16,$A68&lt;&gt;S$1,Recharged_Feasible_mat!T37=1),(VLOOKUP(S$1,test!$A$3:$I$32,8,FALSE))-(VLOOKUP($A68,test!$A$3:$I$32,9,FALSE))+test!$B$34,0)</f>
        <v>0</v>
      </c>
      <c r="T68">
        <f>IF(AND(SUM(VLOOKUP($A68,test!$A$3:$F$32,2,FALSE),VLOOKUP(T$1,test!$A$3:$F$32,2,FALSE))&lt;test!$K$16,$A68&lt;&gt;T$1,Recharged_Feasible_mat!U37=1),(VLOOKUP(T$1,test!$A$3:$I$32,8,FALSE))-(VLOOKUP($A68,test!$A$3:$I$32,9,FALSE))+test!$B$34,0)</f>
        <v>0</v>
      </c>
      <c r="U68">
        <f>IF(AND(SUM(VLOOKUP($A68,test!$A$3:$F$32,2,FALSE),VLOOKUP(U$1,test!$A$3:$F$32,2,FALSE))&lt;test!$K$16,$A68&lt;&gt;U$1,Recharged_Feasible_mat!V37=1),(VLOOKUP(U$1,test!$A$3:$I$32,8,FALSE))-(VLOOKUP($A68,test!$A$3:$I$32,9,FALSE))+test!$B$34,0)</f>
        <v>0</v>
      </c>
      <c r="V68">
        <f>IF(AND(SUM(VLOOKUP($A68,test!$A$3:$F$32,2,FALSE),VLOOKUP(V$1,test!$A$3:$F$32,2,FALSE))&lt;test!$K$16,$A68&lt;&gt;V$1,Recharged_Feasible_mat!W37=1),(VLOOKUP(V$1,test!$A$3:$I$32,8,FALSE))-(VLOOKUP($A68,test!$A$3:$I$32,9,FALSE))+test!$B$34,0)</f>
        <v>0</v>
      </c>
      <c r="W68">
        <f>IF(AND(SUM(VLOOKUP($A68,test!$A$3:$F$32,2,FALSE),VLOOKUP(W$1,test!$A$3:$F$32,2,FALSE))&lt;test!$K$16,$A68&lt;&gt;W$1,Recharged_Feasible_mat!X37=1),(VLOOKUP(W$1,test!$A$3:$I$32,8,FALSE))-(VLOOKUP($A68,test!$A$3:$I$32,9,FALSE))+test!$B$34,0)</f>
        <v>0</v>
      </c>
      <c r="X68">
        <f>IF(AND(SUM(VLOOKUP($A68,test!$A$3:$F$32,2,FALSE),VLOOKUP(X$1,test!$A$3:$F$32,2,FALSE))&lt;test!$K$16,$A68&lt;&gt;X$1,Recharged_Feasible_mat!Y37=1),(VLOOKUP(X$1,test!$A$3:$I$32,8,FALSE))-(VLOOKUP($A68,test!$A$3:$I$32,9,FALSE))+test!$B$34,0)</f>
        <v>0</v>
      </c>
      <c r="Y68">
        <f>IF(AND(SUM(VLOOKUP($A68,test!$A$3:$F$32,2,FALSE),VLOOKUP(Y$1,test!$A$3:$F$32,2,FALSE))&lt;test!$K$16,$A68&lt;&gt;Y$1,Recharged_Feasible_mat!Z37=1),(VLOOKUP(Y$1,test!$A$3:$I$32,8,FALSE))-(VLOOKUP($A68,test!$A$3:$I$32,9,FALSE))+test!$B$34,0)</f>
        <v>0</v>
      </c>
      <c r="Z68">
        <f>IF(AND(SUM(VLOOKUP($A68,test!$A$3:$F$32,2,FALSE),VLOOKUP(Z$1,test!$A$3:$F$32,2,FALSE))&lt;test!$K$16,$A68&lt;&gt;Z$1,Recharged_Feasible_mat!AA37=1),(VLOOKUP(Z$1,test!$A$3:$I$32,8,FALSE))-(VLOOKUP($A68,test!$A$3:$I$32,9,FALSE))+test!$B$34,0)</f>
        <v>0</v>
      </c>
      <c r="AA68">
        <f>IF(AND(SUM(VLOOKUP($A68,test!$A$3:$F$32,2,FALSE),VLOOKUP(AA$1,test!$A$3:$F$32,2,FALSE))&lt;test!$K$16,$A68&lt;&gt;AA$1,Recharged_Feasible_mat!AB37=1),(VLOOKUP(AA$1,test!$A$3:$I$32,8,FALSE))-(VLOOKUP($A68,test!$A$3:$I$32,9,FALSE))+test!$B$34,0)</f>
        <v>0</v>
      </c>
      <c r="AB68">
        <f>IF(AND(SUM(VLOOKUP($A68,test!$A$3:$F$32,2,FALSE),VLOOKUP(AB$1,test!$A$3:$F$32,2,FALSE))&lt;test!$K$16,$A68&lt;&gt;AB$1,Recharged_Feasible_mat!AC37=1),(VLOOKUP(AB$1,test!$A$3:$I$32,8,FALSE))-(VLOOKUP($A68,test!$A$3:$I$32,9,FALSE))+test!$B$34,0)</f>
        <v>0</v>
      </c>
      <c r="AC68">
        <f>IF(AND(SUM(VLOOKUP($A68,test!$A$3:$F$32,2,FALSE),VLOOKUP(AC$1,test!$A$3:$F$32,2,FALSE))&lt;test!$K$16,$A68&lt;&gt;AC$1,Recharged_Feasible_mat!AD37=1),(VLOOKUP(AC$1,test!$A$3:$I$32,8,FALSE))-(VLOOKUP($A68,test!$A$3:$I$32,9,FALSE))+test!$B$34,0)</f>
        <v>0</v>
      </c>
      <c r="AD68">
        <f>IF(AND(SUM(VLOOKUP($A68,test!$A$3:$F$32,2,FALSE),VLOOKUP(AD$1,test!$A$3:$F$32,2,FALSE))&lt;test!$K$16,$A68&lt;&gt;AD$1,Recharged_Feasible_mat!AE37=1),(VLOOKUP(AD$1,test!$A$3:$I$32,8,FALSE))-(VLOOKUP($A68,test!$A$3:$I$32,9,FALSE))+test!$B$34,0)</f>
        <v>0</v>
      </c>
      <c r="AE68">
        <f>IF(AND(SUM(VLOOKUP($A68,test!$A$3:$F$32,2,FALSE),VLOOKUP(AE$1,test!$A$3:$F$32,2,FALSE))&lt;test!$K$16,$A68&lt;&gt;AE$1,Recharged_Feasible_mat!AF37=1),(VLOOKUP(AE$1,test!$A$3:$I$32,8,FALSE))-(VLOOKUP($A68,test!$A$3:$I$32,9,FALSE))+test!$B$34,0)</f>
        <v>0</v>
      </c>
      <c r="AF68">
        <f>IF(AND(SUM(VLOOKUP($A68,test!$A$3:$F$32,2,FALSE),VLOOKUP(AF$1,test!$A$3:$F$32,2,FALSE))&lt;test!$K$16,$A68&lt;&gt;AF$1,Recharged_Feasible_mat!AG37=1),(VLOOKUP(AF$1,test!$A$3:$I$32,8,FALSE))-(VLOOKUP($A68,test!$A$3:$I$32,9,FALSE))+test!$B$34,0)</f>
        <v>0</v>
      </c>
    </row>
    <row r="69" spans="1:32" x14ac:dyDescent="0.25">
      <c r="A69" t="s">
        <v>12</v>
      </c>
      <c r="B69">
        <v>0</v>
      </c>
      <c r="C69">
        <f>IF(AND(SUM(VLOOKUP($A69,test!$A$3:$F$32,2,FALSE),VLOOKUP(C$1,test!$A$3:$F$32,2,FALSE))&lt;test!$K$16,$A69&lt;&gt;C$1,Recharged_Feasible_mat!D38=1),(VLOOKUP(C$1,test!$A$3:$I$32,8,FALSE))-(VLOOKUP($A69,test!$A$3:$I$32,9,FALSE))+test!$B$34,0)</f>
        <v>0</v>
      </c>
      <c r="D69">
        <f>IF(AND(SUM(VLOOKUP($A69,test!$A$3:$F$32,2,FALSE),VLOOKUP(D$1,test!$A$3:$F$32,2,FALSE))&lt;test!$K$16,$A69&lt;&gt;D$1,Recharged_Feasible_mat!E38=1),(VLOOKUP(D$1,test!$A$3:$I$32,8,FALSE))-(VLOOKUP($A69,test!$A$3:$I$32,9,FALSE))+test!$B$34,0)</f>
        <v>0</v>
      </c>
      <c r="E69">
        <f>IF(AND(SUM(VLOOKUP($A69,test!$A$3:$F$32,2,FALSE),VLOOKUP(E$1,test!$A$3:$F$32,2,FALSE))&lt;test!$K$16,$A69&lt;&gt;E$1,Recharged_Feasible_mat!F38=1),(VLOOKUP(E$1,test!$A$3:$I$32,8,FALSE))-(VLOOKUP($A69,test!$A$3:$I$32,9,FALSE))+test!$B$34,0)</f>
        <v>0</v>
      </c>
      <c r="F69">
        <f>IF(AND(SUM(VLOOKUP($A69,test!$A$3:$F$32,2,FALSE),VLOOKUP(F$1,test!$A$3:$F$32,2,FALSE))&lt;test!$K$16,$A69&lt;&gt;F$1,Recharged_Feasible_mat!G38=1),(VLOOKUP(F$1,test!$A$3:$I$32,8,FALSE))-(VLOOKUP($A69,test!$A$3:$I$32,9,FALSE))+test!$B$34,0)</f>
        <v>0</v>
      </c>
      <c r="G69">
        <f>IF(AND(SUM(VLOOKUP($A69,test!$A$3:$F$32,2,FALSE),VLOOKUP(G$1,test!$A$3:$F$32,2,FALSE))&lt;test!$K$16,$A69&lt;&gt;G$1,Recharged_Feasible_mat!H38=1),(VLOOKUP(G$1,test!$A$3:$I$32,8,FALSE))-(VLOOKUP($A69,test!$A$3:$I$32,9,FALSE))+test!$B$34,0)</f>
        <v>0</v>
      </c>
      <c r="H69">
        <f>IF(AND(SUM(VLOOKUP($A69,test!$A$3:$F$32,2,FALSE),VLOOKUP(H$1,test!$A$3:$F$32,2,FALSE))&lt;test!$K$16,$A69&lt;&gt;H$1,Recharged_Feasible_mat!I38=1),(VLOOKUP(H$1,test!$A$3:$I$32,8,FALSE))-(VLOOKUP($A69,test!$A$3:$I$32,9,FALSE))+test!$B$34,0)</f>
        <v>0</v>
      </c>
      <c r="I69">
        <f>IF(AND(SUM(VLOOKUP($A69,test!$A$3:$F$32,2,FALSE),VLOOKUP(I$1,test!$A$3:$F$32,2,FALSE))&lt;test!$K$16,$A69&lt;&gt;I$1,Recharged_Feasible_mat!J38=1),(VLOOKUP(I$1,test!$A$3:$I$32,8,FALSE))-(VLOOKUP($A69,test!$A$3:$I$32,9,FALSE))+test!$B$34,0)</f>
        <v>0</v>
      </c>
      <c r="J69">
        <f>IF(AND(SUM(VLOOKUP($A69,test!$A$3:$F$32,2,FALSE),VLOOKUP(J$1,test!$A$3:$F$32,2,FALSE))&lt;test!$K$16,$A69&lt;&gt;J$1,Recharged_Feasible_mat!K38=1),(VLOOKUP(J$1,test!$A$3:$I$32,8,FALSE))-(VLOOKUP($A69,test!$A$3:$I$32,9,FALSE))+test!$B$34,0)</f>
        <v>0</v>
      </c>
      <c r="K69">
        <f>IF(AND(SUM(VLOOKUP($A69,test!$A$3:$F$32,2,FALSE),VLOOKUP(K$1,test!$A$3:$F$32,2,FALSE))&lt;test!$K$16,$A69&lt;&gt;K$1,Recharged_Feasible_mat!L38=1),(VLOOKUP(K$1,test!$A$3:$I$32,8,FALSE))-(VLOOKUP($A69,test!$A$3:$I$32,9,FALSE))+test!$B$34,0)</f>
        <v>0</v>
      </c>
      <c r="L69">
        <f>IF(AND(SUM(VLOOKUP($A69,test!$A$3:$F$32,2,FALSE),VLOOKUP(L$1,test!$A$3:$F$32,2,FALSE))&lt;test!$K$16,$A69&lt;&gt;L$1,Recharged_Feasible_mat!M38=1),(VLOOKUP(L$1,test!$A$3:$I$32,8,FALSE))-(VLOOKUP($A69,test!$A$3:$I$32,9,FALSE))+test!$B$34,0)</f>
        <v>0</v>
      </c>
      <c r="M69">
        <f>IF(AND(SUM(VLOOKUP($A69,test!$A$3:$F$32,2,FALSE),VLOOKUP(M$1,test!$A$3:$F$32,2,FALSE))&lt;test!$K$16,$A69&lt;&gt;M$1,Recharged_Feasible_mat!N38=1),(VLOOKUP(M$1,test!$A$3:$I$32,8,FALSE))-(VLOOKUP($A69,test!$A$3:$I$32,9,FALSE))+test!$B$34,0)</f>
        <v>0</v>
      </c>
      <c r="N69">
        <f>IF(AND(SUM(VLOOKUP($A69,test!$A$3:$F$32,2,FALSE),VLOOKUP(N$1,test!$A$3:$F$32,2,FALSE))&lt;test!$K$16,$A69&lt;&gt;N$1,Recharged_Feasible_mat!O38=1),(VLOOKUP(N$1,test!$A$3:$I$32,8,FALSE))-(VLOOKUP($A69,test!$A$3:$I$32,9,FALSE))+test!$B$34,0)</f>
        <v>0</v>
      </c>
      <c r="O69">
        <f>IF(AND(SUM(VLOOKUP($A69,test!$A$3:$F$32,2,FALSE),VLOOKUP(O$1,test!$A$3:$F$32,2,FALSE))&lt;test!$K$16,$A69&lt;&gt;O$1,Recharged_Feasible_mat!P38=1),(VLOOKUP(O$1,test!$A$3:$I$32,8,FALSE))-(VLOOKUP($A69,test!$A$3:$I$32,9,FALSE))+test!$B$34,0)</f>
        <v>0</v>
      </c>
      <c r="P69">
        <f>IF(AND(SUM(VLOOKUP($A69,test!$A$3:$F$32,2,FALSE),VLOOKUP(P$1,test!$A$3:$F$32,2,FALSE))&lt;test!$K$16,$A69&lt;&gt;P$1,Recharged_Feasible_mat!Q38=1),(VLOOKUP(P$1,test!$A$3:$I$32,8,FALSE))-(VLOOKUP($A69,test!$A$3:$I$32,9,FALSE))+test!$B$34,0)</f>
        <v>0</v>
      </c>
      <c r="Q69">
        <f>IF(AND(SUM(VLOOKUP($A69,test!$A$3:$F$32,2,FALSE),VLOOKUP(Q$1,test!$A$3:$F$32,2,FALSE))&lt;test!$K$16,$A69&lt;&gt;Q$1,Recharged_Feasible_mat!R38=1),(VLOOKUP(Q$1,test!$A$3:$I$32,8,FALSE))-(VLOOKUP($A69,test!$A$3:$I$32,9,FALSE))+test!$B$34,0)</f>
        <v>0</v>
      </c>
      <c r="R69">
        <f>IF(AND(SUM(VLOOKUP($A69,test!$A$3:$F$32,2,FALSE),VLOOKUP(R$1,test!$A$3:$F$32,2,FALSE))&lt;test!$K$16,$A69&lt;&gt;R$1,Recharged_Feasible_mat!S38=1),(VLOOKUP(R$1,test!$A$3:$I$32,8,FALSE))-(VLOOKUP($A69,test!$A$3:$I$32,9,FALSE))+test!$B$34,0)</f>
        <v>0</v>
      </c>
      <c r="S69">
        <f>IF(AND(SUM(VLOOKUP($A69,test!$A$3:$F$32,2,FALSE),VLOOKUP(S$1,test!$A$3:$F$32,2,FALSE))&lt;test!$K$16,$A69&lt;&gt;S$1,Recharged_Feasible_mat!T38=1),(VLOOKUP(S$1,test!$A$3:$I$32,8,FALSE))-(VLOOKUP($A69,test!$A$3:$I$32,9,FALSE))+test!$B$34,0)</f>
        <v>0</v>
      </c>
      <c r="T69">
        <f>IF(AND(SUM(VLOOKUP($A69,test!$A$3:$F$32,2,FALSE),VLOOKUP(T$1,test!$A$3:$F$32,2,FALSE))&lt;test!$K$16,$A69&lt;&gt;T$1,Recharged_Feasible_mat!U38=1),(VLOOKUP(T$1,test!$A$3:$I$32,8,FALSE))-(VLOOKUP($A69,test!$A$3:$I$32,9,FALSE))+test!$B$34,0)</f>
        <v>0</v>
      </c>
      <c r="U69">
        <f>IF(AND(SUM(VLOOKUP($A69,test!$A$3:$F$32,2,FALSE),VLOOKUP(U$1,test!$A$3:$F$32,2,FALSE))&lt;test!$K$16,$A69&lt;&gt;U$1,Recharged_Feasible_mat!V38=1),(VLOOKUP(U$1,test!$A$3:$I$32,8,FALSE))-(VLOOKUP($A69,test!$A$3:$I$32,9,FALSE))+test!$B$34,0)</f>
        <v>0</v>
      </c>
      <c r="V69">
        <f>IF(AND(SUM(VLOOKUP($A69,test!$A$3:$F$32,2,FALSE),VLOOKUP(V$1,test!$A$3:$F$32,2,FALSE))&lt;test!$K$16,$A69&lt;&gt;V$1,Recharged_Feasible_mat!W38=1),(VLOOKUP(V$1,test!$A$3:$I$32,8,FALSE))-(VLOOKUP($A69,test!$A$3:$I$32,9,FALSE))+test!$B$34,0)</f>
        <v>0</v>
      </c>
      <c r="W69">
        <f>IF(AND(SUM(VLOOKUP($A69,test!$A$3:$F$32,2,FALSE),VLOOKUP(W$1,test!$A$3:$F$32,2,FALSE))&lt;test!$K$16,$A69&lt;&gt;W$1,Recharged_Feasible_mat!X38=1),(VLOOKUP(W$1,test!$A$3:$I$32,8,FALSE))-(VLOOKUP($A69,test!$A$3:$I$32,9,FALSE))+test!$B$34,0)</f>
        <v>0</v>
      </c>
      <c r="X69">
        <f>IF(AND(SUM(VLOOKUP($A69,test!$A$3:$F$32,2,FALSE),VLOOKUP(X$1,test!$A$3:$F$32,2,FALSE))&lt;test!$K$16,$A69&lt;&gt;X$1,Recharged_Feasible_mat!Y38=1),(VLOOKUP(X$1,test!$A$3:$I$32,8,FALSE))-(VLOOKUP($A69,test!$A$3:$I$32,9,FALSE))+test!$B$34,0)</f>
        <v>0</v>
      </c>
      <c r="Y69">
        <f>IF(AND(SUM(VLOOKUP($A69,test!$A$3:$F$32,2,FALSE),VLOOKUP(Y$1,test!$A$3:$F$32,2,FALSE))&lt;test!$K$16,$A69&lt;&gt;Y$1,Recharged_Feasible_mat!Z38=1),(VLOOKUP(Y$1,test!$A$3:$I$32,8,FALSE))-(VLOOKUP($A69,test!$A$3:$I$32,9,FALSE))+test!$B$34,0)</f>
        <v>0</v>
      </c>
      <c r="Z69">
        <f>IF(AND(SUM(VLOOKUP($A69,test!$A$3:$F$32,2,FALSE),VLOOKUP(Z$1,test!$A$3:$F$32,2,FALSE))&lt;test!$K$16,$A69&lt;&gt;Z$1,Recharged_Feasible_mat!AA38=1),(VLOOKUP(Z$1,test!$A$3:$I$32,8,FALSE))-(VLOOKUP($A69,test!$A$3:$I$32,9,FALSE))+test!$B$34,0)</f>
        <v>0</v>
      </c>
      <c r="AA69">
        <f>IF(AND(SUM(VLOOKUP($A69,test!$A$3:$F$32,2,FALSE),VLOOKUP(AA$1,test!$A$3:$F$32,2,FALSE))&lt;test!$K$16,$A69&lt;&gt;AA$1,Recharged_Feasible_mat!AB38=1),(VLOOKUP(AA$1,test!$A$3:$I$32,8,FALSE))-(VLOOKUP($A69,test!$A$3:$I$32,9,FALSE))+test!$B$34,0)</f>
        <v>0</v>
      </c>
      <c r="AB69">
        <f>IF(AND(SUM(VLOOKUP($A69,test!$A$3:$F$32,2,FALSE),VLOOKUP(AB$1,test!$A$3:$F$32,2,FALSE))&lt;test!$K$16,$A69&lt;&gt;AB$1,Recharged_Feasible_mat!AC38=1),(VLOOKUP(AB$1,test!$A$3:$I$32,8,FALSE))-(VLOOKUP($A69,test!$A$3:$I$32,9,FALSE))+test!$B$34,0)</f>
        <v>0</v>
      </c>
      <c r="AC69">
        <f>IF(AND(SUM(VLOOKUP($A69,test!$A$3:$F$32,2,FALSE),VLOOKUP(AC$1,test!$A$3:$F$32,2,FALSE))&lt;test!$K$16,$A69&lt;&gt;AC$1,Recharged_Feasible_mat!AD38=1),(VLOOKUP(AC$1,test!$A$3:$I$32,8,FALSE))-(VLOOKUP($A69,test!$A$3:$I$32,9,FALSE))+test!$B$34,0)</f>
        <v>0</v>
      </c>
      <c r="AD69">
        <f>IF(AND(SUM(VLOOKUP($A69,test!$A$3:$F$32,2,FALSE),VLOOKUP(AD$1,test!$A$3:$F$32,2,FALSE))&lt;test!$K$16,$A69&lt;&gt;AD$1,Recharged_Feasible_mat!AE38=1),(VLOOKUP(AD$1,test!$A$3:$I$32,8,FALSE))-(VLOOKUP($A69,test!$A$3:$I$32,9,FALSE))+test!$B$34,0)</f>
        <v>0</v>
      </c>
      <c r="AE69">
        <f>IF(AND(SUM(VLOOKUP($A69,test!$A$3:$F$32,2,FALSE),VLOOKUP(AE$1,test!$A$3:$F$32,2,FALSE))&lt;test!$K$16,$A69&lt;&gt;AE$1,Recharged_Feasible_mat!AF38=1),(VLOOKUP(AE$1,test!$A$3:$I$32,8,FALSE))-(VLOOKUP($A69,test!$A$3:$I$32,9,FALSE))+test!$B$34,0)</f>
        <v>0</v>
      </c>
      <c r="AF69">
        <f>IF(AND(SUM(VLOOKUP($A69,test!$A$3:$F$32,2,FALSE),VLOOKUP(AF$1,test!$A$3:$F$32,2,FALSE))&lt;test!$K$16,$A69&lt;&gt;AF$1,Recharged_Feasible_mat!AG38=1),(VLOOKUP(AF$1,test!$A$3:$I$32,8,FALSE))-(VLOOKUP($A69,test!$A$3:$I$32,9,FALSE))+test!$B$34,0)</f>
        <v>0</v>
      </c>
    </row>
    <row r="70" spans="1:32" x14ac:dyDescent="0.25">
      <c r="A70" t="s">
        <v>13</v>
      </c>
      <c r="B70">
        <v>0</v>
      </c>
      <c r="C70">
        <f>IF(AND(SUM(VLOOKUP($A70,test!$A$3:$F$32,2,FALSE),VLOOKUP(C$1,test!$A$3:$F$32,2,FALSE))&lt;test!$K$16,$A70&lt;&gt;C$1,Recharged_Feasible_mat!D39=1),(VLOOKUP(C$1,test!$A$3:$I$32,8,FALSE))-(VLOOKUP($A70,test!$A$3:$I$32,9,FALSE))+test!$B$34,0)</f>
        <v>0</v>
      </c>
      <c r="D70">
        <f>IF(AND(SUM(VLOOKUP($A70,test!$A$3:$F$32,2,FALSE),VLOOKUP(D$1,test!$A$3:$F$32,2,FALSE))&lt;test!$K$16,$A70&lt;&gt;D$1,Recharged_Feasible_mat!E39=1),(VLOOKUP(D$1,test!$A$3:$I$32,8,FALSE))-(VLOOKUP($A70,test!$A$3:$I$32,9,FALSE))+test!$B$34,0)</f>
        <v>0</v>
      </c>
      <c r="E70">
        <f>IF(AND(SUM(VLOOKUP($A70,test!$A$3:$F$32,2,FALSE),VLOOKUP(E$1,test!$A$3:$F$32,2,FALSE))&lt;test!$K$16,$A70&lt;&gt;E$1,Recharged_Feasible_mat!F39=1),(VLOOKUP(E$1,test!$A$3:$I$32,8,FALSE))-(VLOOKUP($A70,test!$A$3:$I$32,9,FALSE))+test!$B$34,0)</f>
        <v>0</v>
      </c>
      <c r="F70">
        <f>IF(AND(SUM(VLOOKUP($A70,test!$A$3:$F$32,2,FALSE),VLOOKUP(F$1,test!$A$3:$F$32,2,FALSE))&lt;test!$K$16,$A70&lt;&gt;F$1,Recharged_Feasible_mat!G39=1),(VLOOKUP(F$1,test!$A$3:$I$32,8,FALSE))-(VLOOKUP($A70,test!$A$3:$I$32,9,FALSE))+test!$B$34,0)</f>
        <v>0</v>
      </c>
      <c r="G70">
        <f>IF(AND(SUM(VLOOKUP($A70,test!$A$3:$F$32,2,FALSE),VLOOKUP(G$1,test!$A$3:$F$32,2,FALSE))&lt;test!$K$16,$A70&lt;&gt;G$1,Recharged_Feasible_mat!H39=1),(VLOOKUP(G$1,test!$A$3:$I$32,8,FALSE))-(VLOOKUP($A70,test!$A$3:$I$32,9,FALSE))+test!$B$34,0)</f>
        <v>0</v>
      </c>
      <c r="H70">
        <f>IF(AND(SUM(VLOOKUP($A70,test!$A$3:$F$32,2,FALSE),VLOOKUP(H$1,test!$A$3:$F$32,2,FALSE))&lt;test!$K$16,$A70&lt;&gt;H$1,Recharged_Feasible_mat!I39=1),(VLOOKUP(H$1,test!$A$3:$I$32,8,FALSE))-(VLOOKUP($A70,test!$A$3:$I$32,9,FALSE))+test!$B$34,0)</f>
        <v>0</v>
      </c>
      <c r="I70">
        <f>IF(AND(SUM(VLOOKUP($A70,test!$A$3:$F$32,2,FALSE),VLOOKUP(I$1,test!$A$3:$F$32,2,FALSE))&lt;test!$K$16,$A70&lt;&gt;I$1,Recharged_Feasible_mat!J39=1),(VLOOKUP(I$1,test!$A$3:$I$32,8,FALSE))-(VLOOKUP($A70,test!$A$3:$I$32,9,FALSE))+test!$B$34,0)</f>
        <v>0</v>
      </c>
      <c r="J70">
        <f>IF(AND(SUM(VLOOKUP($A70,test!$A$3:$F$32,2,FALSE),VLOOKUP(J$1,test!$A$3:$F$32,2,FALSE))&lt;test!$K$16,$A70&lt;&gt;J$1,Recharged_Feasible_mat!K39=1),(VLOOKUP(J$1,test!$A$3:$I$32,8,FALSE))-(VLOOKUP($A70,test!$A$3:$I$32,9,FALSE))+test!$B$34,0)</f>
        <v>0</v>
      </c>
      <c r="K70">
        <f>IF(AND(SUM(VLOOKUP($A70,test!$A$3:$F$32,2,FALSE),VLOOKUP(K$1,test!$A$3:$F$32,2,FALSE))&lt;test!$K$16,$A70&lt;&gt;K$1,Recharged_Feasible_mat!L39=1),(VLOOKUP(K$1,test!$A$3:$I$32,8,FALSE))-(VLOOKUP($A70,test!$A$3:$I$32,9,FALSE))+test!$B$34,0)</f>
        <v>0</v>
      </c>
      <c r="L70">
        <f>IF(AND(SUM(VLOOKUP($A70,test!$A$3:$F$32,2,FALSE),VLOOKUP(L$1,test!$A$3:$F$32,2,FALSE))&lt;test!$K$16,$A70&lt;&gt;L$1,Recharged_Feasible_mat!M39=1),(VLOOKUP(L$1,test!$A$3:$I$32,8,FALSE))-(VLOOKUP($A70,test!$A$3:$I$32,9,FALSE))+test!$B$34,0)</f>
        <v>0</v>
      </c>
      <c r="M70">
        <f>IF(AND(SUM(VLOOKUP($A70,test!$A$3:$F$32,2,FALSE),VLOOKUP(M$1,test!$A$3:$F$32,2,FALSE))&lt;test!$K$16,$A70&lt;&gt;M$1,Recharged_Feasible_mat!N39=1),(VLOOKUP(M$1,test!$A$3:$I$32,8,FALSE))-(VLOOKUP($A70,test!$A$3:$I$32,9,FALSE))+test!$B$34,0)</f>
        <v>0</v>
      </c>
      <c r="N70">
        <f>IF(AND(SUM(VLOOKUP($A70,test!$A$3:$F$32,2,FALSE),VLOOKUP(N$1,test!$A$3:$F$32,2,FALSE))&lt;test!$K$16,$A70&lt;&gt;N$1,Recharged_Feasible_mat!O39=1),(VLOOKUP(N$1,test!$A$3:$I$32,8,FALSE))-(VLOOKUP($A70,test!$A$3:$I$32,9,FALSE))+test!$B$34,0)</f>
        <v>0</v>
      </c>
      <c r="O70">
        <f>IF(AND(SUM(VLOOKUP($A70,test!$A$3:$F$32,2,FALSE),VLOOKUP(O$1,test!$A$3:$F$32,2,FALSE))&lt;test!$K$16,$A70&lt;&gt;O$1,Recharged_Feasible_mat!P39=1),(VLOOKUP(O$1,test!$A$3:$I$32,8,FALSE))-(VLOOKUP($A70,test!$A$3:$I$32,9,FALSE))+test!$B$34,0)</f>
        <v>0</v>
      </c>
      <c r="P70">
        <f>IF(AND(SUM(VLOOKUP($A70,test!$A$3:$F$32,2,FALSE),VLOOKUP(P$1,test!$A$3:$F$32,2,FALSE))&lt;test!$K$16,$A70&lt;&gt;P$1,Recharged_Feasible_mat!Q39=1),(VLOOKUP(P$1,test!$A$3:$I$32,8,FALSE))-(VLOOKUP($A70,test!$A$3:$I$32,9,FALSE))+test!$B$34,0)</f>
        <v>0</v>
      </c>
      <c r="Q70">
        <f>IF(AND(SUM(VLOOKUP($A70,test!$A$3:$F$32,2,FALSE),VLOOKUP(Q$1,test!$A$3:$F$32,2,FALSE))&lt;test!$K$16,$A70&lt;&gt;Q$1,Recharged_Feasible_mat!R39=1),(VLOOKUP(Q$1,test!$A$3:$I$32,8,FALSE))-(VLOOKUP($A70,test!$A$3:$I$32,9,FALSE))+test!$B$34,0)</f>
        <v>0</v>
      </c>
      <c r="R70">
        <f>IF(AND(SUM(VLOOKUP($A70,test!$A$3:$F$32,2,FALSE),VLOOKUP(R$1,test!$A$3:$F$32,2,FALSE))&lt;test!$K$16,$A70&lt;&gt;R$1,Recharged_Feasible_mat!S39=1),(VLOOKUP(R$1,test!$A$3:$I$32,8,FALSE))-(VLOOKUP($A70,test!$A$3:$I$32,9,FALSE))+test!$B$34,0)</f>
        <v>0</v>
      </c>
      <c r="S70">
        <f>IF(AND(SUM(VLOOKUP($A70,test!$A$3:$F$32,2,FALSE),VLOOKUP(S$1,test!$A$3:$F$32,2,FALSE))&lt;test!$K$16,$A70&lt;&gt;S$1,Recharged_Feasible_mat!T39=1),(VLOOKUP(S$1,test!$A$3:$I$32,8,FALSE))-(VLOOKUP($A70,test!$A$3:$I$32,9,FALSE))+test!$B$34,0)</f>
        <v>0</v>
      </c>
      <c r="T70">
        <f>IF(AND(SUM(VLOOKUP($A70,test!$A$3:$F$32,2,FALSE),VLOOKUP(T$1,test!$A$3:$F$32,2,FALSE))&lt;test!$K$16,$A70&lt;&gt;T$1,Recharged_Feasible_mat!U39=1),(VLOOKUP(T$1,test!$A$3:$I$32,8,FALSE))-(VLOOKUP($A70,test!$A$3:$I$32,9,FALSE))+test!$B$34,0)</f>
        <v>0</v>
      </c>
      <c r="U70">
        <f>IF(AND(SUM(VLOOKUP($A70,test!$A$3:$F$32,2,FALSE),VLOOKUP(U$1,test!$A$3:$F$32,2,FALSE))&lt;test!$K$16,$A70&lt;&gt;U$1,Recharged_Feasible_mat!V39=1),(VLOOKUP(U$1,test!$A$3:$I$32,8,FALSE))-(VLOOKUP($A70,test!$A$3:$I$32,9,FALSE))+test!$B$34,0)</f>
        <v>0</v>
      </c>
      <c r="V70">
        <f>IF(AND(SUM(VLOOKUP($A70,test!$A$3:$F$32,2,FALSE),VLOOKUP(V$1,test!$A$3:$F$32,2,FALSE))&lt;test!$K$16,$A70&lt;&gt;V$1,Recharged_Feasible_mat!W39=1),(VLOOKUP(V$1,test!$A$3:$I$32,8,FALSE))-(VLOOKUP($A70,test!$A$3:$I$32,9,FALSE))+test!$B$34,0)</f>
        <v>0</v>
      </c>
      <c r="W70">
        <f>IF(AND(SUM(VLOOKUP($A70,test!$A$3:$F$32,2,FALSE),VLOOKUP(W$1,test!$A$3:$F$32,2,FALSE))&lt;test!$K$16,$A70&lt;&gt;W$1,Recharged_Feasible_mat!X39=1),(VLOOKUP(W$1,test!$A$3:$I$32,8,FALSE))-(VLOOKUP($A70,test!$A$3:$I$32,9,FALSE))+test!$B$34,0)</f>
        <v>0</v>
      </c>
      <c r="X70">
        <f>IF(AND(SUM(VLOOKUP($A70,test!$A$3:$F$32,2,FALSE),VLOOKUP(X$1,test!$A$3:$F$32,2,FALSE))&lt;test!$K$16,$A70&lt;&gt;X$1,Recharged_Feasible_mat!Y39=1),(VLOOKUP(X$1,test!$A$3:$I$32,8,FALSE))-(VLOOKUP($A70,test!$A$3:$I$32,9,FALSE))+test!$B$34,0)</f>
        <v>0</v>
      </c>
      <c r="Y70">
        <f>IF(AND(SUM(VLOOKUP($A70,test!$A$3:$F$32,2,FALSE),VLOOKUP(Y$1,test!$A$3:$F$32,2,FALSE))&lt;test!$K$16,$A70&lt;&gt;Y$1,Recharged_Feasible_mat!Z39=1),(VLOOKUP(Y$1,test!$A$3:$I$32,8,FALSE))-(VLOOKUP($A70,test!$A$3:$I$32,9,FALSE))+test!$B$34,0)</f>
        <v>0</v>
      </c>
      <c r="Z70">
        <f>IF(AND(SUM(VLOOKUP($A70,test!$A$3:$F$32,2,FALSE),VLOOKUP(Z$1,test!$A$3:$F$32,2,FALSE))&lt;test!$K$16,$A70&lt;&gt;Z$1,Recharged_Feasible_mat!AA39=1),(VLOOKUP(Z$1,test!$A$3:$I$32,8,FALSE))-(VLOOKUP($A70,test!$A$3:$I$32,9,FALSE))+test!$B$34,0)</f>
        <v>0</v>
      </c>
      <c r="AA70">
        <f>IF(AND(SUM(VLOOKUP($A70,test!$A$3:$F$32,2,FALSE),VLOOKUP(AA$1,test!$A$3:$F$32,2,FALSE))&lt;test!$K$16,$A70&lt;&gt;AA$1,Recharged_Feasible_mat!AB39=1),(VLOOKUP(AA$1,test!$A$3:$I$32,8,FALSE))-(VLOOKUP($A70,test!$A$3:$I$32,9,FALSE))+test!$B$34,0)</f>
        <v>0</v>
      </c>
      <c r="AB70">
        <f>IF(AND(SUM(VLOOKUP($A70,test!$A$3:$F$32,2,FALSE),VLOOKUP(AB$1,test!$A$3:$F$32,2,FALSE))&lt;test!$K$16,$A70&lt;&gt;AB$1,Recharged_Feasible_mat!AC39=1),(VLOOKUP(AB$1,test!$A$3:$I$32,8,FALSE))-(VLOOKUP($A70,test!$A$3:$I$32,9,FALSE))+test!$B$34,0)</f>
        <v>0</v>
      </c>
      <c r="AC70">
        <f>IF(AND(SUM(VLOOKUP($A70,test!$A$3:$F$32,2,FALSE),VLOOKUP(AC$1,test!$A$3:$F$32,2,FALSE))&lt;test!$K$16,$A70&lt;&gt;AC$1,Recharged_Feasible_mat!AD39=1),(VLOOKUP(AC$1,test!$A$3:$I$32,8,FALSE))-(VLOOKUP($A70,test!$A$3:$I$32,9,FALSE))+test!$B$34,0)</f>
        <v>0</v>
      </c>
      <c r="AD70">
        <f>IF(AND(SUM(VLOOKUP($A70,test!$A$3:$F$32,2,FALSE),VLOOKUP(AD$1,test!$A$3:$F$32,2,FALSE))&lt;test!$K$16,$A70&lt;&gt;AD$1,Recharged_Feasible_mat!AE39=1),(VLOOKUP(AD$1,test!$A$3:$I$32,8,FALSE))-(VLOOKUP($A70,test!$A$3:$I$32,9,FALSE))+test!$B$34,0)</f>
        <v>0</v>
      </c>
      <c r="AE70">
        <f>IF(AND(SUM(VLOOKUP($A70,test!$A$3:$F$32,2,FALSE),VLOOKUP(AE$1,test!$A$3:$F$32,2,FALSE))&lt;test!$K$16,$A70&lt;&gt;AE$1,Recharged_Feasible_mat!AF39=1),(VLOOKUP(AE$1,test!$A$3:$I$32,8,FALSE))-(VLOOKUP($A70,test!$A$3:$I$32,9,FALSE))+test!$B$34,0)</f>
        <v>0</v>
      </c>
      <c r="AF70">
        <f>IF(AND(SUM(VLOOKUP($A70,test!$A$3:$F$32,2,FALSE),VLOOKUP(AF$1,test!$A$3:$F$32,2,FALSE))&lt;test!$K$16,$A70&lt;&gt;AF$1,Recharged_Feasible_mat!AG39=1),(VLOOKUP(AF$1,test!$A$3:$I$32,8,FALSE))-(VLOOKUP($A70,test!$A$3:$I$32,9,FALSE))+test!$B$34,0)</f>
        <v>0</v>
      </c>
    </row>
    <row r="71" spans="1:32" x14ac:dyDescent="0.25">
      <c r="A71" t="s">
        <v>14</v>
      </c>
      <c r="B71">
        <v>0</v>
      </c>
      <c r="C71">
        <f>IF(AND(SUM(VLOOKUP($A71,test!$A$3:$F$32,2,FALSE),VLOOKUP(C$1,test!$A$3:$F$32,2,FALSE))&lt;test!$K$16,$A71&lt;&gt;C$1,Recharged_Feasible_mat!D40=1),(VLOOKUP(C$1,test!$A$3:$I$32,8,FALSE))-(VLOOKUP($A71,test!$A$3:$I$32,9,FALSE))+test!$B$34,0)</f>
        <v>0</v>
      </c>
      <c r="D71">
        <f>IF(AND(SUM(VLOOKUP($A71,test!$A$3:$F$32,2,FALSE),VLOOKUP(D$1,test!$A$3:$F$32,2,FALSE))&lt;test!$K$16,$A71&lt;&gt;D$1,Recharged_Feasible_mat!E40=1),(VLOOKUP(D$1,test!$A$3:$I$32,8,FALSE))-(VLOOKUP($A71,test!$A$3:$I$32,9,FALSE))+test!$B$34,0)</f>
        <v>0</v>
      </c>
      <c r="E71">
        <f>IF(AND(SUM(VLOOKUP($A71,test!$A$3:$F$32,2,FALSE),VLOOKUP(E$1,test!$A$3:$F$32,2,FALSE))&lt;test!$K$16,$A71&lt;&gt;E$1,Recharged_Feasible_mat!F40=1),(VLOOKUP(E$1,test!$A$3:$I$32,8,FALSE))-(VLOOKUP($A71,test!$A$3:$I$32,9,FALSE))+test!$B$34,0)</f>
        <v>0</v>
      </c>
      <c r="F71">
        <f>IF(AND(SUM(VLOOKUP($A71,test!$A$3:$F$32,2,FALSE),VLOOKUP(F$1,test!$A$3:$F$32,2,FALSE))&lt;test!$K$16,$A71&lt;&gt;F$1,Recharged_Feasible_mat!G40=1),(VLOOKUP(F$1,test!$A$3:$I$32,8,FALSE))-(VLOOKUP($A71,test!$A$3:$I$32,9,FALSE))+test!$B$34,0)</f>
        <v>0</v>
      </c>
      <c r="G71">
        <f>IF(AND(SUM(VLOOKUP($A71,test!$A$3:$F$32,2,FALSE),VLOOKUP(G$1,test!$A$3:$F$32,2,FALSE))&lt;test!$K$16,$A71&lt;&gt;G$1,Recharged_Feasible_mat!H40=1),(VLOOKUP(G$1,test!$A$3:$I$32,8,FALSE))-(VLOOKUP($A71,test!$A$3:$I$32,9,FALSE))+test!$B$34,0)</f>
        <v>0</v>
      </c>
      <c r="H71">
        <f>IF(AND(SUM(VLOOKUP($A71,test!$A$3:$F$32,2,FALSE),VLOOKUP(H$1,test!$A$3:$F$32,2,FALSE))&lt;test!$K$16,$A71&lt;&gt;H$1,Recharged_Feasible_mat!I40=1),(VLOOKUP(H$1,test!$A$3:$I$32,8,FALSE))-(VLOOKUP($A71,test!$A$3:$I$32,9,FALSE))+test!$B$34,0)</f>
        <v>0</v>
      </c>
      <c r="I71">
        <f>IF(AND(SUM(VLOOKUP($A71,test!$A$3:$F$32,2,FALSE),VLOOKUP(I$1,test!$A$3:$F$32,2,FALSE))&lt;test!$K$16,$A71&lt;&gt;I$1,Recharged_Feasible_mat!J40=1),(VLOOKUP(I$1,test!$A$3:$I$32,8,FALSE))-(VLOOKUP($A71,test!$A$3:$I$32,9,FALSE))+test!$B$34,0)</f>
        <v>0</v>
      </c>
      <c r="J71">
        <f>IF(AND(SUM(VLOOKUP($A71,test!$A$3:$F$32,2,FALSE),VLOOKUP(J$1,test!$A$3:$F$32,2,FALSE))&lt;test!$K$16,$A71&lt;&gt;J$1,Recharged_Feasible_mat!K40=1),(VLOOKUP(J$1,test!$A$3:$I$32,8,FALSE))-(VLOOKUP($A71,test!$A$3:$I$32,9,FALSE))+test!$B$34,0)</f>
        <v>0</v>
      </c>
      <c r="K71">
        <f>IF(AND(SUM(VLOOKUP($A71,test!$A$3:$F$32,2,FALSE),VLOOKUP(K$1,test!$A$3:$F$32,2,FALSE))&lt;test!$K$16,$A71&lt;&gt;K$1,Recharged_Feasible_mat!L40=1),(VLOOKUP(K$1,test!$A$3:$I$32,8,FALSE))-(VLOOKUP($A71,test!$A$3:$I$32,9,FALSE))+test!$B$34,0)</f>
        <v>0</v>
      </c>
      <c r="L71">
        <f>IF(AND(SUM(VLOOKUP($A71,test!$A$3:$F$32,2,FALSE),VLOOKUP(L$1,test!$A$3:$F$32,2,FALSE))&lt;test!$K$16,$A71&lt;&gt;L$1,Recharged_Feasible_mat!M40=1),(VLOOKUP(L$1,test!$A$3:$I$32,8,FALSE))-(VLOOKUP($A71,test!$A$3:$I$32,9,FALSE))+test!$B$34,0)</f>
        <v>0</v>
      </c>
      <c r="M71">
        <f>IF(AND(SUM(VLOOKUP($A71,test!$A$3:$F$32,2,FALSE),VLOOKUP(M$1,test!$A$3:$F$32,2,FALSE))&lt;test!$K$16,$A71&lt;&gt;M$1,Recharged_Feasible_mat!N40=1),(VLOOKUP(M$1,test!$A$3:$I$32,8,FALSE))-(VLOOKUP($A71,test!$A$3:$I$32,9,FALSE))+test!$B$34,0)</f>
        <v>0</v>
      </c>
      <c r="N71">
        <f>IF(AND(SUM(VLOOKUP($A71,test!$A$3:$F$32,2,FALSE),VLOOKUP(N$1,test!$A$3:$F$32,2,FALSE))&lt;test!$K$16,$A71&lt;&gt;N$1,Recharged_Feasible_mat!O40=1),(VLOOKUP(N$1,test!$A$3:$I$32,8,FALSE))-(VLOOKUP($A71,test!$A$3:$I$32,9,FALSE))+test!$B$34,0)</f>
        <v>0</v>
      </c>
      <c r="O71">
        <f>IF(AND(SUM(VLOOKUP($A71,test!$A$3:$F$32,2,FALSE),VLOOKUP(O$1,test!$A$3:$F$32,2,FALSE))&lt;test!$K$16,$A71&lt;&gt;O$1,Recharged_Feasible_mat!P40=1),(VLOOKUP(O$1,test!$A$3:$I$32,8,FALSE))-(VLOOKUP($A71,test!$A$3:$I$32,9,FALSE))+test!$B$34,0)</f>
        <v>0</v>
      </c>
      <c r="P71">
        <f>IF(AND(SUM(VLOOKUP($A71,test!$A$3:$F$32,2,FALSE),VLOOKUP(P$1,test!$A$3:$F$32,2,FALSE))&lt;test!$K$16,$A71&lt;&gt;P$1,Recharged_Feasible_mat!Q40=1),(VLOOKUP(P$1,test!$A$3:$I$32,8,FALSE))-(VLOOKUP($A71,test!$A$3:$I$32,9,FALSE))+test!$B$34,0)</f>
        <v>0</v>
      </c>
      <c r="Q71">
        <f>IF(AND(SUM(VLOOKUP($A71,test!$A$3:$F$32,2,FALSE),VLOOKUP(Q$1,test!$A$3:$F$32,2,FALSE))&lt;test!$K$16,$A71&lt;&gt;Q$1,Recharged_Feasible_mat!R40=1),(VLOOKUP(Q$1,test!$A$3:$I$32,8,FALSE))-(VLOOKUP($A71,test!$A$3:$I$32,9,FALSE))+test!$B$34,0)</f>
        <v>0</v>
      </c>
      <c r="R71">
        <f>IF(AND(SUM(VLOOKUP($A71,test!$A$3:$F$32,2,FALSE),VLOOKUP(R$1,test!$A$3:$F$32,2,FALSE))&lt;test!$K$16,$A71&lt;&gt;R$1,Recharged_Feasible_mat!S40=1),(VLOOKUP(R$1,test!$A$3:$I$32,8,FALSE))-(VLOOKUP($A71,test!$A$3:$I$32,9,FALSE))+test!$B$34,0)</f>
        <v>0</v>
      </c>
      <c r="S71">
        <f>IF(AND(SUM(VLOOKUP($A71,test!$A$3:$F$32,2,FALSE),VLOOKUP(S$1,test!$A$3:$F$32,2,FALSE))&lt;test!$K$16,$A71&lt;&gt;S$1,Recharged_Feasible_mat!T40=1),(VLOOKUP(S$1,test!$A$3:$I$32,8,FALSE))-(VLOOKUP($A71,test!$A$3:$I$32,9,FALSE))+test!$B$34,0)</f>
        <v>0</v>
      </c>
      <c r="T71">
        <f>IF(AND(SUM(VLOOKUP($A71,test!$A$3:$F$32,2,FALSE),VLOOKUP(T$1,test!$A$3:$F$32,2,FALSE))&lt;test!$K$16,$A71&lt;&gt;T$1,Recharged_Feasible_mat!U40=1),(VLOOKUP(T$1,test!$A$3:$I$32,8,FALSE))-(VLOOKUP($A71,test!$A$3:$I$32,9,FALSE))+test!$B$34,0)</f>
        <v>0</v>
      </c>
      <c r="U71">
        <f>IF(AND(SUM(VLOOKUP($A71,test!$A$3:$F$32,2,FALSE),VLOOKUP(U$1,test!$A$3:$F$32,2,FALSE))&lt;test!$K$16,$A71&lt;&gt;U$1,Recharged_Feasible_mat!V40=1),(VLOOKUP(U$1,test!$A$3:$I$32,8,FALSE))-(VLOOKUP($A71,test!$A$3:$I$32,9,FALSE))+test!$B$34,0)</f>
        <v>0</v>
      </c>
      <c r="V71">
        <f>IF(AND(SUM(VLOOKUP($A71,test!$A$3:$F$32,2,FALSE),VLOOKUP(V$1,test!$A$3:$F$32,2,FALSE))&lt;test!$K$16,$A71&lt;&gt;V$1,Recharged_Feasible_mat!W40=1),(VLOOKUP(V$1,test!$A$3:$I$32,8,FALSE))-(VLOOKUP($A71,test!$A$3:$I$32,9,FALSE))+test!$B$34,0)</f>
        <v>0</v>
      </c>
      <c r="W71">
        <f>IF(AND(SUM(VLOOKUP($A71,test!$A$3:$F$32,2,FALSE),VLOOKUP(W$1,test!$A$3:$F$32,2,FALSE))&lt;test!$K$16,$A71&lt;&gt;W$1,Recharged_Feasible_mat!X40=1),(VLOOKUP(W$1,test!$A$3:$I$32,8,FALSE))-(VLOOKUP($A71,test!$A$3:$I$32,9,FALSE))+test!$B$34,0)</f>
        <v>0</v>
      </c>
      <c r="X71">
        <f>IF(AND(SUM(VLOOKUP($A71,test!$A$3:$F$32,2,FALSE),VLOOKUP(X$1,test!$A$3:$F$32,2,FALSE))&lt;test!$K$16,$A71&lt;&gt;X$1,Recharged_Feasible_mat!Y40=1),(VLOOKUP(X$1,test!$A$3:$I$32,8,FALSE))-(VLOOKUP($A71,test!$A$3:$I$32,9,FALSE))+test!$B$34,0)</f>
        <v>0</v>
      </c>
      <c r="Y71">
        <f>IF(AND(SUM(VLOOKUP($A71,test!$A$3:$F$32,2,FALSE),VLOOKUP(Y$1,test!$A$3:$F$32,2,FALSE))&lt;test!$K$16,$A71&lt;&gt;Y$1,Recharged_Feasible_mat!Z40=1),(VLOOKUP(Y$1,test!$A$3:$I$32,8,FALSE))-(VLOOKUP($A71,test!$A$3:$I$32,9,FALSE))+test!$B$34,0)</f>
        <v>0</v>
      </c>
      <c r="Z71">
        <f>IF(AND(SUM(VLOOKUP($A71,test!$A$3:$F$32,2,FALSE),VLOOKUP(Z$1,test!$A$3:$F$32,2,FALSE))&lt;test!$K$16,$A71&lt;&gt;Z$1,Recharged_Feasible_mat!AA40=1),(VLOOKUP(Z$1,test!$A$3:$I$32,8,FALSE))-(VLOOKUP($A71,test!$A$3:$I$32,9,FALSE))+test!$B$34,0)</f>
        <v>0</v>
      </c>
      <c r="AA71">
        <f>IF(AND(SUM(VLOOKUP($A71,test!$A$3:$F$32,2,FALSE),VLOOKUP(AA$1,test!$A$3:$F$32,2,FALSE))&lt;test!$K$16,$A71&lt;&gt;AA$1,Recharged_Feasible_mat!AB40=1),(VLOOKUP(AA$1,test!$A$3:$I$32,8,FALSE))-(VLOOKUP($A71,test!$A$3:$I$32,9,FALSE))+test!$B$34,0)</f>
        <v>0</v>
      </c>
      <c r="AB71">
        <f>IF(AND(SUM(VLOOKUP($A71,test!$A$3:$F$32,2,FALSE),VLOOKUP(AB$1,test!$A$3:$F$32,2,FALSE))&lt;test!$K$16,$A71&lt;&gt;AB$1,Recharged_Feasible_mat!AC40=1),(VLOOKUP(AB$1,test!$A$3:$I$32,8,FALSE))-(VLOOKUP($A71,test!$A$3:$I$32,9,FALSE))+test!$B$34,0)</f>
        <v>0</v>
      </c>
      <c r="AC71">
        <f>IF(AND(SUM(VLOOKUP($A71,test!$A$3:$F$32,2,FALSE),VLOOKUP(AC$1,test!$A$3:$F$32,2,FALSE))&lt;test!$K$16,$A71&lt;&gt;AC$1,Recharged_Feasible_mat!AD40=1),(VLOOKUP(AC$1,test!$A$3:$I$32,8,FALSE))-(VLOOKUP($A71,test!$A$3:$I$32,9,FALSE))+test!$B$34,0)</f>
        <v>0</v>
      </c>
      <c r="AD71">
        <f>IF(AND(SUM(VLOOKUP($A71,test!$A$3:$F$32,2,FALSE),VLOOKUP(AD$1,test!$A$3:$F$32,2,FALSE))&lt;test!$K$16,$A71&lt;&gt;AD$1,Recharged_Feasible_mat!AE40=1),(VLOOKUP(AD$1,test!$A$3:$I$32,8,FALSE))-(VLOOKUP($A71,test!$A$3:$I$32,9,FALSE))+test!$B$34,0)</f>
        <v>0</v>
      </c>
      <c r="AE71">
        <f>IF(AND(SUM(VLOOKUP($A71,test!$A$3:$F$32,2,FALSE),VLOOKUP(AE$1,test!$A$3:$F$32,2,FALSE))&lt;test!$K$16,$A71&lt;&gt;AE$1,Recharged_Feasible_mat!AF40=1),(VLOOKUP(AE$1,test!$A$3:$I$32,8,FALSE))-(VLOOKUP($A71,test!$A$3:$I$32,9,FALSE))+test!$B$34,0)</f>
        <v>0</v>
      </c>
      <c r="AF71">
        <f>IF(AND(SUM(VLOOKUP($A71,test!$A$3:$F$32,2,FALSE),VLOOKUP(AF$1,test!$A$3:$F$32,2,FALSE))&lt;test!$K$16,$A71&lt;&gt;AF$1,Recharged_Feasible_mat!AG40=1),(VLOOKUP(AF$1,test!$A$3:$I$32,8,FALSE))-(VLOOKUP($A71,test!$A$3:$I$32,9,FALSE))+test!$B$34,0)</f>
        <v>0</v>
      </c>
    </row>
    <row r="72" spans="1:32" x14ac:dyDescent="0.25">
      <c r="A72" t="s">
        <v>15</v>
      </c>
      <c r="B72">
        <v>0</v>
      </c>
      <c r="C72">
        <f>IF(AND(SUM(VLOOKUP($A72,test!$A$3:$F$32,2,FALSE),VLOOKUP(C$1,test!$A$3:$F$32,2,FALSE))&lt;test!$K$16,$A72&lt;&gt;C$1,Recharged_Feasible_mat!D41=1),(VLOOKUP(C$1,test!$A$3:$I$32,8,FALSE))-(VLOOKUP($A72,test!$A$3:$I$32,9,FALSE))+test!$B$34,0)</f>
        <v>0</v>
      </c>
      <c r="D72">
        <f>IF(AND(SUM(VLOOKUP($A72,test!$A$3:$F$32,2,FALSE),VLOOKUP(D$1,test!$A$3:$F$32,2,FALSE))&lt;test!$K$16,$A72&lt;&gt;D$1,Recharged_Feasible_mat!E41=1),(VLOOKUP(D$1,test!$A$3:$I$32,8,FALSE))-(VLOOKUP($A72,test!$A$3:$I$32,9,FALSE))+test!$B$34,0)</f>
        <v>0</v>
      </c>
      <c r="E72">
        <f>IF(AND(SUM(VLOOKUP($A72,test!$A$3:$F$32,2,FALSE),VLOOKUP(E$1,test!$A$3:$F$32,2,FALSE))&lt;test!$K$16,$A72&lt;&gt;E$1,Recharged_Feasible_mat!F41=1),(VLOOKUP(E$1,test!$A$3:$I$32,8,FALSE))-(VLOOKUP($A72,test!$A$3:$I$32,9,FALSE))+test!$B$34,0)</f>
        <v>0</v>
      </c>
      <c r="F72">
        <f>IF(AND(SUM(VLOOKUP($A72,test!$A$3:$F$32,2,FALSE),VLOOKUP(F$1,test!$A$3:$F$32,2,FALSE))&lt;test!$K$16,$A72&lt;&gt;F$1,Recharged_Feasible_mat!G41=1),(VLOOKUP(F$1,test!$A$3:$I$32,8,FALSE))-(VLOOKUP($A72,test!$A$3:$I$32,9,FALSE))+test!$B$34,0)</f>
        <v>0</v>
      </c>
      <c r="G72">
        <f>IF(AND(SUM(VLOOKUP($A72,test!$A$3:$F$32,2,FALSE),VLOOKUP(G$1,test!$A$3:$F$32,2,FALSE))&lt;test!$K$16,$A72&lt;&gt;G$1,Recharged_Feasible_mat!H41=1),(VLOOKUP(G$1,test!$A$3:$I$32,8,FALSE))-(VLOOKUP($A72,test!$A$3:$I$32,9,FALSE))+test!$B$34,0)</f>
        <v>0</v>
      </c>
      <c r="H72">
        <f>IF(AND(SUM(VLOOKUP($A72,test!$A$3:$F$32,2,FALSE),VLOOKUP(H$1,test!$A$3:$F$32,2,FALSE))&lt;test!$K$16,$A72&lt;&gt;H$1,Recharged_Feasible_mat!I41=1),(VLOOKUP(H$1,test!$A$3:$I$32,8,FALSE))-(VLOOKUP($A72,test!$A$3:$I$32,9,FALSE))+test!$B$34,0)</f>
        <v>0</v>
      </c>
      <c r="I72">
        <f>IF(AND(SUM(VLOOKUP($A72,test!$A$3:$F$32,2,FALSE),VLOOKUP(I$1,test!$A$3:$F$32,2,FALSE))&lt;test!$K$16,$A72&lt;&gt;I$1,Recharged_Feasible_mat!J41=1),(VLOOKUP(I$1,test!$A$3:$I$32,8,FALSE))-(VLOOKUP($A72,test!$A$3:$I$32,9,FALSE))+test!$B$34,0)</f>
        <v>0</v>
      </c>
      <c r="J72">
        <f>IF(AND(SUM(VLOOKUP($A72,test!$A$3:$F$32,2,FALSE),VLOOKUP(J$1,test!$A$3:$F$32,2,FALSE))&lt;test!$K$16,$A72&lt;&gt;J$1,Recharged_Feasible_mat!K41=1),(VLOOKUP(J$1,test!$A$3:$I$32,8,FALSE))-(VLOOKUP($A72,test!$A$3:$I$32,9,FALSE))+test!$B$34,0)</f>
        <v>0</v>
      </c>
      <c r="K72">
        <f>IF(AND(SUM(VLOOKUP($A72,test!$A$3:$F$32,2,FALSE),VLOOKUP(K$1,test!$A$3:$F$32,2,FALSE))&lt;test!$K$16,$A72&lt;&gt;K$1,Recharged_Feasible_mat!L41=1),(VLOOKUP(K$1,test!$A$3:$I$32,8,FALSE))-(VLOOKUP($A72,test!$A$3:$I$32,9,FALSE))+test!$B$34,0)</f>
        <v>0</v>
      </c>
      <c r="L72">
        <f>IF(AND(SUM(VLOOKUP($A72,test!$A$3:$F$32,2,FALSE),VLOOKUP(L$1,test!$A$3:$F$32,2,FALSE))&lt;test!$K$16,$A72&lt;&gt;L$1,Recharged_Feasible_mat!M41=1),(VLOOKUP(L$1,test!$A$3:$I$32,8,FALSE))-(VLOOKUP($A72,test!$A$3:$I$32,9,FALSE))+test!$B$34,0)</f>
        <v>0</v>
      </c>
      <c r="M72">
        <f>IF(AND(SUM(VLOOKUP($A72,test!$A$3:$F$32,2,FALSE),VLOOKUP(M$1,test!$A$3:$F$32,2,FALSE))&lt;test!$K$16,$A72&lt;&gt;M$1,Recharged_Feasible_mat!N41=1),(VLOOKUP(M$1,test!$A$3:$I$32,8,FALSE))-(VLOOKUP($A72,test!$A$3:$I$32,9,FALSE))+test!$B$34,0)</f>
        <v>0</v>
      </c>
      <c r="N72">
        <f>IF(AND(SUM(VLOOKUP($A72,test!$A$3:$F$32,2,FALSE),VLOOKUP(N$1,test!$A$3:$F$32,2,FALSE))&lt;test!$K$16,$A72&lt;&gt;N$1,Recharged_Feasible_mat!O41=1),(VLOOKUP(N$1,test!$A$3:$I$32,8,FALSE))-(VLOOKUP($A72,test!$A$3:$I$32,9,FALSE))+test!$B$34,0)</f>
        <v>0</v>
      </c>
      <c r="O72">
        <f>IF(AND(SUM(VLOOKUP($A72,test!$A$3:$F$32,2,FALSE),VLOOKUP(O$1,test!$A$3:$F$32,2,FALSE))&lt;test!$K$16,$A72&lt;&gt;O$1,Recharged_Feasible_mat!P41=1),(VLOOKUP(O$1,test!$A$3:$I$32,8,FALSE))-(VLOOKUP($A72,test!$A$3:$I$32,9,FALSE))+test!$B$34,0)</f>
        <v>0</v>
      </c>
      <c r="P72">
        <f>IF(AND(SUM(VLOOKUP($A72,test!$A$3:$F$32,2,FALSE),VLOOKUP(P$1,test!$A$3:$F$32,2,FALSE))&lt;test!$K$16,$A72&lt;&gt;P$1,Recharged_Feasible_mat!Q41=1),(VLOOKUP(P$1,test!$A$3:$I$32,8,FALSE))-(VLOOKUP($A72,test!$A$3:$I$32,9,FALSE))+test!$B$34,0)</f>
        <v>0</v>
      </c>
      <c r="Q72">
        <f>IF(AND(SUM(VLOOKUP($A72,test!$A$3:$F$32,2,FALSE),VLOOKUP(Q$1,test!$A$3:$F$32,2,FALSE))&lt;test!$K$16,$A72&lt;&gt;Q$1,Recharged_Feasible_mat!R41=1),(VLOOKUP(Q$1,test!$A$3:$I$32,8,FALSE))-(VLOOKUP($A72,test!$A$3:$I$32,9,FALSE))+test!$B$34,0)</f>
        <v>0</v>
      </c>
      <c r="R72">
        <f>IF(AND(SUM(VLOOKUP($A72,test!$A$3:$F$32,2,FALSE),VLOOKUP(R$1,test!$A$3:$F$32,2,FALSE))&lt;test!$K$16,$A72&lt;&gt;R$1,Recharged_Feasible_mat!S41=1),(VLOOKUP(R$1,test!$A$3:$I$32,8,FALSE))-(VLOOKUP($A72,test!$A$3:$I$32,9,FALSE))+test!$B$34,0)</f>
        <v>0</v>
      </c>
      <c r="S72">
        <f>IF(AND(SUM(VLOOKUP($A72,test!$A$3:$F$32,2,FALSE),VLOOKUP(S$1,test!$A$3:$F$32,2,FALSE))&lt;test!$K$16,$A72&lt;&gt;S$1,Recharged_Feasible_mat!T41=1),(VLOOKUP(S$1,test!$A$3:$I$32,8,FALSE))-(VLOOKUP($A72,test!$A$3:$I$32,9,FALSE))+test!$B$34,0)</f>
        <v>0</v>
      </c>
      <c r="T72">
        <f>IF(AND(SUM(VLOOKUP($A72,test!$A$3:$F$32,2,FALSE),VLOOKUP(T$1,test!$A$3:$F$32,2,FALSE))&lt;test!$K$16,$A72&lt;&gt;T$1,Recharged_Feasible_mat!U41=1),(VLOOKUP(T$1,test!$A$3:$I$32,8,FALSE))-(VLOOKUP($A72,test!$A$3:$I$32,9,FALSE))+test!$B$34,0)</f>
        <v>0</v>
      </c>
      <c r="U72">
        <f>IF(AND(SUM(VLOOKUP($A72,test!$A$3:$F$32,2,FALSE),VLOOKUP(U$1,test!$A$3:$F$32,2,FALSE))&lt;test!$K$16,$A72&lt;&gt;U$1,Recharged_Feasible_mat!V41=1),(VLOOKUP(U$1,test!$A$3:$I$32,8,FALSE))-(VLOOKUP($A72,test!$A$3:$I$32,9,FALSE))+test!$B$34,0)</f>
        <v>0</v>
      </c>
      <c r="V72">
        <f>IF(AND(SUM(VLOOKUP($A72,test!$A$3:$F$32,2,FALSE),VLOOKUP(V$1,test!$A$3:$F$32,2,FALSE))&lt;test!$K$16,$A72&lt;&gt;V$1,Recharged_Feasible_mat!W41=1),(VLOOKUP(V$1,test!$A$3:$I$32,8,FALSE))-(VLOOKUP($A72,test!$A$3:$I$32,9,FALSE))+test!$B$34,0)</f>
        <v>0</v>
      </c>
      <c r="W72">
        <f>IF(AND(SUM(VLOOKUP($A72,test!$A$3:$F$32,2,FALSE),VLOOKUP(W$1,test!$A$3:$F$32,2,FALSE))&lt;test!$K$16,$A72&lt;&gt;W$1,Recharged_Feasible_mat!X41=1),(VLOOKUP(W$1,test!$A$3:$I$32,8,FALSE))-(VLOOKUP($A72,test!$A$3:$I$32,9,FALSE))+test!$B$34,0)</f>
        <v>0</v>
      </c>
      <c r="X72">
        <f>IF(AND(SUM(VLOOKUP($A72,test!$A$3:$F$32,2,FALSE),VLOOKUP(X$1,test!$A$3:$F$32,2,FALSE))&lt;test!$K$16,$A72&lt;&gt;X$1,Recharged_Feasible_mat!Y41=1),(VLOOKUP(X$1,test!$A$3:$I$32,8,FALSE))-(VLOOKUP($A72,test!$A$3:$I$32,9,FALSE))+test!$B$34,0)</f>
        <v>0</v>
      </c>
      <c r="Y72">
        <f>IF(AND(SUM(VLOOKUP($A72,test!$A$3:$F$32,2,FALSE),VLOOKUP(Y$1,test!$A$3:$F$32,2,FALSE))&lt;test!$K$16,$A72&lt;&gt;Y$1,Recharged_Feasible_mat!Z41=1),(VLOOKUP(Y$1,test!$A$3:$I$32,8,FALSE))-(VLOOKUP($A72,test!$A$3:$I$32,9,FALSE))+test!$B$34,0)</f>
        <v>0</v>
      </c>
      <c r="Z72">
        <f>IF(AND(SUM(VLOOKUP($A72,test!$A$3:$F$32,2,FALSE),VLOOKUP(Z$1,test!$A$3:$F$32,2,FALSE))&lt;test!$K$16,$A72&lt;&gt;Z$1,Recharged_Feasible_mat!AA41=1),(VLOOKUP(Z$1,test!$A$3:$I$32,8,FALSE))-(VLOOKUP($A72,test!$A$3:$I$32,9,FALSE))+test!$B$34,0)</f>
        <v>0</v>
      </c>
      <c r="AA72">
        <f>IF(AND(SUM(VLOOKUP($A72,test!$A$3:$F$32,2,FALSE),VLOOKUP(AA$1,test!$A$3:$F$32,2,FALSE))&lt;test!$K$16,$A72&lt;&gt;AA$1,Recharged_Feasible_mat!AB41=1),(VLOOKUP(AA$1,test!$A$3:$I$32,8,FALSE))-(VLOOKUP($A72,test!$A$3:$I$32,9,FALSE))+test!$B$34,0)</f>
        <v>0</v>
      </c>
      <c r="AB72">
        <f>IF(AND(SUM(VLOOKUP($A72,test!$A$3:$F$32,2,FALSE),VLOOKUP(AB$1,test!$A$3:$F$32,2,FALSE))&lt;test!$K$16,$A72&lt;&gt;AB$1,Recharged_Feasible_mat!AC41=1),(VLOOKUP(AB$1,test!$A$3:$I$32,8,FALSE))-(VLOOKUP($A72,test!$A$3:$I$32,9,FALSE))+test!$B$34,0)</f>
        <v>0</v>
      </c>
      <c r="AC72">
        <f>IF(AND(SUM(VLOOKUP($A72,test!$A$3:$F$32,2,FALSE),VLOOKUP(AC$1,test!$A$3:$F$32,2,FALSE))&lt;test!$K$16,$A72&lt;&gt;AC$1,Recharged_Feasible_mat!AD41=1),(VLOOKUP(AC$1,test!$A$3:$I$32,8,FALSE))-(VLOOKUP($A72,test!$A$3:$I$32,9,FALSE))+test!$B$34,0)</f>
        <v>0</v>
      </c>
      <c r="AD72">
        <f>IF(AND(SUM(VLOOKUP($A72,test!$A$3:$F$32,2,FALSE),VLOOKUP(AD$1,test!$A$3:$F$32,2,FALSE))&lt;test!$K$16,$A72&lt;&gt;AD$1,Recharged_Feasible_mat!AE41=1),(VLOOKUP(AD$1,test!$A$3:$I$32,8,FALSE))-(VLOOKUP($A72,test!$A$3:$I$32,9,FALSE))+test!$B$34,0)</f>
        <v>0</v>
      </c>
      <c r="AE72">
        <f>IF(AND(SUM(VLOOKUP($A72,test!$A$3:$F$32,2,FALSE),VLOOKUP(AE$1,test!$A$3:$F$32,2,FALSE))&lt;test!$K$16,$A72&lt;&gt;AE$1,Recharged_Feasible_mat!AF41=1),(VLOOKUP(AE$1,test!$A$3:$I$32,8,FALSE))-(VLOOKUP($A72,test!$A$3:$I$32,9,FALSE))+test!$B$34,0)</f>
        <v>0</v>
      </c>
      <c r="AF72">
        <f>IF(AND(SUM(VLOOKUP($A72,test!$A$3:$F$32,2,FALSE),VLOOKUP(AF$1,test!$A$3:$F$32,2,FALSE))&lt;test!$K$16,$A72&lt;&gt;AF$1,Recharged_Feasible_mat!AG41=1),(VLOOKUP(AF$1,test!$A$3:$I$32,8,FALSE))-(VLOOKUP($A72,test!$A$3:$I$32,9,FALSE))+test!$B$34,0)</f>
        <v>0</v>
      </c>
    </row>
    <row r="73" spans="1:32" x14ac:dyDescent="0.25">
      <c r="A73" t="s">
        <v>18</v>
      </c>
      <c r="B73">
        <v>0</v>
      </c>
      <c r="C73">
        <f>IF(AND(SUM(VLOOKUP($A73,test!$A$3:$F$32,2,FALSE),VLOOKUP(C$1,test!$A$3:$F$32,2,FALSE))&lt;test!$K$16,$A73&lt;&gt;C$1,Recharged_Feasible_mat!D42=1),(VLOOKUP(C$1,test!$A$3:$I$32,8,FALSE))-(VLOOKUP($A73,test!$A$3:$I$32,9,FALSE))+test!$B$34,0)</f>
        <v>0</v>
      </c>
      <c r="D73">
        <f>IF(AND(SUM(VLOOKUP($A73,test!$A$3:$F$32,2,FALSE),VLOOKUP(D$1,test!$A$3:$F$32,2,FALSE))&lt;test!$K$16,$A73&lt;&gt;D$1,Recharged_Feasible_mat!E42=1),(VLOOKUP(D$1,test!$A$3:$I$32,8,FALSE))-(VLOOKUP($A73,test!$A$3:$I$32,9,FALSE))+test!$B$34,0)</f>
        <v>0</v>
      </c>
      <c r="E73">
        <f>IF(AND(SUM(VLOOKUP($A73,test!$A$3:$F$32,2,FALSE),VLOOKUP(E$1,test!$A$3:$F$32,2,FALSE))&lt;test!$K$16,$A73&lt;&gt;E$1,Recharged_Feasible_mat!F42=1),(VLOOKUP(E$1,test!$A$3:$I$32,8,FALSE))-(VLOOKUP($A73,test!$A$3:$I$32,9,FALSE))+test!$B$34,0)</f>
        <v>0</v>
      </c>
      <c r="F73">
        <f>IF(AND(SUM(VLOOKUP($A73,test!$A$3:$F$32,2,FALSE),VLOOKUP(F$1,test!$A$3:$F$32,2,FALSE))&lt;test!$K$16,$A73&lt;&gt;F$1,Recharged_Feasible_mat!G42=1),(VLOOKUP(F$1,test!$A$3:$I$32,8,FALSE))-(VLOOKUP($A73,test!$A$3:$I$32,9,FALSE))+test!$B$34,0)</f>
        <v>275</v>
      </c>
      <c r="G73">
        <f>IF(AND(SUM(VLOOKUP($A73,test!$A$3:$F$32,2,FALSE),VLOOKUP(G$1,test!$A$3:$F$32,2,FALSE))&lt;test!$K$16,$A73&lt;&gt;G$1,Recharged_Feasible_mat!H42=1),(VLOOKUP(G$1,test!$A$3:$I$32,8,FALSE))-(VLOOKUP($A73,test!$A$3:$I$32,9,FALSE))+test!$B$34,0)</f>
        <v>335</v>
      </c>
      <c r="H73">
        <f>IF(AND(SUM(VLOOKUP($A73,test!$A$3:$F$32,2,FALSE),VLOOKUP(H$1,test!$A$3:$F$32,2,FALSE))&lt;test!$K$16,$A73&lt;&gt;H$1,Recharged_Feasible_mat!I42=1),(VLOOKUP(H$1,test!$A$3:$I$32,8,FALSE))-(VLOOKUP($A73,test!$A$3:$I$32,9,FALSE))+test!$B$34,0)</f>
        <v>395</v>
      </c>
      <c r="I73">
        <f>IF(AND(SUM(VLOOKUP($A73,test!$A$3:$F$32,2,FALSE),VLOOKUP(I$1,test!$A$3:$F$32,2,FALSE))&lt;test!$K$16,$A73&lt;&gt;I$1,Recharged_Feasible_mat!J42=1),(VLOOKUP(I$1,test!$A$3:$I$32,8,FALSE))-(VLOOKUP($A73,test!$A$3:$I$32,9,FALSE))+test!$B$34,0)</f>
        <v>455</v>
      </c>
      <c r="J73">
        <f>IF(AND(SUM(VLOOKUP($A73,test!$A$3:$F$32,2,FALSE),VLOOKUP(J$1,test!$A$3:$F$32,2,FALSE))&lt;test!$K$16,$A73&lt;&gt;J$1,Recharged_Feasible_mat!K42=1),(VLOOKUP(J$1,test!$A$3:$I$32,8,FALSE))-(VLOOKUP($A73,test!$A$3:$I$32,9,FALSE))+test!$B$34,0)</f>
        <v>545</v>
      </c>
      <c r="K73">
        <f>IF(AND(SUM(VLOOKUP($A73,test!$A$3:$F$32,2,FALSE),VLOOKUP(K$1,test!$A$3:$F$32,2,FALSE))&lt;test!$K$16,$A73&lt;&gt;K$1,Recharged_Feasible_mat!L42=1),(VLOOKUP(K$1,test!$A$3:$I$32,8,FALSE))-(VLOOKUP($A73,test!$A$3:$I$32,9,FALSE))+test!$B$34,0)</f>
        <v>0</v>
      </c>
      <c r="L73">
        <f>IF(AND(SUM(VLOOKUP($A73,test!$A$3:$F$32,2,FALSE),VLOOKUP(L$1,test!$A$3:$F$32,2,FALSE))&lt;test!$K$16,$A73&lt;&gt;L$1,Recharged_Feasible_mat!M42=1),(VLOOKUP(L$1,test!$A$3:$I$32,8,FALSE))-(VLOOKUP($A73,test!$A$3:$I$32,9,FALSE))+test!$B$34,0)</f>
        <v>0</v>
      </c>
      <c r="M73">
        <f>IF(AND(SUM(VLOOKUP($A73,test!$A$3:$F$32,2,FALSE),VLOOKUP(M$1,test!$A$3:$F$32,2,FALSE))&lt;test!$K$16,$A73&lt;&gt;M$1,Recharged_Feasible_mat!N42=1),(VLOOKUP(M$1,test!$A$3:$I$32,8,FALSE))-(VLOOKUP($A73,test!$A$3:$I$32,9,FALSE))+test!$B$34,0)</f>
        <v>0</v>
      </c>
      <c r="N73">
        <f>IF(AND(SUM(VLOOKUP($A73,test!$A$3:$F$32,2,FALSE),VLOOKUP(N$1,test!$A$3:$F$32,2,FALSE))&lt;test!$K$16,$A73&lt;&gt;N$1,Recharged_Feasible_mat!O42=1),(VLOOKUP(N$1,test!$A$3:$I$32,8,FALSE))-(VLOOKUP($A73,test!$A$3:$I$32,9,FALSE))+test!$B$34,0)</f>
        <v>510</v>
      </c>
      <c r="O73">
        <f>IF(AND(SUM(VLOOKUP($A73,test!$A$3:$F$32,2,FALSE),VLOOKUP(O$1,test!$A$3:$F$32,2,FALSE))&lt;test!$K$16,$A73&lt;&gt;O$1,Recharged_Feasible_mat!P42=1),(VLOOKUP(O$1,test!$A$3:$I$32,8,FALSE))-(VLOOKUP($A73,test!$A$3:$I$32,9,FALSE))+test!$B$34,0)</f>
        <v>570</v>
      </c>
      <c r="P73">
        <f>IF(AND(SUM(VLOOKUP($A73,test!$A$3:$F$32,2,FALSE),VLOOKUP(P$1,test!$A$3:$F$32,2,FALSE))&lt;test!$K$16,$A73&lt;&gt;P$1,Recharged_Feasible_mat!Q42=1),(VLOOKUP(P$1,test!$A$3:$I$32,8,FALSE))-(VLOOKUP($A73,test!$A$3:$I$32,9,FALSE))+test!$B$34,0)</f>
        <v>0</v>
      </c>
      <c r="Q73">
        <f>IF(AND(SUM(VLOOKUP($A73,test!$A$3:$F$32,2,FALSE),VLOOKUP(Q$1,test!$A$3:$F$32,2,FALSE))&lt;test!$K$16,$A73&lt;&gt;Q$1,Recharged_Feasible_mat!R42=1),(VLOOKUP(Q$1,test!$A$3:$I$32,8,FALSE))-(VLOOKUP($A73,test!$A$3:$I$32,9,FALSE))+test!$B$34,0)</f>
        <v>0</v>
      </c>
      <c r="R73">
        <f>IF(AND(SUM(VLOOKUP($A73,test!$A$3:$F$32,2,FALSE),VLOOKUP(R$1,test!$A$3:$F$32,2,FALSE))&lt;test!$K$16,$A73&lt;&gt;R$1,Recharged_Feasible_mat!S42=1),(VLOOKUP(R$1,test!$A$3:$I$32,8,FALSE))-(VLOOKUP($A73,test!$A$3:$I$32,9,FALSE))+test!$B$34,0)</f>
        <v>0</v>
      </c>
      <c r="S73">
        <f>IF(AND(SUM(VLOOKUP($A73,test!$A$3:$F$32,2,FALSE),VLOOKUP(S$1,test!$A$3:$F$32,2,FALSE))&lt;test!$K$16,$A73&lt;&gt;S$1,Recharged_Feasible_mat!T42=1),(VLOOKUP(S$1,test!$A$3:$I$32,8,FALSE))-(VLOOKUP($A73,test!$A$3:$I$32,9,FALSE))+test!$B$34,0)</f>
        <v>0</v>
      </c>
      <c r="T73">
        <f>IF(AND(SUM(VLOOKUP($A73,test!$A$3:$F$32,2,FALSE),VLOOKUP(T$1,test!$A$3:$F$32,2,FALSE))&lt;test!$K$16,$A73&lt;&gt;T$1,Recharged_Feasible_mat!U42=1),(VLOOKUP(T$1,test!$A$3:$I$32,8,FALSE))-(VLOOKUP($A73,test!$A$3:$I$32,9,FALSE))+test!$B$34,0)</f>
        <v>0</v>
      </c>
      <c r="U73">
        <f>IF(AND(SUM(VLOOKUP($A73,test!$A$3:$F$32,2,FALSE),VLOOKUP(U$1,test!$A$3:$F$32,2,FALSE))&lt;test!$K$16,$A73&lt;&gt;U$1,Recharged_Feasible_mat!V42=1),(VLOOKUP(U$1,test!$A$3:$I$32,8,FALSE))-(VLOOKUP($A73,test!$A$3:$I$32,9,FALSE))+test!$B$34,0)</f>
        <v>255</v>
      </c>
      <c r="V73">
        <f>IF(AND(SUM(VLOOKUP($A73,test!$A$3:$F$32,2,FALSE),VLOOKUP(V$1,test!$A$3:$F$32,2,FALSE))&lt;test!$K$16,$A73&lt;&gt;V$1,Recharged_Feasible_mat!W42=1),(VLOOKUP(V$1,test!$A$3:$I$32,8,FALSE))-(VLOOKUP($A73,test!$A$3:$I$32,9,FALSE))+test!$B$34,0)</f>
        <v>345</v>
      </c>
      <c r="W73">
        <f>IF(AND(SUM(VLOOKUP($A73,test!$A$3:$F$32,2,FALSE),VLOOKUP(W$1,test!$A$3:$F$32,2,FALSE))&lt;test!$K$16,$A73&lt;&gt;W$1,Recharged_Feasible_mat!X42=1),(VLOOKUP(W$1,test!$A$3:$I$32,8,FALSE))-(VLOOKUP($A73,test!$A$3:$I$32,9,FALSE))+test!$B$34,0)</f>
        <v>435</v>
      </c>
      <c r="X73">
        <f>IF(AND(SUM(VLOOKUP($A73,test!$A$3:$F$32,2,FALSE),VLOOKUP(X$1,test!$A$3:$F$32,2,FALSE))&lt;test!$K$16,$A73&lt;&gt;X$1,Recharged_Feasible_mat!Y42=1),(VLOOKUP(X$1,test!$A$3:$I$32,8,FALSE))-(VLOOKUP($A73,test!$A$3:$I$32,9,FALSE))+test!$B$34,0)</f>
        <v>495</v>
      </c>
      <c r="Y73">
        <f>IF(AND(SUM(VLOOKUP($A73,test!$A$3:$F$32,2,FALSE),VLOOKUP(Y$1,test!$A$3:$F$32,2,FALSE))&lt;test!$K$16,$A73&lt;&gt;Y$1,Recharged_Feasible_mat!Z42=1),(VLOOKUP(Y$1,test!$A$3:$I$32,8,FALSE))-(VLOOKUP($A73,test!$A$3:$I$32,9,FALSE))+test!$B$34,0)</f>
        <v>0</v>
      </c>
      <c r="Z73">
        <f>IF(AND(SUM(VLOOKUP($A73,test!$A$3:$F$32,2,FALSE),VLOOKUP(Z$1,test!$A$3:$F$32,2,FALSE))&lt;test!$K$16,$A73&lt;&gt;Z$1,Recharged_Feasible_mat!AA42=1),(VLOOKUP(Z$1,test!$A$3:$I$32,8,FALSE))-(VLOOKUP($A73,test!$A$3:$I$32,9,FALSE))+test!$B$34,0)</f>
        <v>0</v>
      </c>
      <c r="AA73">
        <f>IF(AND(SUM(VLOOKUP($A73,test!$A$3:$F$32,2,FALSE),VLOOKUP(AA$1,test!$A$3:$F$32,2,FALSE))&lt;test!$K$16,$A73&lt;&gt;AA$1,Recharged_Feasible_mat!AB42=1),(VLOOKUP(AA$1,test!$A$3:$I$32,8,FALSE))-(VLOOKUP($A73,test!$A$3:$I$32,9,FALSE))+test!$B$34,0)</f>
        <v>0</v>
      </c>
      <c r="AB73">
        <f>IF(AND(SUM(VLOOKUP($A73,test!$A$3:$F$32,2,FALSE),VLOOKUP(AB$1,test!$A$3:$F$32,2,FALSE))&lt;test!$K$16,$A73&lt;&gt;AB$1,Recharged_Feasible_mat!AC42=1),(VLOOKUP(AB$1,test!$A$3:$I$32,8,FALSE))-(VLOOKUP($A73,test!$A$3:$I$32,9,FALSE))+test!$B$34,0)</f>
        <v>275</v>
      </c>
      <c r="AC73">
        <f>IF(AND(SUM(VLOOKUP($A73,test!$A$3:$F$32,2,FALSE),VLOOKUP(AC$1,test!$A$3:$F$32,2,FALSE))&lt;test!$K$16,$A73&lt;&gt;AC$1,Recharged_Feasible_mat!AD42=1),(VLOOKUP(AC$1,test!$A$3:$I$32,8,FALSE))-(VLOOKUP($A73,test!$A$3:$I$32,9,FALSE))+test!$B$34,0)</f>
        <v>395</v>
      </c>
      <c r="AD73">
        <f>IF(AND(SUM(VLOOKUP($A73,test!$A$3:$F$32,2,FALSE),VLOOKUP(AD$1,test!$A$3:$F$32,2,FALSE))&lt;test!$K$16,$A73&lt;&gt;AD$1,Recharged_Feasible_mat!AE42=1),(VLOOKUP(AD$1,test!$A$3:$I$32,8,FALSE))-(VLOOKUP($A73,test!$A$3:$I$32,9,FALSE))+test!$B$34,0)</f>
        <v>0</v>
      </c>
      <c r="AE73">
        <f>IF(AND(SUM(VLOOKUP($A73,test!$A$3:$F$32,2,FALSE),VLOOKUP(AE$1,test!$A$3:$F$32,2,FALSE))&lt;test!$K$16,$A73&lt;&gt;AE$1,Recharged_Feasible_mat!AF42=1),(VLOOKUP(AE$1,test!$A$3:$I$32,8,FALSE))-(VLOOKUP($A73,test!$A$3:$I$32,9,FALSE))+test!$B$34,0)</f>
        <v>0</v>
      </c>
      <c r="AF73">
        <f>IF(AND(SUM(VLOOKUP($A73,test!$A$3:$F$32,2,FALSE),VLOOKUP(AF$1,test!$A$3:$F$32,2,FALSE))&lt;test!$K$16,$A73&lt;&gt;AF$1,Recharged_Feasible_mat!AG42=1),(VLOOKUP(AF$1,test!$A$3:$I$32,8,FALSE))-(VLOOKUP($A73,test!$A$3:$I$32,9,FALSE))+test!$B$34,0)</f>
        <v>0</v>
      </c>
    </row>
    <row r="74" spans="1:32" x14ac:dyDescent="0.25">
      <c r="A74" t="s">
        <v>20</v>
      </c>
      <c r="B74">
        <v>0</v>
      </c>
      <c r="C74">
        <f>IF(AND(SUM(VLOOKUP($A74,test!$A$3:$F$32,2,FALSE),VLOOKUP(C$1,test!$A$3:$F$32,2,FALSE))&lt;test!$K$16,$A74&lt;&gt;C$1,Recharged_Feasible_mat!D43=1),(VLOOKUP(C$1,test!$A$3:$I$32,8,FALSE))-(VLOOKUP($A74,test!$A$3:$I$32,9,FALSE))+test!$B$34,0)</f>
        <v>0</v>
      </c>
      <c r="D74">
        <f>IF(AND(SUM(VLOOKUP($A74,test!$A$3:$F$32,2,FALSE),VLOOKUP(D$1,test!$A$3:$F$32,2,FALSE))&lt;test!$K$16,$A74&lt;&gt;D$1,Recharged_Feasible_mat!E43=1),(VLOOKUP(D$1,test!$A$3:$I$32,8,FALSE))-(VLOOKUP($A74,test!$A$3:$I$32,9,FALSE))+test!$B$34,0)</f>
        <v>0</v>
      </c>
      <c r="E74">
        <f>IF(AND(SUM(VLOOKUP($A74,test!$A$3:$F$32,2,FALSE),VLOOKUP(E$1,test!$A$3:$F$32,2,FALSE))&lt;test!$K$16,$A74&lt;&gt;E$1,Recharged_Feasible_mat!F43=1),(VLOOKUP(E$1,test!$A$3:$I$32,8,FALSE))-(VLOOKUP($A74,test!$A$3:$I$32,9,FALSE))+test!$B$34,0)</f>
        <v>0</v>
      </c>
      <c r="F74">
        <f>IF(AND(SUM(VLOOKUP($A74,test!$A$3:$F$32,2,FALSE),VLOOKUP(F$1,test!$A$3:$F$32,2,FALSE))&lt;test!$K$16,$A74&lt;&gt;F$1,Recharged_Feasible_mat!G43=1),(VLOOKUP(F$1,test!$A$3:$I$32,8,FALSE))-(VLOOKUP($A74,test!$A$3:$I$32,9,FALSE))+test!$B$34,0)</f>
        <v>0</v>
      </c>
      <c r="G74">
        <f>IF(AND(SUM(VLOOKUP($A74,test!$A$3:$F$32,2,FALSE),VLOOKUP(G$1,test!$A$3:$F$32,2,FALSE))&lt;test!$K$16,$A74&lt;&gt;G$1,Recharged_Feasible_mat!H43=1),(VLOOKUP(G$1,test!$A$3:$I$32,8,FALSE))-(VLOOKUP($A74,test!$A$3:$I$32,9,FALSE))+test!$B$34,0)</f>
        <v>0</v>
      </c>
      <c r="H74">
        <f>IF(AND(SUM(VLOOKUP($A74,test!$A$3:$F$32,2,FALSE),VLOOKUP(H$1,test!$A$3:$F$32,2,FALSE))&lt;test!$K$16,$A74&lt;&gt;H$1,Recharged_Feasible_mat!I43=1),(VLOOKUP(H$1,test!$A$3:$I$32,8,FALSE))-(VLOOKUP($A74,test!$A$3:$I$32,9,FALSE))+test!$B$34,0)</f>
        <v>275</v>
      </c>
      <c r="I74">
        <f>IF(AND(SUM(VLOOKUP($A74,test!$A$3:$F$32,2,FALSE),VLOOKUP(I$1,test!$A$3:$F$32,2,FALSE))&lt;test!$K$16,$A74&lt;&gt;I$1,Recharged_Feasible_mat!J43=1),(VLOOKUP(I$1,test!$A$3:$I$32,8,FALSE))-(VLOOKUP($A74,test!$A$3:$I$32,9,FALSE))+test!$B$34,0)</f>
        <v>335</v>
      </c>
      <c r="J74">
        <f>IF(AND(SUM(VLOOKUP($A74,test!$A$3:$F$32,2,FALSE),VLOOKUP(J$1,test!$A$3:$F$32,2,FALSE))&lt;test!$K$16,$A74&lt;&gt;J$1,Recharged_Feasible_mat!K43=1),(VLOOKUP(J$1,test!$A$3:$I$32,8,FALSE))-(VLOOKUP($A74,test!$A$3:$I$32,9,FALSE))+test!$B$34,0)</f>
        <v>425</v>
      </c>
      <c r="K74">
        <f>IF(AND(SUM(VLOOKUP($A74,test!$A$3:$F$32,2,FALSE),VLOOKUP(K$1,test!$A$3:$F$32,2,FALSE))&lt;test!$K$16,$A74&lt;&gt;K$1,Recharged_Feasible_mat!L43=1),(VLOOKUP(K$1,test!$A$3:$I$32,8,FALSE))-(VLOOKUP($A74,test!$A$3:$I$32,9,FALSE))+test!$B$34,0)</f>
        <v>0</v>
      </c>
      <c r="L74">
        <f>IF(AND(SUM(VLOOKUP($A74,test!$A$3:$F$32,2,FALSE),VLOOKUP(L$1,test!$A$3:$F$32,2,FALSE))&lt;test!$K$16,$A74&lt;&gt;L$1,Recharged_Feasible_mat!M43=1),(VLOOKUP(L$1,test!$A$3:$I$32,8,FALSE))-(VLOOKUP($A74,test!$A$3:$I$32,9,FALSE))+test!$B$34,0)</f>
        <v>0</v>
      </c>
      <c r="M74">
        <f>IF(AND(SUM(VLOOKUP($A74,test!$A$3:$F$32,2,FALSE),VLOOKUP(M$1,test!$A$3:$F$32,2,FALSE))&lt;test!$K$16,$A74&lt;&gt;M$1,Recharged_Feasible_mat!N43=1),(VLOOKUP(M$1,test!$A$3:$I$32,8,FALSE))-(VLOOKUP($A74,test!$A$3:$I$32,9,FALSE))+test!$B$34,0)</f>
        <v>0</v>
      </c>
      <c r="N74">
        <f>IF(AND(SUM(VLOOKUP($A74,test!$A$3:$F$32,2,FALSE),VLOOKUP(N$1,test!$A$3:$F$32,2,FALSE))&lt;test!$K$16,$A74&lt;&gt;N$1,Recharged_Feasible_mat!O43=1),(VLOOKUP(N$1,test!$A$3:$I$32,8,FALSE))-(VLOOKUP($A74,test!$A$3:$I$32,9,FALSE))+test!$B$34,0)</f>
        <v>390</v>
      </c>
      <c r="O74">
        <f>IF(AND(SUM(VLOOKUP($A74,test!$A$3:$F$32,2,FALSE),VLOOKUP(O$1,test!$A$3:$F$32,2,FALSE))&lt;test!$K$16,$A74&lt;&gt;O$1,Recharged_Feasible_mat!P43=1),(VLOOKUP(O$1,test!$A$3:$I$32,8,FALSE))-(VLOOKUP($A74,test!$A$3:$I$32,9,FALSE))+test!$B$34,0)</f>
        <v>450</v>
      </c>
      <c r="P74">
        <f>IF(AND(SUM(VLOOKUP($A74,test!$A$3:$F$32,2,FALSE),VLOOKUP(P$1,test!$A$3:$F$32,2,FALSE))&lt;test!$K$16,$A74&lt;&gt;P$1,Recharged_Feasible_mat!Q43=1),(VLOOKUP(P$1,test!$A$3:$I$32,8,FALSE))-(VLOOKUP($A74,test!$A$3:$I$32,9,FALSE))+test!$B$34,0)</f>
        <v>0</v>
      </c>
      <c r="Q74">
        <f>IF(AND(SUM(VLOOKUP($A74,test!$A$3:$F$32,2,FALSE),VLOOKUP(Q$1,test!$A$3:$F$32,2,FALSE))&lt;test!$K$16,$A74&lt;&gt;Q$1,Recharged_Feasible_mat!R43=1),(VLOOKUP(Q$1,test!$A$3:$I$32,8,FALSE))-(VLOOKUP($A74,test!$A$3:$I$32,9,FALSE))+test!$B$34,0)</f>
        <v>0</v>
      </c>
      <c r="R74">
        <f>IF(AND(SUM(VLOOKUP($A74,test!$A$3:$F$32,2,FALSE),VLOOKUP(R$1,test!$A$3:$F$32,2,FALSE))&lt;test!$K$16,$A74&lt;&gt;R$1,Recharged_Feasible_mat!S43=1),(VLOOKUP(R$1,test!$A$3:$I$32,8,FALSE))-(VLOOKUP($A74,test!$A$3:$I$32,9,FALSE))+test!$B$34,0)</f>
        <v>0</v>
      </c>
      <c r="S74">
        <f>IF(AND(SUM(VLOOKUP($A74,test!$A$3:$F$32,2,FALSE),VLOOKUP(S$1,test!$A$3:$F$32,2,FALSE))&lt;test!$K$16,$A74&lt;&gt;S$1,Recharged_Feasible_mat!T43=1),(VLOOKUP(S$1,test!$A$3:$I$32,8,FALSE))-(VLOOKUP($A74,test!$A$3:$I$32,9,FALSE))+test!$B$34,0)</f>
        <v>0</v>
      </c>
      <c r="T74">
        <f>IF(AND(SUM(VLOOKUP($A74,test!$A$3:$F$32,2,FALSE),VLOOKUP(T$1,test!$A$3:$F$32,2,FALSE))&lt;test!$K$16,$A74&lt;&gt;T$1,Recharged_Feasible_mat!U43=1),(VLOOKUP(T$1,test!$A$3:$I$32,8,FALSE))-(VLOOKUP($A74,test!$A$3:$I$32,9,FALSE))+test!$B$34,0)</f>
        <v>0</v>
      </c>
      <c r="U74">
        <f>IF(AND(SUM(VLOOKUP($A74,test!$A$3:$F$32,2,FALSE),VLOOKUP(U$1,test!$A$3:$F$32,2,FALSE))&lt;test!$K$16,$A74&lt;&gt;U$1,Recharged_Feasible_mat!V43=1),(VLOOKUP(U$1,test!$A$3:$I$32,8,FALSE))-(VLOOKUP($A74,test!$A$3:$I$32,9,FALSE))+test!$B$34,0)</f>
        <v>0</v>
      </c>
      <c r="V74">
        <f>IF(AND(SUM(VLOOKUP($A74,test!$A$3:$F$32,2,FALSE),VLOOKUP(V$1,test!$A$3:$F$32,2,FALSE))&lt;test!$K$16,$A74&lt;&gt;V$1,Recharged_Feasible_mat!W43=1),(VLOOKUP(V$1,test!$A$3:$I$32,8,FALSE))-(VLOOKUP($A74,test!$A$3:$I$32,9,FALSE))+test!$B$34,0)</f>
        <v>0</v>
      </c>
      <c r="W74">
        <f>IF(AND(SUM(VLOOKUP($A74,test!$A$3:$F$32,2,FALSE),VLOOKUP(W$1,test!$A$3:$F$32,2,FALSE))&lt;test!$K$16,$A74&lt;&gt;W$1,Recharged_Feasible_mat!X43=1),(VLOOKUP(W$1,test!$A$3:$I$32,8,FALSE))-(VLOOKUP($A74,test!$A$3:$I$32,9,FALSE))+test!$B$34,0)</f>
        <v>315</v>
      </c>
      <c r="X74">
        <f>IF(AND(SUM(VLOOKUP($A74,test!$A$3:$F$32,2,FALSE),VLOOKUP(X$1,test!$A$3:$F$32,2,FALSE))&lt;test!$K$16,$A74&lt;&gt;X$1,Recharged_Feasible_mat!Y43=1),(VLOOKUP(X$1,test!$A$3:$I$32,8,FALSE))-(VLOOKUP($A74,test!$A$3:$I$32,9,FALSE))+test!$B$34,0)</f>
        <v>375</v>
      </c>
      <c r="Y74">
        <f>IF(AND(SUM(VLOOKUP($A74,test!$A$3:$F$32,2,FALSE),VLOOKUP(Y$1,test!$A$3:$F$32,2,FALSE))&lt;test!$K$16,$A74&lt;&gt;Y$1,Recharged_Feasible_mat!Z43=1),(VLOOKUP(Y$1,test!$A$3:$I$32,8,FALSE))-(VLOOKUP($A74,test!$A$3:$I$32,9,FALSE))+test!$B$34,0)</f>
        <v>0</v>
      </c>
      <c r="Z74">
        <f>IF(AND(SUM(VLOOKUP($A74,test!$A$3:$F$32,2,FALSE),VLOOKUP(Z$1,test!$A$3:$F$32,2,FALSE))&lt;test!$K$16,$A74&lt;&gt;Z$1,Recharged_Feasible_mat!AA43=1),(VLOOKUP(Z$1,test!$A$3:$I$32,8,FALSE))-(VLOOKUP($A74,test!$A$3:$I$32,9,FALSE))+test!$B$34,0)</f>
        <v>0</v>
      </c>
      <c r="AA74">
        <f>IF(AND(SUM(VLOOKUP($A74,test!$A$3:$F$32,2,FALSE),VLOOKUP(AA$1,test!$A$3:$F$32,2,FALSE))&lt;test!$K$16,$A74&lt;&gt;AA$1,Recharged_Feasible_mat!AB43=1),(VLOOKUP(AA$1,test!$A$3:$I$32,8,FALSE))-(VLOOKUP($A74,test!$A$3:$I$32,9,FALSE))+test!$B$34,0)</f>
        <v>0</v>
      </c>
      <c r="AB74">
        <f>IF(AND(SUM(VLOOKUP($A74,test!$A$3:$F$32,2,FALSE),VLOOKUP(AB$1,test!$A$3:$F$32,2,FALSE))&lt;test!$K$16,$A74&lt;&gt;AB$1,Recharged_Feasible_mat!AC43=1),(VLOOKUP(AB$1,test!$A$3:$I$32,8,FALSE))-(VLOOKUP($A74,test!$A$3:$I$32,9,FALSE))+test!$B$34,0)</f>
        <v>0</v>
      </c>
      <c r="AC74">
        <f>IF(AND(SUM(VLOOKUP($A74,test!$A$3:$F$32,2,FALSE),VLOOKUP(AC$1,test!$A$3:$F$32,2,FALSE))&lt;test!$K$16,$A74&lt;&gt;AC$1,Recharged_Feasible_mat!AD43=1),(VLOOKUP(AC$1,test!$A$3:$I$32,8,FALSE))-(VLOOKUP($A74,test!$A$3:$I$32,9,FALSE))+test!$B$34,0)</f>
        <v>275</v>
      </c>
      <c r="AD74">
        <f>IF(AND(SUM(VLOOKUP($A74,test!$A$3:$F$32,2,FALSE),VLOOKUP(AD$1,test!$A$3:$F$32,2,FALSE))&lt;test!$K$16,$A74&lt;&gt;AD$1,Recharged_Feasible_mat!AE43=1),(VLOOKUP(AD$1,test!$A$3:$I$32,8,FALSE))-(VLOOKUP($A74,test!$A$3:$I$32,9,FALSE))+test!$B$34,0)</f>
        <v>0</v>
      </c>
      <c r="AE74">
        <f>IF(AND(SUM(VLOOKUP($A74,test!$A$3:$F$32,2,FALSE),VLOOKUP(AE$1,test!$A$3:$F$32,2,FALSE))&lt;test!$K$16,$A74&lt;&gt;AE$1,Recharged_Feasible_mat!AF43=1),(VLOOKUP(AE$1,test!$A$3:$I$32,8,FALSE))-(VLOOKUP($A74,test!$A$3:$I$32,9,FALSE))+test!$B$34,0)</f>
        <v>0</v>
      </c>
      <c r="AF74">
        <f>IF(AND(SUM(VLOOKUP($A74,test!$A$3:$F$32,2,FALSE),VLOOKUP(AF$1,test!$A$3:$F$32,2,FALSE))&lt;test!$K$16,$A74&lt;&gt;AF$1,Recharged_Feasible_mat!AG43=1),(VLOOKUP(AF$1,test!$A$3:$I$32,8,FALSE))-(VLOOKUP($A74,test!$A$3:$I$32,9,FALSE))+test!$B$34,0)</f>
        <v>0</v>
      </c>
    </row>
    <row r="75" spans="1:32" x14ac:dyDescent="0.25">
      <c r="A75" t="s">
        <v>21</v>
      </c>
      <c r="B75">
        <v>0</v>
      </c>
      <c r="C75">
        <f>IF(AND(SUM(VLOOKUP($A75,test!$A$3:$F$32,2,FALSE),VLOOKUP(C$1,test!$A$3:$F$32,2,FALSE))&lt;test!$K$16,$A75&lt;&gt;C$1,Recharged_Feasible_mat!D44=1),(VLOOKUP(C$1,test!$A$3:$I$32,8,FALSE))-(VLOOKUP($A75,test!$A$3:$I$32,9,FALSE))+test!$B$34,0)</f>
        <v>0</v>
      </c>
      <c r="D75">
        <f>IF(AND(SUM(VLOOKUP($A75,test!$A$3:$F$32,2,FALSE),VLOOKUP(D$1,test!$A$3:$F$32,2,FALSE))&lt;test!$K$16,$A75&lt;&gt;D$1,Recharged_Feasible_mat!E44=1),(VLOOKUP(D$1,test!$A$3:$I$32,8,FALSE))-(VLOOKUP($A75,test!$A$3:$I$32,9,FALSE))+test!$B$34,0)</f>
        <v>0</v>
      </c>
      <c r="E75">
        <f>IF(AND(SUM(VLOOKUP($A75,test!$A$3:$F$32,2,FALSE),VLOOKUP(E$1,test!$A$3:$F$32,2,FALSE))&lt;test!$K$16,$A75&lt;&gt;E$1,Recharged_Feasible_mat!F44=1),(VLOOKUP(E$1,test!$A$3:$I$32,8,FALSE))-(VLOOKUP($A75,test!$A$3:$I$32,9,FALSE))+test!$B$34,0)</f>
        <v>0</v>
      </c>
      <c r="F75">
        <f>IF(AND(SUM(VLOOKUP($A75,test!$A$3:$F$32,2,FALSE),VLOOKUP(F$1,test!$A$3:$F$32,2,FALSE))&lt;test!$K$16,$A75&lt;&gt;F$1,Recharged_Feasible_mat!G44=1),(VLOOKUP(F$1,test!$A$3:$I$32,8,FALSE))-(VLOOKUP($A75,test!$A$3:$I$32,9,FALSE))+test!$B$34,0)</f>
        <v>0</v>
      </c>
      <c r="G75">
        <f>IF(AND(SUM(VLOOKUP($A75,test!$A$3:$F$32,2,FALSE),VLOOKUP(G$1,test!$A$3:$F$32,2,FALSE))&lt;test!$K$16,$A75&lt;&gt;G$1,Recharged_Feasible_mat!H44=1),(VLOOKUP(G$1,test!$A$3:$I$32,8,FALSE))-(VLOOKUP($A75,test!$A$3:$I$32,9,FALSE))+test!$B$34,0)</f>
        <v>0</v>
      </c>
      <c r="H75">
        <f>IF(AND(SUM(VLOOKUP($A75,test!$A$3:$F$32,2,FALSE),VLOOKUP(H$1,test!$A$3:$F$32,2,FALSE))&lt;test!$K$16,$A75&lt;&gt;H$1,Recharged_Feasible_mat!I44=1),(VLOOKUP(H$1,test!$A$3:$I$32,8,FALSE))-(VLOOKUP($A75,test!$A$3:$I$32,9,FALSE))+test!$B$34,0)</f>
        <v>0</v>
      </c>
      <c r="I75">
        <f>IF(AND(SUM(VLOOKUP($A75,test!$A$3:$F$32,2,FALSE),VLOOKUP(I$1,test!$A$3:$F$32,2,FALSE))&lt;test!$K$16,$A75&lt;&gt;I$1,Recharged_Feasible_mat!J44=1),(VLOOKUP(I$1,test!$A$3:$I$32,8,FALSE))-(VLOOKUP($A75,test!$A$3:$I$32,9,FALSE))+test!$B$34,0)</f>
        <v>0</v>
      </c>
      <c r="J75">
        <f>IF(AND(SUM(VLOOKUP($A75,test!$A$3:$F$32,2,FALSE),VLOOKUP(J$1,test!$A$3:$F$32,2,FALSE))&lt;test!$K$16,$A75&lt;&gt;J$1,Recharged_Feasible_mat!K44=1),(VLOOKUP(J$1,test!$A$3:$I$32,8,FALSE))-(VLOOKUP($A75,test!$A$3:$I$32,9,FALSE))+test!$B$34,0)</f>
        <v>305</v>
      </c>
      <c r="K75">
        <f>IF(AND(SUM(VLOOKUP($A75,test!$A$3:$F$32,2,FALSE),VLOOKUP(K$1,test!$A$3:$F$32,2,FALSE))&lt;test!$K$16,$A75&lt;&gt;K$1,Recharged_Feasible_mat!L44=1),(VLOOKUP(K$1,test!$A$3:$I$32,8,FALSE))-(VLOOKUP($A75,test!$A$3:$I$32,9,FALSE))+test!$B$34,0)</f>
        <v>0</v>
      </c>
      <c r="L75">
        <f>IF(AND(SUM(VLOOKUP($A75,test!$A$3:$F$32,2,FALSE),VLOOKUP(L$1,test!$A$3:$F$32,2,FALSE))&lt;test!$K$16,$A75&lt;&gt;L$1,Recharged_Feasible_mat!M44=1),(VLOOKUP(L$1,test!$A$3:$I$32,8,FALSE))-(VLOOKUP($A75,test!$A$3:$I$32,9,FALSE))+test!$B$34,0)</f>
        <v>0</v>
      </c>
      <c r="M75">
        <f>IF(AND(SUM(VLOOKUP($A75,test!$A$3:$F$32,2,FALSE),VLOOKUP(M$1,test!$A$3:$F$32,2,FALSE))&lt;test!$K$16,$A75&lt;&gt;M$1,Recharged_Feasible_mat!N44=1),(VLOOKUP(M$1,test!$A$3:$I$32,8,FALSE))-(VLOOKUP($A75,test!$A$3:$I$32,9,FALSE))+test!$B$34,0)</f>
        <v>0</v>
      </c>
      <c r="N75">
        <f>IF(AND(SUM(VLOOKUP($A75,test!$A$3:$F$32,2,FALSE),VLOOKUP(N$1,test!$A$3:$F$32,2,FALSE))&lt;test!$K$16,$A75&lt;&gt;N$1,Recharged_Feasible_mat!O44=1),(VLOOKUP(N$1,test!$A$3:$I$32,8,FALSE))-(VLOOKUP($A75,test!$A$3:$I$32,9,FALSE))+test!$B$34,0)</f>
        <v>270</v>
      </c>
      <c r="O75">
        <f>IF(AND(SUM(VLOOKUP($A75,test!$A$3:$F$32,2,FALSE),VLOOKUP(O$1,test!$A$3:$F$32,2,FALSE))&lt;test!$K$16,$A75&lt;&gt;O$1,Recharged_Feasible_mat!P44=1),(VLOOKUP(O$1,test!$A$3:$I$32,8,FALSE))-(VLOOKUP($A75,test!$A$3:$I$32,9,FALSE))+test!$B$34,0)</f>
        <v>330</v>
      </c>
      <c r="P75">
        <f>IF(AND(SUM(VLOOKUP($A75,test!$A$3:$F$32,2,FALSE),VLOOKUP(P$1,test!$A$3:$F$32,2,FALSE))&lt;test!$K$16,$A75&lt;&gt;P$1,Recharged_Feasible_mat!Q44=1),(VLOOKUP(P$1,test!$A$3:$I$32,8,FALSE))-(VLOOKUP($A75,test!$A$3:$I$32,9,FALSE))+test!$B$34,0)</f>
        <v>0</v>
      </c>
      <c r="Q75">
        <f>IF(AND(SUM(VLOOKUP($A75,test!$A$3:$F$32,2,FALSE),VLOOKUP(Q$1,test!$A$3:$F$32,2,FALSE))&lt;test!$K$16,$A75&lt;&gt;Q$1,Recharged_Feasible_mat!R44=1),(VLOOKUP(Q$1,test!$A$3:$I$32,8,FALSE))-(VLOOKUP($A75,test!$A$3:$I$32,9,FALSE))+test!$B$34,0)</f>
        <v>0</v>
      </c>
      <c r="R75">
        <f>IF(AND(SUM(VLOOKUP($A75,test!$A$3:$F$32,2,FALSE),VLOOKUP(R$1,test!$A$3:$F$32,2,FALSE))&lt;test!$K$16,$A75&lt;&gt;R$1,Recharged_Feasible_mat!S44=1),(VLOOKUP(R$1,test!$A$3:$I$32,8,FALSE))-(VLOOKUP($A75,test!$A$3:$I$32,9,FALSE))+test!$B$34,0)</f>
        <v>0</v>
      </c>
      <c r="S75">
        <f>IF(AND(SUM(VLOOKUP($A75,test!$A$3:$F$32,2,FALSE),VLOOKUP(S$1,test!$A$3:$F$32,2,FALSE))&lt;test!$K$16,$A75&lt;&gt;S$1,Recharged_Feasible_mat!T44=1),(VLOOKUP(S$1,test!$A$3:$I$32,8,FALSE))-(VLOOKUP($A75,test!$A$3:$I$32,9,FALSE))+test!$B$34,0)</f>
        <v>0</v>
      </c>
      <c r="T75">
        <f>IF(AND(SUM(VLOOKUP($A75,test!$A$3:$F$32,2,FALSE),VLOOKUP(T$1,test!$A$3:$F$32,2,FALSE))&lt;test!$K$16,$A75&lt;&gt;T$1,Recharged_Feasible_mat!U44=1),(VLOOKUP(T$1,test!$A$3:$I$32,8,FALSE))-(VLOOKUP($A75,test!$A$3:$I$32,9,FALSE))+test!$B$34,0)</f>
        <v>0</v>
      </c>
      <c r="U75">
        <f>IF(AND(SUM(VLOOKUP($A75,test!$A$3:$F$32,2,FALSE),VLOOKUP(U$1,test!$A$3:$F$32,2,FALSE))&lt;test!$K$16,$A75&lt;&gt;U$1,Recharged_Feasible_mat!V44=1),(VLOOKUP(U$1,test!$A$3:$I$32,8,FALSE))-(VLOOKUP($A75,test!$A$3:$I$32,9,FALSE))+test!$B$34,0)</f>
        <v>0</v>
      </c>
      <c r="V75">
        <f>IF(AND(SUM(VLOOKUP($A75,test!$A$3:$F$32,2,FALSE),VLOOKUP(V$1,test!$A$3:$F$32,2,FALSE))&lt;test!$K$16,$A75&lt;&gt;V$1,Recharged_Feasible_mat!W44=1),(VLOOKUP(V$1,test!$A$3:$I$32,8,FALSE))-(VLOOKUP($A75,test!$A$3:$I$32,9,FALSE))+test!$B$34,0)</f>
        <v>0</v>
      </c>
      <c r="W75">
        <f>IF(AND(SUM(VLOOKUP($A75,test!$A$3:$F$32,2,FALSE),VLOOKUP(W$1,test!$A$3:$F$32,2,FALSE))&lt;test!$K$16,$A75&lt;&gt;W$1,Recharged_Feasible_mat!X44=1),(VLOOKUP(W$1,test!$A$3:$I$32,8,FALSE))-(VLOOKUP($A75,test!$A$3:$I$32,9,FALSE))+test!$B$34,0)</f>
        <v>0</v>
      </c>
      <c r="X75">
        <f>IF(AND(SUM(VLOOKUP($A75,test!$A$3:$F$32,2,FALSE),VLOOKUP(X$1,test!$A$3:$F$32,2,FALSE))&lt;test!$K$16,$A75&lt;&gt;X$1,Recharged_Feasible_mat!Y44=1),(VLOOKUP(X$1,test!$A$3:$I$32,8,FALSE))-(VLOOKUP($A75,test!$A$3:$I$32,9,FALSE))+test!$B$34,0)</f>
        <v>255</v>
      </c>
      <c r="Y75">
        <f>IF(AND(SUM(VLOOKUP($A75,test!$A$3:$F$32,2,FALSE),VLOOKUP(Y$1,test!$A$3:$F$32,2,FALSE))&lt;test!$K$16,$A75&lt;&gt;Y$1,Recharged_Feasible_mat!Z44=1),(VLOOKUP(Y$1,test!$A$3:$I$32,8,FALSE))-(VLOOKUP($A75,test!$A$3:$I$32,9,FALSE))+test!$B$34,0)</f>
        <v>0</v>
      </c>
      <c r="Z75">
        <f>IF(AND(SUM(VLOOKUP($A75,test!$A$3:$F$32,2,FALSE),VLOOKUP(Z$1,test!$A$3:$F$32,2,FALSE))&lt;test!$K$16,$A75&lt;&gt;Z$1,Recharged_Feasible_mat!AA44=1),(VLOOKUP(Z$1,test!$A$3:$I$32,8,FALSE))-(VLOOKUP($A75,test!$A$3:$I$32,9,FALSE))+test!$B$34,0)</f>
        <v>0</v>
      </c>
      <c r="AA75">
        <f>IF(AND(SUM(VLOOKUP($A75,test!$A$3:$F$32,2,FALSE),VLOOKUP(AA$1,test!$A$3:$F$32,2,FALSE))&lt;test!$K$16,$A75&lt;&gt;AA$1,Recharged_Feasible_mat!AB44=1),(VLOOKUP(AA$1,test!$A$3:$I$32,8,FALSE))-(VLOOKUP($A75,test!$A$3:$I$32,9,FALSE))+test!$B$34,0)</f>
        <v>0</v>
      </c>
      <c r="AB75">
        <f>IF(AND(SUM(VLOOKUP($A75,test!$A$3:$F$32,2,FALSE),VLOOKUP(AB$1,test!$A$3:$F$32,2,FALSE))&lt;test!$K$16,$A75&lt;&gt;AB$1,Recharged_Feasible_mat!AC44=1),(VLOOKUP(AB$1,test!$A$3:$I$32,8,FALSE))-(VLOOKUP($A75,test!$A$3:$I$32,9,FALSE))+test!$B$34,0)</f>
        <v>0</v>
      </c>
      <c r="AC75">
        <f>IF(AND(SUM(VLOOKUP($A75,test!$A$3:$F$32,2,FALSE),VLOOKUP(AC$1,test!$A$3:$F$32,2,FALSE))&lt;test!$K$16,$A75&lt;&gt;AC$1,Recharged_Feasible_mat!AD44=1),(VLOOKUP(AC$1,test!$A$3:$I$32,8,FALSE))-(VLOOKUP($A75,test!$A$3:$I$32,9,FALSE))+test!$B$34,0)</f>
        <v>0</v>
      </c>
      <c r="AD75">
        <f>IF(AND(SUM(VLOOKUP($A75,test!$A$3:$F$32,2,FALSE),VLOOKUP(AD$1,test!$A$3:$F$32,2,FALSE))&lt;test!$K$16,$A75&lt;&gt;AD$1,Recharged_Feasible_mat!AE44=1),(VLOOKUP(AD$1,test!$A$3:$I$32,8,FALSE))-(VLOOKUP($A75,test!$A$3:$I$32,9,FALSE))+test!$B$34,0)</f>
        <v>0</v>
      </c>
      <c r="AE75">
        <f>IF(AND(SUM(VLOOKUP($A75,test!$A$3:$F$32,2,FALSE),VLOOKUP(AE$1,test!$A$3:$F$32,2,FALSE))&lt;test!$K$16,$A75&lt;&gt;AE$1,Recharged_Feasible_mat!AF44=1),(VLOOKUP(AE$1,test!$A$3:$I$32,8,FALSE))-(VLOOKUP($A75,test!$A$3:$I$32,9,FALSE))+test!$B$34,0)</f>
        <v>0</v>
      </c>
      <c r="AF75">
        <f>IF(AND(SUM(VLOOKUP($A75,test!$A$3:$F$32,2,FALSE),VLOOKUP(AF$1,test!$A$3:$F$32,2,FALSE))&lt;test!$K$16,$A75&lt;&gt;AF$1,Recharged_Feasible_mat!AG44=1),(VLOOKUP(AF$1,test!$A$3:$I$32,8,FALSE))-(VLOOKUP($A75,test!$A$3:$I$32,9,FALSE))+test!$B$34,0)</f>
        <v>0</v>
      </c>
    </row>
    <row r="76" spans="1:32" x14ac:dyDescent="0.25">
      <c r="A76" t="s">
        <v>22</v>
      </c>
      <c r="B76">
        <v>0</v>
      </c>
      <c r="C76">
        <f>IF(AND(SUM(VLOOKUP($A76,test!$A$3:$F$32,2,FALSE),VLOOKUP(C$1,test!$A$3:$F$32,2,FALSE))&lt;test!$K$16,$A76&lt;&gt;C$1,Recharged_Feasible_mat!D45=1),(VLOOKUP(C$1,test!$A$3:$I$32,8,FALSE))-(VLOOKUP($A76,test!$A$3:$I$32,9,FALSE))+test!$B$34,0)</f>
        <v>0</v>
      </c>
      <c r="D76">
        <f>IF(AND(SUM(VLOOKUP($A76,test!$A$3:$F$32,2,FALSE),VLOOKUP(D$1,test!$A$3:$F$32,2,FALSE))&lt;test!$K$16,$A76&lt;&gt;D$1,Recharged_Feasible_mat!E45=1),(VLOOKUP(D$1,test!$A$3:$I$32,8,FALSE))-(VLOOKUP($A76,test!$A$3:$I$32,9,FALSE))+test!$B$34,0)</f>
        <v>0</v>
      </c>
      <c r="E76">
        <f>IF(AND(SUM(VLOOKUP($A76,test!$A$3:$F$32,2,FALSE),VLOOKUP(E$1,test!$A$3:$F$32,2,FALSE))&lt;test!$K$16,$A76&lt;&gt;E$1,Recharged_Feasible_mat!F45=1),(VLOOKUP(E$1,test!$A$3:$I$32,8,FALSE))-(VLOOKUP($A76,test!$A$3:$I$32,9,FALSE))+test!$B$34,0)</f>
        <v>0</v>
      </c>
      <c r="F76">
        <f>IF(AND(SUM(VLOOKUP($A76,test!$A$3:$F$32,2,FALSE),VLOOKUP(F$1,test!$A$3:$F$32,2,FALSE))&lt;test!$K$16,$A76&lt;&gt;F$1,Recharged_Feasible_mat!G45=1),(VLOOKUP(F$1,test!$A$3:$I$32,8,FALSE))-(VLOOKUP($A76,test!$A$3:$I$32,9,FALSE))+test!$B$34,0)</f>
        <v>0</v>
      </c>
      <c r="G76">
        <f>IF(AND(SUM(VLOOKUP($A76,test!$A$3:$F$32,2,FALSE),VLOOKUP(G$1,test!$A$3:$F$32,2,FALSE))&lt;test!$K$16,$A76&lt;&gt;G$1,Recharged_Feasible_mat!H45=1),(VLOOKUP(G$1,test!$A$3:$I$32,8,FALSE))-(VLOOKUP($A76,test!$A$3:$I$32,9,FALSE))+test!$B$34,0)</f>
        <v>0</v>
      </c>
      <c r="H76">
        <f>IF(AND(SUM(VLOOKUP($A76,test!$A$3:$F$32,2,FALSE),VLOOKUP(H$1,test!$A$3:$F$32,2,FALSE))&lt;test!$K$16,$A76&lt;&gt;H$1,Recharged_Feasible_mat!I45=1),(VLOOKUP(H$1,test!$A$3:$I$32,8,FALSE))-(VLOOKUP($A76,test!$A$3:$I$32,9,FALSE))+test!$B$34,0)</f>
        <v>0</v>
      </c>
      <c r="I76">
        <f>IF(AND(SUM(VLOOKUP($A76,test!$A$3:$F$32,2,FALSE),VLOOKUP(I$1,test!$A$3:$F$32,2,FALSE))&lt;test!$K$16,$A76&lt;&gt;I$1,Recharged_Feasible_mat!J45=1),(VLOOKUP(I$1,test!$A$3:$I$32,8,FALSE))-(VLOOKUP($A76,test!$A$3:$I$32,9,FALSE))+test!$B$34,0)</f>
        <v>0</v>
      </c>
      <c r="J76">
        <f>IF(AND(SUM(VLOOKUP($A76,test!$A$3:$F$32,2,FALSE),VLOOKUP(J$1,test!$A$3:$F$32,2,FALSE))&lt;test!$K$16,$A76&lt;&gt;J$1,Recharged_Feasible_mat!K45=1),(VLOOKUP(J$1,test!$A$3:$I$32,8,FALSE))-(VLOOKUP($A76,test!$A$3:$I$32,9,FALSE))+test!$B$34,0)</f>
        <v>0</v>
      </c>
      <c r="K76">
        <f>IF(AND(SUM(VLOOKUP($A76,test!$A$3:$F$32,2,FALSE),VLOOKUP(K$1,test!$A$3:$F$32,2,FALSE))&lt;test!$K$16,$A76&lt;&gt;K$1,Recharged_Feasible_mat!L45=1),(VLOOKUP(K$1,test!$A$3:$I$32,8,FALSE))-(VLOOKUP($A76,test!$A$3:$I$32,9,FALSE))+test!$B$34,0)</f>
        <v>0</v>
      </c>
      <c r="L76">
        <f>IF(AND(SUM(VLOOKUP($A76,test!$A$3:$F$32,2,FALSE),VLOOKUP(L$1,test!$A$3:$F$32,2,FALSE))&lt;test!$K$16,$A76&lt;&gt;L$1,Recharged_Feasible_mat!M45=1),(VLOOKUP(L$1,test!$A$3:$I$32,8,FALSE))-(VLOOKUP($A76,test!$A$3:$I$32,9,FALSE))+test!$B$34,0)</f>
        <v>0</v>
      </c>
      <c r="M76">
        <f>IF(AND(SUM(VLOOKUP($A76,test!$A$3:$F$32,2,FALSE),VLOOKUP(M$1,test!$A$3:$F$32,2,FALSE))&lt;test!$K$16,$A76&lt;&gt;M$1,Recharged_Feasible_mat!N45=1),(VLOOKUP(M$1,test!$A$3:$I$32,8,FALSE))-(VLOOKUP($A76,test!$A$3:$I$32,9,FALSE))+test!$B$34,0)</f>
        <v>0</v>
      </c>
      <c r="N76">
        <f>IF(AND(SUM(VLOOKUP($A76,test!$A$3:$F$32,2,FALSE),VLOOKUP(N$1,test!$A$3:$F$32,2,FALSE))&lt;test!$K$16,$A76&lt;&gt;N$1,Recharged_Feasible_mat!O45=1),(VLOOKUP(N$1,test!$A$3:$I$32,8,FALSE))-(VLOOKUP($A76,test!$A$3:$I$32,9,FALSE))+test!$B$34,0)</f>
        <v>0</v>
      </c>
      <c r="O76">
        <f>IF(AND(SUM(VLOOKUP($A76,test!$A$3:$F$32,2,FALSE),VLOOKUP(O$1,test!$A$3:$F$32,2,FALSE))&lt;test!$K$16,$A76&lt;&gt;O$1,Recharged_Feasible_mat!P45=1),(VLOOKUP(O$1,test!$A$3:$I$32,8,FALSE))-(VLOOKUP($A76,test!$A$3:$I$32,9,FALSE))+test!$B$34,0)</f>
        <v>0</v>
      </c>
      <c r="P76">
        <f>IF(AND(SUM(VLOOKUP($A76,test!$A$3:$F$32,2,FALSE),VLOOKUP(P$1,test!$A$3:$F$32,2,FALSE))&lt;test!$K$16,$A76&lt;&gt;P$1,Recharged_Feasible_mat!Q45=1),(VLOOKUP(P$1,test!$A$3:$I$32,8,FALSE))-(VLOOKUP($A76,test!$A$3:$I$32,9,FALSE))+test!$B$34,0)</f>
        <v>0</v>
      </c>
      <c r="Q76">
        <f>IF(AND(SUM(VLOOKUP($A76,test!$A$3:$F$32,2,FALSE),VLOOKUP(Q$1,test!$A$3:$F$32,2,FALSE))&lt;test!$K$16,$A76&lt;&gt;Q$1,Recharged_Feasible_mat!R45=1),(VLOOKUP(Q$1,test!$A$3:$I$32,8,FALSE))-(VLOOKUP($A76,test!$A$3:$I$32,9,FALSE))+test!$B$34,0)</f>
        <v>0</v>
      </c>
      <c r="R76">
        <f>IF(AND(SUM(VLOOKUP($A76,test!$A$3:$F$32,2,FALSE),VLOOKUP(R$1,test!$A$3:$F$32,2,FALSE))&lt;test!$K$16,$A76&lt;&gt;R$1,Recharged_Feasible_mat!S45=1),(VLOOKUP(R$1,test!$A$3:$I$32,8,FALSE))-(VLOOKUP($A76,test!$A$3:$I$32,9,FALSE))+test!$B$34,0)</f>
        <v>0</v>
      </c>
      <c r="S76">
        <f>IF(AND(SUM(VLOOKUP($A76,test!$A$3:$F$32,2,FALSE),VLOOKUP(S$1,test!$A$3:$F$32,2,FALSE))&lt;test!$K$16,$A76&lt;&gt;S$1,Recharged_Feasible_mat!T45=1),(VLOOKUP(S$1,test!$A$3:$I$32,8,FALSE))-(VLOOKUP($A76,test!$A$3:$I$32,9,FALSE))+test!$B$34,0)</f>
        <v>0</v>
      </c>
      <c r="T76">
        <f>IF(AND(SUM(VLOOKUP($A76,test!$A$3:$F$32,2,FALSE),VLOOKUP(T$1,test!$A$3:$F$32,2,FALSE))&lt;test!$K$16,$A76&lt;&gt;T$1,Recharged_Feasible_mat!U45=1),(VLOOKUP(T$1,test!$A$3:$I$32,8,FALSE))-(VLOOKUP($A76,test!$A$3:$I$32,9,FALSE))+test!$B$34,0)</f>
        <v>0</v>
      </c>
      <c r="U76">
        <f>IF(AND(SUM(VLOOKUP($A76,test!$A$3:$F$32,2,FALSE),VLOOKUP(U$1,test!$A$3:$F$32,2,FALSE))&lt;test!$K$16,$A76&lt;&gt;U$1,Recharged_Feasible_mat!V45=1),(VLOOKUP(U$1,test!$A$3:$I$32,8,FALSE))-(VLOOKUP($A76,test!$A$3:$I$32,9,FALSE))+test!$B$34,0)</f>
        <v>0</v>
      </c>
      <c r="V76">
        <f>IF(AND(SUM(VLOOKUP($A76,test!$A$3:$F$32,2,FALSE),VLOOKUP(V$1,test!$A$3:$F$32,2,FALSE))&lt;test!$K$16,$A76&lt;&gt;V$1,Recharged_Feasible_mat!W45=1),(VLOOKUP(V$1,test!$A$3:$I$32,8,FALSE))-(VLOOKUP($A76,test!$A$3:$I$32,9,FALSE))+test!$B$34,0)</f>
        <v>0</v>
      </c>
      <c r="W76">
        <f>IF(AND(SUM(VLOOKUP($A76,test!$A$3:$F$32,2,FALSE),VLOOKUP(W$1,test!$A$3:$F$32,2,FALSE))&lt;test!$K$16,$A76&lt;&gt;W$1,Recharged_Feasible_mat!X45=1),(VLOOKUP(W$1,test!$A$3:$I$32,8,FALSE))-(VLOOKUP($A76,test!$A$3:$I$32,9,FALSE))+test!$B$34,0)</f>
        <v>0</v>
      </c>
      <c r="X76">
        <f>IF(AND(SUM(VLOOKUP($A76,test!$A$3:$F$32,2,FALSE),VLOOKUP(X$1,test!$A$3:$F$32,2,FALSE))&lt;test!$K$16,$A76&lt;&gt;X$1,Recharged_Feasible_mat!Y45=1),(VLOOKUP(X$1,test!$A$3:$I$32,8,FALSE))-(VLOOKUP($A76,test!$A$3:$I$32,9,FALSE))+test!$B$34,0)</f>
        <v>0</v>
      </c>
      <c r="Y76">
        <f>IF(AND(SUM(VLOOKUP($A76,test!$A$3:$F$32,2,FALSE),VLOOKUP(Y$1,test!$A$3:$F$32,2,FALSE))&lt;test!$K$16,$A76&lt;&gt;Y$1,Recharged_Feasible_mat!Z45=1),(VLOOKUP(Y$1,test!$A$3:$I$32,8,FALSE))-(VLOOKUP($A76,test!$A$3:$I$32,9,FALSE))+test!$B$34,0)</f>
        <v>0</v>
      </c>
      <c r="Z76">
        <f>IF(AND(SUM(VLOOKUP($A76,test!$A$3:$F$32,2,FALSE),VLOOKUP(Z$1,test!$A$3:$F$32,2,FALSE))&lt;test!$K$16,$A76&lt;&gt;Z$1,Recharged_Feasible_mat!AA45=1),(VLOOKUP(Z$1,test!$A$3:$I$32,8,FALSE))-(VLOOKUP($A76,test!$A$3:$I$32,9,FALSE))+test!$B$34,0)</f>
        <v>0</v>
      </c>
      <c r="AA76">
        <f>IF(AND(SUM(VLOOKUP($A76,test!$A$3:$F$32,2,FALSE),VLOOKUP(AA$1,test!$A$3:$F$32,2,FALSE))&lt;test!$K$16,$A76&lt;&gt;AA$1,Recharged_Feasible_mat!AB45=1),(VLOOKUP(AA$1,test!$A$3:$I$32,8,FALSE))-(VLOOKUP($A76,test!$A$3:$I$32,9,FALSE))+test!$B$34,0)</f>
        <v>0</v>
      </c>
      <c r="AB76">
        <f>IF(AND(SUM(VLOOKUP($A76,test!$A$3:$F$32,2,FALSE),VLOOKUP(AB$1,test!$A$3:$F$32,2,FALSE))&lt;test!$K$16,$A76&lt;&gt;AB$1,Recharged_Feasible_mat!AC45=1),(VLOOKUP(AB$1,test!$A$3:$I$32,8,FALSE))-(VLOOKUP($A76,test!$A$3:$I$32,9,FALSE))+test!$B$34,0)</f>
        <v>0</v>
      </c>
      <c r="AC76">
        <f>IF(AND(SUM(VLOOKUP($A76,test!$A$3:$F$32,2,FALSE),VLOOKUP(AC$1,test!$A$3:$F$32,2,FALSE))&lt;test!$K$16,$A76&lt;&gt;AC$1,Recharged_Feasible_mat!AD45=1),(VLOOKUP(AC$1,test!$A$3:$I$32,8,FALSE))-(VLOOKUP($A76,test!$A$3:$I$32,9,FALSE))+test!$B$34,0)</f>
        <v>0</v>
      </c>
      <c r="AD76">
        <f>IF(AND(SUM(VLOOKUP($A76,test!$A$3:$F$32,2,FALSE),VLOOKUP(AD$1,test!$A$3:$F$32,2,FALSE))&lt;test!$K$16,$A76&lt;&gt;AD$1,Recharged_Feasible_mat!AE45=1),(VLOOKUP(AD$1,test!$A$3:$I$32,8,FALSE))-(VLOOKUP($A76,test!$A$3:$I$32,9,FALSE))+test!$B$34,0)</f>
        <v>0</v>
      </c>
      <c r="AE76">
        <f>IF(AND(SUM(VLOOKUP($A76,test!$A$3:$F$32,2,FALSE),VLOOKUP(AE$1,test!$A$3:$F$32,2,FALSE))&lt;test!$K$16,$A76&lt;&gt;AE$1,Recharged_Feasible_mat!AF45=1),(VLOOKUP(AE$1,test!$A$3:$I$32,8,FALSE))-(VLOOKUP($A76,test!$A$3:$I$32,9,FALSE))+test!$B$34,0)</f>
        <v>0</v>
      </c>
      <c r="AF76">
        <f>IF(AND(SUM(VLOOKUP($A76,test!$A$3:$F$32,2,FALSE),VLOOKUP(AF$1,test!$A$3:$F$32,2,FALSE))&lt;test!$K$16,$A76&lt;&gt;AF$1,Recharged_Feasible_mat!AG45=1),(VLOOKUP(AF$1,test!$A$3:$I$32,8,FALSE))-(VLOOKUP($A76,test!$A$3:$I$32,9,FALSE))+test!$B$34,0)</f>
        <v>0</v>
      </c>
    </row>
    <row r="77" spans="1:32" x14ac:dyDescent="0.25">
      <c r="A77" t="s">
        <v>23</v>
      </c>
      <c r="B77">
        <v>0</v>
      </c>
      <c r="C77">
        <f>IF(AND(SUM(VLOOKUP($A77,test!$A$3:$F$32,2,FALSE),VLOOKUP(C$1,test!$A$3:$F$32,2,FALSE))&lt;test!$K$16,$A77&lt;&gt;C$1,Recharged_Feasible_mat!D46=1),(VLOOKUP(C$1,test!$A$3:$I$32,8,FALSE))-(VLOOKUP($A77,test!$A$3:$I$32,9,FALSE))+test!$B$34,0)</f>
        <v>0</v>
      </c>
      <c r="D77">
        <f>IF(AND(SUM(VLOOKUP($A77,test!$A$3:$F$32,2,FALSE),VLOOKUP(D$1,test!$A$3:$F$32,2,FALSE))&lt;test!$K$16,$A77&lt;&gt;D$1,Recharged_Feasible_mat!E46=1),(VLOOKUP(D$1,test!$A$3:$I$32,8,FALSE))-(VLOOKUP($A77,test!$A$3:$I$32,9,FALSE))+test!$B$34,0)</f>
        <v>0</v>
      </c>
      <c r="E77">
        <f>IF(AND(SUM(VLOOKUP($A77,test!$A$3:$F$32,2,FALSE),VLOOKUP(E$1,test!$A$3:$F$32,2,FALSE))&lt;test!$K$16,$A77&lt;&gt;E$1,Recharged_Feasible_mat!F46=1),(VLOOKUP(E$1,test!$A$3:$I$32,8,FALSE))-(VLOOKUP($A77,test!$A$3:$I$32,9,FALSE))+test!$B$34,0)</f>
        <v>0</v>
      </c>
      <c r="F77">
        <f>IF(AND(SUM(VLOOKUP($A77,test!$A$3:$F$32,2,FALSE),VLOOKUP(F$1,test!$A$3:$F$32,2,FALSE))&lt;test!$K$16,$A77&lt;&gt;F$1,Recharged_Feasible_mat!G46=1),(VLOOKUP(F$1,test!$A$3:$I$32,8,FALSE))-(VLOOKUP($A77,test!$A$3:$I$32,9,FALSE))+test!$B$34,0)</f>
        <v>0</v>
      </c>
      <c r="G77">
        <f>IF(AND(SUM(VLOOKUP($A77,test!$A$3:$F$32,2,FALSE),VLOOKUP(G$1,test!$A$3:$F$32,2,FALSE))&lt;test!$K$16,$A77&lt;&gt;G$1,Recharged_Feasible_mat!H46=1),(VLOOKUP(G$1,test!$A$3:$I$32,8,FALSE))-(VLOOKUP($A77,test!$A$3:$I$32,9,FALSE))+test!$B$34,0)</f>
        <v>0</v>
      </c>
      <c r="H77">
        <f>IF(AND(SUM(VLOOKUP($A77,test!$A$3:$F$32,2,FALSE),VLOOKUP(H$1,test!$A$3:$F$32,2,FALSE))&lt;test!$K$16,$A77&lt;&gt;H$1,Recharged_Feasible_mat!I46=1),(VLOOKUP(H$1,test!$A$3:$I$32,8,FALSE))-(VLOOKUP($A77,test!$A$3:$I$32,9,FALSE))+test!$B$34,0)</f>
        <v>0</v>
      </c>
      <c r="I77">
        <f>IF(AND(SUM(VLOOKUP($A77,test!$A$3:$F$32,2,FALSE),VLOOKUP(I$1,test!$A$3:$F$32,2,FALSE))&lt;test!$K$16,$A77&lt;&gt;I$1,Recharged_Feasible_mat!J46=1),(VLOOKUP(I$1,test!$A$3:$I$32,8,FALSE))-(VLOOKUP($A77,test!$A$3:$I$32,9,FALSE))+test!$B$34,0)</f>
        <v>0</v>
      </c>
      <c r="J77">
        <f>IF(AND(SUM(VLOOKUP($A77,test!$A$3:$F$32,2,FALSE),VLOOKUP(J$1,test!$A$3:$F$32,2,FALSE))&lt;test!$K$16,$A77&lt;&gt;J$1,Recharged_Feasible_mat!K46=1),(VLOOKUP(J$1,test!$A$3:$I$32,8,FALSE))-(VLOOKUP($A77,test!$A$3:$I$32,9,FALSE))+test!$B$34,0)</f>
        <v>0</v>
      </c>
      <c r="K77">
        <f>IF(AND(SUM(VLOOKUP($A77,test!$A$3:$F$32,2,FALSE),VLOOKUP(K$1,test!$A$3:$F$32,2,FALSE))&lt;test!$K$16,$A77&lt;&gt;K$1,Recharged_Feasible_mat!L46=1),(VLOOKUP(K$1,test!$A$3:$I$32,8,FALSE))-(VLOOKUP($A77,test!$A$3:$I$32,9,FALSE))+test!$B$34,0)</f>
        <v>0</v>
      </c>
      <c r="L77">
        <f>IF(AND(SUM(VLOOKUP($A77,test!$A$3:$F$32,2,FALSE),VLOOKUP(L$1,test!$A$3:$F$32,2,FALSE))&lt;test!$K$16,$A77&lt;&gt;L$1,Recharged_Feasible_mat!M46=1),(VLOOKUP(L$1,test!$A$3:$I$32,8,FALSE))-(VLOOKUP($A77,test!$A$3:$I$32,9,FALSE))+test!$B$34,0)</f>
        <v>0</v>
      </c>
      <c r="M77">
        <f>IF(AND(SUM(VLOOKUP($A77,test!$A$3:$F$32,2,FALSE),VLOOKUP(M$1,test!$A$3:$F$32,2,FALSE))&lt;test!$K$16,$A77&lt;&gt;M$1,Recharged_Feasible_mat!N46=1),(VLOOKUP(M$1,test!$A$3:$I$32,8,FALSE))-(VLOOKUP($A77,test!$A$3:$I$32,9,FALSE))+test!$B$34,0)</f>
        <v>0</v>
      </c>
      <c r="N77">
        <f>IF(AND(SUM(VLOOKUP($A77,test!$A$3:$F$32,2,FALSE),VLOOKUP(N$1,test!$A$3:$F$32,2,FALSE))&lt;test!$K$16,$A77&lt;&gt;N$1,Recharged_Feasible_mat!O46=1),(VLOOKUP(N$1,test!$A$3:$I$32,8,FALSE))-(VLOOKUP($A77,test!$A$3:$I$32,9,FALSE))+test!$B$34,0)</f>
        <v>0</v>
      </c>
      <c r="O77">
        <f>IF(AND(SUM(VLOOKUP($A77,test!$A$3:$F$32,2,FALSE),VLOOKUP(O$1,test!$A$3:$F$32,2,FALSE))&lt;test!$K$16,$A77&lt;&gt;O$1,Recharged_Feasible_mat!P46=1),(VLOOKUP(O$1,test!$A$3:$I$32,8,FALSE))-(VLOOKUP($A77,test!$A$3:$I$32,9,FALSE))+test!$B$34,0)</f>
        <v>0</v>
      </c>
      <c r="P77">
        <f>IF(AND(SUM(VLOOKUP($A77,test!$A$3:$F$32,2,FALSE),VLOOKUP(P$1,test!$A$3:$F$32,2,FALSE))&lt;test!$K$16,$A77&lt;&gt;P$1,Recharged_Feasible_mat!Q46=1),(VLOOKUP(P$1,test!$A$3:$I$32,8,FALSE))-(VLOOKUP($A77,test!$A$3:$I$32,9,FALSE))+test!$B$34,0)</f>
        <v>0</v>
      </c>
      <c r="Q77">
        <f>IF(AND(SUM(VLOOKUP($A77,test!$A$3:$F$32,2,FALSE),VLOOKUP(Q$1,test!$A$3:$F$32,2,FALSE))&lt;test!$K$16,$A77&lt;&gt;Q$1,Recharged_Feasible_mat!R46=1),(VLOOKUP(Q$1,test!$A$3:$I$32,8,FALSE))-(VLOOKUP($A77,test!$A$3:$I$32,9,FALSE))+test!$B$34,0)</f>
        <v>0</v>
      </c>
      <c r="R77">
        <f>IF(AND(SUM(VLOOKUP($A77,test!$A$3:$F$32,2,FALSE),VLOOKUP(R$1,test!$A$3:$F$32,2,FALSE))&lt;test!$K$16,$A77&lt;&gt;R$1,Recharged_Feasible_mat!S46=1),(VLOOKUP(R$1,test!$A$3:$I$32,8,FALSE))-(VLOOKUP($A77,test!$A$3:$I$32,9,FALSE))+test!$B$34,0)</f>
        <v>0</v>
      </c>
      <c r="S77">
        <f>IF(AND(SUM(VLOOKUP($A77,test!$A$3:$F$32,2,FALSE),VLOOKUP(S$1,test!$A$3:$F$32,2,FALSE))&lt;test!$K$16,$A77&lt;&gt;S$1,Recharged_Feasible_mat!T46=1),(VLOOKUP(S$1,test!$A$3:$I$32,8,FALSE))-(VLOOKUP($A77,test!$A$3:$I$32,9,FALSE))+test!$B$34,0)</f>
        <v>0</v>
      </c>
      <c r="T77">
        <f>IF(AND(SUM(VLOOKUP($A77,test!$A$3:$F$32,2,FALSE),VLOOKUP(T$1,test!$A$3:$F$32,2,FALSE))&lt;test!$K$16,$A77&lt;&gt;T$1,Recharged_Feasible_mat!U46=1),(VLOOKUP(T$1,test!$A$3:$I$32,8,FALSE))-(VLOOKUP($A77,test!$A$3:$I$32,9,FALSE))+test!$B$34,0)</f>
        <v>0</v>
      </c>
      <c r="U77">
        <f>IF(AND(SUM(VLOOKUP($A77,test!$A$3:$F$32,2,FALSE),VLOOKUP(U$1,test!$A$3:$F$32,2,FALSE))&lt;test!$K$16,$A77&lt;&gt;U$1,Recharged_Feasible_mat!V46=1),(VLOOKUP(U$1,test!$A$3:$I$32,8,FALSE))-(VLOOKUP($A77,test!$A$3:$I$32,9,FALSE))+test!$B$34,0)</f>
        <v>0</v>
      </c>
      <c r="V77">
        <f>IF(AND(SUM(VLOOKUP($A77,test!$A$3:$F$32,2,FALSE),VLOOKUP(V$1,test!$A$3:$F$32,2,FALSE))&lt;test!$K$16,$A77&lt;&gt;V$1,Recharged_Feasible_mat!W46=1),(VLOOKUP(V$1,test!$A$3:$I$32,8,FALSE))-(VLOOKUP($A77,test!$A$3:$I$32,9,FALSE))+test!$B$34,0)</f>
        <v>0</v>
      </c>
      <c r="W77">
        <f>IF(AND(SUM(VLOOKUP($A77,test!$A$3:$F$32,2,FALSE),VLOOKUP(W$1,test!$A$3:$F$32,2,FALSE))&lt;test!$K$16,$A77&lt;&gt;W$1,Recharged_Feasible_mat!X46=1),(VLOOKUP(W$1,test!$A$3:$I$32,8,FALSE))-(VLOOKUP($A77,test!$A$3:$I$32,9,FALSE))+test!$B$34,0)</f>
        <v>0</v>
      </c>
      <c r="X77">
        <f>IF(AND(SUM(VLOOKUP($A77,test!$A$3:$F$32,2,FALSE),VLOOKUP(X$1,test!$A$3:$F$32,2,FALSE))&lt;test!$K$16,$A77&lt;&gt;X$1,Recharged_Feasible_mat!Y46=1),(VLOOKUP(X$1,test!$A$3:$I$32,8,FALSE))-(VLOOKUP($A77,test!$A$3:$I$32,9,FALSE))+test!$B$34,0)</f>
        <v>0</v>
      </c>
      <c r="Y77">
        <f>IF(AND(SUM(VLOOKUP($A77,test!$A$3:$F$32,2,FALSE),VLOOKUP(Y$1,test!$A$3:$F$32,2,FALSE))&lt;test!$K$16,$A77&lt;&gt;Y$1,Recharged_Feasible_mat!Z46=1),(VLOOKUP(Y$1,test!$A$3:$I$32,8,FALSE))-(VLOOKUP($A77,test!$A$3:$I$32,9,FALSE))+test!$B$34,0)</f>
        <v>0</v>
      </c>
      <c r="Z77">
        <f>IF(AND(SUM(VLOOKUP($A77,test!$A$3:$F$32,2,FALSE),VLOOKUP(Z$1,test!$A$3:$F$32,2,FALSE))&lt;test!$K$16,$A77&lt;&gt;Z$1,Recharged_Feasible_mat!AA46=1),(VLOOKUP(Z$1,test!$A$3:$I$32,8,FALSE))-(VLOOKUP($A77,test!$A$3:$I$32,9,FALSE))+test!$B$34,0)</f>
        <v>0</v>
      </c>
      <c r="AA77">
        <f>IF(AND(SUM(VLOOKUP($A77,test!$A$3:$F$32,2,FALSE),VLOOKUP(AA$1,test!$A$3:$F$32,2,FALSE))&lt;test!$K$16,$A77&lt;&gt;AA$1,Recharged_Feasible_mat!AB46=1),(VLOOKUP(AA$1,test!$A$3:$I$32,8,FALSE))-(VLOOKUP($A77,test!$A$3:$I$32,9,FALSE))+test!$B$34,0)</f>
        <v>0</v>
      </c>
      <c r="AB77">
        <f>IF(AND(SUM(VLOOKUP($A77,test!$A$3:$F$32,2,FALSE),VLOOKUP(AB$1,test!$A$3:$F$32,2,FALSE))&lt;test!$K$16,$A77&lt;&gt;AB$1,Recharged_Feasible_mat!AC46=1),(VLOOKUP(AB$1,test!$A$3:$I$32,8,FALSE))-(VLOOKUP($A77,test!$A$3:$I$32,9,FALSE))+test!$B$34,0)</f>
        <v>0</v>
      </c>
      <c r="AC77">
        <f>IF(AND(SUM(VLOOKUP($A77,test!$A$3:$F$32,2,FALSE),VLOOKUP(AC$1,test!$A$3:$F$32,2,FALSE))&lt;test!$K$16,$A77&lt;&gt;AC$1,Recharged_Feasible_mat!AD46=1),(VLOOKUP(AC$1,test!$A$3:$I$32,8,FALSE))-(VLOOKUP($A77,test!$A$3:$I$32,9,FALSE))+test!$B$34,0)</f>
        <v>0</v>
      </c>
      <c r="AD77">
        <f>IF(AND(SUM(VLOOKUP($A77,test!$A$3:$F$32,2,FALSE),VLOOKUP(AD$1,test!$A$3:$F$32,2,FALSE))&lt;test!$K$16,$A77&lt;&gt;AD$1,Recharged_Feasible_mat!AE46=1),(VLOOKUP(AD$1,test!$A$3:$I$32,8,FALSE))-(VLOOKUP($A77,test!$A$3:$I$32,9,FALSE))+test!$B$34,0)</f>
        <v>0</v>
      </c>
      <c r="AE77">
        <f>IF(AND(SUM(VLOOKUP($A77,test!$A$3:$F$32,2,FALSE),VLOOKUP(AE$1,test!$A$3:$F$32,2,FALSE))&lt;test!$K$16,$A77&lt;&gt;AE$1,Recharged_Feasible_mat!AF46=1),(VLOOKUP(AE$1,test!$A$3:$I$32,8,FALSE))-(VLOOKUP($A77,test!$A$3:$I$32,9,FALSE))+test!$B$34,0)</f>
        <v>0</v>
      </c>
      <c r="AF77">
        <f>IF(AND(SUM(VLOOKUP($A77,test!$A$3:$F$32,2,FALSE),VLOOKUP(AF$1,test!$A$3:$F$32,2,FALSE))&lt;test!$K$16,$A77&lt;&gt;AF$1,Recharged_Feasible_mat!AG46=1),(VLOOKUP(AF$1,test!$A$3:$I$32,8,FALSE))-(VLOOKUP($A77,test!$A$3:$I$32,9,FALSE))+test!$B$34,0)</f>
        <v>0</v>
      </c>
    </row>
    <row r="78" spans="1:32" x14ac:dyDescent="0.25">
      <c r="A78" t="s">
        <v>24</v>
      </c>
      <c r="B78">
        <v>0</v>
      </c>
      <c r="C78">
        <f>IF(AND(SUM(VLOOKUP($A78,test!$A$3:$F$32,2,FALSE),VLOOKUP(C$1,test!$A$3:$F$32,2,FALSE))&lt;test!$K$16,$A78&lt;&gt;C$1,Recharged_Feasible_mat!D47=1),(VLOOKUP(C$1,test!$A$3:$I$32,8,FALSE))-(VLOOKUP($A78,test!$A$3:$I$32,9,FALSE))+test!$B$34,0)</f>
        <v>0</v>
      </c>
      <c r="D78">
        <f>IF(AND(SUM(VLOOKUP($A78,test!$A$3:$F$32,2,FALSE),VLOOKUP(D$1,test!$A$3:$F$32,2,FALSE))&lt;test!$K$16,$A78&lt;&gt;D$1,Recharged_Feasible_mat!E47=1),(VLOOKUP(D$1,test!$A$3:$I$32,8,FALSE))-(VLOOKUP($A78,test!$A$3:$I$32,9,FALSE))+test!$B$34,0)</f>
        <v>0</v>
      </c>
      <c r="E78">
        <f>IF(AND(SUM(VLOOKUP($A78,test!$A$3:$F$32,2,FALSE),VLOOKUP(E$1,test!$A$3:$F$32,2,FALSE))&lt;test!$K$16,$A78&lt;&gt;E$1,Recharged_Feasible_mat!F47=1),(VLOOKUP(E$1,test!$A$3:$I$32,8,FALSE))-(VLOOKUP($A78,test!$A$3:$I$32,9,FALSE))+test!$B$34,0)</f>
        <v>0</v>
      </c>
      <c r="F78">
        <f>IF(AND(SUM(VLOOKUP($A78,test!$A$3:$F$32,2,FALSE),VLOOKUP(F$1,test!$A$3:$F$32,2,FALSE))&lt;test!$K$16,$A78&lt;&gt;F$1,Recharged_Feasible_mat!G47=1),(VLOOKUP(F$1,test!$A$3:$I$32,8,FALSE))-(VLOOKUP($A78,test!$A$3:$I$32,9,FALSE))+test!$B$34,0)</f>
        <v>0</v>
      </c>
      <c r="G78">
        <f>IF(AND(SUM(VLOOKUP($A78,test!$A$3:$F$32,2,FALSE),VLOOKUP(G$1,test!$A$3:$F$32,2,FALSE))&lt;test!$K$16,$A78&lt;&gt;G$1,Recharged_Feasible_mat!H47=1),(VLOOKUP(G$1,test!$A$3:$I$32,8,FALSE))-(VLOOKUP($A78,test!$A$3:$I$32,9,FALSE))+test!$B$34,0)</f>
        <v>0</v>
      </c>
      <c r="H78">
        <f>IF(AND(SUM(VLOOKUP($A78,test!$A$3:$F$32,2,FALSE),VLOOKUP(H$1,test!$A$3:$F$32,2,FALSE))&lt;test!$K$16,$A78&lt;&gt;H$1,Recharged_Feasible_mat!I47=1),(VLOOKUP(H$1,test!$A$3:$I$32,8,FALSE))-(VLOOKUP($A78,test!$A$3:$I$32,9,FALSE))+test!$B$34,0)</f>
        <v>320</v>
      </c>
      <c r="I78">
        <f>IF(AND(SUM(VLOOKUP($A78,test!$A$3:$F$32,2,FALSE),VLOOKUP(I$1,test!$A$3:$F$32,2,FALSE))&lt;test!$K$16,$A78&lt;&gt;I$1,Recharged_Feasible_mat!J47=1),(VLOOKUP(I$1,test!$A$3:$I$32,8,FALSE))-(VLOOKUP($A78,test!$A$3:$I$32,9,FALSE))+test!$B$34,0)</f>
        <v>380</v>
      </c>
      <c r="J78">
        <f>IF(AND(SUM(VLOOKUP($A78,test!$A$3:$F$32,2,FALSE),VLOOKUP(J$1,test!$A$3:$F$32,2,FALSE))&lt;test!$K$16,$A78&lt;&gt;J$1,Recharged_Feasible_mat!K47=1),(VLOOKUP(J$1,test!$A$3:$I$32,8,FALSE))-(VLOOKUP($A78,test!$A$3:$I$32,9,FALSE))+test!$B$34,0)</f>
        <v>470</v>
      </c>
      <c r="K78">
        <f>IF(AND(SUM(VLOOKUP($A78,test!$A$3:$F$32,2,FALSE),VLOOKUP(K$1,test!$A$3:$F$32,2,FALSE))&lt;test!$K$16,$A78&lt;&gt;K$1,Recharged_Feasible_mat!L47=1),(VLOOKUP(K$1,test!$A$3:$I$32,8,FALSE))-(VLOOKUP($A78,test!$A$3:$I$32,9,FALSE))+test!$B$34,0)</f>
        <v>0</v>
      </c>
      <c r="L78">
        <f>IF(AND(SUM(VLOOKUP($A78,test!$A$3:$F$32,2,FALSE),VLOOKUP(L$1,test!$A$3:$F$32,2,FALSE))&lt;test!$K$16,$A78&lt;&gt;L$1,Recharged_Feasible_mat!M47=1),(VLOOKUP(L$1,test!$A$3:$I$32,8,FALSE))-(VLOOKUP($A78,test!$A$3:$I$32,9,FALSE))+test!$B$34,0)</f>
        <v>0</v>
      </c>
      <c r="M78">
        <f>IF(AND(SUM(VLOOKUP($A78,test!$A$3:$F$32,2,FALSE),VLOOKUP(M$1,test!$A$3:$F$32,2,FALSE))&lt;test!$K$16,$A78&lt;&gt;M$1,Recharged_Feasible_mat!N47=1),(VLOOKUP(M$1,test!$A$3:$I$32,8,FALSE))-(VLOOKUP($A78,test!$A$3:$I$32,9,FALSE))+test!$B$34,0)</f>
        <v>0</v>
      </c>
      <c r="N78">
        <f>IF(AND(SUM(VLOOKUP($A78,test!$A$3:$F$32,2,FALSE),VLOOKUP(N$1,test!$A$3:$F$32,2,FALSE))&lt;test!$K$16,$A78&lt;&gt;N$1,Recharged_Feasible_mat!O47=1),(VLOOKUP(N$1,test!$A$3:$I$32,8,FALSE))-(VLOOKUP($A78,test!$A$3:$I$32,9,FALSE))+test!$B$34,0)</f>
        <v>0</v>
      </c>
      <c r="O78">
        <f>IF(AND(SUM(VLOOKUP($A78,test!$A$3:$F$32,2,FALSE),VLOOKUP(O$1,test!$A$3:$F$32,2,FALSE))&lt;test!$K$16,$A78&lt;&gt;O$1,Recharged_Feasible_mat!P47=1),(VLOOKUP(O$1,test!$A$3:$I$32,8,FALSE))-(VLOOKUP($A78,test!$A$3:$I$32,9,FALSE))+test!$B$34,0)</f>
        <v>0</v>
      </c>
      <c r="P78">
        <f>IF(AND(SUM(VLOOKUP($A78,test!$A$3:$F$32,2,FALSE),VLOOKUP(P$1,test!$A$3:$F$32,2,FALSE))&lt;test!$K$16,$A78&lt;&gt;P$1,Recharged_Feasible_mat!Q47=1),(VLOOKUP(P$1,test!$A$3:$I$32,8,FALSE))-(VLOOKUP($A78,test!$A$3:$I$32,9,FALSE))+test!$B$34,0)</f>
        <v>0</v>
      </c>
      <c r="Q78">
        <f>IF(AND(SUM(VLOOKUP($A78,test!$A$3:$F$32,2,FALSE),VLOOKUP(Q$1,test!$A$3:$F$32,2,FALSE))&lt;test!$K$16,$A78&lt;&gt;Q$1,Recharged_Feasible_mat!R47=1),(VLOOKUP(Q$1,test!$A$3:$I$32,8,FALSE))-(VLOOKUP($A78,test!$A$3:$I$32,9,FALSE))+test!$B$34,0)</f>
        <v>0</v>
      </c>
      <c r="R78">
        <f>IF(AND(SUM(VLOOKUP($A78,test!$A$3:$F$32,2,FALSE),VLOOKUP(R$1,test!$A$3:$F$32,2,FALSE))&lt;test!$K$16,$A78&lt;&gt;R$1,Recharged_Feasible_mat!S47=1),(VLOOKUP(R$1,test!$A$3:$I$32,8,FALSE))-(VLOOKUP($A78,test!$A$3:$I$32,9,FALSE))+test!$B$34,0)</f>
        <v>0</v>
      </c>
      <c r="S78">
        <f>IF(AND(SUM(VLOOKUP($A78,test!$A$3:$F$32,2,FALSE),VLOOKUP(S$1,test!$A$3:$F$32,2,FALSE))&lt;test!$K$16,$A78&lt;&gt;S$1,Recharged_Feasible_mat!T47=1),(VLOOKUP(S$1,test!$A$3:$I$32,8,FALSE))-(VLOOKUP($A78,test!$A$3:$I$32,9,FALSE))+test!$B$34,0)</f>
        <v>0</v>
      </c>
      <c r="T78">
        <f>IF(AND(SUM(VLOOKUP($A78,test!$A$3:$F$32,2,FALSE),VLOOKUP(T$1,test!$A$3:$F$32,2,FALSE))&lt;test!$K$16,$A78&lt;&gt;T$1,Recharged_Feasible_mat!U47=1),(VLOOKUP(T$1,test!$A$3:$I$32,8,FALSE))-(VLOOKUP($A78,test!$A$3:$I$32,9,FALSE))+test!$B$34,0)</f>
        <v>0</v>
      </c>
      <c r="U78">
        <f>IF(AND(SUM(VLOOKUP($A78,test!$A$3:$F$32,2,FALSE),VLOOKUP(U$1,test!$A$3:$F$32,2,FALSE))&lt;test!$K$16,$A78&lt;&gt;U$1,Recharged_Feasible_mat!V47=1),(VLOOKUP(U$1,test!$A$3:$I$32,8,FALSE))-(VLOOKUP($A78,test!$A$3:$I$32,9,FALSE))+test!$B$34,0)</f>
        <v>0</v>
      </c>
      <c r="V78">
        <f>IF(AND(SUM(VLOOKUP($A78,test!$A$3:$F$32,2,FALSE),VLOOKUP(V$1,test!$A$3:$F$32,2,FALSE))&lt;test!$K$16,$A78&lt;&gt;V$1,Recharged_Feasible_mat!W47=1),(VLOOKUP(V$1,test!$A$3:$I$32,8,FALSE))-(VLOOKUP($A78,test!$A$3:$I$32,9,FALSE))+test!$B$34,0)</f>
        <v>0</v>
      </c>
      <c r="W78">
        <f>IF(AND(SUM(VLOOKUP($A78,test!$A$3:$F$32,2,FALSE),VLOOKUP(W$1,test!$A$3:$F$32,2,FALSE))&lt;test!$K$16,$A78&lt;&gt;W$1,Recharged_Feasible_mat!X47=1),(VLOOKUP(W$1,test!$A$3:$I$32,8,FALSE))-(VLOOKUP($A78,test!$A$3:$I$32,9,FALSE))+test!$B$34,0)</f>
        <v>360</v>
      </c>
      <c r="X78">
        <f>IF(AND(SUM(VLOOKUP($A78,test!$A$3:$F$32,2,FALSE),VLOOKUP(X$1,test!$A$3:$F$32,2,FALSE))&lt;test!$K$16,$A78&lt;&gt;X$1,Recharged_Feasible_mat!Y47=1),(VLOOKUP(X$1,test!$A$3:$I$32,8,FALSE))-(VLOOKUP($A78,test!$A$3:$I$32,9,FALSE))+test!$B$34,0)</f>
        <v>420</v>
      </c>
      <c r="Y78">
        <f>IF(AND(SUM(VLOOKUP($A78,test!$A$3:$F$32,2,FALSE),VLOOKUP(Y$1,test!$A$3:$F$32,2,FALSE))&lt;test!$K$16,$A78&lt;&gt;Y$1,Recharged_Feasible_mat!Z47=1),(VLOOKUP(Y$1,test!$A$3:$I$32,8,FALSE))-(VLOOKUP($A78,test!$A$3:$I$32,9,FALSE))+test!$B$34,0)</f>
        <v>0</v>
      </c>
      <c r="Z78">
        <f>IF(AND(SUM(VLOOKUP($A78,test!$A$3:$F$32,2,FALSE),VLOOKUP(Z$1,test!$A$3:$F$32,2,FALSE))&lt;test!$K$16,$A78&lt;&gt;Z$1,Recharged_Feasible_mat!AA47=1),(VLOOKUP(Z$1,test!$A$3:$I$32,8,FALSE))-(VLOOKUP($A78,test!$A$3:$I$32,9,FALSE))+test!$B$34,0)</f>
        <v>0</v>
      </c>
      <c r="AA78">
        <f>IF(AND(SUM(VLOOKUP($A78,test!$A$3:$F$32,2,FALSE),VLOOKUP(AA$1,test!$A$3:$F$32,2,FALSE))&lt;test!$K$16,$A78&lt;&gt;AA$1,Recharged_Feasible_mat!AB47=1),(VLOOKUP(AA$1,test!$A$3:$I$32,8,FALSE))-(VLOOKUP($A78,test!$A$3:$I$32,9,FALSE))+test!$B$34,0)</f>
        <v>0</v>
      </c>
      <c r="AB78">
        <f>IF(AND(SUM(VLOOKUP($A78,test!$A$3:$F$32,2,FALSE),VLOOKUP(AB$1,test!$A$3:$F$32,2,FALSE))&lt;test!$K$16,$A78&lt;&gt;AB$1,Recharged_Feasible_mat!AC47=1),(VLOOKUP(AB$1,test!$A$3:$I$32,8,FALSE))-(VLOOKUP($A78,test!$A$3:$I$32,9,FALSE))+test!$B$34,0)</f>
        <v>0</v>
      </c>
      <c r="AC78">
        <f>IF(AND(SUM(VLOOKUP($A78,test!$A$3:$F$32,2,FALSE),VLOOKUP(AC$1,test!$A$3:$F$32,2,FALSE))&lt;test!$K$16,$A78&lt;&gt;AC$1,Recharged_Feasible_mat!AD47=1),(VLOOKUP(AC$1,test!$A$3:$I$32,8,FALSE))-(VLOOKUP($A78,test!$A$3:$I$32,9,FALSE))+test!$B$34,0)</f>
        <v>0</v>
      </c>
      <c r="AD78">
        <f>IF(AND(SUM(VLOOKUP($A78,test!$A$3:$F$32,2,FALSE),VLOOKUP(AD$1,test!$A$3:$F$32,2,FALSE))&lt;test!$K$16,$A78&lt;&gt;AD$1,Recharged_Feasible_mat!AE47=1),(VLOOKUP(AD$1,test!$A$3:$I$32,8,FALSE))-(VLOOKUP($A78,test!$A$3:$I$32,9,FALSE))+test!$B$34,0)</f>
        <v>0</v>
      </c>
      <c r="AE78">
        <f>IF(AND(SUM(VLOOKUP($A78,test!$A$3:$F$32,2,FALSE),VLOOKUP(AE$1,test!$A$3:$F$32,2,FALSE))&lt;test!$K$16,$A78&lt;&gt;AE$1,Recharged_Feasible_mat!AF47=1),(VLOOKUP(AE$1,test!$A$3:$I$32,8,FALSE))-(VLOOKUP($A78,test!$A$3:$I$32,9,FALSE))+test!$B$34,0)</f>
        <v>0</v>
      </c>
      <c r="AF78">
        <f>IF(AND(SUM(VLOOKUP($A78,test!$A$3:$F$32,2,FALSE),VLOOKUP(AF$1,test!$A$3:$F$32,2,FALSE))&lt;test!$K$16,$A78&lt;&gt;AF$1,Recharged_Feasible_mat!AG47=1),(VLOOKUP(AF$1,test!$A$3:$I$32,8,FALSE))-(VLOOKUP($A78,test!$A$3:$I$32,9,FALSE))+test!$B$34,0)</f>
        <v>0</v>
      </c>
    </row>
    <row r="79" spans="1:32" x14ac:dyDescent="0.25">
      <c r="A79" t="s">
        <v>26</v>
      </c>
      <c r="B79">
        <v>0</v>
      </c>
      <c r="C79">
        <f>IF(AND(SUM(VLOOKUP($A79,test!$A$3:$F$32,2,FALSE),VLOOKUP(C$1,test!$A$3:$F$32,2,FALSE))&lt;test!$K$16,$A79&lt;&gt;C$1,Recharged_Feasible_mat!D48=1),(VLOOKUP(C$1,test!$A$3:$I$32,8,FALSE))-(VLOOKUP($A79,test!$A$3:$I$32,9,FALSE))+test!$B$34,0)</f>
        <v>0</v>
      </c>
      <c r="D79">
        <f>IF(AND(SUM(VLOOKUP($A79,test!$A$3:$F$32,2,FALSE),VLOOKUP(D$1,test!$A$3:$F$32,2,FALSE))&lt;test!$K$16,$A79&lt;&gt;D$1,Recharged_Feasible_mat!E48=1),(VLOOKUP(D$1,test!$A$3:$I$32,8,FALSE))-(VLOOKUP($A79,test!$A$3:$I$32,9,FALSE))+test!$B$34,0)</f>
        <v>115</v>
      </c>
      <c r="E79">
        <f>IF(AND(SUM(VLOOKUP($A79,test!$A$3:$F$32,2,FALSE),VLOOKUP(E$1,test!$A$3:$F$32,2,FALSE))&lt;test!$K$16,$A79&lt;&gt;E$1,Recharged_Feasible_mat!F48=1),(VLOOKUP(E$1,test!$A$3:$I$32,8,FALSE))-(VLOOKUP($A79,test!$A$3:$I$32,9,FALSE))+test!$B$34,0)</f>
        <v>205</v>
      </c>
      <c r="F79">
        <f>IF(AND(SUM(VLOOKUP($A79,test!$A$3:$F$32,2,FALSE),VLOOKUP(F$1,test!$A$3:$F$32,2,FALSE))&lt;test!$K$16,$A79&lt;&gt;F$1,Recharged_Feasible_mat!G48=1),(VLOOKUP(F$1,test!$A$3:$I$32,8,FALSE))-(VLOOKUP($A79,test!$A$3:$I$32,9,FALSE))+test!$B$34,0)</f>
        <v>295</v>
      </c>
      <c r="G79">
        <f>IF(AND(SUM(VLOOKUP($A79,test!$A$3:$F$32,2,FALSE),VLOOKUP(G$1,test!$A$3:$F$32,2,FALSE))&lt;test!$K$16,$A79&lt;&gt;G$1,Recharged_Feasible_mat!H48=1),(VLOOKUP(G$1,test!$A$3:$I$32,8,FALSE))-(VLOOKUP($A79,test!$A$3:$I$32,9,FALSE))+test!$B$34,0)</f>
        <v>355</v>
      </c>
      <c r="H79">
        <f>IF(AND(SUM(VLOOKUP($A79,test!$A$3:$F$32,2,FALSE),VLOOKUP(H$1,test!$A$3:$F$32,2,FALSE))&lt;test!$K$16,$A79&lt;&gt;H$1,Recharged_Feasible_mat!I48=1),(VLOOKUP(H$1,test!$A$3:$I$32,8,FALSE))-(VLOOKUP($A79,test!$A$3:$I$32,9,FALSE))+test!$B$34,0)</f>
        <v>415</v>
      </c>
      <c r="I79">
        <f>IF(AND(SUM(VLOOKUP($A79,test!$A$3:$F$32,2,FALSE),VLOOKUP(I$1,test!$A$3:$F$32,2,FALSE))&lt;test!$K$16,$A79&lt;&gt;I$1,Recharged_Feasible_mat!J48=1),(VLOOKUP(I$1,test!$A$3:$I$32,8,FALSE))-(VLOOKUP($A79,test!$A$3:$I$32,9,FALSE))+test!$B$34,0)</f>
        <v>475</v>
      </c>
      <c r="J79">
        <f>IF(AND(SUM(VLOOKUP($A79,test!$A$3:$F$32,2,FALSE),VLOOKUP(J$1,test!$A$3:$F$32,2,FALSE))&lt;test!$K$16,$A79&lt;&gt;J$1,Recharged_Feasible_mat!K48=1),(VLOOKUP(J$1,test!$A$3:$I$32,8,FALSE))-(VLOOKUP($A79,test!$A$3:$I$32,9,FALSE))+test!$B$34,0)</f>
        <v>565</v>
      </c>
      <c r="K79">
        <f>IF(AND(SUM(VLOOKUP($A79,test!$A$3:$F$32,2,FALSE),VLOOKUP(K$1,test!$A$3:$F$32,2,FALSE))&lt;test!$K$16,$A79&lt;&gt;K$1,Recharged_Feasible_mat!L48=1),(VLOOKUP(K$1,test!$A$3:$I$32,8,FALSE))-(VLOOKUP($A79,test!$A$3:$I$32,9,FALSE))+test!$B$34,0)</f>
        <v>0</v>
      </c>
      <c r="L79">
        <f>IF(AND(SUM(VLOOKUP($A79,test!$A$3:$F$32,2,FALSE),VLOOKUP(L$1,test!$A$3:$F$32,2,FALSE))&lt;test!$K$16,$A79&lt;&gt;L$1,Recharged_Feasible_mat!M48=1),(VLOOKUP(L$1,test!$A$3:$I$32,8,FALSE))-(VLOOKUP($A79,test!$A$3:$I$32,9,FALSE))+test!$B$34,0)</f>
        <v>0</v>
      </c>
      <c r="M79">
        <f>IF(AND(SUM(VLOOKUP($A79,test!$A$3:$F$32,2,FALSE),VLOOKUP(M$1,test!$A$3:$F$32,2,FALSE))&lt;test!$K$16,$A79&lt;&gt;M$1,Recharged_Feasible_mat!N48=1),(VLOOKUP(M$1,test!$A$3:$I$32,8,FALSE))-(VLOOKUP($A79,test!$A$3:$I$32,9,FALSE))+test!$B$34,0)</f>
        <v>170</v>
      </c>
      <c r="N79">
        <f>IF(AND(SUM(VLOOKUP($A79,test!$A$3:$F$32,2,FALSE),VLOOKUP(N$1,test!$A$3:$F$32,2,FALSE))&lt;test!$K$16,$A79&lt;&gt;N$1,Recharged_Feasible_mat!O48=1),(VLOOKUP(N$1,test!$A$3:$I$32,8,FALSE))-(VLOOKUP($A79,test!$A$3:$I$32,9,FALSE))+test!$B$34,0)</f>
        <v>530</v>
      </c>
      <c r="O79">
        <f>IF(AND(SUM(VLOOKUP($A79,test!$A$3:$F$32,2,FALSE),VLOOKUP(O$1,test!$A$3:$F$32,2,FALSE))&lt;test!$K$16,$A79&lt;&gt;O$1,Recharged_Feasible_mat!P48=1),(VLOOKUP(O$1,test!$A$3:$I$32,8,FALSE))-(VLOOKUP($A79,test!$A$3:$I$32,9,FALSE))+test!$B$34,0)</f>
        <v>590</v>
      </c>
      <c r="P79">
        <f>IF(AND(SUM(VLOOKUP($A79,test!$A$3:$F$32,2,FALSE),VLOOKUP(P$1,test!$A$3:$F$32,2,FALSE))&lt;test!$K$16,$A79&lt;&gt;P$1,Recharged_Feasible_mat!Q48=1),(VLOOKUP(P$1,test!$A$3:$I$32,8,FALSE))-(VLOOKUP($A79,test!$A$3:$I$32,9,FALSE))+test!$B$34,0)</f>
        <v>0</v>
      </c>
      <c r="Q79">
        <f>IF(AND(SUM(VLOOKUP($A79,test!$A$3:$F$32,2,FALSE),VLOOKUP(Q$1,test!$A$3:$F$32,2,FALSE))&lt;test!$K$16,$A79&lt;&gt;Q$1,Recharged_Feasible_mat!R48=1),(VLOOKUP(Q$1,test!$A$3:$I$32,8,FALSE))-(VLOOKUP($A79,test!$A$3:$I$32,9,FALSE))+test!$B$34,0)</f>
        <v>0</v>
      </c>
      <c r="R79">
        <f>IF(AND(SUM(VLOOKUP($A79,test!$A$3:$F$32,2,FALSE),VLOOKUP(R$1,test!$A$3:$F$32,2,FALSE))&lt;test!$K$16,$A79&lt;&gt;R$1,Recharged_Feasible_mat!S48=1),(VLOOKUP(R$1,test!$A$3:$I$32,8,FALSE))-(VLOOKUP($A79,test!$A$3:$I$32,9,FALSE))+test!$B$34,0)</f>
        <v>0</v>
      </c>
      <c r="S79">
        <f>IF(AND(SUM(VLOOKUP($A79,test!$A$3:$F$32,2,FALSE),VLOOKUP(S$1,test!$A$3:$F$32,2,FALSE))&lt;test!$K$16,$A79&lt;&gt;S$1,Recharged_Feasible_mat!T48=1),(VLOOKUP(S$1,test!$A$3:$I$32,8,FALSE))-(VLOOKUP($A79,test!$A$3:$I$32,9,FALSE))+test!$B$34,0)</f>
        <v>0</v>
      </c>
      <c r="T79">
        <f>IF(AND(SUM(VLOOKUP($A79,test!$A$3:$F$32,2,FALSE),VLOOKUP(T$1,test!$A$3:$F$32,2,FALSE))&lt;test!$K$16,$A79&lt;&gt;T$1,Recharged_Feasible_mat!U48=1),(VLOOKUP(T$1,test!$A$3:$I$32,8,FALSE))-(VLOOKUP($A79,test!$A$3:$I$32,9,FALSE))+test!$B$34,0)</f>
        <v>185</v>
      </c>
      <c r="U79">
        <f>IF(AND(SUM(VLOOKUP($A79,test!$A$3:$F$32,2,FALSE),VLOOKUP(U$1,test!$A$3:$F$32,2,FALSE))&lt;test!$K$16,$A79&lt;&gt;U$1,Recharged_Feasible_mat!V48=1),(VLOOKUP(U$1,test!$A$3:$I$32,8,FALSE))-(VLOOKUP($A79,test!$A$3:$I$32,9,FALSE))+test!$B$34,0)</f>
        <v>275</v>
      </c>
      <c r="V79">
        <f>IF(AND(SUM(VLOOKUP($A79,test!$A$3:$F$32,2,FALSE),VLOOKUP(V$1,test!$A$3:$F$32,2,FALSE))&lt;test!$K$16,$A79&lt;&gt;V$1,Recharged_Feasible_mat!W48=1),(VLOOKUP(V$1,test!$A$3:$I$32,8,FALSE))-(VLOOKUP($A79,test!$A$3:$I$32,9,FALSE))+test!$B$34,0)</f>
        <v>365</v>
      </c>
      <c r="W79">
        <f>IF(AND(SUM(VLOOKUP($A79,test!$A$3:$F$32,2,FALSE),VLOOKUP(W$1,test!$A$3:$F$32,2,FALSE))&lt;test!$K$16,$A79&lt;&gt;W$1,Recharged_Feasible_mat!X48=1),(VLOOKUP(W$1,test!$A$3:$I$32,8,FALSE))-(VLOOKUP($A79,test!$A$3:$I$32,9,FALSE))+test!$B$34,0)</f>
        <v>455</v>
      </c>
      <c r="X79">
        <f>IF(AND(SUM(VLOOKUP($A79,test!$A$3:$F$32,2,FALSE),VLOOKUP(X$1,test!$A$3:$F$32,2,FALSE))&lt;test!$K$16,$A79&lt;&gt;X$1,Recharged_Feasible_mat!Y48=1),(VLOOKUP(X$1,test!$A$3:$I$32,8,FALSE))-(VLOOKUP($A79,test!$A$3:$I$32,9,FALSE))+test!$B$34,0)</f>
        <v>515</v>
      </c>
      <c r="Y79">
        <f>IF(AND(SUM(VLOOKUP($A79,test!$A$3:$F$32,2,FALSE),VLOOKUP(Y$1,test!$A$3:$F$32,2,FALSE))&lt;test!$K$16,$A79&lt;&gt;Y$1,Recharged_Feasible_mat!Z48=1),(VLOOKUP(Y$1,test!$A$3:$I$32,8,FALSE))-(VLOOKUP($A79,test!$A$3:$I$32,9,FALSE))+test!$B$34,0)</f>
        <v>0</v>
      </c>
      <c r="Z79">
        <f>IF(AND(SUM(VLOOKUP($A79,test!$A$3:$F$32,2,FALSE),VLOOKUP(Z$1,test!$A$3:$F$32,2,FALSE))&lt;test!$K$16,$A79&lt;&gt;Z$1,Recharged_Feasible_mat!AA48=1),(VLOOKUP(Z$1,test!$A$3:$I$32,8,FALSE))-(VLOOKUP($A79,test!$A$3:$I$32,9,FALSE))+test!$B$34,0)</f>
        <v>115</v>
      </c>
      <c r="AA79">
        <f>IF(AND(SUM(VLOOKUP($A79,test!$A$3:$F$32,2,FALSE),VLOOKUP(AA$1,test!$A$3:$F$32,2,FALSE))&lt;test!$K$16,$A79&lt;&gt;AA$1,Recharged_Feasible_mat!AB48=1),(VLOOKUP(AA$1,test!$A$3:$I$32,8,FALSE))-(VLOOKUP($A79,test!$A$3:$I$32,9,FALSE))+test!$B$34,0)</f>
        <v>235</v>
      </c>
      <c r="AB79">
        <f>IF(AND(SUM(VLOOKUP($A79,test!$A$3:$F$32,2,FALSE),VLOOKUP(AB$1,test!$A$3:$F$32,2,FALSE))&lt;test!$K$16,$A79&lt;&gt;AB$1,Recharged_Feasible_mat!AC48=1),(VLOOKUP(AB$1,test!$A$3:$I$32,8,FALSE))-(VLOOKUP($A79,test!$A$3:$I$32,9,FALSE))+test!$B$34,0)</f>
        <v>295</v>
      </c>
      <c r="AC79">
        <f>IF(AND(SUM(VLOOKUP($A79,test!$A$3:$F$32,2,FALSE),VLOOKUP(AC$1,test!$A$3:$F$32,2,FALSE))&lt;test!$K$16,$A79&lt;&gt;AC$1,Recharged_Feasible_mat!AD48=1),(VLOOKUP(AC$1,test!$A$3:$I$32,8,FALSE))-(VLOOKUP($A79,test!$A$3:$I$32,9,FALSE))+test!$B$34,0)</f>
        <v>415</v>
      </c>
      <c r="AD79">
        <f>IF(AND(SUM(VLOOKUP($A79,test!$A$3:$F$32,2,FALSE),VLOOKUP(AD$1,test!$A$3:$F$32,2,FALSE))&lt;test!$K$16,$A79&lt;&gt;AD$1,Recharged_Feasible_mat!AE48=1),(VLOOKUP(AD$1,test!$A$3:$I$32,8,FALSE))-(VLOOKUP($A79,test!$A$3:$I$32,9,FALSE))+test!$B$34,0)</f>
        <v>0</v>
      </c>
      <c r="AE79">
        <f>IF(AND(SUM(VLOOKUP($A79,test!$A$3:$F$32,2,FALSE),VLOOKUP(AE$1,test!$A$3:$F$32,2,FALSE))&lt;test!$K$16,$A79&lt;&gt;AE$1,Recharged_Feasible_mat!AF48=1),(VLOOKUP(AE$1,test!$A$3:$I$32,8,FALSE))-(VLOOKUP($A79,test!$A$3:$I$32,9,FALSE))+test!$B$34,0)</f>
        <v>235</v>
      </c>
      <c r="AF79">
        <f>IF(AND(SUM(VLOOKUP($A79,test!$A$3:$F$32,2,FALSE),VLOOKUP(AF$1,test!$A$3:$F$32,2,FALSE))&lt;test!$K$16,$A79&lt;&gt;AF$1,Recharged_Feasible_mat!AG48=1),(VLOOKUP(AF$1,test!$A$3:$I$32,8,FALSE))-(VLOOKUP($A79,test!$A$3:$I$32,9,FALSE))+test!$B$34,0)</f>
        <v>0</v>
      </c>
    </row>
    <row r="80" spans="1:32" x14ac:dyDescent="0.25">
      <c r="A80" t="s">
        <v>27</v>
      </c>
      <c r="B80">
        <v>0</v>
      </c>
      <c r="C80">
        <f>IF(AND(SUM(VLOOKUP($A80,test!$A$3:$F$32,2,FALSE),VLOOKUP(C$1,test!$A$3:$F$32,2,FALSE))&lt;test!$K$16,$A80&lt;&gt;C$1,Recharged_Feasible_mat!D49=1),(VLOOKUP(C$1,test!$A$3:$I$32,8,FALSE))-(VLOOKUP($A80,test!$A$3:$I$32,9,FALSE))+test!$B$34,0)</f>
        <v>0</v>
      </c>
      <c r="D80">
        <f>IF(AND(SUM(VLOOKUP($A80,test!$A$3:$F$32,2,FALSE),VLOOKUP(D$1,test!$A$3:$F$32,2,FALSE))&lt;test!$K$16,$A80&lt;&gt;D$1,Recharged_Feasible_mat!E49=1),(VLOOKUP(D$1,test!$A$3:$I$32,8,FALSE))-(VLOOKUP($A80,test!$A$3:$I$32,9,FALSE))+test!$B$34,0)</f>
        <v>0</v>
      </c>
      <c r="E80">
        <f>IF(AND(SUM(VLOOKUP($A80,test!$A$3:$F$32,2,FALSE),VLOOKUP(E$1,test!$A$3:$F$32,2,FALSE))&lt;test!$K$16,$A80&lt;&gt;E$1,Recharged_Feasible_mat!F49=1),(VLOOKUP(E$1,test!$A$3:$I$32,8,FALSE))-(VLOOKUP($A80,test!$A$3:$I$32,9,FALSE))+test!$B$34,0)</f>
        <v>115</v>
      </c>
      <c r="F80">
        <f>IF(AND(SUM(VLOOKUP($A80,test!$A$3:$F$32,2,FALSE),VLOOKUP(F$1,test!$A$3:$F$32,2,FALSE))&lt;test!$K$16,$A80&lt;&gt;F$1,Recharged_Feasible_mat!G49=1),(VLOOKUP(F$1,test!$A$3:$I$32,8,FALSE))-(VLOOKUP($A80,test!$A$3:$I$32,9,FALSE))+test!$B$34,0)</f>
        <v>205</v>
      </c>
      <c r="G80">
        <f>IF(AND(SUM(VLOOKUP($A80,test!$A$3:$F$32,2,FALSE),VLOOKUP(G$1,test!$A$3:$F$32,2,FALSE))&lt;test!$K$16,$A80&lt;&gt;G$1,Recharged_Feasible_mat!H49=1),(VLOOKUP(G$1,test!$A$3:$I$32,8,FALSE))-(VLOOKUP($A80,test!$A$3:$I$32,9,FALSE))+test!$B$34,0)</f>
        <v>265</v>
      </c>
      <c r="H80">
        <f>IF(AND(SUM(VLOOKUP($A80,test!$A$3:$F$32,2,FALSE),VLOOKUP(H$1,test!$A$3:$F$32,2,FALSE))&lt;test!$K$16,$A80&lt;&gt;H$1,Recharged_Feasible_mat!I49=1),(VLOOKUP(H$1,test!$A$3:$I$32,8,FALSE))-(VLOOKUP($A80,test!$A$3:$I$32,9,FALSE))+test!$B$34,0)</f>
        <v>325</v>
      </c>
      <c r="I80">
        <f>IF(AND(SUM(VLOOKUP($A80,test!$A$3:$F$32,2,FALSE),VLOOKUP(I$1,test!$A$3:$F$32,2,FALSE))&lt;test!$K$16,$A80&lt;&gt;I$1,Recharged_Feasible_mat!J49=1),(VLOOKUP(I$1,test!$A$3:$I$32,8,FALSE))-(VLOOKUP($A80,test!$A$3:$I$32,9,FALSE))+test!$B$34,0)</f>
        <v>385</v>
      </c>
      <c r="J80">
        <f>IF(AND(SUM(VLOOKUP($A80,test!$A$3:$F$32,2,FALSE),VLOOKUP(J$1,test!$A$3:$F$32,2,FALSE))&lt;test!$K$16,$A80&lt;&gt;J$1,Recharged_Feasible_mat!K49=1),(VLOOKUP(J$1,test!$A$3:$I$32,8,FALSE))-(VLOOKUP($A80,test!$A$3:$I$32,9,FALSE))+test!$B$34,0)</f>
        <v>475</v>
      </c>
      <c r="K80">
        <f>IF(AND(SUM(VLOOKUP($A80,test!$A$3:$F$32,2,FALSE),VLOOKUP(K$1,test!$A$3:$F$32,2,FALSE))&lt;test!$K$16,$A80&lt;&gt;K$1,Recharged_Feasible_mat!L49=1),(VLOOKUP(K$1,test!$A$3:$I$32,8,FALSE))-(VLOOKUP($A80,test!$A$3:$I$32,9,FALSE))+test!$B$34,0)</f>
        <v>0</v>
      </c>
      <c r="L80">
        <f>IF(AND(SUM(VLOOKUP($A80,test!$A$3:$F$32,2,FALSE),VLOOKUP(L$1,test!$A$3:$F$32,2,FALSE))&lt;test!$K$16,$A80&lt;&gt;L$1,Recharged_Feasible_mat!M49=1),(VLOOKUP(L$1,test!$A$3:$I$32,8,FALSE))-(VLOOKUP($A80,test!$A$3:$I$32,9,FALSE))+test!$B$34,0)</f>
        <v>0</v>
      </c>
      <c r="M80">
        <f>IF(AND(SUM(VLOOKUP($A80,test!$A$3:$F$32,2,FALSE),VLOOKUP(M$1,test!$A$3:$F$32,2,FALSE))&lt;test!$K$16,$A80&lt;&gt;M$1,Recharged_Feasible_mat!N49=1),(VLOOKUP(M$1,test!$A$3:$I$32,8,FALSE))-(VLOOKUP($A80,test!$A$3:$I$32,9,FALSE))+test!$B$34,0)</f>
        <v>0</v>
      </c>
      <c r="N80">
        <f>IF(AND(SUM(VLOOKUP($A80,test!$A$3:$F$32,2,FALSE),VLOOKUP(N$1,test!$A$3:$F$32,2,FALSE))&lt;test!$K$16,$A80&lt;&gt;N$1,Recharged_Feasible_mat!O49=1),(VLOOKUP(N$1,test!$A$3:$I$32,8,FALSE))-(VLOOKUP($A80,test!$A$3:$I$32,9,FALSE))+test!$B$34,0)</f>
        <v>440</v>
      </c>
      <c r="O80">
        <f>IF(AND(SUM(VLOOKUP($A80,test!$A$3:$F$32,2,FALSE),VLOOKUP(O$1,test!$A$3:$F$32,2,FALSE))&lt;test!$K$16,$A80&lt;&gt;O$1,Recharged_Feasible_mat!P49=1),(VLOOKUP(O$1,test!$A$3:$I$32,8,FALSE))-(VLOOKUP($A80,test!$A$3:$I$32,9,FALSE))+test!$B$34,0)</f>
        <v>500</v>
      </c>
      <c r="P80">
        <f>IF(AND(SUM(VLOOKUP($A80,test!$A$3:$F$32,2,FALSE),VLOOKUP(P$1,test!$A$3:$F$32,2,FALSE))&lt;test!$K$16,$A80&lt;&gt;P$1,Recharged_Feasible_mat!Q49=1),(VLOOKUP(P$1,test!$A$3:$I$32,8,FALSE))-(VLOOKUP($A80,test!$A$3:$I$32,9,FALSE))+test!$B$34,0)</f>
        <v>0</v>
      </c>
      <c r="Q80">
        <f>IF(AND(SUM(VLOOKUP($A80,test!$A$3:$F$32,2,FALSE),VLOOKUP(Q$1,test!$A$3:$F$32,2,FALSE))&lt;test!$K$16,$A80&lt;&gt;Q$1,Recharged_Feasible_mat!R49=1),(VLOOKUP(Q$1,test!$A$3:$I$32,8,FALSE))-(VLOOKUP($A80,test!$A$3:$I$32,9,FALSE))+test!$B$34,0)</f>
        <v>0</v>
      </c>
      <c r="R80">
        <f>IF(AND(SUM(VLOOKUP($A80,test!$A$3:$F$32,2,FALSE),VLOOKUP(R$1,test!$A$3:$F$32,2,FALSE))&lt;test!$K$16,$A80&lt;&gt;R$1,Recharged_Feasible_mat!S49=1),(VLOOKUP(R$1,test!$A$3:$I$32,8,FALSE))-(VLOOKUP($A80,test!$A$3:$I$32,9,FALSE))+test!$B$34,0)</f>
        <v>0</v>
      </c>
      <c r="S80">
        <f>IF(AND(SUM(VLOOKUP($A80,test!$A$3:$F$32,2,FALSE),VLOOKUP(S$1,test!$A$3:$F$32,2,FALSE))&lt;test!$K$16,$A80&lt;&gt;S$1,Recharged_Feasible_mat!T49=1),(VLOOKUP(S$1,test!$A$3:$I$32,8,FALSE))-(VLOOKUP($A80,test!$A$3:$I$32,9,FALSE))+test!$B$34,0)</f>
        <v>0</v>
      </c>
      <c r="T80">
        <f>IF(AND(SUM(VLOOKUP($A80,test!$A$3:$F$32,2,FALSE),VLOOKUP(T$1,test!$A$3:$F$32,2,FALSE))&lt;test!$K$16,$A80&lt;&gt;T$1,Recharged_Feasible_mat!U49=1),(VLOOKUP(T$1,test!$A$3:$I$32,8,FALSE))-(VLOOKUP($A80,test!$A$3:$I$32,9,FALSE))+test!$B$34,0)</f>
        <v>0</v>
      </c>
      <c r="U80">
        <f>IF(AND(SUM(VLOOKUP($A80,test!$A$3:$F$32,2,FALSE),VLOOKUP(U$1,test!$A$3:$F$32,2,FALSE))&lt;test!$K$16,$A80&lt;&gt;U$1,Recharged_Feasible_mat!V49=1),(VLOOKUP(U$1,test!$A$3:$I$32,8,FALSE))-(VLOOKUP($A80,test!$A$3:$I$32,9,FALSE))+test!$B$34,0)</f>
        <v>185</v>
      </c>
      <c r="V80">
        <f>IF(AND(SUM(VLOOKUP($A80,test!$A$3:$F$32,2,FALSE),VLOOKUP(V$1,test!$A$3:$F$32,2,FALSE))&lt;test!$K$16,$A80&lt;&gt;V$1,Recharged_Feasible_mat!W49=1),(VLOOKUP(V$1,test!$A$3:$I$32,8,FALSE))-(VLOOKUP($A80,test!$A$3:$I$32,9,FALSE))+test!$B$34,0)</f>
        <v>275</v>
      </c>
      <c r="W80">
        <f>IF(AND(SUM(VLOOKUP($A80,test!$A$3:$F$32,2,FALSE),VLOOKUP(W$1,test!$A$3:$F$32,2,FALSE))&lt;test!$K$16,$A80&lt;&gt;W$1,Recharged_Feasible_mat!X49=1),(VLOOKUP(W$1,test!$A$3:$I$32,8,FALSE))-(VLOOKUP($A80,test!$A$3:$I$32,9,FALSE))+test!$B$34,0)</f>
        <v>365</v>
      </c>
      <c r="X80">
        <f>IF(AND(SUM(VLOOKUP($A80,test!$A$3:$F$32,2,FALSE),VLOOKUP(X$1,test!$A$3:$F$32,2,FALSE))&lt;test!$K$16,$A80&lt;&gt;X$1,Recharged_Feasible_mat!Y49=1),(VLOOKUP(X$1,test!$A$3:$I$32,8,FALSE))-(VLOOKUP($A80,test!$A$3:$I$32,9,FALSE))+test!$B$34,0)</f>
        <v>425</v>
      </c>
      <c r="Y80">
        <f>IF(AND(SUM(VLOOKUP($A80,test!$A$3:$F$32,2,FALSE),VLOOKUP(Y$1,test!$A$3:$F$32,2,FALSE))&lt;test!$K$16,$A80&lt;&gt;Y$1,Recharged_Feasible_mat!Z49=1),(VLOOKUP(Y$1,test!$A$3:$I$32,8,FALSE))-(VLOOKUP($A80,test!$A$3:$I$32,9,FALSE))+test!$B$34,0)</f>
        <v>0</v>
      </c>
      <c r="Z80">
        <f>IF(AND(SUM(VLOOKUP($A80,test!$A$3:$F$32,2,FALSE),VLOOKUP(Z$1,test!$A$3:$F$32,2,FALSE))&lt;test!$K$16,$A80&lt;&gt;Z$1,Recharged_Feasible_mat!AA49=1),(VLOOKUP(Z$1,test!$A$3:$I$32,8,FALSE))-(VLOOKUP($A80,test!$A$3:$I$32,9,FALSE))+test!$B$34,0)</f>
        <v>0</v>
      </c>
      <c r="AA80">
        <f>IF(AND(SUM(VLOOKUP($A80,test!$A$3:$F$32,2,FALSE),VLOOKUP(AA$1,test!$A$3:$F$32,2,FALSE))&lt;test!$K$16,$A80&lt;&gt;AA$1,Recharged_Feasible_mat!AB49=1),(VLOOKUP(AA$1,test!$A$3:$I$32,8,FALSE))-(VLOOKUP($A80,test!$A$3:$I$32,9,FALSE))+test!$B$34,0)</f>
        <v>145</v>
      </c>
      <c r="AB80">
        <f>IF(AND(SUM(VLOOKUP($A80,test!$A$3:$F$32,2,FALSE),VLOOKUP(AB$1,test!$A$3:$F$32,2,FALSE))&lt;test!$K$16,$A80&lt;&gt;AB$1,Recharged_Feasible_mat!AC49=1),(VLOOKUP(AB$1,test!$A$3:$I$32,8,FALSE))-(VLOOKUP($A80,test!$A$3:$I$32,9,FALSE))+test!$B$34,0)</f>
        <v>205</v>
      </c>
      <c r="AC80">
        <f>IF(AND(SUM(VLOOKUP($A80,test!$A$3:$F$32,2,FALSE),VLOOKUP(AC$1,test!$A$3:$F$32,2,FALSE))&lt;test!$K$16,$A80&lt;&gt;AC$1,Recharged_Feasible_mat!AD49=1),(VLOOKUP(AC$1,test!$A$3:$I$32,8,FALSE))-(VLOOKUP($A80,test!$A$3:$I$32,9,FALSE))+test!$B$34,0)</f>
        <v>325</v>
      </c>
      <c r="AD80">
        <f>IF(AND(SUM(VLOOKUP($A80,test!$A$3:$F$32,2,FALSE),VLOOKUP(AD$1,test!$A$3:$F$32,2,FALSE))&lt;test!$K$16,$A80&lt;&gt;AD$1,Recharged_Feasible_mat!AE49=1),(VLOOKUP(AD$1,test!$A$3:$I$32,8,FALSE))-(VLOOKUP($A80,test!$A$3:$I$32,9,FALSE))+test!$B$34,0)</f>
        <v>0</v>
      </c>
      <c r="AE80">
        <f>IF(AND(SUM(VLOOKUP($A80,test!$A$3:$F$32,2,FALSE),VLOOKUP(AE$1,test!$A$3:$F$32,2,FALSE))&lt;test!$K$16,$A80&lt;&gt;AE$1,Recharged_Feasible_mat!AF49=1),(VLOOKUP(AE$1,test!$A$3:$I$32,8,FALSE))-(VLOOKUP($A80,test!$A$3:$I$32,9,FALSE))+test!$B$34,0)</f>
        <v>145</v>
      </c>
      <c r="AF80">
        <f>IF(AND(SUM(VLOOKUP($A80,test!$A$3:$F$32,2,FALSE),VLOOKUP(AF$1,test!$A$3:$F$32,2,FALSE))&lt;test!$K$16,$A80&lt;&gt;AF$1,Recharged_Feasible_mat!AG49=1),(VLOOKUP(AF$1,test!$A$3:$I$32,8,FALSE))-(VLOOKUP($A80,test!$A$3:$I$32,9,FALSE))+test!$B$34,0)</f>
        <v>0</v>
      </c>
    </row>
    <row r="81" spans="1:32" x14ac:dyDescent="0.25">
      <c r="A81" t="s">
        <v>28</v>
      </c>
      <c r="B81">
        <v>0</v>
      </c>
      <c r="C81">
        <f>IF(AND(SUM(VLOOKUP($A81,test!$A$3:$F$32,2,FALSE),VLOOKUP(C$1,test!$A$3:$F$32,2,FALSE))&lt;test!$K$16,$A81&lt;&gt;C$1,Recharged_Feasible_mat!D50=1),(VLOOKUP(C$1,test!$A$3:$I$32,8,FALSE))-(VLOOKUP($A81,test!$A$3:$I$32,9,FALSE))+test!$B$34,0)</f>
        <v>0</v>
      </c>
      <c r="D81">
        <f>IF(AND(SUM(VLOOKUP($A81,test!$A$3:$F$32,2,FALSE),VLOOKUP(D$1,test!$A$3:$F$32,2,FALSE))&lt;test!$K$16,$A81&lt;&gt;D$1,Recharged_Feasible_mat!E50=1),(VLOOKUP(D$1,test!$A$3:$I$32,8,FALSE))-(VLOOKUP($A81,test!$A$3:$I$32,9,FALSE))+test!$B$34,0)</f>
        <v>0</v>
      </c>
      <c r="E81">
        <f>IF(AND(SUM(VLOOKUP($A81,test!$A$3:$F$32,2,FALSE),VLOOKUP(E$1,test!$A$3:$F$32,2,FALSE))&lt;test!$K$16,$A81&lt;&gt;E$1,Recharged_Feasible_mat!F50=1),(VLOOKUP(E$1,test!$A$3:$I$32,8,FALSE))-(VLOOKUP($A81,test!$A$3:$I$32,9,FALSE))+test!$B$34,0)</f>
        <v>0</v>
      </c>
      <c r="F81">
        <f>IF(AND(SUM(VLOOKUP($A81,test!$A$3:$F$32,2,FALSE),VLOOKUP(F$1,test!$A$3:$F$32,2,FALSE))&lt;test!$K$16,$A81&lt;&gt;F$1,Recharged_Feasible_mat!G50=1),(VLOOKUP(F$1,test!$A$3:$I$32,8,FALSE))-(VLOOKUP($A81,test!$A$3:$I$32,9,FALSE))+test!$B$34,0)</f>
        <v>115</v>
      </c>
      <c r="G81">
        <f>IF(AND(SUM(VLOOKUP($A81,test!$A$3:$F$32,2,FALSE),VLOOKUP(G$1,test!$A$3:$F$32,2,FALSE))&lt;test!$K$16,$A81&lt;&gt;G$1,Recharged_Feasible_mat!H50=1),(VLOOKUP(G$1,test!$A$3:$I$32,8,FALSE))-(VLOOKUP($A81,test!$A$3:$I$32,9,FALSE))+test!$B$34,0)</f>
        <v>175</v>
      </c>
      <c r="H81">
        <f>IF(AND(SUM(VLOOKUP($A81,test!$A$3:$F$32,2,FALSE),VLOOKUP(H$1,test!$A$3:$F$32,2,FALSE))&lt;test!$K$16,$A81&lt;&gt;H$1,Recharged_Feasible_mat!I50=1),(VLOOKUP(H$1,test!$A$3:$I$32,8,FALSE))-(VLOOKUP($A81,test!$A$3:$I$32,9,FALSE))+test!$B$34,0)</f>
        <v>235</v>
      </c>
      <c r="I81">
        <f>IF(AND(SUM(VLOOKUP($A81,test!$A$3:$F$32,2,FALSE),VLOOKUP(I$1,test!$A$3:$F$32,2,FALSE))&lt;test!$K$16,$A81&lt;&gt;I$1,Recharged_Feasible_mat!J50=1),(VLOOKUP(I$1,test!$A$3:$I$32,8,FALSE))-(VLOOKUP($A81,test!$A$3:$I$32,9,FALSE))+test!$B$34,0)</f>
        <v>295</v>
      </c>
      <c r="J81">
        <f>IF(AND(SUM(VLOOKUP($A81,test!$A$3:$F$32,2,FALSE),VLOOKUP(J$1,test!$A$3:$F$32,2,FALSE))&lt;test!$K$16,$A81&lt;&gt;J$1,Recharged_Feasible_mat!K50=1),(VLOOKUP(J$1,test!$A$3:$I$32,8,FALSE))-(VLOOKUP($A81,test!$A$3:$I$32,9,FALSE))+test!$B$34,0)</f>
        <v>385</v>
      </c>
      <c r="K81">
        <f>IF(AND(SUM(VLOOKUP($A81,test!$A$3:$F$32,2,FALSE),VLOOKUP(K$1,test!$A$3:$F$32,2,FALSE))&lt;test!$K$16,$A81&lt;&gt;K$1,Recharged_Feasible_mat!L50=1),(VLOOKUP(K$1,test!$A$3:$I$32,8,FALSE))-(VLOOKUP($A81,test!$A$3:$I$32,9,FALSE))+test!$B$34,0)</f>
        <v>0</v>
      </c>
      <c r="L81">
        <f>IF(AND(SUM(VLOOKUP($A81,test!$A$3:$F$32,2,FALSE),VLOOKUP(L$1,test!$A$3:$F$32,2,FALSE))&lt;test!$K$16,$A81&lt;&gt;L$1,Recharged_Feasible_mat!M50=1),(VLOOKUP(L$1,test!$A$3:$I$32,8,FALSE))-(VLOOKUP($A81,test!$A$3:$I$32,9,FALSE))+test!$B$34,0)</f>
        <v>0</v>
      </c>
      <c r="M81">
        <f>IF(AND(SUM(VLOOKUP($A81,test!$A$3:$F$32,2,FALSE),VLOOKUP(M$1,test!$A$3:$F$32,2,FALSE))&lt;test!$K$16,$A81&lt;&gt;M$1,Recharged_Feasible_mat!N50=1),(VLOOKUP(M$1,test!$A$3:$I$32,8,FALSE))-(VLOOKUP($A81,test!$A$3:$I$32,9,FALSE))+test!$B$34,0)</f>
        <v>0</v>
      </c>
      <c r="N81">
        <f>IF(AND(SUM(VLOOKUP($A81,test!$A$3:$F$32,2,FALSE),VLOOKUP(N$1,test!$A$3:$F$32,2,FALSE))&lt;test!$K$16,$A81&lt;&gt;N$1,Recharged_Feasible_mat!O50=1),(VLOOKUP(N$1,test!$A$3:$I$32,8,FALSE))-(VLOOKUP($A81,test!$A$3:$I$32,9,FALSE))+test!$B$34,0)</f>
        <v>350</v>
      </c>
      <c r="O81">
        <f>IF(AND(SUM(VLOOKUP($A81,test!$A$3:$F$32,2,FALSE),VLOOKUP(O$1,test!$A$3:$F$32,2,FALSE))&lt;test!$K$16,$A81&lt;&gt;O$1,Recharged_Feasible_mat!P50=1),(VLOOKUP(O$1,test!$A$3:$I$32,8,FALSE))-(VLOOKUP($A81,test!$A$3:$I$32,9,FALSE))+test!$B$34,0)</f>
        <v>410</v>
      </c>
      <c r="P81">
        <f>IF(AND(SUM(VLOOKUP($A81,test!$A$3:$F$32,2,FALSE),VLOOKUP(P$1,test!$A$3:$F$32,2,FALSE))&lt;test!$K$16,$A81&lt;&gt;P$1,Recharged_Feasible_mat!Q50=1),(VLOOKUP(P$1,test!$A$3:$I$32,8,FALSE))-(VLOOKUP($A81,test!$A$3:$I$32,9,FALSE))+test!$B$34,0)</f>
        <v>0</v>
      </c>
      <c r="Q81">
        <f>IF(AND(SUM(VLOOKUP($A81,test!$A$3:$F$32,2,FALSE),VLOOKUP(Q$1,test!$A$3:$F$32,2,FALSE))&lt;test!$K$16,$A81&lt;&gt;Q$1,Recharged_Feasible_mat!R50=1),(VLOOKUP(Q$1,test!$A$3:$I$32,8,FALSE))-(VLOOKUP($A81,test!$A$3:$I$32,9,FALSE))+test!$B$34,0)</f>
        <v>0</v>
      </c>
      <c r="R81">
        <f>IF(AND(SUM(VLOOKUP($A81,test!$A$3:$F$32,2,FALSE),VLOOKUP(R$1,test!$A$3:$F$32,2,FALSE))&lt;test!$K$16,$A81&lt;&gt;R$1,Recharged_Feasible_mat!S50=1),(VLOOKUP(R$1,test!$A$3:$I$32,8,FALSE))-(VLOOKUP($A81,test!$A$3:$I$32,9,FALSE))+test!$B$34,0)</f>
        <v>0</v>
      </c>
      <c r="S81">
        <f>IF(AND(SUM(VLOOKUP($A81,test!$A$3:$F$32,2,FALSE),VLOOKUP(S$1,test!$A$3:$F$32,2,FALSE))&lt;test!$K$16,$A81&lt;&gt;S$1,Recharged_Feasible_mat!T50=1),(VLOOKUP(S$1,test!$A$3:$I$32,8,FALSE))-(VLOOKUP($A81,test!$A$3:$I$32,9,FALSE))+test!$B$34,0)</f>
        <v>0</v>
      </c>
      <c r="T81">
        <f>IF(AND(SUM(VLOOKUP($A81,test!$A$3:$F$32,2,FALSE),VLOOKUP(T$1,test!$A$3:$F$32,2,FALSE))&lt;test!$K$16,$A81&lt;&gt;T$1,Recharged_Feasible_mat!U50=1),(VLOOKUP(T$1,test!$A$3:$I$32,8,FALSE))-(VLOOKUP($A81,test!$A$3:$I$32,9,FALSE))+test!$B$34,0)</f>
        <v>0</v>
      </c>
      <c r="U81">
        <f>IF(AND(SUM(VLOOKUP($A81,test!$A$3:$F$32,2,FALSE),VLOOKUP(U$1,test!$A$3:$F$32,2,FALSE))&lt;test!$K$16,$A81&lt;&gt;U$1,Recharged_Feasible_mat!V50=1),(VLOOKUP(U$1,test!$A$3:$I$32,8,FALSE))-(VLOOKUP($A81,test!$A$3:$I$32,9,FALSE))+test!$B$34,0)</f>
        <v>0</v>
      </c>
      <c r="V81">
        <f>IF(AND(SUM(VLOOKUP($A81,test!$A$3:$F$32,2,FALSE),VLOOKUP(V$1,test!$A$3:$F$32,2,FALSE))&lt;test!$K$16,$A81&lt;&gt;V$1,Recharged_Feasible_mat!W50=1),(VLOOKUP(V$1,test!$A$3:$I$32,8,FALSE))-(VLOOKUP($A81,test!$A$3:$I$32,9,FALSE))+test!$B$34,0)</f>
        <v>185</v>
      </c>
      <c r="W81">
        <f>IF(AND(SUM(VLOOKUP($A81,test!$A$3:$F$32,2,FALSE),VLOOKUP(W$1,test!$A$3:$F$32,2,FALSE))&lt;test!$K$16,$A81&lt;&gt;W$1,Recharged_Feasible_mat!X50=1),(VLOOKUP(W$1,test!$A$3:$I$32,8,FALSE))-(VLOOKUP($A81,test!$A$3:$I$32,9,FALSE))+test!$B$34,0)</f>
        <v>275</v>
      </c>
      <c r="X81">
        <f>IF(AND(SUM(VLOOKUP($A81,test!$A$3:$F$32,2,FALSE),VLOOKUP(X$1,test!$A$3:$F$32,2,FALSE))&lt;test!$K$16,$A81&lt;&gt;X$1,Recharged_Feasible_mat!Y50=1),(VLOOKUP(X$1,test!$A$3:$I$32,8,FALSE))-(VLOOKUP($A81,test!$A$3:$I$32,9,FALSE))+test!$B$34,0)</f>
        <v>335</v>
      </c>
      <c r="Y81">
        <f>IF(AND(SUM(VLOOKUP($A81,test!$A$3:$F$32,2,FALSE),VLOOKUP(Y$1,test!$A$3:$F$32,2,FALSE))&lt;test!$K$16,$A81&lt;&gt;Y$1,Recharged_Feasible_mat!Z50=1),(VLOOKUP(Y$1,test!$A$3:$I$32,8,FALSE))-(VLOOKUP($A81,test!$A$3:$I$32,9,FALSE))+test!$B$34,0)</f>
        <v>0</v>
      </c>
      <c r="Z81">
        <f>IF(AND(SUM(VLOOKUP($A81,test!$A$3:$F$32,2,FALSE),VLOOKUP(Z$1,test!$A$3:$F$32,2,FALSE))&lt;test!$K$16,$A81&lt;&gt;Z$1,Recharged_Feasible_mat!AA50=1),(VLOOKUP(Z$1,test!$A$3:$I$32,8,FALSE))-(VLOOKUP($A81,test!$A$3:$I$32,9,FALSE))+test!$B$34,0)</f>
        <v>0</v>
      </c>
      <c r="AA81">
        <f>IF(AND(SUM(VLOOKUP($A81,test!$A$3:$F$32,2,FALSE),VLOOKUP(AA$1,test!$A$3:$F$32,2,FALSE))&lt;test!$K$16,$A81&lt;&gt;AA$1,Recharged_Feasible_mat!AB50=1),(VLOOKUP(AA$1,test!$A$3:$I$32,8,FALSE))-(VLOOKUP($A81,test!$A$3:$I$32,9,FALSE))+test!$B$34,0)</f>
        <v>0</v>
      </c>
      <c r="AB81">
        <f>IF(AND(SUM(VLOOKUP($A81,test!$A$3:$F$32,2,FALSE),VLOOKUP(AB$1,test!$A$3:$F$32,2,FALSE))&lt;test!$K$16,$A81&lt;&gt;AB$1,Recharged_Feasible_mat!AC50=1),(VLOOKUP(AB$1,test!$A$3:$I$32,8,FALSE))-(VLOOKUP($A81,test!$A$3:$I$32,9,FALSE))+test!$B$34,0)</f>
        <v>115</v>
      </c>
      <c r="AC81">
        <f>IF(AND(SUM(VLOOKUP($A81,test!$A$3:$F$32,2,FALSE),VLOOKUP(AC$1,test!$A$3:$F$32,2,FALSE))&lt;test!$K$16,$A81&lt;&gt;AC$1,Recharged_Feasible_mat!AD50=1),(VLOOKUP(AC$1,test!$A$3:$I$32,8,FALSE))-(VLOOKUP($A81,test!$A$3:$I$32,9,FALSE))+test!$B$34,0)</f>
        <v>235</v>
      </c>
      <c r="AD81">
        <f>IF(AND(SUM(VLOOKUP($A81,test!$A$3:$F$32,2,FALSE),VLOOKUP(AD$1,test!$A$3:$F$32,2,FALSE))&lt;test!$K$16,$A81&lt;&gt;AD$1,Recharged_Feasible_mat!AE50=1),(VLOOKUP(AD$1,test!$A$3:$I$32,8,FALSE))-(VLOOKUP($A81,test!$A$3:$I$32,9,FALSE))+test!$B$34,0)</f>
        <v>0</v>
      </c>
      <c r="AE81">
        <f>IF(AND(SUM(VLOOKUP($A81,test!$A$3:$F$32,2,FALSE),VLOOKUP(AE$1,test!$A$3:$F$32,2,FALSE))&lt;test!$K$16,$A81&lt;&gt;AE$1,Recharged_Feasible_mat!AF50=1),(VLOOKUP(AE$1,test!$A$3:$I$32,8,FALSE))-(VLOOKUP($A81,test!$A$3:$I$32,9,FALSE))+test!$B$34,0)</f>
        <v>0</v>
      </c>
      <c r="AF81">
        <f>IF(AND(SUM(VLOOKUP($A81,test!$A$3:$F$32,2,FALSE),VLOOKUP(AF$1,test!$A$3:$F$32,2,FALSE))&lt;test!$K$16,$A81&lt;&gt;AF$1,Recharged_Feasible_mat!AG50=1),(VLOOKUP(AF$1,test!$A$3:$I$32,8,FALSE))-(VLOOKUP($A81,test!$A$3:$I$32,9,FALSE))+test!$B$34,0)</f>
        <v>0</v>
      </c>
    </row>
    <row r="82" spans="1:32" x14ac:dyDescent="0.25">
      <c r="A82" t="s">
        <v>29</v>
      </c>
      <c r="B82">
        <v>0</v>
      </c>
      <c r="C82">
        <f>IF(AND(SUM(VLOOKUP($A82,test!$A$3:$F$32,2,FALSE),VLOOKUP(C$1,test!$A$3:$F$32,2,FALSE))&lt;test!$K$16,$A82&lt;&gt;C$1,Recharged_Feasible_mat!D51=1),(VLOOKUP(C$1,test!$A$3:$I$32,8,FALSE))-(VLOOKUP($A82,test!$A$3:$I$32,9,FALSE))+test!$B$34,0)</f>
        <v>0</v>
      </c>
      <c r="D82">
        <f>IF(AND(SUM(VLOOKUP($A82,test!$A$3:$F$32,2,FALSE),VLOOKUP(D$1,test!$A$3:$F$32,2,FALSE))&lt;test!$K$16,$A82&lt;&gt;D$1,Recharged_Feasible_mat!E51=1),(VLOOKUP(D$1,test!$A$3:$I$32,8,FALSE))-(VLOOKUP($A82,test!$A$3:$I$32,9,FALSE))+test!$B$34,0)</f>
        <v>0</v>
      </c>
      <c r="E82">
        <f>IF(AND(SUM(VLOOKUP($A82,test!$A$3:$F$32,2,FALSE),VLOOKUP(E$1,test!$A$3:$F$32,2,FALSE))&lt;test!$K$16,$A82&lt;&gt;E$1,Recharged_Feasible_mat!F51=1),(VLOOKUP(E$1,test!$A$3:$I$32,8,FALSE))-(VLOOKUP($A82,test!$A$3:$I$32,9,FALSE))+test!$B$34,0)</f>
        <v>0</v>
      </c>
      <c r="F82">
        <f>IF(AND(SUM(VLOOKUP($A82,test!$A$3:$F$32,2,FALSE),VLOOKUP(F$1,test!$A$3:$F$32,2,FALSE))&lt;test!$K$16,$A82&lt;&gt;F$1,Recharged_Feasible_mat!G51=1),(VLOOKUP(F$1,test!$A$3:$I$32,8,FALSE))-(VLOOKUP($A82,test!$A$3:$I$32,9,FALSE))+test!$B$34,0)</f>
        <v>0</v>
      </c>
      <c r="G82">
        <f>IF(AND(SUM(VLOOKUP($A82,test!$A$3:$F$32,2,FALSE),VLOOKUP(G$1,test!$A$3:$F$32,2,FALSE))&lt;test!$K$16,$A82&lt;&gt;G$1,Recharged_Feasible_mat!H51=1),(VLOOKUP(G$1,test!$A$3:$I$32,8,FALSE))-(VLOOKUP($A82,test!$A$3:$I$32,9,FALSE))+test!$B$34,0)</f>
        <v>0</v>
      </c>
      <c r="H82">
        <f>IF(AND(SUM(VLOOKUP($A82,test!$A$3:$F$32,2,FALSE),VLOOKUP(H$1,test!$A$3:$F$32,2,FALSE))&lt;test!$K$16,$A82&lt;&gt;H$1,Recharged_Feasible_mat!I51=1),(VLOOKUP(H$1,test!$A$3:$I$32,8,FALSE))-(VLOOKUP($A82,test!$A$3:$I$32,9,FALSE))+test!$B$34,0)</f>
        <v>145</v>
      </c>
      <c r="I82">
        <f>IF(AND(SUM(VLOOKUP($A82,test!$A$3:$F$32,2,FALSE),VLOOKUP(I$1,test!$A$3:$F$32,2,FALSE))&lt;test!$K$16,$A82&lt;&gt;I$1,Recharged_Feasible_mat!J51=1),(VLOOKUP(I$1,test!$A$3:$I$32,8,FALSE))-(VLOOKUP($A82,test!$A$3:$I$32,9,FALSE))+test!$B$34,0)</f>
        <v>205</v>
      </c>
      <c r="J82">
        <f>IF(AND(SUM(VLOOKUP($A82,test!$A$3:$F$32,2,FALSE),VLOOKUP(J$1,test!$A$3:$F$32,2,FALSE))&lt;test!$K$16,$A82&lt;&gt;J$1,Recharged_Feasible_mat!K51=1),(VLOOKUP(J$1,test!$A$3:$I$32,8,FALSE))-(VLOOKUP($A82,test!$A$3:$I$32,9,FALSE))+test!$B$34,0)</f>
        <v>295</v>
      </c>
      <c r="K82">
        <f>IF(AND(SUM(VLOOKUP($A82,test!$A$3:$F$32,2,FALSE),VLOOKUP(K$1,test!$A$3:$F$32,2,FALSE))&lt;test!$K$16,$A82&lt;&gt;K$1,Recharged_Feasible_mat!L51=1),(VLOOKUP(K$1,test!$A$3:$I$32,8,FALSE))-(VLOOKUP($A82,test!$A$3:$I$32,9,FALSE))+test!$B$34,0)</f>
        <v>0</v>
      </c>
      <c r="L82">
        <f>IF(AND(SUM(VLOOKUP($A82,test!$A$3:$F$32,2,FALSE),VLOOKUP(L$1,test!$A$3:$F$32,2,FALSE))&lt;test!$K$16,$A82&lt;&gt;L$1,Recharged_Feasible_mat!M51=1),(VLOOKUP(L$1,test!$A$3:$I$32,8,FALSE))-(VLOOKUP($A82,test!$A$3:$I$32,9,FALSE))+test!$B$34,0)</f>
        <v>0</v>
      </c>
      <c r="M82">
        <f>IF(AND(SUM(VLOOKUP($A82,test!$A$3:$F$32,2,FALSE),VLOOKUP(M$1,test!$A$3:$F$32,2,FALSE))&lt;test!$K$16,$A82&lt;&gt;M$1,Recharged_Feasible_mat!N51=1),(VLOOKUP(M$1,test!$A$3:$I$32,8,FALSE))-(VLOOKUP($A82,test!$A$3:$I$32,9,FALSE))+test!$B$34,0)</f>
        <v>0</v>
      </c>
      <c r="N82">
        <f>IF(AND(SUM(VLOOKUP($A82,test!$A$3:$F$32,2,FALSE),VLOOKUP(N$1,test!$A$3:$F$32,2,FALSE))&lt;test!$K$16,$A82&lt;&gt;N$1,Recharged_Feasible_mat!O51=1),(VLOOKUP(N$1,test!$A$3:$I$32,8,FALSE))-(VLOOKUP($A82,test!$A$3:$I$32,9,FALSE))+test!$B$34,0)</f>
        <v>260</v>
      </c>
      <c r="O82">
        <f>IF(AND(SUM(VLOOKUP($A82,test!$A$3:$F$32,2,FALSE),VLOOKUP(O$1,test!$A$3:$F$32,2,FALSE))&lt;test!$K$16,$A82&lt;&gt;O$1,Recharged_Feasible_mat!P51=1),(VLOOKUP(O$1,test!$A$3:$I$32,8,FALSE))-(VLOOKUP($A82,test!$A$3:$I$32,9,FALSE))+test!$B$34,0)</f>
        <v>320</v>
      </c>
      <c r="P82">
        <f>IF(AND(SUM(VLOOKUP($A82,test!$A$3:$F$32,2,FALSE),VLOOKUP(P$1,test!$A$3:$F$32,2,FALSE))&lt;test!$K$16,$A82&lt;&gt;P$1,Recharged_Feasible_mat!Q51=1),(VLOOKUP(P$1,test!$A$3:$I$32,8,FALSE))-(VLOOKUP($A82,test!$A$3:$I$32,9,FALSE))+test!$B$34,0)</f>
        <v>0</v>
      </c>
      <c r="Q82">
        <f>IF(AND(SUM(VLOOKUP($A82,test!$A$3:$F$32,2,FALSE),VLOOKUP(Q$1,test!$A$3:$F$32,2,FALSE))&lt;test!$K$16,$A82&lt;&gt;Q$1,Recharged_Feasible_mat!R51=1),(VLOOKUP(Q$1,test!$A$3:$I$32,8,FALSE))-(VLOOKUP($A82,test!$A$3:$I$32,9,FALSE))+test!$B$34,0)</f>
        <v>0</v>
      </c>
      <c r="R82">
        <f>IF(AND(SUM(VLOOKUP($A82,test!$A$3:$F$32,2,FALSE),VLOOKUP(R$1,test!$A$3:$F$32,2,FALSE))&lt;test!$K$16,$A82&lt;&gt;R$1,Recharged_Feasible_mat!S51=1),(VLOOKUP(R$1,test!$A$3:$I$32,8,FALSE))-(VLOOKUP($A82,test!$A$3:$I$32,9,FALSE))+test!$B$34,0)</f>
        <v>0</v>
      </c>
      <c r="S82">
        <f>IF(AND(SUM(VLOOKUP($A82,test!$A$3:$F$32,2,FALSE),VLOOKUP(S$1,test!$A$3:$F$32,2,FALSE))&lt;test!$K$16,$A82&lt;&gt;S$1,Recharged_Feasible_mat!T51=1),(VLOOKUP(S$1,test!$A$3:$I$32,8,FALSE))-(VLOOKUP($A82,test!$A$3:$I$32,9,FALSE))+test!$B$34,0)</f>
        <v>0</v>
      </c>
      <c r="T82">
        <f>IF(AND(SUM(VLOOKUP($A82,test!$A$3:$F$32,2,FALSE),VLOOKUP(T$1,test!$A$3:$F$32,2,FALSE))&lt;test!$K$16,$A82&lt;&gt;T$1,Recharged_Feasible_mat!U51=1),(VLOOKUP(T$1,test!$A$3:$I$32,8,FALSE))-(VLOOKUP($A82,test!$A$3:$I$32,9,FALSE))+test!$B$34,0)</f>
        <v>0</v>
      </c>
      <c r="U82">
        <f>IF(AND(SUM(VLOOKUP($A82,test!$A$3:$F$32,2,FALSE),VLOOKUP(U$1,test!$A$3:$F$32,2,FALSE))&lt;test!$K$16,$A82&lt;&gt;U$1,Recharged_Feasible_mat!V51=1),(VLOOKUP(U$1,test!$A$3:$I$32,8,FALSE))-(VLOOKUP($A82,test!$A$3:$I$32,9,FALSE))+test!$B$34,0)</f>
        <v>0</v>
      </c>
      <c r="V82">
        <f>IF(AND(SUM(VLOOKUP($A82,test!$A$3:$F$32,2,FALSE),VLOOKUP(V$1,test!$A$3:$F$32,2,FALSE))&lt;test!$K$16,$A82&lt;&gt;V$1,Recharged_Feasible_mat!W51=1),(VLOOKUP(V$1,test!$A$3:$I$32,8,FALSE))-(VLOOKUP($A82,test!$A$3:$I$32,9,FALSE))+test!$B$34,0)</f>
        <v>0</v>
      </c>
      <c r="W82">
        <f>IF(AND(SUM(VLOOKUP($A82,test!$A$3:$F$32,2,FALSE),VLOOKUP(W$1,test!$A$3:$F$32,2,FALSE))&lt;test!$K$16,$A82&lt;&gt;W$1,Recharged_Feasible_mat!X51=1),(VLOOKUP(W$1,test!$A$3:$I$32,8,FALSE))-(VLOOKUP($A82,test!$A$3:$I$32,9,FALSE))+test!$B$34,0)</f>
        <v>185</v>
      </c>
      <c r="X82">
        <f>IF(AND(SUM(VLOOKUP($A82,test!$A$3:$F$32,2,FALSE),VLOOKUP(X$1,test!$A$3:$F$32,2,FALSE))&lt;test!$K$16,$A82&lt;&gt;X$1,Recharged_Feasible_mat!Y51=1),(VLOOKUP(X$1,test!$A$3:$I$32,8,FALSE))-(VLOOKUP($A82,test!$A$3:$I$32,9,FALSE))+test!$B$34,0)</f>
        <v>245</v>
      </c>
      <c r="Y82">
        <f>IF(AND(SUM(VLOOKUP($A82,test!$A$3:$F$32,2,FALSE),VLOOKUP(Y$1,test!$A$3:$F$32,2,FALSE))&lt;test!$K$16,$A82&lt;&gt;Y$1,Recharged_Feasible_mat!Z51=1),(VLOOKUP(Y$1,test!$A$3:$I$32,8,FALSE))-(VLOOKUP($A82,test!$A$3:$I$32,9,FALSE))+test!$B$34,0)</f>
        <v>0</v>
      </c>
      <c r="Z82">
        <f>IF(AND(SUM(VLOOKUP($A82,test!$A$3:$F$32,2,FALSE),VLOOKUP(Z$1,test!$A$3:$F$32,2,FALSE))&lt;test!$K$16,$A82&lt;&gt;Z$1,Recharged_Feasible_mat!AA51=1),(VLOOKUP(Z$1,test!$A$3:$I$32,8,FALSE))-(VLOOKUP($A82,test!$A$3:$I$32,9,FALSE))+test!$B$34,0)</f>
        <v>0</v>
      </c>
      <c r="AA82">
        <f>IF(AND(SUM(VLOOKUP($A82,test!$A$3:$F$32,2,FALSE),VLOOKUP(AA$1,test!$A$3:$F$32,2,FALSE))&lt;test!$K$16,$A82&lt;&gt;AA$1,Recharged_Feasible_mat!AB51=1),(VLOOKUP(AA$1,test!$A$3:$I$32,8,FALSE))-(VLOOKUP($A82,test!$A$3:$I$32,9,FALSE))+test!$B$34,0)</f>
        <v>0</v>
      </c>
      <c r="AB82">
        <f>IF(AND(SUM(VLOOKUP($A82,test!$A$3:$F$32,2,FALSE),VLOOKUP(AB$1,test!$A$3:$F$32,2,FALSE))&lt;test!$K$16,$A82&lt;&gt;AB$1,Recharged_Feasible_mat!AC51=1),(VLOOKUP(AB$1,test!$A$3:$I$32,8,FALSE))-(VLOOKUP($A82,test!$A$3:$I$32,9,FALSE))+test!$B$34,0)</f>
        <v>0</v>
      </c>
      <c r="AC82">
        <f>IF(AND(SUM(VLOOKUP($A82,test!$A$3:$F$32,2,FALSE),VLOOKUP(AC$1,test!$A$3:$F$32,2,FALSE))&lt;test!$K$16,$A82&lt;&gt;AC$1,Recharged_Feasible_mat!AD51=1),(VLOOKUP(AC$1,test!$A$3:$I$32,8,FALSE))-(VLOOKUP($A82,test!$A$3:$I$32,9,FALSE))+test!$B$34,0)</f>
        <v>145</v>
      </c>
      <c r="AD82">
        <f>IF(AND(SUM(VLOOKUP($A82,test!$A$3:$F$32,2,FALSE),VLOOKUP(AD$1,test!$A$3:$F$32,2,FALSE))&lt;test!$K$16,$A82&lt;&gt;AD$1,Recharged_Feasible_mat!AE51=1),(VLOOKUP(AD$1,test!$A$3:$I$32,8,FALSE))-(VLOOKUP($A82,test!$A$3:$I$32,9,FALSE))+test!$B$34,0)</f>
        <v>0</v>
      </c>
      <c r="AE82">
        <f>IF(AND(SUM(VLOOKUP($A82,test!$A$3:$F$32,2,FALSE),VLOOKUP(AE$1,test!$A$3:$F$32,2,FALSE))&lt;test!$K$16,$A82&lt;&gt;AE$1,Recharged_Feasible_mat!AF51=1),(VLOOKUP(AE$1,test!$A$3:$I$32,8,FALSE))-(VLOOKUP($A82,test!$A$3:$I$32,9,FALSE))+test!$B$34,0)</f>
        <v>0</v>
      </c>
      <c r="AF82">
        <f>IF(AND(SUM(VLOOKUP($A82,test!$A$3:$F$32,2,FALSE),VLOOKUP(AF$1,test!$A$3:$F$32,2,FALSE))&lt;test!$K$16,$A82&lt;&gt;AF$1,Recharged_Feasible_mat!AG51=1),(VLOOKUP(AF$1,test!$A$3:$I$32,8,FALSE))-(VLOOKUP($A82,test!$A$3:$I$32,9,FALSE))+test!$B$34,0)</f>
        <v>0</v>
      </c>
    </row>
    <row r="83" spans="1:32" x14ac:dyDescent="0.25">
      <c r="A83" t="s">
        <v>30</v>
      </c>
      <c r="B83">
        <v>0</v>
      </c>
      <c r="C83">
        <f>IF(AND(SUM(VLOOKUP($A83,test!$A$3:$F$32,2,FALSE),VLOOKUP(C$1,test!$A$3:$F$32,2,FALSE))&lt;test!$K$16,$A83&lt;&gt;C$1,Recharged_Feasible_mat!D52=1),(VLOOKUP(C$1,test!$A$3:$I$32,8,FALSE))-(VLOOKUP($A83,test!$A$3:$I$32,9,FALSE))+test!$B$34,0)</f>
        <v>0</v>
      </c>
      <c r="D83">
        <f>IF(AND(SUM(VLOOKUP($A83,test!$A$3:$F$32,2,FALSE),VLOOKUP(D$1,test!$A$3:$F$32,2,FALSE))&lt;test!$K$16,$A83&lt;&gt;D$1,Recharged_Feasible_mat!E52=1),(VLOOKUP(D$1,test!$A$3:$I$32,8,FALSE))-(VLOOKUP($A83,test!$A$3:$I$32,9,FALSE))+test!$B$34,0)</f>
        <v>0</v>
      </c>
      <c r="E83">
        <f>IF(AND(SUM(VLOOKUP($A83,test!$A$3:$F$32,2,FALSE),VLOOKUP(E$1,test!$A$3:$F$32,2,FALSE))&lt;test!$K$16,$A83&lt;&gt;E$1,Recharged_Feasible_mat!F52=1),(VLOOKUP(E$1,test!$A$3:$I$32,8,FALSE))-(VLOOKUP($A83,test!$A$3:$I$32,9,FALSE))+test!$B$34,0)</f>
        <v>0</v>
      </c>
      <c r="F83">
        <f>IF(AND(SUM(VLOOKUP($A83,test!$A$3:$F$32,2,FALSE),VLOOKUP(F$1,test!$A$3:$F$32,2,FALSE))&lt;test!$K$16,$A83&lt;&gt;F$1,Recharged_Feasible_mat!G52=1),(VLOOKUP(F$1,test!$A$3:$I$32,8,FALSE))-(VLOOKUP($A83,test!$A$3:$I$32,9,FALSE))+test!$B$34,0)</f>
        <v>0</v>
      </c>
      <c r="G83">
        <f>IF(AND(SUM(VLOOKUP($A83,test!$A$3:$F$32,2,FALSE),VLOOKUP(G$1,test!$A$3:$F$32,2,FALSE))&lt;test!$K$16,$A83&lt;&gt;G$1,Recharged_Feasible_mat!H52=1),(VLOOKUP(G$1,test!$A$3:$I$32,8,FALSE))-(VLOOKUP($A83,test!$A$3:$I$32,9,FALSE))+test!$B$34,0)</f>
        <v>0</v>
      </c>
      <c r="H83">
        <f>IF(AND(SUM(VLOOKUP($A83,test!$A$3:$F$32,2,FALSE),VLOOKUP(H$1,test!$A$3:$F$32,2,FALSE))&lt;test!$K$16,$A83&lt;&gt;H$1,Recharged_Feasible_mat!I52=1),(VLOOKUP(H$1,test!$A$3:$I$32,8,FALSE))-(VLOOKUP($A83,test!$A$3:$I$32,9,FALSE))+test!$B$34,0)</f>
        <v>0</v>
      </c>
      <c r="I83">
        <f>IF(AND(SUM(VLOOKUP($A83,test!$A$3:$F$32,2,FALSE),VLOOKUP(I$1,test!$A$3:$F$32,2,FALSE))&lt;test!$K$16,$A83&lt;&gt;I$1,Recharged_Feasible_mat!J52=1),(VLOOKUP(I$1,test!$A$3:$I$32,8,FALSE))-(VLOOKUP($A83,test!$A$3:$I$32,9,FALSE))+test!$B$34,0)</f>
        <v>115</v>
      </c>
      <c r="J83">
        <f>IF(AND(SUM(VLOOKUP($A83,test!$A$3:$F$32,2,FALSE),VLOOKUP(J$1,test!$A$3:$F$32,2,FALSE))&lt;test!$K$16,$A83&lt;&gt;J$1,Recharged_Feasible_mat!K52=1),(VLOOKUP(J$1,test!$A$3:$I$32,8,FALSE))-(VLOOKUP($A83,test!$A$3:$I$32,9,FALSE))+test!$B$34,0)</f>
        <v>205</v>
      </c>
      <c r="K83">
        <f>IF(AND(SUM(VLOOKUP($A83,test!$A$3:$F$32,2,FALSE),VLOOKUP(K$1,test!$A$3:$F$32,2,FALSE))&lt;test!$K$16,$A83&lt;&gt;K$1,Recharged_Feasible_mat!L52=1),(VLOOKUP(K$1,test!$A$3:$I$32,8,FALSE))-(VLOOKUP($A83,test!$A$3:$I$32,9,FALSE))+test!$B$34,0)</f>
        <v>0</v>
      </c>
      <c r="L83">
        <f>IF(AND(SUM(VLOOKUP($A83,test!$A$3:$F$32,2,FALSE),VLOOKUP(L$1,test!$A$3:$F$32,2,FALSE))&lt;test!$K$16,$A83&lt;&gt;L$1,Recharged_Feasible_mat!M52=1),(VLOOKUP(L$1,test!$A$3:$I$32,8,FALSE))-(VLOOKUP($A83,test!$A$3:$I$32,9,FALSE))+test!$B$34,0)</f>
        <v>0</v>
      </c>
      <c r="M83">
        <f>IF(AND(SUM(VLOOKUP($A83,test!$A$3:$F$32,2,FALSE),VLOOKUP(M$1,test!$A$3:$F$32,2,FALSE))&lt;test!$K$16,$A83&lt;&gt;M$1,Recharged_Feasible_mat!N52=1),(VLOOKUP(M$1,test!$A$3:$I$32,8,FALSE))-(VLOOKUP($A83,test!$A$3:$I$32,9,FALSE))+test!$B$34,0)</f>
        <v>0</v>
      </c>
      <c r="N83">
        <f>IF(AND(SUM(VLOOKUP($A83,test!$A$3:$F$32,2,FALSE),VLOOKUP(N$1,test!$A$3:$F$32,2,FALSE))&lt;test!$K$16,$A83&lt;&gt;N$1,Recharged_Feasible_mat!O52=1),(VLOOKUP(N$1,test!$A$3:$I$32,8,FALSE))-(VLOOKUP($A83,test!$A$3:$I$32,9,FALSE))+test!$B$34,0)</f>
        <v>170</v>
      </c>
      <c r="O83">
        <f>IF(AND(SUM(VLOOKUP($A83,test!$A$3:$F$32,2,FALSE),VLOOKUP(O$1,test!$A$3:$F$32,2,FALSE))&lt;test!$K$16,$A83&lt;&gt;O$1,Recharged_Feasible_mat!P52=1),(VLOOKUP(O$1,test!$A$3:$I$32,8,FALSE))-(VLOOKUP($A83,test!$A$3:$I$32,9,FALSE))+test!$B$34,0)</f>
        <v>230</v>
      </c>
      <c r="P83">
        <f>IF(AND(SUM(VLOOKUP($A83,test!$A$3:$F$32,2,FALSE),VLOOKUP(P$1,test!$A$3:$F$32,2,FALSE))&lt;test!$K$16,$A83&lt;&gt;P$1,Recharged_Feasible_mat!Q52=1),(VLOOKUP(P$1,test!$A$3:$I$32,8,FALSE))-(VLOOKUP($A83,test!$A$3:$I$32,9,FALSE))+test!$B$34,0)</f>
        <v>0</v>
      </c>
      <c r="Q83">
        <f>IF(AND(SUM(VLOOKUP($A83,test!$A$3:$F$32,2,FALSE),VLOOKUP(Q$1,test!$A$3:$F$32,2,FALSE))&lt;test!$K$16,$A83&lt;&gt;Q$1,Recharged_Feasible_mat!R52=1),(VLOOKUP(Q$1,test!$A$3:$I$32,8,FALSE))-(VLOOKUP($A83,test!$A$3:$I$32,9,FALSE))+test!$B$34,0)</f>
        <v>0</v>
      </c>
      <c r="R83">
        <f>IF(AND(SUM(VLOOKUP($A83,test!$A$3:$F$32,2,FALSE),VLOOKUP(R$1,test!$A$3:$F$32,2,FALSE))&lt;test!$K$16,$A83&lt;&gt;R$1,Recharged_Feasible_mat!S52=1),(VLOOKUP(R$1,test!$A$3:$I$32,8,FALSE))-(VLOOKUP($A83,test!$A$3:$I$32,9,FALSE))+test!$B$34,0)</f>
        <v>0</v>
      </c>
      <c r="S83">
        <f>IF(AND(SUM(VLOOKUP($A83,test!$A$3:$F$32,2,FALSE),VLOOKUP(S$1,test!$A$3:$F$32,2,FALSE))&lt;test!$K$16,$A83&lt;&gt;S$1,Recharged_Feasible_mat!T52=1),(VLOOKUP(S$1,test!$A$3:$I$32,8,FALSE))-(VLOOKUP($A83,test!$A$3:$I$32,9,FALSE))+test!$B$34,0)</f>
        <v>0</v>
      </c>
      <c r="T83">
        <f>IF(AND(SUM(VLOOKUP($A83,test!$A$3:$F$32,2,FALSE),VLOOKUP(T$1,test!$A$3:$F$32,2,FALSE))&lt;test!$K$16,$A83&lt;&gt;T$1,Recharged_Feasible_mat!U52=1),(VLOOKUP(T$1,test!$A$3:$I$32,8,FALSE))-(VLOOKUP($A83,test!$A$3:$I$32,9,FALSE))+test!$B$34,0)</f>
        <v>0</v>
      </c>
      <c r="U83">
        <f>IF(AND(SUM(VLOOKUP($A83,test!$A$3:$F$32,2,FALSE),VLOOKUP(U$1,test!$A$3:$F$32,2,FALSE))&lt;test!$K$16,$A83&lt;&gt;U$1,Recharged_Feasible_mat!V52=1),(VLOOKUP(U$1,test!$A$3:$I$32,8,FALSE))-(VLOOKUP($A83,test!$A$3:$I$32,9,FALSE))+test!$B$34,0)</f>
        <v>0</v>
      </c>
      <c r="V83">
        <f>IF(AND(SUM(VLOOKUP($A83,test!$A$3:$F$32,2,FALSE),VLOOKUP(V$1,test!$A$3:$F$32,2,FALSE))&lt;test!$K$16,$A83&lt;&gt;V$1,Recharged_Feasible_mat!W52=1),(VLOOKUP(V$1,test!$A$3:$I$32,8,FALSE))-(VLOOKUP($A83,test!$A$3:$I$32,9,FALSE))+test!$B$34,0)</f>
        <v>0</v>
      </c>
      <c r="W83">
        <f>IF(AND(SUM(VLOOKUP($A83,test!$A$3:$F$32,2,FALSE),VLOOKUP(W$1,test!$A$3:$F$32,2,FALSE))&lt;test!$K$16,$A83&lt;&gt;W$1,Recharged_Feasible_mat!X52=1),(VLOOKUP(W$1,test!$A$3:$I$32,8,FALSE))-(VLOOKUP($A83,test!$A$3:$I$32,9,FALSE))+test!$B$34,0)</f>
        <v>0</v>
      </c>
      <c r="X83">
        <f>IF(AND(SUM(VLOOKUP($A83,test!$A$3:$F$32,2,FALSE),VLOOKUP(X$1,test!$A$3:$F$32,2,FALSE))&lt;test!$K$16,$A83&lt;&gt;X$1,Recharged_Feasible_mat!Y52=1),(VLOOKUP(X$1,test!$A$3:$I$32,8,FALSE))-(VLOOKUP($A83,test!$A$3:$I$32,9,FALSE))+test!$B$34,0)</f>
        <v>155</v>
      </c>
      <c r="Y83">
        <f>IF(AND(SUM(VLOOKUP($A83,test!$A$3:$F$32,2,FALSE),VLOOKUP(Y$1,test!$A$3:$F$32,2,FALSE))&lt;test!$K$16,$A83&lt;&gt;Y$1,Recharged_Feasible_mat!Z52=1),(VLOOKUP(Y$1,test!$A$3:$I$32,8,FALSE))-(VLOOKUP($A83,test!$A$3:$I$32,9,FALSE))+test!$B$34,0)</f>
        <v>0</v>
      </c>
      <c r="Z83">
        <f>IF(AND(SUM(VLOOKUP($A83,test!$A$3:$F$32,2,FALSE),VLOOKUP(Z$1,test!$A$3:$F$32,2,FALSE))&lt;test!$K$16,$A83&lt;&gt;Z$1,Recharged_Feasible_mat!AA52=1),(VLOOKUP(Z$1,test!$A$3:$I$32,8,FALSE))-(VLOOKUP($A83,test!$A$3:$I$32,9,FALSE))+test!$B$34,0)</f>
        <v>0</v>
      </c>
      <c r="AA83">
        <f>IF(AND(SUM(VLOOKUP($A83,test!$A$3:$F$32,2,FALSE),VLOOKUP(AA$1,test!$A$3:$F$32,2,FALSE))&lt;test!$K$16,$A83&lt;&gt;AA$1,Recharged_Feasible_mat!AB52=1),(VLOOKUP(AA$1,test!$A$3:$I$32,8,FALSE))-(VLOOKUP($A83,test!$A$3:$I$32,9,FALSE))+test!$B$34,0)</f>
        <v>0</v>
      </c>
      <c r="AB83">
        <f>IF(AND(SUM(VLOOKUP($A83,test!$A$3:$F$32,2,FALSE),VLOOKUP(AB$1,test!$A$3:$F$32,2,FALSE))&lt;test!$K$16,$A83&lt;&gt;AB$1,Recharged_Feasible_mat!AC52=1),(VLOOKUP(AB$1,test!$A$3:$I$32,8,FALSE))-(VLOOKUP($A83,test!$A$3:$I$32,9,FALSE))+test!$B$34,0)</f>
        <v>0</v>
      </c>
      <c r="AC83">
        <f>IF(AND(SUM(VLOOKUP($A83,test!$A$3:$F$32,2,FALSE),VLOOKUP(AC$1,test!$A$3:$F$32,2,FALSE))&lt;test!$K$16,$A83&lt;&gt;AC$1,Recharged_Feasible_mat!AD52=1),(VLOOKUP(AC$1,test!$A$3:$I$32,8,FALSE))-(VLOOKUP($A83,test!$A$3:$I$32,9,FALSE))+test!$B$34,0)</f>
        <v>0</v>
      </c>
      <c r="AD83">
        <f>IF(AND(SUM(VLOOKUP($A83,test!$A$3:$F$32,2,FALSE),VLOOKUP(AD$1,test!$A$3:$F$32,2,FALSE))&lt;test!$K$16,$A83&lt;&gt;AD$1,Recharged_Feasible_mat!AE52=1),(VLOOKUP(AD$1,test!$A$3:$I$32,8,FALSE))-(VLOOKUP($A83,test!$A$3:$I$32,9,FALSE))+test!$B$34,0)</f>
        <v>0</v>
      </c>
      <c r="AE83">
        <f>IF(AND(SUM(VLOOKUP($A83,test!$A$3:$F$32,2,FALSE),VLOOKUP(AE$1,test!$A$3:$F$32,2,FALSE))&lt;test!$K$16,$A83&lt;&gt;AE$1,Recharged_Feasible_mat!AF52=1),(VLOOKUP(AE$1,test!$A$3:$I$32,8,FALSE))-(VLOOKUP($A83,test!$A$3:$I$32,9,FALSE))+test!$B$34,0)</f>
        <v>0</v>
      </c>
      <c r="AF83">
        <f>IF(AND(SUM(VLOOKUP($A83,test!$A$3:$F$32,2,FALSE),VLOOKUP(AF$1,test!$A$3:$F$32,2,FALSE))&lt;test!$K$16,$A83&lt;&gt;AF$1,Recharged_Feasible_mat!AG52=1),(VLOOKUP(AF$1,test!$A$3:$I$32,8,FALSE))-(VLOOKUP($A83,test!$A$3:$I$32,9,FALSE))+test!$B$34,0)</f>
        <v>0</v>
      </c>
    </row>
    <row r="84" spans="1:32" x14ac:dyDescent="0.25">
      <c r="A84" t="s">
        <v>31</v>
      </c>
      <c r="B84">
        <v>0</v>
      </c>
      <c r="C84">
        <f>IF(AND(SUM(VLOOKUP($A84,test!$A$3:$F$32,2,FALSE),VLOOKUP(C$1,test!$A$3:$F$32,2,FALSE))&lt;test!$K$16,$A84&lt;&gt;C$1,Recharged_Feasible_mat!D53=1),(VLOOKUP(C$1,test!$A$3:$I$32,8,FALSE))-(VLOOKUP($A84,test!$A$3:$I$32,9,FALSE))+test!$B$34,0)</f>
        <v>0</v>
      </c>
      <c r="D84">
        <f>IF(AND(SUM(VLOOKUP($A84,test!$A$3:$F$32,2,FALSE),VLOOKUP(D$1,test!$A$3:$F$32,2,FALSE))&lt;test!$K$16,$A84&lt;&gt;D$1,Recharged_Feasible_mat!E53=1),(VLOOKUP(D$1,test!$A$3:$I$32,8,FALSE))-(VLOOKUP($A84,test!$A$3:$I$32,9,FALSE))+test!$B$34,0)</f>
        <v>0</v>
      </c>
      <c r="E84">
        <f>IF(AND(SUM(VLOOKUP($A84,test!$A$3:$F$32,2,FALSE),VLOOKUP(E$1,test!$A$3:$F$32,2,FALSE))&lt;test!$K$16,$A84&lt;&gt;E$1,Recharged_Feasible_mat!F53=1),(VLOOKUP(E$1,test!$A$3:$I$32,8,FALSE))-(VLOOKUP($A84,test!$A$3:$I$32,9,FALSE))+test!$B$34,0)</f>
        <v>0</v>
      </c>
      <c r="F84">
        <f>IF(AND(SUM(VLOOKUP($A84,test!$A$3:$F$32,2,FALSE),VLOOKUP(F$1,test!$A$3:$F$32,2,FALSE))&lt;test!$K$16,$A84&lt;&gt;F$1,Recharged_Feasible_mat!G53=1),(VLOOKUP(F$1,test!$A$3:$I$32,8,FALSE))-(VLOOKUP($A84,test!$A$3:$I$32,9,FALSE))+test!$B$34,0)</f>
        <v>0</v>
      </c>
      <c r="G84">
        <f>IF(AND(SUM(VLOOKUP($A84,test!$A$3:$F$32,2,FALSE),VLOOKUP(G$1,test!$A$3:$F$32,2,FALSE))&lt;test!$K$16,$A84&lt;&gt;G$1,Recharged_Feasible_mat!H53=1),(VLOOKUP(G$1,test!$A$3:$I$32,8,FALSE))-(VLOOKUP($A84,test!$A$3:$I$32,9,FALSE))+test!$B$34,0)</f>
        <v>0</v>
      </c>
      <c r="H84">
        <f>IF(AND(SUM(VLOOKUP($A84,test!$A$3:$F$32,2,FALSE),VLOOKUP(H$1,test!$A$3:$F$32,2,FALSE))&lt;test!$K$16,$A84&lt;&gt;H$1,Recharged_Feasible_mat!I53=1),(VLOOKUP(H$1,test!$A$3:$I$32,8,FALSE))-(VLOOKUP($A84,test!$A$3:$I$32,9,FALSE))+test!$B$34,0)</f>
        <v>0</v>
      </c>
      <c r="I84">
        <f>IF(AND(SUM(VLOOKUP($A84,test!$A$3:$F$32,2,FALSE),VLOOKUP(I$1,test!$A$3:$F$32,2,FALSE))&lt;test!$K$16,$A84&lt;&gt;I$1,Recharged_Feasible_mat!J53=1),(VLOOKUP(I$1,test!$A$3:$I$32,8,FALSE))-(VLOOKUP($A84,test!$A$3:$I$32,9,FALSE))+test!$B$34,0)</f>
        <v>0</v>
      </c>
      <c r="J84">
        <f>IF(AND(SUM(VLOOKUP($A84,test!$A$3:$F$32,2,FALSE),VLOOKUP(J$1,test!$A$3:$F$32,2,FALSE))&lt;test!$K$16,$A84&lt;&gt;J$1,Recharged_Feasible_mat!K53=1),(VLOOKUP(J$1,test!$A$3:$I$32,8,FALSE))-(VLOOKUP($A84,test!$A$3:$I$32,9,FALSE))+test!$B$34,0)</f>
        <v>115</v>
      </c>
      <c r="K84">
        <f>IF(AND(SUM(VLOOKUP($A84,test!$A$3:$F$32,2,FALSE),VLOOKUP(K$1,test!$A$3:$F$32,2,FALSE))&lt;test!$K$16,$A84&lt;&gt;K$1,Recharged_Feasible_mat!L53=1),(VLOOKUP(K$1,test!$A$3:$I$32,8,FALSE))-(VLOOKUP($A84,test!$A$3:$I$32,9,FALSE))+test!$B$34,0)</f>
        <v>0</v>
      </c>
      <c r="L84">
        <f>IF(AND(SUM(VLOOKUP($A84,test!$A$3:$F$32,2,FALSE),VLOOKUP(L$1,test!$A$3:$F$32,2,FALSE))&lt;test!$K$16,$A84&lt;&gt;L$1,Recharged_Feasible_mat!M53=1),(VLOOKUP(L$1,test!$A$3:$I$32,8,FALSE))-(VLOOKUP($A84,test!$A$3:$I$32,9,FALSE))+test!$B$34,0)</f>
        <v>0</v>
      </c>
      <c r="M84">
        <f>IF(AND(SUM(VLOOKUP($A84,test!$A$3:$F$32,2,FALSE),VLOOKUP(M$1,test!$A$3:$F$32,2,FALSE))&lt;test!$K$16,$A84&lt;&gt;M$1,Recharged_Feasible_mat!N53=1),(VLOOKUP(M$1,test!$A$3:$I$32,8,FALSE))-(VLOOKUP($A84,test!$A$3:$I$32,9,FALSE))+test!$B$34,0)</f>
        <v>0</v>
      </c>
      <c r="N84">
        <f>IF(AND(SUM(VLOOKUP($A84,test!$A$3:$F$32,2,FALSE),VLOOKUP(N$1,test!$A$3:$F$32,2,FALSE))&lt;test!$K$16,$A84&lt;&gt;N$1,Recharged_Feasible_mat!O53=1),(VLOOKUP(N$1,test!$A$3:$I$32,8,FALSE))-(VLOOKUP($A84,test!$A$3:$I$32,9,FALSE))+test!$B$34,0)</f>
        <v>0</v>
      </c>
      <c r="O84">
        <f>IF(AND(SUM(VLOOKUP($A84,test!$A$3:$F$32,2,FALSE),VLOOKUP(O$1,test!$A$3:$F$32,2,FALSE))&lt;test!$K$16,$A84&lt;&gt;O$1,Recharged_Feasible_mat!P53=1),(VLOOKUP(O$1,test!$A$3:$I$32,8,FALSE))-(VLOOKUP($A84,test!$A$3:$I$32,9,FALSE))+test!$B$34,0)</f>
        <v>140</v>
      </c>
      <c r="P84">
        <f>IF(AND(SUM(VLOOKUP($A84,test!$A$3:$F$32,2,FALSE),VLOOKUP(P$1,test!$A$3:$F$32,2,FALSE))&lt;test!$K$16,$A84&lt;&gt;P$1,Recharged_Feasible_mat!Q53=1),(VLOOKUP(P$1,test!$A$3:$I$32,8,FALSE))-(VLOOKUP($A84,test!$A$3:$I$32,9,FALSE))+test!$B$34,0)</f>
        <v>0</v>
      </c>
      <c r="Q84">
        <f>IF(AND(SUM(VLOOKUP($A84,test!$A$3:$F$32,2,FALSE),VLOOKUP(Q$1,test!$A$3:$F$32,2,FALSE))&lt;test!$K$16,$A84&lt;&gt;Q$1,Recharged_Feasible_mat!R53=1),(VLOOKUP(Q$1,test!$A$3:$I$32,8,FALSE))-(VLOOKUP($A84,test!$A$3:$I$32,9,FALSE))+test!$B$34,0)</f>
        <v>0</v>
      </c>
      <c r="R84">
        <f>IF(AND(SUM(VLOOKUP($A84,test!$A$3:$F$32,2,FALSE),VLOOKUP(R$1,test!$A$3:$F$32,2,FALSE))&lt;test!$K$16,$A84&lt;&gt;R$1,Recharged_Feasible_mat!S53=1),(VLOOKUP(R$1,test!$A$3:$I$32,8,FALSE))-(VLOOKUP($A84,test!$A$3:$I$32,9,FALSE))+test!$B$34,0)</f>
        <v>0</v>
      </c>
      <c r="S84">
        <f>IF(AND(SUM(VLOOKUP($A84,test!$A$3:$F$32,2,FALSE),VLOOKUP(S$1,test!$A$3:$F$32,2,FALSE))&lt;test!$K$16,$A84&lt;&gt;S$1,Recharged_Feasible_mat!T53=1),(VLOOKUP(S$1,test!$A$3:$I$32,8,FALSE))-(VLOOKUP($A84,test!$A$3:$I$32,9,FALSE))+test!$B$34,0)</f>
        <v>0</v>
      </c>
      <c r="T84">
        <f>IF(AND(SUM(VLOOKUP($A84,test!$A$3:$F$32,2,FALSE),VLOOKUP(T$1,test!$A$3:$F$32,2,FALSE))&lt;test!$K$16,$A84&lt;&gt;T$1,Recharged_Feasible_mat!U53=1),(VLOOKUP(T$1,test!$A$3:$I$32,8,FALSE))-(VLOOKUP($A84,test!$A$3:$I$32,9,FALSE))+test!$B$34,0)</f>
        <v>0</v>
      </c>
      <c r="U84">
        <f>IF(AND(SUM(VLOOKUP($A84,test!$A$3:$F$32,2,FALSE),VLOOKUP(U$1,test!$A$3:$F$32,2,FALSE))&lt;test!$K$16,$A84&lt;&gt;U$1,Recharged_Feasible_mat!V53=1),(VLOOKUP(U$1,test!$A$3:$I$32,8,FALSE))-(VLOOKUP($A84,test!$A$3:$I$32,9,FALSE))+test!$B$34,0)</f>
        <v>0</v>
      </c>
      <c r="V84">
        <f>IF(AND(SUM(VLOOKUP($A84,test!$A$3:$F$32,2,FALSE),VLOOKUP(V$1,test!$A$3:$F$32,2,FALSE))&lt;test!$K$16,$A84&lt;&gt;V$1,Recharged_Feasible_mat!W53=1),(VLOOKUP(V$1,test!$A$3:$I$32,8,FALSE))-(VLOOKUP($A84,test!$A$3:$I$32,9,FALSE))+test!$B$34,0)</f>
        <v>0</v>
      </c>
      <c r="W84">
        <f>IF(AND(SUM(VLOOKUP($A84,test!$A$3:$F$32,2,FALSE),VLOOKUP(W$1,test!$A$3:$F$32,2,FALSE))&lt;test!$K$16,$A84&lt;&gt;W$1,Recharged_Feasible_mat!X53=1),(VLOOKUP(W$1,test!$A$3:$I$32,8,FALSE))-(VLOOKUP($A84,test!$A$3:$I$32,9,FALSE))+test!$B$34,0)</f>
        <v>0</v>
      </c>
      <c r="X84">
        <f>IF(AND(SUM(VLOOKUP($A84,test!$A$3:$F$32,2,FALSE),VLOOKUP(X$1,test!$A$3:$F$32,2,FALSE))&lt;test!$K$16,$A84&lt;&gt;X$1,Recharged_Feasible_mat!Y53=1),(VLOOKUP(X$1,test!$A$3:$I$32,8,FALSE))-(VLOOKUP($A84,test!$A$3:$I$32,9,FALSE))+test!$B$34,0)</f>
        <v>0</v>
      </c>
      <c r="Y84">
        <f>IF(AND(SUM(VLOOKUP($A84,test!$A$3:$F$32,2,FALSE),VLOOKUP(Y$1,test!$A$3:$F$32,2,FALSE))&lt;test!$K$16,$A84&lt;&gt;Y$1,Recharged_Feasible_mat!Z53=1),(VLOOKUP(Y$1,test!$A$3:$I$32,8,FALSE))-(VLOOKUP($A84,test!$A$3:$I$32,9,FALSE))+test!$B$34,0)</f>
        <v>0</v>
      </c>
      <c r="Z84">
        <f>IF(AND(SUM(VLOOKUP($A84,test!$A$3:$F$32,2,FALSE),VLOOKUP(Z$1,test!$A$3:$F$32,2,FALSE))&lt;test!$K$16,$A84&lt;&gt;Z$1,Recharged_Feasible_mat!AA53=1),(VLOOKUP(Z$1,test!$A$3:$I$32,8,FALSE))-(VLOOKUP($A84,test!$A$3:$I$32,9,FALSE))+test!$B$34,0)</f>
        <v>0</v>
      </c>
      <c r="AA84">
        <f>IF(AND(SUM(VLOOKUP($A84,test!$A$3:$F$32,2,FALSE),VLOOKUP(AA$1,test!$A$3:$F$32,2,FALSE))&lt;test!$K$16,$A84&lt;&gt;AA$1,Recharged_Feasible_mat!AB53=1),(VLOOKUP(AA$1,test!$A$3:$I$32,8,FALSE))-(VLOOKUP($A84,test!$A$3:$I$32,9,FALSE))+test!$B$34,0)</f>
        <v>0</v>
      </c>
      <c r="AB84">
        <f>IF(AND(SUM(VLOOKUP($A84,test!$A$3:$F$32,2,FALSE),VLOOKUP(AB$1,test!$A$3:$F$32,2,FALSE))&lt;test!$K$16,$A84&lt;&gt;AB$1,Recharged_Feasible_mat!AC53=1),(VLOOKUP(AB$1,test!$A$3:$I$32,8,FALSE))-(VLOOKUP($A84,test!$A$3:$I$32,9,FALSE))+test!$B$34,0)</f>
        <v>0</v>
      </c>
      <c r="AC84">
        <f>IF(AND(SUM(VLOOKUP($A84,test!$A$3:$F$32,2,FALSE),VLOOKUP(AC$1,test!$A$3:$F$32,2,FALSE))&lt;test!$K$16,$A84&lt;&gt;AC$1,Recharged_Feasible_mat!AD53=1),(VLOOKUP(AC$1,test!$A$3:$I$32,8,FALSE))-(VLOOKUP($A84,test!$A$3:$I$32,9,FALSE))+test!$B$34,0)</f>
        <v>0</v>
      </c>
      <c r="AD84">
        <f>IF(AND(SUM(VLOOKUP($A84,test!$A$3:$F$32,2,FALSE),VLOOKUP(AD$1,test!$A$3:$F$32,2,FALSE))&lt;test!$K$16,$A84&lt;&gt;AD$1,Recharged_Feasible_mat!AE53=1),(VLOOKUP(AD$1,test!$A$3:$I$32,8,FALSE))-(VLOOKUP($A84,test!$A$3:$I$32,9,FALSE))+test!$B$34,0)</f>
        <v>0</v>
      </c>
      <c r="AE84">
        <f>IF(AND(SUM(VLOOKUP($A84,test!$A$3:$F$32,2,FALSE),VLOOKUP(AE$1,test!$A$3:$F$32,2,FALSE))&lt;test!$K$16,$A84&lt;&gt;AE$1,Recharged_Feasible_mat!AF53=1),(VLOOKUP(AE$1,test!$A$3:$I$32,8,FALSE))-(VLOOKUP($A84,test!$A$3:$I$32,9,FALSE))+test!$B$34,0)</f>
        <v>0</v>
      </c>
      <c r="AF84">
        <f>IF(AND(SUM(VLOOKUP($A84,test!$A$3:$F$32,2,FALSE),VLOOKUP(AF$1,test!$A$3:$F$32,2,FALSE))&lt;test!$K$16,$A84&lt;&gt;AF$1,Recharged_Feasible_mat!AG53=1),(VLOOKUP(AF$1,test!$A$3:$I$32,8,FALSE))-(VLOOKUP($A84,test!$A$3:$I$32,9,FALSE))+test!$B$34,0)</f>
        <v>0</v>
      </c>
    </row>
    <row r="85" spans="1:32" x14ac:dyDescent="0.25">
      <c r="A85" t="s">
        <v>32</v>
      </c>
      <c r="B85">
        <v>0</v>
      </c>
      <c r="C85">
        <f>IF(AND(SUM(VLOOKUP($A85,test!$A$3:$F$32,2,FALSE),VLOOKUP(C$1,test!$A$3:$F$32,2,FALSE))&lt;test!$K$16,$A85&lt;&gt;C$1,Recharged_Feasible_mat!D54=1),(VLOOKUP(C$1,test!$A$3:$I$32,8,FALSE))-(VLOOKUP($A85,test!$A$3:$I$32,9,FALSE))+test!$B$34,0)</f>
        <v>0</v>
      </c>
      <c r="D85">
        <f>IF(AND(SUM(VLOOKUP($A85,test!$A$3:$F$32,2,FALSE),VLOOKUP(D$1,test!$A$3:$F$32,2,FALSE))&lt;test!$K$16,$A85&lt;&gt;D$1,Recharged_Feasible_mat!E54=1),(VLOOKUP(D$1,test!$A$3:$I$32,8,FALSE))-(VLOOKUP($A85,test!$A$3:$I$32,9,FALSE))+test!$B$34,0)</f>
        <v>0</v>
      </c>
      <c r="E85">
        <f>IF(AND(SUM(VLOOKUP($A85,test!$A$3:$F$32,2,FALSE),VLOOKUP(E$1,test!$A$3:$F$32,2,FALSE))&lt;test!$K$16,$A85&lt;&gt;E$1,Recharged_Feasible_mat!F54=1),(VLOOKUP(E$1,test!$A$3:$I$32,8,FALSE))-(VLOOKUP($A85,test!$A$3:$I$32,9,FALSE))+test!$B$34,0)</f>
        <v>0</v>
      </c>
      <c r="F85">
        <f>IF(AND(SUM(VLOOKUP($A85,test!$A$3:$F$32,2,FALSE),VLOOKUP(F$1,test!$A$3:$F$32,2,FALSE))&lt;test!$K$16,$A85&lt;&gt;F$1,Recharged_Feasible_mat!G54=1),(VLOOKUP(F$1,test!$A$3:$I$32,8,FALSE))-(VLOOKUP($A85,test!$A$3:$I$32,9,FALSE))+test!$B$34,0)</f>
        <v>0</v>
      </c>
      <c r="G85">
        <f>IF(AND(SUM(VLOOKUP($A85,test!$A$3:$F$32,2,FALSE),VLOOKUP(G$1,test!$A$3:$F$32,2,FALSE))&lt;test!$K$16,$A85&lt;&gt;G$1,Recharged_Feasible_mat!H54=1),(VLOOKUP(G$1,test!$A$3:$I$32,8,FALSE))-(VLOOKUP($A85,test!$A$3:$I$32,9,FALSE))+test!$B$34,0)</f>
        <v>0</v>
      </c>
      <c r="H85">
        <f>IF(AND(SUM(VLOOKUP($A85,test!$A$3:$F$32,2,FALSE),VLOOKUP(H$1,test!$A$3:$F$32,2,FALSE))&lt;test!$K$16,$A85&lt;&gt;H$1,Recharged_Feasible_mat!I54=1),(VLOOKUP(H$1,test!$A$3:$I$32,8,FALSE))-(VLOOKUP($A85,test!$A$3:$I$32,9,FALSE))+test!$B$34,0)</f>
        <v>0</v>
      </c>
      <c r="I85">
        <f>IF(AND(SUM(VLOOKUP($A85,test!$A$3:$F$32,2,FALSE),VLOOKUP(I$1,test!$A$3:$F$32,2,FALSE))&lt;test!$K$16,$A85&lt;&gt;I$1,Recharged_Feasible_mat!J54=1),(VLOOKUP(I$1,test!$A$3:$I$32,8,FALSE))-(VLOOKUP($A85,test!$A$3:$I$32,9,FALSE))+test!$B$34,0)</f>
        <v>0</v>
      </c>
      <c r="J85">
        <f>IF(AND(SUM(VLOOKUP($A85,test!$A$3:$F$32,2,FALSE),VLOOKUP(J$1,test!$A$3:$F$32,2,FALSE))&lt;test!$K$16,$A85&lt;&gt;J$1,Recharged_Feasible_mat!K54=1),(VLOOKUP(J$1,test!$A$3:$I$32,8,FALSE))-(VLOOKUP($A85,test!$A$3:$I$32,9,FALSE))+test!$B$34,0)</f>
        <v>0</v>
      </c>
      <c r="K85">
        <f>IF(AND(SUM(VLOOKUP($A85,test!$A$3:$F$32,2,FALSE),VLOOKUP(K$1,test!$A$3:$F$32,2,FALSE))&lt;test!$K$16,$A85&lt;&gt;K$1,Recharged_Feasible_mat!L54=1),(VLOOKUP(K$1,test!$A$3:$I$32,8,FALSE))-(VLOOKUP($A85,test!$A$3:$I$32,9,FALSE))+test!$B$34,0)</f>
        <v>0</v>
      </c>
      <c r="L85">
        <f>IF(AND(SUM(VLOOKUP($A85,test!$A$3:$F$32,2,FALSE),VLOOKUP(L$1,test!$A$3:$F$32,2,FALSE))&lt;test!$K$16,$A85&lt;&gt;L$1,Recharged_Feasible_mat!M54=1),(VLOOKUP(L$1,test!$A$3:$I$32,8,FALSE))-(VLOOKUP($A85,test!$A$3:$I$32,9,FALSE))+test!$B$34,0)</f>
        <v>0</v>
      </c>
      <c r="M85">
        <f>IF(AND(SUM(VLOOKUP($A85,test!$A$3:$F$32,2,FALSE),VLOOKUP(M$1,test!$A$3:$F$32,2,FALSE))&lt;test!$K$16,$A85&lt;&gt;M$1,Recharged_Feasible_mat!N54=1),(VLOOKUP(M$1,test!$A$3:$I$32,8,FALSE))-(VLOOKUP($A85,test!$A$3:$I$32,9,FALSE))+test!$B$34,0)</f>
        <v>0</v>
      </c>
      <c r="N85">
        <f>IF(AND(SUM(VLOOKUP($A85,test!$A$3:$F$32,2,FALSE),VLOOKUP(N$1,test!$A$3:$F$32,2,FALSE))&lt;test!$K$16,$A85&lt;&gt;N$1,Recharged_Feasible_mat!O54=1),(VLOOKUP(N$1,test!$A$3:$I$32,8,FALSE))-(VLOOKUP($A85,test!$A$3:$I$32,9,FALSE))+test!$B$34,0)</f>
        <v>0</v>
      </c>
      <c r="O85">
        <f>IF(AND(SUM(VLOOKUP($A85,test!$A$3:$F$32,2,FALSE),VLOOKUP(O$1,test!$A$3:$F$32,2,FALSE))&lt;test!$K$16,$A85&lt;&gt;O$1,Recharged_Feasible_mat!P54=1),(VLOOKUP(O$1,test!$A$3:$I$32,8,FALSE))-(VLOOKUP($A85,test!$A$3:$I$32,9,FALSE))+test!$B$34,0)</f>
        <v>0</v>
      </c>
      <c r="P85">
        <f>IF(AND(SUM(VLOOKUP($A85,test!$A$3:$F$32,2,FALSE),VLOOKUP(P$1,test!$A$3:$F$32,2,FALSE))&lt;test!$K$16,$A85&lt;&gt;P$1,Recharged_Feasible_mat!Q54=1),(VLOOKUP(P$1,test!$A$3:$I$32,8,FALSE))-(VLOOKUP($A85,test!$A$3:$I$32,9,FALSE))+test!$B$34,0)</f>
        <v>0</v>
      </c>
      <c r="Q85">
        <f>IF(AND(SUM(VLOOKUP($A85,test!$A$3:$F$32,2,FALSE),VLOOKUP(Q$1,test!$A$3:$F$32,2,FALSE))&lt;test!$K$16,$A85&lt;&gt;Q$1,Recharged_Feasible_mat!R54=1),(VLOOKUP(Q$1,test!$A$3:$I$32,8,FALSE))-(VLOOKUP($A85,test!$A$3:$I$32,9,FALSE))+test!$B$34,0)</f>
        <v>0</v>
      </c>
      <c r="R85">
        <f>IF(AND(SUM(VLOOKUP($A85,test!$A$3:$F$32,2,FALSE),VLOOKUP(R$1,test!$A$3:$F$32,2,FALSE))&lt;test!$K$16,$A85&lt;&gt;R$1,Recharged_Feasible_mat!S54=1),(VLOOKUP(R$1,test!$A$3:$I$32,8,FALSE))-(VLOOKUP($A85,test!$A$3:$I$32,9,FALSE))+test!$B$34,0)</f>
        <v>0</v>
      </c>
      <c r="S85">
        <f>IF(AND(SUM(VLOOKUP($A85,test!$A$3:$F$32,2,FALSE),VLOOKUP(S$1,test!$A$3:$F$32,2,FALSE))&lt;test!$K$16,$A85&lt;&gt;S$1,Recharged_Feasible_mat!T54=1),(VLOOKUP(S$1,test!$A$3:$I$32,8,FALSE))-(VLOOKUP($A85,test!$A$3:$I$32,9,FALSE))+test!$B$34,0)</f>
        <v>0</v>
      </c>
      <c r="T85">
        <f>IF(AND(SUM(VLOOKUP($A85,test!$A$3:$F$32,2,FALSE),VLOOKUP(T$1,test!$A$3:$F$32,2,FALSE))&lt;test!$K$16,$A85&lt;&gt;T$1,Recharged_Feasible_mat!U54=1),(VLOOKUP(T$1,test!$A$3:$I$32,8,FALSE))-(VLOOKUP($A85,test!$A$3:$I$32,9,FALSE))+test!$B$34,0)</f>
        <v>0</v>
      </c>
      <c r="U85">
        <f>IF(AND(SUM(VLOOKUP($A85,test!$A$3:$F$32,2,FALSE),VLOOKUP(U$1,test!$A$3:$F$32,2,FALSE))&lt;test!$K$16,$A85&lt;&gt;U$1,Recharged_Feasible_mat!V54=1),(VLOOKUP(U$1,test!$A$3:$I$32,8,FALSE))-(VLOOKUP($A85,test!$A$3:$I$32,9,FALSE))+test!$B$34,0)</f>
        <v>0</v>
      </c>
      <c r="V85">
        <f>IF(AND(SUM(VLOOKUP($A85,test!$A$3:$F$32,2,FALSE),VLOOKUP(V$1,test!$A$3:$F$32,2,FALSE))&lt;test!$K$16,$A85&lt;&gt;V$1,Recharged_Feasible_mat!W54=1),(VLOOKUP(V$1,test!$A$3:$I$32,8,FALSE))-(VLOOKUP($A85,test!$A$3:$I$32,9,FALSE))+test!$B$34,0)</f>
        <v>0</v>
      </c>
      <c r="W85">
        <f>IF(AND(SUM(VLOOKUP($A85,test!$A$3:$F$32,2,FALSE),VLOOKUP(W$1,test!$A$3:$F$32,2,FALSE))&lt;test!$K$16,$A85&lt;&gt;W$1,Recharged_Feasible_mat!X54=1),(VLOOKUP(W$1,test!$A$3:$I$32,8,FALSE))-(VLOOKUP($A85,test!$A$3:$I$32,9,FALSE))+test!$B$34,0)</f>
        <v>0</v>
      </c>
      <c r="X85">
        <f>IF(AND(SUM(VLOOKUP($A85,test!$A$3:$F$32,2,FALSE),VLOOKUP(X$1,test!$A$3:$F$32,2,FALSE))&lt;test!$K$16,$A85&lt;&gt;X$1,Recharged_Feasible_mat!Y54=1),(VLOOKUP(X$1,test!$A$3:$I$32,8,FALSE))-(VLOOKUP($A85,test!$A$3:$I$32,9,FALSE))+test!$B$34,0)</f>
        <v>0</v>
      </c>
      <c r="Y85">
        <f>IF(AND(SUM(VLOOKUP($A85,test!$A$3:$F$32,2,FALSE),VLOOKUP(Y$1,test!$A$3:$F$32,2,FALSE))&lt;test!$K$16,$A85&lt;&gt;Y$1,Recharged_Feasible_mat!Z54=1),(VLOOKUP(Y$1,test!$A$3:$I$32,8,FALSE))-(VLOOKUP($A85,test!$A$3:$I$32,9,FALSE))+test!$B$34,0)</f>
        <v>0</v>
      </c>
      <c r="Z85">
        <f>IF(AND(SUM(VLOOKUP($A85,test!$A$3:$F$32,2,FALSE),VLOOKUP(Z$1,test!$A$3:$F$32,2,FALSE))&lt;test!$K$16,$A85&lt;&gt;Z$1,Recharged_Feasible_mat!AA54=1),(VLOOKUP(Z$1,test!$A$3:$I$32,8,FALSE))-(VLOOKUP($A85,test!$A$3:$I$32,9,FALSE))+test!$B$34,0)</f>
        <v>0</v>
      </c>
      <c r="AA85">
        <f>IF(AND(SUM(VLOOKUP($A85,test!$A$3:$F$32,2,FALSE),VLOOKUP(AA$1,test!$A$3:$F$32,2,FALSE))&lt;test!$K$16,$A85&lt;&gt;AA$1,Recharged_Feasible_mat!AB54=1),(VLOOKUP(AA$1,test!$A$3:$I$32,8,FALSE))-(VLOOKUP($A85,test!$A$3:$I$32,9,FALSE))+test!$B$34,0)</f>
        <v>0</v>
      </c>
      <c r="AB85">
        <f>IF(AND(SUM(VLOOKUP($A85,test!$A$3:$F$32,2,FALSE),VLOOKUP(AB$1,test!$A$3:$F$32,2,FALSE))&lt;test!$K$16,$A85&lt;&gt;AB$1,Recharged_Feasible_mat!AC54=1),(VLOOKUP(AB$1,test!$A$3:$I$32,8,FALSE))-(VLOOKUP($A85,test!$A$3:$I$32,9,FALSE))+test!$B$34,0)</f>
        <v>0</v>
      </c>
      <c r="AC85">
        <f>IF(AND(SUM(VLOOKUP($A85,test!$A$3:$F$32,2,FALSE),VLOOKUP(AC$1,test!$A$3:$F$32,2,FALSE))&lt;test!$K$16,$A85&lt;&gt;AC$1,Recharged_Feasible_mat!AD54=1),(VLOOKUP(AC$1,test!$A$3:$I$32,8,FALSE))-(VLOOKUP($A85,test!$A$3:$I$32,9,FALSE))+test!$B$34,0)</f>
        <v>0</v>
      </c>
      <c r="AD85">
        <f>IF(AND(SUM(VLOOKUP($A85,test!$A$3:$F$32,2,FALSE),VLOOKUP(AD$1,test!$A$3:$F$32,2,FALSE))&lt;test!$K$16,$A85&lt;&gt;AD$1,Recharged_Feasible_mat!AE54=1),(VLOOKUP(AD$1,test!$A$3:$I$32,8,FALSE))-(VLOOKUP($A85,test!$A$3:$I$32,9,FALSE))+test!$B$34,0)</f>
        <v>0</v>
      </c>
      <c r="AE85">
        <f>IF(AND(SUM(VLOOKUP($A85,test!$A$3:$F$32,2,FALSE),VLOOKUP(AE$1,test!$A$3:$F$32,2,FALSE))&lt;test!$K$16,$A85&lt;&gt;AE$1,Recharged_Feasible_mat!AF54=1),(VLOOKUP(AE$1,test!$A$3:$I$32,8,FALSE))-(VLOOKUP($A85,test!$A$3:$I$32,9,FALSE))+test!$B$34,0)</f>
        <v>0</v>
      </c>
      <c r="AF85">
        <f>IF(AND(SUM(VLOOKUP($A85,test!$A$3:$F$32,2,FALSE),VLOOKUP(AF$1,test!$A$3:$F$32,2,FALSE))&lt;test!$K$16,$A85&lt;&gt;AF$1,Recharged_Feasible_mat!AG54=1),(VLOOKUP(AF$1,test!$A$3:$I$32,8,FALSE))-(VLOOKUP($A85,test!$A$3:$I$32,9,FALSE))+test!$B$34,0)</f>
        <v>0</v>
      </c>
    </row>
    <row r="86" spans="1:32" x14ac:dyDescent="0.25">
      <c r="A86" t="s">
        <v>33</v>
      </c>
      <c r="B86">
        <v>0</v>
      </c>
      <c r="C86">
        <f>IF(AND(SUM(VLOOKUP($A86,test!$A$3:$F$32,2,FALSE),VLOOKUP(C$1,test!$A$3:$F$32,2,FALSE))&lt;test!$K$16,$A86&lt;&gt;C$1,Recharged_Feasible_mat!D55=1),(VLOOKUP(C$1,test!$A$3:$I$32,8,FALSE))-(VLOOKUP($A86,test!$A$3:$I$32,9,FALSE))+test!$B$34,0)</f>
        <v>0</v>
      </c>
      <c r="D86">
        <f>IF(AND(SUM(VLOOKUP($A86,test!$A$3:$F$32,2,FALSE),VLOOKUP(D$1,test!$A$3:$F$32,2,FALSE))&lt;test!$K$16,$A86&lt;&gt;D$1,Recharged_Feasible_mat!E55=1),(VLOOKUP(D$1,test!$A$3:$I$32,8,FALSE))-(VLOOKUP($A86,test!$A$3:$I$32,9,FALSE))+test!$B$34,0)</f>
        <v>0</v>
      </c>
      <c r="E86">
        <f>IF(AND(SUM(VLOOKUP($A86,test!$A$3:$F$32,2,FALSE),VLOOKUP(E$1,test!$A$3:$F$32,2,FALSE))&lt;test!$K$16,$A86&lt;&gt;E$1,Recharged_Feasible_mat!F55=1),(VLOOKUP(E$1,test!$A$3:$I$32,8,FALSE))-(VLOOKUP($A86,test!$A$3:$I$32,9,FALSE))+test!$B$34,0)</f>
        <v>0</v>
      </c>
      <c r="F86">
        <f>IF(AND(SUM(VLOOKUP($A86,test!$A$3:$F$32,2,FALSE),VLOOKUP(F$1,test!$A$3:$F$32,2,FALSE))&lt;test!$K$16,$A86&lt;&gt;F$1,Recharged_Feasible_mat!G55=1),(VLOOKUP(F$1,test!$A$3:$I$32,8,FALSE))-(VLOOKUP($A86,test!$A$3:$I$32,9,FALSE))+test!$B$34,0)</f>
        <v>0</v>
      </c>
      <c r="G86">
        <f>IF(AND(SUM(VLOOKUP($A86,test!$A$3:$F$32,2,FALSE),VLOOKUP(G$1,test!$A$3:$F$32,2,FALSE))&lt;test!$K$16,$A86&lt;&gt;G$1,Recharged_Feasible_mat!H55=1),(VLOOKUP(G$1,test!$A$3:$I$32,8,FALSE))-(VLOOKUP($A86,test!$A$3:$I$32,9,FALSE))+test!$B$34,0)</f>
        <v>0</v>
      </c>
      <c r="H86">
        <f>IF(AND(SUM(VLOOKUP($A86,test!$A$3:$F$32,2,FALSE),VLOOKUP(H$1,test!$A$3:$F$32,2,FALSE))&lt;test!$K$16,$A86&lt;&gt;H$1,Recharged_Feasible_mat!I55=1),(VLOOKUP(H$1,test!$A$3:$I$32,8,FALSE))-(VLOOKUP($A86,test!$A$3:$I$32,9,FALSE))+test!$B$34,0)</f>
        <v>0</v>
      </c>
      <c r="I86">
        <f>IF(AND(SUM(VLOOKUP($A86,test!$A$3:$F$32,2,FALSE),VLOOKUP(I$1,test!$A$3:$F$32,2,FALSE))&lt;test!$K$16,$A86&lt;&gt;I$1,Recharged_Feasible_mat!J55=1),(VLOOKUP(I$1,test!$A$3:$I$32,8,FALSE))-(VLOOKUP($A86,test!$A$3:$I$32,9,FALSE))+test!$B$34,0)</f>
        <v>0</v>
      </c>
      <c r="J86">
        <f>IF(AND(SUM(VLOOKUP($A86,test!$A$3:$F$32,2,FALSE),VLOOKUP(J$1,test!$A$3:$F$32,2,FALSE))&lt;test!$K$16,$A86&lt;&gt;J$1,Recharged_Feasible_mat!K55=1),(VLOOKUP(J$1,test!$A$3:$I$32,8,FALSE))-(VLOOKUP($A86,test!$A$3:$I$32,9,FALSE))+test!$B$34,0)</f>
        <v>0</v>
      </c>
      <c r="K86">
        <f>IF(AND(SUM(VLOOKUP($A86,test!$A$3:$F$32,2,FALSE),VLOOKUP(K$1,test!$A$3:$F$32,2,FALSE))&lt;test!$K$16,$A86&lt;&gt;K$1,Recharged_Feasible_mat!L55=1),(VLOOKUP(K$1,test!$A$3:$I$32,8,FALSE))-(VLOOKUP($A86,test!$A$3:$I$32,9,FALSE))+test!$B$34,0)</f>
        <v>0</v>
      </c>
      <c r="L86">
        <f>IF(AND(SUM(VLOOKUP($A86,test!$A$3:$F$32,2,FALSE),VLOOKUP(L$1,test!$A$3:$F$32,2,FALSE))&lt;test!$K$16,$A86&lt;&gt;L$1,Recharged_Feasible_mat!M55=1),(VLOOKUP(L$1,test!$A$3:$I$32,8,FALSE))-(VLOOKUP($A86,test!$A$3:$I$32,9,FALSE))+test!$B$34,0)</f>
        <v>0</v>
      </c>
      <c r="M86">
        <f>IF(AND(SUM(VLOOKUP($A86,test!$A$3:$F$32,2,FALSE),VLOOKUP(M$1,test!$A$3:$F$32,2,FALSE))&lt;test!$K$16,$A86&lt;&gt;M$1,Recharged_Feasible_mat!N55=1),(VLOOKUP(M$1,test!$A$3:$I$32,8,FALSE))-(VLOOKUP($A86,test!$A$3:$I$32,9,FALSE))+test!$B$34,0)</f>
        <v>0</v>
      </c>
      <c r="N86">
        <f>IF(AND(SUM(VLOOKUP($A86,test!$A$3:$F$32,2,FALSE),VLOOKUP(N$1,test!$A$3:$F$32,2,FALSE))&lt;test!$K$16,$A86&lt;&gt;N$1,Recharged_Feasible_mat!O55=1),(VLOOKUP(N$1,test!$A$3:$I$32,8,FALSE))-(VLOOKUP($A86,test!$A$3:$I$32,9,FALSE))+test!$B$34,0)</f>
        <v>0</v>
      </c>
      <c r="O86">
        <f>IF(AND(SUM(VLOOKUP($A86,test!$A$3:$F$32,2,FALSE),VLOOKUP(O$1,test!$A$3:$F$32,2,FALSE))&lt;test!$K$16,$A86&lt;&gt;O$1,Recharged_Feasible_mat!P55=1),(VLOOKUP(O$1,test!$A$3:$I$32,8,FALSE))-(VLOOKUP($A86,test!$A$3:$I$32,9,FALSE))+test!$B$34,0)</f>
        <v>0</v>
      </c>
      <c r="P86">
        <f>IF(AND(SUM(VLOOKUP($A86,test!$A$3:$F$32,2,FALSE),VLOOKUP(P$1,test!$A$3:$F$32,2,FALSE))&lt;test!$K$16,$A86&lt;&gt;P$1,Recharged_Feasible_mat!Q55=1),(VLOOKUP(P$1,test!$A$3:$I$32,8,FALSE))-(VLOOKUP($A86,test!$A$3:$I$32,9,FALSE))+test!$B$34,0)</f>
        <v>0</v>
      </c>
      <c r="Q86">
        <f>IF(AND(SUM(VLOOKUP($A86,test!$A$3:$F$32,2,FALSE),VLOOKUP(Q$1,test!$A$3:$F$32,2,FALSE))&lt;test!$K$16,$A86&lt;&gt;Q$1,Recharged_Feasible_mat!R55=1),(VLOOKUP(Q$1,test!$A$3:$I$32,8,FALSE))-(VLOOKUP($A86,test!$A$3:$I$32,9,FALSE))+test!$B$34,0)</f>
        <v>0</v>
      </c>
      <c r="R86">
        <f>IF(AND(SUM(VLOOKUP($A86,test!$A$3:$F$32,2,FALSE),VLOOKUP(R$1,test!$A$3:$F$32,2,FALSE))&lt;test!$K$16,$A86&lt;&gt;R$1,Recharged_Feasible_mat!S55=1),(VLOOKUP(R$1,test!$A$3:$I$32,8,FALSE))-(VLOOKUP($A86,test!$A$3:$I$32,9,FALSE))+test!$B$34,0)</f>
        <v>0</v>
      </c>
      <c r="S86">
        <f>IF(AND(SUM(VLOOKUP($A86,test!$A$3:$F$32,2,FALSE),VLOOKUP(S$1,test!$A$3:$F$32,2,FALSE))&lt;test!$K$16,$A86&lt;&gt;S$1,Recharged_Feasible_mat!T55=1),(VLOOKUP(S$1,test!$A$3:$I$32,8,FALSE))-(VLOOKUP($A86,test!$A$3:$I$32,9,FALSE))+test!$B$34,0)</f>
        <v>0</v>
      </c>
      <c r="T86">
        <f>IF(AND(SUM(VLOOKUP($A86,test!$A$3:$F$32,2,FALSE),VLOOKUP(T$1,test!$A$3:$F$32,2,FALSE))&lt;test!$K$16,$A86&lt;&gt;T$1,Recharged_Feasible_mat!U55=1),(VLOOKUP(T$1,test!$A$3:$I$32,8,FALSE))-(VLOOKUP($A86,test!$A$3:$I$32,9,FALSE))+test!$B$34,0)</f>
        <v>0</v>
      </c>
      <c r="U86">
        <f>IF(AND(SUM(VLOOKUP($A86,test!$A$3:$F$32,2,FALSE),VLOOKUP(U$1,test!$A$3:$F$32,2,FALSE))&lt;test!$K$16,$A86&lt;&gt;U$1,Recharged_Feasible_mat!V55=1),(VLOOKUP(U$1,test!$A$3:$I$32,8,FALSE))-(VLOOKUP($A86,test!$A$3:$I$32,9,FALSE))+test!$B$34,0)</f>
        <v>0</v>
      </c>
      <c r="V86">
        <f>IF(AND(SUM(VLOOKUP($A86,test!$A$3:$F$32,2,FALSE),VLOOKUP(V$1,test!$A$3:$F$32,2,FALSE))&lt;test!$K$16,$A86&lt;&gt;V$1,Recharged_Feasible_mat!W55=1),(VLOOKUP(V$1,test!$A$3:$I$32,8,FALSE))-(VLOOKUP($A86,test!$A$3:$I$32,9,FALSE))+test!$B$34,0)</f>
        <v>0</v>
      </c>
      <c r="W86">
        <f>IF(AND(SUM(VLOOKUP($A86,test!$A$3:$F$32,2,FALSE),VLOOKUP(W$1,test!$A$3:$F$32,2,FALSE))&lt;test!$K$16,$A86&lt;&gt;W$1,Recharged_Feasible_mat!X55=1),(VLOOKUP(W$1,test!$A$3:$I$32,8,FALSE))-(VLOOKUP($A86,test!$A$3:$I$32,9,FALSE))+test!$B$34,0)</f>
        <v>0</v>
      </c>
      <c r="X86">
        <f>IF(AND(SUM(VLOOKUP($A86,test!$A$3:$F$32,2,FALSE),VLOOKUP(X$1,test!$A$3:$F$32,2,FALSE))&lt;test!$K$16,$A86&lt;&gt;X$1,Recharged_Feasible_mat!Y55=1),(VLOOKUP(X$1,test!$A$3:$I$32,8,FALSE))-(VLOOKUP($A86,test!$A$3:$I$32,9,FALSE))+test!$B$34,0)</f>
        <v>0</v>
      </c>
      <c r="Y86">
        <f>IF(AND(SUM(VLOOKUP($A86,test!$A$3:$F$32,2,FALSE),VLOOKUP(Y$1,test!$A$3:$F$32,2,FALSE))&lt;test!$K$16,$A86&lt;&gt;Y$1,Recharged_Feasible_mat!Z55=1),(VLOOKUP(Y$1,test!$A$3:$I$32,8,FALSE))-(VLOOKUP($A86,test!$A$3:$I$32,9,FALSE))+test!$B$34,0)</f>
        <v>0</v>
      </c>
      <c r="Z86">
        <f>IF(AND(SUM(VLOOKUP($A86,test!$A$3:$F$32,2,FALSE),VLOOKUP(Z$1,test!$A$3:$F$32,2,FALSE))&lt;test!$K$16,$A86&lt;&gt;Z$1,Recharged_Feasible_mat!AA55=1),(VLOOKUP(Z$1,test!$A$3:$I$32,8,FALSE))-(VLOOKUP($A86,test!$A$3:$I$32,9,FALSE))+test!$B$34,0)</f>
        <v>0</v>
      </c>
      <c r="AA86">
        <f>IF(AND(SUM(VLOOKUP($A86,test!$A$3:$F$32,2,FALSE),VLOOKUP(AA$1,test!$A$3:$F$32,2,FALSE))&lt;test!$K$16,$A86&lt;&gt;AA$1,Recharged_Feasible_mat!AB55=1),(VLOOKUP(AA$1,test!$A$3:$I$32,8,FALSE))-(VLOOKUP($A86,test!$A$3:$I$32,9,FALSE))+test!$B$34,0)</f>
        <v>0</v>
      </c>
      <c r="AB86">
        <f>IF(AND(SUM(VLOOKUP($A86,test!$A$3:$F$32,2,FALSE),VLOOKUP(AB$1,test!$A$3:$F$32,2,FALSE))&lt;test!$K$16,$A86&lt;&gt;AB$1,Recharged_Feasible_mat!AC55=1),(VLOOKUP(AB$1,test!$A$3:$I$32,8,FALSE))-(VLOOKUP($A86,test!$A$3:$I$32,9,FALSE))+test!$B$34,0)</f>
        <v>0</v>
      </c>
      <c r="AC86">
        <f>IF(AND(SUM(VLOOKUP($A86,test!$A$3:$F$32,2,FALSE),VLOOKUP(AC$1,test!$A$3:$F$32,2,FALSE))&lt;test!$K$16,$A86&lt;&gt;AC$1,Recharged_Feasible_mat!AD55=1),(VLOOKUP(AC$1,test!$A$3:$I$32,8,FALSE))-(VLOOKUP($A86,test!$A$3:$I$32,9,FALSE))+test!$B$34,0)</f>
        <v>0</v>
      </c>
      <c r="AD86">
        <f>IF(AND(SUM(VLOOKUP($A86,test!$A$3:$F$32,2,FALSE),VLOOKUP(AD$1,test!$A$3:$F$32,2,FALSE))&lt;test!$K$16,$A86&lt;&gt;AD$1,Recharged_Feasible_mat!AE55=1),(VLOOKUP(AD$1,test!$A$3:$I$32,8,FALSE))-(VLOOKUP($A86,test!$A$3:$I$32,9,FALSE))+test!$B$34,0)</f>
        <v>0</v>
      </c>
      <c r="AE86">
        <f>IF(AND(SUM(VLOOKUP($A86,test!$A$3:$F$32,2,FALSE),VLOOKUP(AE$1,test!$A$3:$F$32,2,FALSE))&lt;test!$K$16,$A86&lt;&gt;AE$1,Recharged_Feasible_mat!AF55=1),(VLOOKUP(AE$1,test!$A$3:$I$32,8,FALSE))-(VLOOKUP($A86,test!$A$3:$I$32,9,FALSE))+test!$B$34,0)</f>
        <v>0</v>
      </c>
      <c r="AF86">
        <f>IF(AND(SUM(VLOOKUP($A86,test!$A$3:$F$32,2,FALSE),VLOOKUP(AF$1,test!$A$3:$F$32,2,FALSE))&lt;test!$K$16,$A86&lt;&gt;AF$1,Recharged_Feasible_mat!AG55=1),(VLOOKUP(AF$1,test!$A$3:$I$32,8,FALSE))-(VLOOKUP($A86,test!$A$3:$I$32,9,FALSE))+test!$B$34,0)</f>
        <v>0</v>
      </c>
    </row>
    <row r="87" spans="1:32" x14ac:dyDescent="0.25">
      <c r="A87" t="s">
        <v>34</v>
      </c>
      <c r="B87">
        <v>0</v>
      </c>
      <c r="C87">
        <f>IF(AND(SUM(VLOOKUP($A87,test!$A$3:$F$32,2,FALSE),VLOOKUP(C$1,test!$A$3:$F$32,2,FALSE))&lt;test!$K$16,$A87&lt;&gt;C$1,Recharged_Feasible_mat!D56=1),(VLOOKUP(C$1,test!$A$3:$I$32,8,FALSE))-(VLOOKUP($A87,test!$A$3:$I$32,9,FALSE))+test!$B$34,0)</f>
        <v>0</v>
      </c>
      <c r="D87">
        <f>IF(AND(SUM(VLOOKUP($A87,test!$A$3:$F$32,2,FALSE),VLOOKUP(D$1,test!$A$3:$F$32,2,FALSE))&lt;test!$K$16,$A87&lt;&gt;D$1,Recharged_Feasible_mat!E56=1),(VLOOKUP(D$1,test!$A$3:$I$32,8,FALSE))-(VLOOKUP($A87,test!$A$3:$I$32,9,FALSE))+test!$B$34,0)</f>
        <v>0</v>
      </c>
      <c r="E87">
        <f>IF(AND(SUM(VLOOKUP($A87,test!$A$3:$F$32,2,FALSE),VLOOKUP(E$1,test!$A$3:$F$32,2,FALSE))&lt;test!$K$16,$A87&lt;&gt;E$1,Recharged_Feasible_mat!F56=1),(VLOOKUP(E$1,test!$A$3:$I$32,8,FALSE))-(VLOOKUP($A87,test!$A$3:$I$32,9,FALSE))+test!$B$34,0)</f>
        <v>170</v>
      </c>
      <c r="F87">
        <f>IF(AND(SUM(VLOOKUP($A87,test!$A$3:$F$32,2,FALSE),VLOOKUP(F$1,test!$A$3:$F$32,2,FALSE))&lt;test!$K$16,$A87&lt;&gt;F$1,Recharged_Feasible_mat!G56=1),(VLOOKUP(F$1,test!$A$3:$I$32,8,FALSE))-(VLOOKUP($A87,test!$A$3:$I$32,9,FALSE))+test!$B$34,0)</f>
        <v>260</v>
      </c>
      <c r="G87">
        <f>IF(AND(SUM(VLOOKUP($A87,test!$A$3:$F$32,2,FALSE),VLOOKUP(G$1,test!$A$3:$F$32,2,FALSE))&lt;test!$K$16,$A87&lt;&gt;G$1,Recharged_Feasible_mat!H56=1),(VLOOKUP(G$1,test!$A$3:$I$32,8,FALSE))-(VLOOKUP($A87,test!$A$3:$I$32,9,FALSE))+test!$B$34,0)</f>
        <v>320</v>
      </c>
      <c r="H87">
        <f>IF(AND(SUM(VLOOKUP($A87,test!$A$3:$F$32,2,FALSE),VLOOKUP(H$1,test!$A$3:$F$32,2,FALSE))&lt;test!$K$16,$A87&lt;&gt;H$1,Recharged_Feasible_mat!I56=1),(VLOOKUP(H$1,test!$A$3:$I$32,8,FALSE))-(VLOOKUP($A87,test!$A$3:$I$32,9,FALSE))+test!$B$34,0)</f>
        <v>380</v>
      </c>
      <c r="I87">
        <f>IF(AND(SUM(VLOOKUP($A87,test!$A$3:$F$32,2,FALSE),VLOOKUP(I$1,test!$A$3:$F$32,2,FALSE))&lt;test!$K$16,$A87&lt;&gt;I$1,Recharged_Feasible_mat!J56=1),(VLOOKUP(I$1,test!$A$3:$I$32,8,FALSE))-(VLOOKUP($A87,test!$A$3:$I$32,9,FALSE))+test!$B$34,0)</f>
        <v>440</v>
      </c>
      <c r="J87">
        <f>IF(AND(SUM(VLOOKUP($A87,test!$A$3:$F$32,2,FALSE),VLOOKUP(J$1,test!$A$3:$F$32,2,FALSE))&lt;test!$K$16,$A87&lt;&gt;J$1,Recharged_Feasible_mat!K56=1),(VLOOKUP(J$1,test!$A$3:$I$32,8,FALSE))-(VLOOKUP($A87,test!$A$3:$I$32,9,FALSE))+test!$B$34,0)</f>
        <v>530</v>
      </c>
      <c r="K87">
        <f>IF(AND(SUM(VLOOKUP($A87,test!$A$3:$F$32,2,FALSE),VLOOKUP(K$1,test!$A$3:$F$32,2,FALSE))&lt;test!$K$16,$A87&lt;&gt;K$1,Recharged_Feasible_mat!L56=1),(VLOOKUP(K$1,test!$A$3:$I$32,8,FALSE))-(VLOOKUP($A87,test!$A$3:$I$32,9,FALSE))+test!$B$34,0)</f>
        <v>0</v>
      </c>
      <c r="L87">
        <f>IF(AND(SUM(VLOOKUP($A87,test!$A$3:$F$32,2,FALSE),VLOOKUP(L$1,test!$A$3:$F$32,2,FALSE))&lt;test!$K$16,$A87&lt;&gt;L$1,Recharged_Feasible_mat!M56=1),(VLOOKUP(L$1,test!$A$3:$I$32,8,FALSE))-(VLOOKUP($A87,test!$A$3:$I$32,9,FALSE))+test!$B$34,0)</f>
        <v>0</v>
      </c>
      <c r="M87">
        <f>IF(AND(SUM(VLOOKUP($A87,test!$A$3:$F$32,2,FALSE),VLOOKUP(M$1,test!$A$3:$F$32,2,FALSE))&lt;test!$K$16,$A87&lt;&gt;M$1,Recharged_Feasible_mat!N56=1),(VLOOKUP(M$1,test!$A$3:$I$32,8,FALSE))-(VLOOKUP($A87,test!$A$3:$I$32,9,FALSE))+test!$B$34,0)</f>
        <v>135</v>
      </c>
      <c r="N87">
        <f>IF(AND(SUM(VLOOKUP($A87,test!$A$3:$F$32,2,FALSE),VLOOKUP(N$1,test!$A$3:$F$32,2,FALSE))&lt;test!$K$16,$A87&lt;&gt;N$1,Recharged_Feasible_mat!O56=1),(VLOOKUP(N$1,test!$A$3:$I$32,8,FALSE))-(VLOOKUP($A87,test!$A$3:$I$32,9,FALSE))+test!$B$34,0)</f>
        <v>495</v>
      </c>
      <c r="O87">
        <f>IF(AND(SUM(VLOOKUP($A87,test!$A$3:$F$32,2,FALSE),VLOOKUP(O$1,test!$A$3:$F$32,2,FALSE))&lt;test!$K$16,$A87&lt;&gt;O$1,Recharged_Feasible_mat!P56=1),(VLOOKUP(O$1,test!$A$3:$I$32,8,FALSE))-(VLOOKUP($A87,test!$A$3:$I$32,9,FALSE))+test!$B$34,0)</f>
        <v>555</v>
      </c>
      <c r="P87">
        <f>IF(AND(SUM(VLOOKUP($A87,test!$A$3:$F$32,2,FALSE),VLOOKUP(P$1,test!$A$3:$F$32,2,FALSE))&lt;test!$K$16,$A87&lt;&gt;P$1,Recharged_Feasible_mat!Q56=1),(VLOOKUP(P$1,test!$A$3:$I$32,8,FALSE))-(VLOOKUP($A87,test!$A$3:$I$32,9,FALSE))+test!$B$34,0)</f>
        <v>0</v>
      </c>
      <c r="Q87">
        <f>IF(AND(SUM(VLOOKUP($A87,test!$A$3:$F$32,2,FALSE),VLOOKUP(Q$1,test!$A$3:$F$32,2,FALSE))&lt;test!$K$16,$A87&lt;&gt;Q$1,Recharged_Feasible_mat!R56=1),(VLOOKUP(Q$1,test!$A$3:$I$32,8,FALSE))-(VLOOKUP($A87,test!$A$3:$I$32,9,FALSE))+test!$B$34,0)</f>
        <v>0</v>
      </c>
      <c r="R87">
        <f>IF(AND(SUM(VLOOKUP($A87,test!$A$3:$F$32,2,FALSE),VLOOKUP(R$1,test!$A$3:$F$32,2,FALSE))&lt;test!$K$16,$A87&lt;&gt;R$1,Recharged_Feasible_mat!S56=1),(VLOOKUP(R$1,test!$A$3:$I$32,8,FALSE))-(VLOOKUP($A87,test!$A$3:$I$32,9,FALSE))+test!$B$34,0)</f>
        <v>0</v>
      </c>
      <c r="S87">
        <f>IF(AND(SUM(VLOOKUP($A87,test!$A$3:$F$32,2,FALSE),VLOOKUP(S$1,test!$A$3:$F$32,2,FALSE))&lt;test!$K$16,$A87&lt;&gt;S$1,Recharged_Feasible_mat!T56=1),(VLOOKUP(S$1,test!$A$3:$I$32,8,FALSE))-(VLOOKUP($A87,test!$A$3:$I$32,9,FALSE))+test!$B$34,0)</f>
        <v>0</v>
      </c>
      <c r="T87">
        <f>IF(AND(SUM(VLOOKUP($A87,test!$A$3:$F$32,2,FALSE),VLOOKUP(T$1,test!$A$3:$F$32,2,FALSE))&lt;test!$K$16,$A87&lt;&gt;T$1,Recharged_Feasible_mat!U56=1),(VLOOKUP(T$1,test!$A$3:$I$32,8,FALSE))-(VLOOKUP($A87,test!$A$3:$I$32,9,FALSE))+test!$B$34,0)</f>
        <v>150</v>
      </c>
      <c r="U87">
        <f>IF(AND(SUM(VLOOKUP($A87,test!$A$3:$F$32,2,FALSE),VLOOKUP(U$1,test!$A$3:$F$32,2,FALSE))&lt;test!$K$16,$A87&lt;&gt;U$1,Recharged_Feasible_mat!V56=1),(VLOOKUP(U$1,test!$A$3:$I$32,8,FALSE))-(VLOOKUP($A87,test!$A$3:$I$32,9,FALSE))+test!$B$34,0)</f>
        <v>240</v>
      </c>
      <c r="V87">
        <f>IF(AND(SUM(VLOOKUP($A87,test!$A$3:$F$32,2,FALSE),VLOOKUP(V$1,test!$A$3:$F$32,2,FALSE))&lt;test!$K$16,$A87&lt;&gt;V$1,Recharged_Feasible_mat!W56=1),(VLOOKUP(V$1,test!$A$3:$I$32,8,FALSE))-(VLOOKUP($A87,test!$A$3:$I$32,9,FALSE))+test!$B$34,0)</f>
        <v>330</v>
      </c>
      <c r="W87">
        <f>IF(AND(SUM(VLOOKUP($A87,test!$A$3:$F$32,2,FALSE),VLOOKUP(W$1,test!$A$3:$F$32,2,FALSE))&lt;test!$K$16,$A87&lt;&gt;W$1,Recharged_Feasible_mat!X56=1),(VLOOKUP(W$1,test!$A$3:$I$32,8,FALSE))-(VLOOKUP($A87,test!$A$3:$I$32,9,FALSE))+test!$B$34,0)</f>
        <v>420</v>
      </c>
      <c r="X87">
        <f>IF(AND(SUM(VLOOKUP($A87,test!$A$3:$F$32,2,FALSE),VLOOKUP(X$1,test!$A$3:$F$32,2,FALSE))&lt;test!$K$16,$A87&lt;&gt;X$1,Recharged_Feasible_mat!Y56=1),(VLOOKUP(X$1,test!$A$3:$I$32,8,FALSE))-(VLOOKUP($A87,test!$A$3:$I$32,9,FALSE))+test!$B$34,0)</f>
        <v>480</v>
      </c>
      <c r="Y87">
        <f>IF(AND(SUM(VLOOKUP($A87,test!$A$3:$F$32,2,FALSE),VLOOKUP(Y$1,test!$A$3:$F$32,2,FALSE))&lt;test!$K$16,$A87&lt;&gt;Y$1,Recharged_Feasible_mat!Z56=1),(VLOOKUP(Y$1,test!$A$3:$I$32,8,FALSE))-(VLOOKUP($A87,test!$A$3:$I$32,9,FALSE))+test!$B$34,0)</f>
        <v>0</v>
      </c>
      <c r="Z87">
        <f>IF(AND(SUM(VLOOKUP($A87,test!$A$3:$F$32,2,FALSE),VLOOKUP(Z$1,test!$A$3:$F$32,2,FALSE))&lt;test!$K$16,$A87&lt;&gt;Z$1,Recharged_Feasible_mat!AA56=1),(VLOOKUP(Z$1,test!$A$3:$I$32,8,FALSE))-(VLOOKUP($A87,test!$A$3:$I$32,9,FALSE))+test!$B$34,0)</f>
        <v>0</v>
      </c>
      <c r="AA87">
        <f>IF(AND(SUM(VLOOKUP($A87,test!$A$3:$F$32,2,FALSE),VLOOKUP(AA$1,test!$A$3:$F$32,2,FALSE))&lt;test!$K$16,$A87&lt;&gt;AA$1,Recharged_Feasible_mat!AB56=1),(VLOOKUP(AA$1,test!$A$3:$I$32,8,FALSE))-(VLOOKUP($A87,test!$A$3:$I$32,9,FALSE))+test!$B$34,0)</f>
        <v>200</v>
      </c>
      <c r="AB87">
        <f>IF(AND(SUM(VLOOKUP($A87,test!$A$3:$F$32,2,FALSE),VLOOKUP(AB$1,test!$A$3:$F$32,2,FALSE))&lt;test!$K$16,$A87&lt;&gt;AB$1,Recharged_Feasible_mat!AC56=1),(VLOOKUP(AB$1,test!$A$3:$I$32,8,FALSE))-(VLOOKUP($A87,test!$A$3:$I$32,9,FALSE))+test!$B$34,0)</f>
        <v>260</v>
      </c>
      <c r="AC87">
        <f>IF(AND(SUM(VLOOKUP($A87,test!$A$3:$F$32,2,FALSE),VLOOKUP(AC$1,test!$A$3:$F$32,2,FALSE))&lt;test!$K$16,$A87&lt;&gt;AC$1,Recharged_Feasible_mat!AD56=1),(VLOOKUP(AC$1,test!$A$3:$I$32,8,FALSE))-(VLOOKUP($A87,test!$A$3:$I$32,9,FALSE))+test!$B$34,0)</f>
        <v>380</v>
      </c>
      <c r="AD87">
        <f>IF(AND(SUM(VLOOKUP($A87,test!$A$3:$F$32,2,FALSE),VLOOKUP(AD$1,test!$A$3:$F$32,2,FALSE))&lt;test!$K$16,$A87&lt;&gt;AD$1,Recharged_Feasible_mat!AE56=1),(VLOOKUP(AD$1,test!$A$3:$I$32,8,FALSE))-(VLOOKUP($A87,test!$A$3:$I$32,9,FALSE))+test!$B$34,0)</f>
        <v>0</v>
      </c>
      <c r="AE87">
        <f>IF(AND(SUM(VLOOKUP($A87,test!$A$3:$F$32,2,FALSE),VLOOKUP(AE$1,test!$A$3:$F$32,2,FALSE))&lt;test!$K$16,$A87&lt;&gt;AE$1,Recharged_Feasible_mat!AF56=1),(VLOOKUP(AE$1,test!$A$3:$I$32,8,FALSE))-(VLOOKUP($A87,test!$A$3:$I$32,9,FALSE))+test!$B$34,0)</f>
        <v>0</v>
      </c>
      <c r="AF87">
        <f>IF(AND(SUM(VLOOKUP($A87,test!$A$3:$F$32,2,FALSE),VLOOKUP(AF$1,test!$A$3:$F$32,2,FALSE))&lt;test!$K$16,$A87&lt;&gt;AF$1,Recharged_Feasible_mat!AG56=1),(VLOOKUP(AF$1,test!$A$3:$I$32,8,FALSE))-(VLOOKUP($A87,test!$A$3:$I$32,9,FALSE))+test!$B$34,0)</f>
        <v>0</v>
      </c>
    </row>
    <row r="88" spans="1:32" x14ac:dyDescent="0.25">
      <c r="A88" t="s">
        <v>35</v>
      </c>
      <c r="B88">
        <v>0</v>
      </c>
      <c r="C88">
        <f>IF(AND(SUM(VLOOKUP($A88,test!$A$3:$F$32,2,FALSE),VLOOKUP(C$1,test!$A$3:$F$32,2,FALSE))&lt;test!$K$16,$A88&lt;&gt;C$1,Recharged_Feasible_mat!D57=1),(VLOOKUP(C$1,test!$A$3:$I$32,8,FALSE))-(VLOOKUP($A88,test!$A$3:$I$32,9,FALSE))+test!$B$34,0)</f>
        <v>0</v>
      </c>
      <c r="D88">
        <f>IF(AND(SUM(VLOOKUP($A88,test!$A$3:$F$32,2,FALSE),VLOOKUP(D$1,test!$A$3:$F$32,2,FALSE))&lt;test!$K$16,$A88&lt;&gt;D$1,Recharged_Feasible_mat!E57=1),(VLOOKUP(D$1,test!$A$3:$I$32,8,FALSE))-(VLOOKUP($A88,test!$A$3:$I$32,9,FALSE))+test!$B$34,0)</f>
        <v>0</v>
      </c>
      <c r="E88">
        <f>IF(AND(SUM(VLOOKUP($A88,test!$A$3:$F$32,2,FALSE),VLOOKUP(E$1,test!$A$3:$F$32,2,FALSE))&lt;test!$K$16,$A88&lt;&gt;E$1,Recharged_Feasible_mat!F57=1),(VLOOKUP(E$1,test!$A$3:$I$32,8,FALSE))-(VLOOKUP($A88,test!$A$3:$I$32,9,FALSE))+test!$B$34,0)</f>
        <v>0</v>
      </c>
      <c r="F88">
        <f>IF(AND(SUM(VLOOKUP($A88,test!$A$3:$F$32,2,FALSE),VLOOKUP(F$1,test!$A$3:$F$32,2,FALSE))&lt;test!$K$16,$A88&lt;&gt;F$1,Recharged_Feasible_mat!G57=1),(VLOOKUP(F$1,test!$A$3:$I$32,8,FALSE))-(VLOOKUP($A88,test!$A$3:$I$32,9,FALSE))+test!$B$34,0)</f>
        <v>0</v>
      </c>
      <c r="G88">
        <f>IF(AND(SUM(VLOOKUP($A88,test!$A$3:$F$32,2,FALSE),VLOOKUP(G$1,test!$A$3:$F$32,2,FALSE))&lt;test!$K$16,$A88&lt;&gt;G$1,Recharged_Feasible_mat!H57=1),(VLOOKUP(G$1,test!$A$3:$I$32,8,FALSE))-(VLOOKUP($A88,test!$A$3:$I$32,9,FALSE))+test!$B$34,0)</f>
        <v>150</v>
      </c>
      <c r="H88">
        <f>IF(AND(SUM(VLOOKUP($A88,test!$A$3:$F$32,2,FALSE),VLOOKUP(H$1,test!$A$3:$F$32,2,FALSE))&lt;test!$K$16,$A88&lt;&gt;H$1,Recharged_Feasible_mat!I57=1),(VLOOKUP(H$1,test!$A$3:$I$32,8,FALSE))-(VLOOKUP($A88,test!$A$3:$I$32,9,FALSE))+test!$B$34,0)</f>
        <v>210</v>
      </c>
      <c r="I88">
        <f>IF(AND(SUM(VLOOKUP($A88,test!$A$3:$F$32,2,FALSE),VLOOKUP(I$1,test!$A$3:$F$32,2,FALSE))&lt;test!$K$16,$A88&lt;&gt;I$1,Recharged_Feasible_mat!J57=1),(VLOOKUP(I$1,test!$A$3:$I$32,8,FALSE))-(VLOOKUP($A88,test!$A$3:$I$32,9,FALSE))+test!$B$34,0)</f>
        <v>270</v>
      </c>
      <c r="J88">
        <f>IF(AND(SUM(VLOOKUP($A88,test!$A$3:$F$32,2,FALSE),VLOOKUP(J$1,test!$A$3:$F$32,2,FALSE))&lt;test!$K$16,$A88&lt;&gt;J$1,Recharged_Feasible_mat!K57=1),(VLOOKUP(J$1,test!$A$3:$I$32,8,FALSE))-(VLOOKUP($A88,test!$A$3:$I$32,9,FALSE))+test!$B$34,0)</f>
        <v>360</v>
      </c>
      <c r="K88">
        <f>IF(AND(SUM(VLOOKUP($A88,test!$A$3:$F$32,2,FALSE),VLOOKUP(K$1,test!$A$3:$F$32,2,FALSE))&lt;test!$K$16,$A88&lt;&gt;K$1,Recharged_Feasible_mat!L57=1),(VLOOKUP(K$1,test!$A$3:$I$32,8,FALSE))-(VLOOKUP($A88,test!$A$3:$I$32,9,FALSE))+test!$B$34,0)</f>
        <v>0</v>
      </c>
      <c r="L88">
        <f>IF(AND(SUM(VLOOKUP($A88,test!$A$3:$F$32,2,FALSE),VLOOKUP(L$1,test!$A$3:$F$32,2,FALSE))&lt;test!$K$16,$A88&lt;&gt;L$1,Recharged_Feasible_mat!M57=1),(VLOOKUP(L$1,test!$A$3:$I$32,8,FALSE))-(VLOOKUP($A88,test!$A$3:$I$32,9,FALSE))+test!$B$34,0)</f>
        <v>0</v>
      </c>
      <c r="M88">
        <f>IF(AND(SUM(VLOOKUP($A88,test!$A$3:$F$32,2,FALSE),VLOOKUP(M$1,test!$A$3:$F$32,2,FALSE))&lt;test!$K$16,$A88&lt;&gt;M$1,Recharged_Feasible_mat!N57=1),(VLOOKUP(M$1,test!$A$3:$I$32,8,FALSE))-(VLOOKUP($A88,test!$A$3:$I$32,9,FALSE))+test!$B$34,0)</f>
        <v>0</v>
      </c>
      <c r="N88">
        <f>IF(AND(SUM(VLOOKUP($A88,test!$A$3:$F$32,2,FALSE),VLOOKUP(N$1,test!$A$3:$F$32,2,FALSE))&lt;test!$K$16,$A88&lt;&gt;N$1,Recharged_Feasible_mat!O57=1),(VLOOKUP(N$1,test!$A$3:$I$32,8,FALSE))-(VLOOKUP($A88,test!$A$3:$I$32,9,FALSE))+test!$B$34,0)</f>
        <v>325</v>
      </c>
      <c r="O88">
        <f>IF(AND(SUM(VLOOKUP($A88,test!$A$3:$F$32,2,FALSE),VLOOKUP(O$1,test!$A$3:$F$32,2,FALSE))&lt;test!$K$16,$A88&lt;&gt;O$1,Recharged_Feasible_mat!P57=1),(VLOOKUP(O$1,test!$A$3:$I$32,8,FALSE))-(VLOOKUP($A88,test!$A$3:$I$32,9,FALSE))+test!$B$34,0)</f>
        <v>385</v>
      </c>
      <c r="P88">
        <f>IF(AND(SUM(VLOOKUP($A88,test!$A$3:$F$32,2,FALSE),VLOOKUP(P$1,test!$A$3:$F$32,2,FALSE))&lt;test!$K$16,$A88&lt;&gt;P$1,Recharged_Feasible_mat!Q57=1),(VLOOKUP(P$1,test!$A$3:$I$32,8,FALSE))-(VLOOKUP($A88,test!$A$3:$I$32,9,FALSE))+test!$B$34,0)</f>
        <v>0</v>
      </c>
      <c r="Q88">
        <f>IF(AND(SUM(VLOOKUP($A88,test!$A$3:$F$32,2,FALSE),VLOOKUP(Q$1,test!$A$3:$F$32,2,FALSE))&lt;test!$K$16,$A88&lt;&gt;Q$1,Recharged_Feasible_mat!R57=1),(VLOOKUP(Q$1,test!$A$3:$I$32,8,FALSE))-(VLOOKUP($A88,test!$A$3:$I$32,9,FALSE))+test!$B$34,0)</f>
        <v>0</v>
      </c>
      <c r="R88">
        <f>IF(AND(SUM(VLOOKUP($A88,test!$A$3:$F$32,2,FALSE),VLOOKUP(R$1,test!$A$3:$F$32,2,FALSE))&lt;test!$K$16,$A88&lt;&gt;R$1,Recharged_Feasible_mat!S57=1),(VLOOKUP(R$1,test!$A$3:$I$32,8,FALSE))-(VLOOKUP($A88,test!$A$3:$I$32,9,FALSE))+test!$B$34,0)</f>
        <v>0</v>
      </c>
      <c r="S88">
        <f>IF(AND(SUM(VLOOKUP($A88,test!$A$3:$F$32,2,FALSE),VLOOKUP(S$1,test!$A$3:$F$32,2,FALSE))&lt;test!$K$16,$A88&lt;&gt;S$1,Recharged_Feasible_mat!T57=1),(VLOOKUP(S$1,test!$A$3:$I$32,8,FALSE))-(VLOOKUP($A88,test!$A$3:$I$32,9,FALSE))+test!$B$34,0)</f>
        <v>0</v>
      </c>
      <c r="T88">
        <f>IF(AND(SUM(VLOOKUP($A88,test!$A$3:$F$32,2,FALSE),VLOOKUP(T$1,test!$A$3:$F$32,2,FALSE))&lt;test!$K$16,$A88&lt;&gt;T$1,Recharged_Feasible_mat!U57=1),(VLOOKUP(T$1,test!$A$3:$I$32,8,FALSE))-(VLOOKUP($A88,test!$A$3:$I$32,9,FALSE))+test!$B$34,0)</f>
        <v>0</v>
      </c>
      <c r="U88">
        <f>IF(AND(SUM(VLOOKUP($A88,test!$A$3:$F$32,2,FALSE),VLOOKUP(U$1,test!$A$3:$F$32,2,FALSE))&lt;test!$K$16,$A88&lt;&gt;U$1,Recharged_Feasible_mat!V57=1),(VLOOKUP(U$1,test!$A$3:$I$32,8,FALSE))-(VLOOKUP($A88,test!$A$3:$I$32,9,FALSE))+test!$B$34,0)</f>
        <v>0</v>
      </c>
      <c r="V88">
        <f>IF(AND(SUM(VLOOKUP($A88,test!$A$3:$F$32,2,FALSE),VLOOKUP(V$1,test!$A$3:$F$32,2,FALSE))&lt;test!$K$16,$A88&lt;&gt;V$1,Recharged_Feasible_mat!W57=1),(VLOOKUP(V$1,test!$A$3:$I$32,8,FALSE))-(VLOOKUP($A88,test!$A$3:$I$32,9,FALSE))+test!$B$34,0)</f>
        <v>160</v>
      </c>
      <c r="W88">
        <f>IF(AND(SUM(VLOOKUP($A88,test!$A$3:$F$32,2,FALSE),VLOOKUP(W$1,test!$A$3:$F$32,2,FALSE))&lt;test!$K$16,$A88&lt;&gt;W$1,Recharged_Feasible_mat!X57=1),(VLOOKUP(W$1,test!$A$3:$I$32,8,FALSE))-(VLOOKUP($A88,test!$A$3:$I$32,9,FALSE))+test!$B$34,0)</f>
        <v>250</v>
      </c>
      <c r="X88">
        <f>IF(AND(SUM(VLOOKUP($A88,test!$A$3:$F$32,2,FALSE),VLOOKUP(X$1,test!$A$3:$F$32,2,FALSE))&lt;test!$K$16,$A88&lt;&gt;X$1,Recharged_Feasible_mat!Y57=1),(VLOOKUP(X$1,test!$A$3:$I$32,8,FALSE))-(VLOOKUP($A88,test!$A$3:$I$32,9,FALSE))+test!$B$34,0)</f>
        <v>310</v>
      </c>
      <c r="Y88">
        <f>IF(AND(SUM(VLOOKUP($A88,test!$A$3:$F$32,2,FALSE),VLOOKUP(Y$1,test!$A$3:$F$32,2,FALSE))&lt;test!$K$16,$A88&lt;&gt;Y$1,Recharged_Feasible_mat!Z57=1),(VLOOKUP(Y$1,test!$A$3:$I$32,8,FALSE))-(VLOOKUP($A88,test!$A$3:$I$32,9,FALSE))+test!$B$34,0)</f>
        <v>0</v>
      </c>
      <c r="Z88">
        <f>IF(AND(SUM(VLOOKUP($A88,test!$A$3:$F$32,2,FALSE),VLOOKUP(Z$1,test!$A$3:$F$32,2,FALSE))&lt;test!$K$16,$A88&lt;&gt;Z$1,Recharged_Feasible_mat!AA57=1),(VLOOKUP(Z$1,test!$A$3:$I$32,8,FALSE))-(VLOOKUP($A88,test!$A$3:$I$32,9,FALSE))+test!$B$34,0)</f>
        <v>0</v>
      </c>
      <c r="AA88">
        <f>IF(AND(SUM(VLOOKUP($A88,test!$A$3:$F$32,2,FALSE),VLOOKUP(AA$1,test!$A$3:$F$32,2,FALSE))&lt;test!$K$16,$A88&lt;&gt;AA$1,Recharged_Feasible_mat!AB57=1),(VLOOKUP(AA$1,test!$A$3:$I$32,8,FALSE))-(VLOOKUP($A88,test!$A$3:$I$32,9,FALSE))+test!$B$34,0)</f>
        <v>0</v>
      </c>
      <c r="AB88">
        <f>IF(AND(SUM(VLOOKUP($A88,test!$A$3:$F$32,2,FALSE),VLOOKUP(AB$1,test!$A$3:$F$32,2,FALSE))&lt;test!$K$16,$A88&lt;&gt;AB$1,Recharged_Feasible_mat!AC57=1),(VLOOKUP(AB$1,test!$A$3:$I$32,8,FALSE))-(VLOOKUP($A88,test!$A$3:$I$32,9,FALSE))+test!$B$34,0)</f>
        <v>0</v>
      </c>
      <c r="AC88">
        <f>IF(AND(SUM(VLOOKUP($A88,test!$A$3:$F$32,2,FALSE),VLOOKUP(AC$1,test!$A$3:$F$32,2,FALSE))&lt;test!$K$16,$A88&lt;&gt;AC$1,Recharged_Feasible_mat!AD57=1),(VLOOKUP(AC$1,test!$A$3:$I$32,8,FALSE))-(VLOOKUP($A88,test!$A$3:$I$32,9,FALSE))+test!$B$34,0)</f>
        <v>210</v>
      </c>
      <c r="AD88">
        <f>IF(AND(SUM(VLOOKUP($A88,test!$A$3:$F$32,2,FALSE),VLOOKUP(AD$1,test!$A$3:$F$32,2,FALSE))&lt;test!$K$16,$A88&lt;&gt;AD$1,Recharged_Feasible_mat!AE57=1),(VLOOKUP(AD$1,test!$A$3:$I$32,8,FALSE))-(VLOOKUP($A88,test!$A$3:$I$32,9,FALSE))+test!$B$34,0)</f>
        <v>0</v>
      </c>
      <c r="AE88">
        <f>IF(AND(SUM(VLOOKUP($A88,test!$A$3:$F$32,2,FALSE),VLOOKUP(AE$1,test!$A$3:$F$32,2,FALSE))&lt;test!$K$16,$A88&lt;&gt;AE$1,Recharged_Feasible_mat!AF57=1),(VLOOKUP(AE$1,test!$A$3:$I$32,8,FALSE))-(VLOOKUP($A88,test!$A$3:$I$32,9,FALSE))+test!$B$34,0)</f>
        <v>0</v>
      </c>
      <c r="AF88">
        <f>IF(AND(SUM(VLOOKUP($A88,test!$A$3:$F$32,2,FALSE),VLOOKUP(AF$1,test!$A$3:$F$32,2,FALSE))&lt;test!$K$16,$A88&lt;&gt;AF$1,Recharged_Feasible_mat!AG57=1),(VLOOKUP(AF$1,test!$A$3:$I$32,8,FALSE))-(VLOOKUP($A88,test!$A$3:$I$32,9,FALSE))+test!$B$34,0)</f>
        <v>0</v>
      </c>
    </row>
    <row r="89" spans="1:32" x14ac:dyDescent="0.25">
      <c r="A89" t="s">
        <v>36</v>
      </c>
      <c r="B89">
        <v>0</v>
      </c>
      <c r="C89">
        <f>IF(AND(SUM(VLOOKUP($A89,test!$A$3:$F$32,2,FALSE),VLOOKUP(C$1,test!$A$3:$F$32,2,FALSE))&lt;test!$K$16,$A89&lt;&gt;C$1,Recharged_Feasible_mat!D58=1),(VLOOKUP(C$1,test!$A$3:$I$32,8,FALSE))-(VLOOKUP($A89,test!$A$3:$I$32,9,FALSE))+test!$B$34,0)</f>
        <v>0</v>
      </c>
      <c r="D89">
        <f>IF(AND(SUM(VLOOKUP($A89,test!$A$3:$F$32,2,FALSE),VLOOKUP(D$1,test!$A$3:$F$32,2,FALSE))&lt;test!$K$16,$A89&lt;&gt;D$1,Recharged_Feasible_mat!E58=1),(VLOOKUP(D$1,test!$A$3:$I$32,8,FALSE))-(VLOOKUP($A89,test!$A$3:$I$32,9,FALSE))+test!$B$34,0)</f>
        <v>0</v>
      </c>
      <c r="E89">
        <f>IF(AND(SUM(VLOOKUP($A89,test!$A$3:$F$32,2,FALSE),VLOOKUP(E$1,test!$A$3:$F$32,2,FALSE))&lt;test!$K$16,$A89&lt;&gt;E$1,Recharged_Feasible_mat!F58=1),(VLOOKUP(E$1,test!$A$3:$I$32,8,FALSE))-(VLOOKUP($A89,test!$A$3:$I$32,9,FALSE))+test!$B$34,0)</f>
        <v>0</v>
      </c>
      <c r="F89">
        <f>IF(AND(SUM(VLOOKUP($A89,test!$A$3:$F$32,2,FALSE),VLOOKUP(F$1,test!$A$3:$F$32,2,FALSE))&lt;test!$K$16,$A89&lt;&gt;F$1,Recharged_Feasible_mat!G58=1),(VLOOKUP(F$1,test!$A$3:$I$32,8,FALSE))-(VLOOKUP($A89,test!$A$3:$I$32,9,FALSE))+test!$B$34,0)</f>
        <v>0</v>
      </c>
      <c r="G89">
        <f>IF(AND(SUM(VLOOKUP($A89,test!$A$3:$F$32,2,FALSE),VLOOKUP(G$1,test!$A$3:$F$32,2,FALSE))&lt;test!$K$16,$A89&lt;&gt;G$1,Recharged_Feasible_mat!H58=1),(VLOOKUP(G$1,test!$A$3:$I$32,8,FALSE))-(VLOOKUP($A89,test!$A$3:$I$32,9,FALSE))+test!$B$34,0)</f>
        <v>0</v>
      </c>
      <c r="H89">
        <f>IF(AND(SUM(VLOOKUP($A89,test!$A$3:$F$32,2,FALSE),VLOOKUP(H$1,test!$A$3:$F$32,2,FALSE))&lt;test!$K$16,$A89&lt;&gt;H$1,Recharged_Feasible_mat!I58=1),(VLOOKUP(H$1,test!$A$3:$I$32,8,FALSE))-(VLOOKUP($A89,test!$A$3:$I$32,9,FALSE))+test!$B$34,0)</f>
        <v>0</v>
      </c>
      <c r="I89">
        <f>IF(AND(SUM(VLOOKUP($A89,test!$A$3:$F$32,2,FALSE),VLOOKUP(I$1,test!$A$3:$F$32,2,FALSE))&lt;test!$K$16,$A89&lt;&gt;I$1,Recharged_Feasible_mat!J58=1),(VLOOKUP(I$1,test!$A$3:$I$32,8,FALSE))-(VLOOKUP($A89,test!$A$3:$I$32,9,FALSE))+test!$B$34,0)</f>
        <v>150</v>
      </c>
      <c r="J89">
        <f>IF(AND(SUM(VLOOKUP($A89,test!$A$3:$F$32,2,FALSE),VLOOKUP(J$1,test!$A$3:$F$32,2,FALSE))&lt;test!$K$16,$A89&lt;&gt;J$1,Recharged_Feasible_mat!K58=1),(VLOOKUP(J$1,test!$A$3:$I$32,8,FALSE))-(VLOOKUP($A89,test!$A$3:$I$32,9,FALSE))+test!$B$34,0)</f>
        <v>240</v>
      </c>
      <c r="K89">
        <f>IF(AND(SUM(VLOOKUP($A89,test!$A$3:$F$32,2,FALSE),VLOOKUP(K$1,test!$A$3:$F$32,2,FALSE))&lt;test!$K$16,$A89&lt;&gt;K$1,Recharged_Feasible_mat!L58=1),(VLOOKUP(K$1,test!$A$3:$I$32,8,FALSE))-(VLOOKUP($A89,test!$A$3:$I$32,9,FALSE))+test!$B$34,0)</f>
        <v>0</v>
      </c>
      <c r="L89">
        <f>IF(AND(SUM(VLOOKUP($A89,test!$A$3:$F$32,2,FALSE),VLOOKUP(L$1,test!$A$3:$F$32,2,FALSE))&lt;test!$K$16,$A89&lt;&gt;L$1,Recharged_Feasible_mat!M58=1),(VLOOKUP(L$1,test!$A$3:$I$32,8,FALSE))-(VLOOKUP($A89,test!$A$3:$I$32,9,FALSE))+test!$B$34,0)</f>
        <v>0</v>
      </c>
      <c r="M89">
        <f>IF(AND(SUM(VLOOKUP($A89,test!$A$3:$F$32,2,FALSE),VLOOKUP(M$1,test!$A$3:$F$32,2,FALSE))&lt;test!$K$16,$A89&lt;&gt;M$1,Recharged_Feasible_mat!N58=1),(VLOOKUP(M$1,test!$A$3:$I$32,8,FALSE))-(VLOOKUP($A89,test!$A$3:$I$32,9,FALSE))+test!$B$34,0)</f>
        <v>0</v>
      </c>
      <c r="N89">
        <f>IF(AND(SUM(VLOOKUP($A89,test!$A$3:$F$32,2,FALSE),VLOOKUP(N$1,test!$A$3:$F$32,2,FALSE))&lt;test!$K$16,$A89&lt;&gt;N$1,Recharged_Feasible_mat!O58=1),(VLOOKUP(N$1,test!$A$3:$I$32,8,FALSE))-(VLOOKUP($A89,test!$A$3:$I$32,9,FALSE))+test!$B$34,0)</f>
        <v>205</v>
      </c>
      <c r="O89">
        <f>IF(AND(SUM(VLOOKUP($A89,test!$A$3:$F$32,2,FALSE),VLOOKUP(O$1,test!$A$3:$F$32,2,FALSE))&lt;test!$K$16,$A89&lt;&gt;O$1,Recharged_Feasible_mat!P58=1),(VLOOKUP(O$1,test!$A$3:$I$32,8,FALSE))-(VLOOKUP($A89,test!$A$3:$I$32,9,FALSE))+test!$B$34,0)</f>
        <v>265</v>
      </c>
      <c r="P89">
        <f>IF(AND(SUM(VLOOKUP($A89,test!$A$3:$F$32,2,FALSE),VLOOKUP(P$1,test!$A$3:$F$32,2,FALSE))&lt;test!$K$16,$A89&lt;&gt;P$1,Recharged_Feasible_mat!Q58=1),(VLOOKUP(P$1,test!$A$3:$I$32,8,FALSE))-(VLOOKUP($A89,test!$A$3:$I$32,9,FALSE))+test!$B$34,0)</f>
        <v>0</v>
      </c>
      <c r="Q89">
        <f>IF(AND(SUM(VLOOKUP($A89,test!$A$3:$F$32,2,FALSE),VLOOKUP(Q$1,test!$A$3:$F$32,2,FALSE))&lt;test!$K$16,$A89&lt;&gt;Q$1,Recharged_Feasible_mat!R58=1),(VLOOKUP(Q$1,test!$A$3:$I$32,8,FALSE))-(VLOOKUP($A89,test!$A$3:$I$32,9,FALSE))+test!$B$34,0)</f>
        <v>0</v>
      </c>
      <c r="R89">
        <f>IF(AND(SUM(VLOOKUP($A89,test!$A$3:$F$32,2,FALSE),VLOOKUP(R$1,test!$A$3:$F$32,2,FALSE))&lt;test!$K$16,$A89&lt;&gt;R$1,Recharged_Feasible_mat!S58=1),(VLOOKUP(R$1,test!$A$3:$I$32,8,FALSE))-(VLOOKUP($A89,test!$A$3:$I$32,9,FALSE))+test!$B$34,0)</f>
        <v>0</v>
      </c>
      <c r="S89">
        <f>IF(AND(SUM(VLOOKUP($A89,test!$A$3:$F$32,2,FALSE),VLOOKUP(S$1,test!$A$3:$F$32,2,FALSE))&lt;test!$K$16,$A89&lt;&gt;S$1,Recharged_Feasible_mat!T58=1),(VLOOKUP(S$1,test!$A$3:$I$32,8,FALSE))-(VLOOKUP($A89,test!$A$3:$I$32,9,FALSE))+test!$B$34,0)</f>
        <v>0</v>
      </c>
      <c r="T89">
        <f>IF(AND(SUM(VLOOKUP($A89,test!$A$3:$F$32,2,FALSE),VLOOKUP(T$1,test!$A$3:$F$32,2,FALSE))&lt;test!$K$16,$A89&lt;&gt;T$1,Recharged_Feasible_mat!U58=1),(VLOOKUP(T$1,test!$A$3:$I$32,8,FALSE))-(VLOOKUP($A89,test!$A$3:$I$32,9,FALSE))+test!$B$34,0)</f>
        <v>0</v>
      </c>
      <c r="U89">
        <f>IF(AND(SUM(VLOOKUP($A89,test!$A$3:$F$32,2,FALSE),VLOOKUP(U$1,test!$A$3:$F$32,2,FALSE))&lt;test!$K$16,$A89&lt;&gt;U$1,Recharged_Feasible_mat!V58=1),(VLOOKUP(U$1,test!$A$3:$I$32,8,FALSE))-(VLOOKUP($A89,test!$A$3:$I$32,9,FALSE))+test!$B$34,0)</f>
        <v>0</v>
      </c>
      <c r="V89">
        <f>IF(AND(SUM(VLOOKUP($A89,test!$A$3:$F$32,2,FALSE),VLOOKUP(V$1,test!$A$3:$F$32,2,FALSE))&lt;test!$K$16,$A89&lt;&gt;V$1,Recharged_Feasible_mat!W58=1),(VLOOKUP(V$1,test!$A$3:$I$32,8,FALSE))-(VLOOKUP($A89,test!$A$3:$I$32,9,FALSE))+test!$B$34,0)</f>
        <v>0</v>
      </c>
      <c r="W89">
        <f>IF(AND(SUM(VLOOKUP($A89,test!$A$3:$F$32,2,FALSE),VLOOKUP(W$1,test!$A$3:$F$32,2,FALSE))&lt;test!$K$16,$A89&lt;&gt;W$1,Recharged_Feasible_mat!X58=1),(VLOOKUP(W$1,test!$A$3:$I$32,8,FALSE))-(VLOOKUP($A89,test!$A$3:$I$32,9,FALSE))+test!$B$34,0)</f>
        <v>130</v>
      </c>
      <c r="X89">
        <f>IF(AND(SUM(VLOOKUP($A89,test!$A$3:$F$32,2,FALSE),VLOOKUP(X$1,test!$A$3:$F$32,2,FALSE))&lt;test!$K$16,$A89&lt;&gt;X$1,Recharged_Feasible_mat!Y58=1),(VLOOKUP(X$1,test!$A$3:$I$32,8,FALSE))-(VLOOKUP($A89,test!$A$3:$I$32,9,FALSE))+test!$B$34,0)</f>
        <v>190</v>
      </c>
      <c r="Y89">
        <f>IF(AND(SUM(VLOOKUP($A89,test!$A$3:$F$32,2,FALSE),VLOOKUP(Y$1,test!$A$3:$F$32,2,FALSE))&lt;test!$K$16,$A89&lt;&gt;Y$1,Recharged_Feasible_mat!Z58=1),(VLOOKUP(Y$1,test!$A$3:$I$32,8,FALSE))-(VLOOKUP($A89,test!$A$3:$I$32,9,FALSE))+test!$B$34,0)</f>
        <v>0</v>
      </c>
      <c r="Z89">
        <f>IF(AND(SUM(VLOOKUP($A89,test!$A$3:$F$32,2,FALSE),VLOOKUP(Z$1,test!$A$3:$F$32,2,FALSE))&lt;test!$K$16,$A89&lt;&gt;Z$1,Recharged_Feasible_mat!AA58=1),(VLOOKUP(Z$1,test!$A$3:$I$32,8,FALSE))-(VLOOKUP($A89,test!$A$3:$I$32,9,FALSE))+test!$B$34,0)</f>
        <v>0</v>
      </c>
      <c r="AA89">
        <f>IF(AND(SUM(VLOOKUP($A89,test!$A$3:$F$32,2,FALSE),VLOOKUP(AA$1,test!$A$3:$F$32,2,FALSE))&lt;test!$K$16,$A89&lt;&gt;AA$1,Recharged_Feasible_mat!AB58=1),(VLOOKUP(AA$1,test!$A$3:$I$32,8,FALSE))-(VLOOKUP($A89,test!$A$3:$I$32,9,FALSE))+test!$B$34,0)</f>
        <v>0</v>
      </c>
      <c r="AB89">
        <f>IF(AND(SUM(VLOOKUP($A89,test!$A$3:$F$32,2,FALSE),VLOOKUP(AB$1,test!$A$3:$F$32,2,FALSE))&lt;test!$K$16,$A89&lt;&gt;AB$1,Recharged_Feasible_mat!AC58=1),(VLOOKUP(AB$1,test!$A$3:$I$32,8,FALSE))-(VLOOKUP($A89,test!$A$3:$I$32,9,FALSE))+test!$B$34,0)</f>
        <v>0</v>
      </c>
      <c r="AC89">
        <f>IF(AND(SUM(VLOOKUP($A89,test!$A$3:$F$32,2,FALSE),VLOOKUP(AC$1,test!$A$3:$F$32,2,FALSE))&lt;test!$K$16,$A89&lt;&gt;AC$1,Recharged_Feasible_mat!AD58=1),(VLOOKUP(AC$1,test!$A$3:$I$32,8,FALSE))-(VLOOKUP($A89,test!$A$3:$I$32,9,FALSE))+test!$B$34,0)</f>
        <v>0</v>
      </c>
      <c r="AD89">
        <f>IF(AND(SUM(VLOOKUP($A89,test!$A$3:$F$32,2,FALSE),VLOOKUP(AD$1,test!$A$3:$F$32,2,FALSE))&lt;test!$K$16,$A89&lt;&gt;AD$1,Recharged_Feasible_mat!AE58=1),(VLOOKUP(AD$1,test!$A$3:$I$32,8,FALSE))-(VLOOKUP($A89,test!$A$3:$I$32,9,FALSE))+test!$B$34,0)</f>
        <v>0</v>
      </c>
      <c r="AE89">
        <f>IF(AND(SUM(VLOOKUP($A89,test!$A$3:$F$32,2,FALSE),VLOOKUP(AE$1,test!$A$3:$F$32,2,FALSE))&lt;test!$K$16,$A89&lt;&gt;AE$1,Recharged_Feasible_mat!AF58=1),(VLOOKUP(AE$1,test!$A$3:$I$32,8,FALSE))-(VLOOKUP($A89,test!$A$3:$I$32,9,FALSE))+test!$B$34,0)</f>
        <v>0</v>
      </c>
      <c r="AF89">
        <f>IF(AND(SUM(VLOOKUP($A89,test!$A$3:$F$32,2,FALSE),VLOOKUP(AF$1,test!$A$3:$F$32,2,FALSE))&lt;test!$K$16,$A89&lt;&gt;AF$1,Recharged_Feasible_mat!AG58=1),(VLOOKUP(AF$1,test!$A$3:$I$32,8,FALSE))-(VLOOKUP($A89,test!$A$3:$I$32,9,FALSE))+test!$B$34,0)</f>
        <v>0</v>
      </c>
    </row>
    <row r="90" spans="1:32" x14ac:dyDescent="0.25">
      <c r="A90" t="s">
        <v>37</v>
      </c>
      <c r="B90">
        <v>0</v>
      </c>
      <c r="C90">
        <f>IF(AND(SUM(VLOOKUP($A90,test!$A$3:$F$32,2,FALSE),VLOOKUP(C$1,test!$A$3:$F$32,2,FALSE))&lt;test!$K$16,$A90&lt;&gt;C$1,Recharged_Feasible_mat!D59=1),(VLOOKUP(C$1,test!$A$3:$I$32,8,FALSE))-(VLOOKUP($A90,test!$A$3:$I$32,9,FALSE))+test!$B$34,0)</f>
        <v>0</v>
      </c>
      <c r="D90">
        <f>IF(AND(SUM(VLOOKUP($A90,test!$A$3:$F$32,2,FALSE),VLOOKUP(D$1,test!$A$3:$F$32,2,FALSE))&lt;test!$K$16,$A90&lt;&gt;D$1,Recharged_Feasible_mat!E59=1),(VLOOKUP(D$1,test!$A$3:$I$32,8,FALSE))-(VLOOKUP($A90,test!$A$3:$I$32,9,FALSE))+test!$B$34,0)</f>
        <v>0</v>
      </c>
      <c r="E90">
        <f>IF(AND(SUM(VLOOKUP($A90,test!$A$3:$F$32,2,FALSE),VLOOKUP(E$1,test!$A$3:$F$32,2,FALSE))&lt;test!$K$16,$A90&lt;&gt;E$1,Recharged_Feasible_mat!F59=1),(VLOOKUP(E$1,test!$A$3:$I$32,8,FALSE))-(VLOOKUP($A90,test!$A$3:$I$32,9,FALSE))+test!$B$34,0)</f>
        <v>0</v>
      </c>
      <c r="F90">
        <f>IF(AND(SUM(VLOOKUP($A90,test!$A$3:$F$32,2,FALSE),VLOOKUP(F$1,test!$A$3:$F$32,2,FALSE))&lt;test!$K$16,$A90&lt;&gt;F$1,Recharged_Feasible_mat!G59=1),(VLOOKUP(F$1,test!$A$3:$I$32,8,FALSE))-(VLOOKUP($A90,test!$A$3:$I$32,9,FALSE))+test!$B$34,0)</f>
        <v>0</v>
      </c>
      <c r="G90">
        <f>IF(AND(SUM(VLOOKUP($A90,test!$A$3:$F$32,2,FALSE),VLOOKUP(G$1,test!$A$3:$F$32,2,FALSE))&lt;test!$K$16,$A90&lt;&gt;G$1,Recharged_Feasible_mat!H59=1),(VLOOKUP(G$1,test!$A$3:$I$32,8,FALSE))-(VLOOKUP($A90,test!$A$3:$I$32,9,FALSE))+test!$B$34,0)</f>
        <v>0</v>
      </c>
      <c r="H90">
        <f>IF(AND(SUM(VLOOKUP($A90,test!$A$3:$F$32,2,FALSE),VLOOKUP(H$1,test!$A$3:$F$32,2,FALSE))&lt;test!$K$16,$A90&lt;&gt;H$1,Recharged_Feasible_mat!I59=1),(VLOOKUP(H$1,test!$A$3:$I$32,8,FALSE))-(VLOOKUP($A90,test!$A$3:$I$32,9,FALSE))+test!$B$34,0)</f>
        <v>0</v>
      </c>
      <c r="I90">
        <f>IF(AND(SUM(VLOOKUP($A90,test!$A$3:$F$32,2,FALSE),VLOOKUP(I$1,test!$A$3:$F$32,2,FALSE))&lt;test!$K$16,$A90&lt;&gt;I$1,Recharged_Feasible_mat!J59=1),(VLOOKUP(I$1,test!$A$3:$I$32,8,FALSE))-(VLOOKUP($A90,test!$A$3:$I$32,9,FALSE))+test!$B$34,0)</f>
        <v>0</v>
      </c>
      <c r="J90">
        <f>IF(AND(SUM(VLOOKUP($A90,test!$A$3:$F$32,2,FALSE),VLOOKUP(J$1,test!$A$3:$F$32,2,FALSE))&lt;test!$K$16,$A90&lt;&gt;J$1,Recharged_Feasible_mat!K59=1),(VLOOKUP(J$1,test!$A$3:$I$32,8,FALSE))-(VLOOKUP($A90,test!$A$3:$I$32,9,FALSE))+test!$B$34,0)</f>
        <v>180</v>
      </c>
      <c r="K90">
        <f>IF(AND(SUM(VLOOKUP($A90,test!$A$3:$F$32,2,FALSE),VLOOKUP(K$1,test!$A$3:$F$32,2,FALSE))&lt;test!$K$16,$A90&lt;&gt;K$1,Recharged_Feasible_mat!L59=1),(VLOOKUP(K$1,test!$A$3:$I$32,8,FALSE))-(VLOOKUP($A90,test!$A$3:$I$32,9,FALSE))+test!$B$34,0)</f>
        <v>0</v>
      </c>
      <c r="L90">
        <f>IF(AND(SUM(VLOOKUP($A90,test!$A$3:$F$32,2,FALSE),VLOOKUP(L$1,test!$A$3:$F$32,2,FALSE))&lt;test!$K$16,$A90&lt;&gt;L$1,Recharged_Feasible_mat!M59=1),(VLOOKUP(L$1,test!$A$3:$I$32,8,FALSE))-(VLOOKUP($A90,test!$A$3:$I$32,9,FALSE))+test!$B$34,0)</f>
        <v>0</v>
      </c>
      <c r="M90">
        <f>IF(AND(SUM(VLOOKUP($A90,test!$A$3:$F$32,2,FALSE),VLOOKUP(M$1,test!$A$3:$F$32,2,FALSE))&lt;test!$K$16,$A90&lt;&gt;M$1,Recharged_Feasible_mat!N59=1),(VLOOKUP(M$1,test!$A$3:$I$32,8,FALSE))-(VLOOKUP($A90,test!$A$3:$I$32,9,FALSE))+test!$B$34,0)</f>
        <v>0</v>
      </c>
      <c r="N90">
        <f>IF(AND(SUM(VLOOKUP($A90,test!$A$3:$F$32,2,FALSE),VLOOKUP(N$1,test!$A$3:$F$32,2,FALSE))&lt;test!$K$16,$A90&lt;&gt;N$1,Recharged_Feasible_mat!O59=1),(VLOOKUP(N$1,test!$A$3:$I$32,8,FALSE))-(VLOOKUP($A90,test!$A$3:$I$32,9,FALSE))+test!$B$34,0)</f>
        <v>145</v>
      </c>
      <c r="O90">
        <f>IF(AND(SUM(VLOOKUP($A90,test!$A$3:$F$32,2,FALSE),VLOOKUP(O$1,test!$A$3:$F$32,2,FALSE))&lt;test!$K$16,$A90&lt;&gt;O$1,Recharged_Feasible_mat!P59=1),(VLOOKUP(O$1,test!$A$3:$I$32,8,FALSE))-(VLOOKUP($A90,test!$A$3:$I$32,9,FALSE))+test!$B$34,0)</f>
        <v>205</v>
      </c>
      <c r="P90">
        <f>IF(AND(SUM(VLOOKUP($A90,test!$A$3:$F$32,2,FALSE),VLOOKUP(P$1,test!$A$3:$F$32,2,FALSE))&lt;test!$K$16,$A90&lt;&gt;P$1,Recharged_Feasible_mat!Q59=1),(VLOOKUP(P$1,test!$A$3:$I$32,8,FALSE))-(VLOOKUP($A90,test!$A$3:$I$32,9,FALSE))+test!$B$34,0)</f>
        <v>0</v>
      </c>
      <c r="Q90">
        <f>IF(AND(SUM(VLOOKUP($A90,test!$A$3:$F$32,2,FALSE),VLOOKUP(Q$1,test!$A$3:$F$32,2,FALSE))&lt;test!$K$16,$A90&lt;&gt;Q$1,Recharged_Feasible_mat!R59=1),(VLOOKUP(Q$1,test!$A$3:$I$32,8,FALSE))-(VLOOKUP($A90,test!$A$3:$I$32,9,FALSE))+test!$B$34,0)</f>
        <v>0</v>
      </c>
      <c r="R90">
        <f>IF(AND(SUM(VLOOKUP($A90,test!$A$3:$F$32,2,FALSE),VLOOKUP(R$1,test!$A$3:$F$32,2,FALSE))&lt;test!$K$16,$A90&lt;&gt;R$1,Recharged_Feasible_mat!S59=1),(VLOOKUP(R$1,test!$A$3:$I$32,8,FALSE))-(VLOOKUP($A90,test!$A$3:$I$32,9,FALSE))+test!$B$34,0)</f>
        <v>0</v>
      </c>
      <c r="S90">
        <f>IF(AND(SUM(VLOOKUP($A90,test!$A$3:$F$32,2,FALSE),VLOOKUP(S$1,test!$A$3:$F$32,2,FALSE))&lt;test!$K$16,$A90&lt;&gt;S$1,Recharged_Feasible_mat!T59=1),(VLOOKUP(S$1,test!$A$3:$I$32,8,FALSE))-(VLOOKUP($A90,test!$A$3:$I$32,9,FALSE))+test!$B$34,0)</f>
        <v>0</v>
      </c>
      <c r="T90">
        <f>IF(AND(SUM(VLOOKUP($A90,test!$A$3:$F$32,2,FALSE),VLOOKUP(T$1,test!$A$3:$F$32,2,FALSE))&lt;test!$K$16,$A90&lt;&gt;T$1,Recharged_Feasible_mat!U59=1),(VLOOKUP(T$1,test!$A$3:$I$32,8,FALSE))-(VLOOKUP($A90,test!$A$3:$I$32,9,FALSE))+test!$B$34,0)</f>
        <v>0</v>
      </c>
      <c r="U90">
        <f>IF(AND(SUM(VLOOKUP($A90,test!$A$3:$F$32,2,FALSE),VLOOKUP(U$1,test!$A$3:$F$32,2,FALSE))&lt;test!$K$16,$A90&lt;&gt;U$1,Recharged_Feasible_mat!V59=1),(VLOOKUP(U$1,test!$A$3:$I$32,8,FALSE))-(VLOOKUP($A90,test!$A$3:$I$32,9,FALSE))+test!$B$34,0)</f>
        <v>0</v>
      </c>
      <c r="V90">
        <f>IF(AND(SUM(VLOOKUP($A90,test!$A$3:$F$32,2,FALSE),VLOOKUP(V$1,test!$A$3:$F$32,2,FALSE))&lt;test!$K$16,$A90&lt;&gt;V$1,Recharged_Feasible_mat!W59=1),(VLOOKUP(V$1,test!$A$3:$I$32,8,FALSE))-(VLOOKUP($A90,test!$A$3:$I$32,9,FALSE))+test!$B$34,0)</f>
        <v>0</v>
      </c>
      <c r="W90">
        <f>IF(AND(SUM(VLOOKUP($A90,test!$A$3:$F$32,2,FALSE),VLOOKUP(W$1,test!$A$3:$F$32,2,FALSE))&lt;test!$K$16,$A90&lt;&gt;W$1,Recharged_Feasible_mat!X59=1),(VLOOKUP(W$1,test!$A$3:$I$32,8,FALSE))-(VLOOKUP($A90,test!$A$3:$I$32,9,FALSE))+test!$B$34,0)</f>
        <v>0</v>
      </c>
      <c r="X90">
        <f>IF(AND(SUM(VLOOKUP($A90,test!$A$3:$F$32,2,FALSE),VLOOKUP(X$1,test!$A$3:$F$32,2,FALSE))&lt;test!$K$16,$A90&lt;&gt;X$1,Recharged_Feasible_mat!Y59=1),(VLOOKUP(X$1,test!$A$3:$I$32,8,FALSE))-(VLOOKUP($A90,test!$A$3:$I$32,9,FALSE))+test!$B$34,0)</f>
        <v>130</v>
      </c>
      <c r="Y90">
        <f>IF(AND(SUM(VLOOKUP($A90,test!$A$3:$F$32,2,FALSE),VLOOKUP(Y$1,test!$A$3:$F$32,2,FALSE))&lt;test!$K$16,$A90&lt;&gt;Y$1,Recharged_Feasible_mat!Z59=1),(VLOOKUP(Y$1,test!$A$3:$I$32,8,FALSE))-(VLOOKUP($A90,test!$A$3:$I$32,9,FALSE))+test!$B$34,0)</f>
        <v>0</v>
      </c>
      <c r="Z90">
        <f>IF(AND(SUM(VLOOKUP($A90,test!$A$3:$F$32,2,FALSE),VLOOKUP(Z$1,test!$A$3:$F$32,2,FALSE))&lt;test!$K$16,$A90&lt;&gt;Z$1,Recharged_Feasible_mat!AA59=1),(VLOOKUP(Z$1,test!$A$3:$I$32,8,FALSE))-(VLOOKUP($A90,test!$A$3:$I$32,9,FALSE))+test!$B$34,0)</f>
        <v>0</v>
      </c>
      <c r="AA90">
        <f>IF(AND(SUM(VLOOKUP($A90,test!$A$3:$F$32,2,FALSE),VLOOKUP(AA$1,test!$A$3:$F$32,2,FALSE))&lt;test!$K$16,$A90&lt;&gt;AA$1,Recharged_Feasible_mat!AB59=1),(VLOOKUP(AA$1,test!$A$3:$I$32,8,FALSE))-(VLOOKUP($A90,test!$A$3:$I$32,9,FALSE))+test!$B$34,0)</f>
        <v>0</v>
      </c>
      <c r="AB90">
        <f>IF(AND(SUM(VLOOKUP($A90,test!$A$3:$F$32,2,FALSE),VLOOKUP(AB$1,test!$A$3:$F$32,2,FALSE))&lt;test!$K$16,$A90&lt;&gt;AB$1,Recharged_Feasible_mat!AC59=1),(VLOOKUP(AB$1,test!$A$3:$I$32,8,FALSE))-(VLOOKUP($A90,test!$A$3:$I$32,9,FALSE))+test!$B$34,0)</f>
        <v>0</v>
      </c>
      <c r="AC90">
        <f>IF(AND(SUM(VLOOKUP($A90,test!$A$3:$F$32,2,FALSE),VLOOKUP(AC$1,test!$A$3:$F$32,2,FALSE))&lt;test!$K$16,$A90&lt;&gt;AC$1,Recharged_Feasible_mat!AD59=1),(VLOOKUP(AC$1,test!$A$3:$I$32,8,FALSE))-(VLOOKUP($A90,test!$A$3:$I$32,9,FALSE))+test!$B$34,0)</f>
        <v>0</v>
      </c>
      <c r="AD90">
        <f>IF(AND(SUM(VLOOKUP($A90,test!$A$3:$F$32,2,FALSE),VLOOKUP(AD$1,test!$A$3:$F$32,2,FALSE))&lt;test!$K$16,$A90&lt;&gt;AD$1,Recharged_Feasible_mat!AE59=1),(VLOOKUP(AD$1,test!$A$3:$I$32,8,FALSE))-(VLOOKUP($A90,test!$A$3:$I$32,9,FALSE))+test!$B$34,0)</f>
        <v>0</v>
      </c>
      <c r="AE90">
        <f>IF(AND(SUM(VLOOKUP($A90,test!$A$3:$F$32,2,FALSE),VLOOKUP(AE$1,test!$A$3:$F$32,2,FALSE))&lt;test!$K$16,$A90&lt;&gt;AE$1,Recharged_Feasible_mat!AF59=1),(VLOOKUP(AE$1,test!$A$3:$I$32,8,FALSE))-(VLOOKUP($A90,test!$A$3:$I$32,9,FALSE))+test!$B$34,0)</f>
        <v>0</v>
      </c>
      <c r="AF90">
        <f>IF(AND(SUM(VLOOKUP($A90,test!$A$3:$F$32,2,FALSE),VLOOKUP(AF$1,test!$A$3:$F$32,2,FALSE))&lt;test!$K$16,$A90&lt;&gt;AF$1,Recharged_Feasible_mat!AG59=1),(VLOOKUP(AF$1,test!$A$3:$I$32,8,FALSE))-(VLOOKUP($A90,test!$A$3:$I$32,9,FALSE))+test!$B$34,0)</f>
        <v>0</v>
      </c>
    </row>
    <row r="91" spans="1:32" x14ac:dyDescent="0.25">
      <c r="A91" t="s">
        <v>38</v>
      </c>
      <c r="B91">
        <v>0</v>
      </c>
      <c r="C91">
        <f>IF(AND(SUM(VLOOKUP($A91,test!$A$3:$F$32,2,FALSE),VLOOKUP(C$1,test!$A$3:$F$32,2,FALSE))&lt;test!$K$16,$A91&lt;&gt;C$1,Recharged_Feasible_mat!D60=1),(VLOOKUP(C$1,test!$A$3:$I$32,8,FALSE))-(VLOOKUP($A91,test!$A$3:$I$32,9,FALSE))+test!$B$34,0)</f>
        <v>0</v>
      </c>
      <c r="D91">
        <f>IF(AND(SUM(VLOOKUP($A91,test!$A$3:$F$32,2,FALSE),VLOOKUP(D$1,test!$A$3:$F$32,2,FALSE))&lt;test!$K$16,$A91&lt;&gt;D$1,Recharged_Feasible_mat!E60=1),(VLOOKUP(D$1,test!$A$3:$I$32,8,FALSE))-(VLOOKUP($A91,test!$A$3:$I$32,9,FALSE))+test!$B$34,0)</f>
        <v>0</v>
      </c>
      <c r="E91">
        <f>IF(AND(SUM(VLOOKUP($A91,test!$A$3:$F$32,2,FALSE),VLOOKUP(E$1,test!$A$3:$F$32,2,FALSE))&lt;test!$K$16,$A91&lt;&gt;E$1,Recharged_Feasible_mat!F60=1),(VLOOKUP(E$1,test!$A$3:$I$32,8,FALSE))-(VLOOKUP($A91,test!$A$3:$I$32,9,FALSE))+test!$B$34,0)</f>
        <v>0</v>
      </c>
      <c r="F91">
        <f>IF(AND(SUM(VLOOKUP($A91,test!$A$3:$F$32,2,FALSE),VLOOKUP(F$1,test!$A$3:$F$32,2,FALSE))&lt;test!$K$16,$A91&lt;&gt;F$1,Recharged_Feasible_mat!G60=1),(VLOOKUP(F$1,test!$A$3:$I$32,8,FALSE))-(VLOOKUP($A91,test!$A$3:$I$32,9,FALSE))+test!$B$34,0)</f>
        <v>0</v>
      </c>
      <c r="G91">
        <f>IF(AND(SUM(VLOOKUP($A91,test!$A$3:$F$32,2,FALSE),VLOOKUP(G$1,test!$A$3:$F$32,2,FALSE))&lt;test!$K$16,$A91&lt;&gt;G$1,Recharged_Feasible_mat!H60=1),(VLOOKUP(G$1,test!$A$3:$I$32,8,FALSE))-(VLOOKUP($A91,test!$A$3:$I$32,9,FALSE))+test!$B$34,0)</f>
        <v>0</v>
      </c>
      <c r="H91">
        <f>IF(AND(SUM(VLOOKUP($A91,test!$A$3:$F$32,2,FALSE),VLOOKUP(H$1,test!$A$3:$F$32,2,FALSE))&lt;test!$K$16,$A91&lt;&gt;H$1,Recharged_Feasible_mat!I60=1),(VLOOKUP(H$1,test!$A$3:$I$32,8,FALSE))-(VLOOKUP($A91,test!$A$3:$I$32,9,FALSE))+test!$B$34,0)</f>
        <v>0</v>
      </c>
      <c r="I91">
        <f>IF(AND(SUM(VLOOKUP($A91,test!$A$3:$F$32,2,FALSE),VLOOKUP(I$1,test!$A$3:$F$32,2,FALSE))&lt;test!$K$16,$A91&lt;&gt;I$1,Recharged_Feasible_mat!J60=1),(VLOOKUP(I$1,test!$A$3:$I$32,8,FALSE))-(VLOOKUP($A91,test!$A$3:$I$32,9,FALSE))+test!$B$34,0)</f>
        <v>0</v>
      </c>
      <c r="J91">
        <f>IF(AND(SUM(VLOOKUP($A91,test!$A$3:$F$32,2,FALSE),VLOOKUP(J$1,test!$A$3:$F$32,2,FALSE))&lt;test!$K$16,$A91&lt;&gt;J$1,Recharged_Feasible_mat!K60=1),(VLOOKUP(J$1,test!$A$3:$I$32,8,FALSE))-(VLOOKUP($A91,test!$A$3:$I$32,9,FALSE))+test!$B$34,0)</f>
        <v>0</v>
      </c>
      <c r="K91">
        <f>IF(AND(SUM(VLOOKUP($A91,test!$A$3:$F$32,2,FALSE),VLOOKUP(K$1,test!$A$3:$F$32,2,FALSE))&lt;test!$K$16,$A91&lt;&gt;K$1,Recharged_Feasible_mat!L60=1),(VLOOKUP(K$1,test!$A$3:$I$32,8,FALSE))-(VLOOKUP($A91,test!$A$3:$I$32,9,FALSE))+test!$B$34,0)</f>
        <v>0</v>
      </c>
      <c r="L91">
        <f>IF(AND(SUM(VLOOKUP($A91,test!$A$3:$F$32,2,FALSE),VLOOKUP(L$1,test!$A$3:$F$32,2,FALSE))&lt;test!$K$16,$A91&lt;&gt;L$1,Recharged_Feasible_mat!M60=1),(VLOOKUP(L$1,test!$A$3:$I$32,8,FALSE))-(VLOOKUP($A91,test!$A$3:$I$32,9,FALSE))+test!$B$34,0)</f>
        <v>0</v>
      </c>
      <c r="M91">
        <f>IF(AND(SUM(VLOOKUP($A91,test!$A$3:$F$32,2,FALSE),VLOOKUP(M$1,test!$A$3:$F$32,2,FALSE))&lt;test!$K$16,$A91&lt;&gt;M$1,Recharged_Feasible_mat!N60=1),(VLOOKUP(M$1,test!$A$3:$I$32,8,FALSE))-(VLOOKUP($A91,test!$A$3:$I$32,9,FALSE))+test!$B$34,0)</f>
        <v>0</v>
      </c>
      <c r="N91">
        <f>IF(AND(SUM(VLOOKUP($A91,test!$A$3:$F$32,2,FALSE),VLOOKUP(N$1,test!$A$3:$F$32,2,FALSE))&lt;test!$K$16,$A91&lt;&gt;N$1,Recharged_Feasible_mat!O60=1),(VLOOKUP(N$1,test!$A$3:$I$32,8,FALSE))-(VLOOKUP($A91,test!$A$3:$I$32,9,FALSE))+test!$B$34,0)</f>
        <v>0</v>
      </c>
      <c r="O91">
        <f>IF(AND(SUM(VLOOKUP($A91,test!$A$3:$F$32,2,FALSE),VLOOKUP(O$1,test!$A$3:$F$32,2,FALSE))&lt;test!$K$16,$A91&lt;&gt;O$1,Recharged_Feasible_mat!P60=1),(VLOOKUP(O$1,test!$A$3:$I$32,8,FALSE))-(VLOOKUP($A91,test!$A$3:$I$32,9,FALSE))+test!$B$34,0)</f>
        <v>0</v>
      </c>
      <c r="P91">
        <f>IF(AND(SUM(VLOOKUP($A91,test!$A$3:$F$32,2,FALSE),VLOOKUP(P$1,test!$A$3:$F$32,2,FALSE))&lt;test!$K$16,$A91&lt;&gt;P$1,Recharged_Feasible_mat!Q60=1),(VLOOKUP(P$1,test!$A$3:$I$32,8,FALSE))-(VLOOKUP($A91,test!$A$3:$I$32,9,FALSE))+test!$B$34,0)</f>
        <v>0</v>
      </c>
      <c r="Q91">
        <f>IF(AND(SUM(VLOOKUP($A91,test!$A$3:$F$32,2,FALSE),VLOOKUP(Q$1,test!$A$3:$F$32,2,FALSE))&lt;test!$K$16,$A91&lt;&gt;Q$1,Recharged_Feasible_mat!R60=1),(VLOOKUP(Q$1,test!$A$3:$I$32,8,FALSE))-(VLOOKUP($A91,test!$A$3:$I$32,9,FALSE))+test!$B$34,0)</f>
        <v>0</v>
      </c>
      <c r="R91">
        <f>IF(AND(SUM(VLOOKUP($A91,test!$A$3:$F$32,2,FALSE),VLOOKUP(R$1,test!$A$3:$F$32,2,FALSE))&lt;test!$K$16,$A91&lt;&gt;R$1,Recharged_Feasible_mat!S60=1),(VLOOKUP(R$1,test!$A$3:$I$32,8,FALSE))-(VLOOKUP($A91,test!$A$3:$I$32,9,FALSE))+test!$B$34,0)</f>
        <v>0</v>
      </c>
      <c r="S91">
        <f>IF(AND(SUM(VLOOKUP($A91,test!$A$3:$F$32,2,FALSE),VLOOKUP(S$1,test!$A$3:$F$32,2,FALSE))&lt;test!$K$16,$A91&lt;&gt;S$1,Recharged_Feasible_mat!T60=1),(VLOOKUP(S$1,test!$A$3:$I$32,8,FALSE))-(VLOOKUP($A91,test!$A$3:$I$32,9,FALSE))+test!$B$34,0)</f>
        <v>0</v>
      </c>
      <c r="T91">
        <f>IF(AND(SUM(VLOOKUP($A91,test!$A$3:$F$32,2,FALSE),VLOOKUP(T$1,test!$A$3:$F$32,2,FALSE))&lt;test!$K$16,$A91&lt;&gt;T$1,Recharged_Feasible_mat!U60=1),(VLOOKUP(T$1,test!$A$3:$I$32,8,FALSE))-(VLOOKUP($A91,test!$A$3:$I$32,9,FALSE))+test!$B$34,0)</f>
        <v>0</v>
      </c>
      <c r="U91">
        <f>IF(AND(SUM(VLOOKUP($A91,test!$A$3:$F$32,2,FALSE),VLOOKUP(U$1,test!$A$3:$F$32,2,FALSE))&lt;test!$K$16,$A91&lt;&gt;U$1,Recharged_Feasible_mat!V60=1),(VLOOKUP(U$1,test!$A$3:$I$32,8,FALSE))-(VLOOKUP($A91,test!$A$3:$I$32,9,FALSE))+test!$B$34,0)</f>
        <v>0</v>
      </c>
      <c r="V91">
        <f>IF(AND(SUM(VLOOKUP($A91,test!$A$3:$F$32,2,FALSE),VLOOKUP(V$1,test!$A$3:$F$32,2,FALSE))&lt;test!$K$16,$A91&lt;&gt;V$1,Recharged_Feasible_mat!W60=1),(VLOOKUP(V$1,test!$A$3:$I$32,8,FALSE))-(VLOOKUP($A91,test!$A$3:$I$32,9,FALSE))+test!$B$34,0)</f>
        <v>0</v>
      </c>
      <c r="W91">
        <f>IF(AND(SUM(VLOOKUP($A91,test!$A$3:$F$32,2,FALSE),VLOOKUP(W$1,test!$A$3:$F$32,2,FALSE))&lt;test!$K$16,$A91&lt;&gt;W$1,Recharged_Feasible_mat!X60=1),(VLOOKUP(W$1,test!$A$3:$I$32,8,FALSE))-(VLOOKUP($A91,test!$A$3:$I$32,9,FALSE))+test!$B$34,0)</f>
        <v>0</v>
      </c>
      <c r="X91">
        <f>IF(AND(SUM(VLOOKUP($A91,test!$A$3:$F$32,2,FALSE),VLOOKUP(X$1,test!$A$3:$F$32,2,FALSE))&lt;test!$K$16,$A91&lt;&gt;X$1,Recharged_Feasible_mat!Y60=1),(VLOOKUP(X$1,test!$A$3:$I$32,8,FALSE))-(VLOOKUP($A91,test!$A$3:$I$32,9,FALSE))+test!$B$34,0)</f>
        <v>0</v>
      </c>
      <c r="Y91">
        <f>IF(AND(SUM(VLOOKUP($A91,test!$A$3:$F$32,2,FALSE),VLOOKUP(Y$1,test!$A$3:$F$32,2,FALSE))&lt;test!$K$16,$A91&lt;&gt;Y$1,Recharged_Feasible_mat!Z60=1),(VLOOKUP(Y$1,test!$A$3:$I$32,8,FALSE))-(VLOOKUP($A91,test!$A$3:$I$32,9,FALSE))+test!$B$34,0)</f>
        <v>0</v>
      </c>
      <c r="Z91">
        <f>IF(AND(SUM(VLOOKUP($A91,test!$A$3:$F$32,2,FALSE),VLOOKUP(Z$1,test!$A$3:$F$32,2,FALSE))&lt;test!$K$16,$A91&lt;&gt;Z$1,Recharged_Feasible_mat!AA60=1),(VLOOKUP(Z$1,test!$A$3:$I$32,8,FALSE))-(VLOOKUP($A91,test!$A$3:$I$32,9,FALSE))+test!$B$34,0)</f>
        <v>0</v>
      </c>
      <c r="AA91">
        <f>IF(AND(SUM(VLOOKUP($A91,test!$A$3:$F$32,2,FALSE),VLOOKUP(AA$1,test!$A$3:$F$32,2,FALSE))&lt;test!$K$16,$A91&lt;&gt;AA$1,Recharged_Feasible_mat!AB60=1),(VLOOKUP(AA$1,test!$A$3:$I$32,8,FALSE))-(VLOOKUP($A91,test!$A$3:$I$32,9,FALSE))+test!$B$34,0)</f>
        <v>0</v>
      </c>
      <c r="AB91">
        <f>IF(AND(SUM(VLOOKUP($A91,test!$A$3:$F$32,2,FALSE),VLOOKUP(AB$1,test!$A$3:$F$32,2,FALSE))&lt;test!$K$16,$A91&lt;&gt;AB$1,Recharged_Feasible_mat!AC60=1),(VLOOKUP(AB$1,test!$A$3:$I$32,8,FALSE))-(VLOOKUP($A91,test!$A$3:$I$32,9,FALSE))+test!$B$34,0)</f>
        <v>0</v>
      </c>
      <c r="AC91">
        <f>IF(AND(SUM(VLOOKUP($A91,test!$A$3:$F$32,2,FALSE),VLOOKUP(AC$1,test!$A$3:$F$32,2,FALSE))&lt;test!$K$16,$A91&lt;&gt;AC$1,Recharged_Feasible_mat!AD60=1),(VLOOKUP(AC$1,test!$A$3:$I$32,8,FALSE))-(VLOOKUP($A91,test!$A$3:$I$32,9,FALSE))+test!$B$34,0)</f>
        <v>0</v>
      </c>
      <c r="AD91">
        <f>IF(AND(SUM(VLOOKUP($A91,test!$A$3:$F$32,2,FALSE),VLOOKUP(AD$1,test!$A$3:$F$32,2,FALSE))&lt;test!$K$16,$A91&lt;&gt;AD$1,Recharged_Feasible_mat!AE60=1),(VLOOKUP(AD$1,test!$A$3:$I$32,8,FALSE))-(VLOOKUP($A91,test!$A$3:$I$32,9,FALSE))+test!$B$34,0)</f>
        <v>0</v>
      </c>
      <c r="AE91">
        <f>IF(AND(SUM(VLOOKUP($A91,test!$A$3:$F$32,2,FALSE),VLOOKUP(AE$1,test!$A$3:$F$32,2,FALSE))&lt;test!$K$16,$A91&lt;&gt;AE$1,Recharged_Feasible_mat!AF60=1),(VLOOKUP(AE$1,test!$A$3:$I$32,8,FALSE))-(VLOOKUP($A91,test!$A$3:$I$32,9,FALSE))+test!$B$34,0)</f>
        <v>0</v>
      </c>
      <c r="AF91">
        <f>IF(AND(SUM(VLOOKUP($A91,test!$A$3:$F$32,2,FALSE),VLOOKUP(AF$1,test!$A$3:$F$32,2,FALSE))&lt;test!$K$16,$A91&lt;&gt;AF$1,Recharged_Feasible_mat!AG60=1),(VLOOKUP(AF$1,test!$A$3:$I$32,8,FALSE))-(VLOOKUP($A91,test!$A$3:$I$32,9,FALSE))+test!$B$34,0)</f>
        <v>0</v>
      </c>
    </row>
    <row r="92" spans="1:32" x14ac:dyDescent="0.25">
      <c r="A92" t="s">
        <v>39</v>
      </c>
      <c r="B92">
        <v>0</v>
      </c>
      <c r="C92">
        <f>IF(AND(SUM(VLOOKUP($A92,test!$A$3:$F$32,2,FALSE),VLOOKUP(C$1,test!$A$3:$F$32,2,FALSE))&lt;test!$K$16,$A92&lt;&gt;C$1,Recharged_Feasible_mat!D61=1),(VLOOKUP(C$1,test!$A$3:$I$32,8,FALSE))-(VLOOKUP($A92,test!$A$3:$I$32,9,FALSE))+test!$B$34,0)</f>
        <v>0</v>
      </c>
      <c r="D92">
        <f>IF(AND(SUM(VLOOKUP($A92,test!$A$3:$F$32,2,FALSE),VLOOKUP(D$1,test!$A$3:$F$32,2,FALSE))&lt;test!$K$16,$A92&lt;&gt;D$1,Recharged_Feasible_mat!E61=1),(VLOOKUP(D$1,test!$A$3:$I$32,8,FALSE))-(VLOOKUP($A92,test!$A$3:$I$32,9,FALSE))+test!$B$34,0)</f>
        <v>0</v>
      </c>
      <c r="E92">
        <f>IF(AND(SUM(VLOOKUP($A92,test!$A$3:$F$32,2,FALSE),VLOOKUP(E$1,test!$A$3:$F$32,2,FALSE))&lt;test!$K$16,$A92&lt;&gt;E$1,Recharged_Feasible_mat!F61=1),(VLOOKUP(E$1,test!$A$3:$I$32,8,FALSE))-(VLOOKUP($A92,test!$A$3:$I$32,9,FALSE))+test!$B$34,0)</f>
        <v>0</v>
      </c>
      <c r="F92">
        <f>IF(AND(SUM(VLOOKUP($A92,test!$A$3:$F$32,2,FALSE),VLOOKUP(F$1,test!$A$3:$F$32,2,FALSE))&lt;test!$K$16,$A92&lt;&gt;F$1,Recharged_Feasible_mat!G61=1),(VLOOKUP(F$1,test!$A$3:$I$32,8,FALSE))-(VLOOKUP($A92,test!$A$3:$I$32,9,FALSE))+test!$B$34,0)</f>
        <v>0</v>
      </c>
      <c r="G92">
        <f>IF(AND(SUM(VLOOKUP($A92,test!$A$3:$F$32,2,FALSE),VLOOKUP(G$1,test!$A$3:$F$32,2,FALSE))&lt;test!$K$16,$A92&lt;&gt;G$1,Recharged_Feasible_mat!H61=1),(VLOOKUP(G$1,test!$A$3:$I$32,8,FALSE))-(VLOOKUP($A92,test!$A$3:$I$32,9,FALSE))+test!$B$34,0)</f>
        <v>0</v>
      </c>
      <c r="H92">
        <f>IF(AND(SUM(VLOOKUP($A92,test!$A$3:$F$32,2,FALSE),VLOOKUP(H$1,test!$A$3:$F$32,2,FALSE))&lt;test!$K$16,$A92&lt;&gt;H$1,Recharged_Feasible_mat!I61=1),(VLOOKUP(H$1,test!$A$3:$I$32,8,FALSE))-(VLOOKUP($A92,test!$A$3:$I$32,9,FALSE))+test!$B$34,0)</f>
        <v>0</v>
      </c>
      <c r="I92">
        <f>IF(AND(SUM(VLOOKUP($A92,test!$A$3:$F$32,2,FALSE),VLOOKUP(I$1,test!$A$3:$F$32,2,FALSE))&lt;test!$K$16,$A92&lt;&gt;I$1,Recharged_Feasible_mat!J61=1),(VLOOKUP(I$1,test!$A$3:$I$32,8,FALSE))-(VLOOKUP($A92,test!$A$3:$I$32,9,FALSE))+test!$B$34,0)</f>
        <v>0</v>
      </c>
      <c r="J92">
        <f>IF(AND(SUM(VLOOKUP($A92,test!$A$3:$F$32,2,FALSE),VLOOKUP(J$1,test!$A$3:$F$32,2,FALSE))&lt;test!$K$16,$A92&lt;&gt;J$1,Recharged_Feasible_mat!K61=1),(VLOOKUP(J$1,test!$A$3:$I$32,8,FALSE))-(VLOOKUP($A92,test!$A$3:$I$32,9,FALSE))+test!$B$34,0)</f>
        <v>0</v>
      </c>
      <c r="K92">
        <f>IF(AND(SUM(VLOOKUP($A92,test!$A$3:$F$32,2,FALSE),VLOOKUP(K$1,test!$A$3:$F$32,2,FALSE))&lt;test!$K$16,$A92&lt;&gt;K$1,Recharged_Feasible_mat!L61=1),(VLOOKUP(K$1,test!$A$3:$I$32,8,FALSE))-(VLOOKUP($A92,test!$A$3:$I$32,9,FALSE))+test!$B$34,0)</f>
        <v>0</v>
      </c>
      <c r="L92">
        <f>IF(AND(SUM(VLOOKUP($A92,test!$A$3:$F$32,2,FALSE),VLOOKUP(L$1,test!$A$3:$F$32,2,FALSE))&lt;test!$K$16,$A92&lt;&gt;L$1,Recharged_Feasible_mat!M61=1),(VLOOKUP(L$1,test!$A$3:$I$32,8,FALSE))-(VLOOKUP($A92,test!$A$3:$I$32,9,FALSE))+test!$B$34,0)</f>
        <v>0</v>
      </c>
      <c r="M92">
        <f>IF(AND(SUM(VLOOKUP($A92,test!$A$3:$F$32,2,FALSE),VLOOKUP(M$1,test!$A$3:$F$32,2,FALSE))&lt;test!$K$16,$A92&lt;&gt;M$1,Recharged_Feasible_mat!N61=1),(VLOOKUP(M$1,test!$A$3:$I$32,8,FALSE))-(VLOOKUP($A92,test!$A$3:$I$32,9,FALSE))+test!$B$34,0)</f>
        <v>0</v>
      </c>
      <c r="N92">
        <f>IF(AND(SUM(VLOOKUP($A92,test!$A$3:$F$32,2,FALSE),VLOOKUP(N$1,test!$A$3:$F$32,2,FALSE))&lt;test!$K$16,$A92&lt;&gt;N$1,Recharged_Feasible_mat!O61=1),(VLOOKUP(N$1,test!$A$3:$I$32,8,FALSE))-(VLOOKUP($A92,test!$A$3:$I$32,9,FALSE))+test!$B$34,0)</f>
        <v>0</v>
      </c>
      <c r="O92">
        <f>IF(AND(SUM(VLOOKUP($A92,test!$A$3:$F$32,2,FALSE),VLOOKUP(O$1,test!$A$3:$F$32,2,FALSE))&lt;test!$K$16,$A92&lt;&gt;O$1,Recharged_Feasible_mat!P61=1),(VLOOKUP(O$1,test!$A$3:$I$32,8,FALSE))-(VLOOKUP($A92,test!$A$3:$I$32,9,FALSE))+test!$B$34,0)</f>
        <v>0</v>
      </c>
      <c r="P92">
        <f>IF(AND(SUM(VLOOKUP($A92,test!$A$3:$F$32,2,FALSE),VLOOKUP(P$1,test!$A$3:$F$32,2,FALSE))&lt;test!$K$16,$A92&lt;&gt;P$1,Recharged_Feasible_mat!Q61=1),(VLOOKUP(P$1,test!$A$3:$I$32,8,FALSE))-(VLOOKUP($A92,test!$A$3:$I$32,9,FALSE))+test!$B$34,0)</f>
        <v>0</v>
      </c>
      <c r="Q92">
        <f>IF(AND(SUM(VLOOKUP($A92,test!$A$3:$F$32,2,FALSE),VLOOKUP(Q$1,test!$A$3:$F$32,2,FALSE))&lt;test!$K$16,$A92&lt;&gt;Q$1,Recharged_Feasible_mat!R61=1),(VLOOKUP(Q$1,test!$A$3:$I$32,8,FALSE))-(VLOOKUP($A92,test!$A$3:$I$32,9,FALSE))+test!$B$34,0)</f>
        <v>0</v>
      </c>
      <c r="R92">
        <f>IF(AND(SUM(VLOOKUP($A92,test!$A$3:$F$32,2,FALSE),VLOOKUP(R$1,test!$A$3:$F$32,2,FALSE))&lt;test!$K$16,$A92&lt;&gt;R$1,Recharged_Feasible_mat!S61=1),(VLOOKUP(R$1,test!$A$3:$I$32,8,FALSE))-(VLOOKUP($A92,test!$A$3:$I$32,9,FALSE))+test!$B$34,0)</f>
        <v>0</v>
      </c>
      <c r="S92">
        <f>IF(AND(SUM(VLOOKUP($A92,test!$A$3:$F$32,2,FALSE),VLOOKUP(S$1,test!$A$3:$F$32,2,FALSE))&lt;test!$K$16,$A92&lt;&gt;S$1,Recharged_Feasible_mat!T61=1),(VLOOKUP(S$1,test!$A$3:$I$32,8,FALSE))-(VLOOKUP($A92,test!$A$3:$I$32,9,FALSE))+test!$B$34,0)</f>
        <v>0</v>
      </c>
      <c r="T92">
        <f>IF(AND(SUM(VLOOKUP($A92,test!$A$3:$F$32,2,FALSE),VLOOKUP(T$1,test!$A$3:$F$32,2,FALSE))&lt;test!$K$16,$A92&lt;&gt;T$1,Recharged_Feasible_mat!U61=1),(VLOOKUP(T$1,test!$A$3:$I$32,8,FALSE))-(VLOOKUP($A92,test!$A$3:$I$32,9,FALSE))+test!$B$34,0)</f>
        <v>0</v>
      </c>
      <c r="U92">
        <f>IF(AND(SUM(VLOOKUP($A92,test!$A$3:$F$32,2,FALSE),VLOOKUP(U$1,test!$A$3:$F$32,2,FALSE))&lt;test!$K$16,$A92&lt;&gt;U$1,Recharged_Feasible_mat!V61=1),(VLOOKUP(U$1,test!$A$3:$I$32,8,FALSE))-(VLOOKUP($A92,test!$A$3:$I$32,9,FALSE))+test!$B$34,0)</f>
        <v>0</v>
      </c>
      <c r="V92">
        <f>IF(AND(SUM(VLOOKUP($A92,test!$A$3:$F$32,2,FALSE),VLOOKUP(V$1,test!$A$3:$F$32,2,FALSE))&lt;test!$K$16,$A92&lt;&gt;V$1,Recharged_Feasible_mat!W61=1),(VLOOKUP(V$1,test!$A$3:$I$32,8,FALSE))-(VLOOKUP($A92,test!$A$3:$I$32,9,FALSE))+test!$B$34,0)</f>
        <v>0</v>
      </c>
      <c r="W92">
        <f>IF(AND(SUM(VLOOKUP($A92,test!$A$3:$F$32,2,FALSE),VLOOKUP(W$1,test!$A$3:$F$32,2,FALSE))&lt;test!$K$16,$A92&lt;&gt;W$1,Recharged_Feasible_mat!X61=1),(VLOOKUP(W$1,test!$A$3:$I$32,8,FALSE))-(VLOOKUP($A92,test!$A$3:$I$32,9,FALSE))+test!$B$34,0)</f>
        <v>0</v>
      </c>
      <c r="X92">
        <f>IF(AND(SUM(VLOOKUP($A92,test!$A$3:$F$32,2,FALSE),VLOOKUP(X$1,test!$A$3:$F$32,2,FALSE))&lt;test!$K$16,$A92&lt;&gt;X$1,Recharged_Feasible_mat!Y61=1),(VLOOKUP(X$1,test!$A$3:$I$32,8,FALSE))-(VLOOKUP($A92,test!$A$3:$I$32,9,FALSE))+test!$B$34,0)</f>
        <v>0</v>
      </c>
      <c r="Y92">
        <f>IF(AND(SUM(VLOOKUP($A92,test!$A$3:$F$32,2,FALSE),VLOOKUP(Y$1,test!$A$3:$F$32,2,FALSE))&lt;test!$K$16,$A92&lt;&gt;Y$1,Recharged_Feasible_mat!Z61=1),(VLOOKUP(Y$1,test!$A$3:$I$32,8,FALSE))-(VLOOKUP($A92,test!$A$3:$I$32,9,FALSE))+test!$B$34,0)</f>
        <v>0</v>
      </c>
      <c r="Z92">
        <f>IF(AND(SUM(VLOOKUP($A92,test!$A$3:$F$32,2,FALSE),VLOOKUP(Z$1,test!$A$3:$F$32,2,FALSE))&lt;test!$K$16,$A92&lt;&gt;Z$1,Recharged_Feasible_mat!AA61=1),(VLOOKUP(Z$1,test!$A$3:$I$32,8,FALSE))-(VLOOKUP($A92,test!$A$3:$I$32,9,FALSE))+test!$B$34,0)</f>
        <v>0</v>
      </c>
      <c r="AA92">
        <f>IF(AND(SUM(VLOOKUP($A92,test!$A$3:$F$32,2,FALSE),VLOOKUP(AA$1,test!$A$3:$F$32,2,FALSE))&lt;test!$K$16,$A92&lt;&gt;AA$1,Recharged_Feasible_mat!AB61=1),(VLOOKUP(AA$1,test!$A$3:$I$32,8,FALSE))-(VLOOKUP($A92,test!$A$3:$I$32,9,FALSE))+test!$B$34,0)</f>
        <v>0</v>
      </c>
      <c r="AB92">
        <f>IF(AND(SUM(VLOOKUP($A92,test!$A$3:$F$32,2,FALSE),VLOOKUP(AB$1,test!$A$3:$F$32,2,FALSE))&lt;test!$K$16,$A92&lt;&gt;AB$1,Recharged_Feasible_mat!AC61=1),(VLOOKUP(AB$1,test!$A$3:$I$32,8,FALSE))-(VLOOKUP($A92,test!$A$3:$I$32,9,FALSE))+test!$B$34,0)</f>
        <v>0</v>
      </c>
      <c r="AC92">
        <f>IF(AND(SUM(VLOOKUP($A92,test!$A$3:$F$32,2,FALSE),VLOOKUP(AC$1,test!$A$3:$F$32,2,FALSE))&lt;test!$K$16,$A92&lt;&gt;AC$1,Recharged_Feasible_mat!AD61=1),(VLOOKUP(AC$1,test!$A$3:$I$32,8,FALSE))-(VLOOKUP($A92,test!$A$3:$I$32,9,FALSE))+test!$B$34,0)</f>
        <v>0</v>
      </c>
      <c r="AD92">
        <f>IF(AND(SUM(VLOOKUP($A92,test!$A$3:$F$32,2,FALSE),VLOOKUP(AD$1,test!$A$3:$F$32,2,FALSE))&lt;test!$K$16,$A92&lt;&gt;AD$1,Recharged_Feasible_mat!AE61=1),(VLOOKUP(AD$1,test!$A$3:$I$32,8,FALSE))-(VLOOKUP($A92,test!$A$3:$I$32,9,FALSE))+test!$B$34,0)</f>
        <v>0</v>
      </c>
      <c r="AE92">
        <f>IF(AND(SUM(VLOOKUP($A92,test!$A$3:$F$32,2,FALSE),VLOOKUP(AE$1,test!$A$3:$F$32,2,FALSE))&lt;test!$K$16,$A92&lt;&gt;AE$1,Recharged_Feasible_mat!AF61=1),(VLOOKUP(AE$1,test!$A$3:$I$32,8,FALSE))-(VLOOKUP($A92,test!$A$3:$I$32,9,FALSE))+test!$B$34,0)</f>
        <v>0</v>
      </c>
      <c r="AF92">
        <f>IF(AND(SUM(VLOOKUP($A92,test!$A$3:$F$32,2,FALSE),VLOOKUP(AF$1,test!$A$3:$F$32,2,FALSE))&lt;test!$K$16,$A92&lt;&gt;AF$1,Recharged_Feasible_mat!AG61=1),(VLOOKUP(AF$1,test!$A$3:$I$32,8,FALSE))-(VLOOKUP($A92,test!$A$3:$I$32,9,FALSE))+test!$B$34,0)</f>
        <v>0</v>
      </c>
    </row>
    <row r="93" spans="1:32" x14ac:dyDescent="0.25">
      <c r="A93" t="s">
        <v>40</v>
      </c>
      <c r="B93">
        <v>0</v>
      </c>
      <c r="C93">
        <f>IF(AND(SUM(VLOOKUP($A93,test!$A$3:$F$32,2,FALSE),VLOOKUP(C$1,test!$A$3:$F$32,2,FALSE))&lt;test!$K$16,$A93&lt;&gt;C$1,Recharged_Feasible_mat!D62=1),(VLOOKUP(C$1,test!$A$3:$I$32,8,FALSE))-(VLOOKUP($A93,test!$A$3:$I$32,9,FALSE))+test!$B$34,0)</f>
        <v>0</v>
      </c>
      <c r="D93">
        <f>IF(AND(SUM(VLOOKUP($A93,test!$A$3:$F$32,2,FALSE),VLOOKUP(D$1,test!$A$3:$F$32,2,FALSE))&lt;test!$K$16,$A93&lt;&gt;D$1,Recharged_Feasible_mat!E62=1),(VLOOKUP(D$1,test!$A$3:$I$32,8,FALSE))-(VLOOKUP($A93,test!$A$3:$I$32,9,FALSE))+test!$B$34,0)</f>
        <v>0</v>
      </c>
      <c r="E93">
        <f>IF(AND(SUM(VLOOKUP($A93,test!$A$3:$F$32,2,FALSE),VLOOKUP(E$1,test!$A$3:$F$32,2,FALSE))&lt;test!$K$16,$A93&lt;&gt;E$1,Recharged_Feasible_mat!F62=1),(VLOOKUP(E$1,test!$A$3:$I$32,8,FALSE))-(VLOOKUP($A93,test!$A$3:$I$32,9,FALSE))+test!$B$34,0)</f>
        <v>0</v>
      </c>
      <c r="F93">
        <f>IF(AND(SUM(VLOOKUP($A93,test!$A$3:$F$32,2,FALSE),VLOOKUP(F$1,test!$A$3:$F$32,2,FALSE))&lt;test!$K$16,$A93&lt;&gt;F$1,Recharged_Feasible_mat!G62=1),(VLOOKUP(F$1,test!$A$3:$I$32,8,FALSE))-(VLOOKUP($A93,test!$A$3:$I$32,9,FALSE))+test!$B$34,0)</f>
        <v>0</v>
      </c>
      <c r="G93">
        <f>IF(AND(SUM(VLOOKUP($A93,test!$A$3:$F$32,2,FALSE),VLOOKUP(G$1,test!$A$3:$F$32,2,FALSE))&lt;test!$K$16,$A93&lt;&gt;G$1,Recharged_Feasible_mat!H62=1),(VLOOKUP(G$1,test!$A$3:$I$32,8,FALSE))-(VLOOKUP($A93,test!$A$3:$I$32,9,FALSE))+test!$B$34,0)</f>
        <v>0</v>
      </c>
      <c r="H93">
        <f>IF(AND(SUM(VLOOKUP($A93,test!$A$3:$F$32,2,FALSE),VLOOKUP(H$1,test!$A$3:$F$32,2,FALSE))&lt;test!$K$16,$A93&lt;&gt;H$1,Recharged_Feasible_mat!I62=1),(VLOOKUP(H$1,test!$A$3:$I$32,8,FALSE))-(VLOOKUP($A93,test!$A$3:$I$32,9,FALSE))+test!$B$34,0)</f>
        <v>0</v>
      </c>
      <c r="I93">
        <f>IF(AND(SUM(VLOOKUP($A93,test!$A$3:$F$32,2,FALSE),VLOOKUP(I$1,test!$A$3:$F$32,2,FALSE))&lt;test!$K$16,$A93&lt;&gt;I$1,Recharged_Feasible_mat!J62=1),(VLOOKUP(I$1,test!$A$3:$I$32,8,FALSE))-(VLOOKUP($A93,test!$A$3:$I$32,9,FALSE))+test!$B$34,0)</f>
        <v>0</v>
      </c>
      <c r="J93">
        <f>IF(AND(SUM(VLOOKUP($A93,test!$A$3:$F$32,2,FALSE),VLOOKUP(J$1,test!$A$3:$F$32,2,FALSE))&lt;test!$K$16,$A93&lt;&gt;J$1,Recharged_Feasible_mat!K62=1),(VLOOKUP(J$1,test!$A$3:$I$32,8,FALSE))-(VLOOKUP($A93,test!$A$3:$I$32,9,FALSE))+test!$B$34,0)</f>
        <v>170</v>
      </c>
      <c r="K93">
        <f>IF(AND(SUM(VLOOKUP($A93,test!$A$3:$F$32,2,FALSE),VLOOKUP(K$1,test!$A$3:$F$32,2,FALSE))&lt;test!$K$16,$A93&lt;&gt;K$1,Recharged_Feasible_mat!L62=1),(VLOOKUP(K$1,test!$A$3:$I$32,8,FALSE))-(VLOOKUP($A93,test!$A$3:$I$32,9,FALSE))+test!$B$34,0)</f>
        <v>0</v>
      </c>
      <c r="L93">
        <f>IF(AND(SUM(VLOOKUP($A93,test!$A$3:$F$32,2,FALSE),VLOOKUP(L$1,test!$A$3:$F$32,2,FALSE))&lt;test!$K$16,$A93&lt;&gt;L$1,Recharged_Feasible_mat!M62=1),(VLOOKUP(L$1,test!$A$3:$I$32,8,FALSE))-(VLOOKUP($A93,test!$A$3:$I$32,9,FALSE))+test!$B$34,0)</f>
        <v>0</v>
      </c>
      <c r="M93">
        <f>IF(AND(SUM(VLOOKUP($A93,test!$A$3:$F$32,2,FALSE),VLOOKUP(M$1,test!$A$3:$F$32,2,FALSE))&lt;test!$K$16,$A93&lt;&gt;M$1,Recharged_Feasible_mat!N62=1),(VLOOKUP(M$1,test!$A$3:$I$32,8,FALSE))-(VLOOKUP($A93,test!$A$3:$I$32,9,FALSE))+test!$B$34,0)</f>
        <v>0</v>
      </c>
      <c r="N93">
        <f>IF(AND(SUM(VLOOKUP($A93,test!$A$3:$F$32,2,FALSE),VLOOKUP(N$1,test!$A$3:$F$32,2,FALSE))&lt;test!$K$16,$A93&lt;&gt;N$1,Recharged_Feasible_mat!O62=1),(VLOOKUP(N$1,test!$A$3:$I$32,8,FALSE))-(VLOOKUP($A93,test!$A$3:$I$32,9,FALSE))+test!$B$34,0)</f>
        <v>0</v>
      </c>
      <c r="O93">
        <f>IF(AND(SUM(VLOOKUP($A93,test!$A$3:$F$32,2,FALSE),VLOOKUP(O$1,test!$A$3:$F$32,2,FALSE))&lt;test!$K$16,$A93&lt;&gt;O$1,Recharged_Feasible_mat!P62=1),(VLOOKUP(O$1,test!$A$3:$I$32,8,FALSE))-(VLOOKUP($A93,test!$A$3:$I$32,9,FALSE))+test!$B$34,0)</f>
        <v>0</v>
      </c>
      <c r="P93">
        <f>IF(AND(SUM(VLOOKUP($A93,test!$A$3:$F$32,2,FALSE),VLOOKUP(P$1,test!$A$3:$F$32,2,FALSE))&lt;test!$K$16,$A93&lt;&gt;P$1,Recharged_Feasible_mat!Q62=1),(VLOOKUP(P$1,test!$A$3:$I$32,8,FALSE))-(VLOOKUP($A93,test!$A$3:$I$32,9,FALSE))+test!$B$34,0)</f>
        <v>0</v>
      </c>
      <c r="Q93">
        <f>IF(AND(SUM(VLOOKUP($A93,test!$A$3:$F$32,2,FALSE),VLOOKUP(Q$1,test!$A$3:$F$32,2,FALSE))&lt;test!$K$16,$A93&lt;&gt;Q$1,Recharged_Feasible_mat!R62=1),(VLOOKUP(Q$1,test!$A$3:$I$32,8,FALSE))-(VLOOKUP($A93,test!$A$3:$I$32,9,FALSE))+test!$B$34,0)</f>
        <v>0</v>
      </c>
      <c r="R93">
        <f>IF(AND(SUM(VLOOKUP($A93,test!$A$3:$F$32,2,FALSE),VLOOKUP(R$1,test!$A$3:$F$32,2,FALSE))&lt;test!$K$16,$A93&lt;&gt;R$1,Recharged_Feasible_mat!S62=1),(VLOOKUP(R$1,test!$A$3:$I$32,8,FALSE))-(VLOOKUP($A93,test!$A$3:$I$32,9,FALSE))+test!$B$34,0)</f>
        <v>0</v>
      </c>
      <c r="S93">
        <f>IF(AND(SUM(VLOOKUP($A93,test!$A$3:$F$32,2,FALSE),VLOOKUP(S$1,test!$A$3:$F$32,2,FALSE))&lt;test!$K$16,$A93&lt;&gt;S$1,Recharged_Feasible_mat!T62=1),(VLOOKUP(S$1,test!$A$3:$I$32,8,FALSE))-(VLOOKUP($A93,test!$A$3:$I$32,9,FALSE))+test!$B$34,0)</f>
        <v>0</v>
      </c>
      <c r="T93">
        <f>IF(AND(SUM(VLOOKUP($A93,test!$A$3:$F$32,2,FALSE),VLOOKUP(T$1,test!$A$3:$F$32,2,FALSE))&lt;test!$K$16,$A93&lt;&gt;T$1,Recharged_Feasible_mat!U62=1),(VLOOKUP(T$1,test!$A$3:$I$32,8,FALSE))-(VLOOKUP($A93,test!$A$3:$I$32,9,FALSE))+test!$B$34,0)</f>
        <v>0</v>
      </c>
      <c r="U93">
        <f>IF(AND(SUM(VLOOKUP($A93,test!$A$3:$F$32,2,FALSE),VLOOKUP(U$1,test!$A$3:$F$32,2,FALSE))&lt;test!$K$16,$A93&lt;&gt;U$1,Recharged_Feasible_mat!V62=1),(VLOOKUP(U$1,test!$A$3:$I$32,8,FALSE))-(VLOOKUP($A93,test!$A$3:$I$32,9,FALSE))+test!$B$34,0)</f>
        <v>0</v>
      </c>
      <c r="V93">
        <f>IF(AND(SUM(VLOOKUP($A93,test!$A$3:$F$32,2,FALSE),VLOOKUP(V$1,test!$A$3:$F$32,2,FALSE))&lt;test!$K$16,$A93&lt;&gt;V$1,Recharged_Feasible_mat!W62=1),(VLOOKUP(V$1,test!$A$3:$I$32,8,FALSE))-(VLOOKUP($A93,test!$A$3:$I$32,9,FALSE))+test!$B$34,0)</f>
        <v>0</v>
      </c>
      <c r="W93">
        <f>IF(AND(SUM(VLOOKUP($A93,test!$A$3:$F$32,2,FALSE),VLOOKUP(W$1,test!$A$3:$F$32,2,FALSE))&lt;test!$K$16,$A93&lt;&gt;W$1,Recharged_Feasible_mat!X62=1),(VLOOKUP(W$1,test!$A$3:$I$32,8,FALSE))-(VLOOKUP($A93,test!$A$3:$I$32,9,FALSE))+test!$B$34,0)</f>
        <v>0</v>
      </c>
      <c r="X93">
        <f>IF(AND(SUM(VLOOKUP($A93,test!$A$3:$F$32,2,FALSE),VLOOKUP(X$1,test!$A$3:$F$32,2,FALSE))&lt;test!$K$16,$A93&lt;&gt;X$1,Recharged_Feasible_mat!Y62=1),(VLOOKUP(X$1,test!$A$3:$I$32,8,FALSE))-(VLOOKUP($A93,test!$A$3:$I$32,9,FALSE))+test!$B$34,0)</f>
        <v>120</v>
      </c>
      <c r="Y93">
        <f>IF(AND(SUM(VLOOKUP($A93,test!$A$3:$F$32,2,FALSE),VLOOKUP(Y$1,test!$A$3:$F$32,2,FALSE))&lt;test!$K$16,$A93&lt;&gt;Y$1,Recharged_Feasible_mat!Z62=1),(VLOOKUP(Y$1,test!$A$3:$I$32,8,FALSE))-(VLOOKUP($A93,test!$A$3:$I$32,9,FALSE))+test!$B$34,0)</f>
        <v>0</v>
      </c>
      <c r="Z93">
        <f>IF(AND(SUM(VLOOKUP($A93,test!$A$3:$F$32,2,FALSE),VLOOKUP(Z$1,test!$A$3:$F$32,2,FALSE))&lt;test!$K$16,$A93&lt;&gt;Z$1,Recharged_Feasible_mat!AA62=1),(VLOOKUP(Z$1,test!$A$3:$I$32,8,FALSE))-(VLOOKUP($A93,test!$A$3:$I$32,9,FALSE))+test!$B$34,0)</f>
        <v>0</v>
      </c>
      <c r="AA93">
        <f>IF(AND(SUM(VLOOKUP($A93,test!$A$3:$F$32,2,FALSE),VLOOKUP(AA$1,test!$A$3:$F$32,2,FALSE))&lt;test!$K$16,$A93&lt;&gt;AA$1,Recharged_Feasible_mat!AB62=1),(VLOOKUP(AA$1,test!$A$3:$I$32,8,FALSE))-(VLOOKUP($A93,test!$A$3:$I$32,9,FALSE))+test!$B$34,0)</f>
        <v>0</v>
      </c>
      <c r="AB93">
        <f>IF(AND(SUM(VLOOKUP($A93,test!$A$3:$F$32,2,FALSE),VLOOKUP(AB$1,test!$A$3:$F$32,2,FALSE))&lt;test!$K$16,$A93&lt;&gt;AB$1,Recharged_Feasible_mat!AC62=1),(VLOOKUP(AB$1,test!$A$3:$I$32,8,FALSE))-(VLOOKUP($A93,test!$A$3:$I$32,9,FALSE))+test!$B$34,0)</f>
        <v>0</v>
      </c>
      <c r="AC93">
        <f>IF(AND(SUM(VLOOKUP($A93,test!$A$3:$F$32,2,FALSE),VLOOKUP(AC$1,test!$A$3:$F$32,2,FALSE))&lt;test!$K$16,$A93&lt;&gt;AC$1,Recharged_Feasible_mat!AD62=1),(VLOOKUP(AC$1,test!$A$3:$I$32,8,FALSE))-(VLOOKUP($A93,test!$A$3:$I$32,9,FALSE))+test!$B$34,0)</f>
        <v>0</v>
      </c>
      <c r="AD93">
        <f>IF(AND(SUM(VLOOKUP($A93,test!$A$3:$F$32,2,FALSE),VLOOKUP(AD$1,test!$A$3:$F$32,2,FALSE))&lt;test!$K$16,$A93&lt;&gt;AD$1,Recharged_Feasible_mat!AE62=1),(VLOOKUP(AD$1,test!$A$3:$I$32,8,FALSE))-(VLOOKUP($A93,test!$A$3:$I$32,9,FALSE))+test!$B$34,0)</f>
        <v>0</v>
      </c>
      <c r="AE93">
        <f>IF(AND(SUM(VLOOKUP($A93,test!$A$3:$F$32,2,FALSE),VLOOKUP(AE$1,test!$A$3:$F$32,2,FALSE))&lt;test!$K$16,$A93&lt;&gt;AE$1,Recharged_Feasible_mat!AF62=1),(VLOOKUP(AE$1,test!$A$3:$I$32,8,FALSE))-(VLOOKUP($A93,test!$A$3:$I$32,9,FALSE))+test!$B$34,0)</f>
        <v>0</v>
      </c>
      <c r="AF93">
        <f>IF(AND(SUM(VLOOKUP($A93,test!$A$3:$F$32,2,FALSE),VLOOKUP(AF$1,test!$A$3:$F$32,2,FALSE))&lt;test!$K$16,$A93&lt;&gt;AF$1,Recharged_Feasible_mat!AG62=1),(VLOOKUP(AF$1,test!$A$3:$I$32,8,FALSE))-(VLOOKUP($A93,test!$A$3:$I$32,9,FALSE))+test!$B$34,0)</f>
        <v>0</v>
      </c>
    </row>
    <row r="94" spans="1:32" x14ac:dyDescent="0.25">
      <c r="A94" t="s">
        <v>41</v>
      </c>
      <c r="B94">
        <v>0</v>
      </c>
      <c r="C94">
        <f>IF(AND(SUM(VLOOKUP($A94,test!$A$3:$F$32,2,FALSE),VLOOKUP(C$1,test!$A$3:$F$32,2,FALSE))&lt;test!$K$16,$A94&lt;&gt;C$1,Recharged_Feasible_mat!D63=1),(VLOOKUP(C$1,test!$A$3:$I$32,8,FALSE))-(VLOOKUP($A94,test!$A$3:$I$32,9,FALSE))+test!$B$34,0)</f>
        <v>0</v>
      </c>
      <c r="D94">
        <f>IF(AND(SUM(VLOOKUP($A94,test!$A$3:$F$32,2,FALSE),VLOOKUP(D$1,test!$A$3:$F$32,2,FALSE))&lt;test!$K$16,$A94&lt;&gt;D$1,Recharged_Feasible_mat!E63=1),(VLOOKUP(D$1,test!$A$3:$I$32,8,FALSE))-(VLOOKUP($A94,test!$A$3:$I$32,9,FALSE))+test!$B$34,0)</f>
        <v>0</v>
      </c>
      <c r="E94">
        <f>IF(AND(SUM(VLOOKUP($A94,test!$A$3:$F$32,2,FALSE),VLOOKUP(E$1,test!$A$3:$F$32,2,FALSE))&lt;test!$K$16,$A94&lt;&gt;E$1,Recharged_Feasible_mat!F63=1),(VLOOKUP(E$1,test!$A$3:$I$32,8,FALSE))-(VLOOKUP($A94,test!$A$3:$I$32,9,FALSE))+test!$B$34,0)</f>
        <v>0</v>
      </c>
      <c r="F94">
        <f>IF(AND(SUM(VLOOKUP($A94,test!$A$3:$F$32,2,FALSE),VLOOKUP(F$1,test!$A$3:$F$32,2,FALSE))&lt;test!$K$16,$A94&lt;&gt;F$1,Recharged_Feasible_mat!G63=1),(VLOOKUP(F$1,test!$A$3:$I$32,8,FALSE))-(VLOOKUP($A94,test!$A$3:$I$32,9,FALSE))+test!$B$34,0)</f>
        <v>0</v>
      </c>
      <c r="G94">
        <f>IF(AND(SUM(VLOOKUP($A94,test!$A$3:$F$32,2,FALSE),VLOOKUP(G$1,test!$A$3:$F$32,2,FALSE))&lt;test!$K$16,$A94&lt;&gt;G$1,Recharged_Feasible_mat!H63=1),(VLOOKUP(G$1,test!$A$3:$I$32,8,FALSE))-(VLOOKUP($A94,test!$A$3:$I$32,9,FALSE))+test!$B$34,0)</f>
        <v>0</v>
      </c>
      <c r="H94">
        <f>IF(AND(SUM(VLOOKUP($A94,test!$A$3:$F$32,2,FALSE),VLOOKUP(H$1,test!$A$3:$F$32,2,FALSE))&lt;test!$K$16,$A94&lt;&gt;H$1,Recharged_Feasible_mat!I63=1),(VLOOKUP(H$1,test!$A$3:$I$32,8,FALSE))-(VLOOKUP($A94,test!$A$3:$I$32,9,FALSE))+test!$B$34,0)</f>
        <v>0</v>
      </c>
      <c r="I94">
        <f>IF(AND(SUM(VLOOKUP($A94,test!$A$3:$F$32,2,FALSE),VLOOKUP(I$1,test!$A$3:$F$32,2,FALSE))&lt;test!$K$16,$A94&lt;&gt;I$1,Recharged_Feasible_mat!J63=1),(VLOOKUP(I$1,test!$A$3:$I$32,8,FALSE))-(VLOOKUP($A94,test!$A$3:$I$32,9,FALSE))+test!$B$34,0)</f>
        <v>0</v>
      </c>
      <c r="J94">
        <f>IF(AND(SUM(VLOOKUP($A94,test!$A$3:$F$32,2,FALSE),VLOOKUP(J$1,test!$A$3:$F$32,2,FALSE))&lt;test!$K$16,$A94&lt;&gt;J$1,Recharged_Feasible_mat!K63=1),(VLOOKUP(J$1,test!$A$3:$I$32,8,FALSE))-(VLOOKUP($A94,test!$A$3:$I$32,9,FALSE))+test!$B$34,0)</f>
        <v>0</v>
      </c>
      <c r="K94">
        <f>IF(AND(SUM(VLOOKUP($A94,test!$A$3:$F$32,2,FALSE),VLOOKUP(K$1,test!$A$3:$F$32,2,FALSE))&lt;test!$K$16,$A94&lt;&gt;K$1,Recharged_Feasible_mat!L63=1),(VLOOKUP(K$1,test!$A$3:$I$32,8,FALSE))-(VLOOKUP($A94,test!$A$3:$I$32,9,FALSE))+test!$B$34,0)</f>
        <v>0</v>
      </c>
      <c r="L94">
        <f>IF(AND(SUM(VLOOKUP($A94,test!$A$3:$F$32,2,FALSE),VLOOKUP(L$1,test!$A$3:$F$32,2,FALSE))&lt;test!$K$16,$A94&lt;&gt;L$1,Recharged_Feasible_mat!M63=1),(VLOOKUP(L$1,test!$A$3:$I$32,8,FALSE))-(VLOOKUP($A94,test!$A$3:$I$32,9,FALSE))+test!$B$34,0)</f>
        <v>0</v>
      </c>
      <c r="M94">
        <f>IF(AND(SUM(VLOOKUP($A94,test!$A$3:$F$32,2,FALSE),VLOOKUP(M$1,test!$A$3:$F$32,2,FALSE))&lt;test!$K$16,$A94&lt;&gt;M$1,Recharged_Feasible_mat!N63=1),(VLOOKUP(M$1,test!$A$3:$I$32,8,FALSE))-(VLOOKUP($A94,test!$A$3:$I$32,9,FALSE))+test!$B$34,0)</f>
        <v>0</v>
      </c>
      <c r="N94">
        <f>IF(AND(SUM(VLOOKUP($A94,test!$A$3:$F$32,2,FALSE),VLOOKUP(N$1,test!$A$3:$F$32,2,FALSE))&lt;test!$K$16,$A94&lt;&gt;N$1,Recharged_Feasible_mat!O63=1),(VLOOKUP(N$1,test!$A$3:$I$32,8,FALSE))-(VLOOKUP($A94,test!$A$3:$I$32,9,FALSE))+test!$B$34,0)</f>
        <v>0</v>
      </c>
      <c r="O94">
        <f>IF(AND(SUM(VLOOKUP($A94,test!$A$3:$F$32,2,FALSE),VLOOKUP(O$1,test!$A$3:$F$32,2,FALSE))&lt;test!$K$16,$A94&lt;&gt;O$1,Recharged_Feasible_mat!P63=1),(VLOOKUP(O$1,test!$A$3:$I$32,8,FALSE))-(VLOOKUP($A94,test!$A$3:$I$32,9,FALSE))+test!$B$34,0)</f>
        <v>0</v>
      </c>
      <c r="P94">
        <f>IF(AND(SUM(VLOOKUP($A94,test!$A$3:$F$32,2,FALSE),VLOOKUP(P$1,test!$A$3:$F$32,2,FALSE))&lt;test!$K$16,$A94&lt;&gt;P$1,Recharged_Feasible_mat!Q63=1),(VLOOKUP(P$1,test!$A$3:$I$32,8,FALSE))-(VLOOKUP($A94,test!$A$3:$I$32,9,FALSE))+test!$B$34,0)</f>
        <v>0</v>
      </c>
      <c r="Q94">
        <f>IF(AND(SUM(VLOOKUP($A94,test!$A$3:$F$32,2,FALSE),VLOOKUP(Q$1,test!$A$3:$F$32,2,FALSE))&lt;test!$K$16,$A94&lt;&gt;Q$1,Recharged_Feasible_mat!R63=1),(VLOOKUP(Q$1,test!$A$3:$I$32,8,FALSE))-(VLOOKUP($A94,test!$A$3:$I$32,9,FALSE))+test!$B$34,0)</f>
        <v>0</v>
      </c>
      <c r="R94">
        <f>IF(AND(SUM(VLOOKUP($A94,test!$A$3:$F$32,2,FALSE),VLOOKUP(R$1,test!$A$3:$F$32,2,FALSE))&lt;test!$K$16,$A94&lt;&gt;R$1,Recharged_Feasible_mat!S63=1),(VLOOKUP(R$1,test!$A$3:$I$32,8,FALSE))-(VLOOKUP($A94,test!$A$3:$I$32,9,FALSE))+test!$B$34,0)</f>
        <v>0</v>
      </c>
      <c r="S94">
        <f>IF(AND(SUM(VLOOKUP($A94,test!$A$3:$F$32,2,FALSE),VLOOKUP(S$1,test!$A$3:$F$32,2,FALSE))&lt;test!$K$16,$A94&lt;&gt;S$1,Recharged_Feasible_mat!T63=1),(VLOOKUP(S$1,test!$A$3:$I$32,8,FALSE))-(VLOOKUP($A94,test!$A$3:$I$32,9,FALSE))+test!$B$34,0)</f>
        <v>0</v>
      </c>
      <c r="T94">
        <f>IF(AND(SUM(VLOOKUP($A94,test!$A$3:$F$32,2,FALSE),VLOOKUP(T$1,test!$A$3:$F$32,2,FALSE))&lt;test!$K$16,$A94&lt;&gt;T$1,Recharged_Feasible_mat!U63=1),(VLOOKUP(T$1,test!$A$3:$I$32,8,FALSE))-(VLOOKUP($A94,test!$A$3:$I$32,9,FALSE))+test!$B$34,0)</f>
        <v>0</v>
      </c>
      <c r="U94">
        <f>IF(AND(SUM(VLOOKUP($A94,test!$A$3:$F$32,2,FALSE),VLOOKUP(U$1,test!$A$3:$F$32,2,FALSE))&lt;test!$K$16,$A94&lt;&gt;U$1,Recharged_Feasible_mat!V63=1),(VLOOKUP(U$1,test!$A$3:$I$32,8,FALSE))-(VLOOKUP($A94,test!$A$3:$I$32,9,FALSE))+test!$B$34,0)</f>
        <v>0</v>
      </c>
      <c r="V94">
        <f>IF(AND(SUM(VLOOKUP($A94,test!$A$3:$F$32,2,FALSE),VLOOKUP(V$1,test!$A$3:$F$32,2,FALSE))&lt;test!$K$16,$A94&lt;&gt;V$1,Recharged_Feasible_mat!W63=1),(VLOOKUP(V$1,test!$A$3:$I$32,8,FALSE))-(VLOOKUP($A94,test!$A$3:$I$32,9,FALSE))+test!$B$34,0)</f>
        <v>0</v>
      </c>
      <c r="W94">
        <f>IF(AND(SUM(VLOOKUP($A94,test!$A$3:$F$32,2,FALSE),VLOOKUP(W$1,test!$A$3:$F$32,2,FALSE))&lt;test!$K$16,$A94&lt;&gt;W$1,Recharged_Feasible_mat!X63=1),(VLOOKUP(W$1,test!$A$3:$I$32,8,FALSE))-(VLOOKUP($A94,test!$A$3:$I$32,9,FALSE))+test!$B$34,0)</f>
        <v>0</v>
      </c>
      <c r="X94">
        <f>IF(AND(SUM(VLOOKUP($A94,test!$A$3:$F$32,2,FALSE),VLOOKUP(X$1,test!$A$3:$F$32,2,FALSE))&lt;test!$K$16,$A94&lt;&gt;X$1,Recharged_Feasible_mat!Y63=1),(VLOOKUP(X$1,test!$A$3:$I$32,8,FALSE))-(VLOOKUP($A94,test!$A$3:$I$32,9,FALSE))+test!$B$34,0)</f>
        <v>0</v>
      </c>
      <c r="Y94">
        <f>IF(AND(SUM(VLOOKUP($A94,test!$A$3:$F$32,2,FALSE),VLOOKUP(Y$1,test!$A$3:$F$32,2,FALSE))&lt;test!$K$16,$A94&lt;&gt;Y$1,Recharged_Feasible_mat!Z63=1),(VLOOKUP(Y$1,test!$A$3:$I$32,8,FALSE))-(VLOOKUP($A94,test!$A$3:$I$32,9,FALSE))+test!$B$34,0)</f>
        <v>0</v>
      </c>
      <c r="Z94">
        <f>IF(AND(SUM(VLOOKUP($A94,test!$A$3:$F$32,2,FALSE),VLOOKUP(Z$1,test!$A$3:$F$32,2,FALSE))&lt;test!$K$16,$A94&lt;&gt;Z$1,Recharged_Feasible_mat!AA63=1),(VLOOKUP(Z$1,test!$A$3:$I$32,8,FALSE))-(VLOOKUP($A94,test!$A$3:$I$32,9,FALSE))+test!$B$34,0)</f>
        <v>0</v>
      </c>
      <c r="AA94">
        <f>IF(AND(SUM(VLOOKUP($A94,test!$A$3:$F$32,2,FALSE),VLOOKUP(AA$1,test!$A$3:$F$32,2,FALSE))&lt;test!$K$16,$A94&lt;&gt;AA$1,Recharged_Feasible_mat!AB63=1),(VLOOKUP(AA$1,test!$A$3:$I$32,8,FALSE))-(VLOOKUP($A94,test!$A$3:$I$32,9,FALSE))+test!$B$34,0)</f>
        <v>0</v>
      </c>
      <c r="AB94">
        <f>IF(AND(SUM(VLOOKUP($A94,test!$A$3:$F$32,2,FALSE),VLOOKUP(AB$1,test!$A$3:$F$32,2,FALSE))&lt;test!$K$16,$A94&lt;&gt;AB$1,Recharged_Feasible_mat!AC63=1),(VLOOKUP(AB$1,test!$A$3:$I$32,8,FALSE))-(VLOOKUP($A94,test!$A$3:$I$32,9,FALSE))+test!$B$34,0)</f>
        <v>0</v>
      </c>
      <c r="AC94">
        <f>IF(AND(SUM(VLOOKUP($A94,test!$A$3:$F$32,2,FALSE),VLOOKUP(AC$1,test!$A$3:$F$32,2,FALSE))&lt;test!$K$16,$A94&lt;&gt;AC$1,Recharged_Feasible_mat!AD63=1),(VLOOKUP(AC$1,test!$A$3:$I$32,8,FALSE))-(VLOOKUP($A94,test!$A$3:$I$32,9,FALSE))+test!$B$34,0)</f>
        <v>0</v>
      </c>
      <c r="AD94">
        <f>IF(AND(SUM(VLOOKUP($A94,test!$A$3:$F$32,2,FALSE),VLOOKUP(AD$1,test!$A$3:$F$32,2,FALSE))&lt;test!$K$16,$A94&lt;&gt;AD$1,Recharged_Feasible_mat!AE63=1),(VLOOKUP(AD$1,test!$A$3:$I$32,8,FALSE))-(VLOOKUP($A94,test!$A$3:$I$32,9,FALSE))+test!$B$34,0)</f>
        <v>0</v>
      </c>
      <c r="AE94">
        <f>IF(AND(SUM(VLOOKUP($A94,test!$A$3:$F$32,2,FALSE),VLOOKUP(AE$1,test!$A$3:$F$32,2,FALSE))&lt;test!$K$16,$A94&lt;&gt;AE$1,Recharged_Feasible_mat!AF63=1),(VLOOKUP(AE$1,test!$A$3:$I$32,8,FALSE))-(VLOOKUP($A94,test!$A$3:$I$32,9,FALSE))+test!$B$34,0)</f>
        <v>0</v>
      </c>
      <c r="AF94">
        <f>IF(AND(SUM(VLOOKUP($A94,test!$A$3:$F$32,2,FALSE),VLOOKUP(AF$1,test!$A$3:$F$32,2,FALSE))&lt;test!$K$16,$A94&lt;&gt;AF$1,Recharged_Feasible_mat!AG63=1),(VLOOKUP(AF$1,test!$A$3:$I$32,8,FALSE))-(VLOOKUP($A94,test!$A$3:$I$32,9,FALSE))+test!$B$34,0)</f>
        <v>0</v>
      </c>
    </row>
    <row r="95" spans="1:32" x14ac:dyDescent="0.25">
      <c r="A95" t="s">
        <v>46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6</v>
      </c>
      <c r="B96">
        <v>0</v>
      </c>
      <c r="C96">
        <f>IF(AND(SUM(VLOOKUP($A96,test!$A$3:$F$32,2,FALSE),VLOOKUP(C$1,test!$A$3:$F$32,2,FALSE))&lt;test!$K$16,$A96&lt;&gt;C$1,Recharged_Feasible_mat!D65=1),(VLOOKUP(C$1,test!$A$3:$I$32,8,FALSE))-(VLOOKUP($A96,test!$A$3:$I$32,9,FALSE))+test!$B$35,0)</f>
        <v>0</v>
      </c>
      <c r="D96">
        <f>IF(AND(SUM(VLOOKUP($A96,test!$A$3:$F$32,2,FALSE),VLOOKUP(D$1,test!$A$3:$F$32,2,FALSE))&lt;test!$K$16,$A96&lt;&gt;D$1,Recharged_Feasible_mat!E65=1),(VLOOKUP(D$1,test!$A$3:$I$32,8,FALSE))-(VLOOKUP($A96,test!$A$3:$I$32,9,FALSE))+test!$B$35,0)</f>
        <v>0</v>
      </c>
      <c r="E96">
        <f>IF(AND(SUM(VLOOKUP($A96,test!$A$3:$F$32,2,FALSE),VLOOKUP(E$1,test!$A$3:$F$32,2,FALSE))&lt;test!$K$16,$A96&lt;&gt;E$1,Recharged_Feasible_mat!F65=1),(VLOOKUP(E$1,test!$A$3:$I$32,8,FALSE))-(VLOOKUP($A96,test!$A$3:$I$32,9,FALSE))+test!$B$35,0)</f>
        <v>185</v>
      </c>
      <c r="F96">
        <f>IF(AND(SUM(VLOOKUP($A96,test!$A$3:$F$32,2,FALSE),VLOOKUP(F$1,test!$A$3:$F$32,2,FALSE))&lt;test!$K$16,$A96&lt;&gt;F$1,Recharged_Feasible_mat!G65=1),(VLOOKUP(F$1,test!$A$3:$I$32,8,FALSE))-(VLOOKUP($A96,test!$A$3:$I$32,9,FALSE))+test!$B$35,0)</f>
        <v>275</v>
      </c>
      <c r="G96">
        <f>IF(AND(SUM(VLOOKUP($A96,test!$A$3:$F$32,2,FALSE),VLOOKUP(G$1,test!$A$3:$F$32,2,FALSE))&lt;test!$K$16,$A96&lt;&gt;G$1,Recharged_Feasible_mat!H65=1),(VLOOKUP(G$1,test!$A$3:$I$32,8,FALSE))-(VLOOKUP($A96,test!$A$3:$I$32,9,FALSE))+test!$B$35,0)</f>
        <v>335</v>
      </c>
      <c r="H96">
        <f>IF(AND(SUM(VLOOKUP($A96,test!$A$3:$F$32,2,FALSE),VLOOKUP(H$1,test!$A$3:$F$32,2,FALSE))&lt;test!$K$16,$A96&lt;&gt;H$1,Recharged_Feasible_mat!I65=1),(VLOOKUP(H$1,test!$A$3:$I$32,8,FALSE))-(VLOOKUP($A96,test!$A$3:$I$32,9,FALSE))+test!$B$35,0)</f>
        <v>395</v>
      </c>
      <c r="I96">
        <f>IF(AND(SUM(VLOOKUP($A96,test!$A$3:$F$32,2,FALSE),VLOOKUP(I$1,test!$A$3:$F$32,2,FALSE))&lt;test!$K$16,$A96&lt;&gt;I$1,Recharged_Feasible_mat!J65=1),(VLOOKUP(I$1,test!$A$3:$I$32,8,FALSE))-(VLOOKUP($A96,test!$A$3:$I$32,9,FALSE))+test!$B$35,0)</f>
        <v>455</v>
      </c>
      <c r="J96">
        <f>IF(AND(SUM(VLOOKUP($A96,test!$A$3:$F$32,2,FALSE),VLOOKUP(J$1,test!$A$3:$F$32,2,FALSE))&lt;test!$K$16,$A96&lt;&gt;J$1,Recharged_Feasible_mat!K65=1),(VLOOKUP(J$1,test!$A$3:$I$32,8,FALSE))-(VLOOKUP($A96,test!$A$3:$I$32,9,FALSE))+test!$B$35,0)</f>
        <v>545</v>
      </c>
      <c r="K96">
        <f>IF(AND(SUM(VLOOKUP($A96,test!$A$3:$F$32,2,FALSE),VLOOKUP(K$1,test!$A$3:$F$32,2,FALSE))&lt;test!$K$16,$A96&lt;&gt;K$1,Recharged_Feasible_mat!L65=1),(VLOOKUP(K$1,test!$A$3:$I$32,8,FALSE))-(VLOOKUP($A96,test!$A$3:$I$32,9,FALSE))+test!$B$35,0)</f>
        <v>0</v>
      </c>
      <c r="L96">
        <f>IF(AND(SUM(VLOOKUP($A96,test!$A$3:$F$32,2,FALSE),VLOOKUP(L$1,test!$A$3:$F$32,2,FALSE))&lt;test!$K$16,$A96&lt;&gt;L$1,Recharged_Feasible_mat!M65=1),(VLOOKUP(L$1,test!$A$3:$I$32,8,FALSE))-(VLOOKUP($A96,test!$A$3:$I$32,9,FALSE))+test!$B$35,0)</f>
        <v>0</v>
      </c>
      <c r="M96">
        <f>IF(AND(SUM(VLOOKUP($A96,test!$A$3:$F$32,2,FALSE),VLOOKUP(M$1,test!$A$3:$F$32,2,FALSE))&lt;test!$K$16,$A96&lt;&gt;M$1,Recharged_Feasible_mat!N65=1),(VLOOKUP(M$1,test!$A$3:$I$32,8,FALSE))-(VLOOKUP($A96,test!$A$3:$I$32,9,FALSE))+test!$B$35,0)</f>
        <v>150</v>
      </c>
      <c r="N96">
        <f>IF(AND(SUM(VLOOKUP($A96,test!$A$3:$F$32,2,FALSE),VLOOKUP(N$1,test!$A$3:$F$32,2,FALSE))&lt;test!$K$16,$A96&lt;&gt;N$1,Recharged_Feasible_mat!O65=1),(VLOOKUP(N$1,test!$A$3:$I$32,8,FALSE))-(VLOOKUP($A96,test!$A$3:$I$32,9,FALSE))+test!$B$35,0)</f>
        <v>510</v>
      </c>
      <c r="O96">
        <f>IF(AND(SUM(VLOOKUP($A96,test!$A$3:$F$32,2,FALSE),VLOOKUP(O$1,test!$A$3:$F$32,2,FALSE))&lt;test!$K$16,$A96&lt;&gt;O$1,Recharged_Feasible_mat!P65=1),(VLOOKUP(O$1,test!$A$3:$I$32,8,FALSE))-(VLOOKUP($A96,test!$A$3:$I$32,9,FALSE))+test!$B$35,0)</f>
        <v>570</v>
      </c>
      <c r="P96">
        <f>IF(AND(SUM(VLOOKUP($A96,test!$A$3:$F$32,2,FALSE),VLOOKUP(P$1,test!$A$3:$F$32,2,FALSE))&lt;test!$K$16,$A96&lt;&gt;P$1,Recharged_Feasible_mat!Q65=1),(VLOOKUP(P$1,test!$A$3:$I$32,8,FALSE))-(VLOOKUP($A96,test!$A$3:$I$32,9,FALSE))+test!$B$35,0)</f>
        <v>0</v>
      </c>
      <c r="Q96">
        <f>IF(AND(SUM(VLOOKUP($A96,test!$A$3:$F$32,2,FALSE),VLOOKUP(Q$1,test!$A$3:$F$32,2,FALSE))&lt;test!$K$16,$A96&lt;&gt;Q$1,Recharged_Feasible_mat!R65=1),(VLOOKUP(Q$1,test!$A$3:$I$32,8,FALSE))-(VLOOKUP($A96,test!$A$3:$I$32,9,FALSE))+test!$B$35,0)</f>
        <v>0</v>
      </c>
      <c r="R96">
        <f>IF(AND(SUM(VLOOKUP($A96,test!$A$3:$F$32,2,FALSE),VLOOKUP(R$1,test!$A$3:$F$32,2,FALSE))&lt;test!$K$16,$A96&lt;&gt;R$1,Recharged_Feasible_mat!S65=1),(VLOOKUP(R$1,test!$A$3:$I$32,8,FALSE))-(VLOOKUP($A96,test!$A$3:$I$32,9,FALSE))+test!$B$35,0)</f>
        <v>0</v>
      </c>
      <c r="S96">
        <f>IF(AND(SUM(VLOOKUP($A96,test!$A$3:$F$32,2,FALSE),VLOOKUP(S$1,test!$A$3:$F$32,2,FALSE))&lt;test!$K$16,$A96&lt;&gt;S$1,Recharged_Feasible_mat!T65=1),(VLOOKUP(S$1,test!$A$3:$I$32,8,FALSE))-(VLOOKUP($A96,test!$A$3:$I$32,9,FALSE))+test!$B$35,0)</f>
        <v>0</v>
      </c>
      <c r="T96">
        <f>IF(AND(SUM(VLOOKUP($A96,test!$A$3:$F$32,2,FALSE),VLOOKUP(T$1,test!$A$3:$F$32,2,FALSE))&lt;test!$K$16,$A96&lt;&gt;T$1,Recharged_Feasible_mat!U65=1),(VLOOKUP(T$1,test!$A$3:$I$32,8,FALSE))-(VLOOKUP($A96,test!$A$3:$I$32,9,FALSE))+test!$B$35,0)</f>
        <v>165</v>
      </c>
      <c r="U96">
        <f>IF(AND(SUM(VLOOKUP($A96,test!$A$3:$F$32,2,FALSE),VLOOKUP(U$1,test!$A$3:$F$32,2,FALSE))&lt;test!$K$16,$A96&lt;&gt;U$1,Recharged_Feasible_mat!V65=1),(VLOOKUP(U$1,test!$A$3:$I$32,8,FALSE))-(VLOOKUP($A96,test!$A$3:$I$32,9,FALSE))+test!$B$35,0)</f>
        <v>255</v>
      </c>
      <c r="V96">
        <f>IF(AND(SUM(VLOOKUP($A96,test!$A$3:$F$32,2,FALSE),VLOOKUP(V$1,test!$A$3:$F$32,2,FALSE))&lt;test!$K$16,$A96&lt;&gt;V$1,Recharged_Feasible_mat!W65=1),(VLOOKUP(V$1,test!$A$3:$I$32,8,FALSE))-(VLOOKUP($A96,test!$A$3:$I$32,9,FALSE))+test!$B$35,0)</f>
        <v>345</v>
      </c>
      <c r="W96">
        <f>IF(AND(SUM(VLOOKUP($A96,test!$A$3:$F$32,2,FALSE),VLOOKUP(W$1,test!$A$3:$F$32,2,FALSE))&lt;test!$K$16,$A96&lt;&gt;W$1,Recharged_Feasible_mat!X65=1),(VLOOKUP(W$1,test!$A$3:$I$32,8,FALSE))-(VLOOKUP($A96,test!$A$3:$I$32,9,FALSE))+test!$B$35,0)</f>
        <v>435</v>
      </c>
      <c r="X96">
        <f>IF(AND(SUM(VLOOKUP($A96,test!$A$3:$F$32,2,FALSE),VLOOKUP(X$1,test!$A$3:$F$32,2,FALSE))&lt;test!$K$16,$A96&lt;&gt;X$1,Recharged_Feasible_mat!Y65=1),(VLOOKUP(X$1,test!$A$3:$I$32,8,FALSE))-(VLOOKUP($A96,test!$A$3:$I$32,9,FALSE))+test!$B$35,0)</f>
        <v>495</v>
      </c>
      <c r="Y96">
        <f>IF(AND(SUM(VLOOKUP($A96,test!$A$3:$F$32,2,FALSE),VLOOKUP(Y$1,test!$A$3:$F$32,2,FALSE))&lt;test!$K$16,$A96&lt;&gt;Y$1,Recharged_Feasible_mat!Z65=1),(VLOOKUP(Y$1,test!$A$3:$I$32,8,FALSE))-(VLOOKUP($A96,test!$A$3:$I$32,9,FALSE))+test!$B$35,0)</f>
        <v>0</v>
      </c>
      <c r="Z96">
        <f>IF(AND(SUM(VLOOKUP($A96,test!$A$3:$F$32,2,FALSE),VLOOKUP(Z$1,test!$A$3:$F$32,2,FALSE))&lt;test!$K$16,$A96&lt;&gt;Z$1,Recharged_Feasible_mat!AA65=1),(VLOOKUP(Z$1,test!$A$3:$I$32,8,FALSE))-(VLOOKUP($A96,test!$A$3:$I$32,9,FALSE))+test!$B$35,0)</f>
        <v>0</v>
      </c>
      <c r="AA96">
        <f>IF(AND(SUM(VLOOKUP($A96,test!$A$3:$F$32,2,FALSE),VLOOKUP(AA$1,test!$A$3:$F$32,2,FALSE))&lt;test!$K$16,$A96&lt;&gt;AA$1,Recharged_Feasible_mat!AB65=1),(VLOOKUP(AA$1,test!$A$3:$I$32,8,FALSE))-(VLOOKUP($A96,test!$A$3:$I$32,9,FALSE))+test!$B$35,0)</f>
        <v>215</v>
      </c>
      <c r="AB96">
        <f>IF(AND(SUM(VLOOKUP($A96,test!$A$3:$F$32,2,FALSE),VLOOKUP(AB$1,test!$A$3:$F$32,2,FALSE))&lt;test!$K$16,$A96&lt;&gt;AB$1,Recharged_Feasible_mat!AC65=1),(VLOOKUP(AB$1,test!$A$3:$I$32,8,FALSE))-(VLOOKUP($A96,test!$A$3:$I$32,9,FALSE))+test!$B$35,0)</f>
        <v>275</v>
      </c>
      <c r="AC96">
        <f>IF(AND(SUM(VLOOKUP($A96,test!$A$3:$F$32,2,FALSE),VLOOKUP(AC$1,test!$A$3:$F$32,2,FALSE))&lt;test!$K$16,$A96&lt;&gt;AC$1,Recharged_Feasible_mat!AD65=1),(VLOOKUP(AC$1,test!$A$3:$I$32,8,FALSE))-(VLOOKUP($A96,test!$A$3:$I$32,9,FALSE))+test!$B$35,0)</f>
        <v>395</v>
      </c>
      <c r="AD96">
        <f>IF(AND(SUM(VLOOKUP($A96,test!$A$3:$F$32,2,FALSE),VLOOKUP(AD$1,test!$A$3:$F$32,2,FALSE))&lt;test!$K$16,$A96&lt;&gt;AD$1,Recharged_Feasible_mat!AE65=1),(VLOOKUP(AD$1,test!$A$3:$I$32,8,FALSE))-(VLOOKUP($A96,test!$A$3:$I$32,9,FALSE))+test!$B$35,0)</f>
        <v>0</v>
      </c>
      <c r="AE96">
        <f>IF(AND(SUM(VLOOKUP($A96,test!$A$3:$F$32,2,FALSE),VLOOKUP(AE$1,test!$A$3:$F$32,2,FALSE))&lt;test!$K$16,$A96&lt;&gt;AE$1,Recharged_Feasible_mat!AF65=1),(VLOOKUP(AE$1,test!$A$3:$I$32,8,FALSE))-(VLOOKUP($A96,test!$A$3:$I$32,9,FALSE))+test!$B$35,0)</f>
        <v>215</v>
      </c>
      <c r="AF96">
        <f>IF(AND(SUM(VLOOKUP($A96,test!$A$3:$F$32,2,FALSE),VLOOKUP(AF$1,test!$A$3:$F$32,2,FALSE))&lt;test!$K$16,$A96&lt;&gt;AF$1,Recharged_Feasible_mat!AG65=1),(VLOOKUP(AF$1,test!$A$3:$I$32,8,FALSE))-(VLOOKUP($A96,test!$A$3:$I$32,9,FALSE))+test!$B$35,0)</f>
        <v>0</v>
      </c>
    </row>
    <row r="97" spans="1:32" x14ac:dyDescent="0.25">
      <c r="A97" t="s">
        <v>9</v>
      </c>
      <c r="B97">
        <v>0</v>
      </c>
      <c r="C97">
        <f>IF(AND(SUM(VLOOKUP($A97,test!$A$3:$F$32,2,FALSE),VLOOKUP(C$1,test!$A$3:$F$32,2,FALSE))&lt;test!$K$16,$A97&lt;&gt;C$1,Recharged_Feasible_mat!D66=1),(VLOOKUP(C$1,test!$A$3:$I$32,8,FALSE))-(VLOOKUP($A97,test!$A$3:$I$32,9,FALSE))+test!$B$35,0)</f>
        <v>0</v>
      </c>
      <c r="D97">
        <f>IF(AND(SUM(VLOOKUP($A97,test!$A$3:$F$32,2,FALSE),VLOOKUP(D$1,test!$A$3:$F$32,2,FALSE))&lt;test!$K$16,$A97&lt;&gt;D$1,Recharged_Feasible_mat!E66=1),(VLOOKUP(D$1,test!$A$3:$I$32,8,FALSE))-(VLOOKUP($A97,test!$A$3:$I$32,9,FALSE))+test!$B$35,0)</f>
        <v>0</v>
      </c>
      <c r="E97">
        <f>IF(AND(SUM(VLOOKUP($A97,test!$A$3:$F$32,2,FALSE),VLOOKUP(E$1,test!$A$3:$F$32,2,FALSE))&lt;test!$K$16,$A97&lt;&gt;E$1,Recharged_Feasible_mat!F66=1),(VLOOKUP(E$1,test!$A$3:$I$32,8,FALSE))-(VLOOKUP($A97,test!$A$3:$I$32,9,FALSE))+test!$B$35,0)</f>
        <v>0</v>
      </c>
      <c r="F97">
        <f>IF(AND(SUM(VLOOKUP($A97,test!$A$3:$F$32,2,FALSE),VLOOKUP(F$1,test!$A$3:$F$32,2,FALSE))&lt;test!$K$16,$A97&lt;&gt;F$1,Recharged_Feasible_mat!G66=1),(VLOOKUP(F$1,test!$A$3:$I$32,8,FALSE))-(VLOOKUP($A97,test!$A$3:$I$32,9,FALSE))+test!$B$35,0)</f>
        <v>0</v>
      </c>
      <c r="G97">
        <f>IF(AND(SUM(VLOOKUP($A97,test!$A$3:$F$32,2,FALSE),VLOOKUP(G$1,test!$A$3:$F$32,2,FALSE))&lt;test!$K$16,$A97&lt;&gt;G$1,Recharged_Feasible_mat!H66=1),(VLOOKUP(G$1,test!$A$3:$I$32,8,FALSE))-(VLOOKUP($A97,test!$A$3:$I$32,9,FALSE))+test!$B$35,0)</f>
        <v>155</v>
      </c>
      <c r="H97">
        <f>IF(AND(SUM(VLOOKUP($A97,test!$A$3:$F$32,2,FALSE),VLOOKUP(H$1,test!$A$3:$F$32,2,FALSE))&lt;test!$K$16,$A97&lt;&gt;H$1,Recharged_Feasible_mat!I66=1),(VLOOKUP(H$1,test!$A$3:$I$32,8,FALSE))-(VLOOKUP($A97,test!$A$3:$I$32,9,FALSE))+test!$B$35,0)</f>
        <v>215</v>
      </c>
      <c r="I97">
        <f>IF(AND(SUM(VLOOKUP($A97,test!$A$3:$F$32,2,FALSE),VLOOKUP(I$1,test!$A$3:$F$32,2,FALSE))&lt;test!$K$16,$A97&lt;&gt;I$1,Recharged_Feasible_mat!J66=1),(VLOOKUP(I$1,test!$A$3:$I$32,8,FALSE))-(VLOOKUP($A97,test!$A$3:$I$32,9,FALSE))+test!$B$35,0)</f>
        <v>275</v>
      </c>
      <c r="J97">
        <f>IF(AND(SUM(VLOOKUP($A97,test!$A$3:$F$32,2,FALSE),VLOOKUP(J$1,test!$A$3:$F$32,2,FALSE))&lt;test!$K$16,$A97&lt;&gt;J$1,Recharged_Feasible_mat!K66=1),(VLOOKUP(J$1,test!$A$3:$I$32,8,FALSE))-(VLOOKUP($A97,test!$A$3:$I$32,9,FALSE))+test!$B$35,0)</f>
        <v>365</v>
      </c>
      <c r="K97">
        <f>IF(AND(SUM(VLOOKUP($A97,test!$A$3:$F$32,2,FALSE),VLOOKUP(K$1,test!$A$3:$F$32,2,FALSE))&lt;test!$K$16,$A97&lt;&gt;K$1,Recharged_Feasible_mat!L66=1),(VLOOKUP(K$1,test!$A$3:$I$32,8,FALSE))-(VLOOKUP($A97,test!$A$3:$I$32,9,FALSE))+test!$B$35,0)</f>
        <v>0</v>
      </c>
      <c r="L97">
        <f>IF(AND(SUM(VLOOKUP($A97,test!$A$3:$F$32,2,FALSE),VLOOKUP(L$1,test!$A$3:$F$32,2,FALSE))&lt;test!$K$16,$A97&lt;&gt;L$1,Recharged_Feasible_mat!M66=1),(VLOOKUP(L$1,test!$A$3:$I$32,8,FALSE))-(VLOOKUP($A97,test!$A$3:$I$32,9,FALSE))+test!$B$35,0)</f>
        <v>0</v>
      </c>
      <c r="M97">
        <f>IF(AND(SUM(VLOOKUP($A97,test!$A$3:$F$32,2,FALSE),VLOOKUP(M$1,test!$A$3:$F$32,2,FALSE))&lt;test!$K$16,$A97&lt;&gt;M$1,Recharged_Feasible_mat!N66=1),(VLOOKUP(M$1,test!$A$3:$I$32,8,FALSE))-(VLOOKUP($A97,test!$A$3:$I$32,9,FALSE))+test!$B$35,0)</f>
        <v>0</v>
      </c>
      <c r="N97">
        <f>IF(AND(SUM(VLOOKUP($A97,test!$A$3:$F$32,2,FALSE),VLOOKUP(N$1,test!$A$3:$F$32,2,FALSE))&lt;test!$K$16,$A97&lt;&gt;N$1,Recharged_Feasible_mat!O66=1),(VLOOKUP(N$1,test!$A$3:$I$32,8,FALSE))-(VLOOKUP($A97,test!$A$3:$I$32,9,FALSE))+test!$B$35,0)</f>
        <v>330</v>
      </c>
      <c r="O97">
        <f>IF(AND(SUM(VLOOKUP($A97,test!$A$3:$F$32,2,FALSE),VLOOKUP(O$1,test!$A$3:$F$32,2,FALSE))&lt;test!$K$16,$A97&lt;&gt;O$1,Recharged_Feasible_mat!P66=1),(VLOOKUP(O$1,test!$A$3:$I$32,8,FALSE))-(VLOOKUP($A97,test!$A$3:$I$32,9,FALSE))+test!$B$35,0)</f>
        <v>390</v>
      </c>
      <c r="P97">
        <f>IF(AND(SUM(VLOOKUP($A97,test!$A$3:$F$32,2,FALSE),VLOOKUP(P$1,test!$A$3:$F$32,2,FALSE))&lt;test!$K$16,$A97&lt;&gt;P$1,Recharged_Feasible_mat!Q66=1),(VLOOKUP(P$1,test!$A$3:$I$32,8,FALSE))-(VLOOKUP($A97,test!$A$3:$I$32,9,FALSE))+test!$B$35,0)</f>
        <v>0</v>
      </c>
      <c r="Q97">
        <f>IF(AND(SUM(VLOOKUP($A97,test!$A$3:$F$32,2,FALSE),VLOOKUP(Q$1,test!$A$3:$F$32,2,FALSE))&lt;test!$K$16,$A97&lt;&gt;Q$1,Recharged_Feasible_mat!R66=1),(VLOOKUP(Q$1,test!$A$3:$I$32,8,FALSE))-(VLOOKUP($A97,test!$A$3:$I$32,9,FALSE))+test!$B$35,0)</f>
        <v>0</v>
      </c>
      <c r="R97">
        <f>IF(AND(SUM(VLOOKUP($A97,test!$A$3:$F$32,2,FALSE),VLOOKUP(R$1,test!$A$3:$F$32,2,FALSE))&lt;test!$K$16,$A97&lt;&gt;R$1,Recharged_Feasible_mat!S66=1),(VLOOKUP(R$1,test!$A$3:$I$32,8,FALSE))-(VLOOKUP($A97,test!$A$3:$I$32,9,FALSE))+test!$B$35,0)</f>
        <v>0</v>
      </c>
      <c r="S97">
        <f>IF(AND(SUM(VLOOKUP($A97,test!$A$3:$F$32,2,FALSE),VLOOKUP(S$1,test!$A$3:$F$32,2,FALSE))&lt;test!$K$16,$A97&lt;&gt;S$1,Recharged_Feasible_mat!T66=1),(VLOOKUP(S$1,test!$A$3:$I$32,8,FALSE))-(VLOOKUP($A97,test!$A$3:$I$32,9,FALSE))+test!$B$35,0)</f>
        <v>0</v>
      </c>
      <c r="T97">
        <f>IF(AND(SUM(VLOOKUP($A97,test!$A$3:$F$32,2,FALSE),VLOOKUP(T$1,test!$A$3:$F$32,2,FALSE))&lt;test!$K$16,$A97&lt;&gt;T$1,Recharged_Feasible_mat!U66=1),(VLOOKUP(T$1,test!$A$3:$I$32,8,FALSE))-(VLOOKUP($A97,test!$A$3:$I$32,9,FALSE))+test!$B$35,0)</f>
        <v>0</v>
      </c>
      <c r="U97">
        <f>IF(AND(SUM(VLOOKUP($A97,test!$A$3:$F$32,2,FALSE),VLOOKUP(U$1,test!$A$3:$F$32,2,FALSE))&lt;test!$K$16,$A97&lt;&gt;U$1,Recharged_Feasible_mat!V66=1),(VLOOKUP(U$1,test!$A$3:$I$32,8,FALSE))-(VLOOKUP($A97,test!$A$3:$I$32,9,FALSE))+test!$B$35,0)</f>
        <v>0</v>
      </c>
      <c r="V97">
        <f>IF(AND(SUM(VLOOKUP($A97,test!$A$3:$F$32,2,FALSE),VLOOKUP(V$1,test!$A$3:$F$32,2,FALSE))&lt;test!$K$16,$A97&lt;&gt;V$1,Recharged_Feasible_mat!W66=1),(VLOOKUP(V$1,test!$A$3:$I$32,8,FALSE))-(VLOOKUP($A97,test!$A$3:$I$32,9,FALSE))+test!$B$35,0)</f>
        <v>165</v>
      </c>
      <c r="W97">
        <f>IF(AND(SUM(VLOOKUP($A97,test!$A$3:$F$32,2,FALSE),VLOOKUP(W$1,test!$A$3:$F$32,2,FALSE))&lt;test!$K$16,$A97&lt;&gt;W$1,Recharged_Feasible_mat!X66=1),(VLOOKUP(W$1,test!$A$3:$I$32,8,FALSE))-(VLOOKUP($A97,test!$A$3:$I$32,9,FALSE))+test!$B$35,0)</f>
        <v>255</v>
      </c>
      <c r="X97">
        <f>IF(AND(SUM(VLOOKUP($A97,test!$A$3:$F$32,2,FALSE),VLOOKUP(X$1,test!$A$3:$F$32,2,FALSE))&lt;test!$K$16,$A97&lt;&gt;X$1,Recharged_Feasible_mat!Y66=1),(VLOOKUP(X$1,test!$A$3:$I$32,8,FALSE))-(VLOOKUP($A97,test!$A$3:$I$32,9,FALSE))+test!$B$35,0)</f>
        <v>315</v>
      </c>
      <c r="Y97">
        <f>IF(AND(SUM(VLOOKUP($A97,test!$A$3:$F$32,2,FALSE),VLOOKUP(Y$1,test!$A$3:$F$32,2,FALSE))&lt;test!$K$16,$A97&lt;&gt;Y$1,Recharged_Feasible_mat!Z66=1),(VLOOKUP(Y$1,test!$A$3:$I$32,8,FALSE))-(VLOOKUP($A97,test!$A$3:$I$32,9,FALSE))+test!$B$35,0)</f>
        <v>0</v>
      </c>
      <c r="Z97">
        <f>IF(AND(SUM(VLOOKUP($A97,test!$A$3:$F$32,2,FALSE),VLOOKUP(Z$1,test!$A$3:$F$32,2,FALSE))&lt;test!$K$16,$A97&lt;&gt;Z$1,Recharged_Feasible_mat!AA66=1),(VLOOKUP(Z$1,test!$A$3:$I$32,8,FALSE))-(VLOOKUP($A97,test!$A$3:$I$32,9,FALSE))+test!$B$35,0)</f>
        <v>0</v>
      </c>
      <c r="AA97">
        <f>IF(AND(SUM(VLOOKUP($A97,test!$A$3:$F$32,2,FALSE),VLOOKUP(AA$1,test!$A$3:$F$32,2,FALSE))&lt;test!$K$16,$A97&lt;&gt;AA$1,Recharged_Feasible_mat!AB66=1),(VLOOKUP(AA$1,test!$A$3:$I$32,8,FALSE))-(VLOOKUP($A97,test!$A$3:$I$32,9,FALSE))+test!$B$35,0)</f>
        <v>0</v>
      </c>
      <c r="AB97">
        <f>IF(AND(SUM(VLOOKUP($A97,test!$A$3:$F$32,2,FALSE),VLOOKUP(AB$1,test!$A$3:$F$32,2,FALSE))&lt;test!$K$16,$A97&lt;&gt;AB$1,Recharged_Feasible_mat!AC66=1),(VLOOKUP(AB$1,test!$A$3:$I$32,8,FALSE))-(VLOOKUP($A97,test!$A$3:$I$32,9,FALSE))+test!$B$35,0)</f>
        <v>0</v>
      </c>
      <c r="AC97">
        <f>IF(AND(SUM(VLOOKUP($A97,test!$A$3:$F$32,2,FALSE),VLOOKUP(AC$1,test!$A$3:$F$32,2,FALSE))&lt;test!$K$16,$A97&lt;&gt;AC$1,Recharged_Feasible_mat!AD66=1),(VLOOKUP(AC$1,test!$A$3:$I$32,8,FALSE))-(VLOOKUP($A97,test!$A$3:$I$32,9,FALSE))+test!$B$35,0)</f>
        <v>215</v>
      </c>
      <c r="AD97">
        <f>IF(AND(SUM(VLOOKUP($A97,test!$A$3:$F$32,2,FALSE),VLOOKUP(AD$1,test!$A$3:$F$32,2,FALSE))&lt;test!$K$16,$A97&lt;&gt;AD$1,Recharged_Feasible_mat!AE66=1),(VLOOKUP(AD$1,test!$A$3:$I$32,8,FALSE))-(VLOOKUP($A97,test!$A$3:$I$32,9,FALSE))+test!$B$35,0)</f>
        <v>0</v>
      </c>
      <c r="AE97">
        <f>IF(AND(SUM(VLOOKUP($A97,test!$A$3:$F$32,2,FALSE),VLOOKUP(AE$1,test!$A$3:$F$32,2,FALSE))&lt;test!$K$16,$A97&lt;&gt;AE$1,Recharged_Feasible_mat!AF66=1),(VLOOKUP(AE$1,test!$A$3:$I$32,8,FALSE))-(VLOOKUP($A97,test!$A$3:$I$32,9,FALSE))+test!$B$35,0)</f>
        <v>0</v>
      </c>
      <c r="AF97">
        <f>IF(AND(SUM(VLOOKUP($A97,test!$A$3:$F$32,2,FALSE),VLOOKUP(AF$1,test!$A$3:$F$32,2,FALSE))&lt;test!$K$16,$A97&lt;&gt;AF$1,Recharged_Feasible_mat!AG66=1),(VLOOKUP(AF$1,test!$A$3:$I$32,8,FALSE))-(VLOOKUP($A97,test!$A$3:$I$32,9,FALSE))+test!$B$35,0)</f>
        <v>0</v>
      </c>
    </row>
    <row r="98" spans="1:32" x14ac:dyDescent="0.25">
      <c r="A98" t="s">
        <v>10</v>
      </c>
      <c r="B98">
        <v>0</v>
      </c>
      <c r="C98">
        <f>IF(AND(SUM(VLOOKUP($A98,test!$A$3:$F$32,2,FALSE),VLOOKUP(C$1,test!$A$3:$F$32,2,FALSE))&lt;test!$K$16,$A98&lt;&gt;C$1,Recharged_Feasible_mat!D67=1),(VLOOKUP(C$1,test!$A$3:$I$32,8,FALSE))-(VLOOKUP($A98,test!$A$3:$I$32,9,FALSE))+test!$B$35,0)</f>
        <v>0</v>
      </c>
      <c r="D98">
        <f>IF(AND(SUM(VLOOKUP($A98,test!$A$3:$F$32,2,FALSE),VLOOKUP(D$1,test!$A$3:$F$32,2,FALSE))&lt;test!$K$16,$A98&lt;&gt;D$1,Recharged_Feasible_mat!E67=1),(VLOOKUP(D$1,test!$A$3:$I$32,8,FALSE))-(VLOOKUP($A98,test!$A$3:$I$32,9,FALSE))+test!$B$35,0)</f>
        <v>0</v>
      </c>
      <c r="E98">
        <f>IF(AND(SUM(VLOOKUP($A98,test!$A$3:$F$32,2,FALSE),VLOOKUP(E$1,test!$A$3:$F$32,2,FALSE))&lt;test!$K$16,$A98&lt;&gt;E$1,Recharged_Feasible_mat!F67=1),(VLOOKUP(E$1,test!$A$3:$I$32,8,FALSE))-(VLOOKUP($A98,test!$A$3:$I$32,9,FALSE))+test!$B$35,0)</f>
        <v>0</v>
      </c>
      <c r="F98">
        <f>IF(AND(SUM(VLOOKUP($A98,test!$A$3:$F$32,2,FALSE),VLOOKUP(F$1,test!$A$3:$F$32,2,FALSE))&lt;test!$K$16,$A98&lt;&gt;F$1,Recharged_Feasible_mat!G67=1),(VLOOKUP(F$1,test!$A$3:$I$32,8,FALSE))-(VLOOKUP($A98,test!$A$3:$I$32,9,FALSE))+test!$B$35,0)</f>
        <v>0</v>
      </c>
      <c r="G98">
        <f>IF(AND(SUM(VLOOKUP($A98,test!$A$3:$F$32,2,FALSE),VLOOKUP(G$1,test!$A$3:$F$32,2,FALSE))&lt;test!$K$16,$A98&lt;&gt;G$1,Recharged_Feasible_mat!H67=1),(VLOOKUP(G$1,test!$A$3:$I$32,8,FALSE))-(VLOOKUP($A98,test!$A$3:$I$32,9,FALSE))+test!$B$35,0)</f>
        <v>0</v>
      </c>
      <c r="H98">
        <f>IF(AND(SUM(VLOOKUP($A98,test!$A$3:$F$32,2,FALSE),VLOOKUP(H$1,test!$A$3:$F$32,2,FALSE))&lt;test!$K$16,$A98&lt;&gt;H$1,Recharged_Feasible_mat!I67=1),(VLOOKUP(H$1,test!$A$3:$I$32,8,FALSE))-(VLOOKUP($A98,test!$A$3:$I$32,9,FALSE))+test!$B$35,0)</f>
        <v>125</v>
      </c>
      <c r="I98">
        <f>IF(AND(SUM(VLOOKUP($A98,test!$A$3:$F$32,2,FALSE),VLOOKUP(I$1,test!$A$3:$F$32,2,FALSE))&lt;test!$K$16,$A98&lt;&gt;I$1,Recharged_Feasible_mat!J67=1),(VLOOKUP(I$1,test!$A$3:$I$32,8,FALSE))-(VLOOKUP($A98,test!$A$3:$I$32,9,FALSE))+test!$B$35,0)</f>
        <v>185</v>
      </c>
      <c r="J98">
        <f>IF(AND(SUM(VLOOKUP($A98,test!$A$3:$F$32,2,FALSE),VLOOKUP(J$1,test!$A$3:$F$32,2,FALSE))&lt;test!$K$16,$A98&lt;&gt;J$1,Recharged_Feasible_mat!K67=1),(VLOOKUP(J$1,test!$A$3:$I$32,8,FALSE))-(VLOOKUP($A98,test!$A$3:$I$32,9,FALSE))+test!$B$35,0)</f>
        <v>275</v>
      </c>
      <c r="K98">
        <f>IF(AND(SUM(VLOOKUP($A98,test!$A$3:$F$32,2,FALSE),VLOOKUP(K$1,test!$A$3:$F$32,2,FALSE))&lt;test!$K$16,$A98&lt;&gt;K$1,Recharged_Feasible_mat!L67=1),(VLOOKUP(K$1,test!$A$3:$I$32,8,FALSE))-(VLOOKUP($A98,test!$A$3:$I$32,9,FALSE))+test!$B$35,0)</f>
        <v>0</v>
      </c>
      <c r="L98">
        <f>IF(AND(SUM(VLOOKUP($A98,test!$A$3:$F$32,2,FALSE),VLOOKUP(L$1,test!$A$3:$F$32,2,FALSE))&lt;test!$K$16,$A98&lt;&gt;L$1,Recharged_Feasible_mat!M67=1),(VLOOKUP(L$1,test!$A$3:$I$32,8,FALSE))-(VLOOKUP($A98,test!$A$3:$I$32,9,FALSE))+test!$B$35,0)</f>
        <v>0</v>
      </c>
      <c r="M98">
        <f>IF(AND(SUM(VLOOKUP($A98,test!$A$3:$F$32,2,FALSE),VLOOKUP(M$1,test!$A$3:$F$32,2,FALSE))&lt;test!$K$16,$A98&lt;&gt;M$1,Recharged_Feasible_mat!N67=1),(VLOOKUP(M$1,test!$A$3:$I$32,8,FALSE))-(VLOOKUP($A98,test!$A$3:$I$32,9,FALSE))+test!$B$35,0)</f>
        <v>0</v>
      </c>
      <c r="N98">
        <f>IF(AND(SUM(VLOOKUP($A98,test!$A$3:$F$32,2,FALSE),VLOOKUP(N$1,test!$A$3:$F$32,2,FALSE))&lt;test!$K$16,$A98&lt;&gt;N$1,Recharged_Feasible_mat!O67=1),(VLOOKUP(N$1,test!$A$3:$I$32,8,FALSE))-(VLOOKUP($A98,test!$A$3:$I$32,9,FALSE))+test!$B$35,0)</f>
        <v>240</v>
      </c>
      <c r="O98">
        <f>IF(AND(SUM(VLOOKUP($A98,test!$A$3:$F$32,2,FALSE),VLOOKUP(O$1,test!$A$3:$F$32,2,FALSE))&lt;test!$K$16,$A98&lt;&gt;O$1,Recharged_Feasible_mat!P67=1),(VLOOKUP(O$1,test!$A$3:$I$32,8,FALSE))-(VLOOKUP($A98,test!$A$3:$I$32,9,FALSE))+test!$B$35,0)</f>
        <v>300</v>
      </c>
      <c r="P98">
        <f>IF(AND(SUM(VLOOKUP($A98,test!$A$3:$F$32,2,FALSE),VLOOKUP(P$1,test!$A$3:$F$32,2,FALSE))&lt;test!$K$16,$A98&lt;&gt;P$1,Recharged_Feasible_mat!Q67=1),(VLOOKUP(P$1,test!$A$3:$I$32,8,FALSE))-(VLOOKUP($A98,test!$A$3:$I$32,9,FALSE))+test!$B$35,0)</f>
        <v>0</v>
      </c>
      <c r="Q98">
        <f>IF(AND(SUM(VLOOKUP($A98,test!$A$3:$F$32,2,FALSE),VLOOKUP(Q$1,test!$A$3:$F$32,2,FALSE))&lt;test!$K$16,$A98&lt;&gt;Q$1,Recharged_Feasible_mat!R67=1),(VLOOKUP(Q$1,test!$A$3:$I$32,8,FALSE))-(VLOOKUP($A98,test!$A$3:$I$32,9,FALSE))+test!$B$35,0)</f>
        <v>0</v>
      </c>
      <c r="R98">
        <f>IF(AND(SUM(VLOOKUP($A98,test!$A$3:$F$32,2,FALSE),VLOOKUP(R$1,test!$A$3:$F$32,2,FALSE))&lt;test!$K$16,$A98&lt;&gt;R$1,Recharged_Feasible_mat!S67=1),(VLOOKUP(R$1,test!$A$3:$I$32,8,FALSE))-(VLOOKUP($A98,test!$A$3:$I$32,9,FALSE))+test!$B$35,0)</f>
        <v>0</v>
      </c>
      <c r="S98">
        <f>IF(AND(SUM(VLOOKUP($A98,test!$A$3:$F$32,2,FALSE),VLOOKUP(S$1,test!$A$3:$F$32,2,FALSE))&lt;test!$K$16,$A98&lt;&gt;S$1,Recharged_Feasible_mat!T67=1),(VLOOKUP(S$1,test!$A$3:$I$32,8,FALSE))-(VLOOKUP($A98,test!$A$3:$I$32,9,FALSE))+test!$B$35,0)</f>
        <v>0</v>
      </c>
      <c r="T98">
        <f>IF(AND(SUM(VLOOKUP($A98,test!$A$3:$F$32,2,FALSE),VLOOKUP(T$1,test!$A$3:$F$32,2,FALSE))&lt;test!$K$16,$A98&lt;&gt;T$1,Recharged_Feasible_mat!U67=1),(VLOOKUP(T$1,test!$A$3:$I$32,8,FALSE))-(VLOOKUP($A98,test!$A$3:$I$32,9,FALSE))+test!$B$35,0)</f>
        <v>0</v>
      </c>
      <c r="U98">
        <f>IF(AND(SUM(VLOOKUP($A98,test!$A$3:$F$32,2,FALSE),VLOOKUP(U$1,test!$A$3:$F$32,2,FALSE))&lt;test!$K$16,$A98&lt;&gt;U$1,Recharged_Feasible_mat!V67=1),(VLOOKUP(U$1,test!$A$3:$I$32,8,FALSE))-(VLOOKUP($A98,test!$A$3:$I$32,9,FALSE))+test!$B$35,0)</f>
        <v>0</v>
      </c>
      <c r="V98">
        <f>IF(AND(SUM(VLOOKUP($A98,test!$A$3:$F$32,2,FALSE),VLOOKUP(V$1,test!$A$3:$F$32,2,FALSE))&lt;test!$K$16,$A98&lt;&gt;V$1,Recharged_Feasible_mat!W67=1),(VLOOKUP(V$1,test!$A$3:$I$32,8,FALSE))-(VLOOKUP($A98,test!$A$3:$I$32,9,FALSE))+test!$B$35,0)</f>
        <v>0</v>
      </c>
      <c r="W98">
        <f>IF(AND(SUM(VLOOKUP($A98,test!$A$3:$F$32,2,FALSE),VLOOKUP(W$1,test!$A$3:$F$32,2,FALSE))&lt;test!$K$16,$A98&lt;&gt;W$1,Recharged_Feasible_mat!X67=1),(VLOOKUP(W$1,test!$A$3:$I$32,8,FALSE))-(VLOOKUP($A98,test!$A$3:$I$32,9,FALSE))+test!$B$35,0)</f>
        <v>165</v>
      </c>
      <c r="X98">
        <f>IF(AND(SUM(VLOOKUP($A98,test!$A$3:$F$32,2,FALSE),VLOOKUP(X$1,test!$A$3:$F$32,2,FALSE))&lt;test!$K$16,$A98&lt;&gt;X$1,Recharged_Feasible_mat!Y67=1),(VLOOKUP(X$1,test!$A$3:$I$32,8,FALSE))-(VLOOKUP($A98,test!$A$3:$I$32,9,FALSE))+test!$B$35,0)</f>
        <v>225</v>
      </c>
      <c r="Y98">
        <f>IF(AND(SUM(VLOOKUP($A98,test!$A$3:$F$32,2,FALSE),VLOOKUP(Y$1,test!$A$3:$F$32,2,FALSE))&lt;test!$K$16,$A98&lt;&gt;Y$1,Recharged_Feasible_mat!Z67=1),(VLOOKUP(Y$1,test!$A$3:$I$32,8,FALSE))-(VLOOKUP($A98,test!$A$3:$I$32,9,FALSE))+test!$B$35,0)</f>
        <v>0</v>
      </c>
      <c r="Z98">
        <f>IF(AND(SUM(VLOOKUP($A98,test!$A$3:$F$32,2,FALSE),VLOOKUP(Z$1,test!$A$3:$F$32,2,FALSE))&lt;test!$K$16,$A98&lt;&gt;Z$1,Recharged_Feasible_mat!AA67=1),(VLOOKUP(Z$1,test!$A$3:$I$32,8,FALSE))-(VLOOKUP($A98,test!$A$3:$I$32,9,FALSE))+test!$B$35,0)</f>
        <v>0</v>
      </c>
      <c r="AA98">
        <f>IF(AND(SUM(VLOOKUP($A98,test!$A$3:$F$32,2,FALSE),VLOOKUP(AA$1,test!$A$3:$F$32,2,FALSE))&lt;test!$K$16,$A98&lt;&gt;AA$1,Recharged_Feasible_mat!AB67=1),(VLOOKUP(AA$1,test!$A$3:$I$32,8,FALSE))-(VLOOKUP($A98,test!$A$3:$I$32,9,FALSE))+test!$B$35,0)</f>
        <v>0</v>
      </c>
      <c r="AB98">
        <f>IF(AND(SUM(VLOOKUP($A98,test!$A$3:$F$32,2,FALSE),VLOOKUP(AB$1,test!$A$3:$F$32,2,FALSE))&lt;test!$K$16,$A98&lt;&gt;AB$1,Recharged_Feasible_mat!AC67=1),(VLOOKUP(AB$1,test!$A$3:$I$32,8,FALSE))-(VLOOKUP($A98,test!$A$3:$I$32,9,FALSE))+test!$B$35,0)</f>
        <v>0</v>
      </c>
      <c r="AC98">
        <f>IF(AND(SUM(VLOOKUP($A98,test!$A$3:$F$32,2,FALSE),VLOOKUP(AC$1,test!$A$3:$F$32,2,FALSE))&lt;test!$K$16,$A98&lt;&gt;AC$1,Recharged_Feasible_mat!AD67=1),(VLOOKUP(AC$1,test!$A$3:$I$32,8,FALSE))-(VLOOKUP($A98,test!$A$3:$I$32,9,FALSE))+test!$B$35,0)</f>
        <v>125</v>
      </c>
      <c r="AD98">
        <f>IF(AND(SUM(VLOOKUP($A98,test!$A$3:$F$32,2,FALSE),VLOOKUP(AD$1,test!$A$3:$F$32,2,FALSE))&lt;test!$K$16,$A98&lt;&gt;AD$1,Recharged_Feasible_mat!AE67=1),(VLOOKUP(AD$1,test!$A$3:$I$32,8,FALSE))-(VLOOKUP($A98,test!$A$3:$I$32,9,FALSE))+test!$B$35,0)</f>
        <v>0</v>
      </c>
      <c r="AE98">
        <f>IF(AND(SUM(VLOOKUP($A98,test!$A$3:$F$32,2,FALSE),VLOOKUP(AE$1,test!$A$3:$F$32,2,FALSE))&lt;test!$K$16,$A98&lt;&gt;AE$1,Recharged_Feasible_mat!AF67=1),(VLOOKUP(AE$1,test!$A$3:$I$32,8,FALSE))-(VLOOKUP($A98,test!$A$3:$I$32,9,FALSE))+test!$B$35,0)</f>
        <v>0</v>
      </c>
      <c r="AF98">
        <f>IF(AND(SUM(VLOOKUP($A98,test!$A$3:$F$32,2,FALSE),VLOOKUP(AF$1,test!$A$3:$F$32,2,FALSE))&lt;test!$K$16,$A98&lt;&gt;AF$1,Recharged_Feasible_mat!AG67=1),(VLOOKUP(AF$1,test!$A$3:$I$32,8,FALSE))-(VLOOKUP($A98,test!$A$3:$I$32,9,FALSE))+test!$B$35,0)</f>
        <v>0</v>
      </c>
    </row>
    <row r="99" spans="1:32" x14ac:dyDescent="0.25">
      <c r="A99" t="s">
        <v>11</v>
      </c>
      <c r="B99">
        <v>0</v>
      </c>
      <c r="C99">
        <f>IF(AND(SUM(VLOOKUP($A99,test!$A$3:$F$32,2,FALSE),VLOOKUP(C$1,test!$A$3:$F$32,2,FALSE))&lt;test!$K$16,$A99&lt;&gt;C$1,Recharged_Feasible_mat!D68=1),(VLOOKUP(C$1,test!$A$3:$I$32,8,FALSE))-(VLOOKUP($A99,test!$A$3:$I$32,9,FALSE))+test!$B$35,0)</f>
        <v>0</v>
      </c>
      <c r="D99">
        <f>IF(AND(SUM(VLOOKUP($A99,test!$A$3:$F$32,2,FALSE),VLOOKUP(D$1,test!$A$3:$F$32,2,FALSE))&lt;test!$K$16,$A99&lt;&gt;D$1,Recharged_Feasible_mat!E68=1),(VLOOKUP(D$1,test!$A$3:$I$32,8,FALSE))-(VLOOKUP($A99,test!$A$3:$I$32,9,FALSE))+test!$B$35,0)</f>
        <v>0</v>
      </c>
      <c r="E99">
        <f>IF(AND(SUM(VLOOKUP($A99,test!$A$3:$F$32,2,FALSE),VLOOKUP(E$1,test!$A$3:$F$32,2,FALSE))&lt;test!$K$16,$A99&lt;&gt;E$1,Recharged_Feasible_mat!F68=1),(VLOOKUP(E$1,test!$A$3:$I$32,8,FALSE))-(VLOOKUP($A99,test!$A$3:$I$32,9,FALSE))+test!$B$35,0)</f>
        <v>0</v>
      </c>
      <c r="F99">
        <f>IF(AND(SUM(VLOOKUP($A99,test!$A$3:$F$32,2,FALSE),VLOOKUP(F$1,test!$A$3:$F$32,2,FALSE))&lt;test!$K$16,$A99&lt;&gt;F$1,Recharged_Feasible_mat!G68=1),(VLOOKUP(F$1,test!$A$3:$I$32,8,FALSE))-(VLOOKUP($A99,test!$A$3:$I$32,9,FALSE))+test!$B$35,0)</f>
        <v>0</v>
      </c>
      <c r="G99">
        <f>IF(AND(SUM(VLOOKUP($A99,test!$A$3:$F$32,2,FALSE),VLOOKUP(G$1,test!$A$3:$F$32,2,FALSE))&lt;test!$K$16,$A99&lt;&gt;G$1,Recharged_Feasible_mat!H68=1),(VLOOKUP(G$1,test!$A$3:$I$32,8,FALSE))-(VLOOKUP($A99,test!$A$3:$I$32,9,FALSE))+test!$B$35,0)</f>
        <v>0</v>
      </c>
      <c r="H99">
        <f>IF(AND(SUM(VLOOKUP($A99,test!$A$3:$F$32,2,FALSE),VLOOKUP(H$1,test!$A$3:$F$32,2,FALSE))&lt;test!$K$16,$A99&lt;&gt;H$1,Recharged_Feasible_mat!I68=1),(VLOOKUP(H$1,test!$A$3:$I$32,8,FALSE))-(VLOOKUP($A99,test!$A$3:$I$32,9,FALSE))+test!$B$35,0)</f>
        <v>0</v>
      </c>
      <c r="I99">
        <f>IF(AND(SUM(VLOOKUP($A99,test!$A$3:$F$32,2,FALSE),VLOOKUP(I$1,test!$A$3:$F$32,2,FALSE))&lt;test!$K$16,$A99&lt;&gt;I$1,Recharged_Feasible_mat!J68=1),(VLOOKUP(I$1,test!$A$3:$I$32,8,FALSE))-(VLOOKUP($A99,test!$A$3:$I$32,9,FALSE))+test!$B$35,0)</f>
        <v>0</v>
      </c>
      <c r="J99">
        <f>IF(AND(SUM(VLOOKUP($A99,test!$A$3:$F$32,2,FALSE),VLOOKUP(J$1,test!$A$3:$F$32,2,FALSE))&lt;test!$K$16,$A99&lt;&gt;J$1,Recharged_Feasible_mat!K68=1),(VLOOKUP(J$1,test!$A$3:$I$32,8,FALSE))-(VLOOKUP($A99,test!$A$3:$I$32,9,FALSE))+test!$B$35,0)</f>
        <v>185</v>
      </c>
      <c r="K99">
        <f>IF(AND(SUM(VLOOKUP($A99,test!$A$3:$F$32,2,FALSE),VLOOKUP(K$1,test!$A$3:$F$32,2,FALSE))&lt;test!$K$16,$A99&lt;&gt;K$1,Recharged_Feasible_mat!L68=1),(VLOOKUP(K$1,test!$A$3:$I$32,8,FALSE))-(VLOOKUP($A99,test!$A$3:$I$32,9,FALSE))+test!$B$35,0)</f>
        <v>0</v>
      </c>
      <c r="L99">
        <f>IF(AND(SUM(VLOOKUP($A99,test!$A$3:$F$32,2,FALSE),VLOOKUP(L$1,test!$A$3:$F$32,2,FALSE))&lt;test!$K$16,$A99&lt;&gt;L$1,Recharged_Feasible_mat!M68=1),(VLOOKUP(L$1,test!$A$3:$I$32,8,FALSE))-(VLOOKUP($A99,test!$A$3:$I$32,9,FALSE))+test!$B$35,0)</f>
        <v>0</v>
      </c>
      <c r="M99">
        <f>IF(AND(SUM(VLOOKUP($A99,test!$A$3:$F$32,2,FALSE),VLOOKUP(M$1,test!$A$3:$F$32,2,FALSE))&lt;test!$K$16,$A99&lt;&gt;M$1,Recharged_Feasible_mat!N68=1),(VLOOKUP(M$1,test!$A$3:$I$32,8,FALSE))-(VLOOKUP($A99,test!$A$3:$I$32,9,FALSE))+test!$B$35,0)</f>
        <v>0</v>
      </c>
      <c r="N99">
        <f>IF(AND(SUM(VLOOKUP($A99,test!$A$3:$F$32,2,FALSE),VLOOKUP(N$1,test!$A$3:$F$32,2,FALSE))&lt;test!$K$16,$A99&lt;&gt;N$1,Recharged_Feasible_mat!O68=1),(VLOOKUP(N$1,test!$A$3:$I$32,8,FALSE))-(VLOOKUP($A99,test!$A$3:$I$32,9,FALSE))+test!$B$35,0)</f>
        <v>150</v>
      </c>
      <c r="O99">
        <f>IF(AND(SUM(VLOOKUP($A99,test!$A$3:$F$32,2,FALSE),VLOOKUP(O$1,test!$A$3:$F$32,2,FALSE))&lt;test!$K$16,$A99&lt;&gt;O$1,Recharged_Feasible_mat!P68=1),(VLOOKUP(O$1,test!$A$3:$I$32,8,FALSE))-(VLOOKUP($A99,test!$A$3:$I$32,9,FALSE))+test!$B$35,0)</f>
        <v>210</v>
      </c>
      <c r="P99">
        <f>IF(AND(SUM(VLOOKUP($A99,test!$A$3:$F$32,2,FALSE),VLOOKUP(P$1,test!$A$3:$F$32,2,FALSE))&lt;test!$K$16,$A99&lt;&gt;P$1,Recharged_Feasible_mat!Q68=1),(VLOOKUP(P$1,test!$A$3:$I$32,8,FALSE))-(VLOOKUP($A99,test!$A$3:$I$32,9,FALSE))+test!$B$35,0)</f>
        <v>0</v>
      </c>
      <c r="Q99">
        <f>IF(AND(SUM(VLOOKUP($A99,test!$A$3:$F$32,2,FALSE),VLOOKUP(Q$1,test!$A$3:$F$32,2,FALSE))&lt;test!$K$16,$A99&lt;&gt;Q$1,Recharged_Feasible_mat!R68=1),(VLOOKUP(Q$1,test!$A$3:$I$32,8,FALSE))-(VLOOKUP($A99,test!$A$3:$I$32,9,FALSE))+test!$B$35,0)</f>
        <v>0</v>
      </c>
      <c r="R99">
        <f>IF(AND(SUM(VLOOKUP($A99,test!$A$3:$F$32,2,FALSE),VLOOKUP(R$1,test!$A$3:$F$32,2,FALSE))&lt;test!$K$16,$A99&lt;&gt;R$1,Recharged_Feasible_mat!S68=1),(VLOOKUP(R$1,test!$A$3:$I$32,8,FALSE))-(VLOOKUP($A99,test!$A$3:$I$32,9,FALSE))+test!$B$35,0)</f>
        <v>0</v>
      </c>
      <c r="S99">
        <f>IF(AND(SUM(VLOOKUP($A99,test!$A$3:$F$32,2,FALSE),VLOOKUP(S$1,test!$A$3:$F$32,2,FALSE))&lt;test!$K$16,$A99&lt;&gt;S$1,Recharged_Feasible_mat!T68=1),(VLOOKUP(S$1,test!$A$3:$I$32,8,FALSE))-(VLOOKUP($A99,test!$A$3:$I$32,9,FALSE))+test!$B$35,0)</f>
        <v>0</v>
      </c>
      <c r="T99">
        <f>IF(AND(SUM(VLOOKUP($A99,test!$A$3:$F$32,2,FALSE),VLOOKUP(T$1,test!$A$3:$F$32,2,FALSE))&lt;test!$K$16,$A99&lt;&gt;T$1,Recharged_Feasible_mat!U68=1),(VLOOKUP(T$1,test!$A$3:$I$32,8,FALSE))-(VLOOKUP($A99,test!$A$3:$I$32,9,FALSE))+test!$B$35,0)</f>
        <v>0</v>
      </c>
      <c r="U99">
        <f>IF(AND(SUM(VLOOKUP($A99,test!$A$3:$F$32,2,FALSE),VLOOKUP(U$1,test!$A$3:$F$32,2,FALSE))&lt;test!$K$16,$A99&lt;&gt;U$1,Recharged_Feasible_mat!V68=1),(VLOOKUP(U$1,test!$A$3:$I$32,8,FALSE))-(VLOOKUP($A99,test!$A$3:$I$32,9,FALSE))+test!$B$35,0)</f>
        <v>0</v>
      </c>
      <c r="V99">
        <f>IF(AND(SUM(VLOOKUP($A99,test!$A$3:$F$32,2,FALSE),VLOOKUP(V$1,test!$A$3:$F$32,2,FALSE))&lt;test!$K$16,$A99&lt;&gt;V$1,Recharged_Feasible_mat!W68=1),(VLOOKUP(V$1,test!$A$3:$I$32,8,FALSE))-(VLOOKUP($A99,test!$A$3:$I$32,9,FALSE))+test!$B$35,0)</f>
        <v>0</v>
      </c>
      <c r="W99">
        <f>IF(AND(SUM(VLOOKUP($A99,test!$A$3:$F$32,2,FALSE),VLOOKUP(W$1,test!$A$3:$F$32,2,FALSE))&lt;test!$K$16,$A99&lt;&gt;W$1,Recharged_Feasible_mat!X68=1),(VLOOKUP(W$1,test!$A$3:$I$32,8,FALSE))-(VLOOKUP($A99,test!$A$3:$I$32,9,FALSE))+test!$B$35,0)</f>
        <v>0</v>
      </c>
      <c r="X99">
        <f>IF(AND(SUM(VLOOKUP($A99,test!$A$3:$F$32,2,FALSE),VLOOKUP(X$1,test!$A$3:$F$32,2,FALSE))&lt;test!$K$16,$A99&lt;&gt;X$1,Recharged_Feasible_mat!Y68=1),(VLOOKUP(X$1,test!$A$3:$I$32,8,FALSE))-(VLOOKUP($A99,test!$A$3:$I$32,9,FALSE))+test!$B$35,0)</f>
        <v>135</v>
      </c>
      <c r="Y99">
        <f>IF(AND(SUM(VLOOKUP($A99,test!$A$3:$F$32,2,FALSE),VLOOKUP(Y$1,test!$A$3:$F$32,2,FALSE))&lt;test!$K$16,$A99&lt;&gt;Y$1,Recharged_Feasible_mat!Z68=1),(VLOOKUP(Y$1,test!$A$3:$I$32,8,FALSE))-(VLOOKUP($A99,test!$A$3:$I$32,9,FALSE))+test!$B$35,0)</f>
        <v>0</v>
      </c>
      <c r="Z99">
        <f>IF(AND(SUM(VLOOKUP($A99,test!$A$3:$F$32,2,FALSE),VLOOKUP(Z$1,test!$A$3:$F$32,2,FALSE))&lt;test!$K$16,$A99&lt;&gt;Z$1,Recharged_Feasible_mat!AA68=1),(VLOOKUP(Z$1,test!$A$3:$I$32,8,FALSE))-(VLOOKUP($A99,test!$A$3:$I$32,9,FALSE))+test!$B$35,0)</f>
        <v>0</v>
      </c>
      <c r="AA99">
        <f>IF(AND(SUM(VLOOKUP($A99,test!$A$3:$F$32,2,FALSE),VLOOKUP(AA$1,test!$A$3:$F$32,2,FALSE))&lt;test!$K$16,$A99&lt;&gt;AA$1,Recharged_Feasible_mat!AB68=1),(VLOOKUP(AA$1,test!$A$3:$I$32,8,FALSE))-(VLOOKUP($A99,test!$A$3:$I$32,9,FALSE))+test!$B$35,0)</f>
        <v>0</v>
      </c>
      <c r="AB99">
        <f>IF(AND(SUM(VLOOKUP($A99,test!$A$3:$F$32,2,FALSE),VLOOKUP(AB$1,test!$A$3:$F$32,2,FALSE))&lt;test!$K$16,$A99&lt;&gt;AB$1,Recharged_Feasible_mat!AC68=1),(VLOOKUP(AB$1,test!$A$3:$I$32,8,FALSE))-(VLOOKUP($A99,test!$A$3:$I$32,9,FALSE))+test!$B$35,0)</f>
        <v>0</v>
      </c>
      <c r="AC99">
        <f>IF(AND(SUM(VLOOKUP($A99,test!$A$3:$F$32,2,FALSE),VLOOKUP(AC$1,test!$A$3:$F$32,2,FALSE))&lt;test!$K$16,$A99&lt;&gt;AC$1,Recharged_Feasible_mat!AD68=1),(VLOOKUP(AC$1,test!$A$3:$I$32,8,FALSE))-(VLOOKUP($A99,test!$A$3:$I$32,9,FALSE))+test!$B$35,0)</f>
        <v>0</v>
      </c>
      <c r="AD99">
        <f>IF(AND(SUM(VLOOKUP($A99,test!$A$3:$F$32,2,FALSE),VLOOKUP(AD$1,test!$A$3:$F$32,2,FALSE))&lt;test!$K$16,$A99&lt;&gt;AD$1,Recharged_Feasible_mat!AE68=1),(VLOOKUP(AD$1,test!$A$3:$I$32,8,FALSE))-(VLOOKUP($A99,test!$A$3:$I$32,9,FALSE))+test!$B$35,0)</f>
        <v>0</v>
      </c>
      <c r="AE99">
        <f>IF(AND(SUM(VLOOKUP($A99,test!$A$3:$F$32,2,FALSE),VLOOKUP(AE$1,test!$A$3:$F$32,2,FALSE))&lt;test!$K$16,$A99&lt;&gt;AE$1,Recharged_Feasible_mat!AF68=1),(VLOOKUP(AE$1,test!$A$3:$I$32,8,FALSE))-(VLOOKUP($A99,test!$A$3:$I$32,9,FALSE))+test!$B$35,0)</f>
        <v>0</v>
      </c>
      <c r="AF99">
        <f>IF(AND(SUM(VLOOKUP($A99,test!$A$3:$F$32,2,FALSE),VLOOKUP(AF$1,test!$A$3:$F$32,2,FALSE))&lt;test!$K$16,$A99&lt;&gt;AF$1,Recharged_Feasible_mat!AG68=1),(VLOOKUP(AF$1,test!$A$3:$I$32,8,FALSE))-(VLOOKUP($A99,test!$A$3:$I$32,9,FALSE))+test!$B$35,0)</f>
        <v>0</v>
      </c>
    </row>
    <row r="100" spans="1:32" x14ac:dyDescent="0.25">
      <c r="A100" t="s">
        <v>12</v>
      </c>
      <c r="B100">
        <v>0</v>
      </c>
      <c r="C100">
        <f>IF(AND(SUM(VLOOKUP($A100,test!$A$3:$F$32,2,FALSE),VLOOKUP(C$1,test!$A$3:$F$32,2,FALSE))&lt;test!$K$16,$A100&lt;&gt;C$1,Recharged_Feasible_mat!D69=1),(VLOOKUP(C$1,test!$A$3:$I$32,8,FALSE))-(VLOOKUP($A100,test!$A$3:$I$32,9,FALSE))+test!$B$35,0)</f>
        <v>0</v>
      </c>
      <c r="D100">
        <f>IF(AND(SUM(VLOOKUP($A100,test!$A$3:$F$32,2,FALSE),VLOOKUP(D$1,test!$A$3:$F$32,2,FALSE))&lt;test!$K$16,$A100&lt;&gt;D$1,Recharged_Feasible_mat!E69=1),(VLOOKUP(D$1,test!$A$3:$I$32,8,FALSE))-(VLOOKUP($A100,test!$A$3:$I$32,9,FALSE))+test!$B$35,0)</f>
        <v>0</v>
      </c>
      <c r="E100">
        <f>IF(AND(SUM(VLOOKUP($A100,test!$A$3:$F$32,2,FALSE),VLOOKUP(E$1,test!$A$3:$F$32,2,FALSE))&lt;test!$K$16,$A100&lt;&gt;E$1,Recharged_Feasible_mat!F69=1),(VLOOKUP(E$1,test!$A$3:$I$32,8,FALSE))-(VLOOKUP($A100,test!$A$3:$I$32,9,FALSE))+test!$B$35,0)</f>
        <v>0</v>
      </c>
      <c r="F100">
        <f>IF(AND(SUM(VLOOKUP($A100,test!$A$3:$F$32,2,FALSE),VLOOKUP(F$1,test!$A$3:$F$32,2,FALSE))&lt;test!$K$16,$A100&lt;&gt;F$1,Recharged_Feasible_mat!G69=1),(VLOOKUP(F$1,test!$A$3:$I$32,8,FALSE))-(VLOOKUP($A100,test!$A$3:$I$32,9,FALSE))+test!$B$35,0)</f>
        <v>0</v>
      </c>
      <c r="G100">
        <f>IF(AND(SUM(VLOOKUP($A100,test!$A$3:$F$32,2,FALSE),VLOOKUP(G$1,test!$A$3:$F$32,2,FALSE))&lt;test!$K$16,$A100&lt;&gt;G$1,Recharged_Feasible_mat!H69=1),(VLOOKUP(G$1,test!$A$3:$I$32,8,FALSE))-(VLOOKUP($A100,test!$A$3:$I$32,9,FALSE))+test!$B$35,0)</f>
        <v>0</v>
      </c>
      <c r="H100">
        <f>IF(AND(SUM(VLOOKUP($A100,test!$A$3:$F$32,2,FALSE),VLOOKUP(H$1,test!$A$3:$F$32,2,FALSE))&lt;test!$K$16,$A100&lt;&gt;H$1,Recharged_Feasible_mat!I69=1),(VLOOKUP(H$1,test!$A$3:$I$32,8,FALSE))-(VLOOKUP($A100,test!$A$3:$I$32,9,FALSE))+test!$B$35,0)</f>
        <v>0</v>
      </c>
      <c r="I100">
        <f>IF(AND(SUM(VLOOKUP($A100,test!$A$3:$F$32,2,FALSE),VLOOKUP(I$1,test!$A$3:$F$32,2,FALSE))&lt;test!$K$16,$A100&lt;&gt;I$1,Recharged_Feasible_mat!J69=1),(VLOOKUP(I$1,test!$A$3:$I$32,8,FALSE))-(VLOOKUP($A100,test!$A$3:$I$32,9,FALSE))+test!$B$35,0)</f>
        <v>0</v>
      </c>
      <c r="J100">
        <f>IF(AND(SUM(VLOOKUP($A100,test!$A$3:$F$32,2,FALSE),VLOOKUP(J$1,test!$A$3:$F$32,2,FALSE))&lt;test!$K$16,$A100&lt;&gt;J$1,Recharged_Feasible_mat!K69=1),(VLOOKUP(J$1,test!$A$3:$I$32,8,FALSE))-(VLOOKUP($A100,test!$A$3:$I$32,9,FALSE))+test!$B$35,0)</f>
        <v>125</v>
      </c>
      <c r="K100">
        <f>IF(AND(SUM(VLOOKUP($A100,test!$A$3:$F$32,2,FALSE),VLOOKUP(K$1,test!$A$3:$F$32,2,FALSE))&lt;test!$K$16,$A100&lt;&gt;K$1,Recharged_Feasible_mat!L69=1),(VLOOKUP(K$1,test!$A$3:$I$32,8,FALSE))-(VLOOKUP($A100,test!$A$3:$I$32,9,FALSE))+test!$B$35,0)</f>
        <v>0</v>
      </c>
      <c r="L100">
        <f>IF(AND(SUM(VLOOKUP($A100,test!$A$3:$F$32,2,FALSE),VLOOKUP(L$1,test!$A$3:$F$32,2,FALSE))&lt;test!$K$16,$A100&lt;&gt;L$1,Recharged_Feasible_mat!M69=1),(VLOOKUP(L$1,test!$A$3:$I$32,8,FALSE))-(VLOOKUP($A100,test!$A$3:$I$32,9,FALSE))+test!$B$35,0)</f>
        <v>0</v>
      </c>
      <c r="M100">
        <f>IF(AND(SUM(VLOOKUP($A100,test!$A$3:$F$32,2,FALSE),VLOOKUP(M$1,test!$A$3:$F$32,2,FALSE))&lt;test!$K$16,$A100&lt;&gt;M$1,Recharged_Feasible_mat!N69=1),(VLOOKUP(M$1,test!$A$3:$I$32,8,FALSE))-(VLOOKUP($A100,test!$A$3:$I$32,9,FALSE))+test!$B$35,0)</f>
        <v>0</v>
      </c>
      <c r="N100">
        <f>IF(AND(SUM(VLOOKUP($A100,test!$A$3:$F$32,2,FALSE),VLOOKUP(N$1,test!$A$3:$F$32,2,FALSE))&lt;test!$K$16,$A100&lt;&gt;N$1,Recharged_Feasible_mat!O69=1),(VLOOKUP(N$1,test!$A$3:$I$32,8,FALSE))-(VLOOKUP($A100,test!$A$3:$I$32,9,FALSE))+test!$B$35,0)</f>
        <v>0</v>
      </c>
      <c r="O100">
        <f>IF(AND(SUM(VLOOKUP($A100,test!$A$3:$F$32,2,FALSE),VLOOKUP(O$1,test!$A$3:$F$32,2,FALSE))&lt;test!$K$16,$A100&lt;&gt;O$1,Recharged_Feasible_mat!P69=1),(VLOOKUP(O$1,test!$A$3:$I$32,8,FALSE))-(VLOOKUP($A100,test!$A$3:$I$32,9,FALSE))+test!$B$35,0)</f>
        <v>150</v>
      </c>
      <c r="P100">
        <f>IF(AND(SUM(VLOOKUP($A100,test!$A$3:$F$32,2,FALSE),VLOOKUP(P$1,test!$A$3:$F$32,2,FALSE))&lt;test!$K$16,$A100&lt;&gt;P$1,Recharged_Feasible_mat!Q69=1),(VLOOKUP(P$1,test!$A$3:$I$32,8,FALSE))-(VLOOKUP($A100,test!$A$3:$I$32,9,FALSE))+test!$B$35,0)</f>
        <v>0</v>
      </c>
      <c r="Q100">
        <f>IF(AND(SUM(VLOOKUP($A100,test!$A$3:$F$32,2,FALSE),VLOOKUP(Q$1,test!$A$3:$F$32,2,FALSE))&lt;test!$K$16,$A100&lt;&gt;Q$1,Recharged_Feasible_mat!R69=1),(VLOOKUP(Q$1,test!$A$3:$I$32,8,FALSE))-(VLOOKUP($A100,test!$A$3:$I$32,9,FALSE))+test!$B$35,0)</f>
        <v>0</v>
      </c>
      <c r="R100">
        <f>IF(AND(SUM(VLOOKUP($A100,test!$A$3:$F$32,2,FALSE),VLOOKUP(R$1,test!$A$3:$F$32,2,FALSE))&lt;test!$K$16,$A100&lt;&gt;R$1,Recharged_Feasible_mat!S69=1),(VLOOKUP(R$1,test!$A$3:$I$32,8,FALSE))-(VLOOKUP($A100,test!$A$3:$I$32,9,FALSE))+test!$B$35,0)</f>
        <v>0</v>
      </c>
      <c r="S100">
        <f>IF(AND(SUM(VLOOKUP($A100,test!$A$3:$F$32,2,FALSE),VLOOKUP(S$1,test!$A$3:$F$32,2,FALSE))&lt;test!$K$16,$A100&lt;&gt;S$1,Recharged_Feasible_mat!T69=1),(VLOOKUP(S$1,test!$A$3:$I$32,8,FALSE))-(VLOOKUP($A100,test!$A$3:$I$32,9,FALSE))+test!$B$35,0)</f>
        <v>0</v>
      </c>
      <c r="T100">
        <f>IF(AND(SUM(VLOOKUP($A100,test!$A$3:$F$32,2,FALSE),VLOOKUP(T$1,test!$A$3:$F$32,2,FALSE))&lt;test!$K$16,$A100&lt;&gt;T$1,Recharged_Feasible_mat!U69=1),(VLOOKUP(T$1,test!$A$3:$I$32,8,FALSE))-(VLOOKUP($A100,test!$A$3:$I$32,9,FALSE))+test!$B$35,0)</f>
        <v>0</v>
      </c>
      <c r="U100">
        <f>IF(AND(SUM(VLOOKUP($A100,test!$A$3:$F$32,2,FALSE),VLOOKUP(U$1,test!$A$3:$F$32,2,FALSE))&lt;test!$K$16,$A100&lt;&gt;U$1,Recharged_Feasible_mat!V69=1),(VLOOKUP(U$1,test!$A$3:$I$32,8,FALSE))-(VLOOKUP($A100,test!$A$3:$I$32,9,FALSE))+test!$B$35,0)</f>
        <v>0</v>
      </c>
      <c r="V100">
        <f>IF(AND(SUM(VLOOKUP($A100,test!$A$3:$F$32,2,FALSE),VLOOKUP(V$1,test!$A$3:$F$32,2,FALSE))&lt;test!$K$16,$A100&lt;&gt;V$1,Recharged_Feasible_mat!W69=1),(VLOOKUP(V$1,test!$A$3:$I$32,8,FALSE))-(VLOOKUP($A100,test!$A$3:$I$32,9,FALSE))+test!$B$35,0)</f>
        <v>0</v>
      </c>
      <c r="W100">
        <f>IF(AND(SUM(VLOOKUP($A100,test!$A$3:$F$32,2,FALSE),VLOOKUP(W$1,test!$A$3:$F$32,2,FALSE))&lt;test!$K$16,$A100&lt;&gt;W$1,Recharged_Feasible_mat!X69=1),(VLOOKUP(W$1,test!$A$3:$I$32,8,FALSE))-(VLOOKUP($A100,test!$A$3:$I$32,9,FALSE))+test!$B$35,0)</f>
        <v>0</v>
      </c>
      <c r="X100">
        <f>IF(AND(SUM(VLOOKUP($A100,test!$A$3:$F$32,2,FALSE),VLOOKUP(X$1,test!$A$3:$F$32,2,FALSE))&lt;test!$K$16,$A100&lt;&gt;X$1,Recharged_Feasible_mat!Y69=1),(VLOOKUP(X$1,test!$A$3:$I$32,8,FALSE))-(VLOOKUP($A100,test!$A$3:$I$32,9,FALSE))+test!$B$35,0)</f>
        <v>0</v>
      </c>
      <c r="Y100">
        <f>IF(AND(SUM(VLOOKUP($A100,test!$A$3:$F$32,2,FALSE),VLOOKUP(Y$1,test!$A$3:$F$32,2,FALSE))&lt;test!$K$16,$A100&lt;&gt;Y$1,Recharged_Feasible_mat!Z69=1),(VLOOKUP(Y$1,test!$A$3:$I$32,8,FALSE))-(VLOOKUP($A100,test!$A$3:$I$32,9,FALSE))+test!$B$35,0)</f>
        <v>0</v>
      </c>
      <c r="Z100">
        <f>IF(AND(SUM(VLOOKUP($A100,test!$A$3:$F$32,2,FALSE),VLOOKUP(Z$1,test!$A$3:$F$32,2,FALSE))&lt;test!$K$16,$A100&lt;&gt;Z$1,Recharged_Feasible_mat!AA69=1),(VLOOKUP(Z$1,test!$A$3:$I$32,8,FALSE))-(VLOOKUP($A100,test!$A$3:$I$32,9,FALSE))+test!$B$35,0)</f>
        <v>0</v>
      </c>
      <c r="AA100">
        <f>IF(AND(SUM(VLOOKUP($A100,test!$A$3:$F$32,2,FALSE),VLOOKUP(AA$1,test!$A$3:$F$32,2,FALSE))&lt;test!$K$16,$A100&lt;&gt;AA$1,Recharged_Feasible_mat!AB69=1),(VLOOKUP(AA$1,test!$A$3:$I$32,8,FALSE))-(VLOOKUP($A100,test!$A$3:$I$32,9,FALSE))+test!$B$35,0)</f>
        <v>0</v>
      </c>
      <c r="AB100">
        <f>IF(AND(SUM(VLOOKUP($A100,test!$A$3:$F$32,2,FALSE),VLOOKUP(AB$1,test!$A$3:$F$32,2,FALSE))&lt;test!$K$16,$A100&lt;&gt;AB$1,Recharged_Feasible_mat!AC69=1),(VLOOKUP(AB$1,test!$A$3:$I$32,8,FALSE))-(VLOOKUP($A100,test!$A$3:$I$32,9,FALSE))+test!$B$35,0)</f>
        <v>0</v>
      </c>
      <c r="AC100">
        <f>IF(AND(SUM(VLOOKUP($A100,test!$A$3:$F$32,2,FALSE),VLOOKUP(AC$1,test!$A$3:$F$32,2,FALSE))&lt;test!$K$16,$A100&lt;&gt;AC$1,Recharged_Feasible_mat!AD69=1),(VLOOKUP(AC$1,test!$A$3:$I$32,8,FALSE))-(VLOOKUP($A100,test!$A$3:$I$32,9,FALSE))+test!$B$35,0)</f>
        <v>0</v>
      </c>
      <c r="AD100">
        <f>IF(AND(SUM(VLOOKUP($A100,test!$A$3:$F$32,2,FALSE),VLOOKUP(AD$1,test!$A$3:$F$32,2,FALSE))&lt;test!$K$16,$A100&lt;&gt;AD$1,Recharged_Feasible_mat!AE69=1),(VLOOKUP(AD$1,test!$A$3:$I$32,8,FALSE))-(VLOOKUP($A100,test!$A$3:$I$32,9,FALSE))+test!$B$35,0)</f>
        <v>0</v>
      </c>
      <c r="AE100">
        <f>IF(AND(SUM(VLOOKUP($A100,test!$A$3:$F$32,2,FALSE),VLOOKUP(AE$1,test!$A$3:$F$32,2,FALSE))&lt;test!$K$16,$A100&lt;&gt;AE$1,Recharged_Feasible_mat!AF69=1),(VLOOKUP(AE$1,test!$A$3:$I$32,8,FALSE))-(VLOOKUP($A100,test!$A$3:$I$32,9,FALSE))+test!$B$35,0)</f>
        <v>0</v>
      </c>
      <c r="AF100">
        <f>IF(AND(SUM(VLOOKUP($A100,test!$A$3:$F$32,2,FALSE),VLOOKUP(AF$1,test!$A$3:$F$32,2,FALSE))&lt;test!$K$16,$A100&lt;&gt;AF$1,Recharged_Feasible_mat!AG69=1),(VLOOKUP(AF$1,test!$A$3:$I$32,8,FALSE))-(VLOOKUP($A100,test!$A$3:$I$32,9,FALSE))+test!$B$35,0)</f>
        <v>0</v>
      </c>
    </row>
    <row r="101" spans="1:32" x14ac:dyDescent="0.25">
      <c r="A101" t="s">
        <v>13</v>
      </c>
      <c r="B101">
        <v>0</v>
      </c>
      <c r="C101">
        <f>IF(AND(SUM(VLOOKUP($A101,test!$A$3:$F$32,2,FALSE),VLOOKUP(C$1,test!$A$3:$F$32,2,FALSE))&lt;test!$K$16,$A101&lt;&gt;C$1,Recharged_Feasible_mat!D70=1),(VLOOKUP(C$1,test!$A$3:$I$32,8,FALSE))-(VLOOKUP($A101,test!$A$3:$I$32,9,FALSE))+test!$B$35,0)</f>
        <v>0</v>
      </c>
      <c r="D101">
        <f>IF(AND(SUM(VLOOKUP($A101,test!$A$3:$F$32,2,FALSE),VLOOKUP(D$1,test!$A$3:$F$32,2,FALSE))&lt;test!$K$16,$A101&lt;&gt;D$1,Recharged_Feasible_mat!E70=1),(VLOOKUP(D$1,test!$A$3:$I$32,8,FALSE))-(VLOOKUP($A101,test!$A$3:$I$32,9,FALSE))+test!$B$35,0)</f>
        <v>0</v>
      </c>
      <c r="E101">
        <f>IF(AND(SUM(VLOOKUP($A101,test!$A$3:$F$32,2,FALSE),VLOOKUP(E$1,test!$A$3:$F$32,2,FALSE))&lt;test!$K$16,$A101&lt;&gt;E$1,Recharged_Feasible_mat!F70=1),(VLOOKUP(E$1,test!$A$3:$I$32,8,FALSE))-(VLOOKUP($A101,test!$A$3:$I$32,9,FALSE))+test!$B$35,0)</f>
        <v>0</v>
      </c>
      <c r="F101">
        <f>IF(AND(SUM(VLOOKUP($A101,test!$A$3:$F$32,2,FALSE),VLOOKUP(F$1,test!$A$3:$F$32,2,FALSE))&lt;test!$K$16,$A101&lt;&gt;F$1,Recharged_Feasible_mat!G70=1),(VLOOKUP(F$1,test!$A$3:$I$32,8,FALSE))-(VLOOKUP($A101,test!$A$3:$I$32,9,FALSE))+test!$B$35,0)</f>
        <v>0</v>
      </c>
      <c r="G101">
        <f>IF(AND(SUM(VLOOKUP($A101,test!$A$3:$F$32,2,FALSE),VLOOKUP(G$1,test!$A$3:$F$32,2,FALSE))&lt;test!$K$16,$A101&lt;&gt;G$1,Recharged_Feasible_mat!H70=1),(VLOOKUP(G$1,test!$A$3:$I$32,8,FALSE))-(VLOOKUP($A101,test!$A$3:$I$32,9,FALSE))+test!$B$35,0)</f>
        <v>0</v>
      </c>
      <c r="H101">
        <f>IF(AND(SUM(VLOOKUP($A101,test!$A$3:$F$32,2,FALSE),VLOOKUP(H$1,test!$A$3:$F$32,2,FALSE))&lt;test!$K$16,$A101&lt;&gt;H$1,Recharged_Feasible_mat!I70=1),(VLOOKUP(H$1,test!$A$3:$I$32,8,FALSE))-(VLOOKUP($A101,test!$A$3:$I$32,9,FALSE))+test!$B$35,0)</f>
        <v>0</v>
      </c>
      <c r="I101">
        <f>IF(AND(SUM(VLOOKUP($A101,test!$A$3:$F$32,2,FALSE),VLOOKUP(I$1,test!$A$3:$F$32,2,FALSE))&lt;test!$K$16,$A101&lt;&gt;I$1,Recharged_Feasible_mat!J70=1),(VLOOKUP(I$1,test!$A$3:$I$32,8,FALSE))-(VLOOKUP($A101,test!$A$3:$I$32,9,FALSE))+test!$B$35,0)</f>
        <v>0</v>
      </c>
      <c r="J101">
        <f>IF(AND(SUM(VLOOKUP($A101,test!$A$3:$F$32,2,FALSE),VLOOKUP(J$1,test!$A$3:$F$32,2,FALSE))&lt;test!$K$16,$A101&lt;&gt;J$1,Recharged_Feasible_mat!K70=1),(VLOOKUP(J$1,test!$A$3:$I$32,8,FALSE))-(VLOOKUP($A101,test!$A$3:$I$32,9,FALSE))+test!$B$35,0)</f>
        <v>0</v>
      </c>
      <c r="K101">
        <f>IF(AND(SUM(VLOOKUP($A101,test!$A$3:$F$32,2,FALSE),VLOOKUP(K$1,test!$A$3:$F$32,2,FALSE))&lt;test!$K$16,$A101&lt;&gt;K$1,Recharged_Feasible_mat!L70=1),(VLOOKUP(K$1,test!$A$3:$I$32,8,FALSE))-(VLOOKUP($A101,test!$A$3:$I$32,9,FALSE))+test!$B$35,0)</f>
        <v>0</v>
      </c>
      <c r="L101">
        <f>IF(AND(SUM(VLOOKUP($A101,test!$A$3:$F$32,2,FALSE),VLOOKUP(L$1,test!$A$3:$F$32,2,FALSE))&lt;test!$K$16,$A101&lt;&gt;L$1,Recharged_Feasible_mat!M70=1),(VLOOKUP(L$1,test!$A$3:$I$32,8,FALSE))-(VLOOKUP($A101,test!$A$3:$I$32,9,FALSE))+test!$B$35,0)</f>
        <v>0</v>
      </c>
      <c r="M101">
        <f>IF(AND(SUM(VLOOKUP($A101,test!$A$3:$F$32,2,FALSE),VLOOKUP(M$1,test!$A$3:$F$32,2,FALSE))&lt;test!$K$16,$A101&lt;&gt;M$1,Recharged_Feasible_mat!N70=1),(VLOOKUP(M$1,test!$A$3:$I$32,8,FALSE))-(VLOOKUP($A101,test!$A$3:$I$32,9,FALSE))+test!$B$35,0)</f>
        <v>0</v>
      </c>
      <c r="N101">
        <f>IF(AND(SUM(VLOOKUP($A101,test!$A$3:$F$32,2,FALSE),VLOOKUP(N$1,test!$A$3:$F$32,2,FALSE))&lt;test!$K$16,$A101&lt;&gt;N$1,Recharged_Feasible_mat!O70=1),(VLOOKUP(N$1,test!$A$3:$I$32,8,FALSE))-(VLOOKUP($A101,test!$A$3:$I$32,9,FALSE))+test!$B$35,0)</f>
        <v>0</v>
      </c>
      <c r="O101">
        <f>IF(AND(SUM(VLOOKUP($A101,test!$A$3:$F$32,2,FALSE),VLOOKUP(O$1,test!$A$3:$F$32,2,FALSE))&lt;test!$K$16,$A101&lt;&gt;O$1,Recharged_Feasible_mat!P70=1),(VLOOKUP(O$1,test!$A$3:$I$32,8,FALSE))-(VLOOKUP($A101,test!$A$3:$I$32,9,FALSE))+test!$B$35,0)</f>
        <v>0</v>
      </c>
      <c r="P101">
        <f>IF(AND(SUM(VLOOKUP($A101,test!$A$3:$F$32,2,FALSE),VLOOKUP(P$1,test!$A$3:$F$32,2,FALSE))&lt;test!$K$16,$A101&lt;&gt;P$1,Recharged_Feasible_mat!Q70=1),(VLOOKUP(P$1,test!$A$3:$I$32,8,FALSE))-(VLOOKUP($A101,test!$A$3:$I$32,9,FALSE))+test!$B$35,0)</f>
        <v>0</v>
      </c>
      <c r="Q101">
        <f>IF(AND(SUM(VLOOKUP($A101,test!$A$3:$F$32,2,FALSE),VLOOKUP(Q$1,test!$A$3:$F$32,2,FALSE))&lt;test!$K$16,$A101&lt;&gt;Q$1,Recharged_Feasible_mat!R70=1),(VLOOKUP(Q$1,test!$A$3:$I$32,8,FALSE))-(VLOOKUP($A101,test!$A$3:$I$32,9,FALSE))+test!$B$35,0)</f>
        <v>0</v>
      </c>
      <c r="R101">
        <f>IF(AND(SUM(VLOOKUP($A101,test!$A$3:$F$32,2,FALSE),VLOOKUP(R$1,test!$A$3:$F$32,2,FALSE))&lt;test!$K$16,$A101&lt;&gt;R$1,Recharged_Feasible_mat!S70=1),(VLOOKUP(R$1,test!$A$3:$I$32,8,FALSE))-(VLOOKUP($A101,test!$A$3:$I$32,9,FALSE))+test!$B$35,0)</f>
        <v>0</v>
      </c>
      <c r="S101">
        <f>IF(AND(SUM(VLOOKUP($A101,test!$A$3:$F$32,2,FALSE),VLOOKUP(S$1,test!$A$3:$F$32,2,FALSE))&lt;test!$K$16,$A101&lt;&gt;S$1,Recharged_Feasible_mat!T70=1),(VLOOKUP(S$1,test!$A$3:$I$32,8,FALSE))-(VLOOKUP($A101,test!$A$3:$I$32,9,FALSE))+test!$B$35,0)</f>
        <v>0</v>
      </c>
      <c r="T101">
        <f>IF(AND(SUM(VLOOKUP($A101,test!$A$3:$F$32,2,FALSE),VLOOKUP(T$1,test!$A$3:$F$32,2,FALSE))&lt;test!$K$16,$A101&lt;&gt;T$1,Recharged_Feasible_mat!U70=1),(VLOOKUP(T$1,test!$A$3:$I$32,8,FALSE))-(VLOOKUP($A101,test!$A$3:$I$32,9,FALSE))+test!$B$35,0)</f>
        <v>0</v>
      </c>
      <c r="U101">
        <f>IF(AND(SUM(VLOOKUP($A101,test!$A$3:$F$32,2,FALSE),VLOOKUP(U$1,test!$A$3:$F$32,2,FALSE))&lt;test!$K$16,$A101&lt;&gt;U$1,Recharged_Feasible_mat!V70=1),(VLOOKUP(U$1,test!$A$3:$I$32,8,FALSE))-(VLOOKUP($A101,test!$A$3:$I$32,9,FALSE))+test!$B$35,0)</f>
        <v>0</v>
      </c>
      <c r="V101">
        <f>IF(AND(SUM(VLOOKUP($A101,test!$A$3:$F$32,2,FALSE),VLOOKUP(V$1,test!$A$3:$F$32,2,FALSE))&lt;test!$K$16,$A101&lt;&gt;V$1,Recharged_Feasible_mat!W70=1),(VLOOKUP(V$1,test!$A$3:$I$32,8,FALSE))-(VLOOKUP($A101,test!$A$3:$I$32,9,FALSE))+test!$B$35,0)</f>
        <v>0</v>
      </c>
      <c r="W101">
        <f>IF(AND(SUM(VLOOKUP($A101,test!$A$3:$F$32,2,FALSE),VLOOKUP(W$1,test!$A$3:$F$32,2,FALSE))&lt;test!$K$16,$A101&lt;&gt;W$1,Recharged_Feasible_mat!X70=1),(VLOOKUP(W$1,test!$A$3:$I$32,8,FALSE))-(VLOOKUP($A101,test!$A$3:$I$32,9,FALSE))+test!$B$35,0)</f>
        <v>0</v>
      </c>
      <c r="X101">
        <f>IF(AND(SUM(VLOOKUP($A101,test!$A$3:$F$32,2,FALSE),VLOOKUP(X$1,test!$A$3:$F$32,2,FALSE))&lt;test!$K$16,$A101&lt;&gt;X$1,Recharged_Feasible_mat!Y70=1),(VLOOKUP(X$1,test!$A$3:$I$32,8,FALSE))-(VLOOKUP($A101,test!$A$3:$I$32,9,FALSE))+test!$B$35,0)</f>
        <v>0</v>
      </c>
      <c r="Y101">
        <f>IF(AND(SUM(VLOOKUP($A101,test!$A$3:$F$32,2,FALSE),VLOOKUP(Y$1,test!$A$3:$F$32,2,FALSE))&lt;test!$K$16,$A101&lt;&gt;Y$1,Recharged_Feasible_mat!Z70=1),(VLOOKUP(Y$1,test!$A$3:$I$32,8,FALSE))-(VLOOKUP($A101,test!$A$3:$I$32,9,FALSE))+test!$B$35,0)</f>
        <v>0</v>
      </c>
      <c r="Z101">
        <f>IF(AND(SUM(VLOOKUP($A101,test!$A$3:$F$32,2,FALSE),VLOOKUP(Z$1,test!$A$3:$F$32,2,FALSE))&lt;test!$K$16,$A101&lt;&gt;Z$1,Recharged_Feasible_mat!AA70=1),(VLOOKUP(Z$1,test!$A$3:$I$32,8,FALSE))-(VLOOKUP($A101,test!$A$3:$I$32,9,FALSE))+test!$B$35,0)</f>
        <v>0</v>
      </c>
      <c r="AA101">
        <f>IF(AND(SUM(VLOOKUP($A101,test!$A$3:$F$32,2,FALSE),VLOOKUP(AA$1,test!$A$3:$F$32,2,FALSE))&lt;test!$K$16,$A101&lt;&gt;AA$1,Recharged_Feasible_mat!AB70=1),(VLOOKUP(AA$1,test!$A$3:$I$32,8,FALSE))-(VLOOKUP($A101,test!$A$3:$I$32,9,FALSE))+test!$B$35,0)</f>
        <v>0</v>
      </c>
      <c r="AB101">
        <f>IF(AND(SUM(VLOOKUP($A101,test!$A$3:$F$32,2,FALSE),VLOOKUP(AB$1,test!$A$3:$F$32,2,FALSE))&lt;test!$K$16,$A101&lt;&gt;AB$1,Recharged_Feasible_mat!AC70=1),(VLOOKUP(AB$1,test!$A$3:$I$32,8,FALSE))-(VLOOKUP($A101,test!$A$3:$I$32,9,FALSE))+test!$B$35,0)</f>
        <v>0</v>
      </c>
      <c r="AC101">
        <f>IF(AND(SUM(VLOOKUP($A101,test!$A$3:$F$32,2,FALSE),VLOOKUP(AC$1,test!$A$3:$F$32,2,FALSE))&lt;test!$K$16,$A101&lt;&gt;AC$1,Recharged_Feasible_mat!AD70=1),(VLOOKUP(AC$1,test!$A$3:$I$32,8,FALSE))-(VLOOKUP($A101,test!$A$3:$I$32,9,FALSE))+test!$B$35,0)</f>
        <v>0</v>
      </c>
      <c r="AD101">
        <f>IF(AND(SUM(VLOOKUP($A101,test!$A$3:$F$32,2,FALSE),VLOOKUP(AD$1,test!$A$3:$F$32,2,FALSE))&lt;test!$K$16,$A101&lt;&gt;AD$1,Recharged_Feasible_mat!AE70=1),(VLOOKUP(AD$1,test!$A$3:$I$32,8,FALSE))-(VLOOKUP($A101,test!$A$3:$I$32,9,FALSE))+test!$B$35,0)</f>
        <v>0</v>
      </c>
      <c r="AE101">
        <f>IF(AND(SUM(VLOOKUP($A101,test!$A$3:$F$32,2,FALSE),VLOOKUP(AE$1,test!$A$3:$F$32,2,FALSE))&lt;test!$K$16,$A101&lt;&gt;AE$1,Recharged_Feasible_mat!AF70=1),(VLOOKUP(AE$1,test!$A$3:$I$32,8,FALSE))-(VLOOKUP($A101,test!$A$3:$I$32,9,FALSE))+test!$B$35,0)</f>
        <v>0</v>
      </c>
      <c r="AF101">
        <f>IF(AND(SUM(VLOOKUP($A101,test!$A$3:$F$32,2,FALSE),VLOOKUP(AF$1,test!$A$3:$F$32,2,FALSE))&lt;test!$K$16,$A101&lt;&gt;AF$1,Recharged_Feasible_mat!AG70=1),(VLOOKUP(AF$1,test!$A$3:$I$32,8,FALSE))-(VLOOKUP($A101,test!$A$3:$I$32,9,FALSE))+test!$B$35,0)</f>
        <v>0</v>
      </c>
    </row>
    <row r="102" spans="1:32" x14ac:dyDescent="0.25">
      <c r="A102" t="s">
        <v>14</v>
      </c>
      <c r="B102">
        <v>0</v>
      </c>
      <c r="C102">
        <f>IF(AND(SUM(VLOOKUP($A102,test!$A$3:$F$32,2,FALSE),VLOOKUP(C$1,test!$A$3:$F$32,2,FALSE))&lt;test!$K$16,$A102&lt;&gt;C$1,Recharged_Feasible_mat!D71=1),(VLOOKUP(C$1,test!$A$3:$I$32,8,FALSE))-(VLOOKUP($A102,test!$A$3:$I$32,9,FALSE))+test!$B$35,0)</f>
        <v>0</v>
      </c>
      <c r="D102">
        <f>IF(AND(SUM(VLOOKUP($A102,test!$A$3:$F$32,2,FALSE),VLOOKUP(D$1,test!$A$3:$F$32,2,FALSE))&lt;test!$K$16,$A102&lt;&gt;D$1,Recharged_Feasible_mat!E71=1),(VLOOKUP(D$1,test!$A$3:$I$32,8,FALSE))-(VLOOKUP($A102,test!$A$3:$I$32,9,FALSE))+test!$B$35,0)</f>
        <v>0</v>
      </c>
      <c r="E102">
        <f>IF(AND(SUM(VLOOKUP($A102,test!$A$3:$F$32,2,FALSE),VLOOKUP(E$1,test!$A$3:$F$32,2,FALSE))&lt;test!$K$16,$A102&lt;&gt;E$1,Recharged_Feasible_mat!F71=1),(VLOOKUP(E$1,test!$A$3:$I$32,8,FALSE))-(VLOOKUP($A102,test!$A$3:$I$32,9,FALSE))+test!$B$35,0)</f>
        <v>0</v>
      </c>
      <c r="F102">
        <f>IF(AND(SUM(VLOOKUP($A102,test!$A$3:$F$32,2,FALSE),VLOOKUP(F$1,test!$A$3:$F$32,2,FALSE))&lt;test!$K$16,$A102&lt;&gt;F$1,Recharged_Feasible_mat!G71=1),(VLOOKUP(F$1,test!$A$3:$I$32,8,FALSE))-(VLOOKUP($A102,test!$A$3:$I$32,9,FALSE))+test!$B$35,0)</f>
        <v>0</v>
      </c>
      <c r="G102">
        <f>IF(AND(SUM(VLOOKUP($A102,test!$A$3:$F$32,2,FALSE),VLOOKUP(G$1,test!$A$3:$F$32,2,FALSE))&lt;test!$K$16,$A102&lt;&gt;G$1,Recharged_Feasible_mat!H71=1),(VLOOKUP(G$1,test!$A$3:$I$32,8,FALSE))-(VLOOKUP($A102,test!$A$3:$I$32,9,FALSE))+test!$B$35,0)</f>
        <v>0</v>
      </c>
      <c r="H102">
        <f>IF(AND(SUM(VLOOKUP($A102,test!$A$3:$F$32,2,FALSE),VLOOKUP(H$1,test!$A$3:$F$32,2,FALSE))&lt;test!$K$16,$A102&lt;&gt;H$1,Recharged_Feasible_mat!I71=1),(VLOOKUP(H$1,test!$A$3:$I$32,8,FALSE))-(VLOOKUP($A102,test!$A$3:$I$32,9,FALSE))+test!$B$35,0)</f>
        <v>0</v>
      </c>
      <c r="I102">
        <f>IF(AND(SUM(VLOOKUP($A102,test!$A$3:$F$32,2,FALSE),VLOOKUP(I$1,test!$A$3:$F$32,2,FALSE))&lt;test!$K$16,$A102&lt;&gt;I$1,Recharged_Feasible_mat!J71=1),(VLOOKUP(I$1,test!$A$3:$I$32,8,FALSE))-(VLOOKUP($A102,test!$A$3:$I$32,9,FALSE))+test!$B$35,0)</f>
        <v>0</v>
      </c>
      <c r="J102">
        <f>IF(AND(SUM(VLOOKUP($A102,test!$A$3:$F$32,2,FALSE),VLOOKUP(J$1,test!$A$3:$F$32,2,FALSE))&lt;test!$K$16,$A102&lt;&gt;J$1,Recharged_Feasible_mat!K71=1),(VLOOKUP(J$1,test!$A$3:$I$32,8,FALSE))-(VLOOKUP($A102,test!$A$3:$I$32,9,FALSE))+test!$B$35,0)</f>
        <v>0</v>
      </c>
      <c r="K102">
        <f>IF(AND(SUM(VLOOKUP($A102,test!$A$3:$F$32,2,FALSE),VLOOKUP(K$1,test!$A$3:$F$32,2,FALSE))&lt;test!$K$16,$A102&lt;&gt;K$1,Recharged_Feasible_mat!L71=1),(VLOOKUP(K$1,test!$A$3:$I$32,8,FALSE))-(VLOOKUP($A102,test!$A$3:$I$32,9,FALSE))+test!$B$35,0)</f>
        <v>0</v>
      </c>
      <c r="L102">
        <f>IF(AND(SUM(VLOOKUP($A102,test!$A$3:$F$32,2,FALSE),VLOOKUP(L$1,test!$A$3:$F$32,2,FALSE))&lt;test!$K$16,$A102&lt;&gt;L$1,Recharged_Feasible_mat!M71=1),(VLOOKUP(L$1,test!$A$3:$I$32,8,FALSE))-(VLOOKUP($A102,test!$A$3:$I$32,9,FALSE))+test!$B$35,0)</f>
        <v>0</v>
      </c>
      <c r="M102">
        <f>IF(AND(SUM(VLOOKUP($A102,test!$A$3:$F$32,2,FALSE),VLOOKUP(M$1,test!$A$3:$F$32,2,FALSE))&lt;test!$K$16,$A102&lt;&gt;M$1,Recharged_Feasible_mat!N71=1),(VLOOKUP(M$1,test!$A$3:$I$32,8,FALSE))-(VLOOKUP($A102,test!$A$3:$I$32,9,FALSE))+test!$B$35,0)</f>
        <v>0</v>
      </c>
      <c r="N102">
        <f>IF(AND(SUM(VLOOKUP($A102,test!$A$3:$F$32,2,FALSE),VLOOKUP(N$1,test!$A$3:$F$32,2,FALSE))&lt;test!$K$16,$A102&lt;&gt;N$1,Recharged_Feasible_mat!O71=1),(VLOOKUP(N$1,test!$A$3:$I$32,8,FALSE))-(VLOOKUP($A102,test!$A$3:$I$32,9,FALSE))+test!$B$35,0)</f>
        <v>0</v>
      </c>
      <c r="O102">
        <f>IF(AND(SUM(VLOOKUP($A102,test!$A$3:$F$32,2,FALSE),VLOOKUP(O$1,test!$A$3:$F$32,2,FALSE))&lt;test!$K$16,$A102&lt;&gt;O$1,Recharged_Feasible_mat!P71=1),(VLOOKUP(O$1,test!$A$3:$I$32,8,FALSE))-(VLOOKUP($A102,test!$A$3:$I$32,9,FALSE))+test!$B$35,0)</f>
        <v>0</v>
      </c>
      <c r="P102">
        <f>IF(AND(SUM(VLOOKUP($A102,test!$A$3:$F$32,2,FALSE),VLOOKUP(P$1,test!$A$3:$F$32,2,FALSE))&lt;test!$K$16,$A102&lt;&gt;P$1,Recharged_Feasible_mat!Q71=1),(VLOOKUP(P$1,test!$A$3:$I$32,8,FALSE))-(VLOOKUP($A102,test!$A$3:$I$32,9,FALSE))+test!$B$35,0)</f>
        <v>0</v>
      </c>
      <c r="Q102">
        <f>IF(AND(SUM(VLOOKUP($A102,test!$A$3:$F$32,2,FALSE),VLOOKUP(Q$1,test!$A$3:$F$32,2,FALSE))&lt;test!$K$16,$A102&lt;&gt;Q$1,Recharged_Feasible_mat!R71=1),(VLOOKUP(Q$1,test!$A$3:$I$32,8,FALSE))-(VLOOKUP($A102,test!$A$3:$I$32,9,FALSE))+test!$B$35,0)</f>
        <v>0</v>
      </c>
      <c r="R102">
        <f>IF(AND(SUM(VLOOKUP($A102,test!$A$3:$F$32,2,FALSE),VLOOKUP(R$1,test!$A$3:$F$32,2,FALSE))&lt;test!$K$16,$A102&lt;&gt;R$1,Recharged_Feasible_mat!S71=1),(VLOOKUP(R$1,test!$A$3:$I$32,8,FALSE))-(VLOOKUP($A102,test!$A$3:$I$32,9,FALSE))+test!$B$35,0)</f>
        <v>0</v>
      </c>
      <c r="S102">
        <f>IF(AND(SUM(VLOOKUP($A102,test!$A$3:$F$32,2,FALSE),VLOOKUP(S$1,test!$A$3:$F$32,2,FALSE))&lt;test!$K$16,$A102&lt;&gt;S$1,Recharged_Feasible_mat!T71=1),(VLOOKUP(S$1,test!$A$3:$I$32,8,FALSE))-(VLOOKUP($A102,test!$A$3:$I$32,9,FALSE))+test!$B$35,0)</f>
        <v>0</v>
      </c>
      <c r="T102">
        <f>IF(AND(SUM(VLOOKUP($A102,test!$A$3:$F$32,2,FALSE),VLOOKUP(T$1,test!$A$3:$F$32,2,FALSE))&lt;test!$K$16,$A102&lt;&gt;T$1,Recharged_Feasible_mat!U71=1),(VLOOKUP(T$1,test!$A$3:$I$32,8,FALSE))-(VLOOKUP($A102,test!$A$3:$I$32,9,FALSE))+test!$B$35,0)</f>
        <v>0</v>
      </c>
      <c r="U102">
        <f>IF(AND(SUM(VLOOKUP($A102,test!$A$3:$F$32,2,FALSE),VLOOKUP(U$1,test!$A$3:$F$32,2,FALSE))&lt;test!$K$16,$A102&lt;&gt;U$1,Recharged_Feasible_mat!V71=1),(VLOOKUP(U$1,test!$A$3:$I$32,8,FALSE))-(VLOOKUP($A102,test!$A$3:$I$32,9,FALSE))+test!$B$35,0)</f>
        <v>0</v>
      </c>
      <c r="V102">
        <f>IF(AND(SUM(VLOOKUP($A102,test!$A$3:$F$32,2,FALSE),VLOOKUP(V$1,test!$A$3:$F$32,2,FALSE))&lt;test!$K$16,$A102&lt;&gt;V$1,Recharged_Feasible_mat!W71=1),(VLOOKUP(V$1,test!$A$3:$I$32,8,FALSE))-(VLOOKUP($A102,test!$A$3:$I$32,9,FALSE))+test!$B$35,0)</f>
        <v>0</v>
      </c>
      <c r="W102">
        <f>IF(AND(SUM(VLOOKUP($A102,test!$A$3:$F$32,2,FALSE),VLOOKUP(W$1,test!$A$3:$F$32,2,FALSE))&lt;test!$K$16,$A102&lt;&gt;W$1,Recharged_Feasible_mat!X71=1),(VLOOKUP(W$1,test!$A$3:$I$32,8,FALSE))-(VLOOKUP($A102,test!$A$3:$I$32,9,FALSE))+test!$B$35,0)</f>
        <v>0</v>
      </c>
      <c r="X102">
        <f>IF(AND(SUM(VLOOKUP($A102,test!$A$3:$F$32,2,FALSE),VLOOKUP(X$1,test!$A$3:$F$32,2,FALSE))&lt;test!$K$16,$A102&lt;&gt;X$1,Recharged_Feasible_mat!Y71=1),(VLOOKUP(X$1,test!$A$3:$I$32,8,FALSE))-(VLOOKUP($A102,test!$A$3:$I$32,9,FALSE))+test!$B$35,0)</f>
        <v>0</v>
      </c>
      <c r="Y102">
        <f>IF(AND(SUM(VLOOKUP($A102,test!$A$3:$F$32,2,FALSE),VLOOKUP(Y$1,test!$A$3:$F$32,2,FALSE))&lt;test!$K$16,$A102&lt;&gt;Y$1,Recharged_Feasible_mat!Z71=1),(VLOOKUP(Y$1,test!$A$3:$I$32,8,FALSE))-(VLOOKUP($A102,test!$A$3:$I$32,9,FALSE))+test!$B$35,0)</f>
        <v>0</v>
      </c>
      <c r="Z102">
        <f>IF(AND(SUM(VLOOKUP($A102,test!$A$3:$F$32,2,FALSE),VLOOKUP(Z$1,test!$A$3:$F$32,2,FALSE))&lt;test!$K$16,$A102&lt;&gt;Z$1,Recharged_Feasible_mat!AA71=1),(VLOOKUP(Z$1,test!$A$3:$I$32,8,FALSE))-(VLOOKUP($A102,test!$A$3:$I$32,9,FALSE))+test!$B$35,0)</f>
        <v>0</v>
      </c>
      <c r="AA102">
        <f>IF(AND(SUM(VLOOKUP($A102,test!$A$3:$F$32,2,FALSE),VLOOKUP(AA$1,test!$A$3:$F$32,2,FALSE))&lt;test!$K$16,$A102&lt;&gt;AA$1,Recharged_Feasible_mat!AB71=1),(VLOOKUP(AA$1,test!$A$3:$I$32,8,FALSE))-(VLOOKUP($A102,test!$A$3:$I$32,9,FALSE))+test!$B$35,0)</f>
        <v>0</v>
      </c>
      <c r="AB102">
        <f>IF(AND(SUM(VLOOKUP($A102,test!$A$3:$F$32,2,FALSE),VLOOKUP(AB$1,test!$A$3:$F$32,2,FALSE))&lt;test!$K$16,$A102&lt;&gt;AB$1,Recharged_Feasible_mat!AC71=1),(VLOOKUP(AB$1,test!$A$3:$I$32,8,FALSE))-(VLOOKUP($A102,test!$A$3:$I$32,9,FALSE))+test!$B$35,0)</f>
        <v>0</v>
      </c>
      <c r="AC102">
        <f>IF(AND(SUM(VLOOKUP($A102,test!$A$3:$F$32,2,FALSE),VLOOKUP(AC$1,test!$A$3:$F$32,2,FALSE))&lt;test!$K$16,$A102&lt;&gt;AC$1,Recharged_Feasible_mat!AD71=1),(VLOOKUP(AC$1,test!$A$3:$I$32,8,FALSE))-(VLOOKUP($A102,test!$A$3:$I$32,9,FALSE))+test!$B$35,0)</f>
        <v>0</v>
      </c>
      <c r="AD102">
        <f>IF(AND(SUM(VLOOKUP($A102,test!$A$3:$F$32,2,FALSE),VLOOKUP(AD$1,test!$A$3:$F$32,2,FALSE))&lt;test!$K$16,$A102&lt;&gt;AD$1,Recharged_Feasible_mat!AE71=1),(VLOOKUP(AD$1,test!$A$3:$I$32,8,FALSE))-(VLOOKUP($A102,test!$A$3:$I$32,9,FALSE))+test!$B$35,0)</f>
        <v>0</v>
      </c>
      <c r="AE102">
        <f>IF(AND(SUM(VLOOKUP($A102,test!$A$3:$F$32,2,FALSE),VLOOKUP(AE$1,test!$A$3:$F$32,2,FALSE))&lt;test!$K$16,$A102&lt;&gt;AE$1,Recharged_Feasible_mat!AF71=1),(VLOOKUP(AE$1,test!$A$3:$I$32,8,FALSE))-(VLOOKUP($A102,test!$A$3:$I$32,9,FALSE))+test!$B$35,0)</f>
        <v>0</v>
      </c>
      <c r="AF102">
        <f>IF(AND(SUM(VLOOKUP($A102,test!$A$3:$F$32,2,FALSE),VLOOKUP(AF$1,test!$A$3:$F$32,2,FALSE))&lt;test!$K$16,$A102&lt;&gt;AF$1,Recharged_Feasible_mat!AG71=1),(VLOOKUP(AF$1,test!$A$3:$I$32,8,FALSE))-(VLOOKUP($A102,test!$A$3:$I$32,9,FALSE))+test!$B$35,0)</f>
        <v>0</v>
      </c>
    </row>
    <row r="103" spans="1:32" x14ac:dyDescent="0.25">
      <c r="A103" t="s">
        <v>15</v>
      </c>
      <c r="B103">
        <v>0</v>
      </c>
      <c r="C103">
        <f>IF(AND(SUM(VLOOKUP($A103,test!$A$3:$F$32,2,FALSE),VLOOKUP(C$1,test!$A$3:$F$32,2,FALSE))&lt;test!$K$16,$A103&lt;&gt;C$1,Recharged_Feasible_mat!D72=1),(VLOOKUP(C$1,test!$A$3:$I$32,8,FALSE))-(VLOOKUP($A103,test!$A$3:$I$32,9,FALSE))+test!$B$35,0)</f>
        <v>0</v>
      </c>
      <c r="D103">
        <f>IF(AND(SUM(VLOOKUP($A103,test!$A$3:$F$32,2,FALSE),VLOOKUP(D$1,test!$A$3:$F$32,2,FALSE))&lt;test!$K$16,$A103&lt;&gt;D$1,Recharged_Feasible_mat!E72=1),(VLOOKUP(D$1,test!$A$3:$I$32,8,FALSE))-(VLOOKUP($A103,test!$A$3:$I$32,9,FALSE))+test!$B$35,0)</f>
        <v>0</v>
      </c>
      <c r="E103">
        <f>IF(AND(SUM(VLOOKUP($A103,test!$A$3:$F$32,2,FALSE),VLOOKUP(E$1,test!$A$3:$F$32,2,FALSE))&lt;test!$K$16,$A103&lt;&gt;E$1,Recharged_Feasible_mat!F72=1),(VLOOKUP(E$1,test!$A$3:$I$32,8,FALSE))-(VLOOKUP($A103,test!$A$3:$I$32,9,FALSE))+test!$B$35,0)</f>
        <v>0</v>
      </c>
      <c r="F103">
        <f>IF(AND(SUM(VLOOKUP($A103,test!$A$3:$F$32,2,FALSE),VLOOKUP(F$1,test!$A$3:$F$32,2,FALSE))&lt;test!$K$16,$A103&lt;&gt;F$1,Recharged_Feasible_mat!G72=1),(VLOOKUP(F$1,test!$A$3:$I$32,8,FALSE))-(VLOOKUP($A103,test!$A$3:$I$32,9,FALSE))+test!$B$35,0)</f>
        <v>0</v>
      </c>
      <c r="G103">
        <f>IF(AND(SUM(VLOOKUP($A103,test!$A$3:$F$32,2,FALSE),VLOOKUP(G$1,test!$A$3:$F$32,2,FALSE))&lt;test!$K$16,$A103&lt;&gt;G$1,Recharged_Feasible_mat!H72=1),(VLOOKUP(G$1,test!$A$3:$I$32,8,FALSE))-(VLOOKUP($A103,test!$A$3:$I$32,9,FALSE))+test!$B$35,0)</f>
        <v>0</v>
      </c>
      <c r="H103">
        <f>IF(AND(SUM(VLOOKUP($A103,test!$A$3:$F$32,2,FALSE),VLOOKUP(H$1,test!$A$3:$F$32,2,FALSE))&lt;test!$K$16,$A103&lt;&gt;H$1,Recharged_Feasible_mat!I72=1),(VLOOKUP(H$1,test!$A$3:$I$32,8,FALSE))-(VLOOKUP($A103,test!$A$3:$I$32,9,FALSE))+test!$B$35,0)</f>
        <v>0</v>
      </c>
      <c r="I103">
        <f>IF(AND(SUM(VLOOKUP($A103,test!$A$3:$F$32,2,FALSE),VLOOKUP(I$1,test!$A$3:$F$32,2,FALSE))&lt;test!$K$16,$A103&lt;&gt;I$1,Recharged_Feasible_mat!J72=1),(VLOOKUP(I$1,test!$A$3:$I$32,8,FALSE))-(VLOOKUP($A103,test!$A$3:$I$32,9,FALSE))+test!$B$35,0)</f>
        <v>0</v>
      </c>
      <c r="J103">
        <f>IF(AND(SUM(VLOOKUP($A103,test!$A$3:$F$32,2,FALSE),VLOOKUP(J$1,test!$A$3:$F$32,2,FALSE))&lt;test!$K$16,$A103&lt;&gt;J$1,Recharged_Feasible_mat!K72=1),(VLOOKUP(J$1,test!$A$3:$I$32,8,FALSE))-(VLOOKUP($A103,test!$A$3:$I$32,9,FALSE))+test!$B$35,0)</f>
        <v>0</v>
      </c>
      <c r="K103">
        <f>IF(AND(SUM(VLOOKUP($A103,test!$A$3:$F$32,2,FALSE),VLOOKUP(K$1,test!$A$3:$F$32,2,FALSE))&lt;test!$K$16,$A103&lt;&gt;K$1,Recharged_Feasible_mat!L72=1),(VLOOKUP(K$1,test!$A$3:$I$32,8,FALSE))-(VLOOKUP($A103,test!$A$3:$I$32,9,FALSE))+test!$B$35,0)</f>
        <v>0</v>
      </c>
      <c r="L103">
        <f>IF(AND(SUM(VLOOKUP($A103,test!$A$3:$F$32,2,FALSE),VLOOKUP(L$1,test!$A$3:$F$32,2,FALSE))&lt;test!$K$16,$A103&lt;&gt;L$1,Recharged_Feasible_mat!M72=1),(VLOOKUP(L$1,test!$A$3:$I$32,8,FALSE))-(VLOOKUP($A103,test!$A$3:$I$32,9,FALSE))+test!$B$35,0)</f>
        <v>0</v>
      </c>
      <c r="M103">
        <f>IF(AND(SUM(VLOOKUP($A103,test!$A$3:$F$32,2,FALSE),VLOOKUP(M$1,test!$A$3:$F$32,2,FALSE))&lt;test!$K$16,$A103&lt;&gt;M$1,Recharged_Feasible_mat!N72=1),(VLOOKUP(M$1,test!$A$3:$I$32,8,FALSE))-(VLOOKUP($A103,test!$A$3:$I$32,9,FALSE))+test!$B$35,0)</f>
        <v>0</v>
      </c>
      <c r="N103">
        <f>IF(AND(SUM(VLOOKUP($A103,test!$A$3:$F$32,2,FALSE),VLOOKUP(N$1,test!$A$3:$F$32,2,FALSE))&lt;test!$K$16,$A103&lt;&gt;N$1,Recharged_Feasible_mat!O72=1),(VLOOKUP(N$1,test!$A$3:$I$32,8,FALSE))-(VLOOKUP($A103,test!$A$3:$I$32,9,FALSE))+test!$B$35,0)</f>
        <v>0</v>
      </c>
      <c r="O103">
        <f>IF(AND(SUM(VLOOKUP($A103,test!$A$3:$F$32,2,FALSE),VLOOKUP(O$1,test!$A$3:$F$32,2,FALSE))&lt;test!$K$16,$A103&lt;&gt;O$1,Recharged_Feasible_mat!P72=1),(VLOOKUP(O$1,test!$A$3:$I$32,8,FALSE))-(VLOOKUP($A103,test!$A$3:$I$32,9,FALSE))+test!$B$35,0)</f>
        <v>0</v>
      </c>
      <c r="P103">
        <f>IF(AND(SUM(VLOOKUP($A103,test!$A$3:$F$32,2,FALSE),VLOOKUP(P$1,test!$A$3:$F$32,2,FALSE))&lt;test!$K$16,$A103&lt;&gt;P$1,Recharged_Feasible_mat!Q72=1),(VLOOKUP(P$1,test!$A$3:$I$32,8,FALSE))-(VLOOKUP($A103,test!$A$3:$I$32,9,FALSE))+test!$B$35,0)</f>
        <v>0</v>
      </c>
      <c r="Q103">
        <f>IF(AND(SUM(VLOOKUP($A103,test!$A$3:$F$32,2,FALSE),VLOOKUP(Q$1,test!$A$3:$F$32,2,FALSE))&lt;test!$K$16,$A103&lt;&gt;Q$1,Recharged_Feasible_mat!R72=1),(VLOOKUP(Q$1,test!$A$3:$I$32,8,FALSE))-(VLOOKUP($A103,test!$A$3:$I$32,9,FALSE))+test!$B$35,0)</f>
        <v>0</v>
      </c>
      <c r="R103">
        <f>IF(AND(SUM(VLOOKUP($A103,test!$A$3:$F$32,2,FALSE),VLOOKUP(R$1,test!$A$3:$F$32,2,FALSE))&lt;test!$K$16,$A103&lt;&gt;R$1,Recharged_Feasible_mat!S72=1),(VLOOKUP(R$1,test!$A$3:$I$32,8,FALSE))-(VLOOKUP($A103,test!$A$3:$I$32,9,FALSE))+test!$B$35,0)</f>
        <v>0</v>
      </c>
      <c r="S103">
        <f>IF(AND(SUM(VLOOKUP($A103,test!$A$3:$F$32,2,FALSE),VLOOKUP(S$1,test!$A$3:$F$32,2,FALSE))&lt;test!$K$16,$A103&lt;&gt;S$1,Recharged_Feasible_mat!T72=1),(VLOOKUP(S$1,test!$A$3:$I$32,8,FALSE))-(VLOOKUP($A103,test!$A$3:$I$32,9,FALSE))+test!$B$35,0)</f>
        <v>0</v>
      </c>
      <c r="T103">
        <f>IF(AND(SUM(VLOOKUP($A103,test!$A$3:$F$32,2,FALSE),VLOOKUP(T$1,test!$A$3:$F$32,2,FALSE))&lt;test!$K$16,$A103&lt;&gt;T$1,Recharged_Feasible_mat!U72=1),(VLOOKUP(T$1,test!$A$3:$I$32,8,FALSE))-(VLOOKUP($A103,test!$A$3:$I$32,9,FALSE))+test!$B$35,0)</f>
        <v>0</v>
      </c>
      <c r="U103">
        <f>IF(AND(SUM(VLOOKUP($A103,test!$A$3:$F$32,2,FALSE),VLOOKUP(U$1,test!$A$3:$F$32,2,FALSE))&lt;test!$K$16,$A103&lt;&gt;U$1,Recharged_Feasible_mat!V72=1),(VLOOKUP(U$1,test!$A$3:$I$32,8,FALSE))-(VLOOKUP($A103,test!$A$3:$I$32,9,FALSE))+test!$B$35,0)</f>
        <v>0</v>
      </c>
      <c r="V103">
        <f>IF(AND(SUM(VLOOKUP($A103,test!$A$3:$F$32,2,FALSE),VLOOKUP(V$1,test!$A$3:$F$32,2,FALSE))&lt;test!$K$16,$A103&lt;&gt;V$1,Recharged_Feasible_mat!W72=1),(VLOOKUP(V$1,test!$A$3:$I$32,8,FALSE))-(VLOOKUP($A103,test!$A$3:$I$32,9,FALSE))+test!$B$35,0)</f>
        <v>0</v>
      </c>
      <c r="W103">
        <f>IF(AND(SUM(VLOOKUP($A103,test!$A$3:$F$32,2,FALSE),VLOOKUP(W$1,test!$A$3:$F$32,2,FALSE))&lt;test!$K$16,$A103&lt;&gt;W$1,Recharged_Feasible_mat!X72=1),(VLOOKUP(W$1,test!$A$3:$I$32,8,FALSE))-(VLOOKUP($A103,test!$A$3:$I$32,9,FALSE))+test!$B$35,0)</f>
        <v>0</v>
      </c>
      <c r="X103">
        <f>IF(AND(SUM(VLOOKUP($A103,test!$A$3:$F$32,2,FALSE),VLOOKUP(X$1,test!$A$3:$F$32,2,FALSE))&lt;test!$K$16,$A103&lt;&gt;X$1,Recharged_Feasible_mat!Y72=1),(VLOOKUP(X$1,test!$A$3:$I$32,8,FALSE))-(VLOOKUP($A103,test!$A$3:$I$32,9,FALSE))+test!$B$35,0)</f>
        <v>0</v>
      </c>
      <c r="Y103">
        <f>IF(AND(SUM(VLOOKUP($A103,test!$A$3:$F$32,2,FALSE),VLOOKUP(Y$1,test!$A$3:$F$32,2,FALSE))&lt;test!$K$16,$A103&lt;&gt;Y$1,Recharged_Feasible_mat!Z72=1),(VLOOKUP(Y$1,test!$A$3:$I$32,8,FALSE))-(VLOOKUP($A103,test!$A$3:$I$32,9,FALSE))+test!$B$35,0)</f>
        <v>0</v>
      </c>
      <c r="Z103">
        <f>IF(AND(SUM(VLOOKUP($A103,test!$A$3:$F$32,2,FALSE),VLOOKUP(Z$1,test!$A$3:$F$32,2,FALSE))&lt;test!$K$16,$A103&lt;&gt;Z$1,Recharged_Feasible_mat!AA72=1),(VLOOKUP(Z$1,test!$A$3:$I$32,8,FALSE))-(VLOOKUP($A103,test!$A$3:$I$32,9,FALSE))+test!$B$35,0)</f>
        <v>0</v>
      </c>
      <c r="AA103">
        <f>IF(AND(SUM(VLOOKUP($A103,test!$A$3:$F$32,2,FALSE),VLOOKUP(AA$1,test!$A$3:$F$32,2,FALSE))&lt;test!$K$16,$A103&lt;&gt;AA$1,Recharged_Feasible_mat!AB72=1),(VLOOKUP(AA$1,test!$A$3:$I$32,8,FALSE))-(VLOOKUP($A103,test!$A$3:$I$32,9,FALSE))+test!$B$35,0)</f>
        <v>0</v>
      </c>
      <c r="AB103">
        <f>IF(AND(SUM(VLOOKUP($A103,test!$A$3:$F$32,2,FALSE),VLOOKUP(AB$1,test!$A$3:$F$32,2,FALSE))&lt;test!$K$16,$A103&lt;&gt;AB$1,Recharged_Feasible_mat!AC72=1),(VLOOKUP(AB$1,test!$A$3:$I$32,8,FALSE))-(VLOOKUP($A103,test!$A$3:$I$32,9,FALSE))+test!$B$35,0)</f>
        <v>0</v>
      </c>
      <c r="AC103">
        <f>IF(AND(SUM(VLOOKUP($A103,test!$A$3:$F$32,2,FALSE),VLOOKUP(AC$1,test!$A$3:$F$32,2,FALSE))&lt;test!$K$16,$A103&lt;&gt;AC$1,Recharged_Feasible_mat!AD72=1),(VLOOKUP(AC$1,test!$A$3:$I$32,8,FALSE))-(VLOOKUP($A103,test!$A$3:$I$32,9,FALSE))+test!$B$35,0)</f>
        <v>0</v>
      </c>
      <c r="AD103">
        <f>IF(AND(SUM(VLOOKUP($A103,test!$A$3:$F$32,2,FALSE),VLOOKUP(AD$1,test!$A$3:$F$32,2,FALSE))&lt;test!$K$16,$A103&lt;&gt;AD$1,Recharged_Feasible_mat!AE72=1),(VLOOKUP(AD$1,test!$A$3:$I$32,8,FALSE))-(VLOOKUP($A103,test!$A$3:$I$32,9,FALSE))+test!$B$35,0)</f>
        <v>0</v>
      </c>
      <c r="AE103">
        <f>IF(AND(SUM(VLOOKUP($A103,test!$A$3:$F$32,2,FALSE),VLOOKUP(AE$1,test!$A$3:$F$32,2,FALSE))&lt;test!$K$16,$A103&lt;&gt;AE$1,Recharged_Feasible_mat!AF72=1),(VLOOKUP(AE$1,test!$A$3:$I$32,8,FALSE))-(VLOOKUP($A103,test!$A$3:$I$32,9,FALSE))+test!$B$35,0)</f>
        <v>0</v>
      </c>
      <c r="AF103">
        <f>IF(AND(SUM(VLOOKUP($A103,test!$A$3:$F$32,2,FALSE),VLOOKUP(AF$1,test!$A$3:$F$32,2,FALSE))&lt;test!$K$16,$A103&lt;&gt;AF$1,Recharged_Feasible_mat!AG72=1),(VLOOKUP(AF$1,test!$A$3:$I$32,8,FALSE))-(VLOOKUP($A103,test!$A$3:$I$32,9,FALSE))+test!$B$35,0)</f>
        <v>0</v>
      </c>
    </row>
    <row r="104" spans="1:32" x14ac:dyDescent="0.25">
      <c r="A104" t="s">
        <v>18</v>
      </c>
      <c r="B104">
        <v>0</v>
      </c>
      <c r="C104">
        <f>IF(AND(SUM(VLOOKUP($A104,test!$A$3:$F$32,2,FALSE),VLOOKUP(C$1,test!$A$3:$F$32,2,FALSE))&lt;test!$K$16,$A104&lt;&gt;C$1,Recharged_Feasible_mat!D73=1),(VLOOKUP(C$1,test!$A$3:$I$32,8,FALSE))-(VLOOKUP($A104,test!$A$3:$I$32,9,FALSE))+test!$B$35,0)</f>
        <v>0</v>
      </c>
      <c r="D104">
        <f>IF(AND(SUM(VLOOKUP($A104,test!$A$3:$F$32,2,FALSE),VLOOKUP(D$1,test!$A$3:$F$32,2,FALSE))&lt;test!$K$16,$A104&lt;&gt;D$1,Recharged_Feasible_mat!E73=1),(VLOOKUP(D$1,test!$A$3:$I$32,8,FALSE))-(VLOOKUP($A104,test!$A$3:$I$32,9,FALSE))+test!$B$35,0)</f>
        <v>0</v>
      </c>
      <c r="E104">
        <f>IF(AND(SUM(VLOOKUP($A104,test!$A$3:$F$32,2,FALSE),VLOOKUP(E$1,test!$A$3:$F$32,2,FALSE))&lt;test!$K$16,$A104&lt;&gt;E$1,Recharged_Feasible_mat!F73=1),(VLOOKUP(E$1,test!$A$3:$I$32,8,FALSE))-(VLOOKUP($A104,test!$A$3:$I$32,9,FALSE))+test!$B$35,0)</f>
        <v>0</v>
      </c>
      <c r="F104">
        <f>IF(AND(SUM(VLOOKUP($A104,test!$A$3:$F$32,2,FALSE),VLOOKUP(F$1,test!$A$3:$F$32,2,FALSE))&lt;test!$K$16,$A104&lt;&gt;F$1,Recharged_Feasible_mat!G73=1),(VLOOKUP(F$1,test!$A$3:$I$32,8,FALSE))-(VLOOKUP($A104,test!$A$3:$I$32,9,FALSE))+test!$B$35,0)</f>
        <v>275</v>
      </c>
      <c r="G104">
        <f>IF(AND(SUM(VLOOKUP($A104,test!$A$3:$F$32,2,FALSE),VLOOKUP(G$1,test!$A$3:$F$32,2,FALSE))&lt;test!$K$16,$A104&lt;&gt;G$1,Recharged_Feasible_mat!H73=1),(VLOOKUP(G$1,test!$A$3:$I$32,8,FALSE))-(VLOOKUP($A104,test!$A$3:$I$32,9,FALSE))+test!$B$35,0)</f>
        <v>335</v>
      </c>
      <c r="H104">
        <f>IF(AND(SUM(VLOOKUP($A104,test!$A$3:$F$32,2,FALSE),VLOOKUP(H$1,test!$A$3:$F$32,2,FALSE))&lt;test!$K$16,$A104&lt;&gt;H$1,Recharged_Feasible_mat!I73=1),(VLOOKUP(H$1,test!$A$3:$I$32,8,FALSE))-(VLOOKUP($A104,test!$A$3:$I$32,9,FALSE))+test!$B$35,0)</f>
        <v>395</v>
      </c>
      <c r="I104">
        <f>IF(AND(SUM(VLOOKUP($A104,test!$A$3:$F$32,2,FALSE),VLOOKUP(I$1,test!$A$3:$F$32,2,FALSE))&lt;test!$K$16,$A104&lt;&gt;I$1,Recharged_Feasible_mat!J73=1),(VLOOKUP(I$1,test!$A$3:$I$32,8,FALSE))-(VLOOKUP($A104,test!$A$3:$I$32,9,FALSE))+test!$B$35,0)</f>
        <v>455</v>
      </c>
      <c r="J104">
        <f>IF(AND(SUM(VLOOKUP($A104,test!$A$3:$F$32,2,FALSE),VLOOKUP(J$1,test!$A$3:$F$32,2,FALSE))&lt;test!$K$16,$A104&lt;&gt;J$1,Recharged_Feasible_mat!K73=1),(VLOOKUP(J$1,test!$A$3:$I$32,8,FALSE))-(VLOOKUP($A104,test!$A$3:$I$32,9,FALSE))+test!$B$35,0)</f>
        <v>545</v>
      </c>
      <c r="K104">
        <f>IF(AND(SUM(VLOOKUP($A104,test!$A$3:$F$32,2,FALSE),VLOOKUP(K$1,test!$A$3:$F$32,2,FALSE))&lt;test!$K$16,$A104&lt;&gt;K$1,Recharged_Feasible_mat!L73=1),(VLOOKUP(K$1,test!$A$3:$I$32,8,FALSE))-(VLOOKUP($A104,test!$A$3:$I$32,9,FALSE))+test!$B$35,0)</f>
        <v>0</v>
      </c>
      <c r="L104">
        <f>IF(AND(SUM(VLOOKUP($A104,test!$A$3:$F$32,2,FALSE),VLOOKUP(L$1,test!$A$3:$F$32,2,FALSE))&lt;test!$K$16,$A104&lt;&gt;L$1,Recharged_Feasible_mat!M73=1),(VLOOKUP(L$1,test!$A$3:$I$32,8,FALSE))-(VLOOKUP($A104,test!$A$3:$I$32,9,FALSE))+test!$B$35,0)</f>
        <v>0</v>
      </c>
      <c r="M104">
        <f>IF(AND(SUM(VLOOKUP($A104,test!$A$3:$F$32,2,FALSE),VLOOKUP(M$1,test!$A$3:$F$32,2,FALSE))&lt;test!$K$16,$A104&lt;&gt;M$1,Recharged_Feasible_mat!N73=1),(VLOOKUP(M$1,test!$A$3:$I$32,8,FALSE))-(VLOOKUP($A104,test!$A$3:$I$32,9,FALSE))+test!$B$35,0)</f>
        <v>0</v>
      </c>
      <c r="N104">
        <f>IF(AND(SUM(VLOOKUP($A104,test!$A$3:$F$32,2,FALSE),VLOOKUP(N$1,test!$A$3:$F$32,2,FALSE))&lt;test!$K$16,$A104&lt;&gt;N$1,Recharged_Feasible_mat!O73=1),(VLOOKUP(N$1,test!$A$3:$I$32,8,FALSE))-(VLOOKUP($A104,test!$A$3:$I$32,9,FALSE))+test!$B$35,0)</f>
        <v>510</v>
      </c>
      <c r="O104">
        <f>IF(AND(SUM(VLOOKUP($A104,test!$A$3:$F$32,2,FALSE),VLOOKUP(O$1,test!$A$3:$F$32,2,FALSE))&lt;test!$K$16,$A104&lt;&gt;O$1,Recharged_Feasible_mat!P73=1),(VLOOKUP(O$1,test!$A$3:$I$32,8,FALSE))-(VLOOKUP($A104,test!$A$3:$I$32,9,FALSE))+test!$B$35,0)</f>
        <v>570</v>
      </c>
      <c r="P104">
        <f>IF(AND(SUM(VLOOKUP($A104,test!$A$3:$F$32,2,FALSE),VLOOKUP(P$1,test!$A$3:$F$32,2,FALSE))&lt;test!$K$16,$A104&lt;&gt;P$1,Recharged_Feasible_mat!Q73=1),(VLOOKUP(P$1,test!$A$3:$I$32,8,FALSE))-(VLOOKUP($A104,test!$A$3:$I$32,9,FALSE))+test!$B$35,0)</f>
        <v>0</v>
      </c>
      <c r="Q104">
        <f>IF(AND(SUM(VLOOKUP($A104,test!$A$3:$F$32,2,FALSE),VLOOKUP(Q$1,test!$A$3:$F$32,2,FALSE))&lt;test!$K$16,$A104&lt;&gt;Q$1,Recharged_Feasible_mat!R73=1),(VLOOKUP(Q$1,test!$A$3:$I$32,8,FALSE))-(VLOOKUP($A104,test!$A$3:$I$32,9,FALSE))+test!$B$35,0)</f>
        <v>0</v>
      </c>
      <c r="R104">
        <f>IF(AND(SUM(VLOOKUP($A104,test!$A$3:$F$32,2,FALSE),VLOOKUP(R$1,test!$A$3:$F$32,2,FALSE))&lt;test!$K$16,$A104&lt;&gt;R$1,Recharged_Feasible_mat!S73=1),(VLOOKUP(R$1,test!$A$3:$I$32,8,FALSE))-(VLOOKUP($A104,test!$A$3:$I$32,9,FALSE))+test!$B$35,0)</f>
        <v>0</v>
      </c>
      <c r="S104">
        <f>IF(AND(SUM(VLOOKUP($A104,test!$A$3:$F$32,2,FALSE),VLOOKUP(S$1,test!$A$3:$F$32,2,FALSE))&lt;test!$K$16,$A104&lt;&gt;S$1,Recharged_Feasible_mat!T73=1),(VLOOKUP(S$1,test!$A$3:$I$32,8,FALSE))-(VLOOKUP($A104,test!$A$3:$I$32,9,FALSE))+test!$B$35,0)</f>
        <v>0</v>
      </c>
      <c r="T104">
        <f>IF(AND(SUM(VLOOKUP($A104,test!$A$3:$F$32,2,FALSE),VLOOKUP(T$1,test!$A$3:$F$32,2,FALSE))&lt;test!$K$16,$A104&lt;&gt;T$1,Recharged_Feasible_mat!U73=1),(VLOOKUP(T$1,test!$A$3:$I$32,8,FALSE))-(VLOOKUP($A104,test!$A$3:$I$32,9,FALSE))+test!$B$35,0)</f>
        <v>0</v>
      </c>
      <c r="U104">
        <f>IF(AND(SUM(VLOOKUP($A104,test!$A$3:$F$32,2,FALSE),VLOOKUP(U$1,test!$A$3:$F$32,2,FALSE))&lt;test!$K$16,$A104&lt;&gt;U$1,Recharged_Feasible_mat!V73=1),(VLOOKUP(U$1,test!$A$3:$I$32,8,FALSE))-(VLOOKUP($A104,test!$A$3:$I$32,9,FALSE))+test!$B$35,0)</f>
        <v>255</v>
      </c>
      <c r="V104">
        <f>IF(AND(SUM(VLOOKUP($A104,test!$A$3:$F$32,2,FALSE),VLOOKUP(V$1,test!$A$3:$F$32,2,FALSE))&lt;test!$K$16,$A104&lt;&gt;V$1,Recharged_Feasible_mat!W73=1),(VLOOKUP(V$1,test!$A$3:$I$32,8,FALSE))-(VLOOKUP($A104,test!$A$3:$I$32,9,FALSE))+test!$B$35,0)</f>
        <v>345</v>
      </c>
      <c r="W104">
        <f>IF(AND(SUM(VLOOKUP($A104,test!$A$3:$F$32,2,FALSE),VLOOKUP(W$1,test!$A$3:$F$32,2,FALSE))&lt;test!$K$16,$A104&lt;&gt;W$1,Recharged_Feasible_mat!X73=1),(VLOOKUP(W$1,test!$A$3:$I$32,8,FALSE))-(VLOOKUP($A104,test!$A$3:$I$32,9,FALSE))+test!$B$35,0)</f>
        <v>435</v>
      </c>
      <c r="X104">
        <f>IF(AND(SUM(VLOOKUP($A104,test!$A$3:$F$32,2,FALSE),VLOOKUP(X$1,test!$A$3:$F$32,2,FALSE))&lt;test!$K$16,$A104&lt;&gt;X$1,Recharged_Feasible_mat!Y73=1),(VLOOKUP(X$1,test!$A$3:$I$32,8,FALSE))-(VLOOKUP($A104,test!$A$3:$I$32,9,FALSE))+test!$B$35,0)</f>
        <v>495</v>
      </c>
      <c r="Y104">
        <f>IF(AND(SUM(VLOOKUP($A104,test!$A$3:$F$32,2,FALSE),VLOOKUP(Y$1,test!$A$3:$F$32,2,FALSE))&lt;test!$K$16,$A104&lt;&gt;Y$1,Recharged_Feasible_mat!Z73=1),(VLOOKUP(Y$1,test!$A$3:$I$32,8,FALSE))-(VLOOKUP($A104,test!$A$3:$I$32,9,FALSE))+test!$B$35,0)</f>
        <v>0</v>
      </c>
      <c r="Z104">
        <f>IF(AND(SUM(VLOOKUP($A104,test!$A$3:$F$32,2,FALSE),VLOOKUP(Z$1,test!$A$3:$F$32,2,FALSE))&lt;test!$K$16,$A104&lt;&gt;Z$1,Recharged_Feasible_mat!AA73=1),(VLOOKUP(Z$1,test!$A$3:$I$32,8,FALSE))-(VLOOKUP($A104,test!$A$3:$I$32,9,FALSE))+test!$B$35,0)</f>
        <v>0</v>
      </c>
      <c r="AA104">
        <f>IF(AND(SUM(VLOOKUP($A104,test!$A$3:$F$32,2,FALSE),VLOOKUP(AA$1,test!$A$3:$F$32,2,FALSE))&lt;test!$K$16,$A104&lt;&gt;AA$1,Recharged_Feasible_mat!AB73=1),(VLOOKUP(AA$1,test!$A$3:$I$32,8,FALSE))-(VLOOKUP($A104,test!$A$3:$I$32,9,FALSE))+test!$B$35,0)</f>
        <v>0</v>
      </c>
      <c r="AB104">
        <f>IF(AND(SUM(VLOOKUP($A104,test!$A$3:$F$32,2,FALSE),VLOOKUP(AB$1,test!$A$3:$F$32,2,FALSE))&lt;test!$K$16,$A104&lt;&gt;AB$1,Recharged_Feasible_mat!AC73=1),(VLOOKUP(AB$1,test!$A$3:$I$32,8,FALSE))-(VLOOKUP($A104,test!$A$3:$I$32,9,FALSE))+test!$B$35,0)</f>
        <v>275</v>
      </c>
      <c r="AC104">
        <f>IF(AND(SUM(VLOOKUP($A104,test!$A$3:$F$32,2,FALSE),VLOOKUP(AC$1,test!$A$3:$F$32,2,FALSE))&lt;test!$K$16,$A104&lt;&gt;AC$1,Recharged_Feasible_mat!AD73=1),(VLOOKUP(AC$1,test!$A$3:$I$32,8,FALSE))-(VLOOKUP($A104,test!$A$3:$I$32,9,FALSE))+test!$B$35,0)</f>
        <v>395</v>
      </c>
      <c r="AD104">
        <f>IF(AND(SUM(VLOOKUP($A104,test!$A$3:$F$32,2,FALSE),VLOOKUP(AD$1,test!$A$3:$F$32,2,FALSE))&lt;test!$K$16,$A104&lt;&gt;AD$1,Recharged_Feasible_mat!AE73=1),(VLOOKUP(AD$1,test!$A$3:$I$32,8,FALSE))-(VLOOKUP($A104,test!$A$3:$I$32,9,FALSE))+test!$B$35,0)</f>
        <v>0</v>
      </c>
      <c r="AE104">
        <f>IF(AND(SUM(VLOOKUP($A104,test!$A$3:$F$32,2,FALSE),VLOOKUP(AE$1,test!$A$3:$F$32,2,FALSE))&lt;test!$K$16,$A104&lt;&gt;AE$1,Recharged_Feasible_mat!AF73=1),(VLOOKUP(AE$1,test!$A$3:$I$32,8,FALSE))-(VLOOKUP($A104,test!$A$3:$I$32,9,FALSE))+test!$B$35,0)</f>
        <v>0</v>
      </c>
      <c r="AF104">
        <f>IF(AND(SUM(VLOOKUP($A104,test!$A$3:$F$32,2,FALSE),VLOOKUP(AF$1,test!$A$3:$F$32,2,FALSE))&lt;test!$K$16,$A104&lt;&gt;AF$1,Recharged_Feasible_mat!AG73=1),(VLOOKUP(AF$1,test!$A$3:$I$32,8,FALSE))-(VLOOKUP($A104,test!$A$3:$I$32,9,FALSE))+test!$B$35,0)</f>
        <v>0</v>
      </c>
    </row>
    <row r="105" spans="1:32" x14ac:dyDescent="0.25">
      <c r="A105" t="s">
        <v>20</v>
      </c>
      <c r="B105">
        <v>0</v>
      </c>
      <c r="C105">
        <f>IF(AND(SUM(VLOOKUP($A105,test!$A$3:$F$32,2,FALSE),VLOOKUP(C$1,test!$A$3:$F$32,2,FALSE))&lt;test!$K$16,$A105&lt;&gt;C$1,Recharged_Feasible_mat!D74=1),(VLOOKUP(C$1,test!$A$3:$I$32,8,FALSE))-(VLOOKUP($A105,test!$A$3:$I$32,9,FALSE))+test!$B$35,0)</f>
        <v>0</v>
      </c>
      <c r="D105">
        <f>IF(AND(SUM(VLOOKUP($A105,test!$A$3:$F$32,2,FALSE),VLOOKUP(D$1,test!$A$3:$F$32,2,FALSE))&lt;test!$K$16,$A105&lt;&gt;D$1,Recharged_Feasible_mat!E74=1),(VLOOKUP(D$1,test!$A$3:$I$32,8,FALSE))-(VLOOKUP($A105,test!$A$3:$I$32,9,FALSE))+test!$B$35,0)</f>
        <v>0</v>
      </c>
      <c r="E105">
        <f>IF(AND(SUM(VLOOKUP($A105,test!$A$3:$F$32,2,FALSE),VLOOKUP(E$1,test!$A$3:$F$32,2,FALSE))&lt;test!$K$16,$A105&lt;&gt;E$1,Recharged_Feasible_mat!F74=1),(VLOOKUP(E$1,test!$A$3:$I$32,8,FALSE))-(VLOOKUP($A105,test!$A$3:$I$32,9,FALSE))+test!$B$35,0)</f>
        <v>0</v>
      </c>
      <c r="F105">
        <f>IF(AND(SUM(VLOOKUP($A105,test!$A$3:$F$32,2,FALSE),VLOOKUP(F$1,test!$A$3:$F$32,2,FALSE))&lt;test!$K$16,$A105&lt;&gt;F$1,Recharged_Feasible_mat!G74=1),(VLOOKUP(F$1,test!$A$3:$I$32,8,FALSE))-(VLOOKUP($A105,test!$A$3:$I$32,9,FALSE))+test!$B$35,0)</f>
        <v>0</v>
      </c>
      <c r="G105">
        <f>IF(AND(SUM(VLOOKUP($A105,test!$A$3:$F$32,2,FALSE),VLOOKUP(G$1,test!$A$3:$F$32,2,FALSE))&lt;test!$K$16,$A105&lt;&gt;G$1,Recharged_Feasible_mat!H74=1),(VLOOKUP(G$1,test!$A$3:$I$32,8,FALSE))-(VLOOKUP($A105,test!$A$3:$I$32,9,FALSE))+test!$B$35,0)</f>
        <v>0</v>
      </c>
      <c r="H105">
        <f>IF(AND(SUM(VLOOKUP($A105,test!$A$3:$F$32,2,FALSE),VLOOKUP(H$1,test!$A$3:$F$32,2,FALSE))&lt;test!$K$16,$A105&lt;&gt;H$1,Recharged_Feasible_mat!I74=1),(VLOOKUP(H$1,test!$A$3:$I$32,8,FALSE))-(VLOOKUP($A105,test!$A$3:$I$32,9,FALSE))+test!$B$35,0)</f>
        <v>275</v>
      </c>
      <c r="I105">
        <f>IF(AND(SUM(VLOOKUP($A105,test!$A$3:$F$32,2,FALSE),VLOOKUP(I$1,test!$A$3:$F$32,2,FALSE))&lt;test!$K$16,$A105&lt;&gt;I$1,Recharged_Feasible_mat!J74=1),(VLOOKUP(I$1,test!$A$3:$I$32,8,FALSE))-(VLOOKUP($A105,test!$A$3:$I$32,9,FALSE))+test!$B$35,0)</f>
        <v>335</v>
      </c>
      <c r="J105">
        <f>IF(AND(SUM(VLOOKUP($A105,test!$A$3:$F$32,2,FALSE),VLOOKUP(J$1,test!$A$3:$F$32,2,FALSE))&lt;test!$K$16,$A105&lt;&gt;J$1,Recharged_Feasible_mat!K74=1),(VLOOKUP(J$1,test!$A$3:$I$32,8,FALSE))-(VLOOKUP($A105,test!$A$3:$I$32,9,FALSE))+test!$B$35,0)</f>
        <v>425</v>
      </c>
      <c r="K105">
        <f>IF(AND(SUM(VLOOKUP($A105,test!$A$3:$F$32,2,FALSE),VLOOKUP(K$1,test!$A$3:$F$32,2,FALSE))&lt;test!$K$16,$A105&lt;&gt;K$1,Recharged_Feasible_mat!L74=1),(VLOOKUP(K$1,test!$A$3:$I$32,8,FALSE))-(VLOOKUP($A105,test!$A$3:$I$32,9,FALSE))+test!$B$35,0)</f>
        <v>0</v>
      </c>
      <c r="L105">
        <f>IF(AND(SUM(VLOOKUP($A105,test!$A$3:$F$32,2,FALSE),VLOOKUP(L$1,test!$A$3:$F$32,2,FALSE))&lt;test!$K$16,$A105&lt;&gt;L$1,Recharged_Feasible_mat!M74=1),(VLOOKUP(L$1,test!$A$3:$I$32,8,FALSE))-(VLOOKUP($A105,test!$A$3:$I$32,9,FALSE))+test!$B$35,0)</f>
        <v>0</v>
      </c>
      <c r="M105">
        <f>IF(AND(SUM(VLOOKUP($A105,test!$A$3:$F$32,2,FALSE),VLOOKUP(M$1,test!$A$3:$F$32,2,FALSE))&lt;test!$K$16,$A105&lt;&gt;M$1,Recharged_Feasible_mat!N74=1),(VLOOKUP(M$1,test!$A$3:$I$32,8,FALSE))-(VLOOKUP($A105,test!$A$3:$I$32,9,FALSE))+test!$B$35,0)</f>
        <v>0</v>
      </c>
      <c r="N105">
        <f>IF(AND(SUM(VLOOKUP($A105,test!$A$3:$F$32,2,FALSE),VLOOKUP(N$1,test!$A$3:$F$32,2,FALSE))&lt;test!$K$16,$A105&lt;&gt;N$1,Recharged_Feasible_mat!O74=1),(VLOOKUP(N$1,test!$A$3:$I$32,8,FALSE))-(VLOOKUP($A105,test!$A$3:$I$32,9,FALSE))+test!$B$35,0)</f>
        <v>390</v>
      </c>
      <c r="O105">
        <f>IF(AND(SUM(VLOOKUP($A105,test!$A$3:$F$32,2,FALSE),VLOOKUP(O$1,test!$A$3:$F$32,2,FALSE))&lt;test!$K$16,$A105&lt;&gt;O$1,Recharged_Feasible_mat!P74=1),(VLOOKUP(O$1,test!$A$3:$I$32,8,FALSE))-(VLOOKUP($A105,test!$A$3:$I$32,9,FALSE))+test!$B$35,0)</f>
        <v>450</v>
      </c>
      <c r="P105">
        <f>IF(AND(SUM(VLOOKUP($A105,test!$A$3:$F$32,2,FALSE),VLOOKUP(P$1,test!$A$3:$F$32,2,FALSE))&lt;test!$K$16,$A105&lt;&gt;P$1,Recharged_Feasible_mat!Q74=1),(VLOOKUP(P$1,test!$A$3:$I$32,8,FALSE))-(VLOOKUP($A105,test!$A$3:$I$32,9,FALSE))+test!$B$35,0)</f>
        <v>0</v>
      </c>
      <c r="Q105">
        <f>IF(AND(SUM(VLOOKUP($A105,test!$A$3:$F$32,2,FALSE),VLOOKUP(Q$1,test!$A$3:$F$32,2,FALSE))&lt;test!$K$16,$A105&lt;&gt;Q$1,Recharged_Feasible_mat!R74=1),(VLOOKUP(Q$1,test!$A$3:$I$32,8,FALSE))-(VLOOKUP($A105,test!$A$3:$I$32,9,FALSE))+test!$B$35,0)</f>
        <v>0</v>
      </c>
      <c r="R105">
        <f>IF(AND(SUM(VLOOKUP($A105,test!$A$3:$F$32,2,FALSE),VLOOKUP(R$1,test!$A$3:$F$32,2,FALSE))&lt;test!$K$16,$A105&lt;&gt;R$1,Recharged_Feasible_mat!S74=1),(VLOOKUP(R$1,test!$A$3:$I$32,8,FALSE))-(VLOOKUP($A105,test!$A$3:$I$32,9,FALSE))+test!$B$35,0)</f>
        <v>0</v>
      </c>
      <c r="S105">
        <f>IF(AND(SUM(VLOOKUP($A105,test!$A$3:$F$32,2,FALSE),VLOOKUP(S$1,test!$A$3:$F$32,2,FALSE))&lt;test!$K$16,$A105&lt;&gt;S$1,Recharged_Feasible_mat!T74=1),(VLOOKUP(S$1,test!$A$3:$I$32,8,FALSE))-(VLOOKUP($A105,test!$A$3:$I$32,9,FALSE))+test!$B$35,0)</f>
        <v>0</v>
      </c>
      <c r="T105">
        <f>IF(AND(SUM(VLOOKUP($A105,test!$A$3:$F$32,2,FALSE),VLOOKUP(T$1,test!$A$3:$F$32,2,FALSE))&lt;test!$K$16,$A105&lt;&gt;T$1,Recharged_Feasible_mat!U74=1),(VLOOKUP(T$1,test!$A$3:$I$32,8,FALSE))-(VLOOKUP($A105,test!$A$3:$I$32,9,FALSE))+test!$B$35,0)</f>
        <v>0</v>
      </c>
      <c r="U105">
        <f>IF(AND(SUM(VLOOKUP($A105,test!$A$3:$F$32,2,FALSE),VLOOKUP(U$1,test!$A$3:$F$32,2,FALSE))&lt;test!$K$16,$A105&lt;&gt;U$1,Recharged_Feasible_mat!V74=1),(VLOOKUP(U$1,test!$A$3:$I$32,8,FALSE))-(VLOOKUP($A105,test!$A$3:$I$32,9,FALSE))+test!$B$35,0)</f>
        <v>0</v>
      </c>
      <c r="V105">
        <f>IF(AND(SUM(VLOOKUP($A105,test!$A$3:$F$32,2,FALSE),VLOOKUP(V$1,test!$A$3:$F$32,2,FALSE))&lt;test!$K$16,$A105&lt;&gt;V$1,Recharged_Feasible_mat!W74=1),(VLOOKUP(V$1,test!$A$3:$I$32,8,FALSE))-(VLOOKUP($A105,test!$A$3:$I$32,9,FALSE))+test!$B$35,0)</f>
        <v>0</v>
      </c>
      <c r="W105">
        <f>IF(AND(SUM(VLOOKUP($A105,test!$A$3:$F$32,2,FALSE),VLOOKUP(W$1,test!$A$3:$F$32,2,FALSE))&lt;test!$K$16,$A105&lt;&gt;W$1,Recharged_Feasible_mat!X74=1),(VLOOKUP(W$1,test!$A$3:$I$32,8,FALSE))-(VLOOKUP($A105,test!$A$3:$I$32,9,FALSE))+test!$B$35,0)</f>
        <v>315</v>
      </c>
      <c r="X105">
        <f>IF(AND(SUM(VLOOKUP($A105,test!$A$3:$F$32,2,FALSE),VLOOKUP(X$1,test!$A$3:$F$32,2,FALSE))&lt;test!$K$16,$A105&lt;&gt;X$1,Recharged_Feasible_mat!Y74=1),(VLOOKUP(X$1,test!$A$3:$I$32,8,FALSE))-(VLOOKUP($A105,test!$A$3:$I$32,9,FALSE))+test!$B$35,0)</f>
        <v>375</v>
      </c>
      <c r="Y105">
        <f>IF(AND(SUM(VLOOKUP($A105,test!$A$3:$F$32,2,FALSE),VLOOKUP(Y$1,test!$A$3:$F$32,2,FALSE))&lt;test!$K$16,$A105&lt;&gt;Y$1,Recharged_Feasible_mat!Z74=1),(VLOOKUP(Y$1,test!$A$3:$I$32,8,FALSE))-(VLOOKUP($A105,test!$A$3:$I$32,9,FALSE))+test!$B$35,0)</f>
        <v>0</v>
      </c>
      <c r="Z105">
        <f>IF(AND(SUM(VLOOKUP($A105,test!$A$3:$F$32,2,FALSE),VLOOKUP(Z$1,test!$A$3:$F$32,2,FALSE))&lt;test!$K$16,$A105&lt;&gt;Z$1,Recharged_Feasible_mat!AA74=1),(VLOOKUP(Z$1,test!$A$3:$I$32,8,FALSE))-(VLOOKUP($A105,test!$A$3:$I$32,9,FALSE))+test!$B$35,0)</f>
        <v>0</v>
      </c>
      <c r="AA105">
        <f>IF(AND(SUM(VLOOKUP($A105,test!$A$3:$F$32,2,FALSE),VLOOKUP(AA$1,test!$A$3:$F$32,2,FALSE))&lt;test!$K$16,$A105&lt;&gt;AA$1,Recharged_Feasible_mat!AB74=1),(VLOOKUP(AA$1,test!$A$3:$I$32,8,FALSE))-(VLOOKUP($A105,test!$A$3:$I$32,9,FALSE))+test!$B$35,0)</f>
        <v>0</v>
      </c>
      <c r="AB105">
        <f>IF(AND(SUM(VLOOKUP($A105,test!$A$3:$F$32,2,FALSE),VLOOKUP(AB$1,test!$A$3:$F$32,2,FALSE))&lt;test!$K$16,$A105&lt;&gt;AB$1,Recharged_Feasible_mat!AC74=1),(VLOOKUP(AB$1,test!$A$3:$I$32,8,FALSE))-(VLOOKUP($A105,test!$A$3:$I$32,9,FALSE))+test!$B$35,0)</f>
        <v>0</v>
      </c>
      <c r="AC105">
        <f>IF(AND(SUM(VLOOKUP($A105,test!$A$3:$F$32,2,FALSE),VLOOKUP(AC$1,test!$A$3:$F$32,2,FALSE))&lt;test!$K$16,$A105&lt;&gt;AC$1,Recharged_Feasible_mat!AD74=1),(VLOOKUP(AC$1,test!$A$3:$I$32,8,FALSE))-(VLOOKUP($A105,test!$A$3:$I$32,9,FALSE))+test!$B$35,0)</f>
        <v>275</v>
      </c>
      <c r="AD105">
        <f>IF(AND(SUM(VLOOKUP($A105,test!$A$3:$F$32,2,FALSE),VLOOKUP(AD$1,test!$A$3:$F$32,2,FALSE))&lt;test!$K$16,$A105&lt;&gt;AD$1,Recharged_Feasible_mat!AE74=1),(VLOOKUP(AD$1,test!$A$3:$I$32,8,FALSE))-(VLOOKUP($A105,test!$A$3:$I$32,9,FALSE))+test!$B$35,0)</f>
        <v>0</v>
      </c>
      <c r="AE105">
        <f>IF(AND(SUM(VLOOKUP($A105,test!$A$3:$F$32,2,FALSE),VLOOKUP(AE$1,test!$A$3:$F$32,2,FALSE))&lt;test!$K$16,$A105&lt;&gt;AE$1,Recharged_Feasible_mat!AF74=1),(VLOOKUP(AE$1,test!$A$3:$I$32,8,FALSE))-(VLOOKUP($A105,test!$A$3:$I$32,9,FALSE))+test!$B$35,0)</f>
        <v>0</v>
      </c>
      <c r="AF105">
        <f>IF(AND(SUM(VLOOKUP($A105,test!$A$3:$F$32,2,FALSE),VLOOKUP(AF$1,test!$A$3:$F$32,2,FALSE))&lt;test!$K$16,$A105&lt;&gt;AF$1,Recharged_Feasible_mat!AG74=1),(VLOOKUP(AF$1,test!$A$3:$I$32,8,FALSE))-(VLOOKUP($A105,test!$A$3:$I$32,9,FALSE))+test!$B$35,0)</f>
        <v>0</v>
      </c>
    </row>
    <row r="106" spans="1:32" x14ac:dyDescent="0.25">
      <c r="A106" t="s">
        <v>21</v>
      </c>
      <c r="B106">
        <v>0</v>
      </c>
      <c r="C106">
        <f>IF(AND(SUM(VLOOKUP($A106,test!$A$3:$F$32,2,FALSE),VLOOKUP(C$1,test!$A$3:$F$32,2,FALSE))&lt;test!$K$16,$A106&lt;&gt;C$1,Recharged_Feasible_mat!D75=1),(VLOOKUP(C$1,test!$A$3:$I$32,8,FALSE))-(VLOOKUP($A106,test!$A$3:$I$32,9,FALSE))+test!$B$35,0)</f>
        <v>0</v>
      </c>
      <c r="D106">
        <f>IF(AND(SUM(VLOOKUP($A106,test!$A$3:$F$32,2,FALSE),VLOOKUP(D$1,test!$A$3:$F$32,2,FALSE))&lt;test!$K$16,$A106&lt;&gt;D$1,Recharged_Feasible_mat!E75=1),(VLOOKUP(D$1,test!$A$3:$I$32,8,FALSE))-(VLOOKUP($A106,test!$A$3:$I$32,9,FALSE))+test!$B$35,0)</f>
        <v>0</v>
      </c>
      <c r="E106">
        <f>IF(AND(SUM(VLOOKUP($A106,test!$A$3:$F$32,2,FALSE),VLOOKUP(E$1,test!$A$3:$F$32,2,FALSE))&lt;test!$K$16,$A106&lt;&gt;E$1,Recharged_Feasible_mat!F75=1),(VLOOKUP(E$1,test!$A$3:$I$32,8,FALSE))-(VLOOKUP($A106,test!$A$3:$I$32,9,FALSE))+test!$B$35,0)</f>
        <v>0</v>
      </c>
      <c r="F106">
        <f>IF(AND(SUM(VLOOKUP($A106,test!$A$3:$F$32,2,FALSE),VLOOKUP(F$1,test!$A$3:$F$32,2,FALSE))&lt;test!$K$16,$A106&lt;&gt;F$1,Recharged_Feasible_mat!G75=1),(VLOOKUP(F$1,test!$A$3:$I$32,8,FALSE))-(VLOOKUP($A106,test!$A$3:$I$32,9,FALSE))+test!$B$35,0)</f>
        <v>0</v>
      </c>
      <c r="G106">
        <f>IF(AND(SUM(VLOOKUP($A106,test!$A$3:$F$32,2,FALSE),VLOOKUP(G$1,test!$A$3:$F$32,2,FALSE))&lt;test!$K$16,$A106&lt;&gt;G$1,Recharged_Feasible_mat!H75=1),(VLOOKUP(G$1,test!$A$3:$I$32,8,FALSE))-(VLOOKUP($A106,test!$A$3:$I$32,9,FALSE))+test!$B$35,0)</f>
        <v>0</v>
      </c>
      <c r="H106">
        <f>IF(AND(SUM(VLOOKUP($A106,test!$A$3:$F$32,2,FALSE),VLOOKUP(H$1,test!$A$3:$F$32,2,FALSE))&lt;test!$K$16,$A106&lt;&gt;H$1,Recharged_Feasible_mat!I75=1),(VLOOKUP(H$1,test!$A$3:$I$32,8,FALSE))-(VLOOKUP($A106,test!$A$3:$I$32,9,FALSE))+test!$B$35,0)</f>
        <v>0</v>
      </c>
      <c r="I106">
        <f>IF(AND(SUM(VLOOKUP($A106,test!$A$3:$F$32,2,FALSE),VLOOKUP(I$1,test!$A$3:$F$32,2,FALSE))&lt;test!$K$16,$A106&lt;&gt;I$1,Recharged_Feasible_mat!J75=1),(VLOOKUP(I$1,test!$A$3:$I$32,8,FALSE))-(VLOOKUP($A106,test!$A$3:$I$32,9,FALSE))+test!$B$35,0)</f>
        <v>0</v>
      </c>
      <c r="J106">
        <f>IF(AND(SUM(VLOOKUP($A106,test!$A$3:$F$32,2,FALSE),VLOOKUP(J$1,test!$A$3:$F$32,2,FALSE))&lt;test!$K$16,$A106&lt;&gt;J$1,Recharged_Feasible_mat!K75=1),(VLOOKUP(J$1,test!$A$3:$I$32,8,FALSE))-(VLOOKUP($A106,test!$A$3:$I$32,9,FALSE))+test!$B$35,0)</f>
        <v>305</v>
      </c>
      <c r="K106">
        <f>IF(AND(SUM(VLOOKUP($A106,test!$A$3:$F$32,2,FALSE),VLOOKUP(K$1,test!$A$3:$F$32,2,FALSE))&lt;test!$K$16,$A106&lt;&gt;K$1,Recharged_Feasible_mat!L75=1),(VLOOKUP(K$1,test!$A$3:$I$32,8,FALSE))-(VLOOKUP($A106,test!$A$3:$I$32,9,FALSE))+test!$B$35,0)</f>
        <v>0</v>
      </c>
      <c r="L106">
        <f>IF(AND(SUM(VLOOKUP($A106,test!$A$3:$F$32,2,FALSE),VLOOKUP(L$1,test!$A$3:$F$32,2,FALSE))&lt;test!$K$16,$A106&lt;&gt;L$1,Recharged_Feasible_mat!M75=1),(VLOOKUP(L$1,test!$A$3:$I$32,8,FALSE))-(VLOOKUP($A106,test!$A$3:$I$32,9,FALSE))+test!$B$35,0)</f>
        <v>0</v>
      </c>
      <c r="M106">
        <f>IF(AND(SUM(VLOOKUP($A106,test!$A$3:$F$32,2,FALSE),VLOOKUP(M$1,test!$A$3:$F$32,2,FALSE))&lt;test!$K$16,$A106&lt;&gt;M$1,Recharged_Feasible_mat!N75=1),(VLOOKUP(M$1,test!$A$3:$I$32,8,FALSE))-(VLOOKUP($A106,test!$A$3:$I$32,9,FALSE))+test!$B$35,0)</f>
        <v>0</v>
      </c>
      <c r="N106">
        <f>IF(AND(SUM(VLOOKUP($A106,test!$A$3:$F$32,2,FALSE),VLOOKUP(N$1,test!$A$3:$F$32,2,FALSE))&lt;test!$K$16,$A106&lt;&gt;N$1,Recharged_Feasible_mat!O75=1),(VLOOKUP(N$1,test!$A$3:$I$32,8,FALSE))-(VLOOKUP($A106,test!$A$3:$I$32,9,FALSE))+test!$B$35,0)</f>
        <v>270</v>
      </c>
      <c r="O106">
        <f>IF(AND(SUM(VLOOKUP($A106,test!$A$3:$F$32,2,FALSE),VLOOKUP(O$1,test!$A$3:$F$32,2,FALSE))&lt;test!$K$16,$A106&lt;&gt;O$1,Recharged_Feasible_mat!P75=1),(VLOOKUP(O$1,test!$A$3:$I$32,8,FALSE))-(VLOOKUP($A106,test!$A$3:$I$32,9,FALSE))+test!$B$35,0)</f>
        <v>330</v>
      </c>
      <c r="P106">
        <f>IF(AND(SUM(VLOOKUP($A106,test!$A$3:$F$32,2,FALSE),VLOOKUP(P$1,test!$A$3:$F$32,2,FALSE))&lt;test!$K$16,$A106&lt;&gt;P$1,Recharged_Feasible_mat!Q75=1),(VLOOKUP(P$1,test!$A$3:$I$32,8,FALSE))-(VLOOKUP($A106,test!$A$3:$I$32,9,FALSE))+test!$B$35,0)</f>
        <v>0</v>
      </c>
      <c r="Q106">
        <f>IF(AND(SUM(VLOOKUP($A106,test!$A$3:$F$32,2,FALSE),VLOOKUP(Q$1,test!$A$3:$F$32,2,FALSE))&lt;test!$K$16,$A106&lt;&gt;Q$1,Recharged_Feasible_mat!R75=1),(VLOOKUP(Q$1,test!$A$3:$I$32,8,FALSE))-(VLOOKUP($A106,test!$A$3:$I$32,9,FALSE))+test!$B$35,0)</f>
        <v>0</v>
      </c>
      <c r="R106">
        <f>IF(AND(SUM(VLOOKUP($A106,test!$A$3:$F$32,2,FALSE),VLOOKUP(R$1,test!$A$3:$F$32,2,FALSE))&lt;test!$K$16,$A106&lt;&gt;R$1,Recharged_Feasible_mat!S75=1),(VLOOKUP(R$1,test!$A$3:$I$32,8,FALSE))-(VLOOKUP($A106,test!$A$3:$I$32,9,FALSE))+test!$B$35,0)</f>
        <v>0</v>
      </c>
      <c r="S106">
        <f>IF(AND(SUM(VLOOKUP($A106,test!$A$3:$F$32,2,FALSE),VLOOKUP(S$1,test!$A$3:$F$32,2,FALSE))&lt;test!$K$16,$A106&lt;&gt;S$1,Recharged_Feasible_mat!T75=1),(VLOOKUP(S$1,test!$A$3:$I$32,8,FALSE))-(VLOOKUP($A106,test!$A$3:$I$32,9,FALSE))+test!$B$35,0)</f>
        <v>0</v>
      </c>
      <c r="T106">
        <f>IF(AND(SUM(VLOOKUP($A106,test!$A$3:$F$32,2,FALSE),VLOOKUP(T$1,test!$A$3:$F$32,2,FALSE))&lt;test!$K$16,$A106&lt;&gt;T$1,Recharged_Feasible_mat!U75=1),(VLOOKUP(T$1,test!$A$3:$I$32,8,FALSE))-(VLOOKUP($A106,test!$A$3:$I$32,9,FALSE))+test!$B$35,0)</f>
        <v>0</v>
      </c>
      <c r="U106">
        <f>IF(AND(SUM(VLOOKUP($A106,test!$A$3:$F$32,2,FALSE),VLOOKUP(U$1,test!$A$3:$F$32,2,FALSE))&lt;test!$K$16,$A106&lt;&gt;U$1,Recharged_Feasible_mat!V75=1),(VLOOKUP(U$1,test!$A$3:$I$32,8,FALSE))-(VLOOKUP($A106,test!$A$3:$I$32,9,FALSE))+test!$B$35,0)</f>
        <v>0</v>
      </c>
      <c r="V106">
        <f>IF(AND(SUM(VLOOKUP($A106,test!$A$3:$F$32,2,FALSE),VLOOKUP(V$1,test!$A$3:$F$32,2,FALSE))&lt;test!$K$16,$A106&lt;&gt;V$1,Recharged_Feasible_mat!W75=1),(VLOOKUP(V$1,test!$A$3:$I$32,8,FALSE))-(VLOOKUP($A106,test!$A$3:$I$32,9,FALSE))+test!$B$35,0)</f>
        <v>0</v>
      </c>
      <c r="W106">
        <f>IF(AND(SUM(VLOOKUP($A106,test!$A$3:$F$32,2,FALSE),VLOOKUP(W$1,test!$A$3:$F$32,2,FALSE))&lt;test!$K$16,$A106&lt;&gt;W$1,Recharged_Feasible_mat!X75=1),(VLOOKUP(W$1,test!$A$3:$I$32,8,FALSE))-(VLOOKUP($A106,test!$A$3:$I$32,9,FALSE))+test!$B$35,0)</f>
        <v>0</v>
      </c>
      <c r="X106">
        <f>IF(AND(SUM(VLOOKUP($A106,test!$A$3:$F$32,2,FALSE),VLOOKUP(X$1,test!$A$3:$F$32,2,FALSE))&lt;test!$K$16,$A106&lt;&gt;X$1,Recharged_Feasible_mat!Y75=1),(VLOOKUP(X$1,test!$A$3:$I$32,8,FALSE))-(VLOOKUP($A106,test!$A$3:$I$32,9,FALSE))+test!$B$35,0)</f>
        <v>255</v>
      </c>
      <c r="Y106">
        <f>IF(AND(SUM(VLOOKUP($A106,test!$A$3:$F$32,2,FALSE),VLOOKUP(Y$1,test!$A$3:$F$32,2,FALSE))&lt;test!$K$16,$A106&lt;&gt;Y$1,Recharged_Feasible_mat!Z75=1),(VLOOKUP(Y$1,test!$A$3:$I$32,8,FALSE))-(VLOOKUP($A106,test!$A$3:$I$32,9,FALSE))+test!$B$35,0)</f>
        <v>0</v>
      </c>
      <c r="Z106">
        <f>IF(AND(SUM(VLOOKUP($A106,test!$A$3:$F$32,2,FALSE),VLOOKUP(Z$1,test!$A$3:$F$32,2,FALSE))&lt;test!$K$16,$A106&lt;&gt;Z$1,Recharged_Feasible_mat!AA75=1),(VLOOKUP(Z$1,test!$A$3:$I$32,8,FALSE))-(VLOOKUP($A106,test!$A$3:$I$32,9,FALSE))+test!$B$35,0)</f>
        <v>0</v>
      </c>
      <c r="AA106">
        <f>IF(AND(SUM(VLOOKUP($A106,test!$A$3:$F$32,2,FALSE),VLOOKUP(AA$1,test!$A$3:$F$32,2,FALSE))&lt;test!$K$16,$A106&lt;&gt;AA$1,Recharged_Feasible_mat!AB75=1),(VLOOKUP(AA$1,test!$A$3:$I$32,8,FALSE))-(VLOOKUP($A106,test!$A$3:$I$32,9,FALSE))+test!$B$35,0)</f>
        <v>0</v>
      </c>
      <c r="AB106">
        <f>IF(AND(SUM(VLOOKUP($A106,test!$A$3:$F$32,2,FALSE),VLOOKUP(AB$1,test!$A$3:$F$32,2,FALSE))&lt;test!$K$16,$A106&lt;&gt;AB$1,Recharged_Feasible_mat!AC75=1),(VLOOKUP(AB$1,test!$A$3:$I$32,8,FALSE))-(VLOOKUP($A106,test!$A$3:$I$32,9,FALSE))+test!$B$35,0)</f>
        <v>0</v>
      </c>
      <c r="AC106">
        <f>IF(AND(SUM(VLOOKUP($A106,test!$A$3:$F$32,2,FALSE),VLOOKUP(AC$1,test!$A$3:$F$32,2,FALSE))&lt;test!$K$16,$A106&lt;&gt;AC$1,Recharged_Feasible_mat!AD75=1),(VLOOKUP(AC$1,test!$A$3:$I$32,8,FALSE))-(VLOOKUP($A106,test!$A$3:$I$32,9,FALSE))+test!$B$35,0)</f>
        <v>0</v>
      </c>
      <c r="AD106">
        <f>IF(AND(SUM(VLOOKUP($A106,test!$A$3:$F$32,2,FALSE),VLOOKUP(AD$1,test!$A$3:$F$32,2,FALSE))&lt;test!$K$16,$A106&lt;&gt;AD$1,Recharged_Feasible_mat!AE75=1),(VLOOKUP(AD$1,test!$A$3:$I$32,8,FALSE))-(VLOOKUP($A106,test!$A$3:$I$32,9,FALSE))+test!$B$35,0)</f>
        <v>0</v>
      </c>
      <c r="AE106">
        <f>IF(AND(SUM(VLOOKUP($A106,test!$A$3:$F$32,2,FALSE),VLOOKUP(AE$1,test!$A$3:$F$32,2,FALSE))&lt;test!$K$16,$A106&lt;&gt;AE$1,Recharged_Feasible_mat!AF75=1),(VLOOKUP(AE$1,test!$A$3:$I$32,8,FALSE))-(VLOOKUP($A106,test!$A$3:$I$32,9,FALSE))+test!$B$35,0)</f>
        <v>0</v>
      </c>
      <c r="AF106">
        <f>IF(AND(SUM(VLOOKUP($A106,test!$A$3:$F$32,2,FALSE),VLOOKUP(AF$1,test!$A$3:$F$32,2,FALSE))&lt;test!$K$16,$A106&lt;&gt;AF$1,Recharged_Feasible_mat!AG75=1),(VLOOKUP(AF$1,test!$A$3:$I$32,8,FALSE))-(VLOOKUP($A106,test!$A$3:$I$32,9,FALSE))+test!$B$35,0)</f>
        <v>0</v>
      </c>
    </row>
    <row r="107" spans="1:32" x14ac:dyDescent="0.25">
      <c r="A107" t="s">
        <v>22</v>
      </c>
      <c r="B107">
        <v>0</v>
      </c>
      <c r="C107">
        <f>IF(AND(SUM(VLOOKUP($A107,test!$A$3:$F$32,2,FALSE),VLOOKUP(C$1,test!$A$3:$F$32,2,FALSE))&lt;test!$K$16,$A107&lt;&gt;C$1,Recharged_Feasible_mat!D76=1),(VLOOKUP(C$1,test!$A$3:$I$32,8,FALSE))-(VLOOKUP($A107,test!$A$3:$I$32,9,FALSE))+test!$B$35,0)</f>
        <v>0</v>
      </c>
      <c r="D107">
        <f>IF(AND(SUM(VLOOKUP($A107,test!$A$3:$F$32,2,FALSE),VLOOKUP(D$1,test!$A$3:$F$32,2,FALSE))&lt;test!$K$16,$A107&lt;&gt;D$1,Recharged_Feasible_mat!E76=1),(VLOOKUP(D$1,test!$A$3:$I$32,8,FALSE))-(VLOOKUP($A107,test!$A$3:$I$32,9,FALSE))+test!$B$35,0)</f>
        <v>0</v>
      </c>
      <c r="E107">
        <f>IF(AND(SUM(VLOOKUP($A107,test!$A$3:$F$32,2,FALSE),VLOOKUP(E$1,test!$A$3:$F$32,2,FALSE))&lt;test!$K$16,$A107&lt;&gt;E$1,Recharged_Feasible_mat!F76=1),(VLOOKUP(E$1,test!$A$3:$I$32,8,FALSE))-(VLOOKUP($A107,test!$A$3:$I$32,9,FALSE))+test!$B$35,0)</f>
        <v>0</v>
      </c>
      <c r="F107">
        <f>IF(AND(SUM(VLOOKUP($A107,test!$A$3:$F$32,2,FALSE),VLOOKUP(F$1,test!$A$3:$F$32,2,FALSE))&lt;test!$K$16,$A107&lt;&gt;F$1,Recharged_Feasible_mat!G76=1),(VLOOKUP(F$1,test!$A$3:$I$32,8,FALSE))-(VLOOKUP($A107,test!$A$3:$I$32,9,FALSE))+test!$B$35,0)</f>
        <v>0</v>
      </c>
      <c r="G107">
        <f>IF(AND(SUM(VLOOKUP($A107,test!$A$3:$F$32,2,FALSE),VLOOKUP(G$1,test!$A$3:$F$32,2,FALSE))&lt;test!$K$16,$A107&lt;&gt;G$1,Recharged_Feasible_mat!H76=1),(VLOOKUP(G$1,test!$A$3:$I$32,8,FALSE))-(VLOOKUP($A107,test!$A$3:$I$32,9,FALSE))+test!$B$35,0)</f>
        <v>0</v>
      </c>
      <c r="H107">
        <f>IF(AND(SUM(VLOOKUP($A107,test!$A$3:$F$32,2,FALSE),VLOOKUP(H$1,test!$A$3:$F$32,2,FALSE))&lt;test!$K$16,$A107&lt;&gt;H$1,Recharged_Feasible_mat!I76=1),(VLOOKUP(H$1,test!$A$3:$I$32,8,FALSE))-(VLOOKUP($A107,test!$A$3:$I$32,9,FALSE))+test!$B$35,0)</f>
        <v>0</v>
      </c>
      <c r="I107">
        <f>IF(AND(SUM(VLOOKUP($A107,test!$A$3:$F$32,2,FALSE),VLOOKUP(I$1,test!$A$3:$F$32,2,FALSE))&lt;test!$K$16,$A107&lt;&gt;I$1,Recharged_Feasible_mat!J76=1),(VLOOKUP(I$1,test!$A$3:$I$32,8,FALSE))-(VLOOKUP($A107,test!$A$3:$I$32,9,FALSE))+test!$B$35,0)</f>
        <v>0</v>
      </c>
      <c r="J107">
        <f>IF(AND(SUM(VLOOKUP($A107,test!$A$3:$F$32,2,FALSE),VLOOKUP(J$1,test!$A$3:$F$32,2,FALSE))&lt;test!$K$16,$A107&lt;&gt;J$1,Recharged_Feasible_mat!K76=1),(VLOOKUP(J$1,test!$A$3:$I$32,8,FALSE))-(VLOOKUP($A107,test!$A$3:$I$32,9,FALSE))+test!$B$35,0)</f>
        <v>0</v>
      </c>
      <c r="K107">
        <f>IF(AND(SUM(VLOOKUP($A107,test!$A$3:$F$32,2,FALSE),VLOOKUP(K$1,test!$A$3:$F$32,2,FALSE))&lt;test!$K$16,$A107&lt;&gt;K$1,Recharged_Feasible_mat!L76=1),(VLOOKUP(K$1,test!$A$3:$I$32,8,FALSE))-(VLOOKUP($A107,test!$A$3:$I$32,9,FALSE))+test!$B$35,0)</f>
        <v>0</v>
      </c>
      <c r="L107">
        <f>IF(AND(SUM(VLOOKUP($A107,test!$A$3:$F$32,2,FALSE),VLOOKUP(L$1,test!$A$3:$F$32,2,FALSE))&lt;test!$K$16,$A107&lt;&gt;L$1,Recharged_Feasible_mat!M76=1),(VLOOKUP(L$1,test!$A$3:$I$32,8,FALSE))-(VLOOKUP($A107,test!$A$3:$I$32,9,FALSE))+test!$B$35,0)</f>
        <v>0</v>
      </c>
      <c r="M107">
        <f>IF(AND(SUM(VLOOKUP($A107,test!$A$3:$F$32,2,FALSE),VLOOKUP(M$1,test!$A$3:$F$32,2,FALSE))&lt;test!$K$16,$A107&lt;&gt;M$1,Recharged_Feasible_mat!N76=1),(VLOOKUP(M$1,test!$A$3:$I$32,8,FALSE))-(VLOOKUP($A107,test!$A$3:$I$32,9,FALSE))+test!$B$35,0)</f>
        <v>0</v>
      </c>
      <c r="N107">
        <f>IF(AND(SUM(VLOOKUP($A107,test!$A$3:$F$32,2,FALSE),VLOOKUP(N$1,test!$A$3:$F$32,2,FALSE))&lt;test!$K$16,$A107&lt;&gt;N$1,Recharged_Feasible_mat!O76=1),(VLOOKUP(N$1,test!$A$3:$I$32,8,FALSE))-(VLOOKUP($A107,test!$A$3:$I$32,9,FALSE))+test!$B$35,0)</f>
        <v>0</v>
      </c>
      <c r="O107">
        <f>IF(AND(SUM(VLOOKUP($A107,test!$A$3:$F$32,2,FALSE),VLOOKUP(O$1,test!$A$3:$F$32,2,FALSE))&lt;test!$K$16,$A107&lt;&gt;O$1,Recharged_Feasible_mat!P76=1),(VLOOKUP(O$1,test!$A$3:$I$32,8,FALSE))-(VLOOKUP($A107,test!$A$3:$I$32,9,FALSE))+test!$B$35,0)</f>
        <v>0</v>
      </c>
      <c r="P107">
        <f>IF(AND(SUM(VLOOKUP($A107,test!$A$3:$F$32,2,FALSE),VLOOKUP(P$1,test!$A$3:$F$32,2,FALSE))&lt;test!$K$16,$A107&lt;&gt;P$1,Recharged_Feasible_mat!Q76=1),(VLOOKUP(P$1,test!$A$3:$I$32,8,FALSE))-(VLOOKUP($A107,test!$A$3:$I$32,9,FALSE))+test!$B$35,0)</f>
        <v>0</v>
      </c>
      <c r="Q107">
        <f>IF(AND(SUM(VLOOKUP($A107,test!$A$3:$F$32,2,FALSE),VLOOKUP(Q$1,test!$A$3:$F$32,2,FALSE))&lt;test!$K$16,$A107&lt;&gt;Q$1,Recharged_Feasible_mat!R76=1),(VLOOKUP(Q$1,test!$A$3:$I$32,8,FALSE))-(VLOOKUP($A107,test!$A$3:$I$32,9,FALSE))+test!$B$35,0)</f>
        <v>0</v>
      </c>
      <c r="R107">
        <f>IF(AND(SUM(VLOOKUP($A107,test!$A$3:$F$32,2,FALSE),VLOOKUP(R$1,test!$A$3:$F$32,2,FALSE))&lt;test!$K$16,$A107&lt;&gt;R$1,Recharged_Feasible_mat!S76=1),(VLOOKUP(R$1,test!$A$3:$I$32,8,FALSE))-(VLOOKUP($A107,test!$A$3:$I$32,9,FALSE))+test!$B$35,0)</f>
        <v>0</v>
      </c>
      <c r="S107">
        <f>IF(AND(SUM(VLOOKUP($A107,test!$A$3:$F$32,2,FALSE),VLOOKUP(S$1,test!$A$3:$F$32,2,FALSE))&lt;test!$K$16,$A107&lt;&gt;S$1,Recharged_Feasible_mat!T76=1),(VLOOKUP(S$1,test!$A$3:$I$32,8,FALSE))-(VLOOKUP($A107,test!$A$3:$I$32,9,FALSE))+test!$B$35,0)</f>
        <v>0</v>
      </c>
      <c r="T107">
        <f>IF(AND(SUM(VLOOKUP($A107,test!$A$3:$F$32,2,FALSE),VLOOKUP(T$1,test!$A$3:$F$32,2,FALSE))&lt;test!$K$16,$A107&lt;&gt;T$1,Recharged_Feasible_mat!U76=1),(VLOOKUP(T$1,test!$A$3:$I$32,8,FALSE))-(VLOOKUP($A107,test!$A$3:$I$32,9,FALSE))+test!$B$35,0)</f>
        <v>0</v>
      </c>
      <c r="U107">
        <f>IF(AND(SUM(VLOOKUP($A107,test!$A$3:$F$32,2,FALSE),VLOOKUP(U$1,test!$A$3:$F$32,2,FALSE))&lt;test!$K$16,$A107&lt;&gt;U$1,Recharged_Feasible_mat!V76=1),(VLOOKUP(U$1,test!$A$3:$I$32,8,FALSE))-(VLOOKUP($A107,test!$A$3:$I$32,9,FALSE))+test!$B$35,0)</f>
        <v>0</v>
      </c>
      <c r="V107">
        <f>IF(AND(SUM(VLOOKUP($A107,test!$A$3:$F$32,2,FALSE),VLOOKUP(V$1,test!$A$3:$F$32,2,FALSE))&lt;test!$K$16,$A107&lt;&gt;V$1,Recharged_Feasible_mat!W76=1),(VLOOKUP(V$1,test!$A$3:$I$32,8,FALSE))-(VLOOKUP($A107,test!$A$3:$I$32,9,FALSE))+test!$B$35,0)</f>
        <v>0</v>
      </c>
      <c r="W107">
        <f>IF(AND(SUM(VLOOKUP($A107,test!$A$3:$F$32,2,FALSE),VLOOKUP(W$1,test!$A$3:$F$32,2,FALSE))&lt;test!$K$16,$A107&lt;&gt;W$1,Recharged_Feasible_mat!X76=1),(VLOOKUP(W$1,test!$A$3:$I$32,8,FALSE))-(VLOOKUP($A107,test!$A$3:$I$32,9,FALSE))+test!$B$35,0)</f>
        <v>0</v>
      </c>
      <c r="X107">
        <f>IF(AND(SUM(VLOOKUP($A107,test!$A$3:$F$32,2,FALSE),VLOOKUP(X$1,test!$A$3:$F$32,2,FALSE))&lt;test!$K$16,$A107&lt;&gt;X$1,Recharged_Feasible_mat!Y76=1),(VLOOKUP(X$1,test!$A$3:$I$32,8,FALSE))-(VLOOKUP($A107,test!$A$3:$I$32,9,FALSE))+test!$B$35,0)</f>
        <v>0</v>
      </c>
      <c r="Y107">
        <f>IF(AND(SUM(VLOOKUP($A107,test!$A$3:$F$32,2,FALSE),VLOOKUP(Y$1,test!$A$3:$F$32,2,FALSE))&lt;test!$K$16,$A107&lt;&gt;Y$1,Recharged_Feasible_mat!Z76=1),(VLOOKUP(Y$1,test!$A$3:$I$32,8,FALSE))-(VLOOKUP($A107,test!$A$3:$I$32,9,FALSE))+test!$B$35,0)</f>
        <v>0</v>
      </c>
      <c r="Z107">
        <f>IF(AND(SUM(VLOOKUP($A107,test!$A$3:$F$32,2,FALSE),VLOOKUP(Z$1,test!$A$3:$F$32,2,FALSE))&lt;test!$K$16,$A107&lt;&gt;Z$1,Recharged_Feasible_mat!AA76=1),(VLOOKUP(Z$1,test!$A$3:$I$32,8,FALSE))-(VLOOKUP($A107,test!$A$3:$I$32,9,FALSE))+test!$B$35,0)</f>
        <v>0</v>
      </c>
      <c r="AA107">
        <f>IF(AND(SUM(VLOOKUP($A107,test!$A$3:$F$32,2,FALSE),VLOOKUP(AA$1,test!$A$3:$F$32,2,FALSE))&lt;test!$K$16,$A107&lt;&gt;AA$1,Recharged_Feasible_mat!AB76=1),(VLOOKUP(AA$1,test!$A$3:$I$32,8,FALSE))-(VLOOKUP($A107,test!$A$3:$I$32,9,FALSE))+test!$B$35,0)</f>
        <v>0</v>
      </c>
      <c r="AB107">
        <f>IF(AND(SUM(VLOOKUP($A107,test!$A$3:$F$32,2,FALSE),VLOOKUP(AB$1,test!$A$3:$F$32,2,FALSE))&lt;test!$K$16,$A107&lt;&gt;AB$1,Recharged_Feasible_mat!AC76=1),(VLOOKUP(AB$1,test!$A$3:$I$32,8,FALSE))-(VLOOKUP($A107,test!$A$3:$I$32,9,FALSE))+test!$B$35,0)</f>
        <v>0</v>
      </c>
      <c r="AC107">
        <f>IF(AND(SUM(VLOOKUP($A107,test!$A$3:$F$32,2,FALSE),VLOOKUP(AC$1,test!$A$3:$F$32,2,FALSE))&lt;test!$K$16,$A107&lt;&gt;AC$1,Recharged_Feasible_mat!AD76=1),(VLOOKUP(AC$1,test!$A$3:$I$32,8,FALSE))-(VLOOKUP($A107,test!$A$3:$I$32,9,FALSE))+test!$B$35,0)</f>
        <v>0</v>
      </c>
      <c r="AD107">
        <f>IF(AND(SUM(VLOOKUP($A107,test!$A$3:$F$32,2,FALSE),VLOOKUP(AD$1,test!$A$3:$F$32,2,FALSE))&lt;test!$K$16,$A107&lt;&gt;AD$1,Recharged_Feasible_mat!AE76=1),(VLOOKUP(AD$1,test!$A$3:$I$32,8,FALSE))-(VLOOKUP($A107,test!$A$3:$I$32,9,FALSE))+test!$B$35,0)</f>
        <v>0</v>
      </c>
      <c r="AE107">
        <f>IF(AND(SUM(VLOOKUP($A107,test!$A$3:$F$32,2,FALSE),VLOOKUP(AE$1,test!$A$3:$F$32,2,FALSE))&lt;test!$K$16,$A107&lt;&gt;AE$1,Recharged_Feasible_mat!AF76=1),(VLOOKUP(AE$1,test!$A$3:$I$32,8,FALSE))-(VLOOKUP($A107,test!$A$3:$I$32,9,FALSE))+test!$B$35,0)</f>
        <v>0</v>
      </c>
      <c r="AF107">
        <f>IF(AND(SUM(VLOOKUP($A107,test!$A$3:$F$32,2,FALSE),VLOOKUP(AF$1,test!$A$3:$F$32,2,FALSE))&lt;test!$K$16,$A107&lt;&gt;AF$1,Recharged_Feasible_mat!AG76=1),(VLOOKUP(AF$1,test!$A$3:$I$32,8,FALSE))-(VLOOKUP($A107,test!$A$3:$I$32,9,FALSE))+test!$B$35,0)</f>
        <v>0</v>
      </c>
    </row>
    <row r="108" spans="1:32" x14ac:dyDescent="0.25">
      <c r="A108" t="s">
        <v>23</v>
      </c>
      <c r="B108">
        <v>0</v>
      </c>
      <c r="C108">
        <f>IF(AND(SUM(VLOOKUP($A108,test!$A$3:$F$32,2,FALSE),VLOOKUP(C$1,test!$A$3:$F$32,2,FALSE))&lt;test!$K$16,$A108&lt;&gt;C$1,Recharged_Feasible_mat!D77=1),(VLOOKUP(C$1,test!$A$3:$I$32,8,FALSE))-(VLOOKUP($A108,test!$A$3:$I$32,9,FALSE))+test!$B$35,0)</f>
        <v>0</v>
      </c>
      <c r="D108">
        <f>IF(AND(SUM(VLOOKUP($A108,test!$A$3:$F$32,2,FALSE),VLOOKUP(D$1,test!$A$3:$F$32,2,FALSE))&lt;test!$K$16,$A108&lt;&gt;D$1,Recharged_Feasible_mat!E77=1),(VLOOKUP(D$1,test!$A$3:$I$32,8,FALSE))-(VLOOKUP($A108,test!$A$3:$I$32,9,FALSE))+test!$B$35,0)</f>
        <v>0</v>
      </c>
      <c r="E108">
        <f>IF(AND(SUM(VLOOKUP($A108,test!$A$3:$F$32,2,FALSE),VLOOKUP(E$1,test!$A$3:$F$32,2,FALSE))&lt;test!$K$16,$A108&lt;&gt;E$1,Recharged_Feasible_mat!F77=1),(VLOOKUP(E$1,test!$A$3:$I$32,8,FALSE))-(VLOOKUP($A108,test!$A$3:$I$32,9,FALSE))+test!$B$35,0)</f>
        <v>0</v>
      </c>
      <c r="F108">
        <f>IF(AND(SUM(VLOOKUP($A108,test!$A$3:$F$32,2,FALSE),VLOOKUP(F$1,test!$A$3:$F$32,2,FALSE))&lt;test!$K$16,$A108&lt;&gt;F$1,Recharged_Feasible_mat!G77=1),(VLOOKUP(F$1,test!$A$3:$I$32,8,FALSE))-(VLOOKUP($A108,test!$A$3:$I$32,9,FALSE))+test!$B$35,0)</f>
        <v>0</v>
      </c>
      <c r="G108">
        <f>IF(AND(SUM(VLOOKUP($A108,test!$A$3:$F$32,2,FALSE),VLOOKUP(G$1,test!$A$3:$F$32,2,FALSE))&lt;test!$K$16,$A108&lt;&gt;G$1,Recharged_Feasible_mat!H77=1),(VLOOKUP(G$1,test!$A$3:$I$32,8,FALSE))-(VLOOKUP($A108,test!$A$3:$I$32,9,FALSE))+test!$B$35,0)</f>
        <v>0</v>
      </c>
      <c r="H108">
        <f>IF(AND(SUM(VLOOKUP($A108,test!$A$3:$F$32,2,FALSE),VLOOKUP(H$1,test!$A$3:$F$32,2,FALSE))&lt;test!$K$16,$A108&lt;&gt;H$1,Recharged_Feasible_mat!I77=1),(VLOOKUP(H$1,test!$A$3:$I$32,8,FALSE))-(VLOOKUP($A108,test!$A$3:$I$32,9,FALSE))+test!$B$35,0)</f>
        <v>0</v>
      </c>
      <c r="I108">
        <f>IF(AND(SUM(VLOOKUP($A108,test!$A$3:$F$32,2,FALSE),VLOOKUP(I$1,test!$A$3:$F$32,2,FALSE))&lt;test!$K$16,$A108&lt;&gt;I$1,Recharged_Feasible_mat!J77=1),(VLOOKUP(I$1,test!$A$3:$I$32,8,FALSE))-(VLOOKUP($A108,test!$A$3:$I$32,9,FALSE))+test!$B$35,0)</f>
        <v>0</v>
      </c>
      <c r="J108">
        <f>IF(AND(SUM(VLOOKUP($A108,test!$A$3:$F$32,2,FALSE),VLOOKUP(J$1,test!$A$3:$F$32,2,FALSE))&lt;test!$K$16,$A108&lt;&gt;J$1,Recharged_Feasible_mat!K77=1),(VLOOKUP(J$1,test!$A$3:$I$32,8,FALSE))-(VLOOKUP($A108,test!$A$3:$I$32,9,FALSE))+test!$B$35,0)</f>
        <v>0</v>
      </c>
      <c r="K108">
        <f>IF(AND(SUM(VLOOKUP($A108,test!$A$3:$F$32,2,FALSE),VLOOKUP(K$1,test!$A$3:$F$32,2,FALSE))&lt;test!$K$16,$A108&lt;&gt;K$1,Recharged_Feasible_mat!L77=1),(VLOOKUP(K$1,test!$A$3:$I$32,8,FALSE))-(VLOOKUP($A108,test!$A$3:$I$32,9,FALSE))+test!$B$35,0)</f>
        <v>0</v>
      </c>
      <c r="L108">
        <f>IF(AND(SUM(VLOOKUP($A108,test!$A$3:$F$32,2,FALSE),VLOOKUP(L$1,test!$A$3:$F$32,2,FALSE))&lt;test!$K$16,$A108&lt;&gt;L$1,Recharged_Feasible_mat!M77=1),(VLOOKUP(L$1,test!$A$3:$I$32,8,FALSE))-(VLOOKUP($A108,test!$A$3:$I$32,9,FALSE))+test!$B$35,0)</f>
        <v>0</v>
      </c>
      <c r="M108">
        <f>IF(AND(SUM(VLOOKUP($A108,test!$A$3:$F$32,2,FALSE),VLOOKUP(M$1,test!$A$3:$F$32,2,FALSE))&lt;test!$K$16,$A108&lt;&gt;M$1,Recharged_Feasible_mat!N77=1),(VLOOKUP(M$1,test!$A$3:$I$32,8,FALSE))-(VLOOKUP($A108,test!$A$3:$I$32,9,FALSE))+test!$B$35,0)</f>
        <v>0</v>
      </c>
      <c r="N108">
        <f>IF(AND(SUM(VLOOKUP($A108,test!$A$3:$F$32,2,FALSE),VLOOKUP(N$1,test!$A$3:$F$32,2,FALSE))&lt;test!$K$16,$A108&lt;&gt;N$1,Recharged_Feasible_mat!O77=1),(VLOOKUP(N$1,test!$A$3:$I$32,8,FALSE))-(VLOOKUP($A108,test!$A$3:$I$32,9,FALSE))+test!$B$35,0)</f>
        <v>0</v>
      </c>
      <c r="O108">
        <f>IF(AND(SUM(VLOOKUP($A108,test!$A$3:$F$32,2,FALSE),VLOOKUP(O$1,test!$A$3:$F$32,2,FALSE))&lt;test!$K$16,$A108&lt;&gt;O$1,Recharged_Feasible_mat!P77=1),(VLOOKUP(O$1,test!$A$3:$I$32,8,FALSE))-(VLOOKUP($A108,test!$A$3:$I$32,9,FALSE))+test!$B$35,0)</f>
        <v>0</v>
      </c>
      <c r="P108">
        <f>IF(AND(SUM(VLOOKUP($A108,test!$A$3:$F$32,2,FALSE),VLOOKUP(P$1,test!$A$3:$F$32,2,FALSE))&lt;test!$K$16,$A108&lt;&gt;P$1,Recharged_Feasible_mat!Q77=1),(VLOOKUP(P$1,test!$A$3:$I$32,8,FALSE))-(VLOOKUP($A108,test!$A$3:$I$32,9,FALSE))+test!$B$35,0)</f>
        <v>0</v>
      </c>
      <c r="Q108">
        <f>IF(AND(SUM(VLOOKUP($A108,test!$A$3:$F$32,2,FALSE),VLOOKUP(Q$1,test!$A$3:$F$32,2,FALSE))&lt;test!$K$16,$A108&lt;&gt;Q$1,Recharged_Feasible_mat!R77=1),(VLOOKUP(Q$1,test!$A$3:$I$32,8,FALSE))-(VLOOKUP($A108,test!$A$3:$I$32,9,FALSE))+test!$B$35,0)</f>
        <v>0</v>
      </c>
      <c r="R108">
        <f>IF(AND(SUM(VLOOKUP($A108,test!$A$3:$F$32,2,FALSE),VLOOKUP(R$1,test!$A$3:$F$32,2,FALSE))&lt;test!$K$16,$A108&lt;&gt;R$1,Recharged_Feasible_mat!S77=1),(VLOOKUP(R$1,test!$A$3:$I$32,8,FALSE))-(VLOOKUP($A108,test!$A$3:$I$32,9,FALSE))+test!$B$35,0)</f>
        <v>0</v>
      </c>
      <c r="S108">
        <f>IF(AND(SUM(VLOOKUP($A108,test!$A$3:$F$32,2,FALSE),VLOOKUP(S$1,test!$A$3:$F$32,2,FALSE))&lt;test!$K$16,$A108&lt;&gt;S$1,Recharged_Feasible_mat!T77=1),(VLOOKUP(S$1,test!$A$3:$I$32,8,FALSE))-(VLOOKUP($A108,test!$A$3:$I$32,9,FALSE))+test!$B$35,0)</f>
        <v>0</v>
      </c>
      <c r="T108">
        <f>IF(AND(SUM(VLOOKUP($A108,test!$A$3:$F$32,2,FALSE),VLOOKUP(T$1,test!$A$3:$F$32,2,FALSE))&lt;test!$K$16,$A108&lt;&gt;T$1,Recharged_Feasible_mat!U77=1),(VLOOKUP(T$1,test!$A$3:$I$32,8,FALSE))-(VLOOKUP($A108,test!$A$3:$I$32,9,FALSE))+test!$B$35,0)</f>
        <v>0</v>
      </c>
      <c r="U108">
        <f>IF(AND(SUM(VLOOKUP($A108,test!$A$3:$F$32,2,FALSE),VLOOKUP(U$1,test!$A$3:$F$32,2,FALSE))&lt;test!$K$16,$A108&lt;&gt;U$1,Recharged_Feasible_mat!V77=1),(VLOOKUP(U$1,test!$A$3:$I$32,8,FALSE))-(VLOOKUP($A108,test!$A$3:$I$32,9,FALSE))+test!$B$35,0)</f>
        <v>0</v>
      </c>
      <c r="V108">
        <f>IF(AND(SUM(VLOOKUP($A108,test!$A$3:$F$32,2,FALSE),VLOOKUP(V$1,test!$A$3:$F$32,2,FALSE))&lt;test!$K$16,$A108&lt;&gt;V$1,Recharged_Feasible_mat!W77=1),(VLOOKUP(V$1,test!$A$3:$I$32,8,FALSE))-(VLOOKUP($A108,test!$A$3:$I$32,9,FALSE))+test!$B$35,0)</f>
        <v>0</v>
      </c>
      <c r="W108">
        <f>IF(AND(SUM(VLOOKUP($A108,test!$A$3:$F$32,2,FALSE),VLOOKUP(W$1,test!$A$3:$F$32,2,FALSE))&lt;test!$K$16,$A108&lt;&gt;W$1,Recharged_Feasible_mat!X77=1),(VLOOKUP(W$1,test!$A$3:$I$32,8,FALSE))-(VLOOKUP($A108,test!$A$3:$I$32,9,FALSE))+test!$B$35,0)</f>
        <v>0</v>
      </c>
      <c r="X108">
        <f>IF(AND(SUM(VLOOKUP($A108,test!$A$3:$F$32,2,FALSE),VLOOKUP(X$1,test!$A$3:$F$32,2,FALSE))&lt;test!$K$16,$A108&lt;&gt;X$1,Recharged_Feasible_mat!Y77=1),(VLOOKUP(X$1,test!$A$3:$I$32,8,FALSE))-(VLOOKUP($A108,test!$A$3:$I$32,9,FALSE))+test!$B$35,0)</f>
        <v>0</v>
      </c>
      <c r="Y108">
        <f>IF(AND(SUM(VLOOKUP($A108,test!$A$3:$F$32,2,FALSE),VLOOKUP(Y$1,test!$A$3:$F$32,2,FALSE))&lt;test!$K$16,$A108&lt;&gt;Y$1,Recharged_Feasible_mat!Z77=1),(VLOOKUP(Y$1,test!$A$3:$I$32,8,FALSE))-(VLOOKUP($A108,test!$A$3:$I$32,9,FALSE))+test!$B$35,0)</f>
        <v>0</v>
      </c>
      <c r="Z108">
        <f>IF(AND(SUM(VLOOKUP($A108,test!$A$3:$F$32,2,FALSE),VLOOKUP(Z$1,test!$A$3:$F$32,2,FALSE))&lt;test!$K$16,$A108&lt;&gt;Z$1,Recharged_Feasible_mat!AA77=1),(VLOOKUP(Z$1,test!$A$3:$I$32,8,FALSE))-(VLOOKUP($A108,test!$A$3:$I$32,9,FALSE))+test!$B$35,0)</f>
        <v>0</v>
      </c>
      <c r="AA108">
        <f>IF(AND(SUM(VLOOKUP($A108,test!$A$3:$F$32,2,FALSE),VLOOKUP(AA$1,test!$A$3:$F$32,2,FALSE))&lt;test!$K$16,$A108&lt;&gt;AA$1,Recharged_Feasible_mat!AB77=1),(VLOOKUP(AA$1,test!$A$3:$I$32,8,FALSE))-(VLOOKUP($A108,test!$A$3:$I$32,9,FALSE))+test!$B$35,0)</f>
        <v>0</v>
      </c>
      <c r="AB108">
        <f>IF(AND(SUM(VLOOKUP($A108,test!$A$3:$F$32,2,FALSE),VLOOKUP(AB$1,test!$A$3:$F$32,2,FALSE))&lt;test!$K$16,$A108&lt;&gt;AB$1,Recharged_Feasible_mat!AC77=1),(VLOOKUP(AB$1,test!$A$3:$I$32,8,FALSE))-(VLOOKUP($A108,test!$A$3:$I$32,9,FALSE))+test!$B$35,0)</f>
        <v>0</v>
      </c>
      <c r="AC108">
        <f>IF(AND(SUM(VLOOKUP($A108,test!$A$3:$F$32,2,FALSE),VLOOKUP(AC$1,test!$A$3:$F$32,2,FALSE))&lt;test!$K$16,$A108&lt;&gt;AC$1,Recharged_Feasible_mat!AD77=1),(VLOOKUP(AC$1,test!$A$3:$I$32,8,FALSE))-(VLOOKUP($A108,test!$A$3:$I$32,9,FALSE))+test!$B$35,0)</f>
        <v>0</v>
      </c>
      <c r="AD108">
        <f>IF(AND(SUM(VLOOKUP($A108,test!$A$3:$F$32,2,FALSE),VLOOKUP(AD$1,test!$A$3:$F$32,2,FALSE))&lt;test!$K$16,$A108&lt;&gt;AD$1,Recharged_Feasible_mat!AE77=1),(VLOOKUP(AD$1,test!$A$3:$I$32,8,FALSE))-(VLOOKUP($A108,test!$A$3:$I$32,9,FALSE))+test!$B$35,0)</f>
        <v>0</v>
      </c>
      <c r="AE108">
        <f>IF(AND(SUM(VLOOKUP($A108,test!$A$3:$F$32,2,FALSE),VLOOKUP(AE$1,test!$A$3:$F$32,2,FALSE))&lt;test!$K$16,$A108&lt;&gt;AE$1,Recharged_Feasible_mat!AF77=1),(VLOOKUP(AE$1,test!$A$3:$I$32,8,FALSE))-(VLOOKUP($A108,test!$A$3:$I$32,9,FALSE))+test!$B$35,0)</f>
        <v>0</v>
      </c>
      <c r="AF108">
        <f>IF(AND(SUM(VLOOKUP($A108,test!$A$3:$F$32,2,FALSE),VLOOKUP(AF$1,test!$A$3:$F$32,2,FALSE))&lt;test!$K$16,$A108&lt;&gt;AF$1,Recharged_Feasible_mat!AG77=1),(VLOOKUP(AF$1,test!$A$3:$I$32,8,FALSE))-(VLOOKUP($A108,test!$A$3:$I$32,9,FALSE))+test!$B$35,0)</f>
        <v>0</v>
      </c>
    </row>
    <row r="109" spans="1:32" x14ac:dyDescent="0.25">
      <c r="A109" t="s">
        <v>24</v>
      </c>
      <c r="B109">
        <v>0</v>
      </c>
      <c r="C109">
        <f>IF(AND(SUM(VLOOKUP($A109,test!$A$3:$F$32,2,FALSE),VLOOKUP(C$1,test!$A$3:$F$32,2,FALSE))&lt;test!$K$16,$A109&lt;&gt;C$1,Recharged_Feasible_mat!D78=1),(VLOOKUP(C$1,test!$A$3:$I$32,8,FALSE))-(VLOOKUP($A109,test!$A$3:$I$32,9,FALSE))+test!$B$35,0)</f>
        <v>0</v>
      </c>
      <c r="D109">
        <f>IF(AND(SUM(VLOOKUP($A109,test!$A$3:$F$32,2,FALSE),VLOOKUP(D$1,test!$A$3:$F$32,2,FALSE))&lt;test!$K$16,$A109&lt;&gt;D$1,Recharged_Feasible_mat!E78=1),(VLOOKUP(D$1,test!$A$3:$I$32,8,FALSE))-(VLOOKUP($A109,test!$A$3:$I$32,9,FALSE))+test!$B$35,0)</f>
        <v>0</v>
      </c>
      <c r="E109">
        <f>IF(AND(SUM(VLOOKUP($A109,test!$A$3:$F$32,2,FALSE),VLOOKUP(E$1,test!$A$3:$F$32,2,FALSE))&lt;test!$K$16,$A109&lt;&gt;E$1,Recharged_Feasible_mat!F78=1),(VLOOKUP(E$1,test!$A$3:$I$32,8,FALSE))-(VLOOKUP($A109,test!$A$3:$I$32,9,FALSE))+test!$B$35,0)</f>
        <v>0</v>
      </c>
      <c r="F109">
        <f>IF(AND(SUM(VLOOKUP($A109,test!$A$3:$F$32,2,FALSE),VLOOKUP(F$1,test!$A$3:$F$32,2,FALSE))&lt;test!$K$16,$A109&lt;&gt;F$1,Recharged_Feasible_mat!G78=1),(VLOOKUP(F$1,test!$A$3:$I$32,8,FALSE))-(VLOOKUP($A109,test!$A$3:$I$32,9,FALSE))+test!$B$35,0)</f>
        <v>0</v>
      </c>
      <c r="G109">
        <f>IF(AND(SUM(VLOOKUP($A109,test!$A$3:$F$32,2,FALSE),VLOOKUP(G$1,test!$A$3:$F$32,2,FALSE))&lt;test!$K$16,$A109&lt;&gt;G$1,Recharged_Feasible_mat!H78=1),(VLOOKUP(G$1,test!$A$3:$I$32,8,FALSE))-(VLOOKUP($A109,test!$A$3:$I$32,9,FALSE))+test!$B$35,0)</f>
        <v>260</v>
      </c>
      <c r="H109">
        <f>IF(AND(SUM(VLOOKUP($A109,test!$A$3:$F$32,2,FALSE),VLOOKUP(H$1,test!$A$3:$F$32,2,FALSE))&lt;test!$K$16,$A109&lt;&gt;H$1,Recharged_Feasible_mat!I78=1),(VLOOKUP(H$1,test!$A$3:$I$32,8,FALSE))-(VLOOKUP($A109,test!$A$3:$I$32,9,FALSE))+test!$B$35,0)</f>
        <v>320</v>
      </c>
      <c r="I109">
        <f>IF(AND(SUM(VLOOKUP($A109,test!$A$3:$F$32,2,FALSE),VLOOKUP(I$1,test!$A$3:$F$32,2,FALSE))&lt;test!$K$16,$A109&lt;&gt;I$1,Recharged_Feasible_mat!J78=1),(VLOOKUP(I$1,test!$A$3:$I$32,8,FALSE))-(VLOOKUP($A109,test!$A$3:$I$32,9,FALSE))+test!$B$35,0)</f>
        <v>380</v>
      </c>
      <c r="J109">
        <f>IF(AND(SUM(VLOOKUP($A109,test!$A$3:$F$32,2,FALSE),VLOOKUP(J$1,test!$A$3:$F$32,2,FALSE))&lt;test!$K$16,$A109&lt;&gt;J$1,Recharged_Feasible_mat!K78=1),(VLOOKUP(J$1,test!$A$3:$I$32,8,FALSE))-(VLOOKUP($A109,test!$A$3:$I$32,9,FALSE))+test!$B$35,0)</f>
        <v>470</v>
      </c>
      <c r="K109">
        <f>IF(AND(SUM(VLOOKUP($A109,test!$A$3:$F$32,2,FALSE),VLOOKUP(K$1,test!$A$3:$F$32,2,FALSE))&lt;test!$K$16,$A109&lt;&gt;K$1,Recharged_Feasible_mat!L78=1),(VLOOKUP(K$1,test!$A$3:$I$32,8,FALSE))-(VLOOKUP($A109,test!$A$3:$I$32,9,FALSE))+test!$B$35,0)</f>
        <v>0</v>
      </c>
      <c r="L109">
        <f>IF(AND(SUM(VLOOKUP($A109,test!$A$3:$F$32,2,FALSE),VLOOKUP(L$1,test!$A$3:$F$32,2,FALSE))&lt;test!$K$16,$A109&lt;&gt;L$1,Recharged_Feasible_mat!M78=1),(VLOOKUP(L$1,test!$A$3:$I$32,8,FALSE))-(VLOOKUP($A109,test!$A$3:$I$32,9,FALSE))+test!$B$35,0)</f>
        <v>0</v>
      </c>
      <c r="M109">
        <f>IF(AND(SUM(VLOOKUP($A109,test!$A$3:$F$32,2,FALSE),VLOOKUP(M$1,test!$A$3:$F$32,2,FALSE))&lt;test!$K$16,$A109&lt;&gt;M$1,Recharged_Feasible_mat!N78=1),(VLOOKUP(M$1,test!$A$3:$I$32,8,FALSE))-(VLOOKUP($A109,test!$A$3:$I$32,9,FALSE))+test!$B$35,0)</f>
        <v>0</v>
      </c>
      <c r="N109">
        <f>IF(AND(SUM(VLOOKUP($A109,test!$A$3:$F$32,2,FALSE),VLOOKUP(N$1,test!$A$3:$F$32,2,FALSE))&lt;test!$K$16,$A109&lt;&gt;N$1,Recharged_Feasible_mat!O78=1),(VLOOKUP(N$1,test!$A$3:$I$32,8,FALSE))-(VLOOKUP($A109,test!$A$3:$I$32,9,FALSE))+test!$B$35,0)</f>
        <v>0</v>
      </c>
      <c r="O109">
        <f>IF(AND(SUM(VLOOKUP($A109,test!$A$3:$F$32,2,FALSE),VLOOKUP(O$1,test!$A$3:$F$32,2,FALSE))&lt;test!$K$16,$A109&lt;&gt;O$1,Recharged_Feasible_mat!P78=1),(VLOOKUP(O$1,test!$A$3:$I$32,8,FALSE))-(VLOOKUP($A109,test!$A$3:$I$32,9,FALSE))+test!$B$35,0)</f>
        <v>0</v>
      </c>
      <c r="P109">
        <f>IF(AND(SUM(VLOOKUP($A109,test!$A$3:$F$32,2,FALSE),VLOOKUP(P$1,test!$A$3:$F$32,2,FALSE))&lt;test!$K$16,$A109&lt;&gt;P$1,Recharged_Feasible_mat!Q78=1),(VLOOKUP(P$1,test!$A$3:$I$32,8,FALSE))-(VLOOKUP($A109,test!$A$3:$I$32,9,FALSE))+test!$B$35,0)</f>
        <v>0</v>
      </c>
      <c r="Q109">
        <f>IF(AND(SUM(VLOOKUP($A109,test!$A$3:$F$32,2,FALSE),VLOOKUP(Q$1,test!$A$3:$F$32,2,FALSE))&lt;test!$K$16,$A109&lt;&gt;Q$1,Recharged_Feasible_mat!R78=1),(VLOOKUP(Q$1,test!$A$3:$I$32,8,FALSE))-(VLOOKUP($A109,test!$A$3:$I$32,9,FALSE))+test!$B$35,0)</f>
        <v>0</v>
      </c>
      <c r="R109">
        <f>IF(AND(SUM(VLOOKUP($A109,test!$A$3:$F$32,2,FALSE),VLOOKUP(R$1,test!$A$3:$F$32,2,FALSE))&lt;test!$K$16,$A109&lt;&gt;R$1,Recharged_Feasible_mat!S78=1),(VLOOKUP(R$1,test!$A$3:$I$32,8,FALSE))-(VLOOKUP($A109,test!$A$3:$I$32,9,FALSE))+test!$B$35,0)</f>
        <v>0</v>
      </c>
      <c r="S109">
        <f>IF(AND(SUM(VLOOKUP($A109,test!$A$3:$F$32,2,FALSE),VLOOKUP(S$1,test!$A$3:$F$32,2,FALSE))&lt;test!$K$16,$A109&lt;&gt;S$1,Recharged_Feasible_mat!T78=1),(VLOOKUP(S$1,test!$A$3:$I$32,8,FALSE))-(VLOOKUP($A109,test!$A$3:$I$32,9,FALSE))+test!$B$35,0)</f>
        <v>0</v>
      </c>
      <c r="T109">
        <f>IF(AND(SUM(VLOOKUP($A109,test!$A$3:$F$32,2,FALSE),VLOOKUP(T$1,test!$A$3:$F$32,2,FALSE))&lt;test!$K$16,$A109&lt;&gt;T$1,Recharged_Feasible_mat!U78=1),(VLOOKUP(T$1,test!$A$3:$I$32,8,FALSE))-(VLOOKUP($A109,test!$A$3:$I$32,9,FALSE))+test!$B$35,0)</f>
        <v>0</v>
      </c>
      <c r="U109">
        <f>IF(AND(SUM(VLOOKUP($A109,test!$A$3:$F$32,2,FALSE),VLOOKUP(U$1,test!$A$3:$F$32,2,FALSE))&lt;test!$K$16,$A109&lt;&gt;U$1,Recharged_Feasible_mat!V78=1),(VLOOKUP(U$1,test!$A$3:$I$32,8,FALSE))-(VLOOKUP($A109,test!$A$3:$I$32,9,FALSE))+test!$B$35,0)</f>
        <v>0</v>
      </c>
      <c r="V109">
        <f>IF(AND(SUM(VLOOKUP($A109,test!$A$3:$F$32,2,FALSE),VLOOKUP(V$1,test!$A$3:$F$32,2,FALSE))&lt;test!$K$16,$A109&lt;&gt;V$1,Recharged_Feasible_mat!W78=1),(VLOOKUP(V$1,test!$A$3:$I$32,8,FALSE))-(VLOOKUP($A109,test!$A$3:$I$32,9,FALSE))+test!$B$35,0)</f>
        <v>270</v>
      </c>
      <c r="W109">
        <f>IF(AND(SUM(VLOOKUP($A109,test!$A$3:$F$32,2,FALSE),VLOOKUP(W$1,test!$A$3:$F$32,2,FALSE))&lt;test!$K$16,$A109&lt;&gt;W$1,Recharged_Feasible_mat!X78=1),(VLOOKUP(W$1,test!$A$3:$I$32,8,FALSE))-(VLOOKUP($A109,test!$A$3:$I$32,9,FALSE))+test!$B$35,0)</f>
        <v>360</v>
      </c>
      <c r="X109">
        <f>IF(AND(SUM(VLOOKUP($A109,test!$A$3:$F$32,2,FALSE),VLOOKUP(X$1,test!$A$3:$F$32,2,FALSE))&lt;test!$K$16,$A109&lt;&gt;X$1,Recharged_Feasible_mat!Y78=1),(VLOOKUP(X$1,test!$A$3:$I$32,8,FALSE))-(VLOOKUP($A109,test!$A$3:$I$32,9,FALSE))+test!$B$35,0)</f>
        <v>420</v>
      </c>
      <c r="Y109">
        <f>IF(AND(SUM(VLOOKUP($A109,test!$A$3:$F$32,2,FALSE),VLOOKUP(Y$1,test!$A$3:$F$32,2,FALSE))&lt;test!$K$16,$A109&lt;&gt;Y$1,Recharged_Feasible_mat!Z78=1),(VLOOKUP(Y$1,test!$A$3:$I$32,8,FALSE))-(VLOOKUP($A109,test!$A$3:$I$32,9,FALSE))+test!$B$35,0)</f>
        <v>0</v>
      </c>
      <c r="Z109">
        <f>IF(AND(SUM(VLOOKUP($A109,test!$A$3:$F$32,2,FALSE),VLOOKUP(Z$1,test!$A$3:$F$32,2,FALSE))&lt;test!$K$16,$A109&lt;&gt;Z$1,Recharged_Feasible_mat!AA78=1),(VLOOKUP(Z$1,test!$A$3:$I$32,8,FALSE))-(VLOOKUP($A109,test!$A$3:$I$32,9,FALSE))+test!$B$35,0)</f>
        <v>0</v>
      </c>
      <c r="AA109">
        <f>IF(AND(SUM(VLOOKUP($A109,test!$A$3:$F$32,2,FALSE),VLOOKUP(AA$1,test!$A$3:$F$32,2,FALSE))&lt;test!$K$16,$A109&lt;&gt;AA$1,Recharged_Feasible_mat!AB78=1),(VLOOKUP(AA$1,test!$A$3:$I$32,8,FALSE))-(VLOOKUP($A109,test!$A$3:$I$32,9,FALSE))+test!$B$35,0)</f>
        <v>0</v>
      </c>
      <c r="AB109">
        <f>IF(AND(SUM(VLOOKUP($A109,test!$A$3:$F$32,2,FALSE),VLOOKUP(AB$1,test!$A$3:$F$32,2,FALSE))&lt;test!$K$16,$A109&lt;&gt;AB$1,Recharged_Feasible_mat!AC78=1),(VLOOKUP(AB$1,test!$A$3:$I$32,8,FALSE))-(VLOOKUP($A109,test!$A$3:$I$32,9,FALSE))+test!$B$35,0)</f>
        <v>0</v>
      </c>
      <c r="AC109">
        <f>IF(AND(SUM(VLOOKUP($A109,test!$A$3:$F$32,2,FALSE),VLOOKUP(AC$1,test!$A$3:$F$32,2,FALSE))&lt;test!$K$16,$A109&lt;&gt;AC$1,Recharged_Feasible_mat!AD78=1),(VLOOKUP(AC$1,test!$A$3:$I$32,8,FALSE))-(VLOOKUP($A109,test!$A$3:$I$32,9,FALSE))+test!$B$35,0)</f>
        <v>0</v>
      </c>
      <c r="AD109">
        <f>IF(AND(SUM(VLOOKUP($A109,test!$A$3:$F$32,2,FALSE),VLOOKUP(AD$1,test!$A$3:$F$32,2,FALSE))&lt;test!$K$16,$A109&lt;&gt;AD$1,Recharged_Feasible_mat!AE78=1),(VLOOKUP(AD$1,test!$A$3:$I$32,8,FALSE))-(VLOOKUP($A109,test!$A$3:$I$32,9,FALSE))+test!$B$35,0)</f>
        <v>0</v>
      </c>
      <c r="AE109">
        <f>IF(AND(SUM(VLOOKUP($A109,test!$A$3:$F$32,2,FALSE),VLOOKUP(AE$1,test!$A$3:$F$32,2,FALSE))&lt;test!$K$16,$A109&lt;&gt;AE$1,Recharged_Feasible_mat!AF78=1),(VLOOKUP(AE$1,test!$A$3:$I$32,8,FALSE))-(VLOOKUP($A109,test!$A$3:$I$32,9,FALSE))+test!$B$35,0)</f>
        <v>0</v>
      </c>
      <c r="AF109">
        <f>IF(AND(SUM(VLOOKUP($A109,test!$A$3:$F$32,2,FALSE),VLOOKUP(AF$1,test!$A$3:$F$32,2,FALSE))&lt;test!$K$16,$A109&lt;&gt;AF$1,Recharged_Feasible_mat!AG78=1),(VLOOKUP(AF$1,test!$A$3:$I$32,8,FALSE))-(VLOOKUP($A109,test!$A$3:$I$32,9,FALSE))+test!$B$35,0)</f>
        <v>0</v>
      </c>
    </row>
    <row r="110" spans="1:32" x14ac:dyDescent="0.25">
      <c r="A110" t="s">
        <v>26</v>
      </c>
      <c r="B110">
        <v>0</v>
      </c>
      <c r="C110">
        <f>IF(AND(SUM(VLOOKUP($A110,test!$A$3:$F$32,2,FALSE),VLOOKUP(C$1,test!$A$3:$F$32,2,FALSE))&lt;test!$K$16,$A110&lt;&gt;C$1,Recharged_Feasible_mat!D79=1),(VLOOKUP(C$1,test!$A$3:$I$32,8,FALSE))-(VLOOKUP($A110,test!$A$3:$I$32,9,FALSE))+test!$B$35,0)</f>
        <v>0</v>
      </c>
      <c r="D110">
        <f>IF(AND(SUM(VLOOKUP($A110,test!$A$3:$F$32,2,FALSE),VLOOKUP(D$1,test!$A$3:$F$32,2,FALSE))&lt;test!$K$16,$A110&lt;&gt;D$1,Recharged_Feasible_mat!E79=1),(VLOOKUP(D$1,test!$A$3:$I$32,8,FALSE))-(VLOOKUP($A110,test!$A$3:$I$32,9,FALSE))+test!$B$35,0)</f>
        <v>0</v>
      </c>
      <c r="E110">
        <f>IF(AND(SUM(VLOOKUP($A110,test!$A$3:$F$32,2,FALSE),VLOOKUP(E$1,test!$A$3:$F$32,2,FALSE))&lt;test!$K$16,$A110&lt;&gt;E$1,Recharged_Feasible_mat!F79=1),(VLOOKUP(E$1,test!$A$3:$I$32,8,FALSE))-(VLOOKUP($A110,test!$A$3:$I$32,9,FALSE))+test!$B$35,0)</f>
        <v>0</v>
      </c>
      <c r="F110">
        <f>IF(AND(SUM(VLOOKUP($A110,test!$A$3:$F$32,2,FALSE),VLOOKUP(F$1,test!$A$3:$F$32,2,FALSE))&lt;test!$K$16,$A110&lt;&gt;F$1,Recharged_Feasible_mat!G79=1),(VLOOKUP(F$1,test!$A$3:$I$32,8,FALSE))-(VLOOKUP($A110,test!$A$3:$I$32,9,FALSE))+test!$B$35,0)</f>
        <v>295</v>
      </c>
      <c r="G110">
        <f>IF(AND(SUM(VLOOKUP($A110,test!$A$3:$F$32,2,FALSE),VLOOKUP(G$1,test!$A$3:$F$32,2,FALSE))&lt;test!$K$16,$A110&lt;&gt;G$1,Recharged_Feasible_mat!H79=1),(VLOOKUP(G$1,test!$A$3:$I$32,8,FALSE))-(VLOOKUP($A110,test!$A$3:$I$32,9,FALSE))+test!$B$35,0)</f>
        <v>355</v>
      </c>
      <c r="H110">
        <f>IF(AND(SUM(VLOOKUP($A110,test!$A$3:$F$32,2,FALSE),VLOOKUP(H$1,test!$A$3:$F$32,2,FALSE))&lt;test!$K$16,$A110&lt;&gt;H$1,Recharged_Feasible_mat!I79=1),(VLOOKUP(H$1,test!$A$3:$I$32,8,FALSE))-(VLOOKUP($A110,test!$A$3:$I$32,9,FALSE))+test!$B$35,0)</f>
        <v>415</v>
      </c>
      <c r="I110">
        <f>IF(AND(SUM(VLOOKUP($A110,test!$A$3:$F$32,2,FALSE),VLOOKUP(I$1,test!$A$3:$F$32,2,FALSE))&lt;test!$K$16,$A110&lt;&gt;I$1,Recharged_Feasible_mat!J79=1),(VLOOKUP(I$1,test!$A$3:$I$32,8,FALSE))-(VLOOKUP($A110,test!$A$3:$I$32,9,FALSE))+test!$B$35,0)</f>
        <v>475</v>
      </c>
      <c r="J110">
        <f>IF(AND(SUM(VLOOKUP($A110,test!$A$3:$F$32,2,FALSE),VLOOKUP(J$1,test!$A$3:$F$32,2,FALSE))&lt;test!$K$16,$A110&lt;&gt;J$1,Recharged_Feasible_mat!K79=1),(VLOOKUP(J$1,test!$A$3:$I$32,8,FALSE))-(VLOOKUP($A110,test!$A$3:$I$32,9,FALSE))+test!$B$35,0)</f>
        <v>565</v>
      </c>
      <c r="K110">
        <f>IF(AND(SUM(VLOOKUP($A110,test!$A$3:$F$32,2,FALSE),VLOOKUP(K$1,test!$A$3:$F$32,2,FALSE))&lt;test!$K$16,$A110&lt;&gt;K$1,Recharged_Feasible_mat!L79=1),(VLOOKUP(K$1,test!$A$3:$I$32,8,FALSE))-(VLOOKUP($A110,test!$A$3:$I$32,9,FALSE))+test!$B$35,0)</f>
        <v>0</v>
      </c>
      <c r="L110">
        <f>IF(AND(SUM(VLOOKUP($A110,test!$A$3:$F$32,2,FALSE),VLOOKUP(L$1,test!$A$3:$F$32,2,FALSE))&lt;test!$K$16,$A110&lt;&gt;L$1,Recharged_Feasible_mat!M79=1),(VLOOKUP(L$1,test!$A$3:$I$32,8,FALSE))-(VLOOKUP($A110,test!$A$3:$I$32,9,FALSE))+test!$B$35,0)</f>
        <v>0</v>
      </c>
      <c r="M110">
        <f>IF(AND(SUM(VLOOKUP($A110,test!$A$3:$F$32,2,FALSE),VLOOKUP(M$1,test!$A$3:$F$32,2,FALSE))&lt;test!$K$16,$A110&lt;&gt;M$1,Recharged_Feasible_mat!N79=1),(VLOOKUP(M$1,test!$A$3:$I$32,8,FALSE))-(VLOOKUP($A110,test!$A$3:$I$32,9,FALSE))+test!$B$35,0)</f>
        <v>0</v>
      </c>
      <c r="N110">
        <f>IF(AND(SUM(VLOOKUP($A110,test!$A$3:$F$32,2,FALSE),VLOOKUP(N$1,test!$A$3:$F$32,2,FALSE))&lt;test!$K$16,$A110&lt;&gt;N$1,Recharged_Feasible_mat!O79=1),(VLOOKUP(N$1,test!$A$3:$I$32,8,FALSE))-(VLOOKUP($A110,test!$A$3:$I$32,9,FALSE))+test!$B$35,0)</f>
        <v>530</v>
      </c>
      <c r="O110">
        <f>IF(AND(SUM(VLOOKUP($A110,test!$A$3:$F$32,2,FALSE),VLOOKUP(O$1,test!$A$3:$F$32,2,FALSE))&lt;test!$K$16,$A110&lt;&gt;O$1,Recharged_Feasible_mat!P79=1),(VLOOKUP(O$1,test!$A$3:$I$32,8,FALSE))-(VLOOKUP($A110,test!$A$3:$I$32,9,FALSE))+test!$B$35,0)</f>
        <v>590</v>
      </c>
      <c r="P110">
        <f>IF(AND(SUM(VLOOKUP($A110,test!$A$3:$F$32,2,FALSE),VLOOKUP(P$1,test!$A$3:$F$32,2,FALSE))&lt;test!$K$16,$A110&lt;&gt;P$1,Recharged_Feasible_mat!Q79=1),(VLOOKUP(P$1,test!$A$3:$I$32,8,FALSE))-(VLOOKUP($A110,test!$A$3:$I$32,9,FALSE))+test!$B$35,0)</f>
        <v>0</v>
      </c>
      <c r="Q110">
        <f>IF(AND(SUM(VLOOKUP($A110,test!$A$3:$F$32,2,FALSE),VLOOKUP(Q$1,test!$A$3:$F$32,2,FALSE))&lt;test!$K$16,$A110&lt;&gt;Q$1,Recharged_Feasible_mat!R79=1),(VLOOKUP(Q$1,test!$A$3:$I$32,8,FALSE))-(VLOOKUP($A110,test!$A$3:$I$32,9,FALSE))+test!$B$35,0)</f>
        <v>0</v>
      </c>
      <c r="R110">
        <f>IF(AND(SUM(VLOOKUP($A110,test!$A$3:$F$32,2,FALSE),VLOOKUP(R$1,test!$A$3:$F$32,2,FALSE))&lt;test!$K$16,$A110&lt;&gt;R$1,Recharged_Feasible_mat!S79=1),(VLOOKUP(R$1,test!$A$3:$I$32,8,FALSE))-(VLOOKUP($A110,test!$A$3:$I$32,9,FALSE))+test!$B$35,0)</f>
        <v>0</v>
      </c>
      <c r="S110">
        <f>IF(AND(SUM(VLOOKUP($A110,test!$A$3:$F$32,2,FALSE),VLOOKUP(S$1,test!$A$3:$F$32,2,FALSE))&lt;test!$K$16,$A110&lt;&gt;S$1,Recharged_Feasible_mat!T79=1),(VLOOKUP(S$1,test!$A$3:$I$32,8,FALSE))-(VLOOKUP($A110,test!$A$3:$I$32,9,FALSE))+test!$B$35,0)</f>
        <v>0</v>
      </c>
      <c r="T110">
        <f>IF(AND(SUM(VLOOKUP($A110,test!$A$3:$F$32,2,FALSE),VLOOKUP(T$1,test!$A$3:$F$32,2,FALSE))&lt;test!$K$16,$A110&lt;&gt;T$1,Recharged_Feasible_mat!U79=1),(VLOOKUP(T$1,test!$A$3:$I$32,8,FALSE))-(VLOOKUP($A110,test!$A$3:$I$32,9,FALSE))+test!$B$35,0)</f>
        <v>0</v>
      </c>
      <c r="U110">
        <f>IF(AND(SUM(VLOOKUP($A110,test!$A$3:$F$32,2,FALSE),VLOOKUP(U$1,test!$A$3:$F$32,2,FALSE))&lt;test!$K$16,$A110&lt;&gt;U$1,Recharged_Feasible_mat!V79=1),(VLOOKUP(U$1,test!$A$3:$I$32,8,FALSE))-(VLOOKUP($A110,test!$A$3:$I$32,9,FALSE))+test!$B$35,0)</f>
        <v>275</v>
      </c>
      <c r="V110">
        <f>IF(AND(SUM(VLOOKUP($A110,test!$A$3:$F$32,2,FALSE),VLOOKUP(V$1,test!$A$3:$F$32,2,FALSE))&lt;test!$K$16,$A110&lt;&gt;V$1,Recharged_Feasible_mat!W79=1),(VLOOKUP(V$1,test!$A$3:$I$32,8,FALSE))-(VLOOKUP($A110,test!$A$3:$I$32,9,FALSE))+test!$B$35,0)</f>
        <v>365</v>
      </c>
      <c r="W110">
        <f>IF(AND(SUM(VLOOKUP($A110,test!$A$3:$F$32,2,FALSE),VLOOKUP(W$1,test!$A$3:$F$32,2,FALSE))&lt;test!$K$16,$A110&lt;&gt;W$1,Recharged_Feasible_mat!X79=1),(VLOOKUP(W$1,test!$A$3:$I$32,8,FALSE))-(VLOOKUP($A110,test!$A$3:$I$32,9,FALSE))+test!$B$35,0)</f>
        <v>455</v>
      </c>
      <c r="X110">
        <f>IF(AND(SUM(VLOOKUP($A110,test!$A$3:$F$32,2,FALSE),VLOOKUP(X$1,test!$A$3:$F$32,2,FALSE))&lt;test!$K$16,$A110&lt;&gt;X$1,Recharged_Feasible_mat!Y79=1),(VLOOKUP(X$1,test!$A$3:$I$32,8,FALSE))-(VLOOKUP($A110,test!$A$3:$I$32,9,FALSE))+test!$B$35,0)</f>
        <v>515</v>
      </c>
      <c r="Y110">
        <f>IF(AND(SUM(VLOOKUP($A110,test!$A$3:$F$32,2,FALSE),VLOOKUP(Y$1,test!$A$3:$F$32,2,FALSE))&lt;test!$K$16,$A110&lt;&gt;Y$1,Recharged_Feasible_mat!Z79=1),(VLOOKUP(Y$1,test!$A$3:$I$32,8,FALSE))-(VLOOKUP($A110,test!$A$3:$I$32,9,FALSE))+test!$B$35,0)</f>
        <v>0</v>
      </c>
      <c r="Z110">
        <f>IF(AND(SUM(VLOOKUP($A110,test!$A$3:$F$32,2,FALSE),VLOOKUP(Z$1,test!$A$3:$F$32,2,FALSE))&lt;test!$K$16,$A110&lt;&gt;Z$1,Recharged_Feasible_mat!AA79=1),(VLOOKUP(Z$1,test!$A$3:$I$32,8,FALSE))-(VLOOKUP($A110,test!$A$3:$I$32,9,FALSE))+test!$B$35,0)</f>
        <v>0</v>
      </c>
      <c r="AA110">
        <f>IF(AND(SUM(VLOOKUP($A110,test!$A$3:$F$32,2,FALSE),VLOOKUP(AA$1,test!$A$3:$F$32,2,FALSE))&lt;test!$K$16,$A110&lt;&gt;AA$1,Recharged_Feasible_mat!AB79=1),(VLOOKUP(AA$1,test!$A$3:$I$32,8,FALSE))-(VLOOKUP($A110,test!$A$3:$I$32,9,FALSE))+test!$B$35,0)</f>
        <v>0</v>
      </c>
      <c r="AB110">
        <f>IF(AND(SUM(VLOOKUP($A110,test!$A$3:$F$32,2,FALSE),VLOOKUP(AB$1,test!$A$3:$F$32,2,FALSE))&lt;test!$K$16,$A110&lt;&gt;AB$1,Recharged_Feasible_mat!AC79=1),(VLOOKUP(AB$1,test!$A$3:$I$32,8,FALSE))-(VLOOKUP($A110,test!$A$3:$I$32,9,FALSE))+test!$B$35,0)</f>
        <v>295</v>
      </c>
      <c r="AC110">
        <f>IF(AND(SUM(VLOOKUP($A110,test!$A$3:$F$32,2,FALSE),VLOOKUP(AC$1,test!$A$3:$F$32,2,FALSE))&lt;test!$K$16,$A110&lt;&gt;AC$1,Recharged_Feasible_mat!AD79=1),(VLOOKUP(AC$1,test!$A$3:$I$32,8,FALSE))-(VLOOKUP($A110,test!$A$3:$I$32,9,FALSE))+test!$B$35,0)</f>
        <v>415</v>
      </c>
      <c r="AD110">
        <f>IF(AND(SUM(VLOOKUP($A110,test!$A$3:$F$32,2,FALSE),VLOOKUP(AD$1,test!$A$3:$F$32,2,FALSE))&lt;test!$K$16,$A110&lt;&gt;AD$1,Recharged_Feasible_mat!AE79=1),(VLOOKUP(AD$1,test!$A$3:$I$32,8,FALSE))-(VLOOKUP($A110,test!$A$3:$I$32,9,FALSE))+test!$B$35,0)</f>
        <v>0</v>
      </c>
      <c r="AE110">
        <f>IF(AND(SUM(VLOOKUP($A110,test!$A$3:$F$32,2,FALSE),VLOOKUP(AE$1,test!$A$3:$F$32,2,FALSE))&lt;test!$K$16,$A110&lt;&gt;AE$1,Recharged_Feasible_mat!AF79=1),(VLOOKUP(AE$1,test!$A$3:$I$32,8,FALSE))-(VLOOKUP($A110,test!$A$3:$I$32,9,FALSE))+test!$B$35,0)</f>
        <v>0</v>
      </c>
      <c r="AF110">
        <f>IF(AND(SUM(VLOOKUP($A110,test!$A$3:$F$32,2,FALSE),VLOOKUP(AF$1,test!$A$3:$F$32,2,FALSE))&lt;test!$K$16,$A110&lt;&gt;AF$1,Recharged_Feasible_mat!AG79=1),(VLOOKUP(AF$1,test!$A$3:$I$32,8,FALSE))-(VLOOKUP($A110,test!$A$3:$I$32,9,FALSE))+test!$B$35,0)</f>
        <v>0</v>
      </c>
    </row>
    <row r="111" spans="1:32" x14ac:dyDescent="0.25">
      <c r="A111" t="s">
        <v>27</v>
      </c>
      <c r="B111">
        <v>0</v>
      </c>
      <c r="C111">
        <f>IF(AND(SUM(VLOOKUP($A111,test!$A$3:$F$32,2,FALSE),VLOOKUP(C$1,test!$A$3:$F$32,2,FALSE))&lt;test!$K$16,$A111&lt;&gt;C$1,Recharged_Feasible_mat!D80=1),(VLOOKUP(C$1,test!$A$3:$I$32,8,FALSE))-(VLOOKUP($A111,test!$A$3:$I$32,9,FALSE))+test!$B$35,0)</f>
        <v>0</v>
      </c>
      <c r="D111">
        <f>IF(AND(SUM(VLOOKUP($A111,test!$A$3:$F$32,2,FALSE),VLOOKUP(D$1,test!$A$3:$F$32,2,FALSE))&lt;test!$K$16,$A111&lt;&gt;D$1,Recharged_Feasible_mat!E80=1),(VLOOKUP(D$1,test!$A$3:$I$32,8,FALSE))-(VLOOKUP($A111,test!$A$3:$I$32,9,FALSE))+test!$B$35,0)</f>
        <v>0</v>
      </c>
      <c r="E111">
        <f>IF(AND(SUM(VLOOKUP($A111,test!$A$3:$F$32,2,FALSE),VLOOKUP(E$1,test!$A$3:$F$32,2,FALSE))&lt;test!$K$16,$A111&lt;&gt;E$1,Recharged_Feasible_mat!F80=1),(VLOOKUP(E$1,test!$A$3:$I$32,8,FALSE))-(VLOOKUP($A111,test!$A$3:$I$32,9,FALSE))+test!$B$35,0)</f>
        <v>0</v>
      </c>
      <c r="F111">
        <f>IF(AND(SUM(VLOOKUP($A111,test!$A$3:$F$32,2,FALSE),VLOOKUP(F$1,test!$A$3:$F$32,2,FALSE))&lt;test!$K$16,$A111&lt;&gt;F$1,Recharged_Feasible_mat!G80=1),(VLOOKUP(F$1,test!$A$3:$I$32,8,FALSE))-(VLOOKUP($A111,test!$A$3:$I$32,9,FALSE))+test!$B$35,0)</f>
        <v>0</v>
      </c>
      <c r="G111">
        <f>IF(AND(SUM(VLOOKUP($A111,test!$A$3:$F$32,2,FALSE),VLOOKUP(G$1,test!$A$3:$F$32,2,FALSE))&lt;test!$K$16,$A111&lt;&gt;G$1,Recharged_Feasible_mat!H80=1),(VLOOKUP(G$1,test!$A$3:$I$32,8,FALSE))-(VLOOKUP($A111,test!$A$3:$I$32,9,FALSE))+test!$B$35,0)</f>
        <v>265</v>
      </c>
      <c r="H111">
        <f>IF(AND(SUM(VLOOKUP($A111,test!$A$3:$F$32,2,FALSE),VLOOKUP(H$1,test!$A$3:$F$32,2,FALSE))&lt;test!$K$16,$A111&lt;&gt;H$1,Recharged_Feasible_mat!I80=1),(VLOOKUP(H$1,test!$A$3:$I$32,8,FALSE))-(VLOOKUP($A111,test!$A$3:$I$32,9,FALSE))+test!$B$35,0)</f>
        <v>325</v>
      </c>
      <c r="I111">
        <f>IF(AND(SUM(VLOOKUP($A111,test!$A$3:$F$32,2,FALSE),VLOOKUP(I$1,test!$A$3:$F$32,2,FALSE))&lt;test!$K$16,$A111&lt;&gt;I$1,Recharged_Feasible_mat!J80=1),(VLOOKUP(I$1,test!$A$3:$I$32,8,FALSE))-(VLOOKUP($A111,test!$A$3:$I$32,9,FALSE))+test!$B$35,0)</f>
        <v>385</v>
      </c>
      <c r="J111">
        <f>IF(AND(SUM(VLOOKUP($A111,test!$A$3:$F$32,2,FALSE),VLOOKUP(J$1,test!$A$3:$F$32,2,FALSE))&lt;test!$K$16,$A111&lt;&gt;J$1,Recharged_Feasible_mat!K80=1),(VLOOKUP(J$1,test!$A$3:$I$32,8,FALSE))-(VLOOKUP($A111,test!$A$3:$I$32,9,FALSE))+test!$B$35,0)</f>
        <v>475</v>
      </c>
      <c r="K111">
        <f>IF(AND(SUM(VLOOKUP($A111,test!$A$3:$F$32,2,FALSE),VLOOKUP(K$1,test!$A$3:$F$32,2,FALSE))&lt;test!$K$16,$A111&lt;&gt;K$1,Recharged_Feasible_mat!L80=1),(VLOOKUP(K$1,test!$A$3:$I$32,8,FALSE))-(VLOOKUP($A111,test!$A$3:$I$32,9,FALSE))+test!$B$35,0)</f>
        <v>0</v>
      </c>
      <c r="L111">
        <f>IF(AND(SUM(VLOOKUP($A111,test!$A$3:$F$32,2,FALSE),VLOOKUP(L$1,test!$A$3:$F$32,2,FALSE))&lt;test!$K$16,$A111&lt;&gt;L$1,Recharged_Feasible_mat!M80=1),(VLOOKUP(L$1,test!$A$3:$I$32,8,FALSE))-(VLOOKUP($A111,test!$A$3:$I$32,9,FALSE))+test!$B$35,0)</f>
        <v>0</v>
      </c>
      <c r="M111">
        <f>IF(AND(SUM(VLOOKUP($A111,test!$A$3:$F$32,2,FALSE),VLOOKUP(M$1,test!$A$3:$F$32,2,FALSE))&lt;test!$K$16,$A111&lt;&gt;M$1,Recharged_Feasible_mat!N80=1),(VLOOKUP(M$1,test!$A$3:$I$32,8,FALSE))-(VLOOKUP($A111,test!$A$3:$I$32,9,FALSE))+test!$B$35,0)</f>
        <v>0</v>
      </c>
      <c r="N111">
        <f>IF(AND(SUM(VLOOKUP($A111,test!$A$3:$F$32,2,FALSE),VLOOKUP(N$1,test!$A$3:$F$32,2,FALSE))&lt;test!$K$16,$A111&lt;&gt;N$1,Recharged_Feasible_mat!O80=1),(VLOOKUP(N$1,test!$A$3:$I$32,8,FALSE))-(VLOOKUP($A111,test!$A$3:$I$32,9,FALSE))+test!$B$35,0)</f>
        <v>440</v>
      </c>
      <c r="O111">
        <f>IF(AND(SUM(VLOOKUP($A111,test!$A$3:$F$32,2,FALSE),VLOOKUP(O$1,test!$A$3:$F$32,2,FALSE))&lt;test!$K$16,$A111&lt;&gt;O$1,Recharged_Feasible_mat!P80=1),(VLOOKUP(O$1,test!$A$3:$I$32,8,FALSE))-(VLOOKUP($A111,test!$A$3:$I$32,9,FALSE))+test!$B$35,0)</f>
        <v>500</v>
      </c>
      <c r="P111">
        <f>IF(AND(SUM(VLOOKUP($A111,test!$A$3:$F$32,2,FALSE),VLOOKUP(P$1,test!$A$3:$F$32,2,FALSE))&lt;test!$K$16,$A111&lt;&gt;P$1,Recharged_Feasible_mat!Q80=1),(VLOOKUP(P$1,test!$A$3:$I$32,8,FALSE))-(VLOOKUP($A111,test!$A$3:$I$32,9,FALSE))+test!$B$35,0)</f>
        <v>0</v>
      </c>
      <c r="Q111">
        <f>IF(AND(SUM(VLOOKUP($A111,test!$A$3:$F$32,2,FALSE),VLOOKUP(Q$1,test!$A$3:$F$32,2,FALSE))&lt;test!$K$16,$A111&lt;&gt;Q$1,Recharged_Feasible_mat!R80=1),(VLOOKUP(Q$1,test!$A$3:$I$32,8,FALSE))-(VLOOKUP($A111,test!$A$3:$I$32,9,FALSE))+test!$B$35,0)</f>
        <v>0</v>
      </c>
      <c r="R111">
        <f>IF(AND(SUM(VLOOKUP($A111,test!$A$3:$F$32,2,FALSE),VLOOKUP(R$1,test!$A$3:$F$32,2,FALSE))&lt;test!$K$16,$A111&lt;&gt;R$1,Recharged_Feasible_mat!S80=1),(VLOOKUP(R$1,test!$A$3:$I$32,8,FALSE))-(VLOOKUP($A111,test!$A$3:$I$32,9,FALSE))+test!$B$35,0)</f>
        <v>0</v>
      </c>
      <c r="S111">
        <f>IF(AND(SUM(VLOOKUP($A111,test!$A$3:$F$32,2,FALSE),VLOOKUP(S$1,test!$A$3:$F$32,2,FALSE))&lt;test!$K$16,$A111&lt;&gt;S$1,Recharged_Feasible_mat!T80=1),(VLOOKUP(S$1,test!$A$3:$I$32,8,FALSE))-(VLOOKUP($A111,test!$A$3:$I$32,9,FALSE))+test!$B$35,0)</f>
        <v>0</v>
      </c>
      <c r="T111">
        <f>IF(AND(SUM(VLOOKUP($A111,test!$A$3:$F$32,2,FALSE),VLOOKUP(T$1,test!$A$3:$F$32,2,FALSE))&lt;test!$K$16,$A111&lt;&gt;T$1,Recharged_Feasible_mat!U80=1),(VLOOKUP(T$1,test!$A$3:$I$32,8,FALSE))-(VLOOKUP($A111,test!$A$3:$I$32,9,FALSE))+test!$B$35,0)</f>
        <v>0</v>
      </c>
      <c r="U111">
        <f>IF(AND(SUM(VLOOKUP($A111,test!$A$3:$F$32,2,FALSE),VLOOKUP(U$1,test!$A$3:$F$32,2,FALSE))&lt;test!$K$16,$A111&lt;&gt;U$1,Recharged_Feasible_mat!V80=1),(VLOOKUP(U$1,test!$A$3:$I$32,8,FALSE))-(VLOOKUP($A111,test!$A$3:$I$32,9,FALSE))+test!$B$35,0)</f>
        <v>0</v>
      </c>
      <c r="V111">
        <f>IF(AND(SUM(VLOOKUP($A111,test!$A$3:$F$32,2,FALSE),VLOOKUP(V$1,test!$A$3:$F$32,2,FALSE))&lt;test!$K$16,$A111&lt;&gt;V$1,Recharged_Feasible_mat!W80=1),(VLOOKUP(V$1,test!$A$3:$I$32,8,FALSE))-(VLOOKUP($A111,test!$A$3:$I$32,9,FALSE))+test!$B$35,0)</f>
        <v>275</v>
      </c>
      <c r="W111">
        <f>IF(AND(SUM(VLOOKUP($A111,test!$A$3:$F$32,2,FALSE),VLOOKUP(W$1,test!$A$3:$F$32,2,FALSE))&lt;test!$K$16,$A111&lt;&gt;W$1,Recharged_Feasible_mat!X80=1),(VLOOKUP(W$1,test!$A$3:$I$32,8,FALSE))-(VLOOKUP($A111,test!$A$3:$I$32,9,FALSE))+test!$B$35,0)</f>
        <v>365</v>
      </c>
      <c r="X111">
        <f>IF(AND(SUM(VLOOKUP($A111,test!$A$3:$F$32,2,FALSE),VLOOKUP(X$1,test!$A$3:$F$32,2,FALSE))&lt;test!$K$16,$A111&lt;&gt;X$1,Recharged_Feasible_mat!Y80=1),(VLOOKUP(X$1,test!$A$3:$I$32,8,FALSE))-(VLOOKUP($A111,test!$A$3:$I$32,9,FALSE))+test!$B$35,0)</f>
        <v>425</v>
      </c>
      <c r="Y111">
        <f>IF(AND(SUM(VLOOKUP($A111,test!$A$3:$F$32,2,FALSE),VLOOKUP(Y$1,test!$A$3:$F$32,2,FALSE))&lt;test!$K$16,$A111&lt;&gt;Y$1,Recharged_Feasible_mat!Z80=1),(VLOOKUP(Y$1,test!$A$3:$I$32,8,FALSE))-(VLOOKUP($A111,test!$A$3:$I$32,9,FALSE))+test!$B$35,0)</f>
        <v>0</v>
      </c>
      <c r="Z111">
        <f>IF(AND(SUM(VLOOKUP($A111,test!$A$3:$F$32,2,FALSE),VLOOKUP(Z$1,test!$A$3:$F$32,2,FALSE))&lt;test!$K$16,$A111&lt;&gt;Z$1,Recharged_Feasible_mat!AA80=1),(VLOOKUP(Z$1,test!$A$3:$I$32,8,FALSE))-(VLOOKUP($A111,test!$A$3:$I$32,9,FALSE))+test!$B$35,0)</f>
        <v>0</v>
      </c>
      <c r="AA111">
        <f>IF(AND(SUM(VLOOKUP($A111,test!$A$3:$F$32,2,FALSE),VLOOKUP(AA$1,test!$A$3:$F$32,2,FALSE))&lt;test!$K$16,$A111&lt;&gt;AA$1,Recharged_Feasible_mat!AB80=1),(VLOOKUP(AA$1,test!$A$3:$I$32,8,FALSE))-(VLOOKUP($A111,test!$A$3:$I$32,9,FALSE))+test!$B$35,0)</f>
        <v>0</v>
      </c>
      <c r="AB111">
        <f>IF(AND(SUM(VLOOKUP($A111,test!$A$3:$F$32,2,FALSE),VLOOKUP(AB$1,test!$A$3:$F$32,2,FALSE))&lt;test!$K$16,$A111&lt;&gt;AB$1,Recharged_Feasible_mat!AC80=1),(VLOOKUP(AB$1,test!$A$3:$I$32,8,FALSE))-(VLOOKUP($A111,test!$A$3:$I$32,9,FALSE))+test!$B$35,0)</f>
        <v>0</v>
      </c>
      <c r="AC111">
        <f>IF(AND(SUM(VLOOKUP($A111,test!$A$3:$F$32,2,FALSE),VLOOKUP(AC$1,test!$A$3:$F$32,2,FALSE))&lt;test!$K$16,$A111&lt;&gt;AC$1,Recharged_Feasible_mat!AD80=1),(VLOOKUP(AC$1,test!$A$3:$I$32,8,FALSE))-(VLOOKUP($A111,test!$A$3:$I$32,9,FALSE))+test!$B$35,0)</f>
        <v>325</v>
      </c>
      <c r="AD111">
        <f>IF(AND(SUM(VLOOKUP($A111,test!$A$3:$F$32,2,FALSE),VLOOKUP(AD$1,test!$A$3:$F$32,2,FALSE))&lt;test!$K$16,$A111&lt;&gt;AD$1,Recharged_Feasible_mat!AE80=1),(VLOOKUP(AD$1,test!$A$3:$I$32,8,FALSE))-(VLOOKUP($A111,test!$A$3:$I$32,9,FALSE))+test!$B$35,0)</f>
        <v>0</v>
      </c>
      <c r="AE111">
        <f>IF(AND(SUM(VLOOKUP($A111,test!$A$3:$F$32,2,FALSE),VLOOKUP(AE$1,test!$A$3:$F$32,2,FALSE))&lt;test!$K$16,$A111&lt;&gt;AE$1,Recharged_Feasible_mat!AF80=1),(VLOOKUP(AE$1,test!$A$3:$I$32,8,FALSE))-(VLOOKUP($A111,test!$A$3:$I$32,9,FALSE))+test!$B$35,0)</f>
        <v>0</v>
      </c>
      <c r="AF111">
        <f>IF(AND(SUM(VLOOKUP($A111,test!$A$3:$F$32,2,FALSE),VLOOKUP(AF$1,test!$A$3:$F$32,2,FALSE))&lt;test!$K$16,$A111&lt;&gt;AF$1,Recharged_Feasible_mat!AG80=1),(VLOOKUP(AF$1,test!$A$3:$I$32,8,FALSE))-(VLOOKUP($A111,test!$A$3:$I$32,9,FALSE))+test!$B$35,0)</f>
        <v>0</v>
      </c>
    </row>
    <row r="112" spans="1:32" x14ac:dyDescent="0.25">
      <c r="A112" t="s">
        <v>28</v>
      </c>
      <c r="B112">
        <v>0</v>
      </c>
      <c r="C112">
        <f>IF(AND(SUM(VLOOKUP($A112,test!$A$3:$F$32,2,FALSE),VLOOKUP(C$1,test!$A$3:$F$32,2,FALSE))&lt;test!$K$16,$A112&lt;&gt;C$1,Recharged_Feasible_mat!D81=1),(VLOOKUP(C$1,test!$A$3:$I$32,8,FALSE))-(VLOOKUP($A112,test!$A$3:$I$32,9,FALSE))+test!$B$35,0)</f>
        <v>0</v>
      </c>
      <c r="D112">
        <f>IF(AND(SUM(VLOOKUP($A112,test!$A$3:$F$32,2,FALSE),VLOOKUP(D$1,test!$A$3:$F$32,2,FALSE))&lt;test!$K$16,$A112&lt;&gt;D$1,Recharged_Feasible_mat!E81=1),(VLOOKUP(D$1,test!$A$3:$I$32,8,FALSE))-(VLOOKUP($A112,test!$A$3:$I$32,9,FALSE))+test!$B$35,0)</f>
        <v>0</v>
      </c>
      <c r="E112">
        <f>IF(AND(SUM(VLOOKUP($A112,test!$A$3:$F$32,2,FALSE),VLOOKUP(E$1,test!$A$3:$F$32,2,FALSE))&lt;test!$K$16,$A112&lt;&gt;E$1,Recharged_Feasible_mat!F81=1),(VLOOKUP(E$1,test!$A$3:$I$32,8,FALSE))-(VLOOKUP($A112,test!$A$3:$I$32,9,FALSE))+test!$B$35,0)</f>
        <v>0</v>
      </c>
      <c r="F112">
        <f>IF(AND(SUM(VLOOKUP($A112,test!$A$3:$F$32,2,FALSE),VLOOKUP(F$1,test!$A$3:$F$32,2,FALSE))&lt;test!$K$16,$A112&lt;&gt;F$1,Recharged_Feasible_mat!G81=1),(VLOOKUP(F$1,test!$A$3:$I$32,8,FALSE))-(VLOOKUP($A112,test!$A$3:$I$32,9,FALSE))+test!$B$35,0)</f>
        <v>0</v>
      </c>
      <c r="G112">
        <f>IF(AND(SUM(VLOOKUP($A112,test!$A$3:$F$32,2,FALSE),VLOOKUP(G$1,test!$A$3:$F$32,2,FALSE))&lt;test!$K$16,$A112&lt;&gt;G$1,Recharged_Feasible_mat!H81=1),(VLOOKUP(G$1,test!$A$3:$I$32,8,FALSE))-(VLOOKUP($A112,test!$A$3:$I$32,9,FALSE))+test!$B$35,0)</f>
        <v>0</v>
      </c>
      <c r="H112">
        <f>IF(AND(SUM(VLOOKUP($A112,test!$A$3:$F$32,2,FALSE),VLOOKUP(H$1,test!$A$3:$F$32,2,FALSE))&lt;test!$K$16,$A112&lt;&gt;H$1,Recharged_Feasible_mat!I81=1),(VLOOKUP(H$1,test!$A$3:$I$32,8,FALSE))-(VLOOKUP($A112,test!$A$3:$I$32,9,FALSE))+test!$B$35,0)</f>
        <v>0</v>
      </c>
      <c r="I112">
        <f>IF(AND(SUM(VLOOKUP($A112,test!$A$3:$F$32,2,FALSE),VLOOKUP(I$1,test!$A$3:$F$32,2,FALSE))&lt;test!$K$16,$A112&lt;&gt;I$1,Recharged_Feasible_mat!J81=1),(VLOOKUP(I$1,test!$A$3:$I$32,8,FALSE))-(VLOOKUP($A112,test!$A$3:$I$32,9,FALSE))+test!$B$35,0)</f>
        <v>295</v>
      </c>
      <c r="J112">
        <f>IF(AND(SUM(VLOOKUP($A112,test!$A$3:$F$32,2,FALSE),VLOOKUP(J$1,test!$A$3:$F$32,2,FALSE))&lt;test!$K$16,$A112&lt;&gt;J$1,Recharged_Feasible_mat!K81=1),(VLOOKUP(J$1,test!$A$3:$I$32,8,FALSE))-(VLOOKUP($A112,test!$A$3:$I$32,9,FALSE))+test!$B$35,0)</f>
        <v>385</v>
      </c>
      <c r="K112">
        <f>IF(AND(SUM(VLOOKUP($A112,test!$A$3:$F$32,2,FALSE),VLOOKUP(K$1,test!$A$3:$F$32,2,FALSE))&lt;test!$K$16,$A112&lt;&gt;K$1,Recharged_Feasible_mat!L81=1),(VLOOKUP(K$1,test!$A$3:$I$32,8,FALSE))-(VLOOKUP($A112,test!$A$3:$I$32,9,FALSE))+test!$B$35,0)</f>
        <v>0</v>
      </c>
      <c r="L112">
        <f>IF(AND(SUM(VLOOKUP($A112,test!$A$3:$F$32,2,FALSE),VLOOKUP(L$1,test!$A$3:$F$32,2,FALSE))&lt;test!$K$16,$A112&lt;&gt;L$1,Recharged_Feasible_mat!M81=1),(VLOOKUP(L$1,test!$A$3:$I$32,8,FALSE))-(VLOOKUP($A112,test!$A$3:$I$32,9,FALSE))+test!$B$35,0)</f>
        <v>0</v>
      </c>
      <c r="M112">
        <f>IF(AND(SUM(VLOOKUP($A112,test!$A$3:$F$32,2,FALSE),VLOOKUP(M$1,test!$A$3:$F$32,2,FALSE))&lt;test!$K$16,$A112&lt;&gt;M$1,Recharged_Feasible_mat!N81=1),(VLOOKUP(M$1,test!$A$3:$I$32,8,FALSE))-(VLOOKUP($A112,test!$A$3:$I$32,9,FALSE))+test!$B$35,0)</f>
        <v>0</v>
      </c>
      <c r="N112">
        <f>IF(AND(SUM(VLOOKUP($A112,test!$A$3:$F$32,2,FALSE),VLOOKUP(N$1,test!$A$3:$F$32,2,FALSE))&lt;test!$K$16,$A112&lt;&gt;N$1,Recharged_Feasible_mat!O81=1),(VLOOKUP(N$1,test!$A$3:$I$32,8,FALSE))-(VLOOKUP($A112,test!$A$3:$I$32,9,FALSE))+test!$B$35,0)</f>
        <v>350</v>
      </c>
      <c r="O112">
        <f>IF(AND(SUM(VLOOKUP($A112,test!$A$3:$F$32,2,FALSE),VLOOKUP(O$1,test!$A$3:$F$32,2,FALSE))&lt;test!$K$16,$A112&lt;&gt;O$1,Recharged_Feasible_mat!P81=1),(VLOOKUP(O$1,test!$A$3:$I$32,8,FALSE))-(VLOOKUP($A112,test!$A$3:$I$32,9,FALSE))+test!$B$35,0)</f>
        <v>410</v>
      </c>
      <c r="P112">
        <f>IF(AND(SUM(VLOOKUP($A112,test!$A$3:$F$32,2,FALSE),VLOOKUP(P$1,test!$A$3:$F$32,2,FALSE))&lt;test!$K$16,$A112&lt;&gt;P$1,Recharged_Feasible_mat!Q81=1),(VLOOKUP(P$1,test!$A$3:$I$32,8,FALSE))-(VLOOKUP($A112,test!$A$3:$I$32,9,FALSE))+test!$B$35,0)</f>
        <v>0</v>
      </c>
      <c r="Q112">
        <f>IF(AND(SUM(VLOOKUP($A112,test!$A$3:$F$32,2,FALSE),VLOOKUP(Q$1,test!$A$3:$F$32,2,FALSE))&lt;test!$K$16,$A112&lt;&gt;Q$1,Recharged_Feasible_mat!R81=1),(VLOOKUP(Q$1,test!$A$3:$I$32,8,FALSE))-(VLOOKUP($A112,test!$A$3:$I$32,9,FALSE))+test!$B$35,0)</f>
        <v>0</v>
      </c>
      <c r="R112">
        <f>IF(AND(SUM(VLOOKUP($A112,test!$A$3:$F$32,2,FALSE),VLOOKUP(R$1,test!$A$3:$F$32,2,FALSE))&lt;test!$K$16,$A112&lt;&gt;R$1,Recharged_Feasible_mat!S81=1),(VLOOKUP(R$1,test!$A$3:$I$32,8,FALSE))-(VLOOKUP($A112,test!$A$3:$I$32,9,FALSE))+test!$B$35,0)</f>
        <v>0</v>
      </c>
      <c r="S112">
        <f>IF(AND(SUM(VLOOKUP($A112,test!$A$3:$F$32,2,FALSE),VLOOKUP(S$1,test!$A$3:$F$32,2,FALSE))&lt;test!$K$16,$A112&lt;&gt;S$1,Recharged_Feasible_mat!T81=1),(VLOOKUP(S$1,test!$A$3:$I$32,8,FALSE))-(VLOOKUP($A112,test!$A$3:$I$32,9,FALSE))+test!$B$35,0)</f>
        <v>0</v>
      </c>
      <c r="T112">
        <f>IF(AND(SUM(VLOOKUP($A112,test!$A$3:$F$32,2,FALSE),VLOOKUP(T$1,test!$A$3:$F$32,2,FALSE))&lt;test!$K$16,$A112&lt;&gt;T$1,Recharged_Feasible_mat!U81=1),(VLOOKUP(T$1,test!$A$3:$I$32,8,FALSE))-(VLOOKUP($A112,test!$A$3:$I$32,9,FALSE))+test!$B$35,0)</f>
        <v>0</v>
      </c>
      <c r="U112">
        <f>IF(AND(SUM(VLOOKUP($A112,test!$A$3:$F$32,2,FALSE),VLOOKUP(U$1,test!$A$3:$F$32,2,FALSE))&lt;test!$K$16,$A112&lt;&gt;U$1,Recharged_Feasible_mat!V81=1),(VLOOKUP(U$1,test!$A$3:$I$32,8,FALSE))-(VLOOKUP($A112,test!$A$3:$I$32,9,FALSE))+test!$B$35,0)</f>
        <v>0</v>
      </c>
      <c r="V112">
        <f>IF(AND(SUM(VLOOKUP($A112,test!$A$3:$F$32,2,FALSE),VLOOKUP(V$1,test!$A$3:$F$32,2,FALSE))&lt;test!$K$16,$A112&lt;&gt;V$1,Recharged_Feasible_mat!W81=1),(VLOOKUP(V$1,test!$A$3:$I$32,8,FALSE))-(VLOOKUP($A112,test!$A$3:$I$32,9,FALSE))+test!$B$35,0)</f>
        <v>0</v>
      </c>
      <c r="W112">
        <f>IF(AND(SUM(VLOOKUP($A112,test!$A$3:$F$32,2,FALSE),VLOOKUP(W$1,test!$A$3:$F$32,2,FALSE))&lt;test!$K$16,$A112&lt;&gt;W$1,Recharged_Feasible_mat!X81=1),(VLOOKUP(W$1,test!$A$3:$I$32,8,FALSE))-(VLOOKUP($A112,test!$A$3:$I$32,9,FALSE))+test!$B$35,0)</f>
        <v>275</v>
      </c>
      <c r="X112">
        <f>IF(AND(SUM(VLOOKUP($A112,test!$A$3:$F$32,2,FALSE),VLOOKUP(X$1,test!$A$3:$F$32,2,FALSE))&lt;test!$K$16,$A112&lt;&gt;X$1,Recharged_Feasible_mat!Y81=1),(VLOOKUP(X$1,test!$A$3:$I$32,8,FALSE))-(VLOOKUP($A112,test!$A$3:$I$32,9,FALSE))+test!$B$35,0)</f>
        <v>335</v>
      </c>
      <c r="Y112">
        <f>IF(AND(SUM(VLOOKUP($A112,test!$A$3:$F$32,2,FALSE),VLOOKUP(Y$1,test!$A$3:$F$32,2,FALSE))&lt;test!$K$16,$A112&lt;&gt;Y$1,Recharged_Feasible_mat!Z81=1),(VLOOKUP(Y$1,test!$A$3:$I$32,8,FALSE))-(VLOOKUP($A112,test!$A$3:$I$32,9,FALSE))+test!$B$35,0)</f>
        <v>0</v>
      </c>
      <c r="Z112">
        <f>IF(AND(SUM(VLOOKUP($A112,test!$A$3:$F$32,2,FALSE),VLOOKUP(Z$1,test!$A$3:$F$32,2,FALSE))&lt;test!$K$16,$A112&lt;&gt;Z$1,Recharged_Feasible_mat!AA81=1),(VLOOKUP(Z$1,test!$A$3:$I$32,8,FALSE))-(VLOOKUP($A112,test!$A$3:$I$32,9,FALSE))+test!$B$35,0)</f>
        <v>0</v>
      </c>
      <c r="AA112">
        <f>IF(AND(SUM(VLOOKUP($A112,test!$A$3:$F$32,2,FALSE),VLOOKUP(AA$1,test!$A$3:$F$32,2,FALSE))&lt;test!$K$16,$A112&lt;&gt;AA$1,Recharged_Feasible_mat!AB81=1),(VLOOKUP(AA$1,test!$A$3:$I$32,8,FALSE))-(VLOOKUP($A112,test!$A$3:$I$32,9,FALSE))+test!$B$35,0)</f>
        <v>0</v>
      </c>
      <c r="AB112">
        <f>IF(AND(SUM(VLOOKUP($A112,test!$A$3:$F$32,2,FALSE),VLOOKUP(AB$1,test!$A$3:$F$32,2,FALSE))&lt;test!$K$16,$A112&lt;&gt;AB$1,Recharged_Feasible_mat!AC81=1),(VLOOKUP(AB$1,test!$A$3:$I$32,8,FALSE))-(VLOOKUP($A112,test!$A$3:$I$32,9,FALSE))+test!$B$35,0)</f>
        <v>0</v>
      </c>
      <c r="AC112">
        <f>IF(AND(SUM(VLOOKUP($A112,test!$A$3:$F$32,2,FALSE),VLOOKUP(AC$1,test!$A$3:$F$32,2,FALSE))&lt;test!$K$16,$A112&lt;&gt;AC$1,Recharged_Feasible_mat!AD81=1),(VLOOKUP(AC$1,test!$A$3:$I$32,8,FALSE))-(VLOOKUP($A112,test!$A$3:$I$32,9,FALSE))+test!$B$35,0)</f>
        <v>0</v>
      </c>
      <c r="AD112">
        <f>IF(AND(SUM(VLOOKUP($A112,test!$A$3:$F$32,2,FALSE),VLOOKUP(AD$1,test!$A$3:$F$32,2,FALSE))&lt;test!$K$16,$A112&lt;&gt;AD$1,Recharged_Feasible_mat!AE81=1),(VLOOKUP(AD$1,test!$A$3:$I$32,8,FALSE))-(VLOOKUP($A112,test!$A$3:$I$32,9,FALSE))+test!$B$35,0)</f>
        <v>0</v>
      </c>
      <c r="AE112">
        <f>IF(AND(SUM(VLOOKUP($A112,test!$A$3:$F$32,2,FALSE),VLOOKUP(AE$1,test!$A$3:$F$32,2,FALSE))&lt;test!$K$16,$A112&lt;&gt;AE$1,Recharged_Feasible_mat!AF81=1),(VLOOKUP(AE$1,test!$A$3:$I$32,8,FALSE))-(VLOOKUP($A112,test!$A$3:$I$32,9,FALSE))+test!$B$35,0)</f>
        <v>0</v>
      </c>
      <c r="AF112">
        <f>IF(AND(SUM(VLOOKUP($A112,test!$A$3:$F$32,2,FALSE),VLOOKUP(AF$1,test!$A$3:$F$32,2,FALSE))&lt;test!$K$16,$A112&lt;&gt;AF$1,Recharged_Feasible_mat!AG81=1),(VLOOKUP(AF$1,test!$A$3:$I$32,8,FALSE))-(VLOOKUP($A112,test!$A$3:$I$32,9,FALSE))+test!$B$35,0)</f>
        <v>0</v>
      </c>
    </row>
    <row r="113" spans="1:32" x14ac:dyDescent="0.25">
      <c r="A113" t="s">
        <v>29</v>
      </c>
      <c r="B113">
        <v>0</v>
      </c>
      <c r="C113">
        <f>IF(AND(SUM(VLOOKUP($A113,test!$A$3:$F$32,2,FALSE),VLOOKUP(C$1,test!$A$3:$F$32,2,FALSE))&lt;test!$K$16,$A113&lt;&gt;C$1,Recharged_Feasible_mat!D82=1),(VLOOKUP(C$1,test!$A$3:$I$32,8,FALSE))-(VLOOKUP($A113,test!$A$3:$I$32,9,FALSE))+test!$B$35,0)</f>
        <v>0</v>
      </c>
      <c r="D113">
        <f>IF(AND(SUM(VLOOKUP($A113,test!$A$3:$F$32,2,FALSE),VLOOKUP(D$1,test!$A$3:$F$32,2,FALSE))&lt;test!$K$16,$A113&lt;&gt;D$1,Recharged_Feasible_mat!E82=1),(VLOOKUP(D$1,test!$A$3:$I$32,8,FALSE))-(VLOOKUP($A113,test!$A$3:$I$32,9,FALSE))+test!$B$35,0)</f>
        <v>0</v>
      </c>
      <c r="E113">
        <f>IF(AND(SUM(VLOOKUP($A113,test!$A$3:$F$32,2,FALSE),VLOOKUP(E$1,test!$A$3:$F$32,2,FALSE))&lt;test!$K$16,$A113&lt;&gt;E$1,Recharged_Feasible_mat!F82=1),(VLOOKUP(E$1,test!$A$3:$I$32,8,FALSE))-(VLOOKUP($A113,test!$A$3:$I$32,9,FALSE))+test!$B$35,0)</f>
        <v>0</v>
      </c>
      <c r="F113">
        <f>IF(AND(SUM(VLOOKUP($A113,test!$A$3:$F$32,2,FALSE),VLOOKUP(F$1,test!$A$3:$F$32,2,FALSE))&lt;test!$K$16,$A113&lt;&gt;F$1,Recharged_Feasible_mat!G82=1),(VLOOKUP(F$1,test!$A$3:$I$32,8,FALSE))-(VLOOKUP($A113,test!$A$3:$I$32,9,FALSE))+test!$B$35,0)</f>
        <v>0</v>
      </c>
      <c r="G113">
        <f>IF(AND(SUM(VLOOKUP($A113,test!$A$3:$F$32,2,FALSE),VLOOKUP(G$1,test!$A$3:$F$32,2,FALSE))&lt;test!$K$16,$A113&lt;&gt;G$1,Recharged_Feasible_mat!H82=1),(VLOOKUP(G$1,test!$A$3:$I$32,8,FALSE))-(VLOOKUP($A113,test!$A$3:$I$32,9,FALSE))+test!$B$35,0)</f>
        <v>0</v>
      </c>
      <c r="H113">
        <f>IF(AND(SUM(VLOOKUP($A113,test!$A$3:$F$32,2,FALSE),VLOOKUP(H$1,test!$A$3:$F$32,2,FALSE))&lt;test!$K$16,$A113&lt;&gt;H$1,Recharged_Feasible_mat!I82=1),(VLOOKUP(H$1,test!$A$3:$I$32,8,FALSE))-(VLOOKUP($A113,test!$A$3:$I$32,9,FALSE))+test!$B$35,0)</f>
        <v>0</v>
      </c>
      <c r="I113">
        <f>IF(AND(SUM(VLOOKUP($A113,test!$A$3:$F$32,2,FALSE),VLOOKUP(I$1,test!$A$3:$F$32,2,FALSE))&lt;test!$K$16,$A113&lt;&gt;I$1,Recharged_Feasible_mat!J82=1),(VLOOKUP(I$1,test!$A$3:$I$32,8,FALSE))-(VLOOKUP($A113,test!$A$3:$I$32,9,FALSE))+test!$B$35,0)</f>
        <v>0</v>
      </c>
      <c r="J113">
        <f>IF(AND(SUM(VLOOKUP($A113,test!$A$3:$F$32,2,FALSE),VLOOKUP(J$1,test!$A$3:$F$32,2,FALSE))&lt;test!$K$16,$A113&lt;&gt;J$1,Recharged_Feasible_mat!K82=1),(VLOOKUP(J$1,test!$A$3:$I$32,8,FALSE))-(VLOOKUP($A113,test!$A$3:$I$32,9,FALSE))+test!$B$35,0)</f>
        <v>295</v>
      </c>
      <c r="K113">
        <f>IF(AND(SUM(VLOOKUP($A113,test!$A$3:$F$32,2,FALSE),VLOOKUP(K$1,test!$A$3:$F$32,2,FALSE))&lt;test!$K$16,$A113&lt;&gt;K$1,Recharged_Feasible_mat!L82=1),(VLOOKUP(K$1,test!$A$3:$I$32,8,FALSE))-(VLOOKUP($A113,test!$A$3:$I$32,9,FALSE))+test!$B$35,0)</f>
        <v>0</v>
      </c>
      <c r="L113">
        <f>IF(AND(SUM(VLOOKUP($A113,test!$A$3:$F$32,2,FALSE),VLOOKUP(L$1,test!$A$3:$F$32,2,FALSE))&lt;test!$K$16,$A113&lt;&gt;L$1,Recharged_Feasible_mat!M82=1),(VLOOKUP(L$1,test!$A$3:$I$32,8,FALSE))-(VLOOKUP($A113,test!$A$3:$I$32,9,FALSE))+test!$B$35,0)</f>
        <v>0</v>
      </c>
      <c r="M113">
        <f>IF(AND(SUM(VLOOKUP($A113,test!$A$3:$F$32,2,FALSE),VLOOKUP(M$1,test!$A$3:$F$32,2,FALSE))&lt;test!$K$16,$A113&lt;&gt;M$1,Recharged_Feasible_mat!N82=1),(VLOOKUP(M$1,test!$A$3:$I$32,8,FALSE))-(VLOOKUP($A113,test!$A$3:$I$32,9,FALSE))+test!$B$35,0)</f>
        <v>0</v>
      </c>
      <c r="N113">
        <f>IF(AND(SUM(VLOOKUP($A113,test!$A$3:$F$32,2,FALSE),VLOOKUP(N$1,test!$A$3:$F$32,2,FALSE))&lt;test!$K$16,$A113&lt;&gt;N$1,Recharged_Feasible_mat!O82=1),(VLOOKUP(N$1,test!$A$3:$I$32,8,FALSE))-(VLOOKUP($A113,test!$A$3:$I$32,9,FALSE))+test!$B$35,0)</f>
        <v>260</v>
      </c>
      <c r="O113">
        <f>IF(AND(SUM(VLOOKUP($A113,test!$A$3:$F$32,2,FALSE),VLOOKUP(O$1,test!$A$3:$F$32,2,FALSE))&lt;test!$K$16,$A113&lt;&gt;O$1,Recharged_Feasible_mat!P82=1),(VLOOKUP(O$1,test!$A$3:$I$32,8,FALSE))-(VLOOKUP($A113,test!$A$3:$I$32,9,FALSE))+test!$B$35,0)</f>
        <v>320</v>
      </c>
      <c r="P113">
        <f>IF(AND(SUM(VLOOKUP($A113,test!$A$3:$F$32,2,FALSE),VLOOKUP(P$1,test!$A$3:$F$32,2,FALSE))&lt;test!$K$16,$A113&lt;&gt;P$1,Recharged_Feasible_mat!Q82=1),(VLOOKUP(P$1,test!$A$3:$I$32,8,FALSE))-(VLOOKUP($A113,test!$A$3:$I$32,9,FALSE))+test!$B$35,0)</f>
        <v>0</v>
      </c>
      <c r="Q113">
        <f>IF(AND(SUM(VLOOKUP($A113,test!$A$3:$F$32,2,FALSE),VLOOKUP(Q$1,test!$A$3:$F$32,2,FALSE))&lt;test!$K$16,$A113&lt;&gt;Q$1,Recharged_Feasible_mat!R82=1),(VLOOKUP(Q$1,test!$A$3:$I$32,8,FALSE))-(VLOOKUP($A113,test!$A$3:$I$32,9,FALSE))+test!$B$35,0)</f>
        <v>0</v>
      </c>
      <c r="R113">
        <f>IF(AND(SUM(VLOOKUP($A113,test!$A$3:$F$32,2,FALSE),VLOOKUP(R$1,test!$A$3:$F$32,2,FALSE))&lt;test!$K$16,$A113&lt;&gt;R$1,Recharged_Feasible_mat!S82=1),(VLOOKUP(R$1,test!$A$3:$I$32,8,FALSE))-(VLOOKUP($A113,test!$A$3:$I$32,9,FALSE))+test!$B$35,0)</f>
        <v>0</v>
      </c>
      <c r="S113">
        <f>IF(AND(SUM(VLOOKUP($A113,test!$A$3:$F$32,2,FALSE),VLOOKUP(S$1,test!$A$3:$F$32,2,FALSE))&lt;test!$K$16,$A113&lt;&gt;S$1,Recharged_Feasible_mat!T82=1),(VLOOKUP(S$1,test!$A$3:$I$32,8,FALSE))-(VLOOKUP($A113,test!$A$3:$I$32,9,FALSE))+test!$B$35,0)</f>
        <v>0</v>
      </c>
      <c r="T113">
        <f>IF(AND(SUM(VLOOKUP($A113,test!$A$3:$F$32,2,FALSE),VLOOKUP(T$1,test!$A$3:$F$32,2,FALSE))&lt;test!$K$16,$A113&lt;&gt;T$1,Recharged_Feasible_mat!U82=1),(VLOOKUP(T$1,test!$A$3:$I$32,8,FALSE))-(VLOOKUP($A113,test!$A$3:$I$32,9,FALSE))+test!$B$35,0)</f>
        <v>0</v>
      </c>
      <c r="U113">
        <f>IF(AND(SUM(VLOOKUP($A113,test!$A$3:$F$32,2,FALSE),VLOOKUP(U$1,test!$A$3:$F$32,2,FALSE))&lt;test!$K$16,$A113&lt;&gt;U$1,Recharged_Feasible_mat!V82=1),(VLOOKUP(U$1,test!$A$3:$I$32,8,FALSE))-(VLOOKUP($A113,test!$A$3:$I$32,9,FALSE))+test!$B$35,0)</f>
        <v>0</v>
      </c>
      <c r="V113">
        <f>IF(AND(SUM(VLOOKUP($A113,test!$A$3:$F$32,2,FALSE),VLOOKUP(V$1,test!$A$3:$F$32,2,FALSE))&lt;test!$K$16,$A113&lt;&gt;V$1,Recharged_Feasible_mat!W82=1),(VLOOKUP(V$1,test!$A$3:$I$32,8,FALSE))-(VLOOKUP($A113,test!$A$3:$I$32,9,FALSE))+test!$B$35,0)</f>
        <v>0</v>
      </c>
      <c r="W113">
        <f>IF(AND(SUM(VLOOKUP($A113,test!$A$3:$F$32,2,FALSE),VLOOKUP(W$1,test!$A$3:$F$32,2,FALSE))&lt;test!$K$16,$A113&lt;&gt;W$1,Recharged_Feasible_mat!X82=1),(VLOOKUP(W$1,test!$A$3:$I$32,8,FALSE))-(VLOOKUP($A113,test!$A$3:$I$32,9,FALSE))+test!$B$35,0)</f>
        <v>0</v>
      </c>
      <c r="X113">
        <f>IF(AND(SUM(VLOOKUP($A113,test!$A$3:$F$32,2,FALSE),VLOOKUP(X$1,test!$A$3:$F$32,2,FALSE))&lt;test!$K$16,$A113&lt;&gt;X$1,Recharged_Feasible_mat!Y82=1),(VLOOKUP(X$1,test!$A$3:$I$32,8,FALSE))-(VLOOKUP($A113,test!$A$3:$I$32,9,FALSE))+test!$B$35,0)</f>
        <v>245</v>
      </c>
      <c r="Y113">
        <f>IF(AND(SUM(VLOOKUP($A113,test!$A$3:$F$32,2,FALSE),VLOOKUP(Y$1,test!$A$3:$F$32,2,FALSE))&lt;test!$K$16,$A113&lt;&gt;Y$1,Recharged_Feasible_mat!Z82=1),(VLOOKUP(Y$1,test!$A$3:$I$32,8,FALSE))-(VLOOKUP($A113,test!$A$3:$I$32,9,FALSE))+test!$B$35,0)</f>
        <v>0</v>
      </c>
      <c r="Z113">
        <f>IF(AND(SUM(VLOOKUP($A113,test!$A$3:$F$32,2,FALSE),VLOOKUP(Z$1,test!$A$3:$F$32,2,FALSE))&lt;test!$K$16,$A113&lt;&gt;Z$1,Recharged_Feasible_mat!AA82=1),(VLOOKUP(Z$1,test!$A$3:$I$32,8,FALSE))-(VLOOKUP($A113,test!$A$3:$I$32,9,FALSE))+test!$B$35,0)</f>
        <v>0</v>
      </c>
      <c r="AA113">
        <f>IF(AND(SUM(VLOOKUP($A113,test!$A$3:$F$32,2,FALSE),VLOOKUP(AA$1,test!$A$3:$F$32,2,FALSE))&lt;test!$K$16,$A113&lt;&gt;AA$1,Recharged_Feasible_mat!AB82=1),(VLOOKUP(AA$1,test!$A$3:$I$32,8,FALSE))-(VLOOKUP($A113,test!$A$3:$I$32,9,FALSE))+test!$B$35,0)</f>
        <v>0</v>
      </c>
      <c r="AB113">
        <f>IF(AND(SUM(VLOOKUP($A113,test!$A$3:$F$32,2,FALSE),VLOOKUP(AB$1,test!$A$3:$F$32,2,FALSE))&lt;test!$K$16,$A113&lt;&gt;AB$1,Recharged_Feasible_mat!AC82=1),(VLOOKUP(AB$1,test!$A$3:$I$32,8,FALSE))-(VLOOKUP($A113,test!$A$3:$I$32,9,FALSE))+test!$B$35,0)</f>
        <v>0</v>
      </c>
      <c r="AC113">
        <f>IF(AND(SUM(VLOOKUP($A113,test!$A$3:$F$32,2,FALSE),VLOOKUP(AC$1,test!$A$3:$F$32,2,FALSE))&lt;test!$K$16,$A113&lt;&gt;AC$1,Recharged_Feasible_mat!AD82=1),(VLOOKUP(AC$1,test!$A$3:$I$32,8,FALSE))-(VLOOKUP($A113,test!$A$3:$I$32,9,FALSE))+test!$B$35,0)</f>
        <v>0</v>
      </c>
      <c r="AD113">
        <f>IF(AND(SUM(VLOOKUP($A113,test!$A$3:$F$32,2,FALSE),VLOOKUP(AD$1,test!$A$3:$F$32,2,FALSE))&lt;test!$K$16,$A113&lt;&gt;AD$1,Recharged_Feasible_mat!AE82=1),(VLOOKUP(AD$1,test!$A$3:$I$32,8,FALSE))-(VLOOKUP($A113,test!$A$3:$I$32,9,FALSE))+test!$B$35,0)</f>
        <v>0</v>
      </c>
      <c r="AE113">
        <f>IF(AND(SUM(VLOOKUP($A113,test!$A$3:$F$32,2,FALSE),VLOOKUP(AE$1,test!$A$3:$F$32,2,FALSE))&lt;test!$K$16,$A113&lt;&gt;AE$1,Recharged_Feasible_mat!AF82=1),(VLOOKUP(AE$1,test!$A$3:$I$32,8,FALSE))-(VLOOKUP($A113,test!$A$3:$I$32,9,FALSE))+test!$B$35,0)</f>
        <v>0</v>
      </c>
      <c r="AF113">
        <f>IF(AND(SUM(VLOOKUP($A113,test!$A$3:$F$32,2,FALSE),VLOOKUP(AF$1,test!$A$3:$F$32,2,FALSE))&lt;test!$K$16,$A113&lt;&gt;AF$1,Recharged_Feasible_mat!AG82=1),(VLOOKUP(AF$1,test!$A$3:$I$32,8,FALSE))-(VLOOKUP($A113,test!$A$3:$I$32,9,FALSE))+test!$B$35,0)</f>
        <v>0</v>
      </c>
    </row>
    <row r="114" spans="1:32" x14ac:dyDescent="0.25">
      <c r="A114" t="s">
        <v>30</v>
      </c>
      <c r="B114">
        <v>0</v>
      </c>
      <c r="C114">
        <f>IF(AND(SUM(VLOOKUP($A114,test!$A$3:$F$32,2,FALSE),VLOOKUP(C$1,test!$A$3:$F$32,2,FALSE))&lt;test!$K$16,$A114&lt;&gt;C$1,Recharged_Feasible_mat!D83=1),(VLOOKUP(C$1,test!$A$3:$I$32,8,FALSE))-(VLOOKUP($A114,test!$A$3:$I$32,9,FALSE))+test!$B$35,0)</f>
        <v>0</v>
      </c>
      <c r="D114">
        <f>IF(AND(SUM(VLOOKUP($A114,test!$A$3:$F$32,2,FALSE),VLOOKUP(D$1,test!$A$3:$F$32,2,FALSE))&lt;test!$K$16,$A114&lt;&gt;D$1,Recharged_Feasible_mat!E83=1),(VLOOKUP(D$1,test!$A$3:$I$32,8,FALSE))-(VLOOKUP($A114,test!$A$3:$I$32,9,FALSE))+test!$B$35,0)</f>
        <v>0</v>
      </c>
      <c r="E114">
        <f>IF(AND(SUM(VLOOKUP($A114,test!$A$3:$F$32,2,FALSE),VLOOKUP(E$1,test!$A$3:$F$32,2,FALSE))&lt;test!$K$16,$A114&lt;&gt;E$1,Recharged_Feasible_mat!F83=1),(VLOOKUP(E$1,test!$A$3:$I$32,8,FALSE))-(VLOOKUP($A114,test!$A$3:$I$32,9,FALSE))+test!$B$35,0)</f>
        <v>0</v>
      </c>
      <c r="F114">
        <f>IF(AND(SUM(VLOOKUP($A114,test!$A$3:$F$32,2,FALSE),VLOOKUP(F$1,test!$A$3:$F$32,2,FALSE))&lt;test!$K$16,$A114&lt;&gt;F$1,Recharged_Feasible_mat!G83=1),(VLOOKUP(F$1,test!$A$3:$I$32,8,FALSE))-(VLOOKUP($A114,test!$A$3:$I$32,9,FALSE))+test!$B$35,0)</f>
        <v>0</v>
      </c>
      <c r="G114">
        <f>IF(AND(SUM(VLOOKUP($A114,test!$A$3:$F$32,2,FALSE),VLOOKUP(G$1,test!$A$3:$F$32,2,FALSE))&lt;test!$K$16,$A114&lt;&gt;G$1,Recharged_Feasible_mat!H83=1),(VLOOKUP(G$1,test!$A$3:$I$32,8,FALSE))-(VLOOKUP($A114,test!$A$3:$I$32,9,FALSE))+test!$B$35,0)</f>
        <v>0</v>
      </c>
      <c r="H114">
        <f>IF(AND(SUM(VLOOKUP($A114,test!$A$3:$F$32,2,FALSE),VLOOKUP(H$1,test!$A$3:$F$32,2,FALSE))&lt;test!$K$16,$A114&lt;&gt;H$1,Recharged_Feasible_mat!I83=1),(VLOOKUP(H$1,test!$A$3:$I$32,8,FALSE))-(VLOOKUP($A114,test!$A$3:$I$32,9,FALSE))+test!$B$35,0)</f>
        <v>0</v>
      </c>
      <c r="I114">
        <f>IF(AND(SUM(VLOOKUP($A114,test!$A$3:$F$32,2,FALSE),VLOOKUP(I$1,test!$A$3:$F$32,2,FALSE))&lt;test!$K$16,$A114&lt;&gt;I$1,Recharged_Feasible_mat!J83=1),(VLOOKUP(I$1,test!$A$3:$I$32,8,FALSE))-(VLOOKUP($A114,test!$A$3:$I$32,9,FALSE))+test!$B$35,0)</f>
        <v>0</v>
      </c>
      <c r="J114">
        <f>IF(AND(SUM(VLOOKUP($A114,test!$A$3:$F$32,2,FALSE),VLOOKUP(J$1,test!$A$3:$F$32,2,FALSE))&lt;test!$K$16,$A114&lt;&gt;J$1,Recharged_Feasible_mat!K83=1),(VLOOKUP(J$1,test!$A$3:$I$32,8,FALSE))-(VLOOKUP($A114,test!$A$3:$I$32,9,FALSE))+test!$B$35,0)</f>
        <v>0</v>
      </c>
      <c r="K114">
        <f>IF(AND(SUM(VLOOKUP($A114,test!$A$3:$F$32,2,FALSE),VLOOKUP(K$1,test!$A$3:$F$32,2,FALSE))&lt;test!$K$16,$A114&lt;&gt;K$1,Recharged_Feasible_mat!L83=1),(VLOOKUP(K$1,test!$A$3:$I$32,8,FALSE))-(VLOOKUP($A114,test!$A$3:$I$32,9,FALSE))+test!$B$35,0)</f>
        <v>0</v>
      </c>
      <c r="L114">
        <f>IF(AND(SUM(VLOOKUP($A114,test!$A$3:$F$32,2,FALSE),VLOOKUP(L$1,test!$A$3:$F$32,2,FALSE))&lt;test!$K$16,$A114&lt;&gt;L$1,Recharged_Feasible_mat!M83=1),(VLOOKUP(L$1,test!$A$3:$I$32,8,FALSE))-(VLOOKUP($A114,test!$A$3:$I$32,9,FALSE))+test!$B$35,0)</f>
        <v>0</v>
      </c>
      <c r="M114">
        <f>IF(AND(SUM(VLOOKUP($A114,test!$A$3:$F$32,2,FALSE),VLOOKUP(M$1,test!$A$3:$F$32,2,FALSE))&lt;test!$K$16,$A114&lt;&gt;M$1,Recharged_Feasible_mat!N83=1),(VLOOKUP(M$1,test!$A$3:$I$32,8,FALSE))-(VLOOKUP($A114,test!$A$3:$I$32,9,FALSE))+test!$B$35,0)</f>
        <v>0</v>
      </c>
      <c r="N114">
        <f>IF(AND(SUM(VLOOKUP($A114,test!$A$3:$F$32,2,FALSE),VLOOKUP(N$1,test!$A$3:$F$32,2,FALSE))&lt;test!$K$16,$A114&lt;&gt;N$1,Recharged_Feasible_mat!O83=1),(VLOOKUP(N$1,test!$A$3:$I$32,8,FALSE))-(VLOOKUP($A114,test!$A$3:$I$32,9,FALSE))+test!$B$35,0)</f>
        <v>0</v>
      </c>
      <c r="O114">
        <f>IF(AND(SUM(VLOOKUP($A114,test!$A$3:$F$32,2,FALSE),VLOOKUP(O$1,test!$A$3:$F$32,2,FALSE))&lt;test!$K$16,$A114&lt;&gt;O$1,Recharged_Feasible_mat!P83=1),(VLOOKUP(O$1,test!$A$3:$I$32,8,FALSE))-(VLOOKUP($A114,test!$A$3:$I$32,9,FALSE))+test!$B$35,0)</f>
        <v>0</v>
      </c>
      <c r="P114">
        <f>IF(AND(SUM(VLOOKUP($A114,test!$A$3:$F$32,2,FALSE),VLOOKUP(P$1,test!$A$3:$F$32,2,FALSE))&lt;test!$K$16,$A114&lt;&gt;P$1,Recharged_Feasible_mat!Q83=1),(VLOOKUP(P$1,test!$A$3:$I$32,8,FALSE))-(VLOOKUP($A114,test!$A$3:$I$32,9,FALSE))+test!$B$35,0)</f>
        <v>0</v>
      </c>
      <c r="Q114">
        <f>IF(AND(SUM(VLOOKUP($A114,test!$A$3:$F$32,2,FALSE),VLOOKUP(Q$1,test!$A$3:$F$32,2,FALSE))&lt;test!$K$16,$A114&lt;&gt;Q$1,Recharged_Feasible_mat!R83=1),(VLOOKUP(Q$1,test!$A$3:$I$32,8,FALSE))-(VLOOKUP($A114,test!$A$3:$I$32,9,FALSE))+test!$B$35,0)</f>
        <v>0</v>
      </c>
      <c r="R114">
        <f>IF(AND(SUM(VLOOKUP($A114,test!$A$3:$F$32,2,FALSE),VLOOKUP(R$1,test!$A$3:$F$32,2,FALSE))&lt;test!$K$16,$A114&lt;&gt;R$1,Recharged_Feasible_mat!S83=1),(VLOOKUP(R$1,test!$A$3:$I$32,8,FALSE))-(VLOOKUP($A114,test!$A$3:$I$32,9,FALSE))+test!$B$35,0)</f>
        <v>0</v>
      </c>
      <c r="S114">
        <f>IF(AND(SUM(VLOOKUP($A114,test!$A$3:$F$32,2,FALSE),VLOOKUP(S$1,test!$A$3:$F$32,2,FALSE))&lt;test!$K$16,$A114&lt;&gt;S$1,Recharged_Feasible_mat!T83=1),(VLOOKUP(S$1,test!$A$3:$I$32,8,FALSE))-(VLOOKUP($A114,test!$A$3:$I$32,9,FALSE))+test!$B$35,0)</f>
        <v>0</v>
      </c>
      <c r="T114">
        <f>IF(AND(SUM(VLOOKUP($A114,test!$A$3:$F$32,2,FALSE),VLOOKUP(T$1,test!$A$3:$F$32,2,FALSE))&lt;test!$K$16,$A114&lt;&gt;T$1,Recharged_Feasible_mat!U83=1),(VLOOKUP(T$1,test!$A$3:$I$32,8,FALSE))-(VLOOKUP($A114,test!$A$3:$I$32,9,FALSE))+test!$B$35,0)</f>
        <v>0</v>
      </c>
      <c r="U114">
        <f>IF(AND(SUM(VLOOKUP($A114,test!$A$3:$F$32,2,FALSE),VLOOKUP(U$1,test!$A$3:$F$32,2,FALSE))&lt;test!$K$16,$A114&lt;&gt;U$1,Recharged_Feasible_mat!V83=1),(VLOOKUP(U$1,test!$A$3:$I$32,8,FALSE))-(VLOOKUP($A114,test!$A$3:$I$32,9,FALSE))+test!$B$35,0)</f>
        <v>0</v>
      </c>
      <c r="V114">
        <f>IF(AND(SUM(VLOOKUP($A114,test!$A$3:$F$32,2,FALSE),VLOOKUP(V$1,test!$A$3:$F$32,2,FALSE))&lt;test!$K$16,$A114&lt;&gt;V$1,Recharged_Feasible_mat!W83=1),(VLOOKUP(V$1,test!$A$3:$I$32,8,FALSE))-(VLOOKUP($A114,test!$A$3:$I$32,9,FALSE))+test!$B$35,0)</f>
        <v>0</v>
      </c>
      <c r="W114">
        <f>IF(AND(SUM(VLOOKUP($A114,test!$A$3:$F$32,2,FALSE),VLOOKUP(W$1,test!$A$3:$F$32,2,FALSE))&lt;test!$K$16,$A114&lt;&gt;W$1,Recharged_Feasible_mat!X83=1),(VLOOKUP(W$1,test!$A$3:$I$32,8,FALSE))-(VLOOKUP($A114,test!$A$3:$I$32,9,FALSE))+test!$B$35,0)</f>
        <v>0</v>
      </c>
      <c r="X114">
        <f>IF(AND(SUM(VLOOKUP($A114,test!$A$3:$F$32,2,FALSE),VLOOKUP(X$1,test!$A$3:$F$32,2,FALSE))&lt;test!$K$16,$A114&lt;&gt;X$1,Recharged_Feasible_mat!Y83=1),(VLOOKUP(X$1,test!$A$3:$I$32,8,FALSE))-(VLOOKUP($A114,test!$A$3:$I$32,9,FALSE))+test!$B$35,0)</f>
        <v>0</v>
      </c>
      <c r="Y114">
        <f>IF(AND(SUM(VLOOKUP($A114,test!$A$3:$F$32,2,FALSE),VLOOKUP(Y$1,test!$A$3:$F$32,2,FALSE))&lt;test!$K$16,$A114&lt;&gt;Y$1,Recharged_Feasible_mat!Z83=1),(VLOOKUP(Y$1,test!$A$3:$I$32,8,FALSE))-(VLOOKUP($A114,test!$A$3:$I$32,9,FALSE))+test!$B$35,0)</f>
        <v>0</v>
      </c>
      <c r="Z114">
        <f>IF(AND(SUM(VLOOKUP($A114,test!$A$3:$F$32,2,FALSE),VLOOKUP(Z$1,test!$A$3:$F$32,2,FALSE))&lt;test!$K$16,$A114&lt;&gt;Z$1,Recharged_Feasible_mat!AA83=1),(VLOOKUP(Z$1,test!$A$3:$I$32,8,FALSE))-(VLOOKUP($A114,test!$A$3:$I$32,9,FALSE))+test!$B$35,0)</f>
        <v>0</v>
      </c>
      <c r="AA114">
        <f>IF(AND(SUM(VLOOKUP($A114,test!$A$3:$F$32,2,FALSE),VLOOKUP(AA$1,test!$A$3:$F$32,2,FALSE))&lt;test!$K$16,$A114&lt;&gt;AA$1,Recharged_Feasible_mat!AB83=1),(VLOOKUP(AA$1,test!$A$3:$I$32,8,FALSE))-(VLOOKUP($A114,test!$A$3:$I$32,9,FALSE))+test!$B$35,0)</f>
        <v>0</v>
      </c>
      <c r="AB114">
        <f>IF(AND(SUM(VLOOKUP($A114,test!$A$3:$F$32,2,FALSE),VLOOKUP(AB$1,test!$A$3:$F$32,2,FALSE))&lt;test!$K$16,$A114&lt;&gt;AB$1,Recharged_Feasible_mat!AC83=1),(VLOOKUP(AB$1,test!$A$3:$I$32,8,FALSE))-(VLOOKUP($A114,test!$A$3:$I$32,9,FALSE))+test!$B$35,0)</f>
        <v>0</v>
      </c>
      <c r="AC114">
        <f>IF(AND(SUM(VLOOKUP($A114,test!$A$3:$F$32,2,FALSE),VLOOKUP(AC$1,test!$A$3:$F$32,2,FALSE))&lt;test!$K$16,$A114&lt;&gt;AC$1,Recharged_Feasible_mat!AD83=1),(VLOOKUP(AC$1,test!$A$3:$I$32,8,FALSE))-(VLOOKUP($A114,test!$A$3:$I$32,9,FALSE))+test!$B$35,0)</f>
        <v>0</v>
      </c>
      <c r="AD114">
        <f>IF(AND(SUM(VLOOKUP($A114,test!$A$3:$F$32,2,FALSE),VLOOKUP(AD$1,test!$A$3:$F$32,2,FALSE))&lt;test!$K$16,$A114&lt;&gt;AD$1,Recharged_Feasible_mat!AE83=1),(VLOOKUP(AD$1,test!$A$3:$I$32,8,FALSE))-(VLOOKUP($A114,test!$A$3:$I$32,9,FALSE))+test!$B$35,0)</f>
        <v>0</v>
      </c>
      <c r="AE114">
        <f>IF(AND(SUM(VLOOKUP($A114,test!$A$3:$F$32,2,FALSE),VLOOKUP(AE$1,test!$A$3:$F$32,2,FALSE))&lt;test!$K$16,$A114&lt;&gt;AE$1,Recharged_Feasible_mat!AF83=1),(VLOOKUP(AE$1,test!$A$3:$I$32,8,FALSE))-(VLOOKUP($A114,test!$A$3:$I$32,9,FALSE))+test!$B$35,0)</f>
        <v>0</v>
      </c>
      <c r="AF114">
        <f>IF(AND(SUM(VLOOKUP($A114,test!$A$3:$F$32,2,FALSE),VLOOKUP(AF$1,test!$A$3:$F$32,2,FALSE))&lt;test!$K$16,$A114&lt;&gt;AF$1,Recharged_Feasible_mat!AG83=1),(VLOOKUP(AF$1,test!$A$3:$I$32,8,FALSE))-(VLOOKUP($A114,test!$A$3:$I$32,9,FALSE))+test!$B$35,0)</f>
        <v>0</v>
      </c>
    </row>
    <row r="115" spans="1:32" x14ac:dyDescent="0.25">
      <c r="A115" t="s">
        <v>31</v>
      </c>
      <c r="B115">
        <v>0</v>
      </c>
      <c r="C115">
        <f>IF(AND(SUM(VLOOKUP($A115,test!$A$3:$F$32,2,FALSE),VLOOKUP(C$1,test!$A$3:$F$32,2,FALSE))&lt;test!$K$16,$A115&lt;&gt;C$1,Recharged_Feasible_mat!D84=1),(VLOOKUP(C$1,test!$A$3:$I$32,8,FALSE))-(VLOOKUP($A115,test!$A$3:$I$32,9,FALSE))+test!$B$35,0)</f>
        <v>0</v>
      </c>
      <c r="D115">
        <f>IF(AND(SUM(VLOOKUP($A115,test!$A$3:$F$32,2,FALSE),VLOOKUP(D$1,test!$A$3:$F$32,2,FALSE))&lt;test!$K$16,$A115&lt;&gt;D$1,Recharged_Feasible_mat!E84=1),(VLOOKUP(D$1,test!$A$3:$I$32,8,FALSE))-(VLOOKUP($A115,test!$A$3:$I$32,9,FALSE))+test!$B$35,0)</f>
        <v>0</v>
      </c>
      <c r="E115">
        <f>IF(AND(SUM(VLOOKUP($A115,test!$A$3:$F$32,2,FALSE),VLOOKUP(E$1,test!$A$3:$F$32,2,FALSE))&lt;test!$K$16,$A115&lt;&gt;E$1,Recharged_Feasible_mat!F84=1),(VLOOKUP(E$1,test!$A$3:$I$32,8,FALSE))-(VLOOKUP($A115,test!$A$3:$I$32,9,FALSE))+test!$B$35,0)</f>
        <v>0</v>
      </c>
      <c r="F115">
        <f>IF(AND(SUM(VLOOKUP($A115,test!$A$3:$F$32,2,FALSE),VLOOKUP(F$1,test!$A$3:$F$32,2,FALSE))&lt;test!$K$16,$A115&lt;&gt;F$1,Recharged_Feasible_mat!G84=1),(VLOOKUP(F$1,test!$A$3:$I$32,8,FALSE))-(VLOOKUP($A115,test!$A$3:$I$32,9,FALSE))+test!$B$35,0)</f>
        <v>0</v>
      </c>
      <c r="G115">
        <f>IF(AND(SUM(VLOOKUP($A115,test!$A$3:$F$32,2,FALSE),VLOOKUP(G$1,test!$A$3:$F$32,2,FALSE))&lt;test!$K$16,$A115&lt;&gt;G$1,Recharged_Feasible_mat!H84=1),(VLOOKUP(G$1,test!$A$3:$I$32,8,FALSE))-(VLOOKUP($A115,test!$A$3:$I$32,9,FALSE))+test!$B$35,0)</f>
        <v>0</v>
      </c>
      <c r="H115">
        <f>IF(AND(SUM(VLOOKUP($A115,test!$A$3:$F$32,2,FALSE),VLOOKUP(H$1,test!$A$3:$F$32,2,FALSE))&lt;test!$K$16,$A115&lt;&gt;H$1,Recharged_Feasible_mat!I84=1),(VLOOKUP(H$1,test!$A$3:$I$32,8,FALSE))-(VLOOKUP($A115,test!$A$3:$I$32,9,FALSE))+test!$B$35,0)</f>
        <v>0</v>
      </c>
      <c r="I115">
        <f>IF(AND(SUM(VLOOKUP($A115,test!$A$3:$F$32,2,FALSE),VLOOKUP(I$1,test!$A$3:$F$32,2,FALSE))&lt;test!$K$16,$A115&lt;&gt;I$1,Recharged_Feasible_mat!J84=1),(VLOOKUP(I$1,test!$A$3:$I$32,8,FALSE))-(VLOOKUP($A115,test!$A$3:$I$32,9,FALSE))+test!$B$35,0)</f>
        <v>0</v>
      </c>
      <c r="J115">
        <f>IF(AND(SUM(VLOOKUP($A115,test!$A$3:$F$32,2,FALSE),VLOOKUP(J$1,test!$A$3:$F$32,2,FALSE))&lt;test!$K$16,$A115&lt;&gt;J$1,Recharged_Feasible_mat!K84=1),(VLOOKUP(J$1,test!$A$3:$I$32,8,FALSE))-(VLOOKUP($A115,test!$A$3:$I$32,9,FALSE))+test!$B$35,0)</f>
        <v>0</v>
      </c>
      <c r="K115">
        <f>IF(AND(SUM(VLOOKUP($A115,test!$A$3:$F$32,2,FALSE),VLOOKUP(K$1,test!$A$3:$F$32,2,FALSE))&lt;test!$K$16,$A115&lt;&gt;K$1,Recharged_Feasible_mat!L84=1),(VLOOKUP(K$1,test!$A$3:$I$32,8,FALSE))-(VLOOKUP($A115,test!$A$3:$I$32,9,FALSE))+test!$B$35,0)</f>
        <v>0</v>
      </c>
      <c r="L115">
        <f>IF(AND(SUM(VLOOKUP($A115,test!$A$3:$F$32,2,FALSE),VLOOKUP(L$1,test!$A$3:$F$32,2,FALSE))&lt;test!$K$16,$A115&lt;&gt;L$1,Recharged_Feasible_mat!M84=1),(VLOOKUP(L$1,test!$A$3:$I$32,8,FALSE))-(VLOOKUP($A115,test!$A$3:$I$32,9,FALSE))+test!$B$35,0)</f>
        <v>0</v>
      </c>
      <c r="M115">
        <f>IF(AND(SUM(VLOOKUP($A115,test!$A$3:$F$32,2,FALSE),VLOOKUP(M$1,test!$A$3:$F$32,2,FALSE))&lt;test!$K$16,$A115&lt;&gt;M$1,Recharged_Feasible_mat!N84=1),(VLOOKUP(M$1,test!$A$3:$I$32,8,FALSE))-(VLOOKUP($A115,test!$A$3:$I$32,9,FALSE))+test!$B$35,0)</f>
        <v>0</v>
      </c>
      <c r="N115">
        <f>IF(AND(SUM(VLOOKUP($A115,test!$A$3:$F$32,2,FALSE),VLOOKUP(N$1,test!$A$3:$F$32,2,FALSE))&lt;test!$K$16,$A115&lt;&gt;N$1,Recharged_Feasible_mat!O84=1),(VLOOKUP(N$1,test!$A$3:$I$32,8,FALSE))-(VLOOKUP($A115,test!$A$3:$I$32,9,FALSE))+test!$B$35,0)</f>
        <v>0</v>
      </c>
      <c r="O115">
        <f>IF(AND(SUM(VLOOKUP($A115,test!$A$3:$F$32,2,FALSE),VLOOKUP(O$1,test!$A$3:$F$32,2,FALSE))&lt;test!$K$16,$A115&lt;&gt;O$1,Recharged_Feasible_mat!P84=1),(VLOOKUP(O$1,test!$A$3:$I$32,8,FALSE))-(VLOOKUP($A115,test!$A$3:$I$32,9,FALSE))+test!$B$35,0)</f>
        <v>0</v>
      </c>
      <c r="P115">
        <f>IF(AND(SUM(VLOOKUP($A115,test!$A$3:$F$32,2,FALSE),VLOOKUP(P$1,test!$A$3:$F$32,2,FALSE))&lt;test!$K$16,$A115&lt;&gt;P$1,Recharged_Feasible_mat!Q84=1),(VLOOKUP(P$1,test!$A$3:$I$32,8,FALSE))-(VLOOKUP($A115,test!$A$3:$I$32,9,FALSE))+test!$B$35,0)</f>
        <v>0</v>
      </c>
      <c r="Q115">
        <f>IF(AND(SUM(VLOOKUP($A115,test!$A$3:$F$32,2,FALSE),VLOOKUP(Q$1,test!$A$3:$F$32,2,FALSE))&lt;test!$K$16,$A115&lt;&gt;Q$1,Recharged_Feasible_mat!R84=1),(VLOOKUP(Q$1,test!$A$3:$I$32,8,FALSE))-(VLOOKUP($A115,test!$A$3:$I$32,9,FALSE))+test!$B$35,0)</f>
        <v>0</v>
      </c>
      <c r="R115">
        <f>IF(AND(SUM(VLOOKUP($A115,test!$A$3:$F$32,2,FALSE),VLOOKUP(R$1,test!$A$3:$F$32,2,FALSE))&lt;test!$K$16,$A115&lt;&gt;R$1,Recharged_Feasible_mat!S84=1),(VLOOKUP(R$1,test!$A$3:$I$32,8,FALSE))-(VLOOKUP($A115,test!$A$3:$I$32,9,FALSE))+test!$B$35,0)</f>
        <v>0</v>
      </c>
      <c r="S115">
        <f>IF(AND(SUM(VLOOKUP($A115,test!$A$3:$F$32,2,FALSE),VLOOKUP(S$1,test!$A$3:$F$32,2,FALSE))&lt;test!$K$16,$A115&lt;&gt;S$1,Recharged_Feasible_mat!T84=1),(VLOOKUP(S$1,test!$A$3:$I$32,8,FALSE))-(VLOOKUP($A115,test!$A$3:$I$32,9,FALSE))+test!$B$35,0)</f>
        <v>0</v>
      </c>
      <c r="T115">
        <f>IF(AND(SUM(VLOOKUP($A115,test!$A$3:$F$32,2,FALSE),VLOOKUP(T$1,test!$A$3:$F$32,2,FALSE))&lt;test!$K$16,$A115&lt;&gt;T$1,Recharged_Feasible_mat!U84=1),(VLOOKUP(T$1,test!$A$3:$I$32,8,FALSE))-(VLOOKUP($A115,test!$A$3:$I$32,9,FALSE))+test!$B$35,0)</f>
        <v>0</v>
      </c>
      <c r="U115">
        <f>IF(AND(SUM(VLOOKUP($A115,test!$A$3:$F$32,2,FALSE),VLOOKUP(U$1,test!$A$3:$F$32,2,FALSE))&lt;test!$K$16,$A115&lt;&gt;U$1,Recharged_Feasible_mat!V84=1),(VLOOKUP(U$1,test!$A$3:$I$32,8,FALSE))-(VLOOKUP($A115,test!$A$3:$I$32,9,FALSE))+test!$B$35,0)</f>
        <v>0</v>
      </c>
      <c r="V115">
        <f>IF(AND(SUM(VLOOKUP($A115,test!$A$3:$F$32,2,FALSE),VLOOKUP(V$1,test!$A$3:$F$32,2,FALSE))&lt;test!$K$16,$A115&lt;&gt;V$1,Recharged_Feasible_mat!W84=1),(VLOOKUP(V$1,test!$A$3:$I$32,8,FALSE))-(VLOOKUP($A115,test!$A$3:$I$32,9,FALSE))+test!$B$35,0)</f>
        <v>0</v>
      </c>
      <c r="W115">
        <f>IF(AND(SUM(VLOOKUP($A115,test!$A$3:$F$32,2,FALSE),VLOOKUP(W$1,test!$A$3:$F$32,2,FALSE))&lt;test!$K$16,$A115&lt;&gt;W$1,Recharged_Feasible_mat!X84=1),(VLOOKUP(W$1,test!$A$3:$I$32,8,FALSE))-(VLOOKUP($A115,test!$A$3:$I$32,9,FALSE))+test!$B$35,0)</f>
        <v>0</v>
      </c>
      <c r="X115">
        <f>IF(AND(SUM(VLOOKUP($A115,test!$A$3:$F$32,2,FALSE),VLOOKUP(X$1,test!$A$3:$F$32,2,FALSE))&lt;test!$K$16,$A115&lt;&gt;X$1,Recharged_Feasible_mat!Y84=1),(VLOOKUP(X$1,test!$A$3:$I$32,8,FALSE))-(VLOOKUP($A115,test!$A$3:$I$32,9,FALSE))+test!$B$35,0)</f>
        <v>0</v>
      </c>
      <c r="Y115">
        <f>IF(AND(SUM(VLOOKUP($A115,test!$A$3:$F$32,2,FALSE),VLOOKUP(Y$1,test!$A$3:$F$32,2,FALSE))&lt;test!$K$16,$A115&lt;&gt;Y$1,Recharged_Feasible_mat!Z84=1),(VLOOKUP(Y$1,test!$A$3:$I$32,8,FALSE))-(VLOOKUP($A115,test!$A$3:$I$32,9,FALSE))+test!$B$35,0)</f>
        <v>0</v>
      </c>
      <c r="Z115">
        <f>IF(AND(SUM(VLOOKUP($A115,test!$A$3:$F$32,2,FALSE),VLOOKUP(Z$1,test!$A$3:$F$32,2,FALSE))&lt;test!$K$16,$A115&lt;&gt;Z$1,Recharged_Feasible_mat!AA84=1),(VLOOKUP(Z$1,test!$A$3:$I$32,8,FALSE))-(VLOOKUP($A115,test!$A$3:$I$32,9,FALSE))+test!$B$35,0)</f>
        <v>0</v>
      </c>
      <c r="AA115">
        <f>IF(AND(SUM(VLOOKUP($A115,test!$A$3:$F$32,2,FALSE),VLOOKUP(AA$1,test!$A$3:$F$32,2,FALSE))&lt;test!$K$16,$A115&lt;&gt;AA$1,Recharged_Feasible_mat!AB84=1),(VLOOKUP(AA$1,test!$A$3:$I$32,8,FALSE))-(VLOOKUP($A115,test!$A$3:$I$32,9,FALSE))+test!$B$35,0)</f>
        <v>0</v>
      </c>
      <c r="AB115">
        <f>IF(AND(SUM(VLOOKUP($A115,test!$A$3:$F$32,2,FALSE),VLOOKUP(AB$1,test!$A$3:$F$32,2,FALSE))&lt;test!$K$16,$A115&lt;&gt;AB$1,Recharged_Feasible_mat!AC84=1),(VLOOKUP(AB$1,test!$A$3:$I$32,8,FALSE))-(VLOOKUP($A115,test!$A$3:$I$32,9,FALSE))+test!$B$35,0)</f>
        <v>0</v>
      </c>
      <c r="AC115">
        <f>IF(AND(SUM(VLOOKUP($A115,test!$A$3:$F$32,2,FALSE),VLOOKUP(AC$1,test!$A$3:$F$32,2,FALSE))&lt;test!$K$16,$A115&lt;&gt;AC$1,Recharged_Feasible_mat!AD84=1),(VLOOKUP(AC$1,test!$A$3:$I$32,8,FALSE))-(VLOOKUP($A115,test!$A$3:$I$32,9,FALSE))+test!$B$35,0)</f>
        <v>0</v>
      </c>
      <c r="AD115">
        <f>IF(AND(SUM(VLOOKUP($A115,test!$A$3:$F$32,2,FALSE),VLOOKUP(AD$1,test!$A$3:$F$32,2,FALSE))&lt;test!$K$16,$A115&lt;&gt;AD$1,Recharged_Feasible_mat!AE84=1),(VLOOKUP(AD$1,test!$A$3:$I$32,8,FALSE))-(VLOOKUP($A115,test!$A$3:$I$32,9,FALSE))+test!$B$35,0)</f>
        <v>0</v>
      </c>
      <c r="AE115">
        <f>IF(AND(SUM(VLOOKUP($A115,test!$A$3:$F$32,2,FALSE),VLOOKUP(AE$1,test!$A$3:$F$32,2,FALSE))&lt;test!$K$16,$A115&lt;&gt;AE$1,Recharged_Feasible_mat!AF84=1),(VLOOKUP(AE$1,test!$A$3:$I$32,8,FALSE))-(VLOOKUP($A115,test!$A$3:$I$32,9,FALSE))+test!$B$35,0)</f>
        <v>0</v>
      </c>
      <c r="AF115">
        <f>IF(AND(SUM(VLOOKUP($A115,test!$A$3:$F$32,2,FALSE),VLOOKUP(AF$1,test!$A$3:$F$32,2,FALSE))&lt;test!$K$16,$A115&lt;&gt;AF$1,Recharged_Feasible_mat!AG84=1),(VLOOKUP(AF$1,test!$A$3:$I$32,8,FALSE))-(VLOOKUP($A115,test!$A$3:$I$32,9,FALSE))+test!$B$35,0)</f>
        <v>0</v>
      </c>
    </row>
    <row r="116" spans="1:32" x14ac:dyDescent="0.25">
      <c r="A116" t="s">
        <v>32</v>
      </c>
      <c r="B116">
        <v>0</v>
      </c>
      <c r="C116">
        <f>IF(AND(SUM(VLOOKUP($A116,test!$A$3:$F$32,2,FALSE),VLOOKUP(C$1,test!$A$3:$F$32,2,FALSE))&lt;test!$K$16,$A116&lt;&gt;C$1,Recharged_Feasible_mat!D85=1),(VLOOKUP(C$1,test!$A$3:$I$32,8,FALSE))-(VLOOKUP($A116,test!$A$3:$I$32,9,FALSE))+test!$B$35,0)</f>
        <v>0</v>
      </c>
      <c r="D116">
        <f>IF(AND(SUM(VLOOKUP($A116,test!$A$3:$F$32,2,FALSE),VLOOKUP(D$1,test!$A$3:$F$32,2,FALSE))&lt;test!$K$16,$A116&lt;&gt;D$1,Recharged_Feasible_mat!E85=1),(VLOOKUP(D$1,test!$A$3:$I$32,8,FALSE))-(VLOOKUP($A116,test!$A$3:$I$32,9,FALSE))+test!$B$35,0)</f>
        <v>0</v>
      </c>
      <c r="E116">
        <f>IF(AND(SUM(VLOOKUP($A116,test!$A$3:$F$32,2,FALSE),VLOOKUP(E$1,test!$A$3:$F$32,2,FALSE))&lt;test!$K$16,$A116&lt;&gt;E$1,Recharged_Feasible_mat!F85=1),(VLOOKUP(E$1,test!$A$3:$I$32,8,FALSE))-(VLOOKUP($A116,test!$A$3:$I$32,9,FALSE))+test!$B$35,0)</f>
        <v>0</v>
      </c>
      <c r="F116">
        <f>IF(AND(SUM(VLOOKUP($A116,test!$A$3:$F$32,2,FALSE),VLOOKUP(F$1,test!$A$3:$F$32,2,FALSE))&lt;test!$K$16,$A116&lt;&gt;F$1,Recharged_Feasible_mat!G85=1),(VLOOKUP(F$1,test!$A$3:$I$32,8,FALSE))-(VLOOKUP($A116,test!$A$3:$I$32,9,FALSE))+test!$B$35,0)</f>
        <v>0</v>
      </c>
      <c r="G116">
        <f>IF(AND(SUM(VLOOKUP($A116,test!$A$3:$F$32,2,FALSE),VLOOKUP(G$1,test!$A$3:$F$32,2,FALSE))&lt;test!$K$16,$A116&lt;&gt;G$1,Recharged_Feasible_mat!H85=1),(VLOOKUP(G$1,test!$A$3:$I$32,8,FALSE))-(VLOOKUP($A116,test!$A$3:$I$32,9,FALSE))+test!$B$35,0)</f>
        <v>0</v>
      </c>
      <c r="H116">
        <f>IF(AND(SUM(VLOOKUP($A116,test!$A$3:$F$32,2,FALSE),VLOOKUP(H$1,test!$A$3:$F$32,2,FALSE))&lt;test!$K$16,$A116&lt;&gt;H$1,Recharged_Feasible_mat!I85=1),(VLOOKUP(H$1,test!$A$3:$I$32,8,FALSE))-(VLOOKUP($A116,test!$A$3:$I$32,9,FALSE))+test!$B$35,0)</f>
        <v>0</v>
      </c>
      <c r="I116">
        <f>IF(AND(SUM(VLOOKUP($A116,test!$A$3:$F$32,2,FALSE),VLOOKUP(I$1,test!$A$3:$F$32,2,FALSE))&lt;test!$K$16,$A116&lt;&gt;I$1,Recharged_Feasible_mat!J85=1),(VLOOKUP(I$1,test!$A$3:$I$32,8,FALSE))-(VLOOKUP($A116,test!$A$3:$I$32,9,FALSE))+test!$B$35,0)</f>
        <v>0</v>
      </c>
      <c r="J116">
        <f>IF(AND(SUM(VLOOKUP($A116,test!$A$3:$F$32,2,FALSE),VLOOKUP(J$1,test!$A$3:$F$32,2,FALSE))&lt;test!$K$16,$A116&lt;&gt;J$1,Recharged_Feasible_mat!K85=1),(VLOOKUP(J$1,test!$A$3:$I$32,8,FALSE))-(VLOOKUP($A116,test!$A$3:$I$32,9,FALSE))+test!$B$35,0)</f>
        <v>0</v>
      </c>
      <c r="K116">
        <f>IF(AND(SUM(VLOOKUP($A116,test!$A$3:$F$32,2,FALSE),VLOOKUP(K$1,test!$A$3:$F$32,2,FALSE))&lt;test!$K$16,$A116&lt;&gt;K$1,Recharged_Feasible_mat!L85=1),(VLOOKUP(K$1,test!$A$3:$I$32,8,FALSE))-(VLOOKUP($A116,test!$A$3:$I$32,9,FALSE))+test!$B$35,0)</f>
        <v>0</v>
      </c>
      <c r="L116">
        <f>IF(AND(SUM(VLOOKUP($A116,test!$A$3:$F$32,2,FALSE),VLOOKUP(L$1,test!$A$3:$F$32,2,FALSE))&lt;test!$K$16,$A116&lt;&gt;L$1,Recharged_Feasible_mat!M85=1),(VLOOKUP(L$1,test!$A$3:$I$32,8,FALSE))-(VLOOKUP($A116,test!$A$3:$I$32,9,FALSE))+test!$B$35,0)</f>
        <v>0</v>
      </c>
      <c r="M116">
        <f>IF(AND(SUM(VLOOKUP($A116,test!$A$3:$F$32,2,FALSE),VLOOKUP(M$1,test!$A$3:$F$32,2,FALSE))&lt;test!$K$16,$A116&lt;&gt;M$1,Recharged_Feasible_mat!N85=1),(VLOOKUP(M$1,test!$A$3:$I$32,8,FALSE))-(VLOOKUP($A116,test!$A$3:$I$32,9,FALSE))+test!$B$35,0)</f>
        <v>0</v>
      </c>
      <c r="N116">
        <f>IF(AND(SUM(VLOOKUP($A116,test!$A$3:$F$32,2,FALSE),VLOOKUP(N$1,test!$A$3:$F$32,2,FALSE))&lt;test!$K$16,$A116&lt;&gt;N$1,Recharged_Feasible_mat!O85=1),(VLOOKUP(N$1,test!$A$3:$I$32,8,FALSE))-(VLOOKUP($A116,test!$A$3:$I$32,9,FALSE))+test!$B$35,0)</f>
        <v>0</v>
      </c>
      <c r="O116">
        <f>IF(AND(SUM(VLOOKUP($A116,test!$A$3:$F$32,2,FALSE),VLOOKUP(O$1,test!$A$3:$F$32,2,FALSE))&lt;test!$K$16,$A116&lt;&gt;O$1,Recharged_Feasible_mat!P85=1),(VLOOKUP(O$1,test!$A$3:$I$32,8,FALSE))-(VLOOKUP($A116,test!$A$3:$I$32,9,FALSE))+test!$B$35,0)</f>
        <v>0</v>
      </c>
      <c r="P116">
        <f>IF(AND(SUM(VLOOKUP($A116,test!$A$3:$F$32,2,FALSE),VLOOKUP(P$1,test!$A$3:$F$32,2,FALSE))&lt;test!$K$16,$A116&lt;&gt;P$1,Recharged_Feasible_mat!Q85=1),(VLOOKUP(P$1,test!$A$3:$I$32,8,FALSE))-(VLOOKUP($A116,test!$A$3:$I$32,9,FALSE))+test!$B$35,0)</f>
        <v>0</v>
      </c>
      <c r="Q116">
        <f>IF(AND(SUM(VLOOKUP($A116,test!$A$3:$F$32,2,FALSE),VLOOKUP(Q$1,test!$A$3:$F$32,2,FALSE))&lt;test!$K$16,$A116&lt;&gt;Q$1,Recharged_Feasible_mat!R85=1),(VLOOKUP(Q$1,test!$A$3:$I$32,8,FALSE))-(VLOOKUP($A116,test!$A$3:$I$32,9,FALSE))+test!$B$35,0)</f>
        <v>0</v>
      </c>
      <c r="R116">
        <f>IF(AND(SUM(VLOOKUP($A116,test!$A$3:$F$32,2,FALSE),VLOOKUP(R$1,test!$A$3:$F$32,2,FALSE))&lt;test!$K$16,$A116&lt;&gt;R$1,Recharged_Feasible_mat!S85=1),(VLOOKUP(R$1,test!$A$3:$I$32,8,FALSE))-(VLOOKUP($A116,test!$A$3:$I$32,9,FALSE))+test!$B$35,0)</f>
        <v>0</v>
      </c>
      <c r="S116">
        <f>IF(AND(SUM(VLOOKUP($A116,test!$A$3:$F$32,2,FALSE),VLOOKUP(S$1,test!$A$3:$F$32,2,FALSE))&lt;test!$K$16,$A116&lt;&gt;S$1,Recharged_Feasible_mat!T85=1),(VLOOKUP(S$1,test!$A$3:$I$32,8,FALSE))-(VLOOKUP($A116,test!$A$3:$I$32,9,FALSE))+test!$B$35,0)</f>
        <v>0</v>
      </c>
      <c r="T116">
        <f>IF(AND(SUM(VLOOKUP($A116,test!$A$3:$F$32,2,FALSE),VLOOKUP(T$1,test!$A$3:$F$32,2,FALSE))&lt;test!$K$16,$A116&lt;&gt;T$1,Recharged_Feasible_mat!U85=1),(VLOOKUP(T$1,test!$A$3:$I$32,8,FALSE))-(VLOOKUP($A116,test!$A$3:$I$32,9,FALSE))+test!$B$35,0)</f>
        <v>0</v>
      </c>
      <c r="U116">
        <f>IF(AND(SUM(VLOOKUP($A116,test!$A$3:$F$32,2,FALSE),VLOOKUP(U$1,test!$A$3:$F$32,2,FALSE))&lt;test!$K$16,$A116&lt;&gt;U$1,Recharged_Feasible_mat!V85=1),(VLOOKUP(U$1,test!$A$3:$I$32,8,FALSE))-(VLOOKUP($A116,test!$A$3:$I$32,9,FALSE))+test!$B$35,0)</f>
        <v>0</v>
      </c>
      <c r="V116">
        <f>IF(AND(SUM(VLOOKUP($A116,test!$A$3:$F$32,2,FALSE),VLOOKUP(V$1,test!$A$3:$F$32,2,FALSE))&lt;test!$K$16,$A116&lt;&gt;V$1,Recharged_Feasible_mat!W85=1),(VLOOKUP(V$1,test!$A$3:$I$32,8,FALSE))-(VLOOKUP($A116,test!$A$3:$I$32,9,FALSE))+test!$B$35,0)</f>
        <v>0</v>
      </c>
      <c r="W116">
        <f>IF(AND(SUM(VLOOKUP($A116,test!$A$3:$F$32,2,FALSE),VLOOKUP(W$1,test!$A$3:$F$32,2,FALSE))&lt;test!$K$16,$A116&lt;&gt;W$1,Recharged_Feasible_mat!X85=1),(VLOOKUP(W$1,test!$A$3:$I$32,8,FALSE))-(VLOOKUP($A116,test!$A$3:$I$32,9,FALSE))+test!$B$35,0)</f>
        <v>0</v>
      </c>
      <c r="X116">
        <f>IF(AND(SUM(VLOOKUP($A116,test!$A$3:$F$32,2,FALSE),VLOOKUP(X$1,test!$A$3:$F$32,2,FALSE))&lt;test!$K$16,$A116&lt;&gt;X$1,Recharged_Feasible_mat!Y85=1),(VLOOKUP(X$1,test!$A$3:$I$32,8,FALSE))-(VLOOKUP($A116,test!$A$3:$I$32,9,FALSE))+test!$B$35,0)</f>
        <v>0</v>
      </c>
      <c r="Y116">
        <f>IF(AND(SUM(VLOOKUP($A116,test!$A$3:$F$32,2,FALSE),VLOOKUP(Y$1,test!$A$3:$F$32,2,FALSE))&lt;test!$K$16,$A116&lt;&gt;Y$1,Recharged_Feasible_mat!Z85=1),(VLOOKUP(Y$1,test!$A$3:$I$32,8,FALSE))-(VLOOKUP($A116,test!$A$3:$I$32,9,FALSE))+test!$B$35,0)</f>
        <v>0</v>
      </c>
      <c r="Z116">
        <f>IF(AND(SUM(VLOOKUP($A116,test!$A$3:$F$32,2,FALSE),VLOOKUP(Z$1,test!$A$3:$F$32,2,FALSE))&lt;test!$K$16,$A116&lt;&gt;Z$1,Recharged_Feasible_mat!AA85=1),(VLOOKUP(Z$1,test!$A$3:$I$32,8,FALSE))-(VLOOKUP($A116,test!$A$3:$I$32,9,FALSE))+test!$B$35,0)</f>
        <v>0</v>
      </c>
      <c r="AA116">
        <f>IF(AND(SUM(VLOOKUP($A116,test!$A$3:$F$32,2,FALSE),VLOOKUP(AA$1,test!$A$3:$F$32,2,FALSE))&lt;test!$K$16,$A116&lt;&gt;AA$1,Recharged_Feasible_mat!AB85=1),(VLOOKUP(AA$1,test!$A$3:$I$32,8,FALSE))-(VLOOKUP($A116,test!$A$3:$I$32,9,FALSE))+test!$B$35,0)</f>
        <v>0</v>
      </c>
      <c r="AB116">
        <f>IF(AND(SUM(VLOOKUP($A116,test!$A$3:$F$32,2,FALSE),VLOOKUP(AB$1,test!$A$3:$F$32,2,FALSE))&lt;test!$K$16,$A116&lt;&gt;AB$1,Recharged_Feasible_mat!AC85=1),(VLOOKUP(AB$1,test!$A$3:$I$32,8,FALSE))-(VLOOKUP($A116,test!$A$3:$I$32,9,FALSE))+test!$B$35,0)</f>
        <v>0</v>
      </c>
      <c r="AC116">
        <f>IF(AND(SUM(VLOOKUP($A116,test!$A$3:$F$32,2,FALSE),VLOOKUP(AC$1,test!$A$3:$F$32,2,FALSE))&lt;test!$K$16,$A116&lt;&gt;AC$1,Recharged_Feasible_mat!AD85=1),(VLOOKUP(AC$1,test!$A$3:$I$32,8,FALSE))-(VLOOKUP($A116,test!$A$3:$I$32,9,FALSE))+test!$B$35,0)</f>
        <v>0</v>
      </c>
      <c r="AD116">
        <f>IF(AND(SUM(VLOOKUP($A116,test!$A$3:$F$32,2,FALSE),VLOOKUP(AD$1,test!$A$3:$F$32,2,FALSE))&lt;test!$K$16,$A116&lt;&gt;AD$1,Recharged_Feasible_mat!AE85=1),(VLOOKUP(AD$1,test!$A$3:$I$32,8,FALSE))-(VLOOKUP($A116,test!$A$3:$I$32,9,FALSE))+test!$B$35,0)</f>
        <v>0</v>
      </c>
      <c r="AE116">
        <f>IF(AND(SUM(VLOOKUP($A116,test!$A$3:$F$32,2,FALSE),VLOOKUP(AE$1,test!$A$3:$F$32,2,FALSE))&lt;test!$K$16,$A116&lt;&gt;AE$1,Recharged_Feasible_mat!AF85=1),(VLOOKUP(AE$1,test!$A$3:$I$32,8,FALSE))-(VLOOKUP($A116,test!$A$3:$I$32,9,FALSE))+test!$B$35,0)</f>
        <v>0</v>
      </c>
      <c r="AF116">
        <f>IF(AND(SUM(VLOOKUP($A116,test!$A$3:$F$32,2,FALSE),VLOOKUP(AF$1,test!$A$3:$F$32,2,FALSE))&lt;test!$K$16,$A116&lt;&gt;AF$1,Recharged_Feasible_mat!AG85=1),(VLOOKUP(AF$1,test!$A$3:$I$32,8,FALSE))-(VLOOKUP($A116,test!$A$3:$I$32,9,FALSE))+test!$B$35,0)</f>
        <v>0</v>
      </c>
    </row>
    <row r="117" spans="1:32" x14ac:dyDescent="0.25">
      <c r="A117" t="s">
        <v>33</v>
      </c>
      <c r="B117">
        <v>0</v>
      </c>
      <c r="C117">
        <f>IF(AND(SUM(VLOOKUP($A117,test!$A$3:$F$32,2,FALSE),VLOOKUP(C$1,test!$A$3:$F$32,2,FALSE))&lt;test!$K$16,$A117&lt;&gt;C$1,Recharged_Feasible_mat!D86=1),(VLOOKUP(C$1,test!$A$3:$I$32,8,FALSE))-(VLOOKUP($A117,test!$A$3:$I$32,9,FALSE))+test!$B$35,0)</f>
        <v>0</v>
      </c>
      <c r="D117">
        <f>IF(AND(SUM(VLOOKUP($A117,test!$A$3:$F$32,2,FALSE),VLOOKUP(D$1,test!$A$3:$F$32,2,FALSE))&lt;test!$K$16,$A117&lt;&gt;D$1,Recharged_Feasible_mat!E86=1),(VLOOKUP(D$1,test!$A$3:$I$32,8,FALSE))-(VLOOKUP($A117,test!$A$3:$I$32,9,FALSE))+test!$B$35,0)</f>
        <v>0</v>
      </c>
      <c r="E117">
        <f>IF(AND(SUM(VLOOKUP($A117,test!$A$3:$F$32,2,FALSE),VLOOKUP(E$1,test!$A$3:$F$32,2,FALSE))&lt;test!$K$16,$A117&lt;&gt;E$1,Recharged_Feasible_mat!F86=1),(VLOOKUP(E$1,test!$A$3:$I$32,8,FALSE))-(VLOOKUP($A117,test!$A$3:$I$32,9,FALSE))+test!$B$35,0)</f>
        <v>0</v>
      </c>
      <c r="F117">
        <f>IF(AND(SUM(VLOOKUP($A117,test!$A$3:$F$32,2,FALSE),VLOOKUP(F$1,test!$A$3:$F$32,2,FALSE))&lt;test!$K$16,$A117&lt;&gt;F$1,Recharged_Feasible_mat!G86=1),(VLOOKUP(F$1,test!$A$3:$I$32,8,FALSE))-(VLOOKUP($A117,test!$A$3:$I$32,9,FALSE))+test!$B$35,0)</f>
        <v>0</v>
      </c>
      <c r="G117">
        <f>IF(AND(SUM(VLOOKUP($A117,test!$A$3:$F$32,2,FALSE),VLOOKUP(G$1,test!$A$3:$F$32,2,FALSE))&lt;test!$K$16,$A117&lt;&gt;G$1,Recharged_Feasible_mat!H86=1),(VLOOKUP(G$1,test!$A$3:$I$32,8,FALSE))-(VLOOKUP($A117,test!$A$3:$I$32,9,FALSE))+test!$B$35,0)</f>
        <v>0</v>
      </c>
      <c r="H117">
        <f>IF(AND(SUM(VLOOKUP($A117,test!$A$3:$F$32,2,FALSE),VLOOKUP(H$1,test!$A$3:$F$32,2,FALSE))&lt;test!$K$16,$A117&lt;&gt;H$1,Recharged_Feasible_mat!I86=1),(VLOOKUP(H$1,test!$A$3:$I$32,8,FALSE))-(VLOOKUP($A117,test!$A$3:$I$32,9,FALSE))+test!$B$35,0)</f>
        <v>0</v>
      </c>
      <c r="I117">
        <f>IF(AND(SUM(VLOOKUP($A117,test!$A$3:$F$32,2,FALSE),VLOOKUP(I$1,test!$A$3:$F$32,2,FALSE))&lt;test!$K$16,$A117&lt;&gt;I$1,Recharged_Feasible_mat!J86=1),(VLOOKUP(I$1,test!$A$3:$I$32,8,FALSE))-(VLOOKUP($A117,test!$A$3:$I$32,9,FALSE))+test!$B$35,0)</f>
        <v>0</v>
      </c>
      <c r="J117">
        <f>IF(AND(SUM(VLOOKUP($A117,test!$A$3:$F$32,2,FALSE),VLOOKUP(J$1,test!$A$3:$F$32,2,FALSE))&lt;test!$K$16,$A117&lt;&gt;J$1,Recharged_Feasible_mat!K86=1),(VLOOKUP(J$1,test!$A$3:$I$32,8,FALSE))-(VLOOKUP($A117,test!$A$3:$I$32,9,FALSE))+test!$B$35,0)</f>
        <v>0</v>
      </c>
      <c r="K117">
        <f>IF(AND(SUM(VLOOKUP($A117,test!$A$3:$F$32,2,FALSE),VLOOKUP(K$1,test!$A$3:$F$32,2,FALSE))&lt;test!$K$16,$A117&lt;&gt;K$1,Recharged_Feasible_mat!L86=1),(VLOOKUP(K$1,test!$A$3:$I$32,8,FALSE))-(VLOOKUP($A117,test!$A$3:$I$32,9,FALSE))+test!$B$35,0)</f>
        <v>0</v>
      </c>
      <c r="L117">
        <f>IF(AND(SUM(VLOOKUP($A117,test!$A$3:$F$32,2,FALSE),VLOOKUP(L$1,test!$A$3:$F$32,2,FALSE))&lt;test!$K$16,$A117&lt;&gt;L$1,Recharged_Feasible_mat!M86=1),(VLOOKUP(L$1,test!$A$3:$I$32,8,FALSE))-(VLOOKUP($A117,test!$A$3:$I$32,9,FALSE))+test!$B$35,0)</f>
        <v>0</v>
      </c>
      <c r="M117">
        <f>IF(AND(SUM(VLOOKUP($A117,test!$A$3:$F$32,2,FALSE),VLOOKUP(M$1,test!$A$3:$F$32,2,FALSE))&lt;test!$K$16,$A117&lt;&gt;M$1,Recharged_Feasible_mat!N86=1),(VLOOKUP(M$1,test!$A$3:$I$32,8,FALSE))-(VLOOKUP($A117,test!$A$3:$I$32,9,FALSE))+test!$B$35,0)</f>
        <v>0</v>
      </c>
      <c r="N117">
        <f>IF(AND(SUM(VLOOKUP($A117,test!$A$3:$F$32,2,FALSE),VLOOKUP(N$1,test!$A$3:$F$32,2,FALSE))&lt;test!$K$16,$A117&lt;&gt;N$1,Recharged_Feasible_mat!O86=1),(VLOOKUP(N$1,test!$A$3:$I$32,8,FALSE))-(VLOOKUP($A117,test!$A$3:$I$32,9,FALSE))+test!$B$35,0)</f>
        <v>0</v>
      </c>
      <c r="O117">
        <f>IF(AND(SUM(VLOOKUP($A117,test!$A$3:$F$32,2,FALSE),VLOOKUP(O$1,test!$A$3:$F$32,2,FALSE))&lt;test!$K$16,$A117&lt;&gt;O$1,Recharged_Feasible_mat!P86=1),(VLOOKUP(O$1,test!$A$3:$I$32,8,FALSE))-(VLOOKUP($A117,test!$A$3:$I$32,9,FALSE))+test!$B$35,0)</f>
        <v>0</v>
      </c>
      <c r="P117">
        <f>IF(AND(SUM(VLOOKUP($A117,test!$A$3:$F$32,2,FALSE),VLOOKUP(P$1,test!$A$3:$F$32,2,FALSE))&lt;test!$K$16,$A117&lt;&gt;P$1,Recharged_Feasible_mat!Q86=1),(VLOOKUP(P$1,test!$A$3:$I$32,8,FALSE))-(VLOOKUP($A117,test!$A$3:$I$32,9,FALSE))+test!$B$35,0)</f>
        <v>0</v>
      </c>
      <c r="Q117">
        <f>IF(AND(SUM(VLOOKUP($A117,test!$A$3:$F$32,2,FALSE),VLOOKUP(Q$1,test!$A$3:$F$32,2,FALSE))&lt;test!$K$16,$A117&lt;&gt;Q$1,Recharged_Feasible_mat!R86=1),(VLOOKUP(Q$1,test!$A$3:$I$32,8,FALSE))-(VLOOKUP($A117,test!$A$3:$I$32,9,FALSE))+test!$B$35,0)</f>
        <v>0</v>
      </c>
      <c r="R117">
        <f>IF(AND(SUM(VLOOKUP($A117,test!$A$3:$F$32,2,FALSE),VLOOKUP(R$1,test!$A$3:$F$32,2,FALSE))&lt;test!$K$16,$A117&lt;&gt;R$1,Recharged_Feasible_mat!S86=1),(VLOOKUP(R$1,test!$A$3:$I$32,8,FALSE))-(VLOOKUP($A117,test!$A$3:$I$32,9,FALSE))+test!$B$35,0)</f>
        <v>0</v>
      </c>
      <c r="S117">
        <f>IF(AND(SUM(VLOOKUP($A117,test!$A$3:$F$32,2,FALSE),VLOOKUP(S$1,test!$A$3:$F$32,2,FALSE))&lt;test!$K$16,$A117&lt;&gt;S$1,Recharged_Feasible_mat!T86=1),(VLOOKUP(S$1,test!$A$3:$I$32,8,FALSE))-(VLOOKUP($A117,test!$A$3:$I$32,9,FALSE))+test!$B$35,0)</f>
        <v>0</v>
      </c>
      <c r="T117">
        <f>IF(AND(SUM(VLOOKUP($A117,test!$A$3:$F$32,2,FALSE),VLOOKUP(T$1,test!$A$3:$F$32,2,FALSE))&lt;test!$K$16,$A117&lt;&gt;T$1,Recharged_Feasible_mat!U86=1),(VLOOKUP(T$1,test!$A$3:$I$32,8,FALSE))-(VLOOKUP($A117,test!$A$3:$I$32,9,FALSE))+test!$B$35,0)</f>
        <v>0</v>
      </c>
      <c r="U117">
        <f>IF(AND(SUM(VLOOKUP($A117,test!$A$3:$F$32,2,FALSE),VLOOKUP(U$1,test!$A$3:$F$32,2,FALSE))&lt;test!$K$16,$A117&lt;&gt;U$1,Recharged_Feasible_mat!V86=1),(VLOOKUP(U$1,test!$A$3:$I$32,8,FALSE))-(VLOOKUP($A117,test!$A$3:$I$32,9,FALSE))+test!$B$35,0)</f>
        <v>0</v>
      </c>
      <c r="V117">
        <f>IF(AND(SUM(VLOOKUP($A117,test!$A$3:$F$32,2,FALSE),VLOOKUP(V$1,test!$A$3:$F$32,2,FALSE))&lt;test!$K$16,$A117&lt;&gt;V$1,Recharged_Feasible_mat!W86=1),(VLOOKUP(V$1,test!$A$3:$I$32,8,FALSE))-(VLOOKUP($A117,test!$A$3:$I$32,9,FALSE))+test!$B$35,0)</f>
        <v>0</v>
      </c>
      <c r="W117">
        <f>IF(AND(SUM(VLOOKUP($A117,test!$A$3:$F$32,2,FALSE),VLOOKUP(W$1,test!$A$3:$F$32,2,FALSE))&lt;test!$K$16,$A117&lt;&gt;W$1,Recharged_Feasible_mat!X86=1),(VLOOKUP(W$1,test!$A$3:$I$32,8,FALSE))-(VLOOKUP($A117,test!$A$3:$I$32,9,FALSE))+test!$B$35,0)</f>
        <v>0</v>
      </c>
      <c r="X117">
        <f>IF(AND(SUM(VLOOKUP($A117,test!$A$3:$F$32,2,FALSE),VLOOKUP(X$1,test!$A$3:$F$32,2,FALSE))&lt;test!$K$16,$A117&lt;&gt;X$1,Recharged_Feasible_mat!Y86=1),(VLOOKUP(X$1,test!$A$3:$I$32,8,FALSE))-(VLOOKUP($A117,test!$A$3:$I$32,9,FALSE))+test!$B$35,0)</f>
        <v>0</v>
      </c>
      <c r="Y117">
        <f>IF(AND(SUM(VLOOKUP($A117,test!$A$3:$F$32,2,FALSE),VLOOKUP(Y$1,test!$A$3:$F$32,2,FALSE))&lt;test!$K$16,$A117&lt;&gt;Y$1,Recharged_Feasible_mat!Z86=1),(VLOOKUP(Y$1,test!$A$3:$I$32,8,FALSE))-(VLOOKUP($A117,test!$A$3:$I$32,9,FALSE))+test!$B$35,0)</f>
        <v>0</v>
      </c>
      <c r="Z117">
        <f>IF(AND(SUM(VLOOKUP($A117,test!$A$3:$F$32,2,FALSE),VLOOKUP(Z$1,test!$A$3:$F$32,2,FALSE))&lt;test!$K$16,$A117&lt;&gt;Z$1,Recharged_Feasible_mat!AA86=1),(VLOOKUP(Z$1,test!$A$3:$I$32,8,FALSE))-(VLOOKUP($A117,test!$A$3:$I$32,9,FALSE))+test!$B$35,0)</f>
        <v>0</v>
      </c>
      <c r="AA117">
        <f>IF(AND(SUM(VLOOKUP($A117,test!$A$3:$F$32,2,FALSE),VLOOKUP(AA$1,test!$A$3:$F$32,2,FALSE))&lt;test!$K$16,$A117&lt;&gt;AA$1,Recharged_Feasible_mat!AB86=1),(VLOOKUP(AA$1,test!$A$3:$I$32,8,FALSE))-(VLOOKUP($A117,test!$A$3:$I$32,9,FALSE))+test!$B$35,0)</f>
        <v>0</v>
      </c>
      <c r="AB117">
        <f>IF(AND(SUM(VLOOKUP($A117,test!$A$3:$F$32,2,FALSE),VLOOKUP(AB$1,test!$A$3:$F$32,2,FALSE))&lt;test!$K$16,$A117&lt;&gt;AB$1,Recharged_Feasible_mat!AC86=1),(VLOOKUP(AB$1,test!$A$3:$I$32,8,FALSE))-(VLOOKUP($A117,test!$A$3:$I$32,9,FALSE))+test!$B$35,0)</f>
        <v>0</v>
      </c>
      <c r="AC117">
        <f>IF(AND(SUM(VLOOKUP($A117,test!$A$3:$F$32,2,FALSE),VLOOKUP(AC$1,test!$A$3:$F$32,2,FALSE))&lt;test!$K$16,$A117&lt;&gt;AC$1,Recharged_Feasible_mat!AD86=1),(VLOOKUP(AC$1,test!$A$3:$I$32,8,FALSE))-(VLOOKUP($A117,test!$A$3:$I$32,9,FALSE))+test!$B$35,0)</f>
        <v>0</v>
      </c>
      <c r="AD117">
        <f>IF(AND(SUM(VLOOKUP($A117,test!$A$3:$F$32,2,FALSE),VLOOKUP(AD$1,test!$A$3:$F$32,2,FALSE))&lt;test!$K$16,$A117&lt;&gt;AD$1,Recharged_Feasible_mat!AE86=1),(VLOOKUP(AD$1,test!$A$3:$I$32,8,FALSE))-(VLOOKUP($A117,test!$A$3:$I$32,9,FALSE))+test!$B$35,0)</f>
        <v>0</v>
      </c>
      <c r="AE117">
        <f>IF(AND(SUM(VLOOKUP($A117,test!$A$3:$F$32,2,FALSE),VLOOKUP(AE$1,test!$A$3:$F$32,2,FALSE))&lt;test!$K$16,$A117&lt;&gt;AE$1,Recharged_Feasible_mat!AF86=1),(VLOOKUP(AE$1,test!$A$3:$I$32,8,FALSE))-(VLOOKUP($A117,test!$A$3:$I$32,9,FALSE))+test!$B$35,0)</f>
        <v>0</v>
      </c>
      <c r="AF117">
        <f>IF(AND(SUM(VLOOKUP($A117,test!$A$3:$F$32,2,FALSE),VLOOKUP(AF$1,test!$A$3:$F$32,2,FALSE))&lt;test!$K$16,$A117&lt;&gt;AF$1,Recharged_Feasible_mat!AG86=1),(VLOOKUP(AF$1,test!$A$3:$I$32,8,FALSE))-(VLOOKUP($A117,test!$A$3:$I$32,9,FALSE))+test!$B$35,0)</f>
        <v>0</v>
      </c>
    </row>
    <row r="118" spans="1:32" x14ac:dyDescent="0.25">
      <c r="A118" t="s">
        <v>34</v>
      </c>
      <c r="B118">
        <v>0</v>
      </c>
      <c r="C118">
        <f>IF(AND(SUM(VLOOKUP($A118,test!$A$3:$F$32,2,FALSE),VLOOKUP(C$1,test!$A$3:$F$32,2,FALSE))&lt;test!$K$16,$A118&lt;&gt;C$1,Recharged_Feasible_mat!D87=1),(VLOOKUP(C$1,test!$A$3:$I$32,8,FALSE))-(VLOOKUP($A118,test!$A$3:$I$32,9,FALSE))+test!$B$35,0)</f>
        <v>0</v>
      </c>
      <c r="D118">
        <f>IF(AND(SUM(VLOOKUP($A118,test!$A$3:$F$32,2,FALSE),VLOOKUP(D$1,test!$A$3:$F$32,2,FALSE))&lt;test!$K$16,$A118&lt;&gt;D$1,Recharged_Feasible_mat!E87=1),(VLOOKUP(D$1,test!$A$3:$I$32,8,FALSE))-(VLOOKUP($A118,test!$A$3:$I$32,9,FALSE))+test!$B$35,0)</f>
        <v>0</v>
      </c>
      <c r="E118">
        <f>IF(AND(SUM(VLOOKUP($A118,test!$A$3:$F$32,2,FALSE),VLOOKUP(E$1,test!$A$3:$F$32,2,FALSE))&lt;test!$K$16,$A118&lt;&gt;E$1,Recharged_Feasible_mat!F87=1),(VLOOKUP(E$1,test!$A$3:$I$32,8,FALSE))-(VLOOKUP($A118,test!$A$3:$I$32,9,FALSE))+test!$B$35,0)</f>
        <v>0</v>
      </c>
      <c r="F118">
        <f>IF(AND(SUM(VLOOKUP($A118,test!$A$3:$F$32,2,FALSE),VLOOKUP(F$1,test!$A$3:$F$32,2,FALSE))&lt;test!$K$16,$A118&lt;&gt;F$1,Recharged_Feasible_mat!G87=1),(VLOOKUP(F$1,test!$A$3:$I$32,8,FALSE))-(VLOOKUP($A118,test!$A$3:$I$32,9,FALSE))+test!$B$35,0)</f>
        <v>260</v>
      </c>
      <c r="G118">
        <f>IF(AND(SUM(VLOOKUP($A118,test!$A$3:$F$32,2,FALSE),VLOOKUP(G$1,test!$A$3:$F$32,2,FALSE))&lt;test!$K$16,$A118&lt;&gt;G$1,Recharged_Feasible_mat!H87=1),(VLOOKUP(G$1,test!$A$3:$I$32,8,FALSE))-(VLOOKUP($A118,test!$A$3:$I$32,9,FALSE))+test!$B$35,0)</f>
        <v>320</v>
      </c>
      <c r="H118">
        <f>IF(AND(SUM(VLOOKUP($A118,test!$A$3:$F$32,2,FALSE),VLOOKUP(H$1,test!$A$3:$F$32,2,FALSE))&lt;test!$K$16,$A118&lt;&gt;H$1,Recharged_Feasible_mat!I87=1),(VLOOKUP(H$1,test!$A$3:$I$32,8,FALSE))-(VLOOKUP($A118,test!$A$3:$I$32,9,FALSE))+test!$B$35,0)</f>
        <v>380</v>
      </c>
      <c r="I118">
        <f>IF(AND(SUM(VLOOKUP($A118,test!$A$3:$F$32,2,FALSE),VLOOKUP(I$1,test!$A$3:$F$32,2,FALSE))&lt;test!$K$16,$A118&lt;&gt;I$1,Recharged_Feasible_mat!J87=1),(VLOOKUP(I$1,test!$A$3:$I$32,8,FALSE))-(VLOOKUP($A118,test!$A$3:$I$32,9,FALSE))+test!$B$35,0)</f>
        <v>440</v>
      </c>
      <c r="J118">
        <f>IF(AND(SUM(VLOOKUP($A118,test!$A$3:$F$32,2,FALSE),VLOOKUP(J$1,test!$A$3:$F$32,2,FALSE))&lt;test!$K$16,$A118&lt;&gt;J$1,Recharged_Feasible_mat!K87=1),(VLOOKUP(J$1,test!$A$3:$I$32,8,FALSE))-(VLOOKUP($A118,test!$A$3:$I$32,9,FALSE))+test!$B$35,0)</f>
        <v>530</v>
      </c>
      <c r="K118">
        <f>IF(AND(SUM(VLOOKUP($A118,test!$A$3:$F$32,2,FALSE),VLOOKUP(K$1,test!$A$3:$F$32,2,FALSE))&lt;test!$K$16,$A118&lt;&gt;K$1,Recharged_Feasible_mat!L87=1),(VLOOKUP(K$1,test!$A$3:$I$32,8,FALSE))-(VLOOKUP($A118,test!$A$3:$I$32,9,FALSE))+test!$B$35,0)</f>
        <v>0</v>
      </c>
      <c r="L118">
        <f>IF(AND(SUM(VLOOKUP($A118,test!$A$3:$F$32,2,FALSE),VLOOKUP(L$1,test!$A$3:$F$32,2,FALSE))&lt;test!$K$16,$A118&lt;&gt;L$1,Recharged_Feasible_mat!M87=1),(VLOOKUP(L$1,test!$A$3:$I$32,8,FALSE))-(VLOOKUP($A118,test!$A$3:$I$32,9,FALSE))+test!$B$35,0)</f>
        <v>0</v>
      </c>
      <c r="M118">
        <f>IF(AND(SUM(VLOOKUP($A118,test!$A$3:$F$32,2,FALSE),VLOOKUP(M$1,test!$A$3:$F$32,2,FALSE))&lt;test!$K$16,$A118&lt;&gt;M$1,Recharged_Feasible_mat!N87=1),(VLOOKUP(M$1,test!$A$3:$I$32,8,FALSE))-(VLOOKUP($A118,test!$A$3:$I$32,9,FALSE))+test!$B$35,0)</f>
        <v>0</v>
      </c>
      <c r="N118">
        <f>IF(AND(SUM(VLOOKUP($A118,test!$A$3:$F$32,2,FALSE),VLOOKUP(N$1,test!$A$3:$F$32,2,FALSE))&lt;test!$K$16,$A118&lt;&gt;N$1,Recharged_Feasible_mat!O87=1),(VLOOKUP(N$1,test!$A$3:$I$32,8,FALSE))-(VLOOKUP($A118,test!$A$3:$I$32,9,FALSE))+test!$B$35,0)</f>
        <v>495</v>
      </c>
      <c r="O118">
        <f>IF(AND(SUM(VLOOKUP($A118,test!$A$3:$F$32,2,FALSE),VLOOKUP(O$1,test!$A$3:$F$32,2,FALSE))&lt;test!$K$16,$A118&lt;&gt;O$1,Recharged_Feasible_mat!P87=1),(VLOOKUP(O$1,test!$A$3:$I$32,8,FALSE))-(VLOOKUP($A118,test!$A$3:$I$32,9,FALSE))+test!$B$35,0)</f>
        <v>555</v>
      </c>
      <c r="P118">
        <f>IF(AND(SUM(VLOOKUP($A118,test!$A$3:$F$32,2,FALSE),VLOOKUP(P$1,test!$A$3:$F$32,2,FALSE))&lt;test!$K$16,$A118&lt;&gt;P$1,Recharged_Feasible_mat!Q87=1),(VLOOKUP(P$1,test!$A$3:$I$32,8,FALSE))-(VLOOKUP($A118,test!$A$3:$I$32,9,FALSE))+test!$B$35,0)</f>
        <v>0</v>
      </c>
      <c r="Q118">
        <f>IF(AND(SUM(VLOOKUP($A118,test!$A$3:$F$32,2,FALSE),VLOOKUP(Q$1,test!$A$3:$F$32,2,FALSE))&lt;test!$K$16,$A118&lt;&gt;Q$1,Recharged_Feasible_mat!R87=1),(VLOOKUP(Q$1,test!$A$3:$I$32,8,FALSE))-(VLOOKUP($A118,test!$A$3:$I$32,9,FALSE))+test!$B$35,0)</f>
        <v>0</v>
      </c>
      <c r="R118">
        <f>IF(AND(SUM(VLOOKUP($A118,test!$A$3:$F$32,2,FALSE),VLOOKUP(R$1,test!$A$3:$F$32,2,FALSE))&lt;test!$K$16,$A118&lt;&gt;R$1,Recharged_Feasible_mat!S87=1),(VLOOKUP(R$1,test!$A$3:$I$32,8,FALSE))-(VLOOKUP($A118,test!$A$3:$I$32,9,FALSE))+test!$B$35,0)</f>
        <v>0</v>
      </c>
      <c r="S118">
        <f>IF(AND(SUM(VLOOKUP($A118,test!$A$3:$F$32,2,FALSE),VLOOKUP(S$1,test!$A$3:$F$32,2,FALSE))&lt;test!$K$16,$A118&lt;&gt;S$1,Recharged_Feasible_mat!T87=1),(VLOOKUP(S$1,test!$A$3:$I$32,8,FALSE))-(VLOOKUP($A118,test!$A$3:$I$32,9,FALSE))+test!$B$35,0)</f>
        <v>0</v>
      </c>
      <c r="T118">
        <f>IF(AND(SUM(VLOOKUP($A118,test!$A$3:$F$32,2,FALSE),VLOOKUP(T$1,test!$A$3:$F$32,2,FALSE))&lt;test!$K$16,$A118&lt;&gt;T$1,Recharged_Feasible_mat!U87=1),(VLOOKUP(T$1,test!$A$3:$I$32,8,FALSE))-(VLOOKUP($A118,test!$A$3:$I$32,9,FALSE))+test!$B$35,0)</f>
        <v>0</v>
      </c>
      <c r="U118">
        <f>IF(AND(SUM(VLOOKUP($A118,test!$A$3:$F$32,2,FALSE),VLOOKUP(U$1,test!$A$3:$F$32,2,FALSE))&lt;test!$K$16,$A118&lt;&gt;U$1,Recharged_Feasible_mat!V87=1),(VLOOKUP(U$1,test!$A$3:$I$32,8,FALSE))-(VLOOKUP($A118,test!$A$3:$I$32,9,FALSE))+test!$B$35,0)</f>
        <v>0</v>
      </c>
      <c r="V118">
        <f>IF(AND(SUM(VLOOKUP($A118,test!$A$3:$F$32,2,FALSE),VLOOKUP(V$1,test!$A$3:$F$32,2,FALSE))&lt;test!$K$16,$A118&lt;&gt;V$1,Recharged_Feasible_mat!W87=1),(VLOOKUP(V$1,test!$A$3:$I$32,8,FALSE))-(VLOOKUP($A118,test!$A$3:$I$32,9,FALSE))+test!$B$35,0)</f>
        <v>330</v>
      </c>
      <c r="W118">
        <f>IF(AND(SUM(VLOOKUP($A118,test!$A$3:$F$32,2,FALSE),VLOOKUP(W$1,test!$A$3:$F$32,2,FALSE))&lt;test!$K$16,$A118&lt;&gt;W$1,Recharged_Feasible_mat!X87=1),(VLOOKUP(W$1,test!$A$3:$I$32,8,FALSE))-(VLOOKUP($A118,test!$A$3:$I$32,9,FALSE))+test!$B$35,0)</f>
        <v>420</v>
      </c>
      <c r="X118">
        <f>IF(AND(SUM(VLOOKUP($A118,test!$A$3:$F$32,2,FALSE),VLOOKUP(X$1,test!$A$3:$F$32,2,FALSE))&lt;test!$K$16,$A118&lt;&gt;X$1,Recharged_Feasible_mat!Y87=1),(VLOOKUP(X$1,test!$A$3:$I$32,8,FALSE))-(VLOOKUP($A118,test!$A$3:$I$32,9,FALSE))+test!$B$35,0)</f>
        <v>480</v>
      </c>
      <c r="Y118">
        <f>IF(AND(SUM(VLOOKUP($A118,test!$A$3:$F$32,2,FALSE),VLOOKUP(Y$1,test!$A$3:$F$32,2,FALSE))&lt;test!$K$16,$A118&lt;&gt;Y$1,Recharged_Feasible_mat!Z87=1),(VLOOKUP(Y$1,test!$A$3:$I$32,8,FALSE))-(VLOOKUP($A118,test!$A$3:$I$32,9,FALSE))+test!$B$35,0)</f>
        <v>0</v>
      </c>
      <c r="Z118">
        <f>IF(AND(SUM(VLOOKUP($A118,test!$A$3:$F$32,2,FALSE),VLOOKUP(Z$1,test!$A$3:$F$32,2,FALSE))&lt;test!$K$16,$A118&lt;&gt;Z$1,Recharged_Feasible_mat!AA87=1),(VLOOKUP(Z$1,test!$A$3:$I$32,8,FALSE))-(VLOOKUP($A118,test!$A$3:$I$32,9,FALSE))+test!$B$35,0)</f>
        <v>0</v>
      </c>
      <c r="AA118">
        <f>IF(AND(SUM(VLOOKUP($A118,test!$A$3:$F$32,2,FALSE),VLOOKUP(AA$1,test!$A$3:$F$32,2,FALSE))&lt;test!$K$16,$A118&lt;&gt;AA$1,Recharged_Feasible_mat!AB87=1),(VLOOKUP(AA$1,test!$A$3:$I$32,8,FALSE))-(VLOOKUP($A118,test!$A$3:$I$32,9,FALSE))+test!$B$35,0)</f>
        <v>0</v>
      </c>
      <c r="AB118">
        <f>IF(AND(SUM(VLOOKUP($A118,test!$A$3:$F$32,2,FALSE),VLOOKUP(AB$1,test!$A$3:$F$32,2,FALSE))&lt;test!$K$16,$A118&lt;&gt;AB$1,Recharged_Feasible_mat!AC87=1),(VLOOKUP(AB$1,test!$A$3:$I$32,8,FALSE))-(VLOOKUP($A118,test!$A$3:$I$32,9,FALSE))+test!$B$35,0)</f>
        <v>260</v>
      </c>
      <c r="AC118">
        <f>IF(AND(SUM(VLOOKUP($A118,test!$A$3:$F$32,2,FALSE),VLOOKUP(AC$1,test!$A$3:$F$32,2,FALSE))&lt;test!$K$16,$A118&lt;&gt;AC$1,Recharged_Feasible_mat!AD87=1),(VLOOKUP(AC$1,test!$A$3:$I$32,8,FALSE))-(VLOOKUP($A118,test!$A$3:$I$32,9,FALSE))+test!$B$35,0)</f>
        <v>380</v>
      </c>
      <c r="AD118">
        <f>IF(AND(SUM(VLOOKUP($A118,test!$A$3:$F$32,2,FALSE),VLOOKUP(AD$1,test!$A$3:$F$32,2,FALSE))&lt;test!$K$16,$A118&lt;&gt;AD$1,Recharged_Feasible_mat!AE87=1),(VLOOKUP(AD$1,test!$A$3:$I$32,8,FALSE))-(VLOOKUP($A118,test!$A$3:$I$32,9,FALSE))+test!$B$35,0)</f>
        <v>0</v>
      </c>
      <c r="AE118">
        <f>IF(AND(SUM(VLOOKUP($A118,test!$A$3:$F$32,2,FALSE),VLOOKUP(AE$1,test!$A$3:$F$32,2,FALSE))&lt;test!$K$16,$A118&lt;&gt;AE$1,Recharged_Feasible_mat!AF87=1),(VLOOKUP(AE$1,test!$A$3:$I$32,8,FALSE))-(VLOOKUP($A118,test!$A$3:$I$32,9,FALSE))+test!$B$35,0)</f>
        <v>0</v>
      </c>
      <c r="AF118">
        <f>IF(AND(SUM(VLOOKUP($A118,test!$A$3:$F$32,2,FALSE),VLOOKUP(AF$1,test!$A$3:$F$32,2,FALSE))&lt;test!$K$16,$A118&lt;&gt;AF$1,Recharged_Feasible_mat!AG87=1),(VLOOKUP(AF$1,test!$A$3:$I$32,8,FALSE))-(VLOOKUP($A118,test!$A$3:$I$32,9,FALSE))+test!$B$35,0)</f>
        <v>0</v>
      </c>
    </row>
    <row r="119" spans="1:32" x14ac:dyDescent="0.25">
      <c r="A119" t="s">
        <v>35</v>
      </c>
      <c r="B119">
        <v>0</v>
      </c>
      <c r="C119">
        <f>IF(AND(SUM(VLOOKUP($A119,test!$A$3:$F$32,2,FALSE),VLOOKUP(C$1,test!$A$3:$F$32,2,FALSE))&lt;test!$K$16,$A119&lt;&gt;C$1,Recharged_Feasible_mat!D88=1),(VLOOKUP(C$1,test!$A$3:$I$32,8,FALSE))-(VLOOKUP($A119,test!$A$3:$I$32,9,FALSE))+test!$B$35,0)</f>
        <v>0</v>
      </c>
      <c r="D119">
        <f>IF(AND(SUM(VLOOKUP($A119,test!$A$3:$F$32,2,FALSE),VLOOKUP(D$1,test!$A$3:$F$32,2,FALSE))&lt;test!$K$16,$A119&lt;&gt;D$1,Recharged_Feasible_mat!E88=1),(VLOOKUP(D$1,test!$A$3:$I$32,8,FALSE))-(VLOOKUP($A119,test!$A$3:$I$32,9,FALSE))+test!$B$35,0)</f>
        <v>0</v>
      </c>
      <c r="E119">
        <f>IF(AND(SUM(VLOOKUP($A119,test!$A$3:$F$32,2,FALSE),VLOOKUP(E$1,test!$A$3:$F$32,2,FALSE))&lt;test!$K$16,$A119&lt;&gt;E$1,Recharged_Feasible_mat!F88=1),(VLOOKUP(E$1,test!$A$3:$I$32,8,FALSE))-(VLOOKUP($A119,test!$A$3:$I$32,9,FALSE))+test!$B$35,0)</f>
        <v>0</v>
      </c>
      <c r="F119">
        <f>IF(AND(SUM(VLOOKUP($A119,test!$A$3:$F$32,2,FALSE),VLOOKUP(F$1,test!$A$3:$F$32,2,FALSE))&lt;test!$K$16,$A119&lt;&gt;F$1,Recharged_Feasible_mat!G88=1),(VLOOKUP(F$1,test!$A$3:$I$32,8,FALSE))-(VLOOKUP($A119,test!$A$3:$I$32,9,FALSE))+test!$B$35,0)</f>
        <v>0</v>
      </c>
      <c r="G119">
        <f>IF(AND(SUM(VLOOKUP($A119,test!$A$3:$F$32,2,FALSE),VLOOKUP(G$1,test!$A$3:$F$32,2,FALSE))&lt;test!$K$16,$A119&lt;&gt;G$1,Recharged_Feasible_mat!H88=1),(VLOOKUP(G$1,test!$A$3:$I$32,8,FALSE))-(VLOOKUP($A119,test!$A$3:$I$32,9,FALSE))+test!$B$35,0)</f>
        <v>0</v>
      </c>
      <c r="H119">
        <f>IF(AND(SUM(VLOOKUP($A119,test!$A$3:$F$32,2,FALSE),VLOOKUP(H$1,test!$A$3:$F$32,2,FALSE))&lt;test!$K$16,$A119&lt;&gt;H$1,Recharged_Feasible_mat!I88=1),(VLOOKUP(H$1,test!$A$3:$I$32,8,FALSE))-(VLOOKUP($A119,test!$A$3:$I$32,9,FALSE))+test!$B$35,0)</f>
        <v>0</v>
      </c>
      <c r="I119">
        <f>IF(AND(SUM(VLOOKUP($A119,test!$A$3:$F$32,2,FALSE),VLOOKUP(I$1,test!$A$3:$F$32,2,FALSE))&lt;test!$K$16,$A119&lt;&gt;I$1,Recharged_Feasible_mat!J88=1),(VLOOKUP(I$1,test!$A$3:$I$32,8,FALSE))-(VLOOKUP($A119,test!$A$3:$I$32,9,FALSE))+test!$B$35,0)</f>
        <v>270</v>
      </c>
      <c r="J119">
        <f>IF(AND(SUM(VLOOKUP($A119,test!$A$3:$F$32,2,FALSE),VLOOKUP(J$1,test!$A$3:$F$32,2,FALSE))&lt;test!$K$16,$A119&lt;&gt;J$1,Recharged_Feasible_mat!K88=1),(VLOOKUP(J$1,test!$A$3:$I$32,8,FALSE))-(VLOOKUP($A119,test!$A$3:$I$32,9,FALSE))+test!$B$35,0)</f>
        <v>360</v>
      </c>
      <c r="K119">
        <f>IF(AND(SUM(VLOOKUP($A119,test!$A$3:$F$32,2,FALSE),VLOOKUP(K$1,test!$A$3:$F$32,2,FALSE))&lt;test!$K$16,$A119&lt;&gt;K$1,Recharged_Feasible_mat!L88=1),(VLOOKUP(K$1,test!$A$3:$I$32,8,FALSE))-(VLOOKUP($A119,test!$A$3:$I$32,9,FALSE))+test!$B$35,0)</f>
        <v>0</v>
      </c>
      <c r="L119">
        <f>IF(AND(SUM(VLOOKUP($A119,test!$A$3:$F$32,2,FALSE),VLOOKUP(L$1,test!$A$3:$F$32,2,FALSE))&lt;test!$K$16,$A119&lt;&gt;L$1,Recharged_Feasible_mat!M88=1),(VLOOKUP(L$1,test!$A$3:$I$32,8,FALSE))-(VLOOKUP($A119,test!$A$3:$I$32,9,FALSE))+test!$B$35,0)</f>
        <v>0</v>
      </c>
      <c r="M119">
        <f>IF(AND(SUM(VLOOKUP($A119,test!$A$3:$F$32,2,FALSE),VLOOKUP(M$1,test!$A$3:$F$32,2,FALSE))&lt;test!$K$16,$A119&lt;&gt;M$1,Recharged_Feasible_mat!N88=1),(VLOOKUP(M$1,test!$A$3:$I$32,8,FALSE))-(VLOOKUP($A119,test!$A$3:$I$32,9,FALSE))+test!$B$35,0)</f>
        <v>0</v>
      </c>
      <c r="N119">
        <f>IF(AND(SUM(VLOOKUP($A119,test!$A$3:$F$32,2,FALSE),VLOOKUP(N$1,test!$A$3:$F$32,2,FALSE))&lt;test!$K$16,$A119&lt;&gt;N$1,Recharged_Feasible_mat!O88=1),(VLOOKUP(N$1,test!$A$3:$I$32,8,FALSE))-(VLOOKUP($A119,test!$A$3:$I$32,9,FALSE))+test!$B$35,0)</f>
        <v>325</v>
      </c>
      <c r="O119">
        <f>IF(AND(SUM(VLOOKUP($A119,test!$A$3:$F$32,2,FALSE),VLOOKUP(O$1,test!$A$3:$F$32,2,FALSE))&lt;test!$K$16,$A119&lt;&gt;O$1,Recharged_Feasible_mat!P88=1),(VLOOKUP(O$1,test!$A$3:$I$32,8,FALSE))-(VLOOKUP($A119,test!$A$3:$I$32,9,FALSE))+test!$B$35,0)</f>
        <v>385</v>
      </c>
      <c r="P119">
        <f>IF(AND(SUM(VLOOKUP($A119,test!$A$3:$F$32,2,FALSE),VLOOKUP(P$1,test!$A$3:$F$32,2,FALSE))&lt;test!$K$16,$A119&lt;&gt;P$1,Recharged_Feasible_mat!Q88=1),(VLOOKUP(P$1,test!$A$3:$I$32,8,FALSE))-(VLOOKUP($A119,test!$A$3:$I$32,9,FALSE))+test!$B$35,0)</f>
        <v>0</v>
      </c>
      <c r="Q119">
        <f>IF(AND(SUM(VLOOKUP($A119,test!$A$3:$F$32,2,FALSE),VLOOKUP(Q$1,test!$A$3:$F$32,2,FALSE))&lt;test!$K$16,$A119&lt;&gt;Q$1,Recharged_Feasible_mat!R88=1),(VLOOKUP(Q$1,test!$A$3:$I$32,8,FALSE))-(VLOOKUP($A119,test!$A$3:$I$32,9,FALSE))+test!$B$35,0)</f>
        <v>0</v>
      </c>
      <c r="R119">
        <f>IF(AND(SUM(VLOOKUP($A119,test!$A$3:$F$32,2,FALSE),VLOOKUP(R$1,test!$A$3:$F$32,2,FALSE))&lt;test!$K$16,$A119&lt;&gt;R$1,Recharged_Feasible_mat!S88=1),(VLOOKUP(R$1,test!$A$3:$I$32,8,FALSE))-(VLOOKUP($A119,test!$A$3:$I$32,9,FALSE))+test!$B$35,0)</f>
        <v>0</v>
      </c>
      <c r="S119">
        <f>IF(AND(SUM(VLOOKUP($A119,test!$A$3:$F$32,2,FALSE),VLOOKUP(S$1,test!$A$3:$F$32,2,FALSE))&lt;test!$K$16,$A119&lt;&gt;S$1,Recharged_Feasible_mat!T88=1),(VLOOKUP(S$1,test!$A$3:$I$32,8,FALSE))-(VLOOKUP($A119,test!$A$3:$I$32,9,FALSE))+test!$B$35,0)</f>
        <v>0</v>
      </c>
      <c r="T119">
        <f>IF(AND(SUM(VLOOKUP($A119,test!$A$3:$F$32,2,FALSE),VLOOKUP(T$1,test!$A$3:$F$32,2,FALSE))&lt;test!$K$16,$A119&lt;&gt;T$1,Recharged_Feasible_mat!U88=1),(VLOOKUP(T$1,test!$A$3:$I$32,8,FALSE))-(VLOOKUP($A119,test!$A$3:$I$32,9,FALSE))+test!$B$35,0)</f>
        <v>0</v>
      </c>
      <c r="U119">
        <f>IF(AND(SUM(VLOOKUP($A119,test!$A$3:$F$32,2,FALSE),VLOOKUP(U$1,test!$A$3:$F$32,2,FALSE))&lt;test!$K$16,$A119&lt;&gt;U$1,Recharged_Feasible_mat!V88=1),(VLOOKUP(U$1,test!$A$3:$I$32,8,FALSE))-(VLOOKUP($A119,test!$A$3:$I$32,9,FALSE))+test!$B$35,0)</f>
        <v>0</v>
      </c>
      <c r="V119">
        <f>IF(AND(SUM(VLOOKUP($A119,test!$A$3:$F$32,2,FALSE),VLOOKUP(V$1,test!$A$3:$F$32,2,FALSE))&lt;test!$K$16,$A119&lt;&gt;V$1,Recharged_Feasible_mat!W88=1),(VLOOKUP(V$1,test!$A$3:$I$32,8,FALSE))-(VLOOKUP($A119,test!$A$3:$I$32,9,FALSE))+test!$B$35,0)</f>
        <v>0</v>
      </c>
      <c r="W119">
        <f>IF(AND(SUM(VLOOKUP($A119,test!$A$3:$F$32,2,FALSE),VLOOKUP(W$1,test!$A$3:$F$32,2,FALSE))&lt;test!$K$16,$A119&lt;&gt;W$1,Recharged_Feasible_mat!X88=1),(VLOOKUP(W$1,test!$A$3:$I$32,8,FALSE))-(VLOOKUP($A119,test!$A$3:$I$32,9,FALSE))+test!$B$35,0)</f>
        <v>250</v>
      </c>
      <c r="X119">
        <f>IF(AND(SUM(VLOOKUP($A119,test!$A$3:$F$32,2,FALSE),VLOOKUP(X$1,test!$A$3:$F$32,2,FALSE))&lt;test!$K$16,$A119&lt;&gt;X$1,Recharged_Feasible_mat!Y88=1),(VLOOKUP(X$1,test!$A$3:$I$32,8,FALSE))-(VLOOKUP($A119,test!$A$3:$I$32,9,FALSE))+test!$B$35,0)</f>
        <v>310</v>
      </c>
      <c r="Y119">
        <f>IF(AND(SUM(VLOOKUP($A119,test!$A$3:$F$32,2,FALSE),VLOOKUP(Y$1,test!$A$3:$F$32,2,FALSE))&lt;test!$K$16,$A119&lt;&gt;Y$1,Recharged_Feasible_mat!Z88=1),(VLOOKUP(Y$1,test!$A$3:$I$32,8,FALSE))-(VLOOKUP($A119,test!$A$3:$I$32,9,FALSE))+test!$B$35,0)</f>
        <v>0</v>
      </c>
      <c r="Z119">
        <f>IF(AND(SUM(VLOOKUP($A119,test!$A$3:$F$32,2,FALSE),VLOOKUP(Z$1,test!$A$3:$F$32,2,FALSE))&lt;test!$K$16,$A119&lt;&gt;Z$1,Recharged_Feasible_mat!AA88=1),(VLOOKUP(Z$1,test!$A$3:$I$32,8,FALSE))-(VLOOKUP($A119,test!$A$3:$I$32,9,FALSE))+test!$B$35,0)</f>
        <v>0</v>
      </c>
      <c r="AA119">
        <f>IF(AND(SUM(VLOOKUP($A119,test!$A$3:$F$32,2,FALSE),VLOOKUP(AA$1,test!$A$3:$F$32,2,FALSE))&lt;test!$K$16,$A119&lt;&gt;AA$1,Recharged_Feasible_mat!AB88=1),(VLOOKUP(AA$1,test!$A$3:$I$32,8,FALSE))-(VLOOKUP($A119,test!$A$3:$I$32,9,FALSE))+test!$B$35,0)</f>
        <v>0</v>
      </c>
      <c r="AB119">
        <f>IF(AND(SUM(VLOOKUP($A119,test!$A$3:$F$32,2,FALSE),VLOOKUP(AB$1,test!$A$3:$F$32,2,FALSE))&lt;test!$K$16,$A119&lt;&gt;AB$1,Recharged_Feasible_mat!AC88=1),(VLOOKUP(AB$1,test!$A$3:$I$32,8,FALSE))-(VLOOKUP($A119,test!$A$3:$I$32,9,FALSE))+test!$B$35,0)</f>
        <v>0</v>
      </c>
      <c r="AC119">
        <f>IF(AND(SUM(VLOOKUP($A119,test!$A$3:$F$32,2,FALSE),VLOOKUP(AC$1,test!$A$3:$F$32,2,FALSE))&lt;test!$K$16,$A119&lt;&gt;AC$1,Recharged_Feasible_mat!AD88=1),(VLOOKUP(AC$1,test!$A$3:$I$32,8,FALSE))-(VLOOKUP($A119,test!$A$3:$I$32,9,FALSE))+test!$B$35,0)</f>
        <v>0</v>
      </c>
      <c r="AD119">
        <f>IF(AND(SUM(VLOOKUP($A119,test!$A$3:$F$32,2,FALSE),VLOOKUP(AD$1,test!$A$3:$F$32,2,FALSE))&lt;test!$K$16,$A119&lt;&gt;AD$1,Recharged_Feasible_mat!AE88=1),(VLOOKUP(AD$1,test!$A$3:$I$32,8,FALSE))-(VLOOKUP($A119,test!$A$3:$I$32,9,FALSE))+test!$B$35,0)</f>
        <v>0</v>
      </c>
      <c r="AE119">
        <f>IF(AND(SUM(VLOOKUP($A119,test!$A$3:$F$32,2,FALSE),VLOOKUP(AE$1,test!$A$3:$F$32,2,FALSE))&lt;test!$K$16,$A119&lt;&gt;AE$1,Recharged_Feasible_mat!AF88=1),(VLOOKUP(AE$1,test!$A$3:$I$32,8,FALSE))-(VLOOKUP($A119,test!$A$3:$I$32,9,FALSE))+test!$B$35,0)</f>
        <v>0</v>
      </c>
      <c r="AF119">
        <f>IF(AND(SUM(VLOOKUP($A119,test!$A$3:$F$32,2,FALSE),VLOOKUP(AF$1,test!$A$3:$F$32,2,FALSE))&lt;test!$K$16,$A119&lt;&gt;AF$1,Recharged_Feasible_mat!AG88=1),(VLOOKUP(AF$1,test!$A$3:$I$32,8,FALSE))-(VLOOKUP($A119,test!$A$3:$I$32,9,FALSE))+test!$B$35,0)</f>
        <v>0</v>
      </c>
    </row>
    <row r="120" spans="1:32" x14ac:dyDescent="0.25">
      <c r="A120" t="s">
        <v>36</v>
      </c>
      <c r="B120">
        <v>0</v>
      </c>
      <c r="C120">
        <f>IF(AND(SUM(VLOOKUP($A120,test!$A$3:$F$32,2,FALSE),VLOOKUP(C$1,test!$A$3:$F$32,2,FALSE))&lt;test!$K$16,$A120&lt;&gt;C$1,Recharged_Feasible_mat!D89=1),(VLOOKUP(C$1,test!$A$3:$I$32,8,FALSE))-(VLOOKUP($A120,test!$A$3:$I$32,9,FALSE))+test!$B$35,0)</f>
        <v>0</v>
      </c>
      <c r="D120">
        <f>IF(AND(SUM(VLOOKUP($A120,test!$A$3:$F$32,2,FALSE),VLOOKUP(D$1,test!$A$3:$F$32,2,FALSE))&lt;test!$K$16,$A120&lt;&gt;D$1,Recharged_Feasible_mat!E89=1),(VLOOKUP(D$1,test!$A$3:$I$32,8,FALSE))-(VLOOKUP($A120,test!$A$3:$I$32,9,FALSE))+test!$B$35,0)</f>
        <v>0</v>
      </c>
      <c r="E120">
        <f>IF(AND(SUM(VLOOKUP($A120,test!$A$3:$F$32,2,FALSE),VLOOKUP(E$1,test!$A$3:$F$32,2,FALSE))&lt;test!$K$16,$A120&lt;&gt;E$1,Recharged_Feasible_mat!F89=1),(VLOOKUP(E$1,test!$A$3:$I$32,8,FALSE))-(VLOOKUP($A120,test!$A$3:$I$32,9,FALSE))+test!$B$35,0)</f>
        <v>0</v>
      </c>
      <c r="F120">
        <f>IF(AND(SUM(VLOOKUP($A120,test!$A$3:$F$32,2,FALSE),VLOOKUP(F$1,test!$A$3:$F$32,2,FALSE))&lt;test!$K$16,$A120&lt;&gt;F$1,Recharged_Feasible_mat!G89=1),(VLOOKUP(F$1,test!$A$3:$I$32,8,FALSE))-(VLOOKUP($A120,test!$A$3:$I$32,9,FALSE))+test!$B$35,0)</f>
        <v>0</v>
      </c>
      <c r="G120">
        <f>IF(AND(SUM(VLOOKUP($A120,test!$A$3:$F$32,2,FALSE),VLOOKUP(G$1,test!$A$3:$F$32,2,FALSE))&lt;test!$K$16,$A120&lt;&gt;G$1,Recharged_Feasible_mat!H89=1),(VLOOKUP(G$1,test!$A$3:$I$32,8,FALSE))-(VLOOKUP($A120,test!$A$3:$I$32,9,FALSE))+test!$B$35,0)</f>
        <v>0</v>
      </c>
      <c r="H120">
        <f>IF(AND(SUM(VLOOKUP($A120,test!$A$3:$F$32,2,FALSE),VLOOKUP(H$1,test!$A$3:$F$32,2,FALSE))&lt;test!$K$16,$A120&lt;&gt;H$1,Recharged_Feasible_mat!I89=1),(VLOOKUP(H$1,test!$A$3:$I$32,8,FALSE))-(VLOOKUP($A120,test!$A$3:$I$32,9,FALSE))+test!$B$35,0)</f>
        <v>0</v>
      </c>
      <c r="I120">
        <f>IF(AND(SUM(VLOOKUP($A120,test!$A$3:$F$32,2,FALSE),VLOOKUP(I$1,test!$A$3:$F$32,2,FALSE))&lt;test!$K$16,$A120&lt;&gt;I$1,Recharged_Feasible_mat!J89=1),(VLOOKUP(I$1,test!$A$3:$I$32,8,FALSE))-(VLOOKUP($A120,test!$A$3:$I$32,9,FALSE))+test!$B$35,0)</f>
        <v>0</v>
      </c>
      <c r="J120">
        <f>IF(AND(SUM(VLOOKUP($A120,test!$A$3:$F$32,2,FALSE),VLOOKUP(J$1,test!$A$3:$F$32,2,FALSE))&lt;test!$K$16,$A120&lt;&gt;J$1,Recharged_Feasible_mat!K89=1),(VLOOKUP(J$1,test!$A$3:$I$32,8,FALSE))-(VLOOKUP($A120,test!$A$3:$I$32,9,FALSE))+test!$B$35,0)</f>
        <v>0</v>
      </c>
      <c r="K120">
        <f>IF(AND(SUM(VLOOKUP($A120,test!$A$3:$F$32,2,FALSE),VLOOKUP(K$1,test!$A$3:$F$32,2,FALSE))&lt;test!$K$16,$A120&lt;&gt;K$1,Recharged_Feasible_mat!L89=1),(VLOOKUP(K$1,test!$A$3:$I$32,8,FALSE))-(VLOOKUP($A120,test!$A$3:$I$32,9,FALSE))+test!$B$35,0)</f>
        <v>0</v>
      </c>
      <c r="L120">
        <f>IF(AND(SUM(VLOOKUP($A120,test!$A$3:$F$32,2,FALSE),VLOOKUP(L$1,test!$A$3:$F$32,2,FALSE))&lt;test!$K$16,$A120&lt;&gt;L$1,Recharged_Feasible_mat!M89=1),(VLOOKUP(L$1,test!$A$3:$I$32,8,FALSE))-(VLOOKUP($A120,test!$A$3:$I$32,9,FALSE))+test!$B$35,0)</f>
        <v>0</v>
      </c>
      <c r="M120">
        <f>IF(AND(SUM(VLOOKUP($A120,test!$A$3:$F$32,2,FALSE),VLOOKUP(M$1,test!$A$3:$F$32,2,FALSE))&lt;test!$K$16,$A120&lt;&gt;M$1,Recharged_Feasible_mat!N89=1),(VLOOKUP(M$1,test!$A$3:$I$32,8,FALSE))-(VLOOKUP($A120,test!$A$3:$I$32,9,FALSE))+test!$B$35,0)</f>
        <v>0</v>
      </c>
      <c r="N120">
        <f>IF(AND(SUM(VLOOKUP($A120,test!$A$3:$F$32,2,FALSE),VLOOKUP(N$1,test!$A$3:$F$32,2,FALSE))&lt;test!$K$16,$A120&lt;&gt;N$1,Recharged_Feasible_mat!O89=1),(VLOOKUP(N$1,test!$A$3:$I$32,8,FALSE))-(VLOOKUP($A120,test!$A$3:$I$32,9,FALSE))+test!$B$35,0)</f>
        <v>0</v>
      </c>
      <c r="O120">
        <f>IF(AND(SUM(VLOOKUP($A120,test!$A$3:$F$32,2,FALSE),VLOOKUP(O$1,test!$A$3:$F$32,2,FALSE))&lt;test!$K$16,$A120&lt;&gt;O$1,Recharged_Feasible_mat!P89=1),(VLOOKUP(O$1,test!$A$3:$I$32,8,FALSE))-(VLOOKUP($A120,test!$A$3:$I$32,9,FALSE))+test!$B$35,0)</f>
        <v>265</v>
      </c>
      <c r="P120">
        <f>IF(AND(SUM(VLOOKUP($A120,test!$A$3:$F$32,2,FALSE),VLOOKUP(P$1,test!$A$3:$F$32,2,FALSE))&lt;test!$K$16,$A120&lt;&gt;P$1,Recharged_Feasible_mat!Q89=1),(VLOOKUP(P$1,test!$A$3:$I$32,8,FALSE))-(VLOOKUP($A120,test!$A$3:$I$32,9,FALSE))+test!$B$35,0)</f>
        <v>0</v>
      </c>
      <c r="Q120">
        <f>IF(AND(SUM(VLOOKUP($A120,test!$A$3:$F$32,2,FALSE),VLOOKUP(Q$1,test!$A$3:$F$32,2,FALSE))&lt;test!$K$16,$A120&lt;&gt;Q$1,Recharged_Feasible_mat!R89=1),(VLOOKUP(Q$1,test!$A$3:$I$32,8,FALSE))-(VLOOKUP($A120,test!$A$3:$I$32,9,FALSE))+test!$B$35,0)</f>
        <v>0</v>
      </c>
      <c r="R120">
        <f>IF(AND(SUM(VLOOKUP($A120,test!$A$3:$F$32,2,FALSE),VLOOKUP(R$1,test!$A$3:$F$32,2,FALSE))&lt;test!$K$16,$A120&lt;&gt;R$1,Recharged_Feasible_mat!S89=1),(VLOOKUP(R$1,test!$A$3:$I$32,8,FALSE))-(VLOOKUP($A120,test!$A$3:$I$32,9,FALSE))+test!$B$35,0)</f>
        <v>0</v>
      </c>
      <c r="S120">
        <f>IF(AND(SUM(VLOOKUP($A120,test!$A$3:$F$32,2,FALSE),VLOOKUP(S$1,test!$A$3:$F$32,2,FALSE))&lt;test!$K$16,$A120&lt;&gt;S$1,Recharged_Feasible_mat!T89=1),(VLOOKUP(S$1,test!$A$3:$I$32,8,FALSE))-(VLOOKUP($A120,test!$A$3:$I$32,9,FALSE))+test!$B$35,0)</f>
        <v>0</v>
      </c>
      <c r="T120">
        <f>IF(AND(SUM(VLOOKUP($A120,test!$A$3:$F$32,2,FALSE),VLOOKUP(T$1,test!$A$3:$F$32,2,FALSE))&lt;test!$K$16,$A120&lt;&gt;T$1,Recharged_Feasible_mat!U89=1),(VLOOKUP(T$1,test!$A$3:$I$32,8,FALSE))-(VLOOKUP($A120,test!$A$3:$I$32,9,FALSE))+test!$B$35,0)</f>
        <v>0</v>
      </c>
      <c r="U120">
        <f>IF(AND(SUM(VLOOKUP($A120,test!$A$3:$F$32,2,FALSE),VLOOKUP(U$1,test!$A$3:$F$32,2,FALSE))&lt;test!$K$16,$A120&lt;&gt;U$1,Recharged_Feasible_mat!V89=1),(VLOOKUP(U$1,test!$A$3:$I$32,8,FALSE))-(VLOOKUP($A120,test!$A$3:$I$32,9,FALSE))+test!$B$35,0)</f>
        <v>0</v>
      </c>
      <c r="V120">
        <f>IF(AND(SUM(VLOOKUP($A120,test!$A$3:$F$32,2,FALSE),VLOOKUP(V$1,test!$A$3:$F$32,2,FALSE))&lt;test!$K$16,$A120&lt;&gt;V$1,Recharged_Feasible_mat!W89=1),(VLOOKUP(V$1,test!$A$3:$I$32,8,FALSE))-(VLOOKUP($A120,test!$A$3:$I$32,9,FALSE))+test!$B$35,0)</f>
        <v>0</v>
      </c>
      <c r="W120">
        <f>IF(AND(SUM(VLOOKUP($A120,test!$A$3:$F$32,2,FALSE),VLOOKUP(W$1,test!$A$3:$F$32,2,FALSE))&lt;test!$K$16,$A120&lt;&gt;W$1,Recharged_Feasible_mat!X89=1),(VLOOKUP(W$1,test!$A$3:$I$32,8,FALSE))-(VLOOKUP($A120,test!$A$3:$I$32,9,FALSE))+test!$B$35,0)</f>
        <v>0</v>
      </c>
      <c r="X120">
        <f>IF(AND(SUM(VLOOKUP($A120,test!$A$3:$F$32,2,FALSE),VLOOKUP(X$1,test!$A$3:$F$32,2,FALSE))&lt;test!$K$16,$A120&lt;&gt;X$1,Recharged_Feasible_mat!Y89=1),(VLOOKUP(X$1,test!$A$3:$I$32,8,FALSE))-(VLOOKUP($A120,test!$A$3:$I$32,9,FALSE))+test!$B$35,0)</f>
        <v>0</v>
      </c>
      <c r="Y120">
        <f>IF(AND(SUM(VLOOKUP($A120,test!$A$3:$F$32,2,FALSE),VLOOKUP(Y$1,test!$A$3:$F$32,2,FALSE))&lt;test!$K$16,$A120&lt;&gt;Y$1,Recharged_Feasible_mat!Z89=1),(VLOOKUP(Y$1,test!$A$3:$I$32,8,FALSE))-(VLOOKUP($A120,test!$A$3:$I$32,9,FALSE))+test!$B$35,0)</f>
        <v>0</v>
      </c>
      <c r="Z120">
        <f>IF(AND(SUM(VLOOKUP($A120,test!$A$3:$F$32,2,FALSE),VLOOKUP(Z$1,test!$A$3:$F$32,2,FALSE))&lt;test!$K$16,$A120&lt;&gt;Z$1,Recharged_Feasible_mat!AA89=1),(VLOOKUP(Z$1,test!$A$3:$I$32,8,FALSE))-(VLOOKUP($A120,test!$A$3:$I$32,9,FALSE))+test!$B$35,0)</f>
        <v>0</v>
      </c>
      <c r="AA120">
        <f>IF(AND(SUM(VLOOKUP($A120,test!$A$3:$F$32,2,FALSE),VLOOKUP(AA$1,test!$A$3:$F$32,2,FALSE))&lt;test!$K$16,$A120&lt;&gt;AA$1,Recharged_Feasible_mat!AB89=1),(VLOOKUP(AA$1,test!$A$3:$I$32,8,FALSE))-(VLOOKUP($A120,test!$A$3:$I$32,9,FALSE))+test!$B$35,0)</f>
        <v>0</v>
      </c>
      <c r="AB120">
        <f>IF(AND(SUM(VLOOKUP($A120,test!$A$3:$F$32,2,FALSE),VLOOKUP(AB$1,test!$A$3:$F$32,2,FALSE))&lt;test!$K$16,$A120&lt;&gt;AB$1,Recharged_Feasible_mat!AC89=1),(VLOOKUP(AB$1,test!$A$3:$I$32,8,FALSE))-(VLOOKUP($A120,test!$A$3:$I$32,9,FALSE))+test!$B$35,0)</f>
        <v>0</v>
      </c>
      <c r="AC120">
        <f>IF(AND(SUM(VLOOKUP($A120,test!$A$3:$F$32,2,FALSE),VLOOKUP(AC$1,test!$A$3:$F$32,2,FALSE))&lt;test!$K$16,$A120&lt;&gt;AC$1,Recharged_Feasible_mat!AD89=1),(VLOOKUP(AC$1,test!$A$3:$I$32,8,FALSE))-(VLOOKUP($A120,test!$A$3:$I$32,9,FALSE))+test!$B$35,0)</f>
        <v>0</v>
      </c>
      <c r="AD120">
        <f>IF(AND(SUM(VLOOKUP($A120,test!$A$3:$F$32,2,FALSE),VLOOKUP(AD$1,test!$A$3:$F$32,2,FALSE))&lt;test!$K$16,$A120&lt;&gt;AD$1,Recharged_Feasible_mat!AE89=1),(VLOOKUP(AD$1,test!$A$3:$I$32,8,FALSE))-(VLOOKUP($A120,test!$A$3:$I$32,9,FALSE))+test!$B$35,0)</f>
        <v>0</v>
      </c>
      <c r="AE120">
        <f>IF(AND(SUM(VLOOKUP($A120,test!$A$3:$F$32,2,FALSE),VLOOKUP(AE$1,test!$A$3:$F$32,2,FALSE))&lt;test!$K$16,$A120&lt;&gt;AE$1,Recharged_Feasible_mat!AF89=1),(VLOOKUP(AE$1,test!$A$3:$I$32,8,FALSE))-(VLOOKUP($A120,test!$A$3:$I$32,9,FALSE))+test!$B$35,0)</f>
        <v>0</v>
      </c>
      <c r="AF120">
        <f>IF(AND(SUM(VLOOKUP($A120,test!$A$3:$F$32,2,FALSE),VLOOKUP(AF$1,test!$A$3:$F$32,2,FALSE))&lt;test!$K$16,$A120&lt;&gt;AF$1,Recharged_Feasible_mat!AG89=1),(VLOOKUP(AF$1,test!$A$3:$I$32,8,FALSE))-(VLOOKUP($A120,test!$A$3:$I$32,9,FALSE))+test!$B$35,0)</f>
        <v>0</v>
      </c>
    </row>
    <row r="121" spans="1:32" x14ac:dyDescent="0.25">
      <c r="A121" t="s">
        <v>37</v>
      </c>
      <c r="B121">
        <v>0</v>
      </c>
      <c r="C121">
        <f>IF(AND(SUM(VLOOKUP($A121,test!$A$3:$F$32,2,FALSE),VLOOKUP(C$1,test!$A$3:$F$32,2,FALSE))&lt;test!$K$16,$A121&lt;&gt;C$1,Recharged_Feasible_mat!D90=1),(VLOOKUP(C$1,test!$A$3:$I$32,8,FALSE))-(VLOOKUP($A121,test!$A$3:$I$32,9,FALSE))+test!$B$35,0)</f>
        <v>0</v>
      </c>
      <c r="D121">
        <f>IF(AND(SUM(VLOOKUP($A121,test!$A$3:$F$32,2,FALSE),VLOOKUP(D$1,test!$A$3:$F$32,2,FALSE))&lt;test!$K$16,$A121&lt;&gt;D$1,Recharged_Feasible_mat!E90=1),(VLOOKUP(D$1,test!$A$3:$I$32,8,FALSE))-(VLOOKUP($A121,test!$A$3:$I$32,9,FALSE))+test!$B$35,0)</f>
        <v>0</v>
      </c>
      <c r="E121">
        <f>IF(AND(SUM(VLOOKUP($A121,test!$A$3:$F$32,2,FALSE),VLOOKUP(E$1,test!$A$3:$F$32,2,FALSE))&lt;test!$K$16,$A121&lt;&gt;E$1,Recharged_Feasible_mat!F90=1),(VLOOKUP(E$1,test!$A$3:$I$32,8,FALSE))-(VLOOKUP($A121,test!$A$3:$I$32,9,FALSE))+test!$B$35,0)</f>
        <v>0</v>
      </c>
      <c r="F121">
        <f>IF(AND(SUM(VLOOKUP($A121,test!$A$3:$F$32,2,FALSE),VLOOKUP(F$1,test!$A$3:$F$32,2,FALSE))&lt;test!$K$16,$A121&lt;&gt;F$1,Recharged_Feasible_mat!G90=1),(VLOOKUP(F$1,test!$A$3:$I$32,8,FALSE))-(VLOOKUP($A121,test!$A$3:$I$32,9,FALSE))+test!$B$35,0)</f>
        <v>0</v>
      </c>
      <c r="G121">
        <f>IF(AND(SUM(VLOOKUP($A121,test!$A$3:$F$32,2,FALSE),VLOOKUP(G$1,test!$A$3:$F$32,2,FALSE))&lt;test!$K$16,$A121&lt;&gt;G$1,Recharged_Feasible_mat!H90=1),(VLOOKUP(G$1,test!$A$3:$I$32,8,FALSE))-(VLOOKUP($A121,test!$A$3:$I$32,9,FALSE))+test!$B$35,0)</f>
        <v>0</v>
      </c>
      <c r="H121">
        <f>IF(AND(SUM(VLOOKUP($A121,test!$A$3:$F$32,2,FALSE),VLOOKUP(H$1,test!$A$3:$F$32,2,FALSE))&lt;test!$K$16,$A121&lt;&gt;H$1,Recharged_Feasible_mat!I90=1),(VLOOKUP(H$1,test!$A$3:$I$32,8,FALSE))-(VLOOKUP($A121,test!$A$3:$I$32,9,FALSE))+test!$B$35,0)</f>
        <v>0</v>
      </c>
      <c r="I121">
        <f>IF(AND(SUM(VLOOKUP($A121,test!$A$3:$F$32,2,FALSE),VLOOKUP(I$1,test!$A$3:$F$32,2,FALSE))&lt;test!$K$16,$A121&lt;&gt;I$1,Recharged_Feasible_mat!J90=1),(VLOOKUP(I$1,test!$A$3:$I$32,8,FALSE))-(VLOOKUP($A121,test!$A$3:$I$32,9,FALSE))+test!$B$35,0)</f>
        <v>0</v>
      </c>
      <c r="J121">
        <f>IF(AND(SUM(VLOOKUP($A121,test!$A$3:$F$32,2,FALSE),VLOOKUP(J$1,test!$A$3:$F$32,2,FALSE))&lt;test!$K$16,$A121&lt;&gt;J$1,Recharged_Feasible_mat!K90=1),(VLOOKUP(J$1,test!$A$3:$I$32,8,FALSE))-(VLOOKUP($A121,test!$A$3:$I$32,9,FALSE))+test!$B$35,0)</f>
        <v>0</v>
      </c>
      <c r="K121">
        <f>IF(AND(SUM(VLOOKUP($A121,test!$A$3:$F$32,2,FALSE),VLOOKUP(K$1,test!$A$3:$F$32,2,FALSE))&lt;test!$K$16,$A121&lt;&gt;K$1,Recharged_Feasible_mat!L90=1),(VLOOKUP(K$1,test!$A$3:$I$32,8,FALSE))-(VLOOKUP($A121,test!$A$3:$I$32,9,FALSE))+test!$B$35,0)</f>
        <v>0</v>
      </c>
      <c r="L121">
        <f>IF(AND(SUM(VLOOKUP($A121,test!$A$3:$F$32,2,FALSE),VLOOKUP(L$1,test!$A$3:$F$32,2,FALSE))&lt;test!$K$16,$A121&lt;&gt;L$1,Recharged_Feasible_mat!M90=1),(VLOOKUP(L$1,test!$A$3:$I$32,8,FALSE))-(VLOOKUP($A121,test!$A$3:$I$32,9,FALSE))+test!$B$35,0)</f>
        <v>0</v>
      </c>
      <c r="M121">
        <f>IF(AND(SUM(VLOOKUP($A121,test!$A$3:$F$32,2,FALSE),VLOOKUP(M$1,test!$A$3:$F$32,2,FALSE))&lt;test!$K$16,$A121&lt;&gt;M$1,Recharged_Feasible_mat!N90=1),(VLOOKUP(M$1,test!$A$3:$I$32,8,FALSE))-(VLOOKUP($A121,test!$A$3:$I$32,9,FALSE))+test!$B$35,0)</f>
        <v>0</v>
      </c>
      <c r="N121">
        <f>IF(AND(SUM(VLOOKUP($A121,test!$A$3:$F$32,2,FALSE),VLOOKUP(N$1,test!$A$3:$F$32,2,FALSE))&lt;test!$K$16,$A121&lt;&gt;N$1,Recharged_Feasible_mat!O90=1),(VLOOKUP(N$1,test!$A$3:$I$32,8,FALSE))-(VLOOKUP($A121,test!$A$3:$I$32,9,FALSE))+test!$B$35,0)</f>
        <v>0</v>
      </c>
      <c r="O121">
        <f>IF(AND(SUM(VLOOKUP($A121,test!$A$3:$F$32,2,FALSE),VLOOKUP(O$1,test!$A$3:$F$32,2,FALSE))&lt;test!$K$16,$A121&lt;&gt;O$1,Recharged_Feasible_mat!P90=1),(VLOOKUP(O$1,test!$A$3:$I$32,8,FALSE))-(VLOOKUP($A121,test!$A$3:$I$32,9,FALSE))+test!$B$35,0)</f>
        <v>0</v>
      </c>
      <c r="P121">
        <f>IF(AND(SUM(VLOOKUP($A121,test!$A$3:$F$32,2,FALSE),VLOOKUP(P$1,test!$A$3:$F$32,2,FALSE))&lt;test!$K$16,$A121&lt;&gt;P$1,Recharged_Feasible_mat!Q90=1),(VLOOKUP(P$1,test!$A$3:$I$32,8,FALSE))-(VLOOKUP($A121,test!$A$3:$I$32,9,FALSE))+test!$B$35,0)</f>
        <v>0</v>
      </c>
      <c r="Q121">
        <f>IF(AND(SUM(VLOOKUP($A121,test!$A$3:$F$32,2,FALSE),VLOOKUP(Q$1,test!$A$3:$F$32,2,FALSE))&lt;test!$K$16,$A121&lt;&gt;Q$1,Recharged_Feasible_mat!R90=1),(VLOOKUP(Q$1,test!$A$3:$I$32,8,FALSE))-(VLOOKUP($A121,test!$A$3:$I$32,9,FALSE))+test!$B$35,0)</f>
        <v>0</v>
      </c>
      <c r="R121">
        <f>IF(AND(SUM(VLOOKUP($A121,test!$A$3:$F$32,2,FALSE),VLOOKUP(R$1,test!$A$3:$F$32,2,FALSE))&lt;test!$K$16,$A121&lt;&gt;R$1,Recharged_Feasible_mat!S90=1),(VLOOKUP(R$1,test!$A$3:$I$32,8,FALSE))-(VLOOKUP($A121,test!$A$3:$I$32,9,FALSE))+test!$B$35,0)</f>
        <v>0</v>
      </c>
      <c r="S121">
        <f>IF(AND(SUM(VLOOKUP($A121,test!$A$3:$F$32,2,FALSE),VLOOKUP(S$1,test!$A$3:$F$32,2,FALSE))&lt;test!$K$16,$A121&lt;&gt;S$1,Recharged_Feasible_mat!T90=1),(VLOOKUP(S$1,test!$A$3:$I$32,8,FALSE))-(VLOOKUP($A121,test!$A$3:$I$32,9,FALSE))+test!$B$35,0)</f>
        <v>0</v>
      </c>
      <c r="T121">
        <f>IF(AND(SUM(VLOOKUP($A121,test!$A$3:$F$32,2,FALSE),VLOOKUP(T$1,test!$A$3:$F$32,2,FALSE))&lt;test!$K$16,$A121&lt;&gt;T$1,Recharged_Feasible_mat!U90=1),(VLOOKUP(T$1,test!$A$3:$I$32,8,FALSE))-(VLOOKUP($A121,test!$A$3:$I$32,9,FALSE))+test!$B$35,0)</f>
        <v>0</v>
      </c>
      <c r="U121">
        <f>IF(AND(SUM(VLOOKUP($A121,test!$A$3:$F$32,2,FALSE),VLOOKUP(U$1,test!$A$3:$F$32,2,FALSE))&lt;test!$K$16,$A121&lt;&gt;U$1,Recharged_Feasible_mat!V90=1),(VLOOKUP(U$1,test!$A$3:$I$32,8,FALSE))-(VLOOKUP($A121,test!$A$3:$I$32,9,FALSE))+test!$B$35,0)</f>
        <v>0</v>
      </c>
      <c r="V121">
        <f>IF(AND(SUM(VLOOKUP($A121,test!$A$3:$F$32,2,FALSE),VLOOKUP(V$1,test!$A$3:$F$32,2,FALSE))&lt;test!$K$16,$A121&lt;&gt;V$1,Recharged_Feasible_mat!W90=1),(VLOOKUP(V$1,test!$A$3:$I$32,8,FALSE))-(VLOOKUP($A121,test!$A$3:$I$32,9,FALSE))+test!$B$35,0)</f>
        <v>0</v>
      </c>
      <c r="W121">
        <f>IF(AND(SUM(VLOOKUP($A121,test!$A$3:$F$32,2,FALSE),VLOOKUP(W$1,test!$A$3:$F$32,2,FALSE))&lt;test!$K$16,$A121&lt;&gt;W$1,Recharged_Feasible_mat!X90=1),(VLOOKUP(W$1,test!$A$3:$I$32,8,FALSE))-(VLOOKUP($A121,test!$A$3:$I$32,9,FALSE))+test!$B$35,0)</f>
        <v>0</v>
      </c>
      <c r="X121">
        <f>IF(AND(SUM(VLOOKUP($A121,test!$A$3:$F$32,2,FALSE),VLOOKUP(X$1,test!$A$3:$F$32,2,FALSE))&lt;test!$K$16,$A121&lt;&gt;X$1,Recharged_Feasible_mat!Y90=1),(VLOOKUP(X$1,test!$A$3:$I$32,8,FALSE))-(VLOOKUP($A121,test!$A$3:$I$32,9,FALSE))+test!$B$35,0)</f>
        <v>0</v>
      </c>
      <c r="Y121">
        <f>IF(AND(SUM(VLOOKUP($A121,test!$A$3:$F$32,2,FALSE),VLOOKUP(Y$1,test!$A$3:$F$32,2,FALSE))&lt;test!$K$16,$A121&lt;&gt;Y$1,Recharged_Feasible_mat!Z90=1),(VLOOKUP(Y$1,test!$A$3:$I$32,8,FALSE))-(VLOOKUP($A121,test!$A$3:$I$32,9,FALSE))+test!$B$35,0)</f>
        <v>0</v>
      </c>
      <c r="Z121">
        <f>IF(AND(SUM(VLOOKUP($A121,test!$A$3:$F$32,2,FALSE),VLOOKUP(Z$1,test!$A$3:$F$32,2,FALSE))&lt;test!$K$16,$A121&lt;&gt;Z$1,Recharged_Feasible_mat!AA90=1),(VLOOKUP(Z$1,test!$A$3:$I$32,8,FALSE))-(VLOOKUP($A121,test!$A$3:$I$32,9,FALSE))+test!$B$35,0)</f>
        <v>0</v>
      </c>
      <c r="AA121">
        <f>IF(AND(SUM(VLOOKUP($A121,test!$A$3:$F$32,2,FALSE),VLOOKUP(AA$1,test!$A$3:$F$32,2,FALSE))&lt;test!$K$16,$A121&lt;&gt;AA$1,Recharged_Feasible_mat!AB90=1),(VLOOKUP(AA$1,test!$A$3:$I$32,8,FALSE))-(VLOOKUP($A121,test!$A$3:$I$32,9,FALSE))+test!$B$35,0)</f>
        <v>0</v>
      </c>
      <c r="AB121">
        <f>IF(AND(SUM(VLOOKUP($A121,test!$A$3:$F$32,2,FALSE),VLOOKUP(AB$1,test!$A$3:$F$32,2,FALSE))&lt;test!$K$16,$A121&lt;&gt;AB$1,Recharged_Feasible_mat!AC90=1),(VLOOKUP(AB$1,test!$A$3:$I$32,8,FALSE))-(VLOOKUP($A121,test!$A$3:$I$32,9,FALSE))+test!$B$35,0)</f>
        <v>0</v>
      </c>
      <c r="AC121">
        <f>IF(AND(SUM(VLOOKUP($A121,test!$A$3:$F$32,2,FALSE),VLOOKUP(AC$1,test!$A$3:$F$32,2,FALSE))&lt;test!$K$16,$A121&lt;&gt;AC$1,Recharged_Feasible_mat!AD90=1),(VLOOKUP(AC$1,test!$A$3:$I$32,8,FALSE))-(VLOOKUP($A121,test!$A$3:$I$32,9,FALSE))+test!$B$35,0)</f>
        <v>0</v>
      </c>
      <c r="AD121">
        <f>IF(AND(SUM(VLOOKUP($A121,test!$A$3:$F$32,2,FALSE),VLOOKUP(AD$1,test!$A$3:$F$32,2,FALSE))&lt;test!$K$16,$A121&lt;&gt;AD$1,Recharged_Feasible_mat!AE90=1),(VLOOKUP(AD$1,test!$A$3:$I$32,8,FALSE))-(VLOOKUP($A121,test!$A$3:$I$32,9,FALSE))+test!$B$35,0)</f>
        <v>0</v>
      </c>
      <c r="AE121">
        <f>IF(AND(SUM(VLOOKUP($A121,test!$A$3:$F$32,2,FALSE),VLOOKUP(AE$1,test!$A$3:$F$32,2,FALSE))&lt;test!$K$16,$A121&lt;&gt;AE$1,Recharged_Feasible_mat!AF90=1),(VLOOKUP(AE$1,test!$A$3:$I$32,8,FALSE))-(VLOOKUP($A121,test!$A$3:$I$32,9,FALSE))+test!$B$35,0)</f>
        <v>0</v>
      </c>
      <c r="AF121">
        <f>IF(AND(SUM(VLOOKUP($A121,test!$A$3:$F$32,2,FALSE),VLOOKUP(AF$1,test!$A$3:$F$32,2,FALSE))&lt;test!$K$16,$A121&lt;&gt;AF$1,Recharged_Feasible_mat!AG90=1),(VLOOKUP(AF$1,test!$A$3:$I$32,8,FALSE))-(VLOOKUP($A121,test!$A$3:$I$32,9,FALSE))+test!$B$35,0)</f>
        <v>0</v>
      </c>
    </row>
    <row r="122" spans="1:32" x14ac:dyDescent="0.25">
      <c r="A122" t="s">
        <v>38</v>
      </c>
      <c r="B122">
        <v>0</v>
      </c>
      <c r="C122">
        <f>IF(AND(SUM(VLOOKUP($A122,test!$A$3:$F$32,2,FALSE),VLOOKUP(C$1,test!$A$3:$F$32,2,FALSE))&lt;test!$K$16,$A122&lt;&gt;C$1,Recharged_Feasible_mat!D91=1),(VLOOKUP(C$1,test!$A$3:$I$32,8,FALSE))-(VLOOKUP($A122,test!$A$3:$I$32,9,FALSE))+test!$B$35,0)</f>
        <v>0</v>
      </c>
      <c r="D122">
        <f>IF(AND(SUM(VLOOKUP($A122,test!$A$3:$F$32,2,FALSE),VLOOKUP(D$1,test!$A$3:$F$32,2,FALSE))&lt;test!$K$16,$A122&lt;&gt;D$1,Recharged_Feasible_mat!E91=1),(VLOOKUP(D$1,test!$A$3:$I$32,8,FALSE))-(VLOOKUP($A122,test!$A$3:$I$32,9,FALSE))+test!$B$35,0)</f>
        <v>0</v>
      </c>
      <c r="E122">
        <f>IF(AND(SUM(VLOOKUP($A122,test!$A$3:$F$32,2,FALSE),VLOOKUP(E$1,test!$A$3:$F$32,2,FALSE))&lt;test!$K$16,$A122&lt;&gt;E$1,Recharged_Feasible_mat!F91=1),(VLOOKUP(E$1,test!$A$3:$I$32,8,FALSE))-(VLOOKUP($A122,test!$A$3:$I$32,9,FALSE))+test!$B$35,0)</f>
        <v>0</v>
      </c>
      <c r="F122">
        <f>IF(AND(SUM(VLOOKUP($A122,test!$A$3:$F$32,2,FALSE),VLOOKUP(F$1,test!$A$3:$F$32,2,FALSE))&lt;test!$K$16,$A122&lt;&gt;F$1,Recharged_Feasible_mat!G91=1),(VLOOKUP(F$1,test!$A$3:$I$32,8,FALSE))-(VLOOKUP($A122,test!$A$3:$I$32,9,FALSE))+test!$B$35,0)</f>
        <v>0</v>
      </c>
      <c r="G122">
        <f>IF(AND(SUM(VLOOKUP($A122,test!$A$3:$F$32,2,FALSE),VLOOKUP(G$1,test!$A$3:$F$32,2,FALSE))&lt;test!$K$16,$A122&lt;&gt;G$1,Recharged_Feasible_mat!H91=1),(VLOOKUP(G$1,test!$A$3:$I$32,8,FALSE))-(VLOOKUP($A122,test!$A$3:$I$32,9,FALSE))+test!$B$35,0)</f>
        <v>0</v>
      </c>
      <c r="H122">
        <f>IF(AND(SUM(VLOOKUP($A122,test!$A$3:$F$32,2,FALSE),VLOOKUP(H$1,test!$A$3:$F$32,2,FALSE))&lt;test!$K$16,$A122&lt;&gt;H$1,Recharged_Feasible_mat!I91=1),(VLOOKUP(H$1,test!$A$3:$I$32,8,FALSE))-(VLOOKUP($A122,test!$A$3:$I$32,9,FALSE))+test!$B$35,0)</f>
        <v>0</v>
      </c>
      <c r="I122">
        <f>IF(AND(SUM(VLOOKUP($A122,test!$A$3:$F$32,2,FALSE),VLOOKUP(I$1,test!$A$3:$F$32,2,FALSE))&lt;test!$K$16,$A122&lt;&gt;I$1,Recharged_Feasible_mat!J91=1),(VLOOKUP(I$1,test!$A$3:$I$32,8,FALSE))-(VLOOKUP($A122,test!$A$3:$I$32,9,FALSE))+test!$B$35,0)</f>
        <v>0</v>
      </c>
      <c r="J122">
        <f>IF(AND(SUM(VLOOKUP($A122,test!$A$3:$F$32,2,FALSE),VLOOKUP(J$1,test!$A$3:$F$32,2,FALSE))&lt;test!$K$16,$A122&lt;&gt;J$1,Recharged_Feasible_mat!K91=1),(VLOOKUP(J$1,test!$A$3:$I$32,8,FALSE))-(VLOOKUP($A122,test!$A$3:$I$32,9,FALSE))+test!$B$35,0)</f>
        <v>0</v>
      </c>
      <c r="K122">
        <f>IF(AND(SUM(VLOOKUP($A122,test!$A$3:$F$32,2,FALSE),VLOOKUP(K$1,test!$A$3:$F$32,2,FALSE))&lt;test!$K$16,$A122&lt;&gt;K$1,Recharged_Feasible_mat!L91=1),(VLOOKUP(K$1,test!$A$3:$I$32,8,FALSE))-(VLOOKUP($A122,test!$A$3:$I$32,9,FALSE))+test!$B$35,0)</f>
        <v>0</v>
      </c>
      <c r="L122">
        <f>IF(AND(SUM(VLOOKUP($A122,test!$A$3:$F$32,2,FALSE),VLOOKUP(L$1,test!$A$3:$F$32,2,FALSE))&lt;test!$K$16,$A122&lt;&gt;L$1,Recharged_Feasible_mat!M91=1),(VLOOKUP(L$1,test!$A$3:$I$32,8,FALSE))-(VLOOKUP($A122,test!$A$3:$I$32,9,FALSE))+test!$B$35,0)</f>
        <v>0</v>
      </c>
      <c r="M122">
        <f>IF(AND(SUM(VLOOKUP($A122,test!$A$3:$F$32,2,FALSE),VLOOKUP(M$1,test!$A$3:$F$32,2,FALSE))&lt;test!$K$16,$A122&lt;&gt;M$1,Recharged_Feasible_mat!N91=1),(VLOOKUP(M$1,test!$A$3:$I$32,8,FALSE))-(VLOOKUP($A122,test!$A$3:$I$32,9,FALSE))+test!$B$35,0)</f>
        <v>0</v>
      </c>
      <c r="N122">
        <f>IF(AND(SUM(VLOOKUP($A122,test!$A$3:$F$32,2,FALSE),VLOOKUP(N$1,test!$A$3:$F$32,2,FALSE))&lt;test!$K$16,$A122&lt;&gt;N$1,Recharged_Feasible_mat!O91=1),(VLOOKUP(N$1,test!$A$3:$I$32,8,FALSE))-(VLOOKUP($A122,test!$A$3:$I$32,9,FALSE))+test!$B$35,0)</f>
        <v>0</v>
      </c>
      <c r="O122">
        <f>IF(AND(SUM(VLOOKUP($A122,test!$A$3:$F$32,2,FALSE),VLOOKUP(O$1,test!$A$3:$F$32,2,FALSE))&lt;test!$K$16,$A122&lt;&gt;O$1,Recharged_Feasible_mat!P91=1),(VLOOKUP(O$1,test!$A$3:$I$32,8,FALSE))-(VLOOKUP($A122,test!$A$3:$I$32,9,FALSE))+test!$B$35,0)</f>
        <v>0</v>
      </c>
      <c r="P122">
        <f>IF(AND(SUM(VLOOKUP($A122,test!$A$3:$F$32,2,FALSE),VLOOKUP(P$1,test!$A$3:$F$32,2,FALSE))&lt;test!$K$16,$A122&lt;&gt;P$1,Recharged_Feasible_mat!Q91=1),(VLOOKUP(P$1,test!$A$3:$I$32,8,FALSE))-(VLOOKUP($A122,test!$A$3:$I$32,9,FALSE))+test!$B$35,0)</f>
        <v>0</v>
      </c>
      <c r="Q122">
        <f>IF(AND(SUM(VLOOKUP($A122,test!$A$3:$F$32,2,FALSE),VLOOKUP(Q$1,test!$A$3:$F$32,2,FALSE))&lt;test!$K$16,$A122&lt;&gt;Q$1,Recharged_Feasible_mat!R91=1),(VLOOKUP(Q$1,test!$A$3:$I$32,8,FALSE))-(VLOOKUP($A122,test!$A$3:$I$32,9,FALSE))+test!$B$35,0)</f>
        <v>0</v>
      </c>
      <c r="R122">
        <f>IF(AND(SUM(VLOOKUP($A122,test!$A$3:$F$32,2,FALSE),VLOOKUP(R$1,test!$A$3:$F$32,2,FALSE))&lt;test!$K$16,$A122&lt;&gt;R$1,Recharged_Feasible_mat!S91=1),(VLOOKUP(R$1,test!$A$3:$I$32,8,FALSE))-(VLOOKUP($A122,test!$A$3:$I$32,9,FALSE))+test!$B$35,0)</f>
        <v>0</v>
      </c>
      <c r="S122">
        <f>IF(AND(SUM(VLOOKUP($A122,test!$A$3:$F$32,2,FALSE),VLOOKUP(S$1,test!$A$3:$F$32,2,FALSE))&lt;test!$K$16,$A122&lt;&gt;S$1,Recharged_Feasible_mat!T91=1),(VLOOKUP(S$1,test!$A$3:$I$32,8,FALSE))-(VLOOKUP($A122,test!$A$3:$I$32,9,FALSE))+test!$B$35,0)</f>
        <v>0</v>
      </c>
      <c r="T122">
        <f>IF(AND(SUM(VLOOKUP($A122,test!$A$3:$F$32,2,FALSE),VLOOKUP(T$1,test!$A$3:$F$32,2,FALSE))&lt;test!$K$16,$A122&lt;&gt;T$1,Recharged_Feasible_mat!U91=1),(VLOOKUP(T$1,test!$A$3:$I$32,8,FALSE))-(VLOOKUP($A122,test!$A$3:$I$32,9,FALSE))+test!$B$35,0)</f>
        <v>0</v>
      </c>
      <c r="U122">
        <f>IF(AND(SUM(VLOOKUP($A122,test!$A$3:$F$32,2,FALSE),VLOOKUP(U$1,test!$A$3:$F$32,2,FALSE))&lt;test!$K$16,$A122&lt;&gt;U$1,Recharged_Feasible_mat!V91=1),(VLOOKUP(U$1,test!$A$3:$I$32,8,FALSE))-(VLOOKUP($A122,test!$A$3:$I$32,9,FALSE))+test!$B$35,0)</f>
        <v>0</v>
      </c>
      <c r="V122">
        <f>IF(AND(SUM(VLOOKUP($A122,test!$A$3:$F$32,2,FALSE),VLOOKUP(V$1,test!$A$3:$F$32,2,FALSE))&lt;test!$K$16,$A122&lt;&gt;V$1,Recharged_Feasible_mat!W91=1),(VLOOKUP(V$1,test!$A$3:$I$32,8,FALSE))-(VLOOKUP($A122,test!$A$3:$I$32,9,FALSE))+test!$B$35,0)</f>
        <v>0</v>
      </c>
      <c r="W122">
        <f>IF(AND(SUM(VLOOKUP($A122,test!$A$3:$F$32,2,FALSE),VLOOKUP(W$1,test!$A$3:$F$32,2,FALSE))&lt;test!$K$16,$A122&lt;&gt;W$1,Recharged_Feasible_mat!X91=1),(VLOOKUP(W$1,test!$A$3:$I$32,8,FALSE))-(VLOOKUP($A122,test!$A$3:$I$32,9,FALSE))+test!$B$35,0)</f>
        <v>0</v>
      </c>
      <c r="X122">
        <f>IF(AND(SUM(VLOOKUP($A122,test!$A$3:$F$32,2,FALSE),VLOOKUP(X$1,test!$A$3:$F$32,2,FALSE))&lt;test!$K$16,$A122&lt;&gt;X$1,Recharged_Feasible_mat!Y91=1),(VLOOKUP(X$1,test!$A$3:$I$32,8,FALSE))-(VLOOKUP($A122,test!$A$3:$I$32,9,FALSE))+test!$B$35,0)</f>
        <v>0</v>
      </c>
      <c r="Y122">
        <f>IF(AND(SUM(VLOOKUP($A122,test!$A$3:$F$32,2,FALSE),VLOOKUP(Y$1,test!$A$3:$F$32,2,FALSE))&lt;test!$K$16,$A122&lt;&gt;Y$1,Recharged_Feasible_mat!Z91=1),(VLOOKUP(Y$1,test!$A$3:$I$32,8,FALSE))-(VLOOKUP($A122,test!$A$3:$I$32,9,FALSE))+test!$B$35,0)</f>
        <v>0</v>
      </c>
      <c r="Z122">
        <f>IF(AND(SUM(VLOOKUP($A122,test!$A$3:$F$32,2,FALSE),VLOOKUP(Z$1,test!$A$3:$F$32,2,FALSE))&lt;test!$K$16,$A122&lt;&gt;Z$1,Recharged_Feasible_mat!AA91=1),(VLOOKUP(Z$1,test!$A$3:$I$32,8,FALSE))-(VLOOKUP($A122,test!$A$3:$I$32,9,FALSE))+test!$B$35,0)</f>
        <v>0</v>
      </c>
      <c r="AA122">
        <f>IF(AND(SUM(VLOOKUP($A122,test!$A$3:$F$32,2,FALSE),VLOOKUP(AA$1,test!$A$3:$F$32,2,FALSE))&lt;test!$K$16,$A122&lt;&gt;AA$1,Recharged_Feasible_mat!AB91=1),(VLOOKUP(AA$1,test!$A$3:$I$32,8,FALSE))-(VLOOKUP($A122,test!$A$3:$I$32,9,FALSE))+test!$B$35,0)</f>
        <v>0</v>
      </c>
      <c r="AB122">
        <f>IF(AND(SUM(VLOOKUP($A122,test!$A$3:$F$32,2,FALSE),VLOOKUP(AB$1,test!$A$3:$F$32,2,FALSE))&lt;test!$K$16,$A122&lt;&gt;AB$1,Recharged_Feasible_mat!AC91=1),(VLOOKUP(AB$1,test!$A$3:$I$32,8,FALSE))-(VLOOKUP($A122,test!$A$3:$I$32,9,FALSE))+test!$B$35,0)</f>
        <v>0</v>
      </c>
      <c r="AC122">
        <f>IF(AND(SUM(VLOOKUP($A122,test!$A$3:$F$32,2,FALSE),VLOOKUP(AC$1,test!$A$3:$F$32,2,FALSE))&lt;test!$K$16,$A122&lt;&gt;AC$1,Recharged_Feasible_mat!AD91=1),(VLOOKUP(AC$1,test!$A$3:$I$32,8,FALSE))-(VLOOKUP($A122,test!$A$3:$I$32,9,FALSE))+test!$B$35,0)</f>
        <v>0</v>
      </c>
      <c r="AD122">
        <f>IF(AND(SUM(VLOOKUP($A122,test!$A$3:$F$32,2,FALSE),VLOOKUP(AD$1,test!$A$3:$F$32,2,FALSE))&lt;test!$K$16,$A122&lt;&gt;AD$1,Recharged_Feasible_mat!AE91=1),(VLOOKUP(AD$1,test!$A$3:$I$32,8,FALSE))-(VLOOKUP($A122,test!$A$3:$I$32,9,FALSE))+test!$B$35,0)</f>
        <v>0</v>
      </c>
      <c r="AE122">
        <f>IF(AND(SUM(VLOOKUP($A122,test!$A$3:$F$32,2,FALSE),VLOOKUP(AE$1,test!$A$3:$F$32,2,FALSE))&lt;test!$K$16,$A122&lt;&gt;AE$1,Recharged_Feasible_mat!AF91=1),(VLOOKUP(AE$1,test!$A$3:$I$32,8,FALSE))-(VLOOKUP($A122,test!$A$3:$I$32,9,FALSE))+test!$B$35,0)</f>
        <v>0</v>
      </c>
      <c r="AF122">
        <f>IF(AND(SUM(VLOOKUP($A122,test!$A$3:$F$32,2,FALSE),VLOOKUP(AF$1,test!$A$3:$F$32,2,FALSE))&lt;test!$K$16,$A122&lt;&gt;AF$1,Recharged_Feasible_mat!AG91=1),(VLOOKUP(AF$1,test!$A$3:$I$32,8,FALSE))-(VLOOKUP($A122,test!$A$3:$I$32,9,FALSE))+test!$B$35,0)</f>
        <v>0</v>
      </c>
    </row>
    <row r="123" spans="1:32" x14ac:dyDescent="0.25">
      <c r="A123" t="s">
        <v>39</v>
      </c>
      <c r="B123">
        <v>0</v>
      </c>
      <c r="C123">
        <f>IF(AND(SUM(VLOOKUP($A123,test!$A$3:$F$32,2,FALSE),VLOOKUP(C$1,test!$A$3:$F$32,2,FALSE))&lt;test!$K$16,$A123&lt;&gt;C$1,Recharged_Feasible_mat!D92=1),(VLOOKUP(C$1,test!$A$3:$I$32,8,FALSE))-(VLOOKUP($A123,test!$A$3:$I$32,9,FALSE))+test!$B$35,0)</f>
        <v>0</v>
      </c>
      <c r="D123">
        <f>IF(AND(SUM(VLOOKUP($A123,test!$A$3:$F$32,2,FALSE),VLOOKUP(D$1,test!$A$3:$F$32,2,FALSE))&lt;test!$K$16,$A123&lt;&gt;D$1,Recharged_Feasible_mat!E92=1),(VLOOKUP(D$1,test!$A$3:$I$32,8,FALSE))-(VLOOKUP($A123,test!$A$3:$I$32,9,FALSE))+test!$B$35,0)</f>
        <v>0</v>
      </c>
      <c r="E123">
        <f>IF(AND(SUM(VLOOKUP($A123,test!$A$3:$F$32,2,FALSE),VLOOKUP(E$1,test!$A$3:$F$32,2,FALSE))&lt;test!$K$16,$A123&lt;&gt;E$1,Recharged_Feasible_mat!F92=1),(VLOOKUP(E$1,test!$A$3:$I$32,8,FALSE))-(VLOOKUP($A123,test!$A$3:$I$32,9,FALSE))+test!$B$35,0)</f>
        <v>0</v>
      </c>
      <c r="F123">
        <f>IF(AND(SUM(VLOOKUP($A123,test!$A$3:$F$32,2,FALSE),VLOOKUP(F$1,test!$A$3:$F$32,2,FALSE))&lt;test!$K$16,$A123&lt;&gt;F$1,Recharged_Feasible_mat!G92=1),(VLOOKUP(F$1,test!$A$3:$I$32,8,FALSE))-(VLOOKUP($A123,test!$A$3:$I$32,9,FALSE))+test!$B$35,0)</f>
        <v>0</v>
      </c>
      <c r="G123">
        <f>IF(AND(SUM(VLOOKUP($A123,test!$A$3:$F$32,2,FALSE),VLOOKUP(G$1,test!$A$3:$F$32,2,FALSE))&lt;test!$K$16,$A123&lt;&gt;G$1,Recharged_Feasible_mat!H92=1),(VLOOKUP(G$1,test!$A$3:$I$32,8,FALSE))-(VLOOKUP($A123,test!$A$3:$I$32,9,FALSE))+test!$B$35,0)</f>
        <v>0</v>
      </c>
      <c r="H123">
        <f>IF(AND(SUM(VLOOKUP($A123,test!$A$3:$F$32,2,FALSE),VLOOKUP(H$1,test!$A$3:$F$32,2,FALSE))&lt;test!$K$16,$A123&lt;&gt;H$1,Recharged_Feasible_mat!I92=1),(VLOOKUP(H$1,test!$A$3:$I$32,8,FALSE))-(VLOOKUP($A123,test!$A$3:$I$32,9,FALSE))+test!$B$35,0)</f>
        <v>0</v>
      </c>
      <c r="I123">
        <f>IF(AND(SUM(VLOOKUP($A123,test!$A$3:$F$32,2,FALSE),VLOOKUP(I$1,test!$A$3:$F$32,2,FALSE))&lt;test!$K$16,$A123&lt;&gt;I$1,Recharged_Feasible_mat!J92=1),(VLOOKUP(I$1,test!$A$3:$I$32,8,FALSE))-(VLOOKUP($A123,test!$A$3:$I$32,9,FALSE))+test!$B$35,0)</f>
        <v>0</v>
      </c>
      <c r="J123">
        <f>IF(AND(SUM(VLOOKUP($A123,test!$A$3:$F$32,2,FALSE),VLOOKUP(J$1,test!$A$3:$F$32,2,FALSE))&lt;test!$K$16,$A123&lt;&gt;J$1,Recharged_Feasible_mat!K92=1),(VLOOKUP(J$1,test!$A$3:$I$32,8,FALSE))-(VLOOKUP($A123,test!$A$3:$I$32,9,FALSE))+test!$B$35,0)</f>
        <v>0</v>
      </c>
      <c r="K123">
        <f>IF(AND(SUM(VLOOKUP($A123,test!$A$3:$F$32,2,FALSE),VLOOKUP(K$1,test!$A$3:$F$32,2,FALSE))&lt;test!$K$16,$A123&lt;&gt;K$1,Recharged_Feasible_mat!L92=1),(VLOOKUP(K$1,test!$A$3:$I$32,8,FALSE))-(VLOOKUP($A123,test!$A$3:$I$32,9,FALSE))+test!$B$35,0)</f>
        <v>0</v>
      </c>
      <c r="L123">
        <f>IF(AND(SUM(VLOOKUP($A123,test!$A$3:$F$32,2,FALSE),VLOOKUP(L$1,test!$A$3:$F$32,2,FALSE))&lt;test!$K$16,$A123&lt;&gt;L$1,Recharged_Feasible_mat!M92=1),(VLOOKUP(L$1,test!$A$3:$I$32,8,FALSE))-(VLOOKUP($A123,test!$A$3:$I$32,9,FALSE))+test!$B$35,0)</f>
        <v>0</v>
      </c>
      <c r="M123">
        <f>IF(AND(SUM(VLOOKUP($A123,test!$A$3:$F$32,2,FALSE),VLOOKUP(M$1,test!$A$3:$F$32,2,FALSE))&lt;test!$K$16,$A123&lt;&gt;M$1,Recharged_Feasible_mat!N92=1),(VLOOKUP(M$1,test!$A$3:$I$32,8,FALSE))-(VLOOKUP($A123,test!$A$3:$I$32,9,FALSE))+test!$B$35,0)</f>
        <v>0</v>
      </c>
      <c r="N123">
        <f>IF(AND(SUM(VLOOKUP($A123,test!$A$3:$F$32,2,FALSE),VLOOKUP(N$1,test!$A$3:$F$32,2,FALSE))&lt;test!$K$16,$A123&lt;&gt;N$1,Recharged_Feasible_mat!O92=1),(VLOOKUP(N$1,test!$A$3:$I$32,8,FALSE))-(VLOOKUP($A123,test!$A$3:$I$32,9,FALSE))+test!$B$35,0)</f>
        <v>0</v>
      </c>
      <c r="O123">
        <f>IF(AND(SUM(VLOOKUP($A123,test!$A$3:$F$32,2,FALSE),VLOOKUP(O$1,test!$A$3:$F$32,2,FALSE))&lt;test!$K$16,$A123&lt;&gt;O$1,Recharged_Feasible_mat!P92=1),(VLOOKUP(O$1,test!$A$3:$I$32,8,FALSE))-(VLOOKUP($A123,test!$A$3:$I$32,9,FALSE))+test!$B$35,0)</f>
        <v>0</v>
      </c>
      <c r="P123">
        <f>IF(AND(SUM(VLOOKUP($A123,test!$A$3:$F$32,2,FALSE),VLOOKUP(P$1,test!$A$3:$F$32,2,FALSE))&lt;test!$K$16,$A123&lt;&gt;P$1,Recharged_Feasible_mat!Q92=1),(VLOOKUP(P$1,test!$A$3:$I$32,8,FALSE))-(VLOOKUP($A123,test!$A$3:$I$32,9,FALSE))+test!$B$35,0)</f>
        <v>0</v>
      </c>
      <c r="Q123">
        <f>IF(AND(SUM(VLOOKUP($A123,test!$A$3:$F$32,2,FALSE),VLOOKUP(Q$1,test!$A$3:$F$32,2,FALSE))&lt;test!$K$16,$A123&lt;&gt;Q$1,Recharged_Feasible_mat!R92=1),(VLOOKUP(Q$1,test!$A$3:$I$32,8,FALSE))-(VLOOKUP($A123,test!$A$3:$I$32,9,FALSE))+test!$B$35,0)</f>
        <v>0</v>
      </c>
      <c r="R123">
        <f>IF(AND(SUM(VLOOKUP($A123,test!$A$3:$F$32,2,FALSE),VLOOKUP(R$1,test!$A$3:$F$32,2,FALSE))&lt;test!$K$16,$A123&lt;&gt;R$1,Recharged_Feasible_mat!S92=1),(VLOOKUP(R$1,test!$A$3:$I$32,8,FALSE))-(VLOOKUP($A123,test!$A$3:$I$32,9,FALSE))+test!$B$35,0)</f>
        <v>0</v>
      </c>
      <c r="S123">
        <f>IF(AND(SUM(VLOOKUP($A123,test!$A$3:$F$32,2,FALSE),VLOOKUP(S$1,test!$A$3:$F$32,2,FALSE))&lt;test!$K$16,$A123&lt;&gt;S$1,Recharged_Feasible_mat!T92=1),(VLOOKUP(S$1,test!$A$3:$I$32,8,FALSE))-(VLOOKUP($A123,test!$A$3:$I$32,9,FALSE))+test!$B$35,0)</f>
        <v>0</v>
      </c>
      <c r="T123">
        <f>IF(AND(SUM(VLOOKUP($A123,test!$A$3:$F$32,2,FALSE),VLOOKUP(T$1,test!$A$3:$F$32,2,FALSE))&lt;test!$K$16,$A123&lt;&gt;T$1,Recharged_Feasible_mat!U92=1),(VLOOKUP(T$1,test!$A$3:$I$32,8,FALSE))-(VLOOKUP($A123,test!$A$3:$I$32,9,FALSE))+test!$B$35,0)</f>
        <v>0</v>
      </c>
      <c r="U123">
        <f>IF(AND(SUM(VLOOKUP($A123,test!$A$3:$F$32,2,FALSE),VLOOKUP(U$1,test!$A$3:$F$32,2,FALSE))&lt;test!$K$16,$A123&lt;&gt;U$1,Recharged_Feasible_mat!V92=1),(VLOOKUP(U$1,test!$A$3:$I$32,8,FALSE))-(VLOOKUP($A123,test!$A$3:$I$32,9,FALSE))+test!$B$35,0)</f>
        <v>0</v>
      </c>
      <c r="V123">
        <f>IF(AND(SUM(VLOOKUP($A123,test!$A$3:$F$32,2,FALSE),VLOOKUP(V$1,test!$A$3:$F$32,2,FALSE))&lt;test!$K$16,$A123&lt;&gt;V$1,Recharged_Feasible_mat!W92=1),(VLOOKUP(V$1,test!$A$3:$I$32,8,FALSE))-(VLOOKUP($A123,test!$A$3:$I$32,9,FALSE))+test!$B$35,0)</f>
        <v>0</v>
      </c>
      <c r="W123">
        <f>IF(AND(SUM(VLOOKUP($A123,test!$A$3:$F$32,2,FALSE),VLOOKUP(W$1,test!$A$3:$F$32,2,FALSE))&lt;test!$K$16,$A123&lt;&gt;W$1,Recharged_Feasible_mat!X92=1),(VLOOKUP(W$1,test!$A$3:$I$32,8,FALSE))-(VLOOKUP($A123,test!$A$3:$I$32,9,FALSE))+test!$B$35,0)</f>
        <v>0</v>
      </c>
      <c r="X123">
        <f>IF(AND(SUM(VLOOKUP($A123,test!$A$3:$F$32,2,FALSE),VLOOKUP(X$1,test!$A$3:$F$32,2,FALSE))&lt;test!$K$16,$A123&lt;&gt;X$1,Recharged_Feasible_mat!Y92=1),(VLOOKUP(X$1,test!$A$3:$I$32,8,FALSE))-(VLOOKUP($A123,test!$A$3:$I$32,9,FALSE))+test!$B$35,0)</f>
        <v>0</v>
      </c>
      <c r="Y123">
        <f>IF(AND(SUM(VLOOKUP($A123,test!$A$3:$F$32,2,FALSE),VLOOKUP(Y$1,test!$A$3:$F$32,2,FALSE))&lt;test!$K$16,$A123&lt;&gt;Y$1,Recharged_Feasible_mat!Z92=1),(VLOOKUP(Y$1,test!$A$3:$I$32,8,FALSE))-(VLOOKUP($A123,test!$A$3:$I$32,9,FALSE))+test!$B$35,0)</f>
        <v>0</v>
      </c>
      <c r="Z123">
        <f>IF(AND(SUM(VLOOKUP($A123,test!$A$3:$F$32,2,FALSE),VLOOKUP(Z$1,test!$A$3:$F$32,2,FALSE))&lt;test!$K$16,$A123&lt;&gt;Z$1,Recharged_Feasible_mat!AA92=1),(VLOOKUP(Z$1,test!$A$3:$I$32,8,FALSE))-(VLOOKUP($A123,test!$A$3:$I$32,9,FALSE))+test!$B$35,0)</f>
        <v>0</v>
      </c>
      <c r="AA123">
        <f>IF(AND(SUM(VLOOKUP($A123,test!$A$3:$F$32,2,FALSE),VLOOKUP(AA$1,test!$A$3:$F$32,2,FALSE))&lt;test!$K$16,$A123&lt;&gt;AA$1,Recharged_Feasible_mat!AB92=1),(VLOOKUP(AA$1,test!$A$3:$I$32,8,FALSE))-(VLOOKUP($A123,test!$A$3:$I$32,9,FALSE))+test!$B$35,0)</f>
        <v>0</v>
      </c>
      <c r="AB123">
        <f>IF(AND(SUM(VLOOKUP($A123,test!$A$3:$F$32,2,FALSE),VLOOKUP(AB$1,test!$A$3:$F$32,2,FALSE))&lt;test!$K$16,$A123&lt;&gt;AB$1,Recharged_Feasible_mat!AC92=1),(VLOOKUP(AB$1,test!$A$3:$I$32,8,FALSE))-(VLOOKUP($A123,test!$A$3:$I$32,9,FALSE))+test!$B$35,0)</f>
        <v>0</v>
      </c>
      <c r="AC123">
        <f>IF(AND(SUM(VLOOKUP($A123,test!$A$3:$F$32,2,FALSE),VLOOKUP(AC$1,test!$A$3:$F$32,2,FALSE))&lt;test!$K$16,$A123&lt;&gt;AC$1,Recharged_Feasible_mat!AD92=1),(VLOOKUP(AC$1,test!$A$3:$I$32,8,FALSE))-(VLOOKUP($A123,test!$A$3:$I$32,9,FALSE))+test!$B$35,0)</f>
        <v>0</v>
      </c>
      <c r="AD123">
        <f>IF(AND(SUM(VLOOKUP($A123,test!$A$3:$F$32,2,FALSE),VLOOKUP(AD$1,test!$A$3:$F$32,2,FALSE))&lt;test!$K$16,$A123&lt;&gt;AD$1,Recharged_Feasible_mat!AE92=1),(VLOOKUP(AD$1,test!$A$3:$I$32,8,FALSE))-(VLOOKUP($A123,test!$A$3:$I$32,9,FALSE))+test!$B$35,0)</f>
        <v>0</v>
      </c>
      <c r="AE123">
        <f>IF(AND(SUM(VLOOKUP($A123,test!$A$3:$F$32,2,FALSE),VLOOKUP(AE$1,test!$A$3:$F$32,2,FALSE))&lt;test!$K$16,$A123&lt;&gt;AE$1,Recharged_Feasible_mat!AF92=1),(VLOOKUP(AE$1,test!$A$3:$I$32,8,FALSE))-(VLOOKUP($A123,test!$A$3:$I$32,9,FALSE))+test!$B$35,0)</f>
        <v>0</v>
      </c>
      <c r="AF123">
        <f>IF(AND(SUM(VLOOKUP($A123,test!$A$3:$F$32,2,FALSE),VLOOKUP(AF$1,test!$A$3:$F$32,2,FALSE))&lt;test!$K$16,$A123&lt;&gt;AF$1,Recharged_Feasible_mat!AG92=1),(VLOOKUP(AF$1,test!$A$3:$I$32,8,FALSE))-(VLOOKUP($A123,test!$A$3:$I$32,9,FALSE))+test!$B$35,0)</f>
        <v>0</v>
      </c>
    </row>
    <row r="124" spans="1:32" x14ac:dyDescent="0.25">
      <c r="A124" t="s">
        <v>40</v>
      </c>
      <c r="B124">
        <v>0</v>
      </c>
      <c r="C124">
        <f>IF(AND(SUM(VLOOKUP($A124,test!$A$3:$F$32,2,FALSE),VLOOKUP(C$1,test!$A$3:$F$32,2,FALSE))&lt;test!$K$16,$A124&lt;&gt;C$1,Recharged_Feasible_mat!D93=1),(VLOOKUP(C$1,test!$A$3:$I$32,8,FALSE))-(VLOOKUP($A124,test!$A$3:$I$32,9,FALSE))+test!$B$35,0)</f>
        <v>0</v>
      </c>
      <c r="D124">
        <f>IF(AND(SUM(VLOOKUP($A124,test!$A$3:$F$32,2,FALSE),VLOOKUP(D$1,test!$A$3:$F$32,2,FALSE))&lt;test!$K$16,$A124&lt;&gt;D$1,Recharged_Feasible_mat!E93=1),(VLOOKUP(D$1,test!$A$3:$I$32,8,FALSE))-(VLOOKUP($A124,test!$A$3:$I$32,9,FALSE))+test!$B$35,0)</f>
        <v>0</v>
      </c>
      <c r="E124">
        <f>IF(AND(SUM(VLOOKUP($A124,test!$A$3:$F$32,2,FALSE),VLOOKUP(E$1,test!$A$3:$F$32,2,FALSE))&lt;test!$K$16,$A124&lt;&gt;E$1,Recharged_Feasible_mat!F93=1),(VLOOKUP(E$1,test!$A$3:$I$32,8,FALSE))-(VLOOKUP($A124,test!$A$3:$I$32,9,FALSE))+test!$B$35,0)</f>
        <v>0</v>
      </c>
      <c r="F124">
        <f>IF(AND(SUM(VLOOKUP($A124,test!$A$3:$F$32,2,FALSE),VLOOKUP(F$1,test!$A$3:$F$32,2,FALSE))&lt;test!$K$16,$A124&lt;&gt;F$1,Recharged_Feasible_mat!G93=1),(VLOOKUP(F$1,test!$A$3:$I$32,8,FALSE))-(VLOOKUP($A124,test!$A$3:$I$32,9,FALSE))+test!$B$35,0)</f>
        <v>0</v>
      </c>
      <c r="G124">
        <f>IF(AND(SUM(VLOOKUP($A124,test!$A$3:$F$32,2,FALSE),VLOOKUP(G$1,test!$A$3:$F$32,2,FALSE))&lt;test!$K$16,$A124&lt;&gt;G$1,Recharged_Feasible_mat!H93=1),(VLOOKUP(G$1,test!$A$3:$I$32,8,FALSE))-(VLOOKUP($A124,test!$A$3:$I$32,9,FALSE))+test!$B$35,0)</f>
        <v>0</v>
      </c>
      <c r="H124">
        <f>IF(AND(SUM(VLOOKUP($A124,test!$A$3:$F$32,2,FALSE),VLOOKUP(H$1,test!$A$3:$F$32,2,FALSE))&lt;test!$K$16,$A124&lt;&gt;H$1,Recharged_Feasible_mat!I93=1),(VLOOKUP(H$1,test!$A$3:$I$32,8,FALSE))-(VLOOKUP($A124,test!$A$3:$I$32,9,FALSE))+test!$B$35,0)</f>
        <v>0</v>
      </c>
      <c r="I124">
        <f>IF(AND(SUM(VLOOKUP($A124,test!$A$3:$F$32,2,FALSE),VLOOKUP(I$1,test!$A$3:$F$32,2,FALSE))&lt;test!$K$16,$A124&lt;&gt;I$1,Recharged_Feasible_mat!J93=1),(VLOOKUP(I$1,test!$A$3:$I$32,8,FALSE))-(VLOOKUP($A124,test!$A$3:$I$32,9,FALSE))+test!$B$35,0)</f>
        <v>0</v>
      </c>
      <c r="J124">
        <f>IF(AND(SUM(VLOOKUP($A124,test!$A$3:$F$32,2,FALSE),VLOOKUP(J$1,test!$A$3:$F$32,2,FALSE))&lt;test!$K$16,$A124&lt;&gt;J$1,Recharged_Feasible_mat!K93=1),(VLOOKUP(J$1,test!$A$3:$I$32,8,FALSE))-(VLOOKUP($A124,test!$A$3:$I$32,9,FALSE))+test!$B$35,0)</f>
        <v>0</v>
      </c>
      <c r="K124">
        <f>IF(AND(SUM(VLOOKUP($A124,test!$A$3:$F$32,2,FALSE),VLOOKUP(K$1,test!$A$3:$F$32,2,FALSE))&lt;test!$K$16,$A124&lt;&gt;K$1,Recharged_Feasible_mat!L93=1),(VLOOKUP(K$1,test!$A$3:$I$32,8,FALSE))-(VLOOKUP($A124,test!$A$3:$I$32,9,FALSE))+test!$B$35,0)</f>
        <v>0</v>
      </c>
      <c r="L124">
        <f>IF(AND(SUM(VLOOKUP($A124,test!$A$3:$F$32,2,FALSE),VLOOKUP(L$1,test!$A$3:$F$32,2,FALSE))&lt;test!$K$16,$A124&lt;&gt;L$1,Recharged_Feasible_mat!M93=1),(VLOOKUP(L$1,test!$A$3:$I$32,8,FALSE))-(VLOOKUP($A124,test!$A$3:$I$32,9,FALSE))+test!$B$35,0)</f>
        <v>0</v>
      </c>
      <c r="M124">
        <f>IF(AND(SUM(VLOOKUP($A124,test!$A$3:$F$32,2,FALSE),VLOOKUP(M$1,test!$A$3:$F$32,2,FALSE))&lt;test!$K$16,$A124&lt;&gt;M$1,Recharged_Feasible_mat!N93=1),(VLOOKUP(M$1,test!$A$3:$I$32,8,FALSE))-(VLOOKUP($A124,test!$A$3:$I$32,9,FALSE))+test!$B$35,0)</f>
        <v>0</v>
      </c>
      <c r="N124">
        <f>IF(AND(SUM(VLOOKUP($A124,test!$A$3:$F$32,2,FALSE),VLOOKUP(N$1,test!$A$3:$F$32,2,FALSE))&lt;test!$K$16,$A124&lt;&gt;N$1,Recharged_Feasible_mat!O93=1),(VLOOKUP(N$1,test!$A$3:$I$32,8,FALSE))-(VLOOKUP($A124,test!$A$3:$I$32,9,FALSE))+test!$B$35,0)</f>
        <v>0</v>
      </c>
      <c r="O124">
        <f>IF(AND(SUM(VLOOKUP($A124,test!$A$3:$F$32,2,FALSE),VLOOKUP(O$1,test!$A$3:$F$32,2,FALSE))&lt;test!$K$16,$A124&lt;&gt;O$1,Recharged_Feasible_mat!P93=1),(VLOOKUP(O$1,test!$A$3:$I$32,8,FALSE))-(VLOOKUP($A124,test!$A$3:$I$32,9,FALSE))+test!$B$35,0)</f>
        <v>0</v>
      </c>
      <c r="P124">
        <f>IF(AND(SUM(VLOOKUP($A124,test!$A$3:$F$32,2,FALSE),VLOOKUP(P$1,test!$A$3:$F$32,2,FALSE))&lt;test!$K$16,$A124&lt;&gt;P$1,Recharged_Feasible_mat!Q93=1),(VLOOKUP(P$1,test!$A$3:$I$32,8,FALSE))-(VLOOKUP($A124,test!$A$3:$I$32,9,FALSE))+test!$B$35,0)</f>
        <v>0</v>
      </c>
      <c r="Q124">
        <f>IF(AND(SUM(VLOOKUP($A124,test!$A$3:$F$32,2,FALSE),VLOOKUP(Q$1,test!$A$3:$F$32,2,FALSE))&lt;test!$K$16,$A124&lt;&gt;Q$1,Recharged_Feasible_mat!R93=1),(VLOOKUP(Q$1,test!$A$3:$I$32,8,FALSE))-(VLOOKUP($A124,test!$A$3:$I$32,9,FALSE))+test!$B$35,0)</f>
        <v>0</v>
      </c>
      <c r="R124">
        <f>IF(AND(SUM(VLOOKUP($A124,test!$A$3:$F$32,2,FALSE),VLOOKUP(R$1,test!$A$3:$F$32,2,FALSE))&lt;test!$K$16,$A124&lt;&gt;R$1,Recharged_Feasible_mat!S93=1),(VLOOKUP(R$1,test!$A$3:$I$32,8,FALSE))-(VLOOKUP($A124,test!$A$3:$I$32,9,FALSE))+test!$B$35,0)</f>
        <v>0</v>
      </c>
      <c r="S124">
        <f>IF(AND(SUM(VLOOKUP($A124,test!$A$3:$F$32,2,FALSE),VLOOKUP(S$1,test!$A$3:$F$32,2,FALSE))&lt;test!$K$16,$A124&lt;&gt;S$1,Recharged_Feasible_mat!T93=1),(VLOOKUP(S$1,test!$A$3:$I$32,8,FALSE))-(VLOOKUP($A124,test!$A$3:$I$32,9,FALSE))+test!$B$35,0)</f>
        <v>0</v>
      </c>
      <c r="T124">
        <f>IF(AND(SUM(VLOOKUP($A124,test!$A$3:$F$32,2,FALSE),VLOOKUP(T$1,test!$A$3:$F$32,2,FALSE))&lt;test!$K$16,$A124&lt;&gt;T$1,Recharged_Feasible_mat!U93=1),(VLOOKUP(T$1,test!$A$3:$I$32,8,FALSE))-(VLOOKUP($A124,test!$A$3:$I$32,9,FALSE))+test!$B$35,0)</f>
        <v>0</v>
      </c>
      <c r="U124">
        <f>IF(AND(SUM(VLOOKUP($A124,test!$A$3:$F$32,2,FALSE),VLOOKUP(U$1,test!$A$3:$F$32,2,FALSE))&lt;test!$K$16,$A124&lt;&gt;U$1,Recharged_Feasible_mat!V93=1),(VLOOKUP(U$1,test!$A$3:$I$32,8,FALSE))-(VLOOKUP($A124,test!$A$3:$I$32,9,FALSE))+test!$B$35,0)</f>
        <v>0</v>
      </c>
      <c r="V124">
        <f>IF(AND(SUM(VLOOKUP($A124,test!$A$3:$F$32,2,FALSE),VLOOKUP(V$1,test!$A$3:$F$32,2,FALSE))&lt;test!$K$16,$A124&lt;&gt;V$1,Recharged_Feasible_mat!W93=1),(VLOOKUP(V$1,test!$A$3:$I$32,8,FALSE))-(VLOOKUP($A124,test!$A$3:$I$32,9,FALSE))+test!$B$35,0)</f>
        <v>0</v>
      </c>
      <c r="W124">
        <f>IF(AND(SUM(VLOOKUP($A124,test!$A$3:$F$32,2,FALSE),VLOOKUP(W$1,test!$A$3:$F$32,2,FALSE))&lt;test!$K$16,$A124&lt;&gt;W$1,Recharged_Feasible_mat!X93=1),(VLOOKUP(W$1,test!$A$3:$I$32,8,FALSE))-(VLOOKUP($A124,test!$A$3:$I$32,9,FALSE))+test!$B$35,0)</f>
        <v>0</v>
      </c>
      <c r="X124">
        <f>IF(AND(SUM(VLOOKUP($A124,test!$A$3:$F$32,2,FALSE),VLOOKUP(X$1,test!$A$3:$F$32,2,FALSE))&lt;test!$K$16,$A124&lt;&gt;X$1,Recharged_Feasible_mat!Y93=1),(VLOOKUP(X$1,test!$A$3:$I$32,8,FALSE))-(VLOOKUP($A124,test!$A$3:$I$32,9,FALSE))+test!$B$35,0)</f>
        <v>0</v>
      </c>
      <c r="Y124">
        <f>IF(AND(SUM(VLOOKUP($A124,test!$A$3:$F$32,2,FALSE),VLOOKUP(Y$1,test!$A$3:$F$32,2,FALSE))&lt;test!$K$16,$A124&lt;&gt;Y$1,Recharged_Feasible_mat!Z93=1),(VLOOKUP(Y$1,test!$A$3:$I$32,8,FALSE))-(VLOOKUP($A124,test!$A$3:$I$32,9,FALSE))+test!$B$35,0)</f>
        <v>0</v>
      </c>
      <c r="Z124">
        <f>IF(AND(SUM(VLOOKUP($A124,test!$A$3:$F$32,2,FALSE),VLOOKUP(Z$1,test!$A$3:$F$32,2,FALSE))&lt;test!$K$16,$A124&lt;&gt;Z$1,Recharged_Feasible_mat!AA93=1),(VLOOKUP(Z$1,test!$A$3:$I$32,8,FALSE))-(VLOOKUP($A124,test!$A$3:$I$32,9,FALSE))+test!$B$35,0)</f>
        <v>0</v>
      </c>
      <c r="AA124">
        <f>IF(AND(SUM(VLOOKUP($A124,test!$A$3:$F$32,2,FALSE),VLOOKUP(AA$1,test!$A$3:$F$32,2,FALSE))&lt;test!$K$16,$A124&lt;&gt;AA$1,Recharged_Feasible_mat!AB93=1),(VLOOKUP(AA$1,test!$A$3:$I$32,8,FALSE))-(VLOOKUP($A124,test!$A$3:$I$32,9,FALSE))+test!$B$35,0)</f>
        <v>0</v>
      </c>
      <c r="AB124">
        <f>IF(AND(SUM(VLOOKUP($A124,test!$A$3:$F$32,2,FALSE),VLOOKUP(AB$1,test!$A$3:$F$32,2,FALSE))&lt;test!$K$16,$A124&lt;&gt;AB$1,Recharged_Feasible_mat!AC93=1),(VLOOKUP(AB$1,test!$A$3:$I$32,8,FALSE))-(VLOOKUP($A124,test!$A$3:$I$32,9,FALSE))+test!$B$35,0)</f>
        <v>0</v>
      </c>
      <c r="AC124">
        <f>IF(AND(SUM(VLOOKUP($A124,test!$A$3:$F$32,2,FALSE),VLOOKUP(AC$1,test!$A$3:$F$32,2,FALSE))&lt;test!$K$16,$A124&lt;&gt;AC$1,Recharged_Feasible_mat!AD93=1),(VLOOKUP(AC$1,test!$A$3:$I$32,8,FALSE))-(VLOOKUP($A124,test!$A$3:$I$32,9,FALSE))+test!$B$35,0)</f>
        <v>0</v>
      </c>
      <c r="AD124">
        <f>IF(AND(SUM(VLOOKUP($A124,test!$A$3:$F$32,2,FALSE),VLOOKUP(AD$1,test!$A$3:$F$32,2,FALSE))&lt;test!$K$16,$A124&lt;&gt;AD$1,Recharged_Feasible_mat!AE93=1),(VLOOKUP(AD$1,test!$A$3:$I$32,8,FALSE))-(VLOOKUP($A124,test!$A$3:$I$32,9,FALSE))+test!$B$35,0)</f>
        <v>0</v>
      </c>
      <c r="AE124">
        <f>IF(AND(SUM(VLOOKUP($A124,test!$A$3:$F$32,2,FALSE),VLOOKUP(AE$1,test!$A$3:$F$32,2,FALSE))&lt;test!$K$16,$A124&lt;&gt;AE$1,Recharged_Feasible_mat!AF93=1),(VLOOKUP(AE$1,test!$A$3:$I$32,8,FALSE))-(VLOOKUP($A124,test!$A$3:$I$32,9,FALSE))+test!$B$35,0)</f>
        <v>0</v>
      </c>
      <c r="AF124">
        <f>IF(AND(SUM(VLOOKUP($A124,test!$A$3:$F$32,2,FALSE),VLOOKUP(AF$1,test!$A$3:$F$32,2,FALSE))&lt;test!$K$16,$A124&lt;&gt;AF$1,Recharged_Feasible_mat!AG93=1),(VLOOKUP(AF$1,test!$A$3:$I$32,8,FALSE))-(VLOOKUP($A124,test!$A$3:$I$32,9,FALSE))+test!$B$35,0)</f>
        <v>0</v>
      </c>
    </row>
    <row r="125" spans="1:32" x14ac:dyDescent="0.25">
      <c r="A125" t="s">
        <v>41</v>
      </c>
      <c r="B125">
        <v>0</v>
      </c>
      <c r="C125">
        <f>IF(AND(SUM(VLOOKUP($A125,test!$A$3:$F$32,2,FALSE),VLOOKUP(C$1,test!$A$3:$F$32,2,FALSE))&lt;test!$K$16,$A125&lt;&gt;C$1,Recharged_Feasible_mat!D94=1),(VLOOKUP(C$1,test!$A$3:$I$32,8,FALSE))-(VLOOKUP($A125,test!$A$3:$I$32,9,FALSE))+test!$B$35,0)</f>
        <v>0</v>
      </c>
      <c r="D125">
        <f>IF(AND(SUM(VLOOKUP($A125,test!$A$3:$F$32,2,FALSE),VLOOKUP(D$1,test!$A$3:$F$32,2,FALSE))&lt;test!$K$16,$A125&lt;&gt;D$1,Recharged_Feasible_mat!E94=1),(VLOOKUP(D$1,test!$A$3:$I$32,8,FALSE))-(VLOOKUP($A125,test!$A$3:$I$32,9,FALSE))+test!$B$35,0)</f>
        <v>0</v>
      </c>
      <c r="E125">
        <f>IF(AND(SUM(VLOOKUP($A125,test!$A$3:$F$32,2,FALSE),VLOOKUP(E$1,test!$A$3:$F$32,2,FALSE))&lt;test!$K$16,$A125&lt;&gt;E$1,Recharged_Feasible_mat!F94=1),(VLOOKUP(E$1,test!$A$3:$I$32,8,FALSE))-(VLOOKUP($A125,test!$A$3:$I$32,9,FALSE))+test!$B$35,0)</f>
        <v>0</v>
      </c>
      <c r="F125">
        <f>IF(AND(SUM(VLOOKUP($A125,test!$A$3:$F$32,2,FALSE),VLOOKUP(F$1,test!$A$3:$F$32,2,FALSE))&lt;test!$K$16,$A125&lt;&gt;F$1,Recharged_Feasible_mat!G94=1),(VLOOKUP(F$1,test!$A$3:$I$32,8,FALSE))-(VLOOKUP($A125,test!$A$3:$I$32,9,FALSE))+test!$B$35,0)</f>
        <v>0</v>
      </c>
      <c r="G125">
        <f>IF(AND(SUM(VLOOKUP($A125,test!$A$3:$F$32,2,FALSE),VLOOKUP(G$1,test!$A$3:$F$32,2,FALSE))&lt;test!$K$16,$A125&lt;&gt;G$1,Recharged_Feasible_mat!H94=1),(VLOOKUP(G$1,test!$A$3:$I$32,8,FALSE))-(VLOOKUP($A125,test!$A$3:$I$32,9,FALSE))+test!$B$35,0)</f>
        <v>0</v>
      </c>
      <c r="H125">
        <f>IF(AND(SUM(VLOOKUP($A125,test!$A$3:$F$32,2,FALSE),VLOOKUP(H$1,test!$A$3:$F$32,2,FALSE))&lt;test!$K$16,$A125&lt;&gt;H$1,Recharged_Feasible_mat!I94=1),(VLOOKUP(H$1,test!$A$3:$I$32,8,FALSE))-(VLOOKUP($A125,test!$A$3:$I$32,9,FALSE))+test!$B$35,0)</f>
        <v>0</v>
      </c>
      <c r="I125">
        <f>IF(AND(SUM(VLOOKUP($A125,test!$A$3:$F$32,2,FALSE),VLOOKUP(I$1,test!$A$3:$F$32,2,FALSE))&lt;test!$K$16,$A125&lt;&gt;I$1,Recharged_Feasible_mat!J94=1),(VLOOKUP(I$1,test!$A$3:$I$32,8,FALSE))-(VLOOKUP($A125,test!$A$3:$I$32,9,FALSE))+test!$B$35,0)</f>
        <v>0</v>
      </c>
      <c r="J125">
        <f>IF(AND(SUM(VLOOKUP($A125,test!$A$3:$F$32,2,FALSE),VLOOKUP(J$1,test!$A$3:$F$32,2,FALSE))&lt;test!$K$16,$A125&lt;&gt;J$1,Recharged_Feasible_mat!K94=1),(VLOOKUP(J$1,test!$A$3:$I$32,8,FALSE))-(VLOOKUP($A125,test!$A$3:$I$32,9,FALSE))+test!$B$35,0)</f>
        <v>0</v>
      </c>
      <c r="K125">
        <f>IF(AND(SUM(VLOOKUP($A125,test!$A$3:$F$32,2,FALSE),VLOOKUP(K$1,test!$A$3:$F$32,2,FALSE))&lt;test!$K$16,$A125&lt;&gt;K$1,Recharged_Feasible_mat!L94=1),(VLOOKUP(K$1,test!$A$3:$I$32,8,FALSE))-(VLOOKUP($A125,test!$A$3:$I$32,9,FALSE))+test!$B$35,0)</f>
        <v>0</v>
      </c>
      <c r="L125">
        <f>IF(AND(SUM(VLOOKUP($A125,test!$A$3:$F$32,2,FALSE),VLOOKUP(L$1,test!$A$3:$F$32,2,FALSE))&lt;test!$K$16,$A125&lt;&gt;L$1,Recharged_Feasible_mat!M94=1),(VLOOKUP(L$1,test!$A$3:$I$32,8,FALSE))-(VLOOKUP($A125,test!$A$3:$I$32,9,FALSE))+test!$B$35,0)</f>
        <v>0</v>
      </c>
      <c r="M125">
        <f>IF(AND(SUM(VLOOKUP($A125,test!$A$3:$F$32,2,FALSE),VLOOKUP(M$1,test!$A$3:$F$32,2,FALSE))&lt;test!$K$16,$A125&lt;&gt;M$1,Recharged_Feasible_mat!N94=1),(VLOOKUP(M$1,test!$A$3:$I$32,8,FALSE))-(VLOOKUP($A125,test!$A$3:$I$32,9,FALSE))+test!$B$35,0)</f>
        <v>0</v>
      </c>
      <c r="N125">
        <f>IF(AND(SUM(VLOOKUP($A125,test!$A$3:$F$32,2,FALSE),VLOOKUP(N$1,test!$A$3:$F$32,2,FALSE))&lt;test!$K$16,$A125&lt;&gt;N$1,Recharged_Feasible_mat!O94=1),(VLOOKUP(N$1,test!$A$3:$I$32,8,FALSE))-(VLOOKUP($A125,test!$A$3:$I$32,9,FALSE))+test!$B$35,0)</f>
        <v>0</v>
      </c>
      <c r="O125">
        <f>IF(AND(SUM(VLOOKUP($A125,test!$A$3:$F$32,2,FALSE),VLOOKUP(O$1,test!$A$3:$F$32,2,FALSE))&lt;test!$K$16,$A125&lt;&gt;O$1,Recharged_Feasible_mat!P94=1),(VLOOKUP(O$1,test!$A$3:$I$32,8,FALSE))-(VLOOKUP($A125,test!$A$3:$I$32,9,FALSE))+test!$B$35,0)</f>
        <v>0</v>
      </c>
      <c r="P125">
        <f>IF(AND(SUM(VLOOKUP($A125,test!$A$3:$F$32,2,FALSE),VLOOKUP(P$1,test!$A$3:$F$32,2,FALSE))&lt;test!$K$16,$A125&lt;&gt;P$1,Recharged_Feasible_mat!Q94=1),(VLOOKUP(P$1,test!$A$3:$I$32,8,FALSE))-(VLOOKUP($A125,test!$A$3:$I$32,9,FALSE))+test!$B$35,0)</f>
        <v>0</v>
      </c>
      <c r="Q125">
        <f>IF(AND(SUM(VLOOKUP($A125,test!$A$3:$F$32,2,FALSE),VLOOKUP(Q$1,test!$A$3:$F$32,2,FALSE))&lt;test!$K$16,$A125&lt;&gt;Q$1,Recharged_Feasible_mat!R94=1),(VLOOKUP(Q$1,test!$A$3:$I$32,8,FALSE))-(VLOOKUP($A125,test!$A$3:$I$32,9,FALSE))+test!$B$35,0)</f>
        <v>0</v>
      </c>
      <c r="R125">
        <f>IF(AND(SUM(VLOOKUP($A125,test!$A$3:$F$32,2,FALSE),VLOOKUP(R$1,test!$A$3:$F$32,2,FALSE))&lt;test!$K$16,$A125&lt;&gt;R$1,Recharged_Feasible_mat!S94=1),(VLOOKUP(R$1,test!$A$3:$I$32,8,FALSE))-(VLOOKUP($A125,test!$A$3:$I$32,9,FALSE))+test!$B$35,0)</f>
        <v>0</v>
      </c>
      <c r="S125">
        <f>IF(AND(SUM(VLOOKUP($A125,test!$A$3:$F$32,2,FALSE),VLOOKUP(S$1,test!$A$3:$F$32,2,FALSE))&lt;test!$K$16,$A125&lt;&gt;S$1,Recharged_Feasible_mat!T94=1),(VLOOKUP(S$1,test!$A$3:$I$32,8,FALSE))-(VLOOKUP($A125,test!$A$3:$I$32,9,FALSE))+test!$B$35,0)</f>
        <v>0</v>
      </c>
      <c r="T125">
        <f>IF(AND(SUM(VLOOKUP($A125,test!$A$3:$F$32,2,FALSE),VLOOKUP(T$1,test!$A$3:$F$32,2,FALSE))&lt;test!$K$16,$A125&lt;&gt;T$1,Recharged_Feasible_mat!U94=1),(VLOOKUP(T$1,test!$A$3:$I$32,8,FALSE))-(VLOOKUP($A125,test!$A$3:$I$32,9,FALSE))+test!$B$35,0)</f>
        <v>0</v>
      </c>
      <c r="U125">
        <f>IF(AND(SUM(VLOOKUP($A125,test!$A$3:$F$32,2,FALSE),VLOOKUP(U$1,test!$A$3:$F$32,2,FALSE))&lt;test!$K$16,$A125&lt;&gt;U$1,Recharged_Feasible_mat!V94=1),(VLOOKUP(U$1,test!$A$3:$I$32,8,FALSE))-(VLOOKUP($A125,test!$A$3:$I$32,9,FALSE))+test!$B$35,0)</f>
        <v>0</v>
      </c>
      <c r="V125">
        <f>IF(AND(SUM(VLOOKUP($A125,test!$A$3:$F$32,2,FALSE),VLOOKUP(V$1,test!$A$3:$F$32,2,FALSE))&lt;test!$K$16,$A125&lt;&gt;V$1,Recharged_Feasible_mat!W94=1),(VLOOKUP(V$1,test!$A$3:$I$32,8,FALSE))-(VLOOKUP($A125,test!$A$3:$I$32,9,FALSE))+test!$B$35,0)</f>
        <v>0</v>
      </c>
      <c r="W125">
        <f>IF(AND(SUM(VLOOKUP($A125,test!$A$3:$F$32,2,FALSE),VLOOKUP(W$1,test!$A$3:$F$32,2,FALSE))&lt;test!$K$16,$A125&lt;&gt;W$1,Recharged_Feasible_mat!X94=1),(VLOOKUP(W$1,test!$A$3:$I$32,8,FALSE))-(VLOOKUP($A125,test!$A$3:$I$32,9,FALSE))+test!$B$35,0)</f>
        <v>0</v>
      </c>
      <c r="X125">
        <f>IF(AND(SUM(VLOOKUP($A125,test!$A$3:$F$32,2,FALSE),VLOOKUP(X$1,test!$A$3:$F$32,2,FALSE))&lt;test!$K$16,$A125&lt;&gt;X$1,Recharged_Feasible_mat!Y94=1),(VLOOKUP(X$1,test!$A$3:$I$32,8,FALSE))-(VLOOKUP($A125,test!$A$3:$I$32,9,FALSE))+test!$B$35,0)</f>
        <v>0</v>
      </c>
      <c r="Y125">
        <f>IF(AND(SUM(VLOOKUP($A125,test!$A$3:$F$32,2,FALSE),VLOOKUP(Y$1,test!$A$3:$F$32,2,FALSE))&lt;test!$K$16,$A125&lt;&gt;Y$1,Recharged_Feasible_mat!Z94=1),(VLOOKUP(Y$1,test!$A$3:$I$32,8,FALSE))-(VLOOKUP($A125,test!$A$3:$I$32,9,FALSE))+test!$B$35,0)</f>
        <v>0</v>
      </c>
      <c r="Z125">
        <f>IF(AND(SUM(VLOOKUP($A125,test!$A$3:$F$32,2,FALSE),VLOOKUP(Z$1,test!$A$3:$F$32,2,FALSE))&lt;test!$K$16,$A125&lt;&gt;Z$1,Recharged_Feasible_mat!AA94=1),(VLOOKUP(Z$1,test!$A$3:$I$32,8,FALSE))-(VLOOKUP($A125,test!$A$3:$I$32,9,FALSE))+test!$B$35,0)</f>
        <v>0</v>
      </c>
      <c r="AA125">
        <f>IF(AND(SUM(VLOOKUP($A125,test!$A$3:$F$32,2,FALSE),VLOOKUP(AA$1,test!$A$3:$F$32,2,FALSE))&lt;test!$K$16,$A125&lt;&gt;AA$1,Recharged_Feasible_mat!AB94=1),(VLOOKUP(AA$1,test!$A$3:$I$32,8,FALSE))-(VLOOKUP($A125,test!$A$3:$I$32,9,FALSE))+test!$B$35,0)</f>
        <v>0</v>
      </c>
      <c r="AB125">
        <f>IF(AND(SUM(VLOOKUP($A125,test!$A$3:$F$32,2,FALSE),VLOOKUP(AB$1,test!$A$3:$F$32,2,FALSE))&lt;test!$K$16,$A125&lt;&gt;AB$1,Recharged_Feasible_mat!AC94=1),(VLOOKUP(AB$1,test!$A$3:$I$32,8,FALSE))-(VLOOKUP($A125,test!$A$3:$I$32,9,FALSE))+test!$B$35,0)</f>
        <v>0</v>
      </c>
      <c r="AC125">
        <f>IF(AND(SUM(VLOOKUP($A125,test!$A$3:$F$32,2,FALSE),VLOOKUP(AC$1,test!$A$3:$F$32,2,FALSE))&lt;test!$K$16,$A125&lt;&gt;AC$1,Recharged_Feasible_mat!AD94=1),(VLOOKUP(AC$1,test!$A$3:$I$32,8,FALSE))-(VLOOKUP($A125,test!$A$3:$I$32,9,FALSE))+test!$B$35,0)</f>
        <v>0</v>
      </c>
      <c r="AD125">
        <f>IF(AND(SUM(VLOOKUP($A125,test!$A$3:$F$32,2,FALSE),VLOOKUP(AD$1,test!$A$3:$F$32,2,FALSE))&lt;test!$K$16,$A125&lt;&gt;AD$1,Recharged_Feasible_mat!AE94=1),(VLOOKUP(AD$1,test!$A$3:$I$32,8,FALSE))-(VLOOKUP($A125,test!$A$3:$I$32,9,FALSE))+test!$B$35,0)</f>
        <v>0</v>
      </c>
      <c r="AE125">
        <f>IF(AND(SUM(VLOOKUP($A125,test!$A$3:$F$32,2,FALSE),VLOOKUP(AE$1,test!$A$3:$F$32,2,FALSE))&lt;test!$K$16,$A125&lt;&gt;AE$1,Recharged_Feasible_mat!AF94=1),(VLOOKUP(AE$1,test!$A$3:$I$32,8,FALSE))-(VLOOKUP($A125,test!$A$3:$I$32,9,FALSE))+test!$B$35,0)</f>
        <v>0</v>
      </c>
      <c r="AF125">
        <f>IF(AND(SUM(VLOOKUP($A125,test!$A$3:$F$32,2,FALSE),VLOOKUP(AF$1,test!$A$3:$F$32,2,FALSE))&lt;test!$K$16,$A125&lt;&gt;AF$1,Recharged_Feasible_mat!AG94=1),(VLOOKUP(AF$1,test!$A$3:$I$32,8,FALSE))-(VLOOKUP($A125,test!$A$3:$I$32,9,FALSE))+test!$B$35,0)</f>
        <v>0</v>
      </c>
    </row>
    <row r="133" spans="5:5" x14ac:dyDescent="0.25">
      <c r="E133" s="16" t="s">
        <v>71</v>
      </c>
    </row>
    <row r="134" spans="5:5" x14ac:dyDescent="0.25">
      <c r="E134" s="16">
        <f>SUM(VLOOKUP($A3,test!$A$3:$F$32,2,FALSE),VLOOKUP(D$1,test!$A$3:$F$32,2,FALSE))</f>
        <v>270</v>
      </c>
    </row>
    <row r="135" spans="5:5" x14ac:dyDescent="0.25">
      <c r="E135" s="16">
        <f>test!$K$16</f>
        <v>350</v>
      </c>
    </row>
    <row r="136" spans="5:5" x14ac:dyDescent="0.25">
      <c r="E136" s="16" t="b">
        <f>$A3&lt;&gt;D$1</f>
        <v>1</v>
      </c>
    </row>
    <row r="137" spans="5:5" x14ac:dyDescent="0.25">
      <c r="E137" s="16" t="b">
        <f>feasible_mat!D3=1</f>
        <v>1</v>
      </c>
    </row>
    <row r="138" spans="5:5" x14ac:dyDescent="0.25">
      <c r="E138" s="16">
        <f>VLOOKUP(D$1,test!$A$3:$I$32,8,FALSE)-(VLOOKUP($A3,test!$A$3:$I$32,9,FALSE))</f>
        <v>45</v>
      </c>
    </row>
    <row r="139" spans="5:5" x14ac:dyDescent="0.25">
      <c r="E139" s="16">
        <f>VLOOKUP(D$1,test!$A$3:$I$32,8,FALSE)</f>
        <v>740</v>
      </c>
    </row>
    <row r="140" spans="5:5" x14ac:dyDescent="0.25">
      <c r="E140" s="16">
        <f>(VLOOKUP($A3,test!$A$3:$I$32,9,FALSE))</f>
        <v>695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8D6F-E08F-4537-BCF5-ACB34846D3D3}">
  <dimension ref="A1:AJ140"/>
  <sheetViews>
    <sheetView topLeftCell="A62" zoomScale="98" zoomScaleNormal="98" workbookViewId="0">
      <pane xSplit="1" topLeftCell="B1" activePane="topRight" state="frozen"/>
      <selection activeCell="A25" sqref="A25"/>
      <selection pane="topRight" activeCell="C96" sqref="C96:AF125"/>
    </sheetView>
  </sheetViews>
  <sheetFormatPr defaultRowHeight="15" x14ac:dyDescent="0.25"/>
  <cols>
    <col min="1" max="4" width="9.140625" style="16"/>
    <col min="5" max="5" width="14.42578125" style="16" bestFit="1" customWidth="1"/>
    <col min="6" max="6" width="12" style="16" bestFit="1" customWidth="1"/>
    <col min="7" max="21" width="9.140625" style="16"/>
    <col min="22" max="22" width="16.7109375" style="16" bestFit="1" customWidth="1"/>
    <col min="23" max="16384" width="9.140625" style="16"/>
  </cols>
  <sheetData>
    <row r="1" spans="1:36" x14ac:dyDescent="0.25">
      <c r="A1"/>
      <c r="B1" t="s">
        <v>46</v>
      </c>
      <c r="C1" t="s">
        <v>6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18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</row>
    <row r="2" spans="1:36" x14ac:dyDescent="0.2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6</v>
      </c>
      <c r="B3">
        <v>0</v>
      </c>
      <c r="C3">
        <f>IF(AND(SUM(VLOOKUP($A3,test!$A$3:$F$32,2,FALSE),VLOOKUP(C$1,test!$A$3:$F$32,2,FALSE))&lt;=test!$K$16,$A3&lt;&gt;C$1,feasible_mat!C3=1),(VLOOKUP(C$1,test!$A$3:$I$32,8,FALSE))-(VLOOKUP($A3,test!$A$3:$I$32,9,FALSE)),0)</f>
        <v>0</v>
      </c>
      <c r="D3">
        <f>IF(AND(SUM(VLOOKUP($A3,test!$A$3:$F$32,2,FALSE),VLOOKUP(D$1,test!$A$3:$F$32,2,FALSE))&lt;=test!$K$16,$A3&lt;&gt;D$1,feasible_mat!D3=1),(VLOOKUP(D$1,test!$A$3:$I$32,8,FALSE))-(VLOOKUP($A3,test!$A$3:$I$32,9,FALSE)),0)</f>
        <v>45</v>
      </c>
      <c r="E3">
        <f>IF(AND(SUM(VLOOKUP($A3,test!$A$3:$F$32,2,FALSE),VLOOKUP(E$1,test!$A$3:$F$32,2,FALSE))&lt;=test!$K$16,$A3&lt;&gt;E$1,feasible_mat!E3=1),(VLOOKUP(E$1,test!$A$3:$I$32,8,FALSE))-(VLOOKUP($A3,test!$A$3:$I$32,9,FALSE)),0)</f>
        <v>135</v>
      </c>
      <c r="F3">
        <f>IF(AND(SUM(VLOOKUP($A3,test!$A$3:$F$32,2,FALSE),VLOOKUP(F$1,test!$A$3:$F$32,2,FALSE))&lt;=test!$K$16,$A3&lt;&gt;F$1,feasible_mat!F3=1),(VLOOKUP(F$1,test!$A$3:$I$32,8,FALSE))-(VLOOKUP($A3,test!$A$3:$I$32,9,FALSE)),0)</f>
        <v>225</v>
      </c>
      <c r="G3">
        <f>IF(AND(SUM(VLOOKUP($A3,test!$A$3:$F$32,2,FALSE),VLOOKUP(G$1,test!$A$3:$F$32,2,FALSE))&lt;=test!$K$16,$A3&lt;&gt;G$1,feasible_mat!G3=1),(VLOOKUP(G$1,test!$A$3:$I$32,8,FALSE))-(VLOOKUP($A3,test!$A$3:$I$32,9,FALSE)),0)</f>
        <v>285</v>
      </c>
      <c r="H3">
        <f>IF(AND(SUM(VLOOKUP($A3,test!$A$3:$F$32,2,FALSE),VLOOKUP(H$1,test!$A$3:$F$32,2,FALSE))&lt;=test!$K$16,$A3&lt;&gt;H$1,feasible_mat!H3=1),(VLOOKUP(H$1,test!$A$3:$I$32,8,FALSE))-(VLOOKUP($A3,test!$A$3:$I$32,9,FALSE)),0)</f>
        <v>345</v>
      </c>
      <c r="I3">
        <f>IF(AND(SUM(VLOOKUP($A3,test!$A$3:$F$32,2,FALSE),VLOOKUP(I$1,test!$A$3:$F$32,2,FALSE))&lt;=test!$K$16,$A3&lt;&gt;I$1,feasible_mat!I3=1),(VLOOKUP(I$1,test!$A$3:$I$32,8,FALSE))-(VLOOKUP($A3,test!$A$3:$I$32,9,FALSE)),0)</f>
        <v>405</v>
      </c>
      <c r="J3">
        <f>IF(AND(SUM(VLOOKUP($A3,test!$A$3:$F$32,2,FALSE),VLOOKUP(J$1,test!$A$3:$F$32,2,FALSE))&lt;=test!$K$16,$A3&lt;&gt;J$1,feasible_mat!J3=1),(VLOOKUP(J$1,test!$A$3:$I$32,8,FALSE))-(VLOOKUP($A3,test!$A$3:$I$32,9,FALSE)),0)</f>
        <v>495</v>
      </c>
      <c r="K3">
        <f>IF(AND(SUM(VLOOKUP($A3,test!$A$3:$F$32,2,FALSE),VLOOKUP(K$1,test!$A$3:$F$32,2,FALSE))&lt;=test!$K$16,$A3&lt;&gt;K$1,feasible_mat!K3=1),(VLOOKUP(K$1,test!$A$3:$I$32,8,FALSE))-(VLOOKUP($A3,test!$A$3:$I$32,9,FALSE)),0)</f>
        <v>0</v>
      </c>
      <c r="L3">
        <f>IF(AND(SUM(VLOOKUP($A3,test!$A$3:$F$32,2,FALSE),VLOOKUP(L$1,test!$A$3:$F$32,2,FALSE))&lt;=test!$K$16,$A3&lt;&gt;L$1,feasible_mat!L3=1),(VLOOKUP(L$1,test!$A$3:$I$32,8,FALSE))-(VLOOKUP($A3,test!$A$3:$I$32,9,FALSE)),0)</f>
        <v>0</v>
      </c>
      <c r="M3">
        <f>IF(AND(SUM(VLOOKUP($A3,test!$A$3:$F$32,2,FALSE),VLOOKUP(M$1,test!$A$3:$F$32,2,FALSE))&lt;=test!$K$16,$A3&lt;&gt;M$1,feasible_mat!M3=1),(VLOOKUP(M$1,test!$A$3:$I$32,8,FALSE))-(VLOOKUP($A3,test!$A$3:$I$32,9,FALSE)),0)</f>
        <v>100</v>
      </c>
      <c r="N3">
        <f>IF(AND(SUM(VLOOKUP($A3,test!$A$3:$F$32,2,FALSE),VLOOKUP(N$1,test!$A$3:$F$32,2,FALSE))&lt;=test!$K$16,$A3&lt;&gt;N$1,feasible_mat!N3=1),(VLOOKUP(N$1,test!$A$3:$I$32,8,FALSE))-(VLOOKUP($A3,test!$A$3:$I$32,9,FALSE)),0)</f>
        <v>460</v>
      </c>
      <c r="O3">
        <f>IF(AND(SUM(VLOOKUP($A3,test!$A$3:$F$32,2,FALSE),VLOOKUP(O$1,test!$A$3:$F$32,2,FALSE))&lt;=test!$K$16,$A3&lt;&gt;O$1,feasible_mat!O3=1),(VLOOKUP(O$1,test!$A$3:$I$32,8,FALSE))-(VLOOKUP($A3,test!$A$3:$I$32,9,FALSE)),0)</f>
        <v>520</v>
      </c>
      <c r="P3">
        <f>IF(AND(SUM(VLOOKUP($A3,test!$A$3:$F$32,2,FALSE),VLOOKUP(P$1,test!$A$3:$F$32,2,FALSE))&lt;=test!$K$16,$A3&lt;&gt;P$1,feasible_mat!P3=1),(VLOOKUP(P$1,test!$A$3:$I$32,8,FALSE))-(VLOOKUP($A3,test!$A$3:$I$32,9,FALSE)),0)</f>
        <v>0</v>
      </c>
      <c r="Q3">
        <f>IF(AND(SUM(VLOOKUP($A3,test!$A$3:$F$32,2,FALSE),VLOOKUP(Q$1,test!$A$3:$F$32,2,FALSE))&lt;=test!$K$16,$A3&lt;&gt;Q$1,feasible_mat!Q3=1),(VLOOKUP(Q$1,test!$A$3:$I$32,8,FALSE))-(VLOOKUP($A3,test!$A$3:$I$32,9,FALSE)),0)</f>
        <v>0</v>
      </c>
      <c r="R3">
        <f>IF(AND(SUM(VLOOKUP($A3,test!$A$3:$F$32,2,FALSE),VLOOKUP(R$1,test!$A$3:$F$32,2,FALSE))&lt;=test!$K$16,$A3&lt;&gt;R$1,feasible_mat!R3=1),(VLOOKUP(R$1,test!$A$3:$I$32,8,FALSE))-(VLOOKUP($A3,test!$A$3:$I$32,9,FALSE)),0)</f>
        <v>0</v>
      </c>
      <c r="S3">
        <f>IF(AND(SUM(VLOOKUP($A3,test!$A$3:$F$32,2,FALSE),VLOOKUP(S$1,test!$A$3:$F$32,2,FALSE))&lt;=test!$K$16,$A3&lt;&gt;S$1,feasible_mat!S3=1),(VLOOKUP(S$1,test!$A$3:$I$32,8,FALSE))-(VLOOKUP($A3,test!$A$3:$I$32,9,FALSE)),0)</f>
        <v>25</v>
      </c>
      <c r="T3">
        <f>IF(AND(SUM(VLOOKUP($A3,test!$A$3:$F$32,2,FALSE),VLOOKUP(T$1,test!$A$3:$F$32,2,FALSE))&lt;=test!$K$16,$A3&lt;&gt;T$1,feasible_mat!T3=1),(VLOOKUP(T$1,test!$A$3:$I$32,8,FALSE))-(VLOOKUP($A3,test!$A$3:$I$32,9,FALSE)),0)</f>
        <v>115</v>
      </c>
      <c r="U3">
        <f>IF(AND(SUM(VLOOKUP($A3,test!$A$3:$F$32,2,FALSE),VLOOKUP(U$1,test!$A$3:$F$32,2,FALSE))&lt;=test!$K$16,$A3&lt;&gt;U$1,feasible_mat!U3=1),(VLOOKUP(U$1,test!$A$3:$I$32,8,FALSE))-(VLOOKUP($A3,test!$A$3:$I$32,9,FALSE)),0)</f>
        <v>205</v>
      </c>
      <c r="V3">
        <f>IF(AND(SUM(VLOOKUP($A3,test!$A$3:$F$32,2,FALSE),VLOOKUP(V$1,test!$A$3:$F$32,2,FALSE))&lt;=test!$K$16,$A3&lt;&gt;V$1,feasible_mat!V3=1),(VLOOKUP(V$1,test!$A$3:$I$32,8,FALSE))-(VLOOKUP($A3,test!$A$3:$I$32,9,FALSE)),0)</f>
        <v>295</v>
      </c>
      <c r="W3">
        <f>IF(AND(SUM(VLOOKUP($A3,test!$A$3:$F$32,2,FALSE),VLOOKUP(W$1,test!$A$3:$F$32,2,FALSE))&lt;=test!$K$16,$A3&lt;&gt;W$1,feasible_mat!W3=1),(VLOOKUP(W$1,test!$A$3:$I$32,8,FALSE))-(VLOOKUP($A3,test!$A$3:$I$32,9,FALSE)),0)</f>
        <v>385</v>
      </c>
      <c r="X3">
        <f>IF(AND(SUM(VLOOKUP($A3,test!$A$3:$F$32,2,FALSE),VLOOKUP(X$1,test!$A$3:$F$32,2,FALSE))&lt;=test!$K$16,$A3&lt;&gt;X$1,feasible_mat!X3=1),(VLOOKUP(X$1,test!$A$3:$I$32,8,FALSE))-(VLOOKUP($A3,test!$A$3:$I$32,9,FALSE)),0)</f>
        <v>445</v>
      </c>
      <c r="Y3">
        <f>IF(AND(SUM(VLOOKUP($A3,test!$A$3:$F$32,2,FALSE),VLOOKUP(Y$1,test!$A$3:$F$32,2,FALSE))&lt;=test!$K$16,$A3&lt;&gt;Y$1,feasible_mat!Y3=1),(VLOOKUP(Y$1,test!$A$3:$I$32,8,FALSE))-(VLOOKUP($A3,test!$A$3:$I$32,9,FALSE)),0)</f>
        <v>0</v>
      </c>
      <c r="Z3">
        <f>IF(AND(SUM(VLOOKUP($A3,test!$A$3:$F$32,2,FALSE),VLOOKUP(Z$1,test!$A$3:$F$32,2,FALSE))&lt;=test!$K$16,$A3&lt;&gt;Z$1,feasible_mat!Z3=1),(VLOOKUP(Z$1,test!$A$3:$I$32,8,FALSE))-(VLOOKUP($A3,test!$A$3:$I$32,9,FALSE)),0)</f>
        <v>45</v>
      </c>
      <c r="AA3">
        <f>IF(AND(SUM(VLOOKUP($A3,test!$A$3:$F$32,2,FALSE),VLOOKUP(AA$1,test!$A$3:$F$32,2,FALSE))&lt;=test!$K$16,$A3&lt;&gt;AA$1,feasible_mat!AA3=1),(VLOOKUP(AA$1,test!$A$3:$I$32,8,FALSE))-(VLOOKUP($A3,test!$A$3:$I$32,9,FALSE)),0)</f>
        <v>165</v>
      </c>
      <c r="AB3">
        <f>IF(AND(SUM(VLOOKUP($A3,test!$A$3:$F$32,2,FALSE),VLOOKUP(AB$1,test!$A$3:$F$32,2,FALSE))&lt;=test!$K$16,$A3&lt;&gt;AB$1,feasible_mat!AB3=1),(VLOOKUP(AB$1,test!$A$3:$I$32,8,FALSE))-(VLOOKUP($A3,test!$A$3:$I$32,9,FALSE)),0)</f>
        <v>225</v>
      </c>
      <c r="AC3">
        <f>IF(AND(SUM(VLOOKUP($A3,test!$A$3:$F$32,2,FALSE),VLOOKUP(AC$1,test!$A$3:$F$32,2,FALSE))&lt;=test!$K$16,$A3&lt;&gt;AC$1,feasible_mat!AC3=1),(VLOOKUP(AC$1,test!$A$3:$I$32,8,FALSE))-(VLOOKUP($A3,test!$A$3:$I$32,9,FALSE)),0)</f>
        <v>345</v>
      </c>
      <c r="AD3">
        <f>IF(AND(SUM(VLOOKUP($A3,test!$A$3:$F$32,2,FALSE),VLOOKUP(AD$1,test!$A$3:$F$32,2,FALSE))&lt;=test!$K$16,$A3&lt;&gt;AD$1,feasible_mat!AD3=1),(VLOOKUP(AD$1,test!$A$3:$I$32,8,FALSE))-(VLOOKUP($A3,test!$A$3:$I$32,9,FALSE)),0)</f>
        <v>0</v>
      </c>
      <c r="AE3">
        <f>IF(AND(SUM(VLOOKUP($A3,test!$A$3:$F$32,2,FALSE),VLOOKUP(AE$1,test!$A$3:$F$32,2,FALSE))&lt;=test!$K$16,$A3&lt;&gt;AE$1,feasible_mat!AE3=1),(VLOOKUP(AE$1,test!$A$3:$I$32,8,FALSE))-(VLOOKUP($A3,test!$A$3:$I$32,9,FALSE)),0)</f>
        <v>165</v>
      </c>
      <c r="AF3">
        <f>IF(AND(SUM(VLOOKUP($A3,test!$A$3:$F$32,2,FALSE),VLOOKUP(AF$1,test!$A$3:$F$32,2,FALSE))&lt;=test!$K$16,$A3&lt;&gt;AF$1,feasible_mat!AF3=1),(VLOOKUP(AF$1,test!$A$3:$I$32,8,FALSE))-(VLOOKUP($A3,test!$A$3:$I$32,9,FALSE)),0)</f>
        <v>0</v>
      </c>
    </row>
    <row r="4" spans="1:36" x14ac:dyDescent="0.25">
      <c r="A4" t="s">
        <v>9</v>
      </c>
      <c r="B4">
        <v>0</v>
      </c>
      <c r="C4">
        <f>IF(AND(SUM(VLOOKUP($A4,test!$A$3:$F$32,2,FALSE),VLOOKUP(C$1,test!$A$3:$F$32,2,FALSE))&lt;=test!$K$16,$A4&lt;&gt;C$1,feasible_mat!C4=1),(VLOOKUP(C$1,test!$A$3:$I$32,8,FALSE))-(VLOOKUP($A4,test!$A$3:$I$32,9,FALSE)),0)</f>
        <v>0</v>
      </c>
      <c r="D4">
        <f>IF(AND(SUM(VLOOKUP($A4,test!$A$3:$F$32,2,FALSE),VLOOKUP(D$1,test!$A$3:$F$32,2,FALSE))&lt;=test!$K$16,$A4&lt;&gt;D$1,feasible_mat!D4=1),(VLOOKUP(D$1,test!$A$3:$I$32,8,FALSE))-(VLOOKUP($A4,test!$A$3:$I$32,9,FALSE)),0)</f>
        <v>0</v>
      </c>
      <c r="E4">
        <f>IF(AND(SUM(VLOOKUP($A4,test!$A$3:$F$32,2,FALSE),VLOOKUP(E$1,test!$A$3:$F$32,2,FALSE))&lt;=test!$K$16,$A4&lt;&gt;E$1,feasible_mat!E4=1),(VLOOKUP(E$1,test!$A$3:$I$32,8,FALSE))-(VLOOKUP($A4,test!$A$3:$I$32,9,FALSE)),0)</f>
        <v>0</v>
      </c>
      <c r="F4">
        <f>IF(AND(SUM(VLOOKUP($A4,test!$A$3:$F$32,2,FALSE),VLOOKUP(F$1,test!$A$3:$F$32,2,FALSE))&lt;=test!$K$16,$A4&lt;&gt;F$1,feasible_mat!F4=1),(VLOOKUP(F$1,test!$A$3:$I$32,8,FALSE))-(VLOOKUP($A4,test!$A$3:$I$32,9,FALSE)),0)</f>
        <v>45</v>
      </c>
      <c r="G4">
        <f>IF(AND(SUM(VLOOKUP($A4,test!$A$3:$F$32,2,FALSE),VLOOKUP(G$1,test!$A$3:$F$32,2,FALSE))&lt;=test!$K$16,$A4&lt;&gt;G$1,feasible_mat!G4=1),(VLOOKUP(G$1,test!$A$3:$I$32,8,FALSE))-(VLOOKUP($A4,test!$A$3:$I$32,9,FALSE)),0)</f>
        <v>105</v>
      </c>
      <c r="H4">
        <f>IF(AND(SUM(VLOOKUP($A4,test!$A$3:$F$32,2,FALSE),VLOOKUP(H$1,test!$A$3:$F$32,2,FALSE))&lt;=test!$K$16,$A4&lt;&gt;H$1,feasible_mat!H4=1),(VLOOKUP(H$1,test!$A$3:$I$32,8,FALSE))-(VLOOKUP($A4,test!$A$3:$I$32,9,FALSE)),0)</f>
        <v>165</v>
      </c>
      <c r="I4">
        <f>IF(AND(SUM(VLOOKUP($A4,test!$A$3:$F$32,2,FALSE),VLOOKUP(I$1,test!$A$3:$F$32,2,FALSE))&lt;=test!$K$16,$A4&lt;&gt;I$1,feasible_mat!I4=1),(VLOOKUP(I$1,test!$A$3:$I$32,8,FALSE))-(VLOOKUP($A4,test!$A$3:$I$32,9,FALSE)),0)</f>
        <v>225</v>
      </c>
      <c r="J4">
        <f>IF(AND(SUM(VLOOKUP($A4,test!$A$3:$F$32,2,FALSE),VLOOKUP(J$1,test!$A$3:$F$32,2,FALSE))&lt;=test!$K$16,$A4&lt;&gt;J$1,feasible_mat!J4=1),(VLOOKUP(J$1,test!$A$3:$I$32,8,FALSE))-(VLOOKUP($A4,test!$A$3:$I$32,9,FALSE)),0)</f>
        <v>315</v>
      </c>
      <c r="K4">
        <f>IF(AND(SUM(VLOOKUP($A4,test!$A$3:$F$32,2,FALSE),VLOOKUP(K$1,test!$A$3:$F$32,2,FALSE))&lt;=test!$K$16,$A4&lt;&gt;K$1,feasible_mat!K4=1),(VLOOKUP(K$1,test!$A$3:$I$32,8,FALSE))-(VLOOKUP($A4,test!$A$3:$I$32,9,FALSE)),0)</f>
        <v>0</v>
      </c>
      <c r="L4">
        <f>IF(AND(SUM(VLOOKUP($A4,test!$A$3:$F$32,2,FALSE),VLOOKUP(L$1,test!$A$3:$F$32,2,FALSE))&lt;=test!$K$16,$A4&lt;&gt;L$1,feasible_mat!L4=1),(VLOOKUP(L$1,test!$A$3:$I$32,8,FALSE))-(VLOOKUP($A4,test!$A$3:$I$32,9,FALSE)),0)</f>
        <v>0</v>
      </c>
      <c r="M4">
        <f>IF(AND(SUM(VLOOKUP($A4,test!$A$3:$F$32,2,FALSE),VLOOKUP(M$1,test!$A$3:$F$32,2,FALSE))&lt;=test!$K$16,$A4&lt;&gt;M$1,feasible_mat!M4=1),(VLOOKUP(M$1,test!$A$3:$I$32,8,FALSE))-(VLOOKUP($A4,test!$A$3:$I$32,9,FALSE)),0)</f>
        <v>0</v>
      </c>
      <c r="N4">
        <f>IF(AND(SUM(VLOOKUP($A4,test!$A$3:$F$32,2,FALSE),VLOOKUP(N$1,test!$A$3:$F$32,2,FALSE))&lt;=test!$K$16,$A4&lt;&gt;N$1,feasible_mat!N4=1),(VLOOKUP(N$1,test!$A$3:$I$32,8,FALSE))-(VLOOKUP($A4,test!$A$3:$I$32,9,FALSE)),0)</f>
        <v>280</v>
      </c>
      <c r="O4">
        <f>IF(AND(SUM(VLOOKUP($A4,test!$A$3:$F$32,2,FALSE),VLOOKUP(O$1,test!$A$3:$F$32,2,FALSE))&lt;=test!$K$16,$A4&lt;&gt;O$1,feasible_mat!O4=1),(VLOOKUP(O$1,test!$A$3:$I$32,8,FALSE))-(VLOOKUP($A4,test!$A$3:$I$32,9,FALSE)),0)</f>
        <v>340</v>
      </c>
      <c r="P4">
        <f>IF(AND(SUM(VLOOKUP($A4,test!$A$3:$F$32,2,FALSE),VLOOKUP(P$1,test!$A$3:$F$32,2,FALSE))&lt;=test!$K$16,$A4&lt;&gt;P$1,feasible_mat!P4=1),(VLOOKUP(P$1,test!$A$3:$I$32,8,FALSE))-(VLOOKUP($A4,test!$A$3:$I$32,9,FALSE)),0)</f>
        <v>0</v>
      </c>
      <c r="Q4">
        <f>IF(AND(SUM(VLOOKUP($A4,test!$A$3:$F$32,2,FALSE),VLOOKUP(Q$1,test!$A$3:$F$32,2,FALSE))&lt;=test!$K$16,$A4&lt;&gt;Q$1,feasible_mat!Q4=1),(VLOOKUP(Q$1,test!$A$3:$I$32,8,FALSE))-(VLOOKUP($A4,test!$A$3:$I$32,9,FALSE)),0)</f>
        <v>0</v>
      </c>
      <c r="R4">
        <f>IF(AND(SUM(VLOOKUP($A4,test!$A$3:$F$32,2,FALSE),VLOOKUP(R$1,test!$A$3:$F$32,2,FALSE))&lt;=test!$K$16,$A4&lt;&gt;R$1,feasible_mat!R4=1),(VLOOKUP(R$1,test!$A$3:$I$32,8,FALSE))-(VLOOKUP($A4,test!$A$3:$I$32,9,FALSE)),0)</f>
        <v>0</v>
      </c>
      <c r="S4">
        <f>IF(AND(SUM(VLOOKUP($A4,test!$A$3:$F$32,2,FALSE),VLOOKUP(S$1,test!$A$3:$F$32,2,FALSE))&lt;=test!$K$16,$A4&lt;&gt;S$1,feasible_mat!S4=1),(VLOOKUP(S$1,test!$A$3:$I$32,8,FALSE))-(VLOOKUP($A4,test!$A$3:$I$32,9,FALSE)),0)</f>
        <v>0</v>
      </c>
      <c r="T4">
        <f>IF(AND(SUM(VLOOKUP($A4,test!$A$3:$F$32,2,FALSE),VLOOKUP(T$1,test!$A$3:$F$32,2,FALSE))&lt;=test!$K$16,$A4&lt;&gt;T$1,feasible_mat!T4=1),(VLOOKUP(T$1,test!$A$3:$I$32,8,FALSE))-(VLOOKUP($A4,test!$A$3:$I$32,9,FALSE)),0)</f>
        <v>0</v>
      </c>
      <c r="U4">
        <f>IF(AND(SUM(VLOOKUP($A4,test!$A$3:$F$32,2,FALSE),VLOOKUP(U$1,test!$A$3:$F$32,2,FALSE))&lt;=test!$K$16,$A4&lt;&gt;U$1,feasible_mat!U4=1),(VLOOKUP(U$1,test!$A$3:$I$32,8,FALSE))-(VLOOKUP($A4,test!$A$3:$I$32,9,FALSE)),0)</f>
        <v>25</v>
      </c>
      <c r="V4">
        <f>IF(AND(SUM(VLOOKUP($A4,test!$A$3:$F$32,2,FALSE),VLOOKUP(V$1,test!$A$3:$F$32,2,FALSE))&lt;=test!$K$16,$A4&lt;&gt;V$1,feasible_mat!V4=1),(VLOOKUP(V$1,test!$A$3:$I$32,8,FALSE))-(VLOOKUP($A4,test!$A$3:$I$32,9,FALSE)),0)</f>
        <v>115</v>
      </c>
      <c r="W4">
        <f>IF(AND(SUM(VLOOKUP($A4,test!$A$3:$F$32,2,FALSE),VLOOKUP(W$1,test!$A$3:$F$32,2,FALSE))&lt;=test!$K$16,$A4&lt;&gt;W$1,feasible_mat!W4=1),(VLOOKUP(W$1,test!$A$3:$I$32,8,FALSE))-(VLOOKUP($A4,test!$A$3:$I$32,9,FALSE)),0)</f>
        <v>205</v>
      </c>
      <c r="X4">
        <f>IF(AND(SUM(VLOOKUP($A4,test!$A$3:$F$32,2,FALSE),VLOOKUP(X$1,test!$A$3:$F$32,2,FALSE))&lt;=test!$K$16,$A4&lt;&gt;X$1,feasible_mat!X4=1),(VLOOKUP(X$1,test!$A$3:$I$32,8,FALSE))-(VLOOKUP($A4,test!$A$3:$I$32,9,FALSE)),0)</f>
        <v>265</v>
      </c>
      <c r="Y4">
        <f>IF(AND(SUM(VLOOKUP($A4,test!$A$3:$F$32,2,FALSE),VLOOKUP(Y$1,test!$A$3:$F$32,2,FALSE))&lt;=test!$K$16,$A4&lt;&gt;Y$1,feasible_mat!Y4=1),(VLOOKUP(Y$1,test!$A$3:$I$32,8,FALSE))-(VLOOKUP($A4,test!$A$3:$I$32,9,FALSE)),0)</f>
        <v>0</v>
      </c>
      <c r="Z4">
        <f>IF(AND(SUM(VLOOKUP($A4,test!$A$3:$F$32,2,FALSE),VLOOKUP(Z$1,test!$A$3:$F$32,2,FALSE))&lt;=test!$K$16,$A4&lt;&gt;Z$1,feasible_mat!Z4=1),(VLOOKUP(Z$1,test!$A$3:$I$32,8,FALSE))-(VLOOKUP($A4,test!$A$3:$I$32,9,FALSE)),0)</f>
        <v>0</v>
      </c>
      <c r="AA4">
        <f>IF(AND(SUM(VLOOKUP($A4,test!$A$3:$F$32,2,FALSE),VLOOKUP(AA$1,test!$A$3:$F$32,2,FALSE))&lt;=test!$K$16,$A4&lt;&gt;AA$1,feasible_mat!AA4=1),(VLOOKUP(AA$1,test!$A$3:$I$32,8,FALSE))-(VLOOKUP($A4,test!$A$3:$I$32,9,FALSE)),0)</f>
        <v>0</v>
      </c>
      <c r="AB4">
        <f>IF(AND(SUM(VLOOKUP($A4,test!$A$3:$F$32,2,FALSE),VLOOKUP(AB$1,test!$A$3:$F$32,2,FALSE))&lt;=test!$K$16,$A4&lt;&gt;AB$1,feasible_mat!AB4=1),(VLOOKUP(AB$1,test!$A$3:$I$32,8,FALSE))-(VLOOKUP($A4,test!$A$3:$I$32,9,FALSE)),0)</f>
        <v>45</v>
      </c>
      <c r="AC4">
        <f>IF(AND(SUM(VLOOKUP($A4,test!$A$3:$F$32,2,FALSE),VLOOKUP(AC$1,test!$A$3:$F$32,2,FALSE))&lt;=test!$K$16,$A4&lt;&gt;AC$1,feasible_mat!AC4=1),(VLOOKUP(AC$1,test!$A$3:$I$32,8,FALSE))-(VLOOKUP($A4,test!$A$3:$I$32,9,FALSE)),0)</f>
        <v>165</v>
      </c>
      <c r="AD4">
        <f>IF(AND(SUM(VLOOKUP($A4,test!$A$3:$F$32,2,FALSE),VLOOKUP(AD$1,test!$A$3:$F$32,2,FALSE))&lt;=test!$K$16,$A4&lt;&gt;AD$1,feasible_mat!AD4=1),(VLOOKUP(AD$1,test!$A$3:$I$32,8,FALSE))-(VLOOKUP($A4,test!$A$3:$I$32,9,FALSE)),0)</f>
        <v>0</v>
      </c>
      <c r="AE4">
        <f>IF(AND(SUM(VLOOKUP($A4,test!$A$3:$F$32,2,FALSE),VLOOKUP(AE$1,test!$A$3:$F$32,2,FALSE))&lt;=test!$K$16,$A4&lt;&gt;AE$1,feasible_mat!AE4=1),(VLOOKUP(AE$1,test!$A$3:$I$32,8,FALSE))-(VLOOKUP($A4,test!$A$3:$I$32,9,FALSE)),0)</f>
        <v>0</v>
      </c>
      <c r="AF4">
        <f>IF(AND(SUM(VLOOKUP($A4,test!$A$3:$F$32,2,FALSE),VLOOKUP(AF$1,test!$A$3:$F$32,2,FALSE))&lt;=test!$K$16,$A4&lt;&gt;AF$1,feasible_mat!AF4=1),(VLOOKUP(AF$1,test!$A$3:$I$32,8,FALSE))-(VLOOKUP($A4,test!$A$3:$I$32,9,FALSE)),0)</f>
        <v>0</v>
      </c>
      <c r="AJ4" s="16" t="s">
        <v>84</v>
      </c>
    </row>
    <row r="5" spans="1:36" x14ac:dyDescent="0.25">
      <c r="A5" t="s">
        <v>10</v>
      </c>
      <c r="B5">
        <v>0</v>
      </c>
      <c r="C5">
        <f>IF(AND(SUM(VLOOKUP($A5,test!$A$3:$F$32,2,FALSE),VLOOKUP(C$1,test!$A$3:$F$32,2,FALSE))&lt;=test!$K$16,$A5&lt;&gt;C$1,feasible_mat!C5=1),(VLOOKUP(C$1,test!$A$3:$I$32,8,FALSE))-(VLOOKUP($A5,test!$A$3:$I$32,9,FALSE)),0)</f>
        <v>0</v>
      </c>
      <c r="D5">
        <f>IF(AND(SUM(VLOOKUP($A5,test!$A$3:$F$32,2,FALSE),VLOOKUP(D$1,test!$A$3:$F$32,2,FALSE))&lt;=test!$K$16,$A5&lt;&gt;D$1,feasible_mat!D5=1),(VLOOKUP(D$1,test!$A$3:$I$32,8,FALSE))-(VLOOKUP($A5,test!$A$3:$I$32,9,FALSE)),0)</f>
        <v>0</v>
      </c>
      <c r="E5">
        <f>IF(AND(SUM(VLOOKUP($A5,test!$A$3:$F$32,2,FALSE),VLOOKUP(E$1,test!$A$3:$F$32,2,FALSE))&lt;=test!$K$16,$A5&lt;&gt;E$1,feasible_mat!E5=1),(VLOOKUP(E$1,test!$A$3:$I$32,8,FALSE))-(VLOOKUP($A5,test!$A$3:$I$32,9,FALSE)),0)</f>
        <v>0</v>
      </c>
      <c r="F5">
        <f>IF(AND(SUM(VLOOKUP($A5,test!$A$3:$F$32,2,FALSE),VLOOKUP(F$1,test!$A$3:$F$32,2,FALSE))&lt;=test!$K$16,$A5&lt;&gt;F$1,feasible_mat!F5=1),(VLOOKUP(F$1,test!$A$3:$I$32,8,FALSE))-(VLOOKUP($A5,test!$A$3:$I$32,9,FALSE)),0)</f>
        <v>0</v>
      </c>
      <c r="G5">
        <f>IF(AND(SUM(VLOOKUP($A5,test!$A$3:$F$32,2,FALSE),VLOOKUP(G$1,test!$A$3:$F$32,2,FALSE))&lt;=test!$K$16,$A5&lt;&gt;G$1,feasible_mat!G5=1),(VLOOKUP(G$1,test!$A$3:$I$32,8,FALSE))-(VLOOKUP($A5,test!$A$3:$I$32,9,FALSE)),0)</f>
        <v>15</v>
      </c>
      <c r="H5">
        <f>IF(AND(SUM(VLOOKUP($A5,test!$A$3:$F$32,2,FALSE),VLOOKUP(H$1,test!$A$3:$F$32,2,FALSE))&lt;=test!$K$16,$A5&lt;&gt;H$1,feasible_mat!H5=1),(VLOOKUP(H$1,test!$A$3:$I$32,8,FALSE))-(VLOOKUP($A5,test!$A$3:$I$32,9,FALSE)),0)</f>
        <v>75</v>
      </c>
      <c r="I5">
        <f>IF(AND(SUM(VLOOKUP($A5,test!$A$3:$F$32,2,FALSE),VLOOKUP(I$1,test!$A$3:$F$32,2,FALSE))&lt;=test!$K$16,$A5&lt;&gt;I$1,feasible_mat!I5=1),(VLOOKUP(I$1,test!$A$3:$I$32,8,FALSE))-(VLOOKUP($A5,test!$A$3:$I$32,9,FALSE)),0)</f>
        <v>135</v>
      </c>
      <c r="J5">
        <f>IF(AND(SUM(VLOOKUP($A5,test!$A$3:$F$32,2,FALSE),VLOOKUP(J$1,test!$A$3:$F$32,2,FALSE))&lt;=test!$K$16,$A5&lt;&gt;J$1,feasible_mat!J5=1),(VLOOKUP(J$1,test!$A$3:$I$32,8,FALSE))-(VLOOKUP($A5,test!$A$3:$I$32,9,FALSE)),0)</f>
        <v>225</v>
      </c>
      <c r="K5">
        <f>IF(AND(SUM(VLOOKUP($A5,test!$A$3:$F$32,2,FALSE),VLOOKUP(K$1,test!$A$3:$F$32,2,FALSE))&lt;=test!$K$16,$A5&lt;&gt;K$1,feasible_mat!K5=1),(VLOOKUP(K$1,test!$A$3:$I$32,8,FALSE))-(VLOOKUP($A5,test!$A$3:$I$32,9,FALSE)),0)</f>
        <v>0</v>
      </c>
      <c r="L5">
        <f>IF(AND(SUM(VLOOKUP($A5,test!$A$3:$F$32,2,FALSE),VLOOKUP(L$1,test!$A$3:$F$32,2,FALSE))&lt;=test!$K$16,$A5&lt;&gt;L$1,feasible_mat!L5=1),(VLOOKUP(L$1,test!$A$3:$I$32,8,FALSE))-(VLOOKUP($A5,test!$A$3:$I$32,9,FALSE)),0)</f>
        <v>0</v>
      </c>
      <c r="M5">
        <f>IF(AND(SUM(VLOOKUP($A5,test!$A$3:$F$32,2,FALSE),VLOOKUP(M$1,test!$A$3:$F$32,2,FALSE))&lt;=test!$K$16,$A5&lt;&gt;M$1,feasible_mat!M5=1),(VLOOKUP(M$1,test!$A$3:$I$32,8,FALSE))-(VLOOKUP($A5,test!$A$3:$I$32,9,FALSE)),0)</f>
        <v>0</v>
      </c>
      <c r="N5">
        <f>IF(AND(SUM(VLOOKUP($A5,test!$A$3:$F$32,2,FALSE),VLOOKUP(N$1,test!$A$3:$F$32,2,FALSE))&lt;=test!$K$16,$A5&lt;&gt;N$1,feasible_mat!N5=1),(VLOOKUP(N$1,test!$A$3:$I$32,8,FALSE))-(VLOOKUP($A5,test!$A$3:$I$32,9,FALSE)),0)</f>
        <v>190</v>
      </c>
      <c r="O5">
        <f>IF(AND(SUM(VLOOKUP($A5,test!$A$3:$F$32,2,FALSE),VLOOKUP(O$1,test!$A$3:$F$32,2,FALSE))&lt;=test!$K$16,$A5&lt;&gt;O$1,feasible_mat!O5=1),(VLOOKUP(O$1,test!$A$3:$I$32,8,FALSE))-(VLOOKUP($A5,test!$A$3:$I$32,9,FALSE)),0)</f>
        <v>250</v>
      </c>
      <c r="P5">
        <f>IF(AND(SUM(VLOOKUP($A5,test!$A$3:$F$32,2,FALSE),VLOOKUP(P$1,test!$A$3:$F$32,2,FALSE))&lt;=test!$K$16,$A5&lt;&gt;P$1,feasible_mat!P5=1),(VLOOKUP(P$1,test!$A$3:$I$32,8,FALSE))-(VLOOKUP($A5,test!$A$3:$I$32,9,FALSE)),0)</f>
        <v>0</v>
      </c>
      <c r="Q5">
        <f>IF(AND(SUM(VLOOKUP($A5,test!$A$3:$F$32,2,FALSE),VLOOKUP(Q$1,test!$A$3:$F$32,2,FALSE))&lt;=test!$K$16,$A5&lt;&gt;Q$1,feasible_mat!Q5=1),(VLOOKUP(Q$1,test!$A$3:$I$32,8,FALSE))-(VLOOKUP($A5,test!$A$3:$I$32,9,FALSE)),0)</f>
        <v>0</v>
      </c>
      <c r="R5">
        <f>IF(AND(SUM(VLOOKUP($A5,test!$A$3:$F$32,2,FALSE),VLOOKUP(R$1,test!$A$3:$F$32,2,FALSE))&lt;=test!$K$16,$A5&lt;&gt;R$1,feasible_mat!R5=1),(VLOOKUP(R$1,test!$A$3:$I$32,8,FALSE))-(VLOOKUP($A5,test!$A$3:$I$32,9,FALSE)),0)</f>
        <v>0</v>
      </c>
      <c r="S5">
        <f>IF(AND(SUM(VLOOKUP($A5,test!$A$3:$F$32,2,FALSE),VLOOKUP(S$1,test!$A$3:$F$32,2,FALSE))&lt;=test!$K$16,$A5&lt;&gt;S$1,feasible_mat!S5=1),(VLOOKUP(S$1,test!$A$3:$I$32,8,FALSE))-(VLOOKUP($A5,test!$A$3:$I$32,9,FALSE)),0)</f>
        <v>0</v>
      </c>
      <c r="T5">
        <f>IF(AND(SUM(VLOOKUP($A5,test!$A$3:$F$32,2,FALSE),VLOOKUP(T$1,test!$A$3:$F$32,2,FALSE))&lt;=test!$K$16,$A5&lt;&gt;T$1,feasible_mat!T5=1),(VLOOKUP(T$1,test!$A$3:$I$32,8,FALSE))-(VLOOKUP($A5,test!$A$3:$I$32,9,FALSE)),0)</f>
        <v>0</v>
      </c>
      <c r="U5">
        <f>IF(AND(SUM(VLOOKUP($A5,test!$A$3:$F$32,2,FALSE),VLOOKUP(U$1,test!$A$3:$F$32,2,FALSE))&lt;=test!$K$16,$A5&lt;&gt;U$1,feasible_mat!U5=1),(VLOOKUP(U$1,test!$A$3:$I$32,8,FALSE))-(VLOOKUP($A5,test!$A$3:$I$32,9,FALSE)),0)</f>
        <v>0</v>
      </c>
      <c r="V5">
        <f>IF(AND(SUM(VLOOKUP($A5,test!$A$3:$F$32,2,FALSE),VLOOKUP(V$1,test!$A$3:$F$32,2,FALSE))&lt;=test!$K$16,$A5&lt;&gt;V$1,feasible_mat!V5=1),(VLOOKUP(V$1,test!$A$3:$I$32,8,FALSE))-(VLOOKUP($A5,test!$A$3:$I$32,9,FALSE)),0)</f>
        <v>25</v>
      </c>
      <c r="W5">
        <f>IF(AND(SUM(VLOOKUP($A5,test!$A$3:$F$32,2,FALSE),VLOOKUP(W$1,test!$A$3:$F$32,2,FALSE))&lt;=test!$K$16,$A5&lt;&gt;W$1,feasible_mat!W5=1),(VLOOKUP(W$1,test!$A$3:$I$32,8,FALSE))-(VLOOKUP($A5,test!$A$3:$I$32,9,FALSE)),0)</f>
        <v>115</v>
      </c>
      <c r="X5">
        <f>IF(AND(SUM(VLOOKUP($A5,test!$A$3:$F$32,2,FALSE),VLOOKUP(X$1,test!$A$3:$F$32,2,FALSE))&lt;=test!$K$16,$A5&lt;&gt;X$1,feasible_mat!X5=1),(VLOOKUP(X$1,test!$A$3:$I$32,8,FALSE))-(VLOOKUP($A5,test!$A$3:$I$32,9,FALSE)),0)</f>
        <v>175</v>
      </c>
      <c r="Y5">
        <f>IF(AND(SUM(VLOOKUP($A5,test!$A$3:$F$32,2,FALSE),VLOOKUP(Y$1,test!$A$3:$F$32,2,FALSE))&lt;=test!$K$16,$A5&lt;&gt;Y$1,feasible_mat!Y5=1),(VLOOKUP(Y$1,test!$A$3:$I$32,8,FALSE))-(VLOOKUP($A5,test!$A$3:$I$32,9,FALSE)),0)</f>
        <v>0</v>
      </c>
      <c r="Z5">
        <f>IF(AND(SUM(VLOOKUP($A5,test!$A$3:$F$32,2,FALSE),VLOOKUP(Z$1,test!$A$3:$F$32,2,FALSE))&lt;=test!$K$16,$A5&lt;&gt;Z$1,feasible_mat!Z5=1),(VLOOKUP(Z$1,test!$A$3:$I$32,8,FALSE))-(VLOOKUP($A5,test!$A$3:$I$32,9,FALSE)),0)</f>
        <v>0</v>
      </c>
      <c r="AA5">
        <f>IF(AND(SUM(VLOOKUP($A5,test!$A$3:$F$32,2,FALSE),VLOOKUP(AA$1,test!$A$3:$F$32,2,FALSE))&lt;=test!$K$16,$A5&lt;&gt;AA$1,feasible_mat!AA5=1),(VLOOKUP(AA$1,test!$A$3:$I$32,8,FALSE))-(VLOOKUP($A5,test!$A$3:$I$32,9,FALSE)),0)</f>
        <v>0</v>
      </c>
      <c r="AB5">
        <f>IF(AND(SUM(VLOOKUP($A5,test!$A$3:$F$32,2,FALSE),VLOOKUP(AB$1,test!$A$3:$F$32,2,FALSE))&lt;=test!$K$16,$A5&lt;&gt;AB$1,feasible_mat!AB5=1),(VLOOKUP(AB$1,test!$A$3:$I$32,8,FALSE))-(VLOOKUP($A5,test!$A$3:$I$32,9,FALSE)),0)</f>
        <v>0</v>
      </c>
      <c r="AC5">
        <f>IF(AND(SUM(VLOOKUP($A5,test!$A$3:$F$32,2,FALSE),VLOOKUP(AC$1,test!$A$3:$F$32,2,FALSE))&lt;=test!$K$16,$A5&lt;&gt;AC$1,feasible_mat!AC5=1),(VLOOKUP(AC$1,test!$A$3:$I$32,8,FALSE))-(VLOOKUP($A5,test!$A$3:$I$32,9,FALSE)),0)</f>
        <v>75</v>
      </c>
      <c r="AD5">
        <f>IF(AND(SUM(VLOOKUP($A5,test!$A$3:$F$32,2,FALSE),VLOOKUP(AD$1,test!$A$3:$F$32,2,FALSE))&lt;=test!$K$16,$A5&lt;&gt;AD$1,feasible_mat!AD5=1),(VLOOKUP(AD$1,test!$A$3:$I$32,8,FALSE))-(VLOOKUP($A5,test!$A$3:$I$32,9,FALSE)),0)</f>
        <v>0</v>
      </c>
      <c r="AE5">
        <f>IF(AND(SUM(VLOOKUP($A5,test!$A$3:$F$32,2,FALSE),VLOOKUP(AE$1,test!$A$3:$F$32,2,FALSE))&lt;=test!$K$16,$A5&lt;&gt;AE$1,feasible_mat!AE5=1),(VLOOKUP(AE$1,test!$A$3:$I$32,8,FALSE))-(VLOOKUP($A5,test!$A$3:$I$32,9,FALSE)),0)</f>
        <v>0</v>
      </c>
      <c r="AF5">
        <f>IF(AND(SUM(VLOOKUP($A5,test!$A$3:$F$32,2,FALSE),VLOOKUP(AF$1,test!$A$3:$F$32,2,FALSE))&lt;=test!$K$16,$A5&lt;&gt;AF$1,feasible_mat!AF5=1),(VLOOKUP(AF$1,test!$A$3:$I$32,8,FALSE))-(VLOOKUP($A5,test!$A$3:$I$32,9,FALSE)),0)</f>
        <v>0</v>
      </c>
    </row>
    <row r="6" spans="1:36" x14ac:dyDescent="0.25">
      <c r="A6" t="s">
        <v>11</v>
      </c>
      <c r="B6">
        <v>0</v>
      </c>
      <c r="C6">
        <f>IF(AND(SUM(VLOOKUP($A6,test!$A$3:$F$32,2,FALSE),VLOOKUP(C$1,test!$A$3:$F$32,2,FALSE))&lt;=test!$K$16,$A6&lt;&gt;C$1,feasible_mat!C6=1),(VLOOKUP(C$1,test!$A$3:$I$32,8,FALSE))-(VLOOKUP($A6,test!$A$3:$I$32,9,FALSE)),0)</f>
        <v>0</v>
      </c>
      <c r="D6">
        <f>IF(AND(SUM(VLOOKUP($A6,test!$A$3:$F$32,2,FALSE),VLOOKUP(D$1,test!$A$3:$F$32,2,FALSE))&lt;=test!$K$16,$A6&lt;&gt;D$1,feasible_mat!D6=1),(VLOOKUP(D$1,test!$A$3:$I$32,8,FALSE))-(VLOOKUP($A6,test!$A$3:$I$32,9,FALSE)),0)</f>
        <v>0</v>
      </c>
      <c r="E6">
        <f>IF(AND(SUM(VLOOKUP($A6,test!$A$3:$F$32,2,FALSE),VLOOKUP(E$1,test!$A$3:$F$32,2,FALSE))&lt;=test!$K$16,$A6&lt;&gt;E$1,feasible_mat!E6=1),(VLOOKUP(E$1,test!$A$3:$I$32,8,FALSE))-(VLOOKUP($A6,test!$A$3:$I$32,9,FALSE)),0)</f>
        <v>0</v>
      </c>
      <c r="F6">
        <f>IF(AND(SUM(VLOOKUP($A6,test!$A$3:$F$32,2,FALSE),VLOOKUP(F$1,test!$A$3:$F$32,2,FALSE))&lt;=test!$K$16,$A6&lt;&gt;F$1,feasible_mat!F6=1),(VLOOKUP(F$1,test!$A$3:$I$32,8,FALSE))-(VLOOKUP($A6,test!$A$3:$I$32,9,FALSE)),0)</f>
        <v>0</v>
      </c>
      <c r="G6">
        <f>IF(AND(SUM(VLOOKUP($A6,test!$A$3:$F$32,2,FALSE),VLOOKUP(G$1,test!$A$3:$F$32,2,FALSE))&lt;=test!$K$16,$A6&lt;&gt;G$1,feasible_mat!G6=1),(VLOOKUP(G$1,test!$A$3:$I$32,8,FALSE))-(VLOOKUP($A6,test!$A$3:$I$32,9,FALSE)),0)</f>
        <v>0</v>
      </c>
      <c r="H6">
        <f>IF(AND(SUM(VLOOKUP($A6,test!$A$3:$F$32,2,FALSE),VLOOKUP(H$1,test!$A$3:$F$32,2,FALSE))&lt;=test!$K$16,$A6&lt;&gt;H$1,feasible_mat!H6=1),(VLOOKUP(H$1,test!$A$3:$I$32,8,FALSE))-(VLOOKUP($A6,test!$A$3:$I$32,9,FALSE)),0)</f>
        <v>0</v>
      </c>
      <c r="I6">
        <f>IF(AND(SUM(VLOOKUP($A6,test!$A$3:$F$32,2,FALSE),VLOOKUP(I$1,test!$A$3:$F$32,2,FALSE))&lt;=test!$K$16,$A6&lt;&gt;I$1,feasible_mat!I6=1),(VLOOKUP(I$1,test!$A$3:$I$32,8,FALSE))-(VLOOKUP($A6,test!$A$3:$I$32,9,FALSE)),0)</f>
        <v>45</v>
      </c>
      <c r="J6">
        <f>IF(AND(SUM(VLOOKUP($A6,test!$A$3:$F$32,2,FALSE),VLOOKUP(J$1,test!$A$3:$F$32,2,FALSE))&lt;=test!$K$16,$A6&lt;&gt;J$1,feasible_mat!J6=1),(VLOOKUP(J$1,test!$A$3:$I$32,8,FALSE))-(VLOOKUP($A6,test!$A$3:$I$32,9,FALSE)),0)</f>
        <v>135</v>
      </c>
      <c r="K6">
        <f>IF(AND(SUM(VLOOKUP($A6,test!$A$3:$F$32,2,FALSE),VLOOKUP(K$1,test!$A$3:$F$32,2,FALSE))&lt;=test!$K$16,$A6&lt;&gt;K$1,feasible_mat!K6=1),(VLOOKUP(K$1,test!$A$3:$I$32,8,FALSE))-(VLOOKUP($A6,test!$A$3:$I$32,9,FALSE)),0)</f>
        <v>0</v>
      </c>
      <c r="L6">
        <f>IF(AND(SUM(VLOOKUP($A6,test!$A$3:$F$32,2,FALSE),VLOOKUP(L$1,test!$A$3:$F$32,2,FALSE))&lt;=test!$K$16,$A6&lt;&gt;L$1,feasible_mat!L6=1),(VLOOKUP(L$1,test!$A$3:$I$32,8,FALSE))-(VLOOKUP($A6,test!$A$3:$I$32,9,FALSE)),0)</f>
        <v>0</v>
      </c>
      <c r="M6">
        <f>IF(AND(SUM(VLOOKUP($A6,test!$A$3:$F$32,2,FALSE),VLOOKUP(M$1,test!$A$3:$F$32,2,FALSE))&lt;=test!$K$16,$A6&lt;&gt;M$1,feasible_mat!M6=1),(VLOOKUP(M$1,test!$A$3:$I$32,8,FALSE))-(VLOOKUP($A6,test!$A$3:$I$32,9,FALSE)),0)</f>
        <v>0</v>
      </c>
      <c r="N6">
        <f>IF(AND(SUM(VLOOKUP($A6,test!$A$3:$F$32,2,FALSE),VLOOKUP(N$1,test!$A$3:$F$32,2,FALSE))&lt;=test!$K$16,$A6&lt;&gt;N$1,feasible_mat!N6=1),(VLOOKUP(N$1,test!$A$3:$I$32,8,FALSE))-(VLOOKUP($A6,test!$A$3:$I$32,9,FALSE)),0)</f>
        <v>100</v>
      </c>
      <c r="O6">
        <f>IF(AND(SUM(VLOOKUP($A6,test!$A$3:$F$32,2,FALSE),VLOOKUP(O$1,test!$A$3:$F$32,2,FALSE))&lt;=test!$K$16,$A6&lt;&gt;O$1,feasible_mat!O6=1),(VLOOKUP(O$1,test!$A$3:$I$32,8,FALSE))-(VLOOKUP($A6,test!$A$3:$I$32,9,FALSE)),0)</f>
        <v>160</v>
      </c>
      <c r="P6">
        <f>IF(AND(SUM(VLOOKUP($A6,test!$A$3:$F$32,2,FALSE),VLOOKUP(P$1,test!$A$3:$F$32,2,FALSE))&lt;=test!$K$16,$A6&lt;&gt;P$1,feasible_mat!P6=1),(VLOOKUP(P$1,test!$A$3:$I$32,8,FALSE))-(VLOOKUP($A6,test!$A$3:$I$32,9,FALSE)),0)</f>
        <v>0</v>
      </c>
      <c r="Q6">
        <f>IF(AND(SUM(VLOOKUP($A6,test!$A$3:$F$32,2,FALSE),VLOOKUP(Q$1,test!$A$3:$F$32,2,FALSE))&lt;=test!$K$16,$A6&lt;&gt;Q$1,feasible_mat!Q6=1),(VLOOKUP(Q$1,test!$A$3:$I$32,8,FALSE))-(VLOOKUP($A6,test!$A$3:$I$32,9,FALSE)),0)</f>
        <v>0</v>
      </c>
      <c r="R6">
        <f>IF(AND(SUM(VLOOKUP($A6,test!$A$3:$F$32,2,FALSE),VLOOKUP(R$1,test!$A$3:$F$32,2,FALSE))&lt;=test!$K$16,$A6&lt;&gt;R$1,feasible_mat!R6=1),(VLOOKUP(R$1,test!$A$3:$I$32,8,FALSE))-(VLOOKUP($A6,test!$A$3:$I$32,9,FALSE)),0)</f>
        <v>0</v>
      </c>
      <c r="S6">
        <f>IF(AND(SUM(VLOOKUP($A6,test!$A$3:$F$32,2,FALSE),VLOOKUP(S$1,test!$A$3:$F$32,2,FALSE))&lt;=test!$K$16,$A6&lt;&gt;S$1,feasible_mat!S6=1),(VLOOKUP(S$1,test!$A$3:$I$32,8,FALSE))-(VLOOKUP($A6,test!$A$3:$I$32,9,FALSE)),0)</f>
        <v>0</v>
      </c>
      <c r="T6">
        <f>IF(AND(SUM(VLOOKUP($A6,test!$A$3:$F$32,2,FALSE),VLOOKUP(T$1,test!$A$3:$F$32,2,FALSE))&lt;=test!$K$16,$A6&lt;&gt;T$1,feasible_mat!T6=1),(VLOOKUP(T$1,test!$A$3:$I$32,8,FALSE))-(VLOOKUP($A6,test!$A$3:$I$32,9,FALSE)),0)</f>
        <v>0</v>
      </c>
      <c r="U6">
        <f>IF(AND(SUM(VLOOKUP($A6,test!$A$3:$F$32,2,FALSE),VLOOKUP(U$1,test!$A$3:$F$32,2,FALSE))&lt;=test!$K$16,$A6&lt;&gt;U$1,feasible_mat!U6=1),(VLOOKUP(U$1,test!$A$3:$I$32,8,FALSE))-(VLOOKUP($A6,test!$A$3:$I$32,9,FALSE)),0)</f>
        <v>0</v>
      </c>
      <c r="V6">
        <f>IF(AND(SUM(VLOOKUP($A6,test!$A$3:$F$32,2,FALSE),VLOOKUP(V$1,test!$A$3:$F$32,2,FALSE))&lt;=test!$K$16,$A6&lt;&gt;V$1,feasible_mat!V6=1),(VLOOKUP(V$1,test!$A$3:$I$32,8,FALSE))-(VLOOKUP($A6,test!$A$3:$I$32,9,FALSE)),0)</f>
        <v>0</v>
      </c>
      <c r="W6">
        <f>IF(AND(SUM(VLOOKUP($A6,test!$A$3:$F$32,2,FALSE),VLOOKUP(W$1,test!$A$3:$F$32,2,FALSE))&lt;=test!$K$16,$A6&lt;&gt;W$1,feasible_mat!W6=1),(VLOOKUP(W$1,test!$A$3:$I$32,8,FALSE))-(VLOOKUP($A6,test!$A$3:$I$32,9,FALSE)),0)</f>
        <v>25</v>
      </c>
      <c r="X6">
        <f>IF(AND(SUM(VLOOKUP($A6,test!$A$3:$F$32,2,FALSE),VLOOKUP(X$1,test!$A$3:$F$32,2,FALSE))&lt;=test!$K$16,$A6&lt;&gt;X$1,feasible_mat!X6=1),(VLOOKUP(X$1,test!$A$3:$I$32,8,FALSE))-(VLOOKUP($A6,test!$A$3:$I$32,9,FALSE)),0)</f>
        <v>85</v>
      </c>
      <c r="Y6">
        <f>IF(AND(SUM(VLOOKUP($A6,test!$A$3:$F$32,2,FALSE),VLOOKUP(Y$1,test!$A$3:$F$32,2,FALSE))&lt;=test!$K$16,$A6&lt;&gt;Y$1,feasible_mat!Y6=1),(VLOOKUP(Y$1,test!$A$3:$I$32,8,FALSE))-(VLOOKUP($A6,test!$A$3:$I$32,9,FALSE)),0)</f>
        <v>0</v>
      </c>
      <c r="Z6">
        <f>IF(AND(SUM(VLOOKUP($A6,test!$A$3:$F$32,2,FALSE),VLOOKUP(Z$1,test!$A$3:$F$32,2,FALSE))&lt;=test!$K$16,$A6&lt;&gt;Z$1,feasible_mat!Z6=1),(VLOOKUP(Z$1,test!$A$3:$I$32,8,FALSE))-(VLOOKUP($A6,test!$A$3:$I$32,9,FALSE)),0)</f>
        <v>0</v>
      </c>
      <c r="AA6">
        <f>IF(AND(SUM(VLOOKUP($A6,test!$A$3:$F$32,2,FALSE),VLOOKUP(AA$1,test!$A$3:$F$32,2,FALSE))&lt;=test!$K$16,$A6&lt;&gt;AA$1,feasible_mat!AA6=1),(VLOOKUP(AA$1,test!$A$3:$I$32,8,FALSE))-(VLOOKUP($A6,test!$A$3:$I$32,9,FALSE)),0)</f>
        <v>0</v>
      </c>
      <c r="AB6">
        <f>IF(AND(SUM(VLOOKUP($A6,test!$A$3:$F$32,2,FALSE),VLOOKUP(AB$1,test!$A$3:$F$32,2,FALSE))&lt;=test!$K$16,$A6&lt;&gt;AB$1,feasible_mat!AB6=1),(VLOOKUP(AB$1,test!$A$3:$I$32,8,FALSE))-(VLOOKUP($A6,test!$A$3:$I$32,9,FALSE)),0)</f>
        <v>0</v>
      </c>
      <c r="AC6">
        <f>IF(AND(SUM(VLOOKUP($A6,test!$A$3:$F$32,2,FALSE),VLOOKUP(AC$1,test!$A$3:$F$32,2,FALSE))&lt;=test!$K$16,$A6&lt;&gt;AC$1,feasible_mat!AC6=1),(VLOOKUP(AC$1,test!$A$3:$I$32,8,FALSE))-(VLOOKUP($A6,test!$A$3:$I$32,9,FALSE)),0)</f>
        <v>0</v>
      </c>
      <c r="AD6">
        <f>IF(AND(SUM(VLOOKUP($A6,test!$A$3:$F$32,2,FALSE),VLOOKUP(AD$1,test!$A$3:$F$32,2,FALSE))&lt;=test!$K$16,$A6&lt;&gt;AD$1,feasible_mat!AD6=1),(VLOOKUP(AD$1,test!$A$3:$I$32,8,FALSE))-(VLOOKUP($A6,test!$A$3:$I$32,9,FALSE)),0)</f>
        <v>0</v>
      </c>
      <c r="AE6">
        <f>IF(AND(SUM(VLOOKUP($A6,test!$A$3:$F$32,2,FALSE),VLOOKUP(AE$1,test!$A$3:$F$32,2,FALSE))&lt;=test!$K$16,$A6&lt;&gt;AE$1,feasible_mat!AE6=1),(VLOOKUP(AE$1,test!$A$3:$I$32,8,FALSE))-(VLOOKUP($A6,test!$A$3:$I$32,9,FALSE)),0)</f>
        <v>0</v>
      </c>
      <c r="AF6">
        <f>IF(AND(SUM(VLOOKUP($A6,test!$A$3:$F$32,2,FALSE),VLOOKUP(AF$1,test!$A$3:$F$32,2,FALSE))&lt;=test!$K$16,$A6&lt;&gt;AF$1,feasible_mat!AF6=1),(VLOOKUP(AF$1,test!$A$3:$I$32,8,FALSE))-(VLOOKUP($A6,test!$A$3:$I$32,9,FALSE)),0)</f>
        <v>0</v>
      </c>
      <c r="AJ6" s="16" t="b">
        <f>AND(SUM(VLOOKUP($A11,test!$A$3:$F$32,2,FALSE),VLOOKUP(AE$1,test!$A$3:$F$32,2,FALSE))&lt;test!$K$16,$A11&lt;&gt;AE$1,feasible_mat!AE11=1)</f>
        <v>0</v>
      </c>
    </row>
    <row r="7" spans="1:36" x14ac:dyDescent="0.25">
      <c r="A7" t="s">
        <v>12</v>
      </c>
      <c r="B7">
        <v>0</v>
      </c>
      <c r="C7">
        <f>IF(AND(SUM(VLOOKUP($A7,test!$A$3:$F$32,2,FALSE),VLOOKUP(C$1,test!$A$3:$F$32,2,FALSE))&lt;=test!$K$16,$A7&lt;&gt;C$1,feasible_mat!C7=1),(VLOOKUP(C$1,test!$A$3:$I$32,8,FALSE))-(VLOOKUP($A7,test!$A$3:$I$32,9,FALSE)),0)</f>
        <v>0</v>
      </c>
      <c r="D7">
        <f>IF(AND(SUM(VLOOKUP($A7,test!$A$3:$F$32,2,FALSE),VLOOKUP(D$1,test!$A$3:$F$32,2,FALSE))&lt;=test!$K$16,$A7&lt;&gt;D$1,feasible_mat!D7=1),(VLOOKUP(D$1,test!$A$3:$I$32,8,FALSE))-(VLOOKUP($A7,test!$A$3:$I$32,9,FALSE)),0)</f>
        <v>0</v>
      </c>
      <c r="E7">
        <f>IF(AND(SUM(VLOOKUP($A7,test!$A$3:$F$32,2,FALSE),VLOOKUP(E$1,test!$A$3:$F$32,2,FALSE))&lt;=test!$K$16,$A7&lt;&gt;E$1,feasible_mat!E7=1),(VLOOKUP(E$1,test!$A$3:$I$32,8,FALSE))-(VLOOKUP($A7,test!$A$3:$I$32,9,FALSE)),0)</f>
        <v>0</v>
      </c>
      <c r="F7">
        <f>IF(AND(SUM(VLOOKUP($A7,test!$A$3:$F$32,2,FALSE),VLOOKUP(F$1,test!$A$3:$F$32,2,FALSE))&lt;=test!$K$16,$A7&lt;&gt;F$1,feasible_mat!F7=1),(VLOOKUP(F$1,test!$A$3:$I$32,8,FALSE))-(VLOOKUP($A7,test!$A$3:$I$32,9,FALSE)),0)</f>
        <v>0</v>
      </c>
      <c r="G7">
        <f>IF(AND(SUM(VLOOKUP($A7,test!$A$3:$F$32,2,FALSE),VLOOKUP(G$1,test!$A$3:$F$32,2,FALSE))&lt;=test!$K$16,$A7&lt;&gt;G$1,feasible_mat!G7=1),(VLOOKUP(G$1,test!$A$3:$I$32,8,FALSE))-(VLOOKUP($A7,test!$A$3:$I$32,9,FALSE)),0)</f>
        <v>0</v>
      </c>
      <c r="H7">
        <f>IF(AND(SUM(VLOOKUP($A7,test!$A$3:$F$32,2,FALSE),VLOOKUP(H$1,test!$A$3:$F$32,2,FALSE))&lt;=test!$K$16,$A7&lt;&gt;H$1,feasible_mat!H7=1),(VLOOKUP(H$1,test!$A$3:$I$32,8,FALSE))-(VLOOKUP($A7,test!$A$3:$I$32,9,FALSE)),0)</f>
        <v>0</v>
      </c>
      <c r="I7">
        <f>IF(AND(SUM(VLOOKUP($A7,test!$A$3:$F$32,2,FALSE),VLOOKUP(I$1,test!$A$3:$F$32,2,FALSE))&lt;=test!$K$16,$A7&lt;&gt;I$1,feasible_mat!I7=1),(VLOOKUP(I$1,test!$A$3:$I$32,8,FALSE))-(VLOOKUP($A7,test!$A$3:$I$32,9,FALSE)),0)</f>
        <v>0</v>
      </c>
      <c r="J7">
        <f>IF(AND(SUM(VLOOKUP($A7,test!$A$3:$F$32,2,FALSE),VLOOKUP(J$1,test!$A$3:$F$32,2,FALSE))&lt;=test!$K$16,$A7&lt;&gt;J$1,feasible_mat!J7=1),(VLOOKUP(J$1,test!$A$3:$I$32,8,FALSE))-(VLOOKUP($A7,test!$A$3:$I$32,9,FALSE)),0)</f>
        <v>75</v>
      </c>
      <c r="K7">
        <f>IF(AND(SUM(VLOOKUP($A7,test!$A$3:$F$32,2,FALSE),VLOOKUP(K$1,test!$A$3:$F$32,2,FALSE))&lt;=test!$K$16,$A7&lt;&gt;K$1,feasible_mat!K7=1),(VLOOKUP(K$1,test!$A$3:$I$32,8,FALSE))-(VLOOKUP($A7,test!$A$3:$I$32,9,FALSE)),0)</f>
        <v>0</v>
      </c>
      <c r="L7">
        <f>IF(AND(SUM(VLOOKUP($A7,test!$A$3:$F$32,2,FALSE),VLOOKUP(L$1,test!$A$3:$F$32,2,FALSE))&lt;=test!$K$16,$A7&lt;&gt;L$1,feasible_mat!L7=1),(VLOOKUP(L$1,test!$A$3:$I$32,8,FALSE))-(VLOOKUP($A7,test!$A$3:$I$32,9,FALSE)),0)</f>
        <v>0</v>
      </c>
      <c r="M7">
        <f>IF(AND(SUM(VLOOKUP($A7,test!$A$3:$F$32,2,FALSE),VLOOKUP(M$1,test!$A$3:$F$32,2,FALSE))&lt;=test!$K$16,$A7&lt;&gt;M$1,feasible_mat!M7=1),(VLOOKUP(M$1,test!$A$3:$I$32,8,FALSE))-(VLOOKUP($A7,test!$A$3:$I$32,9,FALSE)),0)</f>
        <v>0</v>
      </c>
      <c r="N7">
        <f>IF(AND(SUM(VLOOKUP($A7,test!$A$3:$F$32,2,FALSE),VLOOKUP(N$1,test!$A$3:$F$32,2,FALSE))&lt;=test!$K$16,$A7&lt;&gt;N$1,feasible_mat!N7=1),(VLOOKUP(N$1,test!$A$3:$I$32,8,FALSE))-(VLOOKUP($A7,test!$A$3:$I$32,9,FALSE)),0)</f>
        <v>40</v>
      </c>
      <c r="O7">
        <f>IF(AND(SUM(VLOOKUP($A7,test!$A$3:$F$32,2,FALSE),VLOOKUP(O$1,test!$A$3:$F$32,2,FALSE))&lt;=test!$K$16,$A7&lt;&gt;O$1,feasible_mat!O7=1),(VLOOKUP(O$1,test!$A$3:$I$32,8,FALSE))-(VLOOKUP($A7,test!$A$3:$I$32,9,FALSE)),0)</f>
        <v>100</v>
      </c>
      <c r="P7">
        <f>IF(AND(SUM(VLOOKUP($A7,test!$A$3:$F$32,2,FALSE),VLOOKUP(P$1,test!$A$3:$F$32,2,FALSE))&lt;=test!$K$16,$A7&lt;&gt;P$1,feasible_mat!P7=1),(VLOOKUP(P$1,test!$A$3:$I$32,8,FALSE))-(VLOOKUP($A7,test!$A$3:$I$32,9,FALSE)),0)</f>
        <v>0</v>
      </c>
      <c r="Q7">
        <f>IF(AND(SUM(VLOOKUP($A7,test!$A$3:$F$32,2,FALSE),VLOOKUP(Q$1,test!$A$3:$F$32,2,FALSE))&lt;=test!$K$16,$A7&lt;&gt;Q$1,feasible_mat!Q7=1),(VLOOKUP(Q$1,test!$A$3:$I$32,8,FALSE))-(VLOOKUP($A7,test!$A$3:$I$32,9,FALSE)),0)</f>
        <v>0</v>
      </c>
      <c r="R7">
        <f>IF(AND(SUM(VLOOKUP($A7,test!$A$3:$F$32,2,FALSE),VLOOKUP(R$1,test!$A$3:$F$32,2,FALSE))&lt;=test!$K$16,$A7&lt;&gt;R$1,feasible_mat!R7=1),(VLOOKUP(R$1,test!$A$3:$I$32,8,FALSE))-(VLOOKUP($A7,test!$A$3:$I$32,9,FALSE)),0)</f>
        <v>0</v>
      </c>
      <c r="S7">
        <f>IF(AND(SUM(VLOOKUP($A7,test!$A$3:$F$32,2,FALSE),VLOOKUP(S$1,test!$A$3:$F$32,2,FALSE))&lt;=test!$K$16,$A7&lt;&gt;S$1,feasible_mat!S7=1),(VLOOKUP(S$1,test!$A$3:$I$32,8,FALSE))-(VLOOKUP($A7,test!$A$3:$I$32,9,FALSE)),0)</f>
        <v>0</v>
      </c>
      <c r="T7">
        <f>IF(AND(SUM(VLOOKUP($A7,test!$A$3:$F$32,2,FALSE),VLOOKUP(T$1,test!$A$3:$F$32,2,FALSE))&lt;=test!$K$16,$A7&lt;&gt;T$1,feasible_mat!T7=1),(VLOOKUP(T$1,test!$A$3:$I$32,8,FALSE))-(VLOOKUP($A7,test!$A$3:$I$32,9,FALSE)),0)</f>
        <v>0</v>
      </c>
      <c r="U7">
        <f>IF(AND(SUM(VLOOKUP($A7,test!$A$3:$F$32,2,FALSE),VLOOKUP(U$1,test!$A$3:$F$32,2,FALSE))&lt;=test!$K$16,$A7&lt;&gt;U$1,feasible_mat!U7=1),(VLOOKUP(U$1,test!$A$3:$I$32,8,FALSE))-(VLOOKUP($A7,test!$A$3:$I$32,9,FALSE)),0)</f>
        <v>0</v>
      </c>
      <c r="V7">
        <f>IF(AND(SUM(VLOOKUP($A7,test!$A$3:$F$32,2,FALSE),VLOOKUP(V$1,test!$A$3:$F$32,2,FALSE))&lt;=test!$K$16,$A7&lt;&gt;V$1,feasible_mat!V7=1),(VLOOKUP(V$1,test!$A$3:$I$32,8,FALSE))-(VLOOKUP($A7,test!$A$3:$I$32,9,FALSE)),0)</f>
        <v>0</v>
      </c>
      <c r="W7">
        <f>IF(AND(SUM(VLOOKUP($A7,test!$A$3:$F$32,2,FALSE),VLOOKUP(W$1,test!$A$3:$F$32,2,FALSE))&lt;=test!$K$16,$A7&lt;&gt;W$1,feasible_mat!W7=1),(VLOOKUP(W$1,test!$A$3:$I$32,8,FALSE))-(VLOOKUP($A7,test!$A$3:$I$32,9,FALSE)),0)</f>
        <v>0</v>
      </c>
      <c r="X7">
        <f>IF(AND(SUM(VLOOKUP($A7,test!$A$3:$F$32,2,FALSE),VLOOKUP(X$1,test!$A$3:$F$32,2,FALSE))&lt;=test!$K$16,$A7&lt;&gt;X$1,feasible_mat!X7=1),(VLOOKUP(X$1,test!$A$3:$I$32,8,FALSE))-(VLOOKUP($A7,test!$A$3:$I$32,9,FALSE)),0)</f>
        <v>25</v>
      </c>
      <c r="Y7">
        <f>IF(AND(SUM(VLOOKUP($A7,test!$A$3:$F$32,2,FALSE),VLOOKUP(Y$1,test!$A$3:$F$32,2,FALSE))&lt;=test!$K$16,$A7&lt;&gt;Y$1,feasible_mat!Y7=1),(VLOOKUP(Y$1,test!$A$3:$I$32,8,FALSE))-(VLOOKUP($A7,test!$A$3:$I$32,9,FALSE)),0)</f>
        <v>0</v>
      </c>
      <c r="Z7">
        <f>IF(AND(SUM(VLOOKUP($A7,test!$A$3:$F$32,2,FALSE),VLOOKUP(Z$1,test!$A$3:$F$32,2,FALSE))&lt;=test!$K$16,$A7&lt;&gt;Z$1,feasible_mat!Z7=1),(VLOOKUP(Z$1,test!$A$3:$I$32,8,FALSE))-(VLOOKUP($A7,test!$A$3:$I$32,9,FALSE)),0)</f>
        <v>0</v>
      </c>
      <c r="AA7">
        <f>IF(AND(SUM(VLOOKUP($A7,test!$A$3:$F$32,2,FALSE),VLOOKUP(AA$1,test!$A$3:$F$32,2,FALSE))&lt;=test!$K$16,$A7&lt;&gt;AA$1,feasible_mat!AA7=1),(VLOOKUP(AA$1,test!$A$3:$I$32,8,FALSE))-(VLOOKUP($A7,test!$A$3:$I$32,9,FALSE)),0)</f>
        <v>0</v>
      </c>
      <c r="AB7">
        <f>IF(AND(SUM(VLOOKUP($A7,test!$A$3:$F$32,2,FALSE),VLOOKUP(AB$1,test!$A$3:$F$32,2,FALSE))&lt;=test!$K$16,$A7&lt;&gt;AB$1,feasible_mat!AB7=1),(VLOOKUP(AB$1,test!$A$3:$I$32,8,FALSE))-(VLOOKUP($A7,test!$A$3:$I$32,9,FALSE)),0)</f>
        <v>0</v>
      </c>
      <c r="AC7">
        <f>IF(AND(SUM(VLOOKUP($A7,test!$A$3:$F$32,2,FALSE),VLOOKUP(AC$1,test!$A$3:$F$32,2,FALSE))&lt;=test!$K$16,$A7&lt;&gt;AC$1,feasible_mat!AC7=1),(VLOOKUP(AC$1,test!$A$3:$I$32,8,FALSE))-(VLOOKUP($A7,test!$A$3:$I$32,9,FALSE)),0)</f>
        <v>0</v>
      </c>
      <c r="AD7">
        <f>IF(AND(SUM(VLOOKUP($A7,test!$A$3:$F$32,2,FALSE),VLOOKUP(AD$1,test!$A$3:$F$32,2,FALSE))&lt;=test!$K$16,$A7&lt;&gt;AD$1,feasible_mat!AD7=1),(VLOOKUP(AD$1,test!$A$3:$I$32,8,FALSE))-(VLOOKUP($A7,test!$A$3:$I$32,9,FALSE)),0)</f>
        <v>0</v>
      </c>
      <c r="AE7">
        <f>IF(AND(SUM(VLOOKUP($A7,test!$A$3:$F$32,2,FALSE),VLOOKUP(AE$1,test!$A$3:$F$32,2,FALSE))&lt;=test!$K$16,$A7&lt;&gt;AE$1,feasible_mat!AE7=1),(VLOOKUP(AE$1,test!$A$3:$I$32,8,FALSE))-(VLOOKUP($A7,test!$A$3:$I$32,9,FALSE)),0)</f>
        <v>0</v>
      </c>
      <c r="AF7">
        <f>IF(AND(SUM(VLOOKUP($A7,test!$A$3:$F$32,2,FALSE),VLOOKUP(AF$1,test!$A$3:$F$32,2,FALSE))&lt;=test!$K$16,$A7&lt;&gt;AF$1,feasible_mat!AF7=1),(VLOOKUP(AF$1,test!$A$3:$I$32,8,FALSE))-(VLOOKUP($A7,test!$A$3:$I$32,9,FALSE)),0)</f>
        <v>0</v>
      </c>
      <c r="AJ7" s="16">
        <f>VLOOKUP(AE$1,test!$A$3:$F$32,2,FALSE)</f>
        <v>210</v>
      </c>
    </row>
    <row r="8" spans="1:36" x14ac:dyDescent="0.25">
      <c r="A8" t="s">
        <v>13</v>
      </c>
      <c r="B8">
        <v>0</v>
      </c>
      <c r="C8">
        <f>IF(AND(SUM(VLOOKUP($A8,test!$A$3:$F$32,2,FALSE),VLOOKUP(C$1,test!$A$3:$F$32,2,FALSE))&lt;=test!$K$16,$A8&lt;&gt;C$1,feasible_mat!C8=1),(VLOOKUP(C$1,test!$A$3:$I$32,8,FALSE))-(VLOOKUP($A8,test!$A$3:$I$32,9,FALSE)),0)</f>
        <v>0</v>
      </c>
      <c r="D8">
        <f>IF(AND(SUM(VLOOKUP($A8,test!$A$3:$F$32,2,FALSE),VLOOKUP(D$1,test!$A$3:$F$32,2,FALSE))&lt;=test!$K$16,$A8&lt;&gt;D$1,feasible_mat!D8=1),(VLOOKUP(D$1,test!$A$3:$I$32,8,FALSE))-(VLOOKUP($A8,test!$A$3:$I$32,9,FALSE)),0)</f>
        <v>0</v>
      </c>
      <c r="E8">
        <f>IF(AND(SUM(VLOOKUP($A8,test!$A$3:$F$32,2,FALSE),VLOOKUP(E$1,test!$A$3:$F$32,2,FALSE))&lt;=test!$K$16,$A8&lt;&gt;E$1,feasible_mat!E8=1),(VLOOKUP(E$1,test!$A$3:$I$32,8,FALSE))-(VLOOKUP($A8,test!$A$3:$I$32,9,FALSE)),0)</f>
        <v>0</v>
      </c>
      <c r="F8">
        <f>IF(AND(SUM(VLOOKUP($A8,test!$A$3:$F$32,2,FALSE),VLOOKUP(F$1,test!$A$3:$F$32,2,FALSE))&lt;=test!$K$16,$A8&lt;&gt;F$1,feasible_mat!F8=1),(VLOOKUP(F$1,test!$A$3:$I$32,8,FALSE))-(VLOOKUP($A8,test!$A$3:$I$32,9,FALSE)),0)</f>
        <v>0</v>
      </c>
      <c r="G8">
        <f>IF(AND(SUM(VLOOKUP($A8,test!$A$3:$F$32,2,FALSE),VLOOKUP(G$1,test!$A$3:$F$32,2,FALSE))&lt;=test!$K$16,$A8&lt;&gt;G$1,feasible_mat!G8=1),(VLOOKUP(G$1,test!$A$3:$I$32,8,FALSE))-(VLOOKUP($A8,test!$A$3:$I$32,9,FALSE)),0)</f>
        <v>0</v>
      </c>
      <c r="H8">
        <f>IF(AND(SUM(VLOOKUP($A8,test!$A$3:$F$32,2,FALSE),VLOOKUP(H$1,test!$A$3:$F$32,2,FALSE))&lt;=test!$K$16,$A8&lt;&gt;H$1,feasible_mat!H8=1),(VLOOKUP(H$1,test!$A$3:$I$32,8,FALSE))-(VLOOKUP($A8,test!$A$3:$I$32,9,FALSE)),0)</f>
        <v>0</v>
      </c>
      <c r="I8">
        <f>IF(AND(SUM(VLOOKUP($A8,test!$A$3:$F$32,2,FALSE),VLOOKUP(I$1,test!$A$3:$F$32,2,FALSE))&lt;=test!$K$16,$A8&lt;&gt;I$1,feasible_mat!I8=1),(VLOOKUP(I$1,test!$A$3:$I$32,8,FALSE))-(VLOOKUP($A8,test!$A$3:$I$32,9,FALSE)),0)</f>
        <v>0</v>
      </c>
      <c r="J8">
        <f>IF(AND(SUM(VLOOKUP($A8,test!$A$3:$F$32,2,FALSE),VLOOKUP(J$1,test!$A$3:$F$32,2,FALSE))&lt;=test!$K$16,$A8&lt;&gt;J$1,feasible_mat!J8=1),(VLOOKUP(J$1,test!$A$3:$I$32,8,FALSE))-(VLOOKUP($A8,test!$A$3:$I$32,9,FALSE)),0)</f>
        <v>15</v>
      </c>
      <c r="K8">
        <f>IF(AND(SUM(VLOOKUP($A8,test!$A$3:$F$32,2,FALSE),VLOOKUP(K$1,test!$A$3:$F$32,2,FALSE))&lt;=test!$K$16,$A8&lt;&gt;K$1,feasible_mat!K8=1),(VLOOKUP(K$1,test!$A$3:$I$32,8,FALSE))-(VLOOKUP($A8,test!$A$3:$I$32,9,FALSE)),0)</f>
        <v>0</v>
      </c>
      <c r="L8">
        <f>IF(AND(SUM(VLOOKUP($A8,test!$A$3:$F$32,2,FALSE),VLOOKUP(L$1,test!$A$3:$F$32,2,FALSE))&lt;=test!$K$16,$A8&lt;&gt;L$1,feasible_mat!L8=1),(VLOOKUP(L$1,test!$A$3:$I$32,8,FALSE))-(VLOOKUP($A8,test!$A$3:$I$32,9,FALSE)),0)</f>
        <v>0</v>
      </c>
      <c r="M8">
        <f>IF(AND(SUM(VLOOKUP($A8,test!$A$3:$F$32,2,FALSE),VLOOKUP(M$1,test!$A$3:$F$32,2,FALSE))&lt;=test!$K$16,$A8&lt;&gt;M$1,feasible_mat!M8=1),(VLOOKUP(M$1,test!$A$3:$I$32,8,FALSE))-(VLOOKUP($A8,test!$A$3:$I$32,9,FALSE)),0)</f>
        <v>0</v>
      </c>
      <c r="N8">
        <f>IF(AND(SUM(VLOOKUP($A8,test!$A$3:$F$32,2,FALSE),VLOOKUP(N$1,test!$A$3:$F$32,2,FALSE))&lt;=test!$K$16,$A8&lt;&gt;N$1,feasible_mat!N8=1),(VLOOKUP(N$1,test!$A$3:$I$32,8,FALSE))-(VLOOKUP($A8,test!$A$3:$I$32,9,FALSE)),0)</f>
        <v>0</v>
      </c>
      <c r="O8">
        <f>IF(AND(SUM(VLOOKUP($A8,test!$A$3:$F$32,2,FALSE),VLOOKUP(O$1,test!$A$3:$F$32,2,FALSE))&lt;=test!$K$16,$A8&lt;&gt;O$1,feasible_mat!O8=1),(VLOOKUP(O$1,test!$A$3:$I$32,8,FALSE))-(VLOOKUP($A8,test!$A$3:$I$32,9,FALSE)),0)</f>
        <v>40</v>
      </c>
      <c r="P8">
        <f>IF(AND(SUM(VLOOKUP($A8,test!$A$3:$F$32,2,FALSE),VLOOKUP(P$1,test!$A$3:$F$32,2,FALSE))&lt;=test!$K$16,$A8&lt;&gt;P$1,feasible_mat!P8=1),(VLOOKUP(P$1,test!$A$3:$I$32,8,FALSE))-(VLOOKUP($A8,test!$A$3:$I$32,9,FALSE)),0)</f>
        <v>0</v>
      </c>
      <c r="Q8">
        <f>IF(AND(SUM(VLOOKUP($A8,test!$A$3:$F$32,2,FALSE),VLOOKUP(Q$1,test!$A$3:$F$32,2,FALSE))&lt;=test!$K$16,$A8&lt;&gt;Q$1,feasible_mat!Q8=1),(VLOOKUP(Q$1,test!$A$3:$I$32,8,FALSE))-(VLOOKUP($A8,test!$A$3:$I$32,9,FALSE)),0)</f>
        <v>0</v>
      </c>
      <c r="R8">
        <f>IF(AND(SUM(VLOOKUP($A8,test!$A$3:$F$32,2,FALSE),VLOOKUP(R$1,test!$A$3:$F$32,2,FALSE))&lt;=test!$K$16,$A8&lt;&gt;R$1,feasible_mat!R8=1),(VLOOKUP(R$1,test!$A$3:$I$32,8,FALSE))-(VLOOKUP($A8,test!$A$3:$I$32,9,FALSE)),0)</f>
        <v>0</v>
      </c>
      <c r="S8">
        <f>IF(AND(SUM(VLOOKUP($A8,test!$A$3:$F$32,2,FALSE),VLOOKUP(S$1,test!$A$3:$F$32,2,FALSE))&lt;=test!$K$16,$A8&lt;&gt;S$1,feasible_mat!S8=1),(VLOOKUP(S$1,test!$A$3:$I$32,8,FALSE))-(VLOOKUP($A8,test!$A$3:$I$32,9,FALSE)),0)</f>
        <v>0</v>
      </c>
      <c r="T8">
        <f>IF(AND(SUM(VLOOKUP($A8,test!$A$3:$F$32,2,FALSE),VLOOKUP(T$1,test!$A$3:$F$32,2,FALSE))&lt;=test!$K$16,$A8&lt;&gt;T$1,feasible_mat!T8=1),(VLOOKUP(T$1,test!$A$3:$I$32,8,FALSE))-(VLOOKUP($A8,test!$A$3:$I$32,9,FALSE)),0)</f>
        <v>0</v>
      </c>
      <c r="U8">
        <f>IF(AND(SUM(VLOOKUP($A8,test!$A$3:$F$32,2,FALSE),VLOOKUP(U$1,test!$A$3:$F$32,2,FALSE))&lt;=test!$K$16,$A8&lt;&gt;U$1,feasible_mat!U8=1),(VLOOKUP(U$1,test!$A$3:$I$32,8,FALSE))-(VLOOKUP($A8,test!$A$3:$I$32,9,FALSE)),0)</f>
        <v>0</v>
      </c>
      <c r="V8">
        <f>IF(AND(SUM(VLOOKUP($A8,test!$A$3:$F$32,2,FALSE),VLOOKUP(V$1,test!$A$3:$F$32,2,FALSE))&lt;=test!$K$16,$A8&lt;&gt;V$1,feasible_mat!V8=1),(VLOOKUP(V$1,test!$A$3:$I$32,8,FALSE))-(VLOOKUP($A8,test!$A$3:$I$32,9,FALSE)),0)</f>
        <v>0</v>
      </c>
      <c r="W8">
        <f>IF(AND(SUM(VLOOKUP($A8,test!$A$3:$F$32,2,FALSE),VLOOKUP(W$1,test!$A$3:$F$32,2,FALSE))&lt;=test!$K$16,$A8&lt;&gt;W$1,feasible_mat!W8=1),(VLOOKUP(W$1,test!$A$3:$I$32,8,FALSE))-(VLOOKUP($A8,test!$A$3:$I$32,9,FALSE)),0)</f>
        <v>0</v>
      </c>
      <c r="X8">
        <f>IF(AND(SUM(VLOOKUP($A8,test!$A$3:$F$32,2,FALSE),VLOOKUP(X$1,test!$A$3:$F$32,2,FALSE))&lt;=test!$K$16,$A8&lt;&gt;X$1,feasible_mat!X8=1),(VLOOKUP(X$1,test!$A$3:$I$32,8,FALSE))-(VLOOKUP($A8,test!$A$3:$I$32,9,FALSE)),0)</f>
        <v>0</v>
      </c>
      <c r="Y8">
        <f>IF(AND(SUM(VLOOKUP($A8,test!$A$3:$F$32,2,FALSE),VLOOKUP(Y$1,test!$A$3:$F$32,2,FALSE))&lt;=test!$K$16,$A8&lt;&gt;Y$1,feasible_mat!Y8=1),(VLOOKUP(Y$1,test!$A$3:$I$32,8,FALSE))-(VLOOKUP($A8,test!$A$3:$I$32,9,FALSE)),0)</f>
        <v>0</v>
      </c>
      <c r="Z8">
        <f>IF(AND(SUM(VLOOKUP($A8,test!$A$3:$F$32,2,FALSE),VLOOKUP(Z$1,test!$A$3:$F$32,2,FALSE))&lt;=test!$K$16,$A8&lt;&gt;Z$1,feasible_mat!Z8=1),(VLOOKUP(Z$1,test!$A$3:$I$32,8,FALSE))-(VLOOKUP($A8,test!$A$3:$I$32,9,FALSE)),0)</f>
        <v>0</v>
      </c>
      <c r="AA8">
        <f>IF(AND(SUM(VLOOKUP($A8,test!$A$3:$F$32,2,FALSE),VLOOKUP(AA$1,test!$A$3:$F$32,2,FALSE))&lt;=test!$K$16,$A8&lt;&gt;AA$1,feasible_mat!AA8=1),(VLOOKUP(AA$1,test!$A$3:$I$32,8,FALSE))-(VLOOKUP($A8,test!$A$3:$I$32,9,FALSE)),0)</f>
        <v>0</v>
      </c>
      <c r="AB8">
        <f>IF(AND(SUM(VLOOKUP($A8,test!$A$3:$F$32,2,FALSE),VLOOKUP(AB$1,test!$A$3:$F$32,2,FALSE))&lt;=test!$K$16,$A8&lt;&gt;AB$1,feasible_mat!AB8=1),(VLOOKUP(AB$1,test!$A$3:$I$32,8,FALSE))-(VLOOKUP($A8,test!$A$3:$I$32,9,FALSE)),0)</f>
        <v>0</v>
      </c>
      <c r="AC8">
        <f>IF(AND(SUM(VLOOKUP($A8,test!$A$3:$F$32,2,FALSE),VLOOKUP(AC$1,test!$A$3:$F$32,2,FALSE))&lt;=test!$K$16,$A8&lt;&gt;AC$1,feasible_mat!AC8=1),(VLOOKUP(AC$1,test!$A$3:$I$32,8,FALSE))-(VLOOKUP($A8,test!$A$3:$I$32,9,FALSE)),0)</f>
        <v>0</v>
      </c>
      <c r="AD8">
        <f>IF(AND(SUM(VLOOKUP($A8,test!$A$3:$F$32,2,FALSE),VLOOKUP(AD$1,test!$A$3:$F$32,2,FALSE))&lt;=test!$K$16,$A8&lt;&gt;AD$1,feasible_mat!AD8=1),(VLOOKUP(AD$1,test!$A$3:$I$32,8,FALSE))-(VLOOKUP($A8,test!$A$3:$I$32,9,FALSE)),0)</f>
        <v>0</v>
      </c>
      <c r="AE8">
        <f>IF(AND(SUM(VLOOKUP($A8,test!$A$3:$F$32,2,FALSE),VLOOKUP(AE$1,test!$A$3:$F$32,2,FALSE))&lt;=test!$K$16,$A8&lt;&gt;AE$1,feasible_mat!AE8=1),(VLOOKUP(AE$1,test!$A$3:$I$32,8,FALSE))-(VLOOKUP($A8,test!$A$3:$I$32,9,FALSE)),0)</f>
        <v>0</v>
      </c>
      <c r="AF8">
        <f>IF(AND(SUM(VLOOKUP($A8,test!$A$3:$F$32,2,FALSE),VLOOKUP(AF$1,test!$A$3:$F$32,2,FALSE))&lt;=test!$K$16,$A8&lt;&gt;AF$1,feasible_mat!AF8=1),(VLOOKUP(AF$1,test!$A$3:$I$32,8,FALSE))-(VLOOKUP($A8,test!$A$3:$I$32,9,FALSE)),0)</f>
        <v>0</v>
      </c>
      <c r="AJ8" s="16">
        <f>SUM(VLOOKUP($A11,test!$A$3:$F$32,2,FALSE),VLOOKUP(AE$1,test!$A$3:$F$32,2,FALSE))</f>
        <v>350</v>
      </c>
    </row>
    <row r="9" spans="1:36" x14ac:dyDescent="0.25">
      <c r="A9" t="s">
        <v>14</v>
      </c>
      <c r="B9">
        <v>0</v>
      </c>
      <c r="C9">
        <f>IF(AND(SUM(VLOOKUP($A9,test!$A$3:$F$32,2,FALSE),VLOOKUP(C$1,test!$A$3:$F$32,2,FALSE))&lt;=test!$K$16,$A9&lt;&gt;C$1,feasible_mat!C9=1),(VLOOKUP(C$1,test!$A$3:$I$32,8,FALSE))-(VLOOKUP($A9,test!$A$3:$I$32,9,FALSE)),0)</f>
        <v>0</v>
      </c>
      <c r="D9">
        <f>IF(AND(SUM(VLOOKUP($A9,test!$A$3:$F$32,2,FALSE),VLOOKUP(D$1,test!$A$3:$F$32,2,FALSE))&lt;=test!$K$16,$A9&lt;&gt;D$1,feasible_mat!D9=1),(VLOOKUP(D$1,test!$A$3:$I$32,8,FALSE))-(VLOOKUP($A9,test!$A$3:$I$32,9,FALSE)),0)</f>
        <v>0</v>
      </c>
      <c r="E9">
        <f>IF(AND(SUM(VLOOKUP($A9,test!$A$3:$F$32,2,FALSE),VLOOKUP(E$1,test!$A$3:$F$32,2,FALSE))&lt;=test!$K$16,$A9&lt;&gt;E$1,feasible_mat!E9=1),(VLOOKUP(E$1,test!$A$3:$I$32,8,FALSE))-(VLOOKUP($A9,test!$A$3:$I$32,9,FALSE)),0)</f>
        <v>0</v>
      </c>
      <c r="F9">
        <f>IF(AND(SUM(VLOOKUP($A9,test!$A$3:$F$32,2,FALSE),VLOOKUP(F$1,test!$A$3:$F$32,2,FALSE))&lt;=test!$K$16,$A9&lt;&gt;F$1,feasible_mat!F9=1),(VLOOKUP(F$1,test!$A$3:$I$32,8,FALSE))-(VLOOKUP($A9,test!$A$3:$I$32,9,FALSE)),0)</f>
        <v>0</v>
      </c>
      <c r="G9">
        <f>IF(AND(SUM(VLOOKUP($A9,test!$A$3:$F$32,2,FALSE),VLOOKUP(G$1,test!$A$3:$F$32,2,FALSE))&lt;=test!$K$16,$A9&lt;&gt;G$1,feasible_mat!G9=1),(VLOOKUP(G$1,test!$A$3:$I$32,8,FALSE))-(VLOOKUP($A9,test!$A$3:$I$32,9,FALSE)),0)</f>
        <v>0</v>
      </c>
      <c r="H9">
        <f>IF(AND(SUM(VLOOKUP($A9,test!$A$3:$F$32,2,FALSE),VLOOKUP(H$1,test!$A$3:$F$32,2,FALSE))&lt;=test!$K$16,$A9&lt;&gt;H$1,feasible_mat!H9=1),(VLOOKUP(H$1,test!$A$3:$I$32,8,FALSE))-(VLOOKUP($A9,test!$A$3:$I$32,9,FALSE)),0)</f>
        <v>0</v>
      </c>
      <c r="I9">
        <f>IF(AND(SUM(VLOOKUP($A9,test!$A$3:$F$32,2,FALSE),VLOOKUP(I$1,test!$A$3:$F$32,2,FALSE))&lt;=test!$K$16,$A9&lt;&gt;I$1,feasible_mat!I9=1),(VLOOKUP(I$1,test!$A$3:$I$32,8,FALSE))-(VLOOKUP($A9,test!$A$3:$I$32,9,FALSE)),0)</f>
        <v>0</v>
      </c>
      <c r="J9">
        <f>IF(AND(SUM(VLOOKUP($A9,test!$A$3:$F$32,2,FALSE),VLOOKUP(J$1,test!$A$3:$F$32,2,FALSE))&lt;=test!$K$16,$A9&lt;&gt;J$1,feasible_mat!J9=1),(VLOOKUP(J$1,test!$A$3:$I$32,8,FALSE))-(VLOOKUP($A9,test!$A$3:$I$32,9,FALSE)),0)</f>
        <v>0</v>
      </c>
      <c r="K9">
        <f>IF(AND(SUM(VLOOKUP($A9,test!$A$3:$F$32,2,FALSE),VLOOKUP(K$1,test!$A$3:$F$32,2,FALSE))&lt;=test!$K$16,$A9&lt;&gt;K$1,feasible_mat!K9=1),(VLOOKUP(K$1,test!$A$3:$I$32,8,FALSE))-(VLOOKUP($A9,test!$A$3:$I$32,9,FALSE)),0)</f>
        <v>0</v>
      </c>
      <c r="L9">
        <f>IF(AND(SUM(VLOOKUP($A9,test!$A$3:$F$32,2,FALSE),VLOOKUP(L$1,test!$A$3:$F$32,2,FALSE))&lt;=test!$K$16,$A9&lt;&gt;L$1,feasible_mat!L9=1),(VLOOKUP(L$1,test!$A$3:$I$32,8,FALSE))-(VLOOKUP($A9,test!$A$3:$I$32,9,FALSE)),0)</f>
        <v>0</v>
      </c>
      <c r="M9">
        <f>IF(AND(SUM(VLOOKUP($A9,test!$A$3:$F$32,2,FALSE),VLOOKUP(M$1,test!$A$3:$F$32,2,FALSE))&lt;=test!$K$16,$A9&lt;&gt;M$1,feasible_mat!M9=1),(VLOOKUP(M$1,test!$A$3:$I$32,8,FALSE))-(VLOOKUP($A9,test!$A$3:$I$32,9,FALSE)),0)</f>
        <v>0</v>
      </c>
      <c r="N9">
        <f>IF(AND(SUM(VLOOKUP($A9,test!$A$3:$F$32,2,FALSE),VLOOKUP(N$1,test!$A$3:$F$32,2,FALSE))&lt;=test!$K$16,$A9&lt;&gt;N$1,feasible_mat!N9=1),(VLOOKUP(N$1,test!$A$3:$I$32,8,FALSE))-(VLOOKUP($A9,test!$A$3:$I$32,9,FALSE)),0)</f>
        <v>0</v>
      </c>
      <c r="O9">
        <f>IF(AND(SUM(VLOOKUP($A9,test!$A$3:$F$32,2,FALSE),VLOOKUP(O$1,test!$A$3:$F$32,2,FALSE))&lt;=test!$K$16,$A9&lt;&gt;O$1,feasible_mat!O9=1),(VLOOKUP(O$1,test!$A$3:$I$32,8,FALSE))-(VLOOKUP($A9,test!$A$3:$I$32,9,FALSE)),0)</f>
        <v>0</v>
      </c>
      <c r="P9">
        <f>IF(AND(SUM(VLOOKUP($A9,test!$A$3:$F$32,2,FALSE),VLOOKUP(P$1,test!$A$3:$F$32,2,FALSE))&lt;=test!$K$16,$A9&lt;&gt;P$1,feasible_mat!P9=1),(VLOOKUP(P$1,test!$A$3:$I$32,8,FALSE))-(VLOOKUP($A9,test!$A$3:$I$32,9,FALSE)),0)</f>
        <v>0</v>
      </c>
      <c r="Q9">
        <f>IF(AND(SUM(VLOOKUP($A9,test!$A$3:$F$32,2,FALSE),VLOOKUP(Q$1,test!$A$3:$F$32,2,FALSE))&lt;=test!$K$16,$A9&lt;&gt;Q$1,feasible_mat!Q9=1),(VLOOKUP(Q$1,test!$A$3:$I$32,8,FALSE))-(VLOOKUP($A9,test!$A$3:$I$32,9,FALSE)),0)</f>
        <v>0</v>
      </c>
      <c r="R9">
        <f>IF(AND(SUM(VLOOKUP($A9,test!$A$3:$F$32,2,FALSE),VLOOKUP(R$1,test!$A$3:$F$32,2,FALSE))&lt;=test!$K$16,$A9&lt;&gt;R$1,feasible_mat!R9=1),(VLOOKUP(R$1,test!$A$3:$I$32,8,FALSE))-(VLOOKUP($A9,test!$A$3:$I$32,9,FALSE)),0)</f>
        <v>0</v>
      </c>
      <c r="S9">
        <f>IF(AND(SUM(VLOOKUP($A9,test!$A$3:$F$32,2,FALSE),VLOOKUP(S$1,test!$A$3:$F$32,2,FALSE))&lt;=test!$K$16,$A9&lt;&gt;S$1,feasible_mat!S9=1),(VLOOKUP(S$1,test!$A$3:$I$32,8,FALSE))-(VLOOKUP($A9,test!$A$3:$I$32,9,FALSE)),0)</f>
        <v>0</v>
      </c>
      <c r="T9">
        <f>IF(AND(SUM(VLOOKUP($A9,test!$A$3:$F$32,2,FALSE),VLOOKUP(T$1,test!$A$3:$F$32,2,FALSE))&lt;=test!$K$16,$A9&lt;&gt;T$1,feasible_mat!T9=1),(VLOOKUP(T$1,test!$A$3:$I$32,8,FALSE))-(VLOOKUP($A9,test!$A$3:$I$32,9,FALSE)),0)</f>
        <v>0</v>
      </c>
      <c r="U9">
        <f>IF(AND(SUM(VLOOKUP($A9,test!$A$3:$F$32,2,FALSE),VLOOKUP(U$1,test!$A$3:$F$32,2,FALSE))&lt;=test!$K$16,$A9&lt;&gt;U$1,feasible_mat!U9=1),(VLOOKUP(U$1,test!$A$3:$I$32,8,FALSE))-(VLOOKUP($A9,test!$A$3:$I$32,9,FALSE)),0)</f>
        <v>0</v>
      </c>
      <c r="V9">
        <f>IF(AND(SUM(VLOOKUP($A9,test!$A$3:$F$32,2,FALSE),VLOOKUP(V$1,test!$A$3:$F$32,2,FALSE))&lt;=test!$K$16,$A9&lt;&gt;V$1,feasible_mat!V9=1),(VLOOKUP(V$1,test!$A$3:$I$32,8,FALSE))-(VLOOKUP($A9,test!$A$3:$I$32,9,FALSE)),0)</f>
        <v>0</v>
      </c>
      <c r="W9">
        <f>IF(AND(SUM(VLOOKUP($A9,test!$A$3:$F$32,2,FALSE),VLOOKUP(W$1,test!$A$3:$F$32,2,FALSE))&lt;=test!$K$16,$A9&lt;&gt;W$1,feasible_mat!W9=1),(VLOOKUP(W$1,test!$A$3:$I$32,8,FALSE))-(VLOOKUP($A9,test!$A$3:$I$32,9,FALSE)),0)</f>
        <v>0</v>
      </c>
      <c r="X9">
        <f>IF(AND(SUM(VLOOKUP($A9,test!$A$3:$F$32,2,FALSE),VLOOKUP(X$1,test!$A$3:$F$32,2,FALSE))&lt;=test!$K$16,$A9&lt;&gt;X$1,feasible_mat!X9=1),(VLOOKUP(X$1,test!$A$3:$I$32,8,FALSE))-(VLOOKUP($A9,test!$A$3:$I$32,9,FALSE)),0)</f>
        <v>0</v>
      </c>
      <c r="Y9">
        <f>IF(AND(SUM(VLOOKUP($A9,test!$A$3:$F$32,2,FALSE),VLOOKUP(Y$1,test!$A$3:$F$32,2,FALSE))&lt;=test!$K$16,$A9&lt;&gt;Y$1,feasible_mat!Y9=1),(VLOOKUP(Y$1,test!$A$3:$I$32,8,FALSE))-(VLOOKUP($A9,test!$A$3:$I$32,9,FALSE)),0)</f>
        <v>0</v>
      </c>
      <c r="Z9">
        <f>IF(AND(SUM(VLOOKUP($A9,test!$A$3:$F$32,2,FALSE),VLOOKUP(Z$1,test!$A$3:$F$32,2,FALSE))&lt;=test!$K$16,$A9&lt;&gt;Z$1,feasible_mat!Z9=1),(VLOOKUP(Z$1,test!$A$3:$I$32,8,FALSE))-(VLOOKUP($A9,test!$A$3:$I$32,9,FALSE)),0)</f>
        <v>0</v>
      </c>
      <c r="AA9">
        <f>IF(AND(SUM(VLOOKUP($A9,test!$A$3:$F$32,2,FALSE),VLOOKUP(AA$1,test!$A$3:$F$32,2,FALSE))&lt;=test!$K$16,$A9&lt;&gt;AA$1,feasible_mat!AA9=1),(VLOOKUP(AA$1,test!$A$3:$I$32,8,FALSE))-(VLOOKUP($A9,test!$A$3:$I$32,9,FALSE)),0)</f>
        <v>0</v>
      </c>
      <c r="AB9">
        <f>IF(AND(SUM(VLOOKUP($A9,test!$A$3:$F$32,2,FALSE),VLOOKUP(AB$1,test!$A$3:$F$32,2,FALSE))&lt;=test!$K$16,$A9&lt;&gt;AB$1,feasible_mat!AB9=1),(VLOOKUP(AB$1,test!$A$3:$I$32,8,FALSE))-(VLOOKUP($A9,test!$A$3:$I$32,9,FALSE)),0)</f>
        <v>0</v>
      </c>
      <c r="AC9">
        <f>IF(AND(SUM(VLOOKUP($A9,test!$A$3:$F$32,2,FALSE),VLOOKUP(AC$1,test!$A$3:$F$32,2,FALSE))&lt;=test!$K$16,$A9&lt;&gt;AC$1,feasible_mat!AC9=1),(VLOOKUP(AC$1,test!$A$3:$I$32,8,FALSE))-(VLOOKUP($A9,test!$A$3:$I$32,9,FALSE)),0)</f>
        <v>0</v>
      </c>
      <c r="AD9">
        <f>IF(AND(SUM(VLOOKUP($A9,test!$A$3:$F$32,2,FALSE),VLOOKUP(AD$1,test!$A$3:$F$32,2,FALSE))&lt;=test!$K$16,$A9&lt;&gt;AD$1,feasible_mat!AD9=1),(VLOOKUP(AD$1,test!$A$3:$I$32,8,FALSE))-(VLOOKUP($A9,test!$A$3:$I$32,9,FALSE)),0)</f>
        <v>0</v>
      </c>
      <c r="AE9">
        <f>IF(AND(SUM(VLOOKUP($A9,test!$A$3:$F$32,2,FALSE),VLOOKUP(AE$1,test!$A$3:$F$32,2,FALSE))&lt;=test!$K$16,$A9&lt;&gt;AE$1,feasible_mat!AE9=1),(VLOOKUP(AE$1,test!$A$3:$I$32,8,FALSE))-(VLOOKUP($A9,test!$A$3:$I$32,9,FALSE)),0)</f>
        <v>0</v>
      </c>
      <c r="AF9">
        <f>IF(AND(SUM(VLOOKUP($A9,test!$A$3:$F$32,2,FALSE),VLOOKUP(AF$1,test!$A$3:$F$32,2,FALSE))&lt;=test!$K$16,$A9&lt;&gt;AF$1,feasible_mat!AF9=1),(VLOOKUP(AF$1,test!$A$3:$I$32,8,FALSE))-(VLOOKUP($A9,test!$A$3:$I$32,9,FALSE)),0)</f>
        <v>0</v>
      </c>
      <c r="AJ9" s="16">
        <f>test!$K$16</f>
        <v>350</v>
      </c>
    </row>
    <row r="10" spans="1:36" x14ac:dyDescent="0.25">
      <c r="A10" t="s">
        <v>15</v>
      </c>
      <c r="B10">
        <v>0</v>
      </c>
      <c r="C10">
        <f>IF(AND(SUM(VLOOKUP($A10,test!$A$3:$F$32,2,FALSE),VLOOKUP(C$1,test!$A$3:$F$32,2,FALSE))&lt;=test!$K$16,$A10&lt;&gt;C$1,feasible_mat!C10=1),(VLOOKUP(C$1,test!$A$3:$I$32,8,FALSE))-(VLOOKUP($A10,test!$A$3:$I$32,9,FALSE)),0)</f>
        <v>0</v>
      </c>
      <c r="D10">
        <f>IF(AND(SUM(VLOOKUP($A10,test!$A$3:$F$32,2,FALSE),VLOOKUP(D$1,test!$A$3:$F$32,2,FALSE))&lt;=test!$K$16,$A10&lt;&gt;D$1,feasible_mat!D10=1),(VLOOKUP(D$1,test!$A$3:$I$32,8,FALSE))-(VLOOKUP($A10,test!$A$3:$I$32,9,FALSE)),0)</f>
        <v>0</v>
      </c>
      <c r="E10">
        <f>IF(AND(SUM(VLOOKUP($A10,test!$A$3:$F$32,2,FALSE),VLOOKUP(E$1,test!$A$3:$F$32,2,FALSE))&lt;=test!$K$16,$A10&lt;&gt;E$1,feasible_mat!E10=1),(VLOOKUP(E$1,test!$A$3:$I$32,8,FALSE))-(VLOOKUP($A10,test!$A$3:$I$32,9,FALSE)),0)</f>
        <v>0</v>
      </c>
      <c r="F10">
        <f>IF(AND(SUM(VLOOKUP($A10,test!$A$3:$F$32,2,FALSE),VLOOKUP(F$1,test!$A$3:$F$32,2,FALSE))&lt;=test!$K$16,$A10&lt;&gt;F$1,feasible_mat!F10=1),(VLOOKUP(F$1,test!$A$3:$I$32,8,FALSE))-(VLOOKUP($A10,test!$A$3:$I$32,9,FALSE)),0)</f>
        <v>0</v>
      </c>
      <c r="G10">
        <f>IF(AND(SUM(VLOOKUP($A10,test!$A$3:$F$32,2,FALSE),VLOOKUP(G$1,test!$A$3:$F$32,2,FALSE))&lt;=test!$K$16,$A10&lt;&gt;G$1,feasible_mat!G10=1),(VLOOKUP(G$1,test!$A$3:$I$32,8,FALSE))-(VLOOKUP($A10,test!$A$3:$I$32,9,FALSE)),0)</f>
        <v>0</v>
      </c>
      <c r="H10">
        <f>IF(AND(SUM(VLOOKUP($A10,test!$A$3:$F$32,2,FALSE),VLOOKUP(H$1,test!$A$3:$F$32,2,FALSE))&lt;=test!$K$16,$A10&lt;&gt;H$1,feasible_mat!H10=1),(VLOOKUP(H$1,test!$A$3:$I$32,8,FALSE))-(VLOOKUP($A10,test!$A$3:$I$32,9,FALSE)),0)</f>
        <v>0</v>
      </c>
      <c r="I10">
        <f>IF(AND(SUM(VLOOKUP($A10,test!$A$3:$F$32,2,FALSE),VLOOKUP(I$1,test!$A$3:$F$32,2,FALSE))&lt;=test!$K$16,$A10&lt;&gt;I$1,feasible_mat!I10=1),(VLOOKUP(I$1,test!$A$3:$I$32,8,FALSE))-(VLOOKUP($A10,test!$A$3:$I$32,9,FALSE)),0)</f>
        <v>0</v>
      </c>
      <c r="J10">
        <f>IF(AND(SUM(VLOOKUP($A10,test!$A$3:$F$32,2,FALSE),VLOOKUP(J$1,test!$A$3:$F$32,2,FALSE))&lt;=test!$K$16,$A10&lt;&gt;J$1,feasible_mat!J10=1),(VLOOKUP(J$1,test!$A$3:$I$32,8,FALSE))-(VLOOKUP($A10,test!$A$3:$I$32,9,FALSE)),0)</f>
        <v>0</v>
      </c>
      <c r="K10">
        <f>IF(AND(SUM(VLOOKUP($A10,test!$A$3:$F$32,2,FALSE),VLOOKUP(K$1,test!$A$3:$F$32,2,FALSE))&lt;=test!$K$16,$A10&lt;&gt;K$1,feasible_mat!K10=1),(VLOOKUP(K$1,test!$A$3:$I$32,8,FALSE))-(VLOOKUP($A10,test!$A$3:$I$32,9,FALSE)),0)</f>
        <v>0</v>
      </c>
      <c r="L10">
        <f>IF(AND(SUM(VLOOKUP($A10,test!$A$3:$F$32,2,FALSE),VLOOKUP(L$1,test!$A$3:$F$32,2,FALSE))&lt;=test!$K$16,$A10&lt;&gt;L$1,feasible_mat!L10=1),(VLOOKUP(L$1,test!$A$3:$I$32,8,FALSE))-(VLOOKUP($A10,test!$A$3:$I$32,9,FALSE)),0)</f>
        <v>0</v>
      </c>
      <c r="M10">
        <f>IF(AND(SUM(VLOOKUP($A10,test!$A$3:$F$32,2,FALSE),VLOOKUP(M$1,test!$A$3:$F$32,2,FALSE))&lt;=test!$K$16,$A10&lt;&gt;M$1,feasible_mat!M10=1),(VLOOKUP(M$1,test!$A$3:$I$32,8,FALSE))-(VLOOKUP($A10,test!$A$3:$I$32,9,FALSE)),0)</f>
        <v>0</v>
      </c>
      <c r="N10">
        <f>IF(AND(SUM(VLOOKUP($A10,test!$A$3:$F$32,2,FALSE),VLOOKUP(N$1,test!$A$3:$F$32,2,FALSE))&lt;=test!$K$16,$A10&lt;&gt;N$1,feasible_mat!N10=1),(VLOOKUP(N$1,test!$A$3:$I$32,8,FALSE))-(VLOOKUP($A10,test!$A$3:$I$32,9,FALSE)),0)</f>
        <v>0</v>
      </c>
      <c r="O10">
        <f>IF(AND(SUM(VLOOKUP($A10,test!$A$3:$F$32,2,FALSE),VLOOKUP(O$1,test!$A$3:$F$32,2,FALSE))&lt;=test!$K$16,$A10&lt;&gt;O$1,feasible_mat!O10=1),(VLOOKUP(O$1,test!$A$3:$I$32,8,FALSE))-(VLOOKUP($A10,test!$A$3:$I$32,9,FALSE)),0)</f>
        <v>0</v>
      </c>
      <c r="P10">
        <f>IF(AND(SUM(VLOOKUP($A10,test!$A$3:$F$32,2,FALSE),VLOOKUP(P$1,test!$A$3:$F$32,2,FALSE))&lt;=test!$K$16,$A10&lt;&gt;P$1,feasible_mat!P10=1),(VLOOKUP(P$1,test!$A$3:$I$32,8,FALSE))-(VLOOKUP($A10,test!$A$3:$I$32,9,FALSE)),0)</f>
        <v>0</v>
      </c>
      <c r="Q10">
        <f>IF(AND(SUM(VLOOKUP($A10,test!$A$3:$F$32,2,FALSE),VLOOKUP(Q$1,test!$A$3:$F$32,2,FALSE))&lt;=test!$K$16,$A10&lt;&gt;Q$1,feasible_mat!Q10=1),(VLOOKUP(Q$1,test!$A$3:$I$32,8,FALSE))-(VLOOKUP($A10,test!$A$3:$I$32,9,FALSE)),0)</f>
        <v>0</v>
      </c>
      <c r="R10">
        <f>IF(AND(SUM(VLOOKUP($A10,test!$A$3:$F$32,2,FALSE),VLOOKUP(R$1,test!$A$3:$F$32,2,FALSE))&lt;=test!$K$16,$A10&lt;&gt;R$1,feasible_mat!R10=1),(VLOOKUP(R$1,test!$A$3:$I$32,8,FALSE))-(VLOOKUP($A10,test!$A$3:$I$32,9,FALSE)),0)</f>
        <v>0</v>
      </c>
      <c r="S10">
        <f>IF(AND(SUM(VLOOKUP($A10,test!$A$3:$F$32,2,FALSE),VLOOKUP(S$1,test!$A$3:$F$32,2,FALSE))&lt;=test!$K$16,$A10&lt;&gt;S$1,feasible_mat!S10=1),(VLOOKUP(S$1,test!$A$3:$I$32,8,FALSE))-(VLOOKUP($A10,test!$A$3:$I$32,9,FALSE)),0)</f>
        <v>0</v>
      </c>
      <c r="T10">
        <f>IF(AND(SUM(VLOOKUP($A10,test!$A$3:$F$32,2,FALSE),VLOOKUP(T$1,test!$A$3:$F$32,2,FALSE))&lt;=test!$K$16,$A10&lt;&gt;T$1,feasible_mat!T10=1),(VLOOKUP(T$1,test!$A$3:$I$32,8,FALSE))-(VLOOKUP($A10,test!$A$3:$I$32,9,FALSE)),0)</f>
        <v>0</v>
      </c>
      <c r="U10">
        <f>IF(AND(SUM(VLOOKUP($A10,test!$A$3:$F$32,2,FALSE),VLOOKUP(U$1,test!$A$3:$F$32,2,FALSE))&lt;=test!$K$16,$A10&lt;&gt;U$1,feasible_mat!U10=1),(VLOOKUP(U$1,test!$A$3:$I$32,8,FALSE))-(VLOOKUP($A10,test!$A$3:$I$32,9,FALSE)),0)</f>
        <v>0</v>
      </c>
      <c r="V10">
        <f>IF(AND(SUM(VLOOKUP($A10,test!$A$3:$F$32,2,FALSE),VLOOKUP(V$1,test!$A$3:$F$32,2,FALSE))&lt;=test!$K$16,$A10&lt;&gt;V$1,feasible_mat!V10=1),(VLOOKUP(V$1,test!$A$3:$I$32,8,FALSE))-(VLOOKUP($A10,test!$A$3:$I$32,9,FALSE)),0)</f>
        <v>0</v>
      </c>
      <c r="W10">
        <f>IF(AND(SUM(VLOOKUP($A10,test!$A$3:$F$32,2,FALSE),VLOOKUP(W$1,test!$A$3:$F$32,2,FALSE))&lt;=test!$K$16,$A10&lt;&gt;W$1,feasible_mat!W10=1),(VLOOKUP(W$1,test!$A$3:$I$32,8,FALSE))-(VLOOKUP($A10,test!$A$3:$I$32,9,FALSE)),0)</f>
        <v>0</v>
      </c>
      <c r="X10">
        <f>IF(AND(SUM(VLOOKUP($A10,test!$A$3:$F$32,2,FALSE),VLOOKUP(X$1,test!$A$3:$F$32,2,FALSE))&lt;=test!$K$16,$A10&lt;&gt;X$1,feasible_mat!X10=1),(VLOOKUP(X$1,test!$A$3:$I$32,8,FALSE))-(VLOOKUP($A10,test!$A$3:$I$32,9,FALSE)),0)</f>
        <v>0</v>
      </c>
      <c r="Y10">
        <f>IF(AND(SUM(VLOOKUP($A10,test!$A$3:$F$32,2,FALSE),VLOOKUP(Y$1,test!$A$3:$F$32,2,FALSE))&lt;=test!$K$16,$A10&lt;&gt;Y$1,feasible_mat!Y10=1),(VLOOKUP(Y$1,test!$A$3:$I$32,8,FALSE))-(VLOOKUP($A10,test!$A$3:$I$32,9,FALSE)),0)</f>
        <v>0</v>
      </c>
      <c r="Z10">
        <f>IF(AND(SUM(VLOOKUP($A10,test!$A$3:$F$32,2,FALSE),VLOOKUP(Z$1,test!$A$3:$F$32,2,FALSE))&lt;=test!$K$16,$A10&lt;&gt;Z$1,feasible_mat!Z10=1),(VLOOKUP(Z$1,test!$A$3:$I$32,8,FALSE))-(VLOOKUP($A10,test!$A$3:$I$32,9,FALSE)),0)</f>
        <v>0</v>
      </c>
      <c r="AA10">
        <f>IF(AND(SUM(VLOOKUP($A10,test!$A$3:$F$32,2,FALSE),VLOOKUP(AA$1,test!$A$3:$F$32,2,FALSE))&lt;=test!$K$16,$A10&lt;&gt;AA$1,feasible_mat!AA10=1),(VLOOKUP(AA$1,test!$A$3:$I$32,8,FALSE))-(VLOOKUP($A10,test!$A$3:$I$32,9,FALSE)),0)</f>
        <v>0</v>
      </c>
      <c r="AB10">
        <f>IF(AND(SUM(VLOOKUP($A10,test!$A$3:$F$32,2,FALSE),VLOOKUP(AB$1,test!$A$3:$F$32,2,FALSE))&lt;=test!$K$16,$A10&lt;&gt;AB$1,feasible_mat!AB10=1),(VLOOKUP(AB$1,test!$A$3:$I$32,8,FALSE))-(VLOOKUP($A10,test!$A$3:$I$32,9,FALSE)),0)</f>
        <v>0</v>
      </c>
      <c r="AC10">
        <f>IF(AND(SUM(VLOOKUP($A10,test!$A$3:$F$32,2,FALSE),VLOOKUP(AC$1,test!$A$3:$F$32,2,FALSE))&lt;=test!$K$16,$A10&lt;&gt;AC$1,feasible_mat!AC10=1),(VLOOKUP(AC$1,test!$A$3:$I$32,8,FALSE))-(VLOOKUP($A10,test!$A$3:$I$32,9,FALSE)),0)</f>
        <v>0</v>
      </c>
      <c r="AD10">
        <f>IF(AND(SUM(VLOOKUP($A10,test!$A$3:$F$32,2,FALSE),VLOOKUP(AD$1,test!$A$3:$F$32,2,FALSE))&lt;=test!$K$16,$A10&lt;&gt;AD$1,feasible_mat!AD10=1),(VLOOKUP(AD$1,test!$A$3:$I$32,8,FALSE))-(VLOOKUP($A10,test!$A$3:$I$32,9,FALSE)),0)</f>
        <v>0</v>
      </c>
      <c r="AE10">
        <f>IF(AND(SUM(VLOOKUP($A10,test!$A$3:$F$32,2,FALSE),VLOOKUP(AE$1,test!$A$3:$F$32,2,FALSE))&lt;=test!$K$16,$A10&lt;&gt;AE$1,feasible_mat!AE10=1),(VLOOKUP(AE$1,test!$A$3:$I$32,8,FALSE))-(VLOOKUP($A10,test!$A$3:$I$32,9,FALSE)),0)</f>
        <v>0</v>
      </c>
      <c r="AF10">
        <f>IF(AND(SUM(VLOOKUP($A10,test!$A$3:$F$32,2,FALSE),VLOOKUP(AF$1,test!$A$3:$F$32,2,FALSE))&lt;=test!$K$16,$A10&lt;&gt;AF$1,feasible_mat!AF10=1),(VLOOKUP(AF$1,test!$A$3:$I$32,8,FALSE))-(VLOOKUP($A10,test!$A$3:$I$32,9,FALSE)),0)</f>
        <v>0</v>
      </c>
      <c r="AJ10" s="16" t="b">
        <f>$A11&lt;&gt;AE$1</f>
        <v>1</v>
      </c>
    </row>
    <row r="11" spans="1:36" x14ac:dyDescent="0.25">
      <c r="A11" t="s">
        <v>18</v>
      </c>
      <c r="B11">
        <v>0</v>
      </c>
      <c r="C11">
        <f>IF(AND(SUM(VLOOKUP($A11,test!$A$3:$F$32,2,FALSE),VLOOKUP(C$1,test!$A$3:$F$32,2,FALSE))&lt;=test!$K$16,$A11&lt;&gt;C$1,feasible_mat!C11=1),(VLOOKUP(C$1,test!$A$3:$I$32,8,FALSE))-(VLOOKUP($A11,test!$A$3:$I$32,9,FALSE)),0)</f>
        <v>0</v>
      </c>
      <c r="D11">
        <f>IF(AND(SUM(VLOOKUP($A11,test!$A$3:$F$32,2,FALSE),VLOOKUP(D$1,test!$A$3:$F$32,2,FALSE))&lt;=test!$K$16,$A11&lt;&gt;D$1,feasible_mat!D11=1),(VLOOKUP(D$1,test!$A$3:$I$32,8,FALSE))-(VLOOKUP($A11,test!$A$3:$I$32,9,FALSE)),0)</f>
        <v>45</v>
      </c>
      <c r="E11">
        <f>IF(AND(SUM(VLOOKUP($A11,test!$A$3:$F$32,2,FALSE),VLOOKUP(E$1,test!$A$3:$F$32,2,FALSE))&lt;=test!$K$16,$A11&lt;&gt;E$1,feasible_mat!E11=1),(VLOOKUP(E$1,test!$A$3:$I$32,8,FALSE))-(VLOOKUP($A11,test!$A$3:$I$32,9,FALSE)),0)</f>
        <v>135</v>
      </c>
      <c r="F11">
        <f>IF(AND(SUM(VLOOKUP($A11,test!$A$3:$F$32,2,FALSE),VLOOKUP(F$1,test!$A$3:$F$32,2,FALSE))&lt;=test!$K$16,$A11&lt;&gt;F$1,feasible_mat!F11=1),(VLOOKUP(F$1,test!$A$3:$I$32,8,FALSE))-(VLOOKUP($A11,test!$A$3:$I$32,9,FALSE)),0)</f>
        <v>225</v>
      </c>
      <c r="G11">
        <f>IF(AND(SUM(VLOOKUP($A11,test!$A$3:$F$32,2,FALSE),VLOOKUP(G$1,test!$A$3:$F$32,2,FALSE))&lt;=test!$K$16,$A11&lt;&gt;G$1,feasible_mat!G11=1),(VLOOKUP(G$1,test!$A$3:$I$32,8,FALSE))-(VLOOKUP($A11,test!$A$3:$I$32,9,FALSE)),0)</f>
        <v>285</v>
      </c>
      <c r="H11">
        <f>IF(AND(SUM(VLOOKUP($A11,test!$A$3:$F$32,2,FALSE),VLOOKUP(H$1,test!$A$3:$F$32,2,FALSE))&lt;=test!$K$16,$A11&lt;&gt;H$1,feasible_mat!H11=1),(VLOOKUP(H$1,test!$A$3:$I$32,8,FALSE))-(VLOOKUP($A11,test!$A$3:$I$32,9,FALSE)),0)</f>
        <v>345</v>
      </c>
      <c r="I11">
        <f>IF(AND(SUM(VLOOKUP($A11,test!$A$3:$F$32,2,FALSE),VLOOKUP(I$1,test!$A$3:$F$32,2,FALSE))&lt;=test!$K$16,$A11&lt;&gt;I$1,feasible_mat!I11=1),(VLOOKUP(I$1,test!$A$3:$I$32,8,FALSE))-(VLOOKUP($A11,test!$A$3:$I$32,9,FALSE)),0)</f>
        <v>405</v>
      </c>
      <c r="J11">
        <f>IF(AND(SUM(VLOOKUP($A11,test!$A$3:$F$32,2,FALSE),VLOOKUP(J$1,test!$A$3:$F$32,2,FALSE))&lt;=test!$K$16,$A11&lt;&gt;J$1,feasible_mat!J11=1),(VLOOKUP(J$1,test!$A$3:$I$32,8,FALSE))-(VLOOKUP($A11,test!$A$3:$I$32,9,FALSE)),0)</f>
        <v>495</v>
      </c>
      <c r="K11">
        <f>IF(AND(SUM(VLOOKUP($A11,test!$A$3:$F$32,2,FALSE),VLOOKUP(K$1,test!$A$3:$F$32,2,FALSE))&lt;=test!$K$16,$A11&lt;&gt;K$1,feasible_mat!K11=1),(VLOOKUP(K$1,test!$A$3:$I$32,8,FALSE))-(VLOOKUP($A11,test!$A$3:$I$32,9,FALSE)),0)</f>
        <v>0</v>
      </c>
      <c r="L11">
        <f>IF(AND(SUM(VLOOKUP($A11,test!$A$3:$F$32,2,FALSE),VLOOKUP(L$1,test!$A$3:$F$32,2,FALSE))&lt;=test!$K$16,$A11&lt;&gt;L$1,feasible_mat!L11=1),(VLOOKUP(L$1,test!$A$3:$I$32,8,FALSE))-(VLOOKUP($A11,test!$A$3:$I$32,9,FALSE)),0)</f>
        <v>0</v>
      </c>
      <c r="M11">
        <f>IF(AND(SUM(VLOOKUP($A11,test!$A$3:$F$32,2,FALSE),VLOOKUP(M$1,test!$A$3:$F$32,2,FALSE))&lt;=test!$K$16,$A11&lt;&gt;M$1,feasible_mat!M11=1),(VLOOKUP(M$1,test!$A$3:$I$32,8,FALSE))-(VLOOKUP($A11,test!$A$3:$I$32,9,FALSE)),0)</f>
        <v>100</v>
      </c>
      <c r="N11">
        <f>IF(AND(SUM(VLOOKUP($A11,test!$A$3:$F$32,2,FALSE),VLOOKUP(N$1,test!$A$3:$F$32,2,FALSE))&lt;=test!$K$16,$A11&lt;&gt;N$1,feasible_mat!N11=1),(VLOOKUP(N$1,test!$A$3:$I$32,8,FALSE))-(VLOOKUP($A11,test!$A$3:$I$32,9,FALSE)),0)</f>
        <v>460</v>
      </c>
      <c r="O11">
        <f>IF(AND(SUM(VLOOKUP($A11,test!$A$3:$F$32,2,FALSE),VLOOKUP(O$1,test!$A$3:$F$32,2,FALSE))&lt;=test!$K$16,$A11&lt;&gt;O$1,feasible_mat!O11=1),(VLOOKUP(O$1,test!$A$3:$I$32,8,FALSE))-(VLOOKUP($A11,test!$A$3:$I$32,9,FALSE)),0)</f>
        <v>520</v>
      </c>
      <c r="P11">
        <f>IF(AND(SUM(VLOOKUP($A11,test!$A$3:$F$32,2,FALSE),VLOOKUP(P$1,test!$A$3:$F$32,2,FALSE))&lt;=test!$K$16,$A11&lt;&gt;P$1,feasible_mat!P11=1),(VLOOKUP(P$1,test!$A$3:$I$32,8,FALSE))-(VLOOKUP($A11,test!$A$3:$I$32,9,FALSE)),0)</f>
        <v>0</v>
      </c>
      <c r="Q11">
        <f>IF(AND(SUM(VLOOKUP($A11,test!$A$3:$F$32,2,FALSE),VLOOKUP(Q$1,test!$A$3:$F$32,2,FALSE))&lt;=test!$K$16,$A11&lt;&gt;Q$1,feasible_mat!Q11=1),(VLOOKUP(Q$1,test!$A$3:$I$32,8,FALSE))-(VLOOKUP($A11,test!$A$3:$I$32,9,FALSE)),0)</f>
        <v>0</v>
      </c>
      <c r="R11">
        <f>IF(AND(SUM(VLOOKUP($A11,test!$A$3:$F$32,2,FALSE),VLOOKUP(R$1,test!$A$3:$F$32,2,FALSE))&lt;=test!$K$16,$A11&lt;&gt;R$1,feasible_mat!R11=1),(VLOOKUP(R$1,test!$A$3:$I$32,8,FALSE))-(VLOOKUP($A11,test!$A$3:$I$32,9,FALSE)),0)</f>
        <v>0</v>
      </c>
      <c r="S11">
        <f>IF(AND(SUM(VLOOKUP($A11,test!$A$3:$F$32,2,FALSE),VLOOKUP(S$1,test!$A$3:$F$32,2,FALSE))&lt;=test!$K$16,$A11&lt;&gt;S$1,feasible_mat!S11=1),(VLOOKUP(S$1,test!$A$3:$I$32,8,FALSE))-(VLOOKUP($A11,test!$A$3:$I$32,9,FALSE)),0)</f>
        <v>25</v>
      </c>
      <c r="T11">
        <f>IF(AND(SUM(VLOOKUP($A11,test!$A$3:$F$32,2,FALSE),VLOOKUP(T$1,test!$A$3:$F$32,2,FALSE))&lt;=test!$K$16,$A11&lt;&gt;T$1,feasible_mat!T11=1),(VLOOKUP(T$1,test!$A$3:$I$32,8,FALSE))-(VLOOKUP($A11,test!$A$3:$I$32,9,FALSE)),0)</f>
        <v>115</v>
      </c>
      <c r="U11">
        <f>IF(AND(SUM(VLOOKUP($A11,test!$A$3:$F$32,2,FALSE),VLOOKUP(U$1,test!$A$3:$F$32,2,FALSE))&lt;=test!$K$16,$A11&lt;&gt;U$1,feasible_mat!U11=1),(VLOOKUP(U$1,test!$A$3:$I$32,8,FALSE))-(VLOOKUP($A11,test!$A$3:$I$32,9,FALSE)),0)</f>
        <v>205</v>
      </c>
      <c r="V11">
        <f>IF(AND(SUM(VLOOKUP($A11,test!$A$3:$F$32,2,FALSE),VLOOKUP(V$1,test!$A$3:$F$32,2,FALSE))&lt;=test!$K$16,$A11&lt;&gt;V$1,feasible_mat!V11=1),(VLOOKUP(V$1,test!$A$3:$I$32,8,FALSE))-(VLOOKUP($A11,test!$A$3:$I$32,9,FALSE)),0)</f>
        <v>295</v>
      </c>
      <c r="W11">
        <f>IF(AND(SUM(VLOOKUP($A11,test!$A$3:$F$32,2,FALSE),VLOOKUP(W$1,test!$A$3:$F$32,2,FALSE))&lt;=test!$K$16,$A11&lt;&gt;W$1,feasible_mat!W11=1),(VLOOKUP(W$1,test!$A$3:$I$32,8,FALSE))-(VLOOKUP($A11,test!$A$3:$I$32,9,FALSE)),0)</f>
        <v>385</v>
      </c>
      <c r="X11">
        <f>IF(AND(SUM(VLOOKUP($A11,test!$A$3:$F$32,2,FALSE),VLOOKUP(X$1,test!$A$3:$F$32,2,FALSE))&lt;=test!$K$16,$A11&lt;&gt;X$1,feasible_mat!X11=1),(VLOOKUP(X$1,test!$A$3:$I$32,8,FALSE))-(VLOOKUP($A11,test!$A$3:$I$32,9,FALSE)),0)</f>
        <v>445</v>
      </c>
      <c r="Y11">
        <f>IF(AND(SUM(VLOOKUP($A11,test!$A$3:$F$32,2,FALSE),VLOOKUP(Y$1,test!$A$3:$F$32,2,FALSE))&lt;=test!$K$16,$A11&lt;&gt;Y$1,feasible_mat!Y11=1),(VLOOKUP(Y$1,test!$A$3:$I$32,8,FALSE))-(VLOOKUP($A11,test!$A$3:$I$32,9,FALSE)),0)</f>
        <v>0</v>
      </c>
      <c r="Z11">
        <f>IF(AND(SUM(VLOOKUP($A11,test!$A$3:$F$32,2,FALSE),VLOOKUP(Z$1,test!$A$3:$F$32,2,FALSE))&lt;=test!$K$16,$A11&lt;&gt;Z$1,feasible_mat!Z11=1),(VLOOKUP(Z$1,test!$A$3:$I$32,8,FALSE))-(VLOOKUP($A11,test!$A$3:$I$32,9,FALSE)),0)</f>
        <v>45</v>
      </c>
      <c r="AA11">
        <f>IF(AND(SUM(VLOOKUP($A11,test!$A$3:$F$32,2,FALSE),VLOOKUP(AA$1,test!$A$3:$F$32,2,FALSE))&lt;=test!$K$16,$A11&lt;&gt;AA$1,feasible_mat!AA11=1),(VLOOKUP(AA$1,test!$A$3:$I$32,8,FALSE))-(VLOOKUP($A11,test!$A$3:$I$32,9,FALSE)),0)</f>
        <v>165</v>
      </c>
      <c r="AB11">
        <f>IF(AND(SUM(VLOOKUP($A11,test!$A$3:$F$32,2,FALSE),VLOOKUP(AB$1,test!$A$3:$F$32,2,FALSE))&lt;=test!$K$16,$A11&lt;&gt;AB$1,feasible_mat!AB11=1),(VLOOKUP(AB$1,test!$A$3:$I$32,8,FALSE))-(VLOOKUP($A11,test!$A$3:$I$32,9,FALSE)),0)</f>
        <v>225</v>
      </c>
      <c r="AC11">
        <f>IF(AND(SUM(VLOOKUP($A11,test!$A$3:$F$32,2,FALSE),VLOOKUP(AC$1,test!$A$3:$F$32,2,FALSE))&lt;=test!$K$16,$A11&lt;&gt;AC$1,feasible_mat!AC11=1),(VLOOKUP(AC$1,test!$A$3:$I$32,8,FALSE))-(VLOOKUP($A11,test!$A$3:$I$32,9,FALSE)),0)</f>
        <v>345</v>
      </c>
      <c r="AD11">
        <f>IF(AND(SUM(VLOOKUP($A11,test!$A$3:$F$32,2,FALSE),VLOOKUP(AD$1,test!$A$3:$F$32,2,FALSE))&lt;=test!$K$16,$A11&lt;&gt;AD$1,feasible_mat!AD11=1),(VLOOKUP(AD$1,test!$A$3:$I$32,8,FALSE))-(VLOOKUP($A11,test!$A$3:$I$32,9,FALSE)),0)</f>
        <v>0</v>
      </c>
      <c r="AE11">
        <f>IF(AND(SUM(VLOOKUP($A11,test!$A$3:$F$32,2,FALSE),VLOOKUP(AE$1,test!$A$3:$F$32,2,FALSE))&lt;=test!$K$16,$A11&lt;&gt;AE$1,feasible_mat!AE11=1),(VLOOKUP(AE$1,test!$A$3:$I$32,8,FALSE))-(VLOOKUP($A11,test!$A$3:$I$32,9,FALSE)),0)</f>
        <v>165</v>
      </c>
      <c r="AF11">
        <f>IF(AND(SUM(VLOOKUP($A11,test!$A$3:$F$32,2,FALSE),VLOOKUP(AF$1,test!$A$3:$F$32,2,FALSE))&lt;=test!$K$16,$A11&lt;&gt;AF$1,feasible_mat!AF11=1),(VLOOKUP(AF$1,test!$A$3:$I$32,8,FALSE))-(VLOOKUP($A11,test!$A$3:$I$32,9,FALSE)),0)</f>
        <v>0</v>
      </c>
      <c r="AJ11" s="16" t="b">
        <f>feasible_mat!AE11=1</f>
        <v>1</v>
      </c>
    </row>
    <row r="12" spans="1:36" x14ac:dyDescent="0.25">
      <c r="A12" t="s">
        <v>20</v>
      </c>
      <c r="B12">
        <v>0</v>
      </c>
      <c r="C12">
        <f>IF(AND(SUM(VLOOKUP($A12,test!$A$3:$F$32,2,FALSE),VLOOKUP(C$1,test!$A$3:$F$32,2,FALSE))&lt;=test!$K$16,$A12&lt;&gt;C$1,feasible_mat!C12=1),(VLOOKUP(C$1,test!$A$3:$I$32,8,FALSE))-(VLOOKUP($A12,test!$A$3:$I$32,9,FALSE)),0)</f>
        <v>0</v>
      </c>
      <c r="D12">
        <f>IF(AND(SUM(VLOOKUP($A12,test!$A$3:$F$32,2,FALSE),VLOOKUP(D$1,test!$A$3:$F$32,2,FALSE))&lt;=test!$K$16,$A12&lt;&gt;D$1,feasible_mat!D12=1),(VLOOKUP(D$1,test!$A$3:$I$32,8,FALSE))-(VLOOKUP($A12,test!$A$3:$I$32,9,FALSE)),0)</f>
        <v>0</v>
      </c>
      <c r="E12">
        <f>IF(AND(SUM(VLOOKUP($A12,test!$A$3:$F$32,2,FALSE),VLOOKUP(E$1,test!$A$3:$F$32,2,FALSE))&lt;=test!$K$16,$A12&lt;&gt;E$1,feasible_mat!E12=1),(VLOOKUP(E$1,test!$A$3:$I$32,8,FALSE))-(VLOOKUP($A12,test!$A$3:$I$32,9,FALSE)),0)</f>
        <v>15</v>
      </c>
      <c r="F12">
        <f>IF(AND(SUM(VLOOKUP($A12,test!$A$3:$F$32,2,FALSE),VLOOKUP(F$1,test!$A$3:$F$32,2,FALSE))&lt;=test!$K$16,$A12&lt;&gt;F$1,feasible_mat!F12=1),(VLOOKUP(F$1,test!$A$3:$I$32,8,FALSE))-(VLOOKUP($A12,test!$A$3:$I$32,9,FALSE)),0)</f>
        <v>105</v>
      </c>
      <c r="G12">
        <f>IF(AND(SUM(VLOOKUP($A12,test!$A$3:$F$32,2,FALSE),VLOOKUP(G$1,test!$A$3:$F$32,2,FALSE))&lt;=test!$K$16,$A12&lt;&gt;G$1,feasible_mat!G12=1),(VLOOKUP(G$1,test!$A$3:$I$32,8,FALSE))-(VLOOKUP($A12,test!$A$3:$I$32,9,FALSE)),0)</f>
        <v>165</v>
      </c>
      <c r="H12">
        <f>IF(AND(SUM(VLOOKUP($A12,test!$A$3:$F$32,2,FALSE),VLOOKUP(H$1,test!$A$3:$F$32,2,FALSE))&lt;=test!$K$16,$A12&lt;&gt;H$1,feasible_mat!H12=1),(VLOOKUP(H$1,test!$A$3:$I$32,8,FALSE))-(VLOOKUP($A12,test!$A$3:$I$32,9,FALSE)),0)</f>
        <v>225</v>
      </c>
      <c r="I12">
        <f>IF(AND(SUM(VLOOKUP($A12,test!$A$3:$F$32,2,FALSE),VLOOKUP(I$1,test!$A$3:$F$32,2,FALSE))&lt;=test!$K$16,$A12&lt;&gt;I$1,feasible_mat!I12=1),(VLOOKUP(I$1,test!$A$3:$I$32,8,FALSE))-(VLOOKUP($A12,test!$A$3:$I$32,9,FALSE)),0)</f>
        <v>285</v>
      </c>
      <c r="J12">
        <f>IF(AND(SUM(VLOOKUP($A12,test!$A$3:$F$32,2,FALSE),VLOOKUP(J$1,test!$A$3:$F$32,2,FALSE))&lt;=test!$K$16,$A12&lt;&gt;J$1,feasible_mat!J12=1),(VLOOKUP(J$1,test!$A$3:$I$32,8,FALSE))-(VLOOKUP($A12,test!$A$3:$I$32,9,FALSE)),0)</f>
        <v>375</v>
      </c>
      <c r="K12">
        <f>IF(AND(SUM(VLOOKUP($A12,test!$A$3:$F$32,2,FALSE),VLOOKUP(K$1,test!$A$3:$F$32,2,FALSE))&lt;=test!$K$16,$A12&lt;&gt;K$1,feasible_mat!K12=1),(VLOOKUP(K$1,test!$A$3:$I$32,8,FALSE))-(VLOOKUP($A12,test!$A$3:$I$32,9,FALSE)),0)</f>
        <v>0</v>
      </c>
      <c r="L12">
        <f>IF(AND(SUM(VLOOKUP($A12,test!$A$3:$F$32,2,FALSE),VLOOKUP(L$1,test!$A$3:$F$32,2,FALSE))&lt;=test!$K$16,$A12&lt;&gt;L$1,feasible_mat!L12=1),(VLOOKUP(L$1,test!$A$3:$I$32,8,FALSE))-(VLOOKUP($A12,test!$A$3:$I$32,9,FALSE)),0)</f>
        <v>0</v>
      </c>
      <c r="M12">
        <f>IF(AND(SUM(VLOOKUP($A12,test!$A$3:$F$32,2,FALSE),VLOOKUP(M$1,test!$A$3:$F$32,2,FALSE))&lt;=test!$K$16,$A12&lt;&gt;M$1,feasible_mat!M12=1),(VLOOKUP(M$1,test!$A$3:$I$32,8,FALSE))-(VLOOKUP($A12,test!$A$3:$I$32,9,FALSE)),0)</f>
        <v>0</v>
      </c>
      <c r="N12">
        <f>IF(AND(SUM(VLOOKUP($A12,test!$A$3:$F$32,2,FALSE),VLOOKUP(N$1,test!$A$3:$F$32,2,FALSE))&lt;=test!$K$16,$A12&lt;&gt;N$1,feasible_mat!N12=1),(VLOOKUP(N$1,test!$A$3:$I$32,8,FALSE))-(VLOOKUP($A12,test!$A$3:$I$32,9,FALSE)),0)</f>
        <v>340</v>
      </c>
      <c r="O12">
        <f>IF(AND(SUM(VLOOKUP($A12,test!$A$3:$F$32,2,FALSE),VLOOKUP(O$1,test!$A$3:$F$32,2,FALSE))&lt;=test!$K$16,$A12&lt;&gt;O$1,feasible_mat!O12=1),(VLOOKUP(O$1,test!$A$3:$I$32,8,FALSE))-(VLOOKUP($A12,test!$A$3:$I$32,9,FALSE)),0)</f>
        <v>400</v>
      </c>
      <c r="P12">
        <f>IF(AND(SUM(VLOOKUP($A12,test!$A$3:$F$32,2,FALSE),VLOOKUP(P$1,test!$A$3:$F$32,2,FALSE))&lt;=test!$K$16,$A12&lt;&gt;P$1,feasible_mat!P12=1),(VLOOKUP(P$1,test!$A$3:$I$32,8,FALSE))-(VLOOKUP($A12,test!$A$3:$I$32,9,FALSE)),0)</f>
        <v>0</v>
      </c>
      <c r="Q12">
        <f>IF(AND(SUM(VLOOKUP($A12,test!$A$3:$F$32,2,FALSE),VLOOKUP(Q$1,test!$A$3:$F$32,2,FALSE))&lt;=test!$K$16,$A12&lt;&gt;Q$1,feasible_mat!Q12=1),(VLOOKUP(Q$1,test!$A$3:$I$32,8,FALSE))-(VLOOKUP($A12,test!$A$3:$I$32,9,FALSE)),0)</f>
        <v>0</v>
      </c>
      <c r="R12">
        <f>IF(AND(SUM(VLOOKUP($A12,test!$A$3:$F$32,2,FALSE),VLOOKUP(R$1,test!$A$3:$F$32,2,FALSE))&lt;=test!$K$16,$A12&lt;&gt;R$1,feasible_mat!R12=1),(VLOOKUP(R$1,test!$A$3:$I$32,8,FALSE))-(VLOOKUP($A12,test!$A$3:$I$32,9,FALSE)),0)</f>
        <v>0</v>
      </c>
      <c r="S12">
        <f>IF(AND(SUM(VLOOKUP($A12,test!$A$3:$F$32,2,FALSE),VLOOKUP(S$1,test!$A$3:$F$32,2,FALSE))&lt;=test!$K$16,$A12&lt;&gt;S$1,feasible_mat!S12=1),(VLOOKUP(S$1,test!$A$3:$I$32,8,FALSE))-(VLOOKUP($A12,test!$A$3:$I$32,9,FALSE)),0)</f>
        <v>0</v>
      </c>
      <c r="T12">
        <f>IF(AND(SUM(VLOOKUP($A12,test!$A$3:$F$32,2,FALSE),VLOOKUP(T$1,test!$A$3:$F$32,2,FALSE))&lt;=test!$K$16,$A12&lt;&gt;T$1,feasible_mat!T12=1),(VLOOKUP(T$1,test!$A$3:$I$32,8,FALSE))-(VLOOKUP($A12,test!$A$3:$I$32,9,FALSE)),0)</f>
        <v>0</v>
      </c>
      <c r="U12">
        <f>IF(AND(SUM(VLOOKUP($A12,test!$A$3:$F$32,2,FALSE),VLOOKUP(U$1,test!$A$3:$F$32,2,FALSE))&lt;=test!$K$16,$A12&lt;&gt;U$1,feasible_mat!U12=1),(VLOOKUP(U$1,test!$A$3:$I$32,8,FALSE))-(VLOOKUP($A12,test!$A$3:$I$32,9,FALSE)),0)</f>
        <v>85</v>
      </c>
      <c r="V12">
        <f>IF(AND(SUM(VLOOKUP($A12,test!$A$3:$F$32,2,FALSE),VLOOKUP(V$1,test!$A$3:$F$32,2,FALSE))&lt;=test!$K$16,$A12&lt;&gt;V$1,feasible_mat!V12=1),(VLOOKUP(V$1,test!$A$3:$I$32,8,FALSE))-(VLOOKUP($A12,test!$A$3:$I$32,9,FALSE)),0)</f>
        <v>175</v>
      </c>
      <c r="W12">
        <f>IF(AND(SUM(VLOOKUP($A12,test!$A$3:$F$32,2,FALSE),VLOOKUP(W$1,test!$A$3:$F$32,2,FALSE))&lt;=test!$K$16,$A12&lt;&gt;W$1,feasible_mat!W12=1),(VLOOKUP(W$1,test!$A$3:$I$32,8,FALSE))-(VLOOKUP($A12,test!$A$3:$I$32,9,FALSE)),0)</f>
        <v>265</v>
      </c>
      <c r="X12">
        <f>IF(AND(SUM(VLOOKUP($A12,test!$A$3:$F$32,2,FALSE),VLOOKUP(X$1,test!$A$3:$F$32,2,FALSE))&lt;=test!$K$16,$A12&lt;&gt;X$1,feasible_mat!X12=1),(VLOOKUP(X$1,test!$A$3:$I$32,8,FALSE))-(VLOOKUP($A12,test!$A$3:$I$32,9,FALSE)),0)</f>
        <v>325</v>
      </c>
      <c r="Y12">
        <f>IF(AND(SUM(VLOOKUP($A12,test!$A$3:$F$32,2,FALSE),VLOOKUP(Y$1,test!$A$3:$F$32,2,FALSE))&lt;=test!$K$16,$A12&lt;&gt;Y$1,feasible_mat!Y12=1),(VLOOKUP(Y$1,test!$A$3:$I$32,8,FALSE))-(VLOOKUP($A12,test!$A$3:$I$32,9,FALSE)),0)</f>
        <v>0</v>
      </c>
      <c r="Z12">
        <f>IF(AND(SUM(VLOOKUP($A12,test!$A$3:$F$32,2,FALSE),VLOOKUP(Z$1,test!$A$3:$F$32,2,FALSE))&lt;=test!$K$16,$A12&lt;&gt;Z$1,feasible_mat!Z12=1),(VLOOKUP(Z$1,test!$A$3:$I$32,8,FALSE))-(VLOOKUP($A12,test!$A$3:$I$32,9,FALSE)),0)</f>
        <v>0</v>
      </c>
      <c r="AA12">
        <f>IF(AND(SUM(VLOOKUP($A12,test!$A$3:$F$32,2,FALSE),VLOOKUP(AA$1,test!$A$3:$F$32,2,FALSE))&lt;=test!$K$16,$A12&lt;&gt;AA$1,feasible_mat!AA12=1),(VLOOKUP(AA$1,test!$A$3:$I$32,8,FALSE))-(VLOOKUP($A12,test!$A$3:$I$32,9,FALSE)),0)</f>
        <v>45</v>
      </c>
      <c r="AB12">
        <f>IF(AND(SUM(VLOOKUP($A12,test!$A$3:$F$32,2,FALSE),VLOOKUP(AB$1,test!$A$3:$F$32,2,FALSE))&lt;=test!$K$16,$A12&lt;&gt;AB$1,feasible_mat!AB12=1),(VLOOKUP(AB$1,test!$A$3:$I$32,8,FALSE))-(VLOOKUP($A12,test!$A$3:$I$32,9,FALSE)),0)</f>
        <v>105</v>
      </c>
      <c r="AC12">
        <f>IF(AND(SUM(VLOOKUP($A12,test!$A$3:$F$32,2,FALSE),VLOOKUP(AC$1,test!$A$3:$F$32,2,FALSE))&lt;=test!$K$16,$A12&lt;&gt;AC$1,feasible_mat!AC12=1),(VLOOKUP(AC$1,test!$A$3:$I$32,8,FALSE))-(VLOOKUP($A12,test!$A$3:$I$32,9,FALSE)),0)</f>
        <v>225</v>
      </c>
      <c r="AD12">
        <f>IF(AND(SUM(VLOOKUP($A12,test!$A$3:$F$32,2,FALSE),VLOOKUP(AD$1,test!$A$3:$F$32,2,FALSE))&lt;=test!$K$16,$A12&lt;&gt;AD$1,feasible_mat!AD12=1),(VLOOKUP(AD$1,test!$A$3:$I$32,8,FALSE))-(VLOOKUP($A12,test!$A$3:$I$32,9,FALSE)),0)</f>
        <v>0</v>
      </c>
      <c r="AE12">
        <f>IF(AND(SUM(VLOOKUP($A12,test!$A$3:$F$32,2,FALSE),VLOOKUP(AE$1,test!$A$3:$F$32,2,FALSE))&lt;=test!$K$16,$A12&lt;&gt;AE$1,feasible_mat!AE12=1),(VLOOKUP(AE$1,test!$A$3:$I$32,8,FALSE))-(VLOOKUP($A12,test!$A$3:$I$32,9,FALSE)),0)</f>
        <v>45</v>
      </c>
      <c r="AF12">
        <f>IF(AND(SUM(VLOOKUP($A12,test!$A$3:$F$32,2,FALSE),VLOOKUP(AF$1,test!$A$3:$F$32,2,FALSE))&lt;=test!$K$16,$A12&lt;&gt;AF$1,feasible_mat!AF12=1),(VLOOKUP(AF$1,test!$A$3:$I$32,8,FALSE))-(VLOOKUP($A12,test!$A$3:$I$32,9,FALSE)),0)</f>
        <v>0</v>
      </c>
      <c r="AJ12" s="16" t="s">
        <v>70</v>
      </c>
    </row>
    <row r="13" spans="1:36" x14ac:dyDescent="0.25">
      <c r="A13" t="s">
        <v>21</v>
      </c>
      <c r="B13">
        <v>0</v>
      </c>
      <c r="C13">
        <f>IF(AND(SUM(VLOOKUP($A13,test!$A$3:$F$32,2,FALSE),VLOOKUP(C$1,test!$A$3:$F$32,2,FALSE))&lt;=test!$K$16,$A13&lt;&gt;C$1,feasible_mat!C13=1),(VLOOKUP(C$1,test!$A$3:$I$32,8,FALSE))-(VLOOKUP($A13,test!$A$3:$I$32,9,FALSE)),0)</f>
        <v>0</v>
      </c>
      <c r="D13">
        <f>IF(AND(SUM(VLOOKUP($A13,test!$A$3:$F$32,2,FALSE),VLOOKUP(D$1,test!$A$3:$F$32,2,FALSE))&lt;=test!$K$16,$A13&lt;&gt;D$1,feasible_mat!D13=1),(VLOOKUP(D$1,test!$A$3:$I$32,8,FALSE))-(VLOOKUP($A13,test!$A$3:$I$32,9,FALSE)),0)</f>
        <v>0</v>
      </c>
      <c r="E13">
        <f>IF(AND(SUM(VLOOKUP($A13,test!$A$3:$F$32,2,FALSE),VLOOKUP(E$1,test!$A$3:$F$32,2,FALSE))&lt;=test!$K$16,$A13&lt;&gt;E$1,feasible_mat!E13=1),(VLOOKUP(E$1,test!$A$3:$I$32,8,FALSE))-(VLOOKUP($A13,test!$A$3:$I$32,9,FALSE)),0)</f>
        <v>0</v>
      </c>
      <c r="F13">
        <f>IF(AND(SUM(VLOOKUP($A13,test!$A$3:$F$32,2,FALSE),VLOOKUP(F$1,test!$A$3:$F$32,2,FALSE))&lt;=test!$K$16,$A13&lt;&gt;F$1,feasible_mat!F13=1),(VLOOKUP(F$1,test!$A$3:$I$32,8,FALSE))-(VLOOKUP($A13,test!$A$3:$I$32,9,FALSE)),0)</f>
        <v>0</v>
      </c>
      <c r="G13">
        <f>IF(AND(SUM(VLOOKUP($A13,test!$A$3:$F$32,2,FALSE),VLOOKUP(G$1,test!$A$3:$F$32,2,FALSE))&lt;=test!$K$16,$A13&lt;&gt;G$1,feasible_mat!G13=1),(VLOOKUP(G$1,test!$A$3:$I$32,8,FALSE))-(VLOOKUP($A13,test!$A$3:$I$32,9,FALSE)),0)</f>
        <v>45</v>
      </c>
      <c r="H13">
        <f>IF(AND(SUM(VLOOKUP($A13,test!$A$3:$F$32,2,FALSE),VLOOKUP(H$1,test!$A$3:$F$32,2,FALSE))&lt;=test!$K$16,$A13&lt;&gt;H$1,feasible_mat!H13=1),(VLOOKUP(H$1,test!$A$3:$I$32,8,FALSE))-(VLOOKUP($A13,test!$A$3:$I$32,9,FALSE)),0)</f>
        <v>105</v>
      </c>
      <c r="I13">
        <f>IF(AND(SUM(VLOOKUP($A13,test!$A$3:$F$32,2,FALSE),VLOOKUP(I$1,test!$A$3:$F$32,2,FALSE))&lt;=test!$K$16,$A13&lt;&gt;I$1,feasible_mat!I13=1),(VLOOKUP(I$1,test!$A$3:$I$32,8,FALSE))-(VLOOKUP($A13,test!$A$3:$I$32,9,FALSE)),0)</f>
        <v>165</v>
      </c>
      <c r="J13">
        <f>IF(AND(SUM(VLOOKUP($A13,test!$A$3:$F$32,2,FALSE),VLOOKUP(J$1,test!$A$3:$F$32,2,FALSE))&lt;=test!$K$16,$A13&lt;&gt;J$1,feasible_mat!J13=1),(VLOOKUP(J$1,test!$A$3:$I$32,8,FALSE))-(VLOOKUP($A13,test!$A$3:$I$32,9,FALSE)),0)</f>
        <v>255</v>
      </c>
      <c r="K13">
        <f>IF(AND(SUM(VLOOKUP($A13,test!$A$3:$F$32,2,FALSE),VLOOKUP(K$1,test!$A$3:$F$32,2,FALSE))&lt;=test!$K$16,$A13&lt;&gt;K$1,feasible_mat!K13=1),(VLOOKUP(K$1,test!$A$3:$I$32,8,FALSE))-(VLOOKUP($A13,test!$A$3:$I$32,9,FALSE)),0)</f>
        <v>0</v>
      </c>
      <c r="L13">
        <f>IF(AND(SUM(VLOOKUP($A13,test!$A$3:$F$32,2,FALSE),VLOOKUP(L$1,test!$A$3:$F$32,2,FALSE))&lt;=test!$K$16,$A13&lt;&gt;L$1,feasible_mat!L13=1),(VLOOKUP(L$1,test!$A$3:$I$32,8,FALSE))-(VLOOKUP($A13,test!$A$3:$I$32,9,FALSE)),0)</f>
        <v>0</v>
      </c>
      <c r="M13">
        <f>IF(AND(SUM(VLOOKUP($A13,test!$A$3:$F$32,2,FALSE),VLOOKUP(M$1,test!$A$3:$F$32,2,FALSE))&lt;=test!$K$16,$A13&lt;&gt;M$1,feasible_mat!M13=1),(VLOOKUP(M$1,test!$A$3:$I$32,8,FALSE))-(VLOOKUP($A13,test!$A$3:$I$32,9,FALSE)),0)</f>
        <v>0</v>
      </c>
      <c r="N13">
        <f>IF(AND(SUM(VLOOKUP($A13,test!$A$3:$F$32,2,FALSE),VLOOKUP(N$1,test!$A$3:$F$32,2,FALSE))&lt;=test!$K$16,$A13&lt;&gt;N$1,feasible_mat!N13=1),(VLOOKUP(N$1,test!$A$3:$I$32,8,FALSE))-(VLOOKUP($A13,test!$A$3:$I$32,9,FALSE)),0)</f>
        <v>220</v>
      </c>
      <c r="O13">
        <f>IF(AND(SUM(VLOOKUP($A13,test!$A$3:$F$32,2,FALSE),VLOOKUP(O$1,test!$A$3:$F$32,2,FALSE))&lt;=test!$K$16,$A13&lt;&gt;O$1,feasible_mat!O13=1),(VLOOKUP(O$1,test!$A$3:$I$32,8,FALSE))-(VLOOKUP($A13,test!$A$3:$I$32,9,FALSE)),0)</f>
        <v>280</v>
      </c>
      <c r="P13">
        <f>IF(AND(SUM(VLOOKUP($A13,test!$A$3:$F$32,2,FALSE),VLOOKUP(P$1,test!$A$3:$F$32,2,FALSE))&lt;=test!$K$16,$A13&lt;&gt;P$1,feasible_mat!P13=1),(VLOOKUP(P$1,test!$A$3:$I$32,8,FALSE))-(VLOOKUP($A13,test!$A$3:$I$32,9,FALSE)),0)</f>
        <v>0</v>
      </c>
      <c r="Q13">
        <f>IF(AND(SUM(VLOOKUP($A13,test!$A$3:$F$32,2,FALSE),VLOOKUP(Q$1,test!$A$3:$F$32,2,FALSE))&lt;=test!$K$16,$A13&lt;&gt;Q$1,feasible_mat!Q13=1),(VLOOKUP(Q$1,test!$A$3:$I$32,8,FALSE))-(VLOOKUP($A13,test!$A$3:$I$32,9,FALSE)),0)</f>
        <v>0</v>
      </c>
      <c r="R13">
        <f>IF(AND(SUM(VLOOKUP($A13,test!$A$3:$F$32,2,FALSE),VLOOKUP(R$1,test!$A$3:$F$32,2,FALSE))&lt;=test!$K$16,$A13&lt;&gt;R$1,feasible_mat!R13=1),(VLOOKUP(R$1,test!$A$3:$I$32,8,FALSE))-(VLOOKUP($A13,test!$A$3:$I$32,9,FALSE)),0)</f>
        <v>0</v>
      </c>
      <c r="S13">
        <f>IF(AND(SUM(VLOOKUP($A13,test!$A$3:$F$32,2,FALSE),VLOOKUP(S$1,test!$A$3:$F$32,2,FALSE))&lt;=test!$K$16,$A13&lt;&gt;S$1,feasible_mat!S13=1),(VLOOKUP(S$1,test!$A$3:$I$32,8,FALSE))-(VLOOKUP($A13,test!$A$3:$I$32,9,FALSE)),0)</f>
        <v>0</v>
      </c>
      <c r="T13">
        <f>IF(AND(SUM(VLOOKUP($A13,test!$A$3:$F$32,2,FALSE),VLOOKUP(T$1,test!$A$3:$F$32,2,FALSE))&lt;=test!$K$16,$A13&lt;&gt;T$1,feasible_mat!T13=1),(VLOOKUP(T$1,test!$A$3:$I$32,8,FALSE))-(VLOOKUP($A13,test!$A$3:$I$32,9,FALSE)),0)</f>
        <v>0</v>
      </c>
      <c r="U13">
        <f>IF(AND(SUM(VLOOKUP($A13,test!$A$3:$F$32,2,FALSE),VLOOKUP(U$1,test!$A$3:$F$32,2,FALSE))&lt;=test!$K$16,$A13&lt;&gt;U$1,feasible_mat!U13=1),(VLOOKUP(U$1,test!$A$3:$I$32,8,FALSE))-(VLOOKUP($A13,test!$A$3:$I$32,9,FALSE)),0)</f>
        <v>0</v>
      </c>
      <c r="V13">
        <f>IF(AND(SUM(VLOOKUP($A13,test!$A$3:$F$32,2,FALSE),VLOOKUP(V$1,test!$A$3:$F$32,2,FALSE))&lt;=test!$K$16,$A13&lt;&gt;V$1,feasible_mat!V13=1),(VLOOKUP(V$1,test!$A$3:$I$32,8,FALSE))-(VLOOKUP($A13,test!$A$3:$I$32,9,FALSE)),0)</f>
        <v>55</v>
      </c>
      <c r="W13">
        <f>IF(AND(SUM(VLOOKUP($A13,test!$A$3:$F$32,2,FALSE),VLOOKUP(W$1,test!$A$3:$F$32,2,FALSE))&lt;=test!$K$16,$A13&lt;&gt;W$1,feasible_mat!W13=1),(VLOOKUP(W$1,test!$A$3:$I$32,8,FALSE))-(VLOOKUP($A13,test!$A$3:$I$32,9,FALSE)),0)</f>
        <v>145</v>
      </c>
      <c r="X13">
        <f>IF(AND(SUM(VLOOKUP($A13,test!$A$3:$F$32,2,FALSE),VLOOKUP(X$1,test!$A$3:$F$32,2,FALSE))&lt;=test!$K$16,$A13&lt;&gt;X$1,feasible_mat!X13=1),(VLOOKUP(X$1,test!$A$3:$I$32,8,FALSE))-(VLOOKUP($A13,test!$A$3:$I$32,9,FALSE)),0)</f>
        <v>205</v>
      </c>
      <c r="Y13">
        <f>IF(AND(SUM(VLOOKUP($A13,test!$A$3:$F$32,2,FALSE),VLOOKUP(Y$1,test!$A$3:$F$32,2,FALSE))&lt;=test!$K$16,$A13&lt;&gt;Y$1,feasible_mat!Y13=1),(VLOOKUP(Y$1,test!$A$3:$I$32,8,FALSE))-(VLOOKUP($A13,test!$A$3:$I$32,9,FALSE)),0)</f>
        <v>0</v>
      </c>
      <c r="Z13">
        <f>IF(AND(SUM(VLOOKUP($A13,test!$A$3:$F$32,2,FALSE),VLOOKUP(Z$1,test!$A$3:$F$32,2,FALSE))&lt;=test!$K$16,$A13&lt;&gt;Z$1,feasible_mat!Z13=1),(VLOOKUP(Z$1,test!$A$3:$I$32,8,FALSE))-(VLOOKUP($A13,test!$A$3:$I$32,9,FALSE)),0)</f>
        <v>0</v>
      </c>
      <c r="AA13">
        <f>IF(AND(SUM(VLOOKUP($A13,test!$A$3:$F$32,2,FALSE),VLOOKUP(AA$1,test!$A$3:$F$32,2,FALSE))&lt;=test!$K$16,$A13&lt;&gt;AA$1,feasible_mat!AA13=1),(VLOOKUP(AA$1,test!$A$3:$I$32,8,FALSE))-(VLOOKUP($A13,test!$A$3:$I$32,9,FALSE)),0)</f>
        <v>0</v>
      </c>
      <c r="AB13">
        <f>IF(AND(SUM(VLOOKUP($A13,test!$A$3:$F$32,2,FALSE),VLOOKUP(AB$1,test!$A$3:$F$32,2,FALSE))&lt;=test!$K$16,$A13&lt;&gt;AB$1,feasible_mat!AB13=1),(VLOOKUP(AB$1,test!$A$3:$I$32,8,FALSE))-(VLOOKUP($A13,test!$A$3:$I$32,9,FALSE)),0)</f>
        <v>0</v>
      </c>
      <c r="AC13">
        <f>IF(AND(SUM(VLOOKUP($A13,test!$A$3:$F$32,2,FALSE),VLOOKUP(AC$1,test!$A$3:$F$32,2,FALSE))&lt;=test!$K$16,$A13&lt;&gt;AC$1,feasible_mat!AC13=1),(VLOOKUP(AC$1,test!$A$3:$I$32,8,FALSE))-(VLOOKUP($A13,test!$A$3:$I$32,9,FALSE)),0)</f>
        <v>105</v>
      </c>
      <c r="AD13">
        <f>IF(AND(SUM(VLOOKUP($A13,test!$A$3:$F$32,2,FALSE),VLOOKUP(AD$1,test!$A$3:$F$32,2,FALSE))&lt;=test!$K$16,$A13&lt;&gt;AD$1,feasible_mat!AD13=1),(VLOOKUP(AD$1,test!$A$3:$I$32,8,FALSE))-(VLOOKUP($A13,test!$A$3:$I$32,9,FALSE)),0)</f>
        <v>0</v>
      </c>
      <c r="AE13">
        <f>IF(AND(SUM(VLOOKUP($A13,test!$A$3:$F$32,2,FALSE),VLOOKUP(AE$1,test!$A$3:$F$32,2,FALSE))&lt;=test!$K$16,$A13&lt;&gt;AE$1,feasible_mat!AE13=1),(VLOOKUP(AE$1,test!$A$3:$I$32,8,FALSE))-(VLOOKUP($A13,test!$A$3:$I$32,9,FALSE)),0)</f>
        <v>0</v>
      </c>
      <c r="AF13">
        <f>IF(AND(SUM(VLOOKUP($A13,test!$A$3:$F$32,2,FALSE),VLOOKUP(AF$1,test!$A$3:$F$32,2,FALSE))&lt;=test!$K$16,$A13&lt;&gt;AF$1,feasible_mat!AF13=1),(VLOOKUP(AF$1,test!$A$3:$I$32,8,FALSE))-(VLOOKUP($A13,test!$A$3:$I$32,9,FALSE)),0)</f>
        <v>0</v>
      </c>
      <c r="AJ13" s="16" t="e">
        <f>VLOOKUP(AE$1,test!$A$3:$F$32,8,FALSE)</f>
        <v>#REF!</v>
      </c>
    </row>
    <row r="14" spans="1:36" x14ac:dyDescent="0.25">
      <c r="A14" t="s">
        <v>22</v>
      </c>
      <c r="B14">
        <v>0</v>
      </c>
      <c r="C14">
        <f>IF(AND(SUM(VLOOKUP($A14,test!$A$3:$F$32,2,FALSE),VLOOKUP(C$1,test!$A$3:$F$32,2,FALSE))&lt;=test!$K$16,$A14&lt;&gt;C$1,feasible_mat!C14=1),(VLOOKUP(C$1,test!$A$3:$I$32,8,FALSE))-(VLOOKUP($A14,test!$A$3:$I$32,9,FALSE)),0)</f>
        <v>0</v>
      </c>
      <c r="D14">
        <f>IF(AND(SUM(VLOOKUP($A14,test!$A$3:$F$32,2,FALSE),VLOOKUP(D$1,test!$A$3:$F$32,2,FALSE))&lt;=test!$K$16,$A14&lt;&gt;D$1,feasible_mat!D14=1),(VLOOKUP(D$1,test!$A$3:$I$32,8,FALSE))-(VLOOKUP($A14,test!$A$3:$I$32,9,FALSE)),0)</f>
        <v>0</v>
      </c>
      <c r="E14">
        <f>IF(AND(SUM(VLOOKUP($A14,test!$A$3:$F$32,2,FALSE),VLOOKUP(E$1,test!$A$3:$F$32,2,FALSE))&lt;=test!$K$16,$A14&lt;&gt;E$1,feasible_mat!E14=1),(VLOOKUP(E$1,test!$A$3:$I$32,8,FALSE))-(VLOOKUP($A14,test!$A$3:$I$32,9,FALSE)),0)</f>
        <v>0</v>
      </c>
      <c r="F14">
        <f>IF(AND(SUM(VLOOKUP($A14,test!$A$3:$F$32,2,FALSE),VLOOKUP(F$1,test!$A$3:$F$32,2,FALSE))&lt;=test!$K$16,$A14&lt;&gt;F$1,feasible_mat!F14=1),(VLOOKUP(F$1,test!$A$3:$I$32,8,FALSE))-(VLOOKUP($A14,test!$A$3:$I$32,9,FALSE)),0)</f>
        <v>0</v>
      </c>
      <c r="G14">
        <f>IF(AND(SUM(VLOOKUP($A14,test!$A$3:$F$32,2,FALSE),VLOOKUP(G$1,test!$A$3:$F$32,2,FALSE))&lt;=test!$K$16,$A14&lt;&gt;G$1,feasible_mat!G14=1),(VLOOKUP(G$1,test!$A$3:$I$32,8,FALSE))-(VLOOKUP($A14,test!$A$3:$I$32,9,FALSE)),0)</f>
        <v>0</v>
      </c>
      <c r="H14">
        <f>IF(AND(SUM(VLOOKUP($A14,test!$A$3:$F$32,2,FALSE),VLOOKUP(H$1,test!$A$3:$F$32,2,FALSE))&lt;=test!$K$16,$A14&lt;&gt;H$1,feasible_mat!H14=1),(VLOOKUP(H$1,test!$A$3:$I$32,8,FALSE))-(VLOOKUP($A14,test!$A$3:$I$32,9,FALSE)),0)</f>
        <v>0</v>
      </c>
      <c r="I14">
        <f>IF(AND(SUM(VLOOKUP($A14,test!$A$3:$F$32,2,FALSE),VLOOKUP(I$1,test!$A$3:$F$32,2,FALSE))&lt;=test!$K$16,$A14&lt;&gt;I$1,feasible_mat!I14=1),(VLOOKUP(I$1,test!$A$3:$I$32,8,FALSE))-(VLOOKUP($A14,test!$A$3:$I$32,9,FALSE)),0)</f>
        <v>0</v>
      </c>
      <c r="J14">
        <f>IF(AND(SUM(VLOOKUP($A14,test!$A$3:$F$32,2,FALSE),VLOOKUP(J$1,test!$A$3:$F$32,2,FALSE))&lt;=test!$K$16,$A14&lt;&gt;J$1,feasible_mat!J14=1),(VLOOKUP(J$1,test!$A$3:$I$32,8,FALSE))-(VLOOKUP($A14,test!$A$3:$I$32,9,FALSE)),0)</f>
        <v>0</v>
      </c>
      <c r="K14">
        <f>IF(AND(SUM(VLOOKUP($A14,test!$A$3:$F$32,2,FALSE),VLOOKUP(K$1,test!$A$3:$F$32,2,FALSE))&lt;=test!$K$16,$A14&lt;&gt;K$1,feasible_mat!K14=1),(VLOOKUP(K$1,test!$A$3:$I$32,8,FALSE))-(VLOOKUP($A14,test!$A$3:$I$32,9,FALSE)),0)</f>
        <v>0</v>
      </c>
      <c r="L14">
        <f>IF(AND(SUM(VLOOKUP($A14,test!$A$3:$F$32,2,FALSE),VLOOKUP(L$1,test!$A$3:$F$32,2,FALSE))&lt;=test!$K$16,$A14&lt;&gt;L$1,feasible_mat!L14=1),(VLOOKUP(L$1,test!$A$3:$I$32,8,FALSE))-(VLOOKUP($A14,test!$A$3:$I$32,9,FALSE)),0)</f>
        <v>0</v>
      </c>
      <c r="M14">
        <f>IF(AND(SUM(VLOOKUP($A14,test!$A$3:$F$32,2,FALSE),VLOOKUP(M$1,test!$A$3:$F$32,2,FALSE))&lt;=test!$K$16,$A14&lt;&gt;M$1,feasible_mat!M14=1),(VLOOKUP(M$1,test!$A$3:$I$32,8,FALSE))-(VLOOKUP($A14,test!$A$3:$I$32,9,FALSE)),0)</f>
        <v>0</v>
      </c>
      <c r="N14">
        <f>IF(AND(SUM(VLOOKUP($A14,test!$A$3:$F$32,2,FALSE),VLOOKUP(N$1,test!$A$3:$F$32,2,FALSE))&lt;=test!$K$16,$A14&lt;&gt;N$1,feasible_mat!N14=1),(VLOOKUP(N$1,test!$A$3:$I$32,8,FALSE))-(VLOOKUP($A14,test!$A$3:$I$32,9,FALSE)),0)</f>
        <v>0</v>
      </c>
      <c r="O14">
        <f>IF(AND(SUM(VLOOKUP($A14,test!$A$3:$F$32,2,FALSE),VLOOKUP(O$1,test!$A$3:$F$32,2,FALSE))&lt;=test!$K$16,$A14&lt;&gt;O$1,feasible_mat!O14=1),(VLOOKUP(O$1,test!$A$3:$I$32,8,FALSE))-(VLOOKUP($A14,test!$A$3:$I$32,9,FALSE)),0)</f>
        <v>0</v>
      </c>
      <c r="P14">
        <f>IF(AND(SUM(VLOOKUP($A14,test!$A$3:$F$32,2,FALSE),VLOOKUP(P$1,test!$A$3:$F$32,2,FALSE))&lt;=test!$K$16,$A14&lt;&gt;P$1,feasible_mat!P14=1),(VLOOKUP(P$1,test!$A$3:$I$32,8,FALSE))-(VLOOKUP($A14,test!$A$3:$I$32,9,FALSE)),0)</f>
        <v>0</v>
      </c>
      <c r="Q14">
        <f>IF(AND(SUM(VLOOKUP($A14,test!$A$3:$F$32,2,FALSE),VLOOKUP(Q$1,test!$A$3:$F$32,2,FALSE))&lt;=test!$K$16,$A14&lt;&gt;Q$1,feasible_mat!Q14=1),(VLOOKUP(Q$1,test!$A$3:$I$32,8,FALSE))-(VLOOKUP($A14,test!$A$3:$I$32,9,FALSE)),0)</f>
        <v>0</v>
      </c>
      <c r="R14">
        <f>IF(AND(SUM(VLOOKUP($A14,test!$A$3:$F$32,2,FALSE),VLOOKUP(R$1,test!$A$3:$F$32,2,FALSE))&lt;=test!$K$16,$A14&lt;&gt;R$1,feasible_mat!R14=1),(VLOOKUP(R$1,test!$A$3:$I$32,8,FALSE))-(VLOOKUP($A14,test!$A$3:$I$32,9,FALSE)),0)</f>
        <v>0</v>
      </c>
      <c r="S14">
        <f>IF(AND(SUM(VLOOKUP($A14,test!$A$3:$F$32,2,FALSE),VLOOKUP(S$1,test!$A$3:$F$32,2,FALSE))&lt;=test!$K$16,$A14&lt;&gt;S$1,feasible_mat!S14=1),(VLOOKUP(S$1,test!$A$3:$I$32,8,FALSE))-(VLOOKUP($A14,test!$A$3:$I$32,9,FALSE)),0)</f>
        <v>0</v>
      </c>
      <c r="T14">
        <f>IF(AND(SUM(VLOOKUP($A14,test!$A$3:$F$32,2,FALSE),VLOOKUP(T$1,test!$A$3:$F$32,2,FALSE))&lt;=test!$K$16,$A14&lt;&gt;T$1,feasible_mat!T14=1),(VLOOKUP(T$1,test!$A$3:$I$32,8,FALSE))-(VLOOKUP($A14,test!$A$3:$I$32,9,FALSE)),0)</f>
        <v>0</v>
      </c>
      <c r="U14">
        <f>IF(AND(SUM(VLOOKUP($A14,test!$A$3:$F$32,2,FALSE),VLOOKUP(U$1,test!$A$3:$F$32,2,FALSE))&lt;=test!$K$16,$A14&lt;&gt;U$1,feasible_mat!U14=1),(VLOOKUP(U$1,test!$A$3:$I$32,8,FALSE))-(VLOOKUP($A14,test!$A$3:$I$32,9,FALSE)),0)</f>
        <v>0</v>
      </c>
      <c r="V14">
        <f>IF(AND(SUM(VLOOKUP($A14,test!$A$3:$F$32,2,FALSE),VLOOKUP(V$1,test!$A$3:$F$32,2,FALSE))&lt;=test!$K$16,$A14&lt;&gt;V$1,feasible_mat!V14=1),(VLOOKUP(V$1,test!$A$3:$I$32,8,FALSE))-(VLOOKUP($A14,test!$A$3:$I$32,9,FALSE)),0)</f>
        <v>0</v>
      </c>
      <c r="W14">
        <f>IF(AND(SUM(VLOOKUP($A14,test!$A$3:$F$32,2,FALSE),VLOOKUP(W$1,test!$A$3:$F$32,2,FALSE))&lt;=test!$K$16,$A14&lt;&gt;W$1,feasible_mat!W14=1),(VLOOKUP(W$1,test!$A$3:$I$32,8,FALSE))-(VLOOKUP($A14,test!$A$3:$I$32,9,FALSE)),0)</f>
        <v>0</v>
      </c>
      <c r="X14">
        <f>IF(AND(SUM(VLOOKUP($A14,test!$A$3:$F$32,2,FALSE),VLOOKUP(X$1,test!$A$3:$F$32,2,FALSE))&lt;=test!$K$16,$A14&lt;&gt;X$1,feasible_mat!X14=1),(VLOOKUP(X$1,test!$A$3:$I$32,8,FALSE))-(VLOOKUP($A14,test!$A$3:$I$32,9,FALSE)),0)</f>
        <v>0</v>
      </c>
      <c r="Y14">
        <f>IF(AND(SUM(VLOOKUP($A14,test!$A$3:$F$32,2,FALSE),VLOOKUP(Y$1,test!$A$3:$F$32,2,FALSE))&lt;=test!$K$16,$A14&lt;&gt;Y$1,feasible_mat!Y14=1),(VLOOKUP(Y$1,test!$A$3:$I$32,8,FALSE))-(VLOOKUP($A14,test!$A$3:$I$32,9,FALSE)),0)</f>
        <v>0</v>
      </c>
      <c r="Z14">
        <f>IF(AND(SUM(VLOOKUP($A14,test!$A$3:$F$32,2,FALSE),VLOOKUP(Z$1,test!$A$3:$F$32,2,FALSE))&lt;=test!$K$16,$A14&lt;&gt;Z$1,feasible_mat!Z14=1),(VLOOKUP(Z$1,test!$A$3:$I$32,8,FALSE))-(VLOOKUP($A14,test!$A$3:$I$32,9,FALSE)),0)</f>
        <v>0</v>
      </c>
      <c r="AA14">
        <f>IF(AND(SUM(VLOOKUP($A14,test!$A$3:$F$32,2,FALSE),VLOOKUP(AA$1,test!$A$3:$F$32,2,FALSE))&lt;=test!$K$16,$A14&lt;&gt;AA$1,feasible_mat!AA14=1),(VLOOKUP(AA$1,test!$A$3:$I$32,8,FALSE))-(VLOOKUP($A14,test!$A$3:$I$32,9,FALSE)),0)</f>
        <v>0</v>
      </c>
      <c r="AB14">
        <f>IF(AND(SUM(VLOOKUP($A14,test!$A$3:$F$32,2,FALSE),VLOOKUP(AB$1,test!$A$3:$F$32,2,FALSE))&lt;=test!$K$16,$A14&lt;&gt;AB$1,feasible_mat!AB14=1),(VLOOKUP(AB$1,test!$A$3:$I$32,8,FALSE))-(VLOOKUP($A14,test!$A$3:$I$32,9,FALSE)),0)</f>
        <v>0</v>
      </c>
      <c r="AC14">
        <f>IF(AND(SUM(VLOOKUP($A14,test!$A$3:$F$32,2,FALSE),VLOOKUP(AC$1,test!$A$3:$F$32,2,FALSE))&lt;=test!$K$16,$A14&lt;&gt;AC$1,feasible_mat!AC14=1),(VLOOKUP(AC$1,test!$A$3:$I$32,8,FALSE))-(VLOOKUP($A14,test!$A$3:$I$32,9,FALSE)),0)</f>
        <v>0</v>
      </c>
      <c r="AD14">
        <f>IF(AND(SUM(VLOOKUP($A14,test!$A$3:$F$32,2,FALSE),VLOOKUP(AD$1,test!$A$3:$F$32,2,FALSE))&lt;=test!$K$16,$A14&lt;&gt;AD$1,feasible_mat!AD14=1),(VLOOKUP(AD$1,test!$A$3:$I$32,8,FALSE))-(VLOOKUP($A14,test!$A$3:$I$32,9,FALSE)),0)</f>
        <v>0</v>
      </c>
      <c r="AE14">
        <f>IF(AND(SUM(VLOOKUP($A14,test!$A$3:$F$32,2,FALSE),VLOOKUP(AE$1,test!$A$3:$F$32,2,FALSE))&lt;=test!$K$16,$A14&lt;&gt;AE$1,feasible_mat!AE14=1),(VLOOKUP(AE$1,test!$A$3:$I$32,8,FALSE))-(VLOOKUP($A14,test!$A$3:$I$32,9,FALSE)),0)</f>
        <v>0</v>
      </c>
      <c r="AF14">
        <f>IF(AND(SUM(VLOOKUP($A14,test!$A$3:$F$32,2,FALSE),VLOOKUP(AF$1,test!$A$3:$F$32,2,FALSE))&lt;=test!$K$16,$A14&lt;&gt;AF$1,feasible_mat!AF14=1),(VLOOKUP(AF$1,test!$A$3:$I$32,8,FALSE))-(VLOOKUP($A14,test!$A$3:$I$32,9,FALSE)),0)</f>
        <v>0</v>
      </c>
    </row>
    <row r="15" spans="1:36" x14ac:dyDescent="0.25">
      <c r="A15" t="s">
        <v>23</v>
      </c>
      <c r="B15">
        <v>0</v>
      </c>
      <c r="C15">
        <f>IF(AND(SUM(VLOOKUP($A15,test!$A$3:$F$32,2,FALSE),VLOOKUP(C$1,test!$A$3:$F$32,2,FALSE))&lt;=test!$K$16,$A15&lt;&gt;C$1,feasible_mat!C15=1),(VLOOKUP(C$1,test!$A$3:$I$32,8,FALSE))-(VLOOKUP($A15,test!$A$3:$I$32,9,FALSE)),0)</f>
        <v>0</v>
      </c>
      <c r="D15">
        <f>IF(AND(SUM(VLOOKUP($A15,test!$A$3:$F$32,2,FALSE),VLOOKUP(D$1,test!$A$3:$F$32,2,FALSE))&lt;=test!$K$16,$A15&lt;&gt;D$1,feasible_mat!D15=1),(VLOOKUP(D$1,test!$A$3:$I$32,8,FALSE))-(VLOOKUP($A15,test!$A$3:$I$32,9,FALSE)),0)</f>
        <v>0</v>
      </c>
      <c r="E15">
        <f>IF(AND(SUM(VLOOKUP($A15,test!$A$3:$F$32,2,FALSE),VLOOKUP(E$1,test!$A$3:$F$32,2,FALSE))&lt;=test!$K$16,$A15&lt;&gt;E$1,feasible_mat!E15=1),(VLOOKUP(E$1,test!$A$3:$I$32,8,FALSE))-(VLOOKUP($A15,test!$A$3:$I$32,9,FALSE)),0)</f>
        <v>0</v>
      </c>
      <c r="F15">
        <f>IF(AND(SUM(VLOOKUP($A15,test!$A$3:$F$32,2,FALSE),VLOOKUP(F$1,test!$A$3:$F$32,2,FALSE))&lt;=test!$K$16,$A15&lt;&gt;F$1,feasible_mat!F15=1),(VLOOKUP(F$1,test!$A$3:$I$32,8,FALSE))-(VLOOKUP($A15,test!$A$3:$I$32,9,FALSE)),0)</f>
        <v>0</v>
      </c>
      <c r="G15">
        <f>IF(AND(SUM(VLOOKUP($A15,test!$A$3:$F$32,2,FALSE),VLOOKUP(G$1,test!$A$3:$F$32,2,FALSE))&lt;=test!$K$16,$A15&lt;&gt;G$1,feasible_mat!G15=1),(VLOOKUP(G$1,test!$A$3:$I$32,8,FALSE))-(VLOOKUP($A15,test!$A$3:$I$32,9,FALSE)),0)</f>
        <v>0</v>
      </c>
      <c r="H15">
        <f>IF(AND(SUM(VLOOKUP($A15,test!$A$3:$F$32,2,FALSE),VLOOKUP(H$1,test!$A$3:$F$32,2,FALSE))&lt;=test!$K$16,$A15&lt;&gt;H$1,feasible_mat!H15=1),(VLOOKUP(H$1,test!$A$3:$I$32,8,FALSE))-(VLOOKUP($A15,test!$A$3:$I$32,9,FALSE)),0)</f>
        <v>0</v>
      </c>
      <c r="I15">
        <f>IF(AND(SUM(VLOOKUP($A15,test!$A$3:$F$32,2,FALSE),VLOOKUP(I$1,test!$A$3:$F$32,2,FALSE))&lt;=test!$K$16,$A15&lt;&gt;I$1,feasible_mat!I15=1),(VLOOKUP(I$1,test!$A$3:$I$32,8,FALSE))-(VLOOKUP($A15,test!$A$3:$I$32,9,FALSE)),0)</f>
        <v>0</v>
      </c>
      <c r="J15">
        <f>IF(AND(SUM(VLOOKUP($A15,test!$A$3:$F$32,2,FALSE),VLOOKUP(J$1,test!$A$3:$F$32,2,FALSE))&lt;=test!$K$16,$A15&lt;&gt;J$1,feasible_mat!J15=1),(VLOOKUP(J$1,test!$A$3:$I$32,8,FALSE))-(VLOOKUP($A15,test!$A$3:$I$32,9,FALSE)),0)</f>
        <v>0</v>
      </c>
      <c r="K15">
        <f>IF(AND(SUM(VLOOKUP($A15,test!$A$3:$F$32,2,FALSE),VLOOKUP(K$1,test!$A$3:$F$32,2,FALSE))&lt;=test!$K$16,$A15&lt;&gt;K$1,feasible_mat!K15=1),(VLOOKUP(K$1,test!$A$3:$I$32,8,FALSE))-(VLOOKUP($A15,test!$A$3:$I$32,9,FALSE)),0)</f>
        <v>0</v>
      </c>
      <c r="L15">
        <f>IF(AND(SUM(VLOOKUP($A15,test!$A$3:$F$32,2,FALSE),VLOOKUP(L$1,test!$A$3:$F$32,2,FALSE))&lt;=test!$K$16,$A15&lt;&gt;L$1,feasible_mat!L15=1),(VLOOKUP(L$1,test!$A$3:$I$32,8,FALSE))-(VLOOKUP($A15,test!$A$3:$I$32,9,FALSE)),0)</f>
        <v>0</v>
      </c>
      <c r="M15">
        <f>IF(AND(SUM(VLOOKUP($A15,test!$A$3:$F$32,2,FALSE),VLOOKUP(M$1,test!$A$3:$F$32,2,FALSE))&lt;=test!$K$16,$A15&lt;&gt;M$1,feasible_mat!M15=1),(VLOOKUP(M$1,test!$A$3:$I$32,8,FALSE))-(VLOOKUP($A15,test!$A$3:$I$32,9,FALSE)),0)</f>
        <v>0</v>
      </c>
      <c r="N15">
        <f>IF(AND(SUM(VLOOKUP($A15,test!$A$3:$F$32,2,FALSE),VLOOKUP(N$1,test!$A$3:$F$32,2,FALSE))&lt;=test!$K$16,$A15&lt;&gt;N$1,feasible_mat!N15=1),(VLOOKUP(N$1,test!$A$3:$I$32,8,FALSE))-(VLOOKUP($A15,test!$A$3:$I$32,9,FALSE)),0)</f>
        <v>0</v>
      </c>
      <c r="O15">
        <f>IF(AND(SUM(VLOOKUP($A15,test!$A$3:$F$32,2,FALSE),VLOOKUP(O$1,test!$A$3:$F$32,2,FALSE))&lt;=test!$K$16,$A15&lt;&gt;O$1,feasible_mat!O15=1),(VLOOKUP(O$1,test!$A$3:$I$32,8,FALSE))-(VLOOKUP($A15,test!$A$3:$I$32,9,FALSE)),0)</f>
        <v>0</v>
      </c>
      <c r="P15">
        <f>IF(AND(SUM(VLOOKUP($A15,test!$A$3:$F$32,2,FALSE),VLOOKUP(P$1,test!$A$3:$F$32,2,FALSE))&lt;=test!$K$16,$A15&lt;&gt;P$1,feasible_mat!P15=1),(VLOOKUP(P$1,test!$A$3:$I$32,8,FALSE))-(VLOOKUP($A15,test!$A$3:$I$32,9,FALSE)),0)</f>
        <v>0</v>
      </c>
      <c r="Q15">
        <f>IF(AND(SUM(VLOOKUP($A15,test!$A$3:$F$32,2,FALSE),VLOOKUP(Q$1,test!$A$3:$F$32,2,FALSE))&lt;=test!$K$16,$A15&lt;&gt;Q$1,feasible_mat!Q15=1),(VLOOKUP(Q$1,test!$A$3:$I$32,8,FALSE))-(VLOOKUP($A15,test!$A$3:$I$32,9,FALSE)),0)</f>
        <v>0</v>
      </c>
      <c r="R15">
        <f>IF(AND(SUM(VLOOKUP($A15,test!$A$3:$F$32,2,FALSE),VLOOKUP(R$1,test!$A$3:$F$32,2,FALSE))&lt;=test!$K$16,$A15&lt;&gt;R$1,feasible_mat!R15=1),(VLOOKUP(R$1,test!$A$3:$I$32,8,FALSE))-(VLOOKUP($A15,test!$A$3:$I$32,9,FALSE)),0)</f>
        <v>0</v>
      </c>
      <c r="S15">
        <f>IF(AND(SUM(VLOOKUP($A15,test!$A$3:$F$32,2,FALSE),VLOOKUP(S$1,test!$A$3:$F$32,2,FALSE))&lt;=test!$K$16,$A15&lt;&gt;S$1,feasible_mat!S15=1),(VLOOKUP(S$1,test!$A$3:$I$32,8,FALSE))-(VLOOKUP($A15,test!$A$3:$I$32,9,FALSE)),0)</f>
        <v>0</v>
      </c>
      <c r="T15">
        <f>IF(AND(SUM(VLOOKUP($A15,test!$A$3:$F$32,2,FALSE),VLOOKUP(T$1,test!$A$3:$F$32,2,FALSE))&lt;=test!$K$16,$A15&lt;&gt;T$1,feasible_mat!T15=1),(VLOOKUP(T$1,test!$A$3:$I$32,8,FALSE))-(VLOOKUP($A15,test!$A$3:$I$32,9,FALSE)),0)</f>
        <v>0</v>
      </c>
      <c r="U15">
        <f>IF(AND(SUM(VLOOKUP($A15,test!$A$3:$F$32,2,FALSE),VLOOKUP(U$1,test!$A$3:$F$32,2,FALSE))&lt;=test!$K$16,$A15&lt;&gt;U$1,feasible_mat!U15=1),(VLOOKUP(U$1,test!$A$3:$I$32,8,FALSE))-(VLOOKUP($A15,test!$A$3:$I$32,9,FALSE)),0)</f>
        <v>0</v>
      </c>
      <c r="V15">
        <f>IF(AND(SUM(VLOOKUP($A15,test!$A$3:$F$32,2,FALSE),VLOOKUP(V$1,test!$A$3:$F$32,2,FALSE))&lt;=test!$K$16,$A15&lt;&gt;V$1,feasible_mat!V15=1),(VLOOKUP(V$1,test!$A$3:$I$32,8,FALSE))-(VLOOKUP($A15,test!$A$3:$I$32,9,FALSE)),0)</f>
        <v>0</v>
      </c>
      <c r="W15">
        <f>IF(AND(SUM(VLOOKUP($A15,test!$A$3:$F$32,2,FALSE),VLOOKUP(W$1,test!$A$3:$F$32,2,FALSE))&lt;=test!$K$16,$A15&lt;&gt;W$1,feasible_mat!W15=1),(VLOOKUP(W$1,test!$A$3:$I$32,8,FALSE))-(VLOOKUP($A15,test!$A$3:$I$32,9,FALSE)),0)</f>
        <v>0</v>
      </c>
      <c r="X15">
        <f>IF(AND(SUM(VLOOKUP($A15,test!$A$3:$F$32,2,FALSE),VLOOKUP(X$1,test!$A$3:$F$32,2,FALSE))&lt;=test!$K$16,$A15&lt;&gt;X$1,feasible_mat!X15=1),(VLOOKUP(X$1,test!$A$3:$I$32,8,FALSE))-(VLOOKUP($A15,test!$A$3:$I$32,9,FALSE)),0)</f>
        <v>0</v>
      </c>
      <c r="Y15">
        <f>IF(AND(SUM(VLOOKUP($A15,test!$A$3:$F$32,2,FALSE),VLOOKUP(Y$1,test!$A$3:$F$32,2,FALSE))&lt;=test!$K$16,$A15&lt;&gt;Y$1,feasible_mat!Y15=1),(VLOOKUP(Y$1,test!$A$3:$I$32,8,FALSE))-(VLOOKUP($A15,test!$A$3:$I$32,9,FALSE)),0)</f>
        <v>0</v>
      </c>
      <c r="Z15">
        <f>IF(AND(SUM(VLOOKUP($A15,test!$A$3:$F$32,2,FALSE),VLOOKUP(Z$1,test!$A$3:$F$32,2,FALSE))&lt;=test!$K$16,$A15&lt;&gt;Z$1,feasible_mat!Z15=1),(VLOOKUP(Z$1,test!$A$3:$I$32,8,FALSE))-(VLOOKUP($A15,test!$A$3:$I$32,9,FALSE)),0)</f>
        <v>0</v>
      </c>
      <c r="AA15">
        <f>IF(AND(SUM(VLOOKUP($A15,test!$A$3:$F$32,2,FALSE),VLOOKUP(AA$1,test!$A$3:$F$32,2,FALSE))&lt;=test!$K$16,$A15&lt;&gt;AA$1,feasible_mat!AA15=1),(VLOOKUP(AA$1,test!$A$3:$I$32,8,FALSE))-(VLOOKUP($A15,test!$A$3:$I$32,9,FALSE)),0)</f>
        <v>0</v>
      </c>
      <c r="AB15">
        <f>IF(AND(SUM(VLOOKUP($A15,test!$A$3:$F$32,2,FALSE),VLOOKUP(AB$1,test!$A$3:$F$32,2,FALSE))&lt;=test!$K$16,$A15&lt;&gt;AB$1,feasible_mat!AB15=1),(VLOOKUP(AB$1,test!$A$3:$I$32,8,FALSE))-(VLOOKUP($A15,test!$A$3:$I$32,9,FALSE)),0)</f>
        <v>0</v>
      </c>
      <c r="AC15">
        <f>IF(AND(SUM(VLOOKUP($A15,test!$A$3:$F$32,2,FALSE),VLOOKUP(AC$1,test!$A$3:$F$32,2,FALSE))&lt;=test!$K$16,$A15&lt;&gt;AC$1,feasible_mat!AC15=1),(VLOOKUP(AC$1,test!$A$3:$I$32,8,FALSE))-(VLOOKUP($A15,test!$A$3:$I$32,9,FALSE)),0)</f>
        <v>0</v>
      </c>
      <c r="AD15">
        <f>IF(AND(SUM(VLOOKUP($A15,test!$A$3:$F$32,2,FALSE),VLOOKUP(AD$1,test!$A$3:$F$32,2,FALSE))&lt;=test!$K$16,$A15&lt;&gt;AD$1,feasible_mat!AD15=1),(VLOOKUP(AD$1,test!$A$3:$I$32,8,FALSE))-(VLOOKUP($A15,test!$A$3:$I$32,9,FALSE)),0)</f>
        <v>0</v>
      </c>
      <c r="AE15">
        <f>IF(AND(SUM(VLOOKUP($A15,test!$A$3:$F$32,2,FALSE),VLOOKUP(AE$1,test!$A$3:$F$32,2,FALSE))&lt;=test!$K$16,$A15&lt;&gt;AE$1,feasible_mat!AE15=1),(VLOOKUP(AE$1,test!$A$3:$I$32,8,FALSE))-(VLOOKUP($A15,test!$A$3:$I$32,9,FALSE)),0)</f>
        <v>0</v>
      </c>
      <c r="AF15">
        <f>IF(AND(SUM(VLOOKUP($A15,test!$A$3:$F$32,2,FALSE),VLOOKUP(AF$1,test!$A$3:$F$32,2,FALSE))&lt;=test!$K$16,$A15&lt;&gt;AF$1,feasible_mat!AF15=1),(VLOOKUP(AF$1,test!$A$3:$I$32,8,FALSE))-(VLOOKUP($A15,test!$A$3:$I$32,9,FALSE)),0)</f>
        <v>0</v>
      </c>
      <c r="AJ15" s="16">
        <f>IF(SUM(VLOOKUP($A11,test!$A$3:$F$32,2,FALSE),VLOOKUP(AF$1,test!$A$3:$F$32,2,FALSE))&lt;=test!$K$16,IF(AND($A11&lt;&gt;AF$1,feasible_mat!AF11=1),(VLOOKUP(AF$1,test!$A$3:$I$32,8,FALSE))-(VLOOKUP($A11,test!$A$3:$I$32,9,FALSE)),0),IF(AND($A11&lt;&gt;AF$1,feasible_mat!AF11=1),(VLOOKUP(AF$1,test!$A$3:$I$32,8,FALSE))-(VLOOKUP($A11,test!$A$3:$I$32,9,FALSE))-50,0))</f>
        <v>65</v>
      </c>
    </row>
    <row r="16" spans="1:36" x14ac:dyDescent="0.25">
      <c r="A16" t="s">
        <v>24</v>
      </c>
      <c r="B16">
        <v>0</v>
      </c>
      <c r="C16">
        <f>IF(AND(SUM(VLOOKUP($A16,test!$A$3:$F$32,2,FALSE),VLOOKUP(C$1,test!$A$3:$F$32,2,FALSE))&lt;=test!$K$16,$A16&lt;&gt;C$1,feasible_mat!C16=1),(VLOOKUP(C$1,test!$A$3:$I$32,8,FALSE))-(VLOOKUP($A16,test!$A$3:$I$32,9,FALSE)),0)</f>
        <v>0</v>
      </c>
      <c r="D16">
        <f>IF(AND(SUM(VLOOKUP($A16,test!$A$3:$F$32,2,FALSE),VLOOKUP(D$1,test!$A$3:$F$32,2,FALSE))&lt;=test!$K$16,$A16&lt;&gt;D$1,feasible_mat!D16=1),(VLOOKUP(D$1,test!$A$3:$I$32,8,FALSE))-(VLOOKUP($A16,test!$A$3:$I$32,9,FALSE)),0)</f>
        <v>0</v>
      </c>
      <c r="E16">
        <f>IF(AND(SUM(VLOOKUP($A16,test!$A$3:$F$32,2,FALSE),VLOOKUP(E$1,test!$A$3:$F$32,2,FALSE))&lt;=test!$K$16,$A16&lt;&gt;E$1,feasible_mat!E16=1),(VLOOKUP(E$1,test!$A$3:$I$32,8,FALSE))-(VLOOKUP($A16,test!$A$3:$I$32,9,FALSE)),0)</f>
        <v>60</v>
      </c>
      <c r="F16">
        <f>IF(AND(SUM(VLOOKUP($A16,test!$A$3:$F$32,2,FALSE),VLOOKUP(F$1,test!$A$3:$F$32,2,FALSE))&lt;=test!$K$16,$A16&lt;&gt;F$1,feasible_mat!F16=1),(VLOOKUP(F$1,test!$A$3:$I$32,8,FALSE))-(VLOOKUP($A16,test!$A$3:$I$32,9,FALSE)),0)</f>
        <v>150</v>
      </c>
      <c r="G16">
        <f>IF(AND(SUM(VLOOKUP($A16,test!$A$3:$F$32,2,FALSE),VLOOKUP(G$1,test!$A$3:$F$32,2,FALSE))&lt;=test!$K$16,$A16&lt;&gt;G$1,feasible_mat!G16=1),(VLOOKUP(G$1,test!$A$3:$I$32,8,FALSE))-(VLOOKUP($A16,test!$A$3:$I$32,9,FALSE)),0)</f>
        <v>210</v>
      </c>
      <c r="H16">
        <f>IF(AND(SUM(VLOOKUP($A16,test!$A$3:$F$32,2,FALSE),VLOOKUP(H$1,test!$A$3:$F$32,2,FALSE))&lt;=test!$K$16,$A16&lt;&gt;H$1,feasible_mat!H16=1),(VLOOKUP(H$1,test!$A$3:$I$32,8,FALSE))-(VLOOKUP($A16,test!$A$3:$I$32,9,FALSE)),0)</f>
        <v>270</v>
      </c>
      <c r="I16">
        <f>IF(AND(SUM(VLOOKUP($A16,test!$A$3:$F$32,2,FALSE),VLOOKUP(I$1,test!$A$3:$F$32,2,FALSE))&lt;=test!$K$16,$A16&lt;&gt;I$1,feasible_mat!I16=1),(VLOOKUP(I$1,test!$A$3:$I$32,8,FALSE))-(VLOOKUP($A16,test!$A$3:$I$32,9,FALSE)),0)</f>
        <v>330</v>
      </c>
      <c r="J16">
        <f>IF(AND(SUM(VLOOKUP($A16,test!$A$3:$F$32,2,FALSE),VLOOKUP(J$1,test!$A$3:$F$32,2,FALSE))&lt;=test!$K$16,$A16&lt;&gt;J$1,feasible_mat!J16=1),(VLOOKUP(J$1,test!$A$3:$I$32,8,FALSE))-(VLOOKUP($A16,test!$A$3:$I$32,9,FALSE)),0)</f>
        <v>420</v>
      </c>
      <c r="K16">
        <f>IF(AND(SUM(VLOOKUP($A16,test!$A$3:$F$32,2,FALSE),VLOOKUP(K$1,test!$A$3:$F$32,2,FALSE))&lt;=test!$K$16,$A16&lt;&gt;K$1,feasible_mat!K16=1),(VLOOKUP(K$1,test!$A$3:$I$32,8,FALSE))-(VLOOKUP($A16,test!$A$3:$I$32,9,FALSE)),0)</f>
        <v>0</v>
      </c>
      <c r="L16">
        <f>IF(AND(SUM(VLOOKUP($A16,test!$A$3:$F$32,2,FALSE),VLOOKUP(L$1,test!$A$3:$F$32,2,FALSE))&lt;=test!$K$16,$A16&lt;&gt;L$1,feasible_mat!L16=1),(VLOOKUP(L$1,test!$A$3:$I$32,8,FALSE))-(VLOOKUP($A16,test!$A$3:$I$32,9,FALSE)),0)</f>
        <v>0</v>
      </c>
      <c r="M16">
        <f>IF(AND(SUM(VLOOKUP($A16,test!$A$3:$F$32,2,FALSE),VLOOKUP(M$1,test!$A$3:$F$32,2,FALSE))&lt;=test!$K$16,$A16&lt;&gt;M$1,feasible_mat!M16=1),(VLOOKUP(M$1,test!$A$3:$I$32,8,FALSE))-(VLOOKUP($A16,test!$A$3:$I$32,9,FALSE)),0)</f>
        <v>25</v>
      </c>
      <c r="N16">
        <f>IF(AND(SUM(VLOOKUP($A16,test!$A$3:$F$32,2,FALSE),VLOOKUP(N$1,test!$A$3:$F$32,2,FALSE))&lt;=test!$K$16,$A16&lt;&gt;N$1,feasible_mat!N16=1),(VLOOKUP(N$1,test!$A$3:$I$32,8,FALSE))-(VLOOKUP($A16,test!$A$3:$I$32,9,FALSE)),0)</f>
        <v>385</v>
      </c>
      <c r="O16">
        <f>IF(AND(SUM(VLOOKUP($A16,test!$A$3:$F$32,2,FALSE),VLOOKUP(O$1,test!$A$3:$F$32,2,FALSE))&lt;=test!$K$16,$A16&lt;&gt;O$1,feasible_mat!O16=1),(VLOOKUP(O$1,test!$A$3:$I$32,8,FALSE))-(VLOOKUP($A16,test!$A$3:$I$32,9,FALSE)),0)</f>
        <v>445</v>
      </c>
      <c r="P16">
        <f>IF(AND(SUM(VLOOKUP($A16,test!$A$3:$F$32,2,FALSE),VLOOKUP(P$1,test!$A$3:$F$32,2,FALSE))&lt;=test!$K$16,$A16&lt;&gt;P$1,feasible_mat!P16=1),(VLOOKUP(P$1,test!$A$3:$I$32,8,FALSE))-(VLOOKUP($A16,test!$A$3:$I$32,9,FALSE)),0)</f>
        <v>0</v>
      </c>
      <c r="Q16">
        <f>IF(AND(SUM(VLOOKUP($A16,test!$A$3:$F$32,2,FALSE),VLOOKUP(Q$1,test!$A$3:$F$32,2,FALSE))&lt;=test!$K$16,$A16&lt;&gt;Q$1,feasible_mat!Q16=1),(VLOOKUP(Q$1,test!$A$3:$I$32,8,FALSE))-(VLOOKUP($A16,test!$A$3:$I$32,9,FALSE)),0)</f>
        <v>0</v>
      </c>
      <c r="R16">
        <f>IF(AND(SUM(VLOOKUP($A16,test!$A$3:$F$32,2,FALSE),VLOOKUP(R$1,test!$A$3:$F$32,2,FALSE))&lt;=test!$K$16,$A16&lt;&gt;R$1,feasible_mat!R16=1),(VLOOKUP(R$1,test!$A$3:$I$32,8,FALSE))-(VLOOKUP($A16,test!$A$3:$I$32,9,FALSE)),0)</f>
        <v>0</v>
      </c>
      <c r="S16">
        <f>IF(AND(SUM(VLOOKUP($A16,test!$A$3:$F$32,2,FALSE),VLOOKUP(S$1,test!$A$3:$F$32,2,FALSE))&lt;=test!$K$16,$A16&lt;&gt;S$1,feasible_mat!S16=1),(VLOOKUP(S$1,test!$A$3:$I$32,8,FALSE))-(VLOOKUP($A16,test!$A$3:$I$32,9,FALSE)),0)</f>
        <v>0</v>
      </c>
      <c r="T16">
        <f>IF(AND(SUM(VLOOKUP($A16,test!$A$3:$F$32,2,FALSE),VLOOKUP(T$1,test!$A$3:$F$32,2,FALSE))&lt;=test!$K$16,$A16&lt;&gt;T$1,feasible_mat!T16=1),(VLOOKUP(T$1,test!$A$3:$I$32,8,FALSE))-(VLOOKUP($A16,test!$A$3:$I$32,9,FALSE)),0)</f>
        <v>40</v>
      </c>
      <c r="U16">
        <f>IF(AND(SUM(VLOOKUP($A16,test!$A$3:$F$32,2,FALSE),VLOOKUP(U$1,test!$A$3:$F$32,2,FALSE))&lt;=test!$K$16,$A16&lt;&gt;U$1,feasible_mat!U16=1),(VLOOKUP(U$1,test!$A$3:$I$32,8,FALSE))-(VLOOKUP($A16,test!$A$3:$I$32,9,FALSE)),0)</f>
        <v>130</v>
      </c>
      <c r="V16">
        <f>IF(AND(SUM(VLOOKUP($A16,test!$A$3:$F$32,2,FALSE),VLOOKUP(V$1,test!$A$3:$F$32,2,FALSE))&lt;=test!$K$16,$A16&lt;&gt;V$1,feasible_mat!V16=1),(VLOOKUP(V$1,test!$A$3:$I$32,8,FALSE))-(VLOOKUP($A16,test!$A$3:$I$32,9,FALSE)),0)</f>
        <v>220</v>
      </c>
      <c r="W16">
        <f>IF(AND(SUM(VLOOKUP($A16,test!$A$3:$F$32,2,FALSE),VLOOKUP(W$1,test!$A$3:$F$32,2,FALSE))&lt;=test!$K$16,$A16&lt;&gt;W$1,feasible_mat!W16=1),(VLOOKUP(W$1,test!$A$3:$I$32,8,FALSE))-(VLOOKUP($A16,test!$A$3:$I$32,9,FALSE)),0)</f>
        <v>310</v>
      </c>
      <c r="X16">
        <f>IF(AND(SUM(VLOOKUP($A16,test!$A$3:$F$32,2,FALSE),VLOOKUP(X$1,test!$A$3:$F$32,2,FALSE))&lt;=test!$K$16,$A16&lt;&gt;X$1,feasible_mat!X16=1),(VLOOKUP(X$1,test!$A$3:$I$32,8,FALSE))-(VLOOKUP($A16,test!$A$3:$I$32,9,FALSE)),0)</f>
        <v>370</v>
      </c>
      <c r="Y16">
        <f>IF(AND(SUM(VLOOKUP($A16,test!$A$3:$F$32,2,FALSE),VLOOKUP(Y$1,test!$A$3:$F$32,2,FALSE))&lt;=test!$K$16,$A16&lt;&gt;Y$1,feasible_mat!Y16=1),(VLOOKUP(Y$1,test!$A$3:$I$32,8,FALSE))-(VLOOKUP($A16,test!$A$3:$I$32,9,FALSE)),0)</f>
        <v>0</v>
      </c>
      <c r="Z16">
        <f>IF(AND(SUM(VLOOKUP($A16,test!$A$3:$F$32,2,FALSE),VLOOKUP(Z$1,test!$A$3:$F$32,2,FALSE))&lt;=test!$K$16,$A16&lt;&gt;Z$1,feasible_mat!Z16=1),(VLOOKUP(Z$1,test!$A$3:$I$32,8,FALSE))-(VLOOKUP($A16,test!$A$3:$I$32,9,FALSE)),0)</f>
        <v>0</v>
      </c>
      <c r="AA16">
        <f>IF(AND(SUM(VLOOKUP($A16,test!$A$3:$F$32,2,FALSE),VLOOKUP(AA$1,test!$A$3:$F$32,2,FALSE))&lt;=test!$K$16,$A16&lt;&gt;AA$1,feasible_mat!AA16=1),(VLOOKUP(AA$1,test!$A$3:$I$32,8,FALSE))-(VLOOKUP($A16,test!$A$3:$I$32,9,FALSE)),0)</f>
        <v>90</v>
      </c>
      <c r="AB16">
        <f>IF(AND(SUM(VLOOKUP($A16,test!$A$3:$F$32,2,FALSE),VLOOKUP(AB$1,test!$A$3:$F$32,2,FALSE))&lt;=test!$K$16,$A16&lt;&gt;AB$1,feasible_mat!AB16=1),(VLOOKUP(AB$1,test!$A$3:$I$32,8,FALSE))-(VLOOKUP($A16,test!$A$3:$I$32,9,FALSE)),0)</f>
        <v>150</v>
      </c>
      <c r="AC16">
        <f>IF(AND(SUM(VLOOKUP($A16,test!$A$3:$F$32,2,FALSE),VLOOKUP(AC$1,test!$A$3:$F$32,2,FALSE))&lt;=test!$K$16,$A16&lt;&gt;AC$1,feasible_mat!AC16=1),(VLOOKUP(AC$1,test!$A$3:$I$32,8,FALSE))-(VLOOKUP($A16,test!$A$3:$I$32,9,FALSE)),0)</f>
        <v>270</v>
      </c>
      <c r="AD16">
        <f>IF(AND(SUM(VLOOKUP($A16,test!$A$3:$F$32,2,FALSE),VLOOKUP(AD$1,test!$A$3:$F$32,2,FALSE))&lt;=test!$K$16,$A16&lt;&gt;AD$1,feasible_mat!AD16=1),(VLOOKUP(AD$1,test!$A$3:$I$32,8,FALSE))-(VLOOKUP($A16,test!$A$3:$I$32,9,FALSE)),0)</f>
        <v>0</v>
      </c>
      <c r="AE16">
        <f>IF(AND(SUM(VLOOKUP($A16,test!$A$3:$F$32,2,FALSE),VLOOKUP(AE$1,test!$A$3:$F$32,2,FALSE))&lt;=test!$K$16,$A16&lt;&gt;AE$1,feasible_mat!AE16=1),(VLOOKUP(AE$1,test!$A$3:$I$32,8,FALSE))-(VLOOKUP($A16,test!$A$3:$I$32,9,FALSE)),0)</f>
        <v>0</v>
      </c>
      <c r="AF16">
        <f>IF(AND(SUM(VLOOKUP($A16,test!$A$3:$F$32,2,FALSE),VLOOKUP(AF$1,test!$A$3:$F$32,2,FALSE))&lt;=test!$K$16,$A16&lt;&gt;AF$1,feasible_mat!AF16=1),(VLOOKUP(AF$1,test!$A$3:$I$32,8,FALSE))-(VLOOKUP($A16,test!$A$3:$I$32,9,FALSE)),0)</f>
        <v>0</v>
      </c>
      <c r="AJ16" s="16" t="s">
        <v>85</v>
      </c>
    </row>
    <row r="17" spans="1:36" x14ac:dyDescent="0.25">
      <c r="A17" t="s">
        <v>26</v>
      </c>
      <c r="B17">
        <v>0</v>
      </c>
      <c r="C17">
        <f>IF(AND(SUM(VLOOKUP($A17,test!$A$3:$F$32,2,FALSE),VLOOKUP(C$1,test!$A$3:$F$32,2,FALSE))&lt;=test!$K$16,$A17&lt;&gt;C$1,feasible_mat!C17=1),(VLOOKUP(C$1,test!$A$3:$I$32,8,FALSE))-(VLOOKUP($A17,test!$A$3:$I$32,9,FALSE)),0)</f>
        <v>0</v>
      </c>
      <c r="D17">
        <f>IF(AND(SUM(VLOOKUP($A17,test!$A$3:$F$32,2,FALSE),VLOOKUP(D$1,test!$A$3:$F$32,2,FALSE))&lt;=test!$K$16,$A17&lt;&gt;D$1,feasible_mat!D17=1),(VLOOKUP(D$1,test!$A$3:$I$32,8,FALSE))-(VLOOKUP($A17,test!$A$3:$I$32,9,FALSE)),0)</f>
        <v>65</v>
      </c>
      <c r="E17">
        <f>IF(AND(SUM(VLOOKUP($A17,test!$A$3:$F$32,2,FALSE),VLOOKUP(E$1,test!$A$3:$F$32,2,FALSE))&lt;=test!$K$16,$A17&lt;&gt;E$1,feasible_mat!E17=1),(VLOOKUP(E$1,test!$A$3:$I$32,8,FALSE))-(VLOOKUP($A17,test!$A$3:$I$32,9,FALSE)),0)</f>
        <v>155</v>
      </c>
      <c r="F17">
        <f>IF(AND(SUM(VLOOKUP($A17,test!$A$3:$F$32,2,FALSE),VLOOKUP(F$1,test!$A$3:$F$32,2,FALSE))&lt;=test!$K$16,$A17&lt;&gt;F$1,feasible_mat!F17=1),(VLOOKUP(F$1,test!$A$3:$I$32,8,FALSE))-(VLOOKUP($A17,test!$A$3:$I$32,9,FALSE)),0)</f>
        <v>245</v>
      </c>
      <c r="G17">
        <f>IF(AND(SUM(VLOOKUP($A17,test!$A$3:$F$32,2,FALSE),VLOOKUP(G$1,test!$A$3:$F$32,2,FALSE))&lt;=test!$K$16,$A17&lt;&gt;G$1,feasible_mat!G17=1),(VLOOKUP(G$1,test!$A$3:$I$32,8,FALSE))-(VLOOKUP($A17,test!$A$3:$I$32,9,FALSE)),0)</f>
        <v>305</v>
      </c>
      <c r="H17">
        <f>IF(AND(SUM(VLOOKUP($A17,test!$A$3:$F$32,2,FALSE),VLOOKUP(H$1,test!$A$3:$F$32,2,FALSE))&lt;=test!$K$16,$A17&lt;&gt;H$1,feasible_mat!H17=1),(VLOOKUP(H$1,test!$A$3:$I$32,8,FALSE))-(VLOOKUP($A17,test!$A$3:$I$32,9,FALSE)),0)</f>
        <v>365</v>
      </c>
      <c r="I17">
        <f>IF(AND(SUM(VLOOKUP($A17,test!$A$3:$F$32,2,FALSE),VLOOKUP(I$1,test!$A$3:$F$32,2,FALSE))&lt;=test!$K$16,$A17&lt;&gt;I$1,feasible_mat!I17=1),(VLOOKUP(I$1,test!$A$3:$I$32,8,FALSE))-(VLOOKUP($A17,test!$A$3:$I$32,9,FALSE)),0)</f>
        <v>425</v>
      </c>
      <c r="J17">
        <f>IF(AND(SUM(VLOOKUP($A17,test!$A$3:$F$32,2,FALSE),VLOOKUP(J$1,test!$A$3:$F$32,2,FALSE))&lt;=test!$K$16,$A17&lt;&gt;J$1,feasible_mat!J17=1),(VLOOKUP(J$1,test!$A$3:$I$32,8,FALSE))-(VLOOKUP($A17,test!$A$3:$I$32,9,FALSE)),0)</f>
        <v>515</v>
      </c>
      <c r="K17">
        <f>IF(AND(SUM(VLOOKUP($A17,test!$A$3:$F$32,2,FALSE),VLOOKUP(K$1,test!$A$3:$F$32,2,FALSE))&lt;=test!$K$16,$A17&lt;&gt;K$1,feasible_mat!K17=1),(VLOOKUP(K$1,test!$A$3:$I$32,8,FALSE))-(VLOOKUP($A17,test!$A$3:$I$32,9,FALSE)),0)</f>
        <v>0</v>
      </c>
      <c r="L17">
        <f>IF(AND(SUM(VLOOKUP($A17,test!$A$3:$F$32,2,FALSE),VLOOKUP(L$1,test!$A$3:$F$32,2,FALSE))&lt;=test!$K$16,$A17&lt;&gt;L$1,feasible_mat!L17=1),(VLOOKUP(L$1,test!$A$3:$I$32,8,FALSE))-(VLOOKUP($A17,test!$A$3:$I$32,9,FALSE)),0)</f>
        <v>0</v>
      </c>
      <c r="M17">
        <f>IF(AND(SUM(VLOOKUP($A17,test!$A$3:$F$32,2,FALSE),VLOOKUP(M$1,test!$A$3:$F$32,2,FALSE))&lt;=test!$K$16,$A17&lt;&gt;M$1,feasible_mat!M17=1),(VLOOKUP(M$1,test!$A$3:$I$32,8,FALSE))-(VLOOKUP($A17,test!$A$3:$I$32,9,FALSE)),0)</f>
        <v>120</v>
      </c>
      <c r="N17">
        <f>IF(AND(SUM(VLOOKUP($A17,test!$A$3:$F$32,2,FALSE),VLOOKUP(N$1,test!$A$3:$F$32,2,FALSE))&lt;=test!$K$16,$A17&lt;&gt;N$1,feasible_mat!N17=1),(VLOOKUP(N$1,test!$A$3:$I$32,8,FALSE))-(VLOOKUP($A17,test!$A$3:$I$32,9,FALSE)),0)</f>
        <v>480</v>
      </c>
      <c r="O17">
        <f>IF(AND(SUM(VLOOKUP($A17,test!$A$3:$F$32,2,FALSE),VLOOKUP(O$1,test!$A$3:$F$32,2,FALSE))&lt;=test!$K$16,$A17&lt;&gt;O$1,feasible_mat!O17=1),(VLOOKUP(O$1,test!$A$3:$I$32,8,FALSE))-(VLOOKUP($A17,test!$A$3:$I$32,9,FALSE)),0)</f>
        <v>540</v>
      </c>
      <c r="P17">
        <f>IF(AND(SUM(VLOOKUP($A17,test!$A$3:$F$32,2,FALSE),VLOOKUP(P$1,test!$A$3:$F$32,2,FALSE))&lt;=test!$K$16,$A17&lt;&gt;P$1,feasible_mat!P17=1),(VLOOKUP(P$1,test!$A$3:$I$32,8,FALSE))-(VLOOKUP($A17,test!$A$3:$I$32,9,FALSE)),0)</f>
        <v>0</v>
      </c>
      <c r="Q17">
        <f>IF(AND(SUM(VLOOKUP($A17,test!$A$3:$F$32,2,FALSE),VLOOKUP(Q$1,test!$A$3:$F$32,2,FALSE))&lt;=test!$K$16,$A17&lt;&gt;Q$1,feasible_mat!Q17=1),(VLOOKUP(Q$1,test!$A$3:$I$32,8,FALSE))-(VLOOKUP($A17,test!$A$3:$I$32,9,FALSE)),0)</f>
        <v>0</v>
      </c>
      <c r="R17">
        <f>IF(AND(SUM(VLOOKUP($A17,test!$A$3:$F$32,2,FALSE),VLOOKUP(R$1,test!$A$3:$F$32,2,FALSE))&lt;=test!$K$16,$A17&lt;&gt;R$1,feasible_mat!R17=1),(VLOOKUP(R$1,test!$A$3:$I$32,8,FALSE))-(VLOOKUP($A17,test!$A$3:$I$32,9,FALSE)),0)</f>
        <v>0</v>
      </c>
      <c r="S17">
        <f>IF(AND(SUM(VLOOKUP($A17,test!$A$3:$F$32,2,FALSE),VLOOKUP(S$1,test!$A$3:$F$32,2,FALSE))&lt;=test!$K$16,$A17&lt;&gt;S$1,feasible_mat!S17=1),(VLOOKUP(S$1,test!$A$3:$I$32,8,FALSE))-(VLOOKUP($A17,test!$A$3:$I$32,9,FALSE)),0)</f>
        <v>45</v>
      </c>
      <c r="T17">
        <f>IF(AND(SUM(VLOOKUP($A17,test!$A$3:$F$32,2,FALSE),VLOOKUP(T$1,test!$A$3:$F$32,2,FALSE))&lt;=test!$K$16,$A17&lt;&gt;T$1,feasible_mat!T17=1),(VLOOKUP(T$1,test!$A$3:$I$32,8,FALSE))-(VLOOKUP($A17,test!$A$3:$I$32,9,FALSE)),0)</f>
        <v>135</v>
      </c>
      <c r="U17">
        <f>IF(AND(SUM(VLOOKUP($A17,test!$A$3:$F$32,2,FALSE),VLOOKUP(U$1,test!$A$3:$F$32,2,FALSE))&lt;=test!$K$16,$A17&lt;&gt;U$1,feasible_mat!U17=1),(VLOOKUP(U$1,test!$A$3:$I$32,8,FALSE))-(VLOOKUP($A17,test!$A$3:$I$32,9,FALSE)),0)</f>
        <v>225</v>
      </c>
      <c r="V17">
        <f>IF(AND(SUM(VLOOKUP($A17,test!$A$3:$F$32,2,FALSE),VLOOKUP(V$1,test!$A$3:$F$32,2,FALSE))&lt;=test!$K$16,$A17&lt;&gt;V$1,feasible_mat!V17=1),(VLOOKUP(V$1,test!$A$3:$I$32,8,FALSE))-(VLOOKUP($A17,test!$A$3:$I$32,9,FALSE)),0)</f>
        <v>315</v>
      </c>
      <c r="W17">
        <f>IF(AND(SUM(VLOOKUP($A17,test!$A$3:$F$32,2,FALSE),VLOOKUP(W$1,test!$A$3:$F$32,2,FALSE))&lt;=test!$K$16,$A17&lt;&gt;W$1,feasible_mat!W17=1),(VLOOKUP(W$1,test!$A$3:$I$32,8,FALSE))-(VLOOKUP($A17,test!$A$3:$I$32,9,FALSE)),0)</f>
        <v>405</v>
      </c>
      <c r="X17">
        <f>IF(AND(SUM(VLOOKUP($A17,test!$A$3:$F$32,2,FALSE),VLOOKUP(X$1,test!$A$3:$F$32,2,FALSE))&lt;=test!$K$16,$A17&lt;&gt;X$1,feasible_mat!X17=1),(VLOOKUP(X$1,test!$A$3:$I$32,8,FALSE))-(VLOOKUP($A17,test!$A$3:$I$32,9,FALSE)),0)</f>
        <v>465</v>
      </c>
      <c r="Y17">
        <f>IF(AND(SUM(VLOOKUP($A17,test!$A$3:$F$32,2,FALSE),VLOOKUP(Y$1,test!$A$3:$F$32,2,FALSE))&lt;=test!$K$16,$A17&lt;&gt;Y$1,feasible_mat!Y17=1),(VLOOKUP(Y$1,test!$A$3:$I$32,8,FALSE))-(VLOOKUP($A17,test!$A$3:$I$32,9,FALSE)),0)</f>
        <v>0</v>
      </c>
      <c r="Z17">
        <f>IF(AND(SUM(VLOOKUP($A17,test!$A$3:$F$32,2,FALSE),VLOOKUP(Z$1,test!$A$3:$F$32,2,FALSE))&lt;=test!$K$16,$A17&lt;&gt;Z$1,feasible_mat!Z17=1),(VLOOKUP(Z$1,test!$A$3:$I$32,8,FALSE))-(VLOOKUP($A17,test!$A$3:$I$32,9,FALSE)),0)</f>
        <v>65</v>
      </c>
      <c r="AA17">
        <f>IF(AND(SUM(VLOOKUP($A17,test!$A$3:$F$32,2,FALSE),VLOOKUP(AA$1,test!$A$3:$F$32,2,FALSE))&lt;=test!$K$16,$A17&lt;&gt;AA$1,feasible_mat!AA17=1),(VLOOKUP(AA$1,test!$A$3:$I$32,8,FALSE))-(VLOOKUP($A17,test!$A$3:$I$32,9,FALSE)),0)</f>
        <v>185</v>
      </c>
      <c r="AB17">
        <f>IF(AND(SUM(VLOOKUP($A17,test!$A$3:$F$32,2,FALSE),VLOOKUP(AB$1,test!$A$3:$F$32,2,FALSE))&lt;=test!$K$16,$A17&lt;&gt;AB$1,feasible_mat!AB17=1),(VLOOKUP(AB$1,test!$A$3:$I$32,8,FALSE))-(VLOOKUP($A17,test!$A$3:$I$32,9,FALSE)),0)</f>
        <v>245</v>
      </c>
      <c r="AC17">
        <f>IF(AND(SUM(VLOOKUP($A17,test!$A$3:$F$32,2,FALSE),VLOOKUP(AC$1,test!$A$3:$F$32,2,FALSE))&lt;=test!$K$16,$A17&lt;&gt;AC$1,feasible_mat!AC17=1),(VLOOKUP(AC$1,test!$A$3:$I$32,8,FALSE))-(VLOOKUP($A17,test!$A$3:$I$32,9,FALSE)),0)</f>
        <v>365</v>
      </c>
      <c r="AD17">
        <f>IF(AND(SUM(VLOOKUP($A17,test!$A$3:$F$32,2,FALSE),VLOOKUP(AD$1,test!$A$3:$F$32,2,FALSE))&lt;=test!$K$16,$A17&lt;&gt;AD$1,feasible_mat!AD17=1),(VLOOKUP(AD$1,test!$A$3:$I$32,8,FALSE))-(VLOOKUP($A17,test!$A$3:$I$32,9,FALSE)),0)</f>
        <v>0</v>
      </c>
      <c r="AE17">
        <f>IF(AND(SUM(VLOOKUP($A17,test!$A$3:$F$32,2,FALSE),VLOOKUP(AE$1,test!$A$3:$F$32,2,FALSE))&lt;=test!$K$16,$A17&lt;&gt;AE$1,feasible_mat!AE17=1),(VLOOKUP(AE$1,test!$A$3:$I$32,8,FALSE))-(VLOOKUP($A17,test!$A$3:$I$32,9,FALSE)),0)</f>
        <v>185</v>
      </c>
      <c r="AF17">
        <f>IF(AND(SUM(VLOOKUP($A17,test!$A$3:$F$32,2,FALSE),VLOOKUP(AF$1,test!$A$3:$F$32,2,FALSE))&lt;=test!$K$16,$A17&lt;&gt;AF$1,feasible_mat!AF17=1),(VLOOKUP(AF$1,test!$A$3:$I$32,8,FALSE))-(VLOOKUP($A17,test!$A$3:$I$32,9,FALSE)),0)</f>
        <v>0</v>
      </c>
      <c r="AJ17" s="16" t="b">
        <f>SUM(VLOOKUP($A11,test!$A$3:$F$32,2,FALSE),VLOOKUP(AF$1,test!$A$3:$F$32,2,FALSE))&lt;=test!$K$16</f>
        <v>0</v>
      </c>
    </row>
    <row r="18" spans="1:36" x14ac:dyDescent="0.25">
      <c r="A18" t="s">
        <v>27</v>
      </c>
      <c r="B18">
        <v>0</v>
      </c>
      <c r="C18">
        <f>IF(AND(SUM(VLOOKUP($A18,test!$A$3:$F$32,2,FALSE),VLOOKUP(C$1,test!$A$3:$F$32,2,FALSE))&lt;=test!$K$16,$A18&lt;&gt;C$1,feasible_mat!C18=1),(VLOOKUP(C$1,test!$A$3:$I$32,8,FALSE))-(VLOOKUP($A18,test!$A$3:$I$32,9,FALSE)),0)</f>
        <v>0</v>
      </c>
      <c r="D18">
        <f>IF(AND(SUM(VLOOKUP($A18,test!$A$3:$F$32,2,FALSE),VLOOKUP(D$1,test!$A$3:$F$32,2,FALSE))&lt;=test!$K$16,$A18&lt;&gt;D$1,feasible_mat!D18=1),(VLOOKUP(D$1,test!$A$3:$I$32,8,FALSE))-(VLOOKUP($A18,test!$A$3:$I$32,9,FALSE)),0)</f>
        <v>0</v>
      </c>
      <c r="E18">
        <f>IF(AND(SUM(VLOOKUP($A18,test!$A$3:$F$32,2,FALSE),VLOOKUP(E$1,test!$A$3:$F$32,2,FALSE))&lt;=test!$K$16,$A18&lt;&gt;E$1,feasible_mat!E18=1),(VLOOKUP(E$1,test!$A$3:$I$32,8,FALSE))-(VLOOKUP($A18,test!$A$3:$I$32,9,FALSE)),0)</f>
        <v>65</v>
      </c>
      <c r="F18">
        <f>IF(AND(SUM(VLOOKUP($A18,test!$A$3:$F$32,2,FALSE),VLOOKUP(F$1,test!$A$3:$F$32,2,FALSE))&lt;=test!$K$16,$A18&lt;&gt;F$1,feasible_mat!F18=1),(VLOOKUP(F$1,test!$A$3:$I$32,8,FALSE))-(VLOOKUP($A18,test!$A$3:$I$32,9,FALSE)),0)</f>
        <v>155</v>
      </c>
      <c r="G18">
        <f>IF(AND(SUM(VLOOKUP($A18,test!$A$3:$F$32,2,FALSE),VLOOKUP(G$1,test!$A$3:$F$32,2,FALSE))&lt;=test!$K$16,$A18&lt;&gt;G$1,feasible_mat!G18=1),(VLOOKUP(G$1,test!$A$3:$I$32,8,FALSE))-(VLOOKUP($A18,test!$A$3:$I$32,9,FALSE)),0)</f>
        <v>215</v>
      </c>
      <c r="H18">
        <f>IF(AND(SUM(VLOOKUP($A18,test!$A$3:$F$32,2,FALSE),VLOOKUP(H$1,test!$A$3:$F$32,2,FALSE))&lt;=test!$K$16,$A18&lt;&gt;H$1,feasible_mat!H18=1),(VLOOKUP(H$1,test!$A$3:$I$32,8,FALSE))-(VLOOKUP($A18,test!$A$3:$I$32,9,FALSE)),0)</f>
        <v>275</v>
      </c>
      <c r="I18">
        <f>IF(AND(SUM(VLOOKUP($A18,test!$A$3:$F$32,2,FALSE),VLOOKUP(I$1,test!$A$3:$F$32,2,FALSE))&lt;=test!$K$16,$A18&lt;&gt;I$1,feasible_mat!I18=1),(VLOOKUP(I$1,test!$A$3:$I$32,8,FALSE))-(VLOOKUP($A18,test!$A$3:$I$32,9,FALSE)),0)</f>
        <v>335</v>
      </c>
      <c r="J18">
        <f>IF(AND(SUM(VLOOKUP($A18,test!$A$3:$F$32,2,FALSE),VLOOKUP(J$1,test!$A$3:$F$32,2,FALSE))&lt;=test!$K$16,$A18&lt;&gt;J$1,feasible_mat!J18=1),(VLOOKUP(J$1,test!$A$3:$I$32,8,FALSE))-(VLOOKUP($A18,test!$A$3:$I$32,9,FALSE)),0)</f>
        <v>425</v>
      </c>
      <c r="K18">
        <f>IF(AND(SUM(VLOOKUP($A18,test!$A$3:$F$32,2,FALSE),VLOOKUP(K$1,test!$A$3:$F$32,2,FALSE))&lt;=test!$K$16,$A18&lt;&gt;K$1,feasible_mat!K18=1),(VLOOKUP(K$1,test!$A$3:$I$32,8,FALSE))-(VLOOKUP($A18,test!$A$3:$I$32,9,FALSE)),0)</f>
        <v>0</v>
      </c>
      <c r="L18">
        <f>IF(AND(SUM(VLOOKUP($A18,test!$A$3:$F$32,2,FALSE),VLOOKUP(L$1,test!$A$3:$F$32,2,FALSE))&lt;=test!$K$16,$A18&lt;&gt;L$1,feasible_mat!L18=1),(VLOOKUP(L$1,test!$A$3:$I$32,8,FALSE))-(VLOOKUP($A18,test!$A$3:$I$32,9,FALSE)),0)</f>
        <v>0</v>
      </c>
      <c r="M18">
        <f>IF(AND(SUM(VLOOKUP($A18,test!$A$3:$F$32,2,FALSE),VLOOKUP(M$1,test!$A$3:$F$32,2,FALSE))&lt;=test!$K$16,$A18&lt;&gt;M$1,feasible_mat!M18=1),(VLOOKUP(M$1,test!$A$3:$I$32,8,FALSE))-(VLOOKUP($A18,test!$A$3:$I$32,9,FALSE)),0)</f>
        <v>30</v>
      </c>
      <c r="N18">
        <f>IF(AND(SUM(VLOOKUP($A18,test!$A$3:$F$32,2,FALSE),VLOOKUP(N$1,test!$A$3:$F$32,2,FALSE))&lt;=test!$K$16,$A18&lt;&gt;N$1,feasible_mat!N18=1),(VLOOKUP(N$1,test!$A$3:$I$32,8,FALSE))-(VLOOKUP($A18,test!$A$3:$I$32,9,FALSE)),0)</f>
        <v>390</v>
      </c>
      <c r="O18">
        <f>IF(AND(SUM(VLOOKUP($A18,test!$A$3:$F$32,2,FALSE),VLOOKUP(O$1,test!$A$3:$F$32,2,FALSE))&lt;=test!$K$16,$A18&lt;&gt;O$1,feasible_mat!O18=1),(VLOOKUP(O$1,test!$A$3:$I$32,8,FALSE))-(VLOOKUP($A18,test!$A$3:$I$32,9,FALSE)),0)</f>
        <v>450</v>
      </c>
      <c r="P18">
        <f>IF(AND(SUM(VLOOKUP($A18,test!$A$3:$F$32,2,FALSE),VLOOKUP(P$1,test!$A$3:$F$32,2,FALSE))&lt;=test!$K$16,$A18&lt;&gt;P$1,feasible_mat!P18=1),(VLOOKUP(P$1,test!$A$3:$I$32,8,FALSE))-(VLOOKUP($A18,test!$A$3:$I$32,9,FALSE)),0)</f>
        <v>0</v>
      </c>
      <c r="Q18">
        <f>IF(AND(SUM(VLOOKUP($A18,test!$A$3:$F$32,2,FALSE),VLOOKUP(Q$1,test!$A$3:$F$32,2,FALSE))&lt;=test!$K$16,$A18&lt;&gt;Q$1,feasible_mat!Q18=1),(VLOOKUP(Q$1,test!$A$3:$I$32,8,FALSE))-(VLOOKUP($A18,test!$A$3:$I$32,9,FALSE)),0)</f>
        <v>0</v>
      </c>
      <c r="R18">
        <f>IF(AND(SUM(VLOOKUP($A18,test!$A$3:$F$32,2,FALSE),VLOOKUP(R$1,test!$A$3:$F$32,2,FALSE))&lt;=test!$K$16,$A18&lt;&gt;R$1,feasible_mat!R18=1),(VLOOKUP(R$1,test!$A$3:$I$32,8,FALSE))-(VLOOKUP($A18,test!$A$3:$I$32,9,FALSE)),0)</f>
        <v>0</v>
      </c>
      <c r="S18">
        <f>IF(AND(SUM(VLOOKUP($A18,test!$A$3:$F$32,2,FALSE),VLOOKUP(S$1,test!$A$3:$F$32,2,FALSE))&lt;=test!$K$16,$A18&lt;&gt;S$1,feasible_mat!S18=1),(VLOOKUP(S$1,test!$A$3:$I$32,8,FALSE))-(VLOOKUP($A18,test!$A$3:$I$32,9,FALSE)),0)</f>
        <v>0</v>
      </c>
      <c r="T18">
        <f>IF(AND(SUM(VLOOKUP($A18,test!$A$3:$F$32,2,FALSE),VLOOKUP(T$1,test!$A$3:$F$32,2,FALSE))&lt;=test!$K$16,$A18&lt;&gt;T$1,feasible_mat!T18=1),(VLOOKUP(T$1,test!$A$3:$I$32,8,FALSE))-(VLOOKUP($A18,test!$A$3:$I$32,9,FALSE)),0)</f>
        <v>45</v>
      </c>
      <c r="U18">
        <f>IF(AND(SUM(VLOOKUP($A18,test!$A$3:$F$32,2,FALSE),VLOOKUP(U$1,test!$A$3:$F$32,2,FALSE))&lt;=test!$K$16,$A18&lt;&gt;U$1,feasible_mat!U18=1),(VLOOKUP(U$1,test!$A$3:$I$32,8,FALSE))-(VLOOKUP($A18,test!$A$3:$I$32,9,FALSE)),0)</f>
        <v>135</v>
      </c>
      <c r="V18">
        <f>IF(AND(SUM(VLOOKUP($A18,test!$A$3:$F$32,2,FALSE),VLOOKUP(V$1,test!$A$3:$F$32,2,FALSE))&lt;=test!$K$16,$A18&lt;&gt;V$1,feasible_mat!V18=1),(VLOOKUP(V$1,test!$A$3:$I$32,8,FALSE))-(VLOOKUP($A18,test!$A$3:$I$32,9,FALSE)),0)</f>
        <v>225</v>
      </c>
      <c r="W18">
        <f>IF(AND(SUM(VLOOKUP($A18,test!$A$3:$F$32,2,FALSE),VLOOKUP(W$1,test!$A$3:$F$32,2,FALSE))&lt;=test!$K$16,$A18&lt;&gt;W$1,feasible_mat!W18=1),(VLOOKUP(W$1,test!$A$3:$I$32,8,FALSE))-(VLOOKUP($A18,test!$A$3:$I$32,9,FALSE)),0)</f>
        <v>315</v>
      </c>
      <c r="X18">
        <f>IF(AND(SUM(VLOOKUP($A18,test!$A$3:$F$32,2,FALSE),VLOOKUP(X$1,test!$A$3:$F$32,2,FALSE))&lt;=test!$K$16,$A18&lt;&gt;X$1,feasible_mat!X18=1),(VLOOKUP(X$1,test!$A$3:$I$32,8,FALSE))-(VLOOKUP($A18,test!$A$3:$I$32,9,FALSE)),0)</f>
        <v>375</v>
      </c>
      <c r="Y18">
        <f>IF(AND(SUM(VLOOKUP($A18,test!$A$3:$F$32,2,FALSE),VLOOKUP(Y$1,test!$A$3:$F$32,2,FALSE))&lt;=test!$K$16,$A18&lt;&gt;Y$1,feasible_mat!Y18=1),(VLOOKUP(Y$1,test!$A$3:$I$32,8,FALSE))-(VLOOKUP($A18,test!$A$3:$I$32,9,FALSE)),0)</f>
        <v>0</v>
      </c>
      <c r="Z18">
        <f>IF(AND(SUM(VLOOKUP($A18,test!$A$3:$F$32,2,FALSE),VLOOKUP(Z$1,test!$A$3:$F$32,2,FALSE))&lt;=test!$K$16,$A18&lt;&gt;Z$1,feasible_mat!Z18=1),(VLOOKUP(Z$1,test!$A$3:$I$32,8,FALSE))-(VLOOKUP($A18,test!$A$3:$I$32,9,FALSE)),0)</f>
        <v>0</v>
      </c>
      <c r="AA18">
        <f>IF(AND(SUM(VLOOKUP($A18,test!$A$3:$F$32,2,FALSE),VLOOKUP(AA$1,test!$A$3:$F$32,2,FALSE))&lt;=test!$K$16,$A18&lt;&gt;AA$1,feasible_mat!AA18=1),(VLOOKUP(AA$1,test!$A$3:$I$32,8,FALSE))-(VLOOKUP($A18,test!$A$3:$I$32,9,FALSE)),0)</f>
        <v>95</v>
      </c>
      <c r="AB18">
        <f>IF(AND(SUM(VLOOKUP($A18,test!$A$3:$F$32,2,FALSE),VLOOKUP(AB$1,test!$A$3:$F$32,2,FALSE))&lt;=test!$K$16,$A18&lt;&gt;AB$1,feasible_mat!AB18=1),(VLOOKUP(AB$1,test!$A$3:$I$32,8,FALSE))-(VLOOKUP($A18,test!$A$3:$I$32,9,FALSE)),0)</f>
        <v>155</v>
      </c>
      <c r="AC18">
        <f>IF(AND(SUM(VLOOKUP($A18,test!$A$3:$F$32,2,FALSE),VLOOKUP(AC$1,test!$A$3:$F$32,2,FALSE))&lt;=test!$K$16,$A18&lt;&gt;AC$1,feasible_mat!AC18=1),(VLOOKUP(AC$1,test!$A$3:$I$32,8,FALSE))-(VLOOKUP($A18,test!$A$3:$I$32,9,FALSE)),0)</f>
        <v>275</v>
      </c>
      <c r="AD18">
        <f>IF(AND(SUM(VLOOKUP($A18,test!$A$3:$F$32,2,FALSE),VLOOKUP(AD$1,test!$A$3:$F$32,2,FALSE))&lt;=test!$K$16,$A18&lt;&gt;AD$1,feasible_mat!AD18=1),(VLOOKUP(AD$1,test!$A$3:$I$32,8,FALSE))-(VLOOKUP($A18,test!$A$3:$I$32,9,FALSE)),0)</f>
        <v>0</v>
      </c>
      <c r="AE18">
        <f>IF(AND(SUM(VLOOKUP($A18,test!$A$3:$F$32,2,FALSE),VLOOKUP(AE$1,test!$A$3:$F$32,2,FALSE))&lt;=test!$K$16,$A18&lt;&gt;AE$1,feasible_mat!AE18=1),(VLOOKUP(AE$1,test!$A$3:$I$32,8,FALSE))-(VLOOKUP($A18,test!$A$3:$I$32,9,FALSE)),0)</f>
        <v>95</v>
      </c>
      <c r="AF18">
        <f>IF(AND(SUM(VLOOKUP($A18,test!$A$3:$F$32,2,FALSE),VLOOKUP(AF$1,test!$A$3:$F$32,2,FALSE))&lt;=test!$K$16,$A18&lt;&gt;AF$1,feasible_mat!AF18=1),(VLOOKUP(AF$1,test!$A$3:$I$32,8,FALSE))-(VLOOKUP($A18,test!$A$3:$I$32,9,FALSE)),0)</f>
        <v>0</v>
      </c>
      <c r="AJ18" s="16">
        <f>IF(SUM(VLOOKUP($A11,test!$A$3:$F$32,2,FALSE),VLOOKUP(AF$1,test!$A$3:$F$32,2,FALSE))&lt;=350,10,0)</f>
        <v>0</v>
      </c>
    </row>
    <row r="19" spans="1:36" x14ac:dyDescent="0.25">
      <c r="A19" t="s">
        <v>28</v>
      </c>
      <c r="B19">
        <v>0</v>
      </c>
      <c r="C19">
        <f>IF(AND(SUM(VLOOKUP($A19,test!$A$3:$F$32,2,FALSE),VLOOKUP(C$1,test!$A$3:$F$32,2,FALSE))&lt;=test!$K$16,$A19&lt;&gt;C$1,feasible_mat!C19=1),(VLOOKUP(C$1,test!$A$3:$I$32,8,FALSE))-(VLOOKUP($A19,test!$A$3:$I$32,9,FALSE)),0)</f>
        <v>0</v>
      </c>
      <c r="D19">
        <f>IF(AND(SUM(VLOOKUP($A19,test!$A$3:$F$32,2,FALSE),VLOOKUP(D$1,test!$A$3:$F$32,2,FALSE))&lt;=test!$K$16,$A19&lt;&gt;D$1,feasible_mat!D19=1),(VLOOKUP(D$1,test!$A$3:$I$32,8,FALSE))-(VLOOKUP($A19,test!$A$3:$I$32,9,FALSE)),0)</f>
        <v>0</v>
      </c>
      <c r="E19">
        <f>IF(AND(SUM(VLOOKUP($A19,test!$A$3:$F$32,2,FALSE),VLOOKUP(E$1,test!$A$3:$F$32,2,FALSE))&lt;=test!$K$16,$A19&lt;&gt;E$1,feasible_mat!E19=1),(VLOOKUP(E$1,test!$A$3:$I$32,8,FALSE))-(VLOOKUP($A19,test!$A$3:$I$32,9,FALSE)),0)</f>
        <v>0</v>
      </c>
      <c r="F19">
        <f>IF(AND(SUM(VLOOKUP($A19,test!$A$3:$F$32,2,FALSE),VLOOKUP(F$1,test!$A$3:$F$32,2,FALSE))&lt;=test!$K$16,$A19&lt;&gt;F$1,feasible_mat!F19=1),(VLOOKUP(F$1,test!$A$3:$I$32,8,FALSE))-(VLOOKUP($A19,test!$A$3:$I$32,9,FALSE)),0)</f>
        <v>65</v>
      </c>
      <c r="G19">
        <f>IF(AND(SUM(VLOOKUP($A19,test!$A$3:$F$32,2,FALSE),VLOOKUP(G$1,test!$A$3:$F$32,2,FALSE))&lt;=test!$K$16,$A19&lt;&gt;G$1,feasible_mat!G19=1),(VLOOKUP(G$1,test!$A$3:$I$32,8,FALSE))-(VLOOKUP($A19,test!$A$3:$I$32,9,FALSE)),0)</f>
        <v>125</v>
      </c>
      <c r="H19">
        <f>IF(AND(SUM(VLOOKUP($A19,test!$A$3:$F$32,2,FALSE),VLOOKUP(H$1,test!$A$3:$F$32,2,FALSE))&lt;=test!$K$16,$A19&lt;&gt;H$1,feasible_mat!H19=1),(VLOOKUP(H$1,test!$A$3:$I$32,8,FALSE))-(VLOOKUP($A19,test!$A$3:$I$32,9,FALSE)),0)</f>
        <v>185</v>
      </c>
      <c r="I19">
        <f>IF(AND(SUM(VLOOKUP($A19,test!$A$3:$F$32,2,FALSE),VLOOKUP(I$1,test!$A$3:$F$32,2,FALSE))&lt;=test!$K$16,$A19&lt;&gt;I$1,feasible_mat!I19=1),(VLOOKUP(I$1,test!$A$3:$I$32,8,FALSE))-(VLOOKUP($A19,test!$A$3:$I$32,9,FALSE)),0)</f>
        <v>245</v>
      </c>
      <c r="J19">
        <f>IF(AND(SUM(VLOOKUP($A19,test!$A$3:$F$32,2,FALSE),VLOOKUP(J$1,test!$A$3:$F$32,2,FALSE))&lt;=test!$K$16,$A19&lt;&gt;J$1,feasible_mat!J19=1),(VLOOKUP(J$1,test!$A$3:$I$32,8,FALSE))-(VLOOKUP($A19,test!$A$3:$I$32,9,FALSE)),0)</f>
        <v>335</v>
      </c>
      <c r="K19">
        <f>IF(AND(SUM(VLOOKUP($A19,test!$A$3:$F$32,2,FALSE),VLOOKUP(K$1,test!$A$3:$F$32,2,FALSE))&lt;=test!$K$16,$A19&lt;&gt;K$1,feasible_mat!K19=1),(VLOOKUP(K$1,test!$A$3:$I$32,8,FALSE))-(VLOOKUP($A19,test!$A$3:$I$32,9,FALSE)),0)</f>
        <v>0</v>
      </c>
      <c r="L19">
        <f>IF(AND(SUM(VLOOKUP($A19,test!$A$3:$F$32,2,FALSE),VLOOKUP(L$1,test!$A$3:$F$32,2,FALSE))&lt;=test!$K$16,$A19&lt;&gt;L$1,feasible_mat!L19=1),(VLOOKUP(L$1,test!$A$3:$I$32,8,FALSE))-(VLOOKUP($A19,test!$A$3:$I$32,9,FALSE)),0)</f>
        <v>0</v>
      </c>
      <c r="M19">
        <f>IF(AND(SUM(VLOOKUP($A19,test!$A$3:$F$32,2,FALSE),VLOOKUP(M$1,test!$A$3:$F$32,2,FALSE))&lt;=test!$K$16,$A19&lt;&gt;M$1,feasible_mat!M19=1),(VLOOKUP(M$1,test!$A$3:$I$32,8,FALSE))-(VLOOKUP($A19,test!$A$3:$I$32,9,FALSE)),0)</f>
        <v>0</v>
      </c>
      <c r="N19">
        <f>IF(AND(SUM(VLOOKUP($A19,test!$A$3:$F$32,2,FALSE),VLOOKUP(N$1,test!$A$3:$F$32,2,FALSE))&lt;=test!$K$16,$A19&lt;&gt;N$1,feasible_mat!N19=1),(VLOOKUP(N$1,test!$A$3:$I$32,8,FALSE))-(VLOOKUP($A19,test!$A$3:$I$32,9,FALSE)),0)</f>
        <v>300</v>
      </c>
      <c r="O19">
        <f>IF(AND(SUM(VLOOKUP($A19,test!$A$3:$F$32,2,FALSE),VLOOKUP(O$1,test!$A$3:$F$32,2,FALSE))&lt;=test!$K$16,$A19&lt;&gt;O$1,feasible_mat!O19=1),(VLOOKUP(O$1,test!$A$3:$I$32,8,FALSE))-(VLOOKUP($A19,test!$A$3:$I$32,9,FALSE)),0)</f>
        <v>360</v>
      </c>
      <c r="P19">
        <f>IF(AND(SUM(VLOOKUP($A19,test!$A$3:$F$32,2,FALSE),VLOOKUP(P$1,test!$A$3:$F$32,2,FALSE))&lt;=test!$K$16,$A19&lt;&gt;P$1,feasible_mat!P19=1),(VLOOKUP(P$1,test!$A$3:$I$32,8,FALSE))-(VLOOKUP($A19,test!$A$3:$I$32,9,FALSE)),0)</f>
        <v>0</v>
      </c>
      <c r="Q19">
        <f>IF(AND(SUM(VLOOKUP($A19,test!$A$3:$F$32,2,FALSE),VLOOKUP(Q$1,test!$A$3:$F$32,2,FALSE))&lt;=test!$K$16,$A19&lt;&gt;Q$1,feasible_mat!Q19=1),(VLOOKUP(Q$1,test!$A$3:$I$32,8,FALSE))-(VLOOKUP($A19,test!$A$3:$I$32,9,FALSE)),0)</f>
        <v>0</v>
      </c>
      <c r="R19">
        <f>IF(AND(SUM(VLOOKUP($A19,test!$A$3:$F$32,2,FALSE),VLOOKUP(R$1,test!$A$3:$F$32,2,FALSE))&lt;=test!$K$16,$A19&lt;&gt;R$1,feasible_mat!R19=1),(VLOOKUP(R$1,test!$A$3:$I$32,8,FALSE))-(VLOOKUP($A19,test!$A$3:$I$32,9,FALSE)),0)</f>
        <v>0</v>
      </c>
      <c r="S19">
        <f>IF(AND(SUM(VLOOKUP($A19,test!$A$3:$F$32,2,FALSE),VLOOKUP(S$1,test!$A$3:$F$32,2,FALSE))&lt;=test!$K$16,$A19&lt;&gt;S$1,feasible_mat!S19=1),(VLOOKUP(S$1,test!$A$3:$I$32,8,FALSE))-(VLOOKUP($A19,test!$A$3:$I$32,9,FALSE)),0)</f>
        <v>0</v>
      </c>
      <c r="T19">
        <f>IF(AND(SUM(VLOOKUP($A19,test!$A$3:$F$32,2,FALSE),VLOOKUP(T$1,test!$A$3:$F$32,2,FALSE))&lt;=test!$K$16,$A19&lt;&gt;T$1,feasible_mat!T19=1),(VLOOKUP(T$1,test!$A$3:$I$32,8,FALSE))-(VLOOKUP($A19,test!$A$3:$I$32,9,FALSE)),0)</f>
        <v>0</v>
      </c>
      <c r="U19">
        <f>IF(AND(SUM(VLOOKUP($A19,test!$A$3:$F$32,2,FALSE),VLOOKUP(U$1,test!$A$3:$F$32,2,FALSE))&lt;=test!$K$16,$A19&lt;&gt;U$1,feasible_mat!U19=1),(VLOOKUP(U$1,test!$A$3:$I$32,8,FALSE))-(VLOOKUP($A19,test!$A$3:$I$32,9,FALSE)),0)</f>
        <v>45</v>
      </c>
      <c r="V19">
        <f>IF(AND(SUM(VLOOKUP($A19,test!$A$3:$F$32,2,FALSE),VLOOKUP(V$1,test!$A$3:$F$32,2,FALSE))&lt;=test!$K$16,$A19&lt;&gt;V$1,feasible_mat!V19=1),(VLOOKUP(V$1,test!$A$3:$I$32,8,FALSE))-(VLOOKUP($A19,test!$A$3:$I$32,9,FALSE)),0)</f>
        <v>135</v>
      </c>
      <c r="W19">
        <f>IF(AND(SUM(VLOOKUP($A19,test!$A$3:$F$32,2,FALSE),VLOOKUP(W$1,test!$A$3:$F$32,2,FALSE))&lt;=test!$K$16,$A19&lt;&gt;W$1,feasible_mat!W19=1),(VLOOKUP(W$1,test!$A$3:$I$32,8,FALSE))-(VLOOKUP($A19,test!$A$3:$I$32,9,FALSE)),0)</f>
        <v>225</v>
      </c>
      <c r="X19">
        <f>IF(AND(SUM(VLOOKUP($A19,test!$A$3:$F$32,2,FALSE),VLOOKUP(X$1,test!$A$3:$F$32,2,FALSE))&lt;=test!$K$16,$A19&lt;&gt;X$1,feasible_mat!X19=1),(VLOOKUP(X$1,test!$A$3:$I$32,8,FALSE))-(VLOOKUP($A19,test!$A$3:$I$32,9,FALSE)),0)</f>
        <v>285</v>
      </c>
      <c r="Y19">
        <f>IF(AND(SUM(VLOOKUP($A19,test!$A$3:$F$32,2,FALSE),VLOOKUP(Y$1,test!$A$3:$F$32,2,FALSE))&lt;=test!$K$16,$A19&lt;&gt;Y$1,feasible_mat!Y19=1),(VLOOKUP(Y$1,test!$A$3:$I$32,8,FALSE))-(VLOOKUP($A19,test!$A$3:$I$32,9,FALSE)),0)</f>
        <v>0</v>
      </c>
      <c r="Z19">
        <f>IF(AND(SUM(VLOOKUP($A19,test!$A$3:$F$32,2,FALSE),VLOOKUP(Z$1,test!$A$3:$F$32,2,FALSE))&lt;=test!$K$16,$A19&lt;&gt;Z$1,feasible_mat!Z19=1),(VLOOKUP(Z$1,test!$A$3:$I$32,8,FALSE))-(VLOOKUP($A19,test!$A$3:$I$32,9,FALSE)),0)</f>
        <v>0</v>
      </c>
      <c r="AA19">
        <f>IF(AND(SUM(VLOOKUP($A19,test!$A$3:$F$32,2,FALSE),VLOOKUP(AA$1,test!$A$3:$F$32,2,FALSE))&lt;=test!$K$16,$A19&lt;&gt;AA$1,feasible_mat!AA19=1),(VLOOKUP(AA$1,test!$A$3:$I$32,8,FALSE))-(VLOOKUP($A19,test!$A$3:$I$32,9,FALSE)),0)</f>
        <v>0</v>
      </c>
      <c r="AB19">
        <f>IF(AND(SUM(VLOOKUP($A19,test!$A$3:$F$32,2,FALSE),VLOOKUP(AB$1,test!$A$3:$F$32,2,FALSE))&lt;=test!$K$16,$A19&lt;&gt;AB$1,feasible_mat!AB19=1),(VLOOKUP(AB$1,test!$A$3:$I$32,8,FALSE))-(VLOOKUP($A19,test!$A$3:$I$32,9,FALSE)),0)</f>
        <v>65</v>
      </c>
      <c r="AC19">
        <f>IF(AND(SUM(VLOOKUP($A19,test!$A$3:$F$32,2,FALSE),VLOOKUP(AC$1,test!$A$3:$F$32,2,FALSE))&lt;=test!$K$16,$A19&lt;&gt;AC$1,feasible_mat!AC19=1),(VLOOKUP(AC$1,test!$A$3:$I$32,8,FALSE))-(VLOOKUP($A19,test!$A$3:$I$32,9,FALSE)),0)</f>
        <v>185</v>
      </c>
      <c r="AD19">
        <f>IF(AND(SUM(VLOOKUP($A19,test!$A$3:$F$32,2,FALSE),VLOOKUP(AD$1,test!$A$3:$F$32,2,FALSE))&lt;=test!$K$16,$A19&lt;&gt;AD$1,feasible_mat!AD19=1),(VLOOKUP(AD$1,test!$A$3:$I$32,8,FALSE))-(VLOOKUP($A19,test!$A$3:$I$32,9,FALSE)),0)</f>
        <v>0</v>
      </c>
      <c r="AE19">
        <f>IF(AND(SUM(VLOOKUP($A19,test!$A$3:$F$32,2,FALSE),VLOOKUP(AE$1,test!$A$3:$F$32,2,FALSE))&lt;=test!$K$16,$A19&lt;&gt;AE$1,feasible_mat!AE19=1),(VLOOKUP(AE$1,test!$A$3:$I$32,8,FALSE))-(VLOOKUP($A19,test!$A$3:$I$32,9,FALSE)),0)</f>
        <v>0</v>
      </c>
      <c r="AF19">
        <f>IF(AND(SUM(VLOOKUP($A19,test!$A$3:$F$32,2,FALSE),VLOOKUP(AF$1,test!$A$3:$F$32,2,FALSE))&lt;=test!$K$16,$A19&lt;&gt;AF$1,feasible_mat!AF19=1),(VLOOKUP(AF$1,test!$A$3:$I$32,8,FALSE))-(VLOOKUP($A19,test!$A$3:$I$32,9,FALSE)),0)</f>
        <v>0</v>
      </c>
      <c r="AJ19" s="16">
        <f>SUM(VLOOKUP($A11,test!$A$3:$F$32,2,FALSE),VLOOKUP(AF$1,test!$A$3:$F$32,2,FALSE))</f>
        <v>410</v>
      </c>
    </row>
    <row r="20" spans="1:36" x14ac:dyDescent="0.25">
      <c r="A20" t="s">
        <v>29</v>
      </c>
      <c r="B20">
        <v>0</v>
      </c>
      <c r="C20">
        <f>IF(AND(SUM(VLOOKUP($A20,test!$A$3:$F$32,2,FALSE),VLOOKUP(C$1,test!$A$3:$F$32,2,FALSE))&lt;=test!$K$16,$A20&lt;&gt;C$1,feasible_mat!C20=1),(VLOOKUP(C$1,test!$A$3:$I$32,8,FALSE))-(VLOOKUP($A20,test!$A$3:$I$32,9,FALSE)),0)</f>
        <v>0</v>
      </c>
      <c r="D20">
        <f>IF(AND(SUM(VLOOKUP($A20,test!$A$3:$F$32,2,FALSE),VLOOKUP(D$1,test!$A$3:$F$32,2,FALSE))&lt;=test!$K$16,$A20&lt;&gt;D$1,feasible_mat!D20=1),(VLOOKUP(D$1,test!$A$3:$I$32,8,FALSE))-(VLOOKUP($A20,test!$A$3:$I$32,9,FALSE)),0)</f>
        <v>0</v>
      </c>
      <c r="E20">
        <f>IF(AND(SUM(VLOOKUP($A20,test!$A$3:$F$32,2,FALSE),VLOOKUP(E$1,test!$A$3:$F$32,2,FALSE))&lt;=test!$K$16,$A20&lt;&gt;E$1,feasible_mat!E20=1),(VLOOKUP(E$1,test!$A$3:$I$32,8,FALSE))-(VLOOKUP($A20,test!$A$3:$I$32,9,FALSE)),0)</f>
        <v>0</v>
      </c>
      <c r="F20">
        <f>IF(AND(SUM(VLOOKUP($A20,test!$A$3:$F$32,2,FALSE),VLOOKUP(F$1,test!$A$3:$F$32,2,FALSE))&lt;=test!$K$16,$A20&lt;&gt;F$1,feasible_mat!F20=1),(VLOOKUP(F$1,test!$A$3:$I$32,8,FALSE))-(VLOOKUP($A20,test!$A$3:$I$32,9,FALSE)),0)</f>
        <v>0</v>
      </c>
      <c r="G20">
        <f>IF(AND(SUM(VLOOKUP($A20,test!$A$3:$F$32,2,FALSE),VLOOKUP(G$1,test!$A$3:$F$32,2,FALSE))&lt;=test!$K$16,$A20&lt;&gt;G$1,feasible_mat!G20=1),(VLOOKUP(G$1,test!$A$3:$I$32,8,FALSE))-(VLOOKUP($A20,test!$A$3:$I$32,9,FALSE)),0)</f>
        <v>35</v>
      </c>
      <c r="H20">
        <f>IF(AND(SUM(VLOOKUP($A20,test!$A$3:$F$32,2,FALSE),VLOOKUP(H$1,test!$A$3:$F$32,2,FALSE))&lt;=test!$K$16,$A20&lt;&gt;H$1,feasible_mat!H20=1),(VLOOKUP(H$1,test!$A$3:$I$32,8,FALSE))-(VLOOKUP($A20,test!$A$3:$I$32,9,FALSE)),0)</f>
        <v>95</v>
      </c>
      <c r="I20">
        <f>IF(AND(SUM(VLOOKUP($A20,test!$A$3:$F$32,2,FALSE),VLOOKUP(I$1,test!$A$3:$F$32,2,FALSE))&lt;=test!$K$16,$A20&lt;&gt;I$1,feasible_mat!I20=1),(VLOOKUP(I$1,test!$A$3:$I$32,8,FALSE))-(VLOOKUP($A20,test!$A$3:$I$32,9,FALSE)),0)</f>
        <v>155</v>
      </c>
      <c r="J20">
        <f>IF(AND(SUM(VLOOKUP($A20,test!$A$3:$F$32,2,FALSE),VLOOKUP(J$1,test!$A$3:$F$32,2,FALSE))&lt;=test!$K$16,$A20&lt;&gt;J$1,feasible_mat!J20=1),(VLOOKUP(J$1,test!$A$3:$I$32,8,FALSE))-(VLOOKUP($A20,test!$A$3:$I$32,9,FALSE)),0)</f>
        <v>245</v>
      </c>
      <c r="K20">
        <f>IF(AND(SUM(VLOOKUP($A20,test!$A$3:$F$32,2,FALSE),VLOOKUP(K$1,test!$A$3:$F$32,2,FALSE))&lt;=test!$K$16,$A20&lt;&gt;K$1,feasible_mat!K20=1),(VLOOKUP(K$1,test!$A$3:$I$32,8,FALSE))-(VLOOKUP($A20,test!$A$3:$I$32,9,FALSE)),0)</f>
        <v>0</v>
      </c>
      <c r="L20">
        <f>IF(AND(SUM(VLOOKUP($A20,test!$A$3:$F$32,2,FALSE),VLOOKUP(L$1,test!$A$3:$F$32,2,FALSE))&lt;=test!$K$16,$A20&lt;&gt;L$1,feasible_mat!L20=1),(VLOOKUP(L$1,test!$A$3:$I$32,8,FALSE))-(VLOOKUP($A20,test!$A$3:$I$32,9,FALSE)),0)</f>
        <v>0</v>
      </c>
      <c r="M20">
        <f>IF(AND(SUM(VLOOKUP($A20,test!$A$3:$F$32,2,FALSE),VLOOKUP(M$1,test!$A$3:$F$32,2,FALSE))&lt;=test!$K$16,$A20&lt;&gt;M$1,feasible_mat!M20=1),(VLOOKUP(M$1,test!$A$3:$I$32,8,FALSE))-(VLOOKUP($A20,test!$A$3:$I$32,9,FALSE)),0)</f>
        <v>0</v>
      </c>
      <c r="N20">
        <f>IF(AND(SUM(VLOOKUP($A20,test!$A$3:$F$32,2,FALSE),VLOOKUP(N$1,test!$A$3:$F$32,2,FALSE))&lt;=test!$K$16,$A20&lt;&gt;N$1,feasible_mat!N20=1),(VLOOKUP(N$1,test!$A$3:$I$32,8,FALSE))-(VLOOKUP($A20,test!$A$3:$I$32,9,FALSE)),0)</f>
        <v>210</v>
      </c>
      <c r="O20">
        <f>IF(AND(SUM(VLOOKUP($A20,test!$A$3:$F$32,2,FALSE),VLOOKUP(O$1,test!$A$3:$F$32,2,FALSE))&lt;=test!$K$16,$A20&lt;&gt;O$1,feasible_mat!O20=1),(VLOOKUP(O$1,test!$A$3:$I$32,8,FALSE))-(VLOOKUP($A20,test!$A$3:$I$32,9,FALSE)),0)</f>
        <v>270</v>
      </c>
      <c r="P20">
        <f>IF(AND(SUM(VLOOKUP($A20,test!$A$3:$F$32,2,FALSE),VLOOKUP(P$1,test!$A$3:$F$32,2,FALSE))&lt;=test!$K$16,$A20&lt;&gt;P$1,feasible_mat!P20=1),(VLOOKUP(P$1,test!$A$3:$I$32,8,FALSE))-(VLOOKUP($A20,test!$A$3:$I$32,9,FALSE)),0)</f>
        <v>0</v>
      </c>
      <c r="Q20">
        <f>IF(AND(SUM(VLOOKUP($A20,test!$A$3:$F$32,2,FALSE),VLOOKUP(Q$1,test!$A$3:$F$32,2,FALSE))&lt;=test!$K$16,$A20&lt;&gt;Q$1,feasible_mat!Q20=1),(VLOOKUP(Q$1,test!$A$3:$I$32,8,FALSE))-(VLOOKUP($A20,test!$A$3:$I$32,9,FALSE)),0)</f>
        <v>0</v>
      </c>
      <c r="R20">
        <f>IF(AND(SUM(VLOOKUP($A20,test!$A$3:$F$32,2,FALSE),VLOOKUP(R$1,test!$A$3:$F$32,2,FALSE))&lt;=test!$K$16,$A20&lt;&gt;R$1,feasible_mat!R20=1),(VLOOKUP(R$1,test!$A$3:$I$32,8,FALSE))-(VLOOKUP($A20,test!$A$3:$I$32,9,FALSE)),0)</f>
        <v>0</v>
      </c>
      <c r="S20">
        <f>IF(AND(SUM(VLOOKUP($A20,test!$A$3:$F$32,2,FALSE),VLOOKUP(S$1,test!$A$3:$F$32,2,FALSE))&lt;=test!$K$16,$A20&lt;&gt;S$1,feasible_mat!S20=1),(VLOOKUP(S$1,test!$A$3:$I$32,8,FALSE))-(VLOOKUP($A20,test!$A$3:$I$32,9,FALSE)),0)</f>
        <v>0</v>
      </c>
      <c r="T20">
        <f>IF(AND(SUM(VLOOKUP($A20,test!$A$3:$F$32,2,FALSE),VLOOKUP(T$1,test!$A$3:$F$32,2,FALSE))&lt;=test!$K$16,$A20&lt;&gt;T$1,feasible_mat!T20=1),(VLOOKUP(T$1,test!$A$3:$I$32,8,FALSE))-(VLOOKUP($A20,test!$A$3:$I$32,9,FALSE)),0)</f>
        <v>0</v>
      </c>
      <c r="U20">
        <f>IF(AND(SUM(VLOOKUP($A20,test!$A$3:$F$32,2,FALSE),VLOOKUP(U$1,test!$A$3:$F$32,2,FALSE))&lt;=test!$K$16,$A20&lt;&gt;U$1,feasible_mat!U20=1),(VLOOKUP(U$1,test!$A$3:$I$32,8,FALSE))-(VLOOKUP($A20,test!$A$3:$I$32,9,FALSE)),0)</f>
        <v>0</v>
      </c>
      <c r="V20">
        <f>IF(AND(SUM(VLOOKUP($A20,test!$A$3:$F$32,2,FALSE),VLOOKUP(V$1,test!$A$3:$F$32,2,FALSE))&lt;=test!$K$16,$A20&lt;&gt;V$1,feasible_mat!V20=1),(VLOOKUP(V$1,test!$A$3:$I$32,8,FALSE))-(VLOOKUP($A20,test!$A$3:$I$32,9,FALSE)),0)</f>
        <v>45</v>
      </c>
      <c r="W20">
        <f>IF(AND(SUM(VLOOKUP($A20,test!$A$3:$F$32,2,FALSE),VLOOKUP(W$1,test!$A$3:$F$32,2,FALSE))&lt;=test!$K$16,$A20&lt;&gt;W$1,feasible_mat!W20=1),(VLOOKUP(W$1,test!$A$3:$I$32,8,FALSE))-(VLOOKUP($A20,test!$A$3:$I$32,9,FALSE)),0)</f>
        <v>135</v>
      </c>
      <c r="X20">
        <f>IF(AND(SUM(VLOOKUP($A20,test!$A$3:$F$32,2,FALSE),VLOOKUP(X$1,test!$A$3:$F$32,2,FALSE))&lt;=test!$K$16,$A20&lt;&gt;X$1,feasible_mat!X20=1),(VLOOKUP(X$1,test!$A$3:$I$32,8,FALSE))-(VLOOKUP($A20,test!$A$3:$I$32,9,FALSE)),0)</f>
        <v>195</v>
      </c>
      <c r="Y20">
        <f>IF(AND(SUM(VLOOKUP($A20,test!$A$3:$F$32,2,FALSE),VLOOKUP(Y$1,test!$A$3:$F$32,2,FALSE))&lt;=test!$K$16,$A20&lt;&gt;Y$1,feasible_mat!Y20=1),(VLOOKUP(Y$1,test!$A$3:$I$32,8,FALSE))-(VLOOKUP($A20,test!$A$3:$I$32,9,FALSE)),0)</f>
        <v>0</v>
      </c>
      <c r="Z20">
        <f>IF(AND(SUM(VLOOKUP($A20,test!$A$3:$F$32,2,FALSE),VLOOKUP(Z$1,test!$A$3:$F$32,2,FALSE))&lt;=test!$K$16,$A20&lt;&gt;Z$1,feasible_mat!Z20=1),(VLOOKUP(Z$1,test!$A$3:$I$32,8,FALSE))-(VLOOKUP($A20,test!$A$3:$I$32,9,FALSE)),0)</f>
        <v>0</v>
      </c>
      <c r="AA20">
        <f>IF(AND(SUM(VLOOKUP($A20,test!$A$3:$F$32,2,FALSE),VLOOKUP(AA$1,test!$A$3:$F$32,2,FALSE))&lt;=test!$K$16,$A20&lt;&gt;AA$1,feasible_mat!AA20=1),(VLOOKUP(AA$1,test!$A$3:$I$32,8,FALSE))-(VLOOKUP($A20,test!$A$3:$I$32,9,FALSE)),0)</f>
        <v>0</v>
      </c>
      <c r="AB20">
        <f>IF(AND(SUM(VLOOKUP($A20,test!$A$3:$F$32,2,FALSE),VLOOKUP(AB$1,test!$A$3:$F$32,2,FALSE))&lt;=test!$K$16,$A20&lt;&gt;AB$1,feasible_mat!AB20=1),(VLOOKUP(AB$1,test!$A$3:$I$32,8,FALSE))-(VLOOKUP($A20,test!$A$3:$I$32,9,FALSE)),0)</f>
        <v>0</v>
      </c>
      <c r="AC20">
        <f>IF(AND(SUM(VLOOKUP($A20,test!$A$3:$F$32,2,FALSE),VLOOKUP(AC$1,test!$A$3:$F$32,2,FALSE))&lt;=test!$K$16,$A20&lt;&gt;AC$1,feasible_mat!AC20=1),(VLOOKUP(AC$1,test!$A$3:$I$32,8,FALSE))-(VLOOKUP($A20,test!$A$3:$I$32,9,FALSE)),0)</f>
        <v>95</v>
      </c>
      <c r="AD20">
        <f>IF(AND(SUM(VLOOKUP($A20,test!$A$3:$F$32,2,FALSE),VLOOKUP(AD$1,test!$A$3:$F$32,2,FALSE))&lt;=test!$K$16,$A20&lt;&gt;AD$1,feasible_mat!AD20=1),(VLOOKUP(AD$1,test!$A$3:$I$32,8,FALSE))-(VLOOKUP($A20,test!$A$3:$I$32,9,FALSE)),0)</f>
        <v>0</v>
      </c>
      <c r="AE20">
        <f>IF(AND(SUM(VLOOKUP($A20,test!$A$3:$F$32,2,FALSE),VLOOKUP(AE$1,test!$A$3:$F$32,2,FALSE))&lt;=test!$K$16,$A20&lt;&gt;AE$1,feasible_mat!AE20=1),(VLOOKUP(AE$1,test!$A$3:$I$32,8,FALSE))-(VLOOKUP($A20,test!$A$3:$I$32,9,FALSE)),0)</f>
        <v>0</v>
      </c>
      <c r="AF20">
        <f>IF(AND(SUM(VLOOKUP($A20,test!$A$3:$F$32,2,FALSE),VLOOKUP(AF$1,test!$A$3:$F$32,2,FALSE))&lt;=test!$K$16,$A20&lt;&gt;AF$1,feasible_mat!AF20=1),(VLOOKUP(AF$1,test!$A$3:$I$32,8,FALSE))-(VLOOKUP($A20,test!$A$3:$I$32,9,FALSE)),0)</f>
        <v>0</v>
      </c>
    </row>
    <row r="21" spans="1:36" x14ac:dyDescent="0.25">
      <c r="A21" t="s">
        <v>30</v>
      </c>
      <c r="B21">
        <v>0</v>
      </c>
      <c r="C21">
        <f>IF(AND(SUM(VLOOKUP($A21,test!$A$3:$F$32,2,FALSE),VLOOKUP(C$1,test!$A$3:$F$32,2,FALSE))&lt;=test!$K$16,$A21&lt;&gt;C$1,feasible_mat!C21=1),(VLOOKUP(C$1,test!$A$3:$I$32,8,FALSE))-(VLOOKUP($A21,test!$A$3:$I$32,9,FALSE)),0)</f>
        <v>0</v>
      </c>
      <c r="D21">
        <f>IF(AND(SUM(VLOOKUP($A21,test!$A$3:$F$32,2,FALSE),VLOOKUP(D$1,test!$A$3:$F$32,2,FALSE))&lt;=test!$K$16,$A21&lt;&gt;D$1,feasible_mat!D21=1),(VLOOKUP(D$1,test!$A$3:$I$32,8,FALSE))-(VLOOKUP($A21,test!$A$3:$I$32,9,FALSE)),0)</f>
        <v>0</v>
      </c>
      <c r="E21">
        <f>IF(AND(SUM(VLOOKUP($A21,test!$A$3:$F$32,2,FALSE),VLOOKUP(E$1,test!$A$3:$F$32,2,FALSE))&lt;=test!$K$16,$A21&lt;&gt;E$1,feasible_mat!E21=1),(VLOOKUP(E$1,test!$A$3:$I$32,8,FALSE))-(VLOOKUP($A21,test!$A$3:$I$32,9,FALSE)),0)</f>
        <v>0</v>
      </c>
      <c r="F21">
        <f>IF(AND(SUM(VLOOKUP($A21,test!$A$3:$F$32,2,FALSE),VLOOKUP(F$1,test!$A$3:$F$32,2,FALSE))&lt;=test!$K$16,$A21&lt;&gt;F$1,feasible_mat!F21=1),(VLOOKUP(F$1,test!$A$3:$I$32,8,FALSE))-(VLOOKUP($A21,test!$A$3:$I$32,9,FALSE)),0)</f>
        <v>0</v>
      </c>
      <c r="G21">
        <f>IF(AND(SUM(VLOOKUP($A21,test!$A$3:$F$32,2,FALSE),VLOOKUP(G$1,test!$A$3:$F$32,2,FALSE))&lt;=test!$K$16,$A21&lt;&gt;G$1,feasible_mat!G21=1),(VLOOKUP(G$1,test!$A$3:$I$32,8,FALSE))-(VLOOKUP($A21,test!$A$3:$I$32,9,FALSE)),0)</f>
        <v>0</v>
      </c>
      <c r="H21">
        <f>IF(AND(SUM(VLOOKUP($A21,test!$A$3:$F$32,2,FALSE),VLOOKUP(H$1,test!$A$3:$F$32,2,FALSE))&lt;=test!$K$16,$A21&lt;&gt;H$1,feasible_mat!H21=1),(VLOOKUP(H$1,test!$A$3:$I$32,8,FALSE))-(VLOOKUP($A21,test!$A$3:$I$32,9,FALSE)),0)</f>
        <v>0</v>
      </c>
      <c r="I21">
        <f>IF(AND(SUM(VLOOKUP($A21,test!$A$3:$F$32,2,FALSE),VLOOKUP(I$1,test!$A$3:$F$32,2,FALSE))&lt;=test!$K$16,$A21&lt;&gt;I$1,feasible_mat!I21=1),(VLOOKUP(I$1,test!$A$3:$I$32,8,FALSE))-(VLOOKUP($A21,test!$A$3:$I$32,9,FALSE)),0)</f>
        <v>65</v>
      </c>
      <c r="J21">
        <f>IF(AND(SUM(VLOOKUP($A21,test!$A$3:$F$32,2,FALSE),VLOOKUP(J$1,test!$A$3:$F$32,2,FALSE))&lt;=test!$K$16,$A21&lt;&gt;J$1,feasible_mat!J21=1),(VLOOKUP(J$1,test!$A$3:$I$32,8,FALSE))-(VLOOKUP($A21,test!$A$3:$I$32,9,FALSE)),0)</f>
        <v>155</v>
      </c>
      <c r="K21">
        <f>IF(AND(SUM(VLOOKUP($A21,test!$A$3:$F$32,2,FALSE),VLOOKUP(K$1,test!$A$3:$F$32,2,FALSE))&lt;=test!$K$16,$A21&lt;&gt;K$1,feasible_mat!K21=1),(VLOOKUP(K$1,test!$A$3:$I$32,8,FALSE))-(VLOOKUP($A21,test!$A$3:$I$32,9,FALSE)),0)</f>
        <v>0</v>
      </c>
      <c r="L21">
        <f>IF(AND(SUM(VLOOKUP($A21,test!$A$3:$F$32,2,FALSE),VLOOKUP(L$1,test!$A$3:$F$32,2,FALSE))&lt;=test!$K$16,$A21&lt;&gt;L$1,feasible_mat!L21=1),(VLOOKUP(L$1,test!$A$3:$I$32,8,FALSE))-(VLOOKUP($A21,test!$A$3:$I$32,9,FALSE)),0)</f>
        <v>0</v>
      </c>
      <c r="M21">
        <f>IF(AND(SUM(VLOOKUP($A21,test!$A$3:$F$32,2,FALSE),VLOOKUP(M$1,test!$A$3:$F$32,2,FALSE))&lt;=test!$K$16,$A21&lt;&gt;M$1,feasible_mat!M21=1),(VLOOKUP(M$1,test!$A$3:$I$32,8,FALSE))-(VLOOKUP($A21,test!$A$3:$I$32,9,FALSE)),0)</f>
        <v>0</v>
      </c>
      <c r="N21">
        <f>IF(AND(SUM(VLOOKUP($A21,test!$A$3:$F$32,2,FALSE),VLOOKUP(N$1,test!$A$3:$F$32,2,FALSE))&lt;=test!$K$16,$A21&lt;&gt;N$1,feasible_mat!N21=1),(VLOOKUP(N$1,test!$A$3:$I$32,8,FALSE))-(VLOOKUP($A21,test!$A$3:$I$32,9,FALSE)),0)</f>
        <v>120</v>
      </c>
      <c r="O21">
        <f>IF(AND(SUM(VLOOKUP($A21,test!$A$3:$F$32,2,FALSE),VLOOKUP(O$1,test!$A$3:$F$32,2,FALSE))&lt;=test!$K$16,$A21&lt;&gt;O$1,feasible_mat!O21=1),(VLOOKUP(O$1,test!$A$3:$I$32,8,FALSE))-(VLOOKUP($A21,test!$A$3:$I$32,9,FALSE)),0)</f>
        <v>180</v>
      </c>
      <c r="P21">
        <f>IF(AND(SUM(VLOOKUP($A21,test!$A$3:$F$32,2,FALSE),VLOOKUP(P$1,test!$A$3:$F$32,2,FALSE))&lt;=test!$K$16,$A21&lt;&gt;P$1,feasible_mat!P21=1),(VLOOKUP(P$1,test!$A$3:$I$32,8,FALSE))-(VLOOKUP($A21,test!$A$3:$I$32,9,FALSE)),0)</f>
        <v>0</v>
      </c>
      <c r="Q21">
        <f>IF(AND(SUM(VLOOKUP($A21,test!$A$3:$F$32,2,FALSE),VLOOKUP(Q$1,test!$A$3:$F$32,2,FALSE))&lt;=test!$K$16,$A21&lt;&gt;Q$1,feasible_mat!Q21=1),(VLOOKUP(Q$1,test!$A$3:$I$32,8,FALSE))-(VLOOKUP($A21,test!$A$3:$I$32,9,FALSE)),0)</f>
        <v>0</v>
      </c>
      <c r="R21">
        <f>IF(AND(SUM(VLOOKUP($A21,test!$A$3:$F$32,2,FALSE),VLOOKUP(R$1,test!$A$3:$F$32,2,FALSE))&lt;=test!$K$16,$A21&lt;&gt;R$1,feasible_mat!R21=1),(VLOOKUP(R$1,test!$A$3:$I$32,8,FALSE))-(VLOOKUP($A21,test!$A$3:$I$32,9,FALSE)),0)</f>
        <v>0</v>
      </c>
      <c r="S21">
        <f>IF(AND(SUM(VLOOKUP($A21,test!$A$3:$F$32,2,FALSE),VLOOKUP(S$1,test!$A$3:$F$32,2,FALSE))&lt;=test!$K$16,$A21&lt;&gt;S$1,feasible_mat!S21=1),(VLOOKUP(S$1,test!$A$3:$I$32,8,FALSE))-(VLOOKUP($A21,test!$A$3:$I$32,9,FALSE)),0)</f>
        <v>0</v>
      </c>
      <c r="T21">
        <f>IF(AND(SUM(VLOOKUP($A21,test!$A$3:$F$32,2,FALSE),VLOOKUP(T$1,test!$A$3:$F$32,2,FALSE))&lt;=test!$K$16,$A21&lt;&gt;T$1,feasible_mat!T21=1),(VLOOKUP(T$1,test!$A$3:$I$32,8,FALSE))-(VLOOKUP($A21,test!$A$3:$I$32,9,FALSE)),0)</f>
        <v>0</v>
      </c>
      <c r="U21">
        <f>IF(AND(SUM(VLOOKUP($A21,test!$A$3:$F$32,2,FALSE),VLOOKUP(U$1,test!$A$3:$F$32,2,FALSE))&lt;=test!$K$16,$A21&lt;&gt;U$1,feasible_mat!U21=1),(VLOOKUP(U$1,test!$A$3:$I$32,8,FALSE))-(VLOOKUP($A21,test!$A$3:$I$32,9,FALSE)),0)</f>
        <v>0</v>
      </c>
      <c r="V21">
        <f>IF(AND(SUM(VLOOKUP($A21,test!$A$3:$F$32,2,FALSE),VLOOKUP(V$1,test!$A$3:$F$32,2,FALSE))&lt;=test!$K$16,$A21&lt;&gt;V$1,feasible_mat!V21=1),(VLOOKUP(V$1,test!$A$3:$I$32,8,FALSE))-(VLOOKUP($A21,test!$A$3:$I$32,9,FALSE)),0)</f>
        <v>0</v>
      </c>
      <c r="W21">
        <f>IF(AND(SUM(VLOOKUP($A21,test!$A$3:$F$32,2,FALSE),VLOOKUP(W$1,test!$A$3:$F$32,2,FALSE))&lt;=test!$K$16,$A21&lt;&gt;W$1,feasible_mat!W21=1),(VLOOKUP(W$1,test!$A$3:$I$32,8,FALSE))-(VLOOKUP($A21,test!$A$3:$I$32,9,FALSE)),0)</f>
        <v>45</v>
      </c>
      <c r="X21">
        <f>IF(AND(SUM(VLOOKUP($A21,test!$A$3:$F$32,2,FALSE),VLOOKUP(X$1,test!$A$3:$F$32,2,FALSE))&lt;=test!$K$16,$A21&lt;&gt;X$1,feasible_mat!X21=1),(VLOOKUP(X$1,test!$A$3:$I$32,8,FALSE))-(VLOOKUP($A21,test!$A$3:$I$32,9,FALSE)),0)</f>
        <v>105</v>
      </c>
      <c r="Y21">
        <f>IF(AND(SUM(VLOOKUP($A21,test!$A$3:$F$32,2,FALSE),VLOOKUP(Y$1,test!$A$3:$F$32,2,FALSE))&lt;=test!$K$16,$A21&lt;&gt;Y$1,feasible_mat!Y21=1),(VLOOKUP(Y$1,test!$A$3:$I$32,8,FALSE))-(VLOOKUP($A21,test!$A$3:$I$32,9,FALSE)),0)</f>
        <v>0</v>
      </c>
      <c r="Z21">
        <f>IF(AND(SUM(VLOOKUP($A21,test!$A$3:$F$32,2,FALSE),VLOOKUP(Z$1,test!$A$3:$F$32,2,FALSE))&lt;=test!$K$16,$A21&lt;&gt;Z$1,feasible_mat!Z21=1),(VLOOKUP(Z$1,test!$A$3:$I$32,8,FALSE))-(VLOOKUP($A21,test!$A$3:$I$32,9,FALSE)),0)</f>
        <v>0</v>
      </c>
      <c r="AA21">
        <f>IF(AND(SUM(VLOOKUP($A21,test!$A$3:$F$32,2,FALSE),VLOOKUP(AA$1,test!$A$3:$F$32,2,FALSE))&lt;=test!$K$16,$A21&lt;&gt;AA$1,feasible_mat!AA21=1),(VLOOKUP(AA$1,test!$A$3:$I$32,8,FALSE))-(VLOOKUP($A21,test!$A$3:$I$32,9,FALSE)),0)</f>
        <v>0</v>
      </c>
      <c r="AB21">
        <f>IF(AND(SUM(VLOOKUP($A21,test!$A$3:$F$32,2,FALSE),VLOOKUP(AB$1,test!$A$3:$F$32,2,FALSE))&lt;=test!$K$16,$A21&lt;&gt;AB$1,feasible_mat!AB21=1),(VLOOKUP(AB$1,test!$A$3:$I$32,8,FALSE))-(VLOOKUP($A21,test!$A$3:$I$32,9,FALSE)),0)</f>
        <v>0</v>
      </c>
      <c r="AC21">
        <f>IF(AND(SUM(VLOOKUP($A21,test!$A$3:$F$32,2,FALSE),VLOOKUP(AC$1,test!$A$3:$F$32,2,FALSE))&lt;=test!$K$16,$A21&lt;&gt;AC$1,feasible_mat!AC21=1),(VLOOKUP(AC$1,test!$A$3:$I$32,8,FALSE))-(VLOOKUP($A21,test!$A$3:$I$32,9,FALSE)),0)</f>
        <v>0</v>
      </c>
      <c r="AD21">
        <f>IF(AND(SUM(VLOOKUP($A21,test!$A$3:$F$32,2,FALSE),VLOOKUP(AD$1,test!$A$3:$F$32,2,FALSE))&lt;=test!$K$16,$A21&lt;&gt;AD$1,feasible_mat!AD21=1),(VLOOKUP(AD$1,test!$A$3:$I$32,8,FALSE))-(VLOOKUP($A21,test!$A$3:$I$32,9,FALSE)),0)</f>
        <v>0</v>
      </c>
      <c r="AE21">
        <f>IF(AND(SUM(VLOOKUP($A21,test!$A$3:$F$32,2,FALSE),VLOOKUP(AE$1,test!$A$3:$F$32,2,FALSE))&lt;=test!$K$16,$A21&lt;&gt;AE$1,feasible_mat!AE21=1),(VLOOKUP(AE$1,test!$A$3:$I$32,8,FALSE))-(VLOOKUP($A21,test!$A$3:$I$32,9,FALSE)),0)</f>
        <v>0</v>
      </c>
      <c r="AF21">
        <f>IF(AND(SUM(VLOOKUP($A21,test!$A$3:$F$32,2,FALSE),VLOOKUP(AF$1,test!$A$3:$F$32,2,FALSE))&lt;=test!$K$16,$A21&lt;&gt;AF$1,feasible_mat!AF21=1),(VLOOKUP(AF$1,test!$A$3:$I$32,8,FALSE))-(VLOOKUP($A21,test!$A$3:$I$32,9,FALSE)),0)</f>
        <v>0</v>
      </c>
      <c r="AJ21" s="16">
        <f>VLOOKUP(AF$1,test!$A$3:$I$32,8,FALSE)</f>
        <v>810</v>
      </c>
    </row>
    <row r="22" spans="1:36" x14ac:dyDescent="0.25">
      <c r="A22" t="s">
        <v>31</v>
      </c>
      <c r="B22">
        <v>0</v>
      </c>
      <c r="C22">
        <f>IF(AND(SUM(VLOOKUP($A22,test!$A$3:$F$32,2,FALSE),VLOOKUP(C$1,test!$A$3:$F$32,2,FALSE))&lt;=test!$K$16,$A22&lt;&gt;C$1,feasible_mat!C22=1),(VLOOKUP(C$1,test!$A$3:$I$32,8,FALSE))-(VLOOKUP($A22,test!$A$3:$I$32,9,FALSE)),0)</f>
        <v>0</v>
      </c>
      <c r="D22">
        <f>IF(AND(SUM(VLOOKUP($A22,test!$A$3:$F$32,2,FALSE),VLOOKUP(D$1,test!$A$3:$F$32,2,FALSE))&lt;=test!$K$16,$A22&lt;&gt;D$1,feasible_mat!D22=1),(VLOOKUP(D$1,test!$A$3:$I$32,8,FALSE))-(VLOOKUP($A22,test!$A$3:$I$32,9,FALSE)),0)</f>
        <v>0</v>
      </c>
      <c r="E22">
        <f>IF(AND(SUM(VLOOKUP($A22,test!$A$3:$F$32,2,FALSE),VLOOKUP(E$1,test!$A$3:$F$32,2,FALSE))&lt;=test!$K$16,$A22&lt;&gt;E$1,feasible_mat!E22=1),(VLOOKUP(E$1,test!$A$3:$I$32,8,FALSE))-(VLOOKUP($A22,test!$A$3:$I$32,9,FALSE)),0)</f>
        <v>0</v>
      </c>
      <c r="F22">
        <f>IF(AND(SUM(VLOOKUP($A22,test!$A$3:$F$32,2,FALSE),VLOOKUP(F$1,test!$A$3:$F$32,2,FALSE))&lt;=test!$K$16,$A22&lt;&gt;F$1,feasible_mat!F22=1),(VLOOKUP(F$1,test!$A$3:$I$32,8,FALSE))-(VLOOKUP($A22,test!$A$3:$I$32,9,FALSE)),0)</f>
        <v>0</v>
      </c>
      <c r="G22">
        <f>IF(AND(SUM(VLOOKUP($A22,test!$A$3:$F$32,2,FALSE),VLOOKUP(G$1,test!$A$3:$F$32,2,FALSE))&lt;=test!$K$16,$A22&lt;&gt;G$1,feasible_mat!G22=1),(VLOOKUP(G$1,test!$A$3:$I$32,8,FALSE))-(VLOOKUP($A22,test!$A$3:$I$32,9,FALSE)),0)</f>
        <v>0</v>
      </c>
      <c r="H22">
        <f>IF(AND(SUM(VLOOKUP($A22,test!$A$3:$F$32,2,FALSE),VLOOKUP(H$1,test!$A$3:$F$32,2,FALSE))&lt;=test!$K$16,$A22&lt;&gt;H$1,feasible_mat!H22=1),(VLOOKUP(H$1,test!$A$3:$I$32,8,FALSE))-(VLOOKUP($A22,test!$A$3:$I$32,9,FALSE)),0)</f>
        <v>0</v>
      </c>
      <c r="I22">
        <f>IF(AND(SUM(VLOOKUP($A22,test!$A$3:$F$32,2,FALSE),VLOOKUP(I$1,test!$A$3:$F$32,2,FALSE))&lt;=test!$K$16,$A22&lt;&gt;I$1,feasible_mat!I22=1),(VLOOKUP(I$1,test!$A$3:$I$32,8,FALSE))-(VLOOKUP($A22,test!$A$3:$I$32,9,FALSE)),0)</f>
        <v>0</v>
      </c>
      <c r="J22">
        <f>IF(AND(SUM(VLOOKUP($A22,test!$A$3:$F$32,2,FALSE),VLOOKUP(J$1,test!$A$3:$F$32,2,FALSE))&lt;=test!$K$16,$A22&lt;&gt;J$1,feasible_mat!J22=1),(VLOOKUP(J$1,test!$A$3:$I$32,8,FALSE))-(VLOOKUP($A22,test!$A$3:$I$32,9,FALSE)),0)</f>
        <v>65</v>
      </c>
      <c r="K22">
        <f>IF(AND(SUM(VLOOKUP($A22,test!$A$3:$F$32,2,FALSE),VLOOKUP(K$1,test!$A$3:$F$32,2,FALSE))&lt;=test!$K$16,$A22&lt;&gt;K$1,feasible_mat!K22=1),(VLOOKUP(K$1,test!$A$3:$I$32,8,FALSE))-(VLOOKUP($A22,test!$A$3:$I$32,9,FALSE)),0)</f>
        <v>0</v>
      </c>
      <c r="L22">
        <f>IF(AND(SUM(VLOOKUP($A22,test!$A$3:$F$32,2,FALSE),VLOOKUP(L$1,test!$A$3:$F$32,2,FALSE))&lt;=test!$K$16,$A22&lt;&gt;L$1,feasible_mat!L22=1),(VLOOKUP(L$1,test!$A$3:$I$32,8,FALSE))-(VLOOKUP($A22,test!$A$3:$I$32,9,FALSE)),0)</f>
        <v>0</v>
      </c>
      <c r="M22">
        <f>IF(AND(SUM(VLOOKUP($A22,test!$A$3:$F$32,2,FALSE),VLOOKUP(M$1,test!$A$3:$F$32,2,FALSE))&lt;=test!$K$16,$A22&lt;&gt;M$1,feasible_mat!M22=1),(VLOOKUP(M$1,test!$A$3:$I$32,8,FALSE))-(VLOOKUP($A22,test!$A$3:$I$32,9,FALSE)),0)</f>
        <v>0</v>
      </c>
      <c r="N22">
        <f>IF(AND(SUM(VLOOKUP($A22,test!$A$3:$F$32,2,FALSE),VLOOKUP(N$1,test!$A$3:$F$32,2,FALSE))&lt;=test!$K$16,$A22&lt;&gt;N$1,feasible_mat!N22=1),(VLOOKUP(N$1,test!$A$3:$I$32,8,FALSE))-(VLOOKUP($A22,test!$A$3:$I$32,9,FALSE)),0)</f>
        <v>30</v>
      </c>
      <c r="O22">
        <f>IF(AND(SUM(VLOOKUP($A22,test!$A$3:$F$32,2,FALSE),VLOOKUP(O$1,test!$A$3:$F$32,2,FALSE))&lt;=test!$K$16,$A22&lt;&gt;O$1,feasible_mat!O22=1),(VLOOKUP(O$1,test!$A$3:$I$32,8,FALSE))-(VLOOKUP($A22,test!$A$3:$I$32,9,FALSE)),0)</f>
        <v>90</v>
      </c>
      <c r="P22">
        <f>IF(AND(SUM(VLOOKUP($A22,test!$A$3:$F$32,2,FALSE),VLOOKUP(P$1,test!$A$3:$F$32,2,FALSE))&lt;=test!$K$16,$A22&lt;&gt;P$1,feasible_mat!P22=1),(VLOOKUP(P$1,test!$A$3:$I$32,8,FALSE))-(VLOOKUP($A22,test!$A$3:$I$32,9,FALSE)),0)</f>
        <v>0</v>
      </c>
      <c r="Q22">
        <f>IF(AND(SUM(VLOOKUP($A22,test!$A$3:$F$32,2,FALSE),VLOOKUP(Q$1,test!$A$3:$F$32,2,FALSE))&lt;=test!$K$16,$A22&lt;&gt;Q$1,feasible_mat!Q22=1),(VLOOKUP(Q$1,test!$A$3:$I$32,8,FALSE))-(VLOOKUP($A22,test!$A$3:$I$32,9,FALSE)),0)</f>
        <v>0</v>
      </c>
      <c r="R22">
        <f>IF(AND(SUM(VLOOKUP($A22,test!$A$3:$F$32,2,FALSE),VLOOKUP(R$1,test!$A$3:$F$32,2,FALSE))&lt;=test!$K$16,$A22&lt;&gt;R$1,feasible_mat!R22=1),(VLOOKUP(R$1,test!$A$3:$I$32,8,FALSE))-(VLOOKUP($A22,test!$A$3:$I$32,9,FALSE)),0)</f>
        <v>0</v>
      </c>
      <c r="S22">
        <f>IF(AND(SUM(VLOOKUP($A22,test!$A$3:$F$32,2,FALSE),VLOOKUP(S$1,test!$A$3:$F$32,2,FALSE))&lt;=test!$K$16,$A22&lt;&gt;S$1,feasible_mat!S22=1),(VLOOKUP(S$1,test!$A$3:$I$32,8,FALSE))-(VLOOKUP($A22,test!$A$3:$I$32,9,FALSE)),0)</f>
        <v>0</v>
      </c>
      <c r="T22">
        <f>IF(AND(SUM(VLOOKUP($A22,test!$A$3:$F$32,2,FALSE),VLOOKUP(T$1,test!$A$3:$F$32,2,FALSE))&lt;=test!$K$16,$A22&lt;&gt;T$1,feasible_mat!T22=1),(VLOOKUP(T$1,test!$A$3:$I$32,8,FALSE))-(VLOOKUP($A22,test!$A$3:$I$32,9,FALSE)),0)</f>
        <v>0</v>
      </c>
      <c r="U22">
        <f>IF(AND(SUM(VLOOKUP($A22,test!$A$3:$F$32,2,FALSE),VLOOKUP(U$1,test!$A$3:$F$32,2,FALSE))&lt;=test!$K$16,$A22&lt;&gt;U$1,feasible_mat!U22=1),(VLOOKUP(U$1,test!$A$3:$I$32,8,FALSE))-(VLOOKUP($A22,test!$A$3:$I$32,9,FALSE)),0)</f>
        <v>0</v>
      </c>
      <c r="V22">
        <f>IF(AND(SUM(VLOOKUP($A22,test!$A$3:$F$32,2,FALSE),VLOOKUP(V$1,test!$A$3:$F$32,2,FALSE))&lt;=test!$K$16,$A22&lt;&gt;V$1,feasible_mat!V22=1),(VLOOKUP(V$1,test!$A$3:$I$32,8,FALSE))-(VLOOKUP($A22,test!$A$3:$I$32,9,FALSE)),0)</f>
        <v>0</v>
      </c>
      <c r="W22">
        <f>IF(AND(SUM(VLOOKUP($A22,test!$A$3:$F$32,2,FALSE),VLOOKUP(W$1,test!$A$3:$F$32,2,FALSE))&lt;=test!$K$16,$A22&lt;&gt;W$1,feasible_mat!W22=1),(VLOOKUP(W$1,test!$A$3:$I$32,8,FALSE))-(VLOOKUP($A22,test!$A$3:$I$32,9,FALSE)),0)</f>
        <v>0</v>
      </c>
      <c r="X22">
        <f>IF(AND(SUM(VLOOKUP($A22,test!$A$3:$F$32,2,FALSE),VLOOKUP(X$1,test!$A$3:$F$32,2,FALSE))&lt;=test!$K$16,$A22&lt;&gt;X$1,feasible_mat!X22=1),(VLOOKUP(X$1,test!$A$3:$I$32,8,FALSE))-(VLOOKUP($A22,test!$A$3:$I$32,9,FALSE)),0)</f>
        <v>15</v>
      </c>
      <c r="Y22">
        <f>IF(AND(SUM(VLOOKUP($A22,test!$A$3:$F$32,2,FALSE),VLOOKUP(Y$1,test!$A$3:$F$32,2,FALSE))&lt;=test!$K$16,$A22&lt;&gt;Y$1,feasible_mat!Y22=1),(VLOOKUP(Y$1,test!$A$3:$I$32,8,FALSE))-(VLOOKUP($A22,test!$A$3:$I$32,9,FALSE)),0)</f>
        <v>0</v>
      </c>
      <c r="Z22">
        <f>IF(AND(SUM(VLOOKUP($A22,test!$A$3:$F$32,2,FALSE),VLOOKUP(Z$1,test!$A$3:$F$32,2,FALSE))&lt;=test!$K$16,$A22&lt;&gt;Z$1,feasible_mat!Z22=1),(VLOOKUP(Z$1,test!$A$3:$I$32,8,FALSE))-(VLOOKUP($A22,test!$A$3:$I$32,9,FALSE)),0)</f>
        <v>0</v>
      </c>
      <c r="AA22">
        <f>IF(AND(SUM(VLOOKUP($A22,test!$A$3:$F$32,2,FALSE),VLOOKUP(AA$1,test!$A$3:$F$32,2,FALSE))&lt;=test!$K$16,$A22&lt;&gt;AA$1,feasible_mat!AA22=1),(VLOOKUP(AA$1,test!$A$3:$I$32,8,FALSE))-(VLOOKUP($A22,test!$A$3:$I$32,9,FALSE)),0)</f>
        <v>0</v>
      </c>
      <c r="AB22">
        <f>IF(AND(SUM(VLOOKUP($A22,test!$A$3:$F$32,2,FALSE),VLOOKUP(AB$1,test!$A$3:$F$32,2,FALSE))&lt;=test!$K$16,$A22&lt;&gt;AB$1,feasible_mat!AB22=1),(VLOOKUP(AB$1,test!$A$3:$I$32,8,FALSE))-(VLOOKUP($A22,test!$A$3:$I$32,9,FALSE)),0)</f>
        <v>0</v>
      </c>
      <c r="AC22">
        <f>IF(AND(SUM(VLOOKUP($A22,test!$A$3:$F$32,2,FALSE),VLOOKUP(AC$1,test!$A$3:$F$32,2,FALSE))&lt;=test!$K$16,$A22&lt;&gt;AC$1,feasible_mat!AC22=1),(VLOOKUP(AC$1,test!$A$3:$I$32,8,FALSE))-(VLOOKUP($A22,test!$A$3:$I$32,9,FALSE)),0)</f>
        <v>0</v>
      </c>
      <c r="AD22">
        <f>IF(AND(SUM(VLOOKUP($A22,test!$A$3:$F$32,2,FALSE),VLOOKUP(AD$1,test!$A$3:$F$32,2,FALSE))&lt;=test!$K$16,$A22&lt;&gt;AD$1,feasible_mat!AD22=1),(VLOOKUP(AD$1,test!$A$3:$I$32,8,FALSE))-(VLOOKUP($A22,test!$A$3:$I$32,9,FALSE)),0)</f>
        <v>0</v>
      </c>
      <c r="AE22">
        <f>IF(AND(SUM(VLOOKUP($A22,test!$A$3:$F$32,2,FALSE),VLOOKUP(AE$1,test!$A$3:$F$32,2,FALSE))&lt;=test!$K$16,$A22&lt;&gt;AE$1,feasible_mat!AE22=1),(VLOOKUP(AE$1,test!$A$3:$I$32,8,FALSE))-(VLOOKUP($A22,test!$A$3:$I$32,9,FALSE)),0)</f>
        <v>0</v>
      </c>
      <c r="AF22">
        <f>IF(AND(SUM(VLOOKUP($A22,test!$A$3:$F$32,2,FALSE),VLOOKUP(AF$1,test!$A$3:$F$32,2,FALSE))&lt;=test!$K$16,$A22&lt;&gt;AF$1,feasible_mat!AF22=1),(VLOOKUP(AF$1,test!$A$3:$I$32,8,FALSE))-(VLOOKUP($A22,test!$A$3:$I$32,9,FALSE)),0)</f>
        <v>0</v>
      </c>
      <c r="AJ22" s="16">
        <f>(VLOOKUP($A11,test!$A$3:$I$32,9,FALSE))</f>
        <v>695</v>
      </c>
    </row>
    <row r="23" spans="1:36" x14ac:dyDescent="0.25">
      <c r="A23" t="s">
        <v>32</v>
      </c>
      <c r="B23">
        <v>0</v>
      </c>
      <c r="C23">
        <f>IF(AND(SUM(VLOOKUP($A23,test!$A$3:$F$32,2,FALSE),VLOOKUP(C$1,test!$A$3:$F$32,2,FALSE))&lt;=test!$K$16,$A23&lt;&gt;C$1,feasible_mat!C23=1),(VLOOKUP(C$1,test!$A$3:$I$32,8,FALSE))-(VLOOKUP($A23,test!$A$3:$I$32,9,FALSE)),0)</f>
        <v>0</v>
      </c>
      <c r="D23">
        <f>IF(AND(SUM(VLOOKUP($A23,test!$A$3:$F$32,2,FALSE),VLOOKUP(D$1,test!$A$3:$F$32,2,FALSE))&lt;=test!$K$16,$A23&lt;&gt;D$1,feasible_mat!D23=1),(VLOOKUP(D$1,test!$A$3:$I$32,8,FALSE))-(VLOOKUP($A23,test!$A$3:$I$32,9,FALSE)),0)</f>
        <v>0</v>
      </c>
      <c r="E23">
        <f>IF(AND(SUM(VLOOKUP($A23,test!$A$3:$F$32,2,FALSE),VLOOKUP(E$1,test!$A$3:$F$32,2,FALSE))&lt;=test!$K$16,$A23&lt;&gt;E$1,feasible_mat!E23=1),(VLOOKUP(E$1,test!$A$3:$I$32,8,FALSE))-(VLOOKUP($A23,test!$A$3:$I$32,9,FALSE)),0)</f>
        <v>0</v>
      </c>
      <c r="F23">
        <f>IF(AND(SUM(VLOOKUP($A23,test!$A$3:$F$32,2,FALSE),VLOOKUP(F$1,test!$A$3:$F$32,2,FALSE))&lt;=test!$K$16,$A23&lt;&gt;F$1,feasible_mat!F23=1),(VLOOKUP(F$1,test!$A$3:$I$32,8,FALSE))-(VLOOKUP($A23,test!$A$3:$I$32,9,FALSE)),0)</f>
        <v>0</v>
      </c>
      <c r="G23">
        <f>IF(AND(SUM(VLOOKUP($A23,test!$A$3:$F$32,2,FALSE),VLOOKUP(G$1,test!$A$3:$F$32,2,FALSE))&lt;=test!$K$16,$A23&lt;&gt;G$1,feasible_mat!G23=1),(VLOOKUP(G$1,test!$A$3:$I$32,8,FALSE))-(VLOOKUP($A23,test!$A$3:$I$32,9,FALSE)),0)</f>
        <v>0</v>
      </c>
      <c r="H23">
        <f>IF(AND(SUM(VLOOKUP($A23,test!$A$3:$F$32,2,FALSE),VLOOKUP(H$1,test!$A$3:$F$32,2,FALSE))&lt;=test!$K$16,$A23&lt;&gt;H$1,feasible_mat!H23=1),(VLOOKUP(H$1,test!$A$3:$I$32,8,FALSE))-(VLOOKUP($A23,test!$A$3:$I$32,9,FALSE)),0)</f>
        <v>0</v>
      </c>
      <c r="I23">
        <f>IF(AND(SUM(VLOOKUP($A23,test!$A$3:$F$32,2,FALSE),VLOOKUP(I$1,test!$A$3:$F$32,2,FALSE))&lt;=test!$K$16,$A23&lt;&gt;I$1,feasible_mat!I23=1),(VLOOKUP(I$1,test!$A$3:$I$32,8,FALSE))-(VLOOKUP($A23,test!$A$3:$I$32,9,FALSE)),0)</f>
        <v>0</v>
      </c>
      <c r="J23">
        <f>IF(AND(SUM(VLOOKUP($A23,test!$A$3:$F$32,2,FALSE),VLOOKUP(J$1,test!$A$3:$F$32,2,FALSE))&lt;=test!$K$16,$A23&lt;&gt;J$1,feasible_mat!J23=1),(VLOOKUP(J$1,test!$A$3:$I$32,8,FALSE))-(VLOOKUP($A23,test!$A$3:$I$32,9,FALSE)),0)</f>
        <v>0</v>
      </c>
      <c r="K23">
        <f>IF(AND(SUM(VLOOKUP($A23,test!$A$3:$F$32,2,FALSE),VLOOKUP(K$1,test!$A$3:$F$32,2,FALSE))&lt;=test!$K$16,$A23&lt;&gt;K$1,feasible_mat!K23=1),(VLOOKUP(K$1,test!$A$3:$I$32,8,FALSE))-(VLOOKUP($A23,test!$A$3:$I$32,9,FALSE)),0)</f>
        <v>0</v>
      </c>
      <c r="L23">
        <f>IF(AND(SUM(VLOOKUP($A23,test!$A$3:$F$32,2,FALSE),VLOOKUP(L$1,test!$A$3:$F$32,2,FALSE))&lt;=test!$K$16,$A23&lt;&gt;L$1,feasible_mat!L23=1),(VLOOKUP(L$1,test!$A$3:$I$32,8,FALSE))-(VLOOKUP($A23,test!$A$3:$I$32,9,FALSE)),0)</f>
        <v>0</v>
      </c>
      <c r="M23">
        <f>IF(AND(SUM(VLOOKUP($A23,test!$A$3:$F$32,2,FALSE),VLOOKUP(M$1,test!$A$3:$F$32,2,FALSE))&lt;=test!$K$16,$A23&lt;&gt;M$1,feasible_mat!M23=1),(VLOOKUP(M$1,test!$A$3:$I$32,8,FALSE))-(VLOOKUP($A23,test!$A$3:$I$32,9,FALSE)),0)</f>
        <v>0</v>
      </c>
      <c r="N23">
        <f>IF(AND(SUM(VLOOKUP($A23,test!$A$3:$F$32,2,FALSE),VLOOKUP(N$1,test!$A$3:$F$32,2,FALSE))&lt;=test!$K$16,$A23&lt;&gt;N$1,feasible_mat!N23=1),(VLOOKUP(N$1,test!$A$3:$I$32,8,FALSE))-(VLOOKUP($A23,test!$A$3:$I$32,9,FALSE)),0)</f>
        <v>0</v>
      </c>
      <c r="O23">
        <f>IF(AND(SUM(VLOOKUP($A23,test!$A$3:$F$32,2,FALSE),VLOOKUP(O$1,test!$A$3:$F$32,2,FALSE))&lt;=test!$K$16,$A23&lt;&gt;O$1,feasible_mat!O23=1),(VLOOKUP(O$1,test!$A$3:$I$32,8,FALSE))-(VLOOKUP($A23,test!$A$3:$I$32,9,FALSE)),0)</f>
        <v>0</v>
      </c>
      <c r="P23">
        <f>IF(AND(SUM(VLOOKUP($A23,test!$A$3:$F$32,2,FALSE),VLOOKUP(P$1,test!$A$3:$F$32,2,FALSE))&lt;=test!$K$16,$A23&lt;&gt;P$1,feasible_mat!P23=1),(VLOOKUP(P$1,test!$A$3:$I$32,8,FALSE))-(VLOOKUP($A23,test!$A$3:$I$32,9,FALSE)),0)</f>
        <v>0</v>
      </c>
      <c r="Q23">
        <f>IF(AND(SUM(VLOOKUP($A23,test!$A$3:$F$32,2,FALSE),VLOOKUP(Q$1,test!$A$3:$F$32,2,FALSE))&lt;=test!$K$16,$A23&lt;&gt;Q$1,feasible_mat!Q23=1),(VLOOKUP(Q$1,test!$A$3:$I$32,8,FALSE))-(VLOOKUP($A23,test!$A$3:$I$32,9,FALSE)),0)</f>
        <v>0</v>
      </c>
      <c r="R23">
        <f>IF(AND(SUM(VLOOKUP($A23,test!$A$3:$F$32,2,FALSE),VLOOKUP(R$1,test!$A$3:$F$32,2,FALSE))&lt;=test!$K$16,$A23&lt;&gt;R$1,feasible_mat!R23=1),(VLOOKUP(R$1,test!$A$3:$I$32,8,FALSE))-(VLOOKUP($A23,test!$A$3:$I$32,9,FALSE)),0)</f>
        <v>0</v>
      </c>
      <c r="S23">
        <f>IF(AND(SUM(VLOOKUP($A23,test!$A$3:$F$32,2,FALSE),VLOOKUP(S$1,test!$A$3:$F$32,2,FALSE))&lt;=test!$K$16,$A23&lt;&gt;S$1,feasible_mat!S23=1),(VLOOKUP(S$1,test!$A$3:$I$32,8,FALSE))-(VLOOKUP($A23,test!$A$3:$I$32,9,FALSE)),0)</f>
        <v>0</v>
      </c>
      <c r="T23">
        <f>IF(AND(SUM(VLOOKUP($A23,test!$A$3:$F$32,2,FALSE),VLOOKUP(T$1,test!$A$3:$F$32,2,FALSE))&lt;=test!$K$16,$A23&lt;&gt;T$1,feasible_mat!T23=1),(VLOOKUP(T$1,test!$A$3:$I$32,8,FALSE))-(VLOOKUP($A23,test!$A$3:$I$32,9,FALSE)),0)</f>
        <v>0</v>
      </c>
      <c r="U23">
        <f>IF(AND(SUM(VLOOKUP($A23,test!$A$3:$F$32,2,FALSE),VLOOKUP(U$1,test!$A$3:$F$32,2,FALSE))&lt;=test!$K$16,$A23&lt;&gt;U$1,feasible_mat!U23=1),(VLOOKUP(U$1,test!$A$3:$I$32,8,FALSE))-(VLOOKUP($A23,test!$A$3:$I$32,9,FALSE)),0)</f>
        <v>0</v>
      </c>
      <c r="V23">
        <f>IF(AND(SUM(VLOOKUP($A23,test!$A$3:$F$32,2,FALSE),VLOOKUP(V$1,test!$A$3:$F$32,2,FALSE))&lt;=test!$K$16,$A23&lt;&gt;V$1,feasible_mat!V23=1),(VLOOKUP(V$1,test!$A$3:$I$32,8,FALSE))-(VLOOKUP($A23,test!$A$3:$I$32,9,FALSE)),0)</f>
        <v>0</v>
      </c>
      <c r="W23">
        <f>IF(AND(SUM(VLOOKUP($A23,test!$A$3:$F$32,2,FALSE),VLOOKUP(W$1,test!$A$3:$F$32,2,FALSE))&lt;=test!$K$16,$A23&lt;&gt;W$1,feasible_mat!W23=1),(VLOOKUP(W$1,test!$A$3:$I$32,8,FALSE))-(VLOOKUP($A23,test!$A$3:$I$32,9,FALSE)),0)</f>
        <v>0</v>
      </c>
      <c r="X23">
        <f>IF(AND(SUM(VLOOKUP($A23,test!$A$3:$F$32,2,FALSE),VLOOKUP(X$1,test!$A$3:$F$32,2,FALSE))&lt;=test!$K$16,$A23&lt;&gt;X$1,feasible_mat!X23=1),(VLOOKUP(X$1,test!$A$3:$I$32,8,FALSE))-(VLOOKUP($A23,test!$A$3:$I$32,9,FALSE)),0)</f>
        <v>0</v>
      </c>
      <c r="Y23">
        <f>IF(AND(SUM(VLOOKUP($A23,test!$A$3:$F$32,2,FALSE),VLOOKUP(Y$1,test!$A$3:$F$32,2,FALSE))&lt;=test!$K$16,$A23&lt;&gt;Y$1,feasible_mat!Y23=1),(VLOOKUP(Y$1,test!$A$3:$I$32,8,FALSE))-(VLOOKUP($A23,test!$A$3:$I$32,9,FALSE)),0)</f>
        <v>0</v>
      </c>
      <c r="Z23">
        <f>IF(AND(SUM(VLOOKUP($A23,test!$A$3:$F$32,2,FALSE),VLOOKUP(Z$1,test!$A$3:$F$32,2,FALSE))&lt;=test!$K$16,$A23&lt;&gt;Z$1,feasible_mat!Z23=1),(VLOOKUP(Z$1,test!$A$3:$I$32,8,FALSE))-(VLOOKUP($A23,test!$A$3:$I$32,9,FALSE)),0)</f>
        <v>0</v>
      </c>
      <c r="AA23">
        <f>IF(AND(SUM(VLOOKUP($A23,test!$A$3:$F$32,2,FALSE),VLOOKUP(AA$1,test!$A$3:$F$32,2,FALSE))&lt;=test!$K$16,$A23&lt;&gt;AA$1,feasible_mat!AA23=1),(VLOOKUP(AA$1,test!$A$3:$I$32,8,FALSE))-(VLOOKUP($A23,test!$A$3:$I$32,9,FALSE)),0)</f>
        <v>0</v>
      </c>
      <c r="AB23">
        <f>IF(AND(SUM(VLOOKUP($A23,test!$A$3:$F$32,2,FALSE),VLOOKUP(AB$1,test!$A$3:$F$32,2,FALSE))&lt;=test!$K$16,$A23&lt;&gt;AB$1,feasible_mat!AB23=1),(VLOOKUP(AB$1,test!$A$3:$I$32,8,FALSE))-(VLOOKUP($A23,test!$A$3:$I$32,9,FALSE)),0)</f>
        <v>0</v>
      </c>
      <c r="AC23">
        <f>IF(AND(SUM(VLOOKUP($A23,test!$A$3:$F$32,2,FALSE),VLOOKUP(AC$1,test!$A$3:$F$32,2,FALSE))&lt;=test!$K$16,$A23&lt;&gt;AC$1,feasible_mat!AC23=1),(VLOOKUP(AC$1,test!$A$3:$I$32,8,FALSE))-(VLOOKUP($A23,test!$A$3:$I$32,9,FALSE)),0)</f>
        <v>0</v>
      </c>
      <c r="AD23">
        <f>IF(AND(SUM(VLOOKUP($A23,test!$A$3:$F$32,2,FALSE),VLOOKUP(AD$1,test!$A$3:$F$32,2,FALSE))&lt;=test!$K$16,$A23&lt;&gt;AD$1,feasible_mat!AD23=1),(VLOOKUP(AD$1,test!$A$3:$I$32,8,FALSE))-(VLOOKUP($A23,test!$A$3:$I$32,9,FALSE)),0)</f>
        <v>0</v>
      </c>
      <c r="AE23">
        <f>IF(AND(SUM(VLOOKUP($A23,test!$A$3:$F$32,2,FALSE),VLOOKUP(AE$1,test!$A$3:$F$32,2,FALSE))&lt;=test!$K$16,$A23&lt;&gt;AE$1,feasible_mat!AE23=1),(VLOOKUP(AE$1,test!$A$3:$I$32,8,FALSE))-(VLOOKUP($A23,test!$A$3:$I$32,9,FALSE)),0)</f>
        <v>0</v>
      </c>
      <c r="AF23">
        <f>IF(AND(SUM(VLOOKUP($A23,test!$A$3:$F$32,2,FALSE),VLOOKUP(AF$1,test!$A$3:$F$32,2,FALSE))&lt;=test!$K$16,$A23&lt;&gt;AF$1,feasible_mat!AF23=1),(VLOOKUP(AF$1,test!$A$3:$I$32,8,FALSE))-(VLOOKUP($A23,test!$A$3:$I$32,9,FALSE)),0)</f>
        <v>0</v>
      </c>
    </row>
    <row r="24" spans="1:36" x14ac:dyDescent="0.25">
      <c r="A24" t="s">
        <v>33</v>
      </c>
      <c r="B24">
        <v>0</v>
      </c>
      <c r="C24">
        <f>IF(AND(SUM(VLOOKUP($A24,test!$A$3:$F$32,2,FALSE),VLOOKUP(C$1,test!$A$3:$F$32,2,FALSE))&lt;=test!$K$16,$A24&lt;&gt;C$1,feasible_mat!C24=1),(VLOOKUP(C$1,test!$A$3:$I$32,8,FALSE))-(VLOOKUP($A24,test!$A$3:$I$32,9,FALSE)),0)</f>
        <v>0</v>
      </c>
      <c r="D24">
        <f>IF(AND(SUM(VLOOKUP($A24,test!$A$3:$F$32,2,FALSE),VLOOKUP(D$1,test!$A$3:$F$32,2,FALSE))&lt;=test!$K$16,$A24&lt;&gt;D$1,feasible_mat!D24=1),(VLOOKUP(D$1,test!$A$3:$I$32,8,FALSE))-(VLOOKUP($A24,test!$A$3:$I$32,9,FALSE)),0)</f>
        <v>0</v>
      </c>
      <c r="E24">
        <f>IF(AND(SUM(VLOOKUP($A24,test!$A$3:$F$32,2,FALSE),VLOOKUP(E$1,test!$A$3:$F$32,2,FALSE))&lt;=test!$K$16,$A24&lt;&gt;E$1,feasible_mat!E24=1),(VLOOKUP(E$1,test!$A$3:$I$32,8,FALSE))-(VLOOKUP($A24,test!$A$3:$I$32,9,FALSE)),0)</f>
        <v>0</v>
      </c>
      <c r="F24">
        <f>IF(AND(SUM(VLOOKUP($A24,test!$A$3:$F$32,2,FALSE),VLOOKUP(F$1,test!$A$3:$F$32,2,FALSE))&lt;=test!$K$16,$A24&lt;&gt;F$1,feasible_mat!F24=1),(VLOOKUP(F$1,test!$A$3:$I$32,8,FALSE))-(VLOOKUP($A24,test!$A$3:$I$32,9,FALSE)),0)</f>
        <v>0</v>
      </c>
      <c r="G24">
        <f>IF(AND(SUM(VLOOKUP($A24,test!$A$3:$F$32,2,FALSE),VLOOKUP(G$1,test!$A$3:$F$32,2,FALSE))&lt;=test!$K$16,$A24&lt;&gt;G$1,feasible_mat!G24=1),(VLOOKUP(G$1,test!$A$3:$I$32,8,FALSE))-(VLOOKUP($A24,test!$A$3:$I$32,9,FALSE)),0)</f>
        <v>0</v>
      </c>
      <c r="H24">
        <f>IF(AND(SUM(VLOOKUP($A24,test!$A$3:$F$32,2,FALSE),VLOOKUP(H$1,test!$A$3:$F$32,2,FALSE))&lt;=test!$K$16,$A24&lt;&gt;H$1,feasible_mat!H24=1),(VLOOKUP(H$1,test!$A$3:$I$32,8,FALSE))-(VLOOKUP($A24,test!$A$3:$I$32,9,FALSE)),0)</f>
        <v>0</v>
      </c>
      <c r="I24">
        <f>IF(AND(SUM(VLOOKUP($A24,test!$A$3:$F$32,2,FALSE),VLOOKUP(I$1,test!$A$3:$F$32,2,FALSE))&lt;=test!$K$16,$A24&lt;&gt;I$1,feasible_mat!I24=1),(VLOOKUP(I$1,test!$A$3:$I$32,8,FALSE))-(VLOOKUP($A24,test!$A$3:$I$32,9,FALSE)),0)</f>
        <v>0</v>
      </c>
      <c r="J24">
        <f>IF(AND(SUM(VLOOKUP($A24,test!$A$3:$F$32,2,FALSE),VLOOKUP(J$1,test!$A$3:$F$32,2,FALSE))&lt;=test!$K$16,$A24&lt;&gt;J$1,feasible_mat!J24=1),(VLOOKUP(J$1,test!$A$3:$I$32,8,FALSE))-(VLOOKUP($A24,test!$A$3:$I$32,9,FALSE)),0)</f>
        <v>0</v>
      </c>
      <c r="K24">
        <f>IF(AND(SUM(VLOOKUP($A24,test!$A$3:$F$32,2,FALSE),VLOOKUP(K$1,test!$A$3:$F$32,2,FALSE))&lt;=test!$K$16,$A24&lt;&gt;K$1,feasible_mat!K24=1),(VLOOKUP(K$1,test!$A$3:$I$32,8,FALSE))-(VLOOKUP($A24,test!$A$3:$I$32,9,FALSE)),0)</f>
        <v>0</v>
      </c>
      <c r="L24">
        <f>IF(AND(SUM(VLOOKUP($A24,test!$A$3:$F$32,2,FALSE),VLOOKUP(L$1,test!$A$3:$F$32,2,FALSE))&lt;=test!$K$16,$A24&lt;&gt;L$1,feasible_mat!L24=1),(VLOOKUP(L$1,test!$A$3:$I$32,8,FALSE))-(VLOOKUP($A24,test!$A$3:$I$32,9,FALSE)),0)</f>
        <v>0</v>
      </c>
      <c r="M24">
        <f>IF(AND(SUM(VLOOKUP($A24,test!$A$3:$F$32,2,FALSE),VLOOKUP(M$1,test!$A$3:$F$32,2,FALSE))&lt;=test!$K$16,$A24&lt;&gt;M$1,feasible_mat!M24=1),(VLOOKUP(M$1,test!$A$3:$I$32,8,FALSE))-(VLOOKUP($A24,test!$A$3:$I$32,9,FALSE)),0)</f>
        <v>0</v>
      </c>
      <c r="N24">
        <f>IF(AND(SUM(VLOOKUP($A24,test!$A$3:$F$32,2,FALSE),VLOOKUP(N$1,test!$A$3:$F$32,2,FALSE))&lt;=test!$K$16,$A24&lt;&gt;N$1,feasible_mat!N24=1),(VLOOKUP(N$1,test!$A$3:$I$32,8,FALSE))-(VLOOKUP($A24,test!$A$3:$I$32,9,FALSE)),0)</f>
        <v>0</v>
      </c>
      <c r="O24">
        <f>IF(AND(SUM(VLOOKUP($A24,test!$A$3:$F$32,2,FALSE),VLOOKUP(O$1,test!$A$3:$F$32,2,FALSE))&lt;=test!$K$16,$A24&lt;&gt;O$1,feasible_mat!O24=1),(VLOOKUP(O$1,test!$A$3:$I$32,8,FALSE))-(VLOOKUP($A24,test!$A$3:$I$32,9,FALSE)),0)</f>
        <v>0</v>
      </c>
      <c r="P24">
        <f>IF(AND(SUM(VLOOKUP($A24,test!$A$3:$F$32,2,FALSE),VLOOKUP(P$1,test!$A$3:$F$32,2,FALSE))&lt;=test!$K$16,$A24&lt;&gt;P$1,feasible_mat!P24=1),(VLOOKUP(P$1,test!$A$3:$I$32,8,FALSE))-(VLOOKUP($A24,test!$A$3:$I$32,9,FALSE)),0)</f>
        <v>0</v>
      </c>
      <c r="Q24">
        <f>IF(AND(SUM(VLOOKUP($A24,test!$A$3:$F$32,2,FALSE),VLOOKUP(Q$1,test!$A$3:$F$32,2,FALSE))&lt;=test!$K$16,$A24&lt;&gt;Q$1,feasible_mat!Q24=1),(VLOOKUP(Q$1,test!$A$3:$I$32,8,FALSE))-(VLOOKUP($A24,test!$A$3:$I$32,9,FALSE)),0)</f>
        <v>0</v>
      </c>
      <c r="R24">
        <f>IF(AND(SUM(VLOOKUP($A24,test!$A$3:$F$32,2,FALSE),VLOOKUP(R$1,test!$A$3:$F$32,2,FALSE))&lt;=test!$K$16,$A24&lt;&gt;R$1,feasible_mat!R24=1),(VLOOKUP(R$1,test!$A$3:$I$32,8,FALSE))-(VLOOKUP($A24,test!$A$3:$I$32,9,FALSE)),0)</f>
        <v>0</v>
      </c>
      <c r="S24">
        <f>IF(AND(SUM(VLOOKUP($A24,test!$A$3:$F$32,2,FALSE),VLOOKUP(S$1,test!$A$3:$F$32,2,FALSE))&lt;=test!$K$16,$A24&lt;&gt;S$1,feasible_mat!S24=1),(VLOOKUP(S$1,test!$A$3:$I$32,8,FALSE))-(VLOOKUP($A24,test!$A$3:$I$32,9,FALSE)),0)</f>
        <v>0</v>
      </c>
      <c r="T24">
        <f>IF(AND(SUM(VLOOKUP($A24,test!$A$3:$F$32,2,FALSE),VLOOKUP(T$1,test!$A$3:$F$32,2,FALSE))&lt;=test!$K$16,$A24&lt;&gt;T$1,feasible_mat!T24=1),(VLOOKUP(T$1,test!$A$3:$I$32,8,FALSE))-(VLOOKUP($A24,test!$A$3:$I$32,9,FALSE)),0)</f>
        <v>0</v>
      </c>
      <c r="U24">
        <f>IF(AND(SUM(VLOOKUP($A24,test!$A$3:$F$32,2,FALSE),VLOOKUP(U$1,test!$A$3:$F$32,2,FALSE))&lt;=test!$K$16,$A24&lt;&gt;U$1,feasible_mat!U24=1),(VLOOKUP(U$1,test!$A$3:$I$32,8,FALSE))-(VLOOKUP($A24,test!$A$3:$I$32,9,FALSE)),0)</f>
        <v>0</v>
      </c>
      <c r="V24">
        <f>IF(AND(SUM(VLOOKUP($A24,test!$A$3:$F$32,2,FALSE),VLOOKUP(V$1,test!$A$3:$F$32,2,FALSE))&lt;=test!$K$16,$A24&lt;&gt;V$1,feasible_mat!V24=1),(VLOOKUP(V$1,test!$A$3:$I$32,8,FALSE))-(VLOOKUP($A24,test!$A$3:$I$32,9,FALSE)),0)</f>
        <v>0</v>
      </c>
      <c r="W24">
        <f>IF(AND(SUM(VLOOKUP($A24,test!$A$3:$F$32,2,FALSE),VLOOKUP(W$1,test!$A$3:$F$32,2,FALSE))&lt;=test!$K$16,$A24&lt;&gt;W$1,feasible_mat!W24=1),(VLOOKUP(W$1,test!$A$3:$I$32,8,FALSE))-(VLOOKUP($A24,test!$A$3:$I$32,9,FALSE)),0)</f>
        <v>0</v>
      </c>
      <c r="X24">
        <f>IF(AND(SUM(VLOOKUP($A24,test!$A$3:$F$32,2,FALSE),VLOOKUP(X$1,test!$A$3:$F$32,2,FALSE))&lt;=test!$K$16,$A24&lt;&gt;X$1,feasible_mat!X24=1),(VLOOKUP(X$1,test!$A$3:$I$32,8,FALSE))-(VLOOKUP($A24,test!$A$3:$I$32,9,FALSE)),0)</f>
        <v>0</v>
      </c>
      <c r="Y24">
        <f>IF(AND(SUM(VLOOKUP($A24,test!$A$3:$F$32,2,FALSE),VLOOKUP(Y$1,test!$A$3:$F$32,2,FALSE))&lt;=test!$K$16,$A24&lt;&gt;Y$1,feasible_mat!Y24=1),(VLOOKUP(Y$1,test!$A$3:$I$32,8,FALSE))-(VLOOKUP($A24,test!$A$3:$I$32,9,FALSE)),0)</f>
        <v>0</v>
      </c>
      <c r="Z24">
        <f>IF(AND(SUM(VLOOKUP($A24,test!$A$3:$F$32,2,FALSE),VLOOKUP(Z$1,test!$A$3:$F$32,2,FALSE))&lt;=test!$K$16,$A24&lt;&gt;Z$1,feasible_mat!Z24=1),(VLOOKUP(Z$1,test!$A$3:$I$32,8,FALSE))-(VLOOKUP($A24,test!$A$3:$I$32,9,FALSE)),0)</f>
        <v>0</v>
      </c>
      <c r="AA24">
        <f>IF(AND(SUM(VLOOKUP($A24,test!$A$3:$F$32,2,FALSE),VLOOKUP(AA$1,test!$A$3:$F$32,2,FALSE))&lt;=test!$K$16,$A24&lt;&gt;AA$1,feasible_mat!AA24=1),(VLOOKUP(AA$1,test!$A$3:$I$32,8,FALSE))-(VLOOKUP($A24,test!$A$3:$I$32,9,FALSE)),0)</f>
        <v>0</v>
      </c>
      <c r="AB24">
        <f>IF(AND(SUM(VLOOKUP($A24,test!$A$3:$F$32,2,FALSE),VLOOKUP(AB$1,test!$A$3:$F$32,2,FALSE))&lt;=test!$K$16,$A24&lt;&gt;AB$1,feasible_mat!AB24=1),(VLOOKUP(AB$1,test!$A$3:$I$32,8,FALSE))-(VLOOKUP($A24,test!$A$3:$I$32,9,FALSE)),0)</f>
        <v>0</v>
      </c>
      <c r="AC24">
        <f>IF(AND(SUM(VLOOKUP($A24,test!$A$3:$F$32,2,FALSE),VLOOKUP(AC$1,test!$A$3:$F$32,2,FALSE))&lt;=test!$K$16,$A24&lt;&gt;AC$1,feasible_mat!AC24=1),(VLOOKUP(AC$1,test!$A$3:$I$32,8,FALSE))-(VLOOKUP($A24,test!$A$3:$I$32,9,FALSE)),0)</f>
        <v>0</v>
      </c>
      <c r="AD24">
        <f>IF(AND(SUM(VLOOKUP($A24,test!$A$3:$F$32,2,FALSE),VLOOKUP(AD$1,test!$A$3:$F$32,2,FALSE))&lt;=test!$K$16,$A24&lt;&gt;AD$1,feasible_mat!AD24=1),(VLOOKUP(AD$1,test!$A$3:$I$32,8,FALSE))-(VLOOKUP($A24,test!$A$3:$I$32,9,FALSE)),0)</f>
        <v>0</v>
      </c>
      <c r="AE24">
        <f>IF(AND(SUM(VLOOKUP($A24,test!$A$3:$F$32,2,FALSE),VLOOKUP(AE$1,test!$A$3:$F$32,2,FALSE))&lt;=test!$K$16,$A24&lt;&gt;AE$1,feasible_mat!AE24=1),(VLOOKUP(AE$1,test!$A$3:$I$32,8,FALSE))-(VLOOKUP($A24,test!$A$3:$I$32,9,FALSE)),0)</f>
        <v>0</v>
      </c>
      <c r="AF24">
        <f>IF(AND(SUM(VLOOKUP($A24,test!$A$3:$F$32,2,FALSE),VLOOKUP(AF$1,test!$A$3:$F$32,2,FALSE))&lt;=test!$K$16,$A24&lt;&gt;AF$1,feasible_mat!AF24=1),(VLOOKUP(AF$1,test!$A$3:$I$32,8,FALSE))-(VLOOKUP($A24,test!$A$3:$I$32,9,FALSE)),0)</f>
        <v>0</v>
      </c>
    </row>
    <row r="25" spans="1:36" x14ac:dyDescent="0.25">
      <c r="A25" t="s">
        <v>34</v>
      </c>
      <c r="B25">
        <v>0</v>
      </c>
      <c r="C25">
        <f>IF(AND(SUM(VLOOKUP($A25,test!$A$3:$F$32,2,FALSE),VLOOKUP(C$1,test!$A$3:$F$32,2,FALSE))&lt;=test!$K$16,$A25&lt;&gt;C$1,feasible_mat!C25=1),(VLOOKUP(C$1,test!$A$3:$I$32,8,FALSE))-(VLOOKUP($A25,test!$A$3:$I$32,9,FALSE)),0)</f>
        <v>0</v>
      </c>
      <c r="D25">
        <f>IF(AND(SUM(VLOOKUP($A25,test!$A$3:$F$32,2,FALSE),VLOOKUP(D$1,test!$A$3:$F$32,2,FALSE))&lt;=test!$K$16,$A25&lt;&gt;D$1,feasible_mat!D25=1),(VLOOKUP(D$1,test!$A$3:$I$32,8,FALSE))-(VLOOKUP($A25,test!$A$3:$I$32,9,FALSE)),0)</f>
        <v>30</v>
      </c>
      <c r="E25">
        <f>IF(AND(SUM(VLOOKUP($A25,test!$A$3:$F$32,2,FALSE),VLOOKUP(E$1,test!$A$3:$F$32,2,FALSE))&lt;=test!$K$16,$A25&lt;&gt;E$1,feasible_mat!E25=1),(VLOOKUP(E$1,test!$A$3:$I$32,8,FALSE))-(VLOOKUP($A25,test!$A$3:$I$32,9,FALSE)),0)</f>
        <v>120</v>
      </c>
      <c r="F25">
        <f>IF(AND(SUM(VLOOKUP($A25,test!$A$3:$F$32,2,FALSE),VLOOKUP(F$1,test!$A$3:$F$32,2,FALSE))&lt;=test!$K$16,$A25&lt;&gt;F$1,feasible_mat!F25=1),(VLOOKUP(F$1,test!$A$3:$I$32,8,FALSE))-(VLOOKUP($A25,test!$A$3:$I$32,9,FALSE)),0)</f>
        <v>210</v>
      </c>
      <c r="G25">
        <f>IF(AND(SUM(VLOOKUP($A25,test!$A$3:$F$32,2,FALSE),VLOOKUP(G$1,test!$A$3:$F$32,2,FALSE))&lt;=test!$K$16,$A25&lt;&gt;G$1,feasible_mat!G25=1),(VLOOKUP(G$1,test!$A$3:$I$32,8,FALSE))-(VLOOKUP($A25,test!$A$3:$I$32,9,FALSE)),0)</f>
        <v>270</v>
      </c>
      <c r="H25">
        <f>IF(AND(SUM(VLOOKUP($A25,test!$A$3:$F$32,2,FALSE),VLOOKUP(H$1,test!$A$3:$F$32,2,FALSE))&lt;=test!$K$16,$A25&lt;&gt;H$1,feasible_mat!H25=1),(VLOOKUP(H$1,test!$A$3:$I$32,8,FALSE))-(VLOOKUP($A25,test!$A$3:$I$32,9,FALSE)),0)</f>
        <v>330</v>
      </c>
      <c r="I25">
        <f>IF(AND(SUM(VLOOKUP($A25,test!$A$3:$F$32,2,FALSE),VLOOKUP(I$1,test!$A$3:$F$32,2,FALSE))&lt;=test!$K$16,$A25&lt;&gt;I$1,feasible_mat!I25=1),(VLOOKUP(I$1,test!$A$3:$I$32,8,FALSE))-(VLOOKUP($A25,test!$A$3:$I$32,9,FALSE)),0)</f>
        <v>390</v>
      </c>
      <c r="J25">
        <f>IF(AND(SUM(VLOOKUP($A25,test!$A$3:$F$32,2,FALSE),VLOOKUP(J$1,test!$A$3:$F$32,2,FALSE))&lt;=test!$K$16,$A25&lt;&gt;J$1,feasible_mat!J25=1),(VLOOKUP(J$1,test!$A$3:$I$32,8,FALSE))-(VLOOKUP($A25,test!$A$3:$I$32,9,FALSE)),0)</f>
        <v>480</v>
      </c>
      <c r="K25">
        <f>IF(AND(SUM(VLOOKUP($A25,test!$A$3:$F$32,2,FALSE),VLOOKUP(K$1,test!$A$3:$F$32,2,FALSE))&lt;=test!$K$16,$A25&lt;&gt;K$1,feasible_mat!K25=1),(VLOOKUP(K$1,test!$A$3:$I$32,8,FALSE))-(VLOOKUP($A25,test!$A$3:$I$32,9,FALSE)),0)</f>
        <v>0</v>
      </c>
      <c r="L25">
        <f>IF(AND(SUM(VLOOKUP($A25,test!$A$3:$F$32,2,FALSE),VLOOKUP(L$1,test!$A$3:$F$32,2,FALSE))&lt;=test!$K$16,$A25&lt;&gt;L$1,feasible_mat!L25=1),(VLOOKUP(L$1,test!$A$3:$I$32,8,FALSE))-(VLOOKUP($A25,test!$A$3:$I$32,9,FALSE)),0)</f>
        <v>0</v>
      </c>
      <c r="M25">
        <f>IF(AND(SUM(VLOOKUP($A25,test!$A$3:$F$32,2,FALSE),VLOOKUP(M$1,test!$A$3:$F$32,2,FALSE))&lt;=test!$K$16,$A25&lt;&gt;M$1,feasible_mat!M25=1),(VLOOKUP(M$1,test!$A$3:$I$32,8,FALSE))-(VLOOKUP($A25,test!$A$3:$I$32,9,FALSE)),0)</f>
        <v>85</v>
      </c>
      <c r="N25">
        <f>IF(AND(SUM(VLOOKUP($A25,test!$A$3:$F$32,2,FALSE),VLOOKUP(N$1,test!$A$3:$F$32,2,FALSE))&lt;=test!$K$16,$A25&lt;&gt;N$1,feasible_mat!N25=1),(VLOOKUP(N$1,test!$A$3:$I$32,8,FALSE))-(VLOOKUP($A25,test!$A$3:$I$32,9,FALSE)),0)</f>
        <v>445</v>
      </c>
      <c r="O25">
        <f>IF(AND(SUM(VLOOKUP($A25,test!$A$3:$F$32,2,FALSE),VLOOKUP(O$1,test!$A$3:$F$32,2,FALSE))&lt;=test!$K$16,$A25&lt;&gt;O$1,feasible_mat!O25=1),(VLOOKUP(O$1,test!$A$3:$I$32,8,FALSE))-(VLOOKUP($A25,test!$A$3:$I$32,9,FALSE)),0)</f>
        <v>505</v>
      </c>
      <c r="P25">
        <f>IF(AND(SUM(VLOOKUP($A25,test!$A$3:$F$32,2,FALSE),VLOOKUP(P$1,test!$A$3:$F$32,2,FALSE))&lt;=test!$K$16,$A25&lt;&gt;P$1,feasible_mat!P25=1),(VLOOKUP(P$1,test!$A$3:$I$32,8,FALSE))-(VLOOKUP($A25,test!$A$3:$I$32,9,FALSE)),0)</f>
        <v>0</v>
      </c>
      <c r="Q25">
        <f>IF(AND(SUM(VLOOKUP($A25,test!$A$3:$F$32,2,FALSE),VLOOKUP(Q$1,test!$A$3:$F$32,2,FALSE))&lt;=test!$K$16,$A25&lt;&gt;Q$1,feasible_mat!Q25=1),(VLOOKUP(Q$1,test!$A$3:$I$32,8,FALSE))-(VLOOKUP($A25,test!$A$3:$I$32,9,FALSE)),0)</f>
        <v>0</v>
      </c>
      <c r="R25">
        <f>IF(AND(SUM(VLOOKUP($A25,test!$A$3:$F$32,2,FALSE),VLOOKUP(R$1,test!$A$3:$F$32,2,FALSE))&lt;=test!$K$16,$A25&lt;&gt;R$1,feasible_mat!R25=1),(VLOOKUP(R$1,test!$A$3:$I$32,8,FALSE))-(VLOOKUP($A25,test!$A$3:$I$32,9,FALSE)),0)</f>
        <v>0</v>
      </c>
      <c r="S25">
        <f>IF(AND(SUM(VLOOKUP($A25,test!$A$3:$F$32,2,FALSE),VLOOKUP(S$1,test!$A$3:$F$32,2,FALSE))&lt;=test!$K$16,$A25&lt;&gt;S$1,feasible_mat!S25=1),(VLOOKUP(S$1,test!$A$3:$I$32,8,FALSE))-(VLOOKUP($A25,test!$A$3:$I$32,9,FALSE)),0)</f>
        <v>0</v>
      </c>
      <c r="T25">
        <f>IF(AND(SUM(VLOOKUP($A25,test!$A$3:$F$32,2,FALSE),VLOOKUP(T$1,test!$A$3:$F$32,2,FALSE))&lt;=test!$K$16,$A25&lt;&gt;T$1,feasible_mat!T25=1),(VLOOKUP(T$1,test!$A$3:$I$32,8,FALSE))-(VLOOKUP($A25,test!$A$3:$I$32,9,FALSE)),0)</f>
        <v>100</v>
      </c>
      <c r="U25">
        <f>IF(AND(SUM(VLOOKUP($A25,test!$A$3:$F$32,2,FALSE),VLOOKUP(U$1,test!$A$3:$F$32,2,FALSE))&lt;=test!$K$16,$A25&lt;&gt;U$1,feasible_mat!U25=1),(VLOOKUP(U$1,test!$A$3:$I$32,8,FALSE))-(VLOOKUP($A25,test!$A$3:$I$32,9,FALSE)),0)</f>
        <v>190</v>
      </c>
      <c r="V25">
        <f>IF(AND(SUM(VLOOKUP($A25,test!$A$3:$F$32,2,FALSE),VLOOKUP(V$1,test!$A$3:$F$32,2,FALSE))&lt;=test!$K$16,$A25&lt;&gt;V$1,feasible_mat!V25=1),(VLOOKUP(V$1,test!$A$3:$I$32,8,FALSE))-(VLOOKUP($A25,test!$A$3:$I$32,9,FALSE)),0)</f>
        <v>280</v>
      </c>
      <c r="W25">
        <f>IF(AND(SUM(VLOOKUP($A25,test!$A$3:$F$32,2,FALSE),VLOOKUP(W$1,test!$A$3:$F$32,2,FALSE))&lt;=test!$K$16,$A25&lt;&gt;W$1,feasible_mat!W25=1),(VLOOKUP(W$1,test!$A$3:$I$32,8,FALSE))-(VLOOKUP($A25,test!$A$3:$I$32,9,FALSE)),0)</f>
        <v>370</v>
      </c>
      <c r="X25">
        <f>IF(AND(SUM(VLOOKUP($A25,test!$A$3:$F$32,2,FALSE),VLOOKUP(X$1,test!$A$3:$F$32,2,FALSE))&lt;=test!$K$16,$A25&lt;&gt;X$1,feasible_mat!X25=1),(VLOOKUP(X$1,test!$A$3:$I$32,8,FALSE))-(VLOOKUP($A25,test!$A$3:$I$32,9,FALSE)),0)</f>
        <v>430</v>
      </c>
      <c r="Y25">
        <f>IF(AND(SUM(VLOOKUP($A25,test!$A$3:$F$32,2,FALSE),VLOOKUP(Y$1,test!$A$3:$F$32,2,FALSE))&lt;=test!$K$16,$A25&lt;&gt;Y$1,feasible_mat!Y25=1),(VLOOKUP(Y$1,test!$A$3:$I$32,8,FALSE))-(VLOOKUP($A25,test!$A$3:$I$32,9,FALSE)),0)</f>
        <v>0</v>
      </c>
      <c r="Z25">
        <f>IF(AND(SUM(VLOOKUP($A25,test!$A$3:$F$32,2,FALSE),VLOOKUP(Z$1,test!$A$3:$F$32,2,FALSE))&lt;=test!$K$16,$A25&lt;&gt;Z$1,feasible_mat!Z25=1),(VLOOKUP(Z$1,test!$A$3:$I$32,8,FALSE))-(VLOOKUP($A25,test!$A$3:$I$32,9,FALSE)),0)</f>
        <v>30</v>
      </c>
      <c r="AA25">
        <f>IF(AND(SUM(VLOOKUP($A25,test!$A$3:$F$32,2,FALSE),VLOOKUP(AA$1,test!$A$3:$F$32,2,FALSE))&lt;=test!$K$16,$A25&lt;&gt;AA$1,feasible_mat!AA25=1),(VLOOKUP(AA$1,test!$A$3:$I$32,8,FALSE))-(VLOOKUP($A25,test!$A$3:$I$32,9,FALSE)),0)</f>
        <v>150</v>
      </c>
      <c r="AB25">
        <f>IF(AND(SUM(VLOOKUP($A25,test!$A$3:$F$32,2,FALSE),VLOOKUP(AB$1,test!$A$3:$F$32,2,FALSE))&lt;=test!$K$16,$A25&lt;&gt;AB$1,feasible_mat!AB25=1),(VLOOKUP(AB$1,test!$A$3:$I$32,8,FALSE))-(VLOOKUP($A25,test!$A$3:$I$32,9,FALSE)),0)</f>
        <v>210</v>
      </c>
      <c r="AC25">
        <f>IF(AND(SUM(VLOOKUP($A25,test!$A$3:$F$32,2,FALSE),VLOOKUP(AC$1,test!$A$3:$F$32,2,FALSE))&lt;=test!$K$16,$A25&lt;&gt;AC$1,feasible_mat!AC25=1),(VLOOKUP(AC$1,test!$A$3:$I$32,8,FALSE))-(VLOOKUP($A25,test!$A$3:$I$32,9,FALSE)),0)</f>
        <v>330</v>
      </c>
      <c r="AD25">
        <f>IF(AND(SUM(VLOOKUP($A25,test!$A$3:$F$32,2,FALSE),VLOOKUP(AD$1,test!$A$3:$F$32,2,FALSE))&lt;=test!$K$16,$A25&lt;&gt;AD$1,feasible_mat!AD25=1),(VLOOKUP(AD$1,test!$A$3:$I$32,8,FALSE))-(VLOOKUP($A25,test!$A$3:$I$32,9,FALSE)),0)</f>
        <v>0</v>
      </c>
      <c r="AE25">
        <f>IF(AND(SUM(VLOOKUP($A25,test!$A$3:$F$32,2,FALSE),VLOOKUP(AE$1,test!$A$3:$F$32,2,FALSE))&lt;=test!$K$16,$A25&lt;&gt;AE$1,feasible_mat!AE25=1),(VLOOKUP(AE$1,test!$A$3:$I$32,8,FALSE))-(VLOOKUP($A25,test!$A$3:$I$32,9,FALSE)),0)</f>
        <v>150</v>
      </c>
      <c r="AF25">
        <f>IF(AND(SUM(VLOOKUP($A25,test!$A$3:$F$32,2,FALSE),VLOOKUP(AF$1,test!$A$3:$F$32,2,FALSE))&lt;=test!$K$16,$A25&lt;&gt;AF$1,feasible_mat!AF25=1),(VLOOKUP(AF$1,test!$A$3:$I$32,8,FALSE))-(VLOOKUP($A25,test!$A$3:$I$32,9,FALSE)),0)</f>
        <v>0</v>
      </c>
    </row>
    <row r="26" spans="1:36" x14ac:dyDescent="0.25">
      <c r="A26" t="s">
        <v>35</v>
      </c>
      <c r="B26">
        <v>0</v>
      </c>
      <c r="C26">
        <f>IF(AND(SUM(VLOOKUP($A26,test!$A$3:$F$32,2,FALSE),VLOOKUP(C$1,test!$A$3:$F$32,2,FALSE))&lt;=test!$K$16,$A26&lt;&gt;C$1,feasible_mat!C26=1),(VLOOKUP(C$1,test!$A$3:$I$32,8,FALSE))-(VLOOKUP($A26,test!$A$3:$I$32,9,FALSE)),0)</f>
        <v>0</v>
      </c>
      <c r="D26">
        <f>IF(AND(SUM(VLOOKUP($A26,test!$A$3:$F$32,2,FALSE),VLOOKUP(D$1,test!$A$3:$F$32,2,FALSE))&lt;=test!$K$16,$A26&lt;&gt;D$1,feasible_mat!D26=1),(VLOOKUP(D$1,test!$A$3:$I$32,8,FALSE))-(VLOOKUP($A26,test!$A$3:$I$32,9,FALSE)),0)</f>
        <v>0</v>
      </c>
      <c r="E26">
        <f>IF(AND(SUM(VLOOKUP($A26,test!$A$3:$F$32,2,FALSE),VLOOKUP(E$1,test!$A$3:$F$32,2,FALSE))&lt;=test!$K$16,$A26&lt;&gt;E$1,feasible_mat!E26=1),(VLOOKUP(E$1,test!$A$3:$I$32,8,FALSE))-(VLOOKUP($A26,test!$A$3:$I$32,9,FALSE)),0)</f>
        <v>0</v>
      </c>
      <c r="F26">
        <f>IF(AND(SUM(VLOOKUP($A26,test!$A$3:$F$32,2,FALSE),VLOOKUP(F$1,test!$A$3:$F$32,2,FALSE))&lt;=test!$K$16,$A26&lt;&gt;F$1,feasible_mat!F26=1),(VLOOKUP(F$1,test!$A$3:$I$32,8,FALSE))-(VLOOKUP($A26,test!$A$3:$I$32,9,FALSE)),0)</f>
        <v>40</v>
      </c>
      <c r="G26">
        <f>IF(AND(SUM(VLOOKUP($A26,test!$A$3:$F$32,2,FALSE),VLOOKUP(G$1,test!$A$3:$F$32,2,FALSE))&lt;=test!$K$16,$A26&lt;&gt;G$1,feasible_mat!G26=1),(VLOOKUP(G$1,test!$A$3:$I$32,8,FALSE))-(VLOOKUP($A26,test!$A$3:$I$32,9,FALSE)),0)</f>
        <v>100</v>
      </c>
      <c r="H26">
        <f>IF(AND(SUM(VLOOKUP($A26,test!$A$3:$F$32,2,FALSE),VLOOKUP(H$1,test!$A$3:$F$32,2,FALSE))&lt;=test!$K$16,$A26&lt;&gt;H$1,feasible_mat!H26=1),(VLOOKUP(H$1,test!$A$3:$I$32,8,FALSE))-(VLOOKUP($A26,test!$A$3:$I$32,9,FALSE)),0)</f>
        <v>160</v>
      </c>
      <c r="I26">
        <f>IF(AND(SUM(VLOOKUP($A26,test!$A$3:$F$32,2,FALSE),VLOOKUP(I$1,test!$A$3:$F$32,2,FALSE))&lt;=test!$K$16,$A26&lt;&gt;I$1,feasible_mat!I26=1),(VLOOKUP(I$1,test!$A$3:$I$32,8,FALSE))-(VLOOKUP($A26,test!$A$3:$I$32,9,FALSE)),0)</f>
        <v>220</v>
      </c>
      <c r="J26">
        <f>IF(AND(SUM(VLOOKUP($A26,test!$A$3:$F$32,2,FALSE),VLOOKUP(J$1,test!$A$3:$F$32,2,FALSE))&lt;=test!$K$16,$A26&lt;&gt;J$1,feasible_mat!J26=1),(VLOOKUP(J$1,test!$A$3:$I$32,8,FALSE))-(VLOOKUP($A26,test!$A$3:$I$32,9,FALSE)),0)</f>
        <v>310</v>
      </c>
      <c r="K26">
        <f>IF(AND(SUM(VLOOKUP($A26,test!$A$3:$F$32,2,FALSE),VLOOKUP(K$1,test!$A$3:$F$32,2,FALSE))&lt;=test!$K$16,$A26&lt;&gt;K$1,feasible_mat!K26=1),(VLOOKUP(K$1,test!$A$3:$I$32,8,FALSE))-(VLOOKUP($A26,test!$A$3:$I$32,9,FALSE)),0)</f>
        <v>0</v>
      </c>
      <c r="L26">
        <f>IF(AND(SUM(VLOOKUP($A26,test!$A$3:$F$32,2,FALSE),VLOOKUP(L$1,test!$A$3:$F$32,2,FALSE))&lt;=test!$K$16,$A26&lt;&gt;L$1,feasible_mat!L26=1),(VLOOKUP(L$1,test!$A$3:$I$32,8,FALSE))-(VLOOKUP($A26,test!$A$3:$I$32,9,FALSE)),0)</f>
        <v>0</v>
      </c>
      <c r="M26">
        <f>IF(AND(SUM(VLOOKUP($A26,test!$A$3:$F$32,2,FALSE),VLOOKUP(M$1,test!$A$3:$F$32,2,FALSE))&lt;=test!$K$16,$A26&lt;&gt;M$1,feasible_mat!M26=1),(VLOOKUP(M$1,test!$A$3:$I$32,8,FALSE))-(VLOOKUP($A26,test!$A$3:$I$32,9,FALSE)),0)</f>
        <v>0</v>
      </c>
      <c r="N26">
        <f>IF(AND(SUM(VLOOKUP($A26,test!$A$3:$F$32,2,FALSE),VLOOKUP(N$1,test!$A$3:$F$32,2,FALSE))&lt;=test!$K$16,$A26&lt;&gt;N$1,feasible_mat!N26=1),(VLOOKUP(N$1,test!$A$3:$I$32,8,FALSE))-(VLOOKUP($A26,test!$A$3:$I$32,9,FALSE)),0)</f>
        <v>275</v>
      </c>
      <c r="O26">
        <f>IF(AND(SUM(VLOOKUP($A26,test!$A$3:$F$32,2,FALSE),VLOOKUP(O$1,test!$A$3:$F$32,2,FALSE))&lt;=test!$K$16,$A26&lt;&gt;O$1,feasible_mat!O26=1),(VLOOKUP(O$1,test!$A$3:$I$32,8,FALSE))-(VLOOKUP($A26,test!$A$3:$I$32,9,FALSE)),0)</f>
        <v>335</v>
      </c>
      <c r="P26">
        <f>IF(AND(SUM(VLOOKUP($A26,test!$A$3:$F$32,2,FALSE),VLOOKUP(P$1,test!$A$3:$F$32,2,FALSE))&lt;=test!$K$16,$A26&lt;&gt;P$1,feasible_mat!P26=1),(VLOOKUP(P$1,test!$A$3:$I$32,8,FALSE))-(VLOOKUP($A26,test!$A$3:$I$32,9,FALSE)),0)</f>
        <v>0</v>
      </c>
      <c r="Q26">
        <f>IF(AND(SUM(VLOOKUP($A26,test!$A$3:$F$32,2,FALSE),VLOOKUP(Q$1,test!$A$3:$F$32,2,FALSE))&lt;=test!$K$16,$A26&lt;&gt;Q$1,feasible_mat!Q26=1),(VLOOKUP(Q$1,test!$A$3:$I$32,8,FALSE))-(VLOOKUP($A26,test!$A$3:$I$32,9,FALSE)),0)</f>
        <v>0</v>
      </c>
      <c r="R26">
        <f>IF(AND(SUM(VLOOKUP($A26,test!$A$3:$F$32,2,FALSE),VLOOKUP(R$1,test!$A$3:$F$32,2,FALSE))&lt;=test!$K$16,$A26&lt;&gt;R$1,feasible_mat!R26=1),(VLOOKUP(R$1,test!$A$3:$I$32,8,FALSE))-(VLOOKUP($A26,test!$A$3:$I$32,9,FALSE)),0)</f>
        <v>0</v>
      </c>
      <c r="S26">
        <f>IF(AND(SUM(VLOOKUP($A26,test!$A$3:$F$32,2,FALSE),VLOOKUP(S$1,test!$A$3:$F$32,2,FALSE))&lt;=test!$K$16,$A26&lt;&gt;S$1,feasible_mat!S26=1),(VLOOKUP(S$1,test!$A$3:$I$32,8,FALSE))-(VLOOKUP($A26,test!$A$3:$I$32,9,FALSE)),0)</f>
        <v>0</v>
      </c>
      <c r="T26">
        <f>IF(AND(SUM(VLOOKUP($A26,test!$A$3:$F$32,2,FALSE),VLOOKUP(T$1,test!$A$3:$F$32,2,FALSE))&lt;=test!$K$16,$A26&lt;&gt;T$1,feasible_mat!T26=1),(VLOOKUP(T$1,test!$A$3:$I$32,8,FALSE))-(VLOOKUP($A26,test!$A$3:$I$32,9,FALSE)),0)</f>
        <v>0</v>
      </c>
      <c r="U26">
        <f>IF(AND(SUM(VLOOKUP($A26,test!$A$3:$F$32,2,FALSE),VLOOKUP(U$1,test!$A$3:$F$32,2,FALSE))&lt;=test!$K$16,$A26&lt;&gt;U$1,feasible_mat!U26=1),(VLOOKUP(U$1,test!$A$3:$I$32,8,FALSE))-(VLOOKUP($A26,test!$A$3:$I$32,9,FALSE)),0)</f>
        <v>20</v>
      </c>
      <c r="V26">
        <f>IF(AND(SUM(VLOOKUP($A26,test!$A$3:$F$32,2,FALSE),VLOOKUP(V$1,test!$A$3:$F$32,2,FALSE))&lt;=test!$K$16,$A26&lt;&gt;V$1,feasible_mat!V26=1),(VLOOKUP(V$1,test!$A$3:$I$32,8,FALSE))-(VLOOKUP($A26,test!$A$3:$I$32,9,FALSE)),0)</f>
        <v>110</v>
      </c>
      <c r="W26">
        <f>IF(AND(SUM(VLOOKUP($A26,test!$A$3:$F$32,2,FALSE),VLOOKUP(W$1,test!$A$3:$F$32,2,FALSE))&lt;=test!$K$16,$A26&lt;&gt;W$1,feasible_mat!W26=1),(VLOOKUP(W$1,test!$A$3:$I$32,8,FALSE))-(VLOOKUP($A26,test!$A$3:$I$32,9,FALSE)),0)</f>
        <v>200</v>
      </c>
      <c r="X26">
        <f>IF(AND(SUM(VLOOKUP($A26,test!$A$3:$F$32,2,FALSE),VLOOKUP(X$1,test!$A$3:$F$32,2,FALSE))&lt;=test!$K$16,$A26&lt;&gt;X$1,feasible_mat!X26=1),(VLOOKUP(X$1,test!$A$3:$I$32,8,FALSE))-(VLOOKUP($A26,test!$A$3:$I$32,9,FALSE)),0)</f>
        <v>260</v>
      </c>
      <c r="Y26">
        <f>IF(AND(SUM(VLOOKUP($A26,test!$A$3:$F$32,2,FALSE),VLOOKUP(Y$1,test!$A$3:$F$32,2,FALSE))&lt;=test!$K$16,$A26&lt;&gt;Y$1,feasible_mat!Y26=1),(VLOOKUP(Y$1,test!$A$3:$I$32,8,FALSE))-(VLOOKUP($A26,test!$A$3:$I$32,9,FALSE)),0)</f>
        <v>0</v>
      </c>
      <c r="Z26">
        <f>IF(AND(SUM(VLOOKUP($A26,test!$A$3:$F$32,2,FALSE),VLOOKUP(Z$1,test!$A$3:$F$32,2,FALSE))&lt;=test!$K$16,$A26&lt;&gt;Z$1,feasible_mat!Z26=1),(VLOOKUP(Z$1,test!$A$3:$I$32,8,FALSE))-(VLOOKUP($A26,test!$A$3:$I$32,9,FALSE)),0)</f>
        <v>0</v>
      </c>
      <c r="AA26">
        <f>IF(AND(SUM(VLOOKUP($A26,test!$A$3:$F$32,2,FALSE),VLOOKUP(AA$1,test!$A$3:$F$32,2,FALSE))&lt;=test!$K$16,$A26&lt;&gt;AA$1,feasible_mat!AA26=1),(VLOOKUP(AA$1,test!$A$3:$I$32,8,FALSE))-(VLOOKUP($A26,test!$A$3:$I$32,9,FALSE)),0)</f>
        <v>0</v>
      </c>
      <c r="AB26">
        <f>IF(AND(SUM(VLOOKUP($A26,test!$A$3:$F$32,2,FALSE),VLOOKUP(AB$1,test!$A$3:$F$32,2,FALSE))&lt;=test!$K$16,$A26&lt;&gt;AB$1,feasible_mat!AB26=1),(VLOOKUP(AB$1,test!$A$3:$I$32,8,FALSE))-(VLOOKUP($A26,test!$A$3:$I$32,9,FALSE)),0)</f>
        <v>40</v>
      </c>
      <c r="AC26">
        <f>IF(AND(SUM(VLOOKUP($A26,test!$A$3:$F$32,2,FALSE),VLOOKUP(AC$1,test!$A$3:$F$32,2,FALSE))&lt;=test!$K$16,$A26&lt;&gt;AC$1,feasible_mat!AC26=1),(VLOOKUP(AC$1,test!$A$3:$I$32,8,FALSE))-(VLOOKUP($A26,test!$A$3:$I$32,9,FALSE)),0)</f>
        <v>160</v>
      </c>
      <c r="AD26">
        <f>IF(AND(SUM(VLOOKUP($A26,test!$A$3:$F$32,2,FALSE),VLOOKUP(AD$1,test!$A$3:$F$32,2,FALSE))&lt;=test!$K$16,$A26&lt;&gt;AD$1,feasible_mat!AD26=1),(VLOOKUP(AD$1,test!$A$3:$I$32,8,FALSE))-(VLOOKUP($A26,test!$A$3:$I$32,9,FALSE)),0)</f>
        <v>0</v>
      </c>
      <c r="AE26">
        <f>IF(AND(SUM(VLOOKUP($A26,test!$A$3:$F$32,2,FALSE),VLOOKUP(AE$1,test!$A$3:$F$32,2,FALSE))&lt;=test!$K$16,$A26&lt;&gt;AE$1,feasible_mat!AE26=1),(VLOOKUP(AE$1,test!$A$3:$I$32,8,FALSE))-(VLOOKUP($A26,test!$A$3:$I$32,9,FALSE)),0)</f>
        <v>0</v>
      </c>
      <c r="AF26">
        <f>IF(AND(SUM(VLOOKUP($A26,test!$A$3:$F$32,2,FALSE),VLOOKUP(AF$1,test!$A$3:$F$32,2,FALSE))&lt;=test!$K$16,$A26&lt;&gt;AF$1,feasible_mat!AF26=1),(VLOOKUP(AF$1,test!$A$3:$I$32,8,FALSE))-(VLOOKUP($A26,test!$A$3:$I$32,9,FALSE)),0)</f>
        <v>0</v>
      </c>
    </row>
    <row r="27" spans="1:36" x14ac:dyDescent="0.25">
      <c r="A27" t="s">
        <v>36</v>
      </c>
      <c r="B27">
        <v>0</v>
      </c>
      <c r="C27">
        <f>IF(AND(SUM(VLOOKUP($A27,test!$A$3:$F$32,2,FALSE),VLOOKUP(C$1,test!$A$3:$F$32,2,FALSE))&lt;=test!$K$16,$A27&lt;&gt;C$1,feasible_mat!C27=1),(VLOOKUP(C$1,test!$A$3:$I$32,8,FALSE))-(VLOOKUP($A27,test!$A$3:$I$32,9,FALSE)),0)</f>
        <v>0</v>
      </c>
      <c r="D27">
        <f>IF(AND(SUM(VLOOKUP($A27,test!$A$3:$F$32,2,FALSE),VLOOKUP(D$1,test!$A$3:$F$32,2,FALSE))&lt;=test!$K$16,$A27&lt;&gt;D$1,feasible_mat!D27=1),(VLOOKUP(D$1,test!$A$3:$I$32,8,FALSE))-(VLOOKUP($A27,test!$A$3:$I$32,9,FALSE)),0)</f>
        <v>0</v>
      </c>
      <c r="E27">
        <f>IF(AND(SUM(VLOOKUP($A27,test!$A$3:$F$32,2,FALSE),VLOOKUP(E$1,test!$A$3:$F$32,2,FALSE))&lt;=test!$K$16,$A27&lt;&gt;E$1,feasible_mat!E27=1),(VLOOKUP(E$1,test!$A$3:$I$32,8,FALSE))-(VLOOKUP($A27,test!$A$3:$I$32,9,FALSE)),0)</f>
        <v>0</v>
      </c>
      <c r="F27">
        <f>IF(AND(SUM(VLOOKUP($A27,test!$A$3:$F$32,2,FALSE),VLOOKUP(F$1,test!$A$3:$F$32,2,FALSE))&lt;=test!$K$16,$A27&lt;&gt;F$1,feasible_mat!F27=1),(VLOOKUP(F$1,test!$A$3:$I$32,8,FALSE))-(VLOOKUP($A27,test!$A$3:$I$32,9,FALSE)),0)</f>
        <v>0</v>
      </c>
      <c r="G27">
        <f>IF(AND(SUM(VLOOKUP($A27,test!$A$3:$F$32,2,FALSE),VLOOKUP(G$1,test!$A$3:$F$32,2,FALSE))&lt;=test!$K$16,$A27&lt;&gt;G$1,feasible_mat!G27=1),(VLOOKUP(G$1,test!$A$3:$I$32,8,FALSE))-(VLOOKUP($A27,test!$A$3:$I$32,9,FALSE)),0)</f>
        <v>0</v>
      </c>
      <c r="H27">
        <f>IF(AND(SUM(VLOOKUP($A27,test!$A$3:$F$32,2,FALSE),VLOOKUP(H$1,test!$A$3:$F$32,2,FALSE))&lt;=test!$K$16,$A27&lt;&gt;H$1,feasible_mat!H27=1),(VLOOKUP(H$1,test!$A$3:$I$32,8,FALSE))-(VLOOKUP($A27,test!$A$3:$I$32,9,FALSE)),0)</f>
        <v>40</v>
      </c>
      <c r="I27">
        <f>IF(AND(SUM(VLOOKUP($A27,test!$A$3:$F$32,2,FALSE),VLOOKUP(I$1,test!$A$3:$F$32,2,FALSE))&lt;=test!$K$16,$A27&lt;&gt;I$1,feasible_mat!I27=1),(VLOOKUP(I$1,test!$A$3:$I$32,8,FALSE))-(VLOOKUP($A27,test!$A$3:$I$32,9,FALSE)),0)</f>
        <v>100</v>
      </c>
      <c r="J27">
        <f>IF(AND(SUM(VLOOKUP($A27,test!$A$3:$F$32,2,FALSE),VLOOKUP(J$1,test!$A$3:$F$32,2,FALSE))&lt;=test!$K$16,$A27&lt;&gt;J$1,feasible_mat!J27=1),(VLOOKUP(J$1,test!$A$3:$I$32,8,FALSE))-(VLOOKUP($A27,test!$A$3:$I$32,9,FALSE)),0)</f>
        <v>190</v>
      </c>
      <c r="K27">
        <f>IF(AND(SUM(VLOOKUP($A27,test!$A$3:$F$32,2,FALSE),VLOOKUP(K$1,test!$A$3:$F$32,2,FALSE))&lt;=test!$K$16,$A27&lt;&gt;K$1,feasible_mat!K27=1),(VLOOKUP(K$1,test!$A$3:$I$32,8,FALSE))-(VLOOKUP($A27,test!$A$3:$I$32,9,FALSE)),0)</f>
        <v>0</v>
      </c>
      <c r="L27">
        <f>IF(AND(SUM(VLOOKUP($A27,test!$A$3:$F$32,2,FALSE),VLOOKUP(L$1,test!$A$3:$F$32,2,FALSE))&lt;=test!$K$16,$A27&lt;&gt;L$1,feasible_mat!L27=1),(VLOOKUP(L$1,test!$A$3:$I$32,8,FALSE))-(VLOOKUP($A27,test!$A$3:$I$32,9,FALSE)),0)</f>
        <v>0</v>
      </c>
      <c r="M27">
        <f>IF(AND(SUM(VLOOKUP($A27,test!$A$3:$F$32,2,FALSE),VLOOKUP(M$1,test!$A$3:$F$32,2,FALSE))&lt;=test!$K$16,$A27&lt;&gt;M$1,feasible_mat!M27=1),(VLOOKUP(M$1,test!$A$3:$I$32,8,FALSE))-(VLOOKUP($A27,test!$A$3:$I$32,9,FALSE)),0)</f>
        <v>0</v>
      </c>
      <c r="N27">
        <f>IF(AND(SUM(VLOOKUP($A27,test!$A$3:$F$32,2,FALSE),VLOOKUP(N$1,test!$A$3:$F$32,2,FALSE))&lt;=test!$K$16,$A27&lt;&gt;N$1,feasible_mat!N27=1),(VLOOKUP(N$1,test!$A$3:$I$32,8,FALSE))-(VLOOKUP($A27,test!$A$3:$I$32,9,FALSE)),0)</f>
        <v>155</v>
      </c>
      <c r="O27">
        <f>IF(AND(SUM(VLOOKUP($A27,test!$A$3:$F$32,2,FALSE),VLOOKUP(O$1,test!$A$3:$F$32,2,FALSE))&lt;=test!$K$16,$A27&lt;&gt;O$1,feasible_mat!O27=1),(VLOOKUP(O$1,test!$A$3:$I$32,8,FALSE))-(VLOOKUP($A27,test!$A$3:$I$32,9,FALSE)),0)</f>
        <v>215</v>
      </c>
      <c r="P27">
        <f>IF(AND(SUM(VLOOKUP($A27,test!$A$3:$F$32,2,FALSE),VLOOKUP(P$1,test!$A$3:$F$32,2,FALSE))&lt;=test!$K$16,$A27&lt;&gt;P$1,feasible_mat!P27=1),(VLOOKUP(P$1,test!$A$3:$I$32,8,FALSE))-(VLOOKUP($A27,test!$A$3:$I$32,9,FALSE)),0)</f>
        <v>0</v>
      </c>
      <c r="Q27">
        <f>IF(AND(SUM(VLOOKUP($A27,test!$A$3:$F$32,2,FALSE),VLOOKUP(Q$1,test!$A$3:$F$32,2,FALSE))&lt;=test!$K$16,$A27&lt;&gt;Q$1,feasible_mat!Q27=1),(VLOOKUP(Q$1,test!$A$3:$I$32,8,FALSE))-(VLOOKUP($A27,test!$A$3:$I$32,9,FALSE)),0)</f>
        <v>0</v>
      </c>
      <c r="R27">
        <f>IF(AND(SUM(VLOOKUP($A27,test!$A$3:$F$32,2,FALSE),VLOOKUP(R$1,test!$A$3:$F$32,2,FALSE))&lt;=test!$K$16,$A27&lt;&gt;R$1,feasible_mat!R27=1),(VLOOKUP(R$1,test!$A$3:$I$32,8,FALSE))-(VLOOKUP($A27,test!$A$3:$I$32,9,FALSE)),0)</f>
        <v>0</v>
      </c>
      <c r="S27">
        <f>IF(AND(SUM(VLOOKUP($A27,test!$A$3:$F$32,2,FALSE),VLOOKUP(S$1,test!$A$3:$F$32,2,FALSE))&lt;=test!$K$16,$A27&lt;&gt;S$1,feasible_mat!S27=1),(VLOOKUP(S$1,test!$A$3:$I$32,8,FALSE))-(VLOOKUP($A27,test!$A$3:$I$32,9,FALSE)),0)</f>
        <v>0</v>
      </c>
      <c r="T27">
        <f>IF(AND(SUM(VLOOKUP($A27,test!$A$3:$F$32,2,FALSE),VLOOKUP(T$1,test!$A$3:$F$32,2,FALSE))&lt;=test!$K$16,$A27&lt;&gt;T$1,feasible_mat!T27=1),(VLOOKUP(T$1,test!$A$3:$I$32,8,FALSE))-(VLOOKUP($A27,test!$A$3:$I$32,9,FALSE)),0)</f>
        <v>0</v>
      </c>
      <c r="U27">
        <f>IF(AND(SUM(VLOOKUP($A27,test!$A$3:$F$32,2,FALSE),VLOOKUP(U$1,test!$A$3:$F$32,2,FALSE))&lt;=test!$K$16,$A27&lt;&gt;U$1,feasible_mat!U27=1),(VLOOKUP(U$1,test!$A$3:$I$32,8,FALSE))-(VLOOKUP($A27,test!$A$3:$I$32,9,FALSE)),0)</f>
        <v>0</v>
      </c>
      <c r="V27">
        <f>IF(AND(SUM(VLOOKUP($A27,test!$A$3:$F$32,2,FALSE),VLOOKUP(V$1,test!$A$3:$F$32,2,FALSE))&lt;=test!$K$16,$A27&lt;&gt;V$1,feasible_mat!V27=1),(VLOOKUP(V$1,test!$A$3:$I$32,8,FALSE))-(VLOOKUP($A27,test!$A$3:$I$32,9,FALSE)),0)</f>
        <v>0</v>
      </c>
      <c r="W27">
        <f>IF(AND(SUM(VLOOKUP($A27,test!$A$3:$F$32,2,FALSE),VLOOKUP(W$1,test!$A$3:$F$32,2,FALSE))&lt;=test!$K$16,$A27&lt;&gt;W$1,feasible_mat!W27=1),(VLOOKUP(W$1,test!$A$3:$I$32,8,FALSE))-(VLOOKUP($A27,test!$A$3:$I$32,9,FALSE)),0)</f>
        <v>80</v>
      </c>
      <c r="X27">
        <f>IF(AND(SUM(VLOOKUP($A27,test!$A$3:$F$32,2,FALSE),VLOOKUP(X$1,test!$A$3:$F$32,2,FALSE))&lt;=test!$K$16,$A27&lt;&gt;X$1,feasible_mat!X27=1),(VLOOKUP(X$1,test!$A$3:$I$32,8,FALSE))-(VLOOKUP($A27,test!$A$3:$I$32,9,FALSE)),0)</f>
        <v>140</v>
      </c>
      <c r="Y27">
        <f>IF(AND(SUM(VLOOKUP($A27,test!$A$3:$F$32,2,FALSE),VLOOKUP(Y$1,test!$A$3:$F$32,2,FALSE))&lt;=test!$K$16,$A27&lt;&gt;Y$1,feasible_mat!Y27=1),(VLOOKUP(Y$1,test!$A$3:$I$32,8,FALSE))-(VLOOKUP($A27,test!$A$3:$I$32,9,FALSE)),0)</f>
        <v>0</v>
      </c>
      <c r="Z27">
        <f>IF(AND(SUM(VLOOKUP($A27,test!$A$3:$F$32,2,FALSE),VLOOKUP(Z$1,test!$A$3:$F$32,2,FALSE))&lt;=test!$K$16,$A27&lt;&gt;Z$1,feasible_mat!Z27=1),(VLOOKUP(Z$1,test!$A$3:$I$32,8,FALSE))-(VLOOKUP($A27,test!$A$3:$I$32,9,FALSE)),0)</f>
        <v>0</v>
      </c>
      <c r="AA27">
        <f>IF(AND(SUM(VLOOKUP($A27,test!$A$3:$F$32,2,FALSE),VLOOKUP(AA$1,test!$A$3:$F$32,2,FALSE))&lt;=test!$K$16,$A27&lt;&gt;AA$1,feasible_mat!AA27=1),(VLOOKUP(AA$1,test!$A$3:$I$32,8,FALSE))-(VLOOKUP($A27,test!$A$3:$I$32,9,FALSE)),0)</f>
        <v>0</v>
      </c>
      <c r="AB27">
        <f>IF(AND(SUM(VLOOKUP($A27,test!$A$3:$F$32,2,FALSE),VLOOKUP(AB$1,test!$A$3:$F$32,2,FALSE))&lt;=test!$K$16,$A27&lt;&gt;AB$1,feasible_mat!AB27=1),(VLOOKUP(AB$1,test!$A$3:$I$32,8,FALSE))-(VLOOKUP($A27,test!$A$3:$I$32,9,FALSE)),0)</f>
        <v>0</v>
      </c>
      <c r="AC27">
        <f>IF(AND(SUM(VLOOKUP($A27,test!$A$3:$F$32,2,FALSE),VLOOKUP(AC$1,test!$A$3:$F$32,2,FALSE))&lt;=test!$K$16,$A27&lt;&gt;AC$1,feasible_mat!AC27=1),(VLOOKUP(AC$1,test!$A$3:$I$32,8,FALSE))-(VLOOKUP($A27,test!$A$3:$I$32,9,FALSE)),0)</f>
        <v>40</v>
      </c>
      <c r="AD27">
        <f>IF(AND(SUM(VLOOKUP($A27,test!$A$3:$F$32,2,FALSE),VLOOKUP(AD$1,test!$A$3:$F$32,2,FALSE))&lt;=test!$K$16,$A27&lt;&gt;AD$1,feasible_mat!AD27=1),(VLOOKUP(AD$1,test!$A$3:$I$32,8,FALSE))-(VLOOKUP($A27,test!$A$3:$I$32,9,FALSE)),0)</f>
        <v>0</v>
      </c>
      <c r="AE27">
        <f>IF(AND(SUM(VLOOKUP($A27,test!$A$3:$F$32,2,FALSE),VLOOKUP(AE$1,test!$A$3:$F$32,2,FALSE))&lt;=test!$K$16,$A27&lt;&gt;AE$1,feasible_mat!AE27=1),(VLOOKUP(AE$1,test!$A$3:$I$32,8,FALSE))-(VLOOKUP($A27,test!$A$3:$I$32,9,FALSE)),0)</f>
        <v>0</v>
      </c>
      <c r="AF27">
        <f>IF(AND(SUM(VLOOKUP($A27,test!$A$3:$F$32,2,FALSE),VLOOKUP(AF$1,test!$A$3:$F$32,2,FALSE))&lt;=test!$K$16,$A27&lt;&gt;AF$1,feasible_mat!AF27=1),(VLOOKUP(AF$1,test!$A$3:$I$32,8,FALSE))-(VLOOKUP($A27,test!$A$3:$I$32,9,FALSE)),0)</f>
        <v>0</v>
      </c>
    </row>
    <row r="28" spans="1:36" x14ac:dyDescent="0.25">
      <c r="A28" t="s">
        <v>37</v>
      </c>
      <c r="B28">
        <v>0</v>
      </c>
      <c r="C28">
        <f>IF(AND(SUM(VLOOKUP($A28,test!$A$3:$F$32,2,FALSE),VLOOKUP(C$1,test!$A$3:$F$32,2,FALSE))&lt;=test!$K$16,$A28&lt;&gt;C$1,feasible_mat!C28=1),(VLOOKUP(C$1,test!$A$3:$I$32,8,FALSE))-(VLOOKUP($A28,test!$A$3:$I$32,9,FALSE)),0)</f>
        <v>0</v>
      </c>
      <c r="D28">
        <f>IF(AND(SUM(VLOOKUP($A28,test!$A$3:$F$32,2,FALSE),VLOOKUP(D$1,test!$A$3:$F$32,2,FALSE))&lt;=test!$K$16,$A28&lt;&gt;D$1,feasible_mat!D28=1),(VLOOKUP(D$1,test!$A$3:$I$32,8,FALSE))-(VLOOKUP($A28,test!$A$3:$I$32,9,FALSE)),0)</f>
        <v>0</v>
      </c>
      <c r="E28">
        <f>IF(AND(SUM(VLOOKUP($A28,test!$A$3:$F$32,2,FALSE),VLOOKUP(E$1,test!$A$3:$F$32,2,FALSE))&lt;=test!$K$16,$A28&lt;&gt;E$1,feasible_mat!E28=1),(VLOOKUP(E$1,test!$A$3:$I$32,8,FALSE))-(VLOOKUP($A28,test!$A$3:$I$32,9,FALSE)),0)</f>
        <v>0</v>
      </c>
      <c r="F28">
        <f>IF(AND(SUM(VLOOKUP($A28,test!$A$3:$F$32,2,FALSE),VLOOKUP(F$1,test!$A$3:$F$32,2,FALSE))&lt;=test!$K$16,$A28&lt;&gt;F$1,feasible_mat!F28=1),(VLOOKUP(F$1,test!$A$3:$I$32,8,FALSE))-(VLOOKUP($A28,test!$A$3:$I$32,9,FALSE)),0)</f>
        <v>0</v>
      </c>
      <c r="G28">
        <f>IF(AND(SUM(VLOOKUP($A28,test!$A$3:$F$32,2,FALSE),VLOOKUP(G$1,test!$A$3:$F$32,2,FALSE))&lt;=test!$K$16,$A28&lt;&gt;G$1,feasible_mat!G28=1),(VLOOKUP(G$1,test!$A$3:$I$32,8,FALSE))-(VLOOKUP($A28,test!$A$3:$I$32,9,FALSE)),0)</f>
        <v>0</v>
      </c>
      <c r="H28">
        <f>IF(AND(SUM(VLOOKUP($A28,test!$A$3:$F$32,2,FALSE),VLOOKUP(H$1,test!$A$3:$F$32,2,FALSE))&lt;=test!$K$16,$A28&lt;&gt;H$1,feasible_mat!H28=1),(VLOOKUP(H$1,test!$A$3:$I$32,8,FALSE))-(VLOOKUP($A28,test!$A$3:$I$32,9,FALSE)),0)</f>
        <v>0</v>
      </c>
      <c r="I28">
        <f>IF(AND(SUM(VLOOKUP($A28,test!$A$3:$F$32,2,FALSE),VLOOKUP(I$1,test!$A$3:$F$32,2,FALSE))&lt;=test!$K$16,$A28&lt;&gt;I$1,feasible_mat!I28=1),(VLOOKUP(I$1,test!$A$3:$I$32,8,FALSE))-(VLOOKUP($A28,test!$A$3:$I$32,9,FALSE)),0)</f>
        <v>40</v>
      </c>
      <c r="J28">
        <f>IF(AND(SUM(VLOOKUP($A28,test!$A$3:$F$32,2,FALSE),VLOOKUP(J$1,test!$A$3:$F$32,2,FALSE))&lt;=test!$K$16,$A28&lt;&gt;J$1,feasible_mat!J28=1),(VLOOKUP(J$1,test!$A$3:$I$32,8,FALSE))-(VLOOKUP($A28,test!$A$3:$I$32,9,FALSE)),0)</f>
        <v>130</v>
      </c>
      <c r="K28">
        <f>IF(AND(SUM(VLOOKUP($A28,test!$A$3:$F$32,2,FALSE),VLOOKUP(K$1,test!$A$3:$F$32,2,FALSE))&lt;=test!$K$16,$A28&lt;&gt;K$1,feasible_mat!K28=1),(VLOOKUP(K$1,test!$A$3:$I$32,8,FALSE))-(VLOOKUP($A28,test!$A$3:$I$32,9,FALSE)),0)</f>
        <v>0</v>
      </c>
      <c r="L28">
        <f>IF(AND(SUM(VLOOKUP($A28,test!$A$3:$F$32,2,FALSE),VLOOKUP(L$1,test!$A$3:$F$32,2,FALSE))&lt;=test!$K$16,$A28&lt;&gt;L$1,feasible_mat!L28=1),(VLOOKUP(L$1,test!$A$3:$I$32,8,FALSE))-(VLOOKUP($A28,test!$A$3:$I$32,9,FALSE)),0)</f>
        <v>0</v>
      </c>
      <c r="M28">
        <f>IF(AND(SUM(VLOOKUP($A28,test!$A$3:$F$32,2,FALSE),VLOOKUP(M$1,test!$A$3:$F$32,2,FALSE))&lt;=test!$K$16,$A28&lt;&gt;M$1,feasible_mat!M28=1),(VLOOKUP(M$1,test!$A$3:$I$32,8,FALSE))-(VLOOKUP($A28,test!$A$3:$I$32,9,FALSE)),0)</f>
        <v>0</v>
      </c>
      <c r="N28">
        <f>IF(AND(SUM(VLOOKUP($A28,test!$A$3:$F$32,2,FALSE),VLOOKUP(N$1,test!$A$3:$F$32,2,FALSE))&lt;=test!$K$16,$A28&lt;&gt;N$1,feasible_mat!N28=1),(VLOOKUP(N$1,test!$A$3:$I$32,8,FALSE))-(VLOOKUP($A28,test!$A$3:$I$32,9,FALSE)),0)</f>
        <v>95</v>
      </c>
      <c r="O28">
        <f>IF(AND(SUM(VLOOKUP($A28,test!$A$3:$F$32,2,FALSE),VLOOKUP(O$1,test!$A$3:$F$32,2,FALSE))&lt;=test!$K$16,$A28&lt;&gt;O$1,feasible_mat!O28=1),(VLOOKUP(O$1,test!$A$3:$I$32,8,FALSE))-(VLOOKUP($A28,test!$A$3:$I$32,9,FALSE)),0)</f>
        <v>155</v>
      </c>
      <c r="P28">
        <f>IF(AND(SUM(VLOOKUP($A28,test!$A$3:$F$32,2,FALSE),VLOOKUP(P$1,test!$A$3:$F$32,2,FALSE))&lt;=test!$K$16,$A28&lt;&gt;P$1,feasible_mat!P28=1),(VLOOKUP(P$1,test!$A$3:$I$32,8,FALSE))-(VLOOKUP($A28,test!$A$3:$I$32,9,FALSE)),0)</f>
        <v>0</v>
      </c>
      <c r="Q28">
        <f>IF(AND(SUM(VLOOKUP($A28,test!$A$3:$F$32,2,FALSE),VLOOKUP(Q$1,test!$A$3:$F$32,2,FALSE))&lt;=test!$K$16,$A28&lt;&gt;Q$1,feasible_mat!Q28=1),(VLOOKUP(Q$1,test!$A$3:$I$32,8,FALSE))-(VLOOKUP($A28,test!$A$3:$I$32,9,FALSE)),0)</f>
        <v>0</v>
      </c>
      <c r="R28">
        <f>IF(AND(SUM(VLOOKUP($A28,test!$A$3:$F$32,2,FALSE),VLOOKUP(R$1,test!$A$3:$F$32,2,FALSE))&lt;=test!$K$16,$A28&lt;&gt;R$1,feasible_mat!R28=1),(VLOOKUP(R$1,test!$A$3:$I$32,8,FALSE))-(VLOOKUP($A28,test!$A$3:$I$32,9,FALSE)),0)</f>
        <v>0</v>
      </c>
      <c r="S28">
        <f>IF(AND(SUM(VLOOKUP($A28,test!$A$3:$F$32,2,FALSE),VLOOKUP(S$1,test!$A$3:$F$32,2,FALSE))&lt;=test!$K$16,$A28&lt;&gt;S$1,feasible_mat!S28=1),(VLOOKUP(S$1,test!$A$3:$I$32,8,FALSE))-(VLOOKUP($A28,test!$A$3:$I$32,9,FALSE)),0)</f>
        <v>0</v>
      </c>
      <c r="T28">
        <f>IF(AND(SUM(VLOOKUP($A28,test!$A$3:$F$32,2,FALSE),VLOOKUP(T$1,test!$A$3:$F$32,2,FALSE))&lt;=test!$K$16,$A28&lt;&gt;T$1,feasible_mat!T28=1),(VLOOKUP(T$1,test!$A$3:$I$32,8,FALSE))-(VLOOKUP($A28,test!$A$3:$I$32,9,FALSE)),0)</f>
        <v>0</v>
      </c>
      <c r="U28">
        <f>IF(AND(SUM(VLOOKUP($A28,test!$A$3:$F$32,2,FALSE),VLOOKUP(U$1,test!$A$3:$F$32,2,FALSE))&lt;=test!$K$16,$A28&lt;&gt;U$1,feasible_mat!U28=1),(VLOOKUP(U$1,test!$A$3:$I$32,8,FALSE))-(VLOOKUP($A28,test!$A$3:$I$32,9,FALSE)),0)</f>
        <v>0</v>
      </c>
      <c r="V28">
        <f>IF(AND(SUM(VLOOKUP($A28,test!$A$3:$F$32,2,FALSE),VLOOKUP(V$1,test!$A$3:$F$32,2,FALSE))&lt;=test!$K$16,$A28&lt;&gt;V$1,feasible_mat!V28=1),(VLOOKUP(V$1,test!$A$3:$I$32,8,FALSE))-(VLOOKUP($A28,test!$A$3:$I$32,9,FALSE)),0)</f>
        <v>0</v>
      </c>
      <c r="W28">
        <f>IF(AND(SUM(VLOOKUP($A28,test!$A$3:$F$32,2,FALSE),VLOOKUP(W$1,test!$A$3:$F$32,2,FALSE))&lt;=test!$K$16,$A28&lt;&gt;W$1,feasible_mat!W28=1),(VLOOKUP(W$1,test!$A$3:$I$32,8,FALSE))-(VLOOKUP($A28,test!$A$3:$I$32,9,FALSE)),0)</f>
        <v>20</v>
      </c>
      <c r="X28">
        <f>IF(AND(SUM(VLOOKUP($A28,test!$A$3:$F$32,2,FALSE),VLOOKUP(X$1,test!$A$3:$F$32,2,FALSE))&lt;=test!$K$16,$A28&lt;&gt;X$1,feasible_mat!X28=1),(VLOOKUP(X$1,test!$A$3:$I$32,8,FALSE))-(VLOOKUP($A28,test!$A$3:$I$32,9,FALSE)),0)</f>
        <v>80</v>
      </c>
      <c r="Y28">
        <f>IF(AND(SUM(VLOOKUP($A28,test!$A$3:$F$32,2,FALSE),VLOOKUP(Y$1,test!$A$3:$F$32,2,FALSE))&lt;=test!$K$16,$A28&lt;&gt;Y$1,feasible_mat!Y28=1),(VLOOKUP(Y$1,test!$A$3:$I$32,8,FALSE))-(VLOOKUP($A28,test!$A$3:$I$32,9,FALSE)),0)</f>
        <v>0</v>
      </c>
      <c r="Z28">
        <f>IF(AND(SUM(VLOOKUP($A28,test!$A$3:$F$32,2,FALSE),VLOOKUP(Z$1,test!$A$3:$F$32,2,FALSE))&lt;=test!$K$16,$A28&lt;&gt;Z$1,feasible_mat!Z28=1),(VLOOKUP(Z$1,test!$A$3:$I$32,8,FALSE))-(VLOOKUP($A28,test!$A$3:$I$32,9,FALSE)),0)</f>
        <v>0</v>
      </c>
      <c r="AA28">
        <f>IF(AND(SUM(VLOOKUP($A28,test!$A$3:$F$32,2,FALSE),VLOOKUP(AA$1,test!$A$3:$F$32,2,FALSE))&lt;=test!$K$16,$A28&lt;&gt;AA$1,feasible_mat!AA28=1),(VLOOKUP(AA$1,test!$A$3:$I$32,8,FALSE))-(VLOOKUP($A28,test!$A$3:$I$32,9,FALSE)),0)</f>
        <v>0</v>
      </c>
      <c r="AB28">
        <f>IF(AND(SUM(VLOOKUP($A28,test!$A$3:$F$32,2,FALSE),VLOOKUP(AB$1,test!$A$3:$F$32,2,FALSE))&lt;=test!$K$16,$A28&lt;&gt;AB$1,feasible_mat!AB28=1),(VLOOKUP(AB$1,test!$A$3:$I$32,8,FALSE))-(VLOOKUP($A28,test!$A$3:$I$32,9,FALSE)),0)</f>
        <v>0</v>
      </c>
      <c r="AC28">
        <f>IF(AND(SUM(VLOOKUP($A28,test!$A$3:$F$32,2,FALSE),VLOOKUP(AC$1,test!$A$3:$F$32,2,FALSE))&lt;=test!$K$16,$A28&lt;&gt;AC$1,feasible_mat!AC28=1),(VLOOKUP(AC$1,test!$A$3:$I$32,8,FALSE))-(VLOOKUP($A28,test!$A$3:$I$32,9,FALSE)),0)</f>
        <v>0</v>
      </c>
      <c r="AD28">
        <f>IF(AND(SUM(VLOOKUP($A28,test!$A$3:$F$32,2,FALSE),VLOOKUP(AD$1,test!$A$3:$F$32,2,FALSE))&lt;=test!$K$16,$A28&lt;&gt;AD$1,feasible_mat!AD28=1),(VLOOKUP(AD$1,test!$A$3:$I$32,8,FALSE))-(VLOOKUP($A28,test!$A$3:$I$32,9,FALSE)),0)</f>
        <v>0</v>
      </c>
      <c r="AE28">
        <f>IF(AND(SUM(VLOOKUP($A28,test!$A$3:$F$32,2,FALSE),VLOOKUP(AE$1,test!$A$3:$F$32,2,FALSE))&lt;=test!$K$16,$A28&lt;&gt;AE$1,feasible_mat!AE28=1),(VLOOKUP(AE$1,test!$A$3:$I$32,8,FALSE))-(VLOOKUP($A28,test!$A$3:$I$32,9,FALSE)),0)</f>
        <v>0</v>
      </c>
      <c r="AF28">
        <f>IF(AND(SUM(VLOOKUP($A28,test!$A$3:$F$32,2,FALSE),VLOOKUP(AF$1,test!$A$3:$F$32,2,FALSE))&lt;=test!$K$16,$A28&lt;&gt;AF$1,feasible_mat!AF28=1),(VLOOKUP(AF$1,test!$A$3:$I$32,8,FALSE))-(VLOOKUP($A28,test!$A$3:$I$32,9,FALSE)),0)</f>
        <v>0</v>
      </c>
    </row>
    <row r="29" spans="1:36" x14ac:dyDescent="0.25">
      <c r="A29" t="s">
        <v>38</v>
      </c>
      <c r="B29">
        <v>0</v>
      </c>
      <c r="C29">
        <f>IF(AND(SUM(VLOOKUP($A29,test!$A$3:$F$32,2,FALSE),VLOOKUP(C$1,test!$A$3:$F$32,2,FALSE))&lt;=test!$K$16,$A29&lt;&gt;C$1,feasible_mat!C29=1),(VLOOKUP(C$1,test!$A$3:$I$32,8,FALSE))-(VLOOKUP($A29,test!$A$3:$I$32,9,FALSE)),0)</f>
        <v>0</v>
      </c>
      <c r="D29">
        <f>IF(AND(SUM(VLOOKUP($A29,test!$A$3:$F$32,2,FALSE),VLOOKUP(D$1,test!$A$3:$F$32,2,FALSE))&lt;=test!$K$16,$A29&lt;&gt;D$1,feasible_mat!D29=1),(VLOOKUP(D$1,test!$A$3:$I$32,8,FALSE))-(VLOOKUP($A29,test!$A$3:$I$32,9,FALSE)),0)</f>
        <v>0</v>
      </c>
      <c r="E29">
        <f>IF(AND(SUM(VLOOKUP($A29,test!$A$3:$F$32,2,FALSE),VLOOKUP(E$1,test!$A$3:$F$32,2,FALSE))&lt;=test!$K$16,$A29&lt;&gt;E$1,feasible_mat!E29=1),(VLOOKUP(E$1,test!$A$3:$I$32,8,FALSE))-(VLOOKUP($A29,test!$A$3:$I$32,9,FALSE)),0)</f>
        <v>0</v>
      </c>
      <c r="F29">
        <f>IF(AND(SUM(VLOOKUP($A29,test!$A$3:$F$32,2,FALSE),VLOOKUP(F$1,test!$A$3:$F$32,2,FALSE))&lt;=test!$K$16,$A29&lt;&gt;F$1,feasible_mat!F29=1),(VLOOKUP(F$1,test!$A$3:$I$32,8,FALSE))-(VLOOKUP($A29,test!$A$3:$I$32,9,FALSE)),0)</f>
        <v>0</v>
      </c>
      <c r="G29">
        <f>IF(AND(SUM(VLOOKUP($A29,test!$A$3:$F$32,2,FALSE),VLOOKUP(G$1,test!$A$3:$F$32,2,FALSE))&lt;=test!$K$16,$A29&lt;&gt;G$1,feasible_mat!G29=1),(VLOOKUP(G$1,test!$A$3:$I$32,8,FALSE))-(VLOOKUP($A29,test!$A$3:$I$32,9,FALSE)),0)</f>
        <v>0</v>
      </c>
      <c r="H29">
        <f>IF(AND(SUM(VLOOKUP($A29,test!$A$3:$F$32,2,FALSE),VLOOKUP(H$1,test!$A$3:$F$32,2,FALSE))&lt;=test!$K$16,$A29&lt;&gt;H$1,feasible_mat!H29=1),(VLOOKUP(H$1,test!$A$3:$I$32,8,FALSE))-(VLOOKUP($A29,test!$A$3:$I$32,9,FALSE)),0)</f>
        <v>0</v>
      </c>
      <c r="I29">
        <f>IF(AND(SUM(VLOOKUP($A29,test!$A$3:$F$32,2,FALSE),VLOOKUP(I$1,test!$A$3:$F$32,2,FALSE))&lt;=test!$K$16,$A29&lt;&gt;I$1,feasible_mat!I29=1),(VLOOKUP(I$1,test!$A$3:$I$32,8,FALSE))-(VLOOKUP($A29,test!$A$3:$I$32,9,FALSE)),0)</f>
        <v>0</v>
      </c>
      <c r="J29">
        <f>IF(AND(SUM(VLOOKUP($A29,test!$A$3:$F$32,2,FALSE),VLOOKUP(J$1,test!$A$3:$F$32,2,FALSE))&lt;=test!$K$16,$A29&lt;&gt;J$1,feasible_mat!J29=1),(VLOOKUP(J$1,test!$A$3:$I$32,8,FALSE))-(VLOOKUP($A29,test!$A$3:$I$32,9,FALSE)),0)</f>
        <v>0</v>
      </c>
      <c r="K29">
        <f>IF(AND(SUM(VLOOKUP($A29,test!$A$3:$F$32,2,FALSE),VLOOKUP(K$1,test!$A$3:$F$32,2,FALSE))&lt;=test!$K$16,$A29&lt;&gt;K$1,feasible_mat!K29=1),(VLOOKUP(K$1,test!$A$3:$I$32,8,FALSE))-(VLOOKUP($A29,test!$A$3:$I$32,9,FALSE)),0)</f>
        <v>0</v>
      </c>
      <c r="L29">
        <f>IF(AND(SUM(VLOOKUP($A29,test!$A$3:$F$32,2,FALSE),VLOOKUP(L$1,test!$A$3:$F$32,2,FALSE))&lt;=test!$K$16,$A29&lt;&gt;L$1,feasible_mat!L29=1),(VLOOKUP(L$1,test!$A$3:$I$32,8,FALSE))-(VLOOKUP($A29,test!$A$3:$I$32,9,FALSE)),0)</f>
        <v>0</v>
      </c>
      <c r="M29">
        <f>IF(AND(SUM(VLOOKUP($A29,test!$A$3:$F$32,2,FALSE),VLOOKUP(M$1,test!$A$3:$F$32,2,FALSE))&lt;=test!$K$16,$A29&lt;&gt;M$1,feasible_mat!M29=1),(VLOOKUP(M$1,test!$A$3:$I$32,8,FALSE))-(VLOOKUP($A29,test!$A$3:$I$32,9,FALSE)),0)</f>
        <v>0</v>
      </c>
      <c r="N29">
        <f>IF(AND(SUM(VLOOKUP($A29,test!$A$3:$F$32,2,FALSE),VLOOKUP(N$1,test!$A$3:$F$32,2,FALSE))&lt;=test!$K$16,$A29&lt;&gt;N$1,feasible_mat!N29=1),(VLOOKUP(N$1,test!$A$3:$I$32,8,FALSE))-(VLOOKUP($A29,test!$A$3:$I$32,9,FALSE)),0)</f>
        <v>0</v>
      </c>
      <c r="O29">
        <f>IF(AND(SUM(VLOOKUP($A29,test!$A$3:$F$32,2,FALSE),VLOOKUP(O$1,test!$A$3:$F$32,2,FALSE))&lt;=test!$K$16,$A29&lt;&gt;O$1,feasible_mat!O29=1),(VLOOKUP(O$1,test!$A$3:$I$32,8,FALSE))-(VLOOKUP($A29,test!$A$3:$I$32,9,FALSE)),0)</f>
        <v>35</v>
      </c>
      <c r="P29">
        <f>IF(AND(SUM(VLOOKUP($A29,test!$A$3:$F$32,2,FALSE),VLOOKUP(P$1,test!$A$3:$F$32,2,FALSE))&lt;=test!$K$16,$A29&lt;&gt;P$1,feasible_mat!P29=1),(VLOOKUP(P$1,test!$A$3:$I$32,8,FALSE))-(VLOOKUP($A29,test!$A$3:$I$32,9,FALSE)),0)</f>
        <v>0</v>
      </c>
      <c r="Q29">
        <f>IF(AND(SUM(VLOOKUP($A29,test!$A$3:$F$32,2,FALSE),VLOOKUP(Q$1,test!$A$3:$F$32,2,FALSE))&lt;=test!$K$16,$A29&lt;&gt;Q$1,feasible_mat!Q29=1),(VLOOKUP(Q$1,test!$A$3:$I$32,8,FALSE))-(VLOOKUP($A29,test!$A$3:$I$32,9,FALSE)),0)</f>
        <v>0</v>
      </c>
      <c r="R29">
        <f>IF(AND(SUM(VLOOKUP($A29,test!$A$3:$F$32,2,FALSE),VLOOKUP(R$1,test!$A$3:$F$32,2,FALSE))&lt;=test!$K$16,$A29&lt;&gt;R$1,feasible_mat!R29=1),(VLOOKUP(R$1,test!$A$3:$I$32,8,FALSE))-(VLOOKUP($A29,test!$A$3:$I$32,9,FALSE)),0)</f>
        <v>0</v>
      </c>
      <c r="S29">
        <f>IF(AND(SUM(VLOOKUP($A29,test!$A$3:$F$32,2,FALSE),VLOOKUP(S$1,test!$A$3:$F$32,2,FALSE))&lt;=test!$K$16,$A29&lt;&gt;S$1,feasible_mat!S29=1),(VLOOKUP(S$1,test!$A$3:$I$32,8,FALSE))-(VLOOKUP($A29,test!$A$3:$I$32,9,FALSE)),0)</f>
        <v>0</v>
      </c>
      <c r="T29">
        <f>IF(AND(SUM(VLOOKUP($A29,test!$A$3:$F$32,2,FALSE),VLOOKUP(T$1,test!$A$3:$F$32,2,FALSE))&lt;=test!$K$16,$A29&lt;&gt;T$1,feasible_mat!T29=1),(VLOOKUP(T$1,test!$A$3:$I$32,8,FALSE))-(VLOOKUP($A29,test!$A$3:$I$32,9,FALSE)),0)</f>
        <v>0</v>
      </c>
      <c r="U29">
        <f>IF(AND(SUM(VLOOKUP($A29,test!$A$3:$F$32,2,FALSE),VLOOKUP(U$1,test!$A$3:$F$32,2,FALSE))&lt;=test!$K$16,$A29&lt;&gt;U$1,feasible_mat!U29=1),(VLOOKUP(U$1,test!$A$3:$I$32,8,FALSE))-(VLOOKUP($A29,test!$A$3:$I$32,9,FALSE)),0)</f>
        <v>0</v>
      </c>
      <c r="V29">
        <f>IF(AND(SUM(VLOOKUP($A29,test!$A$3:$F$32,2,FALSE),VLOOKUP(V$1,test!$A$3:$F$32,2,FALSE))&lt;=test!$K$16,$A29&lt;&gt;V$1,feasible_mat!V29=1),(VLOOKUP(V$1,test!$A$3:$I$32,8,FALSE))-(VLOOKUP($A29,test!$A$3:$I$32,9,FALSE)),0)</f>
        <v>0</v>
      </c>
      <c r="W29">
        <f>IF(AND(SUM(VLOOKUP($A29,test!$A$3:$F$32,2,FALSE),VLOOKUP(W$1,test!$A$3:$F$32,2,FALSE))&lt;=test!$K$16,$A29&lt;&gt;W$1,feasible_mat!W29=1),(VLOOKUP(W$1,test!$A$3:$I$32,8,FALSE))-(VLOOKUP($A29,test!$A$3:$I$32,9,FALSE)),0)</f>
        <v>0</v>
      </c>
      <c r="X29">
        <f>IF(AND(SUM(VLOOKUP($A29,test!$A$3:$F$32,2,FALSE),VLOOKUP(X$1,test!$A$3:$F$32,2,FALSE))&lt;=test!$K$16,$A29&lt;&gt;X$1,feasible_mat!X29=1),(VLOOKUP(X$1,test!$A$3:$I$32,8,FALSE))-(VLOOKUP($A29,test!$A$3:$I$32,9,FALSE)),0)</f>
        <v>0</v>
      </c>
      <c r="Y29">
        <f>IF(AND(SUM(VLOOKUP($A29,test!$A$3:$F$32,2,FALSE),VLOOKUP(Y$1,test!$A$3:$F$32,2,FALSE))&lt;=test!$K$16,$A29&lt;&gt;Y$1,feasible_mat!Y29=1),(VLOOKUP(Y$1,test!$A$3:$I$32,8,FALSE))-(VLOOKUP($A29,test!$A$3:$I$32,9,FALSE)),0)</f>
        <v>0</v>
      </c>
      <c r="Z29">
        <f>IF(AND(SUM(VLOOKUP($A29,test!$A$3:$F$32,2,FALSE),VLOOKUP(Z$1,test!$A$3:$F$32,2,FALSE))&lt;=test!$K$16,$A29&lt;&gt;Z$1,feasible_mat!Z29=1),(VLOOKUP(Z$1,test!$A$3:$I$32,8,FALSE))-(VLOOKUP($A29,test!$A$3:$I$32,9,FALSE)),0)</f>
        <v>0</v>
      </c>
      <c r="AA29">
        <f>IF(AND(SUM(VLOOKUP($A29,test!$A$3:$F$32,2,FALSE),VLOOKUP(AA$1,test!$A$3:$F$32,2,FALSE))&lt;=test!$K$16,$A29&lt;&gt;AA$1,feasible_mat!AA29=1),(VLOOKUP(AA$1,test!$A$3:$I$32,8,FALSE))-(VLOOKUP($A29,test!$A$3:$I$32,9,FALSE)),0)</f>
        <v>0</v>
      </c>
      <c r="AB29">
        <f>IF(AND(SUM(VLOOKUP($A29,test!$A$3:$F$32,2,FALSE),VLOOKUP(AB$1,test!$A$3:$F$32,2,FALSE))&lt;=test!$K$16,$A29&lt;&gt;AB$1,feasible_mat!AB29=1),(VLOOKUP(AB$1,test!$A$3:$I$32,8,FALSE))-(VLOOKUP($A29,test!$A$3:$I$32,9,FALSE)),0)</f>
        <v>0</v>
      </c>
      <c r="AC29">
        <f>IF(AND(SUM(VLOOKUP($A29,test!$A$3:$F$32,2,FALSE),VLOOKUP(AC$1,test!$A$3:$F$32,2,FALSE))&lt;=test!$K$16,$A29&lt;&gt;AC$1,feasible_mat!AC29=1),(VLOOKUP(AC$1,test!$A$3:$I$32,8,FALSE))-(VLOOKUP($A29,test!$A$3:$I$32,9,FALSE)),0)</f>
        <v>0</v>
      </c>
      <c r="AD29">
        <f>IF(AND(SUM(VLOOKUP($A29,test!$A$3:$F$32,2,FALSE),VLOOKUP(AD$1,test!$A$3:$F$32,2,FALSE))&lt;=test!$K$16,$A29&lt;&gt;AD$1,feasible_mat!AD29=1),(VLOOKUP(AD$1,test!$A$3:$I$32,8,FALSE))-(VLOOKUP($A29,test!$A$3:$I$32,9,FALSE)),0)</f>
        <v>0</v>
      </c>
      <c r="AE29">
        <f>IF(AND(SUM(VLOOKUP($A29,test!$A$3:$F$32,2,FALSE),VLOOKUP(AE$1,test!$A$3:$F$32,2,FALSE))&lt;=test!$K$16,$A29&lt;&gt;AE$1,feasible_mat!AE29=1),(VLOOKUP(AE$1,test!$A$3:$I$32,8,FALSE))-(VLOOKUP($A29,test!$A$3:$I$32,9,FALSE)),0)</f>
        <v>0</v>
      </c>
      <c r="AF29">
        <f>IF(AND(SUM(VLOOKUP($A29,test!$A$3:$F$32,2,FALSE),VLOOKUP(AF$1,test!$A$3:$F$32,2,FALSE))&lt;=test!$K$16,$A29&lt;&gt;AF$1,feasible_mat!AF29=1),(VLOOKUP(AF$1,test!$A$3:$I$32,8,FALSE))-(VLOOKUP($A29,test!$A$3:$I$32,9,FALSE)),0)</f>
        <v>0</v>
      </c>
    </row>
    <row r="30" spans="1:36" x14ac:dyDescent="0.25">
      <c r="A30" t="s">
        <v>39</v>
      </c>
      <c r="B30">
        <v>0</v>
      </c>
      <c r="C30">
        <f>IF(AND(SUM(VLOOKUP($A30,test!$A$3:$F$32,2,FALSE),VLOOKUP(C$1,test!$A$3:$F$32,2,FALSE))&lt;=test!$K$16,$A30&lt;&gt;C$1,feasible_mat!C30=1),(VLOOKUP(C$1,test!$A$3:$I$32,8,FALSE))-(VLOOKUP($A30,test!$A$3:$I$32,9,FALSE)),0)</f>
        <v>0</v>
      </c>
      <c r="D30">
        <f>IF(AND(SUM(VLOOKUP($A30,test!$A$3:$F$32,2,FALSE),VLOOKUP(D$1,test!$A$3:$F$32,2,FALSE))&lt;=test!$K$16,$A30&lt;&gt;D$1,feasible_mat!D30=1),(VLOOKUP(D$1,test!$A$3:$I$32,8,FALSE))-(VLOOKUP($A30,test!$A$3:$I$32,9,FALSE)),0)</f>
        <v>0</v>
      </c>
      <c r="E30">
        <f>IF(AND(SUM(VLOOKUP($A30,test!$A$3:$F$32,2,FALSE),VLOOKUP(E$1,test!$A$3:$F$32,2,FALSE))&lt;=test!$K$16,$A30&lt;&gt;E$1,feasible_mat!E30=1),(VLOOKUP(E$1,test!$A$3:$I$32,8,FALSE))-(VLOOKUP($A30,test!$A$3:$I$32,9,FALSE)),0)</f>
        <v>0</v>
      </c>
      <c r="F30">
        <f>IF(AND(SUM(VLOOKUP($A30,test!$A$3:$F$32,2,FALSE),VLOOKUP(F$1,test!$A$3:$F$32,2,FALSE))&lt;=test!$K$16,$A30&lt;&gt;F$1,feasible_mat!F30=1),(VLOOKUP(F$1,test!$A$3:$I$32,8,FALSE))-(VLOOKUP($A30,test!$A$3:$I$32,9,FALSE)),0)</f>
        <v>0</v>
      </c>
      <c r="G30">
        <f>IF(AND(SUM(VLOOKUP($A30,test!$A$3:$F$32,2,FALSE),VLOOKUP(G$1,test!$A$3:$F$32,2,FALSE))&lt;=test!$K$16,$A30&lt;&gt;G$1,feasible_mat!G30=1),(VLOOKUP(G$1,test!$A$3:$I$32,8,FALSE))-(VLOOKUP($A30,test!$A$3:$I$32,9,FALSE)),0)</f>
        <v>0</v>
      </c>
      <c r="H30">
        <f>IF(AND(SUM(VLOOKUP($A30,test!$A$3:$F$32,2,FALSE),VLOOKUP(H$1,test!$A$3:$F$32,2,FALSE))&lt;=test!$K$16,$A30&lt;&gt;H$1,feasible_mat!H30=1),(VLOOKUP(H$1,test!$A$3:$I$32,8,FALSE))-(VLOOKUP($A30,test!$A$3:$I$32,9,FALSE)),0)</f>
        <v>0</v>
      </c>
      <c r="I30">
        <f>IF(AND(SUM(VLOOKUP($A30,test!$A$3:$F$32,2,FALSE),VLOOKUP(I$1,test!$A$3:$F$32,2,FALSE))&lt;=test!$K$16,$A30&lt;&gt;I$1,feasible_mat!I30=1),(VLOOKUP(I$1,test!$A$3:$I$32,8,FALSE))-(VLOOKUP($A30,test!$A$3:$I$32,9,FALSE)),0)</f>
        <v>0</v>
      </c>
      <c r="J30">
        <f>IF(AND(SUM(VLOOKUP($A30,test!$A$3:$F$32,2,FALSE),VLOOKUP(J$1,test!$A$3:$F$32,2,FALSE))&lt;=test!$K$16,$A30&lt;&gt;J$1,feasible_mat!J30=1),(VLOOKUP(J$1,test!$A$3:$I$32,8,FALSE))-(VLOOKUP($A30,test!$A$3:$I$32,9,FALSE)),0)</f>
        <v>0</v>
      </c>
      <c r="K30">
        <f>IF(AND(SUM(VLOOKUP($A30,test!$A$3:$F$32,2,FALSE),VLOOKUP(K$1,test!$A$3:$F$32,2,FALSE))&lt;=test!$K$16,$A30&lt;&gt;K$1,feasible_mat!K30=1),(VLOOKUP(K$1,test!$A$3:$I$32,8,FALSE))-(VLOOKUP($A30,test!$A$3:$I$32,9,FALSE)),0)</f>
        <v>0</v>
      </c>
      <c r="L30">
        <f>IF(AND(SUM(VLOOKUP($A30,test!$A$3:$F$32,2,FALSE),VLOOKUP(L$1,test!$A$3:$F$32,2,FALSE))&lt;=test!$K$16,$A30&lt;&gt;L$1,feasible_mat!L30=1),(VLOOKUP(L$1,test!$A$3:$I$32,8,FALSE))-(VLOOKUP($A30,test!$A$3:$I$32,9,FALSE)),0)</f>
        <v>0</v>
      </c>
      <c r="M30">
        <f>IF(AND(SUM(VLOOKUP($A30,test!$A$3:$F$32,2,FALSE),VLOOKUP(M$1,test!$A$3:$F$32,2,FALSE))&lt;=test!$K$16,$A30&lt;&gt;M$1,feasible_mat!M30=1),(VLOOKUP(M$1,test!$A$3:$I$32,8,FALSE))-(VLOOKUP($A30,test!$A$3:$I$32,9,FALSE)),0)</f>
        <v>0</v>
      </c>
      <c r="N30">
        <f>IF(AND(SUM(VLOOKUP($A30,test!$A$3:$F$32,2,FALSE),VLOOKUP(N$1,test!$A$3:$F$32,2,FALSE))&lt;=test!$K$16,$A30&lt;&gt;N$1,feasible_mat!N30=1),(VLOOKUP(N$1,test!$A$3:$I$32,8,FALSE))-(VLOOKUP($A30,test!$A$3:$I$32,9,FALSE)),0)</f>
        <v>0</v>
      </c>
      <c r="O30">
        <f>IF(AND(SUM(VLOOKUP($A30,test!$A$3:$F$32,2,FALSE),VLOOKUP(O$1,test!$A$3:$F$32,2,FALSE))&lt;=test!$K$16,$A30&lt;&gt;O$1,feasible_mat!O30=1),(VLOOKUP(O$1,test!$A$3:$I$32,8,FALSE))-(VLOOKUP($A30,test!$A$3:$I$32,9,FALSE)),0)</f>
        <v>0</v>
      </c>
      <c r="P30">
        <f>IF(AND(SUM(VLOOKUP($A30,test!$A$3:$F$32,2,FALSE),VLOOKUP(P$1,test!$A$3:$F$32,2,FALSE))&lt;=test!$K$16,$A30&lt;&gt;P$1,feasible_mat!P30=1),(VLOOKUP(P$1,test!$A$3:$I$32,8,FALSE))-(VLOOKUP($A30,test!$A$3:$I$32,9,FALSE)),0)</f>
        <v>0</v>
      </c>
      <c r="Q30">
        <f>IF(AND(SUM(VLOOKUP($A30,test!$A$3:$F$32,2,FALSE),VLOOKUP(Q$1,test!$A$3:$F$32,2,FALSE))&lt;=test!$K$16,$A30&lt;&gt;Q$1,feasible_mat!Q30=1),(VLOOKUP(Q$1,test!$A$3:$I$32,8,FALSE))-(VLOOKUP($A30,test!$A$3:$I$32,9,FALSE)),0)</f>
        <v>0</v>
      </c>
      <c r="R30">
        <f>IF(AND(SUM(VLOOKUP($A30,test!$A$3:$F$32,2,FALSE),VLOOKUP(R$1,test!$A$3:$F$32,2,FALSE))&lt;=test!$K$16,$A30&lt;&gt;R$1,feasible_mat!R30=1),(VLOOKUP(R$1,test!$A$3:$I$32,8,FALSE))-(VLOOKUP($A30,test!$A$3:$I$32,9,FALSE)),0)</f>
        <v>0</v>
      </c>
      <c r="S30">
        <f>IF(AND(SUM(VLOOKUP($A30,test!$A$3:$F$32,2,FALSE),VLOOKUP(S$1,test!$A$3:$F$32,2,FALSE))&lt;=test!$K$16,$A30&lt;&gt;S$1,feasible_mat!S30=1),(VLOOKUP(S$1,test!$A$3:$I$32,8,FALSE))-(VLOOKUP($A30,test!$A$3:$I$32,9,FALSE)),0)</f>
        <v>0</v>
      </c>
      <c r="T30">
        <f>IF(AND(SUM(VLOOKUP($A30,test!$A$3:$F$32,2,FALSE),VLOOKUP(T$1,test!$A$3:$F$32,2,FALSE))&lt;=test!$K$16,$A30&lt;&gt;T$1,feasible_mat!T30=1),(VLOOKUP(T$1,test!$A$3:$I$32,8,FALSE))-(VLOOKUP($A30,test!$A$3:$I$32,9,FALSE)),0)</f>
        <v>0</v>
      </c>
      <c r="U30">
        <f>IF(AND(SUM(VLOOKUP($A30,test!$A$3:$F$32,2,FALSE),VLOOKUP(U$1,test!$A$3:$F$32,2,FALSE))&lt;=test!$K$16,$A30&lt;&gt;U$1,feasible_mat!U30=1),(VLOOKUP(U$1,test!$A$3:$I$32,8,FALSE))-(VLOOKUP($A30,test!$A$3:$I$32,9,FALSE)),0)</f>
        <v>0</v>
      </c>
      <c r="V30">
        <f>IF(AND(SUM(VLOOKUP($A30,test!$A$3:$F$32,2,FALSE),VLOOKUP(V$1,test!$A$3:$F$32,2,FALSE))&lt;=test!$K$16,$A30&lt;&gt;V$1,feasible_mat!V30=1),(VLOOKUP(V$1,test!$A$3:$I$32,8,FALSE))-(VLOOKUP($A30,test!$A$3:$I$32,9,FALSE)),0)</f>
        <v>0</v>
      </c>
      <c r="W30">
        <f>IF(AND(SUM(VLOOKUP($A30,test!$A$3:$F$32,2,FALSE),VLOOKUP(W$1,test!$A$3:$F$32,2,FALSE))&lt;=test!$K$16,$A30&lt;&gt;W$1,feasible_mat!W30=1),(VLOOKUP(W$1,test!$A$3:$I$32,8,FALSE))-(VLOOKUP($A30,test!$A$3:$I$32,9,FALSE)),0)</f>
        <v>0</v>
      </c>
      <c r="X30">
        <f>IF(AND(SUM(VLOOKUP($A30,test!$A$3:$F$32,2,FALSE),VLOOKUP(X$1,test!$A$3:$F$32,2,FALSE))&lt;=test!$K$16,$A30&lt;&gt;X$1,feasible_mat!X30=1),(VLOOKUP(X$1,test!$A$3:$I$32,8,FALSE))-(VLOOKUP($A30,test!$A$3:$I$32,9,FALSE)),0)</f>
        <v>0</v>
      </c>
      <c r="Y30">
        <f>IF(AND(SUM(VLOOKUP($A30,test!$A$3:$F$32,2,FALSE),VLOOKUP(Y$1,test!$A$3:$F$32,2,FALSE))&lt;=test!$K$16,$A30&lt;&gt;Y$1,feasible_mat!Y30=1),(VLOOKUP(Y$1,test!$A$3:$I$32,8,FALSE))-(VLOOKUP($A30,test!$A$3:$I$32,9,FALSE)),0)</f>
        <v>0</v>
      </c>
      <c r="Z30">
        <f>IF(AND(SUM(VLOOKUP($A30,test!$A$3:$F$32,2,FALSE),VLOOKUP(Z$1,test!$A$3:$F$32,2,FALSE))&lt;=test!$K$16,$A30&lt;&gt;Z$1,feasible_mat!Z30=1),(VLOOKUP(Z$1,test!$A$3:$I$32,8,FALSE))-(VLOOKUP($A30,test!$A$3:$I$32,9,FALSE)),0)</f>
        <v>0</v>
      </c>
      <c r="AA30">
        <f>IF(AND(SUM(VLOOKUP($A30,test!$A$3:$F$32,2,FALSE),VLOOKUP(AA$1,test!$A$3:$F$32,2,FALSE))&lt;=test!$K$16,$A30&lt;&gt;AA$1,feasible_mat!AA30=1),(VLOOKUP(AA$1,test!$A$3:$I$32,8,FALSE))-(VLOOKUP($A30,test!$A$3:$I$32,9,FALSE)),0)</f>
        <v>0</v>
      </c>
      <c r="AB30">
        <f>IF(AND(SUM(VLOOKUP($A30,test!$A$3:$F$32,2,FALSE),VLOOKUP(AB$1,test!$A$3:$F$32,2,FALSE))&lt;=test!$K$16,$A30&lt;&gt;AB$1,feasible_mat!AB30=1),(VLOOKUP(AB$1,test!$A$3:$I$32,8,FALSE))-(VLOOKUP($A30,test!$A$3:$I$32,9,FALSE)),0)</f>
        <v>0</v>
      </c>
      <c r="AC30">
        <f>IF(AND(SUM(VLOOKUP($A30,test!$A$3:$F$32,2,FALSE),VLOOKUP(AC$1,test!$A$3:$F$32,2,FALSE))&lt;=test!$K$16,$A30&lt;&gt;AC$1,feasible_mat!AC30=1),(VLOOKUP(AC$1,test!$A$3:$I$32,8,FALSE))-(VLOOKUP($A30,test!$A$3:$I$32,9,FALSE)),0)</f>
        <v>0</v>
      </c>
      <c r="AD30">
        <f>IF(AND(SUM(VLOOKUP($A30,test!$A$3:$F$32,2,FALSE),VLOOKUP(AD$1,test!$A$3:$F$32,2,FALSE))&lt;=test!$K$16,$A30&lt;&gt;AD$1,feasible_mat!AD30=1),(VLOOKUP(AD$1,test!$A$3:$I$32,8,FALSE))-(VLOOKUP($A30,test!$A$3:$I$32,9,FALSE)),0)</f>
        <v>0</v>
      </c>
      <c r="AE30">
        <f>IF(AND(SUM(VLOOKUP($A30,test!$A$3:$F$32,2,FALSE),VLOOKUP(AE$1,test!$A$3:$F$32,2,FALSE))&lt;=test!$K$16,$A30&lt;&gt;AE$1,feasible_mat!AE30=1),(VLOOKUP(AE$1,test!$A$3:$I$32,8,FALSE))-(VLOOKUP($A30,test!$A$3:$I$32,9,FALSE)),0)</f>
        <v>0</v>
      </c>
      <c r="AF30">
        <f>IF(AND(SUM(VLOOKUP($A30,test!$A$3:$F$32,2,FALSE),VLOOKUP(AF$1,test!$A$3:$F$32,2,FALSE))&lt;=test!$K$16,$A30&lt;&gt;AF$1,feasible_mat!AF30=1),(VLOOKUP(AF$1,test!$A$3:$I$32,8,FALSE))-(VLOOKUP($A30,test!$A$3:$I$32,9,FALSE)),0)</f>
        <v>0</v>
      </c>
    </row>
    <row r="31" spans="1:36" x14ac:dyDescent="0.25">
      <c r="A31" t="s">
        <v>40</v>
      </c>
      <c r="B31">
        <v>0</v>
      </c>
      <c r="C31">
        <f>IF(AND(SUM(VLOOKUP($A31,test!$A$3:$F$32,2,FALSE),VLOOKUP(C$1,test!$A$3:$F$32,2,FALSE))&lt;=test!$K$16,$A31&lt;&gt;C$1,feasible_mat!C31=1),(VLOOKUP(C$1,test!$A$3:$I$32,8,FALSE))-(VLOOKUP($A31,test!$A$3:$I$32,9,FALSE)),0)</f>
        <v>0</v>
      </c>
      <c r="D31">
        <f>IF(AND(SUM(VLOOKUP($A31,test!$A$3:$F$32,2,FALSE),VLOOKUP(D$1,test!$A$3:$F$32,2,FALSE))&lt;=test!$K$16,$A31&lt;&gt;D$1,feasible_mat!D31=1),(VLOOKUP(D$1,test!$A$3:$I$32,8,FALSE))-(VLOOKUP($A31,test!$A$3:$I$32,9,FALSE)),0)</f>
        <v>0</v>
      </c>
      <c r="E31">
        <f>IF(AND(SUM(VLOOKUP($A31,test!$A$3:$F$32,2,FALSE),VLOOKUP(E$1,test!$A$3:$F$32,2,FALSE))&lt;=test!$K$16,$A31&lt;&gt;E$1,feasible_mat!E31=1),(VLOOKUP(E$1,test!$A$3:$I$32,8,FALSE))-(VLOOKUP($A31,test!$A$3:$I$32,9,FALSE)),0)</f>
        <v>0</v>
      </c>
      <c r="F31">
        <f>IF(AND(SUM(VLOOKUP($A31,test!$A$3:$F$32,2,FALSE),VLOOKUP(F$1,test!$A$3:$F$32,2,FALSE))&lt;=test!$K$16,$A31&lt;&gt;F$1,feasible_mat!F31=1),(VLOOKUP(F$1,test!$A$3:$I$32,8,FALSE))-(VLOOKUP($A31,test!$A$3:$I$32,9,FALSE)),0)</f>
        <v>0</v>
      </c>
      <c r="G31">
        <f>IF(AND(SUM(VLOOKUP($A31,test!$A$3:$F$32,2,FALSE),VLOOKUP(G$1,test!$A$3:$F$32,2,FALSE))&lt;=test!$K$16,$A31&lt;&gt;G$1,feasible_mat!G31=1),(VLOOKUP(G$1,test!$A$3:$I$32,8,FALSE))-(VLOOKUP($A31,test!$A$3:$I$32,9,FALSE)),0)</f>
        <v>0</v>
      </c>
      <c r="H31">
        <f>IF(AND(SUM(VLOOKUP($A31,test!$A$3:$F$32,2,FALSE),VLOOKUP(H$1,test!$A$3:$F$32,2,FALSE))&lt;=test!$K$16,$A31&lt;&gt;H$1,feasible_mat!H31=1),(VLOOKUP(H$1,test!$A$3:$I$32,8,FALSE))-(VLOOKUP($A31,test!$A$3:$I$32,9,FALSE)),0)</f>
        <v>0</v>
      </c>
      <c r="I31">
        <f>IF(AND(SUM(VLOOKUP($A31,test!$A$3:$F$32,2,FALSE),VLOOKUP(I$1,test!$A$3:$F$32,2,FALSE))&lt;=test!$K$16,$A31&lt;&gt;I$1,feasible_mat!I31=1),(VLOOKUP(I$1,test!$A$3:$I$32,8,FALSE))-(VLOOKUP($A31,test!$A$3:$I$32,9,FALSE)),0)</f>
        <v>30</v>
      </c>
      <c r="J31">
        <f>IF(AND(SUM(VLOOKUP($A31,test!$A$3:$F$32,2,FALSE),VLOOKUP(J$1,test!$A$3:$F$32,2,FALSE))&lt;=test!$K$16,$A31&lt;&gt;J$1,feasible_mat!J31=1),(VLOOKUP(J$1,test!$A$3:$I$32,8,FALSE))-(VLOOKUP($A31,test!$A$3:$I$32,9,FALSE)),0)</f>
        <v>120</v>
      </c>
      <c r="K31">
        <f>IF(AND(SUM(VLOOKUP($A31,test!$A$3:$F$32,2,FALSE),VLOOKUP(K$1,test!$A$3:$F$32,2,FALSE))&lt;=test!$K$16,$A31&lt;&gt;K$1,feasible_mat!K31=1),(VLOOKUP(K$1,test!$A$3:$I$32,8,FALSE))-(VLOOKUP($A31,test!$A$3:$I$32,9,FALSE)),0)</f>
        <v>0</v>
      </c>
      <c r="L31">
        <f>IF(AND(SUM(VLOOKUP($A31,test!$A$3:$F$32,2,FALSE),VLOOKUP(L$1,test!$A$3:$F$32,2,FALSE))&lt;=test!$K$16,$A31&lt;&gt;L$1,feasible_mat!L31=1),(VLOOKUP(L$1,test!$A$3:$I$32,8,FALSE))-(VLOOKUP($A31,test!$A$3:$I$32,9,FALSE)),0)</f>
        <v>0</v>
      </c>
      <c r="M31">
        <f>IF(AND(SUM(VLOOKUP($A31,test!$A$3:$F$32,2,FALSE),VLOOKUP(M$1,test!$A$3:$F$32,2,FALSE))&lt;=test!$K$16,$A31&lt;&gt;M$1,feasible_mat!M31=1),(VLOOKUP(M$1,test!$A$3:$I$32,8,FALSE))-(VLOOKUP($A31,test!$A$3:$I$32,9,FALSE)),0)</f>
        <v>0</v>
      </c>
      <c r="N31">
        <f>IF(AND(SUM(VLOOKUP($A31,test!$A$3:$F$32,2,FALSE),VLOOKUP(N$1,test!$A$3:$F$32,2,FALSE))&lt;=test!$K$16,$A31&lt;&gt;N$1,feasible_mat!N31=1),(VLOOKUP(N$1,test!$A$3:$I$32,8,FALSE))-(VLOOKUP($A31,test!$A$3:$I$32,9,FALSE)),0)</f>
        <v>85</v>
      </c>
      <c r="O31">
        <f>IF(AND(SUM(VLOOKUP($A31,test!$A$3:$F$32,2,FALSE),VLOOKUP(O$1,test!$A$3:$F$32,2,FALSE))&lt;=test!$K$16,$A31&lt;&gt;O$1,feasible_mat!O31=1),(VLOOKUP(O$1,test!$A$3:$I$32,8,FALSE))-(VLOOKUP($A31,test!$A$3:$I$32,9,FALSE)),0)</f>
        <v>145</v>
      </c>
      <c r="P31">
        <f>IF(AND(SUM(VLOOKUP($A31,test!$A$3:$F$32,2,FALSE),VLOOKUP(P$1,test!$A$3:$F$32,2,FALSE))&lt;=test!$K$16,$A31&lt;&gt;P$1,feasible_mat!P31=1),(VLOOKUP(P$1,test!$A$3:$I$32,8,FALSE))-(VLOOKUP($A31,test!$A$3:$I$32,9,FALSE)),0)</f>
        <v>0</v>
      </c>
      <c r="Q31">
        <f>IF(AND(SUM(VLOOKUP($A31,test!$A$3:$F$32,2,FALSE),VLOOKUP(Q$1,test!$A$3:$F$32,2,FALSE))&lt;=test!$K$16,$A31&lt;&gt;Q$1,feasible_mat!Q31=1),(VLOOKUP(Q$1,test!$A$3:$I$32,8,FALSE))-(VLOOKUP($A31,test!$A$3:$I$32,9,FALSE)),0)</f>
        <v>0</v>
      </c>
      <c r="R31">
        <f>IF(AND(SUM(VLOOKUP($A31,test!$A$3:$F$32,2,FALSE),VLOOKUP(R$1,test!$A$3:$F$32,2,FALSE))&lt;=test!$K$16,$A31&lt;&gt;R$1,feasible_mat!R31=1),(VLOOKUP(R$1,test!$A$3:$I$32,8,FALSE))-(VLOOKUP($A31,test!$A$3:$I$32,9,FALSE)),0)</f>
        <v>0</v>
      </c>
      <c r="S31">
        <f>IF(AND(SUM(VLOOKUP($A31,test!$A$3:$F$32,2,FALSE),VLOOKUP(S$1,test!$A$3:$F$32,2,FALSE))&lt;=test!$K$16,$A31&lt;&gt;S$1,feasible_mat!S31=1),(VLOOKUP(S$1,test!$A$3:$I$32,8,FALSE))-(VLOOKUP($A31,test!$A$3:$I$32,9,FALSE)),0)</f>
        <v>0</v>
      </c>
      <c r="T31">
        <f>IF(AND(SUM(VLOOKUP($A31,test!$A$3:$F$32,2,FALSE),VLOOKUP(T$1,test!$A$3:$F$32,2,FALSE))&lt;=test!$K$16,$A31&lt;&gt;T$1,feasible_mat!T31=1),(VLOOKUP(T$1,test!$A$3:$I$32,8,FALSE))-(VLOOKUP($A31,test!$A$3:$I$32,9,FALSE)),0)</f>
        <v>0</v>
      </c>
      <c r="U31">
        <f>IF(AND(SUM(VLOOKUP($A31,test!$A$3:$F$32,2,FALSE),VLOOKUP(U$1,test!$A$3:$F$32,2,FALSE))&lt;=test!$K$16,$A31&lt;&gt;U$1,feasible_mat!U31=1),(VLOOKUP(U$1,test!$A$3:$I$32,8,FALSE))-(VLOOKUP($A31,test!$A$3:$I$32,9,FALSE)),0)</f>
        <v>0</v>
      </c>
      <c r="V31">
        <f>IF(AND(SUM(VLOOKUP($A31,test!$A$3:$F$32,2,FALSE),VLOOKUP(V$1,test!$A$3:$F$32,2,FALSE))&lt;=test!$K$16,$A31&lt;&gt;V$1,feasible_mat!V31=1),(VLOOKUP(V$1,test!$A$3:$I$32,8,FALSE))-(VLOOKUP($A31,test!$A$3:$I$32,9,FALSE)),0)</f>
        <v>0</v>
      </c>
      <c r="W31">
        <f>IF(AND(SUM(VLOOKUP($A31,test!$A$3:$F$32,2,FALSE),VLOOKUP(W$1,test!$A$3:$F$32,2,FALSE))&lt;=test!$K$16,$A31&lt;&gt;W$1,feasible_mat!W31=1),(VLOOKUP(W$1,test!$A$3:$I$32,8,FALSE))-(VLOOKUP($A31,test!$A$3:$I$32,9,FALSE)),0)</f>
        <v>0</v>
      </c>
      <c r="X31">
        <f>IF(AND(SUM(VLOOKUP($A31,test!$A$3:$F$32,2,FALSE),VLOOKUP(X$1,test!$A$3:$F$32,2,FALSE))&lt;=test!$K$16,$A31&lt;&gt;X$1,feasible_mat!X31=1),(VLOOKUP(X$1,test!$A$3:$I$32,8,FALSE))-(VLOOKUP($A31,test!$A$3:$I$32,9,FALSE)),0)</f>
        <v>70</v>
      </c>
      <c r="Y31">
        <f>IF(AND(SUM(VLOOKUP($A31,test!$A$3:$F$32,2,FALSE),VLOOKUP(Y$1,test!$A$3:$F$32,2,FALSE))&lt;=test!$K$16,$A31&lt;&gt;Y$1,feasible_mat!Y31=1),(VLOOKUP(Y$1,test!$A$3:$I$32,8,FALSE))-(VLOOKUP($A31,test!$A$3:$I$32,9,FALSE)),0)</f>
        <v>0</v>
      </c>
      <c r="Z31">
        <f>IF(AND(SUM(VLOOKUP($A31,test!$A$3:$F$32,2,FALSE),VLOOKUP(Z$1,test!$A$3:$F$32,2,FALSE))&lt;=test!$K$16,$A31&lt;&gt;Z$1,feasible_mat!Z31=1),(VLOOKUP(Z$1,test!$A$3:$I$32,8,FALSE))-(VLOOKUP($A31,test!$A$3:$I$32,9,FALSE)),0)</f>
        <v>0</v>
      </c>
      <c r="AA31">
        <f>IF(AND(SUM(VLOOKUP($A31,test!$A$3:$F$32,2,FALSE),VLOOKUP(AA$1,test!$A$3:$F$32,2,FALSE))&lt;=test!$K$16,$A31&lt;&gt;AA$1,feasible_mat!AA31=1),(VLOOKUP(AA$1,test!$A$3:$I$32,8,FALSE))-(VLOOKUP($A31,test!$A$3:$I$32,9,FALSE)),0)</f>
        <v>0</v>
      </c>
      <c r="AB31">
        <f>IF(AND(SUM(VLOOKUP($A31,test!$A$3:$F$32,2,FALSE),VLOOKUP(AB$1,test!$A$3:$F$32,2,FALSE))&lt;=test!$K$16,$A31&lt;&gt;AB$1,feasible_mat!AB31=1),(VLOOKUP(AB$1,test!$A$3:$I$32,8,FALSE))-(VLOOKUP($A31,test!$A$3:$I$32,9,FALSE)),0)</f>
        <v>0</v>
      </c>
      <c r="AC31">
        <f>IF(AND(SUM(VLOOKUP($A31,test!$A$3:$F$32,2,FALSE),VLOOKUP(AC$1,test!$A$3:$F$32,2,FALSE))&lt;=test!$K$16,$A31&lt;&gt;AC$1,feasible_mat!AC31=1),(VLOOKUP(AC$1,test!$A$3:$I$32,8,FALSE))-(VLOOKUP($A31,test!$A$3:$I$32,9,FALSE)),0)</f>
        <v>0</v>
      </c>
      <c r="AD31">
        <f>IF(AND(SUM(VLOOKUP($A31,test!$A$3:$F$32,2,FALSE),VLOOKUP(AD$1,test!$A$3:$F$32,2,FALSE))&lt;=test!$K$16,$A31&lt;&gt;AD$1,feasible_mat!AD31=1),(VLOOKUP(AD$1,test!$A$3:$I$32,8,FALSE))-(VLOOKUP($A31,test!$A$3:$I$32,9,FALSE)),0)</f>
        <v>0</v>
      </c>
      <c r="AE31">
        <f>IF(AND(SUM(VLOOKUP($A31,test!$A$3:$F$32,2,FALSE),VLOOKUP(AE$1,test!$A$3:$F$32,2,FALSE))&lt;=test!$K$16,$A31&lt;&gt;AE$1,feasible_mat!AE31=1),(VLOOKUP(AE$1,test!$A$3:$I$32,8,FALSE))-(VLOOKUP($A31,test!$A$3:$I$32,9,FALSE)),0)</f>
        <v>0</v>
      </c>
      <c r="AF31">
        <f>IF(AND(SUM(VLOOKUP($A31,test!$A$3:$F$32,2,FALSE),VLOOKUP(AF$1,test!$A$3:$F$32,2,FALSE))&lt;=test!$K$16,$A31&lt;&gt;AF$1,feasible_mat!AF31=1),(VLOOKUP(AF$1,test!$A$3:$I$32,8,FALSE))-(VLOOKUP($A31,test!$A$3:$I$32,9,FALSE)),0)</f>
        <v>0</v>
      </c>
    </row>
    <row r="32" spans="1:36" x14ac:dyDescent="0.25">
      <c r="A32" t="s">
        <v>41</v>
      </c>
      <c r="B32">
        <v>0</v>
      </c>
      <c r="C32">
        <f>IF(AND(SUM(VLOOKUP($A32,test!$A$3:$F$32,2,FALSE),VLOOKUP(C$1,test!$A$3:$F$32,2,FALSE))&lt;=test!$K$16,$A32&lt;&gt;C$1,feasible_mat!C32=1),(VLOOKUP(C$1,test!$A$3:$I$32,8,FALSE))-(VLOOKUP($A32,test!$A$3:$I$32,9,FALSE)),0)</f>
        <v>0</v>
      </c>
      <c r="D32">
        <f>IF(AND(SUM(VLOOKUP($A32,test!$A$3:$F$32,2,FALSE),VLOOKUP(D$1,test!$A$3:$F$32,2,FALSE))&lt;=test!$K$16,$A32&lt;&gt;D$1,feasible_mat!D32=1),(VLOOKUP(D$1,test!$A$3:$I$32,8,FALSE))-(VLOOKUP($A32,test!$A$3:$I$32,9,FALSE)),0)</f>
        <v>0</v>
      </c>
      <c r="E32">
        <f>IF(AND(SUM(VLOOKUP($A32,test!$A$3:$F$32,2,FALSE),VLOOKUP(E$1,test!$A$3:$F$32,2,FALSE))&lt;=test!$K$16,$A32&lt;&gt;E$1,feasible_mat!E32=1),(VLOOKUP(E$1,test!$A$3:$I$32,8,FALSE))-(VLOOKUP($A32,test!$A$3:$I$32,9,FALSE)),0)</f>
        <v>0</v>
      </c>
      <c r="F32">
        <f>IF(AND(SUM(VLOOKUP($A32,test!$A$3:$F$32,2,FALSE),VLOOKUP(F$1,test!$A$3:$F$32,2,FALSE))&lt;=test!$K$16,$A32&lt;&gt;F$1,feasible_mat!F32=1),(VLOOKUP(F$1,test!$A$3:$I$32,8,FALSE))-(VLOOKUP($A32,test!$A$3:$I$32,9,FALSE)),0)</f>
        <v>0</v>
      </c>
      <c r="G32">
        <f>IF(AND(SUM(VLOOKUP($A32,test!$A$3:$F$32,2,FALSE),VLOOKUP(G$1,test!$A$3:$F$32,2,FALSE))&lt;=test!$K$16,$A32&lt;&gt;G$1,feasible_mat!G32=1),(VLOOKUP(G$1,test!$A$3:$I$32,8,FALSE))-(VLOOKUP($A32,test!$A$3:$I$32,9,FALSE)),0)</f>
        <v>0</v>
      </c>
      <c r="H32">
        <f>IF(AND(SUM(VLOOKUP($A32,test!$A$3:$F$32,2,FALSE),VLOOKUP(H$1,test!$A$3:$F$32,2,FALSE))&lt;=test!$K$16,$A32&lt;&gt;H$1,feasible_mat!H32=1),(VLOOKUP(H$1,test!$A$3:$I$32,8,FALSE))-(VLOOKUP($A32,test!$A$3:$I$32,9,FALSE)),0)</f>
        <v>0</v>
      </c>
      <c r="I32">
        <f>IF(AND(SUM(VLOOKUP($A32,test!$A$3:$F$32,2,FALSE),VLOOKUP(I$1,test!$A$3:$F$32,2,FALSE))&lt;=test!$K$16,$A32&lt;&gt;I$1,feasible_mat!I32=1),(VLOOKUP(I$1,test!$A$3:$I$32,8,FALSE))-(VLOOKUP($A32,test!$A$3:$I$32,9,FALSE)),0)</f>
        <v>0</v>
      </c>
      <c r="J32">
        <f>IF(AND(SUM(VLOOKUP($A32,test!$A$3:$F$32,2,FALSE),VLOOKUP(J$1,test!$A$3:$F$32,2,FALSE))&lt;=test!$K$16,$A32&lt;&gt;J$1,feasible_mat!J32=1),(VLOOKUP(J$1,test!$A$3:$I$32,8,FALSE))-(VLOOKUP($A32,test!$A$3:$I$32,9,FALSE)),0)</f>
        <v>0</v>
      </c>
      <c r="K32">
        <f>IF(AND(SUM(VLOOKUP($A32,test!$A$3:$F$32,2,FALSE),VLOOKUP(K$1,test!$A$3:$F$32,2,FALSE))&lt;=test!$K$16,$A32&lt;&gt;K$1,feasible_mat!K32=1),(VLOOKUP(K$1,test!$A$3:$I$32,8,FALSE))-(VLOOKUP($A32,test!$A$3:$I$32,9,FALSE)),0)</f>
        <v>0</v>
      </c>
      <c r="L32">
        <f>IF(AND(SUM(VLOOKUP($A32,test!$A$3:$F$32,2,FALSE),VLOOKUP(L$1,test!$A$3:$F$32,2,FALSE))&lt;=test!$K$16,$A32&lt;&gt;L$1,feasible_mat!L32=1),(VLOOKUP(L$1,test!$A$3:$I$32,8,FALSE))-(VLOOKUP($A32,test!$A$3:$I$32,9,FALSE)),0)</f>
        <v>0</v>
      </c>
      <c r="M32">
        <f>IF(AND(SUM(VLOOKUP($A32,test!$A$3:$F$32,2,FALSE),VLOOKUP(M$1,test!$A$3:$F$32,2,FALSE))&lt;=test!$K$16,$A32&lt;&gt;M$1,feasible_mat!M32=1),(VLOOKUP(M$1,test!$A$3:$I$32,8,FALSE))-(VLOOKUP($A32,test!$A$3:$I$32,9,FALSE)),0)</f>
        <v>0</v>
      </c>
      <c r="N32">
        <f>IF(AND(SUM(VLOOKUP($A32,test!$A$3:$F$32,2,FALSE),VLOOKUP(N$1,test!$A$3:$F$32,2,FALSE))&lt;=test!$K$16,$A32&lt;&gt;N$1,feasible_mat!N32=1),(VLOOKUP(N$1,test!$A$3:$I$32,8,FALSE))-(VLOOKUP($A32,test!$A$3:$I$32,9,FALSE)),0)</f>
        <v>0</v>
      </c>
      <c r="O32">
        <f>IF(AND(SUM(VLOOKUP($A32,test!$A$3:$F$32,2,FALSE),VLOOKUP(O$1,test!$A$3:$F$32,2,FALSE))&lt;=test!$K$16,$A32&lt;&gt;O$1,feasible_mat!O32=1),(VLOOKUP(O$1,test!$A$3:$I$32,8,FALSE))-(VLOOKUP($A32,test!$A$3:$I$32,9,FALSE)),0)</f>
        <v>0</v>
      </c>
      <c r="P32">
        <f>IF(AND(SUM(VLOOKUP($A32,test!$A$3:$F$32,2,FALSE),VLOOKUP(P$1,test!$A$3:$F$32,2,FALSE))&lt;=test!$K$16,$A32&lt;&gt;P$1,feasible_mat!P32=1),(VLOOKUP(P$1,test!$A$3:$I$32,8,FALSE))-(VLOOKUP($A32,test!$A$3:$I$32,9,FALSE)),0)</f>
        <v>0</v>
      </c>
      <c r="Q32">
        <f>IF(AND(SUM(VLOOKUP($A32,test!$A$3:$F$32,2,FALSE),VLOOKUP(Q$1,test!$A$3:$F$32,2,FALSE))&lt;=test!$K$16,$A32&lt;&gt;Q$1,feasible_mat!Q32=1),(VLOOKUP(Q$1,test!$A$3:$I$32,8,FALSE))-(VLOOKUP($A32,test!$A$3:$I$32,9,FALSE)),0)</f>
        <v>0</v>
      </c>
      <c r="R32">
        <f>IF(AND(SUM(VLOOKUP($A32,test!$A$3:$F$32,2,FALSE),VLOOKUP(R$1,test!$A$3:$F$32,2,FALSE))&lt;=test!$K$16,$A32&lt;&gt;R$1,feasible_mat!R32=1),(VLOOKUP(R$1,test!$A$3:$I$32,8,FALSE))-(VLOOKUP($A32,test!$A$3:$I$32,9,FALSE)),0)</f>
        <v>0</v>
      </c>
      <c r="S32">
        <f>IF(AND(SUM(VLOOKUP($A32,test!$A$3:$F$32,2,FALSE),VLOOKUP(S$1,test!$A$3:$F$32,2,FALSE))&lt;=test!$K$16,$A32&lt;&gt;S$1,feasible_mat!S32=1),(VLOOKUP(S$1,test!$A$3:$I$32,8,FALSE))-(VLOOKUP($A32,test!$A$3:$I$32,9,FALSE)),0)</f>
        <v>0</v>
      </c>
      <c r="T32">
        <f>IF(AND(SUM(VLOOKUP($A32,test!$A$3:$F$32,2,FALSE),VLOOKUP(T$1,test!$A$3:$F$32,2,FALSE))&lt;=test!$K$16,$A32&lt;&gt;T$1,feasible_mat!T32=1),(VLOOKUP(T$1,test!$A$3:$I$32,8,FALSE))-(VLOOKUP($A32,test!$A$3:$I$32,9,FALSE)),0)</f>
        <v>0</v>
      </c>
      <c r="U32">
        <f>IF(AND(SUM(VLOOKUP($A32,test!$A$3:$F$32,2,FALSE),VLOOKUP(U$1,test!$A$3:$F$32,2,FALSE))&lt;=test!$K$16,$A32&lt;&gt;U$1,feasible_mat!U32=1),(VLOOKUP(U$1,test!$A$3:$I$32,8,FALSE))-(VLOOKUP($A32,test!$A$3:$I$32,9,FALSE)),0)</f>
        <v>0</v>
      </c>
      <c r="V32">
        <f>IF(AND(SUM(VLOOKUP($A32,test!$A$3:$F$32,2,FALSE),VLOOKUP(V$1,test!$A$3:$F$32,2,FALSE))&lt;=test!$K$16,$A32&lt;&gt;V$1,feasible_mat!V32=1),(VLOOKUP(V$1,test!$A$3:$I$32,8,FALSE))-(VLOOKUP($A32,test!$A$3:$I$32,9,FALSE)),0)</f>
        <v>0</v>
      </c>
      <c r="W32">
        <f>IF(AND(SUM(VLOOKUP($A32,test!$A$3:$F$32,2,FALSE),VLOOKUP(W$1,test!$A$3:$F$32,2,FALSE))&lt;=test!$K$16,$A32&lt;&gt;W$1,feasible_mat!W32=1),(VLOOKUP(W$1,test!$A$3:$I$32,8,FALSE))-(VLOOKUP($A32,test!$A$3:$I$32,9,FALSE)),0)</f>
        <v>0</v>
      </c>
      <c r="X32">
        <f>IF(AND(SUM(VLOOKUP($A32,test!$A$3:$F$32,2,FALSE),VLOOKUP(X$1,test!$A$3:$F$32,2,FALSE))&lt;=test!$K$16,$A32&lt;&gt;X$1,feasible_mat!X32=1),(VLOOKUP(X$1,test!$A$3:$I$32,8,FALSE))-(VLOOKUP($A32,test!$A$3:$I$32,9,FALSE)),0)</f>
        <v>0</v>
      </c>
      <c r="Y32">
        <f>IF(AND(SUM(VLOOKUP($A32,test!$A$3:$F$32,2,FALSE),VLOOKUP(Y$1,test!$A$3:$F$32,2,FALSE))&lt;=test!$K$16,$A32&lt;&gt;Y$1,feasible_mat!Y32=1),(VLOOKUP(Y$1,test!$A$3:$I$32,8,FALSE))-(VLOOKUP($A32,test!$A$3:$I$32,9,FALSE)),0)</f>
        <v>0</v>
      </c>
      <c r="Z32">
        <f>IF(AND(SUM(VLOOKUP($A32,test!$A$3:$F$32,2,FALSE),VLOOKUP(Z$1,test!$A$3:$F$32,2,FALSE))&lt;=test!$K$16,$A32&lt;&gt;Z$1,feasible_mat!Z32=1),(VLOOKUP(Z$1,test!$A$3:$I$32,8,FALSE))-(VLOOKUP($A32,test!$A$3:$I$32,9,FALSE)),0)</f>
        <v>0</v>
      </c>
      <c r="AA32">
        <f>IF(AND(SUM(VLOOKUP($A32,test!$A$3:$F$32,2,FALSE),VLOOKUP(AA$1,test!$A$3:$F$32,2,FALSE))&lt;=test!$K$16,$A32&lt;&gt;AA$1,feasible_mat!AA32=1),(VLOOKUP(AA$1,test!$A$3:$I$32,8,FALSE))-(VLOOKUP($A32,test!$A$3:$I$32,9,FALSE)),0)</f>
        <v>0</v>
      </c>
      <c r="AB32">
        <f>IF(AND(SUM(VLOOKUP($A32,test!$A$3:$F$32,2,FALSE),VLOOKUP(AB$1,test!$A$3:$F$32,2,FALSE))&lt;=test!$K$16,$A32&lt;&gt;AB$1,feasible_mat!AB32=1),(VLOOKUP(AB$1,test!$A$3:$I$32,8,FALSE))-(VLOOKUP($A32,test!$A$3:$I$32,9,FALSE)),0)</f>
        <v>0</v>
      </c>
      <c r="AC32">
        <f>IF(AND(SUM(VLOOKUP($A32,test!$A$3:$F$32,2,FALSE),VLOOKUP(AC$1,test!$A$3:$F$32,2,FALSE))&lt;=test!$K$16,$A32&lt;&gt;AC$1,feasible_mat!AC32=1),(VLOOKUP(AC$1,test!$A$3:$I$32,8,FALSE))-(VLOOKUP($A32,test!$A$3:$I$32,9,FALSE)),0)</f>
        <v>0</v>
      </c>
      <c r="AD32">
        <f>IF(AND(SUM(VLOOKUP($A32,test!$A$3:$F$32,2,FALSE),VLOOKUP(AD$1,test!$A$3:$F$32,2,FALSE))&lt;=test!$K$16,$A32&lt;&gt;AD$1,feasible_mat!AD32=1),(VLOOKUP(AD$1,test!$A$3:$I$32,8,FALSE))-(VLOOKUP($A32,test!$A$3:$I$32,9,FALSE)),0)</f>
        <v>0</v>
      </c>
      <c r="AE32">
        <f>IF(AND(SUM(VLOOKUP($A32,test!$A$3:$F$32,2,FALSE),VLOOKUP(AE$1,test!$A$3:$F$32,2,FALSE))&lt;=test!$K$16,$A32&lt;&gt;AE$1,feasible_mat!AE32=1),(VLOOKUP(AE$1,test!$A$3:$I$32,8,FALSE))-(VLOOKUP($A32,test!$A$3:$I$32,9,FALSE)),0)</f>
        <v>0</v>
      </c>
      <c r="AF32">
        <f>IF(AND(SUM(VLOOKUP($A32,test!$A$3:$F$32,2,FALSE),VLOOKUP(AF$1,test!$A$3:$F$32,2,FALSE))&lt;=test!$K$16,$A32&lt;&gt;AF$1,feasible_mat!AF32=1),(VLOOKUP(AF$1,test!$A$3:$I$32,8,FALSE))-(VLOOKUP($A32,test!$A$3:$I$32,9,FALSE)),0)</f>
        <v>0</v>
      </c>
    </row>
    <row r="33" spans="1:34" x14ac:dyDescent="0.25">
      <c r="A33" t="s">
        <v>46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4" x14ac:dyDescent="0.25">
      <c r="A34" t="s">
        <v>6</v>
      </c>
      <c r="B34">
        <v>0</v>
      </c>
      <c r="C34">
        <f>IF(AND(SUM(VLOOKUP($A34,test!$A$3:$F$32,2,FALSE),VLOOKUP(C$1,test!$A$3:$F$32,2,FALSE))&lt;test!$K$16,$A34&lt;&gt;C$1,Recharged_Feasible_mat!D3),(VLOOKUP(C$1,test!$A$3:$I$32,8,FALSE))-(VLOOKUP($A34,test!$A$3:$I$32,9,FALSE))+(test!$B$33-50),0)</f>
        <v>0</v>
      </c>
      <c r="D34">
        <f>IF(AND(SUM(VLOOKUP($A34,test!$A$3:$F$32,2,FALSE),VLOOKUP(D$1,test!$A$3:$F$32,2,FALSE))&lt;test!$K$16,$A34&lt;&gt;D$1,Recharged_Feasible_mat!E3),(VLOOKUP(D$1,test!$A$3:$I$32,8,FALSE))-(VLOOKUP($A34,test!$A$3:$I$32,9,FALSE))+(test!$B$33-50),0)</f>
        <v>0</v>
      </c>
      <c r="E34">
        <f>IF(AND(SUM(VLOOKUP($A34,test!$A$3:$F$32,2,FALSE),VLOOKUP(E$1,test!$A$3:$F$32,2,FALSE))&lt;test!$K$16,$A34&lt;&gt;E$1,Recharged_Feasible_mat!F3),(VLOOKUP(E$1,test!$A$3:$I$32,8,FALSE))-(VLOOKUP($A34,test!$A$3:$I$32,9,FALSE))+(test!$B$33-50),0)</f>
        <v>135</v>
      </c>
      <c r="F34">
        <f>IF(AND(SUM(VLOOKUP($A34,test!$A$3:$F$32,2,FALSE),VLOOKUP(F$1,test!$A$3:$F$32,2,FALSE))&lt;test!$K$16,$A34&lt;&gt;F$1,Recharged_Feasible_mat!G3),(VLOOKUP(F$1,test!$A$3:$I$32,8,FALSE))-(VLOOKUP($A34,test!$A$3:$I$32,9,FALSE))+(test!$B$33-50),0)</f>
        <v>225</v>
      </c>
      <c r="G34">
        <f>IF(AND(SUM(VLOOKUP($A34,test!$A$3:$F$32,2,FALSE),VLOOKUP(G$1,test!$A$3:$F$32,2,FALSE))&lt;test!$K$16,$A34&lt;&gt;G$1,Recharged_Feasible_mat!H3),(VLOOKUP(G$1,test!$A$3:$I$32,8,FALSE))-(VLOOKUP($A34,test!$A$3:$I$32,9,FALSE))+(test!$B$33-50),0)</f>
        <v>285</v>
      </c>
      <c r="H34">
        <f>IF(AND(SUM(VLOOKUP($A34,test!$A$3:$F$32,2,FALSE),VLOOKUP(H$1,test!$A$3:$F$32,2,FALSE))&lt;test!$K$16,$A34&lt;&gt;H$1,Recharged_Feasible_mat!I3),(VLOOKUP(H$1,test!$A$3:$I$32,8,FALSE))-(VLOOKUP($A34,test!$A$3:$I$32,9,FALSE))+(test!$B$33-50),0)</f>
        <v>345</v>
      </c>
      <c r="I34">
        <f>IF(AND(SUM(VLOOKUP($A34,test!$A$3:$F$32,2,FALSE),VLOOKUP(I$1,test!$A$3:$F$32,2,FALSE))&lt;test!$K$16,$A34&lt;&gt;I$1,Recharged_Feasible_mat!J3),(VLOOKUP(I$1,test!$A$3:$I$32,8,FALSE))-(VLOOKUP($A34,test!$A$3:$I$32,9,FALSE))+(test!$B$33-50),0)</f>
        <v>405</v>
      </c>
      <c r="J34">
        <f>IF(AND(SUM(VLOOKUP($A34,test!$A$3:$F$32,2,FALSE),VLOOKUP(J$1,test!$A$3:$F$32,2,FALSE))&lt;test!$K$16,$A34&lt;&gt;J$1,Recharged_Feasible_mat!K3),(VLOOKUP(J$1,test!$A$3:$I$32,8,FALSE))-(VLOOKUP($A34,test!$A$3:$I$32,9,FALSE))+(test!$B$33-50),0)</f>
        <v>495</v>
      </c>
      <c r="K34">
        <f>IF(AND(SUM(VLOOKUP($A34,test!$A$3:$F$32,2,FALSE),VLOOKUP(K$1,test!$A$3:$F$32,2,FALSE))&lt;test!$K$16,$A34&lt;&gt;K$1,Recharged_Feasible_mat!L3),(VLOOKUP(K$1,test!$A$3:$I$32,8,FALSE))-(VLOOKUP($A34,test!$A$3:$I$32,9,FALSE))+(test!$B$33-50),0)</f>
        <v>0</v>
      </c>
      <c r="L34">
        <f>IF(AND(SUM(VLOOKUP($A34,test!$A$3:$F$32,2,FALSE),VLOOKUP(L$1,test!$A$3:$F$32,2,FALSE))&lt;test!$K$16,$A34&lt;&gt;L$1,Recharged_Feasible_mat!M3),(VLOOKUP(L$1,test!$A$3:$I$32,8,FALSE))-(VLOOKUP($A34,test!$A$3:$I$32,9,FALSE))+(test!$B$33-50),0)</f>
        <v>0</v>
      </c>
      <c r="M34">
        <f>IF(AND(SUM(VLOOKUP($A34,test!$A$3:$F$32,2,FALSE),VLOOKUP(M$1,test!$A$3:$F$32,2,FALSE))&lt;test!$K$16,$A34&lt;&gt;M$1,Recharged_Feasible_mat!N3),(VLOOKUP(M$1,test!$A$3:$I$32,8,FALSE))-(VLOOKUP($A34,test!$A$3:$I$32,9,FALSE))+(test!$B$33-50),0)</f>
        <v>100</v>
      </c>
      <c r="N34">
        <f>IF(AND(SUM(VLOOKUP($A34,test!$A$3:$F$32,2,FALSE),VLOOKUP(N$1,test!$A$3:$F$32,2,FALSE))&lt;test!$K$16,$A34&lt;&gt;N$1,Recharged_Feasible_mat!O3),(VLOOKUP(N$1,test!$A$3:$I$32,8,FALSE))-(VLOOKUP($A34,test!$A$3:$I$32,9,FALSE))+(test!$B$33-50),0)</f>
        <v>460</v>
      </c>
      <c r="O34">
        <f>IF(AND(SUM(VLOOKUP($A34,test!$A$3:$F$32,2,FALSE),VLOOKUP(O$1,test!$A$3:$F$32,2,FALSE))&lt;test!$K$16,$A34&lt;&gt;O$1,Recharged_Feasible_mat!P3),(VLOOKUP(O$1,test!$A$3:$I$32,8,FALSE))-(VLOOKUP($A34,test!$A$3:$I$32,9,FALSE))+(test!$B$33-50),0)</f>
        <v>520</v>
      </c>
      <c r="P34">
        <f>IF(AND(SUM(VLOOKUP($A34,test!$A$3:$F$32,2,FALSE),VLOOKUP(P$1,test!$A$3:$F$32,2,FALSE))&lt;test!$K$16,$A34&lt;&gt;P$1,Recharged_Feasible_mat!Q3),(VLOOKUP(P$1,test!$A$3:$I$32,8,FALSE))-(VLOOKUP($A34,test!$A$3:$I$32,9,FALSE))+(test!$B$33-50),0)</f>
        <v>0</v>
      </c>
      <c r="Q34">
        <f>IF(AND(SUM(VLOOKUP($A34,test!$A$3:$F$32,2,FALSE),VLOOKUP(Q$1,test!$A$3:$F$32,2,FALSE))&lt;test!$K$16,$A34&lt;&gt;Q$1,Recharged_Feasible_mat!R3),(VLOOKUP(Q$1,test!$A$3:$I$32,8,FALSE))-(VLOOKUP($A34,test!$A$3:$I$32,9,FALSE))+(test!$B$33-50),0)</f>
        <v>0</v>
      </c>
      <c r="R34">
        <f>IF(AND(SUM(VLOOKUP($A34,test!$A$3:$F$32,2,FALSE),VLOOKUP(R$1,test!$A$3:$F$32,2,FALSE))&lt;test!$K$16,$A34&lt;&gt;R$1,Recharged_Feasible_mat!S3),(VLOOKUP(R$1,test!$A$3:$I$32,8,FALSE))-(VLOOKUP($A34,test!$A$3:$I$32,9,FALSE))+(test!$B$33-50),0)</f>
        <v>0</v>
      </c>
      <c r="S34">
        <f>IF(AND(SUM(VLOOKUP($A34,test!$A$3:$F$32,2,FALSE),VLOOKUP(S$1,test!$A$3:$F$32,2,FALSE))&lt;test!$K$16,$A34&lt;&gt;S$1,Recharged_Feasible_mat!T3),(VLOOKUP(S$1,test!$A$3:$I$32,8,FALSE))-(VLOOKUP($A34,test!$A$3:$I$32,9,FALSE))+(test!$B$33-50),0)</f>
        <v>0</v>
      </c>
      <c r="T34">
        <f>IF(AND(SUM(VLOOKUP($A34,test!$A$3:$F$32,2,FALSE),VLOOKUP(T$1,test!$A$3:$F$32,2,FALSE))&lt;test!$K$16,$A34&lt;&gt;T$1,Recharged_Feasible_mat!U3),(VLOOKUP(T$1,test!$A$3:$I$32,8,FALSE))-(VLOOKUP($A34,test!$A$3:$I$32,9,FALSE))+(test!$B$33-50),0)</f>
        <v>115</v>
      </c>
      <c r="U34">
        <f>IF(AND(SUM(VLOOKUP($A34,test!$A$3:$F$32,2,FALSE),VLOOKUP(U$1,test!$A$3:$F$32,2,FALSE))&lt;test!$K$16,$A34&lt;&gt;U$1,Recharged_Feasible_mat!V3),(VLOOKUP(U$1,test!$A$3:$I$32,8,FALSE))-(VLOOKUP($A34,test!$A$3:$I$32,9,FALSE))+(test!$B$33-50),0)</f>
        <v>205</v>
      </c>
      <c r="V34">
        <f>IF(AND(SUM(VLOOKUP($A34,test!$A$3:$F$32,2,FALSE),VLOOKUP(V$1,test!$A$3:$F$32,2,FALSE))&lt;test!$K$16,$A34&lt;&gt;V$1,Recharged_Feasible_mat!W3),(VLOOKUP(V$1,test!$A$3:$I$32,8,FALSE))-(VLOOKUP($A34,test!$A$3:$I$32,9,FALSE))+(test!$B$33-50),0)</f>
        <v>295</v>
      </c>
      <c r="W34">
        <f>IF(AND(SUM(VLOOKUP($A34,test!$A$3:$F$32,2,FALSE),VLOOKUP(W$1,test!$A$3:$F$32,2,FALSE))&lt;test!$K$16,$A34&lt;&gt;W$1,Recharged_Feasible_mat!X3),(VLOOKUP(W$1,test!$A$3:$I$32,8,FALSE))-(VLOOKUP($A34,test!$A$3:$I$32,9,FALSE))+(test!$B$33-50),0)</f>
        <v>385</v>
      </c>
      <c r="X34">
        <f>IF(AND(SUM(VLOOKUP($A34,test!$A$3:$F$32,2,FALSE),VLOOKUP(X$1,test!$A$3:$F$32,2,FALSE))&lt;test!$K$16,$A34&lt;&gt;X$1,Recharged_Feasible_mat!Y3),(VLOOKUP(X$1,test!$A$3:$I$32,8,FALSE))-(VLOOKUP($A34,test!$A$3:$I$32,9,FALSE))+(test!$B$33-50),0)</f>
        <v>445</v>
      </c>
      <c r="Y34">
        <f>IF(AND(SUM(VLOOKUP($A34,test!$A$3:$F$32,2,FALSE),VLOOKUP(Y$1,test!$A$3:$F$32,2,FALSE))&lt;test!$K$16,$A34&lt;&gt;Y$1,Recharged_Feasible_mat!Z3),(VLOOKUP(Y$1,test!$A$3:$I$32,8,FALSE))-(VLOOKUP($A34,test!$A$3:$I$32,9,FALSE))+(test!$B$33-50),0)</f>
        <v>0</v>
      </c>
      <c r="Z34">
        <f>IF(AND(SUM(VLOOKUP($A34,test!$A$3:$F$32,2,FALSE),VLOOKUP(Z$1,test!$A$3:$F$32,2,FALSE))&lt;test!$K$16,$A34&lt;&gt;Z$1,Recharged_Feasible_mat!AA3),(VLOOKUP(Z$1,test!$A$3:$I$32,8,FALSE))-(VLOOKUP($A34,test!$A$3:$I$32,9,FALSE))+(test!$B$33-50),0)</f>
        <v>0</v>
      </c>
      <c r="AA34">
        <f>IF(AND(SUM(VLOOKUP($A34,test!$A$3:$F$32,2,FALSE),VLOOKUP(AA$1,test!$A$3:$F$32,2,FALSE))&lt;test!$K$16,$A34&lt;&gt;AA$1,Recharged_Feasible_mat!AB3),(VLOOKUP(AA$1,test!$A$3:$I$32,8,FALSE))-(VLOOKUP($A34,test!$A$3:$I$32,9,FALSE))+(test!$B$33-50),0)</f>
        <v>165</v>
      </c>
      <c r="AB34">
        <f>IF(AND(SUM(VLOOKUP($A34,test!$A$3:$F$32,2,FALSE),VLOOKUP(AB$1,test!$A$3:$F$32,2,FALSE))&lt;test!$K$16,$A34&lt;&gt;AB$1,Recharged_Feasible_mat!AC3),(VLOOKUP(AB$1,test!$A$3:$I$32,8,FALSE))-(VLOOKUP($A34,test!$A$3:$I$32,9,FALSE))+(test!$B$33-50),0)</f>
        <v>225</v>
      </c>
      <c r="AC34">
        <f>IF(AND(SUM(VLOOKUP($A34,test!$A$3:$F$32,2,FALSE),VLOOKUP(AC$1,test!$A$3:$F$32,2,FALSE))&lt;test!$K$16,$A34&lt;&gt;AC$1,Recharged_Feasible_mat!AD3),(VLOOKUP(AC$1,test!$A$3:$I$32,8,FALSE))-(VLOOKUP($A34,test!$A$3:$I$32,9,FALSE))+(test!$B$33-50),0)</f>
        <v>345</v>
      </c>
      <c r="AD34">
        <f>IF(AND(SUM(VLOOKUP($A34,test!$A$3:$F$32,2,FALSE),VLOOKUP(AD$1,test!$A$3:$F$32,2,FALSE))&lt;test!$K$16,$A34&lt;&gt;AD$1,Recharged_Feasible_mat!AE3),(VLOOKUP(AD$1,test!$A$3:$I$32,8,FALSE))-(VLOOKUP($A34,test!$A$3:$I$32,9,FALSE))+(test!$B$33-50),0)</f>
        <v>0</v>
      </c>
      <c r="AE34">
        <f>IF(AND(SUM(VLOOKUP($A34,test!$A$3:$F$32,2,FALSE),VLOOKUP(AE$1,test!$A$3:$F$32,2,FALSE))&lt;test!$K$16,$A34&lt;&gt;AE$1,Recharged_Feasible_mat!AF3),(VLOOKUP(AE$1,test!$A$3:$I$32,8,FALSE))-(VLOOKUP($A34,test!$A$3:$I$32,9,FALSE))+(test!$B$33-50),0)</f>
        <v>165</v>
      </c>
      <c r="AF34">
        <f>IF(AND(SUM(VLOOKUP($A34,test!$A$3:$F$32,2,FALSE),VLOOKUP(AF$1,test!$A$3:$F$32,2,FALSE))&lt;test!$K$16,$A34&lt;&gt;AF$1,Recharged_Feasible_mat!AG3),(VLOOKUP(AF$1,test!$A$3:$I$32,8,FALSE))-(VLOOKUP($A34,test!$A$3:$I$32,9,FALSE))+(test!$B$33-50),0)</f>
        <v>0</v>
      </c>
      <c r="AH34" s="16" t="s">
        <v>89</v>
      </c>
    </row>
    <row r="35" spans="1:34" x14ac:dyDescent="0.25">
      <c r="A35" t="s">
        <v>9</v>
      </c>
      <c r="B35">
        <v>0</v>
      </c>
      <c r="C35">
        <f>IF(AND(SUM(VLOOKUP($A35,test!$A$3:$F$32,2,FALSE),VLOOKUP(C$1,test!$A$3:$F$32,2,FALSE))&lt;test!$K$16,$A35&lt;&gt;C$1,Recharged_Feasible_mat!D4),(VLOOKUP(C$1,test!$A$3:$I$32,8,FALSE))-(VLOOKUP($A35,test!$A$3:$I$32,9,FALSE))+(test!$B$33-50),0)</f>
        <v>0</v>
      </c>
      <c r="D35">
        <f>IF(AND(SUM(VLOOKUP($A35,test!$A$3:$F$32,2,FALSE),VLOOKUP(D$1,test!$A$3:$F$32,2,FALSE))&lt;test!$K$16,$A35&lt;&gt;D$1,Recharged_Feasible_mat!E4),(VLOOKUP(D$1,test!$A$3:$I$32,8,FALSE))-(VLOOKUP($A35,test!$A$3:$I$32,9,FALSE))+(test!$B$33-50),0)</f>
        <v>0</v>
      </c>
      <c r="E35">
        <f>IF(AND(SUM(VLOOKUP($A35,test!$A$3:$F$32,2,FALSE),VLOOKUP(E$1,test!$A$3:$F$32,2,FALSE))&lt;test!$K$16,$A35&lt;&gt;E$1,Recharged_Feasible_mat!F4),(VLOOKUP(E$1,test!$A$3:$I$32,8,FALSE))-(VLOOKUP($A35,test!$A$3:$I$32,9,FALSE))+(test!$B$33-50),0)</f>
        <v>0</v>
      </c>
      <c r="F35">
        <f>IF(AND(SUM(VLOOKUP($A35,test!$A$3:$F$32,2,FALSE),VLOOKUP(F$1,test!$A$3:$F$32,2,FALSE))&lt;test!$K$16,$A35&lt;&gt;F$1,Recharged_Feasible_mat!G4),(VLOOKUP(F$1,test!$A$3:$I$32,8,FALSE))-(VLOOKUP($A35,test!$A$3:$I$32,9,FALSE))+(test!$B$33-50),0)</f>
        <v>0</v>
      </c>
      <c r="G35">
        <f>IF(AND(SUM(VLOOKUP($A35,test!$A$3:$F$32,2,FALSE),VLOOKUP(G$1,test!$A$3:$F$32,2,FALSE))&lt;test!$K$16,$A35&lt;&gt;G$1,Recharged_Feasible_mat!H4),(VLOOKUP(G$1,test!$A$3:$I$32,8,FALSE))-(VLOOKUP($A35,test!$A$3:$I$32,9,FALSE))+(test!$B$33-50),0)</f>
        <v>105</v>
      </c>
      <c r="H35">
        <f>IF(AND(SUM(VLOOKUP($A35,test!$A$3:$F$32,2,FALSE),VLOOKUP(H$1,test!$A$3:$F$32,2,FALSE))&lt;test!$K$16,$A35&lt;&gt;H$1,Recharged_Feasible_mat!I4),(VLOOKUP(H$1,test!$A$3:$I$32,8,FALSE))-(VLOOKUP($A35,test!$A$3:$I$32,9,FALSE))+(test!$B$33-50),0)</f>
        <v>165</v>
      </c>
      <c r="I35">
        <f>IF(AND(SUM(VLOOKUP($A35,test!$A$3:$F$32,2,FALSE),VLOOKUP(I$1,test!$A$3:$F$32,2,FALSE))&lt;test!$K$16,$A35&lt;&gt;I$1,Recharged_Feasible_mat!J4),(VLOOKUP(I$1,test!$A$3:$I$32,8,FALSE))-(VLOOKUP($A35,test!$A$3:$I$32,9,FALSE))+(test!$B$33-50),0)</f>
        <v>225</v>
      </c>
      <c r="J35">
        <f>IF(AND(SUM(VLOOKUP($A35,test!$A$3:$F$32,2,FALSE),VLOOKUP(J$1,test!$A$3:$F$32,2,FALSE))&lt;test!$K$16,$A35&lt;&gt;J$1,Recharged_Feasible_mat!K4),(VLOOKUP(J$1,test!$A$3:$I$32,8,FALSE))-(VLOOKUP($A35,test!$A$3:$I$32,9,FALSE))+(test!$B$33-50),0)</f>
        <v>315</v>
      </c>
      <c r="K35">
        <f>IF(AND(SUM(VLOOKUP($A35,test!$A$3:$F$32,2,FALSE),VLOOKUP(K$1,test!$A$3:$F$32,2,FALSE))&lt;test!$K$16,$A35&lt;&gt;K$1,Recharged_Feasible_mat!L4),(VLOOKUP(K$1,test!$A$3:$I$32,8,FALSE))-(VLOOKUP($A35,test!$A$3:$I$32,9,FALSE))+(test!$B$33-50),0)</f>
        <v>0</v>
      </c>
      <c r="L35">
        <f>IF(AND(SUM(VLOOKUP($A35,test!$A$3:$F$32,2,FALSE),VLOOKUP(L$1,test!$A$3:$F$32,2,FALSE))&lt;test!$K$16,$A35&lt;&gt;L$1,Recharged_Feasible_mat!M4),(VLOOKUP(L$1,test!$A$3:$I$32,8,FALSE))-(VLOOKUP($A35,test!$A$3:$I$32,9,FALSE))+(test!$B$33-50),0)</f>
        <v>0</v>
      </c>
      <c r="M35">
        <f>IF(AND(SUM(VLOOKUP($A35,test!$A$3:$F$32,2,FALSE),VLOOKUP(M$1,test!$A$3:$F$32,2,FALSE))&lt;test!$K$16,$A35&lt;&gt;M$1,Recharged_Feasible_mat!N4),(VLOOKUP(M$1,test!$A$3:$I$32,8,FALSE))-(VLOOKUP($A35,test!$A$3:$I$32,9,FALSE))+(test!$B$33-50),0)</f>
        <v>0</v>
      </c>
      <c r="N35">
        <f>IF(AND(SUM(VLOOKUP($A35,test!$A$3:$F$32,2,FALSE),VLOOKUP(N$1,test!$A$3:$F$32,2,FALSE))&lt;test!$K$16,$A35&lt;&gt;N$1,Recharged_Feasible_mat!O4),(VLOOKUP(N$1,test!$A$3:$I$32,8,FALSE))-(VLOOKUP($A35,test!$A$3:$I$32,9,FALSE))+(test!$B$33-50),0)</f>
        <v>280</v>
      </c>
      <c r="O35">
        <f>IF(AND(SUM(VLOOKUP($A35,test!$A$3:$F$32,2,FALSE),VLOOKUP(O$1,test!$A$3:$F$32,2,FALSE))&lt;test!$K$16,$A35&lt;&gt;O$1,Recharged_Feasible_mat!P4),(VLOOKUP(O$1,test!$A$3:$I$32,8,FALSE))-(VLOOKUP($A35,test!$A$3:$I$32,9,FALSE))+(test!$B$33-50),0)</f>
        <v>340</v>
      </c>
      <c r="P35">
        <f>IF(AND(SUM(VLOOKUP($A35,test!$A$3:$F$32,2,FALSE),VLOOKUP(P$1,test!$A$3:$F$32,2,FALSE))&lt;test!$K$16,$A35&lt;&gt;P$1,Recharged_Feasible_mat!Q4),(VLOOKUP(P$1,test!$A$3:$I$32,8,FALSE))-(VLOOKUP($A35,test!$A$3:$I$32,9,FALSE))+(test!$B$33-50),0)</f>
        <v>0</v>
      </c>
      <c r="Q35">
        <f>IF(AND(SUM(VLOOKUP($A35,test!$A$3:$F$32,2,FALSE),VLOOKUP(Q$1,test!$A$3:$F$32,2,FALSE))&lt;test!$K$16,$A35&lt;&gt;Q$1,Recharged_Feasible_mat!R4),(VLOOKUP(Q$1,test!$A$3:$I$32,8,FALSE))-(VLOOKUP($A35,test!$A$3:$I$32,9,FALSE))+(test!$B$33-50),0)</f>
        <v>0</v>
      </c>
      <c r="R35">
        <f>IF(AND(SUM(VLOOKUP($A35,test!$A$3:$F$32,2,FALSE),VLOOKUP(R$1,test!$A$3:$F$32,2,FALSE))&lt;test!$K$16,$A35&lt;&gt;R$1,Recharged_Feasible_mat!S4),(VLOOKUP(R$1,test!$A$3:$I$32,8,FALSE))-(VLOOKUP($A35,test!$A$3:$I$32,9,FALSE))+(test!$B$33-50),0)</f>
        <v>0</v>
      </c>
      <c r="S35">
        <f>IF(AND(SUM(VLOOKUP($A35,test!$A$3:$F$32,2,FALSE),VLOOKUP(S$1,test!$A$3:$F$32,2,FALSE))&lt;test!$K$16,$A35&lt;&gt;S$1,Recharged_Feasible_mat!T4),(VLOOKUP(S$1,test!$A$3:$I$32,8,FALSE))-(VLOOKUP($A35,test!$A$3:$I$32,9,FALSE))+(test!$B$33-50),0)</f>
        <v>0</v>
      </c>
      <c r="T35">
        <f>IF(AND(SUM(VLOOKUP($A35,test!$A$3:$F$32,2,FALSE),VLOOKUP(T$1,test!$A$3:$F$32,2,FALSE))&lt;test!$K$16,$A35&lt;&gt;T$1,Recharged_Feasible_mat!U4),(VLOOKUP(T$1,test!$A$3:$I$32,8,FALSE))-(VLOOKUP($A35,test!$A$3:$I$32,9,FALSE))+(test!$B$33-50),0)</f>
        <v>0</v>
      </c>
      <c r="U35">
        <f>IF(AND(SUM(VLOOKUP($A35,test!$A$3:$F$32,2,FALSE),VLOOKUP(U$1,test!$A$3:$F$32,2,FALSE))&lt;test!$K$16,$A35&lt;&gt;U$1,Recharged_Feasible_mat!V4),(VLOOKUP(U$1,test!$A$3:$I$32,8,FALSE))-(VLOOKUP($A35,test!$A$3:$I$32,9,FALSE))+(test!$B$33-50),0)</f>
        <v>0</v>
      </c>
      <c r="V35">
        <f>IF(AND(SUM(VLOOKUP($A35,test!$A$3:$F$32,2,FALSE),VLOOKUP(V$1,test!$A$3:$F$32,2,FALSE))&lt;test!$K$16,$A35&lt;&gt;V$1,Recharged_Feasible_mat!W4),(VLOOKUP(V$1,test!$A$3:$I$32,8,FALSE))-(VLOOKUP($A35,test!$A$3:$I$32,9,FALSE))+(test!$B$33-50),0)</f>
        <v>115</v>
      </c>
      <c r="W35">
        <f>IF(AND(SUM(VLOOKUP($A35,test!$A$3:$F$32,2,FALSE),VLOOKUP(W$1,test!$A$3:$F$32,2,FALSE))&lt;test!$K$16,$A35&lt;&gt;W$1,Recharged_Feasible_mat!X4),(VLOOKUP(W$1,test!$A$3:$I$32,8,FALSE))-(VLOOKUP($A35,test!$A$3:$I$32,9,FALSE))+(test!$B$33-50),0)</f>
        <v>205</v>
      </c>
      <c r="X35">
        <f>IF(AND(SUM(VLOOKUP($A35,test!$A$3:$F$32,2,FALSE),VLOOKUP(X$1,test!$A$3:$F$32,2,FALSE))&lt;test!$K$16,$A35&lt;&gt;X$1,Recharged_Feasible_mat!Y4),(VLOOKUP(X$1,test!$A$3:$I$32,8,FALSE))-(VLOOKUP($A35,test!$A$3:$I$32,9,FALSE))+(test!$B$33-50),0)</f>
        <v>265</v>
      </c>
      <c r="Y35">
        <f>IF(AND(SUM(VLOOKUP($A35,test!$A$3:$F$32,2,FALSE),VLOOKUP(Y$1,test!$A$3:$F$32,2,FALSE))&lt;test!$K$16,$A35&lt;&gt;Y$1,Recharged_Feasible_mat!Z4),(VLOOKUP(Y$1,test!$A$3:$I$32,8,FALSE))-(VLOOKUP($A35,test!$A$3:$I$32,9,FALSE))+(test!$B$33-50),0)</f>
        <v>0</v>
      </c>
      <c r="Z35">
        <f>IF(AND(SUM(VLOOKUP($A35,test!$A$3:$F$32,2,FALSE),VLOOKUP(Z$1,test!$A$3:$F$32,2,FALSE))&lt;test!$K$16,$A35&lt;&gt;Z$1,Recharged_Feasible_mat!AA4),(VLOOKUP(Z$1,test!$A$3:$I$32,8,FALSE))-(VLOOKUP($A35,test!$A$3:$I$32,9,FALSE))+(test!$B$33-50),0)</f>
        <v>0</v>
      </c>
      <c r="AA35">
        <f>IF(AND(SUM(VLOOKUP($A35,test!$A$3:$F$32,2,FALSE),VLOOKUP(AA$1,test!$A$3:$F$32,2,FALSE))&lt;test!$K$16,$A35&lt;&gt;AA$1,Recharged_Feasible_mat!AB4),(VLOOKUP(AA$1,test!$A$3:$I$32,8,FALSE))-(VLOOKUP($A35,test!$A$3:$I$32,9,FALSE))+(test!$B$33-50),0)</f>
        <v>0</v>
      </c>
      <c r="AB35">
        <f>IF(AND(SUM(VLOOKUP($A35,test!$A$3:$F$32,2,FALSE),VLOOKUP(AB$1,test!$A$3:$F$32,2,FALSE))&lt;test!$K$16,$A35&lt;&gt;AB$1,Recharged_Feasible_mat!AC4),(VLOOKUP(AB$1,test!$A$3:$I$32,8,FALSE))-(VLOOKUP($A35,test!$A$3:$I$32,9,FALSE))+(test!$B$33-50),0)</f>
        <v>0</v>
      </c>
      <c r="AC35">
        <f>IF(AND(SUM(VLOOKUP($A35,test!$A$3:$F$32,2,FALSE),VLOOKUP(AC$1,test!$A$3:$F$32,2,FALSE))&lt;test!$K$16,$A35&lt;&gt;AC$1,Recharged_Feasible_mat!AD4),(VLOOKUP(AC$1,test!$A$3:$I$32,8,FALSE))-(VLOOKUP($A35,test!$A$3:$I$32,9,FALSE))+(test!$B$33-50),0)</f>
        <v>165</v>
      </c>
      <c r="AD35">
        <f>IF(AND(SUM(VLOOKUP($A35,test!$A$3:$F$32,2,FALSE),VLOOKUP(AD$1,test!$A$3:$F$32,2,FALSE))&lt;test!$K$16,$A35&lt;&gt;AD$1,Recharged_Feasible_mat!AE4),(VLOOKUP(AD$1,test!$A$3:$I$32,8,FALSE))-(VLOOKUP($A35,test!$A$3:$I$32,9,FALSE))+(test!$B$33-50),0)</f>
        <v>0</v>
      </c>
      <c r="AE35">
        <f>IF(AND(SUM(VLOOKUP($A35,test!$A$3:$F$32,2,FALSE),VLOOKUP(AE$1,test!$A$3:$F$32,2,FALSE))&lt;test!$K$16,$A35&lt;&gt;AE$1,Recharged_Feasible_mat!AF4),(VLOOKUP(AE$1,test!$A$3:$I$32,8,FALSE))-(VLOOKUP($A35,test!$A$3:$I$32,9,FALSE))+(test!$B$33-50),0)</f>
        <v>0</v>
      </c>
      <c r="AF35">
        <f>IF(AND(SUM(VLOOKUP($A35,test!$A$3:$F$32,2,FALSE),VLOOKUP(AF$1,test!$A$3:$F$32,2,FALSE))&lt;test!$K$16,$A35&lt;&gt;AF$1,Recharged_Feasible_mat!AG4),(VLOOKUP(AF$1,test!$A$3:$I$32,8,FALSE))-(VLOOKUP($A35,test!$A$3:$I$32,9,FALSE))+(test!$B$33-50),0)</f>
        <v>0</v>
      </c>
      <c r="AH35" s="16" t="b">
        <f>SUM(VLOOKUP($A34,test!$A$3:$F$32,2,FALSE),VLOOKUP(E$1,test!$A$3:$F$32,2,FALSE))&lt;test!$K$16</f>
        <v>1</v>
      </c>
    </row>
    <row r="36" spans="1:34" x14ac:dyDescent="0.25">
      <c r="A36" t="s">
        <v>10</v>
      </c>
      <c r="B36">
        <v>0</v>
      </c>
      <c r="C36">
        <f>IF(AND(SUM(VLOOKUP($A36,test!$A$3:$F$32,2,FALSE),VLOOKUP(C$1,test!$A$3:$F$32,2,FALSE))&lt;test!$K$16,$A36&lt;&gt;C$1,Recharged_Feasible_mat!D5),(VLOOKUP(C$1,test!$A$3:$I$32,8,FALSE))-(VLOOKUP($A36,test!$A$3:$I$32,9,FALSE))+(test!$B$33-50),0)</f>
        <v>0</v>
      </c>
      <c r="D36">
        <f>IF(AND(SUM(VLOOKUP($A36,test!$A$3:$F$32,2,FALSE),VLOOKUP(D$1,test!$A$3:$F$32,2,FALSE))&lt;test!$K$16,$A36&lt;&gt;D$1,Recharged_Feasible_mat!E5),(VLOOKUP(D$1,test!$A$3:$I$32,8,FALSE))-(VLOOKUP($A36,test!$A$3:$I$32,9,FALSE))+(test!$B$33-50),0)</f>
        <v>0</v>
      </c>
      <c r="E36">
        <f>IF(AND(SUM(VLOOKUP($A36,test!$A$3:$F$32,2,FALSE),VLOOKUP(E$1,test!$A$3:$F$32,2,FALSE))&lt;test!$K$16,$A36&lt;&gt;E$1,Recharged_Feasible_mat!F5),(VLOOKUP(E$1,test!$A$3:$I$32,8,FALSE))-(VLOOKUP($A36,test!$A$3:$I$32,9,FALSE))+(test!$B$33-50),0)</f>
        <v>0</v>
      </c>
      <c r="F36">
        <f>IF(AND(SUM(VLOOKUP($A36,test!$A$3:$F$32,2,FALSE),VLOOKUP(F$1,test!$A$3:$F$32,2,FALSE))&lt;test!$K$16,$A36&lt;&gt;F$1,Recharged_Feasible_mat!G5),(VLOOKUP(F$1,test!$A$3:$I$32,8,FALSE))-(VLOOKUP($A36,test!$A$3:$I$32,9,FALSE))+(test!$B$33-50),0)</f>
        <v>0</v>
      </c>
      <c r="G36">
        <f>IF(AND(SUM(VLOOKUP($A36,test!$A$3:$F$32,2,FALSE),VLOOKUP(G$1,test!$A$3:$F$32,2,FALSE))&lt;test!$K$16,$A36&lt;&gt;G$1,Recharged_Feasible_mat!H5),(VLOOKUP(G$1,test!$A$3:$I$32,8,FALSE))-(VLOOKUP($A36,test!$A$3:$I$32,9,FALSE))+(test!$B$33-50),0)</f>
        <v>0</v>
      </c>
      <c r="H36">
        <f>IF(AND(SUM(VLOOKUP($A36,test!$A$3:$F$32,2,FALSE),VLOOKUP(H$1,test!$A$3:$F$32,2,FALSE))&lt;test!$K$16,$A36&lt;&gt;H$1,Recharged_Feasible_mat!I5),(VLOOKUP(H$1,test!$A$3:$I$32,8,FALSE))-(VLOOKUP($A36,test!$A$3:$I$32,9,FALSE))+(test!$B$33-50),0)</f>
        <v>0</v>
      </c>
      <c r="I36">
        <f>IF(AND(SUM(VLOOKUP($A36,test!$A$3:$F$32,2,FALSE),VLOOKUP(I$1,test!$A$3:$F$32,2,FALSE))&lt;test!$K$16,$A36&lt;&gt;I$1,Recharged_Feasible_mat!J5),(VLOOKUP(I$1,test!$A$3:$I$32,8,FALSE))-(VLOOKUP($A36,test!$A$3:$I$32,9,FALSE))+(test!$B$33-50),0)</f>
        <v>135</v>
      </c>
      <c r="J36">
        <f>IF(AND(SUM(VLOOKUP($A36,test!$A$3:$F$32,2,FALSE),VLOOKUP(J$1,test!$A$3:$F$32,2,FALSE))&lt;test!$K$16,$A36&lt;&gt;J$1,Recharged_Feasible_mat!K5),(VLOOKUP(J$1,test!$A$3:$I$32,8,FALSE))-(VLOOKUP($A36,test!$A$3:$I$32,9,FALSE))+(test!$B$33-50),0)</f>
        <v>225</v>
      </c>
      <c r="K36">
        <f>IF(AND(SUM(VLOOKUP($A36,test!$A$3:$F$32,2,FALSE),VLOOKUP(K$1,test!$A$3:$F$32,2,FALSE))&lt;test!$K$16,$A36&lt;&gt;K$1,Recharged_Feasible_mat!L5),(VLOOKUP(K$1,test!$A$3:$I$32,8,FALSE))-(VLOOKUP($A36,test!$A$3:$I$32,9,FALSE))+(test!$B$33-50),0)</f>
        <v>0</v>
      </c>
      <c r="L36">
        <f>IF(AND(SUM(VLOOKUP($A36,test!$A$3:$F$32,2,FALSE),VLOOKUP(L$1,test!$A$3:$F$32,2,FALSE))&lt;test!$K$16,$A36&lt;&gt;L$1,Recharged_Feasible_mat!M5),(VLOOKUP(L$1,test!$A$3:$I$32,8,FALSE))-(VLOOKUP($A36,test!$A$3:$I$32,9,FALSE))+(test!$B$33-50),0)</f>
        <v>0</v>
      </c>
      <c r="M36">
        <f>IF(AND(SUM(VLOOKUP($A36,test!$A$3:$F$32,2,FALSE),VLOOKUP(M$1,test!$A$3:$F$32,2,FALSE))&lt;test!$K$16,$A36&lt;&gt;M$1,Recharged_Feasible_mat!N5),(VLOOKUP(M$1,test!$A$3:$I$32,8,FALSE))-(VLOOKUP($A36,test!$A$3:$I$32,9,FALSE))+(test!$B$33-50),0)</f>
        <v>0</v>
      </c>
      <c r="N36">
        <f>IF(AND(SUM(VLOOKUP($A36,test!$A$3:$F$32,2,FALSE),VLOOKUP(N$1,test!$A$3:$F$32,2,FALSE))&lt;test!$K$16,$A36&lt;&gt;N$1,Recharged_Feasible_mat!O5),(VLOOKUP(N$1,test!$A$3:$I$32,8,FALSE))-(VLOOKUP($A36,test!$A$3:$I$32,9,FALSE))+(test!$B$33-50),0)</f>
        <v>190</v>
      </c>
      <c r="O36">
        <f>IF(AND(SUM(VLOOKUP($A36,test!$A$3:$F$32,2,FALSE),VLOOKUP(O$1,test!$A$3:$F$32,2,FALSE))&lt;test!$K$16,$A36&lt;&gt;O$1,Recharged_Feasible_mat!P5),(VLOOKUP(O$1,test!$A$3:$I$32,8,FALSE))-(VLOOKUP($A36,test!$A$3:$I$32,9,FALSE))+(test!$B$33-50),0)</f>
        <v>250</v>
      </c>
      <c r="P36">
        <f>IF(AND(SUM(VLOOKUP($A36,test!$A$3:$F$32,2,FALSE),VLOOKUP(P$1,test!$A$3:$F$32,2,FALSE))&lt;test!$K$16,$A36&lt;&gt;P$1,Recharged_Feasible_mat!Q5),(VLOOKUP(P$1,test!$A$3:$I$32,8,FALSE))-(VLOOKUP($A36,test!$A$3:$I$32,9,FALSE))+(test!$B$33-50),0)</f>
        <v>0</v>
      </c>
      <c r="Q36">
        <f>IF(AND(SUM(VLOOKUP($A36,test!$A$3:$F$32,2,FALSE),VLOOKUP(Q$1,test!$A$3:$F$32,2,FALSE))&lt;test!$K$16,$A36&lt;&gt;Q$1,Recharged_Feasible_mat!R5),(VLOOKUP(Q$1,test!$A$3:$I$32,8,FALSE))-(VLOOKUP($A36,test!$A$3:$I$32,9,FALSE))+(test!$B$33-50),0)</f>
        <v>0</v>
      </c>
      <c r="R36">
        <f>IF(AND(SUM(VLOOKUP($A36,test!$A$3:$F$32,2,FALSE),VLOOKUP(R$1,test!$A$3:$F$32,2,FALSE))&lt;test!$K$16,$A36&lt;&gt;R$1,Recharged_Feasible_mat!S5),(VLOOKUP(R$1,test!$A$3:$I$32,8,FALSE))-(VLOOKUP($A36,test!$A$3:$I$32,9,FALSE))+(test!$B$33-50),0)</f>
        <v>0</v>
      </c>
      <c r="S36">
        <f>IF(AND(SUM(VLOOKUP($A36,test!$A$3:$F$32,2,FALSE),VLOOKUP(S$1,test!$A$3:$F$32,2,FALSE))&lt;test!$K$16,$A36&lt;&gt;S$1,Recharged_Feasible_mat!T5),(VLOOKUP(S$1,test!$A$3:$I$32,8,FALSE))-(VLOOKUP($A36,test!$A$3:$I$32,9,FALSE))+(test!$B$33-50),0)</f>
        <v>0</v>
      </c>
      <c r="T36">
        <f>IF(AND(SUM(VLOOKUP($A36,test!$A$3:$F$32,2,FALSE),VLOOKUP(T$1,test!$A$3:$F$32,2,FALSE))&lt;test!$K$16,$A36&lt;&gt;T$1,Recharged_Feasible_mat!U5),(VLOOKUP(T$1,test!$A$3:$I$32,8,FALSE))-(VLOOKUP($A36,test!$A$3:$I$32,9,FALSE))+(test!$B$33-50),0)</f>
        <v>0</v>
      </c>
      <c r="U36">
        <f>IF(AND(SUM(VLOOKUP($A36,test!$A$3:$F$32,2,FALSE),VLOOKUP(U$1,test!$A$3:$F$32,2,FALSE))&lt;test!$K$16,$A36&lt;&gt;U$1,Recharged_Feasible_mat!V5),(VLOOKUP(U$1,test!$A$3:$I$32,8,FALSE))-(VLOOKUP($A36,test!$A$3:$I$32,9,FALSE))+(test!$B$33-50),0)</f>
        <v>0</v>
      </c>
      <c r="V36">
        <f>IF(AND(SUM(VLOOKUP($A36,test!$A$3:$F$32,2,FALSE),VLOOKUP(V$1,test!$A$3:$F$32,2,FALSE))&lt;test!$K$16,$A36&lt;&gt;V$1,Recharged_Feasible_mat!W5),(VLOOKUP(V$1,test!$A$3:$I$32,8,FALSE))-(VLOOKUP($A36,test!$A$3:$I$32,9,FALSE))+(test!$B$33-50),0)</f>
        <v>0</v>
      </c>
      <c r="W36">
        <f>IF(AND(SUM(VLOOKUP($A36,test!$A$3:$F$32,2,FALSE),VLOOKUP(W$1,test!$A$3:$F$32,2,FALSE))&lt;test!$K$16,$A36&lt;&gt;W$1,Recharged_Feasible_mat!X5),(VLOOKUP(W$1,test!$A$3:$I$32,8,FALSE))-(VLOOKUP($A36,test!$A$3:$I$32,9,FALSE))+(test!$B$33-50),0)</f>
        <v>115</v>
      </c>
      <c r="X36">
        <f>IF(AND(SUM(VLOOKUP($A36,test!$A$3:$F$32,2,FALSE),VLOOKUP(X$1,test!$A$3:$F$32,2,FALSE))&lt;test!$K$16,$A36&lt;&gt;X$1,Recharged_Feasible_mat!Y5),(VLOOKUP(X$1,test!$A$3:$I$32,8,FALSE))-(VLOOKUP($A36,test!$A$3:$I$32,9,FALSE))+(test!$B$33-50),0)</f>
        <v>175</v>
      </c>
      <c r="Y36">
        <f>IF(AND(SUM(VLOOKUP($A36,test!$A$3:$F$32,2,FALSE),VLOOKUP(Y$1,test!$A$3:$F$32,2,FALSE))&lt;test!$K$16,$A36&lt;&gt;Y$1,Recharged_Feasible_mat!Z5),(VLOOKUP(Y$1,test!$A$3:$I$32,8,FALSE))-(VLOOKUP($A36,test!$A$3:$I$32,9,FALSE))+(test!$B$33-50),0)</f>
        <v>0</v>
      </c>
      <c r="Z36">
        <f>IF(AND(SUM(VLOOKUP($A36,test!$A$3:$F$32,2,FALSE),VLOOKUP(Z$1,test!$A$3:$F$32,2,FALSE))&lt;test!$K$16,$A36&lt;&gt;Z$1,Recharged_Feasible_mat!AA5),(VLOOKUP(Z$1,test!$A$3:$I$32,8,FALSE))-(VLOOKUP($A36,test!$A$3:$I$32,9,FALSE))+(test!$B$33-50),0)</f>
        <v>0</v>
      </c>
      <c r="AA36">
        <f>IF(AND(SUM(VLOOKUP($A36,test!$A$3:$F$32,2,FALSE),VLOOKUP(AA$1,test!$A$3:$F$32,2,FALSE))&lt;test!$K$16,$A36&lt;&gt;AA$1,Recharged_Feasible_mat!AB5),(VLOOKUP(AA$1,test!$A$3:$I$32,8,FALSE))-(VLOOKUP($A36,test!$A$3:$I$32,9,FALSE))+(test!$B$33-50),0)</f>
        <v>0</v>
      </c>
      <c r="AB36">
        <f>IF(AND(SUM(VLOOKUP($A36,test!$A$3:$F$32,2,FALSE),VLOOKUP(AB$1,test!$A$3:$F$32,2,FALSE))&lt;test!$K$16,$A36&lt;&gt;AB$1,Recharged_Feasible_mat!AC5),(VLOOKUP(AB$1,test!$A$3:$I$32,8,FALSE))-(VLOOKUP($A36,test!$A$3:$I$32,9,FALSE))+(test!$B$33-50),0)</f>
        <v>0</v>
      </c>
      <c r="AC36">
        <f>IF(AND(SUM(VLOOKUP($A36,test!$A$3:$F$32,2,FALSE),VLOOKUP(AC$1,test!$A$3:$F$32,2,FALSE))&lt;test!$K$16,$A36&lt;&gt;AC$1,Recharged_Feasible_mat!AD5),(VLOOKUP(AC$1,test!$A$3:$I$32,8,FALSE))-(VLOOKUP($A36,test!$A$3:$I$32,9,FALSE))+(test!$B$33-50),0)</f>
        <v>0</v>
      </c>
      <c r="AD36">
        <f>IF(AND(SUM(VLOOKUP($A36,test!$A$3:$F$32,2,FALSE),VLOOKUP(AD$1,test!$A$3:$F$32,2,FALSE))&lt;test!$K$16,$A36&lt;&gt;AD$1,Recharged_Feasible_mat!AE5),(VLOOKUP(AD$1,test!$A$3:$I$32,8,FALSE))-(VLOOKUP($A36,test!$A$3:$I$32,9,FALSE))+(test!$B$33-50),0)</f>
        <v>0</v>
      </c>
      <c r="AE36">
        <f>IF(AND(SUM(VLOOKUP($A36,test!$A$3:$F$32,2,FALSE),VLOOKUP(AE$1,test!$A$3:$F$32,2,FALSE))&lt;test!$K$16,$A36&lt;&gt;AE$1,Recharged_Feasible_mat!AF5),(VLOOKUP(AE$1,test!$A$3:$I$32,8,FALSE))-(VLOOKUP($A36,test!$A$3:$I$32,9,FALSE))+(test!$B$33-50),0)</f>
        <v>0</v>
      </c>
      <c r="AF36">
        <f>IF(AND(SUM(VLOOKUP($A36,test!$A$3:$F$32,2,FALSE),VLOOKUP(AF$1,test!$A$3:$F$32,2,FALSE))&lt;test!$K$16,$A36&lt;&gt;AF$1,Recharged_Feasible_mat!AG5),(VLOOKUP(AF$1,test!$A$3:$I$32,8,FALSE))-(VLOOKUP($A36,test!$A$3:$I$32,9,FALSE))+(test!$B$33-50),0)</f>
        <v>0</v>
      </c>
      <c r="AH36" s="16">
        <f>(VLOOKUP(E$1,test!$A$3:$I$32,8,FALSE))-(VLOOKUP($A34,test!$A$3:$I$32,9,FALSE))+(test!$B$33-50)</f>
        <v>135</v>
      </c>
    </row>
    <row r="37" spans="1:34" x14ac:dyDescent="0.25">
      <c r="A37" t="s">
        <v>11</v>
      </c>
      <c r="B37">
        <v>0</v>
      </c>
      <c r="C37">
        <f>IF(AND(SUM(VLOOKUP($A37,test!$A$3:$F$32,2,FALSE),VLOOKUP(C$1,test!$A$3:$F$32,2,FALSE))&lt;test!$K$16,$A37&lt;&gt;C$1,Recharged_Feasible_mat!D6),(VLOOKUP(C$1,test!$A$3:$I$32,8,FALSE))-(VLOOKUP($A37,test!$A$3:$I$32,9,FALSE))+(test!$B$33-50),0)</f>
        <v>0</v>
      </c>
      <c r="D37">
        <f>IF(AND(SUM(VLOOKUP($A37,test!$A$3:$F$32,2,FALSE),VLOOKUP(D$1,test!$A$3:$F$32,2,FALSE))&lt;test!$K$16,$A37&lt;&gt;D$1,Recharged_Feasible_mat!E6),(VLOOKUP(D$1,test!$A$3:$I$32,8,FALSE))-(VLOOKUP($A37,test!$A$3:$I$32,9,FALSE))+(test!$B$33-50),0)</f>
        <v>0</v>
      </c>
      <c r="E37">
        <f>IF(AND(SUM(VLOOKUP($A37,test!$A$3:$F$32,2,FALSE),VLOOKUP(E$1,test!$A$3:$F$32,2,FALSE))&lt;test!$K$16,$A37&lt;&gt;E$1,Recharged_Feasible_mat!F6),(VLOOKUP(E$1,test!$A$3:$I$32,8,FALSE))-(VLOOKUP($A37,test!$A$3:$I$32,9,FALSE))+(test!$B$33-50),0)</f>
        <v>0</v>
      </c>
      <c r="F37">
        <f>IF(AND(SUM(VLOOKUP($A37,test!$A$3:$F$32,2,FALSE),VLOOKUP(F$1,test!$A$3:$F$32,2,FALSE))&lt;test!$K$16,$A37&lt;&gt;F$1,Recharged_Feasible_mat!G6),(VLOOKUP(F$1,test!$A$3:$I$32,8,FALSE))-(VLOOKUP($A37,test!$A$3:$I$32,9,FALSE))+(test!$B$33-50),0)</f>
        <v>0</v>
      </c>
      <c r="G37">
        <f>IF(AND(SUM(VLOOKUP($A37,test!$A$3:$F$32,2,FALSE),VLOOKUP(G$1,test!$A$3:$F$32,2,FALSE))&lt;test!$K$16,$A37&lt;&gt;G$1,Recharged_Feasible_mat!H6),(VLOOKUP(G$1,test!$A$3:$I$32,8,FALSE))-(VLOOKUP($A37,test!$A$3:$I$32,9,FALSE))+(test!$B$33-50),0)</f>
        <v>0</v>
      </c>
      <c r="H37">
        <f>IF(AND(SUM(VLOOKUP($A37,test!$A$3:$F$32,2,FALSE),VLOOKUP(H$1,test!$A$3:$F$32,2,FALSE))&lt;test!$K$16,$A37&lt;&gt;H$1,Recharged_Feasible_mat!I6),(VLOOKUP(H$1,test!$A$3:$I$32,8,FALSE))-(VLOOKUP($A37,test!$A$3:$I$32,9,FALSE))+(test!$B$33-50),0)</f>
        <v>0</v>
      </c>
      <c r="I37">
        <f>IF(AND(SUM(VLOOKUP($A37,test!$A$3:$F$32,2,FALSE),VLOOKUP(I$1,test!$A$3:$F$32,2,FALSE))&lt;test!$K$16,$A37&lt;&gt;I$1,Recharged_Feasible_mat!J6),(VLOOKUP(I$1,test!$A$3:$I$32,8,FALSE))-(VLOOKUP($A37,test!$A$3:$I$32,9,FALSE))+(test!$B$33-50),0)</f>
        <v>0</v>
      </c>
      <c r="J37">
        <f>IF(AND(SUM(VLOOKUP($A37,test!$A$3:$F$32,2,FALSE),VLOOKUP(J$1,test!$A$3:$F$32,2,FALSE))&lt;test!$K$16,$A37&lt;&gt;J$1,Recharged_Feasible_mat!K6),(VLOOKUP(J$1,test!$A$3:$I$32,8,FALSE))-(VLOOKUP($A37,test!$A$3:$I$32,9,FALSE))+(test!$B$33-50),0)</f>
        <v>135</v>
      </c>
      <c r="K37">
        <f>IF(AND(SUM(VLOOKUP($A37,test!$A$3:$F$32,2,FALSE),VLOOKUP(K$1,test!$A$3:$F$32,2,FALSE))&lt;test!$K$16,$A37&lt;&gt;K$1,Recharged_Feasible_mat!L6),(VLOOKUP(K$1,test!$A$3:$I$32,8,FALSE))-(VLOOKUP($A37,test!$A$3:$I$32,9,FALSE))+(test!$B$33-50),0)</f>
        <v>0</v>
      </c>
      <c r="L37">
        <f>IF(AND(SUM(VLOOKUP($A37,test!$A$3:$F$32,2,FALSE),VLOOKUP(L$1,test!$A$3:$F$32,2,FALSE))&lt;test!$K$16,$A37&lt;&gt;L$1,Recharged_Feasible_mat!M6),(VLOOKUP(L$1,test!$A$3:$I$32,8,FALSE))-(VLOOKUP($A37,test!$A$3:$I$32,9,FALSE))+(test!$B$33-50),0)</f>
        <v>0</v>
      </c>
      <c r="M37">
        <f>IF(AND(SUM(VLOOKUP($A37,test!$A$3:$F$32,2,FALSE),VLOOKUP(M$1,test!$A$3:$F$32,2,FALSE))&lt;test!$K$16,$A37&lt;&gt;M$1,Recharged_Feasible_mat!N6),(VLOOKUP(M$1,test!$A$3:$I$32,8,FALSE))-(VLOOKUP($A37,test!$A$3:$I$32,9,FALSE))+(test!$B$33-50),0)</f>
        <v>0</v>
      </c>
      <c r="N37">
        <f>IF(AND(SUM(VLOOKUP($A37,test!$A$3:$F$32,2,FALSE),VLOOKUP(N$1,test!$A$3:$F$32,2,FALSE))&lt;test!$K$16,$A37&lt;&gt;N$1,Recharged_Feasible_mat!O6),(VLOOKUP(N$1,test!$A$3:$I$32,8,FALSE))-(VLOOKUP($A37,test!$A$3:$I$32,9,FALSE))+(test!$B$33-50),0)</f>
        <v>100</v>
      </c>
      <c r="O37">
        <f>IF(AND(SUM(VLOOKUP($A37,test!$A$3:$F$32,2,FALSE),VLOOKUP(O$1,test!$A$3:$F$32,2,FALSE))&lt;test!$K$16,$A37&lt;&gt;O$1,Recharged_Feasible_mat!P6),(VLOOKUP(O$1,test!$A$3:$I$32,8,FALSE))-(VLOOKUP($A37,test!$A$3:$I$32,9,FALSE))+(test!$B$33-50),0)</f>
        <v>160</v>
      </c>
      <c r="P37">
        <f>IF(AND(SUM(VLOOKUP($A37,test!$A$3:$F$32,2,FALSE),VLOOKUP(P$1,test!$A$3:$F$32,2,FALSE))&lt;test!$K$16,$A37&lt;&gt;P$1,Recharged_Feasible_mat!Q6),(VLOOKUP(P$1,test!$A$3:$I$32,8,FALSE))-(VLOOKUP($A37,test!$A$3:$I$32,9,FALSE))+(test!$B$33-50),0)</f>
        <v>0</v>
      </c>
      <c r="Q37">
        <f>IF(AND(SUM(VLOOKUP($A37,test!$A$3:$F$32,2,FALSE),VLOOKUP(Q$1,test!$A$3:$F$32,2,FALSE))&lt;test!$K$16,$A37&lt;&gt;Q$1,Recharged_Feasible_mat!R6),(VLOOKUP(Q$1,test!$A$3:$I$32,8,FALSE))-(VLOOKUP($A37,test!$A$3:$I$32,9,FALSE))+(test!$B$33-50),0)</f>
        <v>0</v>
      </c>
      <c r="R37">
        <f>IF(AND(SUM(VLOOKUP($A37,test!$A$3:$F$32,2,FALSE),VLOOKUP(R$1,test!$A$3:$F$32,2,FALSE))&lt;test!$K$16,$A37&lt;&gt;R$1,Recharged_Feasible_mat!S6),(VLOOKUP(R$1,test!$A$3:$I$32,8,FALSE))-(VLOOKUP($A37,test!$A$3:$I$32,9,FALSE))+(test!$B$33-50),0)</f>
        <v>0</v>
      </c>
      <c r="S37">
        <f>IF(AND(SUM(VLOOKUP($A37,test!$A$3:$F$32,2,FALSE),VLOOKUP(S$1,test!$A$3:$F$32,2,FALSE))&lt;test!$K$16,$A37&lt;&gt;S$1,Recharged_Feasible_mat!T6),(VLOOKUP(S$1,test!$A$3:$I$32,8,FALSE))-(VLOOKUP($A37,test!$A$3:$I$32,9,FALSE))+(test!$B$33-50),0)</f>
        <v>0</v>
      </c>
      <c r="T37">
        <f>IF(AND(SUM(VLOOKUP($A37,test!$A$3:$F$32,2,FALSE),VLOOKUP(T$1,test!$A$3:$F$32,2,FALSE))&lt;test!$K$16,$A37&lt;&gt;T$1,Recharged_Feasible_mat!U6),(VLOOKUP(T$1,test!$A$3:$I$32,8,FALSE))-(VLOOKUP($A37,test!$A$3:$I$32,9,FALSE))+(test!$B$33-50),0)</f>
        <v>0</v>
      </c>
      <c r="U37">
        <f>IF(AND(SUM(VLOOKUP($A37,test!$A$3:$F$32,2,FALSE),VLOOKUP(U$1,test!$A$3:$F$32,2,FALSE))&lt;test!$K$16,$A37&lt;&gt;U$1,Recharged_Feasible_mat!V6),(VLOOKUP(U$1,test!$A$3:$I$32,8,FALSE))-(VLOOKUP($A37,test!$A$3:$I$32,9,FALSE))+(test!$B$33-50),0)</f>
        <v>0</v>
      </c>
      <c r="V37">
        <f>IF(AND(SUM(VLOOKUP($A37,test!$A$3:$F$32,2,FALSE),VLOOKUP(V$1,test!$A$3:$F$32,2,FALSE))&lt;test!$K$16,$A37&lt;&gt;V$1,Recharged_Feasible_mat!W6),(VLOOKUP(V$1,test!$A$3:$I$32,8,FALSE))-(VLOOKUP($A37,test!$A$3:$I$32,9,FALSE))+(test!$B$33-50),0)</f>
        <v>0</v>
      </c>
      <c r="W37">
        <f>IF(AND(SUM(VLOOKUP($A37,test!$A$3:$F$32,2,FALSE),VLOOKUP(W$1,test!$A$3:$F$32,2,FALSE))&lt;test!$K$16,$A37&lt;&gt;W$1,Recharged_Feasible_mat!X6),(VLOOKUP(W$1,test!$A$3:$I$32,8,FALSE))-(VLOOKUP($A37,test!$A$3:$I$32,9,FALSE))+(test!$B$33-50),0)</f>
        <v>0</v>
      </c>
      <c r="X37">
        <f>IF(AND(SUM(VLOOKUP($A37,test!$A$3:$F$32,2,FALSE),VLOOKUP(X$1,test!$A$3:$F$32,2,FALSE))&lt;test!$K$16,$A37&lt;&gt;X$1,Recharged_Feasible_mat!Y6),(VLOOKUP(X$1,test!$A$3:$I$32,8,FALSE))-(VLOOKUP($A37,test!$A$3:$I$32,9,FALSE))+(test!$B$33-50),0)</f>
        <v>85</v>
      </c>
      <c r="Y37">
        <f>IF(AND(SUM(VLOOKUP($A37,test!$A$3:$F$32,2,FALSE),VLOOKUP(Y$1,test!$A$3:$F$32,2,FALSE))&lt;test!$K$16,$A37&lt;&gt;Y$1,Recharged_Feasible_mat!Z6),(VLOOKUP(Y$1,test!$A$3:$I$32,8,FALSE))-(VLOOKUP($A37,test!$A$3:$I$32,9,FALSE))+(test!$B$33-50),0)</f>
        <v>0</v>
      </c>
      <c r="Z37">
        <f>IF(AND(SUM(VLOOKUP($A37,test!$A$3:$F$32,2,FALSE),VLOOKUP(Z$1,test!$A$3:$F$32,2,FALSE))&lt;test!$K$16,$A37&lt;&gt;Z$1,Recharged_Feasible_mat!AA6),(VLOOKUP(Z$1,test!$A$3:$I$32,8,FALSE))-(VLOOKUP($A37,test!$A$3:$I$32,9,FALSE))+(test!$B$33-50),0)</f>
        <v>0</v>
      </c>
      <c r="AA37">
        <f>IF(AND(SUM(VLOOKUP($A37,test!$A$3:$F$32,2,FALSE),VLOOKUP(AA$1,test!$A$3:$F$32,2,FALSE))&lt;test!$K$16,$A37&lt;&gt;AA$1,Recharged_Feasible_mat!AB6),(VLOOKUP(AA$1,test!$A$3:$I$32,8,FALSE))-(VLOOKUP($A37,test!$A$3:$I$32,9,FALSE))+(test!$B$33-50),0)</f>
        <v>0</v>
      </c>
      <c r="AB37">
        <f>IF(AND(SUM(VLOOKUP($A37,test!$A$3:$F$32,2,FALSE),VLOOKUP(AB$1,test!$A$3:$F$32,2,FALSE))&lt;test!$K$16,$A37&lt;&gt;AB$1,Recharged_Feasible_mat!AC6),(VLOOKUP(AB$1,test!$A$3:$I$32,8,FALSE))-(VLOOKUP($A37,test!$A$3:$I$32,9,FALSE))+(test!$B$33-50),0)</f>
        <v>0</v>
      </c>
      <c r="AC37">
        <f>IF(AND(SUM(VLOOKUP($A37,test!$A$3:$F$32,2,FALSE),VLOOKUP(AC$1,test!$A$3:$F$32,2,FALSE))&lt;test!$K$16,$A37&lt;&gt;AC$1,Recharged_Feasible_mat!AD6),(VLOOKUP(AC$1,test!$A$3:$I$32,8,FALSE))-(VLOOKUP($A37,test!$A$3:$I$32,9,FALSE))+(test!$B$33-50),0)</f>
        <v>0</v>
      </c>
      <c r="AD37">
        <f>IF(AND(SUM(VLOOKUP($A37,test!$A$3:$F$32,2,FALSE),VLOOKUP(AD$1,test!$A$3:$F$32,2,FALSE))&lt;test!$K$16,$A37&lt;&gt;AD$1,Recharged_Feasible_mat!AE6),(VLOOKUP(AD$1,test!$A$3:$I$32,8,FALSE))-(VLOOKUP($A37,test!$A$3:$I$32,9,FALSE))+(test!$B$33-50),0)</f>
        <v>0</v>
      </c>
      <c r="AE37">
        <f>IF(AND(SUM(VLOOKUP($A37,test!$A$3:$F$32,2,FALSE),VLOOKUP(AE$1,test!$A$3:$F$32,2,FALSE))&lt;test!$K$16,$A37&lt;&gt;AE$1,Recharged_Feasible_mat!AF6),(VLOOKUP(AE$1,test!$A$3:$I$32,8,FALSE))-(VLOOKUP($A37,test!$A$3:$I$32,9,FALSE))+(test!$B$33-50),0)</f>
        <v>0</v>
      </c>
      <c r="AF37">
        <f>IF(AND(SUM(VLOOKUP($A37,test!$A$3:$F$32,2,FALSE),VLOOKUP(AF$1,test!$A$3:$F$32,2,FALSE))&lt;test!$K$16,$A37&lt;&gt;AF$1,Recharged_Feasible_mat!AG6),(VLOOKUP(AF$1,test!$A$3:$I$32,8,FALSE))-(VLOOKUP($A37,test!$A$3:$I$32,9,FALSE))+(test!$B$33-50),0)</f>
        <v>0</v>
      </c>
      <c r="AH37" s="16" t="b">
        <f>$A34&lt;&gt;E$1</f>
        <v>1</v>
      </c>
    </row>
    <row r="38" spans="1:34" x14ac:dyDescent="0.25">
      <c r="A38" t="s">
        <v>12</v>
      </c>
      <c r="B38">
        <v>0</v>
      </c>
      <c r="C38">
        <f>IF(AND(SUM(VLOOKUP($A38,test!$A$3:$F$32,2,FALSE),VLOOKUP(C$1,test!$A$3:$F$32,2,FALSE))&lt;test!$K$16,$A38&lt;&gt;C$1,Recharged_Feasible_mat!D7),(VLOOKUP(C$1,test!$A$3:$I$32,8,FALSE))-(VLOOKUP($A38,test!$A$3:$I$32,9,FALSE))+(test!$B$33-50),0)</f>
        <v>0</v>
      </c>
      <c r="D38">
        <f>IF(AND(SUM(VLOOKUP($A38,test!$A$3:$F$32,2,FALSE),VLOOKUP(D$1,test!$A$3:$F$32,2,FALSE))&lt;test!$K$16,$A38&lt;&gt;D$1,Recharged_Feasible_mat!E7),(VLOOKUP(D$1,test!$A$3:$I$32,8,FALSE))-(VLOOKUP($A38,test!$A$3:$I$32,9,FALSE))+(test!$B$33-50),0)</f>
        <v>0</v>
      </c>
      <c r="E38">
        <f>IF(AND(SUM(VLOOKUP($A38,test!$A$3:$F$32,2,FALSE),VLOOKUP(E$1,test!$A$3:$F$32,2,FALSE))&lt;test!$K$16,$A38&lt;&gt;E$1,Recharged_Feasible_mat!F7),(VLOOKUP(E$1,test!$A$3:$I$32,8,FALSE))-(VLOOKUP($A38,test!$A$3:$I$32,9,FALSE))+(test!$B$33-50),0)</f>
        <v>0</v>
      </c>
      <c r="F38">
        <f>IF(AND(SUM(VLOOKUP($A38,test!$A$3:$F$32,2,FALSE),VLOOKUP(F$1,test!$A$3:$F$32,2,FALSE))&lt;test!$K$16,$A38&lt;&gt;F$1,Recharged_Feasible_mat!G7),(VLOOKUP(F$1,test!$A$3:$I$32,8,FALSE))-(VLOOKUP($A38,test!$A$3:$I$32,9,FALSE))+(test!$B$33-50),0)</f>
        <v>0</v>
      </c>
      <c r="G38">
        <f>IF(AND(SUM(VLOOKUP($A38,test!$A$3:$F$32,2,FALSE),VLOOKUP(G$1,test!$A$3:$F$32,2,FALSE))&lt;test!$K$16,$A38&lt;&gt;G$1,Recharged_Feasible_mat!H7),(VLOOKUP(G$1,test!$A$3:$I$32,8,FALSE))-(VLOOKUP($A38,test!$A$3:$I$32,9,FALSE))+(test!$B$33-50),0)</f>
        <v>0</v>
      </c>
      <c r="H38">
        <f>IF(AND(SUM(VLOOKUP($A38,test!$A$3:$F$32,2,FALSE),VLOOKUP(H$1,test!$A$3:$F$32,2,FALSE))&lt;test!$K$16,$A38&lt;&gt;H$1,Recharged_Feasible_mat!I7),(VLOOKUP(H$1,test!$A$3:$I$32,8,FALSE))-(VLOOKUP($A38,test!$A$3:$I$32,9,FALSE))+(test!$B$33-50),0)</f>
        <v>0</v>
      </c>
      <c r="I38">
        <f>IF(AND(SUM(VLOOKUP($A38,test!$A$3:$F$32,2,FALSE),VLOOKUP(I$1,test!$A$3:$F$32,2,FALSE))&lt;test!$K$16,$A38&lt;&gt;I$1,Recharged_Feasible_mat!J7),(VLOOKUP(I$1,test!$A$3:$I$32,8,FALSE))-(VLOOKUP($A38,test!$A$3:$I$32,9,FALSE))+(test!$B$33-50),0)</f>
        <v>0</v>
      </c>
      <c r="J38">
        <f>IF(AND(SUM(VLOOKUP($A38,test!$A$3:$F$32,2,FALSE),VLOOKUP(J$1,test!$A$3:$F$32,2,FALSE))&lt;test!$K$16,$A38&lt;&gt;J$1,Recharged_Feasible_mat!K7),(VLOOKUP(J$1,test!$A$3:$I$32,8,FALSE))-(VLOOKUP($A38,test!$A$3:$I$32,9,FALSE))+(test!$B$33-50),0)</f>
        <v>0</v>
      </c>
      <c r="K38">
        <f>IF(AND(SUM(VLOOKUP($A38,test!$A$3:$F$32,2,FALSE),VLOOKUP(K$1,test!$A$3:$F$32,2,FALSE))&lt;test!$K$16,$A38&lt;&gt;K$1,Recharged_Feasible_mat!L7),(VLOOKUP(K$1,test!$A$3:$I$32,8,FALSE))-(VLOOKUP($A38,test!$A$3:$I$32,9,FALSE))+(test!$B$33-50),0)</f>
        <v>0</v>
      </c>
      <c r="L38">
        <f>IF(AND(SUM(VLOOKUP($A38,test!$A$3:$F$32,2,FALSE),VLOOKUP(L$1,test!$A$3:$F$32,2,FALSE))&lt;test!$K$16,$A38&lt;&gt;L$1,Recharged_Feasible_mat!M7),(VLOOKUP(L$1,test!$A$3:$I$32,8,FALSE))-(VLOOKUP($A38,test!$A$3:$I$32,9,FALSE))+(test!$B$33-50),0)</f>
        <v>0</v>
      </c>
      <c r="M38">
        <f>IF(AND(SUM(VLOOKUP($A38,test!$A$3:$F$32,2,FALSE),VLOOKUP(M$1,test!$A$3:$F$32,2,FALSE))&lt;test!$K$16,$A38&lt;&gt;M$1,Recharged_Feasible_mat!N7),(VLOOKUP(M$1,test!$A$3:$I$32,8,FALSE))-(VLOOKUP($A38,test!$A$3:$I$32,9,FALSE))+(test!$B$33-50),0)</f>
        <v>0</v>
      </c>
      <c r="N38">
        <f>IF(AND(SUM(VLOOKUP($A38,test!$A$3:$F$32,2,FALSE),VLOOKUP(N$1,test!$A$3:$F$32,2,FALSE))&lt;test!$K$16,$A38&lt;&gt;N$1,Recharged_Feasible_mat!O7),(VLOOKUP(N$1,test!$A$3:$I$32,8,FALSE))-(VLOOKUP($A38,test!$A$3:$I$32,9,FALSE))+(test!$B$33-50),0)</f>
        <v>0</v>
      </c>
      <c r="O38">
        <f>IF(AND(SUM(VLOOKUP($A38,test!$A$3:$F$32,2,FALSE),VLOOKUP(O$1,test!$A$3:$F$32,2,FALSE))&lt;test!$K$16,$A38&lt;&gt;O$1,Recharged_Feasible_mat!P7),(VLOOKUP(O$1,test!$A$3:$I$32,8,FALSE))-(VLOOKUP($A38,test!$A$3:$I$32,9,FALSE))+(test!$B$33-50),0)</f>
        <v>100</v>
      </c>
      <c r="P38">
        <f>IF(AND(SUM(VLOOKUP($A38,test!$A$3:$F$32,2,FALSE),VLOOKUP(P$1,test!$A$3:$F$32,2,FALSE))&lt;test!$K$16,$A38&lt;&gt;P$1,Recharged_Feasible_mat!Q7),(VLOOKUP(P$1,test!$A$3:$I$32,8,FALSE))-(VLOOKUP($A38,test!$A$3:$I$32,9,FALSE))+(test!$B$33-50),0)</f>
        <v>0</v>
      </c>
      <c r="Q38">
        <f>IF(AND(SUM(VLOOKUP($A38,test!$A$3:$F$32,2,FALSE),VLOOKUP(Q$1,test!$A$3:$F$32,2,FALSE))&lt;test!$K$16,$A38&lt;&gt;Q$1,Recharged_Feasible_mat!R7),(VLOOKUP(Q$1,test!$A$3:$I$32,8,FALSE))-(VLOOKUP($A38,test!$A$3:$I$32,9,FALSE))+(test!$B$33-50),0)</f>
        <v>0</v>
      </c>
      <c r="R38">
        <f>IF(AND(SUM(VLOOKUP($A38,test!$A$3:$F$32,2,FALSE),VLOOKUP(R$1,test!$A$3:$F$32,2,FALSE))&lt;test!$K$16,$A38&lt;&gt;R$1,Recharged_Feasible_mat!S7),(VLOOKUP(R$1,test!$A$3:$I$32,8,FALSE))-(VLOOKUP($A38,test!$A$3:$I$32,9,FALSE))+(test!$B$33-50),0)</f>
        <v>0</v>
      </c>
      <c r="S38">
        <f>IF(AND(SUM(VLOOKUP($A38,test!$A$3:$F$32,2,FALSE),VLOOKUP(S$1,test!$A$3:$F$32,2,FALSE))&lt;test!$K$16,$A38&lt;&gt;S$1,Recharged_Feasible_mat!T7),(VLOOKUP(S$1,test!$A$3:$I$32,8,FALSE))-(VLOOKUP($A38,test!$A$3:$I$32,9,FALSE))+(test!$B$33-50),0)</f>
        <v>0</v>
      </c>
      <c r="T38">
        <f>IF(AND(SUM(VLOOKUP($A38,test!$A$3:$F$32,2,FALSE),VLOOKUP(T$1,test!$A$3:$F$32,2,FALSE))&lt;test!$K$16,$A38&lt;&gt;T$1,Recharged_Feasible_mat!U7),(VLOOKUP(T$1,test!$A$3:$I$32,8,FALSE))-(VLOOKUP($A38,test!$A$3:$I$32,9,FALSE))+(test!$B$33-50),0)</f>
        <v>0</v>
      </c>
      <c r="U38">
        <f>IF(AND(SUM(VLOOKUP($A38,test!$A$3:$F$32,2,FALSE),VLOOKUP(U$1,test!$A$3:$F$32,2,FALSE))&lt;test!$K$16,$A38&lt;&gt;U$1,Recharged_Feasible_mat!V7),(VLOOKUP(U$1,test!$A$3:$I$32,8,FALSE))-(VLOOKUP($A38,test!$A$3:$I$32,9,FALSE))+(test!$B$33-50),0)</f>
        <v>0</v>
      </c>
      <c r="V38">
        <f>IF(AND(SUM(VLOOKUP($A38,test!$A$3:$F$32,2,FALSE),VLOOKUP(V$1,test!$A$3:$F$32,2,FALSE))&lt;test!$K$16,$A38&lt;&gt;V$1,Recharged_Feasible_mat!W7),(VLOOKUP(V$1,test!$A$3:$I$32,8,FALSE))-(VLOOKUP($A38,test!$A$3:$I$32,9,FALSE))+(test!$B$33-50),0)</f>
        <v>0</v>
      </c>
      <c r="W38">
        <f>IF(AND(SUM(VLOOKUP($A38,test!$A$3:$F$32,2,FALSE),VLOOKUP(W$1,test!$A$3:$F$32,2,FALSE))&lt;test!$K$16,$A38&lt;&gt;W$1,Recharged_Feasible_mat!X7),(VLOOKUP(W$1,test!$A$3:$I$32,8,FALSE))-(VLOOKUP($A38,test!$A$3:$I$32,9,FALSE))+(test!$B$33-50),0)</f>
        <v>0</v>
      </c>
      <c r="X38">
        <f>IF(AND(SUM(VLOOKUP($A38,test!$A$3:$F$32,2,FALSE),VLOOKUP(X$1,test!$A$3:$F$32,2,FALSE))&lt;test!$K$16,$A38&lt;&gt;X$1,Recharged_Feasible_mat!Y7),(VLOOKUP(X$1,test!$A$3:$I$32,8,FALSE))-(VLOOKUP($A38,test!$A$3:$I$32,9,FALSE))+(test!$B$33-50),0)</f>
        <v>0</v>
      </c>
      <c r="Y38">
        <f>IF(AND(SUM(VLOOKUP($A38,test!$A$3:$F$32,2,FALSE),VLOOKUP(Y$1,test!$A$3:$F$32,2,FALSE))&lt;test!$K$16,$A38&lt;&gt;Y$1,Recharged_Feasible_mat!Z7),(VLOOKUP(Y$1,test!$A$3:$I$32,8,FALSE))-(VLOOKUP($A38,test!$A$3:$I$32,9,FALSE))+(test!$B$33-50),0)</f>
        <v>0</v>
      </c>
      <c r="Z38">
        <f>IF(AND(SUM(VLOOKUP($A38,test!$A$3:$F$32,2,FALSE),VLOOKUP(Z$1,test!$A$3:$F$32,2,FALSE))&lt;test!$K$16,$A38&lt;&gt;Z$1,Recharged_Feasible_mat!AA7),(VLOOKUP(Z$1,test!$A$3:$I$32,8,FALSE))-(VLOOKUP($A38,test!$A$3:$I$32,9,FALSE))+(test!$B$33-50),0)</f>
        <v>0</v>
      </c>
      <c r="AA38">
        <f>IF(AND(SUM(VLOOKUP($A38,test!$A$3:$F$32,2,FALSE),VLOOKUP(AA$1,test!$A$3:$F$32,2,FALSE))&lt;test!$K$16,$A38&lt;&gt;AA$1,Recharged_Feasible_mat!AB7),(VLOOKUP(AA$1,test!$A$3:$I$32,8,FALSE))-(VLOOKUP($A38,test!$A$3:$I$32,9,FALSE))+(test!$B$33-50),0)</f>
        <v>0</v>
      </c>
      <c r="AB38">
        <f>IF(AND(SUM(VLOOKUP($A38,test!$A$3:$F$32,2,FALSE),VLOOKUP(AB$1,test!$A$3:$F$32,2,FALSE))&lt;test!$K$16,$A38&lt;&gt;AB$1,Recharged_Feasible_mat!AC7),(VLOOKUP(AB$1,test!$A$3:$I$32,8,FALSE))-(VLOOKUP($A38,test!$A$3:$I$32,9,FALSE))+(test!$B$33-50),0)</f>
        <v>0</v>
      </c>
      <c r="AC38">
        <f>IF(AND(SUM(VLOOKUP($A38,test!$A$3:$F$32,2,FALSE),VLOOKUP(AC$1,test!$A$3:$F$32,2,FALSE))&lt;test!$K$16,$A38&lt;&gt;AC$1,Recharged_Feasible_mat!AD7),(VLOOKUP(AC$1,test!$A$3:$I$32,8,FALSE))-(VLOOKUP($A38,test!$A$3:$I$32,9,FALSE))+(test!$B$33-50),0)</f>
        <v>0</v>
      </c>
      <c r="AD38">
        <f>IF(AND(SUM(VLOOKUP($A38,test!$A$3:$F$32,2,FALSE),VLOOKUP(AD$1,test!$A$3:$F$32,2,FALSE))&lt;test!$K$16,$A38&lt;&gt;AD$1,Recharged_Feasible_mat!AE7),(VLOOKUP(AD$1,test!$A$3:$I$32,8,FALSE))-(VLOOKUP($A38,test!$A$3:$I$32,9,FALSE))+(test!$B$33-50),0)</f>
        <v>0</v>
      </c>
      <c r="AE38">
        <f>IF(AND(SUM(VLOOKUP($A38,test!$A$3:$F$32,2,FALSE),VLOOKUP(AE$1,test!$A$3:$F$32,2,FALSE))&lt;test!$K$16,$A38&lt;&gt;AE$1,Recharged_Feasible_mat!AF7),(VLOOKUP(AE$1,test!$A$3:$I$32,8,FALSE))-(VLOOKUP($A38,test!$A$3:$I$32,9,FALSE))+(test!$B$33-50),0)</f>
        <v>0</v>
      </c>
      <c r="AF38">
        <f>IF(AND(SUM(VLOOKUP($A38,test!$A$3:$F$32,2,FALSE),VLOOKUP(AF$1,test!$A$3:$F$32,2,FALSE))&lt;test!$K$16,$A38&lt;&gt;AF$1,Recharged_Feasible_mat!AG7),(VLOOKUP(AF$1,test!$A$3:$I$32,8,FALSE))-(VLOOKUP($A38,test!$A$3:$I$32,9,FALSE))+(test!$B$33-50),0)</f>
        <v>0</v>
      </c>
      <c r="AH38" s="16" t="b">
        <f>feasible_mat!E34=1</f>
        <v>0</v>
      </c>
    </row>
    <row r="39" spans="1:34" x14ac:dyDescent="0.25">
      <c r="A39" t="s">
        <v>13</v>
      </c>
      <c r="B39">
        <v>0</v>
      </c>
      <c r="C39">
        <f>IF(AND(SUM(VLOOKUP($A39,test!$A$3:$F$32,2,FALSE),VLOOKUP(C$1,test!$A$3:$F$32,2,FALSE))&lt;test!$K$16,$A39&lt;&gt;C$1,Recharged_Feasible_mat!D8),(VLOOKUP(C$1,test!$A$3:$I$32,8,FALSE))-(VLOOKUP($A39,test!$A$3:$I$32,9,FALSE))+(test!$B$33-50),0)</f>
        <v>0</v>
      </c>
      <c r="D39">
        <f>IF(AND(SUM(VLOOKUP($A39,test!$A$3:$F$32,2,FALSE),VLOOKUP(D$1,test!$A$3:$F$32,2,FALSE))&lt;test!$K$16,$A39&lt;&gt;D$1,Recharged_Feasible_mat!E8),(VLOOKUP(D$1,test!$A$3:$I$32,8,FALSE))-(VLOOKUP($A39,test!$A$3:$I$32,9,FALSE))+(test!$B$33-50),0)</f>
        <v>0</v>
      </c>
      <c r="E39">
        <f>IF(AND(SUM(VLOOKUP($A39,test!$A$3:$F$32,2,FALSE),VLOOKUP(E$1,test!$A$3:$F$32,2,FALSE))&lt;test!$K$16,$A39&lt;&gt;E$1,Recharged_Feasible_mat!F8),(VLOOKUP(E$1,test!$A$3:$I$32,8,FALSE))-(VLOOKUP($A39,test!$A$3:$I$32,9,FALSE))+(test!$B$33-50),0)</f>
        <v>0</v>
      </c>
      <c r="F39">
        <f>IF(AND(SUM(VLOOKUP($A39,test!$A$3:$F$32,2,FALSE),VLOOKUP(F$1,test!$A$3:$F$32,2,FALSE))&lt;test!$K$16,$A39&lt;&gt;F$1,Recharged_Feasible_mat!G8),(VLOOKUP(F$1,test!$A$3:$I$32,8,FALSE))-(VLOOKUP($A39,test!$A$3:$I$32,9,FALSE))+(test!$B$33-50),0)</f>
        <v>0</v>
      </c>
      <c r="G39">
        <f>IF(AND(SUM(VLOOKUP($A39,test!$A$3:$F$32,2,FALSE),VLOOKUP(G$1,test!$A$3:$F$32,2,FALSE))&lt;test!$K$16,$A39&lt;&gt;G$1,Recharged_Feasible_mat!H8),(VLOOKUP(G$1,test!$A$3:$I$32,8,FALSE))-(VLOOKUP($A39,test!$A$3:$I$32,9,FALSE))+(test!$B$33-50),0)</f>
        <v>0</v>
      </c>
      <c r="H39">
        <f>IF(AND(SUM(VLOOKUP($A39,test!$A$3:$F$32,2,FALSE),VLOOKUP(H$1,test!$A$3:$F$32,2,FALSE))&lt;test!$K$16,$A39&lt;&gt;H$1,Recharged_Feasible_mat!I8),(VLOOKUP(H$1,test!$A$3:$I$32,8,FALSE))-(VLOOKUP($A39,test!$A$3:$I$32,9,FALSE))+(test!$B$33-50),0)</f>
        <v>0</v>
      </c>
      <c r="I39">
        <f>IF(AND(SUM(VLOOKUP($A39,test!$A$3:$F$32,2,FALSE),VLOOKUP(I$1,test!$A$3:$F$32,2,FALSE))&lt;test!$K$16,$A39&lt;&gt;I$1,Recharged_Feasible_mat!J8),(VLOOKUP(I$1,test!$A$3:$I$32,8,FALSE))-(VLOOKUP($A39,test!$A$3:$I$32,9,FALSE))+(test!$B$33-50),0)</f>
        <v>0</v>
      </c>
      <c r="J39">
        <f>IF(AND(SUM(VLOOKUP($A39,test!$A$3:$F$32,2,FALSE),VLOOKUP(J$1,test!$A$3:$F$32,2,FALSE))&lt;test!$K$16,$A39&lt;&gt;J$1,Recharged_Feasible_mat!K8),(VLOOKUP(J$1,test!$A$3:$I$32,8,FALSE))-(VLOOKUP($A39,test!$A$3:$I$32,9,FALSE))+(test!$B$33-50),0)</f>
        <v>0</v>
      </c>
      <c r="K39">
        <f>IF(AND(SUM(VLOOKUP($A39,test!$A$3:$F$32,2,FALSE),VLOOKUP(K$1,test!$A$3:$F$32,2,FALSE))&lt;test!$K$16,$A39&lt;&gt;K$1,Recharged_Feasible_mat!L8),(VLOOKUP(K$1,test!$A$3:$I$32,8,FALSE))-(VLOOKUP($A39,test!$A$3:$I$32,9,FALSE))+(test!$B$33-50),0)</f>
        <v>0</v>
      </c>
      <c r="L39">
        <f>IF(AND(SUM(VLOOKUP($A39,test!$A$3:$F$32,2,FALSE),VLOOKUP(L$1,test!$A$3:$F$32,2,FALSE))&lt;test!$K$16,$A39&lt;&gt;L$1,Recharged_Feasible_mat!M8),(VLOOKUP(L$1,test!$A$3:$I$32,8,FALSE))-(VLOOKUP($A39,test!$A$3:$I$32,9,FALSE))+(test!$B$33-50),0)</f>
        <v>0</v>
      </c>
      <c r="M39">
        <f>IF(AND(SUM(VLOOKUP($A39,test!$A$3:$F$32,2,FALSE),VLOOKUP(M$1,test!$A$3:$F$32,2,FALSE))&lt;test!$K$16,$A39&lt;&gt;M$1,Recharged_Feasible_mat!N8),(VLOOKUP(M$1,test!$A$3:$I$32,8,FALSE))-(VLOOKUP($A39,test!$A$3:$I$32,9,FALSE))+(test!$B$33-50),0)</f>
        <v>0</v>
      </c>
      <c r="N39">
        <f>IF(AND(SUM(VLOOKUP($A39,test!$A$3:$F$32,2,FALSE),VLOOKUP(N$1,test!$A$3:$F$32,2,FALSE))&lt;test!$K$16,$A39&lt;&gt;N$1,Recharged_Feasible_mat!O8),(VLOOKUP(N$1,test!$A$3:$I$32,8,FALSE))-(VLOOKUP($A39,test!$A$3:$I$32,9,FALSE))+(test!$B$33-50),0)</f>
        <v>0</v>
      </c>
      <c r="O39">
        <f>IF(AND(SUM(VLOOKUP($A39,test!$A$3:$F$32,2,FALSE),VLOOKUP(O$1,test!$A$3:$F$32,2,FALSE))&lt;test!$K$16,$A39&lt;&gt;O$1,Recharged_Feasible_mat!P8),(VLOOKUP(O$1,test!$A$3:$I$32,8,FALSE))-(VLOOKUP($A39,test!$A$3:$I$32,9,FALSE))+(test!$B$33-50),0)</f>
        <v>0</v>
      </c>
      <c r="P39">
        <f>IF(AND(SUM(VLOOKUP($A39,test!$A$3:$F$32,2,FALSE),VLOOKUP(P$1,test!$A$3:$F$32,2,FALSE))&lt;test!$K$16,$A39&lt;&gt;P$1,Recharged_Feasible_mat!Q8),(VLOOKUP(P$1,test!$A$3:$I$32,8,FALSE))-(VLOOKUP($A39,test!$A$3:$I$32,9,FALSE))+(test!$B$33-50),0)</f>
        <v>0</v>
      </c>
      <c r="Q39">
        <f>IF(AND(SUM(VLOOKUP($A39,test!$A$3:$F$32,2,FALSE),VLOOKUP(Q$1,test!$A$3:$F$32,2,FALSE))&lt;test!$K$16,$A39&lt;&gt;Q$1,Recharged_Feasible_mat!R8),(VLOOKUP(Q$1,test!$A$3:$I$32,8,FALSE))-(VLOOKUP($A39,test!$A$3:$I$32,9,FALSE))+(test!$B$33-50),0)</f>
        <v>0</v>
      </c>
      <c r="R39">
        <f>IF(AND(SUM(VLOOKUP($A39,test!$A$3:$F$32,2,FALSE),VLOOKUP(R$1,test!$A$3:$F$32,2,FALSE))&lt;test!$K$16,$A39&lt;&gt;R$1,Recharged_Feasible_mat!S8),(VLOOKUP(R$1,test!$A$3:$I$32,8,FALSE))-(VLOOKUP($A39,test!$A$3:$I$32,9,FALSE))+(test!$B$33-50),0)</f>
        <v>0</v>
      </c>
      <c r="S39">
        <f>IF(AND(SUM(VLOOKUP($A39,test!$A$3:$F$32,2,FALSE),VLOOKUP(S$1,test!$A$3:$F$32,2,FALSE))&lt;test!$K$16,$A39&lt;&gt;S$1,Recharged_Feasible_mat!T8),(VLOOKUP(S$1,test!$A$3:$I$32,8,FALSE))-(VLOOKUP($A39,test!$A$3:$I$32,9,FALSE))+(test!$B$33-50),0)</f>
        <v>0</v>
      </c>
      <c r="T39">
        <f>IF(AND(SUM(VLOOKUP($A39,test!$A$3:$F$32,2,FALSE),VLOOKUP(T$1,test!$A$3:$F$32,2,FALSE))&lt;test!$K$16,$A39&lt;&gt;T$1,Recharged_Feasible_mat!U8),(VLOOKUP(T$1,test!$A$3:$I$32,8,FALSE))-(VLOOKUP($A39,test!$A$3:$I$32,9,FALSE))+(test!$B$33-50),0)</f>
        <v>0</v>
      </c>
      <c r="U39">
        <f>IF(AND(SUM(VLOOKUP($A39,test!$A$3:$F$32,2,FALSE),VLOOKUP(U$1,test!$A$3:$F$32,2,FALSE))&lt;test!$K$16,$A39&lt;&gt;U$1,Recharged_Feasible_mat!V8),(VLOOKUP(U$1,test!$A$3:$I$32,8,FALSE))-(VLOOKUP($A39,test!$A$3:$I$32,9,FALSE))+(test!$B$33-50),0)</f>
        <v>0</v>
      </c>
      <c r="V39">
        <f>IF(AND(SUM(VLOOKUP($A39,test!$A$3:$F$32,2,FALSE),VLOOKUP(V$1,test!$A$3:$F$32,2,FALSE))&lt;test!$K$16,$A39&lt;&gt;V$1,Recharged_Feasible_mat!W8),(VLOOKUP(V$1,test!$A$3:$I$32,8,FALSE))-(VLOOKUP($A39,test!$A$3:$I$32,9,FALSE))+(test!$B$33-50),0)</f>
        <v>0</v>
      </c>
      <c r="W39">
        <f>IF(AND(SUM(VLOOKUP($A39,test!$A$3:$F$32,2,FALSE),VLOOKUP(W$1,test!$A$3:$F$32,2,FALSE))&lt;test!$K$16,$A39&lt;&gt;W$1,Recharged_Feasible_mat!X8),(VLOOKUP(W$1,test!$A$3:$I$32,8,FALSE))-(VLOOKUP($A39,test!$A$3:$I$32,9,FALSE))+(test!$B$33-50),0)</f>
        <v>0</v>
      </c>
      <c r="X39">
        <f>IF(AND(SUM(VLOOKUP($A39,test!$A$3:$F$32,2,FALSE),VLOOKUP(X$1,test!$A$3:$F$32,2,FALSE))&lt;test!$K$16,$A39&lt;&gt;X$1,Recharged_Feasible_mat!Y8),(VLOOKUP(X$1,test!$A$3:$I$32,8,FALSE))-(VLOOKUP($A39,test!$A$3:$I$32,9,FALSE))+(test!$B$33-50),0)</f>
        <v>0</v>
      </c>
      <c r="Y39">
        <f>IF(AND(SUM(VLOOKUP($A39,test!$A$3:$F$32,2,FALSE),VLOOKUP(Y$1,test!$A$3:$F$32,2,FALSE))&lt;test!$K$16,$A39&lt;&gt;Y$1,Recharged_Feasible_mat!Z8),(VLOOKUP(Y$1,test!$A$3:$I$32,8,FALSE))-(VLOOKUP($A39,test!$A$3:$I$32,9,FALSE))+(test!$B$33-50),0)</f>
        <v>0</v>
      </c>
      <c r="Z39">
        <f>IF(AND(SUM(VLOOKUP($A39,test!$A$3:$F$32,2,FALSE),VLOOKUP(Z$1,test!$A$3:$F$32,2,FALSE))&lt;test!$K$16,$A39&lt;&gt;Z$1,Recharged_Feasible_mat!AA8),(VLOOKUP(Z$1,test!$A$3:$I$32,8,FALSE))-(VLOOKUP($A39,test!$A$3:$I$32,9,FALSE))+(test!$B$33-50),0)</f>
        <v>0</v>
      </c>
      <c r="AA39">
        <f>IF(AND(SUM(VLOOKUP($A39,test!$A$3:$F$32,2,FALSE),VLOOKUP(AA$1,test!$A$3:$F$32,2,FALSE))&lt;test!$K$16,$A39&lt;&gt;AA$1,Recharged_Feasible_mat!AB8),(VLOOKUP(AA$1,test!$A$3:$I$32,8,FALSE))-(VLOOKUP($A39,test!$A$3:$I$32,9,FALSE))+(test!$B$33-50),0)</f>
        <v>0</v>
      </c>
      <c r="AB39">
        <f>IF(AND(SUM(VLOOKUP($A39,test!$A$3:$F$32,2,FALSE),VLOOKUP(AB$1,test!$A$3:$F$32,2,FALSE))&lt;test!$K$16,$A39&lt;&gt;AB$1,Recharged_Feasible_mat!AC8),(VLOOKUP(AB$1,test!$A$3:$I$32,8,FALSE))-(VLOOKUP($A39,test!$A$3:$I$32,9,FALSE))+(test!$B$33-50),0)</f>
        <v>0</v>
      </c>
      <c r="AC39">
        <f>IF(AND(SUM(VLOOKUP($A39,test!$A$3:$F$32,2,FALSE),VLOOKUP(AC$1,test!$A$3:$F$32,2,FALSE))&lt;test!$K$16,$A39&lt;&gt;AC$1,Recharged_Feasible_mat!AD8),(VLOOKUP(AC$1,test!$A$3:$I$32,8,FALSE))-(VLOOKUP($A39,test!$A$3:$I$32,9,FALSE))+(test!$B$33-50),0)</f>
        <v>0</v>
      </c>
      <c r="AD39">
        <f>IF(AND(SUM(VLOOKUP($A39,test!$A$3:$F$32,2,FALSE),VLOOKUP(AD$1,test!$A$3:$F$32,2,FALSE))&lt;test!$K$16,$A39&lt;&gt;AD$1,Recharged_Feasible_mat!AE8),(VLOOKUP(AD$1,test!$A$3:$I$32,8,FALSE))-(VLOOKUP($A39,test!$A$3:$I$32,9,FALSE))+(test!$B$33-50),0)</f>
        <v>0</v>
      </c>
      <c r="AE39">
        <f>IF(AND(SUM(VLOOKUP($A39,test!$A$3:$F$32,2,FALSE),VLOOKUP(AE$1,test!$A$3:$F$32,2,FALSE))&lt;test!$K$16,$A39&lt;&gt;AE$1,Recharged_Feasible_mat!AF8),(VLOOKUP(AE$1,test!$A$3:$I$32,8,FALSE))-(VLOOKUP($A39,test!$A$3:$I$32,9,FALSE))+(test!$B$33-50),0)</f>
        <v>0</v>
      </c>
      <c r="AF39">
        <f>IF(AND(SUM(VLOOKUP($A39,test!$A$3:$F$32,2,FALSE),VLOOKUP(AF$1,test!$A$3:$F$32,2,FALSE))&lt;test!$K$16,$A39&lt;&gt;AF$1,Recharged_Feasible_mat!AG8),(VLOOKUP(AF$1,test!$A$3:$I$32,8,FALSE))-(VLOOKUP($A39,test!$A$3:$I$32,9,FALSE))+(test!$B$33-50),0)</f>
        <v>0</v>
      </c>
    </row>
    <row r="40" spans="1:34" x14ac:dyDescent="0.25">
      <c r="A40" t="s">
        <v>14</v>
      </c>
      <c r="B40">
        <v>0</v>
      </c>
      <c r="C40">
        <f>IF(AND(SUM(VLOOKUP($A40,test!$A$3:$F$32,2,FALSE),VLOOKUP(C$1,test!$A$3:$F$32,2,FALSE))&lt;test!$K$16,$A40&lt;&gt;C$1,Recharged_Feasible_mat!D9),(VLOOKUP(C$1,test!$A$3:$I$32,8,FALSE))-(VLOOKUP($A40,test!$A$3:$I$32,9,FALSE))+(test!$B$33-50),0)</f>
        <v>0</v>
      </c>
      <c r="D40">
        <f>IF(AND(SUM(VLOOKUP($A40,test!$A$3:$F$32,2,FALSE),VLOOKUP(D$1,test!$A$3:$F$32,2,FALSE))&lt;test!$K$16,$A40&lt;&gt;D$1,Recharged_Feasible_mat!E9),(VLOOKUP(D$1,test!$A$3:$I$32,8,FALSE))-(VLOOKUP($A40,test!$A$3:$I$32,9,FALSE))+(test!$B$33-50),0)</f>
        <v>0</v>
      </c>
      <c r="E40">
        <f>IF(AND(SUM(VLOOKUP($A40,test!$A$3:$F$32,2,FALSE),VLOOKUP(E$1,test!$A$3:$F$32,2,FALSE))&lt;test!$K$16,$A40&lt;&gt;E$1,Recharged_Feasible_mat!F9),(VLOOKUP(E$1,test!$A$3:$I$32,8,FALSE))-(VLOOKUP($A40,test!$A$3:$I$32,9,FALSE))+(test!$B$33-50),0)</f>
        <v>0</v>
      </c>
      <c r="F40">
        <f>IF(AND(SUM(VLOOKUP($A40,test!$A$3:$F$32,2,FALSE),VLOOKUP(F$1,test!$A$3:$F$32,2,FALSE))&lt;test!$K$16,$A40&lt;&gt;F$1,Recharged_Feasible_mat!G9),(VLOOKUP(F$1,test!$A$3:$I$32,8,FALSE))-(VLOOKUP($A40,test!$A$3:$I$32,9,FALSE))+(test!$B$33-50),0)</f>
        <v>0</v>
      </c>
      <c r="G40">
        <f>IF(AND(SUM(VLOOKUP($A40,test!$A$3:$F$32,2,FALSE),VLOOKUP(G$1,test!$A$3:$F$32,2,FALSE))&lt;test!$K$16,$A40&lt;&gt;G$1,Recharged_Feasible_mat!H9),(VLOOKUP(G$1,test!$A$3:$I$32,8,FALSE))-(VLOOKUP($A40,test!$A$3:$I$32,9,FALSE))+(test!$B$33-50),0)</f>
        <v>0</v>
      </c>
      <c r="H40">
        <f>IF(AND(SUM(VLOOKUP($A40,test!$A$3:$F$32,2,FALSE),VLOOKUP(H$1,test!$A$3:$F$32,2,FALSE))&lt;test!$K$16,$A40&lt;&gt;H$1,Recharged_Feasible_mat!I9),(VLOOKUP(H$1,test!$A$3:$I$32,8,FALSE))-(VLOOKUP($A40,test!$A$3:$I$32,9,FALSE))+(test!$B$33-50),0)</f>
        <v>0</v>
      </c>
      <c r="I40">
        <f>IF(AND(SUM(VLOOKUP($A40,test!$A$3:$F$32,2,FALSE),VLOOKUP(I$1,test!$A$3:$F$32,2,FALSE))&lt;test!$K$16,$A40&lt;&gt;I$1,Recharged_Feasible_mat!J9),(VLOOKUP(I$1,test!$A$3:$I$32,8,FALSE))-(VLOOKUP($A40,test!$A$3:$I$32,9,FALSE))+(test!$B$33-50),0)</f>
        <v>0</v>
      </c>
      <c r="J40">
        <f>IF(AND(SUM(VLOOKUP($A40,test!$A$3:$F$32,2,FALSE),VLOOKUP(J$1,test!$A$3:$F$32,2,FALSE))&lt;test!$K$16,$A40&lt;&gt;J$1,Recharged_Feasible_mat!K9),(VLOOKUP(J$1,test!$A$3:$I$32,8,FALSE))-(VLOOKUP($A40,test!$A$3:$I$32,9,FALSE))+(test!$B$33-50),0)</f>
        <v>0</v>
      </c>
      <c r="K40">
        <f>IF(AND(SUM(VLOOKUP($A40,test!$A$3:$F$32,2,FALSE),VLOOKUP(K$1,test!$A$3:$F$32,2,FALSE))&lt;test!$K$16,$A40&lt;&gt;K$1,Recharged_Feasible_mat!L9),(VLOOKUP(K$1,test!$A$3:$I$32,8,FALSE))-(VLOOKUP($A40,test!$A$3:$I$32,9,FALSE))+(test!$B$33-50),0)</f>
        <v>0</v>
      </c>
      <c r="L40">
        <f>IF(AND(SUM(VLOOKUP($A40,test!$A$3:$F$32,2,FALSE),VLOOKUP(L$1,test!$A$3:$F$32,2,FALSE))&lt;test!$K$16,$A40&lt;&gt;L$1,Recharged_Feasible_mat!M9),(VLOOKUP(L$1,test!$A$3:$I$32,8,FALSE))-(VLOOKUP($A40,test!$A$3:$I$32,9,FALSE))+(test!$B$33-50),0)</f>
        <v>0</v>
      </c>
      <c r="M40">
        <f>IF(AND(SUM(VLOOKUP($A40,test!$A$3:$F$32,2,FALSE),VLOOKUP(M$1,test!$A$3:$F$32,2,FALSE))&lt;test!$K$16,$A40&lt;&gt;M$1,Recharged_Feasible_mat!N9),(VLOOKUP(M$1,test!$A$3:$I$32,8,FALSE))-(VLOOKUP($A40,test!$A$3:$I$32,9,FALSE))+(test!$B$33-50),0)</f>
        <v>0</v>
      </c>
      <c r="N40">
        <f>IF(AND(SUM(VLOOKUP($A40,test!$A$3:$F$32,2,FALSE),VLOOKUP(N$1,test!$A$3:$F$32,2,FALSE))&lt;test!$K$16,$A40&lt;&gt;N$1,Recharged_Feasible_mat!O9),(VLOOKUP(N$1,test!$A$3:$I$32,8,FALSE))-(VLOOKUP($A40,test!$A$3:$I$32,9,FALSE))+(test!$B$33-50),0)</f>
        <v>0</v>
      </c>
      <c r="O40">
        <f>IF(AND(SUM(VLOOKUP($A40,test!$A$3:$F$32,2,FALSE),VLOOKUP(O$1,test!$A$3:$F$32,2,FALSE))&lt;test!$K$16,$A40&lt;&gt;O$1,Recharged_Feasible_mat!P9),(VLOOKUP(O$1,test!$A$3:$I$32,8,FALSE))-(VLOOKUP($A40,test!$A$3:$I$32,9,FALSE))+(test!$B$33-50),0)</f>
        <v>0</v>
      </c>
      <c r="P40">
        <f>IF(AND(SUM(VLOOKUP($A40,test!$A$3:$F$32,2,FALSE),VLOOKUP(P$1,test!$A$3:$F$32,2,FALSE))&lt;test!$K$16,$A40&lt;&gt;P$1,Recharged_Feasible_mat!Q9),(VLOOKUP(P$1,test!$A$3:$I$32,8,FALSE))-(VLOOKUP($A40,test!$A$3:$I$32,9,FALSE))+(test!$B$33-50),0)</f>
        <v>0</v>
      </c>
      <c r="Q40">
        <f>IF(AND(SUM(VLOOKUP($A40,test!$A$3:$F$32,2,FALSE),VLOOKUP(Q$1,test!$A$3:$F$32,2,FALSE))&lt;test!$K$16,$A40&lt;&gt;Q$1,Recharged_Feasible_mat!R9),(VLOOKUP(Q$1,test!$A$3:$I$32,8,FALSE))-(VLOOKUP($A40,test!$A$3:$I$32,9,FALSE))+(test!$B$33-50),0)</f>
        <v>0</v>
      </c>
      <c r="R40">
        <f>IF(AND(SUM(VLOOKUP($A40,test!$A$3:$F$32,2,FALSE),VLOOKUP(R$1,test!$A$3:$F$32,2,FALSE))&lt;test!$K$16,$A40&lt;&gt;R$1,Recharged_Feasible_mat!S9),(VLOOKUP(R$1,test!$A$3:$I$32,8,FALSE))-(VLOOKUP($A40,test!$A$3:$I$32,9,FALSE))+(test!$B$33-50),0)</f>
        <v>0</v>
      </c>
      <c r="S40">
        <f>IF(AND(SUM(VLOOKUP($A40,test!$A$3:$F$32,2,FALSE),VLOOKUP(S$1,test!$A$3:$F$32,2,FALSE))&lt;test!$K$16,$A40&lt;&gt;S$1,Recharged_Feasible_mat!T9),(VLOOKUP(S$1,test!$A$3:$I$32,8,FALSE))-(VLOOKUP($A40,test!$A$3:$I$32,9,FALSE))+(test!$B$33-50),0)</f>
        <v>0</v>
      </c>
      <c r="T40">
        <f>IF(AND(SUM(VLOOKUP($A40,test!$A$3:$F$32,2,FALSE),VLOOKUP(T$1,test!$A$3:$F$32,2,FALSE))&lt;test!$K$16,$A40&lt;&gt;T$1,Recharged_Feasible_mat!U9),(VLOOKUP(T$1,test!$A$3:$I$32,8,FALSE))-(VLOOKUP($A40,test!$A$3:$I$32,9,FALSE))+(test!$B$33-50),0)</f>
        <v>0</v>
      </c>
      <c r="U40">
        <f>IF(AND(SUM(VLOOKUP($A40,test!$A$3:$F$32,2,FALSE),VLOOKUP(U$1,test!$A$3:$F$32,2,FALSE))&lt;test!$K$16,$A40&lt;&gt;U$1,Recharged_Feasible_mat!V9),(VLOOKUP(U$1,test!$A$3:$I$32,8,FALSE))-(VLOOKUP($A40,test!$A$3:$I$32,9,FALSE))+(test!$B$33-50),0)</f>
        <v>0</v>
      </c>
      <c r="V40">
        <f>IF(AND(SUM(VLOOKUP($A40,test!$A$3:$F$32,2,FALSE),VLOOKUP(V$1,test!$A$3:$F$32,2,FALSE))&lt;test!$K$16,$A40&lt;&gt;V$1,Recharged_Feasible_mat!W9),(VLOOKUP(V$1,test!$A$3:$I$32,8,FALSE))-(VLOOKUP($A40,test!$A$3:$I$32,9,FALSE))+(test!$B$33-50),0)</f>
        <v>0</v>
      </c>
      <c r="W40">
        <f>IF(AND(SUM(VLOOKUP($A40,test!$A$3:$F$32,2,FALSE),VLOOKUP(W$1,test!$A$3:$F$32,2,FALSE))&lt;test!$K$16,$A40&lt;&gt;W$1,Recharged_Feasible_mat!X9),(VLOOKUP(W$1,test!$A$3:$I$32,8,FALSE))-(VLOOKUP($A40,test!$A$3:$I$32,9,FALSE))+(test!$B$33-50),0)</f>
        <v>0</v>
      </c>
      <c r="X40">
        <f>IF(AND(SUM(VLOOKUP($A40,test!$A$3:$F$32,2,FALSE),VLOOKUP(X$1,test!$A$3:$F$32,2,FALSE))&lt;test!$K$16,$A40&lt;&gt;X$1,Recharged_Feasible_mat!Y9),(VLOOKUP(X$1,test!$A$3:$I$32,8,FALSE))-(VLOOKUP($A40,test!$A$3:$I$32,9,FALSE))+(test!$B$33-50),0)</f>
        <v>0</v>
      </c>
      <c r="Y40">
        <f>IF(AND(SUM(VLOOKUP($A40,test!$A$3:$F$32,2,FALSE),VLOOKUP(Y$1,test!$A$3:$F$32,2,FALSE))&lt;test!$K$16,$A40&lt;&gt;Y$1,Recharged_Feasible_mat!Z9),(VLOOKUP(Y$1,test!$A$3:$I$32,8,FALSE))-(VLOOKUP($A40,test!$A$3:$I$32,9,FALSE))+(test!$B$33-50),0)</f>
        <v>0</v>
      </c>
      <c r="Z40">
        <f>IF(AND(SUM(VLOOKUP($A40,test!$A$3:$F$32,2,FALSE),VLOOKUP(Z$1,test!$A$3:$F$32,2,FALSE))&lt;test!$K$16,$A40&lt;&gt;Z$1,Recharged_Feasible_mat!AA9),(VLOOKUP(Z$1,test!$A$3:$I$32,8,FALSE))-(VLOOKUP($A40,test!$A$3:$I$32,9,FALSE))+(test!$B$33-50),0)</f>
        <v>0</v>
      </c>
      <c r="AA40">
        <f>IF(AND(SUM(VLOOKUP($A40,test!$A$3:$F$32,2,FALSE),VLOOKUP(AA$1,test!$A$3:$F$32,2,FALSE))&lt;test!$K$16,$A40&lt;&gt;AA$1,Recharged_Feasible_mat!AB9),(VLOOKUP(AA$1,test!$A$3:$I$32,8,FALSE))-(VLOOKUP($A40,test!$A$3:$I$32,9,FALSE))+(test!$B$33-50),0)</f>
        <v>0</v>
      </c>
      <c r="AB40">
        <f>IF(AND(SUM(VLOOKUP($A40,test!$A$3:$F$32,2,FALSE),VLOOKUP(AB$1,test!$A$3:$F$32,2,FALSE))&lt;test!$K$16,$A40&lt;&gt;AB$1,Recharged_Feasible_mat!AC9),(VLOOKUP(AB$1,test!$A$3:$I$32,8,FALSE))-(VLOOKUP($A40,test!$A$3:$I$32,9,FALSE))+(test!$B$33-50),0)</f>
        <v>0</v>
      </c>
      <c r="AC40">
        <f>IF(AND(SUM(VLOOKUP($A40,test!$A$3:$F$32,2,FALSE),VLOOKUP(AC$1,test!$A$3:$F$32,2,FALSE))&lt;test!$K$16,$A40&lt;&gt;AC$1,Recharged_Feasible_mat!AD9),(VLOOKUP(AC$1,test!$A$3:$I$32,8,FALSE))-(VLOOKUP($A40,test!$A$3:$I$32,9,FALSE))+(test!$B$33-50),0)</f>
        <v>0</v>
      </c>
      <c r="AD40">
        <f>IF(AND(SUM(VLOOKUP($A40,test!$A$3:$F$32,2,FALSE),VLOOKUP(AD$1,test!$A$3:$F$32,2,FALSE))&lt;test!$K$16,$A40&lt;&gt;AD$1,Recharged_Feasible_mat!AE9),(VLOOKUP(AD$1,test!$A$3:$I$32,8,FALSE))-(VLOOKUP($A40,test!$A$3:$I$32,9,FALSE))+(test!$B$33-50),0)</f>
        <v>0</v>
      </c>
      <c r="AE40">
        <f>IF(AND(SUM(VLOOKUP($A40,test!$A$3:$F$32,2,FALSE),VLOOKUP(AE$1,test!$A$3:$F$32,2,FALSE))&lt;test!$K$16,$A40&lt;&gt;AE$1,Recharged_Feasible_mat!AF9),(VLOOKUP(AE$1,test!$A$3:$I$32,8,FALSE))-(VLOOKUP($A40,test!$A$3:$I$32,9,FALSE))+(test!$B$33-50),0)</f>
        <v>0</v>
      </c>
      <c r="AF40">
        <f>IF(AND(SUM(VLOOKUP($A40,test!$A$3:$F$32,2,FALSE),VLOOKUP(AF$1,test!$A$3:$F$32,2,FALSE))&lt;test!$K$16,$A40&lt;&gt;AF$1,Recharged_Feasible_mat!AG9),(VLOOKUP(AF$1,test!$A$3:$I$32,8,FALSE))-(VLOOKUP($A40,test!$A$3:$I$32,9,FALSE))+(test!$B$33-50),0)</f>
        <v>0</v>
      </c>
    </row>
    <row r="41" spans="1:34" x14ac:dyDescent="0.25">
      <c r="A41" t="s">
        <v>15</v>
      </c>
      <c r="B41">
        <v>0</v>
      </c>
      <c r="C41">
        <f>IF(AND(SUM(VLOOKUP($A41,test!$A$3:$F$32,2,FALSE),VLOOKUP(C$1,test!$A$3:$F$32,2,FALSE))&lt;test!$K$16,$A41&lt;&gt;C$1,Recharged_Feasible_mat!D10),(VLOOKUP(C$1,test!$A$3:$I$32,8,FALSE))-(VLOOKUP($A41,test!$A$3:$I$32,9,FALSE))+(test!$B$33-50),0)</f>
        <v>0</v>
      </c>
      <c r="D41">
        <f>IF(AND(SUM(VLOOKUP($A41,test!$A$3:$F$32,2,FALSE),VLOOKUP(D$1,test!$A$3:$F$32,2,FALSE))&lt;test!$K$16,$A41&lt;&gt;D$1,Recharged_Feasible_mat!E10),(VLOOKUP(D$1,test!$A$3:$I$32,8,FALSE))-(VLOOKUP($A41,test!$A$3:$I$32,9,FALSE))+(test!$B$33-50),0)</f>
        <v>0</v>
      </c>
      <c r="E41">
        <f>IF(AND(SUM(VLOOKUP($A41,test!$A$3:$F$32,2,FALSE),VLOOKUP(E$1,test!$A$3:$F$32,2,FALSE))&lt;test!$K$16,$A41&lt;&gt;E$1,Recharged_Feasible_mat!F10),(VLOOKUP(E$1,test!$A$3:$I$32,8,FALSE))-(VLOOKUP($A41,test!$A$3:$I$32,9,FALSE))+(test!$B$33-50),0)</f>
        <v>0</v>
      </c>
      <c r="F41">
        <f>IF(AND(SUM(VLOOKUP($A41,test!$A$3:$F$32,2,FALSE),VLOOKUP(F$1,test!$A$3:$F$32,2,FALSE))&lt;test!$K$16,$A41&lt;&gt;F$1,Recharged_Feasible_mat!G10),(VLOOKUP(F$1,test!$A$3:$I$32,8,FALSE))-(VLOOKUP($A41,test!$A$3:$I$32,9,FALSE))+(test!$B$33-50),0)</f>
        <v>0</v>
      </c>
      <c r="G41">
        <f>IF(AND(SUM(VLOOKUP($A41,test!$A$3:$F$32,2,FALSE),VLOOKUP(G$1,test!$A$3:$F$32,2,FALSE))&lt;test!$K$16,$A41&lt;&gt;G$1,Recharged_Feasible_mat!H10),(VLOOKUP(G$1,test!$A$3:$I$32,8,FALSE))-(VLOOKUP($A41,test!$A$3:$I$32,9,FALSE))+(test!$B$33-50),0)</f>
        <v>0</v>
      </c>
      <c r="H41">
        <f>IF(AND(SUM(VLOOKUP($A41,test!$A$3:$F$32,2,FALSE),VLOOKUP(H$1,test!$A$3:$F$32,2,FALSE))&lt;test!$K$16,$A41&lt;&gt;H$1,Recharged_Feasible_mat!I10),(VLOOKUP(H$1,test!$A$3:$I$32,8,FALSE))-(VLOOKUP($A41,test!$A$3:$I$32,9,FALSE))+(test!$B$33-50),0)</f>
        <v>0</v>
      </c>
      <c r="I41">
        <f>IF(AND(SUM(VLOOKUP($A41,test!$A$3:$F$32,2,FALSE),VLOOKUP(I$1,test!$A$3:$F$32,2,FALSE))&lt;test!$K$16,$A41&lt;&gt;I$1,Recharged_Feasible_mat!J10),(VLOOKUP(I$1,test!$A$3:$I$32,8,FALSE))-(VLOOKUP($A41,test!$A$3:$I$32,9,FALSE))+(test!$B$33-50),0)</f>
        <v>0</v>
      </c>
      <c r="J41">
        <f>IF(AND(SUM(VLOOKUP($A41,test!$A$3:$F$32,2,FALSE),VLOOKUP(J$1,test!$A$3:$F$32,2,FALSE))&lt;test!$K$16,$A41&lt;&gt;J$1,Recharged_Feasible_mat!K10),(VLOOKUP(J$1,test!$A$3:$I$32,8,FALSE))-(VLOOKUP($A41,test!$A$3:$I$32,9,FALSE))+(test!$B$33-50),0)</f>
        <v>0</v>
      </c>
      <c r="K41">
        <f>IF(AND(SUM(VLOOKUP($A41,test!$A$3:$F$32,2,FALSE),VLOOKUP(K$1,test!$A$3:$F$32,2,FALSE))&lt;test!$K$16,$A41&lt;&gt;K$1,Recharged_Feasible_mat!L10),(VLOOKUP(K$1,test!$A$3:$I$32,8,FALSE))-(VLOOKUP($A41,test!$A$3:$I$32,9,FALSE))+(test!$B$33-50),0)</f>
        <v>0</v>
      </c>
      <c r="L41">
        <f>IF(AND(SUM(VLOOKUP($A41,test!$A$3:$F$32,2,FALSE),VLOOKUP(L$1,test!$A$3:$F$32,2,FALSE))&lt;test!$K$16,$A41&lt;&gt;L$1,Recharged_Feasible_mat!M10),(VLOOKUP(L$1,test!$A$3:$I$32,8,FALSE))-(VLOOKUP($A41,test!$A$3:$I$32,9,FALSE))+(test!$B$33-50),0)</f>
        <v>0</v>
      </c>
      <c r="M41">
        <f>IF(AND(SUM(VLOOKUP($A41,test!$A$3:$F$32,2,FALSE),VLOOKUP(M$1,test!$A$3:$F$32,2,FALSE))&lt;test!$K$16,$A41&lt;&gt;M$1,Recharged_Feasible_mat!N10),(VLOOKUP(M$1,test!$A$3:$I$32,8,FALSE))-(VLOOKUP($A41,test!$A$3:$I$32,9,FALSE))+(test!$B$33-50),0)</f>
        <v>0</v>
      </c>
      <c r="N41">
        <f>IF(AND(SUM(VLOOKUP($A41,test!$A$3:$F$32,2,FALSE),VLOOKUP(N$1,test!$A$3:$F$32,2,FALSE))&lt;test!$K$16,$A41&lt;&gt;N$1,Recharged_Feasible_mat!O10),(VLOOKUP(N$1,test!$A$3:$I$32,8,FALSE))-(VLOOKUP($A41,test!$A$3:$I$32,9,FALSE))+(test!$B$33-50),0)</f>
        <v>0</v>
      </c>
      <c r="O41">
        <f>IF(AND(SUM(VLOOKUP($A41,test!$A$3:$F$32,2,FALSE),VLOOKUP(O$1,test!$A$3:$F$32,2,FALSE))&lt;test!$K$16,$A41&lt;&gt;O$1,Recharged_Feasible_mat!P10),(VLOOKUP(O$1,test!$A$3:$I$32,8,FALSE))-(VLOOKUP($A41,test!$A$3:$I$32,9,FALSE))+(test!$B$33-50),0)</f>
        <v>0</v>
      </c>
      <c r="P41">
        <f>IF(AND(SUM(VLOOKUP($A41,test!$A$3:$F$32,2,FALSE),VLOOKUP(P$1,test!$A$3:$F$32,2,FALSE))&lt;test!$K$16,$A41&lt;&gt;P$1,Recharged_Feasible_mat!Q10),(VLOOKUP(P$1,test!$A$3:$I$32,8,FALSE))-(VLOOKUP($A41,test!$A$3:$I$32,9,FALSE))+(test!$B$33-50),0)</f>
        <v>0</v>
      </c>
      <c r="Q41">
        <f>IF(AND(SUM(VLOOKUP($A41,test!$A$3:$F$32,2,FALSE),VLOOKUP(Q$1,test!$A$3:$F$32,2,FALSE))&lt;test!$K$16,$A41&lt;&gt;Q$1,Recharged_Feasible_mat!R10),(VLOOKUP(Q$1,test!$A$3:$I$32,8,FALSE))-(VLOOKUP($A41,test!$A$3:$I$32,9,FALSE))+(test!$B$33-50),0)</f>
        <v>0</v>
      </c>
      <c r="R41">
        <f>IF(AND(SUM(VLOOKUP($A41,test!$A$3:$F$32,2,FALSE),VLOOKUP(R$1,test!$A$3:$F$32,2,FALSE))&lt;test!$K$16,$A41&lt;&gt;R$1,Recharged_Feasible_mat!S10),(VLOOKUP(R$1,test!$A$3:$I$32,8,FALSE))-(VLOOKUP($A41,test!$A$3:$I$32,9,FALSE))+(test!$B$33-50),0)</f>
        <v>0</v>
      </c>
      <c r="S41">
        <f>IF(AND(SUM(VLOOKUP($A41,test!$A$3:$F$32,2,FALSE),VLOOKUP(S$1,test!$A$3:$F$32,2,FALSE))&lt;test!$K$16,$A41&lt;&gt;S$1,Recharged_Feasible_mat!T10),(VLOOKUP(S$1,test!$A$3:$I$32,8,FALSE))-(VLOOKUP($A41,test!$A$3:$I$32,9,FALSE))+(test!$B$33-50),0)</f>
        <v>0</v>
      </c>
      <c r="T41">
        <f>IF(AND(SUM(VLOOKUP($A41,test!$A$3:$F$32,2,FALSE),VLOOKUP(T$1,test!$A$3:$F$32,2,FALSE))&lt;test!$K$16,$A41&lt;&gt;T$1,Recharged_Feasible_mat!U10),(VLOOKUP(T$1,test!$A$3:$I$32,8,FALSE))-(VLOOKUP($A41,test!$A$3:$I$32,9,FALSE))+(test!$B$33-50),0)</f>
        <v>0</v>
      </c>
      <c r="U41">
        <f>IF(AND(SUM(VLOOKUP($A41,test!$A$3:$F$32,2,FALSE),VLOOKUP(U$1,test!$A$3:$F$32,2,FALSE))&lt;test!$K$16,$A41&lt;&gt;U$1,Recharged_Feasible_mat!V10),(VLOOKUP(U$1,test!$A$3:$I$32,8,FALSE))-(VLOOKUP($A41,test!$A$3:$I$32,9,FALSE))+(test!$B$33-50),0)</f>
        <v>0</v>
      </c>
      <c r="V41">
        <f>IF(AND(SUM(VLOOKUP($A41,test!$A$3:$F$32,2,FALSE),VLOOKUP(V$1,test!$A$3:$F$32,2,FALSE))&lt;test!$K$16,$A41&lt;&gt;V$1,Recharged_Feasible_mat!W10),(VLOOKUP(V$1,test!$A$3:$I$32,8,FALSE))-(VLOOKUP($A41,test!$A$3:$I$32,9,FALSE))+(test!$B$33-50),0)</f>
        <v>0</v>
      </c>
      <c r="W41">
        <f>IF(AND(SUM(VLOOKUP($A41,test!$A$3:$F$32,2,FALSE),VLOOKUP(W$1,test!$A$3:$F$32,2,FALSE))&lt;test!$K$16,$A41&lt;&gt;W$1,Recharged_Feasible_mat!X10),(VLOOKUP(W$1,test!$A$3:$I$32,8,FALSE))-(VLOOKUP($A41,test!$A$3:$I$32,9,FALSE))+(test!$B$33-50),0)</f>
        <v>0</v>
      </c>
      <c r="X41">
        <f>IF(AND(SUM(VLOOKUP($A41,test!$A$3:$F$32,2,FALSE),VLOOKUP(X$1,test!$A$3:$F$32,2,FALSE))&lt;test!$K$16,$A41&lt;&gt;X$1,Recharged_Feasible_mat!Y10),(VLOOKUP(X$1,test!$A$3:$I$32,8,FALSE))-(VLOOKUP($A41,test!$A$3:$I$32,9,FALSE))+(test!$B$33-50),0)</f>
        <v>0</v>
      </c>
      <c r="Y41">
        <f>IF(AND(SUM(VLOOKUP($A41,test!$A$3:$F$32,2,FALSE),VLOOKUP(Y$1,test!$A$3:$F$32,2,FALSE))&lt;test!$K$16,$A41&lt;&gt;Y$1,Recharged_Feasible_mat!Z10),(VLOOKUP(Y$1,test!$A$3:$I$32,8,FALSE))-(VLOOKUP($A41,test!$A$3:$I$32,9,FALSE))+(test!$B$33-50),0)</f>
        <v>0</v>
      </c>
      <c r="Z41">
        <f>IF(AND(SUM(VLOOKUP($A41,test!$A$3:$F$32,2,FALSE),VLOOKUP(Z$1,test!$A$3:$F$32,2,FALSE))&lt;test!$K$16,$A41&lt;&gt;Z$1,Recharged_Feasible_mat!AA10),(VLOOKUP(Z$1,test!$A$3:$I$32,8,FALSE))-(VLOOKUP($A41,test!$A$3:$I$32,9,FALSE))+(test!$B$33-50),0)</f>
        <v>0</v>
      </c>
      <c r="AA41">
        <f>IF(AND(SUM(VLOOKUP($A41,test!$A$3:$F$32,2,FALSE),VLOOKUP(AA$1,test!$A$3:$F$32,2,FALSE))&lt;test!$K$16,$A41&lt;&gt;AA$1,Recharged_Feasible_mat!AB10),(VLOOKUP(AA$1,test!$A$3:$I$32,8,FALSE))-(VLOOKUP($A41,test!$A$3:$I$32,9,FALSE))+(test!$B$33-50),0)</f>
        <v>0</v>
      </c>
      <c r="AB41">
        <f>IF(AND(SUM(VLOOKUP($A41,test!$A$3:$F$32,2,FALSE),VLOOKUP(AB$1,test!$A$3:$F$32,2,FALSE))&lt;test!$K$16,$A41&lt;&gt;AB$1,Recharged_Feasible_mat!AC10),(VLOOKUP(AB$1,test!$A$3:$I$32,8,FALSE))-(VLOOKUP($A41,test!$A$3:$I$32,9,FALSE))+(test!$B$33-50),0)</f>
        <v>0</v>
      </c>
      <c r="AC41">
        <f>IF(AND(SUM(VLOOKUP($A41,test!$A$3:$F$32,2,FALSE),VLOOKUP(AC$1,test!$A$3:$F$32,2,FALSE))&lt;test!$K$16,$A41&lt;&gt;AC$1,Recharged_Feasible_mat!AD10),(VLOOKUP(AC$1,test!$A$3:$I$32,8,FALSE))-(VLOOKUP($A41,test!$A$3:$I$32,9,FALSE))+(test!$B$33-50),0)</f>
        <v>0</v>
      </c>
      <c r="AD41">
        <f>IF(AND(SUM(VLOOKUP($A41,test!$A$3:$F$32,2,FALSE),VLOOKUP(AD$1,test!$A$3:$F$32,2,FALSE))&lt;test!$K$16,$A41&lt;&gt;AD$1,Recharged_Feasible_mat!AE10),(VLOOKUP(AD$1,test!$A$3:$I$32,8,FALSE))-(VLOOKUP($A41,test!$A$3:$I$32,9,FALSE))+(test!$B$33-50),0)</f>
        <v>0</v>
      </c>
      <c r="AE41">
        <f>IF(AND(SUM(VLOOKUP($A41,test!$A$3:$F$32,2,FALSE),VLOOKUP(AE$1,test!$A$3:$F$32,2,FALSE))&lt;test!$K$16,$A41&lt;&gt;AE$1,Recharged_Feasible_mat!AF10),(VLOOKUP(AE$1,test!$A$3:$I$32,8,FALSE))-(VLOOKUP($A41,test!$A$3:$I$32,9,FALSE))+(test!$B$33-50),0)</f>
        <v>0</v>
      </c>
      <c r="AF41">
        <f>IF(AND(SUM(VLOOKUP($A41,test!$A$3:$F$32,2,FALSE),VLOOKUP(AF$1,test!$A$3:$F$32,2,FALSE))&lt;test!$K$16,$A41&lt;&gt;AF$1,Recharged_Feasible_mat!AG10),(VLOOKUP(AF$1,test!$A$3:$I$32,8,FALSE))-(VLOOKUP($A41,test!$A$3:$I$32,9,FALSE))+(test!$B$33-50),0)</f>
        <v>0</v>
      </c>
    </row>
    <row r="42" spans="1:34" x14ac:dyDescent="0.25">
      <c r="A42" t="s">
        <v>18</v>
      </c>
      <c r="B42">
        <v>0</v>
      </c>
      <c r="C42">
        <f>IF(AND(SUM(VLOOKUP($A42,test!$A$3:$F$32,2,FALSE),VLOOKUP(C$1,test!$A$3:$F$32,2,FALSE))&lt;test!$K$16,$A42&lt;&gt;C$1,Recharged_Feasible_mat!D11),(VLOOKUP(C$1,test!$A$3:$I$32,8,FALSE))-(VLOOKUP($A42,test!$A$3:$I$32,9,FALSE))+(test!$B$33-50),0)</f>
        <v>0</v>
      </c>
      <c r="D42">
        <f>IF(AND(SUM(VLOOKUP($A42,test!$A$3:$F$32,2,FALSE),VLOOKUP(D$1,test!$A$3:$F$32,2,FALSE))&lt;test!$K$16,$A42&lt;&gt;D$1,Recharged_Feasible_mat!E11),(VLOOKUP(D$1,test!$A$3:$I$32,8,FALSE))-(VLOOKUP($A42,test!$A$3:$I$32,9,FALSE))+(test!$B$33-50),0)</f>
        <v>0</v>
      </c>
      <c r="E42">
        <f>IF(AND(SUM(VLOOKUP($A42,test!$A$3:$F$32,2,FALSE),VLOOKUP(E$1,test!$A$3:$F$32,2,FALSE))&lt;test!$K$16,$A42&lt;&gt;E$1,Recharged_Feasible_mat!F11),(VLOOKUP(E$1,test!$A$3:$I$32,8,FALSE))-(VLOOKUP($A42,test!$A$3:$I$32,9,FALSE))+(test!$B$33-50),0)</f>
        <v>135</v>
      </c>
      <c r="F42">
        <f>IF(AND(SUM(VLOOKUP($A42,test!$A$3:$F$32,2,FALSE),VLOOKUP(F$1,test!$A$3:$F$32,2,FALSE))&lt;test!$K$16,$A42&lt;&gt;F$1,Recharged_Feasible_mat!G11),(VLOOKUP(F$1,test!$A$3:$I$32,8,FALSE))-(VLOOKUP($A42,test!$A$3:$I$32,9,FALSE))+(test!$B$33-50),0)</f>
        <v>225</v>
      </c>
      <c r="G42">
        <f>IF(AND(SUM(VLOOKUP($A42,test!$A$3:$F$32,2,FALSE),VLOOKUP(G$1,test!$A$3:$F$32,2,FALSE))&lt;test!$K$16,$A42&lt;&gt;G$1,Recharged_Feasible_mat!H11),(VLOOKUP(G$1,test!$A$3:$I$32,8,FALSE))-(VLOOKUP($A42,test!$A$3:$I$32,9,FALSE))+(test!$B$33-50),0)</f>
        <v>285</v>
      </c>
      <c r="H42">
        <f>IF(AND(SUM(VLOOKUP($A42,test!$A$3:$F$32,2,FALSE),VLOOKUP(H$1,test!$A$3:$F$32,2,FALSE))&lt;test!$K$16,$A42&lt;&gt;H$1,Recharged_Feasible_mat!I11),(VLOOKUP(H$1,test!$A$3:$I$32,8,FALSE))-(VLOOKUP($A42,test!$A$3:$I$32,9,FALSE))+(test!$B$33-50),0)</f>
        <v>345</v>
      </c>
      <c r="I42">
        <f>IF(AND(SUM(VLOOKUP($A42,test!$A$3:$F$32,2,FALSE),VLOOKUP(I$1,test!$A$3:$F$32,2,FALSE))&lt;test!$K$16,$A42&lt;&gt;I$1,Recharged_Feasible_mat!J11),(VLOOKUP(I$1,test!$A$3:$I$32,8,FALSE))-(VLOOKUP($A42,test!$A$3:$I$32,9,FALSE))+(test!$B$33-50),0)</f>
        <v>405</v>
      </c>
      <c r="J42">
        <f>IF(AND(SUM(VLOOKUP($A42,test!$A$3:$F$32,2,FALSE),VLOOKUP(J$1,test!$A$3:$F$32,2,FALSE))&lt;test!$K$16,$A42&lt;&gt;J$1,Recharged_Feasible_mat!K11),(VLOOKUP(J$1,test!$A$3:$I$32,8,FALSE))-(VLOOKUP($A42,test!$A$3:$I$32,9,FALSE))+(test!$B$33-50),0)</f>
        <v>495</v>
      </c>
      <c r="K42">
        <f>IF(AND(SUM(VLOOKUP($A42,test!$A$3:$F$32,2,FALSE),VLOOKUP(K$1,test!$A$3:$F$32,2,FALSE))&lt;test!$K$16,$A42&lt;&gt;K$1,Recharged_Feasible_mat!L11),(VLOOKUP(K$1,test!$A$3:$I$32,8,FALSE))-(VLOOKUP($A42,test!$A$3:$I$32,9,FALSE))+(test!$B$33-50),0)</f>
        <v>0</v>
      </c>
      <c r="L42">
        <f>IF(AND(SUM(VLOOKUP($A42,test!$A$3:$F$32,2,FALSE),VLOOKUP(L$1,test!$A$3:$F$32,2,FALSE))&lt;test!$K$16,$A42&lt;&gt;L$1,Recharged_Feasible_mat!M11),(VLOOKUP(L$1,test!$A$3:$I$32,8,FALSE))-(VLOOKUP($A42,test!$A$3:$I$32,9,FALSE))+(test!$B$33-50),0)</f>
        <v>0</v>
      </c>
      <c r="M42">
        <f>IF(AND(SUM(VLOOKUP($A42,test!$A$3:$F$32,2,FALSE),VLOOKUP(M$1,test!$A$3:$F$32,2,FALSE))&lt;test!$K$16,$A42&lt;&gt;M$1,Recharged_Feasible_mat!N11),(VLOOKUP(M$1,test!$A$3:$I$32,8,FALSE))-(VLOOKUP($A42,test!$A$3:$I$32,9,FALSE))+(test!$B$33-50),0)</f>
        <v>100</v>
      </c>
      <c r="N42">
        <f>IF(AND(SUM(VLOOKUP($A42,test!$A$3:$F$32,2,FALSE),VLOOKUP(N$1,test!$A$3:$F$32,2,FALSE))&lt;test!$K$16,$A42&lt;&gt;N$1,Recharged_Feasible_mat!O11),(VLOOKUP(N$1,test!$A$3:$I$32,8,FALSE))-(VLOOKUP($A42,test!$A$3:$I$32,9,FALSE))+(test!$B$33-50),0)</f>
        <v>460</v>
      </c>
      <c r="O42">
        <f>IF(AND(SUM(VLOOKUP($A42,test!$A$3:$F$32,2,FALSE),VLOOKUP(O$1,test!$A$3:$F$32,2,FALSE))&lt;test!$K$16,$A42&lt;&gt;O$1,Recharged_Feasible_mat!P11),(VLOOKUP(O$1,test!$A$3:$I$32,8,FALSE))-(VLOOKUP($A42,test!$A$3:$I$32,9,FALSE))+(test!$B$33-50),0)</f>
        <v>520</v>
      </c>
      <c r="P42">
        <f>IF(AND(SUM(VLOOKUP($A42,test!$A$3:$F$32,2,FALSE),VLOOKUP(P$1,test!$A$3:$F$32,2,FALSE))&lt;test!$K$16,$A42&lt;&gt;P$1,Recharged_Feasible_mat!Q11),(VLOOKUP(P$1,test!$A$3:$I$32,8,FALSE))-(VLOOKUP($A42,test!$A$3:$I$32,9,FALSE))+(test!$B$33-50),0)</f>
        <v>0</v>
      </c>
      <c r="Q42">
        <f>IF(AND(SUM(VLOOKUP($A42,test!$A$3:$F$32,2,FALSE),VLOOKUP(Q$1,test!$A$3:$F$32,2,FALSE))&lt;test!$K$16,$A42&lt;&gt;Q$1,Recharged_Feasible_mat!R11),(VLOOKUP(Q$1,test!$A$3:$I$32,8,FALSE))-(VLOOKUP($A42,test!$A$3:$I$32,9,FALSE))+(test!$B$33-50),0)</f>
        <v>0</v>
      </c>
      <c r="R42">
        <f>IF(AND(SUM(VLOOKUP($A42,test!$A$3:$F$32,2,FALSE),VLOOKUP(R$1,test!$A$3:$F$32,2,FALSE))&lt;test!$K$16,$A42&lt;&gt;R$1,Recharged_Feasible_mat!S11),(VLOOKUP(R$1,test!$A$3:$I$32,8,FALSE))-(VLOOKUP($A42,test!$A$3:$I$32,9,FALSE))+(test!$B$33-50),0)</f>
        <v>0</v>
      </c>
      <c r="S42">
        <f>IF(AND(SUM(VLOOKUP($A42,test!$A$3:$F$32,2,FALSE),VLOOKUP(S$1,test!$A$3:$F$32,2,FALSE))&lt;test!$K$16,$A42&lt;&gt;S$1,Recharged_Feasible_mat!T11),(VLOOKUP(S$1,test!$A$3:$I$32,8,FALSE))-(VLOOKUP($A42,test!$A$3:$I$32,9,FALSE))+(test!$B$33-50),0)</f>
        <v>0</v>
      </c>
      <c r="T42">
        <f>IF(AND(SUM(VLOOKUP($A42,test!$A$3:$F$32,2,FALSE),VLOOKUP(T$1,test!$A$3:$F$32,2,FALSE))&lt;test!$K$16,$A42&lt;&gt;T$1,Recharged_Feasible_mat!U11),(VLOOKUP(T$1,test!$A$3:$I$32,8,FALSE))-(VLOOKUP($A42,test!$A$3:$I$32,9,FALSE))+(test!$B$33-50),0)</f>
        <v>115</v>
      </c>
      <c r="U42">
        <f>IF(AND(SUM(VLOOKUP($A42,test!$A$3:$F$32,2,FALSE),VLOOKUP(U$1,test!$A$3:$F$32,2,FALSE))&lt;test!$K$16,$A42&lt;&gt;U$1,Recharged_Feasible_mat!V11),(VLOOKUP(U$1,test!$A$3:$I$32,8,FALSE))-(VLOOKUP($A42,test!$A$3:$I$32,9,FALSE))+(test!$B$33-50),0)</f>
        <v>205</v>
      </c>
      <c r="V42">
        <f>IF(AND(SUM(VLOOKUP($A42,test!$A$3:$F$32,2,FALSE),VLOOKUP(V$1,test!$A$3:$F$32,2,FALSE))&lt;test!$K$16,$A42&lt;&gt;V$1,Recharged_Feasible_mat!W11),(VLOOKUP(V$1,test!$A$3:$I$32,8,FALSE))-(VLOOKUP($A42,test!$A$3:$I$32,9,FALSE))+(test!$B$33-50),0)</f>
        <v>295</v>
      </c>
      <c r="W42">
        <f>IF(AND(SUM(VLOOKUP($A42,test!$A$3:$F$32,2,FALSE),VLOOKUP(W$1,test!$A$3:$F$32,2,FALSE))&lt;test!$K$16,$A42&lt;&gt;W$1,Recharged_Feasible_mat!X11),(VLOOKUP(W$1,test!$A$3:$I$32,8,FALSE))-(VLOOKUP($A42,test!$A$3:$I$32,9,FALSE))+(test!$B$33-50),0)</f>
        <v>385</v>
      </c>
      <c r="X42">
        <f>IF(AND(SUM(VLOOKUP($A42,test!$A$3:$F$32,2,FALSE),VLOOKUP(X$1,test!$A$3:$F$32,2,FALSE))&lt;test!$K$16,$A42&lt;&gt;X$1,Recharged_Feasible_mat!Y11),(VLOOKUP(X$1,test!$A$3:$I$32,8,FALSE))-(VLOOKUP($A42,test!$A$3:$I$32,9,FALSE))+(test!$B$33-50),0)</f>
        <v>445</v>
      </c>
      <c r="Y42">
        <f>IF(AND(SUM(VLOOKUP($A42,test!$A$3:$F$32,2,FALSE),VLOOKUP(Y$1,test!$A$3:$F$32,2,FALSE))&lt;test!$K$16,$A42&lt;&gt;Y$1,Recharged_Feasible_mat!Z11),(VLOOKUP(Y$1,test!$A$3:$I$32,8,FALSE))-(VLOOKUP($A42,test!$A$3:$I$32,9,FALSE))+(test!$B$33-50),0)</f>
        <v>0</v>
      </c>
      <c r="Z42">
        <f>IF(AND(SUM(VLOOKUP($A42,test!$A$3:$F$32,2,FALSE),VLOOKUP(Z$1,test!$A$3:$F$32,2,FALSE))&lt;test!$K$16,$A42&lt;&gt;Z$1,Recharged_Feasible_mat!AA11),(VLOOKUP(Z$1,test!$A$3:$I$32,8,FALSE))-(VLOOKUP($A42,test!$A$3:$I$32,9,FALSE))+(test!$B$33-50),0)</f>
        <v>0</v>
      </c>
      <c r="AA42">
        <f>IF(AND(SUM(VLOOKUP($A42,test!$A$3:$F$32,2,FALSE),VLOOKUP(AA$1,test!$A$3:$F$32,2,FALSE))&lt;test!$K$16,$A42&lt;&gt;AA$1,Recharged_Feasible_mat!AB11),(VLOOKUP(AA$1,test!$A$3:$I$32,8,FALSE))-(VLOOKUP($A42,test!$A$3:$I$32,9,FALSE))+(test!$B$33-50),0)</f>
        <v>165</v>
      </c>
      <c r="AB42">
        <f>IF(AND(SUM(VLOOKUP($A42,test!$A$3:$F$32,2,FALSE),VLOOKUP(AB$1,test!$A$3:$F$32,2,FALSE))&lt;test!$K$16,$A42&lt;&gt;AB$1,Recharged_Feasible_mat!AC11),(VLOOKUP(AB$1,test!$A$3:$I$32,8,FALSE))-(VLOOKUP($A42,test!$A$3:$I$32,9,FALSE))+(test!$B$33-50),0)</f>
        <v>225</v>
      </c>
      <c r="AC42">
        <f>IF(AND(SUM(VLOOKUP($A42,test!$A$3:$F$32,2,FALSE),VLOOKUP(AC$1,test!$A$3:$F$32,2,FALSE))&lt;test!$K$16,$A42&lt;&gt;AC$1,Recharged_Feasible_mat!AD11),(VLOOKUP(AC$1,test!$A$3:$I$32,8,FALSE))-(VLOOKUP($A42,test!$A$3:$I$32,9,FALSE))+(test!$B$33-50),0)</f>
        <v>345</v>
      </c>
      <c r="AD42">
        <f>IF(AND(SUM(VLOOKUP($A42,test!$A$3:$F$32,2,FALSE),VLOOKUP(AD$1,test!$A$3:$F$32,2,FALSE))&lt;test!$K$16,$A42&lt;&gt;AD$1,Recharged_Feasible_mat!AE11),(VLOOKUP(AD$1,test!$A$3:$I$32,8,FALSE))-(VLOOKUP($A42,test!$A$3:$I$32,9,FALSE))+(test!$B$33-50),0)</f>
        <v>0</v>
      </c>
      <c r="AE42">
        <f>IF(AND(SUM(VLOOKUP($A42,test!$A$3:$F$32,2,FALSE),VLOOKUP(AE$1,test!$A$3:$F$32,2,FALSE))&lt;test!$K$16,$A42&lt;&gt;AE$1,Recharged_Feasible_mat!AF11),(VLOOKUP(AE$1,test!$A$3:$I$32,8,FALSE))-(VLOOKUP($A42,test!$A$3:$I$32,9,FALSE))+(test!$B$33-50),0)</f>
        <v>0</v>
      </c>
      <c r="AF42">
        <f>IF(AND(SUM(VLOOKUP($A42,test!$A$3:$F$32,2,FALSE),VLOOKUP(AF$1,test!$A$3:$F$32,2,FALSE))&lt;test!$K$16,$A42&lt;&gt;AF$1,Recharged_Feasible_mat!AG11),(VLOOKUP(AF$1,test!$A$3:$I$32,8,FALSE))-(VLOOKUP($A42,test!$A$3:$I$32,9,FALSE))+(test!$B$33-50),0)</f>
        <v>0</v>
      </c>
    </row>
    <row r="43" spans="1:34" x14ac:dyDescent="0.25">
      <c r="A43" t="s">
        <v>20</v>
      </c>
      <c r="B43">
        <v>0</v>
      </c>
      <c r="C43">
        <f>IF(AND(SUM(VLOOKUP($A43,test!$A$3:$F$32,2,FALSE),VLOOKUP(C$1,test!$A$3:$F$32,2,FALSE))&lt;test!$K$16,$A43&lt;&gt;C$1,Recharged_Feasible_mat!D12),(VLOOKUP(C$1,test!$A$3:$I$32,8,FALSE))-(VLOOKUP($A43,test!$A$3:$I$32,9,FALSE))+(test!$B$33-50),0)</f>
        <v>0</v>
      </c>
      <c r="D43">
        <f>IF(AND(SUM(VLOOKUP($A43,test!$A$3:$F$32,2,FALSE),VLOOKUP(D$1,test!$A$3:$F$32,2,FALSE))&lt;test!$K$16,$A43&lt;&gt;D$1,Recharged_Feasible_mat!E12),(VLOOKUP(D$1,test!$A$3:$I$32,8,FALSE))-(VLOOKUP($A43,test!$A$3:$I$32,9,FALSE))+(test!$B$33-50),0)</f>
        <v>0</v>
      </c>
      <c r="E43">
        <f>IF(AND(SUM(VLOOKUP($A43,test!$A$3:$F$32,2,FALSE),VLOOKUP(E$1,test!$A$3:$F$32,2,FALSE))&lt;test!$K$16,$A43&lt;&gt;E$1,Recharged_Feasible_mat!F12),(VLOOKUP(E$1,test!$A$3:$I$32,8,FALSE))-(VLOOKUP($A43,test!$A$3:$I$32,9,FALSE))+(test!$B$33-50),0)</f>
        <v>0</v>
      </c>
      <c r="F43">
        <f>IF(AND(SUM(VLOOKUP($A43,test!$A$3:$F$32,2,FALSE),VLOOKUP(F$1,test!$A$3:$F$32,2,FALSE))&lt;test!$K$16,$A43&lt;&gt;F$1,Recharged_Feasible_mat!G12),(VLOOKUP(F$1,test!$A$3:$I$32,8,FALSE))-(VLOOKUP($A43,test!$A$3:$I$32,9,FALSE))+(test!$B$33-50),0)</f>
        <v>105</v>
      </c>
      <c r="G43">
        <f>IF(AND(SUM(VLOOKUP($A43,test!$A$3:$F$32,2,FALSE),VLOOKUP(G$1,test!$A$3:$F$32,2,FALSE))&lt;test!$K$16,$A43&lt;&gt;G$1,Recharged_Feasible_mat!H12),(VLOOKUP(G$1,test!$A$3:$I$32,8,FALSE))-(VLOOKUP($A43,test!$A$3:$I$32,9,FALSE))+(test!$B$33-50),0)</f>
        <v>165</v>
      </c>
      <c r="H43">
        <f>IF(AND(SUM(VLOOKUP($A43,test!$A$3:$F$32,2,FALSE),VLOOKUP(H$1,test!$A$3:$F$32,2,FALSE))&lt;test!$K$16,$A43&lt;&gt;H$1,Recharged_Feasible_mat!I12),(VLOOKUP(H$1,test!$A$3:$I$32,8,FALSE))-(VLOOKUP($A43,test!$A$3:$I$32,9,FALSE))+(test!$B$33-50),0)</f>
        <v>225</v>
      </c>
      <c r="I43">
        <f>IF(AND(SUM(VLOOKUP($A43,test!$A$3:$F$32,2,FALSE),VLOOKUP(I$1,test!$A$3:$F$32,2,FALSE))&lt;test!$K$16,$A43&lt;&gt;I$1,Recharged_Feasible_mat!J12),(VLOOKUP(I$1,test!$A$3:$I$32,8,FALSE))-(VLOOKUP($A43,test!$A$3:$I$32,9,FALSE))+(test!$B$33-50),0)</f>
        <v>285</v>
      </c>
      <c r="J43">
        <f>IF(AND(SUM(VLOOKUP($A43,test!$A$3:$F$32,2,FALSE),VLOOKUP(J$1,test!$A$3:$F$32,2,FALSE))&lt;test!$K$16,$A43&lt;&gt;J$1,Recharged_Feasible_mat!K12),(VLOOKUP(J$1,test!$A$3:$I$32,8,FALSE))-(VLOOKUP($A43,test!$A$3:$I$32,9,FALSE))+(test!$B$33-50),0)</f>
        <v>375</v>
      </c>
      <c r="K43">
        <f>IF(AND(SUM(VLOOKUP($A43,test!$A$3:$F$32,2,FALSE),VLOOKUP(K$1,test!$A$3:$F$32,2,FALSE))&lt;test!$K$16,$A43&lt;&gt;K$1,Recharged_Feasible_mat!L12),(VLOOKUP(K$1,test!$A$3:$I$32,8,FALSE))-(VLOOKUP($A43,test!$A$3:$I$32,9,FALSE))+(test!$B$33-50),0)</f>
        <v>0</v>
      </c>
      <c r="L43">
        <f>IF(AND(SUM(VLOOKUP($A43,test!$A$3:$F$32,2,FALSE),VLOOKUP(L$1,test!$A$3:$F$32,2,FALSE))&lt;test!$K$16,$A43&lt;&gt;L$1,Recharged_Feasible_mat!M12),(VLOOKUP(L$1,test!$A$3:$I$32,8,FALSE))-(VLOOKUP($A43,test!$A$3:$I$32,9,FALSE))+(test!$B$33-50),0)</f>
        <v>0</v>
      </c>
      <c r="M43">
        <f>IF(AND(SUM(VLOOKUP($A43,test!$A$3:$F$32,2,FALSE),VLOOKUP(M$1,test!$A$3:$F$32,2,FALSE))&lt;test!$K$16,$A43&lt;&gt;M$1,Recharged_Feasible_mat!N12),(VLOOKUP(M$1,test!$A$3:$I$32,8,FALSE))-(VLOOKUP($A43,test!$A$3:$I$32,9,FALSE))+(test!$B$33-50),0)</f>
        <v>0</v>
      </c>
      <c r="N43">
        <f>IF(AND(SUM(VLOOKUP($A43,test!$A$3:$F$32,2,FALSE),VLOOKUP(N$1,test!$A$3:$F$32,2,FALSE))&lt;test!$K$16,$A43&lt;&gt;N$1,Recharged_Feasible_mat!O12),(VLOOKUP(N$1,test!$A$3:$I$32,8,FALSE))-(VLOOKUP($A43,test!$A$3:$I$32,9,FALSE))+(test!$B$33-50),0)</f>
        <v>340</v>
      </c>
      <c r="O43">
        <f>IF(AND(SUM(VLOOKUP($A43,test!$A$3:$F$32,2,FALSE),VLOOKUP(O$1,test!$A$3:$F$32,2,FALSE))&lt;test!$K$16,$A43&lt;&gt;O$1,Recharged_Feasible_mat!P12),(VLOOKUP(O$1,test!$A$3:$I$32,8,FALSE))-(VLOOKUP($A43,test!$A$3:$I$32,9,FALSE))+(test!$B$33-50),0)</f>
        <v>400</v>
      </c>
      <c r="P43">
        <f>IF(AND(SUM(VLOOKUP($A43,test!$A$3:$F$32,2,FALSE),VLOOKUP(P$1,test!$A$3:$F$32,2,FALSE))&lt;test!$K$16,$A43&lt;&gt;P$1,Recharged_Feasible_mat!Q12),(VLOOKUP(P$1,test!$A$3:$I$32,8,FALSE))-(VLOOKUP($A43,test!$A$3:$I$32,9,FALSE))+(test!$B$33-50),0)</f>
        <v>0</v>
      </c>
      <c r="Q43">
        <f>IF(AND(SUM(VLOOKUP($A43,test!$A$3:$F$32,2,FALSE),VLOOKUP(Q$1,test!$A$3:$F$32,2,FALSE))&lt;test!$K$16,$A43&lt;&gt;Q$1,Recharged_Feasible_mat!R12),(VLOOKUP(Q$1,test!$A$3:$I$32,8,FALSE))-(VLOOKUP($A43,test!$A$3:$I$32,9,FALSE))+(test!$B$33-50),0)</f>
        <v>0</v>
      </c>
      <c r="R43">
        <f>IF(AND(SUM(VLOOKUP($A43,test!$A$3:$F$32,2,FALSE),VLOOKUP(R$1,test!$A$3:$F$32,2,FALSE))&lt;test!$K$16,$A43&lt;&gt;R$1,Recharged_Feasible_mat!S12),(VLOOKUP(R$1,test!$A$3:$I$32,8,FALSE))-(VLOOKUP($A43,test!$A$3:$I$32,9,FALSE))+(test!$B$33-50),0)</f>
        <v>0</v>
      </c>
      <c r="S43">
        <f>IF(AND(SUM(VLOOKUP($A43,test!$A$3:$F$32,2,FALSE),VLOOKUP(S$1,test!$A$3:$F$32,2,FALSE))&lt;test!$K$16,$A43&lt;&gt;S$1,Recharged_Feasible_mat!T12),(VLOOKUP(S$1,test!$A$3:$I$32,8,FALSE))-(VLOOKUP($A43,test!$A$3:$I$32,9,FALSE))+(test!$B$33-50),0)</f>
        <v>0</v>
      </c>
      <c r="T43">
        <f>IF(AND(SUM(VLOOKUP($A43,test!$A$3:$F$32,2,FALSE),VLOOKUP(T$1,test!$A$3:$F$32,2,FALSE))&lt;test!$K$16,$A43&lt;&gt;T$1,Recharged_Feasible_mat!U12),(VLOOKUP(T$1,test!$A$3:$I$32,8,FALSE))-(VLOOKUP($A43,test!$A$3:$I$32,9,FALSE))+(test!$B$33-50),0)</f>
        <v>0</v>
      </c>
      <c r="U43">
        <f>IF(AND(SUM(VLOOKUP($A43,test!$A$3:$F$32,2,FALSE),VLOOKUP(U$1,test!$A$3:$F$32,2,FALSE))&lt;test!$K$16,$A43&lt;&gt;U$1,Recharged_Feasible_mat!V12),(VLOOKUP(U$1,test!$A$3:$I$32,8,FALSE))-(VLOOKUP($A43,test!$A$3:$I$32,9,FALSE))+(test!$B$33-50),0)</f>
        <v>85</v>
      </c>
      <c r="V43">
        <f>IF(AND(SUM(VLOOKUP($A43,test!$A$3:$F$32,2,FALSE),VLOOKUP(V$1,test!$A$3:$F$32,2,FALSE))&lt;test!$K$16,$A43&lt;&gt;V$1,Recharged_Feasible_mat!W12),(VLOOKUP(V$1,test!$A$3:$I$32,8,FALSE))-(VLOOKUP($A43,test!$A$3:$I$32,9,FALSE))+(test!$B$33-50),0)</f>
        <v>175</v>
      </c>
      <c r="W43">
        <f>IF(AND(SUM(VLOOKUP($A43,test!$A$3:$F$32,2,FALSE),VLOOKUP(W$1,test!$A$3:$F$32,2,FALSE))&lt;test!$K$16,$A43&lt;&gt;W$1,Recharged_Feasible_mat!X12),(VLOOKUP(W$1,test!$A$3:$I$32,8,FALSE))-(VLOOKUP($A43,test!$A$3:$I$32,9,FALSE))+(test!$B$33-50),0)</f>
        <v>265</v>
      </c>
      <c r="X43">
        <f>IF(AND(SUM(VLOOKUP($A43,test!$A$3:$F$32,2,FALSE),VLOOKUP(X$1,test!$A$3:$F$32,2,FALSE))&lt;test!$K$16,$A43&lt;&gt;X$1,Recharged_Feasible_mat!Y12),(VLOOKUP(X$1,test!$A$3:$I$32,8,FALSE))-(VLOOKUP($A43,test!$A$3:$I$32,9,FALSE))+(test!$B$33-50),0)</f>
        <v>325</v>
      </c>
      <c r="Y43">
        <f>IF(AND(SUM(VLOOKUP($A43,test!$A$3:$F$32,2,FALSE),VLOOKUP(Y$1,test!$A$3:$F$32,2,FALSE))&lt;test!$K$16,$A43&lt;&gt;Y$1,Recharged_Feasible_mat!Z12),(VLOOKUP(Y$1,test!$A$3:$I$32,8,FALSE))-(VLOOKUP($A43,test!$A$3:$I$32,9,FALSE))+(test!$B$33-50),0)</f>
        <v>0</v>
      </c>
      <c r="Z43">
        <f>IF(AND(SUM(VLOOKUP($A43,test!$A$3:$F$32,2,FALSE),VLOOKUP(Z$1,test!$A$3:$F$32,2,FALSE))&lt;test!$K$16,$A43&lt;&gt;Z$1,Recharged_Feasible_mat!AA12),(VLOOKUP(Z$1,test!$A$3:$I$32,8,FALSE))-(VLOOKUP($A43,test!$A$3:$I$32,9,FALSE))+(test!$B$33-50),0)</f>
        <v>0</v>
      </c>
      <c r="AA43">
        <f>IF(AND(SUM(VLOOKUP($A43,test!$A$3:$F$32,2,FALSE),VLOOKUP(AA$1,test!$A$3:$F$32,2,FALSE))&lt;test!$K$16,$A43&lt;&gt;AA$1,Recharged_Feasible_mat!AB12),(VLOOKUP(AA$1,test!$A$3:$I$32,8,FALSE))-(VLOOKUP($A43,test!$A$3:$I$32,9,FALSE))+(test!$B$33-50),0)</f>
        <v>0</v>
      </c>
      <c r="AB43">
        <f>IF(AND(SUM(VLOOKUP($A43,test!$A$3:$F$32,2,FALSE),VLOOKUP(AB$1,test!$A$3:$F$32,2,FALSE))&lt;test!$K$16,$A43&lt;&gt;AB$1,Recharged_Feasible_mat!AC12),(VLOOKUP(AB$1,test!$A$3:$I$32,8,FALSE))-(VLOOKUP($A43,test!$A$3:$I$32,9,FALSE))+(test!$B$33-50),0)</f>
        <v>105</v>
      </c>
      <c r="AC43">
        <f>IF(AND(SUM(VLOOKUP($A43,test!$A$3:$F$32,2,FALSE),VLOOKUP(AC$1,test!$A$3:$F$32,2,FALSE))&lt;test!$K$16,$A43&lt;&gt;AC$1,Recharged_Feasible_mat!AD12),(VLOOKUP(AC$1,test!$A$3:$I$32,8,FALSE))-(VLOOKUP($A43,test!$A$3:$I$32,9,FALSE))+(test!$B$33-50),0)</f>
        <v>225</v>
      </c>
      <c r="AD43">
        <f>IF(AND(SUM(VLOOKUP($A43,test!$A$3:$F$32,2,FALSE),VLOOKUP(AD$1,test!$A$3:$F$32,2,FALSE))&lt;test!$K$16,$A43&lt;&gt;AD$1,Recharged_Feasible_mat!AE12),(VLOOKUP(AD$1,test!$A$3:$I$32,8,FALSE))-(VLOOKUP($A43,test!$A$3:$I$32,9,FALSE))+(test!$B$33-50),0)</f>
        <v>0</v>
      </c>
      <c r="AE43">
        <f>IF(AND(SUM(VLOOKUP($A43,test!$A$3:$F$32,2,FALSE),VLOOKUP(AE$1,test!$A$3:$F$32,2,FALSE))&lt;test!$K$16,$A43&lt;&gt;AE$1,Recharged_Feasible_mat!AF12),(VLOOKUP(AE$1,test!$A$3:$I$32,8,FALSE))-(VLOOKUP($A43,test!$A$3:$I$32,9,FALSE))+(test!$B$33-50),0)</f>
        <v>0</v>
      </c>
      <c r="AF43">
        <f>IF(AND(SUM(VLOOKUP($A43,test!$A$3:$F$32,2,FALSE),VLOOKUP(AF$1,test!$A$3:$F$32,2,FALSE))&lt;test!$K$16,$A43&lt;&gt;AF$1,Recharged_Feasible_mat!AG12),(VLOOKUP(AF$1,test!$A$3:$I$32,8,FALSE))-(VLOOKUP($A43,test!$A$3:$I$32,9,FALSE))+(test!$B$33-50),0)</f>
        <v>0</v>
      </c>
    </row>
    <row r="44" spans="1:34" x14ac:dyDescent="0.25">
      <c r="A44" t="s">
        <v>21</v>
      </c>
      <c r="B44">
        <v>0</v>
      </c>
      <c r="C44">
        <f>IF(AND(SUM(VLOOKUP($A44,test!$A$3:$F$32,2,FALSE),VLOOKUP(C$1,test!$A$3:$F$32,2,FALSE))&lt;test!$K$16,$A44&lt;&gt;C$1,Recharged_Feasible_mat!D13),(VLOOKUP(C$1,test!$A$3:$I$32,8,FALSE))-(VLOOKUP($A44,test!$A$3:$I$32,9,FALSE))+(test!$B$33-50),0)</f>
        <v>0</v>
      </c>
      <c r="D44">
        <f>IF(AND(SUM(VLOOKUP($A44,test!$A$3:$F$32,2,FALSE),VLOOKUP(D$1,test!$A$3:$F$32,2,FALSE))&lt;test!$K$16,$A44&lt;&gt;D$1,Recharged_Feasible_mat!E13),(VLOOKUP(D$1,test!$A$3:$I$32,8,FALSE))-(VLOOKUP($A44,test!$A$3:$I$32,9,FALSE))+(test!$B$33-50),0)</f>
        <v>0</v>
      </c>
      <c r="E44">
        <f>IF(AND(SUM(VLOOKUP($A44,test!$A$3:$F$32,2,FALSE),VLOOKUP(E$1,test!$A$3:$F$32,2,FALSE))&lt;test!$K$16,$A44&lt;&gt;E$1,Recharged_Feasible_mat!F13),(VLOOKUP(E$1,test!$A$3:$I$32,8,FALSE))-(VLOOKUP($A44,test!$A$3:$I$32,9,FALSE))+(test!$B$33-50),0)</f>
        <v>0</v>
      </c>
      <c r="F44">
        <f>IF(AND(SUM(VLOOKUP($A44,test!$A$3:$F$32,2,FALSE),VLOOKUP(F$1,test!$A$3:$F$32,2,FALSE))&lt;test!$K$16,$A44&lt;&gt;F$1,Recharged_Feasible_mat!G13),(VLOOKUP(F$1,test!$A$3:$I$32,8,FALSE))-(VLOOKUP($A44,test!$A$3:$I$32,9,FALSE))+(test!$B$33-50),0)</f>
        <v>0</v>
      </c>
      <c r="G44">
        <f>IF(AND(SUM(VLOOKUP($A44,test!$A$3:$F$32,2,FALSE),VLOOKUP(G$1,test!$A$3:$F$32,2,FALSE))&lt;test!$K$16,$A44&lt;&gt;G$1,Recharged_Feasible_mat!H13),(VLOOKUP(G$1,test!$A$3:$I$32,8,FALSE))-(VLOOKUP($A44,test!$A$3:$I$32,9,FALSE))+(test!$B$33-50),0)</f>
        <v>0</v>
      </c>
      <c r="H44">
        <f>IF(AND(SUM(VLOOKUP($A44,test!$A$3:$F$32,2,FALSE),VLOOKUP(H$1,test!$A$3:$F$32,2,FALSE))&lt;test!$K$16,$A44&lt;&gt;H$1,Recharged_Feasible_mat!I13),(VLOOKUP(H$1,test!$A$3:$I$32,8,FALSE))-(VLOOKUP($A44,test!$A$3:$I$32,9,FALSE))+(test!$B$33-50),0)</f>
        <v>105</v>
      </c>
      <c r="I44">
        <f>IF(AND(SUM(VLOOKUP($A44,test!$A$3:$F$32,2,FALSE),VLOOKUP(I$1,test!$A$3:$F$32,2,FALSE))&lt;test!$K$16,$A44&lt;&gt;I$1,Recharged_Feasible_mat!J13),(VLOOKUP(I$1,test!$A$3:$I$32,8,FALSE))-(VLOOKUP($A44,test!$A$3:$I$32,9,FALSE))+(test!$B$33-50),0)</f>
        <v>165</v>
      </c>
      <c r="J44">
        <f>IF(AND(SUM(VLOOKUP($A44,test!$A$3:$F$32,2,FALSE),VLOOKUP(J$1,test!$A$3:$F$32,2,FALSE))&lt;test!$K$16,$A44&lt;&gt;J$1,Recharged_Feasible_mat!K13),(VLOOKUP(J$1,test!$A$3:$I$32,8,FALSE))-(VLOOKUP($A44,test!$A$3:$I$32,9,FALSE))+(test!$B$33-50),0)</f>
        <v>255</v>
      </c>
      <c r="K44">
        <f>IF(AND(SUM(VLOOKUP($A44,test!$A$3:$F$32,2,FALSE),VLOOKUP(K$1,test!$A$3:$F$32,2,FALSE))&lt;test!$K$16,$A44&lt;&gt;K$1,Recharged_Feasible_mat!L13),(VLOOKUP(K$1,test!$A$3:$I$32,8,FALSE))-(VLOOKUP($A44,test!$A$3:$I$32,9,FALSE))+(test!$B$33-50),0)</f>
        <v>0</v>
      </c>
      <c r="L44">
        <f>IF(AND(SUM(VLOOKUP($A44,test!$A$3:$F$32,2,FALSE),VLOOKUP(L$1,test!$A$3:$F$32,2,FALSE))&lt;test!$K$16,$A44&lt;&gt;L$1,Recharged_Feasible_mat!M13),(VLOOKUP(L$1,test!$A$3:$I$32,8,FALSE))-(VLOOKUP($A44,test!$A$3:$I$32,9,FALSE))+(test!$B$33-50),0)</f>
        <v>0</v>
      </c>
      <c r="M44">
        <f>IF(AND(SUM(VLOOKUP($A44,test!$A$3:$F$32,2,FALSE),VLOOKUP(M$1,test!$A$3:$F$32,2,FALSE))&lt;test!$K$16,$A44&lt;&gt;M$1,Recharged_Feasible_mat!N13),(VLOOKUP(M$1,test!$A$3:$I$32,8,FALSE))-(VLOOKUP($A44,test!$A$3:$I$32,9,FALSE))+(test!$B$33-50),0)</f>
        <v>0</v>
      </c>
      <c r="N44">
        <f>IF(AND(SUM(VLOOKUP($A44,test!$A$3:$F$32,2,FALSE),VLOOKUP(N$1,test!$A$3:$F$32,2,FALSE))&lt;test!$K$16,$A44&lt;&gt;N$1,Recharged_Feasible_mat!O13),(VLOOKUP(N$1,test!$A$3:$I$32,8,FALSE))-(VLOOKUP($A44,test!$A$3:$I$32,9,FALSE))+(test!$B$33-50),0)</f>
        <v>220</v>
      </c>
      <c r="O44">
        <f>IF(AND(SUM(VLOOKUP($A44,test!$A$3:$F$32,2,FALSE),VLOOKUP(O$1,test!$A$3:$F$32,2,FALSE))&lt;test!$K$16,$A44&lt;&gt;O$1,Recharged_Feasible_mat!P13),(VLOOKUP(O$1,test!$A$3:$I$32,8,FALSE))-(VLOOKUP($A44,test!$A$3:$I$32,9,FALSE))+(test!$B$33-50),0)</f>
        <v>280</v>
      </c>
      <c r="P44">
        <f>IF(AND(SUM(VLOOKUP($A44,test!$A$3:$F$32,2,FALSE),VLOOKUP(P$1,test!$A$3:$F$32,2,FALSE))&lt;test!$K$16,$A44&lt;&gt;P$1,Recharged_Feasible_mat!Q13),(VLOOKUP(P$1,test!$A$3:$I$32,8,FALSE))-(VLOOKUP($A44,test!$A$3:$I$32,9,FALSE))+(test!$B$33-50),0)</f>
        <v>0</v>
      </c>
      <c r="Q44">
        <f>IF(AND(SUM(VLOOKUP($A44,test!$A$3:$F$32,2,FALSE),VLOOKUP(Q$1,test!$A$3:$F$32,2,FALSE))&lt;test!$K$16,$A44&lt;&gt;Q$1,Recharged_Feasible_mat!R13),(VLOOKUP(Q$1,test!$A$3:$I$32,8,FALSE))-(VLOOKUP($A44,test!$A$3:$I$32,9,FALSE))+(test!$B$33-50),0)</f>
        <v>0</v>
      </c>
      <c r="R44">
        <f>IF(AND(SUM(VLOOKUP($A44,test!$A$3:$F$32,2,FALSE),VLOOKUP(R$1,test!$A$3:$F$32,2,FALSE))&lt;test!$K$16,$A44&lt;&gt;R$1,Recharged_Feasible_mat!S13),(VLOOKUP(R$1,test!$A$3:$I$32,8,FALSE))-(VLOOKUP($A44,test!$A$3:$I$32,9,FALSE))+(test!$B$33-50),0)</f>
        <v>0</v>
      </c>
      <c r="S44">
        <f>IF(AND(SUM(VLOOKUP($A44,test!$A$3:$F$32,2,FALSE),VLOOKUP(S$1,test!$A$3:$F$32,2,FALSE))&lt;test!$K$16,$A44&lt;&gt;S$1,Recharged_Feasible_mat!T13),(VLOOKUP(S$1,test!$A$3:$I$32,8,FALSE))-(VLOOKUP($A44,test!$A$3:$I$32,9,FALSE))+(test!$B$33-50),0)</f>
        <v>0</v>
      </c>
      <c r="T44">
        <f>IF(AND(SUM(VLOOKUP($A44,test!$A$3:$F$32,2,FALSE),VLOOKUP(T$1,test!$A$3:$F$32,2,FALSE))&lt;test!$K$16,$A44&lt;&gt;T$1,Recharged_Feasible_mat!U13),(VLOOKUP(T$1,test!$A$3:$I$32,8,FALSE))-(VLOOKUP($A44,test!$A$3:$I$32,9,FALSE))+(test!$B$33-50),0)</f>
        <v>0</v>
      </c>
      <c r="U44">
        <f>IF(AND(SUM(VLOOKUP($A44,test!$A$3:$F$32,2,FALSE),VLOOKUP(U$1,test!$A$3:$F$32,2,FALSE))&lt;test!$K$16,$A44&lt;&gt;U$1,Recharged_Feasible_mat!V13),(VLOOKUP(U$1,test!$A$3:$I$32,8,FALSE))-(VLOOKUP($A44,test!$A$3:$I$32,9,FALSE))+(test!$B$33-50),0)</f>
        <v>0</v>
      </c>
      <c r="V44">
        <f>IF(AND(SUM(VLOOKUP($A44,test!$A$3:$F$32,2,FALSE),VLOOKUP(V$1,test!$A$3:$F$32,2,FALSE))&lt;test!$K$16,$A44&lt;&gt;V$1,Recharged_Feasible_mat!W13),(VLOOKUP(V$1,test!$A$3:$I$32,8,FALSE))-(VLOOKUP($A44,test!$A$3:$I$32,9,FALSE))+(test!$B$33-50),0)</f>
        <v>0</v>
      </c>
      <c r="W44">
        <f>IF(AND(SUM(VLOOKUP($A44,test!$A$3:$F$32,2,FALSE),VLOOKUP(W$1,test!$A$3:$F$32,2,FALSE))&lt;test!$K$16,$A44&lt;&gt;W$1,Recharged_Feasible_mat!X13),(VLOOKUP(W$1,test!$A$3:$I$32,8,FALSE))-(VLOOKUP($A44,test!$A$3:$I$32,9,FALSE))+(test!$B$33-50),0)</f>
        <v>145</v>
      </c>
      <c r="X44">
        <f>IF(AND(SUM(VLOOKUP($A44,test!$A$3:$F$32,2,FALSE),VLOOKUP(X$1,test!$A$3:$F$32,2,FALSE))&lt;test!$K$16,$A44&lt;&gt;X$1,Recharged_Feasible_mat!Y13),(VLOOKUP(X$1,test!$A$3:$I$32,8,FALSE))-(VLOOKUP($A44,test!$A$3:$I$32,9,FALSE))+(test!$B$33-50),0)</f>
        <v>205</v>
      </c>
      <c r="Y44">
        <f>IF(AND(SUM(VLOOKUP($A44,test!$A$3:$F$32,2,FALSE),VLOOKUP(Y$1,test!$A$3:$F$32,2,FALSE))&lt;test!$K$16,$A44&lt;&gt;Y$1,Recharged_Feasible_mat!Z13),(VLOOKUP(Y$1,test!$A$3:$I$32,8,FALSE))-(VLOOKUP($A44,test!$A$3:$I$32,9,FALSE))+(test!$B$33-50),0)</f>
        <v>0</v>
      </c>
      <c r="Z44">
        <f>IF(AND(SUM(VLOOKUP($A44,test!$A$3:$F$32,2,FALSE),VLOOKUP(Z$1,test!$A$3:$F$32,2,FALSE))&lt;test!$K$16,$A44&lt;&gt;Z$1,Recharged_Feasible_mat!AA13),(VLOOKUP(Z$1,test!$A$3:$I$32,8,FALSE))-(VLOOKUP($A44,test!$A$3:$I$32,9,FALSE))+(test!$B$33-50),0)</f>
        <v>0</v>
      </c>
      <c r="AA44">
        <f>IF(AND(SUM(VLOOKUP($A44,test!$A$3:$F$32,2,FALSE),VLOOKUP(AA$1,test!$A$3:$F$32,2,FALSE))&lt;test!$K$16,$A44&lt;&gt;AA$1,Recharged_Feasible_mat!AB13),(VLOOKUP(AA$1,test!$A$3:$I$32,8,FALSE))-(VLOOKUP($A44,test!$A$3:$I$32,9,FALSE))+(test!$B$33-50),0)</f>
        <v>0</v>
      </c>
      <c r="AB44">
        <f>IF(AND(SUM(VLOOKUP($A44,test!$A$3:$F$32,2,FALSE),VLOOKUP(AB$1,test!$A$3:$F$32,2,FALSE))&lt;test!$K$16,$A44&lt;&gt;AB$1,Recharged_Feasible_mat!AC13),(VLOOKUP(AB$1,test!$A$3:$I$32,8,FALSE))-(VLOOKUP($A44,test!$A$3:$I$32,9,FALSE))+(test!$B$33-50),0)</f>
        <v>0</v>
      </c>
      <c r="AC44">
        <f>IF(AND(SUM(VLOOKUP($A44,test!$A$3:$F$32,2,FALSE),VLOOKUP(AC$1,test!$A$3:$F$32,2,FALSE))&lt;test!$K$16,$A44&lt;&gt;AC$1,Recharged_Feasible_mat!AD13),(VLOOKUP(AC$1,test!$A$3:$I$32,8,FALSE))-(VLOOKUP($A44,test!$A$3:$I$32,9,FALSE))+(test!$B$33-50),0)</f>
        <v>105</v>
      </c>
      <c r="AD44">
        <f>IF(AND(SUM(VLOOKUP($A44,test!$A$3:$F$32,2,FALSE),VLOOKUP(AD$1,test!$A$3:$F$32,2,FALSE))&lt;test!$K$16,$A44&lt;&gt;AD$1,Recharged_Feasible_mat!AE13),(VLOOKUP(AD$1,test!$A$3:$I$32,8,FALSE))-(VLOOKUP($A44,test!$A$3:$I$32,9,FALSE))+(test!$B$33-50),0)</f>
        <v>0</v>
      </c>
      <c r="AE44">
        <f>IF(AND(SUM(VLOOKUP($A44,test!$A$3:$F$32,2,FALSE),VLOOKUP(AE$1,test!$A$3:$F$32,2,FALSE))&lt;test!$K$16,$A44&lt;&gt;AE$1,Recharged_Feasible_mat!AF13),(VLOOKUP(AE$1,test!$A$3:$I$32,8,FALSE))-(VLOOKUP($A44,test!$A$3:$I$32,9,FALSE))+(test!$B$33-50),0)</f>
        <v>0</v>
      </c>
      <c r="AF44">
        <f>IF(AND(SUM(VLOOKUP($A44,test!$A$3:$F$32,2,FALSE),VLOOKUP(AF$1,test!$A$3:$F$32,2,FALSE))&lt;test!$K$16,$A44&lt;&gt;AF$1,Recharged_Feasible_mat!AG13),(VLOOKUP(AF$1,test!$A$3:$I$32,8,FALSE))-(VLOOKUP($A44,test!$A$3:$I$32,9,FALSE))+(test!$B$33-50),0)</f>
        <v>0</v>
      </c>
    </row>
    <row r="45" spans="1:34" x14ac:dyDescent="0.25">
      <c r="A45" t="s">
        <v>22</v>
      </c>
      <c r="B45">
        <v>0</v>
      </c>
      <c r="C45">
        <f>IF(AND(SUM(VLOOKUP($A45,test!$A$3:$F$32,2,FALSE),VLOOKUP(C$1,test!$A$3:$F$32,2,FALSE))&lt;test!$K$16,$A45&lt;&gt;C$1,Recharged_Feasible_mat!D14),(VLOOKUP(C$1,test!$A$3:$I$32,8,FALSE))-(VLOOKUP($A45,test!$A$3:$I$32,9,FALSE))+(test!$B$33-50),0)</f>
        <v>0</v>
      </c>
      <c r="D45">
        <f>IF(AND(SUM(VLOOKUP($A45,test!$A$3:$F$32,2,FALSE),VLOOKUP(D$1,test!$A$3:$F$32,2,FALSE))&lt;test!$K$16,$A45&lt;&gt;D$1,Recharged_Feasible_mat!E14),(VLOOKUP(D$1,test!$A$3:$I$32,8,FALSE))-(VLOOKUP($A45,test!$A$3:$I$32,9,FALSE))+(test!$B$33-50),0)</f>
        <v>0</v>
      </c>
      <c r="E45">
        <f>IF(AND(SUM(VLOOKUP($A45,test!$A$3:$F$32,2,FALSE),VLOOKUP(E$1,test!$A$3:$F$32,2,FALSE))&lt;test!$K$16,$A45&lt;&gt;E$1,Recharged_Feasible_mat!F14),(VLOOKUP(E$1,test!$A$3:$I$32,8,FALSE))-(VLOOKUP($A45,test!$A$3:$I$32,9,FALSE))+(test!$B$33-50),0)</f>
        <v>0</v>
      </c>
      <c r="F45">
        <f>IF(AND(SUM(VLOOKUP($A45,test!$A$3:$F$32,2,FALSE),VLOOKUP(F$1,test!$A$3:$F$32,2,FALSE))&lt;test!$K$16,$A45&lt;&gt;F$1,Recharged_Feasible_mat!G14),(VLOOKUP(F$1,test!$A$3:$I$32,8,FALSE))-(VLOOKUP($A45,test!$A$3:$I$32,9,FALSE))+(test!$B$33-50),0)</f>
        <v>0</v>
      </c>
      <c r="G45">
        <f>IF(AND(SUM(VLOOKUP($A45,test!$A$3:$F$32,2,FALSE),VLOOKUP(G$1,test!$A$3:$F$32,2,FALSE))&lt;test!$K$16,$A45&lt;&gt;G$1,Recharged_Feasible_mat!H14),(VLOOKUP(G$1,test!$A$3:$I$32,8,FALSE))-(VLOOKUP($A45,test!$A$3:$I$32,9,FALSE))+(test!$B$33-50),0)</f>
        <v>0</v>
      </c>
      <c r="H45">
        <f>IF(AND(SUM(VLOOKUP($A45,test!$A$3:$F$32,2,FALSE),VLOOKUP(H$1,test!$A$3:$F$32,2,FALSE))&lt;test!$K$16,$A45&lt;&gt;H$1,Recharged_Feasible_mat!I14),(VLOOKUP(H$1,test!$A$3:$I$32,8,FALSE))-(VLOOKUP($A45,test!$A$3:$I$32,9,FALSE))+(test!$B$33-50),0)</f>
        <v>0</v>
      </c>
      <c r="I45">
        <f>IF(AND(SUM(VLOOKUP($A45,test!$A$3:$F$32,2,FALSE),VLOOKUP(I$1,test!$A$3:$F$32,2,FALSE))&lt;test!$K$16,$A45&lt;&gt;I$1,Recharged_Feasible_mat!J14),(VLOOKUP(I$1,test!$A$3:$I$32,8,FALSE))-(VLOOKUP($A45,test!$A$3:$I$32,9,FALSE))+(test!$B$33-50),0)</f>
        <v>0</v>
      </c>
      <c r="J45">
        <f>IF(AND(SUM(VLOOKUP($A45,test!$A$3:$F$32,2,FALSE),VLOOKUP(J$1,test!$A$3:$F$32,2,FALSE))&lt;test!$K$16,$A45&lt;&gt;J$1,Recharged_Feasible_mat!K14),(VLOOKUP(J$1,test!$A$3:$I$32,8,FALSE))-(VLOOKUP($A45,test!$A$3:$I$32,9,FALSE))+(test!$B$33-50),0)</f>
        <v>0</v>
      </c>
      <c r="K45">
        <f>IF(AND(SUM(VLOOKUP($A45,test!$A$3:$F$32,2,FALSE),VLOOKUP(K$1,test!$A$3:$F$32,2,FALSE))&lt;test!$K$16,$A45&lt;&gt;K$1,Recharged_Feasible_mat!L14),(VLOOKUP(K$1,test!$A$3:$I$32,8,FALSE))-(VLOOKUP($A45,test!$A$3:$I$32,9,FALSE))+(test!$B$33-50),0)</f>
        <v>0</v>
      </c>
      <c r="L45">
        <f>IF(AND(SUM(VLOOKUP($A45,test!$A$3:$F$32,2,FALSE),VLOOKUP(L$1,test!$A$3:$F$32,2,FALSE))&lt;test!$K$16,$A45&lt;&gt;L$1,Recharged_Feasible_mat!M14),(VLOOKUP(L$1,test!$A$3:$I$32,8,FALSE))-(VLOOKUP($A45,test!$A$3:$I$32,9,FALSE))+(test!$B$33-50),0)</f>
        <v>0</v>
      </c>
      <c r="M45">
        <f>IF(AND(SUM(VLOOKUP($A45,test!$A$3:$F$32,2,FALSE),VLOOKUP(M$1,test!$A$3:$F$32,2,FALSE))&lt;test!$K$16,$A45&lt;&gt;M$1,Recharged_Feasible_mat!N14),(VLOOKUP(M$1,test!$A$3:$I$32,8,FALSE))-(VLOOKUP($A45,test!$A$3:$I$32,9,FALSE))+(test!$B$33-50),0)</f>
        <v>0</v>
      </c>
      <c r="N45">
        <f>IF(AND(SUM(VLOOKUP($A45,test!$A$3:$F$32,2,FALSE),VLOOKUP(N$1,test!$A$3:$F$32,2,FALSE))&lt;test!$K$16,$A45&lt;&gt;N$1,Recharged_Feasible_mat!O14),(VLOOKUP(N$1,test!$A$3:$I$32,8,FALSE))-(VLOOKUP($A45,test!$A$3:$I$32,9,FALSE))+(test!$B$33-50),0)</f>
        <v>0</v>
      </c>
      <c r="O45">
        <f>IF(AND(SUM(VLOOKUP($A45,test!$A$3:$F$32,2,FALSE),VLOOKUP(O$1,test!$A$3:$F$32,2,FALSE))&lt;test!$K$16,$A45&lt;&gt;O$1,Recharged_Feasible_mat!P14),(VLOOKUP(O$1,test!$A$3:$I$32,8,FALSE))-(VLOOKUP($A45,test!$A$3:$I$32,9,FALSE))+(test!$B$33-50),0)</f>
        <v>0</v>
      </c>
      <c r="P45">
        <f>IF(AND(SUM(VLOOKUP($A45,test!$A$3:$F$32,2,FALSE),VLOOKUP(P$1,test!$A$3:$F$32,2,FALSE))&lt;test!$K$16,$A45&lt;&gt;P$1,Recharged_Feasible_mat!Q14),(VLOOKUP(P$1,test!$A$3:$I$32,8,FALSE))-(VLOOKUP($A45,test!$A$3:$I$32,9,FALSE))+(test!$B$33-50),0)</f>
        <v>0</v>
      </c>
      <c r="Q45">
        <f>IF(AND(SUM(VLOOKUP($A45,test!$A$3:$F$32,2,FALSE),VLOOKUP(Q$1,test!$A$3:$F$32,2,FALSE))&lt;test!$K$16,$A45&lt;&gt;Q$1,Recharged_Feasible_mat!R14),(VLOOKUP(Q$1,test!$A$3:$I$32,8,FALSE))-(VLOOKUP($A45,test!$A$3:$I$32,9,FALSE))+(test!$B$33-50),0)</f>
        <v>0</v>
      </c>
      <c r="R45">
        <f>IF(AND(SUM(VLOOKUP($A45,test!$A$3:$F$32,2,FALSE),VLOOKUP(R$1,test!$A$3:$F$32,2,FALSE))&lt;test!$K$16,$A45&lt;&gt;R$1,Recharged_Feasible_mat!S14),(VLOOKUP(R$1,test!$A$3:$I$32,8,FALSE))-(VLOOKUP($A45,test!$A$3:$I$32,9,FALSE))+(test!$B$33-50),0)</f>
        <v>0</v>
      </c>
      <c r="S45">
        <f>IF(AND(SUM(VLOOKUP($A45,test!$A$3:$F$32,2,FALSE),VLOOKUP(S$1,test!$A$3:$F$32,2,FALSE))&lt;test!$K$16,$A45&lt;&gt;S$1,Recharged_Feasible_mat!T14),(VLOOKUP(S$1,test!$A$3:$I$32,8,FALSE))-(VLOOKUP($A45,test!$A$3:$I$32,9,FALSE))+(test!$B$33-50),0)</f>
        <v>0</v>
      </c>
      <c r="T45">
        <f>IF(AND(SUM(VLOOKUP($A45,test!$A$3:$F$32,2,FALSE),VLOOKUP(T$1,test!$A$3:$F$32,2,FALSE))&lt;test!$K$16,$A45&lt;&gt;T$1,Recharged_Feasible_mat!U14),(VLOOKUP(T$1,test!$A$3:$I$32,8,FALSE))-(VLOOKUP($A45,test!$A$3:$I$32,9,FALSE))+(test!$B$33-50),0)</f>
        <v>0</v>
      </c>
      <c r="U45">
        <f>IF(AND(SUM(VLOOKUP($A45,test!$A$3:$F$32,2,FALSE),VLOOKUP(U$1,test!$A$3:$F$32,2,FALSE))&lt;test!$K$16,$A45&lt;&gt;U$1,Recharged_Feasible_mat!V14),(VLOOKUP(U$1,test!$A$3:$I$32,8,FALSE))-(VLOOKUP($A45,test!$A$3:$I$32,9,FALSE))+(test!$B$33-50),0)</f>
        <v>0</v>
      </c>
      <c r="V45">
        <f>IF(AND(SUM(VLOOKUP($A45,test!$A$3:$F$32,2,FALSE),VLOOKUP(V$1,test!$A$3:$F$32,2,FALSE))&lt;test!$K$16,$A45&lt;&gt;V$1,Recharged_Feasible_mat!W14),(VLOOKUP(V$1,test!$A$3:$I$32,8,FALSE))-(VLOOKUP($A45,test!$A$3:$I$32,9,FALSE))+(test!$B$33-50),0)</f>
        <v>0</v>
      </c>
      <c r="W45">
        <f>IF(AND(SUM(VLOOKUP($A45,test!$A$3:$F$32,2,FALSE),VLOOKUP(W$1,test!$A$3:$F$32,2,FALSE))&lt;test!$K$16,$A45&lt;&gt;W$1,Recharged_Feasible_mat!X14),(VLOOKUP(W$1,test!$A$3:$I$32,8,FALSE))-(VLOOKUP($A45,test!$A$3:$I$32,9,FALSE))+(test!$B$33-50),0)</f>
        <v>0</v>
      </c>
      <c r="X45">
        <f>IF(AND(SUM(VLOOKUP($A45,test!$A$3:$F$32,2,FALSE),VLOOKUP(X$1,test!$A$3:$F$32,2,FALSE))&lt;test!$K$16,$A45&lt;&gt;X$1,Recharged_Feasible_mat!Y14),(VLOOKUP(X$1,test!$A$3:$I$32,8,FALSE))-(VLOOKUP($A45,test!$A$3:$I$32,9,FALSE))+(test!$B$33-50),0)</f>
        <v>0</v>
      </c>
      <c r="Y45">
        <f>IF(AND(SUM(VLOOKUP($A45,test!$A$3:$F$32,2,FALSE),VLOOKUP(Y$1,test!$A$3:$F$32,2,FALSE))&lt;test!$K$16,$A45&lt;&gt;Y$1,Recharged_Feasible_mat!Z14),(VLOOKUP(Y$1,test!$A$3:$I$32,8,FALSE))-(VLOOKUP($A45,test!$A$3:$I$32,9,FALSE))+(test!$B$33-50),0)</f>
        <v>0</v>
      </c>
      <c r="Z45">
        <f>IF(AND(SUM(VLOOKUP($A45,test!$A$3:$F$32,2,FALSE),VLOOKUP(Z$1,test!$A$3:$F$32,2,FALSE))&lt;test!$K$16,$A45&lt;&gt;Z$1,Recharged_Feasible_mat!AA14),(VLOOKUP(Z$1,test!$A$3:$I$32,8,FALSE))-(VLOOKUP($A45,test!$A$3:$I$32,9,FALSE))+(test!$B$33-50),0)</f>
        <v>0</v>
      </c>
      <c r="AA45">
        <f>IF(AND(SUM(VLOOKUP($A45,test!$A$3:$F$32,2,FALSE),VLOOKUP(AA$1,test!$A$3:$F$32,2,FALSE))&lt;test!$K$16,$A45&lt;&gt;AA$1,Recharged_Feasible_mat!AB14),(VLOOKUP(AA$1,test!$A$3:$I$32,8,FALSE))-(VLOOKUP($A45,test!$A$3:$I$32,9,FALSE))+(test!$B$33-50),0)</f>
        <v>0</v>
      </c>
      <c r="AB45">
        <f>IF(AND(SUM(VLOOKUP($A45,test!$A$3:$F$32,2,FALSE),VLOOKUP(AB$1,test!$A$3:$F$32,2,FALSE))&lt;test!$K$16,$A45&lt;&gt;AB$1,Recharged_Feasible_mat!AC14),(VLOOKUP(AB$1,test!$A$3:$I$32,8,FALSE))-(VLOOKUP($A45,test!$A$3:$I$32,9,FALSE))+(test!$B$33-50),0)</f>
        <v>0</v>
      </c>
      <c r="AC45">
        <f>IF(AND(SUM(VLOOKUP($A45,test!$A$3:$F$32,2,FALSE),VLOOKUP(AC$1,test!$A$3:$F$32,2,FALSE))&lt;test!$K$16,$A45&lt;&gt;AC$1,Recharged_Feasible_mat!AD14),(VLOOKUP(AC$1,test!$A$3:$I$32,8,FALSE))-(VLOOKUP($A45,test!$A$3:$I$32,9,FALSE))+(test!$B$33-50),0)</f>
        <v>0</v>
      </c>
      <c r="AD45">
        <f>IF(AND(SUM(VLOOKUP($A45,test!$A$3:$F$32,2,FALSE),VLOOKUP(AD$1,test!$A$3:$F$32,2,FALSE))&lt;test!$K$16,$A45&lt;&gt;AD$1,Recharged_Feasible_mat!AE14),(VLOOKUP(AD$1,test!$A$3:$I$32,8,FALSE))-(VLOOKUP($A45,test!$A$3:$I$32,9,FALSE))+(test!$B$33-50),0)</f>
        <v>0</v>
      </c>
      <c r="AE45">
        <f>IF(AND(SUM(VLOOKUP($A45,test!$A$3:$F$32,2,FALSE),VLOOKUP(AE$1,test!$A$3:$F$32,2,FALSE))&lt;test!$K$16,$A45&lt;&gt;AE$1,Recharged_Feasible_mat!AF14),(VLOOKUP(AE$1,test!$A$3:$I$32,8,FALSE))-(VLOOKUP($A45,test!$A$3:$I$32,9,FALSE))+(test!$B$33-50),0)</f>
        <v>0</v>
      </c>
      <c r="AF45">
        <f>IF(AND(SUM(VLOOKUP($A45,test!$A$3:$F$32,2,FALSE),VLOOKUP(AF$1,test!$A$3:$F$32,2,FALSE))&lt;test!$K$16,$A45&lt;&gt;AF$1,Recharged_Feasible_mat!AG14),(VLOOKUP(AF$1,test!$A$3:$I$32,8,FALSE))-(VLOOKUP($A45,test!$A$3:$I$32,9,FALSE))+(test!$B$33-50),0)</f>
        <v>0</v>
      </c>
    </row>
    <row r="46" spans="1:34" x14ac:dyDescent="0.25">
      <c r="A46" t="s">
        <v>23</v>
      </c>
      <c r="B46">
        <v>0</v>
      </c>
      <c r="C46">
        <f>IF(AND(SUM(VLOOKUP($A46,test!$A$3:$F$32,2,FALSE),VLOOKUP(C$1,test!$A$3:$F$32,2,FALSE))&lt;test!$K$16,$A46&lt;&gt;C$1,Recharged_Feasible_mat!D15),(VLOOKUP(C$1,test!$A$3:$I$32,8,FALSE))-(VLOOKUP($A46,test!$A$3:$I$32,9,FALSE))+(test!$B$33-50),0)</f>
        <v>0</v>
      </c>
      <c r="D46">
        <f>IF(AND(SUM(VLOOKUP($A46,test!$A$3:$F$32,2,FALSE),VLOOKUP(D$1,test!$A$3:$F$32,2,FALSE))&lt;test!$K$16,$A46&lt;&gt;D$1,Recharged_Feasible_mat!E15),(VLOOKUP(D$1,test!$A$3:$I$32,8,FALSE))-(VLOOKUP($A46,test!$A$3:$I$32,9,FALSE))+(test!$B$33-50),0)</f>
        <v>0</v>
      </c>
      <c r="E46">
        <f>IF(AND(SUM(VLOOKUP($A46,test!$A$3:$F$32,2,FALSE),VLOOKUP(E$1,test!$A$3:$F$32,2,FALSE))&lt;test!$K$16,$A46&lt;&gt;E$1,Recharged_Feasible_mat!F15),(VLOOKUP(E$1,test!$A$3:$I$32,8,FALSE))-(VLOOKUP($A46,test!$A$3:$I$32,9,FALSE))+(test!$B$33-50),0)</f>
        <v>0</v>
      </c>
      <c r="F46">
        <f>IF(AND(SUM(VLOOKUP($A46,test!$A$3:$F$32,2,FALSE),VLOOKUP(F$1,test!$A$3:$F$32,2,FALSE))&lt;test!$K$16,$A46&lt;&gt;F$1,Recharged_Feasible_mat!G15),(VLOOKUP(F$1,test!$A$3:$I$32,8,FALSE))-(VLOOKUP($A46,test!$A$3:$I$32,9,FALSE))+(test!$B$33-50),0)</f>
        <v>0</v>
      </c>
      <c r="G46">
        <f>IF(AND(SUM(VLOOKUP($A46,test!$A$3:$F$32,2,FALSE),VLOOKUP(G$1,test!$A$3:$F$32,2,FALSE))&lt;test!$K$16,$A46&lt;&gt;G$1,Recharged_Feasible_mat!H15),(VLOOKUP(G$1,test!$A$3:$I$32,8,FALSE))-(VLOOKUP($A46,test!$A$3:$I$32,9,FALSE))+(test!$B$33-50),0)</f>
        <v>0</v>
      </c>
      <c r="H46">
        <f>IF(AND(SUM(VLOOKUP($A46,test!$A$3:$F$32,2,FALSE),VLOOKUP(H$1,test!$A$3:$F$32,2,FALSE))&lt;test!$K$16,$A46&lt;&gt;H$1,Recharged_Feasible_mat!I15),(VLOOKUP(H$1,test!$A$3:$I$32,8,FALSE))-(VLOOKUP($A46,test!$A$3:$I$32,9,FALSE))+(test!$B$33-50),0)</f>
        <v>0</v>
      </c>
      <c r="I46">
        <f>IF(AND(SUM(VLOOKUP($A46,test!$A$3:$F$32,2,FALSE),VLOOKUP(I$1,test!$A$3:$F$32,2,FALSE))&lt;test!$K$16,$A46&lt;&gt;I$1,Recharged_Feasible_mat!J15),(VLOOKUP(I$1,test!$A$3:$I$32,8,FALSE))-(VLOOKUP($A46,test!$A$3:$I$32,9,FALSE))+(test!$B$33-50),0)</f>
        <v>0</v>
      </c>
      <c r="J46">
        <f>IF(AND(SUM(VLOOKUP($A46,test!$A$3:$F$32,2,FALSE),VLOOKUP(J$1,test!$A$3:$F$32,2,FALSE))&lt;test!$K$16,$A46&lt;&gt;J$1,Recharged_Feasible_mat!K15),(VLOOKUP(J$1,test!$A$3:$I$32,8,FALSE))-(VLOOKUP($A46,test!$A$3:$I$32,9,FALSE))+(test!$B$33-50),0)</f>
        <v>0</v>
      </c>
      <c r="K46">
        <f>IF(AND(SUM(VLOOKUP($A46,test!$A$3:$F$32,2,FALSE),VLOOKUP(K$1,test!$A$3:$F$32,2,FALSE))&lt;test!$K$16,$A46&lt;&gt;K$1,Recharged_Feasible_mat!L15),(VLOOKUP(K$1,test!$A$3:$I$32,8,FALSE))-(VLOOKUP($A46,test!$A$3:$I$32,9,FALSE))+(test!$B$33-50),0)</f>
        <v>0</v>
      </c>
      <c r="L46">
        <f>IF(AND(SUM(VLOOKUP($A46,test!$A$3:$F$32,2,FALSE),VLOOKUP(L$1,test!$A$3:$F$32,2,FALSE))&lt;test!$K$16,$A46&lt;&gt;L$1,Recharged_Feasible_mat!M15),(VLOOKUP(L$1,test!$A$3:$I$32,8,FALSE))-(VLOOKUP($A46,test!$A$3:$I$32,9,FALSE))+(test!$B$33-50),0)</f>
        <v>0</v>
      </c>
      <c r="M46">
        <f>IF(AND(SUM(VLOOKUP($A46,test!$A$3:$F$32,2,FALSE),VLOOKUP(M$1,test!$A$3:$F$32,2,FALSE))&lt;test!$K$16,$A46&lt;&gt;M$1,Recharged_Feasible_mat!N15),(VLOOKUP(M$1,test!$A$3:$I$32,8,FALSE))-(VLOOKUP($A46,test!$A$3:$I$32,9,FALSE))+(test!$B$33-50),0)</f>
        <v>0</v>
      </c>
      <c r="N46">
        <f>IF(AND(SUM(VLOOKUP($A46,test!$A$3:$F$32,2,FALSE),VLOOKUP(N$1,test!$A$3:$F$32,2,FALSE))&lt;test!$K$16,$A46&lt;&gt;N$1,Recharged_Feasible_mat!O15),(VLOOKUP(N$1,test!$A$3:$I$32,8,FALSE))-(VLOOKUP($A46,test!$A$3:$I$32,9,FALSE))+(test!$B$33-50),0)</f>
        <v>0</v>
      </c>
      <c r="O46">
        <f>IF(AND(SUM(VLOOKUP($A46,test!$A$3:$F$32,2,FALSE),VLOOKUP(O$1,test!$A$3:$F$32,2,FALSE))&lt;test!$K$16,$A46&lt;&gt;O$1,Recharged_Feasible_mat!P15),(VLOOKUP(O$1,test!$A$3:$I$32,8,FALSE))-(VLOOKUP($A46,test!$A$3:$I$32,9,FALSE))+(test!$B$33-50),0)</f>
        <v>0</v>
      </c>
      <c r="P46">
        <f>IF(AND(SUM(VLOOKUP($A46,test!$A$3:$F$32,2,FALSE),VLOOKUP(P$1,test!$A$3:$F$32,2,FALSE))&lt;test!$K$16,$A46&lt;&gt;P$1,Recharged_Feasible_mat!Q15),(VLOOKUP(P$1,test!$A$3:$I$32,8,FALSE))-(VLOOKUP($A46,test!$A$3:$I$32,9,FALSE))+(test!$B$33-50),0)</f>
        <v>0</v>
      </c>
      <c r="Q46">
        <f>IF(AND(SUM(VLOOKUP($A46,test!$A$3:$F$32,2,FALSE),VLOOKUP(Q$1,test!$A$3:$F$32,2,FALSE))&lt;test!$K$16,$A46&lt;&gt;Q$1,Recharged_Feasible_mat!R15),(VLOOKUP(Q$1,test!$A$3:$I$32,8,FALSE))-(VLOOKUP($A46,test!$A$3:$I$32,9,FALSE))+(test!$B$33-50),0)</f>
        <v>0</v>
      </c>
      <c r="R46">
        <f>IF(AND(SUM(VLOOKUP($A46,test!$A$3:$F$32,2,FALSE),VLOOKUP(R$1,test!$A$3:$F$32,2,FALSE))&lt;test!$K$16,$A46&lt;&gt;R$1,Recharged_Feasible_mat!S15),(VLOOKUP(R$1,test!$A$3:$I$32,8,FALSE))-(VLOOKUP($A46,test!$A$3:$I$32,9,FALSE))+(test!$B$33-50),0)</f>
        <v>0</v>
      </c>
      <c r="S46">
        <f>IF(AND(SUM(VLOOKUP($A46,test!$A$3:$F$32,2,FALSE),VLOOKUP(S$1,test!$A$3:$F$32,2,FALSE))&lt;test!$K$16,$A46&lt;&gt;S$1,Recharged_Feasible_mat!T15),(VLOOKUP(S$1,test!$A$3:$I$32,8,FALSE))-(VLOOKUP($A46,test!$A$3:$I$32,9,FALSE))+(test!$B$33-50),0)</f>
        <v>0</v>
      </c>
      <c r="T46">
        <f>IF(AND(SUM(VLOOKUP($A46,test!$A$3:$F$32,2,FALSE),VLOOKUP(T$1,test!$A$3:$F$32,2,FALSE))&lt;test!$K$16,$A46&lt;&gt;T$1,Recharged_Feasible_mat!U15),(VLOOKUP(T$1,test!$A$3:$I$32,8,FALSE))-(VLOOKUP($A46,test!$A$3:$I$32,9,FALSE))+(test!$B$33-50),0)</f>
        <v>0</v>
      </c>
      <c r="U46">
        <f>IF(AND(SUM(VLOOKUP($A46,test!$A$3:$F$32,2,FALSE),VLOOKUP(U$1,test!$A$3:$F$32,2,FALSE))&lt;test!$K$16,$A46&lt;&gt;U$1,Recharged_Feasible_mat!V15),(VLOOKUP(U$1,test!$A$3:$I$32,8,FALSE))-(VLOOKUP($A46,test!$A$3:$I$32,9,FALSE))+(test!$B$33-50),0)</f>
        <v>0</v>
      </c>
      <c r="V46">
        <f>IF(AND(SUM(VLOOKUP($A46,test!$A$3:$F$32,2,FALSE),VLOOKUP(V$1,test!$A$3:$F$32,2,FALSE))&lt;test!$K$16,$A46&lt;&gt;V$1,Recharged_Feasible_mat!W15),(VLOOKUP(V$1,test!$A$3:$I$32,8,FALSE))-(VLOOKUP($A46,test!$A$3:$I$32,9,FALSE))+(test!$B$33-50),0)</f>
        <v>0</v>
      </c>
      <c r="W46">
        <f>IF(AND(SUM(VLOOKUP($A46,test!$A$3:$F$32,2,FALSE),VLOOKUP(W$1,test!$A$3:$F$32,2,FALSE))&lt;test!$K$16,$A46&lt;&gt;W$1,Recharged_Feasible_mat!X15),(VLOOKUP(W$1,test!$A$3:$I$32,8,FALSE))-(VLOOKUP($A46,test!$A$3:$I$32,9,FALSE))+(test!$B$33-50),0)</f>
        <v>0</v>
      </c>
      <c r="X46">
        <f>IF(AND(SUM(VLOOKUP($A46,test!$A$3:$F$32,2,FALSE),VLOOKUP(X$1,test!$A$3:$F$32,2,FALSE))&lt;test!$K$16,$A46&lt;&gt;X$1,Recharged_Feasible_mat!Y15),(VLOOKUP(X$1,test!$A$3:$I$32,8,FALSE))-(VLOOKUP($A46,test!$A$3:$I$32,9,FALSE))+(test!$B$33-50),0)</f>
        <v>0</v>
      </c>
      <c r="Y46">
        <f>IF(AND(SUM(VLOOKUP($A46,test!$A$3:$F$32,2,FALSE),VLOOKUP(Y$1,test!$A$3:$F$32,2,FALSE))&lt;test!$K$16,$A46&lt;&gt;Y$1,Recharged_Feasible_mat!Z15),(VLOOKUP(Y$1,test!$A$3:$I$32,8,FALSE))-(VLOOKUP($A46,test!$A$3:$I$32,9,FALSE))+(test!$B$33-50),0)</f>
        <v>0</v>
      </c>
      <c r="Z46">
        <f>IF(AND(SUM(VLOOKUP($A46,test!$A$3:$F$32,2,FALSE),VLOOKUP(Z$1,test!$A$3:$F$32,2,FALSE))&lt;test!$K$16,$A46&lt;&gt;Z$1,Recharged_Feasible_mat!AA15),(VLOOKUP(Z$1,test!$A$3:$I$32,8,FALSE))-(VLOOKUP($A46,test!$A$3:$I$32,9,FALSE))+(test!$B$33-50),0)</f>
        <v>0</v>
      </c>
      <c r="AA46">
        <f>IF(AND(SUM(VLOOKUP($A46,test!$A$3:$F$32,2,FALSE),VLOOKUP(AA$1,test!$A$3:$F$32,2,FALSE))&lt;test!$K$16,$A46&lt;&gt;AA$1,Recharged_Feasible_mat!AB15),(VLOOKUP(AA$1,test!$A$3:$I$32,8,FALSE))-(VLOOKUP($A46,test!$A$3:$I$32,9,FALSE))+(test!$B$33-50),0)</f>
        <v>0</v>
      </c>
      <c r="AB46">
        <f>IF(AND(SUM(VLOOKUP($A46,test!$A$3:$F$32,2,FALSE),VLOOKUP(AB$1,test!$A$3:$F$32,2,FALSE))&lt;test!$K$16,$A46&lt;&gt;AB$1,Recharged_Feasible_mat!AC15),(VLOOKUP(AB$1,test!$A$3:$I$32,8,FALSE))-(VLOOKUP($A46,test!$A$3:$I$32,9,FALSE))+(test!$B$33-50),0)</f>
        <v>0</v>
      </c>
      <c r="AC46">
        <f>IF(AND(SUM(VLOOKUP($A46,test!$A$3:$F$32,2,FALSE),VLOOKUP(AC$1,test!$A$3:$F$32,2,FALSE))&lt;test!$K$16,$A46&lt;&gt;AC$1,Recharged_Feasible_mat!AD15),(VLOOKUP(AC$1,test!$A$3:$I$32,8,FALSE))-(VLOOKUP($A46,test!$A$3:$I$32,9,FALSE))+(test!$B$33-50),0)</f>
        <v>0</v>
      </c>
      <c r="AD46">
        <f>IF(AND(SUM(VLOOKUP($A46,test!$A$3:$F$32,2,FALSE),VLOOKUP(AD$1,test!$A$3:$F$32,2,FALSE))&lt;test!$K$16,$A46&lt;&gt;AD$1,Recharged_Feasible_mat!AE15),(VLOOKUP(AD$1,test!$A$3:$I$32,8,FALSE))-(VLOOKUP($A46,test!$A$3:$I$32,9,FALSE))+(test!$B$33-50),0)</f>
        <v>0</v>
      </c>
      <c r="AE46">
        <f>IF(AND(SUM(VLOOKUP($A46,test!$A$3:$F$32,2,FALSE),VLOOKUP(AE$1,test!$A$3:$F$32,2,FALSE))&lt;test!$K$16,$A46&lt;&gt;AE$1,Recharged_Feasible_mat!AF15),(VLOOKUP(AE$1,test!$A$3:$I$32,8,FALSE))-(VLOOKUP($A46,test!$A$3:$I$32,9,FALSE))+(test!$B$33-50),0)</f>
        <v>0</v>
      </c>
      <c r="AF46">
        <f>IF(AND(SUM(VLOOKUP($A46,test!$A$3:$F$32,2,FALSE),VLOOKUP(AF$1,test!$A$3:$F$32,2,FALSE))&lt;test!$K$16,$A46&lt;&gt;AF$1,Recharged_Feasible_mat!AG15),(VLOOKUP(AF$1,test!$A$3:$I$32,8,FALSE))-(VLOOKUP($A46,test!$A$3:$I$32,9,FALSE))+(test!$B$33-50),0)</f>
        <v>0</v>
      </c>
    </row>
    <row r="47" spans="1:34" x14ac:dyDescent="0.25">
      <c r="A47" t="s">
        <v>24</v>
      </c>
      <c r="B47">
        <v>0</v>
      </c>
      <c r="C47">
        <f>IF(AND(SUM(VLOOKUP($A47,test!$A$3:$F$32,2,FALSE),VLOOKUP(C$1,test!$A$3:$F$32,2,FALSE))&lt;test!$K$16,$A47&lt;&gt;C$1,Recharged_Feasible_mat!D16),(VLOOKUP(C$1,test!$A$3:$I$32,8,FALSE))-(VLOOKUP($A47,test!$A$3:$I$32,9,FALSE))+(test!$B$33-50),0)</f>
        <v>0</v>
      </c>
      <c r="D47">
        <f>IF(AND(SUM(VLOOKUP($A47,test!$A$3:$F$32,2,FALSE),VLOOKUP(D$1,test!$A$3:$F$32,2,FALSE))&lt;test!$K$16,$A47&lt;&gt;D$1,Recharged_Feasible_mat!E16),(VLOOKUP(D$1,test!$A$3:$I$32,8,FALSE))-(VLOOKUP($A47,test!$A$3:$I$32,9,FALSE))+(test!$B$33-50),0)</f>
        <v>0</v>
      </c>
      <c r="E47">
        <f>IF(AND(SUM(VLOOKUP($A47,test!$A$3:$F$32,2,FALSE),VLOOKUP(E$1,test!$A$3:$F$32,2,FALSE))&lt;test!$K$16,$A47&lt;&gt;E$1,Recharged_Feasible_mat!F16),(VLOOKUP(E$1,test!$A$3:$I$32,8,FALSE))-(VLOOKUP($A47,test!$A$3:$I$32,9,FALSE))+(test!$B$33-50),0)</f>
        <v>0</v>
      </c>
      <c r="F47">
        <f>IF(AND(SUM(VLOOKUP($A47,test!$A$3:$F$32,2,FALSE),VLOOKUP(F$1,test!$A$3:$F$32,2,FALSE))&lt;test!$K$16,$A47&lt;&gt;F$1,Recharged_Feasible_mat!G16),(VLOOKUP(F$1,test!$A$3:$I$32,8,FALSE))-(VLOOKUP($A47,test!$A$3:$I$32,9,FALSE))+(test!$B$33-50),0)</f>
        <v>150</v>
      </c>
      <c r="G47">
        <f>IF(AND(SUM(VLOOKUP($A47,test!$A$3:$F$32,2,FALSE),VLOOKUP(G$1,test!$A$3:$F$32,2,FALSE))&lt;test!$K$16,$A47&lt;&gt;G$1,Recharged_Feasible_mat!H16),(VLOOKUP(G$1,test!$A$3:$I$32,8,FALSE))-(VLOOKUP($A47,test!$A$3:$I$32,9,FALSE))+(test!$B$33-50),0)</f>
        <v>210</v>
      </c>
      <c r="H47">
        <f>IF(AND(SUM(VLOOKUP($A47,test!$A$3:$F$32,2,FALSE),VLOOKUP(H$1,test!$A$3:$F$32,2,FALSE))&lt;test!$K$16,$A47&lt;&gt;H$1,Recharged_Feasible_mat!I16),(VLOOKUP(H$1,test!$A$3:$I$32,8,FALSE))-(VLOOKUP($A47,test!$A$3:$I$32,9,FALSE))+(test!$B$33-50),0)</f>
        <v>270</v>
      </c>
      <c r="I47">
        <f>IF(AND(SUM(VLOOKUP($A47,test!$A$3:$F$32,2,FALSE),VLOOKUP(I$1,test!$A$3:$F$32,2,FALSE))&lt;test!$K$16,$A47&lt;&gt;I$1,Recharged_Feasible_mat!J16),(VLOOKUP(I$1,test!$A$3:$I$32,8,FALSE))-(VLOOKUP($A47,test!$A$3:$I$32,9,FALSE))+(test!$B$33-50),0)</f>
        <v>330</v>
      </c>
      <c r="J47">
        <f>IF(AND(SUM(VLOOKUP($A47,test!$A$3:$F$32,2,FALSE),VLOOKUP(J$1,test!$A$3:$F$32,2,FALSE))&lt;test!$K$16,$A47&lt;&gt;J$1,Recharged_Feasible_mat!K16),(VLOOKUP(J$1,test!$A$3:$I$32,8,FALSE))-(VLOOKUP($A47,test!$A$3:$I$32,9,FALSE))+(test!$B$33-50),0)</f>
        <v>420</v>
      </c>
      <c r="K47">
        <f>IF(AND(SUM(VLOOKUP($A47,test!$A$3:$F$32,2,FALSE),VLOOKUP(K$1,test!$A$3:$F$32,2,FALSE))&lt;test!$K$16,$A47&lt;&gt;K$1,Recharged_Feasible_mat!L16),(VLOOKUP(K$1,test!$A$3:$I$32,8,FALSE))-(VLOOKUP($A47,test!$A$3:$I$32,9,FALSE))+(test!$B$33-50),0)</f>
        <v>0</v>
      </c>
      <c r="L47">
        <f>IF(AND(SUM(VLOOKUP($A47,test!$A$3:$F$32,2,FALSE),VLOOKUP(L$1,test!$A$3:$F$32,2,FALSE))&lt;test!$K$16,$A47&lt;&gt;L$1,Recharged_Feasible_mat!M16),(VLOOKUP(L$1,test!$A$3:$I$32,8,FALSE))-(VLOOKUP($A47,test!$A$3:$I$32,9,FALSE))+(test!$B$33-50),0)</f>
        <v>0</v>
      </c>
      <c r="M47">
        <f>IF(AND(SUM(VLOOKUP($A47,test!$A$3:$F$32,2,FALSE),VLOOKUP(M$1,test!$A$3:$F$32,2,FALSE))&lt;test!$K$16,$A47&lt;&gt;M$1,Recharged_Feasible_mat!N16),(VLOOKUP(M$1,test!$A$3:$I$32,8,FALSE))-(VLOOKUP($A47,test!$A$3:$I$32,9,FALSE))+(test!$B$33-50),0)</f>
        <v>0</v>
      </c>
      <c r="N47">
        <f>IF(AND(SUM(VLOOKUP($A47,test!$A$3:$F$32,2,FALSE),VLOOKUP(N$1,test!$A$3:$F$32,2,FALSE))&lt;test!$K$16,$A47&lt;&gt;N$1,Recharged_Feasible_mat!O16),(VLOOKUP(N$1,test!$A$3:$I$32,8,FALSE))-(VLOOKUP($A47,test!$A$3:$I$32,9,FALSE))+(test!$B$33-50),0)</f>
        <v>0</v>
      </c>
      <c r="O47">
        <f>IF(AND(SUM(VLOOKUP($A47,test!$A$3:$F$32,2,FALSE),VLOOKUP(O$1,test!$A$3:$F$32,2,FALSE))&lt;test!$K$16,$A47&lt;&gt;O$1,Recharged_Feasible_mat!P16),(VLOOKUP(O$1,test!$A$3:$I$32,8,FALSE))-(VLOOKUP($A47,test!$A$3:$I$32,9,FALSE))+(test!$B$33-50),0)</f>
        <v>0</v>
      </c>
      <c r="P47">
        <f>IF(AND(SUM(VLOOKUP($A47,test!$A$3:$F$32,2,FALSE),VLOOKUP(P$1,test!$A$3:$F$32,2,FALSE))&lt;test!$K$16,$A47&lt;&gt;P$1,Recharged_Feasible_mat!Q16),(VLOOKUP(P$1,test!$A$3:$I$32,8,FALSE))-(VLOOKUP($A47,test!$A$3:$I$32,9,FALSE))+(test!$B$33-50),0)</f>
        <v>0</v>
      </c>
      <c r="Q47">
        <f>IF(AND(SUM(VLOOKUP($A47,test!$A$3:$F$32,2,FALSE),VLOOKUP(Q$1,test!$A$3:$F$32,2,FALSE))&lt;test!$K$16,$A47&lt;&gt;Q$1,Recharged_Feasible_mat!R16),(VLOOKUP(Q$1,test!$A$3:$I$32,8,FALSE))-(VLOOKUP($A47,test!$A$3:$I$32,9,FALSE))+(test!$B$33-50),0)</f>
        <v>0</v>
      </c>
      <c r="R47">
        <f>IF(AND(SUM(VLOOKUP($A47,test!$A$3:$F$32,2,FALSE),VLOOKUP(R$1,test!$A$3:$F$32,2,FALSE))&lt;test!$K$16,$A47&lt;&gt;R$1,Recharged_Feasible_mat!S16),(VLOOKUP(R$1,test!$A$3:$I$32,8,FALSE))-(VLOOKUP($A47,test!$A$3:$I$32,9,FALSE))+(test!$B$33-50),0)</f>
        <v>0</v>
      </c>
      <c r="S47">
        <f>IF(AND(SUM(VLOOKUP($A47,test!$A$3:$F$32,2,FALSE),VLOOKUP(S$1,test!$A$3:$F$32,2,FALSE))&lt;test!$K$16,$A47&lt;&gt;S$1,Recharged_Feasible_mat!T16),(VLOOKUP(S$1,test!$A$3:$I$32,8,FALSE))-(VLOOKUP($A47,test!$A$3:$I$32,9,FALSE))+(test!$B$33-50),0)</f>
        <v>0</v>
      </c>
      <c r="T47">
        <f>IF(AND(SUM(VLOOKUP($A47,test!$A$3:$F$32,2,FALSE),VLOOKUP(T$1,test!$A$3:$F$32,2,FALSE))&lt;test!$K$16,$A47&lt;&gt;T$1,Recharged_Feasible_mat!U16),(VLOOKUP(T$1,test!$A$3:$I$32,8,FALSE))-(VLOOKUP($A47,test!$A$3:$I$32,9,FALSE))+(test!$B$33-50),0)</f>
        <v>0</v>
      </c>
      <c r="U47">
        <f>IF(AND(SUM(VLOOKUP($A47,test!$A$3:$F$32,2,FALSE),VLOOKUP(U$1,test!$A$3:$F$32,2,FALSE))&lt;test!$K$16,$A47&lt;&gt;U$1,Recharged_Feasible_mat!V16),(VLOOKUP(U$1,test!$A$3:$I$32,8,FALSE))-(VLOOKUP($A47,test!$A$3:$I$32,9,FALSE))+(test!$B$33-50),0)</f>
        <v>130</v>
      </c>
      <c r="V47">
        <f>IF(AND(SUM(VLOOKUP($A47,test!$A$3:$F$32,2,FALSE),VLOOKUP(V$1,test!$A$3:$F$32,2,FALSE))&lt;test!$K$16,$A47&lt;&gt;V$1,Recharged_Feasible_mat!W16),(VLOOKUP(V$1,test!$A$3:$I$32,8,FALSE))-(VLOOKUP($A47,test!$A$3:$I$32,9,FALSE))+(test!$B$33-50),0)</f>
        <v>220</v>
      </c>
      <c r="W47">
        <f>IF(AND(SUM(VLOOKUP($A47,test!$A$3:$F$32,2,FALSE),VLOOKUP(W$1,test!$A$3:$F$32,2,FALSE))&lt;test!$K$16,$A47&lt;&gt;W$1,Recharged_Feasible_mat!X16),(VLOOKUP(W$1,test!$A$3:$I$32,8,FALSE))-(VLOOKUP($A47,test!$A$3:$I$32,9,FALSE))+(test!$B$33-50),0)</f>
        <v>310</v>
      </c>
      <c r="X47">
        <f>IF(AND(SUM(VLOOKUP($A47,test!$A$3:$F$32,2,FALSE),VLOOKUP(X$1,test!$A$3:$F$32,2,FALSE))&lt;test!$K$16,$A47&lt;&gt;X$1,Recharged_Feasible_mat!Y16),(VLOOKUP(X$1,test!$A$3:$I$32,8,FALSE))-(VLOOKUP($A47,test!$A$3:$I$32,9,FALSE))+(test!$B$33-50),0)</f>
        <v>370</v>
      </c>
      <c r="Y47">
        <f>IF(AND(SUM(VLOOKUP($A47,test!$A$3:$F$32,2,FALSE),VLOOKUP(Y$1,test!$A$3:$F$32,2,FALSE))&lt;test!$K$16,$A47&lt;&gt;Y$1,Recharged_Feasible_mat!Z16),(VLOOKUP(Y$1,test!$A$3:$I$32,8,FALSE))-(VLOOKUP($A47,test!$A$3:$I$32,9,FALSE))+(test!$B$33-50),0)</f>
        <v>0</v>
      </c>
      <c r="Z47">
        <f>IF(AND(SUM(VLOOKUP($A47,test!$A$3:$F$32,2,FALSE),VLOOKUP(Z$1,test!$A$3:$F$32,2,FALSE))&lt;test!$K$16,$A47&lt;&gt;Z$1,Recharged_Feasible_mat!AA16),(VLOOKUP(Z$1,test!$A$3:$I$32,8,FALSE))-(VLOOKUP($A47,test!$A$3:$I$32,9,FALSE))+(test!$B$33-50),0)</f>
        <v>0</v>
      </c>
      <c r="AA47">
        <f>IF(AND(SUM(VLOOKUP($A47,test!$A$3:$F$32,2,FALSE),VLOOKUP(AA$1,test!$A$3:$F$32,2,FALSE))&lt;test!$K$16,$A47&lt;&gt;AA$1,Recharged_Feasible_mat!AB16),(VLOOKUP(AA$1,test!$A$3:$I$32,8,FALSE))-(VLOOKUP($A47,test!$A$3:$I$32,9,FALSE))+(test!$B$33-50),0)</f>
        <v>0</v>
      </c>
      <c r="AB47">
        <f>IF(AND(SUM(VLOOKUP($A47,test!$A$3:$F$32,2,FALSE),VLOOKUP(AB$1,test!$A$3:$F$32,2,FALSE))&lt;test!$K$16,$A47&lt;&gt;AB$1,Recharged_Feasible_mat!AC16),(VLOOKUP(AB$1,test!$A$3:$I$32,8,FALSE))-(VLOOKUP($A47,test!$A$3:$I$32,9,FALSE))+(test!$B$33-50),0)</f>
        <v>0</v>
      </c>
      <c r="AC47">
        <f>IF(AND(SUM(VLOOKUP($A47,test!$A$3:$F$32,2,FALSE),VLOOKUP(AC$1,test!$A$3:$F$32,2,FALSE))&lt;test!$K$16,$A47&lt;&gt;AC$1,Recharged_Feasible_mat!AD16),(VLOOKUP(AC$1,test!$A$3:$I$32,8,FALSE))-(VLOOKUP($A47,test!$A$3:$I$32,9,FALSE))+(test!$B$33-50),0)</f>
        <v>0</v>
      </c>
      <c r="AD47">
        <f>IF(AND(SUM(VLOOKUP($A47,test!$A$3:$F$32,2,FALSE),VLOOKUP(AD$1,test!$A$3:$F$32,2,FALSE))&lt;test!$K$16,$A47&lt;&gt;AD$1,Recharged_Feasible_mat!AE16),(VLOOKUP(AD$1,test!$A$3:$I$32,8,FALSE))-(VLOOKUP($A47,test!$A$3:$I$32,9,FALSE))+(test!$B$33-50),0)</f>
        <v>0</v>
      </c>
      <c r="AE47">
        <f>IF(AND(SUM(VLOOKUP($A47,test!$A$3:$F$32,2,FALSE),VLOOKUP(AE$1,test!$A$3:$F$32,2,FALSE))&lt;test!$K$16,$A47&lt;&gt;AE$1,Recharged_Feasible_mat!AF16),(VLOOKUP(AE$1,test!$A$3:$I$32,8,FALSE))-(VLOOKUP($A47,test!$A$3:$I$32,9,FALSE))+(test!$B$33-50),0)</f>
        <v>0</v>
      </c>
      <c r="AF47">
        <f>IF(AND(SUM(VLOOKUP($A47,test!$A$3:$F$32,2,FALSE),VLOOKUP(AF$1,test!$A$3:$F$32,2,FALSE))&lt;test!$K$16,$A47&lt;&gt;AF$1,Recharged_Feasible_mat!AG16),(VLOOKUP(AF$1,test!$A$3:$I$32,8,FALSE))-(VLOOKUP($A47,test!$A$3:$I$32,9,FALSE))+(test!$B$33-50),0)</f>
        <v>0</v>
      </c>
    </row>
    <row r="48" spans="1:34" x14ac:dyDescent="0.25">
      <c r="A48" t="s">
        <v>26</v>
      </c>
      <c r="B48">
        <v>0</v>
      </c>
      <c r="C48">
        <f>IF(AND(SUM(VLOOKUP($A48,test!$A$3:$F$32,2,FALSE),VLOOKUP(C$1,test!$A$3:$F$32,2,FALSE))&lt;test!$K$16,$A48&lt;&gt;C$1,Recharged_Feasible_mat!D17),(VLOOKUP(C$1,test!$A$3:$I$32,8,FALSE))-(VLOOKUP($A48,test!$A$3:$I$32,9,FALSE))+(test!$B$33-50),0)</f>
        <v>0</v>
      </c>
      <c r="D48">
        <f>IF(AND(SUM(VLOOKUP($A48,test!$A$3:$F$32,2,FALSE),VLOOKUP(D$1,test!$A$3:$F$32,2,FALSE))&lt;test!$K$16,$A48&lt;&gt;D$1,Recharged_Feasible_mat!E17),(VLOOKUP(D$1,test!$A$3:$I$32,8,FALSE))-(VLOOKUP($A48,test!$A$3:$I$32,9,FALSE))+(test!$B$33-50),0)</f>
        <v>0</v>
      </c>
      <c r="E48">
        <f>IF(AND(SUM(VLOOKUP($A48,test!$A$3:$F$32,2,FALSE),VLOOKUP(E$1,test!$A$3:$F$32,2,FALSE))&lt;test!$K$16,$A48&lt;&gt;E$1,Recharged_Feasible_mat!F17),(VLOOKUP(E$1,test!$A$3:$I$32,8,FALSE))-(VLOOKUP($A48,test!$A$3:$I$32,9,FALSE))+(test!$B$33-50),0)</f>
        <v>155</v>
      </c>
      <c r="F48">
        <f>IF(AND(SUM(VLOOKUP($A48,test!$A$3:$F$32,2,FALSE),VLOOKUP(F$1,test!$A$3:$F$32,2,FALSE))&lt;test!$K$16,$A48&lt;&gt;F$1,Recharged_Feasible_mat!G17),(VLOOKUP(F$1,test!$A$3:$I$32,8,FALSE))-(VLOOKUP($A48,test!$A$3:$I$32,9,FALSE))+(test!$B$33-50),0)</f>
        <v>245</v>
      </c>
      <c r="G48">
        <f>IF(AND(SUM(VLOOKUP($A48,test!$A$3:$F$32,2,FALSE),VLOOKUP(G$1,test!$A$3:$F$32,2,FALSE))&lt;test!$K$16,$A48&lt;&gt;G$1,Recharged_Feasible_mat!H17),(VLOOKUP(G$1,test!$A$3:$I$32,8,FALSE))-(VLOOKUP($A48,test!$A$3:$I$32,9,FALSE))+(test!$B$33-50),0)</f>
        <v>305</v>
      </c>
      <c r="H48">
        <f>IF(AND(SUM(VLOOKUP($A48,test!$A$3:$F$32,2,FALSE),VLOOKUP(H$1,test!$A$3:$F$32,2,FALSE))&lt;test!$K$16,$A48&lt;&gt;H$1,Recharged_Feasible_mat!I17),(VLOOKUP(H$1,test!$A$3:$I$32,8,FALSE))-(VLOOKUP($A48,test!$A$3:$I$32,9,FALSE))+(test!$B$33-50),0)</f>
        <v>365</v>
      </c>
      <c r="I48">
        <f>IF(AND(SUM(VLOOKUP($A48,test!$A$3:$F$32,2,FALSE),VLOOKUP(I$1,test!$A$3:$F$32,2,FALSE))&lt;test!$K$16,$A48&lt;&gt;I$1,Recharged_Feasible_mat!J17),(VLOOKUP(I$1,test!$A$3:$I$32,8,FALSE))-(VLOOKUP($A48,test!$A$3:$I$32,9,FALSE))+(test!$B$33-50),0)</f>
        <v>425</v>
      </c>
      <c r="J48">
        <f>IF(AND(SUM(VLOOKUP($A48,test!$A$3:$F$32,2,FALSE),VLOOKUP(J$1,test!$A$3:$F$32,2,FALSE))&lt;test!$K$16,$A48&lt;&gt;J$1,Recharged_Feasible_mat!K17),(VLOOKUP(J$1,test!$A$3:$I$32,8,FALSE))-(VLOOKUP($A48,test!$A$3:$I$32,9,FALSE))+(test!$B$33-50),0)</f>
        <v>515</v>
      </c>
      <c r="K48">
        <f>IF(AND(SUM(VLOOKUP($A48,test!$A$3:$F$32,2,FALSE),VLOOKUP(K$1,test!$A$3:$F$32,2,FALSE))&lt;test!$K$16,$A48&lt;&gt;K$1,Recharged_Feasible_mat!L17),(VLOOKUP(K$1,test!$A$3:$I$32,8,FALSE))-(VLOOKUP($A48,test!$A$3:$I$32,9,FALSE))+(test!$B$33-50),0)</f>
        <v>0</v>
      </c>
      <c r="L48">
        <f>IF(AND(SUM(VLOOKUP($A48,test!$A$3:$F$32,2,FALSE),VLOOKUP(L$1,test!$A$3:$F$32,2,FALSE))&lt;test!$K$16,$A48&lt;&gt;L$1,Recharged_Feasible_mat!M17),(VLOOKUP(L$1,test!$A$3:$I$32,8,FALSE))-(VLOOKUP($A48,test!$A$3:$I$32,9,FALSE))+(test!$B$33-50),0)</f>
        <v>0</v>
      </c>
      <c r="M48">
        <f>IF(AND(SUM(VLOOKUP($A48,test!$A$3:$F$32,2,FALSE),VLOOKUP(M$1,test!$A$3:$F$32,2,FALSE))&lt;test!$K$16,$A48&lt;&gt;M$1,Recharged_Feasible_mat!N17),(VLOOKUP(M$1,test!$A$3:$I$32,8,FALSE))-(VLOOKUP($A48,test!$A$3:$I$32,9,FALSE))+(test!$B$33-50),0)</f>
        <v>120</v>
      </c>
      <c r="N48">
        <f>IF(AND(SUM(VLOOKUP($A48,test!$A$3:$F$32,2,FALSE),VLOOKUP(N$1,test!$A$3:$F$32,2,FALSE))&lt;test!$K$16,$A48&lt;&gt;N$1,Recharged_Feasible_mat!O17),(VLOOKUP(N$1,test!$A$3:$I$32,8,FALSE))-(VLOOKUP($A48,test!$A$3:$I$32,9,FALSE))+(test!$B$33-50),0)</f>
        <v>480</v>
      </c>
      <c r="O48">
        <f>IF(AND(SUM(VLOOKUP($A48,test!$A$3:$F$32,2,FALSE),VLOOKUP(O$1,test!$A$3:$F$32,2,FALSE))&lt;test!$K$16,$A48&lt;&gt;O$1,Recharged_Feasible_mat!P17),(VLOOKUP(O$1,test!$A$3:$I$32,8,FALSE))-(VLOOKUP($A48,test!$A$3:$I$32,9,FALSE))+(test!$B$33-50),0)</f>
        <v>540</v>
      </c>
      <c r="P48">
        <f>IF(AND(SUM(VLOOKUP($A48,test!$A$3:$F$32,2,FALSE),VLOOKUP(P$1,test!$A$3:$F$32,2,FALSE))&lt;test!$K$16,$A48&lt;&gt;P$1,Recharged_Feasible_mat!Q17),(VLOOKUP(P$1,test!$A$3:$I$32,8,FALSE))-(VLOOKUP($A48,test!$A$3:$I$32,9,FALSE))+(test!$B$33-50),0)</f>
        <v>0</v>
      </c>
      <c r="Q48">
        <f>IF(AND(SUM(VLOOKUP($A48,test!$A$3:$F$32,2,FALSE),VLOOKUP(Q$1,test!$A$3:$F$32,2,FALSE))&lt;test!$K$16,$A48&lt;&gt;Q$1,Recharged_Feasible_mat!R17),(VLOOKUP(Q$1,test!$A$3:$I$32,8,FALSE))-(VLOOKUP($A48,test!$A$3:$I$32,9,FALSE))+(test!$B$33-50),0)</f>
        <v>0</v>
      </c>
      <c r="R48">
        <f>IF(AND(SUM(VLOOKUP($A48,test!$A$3:$F$32,2,FALSE),VLOOKUP(R$1,test!$A$3:$F$32,2,FALSE))&lt;test!$K$16,$A48&lt;&gt;R$1,Recharged_Feasible_mat!S17),(VLOOKUP(R$1,test!$A$3:$I$32,8,FALSE))-(VLOOKUP($A48,test!$A$3:$I$32,9,FALSE))+(test!$B$33-50),0)</f>
        <v>0</v>
      </c>
      <c r="S48">
        <f>IF(AND(SUM(VLOOKUP($A48,test!$A$3:$F$32,2,FALSE),VLOOKUP(S$1,test!$A$3:$F$32,2,FALSE))&lt;test!$K$16,$A48&lt;&gt;S$1,Recharged_Feasible_mat!T17),(VLOOKUP(S$1,test!$A$3:$I$32,8,FALSE))-(VLOOKUP($A48,test!$A$3:$I$32,9,FALSE))+(test!$B$33-50),0)</f>
        <v>0</v>
      </c>
      <c r="T48">
        <f>IF(AND(SUM(VLOOKUP($A48,test!$A$3:$F$32,2,FALSE),VLOOKUP(T$1,test!$A$3:$F$32,2,FALSE))&lt;test!$K$16,$A48&lt;&gt;T$1,Recharged_Feasible_mat!U17),(VLOOKUP(T$1,test!$A$3:$I$32,8,FALSE))-(VLOOKUP($A48,test!$A$3:$I$32,9,FALSE))+(test!$B$33-50),0)</f>
        <v>135</v>
      </c>
      <c r="U48">
        <f>IF(AND(SUM(VLOOKUP($A48,test!$A$3:$F$32,2,FALSE),VLOOKUP(U$1,test!$A$3:$F$32,2,FALSE))&lt;test!$K$16,$A48&lt;&gt;U$1,Recharged_Feasible_mat!V17),(VLOOKUP(U$1,test!$A$3:$I$32,8,FALSE))-(VLOOKUP($A48,test!$A$3:$I$32,9,FALSE))+(test!$B$33-50),0)</f>
        <v>225</v>
      </c>
      <c r="V48">
        <f>IF(AND(SUM(VLOOKUP($A48,test!$A$3:$F$32,2,FALSE),VLOOKUP(V$1,test!$A$3:$F$32,2,FALSE))&lt;test!$K$16,$A48&lt;&gt;V$1,Recharged_Feasible_mat!W17),(VLOOKUP(V$1,test!$A$3:$I$32,8,FALSE))-(VLOOKUP($A48,test!$A$3:$I$32,9,FALSE))+(test!$B$33-50),0)</f>
        <v>315</v>
      </c>
      <c r="W48">
        <f>IF(AND(SUM(VLOOKUP($A48,test!$A$3:$F$32,2,FALSE),VLOOKUP(W$1,test!$A$3:$F$32,2,FALSE))&lt;test!$K$16,$A48&lt;&gt;W$1,Recharged_Feasible_mat!X17),(VLOOKUP(W$1,test!$A$3:$I$32,8,FALSE))-(VLOOKUP($A48,test!$A$3:$I$32,9,FALSE))+(test!$B$33-50),0)</f>
        <v>405</v>
      </c>
      <c r="X48">
        <f>IF(AND(SUM(VLOOKUP($A48,test!$A$3:$F$32,2,FALSE),VLOOKUP(X$1,test!$A$3:$F$32,2,FALSE))&lt;test!$K$16,$A48&lt;&gt;X$1,Recharged_Feasible_mat!Y17),(VLOOKUP(X$1,test!$A$3:$I$32,8,FALSE))-(VLOOKUP($A48,test!$A$3:$I$32,9,FALSE))+(test!$B$33-50),0)</f>
        <v>465</v>
      </c>
      <c r="Y48">
        <f>IF(AND(SUM(VLOOKUP($A48,test!$A$3:$F$32,2,FALSE),VLOOKUP(Y$1,test!$A$3:$F$32,2,FALSE))&lt;test!$K$16,$A48&lt;&gt;Y$1,Recharged_Feasible_mat!Z17),(VLOOKUP(Y$1,test!$A$3:$I$32,8,FALSE))-(VLOOKUP($A48,test!$A$3:$I$32,9,FALSE))+(test!$B$33-50),0)</f>
        <v>0</v>
      </c>
      <c r="Z48">
        <f>IF(AND(SUM(VLOOKUP($A48,test!$A$3:$F$32,2,FALSE),VLOOKUP(Z$1,test!$A$3:$F$32,2,FALSE))&lt;test!$K$16,$A48&lt;&gt;Z$1,Recharged_Feasible_mat!AA17),(VLOOKUP(Z$1,test!$A$3:$I$32,8,FALSE))-(VLOOKUP($A48,test!$A$3:$I$32,9,FALSE))+(test!$B$33-50),0)</f>
        <v>0</v>
      </c>
      <c r="AA48">
        <f>IF(AND(SUM(VLOOKUP($A48,test!$A$3:$F$32,2,FALSE),VLOOKUP(AA$1,test!$A$3:$F$32,2,FALSE))&lt;test!$K$16,$A48&lt;&gt;AA$1,Recharged_Feasible_mat!AB17),(VLOOKUP(AA$1,test!$A$3:$I$32,8,FALSE))-(VLOOKUP($A48,test!$A$3:$I$32,9,FALSE))+(test!$B$33-50),0)</f>
        <v>185</v>
      </c>
      <c r="AB48">
        <f>IF(AND(SUM(VLOOKUP($A48,test!$A$3:$F$32,2,FALSE),VLOOKUP(AB$1,test!$A$3:$F$32,2,FALSE))&lt;test!$K$16,$A48&lt;&gt;AB$1,Recharged_Feasible_mat!AC17),(VLOOKUP(AB$1,test!$A$3:$I$32,8,FALSE))-(VLOOKUP($A48,test!$A$3:$I$32,9,FALSE))+(test!$B$33-50),0)</f>
        <v>245</v>
      </c>
      <c r="AC48">
        <f>IF(AND(SUM(VLOOKUP($A48,test!$A$3:$F$32,2,FALSE),VLOOKUP(AC$1,test!$A$3:$F$32,2,FALSE))&lt;test!$K$16,$A48&lt;&gt;AC$1,Recharged_Feasible_mat!AD17),(VLOOKUP(AC$1,test!$A$3:$I$32,8,FALSE))-(VLOOKUP($A48,test!$A$3:$I$32,9,FALSE))+(test!$B$33-50),0)</f>
        <v>365</v>
      </c>
      <c r="AD48">
        <f>IF(AND(SUM(VLOOKUP($A48,test!$A$3:$F$32,2,FALSE),VLOOKUP(AD$1,test!$A$3:$F$32,2,FALSE))&lt;test!$K$16,$A48&lt;&gt;AD$1,Recharged_Feasible_mat!AE17),(VLOOKUP(AD$1,test!$A$3:$I$32,8,FALSE))-(VLOOKUP($A48,test!$A$3:$I$32,9,FALSE))+(test!$B$33-50),0)</f>
        <v>0</v>
      </c>
      <c r="AE48">
        <f>IF(AND(SUM(VLOOKUP($A48,test!$A$3:$F$32,2,FALSE),VLOOKUP(AE$1,test!$A$3:$F$32,2,FALSE))&lt;test!$K$16,$A48&lt;&gt;AE$1,Recharged_Feasible_mat!AF17),(VLOOKUP(AE$1,test!$A$3:$I$32,8,FALSE))-(VLOOKUP($A48,test!$A$3:$I$32,9,FALSE))+(test!$B$33-50),0)</f>
        <v>185</v>
      </c>
      <c r="AF48">
        <f>IF(AND(SUM(VLOOKUP($A48,test!$A$3:$F$32,2,FALSE),VLOOKUP(AF$1,test!$A$3:$F$32,2,FALSE))&lt;test!$K$16,$A48&lt;&gt;AF$1,Recharged_Feasible_mat!AG17),(VLOOKUP(AF$1,test!$A$3:$I$32,8,FALSE))-(VLOOKUP($A48,test!$A$3:$I$32,9,FALSE))+(test!$B$33-50),0)</f>
        <v>0</v>
      </c>
    </row>
    <row r="49" spans="1:32" x14ac:dyDescent="0.25">
      <c r="A49" t="s">
        <v>27</v>
      </c>
      <c r="B49">
        <v>0</v>
      </c>
      <c r="C49">
        <f>IF(AND(SUM(VLOOKUP($A49,test!$A$3:$F$32,2,FALSE),VLOOKUP(C$1,test!$A$3:$F$32,2,FALSE))&lt;test!$K$16,$A49&lt;&gt;C$1,Recharged_Feasible_mat!D18),(VLOOKUP(C$1,test!$A$3:$I$32,8,FALSE))-(VLOOKUP($A49,test!$A$3:$I$32,9,FALSE))+(test!$B$33-50),0)</f>
        <v>0</v>
      </c>
      <c r="D49">
        <f>IF(AND(SUM(VLOOKUP($A49,test!$A$3:$F$32,2,FALSE),VLOOKUP(D$1,test!$A$3:$F$32,2,FALSE))&lt;test!$K$16,$A49&lt;&gt;D$1,Recharged_Feasible_mat!E18),(VLOOKUP(D$1,test!$A$3:$I$32,8,FALSE))-(VLOOKUP($A49,test!$A$3:$I$32,9,FALSE))+(test!$B$33-50),0)</f>
        <v>0</v>
      </c>
      <c r="E49">
        <f>IF(AND(SUM(VLOOKUP($A49,test!$A$3:$F$32,2,FALSE),VLOOKUP(E$1,test!$A$3:$F$32,2,FALSE))&lt;test!$K$16,$A49&lt;&gt;E$1,Recharged_Feasible_mat!F18),(VLOOKUP(E$1,test!$A$3:$I$32,8,FALSE))-(VLOOKUP($A49,test!$A$3:$I$32,9,FALSE))+(test!$B$33-50),0)</f>
        <v>0</v>
      </c>
      <c r="F49">
        <f>IF(AND(SUM(VLOOKUP($A49,test!$A$3:$F$32,2,FALSE),VLOOKUP(F$1,test!$A$3:$F$32,2,FALSE))&lt;test!$K$16,$A49&lt;&gt;F$1,Recharged_Feasible_mat!G18),(VLOOKUP(F$1,test!$A$3:$I$32,8,FALSE))-(VLOOKUP($A49,test!$A$3:$I$32,9,FALSE))+(test!$B$33-50),0)</f>
        <v>155</v>
      </c>
      <c r="G49">
        <f>IF(AND(SUM(VLOOKUP($A49,test!$A$3:$F$32,2,FALSE),VLOOKUP(G$1,test!$A$3:$F$32,2,FALSE))&lt;test!$K$16,$A49&lt;&gt;G$1,Recharged_Feasible_mat!H18),(VLOOKUP(G$1,test!$A$3:$I$32,8,FALSE))-(VLOOKUP($A49,test!$A$3:$I$32,9,FALSE))+(test!$B$33-50),0)</f>
        <v>215</v>
      </c>
      <c r="H49">
        <f>IF(AND(SUM(VLOOKUP($A49,test!$A$3:$F$32,2,FALSE),VLOOKUP(H$1,test!$A$3:$F$32,2,FALSE))&lt;test!$K$16,$A49&lt;&gt;H$1,Recharged_Feasible_mat!I18),(VLOOKUP(H$1,test!$A$3:$I$32,8,FALSE))-(VLOOKUP($A49,test!$A$3:$I$32,9,FALSE))+(test!$B$33-50),0)</f>
        <v>275</v>
      </c>
      <c r="I49">
        <f>IF(AND(SUM(VLOOKUP($A49,test!$A$3:$F$32,2,FALSE),VLOOKUP(I$1,test!$A$3:$F$32,2,FALSE))&lt;test!$K$16,$A49&lt;&gt;I$1,Recharged_Feasible_mat!J18),(VLOOKUP(I$1,test!$A$3:$I$32,8,FALSE))-(VLOOKUP($A49,test!$A$3:$I$32,9,FALSE))+(test!$B$33-50),0)</f>
        <v>335</v>
      </c>
      <c r="J49">
        <f>IF(AND(SUM(VLOOKUP($A49,test!$A$3:$F$32,2,FALSE),VLOOKUP(J$1,test!$A$3:$F$32,2,FALSE))&lt;test!$K$16,$A49&lt;&gt;J$1,Recharged_Feasible_mat!K18),(VLOOKUP(J$1,test!$A$3:$I$32,8,FALSE))-(VLOOKUP($A49,test!$A$3:$I$32,9,FALSE))+(test!$B$33-50),0)</f>
        <v>425</v>
      </c>
      <c r="K49">
        <f>IF(AND(SUM(VLOOKUP($A49,test!$A$3:$F$32,2,FALSE),VLOOKUP(K$1,test!$A$3:$F$32,2,FALSE))&lt;test!$K$16,$A49&lt;&gt;K$1,Recharged_Feasible_mat!L18),(VLOOKUP(K$1,test!$A$3:$I$32,8,FALSE))-(VLOOKUP($A49,test!$A$3:$I$32,9,FALSE))+(test!$B$33-50),0)</f>
        <v>0</v>
      </c>
      <c r="L49">
        <f>IF(AND(SUM(VLOOKUP($A49,test!$A$3:$F$32,2,FALSE),VLOOKUP(L$1,test!$A$3:$F$32,2,FALSE))&lt;test!$K$16,$A49&lt;&gt;L$1,Recharged_Feasible_mat!M18),(VLOOKUP(L$1,test!$A$3:$I$32,8,FALSE))-(VLOOKUP($A49,test!$A$3:$I$32,9,FALSE))+(test!$B$33-50),0)</f>
        <v>0</v>
      </c>
      <c r="M49">
        <f>IF(AND(SUM(VLOOKUP($A49,test!$A$3:$F$32,2,FALSE),VLOOKUP(M$1,test!$A$3:$F$32,2,FALSE))&lt;test!$K$16,$A49&lt;&gt;M$1,Recharged_Feasible_mat!N18),(VLOOKUP(M$1,test!$A$3:$I$32,8,FALSE))-(VLOOKUP($A49,test!$A$3:$I$32,9,FALSE))+(test!$B$33-50),0)</f>
        <v>0</v>
      </c>
      <c r="N49">
        <f>IF(AND(SUM(VLOOKUP($A49,test!$A$3:$F$32,2,FALSE),VLOOKUP(N$1,test!$A$3:$F$32,2,FALSE))&lt;test!$K$16,$A49&lt;&gt;N$1,Recharged_Feasible_mat!O18),(VLOOKUP(N$1,test!$A$3:$I$32,8,FALSE))-(VLOOKUP($A49,test!$A$3:$I$32,9,FALSE))+(test!$B$33-50),0)</f>
        <v>390</v>
      </c>
      <c r="O49">
        <f>IF(AND(SUM(VLOOKUP($A49,test!$A$3:$F$32,2,FALSE),VLOOKUP(O$1,test!$A$3:$F$32,2,FALSE))&lt;test!$K$16,$A49&lt;&gt;O$1,Recharged_Feasible_mat!P18),(VLOOKUP(O$1,test!$A$3:$I$32,8,FALSE))-(VLOOKUP($A49,test!$A$3:$I$32,9,FALSE))+(test!$B$33-50),0)</f>
        <v>450</v>
      </c>
      <c r="P49">
        <f>IF(AND(SUM(VLOOKUP($A49,test!$A$3:$F$32,2,FALSE),VLOOKUP(P$1,test!$A$3:$F$32,2,FALSE))&lt;test!$K$16,$A49&lt;&gt;P$1,Recharged_Feasible_mat!Q18),(VLOOKUP(P$1,test!$A$3:$I$32,8,FALSE))-(VLOOKUP($A49,test!$A$3:$I$32,9,FALSE))+(test!$B$33-50),0)</f>
        <v>0</v>
      </c>
      <c r="Q49">
        <f>IF(AND(SUM(VLOOKUP($A49,test!$A$3:$F$32,2,FALSE),VLOOKUP(Q$1,test!$A$3:$F$32,2,FALSE))&lt;test!$K$16,$A49&lt;&gt;Q$1,Recharged_Feasible_mat!R18),(VLOOKUP(Q$1,test!$A$3:$I$32,8,FALSE))-(VLOOKUP($A49,test!$A$3:$I$32,9,FALSE))+(test!$B$33-50),0)</f>
        <v>0</v>
      </c>
      <c r="R49">
        <f>IF(AND(SUM(VLOOKUP($A49,test!$A$3:$F$32,2,FALSE),VLOOKUP(R$1,test!$A$3:$F$32,2,FALSE))&lt;test!$K$16,$A49&lt;&gt;R$1,Recharged_Feasible_mat!S18),(VLOOKUP(R$1,test!$A$3:$I$32,8,FALSE))-(VLOOKUP($A49,test!$A$3:$I$32,9,FALSE))+(test!$B$33-50),0)</f>
        <v>0</v>
      </c>
      <c r="S49">
        <f>IF(AND(SUM(VLOOKUP($A49,test!$A$3:$F$32,2,FALSE),VLOOKUP(S$1,test!$A$3:$F$32,2,FALSE))&lt;test!$K$16,$A49&lt;&gt;S$1,Recharged_Feasible_mat!T18),(VLOOKUP(S$1,test!$A$3:$I$32,8,FALSE))-(VLOOKUP($A49,test!$A$3:$I$32,9,FALSE))+(test!$B$33-50),0)</f>
        <v>0</v>
      </c>
      <c r="T49">
        <f>IF(AND(SUM(VLOOKUP($A49,test!$A$3:$F$32,2,FALSE),VLOOKUP(T$1,test!$A$3:$F$32,2,FALSE))&lt;test!$K$16,$A49&lt;&gt;T$1,Recharged_Feasible_mat!U18),(VLOOKUP(T$1,test!$A$3:$I$32,8,FALSE))-(VLOOKUP($A49,test!$A$3:$I$32,9,FALSE))+(test!$B$33-50),0)</f>
        <v>0</v>
      </c>
      <c r="U49">
        <f>IF(AND(SUM(VLOOKUP($A49,test!$A$3:$F$32,2,FALSE),VLOOKUP(U$1,test!$A$3:$F$32,2,FALSE))&lt;test!$K$16,$A49&lt;&gt;U$1,Recharged_Feasible_mat!V18),(VLOOKUP(U$1,test!$A$3:$I$32,8,FALSE))-(VLOOKUP($A49,test!$A$3:$I$32,9,FALSE))+(test!$B$33-50),0)</f>
        <v>135</v>
      </c>
      <c r="V49">
        <f>IF(AND(SUM(VLOOKUP($A49,test!$A$3:$F$32,2,FALSE),VLOOKUP(V$1,test!$A$3:$F$32,2,FALSE))&lt;test!$K$16,$A49&lt;&gt;V$1,Recharged_Feasible_mat!W18),(VLOOKUP(V$1,test!$A$3:$I$32,8,FALSE))-(VLOOKUP($A49,test!$A$3:$I$32,9,FALSE))+(test!$B$33-50),0)</f>
        <v>225</v>
      </c>
      <c r="W49">
        <f>IF(AND(SUM(VLOOKUP($A49,test!$A$3:$F$32,2,FALSE),VLOOKUP(W$1,test!$A$3:$F$32,2,FALSE))&lt;test!$K$16,$A49&lt;&gt;W$1,Recharged_Feasible_mat!X18),(VLOOKUP(W$1,test!$A$3:$I$32,8,FALSE))-(VLOOKUP($A49,test!$A$3:$I$32,9,FALSE))+(test!$B$33-50),0)</f>
        <v>315</v>
      </c>
      <c r="X49">
        <f>IF(AND(SUM(VLOOKUP($A49,test!$A$3:$F$32,2,FALSE),VLOOKUP(X$1,test!$A$3:$F$32,2,FALSE))&lt;test!$K$16,$A49&lt;&gt;X$1,Recharged_Feasible_mat!Y18),(VLOOKUP(X$1,test!$A$3:$I$32,8,FALSE))-(VLOOKUP($A49,test!$A$3:$I$32,9,FALSE))+(test!$B$33-50),0)</f>
        <v>375</v>
      </c>
      <c r="Y49">
        <f>IF(AND(SUM(VLOOKUP($A49,test!$A$3:$F$32,2,FALSE),VLOOKUP(Y$1,test!$A$3:$F$32,2,FALSE))&lt;test!$K$16,$A49&lt;&gt;Y$1,Recharged_Feasible_mat!Z18),(VLOOKUP(Y$1,test!$A$3:$I$32,8,FALSE))-(VLOOKUP($A49,test!$A$3:$I$32,9,FALSE))+(test!$B$33-50),0)</f>
        <v>0</v>
      </c>
      <c r="Z49">
        <f>IF(AND(SUM(VLOOKUP($A49,test!$A$3:$F$32,2,FALSE),VLOOKUP(Z$1,test!$A$3:$F$32,2,FALSE))&lt;test!$K$16,$A49&lt;&gt;Z$1,Recharged_Feasible_mat!AA18),(VLOOKUP(Z$1,test!$A$3:$I$32,8,FALSE))-(VLOOKUP($A49,test!$A$3:$I$32,9,FALSE))+(test!$B$33-50),0)</f>
        <v>0</v>
      </c>
      <c r="AA49">
        <f>IF(AND(SUM(VLOOKUP($A49,test!$A$3:$F$32,2,FALSE),VLOOKUP(AA$1,test!$A$3:$F$32,2,FALSE))&lt;test!$K$16,$A49&lt;&gt;AA$1,Recharged_Feasible_mat!AB18),(VLOOKUP(AA$1,test!$A$3:$I$32,8,FALSE))-(VLOOKUP($A49,test!$A$3:$I$32,9,FALSE))+(test!$B$33-50),0)</f>
        <v>95</v>
      </c>
      <c r="AB49">
        <f>IF(AND(SUM(VLOOKUP($A49,test!$A$3:$F$32,2,FALSE),VLOOKUP(AB$1,test!$A$3:$F$32,2,FALSE))&lt;test!$K$16,$A49&lt;&gt;AB$1,Recharged_Feasible_mat!AC18),(VLOOKUP(AB$1,test!$A$3:$I$32,8,FALSE))-(VLOOKUP($A49,test!$A$3:$I$32,9,FALSE))+(test!$B$33-50),0)</f>
        <v>155</v>
      </c>
      <c r="AC49">
        <f>IF(AND(SUM(VLOOKUP($A49,test!$A$3:$F$32,2,FALSE),VLOOKUP(AC$1,test!$A$3:$F$32,2,FALSE))&lt;test!$K$16,$A49&lt;&gt;AC$1,Recharged_Feasible_mat!AD18),(VLOOKUP(AC$1,test!$A$3:$I$32,8,FALSE))-(VLOOKUP($A49,test!$A$3:$I$32,9,FALSE))+(test!$B$33-50),0)</f>
        <v>275</v>
      </c>
      <c r="AD49">
        <f>IF(AND(SUM(VLOOKUP($A49,test!$A$3:$F$32,2,FALSE),VLOOKUP(AD$1,test!$A$3:$F$32,2,FALSE))&lt;test!$K$16,$A49&lt;&gt;AD$1,Recharged_Feasible_mat!AE18),(VLOOKUP(AD$1,test!$A$3:$I$32,8,FALSE))-(VLOOKUP($A49,test!$A$3:$I$32,9,FALSE))+(test!$B$33-50),0)</f>
        <v>0</v>
      </c>
      <c r="AE49">
        <f>IF(AND(SUM(VLOOKUP($A49,test!$A$3:$F$32,2,FALSE),VLOOKUP(AE$1,test!$A$3:$F$32,2,FALSE))&lt;test!$K$16,$A49&lt;&gt;AE$1,Recharged_Feasible_mat!AF18),(VLOOKUP(AE$1,test!$A$3:$I$32,8,FALSE))-(VLOOKUP($A49,test!$A$3:$I$32,9,FALSE))+(test!$B$33-50),0)</f>
        <v>95</v>
      </c>
      <c r="AF49">
        <f>IF(AND(SUM(VLOOKUP($A49,test!$A$3:$F$32,2,FALSE),VLOOKUP(AF$1,test!$A$3:$F$32,2,FALSE))&lt;test!$K$16,$A49&lt;&gt;AF$1,Recharged_Feasible_mat!AG18),(VLOOKUP(AF$1,test!$A$3:$I$32,8,FALSE))-(VLOOKUP($A49,test!$A$3:$I$32,9,FALSE))+(test!$B$33-50),0)</f>
        <v>0</v>
      </c>
    </row>
    <row r="50" spans="1:32" x14ac:dyDescent="0.25">
      <c r="A50" t="s">
        <v>28</v>
      </c>
      <c r="B50">
        <v>0</v>
      </c>
      <c r="C50">
        <f>IF(AND(SUM(VLOOKUP($A50,test!$A$3:$F$32,2,FALSE),VLOOKUP(C$1,test!$A$3:$F$32,2,FALSE))&lt;test!$K$16,$A50&lt;&gt;C$1,Recharged_Feasible_mat!D19),(VLOOKUP(C$1,test!$A$3:$I$32,8,FALSE))-(VLOOKUP($A50,test!$A$3:$I$32,9,FALSE))+(test!$B$33-50),0)</f>
        <v>0</v>
      </c>
      <c r="D50">
        <f>IF(AND(SUM(VLOOKUP($A50,test!$A$3:$F$32,2,FALSE),VLOOKUP(D$1,test!$A$3:$F$32,2,FALSE))&lt;test!$K$16,$A50&lt;&gt;D$1,Recharged_Feasible_mat!E19),(VLOOKUP(D$1,test!$A$3:$I$32,8,FALSE))-(VLOOKUP($A50,test!$A$3:$I$32,9,FALSE))+(test!$B$33-50),0)</f>
        <v>0</v>
      </c>
      <c r="E50">
        <f>IF(AND(SUM(VLOOKUP($A50,test!$A$3:$F$32,2,FALSE),VLOOKUP(E$1,test!$A$3:$F$32,2,FALSE))&lt;test!$K$16,$A50&lt;&gt;E$1,Recharged_Feasible_mat!F19),(VLOOKUP(E$1,test!$A$3:$I$32,8,FALSE))-(VLOOKUP($A50,test!$A$3:$I$32,9,FALSE))+(test!$B$33-50),0)</f>
        <v>0</v>
      </c>
      <c r="F50">
        <f>IF(AND(SUM(VLOOKUP($A50,test!$A$3:$F$32,2,FALSE),VLOOKUP(F$1,test!$A$3:$F$32,2,FALSE))&lt;test!$K$16,$A50&lt;&gt;F$1,Recharged_Feasible_mat!G19),(VLOOKUP(F$1,test!$A$3:$I$32,8,FALSE))-(VLOOKUP($A50,test!$A$3:$I$32,9,FALSE))+(test!$B$33-50),0)</f>
        <v>0</v>
      </c>
      <c r="G50">
        <f>IF(AND(SUM(VLOOKUP($A50,test!$A$3:$F$32,2,FALSE),VLOOKUP(G$1,test!$A$3:$F$32,2,FALSE))&lt;test!$K$16,$A50&lt;&gt;G$1,Recharged_Feasible_mat!H19),(VLOOKUP(G$1,test!$A$3:$I$32,8,FALSE))-(VLOOKUP($A50,test!$A$3:$I$32,9,FALSE))+(test!$B$33-50),0)</f>
        <v>125</v>
      </c>
      <c r="H50">
        <f>IF(AND(SUM(VLOOKUP($A50,test!$A$3:$F$32,2,FALSE),VLOOKUP(H$1,test!$A$3:$F$32,2,FALSE))&lt;test!$K$16,$A50&lt;&gt;H$1,Recharged_Feasible_mat!I19),(VLOOKUP(H$1,test!$A$3:$I$32,8,FALSE))-(VLOOKUP($A50,test!$A$3:$I$32,9,FALSE))+(test!$B$33-50),0)</f>
        <v>185</v>
      </c>
      <c r="I50">
        <f>IF(AND(SUM(VLOOKUP($A50,test!$A$3:$F$32,2,FALSE),VLOOKUP(I$1,test!$A$3:$F$32,2,FALSE))&lt;test!$K$16,$A50&lt;&gt;I$1,Recharged_Feasible_mat!J19),(VLOOKUP(I$1,test!$A$3:$I$32,8,FALSE))-(VLOOKUP($A50,test!$A$3:$I$32,9,FALSE))+(test!$B$33-50),0)</f>
        <v>245</v>
      </c>
      <c r="J50">
        <f>IF(AND(SUM(VLOOKUP($A50,test!$A$3:$F$32,2,FALSE),VLOOKUP(J$1,test!$A$3:$F$32,2,FALSE))&lt;test!$K$16,$A50&lt;&gt;J$1,Recharged_Feasible_mat!K19),(VLOOKUP(J$1,test!$A$3:$I$32,8,FALSE))-(VLOOKUP($A50,test!$A$3:$I$32,9,FALSE))+(test!$B$33-50),0)</f>
        <v>335</v>
      </c>
      <c r="K50">
        <f>IF(AND(SUM(VLOOKUP($A50,test!$A$3:$F$32,2,FALSE),VLOOKUP(K$1,test!$A$3:$F$32,2,FALSE))&lt;test!$K$16,$A50&lt;&gt;K$1,Recharged_Feasible_mat!L19),(VLOOKUP(K$1,test!$A$3:$I$32,8,FALSE))-(VLOOKUP($A50,test!$A$3:$I$32,9,FALSE))+(test!$B$33-50),0)</f>
        <v>0</v>
      </c>
      <c r="L50">
        <f>IF(AND(SUM(VLOOKUP($A50,test!$A$3:$F$32,2,FALSE),VLOOKUP(L$1,test!$A$3:$F$32,2,FALSE))&lt;test!$K$16,$A50&lt;&gt;L$1,Recharged_Feasible_mat!M19),(VLOOKUP(L$1,test!$A$3:$I$32,8,FALSE))-(VLOOKUP($A50,test!$A$3:$I$32,9,FALSE))+(test!$B$33-50),0)</f>
        <v>0</v>
      </c>
      <c r="M50">
        <f>IF(AND(SUM(VLOOKUP($A50,test!$A$3:$F$32,2,FALSE),VLOOKUP(M$1,test!$A$3:$F$32,2,FALSE))&lt;test!$K$16,$A50&lt;&gt;M$1,Recharged_Feasible_mat!N19),(VLOOKUP(M$1,test!$A$3:$I$32,8,FALSE))-(VLOOKUP($A50,test!$A$3:$I$32,9,FALSE))+(test!$B$33-50),0)</f>
        <v>0</v>
      </c>
      <c r="N50">
        <f>IF(AND(SUM(VLOOKUP($A50,test!$A$3:$F$32,2,FALSE),VLOOKUP(N$1,test!$A$3:$F$32,2,FALSE))&lt;test!$K$16,$A50&lt;&gt;N$1,Recharged_Feasible_mat!O19),(VLOOKUP(N$1,test!$A$3:$I$32,8,FALSE))-(VLOOKUP($A50,test!$A$3:$I$32,9,FALSE))+(test!$B$33-50),0)</f>
        <v>300</v>
      </c>
      <c r="O50">
        <f>IF(AND(SUM(VLOOKUP($A50,test!$A$3:$F$32,2,FALSE),VLOOKUP(O$1,test!$A$3:$F$32,2,FALSE))&lt;test!$K$16,$A50&lt;&gt;O$1,Recharged_Feasible_mat!P19),(VLOOKUP(O$1,test!$A$3:$I$32,8,FALSE))-(VLOOKUP($A50,test!$A$3:$I$32,9,FALSE))+(test!$B$33-50),0)</f>
        <v>360</v>
      </c>
      <c r="P50">
        <f>IF(AND(SUM(VLOOKUP($A50,test!$A$3:$F$32,2,FALSE),VLOOKUP(P$1,test!$A$3:$F$32,2,FALSE))&lt;test!$K$16,$A50&lt;&gt;P$1,Recharged_Feasible_mat!Q19),(VLOOKUP(P$1,test!$A$3:$I$32,8,FALSE))-(VLOOKUP($A50,test!$A$3:$I$32,9,FALSE))+(test!$B$33-50),0)</f>
        <v>0</v>
      </c>
      <c r="Q50">
        <f>IF(AND(SUM(VLOOKUP($A50,test!$A$3:$F$32,2,FALSE),VLOOKUP(Q$1,test!$A$3:$F$32,2,FALSE))&lt;test!$K$16,$A50&lt;&gt;Q$1,Recharged_Feasible_mat!R19),(VLOOKUP(Q$1,test!$A$3:$I$32,8,FALSE))-(VLOOKUP($A50,test!$A$3:$I$32,9,FALSE))+(test!$B$33-50),0)</f>
        <v>0</v>
      </c>
      <c r="R50">
        <f>IF(AND(SUM(VLOOKUP($A50,test!$A$3:$F$32,2,FALSE),VLOOKUP(R$1,test!$A$3:$F$32,2,FALSE))&lt;test!$K$16,$A50&lt;&gt;R$1,Recharged_Feasible_mat!S19),(VLOOKUP(R$1,test!$A$3:$I$32,8,FALSE))-(VLOOKUP($A50,test!$A$3:$I$32,9,FALSE))+(test!$B$33-50),0)</f>
        <v>0</v>
      </c>
      <c r="S50">
        <f>IF(AND(SUM(VLOOKUP($A50,test!$A$3:$F$32,2,FALSE),VLOOKUP(S$1,test!$A$3:$F$32,2,FALSE))&lt;test!$K$16,$A50&lt;&gt;S$1,Recharged_Feasible_mat!T19),(VLOOKUP(S$1,test!$A$3:$I$32,8,FALSE))-(VLOOKUP($A50,test!$A$3:$I$32,9,FALSE))+(test!$B$33-50),0)</f>
        <v>0</v>
      </c>
      <c r="T50">
        <f>IF(AND(SUM(VLOOKUP($A50,test!$A$3:$F$32,2,FALSE),VLOOKUP(T$1,test!$A$3:$F$32,2,FALSE))&lt;test!$K$16,$A50&lt;&gt;T$1,Recharged_Feasible_mat!U19),(VLOOKUP(T$1,test!$A$3:$I$32,8,FALSE))-(VLOOKUP($A50,test!$A$3:$I$32,9,FALSE))+(test!$B$33-50),0)</f>
        <v>0</v>
      </c>
      <c r="U50">
        <f>IF(AND(SUM(VLOOKUP($A50,test!$A$3:$F$32,2,FALSE),VLOOKUP(U$1,test!$A$3:$F$32,2,FALSE))&lt;test!$K$16,$A50&lt;&gt;U$1,Recharged_Feasible_mat!V19),(VLOOKUP(U$1,test!$A$3:$I$32,8,FALSE))-(VLOOKUP($A50,test!$A$3:$I$32,9,FALSE))+(test!$B$33-50),0)</f>
        <v>0</v>
      </c>
      <c r="V50">
        <f>IF(AND(SUM(VLOOKUP($A50,test!$A$3:$F$32,2,FALSE),VLOOKUP(V$1,test!$A$3:$F$32,2,FALSE))&lt;test!$K$16,$A50&lt;&gt;V$1,Recharged_Feasible_mat!W19),(VLOOKUP(V$1,test!$A$3:$I$32,8,FALSE))-(VLOOKUP($A50,test!$A$3:$I$32,9,FALSE))+(test!$B$33-50),0)</f>
        <v>135</v>
      </c>
      <c r="W50">
        <f>IF(AND(SUM(VLOOKUP($A50,test!$A$3:$F$32,2,FALSE),VLOOKUP(W$1,test!$A$3:$F$32,2,FALSE))&lt;test!$K$16,$A50&lt;&gt;W$1,Recharged_Feasible_mat!X19),(VLOOKUP(W$1,test!$A$3:$I$32,8,FALSE))-(VLOOKUP($A50,test!$A$3:$I$32,9,FALSE))+(test!$B$33-50),0)</f>
        <v>225</v>
      </c>
      <c r="X50">
        <f>IF(AND(SUM(VLOOKUP($A50,test!$A$3:$F$32,2,FALSE),VLOOKUP(X$1,test!$A$3:$F$32,2,FALSE))&lt;test!$K$16,$A50&lt;&gt;X$1,Recharged_Feasible_mat!Y19),(VLOOKUP(X$1,test!$A$3:$I$32,8,FALSE))-(VLOOKUP($A50,test!$A$3:$I$32,9,FALSE))+(test!$B$33-50),0)</f>
        <v>285</v>
      </c>
      <c r="Y50">
        <f>IF(AND(SUM(VLOOKUP($A50,test!$A$3:$F$32,2,FALSE),VLOOKUP(Y$1,test!$A$3:$F$32,2,FALSE))&lt;test!$K$16,$A50&lt;&gt;Y$1,Recharged_Feasible_mat!Z19),(VLOOKUP(Y$1,test!$A$3:$I$32,8,FALSE))-(VLOOKUP($A50,test!$A$3:$I$32,9,FALSE))+(test!$B$33-50),0)</f>
        <v>0</v>
      </c>
      <c r="Z50">
        <f>IF(AND(SUM(VLOOKUP($A50,test!$A$3:$F$32,2,FALSE),VLOOKUP(Z$1,test!$A$3:$F$32,2,FALSE))&lt;test!$K$16,$A50&lt;&gt;Z$1,Recharged_Feasible_mat!AA19),(VLOOKUP(Z$1,test!$A$3:$I$32,8,FALSE))-(VLOOKUP($A50,test!$A$3:$I$32,9,FALSE))+(test!$B$33-50),0)</f>
        <v>0</v>
      </c>
      <c r="AA50">
        <f>IF(AND(SUM(VLOOKUP($A50,test!$A$3:$F$32,2,FALSE),VLOOKUP(AA$1,test!$A$3:$F$32,2,FALSE))&lt;test!$K$16,$A50&lt;&gt;AA$1,Recharged_Feasible_mat!AB19),(VLOOKUP(AA$1,test!$A$3:$I$32,8,FALSE))-(VLOOKUP($A50,test!$A$3:$I$32,9,FALSE))+(test!$B$33-50),0)</f>
        <v>0</v>
      </c>
      <c r="AB50">
        <f>IF(AND(SUM(VLOOKUP($A50,test!$A$3:$F$32,2,FALSE),VLOOKUP(AB$1,test!$A$3:$F$32,2,FALSE))&lt;test!$K$16,$A50&lt;&gt;AB$1,Recharged_Feasible_mat!AC19),(VLOOKUP(AB$1,test!$A$3:$I$32,8,FALSE))-(VLOOKUP($A50,test!$A$3:$I$32,9,FALSE))+(test!$B$33-50),0)</f>
        <v>0</v>
      </c>
      <c r="AC50">
        <f>IF(AND(SUM(VLOOKUP($A50,test!$A$3:$F$32,2,FALSE),VLOOKUP(AC$1,test!$A$3:$F$32,2,FALSE))&lt;test!$K$16,$A50&lt;&gt;AC$1,Recharged_Feasible_mat!AD19),(VLOOKUP(AC$1,test!$A$3:$I$32,8,FALSE))-(VLOOKUP($A50,test!$A$3:$I$32,9,FALSE))+(test!$B$33-50),0)</f>
        <v>185</v>
      </c>
      <c r="AD50">
        <f>IF(AND(SUM(VLOOKUP($A50,test!$A$3:$F$32,2,FALSE),VLOOKUP(AD$1,test!$A$3:$F$32,2,FALSE))&lt;test!$K$16,$A50&lt;&gt;AD$1,Recharged_Feasible_mat!AE19),(VLOOKUP(AD$1,test!$A$3:$I$32,8,FALSE))-(VLOOKUP($A50,test!$A$3:$I$32,9,FALSE))+(test!$B$33-50),0)</f>
        <v>0</v>
      </c>
      <c r="AE50">
        <f>IF(AND(SUM(VLOOKUP($A50,test!$A$3:$F$32,2,FALSE),VLOOKUP(AE$1,test!$A$3:$F$32,2,FALSE))&lt;test!$K$16,$A50&lt;&gt;AE$1,Recharged_Feasible_mat!AF19),(VLOOKUP(AE$1,test!$A$3:$I$32,8,FALSE))-(VLOOKUP($A50,test!$A$3:$I$32,9,FALSE))+(test!$B$33-50),0)</f>
        <v>0</v>
      </c>
      <c r="AF50">
        <f>IF(AND(SUM(VLOOKUP($A50,test!$A$3:$F$32,2,FALSE),VLOOKUP(AF$1,test!$A$3:$F$32,2,FALSE))&lt;test!$K$16,$A50&lt;&gt;AF$1,Recharged_Feasible_mat!AG19),(VLOOKUP(AF$1,test!$A$3:$I$32,8,FALSE))-(VLOOKUP($A50,test!$A$3:$I$32,9,FALSE))+(test!$B$33-50),0)</f>
        <v>0</v>
      </c>
    </row>
    <row r="51" spans="1:32" x14ac:dyDescent="0.25">
      <c r="A51" t="s">
        <v>29</v>
      </c>
      <c r="B51">
        <v>0</v>
      </c>
      <c r="C51">
        <f>IF(AND(SUM(VLOOKUP($A51,test!$A$3:$F$32,2,FALSE),VLOOKUP(C$1,test!$A$3:$F$32,2,FALSE))&lt;test!$K$16,$A51&lt;&gt;C$1,Recharged_Feasible_mat!D20),(VLOOKUP(C$1,test!$A$3:$I$32,8,FALSE))-(VLOOKUP($A51,test!$A$3:$I$32,9,FALSE))+(test!$B$33-50),0)</f>
        <v>0</v>
      </c>
      <c r="D51">
        <f>IF(AND(SUM(VLOOKUP($A51,test!$A$3:$F$32,2,FALSE),VLOOKUP(D$1,test!$A$3:$F$32,2,FALSE))&lt;test!$K$16,$A51&lt;&gt;D$1,Recharged_Feasible_mat!E20),(VLOOKUP(D$1,test!$A$3:$I$32,8,FALSE))-(VLOOKUP($A51,test!$A$3:$I$32,9,FALSE))+(test!$B$33-50),0)</f>
        <v>0</v>
      </c>
      <c r="E51">
        <f>IF(AND(SUM(VLOOKUP($A51,test!$A$3:$F$32,2,FALSE),VLOOKUP(E$1,test!$A$3:$F$32,2,FALSE))&lt;test!$K$16,$A51&lt;&gt;E$1,Recharged_Feasible_mat!F20),(VLOOKUP(E$1,test!$A$3:$I$32,8,FALSE))-(VLOOKUP($A51,test!$A$3:$I$32,9,FALSE))+(test!$B$33-50),0)</f>
        <v>0</v>
      </c>
      <c r="F51">
        <f>IF(AND(SUM(VLOOKUP($A51,test!$A$3:$F$32,2,FALSE),VLOOKUP(F$1,test!$A$3:$F$32,2,FALSE))&lt;test!$K$16,$A51&lt;&gt;F$1,Recharged_Feasible_mat!G20),(VLOOKUP(F$1,test!$A$3:$I$32,8,FALSE))-(VLOOKUP($A51,test!$A$3:$I$32,9,FALSE))+(test!$B$33-50),0)</f>
        <v>0</v>
      </c>
      <c r="G51">
        <f>IF(AND(SUM(VLOOKUP($A51,test!$A$3:$F$32,2,FALSE),VLOOKUP(G$1,test!$A$3:$F$32,2,FALSE))&lt;test!$K$16,$A51&lt;&gt;G$1,Recharged_Feasible_mat!H20),(VLOOKUP(G$1,test!$A$3:$I$32,8,FALSE))-(VLOOKUP($A51,test!$A$3:$I$32,9,FALSE))+(test!$B$33-50),0)</f>
        <v>0</v>
      </c>
      <c r="H51">
        <f>IF(AND(SUM(VLOOKUP($A51,test!$A$3:$F$32,2,FALSE),VLOOKUP(H$1,test!$A$3:$F$32,2,FALSE))&lt;test!$K$16,$A51&lt;&gt;H$1,Recharged_Feasible_mat!I20),(VLOOKUP(H$1,test!$A$3:$I$32,8,FALSE))-(VLOOKUP($A51,test!$A$3:$I$32,9,FALSE))+(test!$B$33-50),0)</f>
        <v>95</v>
      </c>
      <c r="I51">
        <f>IF(AND(SUM(VLOOKUP($A51,test!$A$3:$F$32,2,FALSE),VLOOKUP(I$1,test!$A$3:$F$32,2,FALSE))&lt;test!$K$16,$A51&lt;&gt;I$1,Recharged_Feasible_mat!J20),(VLOOKUP(I$1,test!$A$3:$I$32,8,FALSE))-(VLOOKUP($A51,test!$A$3:$I$32,9,FALSE))+(test!$B$33-50),0)</f>
        <v>155</v>
      </c>
      <c r="J51">
        <f>IF(AND(SUM(VLOOKUP($A51,test!$A$3:$F$32,2,FALSE),VLOOKUP(J$1,test!$A$3:$F$32,2,FALSE))&lt;test!$K$16,$A51&lt;&gt;J$1,Recharged_Feasible_mat!K20),(VLOOKUP(J$1,test!$A$3:$I$32,8,FALSE))-(VLOOKUP($A51,test!$A$3:$I$32,9,FALSE))+(test!$B$33-50),0)</f>
        <v>245</v>
      </c>
      <c r="K51">
        <f>IF(AND(SUM(VLOOKUP($A51,test!$A$3:$F$32,2,FALSE),VLOOKUP(K$1,test!$A$3:$F$32,2,FALSE))&lt;test!$K$16,$A51&lt;&gt;K$1,Recharged_Feasible_mat!L20),(VLOOKUP(K$1,test!$A$3:$I$32,8,FALSE))-(VLOOKUP($A51,test!$A$3:$I$32,9,FALSE))+(test!$B$33-50),0)</f>
        <v>0</v>
      </c>
      <c r="L51">
        <f>IF(AND(SUM(VLOOKUP($A51,test!$A$3:$F$32,2,FALSE),VLOOKUP(L$1,test!$A$3:$F$32,2,FALSE))&lt;test!$K$16,$A51&lt;&gt;L$1,Recharged_Feasible_mat!M20),(VLOOKUP(L$1,test!$A$3:$I$32,8,FALSE))-(VLOOKUP($A51,test!$A$3:$I$32,9,FALSE))+(test!$B$33-50),0)</f>
        <v>0</v>
      </c>
      <c r="M51">
        <f>IF(AND(SUM(VLOOKUP($A51,test!$A$3:$F$32,2,FALSE),VLOOKUP(M$1,test!$A$3:$F$32,2,FALSE))&lt;test!$K$16,$A51&lt;&gt;M$1,Recharged_Feasible_mat!N20),(VLOOKUP(M$1,test!$A$3:$I$32,8,FALSE))-(VLOOKUP($A51,test!$A$3:$I$32,9,FALSE))+(test!$B$33-50),0)</f>
        <v>0</v>
      </c>
      <c r="N51">
        <f>IF(AND(SUM(VLOOKUP($A51,test!$A$3:$F$32,2,FALSE),VLOOKUP(N$1,test!$A$3:$F$32,2,FALSE))&lt;test!$K$16,$A51&lt;&gt;N$1,Recharged_Feasible_mat!O20),(VLOOKUP(N$1,test!$A$3:$I$32,8,FALSE))-(VLOOKUP($A51,test!$A$3:$I$32,9,FALSE))+(test!$B$33-50),0)</f>
        <v>210</v>
      </c>
      <c r="O51">
        <f>IF(AND(SUM(VLOOKUP($A51,test!$A$3:$F$32,2,FALSE),VLOOKUP(O$1,test!$A$3:$F$32,2,FALSE))&lt;test!$K$16,$A51&lt;&gt;O$1,Recharged_Feasible_mat!P20),(VLOOKUP(O$1,test!$A$3:$I$32,8,FALSE))-(VLOOKUP($A51,test!$A$3:$I$32,9,FALSE))+(test!$B$33-50),0)</f>
        <v>270</v>
      </c>
      <c r="P51">
        <f>IF(AND(SUM(VLOOKUP($A51,test!$A$3:$F$32,2,FALSE),VLOOKUP(P$1,test!$A$3:$F$32,2,FALSE))&lt;test!$K$16,$A51&lt;&gt;P$1,Recharged_Feasible_mat!Q20),(VLOOKUP(P$1,test!$A$3:$I$32,8,FALSE))-(VLOOKUP($A51,test!$A$3:$I$32,9,FALSE))+(test!$B$33-50),0)</f>
        <v>0</v>
      </c>
      <c r="Q51">
        <f>IF(AND(SUM(VLOOKUP($A51,test!$A$3:$F$32,2,FALSE),VLOOKUP(Q$1,test!$A$3:$F$32,2,FALSE))&lt;test!$K$16,$A51&lt;&gt;Q$1,Recharged_Feasible_mat!R20),(VLOOKUP(Q$1,test!$A$3:$I$32,8,FALSE))-(VLOOKUP($A51,test!$A$3:$I$32,9,FALSE))+(test!$B$33-50),0)</f>
        <v>0</v>
      </c>
      <c r="R51">
        <f>IF(AND(SUM(VLOOKUP($A51,test!$A$3:$F$32,2,FALSE),VLOOKUP(R$1,test!$A$3:$F$32,2,FALSE))&lt;test!$K$16,$A51&lt;&gt;R$1,Recharged_Feasible_mat!S20),(VLOOKUP(R$1,test!$A$3:$I$32,8,FALSE))-(VLOOKUP($A51,test!$A$3:$I$32,9,FALSE))+(test!$B$33-50),0)</f>
        <v>0</v>
      </c>
      <c r="S51">
        <f>IF(AND(SUM(VLOOKUP($A51,test!$A$3:$F$32,2,FALSE),VLOOKUP(S$1,test!$A$3:$F$32,2,FALSE))&lt;test!$K$16,$A51&lt;&gt;S$1,Recharged_Feasible_mat!T20),(VLOOKUP(S$1,test!$A$3:$I$32,8,FALSE))-(VLOOKUP($A51,test!$A$3:$I$32,9,FALSE))+(test!$B$33-50),0)</f>
        <v>0</v>
      </c>
      <c r="T51">
        <f>IF(AND(SUM(VLOOKUP($A51,test!$A$3:$F$32,2,FALSE),VLOOKUP(T$1,test!$A$3:$F$32,2,FALSE))&lt;test!$K$16,$A51&lt;&gt;T$1,Recharged_Feasible_mat!U20),(VLOOKUP(T$1,test!$A$3:$I$32,8,FALSE))-(VLOOKUP($A51,test!$A$3:$I$32,9,FALSE))+(test!$B$33-50),0)</f>
        <v>0</v>
      </c>
      <c r="U51">
        <f>IF(AND(SUM(VLOOKUP($A51,test!$A$3:$F$32,2,FALSE),VLOOKUP(U$1,test!$A$3:$F$32,2,FALSE))&lt;test!$K$16,$A51&lt;&gt;U$1,Recharged_Feasible_mat!V20),(VLOOKUP(U$1,test!$A$3:$I$32,8,FALSE))-(VLOOKUP($A51,test!$A$3:$I$32,9,FALSE))+(test!$B$33-50),0)</f>
        <v>0</v>
      </c>
      <c r="V51">
        <f>IF(AND(SUM(VLOOKUP($A51,test!$A$3:$F$32,2,FALSE),VLOOKUP(V$1,test!$A$3:$F$32,2,FALSE))&lt;test!$K$16,$A51&lt;&gt;V$1,Recharged_Feasible_mat!W20),(VLOOKUP(V$1,test!$A$3:$I$32,8,FALSE))-(VLOOKUP($A51,test!$A$3:$I$32,9,FALSE))+(test!$B$33-50),0)</f>
        <v>0</v>
      </c>
      <c r="W51">
        <f>IF(AND(SUM(VLOOKUP($A51,test!$A$3:$F$32,2,FALSE),VLOOKUP(W$1,test!$A$3:$F$32,2,FALSE))&lt;test!$K$16,$A51&lt;&gt;W$1,Recharged_Feasible_mat!X20),(VLOOKUP(W$1,test!$A$3:$I$32,8,FALSE))-(VLOOKUP($A51,test!$A$3:$I$32,9,FALSE))+(test!$B$33-50),0)</f>
        <v>135</v>
      </c>
      <c r="X51">
        <f>IF(AND(SUM(VLOOKUP($A51,test!$A$3:$F$32,2,FALSE),VLOOKUP(X$1,test!$A$3:$F$32,2,FALSE))&lt;test!$K$16,$A51&lt;&gt;X$1,Recharged_Feasible_mat!Y20),(VLOOKUP(X$1,test!$A$3:$I$32,8,FALSE))-(VLOOKUP($A51,test!$A$3:$I$32,9,FALSE))+(test!$B$33-50),0)</f>
        <v>195</v>
      </c>
      <c r="Y51">
        <f>IF(AND(SUM(VLOOKUP($A51,test!$A$3:$F$32,2,FALSE),VLOOKUP(Y$1,test!$A$3:$F$32,2,FALSE))&lt;test!$K$16,$A51&lt;&gt;Y$1,Recharged_Feasible_mat!Z20),(VLOOKUP(Y$1,test!$A$3:$I$32,8,FALSE))-(VLOOKUP($A51,test!$A$3:$I$32,9,FALSE))+(test!$B$33-50),0)</f>
        <v>0</v>
      </c>
      <c r="Z51">
        <f>IF(AND(SUM(VLOOKUP($A51,test!$A$3:$F$32,2,FALSE),VLOOKUP(Z$1,test!$A$3:$F$32,2,FALSE))&lt;test!$K$16,$A51&lt;&gt;Z$1,Recharged_Feasible_mat!AA20),(VLOOKUP(Z$1,test!$A$3:$I$32,8,FALSE))-(VLOOKUP($A51,test!$A$3:$I$32,9,FALSE))+(test!$B$33-50),0)</f>
        <v>0</v>
      </c>
      <c r="AA51">
        <f>IF(AND(SUM(VLOOKUP($A51,test!$A$3:$F$32,2,FALSE),VLOOKUP(AA$1,test!$A$3:$F$32,2,FALSE))&lt;test!$K$16,$A51&lt;&gt;AA$1,Recharged_Feasible_mat!AB20),(VLOOKUP(AA$1,test!$A$3:$I$32,8,FALSE))-(VLOOKUP($A51,test!$A$3:$I$32,9,FALSE))+(test!$B$33-50),0)</f>
        <v>0</v>
      </c>
      <c r="AB51">
        <f>IF(AND(SUM(VLOOKUP($A51,test!$A$3:$F$32,2,FALSE),VLOOKUP(AB$1,test!$A$3:$F$32,2,FALSE))&lt;test!$K$16,$A51&lt;&gt;AB$1,Recharged_Feasible_mat!AC20),(VLOOKUP(AB$1,test!$A$3:$I$32,8,FALSE))-(VLOOKUP($A51,test!$A$3:$I$32,9,FALSE))+(test!$B$33-50),0)</f>
        <v>0</v>
      </c>
      <c r="AC51">
        <f>IF(AND(SUM(VLOOKUP($A51,test!$A$3:$F$32,2,FALSE),VLOOKUP(AC$1,test!$A$3:$F$32,2,FALSE))&lt;test!$K$16,$A51&lt;&gt;AC$1,Recharged_Feasible_mat!AD20),(VLOOKUP(AC$1,test!$A$3:$I$32,8,FALSE))-(VLOOKUP($A51,test!$A$3:$I$32,9,FALSE))+(test!$B$33-50),0)</f>
        <v>95</v>
      </c>
      <c r="AD51">
        <f>IF(AND(SUM(VLOOKUP($A51,test!$A$3:$F$32,2,FALSE),VLOOKUP(AD$1,test!$A$3:$F$32,2,FALSE))&lt;test!$K$16,$A51&lt;&gt;AD$1,Recharged_Feasible_mat!AE20),(VLOOKUP(AD$1,test!$A$3:$I$32,8,FALSE))-(VLOOKUP($A51,test!$A$3:$I$32,9,FALSE))+(test!$B$33-50),0)</f>
        <v>0</v>
      </c>
      <c r="AE51">
        <f>IF(AND(SUM(VLOOKUP($A51,test!$A$3:$F$32,2,FALSE),VLOOKUP(AE$1,test!$A$3:$F$32,2,FALSE))&lt;test!$K$16,$A51&lt;&gt;AE$1,Recharged_Feasible_mat!AF20),(VLOOKUP(AE$1,test!$A$3:$I$32,8,FALSE))-(VLOOKUP($A51,test!$A$3:$I$32,9,FALSE))+(test!$B$33-50),0)</f>
        <v>0</v>
      </c>
      <c r="AF51">
        <f>IF(AND(SUM(VLOOKUP($A51,test!$A$3:$F$32,2,FALSE),VLOOKUP(AF$1,test!$A$3:$F$32,2,FALSE))&lt;test!$K$16,$A51&lt;&gt;AF$1,Recharged_Feasible_mat!AG20),(VLOOKUP(AF$1,test!$A$3:$I$32,8,FALSE))-(VLOOKUP($A51,test!$A$3:$I$32,9,FALSE))+(test!$B$33-50),0)</f>
        <v>0</v>
      </c>
    </row>
    <row r="52" spans="1:32" x14ac:dyDescent="0.25">
      <c r="A52" t="s">
        <v>30</v>
      </c>
      <c r="B52">
        <v>0</v>
      </c>
      <c r="C52">
        <f>IF(AND(SUM(VLOOKUP($A52,test!$A$3:$F$32,2,FALSE),VLOOKUP(C$1,test!$A$3:$F$32,2,FALSE))&lt;test!$K$16,$A52&lt;&gt;C$1,Recharged_Feasible_mat!D21),(VLOOKUP(C$1,test!$A$3:$I$32,8,FALSE))-(VLOOKUP($A52,test!$A$3:$I$32,9,FALSE))+(test!$B$33-50),0)</f>
        <v>0</v>
      </c>
      <c r="D52">
        <f>IF(AND(SUM(VLOOKUP($A52,test!$A$3:$F$32,2,FALSE),VLOOKUP(D$1,test!$A$3:$F$32,2,FALSE))&lt;test!$K$16,$A52&lt;&gt;D$1,Recharged_Feasible_mat!E21),(VLOOKUP(D$1,test!$A$3:$I$32,8,FALSE))-(VLOOKUP($A52,test!$A$3:$I$32,9,FALSE))+(test!$B$33-50),0)</f>
        <v>0</v>
      </c>
      <c r="E52">
        <f>IF(AND(SUM(VLOOKUP($A52,test!$A$3:$F$32,2,FALSE),VLOOKUP(E$1,test!$A$3:$F$32,2,FALSE))&lt;test!$K$16,$A52&lt;&gt;E$1,Recharged_Feasible_mat!F21),(VLOOKUP(E$1,test!$A$3:$I$32,8,FALSE))-(VLOOKUP($A52,test!$A$3:$I$32,9,FALSE))+(test!$B$33-50),0)</f>
        <v>0</v>
      </c>
      <c r="F52">
        <f>IF(AND(SUM(VLOOKUP($A52,test!$A$3:$F$32,2,FALSE),VLOOKUP(F$1,test!$A$3:$F$32,2,FALSE))&lt;test!$K$16,$A52&lt;&gt;F$1,Recharged_Feasible_mat!G21),(VLOOKUP(F$1,test!$A$3:$I$32,8,FALSE))-(VLOOKUP($A52,test!$A$3:$I$32,9,FALSE))+(test!$B$33-50),0)</f>
        <v>0</v>
      </c>
      <c r="G52">
        <f>IF(AND(SUM(VLOOKUP($A52,test!$A$3:$F$32,2,FALSE),VLOOKUP(G$1,test!$A$3:$F$32,2,FALSE))&lt;test!$K$16,$A52&lt;&gt;G$1,Recharged_Feasible_mat!H21),(VLOOKUP(G$1,test!$A$3:$I$32,8,FALSE))-(VLOOKUP($A52,test!$A$3:$I$32,9,FALSE))+(test!$B$33-50),0)</f>
        <v>0</v>
      </c>
      <c r="H52">
        <f>IF(AND(SUM(VLOOKUP($A52,test!$A$3:$F$32,2,FALSE),VLOOKUP(H$1,test!$A$3:$F$32,2,FALSE))&lt;test!$K$16,$A52&lt;&gt;H$1,Recharged_Feasible_mat!I21),(VLOOKUP(H$1,test!$A$3:$I$32,8,FALSE))-(VLOOKUP($A52,test!$A$3:$I$32,9,FALSE))+(test!$B$33-50),0)</f>
        <v>0</v>
      </c>
      <c r="I52">
        <f>IF(AND(SUM(VLOOKUP($A52,test!$A$3:$F$32,2,FALSE),VLOOKUP(I$1,test!$A$3:$F$32,2,FALSE))&lt;test!$K$16,$A52&lt;&gt;I$1,Recharged_Feasible_mat!J21),(VLOOKUP(I$1,test!$A$3:$I$32,8,FALSE))-(VLOOKUP($A52,test!$A$3:$I$32,9,FALSE))+(test!$B$33-50),0)</f>
        <v>0</v>
      </c>
      <c r="J52">
        <f>IF(AND(SUM(VLOOKUP($A52,test!$A$3:$F$32,2,FALSE),VLOOKUP(J$1,test!$A$3:$F$32,2,FALSE))&lt;test!$K$16,$A52&lt;&gt;J$1,Recharged_Feasible_mat!K21),(VLOOKUP(J$1,test!$A$3:$I$32,8,FALSE))-(VLOOKUP($A52,test!$A$3:$I$32,9,FALSE))+(test!$B$33-50),0)</f>
        <v>155</v>
      </c>
      <c r="K52">
        <f>IF(AND(SUM(VLOOKUP($A52,test!$A$3:$F$32,2,FALSE),VLOOKUP(K$1,test!$A$3:$F$32,2,FALSE))&lt;test!$K$16,$A52&lt;&gt;K$1,Recharged_Feasible_mat!L21),(VLOOKUP(K$1,test!$A$3:$I$32,8,FALSE))-(VLOOKUP($A52,test!$A$3:$I$32,9,FALSE))+(test!$B$33-50),0)</f>
        <v>0</v>
      </c>
      <c r="L52">
        <f>IF(AND(SUM(VLOOKUP($A52,test!$A$3:$F$32,2,FALSE),VLOOKUP(L$1,test!$A$3:$F$32,2,FALSE))&lt;test!$K$16,$A52&lt;&gt;L$1,Recharged_Feasible_mat!M21),(VLOOKUP(L$1,test!$A$3:$I$32,8,FALSE))-(VLOOKUP($A52,test!$A$3:$I$32,9,FALSE))+(test!$B$33-50),0)</f>
        <v>0</v>
      </c>
      <c r="M52">
        <f>IF(AND(SUM(VLOOKUP($A52,test!$A$3:$F$32,2,FALSE),VLOOKUP(M$1,test!$A$3:$F$32,2,FALSE))&lt;test!$K$16,$A52&lt;&gt;M$1,Recharged_Feasible_mat!N21),(VLOOKUP(M$1,test!$A$3:$I$32,8,FALSE))-(VLOOKUP($A52,test!$A$3:$I$32,9,FALSE))+(test!$B$33-50),0)</f>
        <v>0</v>
      </c>
      <c r="N52">
        <f>IF(AND(SUM(VLOOKUP($A52,test!$A$3:$F$32,2,FALSE),VLOOKUP(N$1,test!$A$3:$F$32,2,FALSE))&lt;test!$K$16,$A52&lt;&gt;N$1,Recharged_Feasible_mat!O21),(VLOOKUP(N$1,test!$A$3:$I$32,8,FALSE))-(VLOOKUP($A52,test!$A$3:$I$32,9,FALSE))+(test!$B$33-50),0)</f>
        <v>120</v>
      </c>
      <c r="O52">
        <f>IF(AND(SUM(VLOOKUP($A52,test!$A$3:$F$32,2,FALSE),VLOOKUP(O$1,test!$A$3:$F$32,2,FALSE))&lt;test!$K$16,$A52&lt;&gt;O$1,Recharged_Feasible_mat!P21),(VLOOKUP(O$1,test!$A$3:$I$32,8,FALSE))-(VLOOKUP($A52,test!$A$3:$I$32,9,FALSE))+(test!$B$33-50),0)</f>
        <v>180</v>
      </c>
      <c r="P52">
        <f>IF(AND(SUM(VLOOKUP($A52,test!$A$3:$F$32,2,FALSE),VLOOKUP(P$1,test!$A$3:$F$32,2,FALSE))&lt;test!$K$16,$A52&lt;&gt;P$1,Recharged_Feasible_mat!Q21),(VLOOKUP(P$1,test!$A$3:$I$32,8,FALSE))-(VLOOKUP($A52,test!$A$3:$I$32,9,FALSE))+(test!$B$33-50),0)</f>
        <v>0</v>
      </c>
      <c r="Q52">
        <f>IF(AND(SUM(VLOOKUP($A52,test!$A$3:$F$32,2,FALSE),VLOOKUP(Q$1,test!$A$3:$F$32,2,FALSE))&lt;test!$K$16,$A52&lt;&gt;Q$1,Recharged_Feasible_mat!R21),(VLOOKUP(Q$1,test!$A$3:$I$32,8,FALSE))-(VLOOKUP($A52,test!$A$3:$I$32,9,FALSE))+(test!$B$33-50),0)</f>
        <v>0</v>
      </c>
      <c r="R52">
        <f>IF(AND(SUM(VLOOKUP($A52,test!$A$3:$F$32,2,FALSE),VLOOKUP(R$1,test!$A$3:$F$32,2,FALSE))&lt;test!$K$16,$A52&lt;&gt;R$1,Recharged_Feasible_mat!S21),(VLOOKUP(R$1,test!$A$3:$I$32,8,FALSE))-(VLOOKUP($A52,test!$A$3:$I$32,9,FALSE))+(test!$B$33-50),0)</f>
        <v>0</v>
      </c>
      <c r="S52">
        <f>IF(AND(SUM(VLOOKUP($A52,test!$A$3:$F$32,2,FALSE),VLOOKUP(S$1,test!$A$3:$F$32,2,FALSE))&lt;test!$K$16,$A52&lt;&gt;S$1,Recharged_Feasible_mat!T21),(VLOOKUP(S$1,test!$A$3:$I$32,8,FALSE))-(VLOOKUP($A52,test!$A$3:$I$32,9,FALSE))+(test!$B$33-50),0)</f>
        <v>0</v>
      </c>
      <c r="T52">
        <f>IF(AND(SUM(VLOOKUP($A52,test!$A$3:$F$32,2,FALSE),VLOOKUP(T$1,test!$A$3:$F$32,2,FALSE))&lt;test!$K$16,$A52&lt;&gt;T$1,Recharged_Feasible_mat!U21),(VLOOKUP(T$1,test!$A$3:$I$32,8,FALSE))-(VLOOKUP($A52,test!$A$3:$I$32,9,FALSE))+(test!$B$33-50),0)</f>
        <v>0</v>
      </c>
      <c r="U52">
        <f>IF(AND(SUM(VLOOKUP($A52,test!$A$3:$F$32,2,FALSE),VLOOKUP(U$1,test!$A$3:$F$32,2,FALSE))&lt;test!$K$16,$A52&lt;&gt;U$1,Recharged_Feasible_mat!V21),(VLOOKUP(U$1,test!$A$3:$I$32,8,FALSE))-(VLOOKUP($A52,test!$A$3:$I$32,9,FALSE))+(test!$B$33-50),0)</f>
        <v>0</v>
      </c>
      <c r="V52">
        <f>IF(AND(SUM(VLOOKUP($A52,test!$A$3:$F$32,2,FALSE),VLOOKUP(V$1,test!$A$3:$F$32,2,FALSE))&lt;test!$K$16,$A52&lt;&gt;V$1,Recharged_Feasible_mat!W21),(VLOOKUP(V$1,test!$A$3:$I$32,8,FALSE))-(VLOOKUP($A52,test!$A$3:$I$32,9,FALSE))+(test!$B$33-50),0)</f>
        <v>0</v>
      </c>
      <c r="W52">
        <f>IF(AND(SUM(VLOOKUP($A52,test!$A$3:$F$32,2,FALSE),VLOOKUP(W$1,test!$A$3:$F$32,2,FALSE))&lt;test!$K$16,$A52&lt;&gt;W$1,Recharged_Feasible_mat!X21),(VLOOKUP(W$1,test!$A$3:$I$32,8,FALSE))-(VLOOKUP($A52,test!$A$3:$I$32,9,FALSE))+(test!$B$33-50),0)</f>
        <v>0</v>
      </c>
      <c r="X52">
        <f>IF(AND(SUM(VLOOKUP($A52,test!$A$3:$F$32,2,FALSE),VLOOKUP(X$1,test!$A$3:$F$32,2,FALSE))&lt;test!$K$16,$A52&lt;&gt;X$1,Recharged_Feasible_mat!Y21),(VLOOKUP(X$1,test!$A$3:$I$32,8,FALSE))-(VLOOKUP($A52,test!$A$3:$I$32,9,FALSE))+(test!$B$33-50),0)</f>
        <v>105</v>
      </c>
      <c r="Y52">
        <f>IF(AND(SUM(VLOOKUP($A52,test!$A$3:$F$32,2,FALSE),VLOOKUP(Y$1,test!$A$3:$F$32,2,FALSE))&lt;test!$K$16,$A52&lt;&gt;Y$1,Recharged_Feasible_mat!Z21),(VLOOKUP(Y$1,test!$A$3:$I$32,8,FALSE))-(VLOOKUP($A52,test!$A$3:$I$32,9,FALSE))+(test!$B$33-50),0)</f>
        <v>0</v>
      </c>
      <c r="Z52">
        <f>IF(AND(SUM(VLOOKUP($A52,test!$A$3:$F$32,2,FALSE),VLOOKUP(Z$1,test!$A$3:$F$32,2,FALSE))&lt;test!$K$16,$A52&lt;&gt;Z$1,Recharged_Feasible_mat!AA21),(VLOOKUP(Z$1,test!$A$3:$I$32,8,FALSE))-(VLOOKUP($A52,test!$A$3:$I$32,9,FALSE))+(test!$B$33-50),0)</f>
        <v>0</v>
      </c>
      <c r="AA52">
        <f>IF(AND(SUM(VLOOKUP($A52,test!$A$3:$F$32,2,FALSE),VLOOKUP(AA$1,test!$A$3:$F$32,2,FALSE))&lt;test!$K$16,$A52&lt;&gt;AA$1,Recharged_Feasible_mat!AB21),(VLOOKUP(AA$1,test!$A$3:$I$32,8,FALSE))-(VLOOKUP($A52,test!$A$3:$I$32,9,FALSE))+(test!$B$33-50),0)</f>
        <v>0</v>
      </c>
      <c r="AB52">
        <f>IF(AND(SUM(VLOOKUP($A52,test!$A$3:$F$32,2,FALSE),VLOOKUP(AB$1,test!$A$3:$F$32,2,FALSE))&lt;test!$K$16,$A52&lt;&gt;AB$1,Recharged_Feasible_mat!AC21),(VLOOKUP(AB$1,test!$A$3:$I$32,8,FALSE))-(VLOOKUP($A52,test!$A$3:$I$32,9,FALSE))+(test!$B$33-50),0)</f>
        <v>0</v>
      </c>
      <c r="AC52">
        <f>IF(AND(SUM(VLOOKUP($A52,test!$A$3:$F$32,2,FALSE),VLOOKUP(AC$1,test!$A$3:$F$32,2,FALSE))&lt;test!$K$16,$A52&lt;&gt;AC$1,Recharged_Feasible_mat!AD21),(VLOOKUP(AC$1,test!$A$3:$I$32,8,FALSE))-(VLOOKUP($A52,test!$A$3:$I$32,9,FALSE))+(test!$B$33-50),0)</f>
        <v>0</v>
      </c>
      <c r="AD52">
        <f>IF(AND(SUM(VLOOKUP($A52,test!$A$3:$F$32,2,FALSE),VLOOKUP(AD$1,test!$A$3:$F$32,2,FALSE))&lt;test!$K$16,$A52&lt;&gt;AD$1,Recharged_Feasible_mat!AE21),(VLOOKUP(AD$1,test!$A$3:$I$32,8,FALSE))-(VLOOKUP($A52,test!$A$3:$I$32,9,FALSE))+(test!$B$33-50),0)</f>
        <v>0</v>
      </c>
      <c r="AE52">
        <f>IF(AND(SUM(VLOOKUP($A52,test!$A$3:$F$32,2,FALSE),VLOOKUP(AE$1,test!$A$3:$F$32,2,FALSE))&lt;test!$K$16,$A52&lt;&gt;AE$1,Recharged_Feasible_mat!AF21),(VLOOKUP(AE$1,test!$A$3:$I$32,8,FALSE))-(VLOOKUP($A52,test!$A$3:$I$32,9,FALSE))+(test!$B$33-50),0)</f>
        <v>0</v>
      </c>
      <c r="AF52">
        <f>IF(AND(SUM(VLOOKUP($A52,test!$A$3:$F$32,2,FALSE),VLOOKUP(AF$1,test!$A$3:$F$32,2,FALSE))&lt;test!$K$16,$A52&lt;&gt;AF$1,Recharged_Feasible_mat!AG21),(VLOOKUP(AF$1,test!$A$3:$I$32,8,FALSE))-(VLOOKUP($A52,test!$A$3:$I$32,9,FALSE))+(test!$B$33-50),0)</f>
        <v>0</v>
      </c>
    </row>
    <row r="53" spans="1:32" x14ac:dyDescent="0.25">
      <c r="A53" t="s">
        <v>31</v>
      </c>
      <c r="B53">
        <v>0</v>
      </c>
      <c r="C53">
        <f>IF(AND(SUM(VLOOKUP($A53,test!$A$3:$F$32,2,FALSE),VLOOKUP(C$1,test!$A$3:$F$32,2,FALSE))&lt;test!$K$16,$A53&lt;&gt;C$1,Recharged_Feasible_mat!D22),(VLOOKUP(C$1,test!$A$3:$I$32,8,FALSE))-(VLOOKUP($A53,test!$A$3:$I$32,9,FALSE))+(test!$B$33-50),0)</f>
        <v>0</v>
      </c>
      <c r="D53">
        <f>IF(AND(SUM(VLOOKUP($A53,test!$A$3:$F$32,2,FALSE),VLOOKUP(D$1,test!$A$3:$F$32,2,FALSE))&lt;test!$K$16,$A53&lt;&gt;D$1,Recharged_Feasible_mat!E22),(VLOOKUP(D$1,test!$A$3:$I$32,8,FALSE))-(VLOOKUP($A53,test!$A$3:$I$32,9,FALSE))+(test!$B$33-50),0)</f>
        <v>0</v>
      </c>
      <c r="E53">
        <f>IF(AND(SUM(VLOOKUP($A53,test!$A$3:$F$32,2,FALSE),VLOOKUP(E$1,test!$A$3:$F$32,2,FALSE))&lt;test!$K$16,$A53&lt;&gt;E$1,Recharged_Feasible_mat!F22),(VLOOKUP(E$1,test!$A$3:$I$32,8,FALSE))-(VLOOKUP($A53,test!$A$3:$I$32,9,FALSE))+(test!$B$33-50),0)</f>
        <v>0</v>
      </c>
      <c r="F53">
        <f>IF(AND(SUM(VLOOKUP($A53,test!$A$3:$F$32,2,FALSE),VLOOKUP(F$1,test!$A$3:$F$32,2,FALSE))&lt;test!$K$16,$A53&lt;&gt;F$1,Recharged_Feasible_mat!G22),(VLOOKUP(F$1,test!$A$3:$I$32,8,FALSE))-(VLOOKUP($A53,test!$A$3:$I$32,9,FALSE))+(test!$B$33-50),0)</f>
        <v>0</v>
      </c>
      <c r="G53">
        <f>IF(AND(SUM(VLOOKUP($A53,test!$A$3:$F$32,2,FALSE),VLOOKUP(G$1,test!$A$3:$F$32,2,FALSE))&lt;test!$K$16,$A53&lt;&gt;G$1,Recharged_Feasible_mat!H22),(VLOOKUP(G$1,test!$A$3:$I$32,8,FALSE))-(VLOOKUP($A53,test!$A$3:$I$32,9,FALSE))+(test!$B$33-50),0)</f>
        <v>0</v>
      </c>
      <c r="H53">
        <f>IF(AND(SUM(VLOOKUP($A53,test!$A$3:$F$32,2,FALSE),VLOOKUP(H$1,test!$A$3:$F$32,2,FALSE))&lt;test!$K$16,$A53&lt;&gt;H$1,Recharged_Feasible_mat!I22),(VLOOKUP(H$1,test!$A$3:$I$32,8,FALSE))-(VLOOKUP($A53,test!$A$3:$I$32,9,FALSE))+(test!$B$33-50),0)</f>
        <v>0</v>
      </c>
      <c r="I53">
        <f>IF(AND(SUM(VLOOKUP($A53,test!$A$3:$F$32,2,FALSE),VLOOKUP(I$1,test!$A$3:$F$32,2,FALSE))&lt;test!$K$16,$A53&lt;&gt;I$1,Recharged_Feasible_mat!J22),(VLOOKUP(I$1,test!$A$3:$I$32,8,FALSE))-(VLOOKUP($A53,test!$A$3:$I$32,9,FALSE))+(test!$B$33-50),0)</f>
        <v>0</v>
      </c>
      <c r="J53">
        <f>IF(AND(SUM(VLOOKUP($A53,test!$A$3:$F$32,2,FALSE),VLOOKUP(J$1,test!$A$3:$F$32,2,FALSE))&lt;test!$K$16,$A53&lt;&gt;J$1,Recharged_Feasible_mat!K22),(VLOOKUP(J$1,test!$A$3:$I$32,8,FALSE))-(VLOOKUP($A53,test!$A$3:$I$32,9,FALSE))+(test!$B$33-50),0)</f>
        <v>0</v>
      </c>
      <c r="K53">
        <f>IF(AND(SUM(VLOOKUP($A53,test!$A$3:$F$32,2,FALSE),VLOOKUP(K$1,test!$A$3:$F$32,2,FALSE))&lt;test!$K$16,$A53&lt;&gt;K$1,Recharged_Feasible_mat!L22),(VLOOKUP(K$1,test!$A$3:$I$32,8,FALSE))-(VLOOKUP($A53,test!$A$3:$I$32,9,FALSE))+(test!$B$33-50),0)</f>
        <v>0</v>
      </c>
      <c r="L53">
        <f>IF(AND(SUM(VLOOKUP($A53,test!$A$3:$F$32,2,FALSE),VLOOKUP(L$1,test!$A$3:$F$32,2,FALSE))&lt;test!$K$16,$A53&lt;&gt;L$1,Recharged_Feasible_mat!M22),(VLOOKUP(L$1,test!$A$3:$I$32,8,FALSE))-(VLOOKUP($A53,test!$A$3:$I$32,9,FALSE))+(test!$B$33-50),0)</f>
        <v>0</v>
      </c>
      <c r="M53">
        <f>IF(AND(SUM(VLOOKUP($A53,test!$A$3:$F$32,2,FALSE),VLOOKUP(M$1,test!$A$3:$F$32,2,FALSE))&lt;test!$K$16,$A53&lt;&gt;M$1,Recharged_Feasible_mat!N22),(VLOOKUP(M$1,test!$A$3:$I$32,8,FALSE))-(VLOOKUP($A53,test!$A$3:$I$32,9,FALSE))+(test!$B$33-50),0)</f>
        <v>0</v>
      </c>
      <c r="N53">
        <f>IF(AND(SUM(VLOOKUP($A53,test!$A$3:$F$32,2,FALSE),VLOOKUP(N$1,test!$A$3:$F$32,2,FALSE))&lt;test!$K$16,$A53&lt;&gt;N$1,Recharged_Feasible_mat!O22),(VLOOKUP(N$1,test!$A$3:$I$32,8,FALSE))-(VLOOKUP($A53,test!$A$3:$I$32,9,FALSE))+(test!$B$33-50),0)</f>
        <v>0</v>
      </c>
      <c r="O53">
        <f>IF(AND(SUM(VLOOKUP($A53,test!$A$3:$F$32,2,FALSE),VLOOKUP(O$1,test!$A$3:$F$32,2,FALSE))&lt;test!$K$16,$A53&lt;&gt;O$1,Recharged_Feasible_mat!P22),(VLOOKUP(O$1,test!$A$3:$I$32,8,FALSE))-(VLOOKUP($A53,test!$A$3:$I$32,9,FALSE))+(test!$B$33-50),0)</f>
        <v>90</v>
      </c>
      <c r="P53">
        <f>IF(AND(SUM(VLOOKUP($A53,test!$A$3:$F$32,2,FALSE),VLOOKUP(P$1,test!$A$3:$F$32,2,FALSE))&lt;test!$K$16,$A53&lt;&gt;P$1,Recharged_Feasible_mat!Q22),(VLOOKUP(P$1,test!$A$3:$I$32,8,FALSE))-(VLOOKUP($A53,test!$A$3:$I$32,9,FALSE))+(test!$B$33-50),0)</f>
        <v>0</v>
      </c>
      <c r="Q53">
        <f>IF(AND(SUM(VLOOKUP($A53,test!$A$3:$F$32,2,FALSE),VLOOKUP(Q$1,test!$A$3:$F$32,2,FALSE))&lt;test!$K$16,$A53&lt;&gt;Q$1,Recharged_Feasible_mat!R22),(VLOOKUP(Q$1,test!$A$3:$I$32,8,FALSE))-(VLOOKUP($A53,test!$A$3:$I$32,9,FALSE))+(test!$B$33-50),0)</f>
        <v>0</v>
      </c>
      <c r="R53">
        <f>IF(AND(SUM(VLOOKUP($A53,test!$A$3:$F$32,2,FALSE),VLOOKUP(R$1,test!$A$3:$F$32,2,FALSE))&lt;test!$K$16,$A53&lt;&gt;R$1,Recharged_Feasible_mat!S22),(VLOOKUP(R$1,test!$A$3:$I$32,8,FALSE))-(VLOOKUP($A53,test!$A$3:$I$32,9,FALSE))+(test!$B$33-50),0)</f>
        <v>0</v>
      </c>
      <c r="S53">
        <f>IF(AND(SUM(VLOOKUP($A53,test!$A$3:$F$32,2,FALSE),VLOOKUP(S$1,test!$A$3:$F$32,2,FALSE))&lt;test!$K$16,$A53&lt;&gt;S$1,Recharged_Feasible_mat!T22),(VLOOKUP(S$1,test!$A$3:$I$32,8,FALSE))-(VLOOKUP($A53,test!$A$3:$I$32,9,FALSE))+(test!$B$33-50),0)</f>
        <v>0</v>
      </c>
      <c r="T53">
        <f>IF(AND(SUM(VLOOKUP($A53,test!$A$3:$F$32,2,FALSE),VLOOKUP(T$1,test!$A$3:$F$32,2,FALSE))&lt;test!$K$16,$A53&lt;&gt;T$1,Recharged_Feasible_mat!U22),(VLOOKUP(T$1,test!$A$3:$I$32,8,FALSE))-(VLOOKUP($A53,test!$A$3:$I$32,9,FALSE))+(test!$B$33-50),0)</f>
        <v>0</v>
      </c>
      <c r="U53">
        <f>IF(AND(SUM(VLOOKUP($A53,test!$A$3:$F$32,2,FALSE),VLOOKUP(U$1,test!$A$3:$F$32,2,FALSE))&lt;test!$K$16,$A53&lt;&gt;U$1,Recharged_Feasible_mat!V22),(VLOOKUP(U$1,test!$A$3:$I$32,8,FALSE))-(VLOOKUP($A53,test!$A$3:$I$32,9,FALSE))+(test!$B$33-50),0)</f>
        <v>0</v>
      </c>
      <c r="V53">
        <f>IF(AND(SUM(VLOOKUP($A53,test!$A$3:$F$32,2,FALSE),VLOOKUP(V$1,test!$A$3:$F$32,2,FALSE))&lt;test!$K$16,$A53&lt;&gt;V$1,Recharged_Feasible_mat!W22),(VLOOKUP(V$1,test!$A$3:$I$32,8,FALSE))-(VLOOKUP($A53,test!$A$3:$I$32,9,FALSE))+(test!$B$33-50),0)</f>
        <v>0</v>
      </c>
      <c r="W53">
        <f>IF(AND(SUM(VLOOKUP($A53,test!$A$3:$F$32,2,FALSE),VLOOKUP(W$1,test!$A$3:$F$32,2,FALSE))&lt;test!$K$16,$A53&lt;&gt;W$1,Recharged_Feasible_mat!X22),(VLOOKUP(W$1,test!$A$3:$I$32,8,FALSE))-(VLOOKUP($A53,test!$A$3:$I$32,9,FALSE))+(test!$B$33-50),0)</f>
        <v>0</v>
      </c>
      <c r="X53">
        <f>IF(AND(SUM(VLOOKUP($A53,test!$A$3:$F$32,2,FALSE),VLOOKUP(X$1,test!$A$3:$F$32,2,FALSE))&lt;test!$K$16,$A53&lt;&gt;X$1,Recharged_Feasible_mat!Y22),(VLOOKUP(X$1,test!$A$3:$I$32,8,FALSE))-(VLOOKUP($A53,test!$A$3:$I$32,9,FALSE))+(test!$B$33-50),0)</f>
        <v>0</v>
      </c>
      <c r="Y53">
        <f>IF(AND(SUM(VLOOKUP($A53,test!$A$3:$F$32,2,FALSE),VLOOKUP(Y$1,test!$A$3:$F$32,2,FALSE))&lt;test!$K$16,$A53&lt;&gt;Y$1,Recharged_Feasible_mat!Z22),(VLOOKUP(Y$1,test!$A$3:$I$32,8,FALSE))-(VLOOKUP($A53,test!$A$3:$I$32,9,FALSE))+(test!$B$33-50),0)</f>
        <v>0</v>
      </c>
      <c r="Z53">
        <f>IF(AND(SUM(VLOOKUP($A53,test!$A$3:$F$32,2,FALSE),VLOOKUP(Z$1,test!$A$3:$F$32,2,FALSE))&lt;test!$K$16,$A53&lt;&gt;Z$1,Recharged_Feasible_mat!AA22),(VLOOKUP(Z$1,test!$A$3:$I$32,8,FALSE))-(VLOOKUP($A53,test!$A$3:$I$32,9,FALSE))+(test!$B$33-50),0)</f>
        <v>0</v>
      </c>
      <c r="AA53">
        <f>IF(AND(SUM(VLOOKUP($A53,test!$A$3:$F$32,2,FALSE),VLOOKUP(AA$1,test!$A$3:$F$32,2,FALSE))&lt;test!$K$16,$A53&lt;&gt;AA$1,Recharged_Feasible_mat!AB22),(VLOOKUP(AA$1,test!$A$3:$I$32,8,FALSE))-(VLOOKUP($A53,test!$A$3:$I$32,9,FALSE))+(test!$B$33-50),0)</f>
        <v>0</v>
      </c>
      <c r="AB53">
        <f>IF(AND(SUM(VLOOKUP($A53,test!$A$3:$F$32,2,FALSE),VLOOKUP(AB$1,test!$A$3:$F$32,2,FALSE))&lt;test!$K$16,$A53&lt;&gt;AB$1,Recharged_Feasible_mat!AC22),(VLOOKUP(AB$1,test!$A$3:$I$32,8,FALSE))-(VLOOKUP($A53,test!$A$3:$I$32,9,FALSE))+(test!$B$33-50),0)</f>
        <v>0</v>
      </c>
      <c r="AC53">
        <f>IF(AND(SUM(VLOOKUP($A53,test!$A$3:$F$32,2,FALSE),VLOOKUP(AC$1,test!$A$3:$F$32,2,FALSE))&lt;test!$K$16,$A53&lt;&gt;AC$1,Recharged_Feasible_mat!AD22),(VLOOKUP(AC$1,test!$A$3:$I$32,8,FALSE))-(VLOOKUP($A53,test!$A$3:$I$32,9,FALSE))+(test!$B$33-50),0)</f>
        <v>0</v>
      </c>
      <c r="AD53">
        <f>IF(AND(SUM(VLOOKUP($A53,test!$A$3:$F$32,2,FALSE),VLOOKUP(AD$1,test!$A$3:$F$32,2,FALSE))&lt;test!$K$16,$A53&lt;&gt;AD$1,Recharged_Feasible_mat!AE22),(VLOOKUP(AD$1,test!$A$3:$I$32,8,FALSE))-(VLOOKUP($A53,test!$A$3:$I$32,9,FALSE))+(test!$B$33-50),0)</f>
        <v>0</v>
      </c>
      <c r="AE53">
        <f>IF(AND(SUM(VLOOKUP($A53,test!$A$3:$F$32,2,FALSE),VLOOKUP(AE$1,test!$A$3:$F$32,2,FALSE))&lt;test!$K$16,$A53&lt;&gt;AE$1,Recharged_Feasible_mat!AF22),(VLOOKUP(AE$1,test!$A$3:$I$32,8,FALSE))-(VLOOKUP($A53,test!$A$3:$I$32,9,FALSE))+(test!$B$33-50),0)</f>
        <v>0</v>
      </c>
      <c r="AF53">
        <f>IF(AND(SUM(VLOOKUP($A53,test!$A$3:$F$32,2,FALSE),VLOOKUP(AF$1,test!$A$3:$F$32,2,FALSE))&lt;test!$K$16,$A53&lt;&gt;AF$1,Recharged_Feasible_mat!AG22),(VLOOKUP(AF$1,test!$A$3:$I$32,8,FALSE))-(VLOOKUP($A53,test!$A$3:$I$32,9,FALSE))+(test!$B$33-50),0)</f>
        <v>0</v>
      </c>
    </row>
    <row r="54" spans="1:32" x14ac:dyDescent="0.25">
      <c r="A54" t="s">
        <v>32</v>
      </c>
      <c r="B54">
        <v>0</v>
      </c>
      <c r="C54">
        <f>IF(AND(SUM(VLOOKUP($A54,test!$A$3:$F$32,2,FALSE),VLOOKUP(C$1,test!$A$3:$F$32,2,FALSE))&lt;test!$K$16,$A54&lt;&gt;C$1,Recharged_Feasible_mat!D23),(VLOOKUP(C$1,test!$A$3:$I$32,8,FALSE))-(VLOOKUP($A54,test!$A$3:$I$32,9,FALSE))+(test!$B$33-50),0)</f>
        <v>0</v>
      </c>
      <c r="D54">
        <f>IF(AND(SUM(VLOOKUP($A54,test!$A$3:$F$32,2,FALSE),VLOOKUP(D$1,test!$A$3:$F$32,2,FALSE))&lt;test!$K$16,$A54&lt;&gt;D$1,Recharged_Feasible_mat!E23),(VLOOKUP(D$1,test!$A$3:$I$32,8,FALSE))-(VLOOKUP($A54,test!$A$3:$I$32,9,FALSE))+(test!$B$33-50),0)</f>
        <v>0</v>
      </c>
      <c r="E54">
        <f>IF(AND(SUM(VLOOKUP($A54,test!$A$3:$F$32,2,FALSE),VLOOKUP(E$1,test!$A$3:$F$32,2,FALSE))&lt;test!$K$16,$A54&lt;&gt;E$1,Recharged_Feasible_mat!F23),(VLOOKUP(E$1,test!$A$3:$I$32,8,FALSE))-(VLOOKUP($A54,test!$A$3:$I$32,9,FALSE))+(test!$B$33-50),0)</f>
        <v>0</v>
      </c>
      <c r="F54">
        <f>IF(AND(SUM(VLOOKUP($A54,test!$A$3:$F$32,2,FALSE),VLOOKUP(F$1,test!$A$3:$F$32,2,FALSE))&lt;test!$K$16,$A54&lt;&gt;F$1,Recharged_Feasible_mat!G23),(VLOOKUP(F$1,test!$A$3:$I$32,8,FALSE))-(VLOOKUP($A54,test!$A$3:$I$32,9,FALSE))+(test!$B$33-50),0)</f>
        <v>0</v>
      </c>
      <c r="G54">
        <f>IF(AND(SUM(VLOOKUP($A54,test!$A$3:$F$32,2,FALSE),VLOOKUP(G$1,test!$A$3:$F$32,2,FALSE))&lt;test!$K$16,$A54&lt;&gt;G$1,Recharged_Feasible_mat!H23),(VLOOKUP(G$1,test!$A$3:$I$32,8,FALSE))-(VLOOKUP($A54,test!$A$3:$I$32,9,FALSE))+(test!$B$33-50),0)</f>
        <v>0</v>
      </c>
      <c r="H54">
        <f>IF(AND(SUM(VLOOKUP($A54,test!$A$3:$F$32,2,FALSE),VLOOKUP(H$1,test!$A$3:$F$32,2,FALSE))&lt;test!$K$16,$A54&lt;&gt;H$1,Recharged_Feasible_mat!I23),(VLOOKUP(H$1,test!$A$3:$I$32,8,FALSE))-(VLOOKUP($A54,test!$A$3:$I$32,9,FALSE))+(test!$B$33-50),0)</f>
        <v>0</v>
      </c>
      <c r="I54">
        <f>IF(AND(SUM(VLOOKUP($A54,test!$A$3:$F$32,2,FALSE),VLOOKUP(I$1,test!$A$3:$F$32,2,FALSE))&lt;test!$K$16,$A54&lt;&gt;I$1,Recharged_Feasible_mat!J23),(VLOOKUP(I$1,test!$A$3:$I$32,8,FALSE))-(VLOOKUP($A54,test!$A$3:$I$32,9,FALSE))+(test!$B$33-50),0)</f>
        <v>0</v>
      </c>
      <c r="J54">
        <f>IF(AND(SUM(VLOOKUP($A54,test!$A$3:$F$32,2,FALSE),VLOOKUP(J$1,test!$A$3:$F$32,2,FALSE))&lt;test!$K$16,$A54&lt;&gt;J$1,Recharged_Feasible_mat!K23),(VLOOKUP(J$1,test!$A$3:$I$32,8,FALSE))-(VLOOKUP($A54,test!$A$3:$I$32,9,FALSE))+(test!$B$33-50),0)</f>
        <v>0</v>
      </c>
      <c r="K54">
        <f>IF(AND(SUM(VLOOKUP($A54,test!$A$3:$F$32,2,FALSE),VLOOKUP(K$1,test!$A$3:$F$32,2,FALSE))&lt;test!$K$16,$A54&lt;&gt;K$1,Recharged_Feasible_mat!L23),(VLOOKUP(K$1,test!$A$3:$I$32,8,FALSE))-(VLOOKUP($A54,test!$A$3:$I$32,9,FALSE))+(test!$B$33-50),0)</f>
        <v>0</v>
      </c>
      <c r="L54">
        <f>IF(AND(SUM(VLOOKUP($A54,test!$A$3:$F$32,2,FALSE),VLOOKUP(L$1,test!$A$3:$F$32,2,FALSE))&lt;test!$K$16,$A54&lt;&gt;L$1,Recharged_Feasible_mat!M23),(VLOOKUP(L$1,test!$A$3:$I$32,8,FALSE))-(VLOOKUP($A54,test!$A$3:$I$32,9,FALSE))+(test!$B$33-50),0)</f>
        <v>0</v>
      </c>
      <c r="M54">
        <f>IF(AND(SUM(VLOOKUP($A54,test!$A$3:$F$32,2,FALSE),VLOOKUP(M$1,test!$A$3:$F$32,2,FALSE))&lt;test!$K$16,$A54&lt;&gt;M$1,Recharged_Feasible_mat!N23),(VLOOKUP(M$1,test!$A$3:$I$32,8,FALSE))-(VLOOKUP($A54,test!$A$3:$I$32,9,FALSE))+(test!$B$33-50),0)</f>
        <v>0</v>
      </c>
      <c r="N54">
        <f>IF(AND(SUM(VLOOKUP($A54,test!$A$3:$F$32,2,FALSE),VLOOKUP(N$1,test!$A$3:$F$32,2,FALSE))&lt;test!$K$16,$A54&lt;&gt;N$1,Recharged_Feasible_mat!O23),(VLOOKUP(N$1,test!$A$3:$I$32,8,FALSE))-(VLOOKUP($A54,test!$A$3:$I$32,9,FALSE))+(test!$B$33-50),0)</f>
        <v>0</v>
      </c>
      <c r="O54">
        <f>IF(AND(SUM(VLOOKUP($A54,test!$A$3:$F$32,2,FALSE),VLOOKUP(O$1,test!$A$3:$F$32,2,FALSE))&lt;test!$K$16,$A54&lt;&gt;O$1,Recharged_Feasible_mat!P23),(VLOOKUP(O$1,test!$A$3:$I$32,8,FALSE))-(VLOOKUP($A54,test!$A$3:$I$32,9,FALSE))+(test!$B$33-50),0)</f>
        <v>0</v>
      </c>
      <c r="P54">
        <f>IF(AND(SUM(VLOOKUP($A54,test!$A$3:$F$32,2,FALSE),VLOOKUP(P$1,test!$A$3:$F$32,2,FALSE))&lt;test!$K$16,$A54&lt;&gt;P$1,Recharged_Feasible_mat!Q23),(VLOOKUP(P$1,test!$A$3:$I$32,8,FALSE))-(VLOOKUP($A54,test!$A$3:$I$32,9,FALSE))+(test!$B$33-50),0)</f>
        <v>0</v>
      </c>
      <c r="Q54">
        <f>IF(AND(SUM(VLOOKUP($A54,test!$A$3:$F$32,2,FALSE),VLOOKUP(Q$1,test!$A$3:$F$32,2,FALSE))&lt;test!$K$16,$A54&lt;&gt;Q$1,Recharged_Feasible_mat!R23),(VLOOKUP(Q$1,test!$A$3:$I$32,8,FALSE))-(VLOOKUP($A54,test!$A$3:$I$32,9,FALSE))+(test!$B$33-50),0)</f>
        <v>0</v>
      </c>
      <c r="R54">
        <f>IF(AND(SUM(VLOOKUP($A54,test!$A$3:$F$32,2,FALSE),VLOOKUP(R$1,test!$A$3:$F$32,2,FALSE))&lt;test!$K$16,$A54&lt;&gt;R$1,Recharged_Feasible_mat!S23),(VLOOKUP(R$1,test!$A$3:$I$32,8,FALSE))-(VLOOKUP($A54,test!$A$3:$I$32,9,FALSE))+(test!$B$33-50),0)</f>
        <v>0</v>
      </c>
      <c r="S54">
        <f>IF(AND(SUM(VLOOKUP($A54,test!$A$3:$F$32,2,FALSE),VLOOKUP(S$1,test!$A$3:$F$32,2,FALSE))&lt;test!$K$16,$A54&lt;&gt;S$1,Recharged_Feasible_mat!T23),(VLOOKUP(S$1,test!$A$3:$I$32,8,FALSE))-(VLOOKUP($A54,test!$A$3:$I$32,9,FALSE))+(test!$B$33-50),0)</f>
        <v>0</v>
      </c>
      <c r="T54">
        <f>IF(AND(SUM(VLOOKUP($A54,test!$A$3:$F$32,2,FALSE),VLOOKUP(T$1,test!$A$3:$F$32,2,FALSE))&lt;test!$K$16,$A54&lt;&gt;T$1,Recharged_Feasible_mat!U23),(VLOOKUP(T$1,test!$A$3:$I$32,8,FALSE))-(VLOOKUP($A54,test!$A$3:$I$32,9,FALSE))+(test!$B$33-50),0)</f>
        <v>0</v>
      </c>
      <c r="U54">
        <f>IF(AND(SUM(VLOOKUP($A54,test!$A$3:$F$32,2,FALSE),VLOOKUP(U$1,test!$A$3:$F$32,2,FALSE))&lt;test!$K$16,$A54&lt;&gt;U$1,Recharged_Feasible_mat!V23),(VLOOKUP(U$1,test!$A$3:$I$32,8,FALSE))-(VLOOKUP($A54,test!$A$3:$I$32,9,FALSE))+(test!$B$33-50),0)</f>
        <v>0</v>
      </c>
      <c r="V54">
        <f>IF(AND(SUM(VLOOKUP($A54,test!$A$3:$F$32,2,FALSE),VLOOKUP(V$1,test!$A$3:$F$32,2,FALSE))&lt;test!$K$16,$A54&lt;&gt;V$1,Recharged_Feasible_mat!W23),(VLOOKUP(V$1,test!$A$3:$I$32,8,FALSE))-(VLOOKUP($A54,test!$A$3:$I$32,9,FALSE))+(test!$B$33-50),0)</f>
        <v>0</v>
      </c>
      <c r="W54">
        <f>IF(AND(SUM(VLOOKUP($A54,test!$A$3:$F$32,2,FALSE),VLOOKUP(W$1,test!$A$3:$F$32,2,FALSE))&lt;test!$K$16,$A54&lt;&gt;W$1,Recharged_Feasible_mat!X23),(VLOOKUP(W$1,test!$A$3:$I$32,8,FALSE))-(VLOOKUP($A54,test!$A$3:$I$32,9,FALSE))+(test!$B$33-50),0)</f>
        <v>0</v>
      </c>
      <c r="X54">
        <f>IF(AND(SUM(VLOOKUP($A54,test!$A$3:$F$32,2,FALSE),VLOOKUP(X$1,test!$A$3:$F$32,2,FALSE))&lt;test!$K$16,$A54&lt;&gt;X$1,Recharged_Feasible_mat!Y23),(VLOOKUP(X$1,test!$A$3:$I$32,8,FALSE))-(VLOOKUP($A54,test!$A$3:$I$32,9,FALSE))+(test!$B$33-50),0)</f>
        <v>0</v>
      </c>
      <c r="Y54">
        <f>IF(AND(SUM(VLOOKUP($A54,test!$A$3:$F$32,2,FALSE),VLOOKUP(Y$1,test!$A$3:$F$32,2,FALSE))&lt;test!$K$16,$A54&lt;&gt;Y$1,Recharged_Feasible_mat!Z23),(VLOOKUP(Y$1,test!$A$3:$I$32,8,FALSE))-(VLOOKUP($A54,test!$A$3:$I$32,9,FALSE))+(test!$B$33-50),0)</f>
        <v>0</v>
      </c>
      <c r="Z54">
        <f>IF(AND(SUM(VLOOKUP($A54,test!$A$3:$F$32,2,FALSE),VLOOKUP(Z$1,test!$A$3:$F$32,2,FALSE))&lt;test!$K$16,$A54&lt;&gt;Z$1,Recharged_Feasible_mat!AA23),(VLOOKUP(Z$1,test!$A$3:$I$32,8,FALSE))-(VLOOKUP($A54,test!$A$3:$I$32,9,FALSE))+(test!$B$33-50),0)</f>
        <v>0</v>
      </c>
      <c r="AA54">
        <f>IF(AND(SUM(VLOOKUP($A54,test!$A$3:$F$32,2,FALSE),VLOOKUP(AA$1,test!$A$3:$F$32,2,FALSE))&lt;test!$K$16,$A54&lt;&gt;AA$1,Recharged_Feasible_mat!AB23),(VLOOKUP(AA$1,test!$A$3:$I$32,8,FALSE))-(VLOOKUP($A54,test!$A$3:$I$32,9,FALSE))+(test!$B$33-50),0)</f>
        <v>0</v>
      </c>
      <c r="AB54">
        <f>IF(AND(SUM(VLOOKUP($A54,test!$A$3:$F$32,2,FALSE),VLOOKUP(AB$1,test!$A$3:$F$32,2,FALSE))&lt;test!$K$16,$A54&lt;&gt;AB$1,Recharged_Feasible_mat!AC23),(VLOOKUP(AB$1,test!$A$3:$I$32,8,FALSE))-(VLOOKUP($A54,test!$A$3:$I$32,9,FALSE))+(test!$B$33-50),0)</f>
        <v>0</v>
      </c>
      <c r="AC54">
        <f>IF(AND(SUM(VLOOKUP($A54,test!$A$3:$F$32,2,FALSE),VLOOKUP(AC$1,test!$A$3:$F$32,2,FALSE))&lt;test!$K$16,$A54&lt;&gt;AC$1,Recharged_Feasible_mat!AD23),(VLOOKUP(AC$1,test!$A$3:$I$32,8,FALSE))-(VLOOKUP($A54,test!$A$3:$I$32,9,FALSE))+(test!$B$33-50),0)</f>
        <v>0</v>
      </c>
      <c r="AD54">
        <f>IF(AND(SUM(VLOOKUP($A54,test!$A$3:$F$32,2,FALSE),VLOOKUP(AD$1,test!$A$3:$F$32,2,FALSE))&lt;test!$K$16,$A54&lt;&gt;AD$1,Recharged_Feasible_mat!AE23),(VLOOKUP(AD$1,test!$A$3:$I$32,8,FALSE))-(VLOOKUP($A54,test!$A$3:$I$32,9,FALSE))+(test!$B$33-50),0)</f>
        <v>0</v>
      </c>
      <c r="AE54">
        <f>IF(AND(SUM(VLOOKUP($A54,test!$A$3:$F$32,2,FALSE),VLOOKUP(AE$1,test!$A$3:$F$32,2,FALSE))&lt;test!$K$16,$A54&lt;&gt;AE$1,Recharged_Feasible_mat!AF23),(VLOOKUP(AE$1,test!$A$3:$I$32,8,FALSE))-(VLOOKUP($A54,test!$A$3:$I$32,9,FALSE))+(test!$B$33-50),0)</f>
        <v>0</v>
      </c>
      <c r="AF54">
        <f>IF(AND(SUM(VLOOKUP($A54,test!$A$3:$F$32,2,FALSE),VLOOKUP(AF$1,test!$A$3:$F$32,2,FALSE))&lt;test!$K$16,$A54&lt;&gt;AF$1,Recharged_Feasible_mat!AG23),(VLOOKUP(AF$1,test!$A$3:$I$32,8,FALSE))-(VLOOKUP($A54,test!$A$3:$I$32,9,FALSE))+(test!$B$33-50),0)</f>
        <v>0</v>
      </c>
    </row>
    <row r="55" spans="1:32" x14ac:dyDescent="0.25">
      <c r="A55" t="s">
        <v>33</v>
      </c>
      <c r="B55">
        <v>0</v>
      </c>
      <c r="C55">
        <f>IF(AND(SUM(VLOOKUP($A55,test!$A$3:$F$32,2,FALSE),VLOOKUP(C$1,test!$A$3:$F$32,2,FALSE))&lt;test!$K$16,$A55&lt;&gt;C$1,Recharged_Feasible_mat!D24),(VLOOKUP(C$1,test!$A$3:$I$32,8,FALSE))-(VLOOKUP($A55,test!$A$3:$I$32,9,FALSE))+(test!$B$33-50),0)</f>
        <v>0</v>
      </c>
      <c r="D55">
        <f>IF(AND(SUM(VLOOKUP($A55,test!$A$3:$F$32,2,FALSE),VLOOKUP(D$1,test!$A$3:$F$32,2,FALSE))&lt;test!$K$16,$A55&lt;&gt;D$1,Recharged_Feasible_mat!E24),(VLOOKUP(D$1,test!$A$3:$I$32,8,FALSE))-(VLOOKUP($A55,test!$A$3:$I$32,9,FALSE))+(test!$B$33-50),0)</f>
        <v>0</v>
      </c>
      <c r="E55">
        <f>IF(AND(SUM(VLOOKUP($A55,test!$A$3:$F$32,2,FALSE),VLOOKUP(E$1,test!$A$3:$F$32,2,FALSE))&lt;test!$K$16,$A55&lt;&gt;E$1,Recharged_Feasible_mat!F24),(VLOOKUP(E$1,test!$A$3:$I$32,8,FALSE))-(VLOOKUP($A55,test!$A$3:$I$32,9,FALSE))+(test!$B$33-50),0)</f>
        <v>0</v>
      </c>
      <c r="F55">
        <f>IF(AND(SUM(VLOOKUP($A55,test!$A$3:$F$32,2,FALSE),VLOOKUP(F$1,test!$A$3:$F$32,2,FALSE))&lt;test!$K$16,$A55&lt;&gt;F$1,Recharged_Feasible_mat!G24),(VLOOKUP(F$1,test!$A$3:$I$32,8,FALSE))-(VLOOKUP($A55,test!$A$3:$I$32,9,FALSE))+(test!$B$33-50),0)</f>
        <v>0</v>
      </c>
      <c r="G55">
        <f>IF(AND(SUM(VLOOKUP($A55,test!$A$3:$F$32,2,FALSE),VLOOKUP(G$1,test!$A$3:$F$32,2,FALSE))&lt;test!$K$16,$A55&lt;&gt;G$1,Recharged_Feasible_mat!H24),(VLOOKUP(G$1,test!$A$3:$I$32,8,FALSE))-(VLOOKUP($A55,test!$A$3:$I$32,9,FALSE))+(test!$B$33-50),0)</f>
        <v>0</v>
      </c>
      <c r="H55">
        <f>IF(AND(SUM(VLOOKUP($A55,test!$A$3:$F$32,2,FALSE),VLOOKUP(H$1,test!$A$3:$F$32,2,FALSE))&lt;test!$K$16,$A55&lt;&gt;H$1,Recharged_Feasible_mat!I24),(VLOOKUP(H$1,test!$A$3:$I$32,8,FALSE))-(VLOOKUP($A55,test!$A$3:$I$32,9,FALSE))+(test!$B$33-50),0)</f>
        <v>0</v>
      </c>
      <c r="I55">
        <f>IF(AND(SUM(VLOOKUP($A55,test!$A$3:$F$32,2,FALSE),VLOOKUP(I$1,test!$A$3:$F$32,2,FALSE))&lt;test!$K$16,$A55&lt;&gt;I$1,Recharged_Feasible_mat!J24),(VLOOKUP(I$1,test!$A$3:$I$32,8,FALSE))-(VLOOKUP($A55,test!$A$3:$I$32,9,FALSE))+(test!$B$33-50),0)</f>
        <v>0</v>
      </c>
      <c r="J55">
        <f>IF(AND(SUM(VLOOKUP($A55,test!$A$3:$F$32,2,FALSE),VLOOKUP(J$1,test!$A$3:$F$32,2,FALSE))&lt;test!$K$16,$A55&lt;&gt;J$1,Recharged_Feasible_mat!K24),(VLOOKUP(J$1,test!$A$3:$I$32,8,FALSE))-(VLOOKUP($A55,test!$A$3:$I$32,9,FALSE))+(test!$B$33-50),0)</f>
        <v>0</v>
      </c>
      <c r="K55">
        <f>IF(AND(SUM(VLOOKUP($A55,test!$A$3:$F$32,2,FALSE),VLOOKUP(K$1,test!$A$3:$F$32,2,FALSE))&lt;test!$K$16,$A55&lt;&gt;K$1,Recharged_Feasible_mat!L24),(VLOOKUP(K$1,test!$A$3:$I$32,8,FALSE))-(VLOOKUP($A55,test!$A$3:$I$32,9,FALSE))+(test!$B$33-50),0)</f>
        <v>0</v>
      </c>
      <c r="L55">
        <f>IF(AND(SUM(VLOOKUP($A55,test!$A$3:$F$32,2,FALSE),VLOOKUP(L$1,test!$A$3:$F$32,2,FALSE))&lt;test!$K$16,$A55&lt;&gt;L$1,Recharged_Feasible_mat!M24),(VLOOKUP(L$1,test!$A$3:$I$32,8,FALSE))-(VLOOKUP($A55,test!$A$3:$I$32,9,FALSE))+(test!$B$33-50),0)</f>
        <v>0</v>
      </c>
      <c r="M55">
        <f>IF(AND(SUM(VLOOKUP($A55,test!$A$3:$F$32,2,FALSE),VLOOKUP(M$1,test!$A$3:$F$32,2,FALSE))&lt;test!$K$16,$A55&lt;&gt;M$1,Recharged_Feasible_mat!N24),(VLOOKUP(M$1,test!$A$3:$I$32,8,FALSE))-(VLOOKUP($A55,test!$A$3:$I$32,9,FALSE))+(test!$B$33-50),0)</f>
        <v>0</v>
      </c>
      <c r="N55">
        <f>IF(AND(SUM(VLOOKUP($A55,test!$A$3:$F$32,2,FALSE),VLOOKUP(N$1,test!$A$3:$F$32,2,FALSE))&lt;test!$K$16,$A55&lt;&gt;N$1,Recharged_Feasible_mat!O24),(VLOOKUP(N$1,test!$A$3:$I$32,8,FALSE))-(VLOOKUP($A55,test!$A$3:$I$32,9,FALSE))+(test!$B$33-50),0)</f>
        <v>0</v>
      </c>
      <c r="O55">
        <f>IF(AND(SUM(VLOOKUP($A55,test!$A$3:$F$32,2,FALSE),VLOOKUP(O$1,test!$A$3:$F$32,2,FALSE))&lt;test!$K$16,$A55&lt;&gt;O$1,Recharged_Feasible_mat!P24),(VLOOKUP(O$1,test!$A$3:$I$32,8,FALSE))-(VLOOKUP($A55,test!$A$3:$I$32,9,FALSE))+(test!$B$33-50),0)</f>
        <v>0</v>
      </c>
      <c r="P55">
        <f>IF(AND(SUM(VLOOKUP($A55,test!$A$3:$F$32,2,FALSE),VLOOKUP(P$1,test!$A$3:$F$32,2,FALSE))&lt;test!$K$16,$A55&lt;&gt;P$1,Recharged_Feasible_mat!Q24),(VLOOKUP(P$1,test!$A$3:$I$32,8,FALSE))-(VLOOKUP($A55,test!$A$3:$I$32,9,FALSE))+(test!$B$33-50),0)</f>
        <v>0</v>
      </c>
      <c r="Q55">
        <f>IF(AND(SUM(VLOOKUP($A55,test!$A$3:$F$32,2,FALSE),VLOOKUP(Q$1,test!$A$3:$F$32,2,FALSE))&lt;test!$K$16,$A55&lt;&gt;Q$1,Recharged_Feasible_mat!R24),(VLOOKUP(Q$1,test!$A$3:$I$32,8,FALSE))-(VLOOKUP($A55,test!$A$3:$I$32,9,FALSE))+(test!$B$33-50),0)</f>
        <v>0</v>
      </c>
      <c r="R55">
        <f>IF(AND(SUM(VLOOKUP($A55,test!$A$3:$F$32,2,FALSE),VLOOKUP(R$1,test!$A$3:$F$32,2,FALSE))&lt;test!$K$16,$A55&lt;&gt;R$1,Recharged_Feasible_mat!S24),(VLOOKUP(R$1,test!$A$3:$I$32,8,FALSE))-(VLOOKUP($A55,test!$A$3:$I$32,9,FALSE))+(test!$B$33-50),0)</f>
        <v>0</v>
      </c>
      <c r="S55">
        <f>IF(AND(SUM(VLOOKUP($A55,test!$A$3:$F$32,2,FALSE),VLOOKUP(S$1,test!$A$3:$F$32,2,FALSE))&lt;test!$K$16,$A55&lt;&gt;S$1,Recharged_Feasible_mat!T24),(VLOOKUP(S$1,test!$A$3:$I$32,8,FALSE))-(VLOOKUP($A55,test!$A$3:$I$32,9,FALSE))+(test!$B$33-50),0)</f>
        <v>0</v>
      </c>
      <c r="T55">
        <f>IF(AND(SUM(VLOOKUP($A55,test!$A$3:$F$32,2,FALSE),VLOOKUP(T$1,test!$A$3:$F$32,2,FALSE))&lt;test!$K$16,$A55&lt;&gt;T$1,Recharged_Feasible_mat!U24),(VLOOKUP(T$1,test!$A$3:$I$32,8,FALSE))-(VLOOKUP($A55,test!$A$3:$I$32,9,FALSE))+(test!$B$33-50),0)</f>
        <v>0</v>
      </c>
      <c r="U55">
        <f>IF(AND(SUM(VLOOKUP($A55,test!$A$3:$F$32,2,FALSE),VLOOKUP(U$1,test!$A$3:$F$32,2,FALSE))&lt;test!$K$16,$A55&lt;&gt;U$1,Recharged_Feasible_mat!V24),(VLOOKUP(U$1,test!$A$3:$I$32,8,FALSE))-(VLOOKUP($A55,test!$A$3:$I$32,9,FALSE))+(test!$B$33-50),0)</f>
        <v>0</v>
      </c>
      <c r="V55">
        <f>IF(AND(SUM(VLOOKUP($A55,test!$A$3:$F$32,2,FALSE),VLOOKUP(V$1,test!$A$3:$F$32,2,FALSE))&lt;test!$K$16,$A55&lt;&gt;V$1,Recharged_Feasible_mat!W24),(VLOOKUP(V$1,test!$A$3:$I$32,8,FALSE))-(VLOOKUP($A55,test!$A$3:$I$32,9,FALSE))+(test!$B$33-50),0)</f>
        <v>0</v>
      </c>
      <c r="W55">
        <f>IF(AND(SUM(VLOOKUP($A55,test!$A$3:$F$32,2,FALSE),VLOOKUP(W$1,test!$A$3:$F$32,2,FALSE))&lt;test!$K$16,$A55&lt;&gt;W$1,Recharged_Feasible_mat!X24),(VLOOKUP(W$1,test!$A$3:$I$32,8,FALSE))-(VLOOKUP($A55,test!$A$3:$I$32,9,FALSE))+(test!$B$33-50),0)</f>
        <v>0</v>
      </c>
      <c r="X55">
        <f>IF(AND(SUM(VLOOKUP($A55,test!$A$3:$F$32,2,FALSE),VLOOKUP(X$1,test!$A$3:$F$32,2,FALSE))&lt;test!$K$16,$A55&lt;&gt;X$1,Recharged_Feasible_mat!Y24),(VLOOKUP(X$1,test!$A$3:$I$32,8,FALSE))-(VLOOKUP($A55,test!$A$3:$I$32,9,FALSE))+(test!$B$33-50),0)</f>
        <v>0</v>
      </c>
      <c r="Y55">
        <f>IF(AND(SUM(VLOOKUP($A55,test!$A$3:$F$32,2,FALSE),VLOOKUP(Y$1,test!$A$3:$F$32,2,FALSE))&lt;test!$K$16,$A55&lt;&gt;Y$1,Recharged_Feasible_mat!Z24),(VLOOKUP(Y$1,test!$A$3:$I$32,8,FALSE))-(VLOOKUP($A55,test!$A$3:$I$32,9,FALSE))+(test!$B$33-50),0)</f>
        <v>0</v>
      </c>
      <c r="Z55">
        <f>IF(AND(SUM(VLOOKUP($A55,test!$A$3:$F$32,2,FALSE),VLOOKUP(Z$1,test!$A$3:$F$32,2,FALSE))&lt;test!$K$16,$A55&lt;&gt;Z$1,Recharged_Feasible_mat!AA24),(VLOOKUP(Z$1,test!$A$3:$I$32,8,FALSE))-(VLOOKUP($A55,test!$A$3:$I$32,9,FALSE))+(test!$B$33-50),0)</f>
        <v>0</v>
      </c>
      <c r="AA55">
        <f>IF(AND(SUM(VLOOKUP($A55,test!$A$3:$F$32,2,FALSE),VLOOKUP(AA$1,test!$A$3:$F$32,2,FALSE))&lt;test!$K$16,$A55&lt;&gt;AA$1,Recharged_Feasible_mat!AB24),(VLOOKUP(AA$1,test!$A$3:$I$32,8,FALSE))-(VLOOKUP($A55,test!$A$3:$I$32,9,FALSE))+(test!$B$33-50),0)</f>
        <v>0</v>
      </c>
      <c r="AB55">
        <f>IF(AND(SUM(VLOOKUP($A55,test!$A$3:$F$32,2,FALSE),VLOOKUP(AB$1,test!$A$3:$F$32,2,FALSE))&lt;test!$K$16,$A55&lt;&gt;AB$1,Recharged_Feasible_mat!AC24),(VLOOKUP(AB$1,test!$A$3:$I$32,8,FALSE))-(VLOOKUP($A55,test!$A$3:$I$32,9,FALSE))+(test!$B$33-50),0)</f>
        <v>0</v>
      </c>
      <c r="AC55">
        <f>IF(AND(SUM(VLOOKUP($A55,test!$A$3:$F$32,2,FALSE),VLOOKUP(AC$1,test!$A$3:$F$32,2,FALSE))&lt;test!$K$16,$A55&lt;&gt;AC$1,Recharged_Feasible_mat!AD24),(VLOOKUP(AC$1,test!$A$3:$I$32,8,FALSE))-(VLOOKUP($A55,test!$A$3:$I$32,9,FALSE))+(test!$B$33-50),0)</f>
        <v>0</v>
      </c>
      <c r="AD55">
        <f>IF(AND(SUM(VLOOKUP($A55,test!$A$3:$F$32,2,FALSE),VLOOKUP(AD$1,test!$A$3:$F$32,2,FALSE))&lt;test!$K$16,$A55&lt;&gt;AD$1,Recharged_Feasible_mat!AE24),(VLOOKUP(AD$1,test!$A$3:$I$32,8,FALSE))-(VLOOKUP($A55,test!$A$3:$I$32,9,FALSE))+(test!$B$33-50),0)</f>
        <v>0</v>
      </c>
      <c r="AE55">
        <f>IF(AND(SUM(VLOOKUP($A55,test!$A$3:$F$32,2,FALSE),VLOOKUP(AE$1,test!$A$3:$F$32,2,FALSE))&lt;test!$K$16,$A55&lt;&gt;AE$1,Recharged_Feasible_mat!AF24),(VLOOKUP(AE$1,test!$A$3:$I$32,8,FALSE))-(VLOOKUP($A55,test!$A$3:$I$32,9,FALSE))+(test!$B$33-50),0)</f>
        <v>0</v>
      </c>
      <c r="AF55">
        <f>IF(AND(SUM(VLOOKUP($A55,test!$A$3:$F$32,2,FALSE),VLOOKUP(AF$1,test!$A$3:$F$32,2,FALSE))&lt;test!$K$16,$A55&lt;&gt;AF$1,Recharged_Feasible_mat!AG24),(VLOOKUP(AF$1,test!$A$3:$I$32,8,FALSE))-(VLOOKUP($A55,test!$A$3:$I$32,9,FALSE))+(test!$B$33-50),0)</f>
        <v>0</v>
      </c>
    </row>
    <row r="56" spans="1:32" x14ac:dyDescent="0.25">
      <c r="A56" t="s">
        <v>34</v>
      </c>
      <c r="B56">
        <v>0</v>
      </c>
      <c r="C56">
        <f>IF(AND(SUM(VLOOKUP($A56,test!$A$3:$F$32,2,FALSE),VLOOKUP(C$1,test!$A$3:$F$32,2,FALSE))&lt;test!$K$16,$A56&lt;&gt;C$1,Recharged_Feasible_mat!D25),(VLOOKUP(C$1,test!$A$3:$I$32,8,FALSE))-(VLOOKUP($A56,test!$A$3:$I$32,9,FALSE))+(test!$B$33-50),0)</f>
        <v>0</v>
      </c>
      <c r="D56">
        <f>IF(AND(SUM(VLOOKUP($A56,test!$A$3:$F$32,2,FALSE),VLOOKUP(D$1,test!$A$3:$F$32,2,FALSE))&lt;test!$K$16,$A56&lt;&gt;D$1,Recharged_Feasible_mat!E25),(VLOOKUP(D$1,test!$A$3:$I$32,8,FALSE))-(VLOOKUP($A56,test!$A$3:$I$32,9,FALSE))+(test!$B$33-50),0)</f>
        <v>0</v>
      </c>
      <c r="E56">
        <f>IF(AND(SUM(VLOOKUP($A56,test!$A$3:$F$32,2,FALSE),VLOOKUP(E$1,test!$A$3:$F$32,2,FALSE))&lt;test!$K$16,$A56&lt;&gt;E$1,Recharged_Feasible_mat!F25),(VLOOKUP(E$1,test!$A$3:$I$32,8,FALSE))-(VLOOKUP($A56,test!$A$3:$I$32,9,FALSE))+(test!$B$33-50),0)</f>
        <v>120</v>
      </c>
      <c r="F56">
        <f>IF(AND(SUM(VLOOKUP($A56,test!$A$3:$F$32,2,FALSE),VLOOKUP(F$1,test!$A$3:$F$32,2,FALSE))&lt;test!$K$16,$A56&lt;&gt;F$1,Recharged_Feasible_mat!G25),(VLOOKUP(F$1,test!$A$3:$I$32,8,FALSE))-(VLOOKUP($A56,test!$A$3:$I$32,9,FALSE))+(test!$B$33-50),0)</f>
        <v>210</v>
      </c>
      <c r="G56">
        <f>IF(AND(SUM(VLOOKUP($A56,test!$A$3:$F$32,2,FALSE),VLOOKUP(G$1,test!$A$3:$F$32,2,FALSE))&lt;test!$K$16,$A56&lt;&gt;G$1,Recharged_Feasible_mat!H25),(VLOOKUP(G$1,test!$A$3:$I$32,8,FALSE))-(VLOOKUP($A56,test!$A$3:$I$32,9,FALSE))+(test!$B$33-50),0)</f>
        <v>270</v>
      </c>
      <c r="H56">
        <f>IF(AND(SUM(VLOOKUP($A56,test!$A$3:$F$32,2,FALSE),VLOOKUP(H$1,test!$A$3:$F$32,2,FALSE))&lt;test!$K$16,$A56&lt;&gt;H$1,Recharged_Feasible_mat!I25),(VLOOKUP(H$1,test!$A$3:$I$32,8,FALSE))-(VLOOKUP($A56,test!$A$3:$I$32,9,FALSE))+(test!$B$33-50),0)</f>
        <v>330</v>
      </c>
      <c r="I56">
        <f>IF(AND(SUM(VLOOKUP($A56,test!$A$3:$F$32,2,FALSE),VLOOKUP(I$1,test!$A$3:$F$32,2,FALSE))&lt;test!$K$16,$A56&lt;&gt;I$1,Recharged_Feasible_mat!J25),(VLOOKUP(I$1,test!$A$3:$I$32,8,FALSE))-(VLOOKUP($A56,test!$A$3:$I$32,9,FALSE))+(test!$B$33-50),0)</f>
        <v>390</v>
      </c>
      <c r="J56">
        <f>IF(AND(SUM(VLOOKUP($A56,test!$A$3:$F$32,2,FALSE),VLOOKUP(J$1,test!$A$3:$F$32,2,FALSE))&lt;test!$K$16,$A56&lt;&gt;J$1,Recharged_Feasible_mat!K25),(VLOOKUP(J$1,test!$A$3:$I$32,8,FALSE))-(VLOOKUP($A56,test!$A$3:$I$32,9,FALSE))+(test!$B$33-50),0)</f>
        <v>480</v>
      </c>
      <c r="K56">
        <f>IF(AND(SUM(VLOOKUP($A56,test!$A$3:$F$32,2,FALSE),VLOOKUP(K$1,test!$A$3:$F$32,2,FALSE))&lt;test!$K$16,$A56&lt;&gt;K$1,Recharged_Feasible_mat!L25),(VLOOKUP(K$1,test!$A$3:$I$32,8,FALSE))-(VLOOKUP($A56,test!$A$3:$I$32,9,FALSE))+(test!$B$33-50),0)</f>
        <v>0</v>
      </c>
      <c r="L56">
        <f>IF(AND(SUM(VLOOKUP($A56,test!$A$3:$F$32,2,FALSE),VLOOKUP(L$1,test!$A$3:$F$32,2,FALSE))&lt;test!$K$16,$A56&lt;&gt;L$1,Recharged_Feasible_mat!M25),(VLOOKUP(L$1,test!$A$3:$I$32,8,FALSE))-(VLOOKUP($A56,test!$A$3:$I$32,9,FALSE))+(test!$B$33-50),0)</f>
        <v>0</v>
      </c>
      <c r="M56">
        <f>IF(AND(SUM(VLOOKUP($A56,test!$A$3:$F$32,2,FALSE),VLOOKUP(M$1,test!$A$3:$F$32,2,FALSE))&lt;test!$K$16,$A56&lt;&gt;M$1,Recharged_Feasible_mat!N25),(VLOOKUP(M$1,test!$A$3:$I$32,8,FALSE))-(VLOOKUP($A56,test!$A$3:$I$32,9,FALSE))+(test!$B$33-50),0)</f>
        <v>85</v>
      </c>
      <c r="N56">
        <f>IF(AND(SUM(VLOOKUP($A56,test!$A$3:$F$32,2,FALSE),VLOOKUP(N$1,test!$A$3:$F$32,2,FALSE))&lt;test!$K$16,$A56&lt;&gt;N$1,Recharged_Feasible_mat!O25),(VLOOKUP(N$1,test!$A$3:$I$32,8,FALSE))-(VLOOKUP($A56,test!$A$3:$I$32,9,FALSE))+(test!$B$33-50),0)</f>
        <v>445</v>
      </c>
      <c r="O56">
        <f>IF(AND(SUM(VLOOKUP($A56,test!$A$3:$F$32,2,FALSE),VLOOKUP(O$1,test!$A$3:$F$32,2,FALSE))&lt;test!$K$16,$A56&lt;&gt;O$1,Recharged_Feasible_mat!P25),(VLOOKUP(O$1,test!$A$3:$I$32,8,FALSE))-(VLOOKUP($A56,test!$A$3:$I$32,9,FALSE))+(test!$B$33-50),0)</f>
        <v>505</v>
      </c>
      <c r="P56">
        <f>IF(AND(SUM(VLOOKUP($A56,test!$A$3:$F$32,2,FALSE),VLOOKUP(P$1,test!$A$3:$F$32,2,FALSE))&lt;test!$K$16,$A56&lt;&gt;P$1,Recharged_Feasible_mat!Q25),(VLOOKUP(P$1,test!$A$3:$I$32,8,FALSE))-(VLOOKUP($A56,test!$A$3:$I$32,9,FALSE))+(test!$B$33-50),0)</f>
        <v>0</v>
      </c>
      <c r="Q56">
        <f>IF(AND(SUM(VLOOKUP($A56,test!$A$3:$F$32,2,FALSE),VLOOKUP(Q$1,test!$A$3:$F$32,2,FALSE))&lt;test!$K$16,$A56&lt;&gt;Q$1,Recharged_Feasible_mat!R25),(VLOOKUP(Q$1,test!$A$3:$I$32,8,FALSE))-(VLOOKUP($A56,test!$A$3:$I$32,9,FALSE))+(test!$B$33-50),0)</f>
        <v>0</v>
      </c>
      <c r="R56">
        <f>IF(AND(SUM(VLOOKUP($A56,test!$A$3:$F$32,2,FALSE),VLOOKUP(R$1,test!$A$3:$F$32,2,FALSE))&lt;test!$K$16,$A56&lt;&gt;R$1,Recharged_Feasible_mat!S25),(VLOOKUP(R$1,test!$A$3:$I$32,8,FALSE))-(VLOOKUP($A56,test!$A$3:$I$32,9,FALSE))+(test!$B$33-50),0)</f>
        <v>0</v>
      </c>
      <c r="S56">
        <f>IF(AND(SUM(VLOOKUP($A56,test!$A$3:$F$32,2,FALSE),VLOOKUP(S$1,test!$A$3:$F$32,2,FALSE))&lt;test!$K$16,$A56&lt;&gt;S$1,Recharged_Feasible_mat!T25),(VLOOKUP(S$1,test!$A$3:$I$32,8,FALSE))-(VLOOKUP($A56,test!$A$3:$I$32,9,FALSE))+(test!$B$33-50),0)</f>
        <v>0</v>
      </c>
      <c r="T56">
        <f>IF(AND(SUM(VLOOKUP($A56,test!$A$3:$F$32,2,FALSE),VLOOKUP(T$1,test!$A$3:$F$32,2,FALSE))&lt;test!$K$16,$A56&lt;&gt;T$1,Recharged_Feasible_mat!U25),(VLOOKUP(T$1,test!$A$3:$I$32,8,FALSE))-(VLOOKUP($A56,test!$A$3:$I$32,9,FALSE))+(test!$B$33-50),0)</f>
        <v>100</v>
      </c>
      <c r="U56">
        <f>IF(AND(SUM(VLOOKUP($A56,test!$A$3:$F$32,2,FALSE),VLOOKUP(U$1,test!$A$3:$F$32,2,FALSE))&lt;test!$K$16,$A56&lt;&gt;U$1,Recharged_Feasible_mat!V25),(VLOOKUP(U$1,test!$A$3:$I$32,8,FALSE))-(VLOOKUP($A56,test!$A$3:$I$32,9,FALSE))+(test!$B$33-50),0)</f>
        <v>190</v>
      </c>
      <c r="V56">
        <f>IF(AND(SUM(VLOOKUP($A56,test!$A$3:$F$32,2,FALSE),VLOOKUP(V$1,test!$A$3:$F$32,2,FALSE))&lt;test!$K$16,$A56&lt;&gt;V$1,Recharged_Feasible_mat!W25),(VLOOKUP(V$1,test!$A$3:$I$32,8,FALSE))-(VLOOKUP($A56,test!$A$3:$I$32,9,FALSE))+(test!$B$33-50),0)</f>
        <v>280</v>
      </c>
      <c r="W56">
        <f>IF(AND(SUM(VLOOKUP($A56,test!$A$3:$F$32,2,FALSE),VLOOKUP(W$1,test!$A$3:$F$32,2,FALSE))&lt;test!$K$16,$A56&lt;&gt;W$1,Recharged_Feasible_mat!X25),(VLOOKUP(W$1,test!$A$3:$I$32,8,FALSE))-(VLOOKUP($A56,test!$A$3:$I$32,9,FALSE))+(test!$B$33-50),0)</f>
        <v>370</v>
      </c>
      <c r="X56">
        <f>IF(AND(SUM(VLOOKUP($A56,test!$A$3:$F$32,2,FALSE),VLOOKUP(X$1,test!$A$3:$F$32,2,FALSE))&lt;test!$K$16,$A56&lt;&gt;X$1,Recharged_Feasible_mat!Y25),(VLOOKUP(X$1,test!$A$3:$I$32,8,FALSE))-(VLOOKUP($A56,test!$A$3:$I$32,9,FALSE))+(test!$B$33-50),0)</f>
        <v>430</v>
      </c>
      <c r="Y56">
        <f>IF(AND(SUM(VLOOKUP($A56,test!$A$3:$F$32,2,FALSE),VLOOKUP(Y$1,test!$A$3:$F$32,2,FALSE))&lt;test!$K$16,$A56&lt;&gt;Y$1,Recharged_Feasible_mat!Z25),(VLOOKUP(Y$1,test!$A$3:$I$32,8,FALSE))-(VLOOKUP($A56,test!$A$3:$I$32,9,FALSE))+(test!$B$33-50),0)</f>
        <v>0</v>
      </c>
      <c r="Z56">
        <f>IF(AND(SUM(VLOOKUP($A56,test!$A$3:$F$32,2,FALSE),VLOOKUP(Z$1,test!$A$3:$F$32,2,FALSE))&lt;test!$K$16,$A56&lt;&gt;Z$1,Recharged_Feasible_mat!AA25),(VLOOKUP(Z$1,test!$A$3:$I$32,8,FALSE))-(VLOOKUP($A56,test!$A$3:$I$32,9,FALSE))+(test!$B$33-50),0)</f>
        <v>0</v>
      </c>
      <c r="AA56">
        <f>IF(AND(SUM(VLOOKUP($A56,test!$A$3:$F$32,2,FALSE),VLOOKUP(AA$1,test!$A$3:$F$32,2,FALSE))&lt;test!$K$16,$A56&lt;&gt;AA$1,Recharged_Feasible_mat!AB25),(VLOOKUP(AA$1,test!$A$3:$I$32,8,FALSE))-(VLOOKUP($A56,test!$A$3:$I$32,9,FALSE))+(test!$B$33-50),0)</f>
        <v>150</v>
      </c>
      <c r="AB56">
        <f>IF(AND(SUM(VLOOKUP($A56,test!$A$3:$F$32,2,FALSE),VLOOKUP(AB$1,test!$A$3:$F$32,2,FALSE))&lt;test!$K$16,$A56&lt;&gt;AB$1,Recharged_Feasible_mat!AC25),(VLOOKUP(AB$1,test!$A$3:$I$32,8,FALSE))-(VLOOKUP($A56,test!$A$3:$I$32,9,FALSE))+(test!$B$33-50),0)</f>
        <v>210</v>
      </c>
      <c r="AC56">
        <f>IF(AND(SUM(VLOOKUP($A56,test!$A$3:$F$32,2,FALSE),VLOOKUP(AC$1,test!$A$3:$F$32,2,FALSE))&lt;test!$K$16,$A56&lt;&gt;AC$1,Recharged_Feasible_mat!AD25),(VLOOKUP(AC$1,test!$A$3:$I$32,8,FALSE))-(VLOOKUP($A56,test!$A$3:$I$32,9,FALSE))+(test!$B$33-50),0)</f>
        <v>330</v>
      </c>
      <c r="AD56">
        <f>IF(AND(SUM(VLOOKUP($A56,test!$A$3:$F$32,2,FALSE),VLOOKUP(AD$1,test!$A$3:$F$32,2,FALSE))&lt;test!$K$16,$A56&lt;&gt;AD$1,Recharged_Feasible_mat!AE25),(VLOOKUP(AD$1,test!$A$3:$I$32,8,FALSE))-(VLOOKUP($A56,test!$A$3:$I$32,9,FALSE))+(test!$B$33-50),0)</f>
        <v>0</v>
      </c>
      <c r="AE56">
        <f>IF(AND(SUM(VLOOKUP($A56,test!$A$3:$F$32,2,FALSE),VLOOKUP(AE$1,test!$A$3:$F$32,2,FALSE))&lt;test!$K$16,$A56&lt;&gt;AE$1,Recharged_Feasible_mat!AF25),(VLOOKUP(AE$1,test!$A$3:$I$32,8,FALSE))-(VLOOKUP($A56,test!$A$3:$I$32,9,FALSE))+(test!$B$33-50),0)</f>
        <v>0</v>
      </c>
      <c r="AF56">
        <f>IF(AND(SUM(VLOOKUP($A56,test!$A$3:$F$32,2,FALSE),VLOOKUP(AF$1,test!$A$3:$F$32,2,FALSE))&lt;test!$K$16,$A56&lt;&gt;AF$1,Recharged_Feasible_mat!AG25),(VLOOKUP(AF$1,test!$A$3:$I$32,8,FALSE))-(VLOOKUP($A56,test!$A$3:$I$32,9,FALSE))+(test!$B$33-50),0)</f>
        <v>0</v>
      </c>
    </row>
    <row r="57" spans="1:32" x14ac:dyDescent="0.25">
      <c r="A57" t="s">
        <v>35</v>
      </c>
      <c r="B57">
        <v>0</v>
      </c>
      <c r="C57">
        <f>IF(AND(SUM(VLOOKUP($A57,test!$A$3:$F$32,2,FALSE),VLOOKUP(C$1,test!$A$3:$F$32,2,FALSE))&lt;test!$K$16,$A57&lt;&gt;C$1,Recharged_Feasible_mat!D26),(VLOOKUP(C$1,test!$A$3:$I$32,8,FALSE))-(VLOOKUP($A57,test!$A$3:$I$32,9,FALSE))+(test!$B$33-50),0)</f>
        <v>0</v>
      </c>
      <c r="D57">
        <f>IF(AND(SUM(VLOOKUP($A57,test!$A$3:$F$32,2,FALSE),VLOOKUP(D$1,test!$A$3:$F$32,2,FALSE))&lt;test!$K$16,$A57&lt;&gt;D$1,Recharged_Feasible_mat!E26),(VLOOKUP(D$1,test!$A$3:$I$32,8,FALSE))-(VLOOKUP($A57,test!$A$3:$I$32,9,FALSE))+(test!$B$33-50),0)</f>
        <v>0</v>
      </c>
      <c r="E57">
        <f>IF(AND(SUM(VLOOKUP($A57,test!$A$3:$F$32,2,FALSE),VLOOKUP(E$1,test!$A$3:$F$32,2,FALSE))&lt;test!$K$16,$A57&lt;&gt;E$1,Recharged_Feasible_mat!F26),(VLOOKUP(E$1,test!$A$3:$I$32,8,FALSE))-(VLOOKUP($A57,test!$A$3:$I$32,9,FALSE))+(test!$B$33-50),0)</f>
        <v>0</v>
      </c>
      <c r="F57">
        <f>IF(AND(SUM(VLOOKUP($A57,test!$A$3:$F$32,2,FALSE),VLOOKUP(F$1,test!$A$3:$F$32,2,FALSE))&lt;test!$K$16,$A57&lt;&gt;F$1,Recharged_Feasible_mat!G26),(VLOOKUP(F$1,test!$A$3:$I$32,8,FALSE))-(VLOOKUP($A57,test!$A$3:$I$32,9,FALSE))+(test!$B$33-50),0)</f>
        <v>0</v>
      </c>
      <c r="G57">
        <f>IF(AND(SUM(VLOOKUP($A57,test!$A$3:$F$32,2,FALSE),VLOOKUP(G$1,test!$A$3:$F$32,2,FALSE))&lt;test!$K$16,$A57&lt;&gt;G$1,Recharged_Feasible_mat!H26),(VLOOKUP(G$1,test!$A$3:$I$32,8,FALSE))-(VLOOKUP($A57,test!$A$3:$I$32,9,FALSE))+(test!$B$33-50),0)</f>
        <v>100</v>
      </c>
      <c r="H57">
        <f>IF(AND(SUM(VLOOKUP($A57,test!$A$3:$F$32,2,FALSE),VLOOKUP(H$1,test!$A$3:$F$32,2,FALSE))&lt;test!$K$16,$A57&lt;&gt;H$1,Recharged_Feasible_mat!I26),(VLOOKUP(H$1,test!$A$3:$I$32,8,FALSE))-(VLOOKUP($A57,test!$A$3:$I$32,9,FALSE))+(test!$B$33-50),0)</f>
        <v>160</v>
      </c>
      <c r="I57">
        <f>IF(AND(SUM(VLOOKUP($A57,test!$A$3:$F$32,2,FALSE),VLOOKUP(I$1,test!$A$3:$F$32,2,FALSE))&lt;test!$K$16,$A57&lt;&gt;I$1,Recharged_Feasible_mat!J26),(VLOOKUP(I$1,test!$A$3:$I$32,8,FALSE))-(VLOOKUP($A57,test!$A$3:$I$32,9,FALSE))+(test!$B$33-50),0)</f>
        <v>220</v>
      </c>
      <c r="J57">
        <f>IF(AND(SUM(VLOOKUP($A57,test!$A$3:$F$32,2,FALSE),VLOOKUP(J$1,test!$A$3:$F$32,2,FALSE))&lt;test!$K$16,$A57&lt;&gt;J$1,Recharged_Feasible_mat!K26),(VLOOKUP(J$1,test!$A$3:$I$32,8,FALSE))-(VLOOKUP($A57,test!$A$3:$I$32,9,FALSE))+(test!$B$33-50),0)</f>
        <v>310</v>
      </c>
      <c r="K57">
        <f>IF(AND(SUM(VLOOKUP($A57,test!$A$3:$F$32,2,FALSE),VLOOKUP(K$1,test!$A$3:$F$32,2,FALSE))&lt;test!$K$16,$A57&lt;&gt;K$1,Recharged_Feasible_mat!L26),(VLOOKUP(K$1,test!$A$3:$I$32,8,FALSE))-(VLOOKUP($A57,test!$A$3:$I$32,9,FALSE))+(test!$B$33-50),0)</f>
        <v>0</v>
      </c>
      <c r="L57">
        <f>IF(AND(SUM(VLOOKUP($A57,test!$A$3:$F$32,2,FALSE),VLOOKUP(L$1,test!$A$3:$F$32,2,FALSE))&lt;test!$K$16,$A57&lt;&gt;L$1,Recharged_Feasible_mat!M26),(VLOOKUP(L$1,test!$A$3:$I$32,8,FALSE))-(VLOOKUP($A57,test!$A$3:$I$32,9,FALSE))+(test!$B$33-50),0)</f>
        <v>0</v>
      </c>
      <c r="M57">
        <f>IF(AND(SUM(VLOOKUP($A57,test!$A$3:$F$32,2,FALSE),VLOOKUP(M$1,test!$A$3:$F$32,2,FALSE))&lt;test!$K$16,$A57&lt;&gt;M$1,Recharged_Feasible_mat!N26),(VLOOKUP(M$1,test!$A$3:$I$32,8,FALSE))-(VLOOKUP($A57,test!$A$3:$I$32,9,FALSE))+(test!$B$33-50),0)</f>
        <v>0</v>
      </c>
      <c r="N57">
        <f>IF(AND(SUM(VLOOKUP($A57,test!$A$3:$F$32,2,FALSE),VLOOKUP(N$1,test!$A$3:$F$32,2,FALSE))&lt;test!$K$16,$A57&lt;&gt;N$1,Recharged_Feasible_mat!O26),(VLOOKUP(N$1,test!$A$3:$I$32,8,FALSE))-(VLOOKUP($A57,test!$A$3:$I$32,9,FALSE))+(test!$B$33-50),0)</f>
        <v>275</v>
      </c>
      <c r="O57">
        <f>IF(AND(SUM(VLOOKUP($A57,test!$A$3:$F$32,2,FALSE),VLOOKUP(O$1,test!$A$3:$F$32,2,FALSE))&lt;test!$K$16,$A57&lt;&gt;O$1,Recharged_Feasible_mat!P26),(VLOOKUP(O$1,test!$A$3:$I$32,8,FALSE))-(VLOOKUP($A57,test!$A$3:$I$32,9,FALSE))+(test!$B$33-50),0)</f>
        <v>335</v>
      </c>
      <c r="P57">
        <f>IF(AND(SUM(VLOOKUP($A57,test!$A$3:$F$32,2,FALSE),VLOOKUP(P$1,test!$A$3:$F$32,2,FALSE))&lt;test!$K$16,$A57&lt;&gt;P$1,Recharged_Feasible_mat!Q26),(VLOOKUP(P$1,test!$A$3:$I$32,8,FALSE))-(VLOOKUP($A57,test!$A$3:$I$32,9,FALSE))+(test!$B$33-50),0)</f>
        <v>0</v>
      </c>
      <c r="Q57">
        <f>IF(AND(SUM(VLOOKUP($A57,test!$A$3:$F$32,2,FALSE),VLOOKUP(Q$1,test!$A$3:$F$32,2,FALSE))&lt;test!$K$16,$A57&lt;&gt;Q$1,Recharged_Feasible_mat!R26),(VLOOKUP(Q$1,test!$A$3:$I$32,8,FALSE))-(VLOOKUP($A57,test!$A$3:$I$32,9,FALSE))+(test!$B$33-50),0)</f>
        <v>0</v>
      </c>
      <c r="R57">
        <f>IF(AND(SUM(VLOOKUP($A57,test!$A$3:$F$32,2,FALSE),VLOOKUP(R$1,test!$A$3:$F$32,2,FALSE))&lt;test!$K$16,$A57&lt;&gt;R$1,Recharged_Feasible_mat!S26),(VLOOKUP(R$1,test!$A$3:$I$32,8,FALSE))-(VLOOKUP($A57,test!$A$3:$I$32,9,FALSE))+(test!$B$33-50),0)</f>
        <v>0</v>
      </c>
      <c r="S57">
        <f>IF(AND(SUM(VLOOKUP($A57,test!$A$3:$F$32,2,FALSE),VLOOKUP(S$1,test!$A$3:$F$32,2,FALSE))&lt;test!$K$16,$A57&lt;&gt;S$1,Recharged_Feasible_mat!T26),(VLOOKUP(S$1,test!$A$3:$I$32,8,FALSE))-(VLOOKUP($A57,test!$A$3:$I$32,9,FALSE))+(test!$B$33-50),0)</f>
        <v>0</v>
      </c>
      <c r="T57">
        <f>IF(AND(SUM(VLOOKUP($A57,test!$A$3:$F$32,2,FALSE),VLOOKUP(T$1,test!$A$3:$F$32,2,FALSE))&lt;test!$K$16,$A57&lt;&gt;T$1,Recharged_Feasible_mat!U26),(VLOOKUP(T$1,test!$A$3:$I$32,8,FALSE))-(VLOOKUP($A57,test!$A$3:$I$32,9,FALSE))+(test!$B$33-50),0)</f>
        <v>0</v>
      </c>
      <c r="U57">
        <f>IF(AND(SUM(VLOOKUP($A57,test!$A$3:$F$32,2,FALSE),VLOOKUP(U$1,test!$A$3:$F$32,2,FALSE))&lt;test!$K$16,$A57&lt;&gt;U$1,Recharged_Feasible_mat!V26),(VLOOKUP(U$1,test!$A$3:$I$32,8,FALSE))-(VLOOKUP($A57,test!$A$3:$I$32,9,FALSE))+(test!$B$33-50),0)</f>
        <v>0</v>
      </c>
      <c r="V57">
        <f>IF(AND(SUM(VLOOKUP($A57,test!$A$3:$F$32,2,FALSE),VLOOKUP(V$1,test!$A$3:$F$32,2,FALSE))&lt;test!$K$16,$A57&lt;&gt;V$1,Recharged_Feasible_mat!W26),(VLOOKUP(V$1,test!$A$3:$I$32,8,FALSE))-(VLOOKUP($A57,test!$A$3:$I$32,9,FALSE))+(test!$B$33-50),0)</f>
        <v>110</v>
      </c>
      <c r="W57">
        <f>IF(AND(SUM(VLOOKUP($A57,test!$A$3:$F$32,2,FALSE),VLOOKUP(W$1,test!$A$3:$F$32,2,FALSE))&lt;test!$K$16,$A57&lt;&gt;W$1,Recharged_Feasible_mat!X26),(VLOOKUP(W$1,test!$A$3:$I$32,8,FALSE))-(VLOOKUP($A57,test!$A$3:$I$32,9,FALSE))+(test!$B$33-50),0)</f>
        <v>200</v>
      </c>
      <c r="X57">
        <f>IF(AND(SUM(VLOOKUP($A57,test!$A$3:$F$32,2,FALSE),VLOOKUP(X$1,test!$A$3:$F$32,2,FALSE))&lt;test!$K$16,$A57&lt;&gt;X$1,Recharged_Feasible_mat!Y26),(VLOOKUP(X$1,test!$A$3:$I$32,8,FALSE))-(VLOOKUP($A57,test!$A$3:$I$32,9,FALSE))+(test!$B$33-50),0)</f>
        <v>260</v>
      </c>
      <c r="Y57">
        <f>IF(AND(SUM(VLOOKUP($A57,test!$A$3:$F$32,2,FALSE),VLOOKUP(Y$1,test!$A$3:$F$32,2,FALSE))&lt;test!$K$16,$A57&lt;&gt;Y$1,Recharged_Feasible_mat!Z26),(VLOOKUP(Y$1,test!$A$3:$I$32,8,FALSE))-(VLOOKUP($A57,test!$A$3:$I$32,9,FALSE))+(test!$B$33-50),0)</f>
        <v>0</v>
      </c>
      <c r="Z57">
        <f>IF(AND(SUM(VLOOKUP($A57,test!$A$3:$F$32,2,FALSE),VLOOKUP(Z$1,test!$A$3:$F$32,2,FALSE))&lt;test!$K$16,$A57&lt;&gt;Z$1,Recharged_Feasible_mat!AA26),(VLOOKUP(Z$1,test!$A$3:$I$32,8,FALSE))-(VLOOKUP($A57,test!$A$3:$I$32,9,FALSE))+(test!$B$33-50),0)</f>
        <v>0</v>
      </c>
      <c r="AA57">
        <f>IF(AND(SUM(VLOOKUP($A57,test!$A$3:$F$32,2,FALSE),VLOOKUP(AA$1,test!$A$3:$F$32,2,FALSE))&lt;test!$K$16,$A57&lt;&gt;AA$1,Recharged_Feasible_mat!AB26),(VLOOKUP(AA$1,test!$A$3:$I$32,8,FALSE))-(VLOOKUP($A57,test!$A$3:$I$32,9,FALSE))+(test!$B$33-50),0)</f>
        <v>0</v>
      </c>
      <c r="AB57">
        <f>IF(AND(SUM(VLOOKUP($A57,test!$A$3:$F$32,2,FALSE),VLOOKUP(AB$1,test!$A$3:$F$32,2,FALSE))&lt;test!$K$16,$A57&lt;&gt;AB$1,Recharged_Feasible_mat!AC26),(VLOOKUP(AB$1,test!$A$3:$I$32,8,FALSE))-(VLOOKUP($A57,test!$A$3:$I$32,9,FALSE))+(test!$B$33-50),0)</f>
        <v>0</v>
      </c>
      <c r="AC57">
        <f>IF(AND(SUM(VLOOKUP($A57,test!$A$3:$F$32,2,FALSE),VLOOKUP(AC$1,test!$A$3:$F$32,2,FALSE))&lt;test!$K$16,$A57&lt;&gt;AC$1,Recharged_Feasible_mat!AD26),(VLOOKUP(AC$1,test!$A$3:$I$32,8,FALSE))-(VLOOKUP($A57,test!$A$3:$I$32,9,FALSE))+(test!$B$33-50),0)</f>
        <v>160</v>
      </c>
      <c r="AD57">
        <f>IF(AND(SUM(VLOOKUP($A57,test!$A$3:$F$32,2,FALSE),VLOOKUP(AD$1,test!$A$3:$F$32,2,FALSE))&lt;test!$K$16,$A57&lt;&gt;AD$1,Recharged_Feasible_mat!AE26),(VLOOKUP(AD$1,test!$A$3:$I$32,8,FALSE))-(VLOOKUP($A57,test!$A$3:$I$32,9,FALSE))+(test!$B$33-50),0)</f>
        <v>0</v>
      </c>
      <c r="AE57">
        <f>IF(AND(SUM(VLOOKUP($A57,test!$A$3:$F$32,2,FALSE),VLOOKUP(AE$1,test!$A$3:$F$32,2,FALSE))&lt;test!$K$16,$A57&lt;&gt;AE$1,Recharged_Feasible_mat!AF26),(VLOOKUP(AE$1,test!$A$3:$I$32,8,FALSE))-(VLOOKUP($A57,test!$A$3:$I$32,9,FALSE))+(test!$B$33-50),0)</f>
        <v>0</v>
      </c>
      <c r="AF57">
        <f>IF(AND(SUM(VLOOKUP($A57,test!$A$3:$F$32,2,FALSE),VLOOKUP(AF$1,test!$A$3:$F$32,2,FALSE))&lt;test!$K$16,$A57&lt;&gt;AF$1,Recharged_Feasible_mat!AG26),(VLOOKUP(AF$1,test!$A$3:$I$32,8,FALSE))-(VLOOKUP($A57,test!$A$3:$I$32,9,FALSE))+(test!$B$33-50),0)</f>
        <v>0</v>
      </c>
    </row>
    <row r="58" spans="1:32" x14ac:dyDescent="0.25">
      <c r="A58" t="s">
        <v>36</v>
      </c>
      <c r="B58">
        <v>0</v>
      </c>
      <c r="C58">
        <f>IF(AND(SUM(VLOOKUP($A58,test!$A$3:$F$32,2,FALSE),VLOOKUP(C$1,test!$A$3:$F$32,2,FALSE))&lt;test!$K$16,$A58&lt;&gt;C$1,Recharged_Feasible_mat!D27),(VLOOKUP(C$1,test!$A$3:$I$32,8,FALSE))-(VLOOKUP($A58,test!$A$3:$I$32,9,FALSE))+(test!$B$33-50),0)</f>
        <v>0</v>
      </c>
      <c r="D58">
        <f>IF(AND(SUM(VLOOKUP($A58,test!$A$3:$F$32,2,FALSE),VLOOKUP(D$1,test!$A$3:$F$32,2,FALSE))&lt;test!$K$16,$A58&lt;&gt;D$1,Recharged_Feasible_mat!E27),(VLOOKUP(D$1,test!$A$3:$I$32,8,FALSE))-(VLOOKUP($A58,test!$A$3:$I$32,9,FALSE))+(test!$B$33-50),0)</f>
        <v>0</v>
      </c>
      <c r="E58">
        <f>IF(AND(SUM(VLOOKUP($A58,test!$A$3:$F$32,2,FALSE),VLOOKUP(E$1,test!$A$3:$F$32,2,FALSE))&lt;test!$K$16,$A58&lt;&gt;E$1,Recharged_Feasible_mat!F27),(VLOOKUP(E$1,test!$A$3:$I$32,8,FALSE))-(VLOOKUP($A58,test!$A$3:$I$32,9,FALSE))+(test!$B$33-50),0)</f>
        <v>0</v>
      </c>
      <c r="F58">
        <f>IF(AND(SUM(VLOOKUP($A58,test!$A$3:$F$32,2,FALSE),VLOOKUP(F$1,test!$A$3:$F$32,2,FALSE))&lt;test!$K$16,$A58&lt;&gt;F$1,Recharged_Feasible_mat!G27),(VLOOKUP(F$1,test!$A$3:$I$32,8,FALSE))-(VLOOKUP($A58,test!$A$3:$I$32,9,FALSE))+(test!$B$33-50),0)</f>
        <v>0</v>
      </c>
      <c r="G58">
        <f>IF(AND(SUM(VLOOKUP($A58,test!$A$3:$F$32,2,FALSE),VLOOKUP(G$1,test!$A$3:$F$32,2,FALSE))&lt;test!$K$16,$A58&lt;&gt;G$1,Recharged_Feasible_mat!H27),(VLOOKUP(G$1,test!$A$3:$I$32,8,FALSE))-(VLOOKUP($A58,test!$A$3:$I$32,9,FALSE))+(test!$B$33-50),0)</f>
        <v>0</v>
      </c>
      <c r="H58">
        <f>IF(AND(SUM(VLOOKUP($A58,test!$A$3:$F$32,2,FALSE),VLOOKUP(H$1,test!$A$3:$F$32,2,FALSE))&lt;test!$K$16,$A58&lt;&gt;H$1,Recharged_Feasible_mat!I27),(VLOOKUP(H$1,test!$A$3:$I$32,8,FALSE))-(VLOOKUP($A58,test!$A$3:$I$32,9,FALSE))+(test!$B$33-50),0)</f>
        <v>0</v>
      </c>
      <c r="I58">
        <f>IF(AND(SUM(VLOOKUP($A58,test!$A$3:$F$32,2,FALSE),VLOOKUP(I$1,test!$A$3:$F$32,2,FALSE))&lt;test!$K$16,$A58&lt;&gt;I$1,Recharged_Feasible_mat!J27),(VLOOKUP(I$1,test!$A$3:$I$32,8,FALSE))-(VLOOKUP($A58,test!$A$3:$I$32,9,FALSE))+(test!$B$33-50),0)</f>
        <v>100</v>
      </c>
      <c r="J58">
        <f>IF(AND(SUM(VLOOKUP($A58,test!$A$3:$F$32,2,FALSE),VLOOKUP(J$1,test!$A$3:$F$32,2,FALSE))&lt;test!$K$16,$A58&lt;&gt;J$1,Recharged_Feasible_mat!K27),(VLOOKUP(J$1,test!$A$3:$I$32,8,FALSE))-(VLOOKUP($A58,test!$A$3:$I$32,9,FALSE))+(test!$B$33-50),0)</f>
        <v>190</v>
      </c>
      <c r="K58">
        <f>IF(AND(SUM(VLOOKUP($A58,test!$A$3:$F$32,2,FALSE),VLOOKUP(K$1,test!$A$3:$F$32,2,FALSE))&lt;test!$K$16,$A58&lt;&gt;K$1,Recharged_Feasible_mat!L27),(VLOOKUP(K$1,test!$A$3:$I$32,8,FALSE))-(VLOOKUP($A58,test!$A$3:$I$32,9,FALSE))+(test!$B$33-50),0)</f>
        <v>0</v>
      </c>
      <c r="L58">
        <f>IF(AND(SUM(VLOOKUP($A58,test!$A$3:$F$32,2,FALSE),VLOOKUP(L$1,test!$A$3:$F$32,2,FALSE))&lt;test!$K$16,$A58&lt;&gt;L$1,Recharged_Feasible_mat!M27),(VLOOKUP(L$1,test!$A$3:$I$32,8,FALSE))-(VLOOKUP($A58,test!$A$3:$I$32,9,FALSE))+(test!$B$33-50),0)</f>
        <v>0</v>
      </c>
      <c r="M58">
        <f>IF(AND(SUM(VLOOKUP($A58,test!$A$3:$F$32,2,FALSE),VLOOKUP(M$1,test!$A$3:$F$32,2,FALSE))&lt;test!$K$16,$A58&lt;&gt;M$1,Recharged_Feasible_mat!N27),(VLOOKUP(M$1,test!$A$3:$I$32,8,FALSE))-(VLOOKUP($A58,test!$A$3:$I$32,9,FALSE))+(test!$B$33-50),0)</f>
        <v>0</v>
      </c>
      <c r="N58">
        <f>IF(AND(SUM(VLOOKUP($A58,test!$A$3:$F$32,2,FALSE),VLOOKUP(N$1,test!$A$3:$F$32,2,FALSE))&lt;test!$K$16,$A58&lt;&gt;N$1,Recharged_Feasible_mat!O27),(VLOOKUP(N$1,test!$A$3:$I$32,8,FALSE))-(VLOOKUP($A58,test!$A$3:$I$32,9,FALSE))+(test!$B$33-50),0)</f>
        <v>155</v>
      </c>
      <c r="O58">
        <f>IF(AND(SUM(VLOOKUP($A58,test!$A$3:$F$32,2,FALSE),VLOOKUP(O$1,test!$A$3:$F$32,2,FALSE))&lt;test!$K$16,$A58&lt;&gt;O$1,Recharged_Feasible_mat!P27),(VLOOKUP(O$1,test!$A$3:$I$32,8,FALSE))-(VLOOKUP($A58,test!$A$3:$I$32,9,FALSE))+(test!$B$33-50),0)</f>
        <v>215</v>
      </c>
      <c r="P58">
        <f>IF(AND(SUM(VLOOKUP($A58,test!$A$3:$F$32,2,FALSE),VLOOKUP(P$1,test!$A$3:$F$32,2,FALSE))&lt;test!$K$16,$A58&lt;&gt;P$1,Recharged_Feasible_mat!Q27),(VLOOKUP(P$1,test!$A$3:$I$32,8,FALSE))-(VLOOKUP($A58,test!$A$3:$I$32,9,FALSE))+(test!$B$33-50),0)</f>
        <v>0</v>
      </c>
      <c r="Q58">
        <f>IF(AND(SUM(VLOOKUP($A58,test!$A$3:$F$32,2,FALSE),VLOOKUP(Q$1,test!$A$3:$F$32,2,FALSE))&lt;test!$K$16,$A58&lt;&gt;Q$1,Recharged_Feasible_mat!R27),(VLOOKUP(Q$1,test!$A$3:$I$32,8,FALSE))-(VLOOKUP($A58,test!$A$3:$I$32,9,FALSE))+(test!$B$33-50),0)</f>
        <v>0</v>
      </c>
      <c r="R58">
        <f>IF(AND(SUM(VLOOKUP($A58,test!$A$3:$F$32,2,FALSE),VLOOKUP(R$1,test!$A$3:$F$32,2,FALSE))&lt;test!$K$16,$A58&lt;&gt;R$1,Recharged_Feasible_mat!S27),(VLOOKUP(R$1,test!$A$3:$I$32,8,FALSE))-(VLOOKUP($A58,test!$A$3:$I$32,9,FALSE))+(test!$B$33-50),0)</f>
        <v>0</v>
      </c>
      <c r="S58">
        <f>IF(AND(SUM(VLOOKUP($A58,test!$A$3:$F$32,2,FALSE),VLOOKUP(S$1,test!$A$3:$F$32,2,FALSE))&lt;test!$K$16,$A58&lt;&gt;S$1,Recharged_Feasible_mat!T27),(VLOOKUP(S$1,test!$A$3:$I$32,8,FALSE))-(VLOOKUP($A58,test!$A$3:$I$32,9,FALSE))+(test!$B$33-50),0)</f>
        <v>0</v>
      </c>
      <c r="T58">
        <f>IF(AND(SUM(VLOOKUP($A58,test!$A$3:$F$32,2,FALSE),VLOOKUP(T$1,test!$A$3:$F$32,2,FALSE))&lt;test!$K$16,$A58&lt;&gt;T$1,Recharged_Feasible_mat!U27),(VLOOKUP(T$1,test!$A$3:$I$32,8,FALSE))-(VLOOKUP($A58,test!$A$3:$I$32,9,FALSE))+(test!$B$33-50),0)</f>
        <v>0</v>
      </c>
      <c r="U58">
        <f>IF(AND(SUM(VLOOKUP($A58,test!$A$3:$F$32,2,FALSE),VLOOKUP(U$1,test!$A$3:$F$32,2,FALSE))&lt;test!$K$16,$A58&lt;&gt;U$1,Recharged_Feasible_mat!V27),(VLOOKUP(U$1,test!$A$3:$I$32,8,FALSE))-(VLOOKUP($A58,test!$A$3:$I$32,9,FALSE))+(test!$B$33-50),0)</f>
        <v>0</v>
      </c>
      <c r="V58">
        <f>IF(AND(SUM(VLOOKUP($A58,test!$A$3:$F$32,2,FALSE),VLOOKUP(V$1,test!$A$3:$F$32,2,FALSE))&lt;test!$K$16,$A58&lt;&gt;V$1,Recharged_Feasible_mat!W27),(VLOOKUP(V$1,test!$A$3:$I$32,8,FALSE))-(VLOOKUP($A58,test!$A$3:$I$32,9,FALSE))+(test!$B$33-50),0)</f>
        <v>0</v>
      </c>
      <c r="W58">
        <f>IF(AND(SUM(VLOOKUP($A58,test!$A$3:$F$32,2,FALSE),VLOOKUP(W$1,test!$A$3:$F$32,2,FALSE))&lt;test!$K$16,$A58&lt;&gt;W$1,Recharged_Feasible_mat!X27),(VLOOKUP(W$1,test!$A$3:$I$32,8,FALSE))-(VLOOKUP($A58,test!$A$3:$I$32,9,FALSE))+(test!$B$33-50),0)</f>
        <v>0</v>
      </c>
      <c r="X58">
        <f>IF(AND(SUM(VLOOKUP($A58,test!$A$3:$F$32,2,FALSE),VLOOKUP(X$1,test!$A$3:$F$32,2,FALSE))&lt;test!$K$16,$A58&lt;&gt;X$1,Recharged_Feasible_mat!Y27),(VLOOKUP(X$1,test!$A$3:$I$32,8,FALSE))-(VLOOKUP($A58,test!$A$3:$I$32,9,FALSE))+(test!$B$33-50),0)</f>
        <v>140</v>
      </c>
      <c r="Y58">
        <f>IF(AND(SUM(VLOOKUP($A58,test!$A$3:$F$32,2,FALSE),VLOOKUP(Y$1,test!$A$3:$F$32,2,FALSE))&lt;test!$K$16,$A58&lt;&gt;Y$1,Recharged_Feasible_mat!Z27),(VLOOKUP(Y$1,test!$A$3:$I$32,8,FALSE))-(VLOOKUP($A58,test!$A$3:$I$32,9,FALSE))+(test!$B$33-50),0)</f>
        <v>0</v>
      </c>
      <c r="Z58">
        <f>IF(AND(SUM(VLOOKUP($A58,test!$A$3:$F$32,2,FALSE),VLOOKUP(Z$1,test!$A$3:$F$32,2,FALSE))&lt;test!$K$16,$A58&lt;&gt;Z$1,Recharged_Feasible_mat!AA27),(VLOOKUP(Z$1,test!$A$3:$I$32,8,FALSE))-(VLOOKUP($A58,test!$A$3:$I$32,9,FALSE))+(test!$B$33-50),0)</f>
        <v>0</v>
      </c>
      <c r="AA58">
        <f>IF(AND(SUM(VLOOKUP($A58,test!$A$3:$F$32,2,FALSE),VLOOKUP(AA$1,test!$A$3:$F$32,2,FALSE))&lt;test!$K$16,$A58&lt;&gt;AA$1,Recharged_Feasible_mat!AB27),(VLOOKUP(AA$1,test!$A$3:$I$32,8,FALSE))-(VLOOKUP($A58,test!$A$3:$I$32,9,FALSE))+(test!$B$33-50),0)</f>
        <v>0</v>
      </c>
      <c r="AB58">
        <f>IF(AND(SUM(VLOOKUP($A58,test!$A$3:$F$32,2,FALSE),VLOOKUP(AB$1,test!$A$3:$F$32,2,FALSE))&lt;test!$K$16,$A58&lt;&gt;AB$1,Recharged_Feasible_mat!AC27),(VLOOKUP(AB$1,test!$A$3:$I$32,8,FALSE))-(VLOOKUP($A58,test!$A$3:$I$32,9,FALSE))+(test!$B$33-50),0)</f>
        <v>0</v>
      </c>
      <c r="AC58">
        <f>IF(AND(SUM(VLOOKUP($A58,test!$A$3:$F$32,2,FALSE),VLOOKUP(AC$1,test!$A$3:$F$32,2,FALSE))&lt;test!$K$16,$A58&lt;&gt;AC$1,Recharged_Feasible_mat!AD27),(VLOOKUP(AC$1,test!$A$3:$I$32,8,FALSE))-(VLOOKUP($A58,test!$A$3:$I$32,9,FALSE))+(test!$B$33-50),0)</f>
        <v>0</v>
      </c>
      <c r="AD58">
        <f>IF(AND(SUM(VLOOKUP($A58,test!$A$3:$F$32,2,FALSE),VLOOKUP(AD$1,test!$A$3:$F$32,2,FALSE))&lt;test!$K$16,$A58&lt;&gt;AD$1,Recharged_Feasible_mat!AE27),(VLOOKUP(AD$1,test!$A$3:$I$32,8,FALSE))-(VLOOKUP($A58,test!$A$3:$I$32,9,FALSE))+(test!$B$33-50),0)</f>
        <v>0</v>
      </c>
      <c r="AE58">
        <f>IF(AND(SUM(VLOOKUP($A58,test!$A$3:$F$32,2,FALSE),VLOOKUP(AE$1,test!$A$3:$F$32,2,FALSE))&lt;test!$K$16,$A58&lt;&gt;AE$1,Recharged_Feasible_mat!AF27),(VLOOKUP(AE$1,test!$A$3:$I$32,8,FALSE))-(VLOOKUP($A58,test!$A$3:$I$32,9,FALSE))+(test!$B$33-50),0)</f>
        <v>0</v>
      </c>
      <c r="AF58">
        <f>IF(AND(SUM(VLOOKUP($A58,test!$A$3:$F$32,2,FALSE),VLOOKUP(AF$1,test!$A$3:$F$32,2,FALSE))&lt;test!$K$16,$A58&lt;&gt;AF$1,Recharged_Feasible_mat!AG27),(VLOOKUP(AF$1,test!$A$3:$I$32,8,FALSE))-(VLOOKUP($A58,test!$A$3:$I$32,9,FALSE))+(test!$B$33-50),0)</f>
        <v>0</v>
      </c>
    </row>
    <row r="59" spans="1:32" x14ac:dyDescent="0.25">
      <c r="A59" t="s">
        <v>37</v>
      </c>
      <c r="B59">
        <v>0</v>
      </c>
      <c r="C59">
        <f>IF(AND(SUM(VLOOKUP($A59,test!$A$3:$F$32,2,FALSE),VLOOKUP(C$1,test!$A$3:$F$32,2,FALSE))&lt;test!$K$16,$A59&lt;&gt;C$1,Recharged_Feasible_mat!D28),(VLOOKUP(C$1,test!$A$3:$I$32,8,FALSE))-(VLOOKUP($A59,test!$A$3:$I$32,9,FALSE))+(test!$B$33-50),0)</f>
        <v>0</v>
      </c>
      <c r="D59">
        <f>IF(AND(SUM(VLOOKUP($A59,test!$A$3:$F$32,2,FALSE),VLOOKUP(D$1,test!$A$3:$F$32,2,FALSE))&lt;test!$K$16,$A59&lt;&gt;D$1,Recharged_Feasible_mat!E28),(VLOOKUP(D$1,test!$A$3:$I$32,8,FALSE))-(VLOOKUP($A59,test!$A$3:$I$32,9,FALSE))+(test!$B$33-50),0)</f>
        <v>0</v>
      </c>
      <c r="E59">
        <f>IF(AND(SUM(VLOOKUP($A59,test!$A$3:$F$32,2,FALSE),VLOOKUP(E$1,test!$A$3:$F$32,2,FALSE))&lt;test!$K$16,$A59&lt;&gt;E$1,Recharged_Feasible_mat!F28),(VLOOKUP(E$1,test!$A$3:$I$32,8,FALSE))-(VLOOKUP($A59,test!$A$3:$I$32,9,FALSE))+(test!$B$33-50),0)</f>
        <v>0</v>
      </c>
      <c r="F59">
        <f>IF(AND(SUM(VLOOKUP($A59,test!$A$3:$F$32,2,FALSE),VLOOKUP(F$1,test!$A$3:$F$32,2,FALSE))&lt;test!$K$16,$A59&lt;&gt;F$1,Recharged_Feasible_mat!G28),(VLOOKUP(F$1,test!$A$3:$I$32,8,FALSE))-(VLOOKUP($A59,test!$A$3:$I$32,9,FALSE))+(test!$B$33-50),0)</f>
        <v>0</v>
      </c>
      <c r="G59">
        <f>IF(AND(SUM(VLOOKUP($A59,test!$A$3:$F$32,2,FALSE),VLOOKUP(G$1,test!$A$3:$F$32,2,FALSE))&lt;test!$K$16,$A59&lt;&gt;G$1,Recharged_Feasible_mat!H28),(VLOOKUP(G$1,test!$A$3:$I$32,8,FALSE))-(VLOOKUP($A59,test!$A$3:$I$32,9,FALSE))+(test!$B$33-50),0)</f>
        <v>0</v>
      </c>
      <c r="H59">
        <f>IF(AND(SUM(VLOOKUP($A59,test!$A$3:$F$32,2,FALSE),VLOOKUP(H$1,test!$A$3:$F$32,2,FALSE))&lt;test!$K$16,$A59&lt;&gt;H$1,Recharged_Feasible_mat!I28),(VLOOKUP(H$1,test!$A$3:$I$32,8,FALSE))-(VLOOKUP($A59,test!$A$3:$I$32,9,FALSE))+(test!$B$33-50),0)</f>
        <v>0</v>
      </c>
      <c r="I59">
        <f>IF(AND(SUM(VLOOKUP($A59,test!$A$3:$F$32,2,FALSE),VLOOKUP(I$1,test!$A$3:$F$32,2,FALSE))&lt;test!$K$16,$A59&lt;&gt;I$1,Recharged_Feasible_mat!J28),(VLOOKUP(I$1,test!$A$3:$I$32,8,FALSE))-(VLOOKUP($A59,test!$A$3:$I$32,9,FALSE))+(test!$B$33-50),0)</f>
        <v>0</v>
      </c>
      <c r="J59">
        <f>IF(AND(SUM(VLOOKUP($A59,test!$A$3:$F$32,2,FALSE),VLOOKUP(J$1,test!$A$3:$F$32,2,FALSE))&lt;test!$K$16,$A59&lt;&gt;J$1,Recharged_Feasible_mat!K28),(VLOOKUP(J$1,test!$A$3:$I$32,8,FALSE))-(VLOOKUP($A59,test!$A$3:$I$32,9,FALSE))+(test!$B$33-50),0)</f>
        <v>130</v>
      </c>
      <c r="K59">
        <f>IF(AND(SUM(VLOOKUP($A59,test!$A$3:$F$32,2,FALSE),VLOOKUP(K$1,test!$A$3:$F$32,2,FALSE))&lt;test!$K$16,$A59&lt;&gt;K$1,Recharged_Feasible_mat!L28),(VLOOKUP(K$1,test!$A$3:$I$32,8,FALSE))-(VLOOKUP($A59,test!$A$3:$I$32,9,FALSE))+(test!$B$33-50),0)</f>
        <v>0</v>
      </c>
      <c r="L59">
        <f>IF(AND(SUM(VLOOKUP($A59,test!$A$3:$F$32,2,FALSE),VLOOKUP(L$1,test!$A$3:$F$32,2,FALSE))&lt;test!$K$16,$A59&lt;&gt;L$1,Recharged_Feasible_mat!M28),(VLOOKUP(L$1,test!$A$3:$I$32,8,FALSE))-(VLOOKUP($A59,test!$A$3:$I$32,9,FALSE))+(test!$B$33-50),0)</f>
        <v>0</v>
      </c>
      <c r="M59">
        <f>IF(AND(SUM(VLOOKUP($A59,test!$A$3:$F$32,2,FALSE),VLOOKUP(M$1,test!$A$3:$F$32,2,FALSE))&lt;test!$K$16,$A59&lt;&gt;M$1,Recharged_Feasible_mat!N28),(VLOOKUP(M$1,test!$A$3:$I$32,8,FALSE))-(VLOOKUP($A59,test!$A$3:$I$32,9,FALSE))+(test!$B$33-50),0)</f>
        <v>0</v>
      </c>
      <c r="N59">
        <f>IF(AND(SUM(VLOOKUP($A59,test!$A$3:$F$32,2,FALSE),VLOOKUP(N$1,test!$A$3:$F$32,2,FALSE))&lt;test!$K$16,$A59&lt;&gt;N$1,Recharged_Feasible_mat!O28),(VLOOKUP(N$1,test!$A$3:$I$32,8,FALSE))-(VLOOKUP($A59,test!$A$3:$I$32,9,FALSE))+(test!$B$33-50),0)</f>
        <v>95</v>
      </c>
      <c r="O59">
        <f>IF(AND(SUM(VLOOKUP($A59,test!$A$3:$F$32,2,FALSE),VLOOKUP(O$1,test!$A$3:$F$32,2,FALSE))&lt;test!$K$16,$A59&lt;&gt;O$1,Recharged_Feasible_mat!P28),(VLOOKUP(O$1,test!$A$3:$I$32,8,FALSE))-(VLOOKUP($A59,test!$A$3:$I$32,9,FALSE))+(test!$B$33-50),0)</f>
        <v>155</v>
      </c>
      <c r="P59">
        <f>IF(AND(SUM(VLOOKUP($A59,test!$A$3:$F$32,2,FALSE),VLOOKUP(P$1,test!$A$3:$F$32,2,FALSE))&lt;test!$K$16,$A59&lt;&gt;P$1,Recharged_Feasible_mat!Q28),(VLOOKUP(P$1,test!$A$3:$I$32,8,FALSE))-(VLOOKUP($A59,test!$A$3:$I$32,9,FALSE))+(test!$B$33-50),0)</f>
        <v>0</v>
      </c>
      <c r="Q59">
        <f>IF(AND(SUM(VLOOKUP($A59,test!$A$3:$F$32,2,FALSE),VLOOKUP(Q$1,test!$A$3:$F$32,2,FALSE))&lt;test!$K$16,$A59&lt;&gt;Q$1,Recharged_Feasible_mat!R28),(VLOOKUP(Q$1,test!$A$3:$I$32,8,FALSE))-(VLOOKUP($A59,test!$A$3:$I$32,9,FALSE))+(test!$B$33-50),0)</f>
        <v>0</v>
      </c>
      <c r="R59">
        <f>IF(AND(SUM(VLOOKUP($A59,test!$A$3:$F$32,2,FALSE),VLOOKUP(R$1,test!$A$3:$F$32,2,FALSE))&lt;test!$K$16,$A59&lt;&gt;R$1,Recharged_Feasible_mat!S28),(VLOOKUP(R$1,test!$A$3:$I$32,8,FALSE))-(VLOOKUP($A59,test!$A$3:$I$32,9,FALSE))+(test!$B$33-50),0)</f>
        <v>0</v>
      </c>
      <c r="S59">
        <f>IF(AND(SUM(VLOOKUP($A59,test!$A$3:$F$32,2,FALSE),VLOOKUP(S$1,test!$A$3:$F$32,2,FALSE))&lt;test!$K$16,$A59&lt;&gt;S$1,Recharged_Feasible_mat!T28),(VLOOKUP(S$1,test!$A$3:$I$32,8,FALSE))-(VLOOKUP($A59,test!$A$3:$I$32,9,FALSE))+(test!$B$33-50),0)</f>
        <v>0</v>
      </c>
      <c r="T59">
        <f>IF(AND(SUM(VLOOKUP($A59,test!$A$3:$F$32,2,FALSE),VLOOKUP(T$1,test!$A$3:$F$32,2,FALSE))&lt;test!$K$16,$A59&lt;&gt;T$1,Recharged_Feasible_mat!U28),(VLOOKUP(T$1,test!$A$3:$I$32,8,FALSE))-(VLOOKUP($A59,test!$A$3:$I$32,9,FALSE))+(test!$B$33-50),0)</f>
        <v>0</v>
      </c>
      <c r="U59">
        <f>IF(AND(SUM(VLOOKUP($A59,test!$A$3:$F$32,2,FALSE),VLOOKUP(U$1,test!$A$3:$F$32,2,FALSE))&lt;test!$K$16,$A59&lt;&gt;U$1,Recharged_Feasible_mat!V28),(VLOOKUP(U$1,test!$A$3:$I$32,8,FALSE))-(VLOOKUP($A59,test!$A$3:$I$32,9,FALSE))+(test!$B$33-50),0)</f>
        <v>0</v>
      </c>
      <c r="V59">
        <f>IF(AND(SUM(VLOOKUP($A59,test!$A$3:$F$32,2,FALSE),VLOOKUP(V$1,test!$A$3:$F$32,2,FALSE))&lt;test!$K$16,$A59&lt;&gt;V$1,Recharged_Feasible_mat!W28),(VLOOKUP(V$1,test!$A$3:$I$32,8,FALSE))-(VLOOKUP($A59,test!$A$3:$I$32,9,FALSE))+(test!$B$33-50),0)</f>
        <v>0</v>
      </c>
      <c r="W59">
        <f>IF(AND(SUM(VLOOKUP($A59,test!$A$3:$F$32,2,FALSE),VLOOKUP(W$1,test!$A$3:$F$32,2,FALSE))&lt;test!$K$16,$A59&lt;&gt;W$1,Recharged_Feasible_mat!X28),(VLOOKUP(W$1,test!$A$3:$I$32,8,FALSE))-(VLOOKUP($A59,test!$A$3:$I$32,9,FALSE))+(test!$B$33-50),0)</f>
        <v>0</v>
      </c>
      <c r="X59">
        <f>IF(AND(SUM(VLOOKUP($A59,test!$A$3:$F$32,2,FALSE),VLOOKUP(X$1,test!$A$3:$F$32,2,FALSE))&lt;test!$K$16,$A59&lt;&gt;X$1,Recharged_Feasible_mat!Y28),(VLOOKUP(X$1,test!$A$3:$I$32,8,FALSE))-(VLOOKUP($A59,test!$A$3:$I$32,9,FALSE))+(test!$B$33-50),0)</f>
        <v>0</v>
      </c>
      <c r="Y59">
        <f>IF(AND(SUM(VLOOKUP($A59,test!$A$3:$F$32,2,FALSE),VLOOKUP(Y$1,test!$A$3:$F$32,2,FALSE))&lt;test!$K$16,$A59&lt;&gt;Y$1,Recharged_Feasible_mat!Z28),(VLOOKUP(Y$1,test!$A$3:$I$32,8,FALSE))-(VLOOKUP($A59,test!$A$3:$I$32,9,FALSE))+(test!$B$33-50),0)</f>
        <v>0</v>
      </c>
      <c r="Z59">
        <f>IF(AND(SUM(VLOOKUP($A59,test!$A$3:$F$32,2,FALSE),VLOOKUP(Z$1,test!$A$3:$F$32,2,FALSE))&lt;test!$K$16,$A59&lt;&gt;Z$1,Recharged_Feasible_mat!AA28),(VLOOKUP(Z$1,test!$A$3:$I$32,8,FALSE))-(VLOOKUP($A59,test!$A$3:$I$32,9,FALSE))+(test!$B$33-50),0)</f>
        <v>0</v>
      </c>
      <c r="AA59">
        <f>IF(AND(SUM(VLOOKUP($A59,test!$A$3:$F$32,2,FALSE),VLOOKUP(AA$1,test!$A$3:$F$32,2,FALSE))&lt;test!$K$16,$A59&lt;&gt;AA$1,Recharged_Feasible_mat!AB28),(VLOOKUP(AA$1,test!$A$3:$I$32,8,FALSE))-(VLOOKUP($A59,test!$A$3:$I$32,9,FALSE))+(test!$B$33-50),0)</f>
        <v>0</v>
      </c>
      <c r="AB59">
        <f>IF(AND(SUM(VLOOKUP($A59,test!$A$3:$F$32,2,FALSE),VLOOKUP(AB$1,test!$A$3:$F$32,2,FALSE))&lt;test!$K$16,$A59&lt;&gt;AB$1,Recharged_Feasible_mat!AC28),(VLOOKUP(AB$1,test!$A$3:$I$32,8,FALSE))-(VLOOKUP($A59,test!$A$3:$I$32,9,FALSE))+(test!$B$33-50),0)</f>
        <v>0</v>
      </c>
      <c r="AC59">
        <f>IF(AND(SUM(VLOOKUP($A59,test!$A$3:$F$32,2,FALSE),VLOOKUP(AC$1,test!$A$3:$F$32,2,FALSE))&lt;test!$K$16,$A59&lt;&gt;AC$1,Recharged_Feasible_mat!AD28),(VLOOKUP(AC$1,test!$A$3:$I$32,8,FALSE))-(VLOOKUP($A59,test!$A$3:$I$32,9,FALSE))+(test!$B$33-50),0)</f>
        <v>0</v>
      </c>
      <c r="AD59">
        <f>IF(AND(SUM(VLOOKUP($A59,test!$A$3:$F$32,2,FALSE),VLOOKUP(AD$1,test!$A$3:$F$32,2,FALSE))&lt;test!$K$16,$A59&lt;&gt;AD$1,Recharged_Feasible_mat!AE28),(VLOOKUP(AD$1,test!$A$3:$I$32,8,FALSE))-(VLOOKUP($A59,test!$A$3:$I$32,9,FALSE))+(test!$B$33-50),0)</f>
        <v>0</v>
      </c>
      <c r="AE59">
        <f>IF(AND(SUM(VLOOKUP($A59,test!$A$3:$F$32,2,FALSE),VLOOKUP(AE$1,test!$A$3:$F$32,2,FALSE))&lt;test!$K$16,$A59&lt;&gt;AE$1,Recharged_Feasible_mat!AF28),(VLOOKUP(AE$1,test!$A$3:$I$32,8,FALSE))-(VLOOKUP($A59,test!$A$3:$I$32,9,FALSE))+(test!$B$33-50),0)</f>
        <v>0</v>
      </c>
      <c r="AF59">
        <f>IF(AND(SUM(VLOOKUP($A59,test!$A$3:$F$32,2,FALSE),VLOOKUP(AF$1,test!$A$3:$F$32,2,FALSE))&lt;test!$K$16,$A59&lt;&gt;AF$1,Recharged_Feasible_mat!AG28),(VLOOKUP(AF$1,test!$A$3:$I$32,8,FALSE))-(VLOOKUP($A59,test!$A$3:$I$32,9,FALSE))+(test!$B$33-50),0)</f>
        <v>0</v>
      </c>
    </row>
    <row r="60" spans="1:32" x14ac:dyDescent="0.25">
      <c r="A60" t="s">
        <v>38</v>
      </c>
      <c r="B60">
        <v>0</v>
      </c>
      <c r="C60">
        <f>IF(AND(SUM(VLOOKUP($A60,test!$A$3:$F$32,2,FALSE),VLOOKUP(C$1,test!$A$3:$F$32,2,FALSE))&lt;test!$K$16,$A60&lt;&gt;C$1,Recharged_Feasible_mat!D29),(VLOOKUP(C$1,test!$A$3:$I$32,8,FALSE))-(VLOOKUP($A60,test!$A$3:$I$32,9,FALSE))+(test!$B$33-50),0)</f>
        <v>0</v>
      </c>
      <c r="D60">
        <f>IF(AND(SUM(VLOOKUP($A60,test!$A$3:$F$32,2,FALSE),VLOOKUP(D$1,test!$A$3:$F$32,2,FALSE))&lt;test!$K$16,$A60&lt;&gt;D$1,Recharged_Feasible_mat!E29),(VLOOKUP(D$1,test!$A$3:$I$32,8,FALSE))-(VLOOKUP($A60,test!$A$3:$I$32,9,FALSE))+(test!$B$33-50),0)</f>
        <v>0</v>
      </c>
      <c r="E60">
        <f>IF(AND(SUM(VLOOKUP($A60,test!$A$3:$F$32,2,FALSE),VLOOKUP(E$1,test!$A$3:$F$32,2,FALSE))&lt;test!$K$16,$A60&lt;&gt;E$1,Recharged_Feasible_mat!F29),(VLOOKUP(E$1,test!$A$3:$I$32,8,FALSE))-(VLOOKUP($A60,test!$A$3:$I$32,9,FALSE))+(test!$B$33-50),0)</f>
        <v>0</v>
      </c>
      <c r="F60">
        <f>IF(AND(SUM(VLOOKUP($A60,test!$A$3:$F$32,2,FALSE),VLOOKUP(F$1,test!$A$3:$F$32,2,FALSE))&lt;test!$K$16,$A60&lt;&gt;F$1,Recharged_Feasible_mat!G29),(VLOOKUP(F$1,test!$A$3:$I$32,8,FALSE))-(VLOOKUP($A60,test!$A$3:$I$32,9,FALSE))+(test!$B$33-50),0)</f>
        <v>0</v>
      </c>
      <c r="G60">
        <f>IF(AND(SUM(VLOOKUP($A60,test!$A$3:$F$32,2,FALSE),VLOOKUP(G$1,test!$A$3:$F$32,2,FALSE))&lt;test!$K$16,$A60&lt;&gt;G$1,Recharged_Feasible_mat!H29),(VLOOKUP(G$1,test!$A$3:$I$32,8,FALSE))-(VLOOKUP($A60,test!$A$3:$I$32,9,FALSE))+(test!$B$33-50),0)</f>
        <v>0</v>
      </c>
      <c r="H60">
        <f>IF(AND(SUM(VLOOKUP($A60,test!$A$3:$F$32,2,FALSE),VLOOKUP(H$1,test!$A$3:$F$32,2,FALSE))&lt;test!$K$16,$A60&lt;&gt;H$1,Recharged_Feasible_mat!I29),(VLOOKUP(H$1,test!$A$3:$I$32,8,FALSE))-(VLOOKUP($A60,test!$A$3:$I$32,9,FALSE))+(test!$B$33-50),0)</f>
        <v>0</v>
      </c>
      <c r="I60">
        <f>IF(AND(SUM(VLOOKUP($A60,test!$A$3:$F$32,2,FALSE),VLOOKUP(I$1,test!$A$3:$F$32,2,FALSE))&lt;test!$K$16,$A60&lt;&gt;I$1,Recharged_Feasible_mat!J29),(VLOOKUP(I$1,test!$A$3:$I$32,8,FALSE))-(VLOOKUP($A60,test!$A$3:$I$32,9,FALSE))+(test!$B$33-50),0)</f>
        <v>0</v>
      </c>
      <c r="J60">
        <f>IF(AND(SUM(VLOOKUP($A60,test!$A$3:$F$32,2,FALSE),VLOOKUP(J$1,test!$A$3:$F$32,2,FALSE))&lt;test!$K$16,$A60&lt;&gt;J$1,Recharged_Feasible_mat!K29),(VLOOKUP(J$1,test!$A$3:$I$32,8,FALSE))-(VLOOKUP($A60,test!$A$3:$I$32,9,FALSE))+(test!$B$33-50),0)</f>
        <v>0</v>
      </c>
      <c r="K60">
        <f>IF(AND(SUM(VLOOKUP($A60,test!$A$3:$F$32,2,FALSE),VLOOKUP(K$1,test!$A$3:$F$32,2,FALSE))&lt;test!$K$16,$A60&lt;&gt;K$1,Recharged_Feasible_mat!L29),(VLOOKUP(K$1,test!$A$3:$I$32,8,FALSE))-(VLOOKUP($A60,test!$A$3:$I$32,9,FALSE))+(test!$B$33-50),0)</f>
        <v>0</v>
      </c>
      <c r="L60">
        <f>IF(AND(SUM(VLOOKUP($A60,test!$A$3:$F$32,2,FALSE),VLOOKUP(L$1,test!$A$3:$F$32,2,FALSE))&lt;test!$K$16,$A60&lt;&gt;L$1,Recharged_Feasible_mat!M29),(VLOOKUP(L$1,test!$A$3:$I$32,8,FALSE))-(VLOOKUP($A60,test!$A$3:$I$32,9,FALSE))+(test!$B$33-50),0)</f>
        <v>0</v>
      </c>
      <c r="M60">
        <f>IF(AND(SUM(VLOOKUP($A60,test!$A$3:$F$32,2,FALSE),VLOOKUP(M$1,test!$A$3:$F$32,2,FALSE))&lt;test!$K$16,$A60&lt;&gt;M$1,Recharged_Feasible_mat!N29),(VLOOKUP(M$1,test!$A$3:$I$32,8,FALSE))-(VLOOKUP($A60,test!$A$3:$I$32,9,FALSE))+(test!$B$33-50),0)</f>
        <v>0</v>
      </c>
      <c r="N60">
        <f>IF(AND(SUM(VLOOKUP($A60,test!$A$3:$F$32,2,FALSE),VLOOKUP(N$1,test!$A$3:$F$32,2,FALSE))&lt;test!$K$16,$A60&lt;&gt;N$1,Recharged_Feasible_mat!O29),(VLOOKUP(N$1,test!$A$3:$I$32,8,FALSE))-(VLOOKUP($A60,test!$A$3:$I$32,9,FALSE))+(test!$B$33-50),0)</f>
        <v>0</v>
      </c>
      <c r="O60">
        <f>IF(AND(SUM(VLOOKUP($A60,test!$A$3:$F$32,2,FALSE),VLOOKUP(O$1,test!$A$3:$F$32,2,FALSE))&lt;test!$K$16,$A60&lt;&gt;O$1,Recharged_Feasible_mat!P29),(VLOOKUP(O$1,test!$A$3:$I$32,8,FALSE))-(VLOOKUP($A60,test!$A$3:$I$32,9,FALSE))+(test!$B$33-50),0)</f>
        <v>0</v>
      </c>
      <c r="P60">
        <f>IF(AND(SUM(VLOOKUP($A60,test!$A$3:$F$32,2,FALSE),VLOOKUP(P$1,test!$A$3:$F$32,2,FALSE))&lt;test!$K$16,$A60&lt;&gt;P$1,Recharged_Feasible_mat!Q29),(VLOOKUP(P$1,test!$A$3:$I$32,8,FALSE))-(VLOOKUP($A60,test!$A$3:$I$32,9,FALSE))+(test!$B$33-50),0)</f>
        <v>0</v>
      </c>
      <c r="Q60">
        <f>IF(AND(SUM(VLOOKUP($A60,test!$A$3:$F$32,2,FALSE),VLOOKUP(Q$1,test!$A$3:$F$32,2,FALSE))&lt;test!$K$16,$A60&lt;&gt;Q$1,Recharged_Feasible_mat!R29),(VLOOKUP(Q$1,test!$A$3:$I$32,8,FALSE))-(VLOOKUP($A60,test!$A$3:$I$32,9,FALSE))+(test!$B$33-50),0)</f>
        <v>0</v>
      </c>
      <c r="R60">
        <f>IF(AND(SUM(VLOOKUP($A60,test!$A$3:$F$32,2,FALSE),VLOOKUP(R$1,test!$A$3:$F$32,2,FALSE))&lt;test!$K$16,$A60&lt;&gt;R$1,Recharged_Feasible_mat!S29),(VLOOKUP(R$1,test!$A$3:$I$32,8,FALSE))-(VLOOKUP($A60,test!$A$3:$I$32,9,FALSE))+(test!$B$33-50),0)</f>
        <v>0</v>
      </c>
      <c r="S60">
        <f>IF(AND(SUM(VLOOKUP($A60,test!$A$3:$F$32,2,FALSE),VLOOKUP(S$1,test!$A$3:$F$32,2,FALSE))&lt;test!$K$16,$A60&lt;&gt;S$1,Recharged_Feasible_mat!T29),(VLOOKUP(S$1,test!$A$3:$I$32,8,FALSE))-(VLOOKUP($A60,test!$A$3:$I$32,9,FALSE))+(test!$B$33-50),0)</f>
        <v>0</v>
      </c>
      <c r="T60">
        <f>IF(AND(SUM(VLOOKUP($A60,test!$A$3:$F$32,2,FALSE),VLOOKUP(T$1,test!$A$3:$F$32,2,FALSE))&lt;test!$K$16,$A60&lt;&gt;T$1,Recharged_Feasible_mat!U29),(VLOOKUP(T$1,test!$A$3:$I$32,8,FALSE))-(VLOOKUP($A60,test!$A$3:$I$32,9,FALSE))+(test!$B$33-50),0)</f>
        <v>0</v>
      </c>
      <c r="U60">
        <f>IF(AND(SUM(VLOOKUP($A60,test!$A$3:$F$32,2,FALSE),VLOOKUP(U$1,test!$A$3:$F$32,2,FALSE))&lt;test!$K$16,$A60&lt;&gt;U$1,Recharged_Feasible_mat!V29),(VLOOKUP(U$1,test!$A$3:$I$32,8,FALSE))-(VLOOKUP($A60,test!$A$3:$I$32,9,FALSE))+(test!$B$33-50),0)</f>
        <v>0</v>
      </c>
      <c r="V60">
        <f>IF(AND(SUM(VLOOKUP($A60,test!$A$3:$F$32,2,FALSE),VLOOKUP(V$1,test!$A$3:$F$32,2,FALSE))&lt;test!$K$16,$A60&lt;&gt;V$1,Recharged_Feasible_mat!W29),(VLOOKUP(V$1,test!$A$3:$I$32,8,FALSE))-(VLOOKUP($A60,test!$A$3:$I$32,9,FALSE))+(test!$B$33-50),0)</f>
        <v>0</v>
      </c>
      <c r="W60">
        <f>IF(AND(SUM(VLOOKUP($A60,test!$A$3:$F$32,2,FALSE),VLOOKUP(W$1,test!$A$3:$F$32,2,FALSE))&lt;test!$K$16,$A60&lt;&gt;W$1,Recharged_Feasible_mat!X29),(VLOOKUP(W$1,test!$A$3:$I$32,8,FALSE))-(VLOOKUP($A60,test!$A$3:$I$32,9,FALSE))+(test!$B$33-50),0)</f>
        <v>0</v>
      </c>
      <c r="X60">
        <f>IF(AND(SUM(VLOOKUP($A60,test!$A$3:$F$32,2,FALSE),VLOOKUP(X$1,test!$A$3:$F$32,2,FALSE))&lt;test!$K$16,$A60&lt;&gt;X$1,Recharged_Feasible_mat!Y29),(VLOOKUP(X$1,test!$A$3:$I$32,8,FALSE))-(VLOOKUP($A60,test!$A$3:$I$32,9,FALSE))+(test!$B$33-50),0)</f>
        <v>0</v>
      </c>
      <c r="Y60">
        <f>IF(AND(SUM(VLOOKUP($A60,test!$A$3:$F$32,2,FALSE),VLOOKUP(Y$1,test!$A$3:$F$32,2,FALSE))&lt;test!$K$16,$A60&lt;&gt;Y$1,Recharged_Feasible_mat!Z29),(VLOOKUP(Y$1,test!$A$3:$I$32,8,FALSE))-(VLOOKUP($A60,test!$A$3:$I$32,9,FALSE))+(test!$B$33-50),0)</f>
        <v>0</v>
      </c>
      <c r="Z60">
        <f>IF(AND(SUM(VLOOKUP($A60,test!$A$3:$F$32,2,FALSE),VLOOKUP(Z$1,test!$A$3:$F$32,2,FALSE))&lt;test!$K$16,$A60&lt;&gt;Z$1,Recharged_Feasible_mat!AA29),(VLOOKUP(Z$1,test!$A$3:$I$32,8,FALSE))-(VLOOKUP($A60,test!$A$3:$I$32,9,FALSE))+(test!$B$33-50),0)</f>
        <v>0</v>
      </c>
      <c r="AA60">
        <f>IF(AND(SUM(VLOOKUP($A60,test!$A$3:$F$32,2,FALSE),VLOOKUP(AA$1,test!$A$3:$F$32,2,FALSE))&lt;test!$K$16,$A60&lt;&gt;AA$1,Recharged_Feasible_mat!AB29),(VLOOKUP(AA$1,test!$A$3:$I$32,8,FALSE))-(VLOOKUP($A60,test!$A$3:$I$32,9,FALSE))+(test!$B$33-50),0)</f>
        <v>0</v>
      </c>
      <c r="AB60">
        <f>IF(AND(SUM(VLOOKUP($A60,test!$A$3:$F$32,2,FALSE),VLOOKUP(AB$1,test!$A$3:$F$32,2,FALSE))&lt;test!$K$16,$A60&lt;&gt;AB$1,Recharged_Feasible_mat!AC29),(VLOOKUP(AB$1,test!$A$3:$I$32,8,FALSE))-(VLOOKUP($A60,test!$A$3:$I$32,9,FALSE))+(test!$B$33-50),0)</f>
        <v>0</v>
      </c>
      <c r="AC60">
        <f>IF(AND(SUM(VLOOKUP($A60,test!$A$3:$F$32,2,FALSE),VLOOKUP(AC$1,test!$A$3:$F$32,2,FALSE))&lt;test!$K$16,$A60&lt;&gt;AC$1,Recharged_Feasible_mat!AD29),(VLOOKUP(AC$1,test!$A$3:$I$32,8,FALSE))-(VLOOKUP($A60,test!$A$3:$I$32,9,FALSE))+(test!$B$33-50),0)</f>
        <v>0</v>
      </c>
      <c r="AD60">
        <f>IF(AND(SUM(VLOOKUP($A60,test!$A$3:$F$32,2,FALSE),VLOOKUP(AD$1,test!$A$3:$F$32,2,FALSE))&lt;test!$K$16,$A60&lt;&gt;AD$1,Recharged_Feasible_mat!AE29),(VLOOKUP(AD$1,test!$A$3:$I$32,8,FALSE))-(VLOOKUP($A60,test!$A$3:$I$32,9,FALSE))+(test!$B$33-50),0)</f>
        <v>0</v>
      </c>
      <c r="AE60">
        <f>IF(AND(SUM(VLOOKUP($A60,test!$A$3:$F$32,2,FALSE),VLOOKUP(AE$1,test!$A$3:$F$32,2,FALSE))&lt;test!$K$16,$A60&lt;&gt;AE$1,Recharged_Feasible_mat!AF29),(VLOOKUP(AE$1,test!$A$3:$I$32,8,FALSE))-(VLOOKUP($A60,test!$A$3:$I$32,9,FALSE))+(test!$B$33-50),0)</f>
        <v>0</v>
      </c>
      <c r="AF60">
        <f>IF(AND(SUM(VLOOKUP($A60,test!$A$3:$F$32,2,FALSE),VLOOKUP(AF$1,test!$A$3:$F$32,2,FALSE))&lt;test!$K$16,$A60&lt;&gt;AF$1,Recharged_Feasible_mat!AG29),(VLOOKUP(AF$1,test!$A$3:$I$32,8,FALSE))-(VLOOKUP($A60,test!$A$3:$I$32,9,FALSE))+(test!$B$33-50),0)</f>
        <v>0</v>
      </c>
    </row>
    <row r="61" spans="1:32" x14ac:dyDescent="0.25">
      <c r="A61" t="s">
        <v>39</v>
      </c>
      <c r="B61">
        <v>0</v>
      </c>
      <c r="C61">
        <f>IF(AND(SUM(VLOOKUP($A61,test!$A$3:$F$32,2,FALSE),VLOOKUP(C$1,test!$A$3:$F$32,2,FALSE))&lt;test!$K$16,$A61&lt;&gt;C$1,Recharged_Feasible_mat!D30),(VLOOKUP(C$1,test!$A$3:$I$32,8,FALSE))-(VLOOKUP($A61,test!$A$3:$I$32,9,FALSE))+(test!$B$33-50),0)</f>
        <v>0</v>
      </c>
      <c r="D61">
        <f>IF(AND(SUM(VLOOKUP($A61,test!$A$3:$F$32,2,FALSE),VLOOKUP(D$1,test!$A$3:$F$32,2,FALSE))&lt;test!$K$16,$A61&lt;&gt;D$1,Recharged_Feasible_mat!E30),(VLOOKUP(D$1,test!$A$3:$I$32,8,FALSE))-(VLOOKUP($A61,test!$A$3:$I$32,9,FALSE))+(test!$B$33-50),0)</f>
        <v>0</v>
      </c>
      <c r="E61">
        <f>IF(AND(SUM(VLOOKUP($A61,test!$A$3:$F$32,2,FALSE),VLOOKUP(E$1,test!$A$3:$F$32,2,FALSE))&lt;test!$K$16,$A61&lt;&gt;E$1,Recharged_Feasible_mat!F30),(VLOOKUP(E$1,test!$A$3:$I$32,8,FALSE))-(VLOOKUP($A61,test!$A$3:$I$32,9,FALSE))+(test!$B$33-50),0)</f>
        <v>0</v>
      </c>
      <c r="F61">
        <f>IF(AND(SUM(VLOOKUP($A61,test!$A$3:$F$32,2,FALSE),VLOOKUP(F$1,test!$A$3:$F$32,2,FALSE))&lt;test!$K$16,$A61&lt;&gt;F$1,Recharged_Feasible_mat!G30),(VLOOKUP(F$1,test!$A$3:$I$32,8,FALSE))-(VLOOKUP($A61,test!$A$3:$I$32,9,FALSE))+(test!$B$33-50),0)</f>
        <v>0</v>
      </c>
      <c r="G61">
        <f>IF(AND(SUM(VLOOKUP($A61,test!$A$3:$F$32,2,FALSE),VLOOKUP(G$1,test!$A$3:$F$32,2,FALSE))&lt;test!$K$16,$A61&lt;&gt;G$1,Recharged_Feasible_mat!H30),(VLOOKUP(G$1,test!$A$3:$I$32,8,FALSE))-(VLOOKUP($A61,test!$A$3:$I$32,9,FALSE))+(test!$B$33-50),0)</f>
        <v>0</v>
      </c>
      <c r="H61">
        <f>IF(AND(SUM(VLOOKUP($A61,test!$A$3:$F$32,2,FALSE),VLOOKUP(H$1,test!$A$3:$F$32,2,FALSE))&lt;test!$K$16,$A61&lt;&gt;H$1,Recharged_Feasible_mat!I30),(VLOOKUP(H$1,test!$A$3:$I$32,8,FALSE))-(VLOOKUP($A61,test!$A$3:$I$32,9,FALSE))+(test!$B$33-50),0)</f>
        <v>0</v>
      </c>
      <c r="I61">
        <f>IF(AND(SUM(VLOOKUP($A61,test!$A$3:$F$32,2,FALSE),VLOOKUP(I$1,test!$A$3:$F$32,2,FALSE))&lt;test!$K$16,$A61&lt;&gt;I$1,Recharged_Feasible_mat!J30),(VLOOKUP(I$1,test!$A$3:$I$32,8,FALSE))-(VLOOKUP($A61,test!$A$3:$I$32,9,FALSE))+(test!$B$33-50),0)</f>
        <v>0</v>
      </c>
      <c r="J61">
        <f>IF(AND(SUM(VLOOKUP($A61,test!$A$3:$F$32,2,FALSE),VLOOKUP(J$1,test!$A$3:$F$32,2,FALSE))&lt;test!$K$16,$A61&lt;&gt;J$1,Recharged_Feasible_mat!K30),(VLOOKUP(J$1,test!$A$3:$I$32,8,FALSE))-(VLOOKUP($A61,test!$A$3:$I$32,9,FALSE))+(test!$B$33-50),0)</f>
        <v>0</v>
      </c>
      <c r="K61">
        <f>IF(AND(SUM(VLOOKUP($A61,test!$A$3:$F$32,2,FALSE),VLOOKUP(K$1,test!$A$3:$F$32,2,FALSE))&lt;test!$K$16,$A61&lt;&gt;K$1,Recharged_Feasible_mat!L30),(VLOOKUP(K$1,test!$A$3:$I$32,8,FALSE))-(VLOOKUP($A61,test!$A$3:$I$32,9,FALSE))+(test!$B$33-50),0)</f>
        <v>0</v>
      </c>
      <c r="L61">
        <f>IF(AND(SUM(VLOOKUP($A61,test!$A$3:$F$32,2,FALSE),VLOOKUP(L$1,test!$A$3:$F$32,2,FALSE))&lt;test!$K$16,$A61&lt;&gt;L$1,Recharged_Feasible_mat!M30),(VLOOKUP(L$1,test!$A$3:$I$32,8,FALSE))-(VLOOKUP($A61,test!$A$3:$I$32,9,FALSE))+(test!$B$33-50),0)</f>
        <v>0</v>
      </c>
      <c r="M61">
        <f>IF(AND(SUM(VLOOKUP($A61,test!$A$3:$F$32,2,FALSE),VLOOKUP(M$1,test!$A$3:$F$32,2,FALSE))&lt;test!$K$16,$A61&lt;&gt;M$1,Recharged_Feasible_mat!N30),(VLOOKUP(M$1,test!$A$3:$I$32,8,FALSE))-(VLOOKUP($A61,test!$A$3:$I$32,9,FALSE))+(test!$B$33-50),0)</f>
        <v>0</v>
      </c>
      <c r="N61">
        <f>IF(AND(SUM(VLOOKUP($A61,test!$A$3:$F$32,2,FALSE),VLOOKUP(N$1,test!$A$3:$F$32,2,FALSE))&lt;test!$K$16,$A61&lt;&gt;N$1,Recharged_Feasible_mat!O30),(VLOOKUP(N$1,test!$A$3:$I$32,8,FALSE))-(VLOOKUP($A61,test!$A$3:$I$32,9,FALSE))+(test!$B$33-50),0)</f>
        <v>0</v>
      </c>
      <c r="O61">
        <f>IF(AND(SUM(VLOOKUP($A61,test!$A$3:$F$32,2,FALSE),VLOOKUP(O$1,test!$A$3:$F$32,2,FALSE))&lt;test!$K$16,$A61&lt;&gt;O$1,Recharged_Feasible_mat!P30),(VLOOKUP(O$1,test!$A$3:$I$32,8,FALSE))-(VLOOKUP($A61,test!$A$3:$I$32,9,FALSE))+(test!$B$33-50),0)</f>
        <v>0</v>
      </c>
      <c r="P61">
        <f>IF(AND(SUM(VLOOKUP($A61,test!$A$3:$F$32,2,FALSE),VLOOKUP(P$1,test!$A$3:$F$32,2,FALSE))&lt;test!$K$16,$A61&lt;&gt;P$1,Recharged_Feasible_mat!Q30),(VLOOKUP(P$1,test!$A$3:$I$32,8,FALSE))-(VLOOKUP($A61,test!$A$3:$I$32,9,FALSE))+(test!$B$33-50),0)</f>
        <v>0</v>
      </c>
      <c r="Q61">
        <f>IF(AND(SUM(VLOOKUP($A61,test!$A$3:$F$32,2,FALSE),VLOOKUP(Q$1,test!$A$3:$F$32,2,FALSE))&lt;test!$K$16,$A61&lt;&gt;Q$1,Recharged_Feasible_mat!R30),(VLOOKUP(Q$1,test!$A$3:$I$32,8,FALSE))-(VLOOKUP($A61,test!$A$3:$I$32,9,FALSE))+(test!$B$33-50),0)</f>
        <v>0</v>
      </c>
      <c r="R61">
        <f>IF(AND(SUM(VLOOKUP($A61,test!$A$3:$F$32,2,FALSE),VLOOKUP(R$1,test!$A$3:$F$32,2,FALSE))&lt;test!$K$16,$A61&lt;&gt;R$1,Recharged_Feasible_mat!S30),(VLOOKUP(R$1,test!$A$3:$I$32,8,FALSE))-(VLOOKUP($A61,test!$A$3:$I$32,9,FALSE))+(test!$B$33-50),0)</f>
        <v>0</v>
      </c>
      <c r="S61">
        <f>IF(AND(SUM(VLOOKUP($A61,test!$A$3:$F$32,2,FALSE),VLOOKUP(S$1,test!$A$3:$F$32,2,FALSE))&lt;test!$K$16,$A61&lt;&gt;S$1,Recharged_Feasible_mat!T30),(VLOOKUP(S$1,test!$A$3:$I$32,8,FALSE))-(VLOOKUP($A61,test!$A$3:$I$32,9,FALSE))+(test!$B$33-50),0)</f>
        <v>0</v>
      </c>
      <c r="T61">
        <f>IF(AND(SUM(VLOOKUP($A61,test!$A$3:$F$32,2,FALSE),VLOOKUP(T$1,test!$A$3:$F$32,2,FALSE))&lt;test!$K$16,$A61&lt;&gt;T$1,Recharged_Feasible_mat!U30),(VLOOKUP(T$1,test!$A$3:$I$32,8,FALSE))-(VLOOKUP($A61,test!$A$3:$I$32,9,FALSE))+(test!$B$33-50),0)</f>
        <v>0</v>
      </c>
      <c r="U61">
        <f>IF(AND(SUM(VLOOKUP($A61,test!$A$3:$F$32,2,FALSE),VLOOKUP(U$1,test!$A$3:$F$32,2,FALSE))&lt;test!$K$16,$A61&lt;&gt;U$1,Recharged_Feasible_mat!V30),(VLOOKUP(U$1,test!$A$3:$I$32,8,FALSE))-(VLOOKUP($A61,test!$A$3:$I$32,9,FALSE))+(test!$B$33-50),0)</f>
        <v>0</v>
      </c>
      <c r="V61">
        <f>IF(AND(SUM(VLOOKUP($A61,test!$A$3:$F$32,2,FALSE),VLOOKUP(V$1,test!$A$3:$F$32,2,FALSE))&lt;test!$K$16,$A61&lt;&gt;V$1,Recharged_Feasible_mat!W30),(VLOOKUP(V$1,test!$A$3:$I$32,8,FALSE))-(VLOOKUP($A61,test!$A$3:$I$32,9,FALSE))+(test!$B$33-50),0)</f>
        <v>0</v>
      </c>
      <c r="W61">
        <f>IF(AND(SUM(VLOOKUP($A61,test!$A$3:$F$32,2,FALSE),VLOOKUP(W$1,test!$A$3:$F$32,2,FALSE))&lt;test!$K$16,$A61&lt;&gt;W$1,Recharged_Feasible_mat!X30),(VLOOKUP(W$1,test!$A$3:$I$32,8,FALSE))-(VLOOKUP($A61,test!$A$3:$I$32,9,FALSE))+(test!$B$33-50),0)</f>
        <v>0</v>
      </c>
      <c r="X61">
        <f>IF(AND(SUM(VLOOKUP($A61,test!$A$3:$F$32,2,FALSE),VLOOKUP(X$1,test!$A$3:$F$32,2,FALSE))&lt;test!$K$16,$A61&lt;&gt;X$1,Recharged_Feasible_mat!Y30),(VLOOKUP(X$1,test!$A$3:$I$32,8,FALSE))-(VLOOKUP($A61,test!$A$3:$I$32,9,FALSE))+(test!$B$33-50),0)</f>
        <v>0</v>
      </c>
      <c r="Y61">
        <f>IF(AND(SUM(VLOOKUP($A61,test!$A$3:$F$32,2,FALSE),VLOOKUP(Y$1,test!$A$3:$F$32,2,FALSE))&lt;test!$K$16,$A61&lt;&gt;Y$1,Recharged_Feasible_mat!Z30),(VLOOKUP(Y$1,test!$A$3:$I$32,8,FALSE))-(VLOOKUP($A61,test!$A$3:$I$32,9,FALSE))+(test!$B$33-50),0)</f>
        <v>0</v>
      </c>
      <c r="Z61">
        <f>IF(AND(SUM(VLOOKUP($A61,test!$A$3:$F$32,2,FALSE),VLOOKUP(Z$1,test!$A$3:$F$32,2,FALSE))&lt;test!$K$16,$A61&lt;&gt;Z$1,Recharged_Feasible_mat!AA30),(VLOOKUP(Z$1,test!$A$3:$I$32,8,FALSE))-(VLOOKUP($A61,test!$A$3:$I$32,9,FALSE))+(test!$B$33-50),0)</f>
        <v>0</v>
      </c>
      <c r="AA61">
        <f>IF(AND(SUM(VLOOKUP($A61,test!$A$3:$F$32,2,FALSE),VLOOKUP(AA$1,test!$A$3:$F$32,2,FALSE))&lt;test!$K$16,$A61&lt;&gt;AA$1,Recharged_Feasible_mat!AB30),(VLOOKUP(AA$1,test!$A$3:$I$32,8,FALSE))-(VLOOKUP($A61,test!$A$3:$I$32,9,FALSE))+(test!$B$33-50),0)</f>
        <v>0</v>
      </c>
      <c r="AB61">
        <f>IF(AND(SUM(VLOOKUP($A61,test!$A$3:$F$32,2,FALSE),VLOOKUP(AB$1,test!$A$3:$F$32,2,FALSE))&lt;test!$K$16,$A61&lt;&gt;AB$1,Recharged_Feasible_mat!AC30),(VLOOKUP(AB$1,test!$A$3:$I$32,8,FALSE))-(VLOOKUP($A61,test!$A$3:$I$32,9,FALSE))+(test!$B$33-50),0)</f>
        <v>0</v>
      </c>
      <c r="AC61">
        <f>IF(AND(SUM(VLOOKUP($A61,test!$A$3:$F$32,2,FALSE),VLOOKUP(AC$1,test!$A$3:$F$32,2,FALSE))&lt;test!$K$16,$A61&lt;&gt;AC$1,Recharged_Feasible_mat!AD30),(VLOOKUP(AC$1,test!$A$3:$I$32,8,FALSE))-(VLOOKUP($A61,test!$A$3:$I$32,9,FALSE))+(test!$B$33-50),0)</f>
        <v>0</v>
      </c>
      <c r="AD61">
        <f>IF(AND(SUM(VLOOKUP($A61,test!$A$3:$F$32,2,FALSE),VLOOKUP(AD$1,test!$A$3:$F$32,2,FALSE))&lt;test!$K$16,$A61&lt;&gt;AD$1,Recharged_Feasible_mat!AE30),(VLOOKUP(AD$1,test!$A$3:$I$32,8,FALSE))-(VLOOKUP($A61,test!$A$3:$I$32,9,FALSE))+(test!$B$33-50),0)</f>
        <v>0</v>
      </c>
      <c r="AE61">
        <f>IF(AND(SUM(VLOOKUP($A61,test!$A$3:$F$32,2,FALSE),VLOOKUP(AE$1,test!$A$3:$F$32,2,FALSE))&lt;test!$K$16,$A61&lt;&gt;AE$1,Recharged_Feasible_mat!AF30),(VLOOKUP(AE$1,test!$A$3:$I$32,8,FALSE))-(VLOOKUP($A61,test!$A$3:$I$32,9,FALSE))+(test!$B$33-50),0)</f>
        <v>0</v>
      </c>
      <c r="AF61">
        <f>IF(AND(SUM(VLOOKUP($A61,test!$A$3:$F$32,2,FALSE),VLOOKUP(AF$1,test!$A$3:$F$32,2,FALSE))&lt;test!$K$16,$A61&lt;&gt;AF$1,Recharged_Feasible_mat!AG30),(VLOOKUP(AF$1,test!$A$3:$I$32,8,FALSE))-(VLOOKUP($A61,test!$A$3:$I$32,9,FALSE))+(test!$B$33-50),0)</f>
        <v>0</v>
      </c>
    </row>
    <row r="62" spans="1:32" x14ac:dyDescent="0.25">
      <c r="A62" t="s">
        <v>40</v>
      </c>
      <c r="B62">
        <v>0</v>
      </c>
      <c r="C62">
        <f>IF(AND(SUM(VLOOKUP($A62,test!$A$3:$F$32,2,FALSE),VLOOKUP(C$1,test!$A$3:$F$32,2,FALSE))&lt;test!$K$16,$A62&lt;&gt;C$1,Recharged_Feasible_mat!D31),(VLOOKUP(C$1,test!$A$3:$I$32,8,FALSE))-(VLOOKUP($A62,test!$A$3:$I$32,9,FALSE))+(test!$B$33-50),0)</f>
        <v>0</v>
      </c>
      <c r="D62">
        <f>IF(AND(SUM(VLOOKUP($A62,test!$A$3:$F$32,2,FALSE),VLOOKUP(D$1,test!$A$3:$F$32,2,FALSE))&lt;test!$K$16,$A62&lt;&gt;D$1,Recharged_Feasible_mat!E31),(VLOOKUP(D$1,test!$A$3:$I$32,8,FALSE))-(VLOOKUP($A62,test!$A$3:$I$32,9,FALSE))+(test!$B$33-50),0)</f>
        <v>0</v>
      </c>
      <c r="E62">
        <f>IF(AND(SUM(VLOOKUP($A62,test!$A$3:$F$32,2,FALSE),VLOOKUP(E$1,test!$A$3:$F$32,2,FALSE))&lt;test!$K$16,$A62&lt;&gt;E$1,Recharged_Feasible_mat!F31),(VLOOKUP(E$1,test!$A$3:$I$32,8,FALSE))-(VLOOKUP($A62,test!$A$3:$I$32,9,FALSE))+(test!$B$33-50),0)</f>
        <v>0</v>
      </c>
      <c r="F62">
        <f>IF(AND(SUM(VLOOKUP($A62,test!$A$3:$F$32,2,FALSE),VLOOKUP(F$1,test!$A$3:$F$32,2,FALSE))&lt;test!$K$16,$A62&lt;&gt;F$1,Recharged_Feasible_mat!G31),(VLOOKUP(F$1,test!$A$3:$I$32,8,FALSE))-(VLOOKUP($A62,test!$A$3:$I$32,9,FALSE))+(test!$B$33-50),0)</f>
        <v>0</v>
      </c>
      <c r="G62">
        <f>IF(AND(SUM(VLOOKUP($A62,test!$A$3:$F$32,2,FALSE),VLOOKUP(G$1,test!$A$3:$F$32,2,FALSE))&lt;test!$K$16,$A62&lt;&gt;G$1,Recharged_Feasible_mat!H31),(VLOOKUP(G$1,test!$A$3:$I$32,8,FALSE))-(VLOOKUP($A62,test!$A$3:$I$32,9,FALSE))+(test!$B$33-50),0)</f>
        <v>0</v>
      </c>
      <c r="H62">
        <f>IF(AND(SUM(VLOOKUP($A62,test!$A$3:$F$32,2,FALSE),VLOOKUP(H$1,test!$A$3:$F$32,2,FALSE))&lt;test!$K$16,$A62&lt;&gt;H$1,Recharged_Feasible_mat!I31),(VLOOKUP(H$1,test!$A$3:$I$32,8,FALSE))-(VLOOKUP($A62,test!$A$3:$I$32,9,FALSE))+(test!$B$33-50),0)</f>
        <v>0</v>
      </c>
      <c r="I62">
        <f>IF(AND(SUM(VLOOKUP($A62,test!$A$3:$F$32,2,FALSE),VLOOKUP(I$1,test!$A$3:$F$32,2,FALSE))&lt;test!$K$16,$A62&lt;&gt;I$1,Recharged_Feasible_mat!J31),(VLOOKUP(I$1,test!$A$3:$I$32,8,FALSE))-(VLOOKUP($A62,test!$A$3:$I$32,9,FALSE))+(test!$B$33-50),0)</f>
        <v>0</v>
      </c>
      <c r="J62">
        <f>IF(AND(SUM(VLOOKUP($A62,test!$A$3:$F$32,2,FALSE),VLOOKUP(J$1,test!$A$3:$F$32,2,FALSE))&lt;test!$K$16,$A62&lt;&gt;J$1,Recharged_Feasible_mat!K31),(VLOOKUP(J$1,test!$A$3:$I$32,8,FALSE))-(VLOOKUP($A62,test!$A$3:$I$32,9,FALSE))+(test!$B$33-50),0)</f>
        <v>120</v>
      </c>
      <c r="K62">
        <f>IF(AND(SUM(VLOOKUP($A62,test!$A$3:$F$32,2,FALSE),VLOOKUP(K$1,test!$A$3:$F$32,2,FALSE))&lt;test!$K$16,$A62&lt;&gt;K$1,Recharged_Feasible_mat!L31),(VLOOKUP(K$1,test!$A$3:$I$32,8,FALSE))-(VLOOKUP($A62,test!$A$3:$I$32,9,FALSE))+(test!$B$33-50),0)</f>
        <v>0</v>
      </c>
      <c r="L62">
        <f>IF(AND(SUM(VLOOKUP($A62,test!$A$3:$F$32,2,FALSE),VLOOKUP(L$1,test!$A$3:$F$32,2,FALSE))&lt;test!$K$16,$A62&lt;&gt;L$1,Recharged_Feasible_mat!M31),(VLOOKUP(L$1,test!$A$3:$I$32,8,FALSE))-(VLOOKUP($A62,test!$A$3:$I$32,9,FALSE))+(test!$B$33-50),0)</f>
        <v>0</v>
      </c>
      <c r="M62">
        <f>IF(AND(SUM(VLOOKUP($A62,test!$A$3:$F$32,2,FALSE),VLOOKUP(M$1,test!$A$3:$F$32,2,FALSE))&lt;test!$K$16,$A62&lt;&gt;M$1,Recharged_Feasible_mat!N31),(VLOOKUP(M$1,test!$A$3:$I$32,8,FALSE))-(VLOOKUP($A62,test!$A$3:$I$32,9,FALSE))+(test!$B$33-50),0)</f>
        <v>0</v>
      </c>
      <c r="N62">
        <f>IF(AND(SUM(VLOOKUP($A62,test!$A$3:$F$32,2,FALSE),VLOOKUP(N$1,test!$A$3:$F$32,2,FALSE))&lt;test!$K$16,$A62&lt;&gt;N$1,Recharged_Feasible_mat!O31),(VLOOKUP(N$1,test!$A$3:$I$32,8,FALSE))-(VLOOKUP($A62,test!$A$3:$I$32,9,FALSE))+(test!$B$33-50),0)</f>
        <v>0</v>
      </c>
      <c r="O62">
        <f>IF(AND(SUM(VLOOKUP($A62,test!$A$3:$F$32,2,FALSE),VLOOKUP(O$1,test!$A$3:$F$32,2,FALSE))&lt;test!$K$16,$A62&lt;&gt;O$1,Recharged_Feasible_mat!P31),(VLOOKUP(O$1,test!$A$3:$I$32,8,FALSE))-(VLOOKUP($A62,test!$A$3:$I$32,9,FALSE))+(test!$B$33-50),0)</f>
        <v>0</v>
      </c>
      <c r="P62">
        <f>IF(AND(SUM(VLOOKUP($A62,test!$A$3:$F$32,2,FALSE),VLOOKUP(P$1,test!$A$3:$F$32,2,FALSE))&lt;test!$K$16,$A62&lt;&gt;P$1,Recharged_Feasible_mat!Q31),(VLOOKUP(P$1,test!$A$3:$I$32,8,FALSE))-(VLOOKUP($A62,test!$A$3:$I$32,9,FALSE))+(test!$B$33-50),0)</f>
        <v>0</v>
      </c>
      <c r="Q62">
        <f>IF(AND(SUM(VLOOKUP($A62,test!$A$3:$F$32,2,FALSE),VLOOKUP(Q$1,test!$A$3:$F$32,2,FALSE))&lt;test!$K$16,$A62&lt;&gt;Q$1,Recharged_Feasible_mat!R31),(VLOOKUP(Q$1,test!$A$3:$I$32,8,FALSE))-(VLOOKUP($A62,test!$A$3:$I$32,9,FALSE))+(test!$B$33-50),0)</f>
        <v>0</v>
      </c>
      <c r="R62">
        <f>IF(AND(SUM(VLOOKUP($A62,test!$A$3:$F$32,2,FALSE),VLOOKUP(R$1,test!$A$3:$F$32,2,FALSE))&lt;test!$K$16,$A62&lt;&gt;R$1,Recharged_Feasible_mat!S31),(VLOOKUP(R$1,test!$A$3:$I$32,8,FALSE))-(VLOOKUP($A62,test!$A$3:$I$32,9,FALSE))+(test!$B$33-50),0)</f>
        <v>0</v>
      </c>
      <c r="S62">
        <f>IF(AND(SUM(VLOOKUP($A62,test!$A$3:$F$32,2,FALSE),VLOOKUP(S$1,test!$A$3:$F$32,2,FALSE))&lt;test!$K$16,$A62&lt;&gt;S$1,Recharged_Feasible_mat!T31),(VLOOKUP(S$1,test!$A$3:$I$32,8,FALSE))-(VLOOKUP($A62,test!$A$3:$I$32,9,FALSE))+(test!$B$33-50),0)</f>
        <v>0</v>
      </c>
      <c r="T62">
        <f>IF(AND(SUM(VLOOKUP($A62,test!$A$3:$F$32,2,FALSE),VLOOKUP(T$1,test!$A$3:$F$32,2,FALSE))&lt;test!$K$16,$A62&lt;&gt;T$1,Recharged_Feasible_mat!U31),(VLOOKUP(T$1,test!$A$3:$I$32,8,FALSE))-(VLOOKUP($A62,test!$A$3:$I$32,9,FALSE))+(test!$B$33-50),0)</f>
        <v>0</v>
      </c>
      <c r="U62">
        <f>IF(AND(SUM(VLOOKUP($A62,test!$A$3:$F$32,2,FALSE),VLOOKUP(U$1,test!$A$3:$F$32,2,FALSE))&lt;test!$K$16,$A62&lt;&gt;U$1,Recharged_Feasible_mat!V31),(VLOOKUP(U$1,test!$A$3:$I$32,8,FALSE))-(VLOOKUP($A62,test!$A$3:$I$32,9,FALSE))+(test!$B$33-50),0)</f>
        <v>0</v>
      </c>
      <c r="V62">
        <f>IF(AND(SUM(VLOOKUP($A62,test!$A$3:$F$32,2,FALSE),VLOOKUP(V$1,test!$A$3:$F$32,2,FALSE))&lt;test!$K$16,$A62&lt;&gt;V$1,Recharged_Feasible_mat!W31),(VLOOKUP(V$1,test!$A$3:$I$32,8,FALSE))-(VLOOKUP($A62,test!$A$3:$I$32,9,FALSE))+(test!$B$33-50),0)</f>
        <v>0</v>
      </c>
      <c r="W62">
        <f>IF(AND(SUM(VLOOKUP($A62,test!$A$3:$F$32,2,FALSE),VLOOKUP(W$1,test!$A$3:$F$32,2,FALSE))&lt;test!$K$16,$A62&lt;&gt;W$1,Recharged_Feasible_mat!X31),(VLOOKUP(W$1,test!$A$3:$I$32,8,FALSE))-(VLOOKUP($A62,test!$A$3:$I$32,9,FALSE))+(test!$B$33-50),0)</f>
        <v>0</v>
      </c>
      <c r="X62">
        <f>IF(AND(SUM(VLOOKUP($A62,test!$A$3:$F$32,2,FALSE),VLOOKUP(X$1,test!$A$3:$F$32,2,FALSE))&lt;test!$K$16,$A62&lt;&gt;X$1,Recharged_Feasible_mat!Y31),(VLOOKUP(X$1,test!$A$3:$I$32,8,FALSE))-(VLOOKUP($A62,test!$A$3:$I$32,9,FALSE))+(test!$B$33-50),0)</f>
        <v>0</v>
      </c>
      <c r="Y62">
        <f>IF(AND(SUM(VLOOKUP($A62,test!$A$3:$F$32,2,FALSE),VLOOKUP(Y$1,test!$A$3:$F$32,2,FALSE))&lt;test!$K$16,$A62&lt;&gt;Y$1,Recharged_Feasible_mat!Z31),(VLOOKUP(Y$1,test!$A$3:$I$32,8,FALSE))-(VLOOKUP($A62,test!$A$3:$I$32,9,FALSE))+(test!$B$33-50),0)</f>
        <v>0</v>
      </c>
      <c r="Z62">
        <f>IF(AND(SUM(VLOOKUP($A62,test!$A$3:$F$32,2,FALSE),VLOOKUP(Z$1,test!$A$3:$F$32,2,FALSE))&lt;test!$K$16,$A62&lt;&gt;Z$1,Recharged_Feasible_mat!AA31),(VLOOKUP(Z$1,test!$A$3:$I$32,8,FALSE))-(VLOOKUP($A62,test!$A$3:$I$32,9,FALSE))+(test!$B$33-50),0)</f>
        <v>0</v>
      </c>
      <c r="AA62">
        <f>IF(AND(SUM(VLOOKUP($A62,test!$A$3:$F$32,2,FALSE),VLOOKUP(AA$1,test!$A$3:$F$32,2,FALSE))&lt;test!$K$16,$A62&lt;&gt;AA$1,Recharged_Feasible_mat!AB31),(VLOOKUP(AA$1,test!$A$3:$I$32,8,FALSE))-(VLOOKUP($A62,test!$A$3:$I$32,9,FALSE))+(test!$B$33-50),0)</f>
        <v>0</v>
      </c>
      <c r="AB62">
        <f>IF(AND(SUM(VLOOKUP($A62,test!$A$3:$F$32,2,FALSE),VLOOKUP(AB$1,test!$A$3:$F$32,2,FALSE))&lt;test!$K$16,$A62&lt;&gt;AB$1,Recharged_Feasible_mat!AC31),(VLOOKUP(AB$1,test!$A$3:$I$32,8,FALSE))-(VLOOKUP($A62,test!$A$3:$I$32,9,FALSE))+(test!$B$33-50),0)</f>
        <v>0</v>
      </c>
      <c r="AC62">
        <f>IF(AND(SUM(VLOOKUP($A62,test!$A$3:$F$32,2,FALSE),VLOOKUP(AC$1,test!$A$3:$F$32,2,FALSE))&lt;test!$K$16,$A62&lt;&gt;AC$1,Recharged_Feasible_mat!AD31),(VLOOKUP(AC$1,test!$A$3:$I$32,8,FALSE))-(VLOOKUP($A62,test!$A$3:$I$32,9,FALSE))+(test!$B$33-50),0)</f>
        <v>0</v>
      </c>
      <c r="AD62">
        <f>IF(AND(SUM(VLOOKUP($A62,test!$A$3:$F$32,2,FALSE),VLOOKUP(AD$1,test!$A$3:$F$32,2,FALSE))&lt;test!$K$16,$A62&lt;&gt;AD$1,Recharged_Feasible_mat!AE31),(VLOOKUP(AD$1,test!$A$3:$I$32,8,FALSE))-(VLOOKUP($A62,test!$A$3:$I$32,9,FALSE))+(test!$B$33-50),0)</f>
        <v>0</v>
      </c>
      <c r="AE62">
        <f>IF(AND(SUM(VLOOKUP($A62,test!$A$3:$F$32,2,FALSE),VLOOKUP(AE$1,test!$A$3:$F$32,2,FALSE))&lt;test!$K$16,$A62&lt;&gt;AE$1,Recharged_Feasible_mat!AF31),(VLOOKUP(AE$1,test!$A$3:$I$32,8,FALSE))-(VLOOKUP($A62,test!$A$3:$I$32,9,FALSE))+(test!$B$33-50),0)</f>
        <v>0</v>
      </c>
      <c r="AF62">
        <f>IF(AND(SUM(VLOOKUP($A62,test!$A$3:$F$32,2,FALSE),VLOOKUP(AF$1,test!$A$3:$F$32,2,FALSE))&lt;test!$K$16,$A62&lt;&gt;AF$1,Recharged_Feasible_mat!AG31),(VLOOKUP(AF$1,test!$A$3:$I$32,8,FALSE))-(VLOOKUP($A62,test!$A$3:$I$32,9,FALSE))+(test!$B$33-50),0)</f>
        <v>0</v>
      </c>
    </row>
    <row r="63" spans="1:32" x14ac:dyDescent="0.25">
      <c r="A63" t="s">
        <v>41</v>
      </c>
      <c r="B63">
        <v>0</v>
      </c>
      <c r="C63">
        <f>IF(AND(SUM(VLOOKUP($A63,test!$A$3:$F$32,2,FALSE),VLOOKUP(C$1,test!$A$3:$F$32,2,FALSE))&lt;test!$K$16,$A63&lt;&gt;C$1,Recharged_Feasible_mat!D32),(VLOOKUP(C$1,test!$A$3:$I$32,8,FALSE))-(VLOOKUP($A63,test!$A$3:$I$32,9,FALSE))+(test!$B$33-50),0)</f>
        <v>0</v>
      </c>
      <c r="D63">
        <f>IF(AND(SUM(VLOOKUP($A63,test!$A$3:$F$32,2,FALSE),VLOOKUP(D$1,test!$A$3:$F$32,2,FALSE))&lt;test!$K$16,$A63&lt;&gt;D$1,Recharged_Feasible_mat!E32),(VLOOKUP(D$1,test!$A$3:$I$32,8,FALSE))-(VLOOKUP($A63,test!$A$3:$I$32,9,FALSE))+(test!$B$33-50),0)</f>
        <v>0</v>
      </c>
      <c r="E63">
        <f>IF(AND(SUM(VLOOKUP($A63,test!$A$3:$F$32,2,FALSE),VLOOKUP(E$1,test!$A$3:$F$32,2,FALSE))&lt;test!$K$16,$A63&lt;&gt;E$1,Recharged_Feasible_mat!F32),(VLOOKUP(E$1,test!$A$3:$I$32,8,FALSE))-(VLOOKUP($A63,test!$A$3:$I$32,9,FALSE))+(test!$B$33-50),0)</f>
        <v>0</v>
      </c>
      <c r="F63">
        <f>IF(AND(SUM(VLOOKUP($A63,test!$A$3:$F$32,2,FALSE),VLOOKUP(F$1,test!$A$3:$F$32,2,FALSE))&lt;test!$K$16,$A63&lt;&gt;F$1,Recharged_Feasible_mat!G32),(VLOOKUP(F$1,test!$A$3:$I$32,8,FALSE))-(VLOOKUP($A63,test!$A$3:$I$32,9,FALSE))+(test!$B$33-50),0)</f>
        <v>0</v>
      </c>
      <c r="G63">
        <f>IF(AND(SUM(VLOOKUP($A63,test!$A$3:$F$32,2,FALSE),VLOOKUP(G$1,test!$A$3:$F$32,2,FALSE))&lt;test!$K$16,$A63&lt;&gt;G$1,Recharged_Feasible_mat!H32),(VLOOKUP(G$1,test!$A$3:$I$32,8,FALSE))-(VLOOKUP($A63,test!$A$3:$I$32,9,FALSE))+(test!$B$33-50),0)</f>
        <v>0</v>
      </c>
      <c r="H63">
        <f>IF(AND(SUM(VLOOKUP($A63,test!$A$3:$F$32,2,FALSE),VLOOKUP(H$1,test!$A$3:$F$32,2,FALSE))&lt;test!$K$16,$A63&lt;&gt;H$1,Recharged_Feasible_mat!I32),(VLOOKUP(H$1,test!$A$3:$I$32,8,FALSE))-(VLOOKUP($A63,test!$A$3:$I$32,9,FALSE))+(test!$B$33-50),0)</f>
        <v>0</v>
      </c>
      <c r="I63">
        <f>IF(AND(SUM(VLOOKUP($A63,test!$A$3:$F$32,2,FALSE),VLOOKUP(I$1,test!$A$3:$F$32,2,FALSE))&lt;test!$K$16,$A63&lt;&gt;I$1,Recharged_Feasible_mat!J32),(VLOOKUP(I$1,test!$A$3:$I$32,8,FALSE))-(VLOOKUP($A63,test!$A$3:$I$32,9,FALSE))+(test!$B$33-50),0)</f>
        <v>0</v>
      </c>
      <c r="J63">
        <f>IF(AND(SUM(VLOOKUP($A63,test!$A$3:$F$32,2,FALSE),VLOOKUP(J$1,test!$A$3:$F$32,2,FALSE))&lt;test!$K$16,$A63&lt;&gt;J$1,Recharged_Feasible_mat!K32),(VLOOKUP(J$1,test!$A$3:$I$32,8,FALSE))-(VLOOKUP($A63,test!$A$3:$I$32,9,FALSE))+(test!$B$33-50),0)</f>
        <v>0</v>
      </c>
      <c r="K63">
        <f>IF(AND(SUM(VLOOKUP($A63,test!$A$3:$F$32,2,FALSE),VLOOKUP(K$1,test!$A$3:$F$32,2,FALSE))&lt;test!$K$16,$A63&lt;&gt;K$1,Recharged_Feasible_mat!L32),(VLOOKUP(K$1,test!$A$3:$I$32,8,FALSE))-(VLOOKUP($A63,test!$A$3:$I$32,9,FALSE))+(test!$B$33-50),0)</f>
        <v>0</v>
      </c>
      <c r="L63">
        <f>IF(AND(SUM(VLOOKUP($A63,test!$A$3:$F$32,2,FALSE),VLOOKUP(L$1,test!$A$3:$F$32,2,FALSE))&lt;test!$K$16,$A63&lt;&gt;L$1,Recharged_Feasible_mat!M32),(VLOOKUP(L$1,test!$A$3:$I$32,8,FALSE))-(VLOOKUP($A63,test!$A$3:$I$32,9,FALSE))+(test!$B$33-50),0)</f>
        <v>0</v>
      </c>
      <c r="M63">
        <f>IF(AND(SUM(VLOOKUP($A63,test!$A$3:$F$32,2,FALSE),VLOOKUP(M$1,test!$A$3:$F$32,2,FALSE))&lt;test!$K$16,$A63&lt;&gt;M$1,Recharged_Feasible_mat!N32),(VLOOKUP(M$1,test!$A$3:$I$32,8,FALSE))-(VLOOKUP($A63,test!$A$3:$I$32,9,FALSE))+(test!$B$33-50),0)</f>
        <v>0</v>
      </c>
      <c r="N63">
        <f>IF(AND(SUM(VLOOKUP($A63,test!$A$3:$F$32,2,FALSE),VLOOKUP(N$1,test!$A$3:$F$32,2,FALSE))&lt;test!$K$16,$A63&lt;&gt;N$1,Recharged_Feasible_mat!O32),(VLOOKUP(N$1,test!$A$3:$I$32,8,FALSE))-(VLOOKUP($A63,test!$A$3:$I$32,9,FALSE))+(test!$B$33-50),0)</f>
        <v>0</v>
      </c>
      <c r="O63">
        <f>IF(AND(SUM(VLOOKUP($A63,test!$A$3:$F$32,2,FALSE),VLOOKUP(O$1,test!$A$3:$F$32,2,FALSE))&lt;test!$K$16,$A63&lt;&gt;O$1,Recharged_Feasible_mat!P32),(VLOOKUP(O$1,test!$A$3:$I$32,8,FALSE))-(VLOOKUP($A63,test!$A$3:$I$32,9,FALSE))+(test!$B$33-50),0)</f>
        <v>0</v>
      </c>
      <c r="P63">
        <f>IF(AND(SUM(VLOOKUP($A63,test!$A$3:$F$32,2,FALSE),VLOOKUP(P$1,test!$A$3:$F$32,2,FALSE))&lt;test!$K$16,$A63&lt;&gt;P$1,Recharged_Feasible_mat!Q32),(VLOOKUP(P$1,test!$A$3:$I$32,8,FALSE))-(VLOOKUP($A63,test!$A$3:$I$32,9,FALSE))+(test!$B$33-50),0)</f>
        <v>0</v>
      </c>
      <c r="Q63">
        <f>IF(AND(SUM(VLOOKUP($A63,test!$A$3:$F$32,2,FALSE),VLOOKUP(Q$1,test!$A$3:$F$32,2,FALSE))&lt;test!$K$16,$A63&lt;&gt;Q$1,Recharged_Feasible_mat!R32),(VLOOKUP(Q$1,test!$A$3:$I$32,8,FALSE))-(VLOOKUP($A63,test!$A$3:$I$32,9,FALSE))+(test!$B$33-50),0)</f>
        <v>0</v>
      </c>
      <c r="R63">
        <f>IF(AND(SUM(VLOOKUP($A63,test!$A$3:$F$32,2,FALSE),VLOOKUP(R$1,test!$A$3:$F$32,2,FALSE))&lt;test!$K$16,$A63&lt;&gt;R$1,Recharged_Feasible_mat!S32),(VLOOKUP(R$1,test!$A$3:$I$32,8,FALSE))-(VLOOKUP($A63,test!$A$3:$I$32,9,FALSE))+(test!$B$33-50),0)</f>
        <v>0</v>
      </c>
      <c r="S63">
        <f>IF(AND(SUM(VLOOKUP($A63,test!$A$3:$F$32,2,FALSE),VLOOKUP(S$1,test!$A$3:$F$32,2,FALSE))&lt;test!$K$16,$A63&lt;&gt;S$1,Recharged_Feasible_mat!T32),(VLOOKUP(S$1,test!$A$3:$I$32,8,FALSE))-(VLOOKUP($A63,test!$A$3:$I$32,9,FALSE))+(test!$B$33-50),0)</f>
        <v>0</v>
      </c>
      <c r="T63">
        <f>IF(AND(SUM(VLOOKUP($A63,test!$A$3:$F$32,2,FALSE),VLOOKUP(T$1,test!$A$3:$F$32,2,FALSE))&lt;test!$K$16,$A63&lt;&gt;T$1,Recharged_Feasible_mat!U32),(VLOOKUP(T$1,test!$A$3:$I$32,8,FALSE))-(VLOOKUP($A63,test!$A$3:$I$32,9,FALSE))+(test!$B$33-50),0)</f>
        <v>0</v>
      </c>
      <c r="U63">
        <f>IF(AND(SUM(VLOOKUP($A63,test!$A$3:$F$32,2,FALSE),VLOOKUP(U$1,test!$A$3:$F$32,2,FALSE))&lt;test!$K$16,$A63&lt;&gt;U$1,Recharged_Feasible_mat!V32),(VLOOKUP(U$1,test!$A$3:$I$32,8,FALSE))-(VLOOKUP($A63,test!$A$3:$I$32,9,FALSE))+(test!$B$33-50),0)</f>
        <v>0</v>
      </c>
      <c r="V63">
        <f>IF(AND(SUM(VLOOKUP($A63,test!$A$3:$F$32,2,FALSE),VLOOKUP(V$1,test!$A$3:$F$32,2,FALSE))&lt;test!$K$16,$A63&lt;&gt;V$1,Recharged_Feasible_mat!W32),(VLOOKUP(V$1,test!$A$3:$I$32,8,FALSE))-(VLOOKUP($A63,test!$A$3:$I$32,9,FALSE))+(test!$B$33-50),0)</f>
        <v>0</v>
      </c>
      <c r="W63">
        <f>IF(AND(SUM(VLOOKUP($A63,test!$A$3:$F$32,2,FALSE),VLOOKUP(W$1,test!$A$3:$F$32,2,FALSE))&lt;test!$K$16,$A63&lt;&gt;W$1,Recharged_Feasible_mat!X32),(VLOOKUP(W$1,test!$A$3:$I$32,8,FALSE))-(VLOOKUP($A63,test!$A$3:$I$32,9,FALSE))+(test!$B$33-50),0)</f>
        <v>0</v>
      </c>
      <c r="X63">
        <f>IF(AND(SUM(VLOOKUP($A63,test!$A$3:$F$32,2,FALSE),VLOOKUP(X$1,test!$A$3:$F$32,2,FALSE))&lt;test!$K$16,$A63&lt;&gt;X$1,Recharged_Feasible_mat!Y32),(VLOOKUP(X$1,test!$A$3:$I$32,8,FALSE))-(VLOOKUP($A63,test!$A$3:$I$32,9,FALSE))+(test!$B$33-50),0)</f>
        <v>0</v>
      </c>
      <c r="Y63">
        <f>IF(AND(SUM(VLOOKUP($A63,test!$A$3:$F$32,2,FALSE),VLOOKUP(Y$1,test!$A$3:$F$32,2,FALSE))&lt;test!$K$16,$A63&lt;&gt;Y$1,Recharged_Feasible_mat!Z32),(VLOOKUP(Y$1,test!$A$3:$I$32,8,FALSE))-(VLOOKUP($A63,test!$A$3:$I$32,9,FALSE))+(test!$B$33-50),0)</f>
        <v>0</v>
      </c>
      <c r="Z63">
        <f>IF(AND(SUM(VLOOKUP($A63,test!$A$3:$F$32,2,FALSE),VLOOKUP(Z$1,test!$A$3:$F$32,2,FALSE))&lt;test!$K$16,$A63&lt;&gt;Z$1,Recharged_Feasible_mat!AA32),(VLOOKUP(Z$1,test!$A$3:$I$32,8,FALSE))-(VLOOKUP($A63,test!$A$3:$I$32,9,FALSE))+(test!$B$33-50),0)</f>
        <v>0</v>
      </c>
      <c r="AA63">
        <f>IF(AND(SUM(VLOOKUP($A63,test!$A$3:$F$32,2,FALSE),VLOOKUP(AA$1,test!$A$3:$F$32,2,FALSE))&lt;test!$K$16,$A63&lt;&gt;AA$1,Recharged_Feasible_mat!AB32),(VLOOKUP(AA$1,test!$A$3:$I$32,8,FALSE))-(VLOOKUP($A63,test!$A$3:$I$32,9,FALSE))+(test!$B$33-50),0)</f>
        <v>0</v>
      </c>
      <c r="AB63">
        <f>IF(AND(SUM(VLOOKUP($A63,test!$A$3:$F$32,2,FALSE),VLOOKUP(AB$1,test!$A$3:$F$32,2,FALSE))&lt;test!$K$16,$A63&lt;&gt;AB$1,Recharged_Feasible_mat!AC32),(VLOOKUP(AB$1,test!$A$3:$I$32,8,FALSE))-(VLOOKUP($A63,test!$A$3:$I$32,9,FALSE))+(test!$B$33-50),0)</f>
        <v>0</v>
      </c>
      <c r="AC63">
        <f>IF(AND(SUM(VLOOKUP($A63,test!$A$3:$F$32,2,FALSE),VLOOKUP(AC$1,test!$A$3:$F$32,2,FALSE))&lt;test!$K$16,$A63&lt;&gt;AC$1,Recharged_Feasible_mat!AD32),(VLOOKUP(AC$1,test!$A$3:$I$32,8,FALSE))-(VLOOKUP($A63,test!$A$3:$I$32,9,FALSE))+(test!$B$33-50),0)</f>
        <v>0</v>
      </c>
      <c r="AD63">
        <f>IF(AND(SUM(VLOOKUP($A63,test!$A$3:$F$32,2,FALSE),VLOOKUP(AD$1,test!$A$3:$F$32,2,FALSE))&lt;test!$K$16,$A63&lt;&gt;AD$1,Recharged_Feasible_mat!AE32),(VLOOKUP(AD$1,test!$A$3:$I$32,8,FALSE))-(VLOOKUP($A63,test!$A$3:$I$32,9,FALSE))+(test!$B$33-50),0)</f>
        <v>0</v>
      </c>
      <c r="AE63">
        <f>IF(AND(SUM(VLOOKUP($A63,test!$A$3:$F$32,2,FALSE),VLOOKUP(AE$1,test!$A$3:$F$32,2,FALSE))&lt;test!$K$16,$A63&lt;&gt;AE$1,Recharged_Feasible_mat!AF32),(VLOOKUP(AE$1,test!$A$3:$I$32,8,FALSE))-(VLOOKUP($A63,test!$A$3:$I$32,9,FALSE))+(test!$B$33-50),0)</f>
        <v>0</v>
      </c>
      <c r="AF63">
        <f>IF(AND(SUM(VLOOKUP($A63,test!$A$3:$F$32,2,FALSE),VLOOKUP(AF$1,test!$A$3:$F$32,2,FALSE))&lt;test!$K$16,$A63&lt;&gt;AF$1,Recharged_Feasible_mat!AG32),(VLOOKUP(AF$1,test!$A$3:$I$32,8,FALSE))-(VLOOKUP($A63,test!$A$3:$I$32,9,FALSE))+(test!$B$33-50),0)</f>
        <v>0</v>
      </c>
    </row>
    <row r="64" spans="1:32" x14ac:dyDescent="0.25">
      <c r="A64" t="s">
        <v>46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6</v>
      </c>
      <c r="B65">
        <v>0</v>
      </c>
      <c r="C65">
        <f>IF(AND(SUM(VLOOKUP($A65,test!$A$3:$F$32,2,FALSE),VLOOKUP(C$1,test!$A$3:$F$32,2,FALSE))&lt;test!$K$16,$A65&lt;&gt;C$1,Recharged_Feasible_mat!D34),(VLOOKUP(C$1,test!$A$3:$I$32,8,FALSE))-(VLOOKUP($A65,test!$A$3:$I$32,9,FALSE))+(test!$B$34-50),0)</f>
        <v>0</v>
      </c>
      <c r="D65">
        <f>IF(AND(SUM(VLOOKUP($A65,test!$A$3:$F$32,2,FALSE),VLOOKUP(D$1,test!$A$3:$F$32,2,FALSE))&lt;test!$K$16,$A65&lt;&gt;D$1,Recharged_Feasible_mat!E34),(VLOOKUP(D$1,test!$A$3:$I$32,8,FALSE))-(VLOOKUP($A65,test!$A$3:$I$32,9,FALSE))+(test!$B$34-50),0)</f>
        <v>0</v>
      </c>
      <c r="E65">
        <f>IF(AND(SUM(VLOOKUP($A65,test!$A$3:$F$32,2,FALSE),VLOOKUP(E$1,test!$A$3:$F$32,2,FALSE))&lt;test!$K$16,$A65&lt;&gt;E$1,Recharged_Feasible_mat!F34),(VLOOKUP(E$1,test!$A$3:$I$32,8,FALSE))-(VLOOKUP($A65,test!$A$3:$I$32,9,FALSE))+(test!$B$34-50),0)</f>
        <v>0</v>
      </c>
      <c r="F65">
        <f>IF(AND(SUM(VLOOKUP($A65,test!$A$3:$F$32,2,FALSE),VLOOKUP(F$1,test!$A$3:$F$32,2,FALSE))&lt;test!$K$16,$A65&lt;&gt;F$1,Recharged_Feasible_mat!G34),(VLOOKUP(F$1,test!$A$3:$I$32,8,FALSE))-(VLOOKUP($A65,test!$A$3:$I$32,9,FALSE))+(test!$B$34-50),0)</f>
        <v>225</v>
      </c>
      <c r="G65">
        <f>IF(AND(SUM(VLOOKUP($A65,test!$A$3:$F$32,2,FALSE),VLOOKUP(G$1,test!$A$3:$F$32,2,FALSE))&lt;test!$K$16,$A65&lt;&gt;G$1,Recharged_Feasible_mat!H34),(VLOOKUP(G$1,test!$A$3:$I$32,8,FALSE))-(VLOOKUP($A65,test!$A$3:$I$32,9,FALSE))+(test!$B$34-50),0)</f>
        <v>285</v>
      </c>
      <c r="H65">
        <f>IF(AND(SUM(VLOOKUP($A65,test!$A$3:$F$32,2,FALSE),VLOOKUP(H$1,test!$A$3:$F$32,2,FALSE))&lt;test!$K$16,$A65&lt;&gt;H$1,Recharged_Feasible_mat!I34),(VLOOKUP(H$1,test!$A$3:$I$32,8,FALSE))-(VLOOKUP($A65,test!$A$3:$I$32,9,FALSE))+(test!$B$34-50),0)</f>
        <v>345</v>
      </c>
      <c r="I65">
        <f>IF(AND(SUM(VLOOKUP($A65,test!$A$3:$F$32,2,FALSE),VLOOKUP(I$1,test!$A$3:$F$32,2,FALSE))&lt;test!$K$16,$A65&lt;&gt;I$1,Recharged_Feasible_mat!J34),(VLOOKUP(I$1,test!$A$3:$I$32,8,FALSE))-(VLOOKUP($A65,test!$A$3:$I$32,9,FALSE))+(test!$B$34-50),0)</f>
        <v>405</v>
      </c>
      <c r="J65">
        <f>IF(AND(SUM(VLOOKUP($A65,test!$A$3:$F$32,2,FALSE),VLOOKUP(J$1,test!$A$3:$F$32,2,FALSE))&lt;test!$K$16,$A65&lt;&gt;J$1,Recharged_Feasible_mat!K34),(VLOOKUP(J$1,test!$A$3:$I$32,8,FALSE))-(VLOOKUP($A65,test!$A$3:$I$32,9,FALSE))+(test!$B$34-50),0)</f>
        <v>495</v>
      </c>
      <c r="K65">
        <f>IF(AND(SUM(VLOOKUP($A65,test!$A$3:$F$32,2,FALSE),VLOOKUP(K$1,test!$A$3:$F$32,2,FALSE))&lt;test!$K$16,$A65&lt;&gt;K$1,Recharged_Feasible_mat!L34),(VLOOKUP(K$1,test!$A$3:$I$32,8,FALSE))-(VLOOKUP($A65,test!$A$3:$I$32,9,FALSE))+(test!$B$34-50),0)</f>
        <v>0</v>
      </c>
      <c r="L65">
        <f>IF(AND(SUM(VLOOKUP($A65,test!$A$3:$F$32,2,FALSE),VLOOKUP(L$1,test!$A$3:$F$32,2,FALSE))&lt;test!$K$16,$A65&lt;&gt;L$1,Recharged_Feasible_mat!M34),(VLOOKUP(L$1,test!$A$3:$I$32,8,FALSE))-(VLOOKUP($A65,test!$A$3:$I$32,9,FALSE))+(test!$B$34-50),0)</f>
        <v>0</v>
      </c>
      <c r="M65">
        <f>IF(AND(SUM(VLOOKUP($A65,test!$A$3:$F$32,2,FALSE),VLOOKUP(M$1,test!$A$3:$F$32,2,FALSE))&lt;test!$K$16,$A65&lt;&gt;M$1,Recharged_Feasible_mat!N34),(VLOOKUP(M$1,test!$A$3:$I$32,8,FALSE))-(VLOOKUP($A65,test!$A$3:$I$32,9,FALSE))+(test!$B$34-50),0)</f>
        <v>0</v>
      </c>
      <c r="N65">
        <f>IF(AND(SUM(VLOOKUP($A65,test!$A$3:$F$32,2,FALSE),VLOOKUP(N$1,test!$A$3:$F$32,2,FALSE))&lt;test!$K$16,$A65&lt;&gt;N$1,Recharged_Feasible_mat!O34),(VLOOKUP(N$1,test!$A$3:$I$32,8,FALSE))-(VLOOKUP($A65,test!$A$3:$I$32,9,FALSE))+(test!$B$34-50),0)</f>
        <v>460</v>
      </c>
      <c r="O65">
        <f>IF(AND(SUM(VLOOKUP($A65,test!$A$3:$F$32,2,FALSE),VLOOKUP(O$1,test!$A$3:$F$32,2,FALSE))&lt;test!$K$16,$A65&lt;&gt;O$1,Recharged_Feasible_mat!P34),(VLOOKUP(O$1,test!$A$3:$I$32,8,FALSE))-(VLOOKUP($A65,test!$A$3:$I$32,9,FALSE))+(test!$B$34-50),0)</f>
        <v>520</v>
      </c>
      <c r="P65">
        <f>IF(AND(SUM(VLOOKUP($A65,test!$A$3:$F$32,2,FALSE),VLOOKUP(P$1,test!$A$3:$F$32,2,FALSE))&lt;test!$K$16,$A65&lt;&gt;P$1,Recharged_Feasible_mat!Q34),(VLOOKUP(P$1,test!$A$3:$I$32,8,FALSE))-(VLOOKUP($A65,test!$A$3:$I$32,9,FALSE))+(test!$B$34-50),0)</f>
        <v>0</v>
      </c>
      <c r="Q65">
        <f>IF(AND(SUM(VLOOKUP($A65,test!$A$3:$F$32,2,FALSE),VLOOKUP(Q$1,test!$A$3:$F$32,2,FALSE))&lt;test!$K$16,$A65&lt;&gt;Q$1,Recharged_Feasible_mat!R34),(VLOOKUP(Q$1,test!$A$3:$I$32,8,FALSE))-(VLOOKUP($A65,test!$A$3:$I$32,9,FALSE))+(test!$B$34-50),0)</f>
        <v>0</v>
      </c>
      <c r="R65">
        <f>IF(AND(SUM(VLOOKUP($A65,test!$A$3:$F$32,2,FALSE),VLOOKUP(R$1,test!$A$3:$F$32,2,FALSE))&lt;test!$K$16,$A65&lt;&gt;R$1,Recharged_Feasible_mat!S34),(VLOOKUP(R$1,test!$A$3:$I$32,8,FALSE))-(VLOOKUP($A65,test!$A$3:$I$32,9,FALSE))+(test!$B$34-50),0)</f>
        <v>0</v>
      </c>
      <c r="S65">
        <f>IF(AND(SUM(VLOOKUP($A65,test!$A$3:$F$32,2,FALSE),VLOOKUP(S$1,test!$A$3:$F$32,2,FALSE))&lt;test!$K$16,$A65&lt;&gt;S$1,Recharged_Feasible_mat!T34),(VLOOKUP(S$1,test!$A$3:$I$32,8,FALSE))-(VLOOKUP($A65,test!$A$3:$I$32,9,FALSE))+(test!$B$34-50),0)</f>
        <v>0</v>
      </c>
      <c r="T65">
        <f>IF(AND(SUM(VLOOKUP($A65,test!$A$3:$F$32,2,FALSE),VLOOKUP(T$1,test!$A$3:$F$32,2,FALSE))&lt;test!$K$16,$A65&lt;&gt;T$1,Recharged_Feasible_mat!U34),(VLOOKUP(T$1,test!$A$3:$I$32,8,FALSE))-(VLOOKUP($A65,test!$A$3:$I$32,9,FALSE))+(test!$B$34-50),0)</f>
        <v>0</v>
      </c>
      <c r="U65">
        <f>IF(AND(SUM(VLOOKUP($A65,test!$A$3:$F$32,2,FALSE),VLOOKUP(U$1,test!$A$3:$F$32,2,FALSE))&lt;test!$K$16,$A65&lt;&gt;U$1,Recharged_Feasible_mat!V34),(VLOOKUP(U$1,test!$A$3:$I$32,8,FALSE))-(VLOOKUP($A65,test!$A$3:$I$32,9,FALSE))+(test!$B$34-50),0)</f>
        <v>205</v>
      </c>
      <c r="V65">
        <f>IF(AND(SUM(VLOOKUP($A65,test!$A$3:$F$32,2,FALSE),VLOOKUP(V$1,test!$A$3:$F$32,2,FALSE))&lt;test!$K$16,$A65&lt;&gt;V$1,Recharged_Feasible_mat!W34),(VLOOKUP(V$1,test!$A$3:$I$32,8,FALSE))-(VLOOKUP($A65,test!$A$3:$I$32,9,FALSE))+(test!$B$34-50),0)</f>
        <v>295</v>
      </c>
      <c r="W65">
        <f>IF(AND(SUM(VLOOKUP($A65,test!$A$3:$F$32,2,FALSE),VLOOKUP(W$1,test!$A$3:$F$32,2,FALSE))&lt;test!$K$16,$A65&lt;&gt;W$1,Recharged_Feasible_mat!X34),(VLOOKUP(W$1,test!$A$3:$I$32,8,FALSE))-(VLOOKUP($A65,test!$A$3:$I$32,9,FALSE))+(test!$B$34-50),0)</f>
        <v>385</v>
      </c>
      <c r="X65">
        <f>IF(AND(SUM(VLOOKUP($A65,test!$A$3:$F$32,2,FALSE),VLOOKUP(X$1,test!$A$3:$F$32,2,FALSE))&lt;test!$K$16,$A65&lt;&gt;X$1,Recharged_Feasible_mat!Y34),(VLOOKUP(X$1,test!$A$3:$I$32,8,FALSE))-(VLOOKUP($A65,test!$A$3:$I$32,9,FALSE))+(test!$B$34-50),0)</f>
        <v>445</v>
      </c>
      <c r="Y65">
        <f>IF(AND(SUM(VLOOKUP($A65,test!$A$3:$F$32,2,FALSE),VLOOKUP(Y$1,test!$A$3:$F$32,2,FALSE))&lt;test!$K$16,$A65&lt;&gt;Y$1,Recharged_Feasible_mat!Z34),(VLOOKUP(Y$1,test!$A$3:$I$32,8,FALSE))-(VLOOKUP($A65,test!$A$3:$I$32,9,FALSE))+(test!$B$34-50),0)</f>
        <v>0</v>
      </c>
      <c r="Z65">
        <f>IF(AND(SUM(VLOOKUP($A65,test!$A$3:$F$32,2,FALSE),VLOOKUP(Z$1,test!$A$3:$F$32,2,FALSE))&lt;test!$K$16,$A65&lt;&gt;Z$1,Recharged_Feasible_mat!AA34),(VLOOKUP(Z$1,test!$A$3:$I$32,8,FALSE))-(VLOOKUP($A65,test!$A$3:$I$32,9,FALSE))+(test!$B$34-50),0)</f>
        <v>0</v>
      </c>
      <c r="AA65">
        <f>IF(AND(SUM(VLOOKUP($A65,test!$A$3:$F$32,2,FALSE),VLOOKUP(AA$1,test!$A$3:$F$32,2,FALSE))&lt;test!$K$16,$A65&lt;&gt;AA$1,Recharged_Feasible_mat!AB34),(VLOOKUP(AA$1,test!$A$3:$I$32,8,FALSE))-(VLOOKUP($A65,test!$A$3:$I$32,9,FALSE))+(test!$B$34-50),0)</f>
        <v>0</v>
      </c>
      <c r="AB65">
        <f>IF(AND(SUM(VLOOKUP($A65,test!$A$3:$F$32,2,FALSE),VLOOKUP(AB$1,test!$A$3:$F$32,2,FALSE))&lt;test!$K$16,$A65&lt;&gt;AB$1,Recharged_Feasible_mat!AC34),(VLOOKUP(AB$1,test!$A$3:$I$32,8,FALSE))-(VLOOKUP($A65,test!$A$3:$I$32,9,FALSE))+(test!$B$34-50),0)</f>
        <v>225</v>
      </c>
      <c r="AC65">
        <f>IF(AND(SUM(VLOOKUP($A65,test!$A$3:$F$32,2,FALSE),VLOOKUP(AC$1,test!$A$3:$F$32,2,FALSE))&lt;test!$K$16,$A65&lt;&gt;AC$1,Recharged_Feasible_mat!AD34),(VLOOKUP(AC$1,test!$A$3:$I$32,8,FALSE))-(VLOOKUP($A65,test!$A$3:$I$32,9,FALSE))+(test!$B$34-50),0)</f>
        <v>345</v>
      </c>
      <c r="AD65">
        <f>IF(AND(SUM(VLOOKUP($A65,test!$A$3:$F$32,2,FALSE),VLOOKUP(AD$1,test!$A$3:$F$32,2,FALSE))&lt;test!$K$16,$A65&lt;&gt;AD$1,Recharged_Feasible_mat!AE34),(VLOOKUP(AD$1,test!$A$3:$I$32,8,FALSE))-(VLOOKUP($A65,test!$A$3:$I$32,9,FALSE))+(test!$B$34-50),0)</f>
        <v>0</v>
      </c>
      <c r="AE65">
        <f>IF(AND(SUM(VLOOKUP($A65,test!$A$3:$F$32,2,FALSE),VLOOKUP(AE$1,test!$A$3:$F$32,2,FALSE))&lt;test!$K$16,$A65&lt;&gt;AE$1,Recharged_Feasible_mat!AF34),(VLOOKUP(AE$1,test!$A$3:$I$32,8,FALSE))-(VLOOKUP($A65,test!$A$3:$I$32,9,FALSE))+(test!$B$34-50),0)</f>
        <v>0</v>
      </c>
      <c r="AF65">
        <f>IF(AND(SUM(VLOOKUP($A65,test!$A$3:$F$32,2,FALSE),VLOOKUP(AF$1,test!$A$3:$F$32,2,FALSE))&lt;test!$K$16,$A65&lt;&gt;AF$1,Recharged_Feasible_mat!AG34),(VLOOKUP(AF$1,test!$A$3:$I$32,8,FALSE))-(VLOOKUP($A65,test!$A$3:$I$32,9,FALSE))+(test!$B$34-50),0)</f>
        <v>0</v>
      </c>
    </row>
    <row r="66" spans="1:32" x14ac:dyDescent="0.25">
      <c r="A66" t="s">
        <v>9</v>
      </c>
      <c r="B66">
        <v>0</v>
      </c>
      <c r="C66">
        <f>IF(AND(SUM(VLOOKUP($A66,test!$A$3:$F$32,2,FALSE),VLOOKUP(C$1,test!$A$3:$F$32,2,FALSE))&lt;test!$K$16,$A66&lt;&gt;C$1,Recharged_Feasible_mat!D35),(VLOOKUP(C$1,test!$A$3:$I$32,8,FALSE))-(VLOOKUP($A66,test!$A$3:$I$32,9,FALSE))+(test!$B$34-50),0)</f>
        <v>0</v>
      </c>
      <c r="D66">
        <f>IF(AND(SUM(VLOOKUP($A66,test!$A$3:$F$32,2,FALSE),VLOOKUP(D$1,test!$A$3:$F$32,2,FALSE))&lt;test!$K$16,$A66&lt;&gt;D$1,Recharged_Feasible_mat!E35),(VLOOKUP(D$1,test!$A$3:$I$32,8,FALSE))-(VLOOKUP($A66,test!$A$3:$I$32,9,FALSE))+(test!$B$34-50),0)</f>
        <v>0</v>
      </c>
      <c r="E66">
        <f>IF(AND(SUM(VLOOKUP($A66,test!$A$3:$F$32,2,FALSE),VLOOKUP(E$1,test!$A$3:$F$32,2,FALSE))&lt;test!$K$16,$A66&lt;&gt;E$1,Recharged_Feasible_mat!F35),(VLOOKUP(E$1,test!$A$3:$I$32,8,FALSE))-(VLOOKUP($A66,test!$A$3:$I$32,9,FALSE))+(test!$B$34-50),0)</f>
        <v>0</v>
      </c>
      <c r="F66">
        <f>IF(AND(SUM(VLOOKUP($A66,test!$A$3:$F$32,2,FALSE),VLOOKUP(F$1,test!$A$3:$F$32,2,FALSE))&lt;test!$K$16,$A66&lt;&gt;F$1,Recharged_Feasible_mat!G35),(VLOOKUP(F$1,test!$A$3:$I$32,8,FALSE))-(VLOOKUP($A66,test!$A$3:$I$32,9,FALSE))+(test!$B$34-50),0)</f>
        <v>0</v>
      </c>
      <c r="G66">
        <f>IF(AND(SUM(VLOOKUP($A66,test!$A$3:$F$32,2,FALSE),VLOOKUP(G$1,test!$A$3:$F$32,2,FALSE))&lt;test!$K$16,$A66&lt;&gt;G$1,Recharged_Feasible_mat!H35),(VLOOKUP(G$1,test!$A$3:$I$32,8,FALSE))-(VLOOKUP($A66,test!$A$3:$I$32,9,FALSE))+(test!$B$34-50),0)</f>
        <v>0</v>
      </c>
      <c r="H66">
        <f>IF(AND(SUM(VLOOKUP($A66,test!$A$3:$F$32,2,FALSE),VLOOKUP(H$1,test!$A$3:$F$32,2,FALSE))&lt;test!$K$16,$A66&lt;&gt;H$1,Recharged_Feasible_mat!I35),(VLOOKUP(H$1,test!$A$3:$I$32,8,FALSE))-(VLOOKUP($A66,test!$A$3:$I$32,9,FALSE))+(test!$B$34-50),0)</f>
        <v>0</v>
      </c>
      <c r="I66">
        <f>IF(AND(SUM(VLOOKUP($A66,test!$A$3:$F$32,2,FALSE),VLOOKUP(I$1,test!$A$3:$F$32,2,FALSE))&lt;test!$K$16,$A66&lt;&gt;I$1,Recharged_Feasible_mat!J35),(VLOOKUP(I$1,test!$A$3:$I$32,8,FALSE))-(VLOOKUP($A66,test!$A$3:$I$32,9,FALSE))+(test!$B$34-50),0)</f>
        <v>225</v>
      </c>
      <c r="J66">
        <f>IF(AND(SUM(VLOOKUP($A66,test!$A$3:$F$32,2,FALSE),VLOOKUP(J$1,test!$A$3:$F$32,2,FALSE))&lt;test!$K$16,$A66&lt;&gt;J$1,Recharged_Feasible_mat!K35),(VLOOKUP(J$1,test!$A$3:$I$32,8,FALSE))-(VLOOKUP($A66,test!$A$3:$I$32,9,FALSE))+(test!$B$34-50),0)</f>
        <v>315</v>
      </c>
      <c r="K66">
        <f>IF(AND(SUM(VLOOKUP($A66,test!$A$3:$F$32,2,FALSE),VLOOKUP(K$1,test!$A$3:$F$32,2,FALSE))&lt;test!$K$16,$A66&lt;&gt;K$1,Recharged_Feasible_mat!L35),(VLOOKUP(K$1,test!$A$3:$I$32,8,FALSE))-(VLOOKUP($A66,test!$A$3:$I$32,9,FALSE))+(test!$B$34-50),0)</f>
        <v>0</v>
      </c>
      <c r="L66">
        <f>IF(AND(SUM(VLOOKUP($A66,test!$A$3:$F$32,2,FALSE),VLOOKUP(L$1,test!$A$3:$F$32,2,FALSE))&lt;test!$K$16,$A66&lt;&gt;L$1,Recharged_Feasible_mat!M35),(VLOOKUP(L$1,test!$A$3:$I$32,8,FALSE))-(VLOOKUP($A66,test!$A$3:$I$32,9,FALSE))+(test!$B$34-50),0)</f>
        <v>0</v>
      </c>
      <c r="M66">
        <f>IF(AND(SUM(VLOOKUP($A66,test!$A$3:$F$32,2,FALSE),VLOOKUP(M$1,test!$A$3:$F$32,2,FALSE))&lt;test!$K$16,$A66&lt;&gt;M$1,Recharged_Feasible_mat!N35),(VLOOKUP(M$1,test!$A$3:$I$32,8,FALSE))-(VLOOKUP($A66,test!$A$3:$I$32,9,FALSE))+(test!$B$34-50),0)</f>
        <v>0</v>
      </c>
      <c r="N66">
        <f>IF(AND(SUM(VLOOKUP($A66,test!$A$3:$F$32,2,FALSE),VLOOKUP(N$1,test!$A$3:$F$32,2,FALSE))&lt;test!$K$16,$A66&lt;&gt;N$1,Recharged_Feasible_mat!O35),(VLOOKUP(N$1,test!$A$3:$I$32,8,FALSE))-(VLOOKUP($A66,test!$A$3:$I$32,9,FALSE))+(test!$B$34-50),0)</f>
        <v>280</v>
      </c>
      <c r="O66">
        <f>IF(AND(SUM(VLOOKUP($A66,test!$A$3:$F$32,2,FALSE),VLOOKUP(O$1,test!$A$3:$F$32,2,FALSE))&lt;test!$K$16,$A66&lt;&gt;O$1,Recharged_Feasible_mat!P35),(VLOOKUP(O$1,test!$A$3:$I$32,8,FALSE))-(VLOOKUP($A66,test!$A$3:$I$32,9,FALSE))+(test!$B$34-50),0)</f>
        <v>340</v>
      </c>
      <c r="P66">
        <f>IF(AND(SUM(VLOOKUP($A66,test!$A$3:$F$32,2,FALSE),VLOOKUP(P$1,test!$A$3:$F$32,2,FALSE))&lt;test!$K$16,$A66&lt;&gt;P$1,Recharged_Feasible_mat!Q35),(VLOOKUP(P$1,test!$A$3:$I$32,8,FALSE))-(VLOOKUP($A66,test!$A$3:$I$32,9,FALSE))+(test!$B$34-50),0)</f>
        <v>0</v>
      </c>
      <c r="Q66">
        <f>IF(AND(SUM(VLOOKUP($A66,test!$A$3:$F$32,2,FALSE),VLOOKUP(Q$1,test!$A$3:$F$32,2,FALSE))&lt;test!$K$16,$A66&lt;&gt;Q$1,Recharged_Feasible_mat!R35),(VLOOKUP(Q$1,test!$A$3:$I$32,8,FALSE))-(VLOOKUP($A66,test!$A$3:$I$32,9,FALSE))+(test!$B$34-50),0)</f>
        <v>0</v>
      </c>
      <c r="R66">
        <f>IF(AND(SUM(VLOOKUP($A66,test!$A$3:$F$32,2,FALSE),VLOOKUP(R$1,test!$A$3:$F$32,2,FALSE))&lt;test!$K$16,$A66&lt;&gt;R$1,Recharged_Feasible_mat!S35),(VLOOKUP(R$1,test!$A$3:$I$32,8,FALSE))-(VLOOKUP($A66,test!$A$3:$I$32,9,FALSE))+(test!$B$34-50),0)</f>
        <v>0</v>
      </c>
      <c r="S66">
        <f>IF(AND(SUM(VLOOKUP($A66,test!$A$3:$F$32,2,FALSE),VLOOKUP(S$1,test!$A$3:$F$32,2,FALSE))&lt;test!$K$16,$A66&lt;&gt;S$1,Recharged_Feasible_mat!T35),(VLOOKUP(S$1,test!$A$3:$I$32,8,FALSE))-(VLOOKUP($A66,test!$A$3:$I$32,9,FALSE))+(test!$B$34-50),0)</f>
        <v>0</v>
      </c>
      <c r="T66">
        <f>IF(AND(SUM(VLOOKUP($A66,test!$A$3:$F$32,2,FALSE),VLOOKUP(T$1,test!$A$3:$F$32,2,FALSE))&lt;test!$K$16,$A66&lt;&gt;T$1,Recharged_Feasible_mat!U35),(VLOOKUP(T$1,test!$A$3:$I$32,8,FALSE))-(VLOOKUP($A66,test!$A$3:$I$32,9,FALSE))+(test!$B$34-50),0)</f>
        <v>0</v>
      </c>
      <c r="U66">
        <f>IF(AND(SUM(VLOOKUP($A66,test!$A$3:$F$32,2,FALSE),VLOOKUP(U$1,test!$A$3:$F$32,2,FALSE))&lt;test!$K$16,$A66&lt;&gt;U$1,Recharged_Feasible_mat!V35),(VLOOKUP(U$1,test!$A$3:$I$32,8,FALSE))-(VLOOKUP($A66,test!$A$3:$I$32,9,FALSE))+(test!$B$34-50),0)</f>
        <v>0</v>
      </c>
      <c r="V66">
        <f>IF(AND(SUM(VLOOKUP($A66,test!$A$3:$F$32,2,FALSE),VLOOKUP(V$1,test!$A$3:$F$32,2,FALSE))&lt;test!$K$16,$A66&lt;&gt;V$1,Recharged_Feasible_mat!W35),(VLOOKUP(V$1,test!$A$3:$I$32,8,FALSE))-(VLOOKUP($A66,test!$A$3:$I$32,9,FALSE))+(test!$B$34-50),0)</f>
        <v>0</v>
      </c>
      <c r="W66">
        <f>IF(AND(SUM(VLOOKUP($A66,test!$A$3:$F$32,2,FALSE),VLOOKUP(W$1,test!$A$3:$F$32,2,FALSE))&lt;test!$K$16,$A66&lt;&gt;W$1,Recharged_Feasible_mat!X35),(VLOOKUP(W$1,test!$A$3:$I$32,8,FALSE))-(VLOOKUP($A66,test!$A$3:$I$32,9,FALSE))+(test!$B$34-50),0)</f>
        <v>205</v>
      </c>
      <c r="X66">
        <f>IF(AND(SUM(VLOOKUP($A66,test!$A$3:$F$32,2,FALSE),VLOOKUP(X$1,test!$A$3:$F$32,2,FALSE))&lt;test!$K$16,$A66&lt;&gt;X$1,Recharged_Feasible_mat!Y35),(VLOOKUP(X$1,test!$A$3:$I$32,8,FALSE))-(VLOOKUP($A66,test!$A$3:$I$32,9,FALSE))+(test!$B$34-50),0)</f>
        <v>265</v>
      </c>
      <c r="Y66">
        <f>IF(AND(SUM(VLOOKUP($A66,test!$A$3:$F$32,2,FALSE),VLOOKUP(Y$1,test!$A$3:$F$32,2,FALSE))&lt;test!$K$16,$A66&lt;&gt;Y$1,Recharged_Feasible_mat!Z35),(VLOOKUP(Y$1,test!$A$3:$I$32,8,FALSE))-(VLOOKUP($A66,test!$A$3:$I$32,9,FALSE))+(test!$B$34-50),0)</f>
        <v>0</v>
      </c>
      <c r="Z66">
        <f>IF(AND(SUM(VLOOKUP($A66,test!$A$3:$F$32,2,FALSE),VLOOKUP(Z$1,test!$A$3:$F$32,2,FALSE))&lt;test!$K$16,$A66&lt;&gt;Z$1,Recharged_Feasible_mat!AA35),(VLOOKUP(Z$1,test!$A$3:$I$32,8,FALSE))-(VLOOKUP($A66,test!$A$3:$I$32,9,FALSE))+(test!$B$34-50),0)</f>
        <v>0</v>
      </c>
      <c r="AA66">
        <f>IF(AND(SUM(VLOOKUP($A66,test!$A$3:$F$32,2,FALSE),VLOOKUP(AA$1,test!$A$3:$F$32,2,FALSE))&lt;test!$K$16,$A66&lt;&gt;AA$1,Recharged_Feasible_mat!AB35),(VLOOKUP(AA$1,test!$A$3:$I$32,8,FALSE))-(VLOOKUP($A66,test!$A$3:$I$32,9,FALSE))+(test!$B$34-50),0)</f>
        <v>0</v>
      </c>
      <c r="AB66">
        <f>IF(AND(SUM(VLOOKUP($A66,test!$A$3:$F$32,2,FALSE),VLOOKUP(AB$1,test!$A$3:$F$32,2,FALSE))&lt;test!$K$16,$A66&lt;&gt;AB$1,Recharged_Feasible_mat!AC35),(VLOOKUP(AB$1,test!$A$3:$I$32,8,FALSE))-(VLOOKUP($A66,test!$A$3:$I$32,9,FALSE))+(test!$B$34-50),0)</f>
        <v>0</v>
      </c>
      <c r="AC66">
        <f>IF(AND(SUM(VLOOKUP($A66,test!$A$3:$F$32,2,FALSE),VLOOKUP(AC$1,test!$A$3:$F$32,2,FALSE))&lt;test!$K$16,$A66&lt;&gt;AC$1,Recharged_Feasible_mat!AD35),(VLOOKUP(AC$1,test!$A$3:$I$32,8,FALSE))-(VLOOKUP($A66,test!$A$3:$I$32,9,FALSE))+(test!$B$34-50),0)</f>
        <v>0</v>
      </c>
      <c r="AD66">
        <f>IF(AND(SUM(VLOOKUP($A66,test!$A$3:$F$32,2,FALSE),VLOOKUP(AD$1,test!$A$3:$F$32,2,FALSE))&lt;test!$K$16,$A66&lt;&gt;AD$1,Recharged_Feasible_mat!AE35),(VLOOKUP(AD$1,test!$A$3:$I$32,8,FALSE))-(VLOOKUP($A66,test!$A$3:$I$32,9,FALSE))+(test!$B$34-50),0)</f>
        <v>0</v>
      </c>
      <c r="AE66">
        <f>IF(AND(SUM(VLOOKUP($A66,test!$A$3:$F$32,2,FALSE),VLOOKUP(AE$1,test!$A$3:$F$32,2,FALSE))&lt;test!$K$16,$A66&lt;&gt;AE$1,Recharged_Feasible_mat!AF35),(VLOOKUP(AE$1,test!$A$3:$I$32,8,FALSE))-(VLOOKUP($A66,test!$A$3:$I$32,9,FALSE))+(test!$B$34-50),0)</f>
        <v>0</v>
      </c>
      <c r="AF66">
        <f>IF(AND(SUM(VLOOKUP($A66,test!$A$3:$F$32,2,FALSE),VLOOKUP(AF$1,test!$A$3:$F$32,2,FALSE))&lt;test!$K$16,$A66&lt;&gt;AF$1,Recharged_Feasible_mat!AG35),(VLOOKUP(AF$1,test!$A$3:$I$32,8,FALSE))-(VLOOKUP($A66,test!$A$3:$I$32,9,FALSE))+(test!$B$34-50),0)</f>
        <v>0</v>
      </c>
    </row>
    <row r="67" spans="1:32" x14ac:dyDescent="0.25">
      <c r="A67" t="s">
        <v>10</v>
      </c>
      <c r="B67">
        <v>0</v>
      </c>
      <c r="C67">
        <f>IF(AND(SUM(VLOOKUP($A67,test!$A$3:$F$32,2,FALSE),VLOOKUP(C$1,test!$A$3:$F$32,2,FALSE))&lt;test!$K$16,$A67&lt;&gt;C$1,Recharged_Feasible_mat!D36),(VLOOKUP(C$1,test!$A$3:$I$32,8,FALSE))-(VLOOKUP($A67,test!$A$3:$I$32,9,FALSE))+(test!$B$34-50),0)</f>
        <v>0</v>
      </c>
      <c r="D67">
        <f>IF(AND(SUM(VLOOKUP($A67,test!$A$3:$F$32,2,FALSE),VLOOKUP(D$1,test!$A$3:$F$32,2,FALSE))&lt;test!$K$16,$A67&lt;&gt;D$1,Recharged_Feasible_mat!E36),(VLOOKUP(D$1,test!$A$3:$I$32,8,FALSE))-(VLOOKUP($A67,test!$A$3:$I$32,9,FALSE))+(test!$B$34-50),0)</f>
        <v>0</v>
      </c>
      <c r="E67">
        <f>IF(AND(SUM(VLOOKUP($A67,test!$A$3:$F$32,2,FALSE),VLOOKUP(E$1,test!$A$3:$F$32,2,FALSE))&lt;test!$K$16,$A67&lt;&gt;E$1,Recharged_Feasible_mat!F36),(VLOOKUP(E$1,test!$A$3:$I$32,8,FALSE))-(VLOOKUP($A67,test!$A$3:$I$32,9,FALSE))+(test!$B$34-50),0)</f>
        <v>0</v>
      </c>
      <c r="F67">
        <f>IF(AND(SUM(VLOOKUP($A67,test!$A$3:$F$32,2,FALSE),VLOOKUP(F$1,test!$A$3:$F$32,2,FALSE))&lt;test!$K$16,$A67&lt;&gt;F$1,Recharged_Feasible_mat!G36),(VLOOKUP(F$1,test!$A$3:$I$32,8,FALSE))-(VLOOKUP($A67,test!$A$3:$I$32,9,FALSE))+(test!$B$34-50),0)</f>
        <v>0</v>
      </c>
      <c r="G67">
        <f>IF(AND(SUM(VLOOKUP($A67,test!$A$3:$F$32,2,FALSE),VLOOKUP(G$1,test!$A$3:$F$32,2,FALSE))&lt;test!$K$16,$A67&lt;&gt;G$1,Recharged_Feasible_mat!H36),(VLOOKUP(G$1,test!$A$3:$I$32,8,FALSE))-(VLOOKUP($A67,test!$A$3:$I$32,9,FALSE))+(test!$B$34-50),0)</f>
        <v>0</v>
      </c>
      <c r="H67">
        <f>IF(AND(SUM(VLOOKUP($A67,test!$A$3:$F$32,2,FALSE),VLOOKUP(H$1,test!$A$3:$F$32,2,FALSE))&lt;test!$K$16,$A67&lt;&gt;H$1,Recharged_Feasible_mat!I36),(VLOOKUP(H$1,test!$A$3:$I$32,8,FALSE))-(VLOOKUP($A67,test!$A$3:$I$32,9,FALSE))+(test!$B$34-50),0)</f>
        <v>0</v>
      </c>
      <c r="I67">
        <f>IF(AND(SUM(VLOOKUP($A67,test!$A$3:$F$32,2,FALSE),VLOOKUP(I$1,test!$A$3:$F$32,2,FALSE))&lt;test!$K$16,$A67&lt;&gt;I$1,Recharged_Feasible_mat!J36),(VLOOKUP(I$1,test!$A$3:$I$32,8,FALSE))-(VLOOKUP($A67,test!$A$3:$I$32,9,FALSE))+(test!$B$34-50),0)</f>
        <v>0</v>
      </c>
      <c r="J67">
        <f>IF(AND(SUM(VLOOKUP($A67,test!$A$3:$F$32,2,FALSE),VLOOKUP(J$1,test!$A$3:$F$32,2,FALSE))&lt;test!$K$16,$A67&lt;&gt;J$1,Recharged_Feasible_mat!K36),(VLOOKUP(J$1,test!$A$3:$I$32,8,FALSE))-(VLOOKUP($A67,test!$A$3:$I$32,9,FALSE))+(test!$B$34-50),0)</f>
        <v>225</v>
      </c>
      <c r="K67">
        <f>IF(AND(SUM(VLOOKUP($A67,test!$A$3:$F$32,2,FALSE),VLOOKUP(K$1,test!$A$3:$F$32,2,FALSE))&lt;test!$K$16,$A67&lt;&gt;K$1,Recharged_Feasible_mat!L36),(VLOOKUP(K$1,test!$A$3:$I$32,8,FALSE))-(VLOOKUP($A67,test!$A$3:$I$32,9,FALSE))+(test!$B$34-50),0)</f>
        <v>0</v>
      </c>
      <c r="L67">
        <f>IF(AND(SUM(VLOOKUP($A67,test!$A$3:$F$32,2,FALSE),VLOOKUP(L$1,test!$A$3:$F$32,2,FALSE))&lt;test!$K$16,$A67&lt;&gt;L$1,Recharged_Feasible_mat!M36),(VLOOKUP(L$1,test!$A$3:$I$32,8,FALSE))-(VLOOKUP($A67,test!$A$3:$I$32,9,FALSE))+(test!$B$34-50),0)</f>
        <v>0</v>
      </c>
      <c r="M67">
        <f>IF(AND(SUM(VLOOKUP($A67,test!$A$3:$F$32,2,FALSE),VLOOKUP(M$1,test!$A$3:$F$32,2,FALSE))&lt;test!$K$16,$A67&lt;&gt;M$1,Recharged_Feasible_mat!N36),(VLOOKUP(M$1,test!$A$3:$I$32,8,FALSE))-(VLOOKUP($A67,test!$A$3:$I$32,9,FALSE))+(test!$B$34-50),0)</f>
        <v>0</v>
      </c>
      <c r="N67">
        <f>IF(AND(SUM(VLOOKUP($A67,test!$A$3:$F$32,2,FALSE),VLOOKUP(N$1,test!$A$3:$F$32,2,FALSE))&lt;test!$K$16,$A67&lt;&gt;N$1,Recharged_Feasible_mat!O36),(VLOOKUP(N$1,test!$A$3:$I$32,8,FALSE))-(VLOOKUP($A67,test!$A$3:$I$32,9,FALSE))+(test!$B$34-50),0)</f>
        <v>0</v>
      </c>
      <c r="O67">
        <f>IF(AND(SUM(VLOOKUP($A67,test!$A$3:$F$32,2,FALSE),VLOOKUP(O$1,test!$A$3:$F$32,2,FALSE))&lt;test!$K$16,$A67&lt;&gt;O$1,Recharged_Feasible_mat!P36),(VLOOKUP(O$1,test!$A$3:$I$32,8,FALSE))-(VLOOKUP($A67,test!$A$3:$I$32,9,FALSE))+(test!$B$34-50),0)</f>
        <v>250</v>
      </c>
      <c r="P67">
        <f>IF(AND(SUM(VLOOKUP($A67,test!$A$3:$F$32,2,FALSE),VLOOKUP(P$1,test!$A$3:$F$32,2,FALSE))&lt;test!$K$16,$A67&lt;&gt;P$1,Recharged_Feasible_mat!Q36),(VLOOKUP(P$1,test!$A$3:$I$32,8,FALSE))-(VLOOKUP($A67,test!$A$3:$I$32,9,FALSE))+(test!$B$34-50),0)</f>
        <v>0</v>
      </c>
      <c r="Q67">
        <f>IF(AND(SUM(VLOOKUP($A67,test!$A$3:$F$32,2,FALSE),VLOOKUP(Q$1,test!$A$3:$F$32,2,FALSE))&lt;test!$K$16,$A67&lt;&gt;Q$1,Recharged_Feasible_mat!R36),(VLOOKUP(Q$1,test!$A$3:$I$32,8,FALSE))-(VLOOKUP($A67,test!$A$3:$I$32,9,FALSE))+(test!$B$34-50),0)</f>
        <v>0</v>
      </c>
      <c r="R67">
        <f>IF(AND(SUM(VLOOKUP($A67,test!$A$3:$F$32,2,FALSE),VLOOKUP(R$1,test!$A$3:$F$32,2,FALSE))&lt;test!$K$16,$A67&lt;&gt;R$1,Recharged_Feasible_mat!S36),(VLOOKUP(R$1,test!$A$3:$I$32,8,FALSE))-(VLOOKUP($A67,test!$A$3:$I$32,9,FALSE))+(test!$B$34-50),0)</f>
        <v>0</v>
      </c>
      <c r="S67">
        <f>IF(AND(SUM(VLOOKUP($A67,test!$A$3:$F$32,2,FALSE),VLOOKUP(S$1,test!$A$3:$F$32,2,FALSE))&lt;test!$K$16,$A67&lt;&gt;S$1,Recharged_Feasible_mat!T36),(VLOOKUP(S$1,test!$A$3:$I$32,8,FALSE))-(VLOOKUP($A67,test!$A$3:$I$32,9,FALSE))+(test!$B$34-50),0)</f>
        <v>0</v>
      </c>
      <c r="T67">
        <f>IF(AND(SUM(VLOOKUP($A67,test!$A$3:$F$32,2,FALSE),VLOOKUP(T$1,test!$A$3:$F$32,2,FALSE))&lt;test!$K$16,$A67&lt;&gt;T$1,Recharged_Feasible_mat!U36),(VLOOKUP(T$1,test!$A$3:$I$32,8,FALSE))-(VLOOKUP($A67,test!$A$3:$I$32,9,FALSE))+(test!$B$34-50),0)</f>
        <v>0</v>
      </c>
      <c r="U67">
        <f>IF(AND(SUM(VLOOKUP($A67,test!$A$3:$F$32,2,FALSE),VLOOKUP(U$1,test!$A$3:$F$32,2,FALSE))&lt;test!$K$16,$A67&lt;&gt;U$1,Recharged_Feasible_mat!V36),(VLOOKUP(U$1,test!$A$3:$I$32,8,FALSE))-(VLOOKUP($A67,test!$A$3:$I$32,9,FALSE))+(test!$B$34-50),0)</f>
        <v>0</v>
      </c>
      <c r="V67">
        <f>IF(AND(SUM(VLOOKUP($A67,test!$A$3:$F$32,2,FALSE),VLOOKUP(V$1,test!$A$3:$F$32,2,FALSE))&lt;test!$K$16,$A67&lt;&gt;V$1,Recharged_Feasible_mat!W36),(VLOOKUP(V$1,test!$A$3:$I$32,8,FALSE))-(VLOOKUP($A67,test!$A$3:$I$32,9,FALSE))+(test!$B$34-50),0)</f>
        <v>0</v>
      </c>
      <c r="W67">
        <f>IF(AND(SUM(VLOOKUP($A67,test!$A$3:$F$32,2,FALSE),VLOOKUP(W$1,test!$A$3:$F$32,2,FALSE))&lt;test!$K$16,$A67&lt;&gt;W$1,Recharged_Feasible_mat!X36),(VLOOKUP(W$1,test!$A$3:$I$32,8,FALSE))-(VLOOKUP($A67,test!$A$3:$I$32,9,FALSE))+(test!$B$34-50),0)</f>
        <v>0</v>
      </c>
      <c r="X67">
        <f>IF(AND(SUM(VLOOKUP($A67,test!$A$3:$F$32,2,FALSE),VLOOKUP(X$1,test!$A$3:$F$32,2,FALSE))&lt;test!$K$16,$A67&lt;&gt;X$1,Recharged_Feasible_mat!Y36),(VLOOKUP(X$1,test!$A$3:$I$32,8,FALSE))-(VLOOKUP($A67,test!$A$3:$I$32,9,FALSE))+(test!$B$34-50),0)</f>
        <v>0</v>
      </c>
      <c r="Y67">
        <f>IF(AND(SUM(VLOOKUP($A67,test!$A$3:$F$32,2,FALSE),VLOOKUP(Y$1,test!$A$3:$F$32,2,FALSE))&lt;test!$K$16,$A67&lt;&gt;Y$1,Recharged_Feasible_mat!Z36),(VLOOKUP(Y$1,test!$A$3:$I$32,8,FALSE))-(VLOOKUP($A67,test!$A$3:$I$32,9,FALSE))+(test!$B$34-50),0)</f>
        <v>0</v>
      </c>
      <c r="Z67">
        <f>IF(AND(SUM(VLOOKUP($A67,test!$A$3:$F$32,2,FALSE),VLOOKUP(Z$1,test!$A$3:$F$32,2,FALSE))&lt;test!$K$16,$A67&lt;&gt;Z$1,Recharged_Feasible_mat!AA36),(VLOOKUP(Z$1,test!$A$3:$I$32,8,FALSE))-(VLOOKUP($A67,test!$A$3:$I$32,9,FALSE))+(test!$B$34-50),0)</f>
        <v>0</v>
      </c>
      <c r="AA67">
        <f>IF(AND(SUM(VLOOKUP($A67,test!$A$3:$F$32,2,FALSE),VLOOKUP(AA$1,test!$A$3:$F$32,2,FALSE))&lt;test!$K$16,$A67&lt;&gt;AA$1,Recharged_Feasible_mat!AB36),(VLOOKUP(AA$1,test!$A$3:$I$32,8,FALSE))-(VLOOKUP($A67,test!$A$3:$I$32,9,FALSE))+(test!$B$34-50),0)</f>
        <v>0</v>
      </c>
      <c r="AB67">
        <f>IF(AND(SUM(VLOOKUP($A67,test!$A$3:$F$32,2,FALSE),VLOOKUP(AB$1,test!$A$3:$F$32,2,FALSE))&lt;test!$K$16,$A67&lt;&gt;AB$1,Recharged_Feasible_mat!AC36),(VLOOKUP(AB$1,test!$A$3:$I$32,8,FALSE))-(VLOOKUP($A67,test!$A$3:$I$32,9,FALSE))+(test!$B$34-50),0)</f>
        <v>0</v>
      </c>
      <c r="AC67">
        <f>IF(AND(SUM(VLOOKUP($A67,test!$A$3:$F$32,2,FALSE),VLOOKUP(AC$1,test!$A$3:$F$32,2,FALSE))&lt;test!$K$16,$A67&lt;&gt;AC$1,Recharged_Feasible_mat!AD36),(VLOOKUP(AC$1,test!$A$3:$I$32,8,FALSE))-(VLOOKUP($A67,test!$A$3:$I$32,9,FALSE))+(test!$B$34-50),0)</f>
        <v>0</v>
      </c>
      <c r="AD67">
        <f>IF(AND(SUM(VLOOKUP($A67,test!$A$3:$F$32,2,FALSE),VLOOKUP(AD$1,test!$A$3:$F$32,2,FALSE))&lt;test!$K$16,$A67&lt;&gt;AD$1,Recharged_Feasible_mat!AE36),(VLOOKUP(AD$1,test!$A$3:$I$32,8,FALSE))-(VLOOKUP($A67,test!$A$3:$I$32,9,FALSE))+(test!$B$34-50),0)</f>
        <v>0</v>
      </c>
      <c r="AE67">
        <f>IF(AND(SUM(VLOOKUP($A67,test!$A$3:$F$32,2,FALSE),VLOOKUP(AE$1,test!$A$3:$F$32,2,FALSE))&lt;test!$K$16,$A67&lt;&gt;AE$1,Recharged_Feasible_mat!AF36),(VLOOKUP(AE$1,test!$A$3:$I$32,8,FALSE))-(VLOOKUP($A67,test!$A$3:$I$32,9,FALSE))+(test!$B$34-50),0)</f>
        <v>0</v>
      </c>
      <c r="AF67">
        <f>IF(AND(SUM(VLOOKUP($A67,test!$A$3:$F$32,2,FALSE),VLOOKUP(AF$1,test!$A$3:$F$32,2,FALSE))&lt;test!$K$16,$A67&lt;&gt;AF$1,Recharged_Feasible_mat!AG36),(VLOOKUP(AF$1,test!$A$3:$I$32,8,FALSE))-(VLOOKUP($A67,test!$A$3:$I$32,9,FALSE))+(test!$B$34-50),0)</f>
        <v>0</v>
      </c>
    </row>
    <row r="68" spans="1:32" x14ac:dyDescent="0.25">
      <c r="A68" t="s">
        <v>11</v>
      </c>
      <c r="B68">
        <v>0</v>
      </c>
      <c r="C68">
        <f>IF(AND(SUM(VLOOKUP($A68,test!$A$3:$F$32,2,FALSE),VLOOKUP(C$1,test!$A$3:$F$32,2,FALSE))&lt;test!$K$16,$A68&lt;&gt;C$1,Recharged_Feasible_mat!D37),(VLOOKUP(C$1,test!$A$3:$I$32,8,FALSE))-(VLOOKUP($A68,test!$A$3:$I$32,9,FALSE))+(test!$B$34-50),0)</f>
        <v>0</v>
      </c>
      <c r="D68">
        <f>IF(AND(SUM(VLOOKUP($A68,test!$A$3:$F$32,2,FALSE),VLOOKUP(D$1,test!$A$3:$F$32,2,FALSE))&lt;test!$K$16,$A68&lt;&gt;D$1,Recharged_Feasible_mat!E37),(VLOOKUP(D$1,test!$A$3:$I$32,8,FALSE))-(VLOOKUP($A68,test!$A$3:$I$32,9,FALSE))+(test!$B$34-50),0)</f>
        <v>0</v>
      </c>
      <c r="E68">
        <f>IF(AND(SUM(VLOOKUP($A68,test!$A$3:$F$32,2,FALSE),VLOOKUP(E$1,test!$A$3:$F$32,2,FALSE))&lt;test!$K$16,$A68&lt;&gt;E$1,Recharged_Feasible_mat!F37),(VLOOKUP(E$1,test!$A$3:$I$32,8,FALSE))-(VLOOKUP($A68,test!$A$3:$I$32,9,FALSE))+(test!$B$34-50),0)</f>
        <v>0</v>
      </c>
      <c r="F68">
        <f>IF(AND(SUM(VLOOKUP($A68,test!$A$3:$F$32,2,FALSE),VLOOKUP(F$1,test!$A$3:$F$32,2,FALSE))&lt;test!$K$16,$A68&lt;&gt;F$1,Recharged_Feasible_mat!G37),(VLOOKUP(F$1,test!$A$3:$I$32,8,FALSE))-(VLOOKUP($A68,test!$A$3:$I$32,9,FALSE))+(test!$B$34-50),0)</f>
        <v>0</v>
      </c>
      <c r="G68">
        <f>IF(AND(SUM(VLOOKUP($A68,test!$A$3:$F$32,2,FALSE),VLOOKUP(G$1,test!$A$3:$F$32,2,FALSE))&lt;test!$K$16,$A68&lt;&gt;G$1,Recharged_Feasible_mat!H37),(VLOOKUP(G$1,test!$A$3:$I$32,8,FALSE))-(VLOOKUP($A68,test!$A$3:$I$32,9,FALSE))+(test!$B$34-50),0)</f>
        <v>0</v>
      </c>
      <c r="H68">
        <f>IF(AND(SUM(VLOOKUP($A68,test!$A$3:$F$32,2,FALSE),VLOOKUP(H$1,test!$A$3:$F$32,2,FALSE))&lt;test!$K$16,$A68&lt;&gt;H$1,Recharged_Feasible_mat!I37),(VLOOKUP(H$1,test!$A$3:$I$32,8,FALSE))-(VLOOKUP($A68,test!$A$3:$I$32,9,FALSE))+(test!$B$34-50),0)</f>
        <v>0</v>
      </c>
      <c r="I68">
        <f>IF(AND(SUM(VLOOKUP($A68,test!$A$3:$F$32,2,FALSE),VLOOKUP(I$1,test!$A$3:$F$32,2,FALSE))&lt;test!$K$16,$A68&lt;&gt;I$1,Recharged_Feasible_mat!J37),(VLOOKUP(I$1,test!$A$3:$I$32,8,FALSE))-(VLOOKUP($A68,test!$A$3:$I$32,9,FALSE))+(test!$B$34-50),0)</f>
        <v>0</v>
      </c>
      <c r="J68">
        <f>IF(AND(SUM(VLOOKUP($A68,test!$A$3:$F$32,2,FALSE),VLOOKUP(J$1,test!$A$3:$F$32,2,FALSE))&lt;test!$K$16,$A68&lt;&gt;J$1,Recharged_Feasible_mat!K37),(VLOOKUP(J$1,test!$A$3:$I$32,8,FALSE))-(VLOOKUP($A68,test!$A$3:$I$32,9,FALSE))+(test!$B$34-50),0)</f>
        <v>0</v>
      </c>
      <c r="K68">
        <f>IF(AND(SUM(VLOOKUP($A68,test!$A$3:$F$32,2,FALSE),VLOOKUP(K$1,test!$A$3:$F$32,2,FALSE))&lt;test!$K$16,$A68&lt;&gt;K$1,Recharged_Feasible_mat!L37),(VLOOKUP(K$1,test!$A$3:$I$32,8,FALSE))-(VLOOKUP($A68,test!$A$3:$I$32,9,FALSE))+(test!$B$34-50),0)</f>
        <v>0</v>
      </c>
      <c r="L68">
        <f>IF(AND(SUM(VLOOKUP($A68,test!$A$3:$F$32,2,FALSE),VLOOKUP(L$1,test!$A$3:$F$32,2,FALSE))&lt;test!$K$16,$A68&lt;&gt;L$1,Recharged_Feasible_mat!M37),(VLOOKUP(L$1,test!$A$3:$I$32,8,FALSE))-(VLOOKUP($A68,test!$A$3:$I$32,9,FALSE))+(test!$B$34-50),0)</f>
        <v>0</v>
      </c>
      <c r="M68">
        <f>IF(AND(SUM(VLOOKUP($A68,test!$A$3:$F$32,2,FALSE),VLOOKUP(M$1,test!$A$3:$F$32,2,FALSE))&lt;test!$K$16,$A68&lt;&gt;M$1,Recharged_Feasible_mat!N37),(VLOOKUP(M$1,test!$A$3:$I$32,8,FALSE))-(VLOOKUP($A68,test!$A$3:$I$32,9,FALSE))+(test!$B$34-50),0)</f>
        <v>0</v>
      </c>
      <c r="N68">
        <f>IF(AND(SUM(VLOOKUP($A68,test!$A$3:$F$32,2,FALSE),VLOOKUP(N$1,test!$A$3:$F$32,2,FALSE))&lt;test!$K$16,$A68&lt;&gt;N$1,Recharged_Feasible_mat!O37),(VLOOKUP(N$1,test!$A$3:$I$32,8,FALSE))-(VLOOKUP($A68,test!$A$3:$I$32,9,FALSE))+(test!$B$34-50),0)</f>
        <v>0</v>
      </c>
      <c r="O68">
        <f>IF(AND(SUM(VLOOKUP($A68,test!$A$3:$F$32,2,FALSE),VLOOKUP(O$1,test!$A$3:$F$32,2,FALSE))&lt;test!$K$16,$A68&lt;&gt;O$1,Recharged_Feasible_mat!P37),(VLOOKUP(O$1,test!$A$3:$I$32,8,FALSE))-(VLOOKUP($A68,test!$A$3:$I$32,9,FALSE))+(test!$B$34-50),0)</f>
        <v>0</v>
      </c>
      <c r="P68">
        <f>IF(AND(SUM(VLOOKUP($A68,test!$A$3:$F$32,2,FALSE),VLOOKUP(P$1,test!$A$3:$F$32,2,FALSE))&lt;test!$K$16,$A68&lt;&gt;P$1,Recharged_Feasible_mat!Q37),(VLOOKUP(P$1,test!$A$3:$I$32,8,FALSE))-(VLOOKUP($A68,test!$A$3:$I$32,9,FALSE))+(test!$B$34-50),0)</f>
        <v>0</v>
      </c>
      <c r="Q68">
        <f>IF(AND(SUM(VLOOKUP($A68,test!$A$3:$F$32,2,FALSE),VLOOKUP(Q$1,test!$A$3:$F$32,2,FALSE))&lt;test!$K$16,$A68&lt;&gt;Q$1,Recharged_Feasible_mat!R37),(VLOOKUP(Q$1,test!$A$3:$I$32,8,FALSE))-(VLOOKUP($A68,test!$A$3:$I$32,9,FALSE))+(test!$B$34-50),0)</f>
        <v>0</v>
      </c>
      <c r="R68">
        <f>IF(AND(SUM(VLOOKUP($A68,test!$A$3:$F$32,2,FALSE),VLOOKUP(R$1,test!$A$3:$F$32,2,FALSE))&lt;test!$K$16,$A68&lt;&gt;R$1,Recharged_Feasible_mat!S37),(VLOOKUP(R$1,test!$A$3:$I$32,8,FALSE))-(VLOOKUP($A68,test!$A$3:$I$32,9,FALSE))+(test!$B$34-50),0)</f>
        <v>0</v>
      </c>
      <c r="S68">
        <f>IF(AND(SUM(VLOOKUP($A68,test!$A$3:$F$32,2,FALSE),VLOOKUP(S$1,test!$A$3:$F$32,2,FALSE))&lt;test!$K$16,$A68&lt;&gt;S$1,Recharged_Feasible_mat!T37),(VLOOKUP(S$1,test!$A$3:$I$32,8,FALSE))-(VLOOKUP($A68,test!$A$3:$I$32,9,FALSE))+(test!$B$34-50),0)</f>
        <v>0</v>
      </c>
      <c r="T68">
        <f>IF(AND(SUM(VLOOKUP($A68,test!$A$3:$F$32,2,FALSE),VLOOKUP(T$1,test!$A$3:$F$32,2,FALSE))&lt;test!$K$16,$A68&lt;&gt;T$1,Recharged_Feasible_mat!U37),(VLOOKUP(T$1,test!$A$3:$I$32,8,FALSE))-(VLOOKUP($A68,test!$A$3:$I$32,9,FALSE))+(test!$B$34-50),0)</f>
        <v>0</v>
      </c>
      <c r="U68">
        <f>IF(AND(SUM(VLOOKUP($A68,test!$A$3:$F$32,2,FALSE),VLOOKUP(U$1,test!$A$3:$F$32,2,FALSE))&lt;test!$K$16,$A68&lt;&gt;U$1,Recharged_Feasible_mat!V37),(VLOOKUP(U$1,test!$A$3:$I$32,8,FALSE))-(VLOOKUP($A68,test!$A$3:$I$32,9,FALSE))+(test!$B$34-50),0)</f>
        <v>0</v>
      </c>
      <c r="V68">
        <f>IF(AND(SUM(VLOOKUP($A68,test!$A$3:$F$32,2,FALSE),VLOOKUP(V$1,test!$A$3:$F$32,2,FALSE))&lt;test!$K$16,$A68&lt;&gt;V$1,Recharged_Feasible_mat!W37),(VLOOKUP(V$1,test!$A$3:$I$32,8,FALSE))-(VLOOKUP($A68,test!$A$3:$I$32,9,FALSE))+(test!$B$34-50),0)</f>
        <v>0</v>
      </c>
      <c r="W68">
        <f>IF(AND(SUM(VLOOKUP($A68,test!$A$3:$F$32,2,FALSE),VLOOKUP(W$1,test!$A$3:$F$32,2,FALSE))&lt;test!$K$16,$A68&lt;&gt;W$1,Recharged_Feasible_mat!X37),(VLOOKUP(W$1,test!$A$3:$I$32,8,FALSE))-(VLOOKUP($A68,test!$A$3:$I$32,9,FALSE))+(test!$B$34-50),0)</f>
        <v>0</v>
      </c>
      <c r="X68">
        <f>IF(AND(SUM(VLOOKUP($A68,test!$A$3:$F$32,2,FALSE),VLOOKUP(X$1,test!$A$3:$F$32,2,FALSE))&lt;test!$K$16,$A68&lt;&gt;X$1,Recharged_Feasible_mat!Y37),(VLOOKUP(X$1,test!$A$3:$I$32,8,FALSE))-(VLOOKUP($A68,test!$A$3:$I$32,9,FALSE))+(test!$B$34-50),0)</f>
        <v>0</v>
      </c>
      <c r="Y68">
        <f>IF(AND(SUM(VLOOKUP($A68,test!$A$3:$F$32,2,FALSE),VLOOKUP(Y$1,test!$A$3:$F$32,2,FALSE))&lt;test!$K$16,$A68&lt;&gt;Y$1,Recharged_Feasible_mat!Z37),(VLOOKUP(Y$1,test!$A$3:$I$32,8,FALSE))-(VLOOKUP($A68,test!$A$3:$I$32,9,FALSE))+(test!$B$34-50),0)</f>
        <v>0</v>
      </c>
      <c r="Z68">
        <f>IF(AND(SUM(VLOOKUP($A68,test!$A$3:$F$32,2,FALSE),VLOOKUP(Z$1,test!$A$3:$F$32,2,FALSE))&lt;test!$K$16,$A68&lt;&gt;Z$1,Recharged_Feasible_mat!AA37),(VLOOKUP(Z$1,test!$A$3:$I$32,8,FALSE))-(VLOOKUP($A68,test!$A$3:$I$32,9,FALSE))+(test!$B$34-50),0)</f>
        <v>0</v>
      </c>
      <c r="AA68">
        <f>IF(AND(SUM(VLOOKUP($A68,test!$A$3:$F$32,2,FALSE),VLOOKUP(AA$1,test!$A$3:$F$32,2,FALSE))&lt;test!$K$16,$A68&lt;&gt;AA$1,Recharged_Feasible_mat!AB37),(VLOOKUP(AA$1,test!$A$3:$I$32,8,FALSE))-(VLOOKUP($A68,test!$A$3:$I$32,9,FALSE))+(test!$B$34-50),0)</f>
        <v>0</v>
      </c>
      <c r="AB68">
        <f>IF(AND(SUM(VLOOKUP($A68,test!$A$3:$F$32,2,FALSE),VLOOKUP(AB$1,test!$A$3:$F$32,2,FALSE))&lt;test!$K$16,$A68&lt;&gt;AB$1,Recharged_Feasible_mat!AC37),(VLOOKUP(AB$1,test!$A$3:$I$32,8,FALSE))-(VLOOKUP($A68,test!$A$3:$I$32,9,FALSE))+(test!$B$34-50),0)</f>
        <v>0</v>
      </c>
      <c r="AC68">
        <f>IF(AND(SUM(VLOOKUP($A68,test!$A$3:$F$32,2,FALSE),VLOOKUP(AC$1,test!$A$3:$F$32,2,FALSE))&lt;test!$K$16,$A68&lt;&gt;AC$1,Recharged_Feasible_mat!AD37),(VLOOKUP(AC$1,test!$A$3:$I$32,8,FALSE))-(VLOOKUP($A68,test!$A$3:$I$32,9,FALSE))+(test!$B$34-50),0)</f>
        <v>0</v>
      </c>
      <c r="AD68">
        <f>IF(AND(SUM(VLOOKUP($A68,test!$A$3:$F$32,2,FALSE),VLOOKUP(AD$1,test!$A$3:$F$32,2,FALSE))&lt;test!$K$16,$A68&lt;&gt;AD$1,Recharged_Feasible_mat!AE37),(VLOOKUP(AD$1,test!$A$3:$I$32,8,FALSE))-(VLOOKUP($A68,test!$A$3:$I$32,9,FALSE))+(test!$B$34-50),0)</f>
        <v>0</v>
      </c>
      <c r="AE68">
        <f>IF(AND(SUM(VLOOKUP($A68,test!$A$3:$F$32,2,FALSE),VLOOKUP(AE$1,test!$A$3:$F$32,2,FALSE))&lt;test!$K$16,$A68&lt;&gt;AE$1,Recharged_Feasible_mat!AF37),(VLOOKUP(AE$1,test!$A$3:$I$32,8,FALSE))-(VLOOKUP($A68,test!$A$3:$I$32,9,FALSE))+(test!$B$34-50),0)</f>
        <v>0</v>
      </c>
      <c r="AF68">
        <f>IF(AND(SUM(VLOOKUP($A68,test!$A$3:$F$32,2,FALSE),VLOOKUP(AF$1,test!$A$3:$F$32,2,FALSE))&lt;test!$K$16,$A68&lt;&gt;AF$1,Recharged_Feasible_mat!AG37),(VLOOKUP(AF$1,test!$A$3:$I$32,8,FALSE))-(VLOOKUP($A68,test!$A$3:$I$32,9,FALSE))+(test!$B$34-50),0)</f>
        <v>0</v>
      </c>
    </row>
    <row r="69" spans="1:32" x14ac:dyDescent="0.25">
      <c r="A69" t="s">
        <v>12</v>
      </c>
      <c r="B69">
        <v>0</v>
      </c>
      <c r="C69">
        <f>IF(AND(SUM(VLOOKUP($A69,test!$A$3:$F$32,2,FALSE),VLOOKUP(C$1,test!$A$3:$F$32,2,FALSE))&lt;test!$K$16,$A69&lt;&gt;C$1,Recharged_Feasible_mat!D38),(VLOOKUP(C$1,test!$A$3:$I$32,8,FALSE))-(VLOOKUP($A69,test!$A$3:$I$32,9,FALSE))+(test!$B$34-50),0)</f>
        <v>0</v>
      </c>
      <c r="D69">
        <f>IF(AND(SUM(VLOOKUP($A69,test!$A$3:$F$32,2,FALSE),VLOOKUP(D$1,test!$A$3:$F$32,2,FALSE))&lt;test!$K$16,$A69&lt;&gt;D$1,Recharged_Feasible_mat!E38),(VLOOKUP(D$1,test!$A$3:$I$32,8,FALSE))-(VLOOKUP($A69,test!$A$3:$I$32,9,FALSE))+(test!$B$34-50),0)</f>
        <v>0</v>
      </c>
      <c r="E69">
        <f>IF(AND(SUM(VLOOKUP($A69,test!$A$3:$F$32,2,FALSE),VLOOKUP(E$1,test!$A$3:$F$32,2,FALSE))&lt;test!$K$16,$A69&lt;&gt;E$1,Recharged_Feasible_mat!F38),(VLOOKUP(E$1,test!$A$3:$I$32,8,FALSE))-(VLOOKUP($A69,test!$A$3:$I$32,9,FALSE))+(test!$B$34-50),0)</f>
        <v>0</v>
      </c>
      <c r="F69">
        <f>IF(AND(SUM(VLOOKUP($A69,test!$A$3:$F$32,2,FALSE),VLOOKUP(F$1,test!$A$3:$F$32,2,FALSE))&lt;test!$K$16,$A69&lt;&gt;F$1,Recharged_Feasible_mat!G38),(VLOOKUP(F$1,test!$A$3:$I$32,8,FALSE))-(VLOOKUP($A69,test!$A$3:$I$32,9,FALSE))+(test!$B$34-50),0)</f>
        <v>0</v>
      </c>
      <c r="G69">
        <f>IF(AND(SUM(VLOOKUP($A69,test!$A$3:$F$32,2,FALSE),VLOOKUP(G$1,test!$A$3:$F$32,2,FALSE))&lt;test!$K$16,$A69&lt;&gt;G$1,Recharged_Feasible_mat!H38),(VLOOKUP(G$1,test!$A$3:$I$32,8,FALSE))-(VLOOKUP($A69,test!$A$3:$I$32,9,FALSE))+(test!$B$34-50),0)</f>
        <v>0</v>
      </c>
      <c r="H69">
        <f>IF(AND(SUM(VLOOKUP($A69,test!$A$3:$F$32,2,FALSE),VLOOKUP(H$1,test!$A$3:$F$32,2,FALSE))&lt;test!$K$16,$A69&lt;&gt;H$1,Recharged_Feasible_mat!I38),(VLOOKUP(H$1,test!$A$3:$I$32,8,FALSE))-(VLOOKUP($A69,test!$A$3:$I$32,9,FALSE))+(test!$B$34-50),0)</f>
        <v>0</v>
      </c>
      <c r="I69">
        <f>IF(AND(SUM(VLOOKUP($A69,test!$A$3:$F$32,2,FALSE),VLOOKUP(I$1,test!$A$3:$F$32,2,FALSE))&lt;test!$K$16,$A69&lt;&gt;I$1,Recharged_Feasible_mat!J38),(VLOOKUP(I$1,test!$A$3:$I$32,8,FALSE))-(VLOOKUP($A69,test!$A$3:$I$32,9,FALSE))+(test!$B$34-50),0)</f>
        <v>0</v>
      </c>
      <c r="J69">
        <f>IF(AND(SUM(VLOOKUP($A69,test!$A$3:$F$32,2,FALSE),VLOOKUP(J$1,test!$A$3:$F$32,2,FALSE))&lt;test!$K$16,$A69&lt;&gt;J$1,Recharged_Feasible_mat!K38),(VLOOKUP(J$1,test!$A$3:$I$32,8,FALSE))-(VLOOKUP($A69,test!$A$3:$I$32,9,FALSE))+(test!$B$34-50),0)</f>
        <v>0</v>
      </c>
      <c r="K69">
        <f>IF(AND(SUM(VLOOKUP($A69,test!$A$3:$F$32,2,FALSE),VLOOKUP(K$1,test!$A$3:$F$32,2,FALSE))&lt;test!$K$16,$A69&lt;&gt;K$1,Recharged_Feasible_mat!L38),(VLOOKUP(K$1,test!$A$3:$I$32,8,FALSE))-(VLOOKUP($A69,test!$A$3:$I$32,9,FALSE))+(test!$B$34-50),0)</f>
        <v>0</v>
      </c>
      <c r="L69">
        <f>IF(AND(SUM(VLOOKUP($A69,test!$A$3:$F$32,2,FALSE),VLOOKUP(L$1,test!$A$3:$F$32,2,FALSE))&lt;test!$K$16,$A69&lt;&gt;L$1,Recharged_Feasible_mat!M38),(VLOOKUP(L$1,test!$A$3:$I$32,8,FALSE))-(VLOOKUP($A69,test!$A$3:$I$32,9,FALSE))+(test!$B$34-50),0)</f>
        <v>0</v>
      </c>
      <c r="M69">
        <f>IF(AND(SUM(VLOOKUP($A69,test!$A$3:$F$32,2,FALSE),VLOOKUP(M$1,test!$A$3:$F$32,2,FALSE))&lt;test!$K$16,$A69&lt;&gt;M$1,Recharged_Feasible_mat!N38),(VLOOKUP(M$1,test!$A$3:$I$32,8,FALSE))-(VLOOKUP($A69,test!$A$3:$I$32,9,FALSE))+(test!$B$34-50),0)</f>
        <v>0</v>
      </c>
      <c r="N69">
        <f>IF(AND(SUM(VLOOKUP($A69,test!$A$3:$F$32,2,FALSE),VLOOKUP(N$1,test!$A$3:$F$32,2,FALSE))&lt;test!$K$16,$A69&lt;&gt;N$1,Recharged_Feasible_mat!O38),(VLOOKUP(N$1,test!$A$3:$I$32,8,FALSE))-(VLOOKUP($A69,test!$A$3:$I$32,9,FALSE))+(test!$B$34-50),0)</f>
        <v>0</v>
      </c>
      <c r="O69">
        <f>IF(AND(SUM(VLOOKUP($A69,test!$A$3:$F$32,2,FALSE),VLOOKUP(O$1,test!$A$3:$F$32,2,FALSE))&lt;test!$K$16,$A69&lt;&gt;O$1,Recharged_Feasible_mat!P38),(VLOOKUP(O$1,test!$A$3:$I$32,8,FALSE))-(VLOOKUP($A69,test!$A$3:$I$32,9,FALSE))+(test!$B$34-50),0)</f>
        <v>0</v>
      </c>
      <c r="P69">
        <f>IF(AND(SUM(VLOOKUP($A69,test!$A$3:$F$32,2,FALSE),VLOOKUP(P$1,test!$A$3:$F$32,2,FALSE))&lt;test!$K$16,$A69&lt;&gt;P$1,Recharged_Feasible_mat!Q38),(VLOOKUP(P$1,test!$A$3:$I$32,8,FALSE))-(VLOOKUP($A69,test!$A$3:$I$32,9,FALSE))+(test!$B$34-50),0)</f>
        <v>0</v>
      </c>
      <c r="Q69">
        <f>IF(AND(SUM(VLOOKUP($A69,test!$A$3:$F$32,2,FALSE),VLOOKUP(Q$1,test!$A$3:$F$32,2,FALSE))&lt;test!$K$16,$A69&lt;&gt;Q$1,Recharged_Feasible_mat!R38),(VLOOKUP(Q$1,test!$A$3:$I$32,8,FALSE))-(VLOOKUP($A69,test!$A$3:$I$32,9,FALSE))+(test!$B$34-50),0)</f>
        <v>0</v>
      </c>
      <c r="R69">
        <f>IF(AND(SUM(VLOOKUP($A69,test!$A$3:$F$32,2,FALSE),VLOOKUP(R$1,test!$A$3:$F$32,2,FALSE))&lt;test!$K$16,$A69&lt;&gt;R$1,Recharged_Feasible_mat!S38),(VLOOKUP(R$1,test!$A$3:$I$32,8,FALSE))-(VLOOKUP($A69,test!$A$3:$I$32,9,FALSE))+(test!$B$34-50),0)</f>
        <v>0</v>
      </c>
      <c r="S69">
        <f>IF(AND(SUM(VLOOKUP($A69,test!$A$3:$F$32,2,FALSE),VLOOKUP(S$1,test!$A$3:$F$32,2,FALSE))&lt;test!$K$16,$A69&lt;&gt;S$1,Recharged_Feasible_mat!T38),(VLOOKUP(S$1,test!$A$3:$I$32,8,FALSE))-(VLOOKUP($A69,test!$A$3:$I$32,9,FALSE))+(test!$B$34-50),0)</f>
        <v>0</v>
      </c>
      <c r="T69">
        <f>IF(AND(SUM(VLOOKUP($A69,test!$A$3:$F$32,2,FALSE),VLOOKUP(T$1,test!$A$3:$F$32,2,FALSE))&lt;test!$K$16,$A69&lt;&gt;T$1,Recharged_Feasible_mat!U38),(VLOOKUP(T$1,test!$A$3:$I$32,8,FALSE))-(VLOOKUP($A69,test!$A$3:$I$32,9,FALSE))+(test!$B$34-50),0)</f>
        <v>0</v>
      </c>
      <c r="U69">
        <f>IF(AND(SUM(VLOOKUP($A69,test!$A$3:$F$32,2,FALSE),VLOOKUP(U$1,test!$A$3:$F$32,2,FALSE))&lt;test!$K$16,$A69&lt;&gt;U$1,Recharged_Feasible_mat!V38),(VLOOKUP(U$1,test!$A$3:$I$32,8,FALSE))-(VLOOKUP($A69,test!$A$3:$I$32,9,FALSE))+(test!$B$34-50),0)</f>
        <v>0</v>
      </c>
      <c r="V69">
        <f>IF(AND(SUM(VLOOKUP($A69,test!$A$3:$F$32,2,FALSE),VLOOKUP(V$1,test!$A$3:$F$32,2,FALSE))&lt;test!$K$16,$A69&lt;&gt;V$1,Recharged_Feasible_mat!W38),(VLOOKUP(V$1,test!$A$3:$I$32,8,FALSE))-(VLOOKUP($A69,test!$A$3:$I$32,9,FALSE))+(test!$B$34-50),0)</f>
        <v>0</v>
      </c>
      <c r="W69">
        <f>IF(AND(SUM(VLOOKUP($A69,test!$A$3:$F$32,2,FALSE),VLOOKUP(W$1,test!$A$3:$F$32,2,FALSE))&lt;test!$K$16,$A69&lt;&gt;W$1,Recharged_Feasible_mat!X38),(VLOOKUP(W$1,test!$A$3:$I$32,8,FALSE))-(VLOOKUP($A69,test!$A$3:$I$32,9,FALSE))+(test!$B$34-50),0)</f>
        <v>0</v>
      </c>
      <c r="X69">
        <f>IF(AND(SUM(VLOOKUP($A69,test!$A$3:$F$32,2,FALSE),VLOOKUP(X$1,test!$A$3:$F$32,2,FALSE))&lt;test!$K$16,$A69&lt;&gt;X$1,Recharged_Feasible_mat!Y38),(VLOOKUP(X$1,test!$A$3:$I$32,8,FALSE))-(VLOOKUP($A69,test!$A$3:$I$32,9,FALSE))+(test!$B$34-50),0)</f>
        <v>0</v>
      </c>
      <c r="Y69">
        <f>IF(AND(SUM(VLOOKUP($A69,test!$A$3:$F$32,2,FALSE),VLOOKUP(Y$1,test!$A$3:$F$32,2,FALSE))&lt;test!$K$16,$A69&lt;&gt;Y$1,Recharged_Feasible_mat!Z38),(VLOOKUP(Y$1,test!$A$3:$I$32,8,FALSE))-(VLOOKUP($A69,test!$A$3:$I$32,9,FALSE))+(test!$B$34-50),0)</f>
        <v>0</v>
      </c>
      <c r="Z69">
        <f>IF(AND(SUM(VLOOKUP($A69,test!$A$3:$F$32,2,FALSE),VLOOKUP(Z$1,test!$A$3:$F$32,2,FALSE))&lt;test!$K$16,$A69&lt;&gt;Z$1,Recharged_Feasible_mat!AA38),(VLOOKUP(Z$1,test!$A$3:$I$32,8,FALSE))-(VLOOKUP($A69,test!$A$3:$I$32,9,FALSE))+(test!$B$34-50),0)</f>
        <v>0</v>
      </c>
      <c r="AA69">
        <f>IF(AND(SUM(VLOOKUP($A69,test!$A$3:$F$32,2,FALSE),VLOOKUP(AA$1,test!$A$3:$F$32,2,FALSE))&lt;test!$K$16,$A69&lt;&gt;AA$1,Recharged_Feasible_mat!AB38),(VLOOKUP(AA$1,test!$A$3:$I$32,8,FALSE))-(VLOOKUP($A69,test!$A$3:$I$32,9,FALSE))+(test!$B$34-50),0)</f>
        <v>0</v>
      </c>
      <c r="AB69">
        <f>IF(AND(SUM(VLOOKUP($A69,test!$A$3:$F$32,2,FALSE),VLOOKUP(AB$1,test!$A$3:$F$32,2,FALSE))&lt;test!$K$16,$A69&lt;&gt;AB$1,Recharged_Feasible_mat!AC38),(VLOOKUP(AB$1,test!$A$3:$I$32,8,FALSE))-(VLOOKUP($A69,test!$A$3:$I$32,9,FALSE))+(test!$B$34-50),0)</f>
        <v>0</v>
      </c>
      <c r="AC69">
        <f>IF(AND(SUM(VLOOKUP($A69,test!$A$3:$F$32,2,FALSE),VLOOKUP(AC$1,test!$A$3:$F$32,2,FALSE))&lt;test!$K$16,$A69&lt;&gt;AC$1,Recharged_Feasible_mat!AD38),(VLOOKUP(AC$1,test!$A$3:$I$32,8,FALSE))-(VLOOKUP($A69,test!$A$3:$I$32,9,FALSE))+(test!$B$34-50),0)</f>
        <v>0</v>
      </c>
      <c r="AD69">
        <f>IF(AND(SUM(VLOOKUP($A69,test!$A$3:$F$32,2,FALSE),VLOOKUP(AD$1,test!$A$3:$F$32,2,FALSE))&lt;test!$K$16,$A69&lt;&gt;AD$1,Recharged_Feasible_mat!AE38),(VLOOKUP(AD$1,test!$A$3:$I$32,8,FALSE))-(VLOOKUP($A69,test!$A$3:$I$32,9,FALSE))+(test!$B$34-50),0)</f>
        <v>0</v>
      </c>
      <c r="AE69">
        <f>IF(AND(SUM(VLOOKUP($A69,test!$A$3:$F$32,2,FALSE),VLOOKUP(AE$1,test!$A$3:$F$32,2,FALSE))&lt;test!$K$16,$A69&lt;&gt;AE$1,Recharged_Feasible_mat!AF38),(VLOOKUP(AE$1,test!$A$3:$I$32,8,FALSE))-(VLOOKUP($A69,test!$A$3:$I$32,9,FALSE))+(test!$B$34-50),0)</f>
        <v>0</v>
      </c>
      <c r="AF69">
        <f>IF(AND(SUM(VLOOKUP($A69,test!$A$3:$F$32,2,FALSE),VLOOKUP(AF$1,test!$A$3:$F$32,2,FALSE))&lt;test!$K$16,$A69&lt;&gt;AF$1,Recharged_Feasible_mat!AG38),(VLOOKUP(AF$1,test!$A$3:$I$32,8,FALSE))-(VLOOKUP($A69,test!$A$3:$I$32,9,FALSE))+(test!$B$34-50),0)</f>
        <v>0</v>
      </c>
    </row>
    <row r="70" spans="1:32" x14ac:dyDescent="0.25">
      <c r="A70" t="s">
        <v>13</v>
      </c>
      <c r="B70">
        <v>0</v>
      </c>
      <c r="C70">
        <f>IF(AND(SUM(VLOOKUP($A70,test!$A$3:$F$32,2,FALSE),VLOOKUP(C$1,test!$A$3:$F$32,2,FALSE))&lt;test!$K$16,$A70&lt;&gt;C$1,Recharged_Feasible_mat!D39),(VLOOKUP(C$1,test!$A$3:$I$32,8,FALSE))-(VLOOKUP($A70,test!$A$3:$I$32,9,FALSE))+(test!$B$34-50),0)</f>
        <v>0</v>
      </c>
      <c r="D70">
        <f>IF(AND(SUM(VLOOKUP($A70,test!$A$3:$F$32,2,FALSE),VLOOKUP(D$1,test!$A$3:$F$32,2,FALSE))&lt;test!$K$16,$A70&lt;&gt;D$1,Recharged_Feasible_mat!E39),(VLOOKUP(D$1,test!$A$3:$I$32,8,FALSE))-(VLOOKUP($A70,test!$A$3:$I$32,9,FALSE))+(test!$B$34-50),0)</f>
        <v>0</v>
      </c>
      <c r="E70">
        <f>IF(AND(SUM(VLOOKUP($A70,test!$A$3:$F$32,2,FALSE),VLOOKUP(E$1,test!$A$3:$F$32,2,FALSE))&lt;test!$K$16,$A70&lt;&gt;E$1,Recharged_Feasible_mat!F39),(VLOOKUP(E$1,test!$A$3:$I$32,8,FALSE))-(VLOOKUP($A70,test!$A$3:$I$32,9,FALSE))+(test!$B$34-50),0)</f>
        <v>0</v>
      </c>
      <c r="F70">
        <f>IF(AND(SUM(VLOOKUP($A70,test!$A$3:$F$32,2,FALSE),VLOOKUP(F$1,test!$A$3:$F$32,2,FALSE))&lt;test!$K$16,$A70&lt;&gt;F$1,Recharged_Feasible_mat!G39),(VLOOKUP(F$1,test!$A$3:$I$32,8,FALSE))-(VLOOKUP($A70,test!$A$3:$I$32,9,FALSE))+(test!$B$34-50),0)</f>
        <v>0</v>
      </c>
      <c r="G70">
        <f>IF(AND(SUM(VLOOKUP($A70,test!$A$3:$F$32,2,FALSE),VLOOKUP(G$1,test!$A$3:$F$32,2,FALSE))&lt;test!$K$16,$A70&lt;&gt;G$1,Recharged_Feasible_mat!H39),(VLOOKUP(G$1,test!$A$3:$I$32,8,FALSE))-(VLOOKUP($A70,test!$A$3:$I$32,9,FALSE))+(test!$B$34-50),0)</f>
        <v>0</v>
      </c>
      <c r="H70">
        <f>IF(AND(SUM(VLOOKUP($A70,test!$A$3:$F$32,2,FALSE),VLOOKUP(H$1,test!$A$3:$F$32,2,FALSE))&lt;test!$K$16,$A70&lt;&gt;H$1,Recharged_Feasible_mat!I39),(VLOOKUP(H$1,test!$A$3:$I$32,8,FALSE))-(VLOOKUP($A70,test!$A$3:$I$32,9,FALSE))+(test!$B$34-50),0)</f>
        <v>0</v>
      </c>
      <c r="I70">
        <f>IF(AND(SUM(VLOOKUP($A70,test!$A$3:$F$32,2,FALSE),VLOOKUP(I$1,test!$A$3:$F$32,2,FALSE))&lt;test!$K$16,$A70&lt;&gt;I$1,Recharged_Feasible_mat!J39),(VLOOKUP(I$1,test!$A$3:$I$32,8,FALSE))-(VLOOKUP($A70,test!$A$3:$I$32,9,FALSE))+(test!$B$34-50),0)</f>
        <v>0</v>
      </c>
      <c r="J70">
        <f>IF(AND(SUM(VLOOKUP($A70,test!$A$3:$F$32,2,FALSE),VLOOKUP(J$1,test!$A$3:$F$32,2,FALSE))&lt;test!$K$16,$A70&lt;&gt;J$1,Recharged_Feasible_mat!K39),(VLOOKUP(J$1,test!$A$3:$I$32,8,FALSE))-(VLOOKUP($A70,test!$A$3:$I$32,9,FALSE))+(test!$B$34-50),0)</f>
        <v>0</v>
      </c>
      <c r="K70">
        <f>IF(AND(SUM(VLOOKUP($A70,test!$A$3:$F$32,2,FALSE),VLOOKUP(K$1,test!$A$3:$F$32,2,FALSE))&lt;test!$K$16,$A70&lt;&gt;K$1,Recharged_Feasible_mat!L39),(VLOOKUP(K$1,test!$A$3:$I$32,8,FALSE))-(VLOOKUP($A70,test!$A$3:$I$32,9,FALSE))+(test!$B$34-50),0)</f>
        <v>0</v>
      </c>
      <c r="L70">
        <f>IF(AND(SUM(VLOOKUP($A70,test!$A$3:$F$32,2,FALSE),VLOOKUP(L$1,test!$A$3:$F$32,2,FALSE))&lt;test!$K$16,$A70&lt;&gt;L$1,Recharged_Feasible_mat!M39),(VLOOKUP(L$1,test!$A$3:$I$32,8,FALSE))-(VLOOKUP($A70,test!$A$3:$I$32,9,FALSE))+(test!$B$34-50),0)</f>
        <v>0</v>
      </c>
      <c r="M70">
        <f>IF(AND(SUM(VLOOKUP($A70,test!$A$3:$F$32,2,FALSE),VLOOKUP(M$1,test!$A$3:$F$32,2,FALSE))&lt;test!$K$16,$A70&lt;&gt;M$1,Recharged_Feasible_mat!N39),(VLOOKUP(M$1,test!$A$3:$I$32,8,FALSE))-(VLOOKUP($A70,test!$A$3:$I$32,9,FALSE))+(test!$B$34-50),0)</f>
        <v>0</v>
      </c>
      <c r="N70">
        <f>IF(AND(SUM(VLOOKUP($A70,test!$A$3:$F$32,2,FALSE),VLOOKUP(N$1,test!$A$3:$F$32,2,FALSE))&lt;test!$K$16,$A70&lt;&gt;N$1,Recharged_Feasible_mat!O39),(VLOOKUP(N$1,test!$A$3:$I$32,8,FALSE))-(VLOOKUP($A70,test!$A$3:$I$32,9,FALSE))+(test!$B$34-50),0)</f>
        <v>0</v>
      </c>
      <c r="O70">
        <f>IF(AND(SUM(VLOOKUP($A70,test!$A$3:$F$32,2,FALSE),VLOOKUP(O$1,test!$A$3:$F$32,2,FALSE))&lt;test!$K$16,$A70&lt;&gt;O$1,Recharged_Feasible_mat!P39),(VLOOKUP(O$1,test!$A$3:$I$32,8,FALSE))-(VLOOKUP($A70,test!$A$3:$I$32,9,FALSE))+(test!$B$34-50),0)</f>
        <v>0</v>
      </c>
      <c r="P70">
        <f>IF(AND(SUM(VLOOKUP($A70,test!$A$3:$F$32,2,FALSE),VLOOKUP(P$1,test!$A$3:$F$32,2,FALSE))&lt;test!$K$16,$A70&lt;&gt;P$1,Recharged_Feasible_mat!Q39),(VLOOKUP(P$1,test!$A$3:$I$32,8,FALSE))-(VLOOKUP($A70,test!$A$3:$I$32,9,FALSE))+(test!$B$34-50),0)</f>
        <v>0</v>
      </c>
      <c r="Q70">
        <f>IF(AND(SUM(VLOOKUP($A70,test!$A$3:$F$32,2,FALSE),VLOOKUP(Q$1,test!$A$3:$F$32,2,FALSE))&lt;test!$K$16,$A70&lt;&gt;Q$1,Recharged_Feasible_mat!R39),(VLOOKUP(Q$1,test!$A$3:$I$32,8,FALSE))-(VLOOKUP($A70,test!$A$3:$I$32,9,FALSE))+(test!$B$34-50),0)</f>
        <v>0</v>
      </c>
      <c r="R70">
        <f>IF(AND(SUM(VLOOKUP($A70,test!$A$3:$F$32,2,FALSE),VLOOKUP(R$1,test!$A$3:$F$32,2,FALSE))&lt;test!$K$16,$A70&lt;&gt;R$1,Recharged_Feasible_mat!S39),(VLOOKUP(R$1,test!$A$3:$I$32,8,FALSE))-(VLOOKUP($A70,test!$A$3:$I$32,9,FALSE))+(test!$B$34-50),0)</f>
        <v>0</v>
      </c>
      <c r="S70">
        <f>IF(AND(SUM(VLOOKUP($A70,test!$A$3:$F$32,2,FALSE),VLOOKUP(S$1,test!$A$3:$F$32,2,FALSE))&lt;test!$K$16,$A70&lt;&gt;S$1,Recharged_Feasible_mat!T39),(VLOOKUP(S$1,test!$A$3:$I$32,8,FALSE))-(VLOOKUP($A70,test!$A$3:$I$32,9,FALSE))+(test!$B$34-50),0)</f>
        <v>0</v>
      </c>
      <c r="T70">
        <f>IF(AND(SUM(VLOOKUP($A70,test!$A$3:$F$32,2,FALSE),VLOOKUP(T$1,test!$A$3:$F$32,2,FALSE))&lt;test!$K$16,$A70&lt;&gt;T$1,Recharged_Feasible_mat!U39),(VLOOKUP(T$1,test!$A$3:$I$32,8,FALSE))-(VLOOKUP($A70,test!$A$3:$I$32,9,FALSE))+(test!$B$34-50),0)</f>
        <v>0</v>
      </c>
      <c r="U70">
        <f>IF(AND(SUM(VLOOKUP($A70,test!$A$3:$F$32,2,FALSE),VLOOKUP(U$1,test!$A$3:$F$32,2,FALSE))&lt;test!$K$16,$A70&lt;&gt;U$1,Recharged_Feasible_mat!V39),(VLOOKUP(U$1,test!$A$3:$I$32,8,FALSE))-(VLOOKUP($A70,test!$A$3:$I$32,9,FALSE))+(test!$B$34-50),0)</f>
        <v>0</v>
      </c>
      <c r="V70">
        <f>IF(AND(SUM(VLOOKUP($A70,test!$A$3:$F$32,2,FALSE),VLOOKUP(V$1,test!$A$3:$F$32,2,FALSE))&lt;test!$K$16,$A70&lt;&gt;V$1,Recharged_Feasible_mat!W39),(VLOOKUP(V$1,test!$A$3:$I$32,8,FALSE))-(VLOOKUP($A70,test!$A$3:$I$32,9,FALSE))+(test!$B$34-50),0)</f>
        <v>0</v>
      </c>
      <c r="W70">
        <f>IF(AND(SUM(VLOOKUP($A70,test!$A$3:$F$32,2,FALSE),VLOOKUP(W$1,test!$A$3:$F$32,2,FALSE))&lt;test!$K$16,$A70&lt;&gt;W$1,Recharged_Feasible_mat!X39),(VLOOKUP(W$1,test!$A$3:$I$32,8,FALSE))-(VLOOKUP($A70,test!$A$3:$I$32,9,FALSE))+(test!$B$34-50),0)</f>
        <v>0</v>
      </c>
      <c r="X70">
        <f>IF(AND(SUM(VLOOKUP($A70,test!$A$3:$F$32,2,FALSE),VLOOKUP(X$1,test!$A$3:$F$32,2,FALSE))&lt;test!$K$16,$A70&lt;&gt;X$1,Recharged_Feasible_mat!Y39),(VLOOKUP(X$1,test!$A$3:$I$32,8,FALSE))-(VLOOKUP($A70,test!$A$3:$I$32,9,FALSE))+(test!$B$34-50),0)</f>
        <v>0</v>
      </c>
      <c r="Y70">
        <f>IF(AND(SUM(VLOOKUP($A70,test!$A$3:$F$32,2,FALSE),VLOOKUP(Y$1,test!$A$3:$F$32,2,FALSE))&lt;test!$K$16,$A70&lt;&gt;Y$1,Recharged_Feasible_mat!Z39),(VLOOKUP(Y$1,test!$A$3:$I$32,8,FALSE))-(VLOOKUP($A70,test!$A$3:$I$32,9,FALSE))+(test!$B$34-50),0)</f>
        <v>0</v>
      </c>
      <c r="Z70">
        <f>IF(AND(SUM(VLOOKUP($A70,test!$A$3:$F$32,2,FALSE),VLOOKUP(Z$1,test!$A$3:$F$32,2,FALSE))&lt;test!$K$16,$A70&lt;&gt;Z$1,Recharged_Feasible_mat!AA39),(VLOOKUP(Z$1,test!$A$3:$I$32,8,FALSE))-(VLOOKUP($A70,test!$A$3:$I$32,9,FALSE))+(test!$B$34-50),0)</f>
        <v>0</v>
      </c>
      <c r="AA70">
        <f>IF(AND(SUM(VLOOKUP($A70,test!$A$3:$F$32,2,FALSE),VLOOKUP(AA$1,test!$A$3:$F$32,2,FALSE))&lt;test!$K$16,$A70&lt;&gt;AA$1,Recharged_Feasible_mat!AB39),(VLOOKUP(AA$1,test!$A$3:$I$32,8,FALSE))-(VLOOKUP($A70,test!$A$3:$I$32,9,FALSE))+(test!$B$34-50),0)</f>
        <v>0</v>
      </c>
      <c r="AB70">
        <f>IF(AND(SUM(VLOOKUP($A70,test!$A$3:$F$32,2,FALSE),VLOOKUP(AB$1,test!$A$3:$F$32,2,FALSE))&lt;test!$K$16,$A70&lt;&gt;AB$1,Recharged_Feasible_mat!AC39),(VLOOKUP(AB$1,test!$A$3:$I$32,8,FALSE))-(VLOOKUP($A70,test!$A$3:$I$32,9,FALSE))+(test!$B$34-50),0)</f>
        <v>0</v>
      </c>
      <c r="AC70">
        <f>IF(AND(SUM(VLOOKUP($A70,test!$A$3:$F$32,2,FALSE),VLOOKUP(AC$1,test!$A$3:$F$32,2,FALSE))&lt;test!$K$16,$A70&lt;&gt;AC$1,Recharged_Feasible_mat!AD39),(VLOOKUP(AC$1,test!$A$3:$I$32,8,FALSE))-(VLOOKUP($A70,test!$A$3:$I$32,9,FALSE))+(test!$B$34-50),0)</f>
        <v>0</v>
      </c>
      <c r="AD70">
        <f>IF(AND(SUM(VLOOKUP($A70,test!$A$3:$F$32,2,FALSE),VLOOKUP(AD$1,test!$A$3:$F$32,2,FALSE))&lt;test!$K$16,$A70&lt;&gt;AD$1,Recharged_Feasible_mat!AE39),(VLOOKUP(AD$1,test!$A$3:$I$32,8,FALSE))-(VLOOKUP($A70,test!$A$3:$I$32,9,FALSE))+(test!$B$34-50),0)</f>
        <v>0</v>
      </c>
      <c r="AE70">
        <f>IF(AND(SUM(VLOOKUP($A70,test!$A$3:$F$32,2,FALSE),VLOOKUP(AE$1,test!$A$3:$F$32,2,FALSE))&lt;test!$K$16,$A70&lt;&gt;AE$1,Recharged_Feasible_mat!AF39),(VLOOKUP(AE$1,test!$A$3:$I$32,8,FALSE))-(VLOOKUP($A70,test!$A$3:$I$32,9,FALSE))+(test!$B$34-50),0)</f>
        <v>0</v>
      </c>
      <c r="AF70">
        <f>IF(AND(SUM(VLOOKUP($A70,test!$A$3:$F$32,2,FALSE),VLOOKUP(AF$1,test!$A$3:$F$32,2,FALSE))&lt;test!$K$16,$A70&lt;&gt;AF$1,Recharged_Feasible_mat!AG39),(VLOOKUP(AF$1,test!$A$3:$I$32,8,FALSE))-(VLOOKUP($A70,test!$A$3:$I$32,9,FALSE))+(test!$B$34-50),0)</f>
        <v>0</v>
      </c>
    </row>
    <row r="71" spans="1:32" x14ac:dyDescent="0.25">
      <c r="A71" t="s">
        <v>14</v>
      </c>
      <c r="B71">
        <v>0</v>
      </c>
      <c r="C71">
        <f>IF(AND(SUM(VLOOKUP($A71,test!$A$3:$F$32,2,FALSE),VLOOKUP(C$1,test!$A$3:$F$32,2,FALSE))&lt;test!$K$16,$A71&lt;&gt;C$1,Recharged_Feasible_mat!D40),(VLOOKUP(C$1,test!$A$3:$I$32,8,FALSE))-(VLOOKUP($A71,test!$A$3:$I$32,9,FALSE))+(test!$B$34-50),0)</f>
        <v>0</v>
      </c>
      <c r="D71">
        <f>IF(AND(SUM(VLOOKUP($A71,test!$A$3:$F$32,2,FALSE),VLOOKUP(D$1,test!$A$3:$F$32,2,FALSE))&lt;test!$K$16,$A71&lt;&gt;D$1,Recharged_Feasible_mat!E40),(VLOOKUP(D$1,test!$A$3:$I$32,8,FALSE))-(VLOOKUP($A71,test!$A$3:$I$32,9,FALSE))+(test!$B$34-50),0)</f>
        <v>0</v>
      </c>
      <c r="E71">
        <f>IF(AND(SUM(VLOOKUP($A71,test!$A$3:$F$32,2,FALSE),VLOOKUP(E$1,test!$A$3:$F$32,2,FALSE))&lt;test!$K$16,$A71&lt;&gt;E$1,Recharged_Feasible_mat!F40),(VLOOKUP(E$1,test!$A$3:$I$32,8,FALSE))-(VLOOKUP($A71,test!$A$3:$I$32,9,FALSE))+(test!$B$34-50),0)</f>
        <v>0</v>
      </c>
      <c r="F71">
        <f>IF(AND(SUM(VLOOKUP($A71,test!$A$3:$F$32,2,FALSE),VLOOKUP(F$1,test!$A$3:$F$32,2,FALSE))&lt;test!$K$16,$A71&lt;&gt;F$1,Recharged_Feasible_mat!G40),(VLOOKUP(F$1,test!$A$3:$I$32,8,FALSE))-(VLOOKUP($A71,test!$A$3:$I$32,9,FALSE))+(test!$B$34-50),0)</f>
        <v>0</v>
      </c>
      <c r="G71">
        <f>IF(AND(SUM(VLOOKUP($A71,test!$A$3:$F$32,2,FALSE),VLOOKUP(G$1,test!$A$3:$F$32,2,FALSE))&lt;test!$K$16,$A71&lt;&gt;G$1,Recharged_Feasible_mat!H40),(VLOOKUP(G$1,test!$A$3:$I$32,8,FALSE))-(VLOOKUP($A71,test!$A$3:$I$32,9,FALSE))+(test!$B$34-50),0)</f>
        <v>0</v>
      </c>
      <c r="H71">
        <f>IF(AND(SUM(VLOOKUP($A71,test!$A$3:$F$32,2,FALSE),VLOOKUP(H$1,test!$A$3:$F$32,2,FALSE))&lt;test!$K$16,$A71&lt;&gt;H$1,Recharged_Feasible_mat!I40),(VLOOKUP(H$1,test!$A$3:$I$32,8,FALSE))-(VLOOKUP($A71,test!$A$3:$I$32,9,FALSE))+(test!$B$34-50),0)</f>
        <v>0</v>
      </c>
      <c r="I71">
        <f>IF(AND(SUM(VLOOKUP($A71,test!$A$3:$F$32,2,FALSE),VLOOKUP(I$1,test!$A$3:$F$32,2,FALSE))&lt;test!$K$16,$A71&lt;&gt;I$1,Recharged_Feasible_mat!J40),(VLOOKUP(I$1,test!$A$3:$I$32,8,FALSE))-(VLOOKUP($A71,test!$A$3:$I$32,9,FALSE))+(test!$B$34-50),0)</f>
        <v>0</v>
      </c>
      <c r="J71">
        <f>IF(AND(SUM(VLOOKUP($A71,test!$A$3:$F$32,2,FALSE),VLOOKUP(J$1,test!$A$3:$F$32,2,FALSE))&lt;test!$K$16,$A71&lt;&gt;J$1,Recharged_Feasible_mat!K40),(VLOOKUP(J$1,test!$A$3:$I$32,8,FALSE))-(VLOOKUP($A71,test!$A$3:$I$32,9,FALSE))+(test!$B$34-50),0)</f>
        <v>0</v>
      </c>
      <c r="K71">
        <f>IF(AND(SUM(VLOOKUP($A71,test!$A$3:$F$32,2,FALSE),VLOOKUP(K$1,test!$A$3:$F$32,2,FALSE))&lt;test!$K$16,$A71&lt;&gt;K$1,Recharged_Feasible_mat!L40),(VLOOKUP(K$1,test!$A$3:$I$32,8,FALSE))-(VLOOKUP($A71,test!$A$3:$I$32,9,FALSE))+(test!$B$34-50),0)</f>
        <v>0</v>
      </c>
      <c r="L71">
        <f>IF(AND(SUM(VLOOKUP($A71,test!$A$3:$F$32,2,FALSE),VLOOKUP(L$1,test!$A$3:$F$32,2,FALSE))&lt;test!$K$16,$A71&lt;&gt;L$1,Recharged_Feasible_mat!M40),(VLOOKUP(L$1,test!$A$3:$I$32,8,FALSE))-(VLOOKUP($A71,test!$A$3:$I$32,9,FALSE))+(test!$B$34-50),0)</f>
        <v>0</v>
      </c>
      <c r="M71">
        <f>IF(AND(SUM(VLOOKUP($A71,test!$A$3:$F$32,2,FALSE),VLOOKUP(M$1,test!$A$3:$F$32,2,FALSE))&lt;test!$K$16,$A71&lt;&gt;M$1,Recharged_Feasible_mat!N40),(VLOOKUP(M$1,test!$A$3:$I$32,8,FALSE))-(VLOOKUP($A71,test!$A$3:$I$32,9,FALSE))+(test!$B$34-50),0)</f>
        <v>0</v>
      </c>
      <c r="N71">
        <f>IF(AND(SUM(VLOOKUP($A71,test!$A$3:$F$32,2,FALSE),VLOOKUP(N$1,test!$A$3:$F$32,2,FALSE))&lt;test!$K$16,$A71&lt;&gt;N$1,Recharged_Feasible_mat!O40),(VLOOKUP(N$1,test!$A$3:$I$32,8,FALSE))-(VLOOKUP($A71,test!$A$3:$I$32,9,FALSE))+(test!$B$34-50),0)</f>
        <v>0</v>
      </c>
      <c r="O71">
        <f>IF(AND(SUM(VLOOKUP($A71,test!$A$3:$F$32,2,FALSE),VLOOKUP(O$1,test!$A$3:$F$32,2,FALSE))&lt;test!$K$16,$A71&lt;&gt;O$1,Recharged_Feasible_mat!P40),(VLOOKUP(O$1,test!$A$3:$I$32,8,FALSE))-(VLOOKUP($A71,test!$A$3:$I$32,9,FALSE))+(test!$B$34-50),0)</f>
        <v>0</v>
      </c>
      <c r="P71">
        <f>IF(AND(SUM(VLOOKUP($A71,test!$A$3:$F$32,2,FALSE),VLOOKUP(P$1,test!$A$3:$F$32,2,FALSE))&lt;test!$K$16,$A71&lt;&gt;P$1,Recharged_Feasible_mat!Q40),(VLOOKUP(P$1,test!$A$3:$I$32,8,FALSE))-(VLOOKUP($A71,test!$A$3:$I$32,9,FALSE))+(test!$B$34-50),0)</f>
        <v>0</v>
      </c>
      <c r="Q71">
        <f>IF(AND(SUM(VLOOKUP($A71,test!$A$3:$F$32,2,FALSE),VLOOKUP(Q$1,test!$A$3:$F$32,2,FALSE))&lt;test!$K$16,$A71&lt;&gt;Q$1,Recharged_Feasible_mat!R40),(VLOOKUP(Q$1,test!$A$3:$I$32,8,FALSE))-(VLOOKUP($A71,test!$A$3:$I$32,9,FALSE))+(test!$B$34-50),0)</f>
        <v>0</v>
      </c>
      <c r="R71">
        <f>IF(AND(SUM(VLOOKUP($A71,test!$A$3:$F$32,2,FALSE),VLOOKUP(R$1,test!$A$3:$F$32,2,FALSE))&lt;test!$K$16,$A71&lt;&gt;R$1,Recharged_Feasible_mat!S40),(VLOOKUP(R$1,test!$A$3:$I$32,8,FALSE))-(VLOOKUP($A71,test!$A$3:$I$32,9,FALSE))+(test!$B$34-50),0)</f>
        <v>0</v>
      </c>
      <c r="S71">
        <f>IF(AND(SUM(VLOOKUP($A71,test!$A$3:$F$32,2,FALSE),VLOOKUP(S$1,test!$A$3:$F$32,2,FALSE))&lt;test!$K$16,$A71&lt;&gt;S$1,Recharged_Feasible_mat!T40),(VLOOKUP(S$1,test!$A$3:$I$32,8,FALSE))-(VLOOKUP($A71,test!$A$3:$I$32,9,FALSE))+(test!$B$34-50),0)</f>
        <v>0</v>
      </c>
      <c r="T71">
        <f>IF(AND(SUM(VLOOKUP($A71,test!$A$3:$F$32,2,FALSE),VLOOKUP(T$1,test!$A$3:$F$32,2,FALSE))&lt;test!$K$16,$A71&lt;&gt;T$1,Recharged_Feasible_mat!U40),(VLOOKUP(T$1,test!$A$3:$I$32,8,FALSE))-(VLOOKUP($A71,test!$A$3:$I$32,9,FALSE))+(test!$B$34-50),0)</f>
        <v>0</v>
      </c>
      <c r="U71">
        <f>IF(AND(SUM(VLOOKUP($A71,test!$A$3:$F$32,2,FALSE),VLOOKUP(U$1,test!$A$3:$F$32,2,FALSE))&lt;test!$K$16,$A71&lt;&gt;U$1,Recharged_Feasible_mat!V40),(VLOOKUP(U$1,test!$A$3:$I$32,8,FALSE))-(VLOOKUP($A71,test!$A$3:$I$32,9,FALSE))+(test!$B$34-50),0)</f>
        <v>0</v>
      </c>
      <c r="V71">
        <f>IF(AND(SUM(VLOOKUP($A71,test!$A$3:$F$32,2,FALSE),VLOOKUP(V$1,test!$A$3:$F$32,2,FALSE))&lt;test!$K$16,$A71&lt;&gt;V$1,Recharged_Feasible_mat!W40),(VLOOKUP(V$1,test!$A$3:$I$32,8,FALSE))-(VLOOKUP($A71,test!$A$3:$I$32,9,FALSE))+(test!$B$34-50),0)</f>
        <v>0</v>
      </c>
      <c r="W71">
        <f>IF(AND(SUM(VLOOKUP($A71,test!$A$3:$F$32,2,FALSE),VLOOKUP(W$1,test!$A$3:$F$32,2,FALSE))&lt;test!$K$16,$A71&lt;&gt;W$1,Recharged_Feasible_mat!X40),(VLOOKUP(W$1,test!$A$3:$I$32,8,FALSE))-(VLOOKUP($A71,test!$A$3:$I$32,9,FALSE))+(test!$B$34-50),0)</f>
        <v>0</v>
      </c>
      <c r="X71">
        <f>IF(AND(SUM(VLOOKUP($A71,test!$A$3:$F$32,2,FALSE),VLOOKUP(X$1,test!$A$3:$F$32,2,FALSE))&lt;test!$K$16,$A71&lt;&gt;X$1,Recharged_Feasible_mat!Y40),(VLOOKUP(X$1,test!$A$3:$I$32,8,FALSE))-(VLOOKUP($A71,test!$A$3:$I$32,9,FALSE))+(test!$B$34-50),0)</f>
        <v>0</v>
      </c>
      <c r="Y71">
        <f>IF(AND(SUM(VLOOKUP($A71,test!$A$3:$F$32,2,FALSE),VLOOKUP(Y$1,test!$A$3:$F$32,2,FALSE))&lt;test!$K$16,$A71&lt;&gt;Y$1,Recharged_Feasible_mat!Z40),(VLOOKUP(Y$1,test!$A$3:$I$32,8,FALSE))-(VLOOKUP($A71,test!$A$3:$I$32,9,FALSE))+(test!$B$34-50),0)</f>
        <v>0</v>
      </c>
      <c r="Z71">
        <f>IF(AND(SUM(VLOOKUP($A71,test!$A$3:$F$32,2,FALSE),VLOOKUP(Z$1,test!$A$3:$F$32,2,FALSE))&lt;test!$K$16,$A71&lt;&gt;Z$1,Recharged_Feasible_mat!AA40),(VLOOKUP(Z$1,test!$A$3:$I$32,8,FALSE))-(VLOOKUP($A71,test!$A$3:$I$32,9,FALSE))+(test!$B$34-50),0)</f>
        <v>0</v>
      </c>
      <c r="AA71">
        <f>IF(AND(SUM(VLOOKUP($A71,test!$A$3:$F$32,2,FALSE),VLOOKUP(AA$1,test!$A$3:$F$32,2,FALSE))&lt;test!$K$16,$A71&lt;&gt;AA$1,Recharged_Feasible_mat!AB40),(VLOOKUP(AA$1,test!$A$3:$I$32,8,FALSE))-(VLOOKUP($A71,test!$A$3:$I$32,9,FALSE))+(test!$B$34-50),0)</f>
        <v>0</v>
      </c>
      <c r="AB71">
        <f>IF(AND(SUM(VLOOKUP($A71,test!$A$3:$F$32,2,FALSE),VLOOKUP(AB$1,test!$A$3:$F$32,2,FALSE))&lt;test!$K$16,$A71&lt;&gt;AB$1,Recharged_Feasible_mat!AC40),(VLOOKUP(AB$1,test!$A$3:$I$32,8,FALSE))-(VLOOKUP($A71,test!$A$3:$I$32,9,FALSE))+(test!$B$34-50),0)</f>
        <v>0</v>
      </c>
      <c r="AC71">
        <f>IF(AND(SUM(VLOOKUP($A71,test!$A$3:$F$32,2,FALSE),VLOOKUP(AC$1,test!$A$3:$F$32,2,FALSE))&lt;test!$K$16,$A71&lt;&gt;AC$1,Recharged_Feasible_mat!AD40),(VLOOKUP(AC$1,test!$A$3:$I$32,8,FALSE))-(VLOOKUP($A71,test!$A$3:$I$32,9,FALSE))+(test!$B$34-50),0)</f>
        <v>0</v>
      </c>
      <c r="AD71">
        <f>IF(AND(SUM(VLOOKUP($A71,test!$A$3:$F$32,2,FALSE),VLOOKUP(AD$1,test!$A$3:$F$32,2,FALSE))&lt;test!$K$16,$A71&lt;&gt;AD$1,Recharged_Feasible_mat!AE40),(VLOOKUP(AD$1,test!$A$3:$I$32,8,FALSE))-(VLOOKUP($A71,test!$A$3:$I$32,9,FALSE))+(test!$B$34-50),0)</f>
        <v>0</v>
      </c>
      <c r="AE71">
        <f>IF(AND(SUM(VLOOKUP($A71,test!$A$3:$F$32,2,FALSE),VLOOKUP(AE$1,test!$A$3:$F$32,2,FALSE))&lt;test!$K$16,$A71&lt;&gt;AE$1,Recharged_Feasible_mat!AF40),(VLOOKUP(AE$1,test!$A$3:$I$32,8,FALSE))-(VLOOKUP($A71,test!$A$3:$I$32,9,FALSE))+(test!$B$34-50),0)</f>
        <v>0</v>
      </c>
      <c r="AF71">
        <f>IF(AND(SUM(VLOOKUP($A71,test!$A$3:$F$32,2,FALSE),VLOOKUP(AF$1,test!$A$3:$F$32,2,FALSE))&lt;test!$K$16,$A71&lt;&gt;AF$1,Recharged_Feasible_mat!AG40),(VLOOKUP(AF$1,test!$A$3:$I$32,8,FALSE))-(VLOOKUP($A71,test!$A$3:$I$32,9,FALSE))+(test!$B$34-50),0)</f>
        <v>0</v>
      </c>
    </row>
    <row r="72" spans="1:32" x14ac:dyDescent="0.25">
      <c r="A72" t="s">
        <v>15</v>
      </c>
      <c r="B72">
        <v>0</v>
      </c>
      <c r="C72">
        <f>IF(AND(SUM(VLOOKUP($A72,test!$A$3:$F$32,2,FALSE),VLOOKUP(C$1,test!$A$3:$F$32,2,FALSE))&lt;test!$K$16,$A72&lt;&gt;C$1,Recharged_Feasible_mat!D41),(VLOOKUP(C$1,test!$A$3:$I$32,8,FALSE))-(VLOOKUP($A72,test!$A$3:$I$32,9,FALSE))+(test!$B$34-50),0)</f>
        <v>0</v>
      </c>
      <c r="D72">
        <f>IF(AND(SUM(VLOOKUP($A72,test!$A$3:$F$32,2,FALSE),VLOOKUP(D$1,test!$A$3:$F$32,2,FALSE))&lt;test!$K$16,$A72&lt;&gt;D$1,Recharged_Feasible_mat!E41),(VLOOKUP(D$1,test!$A$3:$I$32,8,FALSE))-(VLOOKUP($A72,test!$A$3:$I$32,9,FALSE))+(test!$B$34-50),0)</f>
        <v>0</v>
      </c>
      <c r="E72">
        <f>IF(AND(SUM(VLOOKUP($A72,test!$A$3:$F$32,2,FALSE),VLOOKUP(E$1,test!$A$3:$F$32,2,FALSE))&lt;test!$K$16,$A72&lt;&gt;E$1,Recharged_Feasible_mat!F41),(VLOOKUP(E$1,test!$A$3:$I$32,8,FALSE))-(VLOOKUP($A72,test!$A$3:$I$32,9,FALSE))+(test!$B$34-50),0)</f>
        <v>0</v>
      </c>
      <c r="F72">
        <f>IF(AND(SUM(VLOOKUP($A72,test!$A$3:$F$32,2,FALSE),VLOOKUP(F$1,test!$A$3:$F$32,2,FALSE))&lt;test!$K$16,$A72&lt;&gt;F$1,Recharged_Feasible_mat!G41),(VLOOKUP(F$1,test!$A$3:$I$32,8,FALSE))-(VLOOKUP($A72,test!$A$3:$I$32,9,FALSE))+(test!$B$34-50),0)</f>
        <v>0</v>
      </c>
      <c r="G72">
        <f>IF(AND(SUM(VLOOKUP($A72,test!$A$3:$F$32,2,FALSE),VLOOKUP(G$1,test!$A$3:$F$32,2,FALSE))&lt;test!$K$16,$A72&lt;&gt;G$1,Recharged_Feasible_mat!H41),(VLOOKUP(G$1,test!$A$3:$I$32,8,FALSE))-(VLOOKUP($A72,test!$A$3:$I$32,9,FALSE))+(test!$B$34-50),0)</f>
        <v>0</v>
      </c>
      <c r="H72">
        <f>IF(AND(SUM(VLOOKUP($A72,test!$A$3:$F$32,2,FALSE),VLOOKUP(H$1,test!$A$3:$F$32,2,FALSE))&lt;test!$K$16,$A72&lt;&gt;H$1,Recharged_Feasible_mat!I41),(VLOOKUP(H$1,test!$A$3:$I$32,8,FALSE))-(VLOOKUP($A72,test!$A$3:$I$32,9,FALSE))+(test!$B$34-50),0)</f>
        <v>0</v>
      </c>
      <c r="I72">
        <f>IF(AND(SUM(VLOOKUP($A72,test!$A$3:$F$32,2,FALSE),VLOOKUP(I$1,test!$A$3:$F$32,2,FALSE))&lt;test!$K$16,$A72&lt;&gt;I$1,Recharged_Feasible_mat!J41),(VLOOKUP(I$1,test!$A$3:$I$32,8,FALSE))-(VLOOKUP($A72,test!$A$3:$I$32,9,FALSE))+(test!$B$34-50),0)</f>
        <v>0</v>
      </c>
      <c r="J72">
        <f>IF(AND(SUM(VLOOKUP($A72,test!$A$3:$F$32,2,FALSE),VLOOKUP(J$1,test!$A$3:$F$32,2,FALSE))&lt;test!$K$16,$A72&lt;&gt;J$1,Recharged_Feasible_mat!K41),(VLOOKUP(J$1,test!$A$3:$I$32,8,FALSE))-(VLOOKUP($A72,test!$A$3:$I$32,9,FALSE))+(test!$B$34-50),0)</f>
        <v>0</v>
      </c>
      <c r="K72">
        <f>IF(AND(SUM(VLOOKUP($A72,test!$A$3:$F$32,2,FALSE),VLOOKUP(K$1,test!$A$3:$F$32,2,FALSE))&lt;test!$K$16,$A72&lt;&gt;K$1,Recharged_Feasible_mat!L41),(VLOOKUP(K$1,test!$A$3:$I$32,8,FALSE))-(VLOOKUP($A72,test!$A$3:$I$32,9,FALSE))+(test!$B$34-50),0)</f>
        <v>0</v>
      </c>
      <c r="L72">
        <f>IF(AND(SUM(VLOOKUP($A72,test!$A$3:$F$32,2,FALSE),VLOOKUP(L$1,test!$A$3:$F$32,2,FALSE))&lt;test!$K$16,$A72&lt;&gt;L$1,Recharged_Feasible_mat!M41),(VLOOKUP(L$1,test!$A$3:$I$32,8,FALSE))-(VLOOKUP($A72,test!$A$3:$I$32,9,FALSE))+(test!$B$34-50),0)</f>
        <v>0</v>
      </c>
      <c r="M72">
        <f>IF(AND(SUM(VLOOKUP($A72,test!$A$3:$F$32,2,FALSE),VLOOKUP(M$1,test!$A$3:$F$32,2,FALSE))&lt;test!$K$16,$A72&lt;&gt;M$1,Recharged_Feasible_mat!N41),(VLOOKUP(M$1,test!$A$3:$I$32,8,FALSE))-(VLOOKUP($A72,test!$A$3:$I$32,9,FALSE))+(test!$B$34-50),0)</f>
        <v>0</v>
      </c>
      <c r="N72">
        <f>IF(AND(SUM(VLOOKUP($A72,test!$A$3:$F$32,2,FALSE),VLOOKUP(N$1,test!$A$3:$F$32,2,FALSE))&lt;test!$K$16,$A72&lt;&gt;N$1,Recharged_Feasible_mat!O41),(VLOOKUP(N$1,test!$A$3:$I$32,8,FALSE))-(VLOOKUP($A72,test!$A$3:$I$32,9,FALSE))+(test!$B$34-50),0)</f>
        <v>0</v>
      </c>
      <c r="O72">
        <f>IF(AND(SUM(VLOOKUP($A72,test!$A$3:$F$32,2,FALSE),VLOOKUP(O$1,test!$A$3:$F$32,2,FALSE))&lt;test!$K$16,$A72&lt;&gt;O$1,Recharged_Feasible_mat!P41),(VLOOKUP(O$1,test!$A$3:$I$32,8,FALSE))-(VLOOKUP($A72,test!$A$3:$I$32,9,FALSE))+(test!$B$34-50),0)</f>
        <v>0</v>
      </c>
      <c r="P72">
        <f>IF(AND(SUM(VLOOKUP($A72,test!$A$3:$F$32,2,FALSE),VLOOKUP(P$1,test!$A$3:$F$32,2,FALSE))&lt;test!$K$16,$A72&lt;&gt;P$1,Recharged_Feasible_mat!Q41),(VLOOKUP(P$1,test!$A$3:$I$32,8,FALSE))-(VLOOKUP($A72,test!$A$3:$I$32,9,FALSE))+(test!$B$34-50),0)</f>
        <v>0</v>
      </c>
      <c r="Q72">
        <f>IF(AND(SUM(VLOOKUP($A72,test!$A$3:$F$32,2,FALSE),VLOOKUP(Q$1,test!$A$3:$F$32,2,FALSE))&lt;test!$K$16,$A72&lt;&gt;Q$1,Recharged_Feasible_mat!R41),(VLOOKUP(Q$1,test!$A$3:$I$32,8,FALSE))-(VLOOKUP($A72,test!$A$3:$I$32,9,FALSE))+(test!$B$34-50),0)</f>
        <v>0</v>
      </c>
      <c r="R72">
        <f>IF(AND(SUM(VLOOKUP($A72,test!$A$3:$F$32,2,FALSE),VLOOKUP(R$1,test!$A$3:$F$32,2,FALSE))&lt;test!$K$16,$A72&lt;&gt;R$1,Recharged_Feasible_mat!S41),(VLOOKUP(R$1,test!$A$3:$I$32,8,FALSE))-(VLOOKUP($A72,test!$A$3:$I$32,9,FALSE))+(test!$B$34-50),0)</f>
        <v>0</v>
      </c>
      <c r="S72">
        <f>IF(AND(SUM(VLOOKUP($A72,test!$A$3:$F$32,2,FALSE),VLOOKUP(S$1,test!$A$3:$F$32,2,FALSE))&lt;test!$K$16,$A72&lt;&gt;S$1,Recharged_Feasible_mat!T41),(VLOOKUP(S$1,test!$A$3:$I$32,8,FALSE))-(VLOOKUP($A72,test!$A$3:$I$32,9,FALSE))+(test!$B$34-50),0)</f>
        <v>0</v>
      </c>
      <c r="T72">
        <f>IF(AND(SUM(VLOOKUP($A72,test!$A$3:$F$32,2,FALSE),VLOOKUP(T$1,test!$A$3:$F$32,2,FALSE))&lt;test!$K$16,$A72&lt;&gt;T$1,Recharged_Feasible_mat!U41),(VLOOKUP(T$1,test!$A$3:$I$32,8,FALSE))-(VLOOKUP($A72,test!$A$3:$I$32,9,FALSE))+(test!$B$34-50),0)</f>
        <v>0</v>
      </c>
      <c r="U72">
        <f>IF(AND(SUM(VLOOKUP($A72,test!$A$3:$F$32,2,FALSE),VLOOKUP(U$1,test!$A$3:$F$32,2,FALSE))&lt;test!$K$16,$A72&lt;&gt;U$1,Recharged_Feasible_mat!V41),(VLOOKUP(U$1,test!$A$3:$I$32,8,FALSE))-(VLOOKUP($A72,test!$A$3:$I$32,9,FALSE))+(test!$B$34-50),0)</f>
        <v>0</v>
      </c>
      <c r="V72">
        <f>IF(AND(SUM(VLOOKUP($A72,test!$A$3:$F$32,2,FALSE),VLOOKUP(V$1,test!$A$3:$F$32,2,FALSE))&lt;test!$K$16,$A72&lt;&gt;V$1,Recharged_Feasible_mat!W41),(VLOOKUP(V$1,test!$A$3:$I$32,8,FALSE))-(VLOOKUP($A72,test!$A$3:$I$32,9,FALSE))+(test!$B$34-50),0)</f>
        <v>0</v>
      </c>
      <c r="W72">
        <f>IF(AND(SUM(VLOOKUP($A72,test!$A$3:$F$32,2,FALSE),VLOOKUP(W$1,test!$A$3:$F$32,2,FALSE))&lt;test!$K$16,$A72&lt;&gt;W$1,Recharged_Feasible_mat!X41),(VLOOKUP(W$1,test!$A$3:$I$32,8,FALSE))-(VLOOKUP($A72,test!$A$3:$I$32,9,FALSE))+(test!$B$34-50),0)</f>
        <v>0</v>
      </c>
      <c r="X72">
        <f>IF(AND(SUM(VLOOKUP($A72,test!$A$3:$F$32,2,FALSE),VLOOKUP(X$1,test!$A$3:$F$32,2,FALSE))&lt;test!$K$16,$A72&lt;&gt;X$1,Recharged_Feasible_mat!Y41),(VLOOKUP(X$1,test!$A$3:$I$32,8,FALSE))-(VLOOKUP($A72,test!$A$3:$I$32,9,FALSE))+(test!$B$34-50),0)</f>
        <v>0</v>
      </c>
      <c r="Y72">
        <f>IF(AND(SUM(VLOOKUP($A72,test!$A$3:$F$32,2,FALSE),VLOOKUP(Y$1,test!$A$3:$F$32,2,FALSE))&lt;test!$K$16,$A72&lt;&gt;Y$1,Recharged_Feasible_mat!Z41),(VLOOKUP(Y$1,test!$A$3:$I$32,8,FALSE))-(VLOOKUP($A72,test!$A$3:$I$32,9,FALSE))+(test!$B$34-50),0)</f>
        <v>0</v>
      </c>
      <c r="Z72">
        <f>IF(AND(SUM(VLOOKUP($A72,test!$A$3:$F$32,2,FALSE),VLOOKUP(Z$1,test!$A$3:$F$32,2,FALSE))&lt;test!$K$16,$A72&lt;&gt;Z$1,Recharged_Feasible_mat!AA41),(VLOOKUP(Z$1,test!$A$3:$I$32,8,FALSE))-(VLOOKUP($A72,test!$A$3:$I$32,9,FALSE))+(test!$B$34-50),0)</f>
        <v>0</v>
      </c>
      <c r="AA72">
        <f>IF(AND(SUM(VLOOKUP($A72,test!$A$3:$F$32,2,FALSE),VLOOKUP(AA$1,test!$A$3:$F$32,2,FALSE))&lt;test!$K$16,$A72&lt;&gt;AA$1,Recharged_Feasible_mat!AB41),(VLOOKUP(AA$1,test!$A$3:$I$32,8,FALSE))-(VLOOKUP($A72,test!$A$3:$I$32,9,FALSE))+(test!$B$34-50),0)</f>
        <v>0</v>
      </c>
      <c r="AB72">
        <f>IF(AND(SUM(VLOOKUP($A72,test!$A$3:$F$32,2,FALSE),VLOOKUP(AB$1,test!$A$3:$F$32,2,FALSE))&lt;test!$K$16,$A72&lt;&gt;AB$1,Recharged_Feasible_mat!AC41),(VLOOKUP(AB$1,test!$A$3:$I$32,8,FALSE))-(VLOOKUP($A72,test!$A$3:$I$32,9,FALSE))+(test!$B$34-50),0)</f>
        <v>0</v>
      </c>
      <c r="AC72">
        <f>IF(AND(SUM(VLOOKUP($A72,test!$A$3:$F$32,2,FALSE),VLOOKUP(AC$1,test!$A$3:$F$32,2,FALSE))&lt;test!$K$16,$A72&lt;&gt;AC$1,Recharged_Feasible_mat!AD41),(VLOOKUP(AC$1,test!$A$3:$I$32,8,FALSE))-(VLOOKUP($A72,test!$A$3:$I$32,9,FALSE))+(test!$B$34-50),0)</f>
        <v>0</v>
      </c>
      <c r="AD72">
        <f>IF(AND(SUM(VLOOKUP($A72,test!$A$3:$F$32,2,FALSE),VLOOKUP(AD$1,test!$A$3:$F$32,2,FALSE))&lt;test!$K$16,$A72&lt;&gt;AD$1,Recharged_Feasible_mat!AE41),(VLOOKUP(AD$1,test!$A$3:$I$32,8,FALSE))-(VLOOKUP($A72,test!$A$3:$I$32,9,FALSE))+(test!$B$34-50),0)</f>
        <v>0</v>
      </c>
      <c r="AE72">
        <f>IF(AND(SUM(VLOOKUP($A72,test!$A$3:$F$32,2,FALSE),VLOOKUP(AE$1,test!$A$3:$F$32,2,FALSE))&lt;test!$K$16,$A72&lt;&gt;AE$1,Recharged_Feasible_mat!AF41),(VLOOKUP(AE$1,test!$A$3:$I$32,8,FALSE))-(VLOOKUP($A72,test!$A$3:$I$32,9,FALSE))+(test!$B$34-50),0)</f>
        <v>0</v>
      </c>
      <c r="AF72">
        <f>IF(AND(SUM(VLOOKUP($A72,test!$A$3:$F$32,2,FALSE),VLOOKUP(AF$1,test!$A$3:$F$32,2,FALSE))&lt;test!$K$16,$A72&lt;&gt;AF$1,Recharged_Feasible_mat!AG41),(VLOOKUP(AF$1,test!$A$3:$I$32,8,FALSE))-(VLOOKUP($A72,test!$A$3:$I$32,9,FALSE))+(test!$B$34-50),0)</f>
        <v>0</v>
      </c>
    </row>
    <row r="73" spans="1:32" x14ac:dyDescent="0.25">
      <c r="A73" t="s">
        <v>18</v>
      </c>
      <c r="B73">
        <v>0</v>
      </c>
      <c r="C73">
        <f>IF(AND(SUM(VLOOKUP($A73,test!$A$3:$F$32,2,FALSE),VLOOKUP(C$1,test!$A$3:$F$32,2,FALSE))&lt;test!$K$16,$A73&lt;&gt;C$1,Recharged_Feasible_mat!D42),(VLOOKUP(C$1,test!$A$3:$I$32,8,FALSE))-(VLOOKUP($A73,test!$A$3:$I$32,9,FALSE))+(test!$B$34-50),0)</f>
        <v>0</v>
      </c>
      <c r="D73">
        <f>IF(AND(SUM(VLOOKUP($A73,test!$A$3:$F$32,2,FALSE),VLOOKUP(D$1,test!$A$3:$F$32,2,FALSE))&lt;test!$K$16,$A73&lt;&gt;D$1,Recharged_Feasible_mat!E42),(VLOOKUP(D$1,test!$A$3:$I$32,8,FALSE))-(VLOOKUP($A73,test!$A$3:$I$32,9,FALSE))+(test!$B$34-50),0)</f>
        <v>0</v>
      </c>
      <c r="E73">
        <f>IF(AND(SUM(VLOOKUP($A73,test!$A$3:$F$32,2,FALSE),VLOOKUP(E$1,test!$A$3:$F$32,2,FALSE))&lt;test!$K$16,$A73&lt;&gt;E$1,Recharged_Feasible_mat!F42),(VLOOKUP(E$1,test!$A$3:$I$32,8,FALSE))-(VLOOKUP($A73,test!$A$3:$I$32,9,FALSE))+(test!$B$34-50),0)</f>
        <v>0</v>
      </c>
      <c r="F73">
        <f>IF(AND(SUM(VLOOKUP($A73,test!$A$3:$F$32,2,FALSE),VLOOKUP(F$1,test!$A$3:$F$32,2,FALSE))&lt;test!$K$16,$A73&lt;&gt;F$1,Recharged_Feasible_mat!G42),(VLOOKUP(F$1,test!$A$3:$I$32,8,FALSE))-(VLOOKUP($A73,test!$A$3:$I$32,9,FALSE))+(test!$B$34-50),0)</f>
        <v>225</v>
      </c>
      <c r="G73">
        <f>IF(AND(SUM(VLOOKUP($A73,test!$A$3:$F$32,2,FALSE),VLOOKUP(G$1,test!$A$3:$F$32,2,FALSE))&lt;test!$K$16,$A73&lt;&gt;G$1,Recharged_Feasible_mat!H42),(VLOOKUP(G$1,test!$A$3:$I$32,8,FALSE))-(VLOOKUP($A73,test!$A$3:$I$32,9,FALSE))+(test!$B$34-50),0)</f>
        <v>285</v>
      </c>
      <c r="H73">
        <f>IF(AND(SUM(VLOOKUP($A73,test!$A$3:$F$32,2,FALSE),VLOOKUP(H$1,test!$A$3:$F$32,2,FALSE))&lt;test!$K$16,$A73&lt;&gt;H$1,Recharged_Feasible_mat!I42),(VLOOKUP(H$1,test!$A$3:$I$32,8,FALSE))-(VLOOKUP($A73,test!$A$3:$I$32,9,FALSE))+(test!$B$34-50),0)</f>
        <v>345</v>
      </c>
      <c r="I73">
        <f>IF(AND(SUM(VLOOKUP($A73,test!$A$3:$F$32,2,FALSE),VLOOKUP(I$1,test!$A$3:$F$32,2,FALSE))&lt;test!$K$16,$A73&lt;&gt;I$1,Recharged_Feasible_mat!J42),(VLOOKUP(I$1,test!$A$3:$I$32,8,FALSE))-(VLOOKUP($A73,test!$A$3:$I$32,9,FALSE))+(test!$B$34-50),0)</f>
        <v>405</v>
      </c>
      <c r="J73">
        <f>IF(AND(SUM(VLOOKUP($A73,test!$A$3:$F$32,2,FALSE),VLOOKUP(J$1,test!$A$3:$F$32,2,FALSE))&lt;test!$K$16,$A73&lt;&gt;J$1,Recharged_Feasible_mat!K42),(VLOOKUP(J$1,test!$A$3:$I$32,8,FALSE))-(VLOOKUP($A73,test!$A$3:$I$32,9,FALSE))+(test!$B$34-50),0)</f>
        <v>495</v>
      </c>
      <c r="K73">
        <f>IF(AND(SUM(VLOOKUP($A73,test!$A$3:$F$32,2,FALSE),VLOOKUP(K$1,test!$A$3:$F$32,2,FALSE))&lt;test!$K$16,$A73&lt;&gt;K$1,Recharged_Feasible_mat!L42),(VLOOKUP(K$1,test!$A$3:$I$32,8,FALSE))-(VLOOKUP($A73,test!$A$3:$I$32,9,FALSE))+(test!$B$34-50),0)</f>
        <v>0</v>
      </c>
      <c r="L73">
        <f>IF(AND(SUM(VLOOKUP($A73,test!$A$3:$F$32,2,FALSE),VLOOKUP(L$1,test!$A$3:$F$32,2,FALSE))&lt;test!$K$16,$A73&lt;&gt;L$1,Recharged_Feasible_mat!M42),(VLOOKUP(L$1,test!$A$3:$I$32,8,FALSE))-(VLOOKUP($A73,test!$A$3:$I$32,9,FALSE))+(test!$B$34-50),0)</f>
        <v>0</v>
      </c>
      <c r="M73">
        <f>IF(AND(SUM(VLOOKUP($A73,test!$A$3:$F$32,2,FALSE),VLOOKUP(M$1,test!$A$3:$F$32,2,FALSE))&lt;test!$K$16,$A73&lt;&gt;M$1,Recharged_Feasible_mat!N42),(VLOOKUP(M$1,test!$A$3:$I$32,8,FALSE))-(VLOOKUP($A73,test!$A$3:$I$32,9,FALSE))+(test!$B$34-50),0)</f>
        <v>0</v>
      </c>
      <c r="N73">
        <f>IF(AND(SUM(VLOOKUP($A73,test!$A$3:$F$32,2,FALSE),VLOOKUP(N$1,test!$A$3:$F$32,2,FALSE))&lt;test!$K$16,$A73&lt;&gt;N$1,Recharged_Feasible_mat!O42),(VLOOKUP(N$1,test!$A$3:$I$32,8,FALSE))-(VLOOKUP($A73,test!$A$3:$I$32,9,FALSE))+(test!$B$34-50),0)</f>
        <v>460</v>
      </c>
      <c r="O73">
        <f>IF(AND(SUM(VLOOKUP($A73,test!$A$3:$F$32,2,FALSE),VLOOKUP(O$1,test!$A$3:$F$32,2,FALSE))&lt;test!$K$16,$A73&lt;&gt;O$1,Recharged_Feasible_mat!P42),(VLOOKUP(O$1,test!$A$3:$I$32,8,FALSE))-(VLOOKUP($A73,test!$A$3:$I$32,9,FALSE))+(test!$B$34-50),0)</f>
        <v>520</v>
      </c>
      <c r="P73">
        <f>IF(AND(SUM(VLOOKUP($A73,test!$A$3:$F$32,2,FALSE),VLOOKUP(P$1,test!$A$3:$F$32,2,FALSE))&lt;test!$K$16,$A73&lt;&gt;P$1,Recharged_Feasible_mat!Q42),(VLOOKUP(P$1,test!$A$3:$I$32,8,FALSE))-(VLOOKUP($A73,test!$A$3:$I$32,9,FALSE))+(test!$B$34-50),0)</f>
        <v>0</v>
      </c>
      <c r="Q73">
        <f>IF(AND(SUM(VLOOKUP($A73,test!$A$3:$F$32,2,FALSE),VLOOKUP(Q$1,test!$A$3:$F$32,2,FALSE))&lt;test!$K$16,$A73&lt;&gt;Q$1,Recharged_Feasible_mat!R42),(VLOOKUP(Q$1,test!$A$3:$I$32,8,FALSE))-(VLOOKUP($A73,test!$A$3:$I$32,9,FALSE))+(test!$B$34-50),0)</f>
        <v>0</v>
      </c>
      <c r="R73">
        <f>IF(AND(SUM(VLOOKUP($A73,test!$A$3:$F$32,2,FALSE),VLOOKUP(R$1,test!$A$3:$F$32,2,FALSE))&lt;test!$K$16,$A73&lt;&gt;R$1,Recharged_Feasible_mat!S42),(VLOOKUP(R$1,test!$A$3:$I$32,8,FALSE))-(VLOOKUP($A73,test!$A$3:$I$32,9,FALSE))+(test!$B$34-50),0)</f>
        <v>0</v>
      </c>
      <c r="S73">
        <f>IF(AND(SUM(VLOOKUP($A73,test!$A$3:$F$32,2,FALSE),VLOOKUP(S$1,test!$A$3:$F$32,2,FALSE))&lt;test!$K$16,$A73&lt;&gt;S$1,Recharged_Feasible_mat!T42),(VLOOKUP(S$1,test!$A$3:$I$32,8,FALSE))-(VLOOKUP($A73,test!$A$3:$I$32,9,FALSE))+(test!$B$34-50),0)</f>
        <v>0</v>
      </c>
      <c r="T73">
        <f>IF(AND(SUM(VLOOKUP($A73,test!$A$3:$F$32,2,FALSE),VLOOKUP(T$1,test!$A$3:$F$32,2,FALSE))&lt;test!$K$16,$A73&lt;&gt;T$1,Recharged_Feasible_mat!U42),(VLOOKUP(T$1,test!$A$3:$I$32,8,FALSE))-(VLOOKUP($A73,test!$A$3:$I$32,9,FALSE))+(test!$B$34-50),0)</f>
        <v>0</v>
      </c>
      <c r="U73">
        <f>IF(AND(SUM(VLOOKUP($A73,test!$A$3:$F$32,2,FALSE),VLOOKUP(U$1,test!$A$3:$F$32,2,FALSE))&lt;test!$K$16,$A73&lt;&gt;U$1,Recharged_Feasible_mat!V42),(VLOOKUP(U$1,test!$A$3:$I$32,8,FALSE))-(VLOOKUP($A73,test!$A$3:$I$32,9,FALSE))+(test!$B$34-50),0)</f>
        <v>205</v>
      </c>
      <c r="V73">
        <f>IF(AND(SUM(VLOOKUP($A73,test!$A$3:$F$32,2,FALSE),VLOOKUP(V$1,test!$A$3:$F$32,2,FALSE))&lt;test!$K$16,$A73&lt;&gt;V$1,Recharged_Feasible_mat!W42),(VLOOKUP(V$1,test!$A$3:$I$32,8,FALSE))-(VLOOKUP($A73,test!$A$3:$I$32,9,FALSE))+(test!$B$34-50),0)</f>
        <v>295</v>
      </c>
      <c r="W73">
        <f>IF(AND(SUM(VLOOKUP($A73,test!$A$3:$F$32,2,FALSE),VLOOKUP(W$1,test!$A$3:$F$32,2,FALSE))&lt;test!$K$16,$A73&lt;&gt;W$1,Recharged_Feasible_mat!X42),(VLOOKUP(W$1,test!$A$3:$I$32,8,FALSE))-(VLOOKUP($A73,test!$A$3:$I$32,9,FALSE))+(test!$B$34-50),0)</f>
        <v>385</v>
      </c>
      <c r="X73">
        <f>IF(AND(SUM(VLOOKUP($A73,test!$A$3:$F$32,2,FALSE),VLOOKUP(X$1,test!$A$3:$F$32,2,FALSE))&lt;test!$K$16,$A73&lt;&gt;X$1,Recharged_Feasible_mat!Y42),(VLOOKUP(X$1,test!$A$3:$I$32,8,FALSE))-(VLOOKUP($A73,test!$A$3:$I$32,9,FALSE))+(test!$B$34-50),0)</f>
        <v>445</v>
      </c>
      <c r="Y73">
        <f>IF(AND(SUM(VLOOKUP($A73,test!$A$3:$F$32,2,FALSE),VLOOKUP(Y$1,test!$A$3:$F$32,2,FALSE))&lt;test!$K$16,$A73&lt;&gt;Y$1,Recharged_Feasible_mat!Z42),(VLOOKUP(Y$1,test!$A$3:$I$32,8,FALSE))-(VLOOKUP($A73,test!$A$3:$I$32,9,FALSE))+(test!$B$34-50),0)</f>
        <v>0</v>
      </c>
      <c r="Z73">
        <f>IF(AND(SUM(VLOOKUP($A73,test!$A$3:$F$32,2,FALSE),VLOOKUP(Z$1,test!$A$3:$F$32,2,FALSE))&lt;test!$K$16,$A73&lt;&gt;Z$1,Recharged_Feasible_mat!AA42),(VLOOKUP(Z$1,test!$A$3:$I$32,8,FALSE))-(VLOOKUP($A73,test!$A$3:$I$32,9,FALSE))+(test!$B$34-50),0)</f>
        <v>0</v>
      </c>
      <c r="AA73">
        <f>IF(AND(SUM(VLOOKUP($A73,test!$A$3:$F$32,2,FALSE),VLOOKUP(AA$1,test!$A$3:$F$32,2,FALSE))&lt;test!$K$16,$A73&lt;&gt;AA$1,Recharged_Feasible_mat!AB42),(VLOOKUP(AA$1,test!$A$3:$I$32,8,FALSE))-(VLOOKUP($A73,test!$A$3:$I$32,9,FALSE))+(test!$B$34-50),0)</f>
        <v>0</v>
      </c>
      <c r="AB73">
        <f>IF(AND(SUM(VLOOKUP($A73,test!$A$3:$F$32,2,FALSE),VLOOKUP(AB$1,test!$A$3:$F$32,2,FALSE))&lt;test!$K$16,$A73&lt;&gt;AB$1,Recharged_Feasible_mat!AC42),(VLOOKUP(AB$1,test!$A$3:$I$32,8,FALSE))-(VLOOKUP($A73,test!$A$3:$I$32,9,FALSE))+(test!$B$34-50),0)</f>
        <v>225</v>
      </c>
      <c r="AC73">
        <f>IF(AND(SUM(VLOOKUP($A73,test!$A$3:$F$32,2,FALSE),VLOOKUP(AC$1,test!$A$3:$F$32,2,FALSE))&lt;test!$K$16,$A73&lt;&gt;AC$1,Recharged_Feasible_mat!AD42),(VLOOKUP(AC$1,test!$A$3:$I$32,8,FALSE))-(VLOOKUP($A73,test!$A$3:$I$32,9,FALSE))+(test!$B$34-50),0)</f>
        <v>345</v>
      </c>
      <c r="AD73">
        <f>IF(AND(SUM(VLOOKUP($A73,test!$A$3:$F$32,2,FALSE),VLOOKUP(AD$1,test!$A$3:$F$32,2,FALSE))&lt;test!$K$16,$A73&lt;&gt;AD$1,Recharged_Feasible_mat!AE42),(VLOOKUP(AD$1,test!$A$3:$I$32,8,FALSE))-(VLOOKUP($A73,test!$A$3:$I$32,9,FALSE))+(test!$B$34-50),0)</f>
        <v>0</v>
      </c>
      <c r="AE73">
        <f>IF(AND(SUM(VLOOKUP($A73,test!$A$3:$F$32,2,FALSE),VLOOKUP(AE$1,test!$A$3:$F$32,2,FALSE))&lt;test!$K$16,$A73&lt;&gt;AE$1,Recharged_Feasible_mat!AF42),(VLOOKUP(AE$1,test!$A$3:$I$32,8,FALSE))-(VLOOKUP($A73,test!$A$3:$I$32,9,FALSE))+(test!$B$34-50),0)</f>
        <v>0</v>
      </c>
      <c r="AF73">
        <f>IF(AND(SUM(VLOOKUP($A73,test!$A$3:$F$32,2,FALSE),VLOOKUP(AF$1,test!$A$3:$F$32,2,FALSE))&lt;test!$K$16,$A73&lt;&gt;AF$1,Recharged_Feasible_mat!AG42),(VLOOKUP(AF$1,test!$A$3:$I$32,8,FALSE))-(VLOOKUP($A73,test!$A$3:$I$32,9,FALSE))+(test!$B$34-50),0)</f>
        <v>0</v>
      </c>
    </row>
    <row r="74" spans="1:32" x14ac:dyDescent="0.25">
      <c r="A74" t="s">
        <v>20</v>
      </c>
      <c r="B74">
        <v>0</v>
      </c>
      <c r="C74">
        <f>IF(AND(SUM(VLOOKUP($A74,test!$A$3:$F$32,2,FALSE),VLOOKUP(C$1,test!$A$3:$F$32,2,FALSE))&lt;test!$K$16,$A74&lt;&gt;C$1,Recharged_Feasible_mat!D43),(VLOOKUP(C$1,test!$A$3:$I$32,8,FALSE))-(VLOOKUP($A74,test!$A$3:$I$32,9,FALSE))+(test!$B$34-50),0)</f>
        <v>0</v>
      </c>
      <c r="D74">
        <f>IF(AND(SUM(VLOOKUP($A74,test!$A$3:$F$32,2,FALSE),VLOOKUP(D$1,test!$A$3:$F$32,2,FALSE))&lt;test!$K$16,$A74&lt;&gt;D$1,Recharged_Feasible_mat!E43),(VLOOKUP(D$1,test!$A$3:$I$32,8,FALSE))-(VLOOKUP($A74,test!$A$3:$I$32,9,FALSE))+(test!$B$34-50),0)</f>
        <v>0</v>
      </c>
      <c r="E74">
        <f>IF(AND(SUM(VLOOKUP($A74,test!$A$3:$F$32,2,FALSE),VLOOKUP(E$1,test!$A$3:$F$32,2,FALSE))&lt;test!$K$16,$A74&lt;&gt;E$1,Recharged_Feasible_mat!F43),(VLOOKUP(E$1,test!$A$3:$I$32,8,FALSE))-(VLOOKUP($A74,test!$A$3:$I$32,9,FALSE))+(test!$B$34-50),0)</f>
        <v>0</v>
      </c>
      <c r="F74">
        <f>IF(AND(SUM(VLOOKUP($A74,test!$A$3:$F$32,2,FALSE),VLOOKUP(F$1,test!$A$3:$F$32,2,FALSE))&lt;test!$K$16,$A74&lt;&gt;F$1,Recharged_Feasible_mat!G43),(VLOOKUP(F$1,test!$A$3:$I$32,8,FALSE))-(VLOOKUP($A74,test!$A$3:$I$32,9,FALSE))+(test!$B$34-50),0)</f>
        <v>0</v>
      </c>
      <c r="G74">
        <f>IF(AND(SUM(VLOOKUP($A74,test!$A$3:$F$32,2,FALSE),VLOOKUP(G$1,test!$A$3:$F$32,2,FALSE))&lt;test!$K$16,$A74&lt;&gt;G$1,Recharged_Feasible_mat!H43),(VLOOKUP(G$1,test!$A$3:$I$32,8,FALSE))-(VLOOKUP($A74,test!$A$3:$I$32,9,FALSE))+(test!$B$34-50),0)</f>
        <v>0</v>
      </c>
      <c r="H74">
        <f>IF(AND(SUM(VLOOKUP($A74,test!$A$3:$F$32,2,FALSE),VLOOKUP(H$1,test!$A$3:$F$32,2,FALSE))&lt;test!$K$16,$A74&lt;&gt;H$1,Recharged_Feasible_mat!I43),(VLOOKUP(H$1,test!$A$3:$I$32,8,FALSE))-(VLOOKUP($A74,test!$A$3:$I$32,9,FALSE))+(test!$B$34-50),0)</f>
        <v>225</v>
      </c>
      <c r="I74">
        <f>IF(AND(SUM(VLOOKUP($A74,test!$A$3:$F$32,2,FALSE),VLOOKUP(I$1,test!$A$3:$F$32,2,FALSE))&lt;test!$K$16,$A74&lt;&gt;I$1,Recharged_Feasible_mat!J43),(VLOOKUP(I$1,test!$A$3:$I$32,8,FALSE))-(VLOOKUP($A74,test!$A$3:$I$32,9,FALSE))+(test!$B$34-50),0)</f>
        <v>285</v>
      </c>
      <c r="J74">
        <f>IF(AND(SUM(VLOOKUP($A74,test!$A$3:$F$32,2,FALSE),VLOOKUP(J$1,test!$A$3:$F$32,2,FALSE))&lt;test!$K$16,$A74&lt;&gt;J$1,Recharged_Feasible_mat!K43),(VLOOKUP(J$1,test!$A$3:$I$32,8,FALSE))-(VLOOKUP($A74,test!$A$3:$I$32,9,FALSE))+(test!$B$34-50),0)</f>
        <v>375</v>
      </c>
      <c r="K74">
        <f>IF(AND(SUM(VLOOKUP($A74,test!$A$3:$F$32,2,FALSE),VLOOKUP(K$1,test!$A$3:$F$32,2,FALSE))&lt;test!$K$16,$A74&lt;&gt;K$1,Recharged_Feasible_mat!L43),(VLOOKUP(K$1,test!$A$3:$I$32,8,FALSE))-(VLOOKUP($A74,test!$A$3:$I$32,9,FALSE))+(test!$B$34-50),0)</f>
        <v>0</v>
      </c>
      <c r="L74">
        <f>IF(AND(SUM(VLOOKUP($A74,test!$A$3:$F$32,2,FALSE),VLOOKUP(L$1,test!$A$3:$F$32,2,FALSE))&lt;test!$K$16,$A74&lt;&gt;L$1,Recharged_Feasible_mat!M43),(VLOOKUP(L$1,test!$A$3:$I$32,8,FALSE))-(VLOOKUP($A74,test!$A$3:$I$32,9,FALSE))+(test!$B$34-50),0)</f>
        <v>0</v>
      </c>
      <c r="M74">
        <f>IF(AND(SUM(VLOOKUP($A74,test!$A$3:$F$32,2,FALSE),VLOOKUP(M$1,test!$A$3:$F$32,2,FALSE))&lt;test!$K$16,$A74&lt;&gt;M$1,Recharged_Feasible_mat!N43),(VLOOKUP(M$1,test!$A$3:$I$32,8,FALSE))-(VLOOKUP($A74,test!$A$3:$I$32,9,FALSE))+(test!$B$34-50),0)</f>
        <v>0</v>
      </c>
      <c r="N74">
        <f>IF(AND(SUM(VLOOKUP($A74,test!$A$3:$F$32,2,FALSE),VLOOKUP(N$1,test!$A$3:$F$32,2,FALSE))&lt;test!$K$16,$A74&lt;&gt;N$1,Recharged_Feasible_mat!O43),(VLOOKUP(N$1,test!$A$3:$I$32,8,FALSE))-(VLOOKUP($A74,test!$A$3:$I$32,9,FALSE))+(test!$B$34-50),0)</f>
        <v>340</v>
      </c>
      <c r="O74">
        <f>IF(AND(SUM(VLOOKUP($A74,test!$A$3:$F$32,2,FALSE),VLOOKUP(O$1,test!$A$3:$F$32,2,FALSE))&lt;test!$K$16,$A74&lt;&gt;O$1,Recharged_Feasible_mat!P43),(VLOOKUP(O$1,test!$A$3:$I$32,8,FALSE))-(VLOOKUP($A74,test!$A$3:$I$32,9,FALSE))+(test!$B$34-50),0)</f>
        <v>400</v>
      </c>
      <c r="P74">
        <f>IF(AND(SUM(VLOOKUP($A74,test!$A$3:$F$32,2,FALSE),VLOOKUP(P$1,test!$A$3:$F$32,2,FALSE))&lt;test!$K$16,$A74&lt;&gt;P$1,Recharged_Feasible_mat!Q43),(VLOOKUP(P$1,test!$A$3:$I$32,8,FALSE))-(VLOOKUP($A74,test!$A$3:$I$32,9,FALSE))+(test!$B$34-50),0)</f>
        <v>0</v>
      </c>
      <c r="Q74">
        <f>IF(AND(SUM(VLOOKUP($A74,test!$A$3:$F$32,2,FALSE),VLOOKUP(Q$1,test!$A$3:$F$32,2,FALSE))&lt;test!$K$16,$A74&lt;&gt;Q$1,Recharged_Feasible_mat!R43),(VLOOKUP(Q$1,test!$A$3:$I$32,8,FALSE))-(VLOOKUP($A74,test!$A$3:$I$32,9,FALSE))+(test!$B$34-50),0)</f>
        <v>0</v>
      </c>
      <c r="R74">
        <f>IF(AND(SUM(VLOOKUP($A74,test!$A$3:$F$32,2,FALSE),VLOOKUP(R$1,test!$A$3:$F$32,2,FALSE))&lt;test!$K$16,$A74&lt;&gt;R$1,Recharged_Feasible_mat!S43),(VLOOKUP(R$1,test!$A$3:$I$32,8,FALSE))-(VLOOKUP($A74,test!$A$3:$I$32,9,FALSE))+(test!$B$34-50),0)</f>
        <v>0</v>
      </c>
      <c r="S74">
        <f>IF(AND(SUM(VLOOKUP($A74,test!$A$3:$F$32,2,FALSE),VLOOKUP(S$1,test!$A$3:$F$32,2,FALSE))&lt;test!$K$16,$A74&lt;&gt;S$1,Recharged_Feasible_mat!T43),(VLOOKUP(S$1,test!$A$3:$I$32,8,FALSE))-(VLOOKUP($A74,test!$A$3:$I$32,9,FALSE))+(test!$B$34-50),0)</f>
        <v>0</v>
      </c>
      <c r="T74">
        <f>IF(AND(SUM(VLOOKUP($A74,test!$A$3:$F$32,2,FALSE),VLOOKUP(T$1,test!$A$3:$F$32,2,FALSE))&lt;test!$K$16,$A74&lt;&gt;T$1,Recharged_Feasible_mat!U43),(VLOOKUP(T$1,test!$A$3:$I$32,8,FALSE))-(VLOOKUP($A74,test!$A$3:$I$32,9,FALSE))+(test!$B$34-50),0)</f>
        <v>0</v>
      </c>
      <c r="U74">
        <f>IF(AND(SUM(VLOOKUP($A74,test!$A$3:$F$32,2,FALSE),VLOOKUP(U$1,test!$A$3:$F$32,2,FALSE))&lt;test!$K$16,$A74&lt;&gt;U$1,Recharged_Feasible_mat!V43),(VLOOKUP(U$1,test!$A$3:$I$32,8,FALSE))-(VLOOKUP($A74,test!$A$3:$I$32,9,FALSE))+(test!$B$34-50),0)</f>
        <v>0</v>
      </c>
      <c r="V74">
        <f>IF(AND(SUM(VLOOKUP($A74,test!$A$3:$F$32,2,FALSE),VLOOKUP(V$1,test!$A$3:$F$32,2,FALSE))&lt;test!$K$16,$A74&lt;&gt;V$1,Recharged_Feasible_mat!W43),(VLOOKUP(V$1,test!$A$3:$I$32,8,FALSE))-(VLOOKUP($A74,test!$A$3:$I$32,9,FALSE))+(test!$B$34-50),0)</f>
        <v>0</v>
      </c>
      <c r="W74">
        <f>IF(AND(SUM(VLOOKUP($A74,test!$A$3:$F$32,2,FALSE),VLOOKUP(W$1,test!$A$3:$F$32,2,FALSE))&lt;test!$K$16,$A74&lt;&gt;W$1,Recharged_Feasible_mat!X43),(VLOOKUP(W$1,test!$A$3:$I$32,8,FALSE))-(VLOOKUP($A74,test!$A$3:$I$32,9,FALSE))+(test!$B$34-50),0)</f>
        <v>265</v>
      </c>
      <c r="X74">
        <f>IF(AND(SUM(VLOOKUP($A74,test!$A$3:$F$32,2,FALSE),VLOOKUP(X$1,test!$A$3:$F$32,2,FALSE))&lt;test!$K$16,$A74&lt;&gt;X$1,Recharged_Feasible_mat!Y43),(VLOOKUP(X$1,test!$A$3:$I$32,8,FALSE))-(VLOOKUP($A74,test!$A$3:$I$32,9,FALSE))+(test!$B$34-50),0)</f>
        <v>325</v>
      </c>
      <c r="Y74">
        <f>IF(AND(SUM(VLOOKUP($A74,test!$A$3:$F$32,2,FALSE),VLOOKUP(Y$1,test!$A$3:$F$32,2,FALSE))&lt;test!$K$16,$A74&lt;&gt;Y$1,Recharged_Feasible_mat!Z43),(VLOOKUP(Y$1,test!$A$3:$I$32,8,FALSE))-(VLOOKUP($A74,test!$A$3:$I$32,9,FALSE))+(test!$B$34-50),0)</f>
        <v>0</v>
      </c>
      <c r="Z74">
        <f>IF(AND(SUM(VLOOKUP($A74,test!$A$3:$F$32,2,FALSE),VLOOKUP(Z$1,test!$A$3:$F$32,2,FALSE))&lt;test!$K$16,$A74&lt;&gt;Z$1,Recharged_Feasible_mat!AA43),(VLOOKUP(Z$1,test!$A$3:$I$32,8,FALSE))-(VLOOKUP($A74,test!$A$3:$I$32,9,FALSE))+(test!$B$34-50),0)</f>
        <v>0</v>
      </c>
      <c r="AA74">
        <f>IF(AND(SUM(VLOOKUP($A74,test!$A$3:$F$32,2,FALSE),VLOOKUP(AA$1,test!$A$3:$F$32,2,FALSE))&lt;test!$K$16,$A74&lt;&gt;AA$1,Recharged_Feasible_mat!AB43),(VLOOKUP(AA$1,test!$A$3:$I$32,8,FALSE))-(VLOOKUP($A74,test!$A$3:$I$32,9,FALSE))+(test!$B$34-50),0)</f>
        <v>0</v>
      </c>
      <c r="AB74">
        <f>IF(AND(SUM(VLOOKUP($A74,test!$A$3:$F$32,2,FALSE),VLOOKUP(AB$1,test!$A$3:$F$32,2,FALSE))&lt;test!$K$16,$A74&lt;&gt;AB$1,Recharged_Feasible_mat!AC43),(VLOOKUP(AB$1,test!$A$3:$I$32,8,FALSE))-(VLOOKUP($A74,test!$A$3:$I$32,9,FALSE))+(test!$B$34-50),0)</f>
        <v>0</v>
      </c>
      <c r="AC74">
        <f>IF(AND(SUM(VLOOKUP($A74,test!$A$3:$F$32,2,FALSE),VLOOKUP(AC$1,test!$A$3:$F$32,2,FALSE))&lt;test!$K$16,$A74&lt;&gt;AC$1,Recharged_Feasible_mat!AD43),(VLOOKUP(AC$1,test!$A$3:$I$32,8,FALSE))-(VLOOKUP($A74,test!$A$3:$I$32,9,FALSE))+(test!$B$34-50),0)</f>
        <v>225</v>
      </c>
      <c r="AD74">
        <f>IF(AND(SUM(VLOOKUP($A74,test!$A$3:$F$32,2,FALSE),VLOOKUP(AD$1,test!$A$3:$F$32,2,FALSE))&lt;test!$K$16,$A74&lt;&gt;AD$1,Recharged_Feasible_mat!AE43),(VLOOKUP(AD$1,test!$A$3:$I$32,8,FALSE))-(VLOOKUP($A74,test!$A$3:$I$32,9,FALSE))+(test!$B$34-50),0)</f>
        <v>0</v>
      </c>
      <c r="AE74">
        <f>IF(AND(SUM(VLOOKUP($A74,test!$A$3:$F$32,2,FALSE),VLOOKUP(AE$1,test!$A$3:$F$32,2,FALSE))&lt;test!$K$16,$A74&lt;&gt;AE$1,Recharged_Feasible_mat!AF43),(VLOOKUP(AE$1,test!$A$3:$I$32,8,FALSE))-(VLOOKUP($A74,test!$A$3:$I$32,9,FALSE))+(test!$B$34-50),0)</f>
        <v>0</v>
      </c>
      <c r="AF74">
        <f>IF(AND(SUM(VLOOKUP($A74,test!$A$3:$F$32,2,FALSE),VLOOKUP(AF$1,test!$A$3:$F$32,2,FALSE))&lt;test!$K$16,$A74&lt;&gt;AF$1,Recharged_Feasible_mat!AG43),(VLOOKUP(AF$1,test!$A$3:$I$32,8,FALSE))-(VLOOKUP($A74,test!$A$3:$I$32,9,FALSE))+(test!$B$34-50),0)</f>
        <v>0</v>
      </c>
    </row>
    <row r="75" spans="1:32" x14ac:dyDescent="0.25">
      <c r="A75" t="s">
        <v>21</v>
      </c>
      <c r="B75">
        <v>0</v>
      </c>
      <c r="C75">
        <f>IF(AND(SUM(VLOOKUP($A75,test!$A$3:$F$32,2,FALSE),VLOOKUP(C$1,test!$A$3:$F$32,2,FALSE))&lt;test!$K$16,$A75&lt;&gt;C$1,Recharged_Feasible_mat!D44),(VLOOKUP(C$1,test!$A$3:$I$32,8,FALSE))-(VLOOKUP($A75,test!$A$3:$I$32,9,FALSE))+(test!$B$34-50),0)</f>
        <v>0</v>
      </c>
      <c r="D75">
        <f>IF(AND(SUM(VLOOKUP($A75,test!$A$3:$F$32,2,FALSE),VLOOKUP(D$1,test!$A$3:$F$32,2,FALSE))&lt;test!$K$16,$A75&lt;&gt;D$1,Recharged_Feasible_mat!E44),(VLOOKUP(D$1,test!$A$3:$I$32,8,FALSE))-(VLOOKUP($A75,test!$A$3:$I$32,9,FALSE))+(test!$B$34-50),0)</f>
        <v>0</v>
      </c>
      <c r="E75">
        <f>IF(AND(SUM(VLOOKUP($A75,test!$A$3:$F$32,2,FALSE),VLOOKUP(E$1,test!$A$3:$F$32,2,FALSE))&lt;test!$K$16,$A75&lt;&gt;E$1,Recharged_Feasible_mat!F44),(VLOOKUP(E$1,test!$A$3:$I$32,8,FALSE))-(VLOOKUP($A75,test!$A$3:$I$32,9,FALSE))+(test!$B$34-50),0)</f>
        <v>0</v>
      </c>
      <c r="F75">
        <f>IF(AND(SUM(VLOOKUP($A75,test!$A$3:$F$32,2,FALSE),VLOOKUP(F$1,test!$A$3:$F$32,2,FALSE))&lt;test!$K$16,$A75&lt;&gt;F$1,Recharged_Feasible_mat!G44),(VLOOKUP(F$1,test!$A$3:$I$32,8,FALSE))-(VLOOKUP($A75,test!$A$3:$I$32,9,FALSE))+(test!$B$34-50),0)</f>
        <v>0</v>
      </c>
      <c r="G75">
        <f>IF(AND(SUM(VLOOKUP($A75,test!$A$3:$F$32,2,FALSE),VLOOKUP(G$1,test!$A$3:$F$32,2,FALSE))&lt;test!$K$16,$A75&lt;&gt;G$1,Recharged_Feasible_mat!H44),(VLOOKUP(G$1,test!$A$3:$I$32,8,FALSE))-(VLOOKUP($A75,test!$A$3:$I$32,9,FALSE))+(test!$B$34-50),0)</f>
        <v>0</v>
      </c>
      <c r="H75">
        <f>IF(AND(SUM(VLOOKUP($A75,test!$A$3:$F$32,2,FALSE),VLOOKUP(H$1,test!$A$3:$F$32,2,FALSE))&lt;test!$K$16,$A75&lt;&gt;H$1,Recharged_Feasible_mat!I44),(VLOOKUP(H$1,test!$A$3:$I$32,8,FALSE))-(VLOOKUP($A75,test!$A$3:$I$32,9,FALSE))+(test!$B$34-50),0)</f>
        <v>0</v>
      </c>
      <c r="I75">
        <f>IF(AND(SUM(VLOOKUP($A75,test!$A$3:$F$32,2,FALSE),VLOOKUP(I$1,test!$A$3:$F$32,2,FALSE))&lt;test!$K$16,$A75&lt;&gt;I$1,Recharged_Feasible_mat!J44),(VLOOKUP(I$1,test!$A$3:$I$32,8,FALSE))-(VLOOKUP($A75,test!$A$3:$I$32,9,FALSE))+(test!$B$34-50),0)</f>
        <v>0</v>
      </c>
      <c r="J75">
        <f>IF(AND(SUM(VLOOKUP($A75,test!$A$3:$F$32,2,FALSE),VLOOKUP(J$1,test!$A$3:$F$32,2,FALSE))&lt;test!$K$16,$A75&lt;&gt;J$1,Recharged_Feasible_mat!K44),(VLOOKUP(J$1,test!$A$3:$I$32,8,FALSE))-(VLOOKUP($A75,test!$A$3:$I$32,9,FALSE))+(test!$B$34-50),0)</f>
        <v>255</v>
      </c>
      <c r="K75">
        <f>IF(AND(SUM(VLOOKUP($A75,test!$A$3:$F$32,2,FALSE),VLOOKUP(K$1,test!$A$3:$F$32,2,FALSE))&lt;test!$K$16,$A75&lt;&gt;K$1,Recharged_Feasible_mat!L44),(VLOOKUP(K$1,test!$A$3:$I$32,8,FALSE))-(VLOOKUP($A75,test!$A$3:$I$32,9,FALSE))+(test!$B$34-50),0)</f>
        <v>0</v>
      </c>
      <c r="L75">
        <f>IF(AND(SUM(VLOOKUP($A75,test!$A$3:$F$32,2,FALSE),VLOOKUP(L$1,test!$A$3:$F$32,2,FALSE))&lt;test!$K$16,$A75&lt;&gt;L$1,Recharged_Feasible_mat!M44),(VLOOKUP(L$1,test!$A$3:$I$32,8,FALSE))-(VLOOKUP($A75,test!$A$3:$I$32,9,FALSE))+(test!$B$34-50),0)</f>
        <v>0</v>
      </c>
      <c r="M75">
        <f>IF(AND(SUM(VLOOKUP($A75,test!$A$3:$F$32,2,FALSE),VLOOKUP(M$1,test!$A$3:$F$32,2,FALSE))&lt;test!$K$16,$A75&lt;&gt;M$1,Recharged_Feasible_mat!N44),(VLOOKUP(M$1,test!$A$3:$I$32,8,FALSE))-(VLOOKUP($A75,test!$A$3:$I$32,9,FALSE))+(test!$B$34-50),0)</f>
        <v>0</v>
      </c>
      <c r="N75">
        <f>IF(AND(SUM(VLOOKUP($A75,test!$A$3:$F$32,2,FALSE),VLOOKUP(N$1,test!$A$3:$F$32,2,FALSE))&lt;test!$K$16,$A75&lt;&gt;N$1,Recharged_Feasible_mat!O44),(VLOOKUP(N$1,test!$A$3:$I$32,8,FALSE))-(VLOOKUP($A75,test!$A$3:$I$32,9,FALSE))+(test!$B$34-50),0)</f>
        <v>220</v>
      </c>
      <c r="O75">
        <f>IF(AND(SUM(VLOOKUP($A75,test!$A$3:$F$32,2,FALSE),VLOOKUP(O$1,test!$A$3:$F$32,2,FALSE))&lt;test!$K$16,$A75&lt;&gt;O$1,Recharged_Feasible_mat!P44),(VLOOKUP(O$1,test!$A$3:$I$32,8,FALSE))-(VLOOKUP($A75,test!$A$3:$I$32,9,FALSE))+(test!$B$34-50),0)</f>
        <v>280</v>
      </c>
      <c r="P75">
        <f>IF(AND(SUM(VLOOKUP($A75,test!$A$3:$F$32,2,FALSE),VLOOKUP(P$1,test!$A$3:$F$32,2,FALSE))&lt;test!$K$16,$A75&lt;&gt;P$1,Recharged_Feasible_mat!Q44),(VLOOKUP(P$1,test!$A$3:$I$32,8,FALSE))-(VLOOKUP($A75,test!$A$3:$I$32,9,FALSE))+(test!$B$34-50),0)</f>
        <v>0</v>
      </c>
      <c r="Q75">
        <f>IF(AND(SUM(VLOOKUP($A75,test!$A$3:$F$32,2,FALSE),VLOOKUP(Q$1,test!$A$3:$F$32,2,FALSE))&lt;test!$K$16,$A75&lt;&gt;Q$1,Recharged_Feasible_mat!R44),(VLOOKUP(Q$1,test!$A$3:$I$32,8,FALSE))-(VLOOKUP($A75,test!$A$3:$I$32,9,FALSE))+(test!$B$34-50),0)</f>
        <v>0</v>
      </c>
      <c r="R75">
        <f>IF(AND(SUM(VLOOKUP($A75,test!$A$3:$F$32,2,FALSE),VLOOKUP(R$1,test!$A$3:$F$32,2,FALSE))&lt;test!$K$16,$A75&lt;&gt;R$1,Recharged_Feasible_mat!S44),(VLOOKUP(R$1,test!$A$3:$I$32,8,FALSE))-(VLOOKUP($A75,test!$A$3:$I$32,9,FALSE))+(test!$B$34-50),0)</f>
        <v>0</v>
      </c>
      <c r="S75">
        <f>IF(AND(SUM(VLOOKUP($A75,test!$A$3:$F$32,2,FALSE),VLOOKUP(S$1,test!$A$3:$F$32,2,FALSE))&lt;test!$K$16,$A75&lt;&gt;S$1,Recharged_Feasible_mat!T44),(VLOOKUP(S$1,test!$A$3:$I$32,8,FALSE))-(VLOOKUP($A75,test!$A$3:$I$32,9,FALSE))+(test!$B$34-50),0)</f>
        <v>0</v>
      </c>
      <c r="T75">
        <f>IF(AND(SUM(VLOOKUP($A75,test!$A$3:$F$32,2,FALSE),VLOOKUP(T$1,test!$A$3:$F$32,2,FALSE))&lt;test!$K$16,$A75&lt;&gt;T$1,Recharged_Feasible_mat!U44),(VLOOKUP(T$1,test!$A$3:$I$32,8,FALSE))-(VLOOKUP($A75,test!$A$3:$I$32,9,FALSE))+(test!$B$34-50),0)</f>
        <v>0</v>
      </c>
      <c r="U75">
        <f>IF(AND(SUM(VLOOKUP($A75,test!$A$3:$F$32,2,FALSE),VLOOKUP(U$1,test!$A$3:$F$32,2,FALSE))&lt;test!$K$16,$A75&lt;&gt;U$1,Recharged_Feasible_mat!V44),(VLOOKUP(U$1,test!$A$3:$I$32,8,FALSE))-(VLOOKUP($A75,test!$A$3:$I$32,9,FALSE))+(test!$B$34-50),0)</f>
        <v>0</v>
      </c>
      <c r="V75">
        <f>IF(AND(SUM(VLOOKUP($A75,test!$A$3:$F$32,2,FALSE),VLOOKUP(V$1,test!$A$3:$F$32,2,FALSE))&lt;test!$K$16,$A75&lt;&gt;V$1,Recharged_Feasible_mat!W44),(VLOOKUP(V$1,test!$A$3:$I$32,8,FALSE))-(VLOOKUP($A75,test!$A$3:$I$32,9,FALSE))+(test!$B$34-50),0)</f>
        <v>0</v>
      </c>
      <c r="W75">
        <f>IF(AND(SUM(VLOOKUP($A75,test!$A$3:$F$32,2,FALSE),VLOOKUP(W$1,test!$A$3:$F$32,2,FALSE))&lt;test!$K$16,$A75&lt;&gt;W$1,Recharged_Feasible_mat!X44),(VLOOKUP(W$1,test!$A$3:$I$32,8,FALSE))-(VLOOKUP($A75,test!$A$3:$I$32,9,FALSE))+(test!$B$34-50),0)</f>
        <v>0</v>
      </c>
      <c r="X75">
        <f>IF(AND(SUM(VLOOKUP($A75,test!$A$3:$F$32,2,FALSE),VLOOKUP(X$1,test!$A$3:$F$32,2,FALSE))&lt;test!$K$16,$A75&lt;&gt;X$1,Recharged_Feasible_mat!Y44),(VLOOKUP(X$1,test!$A$3:$I$32,8,FALSE))-(VLOOKUP($A75,test!$A$3:$I$32,9,FALSE))+(test!$B$34-50),0)</f>
        <v>205</v>
      </c>
      <c r="Y75">
        <f>IF(AND(SUM(VLOOKUP($A75,test!$A$3:$F$32,2,FALSE),VLOOKUP(Y$1,test!$A$3:$F$32,2,FALSE))&lt;test!$K$16,$A75&lt;&gt;Y$1,Recharged_Feasible_mat!Z44),(VLOOKUP(Y$1,test!$A$3:$I$32,8,FALSE))-(VLOOKUP($A75,test!$A$3:$I$32,9,FALSE))+(test!$B$34-50),0)</f>
        <v>0</v>
      </c>
      <c r="Z75">
        <f>IF(AND(SUM(VLOOKUP($A75,test!$A$3:$F$32,2,FALSE),VLOOKUP(Z$1,test!$A$3:$F$32,2,FALSE))&lt;test!$K$16,$A75&lt;&gt;Z$1,Recharged_Feasible_mat!AA44),(VLOOKUP(Z$1,test!$A$3:$I$32,8,FALSE))-(VLOOKUP($A75,test!$A$3:$I$32,9,FALSE))+(test!$B$34-50),0)</f>
        <v>0</v>
      </c>
      <c r="AA75">
        <f>IF(AND(SUM(VLOOKUP($A75,test!$A$3:$F$32,2,FALSE),VLOOKUP(AA$1,test!$A$3:$F$32,2,FALSE))&lt;test!$K$16,$A75&lt;&gt;AA$1,Recharged_Feasible_mat!AB44),(VLOOKUP(AA$1,test!$A$3:$I$32,8,FALSE))-(VLOOKUP($A75,test!$A$3:$I$32,9,FALSE))+(test!$B$34-50),0)</f>
        <v>0</v>
      </c>
      <c r="AB75">
        <f>IF(AND(SUM(VLOOKUP($A75,test!$A$3:$F$32,2,FALSE),VLOOKUP(AB$1,test!$A$3:$F$32,2,FALSE))&lt;test!$K$16,$A75&lt;&gt;AB$1,Recharged_Feasible_mat!AC44),(VLOOKUP(AB$1,test!$A$3:$I$32,8,FALSE))-(VLOOKUP($A75,test!$A$3:$I$32,9,FALSE))+(test!$B$34-50),0)</f>
        <v>0</v>
      </c>
      <c r="AC75">
        <f>IF(AND(SUM(VLOOKUP($A75,test!$A$3:$F$32,2,FALSE),VLOOKUP(AC$1,test!$A$3:$F$32,2,FALSE))&lt;test!$K$16,$A75&lt;&gt;AC$1,Recharged_Feasible_mat!AD44),(VLOOKUP(AC$1,test!$A$3:$I$32,8,FALSE))-(VLOOKUP($A75,test!$A$3:$I$32,9,FALSE))+(test!$B$34-50),0)</f>
        <v>0</v>
      </c>
      <c r="AD75">
        <f>IF(AND(SUM(VLOOKUP($A75,test!$A$3:$F$32,2,FALSE),VLOOKUP(AD$1,test!$A$3:$F$32,2,FALSE))&lt;test!$K$16,$A75&lt;&gt;AD$1,Recharged_Feasible_mat!AE44),(VLOOKUP(AD$1,test!$A$3:$I$32,8,FALSE))-(VLOOKUP($A75,test!$A$3:$I$32,9,FALSE))+(test!$B$34-50),0)</f>
        <v>0</v>
      </c>
      <c r="AE75">
        <f>IF(AND(SUM(VLOOKUP($A75,test!$A$3:$F$32,2,FALSE),VLOOKUP(AE$1,test!$A$3:$F$32,2,FALSE))&lt;test!$K$16,$A75&lt;&gt;AE$1,Recharged_Feasible_mat!AF44),(VLOOKUP(AE$1,test!$A$3:$I$32,8,FALSE))-(VLOOKUP($A75,test!$A$3:$I$32,9,FALSE))+(test!$B$34-50),0)</f>
        <v>0</v>
      </c>
      <c r="AF75">
        <f>IF(AND(SUM(VLOOKUP($A75,test!$A$3:$F$32,2,FALSE),VLOOKUP(AF$1,test!$A$3:$F$32,2,FALSE))&lt;test!$K$16,$A75&lt;&gt;AF$1,Recharged_Feasible_mat!AG44),(VLOOKUP(AF$1,test!$A$3:$I$32,8,FALSE))-(VLOOKUP($A75,test!$A$3:$I$32,9,FALSE))+(test!$B$34-50),0)</f>
        <v>0</v>
      </c>
    </row>
    <row r="76" spans="1:32" x14ac:dyDescent="0.25">
      <c r="A76" t="s">
        <v>22</v>
      </c>
      <c r="B76">
        <v>0</v>
      </c>
      <c r="C76">
        <f>IF(AND(SUM(VLOOKUP($A76,test!$A$3:$F$32,2,FALSE),VLOOKUP(C$1,test!$A$3:$F$32,2,FALSE))&lt;test!$K$16,$A76&lt;&gt;C$1,Recharged_Feasible_mat!D45),(VLOOKUP(C$1,test!$A$3:$I$32,8,FALSE))-(VLOOKUP($A76,test!$A$3:$I$32,9,FALSE))+(test!$B$34-50),0)</f>
        <v>0</v>
      </c>
      <c r="D76">
        <f>IF(AND(SUM(VLOOKUP($A76,test!$A$3:$F$32,2,FALSE),VLOOKUP(D$1,test!$A$3:$F$32,2,FALSE))&lt;test!$K$16,$A76&lt;&gt;D$1,Recharged_Feasible_mat!E45),(VLOOKUP(D$1,test!$A$3:$I$32,8,FALSE))-(VLOOKUP($A76,test!$A$3:$I$32,9,FALSE))+(test!$B$34-50),0)</f>
        <v>0</v>
      </c>
      <c r="E76">
        <f>IF(AND(SUM(VLOOKUP($A76,test!$A$3:$F$32,2,FALSE),VLOOKUP(E$1,test!$A$3:$F$32,2,FALSE))&lt;test!$K$16,$A76&lt;&gt;E$1,Recharged_Feasible_mat!F45),(VLOOKUP(E$1,test!$A$3:$I$32,8,FALSE))-(VLOOKUP($A76,test!$A$3:$I$32,9,FALSE))+(test!$B$34-50),0)</f>
        <v>0</v>
      </c>
      <c r="F76">
        <f>IF(AND(SUM(VLOOKUP($A76,test!$A$3:$F$32,2,FALSE),VLOOKUP(F$1,test!$A$3:$F$32,2,FALSE))&lt;test!$K$16,$A76&lt;&gt;F$1,Recharged_Feasible_mat!G45),(VLOOKUP(F$1,test!$A$3:$I$32,8,FALSE))-(VLOOKUP($A76,test!$A$3:$I$32,9,FALSE))+(test!$B$34-50),0)</f>
        <v>0</v>
      </c>
      <c r="G76">
        <f>IF(AND(SUM(VLOOKUP($A76,test!$A$3:$F$32,2,FALSE),VLOOKUP(G$1,test!$A$3:$F$32,2,FALSE))&lt;test!$K$16,$A76&lt;&gt;G$1,Recharged_Feasible_mat!H45),(VLOOKUP(G$1,test!$A$3:$I$32,8,FALSE))-(VLOOKUP($A76,test!$A$3:$I$32,9,FALSE))+(test!$B$34-50),0)</f>
        <v>0</v>
      </c>
      <c r="H76">
        <f>IF(AND(SUM(VLOOKUP($A76,test!$A$3:$F$32,2,FALSE),VLOOKUP(H$1,test!$A$3:$F$32,2,FALSE))&lt;test!$K$16,$A76&lt;&gt;H$1,Recharged_Feasible_mat!I45),(VLOOKUP(H$1,test!$A$3:$I$32,8,FALSE))-(VLOOKUP($A76,test!$A$3:$I$32,9,FALSE))+(test!$B$34-50),0)</f>
        <v>0</v>
      </c>
      <c r="I76">
        <f>IF(AND(SUM(VLOOKUP($A76,test!$A$3:$F$32,2,FALSE),VLOOKUP(I$1,test!$A$3:$F$32,2,FALSE))&lt;test!$K$16,$A76&lt;&gt;I$1,Recharged_Feasible_mat!J45),(VLOOKUP(I$1,test!$A$3:$I$32,8,FALSE))-(VLOOKUP($A76,test!$A$3:$I$32,9,FALSE))+(test!$B$34-50),0)</f>
        <v>0</v>
      </c>
      <c r="J76">
        <f>IF(AND(SUM(VLOOKUP($A76,test!$A$3:$F$32,2,FALSE),VLOOKUP(J$1,test!$A$3:$F$32,2,FALSE))&lt;test!$K$16,$A76&lt;&gt;J$1,Recharged_Feasible_mat!K45),(VLOOKUP(J$1,test!$A$3:$I$32,8,FALSE))-(VLOOKUP($A76,test!$A$3:$I$32,9,FALSE))+(test!$B$34-50),0)</f>
        <v>0</v>
      </c>
      <c r="K76">
        <f>IF(AND(SUM(VLOOKUP($A76,test!$A$3:$F$32,2,FALSE),VLOOKUP(K$1,test!$A$3:$F$32,2,FALSE))&lt;test!$K$16,$A76&lt;&gt;K$1,Recharged_Feasible_mat!L45),(VLOOKUP(K$1,test!$A$3:$I$32,8,FALSE))-(VLOOKUP($A76,test!$A$3:$I$32,9,FALSE))+(test!$B$34-50),0)</f>
        <v>0</v>
      </c>
      <c r="L76">
        <f>IF(AND(SUM(VLOOKUP($A76,test!$A$3:$F$32,2,FALSE),VLOOKUP(L$1,test!$A$3:$F$32,2,FALSE))&lt;test!$K$16,$A76&lt;&gt;L$1,Recharged_Feasible_mat!M45),(VLOOKUP(L$1,test!$A$3:$I$32,8,FALSE))-(VLOOKUP($A76,test!$A$3:$I$32,9,FALSE))+(test!$B$34-50),0)</f>
        <v>0</v>
      </c>
      <c r="M76">
        <f>IF(AND(SUM(VLOOKUP($A76,test!$A$3:$F$32,2,FALSE),VLOOKUP(M$1,test!$A$3:$F$32,2,FALSE))&lt;test!$K$16,$A76&lt;&gt;M$1,Recharged_Feasible_mat!N45),(VLOOKUP(M$1,test!$A$3:$I$32,8,FALSE))-(VLOOKUP($A76,test!$A$3:$I$32,9,FALSE))+(test!$B$34-50),0)</f>
        <v>0</v>
      </c>
      <c r="N76">
        <f>IF(AND(SUM(VLOOKUP($A76,test!$A$3:$F$32,2,FALSE),VLOOKUP(N$1,test!$A$3:$F$32,2,FALSE))&lt;test!$K$16,$A76&lt;&gt;N$1,Recharged_Feasible_mat!O45),(VLOOKUP(N$1,test!$A$3:$I$32,8,FALSE))-(VLOOKUP($A76,test!$A$3:$I$32,9,FALSE))+(test!$B$34-50),0)</f>
        <v>0</v>
      </c>
      <c r="O76">
        <f>IF(AND(SUM(VLOOKUP($A76,test!$A$3:$F$32,2,FALSE),VLOOKUP(O$1,test!$A$3:$F$32,2,FALSE))&lt;test!$K$16,$A76&lt;&gt;O$1,Recharged_Feasible_mat!P45),(VLOOKUP(O$1,test!$A$3:$I$32,8,FALSE))-(VLOOKUP($A76,test!$A$3:$I$32,9,FALSE))+(test!$B$34-50),0)</f>
        <v>0</v>
      </c>
      <c r="P76">
        <f>IF(AND(SUM(VLOOKUP($A76,test!$A$3:$F$32,2,FALSE),VLOOKUP(P$1,test!$A$3:$F$32,2,FALSE))&lt;test!$K$16,$A76&lt;&gt;P$1,Recharged_Feasible_mat!Q45),(VLOOKUP(P$1,test!$A$3:$I$32,8,FALSE))-(VLOOKUP($A76,test!$A$3:$I$32,9,FALSE))+(test!$B$34-50),0)</f>
        <v>0</v>
      </c>
      <c r="Q76">
        <f>IF(AND(SUM(VLOOKUP($A76,test!$A$3:$F$32,2,FALSE),VLOOKUP(Q$1,test!$A$3:$F$32,2,FALSE))&lt;test!$K$16,$A76&lt;&gt;Q$1,Recharged_Feasible_mat!R45),(VLOOKUP(Q$1,test!$A$3:$I$32,8,FALSE))-(VLOOKUP($A76,test!$A$3:$I$32,9,FALSE))+(test!$B$34-50),0)</f>
        <v>0</v>
      </c>
      <c r="R76">
        <f>IF(AND(SUM(VLOOKUP($A76,test!$A$3:$F$32,2,FALSE),VLOOKUP(R$1,test!$A$3:$F$32,2,FALSE))&lt;test!$K$16,$A76&lt;&gt;R$1,Recharged_Feasible_mat!S45),(VLOOKUP(R$1,test!$A$3:$I$32,8,FALSE))-(VLOOKUP($A76,test!$A$3:$I$32,9,FALSE))+(test!$B$34-50),0)</f>
        <v>0</v>
      </c>
      <c r="S76">
        <f>IF(AND(SUM(VLOOKUP($A76,test!$A$3:$F$32,2,FALSE),VLOOKUP(S$1,test!$A$3:$F$32,2,FALSE))&lt;test!$K$16,$A76&lt;&gt;S$1,Recharged_Feasible_mat!T45),(VLOOKUP(S$1,test!$A$3:$I$32,8,FALSE))-(VLOOKUP($A76,test!$A$3:$I$32,9,FALSE))+(test!$B$34-50),0)</f>
        <v>0</v>
      </c>
      <c r="T76">
        <f>IF(AND(SUM(VLOOKUP($A76,test!$A$3:$F$32,2,FALSE),VLOOKUP(T$1,test!$A$3:$F$32,2,FALSE))&lt;test!$K$16,$A76&lt;&gt;T$1,Recharged_Feasible_mat!U45),(VLOOKUP(T$1,test!$A$3:$I$32,8,FALSE))-(VLOOKUP($A76,test!$A$3:$I$32,9,FALSE))+(test!$B$34-50),0)</f>
        <v>0</v>
      </c>
      <c r="U76">
        <f>IF(AND(SUM(VLOOKUP($A76,test!$A$3:$F$32,2,FALSE),VLOOKUP(U$1,test!$A$3:$F$32,2,FALSE))&lt;test!$K$16,$A76&lt;&gt;U$1,Recharged_Feasible_mat!V45),(VLOOKUP(U$1,test!$A$3:$I$32,8,FALSE))-(VLOOKUP($A76,test!$A$3:$I$32,9,FALSE))+(test!$B$34-50),0)</f>
        <v>0</v>
      </c>
      <c r="V76">
        <f>IF(AND(SUM(VLOOKUP($A76,test!$A$3:$F$32,2,FALSE),VLOOKUP(V$1,test!$A$3:$F$32,2,FALSE))&lt;test!$K$16,$A76&lt;&gt;V$1,Recharged_Feasible_mat!W45),(VLOOKUP(V$1,test!$A$3:$I$32,8,FALSE))-(VLOOKUP($A76,test!$A$3:$I$32,9,FALSE))+(test!$B$34-50),0)</f>
        <v>0</v>
      </c>
      <c r="W76">
        <f>IF(AND(SUM(VLOOKUP($A76,test!$A$3:$F$32,2,FALSE),VLOOKUP(W$1,test!$A$3:$F$32,2,FALSE))&lt;test!$K$16,$A76&lt;&gt;W$1,Recharged_Feasible_mat!X45),(VLOOKUP(W$1,test!$A$3:$I$32,8,FALSE))-(VLOOKUP($A76,test!$A$3:$I$32,9,FALSE))+(test!$B$34-50),0)</f>
        <v>0</v>
      </c>
      <c r="X76">
        <f>IF(AND(SUM(VLOOKUP($A76,test!$A$3:$F$32,2,FALSE),VLOOKUP(X$1,test!$A$3:$F$32,2,FALSE))&lt;test!$K$16,$A76&lt;&gt;X$1,Recharged_Feasible_mat!Y45),(VLOOKUP(X$1,test!$A$3:$I$32,8,FALSE))-(VLOOKUP($A76,test!$A$3:$I$32,9,FALSE))+(test!$B$34-50),0)</f>
        <v>0</v>
      </c>
      <c r="Y76">
        <f>IF(AND(SUM(VLOOKUP($A76,test!$A$3:$F$32,2,FALSE),VLOOKUP(Y$1,test!$A$3:$F$32,2,FALSE))&lt;test!$K$16,$A76&lt;&gt;Y$1,Recharged_Feasible_mat!Z45),(VLOOKUP(Y$1,test!$A$3:$I$32,8,FALSE))-(VLOOKUP($A76,test!$A$3:$I$32,9,FALSE))+(test!$B$34-50),0)</f>
        <v>0</v>
      </c>
      <c r="Z76">
        <f>IF(AND(SUM(VLOOKUP($A76,test!$A$3:$F$32,2,FALSE),VLOOKUP(Z$1,test!$A$3:$F$32,2,FALSE))&lt;test!$K$16,$A76&lt;&gt;Z$1,Recharged_Feasible_mat!AA45),(VLOOKUP(Z$1,test!$A$3:$I$32,8,FALSE))-(VLOOKUP($A76,test!$A$3:$I$32,9,FALSE))+(test!$B$34-50),0)</f>
        <v>0</v>
      </c>
      <c r="AA76">
        <f>IF(AND(SUM(VLOOKUP($A76,test!$A$3:$F$32,2,FALSE),VLOOKUP(AA$1,test!$A$3:$F$32,2,FALSE))&lt;test!$K$16,$A76&lt;&gt;AA$1,Recharged_Feasible_mat!AB45),(VLOOKUP(AA$1,test!$A$3:$I$32,8,FALSE))-(VLOOKUP($A76,test!$A$3:$I$32,9,FALSE))+(test!$B$34-50),0)</f>
        <v>0</v>
      </c>
      <c r="AB76">
        <f>IF(AND(SUM(VLOOKUP($A76,test!$A$3:$F$32,2,FALSE),VLOOKUP(AB$1,test!$A$3:$F$32,2,FALSE))&lt;test!$K$16,$A76&lt;&gt;AB$1,Recharged_Feasible_mat!AC45),(VLOOKUP(AB$1,test!$A$3:$I$32,8,FALSE))-(VLOOKUP($A76,test!$A$3:$I$32,9,FALSE))+(test!$B$34-50),0)</f>
        <v>0</v>
      </c>
      <c r="AC76">
        <f>IF(AND(SUM(VLOOKUP($A76,test!$A$3:$F$32,2,FALSE),VLOOKUP(AC$1,test!$A$3:$F$32,2,FALSE))&lt;test!$K$16,$A76&lt;&gt;AC$1,Recharged_Feasible_mat!AD45),(VLOOKUP(AC$1,test!$A$3:$I$32,8,FALSE))-(VLOOKUP($A76,test!$A$3:$I$32,9,FALSE))+(test!$B$34-50),0)</f>
        <v>0</v>
      </c>
      <c r="AD76">
        <f>IF(AND(SUM(VLOOKUP($A76,test!$A$3:$F$32,2,FALSE),VLOOKUP(AD$1,test!$A$3:$F$32,2,FALSE))&lt;test!$K$16,$A76&lt;&gt;AD$1,Recharged_Feasible_mat!AE45),(VLOOKUP(AD$1,test!$A$3:$I$32,8,FALSE))-(VLOOKUP($A76,test!$A$3:$I$32,9,FALSE))+(test!$B$34-50),0)</f>
        <v>0</v>
      </c>
      <c r="AE76">
        <f>IF(AND(SUM(VLOOKUP($A76,test!$A$3:$F$32,2,FALSE),VLOOKUP(AE$1,test!$A$3:$F$32,2,FALSE))&lt;test!$K$16,$A76&lt;&gt;AE$1,Recharged_Feasible_mat!AF45),(VLOOKUP(AE$1,test!$A$3:$I$32,8,FALSE))-(VLOOKUP($A76,test!$A$3:$I$32,9,FALSE))+(test!$B$34-50),0)</f>
        <v>0</v>
      </c>
      <c r="AF76">
        <f>IF(AND(SUM(VLOOKUP($A76,test!$A$3:$F$32,2,FALSE),VLOOKUP(AF$1,test!$A$3:$F$32,2,FALSE))&lt;test!$K$16,$A76&lt;&gt;AF$1,Recharged_Feasible_mat!AG45),(VLOOKUP(AF$1,test!$A$3:$I$32,8,FALSE))-(VLOOKUP($A76,test!$A$3:$I$32,9,FALSE))+(test!$B$34-50),0)</f>
        <v>0</v>
      </c>
    </row>
    <row r="77" spans="1:32" x14ac:dyDescent="0.25">
      <c r="A77" t="s">
        <v>23</v>
      </c>
      <c r="B77">
        <v>0</v>
      </c>
      <c r="C77">
        <f>IF(AND(SUM(VLOOKUP($A77,test!$A$3:$F$32,2,FALSE),VLOOKUP(C$1,test!$A$3:$F$32,2,FALSE))&lt;test!$K$16,$A77&lt;&gt;C$1,Recharged_Feasible_mat!D46),(VLOOKUP(C$1,test!$A$3:$I$32,8,FALSE))-(VLOOKUP($A77,test!$A$3:$I$32,9,FALSE))+(test!$B$34-50),0)</f>
        <v>0</v>
      </c>
      <c r="D77">
        <f>IF(AND(SUM(VLOOKUP($A77,test!$A$3:$F$32,2,FALSE),VLOOKUP(D$1,test!$A$3:$F$32,2,FALSE))&lt;test!$K$16,$A77&lt;&gt;D$1,Recharged_Feasible_mat!E46),(VLOOKUP(D$1,test!$A$3:$I$32,8,FALSE))-(VLOOKUP($A77,test!$A$3:$I$32,9,FALSE))+(test!$B$34-50),0)</f>
        <v>0</v>
      </c>
      <c r="E77">
        <f>IF(AND(SUM(VLOOKUP($A77,test!$A$3:$F$32,2,FALSE),VLOOKUP(E$1,test!$A$3:$F$32,2,FALSE))&lt;test!$K$16,$A77&lt;&gt;E$1,Recharged_Feasible_mat!F46),(VLOOKUP(E$1,test!$A$3:$I$32,8,FALSE))-(VLOOKUP($A77,test!$A$3:$I$32,9,FALSE))+(test!$B$34-50),0)</f>
        <v>0</v>
      </c>
      <c r="F77">
        <f>IF(AND(SUM(VLOOKUP($A77,test!$A$3:$F$32,2,FALSE),VLOOKUP(F$1,test!$A$3:$F$32,2,FALSE))&lt;test!$K$16,$A77&lt;&gt;F$1,Recharged_Feasible_mat!G46),(VLOOKUP(F$1,test!$A$3:$I$32,8,FALSE))-(VLOOKUP($A77,test!$A$3:$I$32,9,FALSE))+(test!$B$34-50),0)</f>
        <v>0</v>
      </c>
      <c r="G77">
        <f>IF(AND(SUM(VLOOKUP($A77,test!$A$3:$F$32,2,FALSE),VLOOKUP(G$1,test!$A$3:$F$32,2,FALSE))&lt;test!$K$16,$A77&lt;&gt;G$1,Recharged_Feasible_mat!H46),(VLOOKUP(G$1,test!$A$3:$I$32,8,FALSE))-(VLOOKUP($A77,test!$A$3:$I$32,9,FALSE))+(test!$B$34-50),0)</f>
        <v>0</v>
      </c>
      <c r="H77">
        <f>IF(AND(SUM(VLOOKUP($A77,test!$A$3:$F$32,2,FALSE),VLOOKUP(H$1,test!$A$3:$F$32,2,FALSE))&lt;test!$K$16,$A77&lt;&gt;H$1,Recharged_Feasible_mat!I46),(VLOOKUP(H$1,test!$A$3:$I$32,8,FALSE))-(VLOOKUP($A77,test!$A$3:$I$32,9,FALSE))+(test!$B$34-50),0)</f>
        <v>0</v>
      </c>
      <c r="I77">
        <f>IF(AND(SUM(VLOOKUP($A77,test!$A$3:$F$32,2,FALSE),VLOOKUP(I$1,test!$A$3:$F$32,2,FALSE))&lt;test!$K$16,$A77&lt;&gt;I$1,Recharged_Feasible_mat!J46),(VLOOKUP(I$1,test!$A$3:$I$32,8,FALSE))-(VLOOKUP($A77,test!$A$3:$I$32,9,FALSE))+(test!$B$34-50),0)</f>
        <v>0</v>
      </c>
      <c r="J77">
        <f>IF(AND(SUM(VLOOKUP($A77,test!$A$3:$F$32,2,FALSE),VLOOKUP(J$1,test!$A$3:$F$32,2,FALSE))&lt;test!$K$16,$A77&lt;&gt;J$1,Recharged_Feasible_mat!K46),(VLOOKUP(J$1,test!$A$3:$I$32,8,FALSE))-(VLOOKUP($A77,test!$A$3:$I$32,9,FALSE))+(test!$B$34-50),0)</f>
        <v>0</v>
      </c>
      <c r="K77">
        <f>IF(AND(SUM(VLOOKUP($A77,test!$A$3:$F$32,2,FALSE),VLOOKUP(K$1,test!$A$3:$F$32,2,FALSE))&lt;test!$K$16,$A77&lt;&gt;K$1,Recharged_Feasible_mat!L46),(VLOOKUP(K$1,test!$A$3:$I$32,8,FALSE))-(VLOOKUP($A77,test!$A$3:$I$32,9,FALSE))+(test!$B$34-50),0)</f>
        <v>0</v>
      </c>
      <c r="L77">
        <f>IF(AND(SUM(VLOOKUP($A77,test!$A$3:$F$32,2,FALSE),VLOOKUP(L$1,test!$A$3:$F$32,2,FALSE))&lt;test!$K$16,$A77&lt;&gt;L$1,Recharged_Feasible_mat!M46),(VLOOKUP(L$1,test!$A$3:$I$32,8,FALSE))-(VLOOKUP($A77,test!$A$3:$I$32,9,FALSE))+(test!$B$34-50),0)</f>
        <v>0</v>
      </c>
      <c r="M77">
        <f>IF(AND(SUM(VLOOKUP($A77,test!$A$3:$F$32,2,FALSE),VLOOKUP(M$1,test!$A$3:$F$32,2,FALSE))&lt;test!$K$16,$A77&lt;&gt;M$1,Recharged_Feasible_mat!N46),(VLOOKUP(M$1,test!$A$3:$I$32,8,FALSE))-(VLOOKUP($A77,test!$A$3:$I$32,9,FALSE))+(test!$B$34-50),0)</f>
        <v>0</v>
      </c>
      <c r="N77">
        <f>IF(AND(SUM(VLOOKUP($A77,test!$A$3:$F$32,2,FALSE),VLOOKUP(N$1,test!$A$3:$F$32,2,FALSE))&lt;test!$K$16,$A77&lt;&gt;N$1,Recharged_Feasible_mat!O46),(VLOOKUP(N$1,test!$A$3:$I$32,8,FALSE))-(VLOOKUP($A77,test!$A$3:$I$32,9,FALSE))+(test!$B$34-50),0)</f>
        <v>0</v>
      </c>
      <c r="O77">
        <f>IF(AND(SUM(VLOOKUP($A77,test!$A$3:$F$32,2,FALSE),VLOOKUP(O$1,test!$A$3:$F$32,2,FALSE))&lt;test!$K$16,$A77&lt;&gt;O$1,Recharged_Feasible_mat!P46),(VLOOKUP(O$1,test!$A$3:$I$32,8,FALSE))-(VLOOKUP($A77,test!$A$3:$I$32,9,FALSE))+(test!$B$34-50),0)</f>
        <v>0</v>
      </c>
      <c r="P77">
        <f>IF(AND(SUM(VLOOKUP($A77,test!$A$3:$F$32,2,FALSE),VLOOKUP(P$1,test!$A$3:$F$32,2,FALSE))&lt;test!$K$16,$A77&lt;&gt;P$1,Recharged_Feasible_mat!Q46),(VLOOKUP(P$1,test!$A$3:$I$32,8,FALSE))-(VLOOKUP($A77,test!$A$3:$I$32,9,FALSE))+(test!$B$34-50),0)</f>
        <v>0</v>
      </c>
      <c r="Q77">
        <f>IF(AND(SUM(VLOOKUP($A77,test!$A$3:$F$32,2,FALSE),VLOOKUP(Q$1,test!$A$3:$F$32,2,FALSE))&lt;test!$K$16,$A77&lt;&gt;Q$1,Recharged_Feasible_mat!R46),(VLOOKUP(Q$1,test!$A$3:$I$32,8,FALSE))-(VLOOKUP($A77,test!$A$3:$I$32,9,FALSE))+(test!$B$34-50),0)</f>
        <v>0</v>
      </c>
      <c r="R77">
        <f>IF(AND(SUM(VLOOKUP($A77,test!$A$3:$F$32,2,FALSE),VLOOKUP(R$1,test!$A$3:$F$32,2,FALSE))&lt;test!$K$16,$A77&lt;&gt;R$1,Recharged_Feasible_mat!S46),(VLOOKUP(R$1,test!$A$3:$I$32,8,FALSE))-(VLOOKUP($A77,test!$A$3:$I$32,9,FALSE))+(test!$B$34-50),0)</f>
        <v>0</v>
      </c>
      <c r="S77">
        <f>IF(AND(SUM(VLOOKUP($A77,test!$A$3:$F$32,2,FALSE),VLOOKUP(S$1,test!$A$3:$F$32,2,FALSE))&lt;test!$K$16,$A77&lt;&gt;S$1,Recharged_Feasible_mat!T46),(VLOOKUP(S$1,test!$A$3:$I$32,8,FALSE))-(VLOOKUP($A77,test!$A$3:$I$32,9,FALSE))+(test!$B$34-50),0)</f>
        <v>0</v>
      </c>
      <c r="T77">
        <f>IF(AND(SUM(VLOOKUP($A77,test!$A$3:$F$32,2,FALSE),VLOOKUP(T$1,test!$A$3:$F$32,2,FALSE))&lt;test!$K$16,$A77&lt;&gt;T$1,Recharged_Feasible_mat!U46),(VLOOKUP(T$1,test!$A$3:$I$32,8,FALSE))-(VLOOKUP($A77,test!$A$3:$I$32,9,FALSE))+(test!$B$34-50),0)</f>
        <v>0</v>
      </c>
      <c r="U77">
        <f>IF(AND(SUM(VLOOKUP($A77,test!$A$3:$F$32,2,FALSE),VLOOKUP(U$1,test!$A$3:$F$32,2,FALSE))&lt;test!$K$16,$A77&lt;&gt;U$1,Recharged_Feasible_mat!V46),(VLOOKUP(U$1,test!$A$3:$I$32,8,FALSE))-(VLOOKUP($A77,test!$A$3:$I$32,9,FALSE))+(test!$B$34-50),0)</f>
        <v>0</v>
      </c>
      <c r="V77">
        <f>IF(AND(SUM(VLOOKUP($A77,test!$A$3:$F$32,2,FALSE),VLOOKUP(V$1,test!$A$3:$F$32,2,FALSE))&lt;test!$K$16,$A77&lt;&gt;V$1,Recharged_Feasible_mat!W46),(VLOOKUP(V$1,test!$A$3:$I$32,8,FALSE))-(VLOOKUP($A77,test!$A$3:$I$32,9,FALSE))+(test!$B$34-50),0)</f>
        <v>0</v>
      </c>
      <c r="W77">
        <f>IF(AND(SUM(VLOOKUP($A77,test!$A$3:$F$32,2,FALSE),VLOOKUP(W$1,test!$A$3:$F$32,2,FALSE))&lt;test!$K$16,$A77&lt;&gt;W$1,Recharged_Feasible_mat!X46),(VLOOKUP(W$1,test!$A$3:$I$32,8,FALSE))-(VLOOKUP($A77,test!$A$3:$I$32,9,FALSE))+(test!$B$34-50),0)</f>
        <v>0</v>
      </c>
      <c r="X77">
        <f>IF(AND(SUM(VLOOKUP($A77,test!$A$3:$F$32,2,FALSE),VLOOKUP(X$1,test!$A$3:$F$32,2,FALSE))&lt;test!$K$16,$A77&lt;&gt;X$1,Recharged_Feasible_mat!Y46),(VLOOKUP(X$1,test!$A$3:$I$32,8,FALSE))-(VLOOKUP($A77,test!$A$3:$I$32,9,FALSE))+(test!$B$34-50),0)</f>
        <v>0</v>
      </c>
      <c r="Y77">
        <f>IF(AND(SUM(VLOOKUP($A77,test!$A$3:$F$32,2,FALSE),VLOOKUP(Y$1,test!$A$3:$F$32,2,FALSE))&lt;test!$K$16,$A77&lt;&gt;Y$1,Recharged_Feasible_mat!Z46),(VLOOKUP(Y$1,test!$A$3:$I$32,8,FALSE))-(VLOOKUP($A77,test!$A$3:$I$32,9,FALSE))+(test!$B$34-50),0)</f>
        <v>0</v>
      </c>
      <c r="Z77">
        <f>IF(AND(SUM(VLOOKUP($A77,test!$A$3:$F$32,2,FALSE),VLOOKUP(Z$1,test!$A$3:$F$32,2,FALSE))&lt;test!$K$16,$A77&lt;&gt;Z$1,Recharged_Feasible_mat!AA46),(VLOOKUP(Z$1,test!$A$3:$I$32,8,FALSE))-(VLOOKUP($A77,test!$A$3:$I$32,9,FALSE))+(test!$B$34-50),0)</f>
        <v>0</v>
      </c>
      <c r="AA77">
        <f>IF(AND(SUM(VLOOKUP($A77,test!$A$3:$F$32,2,FALSE),VLOOKUP(AA$1,test!$A$3:$F$32,2,FALSE))&lt;test!$K$16,$A77&lt;&gt;AA$1,Recharged_Feasible_mat!AB46),(VLOOKUP(AA$1,test!$A$3:$I$32,8,FALSE))-(VLOOKUP($A77,test!$A$3:$I$32,9,FALSE))+(test!$B$34-50),0)</f>
        <v>0</v>
      </c>
      <c r="AB77">
        <f>IF(AND(SUM(VLOOKUP($A77,test!$A$3:$F$32,2,FALSE),VLOOKUP(AB$1,test!$A$3:$F$32,2,FALSE))&lt;test!$K$16,$A77&lt;&gt;AB$1,Recharged_Feasible_mat!AC46),(VLOOKUP(AB$1,test!$A$3:$I$32,8,FALSE))-(VLOOKUP($A77,test!$A$3:$I$32,9,FALSE))+(test!$B$34-50),0)</f>
        <v>0</v>
      </c>
      <c r="AC77">
        <f>IF(AND(SUM(VLOOKUP($A77,test!$A$3:$F$32,2,FALSE),VLOOKUP(AC$1,test!$A$3:$F$32,2,FALSE))&lt;test!$K$16,$A77&lt;&gt;AC$1,Recharged_Feasible_mat!AD46),(VLOOKUP(AC$1,test!$A$3:$I$32,8,FALSE))-(VLOOKUP($A77,test!$A$3:$I$32,9,FALSE))+(test!$B$34-50),0)</f>
        <v>0</v>
      </c>
      <c r="AD77">
        <f>IF(AND(SUM(VLOOKUP($A77,test!$A$3:$F$32,2,FALSE),VLOOKUP(AD$1,test!$A$3:$F$32,2,FALSE))&lt;test!$K$16,$A77&lt;&gt;AD$1,Recharged_Feasible_mat!AE46),(VLOOKUP(AD$1,test!$A$3:$I$32,8,FALSE))-(VLOOKUP($A77,test!$A$3:$I$32,9,FALSE))+(test!$B$34-50),0)</f>
        <v>0</v>
      </c>
      <c r="AE77">
        <f>IF(AND(SUM(VLOOKUP($A77,test!$A$3:$F$32,2,FALSE),VLOOKUP(AE$1,test!$A$3:$F$32,2,FALSE))&lt;test!$K$16,$A77&lt;&gt;AE$1,Recharged_Feasible_mat!AF46),(VLOOKUP(AE$1,test!$A$3:$I$32,8,FALSE))-(VLOOKUP($A77,test!$A$3:$I$32,9,FALSE))+(test!$B$34-50),0)</f>
        <v>0</v>
      </c>
      <c r="AF77">
        <f>IF(AND(SUM(VLOOKUP($A77,test!$A$3:$F$32,2,FALSE),VLOOKUP(AF$1,test!$A$3:$F$32,2,FALSE))&lt;test!$K$16,$A77&lt;&gt;AF$1,Recharged_Feasible_mat!AG46),(VLOOKUP(AF$1,test!$A$3:$I$32,8,FALSE))-(VLOOKUP($A77,test!$A$3:$I$32,9,FALSE))+(test!$B$34-50),0)</f>
        <v>0</v>
      </c>
    </row>
    <row r="78" spans="1:32" x14ac:dyDescent="0.25">
      <c r="A78" t="s">
        <v>24</v>
      </c>
      <c r="B78">
        <v>0</v>
      </c>
      <c r="C78">
        <f>IF(AND(SUM(VLOOKUP($A78,test!$A$3:$F$32,2,FALSE),VLOOKUP(C$1,test!$A$3:$F$32,2,FALSE))&lt;test!$K$16,$A78&lt;&gt;C$1,Recharged_Feasible_mat!D47),(VLOOKUP(C$1,test!$A$3:$I$32,8,FALSE))-(VLOOKUP($A78,test!$A$3:$I$32,9,FALSE))+(test!$B$34-50),0)</f>
        <v>0</v>
      </c>
      <c r="D78">
        <f>IF(AND(SUM(VLOOKUP($A78,test!$A$3:$F$32,2,FALSE),VLOOKUP(D$1,test!$A$3:$F$32,2,FALSE))&lt;test!$K$16,$A78&lt;&gt;D$1,Recharged_Feasible_mat!E47),(VLOOKUP(D$1,test!$A$3:$I$32,8,FALSE))-(VLOOKUP($A78,test!$A$3:$I$32,9,FALSE))+(test!$B$34-50),0)</f>
        <v>0</v>
      </c>
      <c r="E78">
        <f>IF(AND(SUM(VLOOKUP($A78,test!$A$3:$F$32,2,FALSE),VLOOKUP(E$1,test!$A$3:$F$32,2,FALSE))&lt;test!$K$16,$A78&lt;&gt;E$1,Recharged_Feasible_mat!F47),(VLOOKUP(E$1,test!$A$3:$I$32,8,FALSE))-(VLOOKUP($A78,test!$A$3:$I$32,9,FALSE))+(test!$B$34-50),0)</f>
        <v>0</v>
      </c>
      <c r="F78">
        <f>IF(AND(SUM(VLOOKUP($A78,test!$A$3:$F$32,2,FALSE),VLOOKUP(F$1,test!$A$3:$F$32,2,FALSE))&lt;test!$K$16,$A78&lt;&gt;F$1,Recharged_Feasible_mat!G47),(VLOOKUP(F$1,test!$A$3:$I$32,8,FALSE))-(VLOOKUP($A78,test!$A$3:$I$32,9,FALSE))+(test!$B$34-50),0)</f>
        <v>0</v>
      </c>
      <c r="G78">
        <f>IF(AND(SUM(VLOOKUP($A78,test!$A$3:$F$32,2,FALSE),VLOOKUP(G$1,test!$A$3:$F$32,2,FALSE))&lt;test!$K$16,$A78&lt;&gt;G$1,Recharged_Feasible_mat!H47),(VLOOKUP(G$1,test!$A$3:$I$32,8,FALSE))-(VLOOKUP($A78,test!$A$3:$I$32,9,FALSE))+(test!$B$34-50),0)</f>
        <v>0</v>
      </c>
      <c r="H78">
        <f>IF(AND(SUM(VLOOKUP($A78,test!$A$3:$F$32,2,FALSE),VLOOKUP(H$1,test!$A$3:$F$32,2,FALSE))&lt;test!$K$16,$A78&lt;&gt;H$1,Recharged_Feasible_mat!I47),(VLOOKUP(H$1,test!$A$3:$I$32,8,FALSE))-(VLOOKUP($A78,test!$A$3:$I$32,9,FALSE))+(test!$B$34-50),0)</f>
        <v>270</v>
      </c>
      <c r="I78">
        <f>IF(AND(SUM(VLOOKUP($A78,test!$A$3:$F$32,2,FALSE),VLOOKUP(I$1,test!$A$3:$F$32,2,FALSE))&lt;test!$K$16,$A78&lt;&gt;I$1,Recharged_Feasible_mat!J47),(VLOOKUP(I$1,test!$A$3:$I$32,8,FALSE))-(VLOOKUP($A78,test!$A$3:$I$32,9,FALSE))+(test!$B$34-50),0)</f>
        <v>330</v>
      </c>
      <c r="J78">
        <f>IF(AND(SUM(VLOOKUP($A78,test!$A$3:$F$32,2,FALSE),VLOOKUP(J$1,test!$A$3:$F$32,2,FALSE))&lt;test!$K$16,$A78&lt;&gt;J$1,Recharged_Feasible_mat!K47),(VLOOKUP(J$1,test!$A$3:$I$32,8,FALSE))-(VLOOKUP($A78,test!$A$3:$I$32,9,FALSE))+(test!$B$34-50),0)</f>
        <v>420</v>
      </c>
      <c r="K78">
        <f>IF(AND(SUM(VLOOKUP($A78,test!$A$3:$F$32,2,FALSE),VLOOKUP(K$1,test!$A$3:$F$32,2,FALSE))&lt;test!$K$16,$A78&lt;&gt;K$1,Recharged_Feasible_mat!L47),(VLOOKUP(K$1,test!$A$3:$I$32,8,FALSE))-(VLOOKUP($A78,test!$A$3:$I$32,9,FALSE))+(test!$B$34-50),0)</f>
        <v>0</v>
      </c>
      <c r="L78">
        <f>IF(AND(SUM(VLOOKUP($A78,test!$A$3:$F$32,2,FALSE),VLOOKUP(L$1,test!$A$3:$F$32,2,FALSE))&lt;test!$K$16,$A78&lt;&gt;L$1,Recharged_Feasible_mat!M47),(VLOOKUP(L$1,test!$A$3:$I$32,8,FALSE))-(VLOOKUP($A78,test!$A$3:$I$32,9,FALSE))+(test!$B$34-50),0)</f>
        <v>0</v>
      </c>
      <c r="M78">
        <f>IF(AND(SUM(VLOOKUP($A78,test!$A$3:$F$32,2,FALSE),VLOOKUP(M$1,test!$A$3:$F$32,2,FALSE))&lt;test!$K$16,$A78&lt;&gt;M$1,Recharged_Feasible_mat!N47),(VLOOKUP(M$1,test!$A$3:$I$32,8,FALSE))-(VLOOKUP($A78,test!$A$3:$I$32,9,FALSE))+(test!$B$34-50),0)</f>
        <v>0</v>
      </c>
      <c r="N78">
        <f>IF(AND(SUM(VLOOKUP($A78,test!$A$3:$F$32,2,FALSE),VLOOKUP(N$1,test!$A$3:$F$32,2,FALSE))&lt;test!$K$16,$A78&lt;&gt;N$1,Recharged_Feasible_mat!O47),(VLOOKUP(N$1,test!$A$3:$I$32,8,FALSE))-(VLOOKUP($A78,test!$A$3:$I$32,9,FALSE))+(test!$B$34-50),0)</f>
        <v>0</v>
      </c>
      <c r="O78">
        <f>IF(AND(SUM(VLOOKUP($A78,test!$A$3:$F$32,2,FALSE),VLOOKUP(O$1,test!$A$3:$F$32,2,FALSE))&lt;test!$K$16,$A78&lt;&gt;O$1,Recharged_Feasible_mat!P47),(VLOOKUP(O$1,test!$A$3:$I$32,8,FALSE))-(VLOOKUP($A78,test!$A$3:$I$32,9,FALSE))+(test!$B$34-50),0)</f>
        <v>0</v>
      </c>
      <c r="P78">
        <f>IF(AND(SUM(VLOOKUP($A78,test!$A$3:$F$32,2,FALSE),VLOOKUP(P$1,test!$A$3:$F$32,2,FALSE))&lt;test!$K$16,$A78&lt;&gt;P$1,Recharged_Feasible_mat!Q47),(VLOOKUP(P$1,test!$A$3:$I$32,8,FALSE))-(VLOOKUP($A78,test!$A$3:$I$32,9,FALSE))+(test!$B$34-50),0)</f>
        <v>0</v>
      </c>
      <c r="Q78">
        <f>IF(AND(SUM(VLOOKUP($A78,test!$A$3:$F$32,2,FALSE),VLOOKUP(Q$1,test!$A$3:$F$32,2,FALSE))&lt;test!$K$16,$A78&lt;&gt;Q$1,Recharged_Feasible_mat!R47),(VLOOKUP(Q$1,test!$A$3:$I$32,8,FALSE))-(VLOOKUP($A78,test!$A$3:$I$32,9,FALSE))+(test!$B$34-50),0)</f>
        <v>0</v>
      </c>
      <c r="R78">
        <f>IF(AND(SUM(VLOOKUP($A78,test!$A$3:$F$32,2,FALSE),VLOOKUP(R$1,test!$A$3:$F$32,2,FALSE))&lt;test!$K$16,$A78&lt;&gt;R$1,Recharged_Feasible_mat!S47),(VLOOKUP(R$1,test!$A$3:$I$32,8,FALSE))-(VLOOKUP($A78,test!$A$3:$I$32,9,FALSE))+(test!$B$34-50),0)</f>
        <v>0</v>
      </c>
      <c r="S78">
        <f>IF(AND(SUM(VLOOKUP($A78,test!$A$3:$F$32,2,FALSE),VLOOKUP(S$1,test!$A$3:$F$32,2,FALSE))&lt;test!$K$16,$A78&lt;&gt;S$1,Recharged_Feasible_mat!T47),(VLOOKUP(S$1,test!$A$3:$I$32,8,FALSE))-(VLOOKUP($A78,test!$A$3:$I$32,9,FALSE))+(test!$B$34-50),0)</f>
        <v>0</v>
      </c>
      <c r="T78">
        <f>IF(AND(SUM(VLOOKUP($A78,test!$A$3:$F$32,2,FALSE),VLOOKUP(T$1,test!$A$3:$F$32,2,FALSE))&lt;test!$K$16,$A78&lt;&gt;T$1,Recharged_Feasible_mat!U47),(VLOOKUP(T$1,test!$A$3:$I$32,8,FALSE))-(VLOOKUP($A78,test!$A$3:$I$32,9,FALSE))+(test!$B$34-50),0)</f>
        <v>0</v>
      </c>
      <c r="U78">
        <f>IF(AND(SUM(VLOOKUP($A78,test!$A$3:$F$32,2,FALSE),VLOOKUP(U$1,test!$A$3:$F$32,2,FALSE))&lt;test!$K$16,$A78&lt;&gt;U$1,Recharged_Feasible_mat!V47),(VLOOKUP(U$1,test!$A$3:$I$32,8,FALSE))-(VLOOKUP($A78,test!$A$3:$I$32,9,FALSE))+(test!$B$34-50),0)</f>
        <v>0</v>
      </c>
      <c r="V78">
        <f>IF(AND(SUM(VLOOKUP($A78,test!$A$3:$F$32,2,FALSE),VLOOKUP(V$1,test!$A$3:$F$32,2,FALSE))&lt;test!$K$16,$A78&lt;&gt;V$1,Recharged_Feasible_mat!W47),(VLOOKUP(V$1,test!$A$3:$I$32,8,FALSE))-(VLOOKUP($A78,test!$A$3:$I$32,9,FALSE))+(test!$B$34-50),0)</f>
        <v>0</v>
      </c>
      <c r="W78">
        <f>IF(AND(SUM(VLOOKUP($A78,test!$A$3:$F$32,2,FALSE),VLOOKUP(W$1,test!$A$3:$F$32,2,FALSE))&lt;test!$K$16,$A78&lt;&gt;W$1,Recharged_Feasible_mat!X47),(VLOOKUP(W$1,test!$A$3:$I$32,8,FALSE))-(VLOOKUP($A78,test!$A$3:$I$32,9,FALSE))+(test!$B$34-50),0)</f>
        <v>310</v>
      </c>
      <c r="X78">
        <f>IF(AND(SUM(VLOOKUP($A78,test!$A$3:$F$32,2,FALSE),VLOOKUP(X$1,test!$A$3:$F$32,2,FALSE))&lt;test!$K$16,$A78&lt;&gt;X$1,Recharged_Feasible_mat!Y47),(VLOOKUP(X$1,test!$A$3:$I$32,8,FALSE))-(VLOOKUP($A78,test!$A$3:$I$32,9,FALSE))+(test!$B$34-50),0)</f>
        <v>370</v>
      </c>
      <c r="Y78">
        <f>IF(AND(SUM(VLOOKUP($A78,test!$A$3:$F$32,2,FALSE),VLOOKUP(Y$1,test!$A$3:$F$32,2,FALSE))&lt;test!$K$16,$A78&lt;&gt;Y$1,Recharged_Feasible_mat!Z47),(VLOOKUP(Y$1,test!$A$3:$I$32,8,FALSE))-(VLOOKUP($A78,test!$A$3:$I$32,9,FALSE))+(test!$B$34-50),0)</f>
        <v>0</v>
      </c>
      <c r="Z78">
        <f>IF(AND(SUM(VLOOKUP($A78,test!$A$3:$F$32,2,FALSE),VLOOKUP(Z$1,test!$A$3:$F$32,2,FALSE))&lt;test!$K$16,$A78&lt;&gt;Z$1,Recharged_Feasible_mat!AA47),(VLOOKUP(Z$1,test!$A$3:$I$32,8,FALSE))-(VLOOKUP($A78,test!$A$3:$I$32,9,FALSE))+(test!$B$34-50),0)</f>
        <v>0</v>
      </c>
      <c r="AA78">
        <f>IF(AND(SUM(VLOOKUP($A78,test!$A$3:$F$32,2,FALSE),VLOOKUP(AA$1,test!$A$3:$F$32,2,FALSE))&lt;test!$K$16,$A78&lt;&gt;AA$1,Recharged_Feasible_mat!AB47),(VLOOKUP(AA$1,test!$A$3:$I$32,8,FALSE))-(VLOOKUP($A78,test!$A$3:$I$32,9,FALSE))+(test!$B$34-50),0)</f>
        <v>0</v>
      </c>
      <c r="AB78">
        <f>IF(AND(SUM(VLOOKUP($A78,test!$A$3:$F$32,2,FALSE),VLOOKUP(AB$1,test!$A$3:$F$32,2,FALSE))&lt;test!$K$16,$A78&lt;&gt;AB$1,Recharged_Feasible_mat!AC47),(VLOOKUP(AB$1,test!$A$3:$I$32,8,FALSE))-(VLOOKUP($A78,test!$A$3:$I$32,9,FALSE))+(test!$B$34-50),0)</f>
        <v>0</v>
      </c>
      <c r="AC78">
        <f>IF(AND(SUM(VLOOKUP($A78,test!$A$3:$F$32,2,FALSE),VLOOKUP(AC$1,test!$A$3:$F$32,2,FALSE))&lt;test!$K$16,$A78&lt;&gt;AC$1,Recharged_Feasible_mat!AD47),(VLOOKUP(AC$1,test!$A$3:$I$32,8,FALSE))-(VLOOKUP($A78,test!$A$3:$I$32,9,FALSE))+(test!$B$34-50),0)</f>
        <v>0</v>
      </c>
      <c r="AD78">
        <f>IF(AND(SUM(VLOOKUP($A78,test!$A$3:$F$32,2,FALSE),VLOOKUP(AD$1,test!$A$3:$F$32,2,FALSE))&lt;test!$K$16,$A78&lt;&gt;AD$1,Recharged_Feasible_mat!AE47),(VLOOKUP(AD$1,test!$A$3:$I$32,8,FALSE))-(VLOOKUP($A78,test!$A$3:$I$32,9,FALSE))+(test!$B$34-50),0)</f>
        <v>0</v>
      </c>
      <c r="AE78">
        <f>IF(AND(SUM(VLOOKUP($A78,test!$A$3:$F$32,2,FALSE),VLOOKUP(AE$1,test!$A$3:$F$32,2,FALSE))&lt;test!$K$16,$A78&lt;&gt;AE$1,Recharged_Feasible_mat!AF47),(VLOOKUP(AE$1,test!$A$3:$I$32,8,FALSE))-(VLOOKUP($A78,test!$A$3:$I$32,9,FALSE))+(test!$B$34-50),0)</f>
        <v>0</v>
      </c>
      <c r="AF78">
        <f>IF(AND(SUM(VLOOKUP($A78,test!$A$3:$F$32,2,FALSE),VLOOKUP(AF$1,test!$A$3:$F$32,2,FALSE))&lt;test!$K$16,$A78&lt;&gt;AF$1,Recharged_Feasible_mat!AG47),(VLOOKUP(AF$1,test!$A$3:$I$32,8,FALSE))-(VLOOKUP($A78,test!$A$3:$I$32,9,FALSE))+(test!$B$34-50),0)</f>
        <v>0</v>
      </c>
    </row>
    <row r="79" spans="1:32" x14ac:dyDescent="0.25">
      <c r="A79" t="s">
        <v>26</v>
      </c>
      <c r="B79">
        <v>0</v>
      </c>
      <c r="C79">
        <f>IF(AND(SUM(VLOOKUP($A79,test!$A$3:$F$32,2,FALSE),VLOOKUP(C$1,test!$A$3:$F$32,2,FALSE))&lt;test!$K$16,$A79&lt;&gt;C$1,Recharged_Feasible_mat!D48),(VLOOKUP(C$1,test!$A$3:$I$32,8,FALSE))-(VLOOKUP($A79,test!$A$3:$I$32,9,FALSE))+(test!$B$34-50),0)</f>
        <v>0</v>
      </c>
      <c r="D79">
        <f>IF(AND(SUM(VLOOKUP($A79,test!$A$3:$F$32,2,FALSE),VLOOKUP(D$1,test!$A$3:$F$32,2,FALSE))&lt;test!$K$16,$A79&lt;&gt;D$1,Recharged_Feasible_mat!E48),(VLOOKUP(D$1,test!$A$3:$I$32,8,FALSE))-(VLOOKUP($A79,test!$A$3:$I$32,9,FALSE))+(test!$B$34-50),0)</f>
        <v>65</v>
      </c>
      <c r="E79">
        <f>IF(AND(SUM(VLOOKUP($A79,test!$A$3:$F$32,2,FALSE),VLOOKUP(E$1,test!$A$3:$F$32,2,FALSE))&lt;test!$K$16,$A79&lt;&gt;E$1,Recharged_Feasible_mat!F48),(VLOOKUP(E$1,test!$A$3:$I$32,8,FALSE))-(VLOOKUP($A79,test!$A$3:$I$32,9,FALSE))+(test!$B$34-50),0)</f>
        <v>155</v>
      </c>
      <c r="F79">
        <f>IF(AND(SUM(VLOOKUP($A79,test!$A$3:$F$32,2,FALSE),VLOOKUP(F$1,test!$A$3:$F$32,2,FALSE))&lt;test!$K$16,$A79&lt;&gt;F$1,Recharged_Feasible_mat!G48),(VLOOKUP(F$1,test!$A$3:$I$32,8,FALSE))-(VLOOKUP($A79,test!$A$3:$I$32,9,FALSE))+(test!$B$34-50),0)</f>
        <v>245</v>
      </c>
      <c r="G79">
        <f>IF(AND(SUM(VLOOKUP($A79,test!$A$3:$F$32,2,FALSE),VLOOKUP(G$1,test!$A$3:$F$32,2,FALSE))&lt;test!$K$16,$A79&lt;&gt;G$1,Recharged_Feasible_mat!H48),(VLOOKUP(G$1,test!$A$3:$I$32,8,FALSE))-(VLOOKUP($A79,test!$A$3:$I$32,9,FALSE))+(test!$B$34-50),0)</f>
        <v>305</v>
      </c>
      <c r="H79">
        <f>IF(AND(SUM(VLOOKUP($A79,test!$A$3:$F$32,2,FALSE),VLOOKUP(H$1,test!$A$3:$F$32,2,FALSE))&lt;test!$K$16,$A79&lt;&gt;H$1,Recharged_Feasible_mat!I48),(VLOOKUP(H$1,test!$A$3:$I$32,8,FALSE))-(VLOOKUP($A79,test!$A$3:$I$32,9,FALSE))+(test!$B$34-50),0)</f>
        <v>365</v>
      </c>
      <c r="I79">
        <f>IF(AND(SUM(VLOOKUP($A79,test!$A$3:$F$32,2,FALSE),VLOOKUP(I$1,test!$A$3:$F$32,2,FALSE))&lt;test!$K$16,$A79&lt;&gt;I$1,Recharged_Feasible_mat!J48),(VLOOKUP(I$1,test!$A$3:$I$32,8,FALSE))-(VLOOKUP($A79,test!$A$3:$I$32,9,FALSE))+(test!$B$34-50),0)</f>
        <v>425</v>
      </c>
      <c r="J79">
        <f>IF(AND(SUM(VLOOKUP($A79,test!$A$3:$F$32,2,FALSE),VLOOKUP(J$1,test!$A$3:$F$32,2,FALSE))&lt;test!$K$16,$A79&lt;&gt;J$1,Recharged_Feasible_mat!K48),(VLOOKUP(J$1,test!$A$3:$I$32,8,FALSE))-(VLOOKUP($A79,test!$A$3:$I$32,9,FALSE))+(test!$B$34-50),0)</f>
        <v>515</v>
      </c>
      <c r="K79">
        <f>IF(AND(SUM(VLOOKUP($A79,test!$A$3:$F$32,2,FALSE),VLOOKUP(K$1,test!$A$3:$F$32,2,FALSE))&lt;test!$K$16,$A79&lt;&gt;K$1,Recharged_Feasible_mat!L48),(VLOOKUP(K$1,test!$A$3:$I$32,8,FALSE))-(VLOOKUP($A79,test!$A$3:$I$32,9,FALSE))+(test!$B$34-50),0)</f>
        <v>0</v>
      </c>
      <c r="L79">
        <f>IF(AND(SUM(VLOOKUP($A79,test!$A$3:$F$32,2,FALSE),VLOOKUP(L$1,test!$A$3:$F$32,2,FALSE))&lt;test!$K$16,$A79&lt;&gt;L$1,Recharged_Feasible_mat!M48),(VLOOKUP(L$1,test!$A$3:$I$32,8,FALSE))-(VLOOKUP($A79,test!$A$3:$I$32,9,FALSE))+(test!$B$34-50),0)</f>
        <v>0</v>
      </c>
      <c r="M79">
        <f>IF(AND(SUM(VLOOKUP($A79,test!$A$3:$F$32,2,FALSE),VLOOKUP(M$1,test!$A$3:$F$32,2,FALSE))&lt;test!$K$16,$A79&lt;&gt;M$1,Recharged_Feasible_mat!N48),(VLOOKUP(M$1,test!$A$3:$I$32,8,FALSE))-(VLOOKUP($A79,test!$A$3:$I$32,9,FALSE))+(test!$B$34-50),0)</f>
        <v>120</v>
      </c>
      <c r="N79">
        <f>IF(AND(SUM(VLOOKUP($A79,test!$A$3:$F$32,2,FALSE),VLOOKUP(N$1,test!$A$3:$F$32,2,FALSE))&lt;test!$K$16,$A79&lt;&gt;N$1,Recharged_Feasible_mat!O48),(VLOOKUP(N$1,test!$A$3:$I$32,8,FALSE))-(VLOOKUP($A79,test!$A$3:$I$32,9,FALSE))+(test!$B$34-50),0)</f>
        <v>480</v>
      </c>
      <c r="O79">
        <f>IF(AND(SUM(VLOOKUP($A79,test!$A$3:$F$32,2,FALSE),VLOOKUP(O$1,test!$A$3:$F$32,2,FALSE))&lt;test!$K$16,$A79&lt;&gt;O$1,Recharged_Feasible_mat!P48),(VLOOKUP(O$1,test!$A$3:$I$32,8,FALSE))-(VLOOKUP($A79,test!$A$3:$I$32,9,FALSE))+(test!$B$34-50),0)</f>
        <v>540</v>
      </c>
      <c r="P79">
        <f>IF(AND(SUM(VLOOKUP($A79,test!$A$3:$F$32,2,FALSE),VLOOKUP(P$1,test!$A$3:$F$32,2,FALSE))&lt;test!$K$16,$A79&lt;&gt;P$1,Recharged_Feasible_mat!Q48),(VLOOKUP(P$1,test!$A$3:$I$32,8,FALSE))-(VLOOKUP($A79,test!$A$3:$I$32,9,FALSE))+(test!$B$34-50),0)</f>
        <v>0</v>
      </c>
      <c r="Q79">
        <f>IF(AND(SUM(VLOOKUP($A79,test!$A$3:$F$32,2,FALSE),VLOOKUP(Q$1,test!$A$3:$F$32,2,FALSE))&lt;test!$K$16,$A79&lt;&gt;Q$1,Recharged_Feasible_mat!R48),(VLOOKUP(Q$1,test!$A$3:$I$32,8,FALSE))-(VLOOKUP($A79,test!$A$3:$I$32,9,FALSE))+(test!$B$34-50),0)</f>
        <v>0</v>
      </c>
      <c r="R79">
        <f>IF(AND(SUM(VLOOKUP($A79,test!$A$3:$F$32,2,FALSE),VLOOKUP(R$1,test!$A$3:$F$32,2,FALSE))&lt;test!$K$16,$A79&lt;&gt;R$1,Recharged_Feasible_mat!S48),(VLOOKUP(R$1,test!$A$3:$I$32,8,FALSE))-(VLOOKUP($A79,test!$A$3:$I$32,9,FALSE))+(test!$B$34-50),0)</f>
        <v>0</v>
      </c>
      <c r="S79">
        <f>IF(AND(SUM(VLOOKUP($A79,test!$A$3:$F$32,2,FALSE),VLOOKUP(S$1,test!$A$3:$F$32,2,FALSE))&lt;test!$K$16,$A79&lt;&gt;S$1,Recharged_Feasible_mat!T48),(VLOOKUP(S$1,test!$A$3:$I$32,8,FALSE))-(VLOOKUP($A79,test!$A$3:$I$32,9,FALSE))+(test!$B$34-50),0)</f>
        <v>0</v>
      </c>
      <c r="T79">
        <f>IF(AND(SUM(VLOOKUP($A79,test!$A$3:$F$32,2,FALSE),VLOOKUP(T$1,test!$A$3:$F$32,2,FALSE))&lt;test!$K$16,$A79&lt;&gt;T$1,Recharged_Feasible_mat!U48),(VLOOKUP(T$1,test!$A$3:$I$32,8,FALSE))-(VLOOKUP($A79,test!$A$3:$I$32,9,FALSE))+(test!$B$34-50),0)</f>
        <v>135</v>
      </c>
      <c r="U79">
        <f>IF(AND(SUM(VLOOKUP($A79,test!$A$3:$F$32,2,FALSE),VLOOKUP(U$1,test!$A$3:$F$32,2,FALSE))&lt;test!$K$16,$A79&lt;&gt;U$1,Recharged_Feasible_mat!V48),(VLOOKUP(U$1,test!$A$3:$I$32,8,FALSE))-(VLOOKUP($A79,test!$A$3:$I$32,9,FALSE))+(test!$B$34-50),0)</f>
        <v>225</v>
      </c>
      <c r="V79">
        <f>IF(AND(SUM(VLOOKUP($A79,test!$A$3:$F$32,2,FALSE),VLOOKUP(V$1,test!$A$3:$F$32,2,FALSE))&lt;test!$K$16,$A79&lt;&gt;V$1,Recharged_Feasible_mat!W48),(VLOOKUP(V$1,test!$A$3:$I$32,8,FALSE))-(VLOOKUP($A79,test!$A$3:$I$32,9,FALSE))+(test!$B$34-50),0)</f>
        <v>315</v>
      </c>
      <c r="W79">
        <f>IF(AND(SUM(VLOOKUP($A79,test!$A$3:$F$32,2,FALSE),VLOOKUP(W$1,test!$A$3:$F$32,2,FALSE))&lt;test!$K$16,$A79&lt;&gt;W$1,Recharged_Feasible_mat!X48),(VLOOKUP(W$1,test!$A$3:$I$32,8,FALSE))-(VLOOKUP($A79,test!$A$3:$I$32,9,FALSE))+(test!$B$34-50),0)</f>
        <v>405</v>
      </c>
      <c r="X79">
        <f>IF(AND(SUM(VLOOKUP($A79,test!$A$3:$F$32,2,FALSE),VLOOKUP(X$1,test!$A$3:$F$32,2,FALSE))&lt;test!$K$16,$A79&lt;&gt;X$1,Recharged_Feasible_mat!Y48),(VLOOKUP(X$1,test!$A$3:$I$32,8,FALSE))-(VLOOKUP($A79,test!$A$3:$I$32,9,FALSE))+(test!$B$34-50),0)</f>
        <v>465</v>
      </c>
      <c r="Y79">
        <f>IF(AND(SUM(VLOOKUP($A79,test!$A$3:$F$32,2,FALSE),VLOOKUP(Y$1,test!$A$3:$F$32,2,FALSE))&lt;test!$K$16,$A79&lt;&gt;Y$1,Recharged_Feasible_mat!Z48),(VLOOKUP(Y$1,test!$A$3:$I$32,8,FALSE))-(VLOOKUP($A79,test!$A$3:$I$32,9,FALSE))+(test!$B$34-50),0)</f>
        <v>0</v>
      </c>
      <c r="Z79">
        <f>IF(AND(SUM(VLOOKUP($A79,test!$A$3:$F$32,2,FALSE),VLOOKUP(Z$1,test!$A$3:$F$32,2,FALSE))&lt;test!$K$16,$A79&lt;&gt;Z$1,Recharged_Feasible_mat!AA48),(VLOOKUP(Z$1,test!$A$3:$I$32,8,FALSE))-(VLOOKUP($A79,test!$A$3:$I$32,9,FALSE))+(test!$B$34-50),0)</f>
        <v>65</v>
      </c>
      <c r="AA79">
        <f>IF(AND(SUM(VLOOKUP($A79,test!$A$3:$F$32,2,FALSE),VLOOKUP(AA$1,test!$A$3:$F$32,2,FALSE))&lt;test!$K$16,$A79&lt;&gt;AA$1,Recharged_Feasible_mat!AB48),(VLOOKUP(AA$1,test!$A$3:$I$32,8,FALSE))-(VLOOKUP($A79,test!$A$3:$I$32,9,FALSE))+(test!$B$34-50),0)</f>
        <v>185</v>
      </c>
      <c r="AB79">
        <f>IF(AND(SUM(VLOOKUP($A79,test!$A$3:$F$32,2,FALSE),VLOOKUP(AB$1,test!$A$3:$F$32,2,FALSE))&lt;test!$K$16,$A79&lt;&gt;AB$1,Recharged_Feasible_mat!AC48),(VLOOKUP(AB$1,test!$A$3:$I$32,8,FALSE))-(VLOOKUP($A79,test!$A$3:$I$32,9,FALSE))+(test!$B$34-50),0)</f>
        <v>245</v>
      </c>
      <c r="AC79">
        <f>IF(AND(SUM(VLOOKUP($A79,test!$A$3:$F$32,2,FALSE),VLOOKUP(AC$1,test!$A$3:$F$32,2,FALSE))&lt;test!$K$16,$A79&lt;&gt;AC$1,Recharged_Feasible_mat!AD48),(VLOOKUP(AC$1,test!$A$3:$I$32,8,FALSE))-(VLOOKUP($A79,test!$A$3:$I$32,9,FALSE))+(test!$B$34-50),0)</f>
        <v>365</v>
      </c>
      <c r="AD79">
        <f>IF(AND(SUM(VLOOKUP($A79,test!$A$3:$F$32,2,FALSE),VLOOKUP(AD$1,test!$A$3:$F$32,2,FALSE))&lt;test!$K$16,$A79&lt;&gt;AD$1,Recharged_Feasible_mat!AE48),(VLOOKUP(AD$1,test!$A$3:$I$32,8,FALSE))-(VLOOKUP($A79,test!$A$3:$I$32,9,FALSE))+(test!$B$34-50),0)</f>
        <v>0</v>
      </c>
      <c r="AE79">
        <f>IF(AND(SUM(VLOOKUP($A79,test!$A$3:$F$32,2,FALSE),VLOOKUP(AE$1,test!$A$3:$F$32,2,FALSE))&lt;test!$K$16,$A79&lt;&gt;AE$1,Recharged_Feasible_mat!AF48),(VLOOKUP(AE$1,test!$A$3:$I$32,8,FALSE))-(VLOOKUP($A79,test!$A$3:$I$32,9,FALSE))+(test!$B$34-50),0)</f>
        <v>185</v>
      </c>
      <c r="AF79">
        <f>IF(AND(SUM(VLOOKUP($A79,test!$A$3:$F$32,2,FALSE),VLOOKUP(AF$1,test!$A$3:$F$32,2,FALSE))&lt;test!$K$16,$A79&lt;&gt;AF$1,Recharged_Feasible_mat!AG48),(VLOOKUP(AF$1,test!$A$3:$I$32,8,FALSE))-(VLOOKUP($A79,test!$A$3:$I$32,9,FALSE))+(test!$B$34-50),0)</f>
        <v>0</v>
      </c>
    </row>
    <row r="80" spans="1:32" x14ac:dyDescent="0.25">
      <c r="A80" t="s">
        <v>27</v>
      </c>
      <c r="B80">
        <v>0</v>
      </c>
      <c r="C80">
        <f>IF(AND(SUM(VLOOKUP($A80,test!$A$3:$F$32,2,FALSE),VLOOKUP(C$1,test!$A$3:$F$32,2,FALSE))&lt;test!$K$16,$A80&lt;&gt;C$1,Recharged_Feasible_mat!D49),(VLOOKUP(C$1,test!$A$3:$I$32,8,FALSE))-(VLOOKUP($A80,test!$A$3:$I$32,9,FALSE))+(test!$B$34-50),0)</f>
        <v>0</v>
      </c>
      <c r="D80">
        <f>IF(AND(SUM(VLOOKUP($A80,test!$A$3:$F$32,2,FALSE),VLOOKUP(D$1,test!$A$3:$F$32,2,FALSE))&lt;test!$K$16,$A80&lt;&gt;D$1,Recharged_Feasible_mat!E49),(VLOOKUP(D$1,test!$A$3:$I$32,8,FALSE))-(VLOOKUP($A80,test!$A$3:$I$32,9,FALSE))+(test!$B$34-50),0)</f>
        <v>0</v>
      </c>
      <c r="E80">
        <f>IF(AND(SUM(VLOOKUP($A80,test!$A$3:$F$32,2,FALSE),VLOOKUP(E$1,test!$A$3:$F$32,2,FALSE))&lt;test!$K$16,$A80&lt;&gt;E$1,Recharged_Feasible_mat!F49),(VLOOKUP(E$1,test!$A$3:$I$32,8,FALSE))-(VLOOKUP($A80,test!$A$3:$I$32,9,FALSE))+(test!$B$34-50),0)</f>
        <v>65</v>
      </c>
      <c r="F80">
        <f>IF(AND(SUM(VLOOKUP($A80,test!$A$3:$F$32,2,FALSE),VLOOKUP(F$1,test!$A$3:$F$32,2,FALSE))&lt;test!$K$16,$A80&lt;&gt;F$1,Recharged_Feasible_mat!G49),(VLOOKUP(F$1,test!$A$3:$I$32,8,FALSE))-(VLOOKUP($A80,test!$A$3:$I$32,9,FALSE))+(test!$B$34-50),0)</f>
        <v>155</v>
      </c>
      <c r="G80">
        <f>IF(AND(SUM(VLOOKUP($A80,test!$A$3:$F$32,2,FALSE),VLOOKUP(G$1,test!$A$3:$F$32,2,FALSE))&lt;test!$K$16,$A80&lt;&gt;G$1,Recharged_Feasible_mat!H49),(VLOOKUP(G$1,test!$A$3:$I$32,8,FALSE))-(VLOOKUP($A80,test!$A$3:$I$32,9,FALSE))+(test!$B$34-50),0)</f>
        <v>215</v>
      </c>
      <c r="H80">
        <f>IF(AND(SUM(VLOOKUP($A80,test!$A$3:$F$32,2,FALSE),VLOOKUP(H$1,test!$A$3:$F$32,2,FALSE))&lt;test!$K$16,$A80&lt;&gt;H$1,Recharged_Feasible_mat!I49),(VLOOKUP(H$1,test!$A$3:$I$32,8,FALSE))-(VLOOKUP($A80,test!$A$3:$I$32,9,FALSE))+(test!$B$34-50),0)</f>
        <v>275</v>
      </c>
      <c r="I80">
        <f>IF(AND(SUM(VLOOKUP($A80,test!$A$3:$F$32,2,FALSE),VLOOKUP(I$1,test!$A$3:$F$32,2,FALSE))&lt;test!$K$16,$A80&lt;&gt;I$1,Recharged_Feasible_mat!J49),(VLOOKUP(I$1,test!$A$3:$I$32,8,FALSE))-(VLOOKUP($A80,test!$A$3:$I$32,9,FALSE))+(test!$B$34-50),0)</f>
        <v>335</v>
      </c>
      <c r="J80">
        <f>IF(AND(SUM(VLOOKUP($A80,test!$A$3:$F$32,2,FALSE),VLOOKUP(J$1,test!$A$3:$F$32,2,FALSE))&lt;test!$K$16,$A80&lt;&gt;J$1,Recharged_Feasible_mat!K49),(VLOOKUP(J$1,test!$A$3:$I$32,8,FALSE))-(VLOOKUP($A80,test!$A$3:$I$32,9,FALSE))+(test!$B$34-50),0)</f>
        <v>425</v>
      </c>
      <c r="K80">
        <f>IF(AND(SUM(VLOOKUP($A80,test!$A$3:$F$32,2,FALSE),VLOOKUP(K$1,test!$A$3:$F$32,2,FALSE))&lt;test!$K$16,$A80&lt;&gt;K$1,Recharged_Feasible_mat!L49),(VLOOKUP(K$1,test!$A$3:$I$32,8,FALSE))-(VLOOKUP($A80,test!$A$3:$I$32,9,FALSE))+(test!$B$34-50),0)</f>
        <v>0</v>
      </c>
      <c r="L80">
        <f>IF(AND(SUM(VLOOKUP($A80,test!$A$3:$F$32,2,FALSE),VLOOKUP(L$1,test!$A$3:$F$32,2,FALSE))&lt;test!$K$16,$A80&lt;&gt;L$1,Recharged_Feasible_mat!M49),(VLOOKUP(L$1,test!$A$3:$I$32,8,FALSE))-(VLOOKUP($A80,test!$A$3:$I$32,9,FALSE))+(test!$B$34-50),0)</f>
        <v>0</v>
      </c>
      <c r="M80">
        <f>IF(AND(SUM(VLOOKUP($A80,test!$A$3:$F$32,2,FALSE),VLOOKUP(M$1,test!$A$3:$F$32,2,FALSE))&lt;test!$K$16,$A80&lt;&gt;M$1,Recharged_Feasible_mat!N49),(VLOOKUP(M$1,test!$A$3:$I$32,8,FALSE))-(VLOOKUP($A80,test!$A$3:$I$32,9,FALSE))+(test!$B$34-50),0)</f>
        <v>0</v>
      </c>
      <c r="N80">
        <f>IF(AND(SUM(VLOOKUP($A80,test!$A$3:$F$32,2,FALSE),VLOOKUP(N$1,test!$A$3:$F$32,2,FALSE))&lt;test!$K$16,$A80&lt;&gt;N$1,Recharged_Feasible_mat!O49),(VLOOKUP(N$1,test!$A$3:$I$32,8,FALSE))-(VLOOKUP($A80,test!$A$3:$I$32,9,FALSE))+(test!$B$34-50),0)</f>
        <v>390</v>
      </c>
      <c r="O80">
        <f>IF(AND(SUM(VLOOKUP($A80,test!$A$3:$F$32,2,FALSE),VLOOKUP(O$1,test!$A$3:$F$32,2,FALSE))&lt;test!$K$16,$A80&lt;&gt;O$1,Recharged_Feasible_mat!P49),(VLOOKUP(O$1,test!$A$3:$I$32,8,FALSE))-(VLOOKUP($A80,test!$A$3:$I$32,9,FALSE))+(test!$B$34-50),0)</f>
        <v>450</v>
      </c>
      <c r="P80">
        <f>IF(AND(SUM(VLOOKUP($A80,test!$A$3:$F$32,2,FALSE),VLOOKUP(P$1,test!$A$3:$F$32,2,FALSE))&lt;test!$K$16,$A80&lt;&gt;P$1,Recharged_Feasible_mat!Q49),(VLOOKUP(P$1,test!$A$3:$I$32,8,FALSE))-(VLOOKUP($A80,test!$A$3:$I$32,9,FALSE))+(test!$B$34-50),0)</f>
        <v>0</v>
      </c>
      <c r="Q80">
        <f>IF(AND(SUM(VLOOKUP($A80,test!$A$3:$F$32,2,FALSE),VLOOKUP(Q$1,test!$A$3:$F$32,2,FALSE))&lt;test!$K$16,$A80&lt;&gt;Q$1,Recharged_Feasible_mat!R49),(VLOOKUP(Q$1,test!$A$3:$I$32,8,FALSE))-(VLOOKUP($A80,test!$A$3:$I$32,9,FALSE))+(test!$B$34-50),0)</f>
        <v>0</v>
      </c>
      <c r="R80">
        <f>IF(AND(SUM(VLOOKUP($A80,test!$A$3:$F$32,2,FALSE),VLOOKUP(R$1,test!$A$3:$F$32,2,FALSE))&lt;test!$K$16,$A80&lt;&gt;R$1,Recharged_Feasible_mat!S49),(VLOOKUP(R$1,test!$A$3:$I$32,8,FALSE))-(VLOOKUP($A80,test!$A$3:$I$32,9,FALSE))+(test!$B$34-50),0)</f>
        <v>0</v>
      </c>
      <c r="S80">
        <f>IF(AND(SUM(VLOOKUP($A80,test!$A$3:$F$32,2,FALSE),VLOOKUP(S$1,test!$A$3:$F$32,2,FALSE))&lt;test!$K$16,$A80&lt;&gt;S$1,Recharged_Feasible_mat!T49),(VLOOKUP(S$1,test!$A$3:$I$32,8,FALSE))-(VLOOKUP($A80,test!$A$3:$I$32,9,FALSE))+(test!$B$34-50),0)</f>
        <v>0</v>
      </c>
      <c r="T80">
        <f>IF(AND(SUM(VLOOKUP($A80,test!$A$3:$F$32,2,FALSE),VLOOKUP(T$1,test!$A$3:$F$32,2,FALSE))&lt;test!$K$16,$A80&lt;&gt;T$1,Recharged_Feasible_mat!U49),(VLOOKUP(T$1,test!$A$3:$I$32,8,FALSE))-(VLOOKUP($A80,test!$A$3:$I$32,9,FALSE))+(test!$B$34-50),0)</f>
        <v>0</v>
      </c>
      <c r="U80">
        <f>IF(AND(SUM(VLOOKUP($A80,test!$A$3:$F$32,2,FALSE),VLOOKUP(U$1,test!$A$3:$F$32,2,FALSE))&lt;test!$K$16,$A80&lt;&gt;U$1,Recharged_Feasible_mat!V49),(VLOOKUP(U$1,test!$A$3:$I$32,8,FALSE))-(VLOOKUP($A80,test!$A$3:$I$32,9,FALSE))+(test!$B$34-50),0)</f>
        <v>135</v>
      </c>
      <c r="V80">
        <f>IF(AND(SUM(VLOOKUP($A80,test!$A$3:$F$32,2,FALSE),VLOOKUP(V$1,test!$A$3:$F$32,2,FALSE))&lt;test!$K$16,$A80&lt;&gt;V$1,Recharged_Feasible_mat!W49),(VLOOKUP(V$1,test!$A$3:$I$32,8,FALSE))-(VLOOKUP($A80,test!$A$3:$I$32,9,FALSE))+(test!$B$34-50),0)</f>
        <v>225</v>
      </c>
      <c r="W80">
        <f>IF(AND(SUM(VLOOKUP($A80,test!$A$3:$F$32,2,FALSE),VLOOKUP(W$1,test!$A$3:$F$32,2,FALSE))&lt;test!$K$16,$A80&lt;&gt;W$1,Recharged_Feasible_mat!X49),(VLOOKUP(W$1,test!$A$3:$I$32,8,FALSE))-(VLOOKUP($A80,test!$A$3:$I$32,9,FALSE))+(test!$B$34-50),0)</f>
        <v>315</v>
      </c>
      <c r="X80">
        <f>IF(AND(SUM(VLOOKUP($A80,test!$A$3:$F$32,2,FALSE),VLOOKUP(X$1,test!$A$3:$F$32,2,FALSE))&lt;test!$K$16,$A80&lt;&gt;X$1,Recharged_Feasible_mat!Y49),(VLOOKUP(X$1,test!$A$3:$I$32,8,FALSE))-(VLOOKUP($A80,test!$A$3:$I$32,9,FALSE))+(test!$B$34-50),0)</f>
        <v>375</v>
      </c>
      <c r="Y80">
        <f>IF(AND(SUM(VLOOKUP($A80,test!$A$3:$F$32,2,FALSE),VLOOKUP(Y$1,test!$A$3:$F$32,2,FALSE))&lt;test!$K$16,$A80&lt;&gt;Y$1,Recharged_Feasible_mat!Z49),(VLOOKUP(Y$1,test!$A$3:$I$32,8,FALSE))-(VLOOKUP($A80,test!$A$3:$I$32,9,FALSE))+(test!$B$34-50),0)</f>
        <v>0</v>
      </c>
      <c r="Z80">
        <f>IF(AND(SUM(VLOOKUP($A80,test!$A$3:$F$32,2,FALSE),VLOOKUP(Z$1,test!$A$3:$F$32,2,FALSE))&lt;test!$K$16,$A80&lt;&gt;Z$1,Recharged_Feasible_mat!AA49),(VLOOKUP(Z$1,test!$A$3:$I$32,8,FALSE))-(VLOOKUP($A80,test!$A$3:$I$32,9,FALSE))+(test!$B$34-50),0)</f>
        <v>0</v>
      </c>
      <c r="AA80">
        <f>IF(AND(SUM(VLOOKUP($A80,test!$A$3:$F$32,2,FALSE),VLOOKUP(AA$1,test!$A$3:$F$32,2,FALSE))&lt;test!$K$16,$A80&lt;&gt;AA$1,Recharged_Feasible_mat!AB49),(VLOOKUP(AA$1,test!$A$3:$I$32,8,FALSE))-(VLOOKUP($A80,test!$A$3:$I$32,9,FALSE))+(test!$B$34-50),0)</f>
        <v>95</v>
      </c>
      <c r="AB80">
        <f>IF(AND(SUM(VLOOKUP($A80,test!$A$3:$F$32,2,FALSE),VLOOKUP(AB$1,test!$A$3:$F$32,2,FALSE))&lt;test!$K$16,$A80&lt;&gt;AB$1,Recharged_Feasible_mat!AC49),(VLOOKUP(AB$1,test!$A$3:$I$32,8,FALSE))-(VLOOKUP($A80,test!$A$3:$I$32,9,FALSE))+(test!$B$34-50),0)</f>
        <v>155</v>
      </c>
      <c r="AC80">
        <f>IF(AND(SUM(VLOOKUP($A80,test!$A$3:$F$32,2,FALSE),VLOOKUP(AC$1,test!$A$3:$F$32,2,FALSE))&lt;test!$K$16,$A80&lt;&gt;AC$1,Recharged_Feasible_mat!AD49),(VLOOKUP(AC$1,test!$A$3:$I$32,8,FALSE))-(VLOOKUP($A80,test!$A$3:$I$32,9,FALSE))+(test!$B$34-50),0)</f>
        <v>275</v>
      </c>
      <c r="AD80">
        <f>IF(AND(SUM(VLOOKUP($A80,test!$A$3:$F$32,2,FALSE),VLOOKUP(AD$1,test!$A$3:$F$32,2,FALSE))&lt;test!$K$16,$A80&lt;&gt;AD$1,Recharged_Feasible_mat!AE49),(VLOOKUP(AD$1,test!$A$3:$I$32,8,FALSE))-(VLOOKUP($A80,test!$A$3:$I$32,9,FALSE))+(test!$B$34-50),0)</f>
        <v>0</v>
      </c>
      <c r="AE80">
        <f>IF(AND(SUM(VLOOKUP($A80,test!$A$3:$F$32,2,FALSE),VLOOKUP(AE$1,test!$A$3:$F$32,2,FALSE))&lt;test!$K$16,$A80&lt;&gt;AE$1,Recharged_Feasible_mat!AF49),(VLOOKUP(AE$1,test!$A$3:$I$32,8,FALSE))-(VLOOKUP($A80,test!$A$3:$I$32,9,FALSE))+(test!$B$34-50),0)</f>
        <v>95</v>
      </c>
      <c r="AF80">
        <f>IF(AND(SUM(VLOOKUP($A80,test!$A$3:$F$32,2,FALSE),VLOOKUP(AF$1,test!$A$3:$F$32,2,FALSE))&lt;test!$K$16,$A80&lt;&gt;AF$1,Recharged_Feasible_mat!AG49),(VLOOKUP(AF$1,test!$A$3:$I$32,8,FALSE))-(VLOOKUP($A80,test!$A$3:$I$32,9,FALSE))+(test!$B$34-50),0)</f>
        <v>0</v>
      </c>
    </row>
    <row r="81" spans="1:32" x14ac:dyDescent="0.25">
      <c r="A81" t="s">
        <v>28</v>
      </c>
      <c r="B81">
        <v>0</v>
      </c>
      <c r="C81">
        <f>IF(AND(SUM(VLOOKUP($A81,test!$A$3:$F$32,2,FALSE),VLOOKUP(C$1,test!$A$3:$F$32,2,FALSE))&lt;test!$K$16,$A81&lt;&gt;C$1,Recharged_Feasible_mat!D50),(VLOOKUP(C$1,test!$A$3:$I$32,8,FALSE))-(VLOOKUP($A81,test!$A$3:$I$32,9,FALSE))+(test!$B$34-50),0)</f>
        <v>0</v>
      </c>
      <c r="D81">
        <f>IF(AND(SUM(VLOOKUP($A81,test!$A$3:$F$32,2,FALSE),VLOOKUP(D$1,test!$A$3:$F$32,2,FALSE))&lt;test!$K$16,$A81&lt;&gt;D$1,Recharged_Feasible_mat!E50),(VLOOKUP(D$1,test!$A$3:$I$32,8,FALSE))-(VLOOKUP($A81,test!$A$3:$I$32,9,FALSE))+(test!$B$34-50),0)</f>
        <v>0</v>
      </c>
      <c r="E81">
        <f>IF(AND(SUM(VLOOKUP($A81,test!$A$3:$F$32,2,FALSE),VLOOKUP(E$1,test!$A$3:$F$32,2,FALSE))&lt;test!$K$16,$A81&lt;&gt;E$1,Recharged_Feasible_mat!F50),(VLOOKUP(E$1,test!$A$3:$I$32,8,FALSE))-(VLOOKUP($A81,test!$A$3:$I$32,9,FALSE))+(test!$B$34-50),0)</f>
        <v>0</v>
      </c>
      <c r="F81">
        <f>IF(AND(SUM(VLOOKUP($A81,test!$A$3:$F$32,2,FALSE),VLOOKUP(F$1,test!$A$3:$F$32,2,FALSE))&lt;test!$K$16,$A81&lt;&gt;F$1,Recharged_Feasible_mat!G50),(VLOOKUP(F$1,test!$A$3:$I$32,8,FALSE))-(VLOOKUP($A81,test!$A$3:$I$32,9,FALSE))+(test!$B$34-50),0)</f>
        <v>65</v>
      </c>
      <c r="G81">
        <f>IF(AND(SUM(VLOOKUP($A81,test!$A$3:$F$32,2,FALSE),VLOOKUP(G$1,test!$A$3:$F$32,2,FALSE))&lt;test!$K$16,$A81&lt;&gt;G$1,Recharged_Feasible_mat!H50),(VLOOKUP(G$1,test!$A$3:$I$32,8,FALSE))-(VLOOKUP($A81,test!$A$3:$I$32,9,FALSE))+(test!$B$34-50),0)</f>
        <v>125</v>
      </c>
      <c r="H81">
        <f>IF(AND(SUM(VLOOKUP($A81,test!$A$3:$F$32,2,FALSE),VLOOKUP(H$1,test!$A$3:$F$32,2,FALSE))&lt;test!$K$16,$A81&lt;&gt;H$1,Recharged_Feasible_mat!I50),(VLOOKUP(H$1,test!$A$3:$I$32,8,FALSE))-(VLOOKUP($A81,test!$A$3:$I$32,9,FALSE))+(test!$B$34-50),0)</f>
        <v>185</v>
      </c>
      <c r="I81">
        <f>IF(AND(SUM(VLOOKUP($A81,test!$A$3:$F$32,2,FALSE),VLOOKUP(I$1,test!$A$3:$F$32,2,FALSE))&lt;test!$K$16,$A81&lt;&gt;I$1,Recharged_Feasible_mat!J50),(VLOOKUP(I$1,test!$A$3:$I$32,8,FALSE))-(VLOOKUP($A81,test!$A$3:$I$32,9,FALSE))+(test!$B$34-50),0)</f>
        <v>245</v>
      </c>
      <c r="J81">
        <f>IF(AND(SUM(VLOOKUP($A81,test!$A$3:$F$32,2,FALSE),VLOOKUP(J$1,test!$A$3:$F$32,2,FALSE))&lt;test!$K$16,$A81&lt;&gt;J$1,Recharged_Feasible_mat!K50),(VLOOKUP(J$1,test!$A$3:$I$32,8,FALSE))-(VLOOKUP($A81,test!$A$3:$I$32,9,FALSE))+(test!$B$34-50),0)</f>
        <v>335</v>
      </c>
      <c r="K81">
        <f>IF(AND(SUM(VLOOKUP($A81,test!$A$3:$F$32,2,FALSE),VLOOKUP(K$1,test!$A$3:$F$32,2,FALSE))&lt;test!$K$16,$A81&lt;&gt;K$1,Recharged_Feasible_mat!L50),(VLOOKUP(K$1,test!$A$3:$I$32,8,FALSE))-(VLOOKUP($A81,test!$A$3:$I$32,9,FALSE))+(test!$B$34-50),0)</f>
        <v>0</v>
      </c>
      <c r="L81">
        <f>IF(AND(SUM(VLOOKUP($A81,test!$A$3:$F$32,2,FALSE),VLOOKUP(L$1,test!$A$3:$F$32,2,FALSE))&lt;test!$K$16,$A81&lt;&gt;L$1,Recharged_Feasible_mat!M50),(VLOOKUP(L$1,test!$A$3:$I$32,8,FALSE))-(VLOOKUP($A81,test!$A$3:$I$32,9,FALSE))+(test!$B$34-50),0)</f>
        <v>0</v>
      </c>
      <c r="M81">
        <f>IF(AND(SUM(VLOOKUP($A81,test!$A$3:$F$32,2,FALSE),VLOOKUP(M$1,test!$A$3:$F$32,2,FALSE))&lt;test!$K$16,$A81&lt;&gt;M$1,Recharged_Feasible_mat!N50),(VLOOKUP(M$1,test!$A$3:$I$32,8,FALSE))-(VLOOKUP($A81,test!$A$3:$I$32,9,FALSE))+(test!$B$34-50),0)</f>
        <v>0</v>
      </c>
      <c r="N81">
        <f>IF(AND(SUM(VLOOKUP($A81,test!$A$3:$F$32,2,FALSE),VLOOKUP(N$1,test!$A$3:$F$32,2,FALSE))&lt;test!$K$16,$A81&lt;&gt;N$1,Recharged_Feasible_mat!O50),(VLOOKUP(N$1,test!$A$3:$I$32,8,FALSE))-(VLOOKUP($A81,test!$A$3:$I$32,9,FALSE))+(test!$B$34-50),0)</f>
        <v>300</v>
      </c>
      <c r="O81">
        <f>IF(AND(SUM(VLOOKUP($A81,test!$A$3:$F$32,2,FALSE),VLOOKUP(O$1,test!$A$3:$F$32,2,FALSE))&lt;test!$K$16,$A81&lt;&gt;O$1,Recharged_Feasible_mat!P50),(VLOOKUP(O$1,test!$A$3:$I$32,8,FALSE))-(VLOOKUP($A81,test!$A$3:$I$32,9,FALSE))+(test!$B$34-50),0)</f>
        <v>360</v>
      </c>
      <c r="P81">
        <f>IF(AND(SUM(VLOOKUP($A81,test!$A$3:$F$32,2,FALSE),VLOOKUP(P$1,test!$A$3:$F$32,2,FALSE))&lt;test!$K$16,$A81&lt;&gt;P$1,Recharged_Feasible_mat!Q50),(VLOOKUP(P$1,test!$A$3:$I$32,8,FALSE))-(VLOOKUP($A81,test!$A$3:$I$32,9,FALSE))+(test!$B$34-50),0)</f>
        <v>0</v>
      </c>
      <c r="Q81">
        <f>IF(AND(SUM(VLOOKUP($A81,test!$A$3:$F$32,2,FALSE),VLOOKUP(Q$1,test!$A$3:$F$32,2,FALSE))&lt;test!$K$16,$A81&lt;&gt;Q$1,Recharged_Feasible_mat!R50),(VLOOKUP(Q$1,test!$A$3:$I$32,8,FALSE))-(VLOOKUP($A81,test!$A$3:$I$32,9,FALSE))+(test!$B$34-50),0)</f>
        <v>0</v>
      </c>
      <c r="R81">
        <f>IF(AND(SUM(VLOOKUP($A81,test!$A$3:$F$32,2,FALSE),VLOOKUP(R$1,test!$A$3:$F$32,2,FALSE))&lt;test!$K$16,$A81&lt;&gt;R$1,Recharged_Feasible_mat!S50),(VLOOKUP(R$1,test!$A$3:$I$32,8,FALSE))-(VLOOKUP($A81,test!$A$3:$I$32,9,FALSE))+(test!$B$34-50),0)</f>
        <v>0</v>
      </c>
      <c r="S81">
        <f>IF(AND(SUM(VLOOKUP($A81,test!$A$3:$F$32,2,FALSE),VLOOKUP(S$1,test!$A$3:$F$32,2,FALSE))&lt;test!$K$16,$A81&lt;&gt;S$1,Recharged_Feasible_mat!T50),(VLOOKUP(S$1,test!$A$3:$I$32,8,FALSE))-(VLOOKUP($A81,test!$A$3:$I$32,9,FALSE))+(test!$B$34-50),0)</f>
        <v>0</v>
      </c>
      <c r="T81">
        <f>IF(AND(SUM(VLOOKUP($A81,test!$A$3:$F$32,2,FALSE),VLOOKUP(T$1,test!$A$3:$F$32,2,FALSE))&lt;test!$K$16,$A81&lt;&gt;T$1,Recharged_Feasible_mat!U50),(VLOOKUP(T$1,test!$A$3:$I$32,8,FALSE))-(VLOOKUP($A81,test!$A$3:$I$32,9,FALSE))+(test!$B$34-50),0)</f>
        <v>0</v>
      </c>
      <c r="U81">
        <f>IF(AND(SUM(VLOOKUP($A81,test!$A$3:$F$32,2,FALSE),VLOOKUP(U$1,test!$A$3:$F$32,2,FALSE))&lt;test!$K$16,$A81&lt;&gt;U$1,Recharged_Feasible_mat!V50),(VLOOKUP(U$1,test!$A$3:$I$32,8,FALSE))-(VLOOKUP($A81,test!$A$3:$I$32,9,FALSE))+(test!$B$34-50),0)</f>
        <v>0</v>
      </c>
      <c r="V81">
        <f>IF(AND(SUM(VLOOKUP($A81,test!$A$3:$F$32,2,FALSE),VLOOKUP(V$1,test!$A$3:$F$32,2,FALSE))&lt;test!$K$16,$A81&lt;&gt;V$1,Recharged_Feasible_mat!W50),(VLOOKUP(V$1,test!$A$3:$I$32,8,FALSE))-(VLOOKUP($A81,test!$A$3:$I$32,9,FALSE))+(test!$B$34-50),0)</f>
        <v>135</v>
      </c>
      <c r="W81">
        <f>IF(AND(SUM(VLOOKUP($A81,test!$A$3:$F$32,2,FALSE),VLOOKUP(W$1,test!$A$3:$F$32,2,FALSE))&lt;test!$K$16,$A81&lt;&gt;W$1,Recharged_Feasible_mat!X50),(VLOOKUP(W$1,test!$A$3:$I$32,8,FALSE))-(VLOOKUP($A81,test!$A$3:$I$32,9,FALSE))+(test!$B$34-50),0)</f>
        <v>225</v>
      </c>
      <c r="X81">
        <f>IF(AND(SUM(VLOOKUP($A81,test!$A$3:$F$32,2,FALSE),VLOOKUP(X$1,test!$A$3:$F$32,2,FALSE))&lt;test!$K$16,$A81&lt;&gt;X$1,Recharged_Feasible_mat!Y50),(VLOOKUP(X$1,test!$A$3:$I$32,8,FALSE))-(VLOOKUP($A81,test!$A$3:$I$32,9,FALSE))+(test!$B$34-50),0)</f>
        <v>285</v>
      </c>
      <c r="Y81">
        <f>IF(AND(SUM(VLOOKUP($A81,test!$A$3:$F$32,2,FALSE),VLOOKUP(Y$1,test!$A$3:$F$32,2,FALSE))&lt;test!$K$16,$A81&lt;&gt;Y$1,Recharged_Feasible_mat!Z50),(VLOOKUP(Y$1,test!$A$3:$I$32,8,FALSE))-(VLOOKUP($A81,test!$A$3:$I$32,9,FALSE))+(test!$B$34-50),0)</f>
        <v>0</v>
      </c>
      <c r="Z81">
        <f>IF(AND(SUM(VLOOKUP($A81,test!$A$3:$F$32,2,FALSE),VLOOKUP(Z$1,test!$A$3:$F$32,2,FALSE))&lt;test!$K$16,$A81&lt;&gt;Z$1,Recharged_Feasible_mat!AA50),(VLOOKUP(Z$1,test!$A$3:$I$32,8,FALSE))-(VLOOKUP($A81,test!$A$3:$I$32,9,FALSE))+(test!$B$34-50),0)</f>
        <v>0</v>
      </c>
      <c r="AA81">
        <f>IF(AND(SUM(VLOOKUP($A81,test!$A$3:$F$32,2,FALSE),VLOOKUP(AA$1,test!$A$3:$F$32,2,FALSE))&lt;test!$K$16,$A81&lt;&gt;AA$1,Recharged_Feasible_mat!AB50),(VLOOKUP(AA$1,test!$A$3:$I$32,8,FALSE))-(VLOOKUP($A81,test!$A$3:$I$32,9,FALSE))+(test!$B$34-50),0)</f>
        <v>0</v>
      </c>
      <c r="AB81">
        <f>IF(AND(SUM(VLOOKUP($A81,test!$A$3:$F$32,2,FALSE),VLOOKUP(AB$1,test!$A$3:$F$32,2,FALSE))&lt;test!$K$16,$A81&lt;&gt;AB$1,Recharged_Feasible_mat!AC50),(VLOOKUP(AB$1,test!$A$3:$I$32,8,FALSE))-(VLOOKUP($A81,test!$A$3:$I$32,9,FALSE))+(test!$B$34-50),0)</f>
        <v>65</v>
      </c>
      <c r="AC81">
        <f>IF(AND(SUM(VLOOKUP($A81,test!$A$3:$F$32,2,FALSE),VLOOKUP(AC$1,test!$A$3:$F$32,2,FALSE))&lt;test!$K$16,$A81&lt;&gt;AC$1,Recharged_Feasible_mat!AD50),(VLOOKUP(AC$1,test!$A$3:$I$32,8,FALSE))-(VLOOKUP($A81,test!$A$3:$I$32,9,FALSE))+(test!$B$34-50),0)</f>
        <v>185</v>
      </c>
      <c r="AD81">
        <f>IF(AND(SUM(VLOOKUP($A81,test!$A$3:$F$32,2,FALSE),VLOOKUP(AD$1,test!$A$3:$F$32,2,FALSE))&lt;test!$K$16,$A81&lt;&gt;AD$1,Recharged_Feasible_mat!AE50),(VLOOKUP(AD$1,test!$A$3:$I$32,8,FALSE))-(VLOOKUP($A81,test!$A$3:$I$32,9,FALSE))+(test!$B$34-50),0)</f>
        <v>0</v>
      </c>
      <c r="AE81">
        <f>IF(AND(SUM(VLOOKUP($A81,test!$A$3:$F$32,2,FALSE),VLOOKUP(AE$1,test!$A$3:$F$32,2,FALSE))&lt;test!$K$16,$A81&lt;&gt;AE$1,Recharged_Feasible_mat!AF50),(VLOOKUP(AE$1,test!$A$3:$I$32,8,FALSE))-(VLOOKUP($A81,test!$A$3:$I$32,9,FALSE))+(test!$B$34-50),0)</f>
        <v>0</v>
      </c>
      <c r="AF81">
        <f>IF(AND(SUM(VLOOKUP($A81,test!$A$3:$F$32,2,FALSE),VLOOKUP(AF$1,test!$A$3:$F$32,2,FALSE))&lt;test!$K$16,$A81&lt;&gt;AF$1,Recharged_Feasible_mat!AG50),(VLOOKUP(AF$1,test!$A$3:$I$32,8,FALSE))-(VLOOKUP($A81,test!$A$3:$I$32,9,FALSE))+(test!$B$34-50),0)</f>
        <v>0</v>
      </c>
    </row>
    <row r="82" spans="1:32" x14ac:dyDescent="0.25">
      <c r="A82" t="s">
        <v>29</v>
      </c>
      <c r="B82">
        <v>0</v>
      </c>
      <c r="C82">
        <f>IF(AND(SUM(VLOOKUP($A82,test!$A$3:$F$32,2,FALSE),VLOOKUP(C$1,test!$A$3:$F$32,2,FALSE))&lt;test!$K$16,$A82&lt;&gt;C$1,Recharged_Feasible_mat!D51),(VLOOKUP(C$1,test!$A$3:$I$32,8,FALSE))-(VLOOKUP($A82,test!$A$3:$I$32,9,FALSE))+(test!$B$34-50),0)</f>
        <v>0</v>
      </c>
      <c r="D82">
        <f>IF(AND(SUM(VLOOKUP($A82,test!$A$3:$F$32,2,FALSE),VLOOKUP(D$1,test!$A$3:$F$32,2,FALSE))&lt;test!$K$16,$A82&lt;&gt;D$1,Recharged_Feasible_mat!E51),(VLOOKUP(D$1,test!$A$3:$I$32,8,FALSE))-(VLOOKUP($A82,test!$A$3:$I$32,9,FALSE))+(test!$B$34-50),0)</f>
        <v>0</v>
      </c>
      <c r="E82">
        <f>IF(AND(SUM(VLOOKUP($A82,test!$A$3:$F$32,2,FALSE),VLOOKUP(E$1,test!$A$3:$F$32,2,FALSE))&lt;test!$K$16,$A82&lt;&gt;E$1,Recharged_Feasible_mat!F51),(VLOOKUP(E$1,test!$A$3:$I$32,8,FALSE))-(VLOOKUP($A82,test!$A$3:$I$32,9,FALSE))+(test!$B$34-50),0)</f>
        <v>0</v>
      </c>
      <c r="F82">
        <f>IF(AND(SUM(VLOOKUP($A82,test!$A$3:$F$32,2,FALSE),VLOOKUP(F$1,test!$A$3:$F$32,2,FALSE))&lt;test!$K$16,$A82&lt;&gt;F$1,Recharged_Feasible_mat!G51),(VLOOKUP(F$1,test!$A$3:$I$32,8,FALSE))-(VLOOKUP($A82,test!$A$3:$I$32,9,FALSE))+(test!$B$34-50),0)</f>
        <v>0</v>
      </c>
      <c r="G82">
        <f>IF(AND(SUM(VLOOKUP($A82,test!$A$3:$F$32,2,FALSE),VLOOKUP(G$1,test!$A$3:$F$32,2,FALSE))&lt;test!$K$16,$A82&lt;&gt;G$1,Recharged_Feasible_mat!H51),(VLOOKUP(G$1,test!$A$3:$I$32,8,FALSE))-(VLOOKUP($A82,test!$A$3:$I$32,9,FALSE))+(test!$B$34-50),0)</f>
        <v>0</v>
      </c>
      <c r="H82">
        <f>IF(AND(SUM(VLOOKUP($A82,test!$A$3:$F$32,2,FALSE),VLOOKUP(H$1,test!$A$3:$F$32,2,FALSE))&lt;test!$K$16,$A82&lt;&gt;H$1,Recharged_Feasible_mat!I51),(VLOOKUP(H$1,test!$A$3:$I$32,8,FALSE))-(VLOOKUP($A82,test!$A$3:$I$32,9,FALSE))+(test!$B$34-50),0)</f>
        <v>95</v>
      </c>
      <c r="I82">
        <f>IF(AND(SUM(VLOOKUP($A82,test!$A$3:$F$32,2,FALSE),VLOOKUP(I$1,test!$A$3:$F$32,2,FALSE))&lt;test!$K$16,$A82&lt;&gt;I$1,Recharged_Feasible_mat!J51),(VLOOKUP(I$1,test!$A$3:$I$32,8,FALSE))-(VLOOKUP($A82,test!$A$3:$I$32,9,FALSE))+(test!$B$34-50),0)</f>
        <v>155</v>
      </c>
      <c r="J82">
        <f>IF(AND(SUM(VLOOKUP($A82,test!$A$3:$F$32,2,FALSE),VLOOKUP(J$1,test!$A$3:$F$32,2,FALSE))&lt;test!$K$16,$A82&lt;&gt;J$1,Recharged_Feasible_mat!K51),(VLOOKUP(J$1,test!$A$3:$I$32,8,FALSE))-(VLOOKUP($A82,test!$A$3:$I$32,9,FALSE))+(test!$B$34-50),0)</f>
        <v>245</v>
      </c>
      <c r="K82">
        <f>IF(AND(SUM(VLOOKUP($A82,test!$A$3:$F$32,2,FALSE),VLOOKUP(K$1,test!$A$3:$F$32,2,FALSE))&lt;test!$K$16,$A82&lt;&gt;K$1,Recharged_Feasible_mat!L51),(VLOOKUP(K$1,test!$A$3:$I$32,8,FALSE))-(VLOOKUP($A82,test!$A$3:$I$32,9,FALSE))+(test!$B$34-50),0)</f>
        <v>0</v>
      </c>
      <c r="L82">
        <f>IF(AND(SUM(VLOOKUP($A82,test!$A$3:$F$32,2,FALSE),VLOOKUP(L$1,test!$A$3:$F$32,2,FALSE))&lt;test!$K$16,$A82&lt;&gt;L$1,Recharged_Feasible_mat!M51),(VLOOKUP(L$1,test!$A$3:$I$32,8,FALSE))-(VLOOKUP($A82,test!$A$3:$I$32,9,FALSE))+(test!$B$34-50),0)</f>
        <v>0</v>
      </c>
      <c r="M82">
        <f>IF(AND(SUM(VLOOKUP($A82,test!$A$3:$F$32,2,FALSE),VLOOKUP(M$1,test!$A$3:$F$32,2,FALSE))&lt;test!$K$16,$A82&lt;&gt;M$1,Recharged_Feasible_mat!N51),(VLOOKUP(M$1,test!$A$3:$I$32,8,FALSE))-(VLOOKUP($A82,test!$A$3:$I$32,9,FALSE))+(test!$B$34-50),0)</f>
        <v>0</v>
      </c>
      <c r="N82">
        <f>IF(AND(SUM(VLOOKUP($A82,test!$A$3:$F$32,2,FALSE),VLOOKUP(N$1,test!$A$3:$F$32,2,FALSE))&lt;test!$K$16,$A82&lt;&gt;N$1,Recharged_Feasible_mat!O51),(VLOOKUP(N$1,test!$A$3:$I$32,8,FALSE))-(VLOOKUP($A82,test!$A$3:$I$32,9,FALSE))+(test!$B$34-50),0)</f>
        <v>210</v>
      </c>
      <c r="O82">
        <f>IF(AND(SUM(VLOOKUP($A82,test!$A$3:$F$32,2,FALSE),VLOOKUP(O$1,test!$A$3:$F$32,2,FALSE))&lt;test!$K$16,$A82&lt;&gt;O$1,Recharged_Feasible_mat!P51),(VLOOKUP(O$1,test!$A$3:$I$32,8,FALSE))-(VLOOKUP($A82,test!$A$3:$I$32,9,FALSE))+(test!$B$34-50),0)</f>
        <v>270</v>
      </c>
      <c r="P82">
        <f>IF(AND(SUM(VLOOKUP($A82,test!$A$3:$F$32,2,FALSE),VLOOKUP(P$1,test!$A$3:$F$32,2,FALSE))&lt;test!$K$16,$A82&lt;&gt;P$1,Recharged_Feasible_mat!Q51),(VLOOKUP(P$1,test!$A$3:$I$32,8,FALSE))-(VLOOKUP($A82,test!$A$3:$I$32,9,FALSE))+(test!$B$34-50),0)</f>
        <v>0</v>
      </c>
      <c r="Q82">
        <f>IF(AND(SUM(VLOOKUP($A82,test!$A$3:$F$32,2,FALSE),VLOOKUP(Q$1,test!$A$3:$F$32,2,FALSE))&lt;test!$K$16,$A82&lt;&gt;Q$1,Recharged_Feasible_mat!R51),(VLOOKUP(Q$1,test!$A$3:$I$32,8,FALSE))-(VLOOKUP($A82,test!$A$3:$I$32,9,FALSE))+(test!$B$34-50),0)</f>
        <v>0</v>
      </c>
      <c r="R82">
        <f>IF(AND(SUM(VLOOKUP($A82,test!$A$3:$F$32,2,FALSE),VLOOKUP(R$1,test!$A$3:$F$32,2,FALSE))&lt;test!$K$16,$A82&lt;&gt;R$1,Recharged_Feasible_mat!S51),(VLOOKUP(R$1,test!$A$3:$I$32,8,FALSE))-(VLOOKUP($A82,test!$A$3:$I$32,9,FALSE))+(test!$B$34-50),0)</f>
        <v>0</v>
      </c>
      <c r="S82">
        <f>IF(AND(SUM(VLOOKUP($A82,test!$A$3:$F$32,2,FALSE),VLOOKUP(S$1,test!$A$3:$F$32,2,FALSE))&lt;test!$K$16,$A82&lt;&gt;S$1,Recharged_Feasible_mat!T51),(VLOOKUP(S$1,test!$A$3:$I$32,8,FALSE))-(VLOOKUP($A82,test!$A$3:$I$32,9,FALSE))+(test!$B$34-50),0)</f>
        <v>0</v>
      </c>
      <c r="T82">
        <f>IF(AND(SUM(VLOOKUP($A82,test!$A$3:$F$32,2,FALSE),VLOOKUP(T$1,test!$A$3:$F$32,2,FALSE))&lt;test!$K$16,$A82&lt;&gt;T$1,Recharged_Feasible_mat!U51),(VLOOKUP(T$1,test!$A$3:$I$32,8,FALSE))-(VLOOKUP($A82,test!$A$3:$I$32,9,FALSE))+(test!$B$34-50),0)</f>
        <v>0</v>
      </c>
      <c r="U82">
        <f>IF(AND(SUM(VLOOKUP($A82,test!$A$3:$F$32,2,FALSE),VLOOKUP(U$1,test!$A$3:$F$32,2,FALSE))&lt;test!$K$16,$A82&lt;&gt;U$1,Recharged_Feasible_mat!V51),(VLOOKUP(U$1,test!$A$3:$I$32,8,FALSE))-(VLOOKUP($A82,test!$A$3:$I$32,9,FALSE))+(test!$B$34-50),0)</f>
        <v>0</v>
      </c>
      <c r="V82">
        <f>IF(AND(SUM(VLOOKUP($A82,test!$A$3:$F$32,2,FALSE),VLOOKUP(V$1,test!$A$3:$F$32,2,FALSE))&lt;test!$K$16,$A82&lt;&gt;V$1,Recharged_Feasible_mat!W51),(VLOOKUP(V$1,test!$A$3:$I$32,8,FALSE))-(VLOOKUP($A82,test!$A$3:$I$32,9,FALSE))+(test!$B$34-50),0)</f>
        <v>0</v>
      </c>
      <c r="W82">
        <f>IF(AND(SUM(VLOOKUP($A82,test!$A$3:$F$32,2,FALSE),VLOOKUP(W$1,test!$A$3:$F$32,2,FALSE))&lt;test!$K$16,$A82&lt;&gt;W$1,Recharged_Feasible_mat!X51),(VLOOKUP(W$1,test!$A$3:$I$32,8,FALSE))-(VLOOKUP($A82,test!$A$3:$I$32,9,FALSE))+(test!$B$34-50),0)</f>
        <v>135</v>
      </c>
      <c r="X82">
        <f>IF(AND(SUM(VLOOKUP($A82,test!$A$3:$F$32,2,FALSE),VLOOKUP(X$1,test!$A$3:$F$32,2,FALSE))&lt;test!$K$16,$A82&lt;&gt;X$1,Recharged_Feasible_mat!Y51),(VLOOKUP(X$1,test!$A$3:$I$32,8,FALSE))-(VLOOKUP($A82,test!$A$3:$I$32,9,FALSE))+(test!$B$34-50),0)</f>
        <v>195</v>
      </c>
      <c r="Y82">
        <f>IF(AND(SUM(VLOOKUP($A82,test!$A$3:$F$32,2,FALSE),VLOOKUP(Y$1,test!$A$3:$F$32,2,FALSE))&lt;test!$K$16,$A82&lt;&gt;Y$1,Recharged_Feasible_mat!Z51),(VLOOKUP(Y$1,test!$A$3:$I$32,8,FALSE))-(VLOOKUP($A82,test!$A$3:$I$32,9,FALSE))+(test!$B$34-50),0)</f>
        <v>0</v>
      </c>
      <c r="Z82">
        <f>IF(AND(SUM(VLOOKUP($A82,test!$A$3:$F$32,2,FALSE),VLOOKUP(Z$1,test!$A$3:$F$32,2,FALSE))&lt;test!$K$16,$A82&lt;&gt;Z$1,Recharged_Feasible_mat!AA51),(VLOOKUP(Z$1,test!$A$3:$I$32,8,FALSE))-(VLOOKUP($A82,test!$A$3:$I$32,9,FALSE))+(test!$B$34-50),0)</f>
        <v>0</v>
      </c>
      <c r="AA82">
        <f>IF(AND(SUM(VLOOKUP($A82,test!$A$3:$F$32,2,FALSE),VLOOKUP(AA$1,test!$A$3:$F$32,2,FALSE))&lt;test!$K$16,$A82&lt;&gt;AA$1,Recharged_Feasible_mat!AB51),(VLOOKUP(AA$1,test!$A$3:$I$32,8,FALSE))-(VLOOKUP($A82,test!$A$3:$I$32,9,FALSE))+(test!$B$34-50),0)</f>
        <v>0</v>
      </c>
      <c r="AB82">
        <f>IF(AND(SUM(VLOOKUP($A82,test!$A$3:$F$32,2,FALSE),VLOOKUP(AB$1,test!$A$3:$F$32,2,FALSE))&lt;test!$K$16,$A82&lt;&gt;AB$1,Recharged_Feasible_mat!AC51),(VLOOKUP(AB$1,test!$A$3:$I$32,8,FALSE))-(VLOOKUP($A82,test!$A$3:$I$32,9,FALSE))+(test!$B$34-50),0)</f>
        <v>0</v>
      </c>
      <c r="AC82">
        <f>IF(AND(SUM(VLOOKUP($A82,test!$A$3:$F$32,2,FALSE),VLOOKUP(AC$1,test!$A$3:$F$32,2,FALSE))&lt;test!$K$16,$A82&lt;&gt;AC$1,Recharged_Feasible_mat!AD51),(VLOOKUP(AC$1,test!$A$3:$I$32,8,FALSE))-(VLOOKUP($A82,test!$A$3:$I$32,9,FALSE))+(test!$B$34-50),0)</f>
        <v>95</v>
      </c>
      <c r="AD82">
        <f>IF(AND(SUM(VLOOKUP($A82,test!$A$3:$F$32,2,FALSE),VLOOKUP(AD$1,test!$A$3:$F$32,2,FALSE))&lt;test!$K$16,$A82&lt;&gt;AD$1,Recharged_Feasible_mat!AE51),(VLOOKUP(AD$1,test!$A$3:$I$32,8,FALSE))-(VLOOKUP($A82,test!$A$3:$I$32,9,FALSE))+(test!$B$34-50),0)</f>
        <v>0</v>
      </c>
      <c r="AE82">
        <f>IF(AND(SUM(VLOOKUP($A82,test!$A$3:$F$32,2,FALSE),VLOOKUP(AE$1,test!$A$3:$F$32,2,FALSE))&lt;test!$K$16,$A82&lt;&gt;AE$1,Recharged_Feasible_mat!AF51),(VLOOKUP(AE$1,test!$A$3:$I$32,8,FALSE))-(VLOOKUP($A82,test!$A$3:$I$32,9,FALSE))+(test!$B$34-50),0)</f>
        <v>0</v>
      </c>
      <c r="AF82">
        <f>IF(AND(SUM(VLOOKUP($A82,test!$A$3:$F$32,2,FALSE),VLOOKUP(AF$1,test!$A$3:$F$32,2,FALSE))&lt;test!$K$16,$A82&lt;&gt;AF$1,Recharged_Feasible_mat!AG51),(VLOOKUP(AF$1,test!$A$3:$I$32,8,FALSE))-(VLOOKUP($A82,test!$A$3:$I$32,9,FALSE))+(test!$B$34-50),0)</f>
        <v>0</v>
      </c>
    </row>
    <row r="83" spans="1:32" x14ac:dyDescent="0.25">
      <c r="A83" t="s">
        <v>30</v>
      </c>
      <c r="B83">
        <v>0</v>
      </c>
      <c r="C83">
        <f>IF(AND(SUM(VLOOKUP($A83,test!$A$3:$F$32,2,FALSE),VLOOKUP(C$1,test!$A$3:$F$32,2,FALSE))&lt;test!$K$16,$A83&lt;&gt;C$1,Recharged_Feasible_mat!D52),(VLOOKUP(C$1,test!$A$3:$I$32,8,FALSE))-(VLOOKUP($A83,test!$A$3:$I$32,9,FALSE))+(test!$B$34-50),0)</f>
        <v>0</v>
      </c>
      <c r="D83">
        <f>IF(AND(SUM(VLOOKUP($A83,test!$A$3:$F$32,2,FALSE),VLOOKUP(D$1,test!$A$3:$F$32,2,FALSE))&lt;test!$K$16,$A83&lt;&gt;D$1,Recharged_Feasible_mat!E52),(VLOOKUP(D$1,test!$A$3:$I$32,8,FALSE))-(VLOOKUP($A83,test!$A$3:$I$32,9,FALSE))+(test!$B$34-50),0)</f>
        <v>0</v>
      </c>
      <c r="E83">
        <f>IF(AND(SUM(VLOOKUP($A83,test!$A$3:$F$32,2,FALSE),VLOOKUP(E$1,test!$A$3:$F$32,2,FALSE))&lt;test!$K$16,$A83&lt;&gt;E$1,Recharged_Feasible_mat!F52),(VLOOKUP(E$1,test!$A$3:$I$32,8,FALSE))-(VLOOKUP($A83,test!$A$3:$I$32,9,FALSE))+(test!$B$34-50),0)</f>
        <v>0</v>
      </c>
      <c r="F83">
        <f>IF(AND(SUM(VLOOKUP($A83,test!$A$3:$F$32,2,FALSE),VLOOKUP(F$1,test!$A$3:$F$32,2,FALSE))&lt;test!$K$16,$A83&lt;&gt;F$1,Recharged_Feasible_mat!G52),(VLOOKUP(F$1,test!$A$3:$I$32,8,FALSE))-(VLOOKUP($A83,test!$A$3:$I$32,9,FALSE))+(test!$B$34-50),0)</f>
        <v>0</v>
      </c>
      <c r="G83">
        <f>IF(AND(SUM(VLOOKUP($A83,test!$A$3:$F$32,2,FALSE),VLOOKUP(G$1,test!$A$3:$F$32,2,FALSE))&lt;test!$K$16,$A83&lt;&gt;G$1,Recharged_Feasible_mat!H52),(VLOOKUP(G$1,test!$A$3:$I$32,8,FALSE))-(VLOOKUP($A83,test!$A$3:$I$32,9,FALSE))+(test!$B$34-50),0)</f>
        <v>0</v>
      </c>
      <c r="H83">
        <f>IF(AND(SUM(VLOOKUP($A83,test!$A$3:$F$32,2,FALSE),VLOOKUP(H$1,test!$A$3:$F$32,2,FALSE))&lt;test!$K$16,$A83&lt;&gt;H$1,Recharged_Feasible_mat!I52),(VLOOKUP(H$1,test!$A$3:$I$32,8,FALSE))-(VLOOKUP($A83,test!$A$3:$I$32,9,FALSE))+(test!$B$34-50),0)</f>
        <v>0</v>
      </c>
      <c r="I83">
        <f>IF(AND(SUM(VLOOKUP($A83,test!$A$3:$F$32,2,FALSE),VLOOKUP(I$1,test!$A$3:$F$32,2,FALSE))&lt;test!$K$16,$A83&lt;&gt;I$1,Recharged_Feasible_mat!J52),(VLOOKUP(I$1,test!$A$3:$I$32,8,FALSE))-(VLOOKUP($A83,test!$A$3:$I$32,9,FALSE))+(test!$B$34-50),0)</f>
        <v>65</v>
      </c>
      <c r="J83">
        <f>IF(AND(SUM(VLOOKUP($A83,test!$A$3:$F$32,2,FALSE),VLOOKUP(J$1,test!$A$3:$F$32,2,FALSE))&lt;test!$K$16,$A83&lt;&gt;J$1,Recharged_Feasible_mat!K52),(VLOOKUP(J$1,test!$A$3:$I$32,8,FALSE))-(VLOOKUP($A83,test!$A$3:$I$32,9,FALSE))+(test!$B$34-50),0)</f>
        <v>155</v>
      </c>
      <c r="K83">
        <f>IF(AND(SUM(VLOOKUP($A83,test!$A$3:$F$32,2,FALSE),VLOOKUP(K$1,test!$A$3:$F$32,2,FALSE))&lt;test!$K$16,$A83&lt;&gt;K$1,Recharged_Feasible_mat!L52),(VLOOKUP(K$1,test!$A$3:$I$32,8,FALSE))-(VLOOKUP($A83,test!$A$3:$I$32,9,FALSE))+(test!$B$34-50),0)</f>
        <v>0</v>
      </c>
      <c r="L83">
        <f>IF(AND(SUM(VLOOKUP($A83,test!$A$3:$F$32,2,FALSE),VLOOKUP(L$1,test!$A$3:$F$32,2,FALSE))&lt;test!$K$16,$A83&lt;&gt;L$1,Recharged_Feasible_mat!M52),(VLOOKUP(L$1,test!$A$3:$I$32,8,FALSE))-(VLOOKUP($A83,test!$A$3:$I$32,9,FALSE))+(test!$B$34-50),0)</f>
        <v>0</v>
      </c>
      <c r="M83">
        <f>IF(AND(SUM(VLOOKUP($A83,test!$A$3:$F$32,2,FALSE),VLOOKUP(M$1,test!$A$3:$F$32,2,FALSE))&lt;test!$K$16,$A83&lt;&gt;M$1,Recharged_Feasible_mat!N52),(VLOOKUP(M$1,test!$A$3:$I$32,8,FALSE))-(VLOOKUP($A83,test!$A$3:$I$32,9,FALSE))+(test!$B$34-50),0)</f>
        <v>0</v>
      </c>
      <c r="N83">
        <f>IF(AND(SUM(VLOOKUP($A83,test!$A$3:$F$32,2,FALSE),VLOOKUP(N$1,test!$A$3:$F$32,2,FALSE))&lt;test!$K$16,$A83&lt;&gt;N$1,Recharged_Feasible_mat!O52),(VLOOKUP(N$1,test!$A$3:$I$32,8,FALSE))-(VLOOKUP($A83,test!$A$3:$I$32,9,FALSE))+(test!$B$34-50),0)</f>
        <v>120</v>
      </c>
      <c r="O83">
        <f>IF(AND(SUM(VLOOKUP($A83,test!$A$3:$F$32,2,FALSE),VLOOKUP(O$1,test!$A$3:$F$32,2,FALSE))&lt;test!$K$16,$A83&lt;&gt;O$1,Recharged_Feasible_mat!P52),(VLOOKUP(O$1,test!$A$3:$I$32,8,FALSE))-(VLOOKUP($A83,test!$A$3:$I$32,9,FALSE))+(test!$B$34-50),0)</f>
        <v>180</v>
      </c>
      <c r="P83">
        <f>IF(AND(SUM(VLOOKUP($A83,test!$A$3:$F$32,2,FALSE),VLOOKUP(P$1,test!$A$3:$F$32,2,FALSE))&lt;test!$K$16,$A83&lt;&gt;P$1,Recharged_Feasible_mat!Q52),(VLOOKUP(P$1,test!$A$3:$I$32,8,FALSE))-(VLOOKUP($A83,test!$A$3:$I$32,9,FALSE))+(test!$B$34-50),0)</f>
        <v>0</v>
      </c>
      <c r="Q83">
        <f>IF(AND(SUM(VLOOKUP($A83,test!$A$3:$F$32,2,FALSE),VLOOKUP(Q$1,test!$A$3:$F$32,2,FALSE))&lt;test!$K$16,$A83&lt;&gt;Q$1,Recharged_Feasible_mat!R52),(VLOOKUP(Q$1,test!$A$3:$I$32,8,FALSE))-(VLOOKUP($A83,test!$A$3:$I$32,9,FALSE))+(test!$B$34-50),0)</f>
        <v>0</v>
      </c>
      <c r="R83">
        <f>IF(AND(SUM(VLOOKUP($A83,test!$A$3:$F$32,2,FALSE),VLOOKUP(R$1,test!$A$3:$F$32,2,FALSE))&lt;test!$K$16,$A83&lt;&gt;R$1,Recharged_Feasible_mat!S52),(VLOOKUP(R$1,test!$A$3:$I$32,8,FALSE))-(VLOOKUP($A83,test!$A$3:$I$32,9,FALSE))+(test!$B$34-50),0)</f>
        <v>0</v>
      </c>
      <c r="S83">
        <f>IF(AND(SUM(VLOOKUP($A83,test!$A$3:$F$32,2,FALSE),VLOOKUP(S$1,test!$A$3:$F$32,2,FALSE))&lt;test!$K$16,$A83&lt;&gt;S$1,Recharged_Feasible_mat!T52),(VLOOKUP(S$1,test!$A$3:$I$32,8,FALSE))-(VLOOKUP($A83,test!$A$3:$I$32,9,FALSE))+(test!$B$34-50),0)</f>
        <v>0</v>
      </c>
      <c r="T83">
        <f>IF(AND(SUM(VLOOKUP($A83,test!$A$3:$F$32,2,FALSE),VLOOKUP(T$1,test!$A$3:$F$32,2,FALSE))&lt;test!$K$16,$A83&lt;&gt;T$1,Recharged_Feasible_mat!U52),(VLOOKUP(T$1,test!$A$3:$I$32,8,FALSE))-(VLOOKUP($A83,test!$A$3:$I$32,9,FALSE))+(test!$B$34-50),0)</f>
        <v>0</v>
      </c>
      <c r="U83">
        <f>IF(AND(SUM(VLOOKUP($A83,test!$A$3:$F$32,2,FALSE),VLOOKUP(U$1,test!$A$3:$F$32,2,FALSE))&lt;test!$K$16,$A83&lt;&gt;U$1,Recharged_Feasible_mat!V52),(VLOOKUP(U$1,test!$A$3:$I$32,8,FALSE))-(VLOOKUP($A83,test!$A$3:$I$32,9,FALSE))+(test!$B$34-50),0)</f>
        <v>0</v>
      </c>
      <c r="V83">
        <f>IF(AND(SUM(VLOOKUP($A83,test!$A$3:$F$32,2,FALSE),VLOOKUP(V$1,test!$A$3:$F$32,2,FALSE))&lt;test!$K$16,$A83&lt;&gt;V$1,Recharged_Feasible_mat!W52),(VLOOKUP(V$1,test!$A$3:$I$32,8,FALSE))-(VLOOKUP($A83,test!$A$3:$I$32,9,FALSE))+(test!$B$34-50),0)</f>
        <v>0</v>
      </c>
      <c r="W83">
        <f>IF(AND(SUM(VLOOKUP($A83,test!$A$3:$F$32,2,FALSE),VLOOKUP(W$1,test!$A$3:$F$32,2,FALSE))&lt;test!$K$16,$A83&lt;&gt;W$1,Recharged_Feasible_mat!X52),(VLOOKUP(W$1,test!$A$3:$I$32,8,FALSE))-(VLOOKUP($A83,test!$A$3:$I$32,9,FALSE))+(test!$B$34-50),0)</f>
        <v>0</v>
      </c>
      <c r="X83">
        <f>IF(AND(SUM(VLOOKUP($A83,test!$A$3:$F$32,2,FALSE),VLOOKUP(X$1,test!$A$3:$F$32,2,FALSE))&lt;test!$K$16,$A83&lt;&gt;X$1,Recharged_Feasible_mat!Y52),(VLOOKUP(X$1,test!$A$3:$I$32,8,FALSE))-(VLOOKUP($A83,test!$A$3:$I$32,9,FALSE))+(test!$B$34-50),0)</f>
        <v>105</v>
      </c>
      <c r="Y83">
        <f>IF(AND(SUM(VLOOKUP($A83,test!$A$3:$F$32,2,FALSE),VLOOKUP(Y$1,test!$A$3:$F$32,2,FALSE))&lt;test!$K$16,$A83&lt;&gt;Y$1,Recharged_Feasible_mat!Z52),(VLOOKUP(Y$1,test!$A$3:$I$32,8,FALSE))-(VLOOKUP($A83,test!$A$3:$I$32,9,FALSE))+(test!$B$34-50),0)</f>
        <v>0</v>
      </c>
      <c r="Z83">
        <f>IF(AND(SUM(VLOOKUP($A83,test!$A$3:$F$32,2,FALSE),VLOOKUP(Z$1,test!$A$3:$F$32,2,FALSE))&lt;test!$K$16,$A83&lt;&gt;Z$1,Recharged_Feasible_mat!AA52),(VLOOKUP(Z$1,test!$A$3:$I$32,8,FALSE))-(VLOOKUP($A83,test!$A$3:$I$32,9,FALSE))+(test!$B$34-50),0)</f>
        <v>0</v>
      </c>
      <c r="AA83">
        <f>IF(AND(SUM(VLOOKUP($A83,test!$A$3:$F$32,2,FALSE),VLOOKUP(AA$1,test!$A$3:$F$32,2,FALSE))&lt;test!$K$16,$A83&lt;&gt;AA$1,Recharged_Feasible_mat!AB52),(VLOOKUP(AA$1,test!$A$3:$I$32,8,FALSE))-(VLOOKUP($A83,test!$A$3:$I$32,9,FALSE))+(test!$B$34-50),0)</f>
        <v>0</v>
      </c>
      <c r="AB83">
        <f>IF(AND(SUM(VLOOKUP($A83,test!$A$3:$F$32,2,FALSE),VLOOKUP(AB$1,test!$A$3:$F$32,2,FALSE))&lt;test!$K$16,$A83&lt;&gt;AB$1,Recharged_Feasible_mat!AC52),(VLOOKUP(AB$1,test!$A$3:$I$32,8,FALSE))-(VLOOKUP($A83,test!$A$3:$I$32,9,FALSE))+(test!$B$34-50),0)</f>
        <v>0</v>
      </c>
      <c r="AC83">
        <f>IF(AND(SUM(VLOOKUP($A83,test!$A$3:$F$32,2,FALSE),VLOOKUP(AC$1,test!$A$3:$F$32,2,FALSE))&lt;test!$K$16,$A83&lt;&gt;AC$1,Recharged_Feasible_mat!AD52),(VLOOKUP(AC$1,test!$A$3:$I$32,8,FALSE))-(VLOOKUP($A83,test!$A$3:$I$32,9,FALSE))+(test!$B$34-50),0)</f>
        <v>0</v>
      </c>
      <c r="AD83">
        <f>IF(AND(SUM(VLOOKUP($A83,test!$A$3:$F$32,2,FALSE),VLOOKUP(AD$1,test!$A$3:$F$32,2,FALSE))&lt;test!$K$16,$A83&lt;&gt;AD$1,Recharged_Feasible_mat!AE52),(VLOOKUP(AD$1,test!$A$3:$I$32,8,FALSE))-(VLOOKUP($A83,test!$A$3:$I$32,9,FALSE))+(test!$B$34-50),0)</f>
        <v>0</v>
      </c>
      <c r="AE83">
        <f>IF(AND(SUM(VLOOKUP($A83,test!$A$3:$F$32,2,FALSE),VLOOKUP(AE$1,test!$A$3:$F$32,2,FALSE))&lt;test!$K$16,$A83&lt;&gt;AE$1,Recharged_Feasible_mat!AF52),(VLOOKUP(AE$1,test!$A$3:$I$32,8,FALSE))-(VLOOKUP($A83,test!$A$3:$I$32,9,FALSE))+(test!$B$34-50),0)</f>
        <v>0</v>
      </c>
      <c r="AF83">
        <f>IF(AND(SUM(VLOOKUP($A83,test!$A$3:$F$32,2,FALSE),VLOOKUP(AF$1,test!$A$3:$F$32,2,FALSE))&lt;test!$K$16,$A83&lt;&gt;AF$1,Recharged_Feasible_mat!AG52),(VLOOKUP(AF$1,test!$A$3:$I$32,8,FALSE))-(VLOOKUP($A83,test!$A$3:$I$32,9,FALSE))+(test!$B$34-50),0)</f>
        <v>0</v>
      </c>
    </row>
    <row r="84" spans="1:32" x14ac:dyDescent="0.25">
      <c r="A84" t="s">
        <v>31</v>
      </c>
      <c r="B84">
        <v>0</v>
      </c>
      <c r="C84">
        <f>IF(AND(SUM(VLOOKUP($A84,test!$A$3:$F$32,2,FALSE),VLOOKUP(C$1,test!$A$3:$F$32,2,FALSE))&lt;test!$K$16,$A84&lt;&gt;C$1,Recharged_Feasible_mat!D53),(VLOOKUP(C$1,test!$A$3:$I$32,8,FALSE))-(VLOOKUP($A84,test!$A$3:$I$32,9,FALSE))+(test!$B$34-50),0)</f>
        <v>0</v>
      </c>
      <c r="D84">
        <f>IF(AND(SUM(VLOOKUP($A84,test!$A$3:$F$32,2,FALSE),VLOOKUP(D$1,test!$A$3:$F$32,2,FALSE))&lt;test!$K$16,$A84&lt;&gt;D$1,Recharged_Feasible_mat!E53),(VLOOKUP(D$1,test!$A$3:$I$32,8,FALSE))-(VLOOKUP($A84,test!$A$3:$I$32,9,FALSE))+(test!$B$34-50),0)</f>
        <v>0</v>
      </c>
      <c r="E84">
        <f>IF(AND(SUM(VLOOKUP($A84,test!$A$3:$F$32,2,FALSE),VLOOKUP(E$1,test!$A$3:$F$32,2,FALSE))&lt;test!$K$16,$A84&lt;&gt;E$1,Recharged_Feasible_mat!F53),(VLOOKUP(E$1,test!$A$3:$I$32,8,FALSE))-(VLOOKUP($A84,test!$A$3:$I$32,9,FALSE))+(test!$B$34-50),0)</f>
        <v>0</v>
      </c>
      <c r="F84">
        <f>IF(AND(SUM(VLOOKUP($A84,test!$A$3:$F$32,2,FALSE),VLOOKUP(F$1,test!$A$3:$F$32,2,FALSE))&lt;test!$K$16,$A84&lt;&gt;F$1,Recharged_Feasible_mat!G53),(VLOOKUP(F$1,test!$A$3:$I$32,8,FALSE))-(VLOOKUP($A84,test!$A$3:$I$32,9,FALSE))+(test!$B$34-50),0)</f>
        <v>0</v>
      </c>
      <c r="G84">
        <f>IF(AND(SUM(VLOOKUP($A84,test!$A$3:$F$32,2,FALSE),VLOOKUP(G$1,test!$A$3:$F$32,2,FALSE))&lt;test!$K$16,$A84&lt;&gt;G$1,Recharged_Feasible_mat!H53),(VLOOKUP(G$1,test!$A$3:$I$32,8,FALSE))-(VLOOKUP($A84,test!$A$3:$I$32,9,FALSE))+(test!$B$34-50),0)</f>
        <v>0</v>
      </c>
      <c r="H84">
        <f>IF(AND(SUM(VLOOKUP($A84,test!$A$3:$F$32,2,FALSE),VLOOKUP(H$1,test!$A$3:$F$32,2,FALSE))&lt;test!$K$16,$A84&lt;&gt;H$1,Recharged_Feasible_mat!I53),(VLOOKUP(H$1,test!$A$3:$I$32,8,FALSE))-(VLOOKUP($A84,test!$A$3:$I$32,9,FALSE))+(test!$B$34-50),0)</f>
        <v>0</v>
      </c>
      <c r="I84">
        <f>IF(AND(SUM(VLOOKUP($A84,test!$A$3:$F$32,2,FALSE),VLOOKUP(I$1,test!$A$3:$F$32,2,FALSE))&lt;test!$K$16,$A84&lt;&gt;I$1,Recharged_Feasible_mat!J53),(VLOOKUP(I$1,test!$A$3:$I$32,8,FALSE))-(VLOOKUP($A84,test!$A$3:$I$32,9,FALSE))+(test!$B$34-50),0)</f>
        <v>0</v>
      </c>
      <c r="J84">
        <f>IF(AND(SUM(VLOOKUP($A84,test!$A$3:$F$32,2,FALSE),VLOOKUP(J$1,test!$A$3:$F$32,2,FALSE))&lt;test!$K$16,$A84&lt;&gt;J$1,Recharged_Feasible_mat!K53),(VLOOKUP(J$1,test!$A$3:$I$32,8,FALSE))-(VLOOKUP($A84,test!$A$3:$I$32,9,FALSE))+(test!$B$34-50),0)</f>
        <v>65</v>
      </c>
      <c r="K84">
        <f>IF(AND(SUM(VLOOKUP($A84,test!$A$3:$F$32,2,FALSE),VLOOKUP(K$1,test!$A$3:$F$32,2,FALSE))&lt;test!$K$16,$A84&lt;&gt;K$1,Recharged_Feasible_mat!L53),(VLOOKUP(K$1,test!$A$3:$I$32,8,FALSE))-(VLOOKUP($A84,test!$A$3:$I$32,9,FALSE))+(test!$B$34-50),0)</f>
        <v>0</v>
      </c>
      <c r="L84">
        <f>IF(AND(SUM(VLOOKUP($A84,test!$A$3:$F$32,2,FALSE),VLOOKUP(L$1,test!$A$3:$F$32,2,FALSE))&lt;test!$K$16,$A84&lt;&gt;L$1,Recharged_Feasible_mat!M53),(VLOOKUP(L$1,test!$A$3:$I$32,8,FALSE))-(VLOOKUP($A84,test!$A$3:$I$32,9,FALSE))+(test!$B$34-50),0)</f>
        <v>0</v>
      </c>
      <c r="M84">
        <f>IF(AND(SUM(VLOOKUP($A84,test!$A$3:$F$32,2,FALSE),VLOOKUP(M$1,test!$A$3:$F$32,2,FALSE))&lt;test!$K$16,$A84&lt;&gt;M$1,Recharged_Feasible_mat!N53),(VLOOKUP(M$1,test!$A$3:$I$32,8,FALSE))-(VLOOKUP($A84,test!$A$3:$I$32,9,FALSE))+(test!$B$34-50),0)</f>
        <v>0</v>
      </c>
      <c r="N84">
        <f>IF(AND(SUM(VLOOKUP($A84,test!$A$3:$F$32,2,FALSE),VLOOKUP(N$1,test!$A$3:$F$32,2,FALSE))&lt;test!$K$16,$A84&lt;&gt;N$1,Recharged_Feasible_mat!O53),(VLOOKUP(N$1,test!$A$3:$I$32,8,FALSE))-(VLOOKUP($A84,test!$A$3:$I$32,9,FALSE))+(test!$B$34-50),0)</f>
        <v>0</v>
      </c>
      <c r="O84">
        <f>IF(AND(SUM(VLOOKUP($A84,test!$A$3:$F$32,2,FALSE),VLOOKUP(O$1,test!$A$3:$F$32,2,FALSE))&lt;test!$K$16,$A84&lt;&gt;O$1,Recharged_Feasible_mat!P53),(VLOOKUP(O$1,test!$A$3:$I$32,8,FALSE))-(VLOOKUP($A84,test!$A$3:$I$32,9,FALSE))+(test!$B$34-50),0)</f>
        <v>90</v>
      </c>
      <c r="P84">
        <f>IF(AND(SUM(VLOOKUP($A84,test!$A$3:$F$32,2,FALSE),VLOOKUP(P$1,test!$A$3:$F$32,2,FALSE))&lt;test!$K$16,$A84&lt;&gt;P$1,Recharged_Feasible_mat!Q53),(VLOOKUP(P$1,test!$A$3:$I$32,8,FALSE))-(VLOOKUP($A84,test!$A$3:$I$32,9,FALSE))+(test!$B$34-50),0)</f>
        <v>0</v>
      </c>
      <c r="Q84">
        <f>IF(AND(SUM(VLOOKUP($A84,test!$A$3:$F$32,2,FALSE),VLOOKUP(Q$1,test!$A$3:$F$32,2,FALSE))&lt;test!$K$16,$A84&lt;&gt;Q$1,Recharged_Feasible_mat!R53),(VLOOKUP(Q$1,test!$A$3:$I$32,8,FALSE))-(VLOOKUP($A84,test!$A$3:$I$32,9,FALSE))+(test!$B$34-50),0)</f>
        <v>0</v>
      </c>
      <c r="R84">
        <f>IF(AND(SUM(VLOOKUP($A84,test!$A$3:$F$32,2,FALSE),VLOOKUP(R$1,test!$A$3:$F$32,2,FALSE))&lt;test!$K$16,$A84&lt;&gt;R$1,Recharged_Feasible_mat!S53),(VLOOKUP(R$1,test!$A$3:$I$32,8,FALSE))-(VLOOKUP($A84,test!$A$3:$I$32,9,FALSE))+(test!$B$34-50),0)</f>
        <v>0</v>
      </c>
      <c r="S84">
        <f>IF(AND(SUM(VLOOKUP($A84,test!$A$3:$F$32,2,FALSE),VLOOKUP(S$1,test!$A$3:$F$32,2,FALSE))&lt;test!$K$16,$A84&lt;&gt;S$1,Recharged_Feasible_mat!T53),(VLOOKUP(S$1,test!$A$3:$I$32,8,FALSE))-(VLOOKUP($A84,test!$A$3:$I$32,9,FALSE))+(test!$B$34-50),0)</f>
        <v>0</v>
      </c>
      <c r="T84">
        <f>IF(AND(SUM(VLOOKUP($A84,test!$A$3:$F$32,2,FALSE),VLOOKUP(T$1,test!$A$3:$F$32,2,FALSE))&lt;test!$K$16,$A84&lt;&gt;T$1,Recharged_Feasible_mat!U53),(VLOOKUP(T$1,test!$A$3:$I$32,8,FALSE))-(VLOOKUP($A84,test!$A$3:$I$32,9,FALSE))+(test!$B$34-50),0)</f>
        <v>0</v>
      </c>
      <c r="U84">
        <f>IF(AND(SUM(VLOOKUP($A84,test!$A$3:$F$32,2,FALSE),VLOOKUP(U$1,test!$A$3:$F$32,2,FALSE))&lt;test!$K$16,$A84&lt;&gt;U$1,Recharged_Feasible_mat!V53),(VLOOKUP(U$1,test!$A$3:$I$32,8,FALSE))-(VLOOKUP($A84,test!$A$3:$I$32,9,FALSE))+(test!$B$34-50),0)</f>
        <v>0</v>
      </c>
      <c r="V84">
        <f>IF(AND(SUM(VLOOKUP($A84,test!$A$3:$F$32,2,FALSE),VLOOKUP(V$1,test!$A$3:$F$32,2,FALSE))&lt;test!$K$16,$A84&lt;&gt;V$1,Recharged_Feasible_mat!W53),(VLOOKUP(V$1,test!$A$3:$I$32,8,FALSE))-(VLOOKUP($A84,test!$A$3:$I$32,9,FALSE))+(test!$B$34-50),0)</f>
        <v>0</v>
      </c>
      <c r="W84">
        <f>IF(AND(SUM(VLOOKUP($A84,test!$A$3:$F$32,2,FALSE),VLOOKUP(W$1,test!$A$3:$F$32,2,FALSE))&lt;test!$K$16,$A84&lt;&gt;W$1,Recharged_Feasible_mat!X53),(VLOOKUP(W$1,test!$A$3:$I$32,8,FALSE))-(VLOOKUP($A84,test!$A$3:$I$32,9,FALSE))+(test!$B$34-50),0)</f>
        <v>0</v>
      </c>
      <c r="X84">
        <f>IF(AND(SUM(VLOOKUP($A84,test!$A$3:$F$32,2,FALSE),VLOOKUP(X$1,test!$A$3:$F$32,2,FALSE))&lt;test!$K$16,$A84&lt;&gt;X$1,Recharged_Feasible_mat!Y53),(VLOOKUP(X$1,test!$A$3:$I$32,8,FALSE))-(VLOOKUP($A84,test!$A$3:$I$32,9,FALSE))+(test!$B$34-50),0)</f>
        <v>0</v>
      </c>
      <c r="Y84">
        <f>IF(AND(SUM(VLOOKUP($A84,test!$A$3:$F$32,2,FALSE),VLOOKUP(Y$1,test!$A$3:$F$32,2,FALSE))&lt;test!$K$16,$A84&lt;&gt;Y$1,Recharged_Feasible_mat!Z53),(VLOOKUP(Y$1,test!$A$3:$I$32,8,FALSE))-(VLOOKUP($A84,test!$A$3:$I$32,9,FALSE))+(test!$B$34-50),0)</f>
        <v>0</v>
      </c>
      <c r="Z84">
        <f>IF(AND(SUM(VLOOKUP($A84,test!$A$3:$F$32,2,FALSE),VLOOKUP(Z$1,test!$A$3:$F$32,2,FALSE))&lt;test!$K$16,$A84&lt;&gt;Z$1,Recharged_Feasible_mat!AA53),(VLOOKUP(Z$1,test!$A$3:$I$32,8,FALSE))-(VLOOKUP($A84,test!$A$3:$I$32,9,FALSE))+(test!$B$34-50),0)</f>
        <v>0</v>
      </c>
      <c r="AA84">
        <f>IF(AND(SUM(VLOOKUP($A84,test!$A$3:$F$32,2,FALSE),VLOOKUP(AA$1,test!$A$3:$F$32,2,FALSE))&lt;test!$K$16,$A84&lt;&gt;AA$1,Recharged_Feasible_mat!AB53),(VLOOKUP(AA$1,test!$A$3:$I$32,8,FALSE))-(VLOOKUP($A84,test!$A$3:$I$32,9,FALSE))+(test!$B$34-50),0)</f>
        <v>0</v>
      </c>
      <c r="AB84">
        <f>IF(AND(SUM(VLOOKUP($A84,test!$A$3:$F$32,2,FALSE),VLOOKUP(AB$1,test!$A$3:$F$32,2,FALSE))&lt;test!$K$16,$A84&lt;&gt;AB$1,Recharged_Feasible_mat!AC53),(VLOOKUP(AB$1,test!$A$3:$I$32,8,FALSE))-(VLOOKUP($A84,test!$A$3:$I$32,9,FALSE))+(test!$B$34-50),0)</f>
        <v>0</v>
      </c>
      <c r="AC84">
        <f>IF(AND(SUM(VLOOKUP($A84,test!$A$3:$F$32,2,FALSE),VLOOKUP(AC$1,test!$A$3:$F$32,2,FALSE))&lt;test!$K$16,$A84&lt;&gt;AC$1,Recharged_Feasible_mat!AD53),(VLOOKUP(AC$1,test!$A$3:$I$32,8,FALSE))-(VLOOKUP($A84,test!$A$3:$I$32,9,FALSE))+(test!$B$34-50),0)</f>
        <v>0</v>
      </c>
      <c r="AD84">
        <f>IF(AND(SUM(VLOOKUP($A84,test!$A$3:$F$32,2,FALSE),VLOOKUP(AD$1,test!$A$3:$F$32,2,FALSE))&lt;test!$K$16,$A84&lt;&gt;AD$1,Recharged_Feasible_mat!AE53),(VLOOKUP(AD$1,test!$A$3:$I$32,8,FALSE))-(VLOOKUP($A84,test!$A$3:$I$32,9,FALSE))+(test!$B$34-50),0)</f>
        <v>0</v>
      </c>
      <c r="AE84">
        <f>IF(AND(SUM(VLOOKUP($A84,test!$A$3:$F$32,2,FALSE),VLOOKUP(AE$1,test!$A$3:$F$32,2,FALSE))&lt;test!$K$16,$A84&lt;&gt;AE$1,Recharged_Feasible_mat!AF53),(VLOOKUP(AE$1,test!$A$3:$I$32,8,FALSE))-(VLOOKUP($A84,test!$A$3:$I$32,9,FALSE))+(test!$B$34-50),0)</f>
        <v>0</v>
      </c>
      <c r="AF84">
        <f>IF(AND(SUM(VLOOKUP($A84,test!$A$3:$F$32,2,FALSE),VLOOKUP(AF$1,test!$A$3:$F$32,2,FALSE))&lt;test!$K$16,$A84&lt;&gt;AF$1,Recharged_Feasible_mat!AG53),(VLOOKUP(AF$1,test!$A$3:$I$32,8,FALSE))-(VLOOKUP($A84,test!$A$3:$I$32,9,FALSE))+(test!$B$34-50),0)</f>
        <v>0</v>
      </c>
    </row>
    <row r="85" spans="1:32" x14ac:dyDescent="0.25">
      <c r="A85" t="s">
        <v>32</v>
      </c>
      <c r="B85">
        <v>0</v>
      </c>
      <c r="C85">
        <f>IF(AND(SUM(VLOOKUP($A85,test!$A$3:$F$32,2,FALSE),VLOOKUP(C$1,test!$A$3:$F$32,2,FALSE))&lt;test!$K$16,$A85&lt;&gt;C$1,Recharged_Feasible_mat!D54),(VLOOKUP(C$1,test!$A$3:$I$32,8,FALSE))-(VLOOKUP($A85,test!$A$3:$I$32,9,FALSE))+(test!$B$34-50),0)</f>
        <v>0</v>
      </c>
      <c r="D85">
        <f>IF(AND(SUM(VLOOKUP($A85,test!$A$3:$F$32,2,FALSE),VLOOKUP(D$1,test!$A$3:$F$32,2,FALSE))&lt;test!$K$16,$A85&lt;&gt;D$1,Recharged_Feasible_mat!E54),(VLOOKUP(D$1,test!$A$3:$I$32,8,FALSE))-(VLOOKUP($A85,test!$A$3:$I$32,9,FALSE))+(test!$B$34-50),0)</f>
        <v>0</v>
      </c>
      <c r="E85">
        <f>IF(AND(SUM(VLOOKUP($A85,test!$A$3:$F$32,2,FALSE),VLOOKUP(E$1,test!$A$3:$F$32,2,FALSE))&lt;test!$K$16,$A85&lt;&gt;E$1,Recharged_Feasible_mat!F54),(VLOOKUP(E$1,test!$A$3:$I$32,8,FALSE))-(VLOOKUP($A85,test!$A$3:$I$32,9,FALSE))+(test!$B$34-50),0)</f>
        <v>0</v>
      </c>
      <c r="F85">
        <f>IF(AND(SUM(VLOOKUP($A85,test!$A$3:$F$32,2,FALSE),VLOOKUP(F$1,test!$A$3:$F$32,2,FALSE))&lt;test!$K$16,$A85&lt;&gt;F$1,Recharged_Feasible_mat!G54),(VLOOKUP(F$1,test!$A$3:$I$32,8,FALSE))-(VLOOKUP($A85,test!$A$3:$I$32,9,FALSE))+(test!$B$34-50),0)</f>
        <v>0</v>
      </c>
      <c r="G85">
        <f>IF(AND(SUM(VLOOKUP($A85,test!$A$3:$F$32,2,FALSE),VLOOKUP(G$1,test!$A$3:$F$32,2,FALSE))&lt;test!$K$16,$A85&lt;&gt;G$1,Recharged_Feasible_mat!H54),(VLOOKUP(G$1,test!$A$3:$I$32,8,FALSE))-(VLOOKUP($A85,test!$A$3:$I$32,9,FALSE))+(test!$B$34-50),0)</f>
        <v>0</v>
      </c>
      <c r="H85">
        <f>IF(AND(SUM(VLOOKUP($A85,test!$A$3:$F$32,2,FALSE),VLOOKUP(H$1,test!$A$3:$F$32,2,FALSE))&lt;test!$K$16,$A85&lt;&gt;H$1,Recharged_Feasible_mat!I54),(VLOOKUP(H$1,test!$A$3:$I$32,8,FALSE))-(VLOOKUP($A85,test!$A$3:$I$32,9,FALSE))+(test!$B$34-50),0)</f>
        <v>0</v>
      </c>
      <c r="I85">
        <f>IF(AND(SUM(VLOOKUP($A85,test!$A$3:$F$32,2,FALSE),VLOOKUP(I$1,test!$A$3:$F$32,2,FALSE))&lt;test!$K$16,$A85&lt;&gt;I$1,Recharged_Feasible_mat!J54),(VLOOKUP(I$1,test!$A$3:$I$32,8,FALSE))-(VLOOKUP($A85,test!$A$3:$I$32,9,FALSE))+(test!$B$34-50),0)</f>
        <v>0</v>
      </c>
      <c r="J85">
        <f>IF(AND(SUM(VLOOKUP($A85,test!$A$3:$F$32,2,FALSE),VLOOKUP(J$1,test!$A$3:$F$32,2,FALSE))&lt;test!$K$16,$A85&lt;&gt;J$1,Recharged_Feasible_mat!K54),(VLOOKUP(J$1,test!$A$3:$I$32,8,FALSE))-(VLOOKUP($A85,test!$A$3:$I$32,9,FALSE))+(test!$B$34-50),0)</f>
        <v>0</v>
      </c>
      <c r="K85">
        <f>IF(AND(SUM(VLOOKUP($A85,test!$A$3:$F$32,2,FALSE),VLOOKUP(K$1,test!$A$3:$F$32,2,FALSE))&lt;test!$K$16,$A85&lt;&gt;K$1,Recharged_Feasible_mat!L54),(VLOOKUP(K$1,test!$A$3:$I$32,8,FALSE))-(VLOOKUP($A85,test!$A$3:$I$32,9,FALSE))+(test!$B$34-50),0)</f>
        <v>0</v>
      </c>
      <c r="L85">
        <f>IF(AND(SUM(VLOOKUP($A85,test!$A$3:$F$32,2,FALSE),VLOOKUP(L$1,test!$A$3:$F$32,2,FALSE))&lt;test!$K$16,$A85&lt;&gt;L$1,Recharged_Feasible_mat!M54),(VLOOKUP(L$1,test!$A$3:$I$32,8,FALSE))-(VLOOKUP($A85,test!$A$3:$I$32,9,FALSE))+(test!$B$34-50),0)</f>
        <v>0</v>
      </c>
      <c r="M85">
        <f>IF(AND(SUM(VLOOKUP($A85,test!$A$3:$F$32,2,FALSE),VLOOKUP(M$1,test!$A$3:$F$32,2,FALSE))&lt;test!$K$16,$A85&lt;&gt;M$1,Recharged_Feasible_mat!N54),(VLOOKUP(M$1,test!$A$3:$I$32,8,FALSE))-(VLOOKUP($A85,test!$A$3:$I$32,9,FALSE))+(test!$B$34-50),0)</f>
        <v>0</v>
      </c>
      <c r="N85">
        <f>IF(AND(SUM(VLOOKUP($A85,test!$A$3:$F$32,2,FALSE),VLOOKUP(N$1,test!$A$3:$F$32,2,FALSE))&lt;test!$K$16,$A85&lt;&gt;N$1,Recharged_Feasible_mat!O54),(VLOOKUP(N$1,test!$A$3:$I$32,8,FALSE))-(VLOOKUP($A85,test!$A$3:$I$32,9,FALSE))+(test!$B$34-50),0)</f>
        <v>0</v>
      </c>
      <c r="O85">
        <f>IF(AND(SUM(VLOOKUP($A85,test!$A$3:$F$32,2,FALSE),VLOOKUP(O$1,test!$A$3:$F$32,2,FALSE))&lt;test!$K$16,$A85&lt;&gt;O$1,Recharged_Feasible_mat!P54),(VLOOKUP(O$1,test!$A$3:$I$32,8,FALSE))-(VLOOKUP($A85,test!$A$3:$I$32,9,FALSE))+(test!$B$34-50),0)</f>
        <v>0</v>
      </c>
      <c r="P85">
        <f>IF(AND(SUM(VLOOKUP($A85,test!$A$3:$F$32,2,FALSE),VLOOKUP(P$1,test!$A$3:$F$32,2,FALSE))&lt;test!$K$16,$A85&lt;&gt;P$1,Recharged_Feasible_mat!Q54),(VLOOKUP(P$1,test!$A$3:$I$32,8,FALSE))-(VLOOKUP($A85,test!$A$3:$I$32,9,FALSE))+(test!$B$34-50),0)</f>
        <v>0</v>
      </c>
      <c r="Q85">
        <f>IF(AND(SUM(VLOOKUP($A85,test!$A$3:$F$32,2,FALSE),VLOOKUP(Q$1,test!$A$3:$F$32,2,FALSE))&lt;test!$K$16,$A85&lt;&gt;Q$1,Recharged_Feasible_mat!R54),(VLOOKUP(Q$1,test!$A$3:$I$32,8,FALSE))-(VLOOKUP($A85,test!$A$3:$I$32,9,FALSE))+(test!$B$34-50),0)</f>
        <v>0</v>
      </c>
      <c r="R85">
        <f>IF(AND(SUM(VLOOKUP($A85,test!$A$3:$F$32,2,FALSE),VLOOKUP(R$1,test!$A$3:$F$32,2,FALSE))&lt;test!$K$16,$A85&lt;&gt;R$1,Recharged_Feasible_mat!S54),(VLOOKUP(R$1,test!$A$3:$I$32,8,FALSE))-(VLOOKUP($A85,test!$A$3:$I$32,9,FALSE))+(test!$B$34-50),0)</f>
        <v>0</v>
      </c>
      <c r="S85">
        <f>IF(AND(SUM(VLOOKUP($A85,test!$A$3:$F$32,2,FALSE),VLOOKUP(S$1,test!$A$3:$F$32,2,FALSE))&lt;test!$K$16,$A85&lt;&gt;S$1,Recharged_Feasible_mat!T54),(VLOOKUP(S$1,test!$A$3:$I$32,8,FALSE))-(VLOOKUP($A85,test!$A$3:$I$32,9,FALSE))+(test!$B$34-50),0)</f>
        <v>0</v>
      </c>
      <c r="T85">
        <f>IF(AND(SUM(VLOOKUP($A85,test!$A$3:$F$32,2,FALSE),VLOOKUP(T$1,test!$A$3:$F$32,2,FALSE))&lt;test!$K$16,$A85&lt;&gt;T$1,Recharged_Feasible_mat!U54),(VLOOKUP(T$1,test!$A$3:$I$32,8,FALSE))-(VLOOKUP($A85,test!$A$3:$I$32,9,FALSE))+(test!$B$34-50),0)</f>
        <v>0</v>
      </c>
      <c r="U85">
        <f>IF(AND(SUM(VLOOKUP($A85,test!$A$3:$F$32,2,FALSE),VLOOKUP(U$1,test!$A$3:$F$32,2,FALSE))&lt;test!$K$16,$A85&lt;&gt;U$1,Recharged_Feasible_mat!V54),(VLOOKUP(U$1,test!$A$3:$I$32,8,FALSE))-(VLOOKUP($A85,test!$A$3:$I$32,9,FALSE))+(test!$B$34-50),0)</f>
        <v>0</v>
      </c>
      <c r="V85">
        <f>IF(AND(SUM(VLOOKUP($A85,test!$A$3:$F$32,2,FALSE),VLOOKUP(V$1,test!$A$3:$F$32,2,FALSE))&lt;test!$K$16,$A85&lt;&gt;V$1,Recharged_Feasible_mat!W54),(VLOOKUP(V$1,test!$A$3:$I$32,8,FALSE))-(VLOOKUP($A85,test!$A$3:$I$32,9,FALSE))+(test!$B$34-50),0)</f>
        <v>0</v>
      </c>
      <c r="W85">
        <f>IF(AND(SUM(VLOOKUP($A85,test!$A$3:$F$32,2,FALSE),VLOOKUP(W$1,test!$A$3:$F$32,2,FALSE))&lt;test!$K$16,$A85&lt;&gt;W$1,Recharged_Feasible_mat!X54),(VLOOKUP(W$1,test!$A$3:$I$32,8,FALSE))-(VLOOKUP($A85,test!$A$3:$I$32,9,FALSE))+(test!$B$34-50),0)</f>
        <v>0</v>
      </c>
      <c r="X85">
        <f>IF(AND(SUM(VLOOKUP($A85,test!$A$3:$F$32,2,FALSE),VLOOKUP(X$1,test!$A$3:$F$32,2,FALSE))&lt;test!$K$16,$A85&lt;&gt;X$1,Recharged_Feasible_mat!Y54),(VLOOKUP(X$1,test!$A$3:$I$32,8,FALSE))-(VLOOKUP($A85,test!$A$3:$I$32,9,FALSE))+(test!$B$34-50),0)</f>
        <v>0</v>
      </c>
      <c r="Y85">
        <f>IF(AND(SUM(VLOOKUP($A85,test!$A$3:$F$32,2,FALSE),VLOOKUP(Y$1,test!$A$3:$F$32,2,FALSE))&lt;test!$K$16,$A85&lt;&gt;Y$1,Recharged_Feasible_mat!Z54),(VLOOKUP(Y$1,test!$A$3:$I$32,8,FALSE))-(VLOOKUP($A85,test!$A$3:$I$32,9,FALSE))+(test!$B$34-50),0)</f>
        <v>0</v>
      </c>
      <c r="Z85">
        <f>IF(AND(SUM(VLOOKUP($A85,test!$A$3:$F$32,2,FALSE),VLOOKUP(Z$1,test!$A$3:$F$32,2,FALSE))&lt;test!$K$16,$A85&lt;&gt;Z$1,Recharged_Feasible_mat!AA54),(VLOOKUP(Z$1,test!$A$3:$I$32,8,FALSE))-(VLOOKUP($A85,test!$A$3:$I$32,9,FALSE))+(test!$B$34-50),0)</f>
        <v>0</v>
      </c>
      <c r="AA85">
        <f>IF(AND(SUM(VLOOKUP($A85,test!$A$3:$F$32,2,FALSE),VLOOKUP(AA$1,test!$A$3:$F$32,2,FALSE))&lt;test!$K$16,$A85&lt;&gt;AA$1,Recharged_Feasible_mat!AB54),(VLOOKUP(AA$1,test!$A$3:$I$32,8,FALSE))-(VLOOKUP($A85,test!$A$3:$I$32,9,FALSE))+(test!$B$34-50),0)</f>
        <v>0</v>
      </c>
      <c r="AB85">
        <f>IF(AND(SUM(VLOOKUP($A85,test!$A$3:$F$32,2,FALSE),VLOOKUP(AB$1,test!$A$3:$F$32,2,FALSE))&lt;test!$K$16,$A85&lt;&gt;AB$1,Recharged_Feasible_mat!AC54),(VLOOKUP(AB$1,test!$A$3:$I$32,8,FALSE))-(VLOOKUP($A85,test!$A$3:$I$32,9,FALSE))+(test!$B$34-50),0)</f>
        <v>0</v>
      </c>
      <c r="AC85">
        <f>IF(AND(SUM(VLOOKUP($A85,test!$A$3:$F$32,2,FALSE),VLOOKUP(AC$1,test!$A$3:$F$32,2,FALSE))&lt;test!$K$16,$A85&lt;&gt;AC$1,Recharged_Feasible_mat!AD54),(VLOOKUP(AC$1,test!$A$3:$I$32,8,FALSE))-(VLOOKUP($A85,test!$A$3:$I$32,9,FALSE))+(test!$B$34-50),0)</f>
        <v>0</v>
      </c>
      <c r="AD85">
        <f>IF(AND(SUM(VLOOKUP($A85,test!$A$3:$F$32,2,FALSE),VLOOKUP(AD$1,test!$A$3:$F$32,2,FALSE))&lt;test!$K$16,$A85&lt;&gt;AD$1,Recharged_Feasible_mat!AE54),(VLOOKUP(AD$1,test!$A$3:$I$32,8,FALSE))-(VLOOKUP($A85,test!$A$3:$I$32,9,FALSE))+(test!$B$34-50),0)</f>
        <v>0</v>
      </c>
      <c r="AE85">
        <f>IF(AND(SUM(VLOOKUP($A85,test!$A$3:$F$32,2,FALSE),VLOOKUP(AE$1,test!$A$3:$F$32,2,FALSE))&lt;test!$K$16,$A85&lt;&gt;AE$1,Recharged_Feasible_mat!AF54),(VLOOKUP(AE$1,test!$A$3:$I$32,8,FALSE))-(VLOOKUP($A85,test!$A$3:$I$32,9,FALSE))+(test!$B$34-50),0)</f>
        <v>0</v>
      </c>
      <c r="AF85">
        <f>IF(AND(SUM(VLOOKUP($A85,test!$A$3:$F$32,2,FALSE),VLOOKUP(AF$1,test!$A$3:$F$32,2,FALSE))&lt;test!$K$16,$A85&lt;&gt;AF$1,Recharged_Feasible_mat!AG54),(VLOOKUP(AF$1,test!$A$3:$I$32,8,FALSE))-(VLOOKUP($A85,test!$A$3:$I$32,9,FALSE))+(test!$B$34-50),0)</f>
        <v>0</v>
      </c>
    </row>
    <row r="86" spans="1:32" x14ac:dyDescent="0.25">
      <c r="A86" t="s">
        <v>33</v>
      </c>
      <c r="B86">
        <v>0</v>
      </c>
      <c r="C86">
        <f>IF(AND(SUM(VLOOKUP($A86,test!$A$3:$F$32,2,FALSE),VLOOKUP(C$1,test!$A$3:$F$32,2,FALSE))&lt;test!$K$16,$A86&lt;&gt;C$1,Recharged_Feasible_mat!D55),(VLOOKUP(C$1,test!$A$3:$I$32,8,FALSE))-(VLOOKUP($A86,test!$A$3:$I$32,9,FALSE))+(test!$B$34-50),0)</f>
        <v>0</v>
      </c>
      <c r="D86">
        <f>IF(AND(SUM(VLOOKUP($A86,test!$A$3:$F$32,2,FALSE),VLOOKUP(D$1,test!$A$3:$F$32,2,FALSE))&lt;test!$K$16,$A86&lt;&gt;D$1,Recharged_Feasible_mat!E55),(VLOOKUP(D$1,test!$A$3:$I$32,8,FALSE))-(VLOOKUP($A86,test!$A$3:$I$32,9,FALSE))+(test!$B$34-50),0)</f>
        <v>0</v>
      </c>
      <c r="E86">
        <f>IF(AND(SUM(VLOOKUP($A86,test!$A$3:$F$32,2,FALSE),VLOOKUP(E$1,test!$A$3:$F$32,2,FALSE))&lt;test!$K$16,$A86&lt;&gt;E$1,Recharged_Feasible_mat!F55),(VLOOKUP(E$1,test!$A$3:$I$32,8,FALSE))-(VLOOKUP($A86,test!$A$3:$I$32,9,FALSE))+(test!$B$34-50),0)</f>
        <v>0</v>
      </c>
      <c r="F86">
        <f>IF(AND(SUM(VLOOKUP($A86,test!$A$3:$F$32,2,FALSE),VLOOKUP(F$1,test!$A$3:$F$32,2,FALSE))&lt;test!$K$16,$A86&lt;&gt;F$1,Recharged_Feasible_mat!G55),(VLOOKUP(F$1,test!$A$3:$I$32,8,FALSE))-(VLOOKUP($A86,test!$A$3:$I$32,9,FALSE))+(test!$B$34-50),0)</f>
        <v>0</v>
      </c>
      <c r="G86">
        <f>IF(AND(SUM(VLOOKUP($A86,test!$A$3:$F$32,2,FALSE),VLOOKUP(G$1,test!$A$3:$F$32,2,FALSE))&lt;test!$K$16,$A86&lt;&gt;G$1,Recharged_Feasible_mat!H55),(VLOOKUP(G$1,test!$A$3:$I$32,8,FALSE))-(VLOOKUP($A86,test!$A$3:$I$32,9,FALSE))+(test!$B$34-50),0)</f>
        <v>0</v>
      </c>
      <c r="H86">
        <f>IF(AND(SUM(VLOOKUP($A86,test!$A$3:$F$32,2,FALSE),VLOOKUP(H$1,test!$A$3:$F$32,2,FALSE))&lt;test!$K$16,$A86&lt;&gt;H$1,Recharged_Feasible_mat!I55),(VLOOKUP(H$1,test!$A$3:$I$32,8,FALSE))-(VLOOKUP($A86,test!$A$3:$I$32,9,FALSE))+(test!$B$34-50),0)</f>
        <v>0</v>
      </c>
      <c r="I86">
        <f>IF(AND(SUM(VLOOKUP($A86,test!$A$3:$F$32,2,FALSE),VLOOKUP(I$1,test!$A$3:$F$32,2,FALSE))&lt;test!$K$16,$A86&lt;&gt;I$1,Recharged_Feasible_mat!J55),(VLOOKUP(I$1,test!$A$3:$I$32,8,FALSE))-(VLOOKUP($A86,test!$A$3:$I$32,9,FALSE))+(test!$B$34-50),0)</f>
        <v>0</v>
      </c>
      <c r="J86">
        <f>IF(AND(SUM(VLOOKUP($A86,test!$A$3:$F$32,2,FALSE),VLOOKUP(J$1,test!$A$3:$F$32,2,FALSE))&lt;test!$K$16,$A86&lt;&gt;J$1,Recharged_Feasible_mat!K55),(VLOOKUP(J$1,test!$A$3:$I$32,8,FALSE))-(VLOOKUP($A86,test!$A$3:$I$32,9,FALSE))+(test!$B$34-50),0)</f>
        <v>0</v>
      </c>
      <c r="K86">
        <f>IF(AND(SUM(VLOOKUP($A86,test!$A$3:$F$32,2,FALSE),VLOOKUP(K$1,test!$A$3:$F$32,2,FALSE))&lt;test!$K$16,$A86&lt;&gt;K$1,Recharged_Feasible_mat!L55),(VLOOKUP(K$1,test!$A$3:$I$32,8,FALSE))-(VLOOKUP($A86,test!$A$3:$I$32,9,FALSE))+(test!$B$34-50),0)</f>
        <v>0</v>
      </c>
      <c r="L86">
        <f>IF(AND(SUM(VLOOKUP($A86,test!$A$3:$F$32,2,FALSE),VLOOKUP(L$1,test!$A$3:$F$32,2,FALSE))&lt;test!$K$16,$A86&lt;&gt;L$1,Recharged_Feasible_mat!M55),(VLOOKUP(L$1,test!$A$3:$I$32,8,FALSE))-(VLOOKUP($A86,test!$A$3:$I$32,9,FALSE))+(test!$B$34-50),0)</f>
        <v>0</v>
      </c>
      <c r="M86">
        <f>IF(AND(SUM(VLOOKUP($A86,test!$A$3:$F$32,2,FALSE),VLOOKUP(M$1,test!$A$3:$F$32,2,FALSE))&lt;test!$K$16,$A86&lt;&gt;M$1,Recharged_Feasible_mat!N55),(VLOOKUP(M$1,test!$A$3:$I$32,8,FALSE))-(VLOOKUP($A86,test!$A$3:$I$32,9,FALSE))+(test!$B$34-50),0)</f>
        <v>0</v>
      </c>
      <c r="N86">
        <f>IF(AND(SUM(VLOOKUP($A86,test!$A$3:$F$32,2,FALSE),VLOOKUP(N$1,test!$A$3:$F$32,2,FALSE))&lt;test!$K$16,$A86&lt;&gt;N$1,Recharged_Feasible_mat!O55),(VLOOKUP(N$1,test!$A$3:$I$32,8,FALSE))-(VLOOKUP($A86,test!$A$3:$I$32,9,FALSE))+(test!$B$34-50),0)</f>
        <v>0</v>
      </c>
      <c r="O86">
        <f>IF(AND(SUM(VLOOKUP($A86,test!$A$3:$F$32,2,FALSE),VLOOKUP(O$1,test!$A$3:$F$32,2,FALSE))&lt;test!$K$16,$A86&lt;&gt;O$1,Recharged_Feasible_mat!P55),(VLOOKUP(O$1,test!$A$3:$I$32,8,FALSE))-(VLOOKUP($A86,test!$A$3:$I$32,9,FALSE))+(test!$B$34-50),0)</f>
        <v>0</v>
      </c>
      <c r="P86">
        <f>IF(AND(SUM(VLOOKUP($A86,test!$A$3:$F$32,2,FALSE),VLOOKUP(P$1,test!$A$3:$F$32,2,FALSE))&lt;test!$K$16,$A86&lt;&gt;P$1,Recharged_Feasible_mat!Q55),(VLOOKUP(P$1,test!$A$3:$I$32,8,FALSE))-(VLOOKUP($A86,test!$A$3:$I$32,9,FALSE))+(test!$B$34-50),0)</f>
        <v>0</v>
      </c>
      <c r="Q86">
        <f>IF(AND(SUM(VLOOKUP($A86,test!$A$3:$F$32,2,FALSE),VLOOKUP(Q$1,test!$A$3:$F$32,2,FALSE))&lt;test!$K$16,$A86&lt;&gt;Q$1,Recharged_Feasible_mat!R55),(VLOOKUP(Q$1,test!$A$3:$I$32,8,FALSE))-(VLOOKUP($A86,test!$A$3:$I$32,9,FALSE))+(test!$B$34-50),0)</f>
        <v>0</v>
      </c>
      <c r="R86">
        <f>IF(AND(SUM(VLOOKUP($A86,test!$A$3:$F$32,2,FALSE),VLOOKUP(R$1,test!$A$3:$F$32,2,FALSE))&lt;test!$K$16,$A86&lt;&gt;R$1,Recharged_Feasible_mat!S55),(VLOOKUP(R$1,test!$A$3:$I$32,8,FALSE))-(VLOOKUP($A86,test!$A$3:$I$32,9,FALSE))+(test!$B$34-50),0)</f>
        <v>0</v>
      </c>
      <c r="S86">
        <f>IF(AND(SUM(VLOOKUP($A86,test!$A$3:$F$32,2,FALSE),VLOOKUP(S$1,test!$A$3:$F$32,2,FALSE))&lt;test!$K$16,$A86&lt;&gt;S$1,Recharged_Feasible_mat!T55),(VLOOKUP(S$1,test!$A$3:$I$32,8,FALSE))-(VLOOKUP($A86,test!$A$3:$I$32,9,FALSE))+(test!$B$34-50),0)</f>
        <v>0</v>
      </c>
      <c r="T86">
        <f>IF(AND(SUM(VLOOKUP($A86,test!$A$3:$F$32,2,FALSE),VLOOKUP(T$1,test!$A$3:$F$32,2,FALSE))&lt;test!$K$16,$A86&lt;&gt;T$1,Recharged_Feasible_mat!U55),(VLOOKUP(T$1,test!$A$3:$I$32,8,FALSE))-(VLOOKUP($A86,test!$A$3:$I$32,9,FALSE))+(test!$B$34-50),0)</f>
        <v>0</v>
      </c>
      <c r="U86">
        <f>IF(AND(SUM(VLOOKUP($A86,test!$A$3:$F$32,2,FALSE),VLOOKUP(U$1,test!$A$3:$F$32,2,FALSE))&lt;test!$K$16,$A86&lt;&gt;U$1,Recharged_Feasible_mat!V55),(VLOOKUP(U$1,test!$A$3:$I$32,8,FALSE))-(VLOOKUP($A86,test!$A$3:$I$32,9,FALSE))+(test!$B$34-50),0)</f>
        <v>0</v>
      </c>
      <c r="V86">
        <f>IF(AND(SUM(VLOOKUP($A86,test!$A$3:$F$32,2,FALSE),VLOOKUP(V$1,test!$A$3:$F$32,2,FALSE))&lt;test!$K$16,$A86&lt;&gt;V$1,Recharged_Feasible_mat!W55),(VLOOKUP(V$1,test!$A$3:$I$32,8,FALSE))-(VLOOKUP($A86,test!$A$3:$I$32,9,FALSE))+(test!$B$34-50),0)</f>
        <v>0</v>
      </c>
      <c r="W86">
        <f>IF(AND(SUM(VLOOKUP($A86,test!$A$3:$F$32,2,FALSE),VLOOKUP(W$1,test!$A$3:$F$32,2,FALSE))&lt;test!$K$16,$A86&lt;&gt;W$1,Recharged_Feasible_mat!X55),(VLOOKUP(W$1,test!$A$3:$I$32,8,FALSE))-(VLOOKUP($A86,test!$A$3:$I$32,9,FALSE))+(test!$B$34-50),0)</f>
        <v>0</v>
      </c>
      <c r="X86">
        <f>IF(AND(SUM(VLOOKUP($A86,test!$A$3:$F$32,2,FALSE),VLOOKUP(X$1,test!$A$3:$F$32,2,FALSE))&lt;test!$K$16,$A86&lt;&gt;X$1,Recharged_Feasible_mat!Y55),(VLOOKUP(X$1,test!$A$3:$I$32,8,FALSE))-(VLOOKUP($A86,test!$A$3:$I$32,9,FALSE))+(test!$B$34-50),0)</f>
        <v>0</v>
      </c>
      <c r="Y86">
        <f>IF(AND(SUM(VLOOKUP($A86,test!$A$3:$F$32,2,FALSE),VLOOKUP(Y$1,test!$A$3:$F$32,2,FALSE))&lt;test!$K$16,$A86&lt;&gt;Y$1,Recharged_Feasible_mat!Z55),(VLOOKUP(Y$1,test!$A$3:$I$32,8,FALSE))-(VLOOKUP($A86,test!$A$3:$I$32,9,FALSE))+(test!$B$34-50),0)</f>
        <v>0</v>
      </c>
      <c r="Z86">
        <f>IF(AND(SUM(VLOOKUP($A86,test!$A$3:$F$32,2,FALSE),VLOOKUP(Z$1,test!$A$3:$F$32,2,FALSE))&lt;test!$K$16,$A86&lt;&gt;Z$1,Recharged_Feasible_mat!AA55),(VLOOKUP(Z$1,test!$A$3:$I$32,8,FALSE))-(VLOOKUP($A86,test!$A$3:$I$32,9,FALSE))+(test!$B$34-50),0)</f>
        <v>0</v>
      </c>
      <c r="AA86">
        <f>IF(AND(SUM(VLOOKUP($A86,test!$A$3:$F$32,2,FALSE),VLOOKUP(AA$1,test!$A$3:$F$32,2,FALSE))&lt;test!$K$16,$A86&lt;&gt;AA$1,Recharged_Feasible_mat!AB55),(VLOOKUP(AA$1,test!$A$3:$I$32,8,FALSE))-(VLOOKUP($A86,test!$A$3:$I$32,9,FALSE))+(test!$B$34-50),0)</f>
        <v>0</v>
      </c>
      <c r="AB86">
        <f>IF(AND(SUM(VLOOKUP($A86,test!$A$3:$F$32,2,FALSE),VLOOKUP(AB$1,test!$A$3:$F$32,2,FALSE))&lt;test!$K$16,$A86&lt;&gt;AB$1,Recharged_Feasible_mat!AC55),(VLOOKUP(AB$1,test!$A$3:$I$32,8,FALSE))-(VLOOKUP($A86,test!$A$3:$I$32,9,FALSE))+(test!$B$34-50),0)</f>
        <v>0</v>
      </c>
      <c r="AC86">
        <f>IF(AND(SUM(VLOOKUP($A86,test!$A$3:$F$32,2,FALSE),VLOOKUP(AC$1,test!$A$3:$F$32,2,FALSE))&lt;test!$K$16,$A86&lt;&gt;AC$1,Recharged_Feasible_mat!AD55),(VLOOKUP(AC$1,test!$A$3:$I$32,8,FALSE))-(VLOOKUP($A86,test!$A$3:$I$32,9,FALSE))+(test!$B$34-50),0)</f>
        <v>0</v>
      </c>
      <c r="AD86">
        <f>IF(AND(SUM(VLOOKUP($A86,test!$A$3:$F$32,2,FALSE),VLOOKUP(AD$1,test!$A$3:$F$32,2,FALSE))&lt;test!$K$16,$A86&lt;&gt;AD$1,Recharged_Feasible_mat!AE55),(VLOOKUP(AD$1,test!$A$3:$I$32,8,FALSE))-(VLOOKUP($A86,test!$A$3:$I$32,9,FALSE))+(test!$B$34-50),0)</f>
        <v>0</v>
      </c>
      <c r="AE86">
        <f>IF(AND(SUM(VLOOKUP($A86,test!$A$3:$F$32,2,FALSE),VLOOKUP(AE$1,test!$A$3:$F$32,2,FALSE))&lt;test!$K$16,$A86&lt;&gt;AE$1,Recharged_Feasible_mat!AF55),(VLOOKUP(AE$1,test!$A$3:$I$32,8,FALSE))-(VLOOKUP($A86,test!$A$3:$I$32,9,FALSE))+(test!$B$34-50),0)</f>
        <v>0</v>
      </c>
      <c r="AF86">
        <f>IF(AND(SUM(VLOOKUP($A86,test!$A$3:$F$32,2,FALSE),VLOOKUP(AF$1,test!$A$3:$F$32,2,FALSE))&lt;test!$K$16,$A86&lt;&gt;AF$1,Recharged_Feasible_mat!AG55),(VLOOKUP(AF$1,test!$A$3:$I$32,8,FALSE))-(VLOOKUP($A86,test!$A$3:$I$32,9,FALSE))+(test!$B$34-50),0)</f>
        <v>0</v>
      </c>
    </row>
    <row r="87" spans="1:32" x14ac:dyDescent="0.25">
      <c r="A87" t="s">
        <v>34</v>
      </c>
      <c r="B87">
        <v>0</v>
      </c>
      <c r="C87">
        <f>IF(AND(SUM(VLOOKUP($A87,test!$A$3:$F$32,2,FALSE),VLOOKUP(C$1,test!$A$3:$F$32,2,FALSE))&lt;test!$K$16,$A87&lt;&gt;C$1,Recharged_Feasible_mat!D56),(VLOOKUP(C$1,test!$A$3:$I$32,8,FALSE))-(VLOOKUP($A87,test!$A$3:$I$32,9,FALSE))+(test!$B$34-50),0)</f>
        <v>0</v>
      </c>
      <c r="D87">
        <f>IF(AND(SUM(VLOOKUP($A87,test!$A$3:$F$32,2,FALSE),VLOOKUP(D$1,test!$A$3:$F$32,2,FALSE))&lt;test!$K$16,$A87&lt;&gt;D$1,Recharged_Feasible_mat!E56),(VLOOKUP(D$1,test!$A$3:$I$32,8,FALSE))-(VLOOKUP($A87,test!$A$3:$I$32,9,FALSE))+(test!$B$34-50),0)</f>
        <v>0</v>
      </c>
      <c r="E87">
        <f>IF(AND(SUM(VLOOKUP($A87,test!$A$3:$F$32,2,FALSE),VLOOKUP(E$1,test!$A$3:$F$32,2,FALSE))&lt;test!$K$16,$A87&lt;&gt;E$1,Recharged_Feasible_mat!F56),(VLOOKUP(E$1,test!$A$3:$I$32,8,FALSE))-(VLOOKUP($A87,test!$A$3:$I$32,9,FALSE))+(test!$B$34-50),0)</f>
        <v>120</v>
      </c>
      <c r="F87">
        <f>IF(AND(SUM(VLOOKUP($A87,test!$A$3:$F$32,2,FALSE),VLOOKUP(F$1,test!$A$3:$F$32,2,FALSE))&lt;test!$K$16,$A87&lt;&gt;F$1,Recharged_Feasible_mat!G56),(VLOOKUP(F$1,test!$A$3:$I$32,8,FALSE))-(VLOOKUP($A87,test!$A$3:$I$32,9,FALSE))+(test!$B$34-50),0)</f>
        <v>210</v>
      </c>
      <c r="G87">
        <f>IF(AND(SUM(VLOOKUP($A87,test!$A$3:$F$32,2,FALSE),VLOOKUP(G$1,test!$A$3:$F$32,2,FALSE))&lt;test!$K$16,$A87&lt;&gt;G$1,Recharged_Feasible_mat!H56),(VLOOKUP(G$1,test!$A$3:$I$32,8,FALSE))-(VLOOKUP($A87,test!$A$3:$I$32,9,FALSE))+(test!$B$34-50),0)</f>
        <v>270</v>
      </c>
      <c r="H87">
        <f>IF(AND(SUM(VLOOKUP($A87,test!$A$3:$F$32,2,FALSE),VLOOKUP(H$1,test!$A$3:$F$32,2,FALSE))&lt;test!$K$16,$A87&lt;&gt;H$1,Recharged_Feasible_mat!I56),(VLOOKUP(H$1,test!$A$3:$I$32,8,FALSE))-(VLOOKUP($A87,test!$A$3:$I$32,9,FALSE))+(test!$B$34-50),0)</f>
        <v>330</v>
      </c>
      <c r="I87">
        <f>IF(AND(SUM(VLOOKUP($A87,test!$A$3:$F$32,2,FALSE),VLOOKUP(I$1,test!$A$3:$F$32,2,FALSE))&lt;test!$K$16,$A87&lt;&gt;I$1,Recharged_Feasible_mat!J56),(VLOOKUP(I$1,test!$A$3:$I$32,8,FALSE))-(VLOOKUP($A87,test!$A$3:$I$32,9,FALSE))+(test!$B$34-50),0)</f>
        <v>390</v>
      </c>
      <c r="J87">
        <f>IF(AND(SUM(VLOOKUP($A87,test!$A$3:$F$32,2,FALSE),VLOOKUP(J$1,test!$A$3:$F$32,2,FALSE))&lt;test!$K$16,$A87&lt;&gt;J$1,Recharged_Feasible_mat!K56),(VLOOKUP(J$1,test!$A$3:$I$32,8,FALSE))-(VLOOKUP($A87,test!$A$3:$I$32,9,FALSE))+(test!$B$34-50),0)</f>
        <v>480</v>
      </c>
      <c r="K87">
        <f>IF(AND(SUM(VLOOKUP($A87,test!$A$3:$F$32,2,FALSE),VLOOKUP(K$1,test!$A$3:$F$32,2,FALSE))&lt;test!$K$16,$A87&lt;&gt;K$1,Recharged_Feasible_mat!L56),(VLOOKUP(K$1,test!$A$3:$I$32,8,FALSE))-(VLOOKUP($A87,test!$A$3:$I$32,9,FALSE))+(test!$B$34-50),0)</f>
        <v>0</v>
      </c>
      <c r="L87">
        <f>IF(AND(SUM(VLOOKUP($A87,test!$A$3:$F$32,2,FALSE),VLOOKUP(L$1,test!$A$3:$F$32,2,FALSE))&lt;test!$K$16,$A87&lt;&gt;L$1,Recharged_Feasible_mat!M56),(VLOOKUP(L$1,test!$A$3:$I$32,8,FALSE))-(VLOOKUP($A87,test!$A$3:$I$32,9,FALSE))+(test!$B$34-50),0)</f>
        <v>0</v>
      </c>
      <c r="M87">
        <f>IF(AND(SUM(VLOOKUP($A87,test!$A$3:$F$32,2,FALSE),VLOOKUP(M$1,test!$A$3:$F$32,2,FALSE))&lt;test!$K$16,$A87&lt;&gt;M$1,Recharged_Feasible_mat!N56),(VLOOKUP(M$1,test!$A$3:$I$32,8,FALSE))-(VLOOKUP($A87,test!$A$3:$I$32,9,FALSE))+(test!$B$34-50),0)</f>
        <v>85</v>
      </c>
      <c r="N87">
        <f>IF(AND(SUM(VLOOKUP($A87,test!$A$3:$F$32,2,FALSE),VLOOKUP(N$1,test!$A$3:$F$32,2,FALSE))&lt;test!$K$16,$A87&lt;&gt;N$1,Recharged_Feasible_mat!O56),(VLOOKUP(N$1,test!$A$3:$I$32,8,FALSE))-(VLOOKUP($A87,test!$A$3:$I$32,9,FALSE))+(test!$B$34-50),0)</f>
        <v>445</v>
      </c>
      <c r="O87">
        <f>IF(AND(SUM(VLOOKUP($A87,test!$A$3:$F$32,2,FALSE),VLOOKUP(O$1,test!$A$3:$F$32,2,FALSE))&lt;test!$K$16,$A87&lt;&gt;O$1,Recharged_Feasible_mat!P56),(VLOOKUP(O$1,test!$A$3:$I$32,8,FALSE))-(VLOOKUP($A87,test!$A$3:$I$32,9,FALSE))+(test!$B$34-50),0)</f>
        <v>505</v>
      </c>
      <c r="P87">
        <f>IF(AND(SUM(VLOOKUP($A87,test!$A$3:$F$32,2,FALSE),VLOOKUP(P$1,test!$A$3:$F$32,2,FALSE))&lt;test!$K$16,$A87&lt;&gt;P$1,Recharged_Feasible_mat!Q56),(VLOOKUP(P$1,test!$A$3:$I$32,8,FALSE))-(VLOOKUP($A87,test!$A$3:$I$32,9,FALSE))+(test!$B$34-50),0)</f>
        <v>0</v>
      </c>
      <c r="Q87">
        <f>IF(AND(SUM(VLOOKUP($A87,test!$A$3:$F$32,2,FALSE),VLOOKUP(Q$1,test!$A$3:$F$32,2,FALSE))&lt;test!$K$16,$A87&lt;&gt;Q$1,Recharged_Feasible_mat!R56),(VLOOKUP(Q$1,test!$A$3:$I$32,8,FALSE))-(VLOOKUP($A87,test!$A$3:$I$32,9,FALSE))+(test!$B$34-50),0)</f>
        <v>0</v>
      </c>
      <c r="R87">
        <f>IF(AND(SUM(VLOOKUP($A87,test!$A$3:$F$32,2,FALSE),VLOOKUP(R$1,test!$A$3:$F$32,2,FALSE))&lt;test!$K$16,$A87&lt;&gt;R$1,Recharged_Feasible_mat!S56),(VLOOKUP(R$1,test!$A$3:$I$32,8,FALSE))-(VLOOKUP($A87,test!$A$3:$I$32,9,FALSE))+(test!$B$34-50),0)</f>
        <v>0</v>
      </c>
      <c r="S87">
        <f>IF(AND(SUM(VLOOKUP($A87,test!$A$3:$F$32,2,FALSE),VLOOKUP(S$1,test!$A$3:$F$32,2,FALSE))&lt;test!$K$16,$A87&lt;&gt;S$1,Recharged_Feasible_mat!T56),(VLOOKUP(S$1,test!$A$3:$I$32,8,FALSE))-(VLOOKUP($A87,test!$A$3:$I$32,9,FALSE))+(test!$B$34-50),0)</f>
        <v>0</v>
      </c>
      <c r="T87">
        <f>IF(AND(SUM(VLOOKUP($A87,test!$A$3:$F$32,2,FALSE),VLOOKUP(T$1,test!$A$3:$F$32,2,FALSE))&lt;test!$K$16,$A87&lt;&gt;T$1,Recharged_Feasible_mat!U56),(VLOOKUP(T$1,test!$A$3:$I$32,8,FALSE))-(VLOOKUP($A87,test!$A$3:$I$32,9,FALSE))+(test!$B$34-50),0)</f>
        <v>100</v>
      </c>
      <c r="U87">
        <f>IF(AND(SUM(VLOOKUP($A87,test!$A$3:$F$32,2,FALSE),VLOOKUP(U$1,test!$A$3:$F$32,2,FALSE))&lt;test!$K$16,$A87&lt;&gt;U$1,Recharged_Feasible_mat!V56),(VLOOKUP(U$1,test!$A$3:$I$32,8,FALSE))-(VLOOKUP($A87,test!$A$3:$I$32,9,FALSE))+(test!$B$34-50),0)</f>
        <v>190</v>
      </c>
      <c r="V87">
        <f>IF(AND(SUM(VLOOKUP($A87,test!$A$3:$F$32,2,FALSE),VLOOKUP(V$1,test!$A$3:$F$32,2,FALSE))&lt;test!$K$16,$A87&lt;&gt;V$1,Recharged_Feasible_mat!W56),(VLOOKUP(V$1,test!$A$3:$I$32,8,FALSE))-(VLOOKUP($A87,test!$A$3:$I$32,9,FALSE))+(test!$B$34-50),0)</f>
        <v>280</v>
      </c>
      <c r="W87">
        <f>IF(AND(SUM(VLOOKUP($A87,test!$A$3:$F$32,2,FALSE),VLOOKUP(W$1,test!$A$3:$F$32,2,FALSE))&lt;test!$K$16,$A87&lt;&gt;W$1,Recharged_Feasible_mat!X56),(VLOOKUP(W$1,test!$A$3:$I$32,8,FALSE))-(VLOOKUP($A87,test!$A$3:$I$32,9,FALSE))+(test!$B$34-50),0)</f>
        <v>370</v>
      </c>
      <c r="X87">
        <f>IF(AND(SUM(VLOOKUP($A87,test!$A$3:$F$32,2,FALSE),VLOOKUP(X$1,test!$A$3:$F$32,2,FALSE))&lt;test!$K$16,$A87&lt;&gt;X$1,Recharged_Feasible_mat!Y56),(VLOOKUP(X$1,test!$A$3:$I$32,8,FALSE))-(VLOOKUP($A87,test!$A$3:$I$32,9,FALSE))+(test!$B$34-50),0)</f>
        <v>430</v>
      </c>
      <c r="Y87">
        <f>IF(AND(SUM(VLOOKUP($A87,test!$A$3:$F$32,2,FALSE),VLOOKUP(Y$1,test!$A$3:$F$32,2,FALSE))&lt;test!$K$16,$A87&lt;&gt;Y$1,Recharged_Feasible_mat!Z56),(VLOOKUP(Y$1,test!$A$3:$I$32,8,FALSE))-(VLOOKUP($A87,test!$A$3:$I$32,9,FALSE))+(test!$B$34-50),0)</f>
        <v>0</v>
      </c>
      <c r="Z87">
        <f>IF(AND(SUM(VLOOKUP($A87,test!$A$3:$F$32,2,FALSE),VLOOKUP(Z$1,test!$A$3:$F$32,2,FALSE))&lt;test!$K$16,$A87&lt;&gt;Z$1,Recharged_Feasible_mat!AA56),(VLOOKUP(Z$1,test!$A$3:$I$32,8,FALSE))-(VLOOKUP($A87,test!$A$3:$I$32,9,FALSE))+(test!$B$34-50),0)</f>
        <v>0</v>
      </c>
      <c r="AA87">
        <f>IF(AND(SUM(VLOOKUP($A87,test!$A$3:$F$32,2,FALSE),VLOOKUP(AA$1,test!$A$3:$F$32,2,FALSE))&lt;test!$K$16,$A87&lt;&gt;AA$1,Recharged_Feasible_mat!AB56),(VLOOKUP(AA$1,test!$A$3:$I$32,8,FALSE))-(VLOOKUP($A87,test!$A$3:$I$32,9,FALSE))+(test!$B$34-50),0)</f>
        <v>150</v>
      </c>
      <c r="AB87">
        <f>IF(AND(SUM(VLOOKUP($A87,test!$A$3:$F$32,2,FALSE),VLOOKUP(AB$1,test!$A$3:$F$32,2,FALSE))&lt;test!$K$16,$A87&lt;&gt;AB$1,Recharged_Feasible_mat!AC56),(VLOOKUP(AB$1,test!$A$3:$I$32,8,FALSE))-(VLOOKUP($A87,test!$A$3:$I$32,9,FALSE))+(test!$B$34-50),0)</f>
        <v>210</v>
      </c>
      <c r="AC87">
        <f>IF(AND(SUM(VLOOKUP($A87,test!$A$3:$F$32,2,FALSE),VLOOKUP(AC$1,test!$A$3:$F$32,2,FALSE))&lt;test!$K$16,$A87&lt;&gt;AC$1,Recharged_Feasible_mat!AD56),(VLOOKUP(AC$1,test!$A$3:$I$32,8,FALSE))-(VLOOKUP($A87,test!$A$3:$I$32,9,FALSE))+(test!$B$34-50),0)</f>
        <v>330</v>
      </c>
      <c r="AD87">
        <f>IF(AND(SUM(VLOOKUP($A87,test!$A$3:$F$32,2,FALSE),VLOOKUP(AD$1,test!$A$3:$F$32,2,FALSE))&lt;test!$K$16,$A87&lt;&gt;AD$1,Recharged_Feasible_mat!AE56),(VLOOKUP(AD$1,test!$A$3:$I$32,8,FALSE))-(VLOOKUP($A87,test!$A$3:$I$32,9,FALSE))+(test!$B$34-50),0)</f>
        <v>0</v>
      </c>
      <c r="AE87">
        <f>IF(AND(SUM(VLOOKUP($A87,test!$A$3:$F$32,2,FALSE),VLOOKUP(AE$1,test!$A$3:$F$32,2,FALSE))&lt;test!$K$16,$A87&lt;&gt;AE$1,Recharged_Feasible_mat!AF56),(VLOOKUP(AE$1,test!$A$3:$I$32,8,FALSE))-(VLOOKUP($A87,test!$A$3:$I$32,9,FALSE))+(test!$B$34-50),0)</f>
        <v>0</v>
      </c>
      <c r="AF87">
        <f>IF(AND(SUM(VLOOKUP($A87,test!$A$3:$F$32,2,FALSE),VLOOKUP(AF$1,test!$A$3:$F$32,2,FALSE))&lt;test!$K$16,$A87&lt;&gt;AF$1,Recharged_Feasible_mat!AG56),(VLOOKUP(AF$1,test!$A$3:$I$32,8,FALSE))-(VLOOKUP($A87,test!$A$3:$I$32,9,FALSE))+(test!$B$34-50),0)</f>
        <v>0</v>
      </c>
    </row>
    <row r="88" spans="1:32" x14ac:dyDescent="0.25">
      <c r="A88" t="s">
        <v>35</v>
      </c>
      <c r="B88">
        <v>0</v>
      </c>
      <c r="C88">
        <f>IF(AND(SUM(VLOOKUP($A88,test!$A$3:$F$32,2,FALSE),VLOOKUP(C$1,test!$A$3:$F$32,2,FALSE))&lt;test!$K$16,$A88&lt;&gt;C$1,Recharged_Feasible_mat!D57),(VLOOKUP(C$1,test!$A$3:$I$32,8,FALSE))-(VLOOKUP($A88,test!$A$3:$I$32,9,FALSE))+(test!$B$34-50),0)</f>
        <v>0</v>
      </c>
      <c r="D88">
        <f>IF(AND(SUM(VLOOKUP($A88,test!$A$3:$F$32,2,FALSE),VLOOKUP(D$1,test!$A$3:$F$32,2,FALSE))&lt;test!$K$16,$A88&lt;&gt;D$1,Recharged_Feasible_mat!E57),(VLOOKUP(D$1,test!$A$3:$I$32,8,FALSE))-(VLOOKUP($A88,test!$A$3:$I$32,9,FALSE))+(test!$B$34-50),0)</f>
        <v>0</v>
      </c>
      <c r="E88">
        <f>IF(AND(SUM(VLOOKUP($A88,test!$A$3:$F$32,2,FALSE),VLOOKUP(E$1,test!$A$3:$F$32,2,FALSE))&lt;test!$K$16,$A88&lt;&gt;E$1,Recharged_Feasible_mat!F57),(VLOOKUP(E$1,test!$A$3:$I$32,8,FALSE))-(VLOOKUP($A88,test!$A$3:$I$32,9,FALSE))+(test!$B$34-50),0)</f>
        <v>0</v>
      </c>
      <c r="F88">
        <f>IF(AND(SUM(VLOOKUP($A88,test!$A$3:$F$32,2,FALSE),VLOOKUP(F$1,test!$A$3:$F$32,2,FALSE))&lt;test!$K$16,$A88&lt;&gt;F$1,Recharged_Feasible_mat!G57),(VLOOKUP(F$1,test!$A$3:$I$32,8,FALSE))-(VLOOKUP($A88,test!$A$3:$I$32,9,FALSE))+(test!$B$34-50),0)</f>
        <v>0</v>
      </c>
      <c r="G88">
        <f>IF(AND(SUM(VLOOKUP($A88,test!$A$3:$F$32,2,FALSE),VLOOKUP(G$1,test!$A$3:$F$32,2,FALSE))&lt;test!$K$16,$A88&lt;&gt;G$1,Recharged_Feasible_mat!H57),(VLOOKUP(G$1,test!$A$3:$I$32,8,FALSE))-(VLOOKUP($A88,test!$A$3:$I$32,9,FALSE))+(test!$B$34-50),0)</f>
        <v>100</v>
      </c>
      <c r="H88">
        <f>IF(AND(SUM(VLOOKUP($A88,test!$A$3:$F$32,2,FALSE),VLOOKUP(H$1,test!$A$3:$F$32,2,FALSE))&lt;test!$K$16,$A88&lt;&gt;H$1,Recharged_Feasible_mat!I57),(VLOOKUP(H$1,test!$A$3:$I$32,8,FALSE))-(VLOOKUP($A88,test!$A$3:$I$32,9,FALSE))+(test!$B$34-50),0)</f>
        <v>160</v>
      </c>
      <c r="I88">
        <f>IF(AND(SUM(VLOOKUP($A88,test!$A$3:$F$32,2,FALSE),VLOOKUP(I$1,test!$A$3:$F$32,2,FALSE))&lt;test!$K$16,$A88&lt;&gt;I$1,Recharged_Feasible_mat!J57),(VLOOKUP(I$1,test!$A$3:$I$32,8,FALSE))-(VLOOKUP($A88,test!$A$3:$I$32,9,FALSE))+(test!$B$34-50),0)</f>
        <v>220</v>
      </c>
      <c r="J88">
        <f>IF(AND(SUM(VLOOKUP($A88,test!$A$3:$F$32,2,FALSE),VLOOKUP(J$1,test!$A$3:$F$32,2,FALSE))&lt;test!$K$16,$A88&lt;&gt;J$1,Recharged_Feasible_mat!K57),(VLOOKUP(J$1,test!$A$3:$I$32,8,FALSE))-(VLOOKUP($A88,test!$A$3:$I$32,9,FALSE))+(test!$B$34-50),0)</f>
        <v>310</v>
      </c>
      <c r="K88">
        <f>IF(AND(SUM(VLOOKUP($A88,test!$A$3:$F$32,2,FALSE),VLOOKUP(K$1,test!$A$3:$F$32,2,FALSE))&lt;test!$K$16,$A88&lt;&gt;K$1,Recharged_Feasible_mat!L57),(VLOOKUP(K$1,test!$A$3:$I$32,8,FALSE))-(VLOOKUP($A88,test!$A$3:$I$32,9,FALSE))+(test!$B$34-50),0)</f>
        <v>0</v>
      </c>
      <c r="L88">
        <f>IF(AND(SUM(VLOOKUP($A88,test!$A$3:$F$32,2,FALSE),VLOOKUP(L$1,test!$A$3:$F$32,2,FALSE))&lt;test!$K$16,$A88&lt;&gt;L$1,Recharged_Feasible_mat!M57),(VLOOKUP(L$1,test!$A$3:$I$32,8,FALSE))-(VLOOKUP($A88,test!$A$3:$I$32,9,FALSE))+(test!$B$34-50),0)</f>
        <v>0</v>
      </c>
      <c r="M88">
        <f>IF(AND(SUM(VLOOKUP($A88,test!$A$3:$F$32,2,FALSE),VLOOKUP(M$1,test!$A$3:$F$32,2,FALSE))&lt;test!$K$16,$A88&lt;&gt;M$1,Recharged_Feasible_mat!N57),(VLOOKUP(M$1,test!$A$3:$I$32,8,FALSE))-(VLOOKUP($A88,test!$A$3:$I$32,9,FALSE))+(test!$B$34-50),0)</f>
        <v>0</v>
      </c>
      <c r="N88">
        <f>IF(AND(SUM(VLOOKUP($A88,test!$A$3:$F$32,2,FALSE),VLOOKUP(N$1,test!$A$3:$F$32,2,FALSE))&lt;test!$K$16,$A88&lt;&gt;N$1,Recharged_Feasible_mat!O57),(VLOOKUP(N$1,test!$A$3:$I$32,8,FALSE))-(VLOOKUP($A88,test!$A$3:$I$32,9,FALSE))+(test!$B$34-50),0)</f>
        <v>275</v>
      </c>
      <c r="O88">
        <f>IF(AND(SUM(VLOOKUP($A88,test!$A$3:$F$32,2,FALSE),VLOOKUP(O$1,test!$A$3:$F$32,2,FALSE))&lt;test!$K$16,$A88&lt;&gt;O$1,Recharged_Feasible_mat!P57),(VLOOKUP(O$1,test!$A$3:$I$32,8,FALSE))-(VLOOKUP($A88,test!$A$3:$I$32,9,FALSE))+(test!$B$34-50),0)</f>
        <v>335</v>
      </c>
      <c r="P88">
        <f>IF(AND(SUM(VLOOKUP($A88,test!$A$3:$F$32,2,FALSE),VLOOKUP(P$1,test!$A$3:$F$32,2,FALSE))&lt;test!$K$16,$A88&lt;&gt;P$1,Recharged_Feasible_mat!Q57),(VLOOKUP(P$1,test!$A$3:$I$32,8,FALSE))-(VLOOKUP($A88,test!$A$3:$I$32,9,FALSE))+(test!$B$34-50),0)</f>
        <v>0</v>
      </c>
      <c r="Q88">
        <f>IF(AND(SUM(VLOOKUP($A88,test!$A$3:$F$32,2,FALSE),VLOOKUP(Q$1,test!$A$3:$F$32,2,FALSE))&lt;test!$K$16,$A88&lt;&gt;Q$1,Recharged_Feasible_mat!R57),(VLOOKUP(Q$1,test!$A$3:$I$32,8,FALSE))-(VLOOKUP($A88,test!$A$3:$I$32,9,FALSE))+(test!$B$34-50),0)</f>
        <v>0</v>
      </c>
      <c r="R88">
        <f>IF(AND(SUM(VLOOKUP($A88,test!$A$3:$F$32,2,FALSE),VLOOKUP(R$1,test!$A$3:$F$32,2,FALSE))&lt;test!$K$16,$A88&lt;&gt;R$1,Recharged_Feasible_mat!S57),(VLOOKUP(R$1,test!$A$3:$I$32,8,FALSE))-(VLOOKUP($A88,test!$A$3:$I$32,9,FALSE))+(test!$B$34-50),0)</f>
        <v>0</v>
      </c>
      <c r="S88">
        <f>IF(AND(SUM(VLOOKUP($A88,test!$A$3:$F$32,2,FALSE),VLOOKUP(S$1,test!$A$3:$F$32,2,FALSE))&lt;test!$K$16,$A88&lt;&gt;S$1,Recharged_Feasible_mat!T57),(VLOOKUP(S$1,test!$A$3:$I$32,8,FALSE))-(VLOOKUP($A88,test!$A$3:$I$32,9,FALSE))+(test!$B$34-50),0)</f>
        <v>0</v>
      </c>
      <c r="T88">
        <f>IF(AND(SUM(VLOOKUP($A88,test!$A$3:$F$32,2,FALSE),VLOOKUP(T$1,test!$A$3:$F$32,2,FALSE))&lt;test!$K$16,$A88&lt;&gt;T$1,Recharged_Feasible_mat!U57),(VLOOKUP(T$1,test!$A$3:$I$32,8,FALSE))-(VLOOKUP($A88,test!$A$3:$I$32,9,FALSE))+(test!$B$34-50),0)</f>
        <v>0</v>
      </c>
      <c r="U88">
        <f>IF(AND(SUM(VLOOKUP($A88,test!$A$3:$F$32,2,FALSE),VLOOKUP(U$1,test!$A$3:$F$32,2,FALSE))&lt;test!$K$16,$A88&lt;&gt;U$1,Recharged_Feasible_mat!V57),(VLOOKUP(U$1,test!$A$3:$I$32,8,FALSE))-(VLOOKUP($A88,test!$A$3:$I$32,9,FALSE))+(test!$B$34-50),0)</f>
        <v>0</v>
      </c>
      <c r="V88">
        <f>IF(AND(SUM(VLOOKUP($A88,test!$A$3:$F$32,2,FALSE),VLOOKUP(V$1,test!$A$3:$F$32,2,FALSE))&lt;test!$K$16,$A88&lt;&gt;V$1,Recharged_Feasible_mat!W57),(VLOOKUP(V$1,test!$A$3:$I$32,8,FALSE))-(VLOOKUP($A88,test!$A$3:$I$32,9,FALSE))+(test!$B$34-50),0)</f>
        <v>110</v>
      </c>
      <c r="W88">
        <f>IF(AND(SUM(VLOOKUP($A88,test!$A$3:$F$32,2,FALSE),VLOOKUP(W$1,test!$A$3:$F$32,2,FALSE))&lt;test!$K$16,$A88&lt;&gt;W$1,Recharged_Feasible_mat!X57),(VLOOKUP(W$1,test!$A$3:$I$32,8,FALSE))-(VLOOKUP($A88,test!$A$3:$I$32,9,FALSE))+(test!$B$34-50),0)</f>
        <v>200</v>
      </c>
      <c r="X88">
        <f>IF(AND(SUM(VLOOKUP($A88,test!$A$3:$F$32,2,FALSE),VLOOKUP(X$1,test!$A$3:$F$32,2,FALSE))&lt;test!$K$16,$A88&lt;&gt;X$1,Recharged_Feasible_mat!Y57),(VLOOKUP(X$1,test!$A$3:$I$32,8,FALSE))-(VLOOKUP($A88,test!$A$3:$I$32,9,FALSE))+(test!$B$34-50),0)</f>
        <v>260</v>
      </c>
      <c r="Y88">
        <f>IF(AND(SUM(VLOOKUP($A88,test!$A$3:$F$32,2,FALSE),VLOOKUP(Y$1,test!$A$3:$F$32,2,FALSE))&lt;test!$K$16,$A88&lt;&gt;Y$1,Recharged_Feasible_mat!Z57),(VLOOKUP(Y$1,test!$A$3:$I$32,8,FALSE))-(VLOOKUP($A88,test!$A$3:$I$32,9,FALSE))+(test!$B$34-50),0)</f>
        <v>0</v>
      </c>
      <c r="Z88">
        <f>IF(AND(SUM(VLOOKUP($A88,test!$A$3:$F$32,2,FALSE),VLOOKUP(Z$1,test!$A$3:$F$32,2,FALSE))&lt;test!$K$16,$A88&lt;&gt;Z$1,Recharged_Feasible_mat!AA57),(VLOOKUP(Z$1,test!$A$3:$I$32,8,FALSE))-(VLOOKUP($A88,test!$A$3:$I$32,9,FALSE))+(test!$B$34-50),0)</f>
        <v>0</v>
      </c>
      <c r="AA88">
        <f>IF(AND(SUM(VLOOKUP($A88,test!$A$3:$F$32,2,FALSE),VLOOKUP(AA$1,test!$A$3:$F$32,2,FALSE))&lt;test!$K$16,$A88&lt;&gt;AA$1,Recharged_Feasible_mat!AB57),(VLOOKUP(AA$1,test!$A$3:$I$32,8,FALSE))-(VLOOKUP($A88,test!$A$3:$I$32,9,FALSE))+(test!$B$34-50),0)</f>
        <v>0</v>
      </c>
      <c r="AB88">
        <f>IF(AND(SUM(VLOOKUP($A88,test!$A$3:$F$32,2,FALSE),VLOOKUP(AB$1,test!$A$3:$F$32,2,FALSE))&lt;test!$K$16,$A88&lt;&gt;AB$1,Recharged_Feasible_mat!AC57),(VLOOKUP(AB$1,test!$A$3:$I$32,8,FALSE))-(VLOOKUP($A88,test!$A$3:$I$32,9,FALSE))+(test!$B$34-50),0)</f>
        <v>0</v>
      </c>
      <c r="AC88">
        <f>IF(AND(SUM(VLOOKUP($A88,test!$A$3:$F$32,2,FALSE),VLOOKUP(AC$1,test!$A$3:$F$32,2,FALSE))&lt;test!$K$16,$A88&lt;&gt;AC$1,Recharged_Feasible_mat!AD57),(VLOOKUP(AC$1,test!$A$3:$I$32,8,FALSE))-(VLOOKUP($A88,test!$A$3:$I$32,9,FALSE))+(test!$B$34-50),0)</f>
        <v>160</v>
      </c>
      <c r="AD88">
        <f>IF(AND(SUM(VLOOKUP($A88,test!$A$3:$F$32,2,FALSE),VLOOKUP(AD$1,test!$A$3:$F$32,2,FALSE))&lt;test!$K$16,$A88&lt;&gt;AD$1,Recharged_Feasible_mat!AE57),(VLOOKUP(AD$1,test!$A$3:$I$32,8,FALSE))-(VLOOKUP($A88,test!$A$3:$I$32,9,FALSE))+(test!$B$34-50),0)</f>
        <v>0</v>
      </c>
      <c r="AE88">
        <f>IF(AND(SUM(VLOOKUP($A88,test!$A$3:$F$32,2,FALSE),VLOOKUP(AE$1,test!$A$3:$F$32,2,FALSE))&lt;test!$K$16,$A88&lt;&gt;AE$1,Recharged_Feasible_mat!AF57),(VLOOKUP(AE$1,test!$A$3:$I$32,8,FALSE))-(VLOOKUP($A88,test!$A$3:$I$32,9,FALSE))+(test!$B$34-50),0)</f>
        <v>0</v>
      </c>
      <c r="AF88">
        <f>IF(AND(SUM(VLOOKUP($A88,test!$A$3:$F$32,2,FALSE),VLOOKUP(AF$1,test!$A$3:$F$32,2,FALSE))&lt;test!$K$16,$A88&lt;&gt;AF$1,Recharged_Feasible_mat!AG57),(VLOOKUP(AF$1,test!$A$3:$I$32,8,FALSE))-(VLOOKUP($A88,test!$A$3:$I$32,9,FALSE))+(test!$B$34-50),0)</f>
        <v>0</v>
      </c>
    </row>
    <row r="89" spans="1:32" x14ac:dyDescent="0.25">
      <c r="A89" t="s">
        <v>36</v>
      </c>
      <c r="B89">
        <v>0</v>
      </c>
      <c r="C89">
        <f>IF(AND(SUM(VLOOKUP($A89,test!$A$3:$F$32,2,FALSE),VLOOKUP(C$1,test!$A$3:$F$32,2,FALSE))&lt;test!$K$16,$A89&lt;&gt;C$1,Recharged_Feasible_mat!D58),(VLOOKUP(C$1,test!$A$3:$I$32,8,FALSE))-(VLOOKUP($A89,test!$A$3:$I$32,9,FALSE))+(test!$B$34-50),0)</f>
        <v>0</v>
      </c>
      <c r="D89">
        <f>IF(AND(SUM(VLOOKUP($A89,test!$A$3:$F$32,2,FALSE),VLOOKUP(D$1,test!$A$3:$F$32,2,FALSE))&lt;test!$K$16,$A89&lt;&gt;D$1,Recharged_Feasible_mat!E58),(VLOOKUP(D$1,test!$A$3:$I$32,8,FALSE))-(VLOOKUP($A89,test!$A$3:$I$32,9,FALSE))+(test!$B$34-50),0)</f>
        <v>0</v>
      </c>
      <c r="E89">
        <f>IF(AND(SUM(VLOOKUP($A89,test!$A$3:$F$32,2,FALSE),VLOOKUP(E$1,test!$A$3:$F$32,2,FALSE))&lt;test!$K$16,$A89&lt;&gt;E$1,Recharged_Feasible_mat!F58),(VLOOKUP(E$1,test!$A$3:$I$32,8,FALSE))-(VLOOKUP($A89,test!$A$3:$I$32,9,FALSE))+(test!$B$34-50),0)</f>
        <v>0</v>
      </c>
      <c r="F89">
        <f>IF(AND(SUM(VLOOKUP($A89,test!$A$3:$F$32,2,FALSE),VLOOKUP(F$1,test!$A$3:$F$32,2,FALSE))&lt;test!$K$16,$A89&lt;&gt;F$1,Recharged_Feasible_mat!G58),(VLOOKUP(F$1,test!$A$3:$I$32,8,FALSE))-(VLOOKUP($A89,test!$A$3:$I$32,9,FALSE))+(test!$B$34-50),0)</f>
        <v>0</v>
      </c>
      <c r="G89">
        <f>IF(AND(SUM(VLOOKUP($A89,test!$A$3:$F$32,2,FALSE),VLOOKUP(G$1,test!$A$3:$F$32,2,FALSE))&lt;test!$K$16,$A89&lt;&gt;G$1,Recharged_Feasible_mat!H58),(VLOOKUP(G$1,test!$A$3:$I$32,8,FALSE))-(VLOOKUP($A89,test!$A$3:$I$32,9,FALSE))+(test!$B$34-50),0)</f>
        <v>0</v>
      </c>
      <c r="H89">
        <f>IF(AND(SUM(VLOOKUP($A89,test!$A$3:$F$32,2,FALSE),VLOOKUP(H$1,test!$A$3:$F$32,2,FALSE))&lt;test!$K$16,$A89&lt;&gt;H$1,Recharged_Feasible_mat!I58),(VLOOKUP(H$1,test!$A$3:$I$32,8,FALSE))-(VLOOKUP($A89,test!$A$3:$I$32,9,FALSE))+(test!$B$34-50),0)</f>
        <v>0</v>
      </c>
      <c r="I89">
        <f>IF(AND(SUM(VLOOKUP($A89,test!$A$3:$F$32,2,FALSE),VLOOKUP(I$1,test!$A$3:$F$32,2,FALSE))&lt;test!$K$16,$A89&lt;&gt;I$1,Recharged_Feasible_mat!J58),(VLOOKUP(I$1,test!$A$3:$I$32,8,FALSE))-(VLOOKUP($A89,test!$A$3:$I$32,9,FALSE))+(test!$B$34-50),0)</f>
        <v>100</v>
      </c>
      <c r="J89">
        <f>IF(AND(SUM(VLOOKUP($A89,test!$A$3:$F$32,2,FALSE),VLOOKUP(J$1,test!$A$3:$F$32,2,FALSE))&lt;test!$K$16,$A89&lt;&gt;J$1,Recharged_Feasible_mat!K58),(VLOOKUP(J$1,test!$A$3:$I$32,8,FALSE))-(VLOOKUP($A89,test!$A$3:$I$32,9,FALSE))+(test!$B$34-50),0)</f>
        <v>190</v>
      </c>
      <c r="K89">
        <f>IF(AND(SUM(VLOOKUP($A89,test!$A$3:$F$32,2,FALSE),VLOOKUP(K$1,test!$A$3:$F$32,2,FALSE))&lt;test!$K$16,$A89&lt;&gt;K$1,Recharged_Feasible_mat!L58),(VLOOKUP(K$1,test!$A$3:$I$32,8,FALSE))-(VLOOKUP($A89,test!$A$3:$I$32,9,FALSE))+(test!$B$34-50),0)</f>
        <v>0</v>
      </c>
      <c r="L89">
        <f>IF(AND(SUM(VLOOKUP($A89,test!$A$3:$F$32,2,FALSE),VLOOKUP(L$1,test!$A$3:$F$32,2,FALSE))&lt;test!$K$16,$A89&lt;&gt;L$1,Recharged_Feasible_mat!M58),(VLOOKUP(L$1,test!$A$3:$I$32,8,FALSE))-(VLOOKUP($A89,test!$A$3:$I$32,9,FALSE))+(test!$B$34-50),0)</f>
        <v>0</v>
      </c>
      <c r="M89">
        <f>IF(AND(SUM(VLOOKUP($A89,test!$A$3:$F$32,2,FALSE),VLOOKUP(M$1,test!$A$3:$F$32,2,FALSE))&lt;test!$K$16,$A89&lt;&gt;M$1,Recharged_Feasible_mat!N58),(VLOOKUP(M$1,test!$A$3:$I$32,8,FALSE))-(VLOOKUP($A89,test!$A$3:$I$32,9,FALSE))+(test!$B$34-50),0)</f>
        <v>0</v>
      </c>
      <c r="N89">
        <f>IF(AND(SUM(VLOOKUP($A89,test!$A$3:$F$32,2,FALSE),VLOOKUP(N$1,test!$A$3:$F$32,2,FALSE))&lt;test!$K$16,$A89&lt;&gt;N$1,Recharged_Feasible_mat!O58),(VLOOKUP(N$1,test!$A$3:$I$32,8,FALSE))-(VLOOKUP($A89,test!$A$3:$I$32,9,FALSE))+(test!$B$34-50),0)</f>
        <v>155</v>
      </c>
      <c r="O89">
        <f>IF(AND(SUM(VLOOKUP($A89,test!$A$3:$F$32,2,FALSE),VLOOKUP(O$1,test!$A$3:$F$32,2,FALSE))&lt;test!$K$16,$A89&lt;&gt;O$1,Recharged_Feasible_mat!P58),(VLOOKUP(O$1,test!$A$3:$I$32,8,FALSE))-(VLOOKUP($A89,test!$A$3:$I$32,9,FALSE))+(test!$B$34-50),0)</f>
        <v>215</v>
      </c>
      <c r="P89">
        <f>IF(AND(SUM(VLOOKUP($A89,test!$A$3:$F$32,2,FALSE),VLOOKUP(P$1,test!$A$3:$F$32,2,FALSE))&lt;test!$K$16,$A89&lt;&gt;P$1,Recharged_Feasible_mat!Q58),(VLOOKUP(P$1,test!$A$3:$I$32,8,FALSE))-(VLOOKUP($A89,test!$A$3:$I$32,9,FALSE))+(test!$B$34-50),0)</f>
        <v>0</v>
      </c>
      <c r="Q89">
        <f>IF(AND(SUM(VLOOKUP($A89,test!$A$3:$F$32,2,FALSE),VLOOKUP(Q$1,test!$A$3:$F$32,2,FALSE))&lt;test!$K$16,$A89&lt;&gt;Q$1,Recharged_Feasible_mat!R58),(VLOOKUP(Q$1,test!$A$3:$I$32,8,FALSE))-(VLOOKUP($A89,test!$A$3:$I$32,9,FALSE))+(test!$B$34-50),0)</f>
        <v>0</v>
      </c>
      <c r="R89">
        <f>IF(AND(SUM(VLOOKUP($A89,test!$A$3:$F$32,2,FALSE),VLOOKUP(R$1,test!$A$3:$F$32,2,FALSE))&lt;test!$K$16,$A89&lt;&gt;R$1,Recharged_Feasible_mat!S58),(VLOOKUP(R$1,test!$A$3:$I$32,8,FALSE))-(VLOOKUP($A89,test!$A$3:$I$32,9,FALSE))+(test!$B$34-50),0)</f>
        <v>0</v>
      </c>
      <c r="S89">
        <f>IF(AND(SUM(VLOOKUP($A89,test!$A$3:$F$32,2,FALSE),VLOOKUP(S$1,test!$A$3:$F$32,2,FALSE))&lt;test!$K$16,$A89&lt;&gt;S$1,Recharged_Feasible_mat!T58),(VLOOKUP(S$1,test!$A$3:$I$32,8,FALSE))-(VLOOKUP($A89,test!$A$3:$I$32,9,FALSE))+(test!$B$34-50),0)</f>
        <v>0</v>
      </c>
      <c r="T89">
        <f>IF(AND(SUM(VLOOKUP($A89,test!$A$3:$F$32,2,FALSE),VLOOKUP(T$1,test!$A$3:$F$32,2,FALSE))&lt;test!$K$16,$A89&lt;&gt;T$1,Recharged_Feasible_mat!U58),(VLOOKUP(T$1,test!$A$3:$I$32,8,FALSE))-(VLOOKUP($A89,test!$A$3:$I$32,9,FALSE))+(test!$B$34-50),0)</f>
        <v>0</v>
      </c>
      <c r="U89">
        <f>IF(AND(SUM(VLOOKUP($A89,test!$A$3:$F$32,2,FALSE),VLOOKUP(U$1,test!$A$3:$F$32,2,FALSE))&lt;test!$K$16,$A89&lt;&gt;U$1,Recharged_Feasible_mat!V58),(VLOOKUP(U$1,test!$A$3:$I$32,8,FALSE))-(VLOOKUP($A89,test!$A$3:$I$32,9,FALSE))+(test!$B$34-50),0)</f>
        <v>0</v>
      </c>
      <c r="V89">
        <f>IF(AND(SUM(VLOOKUP($A89,test!$A$3:$F$32,2,FALSE),VLOOKUP(V$1,test!$A$3:$F$32,2,FALSE))&lt;test!$K$16,$A89&lt;&gt;V$1,Recharged_Feasible_mat!W58),(VLOOKUP(V$1,test!$A$3:$I$32,8,FALSE))-(VLOOKUP($A89,test!$A$3:$I$32,9,FALSE))+(test!$B$34-50),0)</f>
        <v>0</v>
      </c>
      <c r="W89">
        <f>IF(AND(SUM(VLOOKUP($A89,test!$A$3:$F$32,2,FALSE),VLOOKUP(W$1,test!$A$3:$F$32,2,FALSE))&lt;test!$K$16,$A89&lt;&gt;W$1,Recharged_Feasible_mat!X58),(VLOOKUP(W$1,test!$A$3:$I$32,8,FALSE))-(VLOOKUP($A89,test!$A$3:$I$32,9,FALSE))+(test!$B$34-50),0)</f>
        <v>80</v>
      </c>
      <c r="X89">
        <f>IF(AND(SUM(VLOOKUP($A89,test!$A$3:$F$32,2,FALSE),VLOOKUP(X$1,test!$A$3:$F$32,2,FALSE))&lt;test!$K$16,$A89&lt;&gt;X$1,Recharged_Feasible_mat!Y58),(VLOOKUP(X$1,test!$A$3:$I$32,8,FALSE))-(VLOOKUP($A89,test!$A$3:$I$32,9,FALSE))+(test!$B$34-50),0)</f>
        <v>140</v>
      </c>
      <c r="Y89">
        <f>IF(AND(SUM(VLOOKUP($A89,test!$A$3:$F$32,2,FALSE),VLOOKUP(Y$1,test!$A$3:$F$32,2,FALSE))&lt;test!$K$16,$A89&lt;&gt;Y$1,Recharged_Feasible_mat!Z58),(VLOOKUP(Y$1,test!$A$3:$I$32,8,FALSE))-(VLOOKUP($A89,test!$A$3:$I$32,9,FALSE))+(test!$B$34-50),0)</f>
        <v>0</v>
      </c>
      <c r="Z89">
        <f>IF(AND(SUM(VLOOKUP($A89,test!$A$3:$F$32,2,FALSE),VLOOKUP(Z$1,test!$A$3:$F$32,2,FALSE))&lt;test!$K$16,$A89&lt;&gt;Z$1,Recharged_Feasible_mat!AA58),(VLOOKUP(Z$1,test!$A$3:$I$32,8,FALSE))-(VLOOKUP($A89,test!$A$3:$I$32,9,FALSE))+(test!$B$34-50),0)</f>
        <v>0</v>
      </c>
      <c r="AA89">
        <f>IF(AND(SUM(VLOOKUP($A89,test!$A$3:$F$32,2,FALSE),VLOOKUP(AA$1,test!$A$3:$F$32,2,FALSE))&lt;test!$K$16,$A89&lt;&gt;AA$1,Recharged_Feasible_mat!AB58),(VLOOKUP(AA$1,test!$A$3:$I$32,8,FALSE))-(VLOOKUP($A89,test!$A$3:$I$32,9,FALSE))+(test!$B$34-50),0)</f>
        <v>0</v>
      </c>
      <c r="AB89">
        <f>IF(AND(SUM(VLOOKUP($A89,test!$A$3:$F$32,2,FALSE),VLOOKUP(AB$1,test!$A$3:$F$32,2,FALSE))&lt;test!$K$16,$A89&lt;&gt;AB$1,Recharged_Feasible_mat!AC58),(VLOOKUP(AB$1,test!$A$3:$I$32,8,FALSE))-(VLOOKUP($A89,test!$A$3:$I$32,9,FALSE))+(test!$B$34-50),0)</f>
        <v>0</v>
      </c>
      <c r="AC89">
        <f>IF(AND(SUM(VLOOKUP($A89,test!$A$3:$F$32,2,FALSE),VLOOKUP(AC$1,test!$A$3:$F$32,2,FALSE))&lt;test!$K$16,$A89&lt;&gt;AC$1,Recharged_Feasible_mat!AD58),(VLOOKUP(AC$1,test!$A$3:$I$32,8,FALSE))-(VLOOKUP($A89,test!$A$3:$I$32,9,FALSE))+(test!$B$34-50),0)</f>
        <v>0</v>
      </c>
      <c r="AD89">
        <f>IF(AND(SUM(VLOOKUP($A89,test!$A$3:$F$32,2,FALSE),VLOOKUP(AD$1,test!$A$3:$F$32,2,FALSE))&lt;test!$K$16,$A89&lt;&gt;AD$1,Recharged_Feasible_mat!AE58),(VLOOKUP(AD$1,test!$A$3:$I$32,8,FALSE))-(VLOOKUP($A89,test!$A$3:$I$32,9,FALSE))+(test!$B$34-50),0)</f>
        <v>0</v>
      </c>
      <c r="AE89">
        <f>IF(AND(SUM(VLOOKUP($A89,test!$A$3:$F$32,2,FALSE),VLOOKUP(AE$1,test!$A$3:$F$32,2,FALSE))&lt;test!$K$16,$A89&lt;&gt;AE$1,Recharged_Feasible_mat!AF58),(VLOOKUP(AE$1,test!$A$3:$I$32,8,FALSE))-(VLOOKUP($A89,test!$A$3:$I$32,9,FALSE))+(test!$B$34-50),0)</f>
        <v>0</v>
      </c>
      <c r="AF89">
        <f>IF(AND(SUM(VLOOKUP($A89,test!$A$3:$F$32,2,FALSE),VLOOKUP(AF$1,test!$A$3:$F$32,2,FALSE))&lt;test!$K$16,$A89&lt;&gt;AF$1,Recharged_Feasible_mat!AG58),(VLOOKUP(AF$1,test!$A$3:$I$32,8,FALSE))-(VLOOKUP($A89,test!$A$3:$I$32,9,FALSE))+(test!$B$34-50),0)</f>
        <v>0</v>
      </c>
    </row>
    <row r="90" spans="1:32" x14ac:dyDescent="0.25">
      <c r="A90" t="s">
        <v>37</v>
      </c>
      <c r="B90">
        <v>0</v>
      </c>
      <c r="C90">
        <f>IF(AND(SUM(VLOOKUP($A90,test!$A$3:$F$32,2,FALSE),VLOOKUP(C$1,test!$A$3:$F$32,2,FALSE))&lt;test!$K$16,$A90&lt;&gt;C$1,Recharged_Feasible_mat!D59),(VLOOKUP(C$1,test!$A$3:$I$32,8,FALSE))-(VLOOKUP($A90,test!$A$3:$I$32,9,FALSE))+(test!$B$34-50),0)</f>
        <v>0</v>
      </c>
      <c r="D90">
        <f>IF(AND(SUM(VLOOKUP($A90,test!$A$3:$F$32,2,FALSE),VLOOKUP(D$1,test!$A$3:$F$32,2,FALSE))&lt;test!$K$16,$A90&lt;&gt;D$1,Recharged_Feasible_mat!E59),(VLOOKUP(D$1,test!$A$3:$I$32,8,FALSE))-(VLOOKUP($A90,test!$A$3:$I$32,9,FALSE))+(test!$B$34-50),0)</f>
        <v>0</v>
      </c>
      <c r="E90">
        <f>IF(AND(SUM(VLOOKUP($A90,test!$A$3:$F$32,2,FALSE),VLOOKUP(E$1,test!$A$3:$F$32,2,FALSE))&lt;test!$K$16,$A90&lt;&gt;E$1,Recharged_Feasible_mat!F59),(VLOOKUP(E$1,test!$A$3:$I$32,8,FALSE))-(VLOOKUP($A90,test!$A$3:$I$32,9,FALSE))+(test!$B$34-50),0)</f>
        <v>0</v>
      </c>
      <c r="F90">
        <f>IF(AND(SUM(VLOOKUP($A90,test!$A$3:$F$32,2,FALSE),VLOOKUP(F$1,test!$A$3:$F$32,2,FALSE))&lt;test!$K$16,$A90&lt;&gt;F$1,Recharged_Feasible_mat!G59),(VLOOKUP(F$1,test!$A$3:$I$32,8,FALSE))-(VLOOKUP($A90,test!$A$3:$I$32,9,FALSE))+(test!$B$34-50),0)</f>
        <v>0</v>
      </c>
      <c r="G90">
        <f>IF(AND(SUM(VLOOKUP($A90,test!$A$3:$F$32,2,FALSE),VLOOKUP(G$1,test!$A$3:$F$32,2,FALSE))&lt;test!$K$16,$A90&lt;&gt;G$1,Recharged_Feasible_mat!H59),(VLOOKUP(G$1,test!$A$3:$I$32,8,FALSE))-(VLOOKUP($A90,test!$A$3:$I$32,9,FALSE))+(test!$B$34-50),0)</f>
        <v>0</v>
      </c>
      <c r="H90">
        <f>IF(AND(SUM(VLOOKUP($A90,test!$A$3:$F$32,2,FALSE),VLOOKUP(H$1,test!$A$3:$F$32,2,FALSE))&lt;test!$K$16,$A90&lt;&gt;H$1,Recharged_Feasible_mat!I59),(VLOOKUP(H$1,test!$A$3:$I$32,8,FALSE))-(VLOOKUP($A90,test!$A$3:$I$32,9,FALSE))+(test!$B$34-50),0)</f>
        <v>0</v>
      </c>
      <c r="I90">
        <f>IF(AND(SUM(VLOOKUP($A90,test!$A$3:$F$32,2,FALSE),VLOOKUP(I$1,test!$A$3:$F$32,2,FALSE))&lt;test!$K$16,$A90&lt;&gt;I$1,Recharged_Feasible_mat!J59),(VLOOKUP(I$1,test!$A$3:$I$32,8,FALSE))-(VLOOKUP($A90,test!$A$3:$I$32,9,FALSE))+(test!$B$34-50),0)</f>
        <v>0</v>
      </c>
      <c r="J90">
        <f>IF(AND(SUM(VLOOKUP($A90,test!$A$3:$F$32,2,FALSE),VLOOKUP(J$1,test!$A$3:$F$32,2,FALSE))&lt;test!$K$16,$A90&lt;&gt;J$1,Recharged_Feasible_mat!K59),(VLOOKUP(J$1,test!$A$3:$I$32,8,FALSE))-(VLOOKUP($A90,test!$A$3:$I$32,9,FALSE))+(test!$B$34-50),0)</f>
        <v>130</v>
      </c>
      <c r="K90">
        <f>IF(AND(SUM(VLOOKUP($A90,test!$A$3:$F$32,2,FALSE),VLOOKUP(K$1,test!$A$3:$F$32,2,FALSE))&lt;test!$K$16,$A90&lt;&gt;K$1,Recharged_Feasible_mat!L59),(VLOOKUP(K$1,test!$A$3:$I$32,8,FALSE))-(VLOOKUP($A90,test!$A$3:$I$32,9,FALSE))+(test!$B$34-50),0)</f>
        <v>0</v>
      </c>
      <c r="L90">
        <f>IF(AND(SUM(VLOOKUP($A90,test!$A$3:$F$32,2,FALSE),VLOOKUP(L$1,test!$A$3:$F$32,2,FALSE))&lt;test!$K$16,$A90&lt;&gt;L$1,Recharged_Feasible_mat!M59),(VLOOKUP(L$1,test!$A$3:$I$32,8,FALSE))-(VLOOKUP($A90,test!$A$3:$I$32,9,FALSE))+(test!$B$34-50),0)</f>
        <v>0</v>
      </c>
      <c r="M90">
        <f>IF(AND(SUM(VLOOKUP($A90,test!$A$3:$F$32,2,FALSE),VLOOKUP(M$1,test!$A$3:$F$32,2,FALSE))&lt;test!$K$16,$A90&lt;&gt;M$1,Recharged_Feasible_mat!N59),(VLOOKUP(M$1,test!$A$3:$I$32,8,FALSE))-(VLOOKUP($A90,test!$A$3:$I$32,9,FALSE))+(test!$B$34-50),0)</f>
        <v>0</v>
      </c>
      <c r="N90">
        <f>IF(AND(SUM(VLOOKUP($A90,test!$A$3:$F$32,2,FALSE),VLOOKUP(N$1,test!$A$3:$F$32,2,FALSE))&lt;test!$K$16,$A90&lt;&gt;N$1,Recharged_Feasible_mat!O59),(VLOOKUP(N$1,test!$A$3:$I$32,8,FALSE))-(VLOOKUP($A90,test!$A$3:$I$32,9,FALSE))+(test!$B$34-50),0)</f>
        <v>95</v>
      </c>
      <c r="O90">
        <f>IF(AND(SUM(VLOOKUP($A90,test!$A$3:$F$32,2,FALSE),VLOOKUP(O$1,test!$A$3:$F$32,2,FALSE))&lt;test!$K$16,$A90&lt;&gt;O$1,Recharged_Feasible_mat!P59),(VLOOKUP(O$1,test!$A$3:$I$32,8,FALSE))-(VLOOKUP($A90,test!$A$3:$I$32,9,FALSE))+(test!$B$34-50),0)</f>
        <v>155</v>
      </c>
      <c r="P90">
        <f>IF(AND(SUM(VLOOKUP($A90,test!$A$3:$F$32,2,FALSE),VLOOKUP(P$1,test!$A$3:$F$32,2,FALSE))&lt;test!$K$16,$A90&lt;&gt;P$1,Recharged_Feasible_mat!Q59),(VLOOKUP(P$1,test!$A$3:$I$32,8,FALSE))-(VLOOKUP($A90,test!$A$3:$I$32,9,FALSE))+(test!$B$34-50),0)</f>
        <v>0</v>
      </c>
      <c r="Q90">
        <f>IF(AND(SUM(VLOOKUP($A90,test!$A$3:$F$32,2,FALSE),VLOOKUP(Q$1,test!$A$3:$F$32,2,FALSE))&lt;test!$K$16,$A90&lt;&gt;Q$1,Recharged_Feasible_mat!R59),(VLOOKUP(Q$1,test!$A$3:$I$32,8,FALSE))-(VLOOKUP($A90,test!$A$3:$I$32,9,FALSE))+(test!$B$34-50),0)</f>
        <v>0</v>
      </c>
      <c r="R90">
        <f>IF(AND(SUM(VLOOKUP($A90,test!$A$3:$F$32,2,FALSE),VLOOKUP(R$1,test!$A$3:$F$32,2,FALSE))&lt;test!$K$16,$A90&lt;&gt;R$1,Recharged_Feasible_mat!S59),(VLOOKUP(R$1,test!$A$3:$I$32,8,FALSE))-(VLOOKUP($A90,test!$A$3:$I$32,9,FALSE))+(test!$B$34-50),0)</f>
        <v>0</v>
      </c>
      <c r="S90">
        <f>IF(AND(SUM(VLOOKUP($A90,test!$A$3:$F$32,2,FALSE),VLOOKUP(S$1,test!$A$3:$F$32,2,FALSE))&lt;test!$K$16,$A90&lt;&gt;S$1,Recharged_Feasible_mat!T59),(VLOOKUP(S$1,test!$A$3:$I$32,8,FALSE))-(VLOOKUP($A90,test!$A$3:$I$32,9,FALSE))+(test!$B$34-50),0)</f>
        <v>0</v>
      </c>
      <c r="T90">
        <f>IF(AND(SUM(VLOOKUP($A90,test!$A$3:$F$32,2,FALSE),VLOOKUP(T$1,test!$A$3:$F$32,2,FALSE))&lt;test!$K$16,$A90&lt;&gt;T$1,Recharged_Feasible_mat!U59),(VLOOKUP(T$1,test!$A$3:$I$32,8,FALSE))-(VLOOKUP($A90,test!$A$3:$I$32,9,FALSE))+(test!$B$34-50),0)</f>
        <v>0</v>
      </c>
      <c r="U90">
        <f>IF(AND(SUM(VLOOKUP($A90,test!$A$3:$F$32,2,FALSE),VLOOKUP(U$1,test!$A$3:$F$32,2,FALSE))&lt;test!$K$16,$A90&lt;&gt;U$1,Recharged_Feasible_mat!V59),(VLOOKUP(U$1,test!$A$3:$I$32,8,FALSE))-(VLOOKUP($A90,test!$A$3:$I$32,9,FALSE))+(test!$B$34-50),0)</f>
        <v>0</v>
      </c>
      <c r="V90">
        <f>IF(AND(SUM(VLOOKUP($A90,test!$A$3:$F$32,2,FALSE),VLOOKUP(V$1,test!$A$3:$F$32,2,FALSE))&lt;test!$K$16,$A90&lt;&gt;V$1,Recharged_Feasible_mat!W59),(VLOOKUP(V$1,test!$A$3:$I$32,8,FALSE))-(VLOOKUP($A90,test!$A$3:$I$32,9,FALSE))+(test!$B$34-50),0)</f>
        <v>0</v>
      </c>
      <c r="W90">
        <f>IF(AND(SUM(VLOOKUP($A90,test!$A$3:$F$32,2,FALSE),VLOOKUP(W$1,test!$A$3:$F$32,2,FALSE))&lt;test!$K$16,$A90&lt;&gt;W$1,Recharged_Feasible_mat!X59),(VLOOKUP(W$1,test!$A$3:$I$32,8,FALSE))-(VLOOKUP($A90,test!$A$3:$I$32,9,FALSE))+(test!$B$34-50),0)</f>
        <v>0</v>
      </c>
      <c r="X90">
        <f>IF(AND(SUM(VLOOKUP($A90,test!$A$3:$F$32,2,FALSE),VLOOKUP(X$1,test!$A$3:$F$32,2,FALSE))&lt;test!$K$16,$A90&lt;&gt;X$1,Recharged_Feasible_mat!Y59),(VLOOKUP(X$1,test!$A$3:$I$32,8,FALSE))-(VLOOKUP($A90,test!$A$3:$I$32,9,FALSE))+(test!$B$34-50),0)</f>
        <v>80</v>
      </c>
      <c r="Y90">
        <f>IF(AND(SUM(VLOOKUP($A90,test!$A$3:$F$32,2,FALSE),VLOOKUP(Y$1,test!$A$3:$F$32,2,FALSE))&lt;test!$K$16,$A90&lt;&gt;Y$1,Recharged_Feasible_mat!Z59),(VLOOKUP(Y$1,test!$A$3:$I$32,8,FALSE))-(VLOOKUP($A90,test!$A$3:$I$32,9,FALSE))+(test!$B$34-50),0)</f>
        <v>0</v>
      </c>
      <c r="Z90">
        <f>IF(AND(SUM(VLOOKUP($A90,test!$A$3:$F$32,2,FALSE),VLOOKUP(Z$1,test!$A$3:$F$32,2,FALSE))&lt;test!$K$16,$A90&lt;&gt;Z$1,Recharged_Feasible_mat!AA59),(VLOOKUP(Z$1,test!$A$3:$I$32,8,FALSE))-(VLOOKUP($A90,test!$A$3:$I$32,9,FALSE))+(test!$B$34-50),0)</f>
        <v>0</v>
      </c>
      <c r="AA90">
        <f>IF(AND(SUM(VLOOKUP($A90,test!$A$3:$F$32,2,FALSE),VLOOKUP(AA$1,test!$A$3:$F$32,2,FALSE))&lt;test!$K$16,$A90&lt;&gt;AA$1,Recharged_Feasible_mat!AB59),(VLOOKUP(AA$1,test!$A$3:$I$32,8,FALSE))-(VLOOKUP($A90,test!$A$3:$I$32,9,FALSE))+(test!$B$34-50),0)</f>
        <v>0</v>
      </c>
      <c r="AB90">
        <f>IF(AND(SUM(VLOOKUP($A90,test!$A$3:$F$32,2,FALSE),VLOOKUP(AB$1,test!$A$3:$F$32,2,FALSE))&lt;test!$K$16,$A90&lt;&gt;AB$1,Recharged_Feasible_mat!AC59),(VLOOKUP(AB$1,test!$A$3:$I$32,8,FALSE))-(VLOOKUP($A90,test!$A$3:$I$32,9,FALSE))+(test!$B$34-50),0)</f>
        <v>0</v>
      </c>
      <c r="AC90">
        <f>IF(AND(SUM(VLOOKUP($A90,test!$A$3:$F$32,2,FALSE),VLOOKUP(AC$1,test!$A$3:$F$32,2,FALSE))&lt;test!$K$16,$A90&lt;&gt;AC$1,Recharged_Feasible_mat!AD59),(VLOOKUP(AC$1,test!$A$3:$I$32,8,FALSE))-(VLOOKUP($A90,test!$A$3:$I$32,9,FALSE))+(test!$B$34-50),0)</f>
        <v>0</v>
      </c>
      <c r="AD90">
        <f>IF(AND(SUM(VLOOKUP($A90,test!$A$3:$F$32,2,FALSE),VLOOKUP(AD$1,test!$A$3:$F$32,2,FALSE))&lt;test!$K$16,$A90&lt;&gt;AD$1,Recharged_Feasible_mat!AE59),(VLOOKUP(AD$1,test!$A$3:$I$32,8,FALSE))-(VLOOKUP($A90,test!$A$3:$I$32,9,FALSE))+(test!$B$34-50),0)</f>
        <v>0</v>
      </c>
      <c r="AE90">
        <f>IF(AND(SUM(VLOOKUP($A90,test!$A$3:$F$32,2,FALSE),VLOOKUP(AE$1,test!$A$3:$F$32,2,FALSE))&lt;test!$K$16,$A90&lt;&gt;AE$1,Recharged_Feasible_mat!AF59),(VLOOKUP(AE$1,test!$A$3:$I$32,8,FALSE))-(VLOOKUP($A90,test!$A$3:$I$32,9,FALSE))+(test!$B$34-50),0)</f>
        <v>0</v>
      </c>
      <c r="AF90">
        <f>IF(AND(SUM(VLOOKUP($A90,test!$A$3:$F$32,2,FALSE),VLOOKUP(AF$1,test!$A$3:$F$32,2,FALSE))&lt;test!$K$16,$A90&lt;&gt;AF$1,Recharged_Feasible_mat!AG59),(VLOOKUP(AF$1,test!$A$3:$I$32,8,FALSE))-(VLOOKUP($A90,test!$A$3:$I$32,9,FALSE))+(test!$B$34-50),0)</f>
        <v>0</v>
      </c>
    </row>
    <row r="91" spans="1:32" x14ac:dyDescent="0.25">
      <c r="A91" t="s">
        <v>38</v>
      </c>
      <c r="B91">
        <v>0</v>
      </c>
      <c r="C91">
        <f>IF(AND(SUM(VLOOKUP($A91,test!$A$3:$F$32,2,FALSE),VLOOKUP(C$1,test!$A$3:$F$32,2,FALSE))&lt;test!$K$16,$A91&lt;&gt;C$1,Recharged_Feasible_mat!D60),(VLOOKUP(C$1,test!$A$3:$I$32,8,FALSE))-(VLOOKUP($A91,test!$A$3:$I$32,9,FALSE))+(test!$B$34-50),0)</f>
        <v>0</v>
      </c>
      <c r="D91">
        <f>IF(AND(SUM(VLOOKUP($A91,test!$A$3:$F$32,2,FALSE),VLOOKUP(D$1,test!$A$3:$F$32,2,FALSE))&lt;test!$K$16,$A91&lt;&gt;D$1,Recharged_Feasible_mat!E60),(VLOOKUP(D$1,test!$A$3:$I$32,8,FALSE))-(VLOOKUP($A91,test!$A$3:$I$32,9,FALSE))+(test!$B$34-50),0)</f>
        <v>0</v>
      </c>
      <c r="E91">
        <f>IF(AND(SUM(VLOOKUP($A91,test!$A$3:$F$32,2,FALSE),VLOOKUP(E$1,test!$A$3:$F$32,2,FALSE))&lt;test!$K$16,$A91&lt;&gt;E$1,Recharged_Feasible_mat!F60),(VLOOKUP(E$1,test!$A$3:$I$32,8,FALSE))-(VLOOKUP($A91,test!$A$3:$I$32,9,FALSE))+(test!$B$34-50),0)</f>
        <v>0</v>
      </c>
      <c r="F91">
        <f>IF(AND(SUM(VLOOKUP($A91,test!$A$3:$F$32,2,FALSE),VLOOKUP(F$1,test!$A$3:$F$32,2,FALSE))&lt;test!$K$16,$A91&lt;&gt;F$1,Recharged_Feasible_mat!G60),(VLOOKUP(F$1,test!$A$3:$I$32,8,FALSE))-(VLOOKUP($A91,test!$A$3:$I$32,9,FALSE))+(test!$B$34-50),0)</f>
        <v>0</v>
      </c>
      <c r="G91">
        <f>IF(AND(SUM(VLOOKUP($A91,test!$A$3:$F$32,2,FALSE),VLOOKUP(G$1,test!$A$3:$F$32,2,FALSE))&lt;test!$K$16,$A91&lt;&gt;G$1,Recharged_Feasible_mat!H60),(VLOOKUP(G$1,test!$A$3:$I$32,8,FALSE))-(VLOOKUP($A91,test!$A$3:$I$32,9,FALSE))+(test!$B$34-50),0)</f>
        <v>0</v>
      </c>
      <c r="H91">
        <f>IF(AND(SUM(VLOOKUP($A91,test!$A$3:$F$32,2,FALSE),VLOOKUP(H$1,test!$A$3:$F$32,2,FALSE))&lt;test!$K$16,$A91&lt;&gt;H$1,Recharged_Feasible_mat!I60),(VLOOKUP(H$1,test!$A$3:$I$32,8,FALSE))-(VLOOKUP($A91,test!$A$3:$I$32,9,FALSE))+(test!$B$34-50),0)</f>
        <v>0</v>
      </c>
      <c r="I91">
        <f>IF(AND(SUM(VLOOKUP($A91,test!$A$3:$F$32,2,FALSE),VLOOKUP(I$1,test!$A$3:$F$32,2,FALSE))&lt;test!$K$16,$A91&lt;&gt;I$1,Recharged_Feasible_mat!J60),(VLOOKUP(I$1,test!$A$3:$I$32,8,FALSE))-(VLOOKUP($A91,test!$A$3:$I$32,9,FALSE))+(test!$B$34-50),0)</f>
        <v>0</v>
      </c>
      <c r="J91">
        <f>IF(AND(SUM(VLOOKUP($A91,test!$A$3:$F$32,2,FALSE),VLOOKUP(J$1,test!$A$3:$F$32,2,FALSE))&lt;test!$K$16,$A91&lt;&gt;J$1,Recharged_Feasible_mat!K60),(VLOOKUP(J$1,test!$A$3:$I$32,8,FALSE))-(VLOOKUP($A91,test!$A$3:$I$32,9,FALSE))+(test!$B$34-50),0)</f>
        <v>0</v>
      </c>
      <c r="K91">
        <f>IF(AND(SUM(VLOOKUP($A91,test!$A$3:$F$32,2,FALSE),VLOOKUP(K$1,test!$A$3:$F$32,2,FALSE))&lt;test!$K$16,$A91&lt;&gt;K$1,Recharged_Feasible_mat!L60),(VLOOKUP(K$1,test!$A$3:$I$32,8,FALSE))-(VLOOKUP($A91,test!$A$3:$I$32,9,FALSE))+(test!$B$34-50),0)</f>
        <v>0</v>
      </c>
      <c r="L91">
        <f>IF(AND(SUM(VLOOKUP($A91,test!$A$3:$F$32,2,FALSE),VLOOKUP(L$1,test!$A$3:$F$32,2,FALSE))&lt;test!$K$16,$A91&lt;&gt;L$1,Recharged_Feasible_mat!M60),(VLOOKUP(L$1,test!$A$3:$I$32,8,FALSE))-(VLOOKUP($A91,test!$A$3:$I$32,9,FALSE))+(test!$B$34-50),0)</f>
        <v>0</v>
      </c>
      <c r="M91">
        <f>IF(AND(SUM(VLOOKUP($A91,test!$A$3:$F$32,2,FALSE),VLOOKUP(M$1,test!$A$3:$F$32,2,FALSE))&lt;test!$K$16,$A91&lt;&gt;M$1,Recharged_Feasible_mat!N60),(VLOOKUP(M$1,test!$A$3:$I$32,8,FALSE))-(VLOOKUP($A91,test!$A$3:$I$32,9,FALSE))+(test!$B$34-50),0)</f>
        <v>0</v>
      </c>
      <c r="N91">
        <f>IF(AND(SUM(VLOOKUP($A91,test!$A$3:$F$32,2,FALSE),VLOOKUP(N$1,test!$A$3:$F$32,2,FALSE))&lt;test!$K$16,$A91&lt;&gt;N$1,Recharged_Feasible_mat!O60),(VLOOKUP(N$1,test!$A$3:$I$32,8,FALSE))-(VLOOKUP($A91,test!$A$3:$I$32,9,FALSE))+(test!$B$34-50),0)</f>
        <v>0</v>
      </c>
      <c r="O91">
        <f>IF(AND(SUM(VLOOKUP($A91,test!$A$3:$F$32,2,FALSE),VLOOKUP(O$1,test!$A$3:$F$32,2,FALSE))&lt;test!$K$16,$A91&lt;&gt;O$1,Recharged_Feasible_mat!P60),(VLOOKUP(O$1,test!$A$3:$I$32,8,FALSE))-(VLOOKUP($A91,test!$A$3:$I$32,9,FALSE))+(test!$B$34-50),0)</f>
        <v>0</v>
      </c>
      <c r="P91">
        <f>IF(AND(SUM(VLOOKUP($A91,test!$A$3:$F$32,2,FALSE),VLOOKUP(P$1,test!$A$3:$F$32,2,FALSE))&lt;test!$K$16,$A91&lt;&gt;P$1,Recharged_Feasible_mat!Q60),(VLOOKUP(P$1,test!$A$3:$I$32,8,FALSE))-(VLOOKUP($A91,test!$A$3:$I$32,9,FALSE))+(test!$B$34-50),0)</f>
        <v>0</v>
      </c>
      <c r="Q91">
        <f>IF(AND(SUM(VLOOKUP($A91,test!$A$3:$F$32,2,FALSE),VLOOKUP(Q$1,test!$A$3:$F$32,2,FALSE))&lt;test!$K$16,$A91&lt;&gt;Q$1,Recharged_Feasible_mat!R60),(VLOOKUP(Q$1,test!$A$3:$I$32,8,FALSE))-(VLOOKUP($A91,test!$A$3:$I$32,9,FALSE))+(test!$B$34-50),0)</f>
        <v>0</v>
      </c>
      <c r="R91">
        <f>IF(AND(SUM(VLOOKUP($A91,test!$A$3:$F$32,2,FALSE),VLOOKUP(R$1,test!$A$3:$F$32,2,FALSE))&lt;test!$K$16,$A91&lt;&gt;R$1,Recharged_Feasible_mat!S60),(VLOOKUP(R$1,test!$A$3:$I$32,8,FALSE))-(VLOOKUP($A91,test!$A$3:$I$32,9,FALSE))+(test!$B$34-50),0)</f>
        <v>0</v>
      </c>
      <c r="S91">
        <f>IF(AND(SUM(VLOOKUP($A91,test!$A$3:$F$32,2,FALSE),VLOOKUP(S$1,test!$A$3:$F$32,2,FALSE))&lt;test!$K$16,$A91&lt;&gt;S$1,Recharged_Feasible_mat!T60),(VLOOKUP(S$1,test!$A$3:$I$32,8,FALSE))-(VLOOKUP($A91,test!$A$3:$I$32,9,FALSE))+(test!$B$34-50),0)</f>
        <v>0</v>
      </c>
      <c r="T91">
        <f>IF(AND(SUM(VLOOKUP($A91,test!$A$3:$F$32,2,FALSE),VLOOKUP(T$1,test!$A$3:$F$32,2,FALSE))&lt;test!$K$16,$A91&lt;&gt;T$1,Recharged_Feasible_mat!U60),(VLOOKUP(T$1,test!$A$3:$I$32,8,FALSE))-(VLOOKUP($A91,test!$A$3:$I$32,9,FALSE))+(test!$B$34-50),0)</f>
        <v>0</v>
      </c>
      <c r="U91">
        <f>IF(AND(SUM(VLOOKUP($A91,test!$A$3:$F$32,2,FALSE),VLOOKUP(U$1,test!$A$3:$F$32,2,FALSE))&lt;test!$K$16,$A91&lt;&gt;U$1,Recharged_Feasible_mat!V60),(VLOOKUP(U$1,test!$A$3:$I$32,8,FALSE))-(VLOOKUP($A91,test!$A$3:$I$32,9,FALSE))+(test!$B$34-50),0)</f>
        <v>0</v>
      </c>
      <c r="V91">
        <f>IF(AND(SUM(VLOOKUP($A91,test!$A$3:$F$32,2,FALSE),VLOOKUP(V$1,test!$A$3:$F$32,2,FALSE))&lt;test!$K$16,$A91&lt;&gt;V$1,Recharged_Feasible_mat!W60),(VLOOKUP(V$1,test!$A$3:$I$32,8,FALSE))-(VLOOKUP($A91,test!$A$3:$I$32,9,FALSE))+(test!$B$34-50),0)</f>
        <v>0</v>
      </c>
      <c r="W91">
        <f>IF(AND(SUM(VLOOKUP($A91,test!$A$3:$F$32,2,FALSE),VLOOKUP(W$1,test!$A$3:$F$32,2,FALSE))&lt;test!$K$16,$A91&lt;&gt;W$1,Recharged_Feasible_mat!X60),(VLOOKUP(W$1,test!$A$3:$I$32,8,FALSE))-(VLOOKUP($A91,test!$A$3:$I$32,9,FALSE))+(test!$B$34-50),0)</f>
        <v>0</v>
      </c>
      <c r="X91">
        <f>IF(AND(SUM(VLOOKUP($A91,test!$A$3:$F$32,2,FALSE),VLOOKUP(X$1,test!$A$3:$F$32,2,FALSE))&lt;test!$K$16,$A91&lt;&gt;X$1,Recharged_Feasible_mat!Y60),(VLOOKUP(X$1,test!$A$3:$I$32,8,FALSE))-(VLOOKUP($A91,test!$A$3:$I$32,9,FALSE))+(test!$B$34-50),0)</f>
        <v>0</v>
      </c>
      <c r="Y91">
        <f>IF(AND(SUM(VLOOKUP($A91,test!$A$3:$F$32,2,FALSE),VLOOKUP(Y$1,test!$A$3:$F$32,2,FALSE))&lt;test!$K$16,$A91&lt;&gt;Y$1,Recharged_Feasible_mat!Z60),(VLOOKUP(Y$1,test!$A$3:$I$32,8,FALSE))-(VLOOKUP($A91,test!$A$3:$I$32,9,FALSE))+(test!$B$34-50),0)</f>
        <v>0</v>
      </c>
      <c r="Z91">
        <f>IF(AND(SUM(VLOOKUP($A91,test!$A$3:$F$32,2,FALSE),VLOOKUP(Z$1,test!$A$3:$F$32,2,FALSE))&lt;test!$K$16,$A91&lt;&gt;Z$1,Recharged_Feasible_mat!AA60),(VLOOKUP(Z$1,test!$A$3:$I$32,8,FALSE))-(VLOOKUP($A91,test!$A$3:$I$32,9,FALSE))+(test!$B$34-50),0)</f>
        <v>0</v>
      </c>
      <c r="AA91">
        <f>IF(AND(SUM(VLOOKUP($A91,test!$A$3:$F$32,2,FALSE),VLOOKUP(AA$1,test!$A$3:$F$32,2,FALSE))&lt;test!$K$16,$A91&lt;&gt;AA$1,Recharged_Feasible_mat!AB60),(VLOOKUP(AA$1,test!$A$3:$I$32,8,FALSE))-(VLOOKUP($A91,test!$A$3:$I$32,9,FALSE))+(test!$B$34-50),0)</f>
        <v>0</v>
      </c>
      <c r="AB91">
        <f>IF(AND(SUM(VLOOKUP($A91,test!$A$3:$F$32,2,FALSE),VLOOKUP(AB$1,test!$A$3:$F$32,2,FALSE))&lt;test!$K$16,$A91&lt;&gt;AB$1,Recharged_Feasible_mat!AC60),(VLOOKUP(AB$1,test!$A$3:$I$32,8,FALSE))-(VLOOKUP($A91,test!$A$3:$I$32,9,FALSE))+(test!$B$34-50),0)</f>
        <v>0</v>
      </c>
      <c r="AC91">
        <f>IF(AND(SUM(VLOOKUP($A91,test!$A$3:$F$32,2,FALSE),VLOOKUP(AC$1,test!$A$3:$F$32,2,FALSE))&lt;test!$K$16,$A91&lt;&gt;AC$1,Recharged_Feasible_mat!AD60),(VLOOKUP(AC$1,test!$A$3:$I$32,8,FALSE))-(VLOOKUP($A91,test!$A$3:$I$32,9,FALSE))+(test!$B$34-50),0)</f>
        <v>0</v>
      </c>
      <c r="AD91">
        <f>IF(AND(SUM(VLOOKUP($A91,test!$A$3:$F$32,2,FALSE),VLOOKUP(AD$1,test!$A$3:$F$32,2,FALSE))&lt;test!$K$16,$A91&lt;&gt;AD$1,Recharged_Feasible_mat!AE60),(VLOOKUP(AD$1,test!$A$3:$I$32,8,FALSE))-(VLOOKUP($A91,test!$A$3:$I$32,9,FALSE))+(test!$B$34-50),0)</f>
        <v>0</v>
      </c>
      <c r="AE91">
        <f>IF(AND(SUM(VLOOKUP($A91,test!$A$3:$F$32,2,FALSE),VLOOKUP(AE$1,test!$A$3:$F$32,2,FALSE))&lt;test!$K$16,$A91&lt;&gt;AE$1,Recharged_Feasible_mat!AF60),(VLOOKUP(AE$1,test!$A$3:$I$32,8,FALSE))-(VLOOKUP($A91,test!$A$3:$I$32,9,FALSE))+(test!$B$34-50),0)</f>
        <v>0</v>
      </c>
      <c r="AF91">
        <f>IF(AND(SUM(VLOOKUP($A91,test!$A$3:$F$32,2,FALSE),VLOOKUP(AF$1,test!$A$3:$F$32,2,FALSE))&lt;test!$K$16,$A91&lt;&gt;AF$1,Recharged_Feasible_mat!AG60),(VLOOKUP(AF$1,test!$A$3:$I$32,8,FALSE))-(VLOOKUP($A91,test!$A$3:$I$32,9,FALSE))+(test!$B$34-50),0)</f>
        <v>0</v>
      </c>
    </row>
    <row r="92" spans="1:32" x14ac:dyDescent="0.25">
      <c r="A92" t="s">
        <v>39</v>
      </c>
      <c r="B92">
        <v>0</v>
      </c>
      <c r="C92">
        <f>IF(AND(SUM(VLOOKUP($A92,test!$A$3:$F$32,2,FALSE),VLOOKUP(C$1,test!$A$3:$F$32,2,FALSE))&lt;test!$K$16,$A92&lt;&gt;C$1,Recharged_Feasible_mat!D61),(VLOOKUP(C$1,test!$A$3:$I$32,8,FALSE))-(VLOOKUP($A92,test!$A$3:$I$32,9,FALSE))+(test!$B$34-50),0)</f>
        <v>0</v>
      </c>
      <c r="D92">
        <f>IF(AND(SUM(VLOOKUP($A92,test!$A$3:$F$32,2,FALSE),VLOOKUP(D$1,test!$A$3:$F$32,2,FALSE))&lt;test!$K$16,$A92&lt;&gt;D$1,Recharged_Feasible_mat!E61),(VLOOKUP(D$1,test!$A$3:$I$32,8,FALSE))-(VLOOKUP($A92,test!$A$3:$I$32,9,FALSE))+(test!$B$34-50),0)</f>
        <v>0</v>
      </c>
      <c r="E92">
        <f>IF(AND(SUM(VLOOKUP($A92,test!$A$3:$F$32,2,FALSE),VLOOKUP(E$1,test!$A$3:$F$32,2,FALSE))&lt;test!$K$16,$A92&lt;&gt;E$1,Recharged_Feasible_mat!F61),(VLOOKUP(E$1,test!$A$3:$I$32,8,FALSE))-(VLOOKUP($A92,test!$A$3:$I$32,9,FALSE))+(test!$B$34-50),0)</f>
        <v>0</v>
      </c>
      <c r="F92">
        <f>IF(AND(SUM(VLOOKUP($A92,test!$A$3:$F$32,2,FALSE),VLOOKUP(F$1,test!$A$3:$F$32,2,FALSE))&lt;test!$K$16,$A92&lt;&gt;F$1,Recharged_Feasible_mat!G61),(VLOOKUP(F$1,test!$A$3:$I$32,8,FALSE))-(VLOOKUP($A92,test!$A$3:$I$32,9,FALSE))+(test!$B$34-50),0)</f>
        <v>0</v>
      </c>
      <c r="G92">
        <f>IF(AND(SUM(VLOOKUP($A92,test!$A$3:$F$32,2,FALSE),VLOOKUP(G$1,test!$A$3:$F$32,2,FALSE))&lt;test!$K$16,$A92&lt;&gt;G$1,Recharged_Feasible_mat!H61),(VLOOKUP(G$1,test!$A$3:$I$32,8,FALSE))-(VLOOKUP($A92,test!$A$3:$I$32,9,FALSE))+(test!$B$34-50),0)</f>
        <v>0</v>
      </c>
      <c r="H92">
        <f>IF(AND(SUM(VLOOKUP($A92,test!$A$3:$F$32,2,FALSE),VLOOKUP(H$1,test!$A$3:$F$32,2,FALSE))&lt;test!$K$16,$A92&lt;&gt;H$1,Recharged_Feasible_mat!I61),(VLOOKUP(H$1,test!$A$3:$I$32,8,FALSE))-(VLOOKUP($A92,test!$A$3:$I$32,9,FALSE))+(test!$B$34-50),0)</f>
        <v>0</v>
      </c>
      <c r="I92">
        <f>IF(AND(SUM(VLOOKUP($A92,test!$A$3:$F$32,2,FALSE),VLOOKUP(I$1,test!$A$3:$F$32,2,FALSE))&lt;test!$K$16,$A92&lt;&gt;I$1,Recharged_Feasible_mat!J61),(VLOOKUP(I$1,test!$A$3:$I$32,8,FALSE))-(VLOOKUP($A92,test!$A$3:$I$32,9,FALSE))+(test!$B$34-50),0)</f>
        <v>0</v>
      </c>
      <c r="J92">
        <f>IF(AND(SUM(VLOOKUP($A92,test!$A$3:$F$32,2,FALSE),VLOOKUP(J$1,test!$A$3:$F$32,2,FALSE))&lt;test!$K$16,$A92&lt;&gt;J$1,Recharged_Feasible_mat!K61),(VLOOKUP(J$1,test!$A$3:$I$32,8,FALSE))-(VLOOKUP($A92,test!$A$3:$I$32,9,FALSE))+(test!$B$34-50),0)</f>
        <v>0</v>
      </c>
      <c r="K92">
        <f>IF(AND(SUM(VLOOKUP($A92,test!$A$3:$F$32,2,FALSE),VLOOKUP(K$1,test!$A$3:$F$32,2,FALSE))&lt;test!$K$16,$A92&lt;&gt;K$1,Recharged_Feasible_mat!L61),(VLOOKUP(K$1,test!$A$3:$I$32,8,FALSE))-(VLOOKUP($A92,test!$A$3:$I$32,9,FALSE))+(test!$B$34-50),0)</f>
        <v>0</v>
      </c>
      <c r="L92">
        <f>IF(AND(SUM(VLOOKUP($A92,test!$A$3:$F$32,2,FALSE),VLOOKUP(L$1,test!$A$3:$F$32,2,FALSE))&lt;test!$K$16,$A92&lt;&gt;L$1,Recharged_Feasible_mat!M61),(VLOOKUP(L$1,test!$A$3:$I$32,8,FALSE))-(VLOOKUP($A92,test!$A$3:$I$32,9,FALSE))+(test!$B$34-50),0)</f>
        <v>0</v>
      </c>
      <c r="M92">
        <f>IF(AND(SUM(VLOOKUP($A92,test!$A$3:$F$32,2,FALSE),VLOOKUP(M$1,test!$A$3:$F$32,2,FALSE))&lt;test!$K$16,$A92&lt;&gt;M$1,Recharged_Feasible_mat!N61),(VLOOKUP(M$1,test!$A$3:$I$32,8,FALSE))-(VLOOKUP($A92,test!$A$3:$I$32,9,FALSE))+(test!$B$34-50),0)</f>
        <v>0</v>
      </c>
      <c r="N92">
        <f>IF(AND(SUM(VLOOKUP($A92,test!$A$3:$F$32,2,FALSE),VLOOKUP(N$1,test!$A$3:$F$32,2,FALSE))&lt;test!$K$16,$A92&lt;&gt;N$1,Recharged_Feasible_mat!O61),(VLOOKUP(N$1,test!$A$3:$I$32,8,FALSE))-(VLOOKUP($A92,test!$A$3:$I$32,9,FALSE))+(test!$B$34-50),0)</f>
        <v>0</v>
      </c>
      <c r="O92">
        <f>IF(AND(SUM(VLOOKUP($A92,test!$A$3:$F$32,2,FALSE),VLOOKUP(O$1,test!$A$3:$F$32,2,FALSE))&lt;test!$K$16,$A92&lt;&gt;O$1,Recharged_Feasible_mat!P61),(VLOOKUP(O$1,test!$A$3:$I$32,8,FALSE))-(VLOOKUP($A92,test!$A$3:$I$32,9,FALSE))+(test!$B$34-50),0)</f>
        <v>0</v>
      </c>
      <c r="P92">
        <f>IF(AND(SUM(VLOOKUP($A92,test!$A$3:$F$32,2,FALSE),VLOOKUP(P$1,test!$A$3:$F$32,2,FALSE))&lt;test!$K$16,$A92&lt;&gt;P$1,Recharged_Feasible_mat!Q61),(VLOOKUP(P$1,test!$A$3:$I$32,8,FALSE))-(VLOOKUP($A92,test!$A$3:$I$32,9,FALSE))+(test!$B$34-50),0)</f>
        <v>0</v>
      </c>
      <c r="Q92">
        <f>IF(AND(SUM(VLOOKUP($A92,test!$A$3:$F$32,2,FALSE),VLOOKUP(Q$1,test!$A$3:$F$32,2,FALSE))&lt;test!$K$16,$A92&lt;&gt;Q$1,Recharged_Feasible_mat!R61),(VLOOKUP(Q$1,test!$A$3:$I$32,8,FALSE))-(VLOOKUP($A92,test!$A$3:$I$32,9,FALSE))+(test!$B$34-50),0)</f>
        <v>0</v>
      </c>
      <c r="R92">
        <f>IF(AND(SUM(VLOOKUP($A92,test!$A$3:$F$32,2,FALSE),VLOOKUP(R$1,test!$A$3:$F$32,2,FALSE))&lt;test!$K$16,$A92&lt;&gt;R$1,Recharged_Feasible_mat!S61),(VLOOKUP(R$1,test!$A$3:$I$32,8,FALSE))-(VLOOKUP($A92,test!$A$3:$I$32,9,FALSE))+(test!$B$34-50),0)</f>
        <v>0</v>
      </c>
      <c r="S92">
        <f>IF(AND(SUM(VLOOKUP($A92,test!$A$3:$F$32,2,FALSE),VLOOKUP(S$1,test!$A$3:$F$32,2,FALSE))&lt;test!$K$16,$A92&lt;&gt;S$1,Recharged_Feasible_mat!T61),(VLOOKUP(S$1,test!$A$3:$I$32,8,FALSE))-(VLOOKUP($A92,test!$A$3:$I$32,9,FALSE))+(test!$B$34-50),0)</f>
        <v>0</v>
      </c>
      <c r="T92">
        <f>IF(AND(SUM(VLOOKUP($A92,test!$A$3:$F$32,2,FALSE),VLOOKUP(T$1,test!$A$3:$F$32,2,FALSE))&lt;test!$K$16,$A92&lt;&gt;T$1,Recharged_Feasible_mat!U61),(VLOOKUP(T$1,test!$A$3:$I$32,8,FALSE))-(VLOOKUP($A92,test!$A$3:$I$32,9,FALSE))+(test!$B$34-50),0)</f>
        <v>0</v>
      </c>
      <c r="U92">
        <f>IF(AND(SUM(VLOOKUP($A92,test!$A$3:$F$32,2,FALSE),VLOOKUP(U$1,test!$A$3:$F$32,2,FALSE))&lt;test!$K$16,$A92&lt;&gt;U$1,Recharged_Feasible_mat!V61),(VLOOKUP(U$1,test!$A$3:$I$32,8,FALSE))-(VLOOKUP($A92,test!$A$3:$I$32,9,FALSE))+(test!$B$34-50),0)</f>
        <v>0</v>
      </c>
      <c r="V92">
        <f>IF(AND(SUM(VLOOKUP($A92,test!$A$3:$F$32,2,FALSE),VLOOKUP(V$1,test!$A$3:$F$32,2,FALSE))&lt;test!$K$16,$A92&lt;&gt;V$1,Recharged_Feasible_mat!W61),(VLOOKUP(V$1,test!$A$3:$I$32,8,FALSE))-(VLOOKUP($A92,test!$A$3:$I$32,9,FALSE))+(test!$B$34-50),0)</f>
        <v>0</v>
      </c>
      <c r="W92">
        <f>IF(AND(SUM(VLOOKUP($A92,test!$A$3:$F$32,2,FALSE),VLOOKUP(W$1,test!$A$3:$F$32,2,FALSE))&lt;test!$K$16,$A92&lt;&gt;W$1,Recharged_Feasible_mat!X61),(VLOOKUP(W$1,test!$A$3:$I$32,8,FALSE))-(VLOOKUP($A92,test!$A$3:$I$32,9,FALSE))+(test!$B$34-50),0)</f>
        <v>0</v>
      </c>
      <c r="X92">
        <f>IF(AND(SUM(VLOOKUP($A92,test!$A$3:$F$32,2,FALSE),VLOOKUP(X$1,test!$A$3:$F$32,2,FALSE))&lt;test!$K$16,$A92&lt;&gt;X$1,Recharged_Feasible_mat!Y61),(VLOOKUP(X$1,test!$A$3:$I$32,8,FALSE))-(VLOOKUP($A92,test!$A$3:$I$32,9,FALSE))+(test!$B$34-50),0)</f>
        <v>0</v>
      </c>
      <c r="Y92">
        <f>IF(AND(SUM(VLOOKUP($A92,test!$A$3:$F$32,2,FALSE),VLOOKUP(Y$1,test!$A$3:$F$32,2,FALSE))&lt;test!$K$16,$A92&lt;&gt;Y$1,Recharged_Feasible_mat!Z61),(VLOOKUP(Y$1,test!$A$3:$I$32,8,FALSE))-(VLOOKUP($A92,test!$A$3:$I$32,9,FALSE))+(test!$B$34-50),0)</f>
        <v>0</v>
      </c>
      <c r="Z92">
        <f>IF(AND(SUM(VLOOKUP($A92,test!$A$3:$F$32,2,FALSE),VLOOKUP(Z$1,test!$A$3:$F$32,2,FALSE))&lt;test!$K$16,$A92&lt;&gt;Z$1,Recharged_Feasible_mat!AA61),(VLOOKUP(Z$1,test!$A$3:$I$32,8,FALSE))-(VLOOKUP($A92,test!$A$3:$I$32,9,FALSE))+(test!$B$34-50),0)</f>
        <v>0</v>
      </c>
      <c r="AA92">
        <f>IF(AND(SUM(VLOOKUP($A92,test!$A$3:$F$32,2,FALSE),VLOOKUP(AA$1,test!$A$3:$F$32,2,FALSE))&lt;test!$K$16,$A92&lt;&gt;AA$1,Recharged_Feasible_mat!AB61),(VLOOKUP(AA$1,test!$A$3:$I$32,8,FALSE))-(VLOOKUP($A92,test!$A$3:$I$32,9,FALSE))+(test!$B$34-50),0)</f>
        <v>0</v>
      </c>
      <c r="AB92">
        <f>IF(AND(SUM(VLOOKUP($A92,test!$A$3:$F$32,2,FALSE),VLOOKUP(AB$1,test!$A$3:$F$32,2,FALSE))&lt;test!$K$16,$A92&lt;&gt;AB$1,Recharged_Feasible_mat!AC61),(VLOOKUP(AB$1,test!$A$3:$I$32,8,FALSE))-(VLOOKUP($A92,test!$A$3:$I$32,9,FALSE))+(test!$B$34-50),0)</f>
        <v>0</v>
      </c>
      <c r="AC92">
        <f>IF(AND(SUM(VLOOKUP($A92,test!$A$3:$F$32,2,FALSE),VLOOKUP(AC$1,test!$A$3:$F$32,2,FALSE))&lt;test!$K$16,$A92&lt;&gt;AC$1,Recharged_Feasible_mat!AD61),(VLOOKUP(AC$1,test!$A$3:$I$32,8,FALSE))-(VLOOKUP($A92,test!$A$3:$I$32,9,FALSE))+(test!$B$34-50),0)</f>
        <v>0</v>
      </c>
      <c r="AD92">
        <f>IF(AND(SUM(VLOOKUP($A92,test!$A$3:$F$32,2,FALSE),VLOOKUP(AD$1,test!$A$3:$F$32,2,FALSE))&lt;test!$K$16,$A92&lt;&gt;AD$1,Recharged_Feasible_mat!AE61),(VLOOKUP(AD$1,test!$A$3:$I$32,8,FALSE))-(VLOOKUP($A92,test!$A$3:$I$32,9,FALSE))+(test!$B$34-50),0)</f>
        <v>0</v>
      </c>
      <c r="AE92">
        <f>IF(AND(SUM(VLOOKUP($A92,test!$A$3:$F$32,2,FALSE),VLOOKUP(AE$1,test!$A$3:$F$32,2,FALSE))&lt;test!$K$16,$A92&lt;&gt;AE$1,Recharged_Feasible_mat!AF61),(VLOOKUP(AE$1,test!$A$3:$I$32,8,FALSE))-(VLOOKUP($A92,test!$A$3:$I$32,9,FALSE))+(test!$B$34-50),0)</f>
        <v>0</v>
      </c>
      <c r="AF92">
        <f>IF(AND(SUM(VLOOKUP($A92,test!$A$3:$F$32,2,FALSE),VLOOKUP(AF$1,test!$A$3:$F$32,2,FALSE))&lt;test!$K$16,$A92&lt;&gt;AF$1,Recharged_Feasible_mat!AG61),(VLOOKUP(AF$1,test!$A$3:$I$32,8,FALSE))-(VLOOKUP($A92,test!$A$3:$I$32,9,FALSE))+(test!$B$34-50),0)</f>
        <v>0</v>
      </c>
    </row>
    <row r="93" spans="1:32" x14ac:dyDescent="0.25">
      <c r="A93" t="s">
        <v>40</v>
      </c>
      <c r="B93">
        <v>0</v>
      </c>
      <c r="C93">
        <f>IF(AND(SUM(VLOOKUP($A93,test!$A$3:$F$32,2,FALSE),VLOOKUP(C$1,test!$A$3:$F$32,2,FALSE))&lt;test!$K$16,$A93&lt;&gt;C$1,Recharged_Feasible_mat!D62),(VLOOKUP(C$1,test!$A$3:$I$32,8,FALSE))-(VLOOKUP($A93,test!$A$3:$I$32,9,FALSE))+(test!$B$34-50),0)</f>
        <v>0</v>
      </c>
      <c r="D93">
        <f>IF(AND(SUM(VLOOKUP($A93,test!$A$3:$F$32,2,FALSE),VLOOKUP(D$1,test!$A$3:$F$32,2,FALSE))&lt;test!$K$16,$A93&lt;&gt;D$1,Recharged_Feasible_mat!E62),(VLOOKUP(D$1,test!$A$3:$I$32,8,FALSE))-(VLOOKUP($A93,test!$A$3:$I$32,9,FALSE))+(test!$B$34-50),0)</f>
        <v>0</v>
      </c>
      <c r="E93">
        <f>IF(AND(SUM(VLOOKUP($A93,test!$A$3:$F$32,2,FALSE),VLOOKUP(E$1,test!$A$3:$F$32,2,FALSE))&lt;test!$K$16,$A93&lt;&gt;E$1,Recharged_Feasible_mat!F62),(VLOOKUP(E$1,test!$A$3:$I$32,8,FALSE))-(VLOOKUP($A93,test!$A$3:$I$32,9,FALSE))+(test!$B$34-50),0)</f>
        <v>0</v>
      </c>
      <c r="F93">
        <f>IF(AND(SUM(VLOOKUP($A93,test!$A$3:$F$32,2,FALSE),VLOOKUP(F$1,test!$A$3:$F$32,2,FALSE))&lt;test!$K$16,$A93&lt;&gt;F$1,Recharged_Feasible_mat!G62),(VLOOKUP(F$1,test!$A$3:$I$32,8,FALSE))-(VLOOKUP($A93,test!$A$3:$I$32,9,FALSE))+(test!$B$34-50),0)</f>
        <v>0</v>
      </c>
      <c r="G93">
        <f>IF(AND(SUM(VLOOKUP($A93,test!$A$3:$F$32,2,FALSE),VLOOKUP(G$1,test!$A$3:$F$32,2,FALSE))&lt;test!$K$16,$A93&lt;&gt;G$1,Recharged_Feasible_mat!H62),(VLOOKUP(G$1,test!$A$3:$I$32,8,FALSE))-(VLOOKUP($A93,test!$A$3:$I$32,9,FALSE))+(test!$B$34-50),0)</f>
        <v>0</v>
      </c>
      <c r="H93">
        <f>IF(AND(SUM(VLOOKUP($A93,test!$A$3:$F$32,2,FALSE),VLOOKUP(H$1,test!$A$3:$F$32,2,FALSE))&lt;test!$K$16,$A93&lt;&gt;H$1,Recharged_Feasible_mat!I62),(VLOOKUP(H$1,test!$A$3:$I$32,8,FALSE))-(VLOOKUP($A93,test!$A$3:$I$32,9,FALSE))+(test!$B$34-50),0)</f>
        <v>0</v>
      </c>
      <c r="I93">
        <f>IF(AND(SUM(VLOOKUP($A93,test!$A$3:$F$32,2,FALSE),VLOOKUP(I$1,test!$A$3:$F$32,2,FALSE))&lt;test!$K$16,$A93&lt;&gt;I$1,Recharged_Feasible_mat!J62),(VLOOKUP(I$1,test!$A$3:$I$32,8,FALSE))-(VLOOKUP($A93,test!$A$3:$I$32,9,FALSE))+(test!$B$34-50),0)</f>
        <v>0</v>
      </c>
      <c r="J93">
        <f>IF(AND(SUM(VLOOKUP($A93,test!$A$3:$F$32,2,FALSE),VLOOKUP(J$1,test!$A$3:$F$32,2,FALSE))&lt;test!$K$16,$A93&lt;&gt;J$1,Recharged_Feasible_mat!K62),(VLOOKUP(J$1,test!$A$3:$I$32,8,FALSE))-(VLOOKUP($A93,test!$A$3:$I$32,9,FALSE))+(test!$B$34-50),0)</f>
        <v>120</v>
      </c>
      <c r="K93">
        <f>IF(AND(SUM(VLOOKUP($A93,test!$A$3:$F$32,2,FALSE),VLOOKUP(K$1,test!$A$3:$F$32,2,FALSE))&lt;test!$K$16,$A93&lt;&gt;K$1,Recharged_Feasible_mat!L62),(VLOOKUP(K$1,test!$A$3:$I$32,8,FALSE))-(VLOOKUP($A93,test!$A$3:$I$32,9,FALSE))+(test!$B$34-50),0)</f>
        <v>0</v>
      </c>
      <c r="L93">
        <f>IF(AND(SUM(VLOOKUP($A93,test!$A$3:$F$32,2,FALSE),VLOOKUP(L$1,test!$A$3:$F$32,2,FALSE))&lt;test!$K$16,$A93&lt;&gt;L$1,Recharged_Feasible_mat!M62),(VLOOKUP(L$1,test!$A$3:$I$32,8,FALSE))-(VLOOKUP($A93,test!$A$3:$I$32,9,FALSE))+(test!$B$34-50),0)</f>
        <v>0</v>
      </c>
      <c r="M93">
        <f>IF(AND(SUM(VLOOKUP($A93,test!$A$3:$F$32,2,FALSE),VLOOKUP(M$1,test!$A$3:$F$32,2,FALSE))&lt;test!$K$16,$A93&lt;&gt;M$1,Recharged_Feasible_mat!N62),(VLOOKUP(M$1,test!$A$3:$I$32,8,FALSE))-(VLOOKUP($A93,test!$A$3:$I$32,9,FALSE))+(test!$B$34-50),0)</f>
        <v>0</v>
      </c>
      <c r="N93">
        <f>IF(AND(SUM(VLOOKUP($A93,test!$A$3:$F$32,2,FALSE),VLOOKUP(N$1,test!$A$3:$F$32,2,FALSE))&lt;test!$K$16,$A93&lt;&gt;N$1,Recharged_Feasible_mat!O62),(VLOOKUP(N$1,test!$A$3:$I$32,8,FALSE))-(VLOOKUP($A93,test!$A$3:$I$32,9,FALSE))+(test!$B$34-50),0)</f>
        <v>0</v>
      </c>
      <c r="O93">
        <f>IF(AND(SUM(VLOOKUP($A93,test!$A$3:$F$32,2,FALSE),VLOOKUP(O$1,test!$A$3:$F$32,2,FALSE))&lt;test!$K$16,$A93&lt;&gt;O$1,Recharged_Feasible_mat!P62),(VLOOKUP(O$1,test!$A$3:$I$32,8,FALSE))-(VLOOKUP($A93,test!$A$3:$I$32,9,FALSE))+(test!$B$34-50),0)</f>
        <v>0</v>
      </c>
      <c r="P93">
        <f>IF(AND(SUM(VLOOKUP($A93,test!$A$3:$F$32,2,FALSE),VLOOKUP(P$1,test!$A$3:$F$32,2,FALSE))&lt;test!$K$16,$A93&lt;&gt;P$1,Recharged_Feasible_mat!Q62),(VLOOKUP(P$1,test!$A$3:$I$32,8,FALSE))-(VLOOKUP($A93,test!$A$3:$I$32,9,FALSE))+(test!$B$34-50),0)</f>
        <v>0</v>
      </c>
      <c r="Q93">
        <f>IF(AND(SUM(VLOOKUP($A93,test!$A$3:$F$32,2,FALSE),VLOOKUP(Q$1,test!$A$3:$F$32,2,FALSE))&lt;test!$K$16,$A93&lt;&gt;Q$1,Recharged_Feasible_mat!R62),(VLOOKUP(Q$1,test!$A$3:$I$32,8,FALSE))-(VLOOKUP($A93,test!$A$3:$I$32,9,FALSE))+(test!$B$34-50),0)</f>
        <v>0</v>
      </c>
      <c r="R93">
        <f>IF(AND(SUM(VLOOKUP($A93,test!$A$3:$F$32,2,FALSE),VLOOKUP(R$1,test!$A$3:$F$32,2,FALSE))&lt;test!$K$16,$A93&lt;&gt;R$1,Recharged_Feasible_mat!S62),(VLOOKUP(R$1,test!$A$3:$I$32,8,FALSE))-(VLOOKUP($A93,test!$A$3:$I$32,9,FALSE))+(test!$B$34-50),0)</f>
        <v>0</v>
      </c>
      <c r="S93">
        <f>IF(AND(SUM(VLOOKUP($A93,test!$A$3:$F$32,2,FALSE),VLOOKUP(S$1,test!$A$3:$F$32,2,FALSE))&lt;test!$K$16,$A93&lt;&gt;S$1,Recharged_Feasible_mat!T62),(VLOOKUP(S$1,test!$A$3:$I$32,8,FALSE))-(VLOOKUP($A93,test!$A$3:$I$32,9,FALSE))+(test!$B$34-50),0)</f>
        <v>0</v>
      </c>
      <c r="T93">
        <f>IF(AND(SUM(VLOOKUP($A93,test!$A$3:$F$32,2,FALSE),VLOOKUP(T$1,test!$A$3:$F$32,2,FALSE))&lt;test!$K$16,$A93&lt;&gt;T$1,Recharged_Feasible_mat!U62),(VLOOKUP(T$1,test!$A$3:$I$32,8,FALSE))-(VLOOKUP($A93,test!$A$3:$I$32,9,FALSE))+(test!$B$34-50),0)</f>
        <v>0</v>
      </c>
      <c r="U93">
        <f>IF(AND(SUM(VLOOKUP($A93,test!$A$3:$F$32,2,FALSE),VLOOKUP(U$1,test!$A$3:$F$32,2,FALSE))&lt;test!$K$16,$A93&lt;&gt;U$1,Recharged_Feasible_mat!V62),(VLOOKUP(U$1,test!$A$3:$I$32,8,FALSE))-(VLOOKUP($A93,test!$A$3:$I$32,9,FALSE))+(test!$B$34-50),0)</f>
        <v>0</v>
      </c>
      <c r="V93">
        <f>IF(AND(SUM(VLOOKUP($A93,test!$A$3:$F$32,2,FALSE),VLOOKUP(V$1,test!$A$3:$F$32,2,FALSE))&lt;test!$K$16,$A93&lt;&gt;V$1,Recharged_Feasible_mat!W62),(VLOOKUP(V$1,test!$A$3:$I$32,8,FALSE))-(VLOOKUP($A93,test!$A$3:$I$32,9,FALSE))+(test!$B$34-50),0)</f>
        <v>0</v>
      </c>
      <c r="W93">
        <f>IF(AND(SUM(VLOOKUP($A93,test!$A$3:$F$32,2,FALSE),VLOOKUP(W$1,test!$A$3:$F$32,2,FALSE))&lt;test!$K$16,$A93&lt;&gt;W$1,Recharged_Feasible_mat!X62),(VLOOKUP(W$1,test!$A$3:$I$32,8,FALSE))-(VLOOKUP($A93,test!$A$3:$I$32,9,FALSE))+(test!$B$34-50),0)</f>
        <v>0</v>
      </c>
      <c r="X93">
        <f>IF(AND(SUM(VLOOKUP($A93,test!$A$3:$F$32,2,FALSE),VLOOKUP(X$1,test!$A$3:$F$32,2,FALSE))&lt;test!$K$16,$A93&lt;&gt;X$1,Recharged_Feasible_mat!Y62),(VLOOKUP(X$1,test!$A$3:$I$32,8,FALSE))-(VLOOKUP($A93,test!$A$3:$I$32,9,FALSE))+(test!$B$34-50),0)</f>
        <v>70</v>
      </c>
      <c r="Y93">
        <f>IF(AND(SUM(VLOOKUP($A93,test!$A$3:$F$32,2,FALSE),VLOOKUP(Y$1,test!$A$3:$F$32,2,FALSE))&lt;test!$K$16,$A93&lt;&gt;Y$1,Recharged_Feasible_mat!Z62),(VLOOKUP(Y$1,test!$A$3:$I$32,8,FALSE))-(VLOOKUP($A93,test!$A$3:$I$32,9,FALSE))+(test!$B$34-50),0)</f>
        <v>0</v>
      </c>
      <c r="Z93">
        <f>IF(AND(SUM(VLOOKUP($A93,test!$A$3:$F$32,2,FALSE),VLOOKUP(Z$1,test!$A$3:$F$32,2,FALSE))&lt;test!$K$16,$A93&lt;&gt;Z$1,Recharged_Feasible_mat!AA62),(VLOOKUP(Z$1,test!$A$3:$I$32,8,FALSE))-(VLOOKUP($A93,test!$A$3:$I$32,9,FALSE))+(test!$B$34-50),0)</f>
        <v>0</v>
      </c>
      <c r="AA93">
        <f>IF(AND(SUM(VLOOKUP($A93,test!$A$3:$F$32,2,FALSE),VLOOKUP(AA$1,test!$A$3:$F$32,2,FALSE))&lt;test!$K$16,$A93&lt;&gt;AA$1,Recharged_Feasible_mat!AB62),(VLOOKUP(AA$1,test!$A$3:$I$32,8,FALSE))-(VLOOKUP($A93,test!$A$3:$I$32,9,FALSE))+(test!$B$34-50),0)</f>
        <v>0</v>
      </c>
      <c r="AB93">
        <f>IF(AND(SUM(VLOOKUP($A93,test!$A$3:$F$32,2,FALSE),VLOOKUP(AB$1,test!$A$3:$F$32,2,FALSE))&lt;test!$K$16,$A93&lt;&gt;AB$1,Recharged_Feasible_mat!AC62),(VLOOKUP(AB$1,test!$A$3:$I$32,8,FALSE))-(VLOOKUP($A93,test!$A$3:$I$32,9,FALSE))+(test!$B$34-50),0)</f>
        <v>0</v>
      </c>
      <c r="AC93">
        <f>IF(AND(SUM(VLOOKUP($A93,test!$A$3:$F$32,2,FALSE),VLOOKUP(AC$1,test!$A$3:$F$32,2,FALSE))&lt;test!$K$16,$A93&lt;&gt;AC$1,Recharged_Feasible_mat!AD62),(VLOOKUP(AC$1,test!$A$3:$I$32,8,FALSE))-(VLOOKUP($A93,test!$A$3:$I$32,9,FALSE))+(test!$B$34-50),0)</f>
        <v>0</v>
      </c>
      <c r="AD93">
        <f>IF(AND(SUM(VLOOKUP($A93,test!$A$3:$F$32,2,FALSE),VLOOKUP(AD$1,test!$A$3:$F$32,2,FALSE))&lt;test!$K$16,$A93&lt;&gt;AD$1,Recharged_Feasible_mat!AE62),(VLOOKUP(AD$1,test!$A$3:$I$32,8,FALSE))-(VLOOKUP($A93,test!$A$3:$I$32,9,FALSE))+(test!$B$34-50),0)</f>
        <v>0</v>
      </c>
      <c r="AE93">
        <f>IF(AND(SUM(VLOOKUP($A93,test!$A$3:$F$32,2,FALSE),VLOOKUP(AE$1,test!$A$3:$F$32,2,FALSE))&lt;test!$K$16,$A93&lt;&gt;AE$1,Recharged_Feasible_mat!AF62),(VLOOKUP(AE$1,test!$A$3:$I$32,8,FALSE))-(VLOOKUP($A93,test!$A$3:$I$32,9,FALSE))+(test!$B$34-50),0)</f>
        <v>0</v>
      </c>
      <c r="AF93">
        <f>IF(AND(SUM(VLOOKUP($A93,test!$A$3:$F$32,2,FALSE),VLOOKUP(AF$1,test!$A$3:$F$32,2,FALSE))&lt;test!$K$16,$A93&lt;&gt;AF$1,Recharged_Feasible_mat!AG62),(VLOOKUP(AF$1,test!$A$3:$I$32,8,FALSE))-(VLOOKUP($A93,test!$A$3:$I$32,9,FALSE))+(test!$B$34-50),0)</f>
        <v>0</v>
      </c>
    </row>
    <row r="94" spans="1:32" x14ac:dyDescent="0.25">
      <c r="A94" t="s">
        <v>41</v>
      </c>
      <c r="B94">
        <v>0</v>
      </c>
      <c r="C94">
        <f>IF(AND(SUM(VLOOKUP($A94,test!$A$3:$F$32,2,FALSE),VLOOKUP(C$1,test!$A$3:$F$32,2,FALSE))&lt;test!$K$16,$A94&lt;&gt;C$1,Recharged_Feasible_mat!D63),(VLOOKUP(C$1,test!$A$3:$I$32,8,FALSE))-(VLOOKUP($A94,test!$A$3:$I$32,9,FALSE))+(test!$B$34-50),0)</f>
        <v>0</v>
      </c>
      <c r="D94">
        <f>IF(AND(SUM(VLOOKUP($A94,test!$A$3:$F$32,2,FALSE),VLOOKUP(D$1,test!$A$3:$F$32,2,FALSE))&lt;test!$K$16,$A94&lt;&gt;D$1,Recharged_Feasible_mat!E63),(VLOOKUP(D$1,test!$A$3:$I$32,8,FALSE))-(VLOOKUP($A94,test!$A$3:$I$32,9,FALSE))+(test!$B$34-50),0)</f>
        <v>0</v>
      </c>
      <c r="E94">
        <f>IF(AND(SUM(VLOOKUP($A94,test!$A$3:$F$32,2,FALSE),VLOOKUP(E$1,test!$A$3:$F$32,2,FALSE))&lt;test!$K$16,$A94&lt;&gt;E$1,Recharged_Feasible_mat!F63),(VLOOKUP(E$1,test!$A$3:$I$32,8,FALSE))-(VLOOKUP($A94,test!$A$3:$I$32,9,FALSE))+(test!$B$34-50),0)</f>
        <v>0</v>
      </c>
      <c r="F94">
        <f>IF(AND(SUM(VLOOKUP($A94,test!$A$3:$F$32,2,FALSE),VLOOKUP(F$1,test!$A$3:$F$32,2,FALSE))&lt;test!$K$16,$A94&lt;&gt;F$1,Recharged_Feasible_mat!G63),(VLOOKUP(F$1,test!$A$3:$I$32,8,FALSE))-(VLOOKUP($A94,test!$A$3:$I$32,9,FALSE))+(test!$B$34-50),0)</f>
        <v>0</v>
      </c>
      <c r="G94">
        <f>IF(AND(SUM(VLOOKUP($A94,test!$A$3:$F$32,2,FALSE),VLOOKUP(G$1,test!$A$3:$F$32,2,FALSE))&lt;test!$K$16,$A94&lt;&gt;G$1,Recharged_Feasible_mat!H63),(VLOOKUP(G$1,test!$A$3:$I$32,8,FALSE))-(VLOOKUP($A94,test!$A$3:$I$32,9,FALSE))+(test!$B$34-50),0)</f>
        <v>0</v>
      </c>
      <c r="H94">
        <f>IF(AND(SUM(VLOOKUP($A94,test!$A$3:$F$32,2,FALSE),VLOOKUP(H$1,test!$A$3:$F$32,2,FALSE))&lt;test!$K$16,$A94&lt;&gt;H$1,Recharged_Feasible_mat!I63),(VLOOKUP(H$1,test!$A$3:$I$32,8,FALSE))-(VLOOKUP($A94,test!$A$3:$I$32,9,FALSE))+(test!$B$34-50),0)</f>
        <v>0</v>
      </c>
      <c r="I94">
        <f>IF(AND(SUM(VLOOKUP($A94,test!$A$3:$F$32,2,FALSE),VLOOKUP(I$1,test!$A$3:$F$32,2,FALSE))&lt;test!$K$16,$A94&lt;&gt;I$1,Recharged_Feasible_mat!J63),(VLOOKUP(I$1,test!$A$3:$I$32,8,FALSE))-(VLOOKUP($A94,test!$A$3:$I$32,9,FALSE))+(test!$B$34-50),0)</f>
        <v>0</v>
      </c>
      <c r="J94">
        <f>IF(AND(SUM(VLOOKUP($A94,test!$A$3:$F$32,2,FALSE),VLOOKUP(J$1,test!$A$3:$F$32,2,FALSE))&lt;test!$K$16,$A94&lt;&gt;J$1,Recharged_Feasible_mat!K63),(VLOOKUP(J$1,test!$A$3:$I$32,8,FALSE))-(VLOOKUP($A94,test!$A$3:$I$32,9,FALSE))+(test!$B$34-50),0)</f>
        <v>0</v>
      </c>
      <c r="K94">
        <f>IF(AND(SUM(VLOOKUP($A94,test!$A$3:$F$32,2,FALSE),VLOOKUP(K$1,test!$A$3:$F$32,2,FALSE))&lt;test!$K$16,$A94&lt;&gt;K$1,Recharged_Feasible_mat!L63),(VLOOKUP(K$1,test!$A$3:$I$32,8,FALSE))-(VLOOKUP($A94,test!$A$3:$I$32,9,FALSE))+(test!$B$34-50),0)</f>
        <v>0</v>
      </c>
      <c r="L94">
        <f>IF(AND(SUM(VLOOKUP($A94,test!$A$3:$F$32,2,FALSE),VLOOKUP(L$1,test!$A$3:$F$32,2,FALSE))&lt;test!$K$16,$A94&lt;&gt;L$1,Recharged_Feasible_mat!M63),(VLOOKUP(L$1,test!$A$3:$I$32,8,FALSE))-(VLOOKUP($A94,test!$A$3:$I$32,9,FALSE))+(test!$B$34-50),0)</f>
        <v>0</v>
      </c>
      <c r="M94">
        <f>IF(AND(SUM(VLOOKUP($A94,test!$A$3:$F$32,2,FALSE),VLOOKUP(M$1,test!$A$3:$F$32,2,FALSE))&lt;test!$K$16,$A94&lt;&gt;M$1,Recharged_Feasible_mat!N63),(VLOOKUP(M$1,test!$A$3:$I$32,8,FALSE))-(VLOOKUP($A94,test!$A$3:$I$32,9,FALSE))+(test!$B$34-50),0)</f>
        <v>0</v>
      </c>
      <c r="N94">
        <f>IF(AND(SUM(VLOOKUP($A94,test!$A$3:$F$32,2,FALSE),VLOOKUP(N$1,test!$A$3:$F$32,2,FALSE))&lt;test!$K$16,$A94&lt;&gt;N$1,Recharged_Feasible_mat!O63),(VLOOKUP(N$1,test!$A$3:$I$32,8,FALSE))-(VLOOKUP($A94,test!$A$3:$I$32,9,FALSE))+(test!$B$34-50),0)</f>
        <v>0</v>
      </c>
      <c r="O94">
        <f>IF(AND(SUM(VLOOKUP($A94,test!$A$3:$F$32,2,FALSE),VLOOKUP(O$1,test!$A$3:$F$32,2,FALSE))&lt;test!$K$16,$A94&lt;&gt;O$1,Recharged_Feasible_mat!P63),(VLOOKUP(O$1,test!$A$3:$I$32,8,FALSE))-(VLOOKUP($A94,test!$A$3:$I$32,9,FALSE))+(test!$B$34-50),0)</f>
        <v>0</v>
      </c>
      <c r="P94">
        <f>IF(AND(SUM(VLOOKUP($A94,test!$A$3:$F$32,2,FALSE),VLOOKUP(P$1,test!$A$3:$F$32,2,FALSE))&lt;test!$K$16,$A94&lt;&gt;P$1,Recharged_Feasible_mat!Q63),(VLOOKUP(P$1,test!$A$3:$I$32,8,FALSE))-(VLOOKUP($A94,test!$A$3:$I$32,9,FALSE))+(test!$B$34-50),0)</f>
        <v>0</v>
      </c>
      <c r="Q94">
        <f>IF(AND(SUM(VLOOKUP($A94,test!$A$3:$F$32,2,FALSE),VLOOKUP(Q$1,test!$A$3:$F$32,2,FALSE))&lt;test!$K$16,$A94&lt;&gt;Q$1,Recharged_Feasible_mat!R63),(VLOOKUP(Q$1,test!$A$3:$I$32,8,FALSE))-(VLOOKUP($A94,test!$A$3:$I$32,9,FALSE))+(test!$B$34-50),0)</f>
        <v>0</v>
      </c>
      <c r="R94">
        <f>IF(AND(SUM(VLOOKUP($A94,test!$A$3:$F$32,2,FALSE),VLOOKUP(R$1,test!$A$3:$F$32,2,FALSE))&lt;test!$K$16,$A94&lt;&gt;R$1,Recharged_Feasible_mat!S63),(VLOOKUP(R$1,test!$A$3:$I$32,8,FALSE))-(VLOOKUP($A94,test!$A$3:$I$32,9,FALSE))+(test!$B$34-50),0)</f>
        <v>0</v>
      </c>
      <c r="S94">
        <f>IF(AND(SUM(VLOOKUP($A94,test!$A$3:$F$32,2,FALSE),VLOOKUP(S$1,test!$A$3:$F$32,2,FALSE))&lt;test!$K$16,$A94&lt;&gt;S$1,Recharged_Feasible_mat!T63),(VLOOKUP(S$1,test!$A$3:$I$32,8,FALSE))-(VLOOKUP($A94,test!$A$3:$I$32,9,FALSE))+(test!$B$34-50),0)</f>
        <v>0</v>
      </c>
      <c r="T94">
        <f>IF(AND(SUM(VLOOKUP($A94,test!$A$3:$F$32,2,FALSE),VLOOKUP(T$1,test!$A$3:$F$32,2,FALSE))&lt;test!$K$16,$A94&lt;&gt;T$1,Recharged_Feasible_mat!U63),(VLOOKUP(T$1,test!$A$3:$I$32,8,FALSE))-(VLOOKUP($A94,test!$A$3:$I$32,9,FALSE))+(test!$B$34-50),0)</f>
        <v>0</v>
      </c>
      <c r="U94">
        <f>IF(AND(SUM(VLOOKUP($A94,test!$A$3:$F$32,2,FALSE),VLOOKUP(U$1,test!$A$3:$F$32,2,FALSE))&lt;test!$K$16,$A94&lt;&gt;U$1,Recharged_Feasible_mat!V63),(VLOOKUP(U$1,test!$A$3:$I$32,8,FALSE))-(VLOOKUP($A94,test!$A$3:$I$32,9,FALSE))+(test!$B$34-50),0)</f>
        <v>0</v>
      </c>
      <c r="V94">
        <f>IF(AND(SUM(VLOOKUP($A94,test!$A$3:$F$32,2,FALSE),VLOOKUP(V$1,test!$A$3:$F$32,2,FALSE))&lt;test!$K$16,$A94&lt;&gt;V$1,Recharged_Feasible_mat!W63),(VLOOKUP(V$1,test!$A$3:$I$32,8,FALSE))-(VLOOKUP($A94,test!$A$3:$I$32,9,FALSE))+(test!$B$34-50),0)</f>
        <v>0</v>
      </c>
      <c r="W94">
        <f>IF(AND(SUM(VLOOKUP($A94,test!$A$3:$F$32,2,FALSE),VLOOKUP(W$1,test!$A$3:$F$32,2,FALSE))&lt;test!$K$16,$A94&lt;&gt;W$1,Recharged_Feasible_mat!X63),(VLOOKUP(W$1,test!$A$3:$I$32,8,FALSE))-(VLOOKUP($A94,test!$A$3:$I$32,9,FALSE))+(test!$B$34-50),0)</f>
        <v>0</v>
      </c>
      <c r="X94">
        <f>IF(AND(SUM(VLOOKUP($A94,test!$A$3:$F$32,2,FALSE),VLOOKUP(X$1,test!$A$3:$F$32,2,FALSE))&lt;test!$K$16,$A94&lt;&gt;X$1,Recharged_Feasible_mat!Y63),(VLOOKUP(X$1,test!$A$3:$I$32,8,FALSE))-(VLOOKUP($A94,test!$A$3:$I$32,9,FALSE))+(test!$B$34-50),0)</f>
        <v>0</v>
      </c>
      <c r="Y94">
        <f>IF(AND(SUM(VLOOKUP($A94,test!$A$3:$F$32,2,FALSE),VLOOKUP(Y$1,test!$A$3:$F$32,2,FALSE))&lt;test!$K$16,$A94&lt;&gt;Y$1,Recharged_Feasible_mat!Z63),(VLOOKUP(Y$1,test!$A$3:$I$32,8,FALSE))-(VLOOKUP($A94,test!$A$3:$I$32,9,FALSE))+(test!$B$34-50),0)</f>
        <v>0</v>
      </c>
      <c r="Z94">
        <f>IF(AND(SUM(VLOOKUP($A94,test!$A$3:$F$32,2,FALSE),VLOOKUP(Z$1,test!$A$3:$F$32,2,FALSE))&lt;test!$K$16,$A94&lt;&gt;Z$1,Recharged_Feasible_mat!AA63),(VLOOKUP(Z$1,test!$A$3:$I$32,8,FALSE))-(VLOOKUP($A94,test!$A$3:$I$32,9,FALSE))+(test!$B$34-50),0)</f>
        <v>0</v>
      </c>
      <c r="AA94">
        <f>IF(AND(SUM(VLOOKUP($A94,test!$A$3:$F$32,2,FALSE),VLOOKUP(AA$1,test!$A$3:$F$32,2,FALSE))&lt;test!$K$16,$A94&lt;&gt;AA$1,Recharged_Feasible_mat!AB63),(VLOOKUP(AA$1,test!$A$3:$I$32,8,FALSE))-(VLOOKUP($A94,test!$A$3:$I$32,9,FALSE))+(test!$B$34-50),0)</f>
        <v>0</v>
      </c>
      <c r="AB94">
        <f>IF(AND(SUM(VLOOKUP($A94,test!$A$3:$F$32,2,FALSE),VLOOKUP(AB$1,test!$A$3:$F$32,2,FALSE))&lt;test!$K$16,$A94&lt;&gt;AB$1,Recharged_Feasible_mat!AC63),(VLOOKUP(AB$1,test!$A$3:$I$32,8,FALSE))-(VLOOKUP($A94,test!$A$3:$I$32,9,FALSE))+(test!$B$34-50),0)</f>
        <v>0</v>
      </c>
      <c r="AC94">
        <f>IF(AND(SUM(VLOOKUP($A94,test!$A$3:$F$32,2,FALSE),VLOOKUP(AC$1,test!$A$3:$F$32,2,FALSE))&lt;test!$K$16,$A94&lt;&gt;AC$1,Recharged_Feasible_mat!AD63),(VLOOKUP(AC$1,test!$A$3:$I$32,8,FALSE))-(VLOOKUP($A94,test!$A$3:$I$32,9,FALSE))+(test!$B$34-50),0)</f>
        <v>0</v>
      </c>
      <c r="AD94">
        <f>IF(AND(SUM(VLOOKUP($A94,test!$A$3:$F$32,2,FALSE),VLOOKUP(AD$1,test!$A$3:$F$32,2,FALSE))&lt;test!$K$16,$A94&lt;&gt;AD$1,Recharged_Feasible_mat!AE63),(VLOOKUP(AD$1,test!$A$3:$I$32,8,FALSE))-(VLOOKUP($A94,test!$A$3:$I$32,9,FALSE))+(test!$B$34-50),0)</f>
        <v>0</v>
      </c>
      <c r="AE94">
        <f>IF(AND(SUM(VLOOKUP($A94,test!$A$3:$F$32,2,FALSE),VLOOKUP(AE$1,test!$A$3:$F$32,2,FALSE))&lt;test!$K$16,$A94&lt;&gt;AE$1,Recharged_Feasible_mat!AF63),(VLOOKUP(AE$1,test!$A$3:$I$32,8,FALSE))-(VLOOKUP($A94,test!$A$3:$I$32,9,FALSE))+(test!$B$34-50),0)</f>
        <v>0</v>
      </c>
      <c r="AF94">
        <f>IF(AND(SUM(VLOOKUP($A94,test!$A$3:$F$32,2,FALSE),VLOOKUP(AF$1,test!$A$3:$F$32,2,FALSE))&lt;test!$K$16,$A94&lt;&gt;AF$1,Recharged_Feasible_mat!AG63),(VLOOKUP(AF$1,test!$A$3:$I$32,8,FALSE))-(VLOOKUP($A94,test!$A$3:$I$32,9,FALSE))+(test!$B$34-50),0)</f>
        <v>0</v>
      </c>
    </row>
    <row r="95" spans="1:32" x14ac:dyDescent="0.25">
      <c r="A95" t="s">
        <v>46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6</v>
      </c>
      <c r="B96">
        <v>0</v>
      </c>
      <c r="C96">
        <f>IF(AND(SUM(VLOOKUP($A96,test!$A$3:$F$32,2,FALSE),VLOOKUP(C$1,test!$A$3:$F$32,2,FALSE))&lt;test!$K$16,$A96&lt;&gt;C$1,Recharged_Feasible_mat!D65),(VLOOKUP(C$1,test!$A$3:$I$32,8,FALSE))-(VLOOKUP($A96,test!$A$3:$I$32,9,FALSE))+(test!$B$35-50),0)</f>
        <v>0</v>
      </c>
      <c r="D96">
        <f>IF(AND(SUM(VLOOKUP($A96,test!$A$3:$F$32,2,FALSE),VLOOKUP(D$1,test!$A$3:$F$32,2,FALSE))&lt;test!$K$16,$A96&lt;&gt;D$1,Recharged_Feasible_mat!E65),(VLOOKUP(D$1,test!$A$3:$I$32,8,FALSE))-(VLOOKUP($A96,test!$A$3:$I$32,9,FALSE))+(test!$B$35-50),0)</f>
        <v>0</v>
      </c>
      <c r="E96">
        <f>IF(AND(SUM(VLOOKUP($A96,test!$A$3:$F$32,2,FALSE),VLOOKUP(E$1,test!$A$3:$F$32,2,FALSE))&lt;test!$K$16,$A96&lt;&gt;E$1,Recharged_Feasible_mat!F65),(VLOOKUP(E$1,test!$A$3:$I$32,8,FALSE))-(VLOOKUP($A96,test!$A$3:$I$32,9,FALSE))+(test!$B$35-50),0)</f>
        <v>135</v>
      </c>
      <c r="F96">
        <f>IF(AND(SUM(VLOOKUP($A96,test!$A$3:$F$32,2,FALSE),VLOOKUP(F$1,test!$A$3:$F$32,2,FALSE))&lt;test!$K$16,$A96&lt;&gt;F$1,Recharged_Feasible_mat!G65),(VLOOKUP(F$1,test!$A$3:$I$32,8,FALSE))-(VLOOKUP($A96,test!$A$3:$I$32,9,FALSE))+(test!$B$35-50),0)</f>
        <v>225</v>
      </c>
      <c r="G96">
        <f>IF(AND(SUM(VLOOKUP($A96,test!$A$3:$F$32,2,FALSE),VLOOKUP(G$1,test!$A$3:$F$32,2,FALSE))&lt;test!$K$16,$A96&lt;&gt;G$1,Recharged_Feasible_mat!H65),(VLOOKUP(G$1,test!$A$3:$I$32,8,FALSE))-(VLOOKUP($A96,test!$A$3:$I$32,9,FALSE))+(test!$B$35-50),0)</f>
        <v>285</v>
      </c>
      <c r="H96">
        <f>IF(AND(SUM(VLOOKUP($A96,test!$A$3:$F$32,2,FALSE),VLOOKUP(H$1,test!$A$3:$F$32,2,FALSE))&lt;test!$K$16,$A96&lt;&gt;H$1,Recharged_Feasible_mat!I65),(VLOOKUP(H$1,test!$A$3:$I$32,8,FALSE))-(VLOOKUP($A96,test!$A$3:$I$32,9,FALSE))+(test!$B$35-50),0)</f>
        <v>345</v>
      </c>
      <c r="I96">
        <f>IF(AND(SUM(VLOOKUP($A96,test!$A$3:$F$32,2,FALSE),VLOOKUP(I$1,test!$A$3:$F$32,2,FALSE))&lt;test!$K$16,$A96&lt;&gt;I$1,Recharged_Feasible_mat!J65),(VLOOKUP(I$1,test!$A$3:$I$32,8,FALSE))-(VLOOKUP($A96,test!$A$3:$I$32,9,FALSE))+(test!$B$35-50),0)</f>
        <v>405</v>
      </c>
      <c r="J96">
        <f>IF(AND(SUM(VLOOKUP($A96,test!$A$3:$F$32,2,FALSE),VLOOKUP(J$1,test!$A$3:$F$32,2,FALSE))&lt;test!$K$16,$A96&lt;&gt;J$1,Recharged_Feasible_mat!K65),(VLOOKUP(J$1,test!$A$3:$I$32,8,FALSE))-(VLOOKUP($A96,test!$A$3:$I$32,9,FALSE))+(test!$B$35-50),0)</f>
        <v>495</v>
      </c>
      <c r="K96">
        <f>IF(AND(SUM(VLOOKUP($A96,test!$A$3:$F$32,2,FALSE),VLOOKUP(K$1,test!$A$3:$F$32,2,FALSE))&lt;test!$K$16,$A96&lt;&gt;K$1,Recharged_Feasible_mat!L65),(VLOOKUP(K$1,test!$A$3:$I$32,8,FALSE))-(VLOOKUP($A96,test!$A$3:$I$32,9,FALSE))+(test!$B$35-50),0)</f>
        <v>0</v>
      </c>
      <c r="L96">
        <f>IF(AND(SUM(VLOOKUP($A96,test!$A$3:$F$32,2,FALSE),VLOOKUP(L$1,test!$A$3:$F$32,2,FALSE))&lt;test!$K$16,$A96&lt;&gt;L$1,Recharged_Feasible_mat!M65),(VLOOKUP(L$1,test!$A$3:$I$32,8,FALSE))-(VLOOKUP($A96,test!$A$3:$I$32,9,FALSE))+(test!$B$35-50),0)</f>
        <v>0</v>
      </c>
      <c r="M96">
        <f>IF(AND(SUM(VLOOKUP($A96,test!$A$3:$F$32,2,FALSE),VLOOKUP(M$1,test!$A$3:$F$32,2,FALSE))&lt;test!$K$16,$A96&lt;&gt;M$1,Recharged_Feasible_mat!N65),(VLOOKUP(M$1,test!$A$3:$I$32,8,FALSE))-(VLOOKUP($A96,test!$A$3:$I$32,9,FALSE))+(test!$B$35-50),0)</f>
        <v>100</v>
      </c>
      <c r="N96">
        <f>IF(AND(SUM(VLOOKUP($A96,test!$A$3:$F$32,2,FALSE),VLOOKUP(N$1,test!$A$3:$F$32,2,FALSE))&lt;test!$K$16,$A96&lt;&gt;N$1,Recharged_Feasible_mat!O65),(VLOOKUP(N$1,test!$A$3:$I$32,8,FALSE))-(VLOOKUP($A96,test!$A$3:$I$32,9,FALSE))+(test!$B$35-50),0)</f>
        <v>460</v>
      </c>
      <c r="O96">
        <f>IF(AND(SUM(VLOOKUP($A96,test!$A$3:$F$32,2,FALSE),VLOOKUP(O$1,test!$A$3:$F$32,2,FALSE))&lt;test!$K$16,$A96&lt;&gt;O$1,Recharged_Feasible_mat!P65),(VLOOKUP(O$1,test!$A$3:$I$32,8,FALSE))-(VLOOKUP($A96,test!$A$3:$I$32,9,FALSE))+(test!$B$35-50),0)</f>
        <v>520</v>
      </c>
      <c r="P96">
        <f>IF(AND(SUM(VLOOKUP($A96,test!$A$3:$F$32,2,FALSE),VLOOKUP(P$1,test!$A$3:$F$32,2,FALSE))&lt;test!$K$16,$A96&lt;&gt;P$1,Recharged_Feasible_mat!Q65),(VLOOKUP(P$1,test!$A$3:$I$32,8,FALSE))-(VLOOKUP($A96,test!$A$3:$I$32,9,FALSE))+(test!$B$35-50),0)</f>
        <v>0</v>
      </c>
      <c r="Q96">
        <f>IF(AND(SUM(VLOOKUP($A96,test!$A$3:$F$32,2,FALSE),VLOOKUP(Q$1,test!$A$3:$F$32,2,FALSE))&lt;test!$K$16,$A96&lt;&gt;Q$1,Recharged_Feasible_mat!R65),(VLOOKUP(Q$1,test!$A$3:$I$32,8,FALSE))-(VLOOKUP($A96,test!$A$3:$I$32,9,FALSE))+(test!$B$35-50),0)</f>
        <v>0</v>
      </c>
      <c r="R96">
        <f>IF(AND(SUM(VLOOKUP($A96,test!$A$3:$F$32,2,FALSE),VLOOKUP(R$1,test!$A$3:$F$32,2,FALSE))&lt;test!$K$16,$A96&lt;&gt;R$1,Recharged_Feasible_mat!S65),(VLOOKUP(R$1,test!$A$3:$I$32,8,FALSE))-(VLOOKUP($A96,test!$A$3:$I$32,9,FALSE))+(test!$B$35-50),0)</f>
        <v>0</v>
      </c>
      <c r="S96">
        <f>IF(AND(SUM(VLOOKUP($A96,test!$A$3:$F$32,2,FALSE),VLOOKUP(S$1,test!$A$3:$F$32,2,FALSE))&lt;test!$K$16,$A96&lt;&gt;S$1,Recharged_Feasible_mat!T65),(VLOOKUP(S$1,test!$A$3:$I$32,8,FALSE))-(VLOOKUP($A96,test!$A$3:$I$32,9,FALSE))+(test!$B$35-50),0)</f>
        <v>0</v>
      </c>
      <c r="T96">
        <f>IF(AND(SUM(VLOOKUP($A96,test!$A$3:$F$32,2,FALSE),VLOOKUP(T$1,test!$A$3:$F$32,2,FALSE))&lt;test!$K$16,$A96&lt;&gt;T$1,Recharged_Feasible_mat!U65),(VLOOKUP(T$1,test!$A$3:$I$32,8,FALSE))-(VLOOKUP($A96,test!$A$3:$I$32,9,FALSE))+(test!$B$35-50),0)</f>
        <v>115</v>
      </c>
      <c r="U96">
        <f>IF(AND(SUM(VLOOKUP($A96,test!$A$3:$F$32,2,FALSE),VLOOKUP(U$1,test!$A$3:$F$32,2,FALSE))&lt;test!$K$16,$A96&lt;&gt;U$1,Recharged_Feasible_mat!V65),(VLOOKUP(U$1,test!$A$3:$I$32,8,FALSE))-(VLOOKUP($A96,test!$A$3:$I$32,9,FALSE))+(test!$B$35-50),0)</f>
        <v>205</v>
      </c>
      <c r="V96">
        <f>IF(AND(SUM(VLOOKUP($A96,test!$A$3:$F$32,2,FALSE),VLOOKUP(V$1,test!$A$3:$F$32,2,FALSE))&lt;test!$K$16,$A96&lt;&gt;V$1,Recharged_Feasible_mat!W65),(VLOOKUP(V$1,test!$A$3:$I$32,8,FALSE))-(VLOOKUP($A96,test!$A$3:$I$32,9,FALSE))+(test!$B$35-50),0)</f>
        <v>295</v>
      </c>
      <c r="W96">
        <f>IF(AND(SUM(VLOOKUP($A96,test!$A$3:$F$32,2,FALSE),VLOOKUP(W$1,test!$A$3:$F$32,2,FALSE))&lt;test!$K$16,$A96&lt;&gt;W$1,Recharged_Feasible_mat!X65),(VLOOKUP(W$1,test!$A$3:$I$32,8,FALSE))-(VLOOKUP($A96,test!$A$3:$I$32,9,FALSE))+(test!$B$35-50),0)</f>
        <v>385</v>
      </c>
      <c r="X96">
        <f>IF(AND(SUM(VLOOKUP($A96,test!$A$3:$F$32,2,FALSE),VLOOKUP(X$1,test!$A$3:$F$32,2,FALSE))&lt;test!$K$16,$A96&lt;&gt;X$1,Recharged_Feasible_mat!Y65),(VLOOKUP(X$1,test!$A$3:$I$32,8,FALSE))-(VLOOKUP($A96,test!$A$3:$I$32,9,FALSE))+(test!$B$35-50),0)</f>
        <v>445</v>
      </c>
      <c r="Y96">
        <f>IF(AND(SUM(VLOOKUP($A96,test!$A$3:$F$32,2,FALSE),VLOOKUP(Y$1,test!$A$3:$F$32,2,FALSE))&lt;test!$K$16,$A96&lt;&gt;Y$1,Recharged_Feasible_mat!Z65),(VLOOKUP(Y$1,test!$A$3:$I$32,8,FALSE))-(VLOOKUP($A96,test!$A$3:$I$32,9,FALSE))+(test!$B$35-50),0)</f>
        <v>0</v>
      </c>
      <c r="Z96">
        <f>IF(AND(SUM(VLOOKUP($A96,test!$A$3:$F$32,2,FALSE),VLOOKUP(Z$1,test!$A$3:$F$32,2,FALSE))&lt;test!$K$16,$A96&lt;&gt;Z$1,Recharged_Feasible_mat!AA65),(VLOOKUP(Z$1,test!$A$3:$I$32,8,FALSE))-(VLOOKUP($A96,test!$A$3:$I$32,9,FALSE))+(test!$B$35-50),0)</f>
        <v>0</v>
      </c>
      <c r="AA96">
        <f>IF(AND(SUM(VLOOKUP($A96,test!$A$3:$F$32,2,FALSE),VLOOKUP(AA$1,test!$A$3:$F$32,2,FALSE))&lt;test!$K$16,$A96&lt;&gt;AA$1,Recharged_Feasible_mat!AB65),(VLOOKUP(AA$1,test!$A$3:$I$32,8,FALSE))-(VLOOKUP($A96,test!$A$3:$I$32,9,FALSE))+(test!$B$35-50),0)</f>
        <v>165</v>
      </c>
      <c r="AB96">
        <f>IF(AND(SUM(VLOOKUP($A96,test!$A$3:$F$32,2,FALSE),VLOOKUP(AB$1,test!$A$3:$F$32,2,FALSE))&lt;test!$K$16,$A96&lt;&gt;AB$1,Recharged_Feasible_mat!AC65),(VLOOKUP(AB$1,test!$A$3:$I$32,8,FALSE))-(VLOOKUP($A96,test!$A$3:$I$32,9,FALSE))+(test!$B$35-50),0)</f>
        <v>225</v>
      </c>
      <c r="AC96">
        <f>IF(AND(SUM(VLOOKUP($A96,test!$A$3:$F$32,2,FALSE),VLOOKUP(AC$1,test!$A$3:$F$32,2,FALSE))&lt;test!$K$16,$A96&lt;&gt;AC$1,Recharged_Feasible_mat!AD65),(VLOOKUP(AC$1,test!$A$3:$I$32,8,FALSE))-(VLOOKUP($A96,test!$A$3:$I$32,9,FALSE))+(test!$B$35-50),0)</f>
        <v>345</v>
      </c>
      <c r="AD96">
        <f>IF(AND(SUM(VLOOKUP($A96,test!$A$3:$F$32,2,FALSE),VLOOKUP(AD$1,test!$A$3:$F$32,2,FALSE))&lt;test!$K$16,$A96&lt;&gt;AD$1,Recharged_Feasible_mat!AE65),(VLOOKUP(AD$1,test!$A$3:$I$32,8,FALSE))-(VLOOKUP($A96,test!$A$3:$I$32,9,FALSE))+(test!$B$35-50),0)</f>
        <v>0</v>
      </c>
      <c r="AE96">
        <f>IF(AND(SUM(VLOOKUP($A96,test!$A$3:$F$32,2,FALSE),VLOOKUP(AE$1,test!$A$3:$F$32,2,FALSE))&lt;test!$K$16,$A96&lt;&gt;AE$1,Recharged_Feasible_mat!AF65),(VLOOKUP(AE$1,test!$A$3:$I$32,8,FALSE))-(VLOOKUP($A96,test!$A$3:$I$32,9,FALSE))+(test!$B$35-50),0)</f>
        <v>165</v>
      </c>
      <c r="AF96">
        <f>IF(AND(SUM(VLOOKUP($A96,test!$A$3:$F$32,2,FALSE),VLOOKUP(AF$1,test!$A$3:$F$32,2,FALSE))&lt;test!$K$16,$A96&lt;&gt;AF$1,Recharged_Feasible_mat!AG65),(VLOOKUP(AF$1,test!$A$3:$I$32,8,FALSE))-(VLOOKUP($A96,test!$A$3:$I$32,9,FALSE))+(test!$B$35-50),0)</f>
        <v>0</v>
      </c>
    </row>
    <row r="97" spans="1:32" x14ac:dyDescent="0.25">
      <c r="A97" t="s">
        <v>9</v>
      </c>
      <c r="B97">
        <v>0</v>
      </c>
      <c r="C97">
        <f>IF(AND(SUM(VLOOKUP($A97,test!$A$3:$F$32,2,FALSE),VLOOKUP(C$1,test!$A$3:$F$32,2,FALSE))&lt;test!$K$16,$A97&lt;&gt;C$1,Recharged_Feasible_mat!D66),(VLOOKUP(C$1,test!$A$3:$I$32,8,FALSE))-(VLOOKUP($A97,test!$A$3:$I$32,9,FALSE))+(test!$B$35-50),0)</f>
        <v>0</v>
      </c>
      <c r="D97">
        <f>IF(AND(SUM(VLOOKUP($A97,test!$A$3:$F$32,2,FALSE),VLOOKUP(D$1,test!$A$3:$F$32,2,FALSE))&lt;test!$K$16,$A97&lt;&gt;D$1,Recharged_Feasible_mat!E66),(VLOOKUP(D$1,test!$A$3:$I$32,8,FALSE))-(VLOOKUP($A97,test!$A$3:$I$32,9,FALSE))+(test!$B$35-50),0)</f>
        <v>0</v>
      </c>
      <c r="E97">
        <f>IF(AND(SUM(VLOOKUP($A97,test!$A$3:$F$32,2,FALSE),VLOOKUP(E$1,test!$A$3:$F$32,2,FALSE))&lt;test!$K$16,$A97&lt;&gt;E$1,Recharged_Feasible_mat!F66),(VLOOKUP(E$1,test!$A$3:$I$32,8,FALSE))-(VLOOKUP($A97,test!$A$3:$I$32,9,FALSE))+(test!$B$35-50),0)</f>
        <v>0</v>
      </c>
      <c r="F97">
        <f>IF(AND(SUM(VLOOKUP($A97,test!$A$3:$F$32,2,FALSE),VLOOKUP(F$1,test!$A$3:$F$32,2,FALSE))&lt;test!$K$16,$A97&lt;&gt;F$1,Recharged_Feasible_mat!G66),(VLOOKUP(F$1,test!$A$3:$I$32,8,FALSE))-(VLOOKUP($A97,test!$A$3:$I$32,9,FALSE))+(test!$B$35-50),0)</f>
        <v>0</v>
      </c>
      <c r="G97">
        <f>IF(AND(SUM(VLOOKUP($A97,test!$A$3:$F$32,2,FALSE),VLOOKUP(G$1,test!$A$3:$F$32,2,FALSE))&lt;test!$K$16,$A97&lt;&gt;G$1,Recharged_Feasible_mat!H66),(VLOOKUP(G$1,test!$A$3:$I$32,8,FALSE))-(VLOOKUP($A97,test!$A$3:$I$32,9,FALSE))+(test!$B$35-50),0)</f>
        <v>105</v>
      </c>
      <c r="H97">
        <f>IF(AND(SUM(VLOOKUP($A97,test!$A$3:$F$32,2,FALSE),VLOOKUP(H$1,test!$A$3:$F$32,2,FALSE))&lt;test!$K$16,$A97&lt;&gt;H$1,Recharged_Feasible_mat!I66),(VLOOKUP(H$1,test!$A$3:$I$32,8,FALSE))-(VLOOKUP($A97,test!$A$3:$I$32,9,FALSE))+(test!$B$35-50),0)</f>
        <v>165</v>
      </c>
      <c r="I97">
        <f>IF(AND(SUM(VLOOKUP($A97,test!$A$3:$F$32,2,FALSE),VLOOKUP(I$1,test!$A$3:$F$32,2,FALSE))&lt;test!$K$16,$A97&lt;&gt;I$1,Recharged_Feasible_mat!J66),(VLOOKUP(I$1,test!$A$3:$I$32,8,FALSE))-(VLOOKUP($A97,test!$A$3:$I$32,9,FALSE))+(test!$B$35-50),0)</f>
        <v>225</v>
      </c>
      <c r="J97">
        <f>IF(AND(SUM(VLOOKUP($A97,test!$A$3:$F$32,2,FALSE),VLOOKUP(J$1,test!$A$3:$F$32,2,FALSE))&lt;test!$K$16,$A97&lt;&gt;J$1,Recharged_Feasible_mat!K66),(VLOOKUP(J$1,test!$A$3:$I$32,8,FALSE))-(VLOOKUP($A97,test!$A$3:$I$32,9,FALSE))+(test!$B$35-50),0)</f>
        <v>315</v>
      </c>
      <c r="K97">
        <f>IF(AND(SUM(VLOOKUP($A97,test!$A$3:$F$32,2,FALSE),VLOOKUP(K$1,test!$A$3:$F$32,2,FALSE))&lt;test!$K$16,$A97&lt;&gt;K$1,Recharged_Feasible_mat!L66),(VLOOKUP(K$1,test!$A$3:$I$32,8,FALSE))-(VLOOKUP($A97,test!$A$3:$I$32,9,FALSE))+(test!$B$35-50),0)</f>
        <v>0</v>
      </c>
      <c r="L97">
        <f>IF(AND(SUM(VLOOKUP($A97,test!$A$3:$F$32,2,FALSE),VLOOKUP(L$1,test!$A$3:$F$32,2,FALSE))&lt;test!$K$16,$A97&lt;&gt;L$1,Recharged_Feasible_mat!M66),(VLOOKUP(L$1,test!$A$3:$I$32,8,FALSE))-(VLOOKUP($A97,test!$A$3:$I$32,9,FALSE))+(test!$B$35-50),0)</f>
        <v>0</v>
      </c>
      <c r="M97">
        <f>IF(AND(SUM(VLOOKUP($A97,test!$A$3:$F$32,2,FALSE),VLOOKUP(M$1,test!$A$3:$F$32,2,FALSE))&lt;test!$K$16,$A97&lt;&gt;M$1,Recharged_Feasible_mat!N66),(VLOOKUP(M$1,test!$A$3:$I$32,8,FALSE))-(VLOOKUP($A97,test!$A$3:$I$32,9,FALSE))+(test!$B$35-50),0)</f>
        <v>0</v>
      </c>
      <c r="N97">
        <f>IF(AND(SUM(VLOOKUP($A97,test!$A$3:$F$32,2,FALSE),VLOOKUP(N$1,test!$A$3:$F$32,2,FALSE))&lt;test!$K$16,$A97&lt;&gt;N$1,Recharged_Feasible_mat!O66),(VLOOKUP(N$1,test!$A$3:$I$32,8,FALSE))-(VLOOKUP($A97,test!$A$3:$I$32,9,FALSE))+(test!$B$35-50),0)</f>
        <v>280</v>
      </c>
      <c r="O97">
        <f>IF(AND(SUM(VLOOKUP($A97,test!$A$3:$F$32,2,FALSE),VLOOKUP(O$1,test!$A$3:$F$32,2,FALSE))&lt;test!$K$16,$A97&lt;&gt;O$1,Recharged_Feasible_mat!P66),(VLOOKUP(O$1,test!$A$3:$I$32,8,FALSE))-(VLOOKUP($A97,test!$A$3:$I$32,9,FALSE))+(test!$B$35-50),0)</f>
        <v>340</v>
      </c>
      <c r="P97">
        <f>IF(AND(SUM(VLOOKUP($A97,test!$A$3:$F$32,2,FALSE),VLOOKUP(P$1,test!$A$3:$F$32,2,FALSE))&lt;test!$K$16,$A97&lt;&gt;P$1,Recharged_Feasible_mat!Q66),(VLOOKUP(P$1,test!$A$3:$I$32,8,FALSE))-(VLOOKUP($A97,test!$A$3:$I$32,9,FALSE))+(test!$B$35-50),0)</f>
        <v>0</v>
      </c>
      <c r="Q97">
        <f>IF(AND(SUM(VLOOKUP($A97,test!$A$3:$F$32,2,FALSE),VLOOKUP(Q$1,test!$A$3:$F$32,2,FALSE))&lt;test!$K$16,$A97&lt;&gt;Q$1,Recharged_Feasible_mat!R66),(VLOOKUP(Q$1,test!$A$3:$I$32,8,FALSE))-(VLOOKUP($A97,test!$A$3:$I$32,9,FALSE))+(test!$B$35-50),0)</f>
        <v>0</v>
      </c>
      <c r="R97">
        <f>IF(AND(SUM(VLOOKUP($A97,test!$A$3:$F$32,2,FALSE),VLOOKUP(R$1,test!$A$3:$F$32,2,FALSE))&lt;test!$K$16,$A97&lt;&gt;R$1,Recharged_Feasible_mat!S66),(VLOOKUP(R$1,test!$A$3:$I$32,8,FALSE))-(VLOOKUP($A97,test!$A$3:$I$32,9,FALSE))+(test!$B$35-50),0)</f>
        <v>0</v>
      </c>
      <c r="S97">
        <f>IF(AND(SUM(VLOOKUP($A97,test!$A$3:$F$32,2,FALSE),VLOOKUP(S$1,test!$A$3:$F$32,2,FALSE))&lt;test!$K$16,$A97&lt;&gt;S$1,Recharged_Feasible_mat!T66),(VLOOKUP(S$1,test!$A$3:$I$32,8,FALSE))-(VLOOKUP($A97,test!$A$3:$I$32,9,FALSE))+(test!$B$35-50),0)</f>
        <v>0</v>
      </c>
      <c r="T97">
        <f>IF(AND(SUM(VLOOKUP($A97,test!$A$3:$F$32,2,FALSE),VLOOKUP(T$1,test!$A$3:$F$32,2,FALSE))&lt;test!$K$16,$A97&lt;&gt;T$1,Recharged_Feasible_mat!U66),(VLOOKUP(T$1,test!$A$3:$I$32,8,FALSE))-(VLOOKUP($A97,test!$A$3:$I$32,9,FALSE))+(test!$B$35-50),0)</f>
        <v>0</v>
      </c>
      <c r="U97">
        <f>IF(AND(SUM(VLOOKUP($A97,test!$A$3:$F$32,2,FALSE),VLOOKUP(U$1,test!$A$3:$F$32,2,FALSE))&lt;test!$K$16,$A97&lt;&gt;U$1,Recharged_Feasible_mat!V66),(VLOOKUP(U$1,test!$A$3:$I$32,8,FALSE))-(VLOOKUP($A97,test!$A$3:$I$32,9,FALSE))+(test!$B$35-50),0)</f>
        <v>0</v>
      </c>
      <c r="V97">
        <f>IF(AND(SUM(VLOOKUP($A97,test!$A$3:$F$32,2,FALSE),VLOOKUP(V$1,test!$A$3:$F$32,2,FALSE))&lt;test!$K$16,$A97&lt;&gt;V$1,Recharged_Feasible_mat!W66),(VLOOKUP(V$1,test!$A$3:$I$32,8,FALSE))-(VLOOKUP($A97,test!$A$3:$I$32,9,FALSE))+(test!$B$35-50),0)</f>
        <v>115</v>
      </c>
      <c r="W97">
        <f>IF(AND(SUM(VLOOKUP($A97,test!$A$3:$F$32,2,FALSE),VLOOKUP(W$1,test!$A$3:$F$32,2,FALSE))&lt;test!$K$16,$A97&lt;&gt;W$1,Recharged_Feasible_mat!X66),(VLOOKUP(W$1,test!$A$3:$I$32,8,FALSE))-(VLOOKUP($A97,test!$A$3:$I$32,9,FALSE))+(test!$B$35-50),0)</f>
        <v>205</v>
      </c>
      <c r="X97">
        <f>IF(AND(SUM(VLOOKUP($A97,test!$A$3:$F$32,2,FALSE),VLOOKUP(X$1,test!$A$3:$F$32,2,FALSE))&lt;test!$K$16,$A97&lt;&gt;X$1,Recharged_Feasible_mat!Y66),(VLOOKUP(X$1,test!$A$3:$I$32,8,FALSE))-(VLOOKUP($A97,test!$A$3:$I$32,9,FALSE))+(test!$B$35-50),0)</f>
        <v>265</v>
      </c>
      <c r="Y97">
        <f>IF(AND(SUM(VLOOKUP($A97,test!$A$3:$F$32,2,FALSE),VLOOKUP(Y$1,test!$A$3:$F$32,2,FALSE))&lt;test!$K$16,$A97&lt;&gt;Y$1,Recharged_Feasible_mat!Z66),(VLOOKUP(Y$1,test!$A$3:$I$32,8,FALSE))-(VLOOKUP($A97,test!$A$3:$I$32,9,FALSE))+(test!$B$35-50),0)</f>
        <v>0</v>
      </c>
      <c r="Z97">
        <f>IF(AND(SUM(VLOOKUP($A97,test!$A$3:$F$32,2,FALSE),VLOOKUP(Z$1,test!$A$3:$F$32,2,FALSE))&lt;test!$K$16,$A97&lt;&gt;Z$1,Recharged_Feasible_mat!AA66),(VLOOKUP(Z$1,test!$A$3:$I$32,8,FALSE))-(VLOOKUP($A97,test!$A$3:$I$32,9,FALSE))+(test!$B$35-50),0)</f>
        <v>0</v>
      </c>
      <c r="AA97">
        <f>IF(AND(SUM(VLOOKUP($A97,test!$A$3:$F$32,2,FALSE),VLOOKUP(AA$1,test!$A$3:$F$32,2,FALSE))&lt;test!$K$16,$A97&lt;&gt;AA$1,Recharged_Feasible_mat!AB66),(VLOOKUP(AA$1,test!$A$3:$I$32,8,FALSE))-(VLOOKUP($A97,test!$A$3:$I$32,9,FALSE))+(test!$B$35-50),0)</f>
        <v>0</v>
      </c>
      <c r="AB97">
        <f>IF(AND(SUM(VLOOKUP($A97,test!$A$3:$F$32,2,FALSE),VLOOKUP(AB$1,test!$A$3:$F$32,2,FALSE))&lt;test!$K$16,$A97&lt;&gt;AB$1,Recharged_Feasible_mat!AC66),(VLOOKUP(AB$1,test!$A$3:$I$32,8,FALSE))-(VLOOKUP($A97,test!$A$3:$I$32,9,FALSE))+(test!$B$35-50),0)</f>
        <v>0</v>
      </c>
      <c r="AC97">
        <f>IF(AND(SUM(VLOOKUP($A97,test!$A$3:$F$32,2,FALSE),VLOOKUP(AC$1,test!$A$3:$F$32,2,FALSE))&lt;test!$K$16,$A97&lt;&gt;AC$1,Recharged_Feasible_mat!AD66),(VLOOKUP(AC$1,test!$A$3:$I$32,8,FALSE))-(VLOOKUP($A97,test!$A$3:$I$32,9,FALSE))+(test!$B$35-50),0)</f>
        <v>165</v>
      </c>
      <c r="AD97">
        <f>IF(AND(SUM(VLOOKUP($A97,test!$A$3:$F$32,2,FALSE),VLOOKUP(AD$1,test!$A$3:$F$32,2,FALSE))&lt;test!$K$16,$A97&lt;&gt;AD$1,Recharged_Feasible_mat!AE66),(VLOOKUP(AD$1,test!$A$3:$I$32,8,FALSE))-(VLOOKUP($A97,test!$A$3:$I$32,9,FALSE))+(test!$B$35-50),0)</f>
        <v>0</v>
      </c>
      <c r="AE97">
        <f>IF(AND(SUM(VLOOKUP($A97,test!$A$3:$F$32,2,FALSE),VLOOKUP(AE$1,test!$A$3:$F$32,2,FALSE))&lt;test!$K$16,$A97&lt;&gt;AE$1,Recharged_Feasible_mat!AF66),(VLOOKUP(AE$1,test!$A$3:$I$32,8,FALSE))-(VLOOKUP($A97,test!$A$3:$I$32,9,FALSE))+(test!$B$35-50),0)</f>
        <v>0</v>
      </c>
      <c r="AF97">
        <f>IF(AND(SUM(VLOOKUP($A97,test!$A$3:$F$32,2,FALSE),VLOOKUP(AF$1,test!$A$3:$F$32,2,FALSE))&lt;test!$K$16,$A97&lt;&gt;AF$1,Recharged_Feasible_mat!AG66),(VLOOKUP(AF$1,test!$A$3:$I$32,8,FALSE))-(VLOOKUP($A97,test!$A$3:$I$32,9,FALSE))+(test!$B$35-50),0)</f>
        <v>0</v>
      </c>
    </row>
    <row r="98" spans="1:32" x14ac:dyDescent="0.25">
      <c r="A98" t="s">
        <v>10</v>
      </c>
      <c r="B98">
        <v>0</v>
      </c>
      <c r="C98">
        <f>IF(AND(SUM(VLOOKUP($A98,test!$A$3:$F$32,2,FALSE),VLOOKUP(C$1,test!$A$3:$F$32,2,FALSE))&lt;test!$K$16,$A98&lt;&gt;C$1,Recharged_Feasible_mat!D67),(VLOOKUP(C$1,test!$A$3:$I$32,8,FALSE))-(VLOOKUP($A98,test!$A$3:$I$32,9,FALSE))+(test!$B$35-50),0)</f>
        <v>0</v>
      </c>
      <c r="D98">
        <f>IF(AND(SUM(VLOOKUP($A98,test!$A$3:$F$32,2,FALSE),VLOOKUP(D$1,test!$A$3:$F$32,2,FALSE))&lt;test!$K$16,$A98&lt;&gt;D$1,Recharged_Feasible_mat!E67),(VLOOKUP(D$1,test!$A$3:$I$32,8,FALSE))-(VLOOKUP($A98,test!$A$3:$I$32,9,FALSE))+(test!$B$35-50),0)</f>
        <v>0</v>
      </c>
      <c r="E98">
        <f>IF(AND(SUM(VLOOKUP($A98,test!$A$3:$F$32,2,FALSE),VLOOKUP(E$1,test!$A$3:$F$32,2,FALSE))&lt;test!$K$16,$A98&lt;&gt;E$1,Recharged_Feasible_mat!F67),(VLOOKUP(E$1,test!$A$3:$I$32,8,FALSE))-(VLOOKUP($A98,test!$A$3:$I$32,9,FALSE))+(test!$B$35-50),0)</f>
        <v>0</v>
      </c>
      <c r="F98">
        <f>IF(AND(SUM(VLOOKUP($A98,test!$A$3:$F$32,2,FALSE),VLOOKUP(F$1,test!$A$3:$F$32,2,FALSE))&lt;test!$K$16,$A98&lt;&gt;F$1,Recharged_Feasible_mat!G67),(VLOOKUP(F$1,test!$A$3:$I$32,8,FALSE))-(VLOOKUP($A98,test!$A$3:$I$32,9,FALSE))+(test!$B$35-50),0)</f>
        <v>0</v>
      </c>
      <c r="G98">
        <f>IF(AND(SUM(VLOOKUP($A98,test!$A$3:$F$32,2,FALSE),VLOOKUP(G$1,test!$A$3:$F$32,2,FALSE))&lt;test!$K$16,$A98&lt;&gt;G$1,Recharged_Feasible_mat!H67),(VLOOKUP(G$1,test!$A$3:$I$32,8,FALSE))-(VLOOKUP($A98,test!$A$3:$I$32,9,FALSE))+(test!$B$35-50),0)</f>
        <v>0</v>
      </c>
      <c r="H98">
        <f>IF(AND(SUM(VLOOKUP($A98,test!$A$3:$F$32,2,FALSE),VLOOKUP(H$1,test!$A$3:$F$32,2,FALSE))&lt;test!$K$16,$A98&lt;&gt;H$1,Recharged_Feasible_mat!I67),(VLOOKUP(H$1,test!$A$3:$I$32,8,FALSE))-(VLOOKUP($A98,test!$A$3:$I$32,9,FALSE))+(test!$B$35-50),0)</f>
        <v>75</v>
      </c>
      <c r="I98">
        <f>IF(AND(SUM(VLOOKUP($A98,test!$A$3:$F$32,2,FALSE),VLOOKUP(I$1,test!$A$3:$F$32,2,FALSE))&lt;test!$K$16,$A98&lt;&gt;I$1,Recharged_Feasible_mat!J67),(VLOOKUP(I$1,test!$A$3:$I$32,8,FALSE))-(VLOOKUP($A98,test!$A$3:$I$32,9,FALSE))+(test!$B$35-50),0)</f>
        <v>135</v>
      </c>
      <c r="J98">
        <f>IF(AND(SUM(VLOOKUP($A98,test!$A$3:$F$32,2,FALSE),VLOOKUP(J$1,test!$A$3:$F$32,2,FALSE))&lt;test!$K$16,$A98&lt;&gt;J$1,Recharged_Feasible_mat!K67),(VLOOKUP(J$1,test!$A$3:$I$32,8,FALSE))-(VLOOKUP($A98,test!$A$3:$I$32,9,FALSE))+(test!$B$35-50),0)</f>
        <v>225</v>
      </c>
      <c r="K98">
        <f>IF(AND(SUM(VLOOKUP($A98,test!$A$3:$F$32,2,FALSE),VLOOKUP(K$1,test!$A$3:$F$32,2,FALSE))&lt;test!$K$16,$A98&lt;&gt;K$1,Recharged_Feasible_mat!L67),(VLOOKUP(K$1,test!$A$3:$I$32,8,FALSE))-(VLOOKUP($A98,test!$A$3:$I$32,9,FALSE))+(test!$B$35-50),0)</f>
        <v>0</v>
      </c>
      <c r="L98">
        <f>IF(AND(SUM(VLOOKUP($A98,test!$A$3:$F$32,2,FALSE),VLOOKUP(L$1,test!$A$3:$F$32,2,FALSE))&lt;test!$K$16,$A98&lt;&gt;L$1,Recharged_Feasible_mat!M67),(VLOOKUP(L$1,test!$A$3:$I$32,8,FALSE))-(VLOOKUP($A98,test!$A$3:$I$32,9,FALSE))+(test!$B$35-50),0)</f>
        <v>0</v>
      </c>
      <c r="M98">
        <f>IF(AND(SUM(VLOOKUP($A98,test!$A$3:$F$32,2,FALSE),VLOOKUP(M$1,test!$A$3:$F$32,2,FALSE))&lt;test!$K$16,$A98&lt;&gt;M$1,Recharged_Feasible_mat!N67),(VLOOKUP(M$1,test!$A$3:$I$32,8,FALSE))-(VLOOKUP($A98,test!$A$3:$I$32,9,FALSE))+(test!$B$35-50),0)</f>
        <v>0</v>
      </c>
      <c r="N98">
        <f>IF(AND(SUM(VLOOKUP($A98,test!$A$3:$F$32,2,FALSE),VLOOKUP(N$1,test!$A$3:$F$32,2,FALSE))&lt;test!$K$16,$A98&lt;&gt;N$1,Recharged_Feasible_mat!O67),(VLOOKUP(N$1,test!$A$3:$I$32,8,FALSE))-(VLOOKUP($A98,test!$A$3:$I$32,9,FALSE))+(test!$B$35-50),0)</f>
        <v>190</v>
      </c>
      <c r="O98">
        <f>IF(AND(SUM(VLOOKUP($A98,test!$A$3:$F$32,2,FALSE),VLOOKUP(O$1,test!$A$3:$F$32,2,FALSE))&lt;test!$K$16,$A98&lt;&gt;O$1,Recharged_Feasible_mat!P67),(VLOOKUP(O$1,test!$A$3:$I$32,8,FALSE))-(VLOOKUP($A98,test!$A$3:$I$32,9,FALSE))+(test!$B$35-50),0)</f>
        <v>250</v>
      </c>
      <c r="P98">
        <f>IF(AND(SUM(VLOOKUP($A98,test!$A$3:$F$32,2,FALSE),VLOOKUP(P$1,test!$A$3:$F$32,2,FALSE))&lt;test!$K$16,$A98&lt;&gt;P$1,Recharged_Feasible_mat!Q67),(VLOOKUP(P$1,test!$A$3:$I$32,8,FALSE))-(VLOOKUP($A98,test!$A$3:$I$32,9,FALSE))+(test!$B$35-50),0)</f>
        <v>0</v>
      </c>
      <c r="Q98">
        <f>IF(AND(SUM(VLOOKUP($A98,test!$A$3:$F$32,2,FALSE),VLOOKUP(Q$1,test!$A$3:$F$32,2,FALSE))&lt;test!$K$16,$A98&lt;&gt;Q$1,Recharged_Feasible_mat!R67),(VLOOKUP(Q$1,test!$A$3:$I$32,8,FALSE))-(VLOOKUP($A98,test!$A$3:$I$32,9,FALSE))+(test!$B$35-50),0)</f>
        <v>0</v>
      </c>
      <c r="R98">
        <f>IF(AND(SUM(VLOOKUP($A98,test!$A$3:$F$32,2,FALSE),VLOOKUP(R$1,test!$A$3:$F$32,2,FALSE))&lt;test!$K$16,$A98&lt;&gt;R$1,Recharged_Feasible_mat!S67),(VLOOKUP(R$1,test!$A$3:$I$32,8,FALSE))-(VLOOKUP($A98,test!$A$3:$I$32,9,FALSE))+(test!$B$35-50),0)</f>
        <v>0</v>
      </c>
      <c r="S98">
        <f>IF(AND(SUM(VLOOKUP($A98,test!$A$3:$F$32,2,FALSE),VLOOKUP(S$1,test!$A$3:$F$32,2,FALSE))&lt;test!$K$16,$A98&lt;&gt;S$1,Recharged_Feasible_mat!T67),(VLOOKUP(S$1,test!$A$3:$I$32,8,FALSE))-(VLOOKUP($A98,test!$A$3:$I$32,9,FALSE))+(test!$B$35-50),0)</f>
        <v>0</v>
      </c>
      <c r="T98">
        <f>IF(AND(SUM(VLOOKUP($A98,test!$A$3:$F$32,2,FALSE),VLOOKUP(T$1,test!$A$3:$F$32,2,FALSE))&lt;test!$K$16,$A98&lt;&gt;T$1,Recharged_Feasible_mat!U67),(VLOOKUP(T$1,test!$A$3:$I$32,8,FALSE))-(VLOOKUP($A98,test!$A$3:$I$32,9,FALSE))+(test!$B$35-50),0)</f>
        <v>0</v>
      </c>
      <c r="U98">
        <f>IF(AND(SUM(VLOOKUP($A98,test!$A$3:$F$32,2,FALSE),VLOOKUP(U$1,test!$A$3:$F$32,2,FALSE))&lt;test!$K$16,$A98&lt;&gt;U$1,Recharged_Feasible_mat!V67),(VLOOKUP(U$1,test!$A$3:$I$32,8,FALSE))-(VLOOKUP($A98,test!$A$3:$I$32,9,FALSE))+(test!$B$35-50),0)</f>
        <v>0</v>
      </c>
      <c r="V98">
        <f>IF(AND(SUM(VLOOKUP($A98,test!$A$3:$F$32,2,FALSE),VLOOKUP(V$1,test!$A$3:$F$32,2,FALSE))&lt;test!$K$16,$A98&lt;&gt;V$1,Recharged_Feasible_mat!W67),(VLOOKUP(V$1,test!$A$3:$I$32,8,FALSE))-(VLOOKUP($A98,test!$A$3:$I$32,9,FALSE))+(test!$B$35-50),0)</f>
        <v>0</v>
      </c>
      <c r="W98">
        <f>IF(AND(SUM(VLOOKUP($A98,test!$A$3:$F$32,2,FALSE),VLOOKUP(W$1,test!$A$3:$F$32,2,FALSE))&lt;test!$K$16,$A98&lt;&gt;W$1,Recharged_Feasible_mat!X67),(VLOOKUP(W$1,test!$A$3:$I$32,8,FALSE))-(VLOOKUP($A98,test!$A$3:$I$32,9,FALSE))+(test!$B$35-50),0)</f>
        <v>115</v>
      </c>
      <c r="X98">
        <f>IF(AND(SUM(VLOOKUP($A98,test!$A$3:$F$32,2,FALSE),VLOOKUP(X$1,test!$A$3:$F$32,2,FALSE))&lt;test!$K$16,$A98&lt;&gt;X$1,Recharged_Feasible_mat!Y67),(VLOOKUP(X$1,test!$A$3:$I$32,8,FALSE))-(VLOOKUP($A98,test!$A$3:$I$32,9,FALSE))+(test!$B$35-50),0)</f>
        <v>175</v>
      </c>
      <c r="Y98">
        <f>IF(AND(SUM(VLOOKUP($A98,test!$A$3:$F$32,2,FALSE),VLOOKUP(Y$1,test!$A$3:$F$32,2,FALSE))&lt;test!$K$16,$A98&lt;&gt;Y$1,Recharged_Feasible_mat!Z67),(VLOOKUP(Y$1,test!$A$3:$I$32,8,FALSE))-(VLOOKUP($A98,test!$A$3:$I$32,9,FALSE))+(test!$B$35-50),0)</f>
        <v>0</v>
      </c>
      <c r="Z98">
        <f>IF(AND(SUM(VLOOKUP($A98,test!$A$3:$F$32,2,FALSE),VLOOKUP(Z$1,test!$A$3:$F$32,2,FALSE))&lt;test!$K$16,$A98&lt;&gt;Z$1,Recharged_Feasible_mat!AA67),(VLOOKUP(Z$1,test!$A$3:$I$32,8,FALSE))-(VLOOKUP($A98,test!$A$3:$I$32,9,FALSE))+(test!$B$35-50),0)</f>
        <v>0</v>
      </c>
      <c r="AA98">
        <f>IF(AND(SUM(VLOOKUP($A98,test!$A$3:$F$32,2,FALSE),VLOOKUP(AA$1,test!$A$3:$F$32,2,FALSE))&lt;test!$K$16,$A98&lt;&gt;AA$1,Recharged_Feasible_mat!AB67),(VLOOKUP(AA$1,test!$A$3:$I$32,8,FALSE))-(VLOOKUP($A98,test!$A$3:$I$32,9,FALSE))+(test!$B$35-50),0)</f>
        <v>0</v>
      </c>
      <c r="AB98">
        <f>IF(AND(SUM(VLOOKUP($A98,test!$A$3:$F$32,2,FALSE),VLOOKUP(AB$1,test!$A$3:$F$32,2,FALSE))&lt;test!$K$16,$A98&lt;&gt;AB$1,Recharged_Feasible_mat!AC67),(VLOOKUP(AB$1,test!$A$3:$I$32,8,FALSE))-(VLOOKUP($A98,test!$A$3:$I$32,9,FALSE))+(test!$B$35-50),0)</f>
        <v>0</v>
      </c>
      <c r="AC98">
        <f>IF(AND(SUM(VLOOKUP($A98,test!$A$3:$F$32,2,FALSE),VLOOKUP(AC$1,test!$A$3:$F$32,2,FALSE))&lt;test!$K$16,$A98&lt;&gt;AC$1,Recharged_Feasible_mat!AD67),(VLOOKUP(AC$1,test!$A$3:$I$32,8,FALSE))-(VLOOKUP($A98,test!$A$3:$I$32,9,FALSE))+(test!$B$35-50),0)</f>
        <v>75</v>
      </c>
      <c r="AD98">
        <f>IF(AND(SUM(VLOOKUP($A98,test!$A$3:$F$32,2,FALSE),VLOOKUP(AD$1,test!$A$3:$F$32,2,FALSE))&lt;test!$K$16,$A98&lt;&gt;AD$1,Recharged_Feasible_mat!AE67),(VLOOKUP(AD$1,test!$A$3:$I$32,8,FALSE))-(VLOOKUP($A98,test!$A$3:$I$32,9,FALSE))+(test!$B$35-50),0)</f>
        <v>0</v>
      </c>
      <c r="AE98">
        <f>IF(AND(SUM(VLOOKUP($A98,test!$A$3:$F$32,2,FALSE),VLOOKUP(AE$1,test!$A$3:$F$32,2,FALSE))&lt;test!$K$16,$A98&lt;&gt;AE$1,Recharged_Feasible_mat!AF67),(VLOOKUP(AE$1,test!$A$3:$I$32,8,FALSE))-(VLOOKUP($A98,test!$A$3:$I$32,9,FALSE))+(test!$B$35-50),0)</f>
        <v>0</v>
      </c>
      <c r="AF98">
        <f>IF(AND(SUM(VLOOKUP($A98,test!$A$3:$F$32,2,FALSE),VLOOKUP(AF$1,test!$A$3:$F$32,2,FALSE))&lt;test!$K$16,$A98&lt;&gt;AF$1,Recharged_Feasible_mat!AG67),(VLOOKUP(AF$1,test!$A$3:$I$32,8,FALSE))-(VLOOKUP($A98,test!$A$3:$I$32,9,FALSE))+(test!$B$35-50),0)</f>
        <v>0</v>
      </c>
    </row>
    <row r="99" spans="1:32" x14ac:dyDescent="0.25">
      <c r="A99" t="s">
        <v>11</v>
      </c>
      <c r="B99">
        <v>0</v>
      </c>
      <c r="C99">
        <f>IF(AND(SUM(VLOOKUP($A99,test!$A$3:$F$32,2,FALSE),VLOOKUP(C$1,test!$A$3:$F$32,2,FALSE))&lt;test!$K$16,$A99&lt;&gt;C$1,Recharged_Feasible_mat!D68),(VLOOKUP(C$1,test!$A$3:$I$32,8,FALSE))-(VLOOKUP($A99,test!$A$3:$I$32,9,FALSE))+(test!$B$35-50),0)</f>
        <v>0</v>
      </c>
      <c r="D99">
        <f>IF(AND(SUM(VLOOKUP($A99,test!$A$3:$F$32,2,FALSE),VLOOKUP(D$1,test!$A$3:$F$32,2,FALSE))&lt;test!$K$16,$A99&lt;&gt;D$1,Recharged_Feasible_mat!E68),(VLOOKUP(D$1,test!$A$3:$I$32,8,FALSE))-(VLOOKUP($A99,test!$A$3:$I$32,9,FALSE))+(test!$B$35-50),0)</f>
        <v>0</v>
      </c>
      <c r="E99">
        <f>IF(AND(SUM(VLOOKUP($A99,test!$A$3:$F$32,2,FALSE),VLOOKUP(E$1,test!$A$3:$F$32,2,FALSE))&lt;test!$K$16,$A99&lt;&gt;E$1,Recharged_Feasible_mat!F68),(VLOOKUP(E$1,test!$A$3:$I$32,8,FALSE))-(VLOOKUP($A99,test!$A$3:$I$32,9,FALSE))+(test!$B$35-50),0)</f>
        <v>0</v>
      </c>
      <c r="F99">
        <f>IF(AND(SUM(VLOOKUP($A99,test!$A$3:$F$32,2,FALSE),VLOOKUP(F$1,test!$A$3:$F$32,2,FALSE))&lt;test!$K$16,$A99&lt;&gt;F$1,Recharged_Feasible_mat!G68),(VLOOKUP(F$1,test!$A$3:$I$32,8,FALSE))-(VLOOKUP($A99,test!$A$3:$I$32,9,FALSE))+(test!$B$35-50),0)</f>
        <v>0</v>
      </c>
      <c r="G99">
        <f>IF(AND(SUM(VLOOKUP($A99,test!$A$3:$F$32,2,FALSE),VLOOKUP(G$1,test!$A$3:$F$32,2,FALSE))&lt;test!$K$16,$A99&lt;&gt;G$1,Recharged_Feasible_mat!H68),(VLOOKUP(G$1,test!$A$3:$I$32,8,FALSE))-(VLOOKUP($A99,test!$A$3:$I$32,9,FALSE))+(test!$B$35-50),0)</f>
        <v>0</v>
      </c>
      <c r="H99">
        <f>IF(AND(SUM(VLOOKUP($A99,test!$A$3:$F$32,2,FALSE),VLOOKUP(H$1,test!$A$3:$F$32,2,FALSE))&lt;test!$K$16,$A99&lt;&gt;H$1,Recharged_Feasible_mat!I68),(VLOOKUP(H$1,test!$A$3:$I$32,8,FALSE))-(VLOOKUP($A99,test!$A$3:$I$32,9,FALSE))+(test!$B$35-50),0)</f>
        <v>0</v>
      </c>
      <c r="I99">
        <f>IF(AND(SUM(VLOOKUP($A99,test!$A$3:$F$32,2,FALSE),VLOOKUP(I$1,test!$A$3:$F$32,2,FALSE))&lt;test!$K$16,$A99&lt;&gt;I$1,Recharged_Feasible_mat!J68),(VLOOKUP(I$1,test!$A$3:$I$32,8,FALSE))-(VLOOKUP($A99,test!$A$3:$I$32,9,FALSE))+(test!$B$35-50),0)</f>
        <v>0</v>
      </c>
      <c r="J99">
        <f>IF(AND(SUM(VLOOKUP($A99,test!$A$3:$F$32,2,FALSE),VLOOKUP(J$1,test!$A$3:$F$32,2,FALSE))&lt;test!$K$16,$A99&lt;&gt;J$1,Recharged_Feasible_mat!K68),(VLOOKUP(J$1,test!$A$3:$I$32,8,FALSE))-(VLOOKUP($A99,test!$A$3:$I$32,9,FALSE))+(test!$B$35-50),0)</f>
        <v>135</v>
      </c>
      <c r="K99">
        <f>IF(AND(SUM(VLOOKUP($A99,test!$A$3:$F$32,2,FALSE),VLOOKUP(K$1,test!$A$3:$F$32,2,FALSE))&lt;test!$K$16,$A99&lt;&gt;K$1,Recharged_Feasible_mat!L68),(VLOOKUP(K$1,test!$A$3:$I$32,8,FALSE))-(VLOOKUP($A99,test!$A$3:$I$32,9,FALSE))+(test!$B$35-50),0)</f>
        <v>0</v>
      </c>
      <c r="L99">
        <f>IF(AND(SUM(VLOOKUP($A99,test!$A$3:$F$32,2,FALSE),VLOOKUP(L$1,test!$A$3:$F$32,2,FALSE))&lt;test!$K$16,$A99&lt;&gt;L$1,Recharged_Feasible_mat!M68),(VLOOKUP(L$1,test!$A$3:$I$32,8,FALSE))-(VLOOKUP($A99,test!$A$3:$I$32,9,FALSE))+(test!$B$35-50),0)</f>
        <v>0</v>
      </c>
      <c r="M99">
        <f>IF(AND(SUM(VLOOKUP($A99,test!$A$3:$F$32,2,FALSE),VLOOKUP(M$1,test!$A$3:$F$32,2,FALSE))&lt;test!$K$16,$A99&lt;&gt;M$1,Recharged_Feasible_mat!N68),(VLOOKUP(M$1,test!$A$3:$I$32,8,FALSE))-(VLOOKUP($A99,test!$A$3:$I$32,9,FALSE))+(test!$B$35-50),0)</f>
        <v>0</v>
      </c>
      <c r="N99">
        <f>IF(AND(SUM(VLOOKUP($A99,test!$A$3:$F$32,2,FALSE),VLOOKUP(N$1,test!$A$3:$F$32,2,FALSE))&lt;test!$K$16,$A99&lt;&gt;N$1,Recharged_Feasible_mat!O68),(VLOOKUP(N$1,test!$A$3:$I$32,8,FALSE))-(VLOOKUP($A99,test!$A$3:$I$32,9,FALSE))+(test!$B$35-50),0)</f>
        <v>100</v>
      </c>
      <c r="O99">
        <f>IF(AND(SUM(VLOOKUP($A99,test!$A$3:$F$32,2,FALSE),VLOOKUP(O$1,test!$A$3:$F$32,2,FALSE))&lt;test!$K$16,$A99&lt;&gt;O$1,Recharged_Feasible_mat!P68),(VLOOKUP(O$1,test!$A$3:$I$32,8,FALSE))-(VLOOKUP($A99,test!$A$3:$I$32,9,FALSE))+(test!$B$35-50),0)</f>
        <v>160</v>
      </c>
      <c r="P99">
        <f>IF(AND(SUM(VLOOKUP($A99,test!$A$3:$F$32,2,FALSE),VLOOKUP(P$1,test!$A$3:$F$32,2,FALSE))&lt;test!$K$16,$A99&lt;&gt;P$1,Recharged_Feasible_mat!Q68),(VLOOKUP(P$1,test!$A$3:$I$32,8,FALSE))-(VLOOKUP($A99,test!$A$3:$I$32,9,FALSE))+(test!$B$35-50),0)</f>
        <v>0</v>
      </c>
      <c r="Q99">
        <f>IF(AND(SUM(VLOOKUP($A99,test!$A$3:$F$32,2,FALSE),VLOOKUP(Q$1,test!$A$3:$F$32,2,FALSE))&lt;test!$K$16,$A99&lt;&gt;Q$1,Recharged_Feasible_mat!R68),(VLOOKUP(Q$1,test!$A$3:$I$32,8,FALSE))-(VLOOKUP($A99,test!$A$3:$I$32,9,FALSE))+(test!$B$35-50),0)</f>
        <v>0</v>
      </c>
      <c r="R99">
        <f>IF(AND(SUM(VLOOKUP($A99,test!$A$3:$F$32,2,FALSE),VLOOKUP(R$1,test!$A$3:$F$32,2,FALSE))&lt;test!$K$16,$A99&lt;&gt;R$1,Recharged_Feasible_mat!S68),(VLOOKUP(R$1,test!$A$3:$I$32,8,FALSE))-(VLOOKUP($A99,test!$A$3:$I$32,9,FALSE))+(test!$B$35-50),0)</f>
        <v>0</v>
      </c>
      <c r="S99">
        <f>IF(AND(SUM(VLOOKUP($A99,test!$A$3:$F$32,2,FALSE),VLOOKUP(S$1,test!$A$3:$F$32,2,FALSE))&lt;test!$K$16,$A99&lt;&gt;S$1,Recharged_Feasible_mat!T68),(VLOOKUP(S$1,test!$A$3:$I$32,8,FALSE))-(VLOOKUP($A99,test!$A$3:$I$32,9,FALSE))+(test!$B$35-50),0)</f>
        <v>0</v>
      </c>
      <c r="T99">
        <f>IF(AND(SUM(VLOOKUP($A99,test!$A$3:$F$32,2,FALSE),VLOOKUP(T$1,test!$A$3:$F$32,2,FALSE))&lt;test!$K$16,$A99&lt;&gt;T$1,Recharged_Feasible_mat!U68),(VLOOKUP(T$1,test!$A$3:$I$32,8,FALSE))-(VLOOKUP($A99,test!$A$3:$I$32,9,FALSE))+(test!$B$35-50),0)</f>
        <v>0</v>
      </c>
      <c r="U99">
        <f>IF(AND(SUM(VLOOKUP($A99,test!$A$3:$F$32,2,FALSE),VLOOKUP(U$1,test!$A$3:$F$32,2,FALSE))&lt;test!$K$16,$A99&lt;&gt;U$1,Recharged_Feasible_mat!V68),(VLOOKUP(U$1,test!$A$3:$I$32,8,FALSE))-(VLOOKUP($A99,test!$A$3:$I$32,9,FALSE))+(test!$B$35-50),0)</f>
        <v>0</v>
      </c>
      <c r="V99">
        <f>IF(AND(SUM(VLOOKUP($A99,test!$A$3:$F$32,2,FALSE),VLOOKUP(V$1,test!$A$3:$F$32,2,FALSE))&lt;test!$K$16,$A99&lt;&gt;V$1,Recharged_Feasible_mat!W68),(VLOOKUP(V$1,test!$A$3:$I$32,8,FALSE))-(VLOOKUP($A99,test!$A$3:$I$32,9,FALSE))+(test!$B$35-50),0)</f>
        <v>0</v>
      </c>
      <c r="W99">
        <f>IF(AND(SUM(VLOOKUP($A99,test!$A$3:$F$32,2,FALSE),VLOOKUP(W$1,test!$A$3:$F$32,2,FALSE))&lt;test!$K$16,$A99&lt;&gt;W$1,Recharged_Feasible_mat!X68),(VLOOKUP(W$1,test!$A$3:$I$32,8,FALSE))-(VLOOKUP($A99,test!$A$3:$I$32,9,FALSE))+(test!$B$35-50),0)</f>
        <v>0</v>
      </c>
      <c r="X99">
        <f>IF(AND(SUM(VLOOKUP($A99,test!$A$3:$F$32,2,FALSE),VLOOKUP(X$1,test!$A$3:$F$32,2,FALSE))&lt;test!$K$16,$A99&lt;&gt;X$1,Recharged_Feasible_mat!Y68),(VLOOKUP(X$1,test!$A$3:$I$32,8,FALSE))-(VLOOKUP($A99,test!$A$3:$I$32,9,FALSE))+(test!$B$35-50),0)</f>
        <v>85</v>
      </c>
      <c r="Y99">
        <f>IF(AND(SUM(VLOOKUP($A99,test!$A$3:$F$32,2,FALSE),VLOOKUP(Y$1,test!$A$3:$F$32,2,FALSE))&lt;test!$K$16,$A99&lt;&gt;Y$1,Recharged_Feasible_mat!Z68),(VLOOKUP(Y$1,test!$A$3:$I$32,8,FALSE))-(VLOOKUP($A99,test!$A$3:$I$32,9,FALSE))+(test!$B$35-50),0)</f>
        <v>0</v>
      </c>
      <c r="Z99">
        <f>IF(AND(SUM(VLOOKUP($A99,test!$A$3:$F$32,2,FALSE),VLOOKUP(Z$1,test!$A$3:$F$32,2,FALSE))&lt;test!$K$16,$A99&lt;&gt;Z$1,Recharged_Feasible_mat!AA68),(VLOOKUP(Z$1,test!$A$3:$I$32,8,FALSE))-(VLOOKUP($A99,test!$A$3:$I$32,9,FALSE))+(test!$B$35-50),0)</f>
        <v>0</v>
      </c>
      <c r="AA99">
        <f>IF(AND(SUM(VLOOKUP($A99,test!$A$3:$F$32,2,FALSE),VLOOKUP(AA$1,test!$A$3:$F$32,2,FALSE))&lt;test!$K$16,$A99&lt;&gt;AA$1,Recharged_Feasible_mat!AB68),(VLOOKUP(AA$1,test!$A$3:$I$32,8,FALSE))-(VLOOKUP($A99,test!$A$3:$I$32,9,FALSE))+(test!$B$35-50),0)</f>
        <v>0</v>
      </c>
      <c r="AB99">
        <f>IF(AND(SUM(VLOOKUP($A99,test!$A$3:$F$32,2,FALSE),VLOOKUP(AB$1,test!$A$3:$F$32,2,FALSE))&lt;test!$K$16,$A99&lt;&gt;AB$1,Recharged_Feasible_mat!AC68),(VLOOKUP(AB$1,test!$A$3:$I$32,8,FALSE))-(VLOOKUP($A99,test!$A$3:$I$32,9,FALSE))+(test!$B$35-50),0)</f>
        <v>0</v>
      </c>
      <c r="AC99">
        <f>IF(AND(SUM(VLOOKUP($A99,test!$A$3:$F$32,2,FALSE),VLOOKUP(AC$1,test!$A$3:$F$32,2,FALSE))&lt;test!$K$16,$A99&lt;&gt;AC$1,Recharged_Feasible_mat!AD68),(VLOOKUP(AC$1,test!$A$3:$I$32,8,FALSE))-(VLOOKUP($A99,test!$A$3:$I$32,9,FALSE))+(test!$B$35-50),0)</f>
        <v>0</v>
      </c>
      <c r="AD99">
        <f>IF(AND(SUM(VLOOKUP($A99,test!$A$3:$F$32,2,FALSE),VLOOKUP(AD$1,test!$A$3:$F$32,2,FALSE))&lt;test!$K$16,$A99&lt;&gt;AD$1,Recharged_Feasible_mat!AE68),(VLOOKUP(AD$1,test!$A$3:$I$32,8,FALSE))-(VLOOKUP($A99,test!$A$3:$I$32,9,FALSE))+(test!$B$35-50),0)</f>
        <v>0</v>
      </c>
      <c r="AE99">
        <f>IF(AND(SUM(VLOOKUP($A99,test!$A$3:$F$32,2,FALSE),VLOOKUP(AE$1,test!$A$3:$F$32,2,FALSE))&lt;test!$K$16,$A99&lt;&gt;AE$1,Recharged_Feasible_mat!AF68),(VLOOKUP(AE$1,test!$A$3:$I$32,8,FALSE))-(VLOOKUP($A99,test!$A$3:$I$32,9,FALSE))+(test!$B$35-50),0)</f>
        <v>0</v>
      </c>
      <c r="AF99">
        <f>IF(AND(SUM(VLOOKUP($A99,test!$A$3:$F$32,2,FALSE),VLOOKUP(AF$1,test!$A$3:$F$32,2,FALSE))&lt;test!$K$16,$A99&lt;&gt;AF$1,Recharged_Feasible_mat!AG68),(VLOOKUP(AF$1,test!$A$3:$I$32,8,FALSE))-(VLOOKUP($A99,test!$A$3:$I$32,9,FALSE))+(test!$B$35-50),0)</f>
        <v>0</v>
      </c>
    </row>
    <row r="100" spans="1:32" x14ac:dyDescent="0.25">
      <c r="A100" t="s">
        <v>12</v>
      </c>
      <c r="B100">
        <v>0</v>
      </c>
      <c r="C100">
        <f>IF(AND(SUM(VLOOKUP($A100,test!$A$3:$F$32,2,FALSE),VLOOKUP(C$1,test!$A$3:$F$32,2,FALSE))&lt;test!$K$16,$A100&lt;&gt;C$1,Recharged_Feasible_mat!D69),(VLOOKUP(C$1,test!$A$3:$I$32,8,FALSE))-(VLOOKUP($A100,test!$A$3:$I$32,9,FALSE))+(test!$B$35-50),0)</f>
        <v>0</v>
      </c>
      <c r="D100">
        <f>IF(AND(SUM(VLOOKUP($A100,test!$A$3:$F$32,2,FALSE),VLOOKUP(D$1,test!$A$3:$F$32,2,FALSE))&lt;test!$K$16,$A100&lt;&gt;D$1,Recharged_Feasible_mat!E69),(VLOOKUP(D$1,test!$A$3:$I$32,8,FALSE))-(VLOOKUP($A100,test!$A$3:$I$32,9,FALSE))+(test!$B$35-50),0)</f>
        <v>0</v>
      </c>
      <c r="E100">
        <f>IF(AND(SUM(VLOOKUP($A100,test!$A$3:$F$32,2,FALSE),VLOOKUP(E$1,test!$A$3:$F$32,2,FALSE))&lt;test!$K$16,$A100&lt;&gt;E$1,Recharged_Feasible_mat!F69),(VLOOKUP(E$1,test!$A$3:$I$32,8,FALSE))-(VLOOKUP($A100,test!$A$3:$I$32,9,FALSE))+(test!$B$35-50),0)</f>
        <v>0</v>
      </c>
      <c r="F100">
        <f>IF(AND(SUM(VLOOKUP($A100,test!$A$3:$F$32,2,FALSE),VLOOKUP(F$1,test!$A$3:$F$32,2,FALSE))&lt;test!$K$16,$A100&lt;&gt;F$1,Recharged_Feasible_mat!G69),(VLOOKUP(F$1,test!$A$3:$I$32,8,FALSE))-(VLOOKUP($A100,test!$A$3:$I$32,9,FALSE))+(test!$B$35-50),0)</f>
        <v>0</v>
      </c>
      <c r="G100">
        <f>IF(AND(SUM(VLOOKUP($A100,test!$A$3:$F$32,2,FALSE),VLOOKUP(G$1,test!$A$3:$F$32,2,FALSE))&lt;test!$K$16,$A100&lt;&gt;G$1,Recharged_Feasible_mat!H69),(VLOOKUP(G$1,test!$A$3:$I$32,8,FALSE))-(VLOOKUP($A100,test!$A$3:$I$32,9,FALSE))+(test!$B$35-50),0)</f>
        <v>0</v>
      </c>
      <c r="H100">
        <f>IF(AND(SUM(VLOOKUP($A100,test!$A$3:$F$32,2,FALSE),VLOOKUP(H$1,test!$A$3:$F$32,2,FALSE))&lt;test!$K$16,$A100&lt;&gt;H$1,Recharged_Feasible_mat!I69),(VLOOKUP(H$1,test!$A$3:$I$32,8,FALSE))-(VLOOKUP($A100,test!$A$3:$I$32,9,FALSE))+(test!$B$35-50),0)</f>
        <v>0</v>
      </c>
      <c r="I100">
        <f>IF(AND(SUM(VLOOKUP($A100,test!$A$3:$F$32,2,FALSE),VLOOKUP(I$1,test!$A$3:$F$32,2,FALSE))&lt;test!$K$16,$A100&lt;&gt;I$1,Recharged_Feasible_mat!J69),(VLOOKUP(I$1,test!$A$3:$I$32,8,FALSE))-(VLOOKUP($A100,test!$A$3:$I$32,9,FALSE))+(test!$B$35-50),0)</f>
        <v>0</v>
      </c>
      <c r="J100">
        <f>IF(AND(SUM(VLOOKUP($A100,test!$A$3:$F$32,2,FALSE),VLOOKUP(J$1,test!$A$3:$F$32,2,FALSE))&lt;test!$K$16,$A100&lt;&gt;J$1,Recharged_Feasible_mat!K69),(VLOOKUP(J$1,test!$A$3:$I$32,8,FALSE))-(VLOOKUP($A100,test!$A$3:$I$32,9,FALSE))+(test!$B$35-50),0)</f>
        <v>75</v>
      </c>
      <c r="K100">
        <f>IF(AND(SUM(VLOOKUP($A100,test!$A$3:$F$32,2,FALSE),VLOOKUP(K$1,test!$A$3:$F$32,2,FALSE))&lt;test!$K$16,$A100&lt;&gt;K$1,Recharged_Feasible_mat!L69),(VLOOKUP(K$1,test!$A$3:$I$32,8,FALSE))-(VLOOKUP($A100,test!$A$3:$I$32,9,FALSE))+(test!$B$35-50),0)</f>
        <v>0</v>
      </c>
      <c r="L100">
        <f>IF(AND(SUM(VLOOKUP($A100,test!$A$3:$F$32,2,FALSE),VLOOKUP(L$1,test!$A$3:$F$32,2,FALSE))&lt;test!$K$16,$A100&lt;&gt;L$1,Recharged_Feasible_mat!M69),(VLOOKUP(L$1,test!$A$3:$I$32,8,FALSE))-(VLOOKUP($A100,test!$A$3:$I$32,9,FALSE))+(test!$B$35-50),0)</f>
        <v>0</v>
      </c>
      <c r="M100">
        <f>IF(AND(SUM(VLOOKUP($A100,test!$A$3:$F$32,2,FALSE),VLOOKUP(M$1,test!$A$3:$F$32,2,FALSE))&lt;test!$K$16,$A100&lt;&gt;M$1,Recharged_Feasible_mat!N69),(VLOOKUP(M$1,test!$A$3:$I$32,8,FALSE))-(VLOOKUP($A100,test!$A$3:$I$32,9,FALSE))+(test!$B$35-50),0)</f>
        <v>0</v>
      </c>
      <c r="N100">
        <f>IF(AND(SUM(VLOOKUP($A100,test!$A$3:$F$32,2,FALSE),VLOOKUP(N$1,test!$A$3:$F$32,2,FALSE))&lt;test!$K$16,$A100&lt;&gt;N$1,Recharged_Feasible_mat!O69),(VLOOKUP(N$1,test!$A$3:$I$32,8,FALSE))-(VLOOKUP($A100,test!$A$3:$I$32,9,FALSE))+(test!$B$35-50),0)</f>
        <v>0</v>
      </c>
      <c r="O100">
        <f>IF(AND(SUM(VLOOKUP($A100,test!$A$3:$F$32,2,FALSE),VLOOKUP(O$1,test!$A$3:$F$32,2,FALSE))&lt;test!$K$16,$A100&lt;&gt;O$1,Recharged_Feasible_mat!P69),(VLOOKUP(O$1,test!$A$3:$I$32,8,FALSE))-(VLOOKUP($A100,test!$A$3:$I$32,9,FALSE))+(test!$B$35-50),0)</f>
        <v>100</v>
      </c>
      <c r="P100">
        <f>IF(AND(SUM(VLOOKUP($A100,test!$A$3:$F$32,2,FALSE),VLOOKUP(P$1,test!$A$3:$F$32,2,FALSE))&lt;test!$K$16,$A100&lt;&gt;P$1,Recharged_Feasible_mat!Q69),(VLOOKUP(P$1,test!$A$3:$I$32,8,FALSE))-(VLOOKUP($A100,test!$A$3:$I$32,9,FALSE))+(test!$B$35-50),0)</f>
        <v>0</v>
      </c>
      <c r="Q100">
        <f>IF(AND(SUM(VLOOKUP($A100,test!$A$3:$F$32,2,FALSE),VLOOKUP(Q$1,test!$A$3:$F$32,2,FALSE))&lt;test!$K$16,$A100&lt;&gt;Q$1,Recharged_Feasible_mat!R69),(VLOOKUP(Q$1,test!$A$3:$I$32,8,FALSE))-(VLOOKUP($A100,test!$A$3:$I$32,9,FALSE))+(test!$B$35-50),0)</f>
        <v>0</v>
      </c>
      <c r="R100">
        <f>IF(AND(SUM(VLOOKUP($A100,test!$A$3:$F$32,2,FALSE),VLOOKUP(R$1,test!$A$3:$F$32,2,FALSE))&lt;test!$K$16,$A100&lt;&gt;R$1,Recharged_Feasible_mat!S69),(VLOOKUP(R$1,test!$A$3:$I$32,8,FALSE))-(VLOOKUP($A100,test!$A$3:$I$32,9,FALSE))+(test!$B$35-50),0)</f>
        <v>0</v>
      </c>
      <c r="S100">
        <f>IF(AND(SUM(VLOOKUP($A100,test!$A$3:$F$32,2,FALSE),VLOOKUP(S$1,test!$A$3:$F$32,2,FALSE))&lt;test!$K$16,$A100&lt;&gt;S$1,Recharged_Feasible_mat!T69),(VLOOKUP(S$1,test!$A$3:$I$32,8,FALSE))-(VLOOKUP($A100,test!$A$3:$I$32,9,FALSE))+(test!$B$35-50),0)</f>
        <v>0</v>
      </c>
      <c r="T100">
        <f>IF(AND(SUM(VLOOKUP($A100,test!$A$3:$F$32,2,FALSE),VLOOKUP(T$1,test!$A$3:$F$32,2,FALSE))&lt;test!$K$16,$A100&lt;&gt;T$1,Recharged_Feasible_mat!U69),(VLOOKUP(T$1,test!$A$3:$I$32,8,FALSE))-(VLOOKUP($A100,test!$A$3:$I$32,9,FALSE))+(test!$B$35-50),0)</f>
        <v>0</v>
      </c>
      <c r="U100">
        <f>IF(AND(SUM(VLOOKUP($A100,test!$A$3:$F$32,2,FALSE),VLOOKUP(U$1,test!$A$3:$F$32,2,FALSE))&lt;test!$K$16,$A100&lt;&gt;U$1,Recharged_Feasible_mat!V69),(VLOOKUP(U$1,test!$A$3:$I$32,8,FALSE))-(VLOOKUP($A100,test!$A$3:$I$32,9,FALSE))+(test!$B$35-50),0)</f>
        <v>0</v>
      </c>
      <c r="V100">
        <f>IF(AND(SUM(VLOOKUP($A100,test!$A$3:$F$32,2,FALSE),VLOOKUP(V$1,test!$A$3:$F$32,2,FALSE))&lt;test!$K$16,$A100&lt;&gt;V$1,Recharged_Feasible_mat!W69),(VLOOKUP(V$1,test!$A$3:$I$32,8,FALSE))-(VLOOKUP($A100,test!$A$3:$I$32,9,FALSE))+(test!$B$35-50),0)</f>
        <v>0</v>
      </c>
      <c r="W100">
        <f>IF(AND(SUM(VLOOKUP($A100,test!$A$3:$F$32,2,FALSE),VLOOKUP(W$1,test!$A$3:$F$32,2,FALSE))&lt;test!$K$16,$A100&lt;&gt;W$1,Recharged_Feasible_mat!X69),(VLOOKUP(W$1,test!$A$3:$I$32,8,FALSE))-(VLOOKUP($A100,test!$A$3:$I$32,9,FALSE))+(test!$B$35-50),0)</f>
        <v>0</v>
      </c>
      <c r="X100">
        <f>IF(AND(SUM(VLOOKUP($A100,test!$A$3:$F$32,2,FALSE),VLOOKUP(X$1,test!$A$3:$F$32,2,FALSE))&lt;test!$K$16,$A100&lt;&gt;X$1,Recharged_Feasible_mat!Y69),(VLOOKUP(X$1,test!$A$3:$I$32,8,FALSE))-(VLOOKUP($A100,test!$A$3:$I$32,9,FALSE))+(test!$B$35-50),0)</f>
        <v>0</v>
      </c>
      <c r="Y100">
        <f>IF(AND(SUM(VLOOKUP($A100,test!$A$3:$F$32,2,FALSE),VLOOKUP(Y$1,test!$A$3:$F$32,2,FALSE))&lt;test!$K$16,$A100&lt;&gt;Y$1,Recharged_Feasible_mat!Z69),(VLOOKUP(Y$1,test!$A$3:$I$32,8,FALSE))-(VLOOKUP($A100,test!$A$3:$I$32,9,FALSE))+(test!$B$35-50),0)</f>
        <v>0</v>
      </c>
      <c r="Z100">
        <f>IF(AND(SUM(VLOOKUP($A100,test!$A$3:$F$32,2,FALSE),VLOOKUP(Z$1,test!$A$3:$F$32,2,FALSE))&lt;test!$K$16,$A100&lt;&gt;Z$1,Recharged_Feasible_mat!AA69),(VLOOKUP(Z$1,test!$A$3:$I$32,8,FALSE))-(VLOOKUP($A100,test!$A$3:$I$32,9,FALSE))+(test!$B$35-50),0)</f>
        <v>0</v>
      </c>
      <c r="AA100">
        <f>IF(AND(SUM(VLOOKUP($A100,test!$A$3:$F$32,2,FALSE),VLOOKUP(AA$1,test!$A$3:$F$32,2,FALSE))&lt;test!$K$16,$A100&lt;&gt;AA$1,Recharged_Feasible_mat!AB69),(VLOOKUP(AA$1,test!$A$3:$I$32,8,FALSE))-(VLOOKUP($A100,test!$A$3:$I$32,9,FALSE))+(test!$B$35-50),0)</f>
        <v>0</v>
      </c>
      <c r="AB100">
        <f>IF(AND(SUM(VLOOKUP($A100,test!$A$3:$F$32,2,FALSE),VLOOKUP(AB$1,test!$A$3:$F$32,2,FALSE))&lt;test!$K$16,$A100&lt;&gt;AB$1,Recharged_Feasible_mat!AC69),(VLOOKUP(AB$1,test!$A$3:$I$32,8,FALSE))-(VLOOKUP($A100,test!$A$3:$I$32,9,FALSE))+(test!$B$35-50),0)</f>
        <v>0</v>
      </c>
      <c r="AC100">
        <f>IF(AND(SUM(VLOOKUP($A100,test!$A$3:$F$32,2,FALSE),VLOOKUP(AC$1,test!$A$3:$F$32,2,FALSE))&lt;test!$K$16,$A100&lt;&gt;AC$1,Recharged_Feasible_mat!AD69),(VLOOKUP(AC$1,test!$A$3:$I$32,8,FALSE))-(VLOOKUP($A100,test!$A$3:$I$32,9,FALSE))+(test!$B$35-50),0)</f>
        <v>0</v>
      </c>
      <c r="AD100">
        <f>IF(AND(SUM(VLOOKUP($A100,test!$A$3:$F$32,2,FALSE),VLOOKUP(AD$1,test!$A$3:$F$32,2,FALSE))&lt;test!$K$16,$A100&lt;&gt;AD$1,Recharged_Feasible_mat!AE69),(VLOOKUP(AD$1,test!$A$3:$I$32,8,FALSE))-(VLOOKUP($A100,test!$A$3:$I$32,9,FALSE))+(test!$B$35-50),0)</f>
        <v>0</v>
      </c>
      <c r="AE100">
        <f>IF(AND(SUM(VLOOKUP($A100,test!$A$3:$F$32,2,FALSE),VLOOKUP(AE$1,test!$A$3:$F$32,2,FALSE))&lt;test!$K$16,$A100&lt;&gt;AE$1,Recharged_Feasible_mat!AF69),(VLOOKUP(AE$1,test!$A$3:$I$32,8,FALSE))-(VLOOKUP($A100,test!$A$3:$I$32,9,FALSE))+(test!$B$35-50),0)</f>
        <v>0</v>
      </c>
      <c r="AF100">
        <f>IF(AND(SUM(VLOOKUP($A100,test!$A$3:$F$32,2,FALSE),VLOOKUP(AF$1,test!$A$3:$F$32,2,FALSE))&lt;test!$K$16,$A100&lt;&gt;AF$1,Recharged_Feasible_mat!AG69),(VLOOKUP(AF$1,test!$A$3:$I$32,8,FALSE))-(VLOOKUP($A100,test!$A$3:$I$32,9,FALSE))+(test!$B$35-50),0)</f>
        <v>0</v>
      </c>
    </row>
    <row r="101" spans="1:32" x14ac:dyDescent="0.25">
      <c r="A101" t="s">
        <v>13</v>
      </c>
      <c r="B101">
        <v>0</v>
      </c>
      <c r="C101">
        <f>IF(AND(SUM(VLOOKUP($A101,test!$A$3:$F$32,2,FALSE),VLOOKUP(C$1,test!$A$3:$F$32,2,FALSE))&lt;test!$K$16,$A101&lt;&gt;C$1,Recharged_Feasible_mat!D70),(VLOOKUP(C$1,test!$A$3:$I$32,8,FALSE))-(VLOOKUP($A101,test!$A$3:$I$32,9,FALSE))+(test!$B$35-50),0)</f>
        <v>0</v>
      </c>
      <c r="D101">
        <f>IF(AND(SUM(VLOOKUP($A101,test!$A$3:$F$32,2,FALSE),VLOOKUP(D$1,test!$A$3:$F$32,2,FALSE))&lt;test!$K$16,$A101&lt;&gt;D$1,Recharged_Feasible_mat!E70),(VLOOKUP(D$1,test!$A$3:$I$32,8,FALSE))-(VLOOKUP($A101,test!$A$3:$I$32,9,FALSE))+(test!$B$35-50),0)</f>
        <v>0</v>
      </c>
      <c r="E101">
        <f>IF(AND(SUM(VLOOKUP($A101,test!$A$3:$F$32,2,FALSE),VLOOKUP(E$1,test!$A$3:$F$32,2,FALSE))&lt;test!$K$16,$A101&lt;&gt;E$1,Recharged_Feasible_mat!F70),(VLOOKUP(E$1,test!$A$3:$I$32,8,FALSE))-(VLOOKUP($A101,test!$A$3:$I$32,9,FALSE))+(test!$B$35-50),0)</f>
        <v>0</v>
      </c>
      <c r="F101">
        <f>IF(AND(SUM(VLOOKUP($A101,test!$A$3:$F$32,2,FALSE),VLOOKUP(F$1,test!$A$3:$F$32,2,FALSE))&lt;test!$K$16,$A101&lt;&gt;F$1,Recharged_Feasible_mat!G70),(VLOOKUP(F$1,test!$A$3:$I$32,8,FALSE))-(VLOOKUP($A101,test!$A$3:$I$32,9,FALSE))+(test!$B$35-50),0)</f>
        <v>0</v>
      </c>
      <c r="G101">
        <f>IF(AND(SUM(VLOOKUP($A101,test!$A$3:$F$32,2,FALSE),VLOOKUP(G$1,test!$A$3:$F$32,2,FALSE))&lt;test!$K$16,$A101&lt;&gt;G$1,Recharged_Feasible_mat!H70),(VLOOKUP(G$1,test!$A$3:$I$32,8,FALSE))-(VLOOKUP($A101,test!$A$3:$I$32,9,FALSE))+(test!$B$35-50),0)</f>
        <v>0</v>
      </c>
      <c r="H101">
        <f>IF(AND(SUM(VLOOKUP($A101,test!$A$3:$F$32,2,FALSE),VLOOKUP(H$1,test!$A$3:$F$32,2,FALSE))&lt;test!$K$16,$A101&lt;&gt;H$1,Recharged_Feasible_mat!I70),(VLOOKUP(H$1,test!$A$3:$I$32,8,FALSE))-(VLOOKUP($A101,test!$A$3:$I$32,9,FALSE))+(test!$B$35-50),0)</f>
        <v>0</v>
      </c>
      <c r="I101">
        <f>IF(AND(SUM(VLOOKUP($A101,test!$A$3:$F$32,2,FALSE),VLOOKUP(I$1,test!$A$3:$F$32,2,FALSE))&lt;test!$K$16,$A101&lt;&gt;I$1,Recharged_Feasible_mat!J70),(VLOOKUP(I$1,test!$A$3:$I$32,8,FALSE))-(VLOOKUP($A101,test!$A$3:$I$32,9,FALSE))+(test!$B$35-50),0)</f>
        <v>0</v>
      </c>
      <c r="J101">
        <f>IF(AND(SUM(VLOOKUP($A101,test!$A$3:$F$32,2,FALSE),VLOOKUP(J$1,test!$A$3:$F$32,2,FALSE))&lt;test!$K$16,$A101&lt;&gt;J$1,Recharged_Feasible_mat!K70),(VLOOKUP(J$1,test!$A$3:$I$32,8,FALSE))-(VLOOKUP($A101,test!$A$3:$I$32,9,FALSE))+(test!$B$35-50),0)</f>
        <v>0</v>
      </c>
      <c r="K101">
        <f>IF(AND(SUM(VLOOKUP($A101,test!$A$3:$F$32,2,FALSE),VLOOKUP(K$1,test!$A$3:$F$32,2,FALSE))&lt;test!$K$16,$A101&lt;&gt;K$1,Recharged_Feasible_mat!L70),(VLOOKUP(K$1,test!$A$3:$I$32,8,FALSE))-(VLOOKUP($A101,test!$A$3:$I$32,9,FALSE))+(test!$B$35-50),0)</f>
        <v>0</v>
      </c>
      <c r="L101">
        <f>IF(AND(SUM(VLOOKUP($A101,test!$A$3:$F$32,2,FALSE),VLOOKUP(L$1,test!$A$3:$F$32,2,FALSE))&lt;test!$K$16,$A101&lt;&gt;L$1,Recharged_Feasible_mat!M70),(VLOOKUP(L$1,test!$A$3:$I$32,8,FALSE))-(VLOOKUP($A101,test!$A$3:$I$32,9,FALSE))+(test!$B$35-50),0)</f>
        <v>0</v>
      </c>
      <c r="M101">
        <f>IF(AND(SUM(VLOOKUP($A101,test!$A$3:$F$32,2,FALSE),VLOOKUP(M$1,test!$A$3:$F$32,2,FALSE))&lt;test!$K$16,$A101&lt;&gt;M$1,Recharged_Feasible_mat!N70),(VLOOKUP(M$1,test!$A$3:$I$32,8,FALSE))-(VLOOKUP($A101,test!$A$3:$I$32,9,FALSE))+(test!$B$35-50),0)</f>
        <v>0</v>
      </c>
      <c r="N101">
        <f>IF(AND(SUM(VLOOKUP($A101,test!$A$3:$F$32,2,FALSE),VLOOKUP(N$1,test!$A$3:$F$32,2,FALSE))&lt;test!$K$16,$A101&lt;&gt;N$1,Recharged_Feasible_mat!O70),(VLOOKUP(N$1,test!$A$3:$I$32,8,FALSE))-(VLOOKUP($A101,test!$A$3:$I$32,9,FALSE))+(test!$B$35-50),0)</f>
        <v>0</v>
      </c>
      <c r="O101">
        <f>IF(AND(SUM(VLOOKUP($A101,test!$A$3:$F$32,2,FALSE),VLOOKUP(O$1,test!$A$3:$F$32,2,FALSE))&lt;test!$K$16,$A101&lt;&gt;O$1,Recharged_Feasible_mat!P70),(VLOOKUP(O$1,test!$A$3:$I$32,8,FALSE))-(VLOOKUP($A101,test!$A$3:$I$32,9,FALSE))+(test!$B$35-50),0)</f>
        <v>0</v>
      </c>
      <c r="P101">
        <f>IF(AND(SUM(VLOOKUP($A101,test!$A$3:$F$32,2,FALSE),VLOOKUP(P$1,test!$A$3:$F$32,2,FALSE))&lt;test!$K$16,$A101&lt;&gt;P$1,Recharged_Feasible_mat!Q70),(VLOOKUP(P$1,test!$A$3:$I$32,8,FALSE))-(VLOOKUP($A101,test!$A$3:$I$32,9,FALSE))+(test!$B$35-50),0)</f>
        <v>0</v>
      </c>
      <c r="Q101">
        <f>IF(AND(SUM(VLOOKUP($A101,test!$A$3:$F$32,2,FALSE),VLOOKUP(Q$1,test!$A$3:$F$32,2,FALSE))&lt;test!$K$16,$A101&lt;&gt;Q$1,Recharged_Feasible_mat!R70),(VLOOKUP(Q$1,test!$A$3:$I$32,8,FALSE))-(VLOOKUP($A101,test!$A$3:$I$32,9,FALSE))+(test!$B$35-50),0)</f>
        <v>0</v>
      </c>
      <c r="R101">
        <f>IF(AND(SUM(VLOOKUP($A101,test!$A$3:$F$32,2,FALSE),VLOOKUP(R$1,test!$A$3:$F$32,2,FALSE))&lt;test!$K$16,$A101&lt;&gt;R$1,Recharged_Feasible_mat!S70),(VLOOKUP(R$1,test!$A$3:$I$32,8,FALSE))-(VLOOKUP($A101,test!$A$3:$I$32,9,FALSE))+(test!$B$35-50),0)</f>
        <v>0</v>
      </c>
      <c r="S101">
        <f>IF(AND(SUM(VLOOKUP($A101,test!$A$3:$F$32,2,FALSE),VLOOKUP(S$1,test!$A$3:$F$32,2,FALSE))&lt;test!$K$16,$A101&lt;&gt;S$1,Recharged_Feasible_mat!T70),(VLOOKUP(S$1,test!$A$3:$I$32,8,FALSE))-(VLOOKUP($A101,test!$A$3:$I$32,9,FALSE))+(test!$B$35-50),0)</f>
        <v>0</v>
      </c>
      <c r="T101">
        <f>IF(AND(SUM(VLOOKUP($A101,test!$A$3:$F$32,2,FALSE),VLOOKUP(T$1,test!$A$3:$F$32,2,FALSE))&lt;test!$K$16,$A101&lt;&gt;T$1,Recharged_Feasible_mat!U70),(VLOOKUP(T$1,test!$A$3:$I$32,8,FALSE))-(VLOOKUP($A101,test!$A$3:$I$32,9,FALSE))+(test!$B$35-50),0)</f>
        <v>0</v>
      </c>
      <c r="U101">
        <f>IF(AND(SUM(VLOOKUP($A101,test!$A$3:$F$32,2,FALSE),VLOOKUP(U$1,test!$A$3:$F$32,2,FALSE))&lt;test!$K$16,$A101&lt;&gt;U$1,Recharged_Feasible_mat!V70),(VLOOKUP(U$1,test!$A$3:$I$32,8,FALSE))-(VLOOKUP($A101,test!$A$3:$I$32,9,FALSE))+(test!$B$35-50),0)</f>
        <v>0</v>
      </c>
      <c r="V101">
        <f>IF(AND(SUM(VLOOKUP($A101,test!$A$3:$F$32,2,FALSE),VLOOKUP(V$1,test!$A$3:$F$32,2,FALSE))&lt;test!$K$16,$A101&lt;&gt;V$1,Recharged_Feasible_mat!W70),(VLOOKUP(V$1,test!$A$3:$I$32,8,FALSE))-(VLOOKUP($A101,test!$A$3:$I$32,9,FALSE))+(test!$B$35-50),0)</f>
        <v>0</v>
      </c>
      <c r="W101">
        <f>IF(AND(SUM(VLOOKUP($A101,test!$A$3:$F$32,2,FALSE),VLOOKUP(W$1,test!$A$3:$F$32,2,FALSE))&lt;test!$K$16,$A101&lt;&gt;W$1,Recharged_Feasible_mat!X70),(VLOOKUP(W$1,test!$A$3:$I$32,8,FALSE))-(VLOOKUP($A101,test!$A$3:$I$32,9,FALSE))+(test!$B$35-50),0)</f>
        <v>0</v>
      </c>
      <c r="X101">
        <f>IF(AND(SUM(VLOOKUP($A101,test!$A$3:$F$32,2,FALSE),VLOOKUP(X$1,test!$A$3:$F$32,2,FALSE))&lt;test!$K$16,$A101&lt;&gt;X$1,Recharged_Feasible_mat!Y70),(VLOOKUP(X$1,test!$A$3:$I$32,8,FALSE))-(VLOOKUP($A101,test!$A$3:$I$32,9,FALSE))+(test!$B$35-50),0)</f>
        <v>0</v>
      </c>
      <c r="Y101">
        <f>IF(AND(SUM(VLOOKUP($A101,test!$A$3:$F$32,2,FALSE),VLOOKUP(Y$1,test!$A$3:$F$32,2,FALSE))&lt;test!$K$16,$A101&lt;&gt;Y$1,Recharged_Feasible_mat!Z70),(VLOOKUP(Y$1,test!$A$3:$I$32,8,FALSE))-(VLOOKUP($A101,test!$A$3:$I$32,9,FALSE))+(test!$B$35-50),0)</f>
        <v>0</v>
      </c>
      <c r="Z101">
        <f>IF(AND(SUM(VLOOKUP($A101,test!$A$3:$F$32,2,FALSE),VLOOKUP(Z$1,test!$A$3:$F$32,2,FALSE))&lt;test!$K$16,$A101&lt;&gt;Z$1,Recharged_Feasible_mat!AA70),(VLOOKUP(Z$1,test!$A$3:$I$32,8,FALSE))-(VLOOKUP($A101,test!$A$3:$I$32,9,FALSE))+(test!$B$35-50),0)</f>
        <v>0</v>
      </c>
      <c r="AA101">
        <f>IF(AND(SUM(VLOOKUP($A101,test!$A$3:$F$32,2,FALSE),VLOOKUP(AA$1,test!$A$3:$F$32,2,FALSE))&lt;test!$K$16,$A101&lt;&gt;AA$1,Recharged_Feasible_mat!AB70),(VLOOKUP(AA$1,test!$A$3:$I$32,8,FALSE))-(VLOOKUP($A101,test!$A$3:$I$32,9,FALSE))+(test!$B$35-50),0)</f>
        <v>0</v>
      </c>
      <c r="AB101">
        <f>IF(AND(SUM(VLOOKUP($A101,test!$A$3:$F$32,2,FALSE),VLOOKUP(AB$1,test!$A$3:$F$32,2,FALSE))&lt;test!$K$16,$A101&lt;&gt;AB$1,Recharged_Feasible_mat!AC70),(VLOOKUP(AB$1,test!$A$3:$I$32,8,FALSE))-(VLOOKUP($A101,test!$A$3:$I$32,9,FALSE))+(test!$B$35-50),0)</f>
        <v>0</v>
      </c>
      <c r="AC101">
        <f>IF(AND(SUM(VLOOKUP($A101,test!$A$3:$F$32,2,FALSE),VLOOKUP(AC$1,test!$A$3:$F$32,2,FALSE))&lt;test!$K$16,$A101&lt;&gt;AC$1,Recharged_Feasible_mat!AD70),(VLOOKUP(AC$1,test!$A$3:$I$32,8,FALSE))-(VLOOKUP($A101,test!$A$3:$I$32,9,FALSE))+(test!$B$35-50),0)</f>
        <v>0</v>
      </c>
      <c r="AD101">
        <f>IF(AND(SUM(VLOOKUP($A101,test!$A$3:$F$32,2,FALSE),VLOOKUP(AD$1,test!$A$3:$F$32,2,FALSE))&lt;test!$K$16,$A101&lt;&gt;AD$1,Recharged_Feasible_mat!AE70),(VLOOKUP(AD$1,test!$A$3:$I$32,8,FALSE))-(VLOOKUP($A101,test!$A$3:$I$32,9,FALSE))+(test!$B$35-50),0)</f>
        <v>0</v>
      </c>
      <c r="AE101">
        <f>IF(AND(SUM(VLOOKUP($A101,test!$A$3:$F$32,2,FALSE),VLOOKUP(AE$1,test!$A$3:$F$32,2,FALSE))&lt;test!$K$16,$A101&lt;&gt;AE$1,Recharged_Feasible_mat!AF70),(VLOOKUP(AE$1,test!$A$3:$I$32,8,FALSE))-(VLOOKUP($A101,test!$A$3:$I$32,9,FALSE))+(test!$B$35-50),0)</f>
        <v>0</v>
      </c>
      <c r="AF101">
        <f>IF(AND(SUM(VLOOKUP($A101,test!$A$3:$F$32,2,FALSE),VLOOKUP(AF$1,test!$A$3:$F$32,2,FALSE))&lt;test!$K$16,$A101&lt;&gt;AF$1,Recharged_Feasible_mat!AG70),(VLOOKUP(AF$1,test!$A$3:$I$32,8,FALSE))-(VLOOKUP($A101,test!$A$3:$I$32,9,FALSE))+(test!$B$35-50),0)</f>
        <v>0</v>
      </c>
    </row>
    <row r="102" spans="1:32" x14ac:dyDescent="0.25">
      <c r="A102" t="s">
        <v>14</v>
      </c>
      <c r="B102">
        <v>0</v>
      </c>
      <c r="C102">
        <f>IF(AND(SUM(VLOOKUP($A102,test!$A$3:$F$32,2,FALSE),VLOOKUP(C$1,test!$A$3:$F$32,2,FALSE))&lt;test!$K$16,$A102&lt;&gt;C$1,Recharged_Feasible_mat!D71),(VLOOKUP(C$1,test!$A$3:$I$32,8,FALSE))-(VLOOKUP($A102,test!$A$3:$I$32,9,FALSE))+(test!$B$35-50),0)</f>
        <v>0</v>
      </c>
      <c r="D102">
        <f>IF(AND(SUM(VLOOKUP($A102,test!$A$3:$F$32,2,FALSE),VLOOKUP(D$1,test!$A$3:$F$32,2,FALSE))&lt;test!$K$16,$A102&lt;&gt;D$1,Recharged_Feasible_mat!E71),(VLOOKUP(D$1,test!$A$3:$I$32,8,FALSE))-(VLOOKUP($A102,test!$A$3:$I$32,9,FALSE))+(test!$B$35-50),0)</f>
        <v>0</v>
      </c>
      <c r="E102">
        <f>IF(AND(SUM(VLOOKUP($A102,test!$A$3:$F$32,2,FALSE),VLOOKUP(E$1,test!$A$3:$F$32,2,FALSE))&lt;test!$K$16,$A102&lt;&gt;E$1,Recharged_Feasible_mat!F71),(VLOOKUP(E$1,test!$A$3:$I$32,8,FALSE))-(VLOOKUP($A102,test!$A$3:$I$32,9,FALSE))+(test!$B$35-50),0)</f>
        <v>0</v>
      </c>
      <c r="F102">
        <f>IF(AND(SUM(VLOOKUP($A102,test!$A$3:$F$32,2,FALSE),VLOOKUP(F$1,test!$A$3:$F$32,2,FALSE))&lt;test!$K$16,$A102&lt;&gt;F$1,Recharged_Feasible_mat!G71),(VLOOKUP(F$1,test!$A$3:$I$32,8,FALSE))-(VLOOKUP($A102,test!$A$3:$I$32,9,FALSE))+(test!$B$35-50),0)</f>
        <v>0</v>
      </c>
      <c r="G102">
        <f>IF(AND(SUM(VLOOKUP($A102,test!$A$3:$F$32,2,FALSE),VLOOKUP(G$1,test!$A$3:$F$32,2,FALSE))&lt;test!$K$16,$A102&lt;&gt;G$1,Recharged_Feasible_mat!H71),(VLOOKUP(G$1,test!$A$3:$I$32,8,FALSE))-(VLOOKUP($A102,test!$A$3:$I$32,9,FALSE))+(test!$B$35-50),0)</f>
        <v>0</v>
      </c>
      <c r="H102">
        <f>IF(AND(SUM(VLOOKUP($A102,test!$A$3:$F$32,2,FALSE),VLOOKUP(H$1,test!$A$3:$F$32,2,FALSE))&lt;test!$K$16,$A102&lt;&gt;H$1,Recharged_Feasible_mat!I71),(VLOOKUP(H$1,test!$A$3:$I$32,8,FALSE))-(VLOOKUP($A102,test!$A$3:$I$32,9,FALSE))+(test!$B$35-50),0)</f>
        <v>0</v>
      </c>
      <c r="I102">
        <f>IF(AND(SUM(VLOOKUP($A102,test!$A$3:$F$32,2,FALSE),VLOOKUP(I$1,test!$A$3:$F$32,2,FALSE))&lt;test!$K$16,$A102&lt;&gt;I$1,Recharged_Feasible_mat!J71),(VLOOKUP(I$1,test!$A$3:$I$32,8,FALSE))-(VLOOKUP($A102,test!$A$3:$I$32,9,FALSE))+(test!$B$35-50),0)</f>
        <v>0</v>
      </c>
      <c r="J102">
        <f>IF(AND(SUM(VLOOKUP($A102,test!$A$3:$F$32,2,FALSE),VLOOKUP(J$1,test!$A$3:$F$32,2,FALSE))&lt;test!$K$16,$A102&lt;&gt;J$1,Recharged_Feasible_mat!K71),(VLOOKUP(J$1,test!$A$3:$I$32,8,FALSE))-(VLOOKUP($A102,test!$A$3:$I$32,9,FALSE))+(test!$B$35-50),0)</f>
        <v>0</v>
      </c>
      <c r="K102">
        <f>IF(AND(SUM(VLOOKUP($A102,test!$A$3:$F$32,2,FALSE),VLOOKUP(K$1,test!$A$3:$F$32,2,FALSE))&lt;test!$K$16,$A102&lt;&gt;K$1,Recharged_Feasible_mat!L71),(VLOOKUP(K$1,test!$A$3:$I$32,8,FALSE))-(VLOOKUP($A102,test!$A$3:$I$32,9,FALSE))+(test!$B$35-50),0)</f>
        <v>0</v>
      </c>
      <c r="L102">
        <f>IF(AND(SUM(VLOOKUP($A102,test!$A$3:$F$32,2,FALSE),VLOOKUP(L$1,test!$A$3:$F$32,2,FALSE))&lt;test!$K$16,$A102&lt;&gt;L$1,Recharged_Feasible_mat!M71),(VLOOKUP(L$1,test!$A$3:$I$32,8,FALSE))-(VLOOKUP($A102,test!$A$3:$I$32,9,FALSE))+(test!$B$35-50),0)</f>
        <v>0</v>
      </c>
      <c r="M102">
        <f>IF(AND(SUM(VLOOKUP($A102,test!$A$3:$F$32,2,FALSE),VLOOKUP(M$1,test!$A$3:$F$32,2,FALSE))&lt;test!$K$16,$A102&lt;&gt;M$1,Recharged_Feasible_mat!N71),(VLOOKUP(M$1,test!$A$3:$I$32,8,FALSE))-(VLOOKUP($A102,test!$A$3:$I$32,9,FALSE))+(test!$B$35-50),0)</f>
        <v>0</v>
      </c>
      <c r="N102">
        <f>IF(AND(SUM(VLOOKUP($A102,test!$A$3:$F$32,2,FALSE),VLOOKUP(N$1,test!$A$3:$F$32,2,FALSE))&lt;test!$K$16,$A102&lt;&gt;N$1,Recharged_Feasible_mat!O71),(VLOOKUP(N$1,test!$A$3:$I$32,8,FALSE))-(VLOOKUP($A102,test!$A$3:$I$32,9,FALSE))+(test!$B$35-50),0)</f>
        <v>0</v>
      </c>
      <c r="O102">
        <f>IF(AND(SUM(VLOOKUP($A102,test!$A$3:$F$32,2,FALSE),VLOOKUP(O$1,test!$A$3:$F$32,2,FALSE))&lt;test!$K$16,$A102&lt;&gt;O$1,Recharged_Feasible_mat!P71),(VLOOKUP(O$1,test!$A$3:$I$32,8,FALSE))-(VLOOKUP($A102,test!$A$3:$I$32,9,FALSE))+(test!$B$35-50),0)</f>
        <v>0</v>
      </c>
      <c r="P102">
        <f>IF(AND(SUM(VLOOKUP($A102,test!$A$3:$F$32,2,FALSE),VLOOKUP(P$1,test!$A$3:$F$32,2,FALSE))&lt;test!$K$16,$A102&lt;&gt;P$1,Recharged_Feasible_mat!Q71),(VLOOKUP(P$1,test!$A$3:$I$32,8,FALSE))-(VLOOKUP($A102,test!$A$3:$I$32,9,FALSE))+(test!$B$35-50),0)</f>
        <v>0</v>
      </c>
      <c r="Q102">
        <f>IF(AND(SUM(VLOOKUP($A102,test!$A$3:$F$32,2,FALSE),VLOOKUP(Q$1,test!$A$3:$F$32,2,FALSE))&lt;test!$K$16,$A102&lt;&gt;Q$1,Recharged_Feasible_mat!R71),(VLOOKUP(Q$1,test!$A$3:$I$32,8,FALSE))-(VLOOKUP($A102,test!$A$3:$I$32,9,FALSE))+(test!$B$35-50),0)</f>
        <v>0</v>
      </c>
      <c r="R102">
        <f>IF(AND(SUM(VLOOKUP($A102,test!$A$3:$F$32,2,FALSE),VLOOKUP(R$1,test!$A$3:$F$32,2,FALSE))&lt;test!$K$16,$A102&lt;&gt;R$1,Recharged_Feasible_mat!S71),(VLOOKUP(R$1,test!$A$3:$I$32,8,FALSE))-(VLOOKUP($A102,test!$A$3:$I$32,9,FALSE))+(test!$B$35-50),0)</f>
        <v>0</v>
      </c>
      <c r="S102">
        <f>IF(AND(SUM(VLOOKUP($A102,test!$A$3:$F$32,2,FALSE),VLOOKUP(S$1,test!$A$3:$F$32,2,FALSE))&lt;test!$K$16,$A102&lt;&gt;S$1,Recharged_Feasible_mat!T71),(VLOOKUP(S$1,test!$A$3:$I$32,8,FALSE))-(VLOOKUP($A102,test!$A$3:$I$32,9,FALSE))+(test!$B$35-50),0)</f>
        <v>0</v>
      </c>
      <c r="T102">
        <f>IF(AND(SUM(VLOOKUP($A102,test!$A$3:$F$32,2,FALSE),VLOOKUP(T$1,test!$A$3:$F$32,2,FALSE))&lt;test!$K$16,$A102&lt;&gt;T$1,Recharged_Feasible_mat!U71),(VLOOKUP(T$1,test!$A$3:$I$32,8,FALSE))-(VLOOKUP($A102,test!$A$3:$I$32,9,FALSE))+(test!$B$35-50),0)</f>
        <v>0</v>
      </c>
      <c r="U102">
        <f>IF(AND(SUM(VLOOKUP($A102,test!$A$3:$F$32,2,FALSE),VLOOKUP(U$1,test!$A$3:$F$32,2,FALSE))&lt;test!$K$16,$A102&lt;&gt;U$1,Recharged_Feasible_mat!V71),(VLOOKUP(U$1,test!$A$3:$I$32,8,FALSE))-(VLOOKUP($A102,test!$A$3:$I$32,9,FALSE))+(test!$B$35-50),0)</f>
        <v>0</v>
      </c>
      <c r="V102">
        <f>IF(AND(SUM(VLOOKUP($A102,test!$A$3:$F$32,2,FALSE),VLOOKUP(V$1,test!$A$3:$F$32,2,FALSE))&lt;test!$K$16,$A102&lt;&gt;V$1,Recharged_Feasible_mat!W71),(VLOOKUP(V$1,test!$A$3:$I$32,8,FALSE))-(VLOOKUP($A102,test!$A$3:$I$32,9,FALSE))+(test!$B$35-50),0)</f>
        <v>0</v>
      </c>
      <c r="W102">
        <f>IF(AND(SUM(VLOOKUP($A102,test!$A$3:$F$32,2,FALSE),VLOOKUP(W$1,test!$A$3:$F$32,2,FALSE))&lt;test!$K$16,$A102&lt;&gt;W$1,Recharged_Feasible_mat!X71),(VLOOKUP(W$1,test!$A$3:$I$32,8,FALSE))-(VLOOKUP($A102,test!$A$3:$I$32,9,FALSE))+(test!$B$35-50),0)</f>
        <v>0</v>
      </c>
      <c r="X102">
        <f>IF(AND(SUM(VLOOKUP($A102,test!$A$3:$F$32,2,FALSE),VLOOKUP(X$1,test!$A$3:$F$32,2,FALSE))&lt;test!$K$16,$A102&lt;&gt;X$1,Recharged_Feasible_mat!Y71),(VLOOKUP(X$1,test!$A$3:$I$32,8,FALSE))-(VLOOKUP($A102,test!$A$3:$I$32,9,FALSE))+(test!$B$35-50),0)</f>
        <v>0</v>
      </c>
      <c r="Y102">
        <f>IF(AND(SUM(VLOOKUP($A102,test!$A$3:$F$32,2,FALSE),VLOOKUP(Y$1,test!$A$3:$F$32,2,FALSE))&lt;test!$K$16,$A102&lt;&gt;Y$1,Recharged_Feasible_mat!Z71),(VLOOKUP(Y$1,test!$A$3:$I$32,8,FALSE))-(VLOOKUP($A102,test!$A$3:$I$32,9,FALSE))+(test!$B$35-50),0)</f>
        <v>0</v>
      </c>
      <c r="Z102">
        <f>IF(AND(SUM(VLOOKUP($A102,test!$A$3:$F$32,2,FALSE),VLOOKUP(Z$1,test!$A$3:$F$32,2,FALSE))&lt;test!$K$16,$A102&lt;&gt;Z$1,Recharged_Feasible_mat!AA71),(VLOOKUP(Z$1,test!$A$3:$I$32,8,FALSE))-(VLOOKUP($A102,test!$A$3:$I$32,9,FALSE))+(test!$B$35-50),0)</f>
        <v>0</v>
      </c>
      <c r="AA102">
        <f>IF(AND(SUM(VLOOKUP($A102,test!$A$3:$F$32,2,FALSE),VLOOKUP(AA$1,test!$A$3:$F$32,2,FALSE))&lt;test!$K$16,$A102&lt;&gt;AA$1,Recharged_Feasible_mat!AB71),(VLOOKUP(AA$1,test!$A$3:$I$32,8,FALSE))-(VLOOKUP($A102,test!$A$3:$I$32,9,FALSE))+(test!$B$35-50),0)</f>
        <v>0</v>
      </c>
      <c r="AB102">
        <f>IF(AND(SUM(VLOOKUP($A102,test!$A$3:$F$32,2,FALSE),VLOOKUP(AB$1,test!$A$3:$F$32,2,FALSE))&lt;test!$K$16,$A102&lt;&gt;AB$1,Recharged_Feasible_mat!AC71),(VLOOKUP(AB$1,test!$A$3:$I$32,8,FALSE))-(VLOOKUP($A102,test!$A$3:$I$32,9,FALSE))+(test!$B$35-50),0)</f>
        <v>0</v>
      </c>
      <c r="AC102">
        <f>IF(AND(SUM(VLOOKUP($A102,test!$A$3:$F$32,2,FALSE),VLOOKUP(AC$1,test!$A$3:$F$32,2,FALSE))&lt;test!$K$16,$A102&lt;&gt;AC$1,Recharged_Feasible_mat!AD71),(VLOOKUP(AC$1,test!$A$3:$I$32,8,FALSE))-(VLOOKUP($A102,test!$A$3:$I$32,9,FALSE))+(test!$B$35-50),0)</f>
        <v>0</v>
      </c>
      <c r="AD102">
        <f>IF(AND(SUM(VLOOKUP($A102,test!$A$3:$F$32,2,FALSE),VLOOKUP(AD$1,test!$A$3:$F$32,2,FALSE))&lt;test!$K$16,$A102&lt;&gt;AD$1,Recharged_Feasible_mat!AE71),(VLOOKUP(AD$1,test!$A$3:$I$32,8,FALSE))-(VLOOKUP($A102,test!$A$3:$I$32,9,FALSE))+(test!$B$35-50),0)</f>
        <v>0</v>
      </c>
      <c r="AE102">
        <f>IF(AND(SUM(VLOOKUP($A102,test!$A$3:$F$32,2,FALSE),VLOOKUP(AE$1,test!$A$3:$F$32,2,FALSE))&lt;test!$K$16,$A102&lt;&gt;AE$1,Recharged_Feasible_mat!AF71),(VLOOKUP(AE$1,test!$A$3:$I$32,8,FALSE))-(VLOOKUP($A102,test!$A$3:$I$32,9,FALSE))+(test!$B$35-50),0)</f>
        <v>0</v>
      </c>
      <c r="AF102">
        <f>IF(AND(SUM(VLOOKUP($A102,test!$A$3:$F$32,2,FALSE),VLOOKUP(AF$1,test!$A$3:$F$32,2,FALSE))&lt;test!$K$16,$A102&lt;&gt;AF$1,Recharged_Feasible_mat!AG71),(VLOOKUP(AF$1,test!$A$3:$I$32,8,FALSE))-(VLOOKUP($A102,test!$A$3:$I$32,9,FALSE))+(test!$B$35-50),0)</f>
        <v>0</v>
      </c>
    </row>
    <row r="103" spans="1:32" x14ac:dyDescent="0.25">
      <c r="A103" t="s">
        <v>15</v>
      </c>
      <c r="B103">
        <v>0</v>
      </c>
      <c r="C103">
        <f>IF(AND(SUM(VLOOKUP($A103,test!$A$3:$F$32,2,FALSE),VLOOKUP(C$1,test!$A$3:$F$32,2,FALSE))&lt;test!$K$16,$A103&lt;&gt;C$1,Recharged_Feasible_mat!D72),(VLOOKUP(C$1,test!$A$3:$I$32,8,FALSE))-(VLOOKUP($A103,test!$A$3:$I$32,9,FALSE))+(test!$B$35-50),0)</f>
        <v>0</v>
      </c>
      <c r="D103">
        <f>IF(AND(SUM(VLOOKUP($A103,test!$A$3:$F$32,2,FALSE),VLOOKUP(D$1,test!$A$3:$F$32,2,FALSE))&lt;test!$K$16,$A103&lt;&gt;D$1,Recharged_Feasible_mat!E72),(VLOOKUP(D$1,test!$A$3:$I$32,8,FALSE))-(VLOOKUP($A103,test!$A$3:$I$32,9,FALSE))+(test!$B$35-50),0)</f>
        <v>0</v>
      </c>
      <c r="E103">
        <f>IF(AND(SUM(VLOOKUP($A103,test!$A$3:$F$32,2,FALSE),VLOOKUP(E$1,test!$A$3:$F$32,2,FALSE))&lt;test!$K$16,$A103&lt;&gt;E$1,Recharged_Feasible_mat!F72),(VLOOKUP(E$1,test!$A$3:$I$32,8,FALSE))-(VLOOKUP($A103,test!$A$3:$I$32,9,FALSE))+(test!$B$35-50),0)</f>
        <v>0</v>
      </c>
      <c r="F103">
        <f>IF(AND(SUM(VLOOKUP($A103,test!$A$3:$F$32,2,FALSE),VLOOKUP(F$1,test!$A$3:$F$32,2,FALSE))&lt;test!$K$16,$A103&lt;&gt;F$1,Recharged_Feasible_mat!G72),(VLOOKUP(F$1,test!$A$3:$I$32,8,FALSE))-(VLOOKUP($A103,test!$A$3:$I$32,9,FALSE))+(test!$B$35-50),0)</f>
        <v>0</v>
      </c>
      <c r="G103">
        <f>IF(AND(SUM(VLOOKUP($A103,test!$A$3:$F$32,2,FALSE),VLOOKUP(G$1,test!$A$3:$F$32,2,FALSE))&lt;test!$K$16,$A103&lt;&gt;G$1,Recharged_Feasible_mat!H72),(VLOOKUP(G$1,test!$A$3:$I$32,8,FALSE))-(VLOOKUP($A103,test!$A$3:$I$32,9,FALSE))+(test!$B$35-50),0)</f>
        <v>0</v>
      </c>
      <c r="H103">
        <f>IF(AND(SUM(VLOOKUP($A103,test!$A$3:$F$32,2,FALSE),VLOOKUP(H$1,test!$A$3:$F$32,2,FALSE))&lt;test!$K$16,$A103&lt;&gt;H$1,Recharged_Feasible_mat!I72),(VLOOKUP(H$1,test!$A$3:$I$32,8,FALSE))-(VLOOKUP($A103,test!$A$3:$I$32,9,FALSE))+(test!$B$35-50),0)</f>
        <v>0</v>
      </c>
      <c r="I103">
        <f>IF(AND(SUM(VLOOKUP($A103,test!$A$3:$F$32,2,FALSE),VLOOKUP(I$1,test!$A$3:$F$32,2,FALSE))&lt;test!$K$16,$A103&lt;&gt;I$1,Recharged_Feasible_mat!J72),(VLOOKUP(I$1,test!$A$3:$I$32,8,FALSE))-(VLOOKUP($A103,test!$A$3:$I$32,9,FALSE))+(test!$B$35-50),0)</f>
        <v>0</v>
      </c>
      <c r="J103">
        <f>IF(AND(SUM(VLOOKUP($A103,test!$A$3:$F$32,2,FALSE),VLOOKUP(J$1,test!$A$3:$F$32,2,FALSE))&lt;test!$K$16,$A103&lt;&gt;J$1,Recharged_Feasible_mat!K72),(VLOOKUP(J$1,test!$A$3:$I$32,8,FALSE))-(VLOOKUP($A103,test!$A$3:$I$32,9,FALSE))+(test!$B$35-50),0)</f>
        <v>0</v>
      </c>
      <c r="K103">
        <f>IF(AND(SUM(VLOOKUP($A103,test!$A$3:$F$32,2,FALSE),VLOOKUP(K$1,test!$A$3:$F$32,2,FALSE))&lt;test!$K$16,$A103&lt;&gt;K$1,Recharged_Feasible_mat!L72),(VLOOKUP(K$1,test!$A$3:$I$32,8,FALSE))-(VLOOKUP($A103,test!$A$3:$I$32,9,FALSE))+(test!$B$35-50),0)</f>
        <v>0</v>
      </c>
      <c r="L103">
        <f>IF(AND(SUM(VLOOKUP($A103,test!$A$3:$F$32,2,FALSE),VLOOKUP(L$1,test!$A$3:$F$32,2,FALSE))&lt;test!$K$16,$A103&lt;&gt;L$1,Recharged_Feasible_mat!M72),(VLOOKUP(L$1,test!$A$3:$I$32,8,FALSE))-(VLOOKUP($A103,test!$A$3:$I$32,9,FALSE))+(test!$B$35-50),0)</f>
        <v>0</v>
      </c>
      <c r="M103">
        <f>IF(AND(SUM(VLOOKUP($A103,test!$A$3:$F$32,2,FALSE),VLOOKUP(M$1,test!$A$3:$F$32,2,FALSE))&lt;test!$K$16,$A103&lt;&gt;M$1,Recharged_Feasible_mat!N72),(VLOOKUP(M$1,test!$A$3:$I$32,8,FALSE))-(VLOOKUP($A103,test!$A$3:$I$32,9,FALSE))+(test!$B$35-50),0)</f>
        <v>0</v>
      </c>
      <c r="N103">
        <f>IF(AND(SUM(VLOOKUP($A103,test!$A$3:$F$32,2,FALSE),VLOOKUP(N$1,test!$A$3:$F$32,2,FALSE))&lt;test!$K$16,$A103&lt;&gt;N$1,Recharged_Feasible_mat!O72),(VLOOKUP(N$1,test!$A$3:$I$32,8,FALSE))-(VLOOKUP($A103,test!$A$3:$I$32,9,FALSE))+(test!$B$35-50),0)</f>
        <v>0</v>
      </c>
      <c r="O103">
        <f>IF(AND(SUM(VLOOKUP($A103,test!$A$3:$F$32,2,FALSE),VLOOKUP(O$1,test!$A$3:$F$32,2,FALSE))&lt;test!$K$16,$A103&lt;&gt;O$1,Recharged_Feasible_mat!P72),(VLOOKUP(O$1,test!$A$3:$I$32,8,FALSE))-(VLOOKUP($A103,test!$A$3:$I$32,9,FALSE))+(test!$B$35-50),0)</f>
        <v>0</v>
      </c>
      <c r="P103">
        <f>IF(AND(SUM(VLOOKUP($A103,test!$A$3:$F$32,2,FALSE),VLOOKUP(P$1,test!$A$3:$F$32,2,FALSE))&lt;test!$K$16,$A103&lt;&gt;P$1,Recharged_Feasible_mat!Q72),(VLOOKUP(P$1,test!$A$3:$I$32,8,FALSE))-(VLOOKUP($A103,test!$A$3:$I$32,9,FALSE))+(test!$B$35-50),0)</f>
        <v>0</v>
      </c>
      <c r="Q103">
        <f>IF(AND(SUM(VLOOKUP($A103,test!$A$3:$F$32,2,FALSE),VLOOKUP(Q$1,test!$A$3:$F$32,2,FALSE))&lt;test!$K$16,$A103&lt;&gt;Q$1,Recharged_Feasible_mat!R72),(VLOOKUP(Q$1,test!$A$3:$I$32,8,FALSE))-(VLOOKUP($A103,test!$A$3:$I$32,9,FALSE))+(test!$B$35-50),0)</f>
        <v>0</v>
      </c>
      <c r="R103">
        <f>IF(AND(SUM(VLOOKUP($A103,test!$A$3:$F$32,2,FALSE),VLOOKUP(R$1,test!$A$3:$F$32,2,FALSE))&lt;test!$K$16,$A103&lt;&gt;R$1,Recharged_Feasible_mat!S72),(VLOOKUP(R$1,test!$A$3:$I$32,8,FALSE))-(VLOOKUP($A103,test!$A$3:$I$32,9,FALSE))+(test!$B$35-50),0)</f>
        <v>0</v>
      </c>
      <c r="S103">
        <f>IF(AND(SUM(VLOOKUP($A103,test!$A$3:$F$32,2,FALSE),VLOOKUP(S$1,test!$A$3:$F$32,2,FALSE))&lt;test!$K$16,$A103&lt;&gt;S$1,Recharged_Feasible_mat!T72),(VLOOKUP(S$1,test!$A$3:$I$32,8,FALSE))-(VLOOKUP($A103,test!$A$3:$I$32,9,FALSE))+(test!$B$35-50),0)</f>
        <v>0</v>
      </c>
      <c r="T103">
        <f>IF(AND(SUM(VLOOKUP($A103,test!$A$3:$F$32,2,FALSE),VLOOKUP(T$1,test!$A$3:$F$32,2,FALSE))&lt;test!$K$16,$A103&lt;&gt;T$1,Recharged_Feasible_mat!U72),(VLOOKUP(T$1,test!$A$3:$I$32,8,FALSE))-(VLOOKUP($A103,test!$A$3:$I$32,9,FALSE))+(test!$B$35-50),0)</f>
        <v>0</v>
      </c>
      <c r="U103">
        <f>IF(AND(SUM(VLOOKUP($A103,test!$A$3:$F$32,2,FALSE),VLOOKUP(U$1,test!$A$3:$F$32,2,FALSE))&lt;test!$K$16,$A103&lt;&gt;U$1,Recharged_Feasible_mat!V72),(VLOOKUP(U$1,test!$A$3:$I$32,8,FALSE))-(VLOOKUP($A103,test!$A$3:$I$32,9,FALSE))+(test!$B$35-50),0)</f>
        <v>0</v>
      </c>
      <c r="V103">
        <f>IF(AND(SUM(VLOOKUP($A103,test!$A$3:$F$32,2,FALSE),VLOOKUP(V$1,test!$A$3:$F$32,2,FALSE))&lt;test!$K$16,$A103&lt;&gt;V$1,Recharged_Feasible_mat!W72),(VLOOKUP(V$1,test!$A$3:$I$32,8,FALSE))-(VLOOKUP($A103,test!$A$3:$I$32,9,FALSE))+(test!$B$35-50),0)</f>
        <v>0</v>
      </c>
      <c r="W103">
        <f>IF(AND(SUM(VLOOKUP($A103,test!$A$3:$F$32,2,FALSE),VLOOKUP(W$1,test!$A$3:$F$32,2,FALSE))&lt;test!$K$16,$A103&lt;&gt;W$1,Recharged_Feasible_mat!X72),(VLOOKUP(W$1,test!$A$3:$I$32,8,FALSE))-(VLOOKUP($A103,test!$A$3:$I$32,9,FALSE))+(test!$B$35-50),0)</f>
        <v>0</v>
      </c>
      <c r="X103">
        <f>IF(AND(SUM(VLOOKUP($A103,test!$A$3:$F$32,2,FALSE),VLOOKUP(X$1,test!$A$3:$F$32,2,FALSE))&lt;test!$K$16,$A103&lt;&gt;X$1,Recharged_Feasible_mat!Y72),(VLOOKUP(X$1,test!$A$3:$I$32,8,FALSE))-(VLOOKUP($A103,test!$A$3:$I$32,9,FALSE))+(test!$B$35-50),0)</f>
        <v>0</v>
      </c>
      <c r="Y103">
        <f>IF(AND(SUM(VLOOKUP($A103,test!$A$3:$F$32,2,FALSE),VLOOKUP(Y$1,test!$A$3:$F$32,2,FALSE))&lt;test!$K$16,$A103&lt;&gt;Y$1,Recharged_Feasible_mat!Z72),(VLOOKUP(Y$1,test!$A$3:$I$32,8,FALSE))-(VLOOKUP($A103,test!$A$3:$I$32,9,FALSE))+(test!$B$35-50),0)</f>
        <v>0</v>
      </c>
      <c r="Z103">
        <f>IF(AND(SUM(VLOOKUP($A103,test!$A$3:$F$32,2,FALSE),VLOOKUP(Z$1,test!$A$3:$F$32,2,FALSE))&lt;test!$K$16,$A103&lt;&gt;Z$1,Recharged_Feasible_mat!AA72),(VLOOKUP(Z$1,test!$A$3:$I$32,8,FALSE))-(VLOOKUP($A103,test!$A$3:$I$32,9,FALSE))+(test!$B$35-50),0)</f>
        <v>0</v>
      </c>
      <c r="AA103">
        <f>IF(AND(SUM(VLOOKUP($A103,test!$A$3:$F$32,2,FALSE),VLOOKUP(AA$1,test!$A$3:$F$32,2,FALSE))&lt;test!$K$16,$A103&lt;&gt;AA$1,Recharged_Feasible_mat!AB72),(VLOOKUP(AA$1,test!$A$3:$I$32,8,FALSE))-(VLOOKUP($A103,test!$A$3:$I$32,9,FALSE))+(test!$B$35-50),0)</f>
        <v>0</v>
      </c>
      <c r="AB103">
        <f>IF(AND(SUM(VLOOKUP($A103,test!$A$3:$F$32,2,FALSE),VLOOKUP(AB$1,test!$A$3:$F$32,2,FALSE))&lt;test!$K$16,$A103&lt;&gt;AB$1,Recharged_Feasible_mat!AC72),(VLOOKUP(AB$1,test!$A$3:$I$32,8,FALSE))-(VLOOKUP($A103,test!$A$3:$I$32,9,FALSE))+(test!$B$35-50),0)</f>
        <v>0</v>
      </c>
      <c r="AC103">
        <f>IF(AND(SUM(VLOOKUP($A103,test!$A$3:$F$32,2,FALSE),VLOOKUP(AC$1,test!$A$3:$F$32,2,FALSE))&lt;test!$K$16,$A103&lt;&gt;AC$1,Recharged_Feasible_mat!AD72),(VLOOKUP(AC$1,test!$A$3:$I$32,8,FALSE))-(VLOOKUP($A103,test!$A$3:$I$32,9,FALSE))+(test!$B$35-50),0)</f>
        <v>0</v>
      </c>
      <c r="AD103">
        <f>IF(AND(SUM(VLOOKUP($A103,test!$A$3:$F$32,2,FALSE),VLOOKUP(AD$1,test!$A$3:$F$32,2,FALSE))&lt;test!$K$16,$A103&lt;&gt;AD$1,Recharged_Feasible_mat!AE72),(VLOOKUP(AD$1,test!$A$3:$I$32,8,FALSE))-(VLOOKUP($A103,test!$A$3:$I$32,9,FALSE))+(test!$B$35-50),0)</f>
        <v>0</v>
      </c>
      <c r="AE103">
        <f>IF(AND(SUM(VLOOKUP($A103,test!$A$3:$F$32,2,FALSE),VLOOKUP(AE$1,test!$A$3:$F$32,2,FALSE))&lt;test!$K$16,$A103&lt;&gt;AE$1,Recharged_Feasible_mat!AF72),(VLOOKUP(AE$1,test!$A$3:$I$32,8,FALSE))-(VLOOKUP($A103,test!$A$3:$I$32,9,FALSE))+(test!$B$35-50),0)</f>
        <v>0</v>
      </c>
      <c r="AF103">
        <f>IF(AND(SUM(VLOOKUP($A103,test!$A$3:$F$32,2,FALSE),VLOOKUP(AF$1,test!$A$3:$F$32,2,FALSE))&lt;test!$K$16,$A103&lt;&gt;AF$1,Recharged_Feasible_mat!AG72),(VLOOKUP(AF$1,test!$A$3:$I$32,8,FALSE))-(VLOOKUP($A103,test!$A$3:$I$32,9,FALSE))+(test!$B$35-50),0)</f>
        <v>0</v>
      </c>
    </row>
    <row r="104" spans="1:32" x14ac:dyDescent="0.25">
      <c r="A104" t="s">
        <v>18</v>
      </c>
      <c r="B104">
        <v>0</v>
      </c>
      <c r="C104">
        <f>IF(AND(SUM(VLOOKUP($A104,test!$A$3:$F$32,2,FALSE),VLOOKUP(C$1,test!$A$3:$F$32,2,FALSE))&lt;test!$K$16,$A104&lt;&gt;C$1,Recharged_Feasible_mat!D73),(VLOOKUP(C$1,test!$A$3:$I$32,8,FALSE))-(VLOOKUP($A104,test!$A$3:$I$32,9,FALSE))+(test!$B$35-50),0)</f>
        <v>0</v>
      </c>
      <c r="D104">
        <f>IF(AND(SUM(VLOOKUP($A104,test!$A$3:$F$32,2,FALSE),VLOOKUP(D$1,test!$A$3:$F$32,2,FALSE))&lt;test!$K$16,$A104&lt;&gt;D$1,Recharged_Feasible_mat!E73),(VLOOKUP(D$1,test!$A$3:$I$32,8,FALSE))-(VLOOKUP($A104,test!$A$3:$I$32,9,FALSE))+(test!$B$35-50),0)</f>
        <v>0</v>
      </c>
      <c r="E104">
        <f>IF(AND(SUM(VLOOKUP($A104,test!$A$3:$F$32,2,FALSE),VLOOKUP(E$1,test!$A$3:$F$32,2,FALSE))&lt;test!$K$16,$A104&lt;&gt;E$1,Recharged_Feasible_mat!F73),(VLOOKUP(E$1,test!$A$3:$I$32,8,FALSE))-(VLOOKUP($A104,test!$A$3:$I$32,9,FALSE))+(test!$B$35-50),0)</f>
        <v>0</v>
      </c>
      <c r="F104">
        <f>IF(AND(SUM(VLOOKUP($A104,test!$A$3:$F$32,2,FALSE),VLOOKUP(F$1,test!$A$3:$F$32,2,FALSE))&lt;test!$K$16,$A104&lt;&gt;F$1,Recharged_Feasible_mat!G73),(VLOOKUP(F$1,test!$A$3:$I$32,8,FALSE))-(VLOOKUP($A104,test!$A$3:$I$32,9,FALSE))+(test!$B$35-50),0)</f>
        <v>225</v>
      </c>
      <c r="G104">
        <f>IF(AND(SUM(VLOOKUP($A104,test!$A$3:$F$32,2,FALSE),VLOOKUP(G$1,test!$A$3:$F$32,2,FALSE))&lt;test!$K$16,$A104&lt;&gt;G$1,Recharged_Feasible_mat!H73),(VLOOKUP(G$1,test!$A$3:$I$32,8,FALSE))-(VLOOKUP($A104,test!$A$3:$I$32,9,FALSE))+(test!$B$35-50),0)</f>
        <v>285</v>
      </c>
      <c r="H104">
        <f>IF(AND(SUM(VLOOKUP($A104,test!$A$3:$F$32,2,FALSE),VLOOKUP(H$1,test!$A$3:$F$32,2,FALSE))&lt;test!$K$16,$A104&lt;&gt;H$1,Recharged_Feasible_mat!I73),(VLOOKUP(H$1,test!$A$3:$I$32,8,FALSE))-(VLOOKUP($A104,test!$A$3:$I$32,9,FALSE))+(test!$B$35-50),0)</f>
        <v>345</v>
      </c>
      <c r="I104">
        <f>IF(AND(SUM(VLOOKUP($A104,test!$A$3:$F$32,2,FALSE),VLOOKUP(I$1,test!$A$3:$F$32,2,FALSE))&lt;test!$K$16,$A104&lt;&gt;I$1,Recharged_Feasible_mat!J73),(VLOOKUP(I$1,test!$A$3:$I$32,8,FALSE))-(VLOOKUP($A104,test!$A$3:$I$32,9,FALSE))+(test!$B$35-50),0)</f>
        <v>405</v>
      </c>
      <c r="J104">
        <f>IF(AND(SUM(VLOOKUP($A104,test!$A$3:$F$32,2,FALSE),VLOOKUP(J$1,test!$A$3:$F$32,2,FALSE))&lt;test!$K$16,$A104&lt;&gt;J$1,Recharged_Feasible_mat!K73),(VLOOKUP(J$1,test!$A$3:$I$32,8,FALSE))-(VLOOKUP($A104,test!$A$3:$I$32,9,FALSE))+(test!$B$35-50),0)</f>
        <v>495</v>
      </c>
      <c r="K104">
        <f>IF(AND(SUM(VLOOKUP($A104,test!$A$3:$F$32,2,FALSE),VLOOKUP(K$1,test!$A$3:$F$32,2,FALSE))&lt;test!$K$16,$A104&lt;&gt;K$1,Recharged_Feasible_mat!L73),(VLOOKUP(K$1,test!$A$3:$I$32,8,FALSE))-(VLOOKUP($A104,test!$A$3:$I$32,9,FALSE))+(test!$B$35-50),0)</f>
        <v>0</v>
      </c>
      <c r="L104">
        <f>IF(AND(SUM(VLOOKUP($A104,test!$A$3:$F$32,2,FALSE),VLOOKUP(L$1,test!$A$3:$F$32,2,FALSE))&lt;test!$K$16,$A104&lt;&gt;L$1,Recharged_Feasible_mat!M73),(VLOOKUP(L$1,test!$A$3:$I$32,8,FALSE))-(VLOOKUP($A104,test!$A$3:$I$32,9,FALSE))+(test!$B$35-50),0)</f>
        <v>0</v>
      </c>
      <c r="M104">
        <f>IF(AND(SUM(VLOOKUP($A104,test!$A$3:$F$32,2,FALSE),VLOOKUP(M$1,test!$A$3:$F$32,2,FALSE))&lt;test!$K$16,$A104&lt;&gt;M$1,Recharged_Feasible_mat!N73),(VLOOKUP(M$1,test!$A$3:$I$32,8,FALSE))-(VLOOKUP($A104,test!$A$3:$I$32,9,FALSE))+(test!$B$35-50),0)</f>
        <v>0</v>
      </c>
      <c r="N104">
        <f>IF(AND(SUM(VLOOKUP($A104,test!$A$3:$F$32,2,FALSE),VLOOKUP(N$1,test!$A$3:$F$32,2,FALSE))&lt;test!$K$16,$A104&lt;&gt;N$1,Recharged_Feasible_mat!O73),(VLOOKUP(N$1,test!$A$3:$I$32,8,FALSE))-(VLOOKUP($A104,test!$A$3:$I$32,9,FALSE))+(test!$B$35-50),0)</f>
        <v>460</v>
      </c>
      <c r="O104">
        <f>IF(AND(SUM(VLOOKUP($A104,test!$A$3:$F$32,2,FALSE),VLOOKUP(O$1,test!$A$3:$F$32,2,FALSE))&lt;test!$K$16,$A104&lt;&gt;O$1,Recharged_Feasible_mat!P73),(VLOOKUP(O$1,test!$A$3:$I$32,8,FALSE))-(VLOOKUP($A104,test!$A$3:$I$32,9,FALSE))+(test!$B$35-50),0)</f>
        <v>520</v>
      </c>
      <c r="P104">
        <f>IF(AND(SUM(VLOOKUP($A104,test!$A$3:$F$32,2,FALSE),VLOOKUP(P$1,test!$A$3:$F$32,2,FALSE))&lt;test!$K$16,$A104&lt;&gt;P$1,Recharged_Feasible_mat!Q73),(VLOOKUP(P$1,test!$A$3:$I$32,8,FALSE))-(VLOOKUP($A104,test!$A$3:$I$32,9,FALSE))+(test!$B$35-50),0)</f>
        <v>0</v>
      </c>
      <c r="Q104">
        <f>IF(AND(SUM(VLOOKUP($A104,test!$A$3:$F$32,2,FALSE),VLOOKUP(Q$1,test!$A$3:$F$32,2,FALSE))&lt;test!$K$16,$A104&lt;&gt;Q$1,Recharged_Feasible_mat!R73),(VLOOKUP(Q$1,test!$A$3:$I$32,8,FALSE))-(VLOOKUP($A104,test!$A$3:$I$32,9,FALSE))+(test!$B$35-50),0)</f>
        <v>0</v>
      </c>
      <c r="R104">
        <f>IF(AND(SUM(VLOOKUP($A104,test!$A$3:$F$32,2,FALSE),VLOOKUP(R$1,test!$A$3:$F$32,2,FALSE))&lt;test!$K$16,$A104&lt;&gt;R$1,Recharged_Feasible_mat!S73),(VLOOKUP(R$1,test!$A$3:$I$32,8,FALSE))-(VLOOKUP($A104,test!$A$3:$I$32,9,FALSE))+(test!$B$35-50),0)</f>
        <v>0</v>
      </c>
      <c r="S104">
        <f>IF(AND(SUM(VLOOKUP($A104,test!$A$3:$F$32,2,FALSE),VLOOKUP(S$1,test!$A$3:$F$32,2,FALSE))&lt;test!$K$16,$A104&lt;&gt;S$1,Recharged_Feasible_mat!T73),(VLOOKUP(S$1,test!$A$3:$I$32,8,FALSE))-(VLOOKUP($A104,test!$A$3:$I$32,9,FALSE))+(test!$B$35-50),0)</f>
        <v>0</v>
      </c>
      <c r="T104">
        <f>IF(AND(SUM(VLOOKUP($A104,test!$A$3:$F$32,2,FALSE),VLOOKUP(T$1,test!$A$3:$F$32,2,FALSE))&lt;test!$K$16,$A104&lt;&gt;T$1,Recharged_Feasible_mat!U73),(VLOOKUP(T$1,test!$A$3:$I$32,8,FALSE))-(VLOOKUP($A104,test!$A$3:$I$32,9,FALSE))+(test!$B$35-50),0)</f>
        <v>0</v>
      </c>
      <c r="U104">
        <f>IF(AND(SUM(VLOOKUP($A104,test!$A$3:$F$32,2,FALSE),VLOOKUP(U$1,test!$A$3:$F$32,2,FALSE))&lt;test!$K$16,$A104&lt;&gt;U$1,Recharged_Feasible_mat!V73),(VLOOKUP(U$1,test!$A$3:$I$32,8,FALSE))-(VLOOKUP($A104,test!$A$3:$I$32,9,FALSE))+(test!$B$35-50),0)</f>
        <v>205</v>
      </c>
      <c r="V104">
        <f>IF(AND(SUM(VLOOKUP($A104,test!$A$3:$F$32,2,FALSE),VLOOKUP(V$1,test!$A$3:$F$32,2,FALSE))&lt;test!$K$16,$A104&lt;&gt;V$1,Recharged_Feasible_mat!W73),(VLOOKUP(V$1,test!$A$3:$I$32,8,FALSE))-(VLOOKUP($A104,test!$A$3:$I$32,9,FALSE))+(test!$B$35-50),0)</f>
        <v>295</v>
      </c>
      <c r="W104">
        <f>IF(AND(SUM(VLOOKUP($A104,test!$A$3:$F$32,2,FALSE),VLOOKUP(W$1,test!$A$3:$F$32,2,FALSE))&lt;test!$K$16,$A104&lt;&gt;W$1,Recharged_Feasible_mat!X73),(VLOOKUP(W$1,test!$A$3:$I$32,8,FALSE))-(VLOOKUP($A104,test!$A$3:$I$32,9,FALSE))+(test!$B$35-50),0)</f>
        <v>385</v>
      </c>
      <c r="X104">
        <f>IF(AND(SUM(VLOOKUP($A104,test!$A$3:$F$32,2,FALSE),VLOOKUP(X$1,test!$A$3:$F$32,2,FALSE))&lt;test!$K$16,$A104&lt;&gt;X$1,Recharged_Feasible_mat!Y73),(VLOOKUP(X$1,test!$A$3:$I$32,8,FALSE))-(VLOOKUP($A104,test!$A$3:$I$32,9,FALSE))+(test!$B$35-50),0)</f>
        <v>445</v>
      </c>
      <c r="Y104">
        <f>IF(AND(SUM(VLOOKUP($A104,test!$A$3:$F$32,2,FALSE),VLOOKUP(Y$1,test!$A$3:$F$32,2,FALSE))&lt;test!$K$16,$A104&lt;&gt;Y$1,Recharged_Feasible_mat!Z73),(VLOOKUP(Y$1,test!$A$3:$I$32,8,FALSE))-(VLOOKUP($A104,test!$A$3:$I$32,9,FALSE))+(test!$B$35-50),0)</f>
        <v>0</v>
      </c>
      <c r="Z104">
        <f>IF(AND(SUM(VLOOKUP($A104,test!$A$3:$F$32,2,FALSE),VLOOKUP(Z$1,test!$A$3:$F$32,2,FALSE))&lt;test!$K$16,$A104&lt;&gt;Z$1,Recharged_Feasible_mat!AA73),(VLOOKUP(Z$1,test!$A$3:$I$32,8,FALSE))-(VLOOKUP($A104,test!$A$3:$I$32,9,FALSE))+(test!$B$35-50),0)</f>
        <v>0</v>
      </c>
      <c r="AA104">
        <f>IF(AND(SUM(VLOOKUP($A104,test!$A$3:$F$32,2,FALSE),VLOOKUP(AA$1,test!$A$3:$F$32,2,FALSE))&lt;test!$K$16,$A104&lt;&gt;AA$1,Recharged_Feasible_mat!AB73),(VLOOKUP(AA$1,test!$A$3:$I$32,8,FALSE))-(VLOOKUP($A104,test!$A$3:$I$32,9,FALSE))+(test!$B$35-50),0)</f>
        <v>0</v>
      </c>
      <c r="AB104">
        <f>IF(AND(SUM(VLOOKUP($A104,test!$A$3:$F$32,2,FALSE),VLOOKUP(AB$1,test!$A$3:$F$32,2,FALSE))&lt;test!$K$16,$A104&lt;&gt;AB$1,Recharged_Feasible_mat!AC73),(VLOOKUP(AB$1,test!$A$3:$I$32,8,FALSE))-(VLOOKUP($A104,test!$A$3:$I$32,9,FALSE))+(test!$B$35-50),0)</f>
        <v>225</v>
      </c>
      <c r="AC104">
        <f>IF(AND(SUM(VLOOKUP($A104,test!$A$3:$F$32,2,FALSE),VLOOKUP(AC$1,test!$A$3:$F$32,2,FALSE))&lt;test!$K$16,$A104&lt;&gt;AC$1,Recharged_Feasible_mat!AD73),(VLOOKUP(AC$1,test!$A$3:$I$32,8,FALSE))-(VLOOKUP($A104,test!$A$3:$I$32,9,FALSE))+(test!$B$35-50),0)</f>
        <v>345</v>
      </c>
      <c r="AD104">
        <f>IF(AND(SUM(VLOOKUP($A104,test!$A$3:$F$32,2,FALSE),VLOOKUP(AD$1,test!$A$3:$F$32,2,FALSE))&lt;test!$K$16,$A104&lt;&gt;AD$1,Recharged_Feasible_mat!AE73),(VLOOKUP(AD$1,test!$A$3:$I$32,8,FALSE))-(VLOOKUP($A104,test!$A$3:$I$32,9,FALSE))+(test!$B$35-50),0)</f>
        <v>0</v>
      </c>
      <c r="AE104">
        <f>IF(AND(SUM(VLOOKUP($A104,test!$A$3:$F$32,2,FALSE),VLOOKUP(AE$1,test!$A$3:$F$32,2,FALSE))&lt;test!$K$16,$A104&lt;&gt;AE$1,Recharged_Feasible_mat!AF73),(VLOOKUP(AE$1,test!$A$3:$I$32,8,FALSE))-(VLOOKUP($A104,test!$A$3:$I$32,9,FALSE))+(test!$B$35-50),0)</f>
        <v>0</v>
      </c>
      <c r="AF104">
        <f>IF(AND(SUM(VLOOKUP($A104,test!$A$3:$F$32,2,FALSE),VLOOKUP(AF$1,test!$A$3:$F$32,2,FALSE))&lt;test!$K$16,$A104&lt;&gt;AF$1,Recharged_Feasible_mat!AG73),(VLOOKUP(AF$1,test!$A$3:$I$32,8,FALSE))-(VLOOKUP($A104,test!$A$3:$I$32,9,FALSE))+(test!$B$35-50),0)</f>
        <v>0</v>
      </c>
    </row>
    <row r="105" spans="1:32" x14ac:dyDescent="0.25">
      <c r="A105" t="s">
        <v>20</v>
      </c>
      <c r="B105">
        <v>0</v>
      </c>
      <c r="C105">
        <f>IF(AND(SUM(VLOOKUP($A105,test!$A$3:$F$32,2,FALSE),VLOOKUP(C$1,test!$A$3:$F$32,2,FALSE))&lt;test!$K$16,$A105&lt;&gt;C$1,Recharged_Feasible_mat!D74),(VLOOKUP(C$1,test!$A$3:$I$32,8,FALSE))-(VLOOKUP($A105,test!$A$3:$I$32,9,FALSE))+(test!$B$35-50),0)</f>
        <v>0</v>
      </c>
      <c r="D105">
        <f>IF(AND(SUM(VLOOKUP($A105,test!$A$3:$F$32,2,FALSE),VLOOKUP(D$1,test!$A$3:$F$32,2,FALSE))&lt;test!$K$16,$A105&lt;&gt;D$1,Recharged_Feasible_mat!E74),(VLOOKUP(D$1,test!$A$3:$I$32,8,FALSE))-(VLOOKUP($A105,test!$A$3:$I$32,9,FALSE))+(test!$B$35-50),0)</f>
        <v>0</v>
      </c>
      <c r="E105">
        <f>IF(AND(SUM(VLOOKUP($A105,test!$A$3:$F$32,2,FALSE),VLOOKUP(E$1,test!$A$3:$F$32,2,FALSE))&lt;test!$K$16,$A105&lt;&gt;E$1,Recharged_Feasible_mat!F74),(VLOOKUP(E$1,test!$A$3:$I$32,8,FALSE))-(VLOOKUP($A105,test!$A$3:$I$32,9,FALSE))+(test!$B$35-50),0)</f>
        <v>0</v>
      </c>
      <c r="F105">
        <f>IF(AND(SUM(VLOOKUP($A105,test!$A$3:$F$32,2,FALSE),VLOOKUP(F$1,test!$A$3:$F$32,2,FALSE))&lt;test!$K$16,$A105&lt;&gt;F$1,Recharged_Feasible_mat!G74),(VLOOKUP(F$1,test!$A$3:$I$32,8,FALSE))-(VLOOKUP($A105,test!$A$3:$I$32,9,FALSE))+(test!$B$35-50),0)</f>
        <v>0</v>
      </c>
      <c r="G105">
        <f>IF(AND(SUM(VLOOKUP($A105,test!$A$3:$F$32,2,FALSE),VLOOKUP(G$1,test!$A$3:$F$32,2,FALSE))&lt;test!$K$16,$A105&lt;&gt;G$1,Recharged_Feasible_mat!H74),(VLOOKUP(G$1,test!$A$3:$I$32,8,FALSE))-(VLOOKUP($A105,test!$A$3:$I$32,9,FALSE))+(test!$B$35-50),0)</f>
        <v>0</v>
      </c>
      <c r="H105">
        <f>IF(AND(SUM(VLOOKUP($A105,test!$A$3:$F$32,2,FALSE),VLOOKUP(H$1,test!$A$3:$F$32,2,FALSE))&lt;test!$K$16,$A105&lt;&gt;H$1,Recharged_Feasible_mat!I74),(VLOOKUP(H$1,test!$A$3:$I$32,8,FALSE))-(VLOOKUP($A105,test!$A$3:$I$32,9,FALSE))+(test!$B$35-50),0)</f>
        <v>225</v>
      </c>
      <c r="I105">
        <f>IF(AND(SUM(VLOOKUP($A105,test!$A$3:$F$32,2,FALSE),VLOOKUP(I$1,test!$A$3:$F$32,2,FALSE))&lt;test!$K$16,$A105&lt;&gt;I$1,Recharged_Feasible_mat!J74),(VLOOKUP(I$1,test!$A$3:$I$32,8,FALSE))-(VLOOKUP($A105,test!$A$3:$I$32,9,FALSE))+(test!$B$35-50),0)</f>
        <v>285</v>
      </c>
      <c r="J105">
        <f>IF(AND(SUM(VLOOKUP($A105,test!$A$3:$F$32,2,FALSE),VLOOKUP(J$1,test!$A$3:$F$32,2,FALSE))&lt;test!$K$16,$A105&lt;&gt;J$1,Recharged_Feasible_mat!K74),(VLOOKUP(J$1,test!$A$3:$I$32,8,FALSE))-(VLOOKUP($A105,test!$A$3:$I$32,9,FALSE))+(test!$B$35-50),0)</f>
        <v>375</v>
      </c>
      <c r="K105">
        <f>IF(AND(SUM(VLOOKUP($A105,test!$A$3:$F$32,2,FALSE),VLOOKUP(K$1,test!$A$3:$F$32,2,FALSE))&lt;test!$K$16,$A105&lt;&gt;K$1,Recharged_Feasible_mat!L74),(VLOOKUP(K$1,test!$A$3:$I$32,8,FALSE))-(VLOOKUP($A105,test!$A$3:$I$32,9,FALSE))+(test!$B$35-50),0)</f>
        <v>0</v>
      </c>
      <c r="L105">
        <f>IF(AND(SUM(VLOOKUP($A105,test!$A$3:$F$32,2,FALSE),VLOOKUP(L$1,test!$A$3:$F$32,2,FALSE))&lt;test!$K$16,$A105&lt;&gt;L$1,Recharged_Feasible_mat!M74),(VLOOKUP(L$1,test!$A$3:$I$32,8,FALSE))-(VLOOKUP($A105,test!$A$3:$I$32,9,FALSE))+(test!$B$35-50),0)</f>
        <v>0</v>
      </c>
      <c r="M105">
        <f>IF(AND(SUM(VLOOKUP($A105,test!$A$3:$F$32,2,FALSE),VLOOKUP(M$1,test!$A$3:$F$32,2,FALSE))&lt;test!$K$16,$A105&lt;&gt;M$1,Recharged_Feasible_mat!N74),(VLOOKUP(M$1,test!$A$3:$I$32,8,FALSE))-(VLOOKUP($A105,test!$A$3:$I$32,9,FALSE))+(test!$B$35-50),0)</f>
        <v>0</v>
      </c>
      <c r="N105">
        <f>IF(AND(SUM(VLOOKUP($A105,test!$A$3:$F$32,2,FALSE),VLOOKUP(N$1,test!$A$3:$F$32,2,FALSE))&lt;test!$K$16,$A105&lt;&gt;N$1,Recharged_Feasible_mat!O74),(VLOOKUP(N$1,test!$A$3:$I$32,8,FALSE))-(VLOOKUP($A105,test!$A$3:$I$32,9,FALSE))+(test!$B$35-50),0)</f>
        <v>340</v>
      </c>
      <c r="O105">
        <f>IF(AND(SUM(VLOOKUP($A105,test!$A$3:$F$32,2,FALSE),VLOOKUP(O$1,test!$A$3:$F$32,2,FALSE))&lt;test!$K$16,$A105&lt;&gt;O$1,Recharged_Feasible_mat!P74),(VLOOKUP(O$1,test!$A$3:$I$32,8,FALSE))-(VLOOKUP($A105,test!$A$3:$I$32,9,FALSE))+(test!$B$35-50),0)</f>
        <v>400</v>
      </c>
      <c r="P105">
        <f>IF(AND(SUM(VLOOKUP($A105,test!$A$3:$F$32,2,FALSE),VLOOKUP(P$1,test!$A$3:$F$32,2,FALSE))&lt;test!$K$16,$A105&lt;&gt;P$1,Recharged_Feasible_mat!Q74),(VLOOKUP(P$1,test!$A$3:$I$32,8,FALSE))-(VLOOKUP($A105,test!$A$3:$I$32,9,FALSE))+(test!$B$35-50),0)</f>
        <v>0</v>
      </c>
      <c r="Q105">
        <f>IF(AND(SUM(VLOOKUP($A105,test!$A$3:$F$32,2,FALSE),VLOOKUP(Q$1,test!$A$3:$F$32,2,FALSE))&lt;test!$K$16,$A105&lt;&gt;Q$1,Recharged_Feasible_mat!R74),(VLOOKUP(Q$1,test!$A$3:$I$32,8,FALSE))-(VLOOKUP($A105,test!$A$3:$I$32,9,FALSE))+(test!$B$35-50),0)</f>
        <v>0</v>
      </c>
      <c r="R105">
        <f>IF(AND(SUM(VLOOKUP($A105,test!$A$3:$F$32,2,FALSE),VLOOKUP(R$1,test!$A$3:$F$32,2,FALSE))&lt;test!$K$16,$A105&lt;&gt;R$1,Recharged_Feasible_mat!S74),(VLOOKUP(R$1,test!$A$3:$I$32,8,FALSE))-(VLOOKUP($A105,test!$A$3:$I$32,9,FALSE))+(test!$B$35-50),0)</f>
        <v>0</v>
      </c>
      <c r="S105">
        <f>IF(AND(SUM(VLOOKUP($A105,test!$A$3:$F$32,2,FALSE),VLOOKUP(S$1,test!$A$3:$F$32,2,FALSE))&lt;test!$K$16,$A105&lt;&gt;S$1,Recharged_Feasible_mat!T74),(VLOOKUP(S$1,test!$A$3:$I$32,8,FALSE))-(VLOOKUP($A105,test!$A$3:$I$32,9,FALSE))+(test!$B$35-50),0)</f>
        <v>0</v>
      </c>
      <c r="T105">
        <f>IF(AND(SUM(VLOOKUP($A105,test!$A$3:$F$32,2,FALSE),VLOOKUP(T$1,test!$A$3:$F$32,2,FALSE))&lt;test!$K$16,$A105&lt;&gt;T$1,Recharged_Feasible_mat!U74),(VLOOKUP(T$1,test!$A$3:$I$32,8,FALSE))-(VLOOKUP($A105,test!$A$3:$I$32,9,FALSE))+(test!$B$35-50),0)</f>
        <v>0</v>
      </c>
      <c r="U105">
        <f>IF(AND(SUM(VLOOKUP($A105,test!$A$3:$F$32,2,FALSE),VLOOKUP(U$1,test!$A$3:$F$32,2,FALSE))&lt;test!$K$16,$A105&lt;&gt;U$1,Recharged_Feasible_mat!V74),(VLOOKUP(U$1,test!$A$3:$I$32,8,FALSE))-(VLOOKUP($A105,test!$A$3:$I$32,9,FALSE))+(test!$B$35-50),0)</f>
        <v>0</v>
      </c>
      <c r="V105">
        <f>IF(AND(SUM(VLOOKUP($A105,test!$A$3:$F$32,2,FALSE),VLOOKUP(V$1,test!$A$3:$F$32,2,FALSE))&lt;test!$K$16,$A105&lt;&gt;V$1,Recharged_Feasible_mat!W74),(VLOOKUP(V$1,test!$A$3:$I$32,8,FALSE))-(VLOOKUP($A105,test!$A$3:$I$32,9,FALSE))+(test!$B$35-50),0)</f>
        <v>0</v>
      </c>
      <c r="W105">
        <f>IF(AND(SUM(VLOOKUP($A105,test!$A$3:$F$32,2,FALSE),VLOOKUP(W$1,test!$A$3:$F$32,2,FALSE))&lt;test!$K$16,$A105&lt;&gt;W$1,Recharged_Feasible_mat!X74),(VLOOKUP(W$1,test!$A$3:$I$32,8,FALSE))-(VLOOKUP($A105,test!$A$3:$I$32,9,FALSE))+(test!$B$35-50),0)</f>
        <v>265</v>
      </c>
      <c r="X105">
        <f>IF(AND(SUM(VLOOKUP($A105,test!$A$3:$F$32,2,FALSE),VLOOKUP(X$1,test!$A$3:$F$32,2,FALSE))&lt;test!$K$16,$A105&lt;&gt;X$1,Recharged_Feasible_mat!Y74),(VLOOKUP(X$1,test!$A$3:$I$32,8,FALSE))-(VLOOKUP($A105,test!$A$3:$I$32,9,FALSE))+(test!$B$35-50),0)</f>
        <v>325</v>
      </c>
      <c r="Y105">
        <f>IF(AND(SUM(VLOOKUP($A105,test!$A$3:$F$32,2,FALSE),VLOOKUP(Y$1,test!$A$3:$F$32,2,FALSE))&lt;test!$K$16,$A105&lt;&gt;Y$1,Recharged_Feasible_mat!Z74),(VLOOKUP(Y$1,test!$A$3:$I$32,8,FALSE))-(VLOOKUP($A105,test!$A$3:$I$32,9,FALSE))+(test!$B$35-50),0)</f>
        <v>0</v>
      </c>
      <c r="Z105">
        <f>IF(AND(SUM(VLOOKUP($A105,test!$A$3:$F$32,2,FALSE),VLOOKUP(Z$1,test!$A$3:$F$32,2,FALSE))&lt;test!$K$16,$A105&lt;&gt;Z$1,Recharged_Feasible_mat!AA74),(VLOOKUP(Z$1,test!$A$3:$I$32,8,FALSE))-(VLOOKUP($A105,test!$A$3:$I$32,9,FALSE))+(test!$B$35-50),0)</f>
        <v>0</v>
      </c>
      <c r="AA105">
        <f>IF(AND(SUM(VLOOKUP($A105,test!$A$3:$F$32,2,FALSE),VLOOKUP(AA$1,test!$A$3:$F$32,2,FALSE))&lt;test!$K$16,$A105&lt;&gt;AA$1,Recharged_Feasible_mat!AB74),(VLOOKUP(AA$1,test!$A$3:$I$32,8,FALSE))-(VLOOKUP($A105,test!$A$3:$I$32,9,FALSE))+(test!$B$35-50),0)</f>
        <v>0</v>
      </c>
      <c r="AB105">
        <f>IF(AND(SUM(VLOOKUP($A105,test!$A$3:$F$32,2,FALSE),VLOOKUP(AB$1,test!$A$3:$F$32,2,FALSE))&lt;test!$K$16,$A105&lt;&gt;AB$1,Recharged_Feasible_mat!AC74),(VLOOKUP(AB$1,test!$A$3:$I$32,8,FALSE))-(VLOOKUP($A105,test!$A$3:$I$32,9,FALSE))+(test!$B$35-50),0)</f>
        <v>0</v>
      </c>
      <c r="AC105">
        <f>IF(AND(SUM(VLOOKUP($A105,test!$A$3:$F$32,2,FALSE),VLOOKUP(AC$1,test!$A$3:$F$32,2,FALSE))&lt;test!$K$16,$A105&lt;&gt;AC$1,Recharged_Feasible_mat!AD74),(VLOOKUP(AC$1,test!$A$3:$I$32,8,FALSE))-(VLOOKUP($A105,test!$A$3:$I$32,9,FALSE))+(test!$B$35-50),0)</f>
        <v>225</v>
      </c>
      <c r="AD105">
        <f>IF(AND(SUM(VLOOKUP($A105,test!$A$3:$F$32,2,FALSE),VLOOKUP(AD$1,test!$A$3:$F$32,2,FALSE))&lt;test!$K$16,$A105&lt;&gt;AD$1,Recharged_Feasible_mat!AE74),(VLOOKUP(AD$1,test!$A$3:$I$32,8,FALSE))-(VLOOKUP($A105,test!$A$3:$I$32,9,FALSE))+(test!$B$35-50),0)</f>
        <v>0</v>
      </c>
      <c r="AE105">
        <f>IF(AND(SUM(VLOOKUP($A105,test!$A$3:$F$32,2,FALSE),VLOOKUP(AE$1,test!$A$3:$F$32,2,FALSE))&lt;test!$K$16,$A105&lt;&gt;AE$1,Recharged_Feasible_mat!AF74),(VLOOKUP(AE$1,test!$A$3:$I$32,8,FALSE))-(VLOOKUP($A105,test!$A$3:$I$32,9,FALSE))+(test!$B$35-50),0)</f>
        <v>0</v>
      </c>
      <c r="AF105">
        <f>IF(AND(SUM(VLOOKUP($A105,test!$A$3:$F$32,2,FALSE),VLOOKUP(AF$1,test!$A$3:$F$32,2,FALSE))&lt;test!$K$16,$A105&lt;&gt;AF$1,Recharged_Feasible_mat!AG74),(VLOOKUP(AF$1,test!$A$3:$I$32,8,FALSE))-(VLOOKUP($A105,test!$A$3:$I$32,9,FALSE))+(test!$B$35-50),0)</f>
        <v>0</v>
      </c>
    </row>
    <row r="106" spans="1:32" x14ac:dyDescent="0.25">
      <c r="A106" t="s">
        <v>21</v>
      </c>
      <c r="B106">
        <v>0</v>
      </c>
      <c r="C106">
        <f>IF(AND(SUM(VLOOKUP($A106,test!$A$3:$F$32,2,FALSE),VLOOKUP(C$1,test!$A$3:$F$32,2,FALSE))&lt;test!$K$16,$A106&lt;&gt;C$1,Recharged_Feasible_mat!D75),(VLOOKUP(C$1,test!$A$3:$I$32,8,FALSE))-(VLOOKUP($A106,test!$A$3:$I$32,9,FALSE))+(test!$B$35-50),0)</f>
        <v>0</v>
      </c>
      <c r="D106">
        <f>IF(AND(SUM(VLOOKUP($A106,test!$A$3:$F$32,2,FALSE),VLOOKUP(D$1,test!$A$3:$F$32,2,FALSE))&lt;test!$K$16,$A106&lt;&gt;D$1,Recharged_Feasible_mat!E75),(VLOOKUP(D$1,test!$A$3:$I$32,8,FALSE))-(VLOOKUP($A106,test!$A$3:$I$32,9,FALSE))+(test!$B$35-50),0)</f>
        <v>0</v>
      </c>
      <c r="E106">
        <f>IF(AND(SUM(VLOOKUP($A106,test!$A$3:$F$32,2,FALSE),VLOOKUP(E$1,test!$A$3:$F$32,2,FALSE))&lt;test!$K$16,$A106&lt;&gt;E$1,Recharged_Feasible_mat!F75),(VLOOKUP(E$1,test!$A$3:$I$32,8,FALSE))-(VLOOKUP($A106,test!$A$3:$I$32,9,FALSE))+(test!$B$35-50),0)</f>
        <v>0</v>
      </c>
      <c r="F106">
        <f>IF(AND(SUM(VLOOKUP($A106,test!$A$3:$F$32,2,FALSE),VLOOKUP(F$1,test!$A$3:$F$32,2,FALSE))&lt;test!$K$16,$A106&lt;&gt;F$1,Recharged_Feasible_mat!G75),(VLOOKUP(F$1,test!$A$3:$I$32,8,FALSE))-(VLOOKUP($A106,test!$A$3:$I$32,9,FALSE))+(test!$B$35-50),0)</f>
        <v>0</v>
      </c>
      <c r="G106">
        <f>IF(AND(SUM(VLOOKUP($A106,test!$A$3:$F$32,2,FALSE),VLOOKUP(G$1,test!$A$3:$F$32,2,FALSE))&lt;test!$K$16,$A106&lt;&gt;G$1,Recharged_Feasible_mat!H75),(VLOOKUP(G$1,test!$A$3:$I$32,8,FALSE))-(VLOOKUP($A106,test!$A$3:$I$32,9,FALSE))+(test!$B$35-50),0)</f>
        <v>0</v>
      </c>
      <c r="H106">
        <f>IF(AND(SUM(VLOOKUP($A106,test!$A$3:$F$32,2,FALSE),VLOOKUP(H$1,test!$A$3:$F$32,2,FALSE))&lt;test!$K$16,$A106&lt;&gt;H$1,Recharged_Feasible_mat!I75),(VLOOKUP(H$1,test!$A$3:$I$32,8,FALSE))-(VLOOKUP($A106,test!$A$3:$I$32,9,FALSE))+(test!$B$35-50),0)</f>
        <v>0</v>
      </c>
      <c r="I106">
        <f>IF(AND(SUM(VLOOKUP($A106,test!$A$3:$F$32,2,FALSE),VLOOKUP(I$1,test!$A$3:$F$32,2,FALSE))&lt;test!$K$16,$A106&lt;&gt;I$1,Recharged_Feasible_mat!J75),(VLOOKUP(I$1,test!$A$3:$I$32,8,FALSE))-(VLOOKUP($A106,test!$A$3:$I$32,9,FALSE))+(test!$B$35-50),0)</f>
        <v>0</v>
      </c>
      <c r="J106">
        <f>IF(AND(SUM(VLOOKUP($A106,test!$A$3:$F$32,2,FALSE),VLOOKUP(J$1,test!$A$3:$F$32,2,FALSE))&lt;test!$K$16,$A106&lt;&gt;J$1,Recharged_Feasible_mat!K75),(VLOOKUP(J$1,test!$A$3:$I$32,8,FALSE))-(VLOOKUP($A106,test!$A$3:$I$32,9,FALSE))+(test!$B$35-50),0)</f>
        <v>255</v>
      </c>
      <c r="K106">
        <f>IF(AND(SUM(VLOOKUP($A106,test!$A$3:$F$32,2,FALSE),VLOOKUP(K$1,test!$A$3:$F$32,2,FALSE))&lt;test!$K$16,$A106&lt;&gt;K$1,Recharged_Feasible_mat!L75),(VLOOKUP(K$1,test!$A$3:$I$32,8,FALSE))-(VLOOKUP($A106,test!$A$3:$I$32,9,FALSE))+(test!$B$35-50),0)</f>
        <v>0</v>
      </c>
      <c r="L106">
        <f>IF(AND(SUM(VLOOKUP($A106,test!$A$3:$F$32,2,FALSE),VLOOKUP(L$1,test!$A$3:$F$32,2,FALSE))&lt;test!$K$16,$A106&lt;&gt;L$1,Recharged_Feasible_mat!M75),(VLOOKUP(L$1,test!$A$3:$I$32,8,FALSE))-(VLOOKUP($A106,test!$A$3:$I$32,9,FALSE))+(test!$B$35-50),0)</f>
        <v>0</v>
      </c>
      <c r="M106">
        <f>IF(AND(SUM(VLOOKUP($A106,test!$A$3:$F$32,2,FALSE),VLOOKUP(M$1,test!$A$3:$F$32,2,FALSE))&lt;test!$K$16,$A106&lt;&gt;M$1,Recharged_Feasible_mat!N75),(VLOOKUP(M$1,test!$A$3:$I$32,8,FALSE))-(VLOOKUP($A106,test!$A$3:$I$32,9,FALSE))+(test!$B$35-50),0)</f>
        <v>0</v>
      </c>
      <c r="N106">
        <f>IF(AND(SUM(VLOOKUP($A106,test!$A$3:$F$32,2,FALSE),VLOOKUP(N$1,test!$A$3:$F$32,2,FALSE))&lt;test!$K$16,$A106&lt;&gt;N$1,Recharged_Feasible_mat!O75),(VLOOKUP(N$1,test!$A$3:$I$32,8,FALSE))-(VLOOKUP($A106,test!$A$3:$I$32,9,FALSE))+(test!$B$35-50),0)</f>
        <v>220</v>
      </c>
      <c r="O106">
        <f>IF(AND(SUM(VLOOKUP($A106,test!$A$3:$F$32,2,FALSE),VLOOKUP(O$1,test!$A$3:$F$32,2,FALSE))&lt;test!$K$16,$A106&lt;&gt;O$1,Recharged_Feasible_mat!P75),(VLOOKUP(O$1,test!$A$3:$I$32,8,FALSE))-(VLOOKUP($A106,test!$A$3:$I$32,9,FALSE))+(test!$B$35-50),0)</f>
        <v>280</v>
      </c>
      <c r="P106">
        <f>IF(AND(SUM(VLOOKUP($A106,test!$A$3:$F$32,2,FALSE),VLOOKUP(P$1,test!$A$3:$F$32,2,FALSE))&lt;test!$K$16,$A106&lt;&gt;P$1,Recharged_Feasible_mat!Q75),(VLOOKUP(P$1,test!$A$3:$I$32,8,FALSE))-(VLOOKUP($A106,test!$A$3:$I$32,9,FALSE))+(test!$B$35-50),0)</f>
        <v>0</v>
      </c>
      <c r="Q106">
        <f>IF(AND(SUM(VLOOKUP($A106,test!$A$3:$F$32,2,FALSE),VLOOKUP(Q$1,test!$A$3:$F$32,2,FALSE))&lt;test!$K$16,$A106&lt;&gt;Q$1,Recharged_Feasible_mat!R75),(VLOOKUP(Q$1,test!$A$3:$I$32,8,FALSE))-(VLOOKUP($A106,test!$A$3:$I$32,9,FALSE))+(test!$B$35-50),0)</f>
        <v>0</v>
      </c>
      <c r="R106">
        <f>IF(AND(SUM(VLOOKUP($A106,test!$A$3:$F$32,2,FALSE),VLOOKUP(R$1,test!$A$3:$F$32,2,FALSE))&lt;test!$K$16,$A106&lt;&gt;R$1,Recharged_Feasible_mat!S75),(VLOOKUP(R$1,test!$A$3:$I$32,8,FALSE))-(VLOOKUP($A106,test!$A$3:$I$32,9,FALSE))+(test!$B$35-50),0)</f>
        <v>0</v>
      </c>
      <c r="S106">
        <f>IF(AND(SUM(VLOOKUP($A106,test!$A$3:$F$32,2,FALSE),VLOOKUP(S$1,test!$A$3:$F$32,2,FALSE))&lt;test!$K$16,$A106&lt;&gt;S$1,Recharged_Feasible_mat!T75),(VLOOKUP(S$1,test!$A$3:$I$32,8,FALSE))-(VLOOKUP($A106,test!$A$3:$I$32,9,FALSE))+(test!$B$35-50),0)</f>
        <v>0</v>
      </c>
      <c r="T106">
        <f>IF(AND(SUM(VLOOKUP($A106,test!$A$3:$F$32,2,FALSE),VLOOKUP(T$1,test!$A$3:$F$32,2,FALSE))&lt;test!$K$16,$A106&lt;&gt;T$1,Recharged_Feasible_mat!U75),(VLOOKUP(T$1,test!$A$3:$I$32,8,FALSE))-(VLOOKUP($A106,test!$A$3:$I$32,9,FALSE))+(test!$B$35-50),0)</f>
        <v>0</v>
      </c>
      <c r="U106">
        <f>IF(AND(SUM(VLOOKUP($A106,test!$A$3:$F$32,2,FALSE),VLOOKUP(U$1,test!$A$3:$F$32,2,FALSE))&lt;test!$K$16,$A106&lt;&gt;U$1,Recharged_Feasible_mat!V75),(VLOOKUP(U$1,test!$A$3:$I$32,8,FALSE))-(VLOOKUP($A106,test!$A$3:$I$32,9,FALSE))+(test!$B$35-50),0)</f>
        <v>0</v>
      </c>
      <c r="V106">
        <f>IF(AND(SUM(VLOOKUP($A106,test!$A$3:$F$32,2,FALSE),VLOOKUP(V$1,test!$A$3:$F$32,2,FALSE))&lt;test!$K$16,$A106&lt;&gt;V$1,Recharged_Feasible_mat!W75),(VLOOKUP(V$1,test!$A$3:$I$32,8,FALSE))-(VLOOKUP($A106,test!$A$3:$I$32,9,FALSE))+(test!$B$35-50),0)</f>
        <v>0</v>
      </c>
      <c r="W106">
        <f>IF(AND(SUM(VLOOKUP($A106,test!$A$3:$F$32,2,FALSE),VLOOKUP(W$1,test!$A$3:$F$32,2,FALSE))&lt;test!$K$16,$A106&lt;&gt;W$1,Recharged_Feasible_mat!X75),(VLOOKUP(W$1,test!$A$3:$I$32,8,FALSE))-(VLOOKUP($A106,test!$A$3:$I$32,9,FALSE))+(test!$B$35-50),0)</f>
        <v>0</v>
      </c>
      <c r="X106">
        <f>IF(AND(SUM(VLOOKUP($A106,test!$A$3:$F$32,2,FALSE),VLOOKUP(X$1,test!$A$3:$F$32,2,FALSE))&lt;test!$K$16,$A106&lt;&gt;X$1,Recharged_Feasible_mat!Y75),(VLOOKUP(X$1,test!$A$3:$I$32,8,FALSE))-(VLOOKUP($A106,test!$A$3:$I$32,9,FALSE))+(test!$B$35-50),0)</f>
        <v>205</v>
      </c>
      <c r="Y106">
        <f>IF(AND(SUM(VLOOKUP($A106,test!$A$3:$F$32,2,FALSE),VLOOKUP(Y$1,test!$A$3:$F$32,2,FALSE))&lt;test!$K$16,$A106&lt;&gt;Y$1,Recharged_Feasible_mat!Z75),(VLOOKUP(Y$1,test!$A$3:$I$32,8,FALSE))-(VLOOKUP($A106,test!$A$3:$I$32,9,FALSE))+(test!$B$35-50),0)</f>
        <v>0</v>
      </c>
      <c r="Z106">
        <f>IF(AND(SUM(VLOOKUP($A106,test!$A$3:$F$32,2,FALSE),VLOOKUP(Z$1,test!$A$3:$F$32,2,FALSE))&lt;test!$K$16,$A106&lt;&gt;Z$1,Recharged_Feasible_mat!AA75),(VLOOKUP(Z$1,test!$A$3:$I$32,8,FALSE))-(VLOOKUP($A106,test!$A$3:$I$32,9,FALSE))+(test!$B$35-50),0)</f>
        <v>0</v>
      </c>
      <c r="AA106">
        <f>IF(AND(SUM(VLOOKUP($A106,test!$A$3:$F$32,2,FALSE),VLOOKUP(AA$1,test!$A$3:$F$32,2,FALSE))&lt;test!$K$16,$A106&lt;&gt;AA$1,Recharged_Feasible_mat!AB75),(VLOOKUP(AA$1,test!$A$3:$I$32,8,FALSE))-(VLOOKUP($A106,test!$A$3:$I$32,9,FALSE))+(test!$B$35-50),0)</f>
        <v>0</v>
      </c>
      <c r="AB106">
        <f>IF(AND(SUM(VLOOKUP($A106,test!$A$3:$F$32,2,FALSE),VLOOKUP(AB$1,test!$A$3:$F$32,2,FALSE))&lt;test!$K$16,$A106&lt;&gt;AB$1,Recharged_Feasible_mat!AC75),(VLOOKUP(AB$1,test!$A$3:$I$32,8,FALSE))-(VLOOKUP($A106,test!$A$3:$I$32,9,FALSE))+(test!$B$35-50),0)</f>
        <v>0</v>
      </c>
      <c r="AC106">
        <f>IF(AND(SUM(VLOOKUP($A106,test!$A$3:$F$32,2,FALSE),VLOOKUP(AC$1,test!$A$3:$F$32,2,FALSE))&lt;test!$K$16,$A106&lt;&gt;AC$1,Recharged_Feasible_mat!AD75),(VLOOKUP(AC$1,test!$A$3:$I$32,8,FALSE))-(VLOOKUP($A106,test!$A$3:$I$32,9,FALSE))+(test!$B$35-50),0)</f>
        <v>0</v>
      </c>
      <c r="AD106">
        <f>IF(AND(SUM(VLOOKUP($A106,test!$A$3:$F$32,2,FALSE),VLOOKUP(AD$1,test!$A$3:$F$32,2,FALSE))&lt;test!$K$16,$A106&lt;&gt;AD$1,Recharged_Feasible_mat!AE75),(VLOOKUP(AD$1,test!$A$3:$I$32,8,FALSE))-(VLOOKUP($A106,test!$A$3:$I$32,9,FALSE))+(test!$B$35-50),0)</f>
        <v>0</v>
      </c>
      <c r="AE106">
        <f>IF(AND(SUM(VLOOKUP($A106,test!$A$3:$F$32,2,FALSE),VLOOKUP(AE$1,test!$A$3:$F$32,2,FALSE))&lt;test!$K$16,$A106&lt;&gt;AE$1,Recharged_Feasible_mat!AF75),(VLOOKUP(AE$1,test!$A$3:$I$32,8,FALSE))-(VLOOKUP($A106,test!$A$3:$I$32,9,FALSE))+(test!$B$35-50),0)</f>
        <v>0</v>
      </c>
      <c r="AF106">
        <f>IF(AND(SUM(VLOOKUP($A106,test!$A$3:$F$32,2,FALSE),VLOOKUP(AF$1,test!$A$3:$F$32,2,FALSE))&lt;test!$K$16,$A106&lt;&gt;AF$1,Recharged_Feasible_mat!AG75),(VLOOKUP(AF$1,test!$A$3:$I$32,8,FALSE))-(VLOOKUP($A106,test!$A$3:$I$32,9,FALSE))+(test!$B$35-50),0)</f>
        <v>0</v>
      </c>
    </row>
    <row r="107" spans="1:32" x14ac:dyDescent="0.25">
      <c r="A107" t="s">
        <v>22</v>
      </c>
      <c r="B107">
        <v>0</v>
      </c>
      <c r="C107">
        <f>IF(AND(SUM(VLOOKUP($A107,test!$A$3:$F$32,2,FALSE),VLOOKUP(C$1,test!$A$3:$F$32,2,FALSE))&lt;test!$K$16,$A107&lt;&gt;C$1,Recharged_Feasible_mat!D76),(VLOOKUP(C$1,test!$A$3:$I$32,8,FALSE))-(VLOOKUP($A107,test!$A$3:$I$32,9,FALSE))+(test!$B$35-50),0)</f>
        <v>0</v>
      </c>
      <c r="D107">
        <f>IF(AND(SUM(VLOOKUP($A107,test!$A$3:$F$32,2,FALSE),VLOOKUP(D$1,test!$A$3:$F$32,2,FALSE))&lt;test!$K$16,$A107&lt;&gt;D$1,Recharged_Feasible_mat!E76),(VLOOKUP(D$1,test!$A$3:$I$32,8,FALSE))-(VLOOKUP($A107,test!$A$3:$I$32,9,FALSE))+(test!$B$35-50),0)</f>
        <v>0</v>
      </c>
      <c r="E107">
        <f>IF(AND(SUM(VLOOKUP($A107,test!$A$3:$F$32,2,FALSE),VLOOKUP(E$1,test!$A$3:$F$32,2,FALSE))&lt;test!$K$16,$A107&lt;&gt;E$1,Recharged_Feasible_mat!F76),(VLOOKUP(E$1,test!$A$3:$I$32,8,FALSE))-(VLOOKUP($A107,test!$A$3:$I$32,9,FALSE))+(test!$B$35-50),0)</f>
        <v>0</v>
      </c>
      <c r="F107">
        <f>IF(AND(SUM(VLOOKUP($A107,test!$A$3:$F$32,2,FALSE),VLOOKUP(F$1,test!$A$3:$F$32,2,FALSE))&lt;test!$K$16,$A107&lt;&gt;F$1,Recharged_Feasible_mat!G76),(VLOOKUP(F$1,test!$A$3:$I$32,8,FALSE))-(VLOOKUP($A107,test!$A$3:$I$32,9,FALSE))+(test!$B$35-50),0)</f>
        <v>0</v>
      </c>
      <c r="G107">
        <f>IF(AND(SUM(VLOOKUP($A107,test!$A$3:$F$32,2,FALSE),VLOOKUP(G$1,test!$A$3:$F$32,2,FALSE))&lt;test!$K$16,$A107&lt;&gt;G$1,Recharged_Feasible_mat!H76),(VLOOKUP(G$1,test!$A$3:$I$32,8,FALSE))-(VLOOKUP($A107,test!$A$3:$I$32,9,FALSE))+(test!$B$35-50),0)</f>
        <v>0</v>
      </c>
      <c r="H107">
        <f>IF(AND(SUM(VLOOKUP($A107,test!$A$3:$F$32,2,FALSE),VLOOKUP(H$1,test!$A$3:$F$32,2,FALSE))&lt;test!$K$16,$A107&lt;&gt;H$1,Recharged_Feasible_mat!I76),(VLOOKUP(H$1,test!$A$3:$I$32,8,FALSE))-(VLOOKUP($A107,test!$A$3:$I$32,9,FALSE))+(test!$B$35-50),0)</f>
        <v>0</v>
      </c>
      <c r="I107">
        <f>IF(AND(SUM(VLOOKUP($A107,test!$A$3:$F$32,2,FALSE),VLOOKUP(I$1,test!$A$3:$F$32,2,FALSE))&lt;test!$K$16,$A107&lt;&gt;I$1,Recharged_Feasible_mat!J76),(VLOOKUP(I$1,test!$A$3:$I$32,8,FALSE))-(VLOOKUP($A107,test!$A$3:$I$32,9,FALSE))+(test!$B$35-50),0)</f>
        <v>0</v>
      </c>
      <c r="J107">
        <f>IF(AND(SUM(VLOOKUP($A107,test!$A$3:$F$32,2,FALSE),VLOOKUP(J$1,test!$A$3:$F$32,2,FALSE))&lt;test!$K$16,$A107&lt;&gt;J$1,Recharged_Feasible_mat!K76),(VLOOKUP(J$1,test!$A$3:$I$32,8,FALSE))-(VLOOKUP($A107,test!$A$3:$I$32,9,FALSE))+(test!$B$35-50),0)</f>
        <v>0</v>
      </c>
      <c r="K107">
        <f>IF(AND(SUM(VLOOKUP($A107,test!$A$3:$F$32,2,FALSE),VLOOKUP(K$1,test!$A$3:$F$32,2,FALSE))&lt;test!$K$16,$A107&lt;&gt;K$1,Recharged_Feasible_mat!L76),(VLOOKUP(K$1,test!$A$3:$I$32,8,FALSE))-(VLOOKUP($A107,test!$A$3:$I$32,9,FALSE))+(test!$B$35-50),0)</f>
        <v>0</v>
      </c>
      <c r="L107">
        <f>IF(AND(SUM(VLOOKUP($A107,test!$A$3:$F$32,2,FALSE),VLOOKUP(L$1,test!$A$3:$F$32,2,FALSE))&lt;test!$K$16,$A107&lt;&gt;L$1,Recharged_Feasible_mat!M76),(VLOOKUP(L$1,test!$A$3:$I$32,8,FALSE))-(VLOOKUP($A107,test!$A$3:$I$32,9,FALSE))+(test!$B$35-50),0)</f>
        <v>0</v>
      </c>
      <c r="M107">
        <f>IF(AND(SUM(VLOOKUP($A107,test!$A$3:$F$32,2,FALSE),VLOOKUP(M$1,test!$A$3:$F$32,2,FALSE))&lt;test!$K$16,$A107&lt;&gt;M$1,Recharged_Feasible_mat!N76),(VLOOKUP(M$1,test!$A$3:$I$32,8,FALSE))-(VLOOKUP($A107,test!$A$3:$I$32,9,FALSE))+(test!$B$35-50),0)</f>
        <v>0</v>
      </c>
      <c r="N107">
        <f>IF(AND(SUM(VLOOKUP($A107,test!$A$3:$F$32,2,FALSE),VLOOKUP(N$1,test!$A$3:$F$32,2,FALSE))&lt;test!$K$16,$A107&lt;&gt;N$1,Recharged_Feasible_mat!O76),(VLOOKUP(N$1,test!$A$3:$I$32,8,FALSE))-(VLOOKUP($A107,test!$A$3:$I$32,9,FALSE))+(test!$B$35-50),0)</f>
        <v>0</v>
      </c>
      <c r="O107">
        <f>IF(AND(SUM(VLOOKUP($A107,test!$A$3:$F$32,2,FALSE),VLOOKUP(O$1,test!$A$3:$F$32,2,FALSE))&lt;test!$K$16,$A107&lt;&gt;O$1,Recharged_Feasible_mat!P76),(VLOOKUP(O$1,test!$A$3:$I$32,8,FALSE))-(VLOOKUP($A107,test!$A$3:$I$32,9,FALSE))+(test!$B$35-50),0)</f>
        <v>0</v>
      </c>
      <c r="P107">
        <f>IF(AND(SUM(VLOOKUP($A107,test!$A$3:$F$32,2,FALSE),VLOOKUP(P$1,test!$A$3:$F$32,2,FALSE))&lt;test!$K$16,$A107&lt;&gt;P$1,Recharged_Feasible_mat!Q76),(VLOOKUP(P$1,test!$A$3:$I$32,8,FALSE))-(VLOOKUP($A107,test!$A$3:$I$32,9,FALSE))+(test!$B$35-50),0)</f>
        <v>0</v>
      </c>
      <c r="Q107">
        <f>IF(AND(SUM(VLOOKUP($A107,test!$A$3:$F$32,2,FALSE),VLOOKUP(Q$1,test!$A$3:$F$32,2,FALSE))&lt;test!$K$16,$A107&lt;&gt;Q$1,Recharged_Feasible_mat!R76),(VLOOKUP(Q$1,test!$A$3:$I$32,8,FALSE))-(VLOOKUP($A107,test!$A$3:$I$32,9,FALSE))+(test!$B$35-50),0)</f>
        <v>0</v>
      </c>
      <c r="R107">
        <f>IF(AND(SUM(VLOOKUP($A107,test!$A$3:$F$32,2,FALSE),VLOOKUP(R$1,test!$A$3:$F$32,2,FALSE))&lt;test!$K$16,$A107&lt;&gt;R$1,Recharged_Feasible_mat!S76),(VLOOKUP(R$1,test!$A$3:$I$32,8,FALSE))-(VLOOKUP($A107,test!$A$3:$I$32,9,FALSE))+(test!$B$35-50),0)</f>
        <v>0</v>
      </c>
      <c r="S107">
        <f>IF(AND(SUM(VLOOKUP($A107,test!$A$3:$F$32,2,FALSE),VLOOKUP(S$1,test!$A$3:$F$32,2,FALSE))&lt;test!$K$16,$A107&lt;&gt;S$1,Recharged_Feasible_mat!T76),(VLOOKUP(S$1,test!$A$3:$I$32,8,FALSE))-(VLOOKUP($A107,test!$A$3:$I$32,9,FALSE))+(test!$B$35-50),0)</f>
        <v>0</v>
      </c>
      <c r="T107">
        <f>IF(AND(SUM(VLOOKUP($A107,test!$A$3:$F$32,2,FALSE),VLOOKUP(T$1,test!$A$3:$F$32,2,FALSE))&lt;test!$K$16,$A107&lt;&gt;T$1,Recharged_Feasible_mat!U76),(VLOOKUP(T$1,test!$A$3:$I$32,8,FALSE))-(VLOOKUP($A107,test!$A$3:$I$32,9,FALSE))+(test!$B$35-50),0)</f>
        <v>0</v>
      </c>
      <c r="U107">
        <f>IF(AND(SUM(VLOOKUP($A107,test!$A$3:$F$32,2,FALSE),VLOOKUP(U$1,test!$A$3:$F$32,2,FALSE))&lt;test!$K$16,$A107&lt;&gt;U$1,Recharged_Feasible_mat!V76),(VLOOKUP(U$1,test!$A$3:$I$32,8,FALSE))-(VLOOKUP($A107,test!$A$3:$I$32,9,FALSE))+(test!$B$35-50),0)</f>
        <v>0</v>
      </c>
      <c r="V107">
        <f>IF(AND(SUM(VLOOKUP($A107,test!$A$3:$F$32,2,FALSE),VLOOKUP(V$1,test!$A$3:$F$32,2,FALSE))&lt;test!$K$16,$A107&lt;&gt;V$1,Recharged_Feasible_mat!W76),(VLOOKUP(V$1,test!$A$3:$I$32,8,FALSE))-(VLOOKUP($A107,test!$A$3:$I$32,9,FALSE))+(test!$B$35-50),0)</f>
        <v>0</v>
      </c>
      <c r="W107">
        <f>IF(AND(SUM(VLOOKUP($A107,test!$A$3:$F$32,2,FALSE),VLOOKUP(W$1,test!$A$3:$F$32,2,FALSE))&lt;test!$K$16,$A107&lt;&gt;W$1,Recharged_Feasible_mat!X76),(VLOOKUP(W$1,test!$A$3:$I$32,8,FALSE))-(VLOOKUP($A107,test!$A$3:$I$32,9,FALSE))+(test!$B$35-50),0)</f>
        <v>0</v>
      </c>
      <c r="X107">
        <f>IF(AND(SUM(VLOOKUP($A107,test!$A$3:$F$32,2,FALSE),VLOOKUP(X$1,test!$A$3:$F$32,2,FALSE))&lt;test!$K$16,$A107&lt;&gt;X$1,Recharged_Feasible_mat!Y76),(VLOOKUP(X$1,test!$A$3:$I$32,8,FALSE))-(VLOOKUP($A107,test!$A$3:$I$32,9,FALSE))+(test!$B$35-50),0)</f>
        <v>0</v>
      </c>
      <c r="Y107">
        <f>IF(AND(SUM(VLOOKUP($A107,test!$A$3:$F$32,2,FALSE),VLOOKUP(Y$1,test!$A$3:$F$32,2,FALSE))&lt;test!$K$16,$A107&lt;&gt;Y$1,Recharged_Feasible_mat!Z76),(VLOOKUP(Y$1,test!$A$3:$I$32,8,FALSE))-(VLOOKUP($A107,test!$A$3:$I$32,9,FALSE))+(test!$B$35-50),0)</f>
        <v>0</v>
      </c>
      <c r="Z107">
        <f>IF(AND(SUM(VLOOKUP($A107,test!$A$3:$F$32,2,FALSE),VLOOKUP(Z$1,test!$A$3:$F$32,2,FALSE))&lt;test!$K$16,$A107&lt;&gt;Z$1,Recharged_Feasible_mat!AA76),(VLOOKUP(Z$1,test!$A$3:$I$32,8,FALSE))-(VLOOKUP($A107,test!$A$3:$I$32,9,FALSE))+(test!$B$35-50),0)</f>
        <v>0</v>
      </c>
      <c r="AA107">
        <f>IF(AND(SUM(VLOOKUP($A107,test!$A$3:$F$32,2,FALSE),VLOOKUP(AA$1,test!$A$3:$F$32,2,FALSE))&lt;test!$K$16,$A107&lt;&gt;AA$1,Recharged_Feasible_mat!AB76),(VLOOKUP(AA$1,test!$A$3:$I$32,8,FALSE))-(VLOOKUP($A107,test!$A$3:$I$32,9,FALSE))+(test!$B$35-50),0)</f>
        <v>0</v>
      </c>
      <c r="AB107">
        <f>IF(AND(SUM(VLOOKUP($A107,test!$A$3:$F$32,2,FALSE),VLOOKUP(AB$1,test!$A$3:$F$32,2,FALSE))&lt;test!$K$16,$A107&lt;&gt;AB$1,Recharged_Feasible_mat!AC76),(VLOOKUP(AB$1,test!$A$3:$I$32,8,FALSE))-(VLOOKUP($A107,test!$A$3:$I$32,9,FALSE))+(test!$B$35-50),0)</f>
        <v>0</v>
      </c>
      <c r="AC107">
        <f>IF(AND(SUM(VLOOKUP($A107,test!$A$3:$F$32,2,FALSE),VLOOKUP(AC$1,test!$A$3:$F$32,2,FALSE))&lt;test!$K$16,$A107&lt;&gt;AC$1,Recharged_Feasible_mat!AD76),(VLOOKUP(AC$1,test!$A$3:$I$32,8,FALSE))-(VLOOKUP($A107,test!$A$3:$I$32,9,FALSE))+(test!$B$35-50),0)</f>
        <v>0</v>
      </c>
      <c r="AD107">
        <f>IF(AND(SUM(VLOOKUP($A107,test!$A$3:$F$32,2,FALSE),VLOOKUP(AD$1,test!$A$3:$F$32,2,FALSE))&lt;test!$K$16,$A107&lt;&gt;AD$1,Recharged_Feasible_mat!AE76),(VLOOKUP(AD$1,test!$A$3:$I$32,8,FALSE))-(VLOOKUP($A107,test!$A$3:$I$32,9,FALSE))+(test!$B$35-50),0)</f>
        <v>0</v>
      </c>
      <c r="AE107">
        <f>IF(AND(SUM(VLOOKUP($A107,test!$A$3:$F$32,2,FALSE),VLOOKUP(AE$1,test!$A$3:$F$32,2,FALSE))&lt;test!$K$16,$A107&lt;&gt;AE$1,Recharged_Feasible_mat!AF76),(VLOOKUP(AE$1,test!$A$3:$I$32,8,FALSE))-(VLOOKUP($A107,test!$A$3:$I$32,9,FALSE))+(test!$B$35-50),0)</f>
        <v>0</v>
      </c>
      <c r="AF107">
        <f>IF(AND(SUM(VLOOKUP($A107,test!$A$3:$F$32,2,FALSE),VLOOKUP(AF$1,test!$A$3:$F$32,2,FALSE))&lt;test!$K$16,$A107&lt;&gt;AF$1,Recharged_Feasible_mat!AG76),(VLOOKUP(AF$1,test!$A$3:$I$32,8,FALSE))-(VLOOKUP($A107,test!$A$3:$I$32,9,FALSE))+(test!$B$35-50),0)</f>
        <v>0</v>
      </c>
    </row>
    <row r="108" spans="1:32" x14ac:dyDescent="0.25">
      <c r="A108" t="s">
        <v>23</v>
      </c>
      <c r="B108">
        <v>0</v>
      </c>
      <c r="C108">
        <f>IF(AND(SUM(VLOOKUP($A108,test!$A$3:$F$32,2,FALSE),VLOOKUP(C$1,test!$A$3:$F$32,2,FALSE))&lt;test!$K$16,$A108&lt;&gt;C$1,Recharged_Feasible_mat!D77),(VLOOKUP(C$1,test!$A$3:$I$32,8,FALSE))-(VLOOKUP($A108,test!$A$3:$I$32,9,FALSE))+(test!$B$35-50),0)</f>
        <v>0</v>
      </c>
      <c r="D108">
        <f>IF(AND(SUM(VLOOKUP($A108,test!$A$3:$F$32,2,FALSE),VLOOKUP(D$1,test!$A$3:$F$32,2,FALSE))&lt;test!$K$16,$A108&lt;&gt;D$1,Recharged_Feasible_mat!E77),(VLOOKUP(D$1,test!$A$3:$I$32,8,FALSE))-(VLOOKUP($A108,test!$A$3:$I$32,9,FALSE))+(test!$B$35-50),0)</f>
        <v>0</v>
      </c>
      <c r="E108">
        <f>IF(AND(SUM(VLOOKUP($A108,test!$A$3:$F$32,2,FALSE),VLOOKUP(E$1,test!$A$3:$F$32,2,FALSE))&lt;test!$K$16,$A108&lt;&gt;E$1,Recharged_Feasible_mat!F77),(VLOOKUP(E$1,test!$A$3:$I$32,8,FALSE))-(VLOOKUP($A108,test!$A$3:$I$32,9,FALSE))+(test!$B$35-50),0)</f>
        <v>0</v>
      </c>
      <c r="F108">
        <f>IF(AND(SUM(VLOOKUP($A108,test!$A$3:$F$32,2,FALSE),VLOOKUP(F$1,test!$A$3:$F$32,2,FALSE))&lt;test!$K$16,$A108&lt;&gt;F$1,Recharged_Feasible_mat!G77),(VLOOKUP(F$1,test!$A$3:$I$32,8,FALSE))-(VLOOKUP($A108,test!$A$3:$I$32,9,FALSE))+(test!$B$35-50),0)</f>
        <v>0</v>
      </c>
      <c r="G108">
        <f>IF(AND(SUM(VLOOKUP($A108,test!$A$3:$F$32,2,FALSE),VLOOKUP(G$1,test!$A$3:$F$32,2,FALSE))&lt;test!$K$16,$A108&lt;&gt;G$1,Recharged_Feasible_mat!H77),(VLOOKUP(G$1,test!$A$3:$I$32,8,FALSE))-(VLOOKUP($A108,test!$A$3:$I$32,9,FALSE))+(test!$B$35-50),0)</f>
        <v>0</v>
      </c>
      <c r="H108">
        <f>IF(AND(SUM(VLOOKUP($A108,test!$A$3:$F$32,2,FALSE),VLOOKUP(H$1,test!$A$3:$F$32,2,FALSE))&lt;test!$K$16,$A108&lt;&gt;H$1,Recharged_Feasible_mat!I77),(VLOOKUP(H$1,test!$A$3:$I$32,8,FALSE))-(VLOOKUP($A108,test!$A$3:$I$32,9,FALSE))+(test!$B$35-50),0)</f>
        <v>0</v>
      </c>
      <c r="I108">
        <f>IF(AND(SUM(VLOOKUP($A108,test!$A$3:$F$32,2,FALSE),VLOOKUP(I$1,test!$A$3:$F$32,2,FALSE))&lt;test!$K$16,$A108&lt;&gt;I$1,Recharged_Feasible_mat!J77),(VLOOKUP(I$1,test!$A$3:$I$32,8,FALSE))-(VLOOKUP($A108,test!$A$3:$I$32,9,FALSE))+(test!$B$35-50),0)</f>
        <v>0</v>
      </c>
      <c r="J108">
        <f>IF(AND(SUM(VLOOKUP($A108,test!$A$3:$F$32,2,FALSE),VLOOKUP(J$1,test!$A$3:$F$32,2,FALSE))&lt;test!$K$16,$A108&lt;&gt;J$1,Recharged_Feasible_mat!K77),(VLOOKUP(J$1,test!$A$3:$I$32,8,FALSE))-(VLOOKUP($A108,test!$A$3:$I$32,9,FALSE))+(test!$B$35-50),0)</f>
        <v>0</v>
      </c>
      <c r="K108">
        <f>IF(AND(SUM(VLOOKUP($A108,test!$A$3:$F$32,2,FALSE),VLOOKUP(K$1,test!$A$3:$F$32,2,FALSE))&lt;test!$K$16,$A108&lt;&gt;K$1,Recharged_Feasible_mat!L77),(VLOOKUP(K$1,test!$A$3:$I$32,8,FALSE))-(VLOOKUP($A108,test!$A$3:$I$32,9,FALSE))+(test!$B$35-50),0)</f>
        <v>0</v>
      </c>
      <c r="L108">
        <f>IF(AND(SUM(VLOOKUP($A108,test!$A$3:$F$32,2,FALSE),VLOOKUP(L$1,test!$A$3:$F$32,2,FALSE))&lt;test!$K$16,$A108&lt;&gt;L$1,Recharged_Feasible_mat!M77),(VLOOKUP(L$1,test!$A$3:$I$32,8,FALSE))-(VLOOKUP($A108,test!$A$3:$I$32,9,FALSE))+(test!$B$35-50),0)</f>
        <v>0</v>
      </c>
      <c r="M108">
        <f>IF(AND(SUM(VLOOKUP($A108,test!$A$3:$F$32,2,FALSE),VLOOKUP(M$1,test!$A$3:$F$32,2,FALSE))&lt;test!$K$16,$A108&lt;&gt;M$1,Recharged_Feasible_mat!N77),(VLOOKUP(M$1,test!$A$3:$I$32,8,FALSE))-(VLOOKUP($A108,test!$A$3:$I$32,9,FALSE))+(test!$B$35-50),0)</f>
        <v>0</v>
      </c>
      <c r="N108">
        <f>IF(AND(SUM(VLOOKUP($A108,test!$A$3:$F$32,2,FALSE),VLOOKUP(N$1,test!$A$3:$F$32,2,FALSE))&lt;test!$K$16,$A108&lt;&gt;N$1,Recharged_Feasible_mat!O77),(VLOOKUP(N$1,test!$A$3:$I$32,8,FALSE))-(VLOOKUP($A108,test!$A$3:$I$32,9,FALSE))+(test!$B$35-50),0)</f>
        <v>0</v>
      </c>
      <c r="O108">
        <f>IF(AND(SUM(VLOOKUP($A108,test!$A$3:$F$32,2,FALSE),VLOOKUP(O$1,test!$A$3:$F$32,2,FALSE))&lt;test!$K$16,$A108&lt;&gt;O$1,Recharged_Feasible_mat!P77),(VLOOKUP(O$1,test!$A$3:$I$32,8,FALSE))-(VLOOKUP($A108,test!$A$3:$I$32,9,FALSE))+(test!$B$35-50),0)</f>
        <v>0</v>
      </c>
      <c r="P108">
        <f>IF(AND(SUM(VLOOKUP($A108,test!$A$3:$F$32,2,FALSE),VLOOKUP(P$1,test!$A$3:$F$32,2,FALSE))&lt;test!$K$16,$A108&lt;&gt;P$1,Recharged_Feasible_mat!Q77),(VLOOKUP(P$1,test!$A$3:$I$32,8,FALSE))-(VLOOKUP($A108,test!$A$3:$I$32,9,FALSE))+(test!$B$35-50),0)</f>
        <v>0</v>
      </c>
      <c r="Q108">
        <f>IF(AND(SUM(VLOOKUP($A108,test!$A$3:$F$32,2,FALSE),VLOOKUP(Q$1,test!$A$3:$F$32,2,FALSE))&lt;test!$K$16,$A108&lt;&gt;Q$1,Recharged_Feasible_mat!R77),(VLOOKUP(Q$1,test!$A$3:$I$32,8,FALSE))-(VLOOKUP($A108,test!$A$3:$I$32,9,FALSE))+(test!$B$35-50),0)</f>
        <v>0</v>
      </c>
      <c r="R108">
        <f>IF(AND(SUM(VLOOKUP($A108,test!$A$3:$F$32,2,FALSE),VLOOKUP(R$1,test!$A$3:$F$32,2,FALSE))&lt;test!$K$16,$A108&lt;&gt;R$1,Recharged_Feasible_mat!S77),(VLOOKUP(R$1,test!$A$3:$I$32,8,FALSE))-(VLOOKUP($A108,test!$A$3:$I$32,9,FALSE))+(test!$B$35-50),0)</f>
        <v>0</v>
      </c>
      <c r="S108">
        <f>IF(AND(SUM(VLOOKUP($A108,test!$A$3:$F$32,2,FALSE),VLOOKUP(S$1,test!$A$3:$F$32,2,FALSE))&lt;test!$K$16,$A108&lt;&gt;S$1,Recharged_Feasible_mat!T77),(VLOOKUP(S$1,test!$A$3:$I$32,8,FALSE))-(VLOOKUP($A108,test!$A$3:$I$32,9,FALSE))+(test!$B$35-50),0)</f>
        <v>0</v>
      </c>
      <c r="T108">
        <f>IF(AND(SUM(VLOOKUP($A108,test!$A$3:$F$32,2,FALSE),VLOOKUP(T$1,test!$A$3:$F$32,2,FALSE))&lt;test!$K$16,$A108&lt;&gt;T$1,Recharged_Feasible_mat!U77),(VLOOKUP(T$1,test!$A$3:$I$32,8,FALSE))-(VLOOKUP($A108,test!$A$3:$I$32,9,FALSE))+(test!$B$35-50),0)</f>
        <v>0</v>
      </c>
      <c r="U108">
        <f>IF(AND(SUM(VLOOKUP($A108,test!$A$3:$F$32,2,FALSE),VLOOKUP(U$1,test!$A$3:$F$32,2,FALSE))&lt;test!$K$16,$A108&lt;&gt;U$1,Recharged_Feasible_mat!V77),(VLOOKUP(U$1,test!$A$3:$I$32,8,FALSE))-(VLOOKUP($A108,test!$A$3:$I$32,9,FALSE))+(test!$B$35-50),0)</f>
        <v>0</v>
      </c>
      <c r="V108">
        <f>IF(AND(SUM(VLOOKUP($A108,test!$A$3:$F$32,2,FALSE),VLOOKUP(V$1,test!$A$3:$F$32,2,FALSE))&lt;test!$K$16,$A108&lt;&gt;V$1,Recharged_Feasible_mat!W77),(VLOOKUP(V$1,test!$A$3:$I$32,8,FALSE))-(VLOOKUP($A108,test!$A$3:$I$32,9,FALSE))+(test!$B$35-50),0)</f>
        <v>0</v>
      </c>
      <c r="W108">
        <f>IF(AND(SUM(VLOOKUP($A108,test!$A$3:$F$32,2,FALSE),VLOOKUP(W$1,test!$A$3:$F$32,2,FALSE))&lt;test!$K$16,$A108&lt;&gt;W$1,Recharged_Feasible_mat!X77),(VLOOKUP(W$1,test!$A$3:$I$32,8,FALSE))-(VLOOKUP($A108,test!$A$3:$I$32,9,FALSE))+(test!$B$35-50),0)</f>
        <v>0</v>
      </c>
      <c r="X108">
        <f>IF(AND(SUM(VLOOKUP($A108,test!$A$3:$F$32,2,FALSE),VLOOKUP(X$1,test!$A$3:$F$32,2,FALSE))&lt;test!$K$16,$A108&lt;&gt;X$1,Recharged_Feasible_mat!Y77),(VLOOKUP(X$1,test!$A$3:$I$32,8,FALSE))-(VLOOKUP($A108,test!$A$3:$I$32,9,FALSE))+(test!$B$35-50),0)</f>
        <v>0</v>
      </c>
      <c r="Y108">
        <f>IF(AND(SUM(VLOOKUP($A108,test!$A$3:$F$32,2,FALSE),VLOOKUP(Y$1,test!$A$3:$F$32,2,FALSE))&lt;test!$K$16,$A108&lt;&gt;Y$1,Recharged_Feasible_mat!Z77),(VLOOKUP(Y$1,test!$A$3:$I$32,8,FALSE))-(VLOOKUP($A108,test!$A$3:$I$32,9,FALSE))+(test!$B$35-50),0)</f>
        <v>0</v>
      </c>
      <c r="Z108">
        <f>IF(AND(SUM(VLOOKUP($A108,test!$A$3:$F$32,2,FALSE),VLOOKUP(Z$1,test!$A$3:$F$32,2,FALSE))&lt;test!$K$16,$A108&lt;&gt;Z$1,Recharged_Feasible_mat!AA77),(VLOOKUP(Z$1,test!$A$3:$I$32,8,FALSE))-(VLOOKUP($A108,test!$A$3:$I$32,9,FALSE))+(test!$B$35-50),0)</f>
        <v>0</v>
      </c>
      <c r="AA108">
        <f>IF(AND(SUM(VLOOKUP($A108,test!$A$3:$F$32,2,FALSE),VLOOKUP(AA$1,test!$A$3:$F$32,2,FALSE))&lt;test!$K$16,$A108&lt;&gt;AA$1,Recharged_Feasible_mat!AB77),(VLOOKUP(AA$1,test!$A$3:$I$32,8,FALSE))-(VLOOKUP($A108,test!$A$3:$I$32,9,FALSE))+(test!$B$35-50),0)</f>
        <v>0</v>
      </c>
      <c r="AB108">
        <f>IF(AND(SUM(VLOOKUP($A108,test!$A$3:$F$32,2,FALSE),VLOOKUP(AB$1,test!$A$3:$F$32,2,FALSE))&lt;test!$K$16,$A108&lt;&gt;AB$1,Recharged_Feasible_mat!AC77),(VLOOKUP(AB$1,test!$A$3:$I$32,8,FALSE))-(VLOOKUP($A108,test!$A$3:$I$32,9,FALSE))+(test!$B$35-50),0)</f>
        <v>0</v>
      </c>
      <c r="AC108">
        <f>IF(AND(SUM(VLOOKUP($A108,test!$A$3:$F$32,2,FALSE),VLOOKUP(AC$1,test!$A$3:$F$32,2,FALSE))&lt;test!$K$16,$A108&lt;&gt;AC$1,Recharged_Feasible_mat!AD77),(VLOOKUP(AC$1,test!$A$3:$I$32,8,FALSE))-(VLOOKUP($A108,test!$A$3:$I$32,9,FALSE))+(test!$B$35-50),0)</f>
        <v>0</v>
      </c>
      <c r="AD108">
        <f>IF(AND(SUM(VLOOKUP($A108,test!$A$3:$F$32,2,FALSE),VLOOKUP(AD$1,test!$A$3:$F$32,2,FALSE))&lt;test!$K$16,$A108&lt;&gt;AD$1,Recharged_Feasible_mat!AE77),(VLOOKUP(AD$1,test!$A$3:$I$32,8,FALSE))-(VLOOKUP($A108,test!$A$3:$I$32,9,FALSE))+(test!$B$35-50),0)</f>
        <v>0</v>
      </c>
      <c r="AE108">
        <f>IF(AND(SUM(VLOOKUP($A108,test!$A$3:$F$32,2,FALSE),VLOOKUP(AE$1,test!$A$3:$F$32,2,FALSE))&lt;test!$K$16,$A108&lt;&gt;AE$1,Recharged_Feasible_mat!AF77),(VLOOKUP(AE$1,test!$A$3:$I$32,8,FALSE))-(VLOOKUP($A108,test!$A$3:$I$32,9,FALSE))+(test!$B$35-50),0)</f>
        <v>0</v>
      </c>
      <c r="AF108">
        <f>IF(AND(SUM(VLOOKUP($A108,test!$A$3:$F$32,2,FALSE),VLOOKUP(AF$1,test!$A$3:$F$32,2,FALSE))&lt;test!$K$16,$A108&lt;&gt;AF$1,Recharged_Feasible_mat!AG77),(VLOOKUP(AF$1,test!$A$3:$I$32,8,FALSE))-(VLOOKUP($A108,test!$A$3:$I$32,9,FALSE))+(test!$B$35-50),0)</f>
        <v>0</v>
      </c>
    </row>
    <row r="109" spans="1:32" x14ac:dyDescent="0.25">
      <c r="A109" t="s">
        <v>24</v>
      </c>
      <c r="B109">
        <v>0</v>
      </c>
      <c r="C109">
        <f>IF(AND(SUM(VLOOKUP($A109,test!$A$3:$F$32,2,FALSE),VLOOKUP(C$1,test!$A$3:$F$32,2,FALSE))&lt;test!$K$16,$A109&lt;&gt;C$1,Recharged_Feasible_mat!D78),(VLOOKUP(C$1,test!$A$3:$I$32,8,FALSE))-(VLOOKUP($A109,test!$A$3:$I$32,9,FALSE))+(test!$B$35-50),0)</f>
        <v>0</v>
      </c>
      <c r="D109">
        <f>IF(AND(SUM(VLOOKUP($A109,test!$A$3:$F$32,2,FALSE),VLOOKUP(D$1,test!$A$3:$F$32,2,FALSE))&lt;test!$K$16,$A109&lt;&gt;D$1,Recharged_Feasible_mat!E78),(VLOOKUP(D$1,test!$A$3:$I$32,8,FALSE))-(VLOOKUP($A109,test!$A$3:$I$32,9,FALSE))+(test!$B$35-50),0)</f>
        <v>0</v>
      </c>
      <c r="E109">
        <f>IF(AND(SUM(VLOOKUP($A109,test!$A$3:$F$32,2,FALSE),VLOOKUP(E$1,test!$A$3:$F$32,2,FALSE))&lt;test!$K$16,$A109&lt;&gt;E$1,Recharged_Feasible_mat!F78),(VLOOKUP(E$1,test!$A$3:$I$32,8,FALSE))-(VLOOKUP($A109,test!$A$3:$I$32,9,FALSE))+(test!$B$35-50),0)</f>
        <v>0</v>
      </c>
      <c r="F109">
        <f>IF(AND(SUM(VLOOKUP($A109,test!$A$3:$F$32,2,FALSE),VLOOKUP(F$1,test!$A$3:$F$32,2,FALSE))&lt;test!$K$16,$A109&lt;&gt;F$1,Recharged_Feasible_mat!G78),(VLOOKUP(F$1,test!$A$3:$I$32,8,FALSE))-(VLOOKUP($A109,test!$A$3:$I$32,9,FALSE))+(test!$B$35-50),0)</f>
        <v>0</v>
      </c>
      <c r="G109">
        <f>IF(AND(SUM(VLOOKUP($A109,test!$A$3:$F$32,2,FALSE),VLOOKUP(G$1,test!$A$3:$F$32,2,FALSE))&lt;test!$K$16,$A109&lt;&gt;G$1,Recharged_Feasible_mat!H78),(VLOOKUP(G$1,test!$A$3:$I$32,8,FALSE))-(VLOOKUP($A109,test!$A$3:$I$32,9,FALSE))+(test!$B$35-50),0)</f>
        <v>210</v>
      </c>
      <c r="H109">
        <f>IF(AND(SUM(VLOOKUP($A109,test!$A$3:$F$32,2,FALSE),VLOOKUP(H$1,test!$A$3:$F$32,2,FALSE))&lt;test!$K$16,$A109&lt;&gt;H$1,Recharged_Feasible_mat!I78),(VLOOKUP(H$1,test!$A$3:$I$32,8,FALSE))-(VLOOKUP($A109,test!$A$3:$I$32,9,FALSE))+(test!$B$35-50),0)</f>
        <v>270</v>
      </c>
      <c r="I109">
        <f>IF(AND(SUM(VLOOKUP($A109,test!$A$3:$F$32,2,FALSE),VLOOKUP(I$1,test!$A$3:$F$32,2,FALSE))&lt;test!$K$16,$A109&lt;&gt;I$1,Recharged_Feasible_mat!J78),(VLOOKUP(I$1,test!$A$3:$I$32,8,FALSE))-(VLOOKUP($A109,test!$A$3:$I$32,9,FALSE))+(test!$B$35-50),0)</f>
        <v>330</v>
      </c>
      <c r="J109">
        <f>IF(AND(SUM(VLOOKUP($A109,test!$A$3:$F$32,2,FALSE),VLOOKUP(J$1,test!$A$3:$F$32,2,FALSE))&lt;test!$K$16,$A109&lt;&gt;J$1,Recharged_Feasible_mat!K78),(VLOOKUP(J$1,test!$A$3:$I$32,8,FALSE))-(VLOOKUP($A109,test!$A$3:$I$32,9,FALSE))+(test!$B$35-50),0)</f>
        <v>420</v>
      </c>
      <c r="K109">
        <f>IF(AND(SUM(VLOOKUP($A109,test!$A$3:$F$32,2,FALSE),VLOOKUP(K$1,test!$A$3:$F$32,2,FALSE))&lt;test!$K$16,$A109&lt;&gt;K$1,Recharged_Feasible_mat!L78),(VLOOKUP(K$1,test!$A$3:$I$32,8,FALSE))-(VLOOKUP($A109,test!$A$3:$I$32,9,FALSE))+(test!$B$35-50),0)</f>
        <v>0</v>
      </c>
      <c r="L109">
        <f>IF(AND(SUM(VLOOKUP($A109,test!$A$3:$F$32,2,FALSE),VLOOKUP(L$1,test!$A$3:$F$32,2,FALSE))&lt;test!$K$16,$A109&lt;&gt;L$1,Recharged_Feasible_mat!M78),(VLOOKUP(L$1,test!$A$3:$I$32,8,FALSE))-(VLOOKUP($A109,test!$A$3:$I$32,9,FALSE))+(test!$B$35-50),0)</f>
        <v>0</v>
      </c>
      <c r="M109">
        <f>IF(AND(SUM(VLOOKUP($A109,test!$A$3:$F$32,2,FALSE),VLOOKUP(M$1,test!$A$3:$F$32,2,FALSE))&lt;test!$K$16,$A109&lt;&gt;M$1,Recharged_Feasible_mat!N78),(VLOOKUP(M$1,test!$A$3:$I$32,8,FALSE))-(VLOOKUP($A109,test!$A$3:$I$32,9,FALSE))+(test!$B$35-50),0)</f>
        <v>0</v>
      </c>
      <c r="N109">
        <f>IF(AND(SUM(VLOOKUP($A109,test!$A$3:$F$32,2,FALSE),VLOOKUP(N$1,test!$A$3:$F$32,2,FALSE))&lt;test!$K$16,$A109&lt;&gt;N$1,Recharged_Feasible_mat!O78),(VLOOKUP(N$1,test!$A$3:$I$32,8,FALSE))-(VLOOKUP($A109,test!$A$3:$I$32,9,FALSE))+(test!$B$35-50),0)</f>
        <v>0</v>
      </c>
      <c r="O109">
        <f>IF(AND(SUM(VLOOKUP($A109,test!$A$3:$F$32,2,FALSE),VLOOKUP(O$1,test!$A$3:$F$32,2,FALSE))&lt;test!$K$16,$A109&lt;&gt;O$1,Recharged_Feasible_mat!P78),(VLOOKUP(O$1,test!$A$3:$I$32,8,FALSE))-(VLOOKUP($A109,test!$A$3:$I$32,9,FALSE))+(test!$B$35-50),0)</f>
        <v>0</v>
      </c>
      <c r="P109">
        <f>IF(AND(SUM(VLOOKUP($A109,test!$A$3:$F$32,2,FALSE),VLOOKUP(P$1,test!$A$3:$F$32,2,FALSE))&lt;test!$K$16,$A109&lt;&gt;P$1,Recharged_Feasible_mat!Q78),(VLOOKUP(P$1,test!$A$3:$I$32,8,FALSE))-(VLOOKUP($A109,test!$A$3:$I$32,9,FALSE))+(test!$B$35-50),0)</f>
        <v>0</v>
      </c>
      <c r="Q109">
        <f>IF(AND(SUM(VLOOKUP($A109,test!$A$3:$F$32,2,FALSE),VLOOKUP(Q$1,test!$A$3:$F$32,2,FALSE))&lt;test!$K$16,$A109&lt;&gt;Q$1,Recharged_Feasible_mat!R78),(VLOOKUP(Q$1,test!$A$3:$I$32,8,FALSE))-(VLOOKUP($A109,test!$A$3:$I$32,9,FALSE))+(test!$B$35-50),0)</f>
        <v>0</v>
      </c>
      <c r="R109">
        <f>IF(AND(SUM(VLOOKUP($A109,test!$A$3:$F$32,2,FALSE),VLOOKUP(R$1,test!$A$3:$F$32,2,FALSE))&lt;test!$K$16,$A109&lt;&gt;R$1,Recharged_Feasible_mat!S78),(VLOOKUP(R$1,test!$A$3:$I$32,8,FALSE))-(VLOOKUP($A109,test!$A$3:$I$32,9,FALSE))+(test!$B$35-50),0)</f>
        <v>0</v>
      </c>
      <c r="S109">
        <f>IF(AND(SUM(VLOOKUP($A109,test!$A$3:$F$32,2,FALSE),VLOOKUP(S$1,test!$A$3:$F$32,2,FALSE))&lt;test!$K$16,$A109&lt;&gt;S$1,Recharged_Feasible_mat!T78),(VLOOKUP(S$1,test!$A$3:$I$32,8,FALSE))-(VLOOKUP($A109,test!$A$3:$I$32,9,FALSE))+(test!$B$35-50),0)</f>
        <v>0</v>
      </c>
      <c r="T109">
        <f>IF(AND(SUM(VLOOKUP($A109,test!$A$3:$F$32,2,FALSE),VLOOKUP(T$1,test!$A$3:$F$32,2,FALSE))&lt;test!$K$16,$A109&lt;&gt;T$1,Recharged_Feasible_mat!U78),(VLOOKUP(T$1,test!$A$3:$I$32,8,FALSE))-(VLOOKUP($A109,test!$A$3:$I$32,9,FALSE))+(test!$B$35-50),0)</f>
        <v>0</v>
      </c>
      <c r="U109">
        <f>IF(AND(SUM(VLOOKUP($A109,test!$A$3:$F$32,2,FALSE),VLOOKUP(U$1,test!$A$3:$F$32,2,FALSE))&lt;test!$K$16,$A109&lt;&gt;U$1,Recharged_Feasible_mat!V78),(VLOOKUP(U$1,test!$A$3:$I$32,8,FALSE))-(VLOOKUP($A109,test!$A$3:$I$32,9,FALSE))+(test!$B$35-50),0)</f>
        <v>0</v>
      </c>
      <c r="V109">
        <f>IF(AND(SUM(VLOOKUP($A109,test!$A$3:$F$32,2,FALSE),VLOOKUP(V$1,test!$A$3:$F$32,2,FALSE))&lt;test!$K$16,$A109&lt;&gt;V$1,Recharged_Feasible_mat!W78),(VLOOKUP(V$1,test!$A$3:$I$32,8,FALSE))-(VLOOKUP($A109,test!$A$3:$I$32,9,FALSE))+(test!$B$35-50),0)</f>
        <v>220</v>
      </c>
      <c r="W109">
        <f>IF(AND(SUM(VLOOKUP($A109,test!$A$3:$F$32,2,FALSE),VLOOKUP(W$1,test!$A$3:$F$32,2,FALSE))&lt;test!$K$16,$A109&lt;&gt;W$1,Recharged_Feasible_mat!X78),(VLOOKUP(W$1,test!$A$3:$I$32,8,FALSE))-(VLOOKUP($A109,test!$A$3:$I$32,9,FALSE))+(test!$B$35-50),0)</f>
        <v>310</v>
      </c>
      <c r="X109">
        <f>IF(AND(SUM(VLOOKUP($A109,test!$A$3:$F$32,2,FALSE),VLOOKUP(X$1,test!$A$3:$F$32,2,FALSE))&lt;test!$K$16,$A109&lt;&gt;X$1,Recharged_Feasible_mat!Y78),(VLOOKUP(X$1,test!$A$3:$I$32,8,FALSE))-(VLOOKUP($A109,test!$A$3:$I$32,9,FALSE))+(test!$B$35-50),0)</f>
        <v>370</v>
      </c>
      <c r="Y109">
        <f>IF(AND(SUM(VLOOKUP($A109,test!$A$3:$F$32,2,FALSE),VLOOKUP(Y$1,test!$A$3:$F$32,2,FALSE))&lt;test!$K$16,$A109&lt;&gt;Y$1,Recharged_Feasible_mat!Z78),(VLOOKUP(Y$1,test!$A$3:$I$32,8,FALSE))-(VLOOKUP($A109,test!$A$3:$I$32,9,FALSE))+(test!$B$35-50),0)</f>
        <v>0</v>
      </c>
      <c r="Z109">
        <f>IF(AND(SUM(VLOOKUP($A109,test!$A$3:$F$32,2,FALSE),VLOOKUP(Z$1,test!$A$3:$F$32,2,FALSE))&lt;test!$K$16,$A109&lt;&gt;Z$1,Recharged_Feasible_mat!AA78),(VLOOKUP(Z$1,test!$A$3:$I$32,8,FALSE))-(VLOOKUP($A109,test!$A$3:$I$32,9,FALSE))+(test!$B$35-50),0)</f>
        <v>0</v>
      </c>
      <c r="AA109">
        <f>IF(AND(SUM(VLOOKUP($A109,test!$A$3:$F$32,2,FALSE),VLOOKUP(AA$1,test!$A$3:$F$32,2,FALSE))&lt;test!$K$16,$A109&lt;&gt;AA$1,Recharged_Feasible_mat!AB78),(VLOOKUP(AA$1,test!$A$3:$I$32,8,FALSE))-(VLOOKUP($A109,test!$A$3:$I$32,9,FALSE))+(test!$B$35-50),0)</f>
        <v>0</v>
      </c>
      <c r="AB109">
        <f>IF(AND(SUM(VLOOKUP($A109,test!$A$3:$F$32,2,FALSE),VLOOKUP(AB$1,test!$A$3:$F$32,2,FALSE))&lt;test!$K$16,$A109&lt;&gt;AB$1,Recharged_Feasible_mat!AC78),(VLOOKUP(AB$1,test!$A$3:$I$32,8,FALSE))-(VLOOKUP($A109,test!$A$3:$I$32,9,FALSE))+(test!$B$35-50),0)</f>
        <v>0</v>
      </c>
      <c r="AC109">
        <f>IF(AND(SUM(VLOOKUP($A109,test!$A$3:$F$32,2,FALSE),VLOOKUP(AC$1,test!$A$3:$F$32,2,FALSE))&lt;test!$K$16,$A109&lt;&gt;AC$1,Recharged_Feasible_mat!AD78),(VLOOKUP(AC$1,test!$A$3:$I$32,8,FALSE))-(VLOOKUP($A109,test!$A$3:$I$32,9,FALSE))+(test!$B$35-50),0)</f>
        <v>0</v>
      </c>
      <c r="AD109">
        <f>IF(AND(SUM(VLOOKUP($A109,test!$A$3:$F$32,2,FALSE),VLOOKUP(AD$1,test!$A$3:$F$32,2,FALSE))&lt;test!$K$16,$A109&lt;&gt;AD$1,Recharged_Feasible_mat!AE78),(VLOOKUP(AD$1,test!$A$3:$I$32,8,FALSE))-(VLOOKUP($A109,test!$A$3:$I$32,9,FALSE))+(test!$B$35-50),0)</f>
        <v>0</v>
      </c>
      <c r="AE109">
        <f>IF(AND(SUM(VLOOKUP($A109,test!$A$3:$F$32,2,FALSE),VLOOKUP(AE$1,test!$A$3:$F$32,2,FALSE))&lt;test!$K$16,$A109&lt;&gt;AE$1,Recharged_Feasible_mat!AF78),(VLOOKUP(AE$1,test!$A$3:$I$32,8,FALSE))-(VLOOKUP($A109,test!$A$3:$I$32,9,FALSE))+(test!$B$35-50),0)</f>
        <v>0</v>
      </c>
      <c r="AF109">
        <f>IF(AND(SUM(VLOOKUP($A109,test!$A$3:$F$32,2,FALSE),VLOOKUP(AF$1,test!$A$3:$F$32,2,FALSE))&lt;test!$K$16,$A109&lt;&gt;AF$1,Recharged_Feasible_mat!AG78),(VLOOKUP(AF$1,test!$A$3:$I$32,8,FALSE))-(VLOOKUP($A109,test!$A$3:$I$32,9,FALSE))+(test!$B$35-50),0)</f>
        <v>0</v>
      </c>
    </row>
    <row r="110" spans="1:32" x14ac:dyDescent="0.25">
      <c r="A110" t="s">
        <v>26</v>
      </c>
      <c r="B110">
        <v>0</v>
      </c>
      <c r="C110">
        <f>IF(AND(SUM(VLOOKUP($A110,test!$A$3:$F$32,2,FALSE),VLOOKUP(C$1,test!$A$3:$F$32,2,FALSE))&lt;test!$K$16,$A110&lt;&gt;C$1,Recharged_Feasible_mat!D79),(VLOOKUP(C$1,test!$A$3:$I$32,8,FALSE))-(VLOOKUP($A110,test!$A$3:$I$32,9,FALSE))+(test!$B$35-50),0)</f>
        <v>0</v>
      </c>
      <c r="D110">
        <f>IF(AND(SUM(VLOOKUP($A110,test!$A$3:$F$32,2,FALSE),VLOOKUP(D$1,test!$A$3:$F$32,2,FALSE))&lt;test!$K$16,$A110&lt;&gt;D$1,Recharged_Feasible_mat!E79),(VLOOKUP(D$1,test!$A$3:$I$32,8,FALSE))-(VLOOKUP($A110,test!$A$3:$I$32,9,FALSE))+(test!$B$35-50),0)</f>
        <v>0</v>
      </c>
      <c r="E110">
        <f>IF(AND(SUM(VLOOKUP($A110,test!$A$3:$F$32,2,FALSE),VLOOKUP(E$1,test!$A$3:$F$32,2,FALSE))&lt;test!$K$16,$A110&lt;&gt;E$1,Recharged_Feasible_mat!F79),(VLOOKUP(E$1,test!$A$3:$I$32,8,FALSE))-(VLOOKUP($A110,test!$A$3:$I$32,9,FALSE))+(test!$B$35-50),0)</f>
        <v>0</v>
      </c>
      <c r="F110">
        <f>IF(AND(SUM(VLOOKUP($A110,test!$A$3:$F$32,2,FALSE),VLOOKUP(F$1,test!$A$3:$F$32,2,FALSE))&lt;test!$K$16,$A110&lt;&gt;F$1,Recharged_Feasible_mat!G79),(VLOOKUP(F$1,test!$A$3:$I$32,8,FALSE))-(VLOOKUP($A110,test!$A$3:$I$32,9,FALSE))+(test!$B$35-50),0)</f>
        <v>245</v>
      </c>
      <c r="G110">
        <f>IF(AND(SUM(VLOOKUP($A110,test!$A$3:$F$32,2,FALSE),VLOOKUP(G$1,test!$A$3:$F$32,2,FALSE))&lt;test!$K$16,$A110&lt;&gt;G$1,Recharged_Feasible_mat!H79),(VLOOKUP(G$1,test!$A$3:$I$32,8,FALSE))-(VLOOKUP($A110,test!$A$3:$I$32,9,FALSE))+(test!$B$35-50),0)</f>
        <v>305</v>
      </c>
      <c r="H110">
        <f>IF(AND(SUM(VLOOKUP($A110,test!$A$3:$F$32,2,FALSE),VLOOKUP(H$1,test!$A$3:$F$32,2,FALSE))&lt;test!$K$16,$A110&lt;&gt;H$1,Recharged_Feasible_mat!I79),(VLOOKUP(H$1,test!$A$3:$I$32,8,FALSE))-(VLOOKUP($A110,test!$A$3:$I$32,9,FALSE))+(test!$B$35-50),0)</f>
        <v>365</v>
      </c>
      <c r="I110">
        <f>IF(AND(SUM(VLOOKUP($A110,test!$A$3:$F$32,2,FALSE),VLOOKUP(I$1,test!$A$3:$F$32,2,FALSE))&lt;test!$K$16,$A110&lt;&gt;I$1,Recharged_Feasible_mat!J79),(VLOOKUP(I$1,test!$A$3:$I$32,8,FALSE))-(VLOOKUP($A110,test!$A$3:$I$32,9,FALSE))+(test!$B$35-50),0)</f>
        <v>425</v>
      </c>
      <c r="J110">
        <f>IF(AND(SUM(VLOOKUP($A110,test!$A$3:$F$32,2,FALSE),VLOOKUP(J$1,test!$A$3:$F$32,2,FALSE))&lt;test!$K$16,$A110&lt;&gt;J$1,Recharged_Feasible_mat!K79),(VLOOKUP(J$1,test!$A$3:$I$32,8,FALSE))-(VLOOKUP($A110,test!$A$3:$I$32,9,FALSE))+(test!$B$35-50),0)</f>
        <v>515</v>
      </c>
      <c r="K110">
        <f>IF(AND(SUM(VLOOKUP($A110,test!$A$3:$F$32,2,FALSE),VLOOKUP(K$1,test!$A$3:$F$32,2,FALSE))&lt;test!$K$16,$A110&lt;&gt;K$1,Recharged_Feasible_mat!L79),(VLOOKUP(K$1,test!$A$3:$I$32,8,FALSE))-(VLOOKUP($A110,test!$A$3:$I$32,9,FALSE))+(test!$B$35-50),0)</f>
        <v>0</v>
      </c>
      <c r="L110">
        <f>IF(AND(SUM(VLOOKUP($A110,test!$A$3:$F$32,2,FALSE),VLOOKUP(L$1,test!$A$3:$F$32,2,FALSE))&lt;test!$K$16,$A110&lt;&gt;L$1,Recharged_Feasible_mat!M79),(VLOOKUP(L$1,test!$A$3:$I$32,8,FALSE))-(VLOOKUP($A110,test!$A$3:$I$32,9,FALSE))+(test!$B$35-50),0)</f>
        <v>0</v>
      </c>
      <c r="M110">
        <f>IF(AND(SUM(VLOOKUP($A110,test!$A$3:$F$32,2,FALSE),VLOOKUP(M$1,test!$A$3:$F$32,2,FALSE))&lt;test!$K$16,$A110&lt;&gt;M$1,Recharged_Feasible_mat!N79),(VLOOKUP(M$1,test!$A$3:$I$32,8,FALSE))-(VLOOKUP($A110,test!$A$3:$I$32,9,FALSE))+(test!$B$35-50),0)</f>
        <v>0</v>
      </c>
      <c r="N110">
        <f>IF(AND(SUM(VLOOKUP($A110,test!$A$3:$F$32,2,FALSE),VLOOKUP(N$1,test!$A$3:$F$32,2,FALSE))&lt;test!$K$16,$A110&lt;&gt;N$1,Recharged_Feasible_mat!O79),(VLOOKUP(N$1,test!$A$3:$I$32,8,FALSE))-(VLOOKUP($A110,test!$A$3:$I$32,9,FALSE))+(test!$B$35-50),0)</f>
        <v>480</v>
      </c>
      <c r="O110">
        <f>IF(AND(SUM(VLOOKUP($A110,test!$A$3:$F$32,2,FALSE),VLOOKUP(O$1,test!$A$3:$F$32,2,FALSE))&lt;test!$K$16,$A110&lt;&gt;O$1,Recharged_Feasible_mat!P79),(VLOOKUP(O$1,test!$A$3:$I$32,8,FALSE))-(VLOOKUP($A110,test!$A$3:$I$32,9,FALSE))+(test!$B$35-50),0)</f>
        <v>540</v>
      </c>
      <c r="P110">
        <f>IF(AND(SUM(VLOOKUP($A110,test!$A$3:$F$32,2,FALSE),VLOOKUP(P$1,test!$A$3:$F$32,2,FALSE))&lt;test!$K$16,$A110&lt;&gt;P$1,Recharged_Feasible_mat!Q79),(VLOOKUP(P$1,test!$A$3:$I$32,8,FALSE))-(VLOOKUP($A110,test!$A$3:$I$32,9,FALSE))+(test!$B$35-50),0)</f>
        <v>0</v>
      </c>
      <c r="Q110">
        <f>IF(AND(SUM(VLOOKUP($A110,test!$A$3:$F$32,2,FALSE),VLOOKUP(Q$1,test!$A$3:$F$32,2,FALSE))&lt;test!$K$16,$A110&lt;&gt;Q$1,Recharged_Feasible_mat!R79),(VLOOKUP(Q$1,test!$A$3:$I$32,8,FALSE))-(VLOOKUP($A110,test!$A$3:$I$32,9,FALSE))+(test!$B$35-50),0)</f>
        <v>0</v>
      </c>
      <c r="R110">
        <f>IF(AND(SUM(VLOOKUP($A110,test!$A$3:$F$32,2,FALSE),VLOOKUP(R$1,test!$A$3:$F$32,2,FALSE))&lt;test!$K$16,$A110&lt;&gt;R$1,Recharged_Feasible_mat!S79),(VLOOKUP(R$1,test!$A$3:$I$32,8,FALSE))-(VLOOKUP($A110,test!$A$3:$I$32,9,FALSE))+(test!$B$35-50),0)</f>
        <v>0</v>
      </c>
      <c r="S110">
        <f>IF(AND(SUM(VLOOKUP($A110,test!$A$3:$F$32,2,FALSE),VLOOKUP(S$1,test!$A$3:$F$32,2,FALSE))&lt;test!$K$16,$A110&lt;&gt;S$1,Recharged_Feasible_mat!T79),(VLOOKUP(S$1,test!$A$3:$I$32,8,FALSE))-(VLOOKUP($A110,test!$A$3:$I$32,9,FALSE))+(test!$B$35-50),0)</f>
        <v>0</v>
      </c>
      <c r="T110">
        <f>IF(AND(SUM(VLOOKUP($A110,test!$A$3:$F$32,2,FALSE),VLOOKUP(T$1,test!$A$3:$F$32,2,FALSE))&lt;test!$K$16,$A110&lt;&gt;T$1,Recharged_Feasible_mat!U79),(VLOOKUP(T$1,test!$A$3:$I$32,8,FALSE))-(VLOOKUP($A110,test!$A$3:$I$32,9,FALSE))+(test!$B$35-50),0)</f>
        <v>0</v>
      </c>
      <c r="U110">
        <f>IF(AND(SUM(VLOOKUP($A110,test!$A$3:$F$32,2,FALSE),VLOOKUP(U$1,test!$A$3:$F$32,2,FALSE))&lt;test!$K$16,$A110&lt;&gt;U$1,Recharged_Feasible_mat!V79),(VLOOKUP(U$1,test!$A$3:$I$32,8,FALSE))-(VLOOKUP($A110,test!$A$3:$I$32,9,FALSE))+(test!$B$35-50),0)</f>
        <v>225</v>
      </c>
      <c r="V110">
        <f>IF(AND(SUM(VLOOKUP($A110,test!$A$3:$F$32,2,FALSE),VLOOKUP(V$1,test!$A$3:$F$32,2,FALSE))&lt;test!$K$16,$A110&lt;&gt;V$1,Recharged_Feasible_mat!W79),(VLOOKUP(V$1,test!$A$3:$I$32,8,FALSE))-(VLOOKUP($A110,test!$A$3:$I$32,9,FALSE))+(test!$B$35-50),0)</f>
        <v>315</v>
      </c>
      <c r="W110">
        <f>IF(AND(SUM(VLOOKUP($A110,test!$A$3:$F$32,2,FALSE),VLOOKUP(W$1,test!$A$3:$F$32,2,FALSE))&lt;test!$K$16,$A110&lt;&gt;W$1,Recharged_Feasible_mat!X79),(VLOOKUP(W$1,test!$A$3:$I$32,8,FALSE))-(VLOOKUP($A110,test!$A$3:$I$32,9,FALSE))+(test!$B$35-50),0)</f>
        <v>405</v>
      </c>
      <c r="X110">
        <f>IF(AND(SUM(VLOOKUP($A110,test!$A$3:$F$32,2,FALSE),VLOOKUP(X$1,test!$A$3:$F$32,2,FALSE))&lt;test!$K$16,$A110&lt;&gt;X$1,Recharged_Feasible_mat!Y79),(VLOOKUP(X$1,test!$A$3:$I$32,8,FALSE))-(VLOOKUP($A110,test!$A$3:$I$32,9,FALSE))+(test!$B$35-50),0)</f>
        <v>465</v>
      </c>
      <c r="Y110">
        <f>IF(AND(SUM(VLOOKUP($A110,test!$A$3:$F$32,2,FALSE),VLOOKUP(Y$1,test!$A$3:$F$32,2,FALSE))&lt;test!$K$16,$A110&lt;&gt;Y$1,Recharged_Feasible_mat!Z79),(VLOOKUP(Y$1,test!$A$3:$I$32,8,FALSE))-(VLOOKUP($A110,test!$A$3:$I$32,9,FALSE))+(test!$B$35-50),0)</f>
        <v>0</v>
      </c>
      <c r="Z110">
        <f>IF(AND(SUM(VLOOKUP($A110,test!$A$3:$F$32,2,FALSE),VLOOKUP(Z$1,test!$A$3:$F$32,2,FALSE))&lt;test!$K$16,$A110&lt;&gt;Z$1,Recharged_Feasible_mat!AA79),(VLOOKUP(Z$1,test!$A$3:$I$32,8,FALSE))-(VLOOKUP($A110,test!$A$3:$I$32,9,FALSE))+(test!$B$35-50),0)</f>
        <v>0</v>
      </c>
      <c r="AA110">
        <f>IF(AND(SUM(VLOOKUP($A110,test!$A$3:$F$32,2,FALSE),VLOOKUP(AA$1,test!$A$3:$F$32,2,FALSE))&lt;test!$K$16,$A110&lt;&gt;AA$1,Recharged_Feasible_mat!AB79),(VLOOKUP(AA$1,test!$A$3:$I$32,8,FALSE))-(VLOOKUP($A110,test!$A$3:$I$32,9,FALSE))+(test!$B$35-50),0)</f>
        <v>0</v>
      </c>
      <c r="AB110">
        <f>IF(AND(SUM(VLOOKUP($A110,test!$A$3:$F$32,2,FALSE),VLOOKUP(AB$1,test!$A$3:$F$32,2,FALSE))&lt;test!$K$16,$A110&lt;&gt;AB$1,Recharged_Feasible_mat!AC79),(VLOOKUP(AB$1,test!$A$3:$I$32,8,FALSE))-(VLOOKUP($A110,test!$A$3:$I$32,9,FALSE))+(test!$B$35-50),0)</f>
        <v>245</v>
      </c>
      <c r="AC110">
        <f>IF(AND(SUM(VLOOKUP($A110,test!$A$3:$F$32,2,FALSE),VLOOKUP(AC$1,test!$A$3:$F$32,2,FALSE))&lt;test!$K$16,$A110&lt;&gt;AC$1,Recharged_Feasible_mat!AD79),(VLOOKUP(AC$1,test!$A$3:$I$32,8,FALSE))-(VLOOKUP($A110,test!$A$3:$I$32,9,FALSE))+(test!$B$35-50),0)</f>
        <v>365</v>
      </c>
      <c r="AD110">
        <f>IF(AND(SUM(VLOOKUP($A110,test!$A$3:$F$32,2,FALSE),VLOOKUP(AD$1,test!$A$3:$F$32,2,FALSE))&lt;test!$K$16,$A110&lt;&gt;AD$1,Recharged_Feasible_mat!AE79),(VLOOKUP(AD$1,test!$A$3:$I$32,8,FALSE))-(VLOOKUP($A110,test!$A$3:$I$32,9,FALSE))+(test!$B$35-50),0)</f>
        <v>0</v>
      </c>
      <c r="AE110">
        <f>IF(AND(SUM(VLOOKUP($A110,test!$A$3:$F$32,2,FALSE),VLOOKUP(AE$1,test!$A$3:$F$32,2,FALSE))&lt;test!$K$16,$A110&lt;&gt;AE$1,Recharged_Feasible_mat!AF79),(VLOOKUP(AE$1,test!$A$3:$I$32,8,FALSE))-(VLOOKUP($A110,test!$A$3:$I$32,9,FALSE))+(test!$B$35-50),0)</f>
        <v>0</v>
      </c>
      <c r="AF110">
        <f>IF(AND(SUM(VLOOKUP($A110,test!$A$3:$F$32,2,FALSE),VLOOKUP(AF$1,test!$A$3:$F$32,2,FALSE))&lt;test!$K$16,$A110&lt;&gt;AF$1,Recharged_Feasible_mat!AG79),(VLOOKUP(AF$1,test!$A$3:$I$32,8,FALSE))-(VLOOKUP($A110,test!$A$3:$I$32,9,FALSE))+(test!$B$35-50),0)</f>
        <v>0</v>
      </c>
    </row>
    <row r="111" spans="1:32" x14ac:dyDescent="0.25">
      <c r="A111" t="s">
        <v>27</v>
      </c>
      <c r="B111">
        <v>0</v>
      </c>
      <c r="C111">
        <f>IF(AND(SUM(VLOOKUP($A111,test!$A$3:$F$32,2,FALSE),VLOOKUP(C$1,test!$A$3:$F$32,2,FALSE))&lt;test!$K$16,$A111&lt;&gt;C$1,Recharged_Feasible_mat!D80),(VLOOKUP(C$1,test!$A$3:$I$32,8,FALSE))-(VLOOKUP($A111,test!$A$3:$I$32,9,FALSE))+(test!$B$35-50),0)</f>
        <v>0</v>
      </c>
      <c r="D111">
        <f>IF(AND(SUM(VLOOKUP($A111,test!$A$3:$F$32,2,FALSE),VLOOKUP(D$1,test!$A$3:$F$32,2,FALSE))&lt;test!$K$16,$A111&lt;&gt;D$1,Recharged_Feasible_mat!E80),(VLOOKUP(D$1,test!$A$3:$I$32,8,FALSE))-(VLOOKUP($A111,test!$A$3:$I$32,9,FALSE))+(test!$B$35-50),0)</f>
        <v>0</v>
      </c>
      <c r="E111">
        <f>IF(AND(SUM(VLOOKUP($A111,test!$A$3:$F$32,2,FALSE),VLOOKUP(E$1,test!$A$3:$F$32,2,FALSE))&lt;test!$K$16,$A111&lt;&gt;E$1,Recharged_Feasible_mat!F80),(VLOOKUP(E$1,test!$A$3:$I$32,8,FALSE))-(VLOOKUP($A111,test!$A$3:$I$32,9,FALSE))+(test!$B$35-50),0)</f>
        <v>0</v>
      </c>
      <c r="F111">
        <f>IF(AND(SUM(VLOOKUP($A111,test!$A$3:$F$32,2,FALSE),VLOOKUP(F$1,test!$A$3:$F$32,2,FALSE))&lt;test!$K$16,$A111&lt;&gt;F$1,Recharged_Feasible_mat!G80),(VLOOKUP(F$1,test!$A$3:$I$32,8,FALSE))-(VLOOKUP($A111,test!$A$3:$I$32,9,FALSE))+(test!$B$35-50),0)</f>
        <v>0</v>
      </c>
      <c r="G111">
        <f>IF(AND(SUM(VLOOKUP($A111,test!$A$3:$F$32,2,FALSE),VLOOKUP(G$1,test!$A$3:$F$32,2,FALSE))&lt;test!$K$16,$A111&lt;&gt;G$1,Recharged_Feasible_mat!H80),(VLOOKUP(G$1,test!$A$3:$I$32,8,FALSE))-(VLOOKUP($A111,test!$A$3:$I$32,9,FALSE))+(test!$B$35-50),0)</f>
        <v>215</v>
      </c>
      <c r="H111">
        <f>IF(AND(SUM(VLOOKUP($A111,test!$A$3:$F$32,2,FALSE),VLOOKUP(H$1,test!$A$3:$F$32,2,FALSE))&lt;test!$K$16,$A111&lt;&gt;H$1,Recharged_Feasible_mat!I80),(VLOOKUP(H$1,test!$A$3:$I$32,8,FALSE))-(VLOOKUP($A111,test!$A$3:$I$32,9,FALSE))+(test!$B$35-50),0)</f>
        <v>275</v>
      </c>
      <c r="I111">
        <f>IF(AND(SUM(VLOOKUP($A111,test!$A$3:$F$32,2,FALSE),VLOOKUP(I$1,test!$A$3:$F$32,2,FALSE))&lt;test!$K$16,$A111&lt;&gt;I$1,Recharged_Feasible_mat!J80),(VLOOKUP(I$1,test!$A$3:$I$32,8,FALSE))-(VLOOKUP($A111,test!$A$3:$I$32,9,FALSE))+(test!$B$35-50),0)</f>
        <v>335</v>
      </c>
      <c r="J111">
        <f>IF(AND(SUM(VLOOKUP($A111,test!$A$3:$F$32,2,FALSE),VLOOKUP(J$1,test!$A$3:$F$32,2,FALSE))&lt;test!$K$16,$A111&lt;&gt;J$1,Recharged_Feasible_mat!K80),(VLOOKUP(J$1,test!$A$3:$I$32,8,FALSE))-(VLOOKUP($A111,test!$A$3:$I$32,9,FALSE))+(test!$B$35-50),0)</f>
        <v>425</v>
      </c>
      <c r="K111">
        <f>IF(AND(SUM(VLOOKUP($A111,test!$A$3:$F$32,2,FALSE),VLOOKUP(K$1,test!$A$3:$F$32,2,FALSE))&lt;test!$K$16,$A111&lt;&gt;K$1,Recharged_Feasible_mat!L80),(VLOOKUP(K$1,test!$A$3:$I$32,8,FALSE))-(VLOOKUP($A111,test!$A$3:$I$32,9,FALSE))+(test!$B$35-50),0)</f>
        <v>0</v>
      </c>
      <c r="L111">
        <f>IF(AND(SUM(VLOOKUP($A111,test!$A$3:$F$32,2,FALSE),VLOOKUP(L$1,test!$A$3:$F$32,2,FALSE))&lt;test!$K$16,$A111&lt;&gt;L$1,Recharged_Feasible_mat!M80),(VLOOKUP(L$1,test!$A$3:$I$32,8,FALSE))-(VLOOKUP($A111,test!$A$3:$I$32,9,FALSE))+(test!$B$35-50),0)</f>
        <v>0</v>
      </c>
      <c r="M111">
        <f>IF(AND(SUM(VLOOKUP($A111,test!$A$3:$F$32,2,FALSE),VLOOKUP(M$1,test!$A$3:$F$32,2,FALSE))&lt;test!$K$16,$A111&lt;&gt;M$1,Recharged_Feasible_mat!N80),(VLOOKUP(M$1,test!$A$3:$I$32,8,FALSE))-(VLOOKUP($A111,test!$A$3:$I$32,9,FALSE))+(test!$B$35-50),0)</f>
        <v>0</v>
      </c>
      <c r="N111">
        <f>IF(AND(SUM(VLOOKUP($A111,test!$A$3:$F$32,2,FALSE),VLOOKUP(N$1,test!$A$3:$F$32,2,FALSE))&lt;test!$K$16,$A111&lt;&gt;N$1,Recharged_Feasible_mat!O80),(VLOOKUP(N$1,test!$A$3:$I$32,8,FALSE))-(VLOOKUP($A111,test!$A$3:$I$32,9,FALSE))+(test!$B$35-50),0)</f>
        <v>390</v>
      </c>
      <c r="O111">
        <f>IF(AND(SUM(VLOOKUP($A111,test!$A$3:$F$32,2,FALSE),VLOOKUP(O$1,test!$A$3:$F$32,2,FALSE))&lt;test!$K$16,$A111&lt;&gt;O$1,Recharged_Feasible_mat!P80),(VLOOKUP(O$1,test!$A$3:$I$32,8,FALSE))-(VLOOKUP($A111,test!$A$3:$I$32,9,FALSE))+(test!$B$35-50),0)</f>
        <v>450</v>
      </c>
      <c r="P111">
        <f>IF(AND(SUM(VLOOKUP($A111,test!$A$3:$F$32,2,FALSE),VLOOKUP(P$1,test!$A$3:$F$32,2,FALSE))&lt;test!$K$16,$A111&lt;&gt;P$1,Recharged_Feasible_mat!Q80),(VLOOKUP(P$1,test!$A$3:$I$32,8,FALSE))-(VLOOKUP($A111,test!$A$3:$I$32,9,FALSE))+(test!$B$35-50),0)</f>
        <v>0</v>
      </c>
      <c r="Q111">
        <f>IF(AND(SUM(VLOOKUP($A111,test!$A$3:$F$32,2,FALSE),VLOOKUP(Q$1,test!$A$3:$F$32,2,FALSE))&lt;test!$K$16,$A111&lt;&gt;Q$1,Recharged_Feasible_mat!R80),(VLOOKUP(Q$1,test!$A$3:$I$32,8,FALSE))-(VLOOKUP($A111,test!$A$3:$I$32,9,FALSE))+(test!$B$35-50),0)</f>
        <v>0</v>
      </c>
      <c r="R111">
        <f>IF(AND(SUM(VLOOKUP($A111,test!$A$3:$F$32,2,FALSE),VLOOKUP(R$1,test!$A$3:$F$32,2,FALSE))&lt;test!$K$16,$A111&lt;&gt;R$1,Recharged_Feasible_mat!S80),(VLOOKUP(R$1,test!$A$3:$I$32,8,FALSE))-(VLOOKUP($A111,test!$A$3:$I$32,9,FALSE))+(test!$B$35-50),0)</f>
        <v>0</v>
      </c>
      <c r="S111">
        <f>IF(AND(SUM(VLOOKUP($A111,test!$A$3:$F$32,2,FALSE),VLOOKUP(S$1,test!$A$3:$F$32,2,FALSE))&lt;test!$K$16,$A111&lt;&gt;S$1,Recharged_Feasible_mat!T80),(VLOOKUP(S$1,test!$A$3:$I$32,8,FALSE))-(VLOOKUP($A111,test!$A$3:$I$32,9,FALSE))+(test!$B$35-50),0)</f>
        <v>0</v>
      </c>
      <c r="T111">
        <f>IF(AND(SUM(VLOOKUP($A111,test!$A$3:$F$32,2,FALSE),VLOOKUP(T$1,test!$A$3:$F$32,2,FALSE))&lt;test!$K$16,$A111&lt;&gt;T$1,Recharged_Feasible_mat!U80),(VLOOKUP(T$1,test!$A$3:$I$32,8,FALSE))-(VLOOKUP($A111,test!$A$3:$I$32,9,FALSE))+(test!$B$35-50),0)</f>
        <v>0</v>
      </c>
      <c r="U111">
        <f>IF(AND(SUM(VLOOKUP($A111,test!$A$3:$F$32,2,FALSE),VLOOKUP(U$1,test!$A$3:$F$32,2,FALSE))&lt;test!$K$16,$A111&lt;&gt;U$1,Recharged_Feasible_mat!V80),(VLOOKUP(U$1,test!$A$3:$I$32,8,FALSE))-(VLOOKUP($A111,test!$A$3:$I$32,9,FALSE))+(test!$B$35-50),0)</f>
        <v>0</v>
      </c>
      <c r="V111">
        <f>IF(AND(SUM(VLOOKUP($A111,test!$A$3:$F$32,2,FALSE),VLOOKUP(V$1,test!$A$3:$F$32,2,FALSE))&lt;test!$K$16,$A111&lt;&gt;V$1,Recharged_Feasible_mat!W80),(VLOOKUP(V$1,test!$A$3:$I$32,8,FALSE))-(VLOOKUP($A111,test!$A$3:$I$32,9,FALSE))+(test!$B$35-50),0)</f>
        <v>225</v>
      </c>
      <c r="W111">
        <f>IF(AND(SUM(VLOOKUP($A111,test!$A$3:$F$32,2,FALSE),VLOOKUP(W$1,test!$A$3:$F$32,2,FALSE))&lt;test!$K$16,$A111&lt;&gt;W$1,Recharged_Feasible_mat!X80),(VLOOKUP(W$1,test!$A$3:$I$32,8,FALSE))-(VLOOKUP($A111,test!$A$3:$I$32,9,FALSE))+(test!$B$35-50),0)</f>
        <v>315</v>
      </c>
      <c r="X111">
        <f>IF(AND(SUM(VLOOKUP($A111,test!$A$3:$F$32,2,FALSE),VLOOKUP(X$1,test!$A$3:$F$32,2,FALSE))&lt;test!$K$16,$A111&lt;&gt;X$1,Recharged_Feasible_mat!Y80),(VLOOKUP(X$1,test!$A$3:$I$32,8,FALSE))-(VLOOKUP($A111,test!$A$3:$I$32,9,FALSE))+(test!$B$35-50),0)</f>
        <v>375</v>
      </c>
      <c r="Y111">
        <f>IF(AND(SUM(VLOOKUP($A111,test!$A$3:$F$32,2,FALSE),VLOOKUP(Y$1,test!$A$3:$F$32,2,FALSE))&lt;test!$K$16,$A111&lt;&gt;Y$1,Recharged_Feasible_mat!Z80),(VLOOKUP(Y$1,test!$A$3:$I$32,8,FALSE))-(VLOOKUP($A111,test!$A$3:$I$32,9,FALSE))+(test!$B$35-50),0)</f>
        <v>0</v>
      </c>
      <c r="Z111">
        <f>IF(AND(SUM(VLOOKUP($A111,test!$A$3:$F$32,2,FALSE),VLOOKUP(Z$1,test!$A$3:$F$32,2,FALSE))&lt;test!$K$16,$A111&lt;&gt;Z$1,Recharged_Feasible_mat!AA80),(VLOOKUP(Z$1,test!$A$3:$I$32,8,FALSE))-(VLOOKUP($A111,test!$A$3:$I$32,9,FALSE))+(test!$B$35-50),0)</f>
        <v>0</v>
      </c>
      <c r="AA111">
        <f>IF(AND(SUM(VLOOKUP($A111,test!$A$3:$F$32,2,FALSE),VLOOKUP(AA$1,test!$A$3:$F$32,2,FALSE))&lt;test!$K$16,$A111&lt;&gt;AA$1,Recharged_Feasible_mat!AB80),(VLOOKUP(AA$1,test!$A$3:$I$32,8,FALSE))-(VLOOKUP($A111,test!$A$3:$I$32,9,FALSE))+(test!$B$35-50),0)</f>
        <v>0</v>
      </c>
      <c r="AB111">
        <f>IF(AND(SUM(VLOOKUP($A111,test!$A$3:$F$32,2,FALSE),VLOOKUP(AB$1,test!$A$3:$F$32,2,FALSE))&lt;test!$K$16,$A111&lt;&gt;AB$1,Recharged_Feasible_mat!AC80),(VLOOKUP(AB$1,test!$A$3:$I$32,8,FALSE))-(VLOOKUP($A111,test!$A$3:$I$32,9,FALSE))+(test!$B$35-50),0)</f>
        <v>0</v>
      </c>
      <c r="AC111">
        <f>IF(AND(SUM(VLOOKUP($A111,test!$A$3:$F$32,2,FALSE),VLOOKUP(AC$1,test!$A$3:$F$32,2,FALSE))&lt;test!$K$16,$A111&lt;&gt;AC$1,Recharged_Feasible_mat!AD80),(VLOOKUP(AC$1,test!$A$3:$I$32,8,FALSE))-(VLOOKUP($A111,test!$A$3:$I$32,9,FALSE))+(test!$B$35-50),0)</f>
        <v>275</v>
      </c>
      <c r="AD111">
        <f>IF(AND(SUM(VLOOKUP($A111,test!$A$3:$F$32,2,FALSE),VLOOKUP(AD$1,test!$A$3:$F$32,2,FALSE))&lt;test!$K$16,$A111&lt;&gt;AD$1,Recharged_Feasible_mat!AE80),(VLOOKUP(AD$1,test!$A$3:$I$32,8,FALSE))-(VLOOKUP($A111,test!$A$3:$I$32,9,FALSE))+(test!$B$35-50),0)</f>
        <v>0</v>
      </c>
      <c r="AE111">
        <f>IF(AND(SUM(VLOOKUP($A111,test!$A$3:$F$32,2,FALSE),VLOOKUP(AE$1,test!$A$3:$F$32,2,FALSE))&lt;test!$K$16,$A111&lt;&gt;AE$1,Recharged_Feasible_mat!AF80),(VLOOKUP(AE$1,test!$A$3:$I$32,8,FALSE))-(VLOOKUP($A111,test!$A$3:$I$32,9,FALSE))+(test!$B$35-50),0)</f>
        <v>0</v>
      </c>
      <c r="AF111">
        <f>IF(AND(SUM(VLOOKUP($A111,test!$A$3:$F$32,2,FALSE),VLOOKUP(AF$1,test!$A$3:$F$32,2,FALSE))&lt;test!$K$16,$A111&lt;&gt;AF$1,Recharged_Feasible_mat!AG80),(VLOOKUP(AF$1,test!$A$3:$I$32,8,FALSE))-(VLOOKUP($A111,test!$A$3:$I$32,9,FALSE))+(test!$B$35-50),0)</f>
        <v>0</v>
      </c>
    </row>
    <row r="112" spans="1:32" x14ac:dyDescent="0.25">
      <c r="A112" t="s">
        <v>28</v>
      </c>
      <c r="B112">
        <v>0</v>
      </c>
      <c r="C112">
        <f>IF(AND(SUM(VLOOKUP($A112,test!$A$3:$F$32,2,FALSE),VLOOKUP(C$1,test!$A$3:$F$32,2,FALSE))&lt;test!$K$16,$A112&lt;&gt;C$1,Recharged_Feasible_mat!D81),(VLOOKUP(C$1,test!$A$3:$I$32,8,FALSE))-(VLOOKUP($A112,test!$A$3:$I$32,9,FALSE))+(test!$B$35-50),0)</f>
        <v>0</v>
      </c>
      <c r="D112">
        <f>IF(AND(SUM(VLOOKUP($A112,test!$A$3:$F$32,2,FALSE),VLOOKUP(D$1,test!$A$3:$F$32,2,FALSE))&lt;test!$K$16,$A112&lt;&gt;D$1,Recharged_Feasible_mat!E81),(VLOOKUP(D$1,test!$A$3:$I$32,8,FALSE))-(VLOOKUP($A112,test!$A$3:$I$32,9,FALSE))+(test!$B$35-50),0)</f>
        <v>0</v>
      </c>
      <c r="E112">
        <f>IF(AND(SUM(VLOOKUP($A112,test!$A$3:$F$32,2,FALSE),VLOOKUP(E$1,test!$A$3:$F$32,2,FALSE))&lt;test!$K$16,$A112&lt;&gt;E$1,Recharged_Feasible_mat!F81),(VLOOKUP(E$1,test!$A$3:$I$32,8,FALSE))-(VLOOKUP($A112,test!$A$3:$I$32,9,FALSE))+(test!$B$35-50),0)</f>
        <v>0</v>
      </c>
      <c r="F112">
        <f>IF(AND(SUM(VLOOKUP($A112,test!$A$3:$F$32,2,FALSE),VLOOKUP(F$1,test!$A$3:$F$32,2,FALSE))&lt;test!$K$16,$A112&lt;&gt;F$1,Recharged_Feasible_mat!G81),(VLOOKUP(F$1,test!$A$3:$I$32,8,FALSE))-(VLOOKUP($A112,test!$A$3:$I$32,9,FALSE))+(test!$B$35-50),0)</f>
        <v>0</v>
      </c>
      <c r="G112">
        <f>IF(AND(SUM(VLOOKUP($A112,test!$A$3:$F$32,2,FALSE),VLOOKUP(G$1,test!$A$3:$F$32,2,FALSE))&lt;test!$K$16,$A112&lt;&gt;G$1,Recharged_Feasible_mat!H81),(VLOOKUP(G$1,test!$A$3:$I$32,8,FALSE))-(VLOOKUP($A112,test!$A$3:$I$32,9,FALSE))+(test!$B$35-50),0)</f>
        <v>0</v>
      </c>
      <c r="H112">
        <f>IF(AND(SUM(VLOOKUP($A112,test!$A$3:$F$32,2,FALSE),VLOOKUP(H$1,test!$A$3:$F$32,2,FALSE))&lt;test!$K$16,$A112&lt;&gt;H$1,Recharged_Feasible_mat!I81),(VLOOKUP(H$1,test!$A$3:$I$32,8,FALSE))-(VLOOKUP($A112,test!$A$3:$I$32,9,FALSE))+(test!$B$35-50),0)</f>
        <v>0</v>
      </c>
      <c r="I112">
        <f>IF(AND(SUM(VLOOKUP($A112,test!$A$3:$F$32,2,FALSE),VLOOKUP(I$1,test!$A$3:$F$32,2,FALSE))&lt;test!$K$16,$A112&lt;&gt;I$1,Recharged_Feasible_mat!J81),(VLOOKUP(I$1,test!$A$3:$I$32,8,FALSE))-(VLOOKUP($A112,test!$A$3:$I$32,9,FALSE))+(test!$B$35-50),0)</f>
        <v>245</v>
      </c>
      <c r="J112">
        <f>IF(AND(SUM(VLOOKUP($A112,test!$A$3:$F$32,2,FALSE),VLOOKUP(J$1,test!$A$3:$F$32,2,FALSE))&lt;test!$K$16,$A112&lt;&gt;J$1,Recharged_Feasible_mat!K81),(VLOOKUP(J$1,test!$A$3:$I$32,8,FALSE))-(VLOOKUP($A112,test!$A$3:$I$32,9,FALSE))+(test!$B$35-50),0)</f>
        <v>335</v>
      </c>
      <c r="K112">
        <f>IF(AND(SUM(VLOOKUP($A112,test!$A$3:$F$32,2,FALSE),VLOOKUP(K$1,test!$A$3:$F$32,2,FALSE))&lt;test!$K$16,$A112&lt;&gt;K$1,Recharged_Feasible_mat!L81),(VLOOKUP(K$1,test!$A$3:$I$32,8,FALSE))-(VLOOKUP($A112,test!$A$3:$I$32,9,FALSE))+(test!$B$35-50),0)</f>
        <v>0</v>
      </c>
      <c r="L112">
        <f>IF(AND(SUM(VLOOKUP($A112,test!$A$3:$F$32,2,FALSE),VLOOKUP(L$1,test!$A$3:$F$32,2,FALSE))&lt;test!$K$16,$A112&lt;&gt;L$1,Recharged_Feasible_mat!M81),(VLOOKUP(L$1,test!$A$3:$I$32,8,FALSE))-(VLOOKUP($A112,test!$A$3:$I$32,9,FALSE))+(test!$B$35-50),0)</f>
        <v>0</v>
      </c>
      <c r="M112">
        <f>IF(AND(SUM(VLOOKUP($A112,test!$A$3:$F$32,2,FALSE),VLOOKUP(M$1,test!$A$3:$F$32,2,FALSE))&lt;test!$K$16,$A112&lt;&gt;M$1,Recharged_Feasible_mat!N81),(VLOOKUP(M$1,test!$A$3:$I$32,8,FALSE))-(VLOOKUP($A112,test!$A$3:$I$32,9,FALSE))+(test!$B$35-50),0)</f>
        <v>0</v>
      </c>
      <c r="N112">
        <f>IF(AND(SUM(VLOOKUP($A112,test!$A$3:$F$32,2,FALSE),VLOOKUP(N$1,test!$A$3:$F$32,2,FALSE))&lt;test!$K$16,$A112&lt;&gt;N$1,Recharged_Feasible_mat!O81),(VLOOKUP(N$1,test!$A$3:$I$32,8,FALSE))-(VLOOKUP($A112,test!$A$3:$I$32,9,FALSE))+(test!$B$35-50),0)</f>
        <v>300</v>
      </c>
      <c r="O112">
        <f>IF(AND(SUM(VLOOKUP($A112,test!$A$3:$F$32,2,FALSE),VLOOKUP(O$1,test!$A$3:$F$32,2,FALSE))&lt;test!$K$16,$A112&lt;&gt;O$1,Recharged_Feasible_mat!P81),(VLOOKUP(O$1,test!$A$3:$I$32,8,FALSE))-(VLOOKUP($A112,test!$A$3:$I$32,9,FALSE))+(test!$B$35-50),0)</f>
        <v>360</v>
      </c>
      <c r="P112">
        <f>IF(AND(SUM(VLOOKUP($A112,test!$A$3:$F$32,2,FALSE),VLOOKUP(P$1,test!$A$3:$F$32,2,FALSE))&lt;test!$K$16,$A112&lt;&gt;P$1,Recharged_Feasible_mat!Q81),(VLOOKUP(P$1,test!$A$3:$I$32,8,FALSE))-(VLOOKUP($A112,test!$A$3:$I$32,9,FALSE))+(test!$B$35-50),0)</f>
        <v>0</v>
      </c>
      <c r="Q112">
        <f>IF(AND(SUM(VLOOKUP($A112,test!$A$3:$F$32,2,FALSE),VLOOKUP(Q$1,test!$A$3:$F$32,2,FALSE))&lt;test!$K$16,$A112&lt;&gt;Q$1,Recharged_Feasible_mat!R81),(VLOOKUP(Q$1,test!$A$3:$I$32,8,FALSE))-(VLOOKUP($A112,test!$A$3:$I$32,9,FALSE))+(test!$B$35-50),0)</f>
        <v>0</v>
      </c>
      <c r="R112">
        <f>IF(AND(SUM(VLOOKUP($A112,test!$A$3:$F$32,2,FALSE),VLOOKUP(R$1,test!$A$3:$F$32,2,FALSE))&lt;test!$K$16,$A112&lt;&gt;R$1,Recharged_Feasible_mat!S81),(VLOOKUP(R$1,test!$A$3:$I$32,8,FALSE))-(VLOOKUP($A112,test!$A$3:$I$32,9,FALSE))+(test!$B$35-50),0)</f>
        <v>0</v>
      </c>
      <c r="S112">
        <f>IF(AND(SUM(VLOOKUP($A112,test!$A$3:$F$32,2,FALSE),VLOOKUP(S$1,test!$A$3:$F$32,2,FALSE))&lt;test!$K$16,$A112&lt;&gt;S$1,Recharged_Feasible_mat!T81),(VLOOKUP(S$1,test!$A$3:$I$32,8,FALSE))-(VLOOKUP($A112,test!$A$3:$I$32,9,FALSE))+(test!$B$35-50),0)</f>
        <v>0</v>
      </c>
      <c r="T112">
        <f>IF(AND(SUM(VLOOKUP($A112,test!$A$3:$F$32,2,FALSE),VLOOKUP(T$1,test!$A$3:$F$32,2,FALSE))&lt;test!$K$16,$A112&lt;&gt;T$1,Recharged_Feasible_mat!U81),(VLOOKUP(T$1,test!$A$3:$I$32,8,FALSE))-(VLOOKUP($A112,test!$A$3:$I$32,9,FALSE))+(test!$B$35-50),0)</f>
        <v>0</v>
      </c>
      <c r="U112">
        <f>IF(AND(SUM(VLOOKUP($A112,test!$A$3:$F$32,2,FALSE),VLOOKUP(U$1,test!$A$3:$F$32,2,FALSE))&lt;test!$K$16,$A112&lt;&gt;U$1,Recharged_Feasible_mat!V81),(VLOOKUP(U$1,test!$A$3:$I$32,8,FALSE))-(VLOOKUP($A112,test!$A$3:$I$32,9,FALSE))+(test!$B$35-50),0)</f>
        <v>0</v>
      </c>
      <c r="V112">
        <f>IF(AND(SUM(VLOOKUP($A112,test!$A$3:$F$32,2,FALSE),VLOOKUP(V$1,test!$A$3:$F$32,2,FALSE))&lt;test!$K$16,$A112&lt;&gt;V$1,Recharged_Feasible_mat!W81),(VLOOKUP(V$1,test!$A$3:$I$32,8,FALSE))-(VLOOKUP($A112,test!$A$3:$I$32,9,FALSE))+(test!$B$35-50),0)</f>
        <v>0</v>
      </c>
      <c r="W112">
        <f>IF(AND(SUM(VLOOKUP($A112,test!$A$3:$F$32,2,FALSE),VLOOKUP(W$1,test!$A$3:$F$32,2,FALSE))&lt;test!$K$16,$A112&lt;&gt;W$1,Recharged_Feasible_mat!X81),(VLOOKUP(W$1,test!$A$3:$I$32,8,FALSE))-(VLOOKUP($A112,test!$A$3:$I$32,9,FALSE))+(test!$B$35-50),0)</f>
        <v>225</v>
      </c>
      <c r="X112">
        <f>IF(AND(SUM(VLOOKUP($A112,test!$A$3:$F$32,2,FALSE),VLOOKUP(X$1,test!$A$3:$F$32,2,FALSE))&lt;test!$K$16,$A112&lt;&gt;X$1,Recharged_Feasible_mat!Y81),(VLOOKUP(X$1,test!$A$3:$I$32,8,FALSE))-(VLOOKUP($A112,test!$A$3:$I$32,9,FALSE))+(test!$B$35-50),0)</f>
        <v>285</v>
      </c>
      <c r="Y112">
        <f>IF(AND(SUM(VLOOKUP($A112,test!$A$3:$F$32,2,FALSE),VLOOKUP(Y$1,test!$A$3:$F$32,2,FALSE))&lt;test!$K$16,$A112&lt;&gt;Y$1,Recharged_Feasible_mat!Z81),(VLOOKUP(Y$1,test!$A$3:$I$32,8,FALSE))-(VLOOKUP($A112,test!$A$3:$I$32,9,FALSE))+(test!$B$35-50),0)</f>
        <v>0</v>
      </c>
      <c r="Z112">
        <f>IF(AND(SUM(VLOOKUP($A112,test!$A$3:$F$32,2,FALSE),VLOOKUP(Z$1,test!$A$3:$F$32,2,FALSE))&lt;test!$K$16,$A112&lt;&gt;Z$1,Recharged_Feasible_mat!AA81),(VLOOKUP(Z$1,test!$A$3:$I$32,8,FALSE))-(VLOOKUP($A112,test!$A$3:$I$32,9,FALSE))+(test!$B$35-50),0)</f>
        <v>0</v>
      </c>
      <c r="AA112">
        <f>IF(AND(SUM(VLOOKUP($A112,test!$A$3:$F$32,2,FALSE),VLOOKUP(AA$1,test!$A$3:$F$32,2,FALSE))&lt;test!$K$16,$A112&lt;&gt;AA$1,Recharged_Feasible_mat!AB81),(VLOOKUP(AA$1,test!$A$3:$I$32,8,FALSE))-(VLOOKUP($A112,test!$A$3:$I$32,9,FALSE))+(test!$B$35-50),0)</f>
        <v>0</v>
      </c>
      <c r="AB112">
        <f>IF(AND(SUM(VLOOKUP($A112,test!$A$3:$F$32,2,FALSE),VLOOKUP(AB$1,test!$A$3:$F$32,2,FALSE))&lt;test!$K$16,$A112&lt;&gt;AB$1,Recharged_Feasible_mat!AC81),(VLOOKUP(AB$1,test!$A$3:$I$32,8,FALSE))-(VLOOKUP($A112,test!$A$3:$I$32,9,FALSE))+(test!$B$35-50),0)</f>
        <v>0</v>
      </c>
      <c r="AC112">
        <f>IF(AND(SUM(VLOOKUP($A112,test!$A$3:$F$32,2,FALSE),VLOOKUP(AC$1,test!$A$3:$F$32,2,FALSE))&lt;test!$K$16,$A112&lt;&gt;AC$1,Recharged_Feasible_mat!AD81),(VLOOKUP(AC$1,test!$A$3:$I$32,8,FALSE))-(VLOOKUP($A112,test!$A$3:$I$32,9,FALSE))+(test!$B$35-50),0)</f>
        <v>0</v>
      </c>
      <c r="AD112">
        <f>IF(AND(SUM(VLOOKUP($A112,test!$A$3:$F$32,2,FALSE),VLOOKUP(AD$1,test!$A$3:$F$32,2,FALSE))&lt;test!$K$16,$A112&lt;&gt;AD$1,Recharged_Feasible_mat!AE81),(VLOOKUP(AD$1,test!$A$3:$I$32,8,FALSE))-(VLOOKUP($A112,test!$A$3:$I$32,9,FALSE))+(test!$B$35-50),0)</f>
        <v>0</v>
      </c>
      <c r="AE112">
        <f>IF(AND(SUM(VLOOKUP($A112,test!$A$3:$F$32,2,FALSE),VLOOKUP(AE$1,test!$A$3:$F$32,2,FALSE))&lt;test!$K$16,$A112&lt;&gt;AE$1,Recharged_Feasible_mat!AF81),(VLOOKUP(AE$1,test!$A$3:$I$32,8,FALSE))-(VLOOKUP($A112,test!$A$3:$I$32,9,FALSE))+(test!$B$35-50),0)</f>
        <v>0</v>
      </c>
      <c r="AF112">
        <f>IF(AND(SUM(VLOOKUP($A112,test!$A$3:$F$32,2,FALSE),VLOOKUP(AF$1,test!$A$3:$F$32,2,FALSE))&lt;test!$K$16,$A112&lt;&gt;AF$1,Recharged_Feasible_mat!AG81),(VLOOKUP(AF$1,test!$A$3:$I$32,8,FALSE))-(VLOOKUP($A112,test!$A$3:$I$32,9,FALSE))+(test!$B$35-50),0)</f>
        <v>0</v>
      </c>
    </row>
    <row r="113" spans="1:32" x14ac:dyDescent="0.25">
      <c r="A113" t="s">
        <v>29</v>
      </c>
      <c r="B113">
        <v>0</v>
      </c>
      <c r="C113">
        <f>IF(AND(SUM(VLOOKUP($A113,test!$A$3:$F$32,2,FALSE),VLOOKUP(C$1,test!$A$3:$F$32,2,FALSE))&lt;test!$K$16,$A113&lt;&gt;C$1,Recharged_Feasible_mat!D82),(VLOOKUP(C$1,test!$A$3:$I$32,8,FALSE))-(VLOOKUP($A113,test!$A$3:$I$32,9,FALSE))+(test!$B$35-50),0)</f>
        <v>0</v>
      </c>
      <c r="D113">
        <f>IF(AND(SUM(VLOOKUP($A113,test!$A$3:$F$32,2,FALSE),VLOOKUP(D$1,test!$A$3:$F$32,2,FALSE))&lt;test!$K$16,$A113&lt;&gt;D$1,Recharged_Feasible_mat!E82),(VLOOKUP(D$1,test!$A$3:$I$32,8,FALSE))-(VLOOKUP($A113,test!$A$3:$I$32,9,FALSE))+(test!$B$35-50),0)</f>
        <v>0</v>
      </c>
      <c r="E113">
        <f>IF(AND(SUM(VLOOKUP($A113,test!$A$3:$F$32,2,FALSE),VLOOKUP(E$1,test!$A$3:$F$32,2,FALSE))&lt;test!$K$16,$A113&lt;&gt;E$1,Recharged_Feasible_mat!F82),(VLOOKUP(E$1,test!$A$3:$I$32,8,FALSE))-(VLOOKUP($A113,test!$A$3:$I$32,9,FALSE))+(test!$B$35-50),0)</f>
        <v>0</v>
      </c>
      <c r="F113">
        <f>IF(AND(SUM(VLOOKUP($A113,test!$A$3:$F$32,2,FALSE),VLOOKUP(F$1,test!$A$3:$F$32,2,FALSE))&lt;test!$K$16,$A113&lt;&gt;F$1,Recharged_Feasible_mat!G82),(VLOOKUP(F$1,test!$A$3:$I$32,8,FALSE))-(VLOOKUP($A113,test!$A$3:$I$32,9,FALSE))+(test!$B$35-50),0)</f>
        <v>0</v>
      </c>
      <c r="G113">
        <f>IF(AND(SUM(VLOOKUP($A113,test!$A$3:$F$32,2,FALSE),VLOOKUP(G$1,test!$A$3:$F$32,2,FALSE))&lt;test!$K$16,$A113&lt;&gt;G$1,Recharged_Feasible_mat!H82),(VLOOKUP(G$1,test!$A$3:$I$32,8,FALSE))-(VLOOKUP($A113,test!$A$3:$I$32,9,FALSE))+(test!$B$35-50),0)</f>
        <v>0</v>
      </c>
      <c r="H113">
        <f>IF(AND(SUM(VLOOKUP($A113,test!$A$3:$F$32,2,FALSE),VLOOKUP(H$1,test!$A$3:$F$32,2,FALSE))&lt;test!$K$16,$A113&lt;&gt;H$1,Recharged_Feasible_mat!I82),(VLOOKUP(H$1,test!$A$3:$I$32,8,FALSE))-(VLOOKUP($A113,test!$A$3:$I$32,9,FALSE))+(test!$B$35-50),0)</f>
        <v>0</v>
      </c>
      <c r="I113">
        <f>IF(AND(SUM(VLOOKUP($A113,test!$A$3:$F$32,2,FALSE),VLOOKUP(I$1,test!$A$3:$F$32,2,FALSE))&lt;test!$K$16,$A113&lt;&gt;I$1,Recharged_Feasible_mat!J82),(VLOOKUP(I$1,test!$A$3:$I$32,8,FALSE))-(VLOOKUP($A113,test!$A$3:$I$32,9,FALSE))+(test!$B$35-50),0)</f>
        <v>0</v>
      </c>
      <c r="J113">
        <f>IF(AND(SUM(VLOOKUP($A113,test!$A$3:$F$32,2,FALSE),VLOOKUP(J$1,test!$A$3:$F$32,2,FALSE))&lt;test!$K$16,$A113&lt;&gt;J$1,Recharged_Feasible_mat!K82),(VLOOKUP(J$1,test!$A$3:$I$32,8,FALSE))-(VLOOKUP($A113,test!$A$3:$I$32,9,FALSE))+(test!$B$35-50),0)</f>
        <v>245</v>
      </c>
      <c r="K113">
        <f>IF(AND(SUM(VLOOKUP($A113,test!$A$3:$F$32,2,FALSE),VLOOKUP(K$1,test!$A$3:$F$32,2,FALSE))&lt;test!$K$16,$A113&lt;&gt;K$1,Recharged_Feasible_mat!L82),(VLOOKUP(K$1,test!$A$3:$I$32,8,FALSE))-(VLOOKUP($A113,test!$A$3:$I$32,9,FALSE))+(test!$B$35-50),0)</f>
        <v>0</v>
      </c>
      <c r="L113">
        <f>IF(AND(SUM(VLOOKUP($A113,test!$A$3:$F$32,2,FALSE),VLOOKUP(L$1,test!$A$3:$F$32,2,FALSE))&lt;test!$K$16,$A113&lt;&gt;L$1,Recharged_Feasible_mat!M82),(VLOOKUP(L$1,test!$A$3:$I$32,8,FALSE))-(VLOOKUP($A113,test!$A$3:$I$32,9,FALSE))+(test!$B$35-50),0)</f>
        <v>0</v>
      </c>
      <c r="M113">
        <f>IF(AND(SUM(VLOOKUP($A113,test!$A$3:$F$32,2,FALSE),VLOOKUP(M$1,test!$A$3:$F$32,2,FALSE))&lt;test!$K$16,$A113&lt;&gt;M$1,Recharged_Feasible_mat!N82),(VLOOKUP(M$1,test!$A$3:$I$32,8,FALSE))-(VLOOKUP($A113,test!$A$3:$I$32,9,FALSE))+(test!$B$35-50),0)</f>
        <v>0</v>
      </c>
      <c r="N113">
        <f>IF(AND(SUM(VLOOKUP($A113,test!$A$3:$F$32,2,FALSE),VLOOKUP(N$1,test!$A$3:$F$32,2,FALSE))&lt;test!$K$16,$A113&lt;&gt;N$1,Recharged_Feasible_mat!O82),(VLOOKUP(N$1,test!$A$3:$I$32,8,FALSE))-(VLOOKUP($A113,test!$A$3:$I$32,9,FALSE))+(test!$B$35-50),0)</f>
        <v>210</v>
      </c>
      <c r="O113">
        <f>IF(AND(SUM(VLOOKUP($A113,test!$A$3:$F$32,2,FALSE),VLOOKUP(O$1,test!$A$3:$F$32,2,FALSE))&lt;test!$K$16,$A113&lt;&gt;O$1,Recharged_Feasible_mat!P82),(VLOOKUP(O$1,test!$A$3:$I$32,8,FALSE))-(VLOOKUP($A113,test!$A$3:$I$32,9,FALSE))+(test!$B$35-50),0)</f>
        <v>270</v>
      </c>
      <c r="P113">
        <f>IF(AND(SUM(VLOOKUP($A113,test!$A$3:$F$32,2,FALSE),VLOOKUP(P$1,test!$A$3:$F$32,2,FALSE))&lt;test!$K$16,$A113&lt;&gt;P$1,Recharged_Feasible_mat!Q82),(VLOOKUP(P$1,test!$A$3:$I$32,8,FALSE))-(VLOOKUP($A113,test!$A$3:$I$32,9,FALSE))+(test!$B$35-50),0)</f>
        <v>0</v>
      </c>
      <c r="Q113">
        <f>IF(AND(SUM(VLOOKUP($A113,test!$A$3:$F$32,2,FALSE),VLOOKUP(Q$1,test!$A$3:$F$32,2,FALSE))&lt;test!$K$16,$A113&lt;&gt;Q$1,Recharged_Feasible_mat!R82),(VLOOKUP(Q$1,test!$A$3:$I$32,8,FALSE))-(VLOOKUP($A113,test!$A$3:$I$32,9,FALSE))+(test!$B$35-50),0)</f>
        <v>0</v>
      </c>
      <c r="R113">
        <f>IF(AND(SUM(VLOOKUP($A113,test!$A$3:$F$32,2,FALSE),VLOOKUP(R$1,test!$A$3:$F$32,2,FALSE))&lt;test!$K$16,$A113&lt;&gt;R$1,Recharged_Feasible_mat!S82),(VLOOKUP(R$1,test!$A$3:$I$32,8,FALSE))-(VLOOKUP($A113,test!$A$3:$I$32,9,FALSE))+(test!$B$35-50),0)</f>
        <v>0</v>
      </c>
      <c r="S113">
        <f>IF(AND(SUM(VLOOKUP($A113,test!$A$3:$F$32,2,FALSE),VLOOKUP(S$1,test!$A$3:$F$32,2,FALSE))&lt;test!$K$16,$A113&lt;&gt;S$1,Recharged_Feasible_mat!T82),(VLOOKUP(S$1,test!$A$3:$I$32,8,FALSE))-(VLOOKUP($A113,test!$A$3:$I$32,9,FALSE))+(test!$B$35-50),0)</f>
        <v>0</v>
      </c>
      <c r="T113">
        <f>IF(AND(SUM(VLOOKUP($A113,test!$A$3:$F$32,2,FALSE),VLOOKUP(T$1,test!$A$3:$F$32,2,FALSE))&lt;test!$K$16,$A113&lt;&gt;T$1,Recharged_Feasible_mat!U82),(VLOOKUP(T$1,test!$A$3:$I$32,8,FALSE))-(VLOOKUP($A113,test!$A$3:$I$32,9,FALSE))+(test!$B$35-50),0)</f>
        <v>0</v>
      </c>
      <c r="U113">
        <f>IF(AND(SUM(VLOOKUP($A113,test!$A$3:$F$32,2,FALSE),VLOOKUP(U$1,test!$A$3:$F$32,2,FALSE))&lt;test!$K$16,$A113&lt;&gt;U$1,Recharged_Feasible_mat!V82),(VLOOKUP(U$1,test!$A$3:$I$32,8,FALSE))-(VLOOKUP($A113,test!$A$3:$I$32,9,FALSE))+(test!$B$35-50),0)</f>
        <v>0</v>
      </c>
      <c r="V113">
        <f>IF(AND(SUM(VLOOKUP($A113,test!$A$3:$F$32,2,FALSE),VLOOKUP(V$1,test!$A$3:$F$32,2,FALSE))&lt;test!$K$16,$A113&lt;&gt;V$1,Recharged_Feasible_mat!W82),(VLOOKUP(V$1,test!$A$3:$I$32,8,FALSE))-(VLOOKUP($A113,test!$A$3:$I$32,9,FALSE))+(test!$B$35-50),0)</f>
        <v>0</v>
      </c>
      <c r="W113">
        <f>IF(AND(SUM(VLOOKUP($A113,test!$A$3:$F$32,2,FALSE),VLOOKUP(W$1,test!$A$3:$F$32,2,FALSE))&lt;test!$K$16,$A113&lt;&gt;W$1,Recharged_Feasible_mat!X82),(VLOOKUP(W$1,test!$A$3:$I$32,8,FALSE))-(VLOOKUP($A113,test!$A$3:$I$32,9,FALSE))+(test!$B$35-50),0)</f>
        <v>0</v>
      </c>
      <c r="X113">
        <f>IF(AND(SUM(VLOOKUP($A113,test!$A$3:$F$32,2,FALSE),VLOOKUP(X$1,test!$A$3:$F$32,2,FALSE))&lt;test!$K$16,$A113&lt;&gt;X$1,Recharged_Feasible_mat!Y82),(VLOOKUP(X$1,test!$A$3:$I$32,8,FALSE))-(VLOOKUP($A113,test!$A$3:$I$32,9,FALSE))+(test!$B$35-50),0)</f>
        <v>195</v>
      </c>
      <c r="Y113">
        <f>IF(AND(SUM(VLOOKUP($A113,test!$A$3:$F$32,2,FALSE),VLOOKUP(Y$1,test!$A$3:$F$32,2,FALSE))&lt;test!$K$16,$A113&lt;&gt;Y$1,Recharged_Feasible_mat!Z82),(VLOOKUP(Y$1,test!$A$3:$I$32,8,FALSE))-(VLOOKUP($A113,test!$A$3:$I$32,9,FALSE))+(test!$B$35-50),0)</f>
        <v>0</v>
      </c>
      <c r="Z113">
        <f>IF(AND(SUM(VLOOKUP($A113,test!$A$3:$F$32,2,FALSE),VLOOKUP(Z$1,test!$A$3:$F$32,2,FALSE))&lt;test!$K$16,$A113&lt;&gt;Z$1,Recharged_Feasible_mat!AA82),(VLOOKUP(Z$1,test!$A$3:$I$32,8,FALSE))-(VLOOKUP($A113,test!$A$3:$I$32,9,FALSE))+(test!$B$35-50),0)</f>
        <v>0</v>
      </c>
      <c r="AA113">
        <f>IF(AND(SUM(VLOOKUP($A113,test!$A$3:$F$32,2,FALSE),VLOOKUP(AA$1,test!$A$3:$F$32,2,FALSE))&lt;test!$K$16,$A113&lt;&gt;AA$1,Recharged_Feasible_mat!AB82),(VLOOKUP(AA$1,test!$A$3:$I$32,8,FALSE))-(VLOOKUP($A113,test!$A$3:$I$32,9,FALSE))+(test!$B$35-50),0)</f>
        <v>0</v>
      </c>
      <c r="AB113">
        <f>IF(AND(SUM(VLOOKUP($A113,test!$A$3:$F$32,2,FALSE),VLOOKUP(AB$1,test!$A$3:$F$32,2,FALSE))&lt;test!$K$16,$A113&lt;&gt;AB$1,Recharged_Feasible_mat!AC82),(VLOOKUP(AB$1,test!$A$3:$I$32,8,FALSE))-(VLOOKUP($A113,test!$A$3:$I$32,9,FALSE))+(test!$B$35-50),0)</f>
        <v>0</v>
      </c>
      <c r="AC113">
        <f>IF(AND(SUM(VLOOKUP($A113,test!$A$3:$F$32,2,FALSE),VLOOKUP(AC$1,test!$A$3:$F$32,2,FALSE))&lt;test!$K$16,$A113&lt;&gt;AC$1,Recharged_Feasible_mat!AD82),(VLOOKUP(AC$1,test!$A$3:$I$32,8,FALSE))-(VLOOKUP($A113,test!$A$3:$I$32,9,FALSE))+(test!$B$35-50),0)</f>
        <v>0</v>
      </c>
      <c r="AD113">
        <f>IF(AND(SUM(VLOOKUP($A113,test!$A$3:$F$32,2,FALSE),VLOOKUP(AD$1,test!$A$3:$F$32,2,FALSE))&lt;test!$K$16,$A113&lt;&gt;AD$1,Recharged_Feasible_mat!AE82),(VLOOKUP(AD$1,test!$A$3:$I$32,8,FALSE))-(VLOOKUP($A113,test!$A$3:$I$32,9,FALSE))+(test!$B$35-50),0)</f>
        <v>0</v>
      </c>
      <c r="AE113">
        <f>IF(AND(SUM(VLOOKUP($A113,test!$A$3:$F$32,2,FALSE),VLOOKUP(AE$1,test!$A$3:$F$32,2,FALSE))&lt;test!$K$16,$A113&lt;&gt;AE$1,Recharged_Feasible_mat!AF82),(VLOOKUP(AE$1,test!$A$3:$I$32,8,FALSE))-(VLOOKUP($A113,test!$A$3:$I$32,9,FALSE))+(test!$B$35-50),0)</f>
        <v>0</v>
      </c>
      <c r="AF113">
        <f>IF(AND(SUM(VLOOKUP($A113,test!$A$3:$F$32,2,FALSE),VLOOKUP(AF$1,test!$A$3:$F$32,2,FALSE))&lt;test!$K$16,$A113&lt;&gt;AF$1,Recharged_Feasible_mat!AG82),(VLOOKUP(AF$1,test!$A$3:$I$32,8,FALSE))-(VLOOKUP($A113,test!$A$3:$I$32,9,FALSE))+(test!$B$35-50),0)</f>
        <v>0</v>
      </c>
    </row>
    <row r="114" spans="1:32" x14ac:dyDescent="0.25">
      <c r="A114" t="s">
        <v>30</v>
      </c>
      <c r="B114">
        <v>0</v>
      </c>
      <c r="C114">
        <f>IF(AND(SUM(VLOOKUP($A114,test!$A$3:$F$32,2,FALSE),VLOOKUP(C$1,test!$A$3:$F$32,2,FALSE))&lt;test!$K$16,$A114&lt;&gt;C$1,Recharged_Feasible_mat!D83),(VLOOKUP(C$1,test!$A$3:$I$32,8,FALSE))-(VLOOKUP($A114,test!$A$3:$I$32,9,FALSE))+(test!$B$35-50),0)</f>
        <v>0</v>
      </c>
      <c r="D114">
        <f>IF(AND(SUM(VLOOKUP($A114,test!$A$3:$F$32,2,FALSE),VLOOKUP(D$1,test!$A$3:$F$32,2,FALSE))&lt;test!$K$16,$A114&lt;&gt;D$1,Recharged_Feasible_mat!E83),(VLOOKUP(D$1,test!$A$3:$I$32,8,FALSE))-(VLOOKUP($A114,test!$A$3:$I$32,9,FALSE))+(test!$B$35-50),0)</f>
        <v>0</v>
      </c>
      <c r="E114">
        <f>IF(AND(SUM(VLOOKUP($A114,test!$A$3:$F$32,2,FALSE),VLOOKUP(E$1,test!$A$3:$F$32,2,FALSE))&lt;test!$K$16,$A114&lt;&gt;E$1,Recharged_Feasible_mat!F83),(VLOOKUP(E$1,test!$A$3:$I$32,8,FALSE))-(VLOOKUP($A114,test!$A$3:$I$32,9,FALSE))+(test!$B$35-50),0)</f>
        <v>0</v>
      </c>
      <c r="F114">
        <f>IF(AND(SUM(VLOOKUP($A114,test!$A$3:$F$32,2,FALSE),VLOOKUP(F$1,test!$A$3:$F$32,2,FALSE))&lt;test!$K$16,$A114&lt;&gt;F$1,Recharged_Feasible_mat!G83),(VLOOKUP(F$1,test!$A$3:$I$32,8,FALSE))-(VLOOKUP($A114,test!$A$3:$I$32,9,FALSE))+(test!$B$35-50),0)</f>
        <v>0</v>
      </c>
      <c r="G114">
        <f>IF(AND(SUM(VLOOKUP($A114,test!$A$3:$F$32,2,FALSE),VLOOKUP(G$1,test!$A$3:$F$32,2,FALSE))&lt;test!$K$16,$A114&lt;&gt;G$1,Recharged_Feasible_mat!H83),(VLOOKUP(G$1,test!$A$3:$I$32,8,FALSE))-(VLOOKUP($A114,test!$A$3:$I$32,9,FALSE))+(test!$B$35-50),0)</f>
        <v>0</v>
      </c>
      <c r="H114">
        <f>IF(AND(SUM(VLOOKUP($A114,test!$A$3:$F$32,2,FALSE),VLOOKUP(H$1,test!$A$3:$F$32,2,FALSE))&lt;test!$K$16,$A114&lt;&gt;H$1,Recharged_Feasible_mat!I83),(VLOOKUP(H$1,test!$A$3:$I$32,8,FALSE))-(VLOOKUP($A114,test!$A$3:$I$32,9,FALSE))+(test!$B$35-50),0)</f>
        <v>0</v>
      </c>
      <c r="I114">
        <f>IF(AND(SUM(VLOOKUP($A114,test!$A$3:$F$32,2,FALSE),VLOOKUP(I$1,test!$A$3:$F$32,2,FALSE))&lt;test!$K$16,$A114&lt;&gt;I$1,Recharged_Feasible_mat!J83),(VLOOKUP(I$1,test!$A$3:$I$32,8,FALSE))-(VLOOKUP($A114,test!$A$3:$I$32,9,FALSE))+(test!$B$35-50),0)</f>
        <v>0</v>
      </c>
      <c r="J114">
        <f>IF(AND(SUM(VLOOKUP($A114,test!$A$3:$F$32,2,FALSE),VLOOKUP(J$1,test!$A$3:$F$32,2,FALSE))&lt;test!$K$16,$A114&lt;&gt;J$1,Recharged_Feasible_mat!K83),(VLOOKUP(J$1,test!$A$3:$I$32,8,FALSE))-(VLOOKUP($A114,test!$A$3:$I$32,9,FALSE))+(test!$B$35-50),0)</f>
        <v>0</v>
      </c>
      <c r="K114">
        <f>IF(AND(SUM(VLOOKUP($A114,test!$A$3:$F$32,2,FALSE),VLOOKUP(K$1,test!$A$3:$F$32,2,FALSE))&lt;test!$K$16,$A114&lt;&gt;K$1,Recharged_Feasible_mat!L83),(VLOOKUP(K$1,test!$A$3:$I$32,8,FALSE))-(VLOOKUP($A114,test!$A$3:$I$32,9,FALSE))+(test!$B$35-50),0)</f>
        <v>0</v>
      </c>
      <c r="L114">
        <f>IF(AND(SUM(VLOOKUP($A114,test!$A$3:$F$32,2,FALSE),VLOOKUP(L$1,test!$A$3:$F$32,2,FALSE))&lt;test!$K$16,$A114&lt;&gt;L$1,Recharged_Feasible_mat!M83),(VLOOKUP(L$1,test!$A$3:$I$32,8,FALSE))-(VLOOKUP($A114,test!$A$3:$I$32,9,FALSE))+(test!$B$35-50),0)</f>
        <v>0</v>
      </c>
      <c r="M114">
        <f>IF(AND(SUM(VLOOKUP($A114,test!$A$3:$F$32,2,FALSE),VLOOKUP(M$1,test!$A$3:$F$32,2,FALSE))&lt;test!$K$16,$A114&lt;&gt;M$1,Recharged_Feasible_mat!N83),(VLOOKUP(M$1,test!$A$3:$I$32,8,FALSE))-(VLOOKUP($A114,test!$A$3:$I$32,9,FALSE))+(test!$B$35-50),0)</f>
        <v>0</v>
      </c>
      <c r="N114">
        <f>IF(AND(SUM(VLOOKUP($A114,test!$A$3:$F$32,2,FALSE),VLOOKUP(N$1,test!$A$3:$F$32,2,FALSE))&lt;test!$K$16,$A114&lt;&gt;N$1,Recharged_Feasible_mat!O83),(VLOOKUP(N$1,test!$A$3:$I$32,8,FALSE))-(VLOOKUP($A114,test!$A$3:$I$32,9,FALSE))+(test!$B$35-50),0)</f>
        <v>0</v>
      </c>
      <c r="O114">
        <f>IF(AND(SUM(VLOOKUP($A114,test!$A$3:$F$32,2,FALSE),VLOOKUP(O$1,test!$A$3:$F$32,2,FALSE))&lt;test!$K$16,$A114&lt;&gt;O$1,Recharged_Feasible_mat!P83),(VLOOKUP(O$1,test!$A$3:$I$32,8,FALSE))-(VLOOKUP($A114,test!$A$3:$I$32,9,FALSE))+(test!$B$35-50),0)</f>
        <v>0</v>
      </c>
      <c r="P114">
        <f>IF(AND(SUM(VLOOKUP($A114,test!$A$3:$F$32,2,FALSE),VLOOKUP(P$1,test!$A$3:$F$32,2,FALSE))&lt;test!$K$16,$A114&lt;&gt;P$1,Recharged_Feasible_mat!Q83),(VLOOKUP(P$1,test!$A$3:$I$32,8,FALSE))-(VLOOKUP($A114,test!$A$3:$I$32,9,FALSE))+(test!$B$35-50),0)</f>
        <v>0</v>
      </c>
      <c r="Q114">
        <f>IF(AND(SUM(VLOOKUP($A114,test!$A$3:$F$32,2,FALSE),VLOOKUP(Q$1,test!$A$3:$F$32,2,FALSE))&lt;test!$K$16,$A114&lt;&gt;Q$1,Recharged_Feasible_mat!R83),(VLOOKUP(Q$1,test!$A$3:$I$32,8,FALSE))-(VLOOKUP($A114,test!$A$3:$I$32,9,FALSE))+(test!$B$35-50),0)</f>
        <v>0</v>
      </c>
      <c r="R114">
        <f>IF(AND(SUM(VLOOKUP($A114,test!$A$3:$F$32,2,FALSE),VLOOKUP(R$1,test!$A$3:$F$32,2,FALSE))&lt;test!$K$16,$A114&lt;&gt;R$1,Recharged_Feasible_mat!S83),(VLOOKUP(R$1,test!$A$3:$I$32,8,FALSE))-(VLOOKUP($A114,test!$A$3:$I$32,9,FALSE))+(test!$B$35-50),0)</f>
        <v>0</v>
      </c>
      <c r="S114">
        <f>IF(AND(SUM(VLOOKUP($A114,test!$A$3:$F$32,2,FALSE),VLOOKUP(S$1,test!$A$3:$F$32,2,FALSE))&lt;test!$K$16,$A114&lt;&gt;S$1,Recharged_Feasible_mat!T83),(VLOOKUP(S$1,test!$A$3:$I$32,8,FALSE))-(VLOOKUP($A114,test!$A$3:$I$32,9,FALSE))+(test!$B$35-50),0)</f>
        <v>0</v>
      </c>
      <c r="T114">
        <f>IF(AND(SUM(VLOOKUP($A114,test!$A$3:$F$32,2,FALSE),VLOOKUP(T$1,test!$A$3:$F$32,2,FALSE))&lt;test!$K$16,$A114&lt;&gt;T$1,Recharged_Feasible_mat!U83),(VLOOKUP(T$1,test!$A$3:$I$32,8,FALSE))-(VLOOKUP($A114,test!$A$3:$I$32,9,FALSE))+(test!$B$35-50),0)</f>
        <v>0</v>
      </c>
      <c r="U114">
        <f>IF(AND(SUM(VLOOKUP($A114,test!$A$3:$F$32,2,FALSE),VLOOKUP(U$1,test!$A$3:$F$32,2,FALSE))&lt;test!$K$16,$A114&lt;&gt;U$1,Recharged_Feasible_mat!V83),(VLOOKUP(U$1,test!$A$3:$I$32,8,FALSE))-(VLOOKUP($A114,test!$A$3:$I$32,9,FALSE))+(test!$B$35-50),0)</f>
        <v>0</v>
      </c>
      <c r="V114">
        <f>IF(AND(SUM(VLOOKUP($A114,test!$A$3:$F$32,2,FALSE),VLOOKUP(V$1,test!$A$3:$F$32,2,FALSE))&lt;test!$K$16,$A114&lt;&gt;V$1,Recharged_Feasible_mat!W83),(VLOOKUP(V$1,test!$A$3:$I$32,8,FALSE))-(VLOOKUP($A114,test!$A$3:$I$32,9,FALSE))+(test!$B$35-50),0)</f>
        <v>0</v>
      </c>
      <c r="W114">
        <f>IF(AND(SUM(VLOOKUP($A114,test!$A$3:$F$32,2,FALSE),VLOOKUP(W$1,test!$A$3:$F$32,2,FALSE))&lt;test!$K$16,$A114&lt;&gt;W$1,Recharged_Feasible_mat!X83),(VLOOKUP(W$1,test!$A$3:$I$32,8,FALSE))-(VLOOKUP($A114,test!$A$3:$I$32,9,FALSE))+(test!$B$35-50),0)</f>
        <v>0</v>
      </c>
      <c r="X114">
        <f>IF(AND(SUM(VLOOKUP($A114,test!$A$3:$F$32,2,FALSE),VLOOKUP(X$1,test!$A$3:$F$32,2,FALSE))&lt;test!$K$16,$A114&lt;&gt;X$1,Recharged_Feasible_mat!Y83),(VLOOKUP(X$1,test!$A$3:$I$32,8,FALSE))-(VLOOKUP($A114,test!$A$3:$I$32,9,FALSE))+(test!$B$35-50),0)</f>
        <v>0</v>
      </c>
      <c r="Y114">
        <f>IF(AND(SUM(VLOOKUP($A114,test!$A$3:$F$32,2,FALSE),VLOOKUP(Y$1,test!$A$3:$F$32,2,FALSE))&lt;test!$K$16,$A114&lt;&gt;Y$1,Recharged_Feasible_mat!Z83),(VLOOKUP(Y$1,test!$A$3:$I$32,8,FALSE))-(VLOOKUP($A114,test!$A$3:$I$32,9,FALSE))+(test!$B$35-50),0)</f>
        <v>0</v>
      </c>
      <c r="Z114">
        <f>IF(AND(SUM(VLOOKUP($A114,test!$A$3:$F$32,2,FALSE),VLOOKUP(Z$1,test!$A$3:$F$32,2,FALSE))&lt;test!$K$16,$A114&lt;&gt;Z$1,Recharged_Feasible_mat!AA83),(VLOOKUP(Z$1,test!$A$3:$I$32,8,FALSE))-(VLOOKUP($A114,test!$A$3:$I$32,9,FALSE))+(test!$B$35-50),0)</f>
        <v>0</v>
      </c>
      <c r="AA114">
        <f>IF(AND(SUM(VLOOKUP($A114,test!$A$3:$F$32,2,FALSE),VLOOKUP(AA$1,test!$A$3:$F$32,2,FALSE))&lt;test!$K$16,$A114&lt;&gt;AA$1,Recharged_Feasible_mat!AB83),(VLOOKUP(AA$1,test!$A$3:$I$32,8,FALSE))-(VLOOKUP($A114,test!$A$3:$I$32,9,FALSE))+(test!$B$35-50),0)</f>
        <v>0</v>
      </c>
      <c r="AB114">
        <f>IF(AND(SUM(VLOOKUP($A114,test!$A$3:$F$32,2,FALSE),VLOOKUP(AB$1,test!$A$3:$F$32,2,FALSE))&lt;test!$K$16,$A114&lt;&gt;AB$1,Recharged_Feasible_mat!AC83),(VLOOKUP(AB$1,test!$A$3:$I$32,8,FALSE))-(VLOOKUP($A114,test!$A$3:$I$32,9,FALSE))+(test!$B$35-50),0)</f>
        <v>0</v>
      </c>
      <c r="AC114">
        <f>IF(AND(SUM(VLOOKUP($A114,test!$A$3:$F$32,2,FALSE),VLOOKUP(AC$1,test!$A$3:$F$32,2,FALSE))&lt;test!$K$16,$A114&lt;&gt;AC$1,Recharged_Feasible_mat!AD83),(VLOOKUP(AC$1,test!$A$3:$I$32,8,FALSE))-(VLOOKUP($A114,test!$A$3:$I$32,9,FALSE))+(test!$B$35-50),0)</f>
        <v>0</v>
      </c>
      <c r="AD114">
        <f>IF(AND(SUM(VLOOKUP($A114,test!$A$3:$F$32,2,FALSE),VLOOKUP(AD$1,test!$A$3:$F$32,2,FALSE))&lt;test!$K$16,$A114&lt;&gt;AD$1,Recharged_Feasible_mat!AE83),(VLOOKUP(AD$1,test!$A$3:$I$32,8,FALSE))-(VLOOKUP($A114,test!$A$3:$I$32,9,FALSE))+(test!$B$35-50),0)</f>
        <v>0</v>
      </c>
      <c r="AE114">
        <f>IF(AND(SUM(VLOOKUP($A114,test!$A$3:$F$32,2,FALSE),VLOOKUP(AE$1,test!$A$3:$F$32,2,FALSE))&lt;test!$K$16,$A114&lt;&gt;AE$1,Recharged_Feasible_mat!AF83),(VLOOKUP(AE$1,test!$A$3:$I$32,8,FALSE))-(VLOOKUP($A114,test!$A$3:$I$32,9,FALSE))+(test!$B$35-50),0)</f>
        <v>0</v>
      </c>
      <c r="AF114">
        <f>IF(AND(SUM(VLOOKUP($A114,test!$A$3:$F$32,2,FALSE),VLOOKUP(AF$1,test!$A$3:$F$32,2,FALSE))&lt;test!$K$16,$A114&lt;&gt;AF$1,Recharged_Feasible_mat!AG83),(VLOOKUP(AF$1,test!$A$3:$I$32,8,FALSE))-(VLOOKUP($A114,test!$A$3:$I$32,9,FALSE))+(test!$B$35-50),0)</f>
        <v>0</v>
      </c>
    </row>
    <row r="115" spans="1:32" x14ac:dyDescent="0.25">
      <c r="A115" t="s">
        <v>31</v>
      </c>
      <c r="B115">
        <v>0</v>
      </c>
      <c r="C115">
        <f>IF(AND(SUM(VLOOKUP($A115,test!$A$3:$F$32,2,FALSE),VLOOKUP(C$1,test!$A$3:$F$32,2,FALSE))&lt;test!$K$16,$A115&lt;&gt;C$1,Recharged_Feasible_mat!D84),(VLOOKUP(C$1,test!$A$3:$I$32,8,FALSE))-(VLOOKUP($A115,test!$A$3:$I$32,9,FALSE))+(test!$B$35-50),0)</f>
        <v>0</v>
      </c>
      <c r="D115">
        <f>IF(AND(SUM(VLOOKUP($A115,test!$A$3:$F$32,2,FALSE),VLOOKUP(D$1,test!$A$3:$F$32,2,FALSE))&lt;test!$K$16,$A115&lt;&gt;D$1,Recharged_Feasible_mat!E84),(VLOOKUP(D$1,test!$A$3:$I$32,8,FALSE))-(VLOOKUP($A115,test!$A$3:$I$32,9,FALSE))+(test!$B$35-50),0)</f>
        <v>0</v>
      </c>
      <c r="E115">
        <f>IF(AND(SUM(VLOOKUP($A115,test!$A$3:$F$32,2,FALSE),VLOOKUP(E$1,test!$A$3:$F$32,2,FALSE))&lt;test!$K$16,$A115&lt;&gt;E$1,Recharged_Feasible_mat!F84),(VLOOKUP(E$1,test!$A$3:$I$32,8,FALSE))-(VLOOKUP($A115,test!$A$3:$I$32,9,FALSE))+(test!$B$35-50),0)</f>
        <v>0</v>
      </c>
      <c r="F115">
        <f>IF(AND(SUM(VLOOKUP($A115,test!$A$3:$F$32,2,FALSE),VLOOKUP(F$1,test!$A$3:$F$32,2,FALSE))&lt;test!$K$16,$A115&lt;&gt;F$1,Recharged_Feasible_mat!G84),(VLOOKUP(F$1,test!$A$3:$I$32,8,FALSE))-(VLOOKUP($A115,test!$A$3:$I$32,9,FALSE))+(test!$B$35-50),0)</f>
        <v>0</v>
      </c>
      <c r="G115">
        <f>IF(AND(SUM(VLOOKUP($A115,test!$A$3:$F$32,2,FALSE),VLOOKUP(G$1,test!$A$3:$F$32,2,FALSE))&lt;test!$K$16,$A115&lt;&gt;G$1,Recharged_Feasible_mat!H84),(VLOOKUP(G$1,test!$A$3:$I$32,8,FALSE))-(VLOOKUP($A115,test!$A$3:$I$32,9,FALSE))+(test!$B$35-50),0)</f>
        <v>0</v>
      </c>
      <c r="H115">
        <f>IF(AND(SUM(VLOOKUP($A115,test!$A$3:$F$32,2,FALSE),VLOOKUP(H$1,test!$A$3:$F$32,2,FALSE))&lt;test!$K$16,$A115&lt;&gt;H$1,Recharged_Feasible_mat!I84),(VLOOKUP(H$1,test!$A$3:$I$32,8,FALSE))-(VLOOKUP($A115,test!$A$3:$I$32,9,FALSE))+(test!$B$35-50),0)</f>
        <v>0</v>
      </c>
      <c r="I115">
        <f>IF(AND(SUM(VLOOKUP($A115,test!$A$3:$F$32,2,FALSE),VLOOKUP(I$1,test!$A$3:$F$32,2,FALSE))&lt;test!$K$16,$A115&lt;&gt;I$1,Recharged_Feasible_mat!J84),(VLOOKUP(I$1,test!$A$3:$I$32,8,FALSE))-(VLOOKUP($A115,test!$A$3:$I$32,9,FALSE))+(test!$B$35-50),0)</f>
        <v>0</v>
      </c>
      <c r="J115">
        <f>IF(AND(SUM(VLOOKUP($A115,test!$A$3:$F$32,2,FALSE),VLOOKUP(J$1,test!$A$3:$F$32,2,FALSE))&lt;test!$K$16,$A115&lt;&gt;J$1,Recharged_Feasible_mat!K84),(VLOOKUP(J$1,test!$A$3:$I$32,8,FALSE))-(VLOOKUP($A115,test!$A$3:$I$32,9,FALSE))+(test!$B$35-50),0)</f>
        <v>0</v>
      </c>
      <c r="K115">
        <f>IF(AND(SUM(VLOOKUP($A115,test!$A$3:$F$32,2,FALSE),VLOOKUP(K$1,test!$A$3:$F$32,2,FALSE))&lt;test!$K$16,$A115&lt;&gt;K$1,Recharged_Feasible_mat!L84),(VLOOKUP(K$1,test!$A$3:$I$32,8,FALSE))-(VLOOKUP($A115,test!$A$3:$I$32,9,FALSE))+(test!$B$35-50),0)</f>
        <v>0</v>
      </c>
      <c r="L115">
        <f>IF(AND(SUM(VLOOKUP($A115,test!$A$3:$F$32,2,FALSE),VLOOKUP(L$1,test!$A$3:$F$32,2,FALSE))&lt;test!$K$16,$A115&lt;&gt;L$1,Recharged_Feasible_mat!M84),(VLOOKUP(L$1,test!$A$3:$I$32,8,FALSE))-(VLOOKUP($A115,test!$A$3:$I$32,9,FALSE))+(test!$B$35-50),0)</f>
        <v>0</v>
      </c>
      <c r="M115">
        <f>IF(AND(SUM(VLOOKUP($A115,test!$A$3:$F$32,2,FALSE),VLOOKUP(M$1,test!$A$3:$F$32,2,FALSE))&lt;test!$K$16,$A115&lt;&gt;M$1,Recharged_Feasible_mat!N84),(VLOOKUP(M$1,test!$A$3:$I$32,8,FALSE))-(VLOOKUP($A115,test!$A$3:$I$32,9,FALSE))+(test!$B$35-50),0)</f>
        <v>0</v>
      </c>
      <c r="N115">
        <f>IF(AND(SUM(VLOOKUP($A115,test!$A$3:$F$32,2,FALSE),VLOOKUP(N$1,test!$A$3:$F$32,2,FALSE))&lt;test!$K$16,$A115&lt;&gt;N$1,Recharged_Feasible_mat!O84),(VLOOKUP(N$1,test!$A$3:$I$32,8,FALSE))-(VLOOKUP($A115,test!$A$3:$I$32,9,FALSE))+(test!$B$35-50),0)</f>
        <v>0</v>
      </c>
      <c r="O115">
        <f>IF(AND(SUM(VLOOKUP($A115,test!$A$3:$F$32,2,FALSE),VLOOKUP(O$1,test!$A$3:$F$32,2,FALSE))&lt;test!$K$16,$A115&lt;&gt;O$1,Recharged_Feasible_mat!P84),(VLOOKUP(O$1,test!$A$3:$I$32,8,FALSE))-(VLOOKUP($A115,test!$A$3:$I$32,9,FALSE))+(test!$B$35-50),0)</f>
        <v>0</v>
      </c>
      <c r="P115">
        <f>IF(AND(SUM(VLOOKUP($A115,test!$A$3:$F$32,2,FALSE),VLOOKUP(P$1,test!$A$3:$F$32,2,FALSE))&lt;test!$K$16,$A115&lt;&gt;P$1,Recharged_Feasible_mat!Q84),(VLOOKUP(P$1,test!$A$3:$I$32,8,FALSE))-(VLOOKUP($A115,test!$A$3:$I$32,9,FALSE))+(test!$B$35-50),0)</f>
        <v>0</v>
      </c>
      <c r="Q115">
        <f>IF(AND(SUM(VLOOKUP($A115,test!$A$3:$F$32,2,FALSE),VLOOKUP(Q$1,test!$A$3:$F$32,2,FALSE))&lt;test!$K$16,$A115&lt;&gt;Q$1,Recharged_Feasible_mat!R84),(VLOOKUP(Q$1,test!$A$3:$I$32,8,FALSE))-(VLOOKUP($A115,test!$A$3:$I$32,9,FALSE))+(test!$B$35-50),0)</f>
        <v>0</v>
      </c>
      <c r="R115">
        <f>IF(AND(SUM(VLOOKUP($A115,test!$A$3:$F$32,2,FALSE),VLOOKUP(R$1,test!$A$3:$F$32,2,FALSE))&lt;test!$K$16,$A115&lt;&gt;R$1,Recharged_Feasible_mat!S84),(VLOOKUP(R$1,test!$A$3:$I$32,8,FALSE))-(VLOOKUP($A115,test!$A$3:$I$32,9,FALSE))+(test!$B$35-50),0)</f>
        <v>0</v>
      </c>
      <c r="S115">
        <f>IF(AND(SUM(VLOOKUP($A115,test!$A$3:$F$32,2,FALSE),VLOOKUP(S$1,test!$A$3:$F$32,2,FALSE))&lt;test!$K$16,$A115&lt;&gt;S$1,Recharged_Feasible_mat!T84),(VLOOKUP(S$1,test!$A$3:$I$32,8,FALSE))-(VLOOKUP($A115,test!$A$3:$I$32,9,FALSE))+(test!$B$35-50),0)</f>
        <v>0</v>
      </c>
      <c r="T115">
        <f>IF(AND(SUM(VLOOKUP($A115,test!$A$3:$F$32,2,FALSE),VLOOKUP(T$1,test!$A$3:$F$32,2,FALSE))&lt;test!$K$16,$A115&lt;&gt;T$1,Recharged_Feasible_mat!U84),(VLOOKUP(T$1,test!$A$3:$I$32,8,FALSE))-(VLOOKUP($A115,test!$A$3:$I$32,9,FALSE))+(test!$B$35-50),0)</f>
        <v>0</v>
      </c>
      <c r="U115">
        <f>IF(AND(SUM(VLOOKUP($A115,test!$A$3:$F$32,2,FALSE),VLOOKUP(U$1,test!$A$3:$F$32,2,FALSE))&lt;test!$K$16,$A115&lt;&gt;U$1,Recharged_Feasible_mat!V84),(VLOOKUP(U$1,test!$A$3:$I$32,8,FALSE))-(VLOOKUP($A115,test!$A$3:$I$32,9,FALSE))+(test!$B$35-50),0)</f>
        <v>0</v>
      </c>
      <c r="V115">
        <f>IF(AND(SUM(VLOOKUP($A115,test!$A$3:$F$32,2,FALSE),VLOOKUP(V$1,test!$A$3:$F$32,2,FALSE))&lt;test!$K$16,$A115&lt;&gt;V$1,Recharged_Feasible_mat!W84),(VLOOKUP(V$1,test!$A$3:$I$32,8,FALSE))-(VLOOKUP($A115,test!$A$3:$I$32,9,FALSE))+(test!$B$35-50),0)</f>
        <v>0</v>
      </c>
      <c r="W115">
        <f>IF(AND(SUM(VLOOKUP($A115,test!$A$3:$F$32,2,FALSE),VLOOKUP(W$1,test!$A$3:$F$32,2,FALSE))&lt;test!$K$16,$A115&lt;&gt;W$1,Recharged_Feasible_mat!X84),(VLOOKUP(W$1,test!$A$3:$I$32,8,FALSE))-(VLOOKUP($A115,test!$A$3:$I$32,9,FALSE))+(test!$B$35-50),0)</f>
        <v>0</v>
      </c>
      <c r="X115">
        <f>IF(AND(SUM(VLOOKUP($A115,test!$A$3:$F$32,2,FALSE),VLOOKUP(X$1,test!$A$3:$F$32,2,FALSE))&lt;test!$K$16,$A115&lt;&gt;X$1,Recharged_Feasible_mat!Y84),(VLOOKUP(X$1,test!$A$3:$I$32,8,FALSE))-(VLOOKUP($A115,test!$A$3:$I$32,9,FALSE))+(test!$B$35-50),0)</f>
        <v>0</v>
      </c>
      <c r="Y115">
        <f>IF(AND(SUM(VLOOKUP($A115,test!$A$3:$F$32,2,FALSE),VLOOKUP(Y$1,test!$A$3:$F$32,2,FALSE))&lt;test!$K$16,$A115&lt;&gt;Y$1,Recharged_Feasible_mat!Z84),(VLOOKUP(Y$1,test!$A$3:$I$32,8,FALSE))-(VLOOKUP($A115,test!$A$3:$I$32,9,FALSE))+(test!$B$35-50),0)</f>
        <v>0</v>
      </c>
      <c r="Z115">
        <f>IF(AND(SUM(VLOOKUP($A115,test!$A$3:$F$32,2,FALSE),VLOOKUP(Z$1,test!$A$3:$F$32,2,FALSE))&lt;test!$K$16,$A115&lt;&gt;Z$1,Recharged_Feasible_mat!AA84),(VLOOKUP(Z$1,test!$A$3:$I$32,8,FALSE))-(VLOOKUP($A115,test!$A$3:$I$32,9,FALSE))+(test!$B$35-50),0)</f>
        <v>0</v>
      </c>
      <c r="AA115">
        <f>IF(AND(SUM(VLOOKUP($A115,test!$A$3:$F$32,2,FALSE),VLOOKUP(AA$1,test!$A$3:$F$32,2,FALSE))&lt;test!$K$16,$A115&lt;&gt;AA$1,Recharged_Feasible_mat!AB84),(VLOOKUP(AA$1,test!$A$3:$I$32,8,FALSE))-(VLOOKUP($A115,test!$A$3:$I$32,9,FALSE))+(test!$B$35-50),0)</f>
        <v>0</v>
      </c>
      <c r="AB115">
        <f>IF(AND(SUM(VLOOKUP($A115,test!$A$3:$F$32,2,FALSE),VLOOKUP(AB$1,test!$A$3:$F$32,2,FALSE))&lt;test!$K$16,$A115&lt;&gt;AB$1,Recharged_Feasible_mat!AC84),(VLOOKUP(AB$1,test!$A$3:$I$32,8,FALSE))-(VLOOKUP($A115,test!$A$3:$I$32,9,FALSE))+(test!$B$35-50),0)</f>
        <v>0</v>
      </c>
      <c r="AC115">
        <f>IF(AND(SUM(VLOOKUP($A115,test!$A$3:$F$32,2,FALSE),VLOOKUP(AC$1,test!$A$3:$F$32,2,FALSE))&lt;test!$K$16,$A115&lt;&gt;AC$1,Recharged_Feasible_mat!AD84),(VLOOKUP(AC$1,test!$A$3:$I$32,8,FALSE))-(VLOOKUP($A115,test!$A$3:$I$32,9,FALSE))+(test!$B$35-50),0)</f>
        <v>0</v>
      </c>
      <c r="AD115">
        <f>IF(AND(SUM(VLOOKUP($A115,test!$A$3:$F$32,2,FALSE),VLOOKUP(AD$1,test!$A$3:$F$32,2,FALSE))&lt;test!$K$16,$A115&lt;&gt;AD$1,Recharged_Feasible_mat!AE84),(VLOOKUP(AD$1,test!$A$3:$I$32,8,FALSE))-(VLOOKUP($A115,test!$A$3:$I$32,9,FALSE))+(test!$B$35-50),0)</f>
        <v>0</v>
      </c>
      <c r="AE115">
        <f>IF(AND(SUM(VLOOKUP($A115,test!$A$3:$F$32,2,FALSE),VLOOKUP(AE$1,test!$A$3:$F$32,2,FALSE))&lt;test!$K$16,$A115&lt;&gt;AE$1,Recharged_Feasible_mat!AF84),(VLOOKUP(AE$1,test!$A$3:$I$32,8,FALSE))-(VLOOKUP($A115,test!$A$3:$I$32,9,FALSE))+(test!$B$35-50),0)</f>
        <v>0</v>
      </c>
      <c r="AF115">
        <f>IF(AND(SUM(VLOOKUP($A115,test!$A$3:$F$32,2,FALSE),VLOOKUP(AF$1,test!$A$3:$F$32,2,FALSE))&lt;test!$K$16,$A115&lt;&gt;AF$1,Recharged_Feasible_mat!AG84),(VLOOKUP(AF$1,test!$A$3:$I$32,8,FALSE))-(VLOOKUP($A115,test!$A$3:$I$32,9,FALSE))+(test!$B$35-50),0)</f>
        <v>0</v>
      </c>
    </row>
    <row r="116" spans="1:32" x14ac:dyDescent="0.25">
      <c r="A116" t="s">
        <v>32</v>
      </c>
      <c r="B116">
        <v>0</v>
      </c>
      <c r="C116">
        <f>IF(AND(SUM(VLOOKUP($A116,test!$A$3:$F$32,2,FALSE),VLOOKUP(C$1,test!$A$3:$F$32,2,FALSE))&lt;test!$K$16,$A116&lt;&gt;C$1,Recharged_Feasible_mat!D85),(VLOOKUP(C$1,test!$A$3:$I$32,8,FALSE))-(VLOOKUP($A116,test!$A$3:$I$32,9,FALSE))+(test!$B$35-50),0)</f>
        <v>0</v>
      </c>
      <c r="D116">
        <f>IF(AND(SUM(VLOOKUP($A116,test!$A$3:$F$32,2,FALSE),VLOOKUP(D$1,test!$A$3:$F$32,2,FALSE))&lt;test!$K$16,$A116&lt;&gt;D$1,Recharged_Feasible_mat!E85),(VLOOKUP(D$1,test!$A$3:$I$32,8,FALSE))-(VLOOKUP($A116,test!$A$3:$I$32,9,FALSE))+(test!$B$35-50),0)</f>
        <v>0</v>
      </c>
      <c r="E116">
        <f>IF(AND(SUM(VLOOKUP($A116,test!$A$3:$F$32,2,FALSE),VLOOKUP(E$1,test!$A$3:$F$32,2,FALSE))&lt;test!$K$16,$A116&lt;&gt;E$1,Recharged_Feasible_mat!F85),(VLOOKUP(E$1,test!$A$3:$I$32,8,FALSE))-(VLOOKUP($A116,test!$A$3:$I$32,9,FALSE))+(test!$B$35-50),0)</f>
        <v>0</v>
      </c>
      <c r="F116">
        <f>IF(AND(SUM(VLOOKUP($A116,test!$A$3:$F$32,2,FALSE),VLOOKUP(F$1,test!$A$3:$F$32,2,FALSE))&lt;test!$K$16,$A116&lt;&gt;F$1,Recharged_Feasible_mat!G85),(VLOOKUP(F$1,test!$A$3:$I$32,8,FALSE))-(VLOOKUP($A116,test!$A$3:$I$32,9,FALSE))+(test!$B$35-50),0)</f>
        <v>0</v>
      </c>
      <c r="G116">
        <f>IF(AND(SUM(VLOOKUP($A116,test!$A$3:$F$32,2,FALSE),VLOOKUP(G$1,test!$A$3:$F$32,2,FALSE))&lt;test!$K$16,$A116&lt;&gt;G$1,Recharged_Feasible_mat!H85),(VLOOKUP(G$1,test!$A$3:$I$32,8,FALSE))-(VLOOKUP($A116,test!$A$3:$I$32,9,FALSE))+(test!$B$35-50),0)</f>
        <v>0</v>
      </c>
      <c r="H116">
        <f>IF(AND(SUM(VLOOKUP($A116,test!$A$3:$F$32,2,FALSE),VLOOKUP(H$1,test!$A$3:$F$32,2,FALSE))&lt;test!$K$16,$A116&lt;&gt;H$1,Recharged_Feasible_mat!I85),(VLOOKUP(H$1,test!$A$3:$I$32,8,FALSE))-(VLOOKUP($A116,test!$A$3:$I$32,9,FALSE))+(test!$B$35-50),0)</f>
        <v>0</v>
      </c>
      <c r="I116">
        <f>IF(AND(SUM(VLOOKUP($A116,test!$A$3:$F$32,2,FALSE),VLOOKUP(I$1,test!$A$3:$F$32,2,FALSE))&lt;test!$K$16,$A116&lt;&gt;I$1,Recharged_Feasible_mat!J85),(VLOOKUP(I$1,test!$A$3:$I$32,8,FALSE))-(VLOOKUP($A116,test!$A$3:$I$32,9,FALSE))+(test!$B$35-50),0)</f>
        <v>0</v>
      </c>
      <c r="J116">
        <f>IF(AND(SUM(VLOOKUP($A116,test!$A$3:$F$32,2,FALSE),VLOOKUP(J$1,test!$A$3:$F$32,2,FALSE))&lt;test!$K$16,$A116&lt;&gt;J$1,Recharged_Feasible_mat!K85),(VLOOKUP(J$1,test!$A$3:$I$32,8,FALSE))-(VLOOKUP($A116,test!$A$3:$I$32,9,FALSE))+(test!$B$35-50),0)</f>
        <v>0</v>
      </c>
      <c r="K116">
        <f>IF(AND(SUM(VLOOKUP($A116,test!$A$3:$F$32,2,FALSE),VLOOKUP(K$1,test!$A$3:$F$32,2,FALSE))&lt;test!$K$16,$A116&lt;&gt;K$1,Recharged_Feasible_mat!L85),(VLOOKUP(K$1,test!$A$3:$I$32,8,FALSE))-(VLOOKUP($A116,test!$A$3:$I$32,9,FALSE))+(test!$B$35-50),0)</f>
        <v>0</v>
      </c>
      <c r="L116">
        <f>IF(AND(SUM(VLOOKUP($A116,test!$A$3:$F$32,2,FALSE),VLOOKUP(L$1,test!$A$3:$F$32,2,FALSE))&lt;test!$K$16,$A116&lt;&gt;L$1,Recharged_Feasible_mat!M85),(VLOOKUP(L$1,test!$A$3:$I$32,8,FALSE))-(VLOOKUP($A116,test!$A$3:$I$32,9,FALSE))+(test!$B$35-50),0)</f>
        <v>0</v>
      </c>
      <c r="M116">
        <f>IF(AND(SUM(VLOOKUP($A116,test!$A$3:$F$32,2,FALSE),VLOOKUP(M$1,test!$A$3:$F$32,2,FALSE))&lt;test!$K$16,$A116&lt;&gt;M$1,Recharged_Feasible_mat!N85),(VLOOKUP(M$1,test!$A$3:$I$32,8,FALSE))-(VLOOKUP($A116,test!$A$3:$I$32,9,FALSE))+(test!$B$35-50),0)</f>
        <v>0</v>
      </c>
      <c r="N116">
        <f>IF(AND(SUM(VLOOKUP($A116,test!$A$3:$F$32,2,FALSE),VLOOKUP(N$1,test!$A$3:$F$32,2,FALSE))&lt;test!$K$16,$A116&lt;&gt;N$1,Recharged_Feasible_mat!O85),(VLOOKUP(N$1,test!$A$3:$I$32,8,FALSE))-(VLOOKUP($A116,test!$A$3:$I$32,9,FALSE))+(test!$B$35-50),0)</f>
        <v>0</v>
      </c>
      <c r="O116">
        <f>IF(AND(SUM(VLOOKUP($A116,test!$A$3:$F$32,2,FALSE),VLOOKUP(O$1,test!$A$3:$F$32,2,FALSE))&lt;test!$K$16,$A116&lt;&gt;O$1,Recharged_Feasible_mat!P85),(VLOOKUP(O$1,test!$A$3:$I$32,8,FALSE))-(VLOOKUP($A116,test!$A$3:$I$32,9,FALSE))+(test!$B$35-50),0)</f>
        <v>0</v>
      </c>
      <c r="P116">
        <f>IF(AND(SUM(VLOOKUP($A116,test!$A$3:$F$32,2,FALSE),VLOOKUP(P$1,test!$A$3:$F$32,2,FALSE))&lt;test!$K$16,$A116&lt;&gt;P$1,Recharged_Feasible_mat!Q85),(VLOOKUP(P$1,test!$A$3:$I$32,8,FALSE))-(VLOOKUP($A116,test!$A$3:$I$32,9,FALSE))+(test!$B$35-50),0)</f>
        <v>0</v>
      </c>
      <c r="Q116">
        <f>IF(AND(SUM(VLOOKUP($A116,test!$A$3:$F$32,2,FALSE),VLOOKUP(Q$1,test!$A$3:$F$32,2,FALSE))&lt;test!$K$16,$A116&lt;&gt;Q$1,Recharged_Feasible_mat!R85),(VLOOKUP(Q$1,test!$A$3:$I$32,8,FALSE))-(VLOOKUP($A116,test!$A$3:$I$32,9,FALSE))+(test!$B$35-50),0)</f>
        <v>0</v>
      </c>
      <c r="R116">
        <f>IF(AND(SUM(VLOOKUP($A116,test!$A$3:$F$32,2,FALSE),VLOOKUP(R$1,test!$A$3:$F$32,2,FALSE))&lt;test!$K$16,$A116&lt;&gt;R$1,Recharged_Feasible_mat!S85),(VLOOKUP(R$1,test!$A$3:$I$32,8,FALSE))-(VLOOKUP($A116,test!$A$3:$I$32,9,FALSE))+(test!$B$35-50),0)</f>
        <v>0</v>
      </c>
      <c r="S116">
        <f>IF(AND(SUM(VLOOKUP($A116,test!$A$3:$F$32,2,FALSE),VLOOKUP(S$1,test!$A$3:$F$32,2,FALSE))&lt;test!$K$16,$A116&lt;&gt;S$1,Recharged_Feasible_mat!T85),(VLOOKUP(S$1,test!$A$3:$I$32,8,FALSE))-(VLOOKUP($A116,test!$A$3:$I$32,9,FALSE))+(test!$B$35-50),0)</f>
        <v>0</v>
      </c>
      <c r="T116">
        <f>IF(AND(SUM(VLOOKUP($A116,test!$A$3:$F$32,2,FALSE),VLOOKUP(T$1,test!$A$3:$F$32,2,FALSE))&lt;test!$K$16,$A116&lt;&gt;T$1,Recharged_Feasible_mat!U85),(VLOOKUP(T$1,test!$A$3:$I$32,8,FALSE))-(VLOOKUP($A116,test!$A$3:$I$32,9,FALSE))+(test!$B$35-50),0)</f>
        <v>0</v>
      </c>
      <c r="U116">
        <f>IF(AND(SUM(VLOOKUP($A116,test!$A$3:$F$32,2,FALSE),VLOOKUP(U$1,test!$A$3:$F$32,2,FALSE))&lt;test!$K$16,$A116&lt;&gt;U$1,Recharged_Feasible_mat!V85),(VLOOKUP(U$1,test!$A$3:$I$32,8,FALSE))-(VLOOKUP($A116,test!$A$3:$I$32,9,FALSE))+(test!$B$35-50),0)</f>
        <v>0</v>
      </c>
      <c r="V116">
        <f>IF(AND(SUM(VLOOKUP($A116,test!$A$3:$F$32,2,FALSE),VLOOKUP(V$1,test!$A$3:$F$32,2,FALSE))&lt;test!$K$16,$A116&lt;&gt;V$1,Recharged_Feasible_mat!W85),(VLOOKUP(V$1,test!$A$3:$I$32,8,FALSE))-(VLOOKUP($A116,test!$A$3:$I$32,9,FALSE))+(test!$B$35-50),0)</f>
        <v>0</v>
      </c>
      <c r="W116">
        <f>IF(AND(SUM(VLOOKUP($A116,test!$A$3:$F$32,2,FALSE),VLOOKUP(W$1,test!$A$3:$F$32,2,FALSE))&lt;test!$K$16,$A116&lt;&gt;W$1,Recharged_Feasible_mat!X85),(VLOOKUP(W$1,test!$A$3:$I$32,8,FALSE))-(VLOOKUP($A116,test!$A$3:$I$32,9,FALSE))+(test!$B$35-50),0)</f>
        <v>0</v>
      </c>
      <c r="X116">
        <f>IF(AND(SUM(VLOOKUP($A116,test!$A$3:$F$32,2,FALSE),VLOOKUP(X$1,test!$A$3:$F$32,2,FALSE))&lt;test!$K$16,$A116&lt;&gt;X$1,Recharged_Feasible_mat!Y85),(VLOOKUP(X$1,test!$A$3:$I$32,8,FALSE))-(VLOOKUP($A116,test!$A$3:$I$32,9,FALSE))+(test!$B$35-50),0)</f>
        <v>0</v>
      </c>
      <c r="Y116">
        <f>IF(AND(SUM(VLOOKUP($A116,test!$A$3:$F$32,2,FALSE),VLOOKUP(Y$1,test!$A$3:$F$32,2,FALSE))&lt;test!$K$16,$A116&lt;&gt;Y$1,Recharged_Feasible_mat!Z85),(VLOOKUP(Y$1,test!$A$3:$I$32,8,FALSE))-(VLOOKUP($A116,test!$A$3:$I$32,9,FALSE))+(test!$B$35-50),0)</f>
        <v>0</v>
      </c>
      <c r="Z116">
        <f>IF(AND(SUM(VLOOKUP($A116,test!$A$3:$F$32,2,FALSE),VLOOKUP(Z$1,test!$A$3:$F$32,2,FALSE))&lt;test!$K$16,$A116&lt;&gt;Z$1,Recharged_Feasible_mat!AA85),(VLOOKUP(Z$1,test!$A$3:$I$32,8,FALSE))-(VLOOKUP($A116,test!$A$3:$I$32,9,FALSE))+(test!$B$35-50),0)</f>
        <v>0</v>
      </c>
      <c r="AA116">
        <f>IF(AND(SUM(VLOOKUP($A116,test!$A$3:$F$32,2,FALSE),VLOOKUP(AA$1,test!$A$3:$F$32,2,FALSE))&lt;test!$K$16,$A116&lt;&gt;AA$1,Recharged_Feasible_mat!AB85),(VLOOKUP(AA$1,test!$A$3:$I$32,8,FALSE))-(VLOOKUP($A116,test!$A$3:$I$32,9,FALSE))+(test!$B$35-50),0)</f>
        <v>0</v>
      </c>
      <c r="AB116">
        <f>IF(AND(SUM(VLOOKUP($A116,test!$A$3:$F$32,2,FALSE),VLOOKUP(AB$1,test!$A$3:$F$32,2,FALSE))&lt;test!$K$16,$A116&lt;&gt;AB$1,Recharged_Feasible_mat!AC85),(VLOOKUP(AB$1,test!$A$3:$I$32,8,FALSE))-(VLOOKUP($A116,test!$A$3:$I$32,9,FALSE))+(test!$B$35-50),0)</f>
        <v>0</v>
      </c>
      <c r="AC116">
        <f>IF(AND(SUM(VLOOKUP($A116,test!$A$3:$F$32,2,FALSE),VLOOKUP(AC$1,test!$A$3:$F$32,2,FALSE))&lt;test!$K$16,$A116&lt;&gt;AC$1,Recharged_Feasible_mat!AD85),(VLOOKUP(AC$1,test!$A$3:$I$32,8,FALSE))-(VLOOKUP($A116,test!$A$3:$I$32,9,FALSE))+(test!$B$35-50),0)</f>
        <v>0</v>
      </c>
      <c r="AD116">
        <f>IF(AND(SUM(VLOOKUP($A116,test!$A$3:$F$32,2,FALSE),VLOOKUP(AD$1,test!$A$3:$F$32,2,FALSE))&lt;test!$K$16,$A116&lt;&gt;AD$1,Recharged_Feasible_mat!AE85),(VLOOKUP(AD$1,test!$A$3:$I$32,8,FALSE))-(VLOOKUP($A116,test!$A$3:$I$32,9,FALSE))+(test!$B$35-50),0)</f>
        <v>0</v>
      </c>
      <c r="AE116">
        <f>IF(AND(SUM(VLOOKUP($A116,test!$A$3:$F$32,2,FALSE),VLOOKUP(AE$1,test!$A$3:$F$32,2,FALSE))&lt;test!$K$16,$A116&lt;&gt;AE$1,Recharged_Feasible_mat!AF85),(VLOOKUP(AE$1,test!$A$3:$I$32,8,FALSE))-(VLOOKUP($A116,test!$A$3:$I$32,9,FALSE))+(test!$B$35-50),0)</f>
        <v>0</v>
      </c>
      <c r="AF116">
        <f>IF(AND(SUM(VLOOKUP($A116,test!$A$3:$F$32,2,FALSE),VLOOKUP(AF$1,test!$A$3:$F$32,2,FALSE))&lt;test!$K$16,$A116&lt;&gt;AF$1,Recharged_Feasible_mat!AG85),(VLOOKUP(AF$1,test!$A$3:$I$32,8,FALSE))-(VLOOKUP($A116,test!$A$3:$I$32,9,FALSE))+(test!$B$35-50),0)</f>
        <v>0</v>
      </c>
    </row>
    <row r="117" spans="1:32" x14ac:dyDescent="0.25">
      <c r="A117" t="s">
        <v>33</v>
      </c>
      <c r="B117">
        <v>0</v>
      </c>
      <c r="C117">
        <f>IF(AND(SUM(VLOOKUP($A117,test!$A$3:$F$32,2,FALSE),VLOOKUP(C$1,test!$A$3:$F$32,2,FALSE))&lt;test!$K$16,$A117&lt;&gt;C$1,Recharged_Feasible_mat!D86),(VLOOKUP(C$1,test!$A$3:$I$32,8,FALSE))-(VLOOKUP($A117,test!$A$3:$I$32,9,FALSE))+(test!$B$35-50),0)</f>
        <v>0</v>
      </c>
      <c r="D117">
        <f>IF(AND(SUM(VLOOKUP($A117,test!$A$3:$F$32,2,FALSE),VLOOKUP(D$1,test!$A$3:$F$32,2,FALSE))&lt;test!$K$16,$A117&lt;&gt;D$1,Recharged_Feasible_mat!E86),(VLOOKUP(D$1,test!$A$3:$I$32,8,FALSE))-(VLOOKUP($A117,test!$A$3:$I$32,9,FALSE))+(test!$B$35-50),0)</f>
        <v>0</v>
      </c>
      <c r="E117">
        <f>IF(AND(SUM(VLOOKUP($A117,test!$A$3:$F$32,2,FALSE),VLOOKUP(E$1,test!$A$3:$F$32,2,FALSE))&lt;test!$K$16,$A117&lt;&gt;E$1,Recharged_Feasible_mat!F86),(VLOOKUP(E$1,test!$A$3:$I$32,8,FALSE))-(VLOOKUP($A117,test!$A$3:$I$32,9,FALSE))+(test!$B$35-50),0)</f>
        <v>0</v>
      </c>
      <c r="F117">
        <f>IF(AND(SUM(VLOOKUP($A117,test!$A$3:$F$32,2,FALSE),VLOOKUP(F$1,test!$A$3:$F$32,2,FALSE))&lt;test!$K$16,$A117&lt;&gt;F$1,Recharged_Feasible_mat!G86),(VLOOKUP(F$1,test!$A$3:$I$32,8,FALSE))-(VLOOKUP($A117,test!$A$3:$I$32,9,FALSE))+(test!$B$35-50),0)</f>
        <v>0</v>
      </c>
      <c r="G117">
        <f>IF(AND(SUM(VLOOKUP($A117,test!$A$3:$F$32,2,FALSE),VLOOKUP(G$1,test!$A$3:$F$32,2,FALSE))&lt;test!$K$16,$A117&lt;&gt;G$1,Recharged_Feasible_mat!H86),(VLOOKUP(G$1,test!$A$3:$I$32,8,FALSE))-(VLOOKUP($A117,test!$A$3:$I$32,9,FALSE))+(test!$B$35-50),0)</f>
        <v>0</v>
      </c>
      <c r="H117">
        <f>IF(AND(SUM(VLOOKUP($A117,test!$A$3:$F$32,2,FALSE),VLOOKUP(H$1,test!$A$3:$F$32,2,FALSE))&lt;test!$K$16,$A117&lt;&gt;H$1,Recharged_Feasible_mat!I86),(VLOOKUP(H$1,test!$A$3:$I$32,8,FALSE))-(VLOOKUP($A117,test!$A$3:$I$32,9,FALSE))+(test!$B$35-50),0)</f>
        <v>0</v>
      </c>
      <c r="I117">
        <f>IF(AND(SUM(VLOOKUP($A117,test!$A$3:$F$32,2,FALSE),VLOOKUP(I$1,test!$A$3:$F$32,2,FALSE))&lt;test!$K$16,$A117&lt;&gt;I$1,Recharged_Feasible_mat!J86),(VLOOKUP(I$1,test!$A$3:$I$32,8,FALSE))-(VLOOKUP($A117,test!$A$3:$I$32,9,FALSE))+(test!$B$35-50),0)</f>
        <v>0</v>
      </c>
      <c r="J117">
        <f>IF(AND(SUM(VLOOKUP($A117,test!$A$3:$F$32,2,FALSE),VLOOKUP(J$1,test!$A$3:$F$32,2,FALSE))&lt;test!$K$16,$A117&lt;&gt;J$1,Recharged_Feasible_mat!K86),(VLOOKUP(J$1,test!$A$3:$I$32,8,FALSE))-(VLOOKUP($A117,test!$A$3:$I$32,9,FALSE))+(test!$B$35-50),0)</f>
        <v>0</v>
      </c>
      <c r="K117">
        <f>IF(AND(SUM(VLOOKUP($A117,test!$A$3:$F$32,2,FALSE),VLOOKUP(K$1,test!$A$3:$F$32,2,FALSE))&lt;test!$K$16,$A117&lt;&gt;K$1,Recharged_Feasible_mat!L86),(VLOOKUP(K$1,test!$A$3:$I$32,8,FALSE))-(VLOOKUP($A117,test!$A$3:$I$32,9,FALSE))+(test!$B$35-50),0)</f>
        <v>0</v>
      </c>
      <c r="L117">
        <f>IF(AND(SUM(VLOOKUP($A117,test!$A$3:$F$32,2,FALSE),VLOOKUP(L$1,test!$A$3:$F$32,2,FALSE))&lt;test!$K$16,$A117&lt;&gt;L$1,Recharged_Feasible_mat!M86),(VLOOKUP(L$1,test!$A$3:$I$32,8,FALSE))-(VLOOKUP($A117,test!$A$3:$I$32,9,FALSE))+(test!$B$35-50),0)</f>
        <v>0</v>
      </c>
      <c r="M117">
        <f>IF(AND(SUM(VLOOKUP($A117,test!$A$3:$F$32,2,FALSE),VLOOKUP(M$1,test!$A$3:$F$32,2,FALSE))&lt;test!$K$16,$A117&lt;&gt;M$1,Recharged_Feasible_mat!N86),(VLOOKUP(M$1,test!$A$3:$I$32,8,FALSE))-(VLOOKUP($A117,test!$A$3:$I$32,9,FALSE))+(test!$B$35-50),0)</f>
        <v>0</v>
      </c>
      <c r="N117">
        <f>IF(AND(SUM(VLOOKUP($A117,test!$A$3:$F$32,2,FALSE),VLOOKUP(N$1,test!$A$3:$F$32,2,FALSE))&lt;test!$K$16,$A117&lt;&gt;N$1,Recharged_Feasible_mat!O86),(VLOOKUP(N$1,test!$A$3:$I$32,8,FALSE))-(VLOOKUP($A117,test!$A$3:$I$32,9,FALSE))+(test!$B$35-50),0)</f>
        <v>0</v>
      </c>
      <c r="O117">
        <f>IF(AND(SUM(VLOOKUP($A117,test!$A$3:$F$32,2,FALSE),VLOOKUP(O$1,test!$A$3:$F$32,2,FALSE))&lt;test!$K$16,$A117&lt;&gt;O$1,Recharged_Feasible_mat!P86),(VLOOKUP(O$1,test!$A$3:$I$32,8,FALSE))-(VLOOKUP($A117,test!$A$3:$I$32,9,FALSE))+(test!$B$35-50),0)</f>
        <v>0</v>
      </c>
      <c r="P117">
        <f>IF(AND(SUM(VLOOKUP($A117,test!$A$3:$F$32,2,FALSE),VLOOKUP(P$1,test!$A$3:$F$32,2,FALSE))&lt;test!$K$16,$A117&lt;&gt;P$1,Recharged_Feasible_mat!Q86),(VLOOKUP(P$1,test!$A$3:$I$32,8,FALSE))-(VLOOKUP($A117,test!$A$3:$I$32,9,FALSE))+(test!$B$35-50),0)</f>
        <v>0</v>
      </c>
      <c r="Q117">
        <f>IF(AND(SUM(VLOOKUP($A117,test!$A$3:$F$32,2,FALSE),VLOOKUP(Q$1,test!$A$3:$F$32,2,FALSE))&lt;test!$K$16,$A117&lt;&gt;Q$1,Recharged_Feasible_mat!R86),(VLOOKUP(Q$1,test!$A$3:$I$32,8,FALSE))-(VLOOKUP($A117,test!$A$3:$I$32,9,FALSE))+(test!$B$35-50),0)</f>
        <v>0</v>
      </c>
      <c r="R117">
        <f>IF(AND(SUM(VLOOKUP($A117,test!$A$3:$F$32,2,FALSE),VLOOKUP(R$1,test!$A$3:$F$32,2,FALSE))&lt;test!$K$16,$A117&lt;&gt;R$1,Recharged_Feasible_mat!S86),(VLOOKUP(R$1,test!$A$3:$I$32,8,FALSE))-(VLOOKUP($A117,test!$A$3:$I$32,9,FALSE))+(test!$B$35-50),0)</f>
        <v>0</v>
      </c>
      <c r="S117">
        <f>IF(AND(SUM(VLOOKUP($A117,test!$A$3:$F$32,2,FALSE),VLOOKUP(S$1,test!$A$3:$F$32,2,FALSE))&lt;test!$K$16,$A117&lt;&gt;S$1,Recharged_Feasible_mat!T86),(VLOOKUP(S$1,test!$A$3:$I$32,8,FALSE))-(VLOOKUP($A117,test!$A$3:$I$32,9,FALSE))+(test!$B$35-50),0)</f>
        <v>0</v>
      </c>
      <c r="T117">
        <f>IF(AND(SUM(VLOOKUP($A117,test!$A$3:$F$32,2,FALSE),VLOOKUP(T$1,test!$A$3:$F$32,2,FALSE))&lt;test!$K$16,$A117&lt;&gt;T$1,Recharged_Feasible_mat!U86),(VLOOKUP(T$1,test!$A$3:$I$32,8,FALSE))-(VLOOKUP($A117,test!$A$3:$I$32,9,FALSE))+(test!$B$35-50),0)</f>
        <v>0</v>
      </c>
      <c r="U117">
        <f>IF(AND(SUM(VLOOKUP($A117,test!$A$3:$F$32,2,FALSE),VLOOKUP(U$1,test!$A$3:$F$32,2,FALSE))&lt;test!$K$16,$A117&lt;&gt;U$1,Recharged_Feasible_mat!V86),(VLOOKUP(U$1,test!$A$3:$I$32,8,FALSE))-(VLOOKUP($A117,test!$A$3:$I$32,9,FALSE))+(test!$B$35-50),0)</f>
        <v>0</v>
      </c>
      <c r="V117">
        <f>IF(AND(SUM(VLOOKUP($A117,test!$A$3:$F$32,2,FALSE),VLOOKUP(V$1,test!$A$3:$F$32,2,FALSE))&lt;test!$K$16,$A117&lt;&gt;V$1,Recharged_Feasible_mat!W86),(VLOOKUP(V$1,test!$A$3:$I$32,8,FALSE))-(VLOOKUP($A117,test!$A$3:$I$32,9,FALSE))+(test!$B$35-50),0)</f>
        <v>0</v>
      </c>
      <c r="W117">
        <f>IF(AND(SUM(VLOOKUP($A117,test!$A$3:$F$32,2,FALSE),VLOOKUP(W$1,test!$A$3:$F$32,2,FALSE))&lt;test!$K$16,$A117&lt;&gt;W$1,Recharged_Feasible_mat!X86),(VLOOKUP(W$1,test!$A$3:$I$32,8,FALSE))-(VLOOKUP($A117,test!$A$3:$I$32,9,FALSE))+(test!$B$35-50),0)</f>
        <v>0</v>
      </c>
      <c r="X117">
        <f>IF(AND(SUM(VLOOKUP($A117,test!$A$3:$F$32,2,FALSE),VLOOKUP(X$1,test!$A$3:$F$32,2,FALSE))&lt;test!$K$16,$A117&lt;&gt;X$1,Recharged_Feasible_mat!Y86),(VLOOKUP(X$1,test!$A$3:$I$32,8,FALSE))-(VLOOKUP($A117,test!$A$3:$I$32,9,FALSE))+(test!$B$35-50),0)</f>
        <v>0</v>
      </c>
      <c r="Y117">
        <f>IF(AND(SUM(VLOOKUP($A117,test!$A$3:$F$32,2,FALSE),VLOOKUP(Y$1,test!$A$3:$F$32,2,FALSE))&lt;test!$K$16,$A117&lt;&gt;Y$1,Recharged_Feasible_mat!Z86),(VLOOKUP(Y$1,test!$A$3:$I$32,8,FALSE))-(VLOOKUP($A117,test!$A$3:$I$32,9,FALSE))+(test!$B$35-50),0)</f>
        <v>0</v>
      </c>
      <c r="Z117">
        <f>IF(AND(SUM(VLOOKUP($A117,test!$A$3:$F$32,2,FALSE),VLOOKUP(Z$1,test!$A$3:$F$32,2,FALSE))&lt;test!$K$16,$A117&lt;&gt;Z$1,Recharged_Feasible_mat!AA86),(VLOOKUP(Z$1,test!$A$3:$I$32,8,FALSE))-(VLOOKUP($A117,test!$A$3:$I$32,9,FALSE))+(test!$B$35-50),0)</f>
        <v>0</v>
      </c>
      <c r="AA117">
        <f>IF(AND(SUM(VLOOKUP($A117,test!$A$3:$F$32,2,FALSE),VLOOKUP(AA$1,test!$A$3:$F$32,2,FALSE))&lt;test!$K$16,$A117&lt;&gt;AA$1,Recharged_Feasible_mat!AB86),(VLOOKUP(AA$1,test!$A$3:$I$32,8,FALSE))-(VLOOKUP($A117,test!$A$3:$I$32,9,FALSE))+(test!$B$35-50),0)</f>
        <v>0</v>
      </c>
      <c r="AB117">
        <f>IF(AND(SUM(VLOOKUP($A117,test!$A$3:$F$32,2,FALSE),VLOOKUP(AB$1,test!$A$3:$F$32,2,FALSE))&lt;test!$K$16,$A117&lt;&gt;AB$1,Recharged_Feasible_mat!AC86),(VLOOKUP(AB$1,test!$A$3:$I$32,8,FALSE))-(VLOOKUP($A117,test!$A$3:$I$32,9,FALSE))+(test!$B$35-50),0)</f>
        <v>0</v>
      </c>
      <c r="AC117">
        <f>IF(AND(SUM(VLOOKUP($A117,test!$A$3:$F$32,2,FALSE),VLOOKUP(AC$1,test!$A$3:$F$32,2,FALSE))&lt;test!$K$16,$A117&lt;&gt;AC$1,Recharged_Feasible_mat!AD86),(VLOOKUP(AC$1,test!$A$3:$I$32,8,FALSE))-(VLOOKUP($A117,test!$A$3:$I$32,9,FALSE))+(test!$B$35-50),0)</f>
        <v>0</v>
      </c>
      <c r="AD117">
        <f>IF(AND(SUM(VLOOKUP($A117,test!$A$3:$F$32,2,FALSE),VLOOKUP(AD$1,test!$A$3:$F$32,2,FALSE))&lt;test!$K$16,$A117&lt;&gt;AD$1,Recharged_Feasible_mat!AE86),(VLOOKUP(AD$1,test!$A$3:$I$32,8,FALSE))-(VLOOKUP($A117,test!$A$3:$I$32,9,FALSE))+(test!$B$35-50),0)</f>
        <v>0</v>
      </c>
      <c r="AE117">
        <f>IF(AND(SUM(VLOOKUP($A117,test!$A$3:$F$32,2,FALSE),VLOOKUP(AE$1,test!$A$3:$F$32,2,FALSE))&lt;test!$K$16,$A117&lt;&gt;AE$1,Recharged_Feasible_mat!AF86),(VLOOKUP(AE$1,test!$A$3:$I$32,8,FALSE))-(VLOOKUP($A117,test!$A$3:$I$32,9,FALSE))+(test!$B$35-50),0)</f>
        <v>0</v>
      </c>
      <c r="AF117">
        <f>IF(AND(SUM(VLOOKUP($A117,test!$A$3:$F$32,2,FALSE),VLOOKUP(AF$1,test!$A$3:$F$32,2,FALSE))&lt;test!$K$16,$A117&lt;&gt;AF$1,Recharged_Feasible_mat!AG86),(VLOOKUP(AF$1,test!$A$3:$I$32,8,FALSE))-(VLOOKUP($A117,test!$A$3:$I$32,9,FALSE))+(test!$B$35-50),0)</f>
        <v>0</v>
      </c>
    </row>
    <row r="118" spans="1:32" x14ac:dyDescent="0.25">
      <c r="A118" t="s">
        <v>34</v>
      </c>
      <c r="B118">
        <v>0</v>
      </c>
      <c r="C118">
        <f>IF(AND(SUM(VLOOKUP($A118,test!$A$3:$F$32,2,FALSE),VLOOKUP(C$1,test!$A$3:$F$32,2,FALSE))&lt;test!$K$16,$A118&lt;&gt;C$1,Recharged_Feasible_mat!D87),(VLOOKUP(C$1,test!$A$3:$I$32,8,FALSE))-(VLOOKUP($A118,test!$A$3:$I$32,9,FALSE))+(test!$B$35-50),0)</f>
        <v>0</v>
      </c>
      <c r="D118">
        <f>IF(AND(SUM(VLOOKUP($A118,test!$A$3:$F$32,2,FALSE),VLOOKUP(D$1,test!$A$3:$F$32,2,FALSE))&lt;test!$K$16,$A118&lt;&gt;D$1,Recharged_Feasible_mat!E87),(VLOOKUP(D$1,test!$A$3:$I$32,8,FALSE))-(VLOOKUP($A118,test!$A$3:$I$32,9,FALSE))+(test!$B$35-50),0)</f>
        <v>0</v>
      </c>
      <c r="E118">
        <f>IF(AND(SUM(VLOOKUP($A118,test!$A$3:$F$32,2,FALSE),VLOOKUP(E$1,test!$A$3:$F$32,2,FALSE))&lt;test!$K$16,$A118&lt;&gt;E$1,Recharged_Feasible_mat!F87),(VLOOKUP(E$1,test!$A$3:$I$32,8,FALSE))-(VLOOKUP($A118,test!$A$3:$I$32,9,FALSE))+(test!$B$35-50),0)</f>
        <v>0</v>
      </c>
      <c r="F118">
        <f>IF(AND(SUM(VLOOKUP($A118,test!$A$3:$F$32,2,FALSE),VLOOKUP(F$1,test!$A$3:$F$32,2,FALSE))&lt;test!$K$16,$A118&lt;&gt;F$1,Recharged_Feasible_mat!G87),(VLOOKUP(F$1,test!$A$3:$I$32,8,FALSE))-(VLOOKUP($A118,test!$A$3:$I$32,9,FALSE))+(test!$B$35-50),0)</f>
        <v>210</v>
      </c>
      <c r="G118">
        <f>IF(AND(SUM(VLOOKUP($A118,test!$A$3:$F$32,2,FALSE),VLOOKUP(G$1,test!$A$3:$F$32,2,FALSE))&lt;test!$K$16,$A118&lt;&gt;G$1,Recharged_Feasible_mat!H87),(VLOOKUP(G$1,test!$A$3:$I$32,8,FALSE))-(VLOOKUP($A118,test!$A$3:$I$32,9,FALSE))+(test!$B$35-50),0)</f>
        <v>270</v>
      </c>
      <c r="H118">
        <f>IF(AND(SUM(VLOOKUP($A118,test!$A$3:$F$32,2,FALSE),VLOOKUP(H$1,test!$A$3:$F$32,2,FALSE))&lt;test!$K$16,$A118&lt;&gt;H$1,Recharged_Feasible_mat!I87),(VLOOKUP(H$1,test!$A$3:$I$32,8,FALSE))-(VLOOKUP($A118,test!$A$3:$I$32,9,FALSE))+(test!$B$35-50),0)</f>
        <v>330</v>
      </c>
      <c r="I118">
        <f>IF(AND(SUM(VLOOKUP($A118,test!$A$3:$F$32,2,FALSE),VLOOKUP(I$1,test!$A$3:$F$32,2,FALSE))&lt;test!$K$16,$A118&lt;&gt;I$1,Recharged_Feasible_mat!J87),(VLOOKUP(I$1,test!$A$3:$I$32,8,FALSE))-(VLOOKUP($A118,test!$A$3:$I$32,9,FALSE))+(test!$B$35-50),0)</f>
        <v>390</v>
      </c>
      <c r="J118">
        <f>IF(AND(SUM(VLOOKUP($A118,test!$A$3:$F$32,2,FALSE),VLOOKUP(J$1,test!$A$3:$F$32,2,FALSE))&lt;test!$K$16,$A118&lt;&gt;J$1,Recharged_Feasible_mat!K87),(VLOOKUP(J$1,test!$A$3:$I$32,8,FALSE))-(VLOOKUP($A118,test!$A$3:$I$32,9,FALSE))+(test!$B$35-50),0)</f>
        <v>480</v>
      </c>
      <c r="K118">
        <f>IF(AND(SUM(VLOOKUP($A118,test!$A$3:$F$32,2,FALSE),VLOOKUP(K$1,test!$A$3:$F$32,2,FALSE))&lt;test!$K$16,$A118&lt;&gt;K$1,Recharged_Feasible_mat!L87),(VLOOKUP(K$1,test!$A$3:$I$32,8,FALSE))-(VLOOKUP($A118,test!$A$3:$I$32,9,FALSE))+(test!$B$35-50),0)</f>
        <v>0</v>
      </c>
      <c r="L118">
        <f>IF(AND(SUM(VLOOKUP($A118,test!$A$3:$F$32,2,FALSE),VLOOKUP(L$1,test!$A$3:$F$32,2,FALSE))&lt;test!$K$16,$A118&lt;&gt;L$1,Recharged_Feasible_mat!M87),(VLOOKUP(L$1,test!$A$3:$I$32,8,FALSE))-(VLOOKUP($A118,test!$A$3:$I$32,9,FALSE))+(test!$B$35-50),0)</f>
        <v>0</v>
      </c>
      <c r="M118">
        <f>IF(AND(SUM(VLOOKUP($A118,test!$A$3:$F$32,2,FALSE),VLOOKUP(M$1,test!$A$3:$F$32,2,FALSE))&lt;test!$K$16,$A118&lt;&gt;M$1,Recharged_Feasible_mat!N87),(VLOOKUP(M$1,test!$A$3:$I$32,8,FALSE))-(VLOOKUP($A118,test!$A$3:$I$32,9,FALSE))+(test!$B$35-50),0)</f>
        <v>0</v>
      </c>
      <c r="N118">
        <f>IF(AND(SUM(VLOOKUP($A118,test!$A$3:$F$32,2,FALSE),VLOOKUP(N$1,test!$A$3:$F$32,2,FALSE))&lt;test!$K$16,$A118&lt;&gt;N$1,Recharged_Feasible_mat!O87),(VLOOKUP(N$1,test!$A$3:$I$32,8,FALSE))-(VLOOKUP($A118,test!$A$3:$I$32,9,FALSE))+(test!$B$35-50),0)</f>
        <v>445</v>
      </c>
      <c r="O118">
        <f>IF(AND(SUM(VLOOKUP($A118,test!$A$3:$F$32,2,FALSE),VLOOKUP(O$1,test!$A$3:$F$32,2,FALSE))&lt;test!$K$16,$A118&lt;&gt;O$1,Recharged_Feasible_mat!P87),(VLOOKUP(O$1,test!$A$3:$I$32,8,FALSE))-(VLOOKUP($A118,test!$A$3:$I$32,9,FALSE))+(test!$B$35-50),0)</f>
        <v>505</v>
      </c>
      <c r="P118">
        <f>IF(AND(SUM(VLOOKUP($A118,test!$A$3:$F$32,2,FALSE),VLOOKUP(P$1,test!$A$3:$F$32,2,FALSE))&lt;test!$K$16,$A118&lt;&gt;P$1,Recharged_Feasible_mat!Q87),(VLOOKUP(P$1,test!$A$3:$I$32,8,FALSE))-(VLOOKUP($A118,test!$A$3:$I$32,9,FALSE))+(test!$B$35-50),0)</f>
        <v>0</v>
      </c>
      <c r="Q118">
        <f>IF(AND(SUM(VLOOKUP($A118,test!$A$3:$F$32,2,FALSE),VLOOKUP(Q$1,test!$A$3:$F$32,2,FALSE))&lt;test!$K$16,$A118&lt;&gt;Q$1,Recharged_Feasible_mat!R87),(VLOOKUP(Q$1,test!$A$3:$I$32,8,FALSE))-(VLOOKUP($A118,test!$A$3:$I$32,9,FALSE))+(test!$B$35-50),0)</f>
        <v>0</v>
      </c>
      <c r="R118">
        <f>IF(AND(SUM(VLOOKUP($A118,test!$A$3:$F$32,2,FALSE),VLOOKUP(R$1,test!$A$3:$F$32,2,FALSE))&lt;test!$K$16,$A118&lt;&gt;R$1,Recharged_Feasible_mat!S87),(VLOOKUP(R$1,test!$A$3:$I$32,8,FALSE))-(VLOOKUP($A118,test!$A$3:$I$32,9,FALSE))+(test!$B$35-50),0)</f>
        <v>0</v>
      </c>
      <c r="S118">
        <f>IF(AND(SUM(VLOOKUP($A118,test!$A$3:$F$32,2,FALSE),VLOOKUP(S$1,test!$A$3:$F$32,2,FALSE))&lt;test!$K$16,$A118&lt;&gt;S$1,Recharged_Feasible_mat!T87),(VLOOKUP(S$1,test!$A$3:$I$32,8,FALSE))-(VLOOKUP($A118,test!$A$3:$I$32,9,FALSE))+(test!$B$35-50),0)</f>
        <v>0</v>
      </c>
      <c r="T118">
        <f>IF(AND(SUM(VLOOKUP($A118,test!$A$3:$F$32,2,FALSE),VLOOKUP(T$1,test!$A$3:$F$32,2,FALSE))&lt;test!$K$16,$A118&lt;&gt;T$1,Recharged_Feasible_mat!U87),(VLOOKUP(T$1,test!$A$3:$I$32,8,FALSE))-(VLOOKUP($A118,test!$A$3:$I$32,9,FALSE))+(test!$B$35-50),0)</f>
        <v>0</v>
      </c>
      <c r="U118">
        <f>IF(AND(SUM(VLOOKUP($A118,test!$A$3:$F$32,2,FALSE),VLOOKUP(U$1,test!$A$3:$F$32,2,FALSE))&lt;test!$K$16,$A118&lt;&gt;U$1,Recharged_Feasible_mat!V87),(VLOOKUP(U$1,test!$A$3:$I$32,8,FALSE))-(VLOOKUP($A118,test!$A$3:$I$32,9,FALSE))+(test!$B$35-50),0)</f>
        <v>0</v>
      </c>
      <c r="V118">
        <f>IF(AND(SUM(VLOOKUP($A118,test!$A$3:$F$32,2,FALSE),VLOOKUP(V$1,test!$A$3:$F$32,2,FALSE))&lt;test!$K$16,$A118&lt;&gt;V$1,Recharged_Feasible_mat!W87),(VLOOKUP(V$1,test!$A$3:$I$32,8,FALSE))-(VLOOKUP($A118,test!$A$3:$I$32,9,FALSE))+(test!$B$35-50),0)</f>
        <v>280</v>
      </c>
      <c r="W118">
        <f>IF(AND(SUM(VLOOKUP($A118,test!$A$3:$F$32,2,FALSE),VLOOKUP(W$1,test!$A$3:$F$32,2,FALSE))&lt;test!$K$16,$A118&lt;&gt;W$1,Recharged_Feasible_mat!X87),(VLOOKUP(W$1,test!$A$3:$I$32,8,FALSE))-(VLOOKUP($A118,test!$A$3:$I$32,9,FALSE))+(test!$B$35-50),0)</f>
        <v>370</v>
      </c>
      <c r="X118">
        <f>IF(AND(SUM(VLOOKUP($A118,test!$A$3:$F$32,2,FALSE),VLOOKUP(X$1,test!$A$3:$F$32,2,FALSE))&lt;test!$K$16,$A118&lt;&gt;X$1,Recharged_Feasible_mat!Y87),(VLOOKUP(X$1,test!$A$3:$I$32,8,FALSE))-(VLOOKUP($A118,test!$A$3:$I$32,9,FALSE))+(test!$B$35-50),0)</f>
        <v>430</v>
      </c>
      <c r="Y118">
        <f>IF(AND(SUM(VLOOKUP($A118,test!$A$3:$F$32,2,FALSE),VLOOKUP(Y$1,test!$A$3:$F$32,2,FALSE))&lt;test!$K$16,$A118&lt;&gt;Y$1,Recharged_Feasible_mat!Z87),(VLOOKUP(Y$1,test!$A$3:$I$32,8,FALSE))-(VLOOKUP($A118,test!$A$3:$I$32,9,FALSE))+(test!$B$35-50),0)</f>
        <v>0</v>
      </c>
      <c r="Z118">
        <f>IF(AND(SUM(VLOOKUP($A118,test!$A$3:$F$32,2,FALSE),VLOOKUP(Z$1,test!$A$3:$F$32,2,FALSE))&lt;test!$K$16,$A118&lt;&gt;Z$1,Recharged_Feasible_mat!AA87),(VLOOKUP(Z$1,test!$A$3:$I$32,8,FALSE))-(VLOOKUP($A118,test!$A$3:$I$32,9,FALSE))+(test!$B$35-50),0)</f>
        <v>0</v>
      </c>
      <c r="AA118">
        <f>IF(AND(SUM(VLOOKUP($A118,test!$A$3:$F$32,2,FALSE),VLOOKUP(AA$1,test!$A$3:$F$32,2,FALSE))&lt;test!$K$16,$A118&lt;&gt;AA$1,Recharged_Feasible_mat!AB87),(VLOOKUP(AA$1,test!$A$3:$I$32,8,FALSE))-(VLOOKUP($A118,test!$A$3:$I$32,9,FALSE))+(test!$B$35-50),0)</f>
        <v>0</v>
      </c>
      <c r="AB118">
        <f>IF(AND(SUM(VLOOKUP($A118,test!$A$3:$F$32,2,FALSE),VLOOKUP(AB$1,test!$A$3:$F$32,2,FALSE))&lt;test!$K$16,$A118&lt;&gt;AB$1,Recharged_Feasible_mat!AC87),(VLOOKUP(AB$1,test!$A$3:$I$32,8,FALSE))-(VLOOKUP($A118,test!$A$3:$I$32,9,FALSE))+(test!$B$35-50),0)</f>
        <v>210</v>
      </c>
      <c r="AC118">
        <f>IF(AND(SUM(VLOOKUP($A118,test!$A$3:$F$32,2,FALSE),VLOOKUP(AC$1,test!$A$3:$F$32,2,FALSE))&lt;test!$K$16,$A118&lt;&gt;AC$1,Recharged_Feasible_mat!AD87),(VLOOKUP(AC$1,test!$A$3:$I$32,8,FALSE))-(VLOOKUP($A118,test!$A$3:$I$32,9,FALSE))+(test!$B$35-50),0)</f>
        <v>330</v>
      </c>
      <c r="AD118">
        <f>IF(AND(SUM(VLOOKUP($A118,test!$A$3:$F$32,2,FALSE),VLOOKUP(AD$1,test!$A$3:$F$32,2,FALSE))&lt;test!$K$16,$A118&lt;&gt;AD$1,Recharged_Feasible_mat!AE87),(VLOOKUP(AD$1,test!$A$3:$I$32,8,FALSE))-(VLOOKUP($A118,test!$A$3:$I$32,9,FALSE))+(test!$B$35-50),0)</f>
        <v>0</v>
      </c>
      <c r="AE118">
        <f>IF(AND(SUM(VLOOKUP($A118,test!$A$3:$F$32,2,FALSE),VLOOKUP(AE$1,test!$A$3:$F$32,2,FALSE))&lt;test!$K$16,$A118&lt;&gt;AE$1,Recharged_Feasible_mat!AF87),(VLOOKUP(AE$1,test!$A$3:$I$32,8,FALSE))-(VLOOKUP($A118,test!$A$3:$I$32,9,FALSE))+(test!$B$35-50),0)</f>
        <v>0</v>
      </c>
      <c r="AF118">
        <f>IF(AND(SUM(VLOOKUP($A118,test!$A$3:$F$32,2,FALSE),VLOOKUP(AF$1,test!$A$3:$F$32,2,FALSE))&lt;test!$K$16,$A118&lt;&gt;AF$1,Recharged_Feasible_mat!AG87),(VLOOKUP(AF$1,test!$A$3:$I$32,8,FALSE))-(VLOOKUP($A118,test!$A$3:$I$32,9,FALSE))+(test!$B$35-50),0)</f>
        <v>0</v>
      </c>
    </row>
    <row r="119" spans="1:32" x14ac:dyDescent="0.25">
      <c r="A119" t="s">
        <v>35</v>
      </c>
      <c r="B119">
        <v>0</v>
      </c>
      <c r="C119">
        <f>IF(AND(SUM(VLOOKUP($A119,test!$A$3:$F$32,2,FALSE),VLOOKUP(C$1,test!$A$3:$F$32,2,FALSE))&lt;test!$K$16,$A119&lt;&gt;C$1,Recharged_Feasible_mat!D88),(VLOOKUP(C$1,test!$A$3:$I$32,8,FALSE))-(VLOOKUP($A119,test!$A$3:$I$32,9,FALSE))+(test!$B$35-50),0)</f>
        <v>0</v>
      </c>
      <c r="D119">
        <f>IF(AND(SUM(VLOOKUP($A119,test!$A$3:$F$32,2,FALSE),VLOOKUP(D$1,test!$A$3:$F$32,2,FALSE))&lt;test!$K$16,$A119&lt;&gt;D$1,Recharged_Feasible_mat!E88),(VLOOKUP(D$1,test!$A$3:$I$32,8,FALSE))-(VLOOKUP($A119,test!$A$3:$I$32,9,FALSE))+(test!$B$35-50),0)</f>
        <v>0</v>
      </c>
      <c r="E119">
        <f>IF(AND(SUM(VLOOKUP($A119,test!$A$3:$F$32,2,FALSE),VLOOKUP(E$1,test!$A$3:$F$32,2,FALSE))&lt;test!$K$16,$A119&lt;&gt;E$1,Recharged_Feasible_mat!F88),(VLOOKUP(E$1,test!$A$3:$I$32,8,FALSE))-(VLOOKUP($A119,test!$A$3:$I$32,9,FALSE))+(test!$B$35-50),0)</f>
        <v>0</v>
      </c>
      <c r="F119">
        <f>IF(AND(SUM(VLOOKUP($A119,test!$A$3:$F$32,2,FALSE),VLOOKUP(F$1,test!$A$3:$F$32,2,FALSE))&lt;test!$K$16,$A119&lt;&gt;F$1,Recharged_Feasible_mat!G88),(VLOOKUP(F$1,test!$A$3:$I$32,8,FALSE))-(VLOOKUP($A119,test!$A$3:$I$32,9,FALSE))+(test!$B$35-50),0)</f>
        <v>0</v>
      </c>
      <c r="G119">
        <f>IF(AND(SUM(VLOOKUP($A119,test!$A$3:$F$32,2,FALSE),VLOOKUP(G$1,test!$A$3:$F$32,2,FALSE))&lt;test!$K$16,$A119&lt;&gt;G$1,Recharged_Feasible_mat!H88),(VLOOKUP(G$1,test!$A$3:$I$32,8,FALSE))-(VLOOKUP($A119,test!$A$3:$I$32,9,FALSE))+(test!$B$35-50),0)</f>
        <v>0</v>
      </c>
      <c r="H119">
        <f>IF(AND(SUM(VLOOKUP($A119,test!$A$3:$F$32,2,FALSE),VLOOKUP(H$1,test!$A$3:$F$32,2,FALSE))&lt;test!$K$16,$A119&lt;&gt;H$1,Recharged_Feasible_mat!I88),(VLOOKUP(H$1,test!$A$3:$I$32,8,FALSE))-(VLOOKUP($A119,test!$A$3:$I$32,9,FALSE))+(test!$B$35-50),0)</f>
        <v>0</v>
      </c>
      <c r="I119">
        <f>IF(AND(SUM(VLOOKUP($A119,test!$A$3:$F$32,2,FALSE),VLOOKUP(I$1,test!$A$3:$F$32,2,FALSE))&lt;test!$K$16,$A119&lt;&gt;I$1,Recharged_Feasible_mat!J88),(VLOOKUP(I$1,test!$A$3:$I$32,8,FALSE))-(VLOOKUP($A119,test!$A$3:$I$32,9,FALSE))+(test!$B$35-50),0)</f>
        <v>220</v>
      </c>
      <c r="J119">
        <f>IF(AND(SUM(VLOOKUP($A119,test!$A$3:$F$32,2,FALSE),VLOOKUP(J$1,test!$A$3:$F$32,2,FALSE))&lt;test!$K$16,$A119&lt;&gt;J$1,Recharged_Feasible_mat!K88),(VLOOKUP(J$1,test!$A$3:$I$32,8,FALSE))-(VLOOKUP($A119,test!$A$3:$I$32,9,FALSE))+(test!$B$35-50),0)</f>
        <v>310</v>
      </c>
      <c r="K119">
        <f>IF(AND(SUM(VLOOKUP($A119,test!$A$3:$F$32,2,FALSE),VLOOKUP(K$1,test!$A$3:$F$32,2,FALSE))&lt;test!$K$16,$A119&lt;&gt;K$1,Recharged_Feasible_mat!L88),(VLOOKUP(K$1,test!$A$3:$I$32,8,FALSE))-(VLOOKUP($A119,test!$A$3:$I$32,9,FALSE))+(test!$B$35-50),0)</f>
        <v>0</v>
      </c>
      <c r="L119">
        <f>IF(AND(SUM(VLOOKUP($A119,test!$A$3:$F$32,2,FALSE),VLOOKUP(L$1,test!$A$3:$F$32,2,FALSE))&lt;test!$K$16,$A119&lt;&gt;L$1,Recharged_Feasible_mat!M88),(VLOOKUP(L$1,test!$A$3:$I$32,8,FALSE))-(VLOOKUP($A119,test!$A$3:$I$32,9,FALSE))+(test!$B$35-50),0)</f>
        <v>0</v>
      </c>
      <c r="M119">
        <f>IF(AND(SUM(VLOOKUP($A119,test!$A$3:$F$32,2,FALSE),VLOOKUP(M$1,test!$A$3:$F$32,2,FALSE))&lt;test!$K$16,$A119&lt;&gt;M$1,Recharged_Feasible_mat!N88),(VLOOKUP(M$1,test!$A$3:$I$32,8,FALSE))-(VLOOKUP($A119,test!$A$3:$I$32,9,FALSE))+(test!$B$35-50),0)</f>
        <v>0</v>
      </c>
      <c r="N119">
        <f>IF(AND(SUM(VLOOKUP($A119,test!$A$3:$F$32,2,FALSE),VLOOKUP(N$1,test!$A$3:$F$32,2,FALSE))&lt;test!$K$16,$A119&lt;&gt;N$1,Recharged_Feasible_mat!O88),(VLOOKUP(N$1,test!$A$3:$I$32,8,FALSE))-(VLOOKUP($A119,test!$A$3:$I$32,9,FALSE))+(test!$B$35-50),0)</f>
        <v>275</v>
      </c>
      <c r="O119">
        <f>IF(AND(SUM(VLOOKUP($A119,test!$A$3:$F$32,2,FALSE),VLOOKUP(O$1,test!$A$3:$F$32,2,FALSE))&lt;test!$K$16,$A119&lt;&gt;O$1,Recharged_Feasible_mat!P88),(VLOOKUP(O$1,test!$A$3:$I$32,8,FALSE))-(VLOOKUP($A119,test!$A$3:$I$32,9,FALSE))+(test!$B$35-50),0)</f>
        <v>335</v>
      </c>
      <c r="P119">
        <f>IF(AND(SUM(VLOOKUP($A119,test!$A$3:$F$32,2,FALSE),VLOOKUP(P$1,test!$A$3:$F$32,2,FALSE))&lt;test!$K$16,$A119&lt;&gt;P$1,Recharged_Feasible_mat!Q88),(VLOOKUP(P$1,test!$A$3:$I$32,8,FALSE))-(VLOOKUP($A119,test!$A$3:$I$32,9,FALSE))+(test!$B$35-50),0)</f>
        <v>0</v>
      </c>
      <c r="Q119">
        <f>IF(AND(SUM(VLOOKUP($A119,test!$A$3:$F$32,2,FALSE),VLOOKUP(Q$1,test!$A$3:$F$32,2,FALSE))&lt;test!$K$16,$A119&lt;&gt;Q$1,Recharged_Feasible_mat!R88),(VLOOKUP(Q$1,test!$A$3:$I$32,8,FALSE))-(VLOOKUP($A119,test!$A$3:$I$32,9,FALSE))+(test!$B$35-50),0)</f>
        <v>0</v>
      </c>
      <c r="R119">
        <f>IF(AND(SUM(VLOOKUP($A119,test!$A$3:$F$32,2,FALSE),VLOOKUP(R$1,test!$A$3:$F$32,2,FALSE))&lt;test!$K$16,$A119&lt;&gt;R$1,Recharged_Feasible_mat!S88),(VLOOKUP(R$1,test!$A$3:$I$32,8,FALSE))-(VLOOKUP($A119,test!$A$3:$I$32,9,FALSE))+(test!$B$35-50),0)</f>
        <v>0</v>
      </c>
      <c r="S119">
        <f>IF(AND(SUM(VLOOKUP($A119,test!$A$3:$F$32,2,FALSE),VLOOKUP(S$1,test!$A$3:$F$32,2,FALSE))&lt;test!$K$16,$A119&lt;&gt;S$1,Recharged_Feasible_mat!T88),(VLOOKUP(S$1,test!$A$3:$I$32,8,FALSE))-(VLOOKUP($A119,test!$A$3:$I$32,9,FALSE))+(test!$B$35-50),0)</f>
        <v>0</v>
      </c>
      <c r="T119">
        <f>IF(AND(SUM(VLOOKUP($A119,test!$A$3:$F$32,2,FALSE),VLOOKUP(T$1,test!$A$3:$F$32,2,FALSE))&lt;test!$K$16,$A119&lt;&gt;T$1,Recharged_Feasible_mat!U88),(VLOOKUP(T$1,test!$A$3:$I$32,8,FALSE))-(VLOOKUP($A119,test!$A$3:$I$32,9,FALSE))+(test!$B$35-50),0)</f>
        <v>0</v>
      </c>
      <c r="U119">
        <f>IF(AND(SUM(VLOOKUP($A119,test!$A$3:$F$32,2,FALSE),VLOOKUP(U$1,test!$A$3:$F$32,2,FALSE))&lt;test!$K$16,$A119&lt;&gt;U$1,Recharged_Feasible_mat!V88),(VLOOKUP(U$1,test!$A$3:$I$32,8,FALSE))-(VLOOKUP($A119,test!$A$3:$I$32,9,FALSE))+(test!$B$35-50),0)</f>
        <v>0</v>
      </c>
      <c r="V119">
        <f>IF(AND(SUM(VLOOKUP($A119,test!$A$3:$F$32,2,FALSE),VLOOKUP(V$1,test!$A$3:$F$32,2,FALSE))&lt;test!$K$16,$A119&lt;&gt;V$1,Recharged_Feasible_mat!W88),(VLOOKUP(V$1,test!$A$3:$I$32,8,FALSE))-(VLOOKUP($A119,test!$A$3:$I$32,9,FALSE))+(test!$B$35-50),0)</f>
        <v>0</v>
      </c>
      <c r="W119">
        <f>IF(AND(SUM(VLOOKUP($A119,test!$A$3:$F$32,2,FALSE),VLOOKUP(W$1,test!$A$3:$F$32,2,FALSE))&lt;test!$K$16,$A119&lt;&gt;W$1,Recharged_Feasible_mat!X88),(VLOOKUP(W$1,test!$A$3:$I$32,8,FALSE))-(VLOOKUP($A119,test!$A$3:$I$32,9,FALSE))+(test!$B$35-50),0)</f>
        <v>200</v>
      </c>
      <c r="X119">
        <f>IF(AND(SUM(VLOOKUP($A119,test!$A$3:$F$32,2,FALSE),VLOOKUP(X$1,test!$A$3:$F$32,2,FALSE))&lt;test!$K$16,$A119&lt;&gt;X$1,Recharged_Feasible_mat!Y88),(VLOOKUP(X$1,test!$A$3:$I$32,8,FALSE))-(VLOOKUP($A119,test!$A$3:$I$32,9,FALSE))+(test!$B$35-50),0)</f>
        <v>260</v>
      </c>
      <c r="Y119">
        <f>IF(AND(SUM(VLOOKUP($A119,test!$A$3:$F$32,2,FALSE),VLOOKUP(Y$1,test!$A$3:$F$32,2,FALSE))&lt;test!$K$16,$A119&lt;&gt;Y$1,Recharged_Feasible_mat!Z88),(VLOOKUP(Y$1,test!$A$3:$I$32,8,FALSE))-(VLOOKUP($A119,test!$A$3:$I$32,9,FALSE))+(test!$B$35-50),0)</f>
        <v>0</v>
      </c>
      <c r="Z119">
        <f>IF(AND(SUM(VLOOKUP($A119,test!$A$3:$F$32,2,FALSE),VLOOKUP(Z$1,test!$A$3:$F$32,2,FALSE))&lt;test!$K$16,$A119&lt;&gt;Z$1,Recharged_Feasible_mat!AA88),(VLOOKUP(Z$1,test!$A$3:$I$32,8,FALSE))-(VLOOKUP($A119,test!$A$3:$I$32,9,FALSE))+(test!$B$35-50),0)</f>
        <v>0</v>
      </c>
      <c r="AA119">
        <f>IF(AND(SUM(VLOOKUP($A119,test!$A$3:$F$32,2,FALSE),VLOOKUP(AA$1,test!$A$3:$F$32,2,FALSE))&lt;test!$K$16,$A119&lt;&gt;AA$1,Recharged_Feasible_mat!AB88),(VLOOKUP(AA$1,test!$A$3:$I$32,8,FALSE))-(VLOOKUP($A119,test!$A$3:$I$32,9,FALSE))+(test!$B$35-50),0)</f>
        <v>0</v>
      </c>
      <c r="AB119">
        <f>IF(AND(SUM(VLOOKUP($A119,test!$A$3:$F$32,2,FALSE),VLOOKUP(AB$1,test!$A$3:$F$32,2,FALSE))&lt;test!$K$16,$A119&lt;&gt;AB$1,Recharged_Feasible_mat!AC88),(VLOOKUP(AB$1,test!$A$3:$I$32,8,FALSE))-(VLOOKUP($A119,test!$A$3:$I$32,9,FALSE))+(test!$B$35-50),0)</f>
        <v>0</v>
      </c>
      <c r="AC119">
        <f>IF(AND(SUM(VLOOKUP($A119,test!$A$3:$F$32,2,FALSE),VLOOKUP(AC$1,test!$A$3:$F$32,2,FALSE))&lt;test!$K$16,$A119&lt;&gt;AC$1,Recharged_Feasible_mat!AD88),(VLOOKUP(AC$1,test!$A$3:$I$32,8,FALSE))-(VLOOKUP($A119,test!$A$3:$I$32,9,FALSE))+(test!$B$35-50),0)</f>
        <v>0</v>
      </c>
      <c r="AD119">
        <f>IF(AND(SUM(VLOOKUP($A119,test!$A$3:$F$32,2,FALSE),VLOOKUP(AD$1,test!$A$3:$F$32,2,FALSE))&lt;test!$K$16,$A119&lt;&gt;AD$1,Recharged_Feasible_mat!AE88),(VLOOKUP(AD$1,test!$A$3:$I$32,8,FALSE))-(VLOOKUP($A119,test!$A$3:$I$32,9,FALSE))+(test!$B$35-50),0)</f>
        <v>0</v>
      </c>
      <c r="AE119">
        <f>IF(AND(SUM(VLOOKUP($A119,test!$A$3:$F$32,2,FALSE),VLOOKUP(AE$1,test!$A$3:$F$32,2,FALSE))&lt;test!$K$16,$A119&lt;&gt;AE$1,Recharged_Feasible_mat!AF88),(VLOOKUP(AE$1,test!$A$3:$I$32,8,FALSE))-(VLOOKUP($A119,test!$A$3:$I$32,9,FALSE))+(test!$B$35-50),0)</f>
        <v>0</v>
      </c>
      <c r="AF119">
        <f>IF(AND(SUM(VLOOKUP($A119,test!$A$3:$F$32,2,FALSE),VLOOKUP(AF$1,test!$A$3:$F$32,2,FALSE))&lt;test!$K$16,$A119&lt;&gt;AF$1,Recharged_Feasible_mat!AG88),(VLOOKUP(AF$1,test!$A$3:$I$32,8,FALSE))-(VLOOKUP($A119,test!$A$3:$I$32,9,FALSE))+(test!$B$35-50),0)</f>
        <v>0</v>
      </c>
    </row>
    <row r="120" spans="1:32" x14ac:dyDescent="0.25">
      <c r="A120" t="s">
        <v>36</v>
      </c>
      <c r="B120">
        <v>0</v>
      </c>
      <c r="C120">
        <f>IF(AND(SUM(VLOOKUP($A120,test!$A$3:$F$32,2,FALSE),VLOOKUP(C$1,test!$A$3:$F$32,2,FALSE))&lt;test!$K$16,$A120&lt;&gt;C$1,Recharged_Feasible_mat!D89),(VLOOKUP(C$1,test!$A$3:$I$32,8,FALSE))-(VLOOKUP($A120,test!$A$3:$I$32,9,FALSE))+(test!$B$35-50),0)</f>
        <v>0</v>
      </c>
      <c r="D120">
        <f>IF(AND(SUM(VLOOKUP($A120,test!$A$3:$F$32,2,FALSE),VLOOKUP(D$1,test!$A$3:$F$32,2,FALSE))&lt;test!$K$16,$A120&lt;&gt;D$1,Recharged_Feasible_mat!E89),(VLOOKUP(D$1,test!$A$3:$I$32,8,FALSE))-(VLOOKUP($A120,test!$A$3:$I$32,9,FALSE))+(test!$B$35-50),0)</f>
        <v>0</v>
      </c>
      <c r="E120">
        <f>IF(AND(SUM(VLOOKUP($A120,test!$A$3:$F$32,2,FALSE),VLOOKUP(E$1,test!$A$3:$F$32,2,FALSE))&lt;test!$K$16,$A120&lt;&gt;E$1,Recharged_Feasible_mat!F89),(VLOOKUP(E$1,test!$A$3:$I$32,8,FALSE))-(VLOOKUP($A120,test!$A$3:$I$32,9,FALSE))+(test!$B$35-50),0)</f>
        <v>0</v>
      </c>
      <c r="F120">
        <f>IF(AND(SUM(VLOOKUP($A120,test!$A$3:$F$32,2,FALSE),VLOOKUP(F$1,test!$A$3:$F$32,2,FALSE))&lt;test!$K$16,$A120&lt;&gt;F$1,Recharged_Feasible_mat!G89),(VLOOKUP(F$1,test!$A$3:$I$32,8,FALSE))-(VLOOKUP($A120,test!$A$3:$I$32,9,FALSE))+(test!$B$35-50),0)</f>
        <v>0</v>
      </c>
      <c r="G120">
        <f>IF(AND(SUM(VLOOKUP($A120,test!$A$3:$F$32,2,FALSE),VLOOKUP(G$1,test!$A$3:$F$32,2,FALSE))&lt;test!$K$16,$A120&lt;&gt;G$1,Recharged_Feasible_mat!H89),(VLOOKUP(G$1,test!$A$3:$I$32,8,FALSE))-(VLOOKUP($A120,test!$A$3:$I$32,9,FALSE))+(test!$B$35-50),0)</f>
        <v>0</v>
      </c>
      <c r="H120">
        <f>IF(AND(SUM(VLOOKUP($A120,test!$A$3:$F$32,2,FALSE),VLOOKUP(H$1,test!$A$3:$F$32,2,FALSE))&lt;test!$K$16,$A120&lt;&gt;H$1,Recharged_Feasible_mat!I89),(VLOOKUP(H$1,test!$A$3:$I$32,8,FALSE))-(VLOOKUP($A120,test!$A$3:$I$32,9,FALSE))+(test!$B$35-50),0)</f>
        <v>0</v>
      </c>
      <c r="I120">
        <f>IF(AND(SUM(VLOOKUP($A120,test!$A$3:$F$32,2,FALSE),VLOOKUP(I$1,test!$A$3:$F$32,2,FALSE))&lt;test!$K$16,$A120&lt;&gt;I$1,Recharged_Feasible_mat!J89),(VLOOKUP(I$1,test!$A$3:$I$32,8,FALSE))-(VLOOKUP($A120,test!$A$3:$I$32,9,FALSE))+(test!$B$35-50),0)</f>
        <v>0</v>
      </c>
      <c r="J120">
        <f>IF(AND(SUM(VLOOKUP($A120,test!$A$3:$F$32,2,FALSE),VLOOKUP(J$1,test!$A$3:$F$32,2,FALSE))&lt;test!$K$16,$A120&lt;&gt;J$1,Recharged_Feasible_mat!K89),(VLOOKUP(J$1,test!$A$3:$I$32,8,FALSE))-(VLOOKUP($A120,test!$A$3:$I$32,9,FALSE))+(test!$B$35-50),0)</f>
        <v>0</v>
      </c>
      <c r="K120">
        <f>IF(AND(SUM(VLOOKUP($A120,test!$A$3:$F$32,2,FALSE),VLOOKUP(K$1,test!$A$3:$F$32,2,FALSE))&lt;test!$K$16,$A120&lt;&gt;K$1,Recharged_Feasible_mat!L89),(VLOOKUP(K$1,test!$A$3:$I$32,8,FALSE))-(VLOOKUP($A120,test!$A$3:$I$32,9,FALSE))+(test!$B$35-50),0)</f>
        <v>0</v>
      </c>
      <c r="L120">
        <f>IF(AND(SUM(VLOOKUP($A120,test!$A$3:$F$32,2,FALSE),VLOOKUP(L$1,test!$A$3:$F$32,2,FALSE))&lt;test!$K$16,$A120&lt;&gt;L$1,Recharged_Feasible_mat!M89),(VLOOKUP(L$1,test!$A$3:$I$32,8,FALSE))-(VLOOKUP($A120,test!$A$3:$I$32,9,FALSE))+(test!$B$35-50),0)</f>
        <v>0</v>
      </c>
      <c r="M120">
        <f>IF(AND(SUM(VLOOKUP($A120,test!$A$3:$F$32,2,FALSE),VLOOKUP(M$1,test!$A$3:$F$32,2,FALSE))&lt;test!$K$16,$A120&lt;&gt;M$1,Recharged_Feasible_mat!N89),(VLOOKUP(M$1,test!$A$3:$I$32,8,FALSE))-(VLOOKUP($A120,test!$A$3:$I$32,9,FALSE))+(test!$B$35-50),0)</f>
        <v>0</v>
      </c>
      <c r="N120">
        <f>IF(AND(SUM(VLOOKUP($A120,test!$A$3:$F$32,2,FALSE),VLOOKUP(N$1,test!$A$3:$F$32,2,FALSE))&lt;test!$K$16,$A120&lt;&gt;N$1,Recharged_Feasible_mat!O89),(VLOOKUP(N$1,test!$A$3:$I$32,8,FALSE))-(VLOOKUP($A120,test!$A$3:$I$32,9,FALSE))+(test!$B$35-50),0)</f>
        <v>0</v>
      </c>
      <c r="O120">
        <f>IF(AND(SUM(VLOOKUP($A120,test!$A$3:$F$32,2,FALSE),VLOOKUP(O$1,test!$A$3:$F$32,2,FALSE))&lt;test!$K$16,$A120&lt;&gt;O$1,Recharged_Feasible_mat!P89),(VLOOKUP(O$1,test!$A$3:$I$32,8,FALSE))-(VLOOKUP($A120,test!$A$3:$I$32,9,FALSE))+(test!$B$35-50),0)</f>
        <v>215</v>
      </c>
      <c r="P120">
        <f>IF(AND(SUM(VLOOKUP($A120,test!$A$3:$F$32,2,FALSE),VLOOKUP(P$1,test!$A$3:$F$32,2,FALSE))&lt;test!$K$16,$A120&lt;&gt;P$1,Recharged_Feasible_mat!Q89),(VLOOKUP(P$1,test!$A$3:$I$32,8,FALSE))-(VLOOKUP($A120,test!$A$3:$I$32,9,FALSE))+(test!$B$35-50),0)</f>
        <v>0</v>
      </c>
      <c r="Q120">
        <f>IF(AND(SUM(VLOOKUP($A120,test!$A$3:$F$32,2,FALSE),VLOOKUP(Q$1,test!$A$3:$F$32,2,FALSE))&lt;test!$K$16,$A120&lt;&gt;Q$1,Recharged_Feasible_mat!R89),(VLOOKUP(Q$1,test!$A$3:$I$32,8,FALSE))-(VLOOKUP($A120,test!$A$3:$I$32,9,FALSE))+(test!$B$35-50),0)</f>
        <v>0</v>
      </c>
      <c r="R120">
        <f>IF(AND(SUM(VLOOKUP($A120,test!$A$3:$F$32,2,FALSE),VLOOKUP(R$1,test!$A$3:$F$32,2,FALSE))&lt;test!$K$16,$A120&lt;&gt;R$1,Recharged_Feasible_mat!S89),(VLOOKUP(R$1,test!$A$3:$I$32,8,FALSE))-(VLOOKUP($A120,test!$A$3:$I$32,9,FALSE))+(test!$B$35-50),0)</f>
        <v>0</v>
      </c>
      <c r="S120">
        <f>IF(AND(SUM(VLOOKUP($A120,test!$A$3:$F$32,2,FALSE),VLOOKUP(S$1,test!$A$3:$F$32,2,FALSE))&lt;test!$K$16,$A120&lt;&gt;S$1,Recharged_Feasible_mat!T89),(VLOOKUP(S$1,test!$A$3:$I$32,8,FALSE))-(VLOOKUP($A120,test!$A$3:$I$32,9,FALSE))+(test!$B$35-50),0)</f>
        <v>0</v>
      </c>
      <c r="T120">
        <f>IF(AND(SUM(VLOOKUP($A120,test!$A$3:$F$32,2,FALSE),VLOOKUP(T$1,test!$A$3:$F$32,2,FALSE))&lt;test!$K$16,$A120&lt;&gt;T$1,Recharged_Feasible_mat!U89),(VLOOKUP(T$1,test!$A$3:$I$32,8,FALSE))-(VLOOKUP($A120,test!$A$3:$I$32,9,FALSE))+(test!$B$35-50),0)</f>
        <v>0</v>
      </c>
      <c r="U120">
        <f>IF(AND(SUM(VLOOKUP($A120,test!$A$3:$F$32,2,FALSE),VLOOKUP(U$1,test!$A$3:$F$32,2,FALSE))&lt;test!$K$16,$A120&lt;&gt;U$1,Recharged_Feasible_mat!V89),(VLOOKUP(U$1,test!$A$3:$I$32,8,FALSE))-(VLOOKUP($A120,test!$A$3:$I$32,9,FALSE))+(test!$B$35-50),0)</f>
        <v>0</v>
      </c>
      <c r="V120">
        <f>IF(AND(SUM(VLOOKUP($A120,test!$A$3:$F$32,2,FALSE),VLOOKUP(V$1,test!$A$3:$F$32,2,FALSE))&lt;test!$K$16,$A120&lt;&gt;V$1,Recharged_Feasible_mat!W89),(VLOOKUP(V$1,test!$A$3:$I$32,8,FALSE))-(VLOOKUP($A120,test!$A$3:$I$32,9,FALSE))+(test!$B$35-50),0)</f>
        <v>0</v>
      </c>
      <c r="W120">
        <f>IF(AND(SUM(VLOOKUP($A120,test!$A$3:$F$32,2,FALSE),VLOOKUP(W$1,test!$A$3:$F$32,2,FALSE))&lt;test!$K$16,$A120&lt;&gt;W$1,Recharged_Feasible_mat!X89),(VLOOKUP(W$1,test!$A$3:$I$32,8,FALSE))-(VLOOKUP($A120,test!$A$3:$I$32,9,FALSE))+(test!$B$35-50),0)</f>
        <v>0</v>
      </c>
      <c r="X120">
        <f>IF(AND(SUM(VLOOKUP($A120,test!$A$3:$F$32,2,FALSE),VLOOKUP(X$1,test!$A$3:$F$32,2,FALSE))&lt;test!$K$16,$A120&lt;&gt;X$1,Recharged_Feasible_mat!Y89),(VLOOKUP(X$1,test!$A$3:$I$32,8,FALSE))-(VLOOKUP($A120,test!$A$3:$I$32,9,FALSE))+(test!$B$35-50),0)</f>
        <v>0</v>
      </c>
      <c r="Y120">
        <f>IF(AND(SUM(VLOOKUP($A120,test!$A$3:$F$32,2,FALSE),VLOOKUP(Y$1,test!$A$3:$F$32,2,FALSE))&lt;test!$K$16,$A120&lt;&gt;Y$1,Recharged_Feasible_mat!Z89),(VLOOKUP(Y$1,test!$A$3:$I$32,8,FALSE))-(VLOOKUP($A120,test!$A$3:$I$32,9,FALSE))+(test!$B$35-50),0)</f>
        <v>0</v>
      </c>
      <c r="Z120">
        <f>IF(AND(SUM(VLOOKUP($A120,test!$A$3:$F$32,2,FALSE),VLOOKUP(Z$1,test!$A$3:$F$32,2,FALSE))&lt;test!$K$16,$A120&lt;&gt;Z$1,Recharged_Feasible_mat!AA89),(VLOOKUP(Z$1,test!$A$3:$I$32,8,FALSE))-(VLOOKUP($A120,test!$A$3:$I$32,9,FALSE))+(test!$B$35-50),0)</f>
        <v>0</v>
      </c>
      <c r="AA120">
        <f>IF(AND(SUM(VLOOKUP($A120,test!$A$3:$F$32,2,FALSE),VLOOKUP(AA$1,test!$A$3:$F$32,2,FALSE))&lt;test!$K$16,$A120&lt;&gt;AA$1,Recharged_Feasible_mat!AB89),(VLOOKUP(AA$1,test!$A$3:$I$32,8,FALSE))-(VLOOKUP($A120,test!$A$3:$I$32,9,FALSE))+(test!$B$35-50),0)</f>
        <v>0</v>
      </c>
      <c r="AB120">
        <f>IF(AND(SUM(VLOOKUP($A120,test!$A$3:$F$32,2,FALSE),VLOOKUP(AB$1,test!$A$3:$F$32,2,FALSE))&lt;test!$K$16,$A120&lt;&gt;AB$1,Recharged_Feasible_mat!AC89),(VLOOKUP(AB$1,test!$A$3:$I$32,8,FALSE))-(VLOOKUP($A120,test!$A$3:$I$32,9,FALSE))+(test!$B$35-50),0)</f>
        <v>0</v>
      </c>
      <c r="AC120">
        <f>IF(AND(SUM(VLOOKUP($A120,test!$A$3:$F$32,2,FALSE),VLOOKUP(AC$1,test!$A$3:$F$32,2,FALSE))&lt;test!$K$16,$A120&lt;&gt;AC$1,Recharged_Feasible_mat!AD89),(VLOOKUP(AC$1,test!$A$3:$I$32,8,FALSE))-(VLOOKUP($A120,test!$A$3:$I$32,9,FALSE))+(test!$B$35-50),0)</f>
        <v>0</v>
      </c>
      <c r="AD120">
        <f>IF(AND(SUM(VLOOKUP($A120,test!$A$3:$F$32,2,FALSE),VLOOKUP(AD$1,test!$A$3:$F$32,2,FALSE))&lt;test!$K$16,$A120&lt;&gt;AD$1,Recharged_Feasible_mat!AE89),(VLOOKUP(AD$1,test!$A$3:$I$32,8,FALSE))-(VLOOKUP($A120,test!$A$3:$I$32,9,FALSE))+(test!$B$35-50),0)</f>
        <v>0</v>
      </c>
      <c r="AE120">
        <f>IF(AND(SUM(VLOOKUP($A120,test!$A$3:$F$32,2,FALSE),VLOOKUP(AE$1,test!$A$3:$F$32,2,FALSE))&lt;test!$K$16,$A120&lt;&gt;AE$1,Recharged_Feasible_mat!AF89),(VLOOKUP(AE$1,test!$A$3:$I$32,8,FALSE))-(VLOOKUP($A120,test!$A$3:$I$32,9,FALSE))+(test!$B$35-50),0)</f>
        <v>0</v>
      </c>
      <c r="AF120">
        <f>IF(AND(SUM(VLOOKUP($A120,test!$A$3:$F$32,2,FALSE),VLOOKUP(AF$1,test!$A$3:$F$32,2,FALSE))&lt;test!$K$16,$A120&lt;&gt;AF$1,Recharged_Feasible_mat!AG89),(VLOOKUP(AF$1,test!$A$3:$I$32,8,FALSE))-(VLOOKUP($A120,test!$A$3:$I$32,9,FALSE))+(test!$B$35-50),0)</f>
        <v>0</v>
      </c>
    </row>
    <row r="121" spans="1:32" x14ac:dyDescent="0.25">
      <c r="A121" t="s">
        <v>37</v>
      </c>
      <c r="B121">
        <v>0</v>
      </c>
      <c r="C121">
        <f>IF(AND(SUM(VLOOKUP($A121,test!$A$3:$F$32,2,FALSE),VLOOKUP(C$1,test!$A$3:$F$32,2,FALSE))&lt;test!$K$16,$A121&lt;&gt;C$1,Recharged_Feasible_mat!D90),(VLOOKUP(C$1,test!$A$3:$I$32,8,FALSE))-(VLOOKUP($A121,test!$A$3:$I$32,9,FALSE))+(test!$B$35-50),0)</f>
        <v>0</v>
      </c>
      <c r="D121">
        <f>IF(AND(SUM(VLOOKUP($A121,test!$A$3:$F$32,2,FALSE),VLOOKUP(D$1,test!$A$3:$F$32,2,FALSE))&lt;test!$K$16,$A121&lt;&gt;D$1,Recharged_Feasible_mat!E90),(VLOOKUP(D$1,test!$A$3:$I$32,8,FALSE))-(VLOOKUP($A121,test!$A$3:$I$32,9,FALSE))+(test!$B$35-50),0)</f>
        <v>0</v>
      </c>
      <c r="E121">
        <f>IF(AND(SUM(VLOOKUP($A121,test!$A$3:$F$32,2,FALSE),VLOOKUP(E$1,test!$A$3:$F$32,2,FALSE))&lt;test!$K$16,$A121&lt;&gt;E$1,Recharged_Feasible_mat!F90),(VLOOKUP(E$1,test!$A$3:$I$32,8,FALSE))-(VLOOKUP($A121,test!$A$3:$I$32,9,FALSE))+(test!$B$35-50),0)</f>
        <v>0</v>
      </c>
      <c r="F121">
        <f>IF(AND(SUM(VLOOKUP($A121,test!$A$3:$F$32,2,FALSE),VLOOKUP(F$1,test!$A$3:$F$32,2,FALSE))&lt;test!$K$16,$A121&lt;&gt;F$1,Recharged_Feasible_mat!G90),(VLOOKUP(F$1,test!$A$3:$I$32,8,FALSE))-(VLOOKUP($A121,test!$A$3:$I$32,9,FALSE))+(test!$B$35-50),0)</f>
        <v>0</v>
      </c>
      <c r="G121">
        <f>IF(AND(SUM(VLOOKUP($A121,test!$A$3:$F$32,2,FALSE),VLOOKUP(G$1,test!$A$3:$F$32,2,FALSE))&lt;test!$K$16,$A121&lt;&gt;G$1,Recharged_Feasible_mat!H90),(VLOOKUP(G$1,test!$A$3:$I$32,8,FALSE))-(VLOOKUP($A121,test!$A$3:$I$32,9,FALSE))+(test!$B$35-50),0)</f>
        <v>0</v>
      </c>
      <c r="H121">
        <f>IF(AND(SUM(VLOOKUP($A121,test!$A$3:$F$32,2,FALSE),VLOOKUP(H$1,test!$A$3:$F$32,2,FALSE))&lt;test!$K$16,$A121&lt;&gt;H$1,Recharged_Feasible_mat!I90),(VLOOKUP(H$1,test!$A$3:$I$32,8,FALSE))-(VLOOKUP($A121,test!$A$3:$I$32,9,FALSE))+(test!$B$35-50),0)</f>
        <v>0</v>
      </c>
      <c r="I121">
        <f>IF(AND(SUM(VLOOKUP($A121,test!$A$3:$F$32,2,FALSE),VLOOKUP(I$1,test!$A$3:$F$32,2,FALSE))&lt;test!$K$16,$A121&lt;&gt;I$1,Recharged_Feasible_mat!J90),(VLOOKUP(I$1,test!$A$3:$I$32,8,FALSE))-(VLOOKUP($A121,test!$A$3:$I$32,9,FALSE))+(test!$B$35-50),0)</f>
        <v>0</v>
      </c>
      <c r="J121">
        <f>IF(AND(SUM(VLOOKUP($A121,test!$A$3:$F$32,2,FALSE),VLOOKUP(J$1,test!$A$3:$F$32,2,FALSE))&lt;test!$K$16,$A121&lt;&gt;J$1,Recharged_Feasible_mat!K90),(VLOOKUP(J$1,test!$A$3:$I$32,8,FALSE))-(VLOOKUP($A121,test!$A$3:$I$32,9,FALSE))+(test!$B$35-50),0)</f>
        <v>0</v>
      </c>
      <c r="K121">
        <f>IF(AND(SUM(VLOOKUP($A121,test!$A$3:$F$32,2,FALSE),VLOOKUP(K$1,test!$A$3:$F$32,2,FALSE))&lt;test!$K$16,$A121&lt;&gt;K$1,Recharged_Feasible_mat!L90),(VLOOKUP(K$1,test!$A$3:$I$32,8,FALSE))-(VLOOKUP($A121,test!$A$3:$I$32,9,FALSE))+(test!$B$35-50),0)</f>
        <v>0</v>
      </c>
      <c r="L121">
        <f>IF(AND(SUM(VLOOKUP($A121,test!$A$3:$F$32,2,FALSE),VLOOKUP(L$1,test!$A$3:$F$32,2,FALSE))&lt;test!$K$16,$A121&lt;&gt;L$1,Recharged_Feasible_mat!M90),(VLOOKUP(L$1,test!$A$3:$I$32,8,FALSE))-(VLOOKUP($A121,test!$A$3:$I$32,9,FALSE))+(test!$B$35-50),0)</f>
        <v>0</v>
      </c>
      <c r="M121">
        <f>IF(AND(SUM(VLOOKUP($A121,test!$A$3:$F$32,2,FALSE),VLOOKUP(M$1,test!$A$3:$F$32,2,FALSE))&lt;test!$K$16,$A121&lt;&gt;M$1,Recharged_Feasible_mat!N90),(VLOOKUP(M$1,test!$A$3:$I$32,8,FALSE))-(VLOOKUP($A121,test!$A$3:$I$32,9,FALSE))+(test!$B$35-50),0)</f>
        <v>0</v>
      </c>
      <c r="N121">
        <f>IF(AND(SUM(VLOOKUP($A121,test!$A$3:$F$32,2,FALSE),VLOOKUP(N$1,test!$A$3:$F$32,2,FALSE))&lt;test!$K$16,$A121&lt;&gt;N$1,Recharged_Feasible_mat!O90),(VLOOKUP(N$1,test!$A$3:$I$32,8,FALSE))-(VLOOKUP($A121,test!$A$3:$I$32,9,FALSE))+(test!$B$35-50),0)</f>
        <v>0</v>
      </c>
      <c r="O121">
        <f>IF(AND(SUM(VLOOKUP($A121,test!$A$3:$F$32,2,FALSE),VLOOKUP(O$1,test!$A$3:$F$32,2,FALSE))&lt;test!$K$16,$A121&lt;&gt;O$1,Recharged_Feasible_mat!P90),(VLOOKUP(O$1,test!$A$3:$I$32,8,FALSE))-(VLOOKUP($A121,test!$A$3:$I$32,9,FALSE))+(test!$B$35-50),0)</f>
        <v>0</v>
      </c>
      <c r="P121">
        <f>IF(AND(SUM(VLOOKUP($A121,test!$A$3:$F$32,2,FALSE),VLOOKUP(P$1,test!$A$3:$F$32,2,FALSE))&lt;test!$K$16,$A121&lt;&gt;P$1,Recharged_Feasible_mat!Q90),(VLOOKUP(P$1,test!$A$3:$I$32,8,FALSE))-(VLOOKUP($A121,test!$A$3:$I$32,9,FALSE))+(test!$B$35-50),0)</f>
        <v>0</v>
      </c>
      <c r="Q121">
        <f>IF(AND(SUM(VLOOKUP($A121,test!$A$3:$F$32,2,FALSE),VLOOKUP(Q$1,test!$A$3:$F$32,2,FALSE))&lt;test!$K$16,$A121&lt;&gt;Q$1,Recharged_Feasible_mat!R90),(VLOOKUP(Q$1,test!$A$3:$I$32,8,FALSE))-(VLOOKUP($A121,test!$A$3:$I$32,9,FALSE))+(test!$B$35-50),0)</f>
        <v>0</v>
      </c>
      <c r="R121">
        <f>IF(AND(SUM(VLOOKUP($A121,test!$A$3:$F$32,2,FALSE),VLOOKUP(R$1,test!$A$3:$F$32,2,FALSE))&lt;test!$K$16,$A121&lt;&gt;R$1,Recharged_Feasible_mat!S90),(VLOOKUP(R$1,test!$A$3:$I$32,8,FALSE))-(VLOOKUP($A121,test!$A$3:$I$32,9,FALSE))+(test!$B$35-50),0)</f>
        <v>0</v>
      </c>
      <c r="S121">
        <f>IF(AND(SUM(VLOOKUP($A121,test!$A$3:$F$32,2,FALSE),VLOOKUP(S$1,test!$A$3:$F$32,2,FALSE))&lt;test!$K$16,$A121&lt;&gt;S$1,Recharged_Feasible_mat!T90),(VLOOKUP(S$1,test!$A$3:$I$32,8,FALSE))-(VLOOKUP($A121,test!$A$3:$I$32,9,FALSE))+(test!$B$35-50),0)</f>
        <v>0</v>
      </c>
      <c r="T121">
        <f>IF(AND(SUM(VLOOKUP($A121,test!$A$3:$F$32,2,FALSE),VLOOKUP(T$1,test!$A$3:$F$32,2,FALSE))&lt;test!$K$16,$A121&lt;&gt;T$1,Recharged_Feasible_mat!U90),(VLOOKUP(T$1,test!$A$3:$I$32,8,FALSE))-(VLOOKUP($A121,test!$A$3:$I$32,9,FALSE))+(test!$B$35-50),0)</f>
        <v>0</v>
      </c>
      <c r="U121">
        <f>IF(AND(SUM(VLOOKUP($A121,test!$A$3:$F$32,2,FALSE),VLOOKUP(U$1,test!$A$3:$F$32,2,FALSE))&lt;test!$K$16,$A121&lt;&gt;U$1,Recharged_Feasible_mat!V90),(VLOOKUP(U$1,test!$A$3:$I$32,8,FALSE))-(VLOOKUP($A121,test!$A$3:$I$32,9,FALSE))+(test!$B$35-50),0)</f>
        <v>0</v>
      </c>
      <c r="V121">
        <f>IF(AND(SUM(VLOOKUP($A121,test!$A$3:$F$32,2,FALSE),VLOOKUP(V$1,test!$A$3:$F$32,2,FALSE))&lt;test!$K$16,$A121&lt;&gt;V$1,Recharged_Feasible_mat!W90),(VLOOKUP(V$1,test!$A$3:$I$32,8,FALSE))-(VLOOKUP($A121,test!$A$3:$I$32,9,FALSE))+(test!$B$35-50),0)</f>
        <v>0</v>
      </c>
      <c r="W121">
        <f>IF(AND(SUM(VLOOKUP($A121,test!$A$3:$F$32,2,FALSE),VLOOKUP(W$1,test!$A$3:$F$32,2,FALSE))&lt;test!$K$16,$A121&lt;&gt;W$1,Recharged_Feasible_mat!X90),(VLOOKUP(W$1,test!$A$3:$I$32,8,FALSE))-(VLOOKUP($A121,test!$A$3:$I$32,9,FALSE))+(test!$B$35-50),0)</f>
        <v>0</v>
      </c>
      <c r="X121">
        <f>IF(AND(SUM(VLOOKUP($A121,test!$A$3:$F$32,2,FALSE),VLOOKUP(X$1,test!$A$3:$F$32,2,FALSE))&lt;test!$K$16,$A121&lt;&gt;X$1,Recharged_Feasible_mat!Y90),(VLOOKUP(X$1,test!$A$3:$I$32,8,FALSE))-(VLOOKUP($A121,test!$A$3:$I$32,9,FALSE))+(test!$B$35-50),0)</f>
        <v>0</v>
      </c>
      <c r="Y121">
        <f>IF(AND(SUM(VLOOKUP($A121,test!$A$3:$F$32,2,FALSE),VLOOKUP(Y$1,test!$A$3:$F$32,2,FALSE))&lt;test!$K$16,$A121&lt;&gt;Y$1,Recharged_Feasible_mat!Z90),(VLOOKUP(Y$1,test!$A$3:$I$32,8,FALSE))-(VLOOKUP($A121,test!$A$3:$I$32,9,FALSE))+(test!$B$35-50),0)</f>
        <v>0</v>
      </c>
      <c r="Z121">
        <f>IF(AND(SUM(VLOOKUP($A121,test!$A$3:$F$32,2,FALSE),VLOOKUP(Z$1,test!$A$3:$F$32,2,FALSE))&lt;test!$K$16,$A121&lt;&gt;Z$1,Recharged_Feasible_mat!AA90),(VLOOKUP(Z$1,test!$A$3:$I$32,8,FALSE))-(VLOOKUP($A121,test!$A$3:$I$32,9,FALSE))+(test!$B$35-50),0)</f>
        <v>0</v>
      </c>
      <c r="AA121">
        <f>IF(AND(SUM(VLOOKUP($A121,test!$A$3:$F$32,2,FALSE),VLOOKUP(AA$1,test!$A$3:$F$32,2,FALSE))&lt;test!$K$16,$A121&lt;&gt;AA$1,Recharged_Feasible_mat!AB90),(VLOOKUP(AA$1,test!$A$3:$I$32,8,FALSE))-(VLOOKUP($A121,test!$A$3:$I$32,9,FALSE))+(test!$B$35-50),0)</f>
        <v>0</v>
      </c>
      <c r="AB121">
        <f>IF(AND(SUM(VLOOKUP($A121,test!$A$3:$F$32,2,FALSE),VLOOKUP(AB$1,test!$A$3:$F$32,2,FALSE))&lt;test!$K$16,$A121&lt;&gt;AB$1,Recharged_Feasible_mat!AC90),(VLOOKUP(AB$1,test!$A$3:$I$32,8,FALSE))-(VLOOKUP($A121,test!$A$3:$I$32,9,FALSE))+(test!$B$35-50),0)</f>
        <v>0</v>
      </c>
      <c r="AC121">
        <f>IF(AND(SUM(VLOOKUP($A121,test!$A$3:$F$32,2,FALSE),VLOOKUP(AC$1,test!$A$3:$F$32,2,FALSE))&lt;test!$K$16,$A121&lt;&gt;AC$1,Recharged_Feasible_mat!AD90),(VLOOKUP(AC$1,test!$A$3:$I$32,8,FALSE))-(VLOOKUP($A121,test!$A$3:$I$32,9,FALSE))+(test!$B$35-50),0)</f>
        <v>0</v>
      </c>
      <c r="AD121">
        <f>IF(AND(SUM(VLOOKUP($A121,test!$A$3:$F$32,2,FALSE),VLOOKUP(AD$1,test!$A$3:$F$32,2,FALSE))&lt;test!$K$16,$A121&lt;&gt;AD$1,Recharged_Feasible_mat!AE90),(VLOOKUP(AD$1,test!$A$3:$I$32,8,FALSE))-(VLOOKUP($A121,test!$A$3:$I$32,9,FALSE))+(test!$B$35-50),0)</f>
        <v>0</v>
      </c>
      <c r="AE121">
        <f>IF(AND(SUM(VLOOKUP($A121,test!$A$3:$F$32,2,FALSE),VLOOKUP(AE$1,test!$A$3:$F$32,2,FALSE))&lt;test!$K$16,$A121&lt;&gt;AE$1,Recharged_Feasible_mat!AF90),(VLOOKUP(AE$1,test!$A$3:$I$32,8,FALSE))-(VLOOKUP($A121,test!$A$3:$I$32,9,FALSE))+(test!$B$35-50),0)</f>
        <v>0</v>
      </c>
      <c r="AF121">
        <f>IF(AND(SUM(VLOOKUP($A121,test!$A$3:$F$32,2,FALSE),VLOOKUP(AF$1,test!$A$3:$F$32,2,FALSE))&lt;test!$K$16,$A121&lt;&gt;AF$1,Recharged_Feasible_mat!AG90),(VLOOKUP(AF$1,test!$A$3:$I$32,8,FALSE))-(VLOOKUP($A121,test!$A$3:$I$32,9,FALSE))+(test!$B$35-50),0)</f>
        <v>0</v>
      </c>
    </row>
    <row r="122" spans="1:32" x14ac:dyDescent="0.25">
      <c r="A122" t="s">
        <v>38</v>
      </c>
      <c r="B122">
        <v>0</v>
      </c>
      <c r="C122">
        <f>IF(AND(SUM(VLOOKUP($A122,test!$A$3:$F$32,2,FALSE),VLOOKUP(C$1,test!$A$3:$F$32,2,FALSE))&lt;test!$K$16,$A122&lt;&gt;C$1,Recharged_Feasible_mat!D91),(VLOOKUP(C$1,test!$A$3:$I$32,8,FALSE))-(VLOOKUP($A122,test!$A$3:$I$32,9,FALSE))+(test!$B$35-50),0)</f>
        <v>0</v>
      </c>
      <c r="D122">
        <f>IF(AND(SUM(VLOOKUP($A122,test!$A$3:$F$32,2,FALSE),VLOOKUP(D$1,test!$A$3:$F$32,2,FALSE))&lt;test!$K$16,$A122&lt;&gt;D$1,Recharged_Feasible_mat!E91),(VLOOKUP(D$1,test!$A$3:$I$32,8,FALSE))-(VLOOKUP($A122,test!$A$3:$I$32,9,FALSE))+(test!$B$35-50),0)</f>
        <v>0</v>
      </c>
      <c r="E122">
        <f>IF(AND(SUM(VLOOKUP($A122,test!$A$3:$F$32,2,FALSE),VLOOKUP(E$1,test!$A$3:$F$32,2,FALSE))&lt;test!$K$16,$A122&lt;&gt;E$1,Recharged_Feasible_mat!F91),(VLOOKUP(E$1,test!$A$3:$I$32,8,FALSE))-(VLOOKUP($A122,test!$A$3:$I$32,9,FALSE))+(test!$B$35-50),0)</f>
        <v>0</v>
      </c>
      <c r="F122">
        <f>IF(AND(SUM(VLOOKUP($A122,test!$A$3:$F$32,2,FALSE),VLOOKUP(F$1,test!$A$3:$F$32,2,FALSE))&lt;test!$K$16,$A122&lt;&gt;F$1,Recharged_Feasible_mat!G91),(VLOOKUP(F$1,test!$A$3:$I$32,8,FALSE))-(VLOOKUP($A122,test!$A$3:$I$32,9,FALSE))+(test!$B$35-50),0)</f>
        <v>0</v>
      </c>
      <c r="G122">
        <f>IF(AND(SUM(VLOOKUP($A122,test!$A$3:$F$32,2,FALSE),VLOOKUP(G$1,test!$A$3:$F$32,2,FALSE))&lt;test!$K$16,$A122&lt;&gt;G$1,Recharged_Feasible_mat!H91),(VLOOKUP(G$1,test!$A$3:$I$32,8,FALSE))-(VLOOKUP($A122,test!$A$3:$I$32,9,FALSE))+(test!$B$35-50),0)</f>
        <v>0</v>
      </c>
      <c r="H122">
        <f>IF(AND(SUM(VLOOKUP($A122,test!$A$3:$F$32,2,FALSE),VLOOKUP(H$1,test!$A$3:$F$32,2,FALSE))&lt;test!$K$16,$A122&lt;&gt;H$1,Recharged_Feasible_mat!I91),(VLOOKUP(H$1,test!$A$3:$I$32,8,FALSE))-(VLOOKUP($A122,test!$A$3:$I$32,9,FALSE))+(test!$B$35-50),0)</f>
        <v>0</v>
      </c>
      <c r="I122">
        <f>IF(AND(SUM(VLOOKUP($A122,test!$A$3:$F$32,2,FALSE),VLOOKUP(I$1,test!$A$3:$F$32,2,FALSE))&lt;test!$K$16,$A122&lt;&gt;I$1,Recharged_Feasible_mat!J91),(VLOOKUP(I$1,test!$A$3:$I$32,8,FALSE))-(VLOOKUP($A122,test!$A$3:$I$32,9,FALSE))+(test!$B$35-50),0)</f>
        <v>0</v>
      </c>
      <c r="J122">
        <f>IF(AND(SUM(VLOOKUP($A122,test!$A$3:$F$32,2,FALSE),VLOOKUP(J$1,test!$A$3:$F$32,2,FALSE))&lt;test!$K$16,$A122&lt;&gt;J$1,Recharged_Feasible_mat!K91),(VLOOKUP(J$1,test!$A$3:$I$32,8,FALSE))-(VLOOKUP($A122,test!$A$3:$I$32,9,FALSE))+(test!$B$35-50),0)</f>
        <v>0</v>
      </c>
      <c r="K122">
        <f>IF(AND(SUM(VLOOKUP($A122,test!$A$3:$F$32,2,FALSE),VLOOKUP(K$1,test!$A$3:$F$32,2,FALSE))&lt;test!$K$16,$A122&lt;&gt;K$1,Recharged_Feasible_mat!L91),(VLOOKUP(K$1,test!$A$3:$I$32,8,FALSE))-(VLOOKUP($A122,test!$A$3:$I$32,9,FALSE))+(test!$B$35-50),0)</f>
        <v>0</v>
      </c>
      <c r="L122">
        <f>IF(AND(SUM(VLOOKUP($A122,test!$A$3:$F$32,2,FALSE),VLOOKUP(L$1,test!$A$3:$F$32,2,FALSE))&lt;test!$K$16,$A122&lt;&gt;L$1,Recharged_Feasible_mat!M91),(VLOOKUP(L$1,test!$A$3:$I$32,8,FALSE))-(VLOOKUP($A122,test!$A$3:$I$32,9,FALSE))+(test!$B$35-50),0)</f>
        <v>0</v>
      </c>
      <c r="M122">
        <f>IF(AND(SUM(VLOOKUP($A122,test!$A$3:$F$32,2,FALSE),VLOOKUP(M$1,test!$A$3:$F$32,2,FALSE))&lt;test!$K$16,$A122&lt;&gt;M$1,Recharged_Feasible_mat!N91),(VLOOKUP(M$1,test!$A$3:$I$32,8,FALSE))-(VLOOKUP($A122,test!$A$3:$I$32,9,FALSE))+(test!$B$35-50),0)</f>
        <v>0</v>
      </c>
      <c r="N122">
        <f>IF(AND(SUM(VLOOKUP($A122,test!$A$3:$F$32,2,FALSE),VLOOKUP(N$1,test!$A$3:$F$32,2,FALSE))&lt;test!$K$16,$A122&lt;&gt;N$1,Recharged_Feasible_mat!O91),(VLOOKUP(N$1,test!$A$3:$I$32,8,FALSE))-(VLOOKUP($A122,test!$A$3:$I$32,9,FALSE))+(test!$B$35-50),0)</f>
        <v>0</v>
      </c>
      <c r="O122">
        <f>IF(AND(SUM(VLOOKUP($A122,test!$A$3:$F$32,2,FALSE),VLOOKUP(O$1,test!$A$3:$F$32,2,FALSE))&lt;test!$K$16,$A122&lt;&gt;O$1,Recharged_Feasible_mat!P91),(VLOOKUP(O$1,test!$A$3:$I$32,8,FALSE))-(VLOOKUP($A122,test!$A$3:$I$32,9,FALSE))+(test!$B$35-50),0)</f>
        <v>0</v>
      </c>
      <c r="P122">
        <f>IF(AND(SUM(VLOOKUP($A122,test!$A$3:$F$32,2,FALSE),VLOOKUP(P$1,test!$A$3:$F$32,2,FALSE))&lt;test!$K$16,$A122&lt;&gt;P$1,Recharged_Feasible_mat!Q91),(VLOOKUP(P$1,test!$A$3:$I$32,8,FALSE))-(VLOOKUP($A122,test!$A$3:$I$32,9,FALSE))+(test!$B$35-50),0)</f>
        <v>0</v>
      </c>
      <c r="Q122">
        <f>IF(AND(SUM(VLOOKUP($A122,test!$A$3:$F$32,2,FALSE),VLOOKUP(Q$1,test!$A$3:$F$32,2,FALSE))&lt;test!$K$16,$A122&lt;&gt;Q$1,Recharged_Feasible_mat!R91),(VLOOKUP(Q$1,test!$A$3:$I$32,8,FALSE))-(VLOOKUP($A122,test!$A$3:$I$32,9,FALSE))+(test!$B$35-50),0)</f>
        <v>0</v>
      </c>
      <c r="R122">
        <f>IF(AND(SUM(VLOOKUP($A122,test!$A$3:$F$32,2,FALSE),VLOOKUP(R$1,test!$A$3:$F$32,2,FALSE))&lt;test!$K$16,$A122&lt;&gt;R$1,Recharged_Feasible_mat!S91),(VLOOKUP(R$1,test!$A$3:$I$32,8,FALSE))-(VLOOKUP($A122,test!$A$3:$I$32,9,FALSE))+(test!$B$35-50),0)</f>
        <v>0</v>
      </c>
      <c r="S122">
        <f>IF(AND(SUM(VLOOKUP($A122,test!$A$3:$F$32,2,FALSE),VLOOKUP(S$1,test!$A$3:$F$32,2,FALSE))&lt;test!$K$16,$A122&lt;&gt;S$1,Recharged_Feasible_mat!T91),(VLOOKUP(S$1,test!$A$3:$I$32,8,FALSE))-(VLOOKUP($A122,test!$A$3:$I$32,9,FALSE))+(test!$B$35-50),0)</f>
        <v>0</v>
      </c>
      <c r="T122">
        <f>IF(AND(SUM(VLOOKUP($A122,test!$A$3:$F$32,2,FALSE),VLOOKUP(T$1,test!$A$3:$F$32,2,FALSE))&lt;test!$K$16,$A122&lt;&gt;T$1,Recharged_Feasible_mat!U91),(VLOOKUP(T$1,test!$A$3:$I$32,8,FALSE))-(VLOOKUP($A122,test!$A$3:$I$32,9,FALSE))+(test!$B$35-50),0)</f>
        <v>0</v>
      </c>
      <c r="U122">
        <f>IF(AND(SUM(VLOOKUP($A122,test!$A$3:$F$32,2,FALSE),VLOOKUP(U$1,test!$A$3:$F$32,2,FALSE))&lt;test!$K$16,$A122&lt;&gt;U$1,Recharged_Feasible_mat!V91),(VLOOKUP(U$1,test!$A$3:$I$32,8,FALSE))-(VLOOKUP($A122,test!$A$3:$I$32,9,FALSE))+(test!$B$35-50),0)</f>
        <v>0</v>
      </c>
      <c r="V122">
        <f>IF(AND(SUM(VLOOKUP($A122,test!$A$3:$F$32,2,FALSE),VLOOKUP(V$1,test!$A$3:$F$32,2,FALSE))&lt;test!$K$16,$A122&lt;&gt;V$1,Recharged_Feasible_mat!W91),(VLOOKUP(V$1,test!$A$3:$I$32,8,FALSE))-(VLOOKUP($A122,test!$A$3:$I$32,9,FALSE))+(test!$B$35-50),0)</f>
        <v>0</v>
      </c>
      <c r="W122">
        <f>IF(AND(SUM(VLOOKUP($A122,test!$A$3:$F$32,2,FALSE),VLOOKUP(W$1,test!$A$3:$F$32,2,FALSE))&lt;test!$K$16,$A122&lt;&gt;W$1,Recharged_Feasible_mat!X91),(VLOOKUP(W$1,test!$A$3:$I$32,8,FALSE))-(VLOOKUP($A122,test!$A$3:$I$32,9,FALSE))+(test!$B$35-50),0)</f>
        <v>0</v>
      </c>
      <c r="X122">
        <f>IF(AND(SUM(VLOOKUP($A122,test!$A$3:$F$32,2,FALSE),VLOOKUP(X$1,test!$A$3:$F$32,2,FALSE))&lt;test!$K$16,$A122&lt;&gt;X$1,Recharged_Feasible_mat!Y91),(VLOOKUP(X$1,test!$A$3:$I$32,8,FALSE))-(VLOOKUP($A122,test!$A$3:$I$32,9,FALSE))+(test!$B$35-50),0)</f>
        <v>0</v>
      </c>
      <c r="Y122">
        <f>IF(AND(SUM(VLOOKUP($A122,test!$A$3:$F$32,2,FALSE),VLOOKUP(Y$1,test!$A$3:$F$32,2,FALSE))&lt;test!$K$16,$A122&lt;&gt;Y$1,Recharged_Feasible_mat!Z91),(VLOOKUP(Y$1,test!$A$3:$I$32,8,FALSE))-(VLOOKUP($A122,test!$A$3:$I$32,9,FALSE))+(test!$B$35-50),0)</f>
        <v>0</v>
      </c>
      <c r="Z122">
        <f>IF(AND(SUM(VLOOKUP($A122,test!$A$3:$F$32,2,FALSE),VLOOKUP(Z$1,test!$A$3:$F$32,2,FALSE))&lt;test!$K$16,$A122&lt;&gt;Z$1,Recharged_Feasible_mat!AA91),(VLOOKUP(Z$1,test!$A$3:$I$32,8,FALSE))-(VLOOKUP($A122,test!$A$3:$I$32,9,FALSE))+(test!$B$35-50),0)</f>
        <v>0</v>
      </c>
      <c r="AA122">
        <f>IF(AND(SUM(VLOOKUP($A122,test!$A$3:$F$32,2,FALSE),VLOOKUP(AA$1,test!$A$3:$F$32,2,FALSE))&lt;test!$K$16,$A122&lt;&gt;AA$1,Recharged_Feasible_mat!AB91),(VLOOKUP(AA$1,test!$A$3:$I$32,8,FALSE))-(VLOOKUP($A122,test!$A$3:$I$32,9,FALSE))+(test!$B$35-50),0)</f>
        <v>0</v>
      </c>
      <c r="AB122">
        <f>IF(AND(SUM(VLOOKUP($A122,test!$A$3:$F$32,2,FALSE),VLOOKUP(AB$1,test!$A$3:$F$32,2,FALSE))&lt;test!$K$16,$A122&lt;&gt;AB$1,Recharged_Feasible_mat!AC91),(VLOOKUP(AB$1,test!$A$3:$I$32,8,FALSE))-(VLOOKUP($A122,test!$A$3:$I$32,9,FALSE))+(test!$B$35-50),0)</f>
        <v>0</v>
      </c>
      <c r="AC122">
        <f>IF(AND(SUM(VLOOKUP($A122,test!$A$3:$F$32,2,FALSE),VLOOKUP(AC$1,test!$A$3:$F$32,2,FALSE))&lt;test!$K$16,$A122&lt;&gt;AC$1,Recharged_Feasible_mat!AD91),(VLOOKUP(AC$1,test!$A$3:$I$32,8,FALSE))-(VLOOKUP($A122,test!$A$3:$I$32,9,FALSE))+(test!$B$35-50),0)</f>
        <v>0</v>
      </c>
      <c r="AD122">
        <f>IF(AND(SUM(VLOOKUP($A122,test!$A$3:$F$32,2,FALSE),VLOOKUP(AD$1,test!$A$3:$F$32,2,FALSE))&lt;test!$K$16,$A122&lt;&gt;AD$1,Recharged_Feasible_mat!AE91),(VLOOKUP(AD$1,test!$A$3:$I$32,8,FALSE))-(VLOOKUP($A122,test!$A$3:$I$32,9,FALSE))+(test!$B$35-50),0)</f>
        <v>0</v>
      </c>
      <c r="AE122">
        <f>IF(AND(SUM(VLOOKUP($A122,test!$A$3:$F$32,2,FALSE),VLOOKUP(AE$1,test!$A$3:$F$32,2,FALSE))&lt;test!$K$16,$A122&lt;&gt;AE$1,Recharged_Feasible_mat!AF91),(VLOOKUP(AE$1,test!$A$3:$I$32,8,FALSE))-(VLOOKUP($A122,test!$A$3:$I$32,9,FALSE))+(test!$B$35-50),0)</f>
        <v>0</v>
      </c>
      <c r="AF122">
        <f>IF(AND(SUM(VLOOKUP($A122,test!$A$3:$F$32,2,FALSE),VLOOKUP(AF$1,test!$A$3:$F$32,2,FALSE))&lt;test!$K$16,$A122&lt;&gt;AF$1,Recharged_Feasible_mat!AG91),(VLOOKUP(AF$1,test!$A$3:$I$32,8,FALSE))-(VLOOKUP($A122,test!$A$3:$I$32,9,FALSE))+(test!$B$35-50),0)</f>
        <v>0</v>
      </c>
    </row>
    <row r="123" spans="1:32" x14ac:dyDescent="0.25">
      <c r="A123" t="s">
        <v>39</v>
      </c>
      <c r="B123">
        <v>0</v>
      </c>
      <c r="C123">
        <f>IF(AND(SUM(VLOOKUP($A123,test!$A$3:$F$32,2,FALSE),VLOOKUP(C$1,test!$A$3:$F$32,2,FALSE))&lt;test!$K$16,$A123&lt;&gt;C$1,Recharged_Feasible_mat!D92),(VLOOKUP(C$1,test!$A$3:$I$32,8,FALSE))-(VLOOKUP($A123,test!$A$3:$I$32,9,FALSE))+(test!$B$35-50),0)</f>
        <v>0</v>
      </c>
      <c r="D123">
        <f>IF(AND(SUM(VLOOKUP($A123,test!$A$3:$F$32,2,FALSE),VLOOKUP(D$1,test!$A$3:$F$32,2,FALSE))&lt;test!$K$16,$A123&lt;&gt;D$1,Recharged_Feasible_mat!E92),(VLOOKUP(D$1,test!$A$3:$I$32,8,FALSE))-(VLOOKUP($A123,test!$A$3:$I$32,9,FALSE))+(test!$B$35-50),0)</f>
        <v>0</v>
      </c>
      <c r="E123">
        <f>IF(AND(SUM(VLOOKUP($A123,test!$A$3:$F$32,2,FALSE),VLOOKUP(E$1,test!$A$3:$F$32,2,FALSE))&lt;test!$K$16,$A123&lt;&gt;E$1,Recharged_Feasible_mat!F92),(VLOOKUP(E$1,test!$A$3:$I$32,8,FALSE))-(VLOOKUP($A123,test!$A$3:$I$32,9,FALSE))+(test!$B$35-50),0)</f>
        <v>0</v>
      </c>
      <c r="F123">
        <f>IF(AND(SUM(VLOOKUP($A123,test!$A$3:$F$32,2,FALSE),VLOOKUP(F$1,test!$A$3:$F$32,2,FALSE))&lt;test!$K$16,$A123&lt;&gt;F$1,Recharged_Feasible_mat!G92),(VLOOKUP(F$1,test!$A$3:$I$32,8,FALSE))-(VLOOKUP($A123,test!$A$3:$I$32,9,FALSE))+(test!$B$35-50),0)</f>
        <v>0</v>
      </c>
      <c r="G123">
        <f>IF(AND(SUM(VLOOKUP($A123,test!$A$3:$F$32,2,FALSE),VLOOKUP(G$1,test!$A$3:$F$32,2,FALSE))&lt;test!$K$16,$A123&lt;&gt;G$1,Recharged_Feasible_mat!H92),(VLOOKUP(G$1,test!$A$3:$I$32,8,FALSE))-(VLOOKUP($A123,test!$A$3:$I$32,9,FALSE))+(test!$B$35-50),0)</f>
        <v>0</v>
      </c>
      <c r="H123">
        <f>IF(AND(SUM(VLOOKUP($A123,test!$A$3:$F$32,2,FALSE),VLOOKUP(H$1,test!$A$3:$F$32,2,FALSE))&lt;test!$K$16,$A123&lt;&gt;H$1,Recharged_Feasible_mat!I92),(VLOOKUP(H$1,test!$A$3:$I$32,8,FALSE))-(VLOOKUP($A123,test!$A$3:$I$32,9,FALSE))+(test!$B$35-50),0)</f>
        <v>0</v>
      </c>
      <c r="I123">
        <f>IF(AND(SUM(VLOOKUP($A123,test!$A$3:$F$32,2,FALSE),VLOOKUP(I$1,test!$A$3:$F$32,2,FALSE))&lt;test!$K$16,$A123&lt;&gt;I$1,Recharged_Feasible_mat!J92),(VLOOKUP(I$1,test!$A$3:$I$32,8,FALSE))-(VLOOKUP($A123,test!$A$3:$I$32,9,FALSE))+(test!$B$35-50),0)</f>
        <v>0</v>
      </c>
      <c r="J123">
        <f>IF(AND(SUM(VLOOKUP($A123,test!$A$3:$F$32,2,FALSE),VLOOKUP(J$1,test!$A$3:$F$32,2,FALSE))&lt;test!$K$16,$A123&lt;&gt;J$1,Recharged_Feasible_mat!K92),(VLOOKUP(J$1,test!$A$3:$I$32,8,FALSE))-(VLOOKUP($A123,test!$A$3:$I$32,9,FALSE))+(test!$B$35-50),0)</f>
        <v>0</v>
      </c>
      <c r="K123">
        <f>IF(AND(SUM(VLOOKUP($A123,test!$A$3:$F$32,2,FALSE),VLOOKUP(K$1,test!$A$3:$F$32,2,FALSE))&lt;test!$K$16,$A123&lt;&gt;K$1,Recharged_Feasible_mat!L92),(VLOOKUP(K$1,test!$A$3:$I$32,8,FALSE))-(VLOOKUP($A123,test!$A$3:$I$32,9,FALSE))+(test!$B$35-50),0)</f>
        <v>0</v>
      </c>
      <c r="L123">
        <f>IF(AND(SUM(VLOOKUP($A123,test!$A$3:$F$32,2,FALSE),VLOOKUP(L$1,test!$A$3:$F$32,2,FALSE))&lt;test!$K$16,$A123&lt;&gt;L$1,Recharged_Feasible_mat!M92),(VLOOKUP(L$1,test!$A$3:$I$32,8,FALSE))-(VLOOKUP($A123,test!$A$3:$I$32,9,FALSE))+(test!$B$35-50),0)</f>
        <v>0</v>
      </c>
      <c r="M123">
        <f>IF(AND(SUM(VLOOKUP($A123,test!$A$3:$F$32,2,FALSE),VLOOKUP(M$1,test!$A$3:$F$32,2,FALSE))&lt;test!$K$16,$A123&lt;&gt;M$1,Recharged_Feasible_mat!N92),(VLOOKUP(M$1,test!$A$3:$I$32,8,FALSE))-(VLOOKUP($A123,test!$A$3:$I$32,9,FALSE))+(test!$B$35-50),0)</f>
        <v>0</v>
      </c>
      <c r="N123">
        <f>IF(AND(SUM(VLOOKUP($A123,test!$A$3:$F$32,2,FALSE),VLOOKUP(N$1,test!$A$3:$F$32,2,FALSE))&lt;test!$K$16,$A123&lt;&gt;N$1,Recharged_Feasible_mat!O92),(VLOOKUP(N$1,test!$A$3:$I$32,8,FALSE))-(VLOOKUP($A123,test!$A$3:$I$32,9,FALSE))+(test!$B$35-50),0)</f>
        <v>0</v>
      </c>
      <c r="O123">
        <f>IF(AND(SUM(VLOOKUP($A123,test!$A$3:$F$32,2,FALSE),VLOOKUP(O$1,test!$A$3:$F$32,2,FALSE))&lt;test!$K$16,$A123&lt;&gt;O$1,Recharged_Feasible_mat!P92),(VLOOKUP(O$1,test!$A$3:$I$32,8,FALSE))-(VLOOKUP($A123,test!$A$3:$I$32,9,FALSE))+(test!$B$35-50),0)</f>
        <v>0</v>
      </c>
      <c r="P123">
        <f>IF(AND(SUM(VLOOKUP($A123,test!$A$3:$F$32,2,FALSE),VLOOKUP(P$1,test!$A$3:$F$32,2,FALSE))&lt;test!$K$16,$A123&lt;&gt;P$1,Recharged_Feasible_mat!Q92),(VLOOKUP(P$1,test!$A$3:$I$32,8,FALSE))-(VLOOKUP($A123,test!$A$3:$I$32,9,FALSE))+(test!$B$35-50),0)</f>
        <v>0</v>
      </c>
      <c r="Q123">
        <f>IF(AND(SUM(VLOOKUP($A123,test!$A$3:$F$32,2,FALSE),VLOOKUP(Q$1,test!$A$3:$F$32,2,FALSE))&lt;test!$K$16,$A123&lt;&gt;Q$1,Recharged_Feasible_mat!R92),(VLOOKUP(Q$1,test!$A$3:$I$32,8,FALSE))-(VLOOKUP($A123,test!$A$3:$I$32,9,FALSE))+(test!$B$35-50),0)</f>
        <v>0</v>
      </c>
      <c r="R123">
        <f>IF(AND(SUM(VLOOKUP($A123,test!$A$3:$F$32,2,FALSE),VLOOKUP(R$1,test!$A$3:$F$32,2,FALSE))&lt;test!$K$16,$A123&lt;&gt;R$1,Recharged_Feasible_mat!S92),(VLOOKUP(R$1,test!$A$3:$I$32,8,FALSE))-(VLOOKUP($A123,test!$A$3:$I$32,9,FALSE))+(test!$B$35-50),0)</f>
        <v>0</v>
      </c>
      <c r="S123">
        <f>IF(AND(SUM(VLOOKUP($A123,test!$A$3:$F$32,2,FALSE),VLOOKUP(S$1,test!$A$3:$F$32,2,FALSE))&lt;test!$K$16,$A123&lt;&gt;S$1,Recharged_Feasible_mat!T92),(VLOOKUP(S$1,test!$A$3:$I$32,8,FALSE))-(VLOOKUP($A123,test!$A$3:$I$32,9,FALSE))+(test!$B$35-50),0)</f>
        <v>0</v>
      </c>
      <c r="T123">
        <f>IF(AND(SUM(VLOOKUP($A123,test!$A$3:$F$32,2,FALSE),VLOOKUP(T$1,test!$A$3:$F$32,2,FALSE))&lt;test!$K$16,$A123&lt;&gt;T$1,Recharged_Feasible_mat!U92),(VLOOKUP(T$1,test!$A$3:$I$32,8,FALSE))-(VLOOKUP($A123,test!$A$3:$I$32,9,FALSE))+(test!$B$35-50),0)</f>
        <v>0</v>
      </c>
      <c r="U123">
        <f>IF(AND(SUM(VLOOKUP($A123,test!$A$3:$F$32,2,FALSE),VLOOKUP(U$1,test!$A$3:$F$32,2,FALSE))&lt;test!$K$16,$A123&lt;&gt;U$1,Recharged_Feasible_mat!V92),(VLOOKUP(U$1,test!$A$3:$I$32,8,FALSE))-(VLOOKUP($A123,test!$A$3:$I$32,9,FALSE))+(test!$B$35-50),0)</f>
        <v>0</v>
      </c>
      <c r="V123">
        <f>IF(AND(SUM(VLOOKUP($A123,test!$A$3:$F$32,2,FALSE),VLOOKUP(V$1,test!$A$3:$F$32,2,FALSE))&lt;test!$K$16,$A123&lt;&gt;V$1,Recharged_Feasible_mat!W92),(VLOOKUP(V$1,test!$A$3:$I$32,8,FALSE))-(VLOOKUP($A123,test!$A$3:$I$32,9,FALSE))+(test!$B$35-50),0)</f>
        <v>0</v>
      </c>
      <c r="W123">
        <f>IF(AND(SUM(VLOOKUP($A123,test!$A$3:$F$32,2,FALSE),VLOOKUP(W$1,test!$A$3:$F$32,2,FALSE))&lt;test!$K$16,$A123&lt;&gt;W$1,Recharged_Feasible_mat!X92),(VLOOKUP(W$1,test!$A$3:$I$32,8,FALSE))-(VLOOKUP($A123,test!$A$3:$I$32,9,FALSE))+(test!$B$35-50),0)</f>
        <v>0</v>
      </c>
      <c r="X123">
        <f>IF(AND(SUM(VLOOKUP($A123,test!$A$3:$F$32,2,FALSE),VLOOKUP(X$1,test!$A$3:$F$32,2,FALSE))&lt;test!$K$16,$A123&lt;&gt;X$1,Recharged_Feasible_mat!Y92),(VLOOKUP(X$1,test!$A$3:$I$32,8,FALSE))-(VLOOKUP($A123,test!$A$3:$I$32,9,FALSE))+(test!$B$35-50),0)</f>
        <v>0</v>
      </c>
      <c r="Y123">
        <f>IF(AND(SUM(VLOOKUP($A123,test!$A$3:$F$32,2,FALSE),VLOOKUP(Y$1,test!$A$3:$F$32,2,FALSE))&lt;test!$K$16,$A123&lt;&gt;Y$1,Recharged_Feasible_mat!Z92),(VLOOKUP(Y$1,test!$A$3:$I$32,8,FALSE))-(VLOOKUP($A123,test!$A$3:$I$32,9,FALSE))+(test!$B$35-50),0)</f>
        <v>0</v>
      </c>
      <c r="Z123">
        <f>IF(AND(SUM(VLOOKUP($A123,test!$A$3:$F$32,2,FALSE),VLOOKUP(Z$1,test!$A$3:$F$32,2,FALSE))&lt;test!$K$16,$A123&lt;&gt;Z$1,Recharged_Feasible_mat!AA92),(VLOOKUP(Z$1,test!$A$3:$I$32,8,FALSE))-(VLOOKUP($A123,test!$A$3:$I$32,9,FALSE))+(test!$B$35-50),0)</f>
        <v>0</v>
      </c>
      <c r="AA123">
        <f>IF(AND(SUM(VLOOKUP($A123,test!$A$3:$F$32,2,FALSE),VLOOKUP(AA$1,test!$A$3:$F$32,2,FALSE))&lt;test!$K$16,$A123&lt;&gt;AA$1,Recharged_Feasible_mat!AB92),(VLOOKUP(AA$1,test!$A$3:$I$32,8,FALSE))-(VLOOKUP($A123,test!$A$3:$I$32,9,FALSE))+(test!$B$35-50),0)</f>
        <v>0</v>
      </c>
      <c r="AB123">
        <f>IF(AND(SUM(VLOOKUP($A123,test!$A$3:$F$32,2,FALSE),VLOOKUP(AB$1,test!$A$3:$F$32,2,FALSE))&lt;test!$K$16,$A123&lt;&gt;AB$1,Recharged_Feasible_mat!AC92),(VLOOKUP(AB$1,test!$A$3:$I$32,8,FALSE))-(VLOOKUP($A123,test!$A$3:$I$32,9,FALSE))+(test!$B$35-50),0)</f>
        <v>0</v>
      </c>
      <c r="AC123">
        <f>IF(AND(SUM(VLOOKUP($A123,test!$A$3:$F$32,2,FALSE),VLOOKUP(AC$1,test!$A$3:$F$32,2,FALSE))&lt;test!$K$16,$A123&lt;&gt;AC$1,Recharged_Feasible_mat!AD92),(VLOOKUP(AC$1,test!$A$3:$I$32,8,FALSE))-(VLOOKUP($A123,test!$A$3:$I$32,9,FALSE))+(test!$B$35-50),0)</f>
        <v>0</v>
      </c>
      <c r="AD123">
        <f>IF(AND(SUM(VLOOKUP($A123,test!$A$3:$F$32,2,FALSE),VLOOKUP(AD$1,test!$A$3:$F$32,2,FALSE))&lt;test!$K$16,$A123&lt;&gt;AD$1,Recharged_Feasible_mat!AE92),(VLOOKUP(AD$1,test!$A$3:$I$32,8,FALSE))-(VLOOKUP($A123,test!$A$3:$I$32,9,FALSE))+(test!$B$35-50),0)</f>
        <v>0</v>
      </c>
      <c r="AE123">
        <f>IF(AND(SUM(VLOOKUP($A123,test!$A$3:$F$32,2,FALSE),VLOOKUP(AE$1,test!$A$3:$F$32,2,FALSE))&lt;test!$K$16,$A123&lt;&gt;AE$1,Recharged_Feasible_mat!AF92),(VLOOKUP(AE$1,test!$A$3:$I$32,8,FALSE))-(VLOOKUP($A123,test!$A$3:$I$32,9,FALSE))+(test!$B$35-50),0)</f>
        <v>0</v>
      </c>
      <c r="AF123">
        <f>IF(AND(SUM(VLOOKUP($A123,test!$A$3:$F$32,2,FALSE),VLOOKUP(AF$1,test!$A$3:$F$32,2,FALSE))&lt;test!$K$16,$A123&lt;&gt;AF$1,Recharged_Feasible_mat!AG92),(VLOOKUP(AF$1,test!$A$3:$I$32,8,FALSE))-(VLOOKUP($A123,test!$A$3:$I$32,9,FALSE))+(test!$B$35-50),0)</f>
        <v>0</v>
      </c>
    </row>
    <row r="124" spans="1:32" x14ac:dyDescent="0.25">
      <c r="A124" t="s">
        <v>40</v>
      </c>
      <c r="B124">
        <v>0</v>
      </c>
      <c r="C124">
        <f>IF(AND(SUM(VLOOKUP($A124,test!$A$3:$F$32,2,FALSE),VLOOKUP(C$1,test!$A$3:$F$32,2,FALSE))&lt;test!$K$16,$A124&lt;&gt;C$1,Recharged_Feasible_mat!D93),(VLOOKUP(C$1,test!$A$3:$I$32,8,FALSE))-(VLOOKUP($A124,test!$A$3:$I$32,9,FALSE))+(test!$B$35-50),0)</f>
        <v>0</v>
      </c>
      <c r="D124">
        <f>IF(AND(SUM(VLOOKUP($A124,test!$A$3:$F$32,2,FALSE),VLOOKUP(D$1,test!$A$3:$F$32,2,FALSE))&lt;test!$K$16,$A124&lt;&gt;D$1,Recharged_Feasible_mat!E93),(VLOOKUP(D$1,test!$A$3:$I$32,8,FALSE))-(VLOOKUP($A124,test!$A$3:$I$32,9,FALSE))+(test!$B$35-50),0)</f>
        <v>0</v>
      </c>
      <c r="E124">
        <f>IF(AND(SUM(VLOOKUP($A124,test!$A$3:$F$32,2,FALSE),VLOOKUP(E$1,test!$A$3:$F$32,2,FALSE))&lt;test!$K$16,$A124&lt;&gt;E$1,Recharged_Feasible_mat!F93),(VLOOKUP(E$1,test!$A$3:$I$32,8,FALSE))-(VLOOKUP($A124,test!$A$3:$I$32,9,FALSE))+(test!$B$35-50),0)</f>
        <v>0</v>
      </c>
      <c r="F124">
        <f>IF(AND(SUM(VLOOKUP($A124,test!$A$3:$F$32,2,FALSE),VLOOKUP(F$1,test!$A$3:$F$32,2,FALSE))&lt;test!$K$16,$A124&lt;&gt;F$1,Recharged_Feasible_mat!G93),(VLOOKUP(F$1,test!$A$3:$I$32,8,FALSE))-(VLOOKUP($A124,test!$A$3:$I$32,9,FALSE))+(test!$B$35-50),0)</f>
        <v>0</v>
      </c>
      <c r="G124">
        <f>IF(AND(SUM(VLOOKUP($A124,test!$A$3:$F$32,2,FALSE),VLOOKUP(G$1,test!$A$3:$F$32,2,FALSE))&lt;test!$K$16,$A124&lt;&gt;G$1,Recharged_Feasible_mat!H93),(VLOOKUP(G$1,test!$A$3:$I$32,8,FALSE))-(VLOOKUP($A124,test!$A$3:$I$32,9,FALSE))+(test!$B$35-50),0)</f>
        <v>0</v>
      </c>
      <c r="H124">
        <f>IF(AND(SUM(VLOOKUP($A124,test!$A$3:$F$32,2,FALSE),VLOOKUP(H$1,test!$A$3:$F$32,2,FALSE))&lt;test!$K$16,$A124&lt;&gt;H$1,Recharged_Feasible_mat!I93),(VLOOKUP(H$1,test!$A$3:$I$32,8,FALSE))-(VLOOKUP($A124,test!$A$3:$I$32,9,FALSE))+(test!$B$35-50),0)</f>
        <v>0</v>
      </c>
      <c r="I124">
        <f>IF(AND(SUM(VLOOKUP($A124,test!$A$3:$F$32,2,FALSE),VLOOKUP(I$1,test!$A$3:$F$32,2,FALSE))&lt;test!$K$16,$A124&lt;&gt;I$1,Recharged_Feasible_mat!J93),(VLOOKUP(I$1,test!$A$3:$I$32,8,FALSE))-(VLOOKUP($A124,test!$A$3:$I$32,9,FALSE))+(test!$B$35-50),0)</f>
        <v>0</v>
      </c>
      <c r="J124">
        <f>IF(AND(SUM(VLOOKUP($A124,test!$A$3:$F$32,2,FALSE),VLOOKUP(J$1,test!$A$3:$F$32,2,FALSE))&lt;test!$K$16,$A124&lt;&gt;J$1,Recharged_Feasible_mat!K93),(VLOOKUP(J$1,test!$A$3:$I$32,8,FALSE))-(VLOOKUP($A124,test!$A$3:$I$32,9,FALSE))+(test!$B$35-50),0)</f>
        <v>0</v>
      </c>
      <c r="K124">
        <f>IF(AND(SUM(VLOOKUP($A124,test!$A$3:$F$32,2,FALSE),VLOOKUP(K$1,test!$A$3:$F$32,2,FALSE))&lt;test!$K$16,$A124&lt;&gt;K$1,Recharged_Feasible_mat!L93),(VLOOKUP(K$1,test!$A$3:$I$32,8,FALSE))-(VLOOKUP($A124,test!$A$3:$I$32,9,FALSE))+(test!$B$35-50),0)</f>
        <v>0</v>
      </c>
      <c r="L124">
        <f>IF(AND(SUM(VLOOKUP($A124,test!$A$3:$F$32,2,FALSE),VLOOKUP(L$1,test!$A$3:$F$32,2,FALSE))&lt;test!$K$16,$A124&lt;&gt;L$1,Recharged_Feasible_mat!M93),(VLOOKUP(L$1,test!$A$3:$I$32,8,FALSE))-(VLOOKUP($A124,test!$A$3:$I$32,9,FALSE))+(test!$B$35-50),0)</f>
        <v>0</v>
      </c>
      <c r="M124">
        <f>IF(AND(SUM(VLOOKUP($A124,test!$A$3:$F$32,2,FALSE),VLOOKUP(M$1,test!$A$3:$F$32,2,FALSE))&lt;test!$K$16,$A124&lt;&gt;M$1,Recharged_Feasible_mat!N93),(VLOOKUP(M$1,test!$A$3:$I$32,8,FALSE))-(VLOOKUP($A124,test!$A$3:$I$32,9,FALSE))+(test!$B$35-50),0)</f>
        <v>0</v>
      </c>
      <c r="N124">
        <f>IF(AND(SUM(VLOOKUP($A124,test!$A$3:$F$32,2,FALSE),VLOOKUP(N$1,test!$A$3:$F$32,2,FALSE))&lt;test!$K$16,$A124&lt;&gt;N$1,Recharged_Feasible_mat!O93),(VLOOKUP(N$1,test!$A$3:$I$32,8,FALSE))-(VLOOKUP($A124,test!$A$3:$I$32,9,FALSE))+(test!$B$35-50),0)</f>
        <v>0</v>
      </c>
      <c r="O124">
        <f>IF(AND(SUM(VLOOKUP($A124,test!$A$3:$F$32,2,FALSE),VLOOKUP(O$1,test!$A$3:$F$32,2,FALSE))&lt;test!$K$16,$A124&lt;&gt;O$1,Recharged_Feasible_mat!P93),(VLOOKUP(O$1,test!$A$3:$I$32,8,FALSE))-(VLOOKUP($A124,test!$A$3:$I$32,9,FALSE))+(test!$B$35-50),0)</f>
        <v>0</v>
      </c>
      <c r="P124">
        <f>IF(AND(SUM(VLOOKUP($A124,test!$A$3:$F$32,2,FALSE),VLOOKUP(P$1,test!$A$3:$F$32,2,FALSE))&lt;test!$K$16,$A124&lt;&gt;P$1,Recharged_Feasible_mat!Q93),(VLOOKUP(P$1,test!$A$3:$I$32,8,FALSE))-(VLOOKUP($A124,test!$A$3:$I$32,9,FALSE))+(test!$B$35-50),0)</f>
        <v>0</v>
      </c>
      <c r="Q124">
        <f>IF(AND(SUM(VLOOKUP($A124,test!$A$3:$F$32,2,FALSE),VLOOKUP(Q$1,test!$A$3:$F$32,2,FALSE))&lt;test!$K$16,$A124&lt;&gt;Q$1,Recharged_Feasible_mat!R93),(VLOOKUP(Q$1,test!$A$3:$I$32,8,FALSE))-(VLOOKUP($A124,test!$A$3:$I$32,9,FALSE))+(test!$B$35-50),0)</f>
        <v>0</v>
      </c>
      <c r="R124">
        <f>IF(AND(SUM(VLOOKUP($A124,test!$A$3:$F$32,2,FALSE),VLOOKUP(R$1,test!$A$3:$F$32,2,FALSE))&lt;test!$K$16,$A124&lt;&gt;R$1,Recharged_Feasible_mat!S93),(VLOOKUP(R$1,test!$A$3:$I$32,8,FALSE))-(VLOOKUP($A124,test!$A$3:$I$32,9,FALSE))+(test!$B$35-50),0)</f>
        <v>0</v>
      </c>
      <c r="S124">
        <f>IF(AND(SUM(VLOOKUP($A124,test!$A$3:$F$32,2,FALSE),VLOOKUP(S$1,test!$A$3:$F$32,2,FALSE))&lt;test!$K$16,$A124&lt;&gt;S$1,Recharged_Feasible_mat!T93),(VLOOKUP(S$1,test!$A$3:$I$32,8,FALSE))-(VLOOKUP($A124,test!$A$3:$I$32,9,FALSE))+(test!$B$35-50),0)</f>
        <v>0</v>
      </c>
      <c r="T124">
        <f>IF(AND(SUM(VLOOKUP($A124,test!$A$3:$F$32,2,FALSE),VLOOKUP(T$1,test!$A$3:$F$32,2,FALSE))&lt;test!$K$16,$A124&lt;&gt;T$1,Recharged_Feasible_mat!U93),(VLOOKUP(T$1,test!$A$3:$I$32,8,FALSE))-(VLOOKUP($A124,test!$A$3:$I$32,9,FALSE))+(test!$B$35-50),0)</f>
        <v>0</v>
      </c>
      <c r="U124">
        <f>IF(AND(SUM(VLOOKUP($A124,test!$A$3:$F$32,2,FALSE),VLOOKUP(U$1,test!$A$3:$F$32,2,FALSE))&lt;test!$K$16,$A124&lt;&gt;U$1,Recharged_Feasible_mat!V93),(VLOOKUP(U$1,test!$A$3:$I$32,8,FALSE))-(VLOOKUP($A124,test!$A$3:$I$32,9,FALSE))+(test!$B$35-50),0)</f>
        <v>0</v>
      </c>
      <c r="V124">
        <f>IF(AND(SUM(VLOOKUP($A124,test!$A$3:$F$32,2,FALSE),VLOOKUP(V$1,test!$A$3:$F$32,2,FALSE))&lt;test!$K$16,$A124&lt;&gt;V$1,Recharged_Feasible_mat!W93),(VLOOKUP(V$1,test!$A$3:$I$32,8,FALSE))-(VLOOKUP($A124,test!$A$3:$I$32,9,FALSE))+(test!$B$35-50),0)</f>
        <v>0</v>
      </c>
      <c r="W124">
        <f>IF(AND(SUM(VLOOKUP($A124,test!$A$3:$F$32,2,FALSE),VLOOKUP(W$1,test!$A$3:$F$32,2,FALSE))&lt;test!$K$16,$A124&lt;&gt;W$1,Recharged_Feasible_mat!X93),(VLOOKUP(W$1,test!$A$3:$I$32,8,FALSE))-(VLOOKUP($A124,test!$A$3:$I$32,9,FALSE))+(test!$B$35-50),0)</f>
        <v>0</v>
      </c>
      <c r="X124">
        <f>IF(AND(SUM(VLOOKUP($A124,test!$A$3:$F$32,2,FALSE),VLOOKUP(X$1,test!$A$3:$F$32,2,FALSE))&lt;test!$K$16,$A124&lt;&gt;X$1,Recharged_Feasible_mat!Y93),(VLOOKUP(X$1,test!$A$3:$I$32,8,FALSE))-(VLOOKUP($A124,test!$A$3:$I$32,9,FALSE))+(test!$B$35-50),0)</f>
        <v>0</v>
      </c>
      <c r="Y124">
        <f>IF(AND(SUM(VLOOKUP($A124,test!$A$3:$F$32,2,FALSE),VLOOKUP(Y$1,test!$A$3:$F$32,2,FALSE))&lt;test!$K$16,$A124&lt;&gt;Y$1,Recharged_Feasible_mat!Z93),(VLOOKUP(Y$1,test!$A$3:$I$32,8,FALSE))-(VLOOKUP($A124,test!$A$3:$I$32,9,FALSE))+(test!$B$35-50),0)</f>
        <v>0</v>
      </c>
      <c r="Z124">
        <f>IF(AND(SUM(VLOOKUP($A124,test!$A$3:$F$32,2,FALSE),VLOOKUP(Z$1,test!$A$3:$F$32,2,FALSE))&lt;test!$K$16,$A124&lt;&gt;Z$1,Recharged_Feasible_mat!AA93),(VLOOKUP(Z$1,test!$A$3:$I$32,8,FALSE))-(VLOOKUP($A124,test!$A$3:$I$32,9,FALSE))+(test!$B$35-50),0)</f>
        <v>0</v>
      </c>
      <c r="AA124">
        <f>IF(AND(SUM(VLOOKUP($A124,test!$A$3:$F$32,2,FALSE),VLOOKUP(AA$1,test!$A$3:$F$32,2,FALSE))&lt;test!$K$16,$A124&lt;&gt;AA$1,Recharged_Feasible_mat!AB93),(VLOOKUP(AA$1,test!$A$3:$I$32,8,FALSE))-(VLOOKUP($A124,test!$A$3:$I$32,9,FALSE))+(test!$B$35-50),0)</f>
        <v>0</v>
      </c>
      <c r="AB124">
        <f>IF(AND(SUM(VLOOKUP($A124,test!$A$3:$F$32,2,FALSE),VLOOKUP(AB$1,test!$A$3:$F$32,2,FALSE))&lt;test!$K$16,$A124&lt;&gt;AB$1,Recharged_Feasible_mat!AC93),(VLOOKUP(AB$1,test!$A$3:$I$32,8,FALSE))-(VLOOKUP($A124,test!$A$3:$I$32,9,FALSE))+(test!$B$35-50),0)</f>
        <v>0</v>
      </c>
      <c r="AC124">
        <f>IF(AND(SUM(VLOOKUP($A124,test!$A$3:$F$32,2,FALSE),VLOOKUP(AC$1,test!$A$3:$F$32,2,FALSE))&lt;test!$K$16,$A124&lt;&gt;AC$1,Recharged_Feasible_mat!AD93),(VLOOKUP(AC$1,test!$A$3:$I$32,8,FALSE))-(VLOOKUP($A124,test!$A$3:$I$32,9,FALSE))+(test!$B$35-50),0)</f>
        <v>0</v>
      </c>
      <c r="AD124">
        <f>IF(AND(SUM(VLOOKUP($A124,test!$A$3:$F$32,2,FALSE),VLOOKUP(AD$1,test!$A$3:$F$32,2,FALSE))&lt;test!$K$16,$A124&lt;&gt;AD$1,Recharged_Feasible_mat!AE93),(VLOOKUP(AD$1,test!$A$3:$I$32,8,FALSE))-(VLOOKUP($A124,test!$A$3:$I$32,9,FALSE))+(test!$B$35-50),0)</f>
        <v>0</v>
      </c>
      <c r="AE124">
        <f>IF(AND(SUM(VLOOKUP($A124,test!$A$3:$F$32,2,FALSE),VLOOKUP(AE$1,test!$A$3:$F$32,2,FALSE))&lt;test!$K$16,$A124&lt;&gt;AE$1,Recharged_Feasible_mat!AF93),(VLOOKUP(AE$1,test!$A$3:$I$32,8,FALSE))-(VLOOKUP($A124,test!$A$3:$I$32,9,FALSE))+(test!$B$35-50),0)</f>
        <v>0</v>
      </c>
      <c r="AF124">
        <f>IF(AND(SUM(VLOOKUP($A124,test!$A$3:$F$32,2,FALSE),VLOOKUP(AF$1,test!$A$3:$F$32,2,FALSE))&lt;test!$K$16,$A124&lt;&gt;AF$1,Recharged_Feasible_mat!AG93),(VLOOKUP(AF$1,test!$A$3:$I$32,8,FALSE))-(VLOOKUP($A124,test!$A$3:$I$32,9,FALSE))+(test!$B$35-50),0)</f>
        <v>0</v>
      </c>
    </row>
    <row r="125" spans="1:32" x14ac:dyDescent="0.25">
      <c r="A125" t="s">
        <v>41</v>
      </c>
      <c r="B125">
        <v>0</v>
      </c>
      <c r="C125">
        <f>IF(AND(SUM(VLOOKUP($A125,test!$A$3:$F$32,2,FALSE),VLOOKUP(C$1,test!$A$3:$F$32,2,FALSE))&lt;test!$K$16,$A125&lt;&gt;C$1,Recharged_Feasible_mat!D94),(VLOOKUP(C$1,test!$A$3:$I$32,8,FALSE))-(VLOOKUP($A125,test!$A$3:$I$32,9,FALSE))+(test!$B$35-50),0)</f>
        <v>0</v>
      </c>
      <c r="D125">
        <f>IF(AND(SUM(VLOOKUP($A125,test!$A$3:$F$32,2,FALSE),VLOOKUP(D$1,test!$A$3:$F$32,2,FALSE))&lt;test!$K$16,$A125&lt;&gt;D$1,Recharged_Feasible_mat!E94),(VLOOKUP(D$1,test!$A$3:$I$32,8,FALSE))-(VLOOKUP($A125,test!$A$3:$I$32,9,FALSE))+(test!$B$35-50),0)</f>
        <v>0</v>
      </c>
      <c r="E125">
        <f>IF(AND(SUM(VLOOKUP($A125,test!$A$3:$F$32,2,FALSE),VLOOKUP(E$1,test!$A$3:$F$32,2,FALSE))&lt;test!$K$16,$A125&lt;&gt;E$1,Recharged_Feasible_mat!F94),(VLOOKUP(E$1,test!$A$3:$I$32,8,FALSE))-(VLOOKUP($A125,test!$A$3:$I$32,9,FALSE))+(test!$B$35-50),0)</f>
        <v>0</v>
      </c>
      <c r="F125">
        <f>IF(AND(SUM(VLOOKUP($A125,test!$A$3:$F$32,2,FALSE),VLOOKUP(F$1,test!$A$3:$F$32,2,FALSE))&lt;test!$K$16,$A125&lt;&gt;F$1,Recharged_Feasible_mat!G94),(VLOOKUP(F$1,test!$A$3:$I$32,8,FALSE))-(VLOOKUP($A125,test!$A$3:$I$32,9,FALSE))+(test!$B$35-50),0)</f>
        <v>0</v>
      </c>
      <c r="G125">
        <f>IF(AND(SUM(VLOOKUP($A125,test!$A$3:$F$32,2,FALSE),VLOOKUP(G$1,test!$A$3:$F$32,2,FALSE))&lt;test!$K$16,$A125&lt;&gt;G$1,Recharged_Feasible_mat!H94),(VLOOKUP(G$1,test!$A$3:$I$32,8,FALSE))-(VLOOKUP($A125,test!$A$3:$I$32,9,FALSE))+(test!$B$35-50),0)</f>
        <v>0</v>
      </c>
      <c r="H125">
        <f>IF(AND(SUM(VLOOKUP($A125,test!$A$3:$F$32,2,FALSE),VLOOKUP(H$1,test!$A$3:$F$32,2,FALSE))&lt;test!$K$16,$A125&lt;&gt;H$1,Recharged_Feasible_mat!I94),(VLOOKUP(H$1,test!$A$3:$I$32,8,FALSE))-(VLOOKUP($A125,test!$A$3:$I$32,9,FALSE))+(test!$B$35-50),0)</f>
        <v>0</v>
      </c>
      <c r="I125">
        <f>IF(AND(SUM(VLOOKUP($A125,test!$A$3:$F$32,2,FALSE),VLOOKUP(I$1,test!$A$3:$F$32,2,FALSE))&lt;test!$K$16,$A125&lt;&gt;I$1,Recharged_Feasible_mat!J94),(VLOOKUP(I$1,test!$A$3:$I$32,8,FALSE))-(VLOOKUP($A125,test!$A$3:$I$32,9,FALSE))+(test!$B$35-50),0)</f>
        <v>0</v>
      </c>
      <c r="J125">
        <f>IF(AND(SUM(VLOOKUP($A125,test!$A$3:$F$32,2,FALSE),VLOOKUP(J$1,test!$A$3:$F$32,2,FALSE))&lt;test!$K$16,$A125&lt;&gt;J$1,Recharged_Feasible_mat!K94),(VLOOKUP(J$1,test!$A$3:$I$32,8,FALSE))-(VLOOKUP($A125,test!$A$3:$I$32,9,FALSE))+(test!$B$35-50),0)</f>
        <v>0</v>
      </c>
      <c r="K125">
        <f>IF(AND(SUM(VLOOKUP($A125,test!$A$3:$F$32,2,FALSE),VLOOKUP(K$1,test!$A$3:$F$32,2,FALSE))&lt;test!$K$16,$A125&lt;&gt;K$1,Recharged_Feasible_mat!L94),(VLOOKUP(K$1,test!$A$3:$I$32,8,FALSE))-(VLOOKUP($A125,test!$A$3:$I$32,9,FALSE))+(test!$B$35-50),0)</f>
        <v>0</v>
      </c>
      <c r="L125">
        <f>IF(AND(SUM(VLOOKUP($A125,test!$A$3:$F$32,2,FALSE),VLOOKUP(L$1,test!$A$3:$F$32,2,FALSE))&lt;test!$K$16,$A125&lt;&gt;L$1,Recharged_Feasible_mat!M94),(VLOOKUP(L$1,test!$A$3:$I$32,8,FALSE))-(VLOOKUP($A125,test!$A$3:$I$32,9,FALSE))+(test!$B$35-50),0)</f>
        <v>0</v>
      </c>
      <c r="M125">
        <f>IF(AND(SUM(VLOOKUP($A125,test!$A$3:$F$32,2,FALSE),VLOOKUP(M$1,test!$A$3:$F$32,2,FALSE))&lt;test!$K$16,$A125&lt;&gt;M$1,Recharged_Feasible_mat!N94),(VLOOKUP(M$1,test!$A$3:$I$32,8,FALSE))-(VLOOKUP($A125,test!$A$3:$I$32,9,FALSE))+(test!$B$35-50),0)</f>
        <v>0</v>
      </c>
      <c r="N125">
        <f>IF(AND(SUM(VLOOKUP($A125,test!$A$3:$F$32,2,FALSE),VLOOKUP(N$1,test!$A$3:$F$32,2,FALSE))&lt;test!$K$16,$A125&lt;&gt;N$1,Recharged_Feasible_mat!O94),(VLOOKUP(N$1,test!$A$3:$I$32,8,FALSE))-(VLOOKUP($A125,test!$A$3:$I$32,9,FALSE))+(test!$B$35-50),0)</f>
        <v>0</v>
      </c>
      <c r="O125">
        <f>IF(AND(SUM(VLOOKUP($A125,test!$A$3:$F$32,2,FALSE),VLOOKUP(O$1,test!$A$3:$F$32,2,FALSE))&lt;test!$K$16,$A125&lt;&gt;O$1,Recharged_Feasible_mat!P94),(VLOOKUP(O$1,test!$A$3:$I$32,8,FALSE))-(VLOOKUP($A125,test!$A$3:$I$32,9,FALSE))+(test!$B$35-50),0)</f>
        <v>0</v>
      </c>
      <c r="P125">
        <f>IF(AND(SUM(VLOOKUP($A125,test!$A$3:$F$32,2,FALSE),VLOOKUP(P$1,test!$A$3:$F$32,2,FALSE))&lt;test!$K$16,$A125&lt;&gt;P$1,Recharged_Feasible_mat!Q94),(VLOOKUP(P$1,test!$A$3:$I$32,8,FALSE))-(VLOOKUP($A125,test!$A$3:$I$32,9,FALSE))+(test!$B$35-50),0)</f>
        <v>0</v>
      </c>
      <c r="Q125">
        <f>IF(AND(SUM(VLOOKUP($A125,test!$A$3:$F$32,2,FALSE),VLOOKUP(Q$1,test!$A$3:$F$32,2,FALSE))&lt;test!$K$16,$A125&lt;&gt;Q$1,Recharged_Feasible_mat!R94),(VLOOKUP(Q$1,test!$A$3:$I$32,8,FALSE))-(VLOOKUP($A125,test!$A$3:$I$32,9,FALSE))+(test!$B$35-50),0)</f>
        <v>0</v>
      </c>
      <c r="R125">
        <f>IF(AND(SUM(VLOOKUP($A125,test!$A$3:$F$32,2,FALSE),VLOOKUP(R$1,test!$A$3:$F$32,2,FALSE))&lt;test!$K$16,$A125&lt;&gt;R$1,Recharged_Feasible_mat!S94),(VLOOKUP(R$1,test!$A$3:$I$32,8,FALSE))-(VLOOKUP($A125,test!$A$3:$I$32,9,FALSE))+(test!$B$35-50),0)</f>
        <v>0</v>
      </c>
      <c r="S125">
        <f>IF(AND(SUM(VLOOKUP($A125,test!$A$3:$F$32,2,FALSE),VLOOKUP(S$1,test!$A$3:$F$32,2,FALSE))&lt;test!$K$16,$A125&lt;&gt;S$1,Recharged_Feasible_mat!T94),(VLOOKUP(S$1,test!$A$3:$I$32,8,FALSE))-(VLOOKUP($A125,test!$A$3:$I$32,9,FALSE))+(test!$B$35-50),0)</f>
        <v>0</v>
      </c>
      <c r="T125">
        <f>IF(AND(SUM(VLOOKUP($A125,test!$A$3:$F$32,2,FALSE),VLOOKUP(T$1,test!$A$3:$F$32,2,FALSE))&lt;test!$K$16,$A125&lt;&gt;T$1,Recharged_Feasible_mat!U94),(VLOOKUP(T$1,test!$A$3:$I$32,8,FALSE))-(VLOOKUP($A125,test!$A$3:$I$32,9,FALSE))+(test!$B$35-50),0)</f>
        <v>0</v>
      </c>
      <c r="U125">
        <f>IF(AND(SUM(VLOOKUP($A125,test!$A$3:$F$32,2,FALSE),VLOOKUP(U$1,test!$A$3:$F$32,2,FALSE))&lt;test!$K$16,$A125&lt;&gt;U$1,Recharged_Feasible_mat!V94),(VLOOKUP(U$1,test!$A$3:$I$32,8,FALSE))-(VLOOKUP($A125,test!$A$3:$I$32,9,FALSE))+(test!$B$35-50),0)</f>
        <v>0</v>
      </c>
      <c r="V125">
        <f>IF(AND(SUM(VLOOKUP($A125,test!$A$3:$F$32,2,FALSE),VLOOKUP(V$1,test!$A$3:$F$32,2,FALSE))&lt;test!$K$16,$A125&lt;&gt;V$1,Recharged_Feasible_mat!W94),(VLOOKUP(V$1,test!$A$3:$I$32,8,FALSE))-(VLOOKUP($A125,test!$A$3:$I$32,9,FALSE))+(test!$B$35-50),0)</f>
        <v>0</v>
      </c>
      <c r="W125">
        <f>IF(AND(SUM(VLOOKUP($A125,test!$A$3:$F$32,2,FALSE),VLOOKUP(W$1,test!$A$3:$F$32,2,FALSE))&lt;test!$K$16,$A125&lt;&gt;W$1,Recharged_Feasible_mat!X94),(VLOOKUP(W$1,test!$A$3:$I$32,8,FALSE))-(VLOOKUP($A125,test!$A$3:$I$32,9,FALSE))+(test!$B$35-50),0)</f>
        <v>0</v>
      </c>
      <c r="X125">
        <f>IF(AND(SUM(VLOOKUP($A125,test!$A$3:$F$32,2,FALSE),VLOOKUP(X$1,test!$A$3:$F$32,2,FALSE))&lt;test!$K$16,$A125&lt;&gt;X$1,Recharged_Feasible_mat!Y94),(VLOOKUP(X$1,test!$A$3:$I$32,8,FALSE))-(VLOOKUP($A125,test!$A$3:$I$32,9,FALSE))+(test!$B$35-50),0)</f>
        <v>0</v>
      </c>
      <c r="Y125">
        <f>IF(AND(SUM(VLOOKUP($A125,test!$A$3:$F$32,2,FALSE),VLOOKUP(Y$1,test!$A$3:$F$32,2,FALSE))&lt;test!$K$16,$A125&lt;&gt;Y$1,Recharged_Feasible_mat!Z94),(VLOOKUP(Y$1,test!$A$3:$I$32,8,FALSE))-(VLOOKUP($A125,test!$A$3:$I$32,9,FALSE))+(test!$B$35-50),0)</f>
        <v>0</v>
      </c>
      <c r="Z125">
        <f>IF(AND(SUM(VLOOKUP($A125,test!$A$3:$F$32,2,FALSE),VLOOKUP(Z$1,test!$A$3:$F$32,2,FALSE))&lt;test!$K$16,$A125&lt;&gt;Z$1,Recharged_Feasible_mat!AA94),(VLOOKUP(Z$1,test!$A$3:$I$32,8,FALSE))-(VLOOKUP($A125,test!$A$3:$I$32,9,FALSE))+(test!$B$35-50),0)</f>
        <v>0</v>
      </c>
      <c r="AA125">
        <f>IF(AND(SUM(VLOOKUP($A125,test!$A$3:$F$32,2,FALSE),VLOOKUP(AA$1,test!$A$3:$F$32,2,FALSE))&lt;test!$K$16,$A125&lt;&gt;AA$1,Recharged_Feasible_mat!AB94),(VLOOKUP(AA$1,test!$A$3:$I$32,8,FALSE))-(VLOOKUP($A125,test!$A$3:$I$32,9,FALSE))+(test!$B$35-50),0)</f>
        <v>0</v>
      </c>
      <c r="AB125">
        <f>IF(AND(SUM(VLOOKUP($A125,test!$A$3:$F$32,2,FALSE),VLOOKUP(AB$1,test!$A$3:$F$32,2,FALSE))&lt;test!$K$16,$A125&lt;&gt;AB$1,Recharged_Feasible_mat!AC94),(VLOOKUP(AB$1,test!$A$3:$I$32,8,FALSE))-(VLOOKUP($A125,test!$A$3:$I$32,9,FALSE))+(test!$B$35-50),0)</f>
        <v>0</v>
      </c>
      <c r="AC125">
        <f>IF(AND(SUM(VLOOKUP($A125,test!$A$3:$F$32,2,FALSE),VLOOKUP(AC$1,test!$A$3:$F$32,2,FALSE))&lt;test!$K$16,$A125&lt;&gt;AC$1,Recharged_Feasible_mat!AD94),(VLOOKUP(AC$1,test!$A$3:$I$32,8,FALSE))-(VLOOKUP($A125,test!$A$3:$I$32,9,FALSE))+(test!$B$35-50),0)</f>
        <v>0</v>
      </c>
      <c r="AD125">
        <f>IF(AND(SUM(VLOOKUP($A125,test!$A$3:$F$32,2,FALSE),VLOOKUP(AD$1,test!$A$3:$F$32,2,FALSE))&lt;test!$K$16,$A125&lt;&gt;AD$1,Recharged_Feasible_mat!AE94),(VLOOKUP(AD$1,test!$A$3:$I$32,8,FALSE))-(VLOOKUP($A125,test!$A$3:$I$32,9,FALSE))+(test!$B$35-50),0)</f>
        <v>0</v>
      </c>
      <c r="AE125">
        <f>IF(AND(SUM(VLOOKUP($A125,test!$A$3:$F$32,2,FALSE),VLOOKUP(AE$1,test!$A$3:$F$32,2,FALSE))&lt;test!$K$16,$A125&lt;&gt;AE$1,Recharged_Feasible_mat!AF94),(VLOOKUP(AE$1,test!$A$3:$I$32,8,FALSE))-(VLOOKUP($A125,test!$A$3:$I$32,9,FALSE))+(test!$B$35-50),0)</f>
        <v>0</v>
      </c>
      <c r="AF125">
        <f>IF(AND(SUM(VLOOKUP($A125,test!$A$3:$F$32,2,FALSE),VLOOKUP(AF$1,test!$A$3:$F$32,2,FALSE))&lt;test!$K$16,$A125&lt;&gt;AF$1,Recharged_Feasible_mat!AG94),(VLOOKUP(AF$1,test!$A$3:$I$32,8,FALSE))-(VLOOKUP($A125,test!$A$3:$I$32,9,FALSE))+(test!$B$35-50),0)</f>
        <v>0</v>
      </c>
    </row>
    <row r="133" spans="5:5" x14ac:dyDescent="0.25">
      <c r="E133" s="16" t="s">
        <v>71</v>
      </c>
    </row>
    <row r="134" spans="5:5" x14ac:dyDescent="0.25">
      <c r="E134" s="16">
        <f>SUM(VLOOKUP($A3,test!$A$3:$F$32,2,FALSE),VLOOKUP(D$1,test!$A$3:$F$32,2,FALSE))</f>
        <v>270</v>
      </c>
    </row>
    <row r="135" spans="5:5" x14ac:dyDescent="0.25">
      <c r="E135" s="16">
        <f>test!$K$16</f>
        <v>350</v>
      </c>
    </row>
    <row r="136" spans="5:5" x14ac:dyDescent="0.25">
      <c r="E136" s="16" t="b">
        <f>$A3&lt;&gt;D$1</f>
        <v>1</v>
      </c>
    </row>
    <row r="137" spans="5:5" x14ac:dyDescent="0.25">
      <c r="E137" s="16" t="b">
        <f>feasible_mat!D3=1</f>
        <v>1</v>
      </c>
    </row>
    <row r="138" spans="5:5" x14ac:dyDescent="0.25">
      <c r="E138" s="16">
        <f>VLOOKUP(D$1,test!$A$3:$I$32,8,FALSE)-(VLOOKUP($A3,test!$A$3:$I$32,9,FALSE))</f>
        <v>45</v>
      </c>
    </row>
    <row r="139" spans="5:5" x14ac:dyDescent="0.25">
      <c r="E139" s="16">
        <f>VLOOKUP(D$1,test!$A$3:$I$32,8,FALSE)</f>
        <v>740</v>
      </c>
    </row>
    <row r="140" spans="5:5" x14ac:dyDescent="0.25">
      <c r="E140" s="16">
        <f>(VLOOKUP($A3,test!$A$3:$I$32,9,FALSE))</f>
        <v>695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018EB-DD23-425E-8633-5D2BCACFFC89}">
  <dimension ref="A1:AJ140"/>
  <sheetViews>
    <sheetView topLeftCell="A19" zoomScale="98" zoomScaleNormal="98" workbookViewId="0">
      <pane xSplit="1" topLeftCell="B1" activePane="topRight" state="frozen"/>
      <selection activeCell="A25" sqref="A25"/>
      <selection pane="topRight" activeCell="E40" sqref="E40"/>
    </sheetView>
  </sheetViews>
  <sheetFormatPr defaultRowHeight="15" x14ac:dyDescent="0.25"/>
  <cols>
    <col min="1" max="4" width="9.140625" style="16"/>
    <col min="5" max="5" width="14.42578125" style="16" bestFit="1" customWidth="1"/>
    <col min="6" max="6" width="12" style="16" bestFit="1" customWidth="1"/>
    <col min="7" max="21" width="9.140625" style="16"/>
    <col min="22" max="22" width="16.7109375" style="16" bestFit="1" customWidth="1"/>
    <col min="23" max="16384" width="9.140625" style="16"/>
  </cols>
  <sheetData>
    <row r="1" spans="1:36" x14ac:dyDescent="0.25">
      <c r="A1"/>
      <c r="B1" t="s">
        <v>46</v>
      </c>
      <c r="C1" t="s">
        <v>6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18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</row>
    <row r="2" spans="1:36" x14ac:dyDescent="0.2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6</v>
      </c>
      <c r="B3">
        <v>0</v>
      </c>
      <c r="C3">
        <f>IF(SUM(VLOOKUP($A3,test!$A$3:$F$32,2,FALSE),VLOOKUP(C$1,test!$A$3:$F$32,2,FALSE))&lt;=test!$K$16,IF(AND($A3&lt;&gt;C$1,feasible_mat!C3=1),(VLOOKUP(C$1,test!$A$3:$I$32,8,FALSE))-(VLOOKUP($A3,test!$A$3:$I$32,9,FALSE)),0),IF(AND($A3&lt;&gt;C$1,feasible_mat!C3=1),(VLOOKUP(C$1,test!$A$3:$I$32,8,FALSE))-(VLOOKUP($A3,test!$A$3:$I$32,9,FALSE))-50,0))</f>
        <v>0</v>
      </c>
      <c r="D3">
        <f>IF(SUM(VLOOKUP($A3,test!$A$3:$F$32,2,FALSE),VLOOKUP(D$1,test!$A$3:$F$32,2,FALSE))&lt;=test!$K$16,IF(AND($A3&lt;&gt;D$1,feasible_mat!D3=1),(VLOOKUP(D$1,test!$A$3:$I$32,8,FALSE))-(VLOOKUP($A3,test!$A$3:$I$32,9,FALSE)),0),IF(AND($A3&lt;&gt;D$1,feasible_mat!D3=1),(VLOOKUP(D$1,test!$A$3:$I$32,8,FALSE))-(VLOOKUP($A3,test!$A$3:$I$32,9,FALSE))-50,0))</f>
        <v>45</v>
      </c>
      <c r="E3">
        <f>IF(SUM(VLOOKUP($A3,test!$A$3:$F$32,2,FALSE),VLOOKUP(E$1,test!$A$3:$F$32,2,FALSE))&lt;=test!$K$16,IF(AND($A3&lt;&gt;E$1,feasible_mat!E3=1),(VLOOKUP(E$1,test!$A$3:$I$32,8,FALSE))-(VLOOKUP($A3,test!$A$3:$I$32,9,FALSE)),0),IF(AND($A3&lt;&gt;E$1,feasible_mat!E3=1),(VLOOKUP(E$1,test!$A$3:$I$32,8,FALSE))-(VLOOKUP($A3,test!$A$3:$I$32,9,FALSE))-50,0))</f>
        <v>135</v>
      </c>
      <c r="F3">
        <f>IF(SUM(VLOOKUP($A3,test!$A$3:$F$32,2,FALSE),VLOOKUP(F$1,test!$A$3:$F$32,2,FALSE))&lt;=test!$K$16,IF(AND($A3&lt;&gt;F$1,feasible_mat!F3=1),(VLOOKUP(F$1,test!$A$3:$I$32,8,FALSE))-(VLOOKUP($A3,test!$A$3:$I$32,9,FALSE)),0),IF(AND($A3&lt;&gt;F$1,feasible_mat!F3=1),(VLOOKUP(F$1,test!$A$3:$I$32,8,FALSE))-(VLOOKUP($A3,test!$A$3:$I$32,9,FALSE))-50,0))</f>
        <v>225</v>
      </c>
      <c r="G3">
        <f>IF(SUM(VLOOKUP($A3,test!$A$3:$F$32,2,FALSE),VLOOKUP(G$1,test!$A$3:$F$32,2,FALSE))&lt;=test!$K$16,IF(AND($A3&lt;&gt;G$1,feasible_mat!G3=1),(VLOOKUP(G$1,test!$A$3:$I$32,8,FALSE))-(VLOOKUP($A3,test!$A$3:$I$32,9,FALSE)),0),IF(AND($A3&lt;&gt;G$1,feasible_mat!G3=1),(VLOOKUP(G$1,test!$A$3:$I$32,8,FALSE))-(VLOOKUP($A3,test!$A$3:$I$32,9,FALSE))-50,0))</f>
        <v>285</v>
      </c>
      <c r="H3">
        <f>IF(SUM(VLOOKUP($A3,test!$A$3:$F$32,2,FALSE),VLOOKUP(H$1,test!$A$3:$F$32,2,FALSE))&lt;=test!$K$16,IF(AND($A3&lt;&gt;H$1,feasible_mat!H3=1),(VLOOKUP(H$1,test!$A$3:$I$32,8,FALSE))-(VLOOKUP($A3,test!$A$3:$I$32,9,FALSE)),0),IF(AND($A3&lt;&gt;H$1,feasible_mat!H3=1),(VLOOKUP(H$1,test!$A$3:$I$32,8,FALSE))-(VLOOKUP($A3,test!$A$3:$I$32,9,FALSE))-50,0))</f>
        <v>345</v>
      </c>
      <c r="I3">
        <f>IF(SUM(VLOOKUP($A3,test!$A$3:$F$32,2,FALSE),VLOOKUP(I$1,test!$A$3:$F$32,2,FALSE))&lt;=test!$K$16,IF(AND($A3&lt;&gt;I$1,feasible_mat!I3=1),(VLOOKUP(I$1,test!$A$3:$I$32,8,FALSE))-(VLOOKUP($A3,test!$A$3:$I$32,9,FALSE)),0),IF(AND($A3&lt;&gt;I$1,feasible_mat!I3=1),(VLOOKUP(I$1,test!$A$3:$I$32,8,FALSE))-(VLOOKUP($A3,test!$A$3:$I$32,9,FALSE))-50,0))</f>
        <v>405</v>
      </c>
      <c r="J3">
        <f>IF(SUM(VLOOKUP($A3,test!$A$3:$F$32,2,FALSE),VLOOKUP(J$1,test!$A$3:$F$32,2,FALSE))&lt;=test!$K$16,IF(AND($A3&lt;&gt;J$1,feasible_mat!J3=1),(VLOOKUP(J$1,test!$A$3:$I$32,8,FALSE))-(VLOOKUP($A3,test!$A$3:$I$32,9,FALSE)),0),IF(AND($A3&lt;&gt;J$1,feasible_mat!J3=1),(VLOOKUP(J$1,test!$A$3:$I$32,8,FALSE))-(VLOOKUP($A3,test!$A$3:$I$32,9,FALSE))-50,0))</f>
        <v>495</v>
      </c>
      <c r="K3">
        <f>IF(SUM(VLOOKUP($A3,test!$A$3:$F$32,2,FALSE),VLOOKUP(K$1,test!$A$3:$F$32,2,FALSE))&lt;=test!$K$16,IF(AND($A3&lt;&gt;K$1,feasible_mat!K3=1),(VLOOKUP(K$1,test!$A$3:$I$32,8,FALSE))-(VLOOKUP($A3,test!$A$3:$I$32,9,FALSE)),0),IF(AND($A3&lt;&gt;K$1,feasible_mat!K3=1),(VLOOKUP(K$1,test!$A$3:$I$32,8,FALSE))-(VLOOKUP($A3,test!$A$3:$I$32,9,FALSE))-50,0))</f>
        <v>0</v>
      </c>
      <c r="L3">
        <f>IF(SUM(VLOOKUP($A3,test!$A$3:$F$32,2,FALSE),VLOOKUP(L$1,test!$A$3:$F$32,2,FALSE))&lt;=test!$K$16,IF(AND($A3&lt;&gt;L$1,feasible_mat!L3=1),(VLOOKUP(L$1,test!$A$3:$I$32,8,FALSE))-(VLOOKUP($A3,test!$A$3:$I$32,9,FALSE)),0),IF(AND($A3&lt;&gt;L$1,feasible_mat!L3=1),(VLOOKUP(L$1,test!$A$3:$I$32,8,FALSE))-(VLOOKUP($A3,test!$A$3:$I$32,9,FALSE))-50,0))</f>
        <v>0</v>
      </c>
      <c r="M3">
        <f>IF(SUM(VLOOKUP($A3,test!$A$3:$F$32,2,FALSE),VLOOKUP(M$1,test!$A$3:$F$32,2,FALSE))&lt;=test!$K$16,IF(AND($A3&lt;&gt;M$1,feasible_mat!M3=1),(VLOOKUP(M$1,test!$A$3:$I$32,8,FALSE))-(VLOOKUP($A3,test!$A$3:$I$32,9,FALSE)),0),IF(AND($A3&lt;&gt;M$1,feasible_mat!M3=1),(VLOOKUP(M$1,test!$A$3:$I$32,8,FALSE))-(VLOOKUP($A3,test!$A$3:$I$32,9,FALSE))-50,0))</f>
        <v>100</v>
      </c>
      <c r="N3">
        <f>IF(SUM(VLOOKUP($A3,test!$A$3:$F$32,2,FALSE),VLOOKUP(N$1,test!$A$3:$F$32,2,FALSE))&lt;=test!$K$16,IF(AND($A3&lt;&gt;N$1,feasible_mat!N3=1),(VLOOKUP(N$1,test!$A$3:$I$32,8,FALSE))-(VLOOKUP($A3,test!$A$3:$I$32,9,FALSE)),0),IF(AND($A3&lt;&gt;N$1,feasible_mat!N3=1),(VLOOKUP(N$1,test!$A$3:$I$32,8,FALSE))-(VLOOKUP($A3,test!$A$3:$I$32,9,FALSE))-50,0))</f>
        <v>460</v>
      </c>
      <c r="O3">
        <f>IF(SUM(VLOOKUP($A3,test!$A$3:$F$32,2,FALSE),VLOOKUP(O$1,test!$A$3:$F$32,2,FALSE))&lt;=test!$K$16,IF(AND($A3&lt;&gt;O$1,feasible_mat!O3=1),(VLOOKUP(O$1,test!$A$3:$I$32,8,FALSE))-(VLOOKUP($A3,test!$A$3:$I$32,9,FALSE)),0),IF(AND($A3&lt;&gt;O$1,feasible_mat!O3=1),(VLOOKUP(O$1,test!$A$3:$I$32,8,FALSE))-(VLOOKUP($A3,test!$A$3:$I$32,9,FALSE))-50,0))</f>
        <v>520</v>
      </c>
      <c r="P3">
        <f>IF(SUM(VLOOKUP($A3,test!$A$3:$F$32,2,FALSE),VLOOKUP(P$1,test!$A$3:$F$32,2,FALSE))&lt;=test!$K$16,IF(AND($A3&lt;&gt;P$1,feasible_mat!P3=1),(VLOOKUP(P$1,test!$A$3:$I$32,8,FALSE))-(VLOOKUP($A3,test!$A$3:$I$32,9,FALSE)),0),IF(AND($A3&lt;&gt;P$1,feasible_mat!P3=1),(VLOOKUP(P$1,test!$A$3:$I$32,8,FALSE))-(VLOOKUP($A3,test!$A$3:$I$32,9,FALSE))-50,0))</f>
        <v>0</v>
      </c>
      <c r="Q3">
        <f>IF(SUM(VLOOKUP($A3,test!$A$3:$F$32,2,FALSE),VLOOKUP(Q$1,test!$A$3:$F$32,2,FALSE))&lt;=test!$K$16,IF(AND($A3&lt;&gt;Q$1,feasible_mat!Q3=1),(VLOOKUP(Q$1,test!$A$3:$I$32,8,FALSE))-(VLOOKUP($A3,test!$A$3:$I$32,9,FALSE)),0),IF(AND($A3&lt;&gt;Q$1,feasible_mat!Q3=1),(VLOOKUP(Q$1,test!$A$3:$I$32,8,FALSE))-(VLOOKUP($A3,test!$A$3:$I$32,9,FALSE))-50,0))</f>
        <v>0</v>
      </c>
      <c r="R3">
        <f>IF(SUM(VLOOKUP($A3,test!$A$3:$F$32,2,FALSE),VLOOKUP(R$1,test!$A$3:$F$32,2,FALSE))&lt;=test!$K$16,IF(AND($A3&lt;&gt;R$1,feasible_mat!R3=1),(VLOOKUP(R$1,test!$A$3:$I$32,8,FALSE))-(VLOOKUP($A3,test!$A$3:$I$32,9,FALSE)),0),IF(AND($A3&lt;&gt;R$1,feasible_mat!R3=1),(VLOOKUP(R$1,test!$A$3:$I$32,8,FALSE))-(VLOOKUP($A3,test!$A$3:$I$32,9,FALSE))-50,0))</f>
        <v>0</v>
      </c>
      <c r="S3">
        <f>IF(SUM(VLOOKUP($A3,test!$A$3:$F$32,2,FALSE),VLOOKUP(S$1,test!$A$3:$F$32,2,FALSE))&lt;=test!$K$16,IF(AND($A3&lt;&gt;S$1,feasible_mat!S3=1),(VLOOKUP(S$1,test!$A$3:$I$32,8,FALSE))-(VLOOKUP($A3,test!$A$3:$I$32,9,FALSE)),0),IF(AND($A3&lt;&gt;S$1,feasible_mat!S3=1),(VLOOKUP(S$1,test!$A$3:$I$32,8,FALSE))-(VLOOKUP($A3,test!$A$3:$I$32,9,FALSE))-50,0))</f>
        <v>25</v>
      </c>
      <c r="T3">
        <f>IF(SUM(VLOOKUP($A3,test!$A$3:$F$32,2,FALSE),VLOOKUP(T$1,test!$A$3:$F$32,2,FALSE))&lt;=test!$K$16,IF(AND($A3&lt;&gt;T$1,feasible_mat!T3=1),(VLOOKUP(T$1,test!$A$3:$I$32,8,FALSE))-(VLOOKUP($A3,test!$A$3:$I$32,9,FALSE)),0),IF(AND($A3&lt;&gt;T$1,feasible_mat!T3=1),(VLOOKUP(T$1,test!$A$3:$I$32,8,FALSE))-(VLOOKUP($A3,test!$A$3:$I$32,9,FALSE))-50,0))</f>
        <v>115</v>
      </c>
      <c r="U3">
        <f>IF(SUM(VLOOKUP($A3,test!$A$3:$F$32,2,FALSE),VLOOKUP(U$1,test!$A$3:$F$32,2,FALSE))&lt;=test!$K$16,IF(AND($A3&lt;&gt;U$1,feasible_mat!U3=1),(VLOOKUP(U$1,test!$A$3:$I$32,8,FALSE))-(VLOOKUP($A3,test!$A$3:$I$32,9,FALSE)),0),IF(AND($A3&lt;&gt;U$1,feasible_mat!U3=1),(VLOOKUP(U$1,test!$A$3:$I$32,8,FALSE))-(VLOOKUP($A3,test!$A$3:$I$32,9,FALSE))-50,0))</f>
        <v>205</v>
      </c>
      <c r="V3">
        <f>IF(SUM(VLOOKUP($A3,test!$A$3:$F$32,2,FALSE),VLOOKUP(V$1,test!$A$3:$F$32,2,FALSE))&lt;=test!$K$16,IF(AND($A3&lt;&gt;V$1,feasible_mat!V3=1),(VLOOKUP(V$1,test!$A$3:$I$32,8,FALSE))-(VLOOKUP($A3,test!$A$3:$I$32,9,FALSE)),0),IF(AND($A3&lt;&gt;V$1,feasible_mat!V3=1),(VLOOKUP(V$1,test!$A$3:$I$32,8,FALSE))-(VLOOKUP($A3,test!$A$3:$I$32,9,FALSE))-50,0))</f>
        <v>295</v>
      </c>
      <c r="W3">
        <f>IF(SUM(VLOOKUP($A3,test!$A$3:$F$32,2,FALSE),VLOOKUP(W$1,test!$A$3:$F$32,2,FALSE))&lt;=test!$K$16,IF(AND($A3&lt;&gt;W$1,feasible_mat!W3=1),(VLOOKUP(W$1,test!$A$3:$I$32,8,FALSE))-(VLOOKUP($A3,test!$A$3:$I$32,9,FALSE)),0),IF(AND($A3&lt;&gt;W$1,feasible_mat!W3=1),(VLOOKUP(W$1,test!$A$3:$I$32,8,FALSE))-(VLOOKUP($A3,test!$A$3:$I$32,9,FALSE))-50,0))</f>
        <v>385</v>
      </c>
      <c r="X3">
        <f>IF(SUM(VLOOKUP($A3,test!$A$3:$F$32,2,FALSE),VLOOKUP(X$1,test!$A$3:$F$32,2,FALSE))&lt;=test!$K$16,IF(AND($A3&lt;&gt;X$1,feasible_mat!X3=1),(VLOOKUP(X$1,test!$A$3:$I$32,8,FALSE))-(VLOOKUP($A3,test!$A$3:$I$32,9,FALSE)),0),IF(AND($A3&lt;&gt;X$1,feasible_mat!X3=1),(VLOOKUP(X$1,test!$A$3:$I$32,8,FALSE))-(VLOOKUP($A3,test!$A$3:$I$32,9,FALSE))-50,0))</f>
        <v>445</v>
      </c>
      <c r="Y3">
        <f>IF(SUM(VLOOKUP($A3,test!$A$3:$F$32,2,FALSE),VLOOKUP(Y$1,test!$A$3:$F$32,2,FALSE))&lt;=test!$K$16,IF(AND($A3&lt;&gt;Y$1,feasible_mat!Y3=1),(VLOOKUP(Y$1,test!$A$3:$I$32,8,FALSE))-(VLOOKUP($A3,test!$A$3:$I$32,9,FALSE)),0),IF(AND($A3&lt;&gt;Y$1,feasible_mat!Y3=1),(VLOOKUP(Y$1,test!$A$3:$I$32,8,FALSE))-(VLOOKUP($A3,test!$A$3:$I$32,9,FALSE))-50,0))</f>
        <v>0</v>
      </c>
      <c r="Z3">
        <f>IF(SUM(VLOOKUP($A3,test!$A$3:$F$32,2,FALSE),VLOOKUP(Z$1,test!$A$3:$F$32,2,FALSE))&lt;=test!$K$16,IF(AND($A3&lt;&gt;Z$1,feasible_mat!Z3=1),(VLOOKUP(Z$1,test!$A$3:$I$32,8,FALSE))-(VLOOKUP($A3,test!$A$3:$I$32,9,FALSE)),0),IF(AND($A3&lt;&gt;Z$1,feasible_mat!Z3=1),(VLOOKUP(Z$1,test!$A$3:$I$32,8,FALSE))-(VLOOKUP($A3,test!$A$3:$I$32,9,FALSE))-50,0))</f>
        <v>45</v>
      </c>
      <c r="AA3">
        <f>IF(SUM(VLOOKUP($A3,test!$A$3:$F$32,2,FALSE),VLOOKUP(AA$1,test!$A$3:$F$32,2,FALSE))&lt;=test!$K$16,IF(AND($A3&lt;&gt;AA$1,feasible_mat!AA3=1),(VLOOKUP(AA$1,test!$A$3:$I$32,8,FALSE))-(VLOOKUP($A3,test!$A$3:$I$32,9,FALSE)),0),IF(AND($A3&lt;&gt;AA$1,feasible_mat!AA3=1),(VLOOKUP(AA$1,test!$A$3:$I$32,8,FALSE))-(VLOOKUP($A3,test!$A$3:$I$32,9,FALSE))-50,0))</f>
        <v>165</v>
      </c>
      <c r="AB3">
        <f>IF(SUM(VLOOKUP($A3,test!$A$3:$F$32,2,FALSE),VLOOKUP(AB$1,test!$A$3:$F$32,2,FALSE))&lt;=test!$K$16,IF(AND($A3&lt;&gt;AB$1,feasible_mat!AB3=1),(VLOOKUP(AB$1,test!$A$3:$I$32,8,FALSE))-(VLOOKUP($A3,test!$A$3:$I$32,9,FALSE)),0),IF(AND($A3&lt;&gt;AB$1,feasible_mat!AB3=1),(VLOOKUP(AB$1,test!$A$3:$I$32,8,FALSE))-(VLOOKUP($A3,test!$A$3:$I$32,9,FALSE))-50,0))</f>
        <v>225</v>
      </c>
      <c r="AC3">
        <f>IF(SUM(VLOOKUP($A3,test!$A$3:$F$32,2,FALSE),VLOOKUP(AC$1,test!$A$3:$F$32,2,FALSE))&lt;=test!$K$16,IF(AND($A3&lt;&gt;AC$1,feasible_mat!AC3=1),(VLOOKUP(AC$1,test!$A$3:$I$32,8,FALSE))-(VLOOKUP($A3,test!$A$3:$I$32,9,FALSE)),0),IF(AND($A3&lt;&gt;AC$1,feasible_mat!AC3=1),(VLOOKUP(AC$1,test!$A$3:$I$32,8,FALSE))-(VLOOKUP($A3,test!$A$3:$I$32,9,FALSE))-50,0))</f>
        <v>345</v>
      </c>
      <c r="AD3">
        <f>IF(SUM(VLOOKUP($A3,test!$A$3:$F$32,2,FALSE),VLOOKUP(AD$1,test!$A$3:$F$32,2,FALSE))&lt;=test!$K$16,IF(AND($A3&lt;&gt;AD$1,feasible_mat!AD3=1),(VLOOKUP(AD$1,test!$A$3:$I$32,8,FALSE))-(VLOOKUP($A3,test!$A$3:$I$32,9,FALSE)),0),IF(AND($A3&lt;&gt;AD$1,feasible_mat!AD3=1),(VLOOKUP(AD$1,test!$A$3:$I$32,8,FALSE))-(VLOOKUP($A3,test!$A$3:$I$32,9,FALSE))-50,0))</f>
        <v>0</v>
      </c>
      <c r="AE3">
        <f>IF(SUM(VLOOKUP($A3,test!$A$3:$F$32,2,FALSE),VLOOKUP(AE$1,test!$A$3:$F$32,2,FALSE))&lt;=test!$K$16,IF(AND($A3&lt;&gt;AE$1,feasible_mat!AE3=1),(VLOOKUP(AE$1,test!$A$3:$I$32,8,FALSE))-(VLOOKUP($A3,test!$A$3:$I$32,9,FALSE)),0),IF(AND($A3&lt;&gt;AE$1,feasible_mat!AE3=1),(VLOOKUP(AE$1,test!$A$3:$I$32,8,FALSE))-(VLOOKUP($A3,test!$A$3:$I$32,9,FALSE))-50,0))</f>
        <v>165</v>
      </c>
      <c r="AF3">
        <f>IF(SUM(VLOOKUP($A3,test!$A$3:$F$32,2,FALSE),VLOOKUP(AF$1,test!$A$3:$F$32,2,FALSE))&lt;=test!$K$16,IF(AND($A3&lt;&gt;AF$1,feasible_mat!AF3=1),(VLOOKUP(AF$1,test!$A$3:$I$32,8,FALSE))-(VLOOKUP($A3,test!$A$3:$I$32,9,FALSE)),0),IF(AND($A3&lt;&gt;AF$1,feasible_mat!AF3=1),(VLOOKUP(AF$1,test!$A$3:$I$32,8,FALSE))-(VLOOKUP($A3,test!$A$3:$I$32,9,FALSE))-50,0))</f>
        <v>65</v>
      </c>
    </row>
    <row r="4" spans="1:36" x14ac:dyDescent="0.25">
      <c r="A4" t="s">
        <v>9</v>
      </c>
      <c r="B4">
        <v>0</v>
      </c>
      <c r="C4">
        <f>IF(SUM(VLOOKUP($A4,test!$A$3:$F$32,2,FALSE),VLOOKUP(C$1,test!$A$3:$F$32,2,FALSE))&lt;=test!$K$16,IF(AND($A4&lt;&gt;C$1,feasible_mat!C4=1),(VLOOKUP(C$1,test!$A$3:$I$32,8,FALSE))-(VLOOKUP($A4,test!$A$3:$I$32,9,FALSE)),0),IF(AND($A4&lt;&gt;C$1,feasible_mat!C4=1),(VLOOKUP(C$1,test!$A$3:$I$32,8,FALSE))-(VLOOKUP($A4,test!$A$3:$I$32,9,FALSE))-50,0))</f>
        <v>0</v>
      </c>
      <c r="D4">
        <f>IF(SUM(VLOOKUP($A4,test!$A$3:$F$32,2,FALSE),VLOOKUP(D$1,test!$A$3:$F$32,2,FALSE))&lt;=test!$K$16,IF(AND($A4&lt;&gt;D$1,feasible_mat!D4=1),(VLOOKUP(D$1,test!$A$3:$I$32,8,FALSE))-(VLOOKUP($A4,test!$A$3:$I$32,9,FALSE)),0),IF(AND($A4&lt;&gt;D$1,feasible_mat!D4=1),(VLOOKUP(D$1,test!$A$3:$I$32,8,FALSE))-(VLOOKUP($A4,test!$A$3:$I$32,9,FALSE))-50,0))</f>
        <v>0</v>
      </c>
      <c r="E4">
        <f>IF(SUM(VLOOKUP($A4,test!$A$3:$F$32,2,FALSE),VLOOKUP(E$1,test!$A$3:$F$32,2,FALSE))&lt;=test!$K$16,IF(AND($A4&lt;&gt;E$1,feasible_mat!E4=1),(VLOOKUP(E$1,test!$A$3:$I$32,8,FALSE))-(VLOOKUP($A4,test!$A$3:$I$32,9,FALSE)),0),IF(AND($A4&lt;&gt;E$1,feasible_mat!E4=1),(VLOOKUP(E$1,test!$A$3:$I$32,8,FALSE))-(VLOOKUP($A4,test!$A$3:$I$32,9,FALSE))-50,0))</f>
        <v>0</v>
      </c>
      <c r="F4">
        <f>IF(SUM(VLOOKUP($A4,test!$A$3:$F$32,2,FALSE),VLOOKUP(F$1,test!$A$3:$F$32,2,FALSE))&lt;=test!$K$16,IF(AND($A4&lt;&gt;F$1,feasible_mat!F4=1),(VLOOKUP(F$1,test!$A$3:$I$32,8,FALSE))-(VLOOKUP($A4,test!$A$3:$I$32,9,FALSE)),0),IF(AND($A4&lt;&gt;F$1,feasible_mat!F4=1),(VLOOKUP(F$1,test!$A$3:$I$32,8,FALSE))-(VLOOKUP($A4,test!$A$3:$I$32,9,FALSE))-50,0))</f>
        <v>45</v>
      </c>
      <c r="G4">
        <f>IF(SUM(VLOOKUP($A4,test!$A$3:$F$32,2,FALSE),VLOOKUP(G$1,test!$A$3:$F$32,2,FALSE))&lt;=test!$K$16,IF(AND($A4&lt;&gt;G$1,feasible_mat!G4=1),(VLOOKUP(G$1,test!$A$3:$I$32,8,FALSE))-(VLOOKUP($A4,test!$A$3:$I$32,9,FALSE)),0),IF(AND($A4&lt;&gt;G$1,feasible_mat!G4=1),(VLOOKUP(G$1,test!$A$3:$I$32,8,FALSE))-(VLOOKUP($A4,test!$A$3:$I$32,9,FALSE))-50,0))</f>
        <v>105</v>
      </c>
      <c r="H4">
        <f>IF(SUM(VLOOKUP($A4,test!$A$3:$F$32,2,FALSE),VLOOKUP(H$1,test!$A$3:$F$32,2,FALSE))&lt;=test!$K$16,IF(AND($A4&lt;&gt;H$1,feasible_mat!H4=1),(VLOOKUP(H$1,test!$A$3:$I$32,8,FALSE))-(VLOOKUP($A4,test!$A$3:$I$32,9,FALSE)),0),IF(AND($A4&lt;&gt;H$1,feasible_mat!H4=1),(VLOOKUP(H$1,test!$A$3:$I$32,8,FALSE))-(VLOOKUP($A4,test!$A$3:$I$32,9,FALSE))-50,0))</f>
        <v>165</v>
      </c>
      <c r="I4">
        <f>IF(SUM(VLOOKUP($A4,test!$A$3:$F$32,2,FALSE),VLOOKUP(I$1,test!$A$3:$F$32,2,FALSE))&lt;=test!$K$16,IF(AND($A4&lt;&gt;I$1,feasible_mat!I4=1),(VLOOKUP(I$1,test!$A$3:$I$32,8,FALSE))-(VLOOKUP($A4,test!$A$3:$I$32,9,FALSE)),0),IF(AND($A4&lt;&gt;I$1,feasible_mat!I4=1),(VLOOKUP(I$1,test!$A$3:$I$32,8,FALSE))-(VLOOKUP($A4,test!$A$3:$I$32,9,FALSE))-50,0))</f>
        <v>225</v>
      </c>
      <c r="J4">
        <f>IF(SUM(VLOOKUP($A4,test!$A$3:$F$32,2,FALSE),VLOOKUP(J$1,test!$A$3:$F$32,2,FALSE))&lt;=test!$K$16,IF(AND($A4&lt;&gt;J$1,feasible_mat!J4=1),(VLOOKUP(J$1,test!$A$3:$I$32,8,FALSE))-(VLOOKUP($A4,test!$A$3:$I$32,9,FALSE)),0),IF(AND($A4&lt;&gt;J$1,feasible_mat!J4=1),(VLOOKUP(J$1,test!$A$3:$I$32,8,FALSE))-(VLOOKUP($A4,test!$A$3:$I$32,9,FALSE))-50,0))</f>
        <v>315</v>
      </c>
      <c r="K4">
        <f>IF(SUM(VLOOKUP($A4,test!$A$3:$F$32,2,FALSE),VLOOKUP(K$1,test!$A$3:$F$32,2,FALSE))&lt;=test!$K$16,IF(AND($A4&lt;&gt;K$1,feasible_mat!K4=1),(VLOOKUP(K$1,test!$A$3:$I$32,8,FALSE))-(VLOOKUP($A4,test!$A$3:$I$32,9,FALSE)),0),IF(AND($A4&lt;&gt;K$1,feasible_mat!K4=1),(VLOOKUP(K$1,test!$A$3:$I$32,8,FALSE))-(VLOOKUP($A4,test!$A$3:$I$32,9,FALSE))-50,0))</f>
        <v>0</v>
      </c>
      <c r="L4">
        <f>IF(SUM(VLOOKUP($A4,test!$A$3:$F$32,2,FALSE),VLOOKUP(L$1,test!$A$3:$F$32,2,FALSE))&lt;=test!$K$16,IF(AND($A4&lt;&gt;L$1,feasible_mat!L4=1),(VLOOKUP(L$1,test!$A$3:$I$32,8,FALSE))-(VLOOKUP($A4,test!$A$3:$I$32,9,FALSE)),0),IF(AND($A4&lt;&gt;L$1,feasible_mat!L4=1),(VLOOKUP(L$1,test!$A$3:$I$32,8,FALSE))-(VLOOKUP($A4,test!$A$3:$I$32,9,FALSE))-50,0))</f>
        <v>0</v>
      </c>
      <c r="M4">
        <f>IF(SUM(VLOOKUP($A4,test!$A$3:$F$32,2,FALSE),VLOOKUP(M$1,test!$A$3:$F$32,2,FALSE))&lt;=test!$K$16,IF(AND($A4&lt;&gt;M$1,feasible_mat!M4=1),(VLOOKUP(M$1,test!$A$3:$I$32,8,FALSE))-(VLOOKUP($A4,test!$A$3:$I$32,9,FALSE)),0),IF(AND($A4&lt;&gt;M$1,feasible_mat!M4=1),(VLOOKUP(M$1,test!$A$3:$I$32,8,FALSE))-(VLOOKUP($A4,test!$A$3:$I$32,9,FALSE))-50,0))</f>
        <v>0</v>
      </c>
      <c r="N4">
        <f>IF(SUM(VLOOKUP($A4,test!$A$3:$F$32,2,FALSE),VLOOKUP(N$1,test!$A$3:$F$32,2,FALSE))&lt;=test!$K$16,IF(AND($A4&lt;&gt;N$1,feasible_mat!N4=1),(VLOOKUP(N$1,test!$A$3:$I$32,8,FALSE))-(VLOOKUP($A4,test!$A$3:$I$32,9,FALSE)),0),IF(AND($A4&lt;&gt;N$1,feasible_mat!N4=1),(VLOOKUP(N$1,test!$A$3:$I$32,8,FALSE))-(VLOOKUP($A4,test!$A$3:$I$32,9,FALSE))-50,0))</f>
        <v>280</v>
      </c>
      <c r="O4">
        <f>IF(SUM(VLOOKUP($A4,test!$A$3:$F$32,2,FALSE),VLOOKUP(O$1,test!$A$3:$F$32,2,FALSE))&lt;=test!$K$16,IF(AND($A4&lt;&gt;O$1,feasible_mat!O4=1),(VLOOKUP(O$1,test!$A$3:$I$32,8,FALSE))-(VLOOKUP($A4,test!$A$3:$I$32,9,FALSE)),0),IF(AND($A4&lt;&gt;O$1,feasible_mat!O4=1),(VLOOKUP(O$1,test!$A$3:$I$32,8,FALSE))-(VLOOKUP($A4,test!$A$3:$I$32,9,FALSE))-50,0))</f>
        <v>340</v>
      </c>
      <c r="P4">
        <f>IF(SUM(VLOOKUP($A4,test!$A$3:$F$32,2,FALSE),VLOOKUP(P$1,test!$A$3:$F$32,2,FALSE))&lt;=test!$K$16,IF(AND($A4&lt;&gt;P$1,feasible_mat!P4=1),(VLOOKUP(P$1,test!$A$3:$I$32,8,FALSE))-(VLOOKUP($A4,test!$A$3:$I$32,9,FALSE)),0),IF(AND($A4&lt;&gt;P$1,feasible_mat!P4=1),(VLOOKUP(P$1,test!$A$3:$I$32,8,FALSE))-(VLOOKUP($A4,test!$A$3:$I$32,9,FALSE))-50,0))</f>
        <v>0</v>
      </c>
      <c r="Q4">
        <f>IF(SUM(VLOOKUP($A4,test!$A$3:$F$32,2,FALSE),VLOOKUP(Q$1,test!$A$3:$F$32,2,FALSE))&lt;=test!$K$16,IF(AND($A4&lt;&gt;Q$1,feasible_mat!Q4=1),(VLOOKUP(Q$1,test!$A$3:$I$32,8,FALSE))-(VLOOKUP($A4,test!$A$3:$I$32,9,FALSE)),0),IF(AND($A4&lt;&gt;Q$1,feasible_mat!Q4=1),(VLOOKUP(Q$1,test!$A$3:$I$32,8,FALSE))-(VLOOKUP($A4,test!$A$3:$I$32,9,FALSE))-50,0))</f>
        <v>0</v>
      </c>
      <c r="R4">
        <f>IF(SUM(VLOOKUP($A4,test!$A$3:$F$32,2,FALSE),VLOOKUP(R$1,test!$A$3:$F$32,2,FALSE))&lt;=test!$K$16,IF(AND($A4&lt;&gt;R$1,feasible_mat!R4=1),(VLOOKUP(R$1,test!$A$3:$I$32,8,FALSE))-(VLOOKUP($A4,test!$A$3:$I$32,9,FALSE)),0),IF(AND($A4&lt;&gt;R$1,feasible_mat!R4=1),(VLOOKUP(R$1,test!$A$3:$I$32,8,FALSE))-(VLOOKUP($A4,test!$A$3:$I$32,9,FALSE))-50,0))</f>
        <v>0</v>
      </c>
      <c r="S4">
        <f>IF(SUM(VLOOKUP($A4,test!$A$3:$F$32,2,FALSE),VLOOKUP(S$1,test!$A$3:$F$32,2,FALSE))&lt;=test!$K$16,IF(AND($A4&lt;&gt;S$1,feasible_mat!S4=1),(VLOOKUP(S$1,test!$A$3:$I$32,8,FALSE))-(VLOOKUP($A4,test!$A$3:$I$32,9,FALSE)),0),IF(AND($A4&lt;&gt;S$1,feasible_mat!S4=1),(VLOOKUP(S$1,test!$A$3:$I$32,8,FALSE))-(VLOOKUP($A4,test!$A$3:$I$32,9,FALSE))-50,0))</f>
        <v>0</v>
      </c>
      <c r="T4">
        <f>IF(SUM(VLOOKUP($A4,test!$A$3:$F$32,2,FALSE),VLOOKUP(T$1,test!$A$3:$F$32,2,FALSE))&lt;=test!$K$16,IF(AND($A4&lt;&gt;T$1,feasible_mat!T4=1),(VLOOKUP(T$1,test!$A$3:$I$32,8,FALSE))-(VLOOKUP($A4,test!$A$3:$I$32,9,FALSE)),0),IF(AND($A4&lt;&gt;T$1,feasible_mat!T4=1),(VLOOKUP(T$1,test!$A$3:$I$32,8,FALSE))-(VLOOKUP($A4,test!$A$3:$I$32,9,FALSE))-50,0))</f>
        <v>0</v>
      </c>
      <c r="U4">
        <f>IF(SUM(VLOOKUP($A4,test!$A$3:$F$32,2,FALSE),VLOOKUP(U$1,test!$A$3:$F$32,2,FALSE))&lt;=test!$K$16,IF(AND($A4&lt;&gt;U$1,feasible_mat!U4=1),(VLOOKUP(U$1,test!$A$3:$I$32,8,FALSE))-(VLOOKUP($A4,test!$A$3:$I$32,9,FALSE)),0),IF(AND($A4&lt;&gt;U$1,feasible_mat!U4=1),(VLOOKUP(U$1,test!$A$3:$I$32,8,FALSE))-(VLOOKUP($A4,test!$A$3:$I$32,9,FALSE))-50,0))</f>
        <v>25</v>
      </c>
      <c r="V4">
        <f>IF(SUM(VLOOKUP($A4,test!$A$3:$F$32,2,FALSE),VLOOKUP(V$1,test!$A$3:$F$32,2,FALSE))&lt;=test!$K$16,IF(AND($A4&lt;&gt;V$1,feasible_mat!V4=1),(VLOOKUP(V$1,test!$A$3:$I$32,8,FALSE))-(VLOOKUP($A4,test!$A$3:$I$32,9,FALSE)),0),IF(AND($A4&lt;&gt;V$1,feasible_mat!V4=1),(VLOOKUP(V$1,test!$A$3:$I$32,8,FALSE))-(VLOOKUP($A4,test!$A$3:$I$32,9,FALSE))-50,0))</f>
        <v>115</v>
      </c>
      <c r="W4">
        <f>IF(SUM(VLOOKUP($A4,test!$A$3:$F$32,2,FALSE),VLOOKUP(W$1,test!$A$3:$F$32,2,FALSE))&lt;=test!$K$16,IF(AND($A4&lt;&gt;W$1,feasible_mat!W4=1),(VLOOKUP(W$1,test!$A$3:$I$32,8,FALSE))-(VLOOKUP($A4,test!$A$3:$I$32,9,FALSE)),0),IF(AND($A4&lt;&gt;W$1,feasible_mat!W4=1),(VLOOKUP(W$1,test!$A$3:$I$32,8,FALSE))-(VLOOKUP($A4,test!$A$3:$I$32,9,FALSE))-50,0))</f>
        <v>205</v>
      </c>
      <c r="X4">
        <f>IF(SUM(VLOOKUP($A4,test!$A$3:$F$32,2,FALSE),VLOOKUP(X$1,test!$A$3:$F$32,2,FALSE))&lt;=test!$K$16,IF(AND($A4&lt;&gt;X$1,feasible_mat!X4=1),(VLOOKUP(X$1,test!$A$3:$I$32,8,FALSE))-(VLOOKUP($A4,test!$A$3:$I$32,9,FALSE)),0),IF(AND($A4&lt;&gt;X$1,feasible_mat!X4=1),(VLOOKUP(X$1,test!$A$3:$I$32,8,FALSE))-(VLOOKUP($A4,test!$A$3:$I$32,9,FALSE))-50,0))</f>
        <v>265</v>
      </c>
      <c r="Y4">
        <f>IF(SUM(VLOOKUP($A4,test!$A$3:$F$32,2,FALSE),VLOOKUP(Y$1,test!$A$3:$F$32,2,FALSE))&lt;=test!$K$16,IF(AND($A4&lt;&gt;Y$1,feasible_mat!Y4=1),(VLOOKUP(Y$1,test!$A$3:$I$32,8,FALSE))-(VLOOKUP($A4,test!$A$3:$I$32,9,FALSE)),0),IF(AND($A4&lt;&gt;Y$1,feasible_mat!Y4=1),(VLOOKUP(Y$1,test!$A$3:$I$32,8,FALSE))-(VLOOKUP($A4,test!$A$3:$I$32,9,FALSE))-50,0))</f>
        <v>0</v>
      </c>
      <c r="Z4">
        <f>IF(SUM(VLOOKUP($A4,test!$A$3:$F$32,2,FALSE),VLOOKUP(Z$1,test!$A$3:$F$32,2,FALSE))&lt;=test!$K$16,IF(AND($A4&lt;&gt;Z$1,feasible_mat!Z4=1),(VLOOKUP(Z$1,test!$A$3:$I$32,8,FALSE))-(VLOOKUP($A4,test!$A$3:$I$32,9,FALSE)),0),IF(AND($A4&lt;&gt;Z$1,feasible_mat!Z4=1),(VLOOKUP(Z$1,test!$A$3:$I$32,8,FALSE))-(VLOOKUP($A4,test!$A$3:$I$32,9,FALSE))-50,0))</f>
        <v>0</v>
      </c>
      <c r="AA4">
        <f>IF(SUM(VLOOKUP($A4,test!$A$3:$F$32,2,FALSE),VLOOKUP(AA$1,test!$A$3:$F$32,2,FALSE))&lt;=test!$K$16,IF(AND($A4&lt;&gt;AA$1,feasible_mat!AA4=1),(VLOOKUP(AA$1,test!$A$3:$I$32,8,FALSE))-(VLOOKUP($A4,test!$A$3:$I$32,9,FALSE)),0),IF(AND($A4&lt;&gt;AA$1,feasible_mat!AA4=1),(VLOOKUP(AA$1,test!$A$3:$I$32,8,FALSE))-(VLOOKUP($A4,test!$A$3:$I$32,9,FALSE))-50,0))</f>
        <v>0</v>
      </c>
      <c r="AB4">
        <f>IF(SUM(VLOOKUP($A4,test!$A$3:$F$32,2,FALSE),VLOOKUP(AB$1,test!$A$3:$F$32,2,FALSE))&lt;=test!$K$16,IF(AND($A4&lt;&gt;AB$1,feasible_mat!AB4=1),(VLOOKUP(AB$1,test!$A$3:$I$32,8,FALSE))-(VLOOKUP($A4,test!$A$3:$I$32,9,FALSE)),0),IF(AND($A4&lt;&gt;AB$1,feasible_mat!AB4=1),(VLOOKUP(AB$1,test!$A$3:$I$32,8,FALSE))-(VLOOKUP($A4,test!$A$3:$I$32,9,FALSE))-50,0))</f>
        <v>45</v>
      </c>
      <c r="AC4">
        <f>IF(SUM(VLOOKUP($A4,test!$A$3:$F$32,2,FALSE),VLOOKUP(AC$1,test!$A$3:$F$32,2,FALSE))&lt;=test!$K$16,IF(AND($A4&lt;&gt;AC$1,feasible_mat!AC4=1),(VLOOKUP(AC$1,test!$A$3:$I$32,8,FALSE))-(VLOOKUP($A4,test!$A$3:$I$32,9,FALSE)),0),IF(AND($A4&lt;&gt;AC$1,feasible_mat!AC4=1),(VLOOKUP(AC$1,test!$A$3:$I$32,8,FALSE))-(VLOOKUP($A4,test!$A$3:$I$32,9,FALSE))-50,0))</f>
        <v>165</v>
      </c>
      <c r="AD4">
        <f>IF(SUM(VLOOKUP($A4,test!$A$3:$F$32,2,FALSE),VLOOKUP(AD$1,test!$A$3:$F$32,2,FALSE))&lt;=test!$K$16,IF(AND($A4&lt;&gt;AD$1,feasible_mat!AD4=1),(VLOOKUP(AD$1,test!$A$3:$I$32,8,FALSE))-(VLOOKUP($A4,test!$A$3:$I$32,9,FALSE)),0),IF(AND($A4&lt;&gt;AD$1,feasible_mat!AD4=1),(VLOOKUP(AD$1,test!$A$3:$I$32,8,FALSE))-(VLOOKUP($A4,test!$A$3:$I$32,9,FALSE))-50,0))</f>
        <v>0</v>
      </c>
      <c r="AE4">
        <f>IF(SUM(VLOOKUP($A4,test!$A$3:$F$32,2,FALSE),VLOOKUP(AE$1,test!$A$3:$F$32,2,FALSE))&lt;=test!$K$16,IF(AND($A4&lt;&gt;AE$1,feasible_mat!AE4=1),(VLOOKUP(AE$1,test!$A$3:$I$32,8,FALSE))-(VLOOKUP($A4,test!$A$3:$I$32,9,FALSE)),0),IF(AND($A4&lt;&gt;AE$1,feasible_mat!AE4=1),(VLOOKUP(AE$1,test!$A$3:$I$32,8,FALSE))-(VLOOKUP($A4,test!$A$3:$I$32,9,FALSE))-50,0))</f>
        <v>0</v>
      </c>
      <c r="AF4">
        <f>IF(SUM(VLOOKUP($A4,test!$A$3:$F$32,2,FALSE),VLOOKUP(AF$1,test!$A$3:$F$32,2,FALSE))&lt;=test!$K$16,IF(AND($A4&lt;&gt;AF$1,feasible_mat!AF4=1),(VLOOKUP(AF$1,test!$A$3:$I$32,8,FALSE))-(VLOOKUP($A4,test!$A$3:$I$32,9,FALSE)),0),IF(AND($A4&lt;&gt;AF$1,feasible_mat!AF4=1),(VLOOKUP(AF$1,test!$A$3:$I$32,8,FALSE))-(VLOOKUP($A4,test!$A$3:$I$32,9,FALSE))-50,0))</f>
        <v>0</v>
      </c>
      <c r="AJ4" s="16" t="s">
        <v>84</v>
      </c>
    </row>
    <row r="5" spans="1:36" x14ac:dyDescent="0.25">
      <c r="A5" t="s">
        <v>10</v>
      </c>
      <c r="B5">
        <v>0</v>
      </c>
      <c r="C5">
        <f>IF(SUM(VLOOKUP($A5,test!$A$3:$F$32,2,FALSE),VLOOKUP(C$1,test!$A$3:$F$32,2,FALSE))&lt;=test!$K$16,IF(AND($A5&lt;&gt;C$1,feasible_mat!C5=1),(VLOOKUP(C$1,test!$A$3:$I$32,8,FALSE))-(VLOOKUP($A5,test!$A$3:$I$32,9,FALSE)),0),IF(AND($A5&lt;&gt;C$1,feasible_mat!C5=1),(VLOOKUP(C$1,test!$A$3:$I$32,8,FALSE))-(VLOOKUP($A5,test!$A$3:$I$32,9,FALSE))-50,0))</f>
        <v>0</v>
      </c>
      <c r="D5">
        <f>IF(SUM(VLOOKUP($A5,test!$A$3:$F$32,2,FALSE),VLOOKUP(D$1,test!$A$3:$F$32,2,FALSE))&lt;=test!$K$16,IF(AND($A5&lt;&gt;D$1,feasible_mat!D5=1),(VLOOKUP(D$1,test!$A$3:$I$32,8,FALSE))-(VLOOKUP($A5,test!$A$3:$I$32,9,FALSE)),0),IF(AND($A5&lt;&gt;D$1,feasible_mat!D5=1),(VLOOKUP(D$1,test!$A$3:$I$32,8,FALSE))-(VLOOKUP($A5,test!$A$3:$I$32,9,FALSE))-50,0))</f>
        <v>0</v>
      </c>
      <c r="E5">
        <f>IF(SUM(VLOOKUP($A5,test!$A$3:$F$32,2,FALSE),VLOOKUP(E$1,test!$A$3:$F$32,2,FALSE))&lt;=test!$K$16,IF(AND($A5&lt;&gt;E$1,feasible_mat!E5=1),(VLOOKUP(E$1,test!$A$3:$I$32,8,FALSE))-(VLOOKUP($A5,test!$A$3:$I$32,9,FALSE)),0),IF(AND($A5&lt;&gt;E$1,feasible_mat!E5=1),(VLOOKUP(E$1,test!$A$3:$I$32,8,FALSE))-(VLOOKUP($A5,test!$A$3:$I$32,9,FALSE))-50,0))</f>
        <v>0</v>
      </c>
      <c r="F5">
        <f>IF(SUM(VLOOKUP($A5,test!$A$3:$F$32,2,FALSE),VLOOKUP(F$1,test!$A$3:$F$32,2,FALSE))&lt;=test!$K$16,IF(AND($A5&lt;&gt;F$1,feasible_mat!F5=1),(VLOOKUP(F$1,test!$A$3:$I$32,8,FALSE))-(VLOOKUP($A5,test!$A$3:$I$32,9,FALSE)),0),IF(AND($A5&lt;&gt;F$1,feasible_mat!F5=1),(VLOOKUP(F$1,test!$A$3:$I$32,8,FALSE))-(VLOOKUP($A5,test!$A$3:$I$32,9,FALSE))-50,0))</f>
        <v>0</v>
      </c>
      <c r="G5">
        <f>IF(SUM(VLOOKUP($A5,test!$A$3:$F$32,2,FALSE),VLOOKUP(G$1,test!$A$3:$F$32,2,FALSE))&lt;=test!$K$16,IF(AND($A5&lt;&gt;G$1,feasible_mat!G5=1),(VLOOKUP(G$1,test!$A$3:$I$32,8,FALSE))-(VLOOKUP($A5,test!$A$3:$I$32,9,FALSE)),0),IF(AND($A5&lt;&gt;G$1,feasible_mat!G5=1),(VLOOKUP(G$1,test!$A$3:$I$32,8,FALSE))-(VLOOKUP($A5,test!$A$3:$I$32,9,FALSE))-50,0))</f>
        <v>15</v>
      </c>
      <c r="H5">
        <f>IF(SUM(VLOOKUP($A5,test!$A$3:$F$32,2,FALSE),VLOOKUP(H$1,test!$A$3:$F$32,2,FALSE))&lt;=test!$K$16,IF(AND($A5&lt;&gt;H$1,feasible_mat!H5=1),(VLOOKUP(H$1,test!$A$3:$I$32,8,FALSE))-(VLOOKUP($A5,test!$A$3:$I$32,9,FALSE)),0),IF(AND($A5&lt;&gt;H$1,feasible_mat!H5=1),(VLOOKUP(H$1,test!$A$3:$I$32,8,FALSE))-(VLOOKUP($A5,test!$A$3:$I$32,9,FALSE))-50,0))</f>
        <v>75</v>
      </c>
      <c r="I5">
        <f>IF(SUM(VLOOKUP($A5,test!$A$3:$F$32,2,FALSE),VLOOKUP(I$1,test!$A$3:$F$32,2,FALSE))&lt;=test!$K$16,IF(AND($A5&lt;&gt;I$1,feasible_mat!I5=1),(VLOOKUP(I$1,test!$A$3:$I$32,8,FALSE))-(VLOOKUP($A5,test!$A$3:$I$32,9,FALSE)),0),IF(AND($A5&lt;&gt;I$1,feasible_mat!I5=1),(VLOOKUP(I$1,test!$A$3:$I$32,8,FALSE))-(VLOOKUP($A5,test!$A$3:$I$32,9,FALSE))-50,0))</f>
        <v>135</v>
      </c>
      <c r="J5">
        <f>IF(SUM(VLOOKUP($A5,test!$A$3:$F$32,2,FALSE),VLOOKUP(J$1,test!$A$3:$F$32,2,FALSE))&lt;=test!$K$16,IF(AND($A5&lt;&gt;J$1,feasible_mat!J5=1),(VLOOKUP(J$1,test!$A$3:$I$32,8,FALSE))-(VLOOKUP($A5,test!$A$3:$I$32,9,FALSE)),0),IF(AND($A5&lt;&gt;J$1,feasible_mat!J5=1),(VLOOKUP(J$1,test!$A$3:$I$32,8,FALSE))-(VLOOKUP($A5,test!$A$3:$I$32,9,FALSE))-50,0))</f>
        <v>225</v>
      </c>
      <c r="K5">
        <f>IF(SUM(VLOOKUP($A5,test!$A$3:$F$32,2,FALSE),VLOOKUP(K$1,test!$A$3:$F$32,2,FALSE))&lt;=test!$K$16,IF(AND($A5&lt;&gt;K$1,feasible_mat!K5=1),(VLOOKUP(K$1,test!$A$3:$I$32,8,FALSE))-(VLOOKUP($A5,test!$A$3:$I$32,9,FALSE)),0),IF(AND($A5&lt;&gt;K$1,feasible_mat!K5=1),(VLOOKUP(K$1,test!$A$3:$I$32,8,FALSE))-(VLOOKUP($A5,test!$A$3:$I$32,9,FALSE))-50,0))</f>
        <v>0</v>
      </c>
      <c r="L5">
        <f>IF(SUM(VLOOKUP($A5,test!$A$3:$F$32,2,FALSE),VLOOKUP(L$1,test!$A$3:$F$32,2,FALSE))&lt;=test!$K$16,IF(AND($A5&lt;&gt;L$1,feasible_mat!L5=1),(VLOOKUP(L$1,test!$A$3:$I$32,8,FALSE))-(VLOOKUP($A5,test!$A$3:$I$32,9,FALSE)),0),IF(AND($A5&lt;&gt;L$1,feasible_mat!L5=1),(VLOOKUP(L$1,test!$A$3:$I$32,8,FALSE))-(VLOOKUP($A5,test!$A$3:$I$32,9,FALSE))-50,0))</f>
        <v>0</v>
      </c>
      <c r="M5">
        <f>IF(SUM(VLOOKUP($A5,test!$A$3:$F$32,2,FALSE),VLOOKUP(M$1,test!$A$3:$F$32,2,FALSE))&lt;=test!$K$16,IF(AND($A5&lt;&gt;M$1,feasible_mat!M5=1),(VLOOKUP(M$1,test!$A$3:$I$32,8,FALSE))-(VLOOKUP($A5,test!$A$3:$I$32,9,FALSE)),0),IF(AND($A5&lt;&gt;M$1,feasible_mat!M5=1),(VLOOKUP(M$1,test!$A$3:$I$32,8,FALSE))-(VLOOKUP($A5,test!$A$3:$I$32,9,FALSE))-50,0))</f>
        <v>0</v>
      </c>
      <c r="N5">
        <f>IF(SUM(VLOOKUP($A5,test!$A$3:$F$32,2,FALSE),VLOOKUP(N$1,test!$A$3:$F$32,2,FALSE))&lt;=test!$K$16,IF(AND($A5&lt;&gt;N$1,feasible_mat!N5=1),(VLOOKUP(N$1,test!$A$3:$I$32,8,FALSE))-(VLOOKUP($A5,test!$A$3:$I$32,9,FALSE)),0),IF(AND($A5&lt;&gt;N$1,feasible_mat!N5=1),(VLOOKUP(N$1,test!$A$3:$I$32,8,FALSE))-(VLOOKUP($A5,test!$A$3:$I$32,9,FALSE))-50,0))</f>
        <v>190</v>
      </c>
      <c r="O5">
        <f>IF(SUM(VLOOKUP($A5,test!$A$3:$F$32,2,FALSE),VLOOKUP(O$1,test!$A$3:$F$32,2,FALSE))&lt;=test!$K$16,IF(AND($A5&lt;&gt;O$1,feasible_mat!O5=1),(VLOOKUP(O$1,test!$A$3:$I$32,8,FALSE))-(VLOOKUP($A5,test!$A$3:$I$32,9,FALSE)),0),IF(AND($A5&lt;&gt;O$1,feasible_mat!O5=1),(VLOOKUP(O$1,test!$A$3:$I$32,8,FALSE))-(VLOOKUP($A5,test!$A$3:$I$32,9,FALSE))-50,0))</f>
        <v>250</v>
      </c>
      <c r="P5">
        <f>IF(SUM(VLOOKUP($A5,test!$A$3:$F$32,2,FALSE),VLOOKUP(P$1,test!$A$3:$F$32,2,FALSE))&lt;=test!$K$16,IF(AND($A5&lt;&gt;P$1,feasible_mat!P5=1),(VLOOKUP(P$1,test!$A$3:$I$32,8,FALSE))-(VLOOKUP($A5,test!$A$3:$I$32,9,FALSE)),0),IF(AND($A5&lt;&gt;P$1,feasible_mat!P5=1),(VLOOKUP(P$1,test!$A$3:$I$32,8,FALSE))-(VLOOKUP($A5,test!$A$3:$I$32,9,FALSE))-50,0))</f>
        <v>0</v>
      </c>
      <c r="Q5">
        <f>IF(SUM(VLOOKUP($A5,test!$A$3:$F$32,2,FALSE),VLOOKUP(Q$1,test!$A$3:$F$32,2,FALSE))&lt;=test!$K$16,IF(AND($A5&lt;&gt;Q$1,feasible_mat!Q5=1),(VLOOKUP(Q$1,test!$A$3:$I$32,8,FALSE))-(VLOOKUP($A5,test!$A$3:$I$32,9,FALSE)),0),IF(AND($A5&lt;&gt;Q$1,feasible_mat!Q5=1),(VLOOKUP(Q$1,test!$A$3:$I$32,8,FALSE))-(VLOOKUP($A5,test!$A$3:$I$32,9,FALSE))-50,0))</f>
        <v>0</v>
      </c>
      <c r="R5">
        <f>IF(SUM(VLOOKUP($A5,test!$A$3:$F$32,2,FALSE),VLOOKUP(R$1,test!$A$3:$F$32,2,FALSE))&lt;=test!$K$16,IF(AND($A5&lt;&gt;R$1,feasible_mat!R5=1),(VLOOKUP(R$1,test!$A$3:$I$32,8,FALSE))-(VLOOKUP($A5,test!$A$3:$I$32,9,FALSE)),0),IF(AND($A5&lt;&gt;R$1,feasible_mat!R5=1),(VLOOKUP(R$1,test!$A$3:$I$32,8,FALSE))-(VLOOKUP($A5,test!$A$3:$I$32,9,FALSE))-50,0))</f>
        <v>0</v>
      </c>
      <c r="S5">
        <f>IF(SUM(VLOOKUP($A5,test!$A$3:$F$32,2,FALSE),VLOOKUP(S$1,test!$A$3:$F$32,2,FALSE))&lt;=test!$K$16,IF(AND($A5&lt;&gt;S$1,feasible_mat!S5=1),(VLOOKUP(S$1,test!$A$3:$I$32,8,FALSE))-(VLOOKUP($A5,test!$A$3:$I$32,9,FALSE)),0),IF(AND($A5&lt;&gt;S$1,feasible_mat!S5=1),(VLOOKUP(S$1,test!$A$3:$I$32,8,FALSE))-(VLOOKUP($A5,test!$A$3:$I$32,9,FALSE))-50,0))</f>
        <v>0</v>
      </c>
      <c r="T5">
        <f>IF(SUM(VLOOKUP($A5,test!$A$3:$F$32,2,FALSE),VLOOKUP(T$1,test!$A$3:$F$32,2,FALSE))&lt;=test!$K$16,IF(AND($A5&lt;&gt;T$1,feasible_mat!T5=1),(VLOOKUP(T$1,test!$A$3:$I$32,8,FALSE))-(VLOOKUP($A5,test!$A$3:$I$32,9,FALSE)),0),IF(AND($A5&lt;&gt;T$1,feasible_mat!T5=1),(VLOOKUP(T$1,test!$A$3:$I$32,8,FALSE))-(VLOOKUP($A5,test!$A$3:$I$32,9,FALSE))-50,0))</f>
        <v>0</v>
      </c>
      <c r="U5">
        <f>IF(SUM(VLOOKUP($A5,test!$A$3:$F$32,2,FALSE),VLOOKUP(U$1,test!$A$3:$F$32,2,FALSE))&lt;=test!$K$16,IF(AND($A5&lt;&gt;U$1,feasible_mat!U5=1),(VLOOKUP(U$1,test!$A$3:$I$32,8,FALSE))-(VLOOKUP($A5,test!$A$3:$I$32,9,FALSE)),0),IF(AND($A5&lt;&gt;U$1,feasible_mat!U5=1),(VLOOKUP(U$1,test!$A$3:$I$32,8,FALSE))-(VLOOKUP($A5,test!$A$3:$I$32,9,FALSE))-50,0))</f>
        <v>0</v>
      </c>
      <c r="V5">
        <f>IF(SUM(VLOOKUP($A5,test!$A$3:$F$32,2,FALSE),VLOOKUP(V$1,test!$A$3:$F$32,2,FALSE))&lt;=test!$K$16,IF(AND($A5&lt;&gt;V$1,feasible_mat!V5=1),(VLOOKUP(V$1,test!$A$3:$I$32,8,FALSE))-(VLOOKUP($A5,test!$A$3:$I$32,9,FALSE)),0),IF(AND($A5&lt;&gt;V$1,feasible_mat!V5=1),(VLOOKUP(V$1,test!$A$3:$I$32,8,FALSE))-(VLOOKUP($A5,test!$A$3:$I$32,9,FALSE))-50,0))</f>
        <v>25</v>
      </c>
      <c r="W5">
        <f>IF(SUM(VLOOKUP($A5,test!$A$3:$F$32,2,FALSE),VLOOKUP(W$1,test!$A$3:$F$32,2,FALSE))&lt;=test!$K$16,IF(AND($A5&lt;&gt;W$1,feasible_mat!W5=1),(VLOOKUP(W$1,test!$A$3:$I$32,8,FALSE))-(VLOOKUP($A5,test!$A$3:$I$32,9,FALSE)),0),IF(AND($A5&lt;&gt;W$1,feasible_mat!W5=1),(VLOOKUP(W$1,test!$A$3:$I$32,8,FALSE))-(VLOOKUP($A5,test!$A$3:$I$32,9,FALSE))-50,0))</f>
        <v>115</v>
      </c>
      <c r="X5">
        <f>IF(SUM(VLOOKUP($A5,test!$A$3:$F$32,2,FALSE),VLOOKUP(X$1,test!$A$3:$F$32,2,FALSE))&lt;=test!$K$16,IF(AND($A5&lt;&gt;X$1,feasible_mat!X5=1),(VLOOKUP(X$1,test!$A$3:$I$32,8,FALSE))-(VLOOKUP($A5,test!$A$3:$I$32,9,FALSE)),0),IF(AND($A5&lt;&gt;X$1,feasible_mat!X5=1),(VLOOKUP(X$1,test!$A$3:$I$32,8,FALSE))-(VLOOKUP($A5,test!$A$3:$I$32,9,FALSE))-50,0))</f>
        <v>175</v>
      </c>
      <c r="Y5">
        <f>IF(SUM(VLOOKUP($A5,test!$A$3:$F$32,2,FALSE),VLOOKUP(Y$1,test!$A$3:$F$32,2,FALSE))&lt;=test!$K$16,IF(AND($A5&lt;&gt;Y$1,feasible_mat!Y5=1),(VLOOKUP(Y$1,test!$A$3:$I$32,8,FALSE))-(VLOOKUP($A5,test!$A$3:$I$32,9,FALSE)),0),IF(AND($A5&lt;&gt;Y$1,feasible_mat!Y5=1),(VLOOKUP(Y$1,test!$A$3:$I$32,8,FALSE))-(VLOOKUP($A5,test!$A$3:$I$32,9,FALSE))-50,0))</f>
        <v>0</v>
      </c>
      <c r="Z5">
        <f>IF(SUM(VLOOKUP($A5,test!$A$3:$F$32,2,FALSE),VLOOKUP(Z$1,test!$A$3:$F$32,2,FALSE))&lt;=test!$K$16,IF(AND($A5&lt;&gt;Z$1,feasible_mat!Z5=1),(VLOOKUP(Z$1,test!$A$3:$I$32,8,FALSE))-(VLOOKUP($A5,test!$A$3:$I$32,9,FALSE)),0),IF(AND($A5&lt;&gt;Z$1,feasible_mat!Z5=1),(VLOOKUP(Z$1,test!$A$3:$I$32,8,FALSE))-(VLOOKUP($A5,test!$A$3:$I$32,9,FALSE))-50,0))</f>
        <v>0</v>
      </c>
      <c r="AA5">
        <f>IF(SUM(VLOOKUP($A5,test!$A$3:$F$32,2,FALSE),VLOOKUP(AA$1,test!$A$3:$F$32,2,FALSE))&lt;=test!$K$16,IF(AND($A5&lt;&gt;AA$1,feasible_mat!AA5=1),(VLOOKUP(AA$1,test!$A$3:$I$32,8,FALSE))-(VLOOKUP($A5,test!$A$3:$I$32,9,FALSE)),0),IF(AND($A5&lt;&gt;AA$1,feasible_mat!AA5=1),(VLOOKUP(AA$1,test!$A$3:$I$32,8,FALSE))-(VLOOKUP($A5,test!$A$3:$I$32,9,FALSE))-50,0))</f>
        <v>0</v>
      </c>
      <c r="AB5">
        <f>IF(SUM(VLOOKUP($A5,test!$A$3:$F$32,2,FALSE),VLOOKUP(AB$1,test!$A$3:$F$32,2,FALSE))&lt;=test!$K$16,IF(AND($A5&lt;&gt;AB$1,feasible_mat!AB5=1),(VLOOKUP(AB$1,test!$A$3:$I$32,8,FALSE))-(VLOOKUP($A5,test!$A$3:$I$32,9,FALSE)),0),IF(AND($A5&lt;&gt;AB$1,feasible_mat!AB5=1),(VLOOKUP(AB$1,test!$A$3:$I$32,8,FALSE))-(VLOOKUP($A5,test!$A$3:$I$32,9,FALSE))-50,0))</f>
        <v>0</v>
      </c>
      <c r="AC5">
        <f>IF(SUM(VLOOKUP($A5,test!$A$3:$F$32,2,FALSE),VLOOKUP(AC$1,test!$A$3:$F$32,2,FALSE))&lt;=test!$K$16,IF(AND($A5&lt;&gt;AC$1,feasible_mat!AC5=1),(VLOOKUP(AC$1,test!$A$3:$I$32,8,FALSE))-(VLOOKUP($A5,test!$A$3:$I$32,9,FALSE)),0),IF(AND($A5&lt;&gt;AC$1,feasible_mat!AC5=1),(VLOOKUP(AC$1,test!$A$3:$I$32,8,FALSE))-(VLOOKUP($A5,test!$A$3:$I$32,9,FALSE))-50,0))</f>
        <v>75</v>
      </c>
      <c r="AD5">
        <f>IF(SUM(VLOOKUP($A5,test!$A$3:$F$32,2,FALSE),VLOOKUP(AD$1,test!$A$3:$F$32,2,FALSE))&lt;=test!$K$16,IF(AND($A5&lt;&gt;AD$1,feasible_mat!AD5=1),(VLOOKUP(AD$1,test!$A$3:$I$32,8,FALSE))-(VLOOKUP($A5,test!$A$3:$I$32,9,FALSE)),0),IF(AND($A5&lt;&gt;AD$1,feasible_mat!AD5=1),(VLOOKUP(AD$1,test!$A$3:$I$32,8,FALSE))-(VLOOKUP($A5,test!$A$3:$I$32,9,FALSE))-50,0))</f>
        <v>0</v>
      </c>
      <c r="AE5">
        <f>IF(SUM(VLOOKUP($A5,test!$A$3:$F$32,2,FALSE),VLOOKUP(AE$1,test!$A$3:$F$32,2,FALSE))&lt;=test!$K$16,IF(AND($A5&lt;&gt;AE$1,feasible_mat!AE5=1),(VLOOKUP(AE$1,test!$A$3:$I$32,8,FALSE))-(VLOOKUP($A5,test!$A$3:$I$32,9,FALSE)),0),IF(AND($A5&lt;&gt;AE$1,feasible_mat!AE5=1),(VLOOKUP(AE$1,test!$A$3:$I$32,8,FALSE))-(VLOOKUP($A5,test!$A$3:$I$32,9,FALSE))-50,0))</f>
        <v>0</v>
      </c>
      <c r="AF5">
        <f>IF(SUM(VLOOKUP($A5,test!$A$3:$F$32,2,FALSE),VLOOKUP(AF$1,test!$A$3:$F$32,2,FALSE))&lt;=test!$K$16,IF(AND($A5&lt;&gt;AF$1,feasible_mat!AF5=1),(VLOOKUP(AF$1,test!$A$3:$I$32,8,FALSE))-(VLOOKUP($A5,test!$A$3:$I$32,9,FALSE)),0),IF(AND($A5&lt;&gt;AF$1,feasible_mat!AF5=1),(VLOOKUP(AF$1,test!$A$3:$I$32,8,FALSE))-(VLOOKUP($A5,test!$A$3:$I$32,9,FALSE))-50,0))</f>
        <v>0</v>
      </c>
    </row>
    <row r="6" spans="1:36" x14ac:dyDescent="0.25">
      <c r="A6" t="s">
        <v>11</v>
      </c>
      <c r="B6">
        <v>0</v>
      </c>
      <c r="C6">
        <f>IF(SUM(VLOOKUP($A6,test!$A$3:$F$32,2,FALSE),VLOOKUP(C$1,test!$A$3:$F$32,2,FALSE))&lt;=test!$K$16,IF(AND($A6&lt;&gt;C$1,feasible_mat!C6=1),(VLOOKUP(C$1,test!$A$3:$I$32,8,FALSE))-(VLOOKUP($A6,test!$A$3:$I$32,9,FALSE)),0),IF(AND($A6&lt;&gt;C$1,feasible_mat!C6=1),(VLOOKUP(C$1,test!$A$3:$I$32,8,FALSE))-(VLOOKUP($A6,test!$A$3:$I$32,9,FALSE))-50,0))</f>
        <v>0</v>
      </c>
      <c r="D6">
        <f>IF(SUM(VLOOKUP($A6,test!$A$3:$F$32,2,FALSE),VLOOKUP(D$1,test!$A$3:$F$32,2,FALSE))&lt;=test!$K$16,IF(AND($A6&lt;&gt;D$1,feasible_mat!D6=1),(VLOOKUP(D$1,test!$A$3:$I$32,8,FALSE))-(VLOOKUP($A6,test!$A$3:$I$32,9,FALSE)),0),IF(AND($A6&lt;&gt;D$1,feasible_mat!D6=1),(VLOOKUP(D$1,test!$A$3:$I$32,8,FALSE))-(VLOOKUP($A6,test!$A$3:$I$32,9,FALSE))-50,0))</f>
        <v>0</v>
      </c>
      <c r="E6">
        <f>IF(SUM(VLOOKUP($A6,test!$A$3:$F$32,2,FALSE),VLOOKUP(E$1,test!$A$3:$F$32,2,FALSE))&lt;=test!$K$16,IF(AND($A6&lt;&gt;E$1,feasible_mat!E6=1),(VLOOKUP(E$1,test!$A$3:$I$32,8,FALSE))-(VLOOKUP($A6,test!$A$3:$I$32,9,FALSE)),0),IF(AND($A6&lt;&gt;E$1,feasible_mat!E6=1),(VLOOKUP(E$1,test!$A$3:$I$32,8,FALSE))-(VLOOKUP($A6,test!$A$3:$I$32,9,FALSE))-50,0))</f>
        <v>0</v>
      </c>
      <c r="F6">
        <f>IF(SUM(VLOOKUP($A6,test!$A$3:$F$32,2,FALSE),VLOOKUP(F$1,test!$A$3:$F$32,2,FALSE))&lt;=test!$K$16,IF(AND($A6&lt;&gt;F$1,feasible_mat!F6=1),(VLOOKUP(F$1,test!$A$3:$I$32,8,FALSE))-(VLOOKUP($A6,test!$A$3:$I$32,9,FALSE)),0),IF(AND($A6&lt;&gt;F$1,feasible_mat!F6=1),(VLOOKUP(F$1,test!$A$3:$I$32,8,FALSE))-(VLOOKUP($A6,test!$A$3:$I$32,9,FALSE))-50,0))</f>
        <v>0</v>
      </c>
      <c r="G6">
        <f>IF(SUM(VLOOKUP($A6,test!$A$3:$F$32,2,FALSE),VLOOKUP(G$1,test!$A$3:$F$32,2,FALSE))&lt;=test!$K$16,IF(AND($A6&lt;&gt;G$1,feasible_mat!G6=1),(VLOOKUP(G$1,test!$A$3:$I$32,8,FALSE))-(VLOOKUP($A6,test!$A$3:$I$32,9,FALSE)),0),IF(AND($A6&lt;&gt;G$1,feasible_mat!G6=1),(VLOOKUP(G$1,test!$A$3:$I$32,8,FALSE))-(VLOOKUP($A6,test!$A$3:$I$32,9,FALSE))-50,0))</f>
        <v>0</v>
      </c>
      <c r="H6">
        <f>IF(SUM(VLOOKUP($A6,test!$A$3:$F$32,2,FALSE),VLOOKUP(H$1,test!$A$3:$F$32,2,FALSE))&lt;=test!$K$16,IF(AND($A6&lt;&gt;H$1,feasible_mat!H6=1),(VLOOKUP(H$1,test!$A$3:$I$32,8,FALSE))-(VLOOKUP($A6,test!$A$3:$I$32,9,FALSE)),0),IF(AND($A6&lt;&gt;H$1,feasible_mat!H6=1),(VLOOKUP(H$1,test!$A$3:$I$32,8,FALSE))-(VLOOKUP($A6,test!$A$3:$I$32,9,FALSE))-50,0))</f>
        <v>0</v>
      </c>
      <c r="I6">
        <f>IF(SUM(VLOOKUP($A6,test!$A$3:$F$32,2,FALSE),VLOOKUP(I$1,test!$A$3:$F$32,2,FALSE))&lt;=test!$K$16,IF(AND($A6&lt;&gt;I$1,feasible_mat!I6=1),(VLOOKUP(I$1,test!$A$3:$I$32,8,FALSE))-(VLOOKUP($A6,test!$A$3:$I$32,9,FALSE)),0),IF(AND($A6&lt;&gt;I$1,feasible_mat!I6=1),(VLOOKUP(I$1,test!$A$3:$I$32,8,FALSE))-(VLOOKUP($A6,test!$A$3:$I$32,9,FALSE))-50,0))</f>
        <v>45</v>
      </c>
      <c r="J6">
        <f>IF(SUM(VLOOKUP($A6,test!$A$3:$F$32,2,FALSE),VLOOKUP(J$1,test!$A$3:$F$32,2,FALSE))&lt;=test!$K$16,IF(AND($A6&lt;&gt;J$1,feasible_mat!J6=1),(VLOOKUP(J$1,test!$A$3:$I$32,8,FALSE))-(VLOOKUP($A6,test!$A$3:$I$32,9,FALSE)),0),IF(AND($A6&lt;&gt;J$1,feasible_mat!J6=1),(VLOOKUP(J$1,test!$A$3:$I$32,8,FALSE))-(VLOOKUP($A6,test!$A$3:$I$32,9,FALSE))-50,0))</f>
        <v>135</v>
      </c>
      <c r="K6">
        <f>IF(SUM(VLOOKUP($A6,test!$A$3:$F$32,2,FALSE),VLOOKUP(K$1,test!$A$3:$F$32,2,FALSE))&lt;=test!$K$16,IF(AND($A6&lt;&gt;K$1,feasible_mat!K6=1),(VLOOKUP(K$1,test!$A$3:$I$32,8,FALSE))-(VLOOKUP($A6,test!$A$3:$I$32,9,FALSE)),0),IF(AND($A6&lt;&gt;K$1,feasible_mat!K6=1),(VLOOKUP(K$1,test!$A$3:$I$32,8,FALSE))-(VLOOKUP($A6,test!$A$3:$I$32,9,FALSE))-50,0))</f>
        <v>0</v>
      </c>
      <c r="L6">
        <f>IF(SUM(VLOOKUP($A6,test!$A$3:$F$32,2,FALSE),VLOOKUP(L$1,test!$A$3:$F$32,2,FALSE))&lt;=test!$K$16,IF(AND($A6&lt;&gt;L$1,feasible_mat!L6=1),(VLOOKUP(L$1,test!$A$3:$I$32,8,FALSE))-(VLOOKUP($A6,test!$A$3:$I$32,9,FALSE)),0),IF(AND($A6&lt;&gt;L$1,feasible_mat!L6=1),(VLOOKUP(L$1,test!$A$3:$I$32,8,FALSE))-(VLOOKUP($A6,test!$A$3:$I$32,9,FALSE))-50,0))</f>
        <v>0</v>
      </c>
      <c r="M6">
        <f>IF(SUM(VLOOKUP($A6,test!$A$3:$F$32,2,FALSE),VLOOKUP(M$1,test!$A$3:$F$32,2,FALSE))&lt;=test!$K$16,IF(AND($A6&lt;&gt;M$1,feasible_mat!M6=1),(VLOOKUP(M$1,test!$A$3:$I$32,8,FALSE))-(VLOOKUP($A6,test!$A$3:$I$32,9,FALSE)),0),IF(AND($A6&lt;&gt;M$1,feasible_mat!M6=1),(VLOOKUP(M$1,test!$A$3:$I$32,8,FALSE))-(VLOOKUP($A6,test!$A$3:$I$32,9,FALSE))-50,0))</f>
        <v>0</v>
      </c>
      <c r="N6">
        <f>IF(SUM(VLOOKUP($A6,test!$A$3:$F$32,2,FALSE),VLOOKUP(N$1,test!$A$3:$F$32,2,FALSE))&lt;=test!$K$16,IF(AND($A6&lt;&gt;N$1,feasible_mat!N6=1),(VLOOKUP(N$1,test!$A$3:$I$32,8,FALSE))-(VLOOKUP($A6,test!$A$3:$I$32,9,FALSE)),0),IF(AND($A6&lt;&gt;N$1,feasible_mat!N6=1),(VLOOKUP(N$1,test!$A$3:$I$32,8,FALSE))-(VLOOKUP($A6,test!$A$3:$I$32,9,FALSE))-50,0))</f>
        <v>100</v>
      </c>
      <c r="O6">
        <f>IF(SUM(VLOOKUP($A6,test!$A$3:$F$32,2,FALSE),VLOOKUP(O$1,test!$A$3:$F$32,2,FALSE))&lt;=test!$K$16,IF(AND($A6&lt;&gt;O$1,feasible_mat!O6=1),(VLOOKUP(O$1,test!$A$3:$I$32,8,FALSE))-(VLOOKUP($A6,test!$A$3:$I$32,9,FALSE)),0),IF(AND($A6&lt;&gt;O$1,feasible_mat!O6=1),(VLOOKUP(O$1,test!$A$3:$I$32,8,FALSE))-(VLOOKUP($A6,test!$A$3:$I$32,9,FALSE))-50,0))</f>
        <v>160</v>
      </c>
      <c r="P6">
        <f>IF(SUM(VLOOKUP($A6,test!$A$3:$F$32,2,FALSE),VLOOKUP(P$1,test!$A$3:$F$32,2,FALSE))&lt;=test!$K$16,IF(AND($A6&lt;&gt;P$1,feasible_mat!P6=1),(VLOOKUP(P$1,test!$A$3:$I$32,8,FALSE))-(VLOOKUP($A6,test!$A$3:$I$32,9,FALSE)),0),IF(AND($A6&lt;&gt;P$1,feasible_mat!P6=1),(VLOOKUP(P$1,test!$A$3:$I$32,8,FALSE))-(VLOOKUP($A6,test!$A$3:$I$32,9,FALSE))-50,0))</f>
        <v>0</v>
      </c>
      <c r="Q6">
        <f>IF(SUM(VLOOKUP($A6,test!$A$3:$F$32,2,FALSE),VLOOKUP(Q$1,test!$A$3:$F$32,2,FALSE))&lt;=test!$K$16,IF(AND($A6&lt;&gt;Q$1,feasible_mat!Q6=1),(VLOOKUP(Q$1,test!$A$3:$I$32,8,FALSE))-(VLOOKUP($A6,test!$A$3:$I$32,9,FALSE)),0),IF(AND($A6&lt;&gt;Q$1,feasible_mat!Q6=1),(VLOOKUP(Q$1,test!$A$3:$I$32,8,FALSE))-(VLOOKUP($A6,test!$A$3:$I$32,9,FALSE))-50,0))</f>
        <v>0</v>
      </c>
      <c r="R6">
        <f>IF(SUM(VLOOKUP($A6,test!$A$3:$F$32,2,FALSE),VLOOKUP(R$1,test!$A$3:$F$32,2,FALSE))&lt;=test!$K$16,IF(AND($A6&lt;&gt;R$1,feasible_mat!R6=1),(VLOOKUP(R$1,test!$A$3:$I$32,8,FALSE))-(VLOOKUP($A6,test!$A$3:$I$32,9,FALSE)),0),IF(AND($A6&lt;&gt;R$1,feasible_mat!R6=1),(VLOOKUP(R$1,test!$A$3:$I$32,8,FALSE))-(VLOOKUP($A6,test!$A$3:$I$32,9,FALSE))-50,0))</f>
        <v>0</v>
      </c>
      <c r="S6">
        <f>IF(SUM(VLOOKUP($A6,test!$A$3:$F$32,2,FALSE),VLOOKUP(S$1,test!$A$3:$F$32,2,FALSE))&lt;=test!$K$16,IF(AND($A6&lt;&gt;S$1,feasible_mat!S6=1),(VLOOKUP(S$1,test!$A$3:$I$32,8,FALSE))-(VLOOKUP($A6,test!$A$3:$I$32,9,FALSE)),0),IF(AND($A6&lt;&gt;S$1,feasible_mat!S6=1),(VLOOKUP(S$1,test!$A$3:$I$32,8,FALSE))-(VLOOKUP($A6,test!$A$3:$I$32,9,FALSE))-50,0))</f>
        <v>0</v>
      </c>
      <c r="T6">
        <f>IF(SUM(VLOOKUP($A6,test!$A$3:$F$32,2,FALSE),VLOOKUP(T$1,test!$A$3:$F$32,2,FALSE))&lt;=test!$K$16,IF(AND($A6&lt;&gt;T$1,feasible_mat!T6=1),(VLOOKUP(T$1,test!$A$3:$I$32,8,FALSE))-(VLOOKUP($A6,test!$A$3:$I$32,9,FALSE)),0),IF(AND($A6&lt;&gt;T$1,feasible_mat!T6=1),(VLOOKUP(T$1,test!$A$3:$I$32,8,FALSE))-(VLOOKUP($A6,test!$A$3:$I$32,9,FALSE))-50,0))</f>
        <v>0</v>
      </c>
      <c r="U6">
        <f>IF(SUM(VLOOKUP($A6,test!$A$3:$F$32,2,FALSE),VLOOKUP(U$1,test!$A$3:$F$32,2,FALSE))&lt;=test!$K$16,IF(AND($A6&lt;&gt;U$1,feasible_mat!U6=1),(VLOOKUP(U$1,test!$A$3:$I$32,8,FALSE))-(VLOOKUP($A6,test!$A$3:$I$32,9,FALSE)),0),IF(AND($A6&lt;&gt;U$1,feasible_mat!U6=1),(VLOOKUP(U$1,test!$A$3:$I$32,8,FALSE))-(VLOOKUP($A6,test!$A$3:$I$32,9,FALSE))-50,0))</f>
        <v>0</v>
      </c>
      <c r="V6">
        <f>IF(SUM(VLOOKUP($A6,test!$A$3:$F$32,2,FALSE),VLOOKUP(V$1,test!$A$3:$F$32,2,FALSE))&lt;=test!$K$16,IF(AND($A6&lt;&gt;V$1,feasible_mat!V6=1),(VLOOKUP(V$1,test!$A$3:$I$32,8,FALSE))-(VLOOKUP($A6,test!$A$3:$I$32,9,FALSE)),0),IF(AND($A6&lt;&gt;V$1,feasible_mat!V6=1),(VLOOKUP(V$1,test!$A$3:$I$32,8,FALSE))-(VLOOKUP($A6,test!$A$3:$I$32,9,FALSE))-50,0))</f>
        <v>0</v>
      </c>
      <c r="W6">
        <f>IF(SUM(VLOOKUP($A6,test!$A$3:$F$32,2,FALSE),VLOOKUP(W$1,test!$A$3:$F$32,2,FALSE))&lt;=test!$K$16,IF(AND($A6&lt;&gt;W$1,feasible_mat!W6=1),(VLOOKUP(W$1,test!$A$3:$I$32,8,FALSE))-(VLOOKUP($A6,test!$A$3:$I$32,9,FALSE)),0),IF(AND($A6&lt;&gt;W$1,feasible_mat!W6=1),(VLOOKUP(W$1,test!$A$3:$I$32,8,FALSE))-(VLOOKUP($A6,test!$A$3:$I$32,9,FALSE))-50,0))</f>
        <v>25</v>
      </c>
      <c r="X6">
        <f>IF(SUM(VLOOKUP($A6,test!$A$3:$F$32,2,FALSE),VLOOKUP(X$1,test!$A$3:$F$32,2,FALSE))&lt;=test!$K$16,IF(AND($A6&lt;&gt;X$1,feasible_mat!X6=1),(VLOOKUP(X$1,test!$A$3:$I$32,8,FALSE))-(VLOOKUP($A6,test!$A$3:$I$32,9,FALSE)),0),IF(AND($A6&lt;&gt;X$1,feasible_mat!X6=1),(VLOOKUP(X$1,test!$A$3:$I$32,8,FALSE))-(VLOOKUP($A6,test!$A$3:$I$32,9,FALSE))-50,0))</f>
        <v>85</v>
      </c>
      <c r="Y6">
        <f>IF(SUM(VLOOKUP($A6,test!$A$3:$F$32,2,FALSE),VLOOKUP(Y$1,test!$A$3:$F$32,2,FALSE))&lt;=test!$K$16,IF(AND($A6&lt;&gt;Y$1,feasible_mat!Y6=1),(VLOOKUP(Y$1,test!$A$3:$I$32,8,FALSE))-(VLOOKUP($A6,test!$A$3:$I$32,9,FALSE)),0),IF(AND($A6&lt;&gt;Y$1,feasible_mat!Y6=1),(VLOOKUP(Y$1,test!$A$3:$I$32,8,FALSE))-(VLOOKUP($A6,test!$A$3:$I$32,9,FALSE))-50,0))</f>
        <v>0</v>
      </c>
      <c r="Z6">
        <f>IF(SUM(VLOOKUP($A6,test!$A$3:$F$32,2,FALSE),VLOOKUP(Z$1,test!$A$3:$F$32,2,FALSE))&lt;=test!$K$16,IF(AND($A6&lt;&gt;Z$1,feasible_mat!Z6=1),(VLOOKUP(Z$1,test!$A$3:$I$32,8,FALSE))-(VLOOKUP($A6,test!$A$3:$I$32,9,FALSE)),0),IF(AND($A6&lt;&gt;Z$1,feasible_mat!Z6=1),(VLOOKUP(Z$1,test!$A$3:$I$32,8,FALSE))-(VLOOKUP($A6,test!$A$3:$I$32,9,FALSE))-50,0))</f>
        <v>0</v>
      </c>
      <c r="AA6">
        <f>IF(SUM(VLOOKUP($A6,test!$A$3:$F$32,2,FALSE),VLOOKUP(AA$1,test!$A$3:$F$32,2,FALSE))&lt;=test!$K$16,IF(AND($A6&lt;&gt;AA$1,feasible_mat!AA6=1),(VLOOKUP(AA$1,test!$A$3:$I$32,8,FALSE))-(VLOOKUP($A6,test!$A$3:$I$32,9,FALSE)),0),IF(AND($A6&lt;&gt;AA$1,feasible_mat!AA6=1),(VLOOKUP(AA$1,test!$A$3:$I$32,8,FALSE))-(VLOOKUP($A6,test!$A$3:$I$32,9,FALSE))-50,0))</f>
        <v>0</v>
      </c>
      <c r="AB6">
        <f>IF(SUM(VLOOKUP($A6,test!$A$3:$F$32,2,FALSE),VLOOKUP(AB$1,test!$A$3:$F$32,2,FALSE))&lt;=test!$K$16,IF(AND($A6&lt;&gt;AB$1,feasible_mat!AB6=1),(VLOOKUP(AB$1,test!$A$3:$I$32,8,FALSE))-(VLOOKUP($A6,test!$A$3:$I$32,9,FALSE)),0),IF(AND($A6&lt;&gt;AB$1,feasible_mat!AB6=1),(VLOOKUP(AB$1,test!$A$3:$I$32,8,FALSE))-(VLOOKUP($A6,test!$A$3:$I$32,9,FALSE))-50,0))</f>
        <v>0</v>
      </c>
      <c r="AC6">
        <f>IF(SUM(VLOOKUP($A6,test!$A$3:$F$32,2,FALSE),VLOOKUP(AC$1,test!$A$3:$F$32,2,FALSE))&lt;=test!$K$16,IF(AND($A6&lt;&gt;AC$1,feasible_mat!AC6=1),(VLOOKUP(AC$1,test!$A$3:$I$32,8,FALSE))-(VLOOKUP($A6,test!$A$3:$I$32,9,FALSE)),0),IF(AND($A6&lt;&gt;AC$1,feasible_mat!AC6=1),(VLOOKUP(AC$1,test!$A$3:$I$32,8,FALSE))-(VLOOKUP($A6,test!$A$3:$I$32,9,FALSE))-50,0))</f>
        <v>0</v>
      </c>
      <c r="AD6">
        <f>IF(SUM(VLOOKUP($A6,test!$A$3:$F$32,2,FALSE),VLOOKUP(AD$1,test!$A$3:$F$32,2,FALSE))&lt;=test!$K$16,IF(AND($A6&lt;&gt;AD$1,feasible_mat!AD6=1),(VLOOKUP(AD$1,test!$A$3:$I$32,8,FALSE))-(VLOOKUP($A6,test!$A$3:$I$32,9,FALSE)),0),IF(AND($A6&lt;&gt;AD$1,feasible_mat!AD6=1),(VLOOKUP(AD$1,test!$A$3:$I$32,8,FALSE))-(VLOOKUP($A6,test!$A$3:$I$32,9,FALSE))-50,0))</f>
        <v>0</v>
      </c>
      <c r="AE6">
        <f>IF(SUM(VLOOKUP($A6,test!$A$3:$F$32,2,FALSE),VLOOKUP(AE$1,test!$A$3:$F$32,2,FALSE))&lt;=test!$K$16,IF(AND($A6&lt;&gt;AE$1,feasible_mat!AE6=1),(VLOOKUP(AE$1,test!$A$3:$I$32,8,FALSE))-(VLOOKUP($A6,test!$A$3:$I$32,9,FALSE)),0),IF(AND($A6&lt;&gt;AE$1,feasible_mat!AE6=1),(VLOOKUP(AE$1,test!$A$3:$I$32,8,FALSE))-(VLOOKUP($A6,test!$A$3:$I$32,9,FALSE))-50,0))</f>
        <v>0</v>
      </c>
      <c r="AF6">
        <f>IF(SUM(VLOOKUP($A6,test!$A$3:$F$32,2,FALSE),VLOOKUP(AF$1,test!$A$3:$F$32,2,FALSE))&lt;=test!$K$16,IF(AND($A6&lt;&gt;AF$1,feasible_mat!AF6=1),(VLOOKUP(AF$1,test!$A$3:$I$32,8,FALSE))-(VLOOKUP($A6,test!$A$3:$I$32,9,FALSE)),0),IF(AND($A6&lt;&gt;AF$1,feasible_mat!AF6=1),(VLOOKUP(AF$1,test!$A$3:$I$32,8,FALSE))-(VLOOKUP($A6,test!$A$3:$I$32,9,FALSE))-50,0))</f>
        <v>0</v>
      </c>
      <c r="AJ6" s="16" t="b">
        <f>AND(SUM(VLOOKUP($A11,test!$A$3:$F$32,2,FALSE),VLOOKUP(AE$1,test!$A$3:$F$32,2,FALSE))&lt;test!$K$16,$A11&lt;&gt;AE$1,feasible_mat!AE11=1)</f>
        <v>0</v>
      </c>
    </row>
    <row r="7" spans="1:36" x14ac:dyDescent="0.25">
      <c r="A7" t="s">
        <v>12</v>
      </c>
      <c r="B7">
        <v>0</v>
      </c>
      <c r="C7">
        <f>IF(SUM(VLOOKUP($A7,test!$A$3:$F$32,2,FALSE),VLOOKUP(C$1,test!$A$3:$F$32,2,FALSE))&lt;=test!$K$16,IF(AND($A7&lt;&gt;C$1,feasible_mat!C7=1),(VLOOKUP(C$1,test!$A$3:$I$32,8,FALSE))-(VLOOKUP($A7,test!$A$3:$I$32,9,FALSE)),0),IF(AND($A7&lt;&gt;C$1,feasible_mat!C7=1),(VLOOKUP(C$1,test!$A$3:$I$32,8,FALSE))-(VLOOKUP($A7,test!$A$3:$I$32,9,FALSE))-50,0))</f>
        <v>0</v>
      </c>
      <c r="D7">
        <f>IF(SUM(VLOOKUP($A7,test!$A$3:$F$32,2,FALSE),VLOOKUP(D$1,test!$A$3:$F$32,2,FALSE))&lt;=test!$K$16,IF(AND($A7&lt;&gt;D$1,feasible_mat!D7=1),(VLOOKUP(D$1,test!$A$3:$I$32,8,FALSE))-(VLOOKUP($A7,test!$A$3:$I$32,9,FALSE)),0),IF(AND($A7&lt;&gt;D$1,feasible_mat!D7=1),(VLOOKUP(D$1,test!$A$3:$I$32,8,FALSE))-(VLOOKUP($A7,test!$A$3:$I$32,9,FALSE))-50,0))</f>
        <v>0</v>
      </c>
      <c r="E7">
        <f>IF(SUM(VLOOKUP($A7,test!$A$3:$F$32,2,FALSE),VLOOKUP(E$1,test!$A$3:$F$32,2,FALSE))&lt;=test!$K$16,IF(AND($A7&lt;&gt;E$1,feasible_mat!E7=1),(VLOOKUP(E$1,test!$A$3:$I$32,8,FALSE))-(VLOOKUP($A7,test!$A$3:$I$32,9,FALSE)),0),IF(AND($A7&lt;&gt;E$1,feasible_mat!E7=1),(VLOOKUP(E$1,test!$A$3:$I$32,8,FALSE))-(VLOOKUP($A7,test!$A$3:$I$32,9,FALSE))-50,0))</f>
        <v>0</v>
      </c>
      <c r="F7">
        <f>IF(SUM(VLOOKUP($A7,test!$A$3:$F$32,2,FALSE),VLOOKUP(F$1,test!$A$3:$F$32,2,FALSE))&lt;=test!$K$16,IF(AND($A7&lt;&gt;F$1,feasible_mat!F7=1),(VLOOKUP(F$1,test!$A$3:$I$32,8,FALSE))-(VLOOKUP($A7,test!$A$3:$I$32,9,FALSE)),0),IF(AND($A7&lt;&gt;F$1,feasible_mat!F7=1),(VLOOKUP(F$1,test!$A$3:$I$32,8,FALSE))-(VLOOKUP($A7,test!$A$3:$I$32,9,FALSE))-50,0))</f>
        <v>0</v>
      </c>
      <c r="G7">
        <f>IF(SUM(VLOOKUP($A7,test!$A$3:$F$32,2,FALSE),VLOOKUP(G$1,test!$A$3:$F$32,2,FALSE))&lt;=test!$K$16,IF(AND($A7&lt;&gt;G$1,feasible_mat!G7=1),(VLOOKUP(G$1,test!$A$3:$I$32,8,FALSE))-(VLOOKUP($A7,test!$A$3:$I$32,9,FALSE)),0),IF(AND($A7&lt;&gt;G$1,feasible_mat!G7=1),(VLOOKUP(G$1,test!$A$3:$I$32,8,FALSE))-(VLOOKUP($A7,test!$A$3:$I$32,9,FALSE))-50,0))</f>
        <v>0</v>
      </c>
      <c r="H7">
        <f>IF(SUM(VLOOKUP($A7,test!$A$3:$F$32,2,FALSE),VLOOKUP(H$1,test!$A$3:$F$32,2,FALSE))&lt;=test!$K$16,IF(AND($A7&lt;&gt;H$1,feasible_mat!H7=1),(VLOOKUP(H$1,test!$A$3:$I$32,8,FALSE))-(VLOOKUP($A7,test!$A$3:$I$32,9,FALSE)),0),IF(AND($A7&lt;&gt;H$1,feasible_mat!H7=1),(VLOOKUP(H$1,test!$A$3:$I$32,8,FALSE))-(VLOOKUP($A7,test!$A$3:$I$32,9,FALSE))-50,0))</f>
        <v>0</v>
      </c>
      <c r="I7">
        <f>IF(SUM(VLOOKUP($A7,test!$A$3:$F$32,2,FALSE),VLOOKUP(I$1,test!$A$3:$F$32,2,FALSE))&lt;=test!$K$16,IF(AND($A7&lt;&gt;I$1,feasible_mat!I7=1),(VLOOKUP(I$1,test!$A$3:$I$32,8,FALSE))-(VLOOKUP($A7,test!$A$3:$I$32,9,FALSE)),0),IF(AND($A7&lt;&gt;I$1,feasible_mat!I7=1),(VLOOKUP(I$1,test!$A$3:$I$32,8,FALSE))-(VLOOKUP($A7,test!$A$3:$I$32,9,FALSE))-50,0))</f>
        <v>0</v>
      </c>
      <c r="J7">
        <f>IF(SUM(VLOOKUP($A7,test!$A$3:$F$32,2,FALSE),VLOOKUP(J$1,test!$A$3:$F$32,2,FALSE))&lt;=test!$K$16,IF(AND($A7&lt;&gt;J$1,feasible_mat!J7=1),(VLOOKUP(J$1,test!$A$3:$I$32,8,FALSE))-(VLOOKUP($A7,test!$A$3:$I$32,9,FALSE)),0),IF(AND($A7&lt;&gt;J$1,feasible_mat!J7=1),(VLOOKUP(J$1,test!$A$3:$I$32,8,FALSE))-(VLOOKUP($A7,test!$A$3:$I$32,9,FALSE))-50,0))</f>
        <v>75</v>
      </c>
      <c r="K7">
        <f>IF(SUM(VLOOKUP($A7,test!$A$3:$F$32,2,FALSE),VLOOKUP(K$1,test!$A$3:$F$32,2,FALSE))&lt;=test!$K$16,IF(AND($A7&lt;&gt;K$1,feasible_mat!K7=1),(VLOOKUP(K$1,test!$A$3:$I$32,8,FALSE))-(VLOOKUP($A7,test!$A$3:$I$32,9,FALSE)),0),IF(AND($A7&lt;&gt;K$1,feasible_mat!K7=1),(VLOOKUP(K$1,test!$A$3:$I$32,8,FALSE))-(VLOOKUP($A7,test!$A$3:$I$32,9,FALSE))-50,0))</f>
        <v>0</v>
      </c>
      <c r="L7">
        <f>IF(SUM(VLOOKUP($A7,test!$A$3:$F$32,2,FALSE),VLOOKUP(L$1,test!$A$3:$F$32,2,FALSE))&lt;=test!$K$16,IF(AND($A7&lt;&gt;L$1,feasible_mat!L7=1),(VLOOKUP(L$1,test!$A$3:$I$32,8,FALSE))-(VLOOKUP($A7,test!$A$3:$I$32,9,FALSE)),0),IF(AND($A7&lt;&gt;L$1,feasible_mat!L7=1),(VLOOKUP(L$1,test!$A$3:$I$32,8,FALSE))-(VLOOKUP($A7,test!$A$3:$I$32,9,FALSE))-50,0))</f>
        <v>0</v>
      </c>
      <c r="M7">
        <f>IF(SUM(VLOOKUP($A7,test!$A$3:$F$32,2,FALSE),VLOOKUP(M$1,test!$A$3:$F$32,2,FALSE))&lt;=test!$K$16,IF(AND($A7&lt;&gt;M$1,feasible_mat!M7=1),(VLOOKUP(M$1,test!$A$3:$I$32,8,FALSE))-(VLOOKUP($A7,test!$A$3:$I$32,9,FALSE)),0),IF(AND($A7&lt;&gt;M$1,feasible_mat!M7=1),(VLOOKUP(M$1,test!$A$3:$I$32,8,FALSE))-(VLOOKUP($A7,test!$A$3:$I$32,9,FALSE))-50,0))</f>
        <v>0</v>
      </c>
      <c r="N7">
        <f>IF(SUM(VLOOKUP($A7,test!$A$3:$F$32,2,FALSE),VLOOKUP(N$1,test!$A$3:$F$32,2,FALSE))&lt;=test!$K$16,IF(AND($A7&lt;&gt;N$1,feasible_mat!N7=1),(VLOOKUP(N$1,test!$A$3:$I$32,8,FALSE))-(VLOOKUP($A7,test!$A$3:$I$32,9,FALSE)),0),IF(AND($A7&lt;&gt;N$1,feasible_mat!N7=1),(VLOOKUP(N$1,test!$A$3:$I$32,8,FALSE))-(VLOOKUP($A7,test!$A$3:$I$32,9,FALSE))-50,0))</f>
        <v>40</v>
      </c>
      <c r="O7">
        <f>IF(SUM(VLOOKUP($A7,test!$A$3:$F$32,2,FALSE),VLOOKUP(O$1,test!$A$3:$F$32,2,FALSE))&lt;=test!$K$16,IF(AND($A7&lt;&gt;O$1,feasible_mat!O7=1),(VLOOKUP(O$1,test!$A$3:$I$32,8,FALSE))-(VLOOKUP($A7,test!$A$3:$I$32,9,FALSE)),0),IF(AND($A7&lt;&gt;O$1,feasible_mat!O7=1),(VLOOKUP(O$1,test!$A$3:$I$32,8,FALSE))-(VLOOKUP($A7,test!$A$3:$I$32,9,FALSE))-50,0))</f>
        <v>100</v>
      </c>
      <c r="P7">
        <f>IF(SUM(VLOOKUP($A7,test!$A$3:$F$32,2,FALSE),VLOOKUP(P$1,test!$A$3:$F$32,2,FALSE))&lt;=test!$K$16,IF(AND($A7&lt;&gt;P$1,feasible_mat!P7=1),(VLOOKUP(P$1,test!$A$3:$I$32,8,FALSE))-(VLOOKUP($A7,test!$A$3:$I$32,9,FALSE)),0),IF(AND($A7&lt;&gt;P$1,feasible_mat!P7=1),(VLOOKUP(P$1,test!$A$3:$I$32,8,FALSE))-(VLOOKUP($A7,test!$A$3:$I$32,9,FALSE))-50,0))</f>
        <v>0</v>
      </c>
      <c r="Q7">
        <f>IF(SUM(VLOOKUP($A7,test!$A$3:$F$32,2,FALSE),VLOOKUP(Q$1,test!$A$3:$F$32,2,FALSE))&lt;=test!$K$16,IF(AND($A7&lt;&gt;Q$1,feasible_mat!Q7=1),(VLOOKUP(Q$1,test!$A$3:$I$32,8,FALSE))-(VLOOKUP($A7,test!$A$3:$I$32,9,FALSE)),0),IF(AND($A7&lt;&gt;Q$1,feasible_mat!Q7=1),(VLOOKUP(Q$1,test!$A$3:$I$32,8,FALSE))-(VLOOKUP($A7,test!$A$3:$I$32,9,FALSE))-50,0))</f>
        <v>0</v>
      </c>
      <c r="R7">
        <f>IF(SUM(VLOOKUP($A7,test!$A$3:$F$32,2,FALSE),VLOOKUP(R$1,test!$A$3:$F$32,2,FALSE))&lt;=test!$K$16,IF(AND($A7&lt;&gt;R$1,feasible_mat!R7=1),(VLOOKUP(R$1,test!$A$3:$I$32,8,FALSE))-(VLOOKUP($A7,test!$A$3:$I$32,9,FALSE)),0),IF(AND($A7&lt;&gt;R$1,feasible_mat!R7=1),(VLOOKUP(R$1,test!$A$3:$I$32,8,FALSE))-(VLOOKUP($A7,test!$A$3:$I$32,9,FALSE))-50,0))</f>
        <v>0</v>
      </c>
      <c r="S7">
        <f>IF(SUM(VLOOKUP($A7,test!$A$3:$F$32,2,FALSE),VLOOKUP(S$1,test!$A$3:$F$32,2,FALSE))&lt;=test!$K$16,IF(AND($A7&lt;&gt;S$1,feasible_mat!S7=1),(VLOOKUP(S$1,test!$A$3:$I$32,8,FALSE))-(VLOOKUP($A7,test!$A$3:$I$32,9,FALSE)),0),IF(AND($A7&lt;&gt;S$1,feasible_mat!S7=1),(VLOOKUP(S$1,test!$A$3:$I$32,8,FALSE))-(VLOOKUP($A7,test!$A$3:$I$32,9,FALSE))-50,0))</f>
        <v>0</v>
      </c>
      <c r="T7">
        <f>IF(SUM(VLOOKUP($A7,test!$A$3:$F$32,2,FALSE),VLOOKUP(T$1,test!$A$3:$F$32,2,FALSE))&lt;=test!$K$16,IF(AND($A7&lt;&gt;T$1,feasible_mat!T7=1),(VLOOKUP(T$1,test!$A$3:$I$32,8,FALSE))-(VLOOKUP($A7,test!$A$3:$I$32,9,FALSE)),0),IF(AND($A7&lt;&gt;T$1,feasible_mat!T7=1),(VLOOKUP(T$1,test!$A$3:$I$32,8,FALSE))-(VLOOKUP($A7,test!$A$3:$I$32,9,FALSE))-50,0))</f>
        <v>0</v>
      </c>
      <c r="U7">
        <f>IF(SUM(VLOOKUP($A7,test!$A$3:$F$32,2,FALSE),VLOOKUP(U$1,test!$A$3:$F$32,2,FALSE))&lt;=test!$K$16,IF(AND($A7&lt;&gt;U$1,feasible_mat!U7=1),(VLOOKUP(U$1,test!$A$3:$I$32,8,FALSE))-(VLOOKUP($A7,test!$A$3:$I$32,9,FALSE)),0),IF(AND($A7&lt;&gt;U$1,feasible_mat!U7=1),(VLOOKUP(U$1,test!$A$3:$I$32,8,FALSE))-(VLOOKUP($A7,test!$A$3:$I$32,9,FALSE))-50,0))</f>
        <v>0</v>
      </c>
      <c r="V7">
        <f>IF(SUM(VLOOKUP($A7,test!$A$3:$F$32,2,FALSE),VLOOKUP(V$1,test!$A$3:$F$32,2,FALSE))&lt;=test!$K$16,IF(AND($A7&lt;&gt;V$1,feasible_mat!V7=1),(VLOOKUP(V$1,test!$A$3:$I$32,8,FALSE))-(VLOOKUP($A7,test!$A$3:$I$32,9,FALSE)),0),IF(AND($A7&lt;&gt;V$1,feasible_mat!V7=1),(VLOOKUP(V$1,test!$A$3:$I$32,8,FALSE))-(VLOOKUP($A7,test!$A$3:$I$32,9,FALSE))-50,0))</f>
        <v>0</v>
      </c>
      <c r="W7">
        <f>IF(SUM(VLOOKUP($A7,test!$A$3:$F$32,2,FALSE),VLOOKUP(W$1,test!$A$3:$F$32,2,FALSE))&lt;=test!$K$16,IF(AND($A7&lt;&gt;W$1,feasible_mat!W7=1),(VLOOKUP(W$1,test!$A$3:$I$32,8,FALSE))-(VLOOKUP($A7,test!$A$3:$I$32,9,FALSE)),0),IF(AND($A7&lt;&gt;W$1,feasible_mat!W7=1),(VLOOKUP(W$1,test!$A$3:$I$32,8,FALSE))-(VLOOKUP($A7,test!$A$3:$I$32,9,FALSE))-50,0))</f>
        <v>0</v>
      </c>
      <c r="X7">
        <f>IF(SUM(VLOOKUP($A7,test!$A$3:$F$32,2,FALSE),VLOOKUP(X$1,test!$A$3:$F$32,2,FALSE))&lt;=test!$K$16,IF(AND($A7&lt;&gt;X$1,feasible_mat!X7=1),(VLOOKUP(X$1,test!$A$3:$I$32,8,FALSE))-(VLOOKUP($A7,test!$A$3:$I$32,9,FALSE)),0),IF(AND($A7&lt;&gt;X$1,feasible_mat!X7=1),(VLOOKUP(X$1,test!$A$3:$I$32,8,FALSE))-(VLOOKUP($A7,test!$A$3:$I$32,9,FALSE))-50,0))</f>
        <v>25</v>
      </c>
      <c r="Y7">
        <f>IF(SUM(VLOOKUP($A7,test!$A$3:$F$32,2,FALSE),VLOOKUP(Y$1,test!$A$3:$F$32,2,FALSE))&lt;=test!$K$16,IF(AND($A7&lt;&gt;Y$1,feasible_mat!Y7=1),(VLOOKUP(Y$1,test!$A$3:$I$32,8,FALSE))-(VLOOKUP($A7,test!$A$3:$I$32,9,FALSE)),0),IF(AND($A7&lt;&gt;Y$1,feasible_mat!Y7=1),(VLOOKUP(Y$1,test!$A$3:$I$32,8,FALSE))-(VLOOKUP($A7,test!$A$3:$I$32,9,FALSE))-50,0))</f>
        <v>0</v>
      </c>
      <c r="Z7">
        <f>IF(SUM(VLOOKUP($A7,test!$A$3:$F$32,2,FALSE),VLOOKUP(Z$1,test!$A$3:$F$32,2,FALSE))&lt;=test!$K$16,IF(AND($A7&lt;&gt;Z$1,feasible_mat!Z7=1),(VLOOKUP(Z$1,test!$A$3:$I$32,8,FALSE))-(VLOOKUP($A7,test!$A$3:$I$32,9,FALSE)),0),IF(AND($A7&lt;&gt;Z$1,feasible_mat!Z7=1),(VLOOKUP(Z$1,test!$A$3:$I$32,8,FALSE))-(VLOOKUP($A7,test!$A$3:$I$32,9,FALSE))-50,0))</f>
        <v>0</v>
      </c>
      <c r="AA7">
        <f>IF(SUM(VLOOKUP($A7,test!$A$3:$F$32,2,FALSE),VLOOKUP(AA$1,test!$A$3:$F$32,2,FALSE))&lt;=test!$K$16,IF(AND($A7&lt;&gt;AA$1,feasible_mat!AA7=1),(VLOOKUP(AA$1,test!$A$3:$I$32,8,FALSE))-(VLOOKUP($A7,test!$A$3:$I$32,9,FALSE)),0),IF(AND($A7&lt;&gt;AA$1,feasible_mat!AA7=1),(VLOOKUP(AA$1,test!$A$3:$I$32,8,FALSE))-(VLOOKUP($A7,test!$A$3:$I$32,9,FALSE))-50,0))</f>
        <v>0</v>
      </c>
      <c r="AB7">
        <f>IF(SUM(VLOOKUP($A7,test!$A$3:$F$32,2,FALSE),VLOOKUP(AB$1,test!$A$3:$F$32,2,FALSE))&lt;=test!$K$16,IF(AND($A7&lt;&gt;AB$1,feasible_mat!AB7=1),(VLOOKUP(AB$1,test!$A$3:$I$32,8,FALSE))-(VLOOKUP($A7,test!$A$3:$I$32,9,FALSE)),0),IF(AND($A7&lt;&gt;AB$1,feasible_mat!AB7=1),(VLOOKUP(AB$1,test!$A$3:$I$32,8,FALSE))-(VLOOKUP($A7,test!$A$3:$I$32,9,FALSE))-50,0))</f>
        <v>0</v>
      </c>
      <c r="AC7">
        <f>IF(SUM(VLOOKUP($A7,test!$A$3:$F$32,2,FALSE),VLOOKUP(AC$1,test!$A$3:$F$32,2,FALSE))&lt;=test!$K$16,IF(AND($A7&lt;&gt;AC$1,feasible_mat!AC7=1),(VLOOKUP(AC$1,test!$A$3:$I$32,8,FALSE))-(VLOOKUP($A7,test!$A$3:$I$32,9,FALSE)),0),IF(AND($A7&lt;&gt;AC$1,feasible_mat!AC7=1),(VLOOKUP(AC$1,test!$A$3:$I$32,8,FALSE))-(VLOOKUP($A7,test!$A$3:$I$32,9,FALSE))-50,0))</f>
        <v>0</v>
      </c>
      <c r="AD7">
        <f>IF(SUM(VLOOKUP($A7,test!$A$3:$F$32,2,FALSE),VLOOKUP(AD$1,test!$A$3:$F$32,2,FALSE))&lt;=test!$K$16,IF(AND($A7&lt;&gt;AD$1,feasible_mat!AD7=1),(VLOOKUP(AD$1,test!$A$3:$I$32,8,FALSE))-(VLOOKUP($A7,test!$A$3:$I$32,9,FALSE)),0),IF(AND($A7&lt;&gt;AD$1,feasible_mat!AD7=1),(VLOOKUP(AD$1,test!$A$3:$I$32,8,FALSE))-(VLOOKUP($A7,test!$A$3:$I$32,9,FALSE))-50,0))</f>
        <v>0</v>
      </c>
      <c r="AE7">
        <f>IF(SUM(VLOOKUP($A7,test!$A$3:$F$32,2,FALSE),VLOOKUP(AE$1,test!$A$3:$F$32,2,FALSE))&lt;=test!$K$16,IF(AND($A7&lt;&gt;AE$1,feasible_mat!AE7=1),(VLOOKUP(AE$1,test!$A$3:$I$32,8,FALSE))-(VLOOKUP($A7,test!$A$3:$I$32,9,FALSE)),0),IF(AND($A7&lt;&gt;AE$1,feasible_mat!AE7=1),(VLOOKUP(AE$1,test!$A$3:$I$32,8,FALSE))-(VLOOKUP($A7,test!$A$3:$I$32,9,FALSE))-50,0))</f>
        <v>0</v>
      </c>
      <c r="AF7">
        <f>IF(SUM(VLOOKUP($A7,test!$A$3:$F$32,2,FALSE),VLOOKUP(AF$1,test!$A$3:$F$32,2,FALSE))&lt;=test!$K$16,IF(AND($A7&lt;&gt;AF$1,feasible_mat!AF7=1),(VLOOKUP(AF$1,test!$A$3:$I$32,8,FALSE))-(VLOOKUP($A7,test!$A$3:$I$32,9,FALSE)),0),IF(AND($A7&lt;&gt;AF$1,feasible_mat!AF7=1),(VLOOKUP(AF$1,test!$A$3:$I$32,8,FALSE))-(VLOOKUP($A7,test!$A$3:$I$32,9,FALSE))-50,0))</f>
        <v>0</v>
      </c>
      <c r="AJ7" s="16">
        <f>VLOOKUP(AE$1,test!$A$3:$F$32,2,FALSE)</f>
        <v>210</v>
      </c>
    </row>
    <row r="8" spans="1:36" x14ac:dyDescent="0.25">
      <c r="A8" t="s">
        <v>13</v>
      </c>
      <c r="B8">
        <v>0</v>
      </c>
      <c r="C8">
        <f>IF(SUM(VLOOKUP($A8,test!$A$3:$F$32,2,FALSE),VLOOKUP(C$1,test!$A$3:$F$32,2,FALSE))&lt;=test!$K$16,IF(AND($A8&lt;&gt;C$1,feasible_mat!C8=1),(VLOOKUP(C$1,test!$A$3:$I$32,8,FALSE))-(VLOOKUP($A8,test!$A$3:$I$32,9,FALSE)),0),IF(AND($A8&lt;&gt;C$1,feasible_mat!C8=1),(VLOOKUP(C$1,test!$A$3:$I$32,8,FALSE))-(VLOOKUP($A8,test!$A$3:$I$32,9,FALSE))-50,0))</f>
        <v>0</v>
      </c>
      <c r="D8">
        <f>IF(SUM(VLOOKUP($A8,test!$A$3:$F$32,2,FALSE),VLOOKUP(D$1,test!$A$3:$F$32,2,FALSE))&lt;=test!$K$16,IF(AND($A8&lt;&gt;D$1,feasible_mat!D8=1),(VLOOKUP(D$1,test!$A$3:$I$32,8,FALSE))-(VLOOKUP($A8,test!$A$3:$I$32,9,FALSE)),0),IF(AND($A8&lt;&gt;D$1,feasible_mat!D8=1),(VLOOKUP(D$1,test!$A$3:$I$32,8,FALSE))-(VLOOKUP($A8,test!$A$3:$I$32,9,FALSE))-50,0))</f>
        <v>0</v>
      </c>
      <c r="E8">
        <f>IF(SUM(VLOOKUP($A8,test!$A$3:$F$32,2,FALSE),VLOOKUP(E$1,test!$A$3:$F$32,2,FALSE))&lt;=test!$K$16,IF(AND($A8&lt;&gt;E$1,feasible_mat!E8=1),(VLOOKUP(E$1,test!$A$3:$I$32,8,FALSE))-(VLOOKUP($A8,test!$A$3:$I$32,9,FALSE)),0),IF(AND($A8&lt;&gt;E$1,feasible_mat!E8=1),(VLOOKUP(E$1,test!$A$3:$I$32,8,FALSE))-(VLOOKUP($A8,test!$A$3:$I$32,9,FALSE))-50,0))</f>
        <v>0</v>
      </c>
      <c r="F8">
        <f>IF(SUM(VLOOKUP($A8,test!$A$3:$F$32,2,FALSE),VLOOKUP(F$1,test!$A$3:$F$32,2,FALSE))&lt;=test!$K$16,IF(AND($A8&lt;&gt;F$1,feasible_mat!F8=1),(VLOOKUP(F$1,test!$A$3:$I$32,8,FALSE))-(VLOOKUP($A8,test!$A$3:$I$32,9,FALSE)),0),IF(AND($A8&lt;&gt;F$1,feasible_mat!F8=1),(VLOOKUP(F$1,test!$A$3:$I$32,8,FALSE))-(VLOOKUP($A8,test!$A$3:$I$32,9,FALSE))-50,0))</f>
        <v>0</v>
      </c>
      <c r="G8">
        <f>IF(SUM(VLOOKUP($A8,test!$A$3:$F$32,2,FALSE),VLOOKUP(G$1,test!$A$3:$F$32,2,FALSE))&lt;=test!$K$16,IF(AND($A8&lt;&gt;G$1,feasible_mat!G8=1),(VLOOKUP(G$1,test!$A$3:$I$32,8,FALSE))-(VLOOKUP($A8,test!$A$3:$I$32,9,FALSE)),0),IF(AND($A8&lt;&gt;G$1,feasible_mat!G8=1),(VLOOKUP(G$1,test!$A$3:$I$32,8,FALSE))-(VLOOKUP($A8,test!$A$3:$I$32,9,FALSE))-50,0))</f>
        <v>0</v>
      </c>
      <c r="H8">
        <f>IF(SUM(VLOOKUP($A8,test!$A$3:$F$32,2,FALSE),VLOOKUP(H$1,test!$A$3:$F$32,2,FALSE))&lt;=test!$K$16,IF(AND($A8&lt;&gt;H$1,feasible_mat!H8=1),(VLOOKUP(H$1,test!$A$3:$I$32,8,FALSE))-(VLOOKUP($A8,test!$A$3:$I$32,9,FALSE)),0),IF(AND($A8&lt;&gt;H$1,feasible_mat!H8=1),(VLOOKUP(H$1,test!$A$3:$I$32,8,FALSE))-(VLOOKUP($A8,test!$A$3:$I$32,9,FALSE))-50,0))</f>
        <v>0</v>
      </c>
      <c r="I8">
        <f>IF(SUM(VLOOKUP($A8,test!$A$3:$F$32,2,FALSE),VLOOKUP(I$1,test!$A$3:$F$32,2,FALSE))&lt;=test!$K$16,IF(AND($A8&lt;&gt;I$1,feasible_mat!I8=1),(VLOOKUP(I$1,test!$A$3:$I$32,8,FALSE))-(VLOOKUP($A8,test!$A$3:$I$32,9,FALSE)),0),IF(AND($A8&lt;&gt;I$1,feasible_mat!I8=1),(VLOOKUP(I$1,test!$A$3:$I$32,8,FALSE))-(VLOOKUP($A8,test!$A$3:$I$32,9,FALSE))-50,0))</f>
        <v>0</v>
      </c>
      <c r="J8">
        <f>IF(SUM(VLOOKUP($A8,test!$A$3:$F$32,2,FALSE),VLOOKUP(J$1,test!$A$3:$F$32,2,FALSE))&lt;=test!$K$16,IF(AND($A8&lt;&gt;J$1,feasible_mat!J8=1),(VLOOKUP(J$1,test!$A$3:$I$32,8,FALSE))-(VLOOKUP($A8,test!$A$3:$I$32,9,FALSE)),0),IF(AND($A8&lt;&gt;J$1,feasible_mat!J8=1),(VLOOKUP(J$1,test!$A$3:$I$32,8,FALSE))-(VLOOKUP($A8,test!$A$3:$I$32,9,FALSE))-50,0))</f>
        <v>15</v>
      </c>
      <c r="K8">
        <f>IF(SUM(VLOOKUP($A8,test!$A$3:$F$32,2,FALSE),VLOOKUP(K$1,test!$A$3:$F$32,2,FALSE))&lt;=test!$K$16,IF(AND($A8&lt;&gt;K$1,feasible_mat!K8=1),(VLOOKUP(K$1,test!$A$3:$I$32,8,FALSE))-(VLOOKUP($A8,test!$A$3:$I$32,9,FALSE)),0),IF(AND($A8&lt;&gt;K$1,feasible_mat!K8=1),(VLOOKUP(K$1,test!$A$3:$I$32,8,FALSE))-(VLOOKUP($A8,test!$A$3:$I$32,9,FALSE))-50,0))</f>
        <v>0</v>
      </c>
      <c r="L8">
        <f>IF(SUM(VLOOKUP($A8,test!$A$3:$F$32,2,FALSE),VLOOKUP(L$1,test!$A$3:$F$32,2,FALSE))&lt;=test!$K$16,IF(AND($A8&lt;&gt;L$1,feasible_mat!L8=1),(VLOOKUP(L$1,test!$A$3:$I$32,8,FALSE))-(VLOOKUP($A8,test!$A$3:$I$32,9,FALSE)),0),IF(AND($A8&lt;&gt;L$1,feasible_mat!L8=1),(VLOOKUP(L$1,test!$A$3:$I$32,8,FALSE))-(VLOOKUP($A8,test!$A$3:$I$32,9,FALSE))-50,0))</f>
        <v>0</v>
      </c>
      <c r="M8">
        <f>IF(SUM(VLOOKUP($A8,test!$A$3:$F$32,2,FALSE),VLOOKUP(M$1,test!$A$3:$F$32,2,FALSE))&lt;=test!$K$16,IF(AND($A8&lt;&gt;M$1,feasible_mat!M8=1),(VLOOKUP(M$1,test!$A$3:$I$32,8,FALSE))-(VLOOKUP($A8,test!$A$3:$I$32,9,FALSE)),0),IF(AND($A8&lt;&gt;M$1,feasible_mat!M8=1),(VLOOKUP(M$1,test!$A$3:$I$32,8,FALSE))-(VLOOKUP($A8,test!$A$3:$I$32,9,FALSE))-50,0))</f>
        <v>0</v>
      </c>
      <c r="N8">
        <f>IF(SUM(VLOOKUP($A8,test!$A$3:$F$32,2,FALSE),VLOOKUP(N$1,test!$A$3:$F$32,2,FALSE))&lt;=test!$K$16,IF(AND($A8&lt;&gt;N$1,feasible_mat!N8=1),(VLOOKUP(N$1,test!$A$3:$I$32,8,FALSE))-(VLOOKUP($A8,test!$A$3:$I$32,9,FALSE)),0),IF(AND($A8&lt;&gt;N$1,feasible_mat!N8=1),(VLOOKUP(N$1,test!$A$3:$I$32,8,FALSE))-(VLOOKUP($A8,test!$A$3:$I$32,9,FALSE))-50,0))</f>
        <v>0</v>
      </c>
      <c r="O8">
        <f>IF(SUM(VLOOKUP($A8,test!$A$3:$F$32,2,FALSE),VLOOKUP(O$1,test!$A$3:$F$32,2,FALSE))&lt;=test!$K$16,IF(AND($A8&lt;&gt;O$1,feasible_mat!O8=1),(VLOOKUP(O$1,test!$A$3:$I$32,8,FALSE))-(VLOOKUP($A8,test!$A$3:$I$32,9,FALSE)),0),IF(AND($A8&lt;&gt;O$1,feasible_mat!O8=1),(VLOOKUP(O$1,test!$A$3:$I$32,8,FALSE))-(VLOOKUP($A8,test!$A$3:$I$32,9,FALSE))-50,0))</f>
        <v>40</v>
      </c>
      <c r="P8">
        <f>IF(SUM(VLOOKUP($A8,test!$A$3:$F$32,2,FALSE),VLOOKUP(P$1,test!$A$3:$F$32,2,FALSE))&lt;=test!$K$16,IF(AND($A8&lt;&gt;P$1,feasible_mat!P8=1),(VLOOKUP(P$1,test!$A$3:$I$32,8,FALSE))-(VLOOKUP($A8,test!$A$3:$I$32,9,FALSE)),0),IF(AND($A8&lt;&gt;P$1,feasible_mat!P8=1),(VLOOKUP(P$1,test!$A$3:$I$32,8,FALSE))-(VLOOKUP($A8,test!$A$3:$I$32,9,FALSE))-50,0))</f>
        <v>0</v>
      </c>
      <c r="Q8">
        <f>IF(SUM(VLOOKUP($A8,test!$A$3:$F$32,2,FALSE),VLOOKUP(Q$1,test!$A$3:$F$32,2,FALSE))&lt;=test!$K$16,IF(AND($A8&lt;&gt;Q$1,feasible_mat!Q8=1),(VLOOKUP(Q$1,test!$A$3:$I$32,8,FALSE))-(VLOOKUP($A8,test!$A$3:$I$32,9,FALSE)),0),IF(AND($A8&lt;&gt;Q$1,feasible_mat!Q8=1),(VLOOKUP(Q$1,test!$A$3:$I$32,8,FALSE))-(VLOOKUP($A8,test!$A$3:$I$32,9,FALSE))-50,0))</f>
        <v>0</v>
      </c>
      <c r="R8">
        <f>IF(SUM(VLOOKUP($A8,test!$A$3:$F$32,2,FALSE),VLOOKUP(R$1,test!$A$3:$F$32,2,FALSE))&lt;=test!$K$16,IF(AND($A8&lt;&gt;R$1,feasible_mat!R8=1),(VLOOKUP(R$1,test!$A$3:$I$32,8,FALSE))-(VLOOKUP($A8,test!$A$3:$I$32,9,FALSE)),0),IF(AND($A8&lt;&gt;R$1,feasible_mat!R8=1),(VLOOKUP(R$1,test!$A$3:$I$32,8,FALSE))-(VLOOKUP($A8,test!$A$3:$I$32,9,FALSE))-50,0))</f>
        <v>0</v>
      </c>
      <c r="S8">
        <f>IF(SUM(VLOOKUP($A8,test!$A$3:$F$32,2,FALSE),VLOOKUP(S$1,test!$A$3:$F$32,2,FALSE))&lt;=test!$K$16,IF(AND($A8&lt;&gt;S$1,feasible_mat!S8=1),(VLOOKUP(S$1,test!$A$3:$I$32,8,FALSE))-(VLOOKUP($A8,test!$A$3:$I$32,9,FALSE)),0),IF(AND($A8&lt;&gt;S$1,feasible_mat!S8=1),(VLOOKUP(S$1,test!$A$3:$I$32,8,FALSE))-(VLOOKUP($A8,test!$A$3:$I$32,9,FALSE))-50,0))</f>
        <v>0</v>
      </c>
      <c r="T8">
        <f>IF(SUM(VLOOKUP($A8,test!$A$3:$F$32,2,FALSE),VLOOKUP(T$1,test!$A$3:$F$32,2,FALSE))&lt;=test!$K$16,IF(AND($A8&lt;&gt;T$1,feasible_mat!T8=1),(VLOOKUP(T$1,test!$A$3:$I$32,8,FALSE))-(VLOOKUP($A8,test!$A$3:$I$32,9,FALSE)),0),IF(AND($A8&lt;&gt;T$1,feasible_mat!T8=1),(VLOOKUP(T$1,test!$A$3:$I$32,8,FALSE))-(VLOOKUP($A8,test!$A$3:$I$32,9,FALSE))-50,0))</f>
        <v>0</v>
      </c>
      <c r="U8">
        <f>IF(SUM(VLOOKUP($A8,test!$A$3:$F$32,2,FALSE),VLOOKUP(U$1,test!$A$3:$F$32,2,FALSE))&lt;=test!$K$16,IF(AND($A8&lt;&gt;U$1,feasible_mat!U8=1),(VLOOKUP(U$1,test!$A$3:$I$32,8,FALSE))-(VLOOKUP($A8,test!$A$3:$I$32,9,FALSE)),0),IF(AND($A8&lt;&gt;U$1,feasible_mat!U8=1),(VLOOKUP(U$1,test!$A$3:$I$32,8,FALSE))-(VLOOKUP($A8,test!$A$3:$I$32,9,FALSE))-50,0))</f>
        <v>0</v>
      </c>
      <c r="V8">
        <f>IF(SUM(VLOOKUP($A8,test!$A$3:$F$32,2,FALSE),VLOOKUP(V$1,test!$A$3:$F$32,2,FALSE))&lt;=test!$K$16,IF(AND($A8&lt;&gt;V$1,feasible_mat!V8=1),(VLOOKUP(V$1,test!$A$3:$I$32,8,FALSE))-(VLOOKUP($A8,test!$A$3:$I$32,9,FALSE)),0),IF(AND($A8&lt;&gt;V$1,feasible_mat!V8=1),(VLOOKUP(V$1,test!$A$3:$I$32,8,FALSE))-(VLOOKUP($A8,test!$A$3:$I$32,9,FALSE))-50,0))</f>
        <v>0</v>
      </c>
      <c r="W8">
        <f>IF(SUM(VLOOKUP($A8,test!$A$3:$F$32,2,FALSE),VLOOKUP(W$1,test!$A$3:$F$32,2,FALSE))&lt;=test!$K$16,IF(AND($A8&lt;&gt;W$1,feasible_mat!W8=1),(VLOOKUP(W$1,test!$A$3:$I$32,8,FALSE))-(VLOOKUP($A8,test!$A$3:$I$32,9,FALSE)),0),IF(AND($A8&lt;&gt;W$1,feasible_mat!W8=1),(VLOOKUP(W$1,test!$A$3:$I$32,8,FALSE))-(VLOOKUP($A8,test!$A$3:$I$32,9,FALSE))-50,0))</f>
        <v>0</v>
      </c>
      <c r="X8">
        <f>IF(SUM(VLOOKUP($A8,test!$A$3:$F$32,2,FALSE),VLOOKUP(X$1,test!$A$3:$F$32,2,FALSE))&lt;=test!$K$16,IF(AND($A8&lt;&gt;X$1,feasible_mat!X8=1),(VLOOKUP(X$1,test!$A$3:$I$32,8,FALSE))-(VLOOKUP($A8,test!$A$3:$I$32,9,FALSE)),0),IF(AND($A8&lt;&gt;X$1,feasible_mat!X8=1),(VLOOKUP(X$1,test!$A$3:$I$32,8,FALSE))-(VLOOKUP($A8,test!$A$3:$I$32,9,FALSE))-50,0))</f>
        <v>0</v>
      </c>
      <c r="Y8">
        <f>IF(SUM(VLOOKUP($A8,test!$A$3:$F$32,2,FALSE),VLOOKUP(Y$1,test!$A$3:$F$32,2,FALSE))&lt;=test!$K$16,IF(AND($A8&lt;&gt;Y$1,feasible_mat!Y8=1),(VLOOKUP(Y$1,test!$A$3:$I$32,8,FALSE))-(VLOOKUP($A8,test!$A$3:$I$32,9,FALSE)),0),IF(AND($A8&lt;&gt;Y$1,feasible_mat!Y8=1),(VLOOKUP(Y$1,test!$A$3:$I$32,8,FALSE))-(VLOOKUP($A8,test!$A$3:$I$32,9,FALSE))-50,0))</f>
        <v>0</v>
      </c>
      <c r="Z8">
        <f>IF(SUM(VLOOKUP($A8,test!$A$3:$F$32,2,FALSE),VLOOKUP(Z$1,test!$A$3:$F$32,2,FALSE))&lt;=test!$K$16,IF(AND($A8&lt;&gt;Z$1,feasible_mat!Z8=1),(VLOOKUP(Z$1,test!$A$3:$I$32,8,FALSE))-(VLOOKUP($A8,test!$A$3:$I$32,9,FALSE)),0),IF(AND($A8&lt;&gt;Z$1,feasible_mat!Z8=1),(VLOOKUP(Z$1,test!$A$3:$I$32,8,FALSE))-(VLOOKUP($A8,test!$A$3:$I$32,9,FALSE))-50,0))</f>
        <v>0</v>
      </c>
      <c r="AA8">
        <f>IF(SUM(VLOOKUP($A8,test!$A$3:$F$32,2,FALSE),VLOOKUP(AA$1,test!$A$3:$F$32,2,FALSE))&lt;=test!$K$16,IF(AND($A8&lt;&gt;AA$1,feasible_mat!AA8=1),(VLOOKUP(AA$1,test!$A$3:$I$32,8,FALSE))-(VLOOKUP($A8,test!$A$3:$I$32,9,FALSE)),0),IF(AND($A8&lt;&gt;AA$1,feasible_mat!AA8=1),(VLOOKUP(AA$1,test!$A$3:$I$32,8,FALSE))-(VLOOKUP($A8,test!$A$3:$I$32,9,FALSE))-50,0))</f>
        <v>0</v>
      </c>
      <c r="AB8">
        <f>IF(SUM(VLOOKUP($A8,test!$A$3:$F$32,2,FALSE),VLOOKUP(AB$1,test!$A$3:$F$32,2,FALSE))&lt;=test!$K$16,IF(AND($A8&lt;&gt;AB$1,feasible_mat!AB8=1),(VLOOKUP(AB$1,test!$A$3:$I$32,8,FALSE))-(VLOOKUP($A8,test!$A$3:$I$32,9,FALSE)),0),IF(AND($A8&lt;&gt;AB$1,feasible_mat!AB8=1),(VLOOKUP(AB$1,test!$A$3:$I$32,8,FALSE))-(VLOOKUP($A8,test!$A$3:$I$32,9,FALSE))-50,0))</f>
        <v>0</v>
      </c>
      <c r="AC8">
        <f>IF(SUM(VLOOKUP($A8,test!$A$3:$F$32,2,FALSE),VLOOKUP(AC$1,test!$A$3:$F$32,2,FALSE))&lt;=test!$K$16,IF(AND($A8&lt;&gt;AC$1,feasible_mat!AC8=1),(VLOOKUP(AC$1,test!$A$3:$I$32,8,FALSE))-(VLOOKUP($A8,test!$A$3:$I$32,9,FALSE)),0),IF(AND($A8&lt;&gt;AC$1,feasible_mat!AC8=1),(VLOOKUP(AC$1,test!$A$3:$I$32,8,FALSE))-(VLOOKUP($A8,test!$A$3:$I$32,9,FALSE))-50,0))</f>
        <v>0</v>
      </c>
      <c r="AD8">
        <f>IF(SUM(VLOOKUP($A8,test!$A$3:$F$32,2,FALSE),VLOOKUP(AD$1,test!$A$3:$F$32,2,FALSE))&lt;=test!$K$16,IF(AND($A8&lt;&gt;AD$1,feasible_mat!AD8=1),(VLOOKUP(AD$1,test!$A$3:$I$32,8,FALSE))-(VLOOKUP($A8,test!$A$3:$I$32,9,FALSE)),0),IF(AND($A8&lt;&gt;AD$1,feasible_mat!AD8=1),(VLOOKUP(AD$1,test!$A$3:$I$32,8,FALSE))-(VLOOKUP($A8,test!$A$3:$I$32,9,FALSE))-50,0))</f>
        <v>0</v>
      </c>
      <c r="AE8">
        <f>IF(SUM(VLOOKUP($A8,test!$A$3:$F$32,2,FALSE),VLOOKUP(AE$1,test!$A$3:$F$32,2,FALSE))&lt;=test!$K$16,IF(AND($A8&lt;&gt;AE$1,feasible_mat!AE8=1),(VLOOKUP(AE$1,test!$A$3:$I$32,8,FALSE))-(VLOOKUP($A8,test!$A$3:$I$32,9,FALSE)),0),IF(AND($A8&lt;&gt;AE$1,feasible_mat!AE8=1),(VLOOKUP(AE$1,test!$A$3:$I$32,8,FALSE))-(VLOOKUP($A8,test!$A$3:$I$32,9,FALSE))-50,0))</f>
        <v>0</v>
      </c>
      <c r="AF8">
        <f>IF(SUM(VLOOKUP($A8,test!$A$3:$F$32,2,FALSE),VLOOKUP(AF$1,test!$A$3:$F$32,2,FALSE))&lt;=test!$K$16,IF(AND($A8&lt;&gt;AF$1,feasible_mat!AF8=1),(VLOOKUP(AF$1,test!$A$3:$I$32,8,FALSE))-(VLOOKUP($A8,test!$A$3:$I$32,9,FALSE)),0),IF(AND($A8&lt;&gt;AF$1,feasible_mat!AF8=1),(VLOOKUP(AF$1,test!$A$3:$I$32,8,FALSE))-(VLOOKUP($A8,test!$A$3:$I$32,9,FALSE))-50,0))</f>
        <v>0</v>
      </c>
      <c r="AJ8" s="16">
        <f>SUM(VLOOKUP($A11,test!$A$3:$F$32,2,FALSE),VLOOKUP(AE$1,test!$A$3:$F$32,2,FALSE))</f>
        <v>350</v>
      </c>
    </row>
    <row r="9" spans="1:36" x14ac:dyDescent="0.25">
      <c r="A9" t="s">
        <v>14</v>
      </c>
      <c r="B9">
        <v>0</v>
      </c>
      <c r="C9">
        <f>IF(SUM(VLOOKUP($A9,test!$A$3:$F$32,2,FALSE),VLOOKUP(C$1,test!$A$3:$F$32,2,FALSE))&lt;=test!$K$16,IF(AND($A9&lt;&gt;C$1,feasible_mat!C9=1),(VLOOKUP(C$1,test!$A$3:$I$32,8,FALSE))-(VLOOKUP($A9,test!$A$3:$I$32,9,FALSE)),0),IF(AND($A9&lt;&gt;C$1,feasible_mat!C9=1),(VLOOKUP(C$1,test!$A$3:$I$32,8,FALSE))-(VLOOKUP($A9,test!$A$3:$I$32,9,FALSE))-50,0))</f>
        <v>0</v>
      </c>
      <c r="D9">
        <f>IF(SUM(VLOOKUP($A9,test!$A$3:$F$32,2,FALSE),VLOOKUP(D$1,test!$A$3:$F$32,2,FALSE))&lt;=test!$K$16,IF(AND($A9&lt;&gt;D$1,feasible_mat!D9=1),(VLOOKUP(D$1,test!$A$3:$I$32,8,FALSE))-(VLOOKUP($A9,test!$A$3:$I$32,9,FALSE)),0),IF(AND($A9&lt;&gt;D$1,feasible_mat!D9=1),(VLOOKUP(D$1,test!$A$3:$I$32,8,FALSE))-(VLOOKUP($A9,test!$A$3:$I$32,9,FALSE))-50,0))</f>
        <v>0</v>
      </c>
      <c r="E9">
        <f>IF(SUM(VLOOKUP($A9,test!$A$3:$F$32,2,FALSE),VLOOKUP(E$1,test!$A$3:$F$32,2,FALSE))&lt;=test!$K$16,IF(AND($A9&lt;&gt;E$1,feasible_mat!E9=1),(VLOOKUP(E$1,test!$A$3:$I$32,8,FALSE))-(VLOOKUP($A9,test!$A$3:$I$32,9,FALSE)),0),IF(AND($A9&lt;&gt;E$1,feasible_mat!E9=1),(VLOOKUP(E$1,test!$A$3:$I$32,8,FALSE))-(VLOOKUP($A9,test!$A$3:$I$32,9,FALSE))-50,0))</f>
        <v>0</v>
      </c>
      <c r="F9">
        <f>IF(SUM(VLOOKUP($A9,test!$A$3:$F$32,2,FALSE),VLOOKUP(F$1,test!$A$3:$F$32,2,FALSE))&lt;=test!$K$16,IF(AND($A9&lt;&gt;F$1,feasible_mat!F9=1),(VLOOKUP(F$1,test!$A$3:$I$32,8,FALSE))-(VLOOKUP($A9,test!$A$3:$I$32,9,FALSE)),0),IF(AND($A9&lt;&gt;F$1,feasible_mat!F9=1),(VLOOKUP(F$1,test!$A$3:$I$32,8,FALSE))-(VLOOKUP($A9,test!$A$3:$I$32,9,FALSE))-50,0))</f>
        <v>0</v>
      </c>
      <c r="G9">
        <f>IF(SUM(VLOOKUP($A9,test!$A$3:$F$32,2,FALSE),VLOOKUP(G$1,test!$A$3:$F$32,2,FALSE))&lt;=test!$K$16,IF(AND($A9&lt;&gt;G$1,feasible_mat!G9=1),(VLOOKUP(G$1,test!$A$3:$I$32,8,FALSE))-(VLOOKUP($A9,test!$A$3:$I$32,9,FALSE)),0),IF(AND($A9&lt;&gt;G$1,feasible_mat!G9=1),(VLOOKUP(G$1,test!$A$3:$I$32,8,FALSE))-(VLOOKUP($A9,test!$A$3:$I$32,9,FALSE))-50,0))</f>
        <v>0</v>
      </c>
      <c r="H9">
        <f>IF(SUM(VLOOKUP($A9,test!$A$3:$F$32,2,FALSE),VLOOKUP(H$1,test!$A$3:$F$32,2,FALSE))&lt;=test!$K$16,IF(AND($A9&lt;&gt;H$1,feasible_mat!H9=1),(VLOOKUP(H$1,test!$A$3:$I$32,8,FALSE))-(VLOOKUP($A9,test!$A$3:$I$32,9,FALSE)),0),IF(AND($A9&lt;&gt;H$1,feasible_mat!H9=1),(VLOOKUP(H$1,test!$A$3:$I$32,8,FALSE))-(VLOOKUP($A9,test!$A$3:$I$32,9,FALSE))-50,0))</f>
        <v>0</v>
      </c>
      <c r="I9">
        <f>IF(SUM(VLOOKUP($A9,test!$A$3:$F$32,2,FALSE),VLOOKUP(I$1,test!$A$3:$F$32,2,FALSE))&lt;=test!$K$16,IF(AND($A9&lt;&gt;I$1,feasible_mat!I9=1),(VLOOKUP(I$1,test!$A$3:$I$32,8,FALSE))-(VLOOKUP($A9,test!$A$3:$I$32,9,FALSE)),0),IF(AND($A9&lt;&gt;I$1,feasible_mat!I9=1),(VLOOKUP(I$1,test!$A$3:$I$32,8,FALSE))-(VLOOKUP($A9,test!$A$3:$I$32,9,FALSE))-50,0))</f>
        <v>0</v>
      </c>
      <c r="J9">
        <f>IF(SUM(VLOOKUP($A9,test!$A$3:$F$32,2,FALSE),VLOOKUP(J$1,test!$A$3:$F$32,2,FALSE))&lt;=test!$K$16,IF(AND($A9&lt;&gt;J$1,feasible_mat!J9=1),(VLOOKUP(J$1,test!$A$3:$I$32,8,FALSE))-(VLOOKUP($A9,test!$A$3:$I$32,9,FALSE)),0),IF(AND($A9&lt;&gt;J$1,feasible_mat!J9=1),(VLOOKUP(J$1,test!$A$3:$I$32,8,FALSE))-(VLOOKUP($A9,test!$A$3:$I$32,9,FALSE))-50,0))</f>
        <v>0</v>
      </c>
      <c r="K9">
        <f>IF(SUM(VLOOKUP($A9,test!$A$3:$F$32,2,FALSE),VLOOKUP(K$1,test!$A$3:$F$32,2,FALSE))&lt;=test!$K$16,IF(AND($A9&lt;&gt;K$1,feasible_mat!K9=1),(VLOOKUP(K$1,test!$A$3:$I$32,8,FALSE))-(VLOOKUP($A9,test!$A$3:$I$32,9,FALSE)),0),IF(AND($A9&lt;&gt;K$1,feasible_mat!K9=1),(VLOOKUP(K$1,test!$A$3:$I$32,8,FALSE))-(VLOOKUP($A9,test!$A$3:$I$32,9,FALSE))-50,0))</f>
        <v>0</v>
      </c>
      <c r="L9">
        <f>IF(SUM(VLOOKUP($A9,test!$A$3:$F$32,2,FALSE),VLOOKUP(L$1,test!$A$3:$F$32,2,FALSE))&lt;=test!$K$16,IF(AND($A9&lt;&gt;L$1,feasible_mat!L9=1),(VLOOKUP(L$1,test!$A$3:$I$32,8,FALSE))-(VLOOKUP($A9,test!$A$3:$I$32,9,FALSE)),0),IF(AND($A9&lt;&gt;L$1,feasible_mat!L9=1),(VLOOKUP(L$1,test!$A$3:$I$32,8,FALSE))-(VLOOKUP($A9,test!$A$3:$I$32,9,FALSE))-50,0))</f>
        <v>0</v>
      </c>
      <c r="M9">
        <f>IF(SUM(VLOOKUP($A9,test!$A$3:$F$32,2,FALSE),VLOOKUP(M$1,test!$A$3:$F$32,2,FALSE))&lt;=test!$K$16,IF(AND($A9&lt;&gt;M$1,feasible_mat!M9=1),(VLOOKUP(M$1,test!$A$3:$I$32,8,FALSE))-(VLOOKUP($A9,test!$A$3:$I$32,9,FALSE)),0),IF(AND($A9&lt;&gt;M$1,feasible_mat!M9=1),(VLOOKUP(M$1,test!$A$3:$I$32,8,FALSE))-(VLOOKUP($A9,test!$A$3:$I$32,9,FALSE))-50,0))</f>
        <v>0</v>
      </c>
      <c r="N9">
        <f>IF(SUM(VLOOKUP($A9,test!$A$3:$F$32,2,FALSE),VLOOKUP(N$1,test!$A$3:$F$32,2,FALSE))&lt;=test!$K$16,IF(AND($A9&lt;&gt;N$1,feasible_mat!N9=1),(VLOOKUP(N$1,test!$A$3:$I$32,8,FALSE))-(VLOOKUP($A9,test!$A$3:$I$32,9,FALSE)),0),IF(AND($A9&lt;&gt;N$1,feasible_mat!N9=1),(VLOOKUP(N$1,test!$A$3:$I$32,8,FALSE))-(VLOOKUP($A9,test!$A$3:$I$32,9,FALSE))-50,0))</f>
        <v>0</v>
      </c>
      <c r="O9">
        <f>IF(SUM(VLOOKUP($A9,test!$A$3:$F$32,2,FALSE),VLOOKUP(O$1,test!$A$3:$F$32,2,FALSE))&lt;=test!$K$16,IF(AND($A9&lt;&gt;O$1,feasible_mat!O9=1),(VLOOKUP(O$1,test!$A$3:$I$32,8,FALSE))-(VLOOKUP($A9,test!$A$3:$I$32,9,FALSE)),0),IF(AND($A9&lt;&gt;O$1,feasible_mat!O9=1),(VLOOKUP(O$1,test!$A$3:$I$32,8,FALSE))-(VLOOKUP($A9,test!$A$3:$I$32,9,FALSE))-50,0))</f>
        <v>0</v>
      </c>
      <c r="P9">
        <f>IF(SUM(VLOOKUP($A9,test!$A$3:$F$32,2,FALSE),VLOOKUP(P$1,test!$A$3:$F$32,2,FALSE))&lt;=test!$K$16,IF(AND($A9&lt;&gt;P$1,feasible_mat!P9=1),(VLOOKUP(P$1,test!$A$3:$I$32,8,FALSE))-(VLOOKUP($A9,test!$A$3:$I$32,9,FALSE)),0),IF(AND($A9&lt;&gt;P$1,feasible_mat!P9=1),(VLOOKUP(P$1,test!$A$3:$I$32,8,FALSE))-(VLOOKUP($A9,test!$A$3:$I$32,9,FALSE))-50,0))</f>
        <v>0</v>
      </c>
      <c r="Q9">
        <f>IF(SUM(VLOOKUP($A9,test!$A$3:$F$32,2,FALSE),VLOOKUP(Q$1,test!$A$3:$F$32,2,FALSE))&lt;=test!$K$16,IF(AND($A9&lt;&gt;Q$1,feasible_mat!Q9=1),(VLOOKUP(Q$1,test!$A$3:$I$32,8,FALSE))-(VLOOKUP($A9,test!$A$3:$I$32,9,FALSE)),0),IF(AND($A9&lt;&gt;Q$1,feasible_mat!Q9=1),(VLOOKUP(Q$1,test!$A$3:$I$32,8,FALSE))-(VLOOKUP($A9,test!$A$3:$I$32,9,FALSE))-50,0))</f>
        <v>0</v>
      </c>
      <c r="R9">
        <f>IF(SUM(VLOOKUP($A9,test!$A$3:$F$32,2,FALSE),VLOOKUP(R$1,test!$A$3:$F$32,2,FALSE))&lt;=test!$K$16,IF(AND($A9&lt;&gt;R$1,feasible_mat!R9=1),(VLOOKUP(R$1,test!$A$3:$I$32,8,FALSE))-(VLOOKUP($A9,test!$A$3:$I$32,9,FALSE)),0),IF(AND($A9&lt;&gt;R$1,feasible_mat!R9=1),(VLOOKUP(R$1,test!$A$3:$I$32,8,FALSE))-(VLOOKUP($A9,test!$A$3:$I$32,9,FALSE))-50,0))</f>
        <v>0</v>
      </c>
      <c r="S9">
        <f>IF(SUM(VLOOKUP($A9,test!$A$3:$F$32,2,FALSE),VLOOKUP(S$1,test!$A$3:$F$32,2,FALSE))&lt;=test!$K$16,IF(AND($A9&lt;&gt;S$1,feasible_mat!S9=1),(VLOOKUP(S$1,test!$A$3:$I$32,8,FALSE))-(VLOOKUP($A9,test!$A$3:$I$32,9,FALSE)),0),IF(AND($A9&lt;&gt;S$1,feasible_mat!S9=1),(VLOOKUP(S$1,test!$A$3:$I$32,8,FALSE))-(VLOOKUP($A9,test!$A$3:$I$32,9,FALSE))-50,0))</f>
        <v>0</v>
      </c>
      <c r="T9">
        <f>IF(SUM(VLOOKUP($A9,test!$A$3:$F$32,2,FALSE),VLOOKUP(T$1,test!$A$3:$F$32,2,FALSE))&lt;=test!$K$16,IF(AND($A9&lt;&gt;T$1,feasible_mat!T9=1),(VLOOKUP(T$1,test!$A$3:$I$32,8,FALSE))-(VLOOKUP($A9,test!$A$3:$I$32,9,FALSE)),0),IF(AND($A9&lt;&gt;T$1,feasible_mat!T9=1),(VLOOKUP(T$1,test!$A$3:$I$32,8,FALSE))-(VLOOKUP($A9,test!$A$3:$I$32,9,FALSE))-50,0))</f>
        <v>0</v>
      </c>
      <c r="U9">
        <f>IF(SUM(VLOOKUP($A9,test!$A$3:$F$32,2,FALSE),VLOOKUP(U$1,test!$A$3:$F$32,2,FALSE))&lt;=test!$K$16,IF(AND($A9&lt;&gt;U$1,feasible_mat!U9=1),(VLOOKUP(U$1,test!$A$3:$I$32,8,FALSE))-(VLOOKUP($A9,test!$A$3:$I$32,9,FALSE)),0),IF(AND($A9&lt;&gt;U$1,feasible_mat!U9=1),(VLOOKUP(U$1,test!$A$3:$I$32,8,FALSE))-(VLOOKUP($A9,test!$A$3:$I$32,9,FALSE))-50,0))</f>
        <v>0</v>
      </c>
      <c r="V9">
        <f>IF(SUM(VLOOKUP($A9,test!$A$3:$F$32,2,FALSE),VLOOKUP(V$1,test!$A$3:$F$32,2,FALSE))&lt;=test!$K$16,IF(AND($A9&lt;&gt;V$1,feasible_mat!V9=1),(VLOOKUP(V$1,test!$A$3:$I$32,8,FALSE))-(VLOOKUP($A9,test!$A$3:$I$32,9,FALSE)),0),IF(AND($A9&lt;&gt;V$1,feasible_mat!V9=1),(VLOOKUP(V$1,test!$A$3:$I$32,8,FALSE))-(VLOOKUP($A9,test!$A$3:$I$32,9,FALSE))-50,0))</f>
        <v>0</v>
      </c>
      <c r="W9">
        <f>IF(SUM(VLOOKUP($A9,test!$A$3:$F$32,2,FALSE),VLOOKUP(W$1,test!$A$3:$F$32,2,FALSE))&lt;=test!$K$16,IF(AND($A9&lt;&gt;W$1,feasible_mat!W9=1),(VLOOKUP(W$1,test!$A$3:$I$32,8,FALSE))-(VLOOKUP($A9,test!$A$3:$I$32,9,FALSE)),0),IF(AND($A9&lt;&gt;W$1,feasible_mat!W9=1),(VLOOKUP(W$1,test!$A$3:$I$32,8,FALSE))-(VLOOKUP($A9,test!$A$3:$I$32,9,FALSE))-50,0))</f>
        <v>0</v>
      </c>
      <c r="X9">
        <f>IF(SUM(VLOOKUP($A9,test!$A$3:$F$32,2,FALSE),VLOOKUP(X$1,test!$A$3:$F$32,2,FALSE))&lt;=test!$K$16,IF(AND($A9&lt;&gt;X$1,feasible_mat!X9=1),(VLOOKUP(X$1,test!$A$3:$I$32,8,FALSE))-(VLOOKUP($A9,test!$A$3:$I$32,9,FALSE)),0),IF(AND($A9&lt;&gt;X$1,feasible_mat!X9=1),(VLOOKUP(X$1,test!$A$3:$I$32,8,FALSE))-(VLOOKUP($A9,test!$A$3:$I$32,9,FALSE))-50,0))</f>
        <v>0</v>
      </c>
      <c r="Y9">
        <f>IF(SUM(VLOOKUP($A9,test!$A$3:$F$32,2,FALSE),VLOOKUP(Y$1,test!$A$3:$F$32,2,FALSE))&lt;=test!$K$16,IF(AND($A9&lt;&gt;Y$1,feasible_mat!Y9=1),(VLOOKUP(Y$1,test!$A$3:$I$32,8,FALSE))-(VLOOKUP($A9,test!$A$3:$I$32,9,FALSE)),0),IF(AND($A9&lt;&gt;Y$1,feasible_mat!Y9=1),(VLOOKUP(Y$1,test!$A$3:$I$32,8,FALSE))-(VLOOKUP($A9,test!$A$3:$I$32,9,FALSE))-50,0))</f>
        <v>0</v>
      </c>
      <c r="Z9">
        <f>IF(SUM(VLOOKUP($A9,test!$A$3:$F$32,2,FALSE),VLOOKUP(Z$1,test!$A$3:$F$32,2,FALSE))&lt;=test!$K$16,IF(AND($A9&lt;&gt;Z$1,feasible_mat!Z9=1),(VLOOKUP(Z$1,test!$A$3:$I$32,8,FALSE))-(VLOOKUP($A9,test!$A$3:$I$32,9,FALSE)),0),IF(AND($A9&lt;&gt;Z$1,feasible_mat!Z9=1),(VLOOKUP(Z$1,test!$A$3:$I$32,8,FALSE))-(VLOOKUP($A9,test!$A$3:$I$32,9,FALSE))-50,0))</f>
        <v>0</v>
      </c>
      <c r="AA9">
        <f>IF(SUM(VLOOKUP($A9,test!$A$3:$F$32,2,FALSE),VLOOKUP(AA$1,test!$A$3:$F$32,2,FALSE))&lt;=test!$K$16,IF(AND($A9&lt;&gt;AA$1,feasible_mat!AA9=1),(VLOOKUP(AA$1,test!$A$3:$I$32,8,FALSE))-(VLOOKUP($A9,test!$A$3:$I$32,9,FALSE)),0),IF(AND($A9&lt;&gt;AA$1,feasible_mat!AA9=1),(VLOOKUP(AA$1,test!$A$3:$I$32,8,FALSE))-(VLOOKUP($A9,test!$A$3:$I$32,9,FALSE))-50,0))</f>
        <v>0</v>
      </c>
      <c r="AB9">
        <f>IF(SUM(VLOOKUP($A9,test!$A$3:$F$32,2,FALSE),VLOOKUP(AB$1,test!$A$3:$F$32,2,FALSE))&lt;=test!$K$16,IF(AND($A9&lt;&gt;AB$1,feasible_mat!AB9=1),(VLOOKUP(AB$1,test!$A$3:$I$32,8,FALSE))-(VLOOKUP($A9,test!$A$3:$I$32,9,FALSE)),0),IF(AND($A9&lt;&gt;AB$1,feasible_mat!AB9=1),(VLOOKUP(AB$1,test!$A$3:$I$32,8,FALSE))-(VLOOKUP($A9,test!$A$3:$I$32,9,FALSE))-50,0))</f>
        <v>0</v>
      </c>
      <c r="AC9">
        <f>IF(SUM(VLOOKUP($A9,test!$A$3:$F$32,2,FALSE),VLOOKUP(AC$1,test!$A$3:$F$32,2,FALSE))&lt;=test!$K$16,IF(AND($A9&lt;&gt;AC$1,feasible_mat!AC9=1),(VLOOKUP(AC$1,test!$A$3:$I$32,8,FALSE))-(VLOOKUP($A9,test!$A$3:$I$32,9,FALSE)),0),IF(AND($A9&lt;&gt;AC$1,feasible_mat!AC9=1),(VLOOKUP(AC$1,test!$A$3:$I$32,8,FALSE))-(VLOOKUP($A9,test!$A$3:$I$32,9,FALSE))-50,0))</f>
        <v>0</v>
      </c>
      <c r="AD9">
        <f>IF(SUM(VLOOKUP($A9,test!$A$3:$F$32,2,FALSE),VLOOKUP(AD$1,test!$A$3:$F$32,2,FALSE))&lt;=test!$K$16,IF(AND($A9&lt;&gt;AD$1,feasible_mat!AD9=1),(VLOOKUP(AD$1,test!$A$3:$I$32,8,FALSE))-(VLOOKUP($A9,test!$A$3:$I$32,9,FALSE)),0),IF(AND($A9&lt;&gt;AD$1,feasible_mat!AD9=1),(VLOOKUP(AD$1,test!$A$3:$I$32,8,FALSE))-(VLOOKUP($A9,test!$A$3:$I$32,9,FALSE))-50,0))</f>
        <v>0</v>
      </c>
      <c r="AE9">
        <f>IF(SUM(VLOOKUP($A9,test!$A$3:$F$32,2,FALSE),VLOOKUP(AE$1,test!$A$3:$F$32,2,FALSE))&lt;=test!$K$16,IF(AND($A9&lt;&gt;AE$1,feasible_mat!AE9=1),(VLOOKUP(AE$1,test!$A$3:$I$32,8,FALSE))-(VLOOKUP($A9,test!$A$3:$I$32,9,FALSE)),0),IF(AND($A9&lt;&gt;AE$1,feasible_mat!AE9=1),(VLOOKUP(AE$1,test!$A$3:$I$32,8,FALSE))-(VLOOKUP($A9,test!$A$3:$I$32,9,FALSE))-50,0))</f>
        <v>0</v>
      </c>
      <c r="AF9">
        <f>IF(SUM(VLOOKUP($A9,test!$A$3:$F$32,2,FALSE),VLOOKUP(AF$1,test!$A$3:$F$32,2,FALSE))&lt;=test!$K$16,IF(AND($A9&lt;&gt;AF$1,feasible_mat!AF9=1),(VLOOKUP(AF$1,test!$A$3:$I$32,8,FALSE))-(VLOOKUP($A9,test!$A$3:$I$32,9,FALSE)),0),IF(AND($A9&lt;&gt;AF$1,feasible_mat!AF9=1),(VLOOKUP(AF$1,test!$A$3:$I$32,8,FALSE))-(VLOOKUP($A9,test!$A$3:$I$32,9,FALSE))-50,0))</f>
        <v>0</v>
      </c>
      <c r="AJ9" s="16">
        <f>test!$K$16</f>
        <v>350</v>
      </c>
    </row>
    <row r="10" spans="1:36" x14ac:dyDescent="0.25">
      <c r="A10" t="s">
        <v>15</v>
      </c>
      <c r="B10">
        <v>0</v>
      </c>
      <c r="C10">
        <f>IF(SUM(VLOOKUP($A10,test!$A$3:$F$32,2,FALSE),VLOOKUP(C$1,test!$A$3:$F$32,2,FALSE))&lt;=test!$K$16,IF(AND($A10&lt;&gt;C$1,feasible_mat!C10=1),(VLOOKUP(C$1,test!$A$3:$I$32,8,FALSE))-(VLOOKUP($A10,test!$A$3:$I$32,9,FALSE)),0),IF(AND($A10&lt;&gt;C$1,feasible_mat!C10=1),(VLOOKUP(C$1,test!$A$3:$I$32,8,FALSE))-(VLOOKUP($A10,test!$A$3:$I$32,9,FALSE))-50,0))</f>
        <v>0</v>
      </c>
      <c r="D10">
        <f>IF(SUM(VLOOKUP($A10,test!$A$3:$F$32,2,FALSE),VLOOKUP(D$1,test!$A$3:$F$32,2,FALSE))&lt;=test!$K$16,IF(AND($A10&lt;&gt;D$1,feasible_mat!D10=1),(VLOOKUP(D$1,test!$A$3:$I$32,8,FALSE))-(VLOOKUP($A10,test!$A$3:$I$32,9,FALSE)),0),IF(AND($A10&lt;&gt;D$1,feasible_mat!D10=1),(VLOOKUP(D$1,test!$A$3:$I$32,8,FALSE))-(VLOOKUP($A10,test!$A$3:$I$32,9,FALSE))-50,0))</f>
        <v>0</v>
      </c>
      <c r="E10">
        <f>IF(SUM(VLOOKUP($A10,test!$A$3:$F$32,2,FALSE),VLOOKUP(E$1,test!$A$3:$F$32,2,FALSE))&lt;=test!$K$16,IF(AND($A10&lt;&gt;E$1,feasible_mat!E10=1),(VLOOKUP(E$1,test!$A$3:$I$32,8,FALSE))-(VLOOKUP($A10,test!$A$3:$I$32,9,FALSE)),0),IF(AND($A10&lt;&gt;E$1,feasible_mat!E10=1),(VLOOKUP(E$1,test!$A$3:$I$32,8,FALSE))-(VLOOKUP($A10,test!$A$3:$I$32,9,FALSE))-50,0))</f>
        <v>0</v>
      </c>
      <c r="F10">
        <f>IF(SUM(VLOOKUP($A10,test!$A$3:$F$32,2,FALSE),VLOOKUP(F$1,test!$A$3:$F$32,2,FALSE))&lt;=test!$K$16,IF(AND($A10&lt;&gt;F$1,feasible_mat!F10=1),(VLOOKUP(F$1,test!$A$3:$I$32,8,FALSE))-(VLOOKUP($A10,test!$A$3:$I$32,9,FALSE)),0),IF(AND($A10&lt;&gt;F$1,feasible_mat!F10=1),(VLOOKUP(F$1,test!$A$3:$I$32,8,FALSE))-(VLOOKUP($A10,test!$A$3:$I$32,9,FALSE))-50,0))</f>
        <v>0</v>
      </c>
      <c r="G10">
        <f>IF(SUM(VLOOKUP($A10,test!$A$3:$F$32,2,FALSE),VLOOKUP(G$1,test!$A$3:$F$32,2,FALSE))&lt;=test!$K$16,IF(AND($A10&lt;&gt;G$1,feasible_mat!G10=1),(VLOOKUP(G$1,test!$A$3:$I$32,8,FALSE))-(VLOOKUP($A10,test!$A$3:$I$32,9,FALSE)),0),IF(AND($A10&lt;&gt;G$1,feasible_mat!G10=1),(VLOOKUP(G$1,test!$A$3:$I$32,8,FALSE))-(VLOOKUP($A10,test!$A$3:$I$32,9,FALSE))-50,0))</f>
        <v>0</v>
      </c>
      <c r="H10">
        <f>IF(SUM(VLOOKUP($A10,test!$A$3:$F$32,2,FALSE),VLOOKUP(H$1,test!$A$3:$F$32,2,FALSE))&lt;=test!$K$16,IF(AND($A10&lt;&gt;H$1,feasible_mat!H10=1),(VLOOKUP(H$1,test!$A$3:$I$32,8,FALSE))-(VLOOKUP($A10,test!$A$3:$I$32,9,FALSE)),0),IF(AND($A10&lt;&gt;H$1,feasible_mat!H10=1),(VLOOKUP(H$1,test!$A$3:$I$32,8,FALSE))-(VLOOKUP($A10,test!$A$3:$I$32,9,FALSE))-50,0))</f>
        <v>0</v>
      </c>
      <c r="I10">
        <f>IF(SUM(VLOOKUP($A10,test!$A$3:$F$32,2,FALSE),VLOOKUP(I$1,test!$A$3:$F$32,2,FALSE))&lt;=test!$K$16,IF(AND($A10&lt;&gt;I$1,feasible_mat!I10=1),(VLOOKUP(I$1,test!$A$3:$I$32,8,FALSE))-(VLOOKUP($A10,test!$A$3:$I$32,9,FALSE)),0),IF(AND($A10&lt;&gt;I$1,feasible_mat!I10=1),(VLOOKUP(I$1,test!$A$3:$I$32,8,FALSE))-(VLOOKUP($A10,test!$A$3:$I$32,9,FALSE))-50,0))</f>
        <v>0</v>
      </c>
      <c r="J10">
        <f>IF(SUM(VLOOKUP($A10,test!$A$3:$F$32,2,FALSE),VLOOKUP(J$1,test!$A$3:$F$32,2,FALSE))&lt;=test!$K$16,IF(AND($A10&lt;&gt;J$1,feasible_mat!J10=1),(VLOOKUP(J$1,test!$A$3:$I$32,8,FALSE))-(VLOOKUP($A10,test!$A$3:$I$32,9,FALSE)),0),IF(AND($A10&lt;&gt;J$1,feasible_mat!J10=1),(VLOOKUP(J$1,test!$A$3:$I$32,8,FALSE))-(VLOOKUP($A10,test!$A$3:$I$32,9,FALSE))-50,0))</f>
        <v>0</v>
      </c>
      <c r="K10">
        <f>IF(SUM(VLOOKUP($A10,test!$A$3:$F$32,2,FALSE),VLOOKUP(K$1,test!$A$3:$F$32,2,FALSE))&lt;=test!$K$16,IF(AND($A10&lt;&gt;K$1,feasible_mat!K10=1),(VLOOKUP(K$1,test!$A$3:$I$32,8,FALSE))-(VLOOKUP($A10,test!$A$3:$I$32,9,FALSE)),0),IF(AND($A10&lt;&gt;K$1,feasible_mat!K10=1),(VLOOKUP(K$1,test!$A$3:$I$32,8,FALSE))-(VLOOKUP($A10,test!$A$3:$I$32,9,FALSE))-50,0))</f>
        <v>0</v>
      </c>
      <c r="L10">
        <f>IF(SUM(VLOOKUP($A10,test!$A$3:$F$32,2,FALSE),VLOOKUP(L$1,test!$A$3:$F$32,2,FALSE))&lt;=test!$K$16,IF(AND($A10&lt;&gt;L$1,feasible_mat!L10=1),(VLOOKUP(L$1,test!$A$3:$I$32,8,FALSE))-(VLOOKUP($A10,test!$A$3:$I$32,9,FALSE)),0),IF(AND($A10&lt;&gt;L$1,feasible_mat!L10=1),(VLOOKUP(L$1,test!$A$3:$I$32,8,FALSE))-(VLOOKUP($A10,test!$A$3:$I$32,9,FALSE))-50,0))</f>
        <v>0</v>
      </c>
      <c r="M10">
        <f>IF(SUM(VLOOKUP($A10,test!$A$3:$F$32,2,FALSE),VLOOKUP(M$1,test!$A$3:$F$32,2,FALSE))&lt;=test!$K$16,IF(AND($A10&lt;&gt;M$1,feasible_mat!M10=1),(VLOOKUP(M$1,test!$A$3:$I$32,8,FALSE))-(VLOOKUP($A10,test!$A$3:$I$32,9,FALSE)),0),IF(AND($A10&lt;&gt;M$1,feasible_mat!M10=1),(VLOOKUP(M$1,test!$A$3:$I$32,8,FALSE))-(VLOOKUP($A10,test!$A$3:$I$32,9,FALSE))-50,0))</f>
        <v>0</v>
      </c>
      <c r="N10">
        <f>IF(SUM(VLOOKUP($A10,test!$A$3:$F$32,2,FALSE),VLOOKUP(N$1,test!$A$3:$F$32,2,FALSE))&lt;=test!$K$16,IF(AND($A10&lt;&gt;N$1,feasible_mat!N10=1),(VLOOKUP(N$1,test!$A$3:$I$32,8,FALSE))-(VLOOKUP($A10,test!$A$3:$I$32,9,FALSE)),0),IF(AND($A10&lt;&gt;N$1,feasible_mat!N10=1),(VLOOKUP(N$1,test!$A$3:$I$32,8,FALSE))-(VLOOKUP($A10,test!$A$3:$I$32,9,FALSE))-50,0))</f>
        <v>0</v>
      </c>
      <c r="O10">
        <f>IF(SUM(VLOOKUP($A10,test!$A$3:$F$32,2,FALSE),VLOOKUP(O$1,test!$A$3:$F$32,2,FALSE))&lt;=test!$K$16,IF(AND($A10&lt;&gt;O$1,feasible_mat!O10=1),(VLOOKUP(O$1,test!$A$3:$I$32,8,FALSE))-(VLOOKUP($A10,test!$A$3:$I$32,9,FALSE)),0),IF(AND($A10&lt;&gt;O$1,feasible_mat!O10=1),(VLOOKUP(O$1,test!$A$3:$I$32,8,FALSE))-(VLOOKUP($A10,test!$A$3:$I$32,9,FALSE))-50,0))</f>
        <v>0</v>
      </c>
      <c r="P10">
        <f>IF(SUM(VLOOKUP($A10,test!$A$3:$F$32,2,FALSE),VLOOKUP(P$1,test!$A$3:$F$32,2,FALSE))&lt;=test!$K$16,IF(AND($A10&lt;&gt;P$1,feasible_mat!P10=1),(VLOOKUP(P$1,test!$A$3:$I$32,8,FALSE))-(VLOOKUP($A10,test!$A$3:$I$32,9,FALSE)),0),IF(AND($A10&lt;&gt;P$1,feasible_mat!P10=1),(VLOOKUP(P$1,test!$A$3:$I$32,8,FALSE))-(VLOOKUP($A10,test!$A$3:$I$32,9,FALSE))-50,0))</f>
        <v>0</v>
      </c>
      <c r="Q10">
        <f>IF(SUM(VLOOKUP($A10,test!$A$3:$F$32,2,FALSE),VLOOKUP(Q$1,test!$A$3:$F$32,2,FALSE))&lt;=test!$K$16,IF(AND($A10&lt;&gt;Q$1,feasible_mat!Q10=1),(VLOOKUP(Q$1,test!$A$3:$I$32,8,FALSE))-(VLOOKUP($A10,test!$A$3:$I$32,9,FALSE)),0),IF(AND($A10&lt;&gt;Q$1,feasible_mat!Q10=1),(VLOOKUP(Q$1,test!$A$3:$I$32,8,FALSE))-(VLOOKUP($A10,test!$A$3:$I$32,9,FALSE))-50,0))</f>
        <v>0</v>
      </c>
      <c r="R10">
        <f>IF(SUM(VLOOKUP($A10,test!$A$3:$F$32,2,FALSE),VLOOKUP(R$1,test!$A$3:$F$32,2,FALSE))&lt;=test!$K$16,IF(AND($A10&lt;&gt;R$1,feasible_mat!R10=1),(VLOOKUP(R$1,test!$A$3:$I$32,8,FALSE))-(VLOOKUP($A10,test!$A$3:$I$32,9,FALSE)),0),IF(AND($A10&lt;&gt;R$1,feasible_mat!R10=1),(VLOOKUP(R$1,test!$A$3:$I$32,8,FALSE))-(VLOOKUP($A10,test!$A$3:$I$32,9,FALSE))-50,0))</f>
        <v>0</v>
      </c>
      <c r="S10">
        <f>IF(SUM(VLOOKUP($A10,test!$A$3:$F$32,2,FALSE),VLOOKUP(S$1,test!$A$3:$F$32,2,FALSE))&lt;=test!$K$16,IF(AND($A10&lt;&gt;S$1,feasible_mat!S10=1),(VLOOKUP(S$1,test!$A$3:$I$32,8,FALSE))-(VLOOKUP($A10,test!$A$3:$I$32,9,FALSE)),0),IF(AND($A10&lt;&gt;S$1,feasible_mat!S10=1),(VLOOKUP(S$1,test!$A$3:$I$32,8,FALSE))-(VLOOKUP($A10,test!$A$3:$I$32,9,FALSE))-50,0))</f>
        <v>0</v>
      </c>
      <c r="T10">
        <f>IF(SUM(VLOOKUP($A10,test!$A$3:$F$32,2,FALSE),VLOOKUP(T$1,test!$A$3:$F$32,2,FALSE))&lt;=test!$K$16,IF(AND($A10&lt;&gt;T$1,feasible_mat!T10=1),(VLOOKUP(T$1,test!$A$3:$I$32,8,FALSE))-(VLOOKUP($A10,test!$A$3:$I$32,9,FALSE)),0),IF(AND($A10&lt;&gt;T$1,feasible_mat!T10=1),(VLOOKUP(T$1,test!$A$3:$I$32,8,FALSE))-(VLOOKUP($A10,test!$A$3:$I$32,9,FALSE))-50,0))</f>
        <v>0</v>
      </c>
      <c r="U10">
        <f>IF(SUM(VLOOKUP($A10,test!$A$3:$F$32,2,FALSE),VLOOKUP(U$1,test!$A$3:$F$32,2,FALSE))&lt;=test!$K$16,IF(AND($A10&lt;&gt;U$1,feasible_mat!U10=1),(VLOOKUP(U$1,test!$A$3:$I$32,8,FALSE))-(VLOOKUP($A10,test!$A$3:$I$32,9,FALSE)),0),IF(AND($A10&lt;&gt;U$1,feasible_mat!U10=1),(VLOOKUP(U$1,test!$A$3:$I$32,8,FALSE))-(VLOOKUP($A10,test!$A$3:$I$32,9,FALSE))-50,0))</f>
        <v>0</v>
      </c>
      <c r="V10">
        <f>IF(SUM(VLOOKUP($A10,test!$A$3:$F$32,2,FALSE),VLOOKUP(V$1,test!$A$3:$F$32,2,FALSE))&lt;=test!$K$16,IF(AND($A10&lt;&gt;V$1,feasible_mat!V10=1),(VLOOKUP(V$1,test!$A$3:$I$32,8,FALSE))-(VLOOKUP($A10,test!$A$3:$I$32,9,FALSE)),0),IF(AND($A10&lt;&gt;V$1,feasible_mat!V10=1),(VLOOKUP(V$1,test!$A$3:$I$32,8,FALSE))-(VLOOKUP($A10,test!$A$3:$I$32,9,FALSE))-50,0))</f>
        <v>0</v>
      </c>
      <c r="W10">
        <f>IF(SUM(VLOOKUP($A10,test!$A$3:$F$32,2,FALSE),VLOOKUP(W$1,test!$A$3:$F$32,2,FALSE))&lt;=test!$K$16,IF(AND($A10&lt;&gt;W$1,feasible_mat!W10=1),(VLOOKUP(W$1,test!$A$3:$I$32,8,FALSE))-(VLOOKUP($A10,test!$A$3:$I$32,9,FALSE)),0),IF(AND($A10&lt;&gt;W$1,feasible_mat!W10=1),(VLOOKUP(W$1,test!$A$3:$I$32,8,FALSE))-(VLOOKUP($A10,test!$A$3:$I$32,9,FALSE))-50,0))</f>
        <v>0</v>
      </c>
      <c r="X10">
        <f>IF(SUM(VLOOKUP($A10,test!$A$3:$F$32,2,FALSE),VLOOKUP(X$1,test!$A$3:$F$32,2,FALSE))&lt;=test!$K$16,IF(AND($A10&lt;&gt;X$1,feasible_mat!X10=1),(VLOOKUP(X$1,test!$A$3:$I$32,8,FALSE))-(VLOOKUP($A10,test!$A$3:$I$32,9,FALSE)),0),IF(AND($A10&lt;&gt;X$1,feasible_mat!X10=1),(VLOOKUP(X$1,test!$A$3:$I$32,8,FALSE))-(VLOOKUP($A10,test!$A$3:$I$32,9,FALSE))-50,0))</f>
        <v>0</v>
      </c>
      <c r="Y10">
        <f>IF(SUM(VLOOKUP($A10,test!$A$3:$F$32,2,FALSE),VLOOKUP(Y$1,test!$A$3:$F$32,2,FALSE))&lt;=test!$K$16,IF(AND($A10&lt;&gt;Y$1,feasible_mat!Y10=1),(VLOOKUP(Y$1,test!$A$3:$I$32,8,FALSE))-(VLOOKUP($A10,test!$A$3:$I$32,9,FALSE)),0),IF(AND($A10&lt;&gt;Y$1,feasible_mat!Y10=1),(VLOOKUP(Y$1,test!$A$3:$I$32,8,FALSE))-(VLOOKUP($A10,test!$A$3:$I$32,9,FALSE))-50,0))</f>
        <v>0</v>
      </c>
      <c r="Z10">
        <f>IF(SUM(VLOOKUP($A10,test!$A$3:$F$32,2,FALSE),VLOOKUP(Z$1,test!$A$3:$F$32,2,FALSE))&lt;=test!$K$16,IF(AND($A10&lt;&gt;Z$1,feasible_mat!Z10=1),(VLOOKUP(Z$1,test!$A$3:$I$32,8,FALSE))-(VLOOKUP($A10,test!$A$3:$I$32,9,FALSE)),0),IF(AND($A10&lt;&gt;Z$1,feasible_mat!Z10=1),(VLOOKUP(Z$1,test!$A$3:$I$32,8,FALSE))-(VLOOKUP($A10,test!$A$3:$I$32,9,FALSE))-50,0))</f>
        <v>0</v>
      </c>
      <c r="AA10">
        <f>IF(SUM(VLOOKUP($A10,test!$A$3:$F$32,2,FALSE),VLOOKUP(AA$1,test!$A$3:$F$32,2,FALSE))&lt;=test!$K$16,IF(AND($A10&lt;&gt;AA$1,feasible_mat!AA10=1),(VLOOKUP(AA$1,test!$A$3:$I$32,8,FALSE))-(VLOOKUP($A10,test!$A$3:$I$32,9,FALSE)),0),IF(AND($A10&lt;&gt;AA$1,feasible_mat!AA10=1),(VLOOKUP(AA$1,test!$A$3:$I$32,8,FALSE))-(VLOOKUP($A10,test!$A$3:$I$32,9,FALSE))-50,0))</f>
        <v>0</v>
      </c>
      <c r="AB10">
        <f>IF(SUM(VLOOKUP($A10,test!$A$3:$F$32,2,FALSE),VLOOKUP(AB$1,test!$A$3:$F$32,2,FALSE))&lt;=test!$K$16,IF(AND($A10&lt;&gt;AB$1,feasible_mat!AB10=1),(VLOOKUP(AB$1,test!$A$3:$I$32,8,FALSE))-(VLOOKUP($A10,test!$A$3:$I$32,9,FALSE)),0),IF(AND($A10&lt;&gt;AB$1,feasible_mat!AB10=1),(VLOOKUP(AB$1,test!$A$3:$I$32,8,FALSE))-(VLOOKUP($A10,test!$A$3:$I$32,9,FALSE))-50,0))</f>
        <v>0</v>
      </c>
      <c r="AC10">
        <f>IF(SUM(VLOOKUP($A10,test!$A$3:$F$32,2,FALSE),VLOOKUP(AC$1,test!$A$3:$F$32,2,FALSE))&lt;=test!$K$16,IF(AND($A10&lt;&gt;AC$1,feasible_mat!AC10=1),(VLOOKUP(AC$1,test!$A$3:$I$32,8,FALSE))-(VLOOKUP($A10,test!$A$3:$I$32,9,FALSE)),0),IF(AND($A10&lt;&gt;AC$1,feasible_mat!AC10=1),(VLOOKUP(AC$1,test!$A$3:$I$32,8,FALSE))-(VLOOKUP($A10,test!$A$3:$I$32,9,FALSE))-50,0))</f>
        <v>0</v>
      </c>
      <c r="AD10">
        <f>IF(SUM(VLOOKUP($A10,test!$A$3:$F$32,2,FALSE),VLOOKUP(AD$1,test!$A$3:$F$32,2,FALSE))&lt;=test!$K$16,IF(AND($A10&lt;&gt;AD$1,feasible_mat!AD10=1),(VLOOKUP(AD$1,test!$A$3:$I$32,8,FALSE))-(VLOOKUP($A10,test!$A$3:$I$32,9,FALSE)),0),IF(AND($A10&lt;&gt;AD$1,feasible_mat!AD10=1),(VLOOKUP(AD$1,test!$A$3:$I$32,8,FALSE))-(VLOOKUP($A10,test!$A$3:$I$32,9,FALSE))-50,0))</f>
        <v>0</v>
      </c>
      <c r="AE10">
        <f>IF(SUM(VLOOKUP($A10,test!$A$3:$F$32,2,FALSE),VLOOKUP(AE$1,test!$A$3:$F$32,2,FALSE))&lt;=test!$K$16,IF(AND($A10&lt;&gt;AE$1,feasible_mat!AE10=1),(VLOOKUP(AE$1,test!$A$3:$I$32,8,FALSE))-(VLOOKUP($A10,test!$A$3:$I$32,9,FALSE)),0),IF(AND($A10&lt;&gt;AE$1,feasible_mat!AE10=1),(VLOOKUP(AE$1,test!$A$3:$I$32,8,FALSE))-(VLOOKUP($A10,test!$A$3:$I$32,9,FALSE))-50,0))</f>
        <v>0</v>
      </c>
      <c r="AF10">
        <f>IF(SUM(VLOOKUP($A10,test!$A$3:$F$32,2,FALSE),VLOOKUP(AF$1,test!$A$3:$F$32,2,FALSE))&lt;=test!$K$16,IF(AND($A10&lt;&gt;AF$1,feasible_mat!AF10=1),(VLOOKUP(AF$1,test!$A$3:$I$32,8,FALSE))-(VLOOKUP($A10,test!$A$3:$I$32,9,FALSE)),0),IF(AND($A10&lt;&gt;AF$1,feasible_mat!AF10=1),(VLOOKUP(AF$1,test!$A$3:$I$32,8,FALSE))-(VLOOKUP($A10,test!$A$3:$I$32,9,FALSE))-50,0))</f>
        <v>0</v>
      </c>
      <c r="AJ10" s="16" t="b">
        <f>$A11&lt;&gt;AE$1</f>
        <v>1</v>
      </c>
    </row>
    <row r="11" spans="1:36" x14ac:dyDescent="0.25">
      <c r="A11" t="s">
        <v>18</v>
      </c>
      <c r="B11">
        <v>0</v>
      </c>
      <c r="C11">
        <f>IF(SUM(VLOOKUP($A11,test!$A$3:$F$32,2,FALSE),VLOOKUP(C$1,test!$A$3:$F$32,2,FALSE))&lt;=test!$K$16,IF(AND($A11&lt;&gt;C$1,feasible_mat!C11=1),(VLOOKUP(C$1,test!$A$3:$I$32,8,FALSE))-(VLOOKUP($A11,test!$A$3:$I$32,9,FALSE)),0),IF(AND($A11&lt;&gt;C$1,feasible_mat!C11=1),(VLOOKUP(C$1,test!$A$3:$I$32,8,FALSE))-(VLOOKUP($A11,test!$A$3:$I$32,9,FALSE))-50,0))</f>
        <v>0</v>
      </c>
      <c r="D11">
        <f>IF(SUM(VLOOKUP($A11,test!$A$3:$F$32,2,FALSE),VLOOKUP(D$1,test!$A$3:$F$32,2,FALSE))&lt;=test!$K$16,IF(AND($A11&lt;&gt;D$1,feasible_mat!D11=1),(VLOOKUP(D$1,test!$A$3:$I$32,8,FALSE))-(VLOOKUP($A11,test!$A$3:$I$32,9,FALSE)),0),IF(AND($A11&lt;&gt;D$1,feasible_mat!D11=1),(VLOOKUP(D$1,test!$A$3:$I$32,8,FALSE))-(VLOOKUP($A11,test!$A$3:$I$32,9,FALSE))-50,0))</f>
        <v>45</v>
      </c>
      <c r="E11">
        <f>IF(SUM(VLOOKUP($A11,test!$A$3:$F$32,2,FALSE),VLOOKUP(E$1,test!$A$3:$F$32,2,FALSE))&lt;=test!$K$16,IF(AND($A11&lt;&gt;E$1,feasible_mat!E11=1),(VLOOKUP(E$1,test!$A$3:$I$32,8,FALSE))-(VLOOKUP($A11,test!$A$3:$I$32,9,FALSE)),0),IF(AND($A11&lt;&gt;E$1,feasible_mat!E11=1),(VLOOKUP(E$1,test!$A$3:$I$32,8,FALSE))-(VLOOKUP($A11,test!$A$3:$I$32,9,FALSE))-50,0))</f>
        <v>135</v>
      </c>
      <c r="F11">
        <f>IF(SUM(VLOOKUP($A11,test!$A$3:$F$32,2,FALSE),VLOOKUP(F$1,test!$A$3:$F$32,2,FALSE))&lt;=test!$K$16,IF(AND($A11&lt;&gt;F$1,feasible_mat!F11=1),(VLOOKUP(F$1,test!$A$3:$I$32,8,FALSE))-(VLOOKUP($A11,test!$A$3:$I$32,9,FALSE)),0),IF(AND($A11&lt;&gt;F$1,feasible_mat!F11=1),(VLOOKUP(F$1,test!$A$3:$I$32,8,FALSE))-(VLOOKUP($A11,test!$A$3:$I$32,9,FALSE))-50,0))</f>
        <v>225</v>
      </c>
      <c r="G11">
        <f>IF(SUM(VLOOKUP($A11,test!$A$3:$F$32,2,FALSE),VLOOKUP(G$1,test!$A$3:$F$32,2,FALSE))&lt;=test!$K$16,IF(AND($A11&lt;&gt;G$1,feasible_mat!G11=1),(VLOOKUP(G$1,test!$A$3:$I$32,8,FALSE))-(VLOOKUP($A11,test!$A$3:$I$32,9,FALSE)),0),IF(AND($A11&lt;&gt;G$1,feasible_mat!G11=1),(VLOOKUP(G$1,test!$A$3:$I$32,8,FALSE))-(VLOOKUP($A11,test!$A$3:$I$32,9,FALSE))-50,0))</f>
        <v>285</v>
      </c>
      <c r="H11">
        <f>IF(SUM(VLOOKUP($A11,test!$A$3:$F$32,2,FALSE),VLOOKUP(H$1,test!$A$3:$F$32,2,FALSE))&lt;=test!$K$16,IF(AND($A11&lt;&gt;H$1,feasible_mat!H11=1),(VLOOKUP(H$1,test!$A$3:$I$32,8,FALSE))-(VLOOKUP($A11,test!$A$3:$I$32,9,FALSE)),0),IF(AND($A11&lt;&gt;H$1,feasible_mat!H11=1),(VLOOKUP(H$1,test!$A$3:$I$32,8,FALSE))-(VLOOKUP($A11,test!$A$3:$I$32,9,FALSE))-50,0))</f>
        <v>345</v>
      </c>
      <c r="I11">
        <f>IF(SUM(VLOOKUP($A11,test!$A$3:$F$32,2,FALSE),VLOOKUP(I$1,test!$A$3:$F$32,2,FALSE))&lt;=test!$K$16,IF(AND($A11&lt;&gt;I$1,feasible_mat!I11=1),(VLOOKUP(I$1,test!$A$3:$I$32,8,FALSE))-(VLOOKUP($A11,test!$A$3:$I$32,9,FALSE)),0),IF(AND($A11&lt;&gt;I$1,feasible_mat!I11=1),(VLOOKUP(I$1,test!$A$3:$I$32,8,FALSE))-(VLOOKUP($A11,test!$A$3:$I$32,9,FALSE))-50,0))</f>
        <v>405</v>
      </c>
      <c r="J11">
        <f>IF(SUM(VLOOKUP($A11,test!$A$3:$F$32,2,FALSE),VLOOKUP(J$1,test!$A$3:$F$32,2,FALSE))&lt;=test!$K$16,IF(AND($A11&lt;&gt;J$1,feasible_mat!J11=1),(VLOOKUP(J$1,test!$A$3:$I$32,8,FALSE))-(VLOOKUP($A11,test!$A$3:$I$32,9,FALSE)),0),IF(AND($A11&lt;&gt;J$1,feasible_mat!J11=1),(VLOOKUP(J$1,test!$A$3:$I$32,8,FALSE))-(VLOOKUP($A11,test!$A$3:$I$32,9,FALSE))-50,0))</f>
        <v>495</v>
      </c>
      <c r="K11">
        <f>IF(SUM(VLOOKUP($A11,test!$A$3:$F$32,2,FALSE),VLOOKUP(K$1,test!$A$3:$F$32,2,FALSE))&lt;=test!$K$16,IF(AND($A11&lt;&gt;K$1,feasible_mat!K11=1),(VLOOKUP(K$1,test!$A$3:$I$32,8,FALSE))-(VLOOKUP($A11,test!$A$3:$I$32,9,FALSE)),0),IF(AND($A11&lt;&gt;K$1,feasible_mat!K11=1),(VLOOKUP(K$1,test!$A$3:$I$32,8,FALSE))-(VLOOKUP($A11,test!$A$3:$I$32,9,FALSE))-50,0))</f>
        <v>0</v>
      </c>
      <c r="L11">
        <f>IF(SUM(VLOOKUP($A11,test!$A$3:$F$32,2,FALSE),VLOOKUP(L$1,test!$A$3:$F$32,2,FALSE))&lt;=test!$K$16,IF(AND($A11&lt;&gt;L$1,feasible_mat!L11=1),(VLOOKUP(L$1,test!$A$3:$I$32,8,FALSE))-(VLOOKUP($A11,test!$A$3:$I$32,9,FALSE)),0),IF(AND($A11&lt;&gt;L$1,feasible_mat!L11=1),(VLOOKUP(L$1,test!$A$3:$I$32,8,FALSE))-(VLOOKUP($A11,test!$A$3:$I$32,9,FALSE))-50,0))</f>
        <v>0</v>
      </c>
      <c r="M11">
        <f>IF(SUM(VLOOKUP($A11,test!$A$3:$F$32,2,FALSE),VLOOKUP(M$1,test!$A$3:$F$32,2,FALSE))&lt;=test!$K$16,IF(AND($A11&lt;&gt;M$1,feasible_mat!M11=1),(VLOOKUP(M$1,test!$A$3:$I$32,8,FALSE))-(VLOOKUP($A11,test!$A$3:$I$32,9,FALSE)),0),IF(AND($A11&lt;&gt;M$1,feasible_mat!M11=1),(VLOOKUP(M$1,test!$A$3:$I$32,8,FALSE))-(VLOOKUP($A11,test!$A$3:$I$32,9,FALSE))-50,0))</f>
        <v>100</v>
      </c>
      <c r="N11">
        <f>IF(SUM(VLOOKUP($A11,test!$A$3:$F$32,2,FALSE),VLOOKUP(N$1,test!$A$3:$F$32,2,FALSE))&lt;=test!$K$16,IF(AND($A11&lt;&gt;N$1,feasible_mat!N11=1),(VLOOKUP(N$1,test!$A$3:$I$32,8,FALSE))-(VLOOKUP($A11,test!$A$3:$I$32,9,FALSE)),0),IF(AND($A11&lt;&gt;N$1,feasible_mat!N11=1),(VLOOKUP(N$1,test!$A$3:$I$32,8,FALSE))-(VLOOKUP($A11,test!$A$3:$I$32,9,FALSE))-50,0))</f>
        <v>460</v>
      </c>
      <c r="O11">
        <f>IF(SUM(VLOOKUP($A11,test!$A$3:$F$32,2,FALSE),VLOOKUP(O$1,test!$A$3:$F$32,2,FALSE))&lt;=test!$K$16,IF(AND($A11&lt;&gt;O$1,feasible_mat!O11=1),(VLOOKUP(O$1,test!$A$3:$I$32,8,FALSE))-(VLOOKUP($A11,test!$A$3:$I$32,9,FALSE)),0),IF(AND($A11&lt;&gt;O$1,feasible_mat!O11=1),(VLOOKUP(O$1,test!$A$3:$I$32,8,FALSE))-(VLOOKUP($A11,test!$A$3:$I$32,9,FALSE))-50,0))</f>
        <v>520</v>
      </c>
      <c r="P11">
        <f>IF(SUM(VLOOKUP($A11,test!$A$3:$F$32,2,FALSE),VLOOKUP(P$1,test!$A$3:$F$32,2,FALSE))&lt;=test!$K$16,IF(AND($A11&lt;&gt;P$1,feasible_mat!P11=1),(VLOOKUP(P$1,test!$A$3:$I$32,8,FALSE))-(VLOOKUP($A11,test!$A$3:$I$32,9,FALSE)),0),IF(AND($A11&lt;&gt;P$1,feasible_mat!P11=1),(VLOOKUP(P$1,test!$A$3:$I$32,8,FALSE))-(VLOOKUP($A11,test!$A$3:$I$32,9,FALSE))-50,0))</f>
        <v>0</v>
      </c>
      <c r="Q11">
        <f>IF(SUM(VLOOKUP($A11,test!$A$3:$F$32,2,FALSE),VLOOKUP(Q$1,test!$A$3:$F$32,2,FALSE))&lt;=test!$K$16,IF(AND($A11&lt;&gt;Q$1,feasible_mat!Q11=1),(VLOOKUP(Q$1,test!$A$3:$I$32,8,FALSE))-(VLOOKUP($A11,test!$A$3:$I$32,9,FALSE)),0),IF(AND($A11&lt;&gt;Q$1,feasible_mat!Q11=1),(VLOOKUP(Q$1,test!$A$3:$I$32,8,FALSE))-(VLOOKUP($A11,test!$A$3:$I$32,9,FALSE))-50,0))</f>
        <v>0</v>
      </c>
      <c r="R11">
        <f>IF(SUM(VLOOKUP($A11,test!$A$3:$F$32,2,FALSE),VLOOKUP(R$1,test!$A$3:$F$32,2,FALSE))&lt;=test!$K$16,IF(AND($A11&lt;&gt;R$1,feasible_mat!R11=1),(VLOOKUP(R$1,test!$A$3:$I$32,8,FALSE))-(VLOOKUP($A11,test!$A$3:$I$32,9,FALSE)),0),IF(AND($A11&lt;&gt;R$1,feasible_mat!R11=1),(VLOOKUP(R$1,test!$A$3:$I$32,8,FALSE))-(VLOOKUP($A11,test!$A$3:$I$32,9,FALSE))-50,0))</f>
        <v>0</v>
      </c>
      <c r="S11">
        <f>IF(SUM(VLOOKUP($A11,test!$A$3:$F$32,2,FALSE),VLOOKUP(S$1,test!$A$3:$F$32,2,FALSE))&lt;=test!$K$16,IF(AND($A11&lt;&gt;S$1,feasible_mat!S11=1),(VLOOKUP(S$1,test!$A$3:$I$32,8,FALSE))-(VLOOKUP($A11,test!$A$3:$I$32,9,FALSE)),0),IF(AND($A11&lt;&gt;S$1,feasible_mat!S11=1),(VLOOKUP(S$1,test!$A$3:$I$32,8,FALSE))-(VLOOKUP($A11,test!$A$3:$I$32,9,FALSE))-50,0))</f>
        <v>25</v>
      </c>
      <c r="T11">
        <f>IF(SUM(VLOOKUP($A11,test!$A$3:$F$32,2,FALSE),VLOOKUP(T$1,test!$A$3:$F$32,2,FALSE))&lt;=test!$K$16,IF(AND($A11&lt;&gt;T$1,feasible_mat!T11=1),(VLOOKUP(T$1,test!$A$3:$I$32,8,FALSE))-(VLOOKUP($A11,test!$A$3:$I$32,9,FALSE)),0),IF(AND($A11&lt;&gt;T$1,feasible_mat!T11=1),(VLOOKUP(T$1,test!$A$3:$I$32,8,FALSE))-(VLOOKUP($A11,test!$A$3:$I$32,9,FALSE))-50,0))</f>
        <v>115</v>
      </c>
      <c r="U11">
        <f>IF(SUM(VLOOKUP($A11,test!$A$3:$F$32,2,FALSE),VLOOKUP(U$1,test!$A$3:$F$32,2,FALSE))&lt;=test!$K$16,IF(AND($A11&lt;&gt;U$1,feasible_mat!U11=1),(VLOOKUP(U$1,test!$A$3:$I$32,8,FALSE))-(VLOOKUP($A11,test!$A$3:$I$32,9,FALSE)),0),IF(AND($A11&lt;&gt;U$1,feasible_mat!U11=1),(VLOOKUP(U$1,test!$A$3:$I$32,8,FALSE))-(VLOOKUP($A11,test!$A$3:$I$32,9,FALSE))-50,0))</f>
        <v>205</v>
      </c>
      <c r="V11">
        <f>IF(SUM(VLOOKUP($A11,test!$A$3:$F$32,2,FALSE),VLOOKUP(V$1,test!$A$3:$F$32,2,FALSE))&lt;=test!$K$16,IF(AND($A11&lt;&gt;V$1,feasible_mat!V11=1),(VLOOKUP(V$1,test!$A$3:$I$32,8,FALSE))-(VLOOKUP($A11,test!$A$3:$I$32,9,FALSE)),0),IF(AND($A11&lt;&gt;V$1,feasible_mat!V11=1),(VLOOKUP(V$1,test!$A$3:$I$32,8,FALSE))-(VLOOKUP($A11,test!$A$3:$I$32,9,FALSE))-50,0))</f>
        <v>295</v>
      </c>
      <c r="W11">
        <f>IF(SUM(VLOOKUP($A11,test!$A$3:$F$32,2,FALSE),VLOOKUP(W$1,test!$A$3:$F$32,2,FALSE))&lt;=test!$K$16,IF(AND($A11&lt;&gt;W$1,feasible_mat!W11=1),(VLOOKUP(W$1,test!$A$3:$I$32,8,FALSE))-(VLOOKUP($A11,test!$A$3:$I$32,9,FALSE)),0),IF(AND($A11&lt;&gt;W$1,feasible_mat!W11=1),(VLOOKUP(W$1,test!$A$3:$I$32,8,FALSE))-(VLOOKUP($A11,test!$A$3:$I$32,9,FALSE))-50,0))</f>
        <v>385</v>
      </c>
      <c r="X11">
        <f>IF(SUM(VLOOKUP($A11,test!$A$3:$F$32,2,FALSE),VLOOKUP(X$1,test!$A$3:$F$32,2,FALSE))&lt;=test!$K$16,IF(AND($A11&lt;&gt;X$1,feasible_mat!X11=1),(VLOOKUP(X$1,test!$A$3:$I$32,8,FALSE))-(VLOOKUP($A11,test!$A$3:$I$32,9,FALSE)),0),IF(AND($A11&lt;&gt;X$1,feasible_mat!X11=1),(VLOOKUP(X$1,test!$A$3:$I$32,8,FALSE))-(VLOOKUP($A11,test!$A$3:$I$32,9,FALSE))-50,0))</f>
        <v>445</v>
      </c>
      <c r="Y11">
        <f>IF(SUM(VLOOKUP($A11,test!$A$3:$F$32,2,FALSE),VLOOKUP(Y$1,test!$A$3:$F$32,2,FALSE))&lt;=test!$K$16,IF(AND($A11&lt;&gt;Y$1,feasible_mat!Y11=1),(VLOOKUP(Y$1,test!$A$3:$I$32,8,FALSE))-(VLOOKUP($A11,test!$A$3:$I$32,9,FALSE)),0),IF(AND($A11&lt;&gt;Y$1,feasible_mat!Y11=1),(VLOOKUP(Y$1,test!$A$3:$I$32,8,FALSE))-(VLOOKUP($A11,test!$A$3:$I$32,9,FALSE))-50,0))</f>
        <v>0</v>
      </c>
      <c r="Z11">
        <f>IF(SUM(VLOOKUP($A11,test!$A$3:$F$32,2,FALSE),VLOOKUP(Z$1,test!$A$3:$F$32,2,FALSE))&lt;=test!$K$16,IF(AND($A11&lt;&gt;Z$1,feasible_mat!Z11=1),(VLOOKUP(Z$1,test!$A$3:$I$32,8,FALSE))-(VLOOKUP($A11,test!$A$3:$I$32,9,FALSE)),0),IF(AND($A11&lt;&gt;Z$1,feasible_mat!Z11=1),(VLOOKUP(Z$1,test!$A$3:$I$32,8,FALSE))-(VLOOKUP($A11,test!$A$3:$I$32,9,FALSE))-50,0))</f>
        <v>45</v>
      </c>
      <c r="AA11">
        <f>IF(SUM(VLOOKUP($A11,test!$A$3:$F$32,2,FALSE),VLOOKUP(AA$1,test!$A$3:$F$32,2,FALSE))&lt;=test!$K$16,IF(AND($A11&lt;&gt;AA$1,feasible_mat!AA11=1),(VLOOKUP(AA$1,test!$A$3:$I$32,8,FALSE))-(VLOOKUP($A11,test!$A$3:$I$32,9,FALSE)),0),IF(AND($A11&lt;&gt;AA$1,feasible_mat!AA11=1),(VLOOKUP(AA$1,test!$A$3:$I$32,8,FALSE))-(VLOOKUP($A11,test!$A$3:$I$32,9,FALSE))-50,0))</f>
        <v>165</v>
      </c>
      <c r="AB11">
        <f>IF(SUM(VLOOKUP($A11,test!$A$3:$F$32,2,FALSE),VLOOKUP(AB$1,test!$A$3:$F$32,2,FALSE))&lt;=test!$K$16,IF(AND($A11&lt;&gt;AB$1,feasible_mat!AB11=1),(VLOOKUP(AB$1,test!$A$3:$I$32,8,FALSE))-(VLOOKUP($A11,test!$A$3:$I$32,9,FALSE)),0),IF(AND($A11&lt;&gt;AB$1,feasible_mat!AB11=1),(VLOOKUP(AB$1,test!$A$3:$I$32,8,FALSE))-(VLOOKUP($A11,test!$A$3:$I$32,9,FALSE))-50,0))</f>
        <v>225</v>
      </c>
      <c r="AC11">
        <f>IF(SUM(VLOOKUP($A11,test!$A$3:$F$32,2,FALSE),VLOOKUP(AC$1,test!$A$3:$F$32,2,FALSE))&lt;=test!$K$16,IF(AND($A11&lt;&gt;AC$1,feasible_mat!AC11=1),(VLOOKUP(AC$1,test!$A$3:$I$32,8,FALSE))-(VLOOKUP($A11,test!$A$3:$I$32,9,FALSE)),0),IF(AND($A11&lt;&gt;AC$1,feasible_mat!AC11=1),(VLOOKUP(AC$1,test!$A$3:$I$32,8,FALSE))-(VLOOKUP($A11,test!$A$3:$I$32,9,FALSE))-50,0))</f>
        <v>345</v>
      </c>
      <c r="AD11">
        <f>IF(SUM(VLOOKUP($A11,test!$A$3:$F$32,2,FALSE),VLOOKUP(AD$1,test!$A$3:$F$32,2,FALSE))&lt;=test!$K$16,IF(AND($A11&lt;&gt;AD$1,feasible_mat!AD11=1),(VLOOKUP(AD$1,test!$A$3:$I$32,8,FALSE))-(VLOOKUP($A11,test!$A$3:$I$32,9,FALSE)),0),IF(AND($A11&lt;&gt;AD$1,feasible_mat!AD11=1),(VLOOKUP(AD$1,test!$A$3:$I$32,8,FALSE))-(VLOOKUP($A11,test!$A$3:$I$32,9,FALSE))-50,0))</f>
        <v>0</v>
      </c>
      <c r="AE11">
        <f>IF(SUM(VLOOKUP($A11,test!$A$3:$F$32,2,FALSE),VLOOKUP(AE$1,test!$A$3:$F$32,2,FALSE))&lt;=test!$K$16,IF(AND($A11&lt;&gt;AE$1,feasible_mat!AE11=1),(VLOOKUP(AE$1,test!$A$3:$I$32,8,FALSE))-(VLOOKUP($A11,test!$A$3:$I$32,9,FALSE)),0),IF(AND($A11&lt;&gt;AE$1,feasible_mat!AE11=1),(VLOOKUP(AE$1,test!$A$3:$I$32,8,FALSE))-(VLOOKUP($A11,test!$A$3:$I$32,9,FALSE))-50,0))</f>
        <v>165</v>
      </c>
      <c r="AF11">
        <f>IF(SUM(VLOOKUP($A11,test!$A$3:$F$32,2,FALSE),VLOOKUP(AF$1,test!$A$3:$F$32,2,FALSE))&lt;=test!$K$16,IF(AND($A11&lt;&gt;AF$1,feasible_mat!AF11=1),(VLOOKUP(AF$1,test!$A$3:$I$32,8,FALSE))-(VLOOKUP($A11,test!$A$3:$I$32,9,FALSE)),0),IF(AND($A11&lt;&gt;AF$1,feasible_mat!AF11=1),(VLOOKUP(AF$1,test!$A$3:$I$32,8,FALSE))-(VLOOKUP($A11,test!$A$3:$I$32,9,FALSE))-50,0))</f>
        <v>65</v>
      </c>
      <c r="AJ11" s="16" t="b">
        <f>feasible_mat!AE11=1</f>
        <v>1</v>
      </c>
    </row>
    <row r="12" spans="1:36" x14ac:dyDescent="0.25">
      <c r="A12" t="s">
        <v>20</v>
      </c>
      <c r="B12">
        <v>0</v>
      </c>
      <c r="C12">
        <f>IF(SUM(VLOOKUP($A12,test!$A$3:$F$32,2,FALSE),VLOOKUP(C$1,test!$A$3:$F$32,2,FALSE))&lt;=test!$K$16,IF(AND($A12&lt;&gt;C$1,feasible_mat!C12=1),(VLOOKUP(C$1,test!$A$3:$I$32,8,FALSE))-(VLOOKUP($A12,test!$A$3:$I$32,9,FALSE)),0),IF(AND($A12&lt;&gt;C$1,feasible_mat!C12=1),(VLOOKUP(C$1,test!$A$3:$I$32,8,FALSE))-(VLOOKUP($A12,test!$A$3:$I$32,9,FALSE))-50,0))</f>
        <v>0</v>
      </c>
      <c r="D12">
        <f>IF(SUM(VLOOKUP($A12,test!$A$3:$F$32,2,FALSE),VLOOKUP(D$1,test!$A$3:$F$32,2,FALSE))&lt;=test!$K$16,IF(AND($A12&lt;&gt;D$1,feasible_mat!D12=1),(VLOOKUP(D$1,test!$A$3:$I$32,8,FALSE))-(VLOOKUP($A12,test!$A$3:$I$32,9,FALSE)),0),IF(AND($A12&lt;&gt;D$1,feasible_mat!D12=1),(VLOOKUP(D$1,test!$A$3:$I$32,8,FALSE))-(VLOOKUP($A12,test!$A$3:$I$32,9,FALSE))-50,0))</f>
        <v>0</v>
      </c>
      <c r="E12">
        <f>IF(SUM(VLOOKUP($A12,test!$A$3:$F$32,2,FALSE),VLOOKUP(E$1,test!$A$3:$F$32,2,FALSE))&lt;=test!$K$16,IF(AND($A12&lt;&gt;E$1,feasible_mat!E12=1),(VLOOKUP(E$1,test!$A$3:$I$32,8,FALSE))-(VLOOKUP($A12,test!$A$3:$I$32,9,FALSE)),0),IF(AND($A12&lt;&gt;E$1,feasible_mat!E12=1),(VLOOKUP(E$1,test!$A$3:$I$32,8,FALSE))-(VLOOKUP($A12,test!$A$3:$I$32,9,FALSE))-50,0))</f>
        <v>15</v>
      </c>
      <c r="F12">
        <f>IF(SUM(VLOOKUP($A12,test!$A$3:$F$32,2,FALSE),VLOOKUP(F$1,test!$A$3:$F$32,2,FALSE))&lt;=test!$K$16,IF(AND($A12&lt;&gt;F$1,feasible_mat!F12=1),(VLOOKUP(F$1,test!$A$3:$I$32,8,FALSE))-(VLOOKUP($A12,test!$A$3:$I$32,9,FALSE)),0),IF(AND($A12&lt;&gt;F$1,feasible_mat!F12=1),(VLOOKUP(F$1,test!$A$3:$I$32,8,FALSE))-(VLOOKUP($A12,test!$A$3:$I$32,9,FALSE))-50,0))</f>
        <v>105</v>
      </c>
      <c r="G12">
        <f>IF(SUM(VLOOKUP($A12,test!$A$3:$F$32,2,FALSE),VLOOKUP(G$1,test!$A$3:$F$32,2,FALSE))&lt;=test!$K$16,IF(AND($A12&lt;&gt;G$1,feasible_mat!G12=1),(VLOOKUP(G$1,test!$A$3:$I$32,8,FALSE))-(VLOOKUP($A12,test!$A$3:$I$32,9,FALSE)),0),IF(AND($A12&lt;&gt;G$1,feasible_mat!G12=1),(VLOOKUP(G$1,test!$A$3:$I$32,8,FALSE))-(VLOOKUP($A12,test!$A$3:$I$32,9,FALSE))-50,0))</f>
        <v>165</v>
      </c>
      <c r="H12">
        <f>IF(SUM(VLOOKUP($A12,test!$A$3:$F$32,2,FALSE),VLOOKUP(H$1,test!$A$3:$F$32,2,FALSE))&lt;=test!$K$16,IF(AND($A12&lt;&gt;H$1,feasible_mat!H12=1),(VLOOKUP(H$1,test!$A$3:$I$32,8,FALSE))-(VLOOKUP($A12,test!$A$3:$I$32,9,FALSE)),0),IF(AND($A12&lt;&gt;H$1,feasible_mat!H12=1),(VLOOKUP(H$1,test!$A$3:$I$32,8,FALSE))-(VLOOKUP($A12,test!$A$3:$I$32,9,FALSE))-50,0))</f>
        <v>225</v>
      </c>
      <c r="I12">
        <f>IF(SUM(VLOOKUP($A12,test!$A$3:$F$32,2,FALSE),VLOOKUP(I$1,test!$A$3:$F$32,2,FALSE))&lt;=test!$K$16,IF(AND($A12&lt;&gt;I$1,feasible_mat!I12=1),(VLOOKUP(I$1,test!$A$3:$I$32,8,FALSE))-(VLOOKUP($A12,test!$A$3:$I$32,9,FALSE)),0),IF(AND($A12&lt;&gt;I$1,feasible_mat!I12=1),(VLOOKUP(I$1,test!$A$3:$I$32,8,FALSE))-(VLOOKUP($A12,test!$A$3:$I$32,9,FALSE))-50,0))</f>
        <v>285</v>
      </c>
      <c r="J12">
        <f>IF(SUM(VLOOKUP($A12,test!$A$3:$F$32,2,FALSE),VLOOKUP(J$1,test!$A$3:$F$32,2,FALSE))&lt;=test!$K$16,IF(AND($A12&lt;&gt;J$1,feasible_mat!J12=1),(VLOOKUP(J$1,test!$A$3:$I$32,8,FALSE))-(VLOOKUP($A12,test!$A$3:$I$32,9,FALSE)),0),IF(AND($A12&lt;&gt;J$1,feasible_mat!J12=1),(VLOOKUP(J$1,test!$A$3:$I$32,8,FALSE))-(VLOOKUP($A12,test!$A$3:$I$32,9,FALSE))-50,0))</f>
        <v>375</v>
      </c>
      <c r="K12">
        <f>IF(SUM(VLOOKUP($A12,test!$A$3:$F$32,2,FALSE),VLOOKUP(K$1,test!$A$3:$F$32,2,FALSE))&lt;=test!$K$16,IF(AND($A12&lt;&gt;K$1,feasible_mat!K12=1),(VLOOKUP(K$1,test!$A$3:$I$32,8,FALSE))-(VLOOKUP($A12,test!$A$3:$I$32,9,FALSE)),0),IF(AND($A12&lt;&gt;K$1,feasible_mat!K12=1),(VLOOKUP(K$1,test!$A$3:$I$32,8,FALSE))-(VLOOKUP($A12,test!$A$3:$I$32,9,FALSE))-50,0))</f>
        <v>0</v>
      </c>
      <c r="L12">
        <f>IF(SUM(VLOOKUP($A12,test!$A$3:$F$32,2,FALSE),VLOOKUP(L$1,test!$A$3:$F$32,2,FALSE))&lt;=test!$K$16,IF(AND($A12&lt;&gt;L$1,feasible_mat!L12=1),(VLOOKUP(L$1,test!$A$3:$I$32,8,FALSE))-(VLOOKUP($A12,test!$A$3:$I$32,9,FALSE)),0),IF(AND($A12&lt;&gt;L$1,feasible_mat!L12=1),(VLOOKUP(L$1,test!$A$3:$I$32,8,FALSE))-(VLOOKUP($A12,test!$A$3:$I$32,9,FALSE))-50,0))</f>
        <v>0</v>
      </c>
      <c r="M12">
        <f>IF(SUM(VLOOKUP($A12,test!$A$3:$F$32,2,FALSE),VLOOKUP(M$1,test!$A$3:$F$32,2,FALSE))&lt;=test!$K$16,IF(AND($A12&lt;&gt;M$1,feasible_mat!M12=1),(VLOOKUP(M$1,test!$A$3:$I$32,8,FALSE))-(VLOOKUP($A12,test!$A$3:$I$32,9,FALSE)),0),IF(AND($A12&lt;&gt;M$1,feasible_mat!M12=1),(VLOOKUP(M$1,test!$A$3:$I$32,8,FALSE))-(VLOOKUP($A12,test!$A$3:$I$32,9,FALSE))-50,0))</f>
        <v>0</v>
      </c>
      <c r="N12">
        <f>IF(SUM(VLOOKUP($A12,test!$A$3:$F$32,2,FALSE),VLOOKUP(N$1,test!$A$3:$F$32,2,FALSE))&lt;=test!$K$16,IF(AND($A12&lt;&gt;N$1,feasible_mat!N12=1),(VLOOKUP(N$1,test!$A$3:$I$32,8,FALSE))-(VLOOKUP($A12,test!$A$3:$I$32,9,FALSE)),0),IF(AND($A12&lt;&gt;N$1,feasible_mat!N12=1),(VLOOKUP(N$1,test!$A$3:$I$32,8,FALSE))-(VLOOKUP($A12,test!$A$3:$I$32,9,FALSE))-50,0))</f>
        <v>340</v>
      </c>
      <c r="O12">
        <f>IF(SUM(VLOOKUP($A12,test!$A$3:$F$32,2,FALSE),VLOOKUP(O$1,test!$A$3:$F$32,2,FALSE))&lt;=test!$K$16,IF(AND($A12&lt;&gt;O$1,feasible_mat!O12=1),(VLOOKUP(O$1,test!$A$3:$I$32,8,FALSE))-(VLOOKUP($A12,test!$A$3:$I$32,9,FALSE)),0),IF(AND($A12&lt;&gt;O$1,feasible_mat!O12=1),(VLOOKUP(O$1,test!$A$3:$I$32,8,FALSE))-(VLOOKUP($A12,test!$A$3:$I$32,9,FALSE))-50,0))</f>
        <v>400</v>
      </c>
      <c r="P12">
        <f>IF(SUM(VLOOKUP($A12,test!$A$3:$F$32,2,FALSE),VLOOKUP(P$1,test!$A$3:$F$32,2,FALSE))&lt;=test!$K$16,IF(AND($A12&lt;&gt;P$1,feasible_mat!P12=1),(VLOOKUP(P$1,test!$A$3:$I$32,8,FALSE))-(VLOOKUP($A12,test!$A$3:$I$32,9,FALSE)),0),IF(AND($A12&lt;&gt;P$1,feasible_mat!P12=1),(VLOOKUP(P$1,test!$A$3:$I$32,8,FALSE))-(VLOOKUP($A12,test!$A$3:$I$32,9,FALSE))-50,0))</f>
        <v>0</v>
      </c>
      <c r="Q12">
        <f>IF(SUM(VLOOKUP($A12,test!$A$3:$F$32,2,FALSE),VLOOKUP(Q$1,test!$A$3:$F$32,2,FALSE))&lt;=test!$K$16,IF(AND($A12&lt;&gt;Q$1,feasible_mat!Q12=1),(VLOOKUP(Q$1,test!$A$3:$I$32,8,FALSE))-(VLOOKUP($A12,test!$A$3:$I$32,9,FALSE)),0),IF(AND($A12&lt;&gt;Q$1,feasible_mat!Q12=1),(VLOOKUP(Q$1,test!$A$3:$I$32,8,FALSE))-(VLOOKUP($A12,test!$A$3:$I$32,9,FALSE))-50,0))</f>
        <v>0</v>
      </c>
      <c r="R12">
        <f>IF(SUM(VLOOKUP($A12,test!$A$3:$F$32,2,FALSE),VLOOKUP(R$1,test!$A$3:$F$32,2,FALSE))&lt;=test!$K$16,IF(AND($A12&lt;&gt;R$1,feasible_mat!R12=1),(VLOOKUP(R$1,test!$A$3:$I$32,8,FALSE))-(VLOOKUP($A12,test!$A$3:$I$32,9,FALSE)),0),IF(AND($A12&lt;&gt;R$1,feasible_mat!R12=1),(VLOOKUP(R$1,test!$A$3:$I$32,8,FALSE))-(VLOOKUP($A12,test!$A$3:$I$32,9,FALSE))-50,0))</f>
        <v>0</v>
      </c>
      <c r="S12">
        <f>IF(SUM(VLOOKUP($A12,test!$A$3:$F$32,2,FALSE),VLOOKUP(S$1,test!$A$3:$F$32,2,FALSE))&lt;=test!$K$16,IF(AND($A12&lt;&gt;S$1,feasible_mat!S12=1),(VLOOKUP(S$1,test!$A$3:$I$32,8,FALSE))-(VLOOKUP($A12,test!$A$3:$I$32,9,FALSE)),0),IF(AND($A12&lt;&gt;S$1,feasible_mat!S12=1),(VLOOKUP(S$1,test!$A$3:$I$32,8,FALSE))-(VLOOKUP($A12,test!$A$3:$I$32,9,FALSE))-50,0))</f>
        <v>0</v>
      </c>
      <c r="T12">
        <f>IF(SUM(VLOOKUP($A12,test!$A$3:$F$32,2,FALSE),VLOOKUP(T$1,test!$A$3:$F$32,2,FALSE))&lt;=test!$K$16,IF(AND($A12&lt;&gt;T$1,feasible_mat!T12=1),(VLOOKUP(T$1,test!$A$3:$I$32,8,FALSE))-(VLOOKUP($A12,test!$A$3:$I$32,9,FALSE)),0),IF(AND($A12&lt;&gt;T$1,feasible_mat!T12=1),(VLOOKUP(T$1,test!$A$3:$I$32,8,FALSE))-(VLOOKUP($A12,test!$A$3:$I$32,9,FALSE))-50,0))</f>
        <v>0</v>
      </c>
      <c r="U12">
        <f>IF(SUM(VLOOKUP($A12,test!$A$3:$F$32,2,FALSE),VLOOKUP(U$1,test!$A$3:$F$32,2,FALSE))&lt;=test!$K$16,IF(AND($A12&lt;&gt;U$1,feasible_mat!U12=1),(VLOOKUP(U$1,test!$A$3:$I$32,8,FALSE))-(VLOOKUP($A12,test!$A$3:$I$32,9,FALSE)),0),IF(AND($A12&lt;&gt;U$1,feasible_mat!U12=1),(VLOOKUP(U$1,test!$A$3:$I$32,8,FALSE))-(VLOOKUP($A12,test!$A$3:$I$32,9,FALSE))-50,0))</f>
        <v>85</v>
      </c>
      <c r="V12">
        <f>IF(SUM(VLOOKUP($A12,test!$A$3:$F$32,2,FALSE),VLOOKUP(V$1,test!$A$3:$F$32,2,FALSE))&lt;=test!$K$16,IF(AND($A12&lt;&gt;V$1,feasible_mat!V12=1),(VLOOKUP(V$1,test!$A$3:$I$32,8,FALSE))-(VLOOKUP($A12,test!$A$3:$I$32,9,FALSE)),0),IF(AND($A12&lt;&gt;V$1,feasible_mat!V12=1),(VLOOKUP(V$1,test!$A$3:$I$32,8,FALSE))-(VLOOKUP($A12,test!$A$3:$I$32,9,FALSE))-50,0))</f>
        <v>175</v>
      </c>
      <c r="W12">
        <f>IF(SUM(VLOOKUP($A12,test!$A$3:$F$32,2,FALSE),VLOOKUP(W$1,test!$A$3:$F$32,2,FALSE))&lt;=test!$K$16,IF(AND($A12&lt;&gt;W$1,feasible_mat!W12=1),(VLOOKUP(W$1,test!$A$3:$I$32,8,FALSE))-(VLOOKUP($A12,test!$A$3:$I$32,9,FALSE)),0),IF(AND($A12&lt;&gt;W$1,feasible_mat!W12=1),(VLOOKUP(W$1,test!$A$3:$I$32,8,FALSE))-(VLOOKUP($A12,test!$A$3:$I$32,9,FALSE))-50,0))</f>
        <v>265</v>
      </c>
      <c r="X12">
        <f>IF(SUM(VLOOKUP($A12,test!$A$3:$F$32,2,FALSE),VLOOKUP(X$1,test!$A$3:$F$32,2,FALSE))&lt;=test!$K$16,IF(AND($A12&lt;&gt;X$1,feasible_mat!X12=1),(VLOOKUP(X$1,test!$A$3:$I$32,8,FALSE))-(VLOOKUP($A12,test!$A$3:$I$32,9,FALSE)),0),IF(AND($A12&lt;&gt;X$1,feasible_mat!X12=1),(VLOOKUP(X$1,test!$A$3:$I$32,8,FALSE))-(VLOOKUP($A12,test!$A$3:$I$32,9,FALSE))-50,0))</f>
        <v>325</v>
      </c>
      <c r="Y12">
        <f>IF(SUM(VLOOKUP($A12,test!$A$3:$F$32,2,FALSE),VLOOKUP(Y$1,test!$A$3:$F$32,2,FALSE))&lt;=test!$K$16,IF(AND($A12&lt;&gt;Y$1,feasible_mat!Y12=1),(VLOOKUP(Y$1,test!$A$3:$I$32,8,FALSE))-(VLOOKUP($A12,test!$A$3:$I$32,9,FALSE)),0),IF(AND($A12&lt;&gt;Y$1,feasible_mat!Y12=1),(VLOOKUP(Y$1,test!$A$3:$I$32,8,FALSE))-(VLOOKUP($A12,test!$A$3:$I$32,9,FALSE))-50,0))</f>
        <v>0</v>
      </c>
      <c r="Z12">
        <f>IF(SUM(VLOOKUP($A12,test!$A$3:$F$32,2,FALSE),VLOOKUP(Z$1,test!$A$3:$F$32,2,FALSE))&lt;=test!$K$16,IF(AND($A12&lt;&gt;Z$1,feasible_mat!Z12=1),(VLOOKUP(Z$1,test!$A$3:$I$32,8,FALSE))-(VLOOKUP($A12,test!$A$3:$I$32,9,FALSE)),0),IF(AND($A12&lt;&gt;Z$1,feasible_mat!Z12=1),(VLOOKUP(Z$1,test!$A$3:$I$32,8,FALSE))-(VLOOKUP($A12,test!$A$3:$I$32,9,FALSE))-50,0))</f>
        <v>0</v>
      </c>
      <c r="AA12">
        <f>IF(SUM(VLOOKUP($A12,test!$A$3:$F$32,2,FALSE),VLOOKUP(AA$1,test!$A$3:$F$32,2,FALSE))&lt;=test!$K$16,IF(AND($A12&lt;&gt;AA$1,feasible_mat!AA12=1),(VLOOKUP(AA$1,test!$A$3:$I$32,8,FALSE))-(VLOOKUP($A12,test!$A$3:$I$32,9,FALSE)),0),IF(AND($A12&lt;&gt;AA$1,feasible_mat!AA12=1),(VLOOKUP(AA$1,test!$A$3:$I$32,8,FALSE))-(VLOOKUP($A12,test!$A$3:$I$32,9,FALSE))-50,0))</f>
        <v>45</v>
      </c>
      <c r="AB12">
        <f>IF(SUM(VLOOKUP($A12,test!$A$3:$F$32,2,FALSE),VLOOKUP(AB$1,test!$A$3:$F$32,2,FALSE))&lt;=test!$K$16,IF(AND($A12&lt;&gt;AB$1,feasible_mat!AB12=1),(VLOOKUP(AB$1,test!$A$3:$I$32,8,FALSE))-(VLOOKUP($A12,test!$A$3:$I$32,9,FALSE)),0),IF(AND($A12&lt;&gt;AB$1,feasible_mat!AB12=1),(VLOOKUP(AB$1,test!$A$3:$I$32,8,FALSE))-(VLOOKUP($A12,test!$A$3:$I$32,9,FALSE))-50,0))</f>
        <v>105</v>
      </c>
      <c r="AC12">
        <f>IF(SUM(VLOOKUP($A12,test!$A$3:$F$32,2,FALSE),VLOOKUP(AC$1,test!$A$3:$F$32,2,FALSE))&lt;=test!$K$16,IF(AND($A12&lt;&gt;AC$1,feasible_mat!AC12=1),(VLOOKUP(AC$1,test!$A$3:$I$32,8,FALSE))-(VLOOKUP($A12,test!$A$3:$I$32,9,FALSE)),0),IF(AND($A12&lt;&gt;AC$1,feasible_mat!AC12=1),(VLOOKUP(AC$1,test!$A$3:$I$32,8,FALSE))-(VLOOKUP($A12,test!$A$3:$I$32,9,FALSE))-50,0))</f>
        <v>225</v>
      </c>
      <c r="AD12">
        <f>IF(SUM(VLOOKUP($A12,test!$A$3:$F$32,2,FALSE),VLOOKUP(AD$1,test!$A$3:$F$32,2,FALSE))&lt;=test!$K$16,IF(AND($A12&lt;&gt;AD$1,feasible_mat!AD12=1),(VLOOKUP(AD$1,test!$A$3:$I$32,8,FALSE))-(VLOOKUP($A12,test!$A$3:$I$32,9,FALSE)),0),IF(AND($A12&lt;&gt;AD$1,feasible_mat!AD12=1),(VLOOKUP(AD$1,test!$A$3:$I$32,8,FALSE))-(VLOOKUP($A12,test!$A$3:$I$32,9,FALSE))-50,0))</f>
        <v>0</v>
      </c>
      <c r="AE12">
        <f>IF(SUM(VLOOKUP($A12,test!$A$3:$F$32,2,FALSE),VLOOKUP(AE$1,test!$A$3:$F$32,2,FALSE))&lt;=test!$K$16,IF(AND($A12&lt;&gt;AE$1,feasible_mat!AE12=1),(VLOOKUP(AE$1,test!$A$3:$I$32,8,FALSE))-(VLOOKUP($A12,test!$A$3:$I$32,9,FALSE)),0),IF(AND($A12&lt;&gt;AE$1,feasible_mat!AE12=1),(VLOOKUP(AE$1,test!$A$3:$I$32,8,FALSE))-(VLOOKUP($A12,test!$A$3:$I$32,9,FALSE))-50,0))</f>
        <v>45</v>
      </c>
      <c r="AF12">
        <f>IF(SUM(VLOOKUP($A12,test!$A$3:$F$32,2,FALSE),VLOOKUP(AF$1,test!$A$3:$F$32,2,FALSE))&lt;=test!$K$16,IF(AND($A12&lt;&gt;AF$1,feasible_mat!AF12=1),(VLOOKUP(AF$1,test!$A$3:$I$32,8,FALSE))-(VLOOKUP($A12,test!$A$3:$I$32,9,FALSE)),0),IF(AND($A12&lt;&gt;AF$1,feasible_mat!AF12=1),(VLOOKUP(AF$1,test!$A$3:$I$32,8,FALSE))-(VLOOKUP($A12,test!$A$3:$I$32,9,FALSE))-50,0))</f>
        <v>0</v>
      </c>
      <c r="AJ12" s="16" t="s">
        <v>70</v>
      </c>
    </row>
    <row r="13" spans="1:36" x14ac:dyDescent="0.25">
      <c r="A13" t="s">
        <v>21</v>
      </c>
      <c r="B13">
        <v>0</v>
      </c>
      <c r="C13">
        <f>IF(SUM(VLOOKUP($A13,test!$A$3:$F$32,2,FALSE),VLOOKUP(C$1,test!$A$3:$F$32,2,FALSE))&lt;=test!$K$16,IF(AND($A13&lt;&gt;C$1,feasible_mat!C13=1),(VLOOKUP(C$1,test!$A$3:$I$32,8,FALSE))-(VLOOKUP($A13,test!$A$3:$I$32,9,FALSE)),0),IF(AND($A13&lt;&gt;C$1,feasible_mat!C13=1),(VLOOKUP(C$1,test!$A$3:$I$32,8,FALSE))-(VLOOKUP($A13,test!$A$3:$I$32,9,FALSE))-50,0))</f>
        <v>0</v>
      </c>
      <c r="D13">
        <f>IF(SUM(VLOOKUP($A13,test!$A$3:$F$32,2,FALSE),VLOOKUP(D$1,test!$A$3:$F$32,2,FALSE))&lt;=test!$K$16,IF(AND($A13&lt;&gt;D$1,feasible_mat!D13=1),(VLOOKUP(D$1,test!$A$3:$I$32,8,FALSE))-(VLOOKUP($A13,test!$A$3:$I$32,9,FALSE)),0),IF(AND($A13&lt;&gt;D$1,feasible_mat!D13=1),(VLOOKUP(D$1,test!$A$3:$I$32,8,FALSE))-(VLOOKUP($A13,test!$A$3:$I$32,9,FALSE))-50,0))</f>
        <v>0</v>
      </c>
      <c r="E13">
        <f>IF(SUM(VLOOKUP($A13,test!$A$3:$F$32,2,FALSE),VLOOKUP(E$1,test!$A$3:$F$32,2,FALSE))&lt;=test!$K$16,IF(AND($A13&lt;&gt;E$1,feasible_mat!E13=1),(VLOOKUP(E$1,test!$A$3:$I$32,8,FALSE))-(VLOOKUP($A13,test!$A$3:$I$32,9,FALSE)),0),IF(AND($A13&lt;&gt;E$1,feasible_mat!E13=1),(VLOOKUP(E$1,test!$A$3:$I$32,8,FALSE))-(VLOOKUP($A13,test!$A$3:$I$32,9,FALSE))-50,0))</f>
        <v>0</v>
      </c>
      <c r="F13">
        <f>IF(SUM(VLOOKUP($A13,test!$A$3:$F$32,2,FALSE),VLOOKUP(F$1,test!$A$3:$F$32,2,FALSE))&lt;=test!$K$16,IF(AND($A13&lt;&gt;F$1,feasible_mat!F13=1),(VLOOKUP(F$1,test!$A$3:$I$32,8,FALSE))-(VLOOKUP($A13,test!$A$3:$I$32,9,FALSE)),0),IF(AND($A13&lt;&gt;F$1,feasible_mat!F13=1),(VLOOKUP(F$1,test!$A$3:$I$32,8,FALSE))-(VLOOKUP($A13,test!$A$3:$I$32,9,FALSE))-50,0))</f>
        <v>0</v>
      </c>
      <c r="G13">
        <f>IF(SUM(VLOOKUP($A13,test!$A$3:$F$32,2,FALSE),VLOOKUP(G$1,test!$A$3:$F$32,2,FALSE))&lt;=test!$K$16,IF(AND($A13&lt;&gt;G$1,feasible_mat!G13=1),(VLOOKUP(G$1,test!$A$3:$I$32,8,FALSE))-(VLOOKUP($A13,test!$A$3:$I$32,9,FALSE)),0),IF(AND($A13&lt;&gt;G$1,feasible_mat!G13=1),(VLOOKUP(G$1,test!$A$3:$I$32,8,FALSE))-(VLOOKUP($A13,test!$A$3:$I$32,9,FALSE))-50,0))</f>
        <v>45</v>
      </c>
      <c r="H13">
        <f>IF(SUM(VLOOKUP($A13,test!$A$3:$F$32,2,FALSE),VLOOKUP(H$1,test!$A$3:$F$32,2,FALSE))&lt;=test!$K$16,IF(AND($A13&lt;&gt;H$1,feasible_mat!H13=1),(VLOOKUP(H$1,test!$A$3:$I$32,8,FALSE))-(VLOOKUP($A13,test!$A$3:$I$32,9,FALSE)),0),IF(AND($A13&lt;&gt;H$1,feasible_mat!H13=1),(VLOOKUP(H$1,test!$A$3:$I$32,8,FALSE))-(VLOOKUP($A13,test!$A$3:$I$32,9,FALSE))-50,0))</f>
        <v>105</v>
      </c>
      <c r="I13">
        <f>IF(SUM(VLOOKUP($A13,test!$A$3:$F$32,2,FALSE),VLOOKUP(I$1,test!$A$3:$F$32,2,FALSE))&lt;=test!$K$16,IF(AND($A13&lt;&gt;I$1,feasible_mat!I13=1),(VLOOKUP(I$1,test!$A$3:$I$32,8,FALSE))-(VLOOKUP($A13,test!$A$3:$I$32,9,FALSE)),0),IF(AND($A13&lt;&gt;I$1,feasible_mat!I13=1),(VLOOKUP(I$1,test!$A$3:$I$32,8,FALSE))-(VLOOKUP($A13,test!$A$3:$I$32,9,FALSE))-50,0))</f>
        <v>165</v>
      </c>
      <c r="J13">
        <f>IF(SUM(VLOOKUP($A13,test!$A$3:$F$32,2,FALSE),VLOOKUP(J$1,test!$A$3:$F$32,2,FALSE))&lt;=test!$K$16,IF(AND($A13&lt;&gt;J$1,feasible_mat!J13=1),(VLOOKUP(J$1,test!$A$3:$I$32,8,FALSE))-(VLOOKUP($A13,test!$A$3:$I$32,9,FALSE)),0),IF(AND($A13&lt;&gt;J$1,feasible_mat!J13=1),(VLOOKUP(J$1,test!$A$3:$I$32,8,FALSE))-(VLOOKUP($A13,test!$A$3:$I$32,9,FALSE))-50,0))</f>
        <v>255</v>
      </c>
      <c r="K13">
        <f>IF(SUM(VLOOKUP($A13,test!$A$3:$F$32,2,FALSE),VLOOKUP(K$1,test!$A$3:$F$32,2,FALSE))&lt;=test!$K$16,IF(AND($A13&lt;&gt;K$1,feasible_mat!K13=1),(VLOOKUP(K$1,test!$A$3:$I$32,8,FALSE))-(VLOOKUP($A13,test!$A$3:$I$32,9,FALSE)),0),IF(AND($A13&lt;&gt;K$1,feasible_mat!K13=1),(VLOOKUP(K$1,test!$A$3:$I$32,8,FALSE))-(VLOOKUP($A13,test!$A$3:$I$32,9,FALSE))-50,0))</f>
        <v>0</v>
      </c>
      <c r="L13">
        <f>IF(SUM(VLOOKUP($A13,test!$A$3:$F$32,2,FALSE),VLOOKUP(L$1,test!$A$3:$F$32,2,FALSE))&lt;=test!$K$16,IF(AND($A13&lt;&gt;L$1,feasible_mat!L13=1),(VLOOKUP(L$1,test!$A$3:$I$32,8,FALSE))-(VLOOKUP($A13,test!$A$3:$I$32,9,FALSE)),0),IF(AND($A13&lt;&gt;L$1,feasible_mat!L13=1),(VLOOKUP(L$1,test!$A$3:$I$32,8,FALSE))-(VLOOKUP($A13,test!$A$3:$I$32,9,FALSE))-50,0))</f>
        <v>0</v>
      </c>
      <c r="M13">
        <f>IF(SUM(VLOOKUP($A13,test!$A$3:$F$32,2,FALSE),VLOOKUP(M$1,test!$A$3:$F$32,2,FALSE))&lt;=test!$K$16,IF(AND($A13&lt;&gt;M$1,feasible_mat!M13=1),(VLOOKUP(M$1,test!$A$3:$I$32,8,FALSE))-(VLOOKUP($A13,test!$A$3:$I$32,9,FALSE)),0),IF(AND($A13&lt;&gt;M$1,feasible_mat!M13=1),(VLOOKUP(M$1,test!$A$3:$I$32,8,FALSE))-(VLOOKUP($A13,test!$A$3:$I$32,9,FALSE))-50,0))</f>
        <v>0</v>
      </c>
      <c r="N13">
        <f>IF(SUM(VLOOKUP($A13,test!$A$3:$F$32,2,FALSE),VLOOKUP(N$1,test!$A$3:$F$32,2,FALSE))&lt;=test!$K$16,IF(AND($A13&lt;&gt;N$1,feasible_mat!N13=1),(VLOOKUP(N$1,test!$A$3:$I$32,8,FALSE))-(VLOOKUP($A13,test!$A$3:$I$32,9,FALSE)),0),IF(AND($A13&lt;&gt;N$1,feasible_mat!N13=1),(VLOOKUP(N$1,test!$A$3:$I$32,8,FALSE))-(VLOOKUP($A13,test!$A$3:$I$32,9,FALSE))-50,0))</f>
        <v>220</v>
      </c>
      <c r="O13">
        <f>IF(SUM(VLOOKUP($A13,test!$A$3:$F$32,2,FALSE),VLOOKUP(O$1,test!$A$3:$F$32,2,FALSE))&lt;=test!$K$16,IF(AND($A13&lt;&gt;O$1,feasible_mat!O13=1),(VLOOKUP(O$1,test!$A$3:$I$32,8,FALSE))-(VLOOKUP($A13,test!$A$3:$I$32,9,FALSE)),0),IF(AND($A13&lt;&gt;O$1,feasible_mat!O13=1),(VLOOKUP(O$1,test!$A$3:$I$32,8,FALSE))-(VLOOKUP($A13,test!$A$3:$I$32,9,FALSE))-50,0))</f>
        <v>280</v>
      </c>
      <c r="P13">
        <f>IF(SUM(VLOOKUP($A13,test!$A$3:$F$32,2,FALSE),VLOOKUP(P$1,test!$A$3:$F$32,2,FALSE))&lt;=test!$K$16,IF(AND($A13&lt;&gt;P$1,feasible_mat!P13=1),(VLOOKUP(P$1,test!$A$3:$I$32,8,FALSE))-(VLOOKUP($A13,test!$A$3:$I$32,9,FALSE)),0),IF(AND($A13&lt;&gt;P$1,feasible_mat!P13=1),(VLOOKUP(P$1,test!$A$3:$I$32,8,FALSE))-(VLOOKUP($A13,test!$A$3:$I$32,9,FALSE))-50,0))</f>
        <v>0</v>
      </c>
      <c r="Q13">
        <f>IF(SUM(VLOOKUP($A13,test!$A$3:$F$32,2,FALSE),VLOOKUP(Q$1,test!$A$3:$F$32,2,FALSE))&lt;=test!$K$16,IF(AND($A13&lt;&gt;Q$1,feasible_mat!Q13=1),(VLOOKUP(Q$1,test!$A$3:$I$32,8,FALSE))-(VLOOKUP($A13,test!$A$3:$I$32,9,FALSE)),0),IF(AND($A13&lt;&gt;Q$1,feasible_mat!Q13=1),(VLOOKUP(Q$1,test!$A$3:$I$32,8,FALSE))-(VLOOKUP($A13,test!$A$3:$I$32,9,FALSE))-50,0))</f>
        <v>0</v>
      </c>
      <c r="R13">
        <f>IF(SUM(VLOOKUP($A13,test!$A$3:$F$32,2,FALSE),VLOOKUP(R$1,test!$A$3:$F$32,2,FALSE))&lt;=test!$K$16,IF(AND($A13&lt;&gt;R$1,feasible_mat!R13=1),(VLOOKUP(R$1,test!$A$3:$I$32,8,FALSE))-(VLOOKUP($A13,test!$A$3:$I$32,9,FALSE)),0),IF(AND($A13&lt;&gt;R$1,feasible_mat!R13=1),(VLOOKUP(R$1,test!$A$3:$I$32,8,FALSE))-(VLOOKUP($A13,test!$A$3:$I$32,9,FALSE))-50,0))</f>
        <v>0</v>
      </c>
      <c r="S13">
        <f>IF(SUM(VLOOKUP($A13,test!$A$3:$F$32,2,FALSE),VLOOKUP(S$1,test!$A$3:$F$32,2,FALSE))&lt;=test!$K$16,IF(AND($A13&lt;&gt;S$1,feasible_mat!S13=1),(VLOOKUP(S$1,test!$A$3:$I$32,8,FALSE))-(VLOOKUP($A13,test!$A$3:$I$32,9,FALSE)),0),IF(AND($A13&lt;&gt;S$1,feasible_mat!S13=1),(VLOOKUP(S$1,test!$A$3:$I$32,8,FALSE))-(VLOOKUP($A13,test!$A$3:$I$32,9,FALSE))-50,0))</f>
        <v>0</v>
      </c>
      <c r="T13">
        <f>IF(SUM(VLOOKUP($A13,test!$A$3:$F$32,2,FALSE),VLOOKUP(T$1,test!$A$3:$F$32,2,FALSE))&lt;=test!$K$16,IF(AND($A13&lt;&gt;T$1,feasible_mat!T13=1),(VLOOKUP(T$1,test!$A$3:$I$32,8,FALSE))-(VLOOKUP($A13,test!$A$3:$I$32,9,FALSE)),0),IF(AND($A13&lt;&gt;T$1,feasible_mat!T13=1),(VLOOKUP(T$1,test!$A$3:$I$32,8,FALSE))-(VLOOKUP($A13,test!$A$3:$I$32,9,FALSE))-50,0))</f>
        <v>0</v>
      </c>
      <c r="U13">
        <f>IF(SUM(VLOOKUP($A13,test!$A$3:$F$32,2,FALSE),VLOOKUP(U$1,test!$A$3:$F$32,2,FALSE))&lt;=test!$K$16,IF(AND($A13&lt;&gt;U$1,feasible_mat!U13=1),(VLOOKUP(U$1,test!$A$3:$I$32,8,FALSE))-(VLOOKUP($A13,test!$A$3:$I$32,9,FALSE)),0),IF(AND($A13&lt;&gt;U$1,feasible_mat!U13=1),(VLOOKUP(U$1,test!$A$3:$I$32,8,FALSE))-(VLOOKUP($A13,test!$A$3:$I$32,9,FALSE))-50,0))</f>
        <v>0</v>
      </c>
      <c r="V13">
        <f>IF(SUM(VLOOKUP($A13,test!$A$3:$F$32,2,FALSE),VLOOKUP(V$1,test!$A$3:$F$32,2,FALSE))&lt;=test!$K$16,IF(AND($A13&lt;&gt;V$1,feasible_mat!V13=1),(VLOOKUP(V$1,test!$A$3:$I$32,8,FALSE))-(VLOOKUP($A13,test!$A$3:$I$32,9,FALSE)),0),IF(AND($A13&lt;&gt;V$1,feasible_mat!V13=1),(VLOOKUP(V$1,test!$A$3:$I$32,8,FALSE))-(VLOOKUP($A13,test!$A$3:$I$32,9,FALSE))-50,0))</f>
        <v>55</v>
      </c>
      <c r="W13">
        <f>IF(SUM(VLOOKUP($A13,test!$A$3:$F$32,2,FALSE),VLOOKUP(W$1,test!$A$3:$F$32,2,FALSE))&lt;=test!$K$16,IF(AND($A13&lt;&gt;W$1,feasible_mat!W13=1),(VLOOKUP(W$1,test!$A$3:$I$32,8,FALSE))-(VLOOKUP($A13,test!$A$3:$I$32,9,FALSE)),0),IF(AND($A13&lt;&gt;W$1,feasible_mat!W13=1),(VLOOKUP(W$1,test!$A$3:$I$32,8,FALSE))-(VLOOKUP($A13,test!$A$3:$I$32,9,FALSE))-50,0))</f>
        <v>145</v>
      </c>
      <c r="X13">
        <f>IF(SUM(VLOOKUP($A13,test!$A$3:$F$32,2,FALSE),VLOOKUP(X$1,test!$A$3:$F$32,2,FALSE))&lt;=test!$K$16,IF(AND($A13&lt;&gt;X$1,feasible_mat!X13=1),(VLOOKUP(X$1,test!$A$3:$I$32,8,FALSE))-(VLOOKUP($A13,test!$A$3:$I$32,9,FALSE)),0),IF(AND($A13&lt;&gt;X$1,feasible_mat!X13=1),(VLOOKUP(X$1,test!$A$3:$I$32,8,FALSE))-(VLOOKUP($A13,test!$A$3:$I$32,9,FALSE))-50,0))</f>
        <v>205</v>
      </c>
      <c r="Y13">
        <f>IF(SUM(VLOOKUP($A13,test!$A$3:$F$32,2,FALSE),VLOOKUP(Y$1,test!$A$3:$F$32,2,FALSE))&lt;=test!$K$16,IF(AND($A13&lt;&gt;Y$1,feasible_mat!Y13=1),(VLOOKUP(Y$1,test!$A$3:$I$32,8,FALSE))-(VLOOKUP($A13,test!$A$3:$I$32,9,FALSE)),0),IF(AND($A13&lt;&gt;Y$1,feasible_mat!Y13=1),(VLOOKUP(Y$1,test!$A$3:$I$32,8,FALSE))-(VLOOKUP($A13,test!$A$3:$I$32,9,FALSE))-50,0))</f>
        <v>0</v>
      </c>
      <c r="Z13">
        <f>IF(SUM(VLOOKUP($A13,test!$A$3:$F$32,2,FALSE),VLOOKUP(Z$1,test!$A$3:$F$32,2,FALSE))&lt;=test!$K$16,IF(AND($A13&lt;&gt;Z$1,feasible_mat!Z13=1),(VLOOKUP(Z$1,test!$A$3:$I$32,8,FALSE))-(VLOOKUP($A13,test!$A$3:$I$32,9,FALSE)),0),IF(AND($A13&lt;&gt;Z$1,feasible_mat!Z13=1),(VLOOKUP(Z$1,test!$A$3:$I$32,8,FALSE))-(VLOOKUP($A13,test!$A$3:$I$32,9,FALSE))-50,0))</f>
        <v>0</v>
      </c>
      <c r="AA13">
        <f>IF(SUM(VLOOKUP($A13,test!$A$3:$F$32,2,FALSE),VLOOKUP(AA$1,test!$A$3:$F$32,2,FALSE))&lt;=test!$K$16,IF(AND($A13&lt;&gt;AA$1,feasible_mat!AA13=1),(VLOOKUP(AA$1,test!$A$3:$I$32,8,FALSE))-(VLOOKUP($A13,test!$A$3:$I$32,9,FALSE)),0),IF(AND($A13&lt;&gt;AA$1,feasible_mat!AA13=1),(VLOOKUP(AA$1,test!$A$3:$I$32,8,FALSE))-(VLOOKUP($A13,test!$A$3:$I$32,9,FALSE))-50,0))</f>
        <v>0</v>
      </c>
      <c r="AB13">
        <f>IF(SUM(VLOOKUP($A13,test!$A$3:$F$32,2,FALSE),VLOOKUP(AB$1,test!$A$3:$F$32,2,FALSE))&lt;=test!$K$16,IF(AND($A13&lt;&gt;AB$1,feasible_mat!AB13=1),(VLOOKUP(AB$1,test!$A$3:$I$32,8,FALSE))-(VLOOKUP($A13,test!$A$3:$I$32,9,FALSE)),0),IF(AND($A13&lt;&gt;AB$1,feasible_mat!AB13=1),(VLOOKUP(AB$1,test!$A$3:$I$32,8,FALSE))-(VLOOKUP($A13,test!$A$3:$I$32,9,FALSE))-50,0))</f>
        <v>0</v>
      </c>
      <c r="AC13">
        <f>IF(SUM(VLOOKUP($A13,test!$A$3:$F$32,2,FALSE),VLOOKUP(AC$1,test!$A$3:$F$32,2,FALSE))&lt;=test!$K$16,IF(AND($A13&lt;&gt;AC$1,feasible_mat!AC13=1),(VLOOKUP(AC$1,test!$A$3:$I$32,8,FALSE))-(VLOOKUP($A13,test!$A$3:$I$32,9,FALSE)),0),IF(AND($A13&lt;&gt;AC$1,feasible_mat!AC13=1),(VLOOKUP(AC$1,test!$A$3:$I$32,8,FALSE))-(VLOOKUP($A13,test!$A$3:$I$32,9,FALSE))-50,0))</f>
        <v>105</v>
      </c>
      <c r="AD13">
        <f>IF(SUM(VLOOKUP($A13,test!$A$3:$F$32,2,FALSE),VLOOKUP(AD$1,test!$A$3:$F$32,2,FALSE))&lt;=test!$K$16,IF(AND($A13&lt;&gt;AD$1,feasible_mat!AD13=1),(VLOOKUP(AD$1,test!$A$3:$I$32,8,FALSE))-(VLOOKUP($A13,test!$A$3:$I$32,9,FALSE)),0),IF(AND($A13&lt;&gt;AD$1,feasible_mat!AD13=1),(VLOOKUP(AD$1,test!$A$3:$I$32,8,FALSE))-(VLOOKUP($A13,test!$A$3:$I$32,9,FALSE))-50,0))</f>
        <v>0</v>
      </c>
      <c r="AE13">
        <f>IF(SUM(VLOOKUP($A13,test!$A$3:$F$32,2,FALSE),VLOOKUP(AE$1,test!$A$3:$F$32,2,FALSE))&lt;=test!$K$16,IF(AND($A13&lt;&gt;AE$1,feasible_mat!AE13=1),(VLOOKUP(AE$1,test!$A$3:$I$32,8,FALSE))-(VLOOKUP($A13,test!$A$3:$I$32,9,FALSE)),0),IF(AND($A13&lt;&gt;AE$1,feasible_mat!AE13=1),(VLOOKUP(AE$1,test!$A$3:$I$32,8,FALSE))-(VLOOKUP($A13,test!$A$3:$I$32,9,FALSE))-50,0))</f>
        <v>0</v>
      </c>
      <c r="AF13">
        <f>IF(SUM(VLOOKUP($A13,test!$A$3:$F$32,2,FALSE),VLOOKUP(AF$1,test!$A$3:$F$32,2,FALSE))&lt;=test!$K$16,IF(AND($A13&lt;&gt;AF$1,feasible_mat!AF13=1),(VLOOKUP(AF$1,test!$A$3:$I$32,8,FALSE))-(VLOOKUP($A13,test!$A$3:$I$32,9,FALSE)),0),IF(AND($A13&lt;&gt;AF$1,feasible_mat!AF13=1),(VLOOKUP(AF$1,test!$A$3:$I$32,8,FALSE))-(VLOOKUP($A13,test!$A$3:$I$32,9,FALSE))-50,0))</f>
        <v>0</v>
      </c>
      <c r="AJ13" s="16" t="e">
        <f>VLOOKUP(AE$1,test!$A$3:$F$32,8,FALSE)</f>
        <v>#REF!</v>
      </c>
    </row>
    <row r="14" spans="1:36" x14ac:dyDescent="0.25">
      <c r="A14" t="s">
        <v>22</v>
      </c>
      <c r="B14">
        <v>0</v>
      </c>
      <c r="C14">
        <f>IF(SUM(VLOOKUP($A14,test!$A$3:$F$32,2,FALSE),VLOOKUP(C$1,test!$A$3:$F$32,2,FALSE))&lt;=test!$K$16,IF(AND($A14&lt;&gt;C$1,feasible_mat!C14=1),(VLOOKUP(C$1,test!$A$3:$I$32,8,FALSE))-(VLOOKUP($A14,test!$A$3:$I$32,9,FALSE)),0),IF(AND($A14&lt;&gt;C$1,feasible_mat!C14=1),(VLOOKUP(C$1,test!$A$3:$I$32,8,FALSE))-(VLOOKUP($A14,test!$A$3:$I$32,9,FALSE))-50,0))</f>
        <v>0</v>
      </c>
      <c r="D14">
        <f>IF(SUM(VLOOKUP($A14,test!$A$3:$F$32,2,FALSE),VLOOKUP(D$1,test!$A$3:$F$32,2,FALSE))&lt;=test!$K$16,IF(AND($A14&lt;&gt;D$1,feasible_mat!D14=1),(VLOOKUP(D$1,test!$A$3:$I$32,8,FALSE))-(VLOOKUP($A14,test!$A$3:$I$32,9,FALSE)),0),IF(AND($A14&lt;&gt;D$1,feasible_mat!D14=1),(VLOOKUP(D$1,test!$A$3:$I$32,8,FALSE))-(VLOOKUP($A14,test!$A$3:$I$32,9,FALSE))-50,0))</f>
        <v>0</v>
      </c>
      <c r="E14">
        <f>IF(SUM(VLOOKUP($A14,test!$A$3:$F$32,2,FALSE),VLOOKUP(E$1,test!$A$3:$F$32,2,FALSE))&lt;=test!$K$16,IF(AND($A14&lt;&gt;E$1,feasible_mat!E14=1),(VLOOKUP(E$1,test!$A$3:$I$32,8,FALSE))-(VLOOKUP($A14,test!$A$3:$I$32,9,FALSE)),0),IF(AND($A14&lt;&gt;E$1,feasible_mat!E14=1),(VLOOKUP(E$1,test!$A$3:$I$32,8,FALSE))-(VLOOKUP($A14,test!$A$3:$I$32,9,FALSE))-50,0))</f>
        <v>0</v>
      </c>
      <c r="F14">
        <f>IF(SUM(VLOOKUP($A14,test!$A$3:$F$32,2,FALSE),VLOOKUP(F$1,test!$A$3:$F$32,2,FALSE))&lt;=test!$K$16,IF(AND($A14&lt;&gt;F$1,feasible_mat!F14=1),(VLOOKUP(F$1,test!$A$3:$I$32,8,FALSE))-(VLOOKUP($A14,test!$A$3:$I$32,9,FALSE)),0),IF(AND($A14&lt;&gt;F$1,feasible_mat!F14=1),(VLOOKUP(F$1,test!$A$3:$I$32,8,FALSE))-(VLOOKUP($A14,test!$A$3:$I$32,9,FALSE))-50,0))</f>
        <v>0</v>
      </c>
      <c r="G14">
        <f>IF(SUM(VLOOKUP($A14,test!$A$3:$F$32,2,FALSE),VLOOKUP(G$1,test!$A$3:$F$32,2,FALSE))&lt;=test!$K$16,IF(AND($A14&lt;&gt;G$1,feasible_mat!G14=1),(VLOOKUP(G$1,test!$A$3:$I$32,8,FALSE))-(VLOOKUP($A14,test!$A$3:$I$32,9,FALSE)),0),IF(AND($A14&lt;&gt;G$1,feasible_mat!G14=1),(VLOOKUP(G$1,test!$A$3:$I$32,8,FALSE))-(VLOOKUP($A14,test!$A$3:$I$32,9,FALSE))-50,0))</f>
        <v>0</v>
      </c>
      <c r="H14">
        <f>IF(SUM(VLOOKUP($A14,test!$A$3:$F$32,2,FALSE),VLOOKUP(H$1,test!$A$3:$F$32,2,FALSE))&lt;=test!$K$16,IF(AND($A14&lt;&gt;H$1,feasible_mat!H14=1),(VLOOKUP(H$1,test!$A$3:$I$32,8,FALSE))-(VLOOKUP($A14,test!$A$3:$I$32,9,FALSE)),0),IF(AND($A14&lt;&gt;H$1,feasible_mat!H14=1),(VLOOKUP(H$1,test!$A$3:$I$32,8,FALSE))-(VLOOKUP($A14,test!$A$3:$I$32,9,FALSE))-50,0))</f>
        <v>0</v>
      </c>
      <c r="I14">
        <f>IF(SUM(VLOOKUP($A14,test!$A$3:$F$32,2,FALSE),VLOOKUP(I$1,test!$A$3:$F$32,2,FALSE))&lt;=test!$K$16,IF(AND($A14&lt;&gt;I$1,feasible_mat!I14=1),(VLOOKUP(I$1,test!$A$3:$I$32,8,FALSE))-(VLOOKUP($A14,test!$A$3:$I$32,9,FALSE)),0),IF(AND($A14&lt;&gt;I$1,feasible_mat!I14=1),(VLOOKUP(I$1,test!$A$3:$I$32,8,FALSE))-(VLOOKUP($A14,test!$A$3:$I$32,9,FALSE))-50,0))</f>
        <v>0</v>
      </c>
      <c r="J14">
        <f>IF(SUM(VLOOKUP($A14,test!$A$3:$F$32,2,FALSE),VLOOKUP(J$1,test!$A$3:$F$32,2,FALSE))&lt;=test!$K$16,IF(AND($A14&lt;&gt;J$1,feasible_mat!J14=1),(VLOOKUP(J$1,test!$A$3:$I$32,8,FALSE))-(VLOOKUP($A14,test!$A$3:$I$32,9,FALSE)),0),IF(AND($A14&lt;&gt;J$1,feasible_mat!J14=1),(VLOOKUP(J$1,test!$A$3:$I$32,8,FALSE))-(VLOOKUP($A14,test!$A$3:$I$32,9,FALSE))-50,0))</f>
        <v>0</v>
      </c>
      <c r="K14">
        <f>IF(SUM(VLOOKUP($A14,test!$A$3:$F$32,2,FALSE),VLOOKUP(K$1,test!$A$3:$F$32,2,FALSE))&lt;=test!$K$16,IF(AND($A14&lt;&gt;K$1,feasible_mat!K14=1),(VLOOKUP(K$1,test!$A$3:$I$32,8,FALSE))-(VLOOKUP($A14,test!$A$3:$I$32,9,FALSE)),0),IF(AND($A14&lt;&gt;K$1,feasible_mat!K14=1),(VLOOKUP(K$1,test!$A$3:$I$32,8,FALSE))-(VLOOKUP($A14,test!$A$3:$I$32,9,FALSE))-50,0))</f>
        <v>0</v>
      </c>
      <c r="L14">
        <f>IF(SUM(VLOOKUP($A14,test!$A$3:$F$32,2,FALSE),VLOOKUP(L$1,test!$A$3:$F$32,2,FALSE))&lt;=test!$K$16,IF(AND($A14&lt;&gt;L$1,feasible_mat!L14=1),(VLOOKUP(L$1,test!$A$3:$I$32,8,FALSE))-(VLOOKUP($A14,test!$A$3:$I$32,9,FALSE)),0),IF(AND($A14&lt;&gt;L$1,feasible_mat!L14=1),(VLOOKUP(L$1,test!$A$3:$I$32,8,FALSE))-(VLOOKUP($A14,test!$A$3:$I$32,9,FALSE))-50,0))</f>
        <v>0</v>
      </c>
      <c r="M14">
        <f>IF(SUM(VLOOKUP($A14,test!$A$3:$F$32,2,FALSE),VLOOKUP(M$1,test!$A$3:$F$32,2,FALSE))&lt;=test!$K$16,IF(AND($A14&lt;&gt;M$1,feasible_mat!M14=1),(VLOOKUP(M$1,test!$A$3:$I$32,8,FALSE))-(VLOOKUP($A14,test!$A$3:$I$32,9,FALSE)),0),IF(AND($A14&lt;&gt;M$1,feasible_mat!M14=1),(VLOOKUP(M$1,test!$A$3:$I$32,8,FALSE))-(VLOOKUP($A14,test!$A$3:$I$32,9,FALSE))-50,0))</f>
        <v>0</v>
      </c>
      <c r="N14">
        <f>IF(SUM(VLOOKUP($A14,test!$A$3:$F$32,2,FALSE),VLOOKUP(N$1,test!$A$3:$F$32,2,FALSE))&lt;=test!$K$16,IF(AND($A14&lt;&gt;N$1,feasible_mat!N14=1),(VLOOKUP(N$1,test!$A$3:$I$32,8,FALSE))-(VLOOKUP($A14,test!$A$3:$I$32,9,FALSE)),0),IF(AND($A14&lt;&gt;N$1,feasible_mat!N14=1),(VLOOKUP(N$1,test!$A$3:$I$32,8,FALSE))-(VLOOKUP($A14,test!$A$3:$I$32,9,FALSE))-50,0))</f>
        <v>0</v>
      </c>
      <c r="O14">
        <f>IF(SUM(VLOOKUP($A14,test!$A$3:$F$32,2,FALSE),VLOOKUP(O$1,test!$A$3:$F$32,2,FALSE))&lt;=test!$K$16,IF(AND($A14&lt;&gt;O$1,feasible_mat!O14=1),(VLOOKUP(O$1,test!$A$3:$I$32,8,FALSE))-(VLOOKUP($A14,test!$A$3:$I$32,9,FALSE)),0),IF(AND($A14&lt;&gt;O$1,feasible_mat!O14=1),(VLOOKUP(O$1,test!$A$3:$I$32,8,FALSE))-(VLOOKUP($A14,test!$A$3:$I$32,9,FALSE))-50,0))</f>
        <v>0</v>
      </c>
      <c r="P14">
        <f>IF(SUM(VLOOKUP($A14,test!$A$3:$F$32,2,FALSE),VLOOKUP(P$1,test!$A$3:$F$32,2,FALSE))&lt;=test!$K$16,IF(AND($A14&lt;&gt;P$1,feasible_mat!P14=1),(VLOOKUP(P$1,test!$A$3:$I$32,8,FALSE))-(VLOOKUP($A14,test!$A$3:$I$32,9,FALSE)),0),IF(AND($A14&lt;&gt;P$1,feasible_mat!P14=1),(VLOOKUP(P$1,test!$A$3:$I$32,8,FALSE))-(VLOOKUP($A14,test!$A$3:$I$32,9,FALSE))-50,0))</f>
        <v>0</v>
      </c>
      <c r="Q14">
        <f>IF(SUM(VLOOKUP($A14,test!$A$3:$F$32,2,FALSE),VLOOKUP(Q$1,test!$A$3:$F$32,2,FALSE))&lt;=test!$K$16,IF(AND($A14&lt;&gt;Q$1,feasible_mat!Q14=1),(VLOOKUP(Q$1,test!$A$3:$I$32,8,FALSE))-(VLOOKUP($A14,test!$A$3:$I$32,9,FALSE)),0),IF(AND($A14&lt;&gt;Q$1,feasible_mat!Q14=1),(VLOOKUP(Q$1,test!$A$3:$I$32,8,FALSE))-(VLOOKUP($A14,test!$A$3:$I$32,9,FALSE))-50,0))</f>
        <v>0</v>
      </c>
      <c r="R14">
        <f>IF(SUM(VLOOKUP($A14,test!$A$3:$F$32,2,FALSE),VLOOKUP(R$1,test!$A$3:$F$32,2,FALSE))&lt;=test!$K$16,IF(AND($A14&lt;&gt;R$1,feasible_mat!R14=1),(VLOOKUP(R$1,test!$A$3:$I$32,8,FALSE))-(VLOOKUP($A14,test!$A$3:$I$32,9,FALSE)),0),IF(AND($A14&lt;&gt;R$1,feasible_mat!R14=1),(VLOOKUP(R$1,test!$A$3:$I$32,8,FALSE))-(VLOOKUP($A14,test!$A$3:$I$32,9,FALSE))-50,0))</f>
        <v>0</v>
      </c>
      <c r="S14">
        <f>IF(SUM(VLOOKUP($A14,test!$A$3:$F$32,2,FALSE),VLOOKUP(S$1,test!$A$3:$F$32,2,FALSE))&lt;=test!$K$16,IF(AND($A14&lt;&gt;S$1,feasible_mat!S14=1),(VLOOKUP(S$1,test!$A$3:$I$32,8,FALSE))-(VLOOKUP($A14,test!$A$3:$I$32,9,FALSE)),0),IF(AND($A14&lt;&gt;S$1,feasible_mat!S14=1),(VLOOKUP(S$1,test!$A$3:$I$32,8,FALSE))-(VLOOKUP($A14,test!$A$3:$I$32,9,FALSE))-50,0))</f>
        <v>0</v>
      </c>
      <c r="T14">
        <f>IF(SUM(VLOOKUP($A14,test!$A$3:$F$32,2,FALSE),VLOOKUP(T$1,test!$A$3:$F$32,2,FALSE))&lt;=test!$K$16,IF(AND($A14&lt;&gt;T$1,feasible_mat!T14=1),(VLOOKUP(T$1,test!$A$3:$I$32,8,FALSE))-(VLOOKUP($A14,test!$A$3:$I$32,9,FALSE)),0),IF(AND($A14&lt;&gt;T$1,feasible_mat!T14=1),(VLOOKUP(T$1,test!$A$3:$I$32,8,FALSE))-(VLOOKUP($A14,test!$A$3:$I$32,9,FALSE))-50,0))</f>
        <v>0</v>
      </c>
      <c r="U14">
        <f>IF(SUM(VLOOKUP($A14,test!$A$3:$F$32,2,FALSE),VLOOKUP(U$1,test!$A$3:$F$32,2,FALSE))&lt;=test!$K$16,IF(AND($A14&lt;&gt;U$1,feasible_mat!U14=1),(VLOOKUP(U$1,test!$A$3:$I$32,8,FALSE))-(VLOOKUP($A14,test!$A$3:$I$32,9,FALSE)),0),IF(AND($A14&lt;&gt;U$1,feasible_mat!U14=1),(VLOOKUP(U$1,test!$A$3:$I$32,8,FALSE))-(VLOOKUP($A14,test!$A$3:$I$32,9,FALSE))-50,0))</f>
        <v>0</v>
      </c>
      <c r="V14">
        <f>IF(SUM(VLOOKUP($A14,test!$A$3:$F$32,2,FALSE),VLOOKUP(V$1,test!$A$3:$F$32,2,FALSE))&lt;=test!$K$16,IF(AND($A14&lt;&gt;V$1,feasible_mat!V14=1),(VLOOKUP(V$1,test!$A$3:$I$32,8,FALSE))-(VLOOKUP($A14,test!$A$3:$I$32,9,FALSE)),0),IF(AND($A14&lt;&gt;V$1,feasible_mat!V14=1),(VLOOKUP(V$1,test!$A$3:$I$32,8,FALSE))-(VLOOKUP($A14,test!$A$3:$I$32,9,FALSE))-50,0))</f>
        <v>0</v>
      </c>
      <c r="W14">
        <f>IF(SUM(VLOOKUP($A14,test!$A$3:$F$32,2,FALSE),VLOOKUP(W$1,test!$A$3:$F$32,2,FALSE))&lt;=test!$K$16,IF(AND($A14&lt;&gt;W$1,feasible_mat!W14=1),(VLOOKUP(W$1,test!$A$3:$I$32,8,FALSE))-(VLOOKUP($A14,test!$A$3:$I$32,9,FALSE)),0),IF(AND($A14&lt;&gt;W$1,feasible_mat!W14=1),(VLOOKUP(W$1,test!$A$3:$I$32,8,FALSE))-(VLOOKUP($A14,test!$A$3:$I$32,9,FALSE))-50,0))</f>
        <v>0</v>
      </c>
      <c r="X14">
        <f>IF(SUM(VLOOKUP($A14,test!$A$3:$F$32,2,FALSE),VLOOKUP(X$1,test!$A$3:$F$32,2,FALSE))&lt;=test!$K$16,IF(AND($A14&lt;&gt;X$1,feasible_mat!X14=1),(VLOOKUP(X$1,test!$A$3:$I$32,8,FALSE))-(VLOOKUP($A14,test!$A$3:$I$32,9,FALSE)),0),IF(AND($A14&lt;&gt;X$1,feasible_mat!X14=1),(VLOOKUP(X$1,test!$A$3:$I$32,8,FALSE))-(VLOOKUP($A14,test!$A$3:$I$32,9,FALSE))-50,0))</f>
        <v>0</v>
      </c>
      <c r="Y14">
        <f>IF(SUM(VLOOKUP($A14,test!$A$3:$F$32,2,FALSE),VLOOKUP(Y$1,test!$A$3:$F$32,2,FALSE))&lt;=test!$K$16,IF(AND($A14&lt;&gt;Y$1,feasible_mat!Y14=1),(VLOOKUP(Y$1,test!$A$3:$I$32,8,FALSE))-(VLOOKUP($A14,test!$A$3:$I$32,9,FALSE)),0),IF(AND($A14&lt;&gt;Y$1,feasible_mat!Y14=1),(VLOOKUP(Y$1,test!$A$3:$I$32,8,FALSE))-(VLOOKUP($A14,test!$A$3:$I$32,9,FALSE))-50,0))</f>
        <v>0</v>
      </c>
      <c r="Z14">
        <f>IF(SUM(VLOOKUP($A14,test!$A$3:$F$32,2,FALSE),VLOOKUP(Z$1,test!$A$3:$F$32,2,FALSE))&lt;=test!$K$16,IF(AND($A14&lt;&gt;Z$1,feasible_mat!Z14=1),(VLOOKUP(Z$1,test!$A$3:$I$32,8,FALSE))-(VLOOKUP($A14,test!$A$3:$I$32,9,FALSE)),0),IF(AND($A14&lt;&gt;Z$1,feasible_mat!Z14=1),(VLOOKUP(Z$1,test!$A$3:$I$32,8,FALSE))-(VLOOKUP($A14,test!$A$3:$I$32,9,FALSE))-50,0))</f>
        <v>0</v>
      </c>
      <c r="AA14">
        <f>IF(SUM(VLOOKUP($A14,test!$A$3:$F$32,2,FALSE),VLOOKUP(AA$1,test!$A$3:$F$32,2,FALSE))&lt;=test!$K$16,IF(AND($A14&lt;&gt;AA$1,feasible_mat!AA14=1),(VLOOKUP(AA$1,test!$A$3:$I$32,8,FALSE))-(VLOOKUP($A14,test!$A$3:$I$32,9,FALSE)),0),IF(AND($A14&lt;&gt;AA$1,feasible_mat!AA14=1),(VLOOKUP(AA$1,test!$A$3:$I$32,8,FALSE))-(VLOOKUP($A14,test!$A$3:$I$32,9,FALSE))-50,0))</f>
        <v>0</v>
      </c>
      <c r="AB14">
        <f>IF(SUM(VLOOKUP($A14,test!$A$3:$F$32,2,FALSE),VLOOKUP(AB$1,test!$A$3:$F$32,2,FALSE))&lt;=test!$K$16,IF(AND($A14&lt;&gt;AB$1,feasible_mat!AB14=1),(VLOOKUP(AB$1,test!$A$3:$I$32,8,FALSE))-(VLOOKUP($A14,test!$A$3:$I$32,9,FALSE)),0),IF(AND($A14&lt;&gt;AB$1,feasible_mat!AB14=1),(VLOOKUP(AB$1,test!$A$3:$I$32,8,FALSE))-(VLOOKUP($A14,test!$A$3:$I$32,9,FALSE))-50,0))</f>
        <v>0</v>
      </c>
      <c r="AC14">
        <f>IF(SUM(VLOOKUP($A14,test!$A$3:$F$32,2,FALSE),VLOOKUP(AC$1,test!$A$3:$F$32,2,FALSE))&lt;=test!$K$16,IF(AND($A14&lt;&gt;AC$1,feasible_mat!AC14=1),(VLOOKUP(AC$1,test!$A$3:$I$32,8,FALSE))-(VLOOKUP($A14,test!$A$3:$I$32,9,FALSE)),0),IF(AND($A14&lt;&gt;AC$1,feasible_mat!AC14=1),(VLOOKUP(AC$1,test!$A$3:$I$32,8,FALSE))-(VLOOKUP($A14,test!$A$3:$I$32,9,FALSE))-50,0))</f>
        <v>0</v>
      </c>
      <c r="AD14">
        <f>IF(SUM(VLOOKUP($A14,test!$A$3:$F$32,2,FALSE),VLOOKUP(AD$1,test!$A$3:$F$32,2,FALSE))&lt;=test!$K$16,IF(AND($A14&lt;&gt;AD$1,feasible_mat!AD14=1),(VLOOKUP(AD$1,test!$A$3:$I$32,8,FALSE))-(VLOOKUP($A14,test!$A$3:$I$32,9,FALSE)),0),IF(AND($A14&lt;&gt;AD$1,feasible_mat!AD14=1),(VLOOKUP(AD$1,test!$A$3:$I$32,8,FALSE))-(VLOOKUP($A14,test!$A$3:$I$32,9,FALSE))-50,0))</f>
        <v>0</v>
      </c>
      <c r="AE14">
        <f>IF(SUM(VLOOKUP($A14,test!$A$3:$F$32,2,FALSE),VLOOKUP(AE$1,test!$A$3:$F$32,2,FALSE))&lt;=test!$K$16,IF(AND($A14&lt;&gt;AE$1,feasible_mat!AE14=1),(VLOOKUP(AE$1,test!$A$3:$I$32,8,FALSE))-(VLOOKUP($A14,test!$A$3:$I$32,9,FALSE)),0),IF(AND($A14&lt;&gt;AE$1,feasible_mat!AE14=1),(VLOOKUP(AE$1,test!$A$3:$I$32,8,FALSE))-(VLOOKUP($A14,test!$A$3:$I$32,9,FALSE))-50,0))</f>
        <v>0</v>
      </c>
      <c r="AF14">
        <f>IF(SUM(VLOOKUP($A14,test!$A$3:$F$32,2,FALSE),VLOOKUP(AF$1,test!$A$3:$F$32,2,FALSE))&lt;=test!$K$16,IF(AND($A14&lt;&gt;AF$1,feasible_mat!AF14=1),(VLOOKUP(AF$1,test!$A$3:$I$32,8,FALSE))-(VLOOKUP($A14,test!$A$3:$I$32,9,FALSE)),0),IF(AND($A14&lt;&gt;AF$1,feasible_mat!AF14=1),(VLOOKUP(AF$1,test!$A$3:$I$32,8,FALSE))-(VLOOKUP($A14,test!$A$3:$I$32,9,FALSE))-50,0))</f>
        <v>0</v>
      </c>
    </row>
    <row r="15" spans="1:36" x14ac:dyDescent="0.25">
      <c r="A15" t="s">
        <v>23</v>
      </c>
      <c r="B15">
        <v>0</v>
      </c>
      <c r="C15">
        <f>IF(SUM(VLOOKUP($A15,test!$A$3:$F$32,2,FALSE),VLOOKUP(C$1,test!$A$3:$F$32,2,FALSE))&lt;=test!$K$16,IF(AND($A15&lt;&gt;C$1,feasible_mat!C15=1),(VLOOKUP(C$1,test!$A$3:$I$32,8,FALSE))-(VLOOKUP($A15,test!$A$3:$I$32,9,FALSE)),0),IF(AND($A15&lt;&gt;C$1,feasible_mat!C15=1),(VLOOKUP(C$1,test!$A$3:$I$32,8,FALSE))-(VLOOKUP($A15,test!$A$3:$I$32,9,FALSE))-50,0))</f>
        <v>0</v>
      </c>
      <c r="D15">
        <f>IF(SUM(VLOOKUP($A15,test!$A$3:$F$32,2,FALSE),VLOOKUP(D$1,test!$A$3:$F$32,2,FALSE))&lt;=test!$K$16,IF(AND($A15&lt;&gt;D$1,feasible_mat!D15=1),(VLOOKUP(D$1,test!$A$3:$I$32,8,FALSE))-(VLOOKUP($A15,test!$A$3:$I$32,9,FALSE)),0),IF(AND($A15&lt;&gt;D$1,feasible_mat!D15=1),(VLOOKUP(D$1,test!$A$3:$I$32,8,FALSE))-(VLOOKUP($A15,test!$A$3:$I$32,9,FALSE))-50,0))</f>
        <v>0</v>
      </c>
      <c r="E15">
        <f>IF(SUM(VLOOKUP($A15,test!$A$3:$F$32,2,FALSE),VLOOKUP(E$1,test!$A$3:$F$32,2,FALSE))&lt;=test!$K$16,IF(AND($A15&lt;&gt;E$1,feasible_mat!E15=1),(VLOOKUP(E$1,test!$A$3:$I$32,8,FALSE))-(VLOOKUP($A15,test!$A$3:$I$32,9,FALSE)),0),IF(AND($A15&lt;&gt;E$1,feasible_mat!E15=1),(VLOOKUP(E$1,test!$A$3:$I$32,8,FALSE))-(VLOOKUP($A15,test!$A$3:$I$32,9,FALSE))-50,0))</f>
        <v>0</v>
      </c>
      <c r="F15">
        <f>IF(SUM(VLOOKUP($A15,test!$A$3:$F$32,2,FALSE),VLOOKUP(F$1,test!$A$3:$F$32,2,FALSE))&lt;=test!$K$16,IF(AND($A15&lt;&gt;F$1,feasible_mat!F15=1),(VLOOKUP(F$1,test!$A$3:$I$32,8,FALSE))-(VLOOKUP($A15,test!$A$3:$I$32,9,FALSE)),0),IF(AND($A15&lt;&gt;F$1,feasible_mat!F15=1),(VLOOKUP(F$1,test!$A$3:$I$32,8,FALSE))-(VLOOKUP($A15,test!$A$3:$I$32,9,FALSE))-50,0))</f>
        <v>0</v>
      </c>
      <c r="G15">
        <f>IF(SUM(VLOOKUP($A15,test!$A$3:$F$32,2,FALSE),VLOOKUP(G$1,test!$A$3:$F$32,2,FALSE))&lt;=test!$K$16,IF(AND($A15&lt;&gt;G$1,feasible_mat!G15=1),(VLOOKUP(G$1,test!$A$3:$I$32,8,FALSE))-(VLOOKUP($A15,test!$A$3:$I$32,9,FALSE)),0),IF(AND($A15&lt;&gt;G$1,feasible_mat!G15=1),(VLOOKUP(G$1,test!$A$3:$I$32,8,FALSE))-(VLOOKUP($A15,test!$A$3:$I$32,9,FALSE))-50,0))</f>
        <v>0</v>
      </c>
      <c r="H15">
        <f>IF(SUM(VLOOKUP($A15,test!$A$3:$F$32,2,FALSE),VLOOKUP(H$1,test!$A$3:$F$32,2,FALSE))&lt;=test!$K$16,IF(AND($A15&lt;&gt;H$1,feasible_mat!H15=1),(VLOOKUP(H$1,test!$A$3:$I$32,8,FALSE))-(VLOOKUP($A15,test!$A$3:$I$32,9,FALSE)),0),IF(AND($A15&lt;&gt;H$1,feasible_mat!H15=1),(VLOOKUP(H$1,test!$A$3:$I$32,8,FALSE))-(VLOOKUP($A15,test!$A$3:$I$32,9,FALSE))-50,0))</f>
        <v>0</v>
      </c>
      <c r="I15">
        <f>IF(SUM(VLOOKUP($A15,test!$A$3:$F$32,2,FALSE),VLOOKUP(I$1,test!$A$3:$F$32,2,FALSE))&lt;=test!$K$16,IF(AND($A15&lt;&gt;I$1,feasible_mat!I15=1),(VLOOKUP(I$1,test!$A$3:$I$32,8,FALSE))-(VLOOKUP($A15,test!$A$3:$I$32,9,FALSE)),0),IF(AND($A15&lt;&gt;I$1,feasible_mat!I15=1),(VLOOKUP(I$1,test!$A$3:$I$32,8,FALSE))-(VLOOKUP($A15,test!$A$3:$I$32,9,FALSE))-50,0))</f>
        <v>0</v>
      </c>
      <c r="J15">
        <f>IF(SUM(VLOOKUP($A15,test!$A$3:$F$32,2,FALSE),VLOOKUP(J$1,test!$A$3:$F$32,2,FALSE))&lt;=test!$K$16,IF(AND($A15&lt;&gt;J$1,feasible_mat!J15=1),(VLOOKUP(J$1,test!$A$3:$I$32,8,FALSE))-(VLOOKUP($A15,test!$A$3:$I$32,9,FALSE)),0),IF(AND($A15&lt;&gt;J$1,feasible_mat!J15=1),(VLOOKUP(J$1,test!$A$3:$I$32,8,FALSE))-(VLOOKUP($A15,test!$A$3:$I$32,9,FALSE))-50,0))</f>
        <v>0</v>
      </c>
      <c r="K15">
        <f>IF(SUM(VLOOKUP($A15,test!$A$3:$F$32,2,FALSE),VLOOKUP(K$1,test!$A$3:$F$32,2,FALSE))&lt;=test!$K$16,IF(AND($A15&lt;&gt;K$1,feasible_mat!K15=1),(VLOOKUP(K$1,test!$A$3:$I$32,8,FALSE))-(VLOOKUP($A15,test!$A$3:$I$32,9,FALSE)),0),IF(AND($A15&lt;&gt;K$1,feasible_mat!K15=1),(VLOOKUP(K$1,test!$A$3:$I$32,8,FALSE))-(VLOOKUP($A15,test!$A$3:$I$32,9,FALSE))-50,0))</f>
        <v>0</v>
      </c>
      <c r="L15">
        <f>IF(SUM(VLOOKUP($A15,test!$A$3:$F$32,2,FALSE),VLOOKUP(L$1,test!$A$3:$F$32,2,FALSE))&lt;=test!$K$16,IF(AND($A15&lt;&gt;L$1,feasible_mat!L15=1),(VLOOKUP(L$1,test!$A$3:$I$32,8,FALSE))-(VLOOKUP($A15,test!$A$3:$I$32,9,FALSE)),0),IF(AND($A15&lt;&gt;L$1,feasible_mat!L15=1),(VLOOKUP(L$1,test!$A$3:$I$32,8,FALSE))-(VLOOKUP($A15,test!$A$3:$I$32,9,FALSE))-50,0))</f>
        <v>0</v>
      </c>
      <c r="M15">
        <f>IF(SUM(VLOOKUP($A15,test!$A$3:$F$32,2,FALSE),VLOOKUP(M$1,test!$A$3:$F$32,2,FALSE))&lt;=test!$K$16,IF(AND($A15&lt;&gt;M$1,feasible_mat!M15=1),(VLOOKUP(M$1,test!$A$3:$I$32,8,FALSE))-(VLOOKUP($A15,test!$A$3:$I$32,9,FALSE)),0),IF(AND($A15&lt;&gt;M$1,feasible_mat!M15=1),(VLOOKUP(M$1,test!$A$3:$I$32,8,FALSE))-(VLOOKUP($A15,test!$A$3:$I$32,9,FALSE))-50,0))</f>
        <v>0</v>
      </c>
      <c r="N15">
        <f>IF(SUM(VLOOKUP($A15,test!$A$3:$F$32,2,FALSE),VLOOKUP(N$1,test!$A$3:$F$32,2,FALSE))&lt;=test!$K$16,IF(AND($A15&lt;&gt;N$1,feasible_mat!N15=1),(VLOOKUP(N$1,test!$A$3:$I$32,8,FALSE))-(VLOOKUP($A15,test!$A$3:$I$32,9,FALSE)),0),IF(AND($A15&lt;&gt;N$1,feasible_mat!N15=1),(VLOOKUP(N$1,test!$A$3:$I$32,8,FALSE))-(VLOOKUP($A15,test!$A$3:$I$32,9,FALSE))-50,0))</f>
        <v>0</v>
      </c>
      <c r="O15">
        <f>IF(SUM(VLOOKUP($A15,test!$A$3:$F$32,2,FALSE),VLOOKUP(O$1,test!$A$3:$F$32,2,FALSE))&lt;=test!$K$16,IF(AND($A15&lt;&gt;O$1,feasible_mat!O15=1),(VLOOKUP(O$1,test!$A$3:$I$32,8,FALSE))-(VLOOKUP($A15,test!$A$3:$I$32,9,FALSE)),0),IF(AND($A15&lt;&gt;O$1,feasible_mat!O15=1),(VLOOKUP(O$1,test!$A$3:$I$32,8,FALSE))-(VLOOKUP($A15,test!$A$3:$I$32,9,FALSE))-50,0))</f>
        <v>0</v>
      </c>
      <c r="P15">
        <f>IF(SUM(VLOOKUP($A15,test!$A$3:$F$32,2,FALSE),VLOOKUP(P$1,test!$A$3:$F$32,2,FALSE))&lt;=test!$K$16,IF(AND($A15&lt;&gt;P$1,feasible_mat!P15=1),(VLOOKUP(P$1,test!$A$3:$I$32,8,FALSE))-(VLOOKUP($A15,test!$A$3:$I$32,9,FALSE)),0),IF(AND($A15&lt;&gt;P$1,feasible_mat!P15=1),(VLOOKUP(P$1,test!$A$3:$I$32,8,FALSE))-(VLOOKUP($A15,test!$A$3:$I$32,9,FALSE))-50,0))</f>
        <v>0</v>
      </c>
      <c r="Q15">
        <f>IF(SUM(VLOOKUP($A15,test!$A$3:$F$32,2,FALSE),VLOOKUP(Q$1,test!$A$3:$F$32,2,FALSE))&lt;=test!$K$16,IF(AND($A15&lt;&gt;Q$1,feasible_mat!Q15=1),(VLOOKUP(Q$1,test!$A$3:$I$32,8,FALSE))-(VLOOKUP($A15,test!$A$3:$I$32,9,FALSE)),0),IF(AND($A15&lt;&gt;Q$1,feasible_mat!Q15=1),(VLOOKUP(Q$1,test!$A$3:$I$32,8,FALSE))-(VLOOKUP($A15,test!$A$3:$I$32,9,FALSE))-50,0))</f>
        <v>0</v>
      </c>
      <c r="R15">
        <f>IF(SUM(VLOOKUP($A15,test!$A$3:$F$32,2,FALSE),VLOOKUP(R$1,test!$A$3:$F$32,2,FALSE))&lt;=test!$K$16,IF(AND($A15&lt;&gt;R$1,feasible_mat!R15=1),(VLOOKUP(R$1,test!$A$3:$I$32,8,FALSE))-(VLOOKUP($A15,test!$A$3:$I$32,9,FALSE)),0),IF(AND($A15&lt;&gt;R$1,feasible_mat!R15=1),(VLOOKUP(R$1,test!$A$3:$I$32,8,FALSE))-(VLOOKUP($A15,test!$A$3:$I$32,9,FALSE))-50,0))</f>
        <v>0</v>
      </c>
      <c r="S15">
        <f>IF(SUM(VLOOKUP($A15,test!$A$3:$F$32,2,FALSE),VLOOKUP(S$1,test!$A$3:$F$32,2,FALSE))&lt;=test!$K$16,IF(AND($A15&lt;&gt;S$1,feasible_mat!S15=1),(VLOOKUP(S$1,test!$A$3:$I$32,8,FALSE))-(VLOOKUP($A15,test!$A$3:$I$32,9,FALSE)),0),IF(AND($A15&lt;&gt;S$1,feasible_mat!S15=1),(VLOOKUP(S$1,test!$A$3:$I$32,8,FALSE))-(VLOOKUP($A15,test!$A$3:$I$32,9,FALSE))-50,0))</f>
        <v>0</v>
      </c>
      <c r="T15">
        <f>IF(SUM(VLOOKUP($A15,test!$A$3:$F$32,2,FALSE),VLOOKUP(T$1,test!$A$3:$F$32,2,FALSE))&lt;=test!$K$16,IF(AND($A15&lt;&gt;T$1,feasible_mat!T15=1),(VLOOKUP(T$1,test!$A$3:$I$32,8,FALSE))-(VLOOKUP($A15,test!$A$3:$I$32,9,FALSE)),0),IF(AND($A15&lt;&gt;T$1,feasible_mat!T15=1),(VLOOKUP(T$1,test!$A$3:$I$32,8,FALSE))-(VLOOKUP($A15,test!$A$3:$I$32,9,FALSE))-50,0))</f>
        <v>0</v>
      </c>
      <c r="U15">
        <f>IF(SUM(VLOOKUP($A15,test!$A$3:$F$32,2,FALSE),VLOOKUP(U$1,test!$A$3:$F$32,2,FALSE))&lt;=test!$K$16,IF(AND($A15&lt;&gt;U$1,feasible_mat!U15=1),(VLOOKUP(U$1,test!$A$3:$I$32,8,FALSE))-(VLOOKUP($A15,test!$A$3:$I$32,9,FALSE)),0),IF(AND($A15&lt;&gt;U$1,feasible_mat!U15=1),(VLOOKUP(U$1,test!$A$3:$I$32,8,FALSE))-(VLOOKUP($A15,test!$A$3:$I$32,9,FALSE))-50,0))</f>
        <v>0</v>
      </c>
      <c r="V15">
        <f>IF(SUM(VLOOKUP($A15,test!$A$3:$F$32,2,FALSE),VLOOKUP(V$1,test!$A$3:$F$32,2,FALSE))&lt;=test!$K$16,IF(AND($A15&lt;&gt;V$1,feasible_mat!V15=1),(VLOOKUP(V$1,test!$A$3:$I$32,8,FALSE))-(VLOOKUP($A15,test!$A$3:$I$32,9,FALSE)),0),IF(AND($A15&lt;&gt;V$1,feasible_mat!V15=1),(VLOOKUP(V$1,test!$A$3:$I$32,8,FALSE))-(VLOOKUP($A15,test!$A$3:$I$32,9,FALSE))-50,0))</f>
        <v>0</v>
      </c>
      <c r="W15">
        <f>IF(SUM(VLOOKUP($A15,test!$A$3:$F$32,2,FALSE),VLOOKUP(W$1,test!$A$3:$F$32,2,FALSE))&lt;=test!$K$16,IF(AND($A15&lt;&gt;W$1,feasible_mat!W15=1),(VLOOKUP(W$1,test!$A$3:$I$32,8,FALSE))-(VLOOKUP($A15,test!$A$3:$I$32,9,FALSE)),0),IF(AND($A15&lt;&gt;W$1,feasible_mat!W15=1),(VLOOKUP(W$1,test!$A$3:$I$32,8,FALSE))-(VLOOKUP($A15,test!$A$3:$I$32,9,FALSE))-50,0))</f>
        <v>0</v>
      </c>
      <c r="X15">
        <f>IF(SUM(VLOOKUP($A15,test!$A$3:$F$32,2,FALSE),VLOOKUP(X$1,test!$A$3:$F$32,2,FALSE))&lt;=test!$K$16,IF(AND($A15&lt;&gt;X$1,feasible_mat!X15=1),(VLOOKUP(X$1,test!$A$3:$I$32,8,FALSE))-(VLOOKUP($A15,test!$A$3:$I$32,9,FALSE)),0),IF(AND($A15&lt;&gt;X$1,feasible_mat!X15=1),(VLOOKUP(X$1,test!$A$3:$I$32,8,FALSE))-(VLOOKUP($A15,test!$A$3:$I$32,9,FALSE))-50,0))</f>
        <v>0</v>
      </c>
      <c r="Y15">
        <f>IF(SUM(VLOOKUP($A15,test!$A$3:$F$32,2,FALSE),VLOOKUP(Y$1,test!$A$3:$F$32,2,FALSE))&lt;=test!$K$16,IF(AND($A15&lt;&gt;Y$1,feasible_mat!Y15=1),(VLOOKUP(Y$1,test!$A$3:$I$32,8,FALSE))-(VLOOKUP($A15,test!$A$3:$I$32,9,FALSE)),0),IF(AND($A15&lt;&gt;Y$1,feasible_mat!Y15=1),(VLOOKUP(Y$1,test!$A$3:$I$32,8,FALSE))-(VLOOKUP($A15,test!$A$3:$I$32,9,FALSE))-50,0))</f>
        <v>0</v>
      </c>
      <c r="Z15">
        <f>IF(SUM(VLOOKUP($A15,test!$A$3:$F$32,2,FALSE),VLOOKUP(Z$1,test!$A$3:$F$32,2,FALSE))&lt;=test!$K$16,IF(AND($A15&lt;&gt;Z$1,feasible_mat!Z15=1),(VLOOKUP(Z$1,test!$A$3:$I$32,8,FALSE))-(VLOOKUP($A15,test!$A$3:$I$32,9,FALSE)),0),IF(AND($A15&lt;&gt;Z$1,feasible_mat!Z15=1),(VLOOKUP(Z$1,test!$A$3:$I$32,8,FALSE))-(VLOOKUP($A15,test!$A$3:$I$32,9,FALSE))-50,0))</f>
        <v>0</v>
      </c>
      <c r="AA15">
        <f>IF(SUM(VLOOKUP($A15,test!$A$3:$F$32,2,FALSE),VLOOKUP(AA$1,test!$A$3:$F$32,2,FALSE))&lt;=test!$K$16,IF(AND($A15&lt;&gt;AA$1,feasible_mat!AA15=1),(VLOOKUP(AA$1,test!$A$3:$I$32,8,FALSE))-(VLOOKUP($A15,test!$A$3:$I$32,9,FALSE)),0),IF(AND($A15&lt;&gt;AA$1,feasible_mat!AA15=1),(VLOOKUP(AA$1,test!$A$3:$I$32,8,FALSE))-(VLOOKUP($A15,test!$A$3:$I$32,9,FALSE))-50,0))</f>
        <v>0</v>
      </c>
      <c r="AB15">
        <f>IF(SUM(VLOOKUP($A15,test!$A$3:$F$32,2,FALSE),VLOOKUP(AB$1,test!$A$3:$F$32,2,FALSE))&lt;=test!$K$16,IF(AND($A15&lt;&gt;AB$1,feasible_mat!AB15=1),(VLOOKUP(AB$1,test!$A$3:$I$32,8,FALSE))-(VLOOKUP($A15,test!$A$3:$I$32,9,FALSE)),0),IF(AND($A15&lt;&gt;AB$1,feasible_mat!AB15=1),(VLOOKUP(AB$1,test!$A$3:$I$32,8,FALSE))-(VLOOKUP($A15,test!$A$3:$I$32,9,FALSE))-50,0))</f>
        <v>0</v>
      </c>
      <c r="AC15">
        <f>IF(SUM(VLOOKUP($A15,test!$A$3:$F$32,2,FALSE),VLOOKUP(AC$1,test!$A$3:$F$32,2,FALSE))&lt;=test!$K$16,IF(AND($A15&lt;&gt;AC$1,feasible_mat!AC15=1),(VLOOKUP(AC$1,test!$A$3:$I$32,8,FALSE))-(VLOOKUP($A15,test!$A$3:$I$32,9,FALSE)),0),IF(AND($A15&lt;&gt;AC$1,feasible_mat!AC15=1),(VLOOKUP(AC$1,test!$A$3:$I$32,8,FALSE))-(VLOOKUP($A15,test!$A$3:$I$32,9,FALSE))-50,0))</f>
        <v>0</v>
      </c>
      <c r="AD15">
        <f>IF(SUM(VLOOKUP($A15,test!$A$3:$F$32,2,FALSE),VLOOKUP(AD$1,test!$A$3:$F$32,2,FALSE))&lt;=test!$K$16,IF(AND($A15&lt;&gt;AD$1,feasible_mat!AD15=1),(VLOOKUP(AD$1,test!$A$3:$I$32,8,FALSE))-(VLOOKUP($A15,test!$A$3:$I$32,9,FALSE)),0),IF(AND($A15&lt;&gt;AD$1,feasible_mat!AD15=1),(VLOOKUP(AD$1,test!$A$3:$I$32,8,FALSE))-(VLOOKUP($A15,test!$A$3:$I$32,9,FALSE))-50,0))</f>
        <v>0</v>
      </c>
      <c r="AE15">
        <f>IF(SUM(VLOOKUP($A15,test!$A$3:$F$32,2,FALSE),VLOOKUP(AE$1,test!$A$3:$F$32,2,FALSE))&lt;=test!$K$16,IF(AND($A15&lt;&gt;AE$1,feasible_mat!AE15=1),(VLOOKUP(AE$1,test!$A$3:$I$32,8,FALSE))-(VLOOKUP($A15,test!$A$3:$I$32,9,FALSE)),0),IF(AND($A15&lt;&gt;AE$1,feasible_mat!AE15=1),(VLOOKUP(AE$1,test!$A$3:$I$32,8,FALSE))-(VLOOKUP($A15,test!$A$3:$I$32,9,FALSE))-50,0))</f>
        <v>0</v>
      </c>
      <c r="AF15">
        <f>IF(SUM(VLOOKUP($A15,test!$A$3:$F$32,2,FALSE),VLOOKUP(AF$1,test!$A$3:$F$32,2,FALSE))&lt;=test!$K$16,IF(AND($A15&lt;&gt;AF$1,feasible_mat!AF15=1),(VLOOKUP(AF$1,test!$A$3:$I$32,8,FALSE))-(VLOOKUP($A15,test!$A$3:$I$32,9,FALSE)),0),IF(AND($A15&lt;&gt;AF$1,feasible_mat!AF15=1),(VLOOKUP(AF$1,test!$A$3:$I$32,8,FALSE))-(VLOOKUP($A15,test!$A$3:$I$32,9,FALSE))-50,0))</f>
        <v>0</v>
      </c>
      <c r="AJ15" s="16">
        <f>IF(SUM(VLOOKUP($A11,test!$A$3:$F$32,2,FALSE),VLOOKUP(AF$1,test!$A$3:$F$32,2,FALSE))&lt;=test!$K$16,IF(AND($A11&lt;&gt;AF$1,feasible_mat!AF11=1),(VLOOKUP(AF$1,test!$A$3:$I$32,8,FALSE))-(VLOOKUP($A11,test!$A$3:$I$32,9,FALSE)),0),IF(AND($A11&lt;&gt;AF$1,feasible_mat!AF11=1),(VLOOKUP(AF$1,test!$A$3:$I$32,8,FALSE))-(VLOOKUP($A11,test!$A$3:$I$32,9,FALSE))-50,0))</f>
        <v>65</v>
      </c>
    </row>
    <row r="16" spans="1:36" x14ac:dyDescent="0.25">
      <c r="A16" t="s">
        <v>24</v>
      </c>
      <c r="B16">
        <v>0</v>
      </c>
      <c r="C16">
        <f>IF(SUM(VLOOKUP($A16,test!$A$3:$F$32,2,FALSE),VLOOKUP(C$1,test!$A$3:$F$32,2,FALSE))&lt;=test!$K$16,IF(AND($A16&lt;&gt;C$1,feasible_mat!C16=1),(VLOOKUP(C$1,test!$A$3:$I$32,8,FALSE))-(VLOOKUP($A16,test!$A$3:$I$32,9,FALSE)),0),IF(AND($A16&lt;&gt;C$1,feasible_mat!C16=1),(VLOOKUP(C$1,test!$A$3:$I$32,8,FALSE))-(VLOOKUP($A16,test!$A$3:$I$32,9,FALSE))-50,0))</f>
        <v>0</v>
      </c>
      <c r="D16">
        <f>IF(SUM(VLOOKUP($A16,test!$A$3:$F$32,2,FALSE),VLOOKUP(D$1,test!$A$3:$F$32,2,FALSE))&lt;=test!$K$16,IF(AND($A16&lt;&gt;D$1,feasible_mat!D16=1),(VLOOKUP(D$1,test!$A$3:$I$32,8,FALSE))-(VLOOKUP($A16,test!$A$3:$I$32,9,FALSE)),0),IF(AND($A16&lt;&gt;D$1,feasible_mat!D16=1),(VLOOKUP(D$1,test!$A$3:$I$32,8,FALSE))-(VLOOKUP($A16,test!$A$3:$I$32,9,FALSE))-50,0))</f>
        <v>0</v>
      </c>
      <c r="E16">
        <f>IF(SUM(VLOOKUP($A16,test!$A$3:$F$32,2,FALSE),VLOOKUP(E$1,test!$A$3:$F$32,2,FALSE))&lt;=test!$K$16,IF(AND($A16&lt;&gt;E$1,feasible_mat!E16=1),(VLOOKUP(E$1,test!$A$3:$I$32,8,FALSE))-(VLOOKUP($A16,test!$A$3:$I$32,9,FALSE)),0),IF(AND($A16&lt;&gt;E$1,feasible_mat!E16=1),(VLOOKUP(E$1,test!$A$3:$I$32,8,FALSE))-(VLOOKUP($A16,test!$A$3:$I$32,9,FALSE))-50,0))</f>
        <v>60</v>
      </c>
      <c r="F16">
        <f>IF(SUM(VLOOKUP($A16,test!$A$3:$F$32,2,FALSE),VLOOKUP(F$1,test!$A$3:$F$32,2,FALSE))&lt;=test!$K$16,IF(AND($A16&lt;&gt;F$1,feasible_mat!F16=1),(VLOOKUP(F$1,test!$A$3:$I$32,8,FALSE))-(VLOOKUP($A16,test!$A$3:$I$32,9,FALSE)),0),IF(AND($A16&lt;&gt;F$1,feasible_mat!F16=1),(VLOOKUP(F$1,test!$A$3:$I$32,8,FALSE))-(VLOOKUP($A16,test!$A$3:$I$32,9,FALSE))-50,0))</f>
        <v>150</v>
      </c>
      <c r="G16">
        <f>IF(SUM(VLOOKUP($A16,test!$A$3:$F$32,2,FALSE),VLOOKUP(G$1,test!$A$3:$F$32,2,FALSE))&lt;=test!$K$16,IF(AND($A16&lt;&gt;G$1,feasible_mat!G16=1),(VLOOKUP(G$1,test!$A$3:$I$32,8,FALSE))-(VLOOKUP($A16,test!$A$3:$I$32,9,FALSE)),0),IF(AND($A16&lt;&gt;G$1,feasible_mat!G16=1),(VLOOKUP(G$1,test!$A$3:$I$32,8,FALSE))-(VLOOKUP($A16,test!$A$3:$I$32,9,FALSE))-50,0))</f>
        <v>210</v>
      </c>
      <c r="H16">
        <f>IF(SUM(VLOOKUP($A16,test!$A$3:$F$32,2,FALSE),VLOOKUP(H$1,test!$A$3:$F$32,2,FALSE))&lt;=test!$K$16,IF(AND($A16&lt;&gt;H$1,feasible_mat!H16=1),(VLOOKUP(H$1,test!$A$3:$I$32,8,FALSE))-(VLOOKUP($A16,test!$A$3:$I$32,9,FALSE)),0),IF(AND($A16&lt;&gt;H$1,feasible_mat!H16=1),(VLOOKUP(H$1,test!$A$3:$I$32,8,FALSE))-(VLOOKUP($A16,test!$A$3:$I$32,9,FALSE))-50,0))</f>
        <v>270</v>
      </c>
      <c r="I16">
        <f>IF(SUM(VLOOKUP($A16,test!$A$3:$F$32,2,FALSE),VLOOKUP(I$1,test!$A$3:$F$32,2,FALSE))&lt;=test!$K$16,IF(AND($A16&lt;&gt;I$1,feasible_mat!I16=1),(VLOOKUP(I$1,test!$A$3:$I$32,8,FALSE))-(VLOOKUP($A16,test!$A$3:$I$32,9,FALSE)),0),IF(AND($A16&lt;&gt;I$1,feasible_mat!I16=1),(VLOOKUP(I$1,test!$A$3:$I$32,8,FALSE))-(VLOOKUP($A16,test!$A$3:$I$32,9,FALSE))-50,0))</f>
        <v>330</v>
      </c>
      <c r="J16">
        <f>IF(SUM(VLOOKUP($A16,test!$A$3:$F$32,2,FALSE),VLOOKUP(J$1,test!$A$3:$F$32,2,FALSE))&lt;=test!$K$16,IF(AND($A16&lt;&gt;J$1,feasible_mat!J16=1),(VLOOKUP(J$1,test!$A$3:$I$32,8,FALSE))-(VLOOKUP($A16,test!$A$3:$I$32,9,FALSE)),0),IF(AND($A16&lt;&gt;J$1,feasible_mat!J16=1),(VLOOKUP(J$1,test!$A$3:$I$32,8,FALSE))-(VLOOKUP($A16,test!$A$3:$I$32,9,FALSE))-50,0))</f>
        <v>420</v>
      </c>
      <c r="K16">
        <f>IF(SUM(VLOOKUP($A16,test!$A$3:$F$32,2,FALSE),VLOOKUP(K$1,test!$A$3:$F$32,2,FALSE))&lt;=test!$K$16,IF(AND($A16&lt;&gt;K$1,feasible_mat!K16=1),(VLOOKUP(K$1,test!$A$3:$I$32,8,FALSE))-(VLOOKUP($A16,test!$A$3:$I$32,9,FALSE)),0),IF(AND($A16&lt;&gt;K$1,feasible_mat!K16=1),(VLOOKUP(K$1,test!$A$3:$I$32,8,FALSE))-(VLOOKUP($A16,test!$A$3:$I$32,9,FALSE))-50,0))</f>
        <v>0</v>
      </c>
      <c r="L16">
        <f>IF(SUM(VLOOKUP($A16,test!$A$3:$F$32,2,FALSE),VLOOKUP(L$1,test!$A$3:$F$32,2,FALSE))&lt;=test!$K$16,IF(AND($A16&lt;&gt;L$1,feasible_mat!L16=1),(VLOOKUP(L$1,test!$A$3:$I$32,8,FALSE))-(VLOOKUP($A16,test!$A$3:$I$32,9,FALSE)),0),IF(AND($A16&lt;&gt;L$1,feasible_mat!L16=1),(VLOOKUP(L$1,test!$A$3:$I$32,8,FALSE))-(VLOOKUP($A16,test!$A$3:$I$32,9,FALSE))-50,0))</f>
        <v>0</v>
      </c>
      <c r="M16">
        <f>IF(SUM(VLOOKUP($A16,test!$A$3:$F$32,2,FALSE),VLOOKUP(M$1,test!$A$3:$F$32,2,FALSE))&lt;=test!$K$16,IF(AND($A16&lt;&gt;M$1,feasible_mat!M16=1),(VLOOKUP(M$1,test!$A$3:$I$32,8,FALSE))-(VLOOKUP($A16,test!$A$3:$I$32,9,FALSE)),0),IF(AND($A16&lt;&gt;M$1,feasible_mat!M16=1),(VLOOKUP(M$1,test!$A$3:$I$32,8,FALSE))-(VLOOKUP($A16,test!$A$3:$I$32,9,FALSE))-50,0))</f>
        <v>25</v>
      </c>
      <c r="N16">
        <f>IF(SUM(VLOOKUP($A16,test!$A$3:$F$32,2,FALSE),VLOOKUP(N$1,test!$A$3:$F$32,2,FALSE))&lt;=test!$K$16,IF(AND($A16&lt;&gt;N$1,feasible_mat!N16=1),(VLOOKUP(N$1,test!$A$3:$I$32,8,FALSE))-(VLOOKUP($A16,test!$A$3:$I$32,9,FALSE)),0),IF(AND($A16&lt;&gt;N$1,feasible_mat!N16=1),(VLOOKUP(N$1,test!$A$3:$I$32,8,FALSE))-(VLOOKUP($A16,test!$A$3:$I$32,9,FALSE))-50,0))</f>
        <v>385</v>
      </c>
      <c r="O16">
        <f>IF(SUM(VLOOKUP($A16,test!$A$3:$F$32,2,FALSE),VLOOKUP(O$1,test!$A$3:$F$32,2,FALSE))&lt;=test!$K$16,IF(AND($A16&lt;&gt;O$1,feasible_mat!O16=1),(VLOOKUP(O$1,test!$A$3:$I$32,8,FALSE))-(VLOOKUP($A16,test!$A$3:$I$32,9,FALSE)),0),IF(AND($A16&lt;&gt;O$1,feasible_mat!O16=1),(VLOOKUP(O$1,test!$A$3:$I$32,8,FALSE))-(VLOOKUP($A16,test!$A$3:$I$32,9,FALSE))-50,0))</f>
        <v>445</v>
      </c>
      <c r="P16">
        <f>IF(SUM(VLOOKUP($A16,test!$A$3:$F$32,2,FALSE),VLOOKUP(P$1,test!$A$3:$F$32,2,FALSE))&lt;=test!$K$16,IF(AND($A16&lt;&gt;P$1,feasible_mat!P16=1),(VLOOKUP(P$1,test!$A$3:$I$32,8,FALSE))-(VLOOKUP($A16,test!$A$3:$I$32,9,FALSE)),0),IF(AND($A16&lt;&gt;P$1,feasible_mat!P16=1),(VLOOKUP(P$1,test!$A$3:$I$32,8,FALSE))-(VLOOKUP($A16,test!$A$3:$I$32,9,FALSE))-50,0))</f>
        <v>0</v>
      </c>
      <c r="Q16">
        <f>IF(SUM(VLOOKUP($A16,test!$A$3:$F$32,2,FALSE),VLOOKUP(Q$1,test!$A$3:$F$32,2,FALSE))&lt;=test!$K$16,IF(AND($A16&lt;&gt;Q$1,feasible_mat!Q16=1),(VLOOKUP(Q$1,test!$A$3:$I$32,8,FALSE))-(VLOOKUP($A16,test!$A$3:$I$32,9,FALSE)),0),IF(AND($A16&lt;&gt;Q$1,feasible_mat!Q16=1),(VLOOKUP(Q$1,test!$A$3:$I$32,8,FALSE))-(VLOOKUP($A16,test!$A$3:$I$32,9,FALSE))-50,0))</f>
        <v>0</v>
      </c>
      <c r="R16">
        <f>IF(SUM(VLOOKUP($A16,test!$A$3:$F$32,2,FALSE),VLOOKUP(R$1,test!$A$3:$F$32,2,FALSE))&lt;=test!$K$16,IF(AND($A16&lt;&gt;R$1,feasible_mat!R16=1),(VLOOKUP(R$1,test!$A$3:$I$32,8,FALSE))-(VLOOKUP($A16,test!$A$3:$I$32,9,FALSE)),0),IF(AND($A16&lt;&gt;R$1,feasible_mat!R16=1),(VLOOKUP(R$1,test!$A$3:$I$32,8,FALSE))-(VLOOKUP($A16,test!$A$3:$I$32,9,FALSE))-50,0))</f>
        <v>0</v>
      </c>
      <c r="S16">
        <f>IF(SUM(VLOOKUP($A16,test!$A$3:$F$32,2,FALSE),VLOOKUP(S$1,test!$A$3:$F$32,2,FALSE))&lt;=test!$K$16,IF(AND($A16&lt;&gt;S$1,feasible_mat!S16=1),(VLOOKUP(S$1,test!$A$3:$I$32,8,FALSE))-(VLOOKUP($A16,test!$A$3:$I$32,9,FALSE)),0),IF(AND($A16&lt;&gt;S$1,feasible_mat!S16=1),(VLOOKUP(S$1,test!$A$3:$I$32,8,FALSE))-(VLOOKUP($A16,test!$A$3:$I$32,9,FALSE))-50,0))</f>
        <v>0</v>
      </c>
      <c r="T16">
        <f>IF(SUM(VLOOKUP($A16,test!$A$3:$F$32,2,FALSE),VLOOKUP(T$1,test!$A$3:$F$32,2,FALSE))&lt;=test!$K$16,IF(AND($A16&lt;&gt;T$1,feasible_mat!T16=1),(VLOOKUP(T$1,test!$A$3:$I$32,8,FALSE))-(VLOOKUP($A16,test!$A$3:$I$32,9,FALSE)),0),IF(AND($A16&lt;&gt;T$1,feasible_mat!T16=1),(VLOOKUP(T$1,test!$A$3:$I$32,8,FALSE))-(VLOOKUP($A16,test!$A$3:$I$32,9,FALSE))-50,0))</f>
        <v>40</v>
      </c>
      <c r="U16">
        <f>IF(SUM(VLOOKUP($A16,test!$A$3:$F$32,2,FALSE),VLOOKUP(U$1,test!$A$3:$F$32,2,FALSE))&lt;=test!$K$16,IF(AND($A16&lt;&gt;U$1,feasible_mat!U16=1),(VLOOKUP(U$1,test!$A$3:$I$32,8,FALSE))-(VLOOKUP($A16,test!$A$3:$I$32,9,FALSE)),0),IF(AND($A16&lt;&gt;U$1,feasible_mat!U16=1),(VLOOKUP(U$1,test!$A$3:$I$32,8,FALSE))-(VLOOKUP($A16,test!$A$3:$I$32,9,FALSE))-50,0))</f>
        <v>130</v>
      </c>
      <c r="V16">
        <f>IF(SUM(VLOOKUP($A16,test!$A$3:$F$32,2,FALSE),VLOOKUP(V$1,test!$A$3:$F$32,2,FALSE))&lt;=test!$K$16,IF(AND($A16&lt;&gt;V$1,feasible_mat!V16=1),(VLOOKUP(V$1,test!$A$3:$I$32,8,FALSE))-(VLOOKUP($A16,test!$A$3:$I$32,9,FALSE)),0),IF(AND($A16&lt;&gt;V$1,feasible_mat!V16=1),(VLOOKUP(V$1,test!$A$3:$I$32,8,FALSE))-(VLOOKUP($A16,test!$A$3:$I$32,9,FALSE))-50,0))</f>
        <v>220</v>
      </c>
      <c r="W16">
        <f>IF(SUM(VLOOKUP($A16,test!$A$3:$F$32,2,FALSE),VLOOKUP(W$1,test!$A$3:$F$32,2,FALSE))&lt;=test!$K$16,IF(AND($A16&lt;&gt;W$1,feasible_mat!W16=1),(VLOOKUP(W$1,test!$A$3:$I$32,8,FALSE))-(VLOOKUP($A16,test!$A$3:$I$32,9,FALSE)),0),IF(AND($A16&lt;&gt;W$1,feasible_mat!W16=1),(VLOOKUP(W$1,test!$A$3:$I$32,8,FALSE))-(VLOOKUP($A16,test!$A$3:$I$32,9,FALSE))-50,0))</f>
        <v>310</v>
      </c>
      <c r="X16">
        <f>IF(SUM(VLOOKUP($A16,test!$A$3:$F$32,2,FALSE),VLOOKUP(X$1,test!$A$3:$F$32,2,FALSE))&lt;=test!$K$16,IF(AND($A16&lt;&gt;X$1,feasible_mat!X16=1),(VLOOKUP(X$1,test!$A$3:$I$32,8,FALSE))-(VLOOKUP($A16,test!$A$3:$I$32,9,FALSE)),0),IF(AND($A16&lt;&gt;X$1,feasible_mat!X16=1),(VLOOKUP(X$1,test!$A$3:$I$32,8,FALSE))-(VLOOKUP($A16,test!$A$3:$I$32,9,FALSE))-50,0))</f>
        <v>370</v>
      </c>
      <c r="Y16">
        <f>IF(SUM(VLOOKUP($A16,test!$A$3:$F$32,2,FALSE),VLOOKUP(Y$1,test!$A$3:$F$32,2,FALSE))&lt;=test!$K$16,IF(AND($A16&lt;&gt;Y$1,feasible_mat!Y16=1),(VLOOKUP(Y$1,test!$A$3:$I$32,8,FALSE))-(VLOOKUP($A16,test!$A$3:$I$32,9,FALSE)),0),IF(AND($A16&lt;&gt;Y$1,feasible_mat!Y16=1),(VLOOKUP(Y$1,test!$A$3:$I$32,8,FALSE))-(VLOOKUP($A16,test!$A$3:$I$32,9,FALSE))-50,0))</f>
        <v>0</v>
      </c>
      <c r="Z16">
        <f>IF(SUM(VLOOKUP($A16,test!$A$3:$F$32,2,FALSE),VLOOKUP(Z$1,test!$A$3:$F$32,2,FALSE))&lt;=test!$K$16,IF(AND($A16&lt;&gt;Z$1,feasible_mat!Z16=1),(VLOOKUP(Z$1,test!$A$3:$I$32,8,FALSE))-(VLOOKUP($A16,test!$A$3:$I$32,9,FALSE)),0),IF(AND($A16&lt;&gt;Z$1,feasible_mat!Z16=1),(VLOOKUP(Z$1,test!$A$3:$I$32,8,FALSE))-(VLOOKUP($A16,test!$A$3:$I$32,9,FALSE))-50,0))</f>
        <v>0</v>
      </c>
      <c r="AA16">
        <f>IF(SUM(VLOOKUP($A16,test!$A$3:$F$32,2,FALSE),VLOOKUP(AA$1,test!$A$3:$F$32,2,FALSE))&lt;=test!$K$16,IF(AND($A16&lt;&gt;AA$1,feasible_mat!AA16=1),(VLOOKUP(AA$1,test!$A$3:$I$32,8,FALSE))-(VLOOKUP($A16,test!$A$3:$I$32,9,FALSE)),0),IF(AND($A16&lt;&gt;AA$1,feasible_mat!AA16=1),(VLOOKUP(AA$1,test!$A$3:$I$32,8,FALSE))-(VLOOKUP($A16,test!$A$3:$I$32,9,FALSE))-50,0))</f>
        <v>90</v>
      </c>
      <c r="AB16">
        <f>IF(SUM(VLOOKUP($A16,test!$A$3:$F$32,2,FALSE),VLOOKUP(AB$1,test!$A$3:$F$32,2,FALSE))&lt;=test!$K$16,IF(AND($A16&lt;&gt;AB$1,feasible_mat!AB16=1),(VLOOKUP(AB$1,test!$A$3:$I$32,8,FALSE))-(VLOOKUP($A16,test!$A$3:$I$32,9,FALSE)),0),IF(AND($A16&lt;&gt;AB$1,feasible_mat!AB16=1),(VLOOKUP(AB$1,test!$A$3:$I$32,8,FALSE))-(VLOOKUP($A16,test!$A$3:$I$32,9,FALSE))-50,0))</f>
        <v>150</v>
      </c>
      <c r="AC16">
        <f>IF(SUM(VLOOKUP($A16,test!$A$3:$F$32,2,FALSE),VLOOKUP(AC$1,test!$A$3:$F$32,2,FALSE))&lt;=test!$K$16,IF(AND($A16&lt;&gt;AC$1,feasible_mat!AC16=1),(VLOOKUP(AC$1,test!$A$3:$I$32,8,FALSE))-(VLOOKUP($A16,test!$A$3:$I$32,9,FALSE)),0),IF(AND($A16&lt;&gt;AC$1,feasible_mat!AC16=1),(VLOOKUP(AC$1,test!$A$3:$I$32,8,FALSE))-(VLOOKUP($A16,test!$A$3:$I$32,9,FALSE))-50,0))</f>
        <v>270</v>
      </c>
      <c r="AD16">
        <f>IF(SUM(VLOOKUP($A16,test!$A$3:$F$32,2,FALSE),VLOOKUP(AD$1,test!$A$3:$F$32,2,FALSE))&lt;=test!$K$16,IF(AND($A16&lt;&gt;AD$1,feasible_mat!AD16=1),(VLOOKUP(AD$1,test!$A$3:$I$32,8,FALSE))-(VLOOKUP($A16,test!$A$3:$I$32,9,FALSE)),0),IF(AND($A16&lt;&gt;AD$1,feasible_mat!AD16=1),(VLOOKUP(AD$1,test!$A$3:$I$32,8,FALSE))-(VLOOKUP($A16,test!$A$3:$I$32,9,FALSE))-50,0))</f>
        <v>0</v>
      </c>
      <c r="AE16">
        <f>IF(SUM(VLOOKUP($A16,test!$A$3:$F$32,2,FALSE),VLOOKUP(AE$1,test!$A$3:$F$32,2,FALSE))&lt;=test!$K$16,IF(AND($A16&lt;&gt;AE$1,feasible_mat!AE16=1),(VLOOKUP(AE$1,test!$A$3:$I$32,8,FALSE))-(VLOOKUP($A16,test!$A$3:$I$32,9,FALSE)),0),IF(AND($A16&lt;&gt;AE$1,feasible_mat!AE16=1),(VLOOKUP(AE$1,test!$A$3:$I$32,8,FALSE))-(VLOOKUP($A16,test!$A$3:$I$32,9,FALSE))-50,0))</f>
        <v>40</v>
      </c>
      <c r="AF16">
        <f>IF(SUM(VLOOKUP($A16,test!$A$3:$F$32,2,FALSE),VLOOKUP(AF$1,test!$A$3:$F$32,2,FALSE))&lt;=test!$K$16,IF(AND($A16&lt;&gt;AF$1,feasible_mat!AF16=1),(VLOOKUP(AF$1,test!$A$3:$I$32,8,FALSE))-(VLOOKUP($A16,test!$A$3:$I$32,9,FALSE)),0),IF(AND($A16&lt;&gt;AF$1,feasible_mat!AF16=1),(VLOOKUP(AF$1,test!$A$3:$I$32,8,FALSE))-(VLOOKUP($A16,test!$A$3:$I$32,9,FALSE))-50,0))</f>
        <v>-10</v>
      </c>
      <c r="AJ16" s="16" t="s">
        <v>85</v>
      </c>
    </row>
    <row r="17" spans="1:36" x14ac:dyDescent="0.25">
      <c r="A17" t="s">
        <v>26</v>
      </c>
      <c r="B17">
        <v>0</v>
      </c>
      <c r="C17">
        <f>IF(SUM(VLOOKUP($A17,test!$A$3:$F$32,2,FALSE),VLOOKUP(C$1,test!$A$3:$F$32,2,FALSE))&lt;=test!$K$16,IF(AND($A17&lt;&gt;C$1,feasible_mat!C17=1),(VLOOKUP(C$1,test!$A$3:$I$32,8,FALSE))-(VLOOKUP($A17,test!$A$3:$I$32,9,FALSE)),0),IF(AND($A17&lt;&gt;C$1,feasible_mat!C17=1),(VLOOKUP(C$1,test!$A$3:$I$32,8,FALSE))-(VLOOKUP($A17,test!$A$3:$I$32,9,FALSE))-50,0))</f>
        <v>0</v>
      </c>
      <c r="D17">
        <f>IF(SUM(VLOOKUP($A17,test!$A$3:$F$32,2,FALSE),VLOOKUP(D$1,test!$A$3:$F$32,2,FALSE))&lt;=test!$K$16,IF(AND($A17&lt;&gt;D$1,feasible_mat!D17=1),(VLOOKUP(D$1,test!$A$3:$I$32,8,FALSE))-(VLOOKUP($A17,test!$A$3:$I$32,9,FALSE)),0),IF(AND($A17&lt;&gt;D$1,feasible_mat!D17=1),(VLOOKUP(D$1,test!$A$3:$I$32,8,FALSE))-(VLOOKUP($A17,test!$A$3:$I$32,9,FALSE))-50,0))</f>
        <v>65</v>
      </c>
      <c r="E17">
        <f>IF(SUM(VLOOKUP($A17,test!$A$3:$F$32,2,FALSE),VLOOKUP(E$1,test!$A$3:$F$32,2,FALSE))&lt;=test!$K$16,IF(AND($A17&lt;&gt;E$1,feasible_mat!E17=1),(VLOOKUP(E$1,test!$A$3:$I$32,8,FALSE))-(VLOOKUP($A17,test!$A$3:$I$32,9,FALSE)),0),IF(AND($A17&lt;&gt;E$1,feasible_mat!E17=1),(VLOOKUP(E$1,test!$A$3:$I$32,8,FALSE))-(VLOOKUP($A17,test!$A$3:$I$32,9,FALSE))-50,0))</f>
        <v>155</v>
      </c>
      <c r="F17">
        <f>IF(SUM(VLOOKUP($A17,test!$A$3:$F$32,2,FALSE),VLOOKUP(F$1,test!$A$3:$F$32,2,FALSE))&lt;=test!$K$16,IF(AND($A17&lt;&gt;F$1,feasible_mat!F17=1),(VLOOKUP(F$1,test!$A$3:$I$32,8,FALSE))-(VLOOKUP($A17,test!$A$3:$I$32,9,FALSE)),0),IF(AND($A17&lt;&gt;F$1,feasible_mat!F17=1),(VLOOKUP(F$1,test!$A$3:$I$32,8,FALSE))-(VLOOKUP($A17,test!$A$3:$I$32,9,FALSE))-50,0))</f>
        <v>245</v>
      </c>
      <c r="G17">
        <f>IF(SUM(VLOOKUP($A17,test!$A$3:$F$32,2,FALSE),VLOOKUP(G$1,test!$A$3:$F$32,2,FALSE))&lt;=test!$K$16,IF(AND($A17&lt;&gt;G$1,feasible_mat!G17=1),(VLOOKUP(G$1,test!$A$3:$I$32,8,FALSE))-(VLOOKUP($A17,test!$A$3:$I$32,9,FALSE)),0),IF(AND($A17&lt;&gt;G$1,feasible_mat!G17=1),(VLOOKUP(G$1,test!$A$3:$I$32,8,FALSE))-(VLOOKUP($A17,test!$A$3:$I$32,9,FALSE))-50,0))</f>
        <v>305</v>
      </c>
      <c r="H17">
        <f>IF(SUM(VLOOKUP($A17,test!$A$3:$F$32,2,FALSE),VLOOKUP(H$1,test!$A$3:$F$32,2,FALSE))&lt;=test!$K$16,IF(AND($A17&lt;&gt;H$1,feasible_mat!H17=1),(VLOOKUP(H$1,test!$A$3:$I$32,8,FALSE))-(VLOOKUP($A17,test!$A$3:$I$32,9,FALSE)),0),IF(AND($A17&lt;&gt;H$1,feasible_mat!H17=1),(VLOOKUP(H$1,test!$A$3:$I$32,8,FALSE))-(VLOOKUP($A17,test!$A$3:$I$32,9,FALSE))-50,0))</f>
        <v>365</v>
      </c>
      <c r="I17">
        <f>IF(SUM(VLOOKUP($A17,test!$A$3:$F$32,2,FALSE),VLOOKUP(I$1,test!$A$3:$F$32,2,FALSE))&lt;=test!$K$16,IF(AND($A17&lt;&gt;I$1,feasible_mat!I17=1),(VLOOKUP(I$1,test!$A$3:$I$32,8,FALSE))-(VLOOKUP($A17,test!$A$3:$I$32,9,FALSE)),0),IF(AND($A17&lt;&gt;I$1,feasible_mat!I17=1),(VLOOKUP(I$1,test!$A$3:$I$32,8,FALSE))-(VLOOKUP($A17,test!$A$3:$I$32,9,FALSE))-50,0))</f>
        <v>425</v>
      </c>
      <c r="J17">
        <f>IF(SUM(VLOOKUP($A17,test!$A$3:$F$32,2,FALSE),VLOOKUP(J$1,test!$A$3:$F$32,2,FALSE))&lt;=test!$K$16,IF(AND($A17&lt;&gt;J$1,feasible_mat!J17=1),(VLOOKUP(J$1,test!$A$3:$I$32,8,FALSE))-(VLOOKUP($A17,test!$A$3:$I$32,9,FALSE)),0),IF(AND($A17&lt;&gt;J$1,feasible_mat!J17=1),(VLOOKUP(J$1,test!$A$3:$I$32,8,FALSE))-(VLOOKUP($A17,test!$A$3:$I$32,9,FALSE))-50,0))</f>
        <v>515</v>
      </c>
      <c r="K17">
        <f>IF(SUM(VLOOKUP($A17,test!$A$3:$F$32,2,FALSE),VLOOKUP(K$1,test!$A$3:$F$32,2,FALSE))&lt;=test!$K$16,IF(AND($A17&lt;&gt;K$1,feasible_mat!K17=1),(VLOOKUP(K$1,test!$A$3:$I$32,8,FALSE))-(VLOOKUP($A17,test!$A$3:$I$32,9,FALSE)),0),IF(AND($A17&lt;&gt;K$1,feasible_mat!K17=1),(VLOOKUP(K$1,test!$A$3:$I$32,8,FALSE))-(VLOOKUP($A17,test!$A$3:$I$32,9,FALSE))-50,0))</f>
        <v>0</v>
      </c>
      <c r="L17">
        <f>IF(SUM(VLOOKUP($A17,test!$A$3:$F$32,2,FALSE),VLOOKUP(L$1,test!$A$3:$F$32,2,FALSE))&lt;=test!$K$16,IF(AND($A17&lt;&gt;L$1,feasible_mat!L17=1),(VLOOKUP(L$1,test!$A$3:$I$32,8,FALSE))-(VLOOKUP($A17,test!$A$3:$I$32,9,FALSE)),0),IF(AND($A17&lt;&gt;L$1,feasible_mat!L17=1),(VLOOKUP(L$1,test!$A$3:$I$32,8,FALSE))-(VLOOKUP($A17,test!$A$3:$I$32,9,FALSE))-50,0))</f>
        <v>0</v>
      </c>
      <c r="M17">
        <f>IF(SUM(VLOOKUP($A17,test!$A$3:$F$32,2,FALSE),VLOOKUP(M$1,test!$A$3:$F$32,2,FALSE))&lt;=test!$K$16,IF(AND($A17&lt;&gt;M$1,feasible_mat!M17=1),(VLOOKUP(M$1,test!$A$3:$I$32,8,FALSE))-(VLOOKUP($A17,test!$A$3:$I$32,9,FALSE)),0),IF(AND($A17&lt;&gt;M$1,feasible_mat!M17=1),(VLOOKUP(M$1,test!$A$3:$I$32,8,FALSE))-(VLOOKUP($A17,test!$A$3:$I$32,9,FALSE))-50,0))</f>
        <v>120</v>
      </c>
      <c r="N17">
        <f>IF(SUM(VLOOKUP($A17,test!$A$3:$F$32,2,FALSE),VLOOKUP(N$1,test!$A$3:$F$32,2,FALSE))&lt;=test!$K$16,IF(AND($A17&lt;&gt;N$1,feasible_mat!N17=1),(VLOOKUP(N$1,test!$A$3:$I$32,8,FALSE))-(VLOOKUP($A17,test!$A$3:$I$32,9,FALSE)),0),IF(AND($A17&lt;&gt;N$1,feasible_mat!N17=1),(VLOOKUP(N$1,test!$A$3:$I$32,8,FALSE))-(VLOOKUP($A17,test!$A$3:$I$32,9,FALSE))-50,0))</f>
        <v>480</v>
      </c>
      <c r="O17">
        <f>IF(SUM(VLOOKUP($A17,test!$A$3:$F$32,2,FALSE),VLOOKUP(O$1,test!$A$3:$F$32,2,FALSE))&lt;=test!$K$16,IF(AND($A17&lt;&gt;O$1,feasible_mat!O17=1),(VLOOKUP(O$1,test!$A$3:$I$32,8,FALSE))-(VLOOKUP($A17,test!$A$3:$I$32,9,FALSE)),0),IF(AND($A17&lt;&gt;O$1,feasible_mat!O17=1),(VLOOKUP(O$1,test!$A$3:$I$32,8,FALSE))-(VLOOKUP($A17,test!$A$3:$I$32,9,FALSE))-50,0))</f>
        <v>540</v>
      </c>
      <c r="P17">
        <f>IF(SUM(VLOOKUP($A17,test!$A$3:$F$32,2,FALSE),VLOOKUP(P$1,test!$A$3:$F$32,2,FALSE))&lt;=test!$K$16,IF(AND($A17&lt;&gt;P$1,feasible_mat!P17=1),(VLOOKUP(P$1,test!$A$3:$I$32,8,FALSE))-(VLOOKUP($A17,test!$A$3:$I$32,9,FALSE)),0),IF(AND($A17&lt;&gt;P$1,feasible_mat!P17=1),(VLOOKUP(P$1,test!$A$3:$I$32,8,FALSE))-(VLOOKUP($A17,test!$A$3:$I$32,9,FALSE))-50,0))</f>
        <v>0</v>
      </c>
      <c r="Q17">
        <f>IF(SUM(VLOOKUP($A17,test!$A$3:$F$32,2,FALSE),VLOOKUP(Q$1,test!$A$3:$F$32,2,FALSE))&lt;=test!$K$16,IF(AND($A17&lt;&gt;Q$1,feasible_mat!Q17=1),(VLOOKUP(Q$1,test!$A$3:$I$32,8,FALSE))-(VLOOKUP($A17,test!$A$3:$I$32,9,FALSE)),0),IF(AND($A17&lt;&gt;Q$1,feasible_mat!Q17=1),(VLOOKUP(Q$1,test!$A$3:$I$32,8,FALSE))-(VLOOKUP($A17,test!$A$3:$I$32,9,FALSE))-50,0))</f>
        <v>0</v>
      </c>
      <c r="R17">
        <f>IF(SUM(VLOOKUP($A17,test!$A$3:$F$32,2,FALSE),VLOOKUP(R$1,test!$A$3:$F$32,2,FALSE))&lt;=test!$K$16,IF(AND($A17&lt;&gt;R$1,feasible_mat!R17=1),(VLOOKUP(R$1,test!$A$3:$I$32,8,FALSE))-(VLOOKUP($A17,test!$A$3:$I$32,9,FALSE)),0),IF(AND($A17&lt;&gt;R$1,feasible_mat!R17=1),(VLOOKUP(R$1,test!$A$3:$I$32,8,FALSE))-(VLOOKUP($A17,test!$A$3:$I$32,9,FALSE))-50,0))</f>
        <v>0</v>
      </c>
      <c r="S17">
        <f>IF(SUM(VLOOKUP($A17,test!$A$3:$F$32,2,FALSE),VLOOKUP(S$1,test!$A$3:$F$32,2,FALSE))&lt;=test!$K$16,IF(AND($A17&lt;&gt;S$1,feasible_mat!S17=1),(VLOOKUP(S$1,test!$A$3:$I$32,8,FALSE))-(VLOOKUP($A17,test!$A$3:$I$32,9,FALSE)),0),IF(AND($A17&lt;&gt;S$1,feasible_mat!S17=1),(VLOOKUP(S$1,test!$A$3:$I$32,8,FALSE))-(VLOOKUP($A17,test!$A$3:$I$32,9,FALSE))-50,0))</f>
        <v>45</v>
      </c>
      <c r="T17">
        <f>IF(SUM(VLOOKUP($A17,test!$A$3:$F$32,2,FALSE),VLOOKUP(T$1,test!$A$3:$F$32,2,FALSE))&lt;=test!$K$16,IF(AND($A17&lt;&gt;T$1,feasible_mat!T17=1),(VLOOKUP(T$1,test!$A$3:$I$32,8,FALSE))-(VLOOKUP($A17,test!$A$3:$I$32,9,FALSE)),0),IF(AND($A17&lt;&gt;T$1,feasible_mat!T17=1),(VLOOKUP(T$1,test!$A$3:$I$32,8,FALSE))-(VLOOKUP($A17,test!$A$3:$I$32,9,FALSE))-50,0))</f>
        <v>135</v>
      </c>
      <c r="U17">
        <f>IF(SUM(VLOOKUP($A17,test!$A$3:$F$32,2,FALSE),VLOOKUP(U$1,test!$A$3:$F$32,2,FALSE))&lt;=test!$K$16,IF(AND($A17&lt;&gt;U$1,feasible_mat!U17=1),(VLOOKUP(U$1,test!$A$3:$I$32,8,FALSE))-(VLOOKUP($A17,test!$A$3:$I$32,9,FALSE)),0),IF(AND($A17&lt;&gt;U$1,feasible_mat!U17=1),(VLOOKUP(U$1,test!$A$3:$I$32,8,FALSE))-(VLOOKUP($A17,test!$A$3:$I$32,9,FALSE))-50,0))</f>
        <v>225</v>
      </c>
      <c r="V17">
        <f>IF(SUM(VLOOKUP($A17,test!$A$3:$F$32,2,FALSE),VLOOKUP(V$1,test!$A$3:$F$32,2,FALSE))&lt;=test!$K$16,IF(AND($A17&lt;&gt;V$1,feasible_mat!V17=1),(VLOOKUP(V$1,test!$A$3:$I$32,8,FALSE))-(VLOOKUP($A17,test!$A$3:$I$32,9,FALSE)),0),IF(AND($A17&lt;&gt;V$1,feasible_mat!V17=1),(VLOOKUP(V$1,test!$A$3:$I$32,8,FALSE))-(VLOOKUP($A17,test!$A$3:$I$32,9,FALSE))-50,0))</f>
        <v>315</v>
      </c>
      <c r="W17">
        <f>IF(SUM(VLOOKUP($A17,test!$A$3:$F$32,2,FALSE),VLOOKUP(W$1,test!$A$3:$F$32,2,FALSE))&lt;=test!$K$16,IF(AND($A17&lt;&gt;W$1,feasible_mat!W17=1),(VLOOKUP(W$1,test!$A$3:$I$32,8,FALSE))-(VLOOKUP($A17,test!$A$3:$I$32,9,FALSE)),0),IF(AND($A17&lt;&gt;W$1,feasible_mat!W17=1),(VLOOKUP(W$1,test!$A$3:$I$32,8,FALSE))-(VLOOKUP($A17,test!$A$3:$I$32,9,FALSE))-50,0))</f>
        <v>405</v>
      </c>
      <c r="X17">
        <f>IF(SUM(VLOOKUP($A17,test!$A$3:$F$32,2,FALSE),VLOOKUP(X$1,test!$A$3:$F$32,2,FALSE))&lt;=test!$K$16,IF(AND($A17&lt;&gt;X$1,feasible_mat!X17=1),(VLOOKUP(X$1,test!$A$3:$I$32,8,FALSE))-(VLOOKUP($A17,test!$A$3:$I$32,9,FALSE)),0),IF(AND($A17&lt;&gt;X$1,feasible_mat!X17=1),(VLOOKUP(X$1,test!$A$3:$I$32,8,FALSE))-(VLOOKUP($A17,test!$A$3:$I$32,9,FALSE))-50,0))</f>
        <v>465</v>
      </c>
      <c r="Y17">
        <f>IF(SUM(VLOOKUP($A17,test!$A$3:$F$32,2,FALSE),VLOOKUP(Y$1,test!$A$3:$F$32,2,FALSE))&lt;=test!$K$16,IF(AND($A17&lt;&gt;Y$1,feasible_mat!Y17=1),(VLOOKUP(Y$1,test!$A$3:$I$32,8,FALSE))-(VLOOKUP($A17,test!$A$3:$I$32,9,FALSE)),0),IF(AND($A17&lt;&gt;Y$1,feasible_mat!Y17=1),(VLOOKUP(Y$1,test!$A$3:$I$32,8,FALSE))-(VLOOKUP($A17,test!$A$3:$I$32,9,FALSE))-50,0))</f>
        <v>0</v>
      </c>
      <c r="Z17">
        <f>IF(SUM(VLOOKUP($A17,test!$A$3:$F$32,2,FALSE),VLOOKUP(Z$1,test!$A$3:$F$32,2,FALSE))&lt;=test!$K$16,IF(AND($A17&lt;&gt;Z$1,feasible_mat!Z17=1),(VLOOKUP(Z$1,test!$A$3:$I$32,8,FALSE))-(VLOOKUP($A17,test!$A$3:$I$32,9,FALSE)),0),IF(AND($A17&lt;&gt;Z$1,feasible_mat!Z17=1),(VLOOKUP(Z$1,test!$A$3:$I$32,8,FALSE))-(VLOOKUP($A17,test!$A$3:$I$32,9,FALSE))-50,0))</f>
        <v>65</v>
      </c>
      <c r="AA17">
        <f>IF(SUM(VLOOKUP($A17,test!$A$3:$F$32,2,FALSE),VLOOKUP(AA$1,test!$A$3:$F$32,2,FALSE))&lt;=test!$K$16,IF(AND($A17&lt;&gt;AA$1,feasible_mat!AA17=1),(VLOOKUP(AA$1,test!$A$3:$I$32,8,FALSE))-(VLOOKUP($A17,test!$A$3:$I$32,9,FALSE)),0),IF(AND($A17&lt;&gt;AA$1,feasible_mat!AA17=1),(VLOOKUP(AA$1,test!$A$3:$I$32,8,FALSE))-(VLOOKUP($A17,test!$A$3:$I$32,9,FALSE))-50,0))</f>
        <v>185</v>
      </c>
      <c r="AB17">
        <f>IF(SUM(VLOOKUP($A17,test!$A$3:$F$32,2,FALSE),VLOOKUP(AB$1,test!$A$3:$F$32,2,FALSE))&lt;=test!$K$16,IF(AND($A17&lt;&gt;AB$1,feasible_mat!AB17=1),(VLOOKUP(AB$1,test!$A$3:$I$32,8,FALSE))-(VLOOKUP($A17,test!$A$3:$I$32,9,FALSE)),0),IF(AND($A17&lt;&gt;AB$1,feasible_mat!AB17=1),(VLOOKUP(AB$1,test!$A$3:$I$32,8,FALSE))-(VLOOKUP($A17,test!$A$3:$I$32,9,FALSE))-50,0))</f>
        <v>245</v>
      </c>
      <c r="AC17">
        <f>IF(SUM(VLOOKUP($A17,test!$A$3:$F$32,2,FALSE),VLOOKUP(AC$1,test!$A$3:$F$32,2,FALSE))&lt;=test!$K$16,IF(AND($A17&lt;&gt;AC$1,feasible_mat!AC17=1),(VLOOKUP(AC$1,test!$A$3:$I$32,8,FALSE))-(VLOOKUP($A17,test!$A$3:$I$32,9,FALSE)),0),IF(AND($A17&lt;&gt;AC$1,feasible_mat!AC17=1),(VLOOKUP(AC$1,test!$A$3:$I$32,8,FALSE))-(VLOOKUP($A17,test!$A$3:$I$32,9,FALSE))-50,0))</f>
        <v>365</v>
      </c>
      <c r="AD17">
        <f>IF(SUM(VLOOKUP($A17,test!$A$3:$F$32,2,FALSE),VLOOKUP(AD$1,test!$A$3:$F$32,2,FALSE))&lt;=test!$K$16,IF(AND($A17&lt;&gt;AD$1,feasible_mat!AD17=1),(VLOOKUP(AD$1,test!$A$3:$I$32,8,FALSE))-(VLOOKUP($A17,test!$A$3:$I$32,9,FALSE)),0),IF(AND($A17&lt;&gt;AD$1,feasible_mat!AD17=1),(VLOOKUP(AD$1,test!$A$3:$I$32,8,FALSE))-(VLOOKUP($A17,test!$A$3:$I$32,9,FALSE))-50,0))</f>
        <v>0</v>
      </c>
      <c r="AE17">
        <f>IF(SUM(VLOOKUP($A17,test!$A$3:$F$32,2,FALSE),VLOOKUP(AE$1,test!$A$3:$F$32,2,FALSE))&lt;=test!$K$16,IF(AND($A17&lt;&gt;AE$1,feasible_mat!AE17=1),(VLOOKUP(AE$1,test!$A$3:$I$32,8,FALSE))-(VLOOKUP($A17,test!$A$3:$I$32,9,FALSE)),0),IF(AND($A17&lt;&gt;AE$1,feasible_mat!AE17=1),(VLOOKUP(AE$1,test!$A$3:$I$32,8,FALSE))-(VLOOKUP($A17,test!$A$3:$I$32,9,FALSE))-50,0))</f>
        <v>185</v>
      </c>
      <c r="AF17">
        <f>IF(SUM(VLOOKUP($A17,test!$A$3:$F$32,2,FALSE),VLOOKUP(AF$1,test!$A$3:$F$32,2,FALSE))&lt;=test!$K$16,IF(AND($A17&lt;&gt;AF$1,feasible_mat!AF17=1),(VLOOKUP(AF$1,test!$A$3:$I$32,8,FALSE))-(VLOOKUP($A17,test!$A$3:$I$32,9,FALSE)),0),IF(AND($A17&lt;&gt;AF$1,feasible_mat!AF17=1),(VLOOKUP(AF$1,test!$A$3:$I$32,8,FALSE))-(VLOOKUP($A17,test!$A$3:$I$32,9,FALSE))-50,0))</f>
        <v>85</v>
      </c>
      <c r="AJ17" s="16" t="b">
        <f>SUM(VLOOKUP($A11,test!$A$3:$F$32,2,FALSE),VLOOKUP(AF$1,test!$A$3:$F$32,2,FALSE))&lt;=test!$K$16</f>
        <v>0</v>
      </c>
    </row>
    <row r="18" spans="1:36" x14ac:dyDescent="0.25">
      <c r="A18" t="s">
        <v>27</v>
      </c>
      <c r="B18">
        <v>0</v>
      </c>
      <c r="C18">
        <f>IF(SUM(VLOOKUP($A18,test!$A$3:$F$32,2,FALSE),VLOOKUP(C$1,test!$A$3:$F$32,2,FALSE))&lt;=test!$K$16,IF(AND($A18&lt;&gt;C$1,feasible_mat!C18=1),(VLOOKUP(C$1,test!$A$3:$I$32,8,FALSE))-(VLOOKUP($A18,test!$A$3:$I$32,9,FALSE)),0),IF(AND($A18&lt;&gt;C$1,feasible_mat!C18=1),(VLOOKUP(C$1,test!$A$3:$I$32,8,FALSE))-(VLOOKUP($A18,test!$A$3:$I$32,9,FALSE))-50,0))</f>
        <v>0</v>
      </c>
      <c r="D18">
        <f>IF(SUM(VLOOKUP($A18,test!$A$3:$F$32,2,FALSE),VLOOKUP(D$1,test!$A$3:$F$32,2,FALSE))&lt;=test!$K$16,IF(AND($A18&lt;&gt;D$1,feasible_mat!D18=1),(VLOOKUP(D$1,test!$A$3:$I$32,8,FALSE))-(VLOOKUP($A18,test!$A$3:$I$32,9,FALSE)),0),IF(AND($A18&lt;&gt;D$1,feasible_mat!D18=1),(VLOOKUP(D$1,test!$A$3:$I$32,8,FALSE))-(VLOOKUP($A18,test!$A$3:$I$32,9,FALSE))-50,0))</f>
        <v>0</v>
      </c>
      <c r="E18">
        <f>IF(SUM(VLOOKUP($A18,test!$A$3:$F$32,2,FALSE),VLOOKUP(E$1,test!$A$3:$F$32,2,FALSE))&lt;=test!$K$16,IF(AND($A18&lt;&gt;E$1,feasible_mat!E18=1),(VLOOKUP(E$1,test!$A$3:$I$32,8,FALSE))-(VLOOKUP($A18,test!$A$3:$I$32,9,FALSE)),0),IF(AND($A18&lt;&gt;E$1,feasible_mat!E18=1),(VLOOKUP(E$1,test!$A$3:$I$32,8,FALSE))-(VLOOKUP($A18,test!$A$3:$I$32,9,FALSE))-50,0))</f>
        <v>65</v>
      </c>
      <c r="F18">
        <f>IF(SUM(VLOOKUP($A18,test!$A$3:$F$32,2,FALSE),VLOOKUP(F$1,test!$A$3:$F$32,2,FALSE))&lt;=test!$K$16,IF(AND($A18&lt;&gt;F$1,feasible_mat!F18=1),(VLOOKUP(F$1,test!$A$3:$I$32,8,FALSE))-(VLOOKUP($A18,test!$A$3:$I$32,9,FALSE)),0),IF(AND($A18&lt;&gt;F$1,feasible_mat!F18=1),(VLOOKUP(F$1,test!$A$3:$I$32,8,FALSE))-(VLOOKUP($A18,test!$A$3:$I$32,9,FALSE))-50,0))</f>
        <v>155</v>
      </c>
      <c r="G18">
        <f>IF(SUM(VLOOKUP($A18,test!$A$3:$F$32,2,FALSE),VLOOKUP(G$1,test!$A$3:$F$32,2,FALSE))&lt;=test!$K$16,IF(AND($A18&lt;&gt;G$1,feasible_mat!G18=1),(VLOOKUP(G$1,test!$A$3:$I$32,8,FALSE))-(VLOOKUP($A18,test!$A$3:$I$32,9,FALSE)),0),IF(AND($A18&lt;&gt;G$1,feasible_mat!G18=1),(VLOOKUP(G$1,test!$A$3:$I$32,8,FALSE))-(VLOOKUP($A18,test!$A$3:$I$32,9,FALSE))-50,0))</f>
        <v>215</v>
      </c>
      <c r="H18">
        <f>IF(SUM(VLOOKUP($A18,test!$A$3:$F$32,2,FALSE),VLOOKUP(H$1,test!$A$3:$F$32,2,FALSE))&lt;=test!$K$16,IF(AND($A18&lt;&gt;H$1,feasible_mat!H18=1),(VLOOKUP(H$1,test!$A$3:$I$32,8,FALSE))-(VLOOKUP($A18,test!$A$3:$I$32,9,FALSE)),0),IF(AND($A18&lt;&gt;H$1,feasible_mat!H18=1),(VLOOKUP(H$1,test!$A$3:$I$32,8,FALSE))-(VLOOKUP($A18,test!$A$3:$I$32,9,FALSE))-50,0))</f>
        <v>275</v>
      </c>
      <c r="I18">
        <f>IF(SUM(VLOOKUP($A18,test!$A$3:$F$32,2,FALSE),VLOOKUP(I$1,test!$A$3:$F$32,2,FALSE))&lt;=test!$K$16,IF(AND($A18&lt;&gt;I$1,feasible_mat!I18=1),(VLOOKUP(I$1,test!$A$3:$I$32,8,FALSE))-(VLOOKUP($A18,test!$A$3:$I$32,9,FALSE)),0),IF(AND($A18&lt;&gt;I$1,feasible_mat!I18=1),(VLOOKUP(I$1,test!$A$3:$I$32,8,FALSE))-(VLOOKUP($A18,test!$A$3:$I$32,9,FALSE))-50,0))</f>
        <v>335</v>
      </c>
      <c r="J18">
        <f>IF(SUM(VLOOKUP($A18,test!$A$3:$F$32,2,FALSE),VLOOKUP(J$1,test!$A$3:$F$32,2,FALSE))&lt;=test!$K$16,IF(AND($A18&lt;&gt;J$1,feasible_mat!J18=1),(VLOOKUP(J$1,test!$A$3:$I$32,8,FALSE))-(VLOOKUP($A18,test!$A$3:$I$32,9,FALSE)),0),IF(AND($A18&lt;&gt;J$1,feasible_mat!J18=1),(VLOOKUP(J$1,test!$A$3:$I$32,8,FALSE))-(VLOOKUP($A18,test!$A$3:$I$32,9,FALSE))-50,0))</f>
        <v>425</v>
      </c>
      <c r="K18">
        <f>IF(SUM(VLOOKUP($A18,test!$A$3:$F$32,2,FALSE),VLOOKUP(K$1,test!$A$3:$F$32,2,FALSE))&lt;=test!$K$16,IF(AND($A18&lt;&gt;K$1,feasible_mat!K18=1),(VLOOKUP(K$1,test!$A$3:$I$32,8,FALSE))-(VLOOKUP($A18,test!$A$3:$I$32,9,FALSE)),0),IF(AND($A18&lt;&gt;K$1,feasible_mat!K18=1),(VLOOKUP(K$1,test!$A$3:$I$32,8,FALSE))-(VLOOKUP($A18,test!$A$3:$I$32,9,FALSE))-50,0))</f>
        <v>0</v>
      </c>
      <c r="L18">
        <f>IF(SUM(VLOOKUP($A18,test!$A$3:$F$32,2,FALSE),VLOOKUP(L$1,test!$A$3:$F$32,2,FALSE))&lt;=test!$K$16,IF(AND($A18&lt;&gt;L$1,feasible_mat!L18=1),(VLOOKUP(L$1,test!$A$3:$I$32,8,FALSE))-(VLOOKUP($A18,test!$A$3:$I$32,9,FALSE)),0),IF(AND($A18&lt;&gt;L$1,feasible_mat!L18=1),(VLOOKUP(L$1,test!$A$3:$I$32,8,FALSE))-(VLOOKUP($A18,test!$A$3:$I$32,9,FALSE))-50,0))</f>
        <v>0</v>
      </c>
      <c r="M18">
        <f>IF(SUM(VLOOKUP($A18,test!$A$3:$F$32,2,FALSE),VLOOKUP(M$1,test!$A$3:$F$32,2,FALSE))&lt;=test!$K$16,IF(AND($A18&lt;&gt;M$1,feasible_mat!M18=1),(VLOOKUP(M$1,test!$A$3:$I$32,8,FALSE))-(VLOOKUP($A18,test!$A$3:$I$32,9,FALSE)),0),IF(AND($A18&lt;&gt;M$1,feasible_mat!M18=1),(VLOOKUP(M$1,test!$A$3:$I$32,8,FALSE))-(VLOOKUP($A18,test!$A$3:$I$32,9,FALSE))-50,0))</f>
        <v>30</v>
      </c>
      <c r="N18">
        <f>IF(SUM(VLOOKUP($A18,test!$A$3:$F$32,2,FALSE),VLOOKUP(N$1,test!$A$3:$F$32,2,FALSE))&lt;=test!$K$16,IF(AND($A18&lt;&gt;N$1,feasible_mat!N18=1),(VLOOKUP(N$1,test!$A$3:$I$32,8,FALSE))-(VLOOKUP($A18,test!$A$3:$I$32,9,FALSE)),0),IF(AND($A18&lt;&gt;N$1,feasible_mat!N18=1),(VLOOKUP(N$1,test!$A$3:$I$32,8,FALSE))-(VLOOKUP($A18,test!$A$3:$I$32,9,FALSE))-50,0))</f>
        <v>390</v>
      </c>
      <c r="O18">
        <f>IF(SUM(VLOOKUP($A18,test!$A$3:$F$32,2,FALSE),VLOOKUP(O$1,test!$A$3:$F$32,2,FALSE))&lt;=test!$K$16,IF(AND($A18&lt;&gt;O$1,feasible_mat!O18=1),(VLOOKUP(O$1,test!$A$3:$I$32,8,FALSE))-(VLOOKUP($A18,test!$A$3:$I$32,9,FALSE)),0),IF(AND($A18&lt;&gt;O$1,feasible_mat!O18=1),(VLOOKUP(O$1,test!$A$3:$I$32,8,FALSE))-(VLOOKUP($A18,test!$A$3:$I$32,9,FALSE))-50,0))</f>
        <v>450</v>
      </c>
      <c r="P18">
        <f>IF(SUM(VLOOKUP($A18,test!$A$3:$F$32,2,FALSE),VLOOKUP(P$1,test!$A$3:$F$32,2,FALSE))&lt;=test!$K$16,IF(AND($A18&lt;&gt;P$1,feasible_mat!P18=1),(VLOOKUP(P$1,test!$A$3:$I$32,8,FALSE))-(VLOOKUP($A18,test!$A$3:$I$32,9,FALSE)),0),IF(AND($A18&lt;&gt;P$1,feasible_mat!P18=1),(VLOOKUP(P$1,test!$A$3:$I$32,8,FALSE))-(VLOOKUP($A18,test!$A$3:$I$32,9,FALSE))-50,0))</f>
        <v>0</v>
      </c>
      <c r="Q18">
        <f>IF(SUM(VLOOKUP($A18,test!$A$3:$F$32,2,FALSE),VLOOKUP(Q$1,test!$A$3:$F$32,2,FALSE))&lt;=test!$K$16,IF(AND($A18&lt;&gt;Q$1,feasible_mat!Q18=1),(VLOOKUP(Q$1,test!$A$3:$I$32,8,FALSE))-(VLOOKUP($A18,test!$A$3:$I$32,9,FALSE)),0),IF(AND($A18&lt;&gt;Q$1,feasible_mat!Q18=1),(VLOOKUP(Q$1,test!$A$3:$I$32,8,FALSE))-(VLOOKUP($A18,test!$A$3:$I$32,9,FALSE))-50,0))</f>
        <v>0</v>
      </c>
      <c r="R18">
        <f>IF(SUM(VLOOKUP($A18,test!$A$3:$F$32,2,FALSE),VLOOKUP(R$1,test!$A$3:$F$32,2,FALSE))&lt;=test!$K$16,IF(AND($A18&lt;&gt;R$1,feasible_mat!R18=1),(VLOOKUP(R$1,test!$A$3:$I$32,8,FALSE))-(VLOOKUP($A18,test!$A$3:$I$32,9,FALSE)),0),IF(AND($A18&lt;&gt;R$1,feasible_mat!R18=1),(VLOOKUP(R$1,test!$A$3:$I$32,8,FALSE))-(VLOOKUP($A18,test!$A$3:$I$32,9,FALSE))-50,0))</f>
        <v>0</v>
      </c>
      <c r="S18">
        <f>IF(SUM(VLOOKUP($A18,test!$A$3:$F$32,2,FALSE),VLOOKUP(S$1,test!$A$3:$F$32,2,FALSE))&lt;=test!$K$16,IF(AND($A18&lt;&gt;S$1,feasible_mat!S18=1),(VLOOKUP(S$1,test!$A$3:$I$32,8,FALSE))-(VLOOKUP($A18,test!$A$3:$I$32,9,FALSE)),0),IF(AND($A18&lt;&gt;S$1,feasible_mat!S18=1),(VLOOKUP(S$1,test!$A$3:$I$32,8,FALSE))-(VLOOKUP($A18,test!$A$3:$I$32,9,FALSE))-50,0))</f>
        <v>0</v>
      </c>
      <c r="T18">
        <f>IF(SUM(VLOOKUP($A18,test!$A$3:$F$32,2,FALSE),VLOOKUP(T$1,test!$A$3:$F$32,2,FALSE))&lt;=test!$K$16,IF(AND($A18&lt;&gt;T$1,feasible_mat!T18=1),(VLOOKUP(T$1,test!$A$3:$I$32,8,FALSE))-(VLOOKUP($A18,test!$A$3:$I$32,9,FALSE)),0),IF(AND($A18&lt;&gt;T$1,feasible_mat!T18=1),(VLOOKUP(T$1,test!$A$3:$I$32,8,FALSE))-(VLOOKUP($A18,test!$A$3:$I$32,9,FALSE))-50,0))</f>
        <v>45</v>
      </c>
      <c r="U18">
        <f>IF(SUM(VLOOKUP($A18,test!$A$3:$F$32,2,FALSE),VLOOKUP(U$1,test!$A$3:$F$32,2,FALSE))&lt;=test!$K$16,IF(AND($A18&lt;&gt;U$1,feasible_mat!U18=1),(VLOOKUP(U$1,test!$A$3:$I$32,8,FALSE))-(VLOOKUP($A18,test!$A$3:$I$32,9,FALSE)),0),IF(AND($A18&lt;&gt;U$1,feasible_mat!U18=1),(VLOOKUP(U$1,test!$A$3:$I$32,8,FALSE))-(VLOOKUP($A18,test!$A$3:$I$32,9,FALSE))-50,0))</f>
        <v>135</v>
      </c>
      <c r="V18">
        <f>IF(SUM(VLOOKUP($A18,test!$A$3:$F$32,2,FALSE),VLOOKUP(V$1,test!$A$3:$F$32,2,FALSE))&lt;=test!$K$16,IF(AND($A18&lt;&gt;V$1,feasible_mat!V18=1),(VLOOKUP(V$1,test!$A$3:$I$32,8,FALSE))-(VLOOKUP($A18,test!$A$3:$I$32,9,FALSE)),0),IF(AND($A18&lt;&gt;V$1,feasible_mat!V18=1),(VLOOKUP(V$1,test!$A$3:$I$32,8,FALSE))-(VLOOKUP($A18,test!$A$3:$I$32,9,FALSE))-50,0))</f>
        <v>225</v>
      </c>
      <c r="W18">
        <f>IF(SUM(VLOOKUP($A18,test!$A$3:$F$32,2,FALSE),VLOOKUP(W$1,test!$A$3:$F$32,2,FALSE))&lt;=test!$K$16,IF(AND($A18&lt;&gt;W$1,feasible_mat!W18=1),(VLOOKUP(W$1,test!$A$3:$I$32,8,FALSE))-(VLOOKUP($A18,test!$A$3:$I$32,9,FALSE)),0),IF(AND($A18&lt;&gt;W$1,feasible_mat!W18=1),(VLOOKUP(W$1,test!$A$3:$I$32,8,FALSE))-(VLOOKUP($A18,test!$A$3:$I$32,9,FALSE))-50,0))</f>
        <v>315</v>
      </c>
      <c r="X18">
        <f>IF(SUM(VLOOKUP($A18,test!$A$3:$F$32,2,FALSE),VLOOKUP(X$1,test!$A$3:$F$32,2,FALSE))&lt;=test!$K$16,IF(AND($A18&lt;&gt;X$1,feasible_mat!X18=1),(VLOOKUP(X$1,test!$A$3:$I$32,8,FALSE))-(VLOOKUP($A18,test!$A$3:$I$32,9,FALSE)),0),IF(AND($A18&lt;&gt;X$1,feasible_mat!X18=1),(VLOOKUP(X$1,test!$A$3:$I$32,8,FALSE))-(VLOOKUP($A18,test!$A$3:$I$32,9,FALSE))-50,0))</f>
        <v>375</v>
      </c>
      <c r="Y18">
        <f>IF(SUM(VLOOKUP($A18,test!$A$3:$F$32,2,FALSE),VLOOKUP(Y$1,test!$A$3:$F$32,2,FALSE))&lt;=test!$K$16,IF(AND($A18&lt;&gt;Y$1,feasible_mat!Y18=1),(VLOOKUP(Y$1,test!$A$3:$I$32,8,FALSE))-(VLOOKUP($A18,test!$A$3:$I$32,9,FALSE)),0),IF(AND($A18&lt;&gt;Y$1,feasible_mat!Y18=1),(VLOOKUP(Y$1,test!$A$3:$I$32,8,FALSE))-(VLOOKUP($A18,test!$A$3:$I$32,9,FALSE))-50,0))</f>
        <v>0</v>
      </c>
      <c r="Z18">
        <f>IF(SUM(VLOOKUP($A18,test!$A$3:$F$32,2,FALSE),VLOOKUP(Z$1,test!$A$3:$F$32,2,FALSE))&lt;=test!$K$16,IF(AND($A18&lt;&gt;Z$1,feasible_mat!Z18=1),(VLOOKUP(Z$1,test!$A$3:$I$32,8,FALSE))-(VLOOKUP($A18,test!$A$3:$I$32,9,FALSE)),0),IF(AND($A18&lt;&gt;Z$1,feasible_mat!Z18=1),(VLOOKUP(Z$1,test!$A$3:$I$32,8,FALSE))-(VLOOKUP($A18,test!$A$3:$I$32,9,FALSE))-50,0))</f>
        <v>0</v>
      </c>
      <c r="AA18">
        <f>IF(SUM(VLOOKUP($A18,test!$A$3:$F$32,2,FALSE),VLOOKUP(AA$1,test!$A$3:$F$32,2,FALSE))&lt;=test!$K$16,IF(AND($A18&lt;&gt;AA$1,feasible_mat!AA18=1),(VLOOKUP(AA$1,test!$A$3:$I$32,8,FALSE))-(VLOOKUP($A18,test!$A$3:$I$32,9,FALSE)),0),IF(AND($A18&lt;&gt;AA$1,feasible_mat!AA18=1),(VLOOKUP(AA$1,test!$A$3:$I$32,8,FALSE))-(VLOOKUP($A18,test!$A$3:$I$32,9,FALSE))-50,0))</f>
        <v>95</v>
      </c>
      <c r="AB18">
        <f>IF(SUM(VLOOKUP($A18,test!$A$3:$F$32,2,FALSE),VLOOKUP(AB$1,test!$A$3:$F$32,2,FALSE))&lt;=test!$K$16,IF(AND($A18&lt;&gt;AB$1,feasible_mat!AB18=1),(VLOOKUP(AB$1,test!$A$3:$I$32,8,FALSE))-(VLOOKUP($A18,test!$A$3:$I$32,9,FALSE)),0),IF(AND($A18&lt;&gt;AB$1,feasible_mat!AB18=1),(VLOOKUP(AB$1,test!$A$3:$I$32,8,FALSE))-(VLOOKUP($A18,test!$A$3:$I$32,9,FALSE))-50,0))</f>
        <v>155</v>
      </c>
      <c r="AC18">
        <f>IF(SUM(VLOOKUP($A18,test!$A$3:$F$32,2,FALSE),VLOOKUP(AC$1,test!$A$3:$F$32,2,FALSE))&lt;=test!$K$16,IF(AND($A18&lt;&gt;AC$1,feasible_mat!AC18=1),(VLOOKUP(AC$1,test!$A$3:$I$32,8,FALSE))-(VLOOKUP($A18,test!$A$3:$I$32,9,FALSE)),0),IF(AND($A18&lt;&gt;AC$1,feasible_mat!AC18=1),(VLOOKUP(AC$1,test!$A$3:$I$32,8,FALSE))-(VLOOKUP($A18,test!$A$3:$I$32,9,FALSE))-50,0))</f>
        <v>275</v>
      </c>
      <c r="AD18">
        <f>IF(SUM(VLOOKUP($A18,test!$A$3:$F$32,2,FALSE),VLOOKUP(AD$1,test!$A$3:$F$32,2,FALSE))&lt;=test!$K$16,IF(AND($A18&lt;&gt;AD$1,feasible_mat!AD18=1),(VLOOKUP(AD$1,test!$A$3:$I$32,8,FALSE))-(VLOOKUP($A18,test!$A$3:$I$32,9,FALSE)),0),IF(AND($A18&lt;&gt;AD$1,feasible_mat!AD18=1),(VLOOKUP(AD$1,test!$A$3:$I$32,8,FALSE))-(VLOOKUP($A18,test!$A$3:$I$32,9,FALSE))-50,0))</f>
        <v>0</v>
      </c>
      <c r="AE18">
        <f>IF(SUM(VLOOKUP($A18,test!$A$3:$F$32,2,FALSE),VLOOKUP(AE$1,test!$A$3:$F$32,2,FALSE))&lt;=test!$K$16,IF(AND($A18&lt;&gt;AE$1,feasible_mat!AE18=1),(VLOOKUP(AE$1,test!$A$3:$I$32,8,FALSE))-(VLOOKUP($A18,test!$A$3:$I$32,9,FALSE)),0),IF(AND($A18&lt;&gt;AE$1,feasible_mat!AE18=1),(VLOOKUP(AE$1,test!$A$3:$I$32,8,FALSE))-(VLOOKUP($A18,test!$A$3:$I$32,9,FALSE))-50,0))</f>
        <v>95</v>
      </c>
      <c r="AF18">
        <f>IF(SUM(VLOOKUP($A18,test!$A$3:$F$32,2,FALSE),VLOOKUP(AF$1,test!$A$3:$F$32,2,FALSE))&lt;=test!$K$16,IF(AND($A18&lt;&gt;AF$1,feasible_mat!AF18=1),(VLOOKUP(AF$1,test!$A$3:$I$32,8,FALSE))-(VLOOKUP($A18,test!$A$3:$I$32,9,FALSE)),0),IF(AND($A18&lt;&gt;AF$1,feasible_mat!AF18=1),(VLOOKUP(AF$1,test!$A$3:$I$32,8,FALSE))-(VLOOKUP($A18,test!$A$3:$I$32,9,FALSE))-50,0))</f>
        <v>-5</v>
      </c>
      <c r="AJ18" s="16">
        <f>IF(SUM(VLOOKUP($A11,test!$A$3:$F$32,2,FALSE),VLOOKUP(AF$1,test!$A$3:$F$32,2,FALSE))&lt;=350,10,0)</f>
        <v>0</v>
      </c>
    </row>
    <row r="19" spans="1:36" x14ac:dyDescent="0.25">
      <c r="A19" t="s">
        <v>28</v>
      </c>
      <c r="B19">
        <v>0</v>
      </c>
      <c r="C19">
        <f>IF(SUM(VLOOKUP($A19,test!$A$3:$F$32,2,FALSE),VLOOKUP(C$1,test!$A$3:$F$32,2,FALSE))&lt;=test!$K$16,IF(AND($A19&lt;&gt;C$1,feasible_mat!C19=1),(VLOOKUP(C$1,test!$A$3:$I$32,8,FALSE))-(VLOOKUP($A19,test!$A$3:$I$32,9,FALSE)),0),IF(AND($A19&lt;&gt;C$1,feasible_mat!C19=1),(VLOOKUP(C$1,test!$A$3:$I$32,8,FALSE))-(VLOOKUP($A19,test!$A$3:$I$32,9,FALSE))-50,0))</f>
        <v>0</v>
      </c>
      <c r="D19">
        <f>IF(SUM(VLOOKUP($A19,test!$A$3:$F$32,2,FALSE),VLOOKUP(D$1,test!$A$3:$F$32,2,FALSE))&lt;=test!$K$16,IF(AND($A19&lt;&gt;D$1,feasible_mat!D19=1),(VLOOKUP(D$1,test!$A$3:$I$32,8,FALSE))-(VLOOKUP($A19,test!$A$3:$I$32,9,FALSE)),0),IF(AND($A19&lt;&gt;D$1,feasible_mat!D19=1),(VLOOKUP(D$1,test!$A$3:$I$32,8,FALSE))-(VLOOKUP($A19,test!$A$3:$I$32,9,FALSE))-50,0))</f>
        <v>0</v>
      </c>
      <c r="E19">
        <f>IF(SUM(VLOOKUP($A19,test!$A$3:$F$32,2,FALSE),VLOOKUP(E$1,test!$A$3:$F$32,2,FALSE))&lt;=test!$K$16,IF(AND($A19&lt;&gt;E$1,feasible_mat!E19=1),(VLOOKUP(E$1,test!$A$3:$I$32,8,FALSE))-(VLOOKUP($A19,test!$A$3:$I$32,9,FALSE)),0),IF(AND($A19&lt;&gt;E$1,feasible_mat!E19=1),(VLOOKUP(E$1,test!$A$3:$I$32,8,FALSE))-(VLOOKUP($A19,test!$A$3:$I$32,9,FALSE))-50,0))</f>
        <v>0</v>
      </c>
      <c r="F19">
        <f>IF(SUM(VLOOKUP($A19,test!$A$3:$F$32,2,FALSE),VLOOKUP(F$1,test!$A$3:$F$32,2,FALSE))&lt;=test!$K$16,IF(AND($A19&lt;&gt;F$1,feasible_mat!F19=1),(VLOOKUP(F$1,test!$A$3:$I$32,8,FALSE))-(VLOOKUP($A19,test!$A$3:$I$32,9,FALSE)),0),IF(AND($A19&lt;&gt;F$1,feasible_mat!F19=1),(VLOOKUP(F$1,test!$A$3:$I$32,8,FALSE))-(VLOOKUP($A19,test!$A$3:$I$32,9,FALSE))-50,0))</f>
        <v>65</v>
      </c>
      <c r="G19">
        <f>IF(SUM(VLOOKUP($A19,test!$A$3:$F$32,2,FALSE),VLOOKUP(G$1,test!$A$3:$F$32,2,FALSE))&lt;=test!$K$16,IF(AND($A19&lt;&gt;G$1,feasible_mat!G19=1),(VLOOKUP(G$1,test!$A$3:$I$32,8,FALSE))-(VLOOKUP($A19,test!$A$3:$I$32,9,FALSE)),0),IF(AND($A19&lt;&gt;G$1,feasible_mat!G19=1),(VLOOKUP(G$1,test!$A$3:$I$32,8,FALSE))-(VLOOKUP($A19,test!$A$3:$I$32,9,FALSE))-50,0))</f>
        <v>125</v>
      </c>
      <c r="H19">
        <f>IF(SUM(VLOOKUP($A19,test!$A$3:$F$32,2,FALSE),VLOOKUP(H$1,test!$A$3:$F$32,2,FALSE))&lt;=test!$K$16,IF(AND($A19&lt;&gt;H$1,feasible_mat!H19=1),(VLOOKUP(H$1,test!$A$3:$I$32,8,FALSE))-(VLOOKUP($A19,test!$A$3:$I$32,9,FALSE)),0),IF(AND($A19&lt;&gt;H$1,feasible_mat!H19=1),(VLOOKUP(H$1,test!$A$3:$I$32,8,FALSE))-(VLOOKUP($A19,test!$A$3:$I$32,9,FALSE))-50,0))</f>
        <v>185</v>
      </c>
      <c r="I19">
        <f>IF(SUM(VLOOKUP($A19,test!$A$3:$F$32,2,FALSE),VLOOKUP(I$1,test!$A$3:$F$32,2,FALSE))&lt;=test!$K$16,IF(AND($A19&lt;&gt;I$1,feasible_mat!I19=1),(VLOOKUP(I$1,test!$A$3:$I$32,8,FALSE))-(VLOOKUP($A19,test!$A$3:$I$32,9,FALSE)),0),IF(AND($A19&lt;&gt;I$1,feasible_mat!I19=1),(VLOOKUP(I$1,test!$A$3:$I$32,8,FALSE))-(VLOOKUP($A19,test!$A$3:$I$32,9,FALSE))-50,0))</f>
        <v>245</v>
      </c>
      <c r="J19">
        <f>IF(SUM(VLOOKUP($A19,test!$A$3:$F$32,2,FALSE),VLOOKUP(J$1,test!$A$3:$F$32,2,FALSE))&lt;=test!$K$16,IF(AND($A19&lt;&gt;J$1,feasible_mat!J19=1),(VLOOKUP(J$1,test!$A$3:$I$32,8,FALSE))-(VLOOKUP($A19,test!$A$3:$I$32,9,FALSE)),0),IF(AND($A19&lt;&gt;J$1,feasible_mat!J19=1),(VLOOKUP(J$1,test!$A$3:$I$32,8,FALSE))-(VLOOKUP($A19,test!$A$3:$I$32,9,FALSE))-50,0))</f>
        <v>335</v>
      </c>
      <c r="K19">
        <f>IF(SUM(VLOOKUP($A19,test!$A$3:$F$32,2,FALSE),VLOOKUP(K$1,test!$A$3:$F$32,2,FALSE))&lt;=test!$K$16,IF(AND($A19&lt;&gt;K$1,feasible_mat!K19=1),(VLOOKUP(K$1,test!$A$3:$I$32,8,FALSE))-(VLOOKUP($A19,test!$A$3:$I$32,9,FALSE)),0),IF(AND($A19&lt;&gt;K$1,feasible_mat!K19=1),(VLOOKUP(K$1,test!$A$3:$I$32,8,FALSE))-(VLOOKUP($A19,test!$A$3:$I$32,9,FALSE))-50,0))</f>
        <v>0</v>
      </c>
      <c r="L19">
        <f>IF(SUM(VLOOKUP($A19,test!$A$3:$F$32,2,FALSE),VLOOKUP(L$1,test!$A$3:$F$32,2,FALSE))&lt;=test!$K$16,IF(AND($A19&lt;&gt;L$1,feasible_mat!L19=1),(VLOOKUP(L$1,test!$A$3:$I$32,8,FALSE))-(VLOOKUP($A19,test!$A$3:$I$32,9,FALSE)),0),IF(AND($A19&lt;&gt;L$1,feasible_mat!L19=1),(VLOOKUP(L$1,test!$A$3:$I$32,8,FALSE))-(VLOOKUP($A19,test!$A$3:$I$32,9,FALSE))-50,0))</f>
        <v>0</v>
      </c>
      <c r="M19">
        <f>IF(SUM(VLOOKUP($A19,test!$A$3:$F$32,2,FALSE),VLOOKUP(M$1,test!$A$3:$F$32,2,FALSE))&lt;=test!$K$16,IF(AND($A19&lt;&gt;M$1,feasible_mat!M19=1),(VLOOKUP(M$1,test!$A$3:$I$32,8,FALSE))-(VLOOKUP($A19,test!$A$3:$I$32,9,FALSE)),0),IF(AND($A19&lt;&gt;M$1,feasible_mat!M19=1),(VLOOKUP(M$1,test!$A$3:$I$32,8,FALSE))-(VLOOKUP($A19,test!$A$3:$I$32,9,FALSE))-50,0))</f>
        <v>0</v>
      </c>
      <c r="N19">
        <f>IF(SUM(VLOOKUP($A19,test!$A$3:$F$32,2,FALSE),VLOOKUP(N$1,test!$A$3:$F$32,2,FALSE))&lt;=test!$K$16,IF(AND($A19&lt;&gt;N$1,feasible_mat!N19=1),(VLOOKUP(N$1,test!$A$3:$I$32,8,FALSE))-(VLOOKUP($A19,test!$A$3:$I$32,9,FALSE)),0),IF(AND($A19&lt;&gt;N$1,feasible_mat!N19=1),(VLOOKUP(N$1,test!$A$3:$I$32,8,FALSE))-(VLOOKUP($A19,test!$A$3:$I$32,9,FALSE))-50,0))</f>
        <v>300</v>
      </c>
      <c r="O19">
        <f>IF(SUM(VLOOKUP($A19,test!$A$3:$F$32,2,FALSE),VLOOKUP(O$1,test!$A$3:$F$32,2,FALSE))&lt;=test!$K$16,IF(AND($A19&lt;&gt;O$1,feasible_mat!O19=1),(VLOOKUP(O$1,test!$A$3:$I$32,8,FALSE))-(VLOOKUP($A19,test!$A$3:$I$32,9,FALSE)),0),IF(AND($A19&lt;&gt;O$1,feasible_mat!O19=1),(VLOOKUP(O$1,test!$A$3:$I$32,8,FALSE))-(VLOOKUP($A19,test!$A$3:$I$32,9,FALSE))-50,0))</f>
        <v>360</v>
      </c>
      <c r="P19">
        <f>IF(SUM(VLOOKUP($A19,test!$A$3:$F$32,2,FALSE),VLOOKUP(P$1,test!$A$3:$F$32,2,FALSE))&lt;=test!$K$16,IF(AND($A19&lt;&gt;P$1,feasible_mat!P19=1),(VLOOKUP(P$1,test!$A$3:$I$32,8,FALSE))-(VLOOKUP($A19,test!$A$3:$I$32,9,FALSE)),0),IF(AND($A19&lt;&gt;P$1,feasible_mat!P19=1),(VLOOKUP(P$1,test!$A$3:$I$32,8,FALSE))-(VLOOKUP($A19,test!$A$3:$I$32,9,FALSE))-50,0))</f>
        <v>0</v>
      </c>
      <c r="Q19">
        <f>IF(SUM(VLOOKUP($A19,test!$A$3:$F$32,2,FALSE),VLOOKUP(Q$1,test!$A$3:$F$32,2,FALSE))&lt;=test!$K$16,IF(AND($A19&lt;&gt;Q$1,feasible_mat!Q19=1),(VLOOKUP(Q$1,test!$A$3:$I$32,8,FALSE))-(VLOOKUP($A19,test!$A$3:$I$32,9,FALSE)),0),IF(AND($A19&lt;&gt;Q$1,feasible_mat!Q19=1),(VLOOKUP(Q$1,test!$A$3:$I$32,8,FALSE))-(VLOOKUP($A19,test!$A$3:$I$32,9,FALSE))-50,0))</f>
        <v>0</v>
      </c>
      <c r="R19">
        <f>IF(SUM(VLOOKUP($A19,test!$A$3:$F$32,2,FALSE),VLOOKUP(R$1,test!$A$3:$F$32,2,FALSE))&lt;=test!$K$16,IF(AND($A19&lt;&gt;R$1,feasible_mat!R19=1),(VLOOKUP(R$1,test!$A$3:$I$32,8,FALSE))-(VLOOKUP($A19,test!$A$3:$I$32,9,FALSE)),0),IF(AND($A19&lt;&gt;R$1,feasible_mat!R19=1),(VLOOKUP(R$1,test!$A$3:$I$32,8,FALSE))-(VLOOKUP($A19,test!$A$3:$I$32,9,FALSE))-50,0))</f>
        <v>0</v>
      </c>
      <c r="S19">
        <f>IF(SUM(VLOOKUP($A19,test!$A$3:$F$32,2,FALSE),VLOOKUP(S$1,test!$A$3:$F$32,2,FALSE))&lt;=test!$K$16,IF(AND($A19&lt;&gt;S$1,feasible_mat!S19=1),(VLOOKUP(S$1,test!$A$3:$I$32,8,FALSE))-(VLOOKUP($A19,test!$A$3:$I$32,9,FALSE)),0),IF(AND($A19&lt;&gt;S$1,feasible_mat!S19=1),(VLOOKUP(S$1,test!$A$3:$I$32,8,FALSE))-(VLOOKUP($A19,test!$A$3:$I$32,9,FALSE))-50,0))</f>
        <v>0</v>
      </c>
      <c r="T19">
        <f>IF(SUM(VLOOKUP($A19,test!$A$3:$F$32,2,FALSE),VLOOKUP(T$1,test!$A$3:$F$32,2,FALSE))&lt;=test!$K$16,IF(AND($A19&lt;&gt;T$1,feasible_mat!T19=1),(VLOOKUP(T$1,test!$A$3:$I$32,8,FALSE))-(VLOOKUP($A19,test!$A$3:$I$32,9,FALSE)),0),IF(AND($A19&lt;&gt;T$1,feasible_mat!T19=1),(VLOOKUP(T$1,test!$A$3:$I$32,8,FALSE))-(VLOOKUP($A19,test!$A$3:$I$32,9,FALSE))-50,0))</f>
        <v>0</v>
      </c>
      <c r="U19">
        <f>IF(SUM(VLOOKUP($A19,test!$A$3:$F$32,2,FALSE),VLOOKUP(U$1,test!$A$3:$F$32,2,FALSE))&lt;=test!$K$16,IF(AND($A19&lt;&gt;U$1,feasible_mat!U19=1),(VLOOKUP(U$1,test!$A$3:$I$32,8,FALSE))-(VLOOKUP($A19,test!$A$3:$I$32,9,FALSE)),0),IF(AND($A19&lt;&gt;U$1,feasible_mat!U19=1),(VLOOKUP(U$1,test!$A$3:$I$32,8,FALSE))-(VLOOKUP($A19,test!$A$3:$I$32,9,FALSE))-50,0))</f>
        <v>45</v>
      </c>
      <c r="V19">
        <f>IF(SUM(VLOOKUP($A19,test!$A$3:$F$32,2,FALSE),VLOOKUP(V$1,test!$A$3:$F$32,2,FALSE))&lt;=test!$K$16,IF(AND($A19&lt;&gt;V$1,feasible_mat!V19=1),(VLOOKUP(V$1,test!$A$3:$I$32,8,FALSE))-(VLOOKUP($A19,test!$A$3:$I$32,9,FALSE)),0),IF(AND($A19&lt;&gt;V$1,feasible_mat!V19=1),(VLOOKUP(V$1,test!$A$3:$I$32,8,FALSE))-(VLOOKUP($A19,test!$A$3:$I$32,9,FALSE))-50,0))</f>
        <v>135</v>
      </c>
      <c r="W19">
        <f>IF(SUM(VLOOKUP($A19,test!$A$3:$F$32,2,FALSE),VLOOKUP(W$1,test!$A$3:$F$32,2,FALSE))&lt;=test!$K$16,IF(AND($A19&lt;&gt;W$1,feasible_mat!W19=1),(VLOOKUP(W$1,test!$A$3:$I$32,8,FALSE))-(VLOOKUP($A19,test!$A$3:$I$32,9,FALSE)),0),IF(AND($A19&lt;&gt;W$1,feasible_mat!W19=1),(VLOOKUP(W$1,test!$A$3:$I$32,8,FALSE))-(VLOOKUP($A19,test!$A$3:$I$32,9,FALSE))-50,0))</f>
        <v>225</v>
      </c>
      <c r="X19">
        <f>IF(SUM(VLOOKUP($A19,test!$A$3:$F$32,2,FALSE),VLOOKUP(X$1,test!$A$3:$F$32,2,FALSE))&lt;=test!$K$16,IF(AND($A19&lt;&gt;X$1,feasible_mat!X19=1),(VLOOKUP(X$1,test!$A$3:$I$32,8,FALSE))-(VLOOKUP($A19,test!$A$3:$I$32,9,FALSE)),0),IF(AND($A19&lt;&gt;X$1,feasible_mat!X19=1),(VLOOKUP(X$1,test!$A$3:$I$32,8,FALSE))-(VLOOKUP($A19,test!$A$3:$I$32,9,FALSE))-50,0))</f>
        <v>285</v>
      </c>
      <c r="Y19">
        <f>IF(SUM(VLOOKUP($A19,test!$A$3:$F$32,2,FALSE),VLOOKUP(Y$1,test!$A$3:$F$32,2,FALSE))&lt;=test!$K$16,IF(AND($A19&lt;&gt;Y$1,feasible_mat!Y19=1),(VLOOKUP(Y$1,test!$A$3:$I$32,8,FALSE))-(VLOOKUP($A19,test!$A$3:$I$32,9,FALSE)),0),IF(AND($A19&lt;&gt;Y$1,feasible_mat!Y19=1),(VLOOKUP(Y$1,test!$A$3:$I$32,8,FALSE))-(VLOOKUP($A19,test!$A$3:$I$32,9,FALSE))-50,0))</f>
        <v>0</v>
      </c>
      <c r="Z19">
        <f>IF(SUM(VLOOKUP($A19,test!$A$3:$F$32,2,FALSE),VLOOKUP(Z$1,test!$A$3:$F$32,2,FALSE))&lt;=test!$K$16,IF(AND($A19&lt;&gt;Z$1,feasible_mat!Z19=1),(VLOOKUP(Z$1,test!$A$3:$I$32,8,FALSE))-(VLOOKUP($A19,test!$A$3:$I$32,9,FALSE)),0),IF(AND($A19&lt;&gt;Z$1,feasible_mat!Z19=1),(VLOOKUP(Z$1,test!$A$3:$I$32,8,FALSE))-(VLOOKUP($A19,test!$A$3:$I$32,9,FALSE))-50,0))</f>
        <v>0</v>
      </c>
      <c r="AA19">
        <f>IF(SUM(VLOOKUP($A19,test!$A$3:$F$32,2,FALSE),VLOOKUP(AA$1,test!$A$3:$F$32,2,FALSE))&lt;=test!$K$16,IF(AND($A19&lt;&gt;AA$1,feasible_mat!AA19=1),(VLOOKUP(AA$1,test!$A$3:$I$32,8,FALSE))-(VLOOKUP($A19,test!$A$3:$I$32,9,FALSE)),0),IF(AND($A19&lt;&gt;AA$1,feasible_mat!AA19=1),(VLOOKUP(AA$1,test!$A$3:$I$32,8,FALSE))-(VLOOKUP($A19,test!$A$3:$I$32,9,FALSE))-50,0))</f>
        <v>0</v>
      </c>
      <c r="AB19">
        <f>IF(SUM(VLOOKUP($A19,test!$A$3:$F$32,2,FALSE),VLOOKUP(AB$1,test!$A$3:$F$32,2,FALSE))&lt;=test!$K$16,IF(AND($A19&lt;&gt;AB$1,feasible_mat!AB19=1),(VLOOKUP(AB$1,test!$A$3:$I$32,8,FALSE))-(VLOOKUP($A19,test!$A$3:$I$32,9,FALSE)),0),IF(AND($A19&lt;&gt;AB$1,feasible_mat!AB19=1),(VLOOKUP(AB$1,test!$A$3:$I$32,8,FALSE))-(VLOOKUP($A19,test!$A$3:$I$32,9,FALSE))-50,0))</f>
        <v>65</v>
      </c>
      <c r="AC19">
        <f>IF(SUM(VLOOKUP($A19,test!$A$3:$F$32,2,FALSE),VLOOKUP(AC$1,test!$A$3:$F$32,2,FALSE))&lt;=test!$K$16,IF(AND($A19&lt;&gt;AC$1,feasible_mat!AC19=1),(VLOOKUP(AC$1,test!$A$3:$I$32,8,FALSE))-(VLOOKUP($A19,test!$A$3:$I$32,9,FALSE)),0),IF(AND($A19&lt;&gt;AC$1,feasible_mat!AC19=1),(VLOOKUP(AC$1,test!$A$3:$I$32,8,FALSE))-(VLOOKUP($A19,test!$A$3:$I$32,9,FALSE))-50,0))</f>
        <v>185</v>
      </c>
      <c r="AD19">
        <f>IF(SUM(VLOOKUP($A19,test!$A$3:$F$32,2,FALSE),VLOOKUP(AD$1,test!$A$3:$F$32,2,FALSE))&lt;=test!$K$16,IF(AND($A19&lt;&gt;AD$1,feasible_mat!AD19=1),(VLOOKUP(AD$1,test!$A$3:$I$32,8,FALSE))-(VLOOKUP($A19,test!$A$3:$I$32,9,FALSE)),0),IF(AND($A19&lt;&gt;AD$1,feasible_mat!AD19=1),(VLOOKUP(AD$1,test!$A$3:$I$32,8,FALSE))-(VLOOKUP($A19,test!$A$3:$I$32,9,FALSE))-50,0))</f>
        <v>0</v>
      </c>
      <c r="AE19">
        <f>IF(SUM(VLOOKUP($A19,test!$A$3:$F$32,2,FALSE),VLOOKUP(AE$1,test!$A$3:$F$32,2,FALSE))&lt;=test!$K$16,IF(AND($A19&lt;&gt;AE$1,feasible_mat!AE19=1),(VLOOKUP(AE$1,test!$A$3:$I$32,8,FALSE))-(VLOOKUP($A19,test!$A$3:$I$32,9,FALSE)),0),IF(AND($A19&lt;&gt;AE$1,feasible_mat!AE19=1),(VLOOKUP(AE$1,test!$A$3:$I$32,8,FALSE))-(VLOOKUP($A19,test!$A$3:$I$32,9,FALSE))-50,0))</f>
        <v>0</v>
      </c>
      <c r="AF19">
        <f>IF(SUM(VLOOKUP($A19,test!$A$3:$F$32,2,FALSE),VLOOKUP(AF$1,test!$A$3:$F$32,2,FALSE))&lt;=test!$K$16,IF(AND($A19&lt;&gt;AF$1,feasible_mat!AF19=1),(VLOOKUP(AF$1,test!$A$3:$I$32,8,FALSE))-(VLOOKUP($A19,test!$A$3:$I$32,9,FALSE)),0),IF(AND($A19&lt;&gt;AF$1,feasible_mat!AF19=1),(VLOOKUP(AF$1,test!$A$3:$I$32,8,FALSE))-(VLOOKUP($A19,test!$A$3:$I$32,9,FALSE))-50,0))</f>
        <v>0</v>
      </c>
      <c r="AJ19" s="16">
        <f>SUM(VLOOKUP($A11,test!$A$3:$F$32,2,FALSE),VLOOKUP(AF$1,test!$A$3:$F$32,2,FALSE))</f>
        <v>410</v>
      </c>
    </row>
    <row r="20" spans="1:36" x14ac:dyDescent="0.25">
      <c r="A20" t="s">
        <v>29</v>
      </c>
      <c r="B20">
        <v>0</v>
      </c>
      <c r="C20">
        <f>IF(SUM(VLOOKUP($A20,test!$A$3:$F$32,2,FALSE),VLOOKUP(C$1,test!$A$3:$F$32,2,FALSE))&lt;=test!$K$16,IF(AND($A20&lt;&gt;C$1,feasible_mat!C20=1),(VLOOKUP(C$1,test!$A$3:$I$32,8,FALSE))-(VLOOKUP($A20,test!$A$3:$I$32,9,FALSE)),0),IF(AND($A20&lt;&gt;C$1,feasible_mat!C20=1),(VLOOKUP(C$1,test!$A$3:$I$32,8,FALSE))-(VLOOKUP($A20,test!$A$3:$I$32,9,FALSE))-50,0))</f>
        <v>0</v>
      </c>
      <c r="D20">
        <f>IF(SUM(VLOOKUP($A20,test!$A$3:$F$32,2,FALSE),VLOOKUP(D$1,test!$A$3:$F$32,2,FALSE))&lt;=test!$K$16,IF(AND($A20&lt;&gt;D$1,feasible_mat!D20=1),(VLOOKUP(D$1,test!$A$3:$I$32,8,FALSE))-(VLOOKUP($A20,test!$A$3:$I$32,9,FALSE)),0),IF(AND($A20&lt;&gt;D$1,feasible_mat!D20=1),(VLOOKUP(D$1,test!$A$3:$I$32,8,FALSE))-(VLOOKUP($A20,test!$A$3:$I$32,9,FALSE))-50,0))</f>
        <v>0</v>
      </c>
      <c r="E20">
        <f>IF(SUM(VLOOKUP($A20,test!$A$3:$F$32,2,FALSE),VLOOKUP(E$1,test!$A$3:$F$32,2,FALSE))&lt;=test!$K$16,IF(AND($A20&lt;&gt;E$1,feasible_mat!E20=1),(VLOOKUP(E$1,test!$A$3:$I$32,8,FALSE))-(VLOOKUP($A20,test!$A$3:$I$32,9,FALSE)),0),IF(AND($A20&lt;&gt;E$1,feasible_mat!E20=1),(VLOOKUP(E$1,test!$A$3:$I$32,8,FALSE))-(VLOOKUP($A20,test!$A$3:$I$32,9,FALSE))-50,0))</f>
        <v>0</v>
      </c>
      <c r="F20">
        <f>IF(SUM(VLOOKUP($A20,test!$A$3:$F$32,2,FALSE),VLOOKUP(F$1,test!$A$3:$F$32,2,FALSE))&lt;=test!$K$16,IF(AND($A20&lt;&gt;F$1,feasible_mat!F20=1),(VLOOKUP(F$1,test!$A$3:$I$32,8,FALSE))-(VLOOKUP($A20,test!$A$3:$I$32,9,FALSE)),0),IF(AND($A20&lt;&gt;F$1,feasible_mat!F20=1),(VLOOKUP(F$1,test!$A$3:$I$32,8,FALSE))-(VLOOKUP($A20,test!$A$3:$I$32,9,FALSE))-50,0))</f>
        <v>0</v>
      </c>
      <c r="G20">
        <f>IF(SUM(VLOOKUP($A20,test!$A$3:$F$32,2,FALSE),VLOOKUP(G$1,test!$A$3:$F$32,2,FALSE))&lt;=test!$K$16,IF(AND($A20&lt;&gt;G$1,feasible_mat!G20=1),(VLOOKUP(G$1,test!$A$3:$I$32,8,FALSE))-(VLOOKUP($A20,test!$A$3:$I$32,9,FALSE)),0),IF(AND($A20&lt;&gt;G$1,feasible_mat!G20=1),(VLOOKUP(G$1,test!$A$3:$I$32,8,FALSE))-(VLOOKUP($A20,test!$A$3:$I$32,9,FALSE))-50,0))</f>
        <v>35</v>
      </c>
      <c r="H20">
        <f>IF(SUM(VLOOKUP($A20,test!$A$3:$F$32,2,FALSE),VLOOKUP(H$1,test!$A$3:$F$32,2,FALSE))&lt;=test!$K$16,IF(AND($A20&lt;&gt;H$1,feasible_mat!H20=1),(VLOOKUP(H$1,test!$A$3:$I$32,8,FALSE))-(VLOOKUP($A20,test!$A$3:$I$32,9,FALSE)),0),IF(AND($A20&lt;&gt;H$1,feasible_mat!H20=1),(VLOOKUP(H$1,test!$A$3:$I$32,8,FALSE))-(VLOOKUP($A20,test!$A$3:$I$32,9,FALSE))-50,0))</f>
        <v>95</v>
      </c>
      <c r="I20">
        <f>IF(SUM(VLOOKUP($A20,test!$A$3:$F$32,2,FALSE),VLOOKUP(I$1,test!$A$3:$F$32,2,FALSE))&lt;=test!$K$16,IF(AND($A20&lt;&gt;I$1,feasible_mat!I20=1),(VLOOKUP(I$1,test!$A$3:$I$32,8,FALSE))-(VLOOKUP($A20,test!$A$3:$I$32,9,FALSE)),0),IF(AND($A20&lt;&gt;I$1,feasible_mat!I20=1),(VLOOKUP(I$1,test!$A$3:$I$32,8,FALSE))-(VLOOKUP($A20,test!$A$3:$I$32,9,FALSE))-50,0))</f>
        <v>155</v>
      </c>
      <c r="J20">
        <f>IF(SUM(VLOOKUP($A20,test!$A$3:$F$32,2,FALSE),VLOOKUP(J$1,test!$A$3:$F$32,2,FALSE))&lt;=test!$K$16,IF(AND($A20&lt;&gt;J$1,feasible_mat!J20=1),(VLOOKUP(J$1,test!$A$3:$I$32,8,FALSE))-(VLOOKUP($A20,test!$A$3:$I$32,9,FALSE)),0),IF(AND($A20&lt;&gt;J$1,feasible_mat!J20=1),(VLOOKUP(J$1,test!$A$3:$I$32,8,FALSE))-(VLOOKUP($A20,test!$A$3:$I$32,9,FALSE))-50,0))</f>
        <v>245</v>
      </c>
      <c r="K20">
        <f>IF(SUM(VLOOKUP($A20,test!$A$3:$F$32,2,FALSE),VLOOKUP(K$1,test!$A$3:$F$32,2,FALSE))&lt;=test!$K$16,IF(AND($A20&lt;&gt;K$1,feasible_mat!K20=1),(VLOOKUP(K$1,test!$A$3:$I$32,8,FALSE))-(VLOOKUP($A20,test!$A$3:$I$32,9,FALSE)),0),IF(AND($A20&lt;&gt;K$1,feasible_mat!K20=1),(VLOOKUP(K$1,test!$A$3:$I$32,8,FALSE))-(VLOOKUP($A20,test!$A$3:$I$32,9,FALSE))-50,0))</f>
        <v>0</v>
      </c>
      <c r="L20">
        <f>IF(SUM(VLOOKUP($A20,test!$A$3:$F$32,2,FALSE),VLOOKUP(L$1,test!$A$3:$F$32,2,FALSE))&lt;=test!$K$16,IF(AND($A20&lt;&gt;L$1,feasible_mat!L20=1),(VLOOKUP(L$1,test!$A$3:$I$32,8,FALSE))-(VLOOKUP($A20,test!$A$3:$I$32,9,FALSE)),0),IF(AND($A20&lt;&gt;L$1,feasible_mat!L20=1),(VLOOKUP(L$1,test!$A$3:$I$32,8,FALSE))-(VLOOKUP($A20,test!$A$3:$I$32,9,FALSE))-50,0))</f>
        <v>0</v>
      </c>
      <c r="M20">
        <f>IF(SUM(VLOOKUP($A20,test!$A$3:$F$32,2,FALSE),VLOOKUP(M$1,test!$A$3:$F$32,2,FALSE))&lt;=test!$K$16,IF(AND($A20&lt;&gt;M$1,feasible_mat!M20=1),(VLOOKUP(M$1,test!$A$3:$I$32,8,FALSE))-(VLOOKUP($A20,test!$A$3:$I$32,9,FALSE)),0),IF(AND($A20&lt;&gt;M$1,feasible_mat!M20=1),(VLOOKUP(M$1,test!$A$3:$I$32,8,FALSE))-(VLOOKUP($A20,test!$A$3:$I$32,9,FALSE))-50,0))</f>
        <v>0</v>
      </c>
      <c r="N20">
        <f>IF(SUM(VLOOKUP($A20,test!$A$3:$F$32,2,FALSE),VLOOKUP(N$1,test!$A$3:$F$32,2,FALSE))&lt;=test!$K$16,IF(AND($A20&lt;&gt;N$1,feasible_mat!N20=1),(VLOOKUP(N$1,test!$A$3:$I$32,8,FALSE))-(VLOOKUP($A20,test!$A$3:$I$32,9,FALSE)),0),IF(AND($A20&lt;&gt;N$1,feasible_mat!N20=1),(VLOOKUP(N$1,test!$A$3:$I$32,8,FALSE))-(VLOOKUP($A20,test!$A$3:$I$32,9,FALSE))-50,0))</f>
        <v>210</v>
      </c>
      <c r="O20">
        <f>IF(SUM(VLOOKUP($A20,test!$A$3:$F$32,2,FALSE),VLOOKUP(O$1,test!$A$3:$F$32,2,FALSE))&lt;=test!$K$16,IF(AND($A20&lt;&gt;O$1,feasible_mat!O20=1),(VLOOKUP(O$1,test!$A$3:$I$32,8,FALSE))-(VLOOKUP($A20,test!$A$3:$I$32,9,FALSE)),0),IF(AND($A20&lt;&gt;O$1,feasible_mat!O20=1),(VLOOKUP(O$1,test!$A$3:$I$32,8,FALSE))-(VLOOKUP($A20,test!$A$3:$I$32,9,FALSE))-50,0))</f>
        <v>270</v>
      </c>
      <c r="P20">
        <f>IF(SUM(VLOOKUP($A20,test!$A$3:$F$32,2,FALSE),VLOOKUP(P$1,test!$A$3:$F$32,2,FALSE))&lt;=test!$K$16,IF(AND($A20&lt;&gt;P$1,feasible_mat!P20=1),(VLOOKUP(P$1,test!$A$3:$I$32,8,FALSE))-(VLOOKUP($A20,test!$A$3:$I$32,9,FALSE)),0),IF(AND($A20&lt;&gt;P$1,feasible_mat!P20=1),(VLOOKUP(P$1,test!$A$3:$I$32,8,FALSE))-(VLOOKUP($A20,test!$A$3:$I$32,9,FALSE))-50,0))</f>
        <v>0</v>
      </c>
      <c r="Q20">
        <f>IF(SUM(VLOOKUP($A20,test!$A$3:$F$32,2,FALSE),VLOOKUP(Q$1,test!$A$3:$F$32,2,FALSE))&lt;=test!$K$16,IF(AND($A20&lt;&gt;Q$1,feasible_mat!Q20=1),(VLOOKUP(Q$1,test!$A$3:$I$32,8,FALSE))-(VLOOKUP($A20,test!$A$3:$I$32,9,FALSE)),0),IF(AND($A20&lt;&gt;Q$1,feasible_mat!Q20=1),(VLOOKUP(Q$1,test!$A$3:$I$32,8,FALSE))-(VLOOKUP($A20,test!$A$3:$I$32,9,FALSE))-50,0))</f>
        <v>0</v>
      </c>
      <c r="R20">
        <f>IF(SUM(VLOOKUP($A20,test!$A$3:$F$32,2,FALSE),VLOOKUP(R$1,test!$A$3:$F$32,2,FALSE))&lt;=test!$K$16,IF(AND($A20&lt;&gt;R$1,feasible_mat!R20=1),(VLOOKUP(R$1,test!$A$3:$I$32,8,FALSE))-(VLOOKUP($A20,test!$A$3:$I$32,9,FALSE)),0),IF(AND($A20&lt;&gt;R$1,feasible_mat!R20=1),(VLOOKUP(R$1,test!$A$3:$I$32,8,FALSE))-(VLOOKUP($A20,test!$A$3:$I$32,9,FALSE))-50,0))</f>
        <v>0</v>
      </c>
      <c r="S20">
        <f>IF(SUM(VLOOKUP($A20,test!$A$3:$F$32,2,FALSE),VLOOKUP(S$1,test!$A$3:$F$32,2,FALSE))&lt;=test!$K$16,IF(AND($A20&lt;&gt;S$1,feasible_mat!S20=1),(VLOOKUP(S$1,test!$A$3:$I$32,8,FALSE))-(VLOOKUP($A20,test!$A$3:$I$32,9,FALSE)),0),IF(AND($A20&lt;&gt;S$1,feasible_mat!S20=1),(VLOOKUP(S$1,test!$A$3:$I$32,8,FALSE))-(VLOOKUP($A20,test!$A$3:$I$32,9,FALSE))-50,0))</f>
        <v>0</v>
      </c>
      <c r="T20">
        <f>IF(SUM(VLOOKUP($A20,test!$A$3:$F$32,2,FALSE),VLOOKUP(T$1,test!$A$3:$F$32,2,FALSE))&lt;=test!$K$16,IF(AND($A20&lt;&gt;T$1,feasible_mat!T20=1),(VLOOKUP(T$1,test!$A$3:$I$32,8,FALSE))-(VLOOKUP($A20,test!$A$3:$I$32,9,FALSE)),0),IF(AND($A20&lt;&gt;T$1,feasible_mat!T20=1),(VLOOKUP(T$1,test!$A$3:$I$32,8,FALSE))-(VLOOKUP($A20,test!$A$3:$I$32,9,FALSE))-50,0))</f>
        <v>0</v>
      </c>
      <c r="U20">
        <f>IF(SUM(VLOOKUP($A20,test!$A$3:$F$32,2,FALSE),VLOOKUP(U$1,test!$A$3:$F$32,2,FALSE))&lt;=test!$K$16,IF(AND($A20&lt;&gt;U$1,feasible_mat!U20=1),(VLOOKUP(U$1,test!$A$3:$I$32,8,FALSE))-(VLOOKUP($A20,test!$A$3:$I$32,9,FALSE)),0),IF(AND($A20&lt;&gt;U$1,feasible_mat!U20=1),(VLOOKUP(U$1,test!$A$3:$I$32,8,FALSE))-(VLOOKUP($A20,test!$A$3:$I$32,9,FALSE))-50,0))</f>
        <v>0</v>
      </c>
      <c r="V20">
        <f>IF(SUM(VLOOKUP($A20,test!$A$3:$F$32,2,FALSE),VLOOKUP(V$1,test!$A$3:$F$32,2,FALSE))&lt;=test!$K$16,IF(AND($A20&lt;&gt;V$1,feasible_mat!V20=1),(VLOOKUP(V$1,test!$A$3:$I$32,8,FALSE))-(VLOOKUP($A20,test!$A$3:$I$32,9,FALSE)),0),IF(AND($A20&lt;&gt;V$1,feasible_mat!V20=1),(VLOOKUP(V$1,test!$A$3:$I$32,8,FALSE))-(VLOOKUP($A20,test!$A$3:$I$32,9,FALSE))-50,0))</f>
        <v>45</v>
      </c>
      <c r="W20">
        <f>IF(SUM(VLOOKUP($A20,test!$A$3:$F$32,2,FALSE),VLOOKUP(W$1,test!$A$3:$F$32,2,FALSE))&lt;=test!$K$16,IF(AND($A20&lt;&gt;W$1,feasible_mat!W20=1),(VLOOKUP(W$1,test!$A$3:$I$32,8,FALSE))-(VLOOKUP($A20,test!$A$3:$I$32,9,FALSE)),0),IF(AND($A20&lt;&gt;W$1,feasible_mat!W20=1),(VLOOKUP(W$1,test!$A$3:$I$32,8,FALSE))-(VLOOKUP($A20,test!$A$3:$I$32,9,FALSE))-50,0))</f>
        <v>135</v>
      </c>
      <c r="X20">
        <f>IF(SUM(VLOOKUP($A20,test!$A$3:$F$32,2,FALSE),VLOOKUP(X$1,test!$A$3:$F$32,2,FALSE))&lt;=test!$K$16,IF(AND($A20&lt;&gt;X$1,feasible_mat!X20=1),(VLOOKUP(X$1,test!$A$3:$I$32,8,FALSE))-(VLOOKUP($A20,test!$A$3:$I$32,9,FALSE)),0),IF(AND($A20&lt;&gt;X$1,feasible_mat!X20=1),(VLOOKUP(X$1,test!$A$3:$I$32,8,FALSE))-(VLOOKUP($A20,test!$A$3:$I$32,9,FALSE))-50,0))</f>
        <v>195</v>
      </c>
      <c r="Y20">
        <f>IF(SUM(VLOOKUP($A20,test!$A$3:$F$32,2,FALSE),VLOOKUP(Y$1,test!$A$3:$F$32,2,FALSE))&lt;=test!$K$16,IF(AND($A20&lt;&gt;Y$1,feasible_mat!Y20=1),(VLOOKUP(Y$1,test!$A$3:$I$32,8,FALSE))-(VLOOKUP($A20,test!$A$3:$I$32,9,FALSE)),0),IF(AND($A20&lt;&gt;Y$1,feasible_mat!Y20=1),(VLOOKUP(Y$1,test!$A$3:$I$32,8,FALSE))-(VLOOKUP($A20,test!$A$3:$I$32,9,FALSE))-50,0))</f>
        <v>0</v>
      </c>
      <c r="Z20">
        <f>IF(SUM(VLOOKUP($A20,test!$A$3:$F$32,2,FALSE),VLOOKUP(Z$1,test!$A$3:$F$32,2,FALSE))&lt;=test!$K$16,IF(AND($A20&lt;&gt;Z$1,feasible_mat!Z20=1),(VLOOKUP(Z$1,test!$A$3:$I$32,8,FALSE))-(VLOOKUP($A20,test!$A$3:$I$32,9,FALSE)),0),IF(AND($A20&lt;&gt;Z$1,feasible_mat!Z20=1),(VLOOKUP(Z$1,test!$A$3:$I$32,8,FALSE))-(VLOOKUP($A20,test!$A$3:$I$32,9,FALSE))-50,0))</f>
        <v>0</v>
      </c>
      <c r="AA20">
        <f>IF(SUM(VLOOKUP($A20,test!$A$3:$F$32,2,FALSE),VLOOKUP(AA$1,test!$A$3:$F$32,2,FALSE))&lt;=test!$K$16,IF(AND($A20&lt;&gt;AA$1,feasible_mat!AA20=1),(VLOOKUP(AA$1,test!$A$3:$I$32,8,FALSE))-(VLOOKUP($A20,test!$A$3:$I$32,9,FALSE)),0),IF(AND($A20&lt;&gt;AA$1,feasible_mat!AA20=1),(VLOOKUP(AA$1,test!$A$3:$I$32,8,FALSE))-(VLOOKUP($A20,test!$A$3:$I$32,9,FALSE))-50,0))</f>
        <v>0</v>
      </c>
      <c r="AB20">
        <f>IF(SUM(VLOOKUP($A20,test!$A$3:$F$32,2,FALSE),VLOOKUP(AB$1,test!$A$3:$F$32,2,FALSE))&lt;=test!$K$16,IF(AND($A20&lt;&gt;AB$1,feasible_mat!AB20=1),(VLOOKUP(AB$1,test!$A$3:$I$32,8,FALSE))-(VLOOKUP($A20,test!$A$3:$I$32,9,FALSE)),0),IF(AND($A20&lt;&gt;AB$1,feasible_mat!AB20=1),(VLOOKUP(AB$1,test!$A$3:$I$32,8,FALSE))-(VLOOKUP($A20,test!$A$3:$I$32,9,FALSE))-50,0))</f>
        <v>0</v>
      </c>
      <c r="AC20">
        <f>IF(SUM(VLOOKUP($A20,test!$A$3:$F$32,2,FALSE),VLOOKUP(AC$1,test!$A$3:$F$32,2,FALSE))&lt;=test!$K$16,IF(AND($A20&lt;&gt;AC$1,feasible_mat!AC20=1),(VLOOKUP(AC$1,test!$A$3:$I$32,8,FALSE))-(VLOOKUP($A20,test!$A$3:$I$32,9,FALSE)),0),IF(AND($A20&lt;&gt;AC$1,feasible_mat!AC20=1),(VLOOKUP(AC$1,test!$A$3:$I$32,8,FALSE))-(VLOOKUP($A20,test!$A$3:$I$32,9,FALSE))-50,0))</f>
        <v>95</v>
      </c>
      <c r="AD20">
        <f>IF(SUM(VLOOKUP($A20,test!$A$3:$F$32,2,FALSE),VLOOKUP(AD$1,test!$A$3:$F$32,2,FALSE))&lt;=test!$K$16,IF(AND($A20&lt;&gt;AD$1,feasible_mat!AD20=1),(VLOOKUP(AD$1,test!$A$3:$I$32,8,FALSE))-(VLOOKUP($A20,test!$A$3:$I$32,9,FALSE)),0),IF(AND($A20&lt;&gt;AD$1,feasible_mat!AD20=1),(VLOOKUP(AD$1,test!$A$3:$I$32,8,FALSE))-(VLOOKUP($A20,test!$A$3:$I$32,9,FALSE))-50,0))</f>
        <v>0</v>
      </c>
      <c r="AE20">
        <f>IF(SUM(VLOOKUP($A20,test!$A$3:$F$32,2,FALSE),VLOOKUP(AE$1,test!$A$3:$F$32,2,FALSE))&lt;=test!$K$16,IF(AND($A20&lt;&gt;AE$1,feasible_mat!AE20=1),(VLOOKUP(AE$1,test!$A$3:$I$32,8,FALSE))-(VLOOKUP($A20,test!$A$3:$I$32,9,FALSE)),0),IF(AND($A20&lt;&gt;AE$1,feasible_mat!AE20=1),(VLOOKUP(AE$1,test!$A$3:$I$32,8,FALSE))-(VLOOKUP($A20,test!$A$3:$I$32,9,FALSE))-50,0))</f>
        <v>0</v>
      </c>
      <c r="AF20">
        <f>IF(SUM(VLOOKUP($A20,test!$A$3:$F$32,2,FALSE),VLOOKUP(AF$1,test!$A$3:$F$32,2,FALSE))&lt;=test!$K$16,IF(AND($A20&lt;&gt;AF$1,feasible_mat!AF20=1),(VLOOKUP(AF$1,test!$A$3:$I$32,8,FALSE))-(VLOOKUP($A20,test!$A$3:$I$32,9,FALSE)),0),IF(AND($A20&lt;&gt;AF$1,feasible_mat!AF20=1),(VLOOKUP(AF$1,test!$A$3:$I$32,8,FALSE))-(VLOOKUP($A20,test!$A$3:$I$32,9,FALSE))-50,0))</f>
        <v>0</v>
      </c>
    </row>
    <row r="21" spans="1:36" x14ac:dyDescent="0.25">
      <c r="A21" t="s">
        <v>30</v>
      </c>
      <c r="B21">
        <v>0</v>
      </c>
      <c r="C21">
        <f>IF(SUM(VLOOKUP($A21,test!$A$3:$F$32,2,FALSE),VLOOKUP(C$1,test!$A$3:$F$32,2,FALSE))&lt;=test!$K$16,IF(AND($A21&lt;&gt;C$1,feasible_mat!C21=1),(VLOOKUP(C$1,test!$A$3:$I$32,8,FALSE))-(VLOOKUP($A21,test!$A$3:$I$32,9,FALSE)),0),IF(AND($A21&lt;&gt;C$1,feasible_mat!C21=1),(VLOOKUP(C$1,test!$A$3:$I$32,8,FALSE))-(VLOOKUP($A21,test!$A$3:$I$32,9,FALSE))-50,0))</f>
        <v>0</v>
      </c>
      <c r="D21">
        <f>IF(SUM(VLOOKUP($A21,test!$A$3:$F$32,2,FALSE),VLOOKUP(D$1,test!$A$3:$F$32,2,FALSE))&lt;=test!$K$16,IF(AND($A21&lt;&gt;D$1,feasible_mat!D21=1),(VLOOKUP(D$1,test!$A$3:$I$32,8,FALSE))-(VLOOKUP($A21,test!$A$3:$I$32,9,FALSE)),0),IF(AND($A21&lt;&gt;D$1,feasible_mat!D21=1),(VLOOKUP(D$1,test!$A$3:$I$32,8,FALSE))-(VLOOKUP($A21,test!$A$3:$I$32,9,FALSE))-50,0))</f>
        <v>0</v>
      </c>
      <c r="E21">
        <f>IF(SUM(VLOOKUP($A21,test!$A$3:$F$32,2,FALSE),VLOOKUP(E$1,test!$A$3:$F$32,2,FALSE))&lt;=test!$K$16,IF(AND($A21&lt;&gt;E$1,feasible_mat!E21=1),(VLOOKUP(E$1,test!$A$3:$I$32,8,FALSE))-(VLOOKUP($A21,test!$A$3:$I$32,9,FALSE)),0),IF(AND($A21&lt;&gt;E$1,feasible_mat!E21=1),(VLOOKUP(E$1,test!$A$3:$I$32,8,FALSE))-(VLOOKUP($A21,test!$A$3:$I$32,9,FALSE))-50,0))</f>
        <v>0</v>
      </c>
      <c r="F21">
        <f>IF(SUM(VLOOKUP($A21,test!$A$3:$F$32,2,FALSE),VLOOKUP(F$1,test!$A$3:$F$32,2,FALSE))&lt;=test!$K$16,IF(AND($A21&lt;&gt;F$1,feasible_mat!F21=1),(VLOOKUP(F$1,test!$A$3:$I$32,8,FALSE))-(VLOOKUP($A21,test!$A$3:$I$32,9,FALSE)),0),IF(AND($A21&lt;&gt;F$1,feasible_mat!F21=1),(VLOOKUP(F$1,test!$A$3:$I$32,8,FALSE))-(VLOOKUP($A21,test!$A$3:$I$32,9,FALSE))-50,0))</f>
        <v>0</v>
      </c>
      <c r="G21">
        <f>IF(SUM(VLOOKUP($A21,test!$A$3:$F$32,2,FALSE),VLOOKUP(G$1,test!$A$3:$F$32,2,FALSE))&lt;=test!$K$16,IF(AND($A21&lt;&gt;G$1,feasible_mat!G21=1),(VLOOKUP(G$1,test!$A$3:$I$32,8,FALSE))-(VLOOKUP($A21,test!$A$3:$I$32,9,FALSE)),0),IF(AND($A21&lt;&gt;G$1,feasible_mat!G21=1),(VLOOKUP(G$1,test!$A$3:$I$32,8,FALSE))-(VLOOKUP($A21,test!$A$3:$I$32,9,FALSE))-50,0))</f>
        <v>0</v>
      </c>
      <c r="H21">
        <f>IF(SUM(VLOOKUP($A21,test!$A$3:$F$32,2,FALSE),VLOOKUP(H$1,test!$A$3:$F$32,2,FALSE))&lt;=test!$K$16,IF(AND($A21&lt;&gt;H$1,feasible_mat!H21=1),(VLOOKUP(H$1,test!$A$3:$I$32,8,FALSE))-(VLOOKUP($A21,test!$A$3:$I$32,9,FALSE)),0),IF(AND($A21&lt;&gt;H$1,feasible_mat!H21=1),(VLOOKUP(H$1,test!$A$3:$I$32,8,FALSE))-(VLOOKUP($A21,test!$A$3:$I$32,9,FALSE))-50,0))</f>
        <v>0</v>
      </c>
      <c r="I21">
        <f>IF(SUM(VLOOKUP($A21,test!$A$3:$F$32,2,FALSE),VLOOKUP(I$1,test!$A$3:$F$32,2,FALSE))&lt;=test!$K$16,IF(AND($A21&lt;&gt;I$1,feasible_mat!I21=1),(VLOOKUP(I$1,test!$A$3:$I$32,8,FALSE))-(VLOOKUP($A21,test!$A$3:$I$32,9,FALSE)),0),IF(AND($A21&lt;&gt;I$1,feasible_mat!I21=1),(VLOOKUP(I$1,test!$A$3:$I$32,8,FALSE))-(VLOOKUP($A21,test!$A$3:$I$32,9,FALSE))-50,0))</f>
        <v>65</v>
      </c>
      <c r="J21">
        <f>IF(SUM(VLOOKUP($A21,test!$A$3:$F$32,2,FALSE),VLOOKUP(J$1,test!$A$3:$F$32,2,FALSE))&lt;=test!$K$16,IF(AND($A21&lt;&gt;J$1,feasible_mat!J21=1),(VLOOKUP(J$1,test!$A$3:$I$32,8,FALSE))-(VLOOKUP($A21,test!$A$3:$I$32,9,FALSE)),0),IF(AND($A21&lt;&gt;J$1,feasible_mat!J21=1),(VLOOKUP(J$1,test!$A$3:$I$32,8,FALSE))-(VLOOKUP($A21,test!$A$3:$I$32,9,FALSE))-50,0))</f>
        <v>155</v>
      </c>
      <c r="K21">
        <f>IF(SUM(VLOOKUP($A21,test!$A$3:$F$32,2,FALSE),VLOOKUP(K$1,test!$A$3:$F$32,2,FALSE))&lt;=test!$K$16,IF(AND($A21&lt;&gt;K$1,feasible_mat!K21=1),(VLOOKUP(K$1,test!$A$3:$I$32,8,FALSE))-(VLOOKUP($A21,test!$A$3:$I$32,9,FALSE)),0),IF(AND($A21&lt;&gt;K$1,feasible_mat!K21=1),(VLOOKUP(K$1,test!$A$3:$I$32,8,FALSE))-(VLOOKUP($A21,test!$A$3:$I$32,9,FALSE))-50,0))</f>
        <v>0</v>
      </c>
      <c r="L21">
        <f>IF(SUM(VLOOKUP($A21,test!$A$3:$F$32,2,FALSE),VLOOKUP(L$1,test!$A$3:$F$32,2,FALSE))&lt;=test!$K$16,IF(AND($A21&lt;&gt;L$1,feasible_mat!L21=1),(VLOOKUP(L$1,test!$A$3:$I$32,8,FALSE))-(VLOOKUP($A21,test!$A$3:$I$32,9,FALSE)),0),IF(AND($A21&lt;&gt;L$1,feasible_mat!L21=1),(VLOOKUP(L$1,test!$A$3:$I$32,8,FALSE))-(VLOOKUP($A21,test!$A$3:$I$32,9,FALSE))-50,0))</f>
        <v>0</v>
      </c>
      <c r="M21">
        <f>IF(SUM(VLOOKUP($A21,test!$A$3:$F$32,2,FALSE),VLOOKUP(M$1,test!$A$3:$F$32,2,FALSE))&lt;=test!$K$16,IF(AND($A21&lt;&gt;M$1,feasible_mat!M21=1),(VLOOKUP(M$1,test!$A$3:$I$32,8,FALSE))-(VLOOKUP($A21,test!$A$3:$I$32,9,FALSE)),0),IF(AND($A21&lt;&gt;M$1,feasible_mat!M21=1),(VLOOKUP(M$1,test!$A$3:$I$32,8,FALSE))-(VLOOKUP($A21,test!$A$3:$I$32,9,FALSE))-50,0))</f>
        <v>0</v>
      </c>
      <c r="N21">
        <f>IF(SUM(VLOOKUP($A21,test!$A$3:$F$32,2,FALSE),VLOOKUP(N$1,test!$A$3:$F$32,2,FALSE))&lt;=test!$K$16,IF(AND($A21&lt;&gt;N$1,feasible_mat!N21=1),(VLOOKUP(N$1,test!$A$3:$I$32,8,FALSE))-(VLOOKUP($A21,test!$A$3:$I$32,9,FALSE)),0),IF(AND($A21&lt;&gt;N$1,feasible_mat!N21=1),(VLOOKUP(N$1,test!$A$3:$I$32,8,FALSE))-(VLOOKUP($A21,test!$A$3:$I$32,9,FALSE))-50,0))</f>
        <v>120</v>
      </c>
      <c r="O21">
        <f>IF(SUM(VLOOKUP($A21,test!$A$3:$F$32,2,FALSE),VLOOKUP(O$1,test!$A$3:$F$32,2,FALSE))&lt;=test!$K$16,IF(AND($A21&lt;&gt;O$1,feasible_mat!O21=1),(VLOOKUP(O$1,test!$A$3:$I$32,8,FALSE))-(VLOOKUP($A21,test!$A$3:$I$32,9,FALSE)),0),IF(AND($A21&lt;&gt;O$1,feasible_mat!O21=1),(VLOOKUP(O$1,test!$A$3:$I$32,8,FALSE))-(VLOOKUP($A21,test!$A$3:$I$32,9,FALSE))-50,0))</f>
        <v>180</v>
      </c>
      <c r="P21">
        <f>IF(SUM(VLOOKUP($A21,test!$A$3:$F$32,2,FALSE),VLOOKUP(P$1,test!$A$3:$F$32,2,FALSE))&lt;=test!$K$16,IF(AND($A21&lt;&gt;P$1,feasible_mat!P21=1),(VLOOKUP(P$1,test!$A$3:$I$32,8,FALSE))-(VLOOKUP($A21,test!$A$3:$I$32,9,FALSE)),0),IF(AND($A21&lt;&gt;P$1,feasible_mat!P21=1),(VLOOKUP(P$1,test!$A$3:$I$32,8,FALSE))-(VLOOKUP($A21,test!$A$3:$I$32,9,FALSE))-50,0))</f>
        <v>0</v>
      </c>
      <c r="Q21">
        <f>IF(SUM(VLOOKUP($A21,test!$A$3:$F$32,2,FALSE),VLOOKUP(Q$1,test!$A$3:$F$32,2,FALSE))&lt;=test!$K$16,IF(AND($A21&lt;&gt;Q$1,feasible_mat!Q21=1),(VLOOKUP(Q$1,test!$A$3:$I$32,8,FALSE))-(VLOOKUP($A21,test!$A$3:$I$32,9,FALSE)),0),IF(AND($A21&lt;&gt;Q$1,feasible_mat!Q21=1),(VLOOKUP(Q$1,test!$A$3:$I$32,8,FALSE))-(VLOOKUP($A21,test!$A$3:$I$32,9,FALSE))-50,0))</f>
        <v>0</v>
      </c>
      <c r="R21">
        <f>IF(SUM(VLOOKUP($A21,test!$A$3:$F$32,2,FALSE),VLOOKUP(R$1,test!$A$3:$F$32,2,FALSE))&lt;=test!$K$16,IF(AND($A21&lt;&gt;R$1,feasible_mat!R21=1),(VLOOKUP(R$1,test!$A$3:$I$32,8,FALSE))-(VLOOKUP($A21,test!$A$3:$I$32,9,FALSE)),0),IF(AND($A21&lt;&gt;R$1,feasible_mat!R21=1),(VLOOKUP(R$1,test!$A$3:$I$32,8,FALSE))-(VLOOKUP($A21,test!$A$3:$I$32,9,FALSE))-50,0))</f>
        <v>0</v>
      </c>
      <c r="S21">
        <f>IF(SUM(VLOOKUP($A21,test!$A$3:$F$32,2,FALSE),VLOOKUP(S$1,test!$A$3:$F$32,2,FALSE))&lt;=test!$K$16,IF(AND($A21&lt;&gt;S$1,feasible_mat!S21=1),(VLOOKUP(S$1,test!$A$3:$I$32,8,FALSE))-(VLOOKUP($A21,test!$A$3:$I$32,9,FALSE)),0),IF(AND($A21&lt;&gt;S$1,feasible_mat!S21=1),(VLOOKUP(S$1,test!$A$3:$I$32,8,FALSE))-(VLOOKUP($A21,test!$A$3:$I$32,9,FALSE))-50,0))</f>
        <v>0</v>
      </c>
      <c r="T21">
        <f>IF(SUM(VLOOKUP($A21,test!$A$3:$F$32,2,FALSE),VLOOKUP(T$1,test!$A$3:$F$32,2,FALSE))&lt;=test!$K$16,IF(AND($A21&lt;&gt;T$1,feasible_mat!T21=1),(VLOOKUP(T$1,test!$A$3:$I$32,8,FALSE))-(VLOOKUP($A21,test!$A$3:$I$32,9,FALSE)),0),IF(AND($A21&lt;&gt;T$1,feasible_mat!T21=1),(VLOOKUP(T$1,test!$A$3:$I$32,8,FALSE))-(VLOOKUP($A21,test!$A$3:$I$32,9,FALSE))-50,0))</f>
        <v>0</v>
      </c>
      <c r="U21">
        <f>IF(SUM(VLOOKUP($A21,test!$A$3:$F$32,2,FALSE),VLOOKUP(U$1,test!$A$3:$F$32,2,FALSE))&lt;=test!$K$16,IF(AND($A21&lt;&gt;U$1,feasible_mat!U21=1),(VLOOKUP(U$1,test!$A$3:$I$32,8,FALSE))-(VLOOKUP($A21,test!$A$3:$I$32,9,FALSE)),0),IF(AND($A21&lt;&gt;U$1,feasible_mat!U21=1),(VLOOKUP(U$1,test!$A$3:$I$32,8,FALSE))-(VLOOKUP($A21,test!$A$3:$I$32,9,FALSE))-50,0))</f>
        <v>0</v>
      </c>
      <c r="V21">
        <f>IF(SUM(VLOOKUP($A21,test!$A$3:$F$32,2,FALSE),VLOOKUP(V$1,test!$A$3:$F$32,2,FALSE))&lt;=test!$K$16,IF(AND($A21&lt;&gt;V$1,feasible_mat!V21=1),(VLOOKUP(V$1,test!$A$3:$I$32,8,FALSE))-(VLOOKUP($A21,test!$A$3:$I$32,9,FALSE)),0),IF(AND($A21&lt;&gt;V$1,feasible_mat!V21=1),(VLOOKUP(V$1,test!$A$3:$I$32,8,FALSE))-(VLOOKUP($A21,test!$A$3:$I$32,9,FALSE))-50,0))</f>
        <v>0</v>
      </c>
      <c r="W21">
        <f>IF(SUM(VLOOKUP($A21,test!$A$3:$F$32,2,FALSE),VLOOKUP(W$1,test!$A$3:$F$32,2,FALSE))&lt;=test!$K$16,IF(AND($A21&lt;&gt;W$1,feasible_mat!W21=1),(VLOOKUP(W$1,test!$A$3:$I$32,8,FALSE))-(VLOOKUP($A21,test!$A$3:$I$32,9,FALSE)),0),IF(AND($A21&lt;&gt;W$1,feasible_mat!W21=1),(VLOOKUP(W$1,test!$A$3:$I$32,8,FALSE))-(VLOOKUP($A21,test!$A$3:$I$32,9,FALSE))-50,0))</f>
        <v>45</v>
      </c>
      <c r="X21">
        <f>IF(SUM(VLOOKUP($A21,test!$A$3:$F$32,2,FALSE),VLOOKUP(X$1,test!$A$3:$F$32,2,FALSE))&lt;=test!$K$16,IF(AND($A21&lt;&gt;X$1,feasible_mat!X21=1),(VLOOKUP(X$1,test!$A$3:$I$32,8,FALSE))-(VLOOKUP($A21,test!$A$3:$I$32,9,FALSE)),0),IF(AND($A21&lt;&gt;X$1,feasible_mat!X21=1),(VLOOKUP(X$1,test!$A$3:$I$32,8,FALSE))-(VLOOKUP($A21,test!$A$3:$I$32,9,FALSE))-50,0))</f>
        <v>105</v>
      </c>
      <c r="Y21">
        <f>IF(SUM(VLOOKUP($A21,test!$A$3:$F$32,2,FALSE),VLOOKUP(Y$1,test!$A$3:$F$32,2,FALSE))&lt;=test!$K$16,IF(AND($A21&lt;&gt;Y$1,feasible_mat!Y21=1),(VLOOKUP(Y$1,test!$A$3:$I$32,8,FALSE))-(VLOOKUP($A21,test!$A$3:$I$32,9,FALSE)),0),IF(AND($A21&lt;&gt;Y$1,feasible_mat!Y21=1),(VLOOKUP(Y$1,test!$A$3:$I$32,8,FALSE))-(VLOOKUP($A21,test!$A$3:$I$32,9,FALSE))-50,0))</f>
        <v>0</v>
      </c>
      <c r="Z21">
        <f>IF(SUM(VLOOKUP($A21,test!$A$3:$F$32,2,FALSE),VLOOKUP(Z$1,test!$A$3:$F$32,2,FALSE))&lt;=test!$K$16,IF(AND($A21&lt;&gt;Z$1,feasible_mat!Z21=1),(VLOOKUP(Z$1,test!$A$3:$I$32,8,FALSE))-(VLOOKUP($A21,test!$A$3:$I$32,9,FALSE)),0),IF(AND($A21&lt;&gt;Z$1,feasible_mat!Z21=1),(VLOOKUP(Z$1,test!$A$3:$I$32,8,FALSE))-(VLOOKUP($A21,test!$A$3:$I$32,9,FALSE))-50,0))</f>
        <v>0</v>
      </c>
      <c r="AA21">
        <f>IF(SUM(VLOOKUP($A21,test!$A$3:$F$32,2,FALSE),VLOOKUP(AA$1,test!$A$3:$F$32,2,FALSE))&lt;=test!$K$16,IF(AND($A21&lt;&gt;AA$1,feasible_mat!AA21=1),(VLOOKUP(AA$1,test!$A$3:$I$32,8,FALSE))-(VLOOKUP($A21,test!$A$3:$I$32,9,FALSE)),0),IF(AND($A21&lt;&gt;AA$1,feasible_mat!AA21=1),(VLOOKUP(AA$1,test!$A$3:$I$32,8,FALSE))-(VLOOKUP($A21,test!$A$3:$I$32,9,FALSE))-50,0))</f>
        <v>0</v>
      </c>
      <c r="AB21">
        <f>IF(SUM(VLOOKUP($A21,test!$A$3:$F$32,2,FALSE),VLOOKUP(AB$1,test!$A$3:$F$32,2,FALSE))&lt;=test!$K$16,IF(AND($A21&lt;&gt;AB$1,feasible_mat!AB21=1),(VLOOKUP(AB$1,test!$A$3:$I$32,8,FALSE))-(VLOOKUP($A21,test!$A$3:$I$32,9,FALSE)),0),IF(AND($A21&lt;&gt;AB$1,feasible_mat!AB21=1),(VLOOKUP(AB$1,test!$A$3:$I$32,8,FALSE))-(VLOOKUP($A21,test!$A$3:$I$32,9,FALSE))-50,0))</f>
        <v>0</v>
      </c>
      <c r="AC21">
        <f>IF(SUM(VLOOKUP($A21,test!$A$3:$F$32,2,FALSE),VLOOKUP(AC$1,test!$A$3:$F$32,2,FALSE))&lt;=test!$K$16,IF(AND($A21&lt;&gt;AC$1,feasible_mat!AC21=1),(VLOOKUP(AC$1,test!$A$3:$I$32,8,FALSE))-(VLOOKUP($A21,test!$A$3:$I$32,9,FALSE)),0),IF(AND($A21&lt;&gt;AC$1,feasible_mat!AC21=1),(VLOOKUP(AC$1,test!$A$3:$I$32,8,FALSE))-(VLOOKUP($A21,test!$A$3:$I$32,9,FALSE))-50,0))</f>
        <v>0</v>
      </c>
      <c r="AD21">
        <f>IF(SUM(VLOOKUP($A21,test!$A$3:$F$32,2,FALSE),VLOOKUP(AD$1,test!$A$3:$F$32,2,FALSE))&lt;=test!$K$16,IF(AND($A21&lt;&gt;AD$1,feasible_mat!AD21=1),(VLOOKUP(AD$1,test!$A$3:$I$32,8,FALSE))-(VLOOKUP($A21,test!$A$3:$I$32,9,FALSE)),0),IF(AND($A21&lt;&gt;AD$1,feasible_mat!AD21=1),(VLOOKUP(AD$1,test!$A$3:$I$32,8,FALSE))-(VLOOKUP($A21,test!$A$3:$I$32,9,FALSE))-50,0))</f>
        <v>0</v>
      </c>
      <c r="AE21">
        <f>IF(SUM(VLOOKUP($A21,test!$A$3:$F$32,2,FALSE),VLOOKUP(AE$1,test!$A$3:$F$32,2,FALSE))&lt;=test!$K$16,IF(AND($A21&lt;&gt;AE$1,feasible_mat!AE21=1),(VLOOKUP(AE$1,test!$A$3:$I$32,8,FALSE))-(VLOOKUP($A21,test!$A$3:$I$32,9,FALSE)),0),IF(AND($A21&lt;&gt;AE$1,feasible_mat!AE21=1),(VLOOKUP(AE$1,test!$A$3:$I$32,8,FALSE))-(VLOOKUP($A21,test!$A$3:$I$32,9,FALSE))-50,0))</f>
        <v>0</v>
      </c>
      <c r="AF21">
        <f>IF(SUM(VLOOKUP($A21,test!$A$3:$F$32,2,FALSE),VLOOKUP(AF$1,test!$A$3:$F$32,2,FALSE))&lt;=test!$K$16,IF(AND($A21&lt;&gt;AF$1,feasible_mat!AF21=1),(VLOOKUP(AF$1,test!$A$3:$I$32,8,FALSE))-(VLOOKUP($A21,test!$A$3:$I$32,9,FALSE)),0),IF(AND($A21&lt;&gt;AF$1,feasible_mat!AF21=1),(VLOOKUP(AF$1,test!$A$3:$I$32,8,FALSE))-(VLOOKUP($A21,test!$A$3:$I$32,9,FALSE))-50,0))</f>
        <v>0</v>
      </c>
      <c r="AJ21" s="16">
        <f>VLOOKUP(AF$1,test!$A$3:$I$32,8,FALSE)</f>
        <v>810</v>
      </c>
    </row>
    <row r="22" spans="1:36" x14ac:dyDescent="0.25">
      <c r="A22" t="s">
        <v>31</v>
      </c>
      <c r="B22">
        <v>0</v>
      </c>
      <c r="C22">
        <f>IF(SUM(VLOOKUP($A22,test!$A$3:$F$32,2,FALSE),VLOOKUP(C$1,test!$A$3:$F$32,2,FALSE))&lt;=test!$K$16,IF(AND($A22&lt;&gt;C$1,feasible_mat!C22=1),(VLOOKUP(C$1,test!$A$3:$I$32,8,FALSE))-(VLOOKUP($A22,test!$A$3:$I$32,9,FALSE)),0),IF(AND($A22&lt;&gt;C$1,feasible_mat!C22=1),(VLOOKUP(C$1,test!$A$3:$I$32,8,FALSE))-(VLOOKUP($A22,test!$A$3:$I$32,9,FALSE))-50,0))</f>
        <v>0</v>
      </c>
      <c r="D22">
        <f>IF(SUM(VLOOKUP($A22,test!$A$3:$F$32,2,FALSE),VLOOKUP(D$1,test!$A$3:$F$32,2,FALSE))&lt;=test!$K$16,IF(AND($A22&lt;&gt;D$1,feasible_mat!D22=1),(VLOOKUP(D$1,test!$A$3:$I$32,8,FALSE))-(VLOOKUP($A22,test!$A$3:$I$32,9,FALSE)),0),IF(AND($A22&lt;&gt;D$1,feasible_mat!D22=1),(VLOOKUP(D$1,test!$A$3:$I$32,8,FALSE))-(VLOOKUP($A22,test!$A$3:$I$32,9,FALSE))-50,0))</f>
        <v>0</v>
      </c>
      <c r="E22">
        <f>IF(SUM(VLOOKUP($A22,test!$A$3:$F$32,2,FALSE),VLOOKUP(E$1,test!$A$3:$F$32,2,FALSE))&lt;=test!$K$16,IF(AND($A22&lt;&gt;E$1,feasible_mat!E22=1),(VLOOKUP(E$1,test!$A$3:$I$32,8,FALSE))-(VLOOKUP($A22,test!$A$3:$I$32,9,FALSE)),0),IF(AND($A22&lt;&gt;E$1,feasible_mat!E22=1),(VLOOKUP(E$1,test!$A$3:$I$32,8,FALSE))-(VLOOKUP($A22,test!$A$3:$I$32,9,FALSE))-50,0))</f>
        <v>0</v>
      </c>
      <c r="F22">
        <f>IF(SUM(VLOOKUP($A22,test!$A$3:$F$32,2,FALSE),VLOOKUP(F$1,test!$A$3:$F$32,2,FALSE))&lt;=test!$K$16,IF(AND($A22&lt;&gt;F$1,feasible_mat!F22=1),(VLOOKUP(F$1,test!$A$3:$I$32,8,FALSE))-(VLOOKUP($A22,test!$A$3:$I$32,9,FALSE)),0),IF(AND($A22&lt;&gt;F$1,feasible_mat!F22=1),(VLOOKUP(F$1,test!$A$3:$I$32,8,FALSE))-(VLOOKUP($A22,test!$A$3:$I$32,9,FALSE))-50,0))</f>
        <v>0</v>
      </c>
      <c r="G22">
        <f>IF(SUM(VLOOKUP($A22,test!$A$3:$F$32,2,FALSE),VLOOKUP(G$1,test!$A$3:$F$32,2,FALSE))&lt;=test!$K$16,IF(AND($A22&lt;&gt;G$1,feasible_mat!G22=1),(VLOOKUP(G$1,test!$A$3:$I$32,8,FALSE))-(VLOOKUP($A22,test!$A$3:$I$32,9,FALSE)),0),IF(AND($A22&lt;&gt;G$1,feasible_mat!G22=1),(VLOOKUP(G$1,test!$A$3:$I$32,8,FALSE))-(VLOOKUP($A22,test!$A$3:$I$32,9,FALSE))-50,0))</f>
        <v>0</v>
      </c>
      <c r="H22">
        <f>IF(SUM(VLOOKUP($A22,test!$A$3:$F$32,2,FALSE),VLOOKUP(H$1,test!$A$3:$F$32,2,FALSE))&lt;=test!$K$16,IF(AND($A22&lt;&gt;H$1,feasible_mat!H22=1),(VLOOKUP(H$1,test!$A$3:$I$32,8,FALSE))-(VLOOKUP($A22,test!$A$3:$I$32,9,FALSE)),0),IF(AND($A22&lt;&gt;H$1,feasible_mat!H22=1),(VLOOKUP(H$1,test!$A$3:$I$32,8,FALSE))-(VLOOKUP($A22,test!$A$3:$I$32,9,FALSE))-50,0))</f>
        <v>0</v>
      </c>
      <c r="I22">
        <f>IF(SUM(VLOOKUP($A22,test!$A$3:$F$32,2,FALSE),VLOOKUP(I$1,test!$A$3:$F$32,2,FALSE))&lt;=test!$K$16,IF(AND($A22&lt;&gt;I$1,feasible_mat!I22=1),(VLOOKUP(I$1,test!$A$3:$I$32,8,FALSE))-(VLOOKUP($A22,test!$A$3:$I$32,9,FALSE)),0),IF(AND($A22&lt;&gt;I$1,feasible_mat!I22=1),(VLOOKUP(I$1,test!$A$3:$I$32,8,FALSE))-(VLOOKUP($A22,test!$A$3:$I$32,9,FALSE))-50,0))</f>
        <v>0</v>
      </c>
      <c r="J22">
        <f>IF(SUM(VLOOKUP($A22,test!$A$3:$F$32,2,FALSE),VLOOKUP(J$1,test!$A$3:$F$32,2,FALSE))&lt;=test!$K$16,IF(AND($A22&lt;&gt;J$1,feasible_mat!J22=1),(VLOOKUP(J$1,test!$A$3:$I$32,8,FALSE))-(VLOOKUP($A22,test!$A$3:$I$32,9,FALSE)),0),IF(AND($A22&lt;&gt;J$1,feasible_mat!J22=1),(VLOOKUP(J$1,test!$A$3:$I$32,8,FALSE))-(VLOOKUP($A22,test!$A$3:$I$32,9,FALSE))-50,0))</f>
        <v>65</v>
      </c>
      <c r="K22">
        <f>IF(SUM(VLOOKUP($A22,test!$A$3:$F$32,2,FALSE),VLOOKUP(K$1,test!$A$3:$F$32,2,FALSE))&lt;=test!$K$16,IF(AND($A22&lt;&gt;K$1,feasible_mat!K22=1),(VLOOKUP(K$1,test!$A$3:$I$32,8,FALSE))-(VLOOKUP($A22,test!$A$3:$I$32,9,FALSE)),0),IF(AND($A22&lt;&gt;K$1,feasible_mat!K22=1),(VLOOKUP(K$1,test!$A$3:$I$32,8,FALSE))-(VLOOKUP($A22,test!$A$3:$I$32,9,FALSE))-50,0))</f>
        <v>0</v>
      </c>
      <c r="L22">
        <f>IF(SUM(VLOOKUP($A22,test!$A$3:$F$32,2,FALSE),VLOOKUP(L$1,test!$A$3:$F$32,2,FALSE))&lt;=test!$K$16,IF(AND($A22&lt;&gt;L$1,feasible_mat!L22=1),(VLOOKUP(L$1,test!$A$3:$I$32,8,FALSE))-(VLOOKUP($A22,test!$A$3:$I$32,9,FALSE)),0),IF(AND($A22&lt;&gt;L$1,feasible_mat!L22=1),(VLOOKUP(L$1,test!$A$3:$I$32,8,FALSE))-(VLOOKUP($A22,test!$A$3:$I$32,9,FALSE))-50,0))</f>
        <v>0</v>
      </c>
      <c r="M22">
        <f>IF(SUM(VLOOKUP($A22,test!$A$3:$F$32,2,FALSE),VLOOKUP(M$1,test!$A$3:$F$32,2,FALSE))&lt;=test!$K$16,IF(AND($A22&lt;&gt;M$1,feasible_mat!M22=1),(VLOOKUP(M$1,test!$A$3:$I$32,8,FALSE))-(VLOOKUP($A22,test!$A$3:$I$32,9,FALSE)),0),IF(AND($A22&lt;&gt;M$1,feasible_mat!M22=1),(VLOOKUP(M$1,test!$A$3:$I$32,8,FALSE))-(VLOOKUP($A22,test!$A$3:$I$32,9,FALSE))-50,0))</f>
        <v>0</v>
      </c>
      <c r="N22">
        <f>IF(SUM(VLOOKUP($A22,test!$A$3:$F$32,2,FALSE),VLOOKUP(N$1,test!$A$3:$F$32,2,FALSE))&lt;=test!$K$16,IF(AND($A22&lt;&gt;N$1,feasible_mat!N22=1),(VLOOKUP(N$1,test!$A$3:$I$32,8,FALSE))-(VLOOKUP($A22,test!$A$3:$I$32,9,FALSE)),0),IF(AND($A22&lt;&gt;N$1,feasible_mat!N22=1),(VLOOKUP(N$1,test!$A$3:$I$32,8,FALSE))-(VLOOKUP($A22,test!$A$3:$I$32,9,FALSE))-50,0))</f>
        <v>30</v>
      </c>
      <c r="O22">
        <f>IF(SUM(VLOOKUP($A22,test!$A$3:$F$32,2,FALSE),VLOOKUP(O$1,test!$A$3:$F$32,2,FALSE))&lt;=test!$K$16,IF(AND($A22&lt;&gt;O$1,feasible_mat!O22=1),(VLOOKUP(O$1,test!$A$3:$I$32,8,FALSE))-(VLOOKUP($A22,test!$A$3:$I$32,9,FALSE)),0),IF(AND($A22&lt;&gt;O$1,feasible_mat!O22=1),(VLOOKUP(O$1,test!$A$3:$I$32,8,FALSE))-(VLOOKUP($A22,test!$A$3:$I$32,9,FALSE))-50,0))</f>
        <v>90</v>
      </c>
      <c r="P22">
        <f>IF(SUM(VLOOKUP($A22,test!$A$3:$F$32,2,FALSE),VLOOKUP(P$1,test!$A$3:$F$32,2,FALSE))&lt;=test!$K$16,IF(AND($A22&lt;&gt;P$1,feasible_mat!P22=1),(VLOOKUP(P$1,test!$A$3:$I$32,8,FALSE))-(VLOOKUP($A22,test!$A$3:$I$32,9,FALSE)),0),IF(AND($A22&lt;&gt;P$1,feasible_mat!P22=1),(VLOOKUP(P$1,test!$A$3:$I$32,8,FALSE))-(VLOOKUP($A22,test!$A$3:$I$32,9,FALSE))-50,0))</f>
        <v>0</v>
      </c>
      <c r="Q22">
        <f>IF(SUM(VLOOKUP($A22,test!$A$3:$F$32,2,FALSE),VLOOKUP(Q$1,test!$A$3:$F$32,2,FALSE))&lt;=test!$K$16,IF(AND($A22&lt;&gt;Q$1,feasible_mat!Q22=1),(VLOOKUP(Q$1,test!$A$3:$I$32,8,FALSE))-(VLOOKUP($A22,test!$A$3:$I$32,9,FALSE)),0),IF(AND($A22&lt;&gt;Q$1,feasible_mat!Q22=1),(VLOOKUP(Q$1,test!$A$3:$I$32,8,FALSE))-(VLOOKUP($A22,test!$A$3:$I$32,9,FALSE))-50,0))</f>
        <v>0</v>
      </c>
      <c r="R22">
        <f>IF(SUM(VLOOKUP($A22,test!$A$3:$F$32,2,FALSE),VLOOKUP(R$1,test!$A$3:$F$32,2,FALSE))&lt;=test!$K$16,IF(AND($A22&lt;&gt;R$1,feasible_mat!R22=1),(VLOOKUP(R$1,test!$A$3:$I$32,8,FALSE))-(VLOOKUP($A22,test!$A$3:$I$32,9,FALSE)),0),IF(AND($A22&lt;&gt;R$1,feasible_mat!R22=1),(VLOOKUP(R$1,test!$A$3:$I$32,8,FALSE))-(VLOOKUP($A22,test!$A$3:$I$32,9,FALSE))-50,0))</f>
        <v>0</v>
      </c>
      <c r="S22">
        <f>IF(SUM(VLOOKUP($A22,test!$A$3:$F$32,2,FALSE),VLOOKUP(S$1,test!$A$3:$F$32,2,FALSE))&lt;=test!$K$16,IF(AND($A22&lt;&gt;S$1,feasible_mat!S22=1),(VLOOKUP(S$1,test!$A$3:$I$32,8,FALSE))-(VLOOKUP($A22,test!$A$3:$I$32,9,FALSE)),0),IF(AND($A22&lt;&gt;S$1,feasible_mat!S22=1),(VLOOKUP(S$1,test!$A$3:$I$32,8,FALSE))-(VLOOKUP($A22,test!$A$3:$I$32,9,FALSE))-50,0))</f>
        <v>0</v>
      </c>
      <c r="T22">
        <f>IF(SUM(VLOOKUP($A22,test!$A$3:$F$32,2,FALSE),VLOOKUP(T$1,test!$A$3:$F$32,2,FALSE))&lt;=test!$K$16,IF(AND($A22&lt;&gt;T$1,feasible_mat!T22=1),(VLOOKUP(T$1,test!$A$3:$I$32,8,FALSE))-(VLOOKUP($A22,test!$A$3:$I$32,9,FALSE)),0),IF(AND($A22&lt;&gt;T$1,feasible_mat!T22=1),(VLOOKUP(T$1,test!$A$3:$I$32,8,FALSE))-(VLOOKUP($A22,test!$A$3:$I$32,9,FALSE))-50,0))</f>
        <v>0</v>
      </c>
      <c r="U22">
        <f>IF(SUM(VLOOKUP($A22,test!$A$3:$F$32,2,FALSE),VLOOKUP(U$1,test!$A$3:$F$32,2,FALSE))&lt;=test!$K$16,IF(AND($A22&lt;&gt;U$1,feasible_mat!U22=1),(VLOOKUP(U$1,test!$A$3:$I$32,8,FALSE))-(VLOOKUP($A22,test!$A$3:$I$32,9,FALSE)),0),IF(AND($A22&lt;&gt;U$1,feasible_mat!U22=1),(VLOOKUP(U$1,test!$A$3:$I$32,8,FALSE))-(VLOOKUP($A22,test!$A$3:$I$32,9,FALSE))-50,0))</f>
        <v>0</v>
      </c>
      <c r="V22">
        <f>IF(SUM(VLOOKUP($A22,test!$A$3:$F$32,2,FALSE),VLOOKUP(V$1,test!$A$3:$F$32,2,FALSE))&lt;=test!$K$16,IF(AND($A22&lt;&gt;V$1,feasible_mat!V22=1),(VLOOKUP(V$1,test!$A$3:$I$32,8,FALSE))-(VLOOKUP($A22,test!$A$3:$I$32,9,FALSE)),0),IF(AND($A22&lt;&gt;V$1,feasible_mat!V22=1),(VLOOKUP(V$1,test!$A$3:$I$32,8,FALSE))-(VLOOKUP($A22,test!$A$3:$I$32,9,FALSE))-50,0))</f>
        <v>0</v>
      </c>
      <c r="W22">
        <f>IF(SUM(VLOOKUP($A22,test!$A$3:$F$32,2,FALSE),VLOOKUP(W$1,test!$A$3:$F$32,2,FALSE))&lt;=test!$K$16,IF(AND($A22&lt;&gt;W$1,feasible_mat!W22=1),(VLOOKUP(W$1,test!$A$3:$I$32,8,FALSE))-(VLOOKUP($A22,test!$A$3:$I$32,9,FALSE)),0),IF(AND($A22&lt;&gt;W$1,feasible_mat!W22=1),(VLOOKUP(W$1,test!$A$3:$I$32,8,FALSE))-(VLOOKUP($A22,test!$A$3:$I$32,9,FALSE))-50,0))</f>
        <v>0</v>
      </c>
      <c r="X22">
        <f>IF(SUM(VLOOKUP($A22,test!$A$3:$F$32,2,FALSE),VLOOKUP(X$1,test!$A$3:$F$32,2,FALSE))&lt;=test!$K$16,IF(AND($A22&lt;&gt;X$1,feasible_mat!X22=1),(VLOOKUP(X$1,test!$A$3:$I$32,8,FALSE))-(VLOOKUP($A22,test!$A$3:$I$32,9,FALSE)),0),IF(AND($A22&lt;&gt;X$1,feasible_mat!X22=1),(VLOOKUP(X$1,test!$A$3:$I$32,8,FALSE))-(VLOOKUP($A22,test!$A$3:$I$32,9,FALSE))-50,0))</f>
        <v>15</v>
      </c>
      <c r="Y22">
        <f>IF(SUM(VLOOKUP($A22,test!$A$3:$F$32,2,FALSE),VLOOKUP(Y$1,test!$A$3:$F$32,2,FALSE))&lt;=test!$K$16,IF(AND($A22&lt;&gt;Y$1,feasible_mat!Y22=1),(VLOOKUP(Y$1,test!$A$3:$I$32,8,FALSE))-(VLOOKUP($A22,test!$A$3:$I$32,9,FALSE)),0),IF(AND($A22&lt;&gt;Y$1,feasible_mat!Y22=1),(VLOOKUP(Y$1,test!$A$3:$I$32,8,FALSE))-(VLOOKUP($A22,test!$A$3:$I$32,9,FALSE))-50,0))</f>
        <v>0</v>
      </c>
      <c r="Z22">
        <f>IF(SUM(VLOOKUP($A22,test!$A$3:$F$32,2,FALSE),VLOOKUP(Z$1,test!$A$3:$F$32,2,FALSE))&lt;=test!$K$16,IF(AND($A22&lt;&gt;Z$1,feasible_mat!Z22=1),(VLOOKUP(Z$1,test!$A$3:$I$32,8,FALSE))-(VLOOKUP($A22,test!$A$3:$I$32,9,FALSE)),0),IF(AND($A22&lt;&gt;Z$1,feasible_mat!Z22=1),(VLOOKUP(Z$1,test!$A$3:$I$32,8,FALSE))-(VLOOKUP($A22,test!$A$3:$I$32,9,FALSE))-50,0))</f>
        <v>0</v>
      </c>
      <c r="AA22">
        <f>IF(SUM(VLOOKUP($A22,test!$A$3:$F$32,2,FALSE),VLOOKUP(AA$1,test!$A$3:$F$32,2,FALSE))&lt;=test!$K$16,IF(AND($A22&lt;&gt;AA$1,feasible_mat!AA22=1),(VLOOKUP(AA$1,test!$A$3:$I$32,8,FALSE))-(VLOOKUP($A22,test!$A$3:$I$32,9,FALSE)),0),IF(AND($A22&lt;&gt;AA$1,feasible_mat!AA22=1),(VLOOKUP(AA$1,test!$A$3:$I$32,8,FALSE))-(VLOOKUP($A22,test!$A$3:$I$32,9,FALSE))-50,0))</f>
        <v>0</v>
      </c>
      <c r="AB22">
        <f>IF(SUM(VLOOKUP($A22,test!$A$3:$F$32,2,FALSE),VLOOKUP(AB$1,test!$A$3:$F$32,2,FALSE))&lt;=test!$K$16,IF(AND($A22&lt;&gt;AB$1,feasible_mat!AB22=1),(VLOOKUP(AB$1,test!$A$3:$I$32,8,FALSE))-(VLOOKUP($A22,test!$A$3:$I$32,9,FALSE)),0),IF(AND($A22&lt;&gt;AB$1,feasible_mat!AB22=1),(VLOOKUP(AB$1,test!$A$3:$I$32,8,FALSE))-(VLOOKUP($A22,test!$A$3:$I$32,9,FALSE))-50,0))</f>
        <v>0</v>
      </c>
      <c r="AC22">
        <f>IF(SUM(VLOOKUP($A22,test!$A$3:$F$32,2,FALSE),VLOOKUP(AC$1,test!$A$3:$F$32,2,FALSE))&lt;=test!$K$16,IF(AND($A22&lt;&gt;AC$1,feasible_mat!AC22=1),(VLOOKUP(AC$1,test!$A$3:$I$32,8,FALSE))-(VLOOKUP($A22,test!$A$3:$I$32,9,FALSE)),0),IF(AND($A22&lt;&gt;AC$1,feasible_mat!AC22=1),(VLOOKUP(AC$1,test!$A$3:$I$32,8,FALSE))-(VLOOKUP($A22,test!$A$3:$I$32,9,FALSE))-50,0))</f>
        <v>0</v>
      </c>
      <c r="AD22">
        <f>IF(SUM(VLOOKUP($A22,test!$A$3:$F$32,2,FALSE),VLOOKUP(AD$1,test!$A$3:$F$32,2,FALSE))&lt;=test!$K$16,IF(AND($A22&lt;&gt;AD$1,feasible_mat!AD22=1),(VLOOKUP(AD$1,test!$A$3:$I$32,8,FALSE))-(VLOOKUP($A22,test!$A$3:$I$32,9,FALSE)),0),IF(AND($A22&lt;&gt;AD$1,feasible_mat!AD22=1),(VLOOKUP(AD$1,test!$A$3:$I$32,8,FALSE))-(VLOOKUP($A22,test!$A$3:$I$32,9,FALSE))-50,0))</f>
        <v>0</v>
      </c>
      <c r="AE22">
        <f>IF(SUM(VLOOKUP($A22,test!$A$3:$F$32,2,FALSE),VLOOKUP(AE$1,test!$A$3:$F$32,2,FALSE))&lt;=test!$K$16,IF(AND($A22&lt;&gt;AE$1,feasible_mat!AE22=1),(VLOOKUP(AE$1,test!$A$3:$I$32,8,FALSE))-(VLOOKUP($A22,test!$A$3:$I$32,9,FALSE)),0),IF(AND($A22&lt;&gt;AE$1,feasible_mat!AE22=1),(VLOOKUP(AE$1,test!$A$3:$I$32,8,FALSE))-(VLOOKUP($A22,test!$A$3:$I$32,9,FALSE))-50,0))</f>
        <v>0</v>
      </c>
      <c r="AF22">
        <f>IF(SUM(VLOOKUP($A22,test!$A$3:$F$32,2,FALSE),VLOOKUP(AF$1,test!$A$3:$F$32,2,FALSE))&lt;=test!$K$16,IF(AND($A22&lt;&gt;AF$1,feasible_mat!AF22=1),(VLOOKUP(AF$1,test!$A$3:$I$32,8,FALSE))-(VLOOKUP($A22,test!$A$3:$I$32,9,FALSE)),0),IF(AND($A22&lt;&gt;AF$1,feasible_mat!AF22=1),(VLOOKUP(AF$1,test!$A$3:$I$32,8,FALSE))-(VLOOKUP($A22,test!$A$3:$I$32,9,FALSE))-50,0))</f>
        <v>0</v>
      </c>
      <c r="AJ22" s="16">
        <f>(VLOOKUP($A11,test!$A$3:$I$32,9,FALSE))</f>
        <v>695</v>
      </c>
    </row>
    <row r="23" spans="1:36" x14ac:dyDescent="0.25">
      <c r="A23" t="s">
        <v>32</v>
      </c>
      <c r="B23">
        <v>0</v>
      </c>
      <c r="C23">
        <f>IF(SUM(VLOOKUP($A23,test!$A$3:$F$32,2,FALSE),VLOOKUP(C$1,test!$A$3:$F$32,2,FALSE))&lt;=test!$K$16,IF(AND($A23&lt;&gt;C$1,feasible_mat!C23=1),(VLOOKUP(C$1,test!$A$3:$I$32,8,FALSE))-(VLOOKUP($A23,test!$A$3:$I$32,9,FALSE)),0),IF(AND($A23&lt;&gt;C$1,feasible_mat!C23=1),(VLOOKUP(C$1,test!$A$3:$I$32,8,FALSE))-(VLOOKUP($A23,test!$A$3:$I$32,9,FALSE))-50,0))</f>
        <v>0</v>
      </c>
      <c r="D23">
        <f>IF(SUM(VLOOKUP($A23,test!$A$3:$F$32,2,FALSE),VLOOKUP(D$1,test!$A$3:$F$32,2,FALSE))&lt;=test!$K$16,IF(AND($A23&lt;&gt;D$1,feasible_mat!D23=1),(VLOOKUP(D$1,test!$A$3:$I$32,8,FALSE))-(VLOOKUP($A23,test!$A$3:$I$32,9,FALSE)),0),IF(AND($A23&lt;&gt;D$1,feasible_mat!D23=1),(VLOOKUP(D$1,test!$A$3:$I$32,8,FALSE))-(VLOOKUP($A23,test!$A$3:$I$32,9,FALSE))-50,0))</f>
        <v>0</v>
      </c>
      <c r="E23">
        <f>IF(SUM(VLOOKUP($A23,test!$A$3:$F$32,2,FALSE),VLOOKUP(E$1,test!$A$3:$F$32,2,FALSE))&lt;=test!$K$16,IF(AND($A23&lt;&gt;E$1,feasible_mat!E23=1),(VLOOKUP(E$1,test!$A$3:$I$32,8,FALSE))-(VLOOKUP($A23,test!$A$3:$I$32,9,FALSE)),0),IF(AND($A23&lt;&gt;E$1,feasible_mat!E23=1),(VLOOKUP(E$1,test!$A$3:$I$32,8,FALSE))-(VLOOKUP($A23,test!$A$3:$I$32,9,FALSE))-50,0))</f>
        <v>0</v>
      </c>
      <c r="F23">
        <f>IF(SUM(VLOOKUP($A23,test!$A$3:$F$32,2,FALSE),VLOOKUP(F$1,test!$A$3:$F$32,2,FALSE))&lt;=test!$K$16,IF(AND($A23&lt;&gt;F$1,feasible_mat!F23=1),(VLOOKUP(F$1,test!$A$3:$I$32,8,FALSE))-(VLOOKUP($A23,test!$A$3:$I$32,9,FALSE)),0),IF(AND($A23&lt;&gt;F$1,feasible_mat!F23=1),(VLOOKUP(F$1,test!$A$3:$I$32,8,FALSE))-(VLOOKUP($A23,test!$A$3:$I$32,9,FALSE))-50,0))</f>
        <v>0</v>
      </c>
      <c r="G23">
        <f>IF(SUM(VLOOKUP($A23,test!$A$3:$F$32,2,FALSE),VLOOKUP(G$1,test!$A$3:$F$32,2,FALSE))&lt;=test!$K$16,IF(AND($A23&lt;&gt;G$1,feasible_mat!G23=1),(VLOOKUP(G$1,test!$A$3:$I$32,8,FALSE))-(VLOOKUP($A23,test!$A$3:$I$32,9,FALSE)),0),IF(AND($A23&lt;&gt;G$1,feasible_mat!G23=1),(VLOOKUP(G$1,test!$A$3:$I$32,8,FALSE))-(VLOOKUP($A23,test!$A$3:$I$32,9,FALSE))-50,0))</f>
        <v>0</v>
      </c>
      <c r="H23">
        <f>IF(SUM(VLOOKUP($A23,test!$A$3:$F$32,2,FALSE),VLOOKUP(H$1,test!$A$3:$F$32,2,FALSE))&lt;=test!$K$16,IF(AND($A23&lt;&gt;H$1,feasible_mat!H23=1),(VLOOKUP(H$1,test!$A$3:$I$32,8,FALSE))-(VLOOKUP($A23,test!$A$3:$I$32,9,FALSE)),0),IF(AND($A23&lt;&gt;H$1,feasible_mat!H23=1),(VLOOKUP(H$1,test!$A$3:$I$32,8,FALSE))-(VLOOKUP($A23,test!$A$3:$I$32,9,FALSE))-50,0))</f>
        <v>0</v>
      </c>
      <c r="I23">
        <f>IF(SUM(VLOOKUP($A23,test!$A$3:$F$32,2,FALSE),VLOOKUP(I$1,test!$A$3:$F$32,2,FALSE))&lt;=test!$K$16,IF(AND($A23&lt;&gt;I$1,feasible_mat!I23=1),(VLOOKUP(I$1,test!$A$3:$I$32,8,FALSE))-(VLOOKUP($A23,test!$A$3:$I$32,9,FALSE)),0),IF(AND($A23&lt;&gt;I$1,feasible_mat!I23=1),(VLOOKUP(I$1,test!$A$3:$I$32,8,FALSE))-(VLOOKUP($A23,test!$A$3:$I$32,9,FALSE))-50,0))</f>
        <v>0</v>
      </c>
      <c r="J23">
        <f>IF(SUM(VLOOKUP($A23,test!$A$3:$F$32,2,FALSE),VLOOKUP(J$1,test!$A$3:$F$32,2,FALSE))&lt;=test!$K$16,IF(AND($A23&lt;&gt;J$1,feasible_mat!J23=1),(VLOOKUP(J$1,test!$A$3:$I$32,8,FALSE))-(VLOOKUP($A23,test!$A$3:$I$32,9,FALSE)),0),IF(AND($A23&lt;&gt;J$1,feasible_mat!J23=1),(VLOOKUP(J$1,test!$A$3:$I$32,8,FALSE))-(VLOOKUP($A23,test!$A$3:$I$32,9,FALSE))-50,0))</f>
        <v>0</v>
      </c>
      <c r="K23">
        <f>IF(SUM(VLOOKUP($A23,test!$A$3:$F$32,2,FALSE),VLOOKUP(K$1,test!$A$3:$F$32,2,FALSE))&lt;=test!$K$16,IF(AND($A23&lt;&gt;K$1,feasible_mat!K23=1),(VLOOKUP(K$1,test!$A$3:$I$32,8,FALSE))-(VLOOKUP($A23,test!$A$3:$I$32,9,FALSE)),0),IF(AND($A23&lt;&gt;K$1,feasible_mat!K23=1),(VLOOKUP(K$1,test!$A$3:$I$32,8,FALSE))-(VLOOKUP($A23,test!$A$3:$I$32,9,FALSE))-50,0))</f>
        <v>0</v>
      </c>
      <c r="L23">
        <f>IF(SUM(VLOOKUP($A23,test!$A$3:$F$32,2,FALSE),VLOOKUP(L$1,test!$A$3:$F$32,2,FALSE))&lt;=test!$K$16,IF(AND($A23&lt;&gt;L$1,feasible_mat!L23=1),(VLOOKUP(L$1,test!$A$3:$I$32,8,FALSE))-(VLOOKUP($A23,test!$A$3:$I$32,9,FALSE)),0),IF(AND($A23&lt;&gt;L$1,feasible_mat!L23=1),(VLOOKUP(L$1,test!$A$3:$I$32,8,FALSE))-(VLOOKUP($A23,test!$A$3:$I$32,9,FALSE))-50,0))</f>
        <v>0</v>
      </c>
      <c r="M23">
        <f>IF(SUM(VLOOKUP($A23,test!$A$3:$F$32,2,FALSE),VLOOKUP(M$1,test!$A$3:$F$32,2,FALSE))&lt;=test!$K$16,IF(AND($A23&lt;&gt;M$1,feasible_mat!M23=1),(VLOOKUP(M$1,test!$A$3:$I$32,8,FALSE))-(VLOOKUP($A23,test!$A$3:$I$32,9,FALSE)),0),IF(AND($A23&lt;&gt;M$1,feasible_mat!M23=1),(VLOOKUP(M$1,test!$A$3:$I$32,8,FALSE))-(VLOOKUP($A23,test!$A$3:$I$32,9,FALSE))-50,0))</f>
        <v>0</v>
      </c>
      <c r="N23">
        <f>IF(SUM(VLOOKUP($A23,test!$A$3:$F$32,2,FALSE),VLOOKUP(N$1,test!$A$3:$F$32,2,FALSE))&lt;=test!$K$16,IF(AND($A23&lt;&gt;N$1,feasible_mat!N23=1),(VLOOKUP(N$1,test!$A$3:$I$32,8,FALSE))-(VLOOKUP($A23,test!$A$3:$I$32,9,FALSE)),0),IF(AND($A23&lt;&gt;N$1,feasible_mat!N23=1),(VLOOKUP(N$1,test!$A$3:$I$32,8,FALSE))-(VLOOKUP($A23,test!$A$3:$I$32,9,FALSE))-50,0))</f>
        <v>0</v>
      </c>
      <c r="O23">
        <f>IF(SUM(VLOOKUP($A23,test!$A$3:$F$32,2,FALSE),VLOOKUP(O$1,test!$A$3:$F$32,2,FALSE))&lt;=test!$K$16,IF(AND($A23&lt;&gt;O$1,feasible_mat!O23=1),(VLOOKUP(O$1,test!$A$3:$I$32,8,FALSE))-(VLOOKUP($A23,test!$A$3:$I$32,9,FALSE)),0),IF(AND($A23&lt;&gt;O$1,feasible_mat!O23=1),(VLOOKUP(O$1,test!$A$3:$I$32,8,FALSE))-(VLOOKUP($A23,test!$A$3:$I$32,9,FALSE))-50,0))</f>
        <v>0</v>
      </c>
      <c r="P23">
        <f>IF(SUM(VLOOKUP($A23,test!$A$3:$F$32,2,FALSE),VLOOKUP(P$1,test!$A$3:$F$32,2,FALSE))&lt;=test!$K$16,IF(AND($A23&lt;&gt;P$1,feasible_mat!P23=1),(VLOOKUP(P$1,test!$A$3:$I$32,8,FALSE))-(VLOOKUP($A23,test!$A$3:$I$32,9,FALSE)),0),IF(AND($A23&lt;&gt;P$1,feasible_mat!P23=1),(VLOOKUP(P$1,test!$A$3:$I$32,8,FALSE))-(VLOOKUP($A23,test!$A$3:$I$32,9,FALSE))-50,0))</f>
        <v>0</v>
      </c>
      <c r="Q23">
        <f>IF(SUM(VLOOKUP($A23,test!$A$3:$F$32,2,FALSE),VLOOKUP(Q$1,test!$A$3:$F$32,2,FALSE))&lt;=test!$K$16,IF(AND($A23&lt;&gt;Q$1,feasible_mat!Q23=1),(VLOOKUP(Q$1,test!$A$3:$I$32,8,FALSE))-(VLOOKUP($A23,test!$A$3:$I$32,9,FALSE)),0),IF(AND($A23&lt;&gt;Q$1,feasible_mat!Q23=1),(VLOOKUP(Q$1,test!$A$3:$I$32,8,FALSE))-(VLOOKUP($A23,test!$A$3:$I$32,9,FALSE))-50,0))</f>
        <v>0</v>
      </c>
      <c r="R23">
        <f>IF(SUM(VLOOKUP($A23,test!$A$3:$F$32,2,FALSE),VLOOKUP(R$1,test!$A$3:$F$32,2,FALSE))&lt;=test!$K$16,IF(AND($A23&lt;&gt;R$1,feasible_mat!R23=1),(VLOOKUP(R$1,test!$A$3:$I$32,8,FALSE))-(VLOOKUP($A23,test!$A$3:$I$32,9,FALSE)),0),IF(AND($A23&lt;&gt;R$1,feasible_mat!R23=1),(VLOOKUP(R$1,test!$A$3:$I$32,8,FALSE))-(VLOOKUP($A23,test!$A$3:$I$32,9,FALSE))-50,0))</f>
        <v>0</v>
      </c>
      <c r="S23">
        <f>IF(SUM(VLOOKUP($A23,test!$A$3:$F$32,2,FALSE),VLOOKUP(S$1,test!$A$3:$F$32,2,FALSE))&lt;=test!$K$16,IF(AND($A23&lt;&gt;S$1,feasible_mat!S23=1),(VLOOKUP(S$1,test!$A$3:$I$32,8,FALSE))-(VLOOKUP($A23,test!$A$3:$I$32,9,FALSE)),0),IF(AND($A23&lt;&gt;S$1,feasible_mat!S23=1),(VLOOKUP(S$1,test!$A$3:$I$32,8,FALSE))-(VLOOKUP($A23,test!$A$3:$I$32,9,FALSE))-50,0))</f>
        <v>0</v>
      </c>
      <c r="T23">
        <f>IF(SUM(VLOOKUP($A23,test!$A$3:$F$32,2,FALSE),VLOOKUP(T$1,test!$A$3:$F$32,2,FALSE))&lt;=test!$K$16,IF(AND($A23&lt;&gt;T$1,feasible_mat!T23=1),(VLOOKUP(T$1,test!$A$3:$I$32,8,FALSE))-(VLOOKUP($A23,test!$A$3:$I$32,9,FALSE)),0),IF(AND($A23&lt;&gt;T$1,feasible_mat!T23=1),(VLOOKUP(T$1,test!$A$3:$I$32,8,FALSE))-(VLOOKUP($A23,test!$A$3:$I$32,9,FALSE))-50,0))</f>
        <v>0</v>
      </c>
      <c r="U23">
        <f>IF(SUM(VLOOKUP($A23,test!$A$3:$F$32,2,FALSE),VLOOKUP(U$1,test!$A$3:$F$32,2,FALSE))&lt;=test!$K$16,IF(AND($A23&lt;&gt;U$1,feasible_mat!U23=1),(VLOOKUP(U$1,test!$A$3:$I$32,8,FALSE))-(VLOOKUP($A23,test!$A$3:$I$32,9,FALSE)),0),IF(AND($A23&lt;&gt;U$1,feasible_mat!U23=1),(VLOOKUP(U$1,test!$A$3:$I$32,8,FALSE))-(VLOOKUP($A23,test!$A$3:$I$32,9,FALSE))-50,0))</f>
        <v>0</v>
      </c>
      <c r="V23">
        <f>IF(SUM(VLOOKUP($A23,test!$A$3:$F$32,2,FALSE),VLOOKUP(V$1,test!$A$3:$F$32,2,FALSE))&lt;=test!$K$16,IF(AND($A23&lt;&gt;V$1,feasible_mat!V23=1),(VLOOKUP(V$1,test!$A$3:$I$32,8,FALSE))-(VLOOKUP($A23,test!$A$3:$I$32,9,FALSE)),0),IF(AND($A23&lt;&gt;V$1,feasible_mat!V23=1),(VLOOKUP(V$1,test!$A$3:$I$32,8,FALSE))-(VLOOKUP($A23,test!$A$3:$I$32,9,FALSE))-50,0))</f>
        <v>0</v>
      </c>
      <c r="W23">
        <f>IF(SUM(VLOOKUP($A23,test!$A$3:$F$32,2,FALSE),VLOOKUP(W$1,test!$A$3:$F$32,2,FALSE))&lt;=test!$K$16,IF(AND($A23&lt;&gt;W$1,feasible_mat!W23=1),(VLOOKUP(W$1,test!$A$3:$I$32,8,FALSE))-(VLOOKUP($A23,test!$A$3:$I$32,9,FALSE)),0),IF(AND($A23&lt;&gt;W$1,feasible_mat!W23=1),(VLOOKUP(W$1,test!$A$3:$I$32,8,FALSE))-(VLOOKUP($A23,test!$A$3:$I$32,9,FALSE))-50,0))</f>
        <v>0</v>
      </c>
      <c r="X23">
        <f>IF(SUM(VLOOKUP($A23,test!$A$3:$F$32,2,FALSE),VLOOKUP(X$1,test!$A$3:$F$32,2,FALSE))&lt;=test!$K$16,IF(AND($A23&lt;&gt;X$1,feasible_mat!X23=1),(VLOOKUP(X$1,test!$A$3:$I$32,8,FALSE))-(VLOOKUP($A23,test!$A$3:$I$32,9,FALSE)),0),IF(AND($A23&lt;&gt;X$1,feasible_mat!X23=1),(VLOOKUP(X$1,test!$A$3:$I$32,8,FALSE))-(VLOOKUP($A23,test!$A$3:$I$32,9,FALSE))-50,0))</f>
        <v>0</v>
      </c>
      <c r="Y23">
        <f>IF(SUM(VLOOKUP($A23,test!$A$3:$F$32,2,FALSE),VLOOKUP(Y$1,test!$A$3:$F$32,2,FALSE))&lt;=test!$K$16,IF(AND($A23&lt;&gt;Y$1,feasible_mat!Y23=1),(VLOOKUP(Y$1,test!$A$3:$I$32,8,FALSE))-(VLOOKUP($A23,test!$A$3:$I$32,9,FALSE)),0),IF(AND($A23&lt;&gt;Y$1,feasible_mat!Y23=1),(VLOOKUP(Y$1,test!$A$3:$I$32,8,FALSE))-(VLOOKUP($A23,test!$A$3:$I$32,9,FALSE))-50,0))</f>
        <v>0</v>
      </c>
      <c r="Z23">
        <f>IF(SUM(VLOOKUP($A23,test!$A$3:$F$32,2,FALSE),VLOOKUP(Z$1,test!$A$3:$F$32,2,FALSE))&lt;=test!$K$16,IF(AND($A23&lt;&gt;Z$1,feasible_mat!Z23=1),(VLOOKUP(Z$1,test!$A$3:$I$32,8,FALSE))-(VLOOKUP($A23,test!$A$3:$I$32,9,FALSE)),0),IF(AND($A23&lt;&gt;Z$1,feasible_mat!Z23=1),(VLOOKUP(Z$1,test!$A$3:$I$32,8,FALSE))-(VLOOKUP($A23,test!$A$3:$I$32,9,FALSE))-50,0))</f>
        <v>0</v>
      </c>
      <c r="AA23">
        <f>IF(SUM(VLOOKUP($A23,test!$A$3:$F$32,2,FALSE),VLOOKUP(AA$1,test!$A$3:$F$32,2,FALSE))&lt;=test!$K$16,IF(AND($A23&lt;&gt;AA$1,feasible_mat!AA23=1),(VLOOKUP(AA$1,test!$A$3:$I$32,8,FALSE))-(VLOOKUP($A23,test!$A$3:$I$32,9,FALSE)),0),IF(AND($A23&lt;&gt;AA$1,feasible_mat!AA23=1),(VLOOKUP(AA$1,test!$A$3:$I$32,8,FALSE))-(VLOOKUP($A23,test!$A$3:$I$32,9,FALSE))-50,0))</f>
        <v>0</v>
      </c>
      <c r="AB23">
        <f>IF(SUM(VLOOKUP($A23,test!$A$3:$F$32,2,FALSE),VLOOKUP(AB$1,test!$A$3:$F$32,2,FALSE))&lt;=test!$K$16,IF(AND($A23&lt;&gt;AB$1,feasible_mat!AB23=1),(VLOOKUP(AB$1,test!$A$3:$I$32,8,FALSE))-(VLOOKUP($A23,test!$A$3:$I$32,9,FALSE)),0),IF(AND($A23&lt;&gt;AB$1,feasible_mat!AB23=1),(VLOOKUP(AB$1,test!$A$3:$I$32,8,FALSE))-(VLOOKUP($A23,test!$A$3:$I$32,9,FALSE))-50,0))</f>
        <v>0</v>
      </c>
      <c r="AC23">
        <f>IF(SUM(VLOOKUP($A23,test!$A$3:$F$32,2,FALSE),VLOOKUP(AC$1,test!$A$3:$F$32,2,FALSE))&lt;=test!$K$16,IF(AND($A23&lt;&gt;AC$1,feasible_mat!AC23=1),(VLOOKUP(AC$1,test!$A$3:$I$32,8,FALSE))-(VLOOKUP($A23,test!$A$3:$I$32,9,FALSE)),0),IF(AND($A23&lt;&gt;AC$1,feasible_mat!AC23=1),(VLOOKUP(AC$1,test!$A$3:$I$32,8,FALSE))-(VLOOKUP($A23,test!$A$3:$I$32,9,FALSE))-50,0))</f>
        <v>0</v>
      </c>
      <c r="AD23">
        <f>IF(SUM(VLOOKUP($A23,test!$A$3:$F$32,2,FALSE),VLOOKUP(AD$1,test!$A$3:$F$32,2,FALSE))&lt;=test!$K$16,IF(AND($A23&lt;&gt;AD$1,feasible_mat!AD23=1),(VLOOKUP(AD$1,test!$A$3:$I$32,8,FALSE))-(VLOOKUP($A23,test!$A$3:$I$32,9,FALSE)),0),IF(AND($A23&lt;&gt;AD$1,feasible_mat!AD23=1),(VLOOKUP(AD$1,test!$A$3:$I$32,8,FALSE))-(VLOOKUP($A23,test!$A$3:$I$32,9,FALSE))-50,0))</f>
        <v>0</v>
      </c>
      <c r="AE23">
        <f>IF(SUM(VLOOKUP($A23,test!$A$3:$F$32,2,FALSE),VLOOKUP(AE$1,test!$A$3:$F$32,2,FALSE))&lt;=test!$K$16,IF(AND($A23&lt;&gt;AE$1,feasible_mat!AE23=1),(VLOOKUP(AE$1,test!$A$3:$I$32,8,FALSE))-(VLOOKUP($A23,test!$A$3:$I$32,9,FALSE)),0),IF(AND($A23&lt;&gt;AE$1,feasible_mat!AE23=1),(VLOOKUP(AE$1,test!$A$3:$I$32,8,FALSE))-(VLOOKUP($A23,test!$A$3:$I$32,9,FALSE))-50,0))</f>
        <v>0</v>
      </c>
      <c r="AF23">
        <f>IF(SUM(VLOOKUP($A23,test!$A$3:$F$32,2,FALSE),VLOOKUP(AF$1,test!$A$3:$F$32,2,FALSE))&lt;=test!$K$16,IF(AND($A23&lt;&gt;AF$1,feasible_mat!AF23=1),(VLOOKUP(AF$1,test!$A$3:$I$32,8,FALSE))-(VLOOKUP($A23,test!$A$3:$I$32,9,FALSE)),0),IF(AND($A23&lt;&gt;AF$1,feasible_mat!AF23=1),(VLOOKUP(AF$1,test!$A$3:$I$32,8,FALSE))-(VLOOKUP($A23,test!$A$3:$I$32,9,FALSE))-50,0))</f>
        <v>0</v>
      </c>
    </row>
    <row r="24" spans="1:36" x14ac:dyDescent="0.25">
      <c r="A24" t="s">
        <v>33</v>
      </c>
      <c r="B24">
        <v>0</v>
      </c>
      <c r="C24">
        <f>IF(SUM(VLOOKUP($A24,test!$A$3:$F$32,2,FALSE),VLOOKUP(C$1,test!$A$3:$F$32,2,FALSE))&lt;=test!$K$16,IF(AND($A24&lt;&gt;C$1,feasible_mat!C24=1),(VLOOKUP(C$1,test!$A$3:$I$32,8,FALSE))-(VLOOKUP($A24,test!$A$3:$I$32,9,FALSE)),0),IF(AND($A24&lt;&gt;C$1,feasible_mat!C24=1),(VLOOKUP(C$1,test!$A$3:$I$32,8,FALSE))-(VLOOKUP($A24,test!$A$3:$I$32,9,FALSE))-50,0))</f>
        <v>0</v>
      </c>
      <c r="D24">
        <f>IF(SUM(VLOOKUP($A24,test!$A$3:$F$32,2,FALSE),VLOOKUP(D$1,test!$A$3:$F$32,2,FALSE))&lt;=test!$K$16,IF(AND($A24&lt;&gt;D$1,feasible_mat!D24=1),(VLOOKUP(D$1,test!$A$3:$I$32,8,FALSE))-(VLOOKUP($A24,test!$A$3:$I$32,9,FALSE)),0),IF(AND($A24&lt;&gt;D$1,feasible_mat!D24=1),(VLOOKUP(D$1,test!$A$3:$I$32,8,FALSE))-(VLOOKUP($A24,test!$A$3:$I$32,9,FALSE))-50,0))</f>
        <v>0</v>
      </c>
      <c r="E24">
        <f>IF(SUM(VLOOKUP($A24,test!$A$3:$F$32,2,FALSE),VLOOKUP(E$1,test!$A$3:$F$32,2,FALSE))&lt;=test!$K$16,IF(AND($A24&lt;&gt;E$1,feasible_mat!E24=1),(VLOOKUP(E$1,test!$A$3:$I$32,8,FALSE))-(VLOOKUP($A24,test!$A$3:$I$32,9,FALSE)),0),IF(AND($A24&lt;&gt;E$1,feasible_mat!E24=1),(VLOOKUP(E$1,test!$A$3:$I$32,8,FALSE))-(VLOOKUP($A24,test!$A$3:$I$32,9,FALSE))-50,0))</f>
        <v>0</v>
      </c>
      <c r="F24">
        <f>IF(SUM(VLOOKUP($A24,test!$A$3:$F$32,2,FALSE),VLOOKUP(F$1,test!$A$3:$F$32,2,FALSE))&lt;=test!$K$16,IF(AND($A24&lt;&gt;F$1,feasible_mat!F24=1),(VLOOKUP(F$1,test!$A$3:$I$32,8,FALSE))-(VLOOKUP($A24,test!$A$3:$I$32,9,FALSE)),0),IF(AND($A24&lt;&gt;F$1,feasible_mat!F24=1),(VLOOKUP(F$1,test!$A$3:$I$32,8,FALSE))-(VLOOKUP($A24,test!$A$3:$I$32,9,FALSE))-50,0))</f>
        <v>0</v>
      </c>
      <c r="G24">
        <f>IF(SUM(VLOOKUP($A24,test!$A$3:$F$32,2,FALSE),VLOOKUP(G$1,test!$A$3:$F$32,2,FALSE))&lt;=test!$K$16,IF(AND($A24&lt;&gt;G$1,feasible_mat!G24=1),(VLOOKUP(G$1,test!$A$3:$I$32,8,FALSE))-(VLOOKUP($A24,test!$A$3:$I$32,9,FALSE)),0),IF(AND($A24&lt;&gt;G$1,feasible_mat!G24=1),(VLOOKUP(G$1,test!$A$3:$I$32,8,FALSE))-(VLOOKUP($A24,test!$A$3:$I$32,9,FALSE))-50,0))</f>
        <v>0</v>
      </c>
      <c r="H24">
        <f>IF(SUM(VLOOKUP($A24,test!$A$3:$F$32,2,FALSE),VLOOKUP(H$1,test!$A$3:$F$32,2,FALSE))&lt;=test!$K$16,IF(AND($A24&lt;&gt;H$1,feasible_mat!H24=1),(VLOOKUP(H$1,test!$A$3:$I$32,8,FALSE))-(VLOOKUP($A24,test!$A$3:$I$32,9,FALSE)),0),IF(AND($A24&lt;&gt;H$1,feasible_mat!H24=1),(VLOOKUP(H$1,test!$A$3:$I$32,8,FALSE))-(VLOOKUP($A24,test!$A$3:$I$32,9,FALSE))-50,0))</f>
        <v>0</v>
      </c>
      <c r="I24">
        <f>IF(SUM(VLOOKUP($A24,test!$A$3:$F$32,2,FALSE),VLOOKUP(I$1,test!$A$3:$F$32,2,FALSE))&lt;=test!$K$16,IF(AND($A24&lt;&gt;I$1,feasible_mat!I24=1),(VLOOKUP(I$1,test!$A$3:$I$32,8,FALSE))-(VLOOKUP($A24,test!$A$3:$I$32,9,FALSE)),0),IF(AND($A24&lt;&gt;I$1,feasible_mat!I24=1),(VLOOKUP(I$1,test!$A$3:$I$32,8,FALSE))-(VLOOKUP($A24,test!$A$3:$I$32,9,FALSE))-50,0))</f>
        <v>0</v>
      </c>
      <c r="J24">
        <f>IF(SUM(VLOOKUP($A24,test!$A$3:$F$32,2,FALSE),VLOOKUP(J$1,test!$A$3:$F$32,2,FALSE))&lt;=test!$K$16,IF(AND($A24&lt;&gt;J$1,feasible_mat!J24=1),(VLOOKUP(J$1,test!$A$3:$I$32,8,FALSE))-(VLOOKUP($A24,test!$A$3:$I$32,9,FALSE)),0),IF(AND($A24&lt;&gt;J$1,feasible_mat!J24=1),(VLOOKUP(J$1,test!$A$3:$I$32,8,FALSE))-(VLOOKUP($A24,test!$A$3:$I$32,9,FALSE))-50,0))</f>
        <v>0</v>
      </c>
      <c r="K24">
        <f>IF(SUM(VLOOKUP($A24,test!$A$3:$F$32,2,FALSE),VLOOKUP(K$1,test!$A$3:$F$32,2,FALSE))&lt;=test!$K$16,IF(AND($A24&lt;&gt;K$1,feasible_mat!K24=1),(VLOOKUP(K$1,test!$A$3:$I$32,8,FALSE))-(VLOOKUP($A24,test!$A$3:$I$32,9,FALSE)),0),IF(AND($A24&lt;&gt;K$1,feasible_mat!K24=1),(VLOOKUP(K$1,test!$A$3:$I$32,8,FALSE))-(VLOOKUP($A24,test!$A$3:$I$32,9,FALSE))-50,0))</f>
        <v>0</v>
      </c>
      <c r="L24">
        <f>IF(SUM(VLOOKUP($A24,test!$A$3:$F$32,2,FALSE),VLOOKUP(L$1,test!$A$3:$F$32,2,FALSE))&lt;=test!$K$16,IF(AND($A24&lt;&gt;L$1,feasible_mat!L24=1),(VLOOKUP(L$1,test!$A$3:$I$32,8,FALSE))-(VLOOKUP($A24,test!$A$3:$I$32,9,FALSE)),0),IF(AND($A24&lt;&gt;L$1,feasible_mat!L24=1),(VLOOKUP(L$1,test!$A$3:$I$32,8,FALSE))-(VLOOKUP($A24,test!$A$3:$I$32,9,FALSE))-50,0))</f>
        <v>0</v>
      </c>
      <c r="M24">
        <f>IF(SUM(VLOOKUP($A24,test!$A$3:$F$32,2,FALSE),VLOOKUP(M$1,test!$A$3:$F$32,2,FALSE))&lt;=test!$K$16,IF(AND($A24&lt;&gt;M$1,feasible_mat!M24=1),(VLOOKUP(M$1,test!$A$3:$I$32,8,FALSE))-(VLOOKUP($A24,test!$A$3:$I$32,9,FALSE)),0),IF(AND($A24&lt;&gt;M$1,feasible_mat!M24=1),(VLOOKUP(M$1,test!$A$3:$I$32,8,FALSE))-(VLOOKUP($A24,test!$A$3:$I$32,9,FALSE))-50,0))</f>
        <v>0</v>
      </c>
      <c r="N24">
        <f>IF(SUM(VLOOKUP($A24,test!$A$3:$F$32,2,FALSE),VLOOKUP(N$1,test!$A$3:$F$32,2,FALSE))&lt;=test!$K$16,IF(AND($A24&lt;&gt;N$1,feasible_mat!N24=1),(VLOOKUP(N$1,test!$A$3:$I$32,8,FALSE))-(VLOOKUP($A24,test!$A$3:$I$32,9,FALSE)),0),IF(AND($A24&lt;&gt;N$1,feasible_mat!N24=1),(VLOOKUP(N$1,test!$A$3:$I$32,8,FALSE))-(VLOOKUP($A24,test!$A$3:$I$32,9,FALSE))-50,0))</f>
        <v>0</v>
      </c>
      <c r="O24">
        <f>IF(SUM(VLOOKUP($A24,test!$A$3:$F$32,2,FALSE),VLOOKUP(O$1,test!$A$3:$F$32,2,FALSE))&lt;=test!$K$16,IF(AND($A24&lt;&gt;O$1,feasible_mat!O24=1),(VLOOKUP(O$1,test!$A$3:$I$32,8,FALSE))-(VLOOKUP($A24,test!$A$3:$I$32,9,FALSE)),0),IF(AND($A24&lt;&gt;O$1,feasible_mat!O24=1),(VLOOKUP(O$1,test!$A$3:$I$32,8,FALSE))-(VLOOKUP($A24,test!$A$3:$I$32,9,FALSE))-50,0))</f>
        <v>0</v>
      </c>
      <c r="P24">
        <f>IF(SUM(VLOOKUP($A24,test!$A$3:$F$32,2,FALSE),VLOOKUP(P$1,test!$A$3:$F$32,2,FALSE))&lt;=test!$K$16,IF(AND($A24&lt;&gt;P$1,feasible_mat!P24=1),(VLOOKUP(P$1,test!$A$3:$I$32,8,FALSE))-(VLOOKUP($A24,test!$A$3:$I$32,9,FALSE)),0),IF(AND($A24&lt;&gt;P$1,feasible_mat!P24=1),(VLOOKUP(P$1,test!$A$3:$I$32,8,FALSE))-(VLOOKUP($A24,test!$A$3:$I$32,9,FALSE))-50,0))</f>
        <v>0</v>
      </c>
      <c r="Q24">
        <f>IF(SUM(VLOOKUP($A24,test!$A$3:$F$32,2,FALSE),VLOOKUP(Q$1,test!$A$3:$F$32,2,FALSE))&lt;=test!$K$16,IF(AND($A24&lt;&gt;Q$1,feasible_mat!Q24=1),(VLOOKUP(Q$1,test!$A$3:$I$32,8,FALSE))-(VLOOKUP($A24,test!$A$3:$I$32,9,FALSE)),0),IF(AND($A24&lt;&gt;Q$1,feasible_mat!Q24=1),(VLOOKUP(Q$1,test!$A$3:$I$32,8,FALSE))-(VLOOKUP($A24,test!$A$3:$I$32,9,FALSE))-50,0))</f>
        <v>0</v>
      </c>
      <c r="R24">
        <f>IF(SUM(VLOOKUP($A24,test!$A$3:$F$32,2,FALSE),VLOOKUP(R$1,test!$A$3:$F$32,2,FALSE))&lt;=test!$K$16,IF(AND($A24&lt;&gt;R$1,feasible_mat!R24=1),(VLOOKUP(R$1,test!$A$3:$I$32,8,FALSE))-(VLOOKUP($A24,test!$A$3:$I$32,9,FALSE)),0),IF(AND($A24&lt;&gt;R$1,feasible_mat!R24=1),(VLOOKUP(R$1,test!$A$3:$I$32,8,FALSE))-(VLOOKUP($A24,test!$A$3:$I$32,9,FALSE))-50,0))</f>
        <v>0</v>
      </c>
      <c r="S24">
        <f>IF(SUM(VLOOKUP($A24,test!$A$3:$F$32,2,FALSE),VLOOKUP(S$1,test!$A$3:$F$32,2,FALSE))&lt;=test!$K$16,IF(AND($A24&lt;&gt;S$1,feasible_mat!S24=1),(VLOOKUP(S$1,test!$A$3:$I$32,8,FALSE))-(VLOOKUP($A24,test!$A$3:$I$32,9,FALSE)),0),IF(AND($A24&lt;&gt;S$1,feasible_mat!S24=1),(VLOOKUP(S$1,test!$A$3:$I$32,8,FALSE))-(VLOOKUP($A24,test!$A$3:$I$32,9,FALSE))-50,0))</f>
        <v>0</v>
      </c>
      <c r="T24">
        <f>IF(SUM(VLOOKUP($A24,test!$A$3:$F$32,2,FALSE),VLOOKUP(T$1,test!$A$3:$F$32,2,FALSE))&lt;=test!$K$16,IF(AND($A24&lt;&gt;T$1,feasible_mat!T24=1),(VLOOKUP(T$1,test!$A$3:$I$32,8,FALSE))-(VLOOKUP($A24,test!$A$3:$I$32,9,FALSE)),0),IF(AND($A24&lt;&gt;T$1,feasible_mat!T24=1),(VLOOKUP(T$1,test!$A$3:$I$32,8,FALSE))-(VLOOKUP($A24,test!$A$3:$I$32,9,FALSE))-50,0))</f>
        <v>0</v>
      </c>
      <c r="U24">
        <f>IF(SUM(VLOOKUP($A24,test!$A$3:$F$32,2,FALSE),VLOOKUP(U$1,test!$A$3:$F$32,2,FALSE))&lt;=test!$K$16,IF(AND($A24&lt;&gt;U$1,feasible_mat!U24=1),(VLOOKUP(U$1,test!$A$3:$I$32,8,FALSE))-(VLOOKUP($A24,test!$A$3:$I$32,9,FALSE)),0),IF(AND($A24&lt;&gt;U$1,feasible_mat!U24=1),(VLOOKUP(U$1,test!$A$3:$I$32,8,FALSE))-(VLOOKUP($A24,test!$A$3:$I$32,9,FALSE))-50,0))</f>
        <v>0</v>
      </c>
      <c r="V24">
        <f>IF(SUM(VLOOKUP($A24,test!$A$3:$F$32,2,FALSE),VLOOKUP(V$1,test!$A$3:$F$32,2,FALSE))&lt;=test!$K$16,IF(AND($A24&lt;&gt;V$1,feasible_mat!V24=1),(VLOOKUP(V$1,test!$A$3:$I$32,8,FALSE))-(VLOOKUP($A24,test!$A$3:$I$32,9,FALSE)),0),IF(AND($A24&lt;&gt;V$1,feasible_mat!V24=1),(VLOOKUP(V$1,test!$A$3:$I$32,8,FALSE))-(VLOOKUP($A24,test!$A$3:$I$32,9,FALSE))-50,0))</f>
        <v>0</v>
      </c>
      <c r="W24">
        <f>IF(SUM(VLOOKUP($A24,test!$A$3:$F$32,2,FALSE),VLOOKUP(W$1,test!$A$3:$F$32,2,FALSE))&lt;=test!$K$16,IF(AND($A24&lt;&gt;W$1,feasible_mat!W24=1),(VLOOKUP(W$1,test!$A$3:$I$32,8,FALSE))-(VLOOKUP($A24,test!$A$3:$I$32,9,FALSE)),0),IF(AND($A24&lt;&gt;W$1,feasible_mat!W24=1),(VLOOKUP(W$1,test!$A$3:$I$32,8,FALSE))-(VLOOKUP($A24,test!$A$3:$I$32,9,FALSE))-50,0))</f>
        <v>0</v>
      </c>
      <c r="X24">
        <f>IF(SUM(VLOOKUP($A24,test!$A$3:$F$32,2,FALSE),VLOOKUP(X$1,test!$A$3:$F$32,2,FALSE))&lt;=test!$K$16,IF(AND($A24&lt;&gt;X$1,feasible_mat!X24=1),(VLOOKUP(X$1,test!$A$3:$I$32,8,FALSE))-(VLOOKUP($A24,test!$A$3:$I$32,9,FALSE)),0),IF(AND($A24&lt;&gt;X$1,feasible_mat!X24=1),(VLOOKUP(X$1,test!$A$3:$I$32,8,FALSE))-(VLOOKUP($A24,test!$A$3:$I$32,9,FALSE))-50,0))</f>
        <v>0</v>
      </c>
      <c r="Y24">
        <f>IF(SUM(VLOOKUP($A24,test!$A$3:$F$32,2,FALSE),VLOOKUP(Y$1,test!$A$3:$F$32,2,FALSE))&lt;=test!$K$16,IF(AND($A24&lt;&gt;Y$1,feasible_mat!Y24=1),(VLOOKUP(Y$1,test!$A$3:$I$32,8,FALSE))-(VLOOKUP($A24,test!$A$3:$I$32,9,FALSE)),0),IF(AND($A24&lt;&gt;Y$1,feasible_mat!Y24=1),(VLOOKUP(Y$1,test!$A$3:$I$32,8,FALSE))-(VLOOKUP($A24,test!$A$3:$I$32,9,FALSE))-50,0))</f>
        <v>0</v>
      </c>
      <c r="Z24">
        <f>IF(SUM(VLOOKUP($A24,test!$A$3:$F$32,2,FALSE),VLOOKUP(Z$1,test!$A$3:$F$32,2,FALSE))&lt;=test!$K$16,IF(AND($A24&lt;&gt;Z$1,feasible_mat!Z24=1),(VLOOKUP(Z$1,test!$A$3:$I$32,8,FALSE))-(VLOOKUP($A24,test!$A$3:$I$32,9,FALSE)),0),IF(AND($A24&lt;&gt;Z$1,feasible_mat!Z24=1),(VLOOKUP(Z$1,test!$A$3:$I$32,8,FALSE))-(VLOOKUP($A24,test!$A$3:$I$32,9,FALSE))-50,0))</f>
        <v>0</v>
      </c>
      <c r="AA24">
        <f>IF(SUM(VLOOKUP($A24,test!$A$3:$F$32,2,FALSE),VLOOKUP(AA$1,test!$A$3:$F$32,2,FALSE))&lt;=test!$K$16,IF(AND($A24&lt;&gt;AA$1,feasible_mat!AA24=1),(VLOOKUP(AA$1,test!$A$3:$I$32,8,FALSE))-(VLOOKUP($A24,test!$A$3:$I$32,9,FALSE)),0),IF(AND($A24&lt;&gt;AA$1,feasible_mat!AA24=1),(VLOOKUP(AA$1,test!$A$3:$I$32,8,FALSE))-(VLOOKUP($A24,test!$A$3:$I$32,9,FALSE))-50,0))</f>
        <v>0</v>
      </c>
      <c r="AB24">
        <f>IF(SUM(VLOOKUP($A24,test!$A$3:$F$32,2,FALSE),VLOOKUP(AB$1,test!$A$3:$F$32,2,FALSE))&lt;=test!$K$16,IF(AND($A24&lt;&gt;AB$1,feasible_mat!AB24=1),(VLOOKUP(AB$1,test!$A$3:$I$32,8,FALSE))-(VLOOKUP($A24,test!$A$3:$I$32,9,FALSE)),0),IF(AND($A24&lt;&gt;AB$1,feasible_mat!AB24=1),(VLOOKUP(AB$1,test!$A$3:$I$32,8,FALSE))-(VLOOKUP($A24,test!$A$3:$I$32,9,FALSE))-50,0))</f>
        <v>0</v>
      </c>
      <c r="AC24">
        <f>IF(SUM(VLOOKUP($A24,test!$A$3:$F$32,2,FALSE),VLOOKUP(AC$1,test!$A$3:$F$32,2,FALSE))&lt;=test!$K$16,IF(AND($A24&lt;&gt;AC$1,feasible_mat!AC24=1),(VLOOKUP(AC$1,test!$A$3:$I$32,8,FALSE))-(VLOOKUP($A24,test!$A$3:$I$32,9,FALSE)),0),IF(AND($A24&lt;&gt;AC$1,feasible_mat!AC24=1),(VLOOKUP(AC$1,test!$A$3:$I$32,8,FALSE))-(VLOOKUP($A24,test!$A$3:$I$32,9,FALSE))-50,0))</f>
        <v>0</v>
      </c>
      <c r="AD24">
        <f>IF(SUM(VLOOKUP($A24,test!$A$3:$F$32,2,FALSE),VLOOKUP(AD$1,test!$A$3:$F$32,2,FALSE))&lt;=test!$K$16,IF(AND($A24&lt;&gt;AD$1,feasible_mat!AD24=1),(VLOOKUP(AD$1,test!$A$3:$I$32,8,FALSE))-(VLOOKUP($A24,test!$A$3:$I$32,9,FALSE)),0),IF(AND($A24&lt;&gt;AD$1,feasible_mat!AD24=1),(VLOOKUP(AD$1,test!$A$3:$I$32,8,FALSE))-(VLOOKUP($A24,test!$A$3:$I$32,9,FALSE))-50,0))</f>
        <v>0</v>
      </c>
      <c r="AE24">
        <f>IF(SUM(VLOOKUP($A24,test!$A$3:$F$32,2,FALSE),VLOOKUP(AE$1,test!$A$3:$F$32,2,FALSE))&lt;=test!$K$16,IF(AND($A24&lt;&gt;AE$1,feasible_mat!AE24=1),(VLOOKUP(AE$1,test!$A$3:$I$32,8,FALSE))-(VLOOKUP($A24,test!$A$3:$I$32,9,FALSE)),0),IF(AND($A24&lt;&gt;AE$1,feasible_mat!AE24=1),(VLOOKUP(AE$1,test!$A$3:$I$32,8,FALSE))-(VLOOKUP($A24,test!$A$3:$I$32,9,FALSE))-50,0))</f>
        <v>0</v>
      </c>
      <c r="AF24">
        <f>IF(SUM(VLOOKUP($A24,test!$A$3:$F$32,2,FALSE),VLOOKUP(AF$1,test!$A$3:$F$32,2,FALSE))&lt;=test!$K$16,IF(AND($A24&lt;&gt;AF$1,feasible_mat!AF24=1),(VLOOKUP(AF$1,test!$A$3:$I$32,8,FALSE))-(VLOOKUP($A24,test!$A$3:$I$32,9,FALSE)),0),IF(AND($A24&lt;&gt;AF$1,feasible_mat!AF24=1),(VLOOKUP(AF$1,test!$A$3:$I$32,8,FALSE))-(VLOOKUP($A24,test!$A$3:$I$32,9,FALSE))-50,0))</f>
        <v>0</v>
      </c>
    </row>
    <row r="25" spans="1:36" x14ac:dyDescent="0.25">
      <c r="A25" t="s">
        <v>34</v>
      </c>
      <c r="B25">
        <v>0</v>
      </c>
      <c r="C25">
        <f>IF(SUM(VLOOKUP($A25,test!$A$3:$F$32,2,FALSE),VLOOKUP(C$1,test!$A$3:$F$32,2,FALSE))&lt;=test!$K$16,IF(AND($A25&lt;&gt;C$1,feasible_mat!C25=1),(VLOOKUP(C$1,test!$A$3:$I$32,8,FALSE))-(VLOOKUP($A25,test!$A$3:$I$32,9,FALSE)),0),IF(AND($A25&lt;&gt;C$1,feasible_mat!C25=1),(VLOOKUP(C$1,test!$A$3:$I$32,8,FALSE))-(VLOOKUP($A25,test!$A$3:$I$32,9,FALSE))-50,0))</f>
        <v>0</v>
      </c>
      <c r="D25">
        <f>IF(SUM(VLOOKUP($A25,test!$A$3:$F$32,2,FALSE),VLOOKUP(D$1,test!$A$3:$F$32,2,FALSE))&lt;=test!$K$16,IF(AND($A25&lt;&gt;D$1,feasible_mat!D25=1),(VLOOKUP(D$1,test!$A$3:$I$32,8,FALSE))-(VLOOKUP($A25,test!$A$3:$I$32,9,FALSE)),0),IF(AND($A25&lt;&gt;D$1,feasible_mat!D25=1),(VLOOKUP(D$1,test!$A$3:$I$32,8,FALSE))-(VLOOKUP($A25,test!$A$3:$I$32,9,FALSE))-50,0))</f>
        <v>30</v>
      </c>
      <c r="E25">
        <f>IF(SUM(VLOOKUP($A25,test!$A$3:$F$32,2,FALSE),VLOOKUP(E$1,test!$A$3:$F$32,2,FALSE))&lt;=test!$K$16,IF(AND($A25&lt;&gt;E$1,feasible_mat!E25=1),(VLOOKUP(E$1,test!$A$3:$I$32,8,FALSE))-(VLOOKUP($A25,test!$A$3:$I$32,9,FALSE)),0),IF(AND($A25&lt;&gt;E$1,feasible_mat!E25=1),(VLOOKUP(E$1,test!$A$3:$I$32,8,FALSE))-(VLOOKUP($A25,test!$A$3:$I$32,9,FALSE))-50,0))</f>
        <v>120</v>
      </c>
      <c r="F25">
        <f>IF(SUM(VLOOKUP($A25,test!$A$3:$F$32,2,FALSE),VLOOKUP(F$1,test!$A$3:$F$32,2,FALSE))&lt;=test!$K$16,IF(AND($A25&lt;&gt;F$1,feasible_mat!F25=1),(VLOOKUP(F$1,test!$A$3:$I$32,8,FALSE))-(VLOOKUP($A25,test!$A$3:$I$32,9,FALSE)),0),IF(AND($A25&lt;&gt;F$1,feasible_mat!F25=1),(VLOOKUP(F$1,test!$A$3:$I$32,8,FALSE))-(VLOOKUP($A25,test!$A$3:$I$32,9,FALSE))-50,0))</f>
        <v>210</v>
      </c>
      <c r="G25">
        <f>IF(SUM(VLOOKUP($A25,test!$A$3:$F$32,2,FALSE),VLOOKUP(G$1,test!$A$3:$F$32,2,FALSE))&lt;=test!$K$16,IF(AND($A25&lt;&gt;G$1,feasible_mat!G25=1),(VLOOKUP(G$1,test!$A$3:$I$32,8,FALSE))-(VLOOKUP($A25,test!$A$3:$I$32,9,FALSE)),0),IF(AND($A25&lt;&gt;G$1,feasible_mat!G25=1),(VLOOKUP(G$1,test!$A$3:$I$32,8,FALSE))-(VLOOKUP($A25,test!$A$3:$I$32,9,FALSE))-50,0))</f>
        <v>270</v>
      </c>
      <c r="H25">
        <f>IF(SUM(VLOOKUP($A25,test!$A$3:$F$32,2,FALSE),VLOOKUP(H$1,test!$A$3:$F$32,2,FALSE))&lt;=test!$K$16,IF(AND($A25&lt;&gt;H$1,feasible_mat!H25=1),(VLOOKUP(H$1,test!$A$3:$I$32,8,FALSE))-(VLOOKUP($A25,test!$A$3:$I$32,9,FALSE)),0),IF(AND($A25&lt;&gt;H$1,feasible_mat!H25=1),(VLOOKUP(H$1,test!$A$3:$I$32,8,FALSE))-(VLOOKUP($A25,test!$A$3:$I$32,9,FALSE))-50,0))</f>
        <v>330</v>
      </c>
      <c r="I25">
        <f>IF(SUM(VLOOKUP($A25,test!$A$3:$F$32,2,FALSE),VLOOKUP(I$1,test!$A$3:$F$32,2,FALSE))&lt;=test!$K$16,IF(AND($A25&lt;&gt;I$1,feasible_mat!I25=1),(VLOOKUP(I$1,test!$A$3:$I$32,8,FALSE))-(VLOOKUP($A25,test!$A$3:$I$32,9,FALSE)),0),IF(AND($A25&lt;&gt;I$1,feasible_mat!I25=1),(VLOOKUP(I$1,test!$A$3:$I$32,8,FALSE))-(VLOOKUP($A25,test!$A$3:$I$32,9,FALSE))-50,0))</f>
        <v>390</v>
      </c>
      <c r="J25">
        <f>IF(SUM(VLOOKUP($A25,test!$A$3:$F$32,2,FALSE),VLOOKUP(J$1,test!$A$3:$F$32,2,FALSE))&lt;=test!$K$16,IF(AND($A25&lt;&gt;J$1,feasible_mat!J25=1),(VLOOKUP(J$1,test!$A$3:$I$32,8,FALSE))-(VLOOKUP($A25,test!$A$3:$I$32,9,FALSE)),0),IF(AND($A25&lt;&gt;J$1,feasible_mat!J25=1),(VLOOKUP(J$1,test!$A$3:$I$32,8,FALSE))-(VLOOKUP($A25,test!$A$3:$I$32,9,FALSE))-50,0))</f>
        <v>480</v>
      </c>
      <c r="K25">
        <f>IF(SUM(VLOOKUP($A25,test!$A$3:$F$32,2,FALSE),VLOOKUP(K$1,test!$A$3:$F$32,2,FALSE))&lt;=test!$K$16,IF(AND($A25&lt;&gt;K$1,feasible_mat!K25=1),(VLOOKUP(K$1,test!$A$3:$I$32,8,FALSE))-(VLOOKUP($A25,test!$A$3:$I$32,9,FALSE)),0),IF(AND($A25&lt;&gt;K$1,feasible_mat!K25=1),(VLOOKUP(K$1,test!$A$3:$I$32,8,FALSE))-(VLOOKUP($A25,test!$A$3:$I$32,9,FALSE))-50,0))</f>
        <v>0</v>
      </c>
      <c r="L25">
        <f>IF(SUM(VLOOKUP($A25,test!$A$3:$F$32,2,FALSE),VLOOKUP(L$1,test!$A$3:$F$32,2,FALSE))&lt;=test!$K$16,IF(AND($A25&lt;&gt;L$1,feasible_mat!L25=1),(VLOOKUP(L$1,test!$A$3:$I$32,8,FALSE))-(VLOOKUP($A25,test!$A$3:$I$32,9,FALSE)),0),IF(AND($A25&lt;&gt;L$1,feasible_mat!L25=1),(VLOOKUP(L$1,test!$A$3:$I$32,8,FALSE))-(VLOOKUP($A25,test!$A$3:$I$32,9,FALSE))-50,0))</f>
        <v>0</v>
      </c>
      <c r="M25">
        <f>IF(SUM(VLOOKUP($A25,test!$A$3:$F$32,2,FALSE),VLOOKUP(M$1,test!$A$3:$F$32,2,FALSE))&lt;=test!$K$16,IF(AND($A25&lt;&gt;M$1,feasible_mat!M25=1),(VLOOKUP(M$1,test!$A$3:$I$32,8,FALSE))-(VLOOKUP($A25,test!$A$3:$I$32,9,FALSE)),0),IF(AND($A25&lt;&gt;M$1,feasible_mat!M25=1),(VLOOKUP(M$1,test!$A$3:$I$32,8,FALSE))-(VLOOKUP($A25,test!$A$3:$I$32,9,FALSE))-50,0))</f>
        <v>85</v>
      </c>
      <c r="N25">
        <f>IF(SUM(VLOOKUP($A25,test!$A$3:$F$32,2,FALSE),VLOOKUP(N$1,test!$A$3:$F$32,2,FALSE))&lt;=test!$K$16,IF(AND($A25&lt;&gt;N$1,feasible_mat!N25=1),(VLOOKUP(N$1,test!$A$3:$I$32,8,FALSE))-(VLOOKUP($A25,test!$A$3:$I$32,9,FALSE)),0),IF(AND($A25&lt;&gt;N$1,feasible_mat!N25=1),(VLOOKUP(N$1,test!$A$3:$I$32,8,FALSE))-(VLOOKUP($A25,test!$A$3:$I$32,9,FALSE))-50,0))</f>
        <v>445</v>
      </c>
      <c r="O25">
        <f>IF(SUM(VLOOKUP($A25,test!$A$3:$F$32,2,FALSE),VLOOKUP(O$1,test!$A$3:$F$32,2,FALSE))&lt;=test!$K$16,IF(AND($A25&lt;&gt;O$1,feasible_mat!O25=1),(VLOOKUP(O$1,test!$A$3:$I$32,8,FALSE))-(VLOOKUP($A25,test!$A$3:$I$32,9,FALSE)),0),IF(AND($A25&lt;&gt;O$1,feasible_mat!O25=1),(VLOOKUP(O$1,test!$A$3:$I$32,8,FALSE))-(VLOOKUP($A25,test!$A$3:$I$32,9,FALSE))-50,0))</f>
        <v>505</v>
      </c>
      <c r="P25">
        <f>IF(SUM(VLOOKUP($A25,test!$A$3:$F$32,2,FALSE),VLOOKUP(P$1,test!$A$3:$F$32,2,FALSE))&lt;=test!$K$16,IF(AND($A25&lt;&gt;P$1,feasible_mat!P25=1),(VLOOKUP(P$1,test!$A$3:$I$32,8,FALSE))-(VLOOKUP($A25,test!$A$3:$I$32,9,FALSE)),0),IF(AND($A25&lt;&gt;P$1,feasible_mat!P25=1),(VLOOKUP(P$1,test!$A$3:$I$32,8,FALSE))-(VLOOKUP($A25,test!$A$3:$I$32,9,FALSE))-50,0))</f>
        <v>0</v>
      </c>
      <c r="Q25">
        <f>IF(SUM(VLOOKUP($A25,test!$A$3:$F$32,2,FALSE),VLOOKUP(Q$1,test!$A$3:$F$32,2,FALSE))&lt;=test!$K$16,IF(AND($A25&lt;&gt;Q$1,feasible_mat!Q25=1),(VLOOKUP(Q$1,test!$A$3:$I$32,8,FALSE))-(VLOOKUP($A25,test!$A$3:$I$32,9,FALSE)),0),IF(AND($A25&lt;&gt;Q$1,feasible_mat!Q25=1),(VLOOKUP(Q$1,test!$A$3:$I$32,8,FALSE))-(VLOOKUP($A25,test!$A$3:$I$32,9,FALSE))-50,0))</f>
        <v>0</v>
      </c>
      <c r="R25">
        <f>IF(SUM(VLOOKUP($A25,test!$A$3:$F$32,2,FALSE),VLOOKUP(R$1,test!$A$3:$F$32,2,FALSE))&lt;=test!$K$16,IF(AND($A25&lt;&gt;R$1,feasible_mat!R25=1),(VLOOKUP(R$1,test!$A$3:$I$32,8,FALSE))-(VLOOKUP($A25,test!$A$3:$I$32,9,FALSE)),0),IF(AND($A25&lt;&gt;R$1,feasible_mat!R25=1),(VLOOKUP(R$1,test!$A$3:$I$32,8,FALSE))-(VLOOKUP($A25,test!$A$3:$I$32,9,FALSE))-50,0))</f>
        <v>0</v>
      </c>
      <c r="S25">
        <f>IF(SUM(VLOOKUP($A25,test!$A$3:$F$32,2,FALSE),VLOOKUP(S$1,test!$A$3:$F$32,2,FALSE))&lt;=test!$K$16,IF(AND($A25&lt;&gt;S$1,feasible_mat!S25=1),(VLOOKUP(S$1,test!$A$3:$I$32,8,FALSE))-(VLOOKUP($A25,test!$A$3:$I$32,9,FALSE)),0),IF(AND($A25&lt;&gt;S$1,feasible_mat!S25=1),(VLOOKUP(S$1,test!$A$3:$I$32,8,FALSE))-(VLOOKUP($A25,test!$A$3:$I$32,9,FALSE))-50,0))</f>
        <v>0</v>
      </c>
      <c r="T25">
        <f>IF(SUM(VLOOKUP($A25,test!$A$3:$F$32,2,FALSE),VLOOKUP(T$1,test!$A$3:$F$32,2,FALSE))&lt;=test!$K$16,IF(AND($A25&lt;&gt;T$1,feasible_mat!T25=1),(VLOOKUP(T$1,test!$A$3:$I$32,8,FALSE))-(VLOOKUP($A25,test!$A$3:$I$32,9,FALSE)),0),IF(AND($A25&lt;&gt;T$1,feasible_mat!T25=1),(VLOOKUP(T$1,test!$A$3:$I$32,8,FALSE))-(VLOOKUP($A25,test!$A$3:$I$32,9,FALSE))-50,0))</f>
        <v>100</v>
      </c>
      <c r="U25">
        <f>IF(SUM(VLOOKUP($A25,test!$A$3:$F$32,2,FALSE),VLOOKUP(U$1,test!$A$3:$F$32,2,FALSE))&lt;=test!$K$16,IF(AND($A25&lt;&gt;U$1,feasible_mat!U25=1),(VLOOKUP(U$1,test!$A$3:$I$32,8,FALSE))-(VLOOKUP($A25,test!$A$3:$I$32,9,FALSE)),0),IF(AND($A25&lt;&gt;U$1,feasible_mat!U25=1),(VLOOKUP(U$1,test!$A$3:$I$32,8,FALSE))-(VLOOKUP($A25,test!$A$3:$I$32,9,FALSE))-50,0))</f>
        <v>190</v>
      </c>
      <c r="V25">
        <f>IF(SUM(VLOOKUP($A25,test!$A$3:$F$32,2,FALSE),VLOOKUP(V$1,test!$A$3:$F$32,2,FALSE))&lt;=test!$K$16,IF(AND($A25&lt;&gt;V$1,feasible_mat!V25=1),(VLOOKUP(V$1,test!$A$3:$I$32,8,FALSE))-(VLOOKUP($A25,test!$A$3:$I$32,9,FALSE)),0),IF(AND($A25&lt;&gt;V$1,feasible_mat!V25=1),(VLOOKUP(V$1,test!$A$3:$I$32,8,FALSE))-(VLOOKUP($A25,test!$A$3:$I$32,9,FALSE))-50,0))</f>
        <v>280</v>
      </c>
      <c r="W25">
        <f>IF(SUM(VLOOKUP($A25,test!$A$3:$F$32,2,FALSE),VLOOKUP(W$1,test!$A$3:$F$32,2,FALSE))&lt;=test!$K$16,IF(AND($A25&lt;&gt;W$1,feasible_mat!W25=1),(VLOOKUP(W$1,test!$A$3:$I$32,8,FALSE))-(VLOOKUP($A25,test!$A$3:$I$32,9,FALSE)),0),IF(AND($A25&lt;&gt;W$1,feasible_mat!W25=1),(VLOOKUP(W$1,test!$A$3:$I$32,8,FALSE))-(VLOOKUP($A25,test!$A$3:$I$32,9,FALSE))-50,0))</f>
        <v>370</v>
      </c>
      <c r="X25">
        <f>IF(SUM(VLOOKUP($A25,test!$A$3:$F$32,2,FALSE),VLOOKUP(X$1,test!$A$3:$F$32,2,FALSE))&lt;=test!$K$16,IF(AND($A25&lt;&gt;X$1,feasible_mat!X25=1),(VLOOKUP(X$1,test!$A$3:$I$32,8,FALSE))-(VLOOKUP($A25,test!$A$3:$I$32,9,FALSE)),0),IF(AND($A25&lt;&gt;X$1,feasible_mat!X25=1),(VLOOKUP(X$1,test!$A$3:$I$32,8,FALSE))-(VLOOKUP($A25,test!$A$3:$I$32,9,FALSE))-50,0))</f>
        <v>430</v>
      </c>
      <c r="Y25">
        <f>IF(SUM(VLOOKUP($A25,test!$A$3:$F$32,2,FALSE),VLOOKUP(Y$1,test!$A$3:$F$32,2,FALSE))&lt;=test!$K$16,IF(AND($A25&lt;&gt;Y$1,feasible_mat!Y25=1),(VLOOKUP(Y$1,test!$A$3:$I$32,8,FALSE))-(VLOOKUP($A25,test!$A$3:$I$32,9,FALSE)),0),IF(AND($A25&lt;&gt;Y$1,feasible_mat!Y25=1),(VLOOKUP(Y$1,test!$A$3:$I$32,8,FALSE))-(VLOOKUP($A25,test!$A$3:$I$32,9,FALSE))-50,0))</f>
        <v>0</v>
      </c>
      <c r="Z25">
        <f>IF(SUM(VLOOKUP($A25,test!$A$3:$F$32,2,FALSE),VLOOKUP(Z$1,test!$A$3:$F$32,2,FALSE))&lt;=test!$K$16,IF(AND($A25&lt;&gt;Z$1,feasible_mat!Z25=1),(VLOOKUP(Z$1,test!$A$3:$I$32,8,FALSE))-(VLOOKUP($A25,test!$A$3:$I$32,9,FALSE)),0),IF(AND($A25&lt;&gt;Z$1,feasible_mat!Z25=1),(VLOOKUP(Z$1,test!$A$3:$I$32,8,FALSE))-(VLOOKUP($A25,test!$A$3:$I$32,9,FALSE))-50,0))</f>
        <v>30</v>
      </c>
      <c r="AA25">
        <f>IF(SUM(VLOOKUP($A25,test!$A$3:$F$32,2,FALSE),VLOOKUP(AA$1,test!$A$3:$F$32,2,FALSE))&lt;=test!$K$16,IF(AND($A25&lt;&gt;AA$1,feasible_mat!AA25=1),(VLOOKUP(AA$1,test!$A$3:$I$32,8,FALSE))-(VLOOKUP($A25,test!$A$3:$I$32,9,FALSE)),0),IF(AND($A25&lt;&gt;AA$1,feasible_mat!AA25=1),(VLOOKUP(AA$1,test!$A$3:$I$32,8,FALSE))-(VLOOKUP($A25,test!$A$3:$I$32,9,FALSE))-50,0))</f>
        <v>150</v>
      </c>
      <c r="AB25">
        <f>IF(SUM(VLOOKUP($A25,test!$A$3:$F$32,2,FALSE),VLOOKUP(AB$1,test!$A$3:$F$32,2,FALSE))&lt;=test!$K$16,IF(AND($A25&lt;&gt;AB$1,feasible_mat!AB25=1),(VLOOKUP(AB$1,test!$A$3:$I$32,8,FALSE))-(VLOOKUP($A25,test!$A$3:$I$32,9,FALSE)),0),IF(AND($A25&lt;&gt;AB$1,feasible_mat!AB25=1),(VLOOKUP(AB$1,test!$A$3:$I$32,8,FALSE))-(VLOOKUP($A25,test!$A$3:$I$32,9,FALSE))-50,0))</f>
        <v>210</v>
      </c>
      <c r="AC25">
        <f>IF(SUM(VLOOKUP($A25,test!$A$3:$F$32,2,FALSE),VLOOKUP(AC$1,test!$A$3:$F$32,2,FALSE))&lt;=test!$K$16,IF(AND($A25&lt;&gt;AC$1,feasible_mat!AC25=1),(VLOOKUP(AC$1,test!$A$3:$I$32,8,FALSE))-(VLOOKUP($A25,test!$A$3:$I$32,9,FALSE)),0),IF(AND($A25&lt;&gt;AC$1,feasible_mat!AC25=1),(VLOOKUP(AC$1,test!$A$3:$I$32,8,FALSE))-(VLOOKUP($A25,test!$A$3:$I$32,9,FALSE))-50,0))</f>
        <v>330</v>
      </c>
      <c r="AD25">
        <f>IF(SUM(VLOOKUP($A25,test!$A$3:$F$32,2,FALSE),VLOOKUP(AD$1,test!$A$3:$F$32,2,FALSE))&lt;=test!$K$16,IF(AND($A25&lt;&gt;AD$1,feasible_mat!AD25=1),(VLOOKUP(AD$1,test!$A$3:$I$32,8,FALSE))-(VLOOKUP($A25,test!$A$3:$I$32,9,FALSE)),0),IF(AND($A25&lt;&gt;AD$1,feasible_mat!AD25=1),(VLOOKUP(AD$1,test!$A$3:$I$32,8,FALSE))-(VLOOKUP($A25,test!$A$3:$I$32,9,FALSE))-50,0))</f>
        <v>0</v>
      </c>
      <c r="AE25">
        <f>IF(SUM(VLOOKUP($A25,test!$A$3:$F$32,2,FALSE),VLOOKUP(AE$1,test!$A$3:$F$32,2,FALSE))&lt;=test!$K$16,IF(AND($A25&lt;&gt;AE$1,feasible_mat!AE25=1),(VLOOKUP(AE$1,test!$A$3:$I$32,8,FALSE))-(VLOOKUP($A25,test!$A$3:$I$32,9,FALSE)),0),IF(AND($A25&lt;&gt;AE$1,feasible_mat!AE25=1),(VLOOKUP(AE$1,test!$A$3:$I$32,8,FALSE))-(VLOOKUP($A25,test!$A$3:$I$32,9,FALSE))-50,0))</f>
        <v>150</v>
      </c>
      <c r="AF25">
        <f>IF(SUM(VLOOKUP($A25,test!$A$3:$F$32,2,FALSE),VLOOKUP(AF$1,test!$A$3:$F$32,2,FALSE))&lt;=test!$K$16,IF(AND($A25&lt;&gt;AF$1,feasible_mat!AF25=1),(VLOOKUP(AF$1,test!$A$3:$I$32,8,FALSE))-(VLOOKUP($A25,test!$A$3:$I$32,9,FALSE)),0),IF(AND($A25&lt;&gt;AF$1,feasible_mat!AF25=1),(VLOOKUP(AF$1,test!$A$3:$I$32,8,FALSE))-(VLOOKUP($A25,test!$A$3:$I$32,9,FALSE))-50,0))</f>
        <v>50</v>
      </c>
    </row>
    <row r="26" spans="1:36" x14ac:dyDescent="0.25">
      <c r="A26" t="s">
        <v>35</v>
      </c>
      <c r="B26">
        <v>0</v>
      </c>
      <c r="C26">
        <f>IF(SUM(VLOOKUP($A26,test!$A$3:$F$32,2,FALSE),VLOOKUP(C$1,test!$A$3:$F$32,2,FALSE))&lt;=test!$K$16,IF(AND($A26&lt;&gt;C$1,feasible_mat!C26=1),(VLOOKUP(C$1,test!$A$3:$I$32,8,FALSE))-(VLOOKUP($A26,test!$A$3:$I$32,9,FALSE)),0),IF(AND($A26&lt;&gt;C$1,feasible_mat!C26=1),(VLOOKUP(C$1,test!$A$3:$I$32,8,FALSE))-(VLOOKUP($A26,test!$A$3:$I$32,9,FALSE))-50,0))</f>
        <v>0</v>
      </c>
      <c r="D26">
        <f>IF(SUM(VLOOKUP($A26,test!$A$3:$F$32,2,FALSE),VLOOKUP(D$1,test!$A$3:$F$32,2,FALSE))&lt;=test!$K$16,IF(AND($A26&lt;&gt;D$1,feasible_mat!D26=1),(VLOOKUP(D$1,test!$A$3:$I$32,8,FALSE))-(VLOOKUP($A26,test!$A$3:$I$32,9,FALSE)),0),IF(AND($A26&lt;&gt;D$1,feasible_mat!D26=1),(VLOOKUP(D$1,test!$A$3:$I$32,8,FALSE))-(VLOOKUP($A26,test!$A$3:$I$32,9,FALSE))-50,0))</f>
        <v>0</v>
      </c>
      <c r="E26">
        <f>IF(SUM(VLOOKUP($A26,test!$A$3:$F$32,2,FALSE),VLOOKUP(E$1,test!$A$3:$F$32,2,FALSE))&lt;=test!$K$16,IF(AND($A26&lt;&gt;E$1,feasible_mat!E26=1),(VLOOKUP(E$1,test!$A$3:$I$32,8,FALSE))-(VLOOKUP($A26,test!$A$3:$I$32,9,FALSE)),0),IF(AND($A26&lt;&gt;E$1,feasible_mat!E26=1),(VLOOKUP(E$1,test!$A$3:$I$32,8,FALSE))-(VLOOKUP($A26,test!$A$3:$I$32,9,FALSE))-50,0))</f>
        <v>0</v>
      </c>
      <c r="F26">
        <f>IF(SUM(VLOOKUP($A26,test!$A$3:$F$32,2,FALSE),VLOOKUP(F$1,test!$A$3:$F$32,2,FALSE))&lt;=test!$K$16,IF(AND($A26&lt;&gt;F$1,feasible_mat!F26=1),(VLOOKUP(F$1,test!$A$3:$I$32,8,FALSE))-(VLOOKUP($A26,test!$A$3:$I$32,9,FALSE)),0),IF(AND($A26&lt;&gt;F$1,feasible_mat!F26=1),(VLOOKUP(F$1,test!$A$3:$I$32,8,FALSE))-(VLOOKUP($A26,test!$A$3:$I$32,9,FALSE))-50,0))</f>
        <v>40</v>
      </c>
      <c r="G26">
        <f>IF(SUM(VLOOKUP($A26,test!$A$3:$F$32,2,FALSE),VLOOKUP(G$1,test!$A$3:$F$32,2,FALSE))&lt;=test!$K$16,IF(AND($A26&lt;&gt;G$1,feasible_mat!G26=1),(VLOOKUP(G$1,test!$A$3:$I$32,8,FALSE))-(VLOOKUP($A26,test!$A$3:$I$32,9,FALSE)),0),IF(AND($A26&lt;&gt;G$1,feasible_mat!G26=1),(VLOOKUP(G$1,test!$A$3:$I$32,8,FALSE))-(VLOOKUP($A26,test!$A$3:$I$32,9,FALSE))-50,0))</f>
        <v>100</v>
      </c>
      <c r="H26">
        <f>IF(SUM(VLOOKUP($A26,test!$A$3:$F$32,2,FALSE),VLOOKUP(H$1,test!$A$3:$F$32,2,FALSE))&lt;=test!$K$16,IF(AND($A26&lt;&gt;H$1,feasible_mat!H26=1),(VLOOKUP(H$1,test!$A$3:$I$32,8,FALSE))-(VLOOKUP($A26,test!$A$3:$I$32,9,FALSE)),0),IF(AND($A26&lt;&gt;H$1,feasible_mat!H26=1),(VLOOKUP(H$1,test!$A$3:$I$32,8,FALSE))-(VLOOKUP($A26,test!$A$3:$I$32,9,FALSE))-50,0))</f>
        <v>160</v>
      </c>
      <c r="I26">
        <f>IF(SUM(VLOOKUP($A26,test!$A$3:$F$32,2,FALSE),VLOOKUP(I$1,test!$A$3:$F$32,2,FALSE))&lt;=test!$K$16,IF(AND($A26&lt;&gt;I$1,feasible_mat!I26=1),(VLOOKUP(I$1,test!$A$3:$I$32,8,FALSE))-(VLOOKUP($A26,test!$A$3:$I$32,9,FALSE)),0),IF(AND($A26&lt;&gt;I$1,feasible_mat!I26=1),(VLOOKUP(I$1,test!$A$3:$I$32,8,FALSE))-(VLOOKUP($A26,test!$A$3:$I$32,9,FALSE))-50,0))</f>
        <v>220</v>
      </c>
      <c r="J26">
        <f>IF(SUM(VLOOKUP($A26,test!$A$3:$F$32,2,FALSE),VLOOKUP(J$1,test!$A$3:$F$32,2,FALSE))&lt;=test!$K$16,IF(AND($A26&lt;&gt;J$1,feasible_mat!J26=1),(VLOOKUP(J$1,test!$A$3:$I$32,8,FALSE))-(VLOOKUP($A26,test!$A$3:$I$32,9,FALSE)),0),IF(AND($A26&lt;&gt;J$1,feasible_mat!J26=1),(VLOOKUP(J$1,test!$A$3:$I$32,8,FALSE))-(VLOOKUP($A26,test!$A$3:$I$32,9,FALSE))-50,0))</f>
        <v>310</v>
      </c>
      <c r="K26">
        <f>IF(SUM(VLOOKUP($A26,test!$A$3:$F$32,2,FALSE),VLOOKUP(K$1,test!$A$3:$F$32,2,FALSE))&lt;=test!$K$16,IF(AND($A26&lt;&gt;K$1,feasible_mat!K26=1),(VLOOKUP(K$1,test!$A$3:$I$32,8,FALSE))-(VLOOKUP($A26,test!$A$3:$I$32,9,FALSE)),0),IF(AND($A26&lt;&gt;K$1,feasible_mat!K26=1),(VLOOKUP(K$1,test!$A$3:$I$32,8,FALSE))-(VLOOKUP($A26,test!$A$3:$I$32,9,FALSE))-50,0))</f>
        <v>0</v>
      </c>
      <c r="L26">
        <f>IF(SUM(VLOOKUP($A26,test!$A$3:$F$32,2,FALSE),VLOOKUP(L$1,test!$A$3:$F$32,2,FALSE))&lt;=test!$K$16,IF(AND($A26&lt;&gt;L$1,feasible_mat!L26=1),(VLOOKUP(L$1,test!$A$3:$I$32,8,FALSE))-(VLOOKUP($A26,test!$A$3:$I$32,9,FALSE)),0),IF(AND($A26&lt;&gt;L$1,feasible_mat!L26=1),(VLOOKUP(L$1,test!$A$3:$I$32,8,FALSE))-(VLOOKUP($A26,test!$A$3:$I$32,9,FALSE))-50,0))</f>
        <v>0</v>
      </c>
      <c r="M26">
        <f>IF(SUM(VLOOKUP($A26,test!$A$3:$F$32,2,FALSE),VLOOKUP(M$1,test!$A$3:$F$32,2,FALSE))&lt;=test!$K$16,IF(AND($A26&lt;&gt;M$1,feasible_mat!M26=1),(VLOOKUP(M$1,test!$A$3:$I$32,8,FALSE))-(VLOOKUP($A26,test!$A$3:$I$32,9,FALSE)),0),IF(AND($A26&lt;&gt;M$1,feasible_mat!M26=1),(VLOOKUP(M$1,test!$A$3:$I$32,8,FALSE))-(VLOOKUP($A26,test!$A$3:$I$32,9,FALSE))-50,0))</f>
        <v>0</v>
      </c>
      <c r="N26">
        <f>IF(SUM(VLOOKUP($A26,test!$A$3:$F$32,2,FALSE),VLOOKUP(N$1,test!$A$3:$F$32,2,FALSE))&lt;=test!$K$16,IF(AND($A26&lt;&gt;N$1,feasible_mat!N26=1),(VLOOKUP(N$1,test!$A$3:$I$32,8,FALSE))-(VLOOKUP($A26,test!$A$3:$I$32,9,FALSE)),0),IF(AND($A26&lt;&gt;N$1,feasible_mat!N26=1),(VLOOKUP(N$1,test!$A$3:$I$32,8,FALSE))-(VLOOKUP($A26,test!$A$3:$I$32,9,FALSE))-50,0))</f>
        <v>275</v>
      </c>
      <c r="O26">
        <f>IF(SUM(VLOOKUP($A26,test!$A$3:$F$32,2,FALSE),VLOOKUP(O$1,test!$A$3:$F$32,2,FALSE))&lt;=test!$K$16,IF(AND($A26&lt;&gt;O$1,feasible_mat!O26=1),(VLOOKUP(O$1,test!$A$3:$I$32,8,FALSE))-(VLOOKUP($A26,test!$A$3:$I$32,9,FALSE)),0),IF(AND($A26&lt;&gt;O$1,feasible_mat!O26=1),(VLOOKUP(O$1,test!$A$3:$I$32,8,FALSE))-(VLOOKUP($A26,test!$A$3:$I$32,9,FALSE))-50,0))</f>
        <v>335</v>
      </c>
      <c r="P26">
        <f>IF(SUM(VLOOKUP($A26,test!$A$3:$F$32,2,FALSE),VLOOKUP(P$1,test!$A$3:$F$32,2,FALSE))&lt;=test!$K$16,IF(AND($A26&lt;&gt;P$1,feasible_mat!P26=1),(VLOOKUP(P$1,test!$A$3:$I$32,8,FALSE))-(VLOOKUP($A26,test!$A$3:$I$32,9,FALSE)),0),IF(AND($A26&lt;&gt;P$1,feasible_mat!P26=1),(VLOOKUP(P$1,test!$A$3:$I$32,8,FALSE))-(VLOOKUP($A26,test!$A$3:$I$32,9,FALSE))-50,0))</f>
        <v>0</v>
      </c>
      <c r="Q26">
        <f>IF(SUM(VLOOKUP($A26,test!$A$3:$F$32,2,FALSE),VLOOKUP(Q$1,test!$A$3:$F$32,2,FALSE))&lt;=test!$K$16,IF(AND($A26&lt;&gt;Q$1,feasible_mat!Q26=1),(VLOOKUP(Q$1,test!$A$3:$I$32,8,FALSE))-(VLOOKUP($A26,test!$A$3:$I$32,9,FALSE)),0),IF(AND($A26&lt;&gt;Q$1,feasible_mat!Q26=1),(VLOOKUP(Q$1,test!$A$3:$I$32,8,FALSE))-(VLOOKUP($A26,test!$A$3:$I$32,9,FALSE))-50,0))</f>
        <v>0</v>
      </c>
      <c r="R26">
        <f>IF(SUM(VLOOKUP($A26,test!$A$3:$F$32,2,FALSE),VLOOKUP(R$1,test!$A$3:$F$32,2,FALSE))&lt;=test!$K$16,IF(AND($A26&lt;&gt;R$1,feasible_mat!R26=1),(VLOOKUP(R$1,test!$A$3:$I$32,8,FALSE))-(VLOOKUP($A26,test!$A$3:$I$32,9,FALSE)),0),IF(AND($A26&lt;&gt;R$1,feasible_mat!R26=1),(VLOOKUP(R$1,test!$A$3:$I$32,8,FALSE))-(VLOOKUP($A26,test!$A$3:$I$32,9,FALSE))-50,0))</f>
        <v>0</v>
      </c>
      <c r="S26">
        <f>IF(SUM(VLOOKUP($A26,test!$A$3:$F$32,2,FALSE),VLOOKUP(S$1,test!$A$3:$F$32,2,FALSE))&lt;=test!$K$16,IF(AND($A26&lt;&gt;S$1,feasible_mat!S26=1),(VLOOKUP(S$1,test!$A$3:$I$32,8,FALSE))-(VLOOKUP($A26,test!$A$3:$I$32,9,FALSE)),0),IF(AND($A26&lt;&gt;S$1,feasible_mat!S26=1),(VLOOKUP(S$1,test!$A$3:$I$32,8,FALSE))-(VLOOKUP($A26,test!$A$3:$I$32,9,FALSE))-50,0))</f>
        <v>0</v>
      </c>
      <c r="T26">
        <f>IF(SUM(VLOOKUP($A26,test!$A$3:$F$32,2,FALSE),VLOOKUP(T$1,test!$A$3:$F$32,2,FALSE))&lt;=test!$K$16,IF(AND($A26&lt;&gt;T$1,feasible_mat!T26=1),(VLOOKUP(T$1,test!$A$3:$I$32,8,FALSE))-(VLOOKUP($A26,test!$A$3:$I$32,9,FALSE)),0),IF(AND($A26&lt;&gt;T$1,feasible_mat!T26=1),(VLOOKUP(T$1,test!$A$3:$I$32,8,FALSE))-(VLOOKUP($A26,test!$A$3:$I$32,9,FALSE))-50,0))</f>
        <v>0</v>
      </c>
      <c r="U26">
        <f>IF(SUM(VLOOKUP($A26,test!$A$3:$F$32,2,FALSE),VLOOKUP(U$1,test!$A$3:$F$32,2,FALSE))&lt;=test!$K$16,IF(AND($A26&lt;&gt;U$1,feasible_mat!U26=1),(VLOOKUP(U$1,test!$A$3:$I$32,8,FALSE))-(VLOOKUP($A26,test!$A$3:$I$32,9,FALSE)),0),IF(AND($A26&lt;&gt;U$1,feasible_mat!U26=1),(VLOOKUP(U$1,test!$A$3:$I$32,8,FALSE))-(VLOOKUP($A26,test!$A$3:$I$32,9,FALSE))-50,0))</f>
        <v>20</v>
      </c>
      <c r="V26">
        <f>IF(SUM(VLOOKUP($A26,test!$A$3:$F$32,2,FALSE),VLOOKUP(V$1,test!$A$3:$F$32,2,FALSE))&lt;=test!$K$16,IF(AND($A26&lt;&gt;V$1,feasible_mat!V26=1),(VLOOKUP(V$1,test!$A$3:$I$32,8,FALSE))-(VLOOKUP($A26,test!$A$3:$I$32,9,FALSE)),0),IF(AND($A26&lt;&gt;V$1,feasible_mat!V26=1),(VLOOKUP(V$1,test!$A$3:$I$32,8,FALSE))-(VLOOKUP($A26,test!$A$3:$I$32,9,FALSE))-50,0))</f>
        <v>110</v>
      </c>
      <c r="W26">
        <f>IF(SUM(VLOOKUP($A26,test!$A$3:$F$32,2,FALSE),VLOOKUP(W$1,test!$A$3:$F$32,2,FALSE))&lt;=test!$K$16,IF(AND($A26&lt;&gt;W$1,feasible_mat!W26=1),(VLOOKUP(W$1,test!$A$3:$I$32,8,FALSE))-(VLOOKUP($A26,test!$A$3:$I$32,9,FALSE)),0),IF(AND($A26&lt;&gt;W$1,feasible_mat!W26=1),(VLOOKUP(W$1,test!$A$3:$I$32,8,FALSE))-(VLOOKUP($A26,test!$A$3:$I$32,9,FALSE))-50,0))</f>
        <v>200</v>
      </c>
      <c r="X26">
        <f>IF(SUM(VLOOKUP($A26,test!$A$3:$F$32,2,FALSE),VLOOKUP(X$1,test!$A$3:$F$32,2,FALSE))&lt;=test!$K$16,IF(AND($A26&lt;&gt;X$1,feasible_mat!X26=1),(VLOOKUP(X$1,test!$A$3:$I$32,8,FALSE))-(VLOOKUP($A26,test!$A$3:$I$32,9,FALSE)),0),IF(AND($A26&lt;&gt;X$1,feasible_mat!X26=1),(VLOOKUP(X$1,test!$A$3:$I$32,8,FALSE))-(VLOOKUP($A26,test!$A$3:$I$32,9,FALSE))-50,0))</f>
        <v>260</v>
      </c>
      <c r="Y26">
        <f>IF(SUM(VLOOKUP($A26,test!$A$3:$F$32,2,FALSE),VLOOKUP(Y$1,test!$A$3:$F$32,2,FALSE))&lt;=test!$K$16,IF(AND($A26&lt;&gt;Y$1,feasible_mat!Y26=1),(VLOOKUP(Y$1,test!$A$3:$I$32,8,FALSE))-(VLOOKUP($A26,test!$A$3:$I$32,9,FALSE)),0),IF(AND($A26&lt;&gt;Y$1,feasible_mat!Y26=1),(VLOOKUP(Y$1,test!$A$3:$I$32,8,FALSE))-(VLOOKUP($A26,test!$A$3:$I$32,9,FALSE))-50,0))</f>
        <v>0</v>
      </c>
      <c r="Z26">
        <f>IF(SUM(VLOOKUP($A26,test!$A$3:$F$32,2,FALSE),VLOOKUP(Z$1,test!$A$3:$F$32,2,FALSE))&lt;=test!$K$16,IF(AND($A26&lt;&gt;Z$1,feasible_mat!Z26=1),(VLOOKUP(Z$1,test!$A$3:$I$32,8,FALSE))-(VLOOKUP($A26,test!$A$3:$I$32,9,FALSE)),0),IF(AND($A26&lt;&gt;Z$1,feasible_mat!Z26=1),(VLOOKUP(Z$1,test!$A$3:$I$32,8,FALSE))-(VLOOKUP($A26,test!$A$3:$I$32,9,FALSE))-50,0))</f>
        <v>0</v>
      </c>
      <c r="AA26">
        <f>IF(SUM(VLOOKUP($A26,test!$A$3:$F$32,2,FALSE),VLOOKUP(AA$1,test!$A$3:$F$32,2,FALSE))&lt;=test!$K$16,IF(AND($A26&lt;&gt;AA$1,feasible_mat!AA26=1),(VLOOKUP(AA$1,test!$A$3:$I$32,8,FALSE))-(VLOOKUP($A26,test!$A$3:$I$32,9,FALSE)),0),IF(AND($A26&lt;&gt;AA$1,feasible_mat!AA26=1),(VLOOKUP(AA$1,test!$A$3:$I$32,8,FALSE))-(VLOOKUP($A26,test!$A$3:$I$32,9,FALSE))-50,0))</f>
        <v>0</v>
      </c>
      <c r="AB26">
        <f>IF(SUM(VLOOKUP($A26,test!$A$3:$F$32,2,FALSE),VLOOKUP(AB$1,test!$A$3:$F$32,2,FALSE))&lt;=test!$K$16,IF(AND($A26&lt;&gt;AB$1,feasible_mat!AB26=1),(VLOOKUP(AB$1,test!$A$3:$I$32,8,FALSE))-(VLOOKUP($A26,test!$A$3:$I$32,9,FALSE)),0),IF(AND($A26&lt;&gt;AB$1,feasible_mat!AB26=1),(VLOOKUP(AB$1,test!$A$3:$I$32,8,FALSE))-(VLOOKUP($A26,test!$A$3:$I$32,9,FALSE))-50,0))</f>
        <v>40</v>
      </c>
      <c r="AC26">
        <f>IF(SUM(VLOOKUP($A26,test!$A$3:$F$32,2,FALSE),VLOOKUP(AC$1,test!$A$3:$F$32,2,FALSE))&lt;=test!$K$16,IF(AND($A26&lt;&gt;AC$1,feasible_mat!AC26=1),(VLOOKUP(AC$1,test!$A$3:$I$32,8,FALSE))-(VLOOKUP($A26,test!$A$3:$I$32,9,FALSE)),0),IF(AND($A26&lt;&gt;AC$1,feasible_mat!AC26=1),(VLOOKUP(AC$1,test!$A$3:$I$32,8,FALSE))-(VLOOKUP($A26,test!$A$3:$I$32,9,FALSE))-50,0))</f>
        <v>160</v>
      </c>
      <c r="AD26">
        <f>IF(SUM(VLOOKUP($A26,test!$A$3:$F$32,2,FALSE),VLOOKUP(AD$1,test!$A$3:$F$32,2,FALSE))&lt;=test!$K$16,IF(AND($A26&lt;&gt;AD$1,feasible_mat!AD26=1),(VLOOKUP(AD$1,test!$A$3:$I$32,8,FALSE))-(VLOOKUP($A26,test!$A$3:$I$32,9,FALSE)),0),IF(AND($A26&lt;&gt;AD$1,feasible_mat!AD26=1),(VLOOKUP(AD$1,test!$A$3:$I$32,8,FALSE))-(VLOOKUP($A26,test!$A$3:$I$32,9,FALSE))-50,0))</f>
        <v>0</v>
      </c>
      <c r="AE26">
        <f>IF(SUM(VLOOKUP($A26,test!$A$3:$F$32,2,FALSE),VLOOKUP(AE$1,test!$A$3:$F$32,2,FALSE))&lt;=test!$K$16,IF(AND($A26&lt;&gt;AE$1,feasible_mat!AE26=1),(VLOOKUP(AE$1,test!$A$3:$I$32,8,FALSE))-(VLOOKUP($A26,test!$A$3:$I$32,9,FALSE)),0),IF(AND($A26&lt;&gt;AE$1,feasible_mat!AE26=1),(VLOOKUP(AE$1,test!$A$3:$I$32,8,FALSE))-(VLOOKUP($A26,test!$A$3:$I$32,9,FALSE))-50,0))</f>
        <v>0</v>
      </c>
      <c r="AF26">
        <f>IF(SUM(VLOOKUP($A26,test!$A$3:$F$32,2,FALSE),VLOOKUP(AF$1,test!$A$3:$F$32,2,FALSE))&lt;=test!$K$16,IF(AND($A26&lt;&gt;AF$1,feasible_mat!AF26=1),(VLOOKUP(AF$1,test!$A$3:$I$32,8,FALSE))-(VLOOKUP($A26,test!$A$3:$I$32,9,FALSE)),0),IF(AND($A26&lt;&gt;AF$1,feasible_mat!AF26=1),(VLOOKUP(AF$1,test!$A$3:$I$32,8,FALSE))-(VLOOKUP($A26,test!$A$3:$I$32,9,FALSE))-50,0))</f>
        <v>0</v>
      </c>
    </row>
    <row r="27" spans="1:36" x14ac:dyDescent="0.25">
      <c r="A27" t="s">
        <v>36</v>
      </c>
      <c r="B27">
        <v>0</v>
      </c>
      <c r="C27">
        <f>IF(SUM(VLOOKUP($A27,test!$A$3:$F$32,2,FALSE),VLOOKUP(C$1,test!$A$3:$F$32,2,FALSE))&lt;=test!$K$16,IF(AND($A27&lt;&gt;C$1,feasible_mat!C27=1),(VLOOKUP(C$1,test!$A$3:$I$32,8,FALSE))-(VLOOKUP($A27,test!$A$3:$I$32,9,FALSE)),0),IF(AND($A27&lt;&gt;C$1,feasible_mat!C27=1),(VLOOKUP(C$1,test!$A$3:$I$32,8,FALSE))-(VLOOKUP($A27,test!$A$3:$I$32,9,FALSE))-50,0))</f>
        <v>0</v>
      </c>
      <c r="D27">
        <f>IF(SUM(VLOOKUP($A27,test!$A$3:$F$32,2,FALSE),VLOOKUP(D$1,test!$A$3:$F$32,2,FALSE))&lt;=test!$K$16,IF(AND($A27&lt;&gt;D$1,feasible_mat!D27=1),(VLOOKUP(D$1,test!$A$3:$I$32,8,FALSE))-(VLOOKUP($A27,test!$A$3:$I$32,9,FALSE)),0),IF(AND($A27&lt;&gt;D$1,feasible_mat!D27=1),(VLOOKUP(D$1,test!$A$3:$I$32,8,FALSE))-(VLOOKUP($A27,test!$A$3:$I$32,9,FALSE))-50,0))</f>
        <v>0</v>
      </c>
      <c r="E27">
        <f>IF(SUM(VLOOKUP($A27,test!$A$3:$F$32,2,FALSE),VLOOKUP(E$1,test!$A$3:$F$32,2,FALSE))&lt;=test!$K$16,IF(AND($A27&lt;&gt;E$1,feasible_mat!E27=1),(VLOOKUP(E$1,test!$A$3:$I$32,8,FALSE))-(VLOOKUP($A27,test!$A$3:$I$32,9,FALSE)),0),IF(AND($A27&lt;&gt;E$1,feasible_mat!E27=1),(VLOOKUP(E$1,test!$A$3:$I$32,8,FALSE))-(VLOOKUP($A27,test!$A$3:$I$32,9,FALSE))-50,0))</f>
        <v>0</v>
      </c>
      <c r="F27">
        <f>IF(SUM(VLOOKUP($A27,test!$A$3:$F$32,2,FALSE),VLOOKUP(F$1,test!$A$3:$F$32,2,FALSE))&lt;=test!$K$16,IF(AND($A27&lt;&gt;F$1,feasible_mat!F27=1),(VLOOKUP(F$1,test!$A$3:$I$32,8,FALSE))-(VLOOKUP($A27,test!$A$3:$I$32,9,FALSE)),0),IF(AND($A27&lt;&gt;F$1,feasible_mat!F27=1),(VLOOKUP(F$1,test!$A$3:$I$32,8,FALSE))-(VLOOKUP($A27,test!$A$3:$I$32,9,FALSE))-50,0))</f>
        <v>0</v>
      </c>
      <c r="G27">
        <f>IF(SUM(VLOOKUP($A27,test!$A$3:$F$32,2,FALSE),VLOOKUP(G$1,test!$A$3:$F$32,2,FALSE))&lt;=test!$K$16,IF(AND($A27&lt;&gt;G$1,feasible_mat!G27=1),(VLOOKUP(G$1,test!$A$3:$I$32,8,FALSE))-(VLOOKUP($A27,test!$A$3:$I$32,9,FALSE)),0),IF(AND($A27&lt;&gt;G$1,feasible_mat!G27=1),(VLOOKUP(G$1,test!$A$3:$I$32,8,FALSE))-(VLOOKUP($A27,test!$A$3:$I$32,9,FALSE))-50,0))</f>
        <v>0</v>
      </c>
      <c r="H27">
        <f>IF(SUM(VLOOKUP($A27,test!$A$3:$F$32,2,FALSE),VLOOKUP(H$1,test!$A$3:$F$32,2,FALSE))&lt;=test!$K$16,IF(AND($A27&lt;&gt;H$1,feasible_mat!H27=1),(VLOOKUP(H$1,test!$A$3:$I$32,8,FALSE))-(VLOOKUP($A27,test!$A$3:$I$32,9,FALSE)),0),IF(AND($A27&lt;&gt;H$1,feasible_mat!H27=1),(VLOOKUP(H$1,test!$A$3:$I$32,8,FALSE))-(VLOOKUP($A27,test!$A$3:$I$32,9,FALSE))-50,0))</f>
        <v>40</v>
      </c>
      <c r="I27">
        <f>IF(SUM(VLOOKUP($A27,test!$A$3:$F$32,2,FALSE),VLOOKUP(I$1,test!$A$3:$F$32,2,FALSE))&lt;=test!$K$16,IF(AND($A27&lt;&gt;I$1,feasible_mat!I27=1),(VLOOKUP(I$1,test!$A$3:$I$32,8,FALSE))-(VLOOKUP($A27,test!$A$3:$I$32,9,FALSE)),0),IF(AND($A27&lt;&gt;I$1,feasible_mat!I27=1),(VLOOKUP(I$1,test!$A$3:$I$32,8,FALSE))-(VLOOKUP($A27,test!$A$3:$I$32,9,FALSE))-50,0))</f>
        <v>100</v>
      </c>
      <c r="J27">
        <f>IF(SUM(VLOOKUP($A27,test!$A$3:$F$32,2,FALSE),VLOOKUP(J$1,test!$A$3:$F$32,2,FALSE))&lt;=test!$K$16,IF(AND($A27&lt;&gt;J$1,feasible_mat!J27=1),(VLOOKUP(J$1,test!$A$3:$I$32,8,FALSE))-(VLOOKUP($A27,test!$A$3:$I$32,9,FALSE)),0),IF(AND($A27&lt;&gt;J$1,feasible_mat!J27=1),(VLOOKUP(J$1,test!$A$3:$I$32,8,FALSE))-(VLOOKUP($A27,test!$A$3:$I$32,9,FALSE))-50,0))</f>
        <v>190</v>
      </c>
      <c r="K27">
        <f>IF(SUM(VLOOKUP($A27,test!$A$3:$F$32,2,FALSE),VLOOKUP(K$1,test!$A$3:$F$32,2,FALSE))&lt;=test!$K$16,IF(AND($A27&lt;&gt;K$1,feasible_mat!K27=1),(VLOOKUP(K$1,test!$A$3:$I$32,8,FALSE))-(VLOOKUP($A27,test!$A$3:$I$32,9,FALSE)),0),IF(AND($A27&lt;&gt;K$1,feasible_mat!K27=1),(VLOOKUP(K$1,test!$A$3:$I$32,8,FALSE))-(VLOOKUP($A27,test!$A$3:$I$32,9,FALSE))-50,0))</f>
        <v>0</v>
      </c>
      <c r="L27">
        <f>IF(SUM(VLOOKUP($A27,test!$A$3:$F$32,2,FALSE),VLOOKUP(L$1,test!$A$3:$F$32,2,FALSE))&lt;=test!$K$16,IF(AND($A27&lt;&gt;L$1,feasible_mat!L27=1),(VLOOKUP(L$1,test!$A$3:$I$32,8,FALSE))-(VLOOKUP($A27,test!$A$3:$I$32,9,FALSE)),0),IF(AND($A27&lt;&gt;L$1,feasible_mat!L27=1),(VLOOKUP(L$1,test!$A$3:$I$32,8,FALSE))-(VLOOKUP($A27,test!$A$3:$I$32,9,FALSE))-50,0))</f>
        <v>0</v>
      </c>
      <c r="M27">
        <f>IF(SUM(VLOOKUP($A27,test!$A$3:$F$32,2,FALSE),VLOOKUP(M$1,test!$A$3:$F$32,2,FALSE))&lt;=test!$K$16,IF(AND($A27&lt;&gt;M$1,feasible_mat!M27=1),(VLOOKUP(M$1,test!$A$3:$I$32,8,FALSE))-(VLOOKUP($A27,test!$A$3:$I$32,9,FALSE)),0),IF(AND($A27&lt;&gt;M$1,feasible_mat!M27=1),(VLOOKUP(M$1,test!$A$3:$I$32,8,FALSE))-(VLOOKUP($A27,test!$A$3:$I$32,9,FALSE))-50,0))</f>
        <v>0</v>
      </c>
      <c r="N27">
        <f>IF(SUM(VLOOKUP($A27,test!$A$3:$F$32,2,FALSE),VLOOKUP(N$1,test!$A$3:$F$32,2,FALSE))&lt;=test!$K$16,IF(AND($A27&lt;&gt;N$1,feasible_mat!N27=1),(VLOOKUP(N$1,test!$A$3:$I$32,8,FALSE))-(VLOOKUP($A27,test!$A$3:$I$32,9,FALSE)),0),IF(AND($A27&lt;&gt;N$1,feasible_mat!N27=1),(VLOOKUP(N$1,test!$A$3:$I$32,8,FALSE))-(VLOOKUP($A27,test!$A$3:$I$32,9,FALSE))-50,0))</f>
        <v>155</v>
      </c>
      <c r="O27">
        <f>IF(SUM(VLOOKUP($A27,test!$A$3:$F$32,2,FALSE),VLOOKUP(O$1,test!$A$3:$F$32,2,FALSE))&lt;=test!$K$16,IF(AND($A27&lt;&gt;O$1,feasible_mat!O27=1),(VLOOKUP(O$1,test!$A$3:$I$32,8,FALSE))-(VLOOKUP($A27,test!$A$3:$I$32,9,FALSE)),0),IF(AND($A27&lt;&gt;O$1,feasible_mat!O27=1),(VLOOKUP(O$1,test!$A$3:$I$32,8,FALSE))-(VLOOKUP($A27,test!$A$3:$I$32,9,FALSE))-50,0))</f>
        <v>215</v>
      </c>
      <c r="P27">
        <f>IF(SUM(VLOOKUP($A27,test!$A$3:$F$32,2,FALSE),VLOOKUP(P$1,test!$A$3:$F$32,2,FALSE))&lt;=test!$K$16,IF(AND($A27&lt;&gt;P$1,feasible_mat!P27=1),(VLOOKUP(P$1,test!$A$3:$I$32,8,FALSE))-(VLOOKUP($A27,test!$A$3:$I$32,9,FALSE)),0),IF(AND($A27&lt;&gt;P$1,feasible_mat!P27=1),(VLOOKUP(P$1,test!$A$3:$I$32,8,FALSE))-(VLOOKUP($A27,test!$A$3:$I$32,9,FALSE))-50,0))</f>
        <v>0</v>
      </c>
      <c r="Q27">
        <f>IF(SUM(VLOOKUP($A27,test!$A$3:$F$32,2,FALSE),VLOOKUP(Q$1,test!$A$3:$F$32,2,FALSE))&lt;=test!$K$16,IF(AND($A27&lt;&gt;Q$1,feasible_mat!Q27=1),(VLOOKUP(Q$1,test!$A$3:$I$32,8,FALSE))-(VLOOKUP($A27,test!$A$3:$I$32,9,FALSE)),0),IF(AND($A27&lt;&gt;Q$1,feasible_mat!Q27=1),(VLOOKUP(Q$1,test!$A$3:$I$32,8,FALSE))-(VLOOKUP($A27,test!$A$3:$I$32,9,FALSE))-50,0))</f>
        <v>0</v>
      </c>
      <c r="R27">
        <f>IF(SUM(VLOOKUP($A27,test!$A$3:$F$32,2,FALSE),VLOOKUP(R$1,test!$A$3:$F$32,2,FALSE))&lt;=test!$K$16,IF(AND($A27&lt;&gt;R$1,feasible_mat!R27=1),(VLOOKUP(R$1,test!$A$3:$I$32,8,FALSE))-(VLOOKUP($A27,test!$A$3:$I$32,9,FALSE)),0),IF(AND($A27&lt;&gt;R$1,feasible_mat!R27=1),(VLOOKUP(R$1,test!$A$3:$I$32,8,FALSE))-(VLOOKUP($A27,test!$A$3:$I$32,9,FALSE))-50,0))</f>
        <v>0</v>
      </c>
      <c r="S27">
        <f>IF(SUM(VLOOKUP($A27,test!$A$3:$F$32,2,FALSE),VLOOKUP(S$1,test!$A$3:$F$32,2,FALSE))&lt;=test!$K$16,IF(AND($A27&lt;&gt;S$1,feasible_mat!S27=1),(VLOOKUP(S$1,test!$A$3:$I$32,8,FALSE))-(VLOOKUP($A27,test!$A$3:$I$32,9,FALSE)),0),IF(AND($A27&lt;&gt;S$1,feasible_mat!S27=1),(VLOOKUP(S$1,test!$A$3:$I$32,8,FALSE))-(VLOOKUP($A27,test!$A$3:$I$32,9,FALSE))-50,0))</f>
        <v>0</v>
      </c>
      <c r="T27">
        <f>IF(SUM(VLOOKUP($A27,test!$A$3:$F$32,2,FALSE),VLOOKUP(T$1,test!$A$3:$F$32,2,FALSE))&lt;=test!$K$16,IF(AND($A27&lt;&gt;T$1,feasible_mat!T27=1),(VLOOKUP(T$1,test!$A$3:$I$32,8,FALSE))-(VLOOKUP($A27,test!$A$3:$I$32,9,FALSE)),0),IF(AND($A27&lt;&gt;T$1,feasible_mat!T27=1),(VLOOKUP(T$1,test!$A$3:$I$32,8,FALSE))-(VLOOKUP($A27,test!$A$3:$I$32,9,FALSE))-50,0))</f>
        <v>0</v>
      </c>
      <c r="U27">
        <f>IF(SUM(VLOOKUP($A27,test!$A$3:$F$32,2,FALSE),VLOOKUP(U$1,test!$A$3:$F$32,2,FALSE))&lt;=test!$K$16,IF(AND($A27&lt;&gt;U$1,feasible_mat!U27=1),(VLOOKUP(U$1,test!$A$3:$I$32,8,FALSE))-(VLOOKUP($A27,test!$A$3:$I$32,9,FALSE)),0),IF(AND($A27&lt;&gt;U$1,feasible_mat!U27=1),(VLOOKUP(U$1,test!$A$3:$I$32,8,FALSE))-(VLOOKUP($A27,test!$A$3:$I$32,9,FALSE))-50,0))</f>
        <v>0</v>
      </c>
      <c r="V27">
        <f>IF(SUM(VLOOKUP($A27,test!$A$3:$F$32,2,FALSE),VLOOKUP(V$1,test!$A$3:$F$32,2,FALSE))&lt;=test!$K$16,IF(AND($A27&lt;&gt;V$1,feasible_mat!V27=1),(VLOOKUP(V$1,test!$A$3:$I$32,8,FALSE))-(VLOOKUP($A27,test!$A$3:$I$32,9,FALSE)),0),IF(AND($A27&lt;&gt;V$1,feasible_mat!V27=1),(VLOOKUP(V$1,test!$A$3:$I$32,8,FALSE))-(VLOOKUP($A27,test!$A$3:$I$32,9,FALSE))-50,0))</f>
        <v>0</v>
      </c>
      <c r="W27">
        <f>IF(SUM(VLOOKUP($A27,test!$A$3:$F$32,2,FALSE),VLOOKUP(W$1,test!$A$3:$F$32,2,FALSE))&lt;=test!$K$16,IF(AND($A27&lt;&gt;W$1,feasible_mat!W27=1),(VLOOKUP(W$1,test!$A$3:$I$32,8,FALSE))-(VLOOKUP($A27,test!$A$3:$I$32,9,FALSE)),0),IF(AND($A27&lt;&gt;W$1,feasible_mat!W27=1),(VLOOKUP(W$1,test!$A$3:$I$32,8,FALSE))-(VLOOKUP($A27,test!$A$3:$I$32,9,FALSE))-50,0))</f>
        <v>80</v>
      </c>
      <c r="X27">
        <f>IF(SUM(VLOOKUP($A27,test!$A$3:$F$32,2,FALSE),VLOOKUP(X$1,test!$A$3:$F$32,2,FALSE))&lt;=test!$K$16,IF(AND($A27&lt;&gt;X$1,feasible_mat!X27=1),(VLOOKUP(X$1,test!$A$3:$I$32,8,FALSE))-(VLOOKUP($A27,test!$A$3:$I$32,9,FALSE)),0),IF(AND($A27&lt;&gt;X$1,feasible_mat!X27=1),(VLOOKUP(X$1,test!$A$3:$I$32,8,FALSE))-(VLOOKUP($A27,test!$A$3:$I$32,9,FALSE))-50,0))</f>
        <v>140</v>
      </c>
      <c r="Y27">
        <f>IF(SUM(VLOOKUP($A27,test!$A$3:$F$32,2,FALSE),VLOOKUP(Y$1,test!$A$3:$F$32,2,FALSE))&lt;=test!$K$16,IF(AND($A27&lt;&gt;Y$1,feasible_mat!Y27=1),(VLOOKUP(Y$1,test!$A$3:$I$32,8,FALSE))-(VLOOKUP($A27,test!$A$3:$I$32,9,FALSE)),0),IF(AND($A27&lt;&gt;Y$1,feasible_mat!Y27=1),(VLOOKUP(Y$1,test!$A$3:$I$32,8,FALSE))-(VLOOKUP($A27,test!$A$3:$I$32,9,FALSE))-50,0))</f>
        <v>0</v>
      </c>
      <c r="Z27">
        <f>IF(SUM(VLOOKUP($A27,test!$A$3:$F$32,2,FALSE),VLOOKUP(Z$1,test!$A$3:$F$32,2,FALSE))&lt;=test!$K$16,IF(AND($A27&lt;&gt;Z$1,feasible_mat!Z27=1),(VLOOKUP(Z$1,test!$A$3:$I$32,8,FALSE))-(VLOOKUP($A27,test!$A$3:$I$32,9,FALSE)),0),IF(AND($A27&lt;&gt;Z$1,feasible_mat!Z27=1),(VLOOKUP(Z$1,test!$A$3:$I$32,8,FALSE))-(VLOOKUP($A27,test!$A$3:$I$32,9,FALSE))-50,0))</f>
        <v>0</v>
      </c>
      <c r="AA27">
        <f>IF(SUM(VLOOKUP($A27,test!$A$3:$F$32,2,FALSE),VLOOKUP(AA$1,test!$A$3:$F$32,2,FALSE))&lt;=test!$K$16,IF(AND($A27&lt;&gt;AA$1,feasible_mat!AA27=1),(VLOOKUP(AA$1,test!$A$3:$I$32,8,FALSE))-(VLOOKUP($A27,test!$A$3:$I$32,9,FALSE)),0),IF(AND($A27&lt;&gt;AA$1,feasible_mat!AA27=1),(VLOOKUP(AA$1,test!$A$3:$I$32,8,FALSE))-(VLOOKUP($A27,test!$A$3:$I$32,9,FALSE))-50,0))</f>
        <v>0</v>
      </c>
      <c r="AB27">
        <f>IF(SUM(VLOOKUP($A27,test!$A$3:$F$32,2,FALSE),VLOOKUP(AB$1,test!$A$3:$F$32,2,FALSE))&lt;=test!$K$16,IF(AND($A27&lt;&gt;AB$1,feasible_mat!AB27=1),(VLOOKUP(AB$1,test!$A$3:$I$32,8,FALSE))-(VLOOKUP($A27,test!$A$3:$I$32,9,FALSE)),0),IF(AND($A27&lt;&gt;AB$1,feasible_mat!AB27=1),(VLOOKUP(AB$1,test!$A$3:$I$32,8,FALSE))-(VLOOKUP($A27,test!$A$3:$I$32,9,FALSE))-50,0))</f>
        <v>0</v>
      </c>
      <c r="AC27">
        <f>IF(SUM(VLOOKUP($A27,test!$A$3:$F$32,2,FALSE),VLOOKUP(AC$1,test!$A$3:$F$32,2,FALSE))&lt;=test!$K$16,IF(AND($A27&lt;&gt;AC$1,feasible_mat!AC27=1),(VLOOKUP(AC$1,test!$A$3:$I$32,8,FALSE))-(VLOOKUP($A27,test!$A$3:$I$32,9,FALSE)),0),IF(AND($A27&lt;&gt;AC$1,feasible_mat!AC27=1),(VLOOKUP(AC$1,test!$A$3:$I$32,8,FALSE))-(VLOOKUP($A27,test!$A$3:$I$32,9,FALSE))-50,0))</f>
        <v>40</v>
      </c>
      <c r="AD27">
        <f>IF(SUM(VLOOKUP($A27,test!$A$3:$F$32,2,FALSE),VLOOKUP(AD$1,test!$A$3:$F$32,2,FALSE))&lt;=test!$K$16,IF(AND($A27&lt;&gt;AD$1,feasible_mat!AD27=1),(VLOOKUP(AD$1,test!$A$3:$I$32,8,FALSE))-(VLOOKUP($A27,test!$A$3:$I$32,9,FALSE)),0),IF(AND($A27&lt;&gt;AD$1,feasible_mat!AD27=1),(VLOOKUP(AD$1,test!$A$3:$I$32,8,FALSE))-(VLOOKUP($A27,test!$A$3:$I$32,9,FALSE))-50,0))</f>
        <v>0</v>
      </c>
      <c r="AE27">
        <f>IF(SUM(VLOOKUP($A27,test!$A$3:$F$32,2,FALSE),VLOOKUP(AE$1,test!$A$3:$F$32,2,FALSE))&lt;=test!$K$16,IF(AND($A27&lt;&gt;AE$1,feasible_mat!AE27=1),(VLOOKUP(AE$1,test!$A$3:$I$32,8,FALSE))-(VLOOKUP($A27,test!$A$3:$I$32,9,FALSE)),0),IF(AND($A27&lt;&gt;AE$1,feasible_mat!AE27=1),(VLOOKUP(AE$1,test!$A$3:$I$32,8,FALSE))-(VLOOKUP($A27,test!$A$3:$I$32,9,FALSE))-50,0))</f>
        <v>0</v>
      </c>
      <c r="AF27">
        <f>IF(SUM(VLOOKUP($A27,test!$A$3:$F$32,2,FALSE),VLOOKUP(AF$1,test!$A$3:$F$32,2,FALSE))&lt;=test!$K$16,IF(AND($A27&lt;&gt;AF$1,feasible_mat!AF27=1),(VLOOKUP(AF$1,test!$A$3:$I$32,8,FALSE))-(VLOOKUP($A27,test!$A$3:$I$32,9,FALSE)),0),IF(AND($A27&lt;&gt;AF$1,feasible_mat!AF27=1),(VLOOKUP(AF$1,test!$A$3:$I$32,8,FALSE))-(VLOOKUP($A27,test!$A$3:$I$32,9,FALSE))-50,0))</f>
        <v>0</v>
      </c>
    </row>
    <row r="28" spans="1:36" x14ac:dyDescent="0.25">
      <c r="A28" t="s">
        <v>37</v>
      </c>
      <c r="B28">
        <v>0</v>
      </c>
      <c r="C28">
        <f>IF(SUM(VLOOKUP($A28,test!$A$3:$F$32,2,FALSE),VLOOKUP(C$1,test!$A$3:$F$32,2,FALSE))&lt;=test!$K$16,IF(AND($A28&lt;&gt;C$1,feasible_mat!C28=1),(VLOOKUP(C$1,test!$A$3:$I$32,8,FALSE))-(VLOOKUP($A28,test!$A$3:$I$32,9,FALSE)),0),IF(AND($A28&lt;&gt;C$1,feasible_mat!C28=1),(VLOOKUP(C$1,test!$A$3:$I$32,8,FALSE))-(VLOOKUP($A28,test!$A$3:$I$32,9,FALSE))-50,0))</f>
        <v>0</v>
      </c>
      <c r="D28">
        <f>IF(SUM(VLOOKUP($A28,test!$A$3:$F$32,2,FALSE),VLOOKUP(D$1,test!$A$3:$F$32,2,FALSE))&lt;=test!$K$16,IF(AND($A28&lt;&gt;D$1,feasible_mat!D28=1),(VLOOKUP(D$1,test!$A$3:$I$32,8,FALSE))-(VLOOKUP($A28,test!$A$3:$I$32,9,FALSE)),0),IF(AND($A28&lt;&gt;D$1,feasible_mat!D28=1),(VLOOKUP(D$1,test!$A$3:$I$32,8,FALSE))-(VLOOKUP($A28,test!$A$3:$I$32,9,FALSE))-50,0))</f>
        <v>0</v>
      </c>
      <c r="E28">
        <f>IF(SUM(VLOOKUP($A28,test!$A$3:$F$32,2,FALSE),VLOOKUP(E$1,test!$A$3:$F$32,2,FALSE))&lt;=test!$K$16,IF(AND($A28&lt;&gt;E$1,feasible_mat!E28=1),(VLOOKUP(E$1,test!$A$3:$I$32,8,FALSE))-(VLOOKUP($A28,test!$A$3:$I$32,9,FALSE)),0),IF(AND($A28&lt;&gt;E$1,feasible_mat!E28=1),(VLOOKUP(E$1,test!$A$3:$I$32,8,FALSE))-(VLOOKUP($A28,test!$A$3:$I$32,9,FALSE))-50,0))</f>
        <v>0</v>
      </c>
      <c r="F28">
        <f>IF(SUM(VLOOKUP($A28,test!$A$3:$F$32,2,FALSE),VLOOKUP(F$1,test!$A$3:$F$32,2,FALSE))&lt;=test!$K$16,IF(AND($A28&lt;&gt;F$1,feasible_mat!F28=1),(VLOOKUP(F$1,test!$A$3:$I$32,8,FALSE))-(VLOOKUP($A28,test!$A$3:$I$32,9,FALSE)),0),IF(AND($A28&lt;&gt;F$1,feasible_mat!F28=1),(VLOOKUP(F$1,test!$A$3:$I$32,8,FALSE))-(VLOOKUP($A28,test!$A$3:$I$32,9,FALSE))-50,0))</f>
        <v>0</v>
      </c>
      <c r="G28">
        <f>IF(SUM(VLOOKUP($A28,test!$A$3:$F$32,2,FALSE),VLOOKUP(G$1,test!$A$3:$F$32,2,FALSE))&lt;=test!$K$16,IF(AND($A28&lt;&gt;G$1,feasible_mat!G28=1),(VLOOKUP(G$1,test!$A$3:$I$32,8,FALSE))-(VLOOKUP($A28,test!$A$3:$I$32,9,FALSE)),0),IF(AND($A28&lt;&gt;G$1,feasible_mat!G28=1),(VLOOKUP(G$1,test!$A$3:$I$32,8,FALSE))-(VLOOKUP($A28,test!$A$3:$I$32,9,FALSE))-50,0))</f>
        <v>0</v>
      </c>
      <c r="H28">
        <f>IF(SUM(VLOOKUP($A28,test!$A$3:$F$32,2,FALSE),VLOOKUP(H$1,test!$A$3:$F$32,2,FALSE))&lt;=test!$K$16,IF(AND($A28&lt;&gt;H$1,feasible_mat!H28=1),(VLOOKUP(H$1,test!$A$3:$I$32,8,FALSE))-(VLOOKUP($A28,test!$A$3:$I$32,9,FALSE)),0),IF(AND($A28&lt;&gt;H$1,feasible_mat!H28=1),(VLOOKUP(H$1,test!$A$3:$I$32,8,FALSE))-(VLOOKUP($A28,test!$A$3:$I$32,9,FALSE))-50,0))</f>
        <v>0</v>
      </c>
      <c r="I28">
        <f>IF(SUM(VLOOKUP($A28,test!$A$3:$F$32,2,FALSE),VLOOKUP(I$1,test!$A$3:$F$32,2,FALSE))&lt;=test!$K$16,IF(AND($A28&lt;&gt;I$1,feasible_mat!I28=1),(VLOOKUP(I$1,test!$A$3:$I$32,8,FALSE))-(VLOOKUP($A28,test!$A$3:$I$32,9,FALSE)),0),IF(AND($A28&lt;&gt;I$1,feasible_mat!I28=1),(VLOOKUP(I$1,test!$A$3:$I$32,8,FALSE))-(VLOOKUP($A28,test!$A$3:$I$32,9,FALSE))-50,0))</f>
        <v>40</v>
      </c>
      <c r="J28">
        <f>IF(SUM(VLOOKUP($A28,test!$A$3:$F$32,2,FALSE),VLOOKUP(J$1,test!$A$3:$F$32,2,FALSE))&lt;=test!$K$16,IF(AND($A28&lt;&gt;J$1,feasible_mat!J28=1),(VLOOKUP(J$1,test!$A$3:$I$32,8,FALSE))-(VLOOKUP($A28,test!$A$3:$I$32,9,FALSE)),0),IF(AND($A28&lt;&gt;J$1,feasible_mat!J28=1),(VLOOKUP(J$1,test!$A$3:$I$32,8,FALSE))-(VLOOKUP($A28,test!$A$3:$I$32,9,FALSE))-50,0))</f>
        <v>130</v>
      </c>
      <c r="K28">
        <f>IF(SUM(VLOOKUP($A28,test!$A$3:$F$32,2,FALSE),VLOOKUP(K$1,test!$A$3:$F$32,2,FALSE))&lt;=test!$K$16,IF(AND($A28&lt;&gt;K$1,feasible_mat!K28=1),(VLOOKUP(K$1,test!$A$3:$I$32,8,FALSE))-(VLOOKUP($A28,test!$A$3:$I$32,9,FALSE)),0),IF(AND($A28&lt;&gt;K$1,feasible_mat!K28=1),(VLOOKUP(K$1,test!$A$3:$I$32,8,FALSE))-(VLOOKUP($A28,test!$A$3:$I$32,9,FALSE))-50,0))</f>
        <v>0</v>
      </c>
      <c r="L28">
        <f>IF(SUM(VLOOKUP($A28,test!$A$3:$F$32,2,FALSE),VLOOKUP(L$1,test!$A$3:$F$32,2,FALSE))&lt;=test!$K$16,IF(AND($A28&lt;&gt;L$1,feasible_mat!L28=1),(VLOOKUP(L$1,test!$A$3:$I$32,8,FALSE))-(VLOOKUP($A28,test!$A$3:$I$32,9,FALSE)),0),IF(AND($A28&lt;&gt;L$1,feasible_mat!L28=1),(VLOOKUP(L$1,test!$A$3:$I$32,8,FALSE))-(VLOOKUP($A28,test!$A$3:$I$32,9,FALSE))-50,0))</f>
        <v>0</v>
      </c>
      <c r="M28">
        <f>IF(SUM(VLOOKUP($A28,test!$A$3:$F$32,2,FALSE),VLOOKUP(M$1,test!$A$3:$F$32,2,FALSE))&lt;=test!$K$16,IF(AND($A28&lt;&gt;M$1,feasible_mat!M28=1),(VLOOKUP(M$1,test!$A$3:$I$32,8,FALSE))-(VLOOKUP($A28,test!$A$3:$I$32,9,FALSE)),0),IF(AND($A28&lt;&gt;M$1,feasible_mat!M28=1),(VLOOKUP(M$1,test!$A$3:$I$32,8,FALSE))-(VLOOKUP($A28,test!$A$3:$I$32,9,FALSE))-50,0))</f>
        <v>0</v>
      </c>
      <c r="N28">
        <f>IF(SUM(VLOOKUP($A28,test!$A$3:$F$32,2,FALSE),VLOOKUP(N$1,test!$A$3:$F$32,2,FALSE))&lt;=test!$K$16,IF(AND($A28&lt;&gt;N$1,feasible_mat!N28=1),(VLOOKUP(N$1,test!$A$3:$I$32,8,FALSE))-(VLOOKUP($A28,test!$A$3:$I$32,9,FALSE)),0),IF(AND($A28&lt;&gt;N$1,feasible_mat!N28=1),(VLOOKUP(N$1,test!$A$3:$I$32,8,FALSE))-(VLOOKUP($A28,test!$A$3:$I$32,9,FALSE))-50,0))</f>
        <v>95</v>
      </c>
      <c r="O28">
        <f>IF(SUM(VLOOKUP($A28,test!$A$3:$F$32,2,FALSE),VLOOKUP(O$1,test!$A$3:$F$32,2,FALSE))&lt;=test!$K$16,IF(AND($A28&lt;&gt;O$1,feasible_mat!O28=1),(VLOOKUP(O$1,test!$A$3:$I$32,8,FALSE))-(VLOOKUP($A28,test!$A$3:$I$32,9,FALSE)),0),IF(AND($A28&lt;&gt;O$1,feasible_mat!O28=1),(VLOOKUP(O$1,test!$A$3:$I$32,8,FALSE))-(VLOOKUP($A28,test!$A$3:$I$32,9,FALSE))-50,0))</f>
        <v>155</v>
      </c>
      <c r="P28">
        <f>IF(SUM(VLOOKUP($A28,test!$A$3:$F$32,2,FALSE),VLOOKUP(P$1,test!$A$3:$F$32,2,FALSE))&lt;=test!$K$16,IF(AND($A28&lt;&gt;P$1,feasible_mat!P28=1),(VLOOKUP(P$1,test!$A$3:$I$32,8,FALSE))-(VLOOKUP($A28,test!$A$3:$I$32,9,FALSE)),0),IF(AND($A28&lt;&gt;P$1,feasible_mat!P28=1),(VLOOKUP(P$1,test!$A$3:$I$32,8,FALSE))-(VLOOKUP($A28,test!$A$3:$I$32,9,FALSE))-50,0))</f>
        <v>0</v>
      </c>
      <c r="Q28">
        <f>IF(SUM(VLOOKUP($A28,test!$A$3:$F$32,2,FALSE),VLOOKUP(Q$1,test!$A$3:$F$32,2,FALSE))&lt;=test!$K$16,IF(AND($A28&lt;&gt;Q$1,feasible_mat!Q28=1),(VLOOKUP(Q$1,test!$A$3:$I$32,8,FALSE))-(VLOOKUP($A28,test!$A$3:$I$32,9,FALSE)),0),IF(AND($A28&lt;&gt;Q$1,feasible_mat!Q28=1),(VLOOKUP(Q$1,test!$A$3:$I$32,8,FALSE))-(VLOOKUP($A28,test!$A$3:$I$32,9,FALSE))-50,0))</f>
        <v>0</v>
      </c>
      <c r="R28">
        <f>IF(SUM(VLOOKUP($A28,test!$A$3:$F$32,2,FALSE),VLOOKUP(R$1,test!$A$3:$F$32,2,FALSE))&lt;=test!$K$16,IF(AND($A28&lt;&gt;R$1,feasible_mat!R28=1),(VLOOKUP(R$1,test!$A$3:$I$32,8,FALSE))-(VLOOKUP($A28,test!$A$3:$I$32,9,FALSE)),0),IF(AND($A28&lt;&gt;R$1,feasible_mat!R28=1),(VLOOKUP(R$1,test!$A$3:$I$32,8,FALSE))-(VLOOKUP($A28,test!$A$3:$I$32,9,FALSE))-50,0))</f>
        <v>0</v>
      </c>
      <c r="S28">
        <f>IF(SUM(VLOOKUP($A28,test!$A$3:$F$32,2,FALSE),VLOOKUP(S$1,test!$A$3:$F$32,2,FALSE))&lt;=test!$K$16,IF(AND($A28&lt;&gt;S$1,feasible_mat!S28=1),(VLOOKUP(S$1,test!$A$3:$I$32,8,FALSE))-(VLOOKUP($A28,test!$A$3:$I$32,9,FALSE)),0),IF(AND($A28&lt;&gt;S$1,feasible_mat!S28=1),(VLOOKUP(S$1,test!$A$3:$I$32,8,FALSE))-(VLOOKUP($A28,test!$A$3:$I$32,9,FALSE))-50,0))</f>
        <v>0</v>
      </c>
      <c r="T28">
        <f>IF(SUM(VLOOKUP($A28,test!$A$3:$F$32,2,FALSE),VLOOKUP(T$1,test!$A$3:$F$32,2,FALSE))&lt;=test!$K$16,IF(AND($A28&lt;&gt;T$1,feasible_mat!T28=1),(VLOOKUP(T$1,test!$A$3:$I$32,8,FALSE))-(VLOOKUP($A28,test!$A$3:$I$32,9,FALSE)),0),IF(AND($A28&lt;&gt;T$1,feasible_mat!T28=1),(VLOOKUP(T$1,test!$A$3:$I$32,8,FALSE))-(VLOOKUP($A28,test!$A$3:$I$32,9,FALSE))-50,0))</f>
        <v>0</v>
      </c>
      <c r="U28">
        <f>IF(SUM(VLOOKUP($A28,test!$A$3:$F$32,2,FALSE),VLOOKUP(U$1,test!$A$3:$F$32,2,FALSE))&lt;=test!$K$16,IF(AND($A28&lt;&gt;U$1,feasible_mat!U28=1),(VLOOKUP(U$1,test!$A$3:$I$32,8,FALSE))-(VLOOKUP($A28,test!$A$3:$I$32,9,FALSE)),0),IF(AND($A28&lt;&gt;U$1,feasible_mat!U28=1),(VLOOKUP(U$1,test!$A$3:$I$32,8,FALSE))-(VLOOKUP($A28,test!$A$3:$I$32,9,FALSE))-50,0))</f>
        <v>0</v>
      </c>
      <c r="V28">
        <f>IF(SUM(VLOOKUP($A28,test!$A$3:$F$32,2,FALSE),VLOOKUP(V$1,test!$A$3:$F$32,2,FALSE))&lt;=test!$K$16,IF(AND($A28&lt;&gt;V$1,feasible_mat!V28=1),(VLOOKUP(V$1,test!$A$3:$I$32,8,FALSE))-(VLOOKUP($A28,test!$A$3:$I$32,9,FALSE)),0),IF(AND($A28&lt;&gt;V$1,feasible_mat!V28=1),(VLOOKUP(V$1,test!$A$3:$I$32,8,FALSE))-(VLOOKUP($A28,test!$A$3:$I$32,9,FALSE))-50,0))</f>
        <v>0</v>
      </c>
      <c r="W28">
        <f>IF(SUM(VLOOKUP($A28,test!$A$3:$F$32,2,FALSE),VLOOKUP(W$1,test!$A$3:$F$32,2,FALSE))&lt;=test!$K$16,IF(AND($A28&lt;&gt;W$1,feasible_mat!W28=1),(VLOOKUP(W$1,test!$A$3:$I$32,8,FALSE))-(VLOOKUP($A28,test!$A$3:$I$32,9,FALSE)),0),IF(AND($A28&lt;&gt;W$1,feasible_mat!W28=1),(VLOOKUP(W$1,test!$A$3:$I$32,8,FALSE))-(VLOOKUP($A28,test!$A$3:$I$32,9,FALSE))-50,0))</f>
        <v>20</v>
      </c>
      <c r="X28">
        <f>IF(SUM(VLOOKUP($A28,test!$A$3:$F$32,2,FALSE),VLOOKUP(X$1,test!$A$3:$F$32,2,FALSE))&lt;=test!$K$16,IF(AND($A28&lt;&gt;X$1,feasible_mat!X28=1),(VLOOKUP(X$1,test!$A$3:$I$32,8,FALSE))-(VLOOKUP($A28,test!$A$3:$I$32,9,FALSE)),0),IF(AND($A28&lt;&gt;X$1,feasible_mat!X28=1),(VLOOKUP(X$1,test!$A$3:$I$32,8,FALSE))-(VLOOKUP($A28,test!$A$3:$I$32,9,FALSE))-50,0))</f>
        <v>80</v>
      </c>
      <c r="Y28">
        <f>IF(SUM(VLOOKUP($A28,test!$A$3:$F$32,2,FALSE),VLOOKUP(Y$1,test!$A$3:$F$32,2,FALSE))&lt;=test!$K$16,IF(AND($A28&lt;&gt;Y$1,feasible_mat!Y28=1),(VLOOKUP(Y$1,test!$A$3:$I$32,8,FALSE))-(VLOOKUP($A28,test!$A$3:$I$32,9,FALSE)),0),IF(AND($A28&lt;&gt;Y$1,feasible_mat!Y28=1),(VLOOKUP(Y$1,test!$A$3:$I$32,8,FALSE))-(VLOOKUP($A28,test!$A$3:$I$32,9,FALSE))-50,0))</f>
        <v>0</v>
      </c>
      <c r="Z28">
        <f>IF(SUM(VLOOKUP($A28,test!$A$3:$F$32,2,FALSE),VLOOKUP(Z$1,test!$A$3:$F$32,2,FALSE))&lt;=test!$K$16,IF(AND($A28&lt;&gt;Z$1,feasible_mat!Z28=1),(VLOOKUP(Z$1,test!$A$3:$I$32,8,FALSE))-(VLOOKUP($A28,test!$A$3:$I$32,9,FALSE)),0),IF(AND($A28&lt;&gt;Z$1,feasible_mat!Z28=1),(VLOOKUP(Z$1,test!$A$3:$I$32,8,FALSE))-(VLOOKUP($A28,test!$A$3:$I$32,9,FALSE))-50,0))</f>
        <v>0</v>
      </c>
      <c r="AA28">
        <f>IF(SUM(VLOOKUP($A28,test!$A$3:$F$32,2,FALSE),VLOOKUP(AA$1,test!$A$3:$F$32,2,FALSE))&lt;=test!$K$16,IF(AND($A28&lt;&gt;AA$1,feasible_mat!AA28=1),(VLOOKUP(AA$1,test!$A$3:$I$32,8,FALSE))-(VLOOKUP($A28,test!$A$3:$I$32,9,FALSE)),0),IF(AND($A28&lt;&gt;AA$1,feasible_mat!AA28=1),(VLOOKUP(AA$1,test!$A$3:$I$32,8,FALSE))-(VLOOKUP($A28,test!$A$3:$I$32,9,FALSE))-50,0))</f>
        <v>0</v>
      </c>
      <c r="AB28">
        <f>IF(SUM(VLOOKUP($A28,test!$A$3:$F$32,2,FALSE),VLOOKUP(AB$1,test!$A$3:$F$32,2,FALSE))&lt;=test!$K$16,IF(AND($A28&lt;&gt;AB$1,feasible_mat!AB28=1),(VLOOKUP(AB$1,test!$A$3:$I$32,8,FALSE))-(VLOOKUP($A28,test!$A$3:$I$32,9,FALSE)),0),IF(AND($A28&lt;&gt;AB$1,feasible_mat!AB28=1),(VLOOKUP(AB$1,test!$A$3:$I$32,8,FALSE))-(VLOOKUP($A28,test!$A$3:$I$32,9,FALSE))-50,0))</f>
        <v>0</v>
      </c>
      <c r="AC28">
        <f>IF(SUM(VLOOKUP($A28,test!$A$3:$F$32,2,FALSE),VLOOKUP(AC$1,test!$A$3:$F$32,2,FALSE))&lt;=test!$K$16,IF(AND($A28&lt;&gt;AC$1,feasible_mat!AC28=1),(VLOOKUP(AC$1,test!$A$3:$I$32,8,FALSE))-(VLOOKUP($A28,test!$A$3:$I$32,9,FALSE)),0),IF(AND($A28&lt;&gt;AC$1,feasible_mat!AC28=1),(VLOOKUP(AC$1,test!$A$3:$I$32,8,FALSE))-(VLOOKUP($A28,test!$A$3:$I$32,9,FALSE))-50,0))</f>
        <v>0</v>
      </c>
      <c r="AD28">
        <f>IF(SUM(VLOOKUP($A28,test!$A$3:$F$32,2,FALSE),VLOOKUP(AD$1,test!$A$3:$F$32,2,FALSE))&lt;=test!$K$16,IF(AND($A28&lt;&gt;AD$1,feasible_mat!AD28=1),(VLOOKUP(AD$1,test!$A$3:$I$32,8,FALSE))-(VLOOKUP($A28,test!$A$3:$I$32,9,FALSE)),0),IF(AND($A28&lt;&gt;AD$1,feasible_mat!AD28=1),(VLOOKUP(AD$1,test!$A$3:$I$32,8,FALSE))-(VLOOKUP($A28,test!$A$3:$I$32,9,FALSE))-50,0))</f>
        <v>0</v>
      </c>
      <c r="AE28">
        <f>IF(SUM(VLOOKUP($A28,test!$A$3:$F$32,2,FALSE),VLOOKUP(AE$1,test!$A$3:$F$32,2,FALSE))&lt;=test!$K$16,IF(AND($A28&lt;&gt;AE$1,feasible_mat!AE28=1),(VLOOKUP(AE$1,test!$A$3:$I$32,8,FALSE))-(VLOOKUP($A28,test!$A$3:$I$32,9,FALSE)),0),IF(AND($A28&lt;&gt;AE$1,feasible_mat!AE28=1),(VLOOKUP(AE$1,test!$A$3:$I$32,8,FALSE))-(VLOOKUP($A28,test!$A$3:$I$32,9,FALSE))-50,0))</f>
        <v>0</v>
      </c>
      <c r="AF28">
        <f>IF(SUM(VLOOKUP($A28,test!$A$3:$F$32,2,FALSE),VLOOKUP(AF$1,test!$A$3:$F$32,2,FALSE))&lt;=test!$K$16,IF(AND($A28&lt;&gt;AF$1,feasible_mat!AF28=1),(VLOOKUP(AF$1,test!$A$3:$I$32,8,FALSE))-(VLOOKUP($A28,test!$A$3:$I$32,9,FALSE)),0),IF(AND($A28&lt;&gt;AF$1,feasible_mat!AF28=1),(VLOOKUP(AF$1,test!$A$3:$I$32,8,FALSE))-(VLOOKUP($A28,test!$A$3:$I$32,9,FALSE))-50,0))</f>
        <v>0</v>
      </c>
    </row>
    <row r="29" spans="1:36" x14ac:dyDescent="0.25">
      <c r="A29" t="s">
        <v>38</v>
      </c>
      <c r="B29">
        <v>0</v>
      </c>
      <c r="C29">
        <f>IF(SUM(VLOOKUP($A29,test!$A$3:$F$32,2,FALSE),VLOOKUP(C$1,test!$A$3:$F$32,2,FALSE))&lt;=test!$K$16,IF(AND($A29&lt;&gt;C$1,feasible_mat!C29=1),(VLOOKUP(C$1,test!$A$3:$I$32,8,FALSE))-(VLOOKUP($A29,test!$A$3:$I$32,9,FALSE)),0),IF(AND($A29&lt;&gt;C$1,feasible_mat!C29=1),(VLOOKUP(C$1,test!$A$3:$I$32,8,FALSE))-(VLOOKUP($A29,test!$A$3:$I$32,9,FALSE))-50,0))</f>
        <v>0</v>
      </c>
      <c r="D29">
        <f>IF(SUM(VLOOKUP($A29,test!$A$3:$F$32,2,FALSE),VLOOKUP(D$1,test!$A$3:$F$32,2,FALSE))&lt;=test!$K$16,IF(AND($A29&lt;&gt;D$1,feasible_mat!D29=1),(VLOOKUP(D$1,test!$A$3:$I$32,8,FALSE))-(VLOOKUP($A29,test!$A$3:$I$32,9,FALSE)),0),IF(AND($A29&lt;&gt;D$1,feasible_mat!D29=1),(VLOOKUP(D$1,test!$A$3:$I$32,8,FALSE))-(VLOOKUP($A29,test!$A$3:$I$32,9,FALSE))-50,0))</f>
        <v>0</v>
      </c>
      <c r="E29">
        <f>IF(SUM(VLOOKUP($A29,test!$A$3:$F$32,2,FALSE),VLOOKUP(E$1,test!$A$3:$F$32,2,FALSE))&lt;=test!$K$16,IF(AND($A29&lt;&gt;E$1,feasible_mat!E29=1),(VLOOKUP(E$1,test!$A$3:$I$32,8,FALSE))-(VLOOKUP($A29,test!$A$3:$I$32,9,FALSE)),0),IF(AND($A29&lt;&gt;E$1,feasible_mat!E29=1),(VLOOKUP(E$1,test!$A$3:$I$32,8,FALSE))-(VLOOKUP($A29,test!$A$3:$I$32,9,FALSE))-50,0))</f>
        <v>0</v>
      </c>
      <c r="F29">
        <f>IF(SUM(VLOOKUP($A29,test!$A$3:$F$32,2,FALSE),VLOOKUP(F$1,test!$A$3:$F$32,2,FALSE))&lt;=test!$K$16,IF(AND($A29&lt;&gt;F$1,feasible_mat!F29=1),(VLOOKUP(F$1,test!$A$3:$I$32,8,FALSE))-(VLOOKUP($A29,test!$A$3:$I$32,9,FALSE)),0),IF(AND($A29&lt;&gt;F$1,feasible_mat!F29=1),(VLOOKUP(F$1,test!$A$3:$I$32,8,FALSE))-(VLOOKUP($A29,test!$A$3:$I$32,9,FALSE))-50,0))</f>
        <v>0</v>
      </c>
      <c r="G29">
        <f>IF(SUM(VLOOKUP($A29,test!$A$3:$F$32,2,FALSE),VLOOKUP(G$1,test!$A$3:$F$32,2,FALSE))&lt;=test!$K$16,IF(AND($A29&lt;&gt;G$1,feasible_mat!G29=1),(VLOOKUP(G$1,test!$A$3:$I$32,8,FALSE))-(VLOOKUP($A29,test!$A$3:$I$32,9,FALSE)),0),IF(AND($A29&lt;&gt;G$1,feasible_mat!G29=1),(VLOOKUP(G$1,test!$A$3:$I$32,8,FALSE))-(VLOOKUP($A29,test!$A$3:$I$32,9,FALSE))-50,0))</f>
        <v>0</v>
      </c>
      <c r="H29">
        <f>IF(SUM(VLOOKUP($A29,test!$A$3:$F$32,2,FALSE),VLOOKUP(H$1,test!$A$3:$F$32,2,FALSE))&lt;=test!$K$16,IF(AND($A29&lt;&gt;H$1,feasible_mat!H29=1),(VLOOKUP(H$1,test!$A$3:$I$32,8,FALSE))-(VLOOKUP($A29,test!$A$3:$I$32,9,FALSE)),0),IF(AND($A29&lt;&gt;H$1,feasible_mat!H29=1),(VLOOKUP(H$1,test!$A$3:$I$32,8,FALSE))-(VLOOKUP($A29,test!$A$3:$I$32,9,FALSE))-50,0))</f>
        <v>0</v>
      </c>
      <c r="I29">
        <f>IF(SUM(VLOOKUP($A29,test!$A$3:$F$32,2,FALSE),VLOOKUP(I$1,test!$A$3:$F$32,2,FALSE))&lt;=test!$K$16,IF(AND($A29&lt;&gt;I$1,feasible_mat!I29=1),(VLOOKUP(I$1,test!$A$3:$I$32,8,FALSE))-(VLOOKUP($A29,test!$A$3:$I$32,9,FALSE)),0),IF(AND($A29&lt;&gt;I$1,feasible_mat!I29=1),(VLOOKUP(I$1,test!$A$3:$I$32,8,FALSE))-(VLOOKUP($A29,test!$A$3:$I$32,9,FALSE))-50,0))</f>
        <v>0</v>
      </c>
      <c r="J29">
        <f>IF(SUM(VLOOKUP($A29,test!$A$3:$F$32,2,FALSE),VLOOKUP(J$1,test!$A$3:$F$32,2,FALSE))&lt;=test!$K$16,IF(AND($A29&lt;&gt;J$1,feasible_mat!J29=1),(VLOOKUP(J$1,test!$A$3:$I$32,8,FALSE))-(VLOOKUP($A29,test!$A$3:$I$32,9,FALSE)),0),IF(AND($A29&lt;&gt;J$1,feasible_mat!J29=1),(VLOOKUP(J$1,test!$A$3:$I$32,8,FALSE))-(VLOOKUP($A29,test!$A$3:$I$32,9,FALSE))-50,0))</f>
        <v>0</v>
      </c>
      <c r="K29">
        <f>IF(SUM(VLOOKUP($A29,test!$A$3:$F$32,2,FALSE),VLOOKUP(K$1,test!$A$3:$F$32,2,FALSE))&lt;=test!$K$16,IF(AND($A29&lt;&gt;K$1,feasible_mat!K29=1),(VLOOKUP(K$1,test!$A$3:$I$32,8,FALSE))-(VLOOKUP($A29,test!$A$3:$I$32,9,FALSE)),0),IF(AND($A29&lt;&gt;K$1,feasible_mat!K29=1),(VLOOKUP(K$1,test!$A$3:$I$32,8,FALSE))-(VLOOKUP($A29,test!$A$3:$I$32,9,FALSE))-50,0))</f>
        <v>0</v>
      </c>
      <c r="L29">
        <f>IF(SUM(VLOOKUP($A29,test!$A$3:$F$32,2,FALSE),VLOOKUP(L$1,test!$A$3:$F$32,2,FALSE))&lt;=test!$K$16,IF(AND($A29&lt;&gt;L$1,feasible_mat!L29=1),(VLOOKUP(L$1,test!$A$3:$I$32,8,FALSE))-(VLOOKUP($A29,test!$A$3:$I$32,9,FALSE)),0),IF(AND($A29&lt;&gt;L$1,feasible_mat!L29=1),(VLOOKUP(L$1,test!$A$3:$I$32,8,FALSE))-(VLOOKUP($A29,test!$A$3:$I$32,9,FALSE))-50,0))</f>
        <v>0</v>
      </c>
      <c r="M29">
        <f>IF(SUM(VLOOKUP($A29,test!$A$3:$F$32,2,FALSE),VLOOKUP(M$1,test!$A$3:$F$32,2,FALSE))&lt;=test!$K$16,IF(AND($A29&lt;&gt;M$1,feasible_mat!M29=1),(VLOOKUP(M$1,test!$A$3:$I$32,8,FALSE))-(VLOOKUP($A29,test!$A$3:$I$32,9,FALSE)),0),IF(AND($A29&lt;&gt;M$1,feasible_mat!M29=1),(VLOOKUP(M$1,test!$A$3:$I$32,8,FALSE))-(VLOOKUP($A29,test!$A$3:$I$32,9,FALSE))-50,0))</f>
        <v>0</v>
      </c>
      <c r="N29">
        <f>IF(SUM(VLOOKUP($A29,test!$A$3:$F$32,2,FALSE),VLOOKUP(N$1,test!$A$3:$F$32,2,FALSE))&lt;=test!$K$16,IF(AND($A29&lt;&gt;N$1,feasible_mat!N29=1),(VLOOKUP(N$1,test!$A$3:$I$32,8,FALSE))-(VLOOKUP($A29,test!$A$3:$I$32,9,FALSE)),0),IF(AND($A29&lt;&gt;N$1,feasible_mat!N29=1),(VLOOKUP(N$1,test!$A$3:$I$32,8,FALSE))-(VLOOKUP($A29,test!$A$3:$I$32,9,FALSE))-50,0))</f>
        <v>0</v>
      </c>
      <c r="O29">
        <f>IF(SUM(VLOOKUP($A29,test!$A$3:$F$32,2,FALSE),VLOOKUP(O$1,test!$A$3:$F$32,2,FALSE))&lt;=test!$K$16,IF(AND($A29&lt;&gt;O$1,feasible_mat!O29=1),(VLOOKUP(O$1,test!$A$3:$I$32,8,FALSE))-(VLOOKUP($A29,test!$A$3:$I$32,9,FALSE)),0),IF(AND($A29&lt;&gt;O$1,feasible_mat!O29=1),(VLOOKUP(O$1,test!$A$3:$I$32,8,FALSE))-(VLOOKUP($A29,test!$A$3:$I$32,9,FALSE))-50,0))</f>
        <v>35</v>
      </c>
      <c r="P29">
        <f>IF(SUM(VLOOKUP($A29,test!$A$3:$F$32,2,FALSE),VLOOKUP(P$1,test!$A$3:$F$32,2,FALSE))&lt;=test!$K$16,IF(AND($A29&lt;&gt;P$1,feasible_mat!P29=1),(VLOOKUP(P$1,test!$A$3:$I$32,8,FALSE))-(VLOOKUP($A29,test!$A$3:$I$32,9,FALSE)),0),IF(AND($A29&lt;&gt;P$1,feasible_mat!P29=1),(VLOOKUP(P$1,test!$A$3:$I$32,8,FALSE))-(VLOOKUP($A29,test!$A$3:$I$32,9,FALSE))-50,0))</f>
        <v>0</v>
      </c>
      <c r="Q29">
        <f>IF(SUM(VLOOKUP($A29,test!$A$3:$F$32,2,FALSE),VLOOKUP(Q$1,test!$A$3:$F$32,2,FALSE))&lt;=test!$K$16,IF(AND($A29&lt;&gt;Q$1,feasible_mat!Q29=1),(VLOOKUP(Q$1,test!$A$3:$I$32,8,FALSE))-(VLOOKUP($A29,test!$A$3:$I$32,9,FALSE)),0),IF(AND($A29&lt;&gt;Q$1,feasible_mat!Q29=1),(VLOOKUP(Q$1,test!$A$3:$I$32,8,FALSE))-(VLOOKUP($A29,test!$A$3:$I$32,9,FALSE))-50,0))</f>
        <v>0</v>
      </c>
      <c r="R29">
        <f>IF(SUM(VLOOKUP($A29,test!$A$3:$F$32,2,FALSE),VLOOKUP(R$1,test!$A$3:$F$32,2,FALSE))&lt;=test!$K$16,IF(AND($A29&lt;&gt;R$1,feasible_mat!R29=1),(VLOOKUP(R$1,test!$A$3:$I$32,8,FALSE))-(VLOOKUP($A29,test!$A$3:$I$32,9,FALSE)),0),IF(AND($A29&lt;&gt;R$1,feasible_mat!R29=1),(VLOOKUP(R$1,test!$A$3:$I$32,8,FALSE))-(VLOOKUP($A29,test!$A$3:$I$32,9,FALSE))-50,0))</f>
        <v>0</v>
      </c>
      <c r="S29">
        <f>IF(SUM(VLOOKUP($A29,test!$A$3:$F$32,2,FALSE),VLOOKUP(S$1,test!$A$3:$F$32,2,FALSE))&lt;=test!$K$16,IF(AND($A29&lt;&gt;S$1,feasible_mat!S29=1),(VLOOKUP(S$1,test!$A$3:$I$32,8,FALSE))-(VLOOKUP($A29,test!$A$3:$I$32,9,FALSE)),0),IF(AND($A29&lt;&gt;S$1,feasible_mat!S29=1),(VLOOKUP(S$1,test!$A$3:$I$32,8,FALSE))-(VLOOKUP($A29,test!$A$3:$I$32,9,FALSE))-50,0))</f>
        <v>0</v>
      </c>
      <c r="T29">
        <f>IF(SUM(VLOOKUP($A29,test!$A$3:$F$32,2,FALSE),VLOOKUP(T$1,test!$A$3:$F$32,2,FALSE))&lt;=test!$K$16,IF(AND($A29&lt;&gt;T$1,feasible_mat!T29=1),(VLOOKUP(T$1,test!$A$3:$I$32,8,FALSE))-(VLOOKUP($A29,test!$A$3:$I$32,9,FALSE)),0),IF(AND($A29&lt;&gt;T$1,feasible_mat!T29=1),(VLOOKUP(T$1,test!$A$3:$I$32,8,FALSE))-(VLOOKUP($A29,test!$A$3:$I$32,9,FALSE))-50,0))</f>
        <v>0</v>
      </c>
      <c r="U29">
        <f>IF(SUM(VLOOKUP($A29,test!$A$3:$F$32,2,FALSE),VLOOKUP(U$1,test!$A$3:$F$32,2,FALSE))&lt;=test!$K$16,IF(AND($A29&lt;&gt;U$1,feasible_mat!U29=1),(VLOOKUP(U$1,test!$A$3:$I$32,8,FALSE))-(VLOOKUP($A29,test!$A$3:$I$32,9,FALSE)),0),IF(AND($A29&lt;&gt;U$1,feasible_mat!U29=1),(VLOOKUP(U$1,test!$A$3:$I$32,8,FALSE))-(VLOOKUP($A29,test!$A$3:$I$32,9,FALSE))-50,0))</f>
        <v>0</v>
      </c>
      <c r="V29">
        <f>IF(SUM(VLOOKUP($A29,test!$A$3:$F$32,2,FALSE),VLOOKUP(V$1,test!$A$3:$F$32,2,FALSE))&lt;=test!$K$16,IF(AND($A29&lt;&gt;V$1,feasible_mat!V29=1),(VLOOKUP(V$1,test!$A$3:$I$32,8,FALSE))-(VLOOKUP($A29,test!$A$3:$I$32,9,FALSE)),0),IF(AND($A29&lt;&gt;V$1,feasible_mat!V29=1),(VLOOKUP(V$1,test!$A$3:$I$32,8,FALSE))-(VLOOKUP($A29,test!$A$3:$I$32,9,FALSE))-50,0))</f>
        <v>0</v>
      </c>
      <c r="W29">
        <f>IF(SUM(VLOOKUP($A29,test!$A$3:$F$32,2,FALSE),VLOOKUP(W$1,test!$A$3:$F$32,2,FALSE))&lt;=test!$K$16,IF(AND($A29&lt;&gt;W$1,feasible_mat!W29=1),(VLOOKUP(W$1,test!$A$3:$I$32,8,FALSE))-(VLOOKUP($A29,test!$A$3:$I$32,9,FALSE)),0),IF(AND($A29&lt;&gt;W$1,feasible_mat!W29=1),(VLOOKUP(W$1,test!$A$3:$I$32,8,FALSE))-(VLOOKUP($A29,test!$A$3:$I$32,9,FALSE))-50,0))</f>
        <v>0</v>
      </c>
      <c r="X29">
        <f>IF(SUM(VLOOKUP($A29,test!$A$3:$F$32,2,FALSE),VLOOKUP(X$1,test!$A$3:$F$32,2,FALSE))&lt;=test!$K$16,IF(AND($A29&lt;&gt;X$1,feasible_mat!X29=1),(VLOOKUP(X$1,test!$A$3:$I$32,8,FALSE))-(VLOOKUP($A29,test!$A$3:$I$32,9,FALSE)),0),IF(AND($A29&lt;&gt;X$1,feasible_mat!X29=1),(VLOOKUP(X$1,test!$A$3:$I$32,8,FALSE))-(VLOOKUP($A29,test!$A$3:$I$32,9,FALSE))-50,0))</f>
        <v>0</v>
      </c>
      <c r="Y29">
        <f>IF(SUM(VLOOKUP($A29,test!$A$3:$F$32,2,FALSE),VLOOKUP(Y$1,test!$A$3:$F$32,2,FALSE))&lt;=test!$K$16,IF(AND($A29&lt;&gt;Y$1,feasible_mat!Y29=1),(VLOOKUP(Y$1,test!$A$3:$I$32,8,FALSE))-(VLOOKUP($A29,test!$A$3:$I$32,9,FALSE)),0),IF(AND($A29&lt;&gt;Y$1,feasible_mat!Y29=1),(VLOOKUP(Y$1,test!$A$3:$I$32,8,FALSE))-(VLOOKUP($A29,test!$A$3:$I$32,9,FALSE))-50,0))</f>
        <v>0</v>
      </c>
      <c r="Z29">
        <f>IF(SUM(VLOOKUP($A29,test!$A$3:$F$32,2,FALSE),VLOOKUP(Z$1,test!$A$3:$F$32,2,FALSE))&lt;=test!$K$16,IF(AND($A29&lt;&gt;Z$1,feasible_mat!Z29=1),(VLOOKUP(Z$1,test!$A$3:$I$32,8,FALSE))-(VLOOKUP($A29,test!$A$3:$I$32,9,FALSE)),0),IF(AND($A29&lt;&gt;Z$1,feasible_mat!Z29=1),(VLOOKUP(Z$1,test!$A$3:$I$32,8,FALSE))-(VLOOKUP($A29,test!$A$3:$I$32,9,FALSE))-50,0))</f>
        <v>0</v>
      </c>
      <c r="AA29">
        <f>IF(SUM(VLOOKUP($A29,test!$A$3:$F$32,2,FALSE),VLOOKUP(AA$1,test!$A$3:$F$32,2,FALSE))&lt;=test!$K$16,IF(AND($A29&lt;&gt;AA$1,feasible_mat!AA29=1),(VLOOKUP(AA$1,test!$A$3:$I$32,8,FALSE))-(VLOOKUP($A29,test!$A$3:$I$32,9,FALSE)),0),IF(AND($A29&lt;&gt;AA$1,feasible_mat!AA29=1),(VLOOKUP(AA$1,test!$A$3:$I$32,8,FALSE))-(VLOOKUP($A29,test!$A$3:$I$32,9,FALSE))-50,0))</f>
        <v>0</v>
      </c>
      <c r="AB29">
        <f>IF(SUM(VLOOKUP($A29,test!$A$3:$F$32,2,FALSE),VLOOKUP(AB$1,test!$A$3:$F$32,2,FALSE))&lt;=test!$K$16,IF(AND($A29&lt;&gt;AB$1,feasible_mat!AB29=1),(VLOOKUP(AB$1,test!$A$3:$I$32,8,FALSE))-(VLOOKUP($A29,test!$A$3:$I$32,9,FALSE)),0),IF(AND($A29&lt;&gt;AB$1,feasible_mat!AB29=1),(VLOOKUP(AB$1,test!$A$3:$I$32,8,FALSE))-(VLOOKUP($A29,test!$A$3:$I$32,9,FALSE))-50,0))</f>
        <v>0</v>
      </c>
      <c r="AC29">
        <f>IF(SUM(VLOOKUP($A29,test!$A$3:$F$32,2,FALSE),VLOOKUP(AC$1,test!$A$3:$F$32,2,FALSE))&lt;=test!$K$16,IF(AND($A29&lt;&gt;AC$1,feasible_mat!AC29=1),(VLOOKUP(AC$1,test!$A$3:$I$32,8,FALSE))-(VLOOKUP($A29,test!$A$3:$I$32,9,FALSE)),0),IF(AND($A29&lt;&gt;AC$1,feasible_mat!AC29=1),(VLOOKUP(AC$1,test!$A$3:$I$32,8,FALSE))-(VLOOKUP($A29,test!$A$3:$I$32,9,FALSE))-50,0))</f>
        <v>0</v>
      </c>
      <c r="AD29">
        <f>IF(SUM(VLOOKUP($A29,test!$A$3:$F$32,2,FALSE),VLOOKUP(AD$1,test!$A$3:$F$32,2,FALSE))&lt;=test!$K$16,IF(AND($A29&lt;&gt;AD$1,feasible_mat!AD29=1),(VLOOKUP(AD$1,test!$A$3:$I$32,8,FALSE))-(VLOOKUP($A29,test!$A$3:$I$32,9,FALSE)),0),IF(AND($A29&lt;&gt;AD$1,feasible_mat!AD29=1),(VLOOKUP(AD$1,test!$A$3:$I$32,8,FALSE))-(VLOOKUP($A29,test!$A$3:$I$32,9,FALSE))-50,0))</f>
        <v>0</v>
      </c>
      <c r="AE29">
        <f>IF(SUM(VLOOKUP($A29,test!$A$3:$F$32,2,FALSE),VLOOKUP(AE$1,test!$A$3:$F$32,2,FALSE))&lt;=test!$K$16,IF(AND($A29&lt;&gt;AE$1,feasible_mat!AE29=1),(VLOOKUP(AE$1,test!$A$3:$I$32,8,FALSE))-(VLOOKUP($A29,test!$A$3:$I$32,9,FALSE)),0),IF(AND($A29&lt;&gt;AE$1,feasible_mat!AE29=1),(VLOOKUP(AE$1,test!$A$3:$I$32,8,FALSE))-(VLOOKUP($A29,test!$A$3:$I$32,9,FALSE))-50,0))</f>
        <v>0</v>
      </c>
      <c r="AF29">
        <f>IF(SUM(VLOOKUP($A29,test!$A$3:$F$32,2,FALSE),VLOOKUP(AF$1,test!$A$3:$F$32,2,FALSE))&lt;=test!$K$16,IF(AND($A29&lt;&gt;AF$1,feasible_mat!AF29=1),(VLOOKUP(AF$1,test!$A$3:$I$32,8,FALSE))-(VLOOKUP($A29,test!$A$3:$I$32,9,FALSE)),0),IF(AND($A29&lt;&gt;AF$1,feasible_mat!AF29=1),(VLOOKUP(AF$1,test!$A$3:$I$32,8,FALSE))-(VLOOKUP($A29,test!$A$3:$I$32,9,FALSE))-50,0))</f>
        <v>0</v>
      </c>
    </row>
    <row r="30" spans="1:36" x14ac:dyDescent="0.25">
      <c r="A30" t="s">
        <v>39</v>
      </c>
      <c r="B30">
        <v>0</v>
      </c>
      <c r="C30">
        <f>IF(SUM(VLOOKUP($A30,test!$A$3:$F$32,2,FALSE),VLOOKUP(C$1,test!$A$3:$F$32,2,FALSE))&lt;=test!$K$16,IF(AND($A30&lt;&gt;C$1,feasible_mat!C30=1),(VLOOKUP(C$1,test!$A$3:$I$32,8,FALSE))-(VLOOKUP($A30,test!$A$3:$I$32,9,FALSE)),0),IF(AND($A30&lt;&gt;C$1,feasible_mat!C30=1),(VLOOKUP(C$1,test!$A$3:$I$32,8,FALSE))-(VLOOKUP($A30,test!$A$3:$I$32,9,FALSE))-50,0))</f>
        <v>0</v>
      </c>
      <c r="D30">
        <f>IF(SUM(VLOOKUP($A30,test!$A$3:$F$32,2,FALSE),VLOOKUP(D$1,test!$A$3:$F$32,2,FALSE))&lt;=test!$K$16,IF(AND($A30&lt;&gt;D$1,feasible_mat!D30=1),(VLOOKUP(D$1,test!$A$3:$I$32,8,FALSE))-(VLOOKUP($A30,test!$A$3:$I$32,9,FALSE)),0),IF(AND($A30&lt;&gt;D$1,feasible_mat!D30=1),(VLOOKUP(D$1,test!$A$3:$I$32,8,FALSE))-(VLOOKUP($A30,test!$A$3:$I$32,9,FALSE))-50,0))</f>
        <v>-30</v>
      </c>
      <c r="E30">
        <f>IF(SUM(VLOOKUP($A30,test!$A$3:$F$32,2,FALSE),VLOOKUP(E$1,test!$A$3:$F$32,2,FALSE))&lt;=test!$K$16,IF(AND($A30&lt;&gt;E$1,feasible_mat!E30=1),(VLOOKUP(E$1,test!$A$3:$I$32,8,FALSE))-(VLOOKUP($A30,test!$A$3:$I$32,9,FALSE)),0),IF(AND($A30&lt;&gt;E$1,feasible_mat!E30=1),(VLOOKUP(E$1,test!$A$3:$I$32,8,FALSE))-(VLOOKUP($A30,test!$A$3:$I$32,9,FALSE))-50,0))</f>
        <v>60</v>
      </c>
      <c r="F30">
        <f>IF(SUM(VLOOKUP($A30,test!$A$3:$F$32,2,FALSE),VLOOKUP(F$1,test!$A$3:$F$32,2,FALSE))&lt;=test!$K$16,IF(AND($A30&lt;&gt;F$1,feasible_mat!F30=1),(VLOOKUP(F$1,test!$A$3:$I$32,8,FALSE))-(VLOOKUP($A30,test!$A$3:$I$32,9,FALSE)),0),IF(AND($A30&lt;&gt;F$1,feasible_mat!F30=1),(VLOOKUP(F$1,test!$A$3:$I$32,8,FALSE))-(VLOOKUP($A30,test!$A$3:$I$32,9,FALSE))-50,0))</f>
        <v>150</v>
      </c>
      <c r="G30">
        <f>IF(SUM(VLOOKUP($A30,test!$A$3:$F$32,2,FALSE),VLOOKUP(G$1,test!$A$3:$F$32,2,FALSE))&lt;=test!$K$16,IF(AND($A30&lt;&gt;G$1,feasible_mat!G30=1),(VLOOKUP(G$1,test!$A$3:$I$32,8,FALSE))-(VLOOKUP($A30,test!$A$3:$I$32,9,FALSE)),0),IF(AND($A30&lt;&gt;G$1,feasible_mat!G30=1),(VLOOKUP(G$1,test!$A$3:$I$32,8,FALSE))-(VLOOKUP($A30,test!$A$3:$I$32,9,FALSE))-50,0))</f>
        <v>210</v>
      </c>
      <c r="H30">
        <f>IF(SUM(VLOOKUP($A30,test!$A$3:$F$32,2,FALSE),VLOOKUP(H$1,test!$A$3:$F$32,2,FALSE))&lt;=test!$K$16,IF(AND($A30&lt;&gt;H$1,feasible_mat!H30=1),(VLOOKUP(H$1,test!$A$3:$I$32,8,FALSE))-(VLOOKUP($A30,test!$A$3:$I$32,9,FALSE)),0),IF(AND($A30&lt;&gt;H$1,feasible_mat!H30=1),(VLOOKUP(H$1,test!$A$3:$I$32,8,FALSE))-(VLOOKUP($A30,test!$A$3:$I$32,9,FALSE))-50,0))</f>
        <v>270</v>
      </c>
      <c r="I30">
        <f>IF(SUM(VLOOKUP($A30,test!$A$3:$F$32,2,FALSE),VLOOKUP(I$1,test!$A$3:$F$32,2,FALSE))&lt;=test!$K$16,IF(AND($A30&lt;&gt;I$1,feasible_mat!I30=1),(VLOOKUP(I$1,test!$A$3:$I$32,8,FALSE))-(VLOOKUP($A30,test!$A$3:$I$32,9,FALSE)),0),IF(AND($A30&lt;&gt;I$1,feasible_mat!I30=1),(VLOOKUP(I$1,test!$A$3:$I$32,8,FALSE))-(VLOOKUP($A30,test!$A$3:$I$32,9,FALSE))-50,0))</f>
        <v>330</v>
      </c>
      <c r="J30">
        <f>IF(SUM(VLOOKUP($A30,test!$A$3:$F$32,2,FALSE),VLOOKUP(J$1,test!$A$3:$F$32,2,FALSE))&lt;=test!$K$16,IF(AND($A30&lt;&gt;J$1,feasible_mat!J30=1),(VLOOKUP(J$1,test!$A$3:$I$32,8,FALSE))-(VLOOKUP($A30,test!$A$3:$I$32,9,FALSE)),0),IF(AND($A30&lt;&gt;J$1,feasible_mat!J30=1),(VLOOKUP(J$1,test!$A$3:$I$32,8,FALSE))-(VLOOKUP($A30,test!$A$3:$I$32,9,FALSE))-50,0))</f>
        <v>420</v>
      </c>
      <c r="K30">
        <f>IF(SUM(VLOOKUP($A30,test!$A$3:$F$32,2,FALSE),VLOOKUP(K$1,test!$A$3:$F$32,2,FALSE))&lt;=test!$K$16,IF(AND($A30&lt;&gt;K$1,feasible_mat!K30=1),(VLOOKUP(K$1,test!$A$3:$I$32,8,FALSE))-(VLOOKUP($A30,test!$A$3:$I$32,9,FALSE)),0),IF(AND($A30&lt;&gt;K$1,feasible_mat!K30=1),(VLOOKUP(K$1,test!$A$3:$I$32,8,FALSE))-(VLOOKUP($A30,test!$A$3:$I$32,9,FALSE))-50,0))</f>
        <v>0</v>
      </c>
      <c r="L30">
        <f>IF(SUM(VLOOKUP($A30,test!$A$3:$F$32,2,FALSE),VLOOKUP(L$1,test!$A$3:$F$32,2,FALSE))&lt;=test!$K$16,IF(AND($A30&lt;&gt;L$1,feasible_mat!L30=1),(VLOOKUP(L$1,test!$A$3:$I$32,8,FALSE))-(VLOOKUP($A30,test!$A$3:$I$32,9,FALSE)),0),IF(AND($A30&lt;&gt;L$1,feasible_mat!L30=1),(VLOOKUP(L$1,test!$A$3:$I$32,8,FALSE))-(VLOOKUP($A30,test!$A$3:$I$32,9,FALSE))-50,0))</f>
        <v>0</v>
      </c>
      <c r="M30">
        <f>IF(SUM(VLOOKUP($A30,test!$A$3:$F$32,2,FALSE),VLOOKUP(M$1,test!$A$3:$F$32,2,FALSE))&lt;=test!$K$16,IF(AND($A30&lt;&gt;M$1,feasible_mat!M30=1),(VLOOKUP(M$1,test!$A$3:$I$32,8,FALSE))-(VLOOKUP($A30,test!$A$3:$I$32,9,FALSE)),0),IF(AND($A30&lt;&gt;M$1,feasible_mat!M30=1),(VLOOKUP(M$1,test!$A$3:$I$32,8,FALSE))-(VLOOKUP($A30,test!$A$3:$I$32,9,FALSE))-50,0))</f>
        <v>25</v>
      </c>
      <c r="N30">
        <f>IF(SUM(VLOOKUP($A30,test!$A$3:$F$32,2,FALSE),VLOOKUP(N$1,test!$A$3:$F$32,2,FALSE))&lt;=test!$K$16,IF(AND($A30&lt;&gt;N$1,feasible_mat!N30=1),(VLOOKUP(N$1,test!$A$3:$I$32,8,FALSE))-(VLOOKUP($A30,test!$A$3:$I$32,9,FALSE)),0),IF(AND($A30&lt;&gt;N$1,feasible_mat!N30=1),(VLOOKUP(N$1,test!$A$3:$I$32,8,FALSE))-(VLOOKUP($A30,test!$A$3:$I$32,9,FALSE))-50,0))</f>
        <v>385</v>
      </c>
      <c r="O30">
        <f>IF(SUM(VLOOKUP($A30,test!$A$3:$F$32,2,FALSE),VLOOKUP(O$1,test!$A$3:$F$32,2,FALSE))&lt;=test!$K$16,IF(AND($A30&lt;&gt;O$1,feasible_mat!O30=1),(VLOOKUP(O$1,test!$A$3:$I$32,8,FALSE))-(VLOOKUP($A30,test!$A$3:$I$32,9,FALSE)),0),IF(AND($A30&lt;&gt;O$1,feasible_mat!O30=1),(VLOOKUP(O$1,test!$A$3:$I$32,8,FALSE))-(VLOOKUP($A30,test!$A$3:$I$32,9,FALSE))-50,0))</f>
        <v>445</v>
      </c>
      <c r="P30">
        <f>IF(SUM(VLOOKUP($A30,test!$A$3:$F$32,2,FALSE),VLOOKUP(P$1,test!$A$3:$F$32,2,FALSE))&lt;=test!$K$16,IF(AND($A30&lt;&gt;P$1,feasible_mat!P30=1),(VLOOKUP(P$1,test!$A$3:$I$32,8,FALSE))-(VLOOKUP($A30,test!$A$3:$I$32,9,FALSE)),0),IF(AND($A30&lt;&gt;P$1,feasible_mat!P30=1),(VLOOKUP(P$1,test!$A$3:$I$32,8,FALSE))-(VLOOKUP($A30,test!$A$3:$I$32,9,FALSE))-50,0))</f>
        <v>0</v>
      </c>
      <c r="Q30">
        <f>IF(SUM(VLOOKUP($A30,test!$A$3:$F$32,2,FALSE),VLOOKUP(Q$1,test!$A$3:$F$32,2,FALSE))&lt;=test!$K$16,IF(AND($A30&lt;&gt;Q$1,feasible_mat!Q30=1),(VLOOKUP(Q$1,test!$A$3:$I$32,8,FALSE))-(VLOOKUP($A30,test!$A$3:$I$32,9,FALSE)),0),IF(AND($A30&lt;&gt;Q$1,feasible_mat!Q30=1),(VLOOKUP(Q$1,test!$A$3:$I$32,8,FALSE))-(VLOOKUP($A30,test!$A$3:$I$32,9,FALSE))-50,0))</f>
        <v>0</v>
      </c>
      <c r="R30">
        <f>IF(SUM(VLOOKUP($A30,test!$A$3:$F$32,2,FALSE),VLOOKUP(R$1,test!$A$3:$F$32,2,FALSE))&lt;=test!$K$16,IF(AND($A30&lt;&gt;R$1,feasible_mat!R30=1),(VLOOKUP(R$1,test!$A$3:$I$32,8,FALSE))-(VLOOKUP($A30,test!$A$3:$I$32,9,FALSE)),0),IF(AND($A30&lt;&gt;R$1,feasible_mat!R30=1),(VLOOKUP(R$1,test!$A$3:$I$32,8,FALSE))-(VLOOKUP($A30,test!$A$3:$I$32,9,FALSE))-50,0))</f>
        <v>0</v>
      </c>
      <c r="S30">
        <f>IF(SUM(VLOOKUP($A30,test!$A$3:$F$32,2,FALSE),VLOOKUP(S$1,test!$A$3:$F$32,2,FALSE))&lt;=test!$K$16,IF(AND($A30&lt;&gt;S$1,feasible_mat!S30=1),(VLOOKUP(S$1,test!$A$3:$I$32,8,FALSE))-(VLOOKUP($A30,test!$A$3:$I$32,9,FALSE)),0),IF(AND($A30&lt;&gt;S$1,feasible_mat!S30=1),(VLOOKUP(S$1,test!$A$3:$I$32,8,FALSE))-(VLOOKUP($A30,test!$A$3:$I$32,9,FALSE))-50,0))</f>
        <v>0</v>
      </c>
      <c r="T30">
        <f>IF(SUM(VLOOKUP($A30,test!$A$3:$F$32,2,FALSE),VLOOKUP(T$1,test!$A$3:$F$32,2,FALSE))&lt;=test!$K$16,IF(AND($A30&lt;&gt;T$1,feasible_mat!T30=1),(VLOOKUP(T$1,test!$A$3:$I$32,8,FALSE))-(VLOOKUP($A30,test!$A$3:$I$32,9,FALSE)),0),IF(AND($A30&lt;&gt;T$1,feasible_mat!T30=1),(VLOOKUP(T$1,test!$A$3:$I$32,8,FALSE))-(VLOOKUP($A30,test!$A$3:$I$32,9,FALSE))-50,0))</f>
        <v>40</v>
      </c>
      <c r="U30">
        <f>IF(SUM(VLOOKUP($A30,test!$A$3:$F$32,2,FALSE),VLOOKUP(U$1,test!$A$3:$F$32,2,FALSE))&lt;=test!$K$16,IF(AND($A30&lt;&gt;U$1,feasible_mat!U30=1),(VLOOKUP(U$1,test!$A$3:$I$32,8,FALSE))-(VLOOKUP($A30,test!$A$3:$I$32,9,FALSE)),0),IF(AND($A30&lt;&gt;U$1,feasible_mat!U30=1),(VLOOKUP(U$1,test!$A$3:$I$32,8,FALSE))-(VLOOKUP($A30,test!$A$3:$I$32,9,FALSE))-50,0))</f>
        <v>130</v>
      </c>
      <c r="V30">
        <f>IF(SUM(VLOOKUP($A30,test!$A$3:$F$32,2,FALSE),VLOOKUP(V$1,test!$A$3:$F$32,2,FALSE))&lt;=test!$K$16,IF(AND($A30&lt;&gt;V$1,feasible_mat!V30=1),(VLOOKUP(V$1,test!$A$3:$I$32,8,FALSE))-(VLOOKUP($A30,test!$A$3:$I$32,9,FALSE)),0),IF(AND($A30&lt;&gt;V$1,feasible_mat!V30=1),(VLOOKUP(V$1,test!$A$3:$I$32,8,FALSE))-(VLOOKUP($A30,test!$A$3:$I$32,9,FALSE))-50,0))</f>
        <v>220</v>
      </c>
      <c r="W30">
        <f>IF(SUM(VLOOKUP($A30,test!$A$3:$F$32,2,FALSE),VLOOKUP(W$1,test!$A$3:$F$32,2,FALSE))&lt;=test!$K$16,IF(AND($A30&lt;&gt;W$1,feasible_mat!W30=1),(VLOOKUP(W$1,test!$A$3:$I$32,8,FALSE))-(VLOOKUP($A30,test!$A$3:$I$32,9,FALSE)),0),IF(AND($A30&lt;&gt;W$1,feasible_mat!W30=1),(VLOOKUP(W$1,test!$A$3:$I$32,8,FALSE))-(VLOOKUP($A30,test!$A$3:$I$32,9,FALSE))-50,0))</f>
        <v>310</v>
      </c>
      <c r="X30">
        <f>IF(SUM(VLOOKUP($A30,test!$A$3:$F$32,2,FALSE),VLOOKUP(X$1,test!$A$3:$F$32,2,FALSE))&lt;=test!$K$16,IF(AND($A30&lt;&gt;X$1,feasible_mat!X30=1),(VLOOKUP(X$1,test!$A$3:$I$32,8,FALSE))-(VLOOKUP($A30,test!$A$3:$I$32,9,FALSE)),0),IF(AND($A30&lt;&gt;X$1,feasible_mat!X30=1),(VLOOKUP(X$1,test!$A$3:$I$32,8,FALSE))-(VLOOKUP($A30,test!$A$3:$I$32,9,FALSE))-50,0))</f>
        <v>370</v>
      </c>
      <c r="Y30">
        <f>IF(SUM(VLOOKUP($A30,test!$A$3:$F$32,2,FALSE),VLOOKUP(Y$1,test!$A$3:$F$32,2,FALSE))&lt;=test!$K$16,IF(AND($A30&lt;&gt;Y$1,feasible_mat!Y30=1),(VLOOKUP(Y$1,test!$A$3:$I$32,8,FALSE))-(VLOOKUP($A30,test!$A$3:$I$32,9,FALSE)),0),IF(AND($A30&lt;&gt;Y$1,feasible_mat!Y30=1),(VLOOKUP(Y$1,test!$A$3:$I$32,8,FALSE))-(VLOOKUP($A30,test!$A$3:$I$32,9,FALSE))-50,0))</f>
        <v>0</v>
      </c>
      <c r="Z30">
        <f>IF(SUM(VLOOKUP($A30,test!$A$3:$F$32,2,FALSE),VLOOKUP(Z$1,test!$A$3:$F$32,2,FALSE))&lt;=test!$K$16,IF(AND($A30&lt;&gt;Z$1,feasible_mat!Z30=1),(VLOOKUP(Z$1,test!$A$3:$I$32,8,FALSE))-(VLOOKUP($A30,test!$A$3:$I$32,9,FALSE)),0),IF(AND($A30&lt;&gt;Z$1,feasible_mat!Z30=1),(VLOOKUP(Z$1,test!$A$3:$I$32,8,FALSE))-(VLOOKUP($A30,test!$A$3:$I$32,9,FALSE))-50,0))</f>
        <v>-30</v>
      </c>
      <c r="AA30">
        <f>IF(SUM(VLOOKUP($A30,test!$A$3:$F$32,2,FALSE),VLOOKUP(AA$1,test!$A$3:$F$32,2,FALSE))&lt;=test!$K$16,IF(AND($A30&lt;&gt;AA$1,feasible_mat!AA30=1),(VLOOKUP(AA$1,test!$A$3:$I$32,8,FALSE))-(VLOOKUP($A30,test!$A$3:$I$32,9,FALSE)),0),IF(AND($A30&lt;&gt;AA$1,feasible_mat!AA30=1),(VLOOKUP(AA$1,test!$A$3:$I$32,8,FALSE))-(VLOOKUP($A30,test!$A$3:$I$32,9,FALSE))-50,0))</f>
        <v>90</v>
      </c>
      <c r="AB30">
        <f>IF(SUM(VLOOKUP($A30,test!$A$3:$F$32,2,FALSE),VLOOKUP(AB$1,test!$A$3:$F$32,2,FALSE))&lt;=test!$K$16,IF(AND($A30&lt;&gt;AB$1,feasible_mat!AB30=1),(VLOOKUP(AB$1,test!$A$3:$I$32,8,FALSE))-(VLOOKUP($A30,test!$A$3:$I$32,9,FALSE)),0),IF(AND($A30&lt;&gt;AB$1,feasible_mat!AB30=1),(VLOOKUP(AB$1,test!$A$3:$I$32,8,FALSE))-(VLOOKUP($A30,test!$A$3:$I$32,9,FALSE))-50,0))</f>
        <v>150</v>
      </c>
      <c r="AC30">
        <f>IF(SUM(VLOOKUP($A30,test!$A$3:$F$32,2,FALSE),VLOOKUP(AC$1,test!$A$3:$F$32,2,FALSE))&lt;=test!$K$16,IF(AND($A30&lt;&gt;AC$1,feasible_mat!AC30=1),(VLOOKUP(AC$1,test!$A$3:$I$32,8,FALSE))-(VLOOKUP($A30,test!$A$3:$I$32,9,FALSE)),0),IF(AND($A30&lt;&gt;AC$1,feasible_mat!AC30=1),(VLOOKUP(AC$1,test!$A$3:$I$32,8,FALSE))-(VLOOKUP($A30,test!$A$3:$I$32,9,FALSE))-50,0))</f>
        <v>270</v>
      </c>
      <c r="AD30">
        <f>IF(SUM(VLOOKUP($A30,test!$A$3:$F$32,2,FALSE),VLOOKUP(AD$1,test!$A$3:$F$32,2,FALSE))&lt;=test!$K$16,IF(AND($A30&lt;&gt;AD$1,feasible_mat!AD30=1),(VLOOKUP(AD$1,test!$A$3:$I$32,8,FALSE))-(VLOOKUP($A30,test!$A$3:$I$32,9,FALSE)),0),IF(AND($A30&lt;&gt;AD$1,feasible_mat!AD30=1),(VLOOKUP(AD$1,test!$A$3:$I$32,8,FALSE))-(VLOOKUP($A30,test!$A$3:$I$32,9,FALSE))-50,0))</f>
        <v>0</v>
      </c>
      <c r="AE30">
        <f>IF(SUM(VLOOKUP($A30,test!$A$3:$F$32,2,FALSE),VLOOKUP(AE$1,test!$A$3:$F$32,2,FALSE))&lt;=test!$K$16,IF(AND($A30&lt;&gt;AE$1,feasible_mat!AE30=1),(VLOOKUP(AE$1,test!$A$3:$I$32,8,FALSE))-(VLOOKUP($A30,test!$A$3:$I$32,9,FALSE)),0),IF(AND($A30&lt;&gt;AE$1,feasible_mat!AE30=1),(VLOOKUP(AE$1,test!$A$3:$I$32,8,FALSE))-(VLOOKUP($A30,test!$A$3:$I$32,9,FALSE))-50,0))</f>
        <v>90</v>
      </c>
      <c r="AF30">
        <f>IF(SUM(VLOOKUP($A30,test!$A$3:$F$32,2,FALSE),VLOOKUP(AF$1,test!$A$3:$F$32,2,FALSE))&lt;=test!$K$16,IF(AND($A30&lt;&gt;AF$1,feasible_mat!AF30=1),(VLOOKUP(AF$1,test!$A$3:$I$32,8,FALSE))-(VLOOKUP($A30,test!$A$3:$I$32,9,FALSE)),0),IF(AND($A30&lt;&gt;AF$1,feasible_mat!AF30=1),(VLOOKUP(AF$1,test!$A$3:$I$32,8,FALSE))-(VLOOKUP($A30,test!$A$3:$I$32,9,FALSE))-50,0))</f>
        <v>40</v>
      </c>
    </row>
    <row r="31" spans="1:36" x14ac:dyDescent="0.25">
      <c r="A31" t="s">
        <v>40</v>
      </c>
      <c r="B31">
        <v>0</v>
      </c>
      <c r="C31">
        <f>IF(SUM(VLOOKUP($A31,test!$A$3:$F$32,2,FALSE),VLOOKUP(C$1,test!$A$3:$F$32,2,FALSE))&lt;=test!$K$16,IF(AND($A31&lt;&gt;C$1,feasible_mat!C31=1),(VLOOKUP(C$1,test!$A$3:$I$32,8,FALSE))-(VLOOKUP($A31,test!$A$3:$I$32,9,FALSE)),0),IF(AND($A31&lt;&gt;C$1,feasible_mat!C31=1),(VLOOKUP(C$1,test!$A$3:$I$32,8,FALSE))-(VLOOKUP($A31,test!$A$3:$I$32,9,FALSE))-50,0))</f>
        <v>0</v>
      </c>
      <c r="D31">
        <f>IF(SUM(VLOOKUP($A31,test!$A$3:$F$32,2,FALSE),VLOOKUP(D$1,test!$A$3:$F$32,2,FALSE))&lt;=test!$K$16,IF(AND($A31&lt;&gt;D$1,feasible_mat!D31=1),(VLOOKUP(D$1,test!$A$3:$I$32,8,FALSE))-(VLOOKUP($A31,test!$A$3:$I$32,9,FALSE)),0),IF(AND($A31&lt;&gt;D$1,feasible_mat!D31=1),(VLOOKUP(D$1,test!$A$3:$I$32,8,FALSE))-(VLOOKUP($A31,test!$A$3:$I$32,9,FALSE))-50,0))</f>
        <v>0</v>
      </c>
      <c r="E31">
        <f>IF(SUM(VLOOKUP($A31,test!$A$3:$F$32,2,FALSE),VLOOKUP(E$1,test!$A$3:$F$32,2,FALSE))&lt;=test!$K$16,IF(AND($A31&lt;&gt;E$1,feasible_mat!E31=1),(VLOOKUP(E$1,test!$A$3:$I$32,8,FALSE))-(VLOOKUP($A31,test!$A$3:$I$32,9,FALSE)),0),IF(AND($A31&lt;&gt;E$1,feasible_mat!E31=1),(VLOOKUP(E$1,test!$A$3:$I$32,8,FALSE))-(VLOOKUP($A31,test!$A$3:$I$32,9,FALSE))-50,0))</f>
        <v>0</v>
      </c>
      <c r="F31">
        <f>IF(SUM(VLOOKUP($A31,test!$A$3:$F$32,2,FALSE),VLOOKUP(F$1,test!$A$3:$F$32,2,FALSE))&lt;=test!$K$16,IF(AND($A31&lt;&gt;F$1,feasible_mat!F31=1),(VLOOKUP(F$1,test!$A$3:$I$32,8,FALSE))-(VLOOKUP($A31,test!$A$3:$I$32,9,FALSE)),0),IF(AND($A31&lt;&gt;F$1,feasible_mat!F31=1),(VLOOKUP(F$1,test!$A$3:$I$32,8,FALSE))-(VLOOKUP($A31,test!$A$3:$I$32,9,FALSE))-50,0))</f>
        <v>0</v>
      </c>
      <c r="G31">
        <f>IF(SUM(VLOOKUP($A31,test!$A$3:$F$32,2,FALSE),VLOOKUP(G$1,test!$A$3:$F$32,2,FALSE))&lt;=test!$K$16,IF(AND($A31&lt;&gt;G$1,feasible_mat!G31=1),(VLOOKUP(G$1,test!$A$3:$I$32,8,FALSE))-(VLOOKUP($A31,test!$A$3:$I$32,9,FALSE)),0),IF(AND($A31&lt;&gt;G$1,feasible_mat!G31=1),(VLOOKUP(G$1,test!$A$3:$I$32,8,FALSE))-(VLOOKUP($A31,test!$A$3:$I$32,9,FALSE))-50,0))</f>
        <v>0</v>
      </c>
      <c r="H31">
        <f>IF(SUM(VLOOKUP($A31,test!$A$3:$F$32,2,FALSE),VLOOKUP(H$1,test!$A$3:$F$32,2,FALSE))&lt;=test!$K$16,IF(AND($A31&lt;&gt;H$1,feasible_mat!H31=1),(VLOOKUP(H$1,test!$A$3:$I$32,8,FALSE))-(VLOOKUP($A31,test!$A$3:$I$32,9,FALSE)),0),IF(AND($A31&lt;&gt;H$1,feasible_mat!H31=1),(VLOOKUP(H$1,test!$A$3:$I$32,8,FALSE))-(VLOOKUP($A31,test!$A$3:$I$32,9,FALSE))-50,0))</f>
        <v>0</v>
      </c>
      <c r="I31">
        <f>IF(SUM(VLOOKUP($A31,test!$A$3:$F$32,2,FALSE),VLOOKUP(I$1,test!$A$3:$F$32,2,FALSE))&lt;=test!$K$16,IF(AND($A31&lt;&gt;I$1,feasible_mat!I31=1),(VLOOKUP(I$1,test!$A$3:$I$32,8,FALSE))-(VLOOKUP($A31,test!$A$3:$I$32,9,FALSE)),0),IF(AND($A31&lt;&gt;I$1,feasible_mat!I31=1),(VLOOKUP(I$1,test!$A$3:$I$32,8,FALSE))-(VLOOKUP($A31,test!$A$3:$I$32,9,FALSE))-50,0))</f>
        <v>30</v>
      </c>
      <c r="J31">
        <f>IF(SUM(VLOOKUP($A31,test!$A$3:$F$32,2,FALSE),VLOOKUP(J$1,test!$A$3:$F$32,2,FALSE))&lt;=test!$K$16,IF(AND($A31&lt;&gt;J$1,feasible_mat!J31=1),(VLOOKUP(J$1,test!$A$3:$I$32,8,FALSE))-(VLOOKUP($A31,test!$A$3:$I$32,9,FALSE)),0),IF(AND($A31&lt;&gt;J$1,feasible_mat!J31=1),(VLOOKUP(J$1,test!$A$3:$I$32,8,FALSE))-(VLOOKUP($A31,test!$A$3:$I$32,9,FALSE))-50,0))</f>
        <v>120</v>
      </c>
      <c r="K31">
        <f>IF(SUM(VLOOKUP($A31,test!$A$3:$F$32,2,FALSE),VLOOKUP(K$1,test!$A$3:$F$32,2,FALSE))&lt;=test!$K$16,IF(AND($A31&lt;&gt;K$1,feasible_mat!K31=1),(VLOOKUP(K$1,test!$A$3:$I$32,8,FALSE))-(VLOOKUP($A31,test!$A$3:$I$32,9,FALSE)),0),IF(AND($A31&lt;&gt;K$1,feasible_mat!K31=1),(VLOOKUP(K$1,test!$A$3:$I$32,8,FALSE))-(VLOOKUP($A31,test!$A$3:$I$32,9,FALSE))-50,0))</f>
        <v>0</v>
      </c>
      <c r="L31">
        <f>IF(SUM(VLOOKUP($A31,test!$A$3:$F$32,2,FALSE),VLOOKUP(L$1,test!$A$3:$F$32,2,FALSE))&lt;=test!$K$16,IF(AND($A31&lt;&gt;L$1,feasible_mat!L31=1),(VLOOKUP(L$1,test!$A$3:$I$32,8,FALSE))-(VLOOKUP($A31,test!$A$3:$I$32,9,FALSE)),0),IF(AND($A31&lt;&gt;L$1,feasible_mat!L31=1),(VLOOKUP(L$1,test!$A$3:$I$32,8,FALSE))-(VLOOKUP($A31,test!$A$3:$I$32,9,FALSE))-50,0))</f>
        <v>0</v>
      </c>
      <c r="M31">
        <f>IF(SUM(VLOOKUP($A31,test!$A$3:$F$32,2,FALSE),VLOOKUP(M$1,test!$A$3:$F$32,2,FALSE))&lt;=test!$K$16,IF(AND($A31&lt;&gt;M$1,feasible_mat!M31=1),(VLOOKUP(M$1,test!$A$3:$I$32,8,FALSE))-(VLOOKUP($A31,test!$A$3:$I$32,9,FALSE)),0),IF(AND($A31&lt;&gt;M$1,feasible_mat!M31=1),(VLOOKUP(M$1,test!$A$3:$I$32,8,FALSE))-(VLOOKUP($A31,test!$A$3:$I$32,9,FALSE))-50,0))</f>
        <v>0</v>
      </c>
      <c r="N31">
        <f>IF(SUM(VLOOKUP($A31,test!$A$3:$F$32,2,FALSE),VLOOKUP(N$1,test!$A$3:$F$32,2,FALSE))&lt;=test!$K$16,IF(AND($A31&lt;&gt;N$1,feasible_mat!N31=1),(VLOOKUP(N$1,test!$A$3:$I$32,8,FALSE))-(VLOOKUP($A31,test!$A$3:$I$32,9,FALSE)),0),IF(AND($A31&lt;&gt;N$1,feasible_mat!N31=1),(VLOOKUP(N$1,test!$A$3:$I$32,8,FALSE))-(VLOOKUP($A31,test!$A$3:$I$32,9,FALSE))-50,0))</f>
        <v>85</v>
      </c>
      <c r="O31">
        <f>IF(SUM(VLOOKUP($A31,test!$A$3:$F$32,2,FALSE),VLOOKUP(O$1,test!$A$3:$F$32,2,FALSE))&lt;=test!$K$16,IF(AND($A31&lt;&gt;O$1,feasible_mat!O31=1),(VLOOKUP(O$1,test!$A$3:$I$32,8,FALSE))-(VLOOKUP($A31,test!$A$3:$I$32,9,FALSE)),0),IF(AND($A31&lt;&gt;O$1,feasible_mat!O31=1),(VLOOKUP(O$1,test!$A$3:$I$32,8,FALSE))-(VLOOKUP($A31,test!$A$3:$I$32,9,FALSE))-50,0))</f>
        <v>145</v>
      </c>
      <c r="P31">
        <f>IF(SUM(VLOOKUP($A31,test!$A$3:$F$32,2,FALSE),VLOOKUP(P$1,test!$A$3:$F$32,2,FALSE))&lt;=test!$K$16,IF(AND($A31&lt;&gt;P$1,feasible_mat!P31=1),(VLOOKUP(P$1,test!$A$3:$I$32,8,FALSE))-(VLOOKUP($A31,test!$A$3:$I$32,9,FALSE)),0),IF(AND($A31&lt;&gt;P$1,feasible_mat!P31=1),(VLOOKUP(P$1,test!$A$3:$I$32,8,FALSE))-(VLOOKUP($A31,test!$A$3:$I$32,9,FALSE))-50,0))</f>
        <v>0</v>
      </c>
      <c r="Q31">
        <f>IF(SUM(VLOOKUP($A31,test!$A$3:$F$32,2,FALSE),VLOOKUP(Q$1,test!$A$3:$F$32,2,FALSE))&lt;=test!$K$16,IF(AND($A31&lt;&gt;Q$1,feasible_mat!Q31=1),(VLOOKUP(Q$1,test!$A$3:$I$32,8,FALSE))-(VLOOKUP($A31,test!$A$3:$I$32,9,FALSE)),0),IF(AND($A31&lt;&gt;Q$1,feasible_mat!Q31=1),(VLOOKUP(Q$1,test!$A$3:$I$32,8,FALSE))-(VLOOKUP($A31,test!$A$3:$I$32,9,FALSE))-50,0))</f>
        <v>0</v>
      </c>
      <c r="R31">
        <f>IF(SUM(VLOOKUP($A31,test!$A$3:$F$32,2,FALSE),VLOOKUP(R$1,test!$A$3:$F$32,2,FALSE))&lt;=test!$K$16,IF(AND($A31&lt;&gt;R$1,feasible_mat!R31=1),(VLOOKUP(R$1,test!$A$3:$I$32,8,FALSE))-(VLOOKUP($A31,test!$A$3:$I$32,9,FALSE)),0),IF(AND($A31&lt;&gt;R$1,feasible_mat!R31=1),(VLOOKUP(R$1,test!$A$3:$I$32,8,FALSE))-(VLOOKUP($A31,test!$A$3:$I$32,9,FALSE))-50,0))</f>
        <v>0</v>
      </c>
      <c r="S31">
        <f>IF(SUM(VLOOKUP($A31,test!$A$3:$F$32,2,FALSE),VLOOKUP(S$1,test!$A$3:$F$32,2,FALSE))&lt;=test!$K$16,IF(AND($A31&lt;&gt;S$1,feasible_mat!S31=1),(VLOOKUP(S$1,test!$A$3:$I$32,8,FALSE))-(VLOOKUP($A31,test!$A$3:$I$32,9,FALSE)),0),IF(AND($A31&lt;&gt;S$1,feasible_mat!S31=1),(VLOOKUP(S$1,test!$A$3:$I$32,8,FALSE))-(VLOOKUP($A31,test!$A$3:$I$32,9,FALSE))-50,0))</f>
        <v>0</v>
      </c>
      <c r="T31">
        <f>IF(SUM(VLOOKUP($A31,test!$A$3:$F$32,2,FALSE),VLOOKUP(T$1,test!$A$3:$F$32,2,FALSE))&lt;=test!$K$16,IF(AND($A31&lt;&gt;T$1,feasible_mat!T31=1),(VLOOKUP(T$1,test!$A$3:$I$32,8,FALSE))-(VLOOKUP($A31,test!$A$3:$I$32,9,FALSE)),0),IF(AND($A31&lt;&gt;T$1,feasible_mat!T31=1),(VLOOKUP(T$1,test!$A$3:$I$32,8,FALSE))-(VLOOKUP($A31,test!$A$3:$I$32,9,FALSE))-50,0))</f>
        <v>0</v>
      </c>
      <c r="U31">
        <f>IF(SUM(VLOOKUP($A31,test!$A$3:$F$32,2,FALSE),VLOOKUP(U$1,test!$A$3:$F$32,2,FALSE))&lt;=test!$K$16,IF(AND($A31&lt;&gt;U$1,feasible_mat!U31=1),(VLOOKUP(U$1,test!$A$3:$I$32,8,FALSE))-(VLOOKUP($A31,test!$A$3:$I$32,9,FALSE)),0),IF(AND($A31&lt;&gt;U$1,feasible_mat!U31=1),(VLOOKUP(U$1,test!$A$3:$I$32,8,FALSE))-(VLOOKUP($A31,test!$A$3:$I$32,9,FALSE))-50,0))</f>
        <v>0</v>
      </c>
      <c r="V31">
        <f>IF(SUM(VLOOKUP($A31,test!$A$3:$F$32,2,FALSE),VLOOKUP(V$1,test!$A$3:$F$32,2,FALSE))&lt;=test!$K$16,IF(AND($A31&lt;&gt;V$1,feasible_mat!V31=1),(VLOOKUP(V$1,test!$A$3:$I$32,8,FALSE))-(VLOOKUP($A31,test!$A$3:$I$32,9,FALSE)),0),IF(AND($A31&lt;&gt;V$1,feasible_mat!V31=1),(VLOOKUP(V$1,test!$A$3:$I$32,8,FALSE))-(VLOOKUP($A31,test!$A$3:$I$32,9,FALSE))-50,0))</f>
        <v>0</v>
      </c>
      <c r="W31">
        <f>IF(SUM(VLOOKUP($A31,test!$A$3:$F$32,2,FALSE),VLOOKUP(W$1,test!$A$3:$F$32,2,FALSE))&lt;=test!$K$16,IF(AND($A31&lt;&gt;W$1,feasible_mat!W31=1),(VLOOKUP(W$1,test!$A$3:$I$32,8,FALSE))-(VLOOKUP($A31,test!$A$3:$I$32,9,FALSE)),0),IF(AND($A31&lt;&gt;W$1,feasible_mat!W31=1),(VLOOKUP(W$1,test!$A$3:$I$32,8,FALSE))-(VLOOKUP($A31,test!$A$3:$I$32,9,FALSE))-50,0))</f>
        <v>0</v>
      </c>
      <c r="X31">
        <f>IF(SUM(VLOOKUP($A31,test!$A$3:$F$32,2,FALSE),VLOOKUP(X$1,test!$A$3:$F$32,2,FALSE))&lt;=test!$K$16,IF(AND($A31&lt;&gt;X$1,feasible_mat!X31=1),(VLOOKUP(X$1,test!$A$3:$I$32,8,FALSE))-(VLOOKUP($A31,test!$A$3:$I$32,9,FALSE)),0),IF(AND($A31&lt;&gt;X$1,feasible_mat!X31=1),(VLOOKUP(X$1,test!$A$3:$I$32,8,FALSE))-(VLOOKUP($A31,test!$A$3:$I$32,9,FALSE))-50,0))</f>
        <v>70</v>
      </c>
      <c r="Y31">
        <f>IF(SUM(VLOOKUP($A31,test!$A$3:$F$32,2,FALSE),VLOOKUP(Y$1,test!$A$3:$F$32,2,FALSE))&lt;=test!$K$16,IF(AND($A31&lt;&gt;Y$1,feasible_mat!Y31=1),(VLOOKUP(Y$1,test!$A$3:$I$32,8,FALSE))-(VLOOKUP($A31,test!$A$3:$I$32,9,FALSE)),0),IF(AND($A31&lt;&gt;Y$1,feasible_mat!Y31=1),(VLOOKUP(Y$1,test!$A$3:$I$32,8,FALSE))-(VLOOKUP($A31,test!$A$3:$I$32,9,FALSE))-50,0))</f>
        <v>0</v>
      </c>
      <c r="Z31">
        <f>IF(SUM(VLOOKUP($A31,test!$A$3:$F$32,2,FALSE),VLOOKUP(Z$1,test!$A$3:$F$32,2,FALSE))&lt;=test!$K$16,IF(AND($A31&lt;&gt;Z$1,feasible_mat!Z31=1),(VLOOKUP(Z$1,test!$A$3:$I$32,8,FALSE))-(VLOOKUP($A31,test!$A$3:$I$32,9,FALSE)),0),IF(AND($A31&lt;&gt;Z$1,feasible_mat!Z31=1),(VLOOKUP(Z$1,test!$A$3:$I$32,8,FALSE))-(VLOOKUP($A31,test!$A$3:$I$32,9,FALSE))-50,0))</f>
        <v>0</v>
      </c>
      <c r="AA31">
        <f>IF(SUM(VLOOKUP($A31,test!$A$3:$F$32,2,FALSE),VLOOKUP(AA$1,test!$A$3:$F$32,2,FALSE))&lt;=test!$K$16,IF(AND($A31&lt;&gt;AA$1,feasible_mat!AA31=1),(VLOOKUP(AA$1,test!$A$3:$I$32,8,FALSE))-(VLOOKUP($A31,test!$A$3:$I$32,9,FALSE)),0),IF(AND($A31&lt;&gt;AA$1,feasible_mat!AA31=1),(VLOOKUP(AA$1,test!$A$3:$I$32,8,FALSE))-(VLOOKUP($A31,test!$A$3:$I$32,9,FALSE))-50,0))</f>
        <v>0</v>
      </c>
      <c r="AB31">
        <f>IF(SUM(VLOOKUP($A31,test!$A$3:$F$32,2,FALSE),VLOOKUP(AB$1,test!$A$3:$F$32,2,FALSE))&lt;=test!$K$16,IF(AND($A31&lt;&gt;AB$1,feasible_mat!AB31=1),(VLOOKUP(AB$1,test!$A$3:$I$32,8,FALSE))-(VLOOKUP($A31,test!$A$3:$I$32,9,FALSE)),0),IF(AND($A31&lt;&gt;AB$1,feasible_mat!AB31=1),(VLOOKUP(AB$1,test!$A$3:$I$32,8,FALSE))-(VLOOKUP($A31,test!$A$3:$I$32,9,FALSE))-50,0))</f>
        <v>0</v>
      </c>
      <c r="AC31">
        <f>IF(SUM(VLOOKUP($A31,test!$A$3:$F$32,2,FALSE),VLOOKUP(AC$1,test!$A$3:$F$32,2,FALSE))&lt;=test!$K$16,IF(AND($A31&lt;&gt;AC$1,feasible_mat!AC31=1),(VLOOKUP(AC$1,test!$A$3:$I$32,8,FALSE))-(VLOOKUP($A31,test!$A$3:$I$32,9,FALSE)),0),IF(AND($A31&lt;&gt;AC$1,feasible_mat!AC31=1),(VLOOKUP(AC$1,test!$A$3:$I$32,8,FALSE))-(VLOOKUP($A31,test!$A$3:$I$32,9,FALSE))-50,0))</f>
        <v>0</v>
      </c>
      <c r="AD31">
        <f>IF(SUM(VLOOKUP($A31,test!$A$3:$F$32,2,FALSE),VLOOKUP(AD$1,test!$A$3:$F$32,2,FALSE))&lt;=test!$K$16,IF(AND($A31&lt;&gt;AD$1,feasible_mat!AD31=1),(VLOOKUP(AD$1,test!$A$3:$I$32,8,FALSE))-(VLOOKUP($A31,test!$A$3:$I$32,9,FALSE)),0),IF(AND($A31&lt;&gt;AD$1,feasible_mat!AD31=1),(VLOOKUP(AD$1,test!$A$3:$I$32,8,FALSE))-(VLOOKUP($A31,test!$A$3:$I$32,9,FALSE))-50,0))</f>
        <v>0</v>
      </c>
      <c r="AE31">
        <f>IF(SUM(VLOOKUP($A31,test!$A$3:$F$32,2,FALSE),VLOOKUP(AE$1,test!$A$3:$F$32,2,FALSE))&lt;=test!$K$16,IF(AND($A31&lt;&gt;AE$1,feasible_mat!AE31=1),(VLOOKUP(AE$1,test!$A$3:$I$32,8,FALSE))-(VLOOKUP($A31,test!$A$3:$I$32,9,FALSE)),0),IF(AND($A31&lt;&gt;AE$1,feasible_mat!AE31=1),(VLOOKUP(AE$1,test!$A$3:$I$32,8,FALSE))-(VLOOKUP($A31,test!$A$3:$I$32,9,FALSE))-50,0))</f>
        <v>0</v>
      </c>
      <c r="AF31">
        <f>IF(SUM(VLOOKUP($A31,test!$A$3:$F$32,2,FALSE),VLOOKUP(AF$1,test!$A$3:$F$32,2,FALSE))&lt;=test!$K$16,IF(AND($A31&lt;&gt;AF$1,feasible_mat!AF31=1),(VLOOKUP(AF$1,test!$A$3:$I$32,8,FALSE))-(VLOOKUP($A31,test!$A$3:$I$32,9,FALSE)),0),IF(AND($A31&lt;&gt;AF$1,feasible_mat!AF31=1),(VLOOKUP(AF$1,test!$A$3:$I$32,8,FALSE))-(VLOOKUP($A31,test!$A$3:$I$32,9,FALSE))-50,0))</f>
        <v>0</v>
      </c>
    </row>
    <row r="32" spans="1:36" x14ac:dyDescent="0.25">
      <c r="A32" t="s">
        <v>41</v>
      </c>
      <c r="B32">
        <v>0</v>
      </c>
      <c r="C32">
        <f>IF(SUM(VLOOKUP($A32,test!$A$3:$F$32,2,FALSE),VLOOKUP(C$1,test!$A$3:$F$32,2,FALSE))&lt;=test!$K$16,IF(AND($A32&lt;&gt;C$1,feasible_mat!C32=1),(VLOOKUP(C$1,test!$A$3:$I$32,8,FALSE))-(VLOOKUP($A32,test!$A$3:$I$32,9,FALSE)),0),IF(AND($A32&lt;&gt;C$1,feasible_mat!C32=1),(VLOOKUP(C$1,test!$A$3:$I$32,8,FALSE))-(VLOOKUP($A32,test!$A$3:$I$32,9,FALSE))-50,0))</f>
        <v>0</v>
      </c>
      <c r="D32">
        <f>IF(SUM(VLOOKUP($A32,test!$A$3:$F$32,2,FALSE),VLOOKUP(D$1,test!$A$3:$F$32,2,FALSE))&lt;=test!$K$16,IF(AND($A32&lt;&gt;D$1,feasible_mat!D32=1),(VLOOKUP(D$1,test!$A$3:$I$32,8,FALSE))-(VLOOKUP($A32,test!$A$3:$I$32,9,FALSE)),0),IF(AND($A32&lt;&gt;D$1,feasible_mat!D32=1),(VLOOKUP(D$1,test!$A$3:$I$32,8,FALSE))-(VLOOKUP($A32,test!$A$3:$I$32,9,FALSE))-50,0))</f>
        <v>0</v>
      </c>
      <c r="E32">
        <f>IF(SUM(VLOOKUP($A32,test!$A$3:$F$32,2,FALSE),VLOOKUP(E$1,test!$A$3:$F$32,2,FALSE))&lt;=test!$K$16,IF(AND($A32&lt;&gt;E$1,feasible_mat!E32=1),(VLOOKUP(E$1,test!$A$3:$I$32,8,FALSE))-(VLOOKUP($A32,test!$A$3:$I$32,9,FALSE)),0),IF(AND($A32&lt;&gt;E$1,feasible_mat!E32=1),(VLOOKUP(E$1,test!$A$3:$I$32,8,FALSE))-(VLOOKUP($A32,test!$A$3:$I$32,9,FALSE))-50,0))</f>
        <v>0</v>
      </c>
      <c r="F32">
        <f>IF(SUM(VLOOKUP($A32,test!$A$3:$F$32,2,FALSE),VLOOKUP(F$1,test!$A$3:$F$32,2,FALSE))&lt;=test!$K$16,IF(AND($A32&lt;&gt;F$1,feasible_mat!F32=1),(VLOOKUP(F$1,test!$A$3:$I$32,8,FALSE))-(VLOOKUP($A32,test!$A$3:$I$32,9,FALSE)),0),IF(AND($A32&lt;&gt;F$1,feasible_mat!F32=1),(VLOOKUP(F$1,test!$A$3:$I$32,8,FALSE))-(VLOOKUP($A32,test!$A$3:$I$32,9,FALSE))-50,0))</f>
        <v>0</v>
      </c>
      <c r="G32">
        <f>IF(SUM(VLOOKUP($A32,test!$A$3:$F$32,2,FALSE),VLOOKUP(G$1,test!$A$3:$F$32,2,FALSE))&lt;=test!$K$16,IF(AND($A32&lt;&gt;G$1,feasible_mat!G32=1),(VLOOKUP(G$1,test!$A$3:$I$32,8,FALSE))-(VLOOKUP($A32,test!$A$3:$I$32,9,FALSE)),0),IF(AND($A32&lt;&gt;G$1,feasible_mat!G32=1),(VLOOKUP(G$1,test!$A$3:$I$32,8,FALSE))-(VLOOKUP($A32,test!$A$3:$I$32,9,FALSE))-50,0))</f>
        <v>0</v>
      </c>
      <c r="H32">
        <f>IF(SUM(VLOOKUP($A32,test!$A$3:$F$32,2,FALSE),VLOOKUP(H$1,test!$A$3:$F$32,2,FALSE))&lt;=test!$K$16,IF(AND($A32&lt;&gt;H$1,feasible_mat!H32=1),(VLOOKUP(H$1,test!$A$3:$I$32,8,FALSE))-(VLOOKUP($A32,test!$A$3:$I$32,9,FALSE)),0),IF(AND($A32&lt;&gt;H$1,feasible_mat!H32=1),(VLOOKUP(H$1,test!$A$3:$I$32,8,FALSE))-(VLOOKUP($A32,test!$A$3:$I$32,9,FALSE))-50,0))</f>
        <v>0</v>
      </c>
      <c r="I32">
        <f>IF(SUM(VLOOKUP($A32,test!$A$3:$F$32,2,FALSE),VLOOKUP(I$1,test!$A$3:$F$32,2,FALSE))&lt;=test!$K$16,IF(AND($A32&lt;&gt;I$1,feasible_mat!I32=1),(VLOOKUP(I$1,test!$A$3:$I$32,8,FALSE))-(VLOOKUP($A32,test!$A$3:$I$32,9,FALSE)),0),IF(AND($A32&lt;&gt;I$1,feasible_mat!I32=1),(VLOOKUP(I$1,test!$A$3:$I$32,8,FALSE))-(VLOOKUP($A32,test!$A$3:$I$32,9,FALSE))-50,0))</f>
        <v>-30</v>
      </c>
      <c r="J32">
        <f>IF(SUM(VLOOKUP($A32,test!$A$3:$F$32,2,FALSE),VLOOKUP(J$1,test!$A$3:$F$32,2,FALSE))&lt;=test!$K$16,IF(AND($A32&lt;&gt;J$1,feasible_mat!J32=1),(VLOOKUP(J$1,test!$A$3:$I$32,8,FALSE))-(VLOOKUP($A32,test!$A$3:$I$32,9,FALSE)),0),IF(AND($A32&lt;&gt;J$1,feasible_mat!J32=1),(VLOOKUP(J$1,test!$A$3:$I$32,8,FALSE))-(VLOOKUP($A32,test!$A$3:$I$32,9,FALSE))-50,0))</f>
        <v>60</v>
      </c>
      <c r="K32">
        <f>IF(SUM(VLOOKUP($A32,test!$A$3:$F$32,2,FALSE),VLOOKUP(K$1,test!$A$3:$F$32,2,FALSE))&lt;=test!$K$16,IF(AND($A32&lt;&gt;K$1,feasible_mat!K32=1),(VLOOKUP(K$1,test!$A$3:$I$32,8,FALSE))-(VLOOKUP($A32,test!$A$3:$I$32,9,FALSE)),0),IF(AND($A32&lt;&gt;K$1,feasible_mat!K32=1),(VLOOKUP(K$1,test!$A$3:$I$32,8,FALSE))-(VLOOKUP($A32,test!$A$3:$I$32,9,FALSE))-50,0))</f>
        <v>0</v>
      </c>
      <c r="L32">
        <f>IF(SUM(VLOOKUP($A32,test!$A$3:$F$32,2,FALSE),VLOOKUP(L$1,test!$A$3:$F$32,2,FALSE))&lt;=test!$K$16,IF(AND($A32&lt;&gt;L$1,feasible_mat!L32=1),(VLOOKUP(L$1,test!$A$3:$I$32,8,FALSE))-(VLOOKUP($A32,test!$A$3:$I$32,9,FALSE)),0),IF(AND($A32&lt;&gt;L$1,feasible_mat!L32=1),(VLOOKUP(L$1,test!$A$3:$I$32,8,FALSE))-(VLOOKUP($A32,test!$A$3:$I$32,9,FALSE))-50,0))</f>
        <v>0</v>
      </c>
      <c r="M32">
        <f>IF(SUM(VLOOKUP($A32,test!$A$3:$F$32,2,FALSE),VLOOKUP(M$1,test!$A$3:$F$32,2,FALSE))&lt;=test!$K$16,IF(AND($A32&lt;&gt;M$1,feasible_mat!M32=1),(VLOOKUP(M$1,test!$A$3:$I$32,8,FALSE))-(VLOOKUP($A32,test!$A$3:$I$32,9,FALSE)),0),IF(AND($A32&lt;&gt;M$1,feasible_mat!M32=1),(VLOOKUP(M$1,test!$A$3:$I$32,8,FALSE))-(VLOOKUP($A32,test!$A$3:$I$32,9,FALSE))-50,0))</f>
        <v>0</v>
      </c>
      <c r="N32">
        <f>IF(SUM(VLOOKUP($A32,test!$A$3:$F$32,2,FALSE),VLOOKUP(N$1,test!$A$3:$F$32,2,FALSE))&lt;=test!$K$16,IF(AND($A32&lt;&gt;N$1,feasible_mat!N32=1),(VLOOKUP(N$1,test!$A$3:$I$32,8,FALSE))-(VLOOKUP($A32,test!$A$3:$I$32,9,FALSE)),0),IF(AND($A32&lt;&gt;N$1,feasible_mat!N32=1),(VLOOKUP(N$1,test!$A$3:$I$32,8,FALSE))-(VLOOKUP($A32,test!$A$3:$I$32,9,FALSE))-50,0))</f>
        <v>25</v>
      </c>
      <c r="O32">
        <f>IF(SUM(VLOOKUP($A32,test!$A$3:$F$32,2,FALSE),VLOOKUP(O$1,test!$A$3:$F$32,2,FALSE))&lt;=test!$K$16,IF(AND($A32&lt;&gt;O$1,feasible_mat!O32=1),(VLOOKUP(O$1,test!$A$3:$I$32,8,FALSE))-(VLOOKUP($A32,test!$A$3:$I$32,9,FALSE)),0),IF(AND($A32&lt;&gt;O$1,feasible_mat!O32=1),(VLOOKUP(O$1,test!$A$3:$I$32,8,FALSE))-(VLOOKUP($A32,test!$A$3:$I$32,9,FALSE))-50,0))</f>
        <v>85</v>
      </c>
      <c r="P32">
        <f>IF(SUM(VLOOKUP($A32,test!$A$3:$F$32,2,FALSE),VLOOKUP(P$1,test!$A$3:$F$32,2,FALSE))&lt;=test!$K$16,IF(AND($A32&lt;&gt;P$1,feasible_mat!P32=1),(VLOOKUP(P$1,test!$A$3:$I$32,8,FALSE))-(VLOOKUP($A32,test!$A$3:$I$32,9,FALSE)),0),IF(AND($A32&lt;&gt;P$1,feasible_mat!P32=1),(VLOOKUP(P$1,test!$A$3:$I$32,8,FALSE))-(VLOOKUP($A32,test!$A$3:$I$32,9,FALSE))-50,0))</f>
        <v>0</v>
      </c>
      <c r="Q32">
        <f>IF(SUM(VLOOKUP($A32,test!$A$3:$F$32,2,FALSE),VLOOKUP(Q$1,test!$A$3:$F$32,2,FALSE))&lt;=test!$K$16,IF(AND($A32&lt;&gt;Q$1,feasible_mat!Q32=1),(VLOOKUP(Q$1,test!$A$3:$I$32,8,FALSE))-(VLOOKUP($A32,test!$A$3:$I$32,9,FALSE)),0),IF(AND($A32&lt;&gt;Q$1,feasible_mat!Q32=1),(VLOOKUP(Q$1,test!$A$3:$I$32,8,FALSE))-(VLOOKUP($A32,test!$A$3:$I$32,9,FALSE))-50,0))</f>
        <v>0</v>
      </c>
      <c r="R32">
        <f>IF(SUM(VLOOKUP($A32,test!$A$3:$F$32,2,FALSE),VLOOKUP(R$1,test!$A$3:$F$32,2,FALSE))&lt;=test!$K$16,IF(AND($A32&lt;&gt;R$1,feasible_mat!R32=1),(VLOOKUP(R$1,test!$A$3:$I$32,8,FALSE))-(VLOOKUP($A32,test!$A$3:$I$32,9,FALSE)),0),IF(AND($A32&lt;&gt;R$1,feasible_mat!R32=1),(VLOOKUP(R$1,test!$A$3:$I$32,8,FALSE))-(VLOOKUP($A32,test!$A$3:$I$32,9,FALSE))-50,0))</f>
        <v>0</v>
      </c>
      <c r="S32">
        <f>IF(SUM(VLOOKUP($A32,test!$A$3:$F$32,2,FALSE),VLOOKUP(S$1,test!$A$3:$F$32,2,FALSE))&lt;=test!$K$16,IF(AND($A32&lt;&gt;S$1,feasible_mat!S32=1),(VLOOKUP(S$1,test!$A$3:$I$32,8,FALSE))-(VLOOKUP($A32,test!$A$3:$I$32,9,FALSE)),0),IF(AND($A32&lt;&gt;S$1,feasible_mat!S32=1),(VLOOKUP(S$1,test!$A$3:$I$32,8,FALSE))-(VLOOKUP($A32,test!$A$3:$I$32,9,FALSE))-50,0))</f>
        <v>0</v>
      </c>
      <c r="T32">
        <f>IF(SUM(VLOOKUP($A32,test!$A$3:$F$32,2,FALSE),VLOOKUP(T$1,test!$A$3:$F$32,2,FALSE))&lt;=test!$K$16,IF(AND($A32&lt;&gt;T$1,feasible_mat!T32=1),(VLOOKUP(T$1,test!$A$3:$I$32,8,FALSE))-(VLOOKUP($A32,test!$A$3:$I$32,9,FALSE)),0),IF(AND($A32&lt;&gt;T$1,feasible_mat!T32=1),(VLOOKUP(T$1,test!$A$3:$I$32,8,FALSE))-(VLOOKUP($A32,test!$A$3:$I$32,9,FALSE))-50,0))</f>
        <v>0</v>
      </c>
      <c r="U32">
        <f>IF(SUM(VLOOKUP($A32,test!$A$3:$F$32,2,FALSE),VLOOKUP(U$1,test!$A$3:$F$32,2,FALSE))&lt;=test!$K$16,IF(AND($A32&lt;&gt;U$1,feasible_mat!U32=1),(VLOOKUP(U$1,test!$A$3:$I$32,8,FALSE))-(VLOOKUP($A32,test!$A$3:$I$32,9,FALSE)),0),IF(AND($A32&lt;&gt;U$1,feasible_mat!U32=1),(VLOOKUP(U$1,test!$A$3:$I$32,8,FALSE))-(VLOOKUP($A32,test!$A$3:$I$32,9,FALSE))-50,0))</f>
        <v>0</v>
      </c>
      <c r="V32">
        <f>IF(SUM(VLOOKUP($A32,test!$A$3:$F$32,2,FALSE),VLOOKUP(V$1,test!$A$3:$F$32,2,FALSE))&lt;=test!$K$16,IF(AND($A32&lt;&gt;V$1,feasible_mat!V32=1),(VLOOKUP(V$1,test!$A$3:$I$32,8,FALSE))-(VLOOKUP($A32,test!$A$3:$I$32,9,FALSE)),0),IF(AND($A32&lt;&gt;V$1,feasible_mat!V32=1),(VLOOKUP(V$1,test!$A$3:$I$32,8,FALSE))-(VLOOKUP($A32,test!$A$3:$I$32,9,FALSE))-50,0))</f>
        <v>0</v>
      </c>
      <c r="W32">
        <f>IF(SUM(VLOOKUP($A32,test!$A$3:$F$32,2,FALSE),VLOOKUP(W$1,test!$A$3:$F$32,2,FALSE))&lt;=test!$K$16,IF(AND($A32&lt;&gt;W$1,feasible_mat!W32=1),(VLOOKUP(W$1,test!$A$3:$I$32,8,FALSE))-(VLOOKUP($A32,test!$A$3:$I$32,9,FALSE)),0),IF(AND($A32&lt;&gt;W$1,feasible_mat!W32=1),(VLOOKUP(W$1,test!$A$3:$I$32,8,FALSE))-(VLOOKUP($A32,test!$A$3:$I$32,9,FALSE))-50,0))</f>
        <v>0</v>
      </c>
      <c r="X32">
        <f>IF(SUM(VLOOKUP($A32,test!$A$3:$F$32,2,FALSE),VLOOKUP(X$1,test!$A$3:$F$32,2,FALSE))&lt;=test!$K$16,IF(AND($A32&lt;&gt;X$1,feasible_mat!X32=1),(VLOOKUP(X$1,test!$A$3:$I$32,8,FALSE))-(VLOOKUP($A32,test!$A$3:$I$32,9,FALSE)),0),IF(AND($A32&lt;&gt;X$1,feasible_mat!X32=1),(VLOOKUP(X$1,test!$A$3:$I$32,8,FALSE))-(VLOOKUP($A32,test!$A$3:$I$32,9,FALSE))-50,0))</f>
        <v>10</v>
      </c>
      <c r="Y32">
        <f>IF(SUM(VLOOKUP($A32,test!$A$3:$F$32,2,FALSE),VLOOKUP(Y$1,test!$A$3:$F$32,2,FALSE))&lt;=test!$K$16,IF(AND($A32&lt;&gt;Y$1,feasible_mat!Y32=1),(VLOOKUP(Y$1,test!$A$3:$I$32,8,FALSE))-(VLOOKUP($A32,test!$A$3:$I$32,9,FALSE)),0),IF(AND($A32&lt;&gt;Y$1,feasible_mat!Y32=1),(VLOOKUP(Y$1,test!$A$3:$I$32,8,FALSE))-(VLOOKUP($A32,test!$A$3:$I$32,9,FALSE))-50,0))</f>
        <v>0</v>
      </c>
      <c r="Z32">
        <f>IF(SUM(VLOOKUP($A32,test!$A$3:$F$32,2,FALSE),VLOOKUP(Z$1,test!$A$3:$F$32,2,FALSE))&lt;=test!$K$16,IF(AND($A32&lt;&gt;Z$1,feasible_mat!Z32=1),(VLOOKUP(Z$1,test!$A$3:$I$32,8,FALSE))-(VLOOKUP($A32,test!$A$3:$I$32,9,FALSE)),0),IF(AND($A32&lt;&gt;Z$1,feasible_mat!Z32=1),(VLOOKUP(Z$1,test!$A$3:$I$32,8,FALSE))-(VLOOKUP($A32,test!$A$3:$I$32,9,FALSE))-50,0))</f>
        <v>0</v>
      </c>
      <c r="AA32">
        <f>IF(SUM(VLOOKUP($A32,test!$A$3:$F$32,2,FALSE),VLOOKUP(AA$1,test!$A$3:$F$32,2,FALSE))&lt;=test!$K$16,IF(AND($A32&lt;&gt;AA$1,feasible_mat!AA32=1),(VLOOKUP(AA$1,test!$A$3:$I$32,8,FALSE))-(VLOOKUP($A32,test!$A$3:$I$32,9,FALSE)),0),IF(AND($A32&lt;&gt;AA$1,feasible_mat!AA32=1),(VLOOKUP(AA$1,test!$A$3:$I$32,8,FALSE))-(VLOOKUP($A32,test!$A$3:$I$32,9,FALSE))-50,0))</f>
        <v>0</v>
      </c>
      <c r="AB32">
        <f>IF(SUM(VLOOKUP($A32,test!$A$3:$F$32,2,FALSE),VLOOKUP(AB$1,test!$A$3:$F$32,2,FALSE))&lt;=test!$K$16,IF(AND($A32&lt;&gt;AB$1,feasible_mat!AB32=1),(VLOOKUP(AB$1,test!$A$3:$I$32,8,FALSE))-(VLOOKUP($A32,test!$A$3:$I$32,9,FALSE)),0),IF(AND($A32&lt;&gt;AB$1,feasible_mat!AB32=1),(VLOOKUP(AB$1,test!$A$3:$I$32,8,FALSE))-(VLOOKUP($A32,test!$A$3:$I$32,9,FALSE))-50,0))</f>
        <v>0</v>
      </c>
      <c r="AC32">
        <f>IF(SUM(VLOOKUP($A32,test!$A$3:$F$32,2,FALSE),VLOOKUP(AC$1,test!$A$3:$F$32,2,FALSE))&lt;=test!$K$16,IF(AND($A32&lt;&gt;AC$1,feasible_mat!AC32=1),(VLOOKUP(AC$1,test!$A$3:$I$32,8,FALSE))-(VLOOKUP($A32,test!$A$3:$I$32,9,FALSE)),0),IF(AND($A32&lt;&gt;AC$1,feasible_mat!AC32=1),(VLOOKUP(AC$1,test!$A$3:$I$32,8,FALSE))-(VLOOKUP($A32,test!$A$3:$I$32,9,FALSE))-50,0))</f>
        <v>0</v>
      </c>
      <c r="AD32">
        <f>IF(SUM(VLOOKUP($A32,test!$A$3:$F$32,2,FALSE),VLOOKUP(AD$1,test!$A$3:$F$32,2,FALSE))&lt;=test!$K$16,IF(AND($A32&lt;&gt;AD$1,feasible_mat!AD32=1),(VLOOKUP(AD$1,test!$A$3:$I$32,8,FALSE))-(VLOOKUP($A32,test!$A$3:$I$32,9,FALSE)),0),IF(AND($A32&lt;&gt;AD$1,feasible_mat!AD32=1),(VLOOKUP(AD$1,test!$A$3:$I$32,8,FALSE))-(VLOOKUP($A32,test!$A$3:$I$32,9,FALSE))-50,0))</f>
        <v>0</v>
      </c>
      <c r="AE32">
        <f>IF(SUM(VLOOKUP($A32,test!$A$3:$F$32,2,FALSE),VLOOKUP(AE$1,test!$A$3:$F$32,2,FALSE))&lt;=test!$K$16,IF(AND($A32&lt;&gt;AE$1,feasible_mat!AE32=1),(VLOOKUP(AE$1,test!$A$3:$I$32,8,FALSE))-(VLOOKUP($A32,test!$A$3:$I$32,9,FALSE)),0),IF(AND($A32&lt;&gt;AE$1,feasible_mat!AE32=1),(VLOOKUP(AE$1,test!$A$3:$I$32,8,FALSE))-(VLOOKUP($A32,test!$A$3:$I$32,9,FALSE))-50,0))</f>
        <v>0</v>
      </c>
      <c r="AF32">
        <f>IF(SUM(VLOOKUP($A32,test!$A$3:$F$32,2,FALSE),VLOOKUP(AF$1,test!$A$3:$F$32,2,FALSE))&lt;=test!$K$16,IF(AND($A32&lt;&gt;AF$1,feasible_mat!AF32=1),(VLOOKUP(AF$1,test!$A$3:$I$32,8,FALSE))-(VLOOKUP($A32,test!$A$3:$I$32,9,FALSE)),0),IF(AND($A32&lt;&gt;AF$1,feasible_mat!AF32=1),(VLOOKUP(AF$1,test!$A$3:$I$32,8,FALSE))-(VLOOKUP($A32,test!$A$3:$I$32,9,FALSE))-50,0))</f>
        <v>0</v>
      </c>
    </row>
    <row r="33" spans="1:32" x14ac:dyDescent="0.25">
      <c r="A33" t="s">
        <v>46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6</v>
      </c>
      <c r="B34">
        <v>0</v>
      </c>
      <c r="C34">
        <f>IF(AND(SUM(VLOOKUP($A34,test!$A$3:$F$32,2,FALSE),VLOOKUP(C$1,test!$A$3:$F$32,2,FALSE))&lt;test!$K$16,$A34&lt;&gt;C$1,feasible_mat!C34=1),(VLOOKUP(C$1,test!$A$3:$I$32,8,FALSE))-(VLOOKUP($A34,test!$A$3:$I$32,9,FALSE))+test!$B$33,0)</f>
        <v>0</v>
      </c>
      <c r="D34">
        <f>IF(AND(SUM(VLOOKUP($A34,test!$A$3:$F$32,2,FALSE),VLOOKUP(D$1,test!$A$3:$F$32,2,FALSE))&lt;test!$K$16,$A34&lt;&gt;D$1,Recharged_Feasible_mat!E3=1),(VLOOKUP(D$1,test!$A$3:$I$32,8,FALSE))-(VLOOKUP($A34,test!$A$3:$I$32,9,FALSE))+test!$B$33,0)</f>
        <v>0</v>
      </c>
      <c r="E34">
        <f>IF(AND(SUM(VLOOKUP($A34,test!$A$3:$F$32,2,FALSE),VLOOKUP(E$1,test!$A$3:$F$32,2,FALSE))&lt;test!$K$16,$A34&lt;&gt;E$1,Recharged_Feasible_mat!F3=1),(VLOOKUP(E$1,test!$A$3:$I$32,8,FALSE))-(VLOOKUP($A34,test!$A$3:$I$32,9,FALSE))+test!$B$33,0)</f>
        <v>185</v>
      </c>
      <c r="F34">
        <f>IF(AND(SUM(VLOOKUP($A34,test!$A$3:$F$32,2,FALSE),VLOOKUP(F$1,test!$A$3:$F$32,2,FALSE))&lt;test!$K$16,$A34&lt;&gt;F$1,Recharged_Feasible_mat!G3=1),(VLOOKUP(F$1,test!$A$3:$I$32,8,FALSE))-(VLOOKUP($A34,test!$A$3:$I$32,9,FALSE))+test!$B$33,0)</f>
        <v>275</v>
      </c>
      <c r="G34">
        <f>IF(AND(SUM(VLOOKUP($A34,test!$A$3:$F$32,2,FALSE),VLOOKUP(G$1,test!$A$3:$F$32,2,FALSE))&lt;test!$K$16,$A34&lt;&gt;G$1,Recharged_Feasible_mat!H3=1),(VLOOKUP(G$1,test!$A$3:$I$32,8,FALSE))-(VLOOKUP($A34,test!$A$3:$I$32,9,FALSE))+test!$B$33,0)</f>
        <v>335</v>
      </c>
      <c r="H34">
        <f>IF(AND(SUM(VLOOKUP($A34,test!$A$3:$F$32,2,FALSE),VLOOKUP(H$1,test!$A$3:$F$32,2,FALSE))&lt;test!$K$16,$A34&lt;&gt;H$1,Recharged_Feasible_mat!I3=1),(VLOOKUP(H$1,test!$A$3:$I$32,8,FALSE))-(VLOOKUP($A34,test!$A$3:$I$32,9,FALSE))+test!$B$33,0)</f>
        <v>395</v>
      </c>
      <c r="I34">
        <f>IF(AND(SUM(VLOOKUP($A34,test!$A$3:$F$32,2,FALSE),VLOOKUP(I$1,test!$A$3:$F$32,2,FALSE))&lt;test!$K$16,$A34&lt;&gt;I$1,Recharged_Feasible_mat!J3=1),(VLOOKUP(I$1,test!$A$3:$I$32,8,FALSE))-(VLOOKUP($A34,test!$A$3:$I$32,9,FALSE))+test!$B$33,0)</f>
        <v>455</v>
      </c>
      <c r="J34">
        <f>IF(AND(SUM(VLOOKUP($A34,test!$A$3:$F$32,2,FALSE),VLOOKUP(J$1,test!$A$3:$F$32,2,FALSE))&lt;test!$K$16,$A34&lt;&gt;J$1,Recharged_Feasible_mat!K3=1),(VLOOKUP(J$1,test!$A$3:$I$32,8,FALSE))-(VLOOKUP($A34,test!$A$3:$I$32,9,FALSE))+test!$B$33,0)</f>
        <v>545</v>
      </c>
      <c r="K34">
        <f>IF(AND(SUM(VLOOKUP($A34,test!$A$3:$F$32,2,FALSE),VLOOKUP(K$1,test!$A$3:$F$32,2,FALSE))&lt;test!$K$16,$A34&lt;&gt;K$1,Recharged_Feasible_mat!L3=1),(VLOOKUP(K$1,test!$A$3:$I$32,8,FALSE))-(VLOOKUP($A34,test!$A$3:$I$32,9,FALSE))+test!$B$33,0)</f>
        <v>0</v>
      </c>
      <c r="L34">
        <f>IF(AND(SUM(VLOOKUP($A34,test!$A$3:$F$32,2,FALSE),VLOOKUP(L$1,test!$A$3:$F$32,2,FALSE))&lt;test!$K$16,$A34&lt;&gt;L$1,Recharged_Feasible_mat!M3=1),(VLOOKUP(L$1,test!$A$3:$I$32,8,FALSE))-(VLOOKUP($A34,test!$A$3:$I$32,9,FALSE))+test!$B$33,0)</f>
        <v>0</v>
      </c>
      <c r="M34">
        <f>IF(AND(SUM(VLOOKUP($A34,test!$A$3:$F$32,2,FALSE),VLOOKUP(M$1,test!$A$3:$F$32,2,FALSE))&lt;test!$K$16,$A34&lt;&gt;M$1,Recharged_Feasible_mat!N3=1),(VLOOKUP(M$1,test!$A$3:$I$32,8,FALSE))-(VLOOKUP($A34,test!$A$3:$I$32,9,FALSE))+test!$B$33,0)</f>
        <v>150</v>
      </c>
      <c r="N34">
        <f>IF(AND(SUM(VLOOKUP($A34,test!$A$3:$F$32,2,FALSE),VLOOKUP(N$1,test!$A$3:$F$32,2,FALSE))&lt;test!$K$16,$A34&lt;&gt;N$1,Recharged_Feasible_mat!O3=1),(VLOOKUP(N$1,test!$A$3:$I$32,8,FALSE))-(VLOOKUP($A34,test!$A$3:$I$32,9,FALSE))+test!$B$33,0)</f>
        <v>510</v>
      </c>
      <c r="O34">
        <f>IF(AND(SUM(VLOOKUP($A34,test!$A$3:$F$32,2,FALSE),VLOOKUP(O$1,test!$A$3:$F$32,2,FALSE))&lt;test!$K$16,$A34&lt;&gt;O$1,Recharged_Feasible_mat!P3=1),(VLOOKUP(O$1,test!$A$3:$I$32,8,FALSE))-(VLOOKUP($A34,test!$A$3:$I$32,9,FALSE))+test!$B$33,0)</f>
        <v>570</v>
      </c>
      <c r="P34">
        <f>IF(AND(SUM(VLOOKUP($A34,test!$A$3:$F$32,2,FALSE),VLOOKUP(P$1,test!$A$3:$F$32,2,FALSE))&lt;test!$K$16,$A34&lt;&gt;P$1,Recharged_Feasible_mat!Q3=1),(VLOOKUP(P$1,test!$A$3:$I$32,8,FALSE))-(VLOOKUP($A34,test!$A$3:$I$32,9,FALSE))+test!$B$33,0)</f>
        <v>0</v>
      </c>
      <c r="Q34">
        <f>IF(AND(SUM(VLOOKUP($A34,test!$A$3:$F$32,2,FALSE),VLOOKUP(Q$1,test!$A$3:$F$32,2,FALSE))&lt;test!$K$16,$A34&lt;&gt;Q$1,Recharged_Feasible_mat!R3=1),(VLOOKUP(Q$1,test!$A$3:$I$32,8,FALSE))-(VLOOKUP($A34,test!$A$3:$I$32,9,FALSE))+test!$B$33,0)</f>
        <v>0</v>
      </c>
      <c r="R34">
        <f>IF(AND(SUM(VLOOKUP($A34,test!$A$3:$F$32,2,FALSE),VLOOKUP(R$1,test!$A$3:$F$32,2,FALSE))&lt;test!$K$16,$A34&lt;&gt;R$1,Recharged_Feasible_mat!S3=1),(VLOOKUP(R$1,test!$A$3:$I$32,8,FALSE))-(VLOOKUP($A34,test!$A$3:$I$32,9,FALSE))+test!$B$33,0)</f>
        <v>0</v>
      </c>
      <c r="S34">
        <f>IF(AND(SUM(VLOOKUP($A34,test!$A$3:$F$32,2,FALSE),VLOOKUP(S$1,test!$A$3:$F$32,2,FALSE))&lt;test!$K$16,$A34&lt;&gt;S$1,Recharged_Feasible_mat!T3=1),(VLOOKUP(S$1,test!$A$3:$I$32,8,FALSE))-(VLOOKUP($A34,test!$A$3:$I$32,9,FALSE))+test!$B$33,0)</f>
        <v>0</v>
      </c>
      <c r="T34">
        <f>IF(AND(SUM(VLOOKUP($A34,test!$A$3:$F$32,2,FALSE),VLOOKUP(T$1,test!$A$3:$F$32,2,FALSE))&lt;test!$K$16,$A34&lt;&gt;T$1,Recharged_Feasible_mat!U3=1),(VLOOKUP(T$1,test!$A$3:$I$32,8,FALSE))-(VLOOKUP($A34,test!$A$3:$I$32,9,FALSE))+test!$B$33,0)</f>
        <v>165</v>
      </c>
      <c r="U34">
        <f>IF(AND(SUM(VLOOKUP($A34,test!$A$3:$F$32,2,FALSE),VLOOKUP(U$1,test!$A$3:$F$32,2,FALSE))&lt;test!$K$16,$A34&lt;&gt;U$1,Recharged_Feasible_mat!V3=1),(VLOOKUP(U$1,test!$A$3:$I$32,8,FALSE))-(VLOOKUP($A34,test!$A$3:$I$32,9,FALSE))+test!$B$33,0)</f>
        <v>255</v>
      </c>
      <c r="V34">
        <f>IF(AND(SUM(VLOOKUP($A34,test!$A$3:$F$32,2,FALSE),VLOOKUP(V$1,test!$A$3:$F$32,2,FALSE))&lt;test!$K$16,$A34&lt;&gt;V$1,Recharged_Feasible_mat!W3=1),(VLOOKUP(V$1,test!$A$3:$I$32,8,FALSE))-(VLOOKUP($A34,test!$A$3:$I$32,9,FALSE))+test!$B$33,0)</f>
        <v>345</v>
      </c>
      <c r="W34">
        <f>IF(AND(SUM(VLOOKUP($A34,test!$A$3:$F$32,2,FALSE),VLOOKUP(W$1,test!$A$3:$F$32,2,FALSE))&lt;test!$K$16,$A34&lt;&gt;W$1,Recharged_Feasible_mat!X3=1),(VLOOKUP(W$1,test!$A$3:$I$32,8,FALSE))-(VLOOKUP($A34,test!$A$3:$I$32,9,FALSE))+test!$B$33,0)</f>
        <v>435</v>
      </c>
      <c r="X34">
        <f>IF(AND(SUM(VLOOKUP($A34,test!$A$3:$F$32,2,FALSE),VLOOKUP(X$1,test!$A$3:$F$32,2,FALSE))&lt;test!$K$16,$A34&lt;&gt;X$1,Recharged_Feasible_mat!Y3=1),(VLOOKUP(X$1,test!$A$3:$I$32,8,FALSE))-(VLOOKUP($A34,test!$A$3:$I$32,9,FALSE))+test!$B$33,0)</f>
        <v>495</v>
      </c>
      <c r="Y34">
        <f>IF(AND(SUM(VLOOKUP($A34,test!$A$3:$F$32,2,FALSE),VLOOKUP(Y$1,test!$A$3:$F$32,2,FALSE))&lt;test!$K$16,$A34&lt;&gt;Y$1,Recharged_Feasible_mat!Z3=1),(VLOOKUP(Y$1,test!$A$3:$I$32,8,FALSE))-(VLOOKUP($A34,test!$A$3:$I$32,9,FALSE))+test!$B$33,0)</f>
        <v>0</v>
      </c>
      <c r="Z34">
        <f>IF(AND(SUM(VLOOKUP($A34,test!$A$3:$F$32,2,FALSE),VLOOKUP(Z$1,test!$A$3:$F$32,2,FALSE))&lt;test!$K$16,$A34&lt;&gt;Z$1,Recharged_Feasible_mat!AA3=1),(VLOOKUP(Z$1,test!$A$3:$I$32,8,FALSE))-(VLOOKUP($A34,test!$A$3:$I$32,9,FALSE))+test!$B$33,0)</f>
        <v>0</v>
      </c>
      <c r="AA34">
        <f>IF(AND(SUM(VLOOKUP($A34,test!$A$3:$F$32,2,FALSE),VLOOKUP(AA$1,test!$A$3:$F$32,2,FALSE))&lt;test!$K$16,$A34&lt;&gt;AA$1,Recharged_Feasible_mat!AB3=1),(VLOOKUP(AA$1,test!$A$3:$I$32,8,FALSE))-(VLOOKUP($A34,test!$A$3:$I$32,9,FALSE))+test!$B$33,0)</f>
        <v>215</v>
      </c>
      <c r="AB34">
        <f>IF(AND(SUM(VLOOKUP($A34,test!$A$3:$F$32,2,FALSE),VLOOKUP(AB$1,test!$A$3:$F$32,2,FALSE))&lt;test!$K$16,$A34&lt;&gt;AB$1,Recharged_Feasible_mat!AC3=1),(VLOOKUP(AB$1,test!$A$3:$I$32,8,FALSE))-(VLOOKUP($A34,test!$A$3:$I$32,9,FALSE))+test!$B$33,0)</f>
        <v>275</v>
      </c>
      <c r="AC34">
        <f>IF(AND(SUM(VLOOKUP($A34,test!$A$3:$F$32,2,FALSE),VLOOKUP(AC$1,test!$A$3:$F$32,2,FALSE))&lt;test!$K$16,$A34&lt;&gt;AC$1,Recharged_Feasible_mat!AD3=1),(VLOOKUP(AC$1,test!$A$3:$I$32,8,FALSE))-(VLOOKUP($A34,test!$A$3:$I$32,9,FALSE))+test!$B$33,0)</f>
        <v>395</v>
      </c>
      <c r="AD34">
        <f>IF(AND(SUM(VLOOKUP($A34,test!$A$3:$F$32,2,FALSE),VLOOKUP(AD$1,test!$A$3:$F$32,2,FALSE))&lt;test!$K$16,$A34&lt;&gt;AD$1,Recharged_Feasible_mat!AE3=1),(VLOOKUP(AD$1,test!$A$3:$I$32,8,FALSE))-(VLOOKUP($A34,test!$A$3:$I$32,9,FALSE))+test!$B$33,0)</f>
        <v>0</v>
      </c>
      <c r="AE34">
        <f>IF(AND(SUM(VLOOKUP($A34,test!$A$3:$F$32,2,FALSE),VLOOKUP(AE$1,test!$A$3:$F$32,2,FALSE))&lt;test!$K$16,$A34&lt;&gt;AE$1,Recharged_Feasible_mat!AF3=1),(VLOOKUP(AE$1,test!$A$3:$I$32,8,FALSE))-(VLOOKUP($A34,test!$A$3:$I$32,9,FALSE))+test!$B$33,0)</f>
        <v>215</v>
      </c>
      <c r="AF34">
        <f>IF(AND(SUM(VLOOKUP($A34,test!$A$3:$F$32,2,FALSE),VLOOKUP(AF$1,test!$A$3:$F$32,2,FALSE))&lt;test!$K$16,$A34&lt;&gt;AF$1,Recharged_Feasible_mat!AG3=1),(VLOOKUP(AF$1,test!$A$3:$I$32,8,FALSE))-(VLOOKUP($A34,test!$A$3:$I$32,9,FALSE))+test!$B$33,0)</f>
        <v>0</v>
      </c>
    </row>
    <row r="35" spans="1:32" x14ac:dyDescent="0.25">
      <c r="A35" t="s">
        <v>9</v>
      </c>
      <c r="B35">
        <v>0</v>
      </c>
      <c r="C35">
        <f>IF(AND(SUM(VLOOKUP($A35,test!$A$3:$F$32,2,FALSE),VLOOKUP(C$1,test!$A$3:$F$32,2,FALSE))&lt;test!$K$16,$A35&lt;&gt;C$1,feasible_mat!C35=1),(VLOOKUP(C$1,test!$A$3:$I$32,8,FALSE))-(VLOOKUP($A35,test!$A$3:$I$32,9,FALSE))+test!$B$33,0)</f>
        <v>0</v>
      </c>
      <c r="D35">
        <f>IF(AND(SUM(VLOOKUP($A35,test!$A$3:$F$32,2,FALSE),VLOOKUP(D$1,test!$A$3:$F$32,2,FALSE))&lt;test!$K$16,$A35&lt;&gt;D$1,Recharged_Feasible_mat!E4=1),(VLOOKUP(D$1,test!$A$3:$I$32,8,FALSE))-(VLOOKUP($A35,test!$A$3:$I$32,9,FALSE))+test!$B$33,0)</f>
        <v>0</v>
      </c>
      <c r="E35">
        <f>IF(AND(SUM(VLOOKUP($A35,test!$A$3:$F$32,2,FALSE),VLOOKUP(E$1,test!$A$3:$F$32,2,FALSE))&lt;test!$K$16,$A35&lt;&gt;E$1,Recharged_Feasible_mat!F4=1),(VLOOKUP(E$1,test!$A$3:$I$32,8,FALSE))-(VLOOKUP($A35,test!$A$3:$I$32,9,FALSE))+test!$B$33,0)</f>
        <v>0</v>
      </c>
      <c r="F35">
        <f>IF(AND(SUM(VLOOKUP($A35,test!$A$3:$F$32,2,FALSE),VLOOKUP(F$1,test!$A$3:$F$32,2,FALSE))&lt;test!$K$16,$A35&lt;&gt;F$1,Recharged_Feasible_mat!G4=1),(VLOOKUP(F$1,test!$A$3:$I$32,8,FALSE))-(VLOOKUP($A35,test!$A$3:$I$32,9,FALSE))+test!$B$33,0)</f>
        <v>0</v>
      </c>
      <c r="G35">
        <f>IF(AND(SUM(VLOOKUP($A35,test!$A$3:$F$32,2,FALSE),VLOOKUP(G$1,test!$A$3:$F$32,2,FALSE))&lt;test!$K$16,$A35&lt;&gt;G$1,Recharged_Feasible_mat!H4=1),(VLOOKUP(G$1,test!$A$3:$I$32,8,FALSE))-(VLOOKUP($A35,test!$A$3:$I$32,9,FALSE))+test!$B$33,0)</f>
        <v>155</v>
      </c>
      <c r="H35">
        <f>IF(AND(SUM(VLOOKUP($A35,test!$A$3:$F$32,2,FALSE),VLOOKUP(H$1,test!$A$3:$F$32,2,FALSE))&lt;test!$K$16,$A35&lt;&gt;H$1,Recharged_Feasible_mat!I4=1),(VLOOKUP(H$1,test!$A$3:$I$32,8,FALSE))-(VLOOKUP($A35,test!$A$3:$I$32,9,FALSE))+test!$B$33,0)</f>
        <v>215</v>
      </c>
      <c r="I35">
        <f>IF(AND(SUM(VLOOKUP($A35,test!$A$3:$F$32,2,FALSE),VLOOKUP(I$1,test!$A$3:$F$32,2,FALSE))&lt;test!$K$16,$A35&lt;&gt;I$1,Recharged_Feasible_mat!J4=1),(VLOOKUP(I$1,test!$A$3:$I$32,8,FALSE))-(VLOOKUP($A35,test!$A$3:$I$32,9,FALSE))+test!$B$33,0)</f>
        <v>275</v>
      </c>
      <c r="J35">
        <f>IF(AND(SUM(VLOOKUP($A35,test!$A$3:$F$32,2,FALSE),VLOOKUP(J$1,test!$A$3:$F$32,2,FALSE))&lt;test!$K$16,$A35&lt;&gt;J$1,Recharged_Feasible_mat!K4=1),(VLOOKUP(J$1,test!$A$3:$I$32,8,FALSE))-(VLOOKUP($A35,test!$A$3:$I$32,9,FALSE))+test!$B$33,0)</f>
        <v>365</v>
      </c>
      <c r="K35">
        <f>IF(AND(SUM(VLOOKUP($A35,test!$A$3:$F$32,2,FALSE),VLOOKUP(K$1,test!$A$3:$F$32,2,FALSE))&lt;test!$K$16,$A35&lt;&gt;K$1,Recharged_Feasible_mat!L4=1),(VLOOKUP(K$1,test!$A$3:$I$32,8,FALSE))-(VLOOKUP($A35,test!$A$3:$I$32,9,FALSE))+test!$B$33,0)</f>
        <v>0</v>
      </c>
      <c r="L35">
        <f>IF(AND(SUM(VLOOKUP($A35,test!$A$3:$F$32,2,FALSE),VLOOKUP(L$1,test!$A$3:$F$32,2,FALSE))&lt;test!$K$16,$A35&lt;&gt;L$1,Recharged_Feasible_mat!M4=1),(VLOOKUP(L$1,test!$A$3:$I$32,8,FALSE))-(VLOOKUP($A35,test!$A$3:$I$32,9,FALSE))+test!$B$33,0)</f>
        <v>0</v>
      </c>
      <c r="M35">
        <f>IF(AND(SUM(VLOOKUP($A35,test!$A$3:$F$32,2,FALSE),VLOOKUP(M$1,test!$A$3:$F$32,2,FALSE))&lt;test!$K$16,$A35&lt;&gt;M$1,Recharged_Feasible_mat!N4=1),(VLOOKUP(M$1,test!$A$3:$I$32,8,FALSE))-(VLOOKUP($A35,test!$A$3:$I$32,9,FALSE))+test!$B$33,0)</f>
        <v>0</v>
      </c>
      <c r="N35">
        <f>IF(AND(SUM(VLOOKUP($A35,test!$A$3:$F$32,2,FALSE),VLOOKUP(N$1,test!$A$3:$F$32,2,FALSE))&lt;test!$K$16,$A35&lt;&gt;N$1,Recharged_Feasible_mat!O4=1),(VLOOKUP(N$1,test!$A$3:$I$32,8,FALSE))-(VLOOKUP($A35,test!$A$3:$I$32,9,FALSE))+test!$B$33,0)</f>
        <v>330</v>
      </c>
      <c r="O35">
        <f>IF(AND(SUM(VLOOKUP($A35,test!$A$3:$F$32,2,FALSE),VLOOKUP(O$1,test!$A$3:$F$32,2,FALSE))&lt;test!$K$16,$A35&lt;&gt;O$1,Recharged_Feasible_mat!P4=1),(VLOOKUP(O$1,test!$A$3:$I$32,8,FALSE))-(VLOOKUP($A35,test!$A$3:$I$32,9,FALSE))+test!$B$33,0)</f>
        <v>390</v>
      </c>
      <c r="P35">
        <f>IF(AND(SUM(VLOOKUP($A35,test!$A$3:$F$32,2,FALSE),VLOOKUP(P$1,test!$A$3:$F$32,2,FALSE))&lt;test!$K$16,$A35&lt;&gt;P$1,Recharged_Feasible_mat!Q4=1),(VLOOKUP(P$1,test!$A$3:$I$32,8,FALSE))-(VLOOKUP($A35,test!$A$3:$I$32,9,FALSE))+test!$B$33,0)</f>
        <v>0</v>
      </c>
      <c r="Q35">
        <f>IF(AND(SUM(VLOOKUP($A35,test!$A$3:$F$32,2,FALSE),VLOOKUP(Q$1,test!$A$3:$F$32,2,FALSE))&lt;test!$K$16,$A35&lt;&gt;Q$1,Recharged_Feasible_mat!R4=1),(VLOOKUP(Q$1,test!$A$3:$I$32,8,FALSE))-(VLOOKUP($A35,test!$A$3:$I$32,9,FALSE))+test!$B$33,0)</f>
        <v>0</v>
      </c>
      <c r="R35">
        <f>IF(AND(SUM(VLOOKUP($A35,test!$A$3:$F$32,2,FALSE),VLOOKUP(R$1,test!$A$3:$F$32,2,FALSE))&lt;test!$K$16,$A35&lt;&gt;R$1,Recharged_Feasible_mat!S4=1),(VLOOKUP(R$1,test!$A$3:$I$32,8,FALSE))-(VLOOKUP($A35,test!$A$3:$I$32,9,FALSE))+test!$B$33,0)</f>
        <v>0</v>
      </c>
      <c r="S35">
        <f>IF(AND(SUM(VLOOKUP($A35,test!$A$3:$F$32,2,FALSE),VLOOKUP(S$1,test!$A$3:$F$32,2,FALSE))&lt;test!$K$16,$A35&lt;&gt;S$1,Recharged_Feasible_mat!T4=1),(VLOOKUP(S$1,test!$A$3:$I$32,8,FALSE))-(VLOOKUP($A35,test!$A$3:$I$32,9,FALSE))+test!$B$33,0)</f>
        <v>0</v>
      </c>
      <c r="T35">
        <f>IF(AND(SUM(VLOOKUP($A35,test!$A$3:$F$32,2,FALSE),VLOOKUP(T$1,test!$A$3:$F$32,2,FALSE))&lt;test!$K$16,$A35&lt;&gt;T$1,Recharged_Feasible_mat!U4=1),(VLOOKUP(T$1,test!$A$3:$I$32,8,FALSE))-(VLOOKUP($A35,test!$A$3:$I$32,9,FALSE))+test!$B$33,0)</f>
        <v>0</v>
      </c>
      <c r="U35">
        <f>IF(AND(SUM(VLOOKUP($A35,test!$A$3:$F$32,2,FALSE),VLOOKUP(U$1,test!$A$3:$F$32,2,FALSE))&lt;test!$K$16,$A35&lt;&gt;U$1,Recharged_Feasible_mat!V4=1),(VLOOKUP(U$1,test!$A$3:$I$32,8,FALSE))-(VLOOKUP($A35,test!$A$3:$I$32,9,FALSE))+test!$B$33,0)</f>
        <v>0</v>
      </c>
      <c r="V35">
        <f>IF(AND(SUM(VLOOKUP($A35,test!$A$3:$F$32,2,FALSE),VLOOKUP(V$1,test!$A$3:$F$32,2,FALSE))&lt;test!$K$16,$A35&lt;&gt;V$1,Recharged_Feasible_mat!W4=1),(VLOOKUP(V$1,test!$A$3:$I$32,8,FALSE))-(VLOOKUP($A35,test!$A$3:$I$32,9,FALSE))+test!$B$33,0)</f>
        <v>165</v>
      </c>
      <c r="W35">
        <f>IF(AND(SUM(VLOOKUP($A35,test!$A$3:$F$32,2,FALSE),VLOOKUP(W$1,test!$A$3:$F$32,2,FALSE))&lt;test!$K$16,$A35&lt;&gt;W$1,Recharged_Feasible_mat!X4=1),(VLOOKUP(W$1,test!$A$3:$I$32,8,FALSE))-(VLOOKUP($A35,test!$A$3:$I$32,9,FALSE))+test!$B$33,0)</f>
        <v>255</v>
      </c>
      <c r="X35">
        <f>IF(AND(SUM(VLOOKUP($A35,test!$A$3:$F$32,2,FALSE),VLOOKUP(X$1,test!$A$3:$F$32,2,FALSE))&lt;test!$K$16,$A35&lt;&gt;X$1,Recharged_Feasible_mat!Y4=1),(VLOOKUP(X$1,test!$A$3:$I$32,8,FALSE))-(VLOOKUP($A35,test!$A$3:$I$32,9,FALSE))+test!$B$33,0)</f>
        <v>315</v>
      </c>
      <c r="Y35">
        <f>IF(AND(SUM(VLOOKUP($A35,test!$A$3:$F$32,2,FALSE),VLOOKUP(Y$1,test!$A$3:$F$32,2,FALSE))&lt;test!$K$16,$A35&lt;&gt;Y$1,Recharged_Feasible_mat!Z4=1),(VLOOKUP(Y$1,test!$A$3:$I$32,8,FALSE))-(VLOOKUP($A35,test!$A$3:$I$32,9,FALSE))+test!$B$33,0)</f>
        <v>0</v>
      </c>
      <c r="Z35">
        <f>IF(AND(SUM(VLOOKUP($A35,test!$A$3:$F$32,2,FALSE),VLOOKUP(Z$1,test!$A$3:$F$32,2,FALSE))&lt;test!$K$16,$A35&lt;&gt;Z$1,Recharged_Feasible_mat!AA4=1),(VLOOKUP(Z$1,test!$A$3:$I$32,8,FALSE))-(VLOOKUP($A35,test!$A$3:$I$32,9,FALSE))+test!$B$33,0)</f>
        <v>0</v>
      </c>
      <c r="AA35">
        <f>IF(AND(SUM(VLOOKUP($A35,test!$A$3:$F$32,2,FALSE),VLOOKUP(AA$1,test!$A$3:$F$32,2,FALSE))&lt;test!$K$16,$A35&lt;&gt;AA$1,Recharged_Feasible_mat!AB4=1),(VLOOKUP(AA$1,test!$A$3:$I$32,8,FALSE))-(VLOOKUP($A35,test!$A$3:$I$32,9,FALSE))+test!$B$33,0)</f>
        <v>0</v>
      </c>
      <c r="AB35">
        <f>IF(AND(SUM(VLOOKUP($A35,test!$A$3:$F$32,2,FALSE),VLOOKUP(AB$1,test!$A$3:$F$32,2,FALSE))&lt;test!$K$16,$A35&lt;&gt;AB$1,Recharged_Feasible_mat!AC4=1),(VLOOKUP(AB$1,test!$A$3:$I$32,8,FALSE))-(VLOOKUP($A35,test!$A$3:$I$32,9,FALSE))+test!$B$33,0)</f>
        <v>0</v>
      </c>
      <c r="AC35">
        <f>IF(AND(SUM(VLOOKUP($A35,test!$A$3:$F$32,2,FALSE),VLOOKUP(AC$1,test!$A$3:$F$32,2,FALSE))&lt;test!$K$16,$A35&lt;&gt;AC$1,Recharged_Feasible_mat!AD4=1),(VLOOKUP(AC$1,test!$A$3:$I$32,8,FALSE))-(VLOOKUP($A35,test!$A$3:$I$32,9,FALSE))+test!$B$33,0)</f>
        <v>215</v>
      </c>
      <c r="AD35">
        <f>IF(AND(SUM(VLOOKUP($A35,test!$A$3:$F$32,2,FALSE),VLOOKUP(AD$1,test!$A$3:$F$32,2,FALSE))&lt;test!$K$16,$A35&lt;&gt;AD$1,Recharged_Feasible_mat!AE4=1),(VLOOKUP(AD$1,test!$A$3:$I$32,8,FALSE))-(VLOOKUP($A35,test!$A$3:$I$32,9,FALSE))+test!$B$33,0)</f>
        <v>0</v>
      </c>
      <c r="AE35">
        <f>IF(AND(SUM(VLOOKUP($A35,test!$A$3:$F$32,2,FALSE),VLOOKUP(AE$1,test!$A$3:$F$32,2,FALSE))&lt;test!$K$16,$A35&lt;&gt;AE$1,Recharged_Feasible_mat!AF4=1),(VLOOKUP(AE$1,test!$A$3:$I$32,8,FALSE))-(VLOOKUP($A35,test!$A$3:$I$32,9,FALSE))+test!$B$33,0)</f>
        <v>0</v>
      </c>
      <c r="AF35">
        <f>IF(AND(SUM(VLOOKUP($A35,test!$A$3:$F$32,2,FALSE),VLOOKUP(AF$1,test!$A$3:$F$32,2,FALSE))&lt;test!$K$16,$A35&lt;&gt;AF$1,Recharged_Feasible_mat!AG4=1),(VLOOKUP(AF$1,test!$A$3:$I$32,8,FALSE))-(VLOOKUP($A35,test!$A$3:$I$32,9,FALSE))+test!$B$33,0)</f>
        <v>0</v>
      </c>
    </row>
    <row r="36" spans="1:32" x14ac:dyDescent="0.25">
      <c r="A36" t="s">
        <v>10</v>
      </c>
      <c r="B36">
        <v>0</v>
      </c>
      <c r="C36">
        <f>IF(AND(SUM(VLOOKUP($A36,test!$A$3:$F$32,2,FALSE),VLOOKUP(C$1,test!$A$3:$F$32,2,FALSE))&lt;test!$K$16,$A36&lt;&gt;C$1,feasible_mat!C36=1),(VLOOKUP(C$1,test!$A$3:$I$32,8,FALSE))-(VLOOKUP($A36,test!$A$3:$I$32,9,FALSE))+test!$B$33,0)</f>
        <v>0</v>
      </c>
      <c r="D36">
        <f>IF(AND(SUM(VLOOKUP($A36,test!$A$3:$F$32,2,FALSE),VLOOKUP(D$1,test!$A$3:$F$32,2,FALSE))&lt;test!$K$16,$A36&lt;&gt;D$1,Recharged_Feasible_mat!E5=1),(VLOOKUP(D$1,test!$A$3:$I$32,8,FALSE))-(VLOOKUP($A36,test!$A$3:$I$32,9,FALSE))+test!$B$33,0)</f>
        <v>0</v>
      </c>
      <c r="E36">
        <f>IF(AND(SUM(VLOOKUP($A36,test!$A$3:$F$32,2,FALSE),VLOOKUP(E$1,test!$A$3:$F$32,2,FALSE))&lt;test!$K$16,$A36&lt;&gt;E$1,Recharged_Feasible_mat!F5=1),(VLOOKUP(E$1,test!$A$3:$I$32,8,FALSE))-(VLOOKUP($A36,test!$A$3:$I$32,9,FALSE))+test!$B$33,0)</f>
        <v>0</v>
      </c>
      <c r="F36">
        <f>IF(AND(SUM(VLOOKUP($A36,test!$A$3:$F$32,2,FALSE),VLOOKUP(F$1,test!$A$3:$F$32,2,FALSE))&lt;test!$K$16,$A36&lt;&gt;F$1,Recharged_Feasible_mat!G5=1),(VLOOKUP(F$1,test!$A$3:$I$32,8,FALSE))-(VLOOKUP($A36,test!$A$3:$I$32,9,FALSE))+test!$B$33,0)</f>
        <v>0</v>
      </c>
      <c r="G36">
        <f>IF(AND(SUM(VLOOKUP($A36,test!$A$3:$F$32,2,FALSE),VLOOKUP(G$1,test!$A$3:$F$32,2,FALSE))&lt;test!$K$16,$A36&lt;&gt;G$1,Recharged_Feasible_mat!H5=1),(VLOOKUP(G$1,test!$A$3:$I$32,8,FALSE))-(VLOOKUP($A36,test!$A$3:$I$32,9,FALSE))+test!$B$33,0)</f>
        <v>0</v>
      </c>
      <c r="H36">
        <f>IF(AND(SUM(VLOOKUP($A36,test!$A$3:$F$32,2,FALSE),VLOOKUP(H$1,test!$A$3:$F$32,2,FALSE))&lt;test!$K$16,$A36&lt;&gt;H$1,Recharged_Feasible_mat!I5=1),(VLOOKUP(H$1,test!$A$3:$I$32,8,FALSE))-(VLOOKUP($A36,test!$A$3:$I$32,9,FALSE))+test!$B$33,0)</f>
        <v>0</v>
      </c>
      <c r="I36">
        <f>IF(AND(SUM(VLOOKUP($A36,test!$A$3:$F$32,2,FALSE),VLOOKUP(I$1,test!$A$3:$F$32,2,FALSE))&lt;test!$K$16,$A36&lt;&gt;I$1,Recharged_Feasible_mat!J5=1),(VLOOKUP(I$1,test!$A$3:$I$32,8,FALSE))-(VLOOKUP($A36,test!$A$3:$I$32,9,FALSE))+test!$B$33,0)</f>
        <v>185</v>
      </c>
      <c r="J36">
        <f>IF(AND(SUM(VLOOKUP($A36,test!$A$3:$F$32,2,FALSE),VLOOKUP(J$1,test!$A$3:$F$32,2,FALSE))&lt;test!$K$16,$A36&lt;&gt;J$1,Recharged_Feasible_mat!K5=1),(VLOOKUP(J$1,test!$A$3:$I$32,8,FALSE))-(VLOOKUP($A36,test!$A$3:$I$32,9,FALSE))+test!$B$33,0)</f>
        <v>275</v>
      </c>
      <c r="K36">
        <f>IF(AND(SUM(VLOOKUP($A36,test!$A$3:$F$32,2,FALSE),VLOOKUP(K$1,test!$A$3:$F$32,2,FALSE))&lt;test!$K$16,$A36&lt;&gt;K$1,Recharged_Feasible_mat!L5=1),(VLOOKUP(K$1,test!$A$3:$I$32,8,FALSE))-(VLOOKUP($A36,test!$A$3:$I$32,9,FALSE))+test!$B$33,0)</f>
        <v>0</v>
      </c>
      <c r="L36">
        <f>IF(AND(SUM(VLOOKUP($A36,test!$A$3:$F$32,2,FALSE),VLOOKUP(L$1,test!$A$3:$F$32,2,FALSE))&lt;test!$K$16,$A36&lt;&gt;L$1,Recharged_Feasible_mat!M5=1),(VLOOKUP(L$1,test!$A$3:$I$32,8,FALSE))-(VLOOKUP($A36,test!$A$3:$I$32,9,FALSE))+test!$B$33,0)</f>
        <v>0</v>
      </c>
      <c r="M36">
        <f>IF(AND(SUM(VLOOKUP($A36,test!$A$3:$F$32,2,FALSE),VLOOKUP(M$1,test!$A$3:$F$32,2,FALSE))&lt;test!$K$16,$A36&lt;&gt;M$1,Recharged_Feasible_mat!N5=1),(VLOOKUP(M$1,test!$A$3:$I$32,8,FALSE))-(VLOOKUP($A36,test!$A$3:$I$32,9,FALSE))+test!$B$33,0)</f>
        <v>0</v>
      </c>
      <c r="N36">
        <f>IF(AND(SUM(VLOOKUP($A36,test!$A$3:$F$32,2,FALSE),VLOOKUP(N$1,test!$A$3:$F$32,2,FALSE))&lt;test!$K$16,$A36&lt;&gt;N$1,Recharged_Feasible_mat!O5=1),(VLOOKUP(N$1,test!$A$3:$I$32,8,FALSE))-(VLOOKUP($A36,test!$A$3:$I$32,9,FALSE))+test!$B$33,0)</f>
        <v>240</v>
      </c>
      <c r="O36">
        <f>IF(AND(SUM(VLOOKUP($A36,test!$A$3:$F$32,2,FALSE),VLOOKUP(O$1,test!$A$3:$F$32,2,FALSE))&lt;test!$K$16,$A36&lt;&gt;O$1,Recharged_Feasible_mat!P5=1),(VLOOKUP(O$1,test!$A$3:$I$32,8,FALSE))-(VLOOKUP($A36,test!$A$3:$I$32,9,FALSE))+test!$B$33,0)</f>
        <v>300</v>
      </c>
      <c r="P36">
        <f>IF(AND(SUM(VLOOKUP($A36,test!$A$3:$F$32,2,FALSE),VLOOKUP(P$1,test!$A$3:$F$32,2,FALSE))&lt;test!$K$16,$A36&lt;&gt;P$1,Recharged_Feasible_mat!Q5=1),(VLOOKUP(P$1,test!$A$3:$I$32,8,FALSE))-(VLOOKUP($A36,test!$A$3:$I$32,9,FALSE))+test!$B$33,0)</f>
        <v>0</v>
      </c>
      <c r="Q36">
        <f>IF(AND(SUM(VLOOKUP($A36,test!$A$3:$F$32,2,FALSE),VLOOKUP(Q$1,test!$A$3:$F$32,2,FALSE))&lt;test!$K$16,$A36&lt;&gt;Q$1,Recharged_Feasible_mat!R5=1),(VLOOKUP(Q$1,test!$A$3:$I$32,8,FALSE))-(VLOOKUP($A36,test!$A$3:$I$32,9,FALSE))+test!$B$33,0)</f>
        <v>0</v>
      </c>
      <c r="R36">
        <f>IF(AND(SUM(VLOOKUP($A36,test!$A$3:$F$32,2,FALSE),VLOOKUP(R$1,test!$A$3:$F$32,2,FALSE))&lt;test!$K$16,$A36&lt;&gt;R$1,Recharged_Feasible_mat!S5=1),(VLOOKUP(R$1,test!$A$3:$I$32,8,FALSE))-(VLOOKUP($A36,test!$A$3:$I$32,9,FALSE))+test!$B$33,0)</f>
        <v>0</v>
      </c>
      <c r="S36">
        <f>IF(AND(SUM(VLOOKUP($A36,test!$A$3:$F$32,2,FALSE),VLOOKUP(S$1,test!$A$3:$F$32,2,FALSE))&lt;test!$K$16,$A36&lt;&gt;S$1,Recharged_Feasible_mat!T5=1),(VLOOKUP(S$1,test!$A$3:$I$32,8,FALSE))-(VLOOKUP($A36,test!$A$3:$I$32,9,FALSE))+test!$B$33,0)</f>
        <v>0</v>
      </c>
      <c r="T36">
        <f>IF(AND(SUM(VLOOKUP($A36,test!$A$3:$F$32,2,FALSE),VLOOKUP(T$1,test!$A$3:$F$32,2,FALSE))&lt;test!$K$16,$A36&lt;&gt;T$1,Recharged_Feasible_mat!U5=1),(VLOOKUP(T$1,test!$A$3:$I$32,8,FALSE))-(VLOOKUP($A36,test!$A$3:$I$32,9,FALSE))+test!$B$33,0)</f>
        <v>0</v>
      </c>
      <c r="U36">
        <f>IF(AND(SUM(VLOOKUP($A36,test!$A$3:$F$32,2,FALSE),VLOOKUP(U$1,test!$A$3:$F$32,2,FALSE))&lt;test!$K$16,$A36&lt;&gt;U$1,Recharged_Feasible_mat!V5=1),(VLOOKUP(U$1,test!$A$3:$I$32,8,FALSE))-(VLOOKUP($A36,test!$A$3:$I$32,9,FALSE))+test!$B$33,0)</f>
        <v>0</v>
      </c>
      <c r="V36">
        <f>IF(AND(SUM(VLOOKUP($A36,test!$A$3:$F$32,2,FALSE),VLOOKUP(V$1,test!$A$3:$F$32,2,FALSE))&lt;test!$K$16,$A36&lt;&gt;V$1,Recharged_Feasible_mat!W5=1),(VLOOKUP(V$1,test!$A$3:$I$32,8,FALSE))-(VLOOKUP($A36,test!$A$3:$I$32,9,FALSE))+test!$B$33,0)</f>
        <v>0</v>
      </c>
      <c r="W36">
        <f>IF(AND(SUM(VLOOKUP($A36,test!$A$3:$F$32,2,FALSE),VLOOKUP(W$1,test!$A$3:$F$32,2,FALSE))&lt;test!$K$16,$A36&lt;&gt;W$1,Recharged_Feasible_mat!X5=1),(VLOOKUP(W$1,test!$A$3:$I$32,8,FALSE))-(VLOOKUP($A36,test!$A$3:$I$32,9,FALSE))+test!$B$33,0)</f>
        <v>165</v>
      </c>
      <c r="X36">
        <f>IF(AND(SUM(VLOOKUP($A36,test!$A$3:$F$32,2,FALSE),VLOOKUP(X$1,test!$A$3:$F$32,2,FALSE))&lt;test!$K$16,$A36&lt;&gt;X$1,Recharged_Feasible_mat!Y5=1),(VLOOKUP(X$1,test!$A$3:$I$32,8,FALSE))-(VLOOKUP($A36,test!$A$3:$I$32,9,FALSE))+test!$B$33,0)</f>
        <v>225</v>
      </c>
      <c r="Y36">
        <f>IF(AND(SUM(VLOOKUP($A36,test!$A$3:$F$32,2,FALSE),VLOOKUP(Y$1,test!$A$3:$F$32,2,FALSE))&lt;test!$K$16,$A36&lt;&gt;Y$1,Recharged_Feasible_mat!Z5=1),(VLOOKUP(Y$1,test!$A$3:$I$32,8,FALSE))-(VLOOKUP($A36,test!$A$3:$I$32,9,FALSE))+test!$B$33,0)</f>
        <v>0</v>
      </c>
      <c r="Z36">
        <f>IF(AND(SUM(VLOOKUP($A36,test!$A$3:$F$32,2,FALSE),VLOOKUP(Z$1,test!$A$3:$F$32,2,FALSE))&lt;test!$K$16,$A36&lt;&gt;Z$1,Recharged_Feasible_mat!AA5=1),(VLOOKUP(Z$1,test!$A$3:$I$32,8,FALSE))-(VLOOKUP($A36,test!$A$3:$I$32,9,FALSE))+test!$B$33,0)</f>
        <v>0</v>
      </c>
      <c r="AA36">
        <f>IF(AND(SUM(VLOOKUP($A36,test!$A$3:$F$32,2,FALSE),VLOOKUP(AA$1,test!$A$3:$F$32,2,FALSE))&lt;test!$K$16,$A36&lt;&gt;AA$1,Recharged_Feasible_mat!AB5=1),(VLOOKUP(AA$1,test!$A$3:$I$32,8,FALSE))-(VLOOKUP($A36,test!$A$3:$I$32,9,FALSE))+test!$B$33,0)</f>
        <v>0</v>
      </c>
      <c r="AB36">
        <f>IF(AND(SUM(VLOOKUP($A36,test!$A$3:$F$32,2,FALSE),VLOOKUP(AB$1,test!$A$3:$F$32,2,FALSE))&lt;test!$K$16,$A36&lt;&gt;AB$1,Recharged_Feasible_mat!AC5=1),(VLOOKUP(AB$1,test!$A$3:$I$32,8,FALSE))-(VLOOKUP($A36,test!$A$3:$I$32,9,FALSE))+test!$B$33,0)</f>
        <v>0</v>
      </c>
      <c r="AC36">
        <f>IF(AND(SUM(VLOOKUP($A36,test!$A$3:$F$32,2,FALSE),VLOOKUP(AC$1,test!$A$3:$F$32,2,FALSE))&lt;test!$K$16,$A36&lt;&gt;AC$1,Recharged_Feasible_mat!AD5=1),(VLOOKUP(AC$1,test!$A$3:$I$32,8,FALSE))-(VLOOKUP($A36,test!$A$3:$I$32,9,FALSE))+test!$B$33,0)</f>
        <v>0</v>
      </c>
      <c r="AD36">
        <f>IF(AND(SUM(VLOOKUP($A36,test!$A$3:$F$32,2,FALSE),VLOOKUP(AD$1,test!$A$3:$F$32,2,FALSE))&lt;test!$K$16,$A36&lt;&gt;AD$1,Recharged_Feasible_mat!AE5=1),(VLOOKUP(AD$1,test!$A$3:$I$32,8,FALSE))-(VLOOKUP($A36,test!$A$3:$I$32,9,FALSE))+test!$B$33,0)</f>
        <v>0</v>
      </c>
      <c r="AE36">
        <f>IF(AND(SUM(VLOOKUP($A36,test!$A$3:$F$32,2,FALSE),VLOOKUP(AE$1,test!$A$3:$F$32,2,FALSE))&lt;test!$K$16,$A36&lt;&gt;AE$1,Recharged_Feasible_mat!AF5=1),(VLOOKUP(AE$1,test!$A$3:$I$32,8,FALSE))-(VLOOKUP($A36,test!$A$3:$I$32,9,FALSE))+test!$B$33,0)</f>
        <v>0</v>
      </c>
      <c r="AF36">
        <f>IF(AND(SUM(VLOOKUP($A36,test!$A$3:$F$32,2,FALSE),VLOOKUP(AF$1,test!$A$3:$F$32,2,FALSE))&lt;test!$K$16,$A36&lt;&gt;AF$1,Recharged_Feasible_mat!AG5=1),(VLOOKUP(AF$1,test!$A$3:$I$32,8,FALSE))-(VLOOKUP($A36,test!$A$3:$I$32,9,FALSE))+test!$B$33,0)</f>
        <v>0</v>
      </c>
    </row>
    <row r="37" spans="1:32" x14ac:dyDescent="0.25">
      <c r="A37" t="s">
        <v>11</v>
      </c>
      <c r="B37">
        <v>0</v>
      </c>
      <c r="C37">
        <f>IF(AND(SUM(VLOOKUP($A37,test!$A$3:$F$32,2,FALSE),VLOOKUP(C$1,test!$A$3:$F$32,2,FALSE))&lt;test!$K$16,$A37&lt;&gt;C$1,feasible_mat!C37=1),(VLOOKUP(C$1,test!$A$3:$I$32,8,FALSE))-(VLOOKUP($A37,test!$A$3:$I$32,9,FALSE))+test!$B$33,0)</f>
        <v>0</v>
      </c>
      <c r="D37">
        <f>IF(AND(SUM(VLOOKUP($A37,test!$A$3:$F$32,2,FALSE),VLOOKUP(D$1,test!$A$3:$F$32,2,FALSE))&lt;test!$K$16,$A37&lt;&gt;D$1,Recharged_Feasible_mat!E6=1),(VLOOKUP(D$1,test!$A$3:$I$32,8,FALSE))-(VLOOKUP($A37,test!$A$3:$I$32,9,FALSE))+test!$B$33,0)</f>
        <v>0</v>
      </c>
      <c r="E37">
        <f>IF(AND(SUM(VLOOKUP($A37,test!$A$3:$F$32,2,FALSE),VLOOKUP(E$1,test!$A$3:$F$32,2,FALSE))&lt;test!$K$16,$A37&lt;&gt;E$1,Recharged_Feasible_mat!F6=1),(VLOOKUP(E$1,test!$A$3:$I$32,8,FALSE))-(VLOOKUP($A37,test!$A$3:$I$32,9,FALSE))+test!$B$33,0)</f>
        <v>0</v>
      </c>
      <c r="F37">
        <f>IF(AND(SUM(VLOOKUP($A37,test!$A$3:$F$32,2,FALSE),VLOOKUP(F$1,test!$A$3:$F$32,2,FALSE))&lt;test!$K$16,$A37&lt;&gt;F$1,Recharged_Feasible_mat!G6=1),(VLOOKUP(F$1,test!$A$3:$I$32,8,FALSE))-(VLOOKUP($A37,test!$A$3:$I$32,9,FALSE))+test!$B$33,0)</f>
        <v>0</v>
      </c>
      <c r="G37">
        <f>IF(AND(SUM(VLOOKUP($A37,test!$A$3:$F$32,2,FALSE),VLOOKUP(G$1,test!$A$3:$F$32,2,FALSE))&lt;test!$K$16,$A37&lt;&gt;G$1,Recharged_Feasible_mat!H6=1),(VLOOKUP(G$1,test!$A$3:$I$32,8,FALSE))-(VLOOKUP($A37,test!$A$3:$I$32,9,FALSE))+test!$B$33,0)</f>
        <v>0</v>
      </c>
      <c r="H37">
        <f>IF(AND(SUM(VLOOKUP($A37,test!$A$3:$F$32,2,FALSE),VLOOKUP(H$1,test!$A$3:$F$32,2,FALSE))&lt;test!$K$16,$A37&lt;&gt;H$1,Recharged_Feasible_mat!I6=1),(VLOOKUP(H$1,test!$A$3:$I$32,8,FALSE))-(VLOOKUP($A37,test!$A$3:$I$32,9,FALSE))+test!$B$33,0)</f>
        <v>0</v>
      </c>
      <c r="I37">
        <f>IF(AND(SUM(VLOOKUP($A37,test!$A$3:$F$32,2,FALSE),VLOOKUP(I$1,test!$A$3:$F$32,2,FALSE))&lt;test!$K$16,$A37&lt;&gt;I$1,Recharged_Feasible_mat!J6=1),(VLOOKUP(I$1,test!$A$3:$I$32,8,FALSE))-(VLOOKUP($A37,test!$A$3:$I$32,9,FALSE))+test!$B$33,0)</f>
        <v>0</v>
      </c>
      <c r="J37">
        <f>IF(AND(SUM(VLOOKUP($A37,test!$A$3:$F$32,2,FALSE),VLOOKUP(J$1,test!$A$3:$F$32,2,FALSE))&lt;test!$K$16,$A37&lt;&gt;J$1,Recharged_Feasible_mat!K6=1),(VLOOKUP(J$1,test!$A$3:$I$32,8,FALSE))-(VLOOKUP($A37,test!$A$3:$I$32,9,FALSE))+test!$B$33,0)</f>
        <v>185</v>
      </c>
      <c r="K37">
        <f>IF(AND(SUM(VLOOKUP($A37,test!$A$3:$F$32,2,FALSE),VLOOKUP(K$1,test!$A$3:$F$32,2,FALSE))&lt;test!$K$16,$A37&lt;&gt;K$1,Recharged_Feasible_mat!L6=1),(VLOOKUP(K$1,test!$A$3:$I$32,8,FALSE))-(VLOOKUP($A37,test!$A$3:$I$32,9,FALSE))+test!$B$33,0)</f>
        <v>0</v>
      </c>
      <c r="L37">
        <f>IF(AND(SUM(VLOOKUP($A37,test!$A$3:$F$32,2,FALSE),VLOOKUP(L$1,test!$A$3:$F$32,2,FALSE))&lt;test!$K$16,$A37&lt;&gt;L$1,Recharged_Feasible_mat!M6=1),(VLOOKUP(L$1,test!$A$3:$I$32,8,FALSE))-(VLOOKUP($A37,test!$A$3:$I$32,9,FALSE))+test!$B$33,0)</f>
        <v>0</v>
      </c>
      <c r="M37">
        <f>IF(AND(SUM(VLOOKUP($A37,test!$A$3:$F$32,2,FALSE),VLOOKUP(M$1,test!$A$3:$F$32,2,FALSE))&lt;test!$K$16,$A37&lt;&gt;M$1,Recharged_Feasible_mat!N6=1),(VLOOKUP(M$1,test!$A$3:$I$32,8,FALSE))-(VLOOKUP($A37,test!$A$3:$I$32,9,FALSE))+test!$B$33,0)</f>
        <v>0</v>
      </c>
      <c r="N37">
        <f>IF(AND(SUM(VLOOKUP($A37,test!$A$3:$F$32,2,FALSE),VLOOKUP(N$1,test!$A$3:$F$32,2,FALSE))&lt;test!$K$16,$A37&lt;&gt;N$1,Recharged_Feasible_mat!O6=1),(VLOOKUP(N$1,test!$A$3:$I$32,8,FALSE))-(VLOOKUP($A37,test!$A$3:$I$32,9,FALSE))+test!$B$33,0)</f>
        <v>150</v>
      </c>
      <c r="O37">
        <f>IF(AND(SUM(VLOOKUP($A37,test!$A$3:$F$32,2,FALSE),VLOOKUP(O$1,test!$A$3:$F$32,2,FALSE))&lt;test!$K$16,$A37&lt;&gt;O$1,Recharged_Feasible_mat!P6=1),(VLOOKUP(O$1,test!$A$3:$I$32,8,FALSE))-(VLOOKUP($A37,test!$A$3:$I$32,9,FALSE))+test!$B$33,0)</f>
        <v>210</v>
      </c>
      <c r="P37">
        <f>IF(AND(SUM(VLOOKUP($A37,test!$A$3:$F$32,2,FALSE),VLOOKUP(P$1,test!$A$3:$F$32,2,FALSE))&lt;test!$K$16,$A37&lt;&gt;P$1,Recharged_Feasible_mat!Q6=1),(VLOOKUP(P$1,test!$A$3:$I$32,8,FALSE))-(VLOOKUP($A37,test!$A$3:$I$32,9,FALSE))+test!$B$33,0)</f>
        <v>0</v>
      </c>
      <c r="Q37">
        <f>IF(AND(SUM(VLOOKUP($A37,test!$A$3:$F$32,2,FALSE),VLOOKUP(Q$1,test!$A$3:$F$32,2,FALSE))&lt;test!$K$16,$A37&lt;&gt;Q$1,Recharged_Feasible_mat!R6=1),(VLOOKUP(Q$1,test!$A$3:$I$32,8,FALSE))-(VLOOKUP($A37,test!$A$3:$I$32,9,FALSE))+test!$B$33,0)</f>
        <v>0</v>
      </c>
      <c r="R37">
        <f>IF(AND(SUM(VLOOKUP($A37,test!$A$3:$F$32,2,FALSE),VLOOKUP(R$1,test!$A$3:$F$32,2,FALSE))&lt;test!$K$16,$A37&lt;&gt;R$1,Recharged_Feasible_mat!S6=1),(VLOOKUP(R$1,test!$A$3:$I$32,8,FALSE))-(VLOOKUP($A37,test!$A$3:$I$32,9,FALSE))+test!$B$33,0)</f>
        <v>0</v>
      </c>
      <c r="S37">
        <f>IF(AND(SUM(VLOOKUP($A37,test!$A$3:$F$32,2,FALSE),VLOOKUP(S$1,test!$A$3:$F$32,2,FALSE))&lt;test!$K$16,$A37&lt;&gt;S$1,Recharged_Feasible_mat!T6=1),(VLOOKUP(S$1,test!$A$3:$I$32,8,FALSE))-(VLOOKUP($A37,test!$A$3:$I$32,9,FALSE))+test!$B$33,0)</f>
        <v>0</v>
      </c>
      <c r="T37">
        <f>IF(AND(SUM(VLOOKUP($A37,test!$A$3:$F$32,2,FALSE),VLOOKUP(T$1,test!$A$3:$F$32,2,FALSE))&lt;test!$K$16,$A37&lt;&gt;T$1,Recharged_Feasible_mat!U6=1),(VLOOKUP(T$1,test!$A$3:$I$32,8,FALSE))-(VLOOKUP($A37,test!$A$3:$I$32,9,FALSE))+test!$B$33,0)</f>
        <v>0</v>
      </c>
      <c r="U37">
        <f>IF(AND(SUM(VLOOKUP($A37,test!$A$3:$F$32,2,FALSE),VLOOKUP(U$1,test!$A$3:$F$32,2,FALSE))&lt;test!$K$16,$A37&lt;&gt;U$1,Recharged_Feasible_mat!V6=1),(VLOOKUP(U$1,test!$A$3:$I$32,8,FALSE))-(VLOOKUP($A37,test!$A$3:$I$32,9,FALSE))+test!$B$33,0)</f>
        <v>0</v>
      </c>
      <c r="V37">
        <f>IF(AND(SUM(VLOOKUP($A37,test!$A$3:$F$32,2,FALSE),VLOOKUP(V$1,test!$A$3:$F$32,2,FALSE))&lt;test!$K$16,$A37&lt;&gt;V$1,Recharged_Feasible_mat!W6=1),(VLOOKUP(V$1,test!$A$3:$I$32,8,FALSE))-(VLOOKUP($A37,test!$A$3:$I$32,9,FALSE))+test!$B$33,0)</f>
        <v>0</v>
      </c>
      <c r="W37">
        <f>IF(AND(SUM(VLOOKUP($A37,test!$A$3:$F$32,2,FALSE),VLOOKUP(W$1,test!$A$3:$F$32,2,FALSE))&lt;test!$K$16,$A37&lt;&gt;W$1,Recharged_Feasible_mat!X6=1),(VLOOKUP(W$1,test!$A$3:$I$32,8,FALSE))-(VLOOKUP($A37,test!$A$3:$I$32,9,FALSE))+test!$B$33,0)</f>
        <v>0</v>
      </c>
      <c r="X37">
        <f>IF(AND(SUM(VLOOKUP($A37,test!$A$3:$F$32,2,FALSE),VLOOKUP(X$1,test!$A$3:$F$32,2,FALSE))&lt;test!$K$16,$A37&lt;&gt;X$1,Recharged_Feasible_mat!Y6=1),(VLOOKUP(X$1,test!$A$3:$I$32,8,FALSE))-(VLOOKUP($A37,test!$A$3:$I$32,9,FALSE))+test!$B$33,0)</f>
        <v>135</v>
      </c>
      <c r="Y37">
        <f>IF(AND(SUM(VLOOKUP($A37,test!$A$3:$F$32,2,FALSE),VLOOKUP(Y$1,test!$A$3:$F$32,2,FALSE))&lt;test!$K$16,$A37&lt;&gt;Y$1,Recharged_Feasible_mat!Z6=1),(VLOOKUP(Y$1,test!$A$3:$I$32,8,FALSE))-(VLOOKUP($A37,test!$A$3:$I$32,9,FALSE))+test!$B$33,0)</f>
        <v>0</v>
      </c>
      <c r="Z37">
        <f>IF(AND(SUM(VLOOKUP($A37,test!$A$3:$F$32,2,FALSE),VLOOKUP(Z$1,test!$A$3:$F$32,2,FALSE))&lt;test!$K$16,$A37&lt;&gt;Z$1,Recharged_Feasible_mat!AA6=1),(VLOOKUP(Z$1,test!$A$3:$I$32,8,FALSE))-(VLOOKUP($A37,test!$A$3:$I$32,9,FALSE))+test!$B$33,0)</f>
        <v>0</v>
      </c>
      <c r="AA37">
        <f>IF(AND(SUM(VLOOKUP($A37,test!$A$3:$F$32,2,FALSE),VLOOKUP(AA$1,test!$A$3:$F$32,2,FALSE))&lt;test!$K$16,$A37&lt;&gt;AA$1,Recharged_Feasible_mat!AB6=1),(VLOOKUP(AA$1,test!$A$3:$I$32,8,FALSE))-(VLOOKUP($A37,test!$A$3:$I$32,9,FALSE))+test!$B$33,0)</f>
        <v>0</v>
      </c>
      <c r="AB37">
        <f>IF(AND(SUM(VLOOKUP($A37,test!$A$3:$F$32,2,FALSE),VLOOKUP(AB$1,test!$A$3:$F$32,2,FALSE))&lt;test!$K$16,$A37&lt;&gt;AB$1,Recharged_Feasible_mat!AC6=1),(VLOOKUP(AB$1,test!$A$3:$I$32,8,FALSE))-(VLOOKUP($A37,test!$A$3:$I$32,9,FALSE))+test!$B$33,0)</f>
        <v>0</v>
      </c>
      <c r="AC37">
        <f>IF(AND(SUM(VLOOKUP($A37,test!$A$3:$F$32,2,FALSE),VLOOKUP(AC$1,test!$A$3:$F$32,2,FALSE))&lt;test!$K$16,$A37&lt;&gt;AC$1,Recharged_Feasible_mat!AD6=1),(VLOOKUP(AC$1,test!$A$3:$I$32,8,FALSE))-(VLOOKUP($A37,test!$A$3:$I$32,9,FALSE))+test!$B$33,0)</f>
        <v>0</v>
      </c>
      <c r="AD37">
        <f>IF(AND(SUM(VLOOKUP($A37,test!$A$3:$F$32,2,FALSE),VLOOKUP(AD$1,test!$A$3:$F$32,2,FALSE))&lt;test!$K$16,$A37&lt;&gt;AD$1,Recharged_Feasible_mat!AE6=1),(VLOOKUP(AD$1,test!$A$3:$I$32,8,FALSE))-(VLOOKUP($A37,test!$A$3:$I$32,9,FALSE))+test!$B$33,0)</f>
        <v>0</v>
      </c>
      <c r="AE37">
        <f>IF(AND(SUM(VLOOKUP($A37,test!$A$3:$F$32,2,FALSE),VLOOKUP(AE$1,test!$A$3:$F$32,2,FALSE))&lt;test!$K$16,$A37&lt;&gt;AE$1,Recharged_Feasible_mat!AF6=1),(VLOOKUP(AE$1,test!$A$3:$I$32,8,FALSE))-(VLOOKUP($A37,test!$A$3:$I$32,9,FALSE))+test!$B$33,0)</f>
        <v>0</v>
      </c>
      <c r="AF37">
        <f>IF(AND(SUM(VLOOKUP($A37,test!$A$3:$F$32,2,FALSE),VLOOKUP(AF$1,test!$A$3:$F$32,2,FALSE))&lt;test!$K$16,$A37&lt;&gt;AF$1,Recharged_Feasible_mat!AG6=1),(VLOOKUP(AF$1,test!$A$3:$I$32,8,FALSE))-(VLOOKUP($A37,test!$A$3:$I$32,9,FALSE))+test!$B$33,0)</f>
        <v>0</v>
      </c>
    </row>
    <row r="38" spans="1:32" x14ac:dyDescent="0.25">
      <c r="A38" t="s">
        <v>12</v>
      </c>
      <c r="B38">
        <v>0</v>
      </c>
      <c r="C38">
        <f>IF(AND(SUM(VLOOKUP($A38,test!$A$3:$F$32,2,FALSE),VLOOKUP(C$1,test!$A$3:$F$32,2,FALSE))&lt;test!$K$16,$A38&lt;&gt;C$1,feasible_mat!C38=1),(VLOOKUP(C$1,test!$A$3:$I$32,8,FALSE))-(VLOOKUP($A38,test!$A$3:$I$32,9,FALSE))+test!$B$33,0)</f>
        <v>0</v>
      </c>
      <c r="D38">
        <f>IF(AND(SUM(VLOOKUP($A38,test!$A$3:$F$32,2,FALSE),VLOOKUP(D$1,test!$A$3:$F$32,2,FALSE))&lt;test!$K$16,$A38&lt;&gt;D$1,Recharged_Feasible_mat!E7=1),(VLOOKUP(D$1,test!$A$3:$I$32,8,FALSE))-(VLOOKUP($A38,test!$A$3:$I$32,9,FALSE))+test!$B$33,0)</f>
        <v>0</v>
      </c>
      <c r="E38">
        <f>IF(AND(SUM(VLOOKUP($A38,test!$A$3:$F$32,2,FALSE),VLOOKUP(E$1,test!$A$3:$F$32,2,FALSE))&lt;test!$K$16,$A38&lt;&gt;E$1,Recharged_Feasible_mat!F7=1),(VLOOKUP(E$1,test!$A$3:$I$32,8,FALSE))-(VLOOKUP($A38,test!$A$3:$I$32,9,FALSE))+test!$B$33,0)</f>
        <v>0</v>
      </c>
      <c r="F38">
        <f>IF(AND(SUM(VLOOKUP($A38,test!$A$3:$F$32,2,FALSE),VLOOKUP(F$1,test!$A$3:$F$32,2,FALSE))&lt;test!$K$16,$A38&lt;&gt;F$1,Recharged_Feasible_mat!G7=1),(VLOOKUP(F$1,test!$A$3:$I$32,8,FALSE))-(VLOOKUP($A38,test!$A$3:$I$32,9,FALSE))+test!$B$33,0)</f>
        <v>0</v>
      </c>
      <c r="G38">
        <f>IF(AND(SUM(VLOOKUP($A38,test!$A$3:$F$32,2,FALSE),VLOOKUP(G$1,test!$A$3:$F$32,2,FALSE))&lt;test!$K$16,$A38&lt;&gt;G$1,Recharged_Feasible_mat!H7=1),(VLOOKUP(G$1,test!$A$3:$I$32,8,FALSE))-(VLOOKUP($A38,test!$A$3:$I$32,9,FALSE))+test!$B$33,0)</f>
        <v>0</v>
      </c>
      <c r="H38">
        <f>IF(AND(SUM(VLOOKUP($A38,test!$A$3:$F$32,2,FALSE),VLOOKUP(H$1,test!$A$3:$F$32,2,FALSE))&lt;test!$K$16,$A38&lt;&gt;H$1,Recharged_Feasible_mat!I7=1),(VLOOKUP(H$1,test!$A$3:$I$32,8,FALSE))-(VLOOKUP($A38,test!$A$3:$I$32,9,FALSE))+test!$B$33,0)</f>
        <v>0</v>
      </c>
      <c r="I38">
        <f>IF(AND(SUM(VLOOKUP($A38,test!$A$3:$F$32,2,FALSE),VLOOKUP(I$1,test!$A$3:$F$32,2,FALSE))&lt;test!$K$16,$A38&lt;&gt;I$1,Recharged_Feasible_mat!J7=1),(VLOOKUP(I$1,test!$A$3:$I$32,8,FALSE))-(VLOOKUP($A38,test!$A$3:$I$32,9,FALSE))+test!$B$33,0)</f>
        <v>0</v>
      </c>
      <c r="J38">
        <f>IF(AND(SUM(VLOOKUP($A38,test!$A$3:$F$32,2,FALSE),VLOOKUP(J$1,test!$A$3:$F$32,2,FALSE))&lt;test!$K$16,$A38&lt;&gt;J$1,Recharged_Feasible_mat!K7=1),(VLOOKUP(J$1,test!$A$3:$I$32,8,FALSE))-(VLOOKUP($A38,test!$A$3:$I$32,9,FALSE))+test!$B$33,0)</f>
        <v>0</v>
      </c>
      <c r="K38">
        <f>IF(AND(SUM(VLOOKUP($A38,test!$A$3:$F$32,2,FALSE),VLOOKUP(K$1,test!$A$3:$F$32,2,FALSE))&lt;test!$K$16,$A38&lt;&gt;K$1,Recharged_Feasible_mat!L7=1),(VLOOKUP(K$1,test!$A$3:$I$32,8,FALSE))-(VLOOKUP($A38,test!$A$3:$I$32,9,FALSE))+test!$B$33,0)</f>
        <v>0</v>
      </c>
      <c r="L38">
        <f>IF(AND(SUM(VLOOKUP($A38,test!$A$3:$F$32,2,FALSE),VLOOKUP(L$1,test!$A$3:$F$32,2,FALSE))&lt;test!$K$16,$A38&lt;&gt;L$1,Recharged_Feasible_mat!M7=1),(VLOOKUP(L$1,test!$A$3:$I$32,8,FALSE))-(VLOOKUP($A38,test!$A$3:$I$32,9,FALSE))+test!$B$33,0)</f>
        <v>0</v>
      </c>
      <c r="M38">
        <f>IF(AND(SUM(VLOOKUP($A38,test!$A$3:$F$32,2,FALSE),VLOOKUP(M$1,test!$A$3:$F$32,2,FALSE))&lt;test!$K$16,$A38&lt;&gt;M$1,Recharged_Feasible_mat!N7=1),(VLOOKUP(M$1,test!$A$3:$I$32,8,FALSE))-(VLOOKUP($A38,test!$A$3:$I$32,9,FALSE))+test!$B$33,0)</f>
        <v>0</v>
      </c>
      <c r="N38">
        <f>IF(AND(SUM(VLOOKUP($A38,test!$A$3:$F$32,2,FALSE),VLOOKUP(N$1,test!$A$3:$F$32,2,FALSE))&lt;test!$K$16,$A38&lt;&gt;N$1,Recharged_Feasible_mat!O7=1),(VLOOKUP(N$1,test!$A$3:$I$32,8,FALSE))-(VLOOKUP($A38,test!$A$3:$I$32,9,FALSE))+test!$B$33,0)</f>
        <v>0</v>
      </c>
      <c r="O38">
        <f>IF(AND(SUM(VLOOKUP($A38,test!$A$3:$F$32,2,FALSE),VLOOKUP(O$1,test!$A$3:$F$32,2,FALSE))&lt;test!$K$16,$A38&lt;&gt;O$1,Recharged_Feasible_mat!P7=1),(VLOOKUP(O$1,test!$A$3:$I$32,8,FALSE))-(VLOOKUP($A38,test!$A$3:$I$32,9,FALSE))+test!$B$33,0)</f>
        <v>150</v>
      </c>
      <c r="P38">
        <f>IF(AND(SUM(VLOOKUP($A38,test!$A$3:$F$32,2,FALSE),VLOOKUP(P$1,test!$A$3:$F$32,2,FALSE))&lt;test!$K$16,$A38&lt;&gt;P$1,Recharged_Feasible_mat!Q7=1),(VLOOKUP(P$1,test!$A$3:$I$32,8,FALSE))-(VLOOKUP($A38,test!$A$3:$I$32,9,FALSE))+test!$B$33,0)</f>
        <v>0</v>
      </c>
      <c r="Q38">
        <f>IF(AND(SUM(VLOOKUP($A38,test!$A$3:$F$32,2,FALSE),VLOOKUP(Q$1,test!$A$3:$F$32,2,FALSE))&lt;test!$K$16,$A38&lt;&gt;Q$1,Recharged_Feasible_mat!R7=1),(VLOOKUP(Q$1,test!$A$3:$I$32,8,FALSE))-(VLOOKUP($A38,test!$A$3:$I$32,9,FALSE))+test!$B$33,0)</f>
        <v>0</v>
      </c>
      <c r="R38">
        <f>IF(AND(SUM(VLOOKUP($A38,test!$A$3:$F$32,2,FALSE),VLOOKUP(R$1,test!$A$3:$F$32,2,FALSE))&lt;test!$K$16,$A38&lt;&gt;R$1,Recharged_Feasible_mat!S7=1),(VLOOKUP(R$1,test!$A$3:$I$32,8,FALSE))-(VLOOKUP($A38,test!$A$3:$I$32,9,FALSE))+test!$B$33,0)</f>
        <v>0</v>
      </c>
      <c r="S38">
        <f>IF(AND(SUM(VLOOKUP($A38,test!$A$3:$F$32,2,FALSE),VLOOKUP(S$1,test!$A$3:$F$32,2,FALSE))&lt;test!$K$16,$A38&lt;&gt;S$1,Recharged_Feasible_mat!T7=1),(VLOOKUP(S$1,test!$A$3:$I$32,8,FALSE))-(VLOOKUP($A38,test!$A$3:$I$32,9,FALSE))+test!$B$33,0)</f>
        <v>0</v>
      </c>
      <c r="T38">
        <f>IF(AND(SUM(VLOOKUP($A38,test!$A$3:$F$32,2,FALSE),VLOOKUP(T$1,test!$A$3:$F$32,2,FALSE))&lt;test!$K$16,$A38&lt;&gt;T$1,Recharged_Feasible_mat!U7=1),(VLOOKUP(T$1,test!$A$3:$I$32,8,FALSE))-(VLOOKUP($A38,test!$A$3:$I$32,9,FALSE))+test!$B$33,0)</f>
        <v>0</v>
      </c>
      <c r="U38">
        <f>IF(AND(SUM(VLOOKUP($A38,test!$A$3:$F$32,2,FALSE),VLOOKUP(U$1,test!$A$3:$F$32,2,FALSE))&lt;test!$K$16,$A38&lt;&gt;U$1,Recharged_Feasible_mat!V7=1),(VLOOKUP(U$1,test!$A$3:$I$32,8,FALSE))-(VLOOKUP($A38,test!$A$3:$I$32,9,FALSE))+test!$B$33,0)</f>
        <v>0</v>
      </c>
      <c r="V38">
        <f>IF(AND(SUM(VLOOKUP($A38,test!$A$3:$F$32,2,FALSE),VLOOKUP(V$1,test!$A$3:$F$32,2,FALSE))&lt;test!$K$16,$A38&lt;&gt;V$1,Recharged_Feasible_mat!W7=1),(VLOOKUP(V$1,test!$A$3:$I$32,8,FALSE))-(VLOOKUP($A38,test!$A$3:$I$32,9,FALSE))+test!$B$33,0)</f>
        <v>0</v>
      </c>
      <c r="W38">
        <f>IF(AND(SUM(VLOOKUP($A38,test!$A$3:$F$32,2,FALSE),VLOOKUP(W$1,test!$A$3:$F$32,2,FALSE))&lt;test!$K$16,$A38&lt;&gt;W$1,Recharged_Feasible_mat!X7=1),(VLOOKUP(W$1,test!$A$3:$I$32,8,FALSE))-(VLOOKUP($A38,test!$A$3:$I$32,9,FALSE))+test!$B$33,0)</f>
        <v>0</v>
      </c>
      <c r="X38">
        <f>IF(AND(SUM(VLOOKUP($A38,test!$A$3:$F$32,2,FALSE),VLOOKUP(X$1,test!$A$3:$F$32,2,FALSE))&lt;test!$K$16,$A38&lt;&gt;X$1,Recharged_Feasible_mat!Y7=1),(VLOOKUP(X$1,test!$A$3:$I$32,8,FALSE))-(VLOOKUP($A38,test!$A$3:$I$32,9,FALSE))+test!$B$33,0)</f>
        <v>0</v>
      </c>
      <c r="Y38">
        <f>IF(AND(SUM(VLOOKUP($A38,test!$A$3:$F$32,2,FALSE),VLOOKUP(Y$1,test!$A$3:$F$32,2,FALSE))&lt;test!$K$16,$A38&lt;&gt;Y$1,Recharged_Feasible_mat!Z7=1),(VLOOKUP(Y$1,test!$A$3:$I$32,8,FALSE))-(VLOOKUP($A38,test!$A$3:$I$32,9,FALSE))+test!$B$33,0)</f>
        <v>0</v>
      </c>
      <c r="Z38">
        <f>IF(AND(SUM(VLOOKUP($A38,test!$A$3:$F$32,2,FALSE),VLOOKUP(Z$1,test!$A$3:$F$32,2,FALSE))&lt;test!$K$16,$A38&lt;&gt;Z$1,Recharged_Feasible_mat!AA7=1),(VLOOKUP(Z$1,test!$A$3:$I$32,8,FALSE))-(VLOOKUP($A38,test!$A$3:$I$32,9,FALSE))+test!$B$33,0)</f>
        <v>0</v>
      </c>
      <c r="AA38">
        <f>IF(AND(SUM(VLOOKUP($A38,test!$A$3:$F$32,2,FALSE),VLOOKUP(AA$1,test!$A$3:$F$32,2,FALSE))&lt;test!$K$16,$A38&lt;&gt;AA$1,Recharged_Feasible_mat!AB7=1),(VLOOKUP(AA$1,test!$A$3:$I$32,8,FALSE))-(VLOOKUP($A38,test!$A$3:$I$32,9,FALSE))+test!$B$33,0)</f>
        <v>0</v>
      </c>
      <c r="AB38">
        <f>IF(AND(SUM(VLOOKUP($A38,test!$A$3:$F$32,2,FALSE),VLOOKUP(AB$1,test!$A$3:$F$32,2,FALSE))&lt;test!$K$16,$A38&lt;&gt;AB$1,Recharged_Feasible_mat!AC7=1),(VLOOKUP(AB$1,test!$A$3:$I$32,8,FALSE))-(VLOOKUP($A38,test!$A$3:$I$32,9,FALSE))+test!$B$33,0)</f>
        <v>0</v>
      </c>
      <c r="AC38">
        <f>IF(AND(SUM(VLOOKUP($A38,test!$A$3:$F$32,2,FALSE),VLOOKUP(AC$1,test!$A$3:$F$32,2,FALSE))&lt;test!$K$16,$A38&lt;&gt;AC$1,Recharged_Feasible_mat!AD7=1),(VLOOKUP(AC$1,test!$A$3:$I$32,8,FALSE))-(VLOOKUP($A38,test!$A$3:$I$32,9,FALSE))+test!$B$33,0)</f>
        <v>0</v>
      </c>
      <c r="AD38">
        <f>IF(AND(SUM(VLOOKUP($A38,test!$A$3:$F$32,2,FALSE),VLOOKUP(AD$1,test!$A$3:$F$32,2,FALSE))&lt;test!$K$16,$A38&lt;&gt;AD$1,Recharged_Feasible_mat!AE7=1),(VLOOKUP(AD$1,test!$A$3:$I$32,8,FALSE))-(VLOOKUP($A38,test!$A$3:$I$32,9,FALSE))+test!$B$33,0)</f>
        <v>0</v>
      </c>
      <c r="AE38">
        <f>IF(AND(SUM(VLOOKUP($A38,test!$A$3:$F$32,2,FALSE),VLOOKUP(AE$1,test!$A$3:$F$32,2,FALSE))&lt;test!$K$16,$A38&lt;&gt;AE$1,Recharged_Feasible_mat!AF7=1),(VLOOKUP(AE$1,test!$A$3:$I$32,8,FALSE))-(VLOOKUP($A38,test!$A$3:$I$32,9,FALSE))+test!$B$33,0)</f>
        <v>0</v>
      </c>
      <c r="AF38">
        <f>IF(AND(SUM(VLOOKUP($A38,test!$A$3:$F$32,2,FALSE),VLOOKUP(AF$1,test!$A$3:$F$32,2,FALSE))&lt;test!$K$16,$A38&lt;&gt;AF$1,Recharged_Feasible_mat!AG7=1),(VLOOKUP(AF$1,test!$A$3:$I$32,8,FALSE))-(VLOOKUP($A38,test!$A$3:$I$32,9,FALSE))+test!$B$33,0)</f>
        <v>0</v>
      </c>
    </row>
    <row r="39" spans="1:32" x14ac:dyDescent="0.25">
      <c r="A39" t="s">
        <v>13</v>
      </c>
      <c r="B39">
        <v>0</v>
      </c>
      <c r="C39">
        <f>IF(AND(SUM(VLOOKUP($A39,test!$A$3:$F$32,2,FALSE),VLOOKUP(C$1,test!$A$3:$F$32,2,FALSE))&lt;test!$K$16,$A39&lt;&gt;C$1,feasible_mat!C39=1),(VLOOKUP(C$1,test!$A$3:$I$32,8,FALSE))-(VLOOKUP($A39,test!$A$3:$I$32,9,FALSE))+test!$B$33,0)</f>
        <v>0</v>
      </c>
      <c r="D39">
        <f>IF(AND(SUM(VLOOKUP($A39,test!$A$3:$F$32,2,FALSE),VLOOKUP(D$1,test!$A$3:$F$32,2,FALSE))&lt;test!$K$16,$A39&lt;&gt;D$1,Recharged_Feasible_mat!E8=1),(VLOOKUP(D$1,test!$A$3:$I$32,8,FALSE))-(VLOOKUP($A39,test!$A$3:$I$32,9,FALSE))+test!$B$33,0)</f>
        <v>0</v>
      </c>
      <c r="E39">
        <f>IF(AND(SUM(VLOOKUP($A39,test!$A$3:$F$32,2,FALSE),VLOOKUP(E$1,test!$A$3:$F$32,2,FALSE))&lt;test!$K$16,$A39&lt;&gt;E$1,Recharged_Feasible_mat!F8=1),(VLOOKUP(E$1,test!$A$3:$I$32,8,FALSE))-(VLOOKUP($A39,test!$A$3:$I$32,9,FALSE))+test!$B$33,0)</f>
        <v>0</v>
      </c>
      <c r="F39">
        <f>IF(AND(SUM(VLOOKUP($A39,test!$A$3:$F$32,2,FALSE),VLOOKUP(F$1,test!$A$3:$F$32,2,FALSE))&lt;test!$K$16,$A39&lt;&gt;F$1,Recharged_Feasible_mat!G8=1),(VLOOKUP(F$1,test!$A$3:$I$32,8,FALSE))-(VLOOKUP($A39,test!$A$3:$I$32,9,FALSE))+test!$B$33,0)</f>
        <v>0</v>
      </c>
      <c r="G39">
        <f>IF(AND(SUM(VLOOKUP($A39,test!$A$3:$F$32,2,FALSE),VLOOKUP(G$1,test!$A$3:$F$32,2,FALSE))&lt;test!$K$16,$A39&lt;&gt;G$1,Recharged_Feasible_mat!H8=1),(VLOOKUP(G$1,test!$A$3:$I$32,8,FALSE))-(VLOOKUP($A39,test!$A$3:$I$32,9,FALSE))+test!$B$33,0)</f>
        <v>0</v>
      </c>
      <c r="H39">
        <f>IF(AND(SUM(VLOOKUP($A39,test!$A$3:$F$32,2,FALSE),VLOOKUP(H$1,test!$A$3:$F$32,2,FALSE))&lt;test!$K$16,$A39&lt;&gt;H$1,Recharged_Feasible_mat!I8=1),(VLOOKUP(H$1,test!$A$3:$I$32,8,FALSE))-(VLOOKUP($A39,test!$A$3:$I$32,9,FALSE))+test!$B$33,0)</f>
        <v>0</v>
      </c>
      <c r="I39">
        <f>IF(AND(SUM(VLOOKUP($A39,test!$A$3:$F$32,2,FALSE),VLOOKUP(I$1,test!$A$3:$F$32,2,FALSE))&lt;test!$K$16,$A39&lt;&gt;I$1,Recharged_Feasible_mat!J8=1),(VLOOKUP(I$1,test!$A$3:$I$32,8,FALSE))-(VLOOKUP($A39,test!$A$3:$I$32,9,FALSE))+test!$B$33,0)</f>
        <v>0</v>
      </c>
      <c r="J39">
        <f>IF(AND(SUM(VLOOKUP($A39,test!$A$3:$F$32,2,FALSE),VLOOKUP(J$1,test!$A$3:$F$32,2,FALSE))&lt;test!$K$16,$A39&lt;&gt;J$1,Recharged_Feasible_mat!K8=1),(VLOOKUP(J$1,test!$A$3:$I$32,8,FALSE))-(VLOOKUP($A39,test!$A$3:$I$32,9,FALSE))+test!$B$33,0)</f>
        <v>0</v>
      </c>
      <c r="K39">
        <f>IF(AND(SUM(VLOOKUP($A39,test!$A$3:$F$32,2,FALSE),VLOOKUP(K$1,test!$A$3:$F$32,2,FALSE))&lt;test!$K$16,$A39&lt;&gt;K$1,Recharged_Feasible_mat!L8=1),(VLOOKUP(K$1,test!$A$3:$I$32,8,FALSE))-(VLOOKUP($A39,test!$A$3:$I$32,9,FALSE))+test!$B$33,0)</f>
        <v>0</v>
      </c>
      <c r="L39">
        <f>IF(AND(SUM(VLOOKUP($A39,test!$A$3:$F$32,2,FALSE),VLOOKUP(L$1,test!$A$3:$F$32,2,FALSE))&lt;test!$K$16,$A39&lt;&gt;L$1,Recharged_Feasible_mat!M8=1),(VLOOKUP(L$1,test!$A$3:$I$32,8,FALSE))-(VLOOKUP($A39,test!$A$3:$I$32,9,FALSE))+test!$B$33,0)</f>
        <v>0</v>
      </c>
      <c r="M39">
        <f>IF(AND(SUM(VLOOKUP($A39,test!$A$3:$F$32,2,FALSE),VLOOKUP(M$1,test!$A$3:$F$32,2,FALSE))&lt;test!$K$16,$A39&lt;&gt;M$1,Recharged_Feasible_mat!N8=1),(VLOOKUP(M$1,test!$A$3:$I$32,8,FALSE))-(VLOOKUP($A39,test!$A$3:$I$32,9,FALSE))+test!$B$33,0)</f>
        <v>0</v>
      </c>
      <c r="N39">
        <f>IF(AND(SUM(VLOOKUP($A39,test!$A$3:$F$32,2,FALSE),VLOOKUP(N$1,test!$A$3:$F$32,2,FALSE))&lt;test!$K$16,$A39&lt;&gt;N$1,Recharged_Feasible_mat!O8=1),(VLOOKUP(N$1,test!$A$3:$I$32,8,FALSE))-(VLOOKUP($A39,test!$A$3:$I$32,9,FALSE))+test!$B$33,0)</f>
        <v>0</v>
      </c>
      <c r="O39">
        <f>IF(AND(SUM(VLOOKUP($A39,test!$A$3:$F$32,2,FALSE),VLOOKUP(O$1,test!$A$3:$F$32,2,FALSE))&lt;test!$K$16,$A39&lt;&gt;O$1,Recharged_Feasible_mat!P8=1),(VLOOKUP(O$1,test!$A$3:$I$32,8,FALSE))-(VLOOKUP($A39,test!$A$3:$I$32,9,FALSE))+test!$B$33,0)</f>
        <v>0</v>
      </c>
      <c r="P39">
        <f>IF(AND(SUM(VLOOKUP($A39,test!$A$3:$F$32,2,FALSE),VLOOKUP(P$1,test!$A$3:$F$32,2,FALSE))&lt;test!$K$16,$A39&lt;&gt;P$1,Recharged_Feasible_mat!Q8=1),(VLOOKUP(P$1,test!$A$3:$I$32,8,FALSE))-(VLOOKUP($A39,test!$A$3:$I$32,9,FALSE))+test!$B$33,0)</f>
        <v>0</v>
      </c>
      <c r="Q39">
        <f>IF(AND(SUM(VLOOKUP($A39,test!$A$3:$F$32,2,FALSE),VLOOKUP(Q$1,test!$A$3:$F$32,2,FALSE))&lt;test!$K$16,$A39&lt;&gt;Q$1,Recharged_Feasible_mat!R8=1),(VLOOKUP(Q$1,test!$A$3:$I$32,8,FALSE))-(VLOOKUP($A39,test!$A$3:$I$32,9,FALSE))+test!$B$33,0)</f>
        <v>0</v>
      </c>
      <c r="R39">
        <f>IF(AND(SUM(VLOOKUP($A39,test!$A$3:$F$32,2,FALSE),VLOOKUP(R$1,test!$A$3:$F$32,2,FALSE))&lt;test!$K$16,$A39&lt;&gt;R$1,Recharged_Feasible_mat!S8=1),(VLOOKUP(R$1,test!$A$3:$I$32,8,FALSE))-(VLOOKUP($A39,test!$A$3:$I$32,9,FALSE))+test!$B$33,0)</f>
        <v>0</v>
      </c>
      <c r="S39">
        <f>IF(AND(SUM(VLOOKUP($A39,test!$A$3:$F$32,2,FALSE),VLOOKUP(S$1,test!$A$3:$F$32,2,FALSE))&lt;test!$K$16,$A39&lt;&gt;S$1,Recharged_Feasible_mat!T8=1),(VLOOKUP(S$1,test!$A$3:$I$32,8,FALSE))-(VLOOKUP($A39,test!$A$3:$I$32,9,FALSE))+test!$B$33,0)</f>
        <v>0</v>
      </c>
      <c r="T39">
        <f>IF(AND(SUM(VLOOKUP($A39,test!$A$3:$F$32,2,FALSE),VLOOKUP(T$1,test!$A$3:$F$32,2,FALSE))&lt;test!$K$16,$A39&lt;&gt;T$1,Recharged_Feasible_mat!U8=1),(VLOOKUP(T$1,test!$A$3:$I$32,8,FALSE))-(VLOOKUP($A39,test!$A$3:$I$32,9,FALSE))+test!$B$33,0)</f>
        <v>0</v>
      </c>
      <c r="U39">
        <f>IF(AND(SUM(VLOOKUP($A39,test!$A$3:$F$32,2,FALSE),VLOOKUP(U$1,test!$A$3:$F$32,2,FALSE))&lt;test!$K$16,$A39&lt;&gt;U$1,Recharged_Feasible_mat!V8=1),(VLOOKUP(U$1,test!$A$3:$I$32,8,FALSE))-(VLOOKUP($A39,test!$A$3:$I$32,9,FALSE))+test!$B$33,0)</f>
        <v>0</v>
      </c>
      <c r="V39">
        <f>IF(AND(SUM(VLOOKUP($A39,test!$A$3:$F$32,2,FALSE),VLOOKUP(V$1,test!$A$3:$F$32,2,FALSE))&lt;test!$K$16,$A39&lt;&gt;V$1,Recharged_Feasible_mat!W8=1),(VLOOKUP(V$1,test!$A$3:$I$32,8,FALSE))-(VLOOKUP($A39,test!$A$3:$I$32,9,FALSE))+test!$B$33,0)</f>
        <v>0</v>
      </c>
      <c r="W39">
        <f>IF(AND(SUM(VLOOKUP($A39,test!$A$3:$F$32,2,FALSE),VLOOKUP(W$1,test!$A$3:$F$32,2,FALSE))&lt;test!$K$16,$A39&lt;&gt;W$1,Recharged_Feasible_mat!X8=1),(VLOOKUP(W$1,test!$A$3:$I$32,8,FALSE))-(VLOOKUP($A39,test!$A$3:$I$32,9,FALSE))+test!$B$33,0)</f>
        <v>0</v>
      </c>
      <c r="X39">
        <f>IF(AND(SUM(VLOOKUP($A39,test!$A$3:$F$32,2,FALSE),VLOOKUP(X$1,test!$A$3:$F$32,2,FALSE))&lt;test!$K$16,$A39&lt;&gt;X$1,Recharged_Feasible_mat!Y8=1),(VLOOKUP(X$1,test!$A$3:$I$32,8,FALSE))-(VLOOKUP($A39,test!$A$3:$I$32,9,FALSE))+test!$B$33,0)</f>
        <v>0</v>
      </c>
      <c r="Y39">
        <f>IF(AND(SUM(VLOOKUP($A39,test!$A$3:$F$32,2,FALSE),VLOOKUP(Y$1,test!$A$3:$F$32,2,FALSE))&lt;test!$K$16,$A39&lt;&gt;Y$1,Recharged_Feasible_mat!Z8=1),(VLOOKUP(Y$1,test!$A$3:$I$32,8,FALSE))-(VLOOKUP($A39,test!$A$3:$I$32,9,FALSE))+test!$B$33,0)</f>
        <v>0</v>
      </c>
      <c r="Z39">
        <f>IF(AND(SUM(VLOOKUP($A39,test!$A$3:$F$32,2,FALSE),VLOOKUP(Z$1,test!$A$3:$F$32,2,FALSE))&lt;test!$K$16,$A39&lt;&gt;Z$1,Recharged_Feasible_mat!AA8=1),(VLOOKUP(Z$1,test!$A$3:$I$32,8,FALSE))-(VLOOKUP($A39,test!$A$3:$I$32,9,FALSE))+test!$B$33,0)</f>
        <v>0</v>
      </c>
      <c r="AA39">
        <f>IF(AND(SUM(VLOOKUP($A39,test!$A$3:$F$32,2,FALSE),VLOOKUP(AA$1,test!$A$3:$F$32,2,FALSE))&lt;test!$K$16,$A39&lt;&gt;AA$1,Recharged_Feasible_mat!AB8=1),(VLOOKUP(AA$1,test!$A$3:$I$32,8,FALSE))-(VLOOKUP($A39,test!$A$3:$I$32,9,FALSE))+test!$B$33,0)</f>
        <v>0</v>
      </c>
      <c r="AB39">
        <f>IF(AND(SUM(VLOOKUP($A39,test!$A$3:$F$32,2,FALSE),VLOOKUP(AB$1,test!$A$3:$F$32,2,FALSE))&lt;test!$K$16,$A39&lt;&gt;AB$1,Recharged_Feasible_mat!AC8=1),(VLOOKUP(AB$1,test!$A$3:$I$32,8,FALSE))-(VLOOKUP($A39,test!$A$3:$I$32,9,FALSE))+test!$B$33,0)</f>
        <v>0</v>
      </c>
      <c r="AC39">
        <f>IF(AND(SUM(VLOOKUP($A39,test!$A$3:$F$32,2,FALSE),VLOOKUP(AC$1,test!$A$3:$F$32,2,FALSE))&lt;test!$K$16,$A39&lt;&gt;AC$1,Recharged_Feasible_mat!AD8=1),(VLOOKUP(AC$1,test!$A$3:$I$32,8,FALSE))-(VLOOKUP($A39,test!$A$3:$I$32,9,FALSE))+test!$B$33,0)</f>
        <v>0</v>
      </c>
      <c r="AD39">
        <f>IF(AND(SUM(VLOOKUP($A39,test!$A$3:$F$32,2,FALSE),VLOOKUP(AD$1,test!$A$3:$F$32,2,FALSE))&lt;test!$K$16,$A39&lt;&gt;AD$1,Recharged_Feasible_mat!AE8=1),(VLOOKUP(AD$1,test!$A$3:$I$32,8,FALSE))-(VLOOKUP($A39,test!$A$3:$I$32,9,FALSE))+test!$B$33,0)</f>
        <v>0</v>
      </c>
      <c r="AE39">
        <f>IF(AND(SUM(VLOOKUP($A39,test!$A$3:$F$32,2,FALSE),VLOOKUP(AE$1,test!$A$3:$F$32,2,FALSE))&lt;test!$K$16,$A39&lt;&gt;AE$1,Recharged_Feasible_mat!AF8=1),(VLOOKUP(AE$1,test!$A$3:$I$32,8,FALSE))-(VLOOKUP($A39,test!$A$3:$I$32,9,FALSE))+test!$B$33,0)</f>
        <v>0</v>
      </c>
      <c r="AF39">
        <f>IF(AND(SUM(VLOOKUP($A39,test!$A$3:$F$32,2,FALSE),VLOOKUP(AF$1,test!$A$3:$F$32,2,FALSE))&lt;test!$K$16,$A39&lt;&gt;AF$1,Recharged_Feasible_mat!AG8=1),(VLOOKUP(AF$1,test!$A$3:$I$32,8,FALSE))-(VLOOKUP($A39,test!$A$3:$I$32,9,FALSE))+test!$B$33,0)</f>
        <v>0</v>
      </c>
    </row>
    <row r="40" spans="1:32" x14ac:dyDescent="0.25">
      <c r="A40" t="s">
        <v>14</v>
      </c>
      <c r="B40">
        <v>0</v>
      </c>
      <c r="C40">
        <f>IF(AND(SUM(VLOOKUP($A40,test!$A$3:$F$32,2,FALSE),VLOOKUP(C$1,test!$A$3:$F$32,2,FALSE))&lt;test!$K$16,$A40&lt;&gt;C$1,feasible_mat!C40=1),(VLOOKUP(C$1,test!$A$3:$I$32,8,FALSE))-(VLOOKUP($A40,test!$A$3:$I$32,9,FALSE))+test!$B$33,0)</f>
        <v>0</v>
      </c>
      <c r="D40">
        <f>IF(AND(SUM(VLOOKUP($A40,test!$A$3:$F$32,2,FALSE),VLOOKUP(D$1,test!$A$3:$F$32,2,FALSE))&lt;test!$K$16,$A40&lt;&gt;D$1,Recharged_Feasible_mat!E9=1),(VLOOKUP(D$1,test!$A$3:$I$32,8,FALSE))-(VLOOKUP($A40,test!$A$3:$I$32,9,FALSE))+test!$B$33,0)</f>
        <v>0</v>
      </c>
      <c r="E40">
        <f>IF(AND(SUM(VLOOKUP($A40,test!$A$3:$F$32,2,FALSE),VLOOKUP(E$1,test!$A$3:$F$32,2,FALSE))&lt;test!$K$16,$A40&lt;&gt;E$1,Recharged_Feasible_mat!F9=1),(VLOOKUP(E$1,test!$A$3:$I$32,8,FALSE))-(VLOOKUP($A40,test!$A$3:$I$32,9,FALSE))+test!$B$33,0)</f>
        <v>0</v>
      </c>
      <c r="F40">
        <f>IF(AND(SUM(VLOOKUP($A40,test!$A$3:$F$32,2,FALSE),VLOOKUP(F$1,test!$A$3:$F$32,2,FALSE))&lt;test!$K$16,$A40&lt;&gt;F$1,Recharged_Feasible_mat!G9=1),(VLOOKUP(F$1,test!$A$3:$I$32,8,FALSE))-(VLOOKUP($A40,test!$A$3:$I$32,9,FALSE))+test!$B$33,0)</f>
        <v>0</v>
      </c>
      <c r="G40">
        <f>IF(AND(SUM(VLOOKUP($A40,test!$A$3:$F$32,2,FALSE),VLOOKUP(G$1,test!$A$3:$F$32,2,FALSE))&lt;test!$K$16,$A40&lt;&gt;G$1,Recharged_Feasible_mat!H9=1),(VLOOKUP(G$1,test!$A$3:$I$32,8,FALSE))-(VLOOKUP($A40,test!$A$3:$I$32,9,FALSE))+test!$B$33,0)</f>
        <v>0</v>
      </c>
      <c r="H40">
        <f>IF(AND(SUM(VLOOKUP($A40,test!$A$3:$F$32,2,FALSE),VLOOKUP(H$1,test!$A$3:$F$32,2,FALSE))&lt;test!$K$16,$A40&lt;&gt;H$1,Recharged_Feasible_mat!I9=1),(VLOOKUP(H$1,test!$A$3:$I$32,8,FALSE))-(VLOOKUP($A40,test!$A$3:$I$32,9,FALSE))+test!$B$33,0)</f>
        <v>0</v>
      </c>
      <c r="I40">
        <f>IF(AND(SUM(VLOOKUP($A40,test!$A$3:$F$32,2,FALSE),VLOOKUP(I$1,test!$A$3:$F$32,2,FALSE))&lt;test!$K$16,$A40&lt;&gt;I$1,Recharged_Feasible_mat!J9=1),(VLOOKUP(I$1,test!$A$3:$I$32,8,FALSE))-(VLOOKUP($A40,test!$A$3:$I$32,9,FALSE))+test!$B$33,0)</f>
        <v>0</v>
      </c>
      <c r="J40">
        <f>IF(AND(SUM(VLOOKUP($A40,test!$A$3:$F$32,2,FALSE),VLOOKUP(J$1,test!$A$3:$F$32,2,FALSE))&lt;test!$K$16,$A40&lt;&gt;J$1,Recharged_Feasible_mat!K9=1),(VLOOKUP(J$1,test!$A$3:$I$32,8,FALSE))-(VLOOKUP($A40,test!$A$3:$I$32,9,FALSE))+test!$B$33,0)</f>
        <v>0</v>
      </c>
      <c r="K40">
        <f>IF(AND(SUM(VLOOKUP($A40,test!$A$3:$F$32,2,FALSE),VLOOKUP(K$1,test!$A$3:$F$32,2,FALSE))&lt;test!$K$16,$A40&lt;&gt;K$1,Recharged_Feasible_mat!L9=1),(VLOOKUP(K$1,test!$A$3:$I$32,8,FALSE))-(VLOOKUP($A40,test!$A$3:$I$32,9,FALSE))+test!$B$33,0)</f>
        <v>0</v>
      </c>
      <c r="L40">
        <f>IF(AND(SUM(VLOOKUP($A40,test!$A$3:$F$32,2,FALSE),VLOOKUP(L$1,test!$A$3:$F$32,2,FALSE))&lt;test!$K$16,$A40&lt;&gt;L$1,Recharged_Feasible_mat!M9=1),(VLOOKUP(L$1,test!$A$3:$I$32,8,FALSE))-(VLOOKUP($A40,test!$A$3:$I$32,9,FALSE))+test!$B$33,0)</f>
        <v>0</v>
      </c>
      <c r="M40">
        <f>IF(AND(SUM(VLOOKUP($A40,test!$A$3:$F$32,2,FALSE),VLOOKUP(M$1,test!$A$3:$F$32,2,FALSE))&lt;test!$K$16,$A40&lt;&gt;M$1,Recharged_Feasible_mat!N9=1),(VLOOKUP(M$1,test!$A$3:$I$32,8,FALSE))-(VLOOKUP($A40,test!$A$3:$I$32,9,FALSE))+test!$B$33,0)</f>
        <v>0</v>
      </c>
      <c r="N40">
        <f>IF(AND(SUM(VLOOKUP($A40,test!$A$3:$F$32,2,FALSE),VLOOKUP(N$1,test!$A$3:$F$32,2,FALSE))&lt;test!$K$16,$A40&lt;&gt;N$1,Recharged_Feasible_mat!O9=1),(VLOOKUP(N$1,test!$A$3:$I$32,8,FALSE))-(VLOOKUP($A40,test!$A$3:$I$32,9,FALSE))+test!$B$33,0)</f>
        <v>0</v>
      </c>
      <c r="O40">
        <f>IF(AND(SUM(VLOOKUP($A40,test!$A$3:$F$32,2,FALSE),VLOOKUP(O$1,test!$A$3:$F$32,2,FALSE))&lt;test!$K$16,$A40&lt;&gt;O$1,Recharged_Feasible_mat!P9=1),(VLOOKUP(O$1,test!$A$3:$I$32,8,FALSE))-(VLOOKUP($A40,test!$A$3:$I$32,9,FALSE))+test!$B$33,0)</f>
        <v>0</v>
      </c>
      <c r="P40">
        <f>IF(AND(SUM(VLOOKUP($A40,test!$A$3:$F$32,2,FALSE),VLOOKUP(P$1,test!$A$3:$F$32,2,FALSE))&lt;test!$K$16,$A40&lt;&gt;P$1,Recharged_Feasible_mat!Q9=1),(VLOOKUP(P$1,test!$A$3:$I$32,8,FALSE))-(VLOOKUP($A40,test!$A$3:$I$32,9,FALSE))+test!$B$33,0)</f>
        <v>0</v>
      </c>
      <c r="Q40">
        <f>IF(AND(SUM(VLOOKUP($A40,test!$A$3:$F$32,2,FALSE),VLOOKUP(Q$1,test!$A$3:$F$32,2,FALSE))&lt;test!$K$16,$A40&lt;&gt;Q$1,Recharged_Feasible_mat!R9=1),(VLOOKUP(Q$1,test!$A$3:$I$32,8,FALSE))-(VLOOKUP($A40,test!$A$3:$I$32,9,FALSE))+test!$B$33,0)</f>
        <v>0</v>
      </c>
      <c r="R40">
        <f>IF(AND(SUM(VLOOKUP($A40,test!$A$3:$F$32,2,FALSE),VLOOKUP(R$1,test!$A$3:$F$32,2,FALSE))&lt;test!$K$16,$A40&lt;&gt;R$1,Recharged_Feasible_mat!S9=1),(VLOOKUP(R$1,test!$A$3:$I$32,8,FALSE))-(VLOOKUP($A40,test!$A$3:$I$32,9,FALSE))+test!$B$33,0)</f>
        <v>0</v>
      </c>
      <c r="S40">
        <f>IF(AND(SUM(VLOOKUP($A40,test!$A$3:$F$32,2,FALSE),VLOOKUP(S$1,test!$A$3:$F$32,2,FALSE))&lt;test!$K$16,$A40&lt;&gt;S$1,Recharged_Feasible_mat!T9=1),(VLOOKUP(S$1,test!$A$3:$I$32,8,FALSE))-(VLOOKUP($A40,test!$A$3:$I$32,9,FALSE))+test!$B$33,0)</f>
        <v>0</v>
      </c>
      <c r="T40">
        <f>IF(AND(SUM(VLOOKUP($A40,test!$A$3:$F$32,2,FALSE),VLOOKUP(T$1,test!$A$3:$F$32,2,FALSE))&lt;test!$K$16,$A40&lt;&gt;T$1,Recharged_Feasible_mat!U9=1),(VLOOKUP(T$1,test!$A$3:$I$32,8,FALSE))-(VLOOKUP($A40,test!$A$3:$I$32,9,FALSE))+test!$B$33,0)</f>
        <v>0</v>
      </c>
      <c r="U40">
        <f>IF(AND(SUM(VLOOKUP($A40,test!$A$3:$F$32,2,FALSE),VLOOKUP(U$1,test!$A$3:$F$32,2,FALSE))&lt;test!$K$16,$A40&lt;&gt;U$1,Recharged_Feasible_mat!V9=1),(VLOOKUP(U$1,test!$A$3:$I$32,8,FALSE))-(VLOOKUP($A40,test!$A$3:$I$32,9,FALSE))+test!$B$33,0)</f>
        <v>0</v>
      </c>
      <c r="V40">
        <f>IF(AND(SUM(VLOOKUP($A40,test!$A$3:$F$32,2,FALSE),VLOOKUP(V$1,test!$A$3:$F$32,2,FALSE))&lt;test!$K$16,$A40&lt;&gt;V$1,Recharged_Feasible_mat!W9=1),(VLOOKUP(V$1,test!$A$3:$I$32,8,FALSE))-(VLOOKUP($A40,test!$A$3:$I$32,9,FALSE))+test!$B$33,0)</f>
        <v>0</v>
      </c>
      <c r="W40">
        <f>IF(AND(SUM(VLOOKUP($A40,test!$A$3:$F$32,2,FALSE),VLOOKUP(W$1,test!$A$3:$F$32,2,FALSE))&lt;test!$K$16,$A40&lt;&gt;W$1,Recharged_Feasible_mat!X9=1),(VLOOKUP(W$1,test!$A$3:$I$32,8,FALSE))-(VLOOKUP($A40,test!$A$3:$I$32,9,FALSE))+test!$B$33,0)</f>
        <v>0</v>
      </c>
      <c r="X40">
        <f>IF(AND(SUM(VLOOKUP($A40,test!$A$3:$F$32,2,FALSE),VLOOKUP(X$1,test!$A$3:$F$32,2,FALSE))&lt;test!$K$16,$A40&lt;&gt;X$1,Recharged_Feasible_mat!Y9=1),(VLOOKUP(X$1,test!$A$3:$I$32,8,FALSE))-(VLOOKUP($A40,test!$A$3:$I$32,9,FALSE))+test!$B$33,0)</f>
        <v>0</v>
      </c>
      <c r="Y40">
        <f>IF(AND(SUM(VLOOKUP($A40,test!$A$3:$F$32,2,FALSE),VLOOKUP(Y$1,test!$A$3:$F$32,2,FALSE))&lt;test!$K$16,$A40&lt;&gt;Y$1,Recharged_Feasible_mat!Z9=1),(VLOOKUP(Y$1,test!$A$3:$I$32,8,FALSE))-(VLOOKUP($A40,test!$A$3:$I$32,9,FALSE))+test!$B$33,0)</f>
        <v>0</v>
      </c>
      <c r="Z40">
        <f>IF(AND(SUM(VLOOKUP($A40,test!$A$3:$F$32,2,FALSE),VLOOKUP(Z$1,test!$A$3:$F$32,2,FALSE))&lt;test!$K$16,$A40&lt;&gt;Z$1,Recharged_Feasible_mat!AA9=1),(VLOOKUP(Z$1,test!$A$3:$I$32,8,FALSE))-(VLOOKUP($A40,test!$A$3:$I$32,9,FALSE))+test!$B$33,0)</f>
        <v>0</v>
      </c>
      <c r="AA40">
        <f>IF(AND(SUM(VLOOKUP($A40,test!$A$3:$F$32,2,FALSE),VLOOKUP(AA$1,test!$A$3:$F$32,2,FALSE))&lt;test!$K$16,$A40&lt;&gt;AA$1,Recharged_Feasible_mat!AB9=1),(VLOOKUP(AA$1,test!$A$3:$I$32,8,FALSE))-(VLOOKUP($A40,test!$A$3:$I$32,9,FALSE))+test!$B$33,0)</f>
        <v>0</v>
      </c>
      <c r="AB40">
        <f>IF(AND(SUM(VLOOKUP($A40,test!$A$3:$F$32,2,FALSE),VLOOKUP(AB$1,test!$A$3:$F$32,2,FALSE))&lt;test!$K$16,$A40&lt;&gt;AB$1,Recharged_Feasible_mat!AC9=1),(VLOOKUP(AB$1,test!$A$3:$I$32,8,FALSE))-(VLOOKUP($A40,test!$A$3:$I$32,9,FALSE))+test!$B$33,0)</f>
        <v>0</v>
      </c>
      <c r="AC40">
        <f>IF(AND(SUM(VLOOKUP($A40,test!$A$3:$F$32,2,FALSE),VLOOKUP(AC$1,test!$A$3:$F$32,2,FALSE))&lt;test!$K$16,$A40&lt;&gt;AC$1,Recharged_Feasible_mat!AD9=1),(VLOOKUP(AC$1,test!$A$3:$I$32,8,FALSE))-(VLOOKUP($A40,test!$A$3:$I$32,9,FALSE))+test!$B$33,0)</f>
        <v>0</v>
      </c>
      <c r="AD40">
        <f>IF(AND(SUM(VLOOKUP($A40,test!$A$3:$F$32,2,FALSE),VLOOKUP(AD$1,test!$A$3:$F$32,2,FALSE))&lt;test!$K$16,$A40&lt;&gt;AD$1,Recharged_Feasible_mat!AE9=1),(VLOOKUP(AD$1,test!$A$3:$I$32,8,FALSE))-(VLOOKUP($A40,test!$A$3:$I$32,9,FALSE))+test!$B$33,0)</f>
        <v>0</v>
      </c>
      <c r="AE40">
        <f>IF(AND(SUM(VLOOKUP($A40,test!$A$3:$F$32,2,FALSE),VLOOKUP(AE$1,test!$A$3:$F$32,2,FALSE))&lt;test!$K$16,$A40&lt;&gt;AE$1,Recharged_Feasible_mat!AF9=1),(VLOOKUP(AE$1,test!$A$3:$I$32,8,FALSE))-(VLOOKUP($A40,test!$A$3:$I$32,9,FALSE))+test!$B$33,0)</f>
        <v>0</v>
      </c>
      <c r="AF40">
        <f>IF(AND(SUM(VLOOKUP($A40,test!$A$3:$F$32,2,FALSE),VLOOKUP(AF$1,test!$A$3:$F$32,2,FALSE))&lt;test!$K$16,$A40&lt;&gt;AF$1,Recharged_Feasible_mat!AG9=1),(VLOOKUP(AF$1,test!$A$3:$I$32,8,FALSE))-(VLOOKUP($A40,test!$A$3:$I$32,9,FALSE))+test!$B$33,0)</f>
        <v>0</v>
      </c>
    </row>
    <row r="41" spans="1:32" x14ac:dyDescent="0.25">
      <c r="A41" t="s">
        <v>15</v>
      </c>
      <c r="B41">
        <v>0</v>
      </c>
      <c r="C41">
        <f>IF(AND(SUM(VLOOKUP($A41,test!$A$3:$F$32,2,FALSE),VLOOKUP(C$1,test!$A$3:$F$32,2,FALSE))&lt;test!$K$16,$A41&lt;&gt;C$1,feasible_mat!C41=1),(VLOOKUP(C$1,test!$A$3:$I$32,8,FALSE))-(VLOOKUP($A41,test!$A$3:$I$32,9,FALSE))+test!$B$33,0)</f>
        <v>0</v>
      </c>
      <c r="D41">
        <f>IF(AND(SUM(VLOOKUP($A41,test!$A$3:$F$32,2,FALSE),VLOOKUP(D$1,test!$A$3:$F$32,2,FALSE))&lt;test!$K$16,$A41&lt;&gt;D$1,Recharged_Feasible_mat!E10=1),(VLOOKUP(D$1,test!$A$3:$I$32,8,FALSE))-(VLOOKUP($A41,test!$A$3:$I$32,9,FALSE))+test!$B$33,0)</f>
        <v>0</v>
      </c>
      <c r="E41">
        <f>IF(AND(SUM(VLOOKUP($A41,test!$A$3:$F$32,2,FALSE),VLOOKUP(E$1,test!$A$3:$F$32,2,FALSE))&lt;test!$K$16,$A41&lt;&gt;E$1,Recharged_Feasible_mat!F10=1),(VLOOKUP(E$1,test!$A$3:$I$32,8,FALSE))-(VLOOKUP($A41,test!$A$3:$I$32,9,FALSE))+test!$B$33,0)</f>
        <v>0</v>
      </c>
      <c r="F41">
        <f>IF(AND(SUM(VLOOKUP($A41,test!$A$3:$F$32,2,FALSE),VLOOKUP(F$1,test!$A$3:$F$32,2,FALSE))&lt;test!$K$16,$A41&lt;&gt;F$1,Recharged_Feasible_mat!G10=1),(VLOOKUP(F$1,test!$A$3:$I$32,8,FALSE))-(VLOOKUP($A41,test!$A$3:$I$32,9,FALSE))+test!$B$33,0)</f>
        <v>0</v>
      </c>
      <c r="G41">
        <f>IF(AND(SUM(VLOOKUP($A41,test!$A$3:$F$32,2,FALSE),VLOOKUP(G$1,test!$A$3:$F$32,2,FALSE))&lt;test!$K$16,$A41&lt;&gt;G$1,Recharged_Feasible_mat!H10=1),(VLOOKUP(G$1,test!$A$3:$I$32,8,FALSE))-(VLOOKUP($A41,test!$A$3:$I$32,9,FALSE))+test!$B$33,0)</f>
        <v>0</v>
      </c>
      <c r="H41">
        <f>IF(AND(SUM(VLOOKUP($A41,test!$A$3:$F$32,2,FALSE),VLOOKUP(H$1,test!$A$3:$F$32,2,FALSE))&lt;test!$K$16,$A41&lt;&gt;H$1,Recharged_Feasible_mat!I10=1),(VLOOKUP(H$1,test!$A$3:$I$32,8,FALSE))-(VLOOKUP($A41,test!$A$3:$I$32,9,FALSE))+test!$B$33,0)</f>
        <v>0</v>
      </c>
      <c r="I41">
        <f>IF(AND(SUM(VLOOKUP($A41,test!$A$3:$F$32,2,FALSE),VLOOKUP(I$1,test!$A$3:$F$32,2,FALSE))&lt;test!$K$16,$A41&lt;&gt;I$1,Recharged_Feasible_mat!J10=1),(VLOOKUP(I$1,test!$A$3:$I$32,8,FALSE))-(VLOOKUP($A41,test!$A$3:$I$32,9,FALSE))+test!$B$33,0)</f>
        <v>0</v>
      </c>
      <c r="J41">
        <f>IF(AND(SUM(VLOOKUP($A41,test!$A$3:$F$32,2,FALSE),VLOOKUP(J$1,test!$A$3:$F$32,2,FALSE))&lt;test!$K$16,$A41&lt;&gt;J$1,Recharged_Feasible_mat!K10=1),(VLOOKUP(J$1,test!$A$3:$I$32,8,FALSE))-(VLOOKUP($A41,test!$A$3:$I$32,9,FALSE))+test!$B$33,0)</f>
        <v>0</v>
      </c>
      <c r="K41">
        <f>IF(AND(SUM(VLOOKUP($A41,test!$A$3:$F$32,2,FALSE),VLOOKUP(K$1,test!$A$3:$F$32,2,FALSE))&lt;test!$K$16,$A41&lt;&gt;K$1,Recharged_Feasible_mat!L10=1),(VLOOKUP(K$1,test!$A$3:$I$32,8,FALSE))-(VLOOKUP($A41,test!$A$3:$I$32,9,FALSE))+test!$B$33,0)</f>
        <v>0</v>
      </c>
      <c r="L41">
        <f>IF(AND(SUM(VLOOKUP($A41,test!$A$3:$F$32,2,FALSE),VLOOKUP(L$1,test!$A$3:$F$32,2,FALSE))&lt;test!$K$16,$A41&lt;&gt;L$1,Recharged_Feasible_mat!M10=1),(VLOOKUP(L$1,test!$A$3:$I$32,8,FALSE))-(VLOOKUP($A41,test!$A$3:$I$32,9,FALSE))+test!$B$33,0)</f>
        <v>0</v>
      </c>
      <c r="M41">
        <f>IF(AND(SUM(VLOOKUP($A41,test!$A$3:$F$32,2,FALSE),VLOOKUP(M$1,test!$A$3:$F$32,2,FALSE))&lt;test!$K$16,$A41&lt;&gt;M$1,Recharged_Feasible_mat!N10=1),(VLOOKUP(M$1,test!$A$3:$I$32,8,FALSE))-(VLOOKUP($A41,test!$A$3:$I$32,9,FALSE))+test!$B$33,0)</f>
        <v>0</v>
      </c>
      <c r="N41">
        <f>IF(AND(SUM(VLOOKUP($A41,test!$A$3:$F$32,2,FALSE),VLOOKUP(N$1,test!$A$3:$F$32,2,FALSE))&lt;test!$K$16,$A41&lt;&gt;N$1,Recharged_Feasible_mat!O10=1),(VLOOKUP(N$1,test!$A$3:$I$32,8,FALSE))-(VLOOKUP($A41,test!$A$3:$I$32,9,FALSE))+test!$B$33,0)</f>
        <v>0</v>
      </c>
      <c r="O41">
        <f>IF(AND(SUM(VLOOKUP($A41,test!$A$3:$F$32,2,FALSE),VLOOKUP(O$1,test!$A$3:$F$32,2,FALSE))&lt;test!$K$16,$A41&lt;&gt;O$1,Recharged_Feasible_mat!P10=1),(VLOOKUP(O$1,test!$A$3:$I$32,8,FALSE))-(VLOOKUP($A41,test!$A$3:$I$32,9,FALSE))+test!$B$33,0)</f>
        <v>0</v>
      </c>
      <c r="P41">
        <f>IF(AND(SUM(VLOOKUP($A41,test!$A$3:$F$32,2,FALSE),VLOOKUP(P$1,test!$A$3:$F$32,2,FALSE))&lt;test!$K$16,$A41&lt;&gt;P$1,Recharged_Feasible_mat!Q10=1),(VLOOKUP(P$1,test!$A$3:$I$32,8,FALSE))-(VLOOKUP($A41,test!$A$3:$I$32,9,FALSE))+test!$B$33,0)</f>
        <v>0</v>
      </c>
      <c r="Q41">
        <f>IF(AND(SUM(VLOOKUP($A41,test!$A$3:$F$32,2,FALSE),VLOOKUP(Q$1,test!$A$3:$F$32,2,FALSE))&lt;test!$K$16,$A41&lt;&gt;Q$1,Recharged_Feasible_mat!R10=1),(VLOOKUP(Q$1,test!$A$3:$I$32,8,FALSE))-(VLOOKUP($A41,test!$A$3:$I$32,9,FALSE))+test!$B$33,0)</f>
        <v>0</v>
      </c>
      <c r="R41">
        <f>IF(AND(SUM(VLOOKUP($A41,test!$A$3:$F$32,2,FALSE),VLOOKUP(R$1,test!$A$3:$F$32,2,FALSE))&lt;test!$K$16,$A41&lt;&gt;R$1,Recharged_Feasible_mat!S10=1),(VLOOKUP(R$1,test!$A$3:$I$32,8,FALSE))-(VLOOKUP($A41,test!$A$3:$I$32,9,FALSE))+test!$B$33,0)</f>
        <v>0</v>
      </c>
      <c r="S41">
        <f>IF(AND(SUM(VLOOKUP($A41,test!$A$3:$F$32,2,FALSE),VLOOKUP(S$1,test!$A$3:$F$32,2,FALSE))&lt;test!$K$16,$A41&lt;&gt;S$1,Recharged_Feasible_mat!T10=1),(VLOOKUP(S$1,test!$A$3:$I$32,8,FALSE))-(VLOOKUP($A41,test!$A$3:$I$32,9,FALSE))+test!$B$33,0)</f>
        <v>0</v>
      </c>
      <c r="T41">
        <f>IF(AND(SUM(VLOOKUP($A41,test!$A$3:$F$32,2,FALSE),VLOOKUP(T$1,test!$A$3:$F$32,2,FALSE))&lt;test!$K$16,$A41&lt;&gt;T$1,Recharged_Feasible_mat!U10=1),(VLOOKUP(T$1,test!$A$3:$I$32,8,FALSE))-(VLOOKUP($A41,test!$A$3:$I$32,9,FALSE))+test!$B$33,0)</f>
        <v>0</v>
      </c>
      <c r="U41">
        <f>IF(AND(SUM(VLOOKUP($A41,test!$A$3:$F$32,2,FALSE),VLOOKUP(U$1,test!$A$3:$F$32,2,FALSE))&lt;test!$K$16,$A41&lt;&gt;U$1,Recharged_Feasible_mat!V10=1),(VLOOKUP(U$1,test!$A$3:$I$32,8,FALSE))-(VLOOKUP($A41,test!$A$3:$I$32,9,FALSE))+test!$B$33,0)</f>
        <v>0</v>
      </c>
      <c r="V41">
        <f>IF(AND(SUM(VLOOKUP($A41,test!$A$3:$F$32,2,FALSE),VLOOKUP(V$1,test!$A$3:$F$32,2,FALSE))&lt;test!$K$16,$A41&lt;&gt;V$1,Recharged_Feasible_mat!W10=1),(VLOOKUP(V$1,test!$A$3:$I$32,8,FALSE))-(VLOOKUP($A41,test!$A$3:$I$32,9,FALSE))+test!$B$33,0)</f>
        <v>0</v>
      </c>
      <c r="W41">
        <f>IF(AND(SUM(VLOOKUP($A41,test!$A$3:$F$32,2,FALSE),VLOOKUP(W$1,test!$A$3:$F$32,2,FALSE))&lt;test!$K$16,$A41&lt;&gt;W$1,Recharged_Feasible_mat!X10=1),(VLOOKUP(W$1,test!$A$3:$I$32,8,FALSE))-(VLOOKUP($A41,test!$A$3:$I$32,9,FALSE))+test!$B$33,0)</f>
        <v>0</v>
      </c>
      <c r="X41">
        <f>IF(AND(SUM(VLOOKUP($A41,test!$A$3:$F$32,2,FALSE),VLOOKUP(X$1,test!$A$3:$F$32,2,FALSE))&lt;test!$K$16,$A41&lt;&gt;X$1,Recharged_Feasible_mat!Y10=1),(VLOOKUP(X$1,test!$A$3:$I$32,8,FALSE))-(VLOOKUP($A41,test!$A$3:$I$32,9,FALSE))+test!$B$33,0)</f>
        <v>0</v>
      </c>
      <c r="Y41">
        <f>IF(AND(SUM(VLOOKUP($A41,test!$A$3:$F$32,2,FALSE),VLOOKUP(Y$1,test!$A$3:$F$32,2,FALSE))&lt;test!$K$16,$A41&lt;&gt;Y$1,Recharged_Feasible_mat!Z10=1),(VLOOKUP(Y$1,test!$A$3:$I$32,8,FALSE))-(VLOOKUP($A41,test!$A$3:$I$32,9,FALSE))+test!$B$33,0)</f>
        <v>0</v>
      </c>
      <c r="Z41">
        <f>IF(AND(SUM(VLOOKUP($A41,test!$A$3:$F$32,2,FALSE),VLOOKUP(Z$1,test!$A$3:$F$32,2,FALSE))&lt;test!$K$16,$A41&lt;&gt;Z$1,Recharged_Feasible_mat!AA10=1),(VLOOKUP(Z$1,test!$A$3:$I$32,8,FALSE))-(VLOOKUP($A41,test!$A$3:$I$32,9,FALSE))+test!$B$33,0)</f>
        <v>0</v>
      </c>
      <c r="AA41">
        <f>IF(AND(SUM(VLOOKUP($A41,test!$A$3:$F$32,2,FALSE),VLOOKUP(AA$1,test!$A$3:$F$32,2,FALSE))&lt;test!$K$16,$A41&lt;&gt;AA$1,Recharged_Feasible_mat!AB10=1),(VLOOKUP(AA$1,test!$A$3:$I$32,8,FALSE))-(VLOOKUP($A41,test!$A$3:$I$32,9,FALSE))+test!$B$33,0)</f>
        <v>0</v>
      </c>
      <c r="AB41">
        <f>IF(AND(SUM(VLOOKUP($A41,test!$A$3:$F$32,2,FALSE),VLOOKUP(AB$1,test!$A$3:$F$32,2,FALSE))&lt;test!$K$16,$A41&lt;&gt;AB$1,Recharged_Feasible_mat!AC10=1),(VLOOKUP(AB$1,test!$A$3:$I$32,8,FALSE))-(VLOOKUP($A41,test!$A$3:$I$32,9,FALSE))+test!$B$33,0)</f>
        <v>0</v>
      </c>
      <c r="AC41">
        <f>IF(AND(SUM(VLOOKUP($A41,test!$A$3:$F$32,2,FALSE),VLOOKUP(AC$1,test!$A$3:$F$32,2,FALSE))&lt;test!$K$16,$A41&lt;&gt;AC$1,Recharged_Feasible_mat!AD10=1),(VLOOKUP(AC$1,test!$A$3:$I$32,8,FALSE))-(VLOOKUP($A41,test!$A$3:$I$32,9,FALSE))+test!$B$33,0)</f>
        <v>0</v>
      </c>
      <c r="AD41">
        <f>IF(AND(SUM(VLOOKUP($A41,test!$A$3:$F$32,2,FALSE),VLOOKUP(AD$1,test!$A$3:$F$32,2,FALSE))&lt;test!$K$16,$A41&lt;&gt;AD$1,Recharged_Feasible_mat!AE10=1),(VLOOKUP(AD$1,test!$A$3:$I$32,8,FALSE))-(VLOOKUP($A41,test!$A$3:$I$32,9,FALSE))+test!$B$33,0)</f>
        <v>0</v>
      </c>
      <c r="AE41">
        <f>IF(AND(SUM(VLOOKUP($A41,test!$A$3:$F$32,2,FALSE),VLOOKUP(AE$1,test!$A$3:$F$32,2,FALSE))&lt;test!$K$16,$A41&lt;&gt;AE$1,Recharged_Feasible_mat!AF10=1),(VLOOKUP(AE$1,test!$A$3:$I$32,8,FALSE))-(VLOOKUP($A41,test!$A$3:$I$32,9,FALSE))+test!$B$33,0)</f>
        <v>0</v>
      </c>
      <c r="AF41">
        <f>IF(AND(SUM(VLOOKUP($A41,test!$A$3:$F$32,2,FALSE),VLOOKUP(AF$1,test!$A$3:$F$32,2,FALSE))&lt;test!$K$16,$A41&lt;&gt;AF$1,Recharged_Feasible_mat!AG10=1),(VLOOKUP(AF$1,test!$A$3:$I$32,8,FALSE))-(VLOOKUP($A41,test!$A$3:$I$32,9,FALSE))+test!$B$33,0)</f>
        <v>0</v>
      </c>
    </row>
    <row r="42" spans="1:32" x14ac:dyDescent="0.25">
      <c r="A42" t="s">
        <v>18</v>
      </c>
      <c r="B42">
        <v>0</v>
      </c>
      <c r="C42">
        <f>IF(AND(SUM(VLOOKUP($A42,test!$A$3:$F$32,2,FALSE),VLOOKUP(C$1,test!$A$3:$F$32,2,FALSE))&lt;test!$K$16,$A42&lt;&gt;C$1,feasible_mat!C42=1),(VLOOKUP(C$1,test!$A$3:$I$32,8,FALSE))-(VLOOKUP($A42,test!$A$3:$I$32,9,FALSE))+test!$B$33,0)</f>
        <v>0</v>
      </c>
      <c r="D42">
        <f>IF(AND(SUM(VLOOKUP($A42,test!$A$3:$F$32,2,FALSE),VLOOKUP(D$1,test!$A$3:$F$32,2,FALSE))&lt;test!$K$16,$A42&lt;&gt;D$1,Recharged_Feasible_mat!E11=1),(VLOOKUP(D$1,test!$A$3:$I$32,8,FALSE))-(VLOOKUP($A42,test!$A$3:$I$32,9,FALSE))+test!$B$33,0)</f>
        <v>0</v>
      </c>
      <c r="E42">
        <f>IF(AND(SUM(VLOOKUP($A42,test!$A$3:$F$32,2,FALSE),VLOOKUP(E$1,test!$A$3:$F$32,2,FALSE))&lt;test!$K$16,$A42&lt;&gt;E$1,Recharged_Feasible_mat!F11=1),(VLOOKUP(E$1,test!$A$3:$I$32,8,FALSE))-(VLOOKUP($A42,test!$A$3:$I$32,9,FALSE))+test!$B$33,0)</f>
        <v>185</v>
      </c>
      <c r="F42">
        <f>IF(AND(SUM(VLOOKUP($A42,test!$A$3:$F$32,2,FALSE),VLOOKUP(F$1,test!$A$3:$F$32,2,FALSE))&lt;test!$K$16,$A42&lt;&gt;F$1,Recharged_Feasible_mat!G11=1),(VLOOKUP(F$1,test!$A$3:$I$32,8,FALSE))-(VLOOKUP($A42,test!$A$3:$I$32,9,FALSE))+test!$B$33,0)</f>
        <v>275</v>
      </c>
      <c r="G42">
        <f>IF(AND(SUM(VLOOKUP($A42,test!$A$3:$F$32,2,FALSE),VLOOKUP(G$1,test!$A$3:$F$32,2,FALSE))&lt;test!$K$16,$A42&lt;&gt;G$1,Recharged_Feasible_mat!H11=1),(VLOOKUP(G$1,test!$A$3:$I$32,8,FALSE))-(VLOOKUP($A42,test!$A$3:$I$32,9,FALSE))+test!$B$33,0)</f>
        <v>335</v>
      </c>
      <c r="H42">
        <f>IF(AND(SUM(VLOOKUP($A42,test!$A$3:$F$32,2,FALSE),VLOOKUP(H$1,test!$A$3:$F$32,2,FALSE))&lt;test!$K$16,$A42&lt;&gt;H$1,Recharged_Feasible_mat!I11=1),(VLOOKUP(H$1,test!$A$3:$I$32,8,FALSE))-(VLOOKUP($A42,test!$A$3:$I$32,9,FALSE))+test!$B$33,0)</f>
        <v>395</v>
      </c>
      <c r="I42">
        <f>IF(AND(SUM(VLOOKUP($A42,test!$A$3:$F$32,2,FALSE),VLOOKUP(I$1,test!$A$3:$F$32,2,FALSE))&lt;test!$K$16,$A42&lt;&gt;I$1,Recharged_Feasible_mat!J11=1),(VLOOKUP(I$1,test!$A$3:$I$32,8,FALSE))-(VLOOKUP($A42,test!$A$3:$I$32,9,FALSE))+test!$B$33,0)</f>
        <v>455</v>
      </c>
      <c r="J42">
        <f>IF(AND(SUM(VLOOKUP($A42,test!$A$3:$F$32,2,FALSE),VLOOKUP(J$1,test!$A$3:$F$32,2,FALSE))&lt;test!$K$16,$A42&lt;&gt;J$1,Recharged_Feasible_mat!K11=1),(VLOOKUP(J$1,test!$A$3:$I$32,8,FALSE))-(VLOOKUP($A42,test!$A$3:$I$32,9,FALSE))+test!$B$33,0)</f>
        <v>545</v>
      </c>
      <c r="K42">
        <f>IF(AND(SUM(VLOOKUP($A42,test!$A$3:$F$32,2,FALSE),VLOOKUP(K$1,test!$A$3:$F$32,2,FALSE))&lt;test!$K$16,$A42&lt;&gt;K$1,Recharged_Feasible_mat!L11=1),(VLOOKUP(K$1,test!$A$3:$I$32,8,FALSE))-(VLOOKUP($A42,test!$A$3:$I$32,9,FALSE))+test!$B$33,0)</f>
        <v>0</v>
      </c>
      <c r="L42">
        <f>IF(AND(SUM(VLOOKUP($A42,test!$A$3:$F$32,2,FALSE),VLOOKUP(L$1,test!$A$3:$F$32,2,FALSE))&lt;test!$K$16,$A42&lt;&gt;L$1,Recharged_Feasible_mat!M11=1),(VLOOKUP(L$1,test!$A$3:$I$32,8,FALSE))-(VLOOKUP($A42,test!$A$3:$I$32,9,FALSE))+test!$B$33,0)</f>
        <v>0</v>
      </c>
      <c r="M42">
        <f>IF(AND(SUM(VLOOKUP($A42,test!$A$3:$F$32,2,FALSE),VLOOKUP(M$1,test!$A$3:$F$32,2,FALSE))&lt;test!$K$16,$A42&lt;&gt;M$1,Recharged_Feasible_mat!N11=1),(VLOOKUP(M$1,test!$A$3:$I$32,8,FALSE))-(VLOOKUP($A42,test!$A$3:$I$32,9,FALSE))+test!$B$33,0)</f>
        <v>150</v>
      </c>
      <c r="N42">
        <f>IF(AND(SUM(VLOOKUP($A42,test!$A$3:$F$32,2,FALSE),VLOOKUP(N$1,test!$A$3:$F$32,2,FALSE))&lt;test!$K$16,$A42&lt;&gt;N$1,Recharged_Feasible_mat!O11=1),(VLOOKUP(N$1,test!$A$3:$I$32,8,FALSE))-(VLOOKUP($A42,test!$A$3:$I$32,9,FALSE))+test!$B$33,0)</f>
        <v>510</v>
      </c>
      <c r="O42">
        <f>IF(AND(SUM(VLOOKUP($A42,test!$A$3:$F$32,2,FALSE),VLOOKUP(O$1,test!$A$3:$F$32,2,FALSE))&lt;test!$K$16,$A42&lt;&gt;O$1,Recharged_Feasible_mat!P11=1),(VLOOKUP(O$1,test!$A$3:$I$32,8,FALSE))-(VLOOKUP($A42,test!$A$3:$I$32,9,FALSE))+test!$B$33,0)</f>
        <v>570</v>
      </c>
      <c r="P42">
        <f>IF(AND(SUM(VLOOKUP($A42,test!$A$3:$F$32,2,FALSE),VLOOKUP(P$1,test!$A$3:$F$32,2,FALSE))&lt;test!$K$16,$A42&lt;&gt;P$1,Recharged_Feasible_mat!Q11=1),(VLOOKUP(P$1,test!$A$3:$I$32,8,FALSE))-(VLOOKUP($A42,test!$A$3:$I$32,9,FALSE))+test!$B$33,0)</f>
        <v>0</v>
      </c>
      <c r="Q42">
        <f>IF(AND(SUM(VLOOKUP($A42,test!$A$3:$F$32,2,FALSE),VLOOKUP(Q$1,test!$A$3:$F$32,2,FALSE))&lt;test!$K$16,$A42&lt;&gt;Q$1,Recharged_Feasible_mat!R11=1),(VLOOKUP(Q$1,test!$A$3:$I$32,8,FALSE))-(VLOOKUP($A42,test!$A$3:$I$32,9,FALSE))+test!$B$33,0)</f>
        <v>0</v>
      </c>
      <c r="R42">
        <f>IF(AND(SUM(VLOOKUP($A42,test!$A$3:$F$32,2,FALSE),VLOOKUP(R$1,test!$A$3:$F$32,2,FALSE))&lt;test!$K$16,$A42&lt;&gt;R$1,Recharged_Feasible_mat!S11=1),(VLOOKUP(R$1,test!$A$3:$I$32,8,FALSE))-(VLOOKUP($A42,test!$A$3:$I$32,9,FALSE))+test!$B$33,0)</f>
        <v>0</v>
      </c>
      <c r="S42">
        <f>IF(AND(SUM(VLOOKUP($A42,test!$A$3:$F$32,2,FALSE),VLOOKUP(S$1,test!$A$3:$F$32,2,FALSE))&lt;test!$K$16,$A42&lt;&gt;S$1,Recharged_Feasible_mat!T11=1),(VLOOKUP(S$1,test!$A$3:$I$32,8,FALSE))-(VLOOKUP($A42,test!$A$3:$I$32,9,FALSE))+test!$B$33,0)</f>
        <v>0</v>
      </c>
      <c r="T42">
        <f>IF(AND(SUM(VLOOKUP($A42,test!$A$3:$F$32,2,FALSE),VLOOKUP(T$1,test!$A$3:$F$32,2,FALSE))&lt;test!$K$16,$A42&lt;&gt;T$1,Recharged_Feasible_mat!U11=1),(VLOOKUP(T$1,test!$A$3:$I$32,8,FALSE))-(VLOOKUP($A42,test!$A$3:$I$32,9,FALSE))+test!$B$33,0)</f>
        <v>165</v>
      </c>
      <c r="U42">
        <f>IF(AND(SUM(VLOOKUP($A42,test!$A$3:$F$32,2,FALSE),VLOOKUP(U$1,test!$A$3:$F$32,2,FALSE))&lt;test!$K$16,$A42&lt;&gt;U$1,Recharged_Feasible_mat!V11=1),(VLOOKUP(U$1,test!$A$3:$I$32,8,FALSE))-(VLOOKUP($A42,test!$A$3:$I$32,9,FALSE))+test!$B$33,0)</f>
        <v>255</v>
      </c>
      <c r="V42">
        <f>IF(AND(SUM(VLOOKUP($A42,test!$A$3:$F$32,2,FALSE),VLOOKUP(V$1,test!$A$3:$F$32,2,FALSE))&lt;test!$K$16,$A42&lt;&gt;V$1,Recharged_Feasible_mat!W11=1),(VLOOKUP(V$1,test!$A$3:$I$32,8,FALSE))-(VLOOKUP($A42,test!$A$3:$I$32,9,FALSE))+test!$B$33,0)</f>
        <v>345</v>
      </c>
      <c r="W42">
        <f>IF(AND(SUM(VLOOKUP($A42,test!$A$3:$F$32,2,FALSE),VLOOKUP(W$1,test!$A$3:$F$32,2,FALSE))&lt;test!$K$16,$A42&lt;&gt;W$1,Recharged_Feasible_mat!X11=1),(VLOOKUP(W$1,test!$A$3:$I$32,8,FALSE))-(VLOOKUP($A42,test!$A$3:$I$32,9,FALSE))+test!$B$33,0)</f>
        <v>435</v>
      </c>
      <c r="X42">
        <f>IF(AND(SUM(VLOOKUP($A42,test!$A$3:$F$32,2,FALSE),VLOOKUP(X$1,test!$A$3:$F$32,2,FALSE))&lt;test!$K$16,$A42&lt;&gt;X$1,Recharged_Feasible_mat!Y11=1),(VLOOKUP(X$1,test!$A$3:$I$32,8,FALSE))-(VLOOKUP($A42,test!$A$3:$I$32,9,FALSE))+test!$B$33,0)</f>
        <v>495</v>
      </c>
      <c r="Y42">
        <f>IF(AND(SUM(VLOOKUP($A42,test!$A$3:$F$32,2,FALSE),VLOOKUP(Y$1,test!$A$3:$F$32,2,FALSE))&lt;test!$K$16,$A42&lt;&gt;Y$1,Recharged_Feasible_mat!Z11=1),(VLOOKUP(Y$1,test!$A$3:$I$32,8,FALSE))-(VLOOKUP($A42,test!$A$3:$I$32,9,FALSE))+test!$B$33,0)</f>
        <v>0</v>
      </c>
      <c r="Z42">
        <f>IF(AND(SUM(VLOOKUP($A42,test!$A$3:$F$32,2,FALSE),VLOOKUP(Z$1,test!$A$3:$F$32,2,FALSE))&lt;test!$K$16,$A42&lt;&gt;Z$1,Recharged_Feasible_mat!AA11=1),(VLOOKUP(Z$1,test!$A$3:$I$32,8,FALSE))-(VLOOKUP($A42,test!$A$3:$I$32,9,FALSE))+test!$B$33,0)</f>
        <v>0</v>
      </c>
      <c r="AA42">
        <f>IF(AND(SUM(VLOOKUP($A42,test!$A$3:$F$32,2,FALSE),VLOOKUP(AA$1,test!$A$3:$F$32,2,FALSE))&lt;test!$K$16,$A42&lt;&gt;AA$1,Recharged_Feasible_mat!AB11=1),(VLOOKUP(AA$1,test!$A$3:$I$32,8,FALSE))-(VLOOKUP($A42,test!$A$3:$I$32,9,FALSE))+test!$B$33,0)</f>
        <v>215</v>
      </c>
      <c r="AB42">
        <f>IF(AND(SUM(VLOOKUP($A42,test!$A$3:$F$32,2,FALSE),VLOOKUP(AB$1,test!$A$3:$F$32,2,FALSE))&lt;test!$K$16,$A42&lt;&gt;AB$1,Recharged_Feasible_mat!AC11=1),(VLOOKUP(AB$1,test!$A$3:$I$32,8,FALSE))-(VLOOKUP($A42,test!$A$3:$I$32,9,FALSE))+test!$B$33,0)</f>
        <v>275</v>
      </c>
      <c r="AC42">
        <f>IF(AND(SUM(VLOOKUP($A42,test!$A$3:$F$32,2,FALSE),VLOOKUP(AC$1,test!$A$3:$F$32,2,FALSE))&lt;test!$K$16,$A42&lt;&gt;AC$1,Recharged_Feasible_mat!AD11=1),(VLOOKUP(AC$1,test!$A$3:$I$32,8,FALSE))-(VLOOKUP($A42,test!$A$3:$I$32,9,FALSE))+test!$B$33,0)</f>
        <v>395</v>
      </c>
      <c r="AD42">
        <f>IF(AND(SUM(VLOOKUP($A42,test!$A$3:$F$32,2,FALSE),VLOOKUP(AD$1,test!$A$3:$F$32,2,FALSE))&lt;test!$K$16,$A42&lt;&gt;AD$1,Recharged_Feasible_mat!AE11=1),(VLOOKUP(AD$1,test!$A$3:$I$32,8,FALSE))-(VLOOKUP($A42,test!$A$3:$I$32,9,FALSE))+test!$B$33,0)</f>
        <v>0</v>
      </c>
      <c r="AE42">
        <f>IF(AND(SUM(VLOOKUP($A42,test!$A$3:$F$32,2,FALSE),VLOOKUP(AE$1,test!$A$3:$F$32,2,FALSE))&lt;test!$K$16,$A42&lt;&gt;AE$1,Recharged_Feasible_mat!AF11=1),(VLOOKUP(AE$1,test!$A$3:$I$32,8,FALSE))-(VLOOKUP($A42,test!$A$3:$I$32,9,FALSE))+test!$B$33,0)</f>
        <v>0</v>
      </c>
      <c r="AF42">
        <f>IF(AND(SUM(VLOOKUP($A42,test!$A$3:$F$32,2,FALSE),VLOOKUP(AF$1,test!$A$3:$F$32,2,FALSE))&lt;test!$K$16,$A42&lt;&gt;AF$1,Recharged_Feasible_mat!AG11=1),(VLOOKUP(AF$1,test!$A$3:$I$32,8,FALSE))-(VLOOKUP($A42,test!$A$3:$I$32,9,FALSE))+test!$B$33,0)</f>
        <v>0</v>
      </c>
    </row>
    <row r="43" spans="1:32" x14ac:dyDescent="0.25">
      <c r="A43" t="s">
        <v>20</v>
      </c>
      <c r="B43">
        <v>0</v>
      </c>
      <c r="C43">
        <f>IF(AND(SUM(VLOOKUP($A43,test!$A$3:$F$32,2,FALSE),VLOOKUP(C$1,test!$A$3:$F$32,2,FALSE))&lt;test!$K$16,$A43&lt;&gt;C$1,feasible_mat!C43=1),(VLOOKUP(C$1,test!$A$3:$I$32,8,FALSE))-(VLOOKUP($A43,test!$A$3:$I$32,9,FALSE))+test!$B$33,0)</f>
        <v>0</v>
      </c>
      <c r="D43">
        <f>IF(AND(SUM(VLOOKUP($A43,test!$A$3:$F$32,2,FALSE),VLOOKUP(D$1,test!$A$3:$F$32,2,FALSE))&lt;test!$K$16,$A43&lt;&gt;D$1,Recharged_Feasible_mat!E12=1),(VLOOKUP(D$1,test!$A$3:$I$32,8,FALSE))-(VLOOKUP($A43,test!$A$3:$I$32,9,FALSE))+test!$B$33,0)</f>
        <v>0</v>
      </c>
      <c r="E43">
        <f>IF(AND(SUM(VLOOKUP($A43,test!$A$3:$F$32,2,FALSE),VLOOKUP(E$1,test!$A$3:$F$32,2,FALSE))&lt;test!$K$16,$A43&lt;&gt;E$1,Recharged_Feasible_mat!F12=1),(VLOOKUP(E$1,test!$A$3:$I$32,8,FALSE))-(VLOOKUP($A43,test!$A$3:$I$32,9,FALSE))+test!$B$33,0)</f>
        <v>0</v>
      </c>
      <c r="F43">
        <f>IF(AND(SUM(VLOOKUP($A43,test!$A$3:$F$32,2,FALSE),VLOOKUP(F$1,test!$A$3:$F$32,2,FALSE))&lt;test!$K$16,$A43&lt;&gt;F$1,Recharged_Feasible_mat!G12=1),(VLOOKUP(F$1,test!$A$3:$I$32,8,FALSE))-(VLOOKUP($A43,test!$A$3:$I$32,9,FALSE))+test!$B$33,0)</f>
        <v>155</v>
      </c>
      <c r="G43">
        <f>IF(AND(SUM(VLOOKUP($A43,test!$A$3:$F$32,2,FALSE),VLOOKUP(G$1,test!$A$3:$F$32,2,FALSE))&lt;test!$K$16,$A43&lt;&gt;G$1,Recharged_Feasible_mat!H12=1),(VLOOKUP(G$1,test!$A$3:$I$32,8,FALSE))-(VLOOKUP($A43,test!$A$3:$I$32,9,FALSE))+test!$B$33,0)</f>
        <v>215</v>
      </c>
      <c r="H43">
        <f>IF(AND(SUM(VLOOKUP($A43,test!$A$3:$F$32,2,FALSE),VLOOKUP(H$1,test!$A$3:$F$32,2,FALSE))&lt;test!$K$16,$A43&lt;&gt;H$1,Recharged_Feasible_mat!I12=1),(VLOOKUP(H$1,test!$A$3:$I$32,8,FALSE))-(VLOOKUP($A43,test!$A$3:$I$32,9,FALSE))+test!$B$33,0)</f>
        <v>275</v>
      </c>
      <c r="I43">
        <f>IF(AND(SUM(VLOOKUP($A43,test!$A$3:$F$32,2,FALSE),VLOOKUP(I$1,test!$A$3:$F$32,2,FALSE))&lt;test!$K$16,$A43&lt;&gt;I$1,Recharged_Feasible_mat!J12=1),(VLOOKUP(I$1,test!$A$3:$I$32,8,FALSE))-(VLOOKUP($A43,test!$A$3:$I$32,9,FALSE))+test!$B$33,0)</f>
        <v>335</v>
      </c>
      <c r="J43">
        <f>IF(AND(SUM(VLOOKUP($A43,test!$A$3:$F$32,2,FALSE),VLOOKUP(J$1,test!$A$3:$F$32,2,FALSE))&lt;test!$K$16,$A43&lt;&gt;J$1,Recharged_Feasible_mat!K12=1),(VLOOKUP(J$1,test!$A$3:$I$32,8,FALSE))-(VLOOKUP($A43,test!$A$3:$I$32,9,FALSE))+test!$B$33,0)</f>
        <v>425</v>
      </c>
      <c r="K43">
        <f>IF(AND(SUM(VLOOKUP($A43,test!$A$3:$F$32,2,FALSE),VLOOKUP(K$1,test!$A$3:$F$32,2,FALSE))&lt;test!$K$16,$A43&lt;&gt;K$1,Recharged_Feasible_mat!L12=1),(VLOOKUP(K$1,test!$A$3:$I$32,8,FALSE))-(VLOOKUP($A43,test!$A$3:$I$32,9,FALSE))+test!$B$33,0)</f>
        <v>0</v>
      </c>
      <c r="L43">
        <f>IF(AND(SUM(VLOOKUP($A43,test!$A$3:$F$32,2,FALSE),VLOOKUP(L$1,test!$A$3:$F$32,2,FALSE))&lt;test!$K$16,$A43&lt;&gt;L$1,Recharged_Feasible_mat!M12=1),(VLOOKUP(L$1,test!$A$3:$I$32,8,FALSE))-(VLOOKUP($A43,test!$A$3:$I$32,9,FALSE))+test!$B$33,0)</f>
        <v>0</v>
      </c>
      <c r="M43">
        <f>IF(AND(SUM(VLOOKUP($A43,test!$A$3:$F$32,2,FALSE),VLOOKUP(M$1,test!$A$3:$F$32,2,FALSE))&lt;test!$K$16,$A43&lt;&gt;M$1,Recharged_Feasible_mat!N12=1),(VLOOKUP(M$1,test!$A$3:$I$32,8,FALSE))-(VLOOKUP($A43,test!$A$3:$I$32,9,FALSE))+test!$B$33,0)</f>
        <v>0</v>
      </c>
      <c r="N43">
        <f>IF(AND(SUM(VLOOKUP($A43,test!$A$3:$F$32,2,FALSE),VLOOKUP(N$1,test!$A$3:$F$32,2,FALSE))&lt;test!$K$16,$A43&lt;&gt;N$1,Recharged_Feasible_mat!O12=1),(VLOOKUP(N$1,test!$A$3:$I$32,8,FALSE))-(VLOOKUP($A43,test!$A$3:$I$32,9,FALSE))+test!$B$33,0)</f>
        <v>390</v>
      </c>
      <c r="O43">
        <f>IF(AND(SUM(VLOOKUP($A43,test!$A$3:$F$32,2,FALSE),VLOOKUP(O$1,test!$A$3:$F$32,2,FALSE))&lt;test!$K$16,$A43&lt;&gt;O$1,Recharged_Feasible_mat!P12=1),(VLOOKUP(O$1,test!$A$3:$I$32,8,FALSE))-(VLOOKUP($A43,test!$A$3:$I$32,9,FALSE))+test!$B$33,0)</f>
        <v>450</v>
      </c>
      <c r="P43">
        <f>IF(AND(SUM(VLOOKUP($A43,test!$A$3:$F$32,2,FALSE),VLOOKUP(P$1,test!$A$3:$F$32,2,FALSE))&lt;test!$K$16,$A43&lt;&gt;P$1,Recharged_Feasible_mat!Q12=1),(VLOOKUP(P$1,test!$A$3:$I$32,8,FALSE))-(VLOOKUP($A43,test!$A$3:$I$32,9,FALSE))+test!$B$33,0)</f>
        <v>0</v>
      </c>
      <c r="Q43">
        <f>IF(AND(SUM(VLOOKUP($A43,test!$A$3:$F$32,2,FALSE),VLOOKUP(Q$1,test!$A$3:$F$32,2,FALSE))&lt;test!$K$16,$A43&lt;&gt;Q$1,Recharged_Feasible_mat!R12=1),(VLOOKUP(Q$1,test!$A$3:$I$32,8,FALSE))-(VLOOKUP($A43,test!$A$3:$I$32,9,FALSE))+test!$B$33,0)</f>
        <v>0</v>
      </c>
      <c r="R43">
        <f>IF(AND(SUM(VLOOKUP($A43,test!$A$3:$F$32,2,FALSE),VLOOKUP(R$1,test!$A$3:$F$32,2,FALSE))&lt;test!$K$16,$A43&lt;&gt;R$1,Recharged_Feasible_mat!S12=1),(VLOOKUP(R$1,test!$A$3:$I$32,8,FALSE))-(VLOOKUP($A43,test!$A$3:$I$32,9,FALSE))+test!$B$33,0)</f>
        <v>0</v>
      </c>
      <c r="S43">
        <f>IF(AND(SUM(VLOOKUP($A43,test!$A$3:$F$32,2,FALSE),VLOOKUP(S$1,test!$A$3:$F$32,2,FALSE))&lt;test!$K$16,$A43&lt;&gt;S$1,Recharged_Feasible_mat!T12=1),(VLOOKUP(S$1,test!$A$3:$I$32,8,FALSE))-(VLOOKUP($A43,test!$A$3:$I$32,9,FALSE))+test!$B$33,0)</f>
        <v>0</v>
      </c>
      <c r="T43">
        <f>IF(AND(SUM(VLOOKUP($A43,test!$A$3:$F$32,2,FALSE),VLOOKUP(T$1,test!$A$3:$F$32,2,FALSE))&lt;test!$K$16,$A43&lt;&gt;T$1,Recharged_Feasible_mat!U12=1),(VLOOKUP(T$1,test!$A$3:$I$32,8,FALSE))-(VLOOKUP($A43,test!$A$3:$I$32,9,FALSE))+test!$B$33,0)</f>
        <v>0</v>
      </c>
      <c r="U43">
        <f>IF(AND(SUM(VLOOKUP($A43,test!$A$3:$F$32,2,FALSE),VLOOKUP(U$1,test!$A$3:$F$32,2,FALSE))&lt;test!$K$16,$A43&lt;&gt;U$1,Recharged_Feasible_mat!V12=1),(VLOOKUP(U$1,test!$A$3:$I$32,8,FALSE))-(VLOOKUP($A43,test!$A$3:$I$32,9,FALSE))+test!$B$33,0)</f>
        <v>135</v>
      </c>
      <c r="V43">
        <f>IF(AND(SUM(VLOOKUP($A43,test!$A$3:$F$32,2,FALSE),VLOOKUP(V$1,test!$A$3:$F$32,2,FALSE))&lt;test!$K$16,$A43&lt;&gt;V$1,Recharged_Feasible_mat!W12=1),(VLOOKUP(V$1,test!$A$3:$I$32,8,FALSE))-(VLOOKUP($A43,test!$A$3:$I$32,9,FALSE))+test!$B$33,0)</f>
        <v>225</v>
      </c>
      <c r="W43">
        <f>IF(AND(SUM(VLOOKUP($A43,test!$A$3:$F$32,2,FALSE),VLOOKUP(W$1,test!$A$3:$F$32,2,FALSE))&lt;test!$K$16,$A43&lt;&gt;W$1,Recharged_Feasible_mat!X12=1),(VLOOKUP(W$1,test!$A$3:$I$32,8,FALSE))-(VLOOKUP($A43,test!$A$3:$I$32,9,FALSE))+test!$B$33,0)</f>
        <v>315</v>
      </c>
      <c r="X43">
        <f>IF(AND(SUM(VLOOKUP($A43,test!$A$3:$F$32,2,FALSE),VLOOKUP(X$1,test!$A$3:$F$32,2,FALSE))&lt;test!$K$16,$A43&lt;&gt;X$1,Recharged_Feasible_mat!Y12=1),(VLOOKUP(X$1,test!$A$3:$I$32,8,FALSE))-(VLOOKUP($A43,test!$A$3:$I$32,9,FALSE))+test!$B$33,0)</f>
        <v>375</v>
      </c>
      <c r="Y43">
        <f>IF(AND(SUM(VLOOKUP($A43,test!$A$3:$F$32,2,FALSE),VLOOKUP(Y$1,test!$A$3:$F$32,2,FALSE))&lt;test!$K$16,$A43&lt;&gt;Y$1,Recharged_Feasible_mat!Z12=1),(VLOOKUP(Y$1,test!$A$3:$I$32,8,FALSE))-(VLOOKUP($A43,test!$A$3:$I$32,9,FALSE))+test!$B$33,0)</f>
        <v>0</v>
      </c>
      <c r="Z43">
        <f>IF(AND(SUM(VLOOKUP($A43,test!$A$3:$F$32,2,FALSE),VLOOKUP(Z$1,test!$A$3:$F$32,2,FALSE))&lt;test!$K$16,$A43&lt;&gt;Z$1,Recharged_Feasible_mat!AA12=1),(VLOOKUP(Z$1,test!$A$3:$I$32,8,FALSE))-(VLOOKUP($A43,test!$A$3:$I$32,9,FALSE))+test!$B$33,0)</f>
        <v>0</v>
      </c>
      <c r="AA43">
        <f>IF(AND(SUM(VLOOKUP($A43,test!$A$3:$F$32,2,FALSE),VLOOKUP(AA$1,test!$A$3:$F$32,2,FALSE))&lt;test!$K$16,$A43&lt;&gt;AA$1,Recharged_Feasible_mat!AB12=1),(VLOOKUP(AA$1,test!$A$3:$I$32,8,FALSE))-(VLOOKUP($A43,test!$A$3:$I$32,9,FALSE))+test!$B$33,0)</f>
        <v>0</v>
      </c>
      <c r="AB43">
        <f>IF(AND(SUM(VLOOKUP($A43,test!$A$3:$F$32,2,FALSE),VLOOKUP(AB$1,test!$A$3:$F$32,2,FALSE))&lt;test!$K$16,$A43&lt;&gt;AB$1,Recharged_Feasible_mat!AC12=1),(VLOOKUP(AB$1,test!$A$3:$I$32,8,FALSE))-(VLOOKUP($A43,test!$A$3:$I$32,9,FALSE))+test!$B$33,0)</f>
        <v>155</v>
      </c>
      <c r="AC43">
        <f>IF(AND(SUM(VLOOKUP($A43,test!$A$3:$F$32,2,FALSE),VLOOKUP(AC$1,test!$A$3:$F$32,2,FALSE))&lt;test!$K$16,$A43&lt;&gt;AC$1,Recharged_Feasible_mat!AD12=1),(VLOOKUP(AC$1,test!$A$3:$I$32,8,FALSE))-(VLOOKUP($A43,test!$A$3:$I$32,9,FALSE))+test!$B$33,0)</f>
        <v>275</v>
      </c>
      <c r="AD43">
        <f>IF(AND(SUM(VLOOKUP($A43,test!$A$3:$F$32,2,FALSE),VLOOKUP(AD$1,test!$A$3:$F$32,2,FALSE))&lt;test!$K$16,$A43&lt;&gt;AD$1,Recharged_Feasible_mat!AE12=1),(VLOOKUP(AD$1,test!$A$3:$I$32,8,FALSE))-(VLOOKUP($A43,test!$A$3:$I$32,9,FALSE))+test!$B$33,0)</f>
        <v>0</v>
      </c>
      <c r="AE43">
        <f>IF(AND(SUM(VLOOKUP($A43,test!$A$3:$F$32,2,FALSE),VLOOKUP(AE$1,test!$A$3:$F$32,2,FALSE))&lt;test!$K$16,$A43&lt;&gt;AE$1,Recharged_Feasible_mat!AF12=1),(VLOOKUP(AE$1,test!$A$3:$I$32,8,FALSE))-(VLOOKUP($A43,test!$A$3:$I$32,9,FALSE))+test!$B$33,0)</f>
        <v>0</v>
      </c>
      <c r="AF43">
        <f>IF(AND(SUM(VLOOKUP($A43,test!$A$3:$F$32,2,FALSE),VLOOKUP(AF$1,test!$A$3:$F$32,2,FALSE))&lt;test!$K$16,$A43&lt;&gt;AF$1,Recharged_Feasible_mat!AG12=1),(VLOOKUP(AF$1,test!$A$3:$I$32,8,FALSE))-(VLOOKUP($A43,test!$A$3:$I$32,9,FALSE))+test!$B$33,0)</f>
        <v>0</v>
      </c>
    </row>
    <row r="44" spans="1:32" x14ac:dyDescent="0.25">
      <c r="A44" t="s">
        <v>21</v>
      </c>
      <c r="B44">
        <v>0</v>
      </c>
      <c r="C44">
        <f>IF(AND(SUM(VLOOKUP($A44,test!$A$3:$F$32,2,FALSE),VLOOKUP(C$1,test!$A$3:$F$32,2,FALSE))&lt;test!$K$16,$A44&lt;&gt;C$1,feasible_mat!C44=1),(VLOOKUP(C$1,test!$A$3:$I$32,8,FALSE))-(VLOOKUP($A44,test!$A$3:$I$32,9,FALSE))+test!$B$33,0)</f>
        <v>0</v>
      </c>
      <c r="D44">
        <f>IF(AND(SUM(VLOOKUP($A44,test!$A$3:$F$32,2,FALSE),VLOOKUP(D$1,test!$A$3:$F$32,2,FALSE))&lt;test!$K$16,$A44&lt;&gt;D$1,Recharged_Feasible_mat!E13=1),(VLOOKUP(D$1,test!$A$3:$I$32,8,FALSE))-(VLOOKUP($A44,test!$A$3:$I$32,9,FALSE))+test!$B$33,0)</f>
        <v>0</v>
      </c>
      <c r="E44">
        <f>IF(AND(SUM(VLOOKUP($A44,test!$A$3:$F$32,2,FALSE),VLOOKUP(E$1,test!$A$3:$F$32,2,FALSE))&lt;test!$K$16,$A44&lt;&gt;E$1,Recharged_Feasible_mat!F13=1),(VLOOKUP(E$1,test!$A$3:$I$32,8,FALSE))-(VLOOKUP($A44,test!$A$3:$I$32,9,FALSE))+test!$B$33,0)</f>
        <v>0</v>
      </c>
      <c r="F44">
        <f>IF(AND(SUM(VLOOKUP($A44,test!$A$3:$F$32,2,FALSE),VLOOKUP(F$1,test!$A$3:$F$32,2,FALSE))&lt;test!$K$16,$A44&lt;&gt;F$1,Recharged_Feasible_mat!G13=1),(VLOOKUP(F$1,test!$A$3:$I$32,8,FALSE))-(VLOOKUP($A44,test!$A$3:$I$32,9,FALSE))+test!$B$33,0)</f>
        <v>0</v>
      </c>
      <c r="G44">
        <f>IF(AND(SUM(VLOOKUP($A44,test!$A$3:$F$32,2,FALSE),VLOOKUP(G$1,test!$A$3:$F$32,2,FALSE))&lt;test!$K$16,$A44&lt;&gt;G$1,Recharged_Feasible_mat!H13=1),(VLOOKUP(G$1,test!$A$3:$I$32,8,FALSE))-(VLOOKUP($A44,test!$A$3:$I$32,9,FALSE))+test!$B$33,0)</f>
        <v>0</v>
      </c>
      <c r="H44">
        <f>IF(AND(SUM(VLOOKUP($A44,test!$A$3:$F$32,2,FALSE),VLOOKUP(H$1,test!$A$3:$F$32,2,FALSE))&lt;test!$K$16,$A44&lt;&gt;H$1,Recharged_Feasible_mat!I13=1),(VLOOKUP(H$1,test!$A$3:$I$32,8,FALSE))-(VLOOKUP($A44,test!$A$3:$I$32,9,FALSE))+test!$B$33,0)</f>
        <v>155</v>
      </c>
      <c r="I44">
        <f>IF(AND(SUM(VLOOKUP($A44,test!$A$3:$F$32,2,FALSE),VLOOKUP(I$1,test!$A$3:$F$32,2,FALSE))&lt;test!$K$16,$A44&lt;&gt;I$1,Recharged_Feasible_mat!J13=1),(VLOOKUP(I$1,test!$A$3:$I$32,8,FALSE))-(VLOOKUP($A44,test!$A$3:$I$32,9,FALSE))+test!$B$33,0)</f>
        <v>215</v>
      </c>
      <c r="J44">
        <f>IF(AND(SUM(VLOOKUP($A44,test!$A$3:$F$32,2,FALSE),VLOOKUP(J$1,test!$A$3:$F$32,2,FALSE))&lt;test!$K$16,$A44&lt;&gt;J$1,Recharged_Feasible_mat!K13=1),(VLOOKUP(J$1,test!$A$3:$I$32,8,FALSE))-(VLOOKUP($A44,test!$A$3:$I$32,9,FALSE))+test!$B$33,0)</f>
        <v>305</v>
      </c>
      <c r="K44">
        <f>IF(AND(SUM(VLOOKUP($A44,test!$A$3:$F$32,2,FALSE),VLOOKUP(K$1,test!$A$3:$F$32,2,FALSE))&lt;test!$K$16,$A44&lt;&gt;K$1,Recharged_Feasible_mat!L13=1),(VLOOKUP(K$1,test!$A$3:$I$32,8,FALSE))-(VLOOKUP($A44,test!$A$3:$I$32,9,FALSE))+test!$B$33,0)</f>
        <v>0</v>
      </c>
      <c r="L44">
        <f>IF(AND(SUM(VLOOKUP($A44,test!$A$3:$F$32,2,FALSE),VLOOKUP(L$1,test!$A$3:$F$32,2,FALSE))&lt;test!$K$16,$A44&lt;&gt;L$1,Recharged_Feasible_mat!M13=1),(VLOOKUP(L$1,test!$A$3:$I$32,8,FALSE))-(VLOOKUP($A44,test!$A$3:$I$32,9,FALSE))+test!$B$33,0)</f>
        <v>0</v>
      </c>
      <c r="M44">
        <f>IF(AND(SUM(VLOOKUP($A44,test!$A$3:$F$32,2,FALSE),VLOOKUP(M$1,test!$A$3:$F$32,2,FALSE))&lt;test!$K$16,$A44&lt;&gt;M$1,Recharged_Feasible_mat!N13=1),(VLOOKUP(M$1,test!$A$3:$I$32,8,FALSE))-(VLOOKUP($A44,test!$A$3:$I$32,9,FALSE))+test!$B$33,0)</f>
        <v>0</v>
      </c>
      <c r="N44">
        <f>IF(AND(SUM(VLOOKUP($A44,test!$A$3:$F$32,2,FALSE),VLOOKUP(N$1,test!$A$3:$F$32,2,FALSE))&lt;test!$K$16,$A44&lt;&gt;N$1,Recharged_Feasible_mat!O13=1),(VLOOKUP(N$1,test!$A$3:$I$32,8,FALSE))-(VLOOKUP($A44,test!$A$3:$I$32,9,FALSE))+test!$B$33,0)</f>
        <v>270</v>
      </c>
      <c r="O44">
        <f>IF(AND(SUM(VLOOKUP($A44,test!$A$3:$F$32,2,FALSE),VLOOKUP(O$1,test!$A$3:$F$32,2,FALSE))&lt;test!$K$16,$A44&lt;&gt;O$1,Recharged_Feasible_mat!P13=1),(VLOOKUP(O$1,test!$A$3:$I$32,8,FALSE))-(VLOOKUP($A44,test!$A$3:$I$32,9,FALSE))+test!$B$33,0)</f>
        <v>330</v>
      </c>
      <c r="P44">
        <f>IF(AND(SUM(VLOOKUP($A44,test!$A$3:$F$32,2,FALSE),VLOOKUP(P$1,test!$A$3:$F$32,2,FALSE))&lt;test!$K$16,$A44&lt;&gt;P$1,Recharged_Feasible_mat!Q13=1),(VLOOKUP(P$1,test!$A$3:$I$32,8,FALSE))-(VLOOKUP($A44,test!$A$3:$I$32,9,FALSE))+test!$B$33,0)</f>
        <v>0</v>
      </c>
      <c r="Q44">
        <f>IF(AND(SUM(VLOOKUP($A44,test!$A$3:$F$32,2,FALSE),VLOOKUP(Q$1,test!$A$3:$F$32,2,FALSE))&lt;test!$K$16,$A44&lt;&gt;Q$1,Recharged_Feasible_mat!R13=1),(VLOOKUP(Q$1,test!$A$3:$I$32,8,FALSE))-(VLOOKUP($A44,test!$A$3:$I$32,9,FALSE))+test!$B$33,0)</f>
        <v>0</v>
      </c>
      <c r="R44">
        <f>IF(AND(SUM(VLOOKUP($A44,test!$A$3:$F$32,2,FALSE),VLOOKUP(R$1,test!$A$3:$F$32,2,FALSE))&lt;test!$K$16,$A44&lt;&gt;R$1,Recharged_Feasible_mat!S13=1),(VLOOKUP(R$1,test!$A$3:$I$32,8,FALSE))-(VLOOKUP($A44,test!$A$3:$I$32,9,FALSE))+test!$B$33,0)</f>
        <v>0</v>
      </c>
      <c r="S44">
        <f>IF(AND(SUM(VLOOKUP($A44,test!$A$3:$F$32,2,FALSE),VLOOKUP(S$1,test!$A$3:$F$32,2,FALSE))&lt;test!$K$16,$A44&lt;&gt;S$1,Recharged_Feasible_mat!T13=1),(VLOOKUP(S$1,test!$A$3:$I$32,8,FALSE))-(VLOOKUP($A44,test!$A$3:$I$32,9,FALSE))+test!$B$33,0)</f>
        <v>0</v>
      </c>
      <c r="T44">
        <f>IF(AND(SUM(VLOOKUP($A44,test!$A$3:$F$32,2,FALSE),VLOOKUP(T$1,test!$A$3:$F$32,2,FALSE))&lt;test!$K$16,$A44&lt;&gt;T$1,Recharged_Feasible_mat!U13=1),(VLOOKUP(T$1,test!$A$3:$I$32,8,FALSE))-(VLOOKUP($A44,test!$A$3:$I$32,9,FALSE))+test!$B$33,0)</f>
        <v>0</v>
      </c>
      <c r="U44">
        <f>IF(AND(SUM(VLOOKUP($A44,test!$A$3:$F$32,2,FALSE),VLOOKUP(U$1,test!$A$3:$F$32,2,FALSE))&lt;test!$K$16,$A44&lt;&gt;U$1,Recharged_Feasible_mat!V13=1),(VLOOKUP(U$1,test!$A$3:$I$32,8,FALSE))-(VLOOKUP($A44,test!$A$3:$I$32,9,FALSE))+test!$B$33,0)</f>
        <v>0</v>
      </c>
      <c r="V44">
        <f>IF(AND(SUM(VLOOKUP($A44,test!$A$3:$F$32,2,FALSE),VLOOKUP(V$1,test!$A$3:$F$32,2,FALSE))&lt;test!$K$16,$A44&lt;&gt;V$1,Recharged_Feasible_mat!W13=1),(VLOOKUP(V$1,test!$A$3:$I$32,8,FALSE))-(VLOOKUP($A44,test!$A$3:$I$32,9,FALSE))+test!$B$33,0)</f>
        <v>0</v>
      </c>
      <c r="W44">
        <f>IF(AND(SUM(VLOOKUP($A44,test!$A$3:$F$32,2,FALSE),VLOOKUP(W$1,test!$A$3:$F$32,2,FALSE))&lt;test!$K$16,$A44&lt;&gt;W$1,Recharged_Feasible_mat!X13=1),(VLOOKUP(W$1,test!$A$3:$I$32,8,FALSE))-(VLOOKUP($A44,test!$A$3:$I$32,9,FALSE))+test!$B$33,0)</f>
        <v>195</v>
      </c>
      <c r="X44">
        <f>IF(AND(SUM(VLOOKUP($A44,test!$A$3:$F$32,2,FALSE),VLOOKUP(X$1,test!$A$3:$F$32,2,FALSE))&lt;test!$K$16,$A44&lt;&gt;X$1,Recharged_Feasible_mat!Y13=1),(VLOOKUP(X$1,test!$A$3:$I$32,8,FALSE))-(VLOOKUP($A44,test!$A$3:$I$32,9,FALSE))+test!$B$33,0)</f>
        <v>255</v>
      </c>
      <c r="Y44">
        <f>IF(AND(SUM(VLOOKUP($A44,test!$A$3:$F$32,2,FALSE),VLOOKUP(Y$1,test!$A$3:$F$32,2,FALSE))&lt;test!$K$16,$A44&lt;&gt;Y$1,Recharged_Feasible_mat!Z13=1),(VLOOKUP(Y$1,test!$A$3:$I$32,8,FALSE))-(VLOOKUP($A44,test!$A$3:$I$32,9,FALSE))+test!$B$33,0)</f>
        <v>0</v>
      </c>
      <c r="Z44">
        <f>IF(AND(SUM(VLOOKUP($A44,test!$A$3:$F$32,2,FALSE),VLOOKUP(Z$1,test!$A$3:$F$32,2,FALSE))&lt;test!$K$16,$A44&lt;&gt;Z$1,Recharged_Feasible_mat!AA13=1),(VLOOKUP(Z$1,test!$A$3:$I$32,8,FALSE))-(VLOOKUP($A44,test!$A$3:$I$32,9,FALSE))+test!$B$33,0)</f>
        <v>0</v>
      </c>
      <c r="AA44">
        <f>IF(AND(SUM(VLOOKUP($A44,test!$A$3:$F$32,2,FALSE),VLOOKUP(AA$1,test!$A$3:$F$32,2,FALSE))&lt;test!$K$16,$A44&lt;&gt;AA$1,Recharged_Feasible_mat!AB13=1),(VLOOKUP(AA$1,test!$A$3:$I$32,8,FALSE))-(VLOOKUP($A44,test!$A$3:$I$32,9,FALSE))+test!$B$33,0)</f>
        <v>0</v>
      </c>
      <c r="AB44">
        <f>IF(AND(SUM(VLOOKUP($A44,test!$A$3:$F$32,2,FALSE),VLOOKUP(AB$1,test!$A$3:$F$32,2,FALSE))&lt;test!$K$16,$A44&lt;&gt;AB$1,Recharged_Feasible_mat!AC13=1),(VLOOKUP(AB$1,test!$A$3:$I$32,8,FALSE))-(VLOOKUP($A44,test!$A$3:$I$32,9,FALSE))+test!$B$33,0)</f>
        <v>0</v>
      </c>
      <c r="AC44">
        <f>IF(AND(SUM(VLOOKUP($A44,test!$A$3:$F$32,2,FALSE),VLOOKUP(AC$1,test!$A$3:$F$32,2,FALSE))&lt;test!$K$16,$A44&lt;&gt;AC$1,Recharged_Feasible_mat!AD13=1),(VLOOKUP(AC$1,test!$A$3:$I$32,8,FALSE))-(VLOOKUP($A44,test!$A$3:$I$32,9,FALSE))+test!$B$33,0)</f>
        <v>155</v>
      </c>
      <c r="AD44">
        <f>IF(AND(SUM(VLOOKUP($A44,test!$A$3:$F$32,2,FALSE),VLOOKUP(AD$1,test!$A$3:$F$32,2,FALSE))&lt;test!$K$16,$A44&lt;&gt;AD$1,Recharged_Feasible_mat!AE13=1),(VLOOKUP(AD$1,test!$A$3:$I$32,8,FALSE))-(VLOOKUP($A44,test!$A$3:$I$32,9,FALSE))+test!$B$33,0)</f>
        <v>0</v>
      </c>
      <c r="AE44">
        <f>IF(AND(SUM(VLOOKUP($A44,test!$A$3:$F$32,2,FALSE),VLOOKUP(AE$1,test!$A$3:$F$32,2,FALSE))&lt;test!$K$16,$A44&lt;&gt;AE$1,Recharged_Feasible_mat!AF13=1),(VLOOKUP(AE$1,test!$A$3:$I$32,8,FALSE))-(VLOOKUP($A44,test!$A$3:$I$32,9,FALSE))+test!$B$33,0)</f>
        <v>0</v>
      </c>
      <c r="AF44">
        <f>IF(AND(SUM(VLOOKUP($A44,test!$A$3:$F$32,2,FALSE),VLOOKUP(AF$1,test!$A$3:$F$32,2,FALSE))&lt;test!$K$16,$A44&lt;&gt;AF$1,Recharged_Feasible_mat!AG13=1),(VLOOKUP(AF$1,test!$A$3:$I$32,8,FALSE))-(VLOOKUP($A44,test!$A$3:$I$32,9,FALSE))+test!$B$33,0)</f>
        <v>0</v>
      </c>
    </row>
    <row r="45" spans="1:32" x14ac:dyDescent="0.25">
      <c r="A45" t="s">
        <v>22</v>
      </c>
      <c r="B45">
        <v>0</v>
      </c>
      <c r="C45">
        <f>IF(AND(SUM(VLOOKUP($A45,test!$A$3:$F$32,2,FALSE),VLOOKUP(C$1,test!$A$3:$F$32,2,FALSE))&lt;test!$K$16,$A45&lt;&gt;C$1,feasible_mat!C45=1),(VLOOKUP(C$1,test!$A$3:$I$32,8,FALSE))-(VLOOKUP($A45,test!$A$3:$I$32,9,FALSE))+test!$B$33,0)</f>
        <v>0</v>
      </c>
      <c r="D45">
        <f>IF(AND(SUM(VLOOKUP($A45,test!$A$3:$F$32,2,FALSE),VLOOKUP(D$1,test!$A$3:$F$32,2,FALSE))&lt;test!$K$16,$A45&lt;&gt;D$1,Recharged_Feasible_mat!E14=1),(VLOOKUP(D$1,test!$A$3:$I$32,8,FALSE))-(VLOOKUP($A45,test!$A$3:$I$32,9,FALSE))+test!$B$33,0)</f>
        <v>0</v>
      </c>
      <c r="E45">
        <f>IF(AND(SUM(VLOOKUP($A45,test!$A$3:$F$32,2,FALSE),VLOOKUP(E$1,test!$A$3:$F$32,2,FALSE))&lt;test!$K$16,$A45&lt;&gt;E$1,Recharged_Feasible_mat!F14=1),(VLOOKUP(E$1,test!$A$3:$I$32,8,FALSE))-(VLOOKUP($A45,test!$A$3:$I$32,9,FALSE))+test!$B$33,0)</f>
        <v>0</v>
      </c>
      <c r="F45">
        <f>IF(AND(SUM(VLOOKUP($A45,test!$A$3:$F$32,2,FALSE),VLOOKUP(F$1,test!$A$3:$F$32,2,FALSE))&lt;test!$K$16,$A45&lt;&gt;F$1,Recharged_Feasible_mat!G14=1),(VLOOKUP(F$1,test!$A$3:$I$32,8,FALSE))-(VLOOKUP($A45,test!$A$3:$I$32,9,FALSE))+test!$B$33,0)</f>
        <v>0</v>
      </c>
      <c r="G45">
        <f>IF(AND(SUM(VLOOKUP($A45,test!$A$3:$F$32,2,FALSE),VLOOKUP(G$1,test!$A$3:$F$32,2,FALSE))&lt;test!$K$16,$A45&lt;&gt;G$1,Recharged_Feasible_mat!H14=1),(VLOOKUP(G$1,test!$A$3:$I$32,8,FALSE))-(VLOOKUP($A45,test!$A$3:$I$32,9,FALSE))+test!$B$33,0)</f>
        <v>0</v>
      </c>
      <c r="H45">
        <f>IF(AND(SUM(VLOOKUP($A45,test!$A$3:$F$32,2,FALSE),VLOOKUP(H$1,test!$A$3:$F$32,2,FALSE))&lt;test!$K$16,$A45&lt;&gt;H$1,Recharged_Feasible_mat!I14=1),(VLOOKUP(H$1,test!$A$3:$I$32,8,FALSE))-(VLOOKUP($A45,test!$A$3:$I$32,9,FALSE))+test!$B$33,0)</f>
        <v>0</v>
      </c>
      <c r="I45">
        <f>IF(AND(SUM(VLOOKUP($A45,test!$A$3:$F$32,2,FALSE),VLOOKUP(I$1,test!$A$3:$F$32,2,FALSE))&lt;test!$K$16,$A45&lt;&gt;I$1,Recharged_Feasible_mat!J14=1),(VLOOKUP(I$1,test!$A$3:$I$32,8,FALSE))-(VLOOKUP($A45,test!$A$3:$I$32,9,FALSE))+test!$B$33,0)</f>
        <v>0</v>
      </c>
      <c r="J45">
        <f>IF(AND(SUM(VLOOKUP($A45,test!$A$3:$F$32,2,FALSE),VLOOKUP(J$1,test!$A$3:$F$32,2,FALSE))&lt;test!$K$16,$A45&lt;&gt;J$1,Recharged_Feasible_mat!K14=1),(VLOOKUP(J$1,test!$A$3:$I$32,8,FALSE))-(VLOOKUP($A45,test!$A$3:$I$32,9,FALSE))+test!$B$33,0)</f>
        <v>0</v>
      </c>
      <c r="K45">
        <f>IF(AND(SUM(VLOOKUP($A45,test!$A$3:$F$32,2,FALSE),VLOOKUP(K$1,test!$A$3:$F$32,2,FALSE))&lt;test!$K$16,$A45&lt;&gt;K$1,Recharged_Feasible_mat!L14=1),(VLOOKUP(K$1,test!$A$3:$I$32,8,FALSE))-(VLOOKUP($A45,test!$A$3:$I$32,9,FALSE))+test!$B$33,0)</f>
        <v>0</v>
      </c>
      <c r="L45">
        <f>IF(AND(SUM(VLOOKUP($A45,test!$A$3:$F$32,2,FALSE),VLOOKUP(L$1,test!$A$3:$F$32,2,FALSE))&lt;test!$K$16,$A45&lt;&gt;L$1,Recharged_Feasible_mat!M14=1),(VLOOKUP(L$1,test!$A$3:$I$32,8,FALSE))-(VLOOKUP($A45,test!$A$3:$I$32,9,FALSE))+test!$B$33,0)</f>
        <v>0</v>
      </c>
      <c r="M45">
        <f>IF(AND(SUM(VLOOKUP($A45,test!$A$3:$F$32,2,FALSE),VLOOKUP(M$1,test!$A$3:$F$32,2,FALSE))&lt;test!$K$16,$A45&lt;&gt;M$1,Recharged_Feasible_mat!N14=1),(VLOOKUP(M$1,test!$A$3:$I$32,8,FALSE))-(VLOOKUP($A45,test!$A$3:$I$32,9,FALSE))+test!$B$33,0)</f>
        <v>0</v>
      </c>
      <c r="N45">
        <f>IF(AND(SUM(VLOOKUP($A45,test!$A$3:$F$32,2,FALSE),VLOOKUP(N$1,test!$A$3:$F$32,2,FALSE))&lt;test!$K$16,$A45&lt;&gt;N$1,Recharged_Feasible_mat!O14=1),(VLOOKUP(N$1,test!$A$3:$I$32,8,FALSE))-(VLOOKUP($A45,test!$A$3:$I$32,9,FALSE))+test!$B$33,0)</f>
        <v>0</v>
      </c>
      <c r="O45">
        <f>IF(AND(SUM(VLOOKUP($A45,test!$A$3:$F$32,2,FALSE),VLOOKUP(O$1,test!$A$3:$F$32,2,FALSE))&lt;test!$K$16,$A45&lt;&gt;O$1,Recharged_Feasible_mat!P14=1),(VLOOKUP(O$1,test!$A$3:$I$32,8,FALSE))-(VLOOKUP($A45,test!$A$3:$I$32,9,FALSE))+test!$B$33,0)</f>
        <v>0</v>
      </c>
      <c r="P45">
        <f>IF(AND(SUM(VLOOKUP($A45,test!$A$3:$F$32,2,FALSE),VLOOKUP(P$1,test!$A$3:$F$32,2,FALSE))&lt;test!$K$16,$A45&lt;&gt;P$1,Recharged_Feasible_mat!Q14=1),(VLOOKUP(P$1,test!$A$3:$I$32,8,FALSE))-(VLOOKUP($A45,test!$A$3:$I$32,9,FALSE))+test!$B$33,0)</f>
        <v>0</v>
      </c>
      <c r="Q45">
        <f>IF(AND(SUM(VLOOKUP($A45,test!$A$3:$F$32,2,FALSE),VLOOKUP(Q$1,test!$A$3:$F$32,2,FALSE))&lt;test!$K$16,$A45&lt;&gt;Q$1,Recharged_Feasible_mat!R14=1),(VLOOKUP(Q$1,test!$A$3:$I$32,8,FALSE))-(VLOOKUP($A45,test!$A$3:$I$32,9,FALSE))+test!$B$33,0)</f>
        <v>0</v>
      </c>
      <c r="R45">
        <f>IF(AND(SUM(VLOOKUP($A45,test!$A$3:$F$32,2,FALSE),VLOOKUP(R$1,test!$A$3:$F$32,2,FALSE))&lt;test!$K$16,$A45&lt;&gt;R$1,Recharged_Feasible_mat!S14=1),(VLOOKUP(R$1,test!$A$3:$I$32,8,FALSE))-(VLOOKUP($A45,test!$A$3:$I$32,9,FALSE))+test!$B$33,0)</f>
        <v>0</v>
      </c>
      <c r="S45">
        <f>IF(AND(SUM(VLOOKUP($A45,test!$A$3:$F$32,2,FALSE),VLOOKUP(S$1,test!$A$3:$F$32,2,FALSE))&lt;test!$K$16,$A45&lt;&gt;S$1,Recharged_Feasible_mat!T14=1),(VLOOKUP(S$1,test!$A$3:$I$32,8,FALSE))-(VLOOKUP($A45,test!$A$3:$I$32,9,FALSE))+test!$B$33,0)</f>
        <v>0</v>
      </c>
      <c r="T45">
        <f>IF(AND(SUM(VLOOKUP($A45,test!$A$3:$F$32,2,FALSE),VLOOKUP(T$1,test!$A$3:$F$32,2,FALSE))&lt;test!$K$16,$A45&lt;&gt;T$1,Recharged_Feasible_mat!U14=1),(VLOOKUP(T$1,test!$A$3:$I$32,8,FALSE))-(VLOOKUP($A45,test!$A$3:$I$32,9,FALSE))+test!$B$33,0)</f>
        <v>0</v>
      </c>
      <c r="U45">
        <f>IF(AND(SUM(VLOOKUP($A45,test!$A$3:$F$32,2,FALSE),VLOOKUP(U$1,test!$A$3:$F$32,2,FALSE))&lt;test!$K$16,$A45&lt;&gt;U$1,Recharged_Feasible_mat!V14=1),(VLOOKUP(U$1,test!$A$3:$I$32,8,FALSE))-(VLOOKUP($A45,test!$A$3:$I$32,9,FALSE))+test!$B$33,0)</f>
        <v>0</v>
      </c>
      <c r="V45">
        <f>IF(AND(SUM(VLOOKUP($A45,test!$A$3:$F$32,2,FALSE),VLOOKUP(V$1,test!$A$3:$F$32,2,FALSE))&lt;test!$K$16,$A45&lt;&gt;V$1,Recharged_Feasible_mat!W14=1),(VLOOKUP(V$1,test!$A$3:$I$32,8,FALSE))-(VLOOKUP($A45,test!$A$3:$I$32,9,FALSE))+test!$B$33,0)</f>
        <v>0</v>
      </c>
      <c r="W45">
        <f>IF(AND(SUM(VLOOKUP($A45,test!$A$3:$F$32,2,FALSE),VLOOKUP(W$1,test!$A$3:$F$32,2,FALSE))&lt;test!$K$16,$A45&lt;&gt;W$1,Recharged_Feasible_mat!X14=1),(VLOOKUP(W$1,test!$A$3:$I$32,8,FALSE))-(VLOOKUP($A45,test!$A$3:$I$32,9,FALSE))+test!$B$33,0)</f>
        <v>0</v>
      </c>
      <c r="X45">
        <f>IF(AND(SUM(VLOOKUP($A45,test!$A$3:$F$32,2,FALSE),VLOOKUP(X$1,test!$A$3:$F$32,2,FALSE))&lt;test!$K$16,$A45&lt;&gt;X$1,Recharged_Feasible_mat!Y14=1),(VLOOKUP(X$1,test!$A$3:$I$32,8,FALSE))-(VLOOKUP($A45,test!$A$3:$I$32,9,FALSE))+test!$B$33,0)</f>
        <v>0</v>
      </c>
      <c r="Y45">
        <f>IF(AND(SUM(VLOOKUP($A45,test!$A$3:$F$32,2,FALSE),VLOOKUP(Y$1,test!$A$3:$F$32,2,FALSE))&lt;test!$K$16,$A45&lt;&gt;Y$1,Recharged_Feasible_mat!Z14=1),(VLOOKUP(Y$1,test!$A$3:$I$32,8,FALSE))-(VLOOKUP($A45,test!$A$3:$I$32,9,FALSE))+test!$B$33,0)</f>
        <v>0</v>
      </c>
      <c r="Z45">
        <f>IF(AND(SUM(VLOOKUP($A45,test!$A$3:$F$32,2,FALSE),VLOOKUP(Z$1,test!$A$3:$F$32,2,FALSE))&lt;test!$K$16,$A45&lt;&gt;Z$1,Recharged_Feasible_mat!AA14=1),(VLOOKUP(Z$1,test!$A$3:$I$32,8,FALSE))-(VLOOKUP($A45,test!$A$3:$I$32,9,FALSE))+test!$B$33,0)</f>
        <v>0</v>
      </c>
      <c r="AA45">
        <f>IF(AND(SUM(VLOOKUP($A45,test!$A$3:$F$32,2,FALSE),VLOOKUP(AA$1,test!$A$3:$F$32,2,FALSE))&lt;test!$K$16,$A45&lt;&gt;AA$1,Recharged_Feasible_mat!AB14=1),(VLOOKUP(AA$1,test!$A$3:$I$32,8,FALSE))-(VLOOKUP($A45,test!$A$3:$I$32,9,FALSE))+test!$B$33,0)</f>
        <v>0</v>
      </c>
      <c r="AB45">
        <f>IF(AND(SUM(VLOOKUP($A45,test!$A$3:$F$32,2,FALSE),VLOOKUP(AB$1,test!$A$3:$F$32,2,FALSE))&lt;test!$K$16,$A45&lt;&gt;AB$1,Recharged_Feasible_mat!AC14=1),(VLOOKUP(AB$1,test!$A$3:$I$32,8,FALSE))-(VLOOKUP($A45,test!$A$3:$I$32,9,FALSE))+test!$B$33,0)</f>
        <v>0</v>
      </c>
      <c r="AC45">
        <f>IF(AND(SUM(VLOOKUP($A45,test!$A$3:$F$32,2,FALSE),VLOOKUP(AC$1,test!$A$3:$F$32,2,FALSE))&lt;test!$K$16,$A45&lt;&gt;AC$1,Recharged_Feasible_mat!AD14=1),(VLOOKUP(AC$1,test!$A$3:$I$32,8,FALSE))-(VLOOKUP($A45,test!$A$3:$I$32,9,FALSE))+test!$B$33,0)</f>
        <v>0</v>
      </c>
      <c r="AD45">
        <f>IF(AND(SUM(VLOOKUP($A45,test!$A$3:$F$32,2,FALSE),VLOOKUP(AD$1,test!$A$3:$F$32,2,FALSE))&lt;test!$K$16,$A45&lt;&gt;AD$1,Recharged_Feasible_mat!AE14=1),(VLOOKUP(AD$1,test!$A$3:$I$32,8,FALSE))-(VLOOKUP($A45,test!$A$3:$I$32,9,FALSE))+test!$B$33,0)</f>
        <v>0</v>
      </c>
      <c r="AE45">
        <f>IF(AND(SUM(VLOOKUP($A45,test!$A$3:$F$32,2,FALSE),VLOOKUP(AE$1,test!$A$3:$F$32,2,FALSE))&lt;test!$K$16,$A45&lt;&gt;AE$1,Recharged_Feasible_mat!AF14=1),(VLOOKUP(AE$1,test!$A$3:$I$32,8,FALSE))-(VLOOKUP($A45,test!$A$3:$I$32,9,FALSE))+test!$B$33,0)</f>
        <v>0</v>
      </c>
      <c r="AF45">
        <f>IF(AND(SUM(VLOOKUP($A45,test!$A$3:$F$32,2,FALSE),VLOOKUP(AF$1,test!$A$3:$F$32,2,FALSE))&lt;test!$K$16,$A45&lt;&gt;AF$1,Recharged_Feasible_mat!AG14=1),(VLOOKUP(AF$1,test!$A$3:$I$32,8,FALSE))-(VLOOKUP($A45,test!$A$3:$I$32,9,FALSE))+test!$B$33,0)</f>
        <v>0</v>
      </c>
    </row>
    <row r="46" spans="1:32" x14ac:dyDescent="0.25">
      <c r="A46" t="s">
        <v>23</v>
      </c>
      <c r="B46">
        <v>0</v>
      </c>
      <c r="C46">
        <f>IF(AND(SUM(VLOOKUP($A46,test!$A$3:$F$32,2,FALSE),VLOOKUP(C$1,test!$A$3:$F$32,2,FALSE))&lt;test!$K$16,$A46&lt;&gt;C$1,feasible_mat!C46=1),(VLOOKUP(C$1,test!$A$3:$I$32,8,FALSE))-(VLOOKUP($A46,test!$A$3:$I$32,9,FALSE))+test!$B$33,0)</f>
        <v>0</v>
      </c>
      <c r="D46">
        <f>IF(AND(SUM(VLOOKUP($A46,test!$A$3:$F$32,2,FALSE),VLOOKUP(D$1,test!$A$3:$F$32,2,FALSE))&lt;test!$K$16,$A46&lt;&gt;D$1,Recharged_Feasible_mat!E15=1),(VLOOKUP(D$1,test!$A$3:$I$32,8,FALSE))-(VLOOKUP($A46,test!$A$3:$I$32,9,FALSE))+test!$B$33,0)</f>
        <v>0</v>
      </c>
      <c r="E46">
        <f>IF(AND(SUM(VLOOKUP($A46,test!$A$3:$F$32,2,FALSE),VLOOKUP(E$1,test!$A$3:$F$32,2,FALSE))&lt;test!$K$16,$A46&lt;&gt;E$1,Recharged_Feasible_mat!F15=1),(VLOOKUP(E$1,test!$A$3:$I$32,8,FALSE))-(VLOOKUP($A46,test!$A$3:$I$32,9,FALSE))+test!$B$33,0)</f>
        <v>0</v>
      </c>
      <c r="F46">
        <f>IF(AND(SUM(VLOOKUP($A46,test!$A$3:$F$32,2,FALSE),VLOOKUP(F$1,test!$A$3:$F$32,2,FALSE))&lt;test!$K$16,$A46&lt;&gt;F$1,Recharged_Feasible_mat!G15=1),(VLOOKUP(F$1,test!$A$3:$I$32,8,FALSE))-(VLOOKUP($A46,test!$A$3:$I$32,9,FALSE))+test!$B$33,0)</f>
        <v>0</v>
      </c>
      <c r="G46">
        <f>IF(AND(SUM(VLOOKUP($A46,test!$A$3:$F$32,2,FALSE),VLOOKUP(G$1,test!$A$3:$F$32,2,FALSE))&lt;test!$K$16,$A46&lt;&gt;G$1,Recharged_Feasible_mat!H15=1),(VLOOKUP(G$1,test!$A$3:$I$32,8,FALSE))-(VLOOKUP($A46,test!$A$3:$I$32,9,FALSE))+test!$B$33,0)</f>
        <v>0</v>
      </c>
      <c r="H46">
        <f>IF(AND(SUM(VLOOKUP($A46,test!$A$3:$F$32,2,FALSE),VLOOKUP(H$1,test!$A$3:$F$32,2,FALSE))&lt;test!$K$16,$A46&lt;&gt;H$1,Recharged_Feasible_mat!I15=1),(VLOOKUP(H$1,test!$A$3:$I$32,8,FALSE))-(VLOOKUP($A46,test!$A$3:$I$32,9,FALSE))+test!$B$33,0)</f>
        <v>0</v>
      </c>
      <c r="I46">
        <f>IF(AND(SUM(VLOOKUP($A46,test!$A$3:$F$32,2,FALSE),VLOOKUP(I$1,test!$A$3:$F$32,2,FALSE))&lt;test!$K$16,$A46&lt;&gt;I$1,Recharged_Feasible_mat!J15=1),(VLOOKUP(I$1,test!$A$3:$I$32,8,FALSE))-(VLOOKUP($A46,test!$A$3:$I$32,9,FALSE))+test!$B$33,0)</f>
        <v>0</v>
      </c>
      <c r="J46">
        <f>IF(AND(SUM(VLOOKUP($A46,test!$A$3:$F$32,2,FALSE),VLOOKUP(J$1,test!$A$3:$F$32,2,FALSE))&lt;test!$K$16,$A46&lt;&gt;J$1,Recharged_Feasible_mat!K15=1),(VLOOKUP(J$1,test!$A$3:$I$32,8,FALSE))-(VLOOKUP($A46,test!$A$3:$I$32,9,FALSE))+test!$B$33,0)</f>
        <v>0</v>
      </c>
      <c r="K46">
        <f>IF(AND(SUM(VLOOKUP($A46,test!$A$3:$F$32,2,FALSE),VLOOKUP(K$1,test!$A$3:$F$32,2,FALSE))&lt;test!$K$16,$A46&lt;&gt;K$1,Recharged_Feasible_mat!L15=1),(VLOOKUP(K$1,test!$A$3:$I$32,8,FALSE))-(VLOOKUP($A46,test!$A$3:$I$32,9,FALSE))+test!$B$33,0)</f>
        <v>0</v>
      </c>
      <c r="L46">
        <f>IF(AND(SUM(VLOOKUP($A46,test!$A$3:$F$32,2,FALSE),VLOOKUP(L$1,test!$A$3:$F$32,2,FALSE))&lt;test!$K$16,$A46&lt;&gt;L$1,Recharged_Feasible_mat!M15=1),(VLOOKUP(L$1,test!$A$3:$I$32,8,FALSE))-(VLOOKUP($A46,test!$A$3:$I$32,9,FALSE))+test!$B$33,0)</f>
        <v>0</v>
      </c>
      <c r="M46">
        <f>IF(AND(SUM(VLOOKUP($A46,test!$A$3:$F$32,2,FALSE),VLOOKUP(M$1,test!$A$3:$F$32,2,FALSE))&lt;test!$K$16,$A46&lt;&gt;M$1,Recharged_Feasible_mat!N15=1),(VLOOKUP(M$1,test!$A$3:$I$32,8,FALSE))-(VLOOKUP($A46,test!$A$3:$I$32,9,FALSE))+test!$B$33,0)</f>
        <v>0</v>
      </c>
      <c r="N46">
        <f>IF(AND(SUM(VLOOKUP($A46,test!$A$3:$F$32,2,FALSE),VLOOKUP(N$1,test!$A$3:$F$32,2,FALSE))&lt;test!$K$16,$A46&lt;&gt;N$1,Recharged_Feasible_mat!O15=1),(VLOOKUP(N$1,test!$A$3:$I$32,8,FALSE))-(VLOOKUP($A46,test!$A$3:$I$32,9,FALSE))+test!$B$33,0)</f>
        <v>0</v>
      </c>
      <c r="O46">
        <f>IF(AND(SUM(VLOOKUP($A46,test!$A$3:$F$32,2,FALSE),VLOOKUP(O$1,test!$A$3:$F$32,2,FALSE))&lt;test!$K$16,$A46&lt;&gt;O$1,Recharged_Feasible_mat!P15=1),(VLOOKUP(O$1,test!$A$3:$I$32,8,FALSE))-(VLOOKUP($A46,test!$A$3:$I$32,9,FALSE))+test!$B$33,0)</f>
        <v>0</v>
      </c>
      <c r="P46">
        <f>IF(AND(SUM(VLOOKUP($A46,test!$A$3:$F$32,2,FALSE),VLOOKUP(P$1,test!$A$3:$F$32,2,FALSE))&lt;test!$K$16,$A46&lt;&gt;P$1,Recharged_Feasible_mat!Q15=1),(VLOOKUP(P$1,test!$A$3:$I$32,8,FALSE))-(VLOOKUP($A46,test!$A$3:$I$32,9,FALSE))+test!$B$33,0)</f>
        <v>0</v>
      </c>
      <c r="Q46">
        <f>IF(AND(SUM(VLOOKUP($A46,test!$A$3:$F$32,2,FALSE),VLOOKUP(Q$1,test!$A$3:$F$32,2,FALSE))&lt;test!$K$16,$A46&lt;&gt;Q$1,Recharged_Feasible_mat!R15=1),(VLOOKUP(Q$1,test!$A$3:$I$32,8,FALSE))-(VLOOKUP($A46,test!$A$3:$I$32,9,FALSE))+test!$B$33,0)</f>
        <v>0</v>
      </c>
      <c r="R46">
        <f>IF(AND(SUM(VLOOKUP($A46,test!$A$3:$F$32,2,FALSE),VLOOKUP(R$1,test!$A$3:$F$32,2,FALSE))&lt;test!$K$16,$A46&lt;&gt;R$1,Recharged_Feasible_mat!S15=1),(VLOOKUP(R$1,test!$A$3:$I$32,8,FALSE))-(VLOOKUP($A46,test!$A$3:$I$32,9,FALSE))+test!$B$33,0)</f>
        <v>0</v>
      </c>
      <c r="S46">
        <f>IF(AND(SUM(VLOOKUP($A46,test!$A$3:$F$32,2,FALSE),VLOOKUP(S$1,test!$A$3:$F$32,2,FALSE))&lt;test!$K$16,$A46&lt;&gt;S$1,Recharged_Feasible_mat!T15=1),(VLOOKUP(S$1,test!$A$3:$I$32,8,FALSE))-(VLOOKUP($A46,test!$A$3:$I$32,9,FALSE))+test!$B$33,0)</f>
        <v>0</v>
      </c>
      <c r="T46">
        <f>IF(AND(SUM(VLOOKUP($A46,test!$A$3:$F$32,2,FALSE),VLOOKUP(T$1,test!$A$3:$F$32,2,FALSE))&lt;test!$K$16,$A46&lt;&gt;T$1,Recharged_Feasible_mat!U15=1),(VLOOKUP(T$1,test!$A$3:$I$32,8,FALSE))-(VLOOKUP($A46,test!$A$3:$I$32,9,FALSE))+test!$B$33,0)</f>
        <v>0</v>
      </c>
      <c r="U46">
        <f>IF(AND(SUM(VLOOKUP($A46,test!$A$3:$F$32,2,FALSE),VLOOKUP(U$1,test!$A$3:$F$32,2,FALSE))&lt;test!$K$16,$A46&lt;&gt;U$1,Recharged_Feasible_mat!V15=1),(VLOOKUP(U$1,test!$A$3:$I$32,8,FALSE))-(VLOOKUP($A46,test!$A$3:$I$32,9,FALSE))+test!$B$33,0)</f>
        <v>0</v>
      </c>
      <c r="V46">
        <f>IF(AND(SUM(VLOOKUP($A46,test!$A$3:$F$32,2,FALSE),VLOOKUP(V$1,test!$A$3:$F$32,2,FALSE))&lt;test!$K$16,$A46&lt;&gt;V$1,Recharged_Feasible_mat!W15=1),(VLOOKUP(V$1,test!$A$3:$I$32,8,FALSE))-(VLOOKUP($A46,test!$A$3:$I$32,9,FALSE))+test!$B$33,0)</f>
        <v>0</v>
      </c>
      <c r="W46">
        <f>IF(AND(SUM(VLOOKUP($A46,test!$A$3:$F$32,2,FALSE),VLOOKUP(W$1,test!$A$3:$F$32,2,FALSE))&lt;test!$K$16,$A46&lt;&gt;W$1,Recharged_Feasible_mat!X15=1),(VLOOKUP(W$1,test!$A$3:$I$32,8,FALSE))-(VLOOKUP($A46,test!$A$3:$I$32,9,FALSE))+test!$B$33,0)</f>
        <v>0</v>
      </c>
      <c r="X46">
        <f>IF(AND(SUM(VLOOKUP($A46,test!$A$3:$F$32,2,FALSE),VLOOKUP(X$1,test!$A$3:$F$32,2,FALSE))&lt;test!$K$16,$A46&lt;&gt;X$1,Recharged_Feasible_mat!Y15=1),(VLOOKUP(X$1,test!$A$3:$I$32,8,FALSE))-(VLOOKUP($A46,test!$A$3:$I$32,9,FALSE))+test!$B$33,0)</f>
        <v>0</v>
      </c>
      <c r="Y46">
        <f>IF(AND(SUM(VLOOKUP($A46,test!$A$3:$F$32,2,FALSE),VLOOKUP(Y$1,test!$A$3:$F$32,2,FALSE))&lt;test!$K$16,$A46&lt;&gt;Y$1,Recharged_Feasible_mat!Z15=1),(VLOOKUP(Y$1,test!$A$3:$I$32,8,FALSE))-(VLOOKUP($A46,test!$A$3:$I$32,9,FALSE))+test!$B$33,0)</f>
        <v>0</v>
      </c>
      <c r="Z46">
        <f>IF(AND(SUM(VLOOKUP($A46,test!$A$3:$F$32,2,FALSE),VLOOKUP(Z$1,test!$A$3:$F$32,2,FALSE))&lt;test!$K$16,$A46&lt;&gt;Z$1,Recharged_Feasible_mat!AA15=1),(VLOOKUP(Z$1,test!$A$3:$I$32,8,FALSE))-(VLOOKUP($A46,test!$A$3:$I$32,9,FALSE))+test!$B$33,0)</f>
        <v>0</v>
      </c>
      <c r="AA46">
        <f>IF(AND(SUM(VLOOKUP($A46,test!$A$3:$F$32,2,FALSE),VLOOKUP(AA$1,test!$A$3:$F$32,2,FALSE))&lt;test!$K$16,$A46&lt;&gt;AA$1,Recharged_Feasible_mat!AB15=1),(VLOOKUP(AA$1,test!$A$3:$I$32,8,FALSE))-(VLOOKUP($A46,test!$A$3:$I$32,9,FALSE))+test!$B$33,0)</f>
        <v>0</v>
      </c>
      <c r="AB46">
        <f>IF(AND(SUM(VLOOKUP($A46,test!$A$3:$F$32,2,FALSE),VLOOKUP(AB$1,test!$A$3:$F$32,2,FALSE))&lt;test!$K$16,$A46&lt;&gt;AB$1,Recharged_Feasible_mat!AC15=1),(VLOOKUP(AB$1,test!$A$3:$I$32,8,FALSE))-(VLOOKUP($A46,test!$A$3:$I$32,9,FALSE))+test!$B$33,0)</f>
        <v>0</v>
      </c>
      <c r="AC46">
        <f>IF(AND(SUM(VLOOKUP($A46,test!$A$3:$F$32,2,FALSE),VLOOKUP(AC$1,test!$A$3:$F$32,2,FALSE))&lt;test!$K$16,$A46&lt;&gt;AC$1,Recharged_Feasible_mat!AD15=1),(VLOOKUP(AC$1,test!$A$3:$I$32,8,FALSE))-(VLOOKUP($A46,test!$A$3:$I$32,9,FALSE))+test!$B$33,0)</f>
        <v>0</v>
      </c>
      <c r="AD46">
        <f>IF(AND(SUM(VLOOKUP($A46,test!$A$3:$F$32,2,FALSE),VLOOKUP(AD$1,test!$A$3:$F$32,2,FALSE))&lt;test!$K$16,$A46&lt;&gt;AD$1,Recharged_Feasible_mat!AE15=1),(VLOOKUP(AD$1,test!$A$3:$I$32,8,FALSE))-(VLOOKUP($A46,test!$A$3:$I$32,9,FALSE))+test!$B$33,0)</f>
        <v>0</v>
      </c>
      <c r="AE46">
        <f>IF(AND(SUM(VLOOKUP($A46,test!$A$3:$F$32,2,FALSE),VLOOKUP(AE$1,test!$A$3:$F$32,2,FALSE))&lt;test!$K$16,$A46&lt;&gt;AE$1,Recharged_Feasible_mat!AF15=1),(VLOOKUP(AE$1,test!$A$3:$I$32,8,FALSE))-(VLOOKUP($A46,test!$A$3:$I$32,9,FALSE))+test!$B$33,0)</f>
        <v>0</v>
      </c>
      <c r="AF46">
        <f>IF(AND(SUM(VLOOKUP($A46,test!$A$3:$F$32,2,FALSE),VLOOKUP(AF$1,test!$A$3:$F$32,2,FALSE))&lt;test!$K$16,$A46&lt;&gt;AF$1,Recharged_Feasible_mat!AG15=1),(VLOOKUP(AF$1,test!$A$3:$I$32,8,FALSE))-(VLOOKUP($A46,test!$A$3:$I$32,9,FALSE))+test!$B$33,0)</f>
        <v>0</v>
      </c>
    </row>
    <row r="47" spans="1:32" x14ac:dyDescent="0.25">
      <c r="A47" t="s">
        <v>24</v>
      </c>
      <c r="B47">
        <v>0</v>
      </c>
      <c r="C47">
        <f>IF(AND(SUM(VLOOKUP($A47,test!$A$3:$F$32,2,FALSE),VLOOKUP(C$1,test!$A$3:$F$32,2,FALSE))&lt;test!$K$16,$A47&lt;&gt;C$1,feasible_mat!C47=1),(VLOOKUP(C$1,test!$A$3:$I$32,8,FALSE))-(VLOOKUP($A47,test!$A$3:$I$32,9,FALSE))+test!$B$33,0)</f>
        <v>0</v>
      </c>
      <c r="D47">
        <f>IF(AND(SUM(VLOOKUP($A47,test!$A$3:$F$32,2,FALSE),VLOOKUP(D$1,test!$A$3:$F$32,2,FALSE))&lt;test!$K$16,$A47&lt;&gt;D$1,Recharged_Feasible_mat!E16=1),(VLOOKUP(D$1,test!$A$3:$I$32,8,FALSE))-(VLOOKUP($A47,test!$A$3:$I$32,9,FALSE))+test!$B$33,0)</f>
        <v>0</v>
      </c>
      <c r="E47">
        <f>IF(AND(SUM(VLOOKUP($A47,test!$A$3:$F$32,2,FALSE),VLOOKUP(E$1,test!$A$3:$F$32,2,FALSE))&lt;test!$K$16,$A47&lt;&gt;E$1,Recharged_Feasible_mat!F16=1),(VLOOKUP(E$1,test!$A$3:$I$32,8,FALSE))-(VLOOKUP($A47,test!$A$3:$I$32,9,FALSE))+test!$B$33,0)</f>
        <v>0</v>
      </c>
      <c r="F47">
        <f>IF(AND(SUM(VLOOKUP($A47,test!$A$3:$F$32,2,FALSE),VLOOKUP(F$1,test!$A$3:$F$32,2,FALSE))&lt;test!$K$16,$A47&lt;&gt;F$1,Recharged_Feasible_mat!G16=1),(VLOOKUP(F$1,test!$A$3:$I$32,8,FALSE))-(VLOOKUP($A47,test!$A$3:$I$32,9,FALSE))+test!$B$33,0)</f>
        <v>200</v>
      </c>
      <c r="G47">
        <f>IF(AND(SUM(VLOOKUP($A47,test!$A$3:$F$32,2,FALSE),VLOOKUP(G$1,test!$A$3:$F$32,2,FALSE))&lt;test!$K$16,$A47&lt;&gt;G$1,Recharged_Feasible_mat!H16=1),(VLOOKUP(G$1,test!$A$3:$I$32,8,FALSE))-(VLOOKUP($A47,test!$A$3:$I$32,9,FALSE))+test!$B$33,0)</f>
        <v>260</v>
      </c>
      <c r="H47">
        <f>IF(AND(SUM(VLOOKUP($A47,test!$A$3:$F$32,2,FALSE),VLOOKUP(H$1,test!$A$3:$F$32,2,FALSE))&lt;test!$K$16,$A47&lt;&gt;H$1,Recharged_Feasible_mat!I16=1),(VLOOKUP(H$1,test!$A$3:$I$32,8,FALSE))-(VLOOKUP($A47,test!$A$3:$I$32,9,FALSE))+test!$B$33,0)</f>
        <v>320</v>
      </c>
      <c r="I47">
        <f>IF(AND(SUM(VLOOKUP($A47,test!$A$3:$F$32,2,FALSE),VLOOKUP(I$1,test!$A$3:$F$32,2,FALSE))&lt;test!$K$16,$A47&lt;&gt;I$1,Recharged_Feasible_mat!J16=1),(VLOOKUP(I$1,test!$A$3:$I$32,8,FALSE))-(VLOOKUP($A47,test!$A$3:$I$32,9,FALSE))+test!$B$33,0)</f>
        <v>380</v>
      </c>
      <c r="J47">
        <f>IF(AND(SUM(VLOOKUP($A47,test!$A$3:$F$32,2,FALSE),VLOOKUP(J$1,test!$A$3:$F$32,2,FALSE))&lt;test!$K$16,$A47&lt;&gt;J$1,Recharged_Feasible_mat!K16=1),(VLOOKUP(J$1,test!$A$3:$I$32,8,FALSE))-(VLOOKUP($A47,test!$A$3:$I$32,9,FALSE))+test!$B$33,0)</f>
        <v>470</v>
      </c>
      <c r="K47">
        <f>IF(AND(SUM(VLOOKUP($A47,test!$A$3:$F$32,2,FALSE),VLOOKUP(K$1,test!$A$3:$F$32,2,FALSE))&lt;test!$K$16,$A47&lt;&gt;K$1,Recharged_Feasible_mat!L16=1),(VLOOKUP(K$1,test!$A$3:$I$32,8,FALSE))-(VLOOKUP($A47,test!$A$3:$I$32,9,FALSE))+test!$B$33,0)</f>
        <v>0</v>
      </c>
      <c r="L47">
        <f>IF(AND(SUM(VLOOKUP($A47,test!$A$3:$F$32,2,FALSE),VLOOKUP(L$1,test!$A$3:$F$32,2,FALSE))&lt;test!$K$16,$A47&lt;&gt;L$1,Recharged_Feasible_mat!M16=1),(VLOOKUP(L$1,test!$A$3:$I$32,8,FALSE))-(VLOOKUP($A47,test!$A$3:$I$32,9,FALSE))+test!$B$33,0)</f>
        <v>0</v>
      </c>
      <c r="M47">
        <f>IF(AND(SUM(VLOOKUP($A47,test!$A$3:$F$32,2,FALSE),VLOOKUP(M$1,test!$A$3:$F$32,2,FALSE))&lt;test!$K$16,$A47&lt;&gt;M$1,Recharged_Feasible_mat!N16=1),(VLOOKUP(M$1,test!$A$3:$I$32,8,FALSE))-(VLOOKUP($A47,test!$A$3:$I$32,9,FALSE))+test!$B$33,0)</f>
        <v>0</v>
      </c>
      <c r="N47">
        <f>IF(AND(SUM(VLOOKUP($A47,test!$A$3:$F$32,2,FALSE),VLOOKUP(N$1,test!$A$3:$F$32,2,FALSE))&lt;test!$K$16,$A47&lt;&gt;N$1,Recharged_Feasible_mat!O16=1),(VLOOKUP(N$1,test!$A$3:$I$32,8,FALSE))-(VLOOKUP($A47,test!$A$3:$I$32,9,FALSE))+test!$B$33,0)</f>
        <v>0</v>
      </c>
      <c r="O47">
        <f>IF(AND(SUM(VLOOKUP($A47,test!$A$3:$F$32,2,FALSE),VLOOKUP(O$1,test!$A$3:$F$32,2,FALSE))&lt;test!$K$16,$A47&lt;&gt;O$1,Recharged_Feasible_mat!P16=1),(VLOOKUP(O$1,test!$A$3:$I$32,8,FALSE))-(VLOOKUP($A47,test!$A$3:$I$32,9,FALSE))+test!$B$33,0)</f>
        <v>0</v>
      </c>
      <c r="P47">
        <f>IF(AND(SUM(VLOOKUP($A47,test!$A$3:$F$32,2,FALSE),VLOOKUP(P$1,test!$A$3:$F$32,2,FALSE))&lt;test!$K$16,$A47&lt;&gt;P$1,Recharged_Feasible_mat!Q16=1),(VLOOKUP(P$1,test!$A$3:$I$32,8,FALSE))-(VLOOKUP($A47,test!$A$3:$I$32,9,FALSE))+test!$B$33,0)</f>
        <v>0</v>
      </c>
      <c r="Q47">
        <f>IF(AND(SUM(VLOOKUP($A47,test!$A$3:$F$32,2,FALSE),VLOOKUP(Q$1,test!$A$3:$F$32,2,FALSE))&lt;test!$K$16,$A47&lt;&gt;Q$1,Recharged_Feasible_mat!R16=1),(VLOOKUP(Q$1,test!$A$3:$I$32,8,FALSE))-(VLOOKUP($A47,test!$A$3:$I$32,9,FALSE))+test!$B$33,0)</f>
        <v>0</v>
      </c>
      <c r="R47">
        <f>IF(AND(SUM(VLOOKUP($A47,test!$A$3:$F$32,2,FALSE),VLOOKUP(R$1,test!$A$3:$F$32,2,FALSE))&lt;test!$K$16,$A47&lt;&gt;R$1,Recharged_Feasible_mat!S16=1),(VLOOKUP(R$1,test!$A$3:$I$32,8,FALSE))-(VLOOKUP($A47,test!$A$3:$I$32,9,FALSE))+test!$B$33,0)</f>
        <v>0</v>
      </c>
      <c r="S47">
        <f>IF(AND(SUM(VLOOKUP($A47,test!$A$3:$F$32,2,FALSE),VLOOKUP(S$1,test!$A$3:$F$32,2,FALSE))&lt;test!$K$16,$A47&lt;&gt;S$1,Recharged_Feasible_mat!T16=1),(VLOOKUP(S$1,test!$A$3:$I$32,8,FALSE))-(VLOOKUP($A47,test!$A$3:$I$32,9,FALSE))+test!$B$33,0)</f>
        <v>0</v>
      </c>
      <c r="T47">
        <f>IF(AND(SUM(VLOOKUP($A47,test!$A$3:$F$32,2,FALSE),VLOOKUP(T$1,test!$A$3:$F$32,2,FALSE))&lt;test!$K$16,$A47&lt;&gt;T$1,Recharged_Feasible_mat!U16=1),(VLOOKUP(T$1,test!$A$3:$I$32,8,FALSE))-(VLOOKUP($A47,test!$A$3:$I$32,9,FALSE))+test!$B$33,0)</f>
        <v>0</v>
      </c>
      <c r="U47">
        <f>IF(AND(SUM(VLOOKUP($A47,test!$A$3:$F$32,2,FALSE),VLOOKUP(U$1,test!$A$3:$F$32,2,FALSE))&lt;test!$K$16,$A47&lt;&gt;U$1,Recharged_Feasible_mat!V16=1),(VLOOKUP(U$1,test!$A$3:$I$32,8,FALSE))-(VLOOKUP($A47,test!$A$3:$I$32,9,FALSE))+test!$B$33,0)</f>
        <v>180</v>
      </c>
      <c r="V47">
        <f>IF(AND(SUM(VLOOKUP($A47,test!$A$3:$F$32,2,FALSE),VLOOKUP(V$1,test!$A$3:$F$32,2,FALSE))&lt;test!$K$16,$A47&lt;&gt;V$1,Recharged_Feasible_mat!W16=1),(VLOOKUP(V$1,test!$A$3:$I$32,8,FALSE))-(VLOOKUP($A47,test!$A$3:$I$32,9,FALSE))+test!$B$33,0)</f>
        <v>270</v>
      </c>
      <c r="W47">
        <f>IF(AND(SUM(VLOOKUP($A47,test!$A$3:$F$32,2,FALSE),VLOOKUP(W$1,test!$A$3:$F$32,2,FALSE))&lt;test!$K$16,$A47&lt;&gt;W$1,Recharged_Feasible_mat!X16=1),(VLOOKUP(W$1,test!$A$3:$I$32,8,FALSE))-(VLOOKUP($A47,test!$A$3:$I$32,9,FALSE))+test!$B$33,0)</f>
        <v>360</v>
      </c>
      <c r="X47">
        <f>IF(AND(SUM(VLOOKUP($A47,test!$A$3:$F$32,2,FALSE),VLOOKUP(X$1,test!$A$3:$F$32,2,FALSE))&lt;test!$K$16,$A47&lt;&gt;X$1,Recharged_Feasible_mat!Y16=1),(VLOOKUP(X$1,test!$A$3:$I$32,8,FALSE))-(VLOOKUP($A47,test!$A$3:$I$32,9,FALSE))+test!$B$33,0)</f>
        <v>420</v>
      </c>
      <c r="Y47">
        <f>IF(AND(SUM(VLOOKUP($A47,test!$A$3:$F$32,2,FALSE),VLOOKUP(Y$1,test!$A$3:$F$32,2,FALSE))&lt;test!$K$16,$A47&lt;&gt;Y$1,Recharged_Feasible_mat!Z16=1),(VLOOKUP(Y$1,test!$A$3:$I$32,8,FALSE))-(VLOOKUP($A47,test!$A$3:$I$32,9,FALSE))+test!$B$33,0)</f>
        <v>0</v>
      </c>
      <c r="Z47">
        <f>IF(AND(SUM(VLOOKUP($A47,test!$A$3:$F$32,2,FALSE),VLOOKUP(Z$1,test!$A$3:$F$32,2,FALSE))&lt;test!$K$16,$A47&lt;&gt;Z$1,Recharged_Feasible_mat!AA16=1),(VLOOKUP(Z$1,test!$A$3:$I$32,8,FALSE))-(VLOOKUP($A47,test!$A$3:$I$32,9,FALSE))+test!$B$33,0)</f>
        <v>0</v>
      </c>
      <c r="AA47">
        <f>IF(AND(SUM(VLOOKUP($A47,test!$A$3:$F$32,2,FALSE),VLOOKUP(AA$1,test!$A$3:$F$32,2,FALSE))&lt;test!$K$16,$A47&lt;&gt;AA$1,Recharged_Feasible_mat!AB16=1),(VLOOKUP(AA$1,test!$A$3:$I$32,8,FALSE))-(VLOOKUP($A47,test!$A$3:$I$32,9,FALSE))+test!$B$33,0)</f>
        <v>0</v>
      </c>
      <c r="AB47">
        <f>IF(AND(SUM(VLOOKUP($A47,test!$A$3:$F$32,2,FALSE),VLOOKUP(AB$1,test!$A$3:$F$32,2,FALSE))&lt;test!$K$16,$A47&lt;&gt;AB$1,Recharged_Feasible_mat!AC16=1),(VLOOKUP(AB$1,test!$A$3:$I$32,8,FALSE))-(VLOOKUP($A47,test!$A$3:$I$32,9,FALSE))+test!$B$33,0)</f>
        <v>0</v>
      </c>
      <c r="AC47">
        <f>IF(AND(SUM(VLOOKUP($A47,test!$A$3:$F$32,2,FALSE),VLOOKUP(AC$1,test!$A$3:$F$32,2,FALSE))&lt;test!$K$16,$A47&lt;&gt;AC$1,Recharged_Feasible_mat!AD16=1),(VLOOKUP(AC$1,test!$A$3:$I$32,8,FALSE))-(VLOOKUP($A47,test!$A$3:$I$32,9,FALSE))+test!$B$33,0)</f>
        <v>0</v>
      </c>
      <c r="AD47">
        <f>IF(AND(SUM(VLOOKUP($A47,test!$A$3:$F$32,2,FALSE),VLOOKUP(AD$1,test!$A$3:$F$32,2,FALSE))&lt;test!$K$16,$A47&lt;&gt;AD$1,Recharged_Feasible_mat!AE16=1),(VLOOKUP(AD$1,test!$A$3:$I$32,8,FALSE))-(VLOOKUP($A47,test!$A$3:$I$32,9,FALSE))+test!$B$33,0)</f>
        <v>0</v>
      </c>
      <c r="AE47">
        <f>IF(AND(SUM(VLOOKUP($A47,test!$A$3:$F$32,2,FALSE),VLOOKUP(AE$1,test!$A$3:$F$32,2,FALSE))&lt;test!$K$16,$A47&lt;&gt;AE$1,Recharged_Feasible_mat!AF16=1),(VLOOKUP(AE$1,test!$A$3:$I$32,8,FALSE))-(VLOOKUP($A47,test!$A$3:$I$32,9,FALSE))+test!$B$33,0)</f>
        <v>0</v>
      </c>
      <c r="AF47">
        <f>IF(AND(SUM(VLOOKUP($A47,test!$A$3:$F$32,2,FALSE),VLOOKUP(AF$1,test!$A$3:$F$32,2,FALSE))&lt;test!$K$16,$A47&lt;&gt;AF$1,Recharged_Feasible_mat!AG16=1),(VLOOKUP(AF$1,test!$A$3:$I$32,8,FALSE))-(VLOOKUP($A47,test!$A$3:$I$32,9,FALSE))+test!$B$33,0)</f>
        <v>0</v>
      </c>
    </row>
    <row r="48" spans="1:32" x14ac:dyDescent="0.25">
      <c r="A48" t="s">
        <v>26</v>
      </c>
      <c r="B48">
        <v>0</v>
      </c>
      <c r="C48">
        <f>IF(AND(SUM(VLOOKUP($A48,test!$A$3:$F$32,2,FALSE),VLOOKUP(C$1,test!$A$3:$F$32,2,FALSE))&lt;test!$K$16,$A48&lt;&gt;C$1,feasible_mat!C48=1),(VLOOKUP(C$1,test!$A$3:$I$32,8,FALSE))-(VLOOKUP($A48,test!$A$3:$I$32,9,FALSE))+test!$B$33,0)</f>
        <v>0</v>
      </c>
      <c r="D48">
        <f>IF(AND(SUM(VLOOKUP($A48,test!$A$3:$F$32,2,FALSE),VLOOKUP(D$1,test!$A$3:$F$32,2,FALSE))&lt;test!$K$16,$A48&lt;&gt;D$1,Recharged_Feasible_mat!E17=1),(VLOOKUP(D$1,test!$A$3:$I$32,8,FALSE))-(VLOOKUP($A48,test!$A$3:$I$32,9,FALSE))+test!$B$33,0)</f>
        <v>0</v>
      </c>
      <c r="E48">
        <f>IF(AND(SUM(VLOOKUP($A48,test!$A$3:$F$32,2,FALSE),VLOOKUP(E$1,test!$A$3:$F$32,2,FALSE))&lt;test!$K$16,$A48&lt;&gt;E$1,Recharged_Feasible_mat!F17=1),(VLOOKUP(E$1,test!$A$3:$I$32,8,FALSE))-(VLOOKUP($A48,test!$A$3:$I$32,9,FALSE))+test!$B$33,0)</f>
        <v>205</v>
      </c>
      <c r="F48">
        <f>IF(AND(SUM(VLOOKUP($A48,test!$A$3:$F$32,2,FALSE),VLOOKUP(F$1,test!$A$3:$F$32,2,FALSE))&lt;test!$K$16,$A48&lt;&gt;F$1,Recharged_Feasible_mat!G17=1),(VLOOKUP(F$1,test!$A$3:$I$32,8,FALSE))-(VLOOKUP($A48,test!$A$3:$I$32,9,FALSE))+test!$B$33,0)</f>
        <v>295</v>
      </c>
      <c r="G48">
        <f>IF(AND(SUM(VLOOKUP($A48,test!$A$3:$F$32,2,FALSE),VLOOKUP(G$1,test!$A$3:$F$32,2,FALSE))&lt;test!$K$16,$A48&lt;&gt;G$1,Recharged_Feasible_mat!H17=1),(VLOOKUP(G$1,test!$A$3:$I$32,8,FALSE))-(VLOOKUP($A48,test!$A$3:$I$32,9,FALSE))+test!$B$33,0)</f>
        <v>355</v>
      </c>
      <c r="H48">
        <f>IF(AND(SUM(VLOOKUP($A48,test!$A$3:$F$32,2,FALSE),VLOOKUP(H$1,test!$A$3:$F$32,2,FALSE))&lt;test!$K$16,$A48&lt;&gt;H$1,Recharged_Feasible_mat!I17=1),(VLOOKUP(H$1,test!$A$3:$I$32,8,FALSE))-(VLOOKUP($A48,test!$A$3:$I$32,9,FALSE))+test!$B$33,0)</f>
        <v>415</v>
      </c>
      <c r="I48">
        <f>IF(AND(SUM(VLOOKUP($A48,test!$A$3:$F$32,2,FALSE),VLOOKUP(I$1,test!$A$3:$F$32,2,FALSE))&lt;test!$K$16,$A48&lt;&gt;I$1,Recharged_Feasible_mat!J17=1),(VLOOKUP(I$1,test!$A$3:$I$32,8,FALSE))-(VLOOKUP($A48,test!$A$3:$I$32,9,FALSE))+test!$B$33,0)</f>
        <v>475</v>
      </c>
      <c r="J48">
        <f>IF(AND(SUM(VLOOKUP($A48,test!$A$3:$F$32,2,FALSE),VLOOKUP(J$1,test!$A$3:$F$32,2,FALSE))&lt;test!$K$16,$A48&lt;&gt;J$1,Recharged_Feasible_mat!K17=1),(VLOOKUP(J$1,test!$A$3:$I$32,8,FALSE))-(VLOOKUP($A48,test!$A$3:$I$32,9,FALSE))+test!$B$33,0)</f>
        <v>565</v>
      </c>
      <c r="K48">
        <f>IF(AND(SUM(VLOOKUP($A48,test!$A$3:$F$32,2,FALSE),VLOOKUP(K$1,test!$A$3:$F$32,2,FALSE))&lt;test!$K$16,$A48&lt;&gt;K$1,Recharged_Feasible_mat!L17=1),(VLOOKUP(K$1,test!$A$3:$I$32,8,FALSE))-(VLOOKUP($A48,test!$A$3:$I$32,9,FALSE))+test!$B$33,0)</f>
        <v>0</v>
      </c>
      <c r="L48">
        <f>IF(AND(SUM(VLOOKUP($A48,test!$A$3:$F$32,2,FALSE),VLOOKUP(L$1,test!$A$3:$F$32,2,FALSE))&lt;test!$K$16,$A48&lt;&gt;L$1,Recharged_Feasible_mat!M17=1),(VLOOKUP(L$1,test!$A$3:$I$32,8,FALSE))-(VLOOKUP($A48,test!$A$3:$I$32,9,FALSE))+test!$B$33,0)</f>
        <v>0</v>
      </c>
      <c r="M48">
        <f>IF(AND(SUM(VLOOKUP($A48,test!$A$3:$F$32,2,FALSE),VLOOKUP(M$1,test!$A$3:$F$32,2,FALSE))&lt;test!$K$16,$A48&lt;&gt;M$1,Recharged_Feasible_mat!N17=1),(VLOOKUP(M$1,test!$A$3:$I$32,8,FALSE))-(VLOOKUP($A48,test!$A$3:$I$32,9,FALSE))+test!$B$33,0)</f>
        <v>170</v>
      </c>
      <c r="N48">
        <f>IF(AND(SUM(VLOOKUP($A48,test!$A$3:$F$32,2,FALSE),VLOOKUP(N$1,test!$A$3:$F$32,2,FALSE))&lt;test!$K$16,$A48&lt;&gt;N$1,Recharged_Feasible_mat!O17=1),(VLOOKUP(N$1,test!$A$3:$I$32,8,FALSE))-(VLOOKUP($A48,test!$A$3:$I$32,9,FALSE))+test!$B$33,0)</f>
        <v>530</v>
      </c>
      <c r="O48">
        <f>IF(AND(SUM(VLOOKUP($A48,test!$A$3:$F$32,2,FALSE),VLOOKUP(O$1,test!$A$3:$F$32,2,FALSE))&lt;test!$K$16,$A48&lt;&gt;O$1,Recharged_Feasible_mat!P17=1),(VLOOKUP(O$1,test!$A$3:$I$32,8,FALSE))-(VLOOKUP($A48,test!$A$3:$I$32,9,FALSE))+test!$B$33,0)</f>
        <v>590</v>
      </c>
      <c r="P48">
        <f>IF(AND(SUM(VLOOKUP($A48,test!$A$3:$F$32,2,FALSE),VLOOKUP(P$1,test!$A$3:$F$32,2,FALSE))&lt;test!$K$16,$A48&lt;&gt;P$1,Recharged_Feasible_mat!Q17=1),(VLOOKUP(P$1,test!$A$3:$I$32,8,FALSE))-(VLOOKUP($A48,test!$A$3:$I$32,9,FALSE))+test!$B$33,0)</f>
        <v>0</v>
      </c>
      <c r="Q48">
        <f>IF(AND(SUM(VLOOKUP($A48,test!$A$3:$F$32,2,FALSE),VLOOKUP(Q$1,test!$A$3:$F$32,2,FALSE))&lt;test!$K$16,$A48&lt;&gt;Q$1,Recharged_Feasible_mat!R17=1),(VLOOKUP(Q$1,test!$A$3:$I$32,8,FALSE))-(VLOOKUP($A48,test!$A$3:$I$32,9,FALSE))+test!$B$33,0)</f>
        <v>0</v>
      </c>
      <c r="R48">
        <f>IF(AND(SUM(VLOOKUP($A48,test!$A$3:$F$32,2,FALSE),VLOOKUP(R$1,test!$A$3:$F$32,2,FALSE))&lt;test!$K$16,$A48&lt;&gt;R$1,Recharged_Feasible_mat!S17=1),(VLOOKUP(R$1,test!$A$3:$I$32,8,FALSE))-(VLOOKUP($A48,test!$A$3:$I$32,9,FALSE))+test!$B$33,0)</f>
        <v>0</v>
      </c>
      <c r="S48">
        <f>IF(AND(SUM(VLOOKUP($A48,test!$A$3:$F$32,2,FALSE),VLOOKUP(S$1,test!$A$3:$F$32,2,FALSE))&lt;test!$K$16,$A48&lt;&gt;S$1,Recharged_Feasible_mat!T17=1),(VLOOKUP(S$1,test!$A$3:$I$32,8,FALSE))-(VLOOKUP($A48,test!$A$3:$I$32,9,FALSE))+test!$B$33,0)</f>
        <v>0</v>
      </c>
      <c r="T48">
        <f>IF(AND(SUM(VLOOKUP($A48,test!$A$3:$F$32,2,FALSE),VLOOKUP(T$1,test!$A$3:$F$32,2,FALSE))&lt;test!$K$16,$A48&lt;&gt;T$1,Recharged_Feasible_mat!U17=1),(VLOOKUP(T$1,test!$A$3:$I$32,8,FALSE))-(VLOOKUP($A48,test!$A$3:$I$32,9,FALSE))+test!$B$33,0)</f>
        <v>185</v>
      </c>
      <c r="U48">
        <f>IF(AND(SUM(VLOOKUP($A48,test!$A$3:$F$32,2,FALSE),VLOOKUP(U$1,test!$A$3:$F$32,2,FALSE))&lt;test!$K$16,$A48&lt;&gt;U$1,Recharged_Feasible_mat!V17=1),(VLOOKUP(U$1,test!$A$3:$I$32,8,FALSE))-(VLOOKUP($A48,test!$A$3:$I$32,9,FALSE))+test!$B$33,0)</f>
        <v>275</v>
      </c>
      <c r="V48">
        <f>IF(AND(SUM(VLOOKUP($A48,test!$A$3:$F$32,2,FALSE),VLOOKUP(V$1,test!$A$3:$F$32,2,FALSE))&lt;test!$K$16,$A48&lt;&gt;V$1,Recharged_Feasible_mat!W17=1),(VLOOKUP(V$1,test!$A$3:$I$32,8,FALSE))-(VLOOKUP($A48,test!$A$3:$I$32,9,FALSE))+test!$B$33,0)</f>
        <v>365</v>
      </c>
      <c r="W48">
        <f>IF(AND(SUM(VLOOKUP($A48,test!$A$3:$F$32,2,FALSE),VLOOKUP(W$1,test!$A$3:$F$32,2,FALSE))&lt;test!$K$16,$A48&lt;&gt;W$1,Recharged_Feasible_mat!X17=1),(VLOOKUP(W$1,test!$A$3:$I$32,8,FALSE))-(VLOOKUP($A48,test!$A$3:$I$32,9,FALSE))+test!$B$33,0)</f>
        <v>455</v>
      </c>
      <c r="X48">
        <f>IF(AND(SUM(VLOOKUP($A48,test!$A$3:$F$32,2,FALSE),VLOOKUP(X$1,test!$A$3:$F$32,2,FALSE))&lt;test!$K$16,$A48&lt;&gt;X$1,Recharged_Feasible_mat!Y17=1),(VLOOKUP(X$1,test!$A$3:$I$32,8,FALSE))-(VLOOKUP($A48,test!$A$3:$I$32,9,FALSE))+test!$B$33,0)</f>
        <v>515</v>
      </c>
      <c r="Y48">
        <f>IF(AND(SUM(VLOOKUP($A48,test!$A$3:$F$32,2,FALSE),VLOOKUP(Y$1,test!$A$3:$F$32,2,FALSE))&lt;test!$K$16,$A48&lt;&gt;Y$1,Recharged_Feasible_mat!Z17=1),(VLOOKUP(Y$1,test!$A$3:$I$32,8,FALSE))-(VLOOKUP($A48,test!$A$3:$I$32,9,FALSE))+test!$B$33,0)</f>
        <v>0</v>
      </c>
      <c r="Z48">
        <f>IF(AND(SUM(VLOOKUP($A48,test!$A$3:$F$32,2,FALSE),VLOOKUP(Z$1,test!$A$3:$F$32,2,FALSE))&lt;test!$K$16,$A48&lt;&gt;Z$1,Recharged_Feasible_mat!AA17=1),(VLOOKUP(Z$1,test!$A$3:$I$32,8,FALSE))-(VLOOKUP($A48,test!$A$3:$I$32,9,FALSE))+test!$B$33,0)</f>
        <v>0</v>
      </c>
      <c r="AA48">
        <f>IF(AND(SUM(VLOOKUP($A48,test!$A$3:$F$32,2,FALSE),VLOOKUP(AA$1,test!$A$3:$F$32,2,FALSE))&lt;test!$K$16,$A48&lt;&gt;AA$1,Recharged_Feasible_mat!AB17=1),(VLOOKUP(AA$1,test!$A$3:$I$32,8,FALSE))-(VLOOKUP($A48,test!$A$3:$I$32,9,FALSE))+test!$B$33,0)</f>
        <v>235</v>
      </c>
      <c r="AB48">
        <f>IF(AND(SUM(VLOOKUP($A48,test!$A$3:$F$32,2,FALSE),VLOOKUP(AB$1,test!$A$3:$F$32,2,FALSE))&lt;test!$K$16,$A48&lt;&gt;AB$1,Recharged_Feasible_mat!AC17=1),(VLOOKUP(AB$1,test!$A$3:$I$32,8,FALSE))-(VLOOKUP($A48,test!$A$3:$I$32,9,FALSE))+test!$B$33,0)</f>
        <v>295</v>
      </c>
      <c r="AC48">
        <f>IF(AND(SUM(VLOOKUP($A48,test!$A$3:$F$32,2,FALSE),VLOOKUP(AC$1,test!$A$3:$F$32,2,FALSE))&lt;test!$K$16,$A48&lt;&gt;AC$1,Recharged_Feasible_mat!AD17=1),(VLOOKUP(AC$1,test!$A$3:$I$32,8,FALSE))-(VLOOKUP($A48,test!$A$3:$I$32,9,FALSE))+test!$B$33,0)</f>
        <v>415</v>
      </c>
      <c r="AD48">
        <f>IF(AND(SUM(VLOOKUP($A48,test!$A$3:$F$32,2,FALSE),VLOOKUP(AD$1,test!$A$3:$F$32,2,FALSE))&lt;test!$K$16,$A48&lt;&gt;AD$1,Recharged_Feasible_mat!AE17=1),(VLOOKUP(AD$1,test!$A$3:$I$32,8,FALSE))-(VLOOKUP($A48,test!$A$3:$I$32,9,FALSE))+test!$B$33,0)</f>
        <v>0</v>
      </c>
      <c r="AE48">
        <f>IF(AND(SUM(VLOOKUP($A48,test!$A$3:$F$32,2,FALSE),VLOOKUP(AE$1,test!$A$3:$F$32,2,FALSE))&lt;test!$K$16,$A48&lt;&gt;AE$1,Recharged_Feasible_mat!AF17=1),(VLOOKUP(AE$1,test!$A$3:$I$32,8,FALSE))-(VLOOKUP($A48,test!$A$3:$I$32,9,FALSE))+test!$B$33,0)</f>
        <v>235</v>
      </c>
      <c r="AF48">
        <f>IF(AND(SUM(VLOOKUP($A48,test!$A$3:$F$32,2,FALSE),VLOOKUP(AF$1,test!$A$3:$F$32,2,FALSE))&lt;test!$K$16,$A48&lt;&gt;AF$1,Recharged_Feasible_mat!AG17=1),(VLOOKUP(AF$1,test!$A$3:$I$32,8,FALSE))-(VLOOKUP($A48,test!$A$3:$I$32,9,FALSE))+test!$B$33,0)</f>
        <v>0</v>
      </c>
    </row>
    <row r="49" spans="1:32" x14ac:dyDescent="0.25">
      <c r="A49" t="s">
        <v>27</v>
      </c>
      <c r="B49">
        <v>0</v>
      </c>
      <c r="C49">
        <f>IF(AND(SUM(VLOOKUP($A49,test!$A$3:$F$32,2,FALSE),VLOOKUP(C$1,test!$A$3:$F$32,2,FALSE))&lt;test!$K$16,$A49&lt;&gt;C$1,feasible_mat!C49=1),(VLOOKUP(C$1,test!$A$3:$I$32,8,FALSE))-(VLOOKUP($A49,test!$A$3:$I$32,9,FALSE))+test!$B$33,0)</f>
        <v>0</v>
      </c>
      <c r="D49">
        <f>IF(AND(SUM(VLOOKUP($A49,test!$A$3:$F$32,2,FALSE),VLOOKUP(D$1,test!$A$3:$F$32,2,FALSE))&lt;test!$K$16,$A49&lt;&gt;D$1,Recharged_Feasible_mat!E18=1),(VLOOKUP(D$1,test!$A$3:$I$32,8,FALSE))-(VLOOKUP($A49,test!$A$3:$I$32,9,FALSE))+test!$B$33,0)</f>
        <v>0</v>
      </c>
      <c r="E49">
        <f>IF(AND(SUM(VLOOKUP($A49,test!$A$3:$F$32,2,FALSE),VLOOKUP(E$1,test!$A$3:$F$32,2,FALSE))&lt;test!$K$16,$A49&lt;&gt;E$1,Recharged_Feasible_mat!F18=1),(VLOOKUP(E$1,test!$A$3:$I$32,8,FALSE))-(VLOOKUP($A49,test!$A$3:$I$32,9,FALSE))+test!$B$33,0)</f>
        <v>0</v>
      </c>
      <c r="F49">
        <f>IF(AND(SUM(VLOOKUP($A49,test!$A$3:$F$32,2,FALSE),VLOOKUP(F$1,test!$A$3:$F$32,2,FALSE))&lt;test!$K$16,$A49&lt;&gt;F$1,Recharged_Feasible_mat!G18=1),(VLOOKUP(F$1,test!$A$3:$I$32,8,FALSE))-(VLOOKUP($A49,test!$A$3:$I$32,9,FALSE))+test!$B$33,0)</f>
        <v>205</v>
      </c>
      <c r="G49">
        <f>IF(AND(SUM(VLOOKUP($A49,test!$A$3:$F$32,2,FALSE),VLOOKUP(G$1,test!$A$3:$F$32,2,FALSE))&lt;test!$K$16,$A49&lt;&gt;G$1,Recharged_Feasible_mat!H18=1),(VLOOKUP(G$1,test!$A$3:$I$32,8,FALSE))-(VLOOKUP($A49,test!$A$3:$I$32,9,FALSE))+test!$B$33,0)</f>
        <v>265</v>
      </c>
      <c r="H49">
        <f>IF(AND(SUM(VLOOKUP($A49,test!$A$3:$F$32,2,FALSE),VLOOKUP(H$1,test!$A$3:$F$32,2,FALSE))&lt;test!$K$16,$A49&lt;&gt;H$1,Recharged_Feasible_mat!I18=1),(VLOOKUP(H$1,test!$A$3:$I$32,8,FALSE))-(VLOOKUP($A49,test!$A$3:$I$32,9,FALSE))+test!$B$33,0)</f>
        <v>325</v>
      </c>
      <c r="I49">
        <f>IF(AND(SUM(VLOOKUP($A49,test!$A$3:$F$32,2,FALSE),VLOOKUP(I$1,test!$A$3:$F$32,2,FALSE))&lt;test!$K$16,$A49&lt;&gt;I$1,Recharged_Feasible_mat!J18=1),(VLOOKUP(I$1,test!$A$3:$I$32,8,FALSE))-(VLOOKUP($A49,test!$A$3:$I$32,9,FALSE))+test!$B$33,0)</f>
        <v>385</v>
      </c>
      <c r="J49">
        <f>IF(AND(SUM(VLOOKUP($A49,test!$A$3:$F$32,2,FALSE),VLOOKUP(J$1,test!$A$3:$F$32,2,FALSE))&lt;test!$K$16,$A49&lt;&gt;J$1,Recharged_Feasible_mat!K18=1),(VLOOKUP(J$1,test!$A$3:$I$32,8,FALSE))-(VLOOKUP($A49,test!$A$3:$I$32,9,FALSE))+test!$B$33,0)</f>
        <v>475</v>
      </c>
      <c r="K49">
        <f>IF(AND(SUM(VLOOKUP($A49,test!$A$3:$F$32,2,FALSE),VLOOKUP(K$1,test!$A$3:$F$32,2,FALSE))&lt;test!$K$16,$A49&lt;&gt;K$1,Recharged_Feasible_mat!L18=1),(VLOOKUP(K$1,test!$A$3:$I$32,8,FALSE))-(VLOOKUP($A49,test!$A$3:$I$32,9,FALSE))+test!$B$33,0)</f>
        <v>0</v>
      </c>
      <c r="L49">
        <f>IF(AND(SUM(VLOOKUP($A49,test!$A$3:$F$32,2,FALSE),VLOOKUP(L$1,test!$A$3:$F$32,2,FALSE))&lt;test!$K$16,$A49&lt;&gt;L$1,Recharged_Feasible_mat!M18=1),(VLOOKUP(L$1,test!$A$3:$I$32,8,FALSE))-(VLOOKUP($A49,test!$A$3:$I$32,9,FALSE))+test!$B$33,0)</f>
        <v>0</v>
      </c>
      <c r="M49">
        <f>IF(AND(SUM(VLOOKUP($A49,test!$A$3:$F$32,2,FALSE),VLOOKUP(M$1,test!$A$3:$F$32,2,FALSE))&lt;test!$K$16,$A49&lt;&gt;M$1,Recharged_Feasible_mat!N18=1),(VLOOKUP(M$1,test!$A$3:$I$32,8,FALSE))-(VLOOKUP($A49,test!$A$3:$I$32,9,FALSE))+test!$B$33,0)</f>
        <v>0</v>
      </c>
      <c r="N49">
        <f>IF(AND(SUM(VLOOKUP($A49,test!$A$3:$F$32,2,FALSE),VLOOKUP(N$1,test!$A$3:$F$32,2,FALSE))&lt;test!$K$16,$A49&lt;&gt;N$1,Recharged_Feasible_mat!O18=1),(VLOOKUP(N$1,test!$A$3:$I$32,8,FALSE))-(VLOOKUP($A49,test!$A$3:$I$32,9,FALSE))+test!$B$33,0)</f>
        <v>440</v>
      </c>
      <c r="O49">
        <f>IF(AND(SUM(VLOOKUP($A49,test!$A$3:$F$32,2,FALSE),VLOOKUP(O$1,test!$A$3:$F$32,2,FALSE))&lt;test!$K$16,$A49&lt;&gt;O$1,Recharged_Feasible_mat!P18=1),(VLOOKUP(O$1,test!$A$3:$I$32,8,FALSE))-(VLOOKUP($A49,test!$A$3:$I$32,9,FALSE))+test!$B$33,0)</f>
        <v>500</v>
      </c>
      <c r="P49">
        <f>IF(AND(SUM(VLOOKUP($A49,test!$A$3:$F$32,2,FALSE),VLOOKUP(P$1,test!$A$3:$F$32,2,FALSE))&lt;test!$K$16,$A49&lt;&gt;P$1,Recharged_Feasible_mat!Q18=1),(VLOOKUP(P$1,test!$A$3:$I$32,8,FALSE))-(VLOOKUP($A49,test!$A$3:$I$32,9,FALSE))+test!$B$33,0)</f>
        <v>0</v>
      </c>
      <c r="Q49">
        <f>IF(AND(SUM(VLOOKUP($A49,test!$A$3:$F$32,2,FALSE),VLOOKUP(Q$1,test!$A$3:$F$32,2,FALSE))&lt;test!$K$16,$A49&lt;&gt;Q$1,Recharged_Feasible_mat!R18=1),(VLOOKUP(Q$1,test!$A$3:$I$32,8,FALSE))-(VLOOKUP($A49,test!$A$3:$I$32,9,FALSE))+test!$B$33,0)</f>
        <v>0</v>
      </c>
      <c r="R49">
        <f>IF(AND(SUM(VLOOKUP($A49,test!$A$3:$F$32,2,FALSE),VLOOKUP(R$1,test!$A$3:$F$32,2,FALSE))&lt;test!$K$16,$A49&lt;&gt;R$1,Recharged_Feasible_mat!S18=1),(VLOOKUP(R$1,test!$A$3:$I$32,8,FALSE))-(VLOOKUP($A49,test!$A$3:$I$32,9,FALSE))+test!$B$33,0)</f>
        <v>0</v>
      </c>
      <c r="S49">
        <f>IF(AND(SUM(VLOOKUP($A49,test!$A$3:$F$32,2,FALSE),VLOOKUP(S$1,test!$A$3:$F$32,2,FALSE))&lt;test!$K$16,$A49&lt;&gt;S$1,Recharged_Feasible_mat!T18=1),(VLOOKUP(S$1,test!$A$3:$I$32,8,FALSE))-(VLOOKUP($A49,test!$A$3:$I$32,9,FALSE))+test!$B$33,0)</f>
        <v>0</v>
      </c>
      <c r="T49">
        <f>IF(AND(SUM(VLOOKUP($A49,test!$A$3:$F$32,2,FALSE),VLOOKUP(T$1,test!$A$3:$F$32,2,FALSE))&lt;test!$K$16,$A49&lt;&gt;T$1,Recharged_Feasible_mat!U18=1),(VLOOKUP(T$1,test!$A$3:$I$32,8,FALSE))-(VLOOKUP($A49,test!$A$3:$I$32,9,FALSE))+test!$B$33,0)</f>
        <v>0</v>
      </c>
      <c r="U49">
        <f>IF(AND(SUM(VLOOKUP($A49,test!$A$3:$F$32,2,FALSE),VLOOKUP(U$1,test!$A$3:$F$32,2,FALSE))&lt;test!$K$16,$A49&lt;&gt;U$1,Recharged_Feasible_mat!V18=1),(VLOOKUP(U$1,test!$A$3:$I$32,8,FALSE))-(VLOOKUP($A49,test!$A$3:$I$32,9,FALSE))+test!$B$33,0)</f>
        <v>185</v>
      </c>
      <c r="V49">
        <f>IF(AND(SUM(VLOOKUP($A49,test!$A$3:$F$32,2,FALSE),VLOOKUP(V$1,test!$A$3:$F$32,2,FALSE))&lt;test!$K$16,$A49&lt;&gt;V$1,Recharged_Feasible_mat!W18=1),(VLOOKUP(V$1,test!$A$3:$I$32,8,FALSE))-(VLOOKUP($A49,test!$A$3:$I$32,9,FALSE))+test!$B$33,0)</f>
        <v>275</v>
      </c>
      <c r="W49">
        <f>IF(AND(SUM(VLOOKUP($A49,test!$A$3:$F$32,2,FALSE),VLOOKUP(W$1,test!$A$3:$F$32,2,FALSE))&lt;test!$K$16,$A49&lt;&gt;W$1,Recharged_Feasible_mat!X18=1),(VLOOKUP(W$1,test!$A$3:$I$32,8,FALSE))-(VLOOKUP($A49,test!$A$3:$I$32,9,FALSE))+test!$B$33,0)</f>
        <v>365</v>
      </c>
      <c r="X49">
        <f>IF(AND(SUM(VLOOKUP($A49,test!$A$3:$F$32,2,FALSE),VLOOKUP(X$1,test!$A$3:$F$32,2,FALSE))&lt;test!$K$16,$A49&lt;&gt;X$1,Recharged_Feasible_mat!Y18=1),(VLOOKUP(X$1,test!$A$3:$I$32,8,FALSE))-(VLOOKUP($A49,test!$A$3:$I$32,9,FALSE))+test!$B$33,0)</f>
        <v>425</v>
      </c>
      <c r="Y49">
        <f>IF(AND(SUM(VLOOKUP($A49,test!$A$3:$F$32,2,FALSE),VLOOKUP(Y$1,test!$A$3:$F$32,2,FALSE))&lt;test!$K$16,$A49&lt;&gt;Y$1,Recharged_Feasible_mat!Z18=1),(VLOOKUP(Y$1,test!$A$3:$I$32,8,FALSE))-(VLOOKUP($A49,test!$A$3:$I$32,9,FALSE))+test!$B$33,0)</f>
        <v>0</v>
      </c>
      <c r="Z49">
        <f>IF(AND(SUM(VLOOKUP($A49,test!$A$3:$F$32,2,FALSE),VLOOKUP(Z$1,test!$A$3:$F$32,2,FALSE))&lt;test!$K$16,$A49&lt;&gt;Z$1,Recharged_Feasible_mat!AA18=1),(VLOOKUP(Z$1,test!$A$3:$I$32,8,FALSE))-(VLOOKUP($A49,test!$A$3:$I$32,9,FALSE))+test!$B$33,0)</f>
        <v>0</v>
      </c>
      <c r="AA49">
        <f>IF(AND(SUM(VLOOKUP($A49,test!$A$3:$F$32,2,FALSE),VLOOKUP(AA$1,test!$A$3:$F$32,2,FALSE))&lt;test!$K$16,$A49&lt;&gt;AA$1,Recharged_Feasible_mat!AB18=1),(VLOOKUP(AA$1,test!$A$3:$I$32,8,FALSE))-(VLOOKUP($A49,test!$A$3:$I$32,9,FALSE))+test!$B$33,0)</f>
        <v>145</v>
      </c>
      <c r="AB49">
        <f>IF(AND(SUM(VLOOKUP($A49,test!$A$3:$F$32,2,FALSE),VLOOKUP(AB$1,test!$A$3:$F$32,2,FALSE))&lt;test!$K$16,$A49&lt;&gt;AB$1,Recharged_Feasible_mat!AC18=1),(VLOOKUP(AB$1,test!$A$3:$I$32,8,FALSE))-(VLOOKUP($A49,test!$A$3:$I$32,9,FALSE))+test!$B$33,0)</f>
        <v>205</v>
      </c>
      <c r="AC49">
        <f>IF(AND(SUM(VLOOKUP($A49,test!$A$3:$F$32,2,FALSE),VLOOKUP(AC$1,test!$A$3:$F$32,2,FALSE))&lt;test!$K$16,$A49&lt;&gt;AC$1,Recharged_Feasible_mat!AD18=1),(VLOOKUP(AC$1,test!$A$3:$I$32,8,FALSE))-(VLOOKUP($A49,test!$A$3:$I$32,9,FALSE))+test!$B$33,0)</f>
        <v>325</v>
      </c>
      <c r="AD49">
        <f>IF(AND(SUM(VLOOKUP($A49,test!$A$3:$F$32,2,FALSE),VLOOKUP(AD$1,test!$A$3:$F$32,2,FALSE))&lt;test!$K$16,$A49&lt;&gt;AD$1,Recharged_Feasible_mat!AE18=1),(VLOOKUP(AD$1,test!$A$3:$I$32,8,FALSE))-(VLOOKUP($A49,test!$A$3:$I$32,9,FALSE))+test!$B$33,0)</f>
        <v>0</v>
      </c>
      <c r="AE49">
        <f>IF(AND(SUM(VLOOKUP($A49,test!$A$3:$F$32,2,FALSE),VLOOKUP(AE$1,test!$A$3:$F$32,2,FALSE))&lt;test!$K$16,$A49&lt;&gt;AE$1,Recharged_Feasible_mat!AF18=1),(VLOOKUP(AE$1,test!$A$3:$I$32,8,FALSE))-(VLOOKUP($A49,test!$A$3:$I$32,9,FALSE))+test!$B$33,0)</f>
        <v>145</v>
      </c>
      <c r="AF49">
        <f>IF(AND(SUM(VLOOKUP($A49,test!$A$3:$F$32,2,FALSE),VLOOKUP(AF$1,test!$A$3:$F$32,2,FALSE))&lt;test!$K$16,$A49&lt;&gt;AF$1,Recharged_Feasible_mat!AG18=1),(VLOOKUP(AF$1,test!$A$3:$I$32,8,FALSE))-(VLOOKUP($A49,test!$A$3:$I$32,9,FALSE))+test!$B$33,0)</f>
        <v>0</v>
      </c>
    </row>
    <row r="50" spans="1:32" x14ac:dyDescent="0.25">
      <c r="A50" t="s">
        <v>28</v>
      </c>
      <c r="B50">
        <v>0</v>
      </c>
      <c r="C50">
        <f>IF(AND(SUM(VLOOKUP($A50,test!$A$3:$F$32,2,FALSE),VLOOKUP(C$1,test!$A$3:$F$32,2,FALSE))&lt;test!$K$16,$A50&lt;&gt;C$1,feasible_mat!C50=1),(VLOOKUP(C$1,test!$A$3:$I$32,8,FALSE))-(VLOOKUP($A50,test!$A$3:$I$32,9,FALSE))+test!$B$33,0)</f>
        <v>0</v>
      </c>
      <c r="D50">
        <f>IF(AND(SUM(VLOOKUP($A50,test!$A$3:$F$32,2,FALSE),VLOOKUP(D$1,test!$A$3:$F$32,2,FALSE))&lt;test!$K$16,$A50&lt;&gt;D$1,Recharged_Feasible_mat!E19=1),(VLOOKUP(D$1,test!$A$3:$I$32,8,FALSE))-(VLOOKUP($A50,test!$A$3:$I$32,9,FALSE))+test!$B$33,0)</f>
        <v>0</v>
      </c>
      <c r="E50">
        <f>IF(AND(SUM(VLOOKUP($A50,test!$A$3:$F$32,2,FALSE),VLOOKUP(E$1,test!$A$3:$F$32,2,FALSE))&lt;test!$K$16,$A50&lt;&gt;E$1,Recharged_Feasible_mat!F19=1),(VLOOKUP(E$1,test!$A$3:$I$32,8,FALSE))-(VLOOKUP($A50,test!$A$3:$I$32,9,FALSE))+test!$B$33,0)</f>
        <v>0</v>
      </c>
      <c r="F50">
        <f>IF(AND(SUM(VLOOKUP($A50,test!$A$3:$F$32,2,FALSE),VLOOKUP(F$1,test!$A$3:$F$32,2,FALSE))&lt;test!$K$16,$A50&lt;&gt;F$1,Recharged_Feasible_mat!G19=1),(VLOOKUP(F$1,test!$A$3:$I$32,8,FALSE))-(VLOOKUP($A50,test!$A$3:$I$32,9,FALSE))+test!$B$33,0)</f>
        <v>0</v>
      </c>
      <c r="G50">
        <f>IF(AND(SUM(VLOOKUP($A50,test!$A$3:$F$32,2,FALSE),VLOOKUP(G$1,test!$A$3:$F$32,2,FALSE))&lt;test!$K$16,$A50&lt;&gt;G$1,Recharged_Feasible_mat!H19=1),(VLOOKUP(G$1,test!$A$3:$I$32,8,FALSE))-(VLOOKUP($A50,test!$A$3:$I$32,9,FALSE))+test!$B$33,0)</f>
        <v>175</v>
      </c>
      <c r="H50">
        <f>IF(AND(SUM(VLOOKUP($A50,test!$A$3:$F$32,2,FALSE),VLOOKUP(H$1,test!$A$3:$F$32,2,FALSE))&lt;test!$K$16,$A50&lt;&gt;H$1,Recharged_Feasible_mat!I19=1),(VLOOKUP(H$1,test!$A$3:$I$32,8,FALSE))-(VLOOKUP($A50,test!$A$3:$I$32,9,FALSE))+test!$B$33,0)</f>
        <v>235</v>
      </c>
      <c r="I50">
        <f>IF(AND(SUM(VLOOKUP($A50,test!$A$3:$F$32,2,FALSE),VLOOKUP(I$1,test!$A$3:$F$32,2,FALSE))&lt;test!$K$16,$A50&lt;&gt;I$1,Recharged_Feasible_mat!J19=1),(VLOOKUP(I$1,test!$A$3:$I$32,8,FALSE))-(VLOOKUP($A50,test!$A$3:$I$32,9,FALSE))+test!$B$33,0)</f>
        <v>295</v>
      </c>
      <c r="J50">
        <f>IF(AND(SUM(VLOOKUP($A50,test!$A$3:$F$32,2,FALSE),VLOOKUP(J$1,test!$A$3:$F$32,2,FALSE))&lt;test!$K$16,$A50&lt;&gt;J$1,Recharged_Feasible_mat!K19=1),(VLOOKUP(J$1,test!$A$3:$I$32,8,FALSE))-(VLOOKUP($A50,test!$A$3:$I$32,9,FALSE))+test!$B$33,0)</f>
        <v>385</v>
      </c>
      <c r="K50">
        <f>IF(AND(SUM(VLOOKUP($A50,test!$A$3:$F$32,2,FALSE),VLOOKUP(K$1,test!$A$3:$F$32,2,FALSE))&lt;test!$K$16,$A50&lt;&gt;K$1,Recharged_Feasible_mat!L19=1),(VLOOKUP(K$1,test!$A$3:$I$32,8,FALSE))-(VLOOKUP($A50,test!$A$3:$I$32,9,FALSE))+test!$B$33,0)</f>
        <v>0</v>
      </c>
      <c r="L50">
        <f>IF(AND(SUM(VLOOKUP($A50,test!$A$3:$F$32,2,FALSE),VLOOKUP(L$1,test!$A$3:$F$32,2,FALSE))&lt;test!$K$16,$A50&lt;&gt;L$1,Recharged_Feasible_mat!M19=1),(VLOOKUP(L$1,test!$A$3:$I$32,8,FALSE))-(VLOOKUP($A50,test!$A$3:$I$32,9,FALSE))+test!$B$33,0)</f>
        <v>0</v>
      </c>
      <c r="M50">
        <f>IF(AND(SUM(VLOOKUP($A50,test!$A$3:$F$32,2,FALSE),VLOOKUP(M$1,test!$A$3:$F$32,2,FALSE))&lt;test!$K$16,$A50&lt;&gt;M$1,Recharged_Feasible_mat!N19=1),(VLOOKUP(M$1,test!$A$3:$I$32,8,FALSE))-(VLOOKUP($A50,test!$A$3:$I$32,9,FALSE))+test!$B$33,0)</f>
        <v>0</v>
      </c>
      <c r="N50">
        <f>IF(AND(SUM(VLOOKUP($A50,test!$A$3:$F$32,2,FALSE),VLOOKUP(N$1,test!$A$3:$F$32,2,FALSE))&lt;test!$K$16,$A50&lt;&gt;N$1,Recharged_Feasible_mat!O19=1),(VLOOKUP(N$1,test!$A$3:$I$32,8,FALSE))-(VLOOKUP($A50,test!$A$3:$I$32,9,FALSE))+test!$B$33,0)</f>
        <v>350</v>
      </c>
      <c r="O50">
        <f>IF(AND(SUM(VLOOKUP($A50,test!$A$3:$F$32,2,FALSE),VLOOKUP(O$1,test!$A$3:$F$32,2,FALSE))&lt;test!$K$16,$A50&lt;&gt;O$1,Recharged_Feasible_mat!P19=1),(VLOOKUP(O$1,test!$A$3:$I$32,8,FALSE))-(VLOOKUP($A50,test!$A$3:$I$32,9,FALSE))+test!$B$33,0)</f>
        <v>410</v>
      </c>
      <c r="P50">
        <f>IF(AND(SUM(VLOOKUP($A50,test!$A$3:$F$32,2,FALSE),VLOOKUP(P$1,test!$A$3:$F$32,2,FALSE))&lt;test!$K$16,$A50&lt;&gt;P$1,Recharged_Feasible_mat!Q19=1),(VLOOKUP(P$1,test!$A$3:$I$32,8,FALSE))-(VLOOKUP($A50,test!$A$3:$I$32,9,FALSE))+test!$B$33,0)</f>
        <v>0</v>
      </c>
      <c r="Q50">
        <f>IF(AND(SUM(VLOOKUP($A50,test!$A$3:$F$32,2,FALSE),VLOOKUP(Q$1,test!$A$3:$F$32,2,FALSE))&lt;test!$K$16,$A50&lt;&gt;Q$1,Recharged_Feasible_mat!R19=1),(VLOOKUP(Q$1,test!$A$3:$I$32,8,FALSE))-(VLOOKUP($A50,test!$A$3:$I$32,9,FALSE))+test!$B$33,0)</f>
        <v>0</v>
      </c>
      <c r="R50">
        <f>IF(AND(SUM(VLOOKUP($A50,test!$A$3:$F$32,2,FALSE),VLOOKUP(R$1,test!$A$3:$F$32,2,FALSE))&lt;test!$K$16,$A50&lt;&gt;R$1,Recharged_Feasible_mat!S19=1),(VLOOKUP(R$1,test!$A$3:$I$32,8,FALSE))-(VLOOKUP($A50,test!$A$3:$I$32,9,FALSE))+test!$B$33,0)</f>
        <v>0</v>
      </c>
      <c r="S50">
        <f>IF(AND(SUM(VLOOKUP($A50,test!$A$3:$F$32,2,FALSE),VLOOKUP(S$1,test!$A$3:$F$32,2,FALSE))&lt;test!$K$16,$A50&lt;&gt;S$1,Recharged_Feasible_mat!T19=1),(VLOOKUP(S$1,test!$A$3:$I$32,8,FALSE))-(VLOOKUP($A50,test!$A$3:$I$32,9,FALSE))+test!$B$33,0)</f>
        <v>0</v>
      </c>
      <c r="T50">
        <f>IF(AND(SUM(VLOOKUP($A50,test!$A$3:$F$32,2,FALSE),VLOOKUP(T$1,test!$A$3:$F$32,2,FALSE))&lt;test!$K$16,$A50&lt;&gt;T$1,Recharged_Feasible_mat!U19=1),(VLOOKUP(T$1,test!$A$3:$I$32,8,FALSE))-(VLOOKUP($A50,test!$A$3:$I$32,9,FALSE))+test!$B$33,0)</f>
        <v>0</v>
      </c>
      <c r="U50">
        <f>IF(AND(SUM(VLOOKUP($A50,test!$A$3:$F$32,2,FALSE),VLOOKUP(U$1,test!$A$3:$F$32,2,FALSE))&lt;test!$K$16,$A50&lt;&gt;U$1,Recharged_Feasible_mat!V19=1),(VLOOKUP(U$1,test!$A$3:$I$32,8,FALSE))-(VLOOKUP($A50,test!$A$3:$I$32,9,FALSE))+test!$B$33,0)</f>
        <v>0</v>
      </c>
      <c r="V50">
        <f>IF(AND(SUM(VLOOKUP($A50,test!$A$3:$F$32,2,FALSE),VLOOKUP(V$1,test!$A$3:$F$32,2,FALSE))&lt;test!$K$16,$A50&lt;&gt;V$1,Recharged_Feasible_mat!W19=1),(VLOOKUP(V$1,test!$A$3:$I$32,8,FALSE))-(VLOOKUP($A50,test!$A$3:$I$32,9,FALSE))+test!$B$33,0)</f>
        <v>185</v>
      </c>
      <c r="W50">
        <f>IF(AND(SUM(VLOOKUP($A50,test!$A$3:$F$32,2,FALSE),VLOOKUP(W$1,test!$A$3:$F$32,2,FALSE))&lt;test!$K$16,$A50&lt;&gt;W$1,Recharged_Feasible_mat!X19=1),(VLOOKUP(W$1,test!$A$3:$I$32,8,FALSE))-(VLOOKUP($A50,test!$A$3:$I$32,9,FALSE))+test!$B$33,0)</f>
        <v>275</v>
      </c>
      <c r="X50">
        <f>IF(AND(SUM(VLOOKUP($A50,test!$A$3:$F$32,2,FALSE),VLOOKUP(X$1,test!$A$3:$F$32,2,FALSE))&lt;test!$K$16,$A50&lt;&gt;X$1,Recharged_Feasible_mat!Y19=1),(VLOOKUP(X$1,test!$A$3:$I$32,8,FALSE))-(VLOOKUP($A50,test!$A$3:$I$32,9,FALSE))+test!$B$33,0)</f>
        <v>335</v>
      </c>
      <c r="Y50">
        <f>IF(AND(SUM(VLOOKUP($A50,test!$A$3:$F$32,2,FALSE),VLOOKUP(Y$1,test!$A$3:$F$32,2,FALSE))&lt;test!$K$16,$A50&lt;&gt;Y$1,Recharged_Feasible_mat!Z19=1),(VLOOKUP(Y$1,test!$A$3:$I$32,8,FALSE))-(VLOOKUP($A50,test!$A$3:$I$32,9,FALSE))+test!$B$33,0)</f>
        <v>0</v>
      </c>
      <c r="Z50">
        <f>IF(AND(SUM(VLOOKUP($A50,test!$A$3:$F$32,2,FALSE),VLOOKUP(Z$1,test!$A$3:$F$32,2,FALSE))&lt;test!$K$16,$A50&lt;&gt;Z$1,Recharged_Feasible_mat!AA19=1),(VLOOKUP(Z$1,test!$A$3:$I$32,8,FALSE))-(VLOOKUP($A50,test!$A$3:$I$32,9,FALSE))+test!$B$33,0)</f>
        <v>0</v>
      </c>
      <c r="AA50">
        <f>IF(AND(SUM(VLOOKUP($A50,test!$A$3:$F$32,2,FALSE),VLOOKUP(AA$1,test!$A$3:$F$32,2,FALSE))&lt;test!$K$16,$A50&lt;&gt;AA$1,Recharged_Feasible_mat!AB19=1),(VLOOKUP(AA$1,test!$A$3:$I$32,8,FALSE))-(VLOOKUP($A50,test!$A$3:$I$32,9,FALSE))+test!$B$33,0)</f>
        <v>0</v>
      </c>
      <c r="AB50">
        <f>IF(AND(SUM(VLOOKUP($A50,test!$A$3:$F$32,2,FALSE),VLOOKUP(AB$1,test!$A$3:$F$32,2,FALSE))&lt;test!$K$16,$A50&lt;&gt;AB$1,Recharged_Feasible_mat!AC19=1),(VLOOKUP(AB$1,test!$A$3:$I$32,8,FALSE))-(VLOOKUP($A50,test!$A$3:$I$32,9,FALSE))+test!$B$33,0)</f>
        <v>0</v>
      </c>
      <c r="AC50">
        <f>IF(AND(SUM(VLOOKUP($A50,test!$A$3:$F$32,2,FALSE),VLOOKUP(AC$1,test!$A$3:$F$32,2,FALSE))&lt;test!$K$16,$A50&lt;&gt;AC$1,Recharged_Feasible_mat!AD19=1),(VLOOKUP(AC$1,test!$A$3:$I$32,8,FALSE))-(VLOOKUP($A50,test!$A$3:$I$32,9,FALSE))+test!$B$33,0)</f>
        <v>235</v>
      </c>
      <c r="AD50">
        <f>IF(AND(SUM(VLOOKUP($A50,test!$A$3:$F$32,2,FALSE),VLOOKUP(AD$1,test!$A$3:$F$32,2,FALSE))&lt;test!$K$16,$A50&lt;&gt;AD$1,Recharged_Feasible_mat!AE19=1),(VLOOKUP(AD$1,test!$A$3:$I$32,8,FALSE))-(VLOOKUP($A50,test!$A$3:$I$32,9,FALSE))+test!$B$33,0)</f>
        <v>0</v>
      </c>
      <c r="AE50">
        <f>IF(AND(SUM(VLOOKUP($A50,test!$A$3:$F$32,2,FALSE),VLOOKUP(AE$1,test!$A$3:$F$32,2,FALSE))&lt;test!$K$16,$A50&lt;&gt;AE$1,Recharged_Feasible_mat!AF19=1),(VLOOKUP(AE$1,test!$A$3:$I$32,8,FALSE))-(VLOOKUP($A50,test!$A$3:$I$32,9,FALSE))+test!$B$33,0)</f>
        <v>0</v>
      </c>
      <c r="AF50">
        <f>IF(AND(SUM(VLOOKUP($A50,test!$A$3:$F$32,2,FALSE),VLOOKUP(AF$1,test!$A$3:$F$32,2,FALSE))&lt;test!$K$16,$A50&lt;&gt;AF$1,Recharged_Feasible_mat!AG19=1),(VLOOKUP(AF$1,test!$A$3:$I$32,8,FALSE))-(VLOOKUP($A50,test!$A$3:$I$32,9,FALSE))+test!$B$33,0)</f>
        <v>0</v>
      </c>
    </row>
    <row r="51" spans="1:32" x14ac:dyDescent="0.25">
      <c r="A51" t="s">
        <v>29</v>
      </c>
      <c r="B51">
        <v>0</v>
      </c>
      <c r="C51">
        <f>IF(AND(SUM(VLOOKUP($A51,test!$A$3:$F$32,2,FALSE),VLOOKUP(C$1,test!$A$3:$F$32,2,FALSE))&lt;test!$K$16,$A51&lt;&gt;C$1,feasible_mat!C51=1),(VLOOKUP(C$1,test!$A$3:$I$32,8,FALSE))-(VLOOKUP($A51,test!$A$3:$I$32,9,FALSE))+test!$B$33,0)</f>
        <v>0</v>
      </c>
      <c r="D51">
        <f>IF(AND(SUM(VLOOKUP($A51,test!$A$3:$F$32,2,FALSE),VLOOKUP(D$1,test!$A$3:$F$32,2,FALSE))&lt;test!$K$16,$A51&lt;&gt;D$1,Recharged_Feasible_mat!E20=1),(VLOOKUP(D$1,test!$A$3:$I$32,8,FALSE))-(VLOOKUP($A51,test!$A$3:$I$32,9,FALSE))+test!$B$33,0)</f>
        <v>0</v>
      </c>
      <c r="E51">
        <f>IF(AND(SUM(VLOOKUP($A51,test!$A$3:$F$32,2,FALSE),VLOOKUP(E$1,test!$A$3:$F$32,2,FALSE))&lt;test!$K$16,$A51&lt;&gt;E$1,Recharged_Feasible_mat!F20=1),(VLOOKUP(E$1,test!$A$3:$I$32,8,FALSE))-(VLOOKUP($A51,test!$A$3:$I$32,9,FALSE))+test!$B$33,0)</f>
        <v>0</v>
      </c>
      <c r="F51">
        <f>IF(AND(SUM(VLOOKUP($A51,test!$A$3:$F$32,2,FALSE),VLOOKUP(F$1,test!$A$3:$F$32,2,FALSE))&lt;test!$K$16,$A51&lt;&gt;F$1,Recharged_Feasible_mat!G20=1),(VLOOKUP(F$1,test!$A$3:$I$32,8,FALSE))-(VLOOKUP($A51,test!$A$3:$I$32,9,FALSE))+test!$B$33,0)</f>
        <v>0</v>
      </c>
      <c r="G51">
        <f>IF(AND(SUM(VLOOKUP($A51,test!$A$3:$F$32,2,FALSE),VLOOKUP(G$1,test!$A$3:$F$32,2,FALSE))&lt;test!$K$16,$A51&lt;&gt;G$1,Recharged_Feasible_mat!H20=1),(VLOOKUP(G$1,test!$A$3:$I$32,8,FALSE))-(VLOOKUP($A51,test!$A$3:$I$32,9,FALSE))+test!$B$33,0)</f>
        <v>0</v>
      </c>
      <c r="H51">
        <f>IF(AND(SUM(VLOOKUP($A51,test!$A$3:$F$32,2,FALSE),VLOOKUP(H$1,test!$A$3:$F$32,2,FALSE))&lt;test!$K$16,$A51&lt;&gt;H$1,Recharged_Feasible_mat!I20=1),(VLOOKUP(H$1,test!$A$3:$I$32,8,FALSE))-(VLOOKUP($A51,test!$A$3:$I$32,9,FALSE))+test!$B$33,0)</f>
        <v>145</v>
      </c>
      <c r="I51">
        <f>IF(AND(SUM(VLOOKUP($A51,test!$A$3:$F$32,2,FALSE),VLOOKUP(I$1,test!$A$3:$F$32,2,FALSE))&lt;test!$K$16,$A51&lt;&gt;I$1,Recharged_Feasible_mat!J20=1),(VLOOKUP(I$1,test!$A$3:$I$32,8,FALSE))-(VLOOKUP($A51,test!$A$3:$I$32,9,FALSE))+test!$B$33,0)</f>
        <v>205</v>
      </c>
      <c r="J51">
        <f>IF(AND(SUM(VLOOKUP($A51,test!$A$3:$F$32,2,FALSE),VLOOKUP(J$1,test!$A$3:$F$32,2,FALSE))&lt;test!$K$16,$A51&lt;&gt;J$1,Recharged_Feasible_mat!K20=1),(VLOOKUP(J$1,test!$A$3:$I$32,8,FALSE))-(VLOOKUP($A51,test!$A$3:$I$32,9,FALSE))+test!$B$33,0)</f>
        <v>295</v>
      </c>
      <c r="K51">
        <f>IF(AND(SUM(VLOOKUP($A51,test!$A$3:$F$32,2,FALSE),VLOOKUP(K$1,test!$A$3:$F$32,2,FALSE))&lt;test!$K$16,$A51&lt;&gt;K$1,Recharged_Feasible_mat!L20=1),(VLOOKUP(K$1,test!$A$3:$I$32,8,FALSE))-(VLOOKUP($A51,test!$A$3:$I$32,9,FALSE))+test!$B$33,0)</f>
        <v>0</v>
      </c>
      <c r="L51">
        <f>IF(AND(SUM(VLOOKUP($A51,test!$A$3:$F$32,2,FALSE),VLOOKUP(L$1,test!$A$3:$F$32,2,FALSE))&lt;test!$K$16,$A51&lt;&gt;L$1,Recharged_Feasible_mat!M20=1),(VLOOKUP(L$1,test!$A$3:$I$32,8,FALSE))-(VLOOKUP($A51,test!$A$3:$I$32,9,FALSE))+test!$B$33,0)</f>
        <v>0</v>
      </c>
      <c r="M51">
        <f>IF(AND(SUM(VLOOKUP($A51,test!$A$3:$F$32,2,FALSE),VLOOKUP(M$1,test!$A$3:$F$32,2,FALSE))&lt;test!$K$16,$A51&lt;&gt;M$1,Recharged_Feasible_mat!N20=1),(VLOOKUP(M$1,test!$A$3:$I$32,8,FALSE))-(VLOOKUP($A51,test!$A$3:$I$32,9,FALSE))+test!$B$33,0)</f>
        <v>0</v>
      </c>
      <c r="N51">
        <f>IF(AND(SUM(VLOOKUP($A51,test!$A$3:$F$32,2,FALSE),VLOOKUP(N$1,test!$A$3:$F$32,2,FALSE))&lt;test!$K$16,$A51&lt;&gt;N$1,Recharged_Feasible_mat!O20=1),(VLOOKUP(N$1,test!$A$3:$I$32,8,FALSE))-(VLOOKUP($A51,test!$A$3:$I$32,9,FALSE))+test!$B$33,0)</f>
        <v>260</v>
      </c>
      <c r="O51">
        <f>IF(AND(SUM(VLOOKUP($A51,test!$A$3:$F$32,2,FALSE),VLOOKUP(O$1,test!$A$3:$F$32,2,FALSE))&lt;test!$K$16,$A51&lt;&gt;O$1,Recharged_Feasible_mat!P20=1),(VLOOKUP(O$1,test!$A$3:$I$32,8,FALSE))-(VLOOKUP($A51,test!$A$3:$I$32,9,FALSE))+test!$B$33,0)</f>
        <v>320</v>
      </c>
      <c r="P51">
        <f>IF(AND(SUM(VLOOKUP($A51,test!$A$3:$F$32,2,FALSE),VLOOKUP(P$1,test!$A$3:$F$32,2,FALSE))&lt;test!$K$16,$A51&lt;&gt;P$1,Recharged_Feasible_mat!Q20=1),(VLOOKUP(P$1,test!$A$3:$I$32,8,FALSE))-(VLOOKUP($A51,test!$A$3:$I$32,9,FALSE))+test!$B$33,0)</f>
        <v>0</v>
      </c>
      <c r="Q51">
        <f>IF(AND(SUM(VLOOKUP($A51,test!$A$3:$F$32,2,FALSE),VLOOKUP(Q$1,test!$A$3:$F$32,2,FALSE))&lt;test!$K$16,$A51&lt;&gt;Q$1,Recharged_Feasible_mat!R20=1),(VLOOKUP(Q$1,test!$A$3:$I$32,8,FALSE))-(VLOOKUP($A51,test!$A$3:$I$32,9,FALSE))+test!$B$33,0)</f>
        <v>0</v>
      </c>
      <c r="R51">
        <f>IF(AND(SUM(VLOOKUP($A51,test!$A$3:$F$32,2,FALSE),VLOOKUP(R$1,test!$A$3:$F$32,2,FALSE))&lt;test!$K$16,$A51&lt;&gt;R$1,Recharged_Feasible_mat!S20=1),(VLOOKUP(R$1,test!$A$3:$I$32,8,FALSE))-(VLOOKUP($A51,test!$A$3:$I$32,9,FALSE))+test!$B$33,0)</f>
        <v>0</v>
      </c>
      <c r="S51">
        <f>IF(AND(SUM(VLOOKUP($A51,test!$A$3:$F$32,2,FALSE),VLOOKUP(S$1,test!$A$3:$F$32,2,FALSE))&lt;test!$K$16,$A51&lt;&gt;S$1,Recharged_Feasible_mat!T20=1),(VLOOKUP(S$1,test!$A$3:$I$32,8,FALSE))-(VLOOKUP($A51,test!$A$3:$I$32,9,FALSE))+test!$B$33,0)</f>
        <v>0</v>
      </c>
      <c r="T51">
        <f>IF(AND(SUM(VLOOKUP($A51,test!$A$3:$F$32,2,FALSE),VLOOKUP(T$1,test!$A$3:$F$32,2,FALSE))&lt;test!$K$16,$A51&lt;&gt;T$1,Recharged_Feasible_mat!U20=1),(VLOOKUP(T$1,test!$A$3:$I$32,8,FALSE))-(VLOOKUP($A51,test!$A$3:$I$32,9,FALSE))+test!$B$33,0)</f>
        <v>0</v>
      </c>
      <c r="U51">
        <f>IF(AND(SUM(VLOOKUP($A51,test!$A$3:$F$32,2,FALSE),VLOOKUP(U$1,test!$A$3:$F$32,2,FALSE))&lt;test!$K$16,$A51&lt;&gt;U$1,Recharged_Feasible_mat!V20=1),(VLOOKUP(U$1,test!$A$3:$I$32,8,FALSE))-(VLOOKUP($A51,test!$A$3:$I$32,9,FALSE))+test!$B$33,0)</f>
        <v>0</v>
      </c>
      <c r="V51">
        <f>IF(AND(SUM(VLOOKUP($A51,test!$A$3:$F$32,2,FALSE),VLOOKUP(V$1,test!$A$3:$F$32,2,FALSE))&lt;test!$K$16,$A51&lt;&gt;V$1,Recharged_Feasible_mat!W20=1),(VLOOKUP(V$1,test!$A$3:$I$32,8,FALSE))-(VLOOKUP($A51,test!$A$3:$I$32,9,FALSE))+test!$B$33,0)</f>
        <v>0</v>
      </c>
      <c r="W51">
        <f>IF(AND(SUM(VLOOKUP($A51,test!$A$3:$F$32,2,FALSE),VLOOKUP(W$1,test!$A$3:$F$32,2,FALSE))&lt;test!$K$16,$A51&lt;&gt;W$1,Recharged_Feasible_mat!X20=1),(VLOOKUP(W$1,test!$A$3:$I$32,8,FALSE))-(VLOOKUP($A51,test!$A$3:$I$32,9,FALSE))+test!$B$33,0)</f>
        <v>185</v>
      </c>
      <c r="X51">
        <f>IF(AND(SUM(VLOOKUP($A51,test!$A$3:$F$32,2,FALSE),VLOOKUP(X$1,test!$A$3:$F$32,2,FALSE))&lt;test!$K$16,$A51&lt;&gt;X$1,Recharged_Feasible_mat!Y20=1),(VLOOKUP(X$1,test!$A$3:$I$32,8,FALSE))-(VLOOKUP($A51,test!$A$3:$I$32,9,FALSE))+test!$B$33,0)</f>
        <v>245</v>
      </c>
      <c r="Y51">
        <f>IF(AND(SUM(VLOOKUP($A51,test!$A$3:$F$32,2,FALSE),VLOOKUP(Y$1,test!$A$3:$F$32,2,FALSE))&lt;test!$K$16,$A51&lt;&gt;Y$1,Recharged_Feasible_mat!Z20=1),(VLOOKUP(Y$1,test!$A$3:$I$32,8,FALSE))-(VLOOKUP($A51,test!$A$3:$I$32,9,FALSE))+test!$B$33,0)</f>
        <v>0</v>
      </c>
      <c r="Z51">
        <f>IF(AND(SUM(VLOOKUP($A51,test!$A$3:$F$32,2,FALSE),VLOOKUP(Z$1,test!$A$3:$F$32,2,FALSE))&lt;test!$K$16,$A51&lt;&gt;Z$1,Recharged_Feasible_mat!AA20=1),(VLOOKUP(Z$1,test!$A$3:$I$32,8,FALSE))-(VLOOKUP($A51,test!$A$3:$I$32,9,FALSE))+test!$B$33,0)</f>
        <v>0</v>
      </c>
      <c r="AA51">
        <f>IF(AND(SUM(VLOOKUP($A51,test!$A$3:$F$32,2,FALSE),VLOOKUP(AA$1,test!$A$3:$F$32,2,FALSE))&lt;test!$K$16,$A51&lt;&gt;AA$1,Recharged_Feasible_mat!AB20=1),(VLOOKUP(AA$1,test!$A$3:$I$32,8,FALSE))-(VLOOKUP($A51,test!$A$3:$I$32,9,FALSE))+test!$B$33,0)</f>
        <v>0</v>
      </c>
      <c r="AB51">
        <f>IF(AND(SUM(VLOOKUP($A51,test!$A$3:$F$32,2,FALSE),VLOOKUP(AB$1,test!$A$3:$F$32,2,FALSE))&lt;test!$K$16,$A51&lt;&gt;AB$1,Recharged_Feasible_mat!AC20=1),(VLOOKUP(AB$1,test!$A$3:$I$32,8,FALSE))-(VLOOKUP($A51,test!$A$3:$I$32,9,FALSE))+test!$B$33,0)</f>
        <v>0</v>
      </c>
      <c r="AC51">
        <f>IF(AND(SUM(VLOOKUP($A51,test!$A$3:$F$32,2,FALSE),VLOOKUP(AC$1,test!$A$3:$F$32,2,FALSE))&lt;test!$K$16,$A51&lt;&gt;AC$1,Recharged_Feasible_mat!AD20=1),(VLOOKUP(AC$1,test!$A$3:$I$32,8,FALSE))-(VLOOKUP($A51,test!$A$3:$I$32,9,FALSE))+test!$B$33,0)</f>
        <v>145</v>
      </c>
      <c r="AD51">
        <f>IF(AND(SUM(VLOOKUP($A51,test!$A$3:$F$32,2,FALSE),VLOOKUP(AD$1,test!$A$3:$F$32,2,FALSE))&lt;test!$K$16,$A51&lt;&gt;AD$1,Recharged_Feasible_mat!AE20=1),(VLOOKUP(AD$1,test!$A$3:$I$32,8,FALSE))-(VLOOKUP($A51,test!$A$3:$I$32,9,FALSE))+test!$B$33,0)</f>
        <v>0</v>
      </c>
      <c r="AE51">
        <f>IF(AND(SUM(VLOOKUP($A51,test!$A$3:$F$32,2,FALSE),VLOOKUP(AE$1,test!$A$3:$F$32,2,FALSE))&lt;test!$K$16,$A51&lt;&gt;AE$1,Recharged_Feasible_mat!AF20=1),(VLOOKUP(AE$1,test!$A$3:$I$32,8,FALSE))-(VLOOKUP($A51,test!$A$3:$I$32,9,FALSE))+test!$B$33,0)</f>
        <v>0</v>
      </c>
      <c r="AF51">
        <f>IF(AND(SUM(VLOOKUP($A51,test!$A$3:$F$32,2,FALSE),VLOOKUP(AF$1,test!$A$3:$F$32,2,FALSE))&lt;test!$K$16,$A51&lt;&gt;AF$1,Recharged_Feasible_mat!AG20=1),(VLOOKUP(AF$1,test!$A$3:$I$32,8,FALSE))-(VLOOKUP($A51,test!$A$3:$I$32,9,FALSE))+test!$B$33,0)</f>
        <v>0</v>
      </c>
    </row>
    <row r="52" spans="1:32" x14ac:dyDescent="0.25">
      <c r="A52" t="s">
        <v>30</v>
      </c>
      <c r="B52">
        <v>0</v>
      </c>
      <c r="C52">
        <f>IF(AND(SUM(VLOOKUP($A52,test!$A$3:$F$32,2,FALSE),VLOOKUP(C$1,test!$A$3:$F$32,2,FALSE))&lt;test!$K$16,$A52&lt;&gt;C$1,feasible_mat!C52=1),(VLOOKUP(C$1,test!$A$3:$I$32,8,FALSE))-(VLOOKUP($A52,test!$A$3:$I$32,9,FALSE))+test!$B$33,0)</f>
        <v>0</v>
      </c>
      <c r="D52">
        <f>IF(AND(SUM(VLOOKUP($A52,test!$A$3:$F$32,2,FALSE),VLOOKUP(D$1,test!$A$3:$F$32,2,FALSE))&lt;test!$K$16,$A52&lt;&gt;D$1,Recharged_Feasible_mat!E21=1),(VLOOKUP(D$1,test!$A$3:$I$32,8,FALSE))-(VLOOKUP($A52,test!$A$3:$I$32,9,FALSE))+test!$B$33,0)</f>
        <v>0</v>
      </c>
      <c r="E52">
        <f>IF(AND(SUM(VLOOKUP($A52,test!$A$3:$F$32,2,FALSE),VLOOKUP(E$1,test!$A$3:$F$32,2,FALSE))&lt;test!$K$16,$A52&lt;&gt;E$1,Recharged_Feasible_mat!F21=1),(VLOOKUP(E$1,test!$A$3:$I$32,8,FALSE))-(VLOOKUP($A52,test!$A$3:$I$32,9,FALSE))+test!$B$33,0)</f>
        <v>0</v>
      </c>
      <c r="F52">
        <f>IF(AND(SUM(VLOOKUP($A52,test!$A$3:$F$32,2,FALSE),VLOOKUP(F$1,test!$A$3:$F$32,2,FALSE))&lt;test!$K$16,$A52&lt;&gt;F$1,Recharged_Feasible_mat!G21=1),(VLOOKUP(F$1,test!$A$3:$I$32,8,FALSE))-(VLOOKUP($A52,test!$A$3:$I$32,9,FALSE))+test!$B$33,0)</f>
        <v>0</v>
      </c>
      <c r="G52">
        <f>IF(AND(SUM(VLOOKUP($A52,test!$A$3:$F$32,2,FALSE),VLOOKUP(G$1,test!$A$3:$F$32,2,FALSE))&lt;test!$K$16,$A52&lt;&gt;G$1,Recharged_Feasible_mat!H21=1),(VLOOKUP(G$1,test!$A$3:$I$32,8,FALSE))-(VLOOKUP($A52,test!$A$3:$I$32,9,FALSE))+test!$B$33,0)</f>
        <v>0</v>
      </c>
      <c r="H52">
        <f>IF(AND(SUM(VLOOKUP($A52,test!$A$3:$F$32,2,FALSE),VLOOKUP(H$1,test!$A$3:$F$32,2,FALSE))&lt;test!$K$16,$A52&lt;&gt;H$1,Recharged_Feasible_mat!I21=1),(VLOOKUP(H$1,test!$A$3:$I$32,8,FALSE))-(VLOOKUP($A52,test!$A$3:$I$32,9,FALSE))+test!$B$33,0)</f>
        <v>0</v>
      </c>
      <c r="I52">
        <f>IF(AND(SUM(VLOOKUP($A52,test!$A$3:$F$32,2,FALSE),VLOOKUP(I$1,test!$A$3:$F$32,2,FALSE))&lt;test!$K$16,$A52&lt;&gt;I$1,Recharged_Feasible_mat!J21=1),(VLOOKUP(I$1,test!$A$3:$I$32,8,FALSE))-(VLOOKUP($A52,test!$A$3:$I$32,9,FALSE))+test!$B$33,0)</f>
        <v>0</v>
      </c>
      <c r="J52">
        <f>IF(AND(SUM(VLOOKUP($A52,test!$A$3:$F$32,2,FALSE),VLOOKUP(J$1,test!$A$3:$F$32,2,FALSE))&lt;test!$K$16,$A52&lt;&gt;J$1,Recharged_Feasible_mat!K21=1),(VLOOKUP(J$1,test!$A$3:$I$32,8,FALSE))-(VLOOKUP($A52,test!$A$3:$I$32,9,FALSE))+test!$B$33,0)</f>
        <v>205</v>
      </c>
      <c r="K52">
        <f>IF(AND(SUM(VLOOKUP($A52,test!$A$3:$F$32,2,FALSE),VLOOKUP(K$1,test!$A$3:$F$32,2,FALSE))&lt;test!$K$16,$A52&lt;&gt;K$1,Recharged_Feasible_mat!L21=1),(VLOOKUP(K$1,test!$A$3:$I$32,8,FALSE))-(VLOOKUP($A52,test!$A$3:$I$32,9,FALSE))+test!$B$33,0)</f>
        <v>0</v>
      </c>
      <c r="L52">
        <f>IF(AND(SUM(VLOOKUP($A52,test!$A$3:$F$32,2,FALSE),VLOOKUP(L$1,test!$A$3:$F$32,2,FALSE))&lt;test!$K$16,$A52&lt;&gt;L$1,Recharged_Feasible_mat!M21=1),(VLOOKUP(L$1,test!$A$3:$I$32,8,FALSE))-(VLOOKUP($A52,test!$A$3:$I$32,9,FALSE))+test!$B$33,0)</f>
        <v>0</v>
      </c>
      <c r="M52">
        <f>IF(AND(SUM(VLOOKUP($A52,test!$A$3:$F$32,2,FALSE),VLOOKUP(M$1,test!$A$3:$F$32,2,FALSE))&lt;test!$K$16,$A52&lt;&gt;M$1,Recharged_Feasible_mat!N21=1),(VLOOKUP(M$1,test!$A$3:$I$32,8,FALSE))-(VLOOKUP($A52,test!$A$3:$I$32,9,FALSE))+test!$B$33,0)</f>
        <v>0</v>
      </c>
      <c r="N52">
        <f>IF(AND(SUM(VLOOKUP($A52,test!$A$3:$F$32,2,FALSE),VLOOKUP(N$1,test!$A$3:$F$32,2,FALSE))&lt;test!$K$16,$A52&lt;&gt;N$1,Recharged_Feasible_mat!O21=1),(VLOOKUP(N$1,test!$A$3:$I$32,8,FALSE))-(VLOOKUP($A52,test!$A$3:$I$32,9,FALSE))+test!$B$33,0)</f>
        <v>170</v>
      </c>
      <c r="O52">
        <f>IF(AND(SUM(VLOOKUP($A52,test!$A$3:$F$32,2,FALSE),VLOOKUP(O$1,test!$A$3:$F$32,2,FALSE))&lt;test!$K$16,$A52&lt;&gt;O$1,Recharged_Feasible_mat!P21=1),(VLOOKUP(O$1,test!$A$3:$I$32,8,FALSE))-(VLOOKUP($A52,test!$A$3:$I$32,9,FALSE))+test!$B$33,0)</f>
        <v>230</v>
      </c>
      <c r="P52">
        <f>IF(AND(SUM(VLOOKUP($A52,test!$A$3:$F$32,2,FALSE),VLOOKUP(P$1,test!$A$3:$F$32,2,FALSE))&lt;test!$K$16,$A52&lt;&gt;P$1,Recharged_Feasible_mat!Q21=1),(VLOOKUP(P$1,test!$A$3:$I$32,8,FALSE))-(VLOOKUP($A52,test!$A$3:$I$32,9,FALSE))+test!$B$33,0)</f>
        <v>0</v>
      </c>
      <c r="Q52">
        <f>IF(AND(SUM(VLOOKUP($A52,test!$A$3:$F$32,2,FALSE),VLOOKUP(Q$1,test!$A$3:$F$32,2,FALSE))&lt;test!$K$16,$A52&lt;&gt;Q$1,Recharged_Feasible_mat!R21=1),(VLOOKUP(Q$1,test!$A$3:$I$32,8,FALSE))-(VLOOKUP($A52,test!$A$3:$I$32,9,FALSE))+test!$B$33,0)</f>
        <v>0</v>
      </c>
      <c r="R52">
        <f>IF(AND(SUM(VLOOKUP($A52,test!$A$3:$F$32,2,FALSE),VLOOKUP(R$1,test!$A$3:$F$32,2,FALSE))&lt;test!$K$16,$A52&lt;&gt;R$1,Recharged_Feasible_mat!S21=1),(VLOOKUP(R$1,test!$A$3:$I$32,8,FALSE))-(VLOOKUP($A52,test!$A$3:$I$32,9,FALSE))+test!$B$33,0)</f>
        <v>0</v>
      </c>
      <c r="S52">
        <f>IF(AND(SUM(VLOOKUP($A52,test!$A$3:$F$32,2,FALSE),VLOOKUP(S$1,test!$A$3:$F$32,2,FALSE))&lt;test!$K$16,$A52&lt;&gt;S$1,Recharged_Feasible_mat!T21=1),(VLOOKUP(S$1,test!$A$3:$I$32,8,FALSE))-(VLOOKUP($A52,test!$A$3:$I$32,9,FALSE))+test!$B$33,0)</f>
        <v>0</v>
      </c>
      <c r="T52">
        <f>IF(AND(SUM(VLOOKUP($A52,test!$A$3:$F$32,2,FALSE),VLOOKUP(T$1,test!$A$3:$F$32,2,FALSE))&lt;test!$K$16,$A52&lt;&gt;T$1,Recharged_Feasible_mat!U21=1),(VLOOKUP(T$1,test!$A$3:$I$32,8,FALSE))-(VLOOKUP($A52,test!$A$3:$I$32,9,FALSE))+test!$B$33,0)</f>
        <v>0</v>
      </c>
      <c r="U52">
        <f>IF(AND(SUM(VLOOKUP($A52,test!$A$3:$F$32,2,FALSE),VLOOKUP(U$1,test!$A$3:$F$32,2,FALSE))&lt;test!$K$16,$A52&lt;&gt;U$1,Recharged_Feasible_mat!V21=1),(VLOOKUP(U$1,test!$A$3:$I$32,8,FALSE))-(VLOOKUP($A52,test!$A$3:$I$32,9,FALSE))+test!$B$33,0)</f>
        <v>0</v>
      </c>
      <c r="V52">
        <f>IF(AND(SUM(VLOOKUP($A52,test!$A$3:$F$32,2,FALSE),VLOOKUP(V$1,test!$A$3:$F$32,2,FALSE))&lt;test!$K$16,$A52&lt;&gt;V$1,Recharged_Feasible_mat!W21=1),(VLOOKUP(V$1,test!$A$3:$I$32,8,FALSE))-(VLOOKUP($A52,test!$A$3:$I$32,9,FALSE))+test!$B$33,0)</f>
        <v>0</v>
      </c>
      <c r="W52">
        <f>IF(AND(SUM(VLOOKUP($A52,test!$A$3:$F$32,2,FALSE),VLOOKUP(W$1,test!$A$3:$F$32,2,FALSE))&lt;test!$K$16,$A52&lt;&gt;W$1,Recharged_Feasible_mat!X21=1),(VLOOKUP(W$1,test!$A$3:$I$32,8,FALSE))-(VLOOKUP($A52,test!$A$3:$I$32,9,FALSE))+test!$B$33,0)</f>
        <v>0</v>
      </c>
      <c r="X52">
        <f>IF(AND(SUM(VLOOKUP($A52,test!$A$3:$F$32,2,FALSE),VLOOKUP(X$1,test!$A$3:$F$32,2,FALSE))&lt;test!$K$16,$A52&lt;&gt;X$1,Recharged_Feasible_mat!Y21=1),(VLOOKUP(X$1,test!$A$3:$I$32,8,FALSE))-(VLOOKUP($A52,test!$A$3:$I$32,9,FALSE))+test!$B$33,0)</f>
        <v>155</v>
      </c>
      <c r="Y52">
        <f>IF(AND(SUM(VLOOKUP($A52,test!$A$3:$F$32,2,FALSE),VLOOKUP(Y$1,test!$A$3:$F$32,2,FALSE))&lt;test!$K$16,$A52&lt;&gt;Y$1,Recharged_Feasible_mat!Z21=1),(VLOOKUP(Y$1,test!$A$3:$I$32,8,FALSE))-(VLOOKUP($A52,test!$A$3:$I$32,9,FALSE))+test!$B$33,0)</f>
        <v>0</v>
      </c>
      <c r="Z52">
        <f>IF(AND(SUM(VLOOKUP($A52,test!$A$3:$F$32,2,FALSE),VLOOKUP(Z$1,test!$A$3:$F$32,2,FALSE))&lt;test!$K$16,$A52&lt;&gt;Z$1,Recharged_Feasible_mat!AA21=1),(VLOOKUP(Z$1,test!$A$3:$I$32,8,FALSE))-(VLOOKUP($A52,test!$A$3:$I$32,9,FALSE))+test!$B$33,0)</f>
        <v>0</v>
      </c>
      <c r="AA52">
        <f>IF(AND(SUM(VLOOKUP($A52,test!$A$3:$F$32,2,FALSE),VLOOKUP(AA$1,test!$A$3:$F$32,2,FALSE))&lt;test!$K$16,$A52&lt;&gt;AA$1,Recharged_Feasible_mat!AB21=1),(VLOOKUP(AA$1,test!$A$3:$I$32,8,FALSE))-(VLOOKUP($A52,test!$A$3:$I$32,9,FALSE))+test!$B$33,0)</f>
        <v>0</v>
      </c>
      <c r="AB52">
        <f>IF(AND(SUM(VLOOKUP($A52,test!$A$3:$F$32,2,FALSE),VLOOKUP(AB$1,test!$A$3:$F$32,2,FALSE))&lt;test!$K$16,$A52&lt;&gt;AB$1,Recharged_Feasible_mat!AC21=1),(VLOOKUP(AB$1,test!$A$3:$I$32,8,FALSE))-(VLOOKUP($A52,test!$A$3:$I$32,9,FALSE))+test!$B$33,0)</f>
        <v>0</v>
      </c>
      <c r="AC52">
        <f>IF(AND(SUM(VLOOKUP($A52,test!$A$3:$F$32,2,FALSE),VLOOKUP(AC$1,test!$A$3:$F$32,2,FALSE))&lt;test!$K$16,$A52&lt;&gt;AC$1,Recharged_Feasible_mat!AD21=1),(VLOOKUP(AC$1,test!$A$3:$I$32,8,FALSE))-(VLOOKUP($A52,test!$A$3:$I$32,9,FALSE))+test!$B$33,0)</f>
        <v>0</v>
      </c>
      <c r="AD52">
        <f>IF(AND(SUM(VLOOKUP($A52,test!$A$3:$F$32,2,FALSE),VLOOKUP(AD$1,test!$A$3:$F$32,2,FALSE))&lt;test!$K$16,$A52&lt;&gt;AD$1,Recharged_Feasible_mat!AE21=1),(VLOOKUP(AD$1,test!$A$3:$I$32,8,FALSE))-(VLOOKUP($A52,test!$A$3:$I$32,9,FALSE))+test!$B$33,0)</f>
        <v>0</v>
      </c>
      <c r="AE52">
        <f>IF(AND(SUM(VLOOKUP($A52,test!$A$3:$F$32,2,FALSE),VLOOKUP(AE$1,test!$A$3:$F$32,2,FALSE))&lt;test!$K$16,$A52&lt;&gt;AE$1,Recharged_Feasible_mat!AF21=1),(VLOOKUP(AE$1,test!$A$3:$I$32,8,FALSE))-(VLOOKUP($A52,test!$A$3:$I$32,9,FALSE))+test!$B$33,0)</f>
        <v>0</v>
      </c>
      <c r="AF52">
        <f>IF(AND(SUM(VLOOKUP($A52,test!$A$3:$F$32,2,FALSE),VLOOKUP(AF$1,test!$A$3:$F$32,2,FALSE))&lt;test!$K$16,$A52&lt;&gt;AF$1,Recharged_Feasible_mat!AG21=1),(VLOOKUP(AF$1,test!$A$3:$I$32,8,FALSE))-(VLOOKUP($A52,test!$A$3:$I$32,9,FALSE))+test!$B$33,0)</f>
        <v>0</v>
      </c>
    </row>
    <row r="53" spans="1:32" x14ac:dyDescent="0.25">
      <c r="A53" t="s">
        <v>31</v>
      </c>
      <c r="B53">
        <v>0</v>
      </c>
      <c r="C53">
        <f>IF(AND(SUM(VLOOKUP($A53,test!$A$3:$F$32,2,FALSE),VLOOKUP(C$1,test!$A$3:$F$32,2,FALSE))&lt;test!$K$16,$A53&lt;&gt;C$1,feasible_mat!C53=1),(VLOOKUP(C$1,test!$A$3:$I$32,8,FALSE))-(VLOOKUP($A53,test!$A$3:$I$32,9,FALSE))+test!$B$33,0)</f>
        <v>0</v>
      </c>
      <c r="D53">
        <f>IF(AND(SUM(VLOOKUP($A53,test!$A$3:$F$32,2,FALSE),VLOOKUP(D$1,test!$A$3:$F$32,2,FALSE))&lt;test!$K$16,$A53&lt;&gt;D$1,Recharged_Feasible_mat!E22=1),(VLOOKUP(D$1,test!$A$3:$I$32,8,FALSE))-(VLOOKUP($A53,test!$A$3:$I$32,9,FALSE))+test!$B$33,0)</f>
        <v>0</v>
      </c>
      <c r="E53">
        <f>IF(AND(SUM(VLOOKUP($A53,test!$A$3:$F$32,2,FALSE),VLOOKUP(E$1,test!$A$3:$F$32,2,FALSE))&lt;test!$K$16,$A53&lt;&gt;E$1,Recharged_Feasible_mat!F22=1),(VLOOKUP(E$1,test!$A$3:$I$32,8,FALSE))-(VLOOKUP($A53,test!$A$3:$I$32,9,FALSE))+test!$B$33,0)</f>
        <v>0</v>
      </c>
      <c r="F53">
        <f>IF(AND(SUM(VLOOKUP($A53,test!$A$3:$F$32,2,FALSE),VLOOKUP(F$1,test!$A$3:$F$32,2,FALSE))&lt;test!$K$16,$A53&lt;&gt;F$1,Recharged_Feasible_mat!G22=1),(VLOOKUP(F$1,test!$A$3:$I$32,8,FALSE))-(VLOOKUP($A53,test!$A$3:$I$32,9,FALSE))+test!$B$33,0)</f>
        <v>0</v>
      </c>
      <c r="G53">
        <f>IF(AND(SUM(VLOOKUP($A53,test!$A$3:$F$32,2,FALSE),VLOOKUP(G$1,test!$A$3:$F$32,2,FALSE))&lt;test!$K$16,$A53&lt;&gt;G$1,Recharged_Feasible_mat!H22=1),(VLOOKUP(G$1,test!$A$3:$I$32,8,FALSE))-(VLOOKUP($A53,test!$A$3:$I$32,9,FALSE))+test!$B$33,0)</f>
        <v>0</v>
      </c>
      <c r="H53">
        <f>IF(AND(SUM(VLOOKUP($A53,test!$A$3:$F$32,2,FALSE),VLOOKUP(H$1,test!$A$3:$F$32,2,FALSE))&lt;test!$K$16,$A53&lt;&gt;H$1,Recharged_Feasible_mat!I22=1),(VLOOKUP(H$1,test!$A$3:$I$32,8,FALSE))-(VLOOKUP($A53,test!$A$3:$I$32,9,FALSE))+test!$B$33,0)</f>
        <v>0</v>
      </c>
      <c r="I53">
        <f>IF(AND(SUM(VLOOKUP($A53,test!$A$3:$F$32,2,FALSE),VLOOKUP(I$1,test!$A$3:$F$32,2,FALSE))&lt;test!$K$16,$A53&lt;&gt;I$1,Recharged_Feasible_mat!J22=1),(VLOOKUP(I$1,test!$A$3:$I$32,8,FALSE))-(VLOOKUP($A53,test!$A$3:$I$32,9,FALSE))+test!$B$33,0)</f>
        <v>0</v>
      </c>
      <c r="J53">
        <f>IF(AND(SUM(VLOOKUP($A53,test!$A$3:$F$32,2,FALSE),VLOOKUP(J$1,test!$A$3:$F$32,2,FALSE))&lt;test!$K$16,$A53&lt;&gt;J$1,Recharged_Feasible_mat!K22=1),(VLOOKUP(J$1,test!$A$3:$I$32,8,FALSE))-(VLOOKUP($A53,test!$A$3:$I$32,9,FALSE))+test!$B$33,0)</f>
        <v>0</v>
      </c>
      <c r="K53">
        <f>IF(AND(SUM(VLOOKUP($A53,test!$A$3:$F$32,2,FALSE),VLOOKUP(K$1,test!$A$3:$F$32,2,FALSE))&lt;test!$K$16,$A53&lt;&gt;K$1,Recharged_Feasible_mat!L22=1),(VLOOKUP(K$1,test!$A$3:$I$32,8,FALSE))-(VLOOKUP($A53,test!$A$3:$I$32,9,FALSE))+test!$B$33,0)</f>
        <v>0</v>
      </c>
      <c r="L53">
        <f>IF(AND(SUM(VLOOKUP($A53,test!$A$3:$F$32,2,FALSE),VLOOKUP(L$1,test!$A$3:$F$32,2,FALSE))&lt;test!$K$16,$A53&lt;&gt;L$1,Recharged_Feasible_mat!M22=1),(VLOOKUP(L$1,test!$A$3:$I$32,8,FALSE))-(VLOOKUP($A53,test!$A$3:$I$32,9,FALSE))+test!$B$33,0)</f>
        <v>0</v>
      </c>
      <c r="M53">
        <f>IF(AND(SUM(VLOOKUP($A53,test!$A$3:$F$32,2,FALSE),VLOOKUP(M$1,test!$A$3:$F$32,2,FALSE))&lt;test!$K$16,$A53&lt;&gt;M$1,Recharged_Feasible_mat!N22=1),(VLOOKUP(M$1,test!$A$3:$I$32,8,FALSE))-(VLOOKUP($A53,test!$A$3:$I$32,9,FALSE))+test!$B$33,0)</f>
        <v>0</v>
      </c>
      <c r="N53">
        <f>IF(AND(SUM(VLOOKUP($A53,test!$A$3:$F$32,2,FALSE),VLOOKUP(N$1,test!$A$3:$F$32,2,FALSE))&lt;test!$K$16,$A53&lt;&gt;N$1,Recharged_Feasible_mat!O22=1),(VLOOKUP(N$1,test!$A$3:$I$32,8,FALSE))-(VLOOKUP($A53,test!$A$3:$I$32,9,FALSE))+test!$B$33,0)</f>
        <v>0</v>
      </c>
      <c r="O53">
        <f>IF(AND(SUM(VLOOKUP($A53,test!$A$3:$F$32,2,FALSE),VLOOKUP(O$1,test!$A$3:$F$32,2,FALSE))&lt;test!$K$16,$A53&lt;&gt;O$1,Recharged_Feasible_mat!P22=1),(VLOOKUP(O$1,test!$A$3:$I$32,8,FALSE))-(VLOOKUP($A53,test!$A$3:$I$32,9,FALSE))+test!$B$33,0)</f>
        <v>140</v>
      </c>
      <c r="P53">
        <f>IF(AND(SUM(VLOOKUP($A53,test!$A$3:$F$32,2,FALSE),VLOOKUP(P$1,test!$A$3:$F$32,2,FALSE))&lt;test!$K$16,$A53&lt;&gt;P$1,Recharged_Feasible_mat!Q22=1),(VLOOKUP(P$1,test!$A$3:$I$32,8,FALSE))-(VLOOKUP($A53,test!$A$3:$I$32,9,FALSE))+test!$B$33,0)</f>
        <v>0</v>
      </c>
      <c r="Q53">
        <f>IF(AND(SUM(VLOOKUP($A53,test!$A$3:$F$32,2,FALSE),VLOOKUP(Q$1,test!$A$3:$F$32,2,FALSE))&lt;test!$K$16,$A53&lt;&gt;Q$1,Recharged_Feasible_mat!R22=1),(VLOOKUP(Q$1,test!$A$3:$I$32,8,FALSE))-(VLOOKUP($A53,test!$A$3:$I$32,9,FALSE))+test!$B$33,0)</f>
        <v>0</v>
      </c>
      <c r="R53">
        <f>IF(AND(SUM(VLOOKUP($A53,test!$A$3:$F$32,2,FALSE),VLOOKUP(R$1,test!$A$3:$F$32,2,FALSE))&lt;test!$K$16,$A53&lt;&gt;R$1,Recharged_Feasible_mat!S22=1),(VLOOKUP(R$1,test!$A$3:$I$32,8,FALSE))-(VLOOKUP($A53,test!$A$3:$I$32,9,FALSE))+test!$B$33,0)</f>
        <v>0</v>
      </c>
      <c r="S53">
        <f>IF(AND(SUM(VLOOKUP($A53,test!$A$3:$F$32,2,FALSE),VLOOKUP(S$1,test!$A$3:$F$32,2,FALSE))&lt;test!$K$16,$A53&lt;&gt;S$1,Recharged_Feasible_mat!T22=1),(VLOOKUP(S$1,test!$A$3:$I$32,8,FALSE))-(VLOOKUP($A53,test!$A$3:$I$32,9,FALSE))+test!$B$33,0)</f>
        <v>0</v>
      </c>
      <c r="T53">
        <f>IF(AND(SUM(VLOOKUP($A53,test!$A$3:$F$32,2,FALSE),VLOOKUP(T$1,test!$A$3:$F$32,2,FALSE))&lt;test!$K$16,$A53&lt;&gt;T$1,Recharged_Feasible_mat!U22=1),(VLOOKUP(T$1,test!$A$3:$I$32,8,FALSE))-(VLOOKUP($A53,test!$A$3:$I$32,9,FALSE))+test!$B$33,0)</f>
        <v>0</v>
      </c>
      <c r="U53">
        <f>IF(AND(SUM(VLOOKUP($A53,test!$A$3:$F$32,2,FALSE),VLOOKUP(U$1,test!$A$3:$F$32,2,FALSE))&lt;test!$K$16,$A53&lt;&gt;U$1,Recharged_Feasible_mat!V22=1),(VLOOKUP(U$1,test!$A$3:$I$32,8,FALSE))-(VLOOKUP($A53,test!$A$3:$I$32,9,FALSE))+test!$B$33,0)</f>
        <v>0</v>
      </c>
      <c r="V53">
        <f>IF(AND(SUM(VLOOKUP($A53,test!$A$3:$F$32,2,FALSE),VLOOKUP(V$1,test!$A$3:$F$32,2,FALSE))&lt;test!$K$16,$A53&lt;&gt;V$1,Recharged_Feasible_mat!W22=1),(VLOOKUP(V$1,test!$A$3:$I$32,8,FALSE))-(VLOOKUP($A53,test!$A$3:$I$32,9,FALSE))+test!$B$33,0)</f>
        <v>0</v>
      </c>
      <c r="W53">
        <f>IF(AND(SUM(VLOOKUP($A53,test!$A$3:$F$32,2,FALSE),VLOOKUP(W$1,test!$A$3:$F$32,2,FALSE))&lt;test!$K$16,$A53&lt;&gt;W$1,Recharged_Feasible_mat!X22=1),(VLOOKUP(W$1,test!$A$3:$I$32,8,FALSE))-(VLOOKUP($A53,test!$A$3:$I$32,9,FALSE))+test!$B$33,0)</f>
        <v>0</v>
      </c>
      <c r="X53">
        <f>IF(AND(SUM(VLOOKUP($A53,test!$A$3:$F$32,2,FALSE),VLOOKUP(X$1,test!$A$3:$F$32,2,FALSE))&lt;test!$K$16,$A53&lt;&gt;X$1,Recharged_Feasible_mat!Y22=1),(VLOOKUP(X$1,test!$A$3:$I$32,8,FALSE))-(VLOOKUP($A53,test!$A$3:$I$32,9,FALSE))+test!$B$33,0)</f>
        <v>0</v>
      </c>
      <c r="Y53">
        <f>IF(AND(SUM(VLOOKUP($A53,test!$A$3:$F$32,2,FALSE),VLOOKUP(Y$1,test!$A$3:$F$32,2,FALSE))&lt;test!$K$16,$A53&lt;&gt;Y$1,Recharged_Feasible_mat!Z22=1),(VLOOKUP(Y$1,test!$A$3:$I$32,8,FALSE))-(VLOOKUP($A53,test!$A$3:$I$32,9,FALSE))+test!$B$33,0)</f>
        <v>0</v>
      </c>
      <c r="Z53">
        <f>IF(AND(SUM(VLOOKUP($A53,test!$A$3:$F$32,2,FALSE),VLOOKUP(Z$1,test!$A$3:$F$32,2,FALSE))&lt;test!$K$16,$A53&lt;&gt;Z$1,Recharged_Feasible_mat!AA22=1),(VLOOKUP(Z$1,test!$A$3:$I$32,8,FALSE))-(VLOOKUP($A53,test!$A$3:$I$32,9,FALSE))+test!$B$33,0)</f>
        <v>0</v>
      </c>
      <c r="AA53">
        <f>IF(AND(SUM(VLOOKUP($A53,test!$A$3:$F$32,2,FALSE),VLOOKUP(AA$1,test!$A$3:$F$32,2,FALSE))&lt;test!$K$16,$A53&lt;&gt;AA$1,Recharged_Feasible_mat!AB22=1),(VLOOKUP(AA$1,test!$A$3:$I$32,8,FALSE))-(VLOOKUP($A53,test!$A$3:$I$32,9,FALSE))+test!$B$33,0)</f>
        <v>0</v>
      </c>
      <c r="AB53">
        <f>IF(AND(SUM(VLOOKUP($A53,test!$A$3:$F$32,2,FALSE),VLOOKUP(AB$1,test!$A$3:$F$32,2,FALSE))&lt;test!$K$16,$A53&lt;&gt;AB$1,Recharged_Feasible_mat!AC22=1),(VLOOKUP(AB$1,test!$A$3:$I$32,8,FALSE))-(VLOOKUP($A53,test!$A$3:$I$32,9,FALSE))+test!$B$33,0)</f>
        <v>0</v>
      </c>
      <c r="AC53">
        <f>IF(AND(SUM(VLOOKUP($A53,test!$A$3:$F$32,2,FALSE),VLOOKUP(AC$1,test!$A$3:$F$32,2,FALSE))&lt;test!$K$16,$A53&lt;&gt;AC$1,Recharged_Feasible_mat!AD22=1),(VLOOKUP(AC$1,test!$A$3:$I$32,8,FALSE))-(VLOOKUP($A53,test!$A$3:$I$32,9,FALSE))+test!$B$33,0)</f>
        <v>0</v>
      </c>
      <c r="AD53">
        <f>IF(AND(SUM(VLOOKUP($A53,test!$A$3:$F$32,2,FALSE),VLOOKUP(AD$1,test!$A$3:$F$32,2,FALSE))&lt;test!$K$16,$A53&lt;&gt;AD$1,Recharged_Feasible_mat!AE22=1),(VLOOKUP(AD$1,test!$A$3:$I$32,8,FALSE))-(VLOOKUP($A53,test!$A$3:$I$32,9,FALSE))+test!$B$33,0)</f>
        <v>0</v>
      </c>
      <c r="AE53">
        <f>IF(AND(SUM(VLOOKUP($A53,test!$A$3:$F$32,2,FALSE),VLOOKUP(AE$1,test!$A$3:$F$32,2,FALSE))&lt;test!$K$16,$A53&lt;&gt;AE$1,Recharged_Feasible_mat!AF22=1),(VLOOKUP(AE$1,test!$A$3:$I$32,8,FALSE))-(VLOOKUP($A53,test!$A$3:$I$32,9,FALSE))+test!$B$33,0)</f>
        <v>0</v>
      </c>
      <c r="AF53">
        <f>IF(AND(SUM(VLOOKUP($A53,test!$A$3:$F$32,2,FALSE),VLOOKUP(AF$1,test!$A$3:$F$32,2,FALSE))&lt;test!$K$16,$A53&lt;&gt;AF$1,Recharged_Feasible_mat!AG22=1),(VLOOKUP(AF$1,test!$A$3:$I$32,8,FALSE))-(VLOOKUP($A53,test!$A$3:$I$32,9,FALSE))+test!$B$33,0)</f>
        <v>0</v>
      </c>
    </row>
    <row r="54" spans="1:32" x14ac:dyDescent="0.25">
      <c r="A54" t="s">
        <v>32</v>
      </c>
      <c r="B54">
        <v>0</v>
      </c>
      <c r="C54">
        <f>IF(AND(SUM(VLOOKUP($A54,test!$A$3:$F$32,2,FALSE),VLOOKUP(C$1,test!$A$3:$F$32,2,FALSE))&lt;test!$K$16,$A54&lt;&gt;C$1,feasible_mat!C54=1),(VLOOKUP(C$1,test!$A$3:$I$32,8,FALSE))-(VLOOKUP($A54,test!$A$3:$I$32,9,FALSE))+test!$B$33,0)</f>
        <v>0</v>
      </c>
      <c r="D54">
        <f>IF(AND(SUM(VLOOKUP($A54,test!$A$3:$F$32,2,FALSE),VLOOKUP(D$1,test!$A$3:$F$32,2,FALSE))&lt;test!$K$16,$A54&lt;&gt;D$1,Recharged_Feasible_mat!E23=1),(VLOOKUP(D$1,test!$A$3:$I$32,8,FALSE))-(VLOOKUP($A54,test!$A$3:$I$32,9,FALSE))+test!$B$33,0)</f>
        <v>0</v>
      </c>
      <c r="E54">
        <f>IF(AND(SUM(VLOOKUP($A54,test!$A$3:$F$32,2,FALSE),VLOOKUP(E$1,test!$A$3:$F$32,2,FALSE))&lt;test!$K$16,$A54&lt;&gt;E$1,Recharged_Feasible_mat!F23=1),(VLOOKUP(E$1,test!$A$3:$I$32,8,FALSE))-(VLOOKUP($A54,test!$A$3:$I$32,9,FALSE))+test!$B$33,0)</f>
        <v>0</v>
      </c>
      <c r="F54">
        <f>IF(AND(SUM(VLOOKUP($A54,test!$A$3:$F$32,2,FALSE),VLOOKUP(F$1,test!$A$3:$F$32,2,FALSE))&lt;test!$K$16,$A54&lt;&gt;F$1,Recharged_Feasible_mat!G23=1),(VLOOKUP(F$1,test!$A$3:$I$32,8,FALSE))-(VLOOKUP($A54,test!$A$3:$I$32,9,FALSE))+test!$B$33,0)</f>
        <v>0</v>
      </c>
      <c r="G54">
        <f>IF(AND(SUM(VLOOKUP($A54,test!$A$3:$F$32,2,FALSE),VLOOKUP(G$1,test!$A$3:$F$32,2,FALSE))&lt;test!$K$16,$A54&lt;&gt;G$1,Recharged_Feasible_mat!H23=1),(VLOOKUP(G$1,test!$A$3:$I$32,8,FALSE))-(VLOOKUP($A54,test!$A$3:$I$32,9,FALSE))+test!$B$33,0)</f>
        <v>0</v>
      </c>
      <c r="H54">
        <f>IF(AND(SUM(VLOOKUP($A54,test!$A$3:$F$32,2,FALSE),VLOOKUP(H$1,test!$A$3:$F$32,2,FALSE))&lt;test!$K$16,$A54&lt;&gt;H$1,Recharged_Feasible_mat!I23=1),(VLOOKUP(H$1,test!$A$3:$I$32,8,FALSE))-(VLOOKUP($A54,test!$A$3:$I$32,9,FALSE))+test!$B$33,0)</f>
        <v>0</v>
      </c>
      <c r="I54">
        <f>IF(AND(SUM(VLOOKUP($A54,test!$A$3:$F$32,2,FALSE),VLOOKUP(I$1,test!$A$3:$F$32,2,FALSE))&lt;test!$K$16,$A54&lt;&gt;I$1,Recharged_Feasible_mat!J23=1),(VLOOKUP(I$1,test!$A$3:$I$32,8,FALSE))-(VLOOKUP($A54,test!$A$3:$I$32,9,FALSE))+test!$B$33,0)</f>
        <v>0</v>
      </c>
      <c r="J54">
        <f>IF(AND(SUM(VLOOKUP($A54,test!$A$3:$F$32,2,FALSE),VLOOKUP(J$1,test!$A$3:$F$32,2,FALSE))&lt;test!$K$16,$A54&lt;&gt;J$1,Recharged_Feasible_mat!K23=1),(VLOOKUP(J$1,test!$A$3:$I$32,8,FALSE))-(VLOOKUP($A54,test!$A$3:$I$32,9,FALSE))+test!$B$33,0)</f>
        <v>0</v>
      </c>
      <c r="K54">
        <f>IF(AND(SUM(VLOOKUP($A54,test!$A$3:$F$32,2,FALSE),VLOOKUP(K$1,test!$A$3:$F$32,2,FALSE))&lt;test!$K$16,$A54&lt;&gt;K$1,Recharged_Feasible_mat!L23=1),(VLOOKUP(K$1,test!$A$3:$I$32,8,FALSE))-(VLOOKUP($A54,test!$A$3:$I$32,9,FALSE))+test!$B$33,0)</f>
        <v>0</v>
      </c>
      <c r="L54">
        <f>IF(AND(SUM(VLOOKUP($A54,test!$A$3:$F$32,2,FALSE),VLOOKUP(L$1,test!$A$3:$F$32,2,FALSE))&lt;test!$K$16,$A54&lt;&gt;L$1,Recharged_Feasible_mat!M23=1),(VLOOKUP(L$1,test!$A$3:$I$32,8,FALSE))-(VLOOKUP($A54,test!$A$3:$I$32,9,FALSE))+test!$B$33,0)</f>
        <v>0</v>
      </c>
      <c r="M54">
        <f>IF(AND(SUM(VLOOKUP($A54,test!$A$3:$F$32,2,FALSE),VLOOKUP(M$1,test!$A$3:$F$32,2,FALSE))&lt;test!$K$16,$A54&lt;&gt;M$1,Recharged_Feasible_mat!N23=1),(VLOOKUP(M$1,test!$A$3:$I$32,8,FALSE))-(VLOOKUP($A54,test!$A$3:$I$32,9,FALSE))+test!$B$33,0)</f>
        <v>0</v>
      </c>
      <c r="N54">
        <f>IF(AND(SUM(VLOOKUP($A54,test!$A$3:$F$32,2,FALSE),VLOOKUP(N$1,test!$A$3:$F$32,2,FALSE))&lt;test!$K$16,$A54&lt;&gt;N$1,Recharged_Feasible_mat!O23=1),(VLOOKUP(N$1,test!$A$3:$I$32,8,FALSE))-(VLOOKUP($A54,test!$A$3:$I$32,9,FALSE))+test!$B$33,0)</f>
        <v>0</v>
      </c>
      <c r="O54">
        <f>IF(AND(SUM(VLOOKUP($A54,test!$A$3:$F$32,2,FALSE),VLOOKUP(O$1,test!$A$3:$F$32,2,FALSE))&lt;test!$K$16,$A54&lt;&gt;O$1,Recharged_Feasible_mat!P23=1),(VLOOKUP(O$1,test!$A$3:$I$32,8,FALSE))-(VLOOKUP($A54,test!$A$3:$I$32,9,FALSE))+test!$B$33,0)</f>
        <v>0</v>
      </c>
      <c r="P54">
        <f>IF(AND(SUM(VLOOKUP($A54,test!$A$3:$F$32,2,FALSE),VLOOKUP(P$1,test!$A$3:$F$32,2,FALSE))&lt;test!$K$16,$A54&lt;&gt;P$1,Recharged_Feasible_mat!Q23=1),(VLOOKUP(P$1,test!$A$3:$I$32,8,FALSE))-(VLOOKUP($A54,test!$A$3:$I$32,9,FALSE))+test!$B$33,0)</f>
        <v>0</v>
      </c>
      <c r="Q54">
        <f>IF(AND(SUM(VLOOKUP($A54,test!$A$3:$F$32,2,FALSE),VLOOKUP(Q$1,test!$A$3:$F$32,2,FALSE))&lt;test!$K$16,$A54&lt;&gt;Q$1,Recharged_Feasible_mat!R23=1),(VLOOKUP(Q$1,test!$A$3:$I$32,8,FALSE))-(VLOOKUP($A54,test!$A$3:$I$32,9,FALSE))+test!$B$33,0)</f>
        <v>0</v>
      </c>
      <c r="R54">
        <f>IF(AND(SUM(VLOOKUP($A54,test!$A$3:$F$32,2,FALSE),VLOOKUP(R$1,test!$A$3:$F$32,2,FALSE))&lt;test!$K$16,$A54&lt;&gt;R$1,Recharged_Feasible_mat!S23=1),(VLOOKUP(R$1,test!$A$3:$I$32,8,FALSE))-(VLOOKUP($A54,test!$A$3:$I$32,9,FALSE))+test!$B$33,0)</f>
        <v>0</v>
      </c>
      <c r="S54">
        <f>IF(AND(SUM(VLOOKUP($A54,test!$A$3:$F$32,2,FALSE),VLOOKUP(S$1,test!$A$3:$F$32,2,FALSE))&lt;test!$K$16,$A54&lt;&gt;S$1,Recharged_Feasible_mat!T23=1),(VLOOKUP(S$1,test!$A$3:$I$32,8,FALSE))-(VLOOKUP($A54,test!$A$3:$I$32,9,FALSE))+test!$B$33,0)</f>
        <v>0</v>
      </c>
      <c r="T54">
        <f>IF(AND(SUM(VLOOKUP($A54,test!$A$3:$F$32,2,FALSE),VLOOKUP(T$1,test!$A$3:$F$32,2,FALSE))&lt;test!$K$16,$A54&lt;&gt;T$1,Recharged_Feasible_mat!U23=1),(VLOOKUP(T$1,test!$A$3:$I$32,8,FALSE))-(VLOOKUP($A54,test!$A$3:$I$32,9,FALSE))+test!$B$33,0)</f>
        <v>0</v>
      </c>
      <c r="U54">
        <f>IF(AND(SUM(VLOOKUP($A54,test!$A$3:$F$32,2,FALSE),VLOOKUP(U$1,test!$A$3:$F$32,2,FALSE))&lt;test!$K$16,$A54&lt;&gt;U$1,Recharged_Feasible_mat!V23=1),(VLOOKUP(U$1,test!$A$3:$I$32,8,FALSE))-(VLOOKUP($A54,test!$A$3:$I$32,9,FALSE))+test!$B$33,0)</f>
        <v>0</v>
      </c>
      <c r="V54">
        <f>IF(AND(SUM(VLOOKUP($A54,test!$A$3:$F$32,2,FALSE),VLOOKUP(V$1,test!$A$3:$F$32,2,FALSE))&lt;test!$K$16,$A54&lt;&gt;V$1,Recharged_Feasible_mat!W23=1),(VLOOKUP(V$1,test!$A$3:$I$32,8,FALSE))-(VLOOKUP($A54,test!$A$3:$I$32,9,FALSE))+test!$B$33,0)</f>
        <v>0</v>
      </c>
      <c r="W54">
        <f>IF(AND(SUM(VLOOKUP($A54,test!$A$3:$F$32,2,FALSE),VLOOKUP(W$1,test!$A$3:$F$32,2,FALSE))&lt;test!$K$16,$A54&lt;&gt;W$1,Recharged_Feasible_mat!X23=1),(VLOOKUP(W$1,test!$A$3:$I$32,8,FALSE))-(VLOOKUP($A54,test!$A$3:$I$32,9,FALSE))+test!$B$33,0)</f>
        <v>0</v>
      </c>
      <c r="X54">
        <f>IF(AND(SUM(VLOOKUP($A54,test!$A$3:$F$32,2,FALSE),VLOOKUP(X$1,test!$A$3:$F$32,2,FALSE))&lt;test!$K$16,$A54&lt;&gt;X$1,Recharged_Feasible_mat!Y23=1),(VLOOKUP(X$1,test!$A$3:$I$32,8,FALSE))-(VLOOKUP($A54,test!$A$3:$I$32,9,FALSE))+test!$B$33,0)</f>
        <v>0</v>
      </c>
      <c r="Y54">
        <f>IF(AND(SUM(VLOOKUP($A54,test!$A$3:$F$32,2,FALSE),VLOOKUP(Y$1,test!$A$3:$F$32,2,FALSE))&lt;test!$K$16,$A54&lt;&gt;Y$1,Recharged_Feasible_mat!Z23=1),(VLOOKUP(Y$1,test!$A$3:$I$32,8,FALSE))-(VLOOKUP($A54,test!$A$3:$I$32,9,FALSE))+test!$B$33,0)</f>
        <v>0</v>
      </c>
      <c r="Z54">
        <f>IF(AND(SUM(VLOOKUP($A54,test!$A$3:$F$32,2,FALSE),VLOOKUP(Z$1,test!$A$3:$F$32,2,FALSE))&lt;test!$K$16,$A54&lt;&gt;Z$1,Recharged_Feasible_mat!AA23=1),(VLOOKUP(Z$1,test!$A$3:$I$32,8,FALSE))-(VLOOKUP($A54,test!$A$3:$I$32,9,FALSE))+test!$B$33,0)</f>
        <v>0</v>
      </c>
      <c r="AA54">
        <f>IF(AND(SUM(VLOOKUP($A54,test!$A$3:$F$32,2,FALSE),VLOOKUP(AA$1,test!$A$3:$F$32,2,FALSE))&lt;test!$K$16,$A54&lt;&gt;AA$1,Recharged_Feasible_mat!AB23=1),(VLOOKUP(AA$1,test!$A$3:$I$32,8,FALSE))-(VLOOKUP($A54,test!$A$3:$I$32,9,FALSE))+test!$B$33,0)</f>
        <v>0</v>
      </c>
      <c r="AB54">
        <f>IF(AND(SUM(VLOOKUP($A54,test!$A$3:$F$32,2,FALSE),VLOOKUP(AB$1,test!$A$3:$F$32,2,FALSE))&lt;test!$K$16,$A54&lt;&gt;AB$1,Recharged_Feasible_mat!AC23=1),(VLOOKUP(AB$1,test!$A$3:$I$32,8,FALSE))-(VLOOKUP($A54,test!$A$3:$I$32,9,FALSE))+test!$B$33,0)</f>
        <v>0</v>
      </c>
      <c r="AC54">
        <f>IF(AND(SUM(VLOOKUP($A54,test!$A$3:$F$32,2,FALSE),VLOOKUP(AC$1,test!$A$3:$F$32,2,FALSE))&lt;test!$K$16,$A54&lt;&gt;AC$1,Recharged_Feasible_mat!AD23=1),(VLOOKUP(AC$1,test!$A$3:$I$32,8,FALSE))-(VLOOKUP($A54,test!$A$3:$I$32,9,FALSE))+test!$B$33,0)</f>
        <v>0</v>
      </c>
      <c r="AD54">
        <f>IF(AND(SUM(VLOOKUP($A54,test!$A$3:$F$32,2,FALSE),VLOOKUP(AD$1,test!$A$3:$F$32,2,FALSE))&lt;test!$K$16,$A54&lt;&gt;AD$1,Recharged_Feasible_mat!AE23=1),(VLOOKUP(AD$1,test!$A$3:$I$32,8,FALSE))-(VLOOKUP($A54,test!$A$3:$I$32,9,FALSE))+test!$B$33,0)</f>
        <v>0</v>
      </c>
      <c r="AE54">
        <f>IF(AND(SUM(VLOOKUP($A54,test!$A$3:$F$32,2,FALSE),VLOOKUP(AE$1,test!$A$3:$F$32,2,FALSE))&lt;test!$K$16,$A54&lt;&gt;AE$1,Recharged_Feasible_mat!AF23=1),(VLOOKUP(AE$1,test!$A$3:$I$32,8,FALSE))-(VLOOKUP($A54,test!$A$3:$I$32,9,FALSE))+test!$B$33,0)</f>
        <v>0</v>
      </c>
      <c r="AF54">
        <f>IF(AND(SUM(VLOOKUP($A54,test!$A$3:$F$32,2,FALSE),VLOOKUP(AF$1,test!$A$3:$F$32,2,FALSE))&lt;test!$K$16,$A54&lt;&gt;AF$1,Recharged_Feasible_mat!AG23=1),(VLOOKUP(AF$1,test!$A$3:$I$32,8,FALSE))-(VLOOKUP($A54,test!$A$3:$I$32,9,FALSE))+test!$B$33,0)</f>
        <v>0</v>
      </c>
    </row>
    <row r="55" spans="1:32" x14ac:dyDescent="0.25">
      <c r="A55" t="s">
        <v>33</v>
      </c>
      <c r="B55">
        <v>0</v>
      </c>
      <c r="C55">
        <f>IF(AND(SUM(VLOOKUP($A55,test!$A$3:$F$32,2,FALSE),VLOOKUP(C$1,test!$A$3:$F$32,2,FALSE))&lt;test!$K$16,$A55&lt;&gt;C$1,feasible_mat!C55=1),(VLOOKUP(C$1,test!$A$3:$I$32,8,FALSE))-(VLOOKUP($A55,test!$A$3:$I$32,9,FALSE))+test!$B$33,0)</f>
        <v>0</v>
      </c>
      <c r="D55">
        <f>IF(AND(SUM(VLOOKUP($A55,test!$A$3:$F$32,2,FALSE),VLOOKUP(D$1,test!$A$3:$F$32,2,FALSE))&lt;test!$K$16,$A55&lt;&gt;D$1,Recharged_Feasible_mat!E24=1),(VLOOKUP(D$1,test!$A$3:$I$32,8,FALSE))-(VLOOKUP($A55,test!$A$3:$I$32,9,FALSE))+test!$B$33,0)</f>
        <v>0</v>
      </c>
      <c r="E55">
        <f>IF(AND(SUM(VLOOKUP($A55,test!$A$3:$F$32,2,FALSE),VLOOKUP(E$1,test!$A$3:$F$32,2,FALSE))&lt;test!$K$16,$A55&lt;&gt;E$1,Recharged_Feasible_mat!F24=1),(VLOOKUP(E$1,test!$A$3:$I$32,8,FALSE))-(VLOOKUP($A55,test!$A$3:$I$32,9,FALSE))+test!$B$33,0)</f>
        <v>0</v>
      </c>
      <c r="F55">
        <f>IF(AND(SUM(VLOOKUP($A55,test!$A$3:$F$32,2,FALSE),VLOOKUP(F$1,test!$A$3:$F$32,2,FALSE))&lt;test!$K$16,$A55&lt;&gt;F$1,Recharged_Feasible_mat!G24=1),(VLOOKUP(F$1,test!$A$3:$I$32,8,FALSE))-(VLOOKUP($A55,test!$A$3:$I$32,9,FALSE))+test!$B$33,0)</f>
        <v>0</v>
      </c>
      <c r="G55">
        <f>IF(AND(SUM(VLOOKUP($A55,test!$A$3:$F$32,2,FALSE),VLOOKUP(G$1,test!$A$3:$F$32,2,FALSE))&lt;test!$K$16,$A55&lt;&gt;G$1,Recharged_Feasible_mat!H24=1),(VLOOKUP(G$1,test!$A$3:$I$32,8,FALSE))-(VLOOKUP($A55,test!$A$3:$I$32,9,FALSE))+test!$B$33,0)</f>
        <v>0</v>
      </c>
      <c r="H55">
        <f>IF(AND(SUM(VLOOKUP($A55,test!$A$3:$F$32,2,FALSE),VLOOKUP(H$1,test!$A$3:$F$32,2,FALSE))&lt;test!$K$16,$A55&lt;&gt;H$1,Recharged_Feasible_mat!I24=1),(VLOOKUP(H$1,test!$A$3:$I$32,8,FALSE))-(VLOOKUP($A55,test!$A$3:$I$32,9,FALSE))+test!$B$33,0)</f>
        <v>0</v>
      </c>
      <c r="I55">
        <f>IF(AND(SUM(VLOOKUP($A55,test!$A$3:$F$32,2,FALSE),VLOOKUP(I$1,test!$A$3:$F$32,2,FALSE))&lt;test!$K$16,$A55&lt;&gt;I$1,Recharged_Feasible_mat!J24=1),(VLOOKUP(I$1,test!$A$3:$I$32,8,FALSE))-(VLOOKUP($A55,test!$A$3:$I$32,9,FALSE))+test!$B$33,0)</f>
        <v>0</v>
      </c>
      <c r="J55">
        <f>IF(AND(SUM(VLOOKUP($A55,test!$A$3:$F$32,2,FALSE),VLOOKUP(J$1,test!$A$3:$F$32,2,FALSE))&lt;test!$K$16,$A55&lt;&gt;J$1,Recharged_Feasible_mat!K24=1),(VLOOKUP(J$1,test!$A$3:$I$32,8,FALSE))-(VLOOKUP($A55,test!$A$3:$I$32,9,FALSE))+test!$B$33,0)</f>
        <v>0</v>
      </c>
      <c r="K55">
        <f>IF(AND(SUM(VLOOKUP($A55,test!$A$3:$F$32,2,FALSE),VLOOKUP(K$1,test!$A$3:$F$32,2,FALSE))&lt;test!$K$16,$A55&lt;&gt;K$1,Recharged_Feasible_mat!L24=1),(VLOOKUP(K$1,test!$A$3:$I$32,8,FALSE))-(VLOOKUP($A55,test!$A$3:$I$32,9,FALSE))+test!$B$33,0)</f>
        <v>0</v>
      </c>
      <c r="L55">
        <f>IF(AND(SUM(VLOOKUP($A55,test!$A$3:$F$32,2,FALSE),VLOOKUP(L$1,test!$A$3:$F$32,2,FALSE))&lt;test!$K$16,$A55&lt;&gt;L$1,Recharged_Feasible_mat!M24=1),(VLOOKUP(L$1,test!$A$3:$I$32,8,FALSE))-(VLOOKUP($A55,test!$A$3:$I$32,9,FALSE))+test!$B$33,0)</f>
        <v>0</v>
      </c>
      <c r="M55">
        <f>IF(AND(SUM(VLOOKUP($A55,test!$A$3:$F$32,2,FALSE),VLOOKUP(M$1,test!$A$3:$F$32,2,FALSE))&lt;test!$K$16,$A55&lt;&gt;M$1,Recharged_Feasible_mat!N24=1),(VLOOKUP(M$1,test!$A$3:$I$32,8,FALSE))-(VLOOKUP($A55,test!$A$3:$I$32,9,FALSE))+test!$B$33,0)</f>
        <v>0</v>
      </c>
      <c r="N55">
        <f>IF(AND(SUM(VLOOKUP($A55,test!$A$3:$F$32,2,FALSE),VLOOKUP(N$1,test!$A$3:$F$32,2,FALSE))&lt;test!$K$16,$A55&lt;&gt;N$1,Recharged_Feasible_mat!O24=1),(VLOOKUP(N$1,test!$A$3:$I$32,8,FALSE))-(VLOOKUP($A55,test!$A$3:$I$32,9,FALSE))+test!$B$33,0)</f>
        <v>0</v>
      </c>
      <c r="O55">
        <f>IF(AND(SUM(VLOOKUP($A55,test!$A$3:$F$32,2,FALSE),VLOOKUP(O$1,test!$A$3:$F$32,2,FALSE))&lt;test!$K$16,$A55&lt;&gt;O$1,Recharged_Feasible_mat!P24=1),(VLOOKUP(O$1,test!$A$3:$I$32,8,FALSE))-(VLOOKUP($A55,test!$A$3:$I$32,9,FALSE))+test!$B$33,0)</f>
        <v>0</v>
      </c>
      <c r="P55">
        <f>IF(AND(SUM(VLOOKUP($A55,test!$A$3:$F$32,2,FALSE),VLOOKUP(P$1,test!$A$3:$F$32,2,FALSE))&lt;test!$K$16,$A55&lt;&gt;P$1,Recharged_Feasible_mat!Q24=1),(VLOOKUP(P$1,test!$A$3:$I$32,8,FALSE))-(VLOOKUP($A55,test!$A$3:$I$32,9,FALSE))+test!$B$33,0)</f>
        <v>0</v>
      </c>
      <c r="Q55">
        <f>IF(AND(SUM(VLOOKUP($A55,test!$A$3:$F$32,2,FALSE),VLOOKUP(Q$1,test!$A$3:$F$32,2,FALSE))&lt;test!$K$16,$A55&lt;&gt;Q$1,Recharged_Feasible_mat!R24=1),(VLOOKUP(Q$1,test!$A$3:$I$32,8,FALSE))-(VLOOKUP($A55,test!$A$3:$I$32,9,FALSE))+test!$B$33,0)</f>
        <v>0</v>
      </c>
      <c r="R55">
        <f>IF(AND(SUM(VLOOKUP($A55,test!$A$3:$F$32,2,FALSE),VLOOKUP(R$1,test!$A$3:$F$32,2,FALSE))&lt;test!$K$16,$A55&lt;&gt;R$1,Recharged_Feasible_mat!S24=1),(VLOOKUP(R$1,test!$A$3:$I$32,8,FALSE))-(VLOOKUP($A55,test!$A$3:$I$32,9,FALSE))+test!$B$33,0)</f>
        <v>0</v>
      </c>
      <c r="S55">
        <f>IF(AND(SUM(VLOOKUP($A55,test!$A$3:$F$32,2,FALSE),VLOOKUP(S$1,test!$A$3:$F$32,2,FALSE))&lt;test!$K$16,$A55&lt;&gt;S$1,Recharged_Feasible_mat!T24=1),(VLOOKUP(S$1,test!$A$3:$I$32,8,FALSE))-(VLOOKUP($A55,test!$A$3:$I$32,9,FALSE))+test!$B$33,0)</f>
        <v>0</v>
      </c>
      <c r="T55">
        <f>IF(AND(SUM(VLOOKUP($A55,test!$A$3:$F$32,2,FALSE),VLOOKUP(T$1,test!$A$3:$F$32,2,FALSE))&lt;test!$K$16,$A55&lt;&gt;T$1,Recharged_Feasible_mat!U24=1),(VLOOKUP(T$1,test!$A$3:$I$32,8,FALSE))-(VLOOKUP($A55,test!$A$3:$I$32,9,FALSE))+test!$B$33,0)</f>
        <v>0</v>
      </c>
      <c r="U55">
        <f>IF(AND(SUM(VLOOKUP($A55,test!$A$3:$F$32,2,FALSE),VLOOKUP(U$1,test!$A$3:$F$32,2,FALSE))&lt;test!$K$16,$A55&lt;&gt;U$1,Recharged_Feasible_mat!V24=1),(VLOOKUP(U$1,test!$A$3:$I$32,8,FALSE))-(VLOOKUP($A55,test!$A$3:$I$32,9,FALSE))+test!$B$33,0)</f>
        <v>0</v>
      </c>
      <c r="V55">
        <f>IF(AND(SUM(VLOOKUP($A55,test!$A$3:$F$32,2,FALSE),VLOOKUP(V$1,test!$A$3:$F$32,2,FALSE))&lt;test!$K$16,$A55&lt;&gt;V$1,Recharged_Feasible_mat!W24=1),(VLOOKUP(V$1,test!$A$3:$I$32,8,FALSE))-(VLOOKUP($A55,test!$A$3:$I$32,9,FALSE))+test!$B$33,0)</f>
        <v>0</v>
      </c>
      <c r="W55">
        <f>IF(AND(SUM(VLOOKUP($A55,test!$A$3:$F$32,2,FALSE),VLOOKUP(W$1,test!$A$3:$F$32,2,FALSE))&lt;test!$K$16,$A55&lt;&gt;W$1,Recharged_Feasible_mat!X24=1),(VLOOKUP(W$1,test!$A$3:$I$32,8,FALSE))-(VLOOKUP($A55,test!$A$3:$I$32,9,FALSE))+test!$B$33,0)</f>
        <v>0</v>
      </c>
      <c r="X55">
        <f>IF(AND(SUM(VLOOKUP($A55,test!$A$3:$F$32,2,FALSE),VLOOKUP(X$1,test!$A$3:$F$32,2,FALSE))&lt;test!$K$16,$A55&lt;&gt;X$1,Recharged_Feasible_mat!Y24=1),(VLOOKUP(X$1,test!$A$3:$I$32,8,FALSE))-(VLOOKUP($A55,test!$A$3:$I$32,9,FALSE))+test!$B$33,0)</f>
        <v>0</v>
      </c>
      <c r="Y55">
        <f>IF(AND(SUM(VLOOKUP($A55,test!$A$3:$F$32,2,FALSE),VLOOKUP(Y$1,test!$A$3:$F$32,2,FALSE))&lt;test!$K$16,$A55&lt;&gt;Y$1,Recharged_Feasible_mat!Z24=1),(VLOOKUP(Y$1,test!$A$3:$I$32,8,FALSE))-(VLOOKUP($A55,test!$A$3:$I$32,9,FALSE))+test!$B$33,0)</f>
        <v>0</v>
      </c>
      <c r="Z55">
        <f>IF(AND(SUM(VLOOKUP($A55,test!$A$3:$F$32,2,FALSE),VLOOKUP(Z$1,test!$A$3:$F$32,2,FALSE))&lt;test!$K$16,$A55&lt;&gt;Z$1,Recharged_Feasible_mat!AA24=1),(VLOOKUP(Z$1,test!$A$3:$I$32,8,FALSE))-(VLOOKUP($A55,test!$A$3:$I$32,9,FALSE))+test!$B$33,0)</f>
        <v>0</v>
      </c>
      <c r="AA55">
        <f>IF(AND(SUM(VLOOKUP($A55,test!$A$3:$F$32,2,FALSE),VLOOKUP(AA$1,test!$A$3:$F$32,2,FALSE))&lt;test!$K$16,$A55&lt;&gt;AA$1,Recharged_Feasible_mat!AB24=1),(VLOOKUP(AA$1,test!$A$3:$I$32,8,FALSE))-(VLOOKUP($A55,test!$A$3:$I$32,9,FALSE))+test!$B$33,0)</f>
        <v>0</v>
      </c>
      <c r="AB55">
        <f>IF(AND(SUM(VLOOKUP($A55,test!$A$3:$F$32,2,FALSE),VLOOKUP(AB$1,test!$A$3:$F$32,2,FALSE))&lt;test!$K$16,$A55&lt;&gt;AB$1,Recharged_Feasible_mat!AC24=1),(VLOOKUP(AB$1,test!$A$3:$I$32,8,FALSE))-(VLOOKUP($A55,test!$A$3:$I$32,9,FALSE))+test!$B$33,0)</f>
        <v>0</v>
      </c>
      <c r="AC55">
        <f>IF(AND(SUM(VLOOKUP($A55,test!$A$3:$F$32,2,FALSE),VLOOKUP(AC$1,test!$A$3:$F$32,2,FALSE))&lt;test!$K$16,$A55&lt;&gt;AC$1,Recharged_Feasible_mat!AD24=1),(VLOOKUP(AC$1,test!$A$3:$I$32,8,FALSE))-(VLOOKUP($A55,test!$A$3:$I$32,9,FALSE))+test!$B$33,0)</f>
        <v>0</v>
      </c>
      <c r="AD55">
        <f>IF(AND(SUM(VLOOKUP($A55,test!$A$3:$F$32,2,FALSE),VLOOKUP(AD$1,test!$A$3:$F$32,2,FALSE))&lt;test!$K$16,$A55&lt;&gt;AD$1,Recharged_Feasible_mat!AE24=1),(VLOOKUP(AD$1,test!$A$3:$I$32,8,FALSE))-(VLOOKUP($A55,test!$A$3:$I$32,9,FALSE))+test!$B$33,0)</f>
        <v>0</v>
      </c>
      <c r="AE55">
        <f>IF(AND(SUM(VLOOKUP($A55,test!$A$3:$F$32,2,FALSE),VLOOKUP(AE$1,test!$A$3:$F$32,2,FALSE))&lt;test!$K$16,$A55&lt;&gt;AE$1,Recharged_Feasible_mat!AF24=1),(VLOOKUP(AE$1,test!$A$3:$I$32,8,FALSE))-(VLOOKUP($A55,test!$A$3:$I$32,9,FALSE))+test!$B$33,0)</f>
        <v>0</v>
      </c>
      <c r="AF55">
        <f>IF(AND(SUM(VLOOKUP($A55,test!$A$3:$F$32,2,FALSE),VLOOKUP(AF$1,test!$A$3:$F$32,2,FALSE))&lt;test!$K$16,$A55&lt;&gt;AF$1,Recharged_Feasible_mat!AG24=1),(VLOOKUP(AF$1,test!$A$3:$I$32,8,FALSE))-(VLOOKUP($A55,test!$A$3:$I$32,9,FALSE))+test!$B$33,0)</f>
        <v>0</v>
      </c>
    </row>
    <row r="56" spans="1:32" x14ac:dyDescent="0.25">
      <c r="A56" t="s">
        <v>34</v>
      </c>
      <c r="B56">
        <v>0</v>
      </c>
      <c r="C56">
        <f>IF(AND(SUM(VLOOKUP($A56,test!$A$3:$F$32,2,FALSE),VLOOKUP(C$1,test!$A$3:$F$32,2,FALSE))&lt;test!$K$16,$A56&lt;&gt;C$1,feasible_mat!C56=1),(VLOOKUP(C$1,test!$A$3:$I$32,8,FALSE))-(VLOOKUP($A56,test!$A$3:$I$32,9,FALSE))+test!$B$33,0)</f>
        <v>0</v>
      </c>
      <c r="D56">
        <f>IF(AND(SUM(VLOOKUP($A56,test!$A$3:$F$32,2,FALSE),VLOOKUP(D$1,test!$A$3:$F$32,2,FALSE))&lt;test!$K$16,$A56&lt;&gt;D$1,Recharged_Feasible_mat!E25=1),(VLOOKUP(D$1,test!$A$3:$I$32,8,FALSE))-(VLOOKUP($A56,test!$A$3:$I$32,9,FALSE))+test!$B$33,0)</f>
        <v>0</v>
      </c>
      <c r="E56">
        <f>IF(AND(SUM(VLOOKUP($A56,test!$A$3:$F$32,2,FALSE),VLOOKUP(E$1,test!$A$3:$F$32,2,FALSE))&lt;test!$K$16,$A56&lt;&gt;E$1,Recharged_Feasible_mat!F25=1),(VLOOKUP(E$1,test!$A$3:$I$32,8,FALSE))-(VLOOKUP($A56,test!$A$3:$I$32,9,FALSE))+test!$B$33,0)</f>
        <v>170</v>
      </c>
      <c r="F56">
        <f>IF(AND(SUM(VLOOKUP($A56,test!$A$3:$F$32,2,FALSE),VLOOKUP(F$1,test!$A$3:$F$32,2,FALSE))&lt;test!$K$16,$A56&lt;&gt;F$1,Recharged_Feasible_mat!G25=1),(VLOOKUP(F$1,test!$A$3:$I$32,8,FALSE))-(VLOOKUP($A56,test!$A$3:$I$32,9,FALSE))+test!$B$33,0)</f>
        <v>260</v>
      </c>
      <c r="G56">
        <f>IF(AND(SUM(VLOOKUP($A56,test!$A$3:$F$32,2,FALSE),VLOOKUP(G$1,test!$A$3:$F$32,2,FALSE))&lt;test!$K$16,$A56&lt;&gt;G$1,Recharged_Feasible_mat!H25=1),(VLOOKUP(G$1,test!$A$3:$I$32,8,FALSE))-(VLOOKUP($A56,test!$A$3:$I$32,9,FALSE))+test!$B$33,0)</f>
        <v>320</v>
      </c>
      <c r="H56">
        <f>IF(AND(SUM(VLOOKUP($A56,test!$A$3:$F$32,2,FALSE),VLOOKUP(H$1,test!$A$3:$F$32,2,FALSE))&lt;test!$K$16,$A56&lt;&gt;H$1,Recharged_Feasible_mat!I25=1),(VLOOKUP(H$1,test!$A$3:$I$32,8,FALSE))-(VLOOKUP($A56,test!$A$3:$I$32,9,FALSE))+test!$B$33,0)</f>
        <v>380</v>
      </c>
      <c r="I56">
        <f>IF(AND(SUM(VLOOKUP($A56,test!$A$3:$F$32,2,FALSE),VLOOKUP(I$1,test!$A$3:$F$32,2,FALSE))&lt;test!$K$16,$A56&lt;&gt;I$1,Recharged_Feasible_mat!J25=1),(VLOOKUP(I$1,test!$A$3:$I$32,8,FALSE))-(VLOOKUP($A56,test!$A$3:$I$32,9,FALSE))+test!$B$33,0)</f>
        <v>440</v>
      </c>
      <c r="J56">
        <f>IF(AND(SUM(VLOOKUP($A56,test!$A$3:$F$32,2,FALSE),VLOOKUP(J$1,test!$A$3:$F$32,2,FALSE))&lt;test!$K$16,$A56&lt;&gt;J$1,Recharged_Feasible_mat!K25=1),(VLOOKUP(J$1,test!$A$3:$I$32,8,FALSE))-(VLOOKUP($A56,test!$A$3:$I$32,9,FALSE))+test!$B$33,0)</f>
        <v>530</v>
      </c>
      <c r="K56">
        <f>IF(AND(SUM(VLOOKUP($A56,test!$A$3:$F$32,2,FALSE),VLOOKUP(K$1,test!$A$3:$F$32,2,FALSE))&lt;test!$K$16,$A56&lt;&gt;K$1,Recharged_Feasible_mat!L25=1),(VLOOKUP(K$1,test!$A$3:$I$32,8,FALSE))-(VLOOKUP($A56,test!$A$3:$I$32,9,FALSE))+test!$B$33,0)</f>
        <v>0</v>
      </c>
      <c r="L56">
        <f>IF(AND(SUM(VLOOKUP($A56,test!$A$3:$F$32,2,FALSE),VLOOKUP(L$1,test!$A$3:$F$32,2,FALSE))&lt;test!$K$16,$A56&lt;&gt;L$1,Recharged_Feasible_mat!M25=1),(VLOOKUP(L$1,test!$A$3:$I$32,8,FALSE))-(VLOOKUP($A56,test!$A$3:$I$32,9,FALSE))+test!$B$33,0)</f>
        <v>0</v>
      </c>
      <c r="M56">
        <f>IF(AND(SUM(VLOOKUP($A56,test!$A$3:$F$32,2,FALSE),VLOOKUP(M$1,test!$A$3:$F$32,2,FALSE))&lt;test!$K$16,$A56&lt;&gt;M$1,Recharged_Feasible_mat!N25=1),(VLOOKUP(M$1,test!$A$3:$I$32,8,FALSE))-(VLOOKUP($A56,test!$A$3:$I$32,9,FALSE))+test!$B$33,0)</f>
        <v>135</v>
      </c>
      <c r="N56">
        <f>IF(AND(SUM(VLOOKUP($A56,test!$A$3:$F$32,2,FALSE),VLOOKUP(N$1,test!$A$3:$F$32,2,FALSE))&lt;test!$K$16,$A56&lt;&gt;N$1,Recharged_Feasible_mat!O25=1),(VLOOKUP(N$1,test!$A$3:$I$32,8,FALSE))-(VLOOKUP($A56,test!$A$3:$I$32,9,FALSE))+test!$B$33,0)</f>
        <v>495</v>
      </c>
      <c r="O56">
        <f>IF(AND(SUM(VLOOKUP($A56,test!$A$3:$F$32,2,FALSE),VLOOKUP(O$1,test!$A$3:$F$32,2,FALSE))&lt;test!$K$16,$A56&lt;&gt;O$1,Recharged_Feasible_mat!P25=1),(VLOOKUP(O$1,test!$A$3:$I$32,8,FALSE))-(VLOOKUP($A56,test!$A$3:$I$32,9,FALSE))+test!$B$33,0)</f>
        <v>555</v>
      </c>
      <c r="P56">
        <f>IF(AND(SUM(VLOOKUP($A56,test!$A$3:$F$32,2,FALSE),VLOOKUP(P$1,test!$A$3:$F$32,2,FALSE))&lt;test!$K$16,$A56&lt;&gt;P$1,Recharged_Feasible_mat!Q25=1),(VLOOKUP(P$1,test!$A$3:$I$32,8,FALSE))-(VLOOKUP($A56,test!$A$3:$I$32,9,FALSE))+test!$B$33,0)</f>
        <v>0</v>
      </c>
      <c r="Q56">
        <f>IF(AND(SUM(VLOOKUP($A56,test!$A$3:$F$32,2,FALSE),VLOOKUP(Q$1,test!$A$3:$F$32,2,FALSE))&lt;test!$K$16,$A56&lt;&gt;Q$1,Recharged_Feasible_mat!R25=1),(VLOOKUP(Q$1,test!$A$3:$I$32,8,FALSE))-(VLOOKUP($A56,test!$A$3:$I$32,9,FALSE))+test!$B$33,0)</f>
        <v>0</v>
      </c>
      <c r="R56">
        <f>IF(AND(SUM(VLOOKUP($A56,test!$A$3:$F$32,2,FALSE),VLOOKUP(R$1,test!$A$3:$F$32,2,FALSE))&lt;test!$K$16,$A56&lt;&gt;R$1,Recharged_Feasible_mat!S25=1),(VLOOKUP(R$1,test!$A$3:$I$32,8,FALSE))-(VLOOKUP($A56,test!$A$3:$I$32,9,FALSE))+test!$B$33,0)</f>
        <v>0</v>
      </c>
      <c r="S56">
        <f>IF(AND(SUM(VLOOKUP($A56,test!$A$3:$F$32,2,FALSE),VLOOKUP(S$1,test!$A$3:$F$32,2,FALSE))&lt;test!$K$16,$A56&lt;&gt;S$1,Recharged_Feasible_mat!T25=1),(VLOOKUP(S$1,test!$A$3:$I$32,8,FALSE))-(VLOOKUP($A56,test!$A$3:$I$32,9,FALSE))+test!$B$33,0)</f>
        <v>0</v>
      </c>
      <c r="T56">
        <f>IF(AND(SUM(VLOOKUP($A56,test!$A$3:$F$32,2,FALSE),VLOOKUP(T$1,test!$A$3:$F$32,2,FALSE))&lt;test!$K$16,$A56&lt;&gt;T$1,Recharged_Feasible_mat!U25=1),(VLOOKUP(T$1,test!$A$3:$I$32,8,FALSE))-(VLOOKUP($A56,test!$A$3:$I$32,9,FALSE))+test!$B$33,0)</f>
        <v>150</v>
      </c>
      <c r="U56">
        <f>IF(AND(SUM(VLOOKUP($A56,test!$A$3:$F$32,2,FALSE),VLOOKUP(U$1,test!$A$3:$F$32,2,FALSE))&lt;test!$K$16,$A56&lt;&gt;U$1,Recharged_Feasible_mat!V25=1),(VLOOKUP(U$1,test!$A$3:$I$32,8,FALSE))-(VLOOKUP($A56,test!$A$3:$I$32,9,FALSE))+test!$B$33,0)</f>
        <v>240</v>
      </c>
      <c r="V56">
        <f>IF(AND(SUM(VLOOKUP($A56,test!$A$3:$F$32,2,FALSE),VLOOKUP(V$1,test!$A$3:$F$32,2,FALSE))&lt;test!$K$16,$A56&lt;&gt;V$1,Recharged_Feasible_mat!W25=1),(VLOOKUP(V$1,test!$A$3:$I$32,8,FALSE))-(VLOOKUP($A56,test!$A$3:$I$32,9,FALSE))+test!$B$33,0)</f>
        <v>330</v>
      </c>
      <c r="W56">
        <f>IF(AND(SUM(VLOOKUP($A56,test!$A$3:$F$32,2,FALSE),VLOOKUP(W$1,test!$A$3:$F$32,2,FALSE))&lt;test!$K$16,$A56&lt;&gt;W$1,Recharged_Feasible_mat!X25=1),(VLOOKUP(W$1,test!$A$3:$I$32,8,FALSE))-(VLOOKUP($A56,test!$A$3:$I$32,9,FALSE))+test!$B$33,0)</f>
        <v>420</v>
      </c>
      <c r="X56">
        <f>IF(AND(SUM(VLOOKUP($A56,test!$A$3:$F$32,2,FALSE),VLOOKUP(X$1,test!$A$3:$F$32,2,FALSE))&lt;test!$K$16,$A56&lt;&gt;X$1,Recharged_Feasible_mat!Y25=1),(VLOOKUP(X$1,test!$A$3:$I$32,8,FALSE))-(VLOOKUP($A56,test!$A$3:$I$32,9,FALSE))+test!$B$33,0)</f>
        <v>480</v>
      </c>
      <c r="Y56">
        <f>IF(AND(SUM(VLOOKUP($A56,test!$A$3:$F$32,2,FALSE),VLOOKUP(Y$1,test!$A$3:$F$32,2,FALSE))&lt;test!$K$16,$A56&lt;&gt;Y$1,Recharged_Feasible_mat!Z25=1),(VLOOKUP(Y$1,test!$A$3:$I$32,8,FALSE))-(VLOOKUP($A56,test!$A$3:$I$32,9,FALSE))+test!$B$33,0)</f>
        <v>0</v>
      </c>
      <c r="Z56">
        <f>IF(AND(SUM(VLOOKUP($A56,test!$A$3:$F$32,2,FALSE),VLOOKUP(Z$1,test!$A$3:$F$32,2,FALSE))&lt;test!$K$16,$A56&lt;&gt;Z$1,Recharged_Feasible_mat!AA25=1),(VLOOKUP(Z$1,test!$A$3:$I$32,8,FALSE))-(VLOOKUP($A56,test!$A$3:$I$32,9,FALSE))+test!$B$33,0)</f>
        <v>0</v>
      </c>
      <c r="AA56">
        <f>IF(AND(SUM(VLOOKUP($A56,test!$A$3:$F$32,2,FALSE),VLOOKUP(AA$1,test!$A$3:$F$32,2,FALSE))&lt;test!$K$16,$A56&lt;&gt;AA$1,Recharged_Feasible_mat!AB25=1),(VLOOKUP(AA$1,test!$A$3:$I$32,8,FALSE))-(VLOOKUP($A56,test!$A$3:$I$32,9,FALSE))+test!$B$33,0)</f>
        <v>200</v>
      </c>
      <c r="AB56">
        <f>IF(AND(SUM(VLOOKUP($A56,test!$A$3:$F$32,2,FALSE),VLOOKUP(AB$1,test!$A$3:$F$32,2,FALSE))&lt;test!$K$16,$A56&lt;&gt;AB$1,Recharged_Feasible_mat!AC25=1),(VLOOKUP(AB$1,test!$A$3:$I$32,8,FALSE))-(VLOOKUP($A56,test!$A$3:$I$32,9,FALSE))+test!$B$33,0)</f>
        <v>260</v>
      </c>
      <c r="AC56">
        <f>IF(AND(SUM(VLOOKUP($A56,test!$A$3:$F$32,2,FALSE),VLOOKUP(AC$1,test!$A$3:$F$32,2,FALSE))&lt;test!$K$16,$A56&lt;&gt;AC$1,Recharged_Feasible_mat!AD25=1),(VLOOKUP(AC$1,test!$A$3:$I$32,8,FALSE))-(VLOOKUP($A56,test!$A$3:$I$32,9,FALSE))+test!$B$33,0)</f>
        <v>380</v>
      </c>
      <c r="AD56">
        <f>IF(AND(SUM(VLOOKUP($A56,test!$A$3:$F$32,2,FALSE),VLOOKUP(AD$1,test!$A$3:$F$32,2,FALSE))&lt;test!$K$16,$A56&lt;&gt;AD$1,Recharged_Feasible_mat!AE25=1),(VLOOKUP(AD$1,test!$A$3:$I$32,8,FALSE))-(VLOOKUP($A56,test!$A$3:$I$32,9,FALSE))+test!$B$33,0)</f>
        <v>0</v>
      </c>
      <c r="AE56">
        <f>IF(AND(SUM(VLOOKUP($A56,test!$A$3:$F$32,2,FALSE),VLOOKUP(AE$1,test!$A$3:$F$32,2,FALSE))&lt;test!$K$16,$A56&lt;&gt;AE$1,Recharged_Feasible_mat!AF25=1),(VLOOKUP(AE$1,test!$A$3:$I$32,8,FALSE))-(VLOOKUP($A56,test!$A$3:$I$32,9,FALSE))+test!$B$33,0)</f>
        <v>0</v>
      </c>
      <c r="AF56">
        <f>IF(AND(SUM(VLOOKUP($A56,test!$A$3:$F$32,2,FALSE),VLOOKUP(AF$1,test!$A$3:$F$32,2,FALSE))&lt;test!$K$16,$A56&lt;&gt;AF$1,Recharged_Feasible_mat!AG25=1),(VLOOKUP(AF$1,test!$A$3:$I$32,8,FALSE))-(VLOOKUP($A56,test!$A$3:$I$32,9,FALSE))+test!$B$33,0)</f>
        <v>0</v>
      </c>
    </row>
    <row r="57" spans="1:32" x14ac:dyDescent="0.25">
      <c r="A57" t="s">
        <v>35</v>
      </c>
      <c r="B57">
        <v>0</v>
      </c>
      <c r="C57">
        <f>IF(AND(SUM(VLOOKUP($A57,test!$A$3:$F$32,2,FALSE),VLOOKUP(C$1,test!$A$3:$F$32,2,FALSE))&lt;test!$K$16,$A57&lt;&gt;C$1,feasible_mat!C57=1),(VLOOKUP(C$1,test!$A$3:$I$32,8,FALSE))-(VLOOKUP($A57,test!$A$3:$I$32,9,FALSE))+test!$B$33,0)</f>
        <v>0</v>
      </c>
      <c r="D57">
        <f>IF(AND(SUM(VLOOKUP($A57,test!$A$3:$F$32,2,FALSE),VLOOKUP(D$1,test!$A$3:$F$32,2,FALSE))&lt;test!$K$16,$A57&lt;&gt;D$1,Recharged_Feasible_mat!E26=1),(VLOOKUP(D$1,test!$A$3:$I$32,8,FALSE))-(VLOOKUP($A57,test!$A$3:$I$32,9,FALSE))+test!$B$33,0)</f>
        <v>0</v>
      </c>
      <c r="E57">
        <f>IF(AND(SUM(VLOOKUP($A57,test!$A$3:$F$32,2,FALSE),VLOOKUP(E$1,test!$A$3:$F$32,2,FALSE))&lt;test!$K$16,$A57&lt;&gt;E$1,Recharged_Feasible_mat!F26=1),(VLOOKUP(E$1,test!$A$3:$I$32,8,FALSE))-(VLOOKUP($A57,test!$A$3:$I$32,9,FALSE))+test!$B$33,0)</f>
        <v>0</v>
      </c>
      <c r="F57">
        <f>IF(AND(SUM(VLOOKUP($A57,test!$A$3:$F$32,2,FALSE),VLOOKUP(F$1,test!$A$3:$F$32,2,FALSE))&lt;test!$K$16,$A57&lt;&gt;F$1,Recharged_Feasible_mat!G26=1),(VLOOKUP(F$1,test!$A$3:$I$32,8,FALSE))-(VLOOKUP($A57,test!$A$3:$I$32,9,FALSE))+test!$B$33,0)</f>
        <v>0</v>
      </c>
      <c r="G57">
        <f>IF(AND(SUM(VLOOKUP($A57,test!$A$3:$F$32,2,FALSE),VLOOKUP(G$1,test!$A$3:$F$32,2,FALSE))&lt;test!$K$16,$A57&lt;&gt;G$1,Recharged_Feasible_mat!H26=1),(VLOOKUP(G$1,test!$A$3:$I$32,8,FALSE))-(VLOOKUP($A57,test!$A$3:$I$32,9,FALSE))+test!$B$33,0)</f>
        <v>150</v>
      </c>
      <c r="H57">
        <f>IF(AND(SUM(VLOOKUP($A57,test!$A$3:$F$32,2,FALSE),VLOOKUP(H$1,test!$A$3:$F$32,2,FALSE))&lt;test!$K$16,$A57&lt;&gt;H$1,Recharged_Feasible_mat!I26=1),(VLOOKUP(H$1,test!$A$3:$I$32,8,FALSE))-(VLOOKUP($A57,test!$A$3:$I$32,9,FALSE))+test!$B$33,0)</f>
        <v>210</v>
      </c>
      <c r="I57">
        <f>IF(AND(SUM(VLOOKUP($A57,test!$A$3:$F$32,2,FALSE),VLOOKUP(I$1,test!$A$3:$F$32,2,FALSE))&lt;test!$K$16,$A57&lt;&gt;I$1,Recharged_Feasible_mat!J26=1),(VLOOKUP(I$1,test!$A$3:$I$32,8,FALSE))-(VLOOKUP($A57,test!$A$3:$I$32,9,FALSE))+test!$B$33,0)</f>
        <v>270</v>
      </c>
      <c r="J57">
        <f>IF(AND(SUM(VLOOKUP($A57,test!$A$3:$F$32,2,FALSE),VLOOKUP(J$1,test!$A$3:$F$32,2,FALSE))&lt;test!$K$16,$A57&lt;&gt;J$1,Recharged_Feasible_mat!K26=1),(VLOOKUP(J$1,test!$A$3:$I$32,8,FALSE))-(VLOOKUP($A57,test!$A$3:$I$32,9,FALSE))+test!$B$33,0)</f>
        <v>360</v>
      </c>
      <c r="K57">
        <f>IF(AND(SUM(VLOOKUP($A57,test!$A$3:$F$32,2,FALSE),VLOOKUP(K$1,test!$A$3:$F$32,2,FALSE))&lt;test!$K$16,$A57&lt;&gt;K$1,Recharged_Feasible_mat!L26=1),(VLOOKUP(K$1,test!$A$3:$I$32,8,FALSE))-(VLOOKUP($A57,test!$A$3:$I$32,9,FALSE))+test!$B$33,0)</f>
        <v>0</v>
      </c>
      <c r="L57">
        <f>IF(AND(SUM(VLOOKUP($A57,test!$A$3:$F$32,2,FALSE),VLOOKUP(L$1,test!$A$3:$F$32,2,FALSE))&lt;test!$K$16,$A57&lt;&gt;L$1,Recharged_Feasible_mat!M26=1),(VLOOKUP(L$1,test!$A$3:$I$32,8,FALSE))-(VLOOKUP($A57,test!$A$3:$I$32,9,FALSE))+test!$B$33,0)</f>
        <v>0</v>
      </c>
      <c r="M57">
        <f>IF(AND(SUM(VLOOKUP($A57,test!$A$3:$F$32,2,FALSE),VLOOKUP(M$1,test!$A$3:$F$32,2,FALSE))&lt;test!$K$16,$A57&lt;&gt;M$1,Recharged_Feasible_mat!N26=1),(VLOOKUP(M$1,test!$A$3:$I$32,8,FALSE))-(VLOOKUP($A57,test!$A$3:$I$32,9,FALSE))+test!$B$33,0)</f>
        <v>0</v>
      </c>
      <c r="N57">
        <f>IF(AND(SUM(VLOOKUP($A57,test!$A$3:$F$32,2,FALSE),VLOOKUP(N$1,test!$A$3:$F$32,2,FALSE))&lt;test!$K$16,$A57&lt;&gt;N$1,Recharged_Feasible_mat!O26=1),(VLOOKUP(N$1,test!$A$3:$I$32,8,FALSE))-(VLOOKUP($A57,test!$A$3:$I$32,9,FALSE))+test!$B$33,0)</f>
        <v>325</v>
      </c>
      <c r="O57">
        <f>IF(AND(SUM(VLOOKUP($A57,test!$A$3:$F$32,2,FALSE),VLOOKUP(O$1,test!$A$3:$F$32,2,FALSE))&lt;test!$K$16,$A57&lt;&gt;O$1,Recharged_Feasible_mat!P26=1),(VLOOKUP(O$1,test!$A$3:$I$32,8,FALSE))-(VLOOKUP($A57,test!$A$3:$I$32,9,FALSE))+test!$B$33,0)</f>
        <v>385</v>
      </c>
      <c r="P57">
        <f>IF(AND(SUM(VLOOKUP($A57,test!$A$3:$F$32,2,FALSE),VLOOKUP(P$1,test!$A$3:$F$32,2,FALSE))&lt;test!$K$16,$A57&lt;&gt;P$1,Recharged_Feasible_mat!Q26=1),(VLOOKUP(P$1,test!$A$3:$I$32,8,FALSE))-(VLOOKUP($A57,test!$A$3:$I$32,9,FALSE))+test!$B$33,0)</f>
        <v>0</v>
      </c>
      <c r="Q57">
        <f>IF(AND(SUM(VLOOKUP($A57,test!$A$3:$F$32,2,FALSE),VLOOKUP(Q$1,test!$A$3:$F$32,2,FALSE))&lt;test!$K$16,$A57&lt;&gt;Q$1,Recharged_Feasible_mat!R26=1),(VLOOKUP(Q$1,test!$A$3:$I$32,8,FALSE))-(VLOOKUP($A57,test!$A$3:$I$32,9,FALSE))+test!$B$33,0)</f>
        <v>0</v>
      </c>
      <c r="R57">
        <f>IF(AND(SUM(VLOOKUP($A57,test!$A$3:$F$32,2,FALSE),VLOOKUP(R$1,test!$A$3:$F$32,2,FALSE))&lt;test!$K$16,$A57&lt;&gt;R$1,Recharged_Feasible_mat!S26=1),(VLOOKUP(R$1,test!$A$3:$I$32,8,FALSE))-(VLOOKUP($A57,test!$A$3:$I$32,9,FALSE))+test!$B$33,0)</f>
        <v>0</v>
      </c>
      <c r="S57">
        <f>IF(AND(SUM(VLOOKUP($A57,test!$A$3:$F$32,2,FALSE),VLOOKUP(S$1,test!$A$3:$F$32,2,FALSE))&lt;test!$K$16,$A57&lt;&gt;S$1,Recharged_Feasible_mat!T26=1),(VLOOKUP(S$1,test!$A$3:$I$32,8,FALSE))-(VLOOKUP($A57,test!$A$3:$I$32,9,FALSE))+test!$B$33,0)</f>
        <v>0</v>
      </c>
      <c r="T57">
        <f>IF(AND(SUM(VLOOKUP($A57,test!$A$3:$F$32,2,FALSE),VLOOKUP(T$1,test!$A$3:$F$32,2,FALSE))&lt;test!$K$16,$A57&lt;&gt;T$1,Recharged_Feasible_mat!U26=1),(VLOOKUP(T$1,test!$A$3:$I$32,8,FALSE))-(VLOOKUP($A57,test!$A$3:$I$32,9,FALSE))+test!$B$33,0)</f>
        <v>0</v>
      </c>
      <c r="U57">
        <f>IF(AND(SUM(VLOOKUP($A57,test!$A$3:$F$32,2,FALSE),VLOOKUP(U$1,test!$A$3:$F$32,2,FALSE))&lt;test!$K$16,$A57&lt;&gt;U$1,Recharged_Feasible_mat!V26=1),(VLOOKUP(U$1,test!$A$3:$I$32,8,FALSE))-(VLOOKUP($A57,test!$A$3:$I$32,9,FALSE))+test!$B$33,0)</f>
        <v>0</v>
      </c>
      <c r="V57">
        <f>IF(AND(SUM(VLOOKUP($A57,test!$A$3:$F$32,2,FALSE),VLOOKUP(V$1,test!$A$3:$F$32,2,FALSE))&lt;test!$K$16,$A57&lt;&gt;V$1,Recharged_Feasible_mat!W26=1),(VLOOKUP(V$1,test!$A$3:$I$32,8,FALSE))-(VLOOKUP($A57,test!$A$3:$I$32,9,FALSE))+test!$B$33,0)</f>
        <v>160</v>
      </c>
      <c r="W57">
        <f>IF(AND(SUM(VLOOKUP($A57,test!$A$3:$F$32,2,FALSE),VLOOKUP(W$1,test!$A$3:$F$32,2,FALSE))&lt;test!$K$16,$A57&lt;&gt;W$1,Recharged_Feasible_mat!X26=1),(VLOOKUP(W$1,test!$A$3:$I$32,8,FALSE))-(VLOOKUP($A57,test!$A$3:$I$32,9,FALSE))+test!$B$33,0)</f>
        <v>250</v>
      </c>
      <c r="X57">
        <f>IF(AND(SUM(VLOOKUP($A57,test!$A$3:$F$32,2,FALSE),VLOOKUP(X$1,test!$A$3:$F$32,2,FALSE))&lt;test!$K$16,$A57&lt;&gt;X$1,Recharged_Feasible_mat!Y26=1),(VLOOKUP(X$1,test!$A$3:$I$32,8,FALSE))-(VLOOKUP($A57,test!$A$3:$I$32,9,FALSE))+test!$B$33,0)</f>
        <v>310</v>
      </c>
      <c r="Y57">
        <f>IF(AND(SUM(VLOOKUP($A57,test!$A$3:$F$32,2,FALSE),VLOOKUP(Y$1,test!$A$3:$F$32,2,FALSE))&lt;test!$K$16,$A57&lt;&gt;Y$1,Recharged_Feasible_mat!Z26=1),(VLOOKUP(Y$1,test!$A$3:$I$32,8,FALSE))-(VLOOKUP($A57,test!$A$3:$I$32,9,FALSE))+test!$B$33,0)</f>
        <v>0</v>
      </c>
      <c r="Z57">
        <f>IF(AND(SUM(VLOOKUP($A57,test!$A$3:$F$32,2,FALSE),VLOOKUP(Z$1,test!$A$3:$F$32,2,FALSE))&lt;test!$K$16,$A57&lt;&gt;Z$1,Recharged_Feasible_mat!AA26=1),(VLOOKUP(Z$1,test!$A$3:$I$32,8,FALSE))-(VLOOKUP($A57,test!$A$3:$I$32,9,FALSE))+test!$B$33,0)</f>
        <v>0</v>
      </c>
      <c r="AA57">
        <f>IF(AND(SUM(VLOOKUP($A57,test!$A$3:$F$32,2,FALSE),VLOOKUP(AA$1,test!$A$3:$F$32,2,FALSE))&lt;test!$K$16,$A57&lt;&gt;AA$1,Recharged_Feasible_mat!AB26=1),(VLOOKUP(AA$1,test!$A$3:$I$32,8,FALSE))-(VLOOKUP($A57,test!$A$3:$I$32,9,FALSE))+test!$B$33,0)</f>
        <v>0</v>
      </c>
      <c r="AB57">
        <f>IF(AND(SUM(VLOOKUP($A57,test!$A$3:$F$32,2,FALSE),VLOOKUP(AB$1,test!$A$3:$F$32,2,FALSE))&lt;test!$K$16,$A57&lt;&gt;AB$1,Recharged_Feasible_mat!AC26=1),(VLOOKUP(AB$1,test!$A$3:$I$32,8,FALSE))-(VLOOKUP($A57,test!$A$3:$I$32,9,FALSE))+test!$B$33,0)</f>
        <v>0</v>
      </c>
      <c r="AC57">
        <f>IF(AND(SUM(VLOOKUP($A57,test!$A$3:$F$32,2,FALSE),VLOOKUP(AC$1,test!$A$3:$F$32,2,FALSE))&lt;test!$K$16,$A57&lt;&gt;AC$1,Recharged_Feasible_mat!AD26=1),(VLOOKUP(AC$1,test!$A$3:$I$32,8,FALSE))-(VLOOKUP($A57,test!$A$3:$I$32,9,FALSE))+test!$B$33,0)</f>
        <v>210</v>
      </c>
      <c r="AD57">
        <f>IF(AND(SUM(VLOOKUP($A57,test!$A$3:$F$32,2,FALSE),VLOOKUP(AD$1,test!$A$3:$F$32,2,FALSE))&lt;test!$K$16,$A57&lt;&gt;AD$1,Recharged_Feasible_mat!AE26=1),(VLOOKUP(AD$1,test!$A$3:$I$32,8,FALSE))-(VLOOKUP($A57,test!$A$3:$I$32,9,FALSE))+test!$B$33,0)</f>
        <v>0</v>
      </c>
      <c r="AE57">
        <f>IF(AND(SUM(VLOOKUP($A57,test!$A$3:$F$32,2,FALSE),VLOOKUP(AE$1,test!$A$3:$F$32,2,FALSE))&lt;test!$K$16,$A57&lt;&gt;AE$1,Recharged_Feasible_mat!AF26=1),(VLOOKUP(AE$1,test!$A$3:$I$32,8,FALSE))-(VLOOKUP($A57,test!$A$3:$I$32,9,FALSE))+test!$B$33,0)</f>
        <v>0</v>
      </c>
      <c r="AF57">
        <f>IF(AND(SUM(VLOOKUP($A57,test!$A$3:$F$32,2,FALSE),VLOOKUP(AF$1,test!$A$3:$F$32,2,FALSE))&lt;test!$K$16,$A57&lt;&gt;AF$1,Recharged_Feasible_mat!AG26=1),(VLOOKUP(AF$1,test!$A$3:$I$32,8,FALSE))-(VLOOKUP($A57,test!$A$3:$I$32,9,FALSE))+test!$B$33,0)</f>
        <v>0</v>
      </c>
    </row>
    <row r="58" spans="1:32" x14ac:dyDescent="0.25">
      <c r="A58" t="s">
        <v>36</v>
      </c>
      <c r="B58">
        <v>0</v>
      </c>
      <c r="C58">
        <f>IF(AND(SUM(VLOOKUP($A58,test!$A$3:$F$32,2,FALSE),VLOOKUP(C$1,test!$A$3:$F$32,2,FALSE))&lt;test!$K$16,$A58&lt;&gt;C$1,feasible_mat!C58=1),(VLOOKUP(C$1,test!$A$3:$I$32,8,FALSE))-(VLOOKUP($A58,test!$A$3:$I$32,9,FALSE))+test!$B$33,0)</f>
        <v>0</v>
      </c>
      <c r="D58">
        <f>IF(AND(SUM(VLOOKUP($A58,test!$A$3:$F$32,2,FALSE),VLOOKUP(D$1,test!$A$3:$F$32,2,FALSE))&lt;test!$K$16,$A58&lt;&gt;D$1,Recharged_Feasible_mat!E27=1),(VLOOKUP(D$1,test!$A$3:$I$32,8,FALSE))-(VLOOKUP($A58,test!$A$3:$I$32,9,FALSE))+test!$B$33,0)</f>
        <v>0</v>
      </c>
      <c r="E58">
        <f>IF(AND(SUM(VLOOKUP($A58,test!$A$3:$F$32,2,FALSE),VLOOKUP(E$1,test!$A$3:$F$32,2,FALSE))&lt;test!$K$16,$A58&lt;&gt;E$1,Recharged_Feasible_mat!F27=1),(VLOOKUP(E$1,test!$A$3:$I$32,8,FALSE))-(VLOOKUP($A58,test!$A$3:$I$32,9,FALSE))+test!$B$33,0)</f>
        <v>0</v>
      </c>
      <c r="F58">
        <f>IF(AND(SUM(VLOOKUP($A58,test!$A$3:$F$32,2,FALSE),VLOOKUP(F$1,test!$A$3:$F$32,2,FALSE))&lt;test!$K$16,$A58&lt;&gt;F$1,Recharged_Feasible_mat!G27=1),(VLOOKUP(F$1,test!$A$3:$I$32,8,FALSE))-(VLOOKUP($A58,test!$A$3:$I$32,9,FALSE))+test!$B$33,0)</f>
        <v>0</v>
      </c>
      <c r="G58">
        <f>IF(AND(SUM(VLOOKUP($A58,test!$A$3:$F$32,2,FALSE),VLOOKUP(G$1,test!$A$3:$F$32,2,FALSE))&lt;test!$K$16,$A58&lt;&gt;G$1,Recharged_Feasible_mat!H27=1),(VLOOKUP(G$1,test!$A$3:$I$32,8,FALSE))-(VLOOKUP($A58,test!$A$3:$I$32,9,FALSE))+test!$B$33,0)</f>
        <v>0</v>
      </c>
      <c r="H58">
        <f>IF(AND(SUM(VLOOKUP($A58,test!$A$3:$F$32,2,FALSE),VLOOKUP(H$1,test!$A$3:$F$32,2,FALSE))&lt;test!$K$16,$A58&lt;&gt;H$1,Recharged_Feasible_mat!I27=1),(VLOOKUP(H$1,test!$A$3:$I$32,8,FALSE))-(VLOOKUP($A58,test!$A$3:$I$32,9,FALSE))+test!$B$33,0)</f>
        <v>0</v>
      </c>
      <c r="I58">
        <f>IF(AND(SUM(VLOOKUP($A58,test!$A$3:$F$32,2,FALSE),VLOOKUP(I$1,test!$A$3:$F$32,2,FALSE))&lt;test!$K$16,$A58&lt;&gt;I$1,Recharged_Feasible_mat!J27=1),(VLOOKUP(I$1,test!$A$3:$I$32,8,FALSE))-(VLOOKUP($A58,test!$A$3:$I$32,9,FALSE))+test!$B$33,0)</f>
        <v>150</v>
      </c>
      <c r="J58">
        <f>IF(AND(SUM(VLOOKUP($A58,test!$A$3:$F$32,2,FALSE),VLOOKUP(J$1,test!$A$3:$F$32,2,FALSE))&lt;test!$K$16,$A58&lt;&gt;J$1,Recharged_Feasible_mat!K27=1),(VLOOKUP(J$1,test!$A$3:$I$32,8,FALSE))-(VLOOKUP($A58,test!$A$3:$I$32,9,FALSE))+test!$B$33,0)</f>
        <v>240</v>
      </c>
      <c r="K58">
        <f>IF(AND(SUM(VLOOKUP($A58,test!$A$3:$F$32,2,FALSE),VLOOKUP(K$1,test!$A$3:$F$32,2,FALSE))&lt;test!$K$16,$A58&lt;&gt;K$1,Recharged_Feasible_mat!L27=1),(VLOOKUP(K$1,test!$A$3:$I$32,8,FALSE))-(VLOOKUP($A58,test!$A$3:$I$32,9,FALSE))+test!$B$33,0)</f>
        <v>0</v>
      </c>
      <c r="L58">
        <f>IF(AND(SUM(VLOOKUP($A58,test!$A$3:$F$32,2,FALSE),VLOOKUP(L$1,test!$A$3:$F$32,2,FALSE))&lt;test!$K$16,$A58&lt;&gt;L$1,Recharged_Feasible_mat!M27=1),(VLOOKUP(L$1,test!$A$3:$I$32,8,FALSE))-(VLOOKUP($A58,test!$A$3:$I$32,9,FALSE))+test!$B$33,0)</f>
        <v>0</v>
      </c>
      <c r="M58">
        <f>IF(AND(SUM(VLOOKUP($A58,test!$A$3:$F$32,2,FALSE),VLOOKUP(M$1,test!$A$3:$F$32,2,FALSE))&lt;test!$K$16,$A58&lt;&gt;M$1,Recharged_Feasible_mat!N27=1),(VLOOKUP(M$1,test!$A$3:$I$32,8,FALSE))-(VLOOKUP($A58,test!$A$3:$I$32,9,FALSE))+test!$B$33,0)</f>
        <v>0</v>
      </c>
      <c r="N58">
        <f>IF(AND(SUM(VLOOKUP($A58,test!$A$3:$F$32,2,FALSE),VLOOKUP(N$1,test!$A$3:$F$32,2,FALSE))&lt;test!$K$16,$A58&lt;&gt;N$1,Recharged_Feasible_mat!O27=1),(VLOOKUP(N$1,test!$A$3:$I$32,8,FALSE))-(VLOOKUP($A58,test!$A$3:$I$32,9,FALSE))+test!$B$33,0)</f>
        <v>205</v>
      </c>
      <c r="O58">
        <f>IF(AND(SUM(VLOOKUP($A58,test!$A$3:$F$32,2,FALSE),VLOOKUP(O$1,test!$A$3:$F$32,2,FALSE))&lt;test!$K$16,$A58&lt;&gt;O$1,Recharged_Feasible_mat!P27=1),(VLOOKUP(O$1,test!$A$3:$I$32,8,FALSE))-(VLOOKUP($A58,test!$A$3:$I$32,9,FALSE))+test!$B$33,0)</f>
        <v>265</v>
      </c>
      <c r="P58">
        <f>IF(AND(SUM(VLOOKUP($A58,test!$A$3:$F$32,2,FALSE),VLOOKUP(P$1,test!$A$3:$F$32,2,FALSE))&lt;test!$K$16,$A58&lt;&gt;P$1,Recharged_Feasible_mat!Q27=1),(VLOOKUP(P$1,test!$A$3:$I$32,8,FALSE))-(VLOOKUP($A58,test!$A$3:$I$32,9,FALSE))+test!$B$33,0)</f>
        <v>0</v>
      </c>
      <c r="Q58">
        <f>IF(AND(SUM(VLOOKUP($A58,test!$A$3:$F$32,2,FALSE),VLOOKUP(Q$1,test!$A$3:$F$32,2,FALSE))&lt;test!$K$16,$A58&lt;&gt;Q$1,Recharged_Feasible_mat!R27=1),(VLOOKUP(Q$1,test!$A$3:$I$32,8,FALSE))-(VLOOKUP($A58,test!$A$3:$I$32,9,FALSE))+test!$B$33,0)</f>
        <v>0</v>
      </c>
      <c r="R58">
        <f>IF(AND(SUM(VLOOKUP($A58,test!$A$3:$F$32,2,FALSE),VLOOKUP(R$1,test!$A$3:$F$32,2,FALSE))&lt;test!$K$16,$A58&lt;&gt;R$1,Recharged_Feasible_mat!S27=1),(VLOOKUP(R$1,test!$A$3:$I$32,8,FALSE))-(VLOOKUP($A58,test!$A$3:$I$32,9,FALSE))+test!$B$33,0)</f>
        <v>0</v>
      </c>
      <c r="S58">
        <f>IF(AND(SUM(VLOOKUP($A58,test!$A$3:$F$32,2,FALSE),VLOOKUP(S$1,test!$A$3:$F$32,2,FALSE))&lt;test!$K$16,$A58&lt;&gt;S$1,Recharged_Feasible_mat!T27=1),(VLOOKUP(S$1,test!$A$3:$I$32,8,FALSE))-(VLOOKUP($A58,test!$A$3:$I$32,9,FALSE))+test!$B$33,0)</f>
        <v>0</v>
      </c>
      <c r="T58">
        <f>IF(AND(SUM(VLOOKUP($A58,test!$A$3:$F$32,2,FALSE),VLOOKUP(T$1,test!$A$3:$F$32,2,FALSE))&lt;test!$K$16,$A58&lt;&gt;T$1,Recharged_Feasible_mat!U27=1),(VLOOKUP(T$1,test!$A$3:$I$32,8,FALSE))-(VLOOKUP($A58,test!$A$3:$I$32,9,FALSE))+test!$B$33,0)</f>
        <v>0</v>
      </c>
      <c r="U58">
        <f>IF(AND(SUM(VLOOKUP($A58,test!$A$3:$F$32,2,FALSE),VLOOKUP(U$1,test!$A$3:$F$32,2,FALSE))&lt;test!$K$16,$A58&lt;&gt;U$1,Recharged_Feasible_mat!V27=1),(VLOOKUP(U$1,test!$A$3:$I$32,8,FALSE))-(VLOOKUP($A58,test!$A$3:$I$32,9,FALSE))+test!$B$33,0)</f>
        <v>0</v>
      </c>
      <c r="V58">
        <f>IF(AND(SUM(VLOOKUP($A58,test!$A$3:$F$32,2,FALSE),VLOOKUP(V$1,test!$A$3:$F$32,2,FALSE))&lt;test!$K$16,$A58&lt;&gt;V$1,Recharged_Feasible_mat!W27=1),(VLOOKUP(V$1,test!$A$3:$I$32,8,FALSE))-(VLOOKUP($A58,test!$A$3:$I$32,9,FALSE))+test!$B$33,0)</f>
        <v>0</v>
      </c>
      <c r="W58">
        <f>IF(AND(SUM(VLOOKUP($A58,test!$A$3:$F$32,2,FALSE),VLOOKUP(W$1,test!$A$3:$F$32,2,FALSE))&lt;test!$K$16,$A58&lt;&gt;W$1,Recharged_Feasible_mat!X27=1),(VLOOKUP(W$1,test!$A$3:$I$32,8,FALSE))-(VLOOKUP($A58,test!$A$3:$I$32,9,FALSE))+test!$B$33,0)</f>
        <v>0</v>
      </c>
      <c r="X58">
        <f>IF(AND(SUM(VLOOKUP($A58,test!$A$3:$F$32,2,FALSE),VLOOKUP(X$1,test!$A$3:$F$32,2,FALSE))&lt;test!$K$16,$A58&lt;&gt;X$1,Recharged_Feasible_mat!Y27=1),(VLOOKUP(X$1,test!$A$3:$I$32,8,FALSE))-(VLOOKUP($A58,test!$A$3:$I$32,9,FALSE))+test!$B$33,0)</f>
        <v>190</v>
      </c>
      <c r="Y58">
        <f>IF(AND(SUM(VLOOKUP($A58,test!$A$3:$F$32,2,FALSE),VLOOKUP(Y$1,test!$A$3:$F$32,2,FALSE))&lt;test!$K$16,$A58&lt;&gt;Y$1,Recharged_Feasible_mat!Z27=1),(VLOOKUP(Y$1,test!$A$3:$I$32,8,FALSE))-(VLOOKUP($A58,test!$A$3:$I$32,9,FALSE))+test!$B$33,0)</f>
        <v>0</v>
      </c>
      <c r="Z58">
        <f>IF(AND(SUM(VLOOKUP($A58,test!$A$3:$F$32,2,FALSE),VLOOKUP(Z$1,test!$A$3:$F$32,2,FALSE))&lt;test!$K$16,$A58&lt;&gt;Z$1,Recharged_Feasible_mat!AA27=1),(VLOOKUP(Z$1,test!$A$3:$I$32,8,FALSE))-(VLOOKUP($A58,test!$A$3:$I$32,9,FALSE))+test!$B$33,0)</f>
        <v>0</v>
      </c>
      <c r="AA58">
        <f>IF(AND(SUM(VLOOKUP($A58,test!$A$3:$F$32,2,FALSE),VLOOKUP(AA$1,test!$A$3:$F$32,2,FALSE))&lt;test!$K$16,$A58&lt;&gt;AA$1,Recharged_Feasible_mat!AB27=1),(VLOOKUP(AA$1,test!$A$3:$I$32,8,FALSE))-(VLOOKUP($A58,test!$A$3:$I$32,9,FALSE))+test!$B$33,0)</f>
        <v>0</v>
      </c>
      <c r="AB58">
        <f>IF(AND(SUM(VLOOKUP($A58,test!$A$3:$F$32,2,FALSE),VLOOKUP(AB$1,test!$A$3:$F$32,2,FALSE))&lt;test!$K$16,$A58&lt;&gt;AB$1,Recharged_Feasible_mat!AC27=1),(VLOOKUP(AB$1,test!$A$3:$I$32,8,FALSE))-(VLOOKUP($A58,test!$A$3:$I$32,9,FALSE))+test!$B$33,0)</f>
        <v>0</v>
      </c>
      <c r="AC58">
        <f>IF(AND(SUM(VLOOKUP($A58,test!$A$3:$F$32,2,FALSE),VLOOKUP(AC$1,test!$A$3:$F$32,2,FALSE))&lt;test!$K$16,$A58&lt;&gt;AC$1,Recharged_Feasible_mat!AD27=1),(VLOOKUP(AC$1,test!$A$3:$I$32,8,FALSE))-(VLOOKUP($A58,test!$A$3:$I$32,9,FALSE))+test!$B$33,0)</f>
        <v>0</v>
      </c>
      <c r="AD58">
        <f>IF(AND(SUM(VLOOKUP($A58,test!$A$3:$F$32,2,FALSE),VLOOKUP(AD$1,test!$A$3:$F$32,2,FALSE))&lt;test!$K$16,$A58&lt;&gt;AD$1,Recharged_Feasible_mat!AE27=1),(VLOOKUP(AD$1,test!$A$3:$I$32,8,FALSE))-(VLOOKUP($A58,test!$A$3:$I$32,9,FALSE))+test!$B$33,0)</f>
        <v>0</v>
      </c>
      <c r="AE58">
        <f>IF(AND(SUM(VLOOKUP($A58,test!$A$3:$F$32,2,FALSE),VLOOKUP(AE$1,test!$A$3:$F$32,2,FALSE))&lt;test!$K$16,$A58&lt;&gt;AE$1,Recharged_Feasible_mat!AF27=1),(VLOOKUP(AE$1,test!$A$3:$I$32,8,FALSE))-(VLOOKUP($A58,test!$A$3:$I$32,9,FALSE))+test!$B$33,0)</f>
        <v>0</v>
      </c>
      <c r="AF58">
        <f>IF(AND(SUM(VLOOKUP($A58,test!$A$3:$F$32,2,FALSE),VLOOKUP(AF$1,test!$A$3:$F$32,2,FALSE))&lt;test!$K$16,$A58&lt;&gt;AF$1,Recharged_Feasible_mat!AG27=1),(VLOOKUP(AF$1,test!$A$3:$I$32,8,FALSE))-(VLOOKUP($A58,test!$A$3:$I$32,9,FALSE))+test!$B$33,0)</f>
        <v>0</v>
      </c>
    </row>
    <row r="59" spans="1:32" x14ac:dyDescent="0.25">
      <c r="A59" t="s">
        <v>37</v>
      </c>
      <c r="B59">
        <v>0</v>
      </c>
      <c r="C59">
        <f>IF(AND(SUM(VLOOKUP($A59,test!$A$3:$F$32,2,FALSE),VLOOKUP(C$1,test!$A$3:$F$32,2,FALSE))&lt;test!$K$16,$A59&lt;&gt;C$1,feasible_mat!C59=1),(VLOOKUP(C$1,test!$A$3:$I$32,8,FALSE))-(VLOOKUP($A59,test!$A$3:$I$32,9,FALSE))+test!$B$33,0)</f>
        <v>0</v>
      </c>
      <c r="D59">
        <f>IF(AND(SUM(VLOOKUP($A59,test!$A$3:$F$32,2,FALSE),VLOOKUP(D$1,test!$A$3:$F$32,2,FALSE))&lt;test!$K$16,$A59&lt;&gt;D$1,Recharged_Feasible_mat!E28=1),(VLOOKUP(D$1,test!$A$3:$I$32,8,FALSE))-(VLOOKUP($A59,test!$A$3:$I$32,9,FALSE))+test!$B$33,0)</f>
        <v>0</v>
      </c>
      <c r="E59">
        <f>IF(AND(SUM(VLOOKUP($A59,test!$A$3:$F$32,2,FALSE),VLOOKUP(E$1,test!$A$3:$F$32,2,FALSE))&lt;test!$K$16,$A59&lt;&gt;E$1,Recharged_Feasible_mat!F28=1),(VLOOKUP(E$1,test!$A$3:$I$32,8,FALSE))-(VLOOKUP($A59,test!$A$3:$I$32,9,FALSE))+test!$B$33,0)</f>
        <v>0</v>
      </c>
      <c r="F59">
        <f>IF(AND(SUM(VLOOKUP($A59,test!$A$3:$F$32,2,FALSE),VLOOKUP(F$1,test!$A$3:$F$32,2,FALSE))&lt;test!$K$16,$A59&lt;&gt;F$1,Recharged_Feasible_mat!G28=1),(VLOOKUP(F$1,test!$A$3:$I$32,8,FALSE))-(VLOOKUP($A59,test!$A$3:$I$32,9,FALSE))+test!$B$33,0)</f>
        <v>0</v>
      </c>
      <c r="G59">
        <f>IF(AND(SUM(VLOOKUP($A59,test!$A$3:$F$32,2,FALSE),VLOOKUP(G$1,test!$A$3:$F$32,2,FALSE))&lt;test!$K$16,$A59&lt;&gt;G$1,Recharged_Feasible_mat!H28=1),(VLOOKUP(G$1,test!$A$3:$I$32,8,FALSE))-(VLOOKUP($A59,test!$A$3:$I$32,9,FALSE))+test!$B$33,0)</f>
        <v>0</v>
      </c>
      <c r="H59">
        <f>IF(AND(SUM(VLOOKUP($A59,test!$A$3:$F$32,2,FALSE),VLOOKUP(H$1,test!$A$3:$F$32,2,FALSE))&lt;test!$K$16,$A59&lt;&gt;H$1,Recharged_Feasible_mat!I28=1),(VLOOKUP(H$1,test!$A$3:$I$32,8,FALSE))-(VLOOKUP($A59,test!$A$3:$I$32,9,FALSE))+test!$B$33,0)</f>
        <v>0</v>
      </c>
      <c r="I59">
        <f>IF(AND(SUM(VLOOKUP($A59,test!$A$3:$F$32,2,FALSE),VLOOKUP(I$1,test!$A$3:$F$32,2,FALSE))&lt;test!$K$16,$A59&lt;&gt;I$1,Recharged_Feasible_mat!J28=1),(VLOOKUP(I$1,test!$A$3:$I$32,8,FALSE))-(VLOOKUP($A59,test!$A$3:$I$32,9,FALSE))+test!$B$33,0)</f>
        <v>0</v>
      </c>
      <c r="J59">
        <f>IF(AND(SUM(VLOOKUP($A59,test!$A$3:$F$32,2,FALSE),VLOOKUP(J$1,test!$A$3:$F$32,2,FALSE))&lt;test!$K$16,$A59&lt;&gt;J$1,Recharged_Feasible_mat!K28=1),(VLOOKUP(J$1,test!$A$3:$I$32,8,FALSE))-(VLOOKUP($A59,test!$A$3:$I$32,9,FALSE))+test!$B$33,0)</f>
        <v>180</v>
      </c>
      <c r="K59">
        <f>IF(AND(SUM(VLOOKUP($A59,test!$A$3:$F$32,2,FALSE),VLOOKUP(K$1,test!$A$3:$F$32,2,FALSE))&lt;test!$K$16,$A59&lt;&gt;K$1,Recharged_Feasible_mat!L28=1),(VLOOKUP(K$1,test!$A$3:$I$32,8,FALSE))-(VLOOKUP($A59,test!$A$3:$I$32,9,FALSE))+test!$B$33,0)</f>
        <v>0</v>
      </c>
      <c r="L59">
        <f>IF(AND(SUM(VLOOKUP($A59,test!$A$3:$F$32,2,FALSE),VLOOKUP(L$1,test!$A$3:$F$32,2,FALSE))&lt;test!$K$16,$A59&lt;&gt;L$1,Recharged_Feasible_mat!M28=1),(VLOOKUP(L$1,test!$A$3:$I$32,8,FALSE))-(VLOOKUP($A59,test!$A$3:$I$32,9,FALSE))+test!$B$33,0)</f>
        <v>0</v>
      </c>
      <c r="M59">
        <f>IF(AND(SUM(VLOOKUP($A59,test!$A$3:$F$32,2,FALSE),VLOOKUP(M$1,test!$A$3:$F$32,2,FALSE))&lt;test!$K$16,$A59&lt;&gt;M$1,Recharged_Feasible_mat!N28=1),(VLOOKUP(M$1,test!$A$3:$I$32,8,FALSE))-(VLOOKUP($A59,test!$A$3:$I$32,9,FALSE))+test!$B$33,0)</f>
        <v>0</v>
      </c>
      <c r="N59">
        <f>IF(AND(SUM(VLOOKUP($A59,test!$A$3:$F$32,2,FALSE),VLOOKUP(N$1,test!$A$3:$F$32,2,FALSE))&lt;test!$K$16,$A59&lt;&gt;N$1,Recharged_Feasible_mat!O28=1),(VLOOKUP(N$1,test!$A$3:$I$32,8,FALSE))-(VLOOKUP($A59,test!$A$3:$I$32,9,FALSE))+test!$B$33,0)</f>
        <v>145</v>
      </c>
      <c r="O59">
        <f>IF(AND(SUM(VLOOKUP($A59,test!$A$3:$F$32,2,FALSE),VLOOKUP(O$1,test!$A$3:$F$32,2,FALSE))&lt;test!$K$16,$A59&lt;&gt;O$1,Recharged_Feasible_mat!P28=1),(VLOOKUP(O$1,test!$A$3:$I$32,8,FALSE))-(VLOOKUP($A59,test!$A$3:$I$32,9,FALSE))+test!$B$33,0)</f>
        <v>205</v>
      </c>
      <c r="P59">
        <f>IF(AND(SUM(VLOOKUP($A59,test!$A$3:$F$32,2,FALSE),VLOOKUP(P$1,test!$A$3:$F$32,2,FALSE))&lt;test!$K$16,$A59&lt;&gt;P$1,Recharged_Feasible_mat!Q28=1),(VLOOKUP(P$1,test!$A$3:$I$32,8,FALSE))-(VLOOKUP($A59,test!$A$3:$I$32,9,FALSE))+test!$B$33,0)</f>
        <v>0</v>
      </c>
      <c r="Q59">
        <f>IF(AND(SUM(VLOOKUP($A59,test!$A$3:$F$32,2,FALSE),VLOOKUP(Q$1,test!$A$3:$F$32,2,FALSE))&lt;test!$K$16,$A59&lt;&gt;Q$1,Recharged_Feasible_mat!R28=1),(VLOOKUP(Q$1,test!$A$3:$I$32,8,FALSE))-(VLOOKUP($A59,test!$A$3:$I$32,9,FALSE))+test!$B$33,0)</f>
        <v>0</v>
      </c>
      <c r="R59">
        <f>IF(AND(SUM(VLOOKUP($A59,test!$A$3:$F$32,2,FALSE),VLOOKUP(R$1,test!$A$3:$F$32,2,FALSE))&lt;test!$K$16,$A59&lt;&gt;R$1,Recharged_Feasible_mat!S28=1),(VLOOKUP(R$1,test!$A$3:$I$32,8,FALSE))-(VLOOKUP($A59,test!$A$3:$I$32,9,FALSE))+test!$B$33,0)</f>
        <v>0</v>
      </c>
      <c r="S59">
        <f>IF(AND(SUM(VLOOKUP($A59,test!$A$3:$F$32,2,FALSE),VLOOKUP(S$1,test!$A$3:$F$32,2,FALSE))&lt;test!$K$16,$A59&lt;&gt;S$1,Recharged_Feasible_mat!T28=1),(VLOOKUP(S$1,test!$A$3:$I$32,8,FALSE))-(VLOOKUP($A59,test!$A$3:$I$32,9,FALSE))+test!$B$33,0)</f>
        <v>0</v>
      </c>
      <c r="T59">
        <f>IF(AND(SUM(VLOOKUP($A59,test!$A$3:$F$32,2,FALSE),VLOOKUP(T$1,test!$A$3:$F$32,2,FALSE))&lt;test!$K$16,$A59&lt;&gt;T$1,Recharged_Feasible_mat!U28=1),(VLOOKUP(T$1,test!$A$3:$I$32,8,FALSE))-(VLOOKUP($A59,test!$A$3:$I$32,9,FALSE))+test!$B$33,0)</f>
        <v>0</v>
      </c>
      <c r="U59">
        <f>IF(AND(SUM(VLOOKUP($A59,test!$A$3:$F$32,2,FALSE),VLOOKUP(U$1,test!$A$3:$F$32,2,FALSE))&lt;test!$K$16,$A59&lt;&gt;U$1,Recharged_Feasible_mat!V28=1),(VLOOKUP(U$1,test!$A$3:$I$32,8,FALSE))-(VLOOKUP($A59,test!$A$3:$I$32,9,FALSE))+test!$B$33,0)</f>
        <v>0</v>
      </c>
      <c r="V59">
        <f>IF(AND(SUM(VLOOKUP($A59,test!$A$3:$F$32,2,FALSE),VLOOKUP(V$1,test!$A$3:$F$32,2,FALSE))&lt;test!$K$16,$A59&lt;&gt;V$1,Recharged_Feasible_mat!W28=1),(VLOOKUP(V$1,test!$A$3:$I$32,8,FALSE))-(VLOOKUP($A59,test!$A$3:$I$32,9,FALSE))+test!$B$33,0)</f>
        <v>0</v>
      </c>
      <c r="W59">
        <f>IF(AND(SUM(VLOOKUP($A59,test!$A$3:$F$32,2,FALSE),VLOOKUP(W$1,test!$A$3:$F$32,2,FALSE))&lt;test!$K$16,$A59&lt;&gt;W$1,Recharged_Feasible_mat!X28=1),(VLOOKUP(W$1,test!$A$3:$I$32,8,FALSE))-(VLOOKUP($A59,test!$A$3:$I$32,9,FALSE))+test!$B$33,0)</f>
        <v>0</v>
      </c>
      <c r="X59">
        <f>IF(AND(SUM(VLOOKUP($A59,test!$A$3:$F$32,2,FALSE),VLOOKUP(X$1,test!$A$3:$F$32,2,FALSE))&lt;test!$K$16,$A59&lt;&gt;X$1,Recharged_Feasible_mat!Y28=1),(VLOOKUP(X$1,test!$A$3:$I$32,8,FALSE))-(VLOOKUP($A59,test!$A$3:$I$32,9,FALSE))+test!$B$33,0)</f>
        <v>0</v>
      </c>
      <c r="Y59">
        <f>IF(AND(SUM(VLOOKUP($A59,test!$A$3:$F$32,2,FALSE),VLOOKUP(Y$1,test!$A$3:$F$32,2,FALSE))&lt;test!$K$16,$A59&lt;&gt;Y$1,Recharged_Feasible_mat!Z28=1),(VLOOKUP(Y$1,test!$A$3:$I$32,8,FALSE))-(VLOOKUP($A59,test!$A$3:$I$32,9,FALSE))+test!$B$33,0)</f>
        <v>0</v>
      </c>
      <c r="Z59">
        <f>IF(AND(SUM(VLOOKUP($A59,test!$A$3:$F$32,2,FALSE),VLOOKUP(Z$1,test!$A$3:$F$32,2,FALSE))&lt;test!$K$16,$A59&lt;&gt;Z$1,Recharged_Feasible_mat!AA28=1),(VLOOKUP(Z$1,test!$A$3:$I$32,8,FALSE))-(VLOOKUP($A59,test!$A$3:$I$32,9,FALSE))+test!$B$33,0)</f>
        <v>0</v>
      </c>
      <c r="AA59">
        <f>IF(AND(SUM(VLOOKUP($A59,test!$A$3:$F$32,2,FALSE),VLOOKUP(AA$1,test!$A$3:$F$32,2,FALSE))&lt;test!$K$16,$A59&lt;&gt;AA$1,Recharged_Feasible_mat!AB28=1),(VLOOKUP(AA$1,test!$A$3:$I$32,8,FALSE))-(VLOOKUP($A59,test!$A$3:$I$32,9,FALSE))+test!$B$33,0)</f>
        <v>0</v>
      </c>
      <c r="AB59">
        <f>IF(AND(SUM(VLOOKUP($A59,test!$A$3:$F$32,2,FALSE),VLOOKUP(AB$1,test!$A$3:$F$32,2,FALSE))&lt;test!$K$16,$A59&lt;&gt;AB$1,Recharged_Feasible_mat!AC28=1),(VLOOKUP(AB$1,test!$A$3:$I$32,8,FALSE))-(VLOOKUP($A59,test!$A$3:$I$32,9,FALSE))+test!$B$33,0)</f>
        <v>0</v>
      </c>
      <c r="AC59">
        <f>IF(AND(SUM(VLOOKUP($A59,test!$A$3:$F$32,2,FALSE),VLOOKUP(AC$1,test!$A$3:$F$32,2,FALSE))&lt;test!$K$16,$A59&lt;&gt;AC$1,Recharged_Feasible_mat!AD28=1),(VLOOKUP(AC$1,test!$A$3:$I$32,8,FALSE))-(VLOOKUP($A59,test!$A$3:$I$32,9,FALSE))+test!$B$33,0)</f>
        <v>0</v>
      </c>
      <c r="AD59">
        <f>IF(AND(SUM(VLOOKUP($A59,test!$A$3:$F$32,2,FALSE),VLOOKUP(AD$1,test!$A$3:$F$32,2,FALSE))&lt;test!$K$16,$A59&lt;&gt;AD$1,Recharged_Feasible_mat!AE28=1),(VLOOKUP(AD$1,test!$A$3:$I$32,8,FALSE))-(VLOOKUP($A59,test!$A$3:$I$32,9,FALSE))+test!$B$33,0)</f>
        <v>0</v>
      </c>
      <c r="AE59">
        <f>IF(AND(SUM(VLOOKUP($A59,test!$A$3:$F$32,2,FALSE),VLOOKUP(AE$1,test!$A$3:$F$32,2,FALSE))&lt;test!$K$16,$A59&lt;&gt;AE$1,Recharged_Feasible_mat!AF28=1),(VLOOKUP(AE$1,test!$A$3:$I$32,8,FALSE))-(VLOOKUP($A59,test!$A$3:$I$32,9,FALSE))+test!$B$33,0)</f>
        <v>0</v>
      </c>
      <c r="AF59">
        <f>IF(AND(SUM(VLOOKUP($A59,test!$A$3:$F$32,2,FALSE),VLOOKUP(AF$1,test!$A$3:$F$32,2,FALSE))&lt;test!$K$16,$A59&lt;&gt;AF$1,Recharged_Feasible_mat!AG28=1),(VLOOKUP(AF$1,test!$A$3:$I$32,8,FALSE))-(VLOOKUP($A59,test!$A$3:$I$32,9,FALSE))+test!$B$33,0)</f>
        <v>0</v>
      </c>
    </row>
    <row r="60" spans="1:32" x14ac:dyDescent="0.25">
      <c r="A60" t="s">
        <v>38</v>
      </c>
      <c r="B60">
        <v>0</v>
      </c>
      <c r="C60">
        <f>IF(AND(SUM(VLOOKUP($A60,test!$A$3:$F$32,2,FALSE),VLOOKUP(C$1,test!$A$3:$F$32,2,FALSE))&lt;test!$K$16,$A60&lt;&gt;C$1,feasible_mat!C60=1),(VLOOKUP(C$1,test!$A$3:$I$32,8,FALSE))-(VLOOKUP($A60,test!$A$3:$I$32,9,FALSE))+test!$B$33,0)</f>
        <v>0</v>
      </c>
      <c r="D60">
        <f>IF(AND(SUM(VLOOKUP($A60,test!$A$3:$F$32,2,FALSE),VLOOKUP(D$1,test!$A$3:$F$32,2,FALSE))&lt;test!$K$16,$A60&lt;&gt;D$1,Recharged_Feasible_mat!E29=1),(VLOOKUP(D$1,test!$A$3:$I$32,8,FALSE))-(VLOOKUP($A60,test!$A$3:$I$32,9,FALSE))+test!$B$33,0)</f>
        <v>0</v>
      </c>
      <c r="E60">
        <f>IF(AND(SUM(VLOOKUP($A60,test!$A$3:$F$32,2,FALSE),VLOOKUP(E$1,test!$A$3:$F$32,2,FALSE))&lt;test!$K$16,$A60&lt;&gt;E$1,Recharged_Feasible_mat!F29=1),(VLOOKUP(E$1,test!$A$3:$I$32,8,FALSE))-(VLOOKUP($A60,test!$A$3:$I$32,9,FALSE))+test!$B$33,0)</f>
        <v>0</v>
      </c>
      <c r="F60">
        <f>IF(AND(SUM(VLOOKUP($A60,test!$A$3:$F$32,2,FALSE),VLOOKUP(F$1,test!$A$3:$F$32,2,FALSE))&lt;test!$K$16,$A60&lt;&gt;F$1,Recharged_Feasible_mat!G29=1),(VLOOKUP(F$1,test!$A$3:$I$32,8,FALSE))-(VLOOKUP($A60,test!$A$3:$I$32,9,FALSE))+test!$B$33,0)</f>
        <v>0</v>
      </c>
      <c r="G60">
        <f>IF(AND(SUM(VLOOKUP($A60,test!$A$3:$F$32,2,FALSE),VLOOKUP(G$1,test!$A$3:$F$32,2,FALSE))&lt;test!$K$16,$A60&lt;&gt;G$1,Recharged_Feasible_mat!H29=1),(VLOOKUP(G$1,test!$A$3:$I$32,8,FALSE))-(VLOOKUP($A60,test!$A$3:$I$32,9,FALSE))+test!$B$33,0)</f>
        <v>0</v>
      </c>
      <c r="H60">
        <f>IF(AND(SUM(VLOOKUP($A60,test!$A$3:$F$32,2,FALSE),VLOOKUP(H$1,test!$A$3:$F$32,2,FALSE))&lt;test!$K$16,$A60&lt;&gt;H$1,Recharged_Feasible_mat!I29=1),(VLOOKUP(H$1,test!$A$3:$I$32,8,FALSE))-(VLOOKUP($A60,test!$A$3:$I$32,9,FALSE))+test!$B$33,0)</f>
        <v>0</v>
      </c>
      <c r="I60">
        <f>IF(AND(SUM(VLOOKUP($A60,test!$A$3:$F$32,2,FALSE),VLOOKUP(I$1,test!$A$3:$F$32,2,FALSE))&lt;test!$K$16,$A60&lt;&gt;I$1,Recharged_Feasible_mat!J29=1),(VLOOKUP(I$1,test!$A$3:$I$32,8,FALSE))-(VLOOKUP($A60,test!$A$3:$I$32,9,FALSE))+test!$B$33,0)</f>
        <v>0</v>
      </c>
      <c r="J60">
        <f>IF(AND(SUM(VLOOKUP($A60,test!$A$3:$F$32,2,FALSE),VLOOKUP(J$1,test!$A$3:$F$32,2,FALSE))&lt;test!$K$16,$A60&lt;&gt;J$1,Recharged_Feasible_mat!K29=1),(VLOOKUP(J$1,test!$A$3:$I$32,8,FALSE))-(VLOOKUP($A60,test!$A$3:$I$32,9,FALSE))+test!$B$33,0)</f>
        <v>0</v>
      </c>
      <c r="K60">
        <f>IF(AND(SUM(VLOOKUP($A60,test!$A$3:$F$32,2,FALSE),VLOOKUP(K$1,test!$A$3:$F$32,2,FALSE))&lt;test!$K$16,$A60&lt;&gt;K$1,Recharged_Feasible_mat!L29=1),(VLOOKUP(K$1,test!$A$3:$I$32,8,FALSE))-(VLOOKUP($A60,test!$A$3:$I$32,9,FALSE))+test!$B$33,0)</f>
        <v>0</v>
      </c>
      <c r="L60">
        <f>IF(AND(SUM(VLOOKUP($A60,test!$A$3:$F$32,2,FALSE),VLOOKUP(L$1,test!$A$3:$F$32,2,FALSE))&lt;test!$K$16,$A60&lt;&gt;L$1,Recharged_Feasible_mat!M29=1),(VLOOKUP(L$1,test!$A$3:$I$32,8,FALSE))-(VLOOKUP($A60,test!$A$3:$I$32,9,FALSE))+test!$B$33,0)</f>
        <v>0</v>
      </c>
      <c r="M60">
        <f>IF(AND(SUM(VLOOKUP($A60,test!$A$3:$F$32,2,FALSE),VLOOKUP(M$1,test!$A$3:$F$32,2,FALSE))&lt;test!$K$16,$A60&lt;&gt;M$1,Recharged_Feasible_mat!N29=1),(VLOOKUP(M$1,test!$A$3:$I$32,8,FALSE))-(VLOOKUP($A60,test!$A$3:$I$32,9,FALSE))+test!$B$33,0)</f>
        <v>0</v>
      </c>
      <c r="N60">
        <f>IF(AND(SUM(VLOOKUP($A60,test!$A$3:$F$32,2,FALSE),VLOOKUP(N$1,test!$A$3:$F$32,2,FALSE))&lt;test!$K$16,$A60&lt;&gt;N$1,Recharged_Feasible_mat!O29=1),(VLOOKUP(N$1,test!$A$3:$I$32,8,FALSE))-(VLOOKUP($A60,test!$A$3:$I$32,9,FALSE))+test!$B$33,0)</f>
        <v>0</v>
      </c>
      <c r="O60">
        <f>IF(AND(SUM(VLOOKUP($A60,test!$A$3:$F$32,2,FALSE),VLOOKUP(O$1,test!$A$3:$F$32,2,FALSE))&lt;test!$K$16,$A60&lt;&gt;O$1,Recharged_Feasible_mat!P29=1),(VLOOKUP(O$1,test!$A$3:$I$32,8,FALSE))-(VLOOKUP($A60,test!$A$3:$I$32,9,FALSE))+test!$B$33,0)</f>
        <v>0</v>
      </c>
      <c r="P60">
        <f>IF(AND(SUM(VLOOKUP($A60,test!$A$3:$F$32,2,FALSE),VLOOKUP(P$1,test!$A$3:$F$32,2,FALSE))&lt;test!$K$16,$A60&lt;&gt;P$1,Recharged_Feasible_mat!Q29=1),(VLOOKUP(P$1,test!$A$3:$I$32,8,FALSE))-(VLOOKUP($A60,test!$A$3:$I$32,9,FALSE))+test!$B$33,0)</f>
        <v>0</v>
      </c>
      <c r="Q60">
        <f>IF(AND(SUM(VLOOKUP($A60,test!$A$3:$F$32,2,FALSE),VLOOKUP(Q$1,test!$A$3:$F$32,2,FALSE))&lt;test!$K$16,$A60&lt;&gt;Q$1,Recharged_Feasible_mat!R29=1),(VLOOKUP(Q$1,test!$A$3:$I$32,8,FALSE))-(VLOOKUP($A60,test!$A$3:$I$32,9,FALSE))+test!$B$33,0)</f>
        <v>0</v>
      </c>
      <c r="R60">
        <f>IF(AND(SUM(VLOOKUP($A60,test!$A$3:$F$32,2,FALSE),VLOOKUP(R$1,test!$A$3:$F$32,2,FALSE))&lt;test!$K$16,$A60&lt;&gt;R$1,Recharged_Feasible_mat!S29=1),(VLOOKUP(R$1,test!$A$3:$I$32,8,FALSE))-(VLOOKUP($A60,test!$A$3:$I$32,9,FALSE))+test!$B$33,0)</f>
        <v>0</v>
      </c>
      <c r="S60">
        <f>IF(AND(SUM(VLOOKUP($A60,test!$A$3:$F$32,2,FALSE),VLOOKUP(S$1,test!$A$3:$F$32,2,FALSE))&lt;test!$K$16,$A60&lt;&gt;S$1,Recharged_Feasible_mat!T29=1),(VLOOKUP(S$1,test!$A$3:$I$32,8,FALSE))-(VLOOKUP($A60,test!$A$3:$I$32,9,FALSE))+test!$B$33,0)</f>
        <v>0</v>
      </c>
      <c r="T60">
        <f>IF(AND(SUM(VLOOKUP($A60,test!$A$3:$F$32,2,FALSE),VLOOKUP(T$1,test!$A$3:$F$32,2,FALSE))&lt;test!$K$16,$A60&lt;&gt;T$1,Recharged_Feasible_mat!U29=1),(VLOOKUP(T$1,test!$A$3:$I$32,8,FALSE))-(VLOOKUP($A60,test!$A$3:$I$32,9,FALSE))+test!$B$33,0)</f>
        <v>0</v>
      </c>
      <c r="U60">
        <f>IF(AND(SUM(VLOOKUP($A60,test!$A$3:$F$32,2,FALSE),VLOOKUP(U$1,test!$A$3:$F$32,2,FALSE))&lt;test!$K$16,$A60&lt;&gt;U$1,Recharged_Feasible_mat!V29=1),(VLOOKUP(U$1,test!$A$3:$I$32,8,FALSE))-(VLOOKUP($A60,test!$A$3:$I$32,9,FALSE))+test!$B$33,0)</f>
        <v>0</v>
      </c>
      <c r="V60">
        <f>IF(AND(SUM(VLOOKUP($A60,test!$A$3:$F$32,2,FALSE),VLOOKUP(V$1,test!$A$3:$F$32,2,FALSE))&lt;test!$K$16,$A60&lt;&gt;V$1,Recharged_Feasible_mat!W29=1),(VLOOKUP(V$1,test!$A$3:$I$32,8,FALSE))-(VLOOKUP($A60,test!$A$3:$I$32,9,FALSE))+test!$B$33,0)</f>
        <v>0</v>
      </c>
      <c r="W60">
        <f>IF(AND(SUM(VLOOKUP($A60,test!$A$3:$F$32,2,FALSE),VLOOKUP(W$1,test!$A$3:$F$32,2,FALSE))&lt;test!$K$16,$A60&lt;&gt;W$1,Recharged_Feasible_mat!X29=1),(VLOOKUP(W$1,test!$A$3:$I$32,8,FALSE))-(VLOOKUP($A60,test!$A$3:$I$32,9,FALSE))+test!$B$33,0)</f>
        <v>0</v>
      </c>
      <c r="X60">
        <f>IF(AND(SUM(VLOOKUP($A60,test!$A$3:$F$32,2,FALSE),VLOOKUP(X$1,test!$A$3:$F$32,2,FALSE))&lt;test!$K$16,$A60&lt;&gt;X$1,Recharged_Feasible_mat!Y29=1),(VLOOKUP(X$1,test!$A$3:$I$32,8,FALSE))-(VLOOKUP($A60,test!$A$3:$I$32,9,FALSE))+test!$B$33,0)</f>
        <v>0</v>
      </c>
      <c r="Y60">
        <f>IF(AND(SUM(VLOOKUP($A60,test!$A$3:$F$32,2,FALSE),VLOOKUP(Y$1,test!$A$3:$F$32,2,FALSE))&lt;test!$K$16,$A60&lt;&gt;Y$1,Recharged_Feasible_mat!Z29=1),(VLOOKUP(Y$1,test!$A$3:$I$32,8,FALSE))-(VLOOKUP($A60,test!$A$3:$I$32,9,FALSE))+test!$B$33,0)</f>
        <v>0</v>
      </c>
      <c r="Z60">
        <f>IF(AND(SUM(VLOOKUP($A60,test!$A$3:$F$32,2,FALSE),VLOOKUP(Z$1,test!$A$3:$F$32,2,FALSE))&lt;test!$K$16,$A60&lt;&gt;Z$1,Recharged_Feasible_mat!AA29=1),(VLOOKUP(Z$1,test!$A$3:$I$32,8,FALSE))-(VLOOKUP($A60,test!$A$3:$I$32,9,FALSE))+test!$B$33,0)</f>
        <v>0</v>
      </c>
      <c r="AA60">
        <f>IF(AND(SUM(VLOOKUP($A60,test!$A$3:$F$32,2,FALSE),VLOOKUP(AA$1,test!$A$3:$F$32,2,FALSE))&lt;test!$K$16,$A60&lt;&gt;AA$1,Recharged_Feasible_mat!AB29=1),(VLOOKUP(AA$1,test!$A$3:$I$32,8,FALSE))-(VLOOKUP($A60,test!$A$3:$I$32,9,FALSE))+test!$B$33,0)</f>
        <v>0</v>
      </c>
      <c r="AB60">
        <f>IF(AND(SUM(VLOOKUP($A60,test!$A$3:$F$32,2,FALSE),VLOOKUP(AB$1,test!$A$3:$F$32,2,FALSE))&lt;test!$K$16,$A60&lt;&gt;AB$1,Recharged_Feasible_mat!AC29=1),(VLOOKUP(AB$1,test!$A$3:$I$32,8,FALSE))-(VLOOKUP($A60,test!$A$3:$I$32,9,FALSE))+test!$B$33,0)</f>
        <v>0</v>
      </c>
      <c r="AC60">
        <f>IF(AND(SUM(VLOOKUP($A60,test!$A$3:$F$32,2,FALSE),VLOOKUP(AC$1,test!$A$3:$F$32,2,FALSE))&lt;test!$K$16,$A60&lt;&gt;AC$1,Recharged_Feasible_mat!AD29=1),(VLOOKUP(AC$1,test!$A$3:$I$32,8,FALSE))-(VLOOKUP($A60,test!$A$3:$I$32,9,FALSE))+test!$B$33,0)</f>
        <v>0</v>
      </c>
      <c r="AD60">
        <f>IF(AND(SUM(VLOOKUP($A60,test!$A$3:$F$32,2,FALSE),VLOOKUP(AD$1,test!$A$3:$F$32,2,FALSE))&lt;test!$K$16,$A60&lt;&gt;AD$1,Recharged_Feasible_mat!AE29=1),(VLOOKUP(AD$1,test!$A$3:$I$32,8,FALSE))-(VLOOKUP($A60,test!$A$3:$I$32,9,FALSE))+test!$B$33,0)</f>
        <v>0</v>
      </c>
      <c r="AE60">
        <f>IF(AND(SUM(VLOOKUP($A60,test!$A$3:$F$32,2,FALSE),VLOOKUP(AE$1,test!$A$3:$F$32,2,FALSE))&lt;test!$K$16,$A60&lt;&gt;AE$1,Recharged_Feasible_mat!AF29=1),(VLOOKUP(AE$1,test!$A$3:$I$32,8,FALSE))-(VLOOKUP($A60,test!$A$3:$I$32,9,FALSE))+test!$B$33,0)</f>
        <v>0</v>
      </c>
      <c r="AF60">
        <f>IF(AND(SUM(VLOOKUP($A60,test!$A$3:$F$32,2,FALSE),VLOOKUP(AF$1,test!$A$3:$F$32,2,FALSE))&lt;test!$K$16,$A60&lt;&gt;AF$1,Recharged_Feasible_mat!AG29=1),(VLOOKUP(AF$1,test!$A$3:$I$32,8,FALSE))-(VLOOKUP($A60,test!$A$3:$I$32,9,FALSE))+test!$B$33,0)</f>
        <v>0</v>
      </c>
    </row>
    <row r="61" spans="1:32" x14ac:dyDescent="0.25">
      <c r="A61" t="s">
        <v>39</v>
      </c>
      <c r="B61">
        <v>0</v>
      </c>
      <c r="C61">
        <f>IF(AND(SUM(VLOOKUP($A61,test!$A$3:$F$32,2,FALSE),VLOOKUP(C$1,test!$A$3:$F$32,2,FALSE))&lt;test!$K$16,$A61&lt;&gt;C$1,feasible_mat!C61=1),(VLOOKUP(C$1,test!$A$3:$I$32,8,FALSE))-(VLOOKUP($A61,test!$A$3:$I$32,9,FALSE))+test!$B$33,0)</f>
        <v>0</v>
      </c>
      <c r="D61">
        <f>IF(AND(SUM(VLOOKUP($A61,test!$A$3:$F$32,2,FALSE),VLOOKUP(D$1,test!$A$3:$F$32,2,FALSE))&lt;test!$K$16,$A61&lt;&gt;D$1,Recharged_Feasible_mat!E30=1),(VLOOKUP(D$1,test!$A$3:$I$32,8,FALSE))-(VLOOKUP($A61,test!$A$3:$I$32,9,FALSE))+test!$B$33,0)</f>
        <v>0</v>
      </c>
      <c r="E61">
        <f>IF(AND(SUM(VLOOKUP($A61,test!$A$3:$F$32,2,FALSE),VLOOKUP(E$1,test!$A$3:$F$32,2,FALSE))&lt;test!$K$16,$A61&lt;&gt;E$1,Recharged_Feasible_mat!F30=1),(VLOOKUP(E$1,test!$A$3:$I$32,8,FALSE))-(VLOOKUP($A61,test!$A$3:$I$32,9,FALSE))+test!$B$33,0)</f>
        <v>0</v>
      </c>
      <c r="F61">
        <f>IF(AND(SUM(VLOOKUP($A61,test!$A$3:$F$32,2,FALSE),VLOOKUP(F$1,test!$A$3:$F$32,2,FALSE))&lt;test!$K$16,$A61&lt;&gt;F$1,Recharged_Feasible_mat!G30=1),(VLOOKUP(F$1,test!$A$3:$I$32,8,FALSE))-(VLOOKUP($A61,test!$A$3:$I$32,9,FALSE))+test!$B$33,0)</f>
        <v>0</v>
      </c>
      <c r="G61">
        <f>IF(AND(SUM(VLOOKUP($A61,test!$A$3:$F$32,2,FALSE),VLOOKUP(G$1,test!$A$3:$F$32,2,FALSE))&lt;test!$K$16,$A61&lt;&gt;G$1,Recharged_Feasible_mat!H30=1),(VLOOKUP(G$1,test!$A$3:$I$32,8,FALSE))-(VLOOKUP($A61,test!$A$3:$I$32,9,FALSE))+test!$B$33,0)</f>
        <v>0</v>
      </c>
      <c r="H61">
        <f>IF(AND(SUM(VLOOKUP($A61,test!$A$3:$F$32,2,FALSE),VLOOKUP(H$1,test!$A$3:$F$32,2,FALSE))&lt;test!$K$16,$A61&lt;&gt;H$1,Recharged_Feasible_mat!I30=1),(VLOOKUP(H$1,test!$A$3:$I$32,8,FALSE))-(VLOOKUP($A61,test!$A$3:$I$32,9,FALSE))+test!$B$33,0)</f>
        <v>0</v>
      </c>
      <c r="I61">
        <f>IF(AND(SUM(VLOOKUP($A61,test!$A$3:$F$32,2,FALSE),VLOOKUP(I$1,test!$A$3:$F$32,2,FALSE))&lt;test!$K$16,$A61&lt;&gt;I$1,Recharged_Feasible_mat!J30=1),(VLOOKUP(I$1,test!$A$3:$I$32,8,FALSE))-(VLOOKUP($A61,test!$A$3:$I$32,9,FALSE))+test!$B$33,0)</f>
        <v>0</v>
      </c>
      <c r="J61">
        <f>IF(AND(SUM(VLOOKUP($A61,test!$A$3:$F$32,2,FALSE),VLOOKUP(J$1,test!$A$3:$F$32,2,FALSE))&lt;test!$K$16,$A61&lt;&gt;J$1,Recharged_Feasible_mat!K30=1),(VLOOKUP(J$1,test!$A$3:$I$32,8,FALSE))-(VLOOKUP($A61,test!$A$3:$I$32,9,FALSE))+test!$B$33,0)</f>
        <v>0</v>
      </c>
      <c r="K61">
        <f>IF(AND(SUM(VLOOKUP($A61,test!$A$3:$F$32,2,FALSE),VLOOKUP(K$1,test!$A$3:$F$32,2,FALSE))&lt;test!$K$16,$A61&lt;&gt;K$1,Recharged_Feasible_mat!L30=1),(VLOOKUP(K$1,test!$A$3:$I$32,8,FALSE))-(VLOOKUP($A61,test!$A$3:$I$32,9,FALSE))+test!$B$33,0)</f>
        <v>0</v>
      </c>
      <c r="L61">
        <f>IF(AND(SUM(VLOOKUP($A61,test!$A$3:$F$32,2,FALSE),VLOOKUP(L$1,test!$A$3:$F$32,2,FALSE))&lt;test!$K$16,$A61&lt;&gt;L$1,Recharged_Feasible_mat!M30=1),(VLOOKUP(L$1,test!$A$3:$I$32,8,FALSE))-(VLOOKUP($A61,test!$A$3:$I$32,9,FALSE))+test!$B$33,0)</f>
        <v>0</v>
      </c>
      <c r="M61">
        <f>IF(AND(SUM(VLOOKUP($A61,test!$A$3:$F$32,2,FALSE),VLOOKUP(M$1,test!$A$3:$F$32,2,FALSE))&lt;test!$K$16,$A61&lt;&gt;M$1,Recharged_Feasible_mat!N30=1),(VLOOKUP(M$1,test!$A$3:$I$32,8,FALSE))-(VLOOKUP($A61,test!$A$3:$I$32,9,FALSE))+test!$B$33,0)</f>
        <v>0</v>
      </c>
      <c r="N61">
        <f>IF(AND(SUM(VLOOKUP($A61,test!$A$3:$F$32,2,FALSE),VLOOKUP(N$1,test!$A$3:$F$32,2,FALSE))&lt;test!$K$16,$A61&lt;&gt;N$1,Recharged_Feasible_mat!O30=1),(VLOOKUP(N$1,test!$A$3:$I$32,8,FALSE))-(VLOOKUP($A61,test!$A$3:$I$32,9,FALSE))+test!$B$33,0)</f>
        <v>0</v>
      </c>
      <c r="O61">
        <f>IF(AND(SUM(VLOOKUP($A61,test!$A$3:$F$32,2,FALSE),VLOOKUP(O$1,test!$A$3:$F$32,2,FALSE))&lt;test!$K$16,$A61&lt;&gt;O$1,Recharged_Feasible_mat!P30=1),(VLOOKUP(O$1,test!$A$3:$I$32,8,FALSE))-(VLOOKUP($A61,test!$A$3:$I$32,9,FALSE))+test!$B$33,0)</f>
        <v>0</v>
      </c>
      <c r="P61">
        <f>IF(AND(SUM(VLOOKUP($A61,test!$A$3:$F$32,2,FALSE),VLOOKUP(P$1,test!$A$3:$F$32,2,FALSE))&lt;test!$K$16,$A61&lt;&gt;P$1,Recharged_Feasible_mat!Q30=1),(VLOOKUP(P$1,test!$A$3:$I$32,8,FALSE))-(VLOOKUP($A61,test!$A$3:$I$32,9,FALSE))+test!$B$33,0)</f>
        <v>0</v>
      </c>
      <c r="Q61">
        <f>IF(AND(SUM(VLOOKUP($A61,test!$A$3:$F$32,2,FALSE),VLOOKUP(Q$1,test!$A$3:$F$32,2,FALSE))&lt;test!$K$16,$A61&lt;&gt;Q$1,Recharged_Feasible_mat!R30=1),(VLOOKUP(Q$1,test!$A$3:$I$32,8,FALSE))-(VLOOKUP($A61,test!$A$3:$I$32,9,FALSE))+test!$B$33,0)</f>
        <v>0</v>
      </c>
      <c r="R61">
        <f>IF(AND(SUM(VLOOKUP($A61,test!$A$3:$F$32,2,FALSE),VLOOKUP(R$1,test!$A$3:$F$32,2,FALSE))&lt;test!$K$16,$A61&lt;&gt;R$1,Recharged_Feasible_mat!S30=1),(VLOOKUP(R$1,test!$A$3:$I$32,8,FALSE))-(VLOOKUP($A61,test!$A$3:$I$32,9,FALSE))+test!$B$33,0)</f>
        <v>0</v>
      </c>
      <c r="S61">
        <f>IF(AND(SUM(VLOOKUP($A61,test!$A$3:$F$32,2,FALSE),VLOOKUP(S$1,test!$A$3:$F$32,2,FALSE))&lt;test!$K$16,$A61&lt;&gt;S$1,Recharged_Feasible_mat!T30=1),(VLOOKUP(S$1,test!$A$3:$I$32,8,FALSE))-(VLOOKUP($A61,test!$A$3:$I$32,9,FALSE))+test!$B$33,0)</f>
        <v>0</v>
      </c>
      <c r="T61">
        <f>IF(AND(SUM(VLOOKUP($A61,test!$A$3:$F$32,2,FALSE),VLOOKUP(T$1,test!$A$3:$F$32,2,FALSE))&lt;test!$K$16,$A61&lt;&gt;T$1,Recharged_Feasible_mat!U30=1),(VLOOKUP(T$1,test!$A$3:$I$32,8,FALSE))-(VLOOKUP($A61,test!$A$3:$I$32,9,FALSE))+test!$B$33,0)</f>
        <v>0</v>
      </c>
      <c r="U61">
        <f>IF(AND(SUM(VLOOKUP($A61,test!$A$3:$F$32,2,FALSE),VLOOKUP(U$1,test!$A$3:$F$32,2,FALSE))&lt;test!$K$16,$A61&lt;&gt;U$1,Recharged_Feasible_mat!V30=1),(VLOOKUP(U$1,test!$A$3:$I$32,8,FALSE))-(VLOOKUP($A61,test!$A$3:$I$32,9,FALSE))+test!$B$33,0)</f>
        <v>0</v>
      </c>
      <c r="V61">
        <f>IF(AND(SUM(VLOOKUP($A61,test!$A$3:$F$32,2,FALSE),VLOOKUP(V$1,test!$A$3:$F$32,2,FALSE))&lt;test!$K$16,$A61&lt;&gt;V$1,Recharged_Feasible_mat!W30=1),(VLOOKUP(V$1,test!$A$3:$I$32,8,FALSE))-(VLOOKUP($A61,test!$A$3:$I$32,9,FALSE))+test!$B$33,0)</f>
        <v>0</v>
      </c>
      <c r="W61">
        <f>IF(AND(SUM(VLOOKUP($A61,test!$A$3:$F$32,2,FALSE),VLOOKUP(W$1,test!$A$3:$F$32,2,FALSE))&lt;test!$K$16,$A61&lt;&gt;W$1,Recharged_Feasible_mat!X30=1),(VLOOKUP(W$1,test!$A$3:$I$32,8,FALSE))-(VLOOKUP($A61,test!$A$3:$I$32,9,FALSE))+test!$B$33,0)</f>
        <v>0</v>
      </c>
      <c r="X61">
        <f>IF(AND(SUM(VLOOKUP($A61,test!$A$3:$F$32,2,FALSE),VLOOKUP(X$1,test!$A$3:$F$32,2,FALSE))&lt;test!$K$16,$A61&lt;&gt;X$1,Recharged_Feasible_mat!Y30=1),(VLOOKUP(X$1,test!$A$3:$I$32,8,FALSE))-(VLOOKUP($A61,test!$A$3:$I$32,9,FALSE))+test!$B$33,0)</f>
        <v>0</v>
      </c>
      <c r="Y61">
        <f>IF(AND(SUM(VLOOKUP($A61,test!$A$3:$F$32,2,FALSE),VLOOKUP(Y$1,test!$A$3:$F$32,2,FALSE))&lt;test!$K$16,$A61&lt;&gt;Y$1,Recharged_Feasible_mat!Z30=1),(VLOOKUP(Y$1,test!$A$3:$I$32,8,FALSE))-(VLOOKUP($A61,test!$A$3:$I$32,9,FALSE))+test!$B$33,0)</f>
        <v>0</v>
      </c>
      <c r="Z61">
        <f>IF(AND(SUM(VLOOKUP($A61,test!$A$3:$F$32,2,FALSE),VLOOKUP(Z$1,test!$A$3:$F$32,2,FALSE))&lt;test!$K$16,$A61&lt;&gt;Z$1,Recharged_Feasible_mat!AA30=1),(VLOOKUP(Z$1,test!$A$3:$I$32,8,FALSE))-(VLOOKUP($A61,test!$A$3:$I$32,9,FALSE))+test!$B$33,0)</f>
        <v>0</v>
      </c>
      <c r="AA61">
        <f>IF(AND(SUM(VLOOKUP($A61,test!$A$3:$F$32,2,FALSE),VLOOKUP(AA$1,test!$A$3:$F$32,2,FALSE))&lt;test!$K$16,$A61&lt;&gt;AA$1,Recharged_Feasible_mat!AB30=1),(VLOOKUP(AA$1,test!$A$3:$I$32,8,FALSE))-(VLOOKUP($A61,test!$A$3:$I$32,9,FALSE))+test!$B$33,0)</f>
        <v>0</v>
      </c>
      <c r="AB61">
        <f>IF(AND(SUM(VLOOKUP($A61,test!$A$3:$F$32,2,FALSE),VLOOKUP(AB$1,test!$A$3:$F$32,2,FALSE))&lt;test!$K$16,$A61&lt;&gt;AB$1,Recharged_Feasible_mat!AC30=1),(VLOOKUP(AB$1,test!$A$3:$I$32,8,FALSE))-(VLOOKUP($A61,test!$A$3:$I$32,9,FALSE))+test!$B$33,0)</f>
        <v>0</v>
      </c>
      <c r="AC61">
        <f>IF(AND(SUM(VLOOKUP($A61,test!$A$3:$F$32,2,FALSE),VLOOKUP(AC$1,test!$A$3:$F$32,2,FALSE))&lt;test!$K$16,$A61&lt;&gt;AC$1,Recharged_Feasible_mat!AD30=1),(VLOOKUP(AC$1,test!$A$3:$I$32,8,FALSE))-(VLOOKUP($A61,test!$A$3:$I$32,9,FALSE))+test!$B$33,0)</f>
        <v>0</v>
      </c>
      <c r="AD61">
        <f>IF(AND(SUM(VLOOKUP($A61,test!$A$3:$F$32,2,FALSE),VLOOKUP(AD$1,test!$A$3:$F$32,2,FALSE))&lt;test!$K$16,$A61&lt;&gt;AD$1,Recharged_Feasible_mat!AE30=1),(VLOOKUP(AD$1,test!$A$3:$I$32,8,FALSE))-(VLOOKUP($A61,test!$A$3:$I$32,9,FALSE))+test!$B$33,0)</f>
        <v>0</v>
      </c>
      <c r="AE61">
        <f>IF(AND(SUM(VLOOKUP($A61,test!$A$3:$F$32,2,FALSE),VLOOKUP(AE$1,test!$A$3:$F$32,2,FALSE))&lt;test!$K$16,$A61&lt;&gt;AE$1,Recharged_Feasible_mat!AF30=1),(VLOOKUP(AE$1,test!$A$3:$I$32,8,FALSE))-(VLOOKUP($A61,test!$A$3:$I$32,9,FALSE))+test!$B$33,0)</f>
        <v>0</v>
      </c>
      <c r="AF61">
        <f>IF(AND(SUM(VLOOKUP($A61,test!$A$3:$F$32,2,FALSE),VLOOKUP(AF$1,test!$A$3:$F$32,2,FALSE))&lt;test!$K$16,$A61&lt;&gt;AF$1,Recharged_Feasible_mat!AG30=1),(VLOOKUP(AF$1,test!$A$3:$I$32,8,FALSE))-(VLOOKUP($A61,test!$A$3:$I$32,9,FALSE))+test!$B$33,0)</f>
        <v>0</v>
      </c>
    </row>
    <row r="62" spans="1:32" x14ac:dyDescent="0.25">
      <c r="A62" t="s">
        <v>40</v>
      </c>
      <c r="B62">
        <v>0</v>
      </c>
      <c r="C62">
        <f>IF(AND(SUM(VLOOKUP($A62,test!$A$3:$F$32,2,FALSE),VLOOKUP(C$1,test!$A$3:$F$32,2,FALSE))&lt;test!$K$16,$A62&lt;&gt;C$1,feasible_mat!C62=1),(VLOOKUP(C$1,test!$A$3:$I$32,8,FALSE))-(VLOOKUP($A62,test!$A$3:$I$32,9,FALSE))+test!$B$33,0)</f>
        <v>0</v>
      </c>
      <c r="D62">
        <f>IF(AND(SUM(VLOOKUP($A62,test!$A$3:$F$32,2,FALSE),VLOOKUP(D$1,test!$A$3:$F$32,2,FALSE))&lt;test!$K$16,$A62&lt;&gt;D$1,Recharged_Feasible_mat!E31=1),(VLOOKUP(D$1,test!$A$3:$I$32,8,FALSE))-(VLOOKUP($A62,test!$A$3:$I$32,9,FALSE))+test!$B$33,0)</f>
        <v>0</v>
      </c>
      <c r="E62">
        <f>IF(AND(SUM(VLOOKUP($A62,test!$A$3:$F$32,2,FALSE),VLOOKUP(E$1,test!$A$3:$F$32,2,FALSE))&lt;test!$K$16,$A62&lt;&gt;E$1,Recharged_Feasible_mat!F31=1),(VLOOKUP(E$1,test!$A$3:$I$32,8,FALSE))-(VLOOKUP($A62,test!$A$3:$I$32,9,FALSE))+test!$B$33,0)</f>
        <v>0</v>
      </c>
      <c r="F62">
        <f>IF(AND(SUM(VLOOKUP($A62,test!$A$3:$F$32,2,FALSE),VLOOKUP(F$1,test!$A$3:$F$32,2,FALSE))&lt;test!$K$16,$A62&lt;&gt;F$1,Recharged_Feasible_mat!G31=1),(VLOOKUP(F$1,test!$A$3:$I$32,8,FALSE))-(VLOOKUP($A62,test!$A$3:$I$32,9,FALSE))+test!$B$33,0)</f>
        <v>0</v>
      </c>
      <c r="G62">
        <f>IF(AND(SUM(VLOOKUP($A62,test!$A$3:$F$32,2,FALSE),VLOOKUP(G$1,test!$A$3:$F$32,2,FALSE))&lt;test!$K$16,$A62&lt;&gt;G$1,Recharged_Feasible_mat!H31=1),(VLOOKUP(G$1,test!$A$3:$I$32,8,FALSE))-(VLOOKUP($A62,test!$A$3:$I$32,9,FALSE))+test!$B$33,0)</f>
        <v>0</v>
      </c>
      <c r="H62">
        <f>IF(AND(SUM(VLOOKUP($A62,test!$A$3:$F$32,2,FALSE),VLOOKUP(H$1,test!$A$3:$F$32,2,FALSE))&lt;test!$K$16,$A62&lt;&gt;H$1,Recharged_Feasible_mat!I31=1),(VLOOKUP(H$1,test!$A$3:$I$32,8,FALSE))-(VLOOKUP($A62,test!$A$3:$I$32,9,FALSE))+test!$B$33,0)</f>
        <v>0</v>
      </c>
      <c r="I62">
        <f>IF(AND(SUM(VLOOKUP($A62,test!$A$3:$F$32,2,FALSE),VLOOKUP(I$1,test!$A$3:$F$32,2,FALSE))&lt;test!$K$16,$A62&lt;&gt;I$1,Recharged_Feasible_mat!J31=1),(VLOOKUP(I$1,test!$A$3:$I$32,8,FALSE))-(VLOOKUP($A62,test!$A$3:$I$32,9,FALSE))+test!$B$33,0)</f>
        <v>0</v>
      </c>
      <c r="J62">
        <f>IF(AND(SUM(VLOOKUP($A62,test!$A$3:$F$32,2,FALSE),VLOOKUP(J$1,test!$A$3:$F$32,2,FALSE))&lt;test!$K$16,$A62&lt;&gt;J$1,Recharged_Feasible_mat!K31=1),(VLOOKUP(J$1,test!$A$3:$I$32,8,FALSE))-(VLOOKUP($A62,test!$A$3:$I$32,9,FALSE))+test!$B$33,0)</f>
        <v>170</v>
      </c>
      <c r="K62">
        <f>IF(AND(SUM(VLOOKUP($A62,test!$A$3:$F$32,2,FALSE),VLOOKUP(K$1,test!$A$3:$F$32,2,FALSE))&lt;test!$K$16,$A62&lt;&gt;K$1,Recharged_Feasible_mat!L31=1),(VLOOKUP(K$1,test!$A$3:$I$32,8,FALSE))-(VLOOKUP($A62,test!$A$3:$I$32,9,FALSE))+test!$B$33,0)</f>
        <v>0</v>
      </c>
      <c r="L62">
        <f>IF(AND(SUM(VLOOKUP($A62,test!$A$3:$F$32,2,FALSE),VLOOKUP(L$1,test!$A$3:$F$32,2,FALSE))&lt;test!$K$16,$A62&lt;&gt;L$1,Recharged_Feasible_mat!M31=1),(VLOOKUP(L$1,test!$A$3:$I$32,8,FALSE))-(VLOOKUP($A62,test!$A$3:$I$32,9,FALSE))+test!$B$33,0)</f>
        <v>0</v>
      </c>
      <c r="M62">
        <f>IF(AND(SUM(VLOOKUP($A62,test!$A$3:$F$32,2,FALSE),VLOOKUP(M$1,test!$A$3:$F$32,2,FALSE))&lt;test!$K$16,$A62&lt;&gt;M$1,Recharged_Feasible_mat!N31=1),(VLOOKUP(M$1,test!$A$3:$I$32,8,FALSE))-(VLOOKUP($A62,test!$A$3:$I$32,9,FALSE))+test!$B$33,0)</f>
        <v>0</v>
      </c>
      <c r="N62">
        <f>IF(AND(SUM(VLOOKUP($A62,test!$A$3:$F$32,2,FALSE),VLOOKUP(N$1,test!$A$3:$F$32,2,FALSE))&lt;test!$K$16,$A62&lt;&gt;N$1,Recharged_Feasible_mat!O31=1),(VLOOKUP(N$1,test!$A$3:$I$32,8,FALSE))-(VLOOKUP($A62,test!$A$3:$I$32,9,FALSE))+test!$B$33,0)</f>
        <v>0</v>
      </c>
      <c r="O62">
        <f>IF(AND(SUM(VLOOKUP($A62,test!$A$3:$F$32,2,FALSE),VLOOKUP(O$1,test!$A$3:$F$32,2,FALSE))&lt;test!$K$16,$A62&lt;&gt;O$1,Recharged_Feasible_mat!P31=1),(VLOOKUP(O$1,test!$A$3:$I$32,8,FALSE))-(VLOOKUP($A62,test!$A$3:$I$32,9,FALSE))+test!$B$33,0)</f>
        <v>0</v>
      </c>
      <c r="P62">
        <f>IF(AND(SUM(VLOOKUP($A62,test!$A$3:$F$32,2,FALSE),VLOOKUP(P$1,test!$A$3:$F$32,2,FALSE))&lt;test!$K$16,$A62&lt;&gt;P$1,Recharged_Feasible_mat!Q31=1),(VLOOKUP(P$1,test!$A$3:$I$32,8,FALSE))-(VLOOKUP($A62,test!$A$3:$I$32,9,FALSE))+test!$B$33,0)</f>
        <v>0</v>
      </c>
      <c r="Q62">
        <f>IF(AND(SUM(VLOOKUP($A62,test!$A$3:$F$32,2,FALSE),VLOOKUP(Q$1,test!$A$3:$F$32,2,FALSE))&lt;test!$K$16,$A62&lt;&gt;Q$1,Recharged_Feasible_mat!R31=1),(VLOOKUP(Q$1,test!$A$3:$I$32,8,FALSE))-(VLOOKUP($A62,test!$A$3:$I$32,9,FALSE))+test!$B$33,0)</f>
        <v>0</v>
      </c>
      <c r="R62">
        <f>IF(AND(SUM(VLOOKUP($A62,test!$A$3:$F$32,2,FALSE),VLOOKUP(R$1,test!$A$3:$F$32,2,FALSE))&lt;test!$K$16,$A62&lt;&gt;R$1,Recharged_Feasible_mat!S31=1),(VLOOKUP(R$1,test!$A$3:$I$32,8,FALSE))-(VLOOKUP($A62,test!$A$3:$I$32,9,FALSE))+test!$B$33,0)</f>
        <v>0</v>
      </c>
      <c r="S62">
        <f>IF(AND(SUM(VLOOKUP($A62,test!$A$3:$F$32,2,FALSE),VLOOKUP(S$1,test!$A$3:$F$32,2,FALSE))&lt;test!$K$16,$A62&lt;&gt;S$1,Recharged_Feasible_mat!T31=1),(VLOOKUP(S$1,test!$A$3:$I$32,8,FALSE))-(VLOOKUP($A62,test!$A$3:$I$32,9,FALSE))+test!$B$33,0)</f>
        <v>0</v>
      </c>
      <c r="T62">
        <f>IF(AND(SUM(VLOOKUP($A62,test!$A$3:$F$32,2,FALSE),VLOOKUP(T$1,test!$A$3:$F$32,2,FALSE))&lt;test!$K$16,$A62&lt;&gt;T$1,Recharged_Feasible_mat!U31=1),(VLOOKUP(T$1,test!$A$3:$I$32,8,FALSE))-(VLOOKUP($A62,test!$A$3:$I$32,9,FALSE))+test!$B$33,0)</f>
        <v>0</v>
      </c>
      <c r="U62">
        <f>IF(AND(SUM(VLOOKUP($A62,test!$A$3:$F$32,2,FALSE),VLOOKUP(U$1,test!$A$3:$F$32,2,FALSE))&lt;test!$K$16,$A62&lt;&gt;U$1,Recharged_Feasible_mat!V31=1),(VLOOKUP(U$1,test!$A$3:$I$32,8,FALSE))-(VLOOKUP($A62,test!$A$3:$I$32,9,FALSE))+test!$B$33,0)</f>
        <v>0</v>
      </c>
      <c r="V62">
        <f>IF(AND(SUM(VLOOKUP($A62,test!$A$3:$F$32,2,FALSE),VLOOKUP(V$1,test!$A$3:$F$32,2,FALSE))&lt;test!$K$16,$A62&lt;&gt;V$1,Recharged_Feasible_mat!W31=1),(VLOOKUP(V$1,test!$A$3:$I$32,8,FALSE))-(VLOOKUP($A62,test!$A$3:$I$32,9,FALSE))+test!$B$33,0)</f>
        <v>0</v>
      </c>
      <c r="W62">
        <f>IF(AND(SUM(VLOOKUP($A62,test!$A$3:$F$32,2,FALSE),VLOOKUP(W$1,test!$A$3:$F$32,2,FALSE))&lt;test!$K$16,$A62&lt;&gt;W$1,Recharged_Feasible_mat!X31=1),(VLOOKUP(W$1,test!$A$3:$I$32,8,FALSE))-(VLOOKUP($A62,test!$A$3:$I$32,9,FALSE))+test!$B$33,0)</f>
        <v>0</v>
      </c>
      <c r="X62">
        <f>IF(AND(SUM(VLOOKUP($A62,test!$A$3:$F$32,2,FALSE),VLOOKUP(X$1,test!$A$3:$F$32,2,FALSE))&lt;test!$K$16,$A62&lt;&gt;X$1,Recharged_Feasible_mat!Y31=1),(VLOOKUP(X$1,test!$A$3:$I$32,8,FALSE))-(VLOOKUP($A62,test!$A$3:$I$32,9,FALSE))+test!$B$33,0)</f>
        <v>0</v>
      </c>
      <c r="Y62">
        <f>IF(AND(SUM(VLOOKUP($A62,test!$A$3:$F$32,2,FALSE),VLOOKUP(Y$1,test!$A$3:$F$32,2,FALSE))&lt;test!$K$16,$A62&lt;&gt;Y$1,Recharged_Feasible_mat!Z31=1),(VLOOKUP(Y$1,test!$A$3:$I$32,8,FALSE))-(VLOOKUP($A62,test!$A$3:$I$32,9,FALSE))+test!$B$33,0)</f>
        <v>0</v>
      </c>
      <c r="Z62">
        <f>IF(AND(SUM(VLOOKUP($A62,test!$A$3:$F$32,2,FALSE),VLOOKUP(Z$1,test!$A$3:$F$32,2,FALSE))&lt;test!$K$16,$A62&lt;&gt;Z$1,Recharged_Feasible_mat!AA31=1),(VLOOKUP(Z$1,test!$A$3:$I$32,8,FALSE))-(VLOOKUP($A62,test!$A$3:$I$32,9,FALSE))+test!$B$33,0)</f>
        <v>0</v>
      </c>
      <c r="AA62">
        <f>IF(AND(SUM(VLOOKUP($A62,test!$A$3:$F$32,2,FALSE),VLOOKUP(AA$1,test!$A$3:$F$32,2,FALSE))&lt;test!$K$16,$A62&lt;&gt;AA$1,Recharged_Feasible_mat!AB31=1),(VLOOKUP(AA$1,test!$A$3:$I$32,8,FALSE))-(VLOOKUP($A62,test!$A$3:$I$32,9,FALSE))+test!$B$33,0)</f>
        <v>0</v>
      </c>
      <c r="AB62">
        <f>IF(AND(SUM(VLOOKUP($A62,test!$A$3:$F$32,2,FALSE),VLOOKUP(AB$1,test!$A$3:$F$32,2,FALSE))&lt;test!$K$16,$A62&lt;&gt;AB$1,Recharged_Feasible_mat!AC31=1),(VLOOKUP(AB$1,test!$A$3:$I$32,8,FALSE))-(VLOOKUP($A62,test!$A$3:$I$32,9,FALSE))+test!$B$33,0)</f>
        <v>0</v>
      </c>
      <c r="AC62">
        <f>IF(AND(SUM(VLOOKUP($A62,test!$A$3:$F$32,2,FALSE),VLOOKUP(AC$1,test!$A$3:$F$32,2,FALSE))&lt;test!$K$16,$A62&lt;&gt;AC$1,Recharged_Feasible_mat!AD31=1),(VLOOKUP(AC$1,test!$A$3:$I$32,8,FALSE))-(VLOOKUP($A62,test!$A$3:$I$32,9,FALSE))+test!$B$33,0)</f>
        <v>0</v>
      </c>
      <c r="AD62">
        <f>IF(AND(SUM(VLOOKUP($A62,test!$A$3:$F$32,2,FALSE),VLOOKUP(AD$1,test!$A$3:$F$32,2,FALSE))&lt;test!$K$16,$A62&lt;&gt;AD$1,Recharged_Feasible_mat!AE31=1),(VLOOKUP(AD$1,test!$A$3:$I$32,8,FALSE))-(VLOOKUP($A62,test!$A$3:$I$32,9,FALSE))+test!$B$33,0)</f>
        <v>0</v>
      </c>
      <c r="AE62">
        <f>IF(AND(SUM(VLOOKUP($A62,test!$A$3:$F$32,2,FALSE),VLOOKUP(AE$1,test!$A$3:$F$32,2,FALSE))&lt;test!$K$16,$A62&lt;&gt;AE$1,Recharged_Feasible_mat!AF31=1),(VLOOKUP(AE$1,test!$A$3:$I$32,8,FALSE))-(VLOOKUP($A62,test!$A$3:$I$32,9,FALSE))+test!$B$33,0)</f>
        <v>0</v>
      </c>
      <c r="AF62">
        <f>IF(AND(SUM(VLOOKUP($A62,test!$A$3:$F$32,2,FALSE),VLOOKUP(AF$1,test!$A$3:$F$32,2,FALSE))&lt;test!$K$16,$A62&lt;&gt;AF$1,Recharged_Feasible_mat!AG31=1),(VLOOKUP(AF$1,test!$A$3:$I$32,8,FALSE))-(VLOOKUP($A62,test!$A$3:$I$32,9,FALSE))+test!$B$33,0)</f>
        <v>0</v>
      </c>
    </row>
    <row r="63" spans="1:32" x14ac:dyDescent="0.25">
      <c r="A63" t="s">
        <v>41</v>
      </c>
      <c r="B63">
        <v>0</v>
      </c>
      <c r="C63">
        <f>IF(AND(SUM(VLOOKUP($A63,test!$A$3:$F$32,2,FALSE),VLOOKUP(C$1,test!$A$3:$F$32,2,FALSE))&lt;test!$K$16,$A63&lt;&gt;C$1,feasible_mat!C63=1),(VLOOKUP(C$1,test!$A$3:$I$32,8,FALSE))-(VLOOKUP($A63,test!$A$3:$I$32,9,FALSE))+test!$B$33,0)</f>
        <v>0</v>
      </c>
      <c r="D63">
        <f>IF(AND(SUM(VLOOKUP($A63,test!$A$3:$F$32,2,FALSE),VLOOKUP(D$1,test!$A$3:$F$32,2,FALSE))&lt;test!$K$16,$A63&lt;&gt;D$1,Recharged_Feasible_mat!E32=1),(VLOOKUP(D$1,test!$A$3:$I$32,8,FALSE))-(VLOOKUP($A63,test!$A$3:$I$32,9,FALSE))+test!$B$33,0)</f>
        <v>0</v>
      </c>
      <c r="E63">
        <f>IF(AND(SUM(VLOOKUP($A63,test!$A$3:$F$32,2,FALSE),VLOOKUP(E$1,test!$A$3:$F$32,2,FALSE))&lt;test!$K$16,$A63&lt;&gt;E$1,Recharged_Feasible_mat!F32=1),(VLOOKUP(E$1,test!$A$3:$I$32,8,FALSE))-(VLOOKUP($A63,test!$A$3:$I$32,9,FALSE))+test!$B$33,0)</f>
        <v>0</v>
      </c>
      <c r="F63">
        <f>IF(AND(SUM(VLOOKUP($A63,test!$A$3:$F$32,2,FALSE),VLOOKUP(F$1,test!$A$3:$F$32,2,FALSE))&lt;test!$K$16,$A63&lt;&gt;F$1,Recharged_Feasible_mat!G32=1),(VLOOKUP(F$1,test!$A$3:$I$32,8,FALSE))-(VLOOKUP($A63,test!$A$3:$I$32,9,FALSE))+test!$B$33,0)</f>
        <v>0</v>
      </c>
      <c r="G63">
        <f>IF(AND(SUM(VLOOKUP($A63,test!$A$3:$F$32,2,FALSE),VLOOKUP(G$1,test!$A$3:$F$32,2,FALSE))&lt;test!$K$16,$A63&lt;&gt;G$1,Recharged_Feasible_mat!H32=1),(VLOOKUP(G$1,test!$A$3:$I$32,8,FALSE))-(VLOOKUP($A63,test!$A$3:$I$32,9,FALSE))+test!$B$33,0)</f>
        <v>0</v>
      </c>
      <c r="H63">
        <f>IF(AND(SUM(VLOOKUP($A63,test!$A$3:$F$32,2,FALSE),VLOOKUP(H$1,test!$A$3:$F$32,2,FALSE))&lt;test!$K$16,$A63&lt;&gt;H$1,Recharged_Feasible_mat!I32=1),(VLOOKUP(H$1,test!$A$3:$I$32,8,FALSE))-(VLOOKUP($A63,test!$A$3:$I$32,9,FALSE))+test!$B$33,0)</f>
        <v>0</v>
      </c>
      <c r="I63">
        <f>IF(AND(SUM(VLOOKUP($A63,test!$A$3:$F$32,2,FALSE),VLOOKUP(I$1,test!$A$3:$F$32,2,FALSE))&lt;test!$K$16,$A63&lt;&gt;I$1,Recharged_Feasible_mat!J32=1),(VLOOKUP(I$1,test!$A$3:$I$32,8,FALSE))-(VLOOKUP($A63,test!$A$3:$I$32,9,FALSE))+test!$B$33,0)</f>
        <v>0</v>
      </c>
      <c r="J63">
        <f>IF(AND(SUM(VLOOKUP($A63,test!$A$3:$F$32,2,FALSE),VLOOKUP(J$1,test!$A$3:$F$32,2,FALSE))&lt;test!$K$16,$A63&lt;&gt;J$1,Recharged_Feasible_mat!K32=1),(VLOOKUP(J$1,test!$A$3:$I$32,8,FALSE))-(VLOOKUP($A63,test!$A$3:$I$32,9,FALSE))+test!$B$33,0)</f>
        <v>0</v>
      </c>
      <c r="K63">
        <f>IF(AND(SUM(VLOOKUP($A63,test!$A$3:$F$32,2,FALSE),VLOOKUP(K$1,test!$A$3:$F$32,2,FALSE))&lt;test!$K$16,$A63&lt;&gt;K$1,Recharged_Feasible_mat!L32=1),(VLOOKUP(K$1,test!$A$3:$I$32,8,FALSE))-(VLOOKUP($A63,test!$A$3:$I$32,9,FALSE))+test!$B$33,0)</f>
        <v>0</v>
      </c>
      <c r="L63">
        <f>IF(AND(SUM(VLOOKUP($A63,test!$A$3:$F$32,2,FALSE),VLOOKUP(L$1,test!$A$3:$F$32,2,FALSE))&lt;test!$K$16,$A63&lt;&gt;L$1,Recharged_Feasible_mat!M32=1),(VLOOKUP(L$1,test!$A$3:$I$32,8,FALSE))-(VLOOKUP($A63,test!$A$3:$I$32,9,FALSE))+test!$B$33,0)</f>
        <v>0</v>
      </c>
      <c r="M63">
        <f>IF(AND(SUM(VLOOKUP($A63,test!$A$3:$F$32,2,FALSE),VLOOKUP(M$1,test!$A$3:$F$32,2,FALSE))&lt;test!$K$16,$A63&lt;&gt;M$1,Recharged_Feasible_mat!N32=1),(VLOOKUP(M$1,test!$A$3:$I$32,8,FALSE))-(VLOOKUP($A63,test!$A$3:$I$32,9,FALSE))+test!$B$33,0)</f>
        <v>0</v>
      </c>
      <c r="N63">
        <f>IF(AND(SUM(VLOOKUP($A63,test!$A$3:$F$32,2,FALSE),VLOOKUP(N$1,test!$A$3:$F$32,2,FALSE))&lt;test!$K$16,$A63&lt;&gt;N$1,Recharged_Feasible_mat!O32=1),(VLOOKUP(N$1,test!$A$3:$I$32,8,FALSE))-(VLOOKUP($A63,test!$A$3:$I$32,9,FALSE))+test!$B$33,0)</f>
        <v>0</v>
      </c>
      <c r="O63">
        <f>IF(AND(SUM(VLOOKUP($A63,test!$A$3:$F$32,2,FALSE),VLOOKUP(O$1,test!$A$3:$F$32,2,FALSE))&lt;test!$K$16,$A63&lt;&gt;O$1,Recharged_Feasible_mat!P32=1),(VLOOKUP(O$1,test!$A$3:$I$32,8,FALSE))-(VLOOKUP($A63,test!$A$3:$I$32,9,FALSE))+test!$B$33,0)</f>
        <v>0</v>
      </c>
      <c r="P63">
        <f>IF(AND(SUM(VLOOKUP($A63,test!$A$3:$F$32,2,FALSE),VLOOKUP(P$1,test!$A$3:$F$32,2,FALSE))&lt;test!$K$16,$A63&lt;&gt;P$1,Recharged_Feasible_mat!Q32=1),(VLOOKUP(P$1,test!$A$3:$I$32,8,FALSE))-(VLOOKUP($A63,test!$A$3:$I$32,9,FALSE))+test!$B$33,0)</f>
        <v>0</v>
      </c>
      <c r="Q63">
        <f>IF(AND(SUM(VLOOKUP($A63,test!$A$3:$F$32,2,FALSE),VLOOKUP(Q$1,test!$A$3:$F$32,2,FALSE))&lt;test!$K$16,$A63&lt;&gt;Q$1,Recharged_Feasible_mat!R32=1),(VLOOKUP(Q$1,test!$A$3:$I$32,8,FALSE))-(VLOOKUP($A63,test!$A$3:$I$32,9,FALSE))+test!$B$33,0)</f>
        <v>0</v>
      </c>
      <c r="R63">
        <f>IF(AND(SUM(VLOOKUP($A63,test!$A$3:$F$32,2,FALSE),VLOOKUP(R$1,test!$A$3:$F$32,2,FALSE))&lt;test!$K$16,$A63&lt;&gt;R$1,Recharged_Feasible_mat!S32=1),(VLOOKUP(R$1,test!$A$3:$I$32,8,FALSE))-(VLOOKUP($A63,test!$A$3:$I$32,9,FALSE))+test!$B$33,0)</f>
        <v>0</v>
      </c>
      <c r="S63">
        <f>IF(AND(SUM(VLOOKUP($A63,test!$A$3:$F$32,2,FALSE),VLOOKUP(S$1,test!$A$3:$F$32,2,FALSE))&lt;test!$K$16,$A63&lt;&gt;S$1,Recharged_Feasible_mat!T32=1),(VLOOKUP(S$1,test!$A$3:$I$32,8,FALSE))-(VLOOKUP($A63,test!$A$3:$I$32,9,FALSE))+test!$B$33,0)</f>
        <v>0</v>
      </c>
      <c r="T63">
        <f>IF(AND(SUM(VLOOKUP($A63,test!$A$3:$F$32,2,FALSE),VLOOKUP(T$1,test!$A$3:$F$32,2,FALSE))&lt;test!$K$16,$A63&lt;&gt;T$1,Recharged_Feasible_mat!U32=1),(VLOOKUP(T$1,test!$A$3:$I$32,8,FALSE))-(VLOOKUP($A63,test!$A$3:$I$32,9,FALSE))+test!$B$33,0)</f>
        <v>0</v>
      </c>
      <c r="U63">
        <f>IF(AND(SUM(VLOOKUP($A63,test!$A$3:$F$32,2,FALSE),VLOOKUP(U$1,test!$A$3:$F$32,2,FALSE))&lt;test!$K$16,$A63&lt;&gt;U$1,Recharged_Feasible_mat!V32=1),(VLOOKUP(U$1,test!$A$3:$I$32,8,FALSE))-(VLOOKUP($A63,test!$A$3:$I$32,9,FALSE))+test!$B$33,0)</f>
        <v>0</v>
      </c>
      <c r="V63">
        <f>IF(AND(SUM(VLOOKUP($A63,test!$A$3:$F$32,2,FALSE),VLOOKUP(V$1,test!$A$3:$F$32,2,FALSE))&lt;test!$K$16,$A63&lt;&gt;V$1,Recharged_Feasible_mat!W32=1),(VLOOKUP(V$1,test!$A$3:$I$32,8,FALSE))-(VLOOKUP($A63,test!$A$3:$I$32,9,FALSE))+test!$B$33,0)</f>
        <v>0</v>
      </c>
      <c r="W63">
        <f>IF(AND(SUM(VLOOKUP($A63,test!$A$3:$F$32,2,FALSE),VLOOKUP(W$1,test!$A$3:$F$32,2,FALSE))&lt;test!$K$16,$A63&lt;&gt;W$1,Recharged_Feasible_mat!X32=1),(VLOOKUP(W$1,test!$A$3:$I$32,8,FALSE))-(VLOOKUP($A63,test!$A$3:$I$32,9,FALSE))+test!$B$33,0)</f>
        <v>0</v>
      </c>
      <c r="X63">
        <f>IF(AND(SUM(VLOOKUP($A63,test!$A$3:$F$32,2,FALSE),VLOOKUP(X$1,test!$A$3:$F$32,2,FALSE))&lt;test!$K$16,$A63&lt;&gt;X$1,Recharged_Feasible_mat!Y32=1),(VLOOKUP(X$1,test!$A$3:$I$32,8,FALSE))-(VLOOKUP($A63,test!$A$3:$I$32,9,FALSE))+test!$B$33,0)</f>
        <v>0</v>
      </c>
      <c r="Y63">
        <f>IF(AND(SUM(VLOOKUP($A63,test!$A$3:$F$32,2,FALSE),VLOOKUP(Y$1,test!$A$3:$F$32,2,FALSE))&lt;test!$K$16,$A63&lt;&gt;Y$1,Recharged_Feasible_mat!Z32=1),(VLOOKUP(Y$1,test!$A$3:$I$32,8,FALSE))-(VLOOKUP($A63,test!$A$3:$I$32,9,FALSE))+test!$B$33,0)</f>
        <v>0</v>
      </c>
      <c r="Z63">
        <f>IF(AND(SUM(VLOOKUP($A63,test!$A$3:$F$32,2,FALSE),VLOOKUP(Z$1,test!$A$3:$F$32,2,FALSE))&lt;test!$K$16,$A63&lt;&gt;Z$1,Recharged_Feasible_mat!AA32=1),(VLOOKUP(Z$1,test!$A$3:$I$32,8,FALSE))-(VLOOKUP($A63,test!$A$3:$I$32,9,FALSE))+test!$B$33,0)</f>
        <v>0</v>
      </c>
      <c r="AA63">
        <f>IF(AND(SUM(VLOOKUP($A63,test!$A$3:$F$32,2,FALSE),VLOOKUP(AA$1,test!$A$3:$F$32,2,FALSE))&lt;test!$K$16,$A63&lt;&gt;AA$1,Recharged_Feasible_mat!AB32=1),(VLOOKUP(AA$1,test!$A$3:$I$32,8,FALSE))-(VLOOKUP($A63,test!$A$3:$I$32,9,FALSE))+test!$B$33,0)</f>
        <v>0</v>
      </c>
      <c r="AB63">
        <f>IF(AND(SUM(VLOOKUP($A63,test!$A$3:$F$32,2,FALSE),VLOOKUP(AB$1,test!$A$3:$F$32,2,FALSE))&lt;test!$K$16,$A63&lt;&gt;AB$1,Recharged_Feasible_mat!AC32=1),(VLOOKUP(AB$1,test!$A$3:$I$32,8,FALSE))-(VLOOKUP($A63,test!$A$3:$I$32,9,FALSE))+test!$B$33,0)</f>
        <v>0</v>
      </c>
      <c r="AC63">
        <f>IF(AND(SUM(VLOOKUP($A63,test!$A$3:$F$32,2,FALSE),VLOOKUP(AC$1,test!$A$3:$F$32,2,FALSE))&lt;test!$K$16,$A63&lt;&gt;AC$1,Recharged_Feasible_mat!AD32=1),(VLOOKUP(AC$1,test!$A$3:$I$32,8,FALSE))-(VLOOKUP($A63,test!$A$3:$I$32,9,FALSE))+test!$B$33,0)</f>
        <v>0</v>
      </c>
      <c r="AD63">
        <f>IF(AND(SUM(VLOOKUP($A63,test!$A$3:$F$32,2,FALSE),VLOOKUP(AD$1,test!$A$3:$F$32,2,FALSE))&lt;test!$K$16,$A63&lt;&gt;AD$1,Recharged_Feasible_mat!AE32=1),(VLOOKUP(AD$1,test!$A$3:$I$32,8,FALSE))-(VLOOKUP($A63,test!$A$3:$I$32,9,FALSE))+test!$B$33,0)</f>
        <v>0</v>
      </c>
      <c r="AE63">
        <f>IF(AND(SUM(VLOOKUP($A63,test!$A$3:$F$32,2,FALSE),VLOOKUP(AE$1,test!$A$3:$F$32,2,FALSE))&lt;test!$K$16,$A63&lt;&gt;AE$1,Recharged_Feasible_mat!AF32=1),(VLOOKUP(AE$1,test!$A$3:$I$32,8,FALSE))-(VLOOKUP($A63,test!$A$3:$I$32,9,FALSE))+test!$B$33,0)</f>
        <v>0</v>
      </c>
      <c r="AF63">
        <f>IF(AND(SUM(VLOOKUP($A63,test!$A$3:$F$32,2,FALSE),VLOOKUP(AF$1,test!$A$3:$F$32,2,FALSE))&lt;test!$K$16,$A63&lt;&gt;AF$1,Recharged_Feasible_mat!AG32=1),(VLOOKUP(AF$1,test!$A$3:$I$32,8,FALSE))-(VLOOKUP($A63,test!$A$3:$I$32,9,FALSE))+test!$B$33,0)</f>
        <v>0</v>
      </c>
    </row>
    <row r="64" spans="1:32" x14ac:dyDescent="0.25">
      <c r="A64" t="s">
        <v>46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6</v>
      </c>
      <c r="B65">
        <v>0</v>
      </c>
      <c r="C65">
        <f>IF(AND(SUM(VLOOKUP($A65,test!$A$3:$F$32,2,FALSE),VLOOKUP(C$1,test!$A$3:$F$32,2,FALSE))&lt;test!$K$16,$A65&lt;&gt;C$1,Recharged_Feasible_mat!D34=1),(VLOOKUP(C$1,test!$A$3:$I$32,8,FALSE))-(VLOOKUP($A65,test!$A$3:$I$32,9,FALSE))+test!$B$34,0)</f>
        <v>0</v>
      </c>
      <c r="D65">
        <f>IF(AND(SUM(VLOOKUP($A65,test!$A$3:$F$32,2,FALSE),VLOOKUP(D$1,test!$A$3:$F$32,2,FALSE))&lt;test!$K$16,$A65&lt;&gt;D$1,Recharged_Feasible_mat!E34=1),(VLOOKUP(D$1,test!$A$3:$I$32,8,FALSE))-(VLOOKUP($A65,test!$A$3:$I$32,9,FALSE))+test!$B$34,0)</f>
        <v>0</v>
      </c>
      <c r="E65">
        <f>IF(AND(SUM(VLOOKUP($A65,test!$A$3:$F$32,2,FALSE),VLOOKUP(E$1,test!$A$3:$F$32,2,FALSE))&lt;test!$K$16,$A65&lt;&gt;E$1,Recharged_Feasible_mat!F34=1),(VLOOKUP(E$1,test!$A$3:$I$32,8,FALSE))-(VLOOKUP($A65,test!$A$3:$I$32,9,FALSE))+test!$B$34,0)</f>
        <v>0</v>
      </c>
      <c r="F65">
        <f>IF(AND(SUM(VLOOKUP($A65,test!$A$3:$F$32,2,FALSE),VLOOKUP(F$1,test!$A$3:$F$32,2,FALSE))&lt;test!$K$16,$A65&lt;&gt;F$1,Recharged_Feasible_mat!G34=1),(VLOOKUP(F$1,test!$A$3:$I$32,8,FALSE))-(VLOOKUP($A65,test!$A$3:$I$32,9,FALSE))+test!$B$34,0)</f>
        <v>275</v>
      </c>
      <c r="G65">
        <f>IF(AND(SUM(VLOOKUP($A65,test!$A$3:$F$32,2,FALSE),VLOOKUP(G$1,test!$A$3:$F$32,2,FALSE))&lt;test!$K$16,$A65&lt;&gt;G$1,Recharged_Feasible_mat!H34=1),(VLOOKUP(G$1,test!$A$3:$I$32,8,FALSE))-(VLOOKUP($A65,test!$A$3:$I$32,9,FALSE))+test!$B$34,0)</f>
        <v>335</v>
      </c>
      <c r="H65">
        <f>IF(AND(SUM(VLOOKUP($A65,test!$A$3:$F$32,2,FALSE),VLOOKUP(H$1,test!$A$3:$F$32,2,FALSE))&lt;test!$K$16,$A65&lt;&gt;H$1,Recharged_Feasible_mat!I34=1),(VLOOKUP(H$1,test!$A$3:$I$32,8,FALSE))-(VLOOKUP($A65,test!$A$3:$I$32,9,FALSE))+test!$B$34,0)</f>
        <v>395</v>
      </c>
      <c r="I65">
        <f>IF(AND(SUM(VLOOKUP($A65,test!$A$3:$F$32,2,FALSE),VLOOKUP(I$1,test!$A$3:$F$32,2,FALSE))&lt;test!$K$16,$A65&lt;&gt;I$1,Recharged_Feasible_mat!J34=1),(VLOOKUP(I$1,test!$A$3:$I$32,8,FALSE))-(VLOOKUP($A65,test!$A$3:$I$32,9,FALSE))+test!$B$34,0)</f>
        <v>455</v>
      </c>
      <c r="J65">
        <f>IF(AND(SUM(VLOOKUP($A65,test!$A$3:$F$32,2,FALSE),VLOOKUP(J$1,test!$A$3:$F$32,2,FALSE))&lt;test!$K$16,$A65&lt;&gt;J$1,Recharged_Feasible_mat!K34=1),(VLOOKUP(J$1,test!$A$3:$I$32,8,FALSE))-(VLOOKUP($A65,test!$A$3:$I$32,9,FALSE))+test!$B$34,0)</f>
        <v>545</v>
      </c>
      <c r="K65">
        <f>IF(AND(SUM(VLOOKUP($A65,test!$A$3:$F$32,2,FALSE),VLOOKUP(K$1,test!$A$3:$F$32,2,FALSE))&lt;test!$K$16,$A65&lt;&gt;K$1,Recharged_Feasible_mat!L34=1),(VLOOKUP(K$1,test!$A$3:$I$32,8,FALSE))-(VLOOKUP($A65,test!$A$3:$I$32,9,FALSE))+test!$B$34,0)</f>
        <v>0</v>
      </c>
      <c r="L65">
        <f>IF(AND(SUM(VLOOKUP($A65,test!$A$3:$F$32,2,FALSE),VLOOKUP(L$1,test!$A$3:$F$32,2,FALSE))&lt;test!$K$16,$A65&lt;&gt;L$1,Recharged_Feasible_mat!M34=1),(VLOOKUP(L$1,test!$A$3:$I$32,8,FALSE))-(VLOOKUP($A65,test!$A$3:$I$32,9,FALSE))+test!$B$34,0)</f>
        <v>0</v>
      </c>
      <c r="M65">
        <f>IF(AND(SUM(VLOOKUP($A65,test!$A$3:$F$32,2,FALSE),VLOOKUP(M$1,test!$A$3:$F$32,2,FALSE))&lt;test!$K$16,$A65&lt;&gt;M$1,Recharged_Feasible_mat!N34=1),(VLOOKUP(M$1,test!$A$3:$I$32,8,FALSE))-(VLOOKUP($A65,test!$A$3:$I$32,9,FALSE))+test!$B$34,0)</f>
        <v>0</v>
      </c>
      <c r="N65">
        <f>IF(AND(SUM(VLOOKUP($A65,test!$A$3:$F$32,2,FALSE),VLOOKUP(N$1,test!$A$3:$F$32,2,FALSE))&lt;test!$K$16,$A65&lt;&gt;N$1,Recharged_Feasible_mat!O34=1),(VLOOKUP(N$1,test!$A$3:$I$32,8,FALSE))-(VLOOKUP($A65,test!$A$3:$I$32,9,FALSE))+test!$B$34,0)</f>
        <v>510</v>
      </c>
      <c r="O65">
        <f>IF(AND(SUM(VLOOKUP($A65,test!$A$3:$F$32,2,FALSE),VLOOKUP(O$1,test!$A$3:$F$32,2,FALSE))&lt;test!$K$16,$A65&lt;&gt;O$1,Recharged_Feasible_mat!P34=1),(VLOOKUP(O$1,test!$A$3:$I$32,8,FALSE))-(VLOOKUP($A65,test!$A$3:$I$32,9,FALSE))+test!$B$34,0)</f>
        <v>570</v>
      </c>
      <c r="P65">
        <f>IF(AND(SUM(VLOOKUP($A65,test!$A$3:$F$32,2,FALSE),VLOOKUP(P$1,test!$A$3:$F$32,2,FALSE))&lt;test!$K$16,$A65&lt;&gt;P$1,Recharged_Feasible_mat!Q34=1),(VLOOKUP(P$1,test!$A$3:$I$32,8,FALSE))-(VLOOKUP($A65,test!$A$3:$I$32,9,FALSE))+test!$B$34,0)</f>
        <v>0</v>
      </c>
      <c r="Q65">
        <f>IF(AND(SUM(VLOOKUP($A65,test!$A$3:$F$32,2,FALSE),VLOOKUP(Q$1,test!$A$3:$F$32,2,FALSE))&lt;test!$K$16,$A65&lt;&gt;Q$1,Recharged_Feasible_mat!R34=1),(VLOOKUP(Q$1,test!$A$3:$I$32,8,FALSE))-(VLOOKUP($A65,test!$A$3:$I$32,9,FALSE))+test!$B$34,0)</f>
        <v>0</v>
      </c>
      <c r="R65">
        <f>IF(AND(SUM(VLOOKUP($A65,test!$A$3:$F$32,2,FALSE),VLOOKUP(R$1,test!$A$3:$F$32,2,FALSE))&lt;test!$K$16,$A65&lt;&gt;R$1,Recharged_Feasible_mat!S34=1),(VLOOKUP(R$1,test!$A$3:$I$32,8,FALSE))-(VLOOKUP($A65,test!$A$3:$I$32,9,FALSE))+test!$B$34,0)</f>
        <v>0</v>
      </c>
      <c r="S65">
        <f>IF(AND(SUM(VLOOKUP($A65,test!$A$3:$F$32,2,FALSE),VLOOKUP(S$1,test!$A$3:$F$32,2,FALSE))&lt;test!$K$16,$A65&lt;&gt;S$1,Recharged_Feasible_mat!T34=1),(VLOOKUP(S$1,test!$A$3:$I$32,8,FALSE))-(VLOOKUP($A65,test!$A$3:$I$32,9,FALSE))+test!$B$34,0)</f>
        <v>0</v>
      </c>
      <c r="T65">
        <f>IF(AND(SUM(VLOOKUP($A65,test!$A$3:$F$32,2,FALSE),VLOOKUP(T$1,test!$A$3:$F$32,2,FALSE))&lt;test!$K$16,$A65&lt;&gt;T$1,Recharged_Feasible_mat!U34=1),(VLOOKUP(T$1,test!$A$3:$I$32,8,FALSE))-(VLOOKUP($A65,test!$A$3:$I$32,9,FALSE))+test!$B$34,0)</f>
        <v>0</v>
      </c>
      <c r="U65">
        <f>IF(AND(SUM(VLOOKUP($A65,test!$A$3:$F$32,2,FALSE),VLOOKUP(U$1,test!$A$3:$F$32,2,FALSE))&lt;test!$K$16,$A65&lt;&gt;U$1,Recharged_Feasible_mat!V34=1),(VLOOKUP(U$1,test!$A$3:$I$32,8,FALSE))-(VLOOKUP($A65,test!$A$3:$I$32,9,FALSE))+test!$B$34,0)</f>
        <v>255</v>
      </c>
      <c r="V65">
        <f>IF(AND(SUM(VLOOKUP($A65,test!$A$3:$F$32,2,FALSE),VLOOKUP(V$1,test!$A$3:$F$32,2,FALSE))&lt;test!$K$16,$A65&lt;&gt;V$1,Recharged_Feasible_mat!W34=1),(VLOOKUP(V$1,test!$A$3:$I$32,8,FALSE))-(VLOOKUP($A65,test!$A$3:$I$32,9,FALSE))+test!$B$34,0)</f>
        <v>345</v>
      </c>
      <c r="W65">
        <f>IF(AND(SUM(VLOOKUP($A65,test!$A$3:$F$32,2,FALSE),VLOOKUP(W$1,test!$A$3:$F$32,2,FALSE))&lt;test!$K$16,$A65&lt;&gt;W$1,Recharged_Feasible_mat!X34=1),(VLOOKUP(W$1,test!$A$3:$I$32,8,FALSE))-(VLOOKUP($A65,test!$A$3:$I$32,9,FALSE))+test!$B$34,0)</f>
        <v>435</v>
      </c>
      <c r="X65">
        <f>IF(AND(SUM(VLOOKUP($A65,test!$A$3:$F$32,2,FALSE),VLOOKUP(X$1,test!$A$3:$F$32,2,FALSE))&lt;test!$K$16,$A65&lt;&gt;X$1,Recharged_Feasible_mat!Y34=1),(VLOOKUP(X$1,test!$A$3:$I$32,8,FALSE))-(VLOOKUP($A65,test!$A$3:$I$32,9,FALSE))+test!$B$34,0)</f>
        <v>495</v>
      </c>
      <c r="Y65">
        <f>IF(AND(SUM(VLOOKUP($A65,test!$A$3:$F$32,2,FALSE),VLOOKUP(Y$1,test!$A$3:$F$32,2,FALSE))&lt;test!$K$16,$A65&lt;&gt;Y$1,Recharged_Feasible_mat!Z34=1),(VLOOKUP(Y$1,test!$A$3:$I$32,8,FALSE))-(VLOOKUP($A65,test!$A$3:$I$32,9,FALSE))+test!$B$34,0)</f>
        <v>0</v>
      </c>
      <c r="Z65">
        <f>IF(AND(SUM(VLOOKUP($A65,test!$A$3:$F$32,2,FALSE),VLOOKUP(Z$1,test!$A$3:$F$32,2,FALSE))&lt;test!$K$16,$A65&lt;&gt;Z$1,Recharged_Feasible_mat!AA34=1),(VLOOKUP(Z$1,test!$A$3:$I$32,8,FALSE))-(VLOOKUP($A65,test!$A$3:$I$32,9,FALSE))+test!$B$34,0)</f>
        <v>0</v>
      </c>
      <c r="AA65">
        <f>IF(AND(SUM(VLOOKUP($A65,test!$A$3:$F$32,2,FALSE),VLOOKUP(AA$1,test!$A$3:$F$32,2,FALSE))&lt;test!$K$16,$A65&lt;&gt;AA$1,Recharged_Feasible_mat!AB34=1),(VLOOKUP(AA$1,test!$A$3:$I$32,8,FALSE))-(VLOOKUP($A65,test!$A$3:$I$32,9,FALSE))+test!$B$34,0)</f>
        <v>0</v>
      </c>
      <c r="AB65">
        <f>IF(AND(SUM(VLOOKUP($A65,test!$A$3:$F$32,2,FALSE),VLOOKUP(AB$1,test!$A$3:$F$32,2,FALSE))&lt;test!$K$16,$A65&lt;&gt;AB$1,Recharged_Feasible_mat!AC34=1),(VLOOKUP(AB$1,test!$A$3:$I$32,8,FALSE))-(VLOOKUP($A65,test!$A$3:$I$32,9,FALSE))+test!$B$34,0)</f>
        <v>275</v>
      </c>
      <c r="AC65">
        <f>IF(AND(SUM(VLOOKUP($A65,test!$A$3:$F$32,2,FALSE),VLOOKUP(AC$1,test!$A$3:$F$32,2,FALSE))&lt;test!$K$16,$A65&lt;&gt;AC$1,Recharged_Feasible_mat!AD34=1),(VLOOKUP(AC$1,test!$A$3:$I$32,8,FALSE))-(VLOOKUP($A65,test!$A$3:$I$32,9,FALSE))+test!$B$34,0)</f>
        <v>395</v>
      </c>
      <c r="AD65">
        <f>IF(AND(SUM(VLOOKUP($A65,test!$A$3:$F$32,2,FALSE),VLOOKUP(AD$1,test!$A$3:$F$32,2,FALSE))&lt;test!$K$16,$A65&lt;&gt;AD$1,Recharged_Feasible_mat!AE34=1),(VLOOKUP(AD$1,test!$A$3:$I$32,8,FALSE))-(VLOOKUP($A65,test!$A$3:$I$32,9,FALSE))+test!$B$34,0)</f>
        <v>0</v>
      </c>
      <c r="AE65">
        <f>IF(AND(SUM(VLOOKUP($A65,test!$A$3:$F$32,2,FALSE),VLOOKUP(AE$1,test!$A$3:$F$32,2,FALSE))&lt;test!$K$16,$A65&lt;&gt;AE$1,Recharged_Feasible_mat!AF34=1),(VLOOKUP(AE$1,test!$A$3:$I$32,8,FALSE))-(VLOOKUP($A65,test!$A$3:$I$32,9,FALSE))+test!$B$34,0)</f>
        <v>0</v>
      </c>
      <c r="AF65">
        <f>IF(AND(SUM(VLOOKUP($A65,test!$A$3:$F$32,2,FALSE),VLOOKUP(AF$1,test!$A$3:$F$32,2,FALSE))&lt;test!$K$16,$A65&lt;&gt;AF$1,Recharged_Feasible_mat!AG34=1),(VLOOKUP(AF$1,test!$A$3:$I$32,8,FALSE))-(VLOOKUP($A65,test!$A$3:$I$32,9,FALSE))+test!$B$34,0)</f>
        <v>0</v>
      </c>
    </row>
    <row r="66" spans="1:32" x14ac:dyDescent="0.25">
      <c r="A66" t="s">
        <v>9</v>
      </c>
      <c r="B66">
        <v>0</v>
      </c>
      <c r="C66">
        <f>IF(AND(SUM(VLOOKUP($A66,test!$A$3:$F$32,2,FALSE),VLOOKUP(C$1,test!$A$3:$F$32,2,FALSE))&lt;test!$K$16,$A66&lt;&gt;C$1,Recharged_Feasible_mat!D35=1),(VLOOKUP(C$1,test!$A$3:$I$32,8,FALSE))-(VLOOKUP($A66,test!$A$3:$I$32,9,FALSE))+test!$B$34,0)</f>
        <v>0</v>
      </c>
      <c r="D66">
        <f>IF(AND(SUM(VLOOKUP($A66,test!$A$3:$F$32,2,FALSE),VLOOKUP(D$1,test!$A$3:$F$32,2,FALSE))&lt;test!$K$16,$A66&lt;&gt;D$1,Recharged_Feasible_mat!E35=1),(VLOOKUP(D$1,test!$A$3:$I$32,8,FALSE))-(VLOOKUP($A66,test!$A$3:$I$32,9,FALSE))+test!$B$34,0)</f>
        <v>0</v>
      </c>
      <c r="E66">
        <f>IF(AND(SUM(VLOOKUP($A66,test!$A$3:$F$32,2,FALSE),VLOOKUP(E$1,test!$A$3:$F$32,2,FALSE))&lt;test!$K$16,$A66&lt;&gt;E$1,Recharged_Feasible_mat!F35=1),(VLOOKUP(E$1,test!$A$3:$I$32,8,FALSE))-(VLOOKUP($A66,test!$A$3:$I$32,9,FALSE))+test!$B$34,0)</f>
        <v>0</v>
      </c>
      <c r="F66">
        <f>IF(AND(SUM(VLOOKUP($A66,test!$A$3:$F$32,2,FALSE),VLOOKUP(F$1,test!$A$3:$F$32,2,FALSE))&lt;test!$K$16,$A66&lt;&gt;F$1,Recharged_Feasible_mat!G35=1),(VLOOKUP(F$1,test!$A$3:$I$32,8,FALSE))-(VLOOKUP($A66,test!$A$3:$I$32,9,FALSE))+test!$B$34,0)</f>
        <v>0</v>
      </c>
      <c r="G66">
        <f>IF(AND(SUM(VLOOKUP($A66,test!$A$3:$F$32,2,FALSE),VLOOKUP(G$1,test!$A$3:$F$32,2,FALSE))&lt;test!$K$16,$A66&lt;&gt;G$1,Recharged_Feasible_mat!H35=1),(VLOOKUP(G$1,test!$A$3:$I$32,8,FALSE))-(VLOOKUP($A66,test!$A$3:$I$32,9,FALSE))+test!$B$34,0)</f>
        <v>0</v>
      </c>
      <c r="H66">
        <f>IF(AND(SUM(VLOOKUP($A66,test!$A$3:$F$32,2,FALSE),VLOOKUP(H$1,test!$A$3:$F$32,2,FALSE))&lt;test!$K$16,$A66&lt;&gt;H$1,Recharged_Feasible_mat!I35=1),(VLOOKUP(H$1,test!$A$3:$I$32,8,FALSE))-(VLOOKUP($A66,test!$A$3:$I$32,9,FALSE))+test!$B$34,0)</f>
        <v>0</v>
      </c>
      <c r="I66">
        <f>IF(AND(SUM(VLOOKUP($A66,test!$A$3:$F$32,2,FALSE),VLOOKUP(I$1,test!$A$3:$F$32,2,FALSE))&lt;test!$K$16,$A66&lt;&gt;I$1,Recharged_Feasible_mat!J35=1),(VLOOKUP(I$1,test!$A$3:$I$32,8,FALSE))-(VLOOKUP($A66,test!$A$3:$I$32,9,FALSE))+test!$B$34,0)</f>
        <v>275</v>
      </c>
      <c r="J66">
        <f>IF(AND(SUM(VLOOKUP($A66,test!$A$3:$F$32,2,FALSE),VLOOKUP(J$1,test!$A$3:$F$32,2,FALSE))&lt;test!$K$16,$A66&lt;&gt;J$1,Recharged_Feasible_mat!K35=1),(VLOOKUP(J$1,test!$A$3:$I$32,8,FALSE))-(VLOOKUP($A66,test!$A$3:$I$32,9,FALSE))+test!$B$34,0)</f>
        <v>365</v>
      </c>
      <c r="K66">
        <f>IF(AND(SUM(VLOOKUP($A66,test!$A$3:$F$32,2,FALSE),VLOOKUP(K$1,test!$A$3:$F$32,2,FALSE))&lt;test!$K$16,$A66&lt;&gt;K$1,Recharged_Feasible_mat!L35=1),(VLOOKUP(K$1,test!$A$3:$I$32,8,FALSE))-(VLOOKUP($A66,test!$A$3:$I$32,9,FALSE))+test!$B$34,0)</f>
        <v>0</v>
      </c>
      <c r="L66">
        <f>IF(AND(SUM(VLOOKUP($A66,test!$A$3:$F$32,2,FALSE),VLOOKUP(L$1,test!$A$3:$F$32,2,FALSE))&lt;test!$K$16,$A66&lt;&gt;L$1,Recharged_Feasible_mat!M35=1),(VLOOKUP(L$1,test!$A$3:$I$32,8,FALSE))-(VLOOKUP($A66,test!$A$3:$I$32,9,FALSE))+test!$B$34,0)</f>
        <v>0</v>
      </c>
      <c r="M66">
        <f>IF(AND(SUM(VLOOKUP($A66,test!$A$3:$F$32,2,FALSE),VLOOKUP(M$1,test!$A$3:$F$32,2,FALSE))&lt;test!$K$16,$A66&lt;&gt;M$1,Recharged_Feasible_mat!N35=1),(VLOOKUP(M$1,test!$A$3:$I$32,8,FALSE))-(VLOOKUP($A66,test!$A$3:$I$32,9,FALSE))+test!$B$34,0)</f>
        <v>0</v>
      </c>
      <c r="N66">
        <f>IF(AND(SUM(VLOOKUP($A66,test!$A$3:$F$32,2,FALSE),VLOOKUP(N$1,test!$A$3:$F$32,2,FALSE))&lt;test!$K$16,$A66&lt;&gt;N$1,Recharged_Feasible_mat!O35=1),(VLOOKUP(N$1,test!$A$3:$I$32,8,FALSE))-(VLOOKUP($A66,test!$A$3:$I$32,9,FALSE))+test!$B$34,0)</f>
        <v>330</v>
      </c>
      <c r="O66">
        <f>IF(AND(SUM(VLOOKUP($A66,test!$A$3:$F$32,2,FALSE),VLOOKUP(O$1,test!$A$3:$F$32,2,FALSE))&lt;test!$K$16,$A66&lt;&gt;O$1,Recharged_Feasible_mat!P35=1),(VLOOKUP(O$1,test!$A$3:$I$32,8,FALSE))-(VLOOKUP($A66,test!$A$3:$I$32,9,FALSE))+test!$B$34,0)</f>
        <v>390</v>
      </c>
      <c r="P66">
        <f>IF(AND(SUM(VLOOKUP($A66,test!$A$3:$F$32,2,FALSE),VLOOKUP(P$1,test!$A$3:$F$32,2,FALSE))&lt;test!$K$16,$A66&lt;&gt;P$1,Recharged_Feasible_mat!Q35=1),(VLOOKUP(P$1,test!$A$3:$I$32,8,FALSE))-(VLOOKUP($A66,test!$A$3:$I$32,9,FALSE))+test!$B$34,0)</f>
        <v>0</v>
      </c>
      <c r="Q66">
        <f>IF(AND(SUM(VLOOKUP($A66,test!$A$3:$F$32,2,FALSE),VLOOKUP(Q$1,test!$A$3:$F$32,2,FALSE))&lt;test!$K$16,$A66&lt;&gt;Q$1,Recharged_Feasible_mat!R35=1),(VLOOKUP(Q$1,test!$A$3:$I$32,8,FALSE))-(VLOOKUP($A66,test!$A$3:$I$32,9,FALSE))+test!$B$34,0)</f>
        <v>0</v>
      </c>
      <c r="R66">
        <f>IF(AND(SUM(VLOOKUP($A66,test!$A$3:$F$32,2,FALSE),VLOOKUP(R$1,test!$A$3:$F$32,2,FALSE))&lt;test!$K$16,$A66&lt;&gt;R$1,Recharged_Feasible_mat!S35=1),(VLOOKUP(R$1,test!$A$3:$I$32,8,FALSE))-(VLOOKUP($A66,test!$A$3:$I$32,9,FALSE))+test!$B$34,0)</f>
        <v>0</v>
      </c>
      <c r="S66">
        <f>IF(AND(SUM(VLOOKUP($A66,test!$A$3:$F$32,2,FALSE),VLOOKUP(S$1,test!$A$3:$F$32,2,FALSE))&lt;test!$K$16,$A66&lt;&gt;S$1,Recharged_Feasible_mat!T35=1),(VLOOKUP(S$1,test!$A$3:$I$32,8,FALSE))-(VLOOKUP($A66,test!$A$3:$I$32,9,FALSE))+test!$B$34,0)</f>
        <v>0</v>
      </c>
      <c r="T66">
        <f>IF(AND(SUM(VLOOKUP($A66,test!$A$3:$F$32,2,FALSE),VLOOKUP(T$1,test!$A$3:$F$32,2,FALSE))&lt;test!$K$16,$A66&lt;&gt;T$1,Recharged_Feasible_mat!U35=1),(VLOOKUP(T$1,test!$A$3:$I$32,8,FALSE))-(VLOOKUP($A66,test!$A$3:$I$32,9,FALSE))+test!$B$34,0)</f>
        <v>0</v>
      </c>
      <c r="U66">
        <f>IF(AND(SUM(VLOOKUP($A66,test!$A$3:$F$32,2,FALSE),VLOOKUP(U$1,test!$A$3:$F$32,2,FALSE))&lt;test!$K$16,$A66&lt;&gt;U$1,Recharged_Feasible_mat!V35=1),(VLOOKUP(U$1,test!$A$3:$I$32,8,FALSE))-(VLOOKUP($A66,test!$A$3:$I$32,9,FALSE))+test!$B$34,0)</f>
        <v>0</v>
      </c>
      <c r="V66">
        <f>IF(AND(SUM(VLOOKUP($A66,test!$A$3:$F$32,2,FALSE),VLOOKUP(V$1,test!$A$3:$F$32,2,FALSE))&lt;test!$K$16,$A66&lt;&gt;V$1,Recharged_Feasible_mat!W35=1),(VLOOKUP(V$1,test!$A$3:$I$32,8,FALSE))-(VLOOKUP($A66,test!$A$3:$I$32,9,FALSE))+test!$B$34,0)</f>
        <v>0</v>
      </c>
      <c r="W66">
        <f>IF(AND(SUM(VLOOKUP($A66,test!$A$3:$F$32,2,FALSE),VLOOKUP(W$1,test!$A$3:$F$32,2,FALSE))&lt;test!$K$16,$A66&lt;&gt;W$1,Recharged_Feasible_mat!X35=1),(VLOOKUP(W$1,test!$A$3:$I$32,8,FALSE))-(VLOOKUP($A66,test!$A$3:$I$32,9,FALSE))+test!$B$34,0)</f>
        <v>255</v>
      </c>
      <c r="X66">
        <f>IF(AND(SUM(VLOOKUP($A66,test!$A$3:$F$32,2,FALSE),VLOOKUP(X$1,test!$A$3:$F$32,2,FALSE))&lt;test!$K$16,$A66&lt;&gt;X$1,Recharged_Feasible_mat!Y35=1),(VLOOKUP(X$1,test!$A$3:$I$32,8,FALSE))-(VLOOKUP($A66,test!$A$3:$I$32,9,FALSE))+test!$B$34,0)</f>
        <v>315</v>
      </c>
      <c r="Y66">
        <f>IF(AND(SUM(VLOOKUP($A66,test!$A$3:$F$32,2,FALSE),VLOOKUP(Y$1,test!$A$3:$F$32,2,FALSE))&lt;test!$K$16,$A66&lt;&gt;Y$1,Recharged_Feasible_mat!Z35=1),(VLOOKUP(Y$1,test!$A$3:$I$32,8,FALSE))-(VLOOKUP($A66,test!$A$3:$I$32,9,FALSE))+test!$B$34,0)</f>
        <v>0</v>
      </c>
      <c r="Z66">
        <f>IF(AND(SUM(VLOOKUP($A66,test!$A$3:$F$32,2,FALSE),VLOOKUP(Z$1,test!$A$3:$F$32,2,FALSE))&lt;test!$K$16,$A66&lt;&gt;Z$1,Recharged_Feasible_mat!AA35=1),(VLOOKUP(Z$1,test!$A$3:$I$32,8,FALSE))-(VLOOKUP($A66,test!$A$3:$I$32,9,FALSE))+test!$B$34,0)</f>
        <v>0</v>
      </c>
      <c r="AA66">
        <f>IF(AND(SUM(VLOOKUP($A66,test!$A$3:$F$32,2,FALSE),VLOOKUP(AA$1,test!$A$3:$F$32,2,FALSE))&lt;test!$K$16,$A66&lt;&gt;AA$1,Recharged_Feasible_mat!AB35=1),(VLOOKUP(AA$1,test!$A$3:$I$32,8,FALSE))-(VLOOKUP($A66,test!$A$3:$I$32,9,FALSE))+test!$B$34,0)</f>
        <v>0</v>
      </c>
      <c r="AB66">
        <f>IF(AND(SUM(VLOOKUP($A66,test!$A$3:$F$32,2,FALSE),VLOOKUP(AB$1,test!$A$3:$F$32,2,FALSE))&lt;test!$K$16,$A66&lt;&gt;AB$1,Recharged_Feasible_mat!AC35=1),(VLOOKUP(AB$1,test!$A$3:$I$32,8,FALSE))-(VLOOKUP($A66,test!$A$3:$I$32,9,FALSE))+test!$B$34,0)</f>
        <v>0</v>
      </c>
      <c r="AC66">
        <f>IF(AND(SUM(VLOOKUP($A66,test!$A$3:$F$32,2,FALSE),VLOOKUP(AC$1,test!$A$3:$F$32,2,FALSE))&lt;test!$K$16,$A66&lt;&gt;AC$1,Recharged_Feasible_mat!AD35=1),(VLOOKUP(AC$1,test!$A$3:$I$32,8,FALSE))-(VLOOKUP($A66,test!$A$3:$I$32,9,FALSE))+test!$B$34,0)</f>
        <v>0</v>
      </c>
      <c r="AD66">
        <f>IF(AND(SUM(VLOOKUP($A66,test!$A$3:$F$32,2,FALSE),VLOOKUP(AD$1,test!$A$3:$F$32,2,FALSE))&lt;test!$K$16,$A66&lt;&gt;AD$1,Recharged_Feasible_mat!AE35=1),(VLOOKUP(AD$1,test!$A$3:$I$32,8,FALSE))-(VLOOKUP($A66,test!$A$3:$I$32,9,FALSE))+test!$B$34,0)</f>
        <v>0</v>
      </c>
      <c r="AE66">
        <f>IF(AND(SUM(VLOOKUP($A66,test!$A$3:$F$32,2,FALSE),VLOOKUP(AE$1,test!$A$3:$F$32,2,FALSE))&lt;test!$K$16,$A66&lt;&gt;AE$1,Recharged_Feasible_mat!AF35=1),(VLOOKUP(AE$1,test!$A$3:$I$32,8,FALSE))-(VLOOKUP($A66,test!$A$3:$I$32,9,FALSE))+test!$B$34,0)</f>
        <v>0</v>
      </c>
      <c r="AF66">
        <f>IF(AND(SUM(VLOOKUP($A66,test!$A$3:$F$32,2,FALSE),VLOOKUP(AF$1,test!$A$3:$F$32,2,FALSE))&lt;test!$K$16,$A66&lt;&gt;AF$1,Recharged_Feasible_mat!AG35=1),(VLOOKUP(AF$1,test!$A$3:$I$32,8,FALSE))-(VLOOKUP($A66,test!$A$3:$I$32,9,FALSE))+test!$B$34,0)</f>
        <v>0</v>
      </c>
    </row>
    <row r="67" spans="1:32" x14ac:dyDescent="0.25">
      <c r="A67" t="s">
        <v>10</v>
      </c>
      <c r="B67">
        <v>0</v>
      </c>
      <c r="C67">
        <f>IF(AND(SUM(VLOOKUP($A67,test!$A$3:$F$32,2,FALSE),VLOOKUP(C$1,test!$A$3:$F$32,2,FALSE))&lt;test!$K$16,$A67&lt;&gt;C$1,Recharged_Feasible_mat!D36=1),(VLOOKUP(C$1,test!$A$3:$I$32,8,FALSE))-(VLOOKUP($A67,test!$A$3:$I$32,9,FALSE))+test!$B$34,0)</f>
        <v>0</v>
      </c>
      <c r="D67">
        <f>IF(AND(SUM(VLOOKUP($A67,test!$A$3:$F$32,2,FALSE),VLOOKUP(D$1,test!$A$3:$F$32,2,FALSE))&lt;test!$K$16,$A67&lt;&gt;D$1,Recharged_Feasible_mat!E36=1),(VLOOKUP(D$1,test!$A$3:$I$32,8,FALSE))-(VLOOKUP($A67,test!$A$3:$I$32,9,FALSE))+test!$B$34,0)</f>
        <v>0</v>
      </c>
      <c r="E67">
        <f>IF(AND(SUM(VLOOKUP($A67,test!$A$3:$F$32,2,FALSE),VLOOKUP(E$1,test!$A$3:$F$32,2,FALSE))&lt;test!$K$16,$A67&lt;&gt;E$1,Recharged_Feasible_mat!F36=1),(VLOOKUP(E$1,test!$A$3:$I$32,8,FALSE))-(VLOOKUP($A67,test!$A$3:$I$32,9,FALSE))+test!$B$34,0)</f>
        <v>0</v>
      </c>
      <c r="F67">
        <f>IF(AND(SUM(VLOOKUP($A67,test!$A$3:$F$32,2,FALSE),VLOOKUP(F$1,test!$A$3:$F$32,2,FALSE))&lt;test!$K$16,$A67&lt;&gt;F$1,Recharged_Feasible_mat!G36=1),(VLOOKUP(F$1,test!$A$3:$I$32,8,FALSE))-(VLOOKUP($A67,test!$A$3:$I$32,9,FALSE))+test!$B$34,0)</f>
        <v>0</v>
      </c>
      <c r="G67">
        <f>IF(AND(SUM(VLOOKUP($A67,test!$A$3:$F$32,2,FALSE),VLOOKUP(G$1,test!$A$3:$F$32,2,FALSE))&lt;test!$K$16,$A67&lt;&gt;G$1,Recharged_Feasible_mat!H36=1),(VLOOKUP(G$1,test!$A$3:$I$32,8,FALSE))-(VLOOKUP($A67,test!$A$3:$I$32,9,FALSE))+test!$B$34,0)</f>
        <v>0</v>
      </c>
      <c r="H67">
        <f>IF(AND(SUM(VLOOKUP($A67,test!$A$3:$F$32,2,FALSE),VLOOKUP(H$1,test!$A$3:$F$32,2,FALSE))&lt;test!$K$16,$A67&lt;&gt;H$1,Recharged_Feasible_mat!I36=1),(VLOOKUP(H$1,test!$A$3:$I$32,8,FALSE))-(VLOOKUP($A67,test!$A$3:$I$32,9,FALSE))+test!$B$34,0)</f>
        <v>0</v>
      </c>
      <c r="I67">
        <f>IF(AND(SUM(VLOOKUP($A67,test!$A$3:$F$32,2,FALSE),VLOOKUP(I$1,test!$A$3:$F$32,2,FALSE))&lt;test!$K$16,$A67&lt;&gt;I$1,Recharged_Feasible_mat!J36=1),(VLOOKUP(I$1,test!$A$3:$I$32,8,FALSE))-(VLOOKUP($A67,test!$A$3:$I$32,9,FALSE))+test!$B$34,0)</f>
        <v>0</v>
      </c>
      <c r="J67">
        <f>IF(AND(SUM(VLOOKUP($A67,test!$A$3:$F$32,2,FALSE),VLOOKUP(J$1,test!$A$3:$F$32,2,FALSE))&lt;test!$K$16,$A67&lt;&gt;J$1,Recharged_Feasible_mat!K36=1),(VLOOKUP(J$1,test!$A$3:$I$32,8,FALSE))-(VLOOKUP($A67,test!$A$3:$I$32,9,FALSE))+test!$B$34,0)</f>
        <v>275</v>
      </c>
      <c r="K67">
        <f>IF(AND(SUM(VLOOKUP($A67,test!$A$3:$F$32,2,FALSE),VLOOKUP(K$1,test!$A$3:$F$32,2,FALSE))&lt;test!$K$16,$A67&lt;&gt;K$1,Recharged_Feasible_mat!L36=1),(VLOOKUP(K$1,test!$A$3:$I$32,8,FALSE))-(VLOOKUP($A67,test!$A$3:$I$32,9,FALSE))+test!$B$34,0)</f>
        <v>0</v>
      </c>
      <c r="L67">
        <f>IF(AND(SUM(VLOOKUP($A67,test!$A$3:$F$32,2,FALSE),VLOOKUP(L$1,test!$A$3:$F$32,2,FALSE))&lt;test!$K$16,$A67&lt;&gt;L$1,Recharged_Feasible_mat!M36=1),(VLOOKUP(L$1,test!$A$3:$I$32,8,FALSE))-(VLOOKUP($A67,test!$A$3:$I$32,9,FALSE))+test!$B$34,0)</f>
        <v>0</v>
      </c>
      <c r="M67">
        <f>IF(AND(SUM(VLOOKUP($A67,test!$A$3:$F$32,2,FALSE),VLOOKUP(M$1,test!$A$3:$F$32,2,FALSE))&lt;test!$K$16,$A67&lt;&gt;M$1,Recharged_Feasible_mat!N36=1),(VLOOKUP(M$1,test!$A$3:$I$32,8,FALSE))-(VLOOKUP($A67,test!$A$3:$I$32,9,FALSE))+test!$B$34,0)</f>
        <v>0</v>
      </c>
      <c r="N67">
        <f>IF(AND(SUM(VLOOKUP($A67,test!$A$3:$F$32,2,FALSE),VLOOKUP(N$1,test!$A$3:$F$32,2,FALSE))&lt;test!$K$16,$A67&lt;&gt;N$1,Recharged_Feasible_mat!O36=1),(VLOOKUP(N$1,test!$A$3:$I$32,8,FALSE))-(VLOOKUP($A67,test!$A$3:$I$32,9,FALSE))+test!$B$34,0)</f>
        <v>0</v>
      </c>
      <c r="O67">
        <f>IF(AND(SUM(VLOOKUP($A67,test!$A$3:$F$32,2,FALSE),VLOOKUP(O$1,test!$A$3:$F$32,2,FALSE))&lt;test!$K$16,$A67&lt;&gt;O$1,Recharged_Feasible_mat!P36=1),(VLOOKUP(O$1,test!$A$3:$I$32,8,FALSE))-(VLOOKUP($A67,test!$A$3:$I$32,9,FALSE))+test!$B$34,0)</f>
        <v>300</v>
      </c>
      <c r="P67">
        <f>IF(AND(SUM(VLOOKUP($A67,test!$A$3:$F$32,2,FALSE),VLOOKUP(P$1,test!$A$3:$F$32,2,FALSE))&lt;test!$K$16,$A67&lt;&gt;P$1,Recharged_Feasible_mat!Q36=1),(VLOOKUP(P$1,test!$A$3:$I$32,8,FALSE))-(VLOOKUP($A67,test!$A$3:$I$32,9,FALSE))+test!$B$34,0)</f>
        <v>0</v>
      </c>
      <c r="Q67">
        <f>IF(AND(SUM(VLOOKUP($A67,test!$A$3:$F$32,2,FALSE),VLOOKUP(Q$1,test!$A$3:$F$32,2,FALSE))&lt;test!$K$16,$A67&lt;&gt;Q$1,Recharged_Feasible_mat!R36=1),(VLOOKUP(Q$1,test!$A$3:$I$32,8,FALSE))-(VLOOKUP($A67,test!$A$3:$I$32,9,FALSE))+test!$B$34,0)</f>
        <v>0</v>
      </c>
      <c r="R67">
        <f>IF(AND(SUM(VLOOKUP($A67,test!$A$3:$F$32,2,FALSE),VLOOKUP(R$1,test!$A$3:$F$32,2,FALSE))&lt;test!$K$16,$A67&lt;&gt;R$1,Recharged_Feasible_mat!S36=1),(VLOOKUP(R$1,test!$A$3:$I$32,8,FALSE))-(VLOOKUP($A67,test!$A$3:$I$32,9,FALSE))+test!$B$34,0)</f>
        <v>0</v>
      </c>
      <c r="S67">
        <f>IF(AND(SUM(VLOOKUP($A67,test!$A$3:$F$32,2,FALSE),VLOOKUP(S$1,test!$A$3:$F$32,2,FALSE))&lt;test!$K$16,$A67&lt;&gt;S$1,Recharged_Feasible_mat!T36=1),(VLOOKUP(S$1,test!$A$3:$I$32,8,FALSE))-(VLOOKUP($A67,test!$A$3:$I$32,9,FALSE))+test!$B$34,0)</f>
        <v>0</v>
      </c>
      <c r="T67">
        <f>IF(AND(SUM(VLOOKUP($A67,test!$A$3:$F$32,2,FALSE),VLOOKUP(T$1,test!$A$3:$F$32,2,FALSE))&lt;test!$K$16,$A67&lt;&gt;T$1,Recharged_Feasible_mat!U36=1),(VLOOKUP(T$1,test!$A$3:$I$32,8,FALSE))-(VLOOKUP($A67,test!$A$3:$I$32,9,FALSE))+test!$B$34,0)</f>
        <v>0</v>
      </c>
      <c r="U67">
        <f>IF(AND(SUM(VLOOKUP($A67,test!$A$3:$F$32,2,FALSE),VLOOKUP(U$1,test!$A$3:$F$32,2,FALSE))&lt;test!$K$16,$A67&lt;&gt;U$1,Recharged_Feasible_mat!V36=1),(VLOOKUP(U$1,test!$A$3:$I$32,8,FALSE))-(VLOOKUP($A67,test!$A$3:$I$32,9,FALSE))+test!$B$34,0)</f>
        <v>0</v>
      </c>
      <c r="V67">
        <f>IF(AND(SUM(VLOOKUP($A67,test!$A$3:$F$32,2,FALSE),VLOOKUP(V$1,test!$A$3:$F$32,2,FALSE))&lt;test!$K$16,$A67&lt;&gt;V$1,Recharged_Feasible_mat!W36=1),(VLOOKUP(V$1,test!$A$3:$I$32,8,FALSE))-(VLOOKUP($A67,test!$A$3:$I$32,9,FALSE))+test!$B$34,0)</f>
        <v>0</v>
      </c>
      <c r="W67">
        <f>IF(AND(SUM(VLOOKUP($A67,test!$A$3:$F$32,2,FALSE),VLOOKUP(W$1,test!$A$3:$F$32,2,FALSE))&lt;test!$K$16,$A67&lt;&gt;W$1,Recharged_Feasible_mat!X36=1),(VLOOKUP(W$1,test!$A$3:$I$32,8,FALSE))-(VLOOKUP($A67,test!$A$3:$I$32,9,FALSE))+test!$B$34,0)</f>
        <v>0</v>
      </c>
      <c r="X67">
        <f>IF(AND(SUM(VLOOKUP($A67,test!$A$3:$F$32,2,FALSE),VLOOKUP(X$1,test!$A$3:$F$32,2,FALSE))&lt;test!$K$16,$A67&lt;&gt;X$1,Recharged_Feasible_mat!Y36=1),(VLOOKUP(X$1,test!$A$3:$I$32,8,FALSE))-(VLOOKUP($A67,test!$A$3:$I$32,9,FALSE))+test!$B$34,0)</f>
        <v>0</v>
      </c>
      <c r="Y67">
        <f>IF(AND(SUM(VLOOKUP($A67,test!$A$3:$F$32,2,FALSE),VLOOKUP(Y$1,test!$A$3:$F$32,2,FALSE))&lt;test!$K$16,$A67&lt;&gt;Y$1,Recharged_Feasible_mat!Z36=1),(VLOOKUP(Y$1,test!$A$3:$I$32,8,FALSE))-(VLOOKUP($A67,test!$A$3:$I$32,9,FALSE))+test!$B$34,0)</f>
        <v>0</v>
      </c>
      <c r="Z67">
        <f>IF(AND(SUM(VLOOKUP($A67,test!$A$3:$F$32,2,FALSE),VLOOKUP(Z$1,test!$A$3:$F$32,2,FALSE))&lt;test!$K$16,$A67&lt;&gt;Z$1,Recharged_Feasible_mat!AA36=1),(VLOOKUP(Z$1,test!$A$3:$I$32,8,FALSE))-(VLOOKUP($A67,test!$A$3:$I$32,9,FALSE))+test!$B$34,0)</f>
        <v>0</v>
      </c>
      <c r="AA67">
        <f>IF(AND(SUM(VLOOKUP($A67,test!$A$3:$F$32,2,FALSE),VLOOKUP(AA$1,test!$A$3:$F$32,2,FALSE))&lt;test!$K$16,$A67&lt;&gt;AA$1,Recharged_Feasible_mat!AB36=1),(VLOOKUP(AA$1,test!$A$3:$I$32,8,FALSE))-(VLOOKUP($A67,test!$A$3:$I$32,9,FALSE))+test!$B$34,0)</f>
        <v>0</v>
      </c>
      <c r="AB67">
        <f>IF(AND(SUM(VLOOKUP($A67,test!$A$3:$F$32,2,FALSE),VLOOKUP(AB$1,test!$A$3:$F$32,2,FALSE))&lt;test!$K$16,$A67&lt;&gt;AB$1,Recharged_Feasible_mat!AC36=1),(VLOOKUP(AB$1,test!$A$3:$I$32,8,FALSE))-(VLOOKUP($A67,test!$A$3:$I$32,9,FALSE))+test!$B$34,0)</f>
        <v>0</v>
      </c>
      <c r="AC67">
        <f>IF(AND(SUM(VLOOKUP($A67,test!$A$3:$F$32,2,FALSE),VLOOKUP(AC$1,test!$A$3:$F$32,2,FALSE))&lt;test!$K$16,$A67&lt;&gt;AC$1,Recharged_Feasible_mat!AD36=1),(VLOOKUP(AC$1,test!$A$3:$I$32,8,FALSE))-(VLOOKUP($A67,test!$A$3:$I$32,9,FALSE))+test!$B$34,0)</f>
        <v>0</v>
      </c>
      <c r="AD67">
        <f>IF(AND(SUM(VLOOKUP($A67,test!$A$3:$F$32,2,FALSE),VLOOKUP(AD$1,test!$A$3:$F$32,2,FALSE))&lt;test!$K$16,$A67&lt;&gt;AD$1,Recharged_Feasible_mat!AE36=1),(VLOOKUP(AD$1,test!$A$3:$I$32,8,FALSE))-(VLOOKUP($A67,test!$A$3:$I$32,9,FALSE))+test!$B$34,0)</f>
        <v>0</v>
      </c>
      <c r="AE67">
        <f>IF(AND(SUM(VLOOKUP($A67,test!$A$3:$F$32,2,FALSE),VLOOKUP(AE$1,test!$A$3:$F$32,2,FALSE))&lt;test!$K$16,$A67&lt;&gt;AE$1,Recharged_Feasible_mat!AF36=1),(VLOOKUP(AE$1,test!$A$3:$I$32,8,FALSE))-(VLOOKUP($A67,test!$A$3:$I$32,9,FALSE))+test!$B$34,0)</f>
        <v>0</v>
      </c>
      <c r="AF67">
        <f>IF(AND(SUM(VLOOKUP($A67,test!$A$3:$F$32,2,FALSE),VLOOKUP(AF$1,test!$A$3:$F$32,2,FALSE))&lt;test!$K$16,$A67&lt;&gt;AF$1,Recharged_Feasible_mat!AG36=1),(VLOOKUP(AF$1,test!$A$3:$I$32,8,FALSE))-(VLOOKUP($A67,test!$A$3:$I$32,9,FALSE))+test!$B$34,0)</f>
        <v>0</v>
      </c>
    </row>
    <row r="68" spans="1:32" x14ac:dyDescent="0.25">
      <c r="A68" t="s">
        <v>11</v>
      </c>
      <c r="B68">
        <v>0</v>
      </c>
      <c r="C68">
        <f>IF(AND(SUM(VLOOKUP($A68,test!$A$3:$F$32,2,FALSE),VLOOKUP(C$1,test!$A$3:$F$32,2,FALSE))&lt;test!$K$16,$A68&lt;&gt;C$1,Recharged_Feasible_mat!D37=1),(VLOOKUP(C$1,test!$A$3:$I$32,8,FALSE))-(VLOOKUP($A68,test!$A$3:$I$32,9,FALSE))+test!$B$34,0)</f>
        <v>0</v>
      </c>
      <c r="D68">
        <f>IF(AND(SUM(VLOOKUP($A68,test!$A$3:$F$32,2,FALSE),VLOOKUP(D$1,test!$A$3:$F$32,2,FALSE))&lt;test!$K$16,$A68&lt;&gt;D$1,Recharged_Feasible_mat!E37=1),(VLOOKUP(D$1,test!$A$3:$I$32,8,FALSE))-(VLOOKUP($A68,test!$A$3:$I$32,9,FALSE))+test!$B$34,0)</f>
        <v>0</v>
      </c>
      <c r="E68">
        <f>IF(AND(SUM(VLOOKUP($A68,test!$A$3:$F$32,2,FALSE),VLOOKUP(E$1,test!$A$3:$F$32,2,FALSE))&lt;test!$K$16,$A68&lt;&gt;E$1,Recharged_Feasible_mat!F37=1),(VLOOKUP(E$1,test!$A$3:$I$32,8,FALSE))-(VLOOKUP($A68,test!$A$3:$I$32,9,FALSE))+test!$B$34,0)</f>
        <v>0</v>
      </c>
      <c r="F68">
        <f>IF(AND(SUM(VLOOKUP($A68,test!$A$3:$F$32,2,FALSE),VLOOKUP(F$1,test!$A$3:$F$32,2,FALSE))&lt;test!$K$16,$A68&lt;&gt;F$1,Recharged_Feasible_mat!G37=1),(VLOOKUP(F$1,test!$A$3:$I$32,8,FALSE))-(VLOOKUP($A68,test!$A$3:$I$32,9,FALSE))+test!$B$34,0)</f>
        <v>0</v>
      </c>
      <c r="G68">
        <f>IF(AND(SUM(VLOOKUP($A68,test!$A$3:$F$32,2,FALSE),VLOOKUP(G$1,test!$A$3:$F$32,2,FALSE))&lt;test!$K$16,$A68&lt;&gt;G$1,Recharged_Feasible_mat!H37=1),(VLOOKUP(G$1,test!$A$3:$I$32,8,FALSE))-(VLOOKUP($A68,test!$A$3:$I$32,9,FALSE))+test!$B$34,0)</f>
        <v>0</v>
      </c>
      <c r="H68">
        <f>IF(AND(SUM(VLOOKUP($A68,test!$A$3:$F$32,2,FALSE),VLOOKUP(H$1,test!$A$3:$F$32,2,FALSE))&lt;test!$K$16,$A68&lt;&gt;H$1,Recharged_Feasible_mat!I37=1),(VLOOKUP(H$1,test!$A$3:$I$32,8,FALSE))-(VLOOKUP($A68,test!$A$3:$I$32,9,FALSE))+test!$B$34,0)</f>
        <v>0</v>
      </c>
      <c r="I68">
        <f>IF(AND(SUM(VLOOKUP($A68,test!$A$3:$F$32,2,FALSE),VLOOKUP(I$1,test!$A$3:$F$32,2,FALSE))&lt;test!$K$16,$A68&lt;&gt;I$1,Recharged_Feasible_mat!J37=1),(VLOOKUP(I$1,test!$A$3:$I$32,8,FALSE))-(VLOOKUP($A68,test!$A$3:$I$32,9,FALSE))+test!$B$34,0)</f>
        <v>0</v>
      </c>
      <c r="J68">
        <f>IF(AND(SUM(VLOOKUP($A68,test!$A$3:$F$32,2,FALSE),VLOOKUP(J$1,test!$A$3:$F$32,2,FALSE))&lt;test!$K$16,$A68&lt;&gt;J$1,Recharged_Feasible_mat!K37=1),(VLOOKUP(J$1,test!$A$3:$I$32,8,FALSE))-(VLOOKUP($A68,test!$A$3:$I$32,9,FALSE))+test!$B$34,0)</f>
        <v>0</v>
      </c>
      <c r="K68">
        <f>IF(AND(SUM(VLOOKUP($A68,test!$A$3:$F$32,2,FALSE),VLOOKUP(K$1,test!$A$3:$F$32,2,FALSE))&lt;test!$K$16,$A68&lt;&gt;K$1,Recharged_Feasible_mat!L37=1),(VLOOKUP(K$1,test!$A$3:$I$32,8,FALSE))-(VLOOKUP($A68,test!$A$3:$I$32,9,FALSE))+test!$B$34,0)</f>
        <v>0</v>
      </c>
      <c r="L68">
        <f>IF(AND(SUM(VLOOKUP($A68,test!$A$3:$F$32,2,FALSE),VLOOKUP(L$1,test!$A$3:$F$32,2,FALSE))&lt;test!$K$16,$A68&lt;&gt;L$1,Recharged_Feasible_mat!M37=1),(VLOOKUP(L$1,test!$A$3:$I$32,8,FALSE))-(VLOOKUP($A68,test!$A$3:$I$32,9,FALSE))+test!$B$34,0)</f>
        <v>0</v>
      </c>
      <c r="M68">
        <f>IF(AND(SUM(VLOOKUP($A68,test!$A$3:$F$32,2,FALSE),VLOOKUP(M$1,test!$A$3:$F$32,2,FALSE))&lt;test!$K$16,$A68&lt;&gt;M$1,Recharged_Feasible_mat!N37=1),(VLOOKUP(M$1,test!$A$3:$I$32,8,FALSE))-(VLOOKUP($A68,test!$A$3:$I$32,9,FALSE))+test!$B$34,0)</f>
        <v>0</v>
      </c>
      <c r="N68">
        <f>IF(AND(SUM(VLOOKUP($A68,test!$A$3:$F$32,2,FALSE),VLOOKUP(N$1,test!$A$3:$F$32,2,FALSE))&lt;test!$K$16,$A68&lt;&gt;N$1,Recharged_Feasible_mat!O37=1),(VLOOKUP(N$1,test!$A$3:$I$32,8,FALSE))-(VLOOKUP($A68,test!$A$3:$I$32,9,FALSE))+test!$B$34,0)</f>
        <v>0</v>
      </c>
      <c r="O68">
        <f>IF(AND(SUM(VLOOKUP($A68,test!$A$3:$F$32,2,FALSE),VLOOKUP(O$1,test!$A$3:$F$32,2,FALSE))&lt;test!$K$16,$A68&lt;&gt;O$1,Recharged_Feasible_mat!P37=1),(VLOOKUP(O$1,test!$A$3:$I$32,8,FALSE))-(VLOOKUP($A68,test!$A$3:$I$32,9,FALSE))+test!$B$34,0)</f>
        <v>0</v>
      </c>
      <c r="P68">
        <f>IF(AND(SUM(VLOOKUP($A68,test!$A$3:$F$32,2,FALSE),VLOOKUP(P$1,test!$A$3:$F$32,2,FALSE))&lt;test!$K$16,$A68&lt;&gt;P$1,Recharged_Feasible_mat!Q37=1),(VLOOKUP(P$1,test!$A$3:$I$32,8,FALSE))-(VLOOKUP($A68,test!$A$3:$I$32,9,FALSE))+test!$B$34,0)</f>
        <v>0</v>
      </c>
      <c r="Q68">
        <f>IF(AND(SUM(VLOOKUP($A68,test!$A$3:$F$32,2,FALSE),VLOOKUP(Q$1,test!$A$3:$F$32,2,FALSE))&lt;test!$K$16,$A68&lt;&gt;Q$1,Recharged_Feasible_mat!R37=1),(VLOOKUP(Q$1,test!$A$3:$I$32,8,FALSE))-(VLOOKUP($A68,test!$A$3:$I$32,9,FALSE))+test!$B$34,0)</f>
        <v>0</v>
      </c>
      <c r="R68">
        <f>IF(AND(SUM(VLOOKUP($A68,test!$A$3:$F$32,2,FALSE),VLOOKUP(R$1,test!$A$3:$F$32,2,FALSE))&lt;test!$K$16,$A68&lt;&gt;R$1,Recharged_Feasible_mat!S37=1),(VLOOKUP(R$1,test!$A$3:$I$32,8,FALSE))-(VLOOKUP($A68,test!$A$3:$I$32,9,FALSE))+test!$B$34,0)</f>
        <v>0</v>
      </c>
      <c r="S68">
        <f>IF(AND(SUM(VLOOKUP($A68,test!$A$3:$F$32,2,FALSE),VLOOKUP(S$1,test!$A$3:$F$32,2,FALSE))&lt;test!$K$16,$A68&lt;&gt;S$1,Recharged_Feasible_mat!T37=1),(VLOOKUP(S$1,test!$A$3:$I$32,8,FALSE))-(VLOOKUP($A68,test!$A$3:$I$32,9,FALSE))+test!$B$34,0)</f>
        <v>0</v>
      </c>
      <c r="T68">
        <f>IF(AND(SUM(VLOOKUP($A68,test!$A$3:$F$32,2,FALSE),VLOOKUP(T$1,test!$A$3:$F$32,2,FALSE))&lt;test!$K$16,$A68&lt;&gt;T$1,Recharged_Feasible_mat!U37=1),(VLOOKUP(T$1,test!$A$3:$I$32,8,FALSE))-(VLOOKUP($A68,test!$A$3:$I$32,9,FALSE))+test!$B$34,0)</f>
        <v>0</v>
      </c>
      <c r="U68">
        <f>IF(AND(SUM(VLOOKUP($A68,test!$A$3:$F$32,2,FALSE),VLOOKUP(U$1,test!$A$3:$F$32,2,FALSE))&lt;test!$K$16,$A68&lt;&gt;U$1,Recharged_Feasible_mat!V37=1),(VLOOKUP(U$1,test!$A$3:$I$32,8,FALSE))-(VLOOKUP($A68,test!$A$3:$I$32,9,FALSE))+test!$B$34,0)</f>
        <v>0</v>
      </c>
      <c r="V68">
        <f>IF(AND(SUM(VLOOKUP($A68,test!$A$3:$F$32,2,FALSE),VLOOKUP(V$1,test!$A$3:$F$32,2,FALSE))&lt;test!$K$16,$A68&lt;&gt;V$1,Recharged_Feasible_mat!W37=1),(VLOOKUP(V$1,test!$A$3:$I$32,8,FALSE))-(VLOOKUP($A68,test!$A$3:$I$32,9,FALSE))+test!$B$34,0)</f>
        <v>0</v>
      </c>
      <c r="W68">
        <f>IF(AND(SUM(VLOOKUP($A68,test!$A$3:$F$32,2,FALSE),VLOOKUP(W$1,test!$A$3:$F$32,2,FALSE))&lt;test!$K$16,$A68&lt;&gt;W$1,Recharged_Feasible_mat!X37=1),(VLOOKUP(W$1,test!$A$3:$I$32,8,FALSE))-(VLOOKUP($A68,test!$A$3:$I$32,9,FALSE))+test!$B$34,0)</f>
        <v>0</v>
      </c>
      <c r="X68">
        <f>IF(AND(SUM(VLOOKUP($A68,test!$A$3:$F$32,2,FALSE),VLOOKUP(X$1,test!$A$3:$F$32,2,FALSE))&lt;test!$K$16,$A68&lt;&gt;X$1,Recharged_Feasible_mat!Y37=1),(VLOOKUP(X$1,test!$A$3:$I$32,8,FALSE))-(VLOOKUP($A68,test!$A$3:$I$32,9,FALSE))+test!$B$34,0)</f>
        <v>0</v>
      </c>
      <c r="Y68">
        <f>IF(AND(SUM(VLOOKUP($A68,test!$A$3:$F$32,2,FALSE),VLOOKUP(Y$1,test!$A$3:$F$32,2,FALSE))&lt;test!$K$16,$A68&lt;&gt;Y$1,Recharged_Feasible_mat!Z37=1),(VLOOKUP(Y$1,test!$A$3:$I$32,8,FALSE))-(VLOOKUP($A68,test!$A$3:$I$32,9,FALSE))+test!$B$34,0)</f>
        <v>0</v>
      </c>
      <c r="Z68">
        <f>IF(AND(SUM(VLOOKUP($A68,test!$A$3:$F$32,2,FALSE),VLOOKUP(Z$1,test!$A$3:$F$32,2,FALSE))&lt;test!$K$16,$A68&lt;&gt;Z$1,Recharged_Feasible_mat!AA37=1),(VLOOKUP(Z$1,test!$A$3:$I$32,8,FALSE))-(VLOOKUP($A68,test!$A$3:$I$32,9,FALSE))+test!$B$34,0)</f>
        <v>0</v>
      </c>
      <c r="AA68">
        <f>IF(AND(SUM(VLOOKUP($A68,test!$A$3:$F$32,2,FALSE),VLOOKUP(AA$1,test!$A$3:$F$32,2,FALSE))&lt;test!$K$16,$A68&lt;&gt;AA$1,Recharged_Feasible_mat!AB37=1),(VLOOKUP(AA$1,test!$A$3:$I$32,8,FALSE))-(VLOOKUP($A68,test!$A$3:$I$32,9,FALSE))+test!$B$34,0)</f>
        <v>0</v>
      </c>
      <c r="AB68">
        <f>IF(AND(SUM(VLOOKUP($A68,test!$A$3:$F$32,2,FALSE),VLOOKUP(AB$1,test!$A$3:$F$32,2,FALSE))&lt;test!$K$16,$A68&lt;&gt;AB$1,Recharged_Feasible_mat!AC37=1),(VLOOKUP(AB$1,test!$A$3:$I$32,8,FALSE))-(VLOOKUP($A68,test!$A$3:$I$32,9,FALSE))+test!$B$34,0)</f>
        <v>0</v>
      </c>
      <c r="AC68">
        <f>IF(AND(SUM(VLOOKUP($A68,test!$A$3:$F$32,2,FALSE),VLOOKUP(AC$1,test!$A$3:$F$32,2,FALSE))&lt;test!$K$16,$A68&lt;&gt;AC$1,Recharged_Feasible_mat!AD37=1),(VLOOKUP(AC$1,test!$A$3:$I$32,8,FALSE))-(VLOOKUP($A68,test!$A$3:$I$32,9,FALSE))+test!$B$34,0)</f>
        <v>0</v>
      </c>
      <c r="AD68">
        <f>IF(AND(SUM(VLOOKUP($A68,test!$A$3:$F$32,2,FALSE),VLOOKUP(AD$1,test!$A$3:$F$32,2,FALSE))&lt;test!$K$16,$A68&lt;&gt;AD$1,Recharged_Feasible_mat!AE37=1),(VLOOKUP(AD$1,test!$A$3:$I$32,8,FALSE))-(VLOOKUP($A68,test!$A$3:$I$32,9,FALSE))+test!$B$34,0)</f>
        <v>0</v>
      </c>
      <c r="AE68">
        <f>IF(AND(SUM(VLOOKUP($A68,test!$A$3:$F$32,2,FALSE),VLOOKUP(AE$1,test!$A$3:$F$32,2,FALSE))&lt;test!$K$16,$A68&lt;&gt;AE$1,Recharged_Feasible_mat!AF37=1),(VLOOKUP(AE$1,test!$A$3:$I$32,8,FALSE))-(VLOOKUP($A68,test!$A$3:$I$32,9,FALSE))+test!$B$34,0)</f>
        <v>0</v>
      </c>
      <c r="AF68">
        <f>IF(AND(SUM(VLOOKUP($A68,test!$A$3:$F$32,2,FALSE),VLOOKUP(AF$1,test!$A$3:$F$32,2,FALSE))&lt;test!$K$16,$A68&lt;&gt;AF$1,Recharged_Feasible_mat!AG37=1),(VLOOKUP(AF$1,test!$A$3:$I$32,8,FALSE))-(VLOOKUP($A68,test!$A$3:$I$32,9,FALSE))+test!$B$34,0)</f>
        <v>0</v>
      </c>
    </row>
    <row r="69" spans="1:32" x14ac:dyDescent="0.25">
      <c r="A69" t="s">
        <v>12</v>
      </c>
      <c r="B69">
        <v>0</v>
      </c>
      <c r="C69">
        <f>IF(AND(SUM(VLOOKUP($A69,test!$A$3:$F$32,2,FALSE),VLOOKUP(C$1,test!$A$3:$F$32,2,FALSE))&lt;test!$K$16,$A69&lt;&gt;C$1,Recharged_Feasible_mat!D38=1),(VLOOKUP(C$1,test!$A$3:$I$32,8,FALSE))-(VLOOKUP($A69,test!$A$3:$I$32,9,FALSE))+test!$B$34,0)</f>
        <v>0</v>
      </c>
      <c r="D69">
        <f>IF(AND(SUM(VLOOKUP($A69,test!$A$3:$F$32,2,FALSE),VLOOKUP(D$1,test!$A$3:$F$32,2,FALSE))&lt;test!$K$16,$A69&lt;&gt;D$1,Recharged_Feasible_mat!E38=1),(VLOOKUP(D$1,test!$A$3:$I$32,8,FALSE))-(VLOOKUP($A69,test!$A$3:$I$32,9,FALSE))+test!$B$34,0)</f>
        <v>0</v>
      </c>
      <c r="E69">
        <f>IF(AND(SUM(VLOOKUP($A69,test!$A$3:$F$32,2,FALSE),VLOOKUP(E$1,test!$A$3:$F$32,2,FALSE))&lt;test!$K$16,$A69&lt;&gt;E$1,Recharged_Feasible_mat!F38=1),(VLOOKUP(E$1,test!$A$3:$I$32,8,FALSE))-(VLOOKUP($A69,test!$A$3:$I$32,9,FALSE))+test!$B$34,0)</f>
        <v>0</v>
      </c>
      <c r="F69">
        <f>IF(AND(SUM(VLOOKUP($A69,test!$A$3:$F$32,2,FALSE),VLOOKUP(F$1,test!$A$3:$F$32,2,FALSE))&lt;test!$K$16,$A69&lt;&gt;F$1,Recharged_Feasible_mat!G38=1),(VLOOKUP(F$1,test!$A$3:$I$32,8,FALSE))-(VLOOKUP($A69,test!$A$3:$I$32,9,FALSE))+test!$B$34,0)</f>
        <v>0</v>
      </c>
      <c r="G69">
        <f>IF(AND(SUM(VLOOKUP($A69,test!$A$3:$F$32,2,FALSE),VLOOKUP(G$1,test!$A$3:$F$32,2,FALSE))&lt;test!$K$16,$A69&lt;&gt;G$1,Recharged_Feasible_mat!H38=1),(VLOOKUP(G$1,test!$A$3:$I$32,8,FALSE))-(VLOOKUP($A69,test!$A$3:$I$32,9,FALSE))+test!$B$34,0)</f>
        <v>0</v>
      </c>
      <c r="H69">
        <f>IF(AND(SUM(VLOOKUP($A69,test!$A$3:$F$32,2,FALSE),VLOOKUP(H$1,test!$A$3:$F$32,2,FALSE))&lt;test!$K$16,$A69&lt;&gt;H$1,Recharged_Feasible_mat!I38=1),(VLOOKUP(H$1,test!$A$3:$I$32,8,FALSE))-(VLOOKUP($A69,test!$A$3:$I$32,9,FALSE))+test!$B$34,0)</f>
        <v>0</v>
      </c>
      <c r="I69">
        <f>IF(AND(SUM(VLOOKUP($A69,test!$A$3:$F$32,2,FALSE),VLOOKUP(I$1,test!$A$3:$F$32,2,FALSE))&lt;test!$K$16,$A69&lt;&gt;I$1,Recharged_Feasible_mat!J38=1),(VLOOKUP(I$1,test!$A$3:$I$32,8,FALSE))-(VLOOKUP($A69,test!$A$3:$I$32,9,FALSE))+test!$B$34,0)</f>
        <v>0</v>
      </c>
      <c r="J69">
        <f>IF(AND(SUM(VLOOKUP($A69,test!$A$3:$F$32,2,FALSE),VLOOKUP(J$1,test!$A$3:$F$32,2,FALSE))&lt;test!$K$16,$A69&lt;&gt;J$1,Recharged_Feasible_mat!K38=1),(VLOOKUP(J$1,test!$A$3:$I$32,8,FALSE))-(VLOOKUP($A69,test!$A$3:$I$32,9,FALSE))+test!$B$34,0)</f>
        <v>0</v>
      </c>
      <c r="K69">
        <f>IF(AND(SUM(VLOOKUP($A69,test!$A$3:$F$32,2,FALSE),VLOOKUP(K$1,test!$A$3:$F$32,2,FALSE))&lt;test!$K$16,$A69&lt;&gt;K$1,Recharged_Feasible_mat!L38=1),(VLOOKUP(K$1,test!$A$3:$I$32,8,FALSE))-(VLOOKUP($A69,test!$A$3:$I$32,9,FALSE))+test!$B$34,0)</f>
        <v>0</v>
      </c>
      <c r="L69">
        <f>IF(AND(SUM(VLOOKUP($A69,test!$A$3:$F$32,2,FALSE),VLOOKUP(L$1,test!$A$3:$F$32,2,FALSE))&lt;test!$K$16,$A69&lt;&gt;L$1,Recharged_Feasible_mat!M38=1),(VLOOKUP(L$1,test!$A$3:$I$32,8,FALSE))-(VLOOKUP($A69,test!$A$3:$I$32,9,FALSE))+test!$B$34,0)</f>
        <v>0</v>
      </c>
      <c r="M69">
        <f>IF(AND(SUM(VLOOKUP($A69,test!$A$3:$F$32,2,FALSE),VLOOKUP(M$1,test!$A$3:$F$32,2,FALSE))&lt;test!$K$16,$A69&lt;&gt;M$1,Recharged_Feasible_mat!N38=1),(VLOOKUP(M$1,test!$A$3:$I$32,8,FALSE))-(VLOOKUP($A69,test!$A$3:$I$32,9,FALSE))+test!$B$34,0)</f>
        <v>0</v>
      </c>
      <c r="N69">
        <f>IF(AND(SUM(VLOOKUP($A69,test!$A$3:$F$32,2,FALSE),VLOOKUP(N$1,test!$A$3:$F$32,2,FALSE))&lt;test!$K$16,$A69&lt;&gt;N$1,Recharged_Feasible_mat!O38=1),(VLOOKUP(N$1,test!$A$3:$I$32,8,FALSE))-(VLOOKUP($A69,test!$A$3:$I$32,9,FALSE))+test!$B$34,0)</f>
        <v>0</v>
      </c>
      <c r="O69">
        <f>IF(AND(SUM(VLOOKUP($A69,test!$A$3:$F$32,2,FALSE),VLOOKUP(O$1,test!$A$3:$F$32,2,FALSE))&lt;test!$K$16,$A69&lt;&gt;O$1,Recharged_Feasible_mat!P38=1),(VLOOKUP(O$1,test!$A$3:$I$32,8,FALSE))-(VLOOKUP($A69,test!$A$3:$I$32,9,FALSE))+test!$B$34,0)</f>
        <v>0</v>
      </c>
      <c r="P69">
        <f>IF(AND(SUM(VLOOKUP($A69,test!$A$3:$F$32,2,FALSE),VLOOKUP(P$1,test!$A$3:$F$32,2,FALSE))&lt;test!$K$16,$A69&lt;&gt;P$1,Recharged_Feasible_mat!Q38=1),(VLOOKUP(P$1,test!$A$3:$I$32,8,FALSE))-(VLOOKUP($A69,test!$A$3:$I$32,9,FALSE))+test!$B$34,0)</f>
        <v>0</v>
      </c>
      <c r="Q69">
        <f>IF(AND(SUM(VLOOKUP($A69,test!$A$3:$F$32,2,FALSE),VLOOKUP(Q$1,test!$A$3:$F$32,2,FALSE))&lt;test!$K$16,$A69&lt;&gt;Q$1,Recharged_Feasible_mat!R38=1),(VLOOKUP(Q$1,test!$A$3:$I$32,8,FALSE))-(VLOOKUP($A69,test!$A$3:$I$32,9,FALSE))+test!$B$34,0)</f>
        <v>0</v>
      </c>
      <c r="R69">
        <f>IF(AND(SUM(VLOOKUP($A69,test!$A$3:$F$32,2,FALSE),VLOOKUP(R$1,test!$A$3:$F$32,2,FALSE))&lt;test!$K$16,$A69&lt;&gt;R$1,Recharged_Feasible_mat!S38=1),(VLOOKUP(R$1,test!$A$3:$I$32,8,FALSE))-(VLOOKUP($A69,test!$A$3:$I$32,9,FALSE))+test!$B$34,0)</f>
        <v>0</v>
      </c>
      <c r="S69">
        <f>IF(AND(SUM(VLOOKUP($A69,test!$A$3:$F$32,2,FALSE),VLOOKUP(S$1,test!$A$3:$F$32,2,FALSE))&lt;test!$K$16,$A69&lt;&gt;S$1,Recharged_Feasible_mat!T38=1),(VLOOKUP(S$1,test!$A$3:$I$32,8,FALSE))-(VLOOKUP($A69,test!$A$3:$I$32,9,FALSE))+test!$B$34,0)</f>
        <v>0</v>
      </c>
      <c r="T69">
        <f>IF(AND(SUM(VLOOKUP($A69,test!$A$3:$F$32,2,FALSE),VLOOKUP(T$1,test!$A$3:$F$32,2,FALSE))&lt;test!$K$16,$A69&lt;&gt;T$1,Recharged_Feasible_mat!U38=1),(VLOOKUP(T$1,test!$A$3:$I$32,8,FALSE))-(VLOOKUP($A69,test!$A$3:$I$32,9,FALSE))+test!$B$34,0)</f>
        <v>0</v>
      </c>
      <c r="U69">
        <f>IF(AND(SUM(VLOOKUP($A69,test!$A$3:$F$32,2,FALSE),VLOOKUP(U$1,test!$A$3:$F$32,2,FALSE))&lt;test!$K$16,$A69&lt;&gt;U$1,Recharged_Feasible_mat!V38=1),(VLOOKUP(U$1,test!$A$3:$I$32,8,FALSE))-(VLOOKUP($A69,test!$A$3:$I$32,9,FALSE))+test!$B$34,0)</f>
        <v>0</v>
      </c>
      <c r="V69">
        <f>IF(AND(SUM(VLOOKUP($A69,test!$A$3:$F$32,2,FALSE),VLOOKUP(V$1,test!$A$3:$F$32,2,FALSE))&lt;test!$K$16,$A69&lt;&gt;V$1,Recharged_Feasible_mat!W38=1),(VLOOKUP(V$1,test!$A$3:$I$32,8,FALSE))-(VLOOKUP($A69,test!$A$3:$I$32,9,FALSE))+test!$B$34,0)</f>
        <v>0</v>
      </c>
      <c r="W69">
        <f>IF(AND(SUM(VLOOKUP($A69,test!$A$3:$F$32,2,FALSE),VLOOKUP(W$1,test!$A$3:$F$32,2,FALSE))&lt;test!$K$16,$A69&lt;&gt;W$1,Recharged_Feasible_mat!X38=1),(VLOOKUP(W$1,test!$A$3:$I$32,8,FALSE))-(VLOOKUP($A69,test!$A$3:$I$32,9,FALSE))+test!$B$34,0)</f>
        <v>0</v>
      </c>
      <c r="X69">
        <f>IF(AND(SUM(VLOOKUP($A69,test!$A$3:$F$32,2,FALSE),VLOOKUP(X$1,test!$A$3:$F$32,2,FALSE))&lt;test!$K$16,$A69&lt;&gt;X$1,Recharged_Feasible_mat!Y38=1),(VLOOKUP(X$1,test!$A$3:$I$32,8,FALSE))-(VLOOKUP($A69,test!$A$3:$I$32,9,FALSE))+test!$B$34,0)</f>
        <v>0</v>
      </c>
      <c r="Y69">
        <f>IF(AND(SUM(VLOOKUP($A69,test!$A$3:$F$32,2,FALSE),VLOOKUP(Y$1,test!$A$3:$F$32,2,FALSE))&lt;test!$K$16,$A69&lt;&gt;Y$1,Recharged_Feasible_mat!Z38=1),(VLOOKUP(Y$1,test!$A$3:$I$32,8,FALSE))-(VLOOKUP($A69,test!$A$3:$I$32,9,FALSE))+test!$B$34,0)</f>
        <v>0</v>
      </c>
      <c r="Z69">
        <f>IF(AND(SUM(VLOOKUP($A69,test!$A$3:$F$32,2,FALSE),VLOOKUP(Z$1,test!$A$3:$F$32,2,FALSE))&lt;test!$K$16,$A69&lt;&gt;Z$1,Recharged_Feasible_mat!AA38=1),(VLOOKUP(Z$1,test!$A$3:$I$32,8,FALSE))-(VLOOKUP($A69,test!$A$3:$I$32,9,FALSE))+test!$B$34,0)</f>
        <v>0</v>
      </c>
      <c r="AA69">
        <f>IF(AND(SUM(VLOOKUP($A69,test!$A$3:$F$32,2,FALSE),VLOOKUP(AA$1,test!$A$3:$F$32,2,FALSE))&lt;test!$K$16,$A69&lt;&gt;AA$1,Recharged_Feasible_mat!AB38=1),(VLOOKUP(AA$1,test!$A$3:$I$32,8,FALSE))-(VLOOKUP($A69,test!$A$3:$I$32,9,FALSE))+test!$B$34,0)</f>
        <v>0</v>
      </c>
      <c r="AB69">
        <f>IF(AND(SUM(VLOOKUP($A69,test!$A$3:$F$32,2,FALSE),VLOOKUP(AB$1,test!$A$3:$F$32,2,FALSE))&lt;test!$K$16,$A69&lt;&gt;AB$1,Recharged_Feasible_mat!AC38=1),(VLOOKUP(AB$1,test!$A$3:$I$32,8,FALSE))-(VLOOKUP($A69,test!$A$3:$I$32,9,FALSE))+test!$B$34,0)</f>
        <v>0</v>
      </c>
      <c r="AC69">
        <f>IF(AND(SUM(VLOOKUP($A69,test!$A$3:$F$32,2,FALSE),VLOOKUP(AC$1,test!$A$3:$F$32,2,FALSE))&lt;test!$K$16,$A69&lt;&gt;AC$1,Recharged_Feasible_mat!AD38=1),(VLOOKUP(AC$1,test!$A$3:$I$32,8,FALSE))-(VLOOKUP($A69,test!$A$3:$I$32,9,FALSE))+test!$B$34,0)</f>
        <v>0</v>
      </c>
      <c r="AD69">
        <f>IF(AND(SUM(VLOOKUP($A69,test!$A$3:$F$32,2,FALSE),VLOOKUP(AD$1,test!$A$3:$F$32,2,FALSE))&lt;test!$K$16,$A69&lt;&gt;AD$1,Recharged_Feasible_mat!AE38=1),(VLOOKUP(AD$1,test!$A$3:$I$32,8,FALSE))-(VLOOKUP($A69,test!$A$3:$I$32,9,FALSE))+test!$B$34,0)</f>
        <v>0</v>
      </c>
      <c r="AE69">
        <f>IF(AND(SUM(VLOOKUP($A69,test!$A$3:$F$32,2,FALSE),VLOOKUP(AE$1,test!$A$3:$F$32,2,FALSE))&lt;test!$K$16,$A69&lt;&gt;AE$1,Recharged_Feasible_mat!AF38=1),(VLOOKUP(AE$1,test!$A$3:$I$32,8,FALSE))-(VLOOKUP($A69,test!$A$3:$I$32,9,FALSE))+test!$B$34,0)</f>
        <v>0</v>
      </c>
      <c r="AF69">
        <f>IF(AND(SUM(VLOOKUP($A69,test!$A$3:$F$32,2,FALSE),VLOOKUP(AF$1,test!$A$3:$F$32,2,FALSE))&lt;test!$K$16,$A69&lt;&gt;AF$1,Recharged_Feasible_mat!AG38=1),(VLOOKUP(AF$1,test!$A$3:$I$32,8,FALSE))-(VLOOKUP($A69,test!$A$3:$I$32,9,FALSE))+test!$B$34,0)</f>
        <v>0</v>
      </c>
    </row>
    <row r="70" spans="1:32" x14ac:dyDescent="0.25">
      <c r="A70" t="s">
        <v>13</v>
      </c>
      <c r="B70">
        <v>0</v>
      </c>
      <c r="C70">
        <f>IF(AND(SUM(VLOOKUP($A70,test!$A$3:$F$32,2,FALSE),VLOOKUP(C$1,test!$A$3:$F$32,2,FALSE))&lt;test!$K$16,$A70&lt;&gt;C$1,Recharged_Feasible_mat!D39=1),(VLOOKUP(C$1,test!$A$3:$I$32,8,FALSE))-(VLOOKUP($A70,test!$A$3:$I$32,9,FALSE))+test!$B$34,0)</f>
        <v>0</v>
      </c>
      <c r="D70">
        <f>IF(AND(SUM(VLOOKUP($A70,test!$A$3:$F$32,2,FALSE),VLOOKUP(D$1,test!$A$3:$F$32,2,FALSE))&lt;test!$K$16,$A70&lt;&gt;D$1,Recharged_Feasible_mat!E39=1),(VLOOKUP(D$1,test!$A$3:$I$32,8,FALSE))-(VLOOKUP($A70,test!$A$3:$I$32,9,FALSE))+test!$B$34,0)</f>
        <v>0</v>
      </c>
      <c r="E70">
        <f>IF(AND(SUM(VLOOKUP($A70,test!$A$3:$F$32,2,FALSE),VLOOKUP(E$1,test!$A$3:$F$32,2,FALSE))&lt;test!$K$16,$A70&lt;&gt;E$1,Recharged_Feasible_mat!F39=1),(VLOOKUP(E$1,test!$A$3:$I$32,8,FALSE))-(VLOOKUP($A70,test!$A$3:$I$32,9,FALSE))+test!$B$34,0)</f>
        <v>0</v>
      </c>
      <c r="F70">
        <f>IF(AND(SUM(VLOOKUP($A70,test!$A$3:$F$32,2,FALSE),VLOOKUP(F$1,test!$A$3:$F$32,2,FALSE))&lt;test!$K$16,$A70&lt;&gt;F$1,Recharged_Feasible_mat!G39=1),(VLOOKUP(F$1,test!$A$3:$I$32,8,FALSE))-(VLOOKUP($A70,test!$A$3:$I$32,9,FALSE))+test!$B$34,0)</f>
        <v>0</v>
      </c>
      <c r="G70">
        <f>IF(AND(SUM(VLOOKUP($A70,test!$A$3:$F$32,2,FALSE),VLOOKUP(G$1,test!$A$3:$F$32,2,FALSE))&lt;test!$K$16,$A70&lt;&gt;G$1,Recharged_Feasible_mat!H39=1),(VLOOKUP(G$1,test!$A$3:$I$32,8,FALSE))-(VLOOKUP($A70,test!$A$3:$I$32,9,FALSE))+test!$B$34,0)</f>
        <v>0</v>
      </c>
      <c r="H70">
        <f>IF(AND(SUM(VLOOKUP($A70,test!$A$3:$F$32,2,FALSE),VLOOKUP(H$1,test!$A$3:$F$32,2,FALSE))&lt;test!$K$16,$A70&lt;&gt;H$1,Recharged_Feasible_mat!I39=1),(VLOOKUP(H$1,test!$A$3:$I$32,8,FALSE))-(VLOOKUP($A70,test!$A$3:$I$32,9,FALSE))+test!$B$34,0)</f>
        <v>0</v>
      </c>
      <c r="I70">
        <f>IF(AND(SUM(VLOOKUP($A70,test!$A$3:$F$32,2,FALSE),VLOOKUP(I$1,test!$A$3:$F$32,2,FALSE))&lt;test!$K$16,$A70&lt;&gt;I$1,Recharged_Feasible_mat!J39=1),(VLOOKUP(I$1,test!$A$3:$I$32,8,FALSE))-(VLOOKUP($A70,test!$A$3:$I$32,9,FALSE))+test!$B$34,0)</f>
        <v>0</v>
      </c>
      <c r="J70">
        <f>IF(AND(SUM(VLOOKUP($A70,test!$A$3:$F$32,2,FALSE),VLOOKUP(J$1,test!$A$3:$F$32,2,FALSE))&lt;test!$K$16,$A70&lt;&gt;J$1,Recharged_Feasible_mat!K39=1),(VLOOKUP(J$1,test!$A$3:$I$32,8,FALSE))-(VLOOKUP($A70,test!$A$3:$I$32,9,FALSE))+test!$B$34,0)</f>
        <v>0</v>
      </c>
      <c r="K70">
        <f>IF(AND(SUM(VLOOKUP($A70,test!$A$3:$F$32,2,FALSE),VLOOKUP(K$1,test!$A$3:$F$32,2,FALSE))&lt;test!$K$16,$A70&lt;&gt;K$1,Recharged_Feasible_mat!L39=1),(VLOOKUP(K$1,test!$A$3:$I$32,8,FALSE))-(VLOOKUP($A70,test!$A$3:$I$32,9,FALSE))+test!$B$34,0)</f>
        <v>0</v>
      </c>
      <c r="L70">
        <f>IF(AND(SUM(VLOOKUP($A70,test!$A$3:$F$32,2,FALSE),VLOOKUP(L$1,test!$A$3:$F$32,2,FALSE))&lt;test!$K$16,$A70&lt;&gt;L$1,Recharged_Feasible_mat!M39=1),(VLOOKUP(L$1,test!$A$3:$I$32,8,FALSE))-(VLOOKUP($A70,test!$A$3:$I$32,9,FALSE))+test!$B$34,0)</f>
        <v>0</v>
      </c>
      <c r="M70">
        <f>IF(AND(SUM(VLOOKUP($A70,test!$A$3:$F$32,2,FALSE),VLOOKUP(M$1,test!$A$3:$F$32,2,FALSE))&lt;test!$K$16,$A70&lt;&gt;M$1,Recharged_Feasible_mat!N39=1),(VLOOKUP(M$1,test!$A$3:$I$32,8,FALSE))-(VLOOKUP($A70,test!$A$3:$I$32,9,FALSE))+test!$B$34,0)</f>
        <v>0</v>
      </c>
      <c r="N70">
        <f>IF(AND(SUM(VLOOKUP($A70,test!$A$3:$F$32,2,FALSE),VLOOKUP(N$1,test!$A$3:$F$32,2,FALSE))&lt;test!$K$16,$A70&lt;&gt;N$1,Recharged_Feasible_mat!O39=1),(VLOOKUP(N$1,test!$A$3:$I$32,8,FALSE))-(VLOOKUP($A70,test!$A$3:$I$32,9,FALSE))+test!$B$34,0)</f>
        <v>0</v>
      </c>
      <c r="O70">
        <f>IF(AND(SUM(VLOOKUP($A70,test!$A$3:$F$32,2,FALSE),VLOOKUP(O$1,test!$A$3:$F$32,2,FALSE))&lt;test!$K$16,$A70&lt;&gt;O$1,Recharged_Feasible_mat!P39=1),(VLOOKUP(O$1,test!$A$3:$I$32,8,FALSE))-(VLOOKUP($A70,test!$A$3:$I$32,9,FALSE))+test!$B$34,0)</f>
        <v>0</v>
      </c>
      <c r="P70">
        <f>IF(AND(SUM(VLOOKUP($A70,test!$A$3:$F$32,2,FALSE),VLOOKUP(P$1,test!$A$3:$F$32,2,FALSE))&lt;test!$K$16,$A70&lt;&gt;P$1,Recharged_Feasible_mat!Q39=1),(VLOOKUP(P$1,test!$A$3:$I$32,8,FALSE))-(VLOOKUP($A70,test!$A$3:$I$32,9,FALSE))+test!$B$34,0)</f>
        <v>0</v>
      </c>
      <c r="Q70">
        <f>IF(AND(SUM(VLOOKUP($A70,test!$A$3:$F$32,2,FALSE),VLOOKUP(Q$1,test!$A$3:$F$32,2,FALSE))&lt;test!$K$16,$A70&lt;&gt;Q$1,Recharged_Feasible_mat!R39=1),(VLOOKUP(Q$1,test!$A$3:$I$32,8,FALSE))-(VLOOKUP($A70,test!$A$3:$I$32,9,FALSE))+test!$B$34,0)</f>
        <v>0</v>
      </c>
      <c r="R70">
        <f>IF(AND(SUM(VLOOKUP($A70,test!$A$3:$F$32,2,FALSE),VLOOKUP(R$1,test!$A$3:$F$32,2,FALSE))&lt;test!$K$16,$A70&lt;&gt;R$1,Recharged_Feasible_mat!S39=1),(VLOOKUP(R$1,test!$A$3:$I$32,8,FALSE))-(VLOOKUP($A70,test!$A$3:$I$32,9,FALSE))+test!$B$34,0)</f>
        <v>0</v>
      </c>
      <c r="S70">
        <f>IF(AND(SUM(VLOOKUP($A70,test!$A$3:$F$32,2,FALSE),VLOOKUP(S$1,test!$A$3:$F$32,2,FALSE))&lt;test!$K$16,$A70&lt;&gt;S$1,Recharged_Feasible_mat!T39=1),(VLOOKUP(S$1,test!$A$3:$I$32,8,FALSE))-(VLOOKUP($A70,test!$A$3:$I$32,9,FALSE))+test!$B$34,0)</f>
        <v>0</v>
      </c>
      <c r="T70">
        <f>IF(AND(SUM(VLOOKUP($A70,test!$A$3:$F$32,2,FALSE),VLOOKUP(T$1,test!$A$3:$F$32,2,FALSE))&lt;test!$K$16,$A70&lt;&gt;T$1,Recharged_Feasible_mat!U39=1),(VLOOKUP(T$1,test!$A$3:$I$32,8,FALSE))-(VLOOKUP($A70,test!$A$3:$I$32,9,FALSE))+test!$B$34,0)</f>
        <v>0</v>
      </c>
      <c r="U70">
        <f>IF(AND(SUM(VLOOKUP($A70,test!$A$3:$F$32,2,FALSE),VLOOKUP(U$1,test!$A$3:$F$32,2,FALSE))&lt;test!$K$16,$A70&lt;&gt;U$1,Recharged_Feasible_mat!V39=1),(VLOOKUP(U$1,test!$A$3:$I$32,8,FALSE))-(VLOOKUP($A70,test!$A$3:$I$32,9,FALSE))+test!$B$34,0)</f>
        <v>0</v>
      </c>
      <c r="V70">
        <f>IF(AND(SUM(VLOOKUP($A70,test!$A$3:$F$32,2,FALSE),VLOOKUP(V$1,test!$A$3:$F$32,2,FALSE))&lt;test!$K$16,$A70&lt;&gt;V$1,Recharged_Feasible_mat!W39=1),(VLOOKUP(V$1,test!$A$3:$I$32,8,FALSE))-(VLOOKUP($A70,test!$A$3:$I$32,9,FALSE))+test!$B$34,0)</f>
        <v>0</v>
      </c>
      <c r="W70">
        <f>IF(AND(SUM(VLOOKUP($A70,test!$A$3:$F$32,2,FALSE),VLOOKUP(W$1,test!$A$3:$F$32,2,FALSE))&lt;test!$K$16,$A70&lt;&gt;W$1,Recharged_Feasible_mat!X39=1),(VLOOKUP(W$1,test!$A$3:$I$32,8,FALSE))-(VLOOKUP($A70,test!$A$3:$I$32,9,FALSE))+test!$B$34,0)</f>
        <v>0</v>
      </c>
      <c r="X70">
        <f>IF(AND(SUM(VLOOKUP($A70,test!$A$3:$F$32,2,FALSE),VLOOKUP(X$1,test!$A$3:$F$32,2,FALSE))&lt;test!$K$16,$A70&lt;&gt;X$1,Recharged_Feasible_mat!Y39=1),(VLOOKUP(X$1,test!$A$3:$I$32,8,FALSE))-(VLOOKUP($A70,test!$A$3:$I$32,9,FALSE))+test!$B$34,0)</f>
        <v>0</v>
      </c>
      <c r="Y70">
        <f>IF(AND(SUM(VLOOKUP($A70,test!$A$3:$F$32,2,FALSE),VLOOKUP(Y$1,test!$A$3:$F$32,2,FALSE))&lt;test!$K$16,$A70&lt;&gt;Y$1,Recharged_Feasible_mat!Z39=1),(VLOOKUP(Y$1,test!$A$3:$I$32,8,FALSE))-(VLOOKUP($A70,test!$A$3:$I$32,9,FALSE))+test!$B$34,0)</f>
        <v>0</v>
      </c>
      <c r="Z70">
        <f>IF(AND(SUM(VLOOKUP($A70,test!$A$3:$F$32,2,FALSE),VLOOKUP(Z$1,test!$A$3:$F$32,2,FALSE))&lt;test!$K$16,$A70&lt;&gt;Z$1,Recharged_Feasible_mat!AA39=1),(VLOOKUP(Z$1,test!$A$3:$I$32,8,FALSE))-(VLOOKUP($A70,test!$A$3:$I$32,9,FALSE))+test!$B$34,0)</f>
        <v>0</v>
      </c>
      <c r="AA70">
        <f>IF(AND(SUM(VLOOKUP($A70,test!$A$3:$F$32,2,FALSE),VLOOKUP(AA$1,test!$A$3:$F$32,2,FALSE))&lt;test!$K$16,$A70&lt;&gt;AA$1,Recharged_Feasible_mat!AB39=1),(VLOOKUP(AA$1,test!$A$3:$I$32,8,FALSE))-(VLOOKUP($A70,test!$A$3:$I$32,9,FALSE))+test!$B$34,0)</f>
        <v>0</v>
      </c>
      <c r="AB70">
        <f>IF(AND(SUM(VLOOKUP($A70,test!$A$3:$F$32,2,FALSE),VLOOKUP(AB$1,test!$A$3:$F$32,2,FALSE))&lt;test!$K$16,$A70&lt;&gt;AB$1,Recharged_Feasible_mat!AC39=1),(VLOOKUP(AB$1,test!$A$3:$I$32,8,FALSE))-(VLOOKUP($A70,test!$A$3:$I$32,9,FALSE))+test!$B$34,0)</f>
        <v>0</v>
      </c>
      <c r="AC70">
        <f>IF(AND(SUM(VLOOKUP($A70,test!$A$3:$F$32,2,FALSE),VLOOKUP(AC$1,test!$A$3:$F$32,2,FALSE))&lt;test!$K$16,$A70&lt;&gt;AC$1,Recharged_Feasible_mat!AD39=1),(VLOOKUP(AC$1,test!$A$3:$I$32,8,FALSE))-(VLOOKUP($A70,test!$A$3:$I$32,9,FALSE))+test!$B$34,0)</f>
        <v>0</v>
      </c>
      <c r="AD70">
        <f>IF(AND(SUM(VLOOKUP($A70,test!$A$3:$F$32,2,FALSE),VLOOKUP(AD$1,test!$A$3:$F$32,2,FALSE))&lt;test!$K$16,$A70&lt;&gt;AD$1,Recharged_Feasible_mat!AE39=1),(VLOOKUP(AD$1,test!$A$3:$I$32,8,FALSE))-(VLOOKUP($A70,test!$A$3:$I$32,9,FALSE))+test!$B$34,0)</f>
        <v>0</v>
      </c>
      <c r="AE70">
        <f>IF(AND(SUM(VLOOKUP($A70,test!$A$3:$F$32,2,FALSE),VLOOKUP(AE$1,test!$A$3:$F$32,2,FALSE))&lt;test!$K$16,$A70&lt;&gt;AE$1,Recharged_Feasible_mat!AF39=1),(VLOOKUP(AE$1,test!$A$3:$I$32,8,FALSE))-(VLOOKUP($A70,test!$A$3:$I$32,9,FALSE))+test!$B$34,0)</f>
        <v>0</v>
      </c>
      <c r="AF70">
        <f>IF(AND(SUM(VLOOKUP($A70,test!$A$3:$F$32,2,FALSE),VLOOKUP(AF$1,test!$A$3:$F$32,2,FALSE))&lt;test!$K$16,$A70&lt;&gt;AF$1,Recharged_Feasible_mat!AG39=1),(VLOOKUP(AF$1,test!$A$3:$I$32,8,FALSE))-(VLOOKUP($A70,test!$A$3:$I$32,9,FALSE))+test!$B$34,0)</f>
        <v>0</v>
      </c>
    </row>
    <row r="71" spans="1:32" x14ac:dyDescent="0.25">
      <c r="A71" t="s">
        <v>14</v>
      </c>
      <c r="B71">
        <v>0</v>
      </c>
      <c r="C71">
        <f>IF(AND(SUM(VLOOKUP($A71,test!$A$3:$F$32,2,FALSE),VLOOKUP(C$1,test!$A$3:$F$32,2,FALSE))&lt;test!$K$16,$A71&lt;&gt;C$1,Recharged_Feasible_mat!D40=1),(VLOOKUP(C$1,test!$A$3:$I$32,8,FALSE))-(VLOOKUP($A71,test!$A$3:$I$32,9,FALSE))+test!$B$34,0)</f>
        <v>0</v>
      </c>
      <c r="D71">
        <f>IF(AND(SUM(VLOOKUP($A71,test!$A$3:$F$32,2,FALSE),VLOOKUP(D$1,test!$A$3:$F$32,2,FALSE))&lt;test!$K$16,$A71&lt;&gt;D$1,Recharged_Feasible_mat!E40=1),(VLOOKUP(D$1,test!$A$3:$I$32,8,FALSE))-(VLOOKUP($A71,test!$A$3:$I$32,9,FALSE))+test!$B$34,0)</f>
        <v>0</v>
      </c>
      <c r="E71">
        <f>IF(AND(SUM(VLOOKUP($A71,test!$A$3:$F$32,2,FALSE),VLOOKUP(E$1,test!$A$3:$F$32,2,FALSE))&lt;test!$K$16,$A71&lt;&gt;E$1,Recharged_Feasible_mat!F40=1),(VLOOKUP(E$1,test!$A$3:$I$32,8,FALSE))-(VLOOKUP($A71,test!$A$3:$I$32,9,FALSE))+test!$B$34,0)</f>
        <v>0</v>
      </c>
      <c r="F71">
        <f>IF(AND(SUM(VLOOKUP($A71,test!$A$3:$F$32,2,FALSE),VLOOKUP(F$1,test!$A$3:$F$32,2,FALSE))&lt;test!$K$16,$A71&lt;&gt;F$1,Recharged_Feasible_mat!G40=1),(VLOOKUP(F$1,test!$A$3:$I$32,8,FALSE))-(VLOOKUP($A71,test!$A$3:$I$32,9,FALSE))+test!$B$34,0)</f>
        <v>0</v>
      </c>
      <c r="G71">
        <f>IF(AND(SUM(VLOOKUP($A71,test!$A$3:$F$32,2,FALSE),VLOOKUP(G$1,test!$A$3:$F$32,2,FALSE))&lt;test!$K$16,$A71&lt;&gt;G$1,Recharged_Feasible_mat!H40=1),(VLOOKUP(G$1,test!$A$3:$I$32,8,FALSE))-(VLOOKUP($A71,test!$A$3:$I$32,9,FALSE))+test!$B$34,0)</f>
        <v>0</v>
      </c>
      <c r="H71">
        <f>IF(AND(SUM(VLOOKUP($A71,test!$A$3:$F$32,2,FALSE),VLOOKUP(H$1,test!$A$3:$F$32,2,FALSE))&lt;test!$K$16,$A71&lt;&gt;H$1,Recharged_Feasible_mat!I40=1),(VLOOKUP(H$1,test!$A$3:$I$32,8,FALSE))-(VLOOKUP($A71,test!$A$3:$I$32,9,FALSE))+test!$B$34,0)</f>
        <v>0</v>
      </c>
      <c r="I71">
        <f>IF(AND(SUM(VLOOKUP($A71,test!$A$3:$F$32,2,FALSE),VLOOKUP(I$1,test!$A$3:$F$32,2,FALSE))&lt;test!$K$16,$A71&lt;&gt;I$1,Recharged_Feasible_mat!J40=1),(VLOOKUP(I$1,test!$A$3:$I$32,8,FALSE))-(VLOOKUP($A71,test!$A$3:$I$32,9,FALSE))+test!$B$34,0)</f>
        <v>0</v>
      </c>
      <c r="J71">
        <f>IF(AND(SUM(VLOOKUP($A71,test!$A$3:$F$32,2,FALSE),VLOOKUP(J$1,test!$A$3:$F$32,2,FALSE))&lt;test!$K$16,$A71&lt;&gt;J$1,Recharged_Feasible_mat!K40=1),(VLOOKUP(J$1,test!$A$3:$I$32,8,FALSE))-(VLOOKUP($A71,test!$A$3:$I$32,9,FALSE))+test!$B$34,0)</f>
        <v>0</v>
      </c>
      <c r="K71">
        <f>IF(AND(SUM(VLOOKUP($A71,test!$A$3:$F$32,2,FALSE),VLOOKUP(K$1,test!$A$3:$F$32,2,FALSE))&lt;test!$K$16,$A71&lt;&gt;K$1,Recharged_Feasible_mat!L40=1),(VLOOKUP(K$1,test!$A$3:$I$32,8,FALSE))-(VLOOKUP($A71,test!$A$3:$I$32,9,FALSE))+test!$B$34,0)</f>
        <v>0</v>
      </c>
      <c r="L71">
        <f>IF(AND(SUM(VLOOKUP($A71,test!$A$3:$F$32,2,FALSE),VLOOKUP(L$1,test!$A$3:$F$32,2,FALSE))&lt;test!$K$16,$A71&lt;&gt;L$1,Recharged_Feasible_mat!M40=1),(VLOOKUP(L$1,test!$A$3:$I$32,8,FALSE))-(VLOOKUP($A71,test!$A$3:$I$32,9,FALSE))+test!$B$34,0)</f>
        <v>0</v>
      </c>
      <c r="M71">
        <f>IF(AND(SUM(VLOOKUP($A71,test!$A$3:$F$32,2,FALSE),VLOOKUP(M$1,test!$A$3:$F$32,2,FALSE))&lt;test!$K$16,$A71&lt;&gt;M$1,Recharged_Feasible_mat!N40=1),(VLOOKUP(M$1,test!$A$3:$I$32,8,FALSE))-(VLOOKUP($A71,test!$A$3:$I$32,9,FALSE))+test!$B$34,0)</f>
        <v>0</v>
      </c>
      <c r="N71">
        <f>IF(AND(SUM(VLOOKUP($A71,test!$A$3:$F$32,2,FALSE),VLOOKUP(N$1,test!$A$3:$F$32,2,FALSE))&lt;test!$K$16,$A71&lt;&gt;N$1,Recharged_Feasible_mat!O40=1),(VLOOKUP(N$1,test!$A$3:$I$32,8,FALSE))-(VLOOKUP($A71,test!$A$3:$I$32,9,FALSE))+test!$B$34,0)</f>
        <v>0</v>
      </c>
      <c r="O71">
        <f>IF(AND(SUM(VLOOKUP($A71,test!$A$3:$F$32,2,FALSE),VLOOKUP(O$1,test!$A$3:$F$32,2,FALSE))&lt;test!$K$16,$A71&lt;&gt;O$1,Recharged_Feasible_mat!P40=1),(VLOOKUP(O$1,test!$A$3:$I$32,8,FALSE))-(VLOOKUP($A71,test!$A$3:$I$32,9,FALSE))+test!$B$34,0)</f>
        <v>0</v>
      </c>
      <c r="P71">
        <f>IF(AND(SUM(VLOOKUP($A71,test!$A$3:$F$32,2,FALSE),VLOOKUP(P$1,test!$A$3:$F$32,2,FALSE))&lt;test!$K$16,$A71&lt;&gt;P$1,Recharged_Feasible_mat!Q40=1),(VLOOKUP(P$1,test!$A$3:$I$32,8,FALSE))-(VLOOKUP($A71,test!$A$3:$I$32,9,FALSE))+test!$B$34,0)</f>
        <v>0</v>
      </c>
      <c r="Q71">
        <f>IF(AND(SUM(VLOOKUP($A71,test!$A$3:$F$32,2,FALSE),VLOOKUP(Q$1,test!$A$3:$F$32,2,FALSE))&lt;test!$K$16,$A71&lt;&gt;Q$1,Recharged_Feasible_mat!R40=1),(VLOOKUP(Q$1,test!$A$3:$I$32,8,FALSE))-(VLOOKUP($A71,test!$A$3:$I$32,9,FALSE))+test!$B$34,0)</f>
        <v>0</v>
      </c>
      <c r="R71">
        <f>IF(AND(SUM(VLOOKUP($A71,test!$A$3:$F$32,2,FALSE),VLOOKUP(R$1,test!$A$3:$F$32,2,FALSE))&lt;test!$K$16,$A71&lt;&gt;R$1,Recharged_Feasible_mat!S40=1),(VLOOKUP(R$1,test!$A$3:$I$32,8,FALSE))-(VLOOKUP($A71,test!$A$3:$I$32,9,FALSE))+test!$B$34,0)</f>
        <v>0</v>
      </c>
      <c r="S71">
        <f>IF(AND(SUM(VLOOKUP($A71,test!$A$3:$F$32,2,FALSE),VLOOKUP(S$1,test!$A$3:$F$32,2,FALSE))&lt;test!$K$16,$A71&lt;&gt;S$1,Recharged_Feasible_mat!T40=1),(VLOOKUP(S$1,test!$A$3:$I$32,8,FALSE))-(VLOOKUP($A71,test!$A$3:$I$32,9,FALSE))+test!$B$34,0)</f>
        <v>0</v>
      </c>
      <c r="T71">
        <f>IF(AND(SUM(VLOOKUP($A71,test!$A$3:$F$32,2,FALSE),VLOOKUP(T$1,test!$A$3:$F$32,2,FALSE))&lt;test!$K$16,$A71&lt;&gt;T$1,Recharged_Feasible_mat!U40=1),(VLOOKUP(T$1,test!$A$3:$I$32,8,FALSE))-(VLOOKUP($A71,test!$A$3:$I$32,9,FALSE))+test!$B$34,0)</f>
        <v>0</v>
      </c>
      <c r="U71">
        <f>IF(AND(SUM(VLOOKUP($A71,test!$A$3:$F$32,2,FALSE),VLOOKUP(U$1,test!$A$3:$F$32,2,FALSE))&lt;test!$K$16,$A71&lt;&gt;U$1,Recharged_Feasible_mat!V40=1),(VLOOKUP(U$1,test!$A$3:$I$32,8,FALSE))-(VLOOKUP($A71,test!$A$3:$I$32,9,FALSE))+test!$B$34,0)</f>
        <v>0</v>
      </c>
      <c r="V71">
        <f>IF(AND(SUM(VLOOKUP($A71,test!$A$3:$F$32,2,FALSE),VLOOKUP(V$1,test!$A$3:$F$32,2,FALSE))&lt;test!$K$16,$A71&lt;&gt;V$1,Recharged_Feasible_mat!W40=1),(VLOOKUP(V$1,test!$A$3:$I$32,8,FALSE))-(VLOOKUP($A71,test!$A$3:$I$32,9,FALSE))+test!$B$34,0)</f>
        <v>0</v>
      </c>
      <c r="W71">
        <f>IF(AND(SUM(VLOOKUP($A71,test!$A$3:$F$32,2,FALSE),VLOOKUP(W$1,test!$A$3:$F$32,2,FALSE))&lt;test!$K$16,$A71&lt;&gt;W$1,Recharged_Feasible_mat!X40=1),(VLOOKUP(W$1,test!$A$3:$I$32,8,FALSE))-(VLOOKUP($A71,test!$A$3:$I$32,9,FALSE))+test!$B$34,0)</f>
        <v>0</v>
      </c>
      <c r="X71">
        <f>IF(AND(SUM(VLOOKUP($A71,test!$A$3:$F$32,2,FALSE),VLOOKUP(X$1,test!$A$3:$F$32,2,FALSE))&lt;test!$K$16,$A71&lt;&gt;X$1,Recharged_Feasible_mat!Y40=1),(VLOOKUP(X$1,test!$A$3:$I$32,8,FALSE))-(VLOOKUP($A71,test!$A$3:$I$32,9,FALSE))+test!$B$34,0)</f>
        <v>0</v>
      </c>
      <c r="Y71">
        <f>IF(AND(SUM(VLOOKUP($A71,test!$A$3:$F$32,2,FALSE),VLOOKUP(Y$1,test!$A$3:$F$32,2,FALSE))&lt;test!$K$16,$A71&lt;&gt;Y$1,Recharged_Feasible_mat!Z40=1),(VLOOKUP(Y$1,test!$A$3:$I$32,8,FALSE))-(VLOOKUP($A71,test!$A$3:$I$32,9,FALSE))+test!$B$34,0)</f>
        <v>0</v>
      </c>
      <c r="Z71">
        <f>IF(AND(SUM(VLOOKUP($A71,test!$A$3:$F$32,2,FALSE),VLOOKUP(Z$1,test!$A$3:$F$32,2,FALSE))&lt;test!$K$16,$A71&lt;&gt;Z$1,Recharged_Feasible_mat!AA40=1),(VLOOKUP(Z$1,test!$A$3:$I$32,8,FALSE))-(VLOOKUP($A71,test!$A$3:$I$32,9,FALSE))+test!$B$34,0)</f>
        <v>0</v>
      </c>
      <c r="AA71">
        <f>IF(AND(SUM(VLOOKUP($A71,test!$A$3:$F$32,2,FALSE),VLOOKUP(AA$1,test!$A$3:$F$32,2,FALSE))&lt;test!$K$16,$A71&lt;&gt;AA$1,Recharged_Feasible_mat!AB40=1),(VLOOKUP(AA$1,test!$A$3:$I$32,8,FALSE))-(VLOOKUP($A71,test!$A$3:$I$32,9,FALSE))+test!$B$34,0)</f>
        <v>0</v>
      </c>
      <c r="AB71">
        <f>IF(AND(SUM(VLOOKUP($A71,test!$A$3:$F$32,2,FALSE),VLOOKUP(AB$1,test!$A$3:$F$32,2,FALSE))&lt;test!$K$16,$A71&lt;&gt;AB$1,Recharged_Feasible_mat!AC40=1),(VLOOKUP(AB$1,test!$A$3:$I$32,8,FALSE))-(VLOOKUP($A71,test!$A$3:$I$32,9,FALSE))+test!$B$34,0)</f>
        <v>0</v>
      </c>
      <c r="AC71">
        <f>IF(AND(SUM(VLOOKUP($A71,test!$A$3:$F$32,2,FALSE),VLOOKUP(AC$1,test!$A$3:$F$32,2,FALSE))&lt;test!$K$16,$A71&lt;&gt;AC$1,Recharged_Feasible_mat!AD40=1),(VLOOKUP(AC$1,test!$A$3:$I$32,8,FALSE))-(VLOOKUP($A71,test!$A$3:$I$32,9,FALSE))+test!$B$34,0)</f>
        <v>0</v>
      </c>
      <c r="AD71">
        <f>IF(AND(SUM(VLOOKUP($A71,test!$A$3:$F$32,2,FALSE),VLOOKUP(AD$1,test!$A$3:$F$32,2,FALSE))&lt;test!$K$16,$A71&lt;&gt;AD$1,Recharged_Feasible_mat!AE40=1),(VLOOKUP(AD$1,test!$A$3:$I$32,8,FALSE))-(VLOOKUP($A71,test!$A$3:$I$32,9,FALSE))+test!$B$34,0)</f>
        <v>0</v>
      </c>
      <c r="AE71">
        <f>IF(AND(SUM(VLOOKUP($A71,test!$A$3:$F$32,2,FALSE),VLOOKUP(AE$1,test!$A$3:$F$32,2,FALSE))&lt;test!$K$16,$A71&lt;&gt;AE$1,Recharged_Feasible_mat!AF40=1),(VLOOKUP(AE$1,test!$A$3:$I$32,8,FALSE))-(VLOOKUP($A71,test!$A$3:$I$32,9,FALSE))+test!$B$34,0)</f>
        <v>0</v>
      </c>
      <c r="AF71">
        <f>IF(AND(SUM(VLOOKUP($A71,test!$A$3:$F$32,2,FALSE),VLOOKUP(AF$1,test!$A$3:$F$32,2,FALSE))&lt;test!$K$16,$A71&lt;&gt;AF$1,Recharged_Feasible_mat!AG40=1),(VLOOKUP(AF$1,test!$A$3:$I$32,8,FALSE))-(VLOOKUP($A71,test!$A$3:$I$32,9,FALSE))+test!$B$34,0)</f>
        <v>0</v>
      </c>
    </row>
    <row r="72" spans="1:32" x14ac:dyDescent="0.25">
      <c r="A72" t="s">
        <v>15</v>
      </c>
      <c r="B72">
        <v>0</v>
      </c>
      <c r="C72">
        <f>IF(AND(SUM(VLOOKUP($A72,test!$A$3:$F$32,2,FALSE),VLOOKUP(C$1,test!$A$3:$F$32,2,FALSE))&lt;test!$K$16,$A72&lt;&gt;C$1,Recharged_Feasible_mat!D41=1),(VLOOKUP(C$1,test!$A$3:$I$32,8,FALSE))-(VLOOKUP($A72,test!$A$3:$I$32,9,FALSE))+test!$B$34,0)</f>
        <v>0</v>
      </c>
      <c r="D72">
        <f>IF(AND(SUM(VLOOKUP($A72,test!$A$3:$F$32,2,FALSE),VLOOKUP(D$1,test!$A$3:$F$32,2,FALSE))&lt;test!$K$16,$A72&lt;&gt;D$1,Recharged_Feasible_mat!E41=1),(VLOOKUP(D$1,test!$A$3:$I$32,8,FALSE))-(VLOOKUP($A72,test!$A$3:$I$32,9,FALSE))+test!$B$34,0)</f>
        <v>0</v>
      </c>
      <c r="E72">
        <f>IF(AND(SUM(VLOOKUP($A72,test!$A$3:$F$32,2,FALSE),VLOOKUP(E$1,test!$A$3:$F$32,2,FALSE))&lt;test!$K$16,$A72&lt;&gt;E$1,Recharged_Feasible_mat!F41=1),(VLOOKUP(E$1,test!$A$3:$I$32,8,FALSE))-(VLOOKUP($A72,test!$A$3:$I$32,9,FALSE))+test!$B$34,0)</f>
        <v>0</v>
      </c>
      <c r="F72">
        <f>IF(AND(SUM(VLOOKUP($A72,test!$A$3:$F$32,2,FALSE),VLOOKUP(F$1,test!$A$3:$F$32,2,FALSE))&lt;test!$K$16,$A72&lt;&gt;F$1,Recharged_Feasible_mat!G41=1),(VLOOKUP(F$1,test!$A$3:$I$32,8,FALSE))-(VLOOKUP($A72,test!$A$3:$I$32,9,FALSE))+test!$B$34,0)</f>
        <v>0</v>
      </c>
      <c r="G72">
        <f>IF(AND(SUM(VLOOKUP($A72,test!$A$3:$F$32,2,FALSE),VLOOKUP(G$1,test!$A$3:$F$32,2,FALSE))&lt;test!$K$16,$A72&lt;&gt;G$1,Recharged_Feasible_mat!H41=1),(VLOOKUP(G$1,test!$A$3:$I$32,8,FALSE))-(VLOOKUP($A72,test!$A$3:$I$32,9,FALSE))+test!$B$34,0)</f>
        <v>0</v>
      </c>
      <c r="H72">
        <f>IF(AND(SUM(VLOOKUP($A72,test!$A$3:$F$32,2,FALSE),VLOOKUP(H$1,test!$A$3:$F$32,2,FALSE))&lt;test!$K$16,$A72&lt;&gt;H$1,Recharged_Feasible_mat!I41=1),(VLOOKUP(H$1,test!$A$3:$I$32,8,FALSE))-(VLOOKUP($A72,test!$A$3:$I$32,9,FALSE))+test!$B$34,0)</f>
        <v>0</v>
      </c>
      <c r="I72">
        <f>IF(AND(SUM(VLOOKUP($A72,test!$A$3:$F$32,2,FALSE),VLOOKUP(I$1,test!$A$3:$F$32,2,FALSE))&lt;test!$K$16,$A72&lt;&gt;I$1,Recharged_Feasible_mat!J41=1),(VLOOKUP(I$1,test!$A$3:$I$32,8,FALSE))-(VLOOKUP($A72,test!$A$3:$I$32,9,FALSE))+test!$B$34,0)</f>
        <v>0</v>
      </c>
      <c r="J72">
        <f>IF(AND(SUM(VLOOKUP($A72,test!$A$3:$F$32,2,FALSE),VLOOKUP(J$1,test!$A$3:$F$32,2,FALSE))&lt;test!$K$16,$A72&lt;&gt;J$1,Recharged_Feasible_mat!K41=1),(VLOOKUP(J$1,test!$A$3:$I$32,8,FALSE))-(VLOOKUP($A72,test!$A$3:$I$32,9,FALSE))+test!$B$34,0)</f>
        <v>0</v>
      </c>
      <c r="K72">
        <f>IF(AND(SUM(VLOOKUP($A72,test!$A$3:$F$32,2,FALSE),VLOOKUP(K$1,test!$A$3:$F$32,2,FALSE))&lt;test!$K$16,$A72&lt;&gt;K$1,Recharged_Feasible_mat!L41=1),(VLOOKUP(K$1,test!$A$3:$I$32,8,FALSE))-(VLOOKUP($A72,test!$A$3:$I$32,9,FALSE))+test!$B$34,0)</f>
        <v>0</v>
      </c>
      <c r="L72">
        <f>IF(AND(SUM(VLOOKUP($A72,test!$A$3:$F$32,2,FALSE),VLOOKUP(L$1,test!$A$3:$F$32,2,FALSE))&lt;test!$K$16,$A72&lt;&gt;L$1,Recharged_Feasible_mat!M41=1),(VLOOKUP(L$1,test!$A$3:$I$32,8,FALSE))-(VLOOKUP($A72,test!$A$3:$I$32,9,FALSE))+test!$B$34,0)</f>
        <v>0</v>
      </c>
      <c r="M72">
        <f>IF(AND(SUM(VLOOKUP($A72,test!$A$3:$F$32,2,FALSE),VLOOKUP(M$1,test!$A$3:$F$32,2,FALSE))&lt;test!$K$16,$A72&lt;&gt;M$1,Recharged_Feasible_mat!N41=1),(VLOOKUP(M$1,test!$A$3:$I$32,8,FALSE))-(VLOOKUP($A72,test!$A$3:$I$32,9,FALSE))+test!$B$34,0)</f>
        <v>0</v>
      </c>
      <c r="N72">
        <f>IF(AND(SUM(VLOOKUP($A72,test!$A$3:$F$32,2,FALSE),VLOOKUP(N$1,test!$A$3:$F$32,2,FALSE))&lt;test!$K$16,$A72&lt;&gt;N$1,Recharged_Feasible_mat!O41=1),(VLOOKUP(N$1,test!$A$3:$I$32,8,FALSE))-(VLOOKUP($A72,test!$A$3:$I$32,9,FALSE))+test!$B$34,0)</f>
        <v>0</v>
      </c>
      <c r="O72">
        <f>IF(AND(SUM(VLOOKUP($A72,test!$A$3:$F$32,2,FALSE),VLOOKUP(O$1,test!$A$3:$F$32,2,FALSE))&lt;test!$K$16,$A72&lt;&gt;O$1,Recharged_Feasible_mat!P41=1),(VLOOKUP(O$1,test!$A$3:$I$32,8,FALSE))-(VLOOKUP($A72,test!$A$3:$I$32,9,FALSE))+test!$B$34,0)</f>
        <v>0</v>
      </c>
      <c r="P72">
        <f>IF(AND(SUM(VLOOKUP($A72,test!$A$3:$F$32,2,FALSE),VLOOKUP(P$1,test!$A$3:$F$32,2,FALSE))&lt;test!$K$16,$A72&lt;&gt;P$1,Recharged_Feasible_mat!Q41=1),(VLOOKUP(P$1,test!$A$3:$I$32,8,FALSE))-(VLOOKUP($A72,test!$A$3:$I$32,9,FALSE))+test!$B$34,0)</f>
        <v>0</v>
      </c>
      <c r="Q72">
        <f>IF(AND(SUM(VLOOKUP($A72,test!$A$3:$F$32,2,FALSE),VLOOKUP(Q$1,test!$A$3:$F$32,2,FALSE))&lt;test!$K$16,$A72&lt;&gt;Q$1,Recharged_Feasible_mat!R41=1),(VLOOKUP(Q$1,test!$A$3:$I$32,8,FALSE))-(VLOOKUP($A72,test!$A$3:$I$32,9,FALSE))+test!$B$34,0)</f>
        <v>0</v>
      </c>
      <c r="R72">
        <f>IF(AND(SUM(VLOOKUP($A72,test!$A$3:$F$32,2,FALSE),VLOOKUP(R$1,test!$A$3:$F$32,2,FALSE))&lt;test!$K$16,$A72&lt;&gt;R$1,Recharged_Feasible_mat!S41=1),(VLOOKUP(R$1,test!$A$3:$I$32,8,FALSE))-(VLOOKUP($A72,test!$A$3:$I$32,9,FALSE))+test!$B$34,0)</f>
        <v>0</v>
      </c>
      <c r="S72">
        <f>IF(AND(SUM(VLOOKUP($A72,test!$A$3:$F$32,2,FALSE),VLOOKUP(S$1,test!$A$3:$F$32,2,FALSE))&lt;test!$K$16,$A72&lt;&gt;S$1,Recharged_Feasible_mat!T41=1),(VLOOKUP(S$1,test!$A$3:$I$32,8,FALSE))-(VLOOKUP($A72,test!$A$3:$I$32,9,FALSE))+test!$B$34,0)</f>
        <v>0</v>
      </c>
      <c r="T72">
        <f>IF(AND(SUM(VLOOKUP($A72,test!$A$3:$F$32,2,FALSE),VLOOKUP(T$1,test!$A$3:$F$32,2,FALSE))&lt;test!$K$16,$A72&lt;&gt;T$1,Recharged_Feasible_mat!U41=1),(VLOOKUP(T$1,test!$A$3:$I$32,8,FALSE))-(VLOOKUP($A72,test!$A$3:$I$32,9,FALSE))+test!$B$34,0)</f>
        <v>0</v>
      </c>
      <c r="U72">
        <f>IF(AND(SUM(VLOOKUP($A72,test!$A$3:$F$32,2,FALSE),VLOOKUP(U$1,test!$A$3:$F$32,2,FALSE))&lt;test!$K$16,$A72&lt;&gt;U$1,Recharged_Feasible_mat!V41=1),(VLOOKUP(U$1,test!$A$3:$I$32,8,FALSE))-(VLOOKUP($A72,test!$A$3:$I$32,9,FALSE))+test!$B$34,0)</f>
        <v>0</v>
      </c>
      <c r="V72">
        <f>IF(AND(SUM(VLOOKUP($A72,test!$A$3:$F$32,2,FALSE),VLOOKUP(V$1,test!$A$3:$F$32,2,FALSE))&lt;test!$K$16,$A72&lt;&gt;V$1,Recharged_Feasible_mat!W41=1),(VLOOKUP(V$1,test!$A$3:$I$32,8,FALSE))-(VLOOKUP($A72,test!$A$3:$I$32,9,FALSE))+test!$B$34,0)</f>
        <v>0</v>
      </c>
      <c r="W72">
        <f>IF(AND(SUM(VLOOKUP($A72,test!$A$3:$F$32,2,FALSE),VLOOKUP(W$1,test!$A$3:$F$32,2,FALSE))&lt;test!$K$16,$A72&lt;&gt;W$1,Recharged_Feasible_mat!X41=1),(VLOOKUP(W$1,test!$A$3:$I$32,8,FALSE))-(VLOOKUP($A72,test!$A$3:$I$32,9,FALSE))+test!$B$34,0)</f>
        <v>0</v>
      </c>
      <c r="X72">
        <f>IF(AND(SUM(VLOOKUP($A72,test!$A$3:$F$32,2,FALSE),VLOOKUP(X$1,test!$A$3:$F$32,2,FALSE))&lt;test!$K$16,$A72&lt;&gt;X$1,Recharged_Feasible_mat!Y41=1),(VLOOKUP(X$1,test!$A$3:$I$32,8,FALSE))-(VLOOKUP($A72,test!$A$3:$I$32,9,FALSE))+test!$B$34,0)</f>
        <v>0</v>
      </c>
      <c r="Y72">
        <f>IF(AND(SUM(VLOOKUP($A72,test!$A$3:$F$32,2,FALSE),VLOOKUP(Y$1,test!$A$3:$F$32,2,FALSE))&lt;test!$K$16,$A72&lt;&gt;Y$1,Recharged_Feasible_mat!Z41=1),(VLOOKUP(Y$1,test!$A$3:$I$32,8,FALSE))-(VLOOKUP($A72,test!$A$3:$I$32,9,FALSE))+test!$B$34,0)</f>
        <v>0</v>
      </c>
      <c r="Z72">
        <f>IF(AND(SUM(VLOOKUP($A72,test!$A$3:$F$32,2,FALSE),VLOOKUP(Z$1,test!$A$3:$F$32,2,FALSE))&lt;test!$K$16,$A72&lt;&gt;Z$1,Recharged_Feasible_mat!AA41=1),(VLOOKUP(Z$1,test!$A$3:$I$32,8,FALSE))-(VLOOKUP($A72,test!$A$3:$I$32,9,FALSE))+test!$B$34,0)</f>
        <v>0</v>
      </c>
      <c r="AA72">
        <f>IF(AND(SUM(VLOOKUP($A72,test!$A$3:$F$32,2,FALSE),VLOOKUP(AA$1,test!$A$3:$F$32,2,FALSE))&lt;test!$K$16,$A72&lt;&gt;AA$1,Recharged_Feasible_mat!AB41=1),(VLOOKUP(AA$1,test!$A$3:$I$32,8,FALSE))-(VLOOKUP($A72,test!$A$3:$I$32,9,FALSE))+test!$B$34,0)</f>
        <v>0</v>
      </c>
      <c r="AB72">
        <f>IF(AND(SUM(VLOOKUP($A72,test!$A$3:$F$32,2,FALSE),VLOOKUP(AB$1,test!$A$3:$F$32,2,FALSE))&lt;test!$K$16,$A72&lt;&gt;AB$1,Recharged_Feasible_mat!AC41=1),(VLOOKUP(AB$1,test!$A$3:$I$32,8,FALSE))-(VLOOKUP($A72,test!$A$3:$I$32,9,FALSE))+test!$B$34,0)</f>
        <v>0</v>
      </c>
      <c r="AC72">
        <f>IF(AND(SUM(VLOOKUP($A72,test!$A$3:$F$32,2,FALSE),VLOOKUP(AC$1,test!$A$3:$F$32,2,FALSE))&lt;test!$K$16,$A72&lt;&gt;AC$1,Recharged_Feasible_mat!AD41=1),(VLOOKUP(AC$1,test!$A$3:$I$32,8,FALSE))-(VLOOKUP($A72,test!$A$3:$I$32,9,FALSE))+test!$B$34,0)</f>
        <v>0</v>
      </c>
      <c r="AD72">
        <f>IF(AND(SUM(VLOOKUP($A72,test!$A$3:$F$32,2,FALSE),VLOOKUP(AD$1,test!$A$3:$F$32,2,FALSE))&lt;test!$K$16,$A72&lt;&gt;AD$1,Recharged_Feasible_mat!AE41=1),(VLOOKUP(AD$1,test!$A$3:$I$32,8,FALSE))-(VLOOKUP($A72,test!$A$3:$I$32,9,FALSE))+test!$B$34,0)</f>
        <v>0</v>
      </c>
      <c r="AE72">
        <f>IF(AND(SUM(VLOOKUP($A72,test!$A$3:$F$32,2,FALSE),VLOOKUP(AE$1,test!$A$3:$F$32,2,FALSE))&lt;test!$K$16,$A72&lt;&gt;AE$1,Recharged_Feasible_mat!AF41=1),(VLOOKUP(AE$1,test!$A$3:$I$32,8,FALSE))-(VLOOKUP($A72,test!$A$3:$I$32,9,FALSE))+test!$B$34,0)</f>
        <v>0</v>
      </c>
      <c r="AF72">
        <f>IF(AND(SUM(VLOOKUP($A72,test!$A$3:$F$32,2,FALSE),VLOOKUP(AF$1,test!$A$3:$F$32,2,FALSE))&lt;test!$K$16,$A72&lt;&gt;AF$1,Recharged_Feasible_mat!AG41=1),(VLOOKUP(AF$1,test!$A$3:$I$32,8,FALSE))-(VLOOKUP($A72,test!$A$3:$I$32,9,FALSE))+test!$B$34,0)</f>
        <v>0</v>
      </c>
    </row>
    <row r="73" spans="1:32" x14ac:dyDescent="0.25">
      <c r="A73" t="s">
        <v>18</v>
      </c>
      <c r="B73">
        <v>0</v>
      </c>
      <c r="C73">
        <f>IF(AND(SUM(VLOOKUP($A73,test!$A$3:$F$32,2,FALSE),VLOOKUP(C$1,test!$A$3:$F$32,2,FALSE))&lt;test!$K$16,$A73&lt;&gt;C$1,Recharged_Feasible_mat!D42=1),(VLOOKUP(C$1,test!$A$3:$I$32,8,FALSE))-(VLOOKUP($A73,test!$A$3:$I$32,9,FALSE))+test!$B$34,0)</f>
        <v>0</v>
      </c>
      <c r="D73">
        <f>IF(AND(SUM(VLOOKUP($A73,test!$A$3:$F$32,2,FALSE),VLOOKUP(D$1,test!$A$3:$F$32,2,FALSE))&lt;test!$K$16,$A73&lt;&gt;D$1,Recharged_Feasible_mat!E42=1),(VLOOKUP(D$1,test!$A$3:$I$32,8,FALSE))-(VLOOKUP($A73,test!$A$3:$I$32,9,FALSE))+test!$B$34,0)</f>
        <v>0</v>
      </c>
      <c r="E73">
        <f>IF(AND(SUM(VLOOKUP($A73,test!$A$3:$F$32,2,FALSE),VLOOKUP(E$1,test!$A$3:$F$32,2,FALSE))&lt;test!$K$16,$A73&lt;&gt;E$1,Recharged_Feasible_mat!F42=1),(VLOOKUP(E$1,test!$A$3:$I$32,8,FALSE))-(VLOOKUP($A73,test!$A$3:$I$32,9,FALSE))+test!$B$34,0)</f>
        <v>0</v>
      </c>
      <c r="F73">
        <f>IF(AND(SUM(VLOOKUP($A73,test!$A$3:$F$32,2,FALSE),VLOOKUP(F$1,test!$A$3:$F$32,2,FALSE))&lt;test!$K$16,$A73&lt;&gt;F$1,Recharged_Feasible_mat!G42=1),(VLOOKUP(F$1,test!$A$3:$I$32,8,FALSE))-(VLOOKUP($A73,test!$A$3:$I$32,9,FALSE))+test!$B$34,0)</f>
        <v>275</v>
      </c>
      <c r="G73">
        <f>IF(AND(SUM(VLOOKUP($A73,test!$A$3:$F$32,2,FALSE),VLOOKUP(G$1,test!$A$3:$F$32,2,FALSE))&lt;test!$K$16,$A73&lt;&gt;G$1,Recharged_Feasible_mat!H42=1),(VLOOKUP(G$1,test!$A$3:$I$32,8,FALSE))-(VLOOKUP($A73,test!$A$3:$I$32,9,FALSE))+test!$B$34,0)</f>
        <v>335</v>
      </c>
      <c r="H73">
        <f>IF(AND(SUM(VLOOKUP($A73,test!$A$3:$F$32,2,FALSE),VLOOKUP(H$1,test!$A$3:$F$32,2,FALSE))&lt;test!$K$16,$A73&lt;&gt;H$1,Recharged_Feasible_mat!I42=1),(VLOOKUP(H$1,test!$A$3:$I$32,8,FALSE))-(VLOOKUP($A73,test!$A$3:$I$32,9,FALSE))+test!$B$34,0)</f>
        <v>395</v>
      </c>
      <c r="I73">
        <f>IF(AND(SUM(VLOOKUP($A73,test!$A$3:$F$32,2,FALSE),VLOOKUP(I$1,test!$A$3:$F$32,2,FALSE))&lt;test!$K$16,$A73&lt;&gt;I$1,Recharged_Feasible_mat!J42=1),(VLOOKUP(I$1,test!$A$3:$I$32,8,FALSE))-(VLOOKUP($A73,test!$A$3:$I$32,9,FALSE))+test!$B$34,0)</f>
        <v>455</v>
      </c>
      <c r="J73">
        <f>IF(AND(SUM(VLOOKUP($A73,test!$A$3:$F$32,2,FALSE),VLOOKUP(J$1,test!$A$3:$F$32,2,FALSE))&lt;test!$K$16,$A73&lt;&gt;J$1,Recharged_Feasible_mat!K42=1),(VLOOKUP(J$1,test!$A$3:$I$32,8,FALSE))-(VLOOKUP($A73,test!$A$3:$I$32,9,FALSE))+test!$B$34,0)</f>
        <v>545</v>
      </c>
      <c r="K73">
        <f>IF(AND(SUM(VLOOKUP($A73,test!$A$3:$F$32,2,FALSE),VLOOKUP(K$1,test!$A$3:$F$32,2,FALSE))&lt;test!$K$16,$A73&lt;&gt;K$1,Recharged_Feasible_mat!L42=1),(VLOOKUP(K$1,test!$A$3:$I$32,8,FALSE))-(VLOOKUP($A73,test!$A$3:$I$32,9,FALSE))+test!$B$34,0)</f>
        <v>0</v>
      </c>
      <c r="L73">
        <f>IF(AND(SUM(VLOOKUP($A73,test!$A$3:$F$32,2,FALSE),VLOOKUP(L$1,test!$A$3:$F$32,2,FALSE))&lt;test!$K$16,$A73&lt;&gt;L$1,Recharged_Feasible_mat!M42=1),(VLOOKUP(L$1,test!$A$3:$I$32,8,FALSE))-(VLOOKUP($A73,test!$A$3:$I$32,9,FALSE))+test!$B$34,0)</f>
        <v>0</v>
      </c>
      <c r="M73">
        <f>IF(AND(SUM(VLOOKUP($A73,test!$A$3:$F$32,2,FALSE),VLOOKUP(M$1,test!$A$3:$F$32,2,FALSE))&lt;test!$K$16,$A73&lt;&gt;M$1,Recharged_Feasible_mat!N42=1),(VLOOKUP(M$1,test!$A$3:$I$32,8,FALSE))-(VLOOKUP($A73,test!$A$3:$I$32,9,FALSE))+test!$B$34,0)</f>
        <v>0</v>
      </c>
      <c r="N73">
        <f>IF(AND(SUM(VLOOKUP($A73,test!$A$3:$F$32,2,FALSE),VLOOKUP(N$1,test!$A$3:$F$32,2,FALSE))&lt;test!$K$16,$A73&lt;&gt;N$1,Recharged_Feasible_mat!O42=1),(VLOOKUP(N$1,test!$A$3:$I$32,8,FALSE))-(VLOOKUP($A73,test!$A$3:$I$32,9,FALSE))+test!$B$34,0)</f>
        <v>510</v>
      </c>
      <c r="O73">
        <f>IF(AND(SUM(VLOOKUP($A73,test!$A$3:$F$32,2,FALSE),VLOOKUP(O$1,test!$A$3:$F$32,2,FALSE))&lt;test!$K$16,$A73&lt;&gt;O$1,Recharged_Feasible_mat!P42=1),(VLOOKUP(O$1,test!$A$3:$I$32,8,FALSE))-(VLOOKUP($A73,test!$A$3:$I$32,9,FALSE))+test!$B$34,0)</f>
        <v>570</v>
      </c>
      <c r="P73">
        <f>IF(AND(SUM(VLOOKUP($A73,test!$A$3:$F$32,2,FALSE),VLOOKUP(P$1,test!$A$3:$F$32,2,FALSE))&lt;test!$K$16,$A73&lt;&gt;P$1,Recharged_Feasible_mat!Q42=1),(VLOOKUP(P$1,test!$A$3:$I$32,8,FALSE))-(VLOOKUP($A73,test!$A$3:$I$32,9,FALSE))+test!$B$34,0)</f>
        <v>0</v>
      </c>
      <c r="Q73">
        <f>IF(AND(SUM(VLOOKUP($A73,test!$A$3:$F$32,2,FALSE),VLOOKUP(Q$1,test!$A$3:$F$32,2,FALSE))&lt;test!$K$16,$A73&lt;&gt;Q$1,Recharged_Feasible_mat!R42=1),(VLOOKUP(Q$1,test!$A$3:$I$32,8,FALSE))-(VLOOKUP($A73,test!$A$3:$I$32,9,FALSE))+test!$B$34,0)</f>
        <v>0</v>
      </c>
      <c r="R73">
        <f>IF(AND(SUM(VLOOKUP($A73,test!$A$3:$F$32,2,FALSE),VLOOKUP(R$1,test!$A$3:$F$32,2,FALSE))&lt;test!$K$16,$A73&lt;&gt;R$1,Recharged_Feasible_mat!S42=1),(VLOOKUP(R$1,test!$A$3:$I$32,8,FALSE))-(VLOOKUP($A73,test!$A$3:$I$32,9,FALSE))+test!$B$34,0)</f>
        <v>0</v>
      </c>
      <c r="S73">
        <f>IF(AND(SUM(VLOOKUP($A73,test!$A$3:$F$32,2,FALSE),VLOOKUP(S$1,test!$A$3:$F$32,2,FALSE))&lt;test!$K$16,$A73&lt;&gt;S$1,Recharged_Feasible_mat!T42=1),(VLOOKUP(S$1,test!$A$3:$I$32,8,FALSE))-(VLOOKUP($A73,test!$A$3:$I$32,9,FALSE))+test!$B$34,0)</f>
        <v>0</v>
      </c>
      <c r="T73">
        <f>IF(AND(SUM(VLOOKUP($A73,test!$A$3:$F$32,2,FALSE),VLOOKUP(T$1,test!$A$3:$F$32,2,FALSE))&lt;test!$K$16,$A73&lt;&gt;T$1,Recharged_Feasible_mat!U42=1),(VLOOKUP(T$1,test!$A$3:$I$32,8,FALSE))-(VLOOKUP($A73,test!$A$3:$I$32,9,FALSE))+test!$B$34,0)</f>
        <v>0</v>
      </c>
      <c r="U73">
        <f>IF(AND(SUM(VLOOKUP($A73,test!$A$3:$F$32,2,FALSE),VLOOKUP(U$1,test!$A$3:$F$32,2,FALSE))&lt;test!$K$16,$A73&lt;&gt;U$1,Recharged_Feasible_mat!V42=1),(VLOOKUP(U$1,test!$A$3:$I$32,8,FALSE))-(VLOOKUP($A73,test!$A$3:$I$32,9,FALSE))+test!$B$34,0)</f>
        <v>255</v>
      </c>
      <c r="V73">
        <f>IF(AND(SUM(VLOOKUP($A73,test!$A$3:$F$32,2,FALSE),VLOOKUP(V$1,test!$A$3:$F$32,2,FALSE))&lt;test!$K$16,$A73&lt;&gt;V$1,Recharged_Feasible_mat!W42=1),(VLOOKUP(V$1,test!$A$3:$I$32,8,FALSE))-(VLOOKUP($A73,test!$A$3:$I$32,9,FALSE))+test!$B$34,0)</f>
        <v>345</v>
      </c>
      <c r="W73">
        <f>IF(AND(SUM(VLOOKUP($A73,test!$A$3:$F$32,2,FALSE),VLOOKUP(W$1,test!$A$3:$F$32,2,FALSE))&lt;test!$K$16,$A73&lt;&gt;W$1,Recharged_Feasible_mat!X42=1),(VLOOKUP(W$1,test!$A$3:$I$32,8,FALSE))-(VLOOKUP($A73,test!$A$3:$I$32,9,FALSE))+test!$B$34,0)</f>
        <v>435</v>
      </c>
      <c r="X73">
        <f>IF(AND(SUM(VLOOKUP($A73,test!$A$3:$F$32,2,FALSE),VLOOKUP(X$1,test!$A$3:$F$32,2,FALSE))&lt;test!$K$16,$A73&lt;&gt;X$1,Recharged_Feasible_mat!Y42=1),(VLOOKUP(X$1,test!$A$3:$I$32,8,FALSE))-(VLOOKUP($A73,test!$A$3:$I$32,9,FALSE))+test!$B$34,0)</f>
        <v>495</v>
      </c>
      <c r="Y73">
        <f>IF(AND(SUM(VLOOKUP($A73,test!$A$3:$F$32,2,FALSE),VLOOKUP(Y$1,test!$A$3:$F$32,2,FALSE))&lt;test!$K$16,$A73&lt;&gt;Y$1,Recharged_Feasible_mat!Z42=1),(VLOOKUP(Y$1,test!$A$3:$I$32,8,FALSE))-(VLOOKUP($A73,test!$A$3:$I$32,9,FALSE))+test!$B$34,0)</f>
        <v>0</v>
      </c>
      <c r="Z73">
        <f>IF(AND(SUM(VLOOKUP($A73,test!$A$3:$F$32,2,FALSE),VLOOKUP(Z$1,test!$A$3:$F$32,2,FALSE))&lt;test!$K$16,$A73&lt;&gt;Z$1,Recharged_Feasible_mat!AA42=1),(VLOOKUP(Z$1,test!$A$3:$I$32,8,FALSE))-(VLOOKUP($A73,test!$A$3:$I$32,9,FALSE))+test!$B$34,0)</f>
        <v>0</v>
      </c>
      <c r="AA73">
        <f>IF(AND(SUM(VLOOKUP($A73,test!$A$3:$F$32,2,FALSE),VLOOKUP(AA$1,test!$A$3:$F$32,2,FALSE))&lt;test!$K$16,$A73&lt;&gt;AA$1,Recharged_Feasible_mat!AB42=1),(VLOOKUP(AA$1,test!$A$3:$I$32,8,FALSE))-(VLOOKUP($A73,test!$A$3:$I$32,9,FALSE))+test!$B$34,0)</f>
        <v>0</v>
      </c>
      <c r="AB73">
        <f>IF(AND(SUM(VLOOKUP($A73,test!$A$3:$F$32,2,FALSE),VLOOKUP(AB$1,test!$A$3:$F$32,2,FALSE))&lt;test!$K$16,$A73&lt;&gt;AB$1,Recharged_Feasible_mat!AC42=1),(VLOOKUP(AB$1,test!$A$3:$I$32,8,FALSE))-(VLOOKUP($A73,test!$A$3:$I$32,9,FALSE))+test!$B$34,0)</f>
        <v>275</v>
      </c>
      <c r="AC73">
        <f>IF(AND(SUM(VLOOKUP($A73,test!$A$3:$F$32,2,FALSE),VLOOKUP(AC$1,test!$A$3:$F$32,2,FALSE))&lt;test!$K$16,$A73&lt;&gt;AC$1,Recharged_Feasible_mat!AD42=1),(VLOOKUP(AC$1,test!$A$3:$I$32,8,FALSE))-(VLOOKUP($A73,test!$A$3:$I$32,9,FALSE))+test!$B$34,0)</f>
        <v>395</v>
      </c>
      <c r="AD73">
        <f>IF(AND(SUM(VLOOKUP($A73,test!$A$3:$F$32,2,FALSE),VLOOKUP(AD$1,test!$A$3:$F$32,2,FALSE))&lt;test!$K$16,$A73&lt;&gt;AD$1,Recharged_Feasible_mat!AE42=1),(VLOOKUP(AD$1,test!$A$3:$I$32,8,FALSE))-(VLOOKUP($A73,test!$A$3:$I$32,9,FALSE))+test!$B$34,0)</f>
        <v>0</v>
      </c>
      <c r="AE73">
        <f>IF(AND(SUM(VLOOKUP($A73,test!$A$3:$F$32,2,FALSE),VLOOKUP(AE$1,test!$A$3:$F$32,2,FALSE))&lt;test!$K$16,$A73&lt;&gt;AE$1,Recharged_Feasible_mat!AF42=1),(VLOOKUP(AE$1,test!$A$3:$I$32,8,FALSE))-(VLOOKUP($A73,test!$A$3:$I$32,9,FALSE))+test!$B$34,0)</f>
        <v>0</v>
      </c>
      <c r="AF73">
        <f>IF(AND(SUM(VLOOKUP($A73,test!$A$3:$F$32,2,FALSE),VLOOKUP(AF$1,test!$A$3:$F$32,2,FALSE))&lt;test!$K$16,$A73&lt;&gt;AF$1,Recharged_Feasible_mat!AG42=1),(VLOOKUP(AF$1,test!$A$3:$I$32,8,FALSE))-(VLOOKUP($A73,test!$A$3:$I$32,9,FALSE))+test!$B$34,0)</f>
        <v>0</v>
      </c>
    </row>
    <row r="74" spans="1:32" x14ac:dyDescent="0.25">
      <c r="A74" t="s">
        <v>20</v>
      </c>
      <c r="B74">
        <v>0</v>
      </c>
      <c r="C74">
        <f>IF(AND(SUM(VLOOKUP($A74,test!$A$3:$F$32,2,FALSE),VLOOKUP(C$1,test!$A$3:$F$32,2,FALSE))&lt;test!$K$16,$A74&lt;&gt;C$1,Recharged_Feasible_mat!D43=1),(VLOOKUP(C$1,test!$A$3:$I$32,8,FALSE))-(VLOOKUP($A74,test!$A$3:$I$32,9,FALSE))+test!$B$34,0)</f>
        <v>0</v>
      </c>
      <c r="D74">
        <f>IF(AND(SUM(VLOOKUP($A74,test!$A$3:$F$32,2,FALSE),VLOOKUP(D$1,test!$A$3:$F$32,2,FALSE))&lt;test!$K$16,$A74&lt;&gt;D$1,Recharged_Feasible_mat!E43=1),(VLOOKUP(D$1,test!$A$3:$I$32,8,FALSE))-(VLOOKUP($A74,test!$A$3:$I$32,9,FALSE))+test!$B$34,0)</f>
        <v>0</v>
      </c>
      <c r="E74">
        <f>IF(AND(SUM(VLOOKUP($A74,test!$A$3:$F$32,2,FALSE),VLOOKUP(E$1,test!$A$3:$F$32,2,FALSE))&lt;test!$K$16,$A74&lt;&gt;E$1,Recharged_Feasible_mat!F43=1),(VLOOKUP(E$1,test!$A$3:$I$32,8,FALSE))-(VLOOKUP($A74,test!$A$3:$I$32,9,FALSE))+test!$B$34,0)</f>
        <v>0</v>
      </c>
      <c r="F74">
        <f>IF(AND(SUM(VLOOKUP($A74,test!$A$3:$F$32,2,FALSE),VLOOKUP(F$1,test!$A$3:$F$32,2,FALSE))&lt;test!$K$16,$A74&lt;&gt;F$1,Recharged_Feasible_mat!G43=1),(VLOOKUP(F$1,test!$A$3:$I$32,8,FALSE))-(VLOOKUP($A74,test!$A$3:$I$32,9,FALSE))+test!$B$34,0)</f>
        <v>0</v>
      </c>
      <c r="G74">
        <f>IF(AND(SUM(VLOOKUP($A74,test!$A$3:$F$32,2,FALSE),VLOOKUP(G$1,test!$A$3:$F$32,2,FALSE))&lt;test!$K$16,$A74&lt;&gt;G$1,Recharged_Feasible_mat!H43=1),(VLOOKUP(G$1,test!$A$3:$I$32,8,FALSE))-(VLOOKUP($A74,test!$A$3:$I$32,9,FALSE))+test!$B$34,0)</f>
        <v>0</v>
      </c>
      <c r="H74">
        <f>IF(AND(SUM(VLOOKUP($A74,test!$A$3:$F$32,2,FALSE),VLOOKUP(H$1,test!$A$3:$F$32,2,FALSE))&lt;test!$K$16,$A74&lt;&gt;H$1,Recharged_Feasible_mat!I43=1),(VLOOKUP(H$1,test!$A$3:$I$32,8,FALSE))-(VLOOKUP($A74,test!$A$3:$I$32,9,FALSE))+test!$B$34,0)</f>
        <v>275</v>
      </c>
      <c r="I74">
        <f>IF(AND(SUM(VLOOKUP($A74,test!$A$3:$F$32,2,FALSE),VLOOKUP(I$1,test!$A$3:$F$32,2,FALSE))&lt;test!$K$16,$A74&lt;&gt;I$1,Recharged_Feasible_mat!J43=1),(VLOOKUP(I$1,test!$A$3:$I$32,8,FALSE))-(VLOOKUP($A74,test!$A$3:$I$32,9,FALSE))+test!$B$34,0)</f>
        <v>335</v>
      </c>
      <c r="J74">
        <f>IF(AND(SUM(VLOOKUP($A74,test!$A$3:$F$32,2,FALSE),VLOOKUP(J$1,test!$A$3:$F$32,2,FALSE))&lt;test!$K$16,$A74&lt;&gt;J$1,Recharged_Feasible_mat!K43=1),(VLOOKUP(J$1,test!$A$3:$I$32,8,FALSE))-(VLOOKUP($A74,test!$A$3:$I$32,9,FALSE))+test!$B$34,0)</f>
        <v>425</v>
      </c>
      <c r="K74">
        <f>IF(AND(SUM(VLOOKUP($A74,test!$A$3:$F$32,2,FALSE),VLOOKUP(K$1,test!$A$3:$F$32,2,FALSE))&lt;test!$K$16,$A74&lt;&gt;K$1,Recharged_Feasible_mat!L43=1),(VLOOKUP(K$1,test!$A$3:$I$32,8,FALSE))-(VLOOKUP($A74,test!$A$3:$I$32,9,FALSE))+test!$B$34,0)</f>
        <v>0</v>
      </c>
      <c r="L74">
        <f>IF(AND(SUM(VLOOKUP($A74,test!$A$3:$F$32,2,FALSE),VLOOKUP(L$1,test!$A$3:$F$32,2,FALSE))&lt;test!$K$16,$A74&lt;&gt;L$1,Recharged_Feasible_mat!M43=1),(VLOOKUP(L$1,test!$A$3:$I$32,8,FALSE))-(VLOOKUP($A74,test!$A$3:$I$32,9,FALSE))+test!$B$34,0)</f>
        <v>0</v>
      </c>
      <c r="M74">
        <f>IF(AND(SUM(VLOOKUP($A74,test!$A$3:$F$32,2,FALSE),VLOOKUP(M$1,test!$A$3:$F$32,2,FALSE))&lt;test!$K$16,$A74&lt;&gt;M$1,Recharged_Feasible_mat!N43=1),(VLOOKUP(M$1,test!$A$3:$I$32,8,FALSE))-(VLOOKUP($A74,test!$A$3:$I$32,9,FALSE))+test!$B$34,0)</f>
        <v>0</v>
      </c>
      <c r="N74">
        <f>IF(AND(SUM(VLOOKUP($A74,test!$A$3:$F$32,2,FALSE),VLOOKUP(N$1,test!$A$3:$F$32,2,FALSE))&lt;test!$K$16,$A74&lt;&gt;N$1,Recharged_Feasible_mat!O43=1),(VLOOKUP(N$1,test!$A$3:$I$32,8,FALSE))-(VLOOKUP($A74,test!$A$3:$I$32,9,FALSE))+test!$B$34,0)</f>
        <v>390</v>
      </c>
      <c r="O74">
        <f>IF(AND(SUM(VLOOKUP($A74,test!$A$3:$F$32,2,FALSE),VLOOKUP(O$1,test!$A$3:$F$32,2,FALSE))&lt;test!$K$16,$A74&lt;&gt;O$1,Recharged_Feasible_mat!P43=1),(VLOOKUP(O$1,test!$A$3:$I$32,8,FALSE))-(VLOOKUP($A74,test!$A$3:$I$32,9,FALSE))+test!$B$34,0)</f>
        <v>450</v>
      </c>
      <c r="P74">
        <f>IF(AND(SUM(VLOOKUP($A74,test!$A$3:$F$32,2,FALSE),VLOOKUP(P$1,test!$A$3:$F$32,2,FALSE))&lt;test!$K$16,$A74&lt;&gt;P$1,Recharged_Feasible_mat!Q43=1),(VLOOKUP(P$1,test!$A$3:$I$32,8,FALSE))-(VLOOKUP($A74,test!$A$3:$I$32,9,FALSE))+test!$B$34,0)</f>
        <v>0</v>
      </c>
      <c r="Q74">
        <f>IF(AND(SUM(VLOOKUP($A74,test!$A$3:$F$32,2,FALSE),VLOOKUP(Q$1,test!$A$3:$F$32,2,FALSE))&lt;test!$K$16,$A74&lt;&gt;Q$1,Recharged_Feasible_mat!R43=1),(VLOOKUP(Q$1,test!$A$3:$I$32,8,FALSE))-(VLOOKUP($A74,test!$A$3:$I$32,9,FALSE))+test!$B$34,0)</f>
        <v>0</v>
      </c>
      <c r="R74">
        <f>IF(AND(SUM(VLOOKUP($A74,test!$A$3:$F$32,2,FALSE),VLOOKUP(R$1,test!$A$3:$F$32,2,FALSE))&lt;test!$K$16,$A74&lt;&gt;R$1,Recharged_Feasible_mat!S43=1),(VLOOKUP(R$1,test!$A$3:$I$32,8,FALSE))-(VLOOKUP($A74,test!$A$3:$I$32,9,FALSE))+test!$B$34,0)</f>
        <v>0</v>
      </c>
      <c r="S74">
        <f>IF(AND(SUM(VLOOKUP($A74,test!$A$3:$F$32,2,FALSE),VLOOKUP(S$1,test!$A$3:$F$32,2,FALSE))&lt;test!$K$16,$A74&lt;&gt;S$1,Recharged_Feasible_mat!T43=1),(VLOOKUP(S$1,test!$A$3:$I$32,8,FALSE))-(VLOOKUP($A74,test!$A$3:$I$32,9,FALSE))+test!$B$34,0)</f>
        <v>0</v>
      </c>
      <c r="T74">
        <f>IF(AND(SUM(VLOOKUP($A74,test!$A$3:$F$32,2,FALSE),VLOOKUP(T$1,test!$A$3:$F$32,2,FALSE))&lt;test!$K$16,$A74&lt;&gt;T$1,Recharged_Feasible_mat!U43=1),(VLOOKUP(T$1,test!$A$3:$I$32,8,FALSE))-(VLOOKUP($A74,test!$A$3:$I$32,9,FALSE))+test!$B$34,0)</f>
        <v>0</v>
      </c>
      <c r="U74">
        <f>IF(AND(SUM(VLOOKUP($A74,test!$A$3:$F$32,2,FALSE),VLOOKUP(U$1,test!$A$3:$F$32,2,FALSE))&lt;test!$K$16,$A74&lt;&gt;U$1,Recharged_Feasible_mat!V43=1),(VLOOKUP(U$1,test!$A$3:$I$32,8,FALSE))-(VLOOKUP($A74,test!$A$3:$I$32,9,FALSE))+test!$B$34,0)</f>
        <v>0</v>
      </c>
      <c r="V74">
        <f>IF(AND(SUM(VLOOKUP($A74,test!$A$3:$F$32,2,FALSE),VLOOKUP(V$1,test!$A$3:$F$32,2,FALSE))&lt;test!$K$16,$A74&lt;&gt;V$1,Recharged_Feasible_mat!W43=1),(VLOOKUP(V$1,test!$A$3:$I$32,8,FALSE))-(VLOOKUP($A74,test!$A$3:$I$32,9,FALSE))+test!$B$34,0)</f>
        <v>0</v>
      </c>
      <c r="W74">
        <f>IF(AND(SUM(VLOOKUP($A74,test!$A$3:$F$32,2,FALSE),VLOOKUP(W$1,test!$A$3:$F$32,2,FALSE))&lt;test!$K$16,$A74&lt;&gt;W$1,Recharged_Feasible_mat!X43=1),(VLOOKUP(W$1,test!$A$3:$I$32,8,FALSE))-(VLOOKUP($A74,test!$A$3:$I$32,9,FALSE))+test!$B$34,0)</f>
        <v>315</v>
      </c>
      <c r="X74">
        <f>IF(AND(SUM(VLOOKUP($A74,test!$A$3:$F$32,2,FALSE),VLOOKUP(X$1,test!$A$3:$F$32,2,FALSE))&lt;test!$K$16,$A74&lt;&gt;X$1,Recharged_Feasible_mat!Y43=1),(VLOOKUP(X$1,test!$A$3:$I$32,8,FALSE))-(VLOOKUP($A74,test!$A$3:$I$32,9,FALSE))+test!$B$34,0)</f>
        <v>375</v>
      </c>
      <c r="Y74">
        <f>IF(AND(SUM(VLOOKUP($A74,test!$A$3:$F$32,2,FALSE),VLOOKUP(Y$1,test!$A$3:$F$32,2,FALSE))&lt;test!$K$16,$A74&lt;&gt;Y$1,Recharged_Feasible_mat!Z43=1),(VLOOKUP(Y$1,test!$A$3:$I$32,8,FALSE))-(VLOOKUP($A74,test!$A$3:$I$32,9,FALSE))+test!$B$34,0)</f>
        <v>0</v>
      </c>
      <c r="Z74">
        <f>IF(AND(SUM(VLOOKUP($A74,test!$A$3:$F$32,2,FALSE),VLOOKUP(Z$1,test!$A$3:$F$32,2,FALSE))&lt;test!$K$16,$A74&lt;&gt;Z$1,Recharged_Feasible_mat!AA43=1),(VLOOKUP(Z$1,test!$A$3:$I$32,8,FALSE))-(VLOOKUP($A74,test!$A$3:$I$32,9,FALSE))+test!$B$34,0)</f>
        <v>0</v>
      </c>
      <c r="AA74">
        <f>IF(AND(SUM(VLOOKUP($A74,test!$A$3:$F$32,2,FALSE),VLOOKUP(AA$1,test!$A$3:$F$32,2,FALSE))&lt;test!$K$16,$A74&lt;&gt;AA$1,Recharged_Feasible_mat!AB43=1),(VLOOKUP(AA$1,test!$A$3:$I$32,8,FALSE))-(VLOOKUP($A74,test!$A$3:$I$32,9,FALSE))+test!$B$34,0)</f>
        <v>0</v>
      </c>
      <c r="AB74">
        <f>IF(AND(SUM(VLOOKUP($A74,test!$A$3:$F$32,2,FALSE),VLOOKUP(AB$1,test!$A$3:$F$32,2,FALSE))&lt;test!$K$16,$A74&lt;&gt;AB$1,Recharged_Feasible_mat!AC43=1),(VLOOKUP(AB$1,test!$A$3:$I$32,8,FALSE))-(VLOOKUP($A74,test!$A$3:$I$32,9,FALSE))+test!$B$34,0)</f>
        <v>0</v>
      </c>
      <c r="AC74">
        <f>IF(AND(SUM(VLOOKUP($A74,test!$A$3:$F$32,2,FALSE),VLOOKUP(AC$1,test!$A$3:$F$32,2,FALSE))&lt;test!$K$16,$A74&lt;&gt;AC$1,Recharged_Feasible_mat!AD43=1),(VLOOKUP(AC$1,test!$A$3:$I$32,8,FALSE))-(VLOOKUP($A74,test!$A$3:$I$32,9,FALSE))+test!$B$34,0)</f>
        <v>275</v>
      </c>
      <c r="AD74">
        <f>IF(AND(SUM(VLOOKUP($A74,test!$A$3:$F$32,2,FALSE),VLOOKUP(AD$1,test!$A$3:$F$32,2,FALSE))&lt;test!$K$16,$A74&lt;&gt;AD$1,Recharged_Feasible_mat!AE43=1),(VLOOKUP(AD$1,test!$A$3:$I$32,8,FALSE))-(VLOOKUP($A74,test!$A$3:$I$32,9,FALSE))+test!$B$34,0)</f>
        <v>0</v>
      </c>
      <c r="AE74">
        <f>IF(AND(SUM(VLOOKUP($A74,test!$A$3:$F$32,2,FALSE),VLOOKUP(AE$1,test!$A$3:$F$32,2,FALSE))&lt;test!$K$16,$A74&lt;&gt;AE$1,Recharged_Feasible_mat!AF43=1),(VLOOKUP(AE$1,test!$A$3:$I$32,8,FALSE))-(VLOOKUP($A74,test!$A$3:$I$32,9,FALSE))+test!$B$34,0)</f>
        <v>0</v>
      </c>
      <c r="AF74">
        <f>IF(AND(SUM(VLOOKUP($A74,test!$A$3:$F$32,2,FALSE),VLOOKUP(AF$1,test!$A$3:$F$32,2,FALSE))&lt;test!$K$16,$A74&lt;&gt;AF$1,Recharged_Feasible_mat!AG43=1),(VLOOKUP(AF$1,test!$A$3:$I$32,8,FALSE))-(VLOOKUP($A74,test!$A$3:$I$32,9,FALSE))+test!$B$34,0)</f>
        <v>0</v>
      </c>
    </row>
    <row r="75" spans="1:32" x14ac:dyDescent="0.25">
      <c r="A75" t="s">
        <v>21</v>
      </c>
      <c r="B75">
        <v>0</v>
      </c>
      <c r="C75">
        <f>IF(AND(SUM(VLOOKUP($A75,test!$A$3:$F$32,2,FALSE),VLOOKUP(C$1,test!$A$3:$F$32,2,FALSE))&lt;test!$K$16,$A75&lt;&gt;C$1,Recharged_Feasible_mat!D44=1),(VLOOKUP(C$1,test!$A$3:$I$32,8,FALSE))-(VLOOKUP($A75,test!$A$3:$I$32,9,FALSE))+test!$B$34,0)</f>
        <v>0</v>
      </c>
      <c r="D75">
        <f>IF(AND(SUM(VLOOKUP($A75,test!$A$3:$F$32,2,FALSE),VLOOKUP(D$1,test!$A$3:$F$32,2,FALSE))&lt;test!$K$16,$A75&lt;&gt;D$1,Recharged_Feasible_mat!E44=1),(VLOOKUP(D$1,test!$A$3:$I$32,8,FALSE))-(VLOOKUP($A75,test!$A$3:$I$32,9,FALSE))+test!$B$34,0)</f>
        <v>0</v>
      </c>
      <c r="E75">
        <f>IF(AND(SUM(VLOOKUP($A75,test!$A$3:$F$32,2,FALSE),VLOOKUP(E$1,test!$A$3:$F$32,2,FALSE))&lt;test!$K$16,$A75&lt;&gt;E$1,Recharged_Feasible_mat!F44=1),(VLOOKUP(E$1,test!$A$3:$I$32,8,FALSE))-(VLOOKUP($A75,test!$A$3:$I$32,9,FALSE))+test!$B$34,0)</f>
        <v>0</v>
      </c>
      <c r="F75">
        <f>IF(AND(SUM(VLOOKUP($A75,test!$A$3:$F$32,2,FALSE),VLOOKUP(F$1,test!$A$3:$F$32,2,FALSE))&lt;test!$K$16,$A75&lt;&gt;F$1,Recharged_Feasible_mat!G44=1),(VLOOKUP(F$1,test!$A$3:$I$32,8,FALSE))-(VLOOKUP($A75,test!$A$3:$I$32,9,FALSE))+test!$B$34,0)</f>
        <v>0</v>
      </c>
      <c r="G75">
        <f>IF(AND(SUM(VLOOKUP($A75,test!$A$3:$F$32,2,FALSE),VLOOKUP(G$1,test!$A$3:$F$32,2,FALSE))&lt;test!$K$16,$A75&lt;&gt;G$1,Recharged_Feasible_mat!H44=1),(VLOOKUP(G$1,test!$A$3:$I$32,8,FALSE))-(VLOOKUP($A75,test!$A$3:$I$32,9,FALSE))+test!$B$34,0)</f>
        <v>0</v>
      </c>
      <c r="H75">
        <f>IF(AND(SUM(VLOOKUP($A75,test!$A$3:$F$32,2,FALSE),VLOOKUP(H$1,test!$A$3:$F$32,2,FALSE))&lt;test!$K$16,$A75&lt;&gt;H$1,Recharged_Feasible_mat!I44=1),(VLOOKUP(H$1,test!$A$3:$I$32,8,FALSE))-(VLOOKUP($A75,test!$A$3:$I$32,9,FALSE))+test!$B$34,0)</f>
        <v>0</v>
      </c>
      <c r="I75">
        <f>IF(AND(SUM(VLOOKUP($A75,test!$A$3:$F$32,2,FALSE),VLOOKUP(I$1,test!$A$3:$F$32,2,FALSE))&lt;test!$K$16,$A75&lt;&gt;I$1,Recharged_Feasible_mat!J44=1),(VLOOKUP(I$1,test!$A$3:$I$32,8,FALSE))-(VLOOKUP($A75,test!$A$3:$I$32,9,FALSE))+test!$B$34,0)</f>
        <v>0</v>
      </c>
      <c r="J75">
        <f>IF(AND(SUM(VLOOKUP($A75,test!$A$3:$F$32,2,FALSE),VLOOKUP(J$1,test!$A$3:$F$32,2,FALSE))&lt;test!$K$16,$A75&lt;&gt;J$1,Recharged_Feasible_mat!K44=1),(VLOOKUP(J$1,test!$A$3:$I$32,8,FALSE))-(VLOOKUP($A75,test!$A$3:$I$32,9,FALSE))+test!$B$34,0)</f>
        <v>305</v>
      </c>
      <c r="K75">
        <f>IF(AND(SUM(VLOOKUP($A75,test!$A$3:$F$32,2,FALSE),VLOOKUP(K$1,test!$A$3:$F$32,2,FALSE))&lt;test!$K$16,$A75&lt;&gt;K$1,Recharged_Feasible_mat!L44=1),(VLOOKUP(K$1,test!$A$3:$I$32,8,FALSE))-(VLOOKUP($A75,test!$A$3:$I$32,9,FALSE))+test!$B$34,0)</f>
        <v>0</v>
      </c>
      <c r="L75">
        <f>IF(AND(SUM(VLOOKUP($A75,test!$A$3:$F$32,2,FALSE),VLOOKUP(L$1,test!$A$3:$F$32,2,FALSE))&lt;test!$K$16,$A75&lt;&gt;L$1,Recharged_Feasible_mat!M44=1),(VLOOKUP(L$1,test!$A$3:$I$32,8,FALSE))-(VLOOKUP($A75,test!$A$3:$I$32,9,FALSE))+test!$B$34,0)</f>
        <v>0</v>
      </c>
      <c r="M75">
        <f>IF(AND(SUM(VLOOKUP($A75,test!$A$3:$F$32,2,FALSE),VLOOKUP(M$1,test!$A$3:$F$32,2,FALSE))&lt;test!$K$16,$A75&lt;&gt;M$1,Recharged_Feasible_mat!N44=1),(VLOOKUP(M$1,test!$A$3:$I$32,8,FALSE))-(VLOOKUP($A75,test!$A$3:$I$32,9,FALSE))+test!$B$34,0)</f>
        <v>0</v>
      </c>
      <c r="N75">
        <f>IF(AND(SUM(VLOOKUP($A75,test!$A$3:$F$32,2,FALSE),VLOOKUP(N$1,test!$A$3:$F$32,2,FALSE))&lt;test!$K$16,$A75&lt;&gt;N$1,Recharged_Feasible_mat!O44=1),(VLOOKUP(N$1,test!$A$3:$I$32,8,FALSE))-(VLOOKUP($A75,test!$A$3:$I$32,9,FALSE))+test!$B$34,0)</f>
        <v>270</v>
      </c>
      <c r="O75">
        <f>IF(AND(SUM(VLOOKUP($A75,test!$A$3:$F$32,2,FALSE),VLOOKUP(O$1,test!$A$3:$F$32,2,FALSE))&lt;test!$K$16,$A75&lt;&gt;O$1,Recharged_Feasible_mat!P44=1),(VLOOKUP(O$1,test!$A$3:$I$32,8,FALSE))-(VLOOKUP($A75,test!$A$3:$I$32,9,FALSE))+test!$B$34,0)</f>
        <v>330</v>
      </c>
      <c r="P75">
        <f>IF(AND(SUM(VLOOKUP($A75,test!$A$3:$F$32,2,FALSE),VLOOKUP(P$1,test!$A$3:$F$32,2,FALSE))&lt;test!$K$16,$A75&lt;&gt;P$1,Recharged_Feasible_mat!Q44=1),(VLOOKUP(P$1,test!$A$3:$I$32,8,FALSE))-(VLOOKUP($A75,test!$A$3:$I$32,9,FALSE))+test!$B$34,0)</f>
        <v>0</v>
      </c>
      <c r="Q75">
        <f>IF(AND(SUM(VLOOKUP($A75,test!$A$3:$F$32,2,FALSE),VLOOKUP(Q$1,test!$A$3:$F$32,2,FALSE))&lt;test!$K$16,$A75&lt;&gt;Q$1,Recharged_Feasible_mat!R44=1),(VLOOKUP(Q$1,test!$A$3:$I$32,8,FALSE))-(VLOOKUP($A75,test!$A$3:$I$32,9,FALSE))+test!$B$34,0)</f>
        <v>0</v>
      </c>
      <c r="R75">
        <f>IF(AND(SUM(VLOOKUP($A75,test!$A$3:$F$32,2,FALSE),VLOOKUP(R$1,test!$A$3:$F$32,2,FALSE))&lt;test!$K$16,$A75&lt;&gt;R$1,Recharged_Feasible_mat!S44=1),(VLOOKUP(R$1,test!$A$3:$I$32,8,FALSE))-(VLOOKUP($A75,test!$A$3:$I$32,9,FALSE))+test!$B$34,0)</f>
        <v>0</v>
      </c>
      <c r="S75">
        <f>IF(AND(SUM(VLOOKUP($A75,test!$A$3:$F$32,2,FALSE),VLOOKUP(S$1,test!$A$3:$F$32,2,FALSE))&lt;test!$K$16,$A75&lt;&gt;S$1,Recharged_Feasible_mat!T44=1),(VLOOKUP(S$1,test!$A$3:$I$32,8,FALSE))-(VLOOKUP($A75,test!$A$3:$I$32,9,FALSE))+test!$B$34,0)</f>
        <v>0</v>
      </c>
      <c r="T75">
        <f>IF(AND(SUM(VLOOKUP($A75,test!$A$3:$F$32,2,FALSE),VLOOKUP(T$1,test!$A$3:$F$32,2,FALSE))&lt;test!$K$16,$A75&lt;&gt;T$1,Recharged_Feasible_mat!U44=1),(VLOOKUP(T$1,test!$A$3:$I$32,8,FALSE))-(VLOOKUP($A75,test!$A$3:$I$32,9,FALSE))+test!$B$34,0)</f>
        <v>0</v>
      </c>
      <c r="U75">
        <f>IF(AND(SUM(VLOOKUP($A75,test!$A$3:$F$32,2,FALSE),VLOOKUP(U$1,test!$A$3:$F$32,2,FALSE))&lt;test!$K$16,$A75&lt;&gt;U$1,Recharged_Feasible_mat!V44=1),(VLOOKUP(U$1,test!$A$3:$I$32,8,FALSE))-(VLOOKUP($A75,test!$A$3:$I$32,9,FALSE))+test!$B$34,0)</f>
        <v>0</v>
      </c>
      <c r="V75">
        <f>IF(AND(SUM(VLOOKUP($A75,test!$A$3:$F$32,2,FALSE),VLOOKUP(V$1,test!$A$3:$F$32,2,FALSE))&lt;test!$K$16,$A75&lt;&gt;V$1,Recharged_Feasible_mat!W44=1),(VLOOKUP(V$1,test!$A$3:$I$32,8,FALSE))-(VLOOKUP($A75,test!$A$3:$I$32,9,FALSE))+test!$B$34,0)</f>
        <v>0</v>
      </c>
      <c r="W75">
        <f>IF(AND(SUM(VLOOKUP($A75,test!$A$3:$F$32,2,FALSE),VLOOKUP(W$1,test!$A$3:$F$32,2,FALSE))&lt;test!$K$16,$A75&lt;&gt;W$1,Recharged_Feasible_mat!X44=1),(VLOOKUP(W$1,test!$A$3:$I$32,8,FALSE))-(VLOOKUP($A75,test!$A$3:$I$32,9,FALSE))+test!$B$34,0)</f>
        <v>0</v>
      </c>
      <c r="X75">
        <f>IF(AND(SUM(VLOOKUP($A75,test!$A$3:$F$32,2,FALSE),VLOOKUP(X$1,test!$A$3:$F$32,2,FALSE))&lt;test!$K$16,$A75&lt;&gt;X$1,Recharged_Feasible_mat!Y44=1),(VLOOKUP(X$1,test!$A$3:$I$32,8,FALSE))-(VLOOKUP($A75,test!$A$3:$I$32,9,FALSE))+test!$B$34,0)</f>
        <v>255</v>
      </c>
      <c r="Y75">
        <f>IF(AND(SUM(VLOOKUP($A75,test!$A$3:$F$32,2,FALSE),VLOOKUP(Y$1,test!$A$3:$F$32,2,FALSE))&lt;test!$K$16,$A75&lt;&gt;Y$1,Recharged_Feasible_mat!Z44=1),(VLOOKUP(Y$1,test!$A$3:$I$32,8,FALSE))-(VLOOKUP($A75,test!$A$3:$I$32,9,FALSE))+test!$B$34,0)</f>
        <v>0</v>
      </c>
      <c r="Z75">
        <f>IF(AND(SUM(VLOOKUP($A75,test!$A$3:$F$32,2,FALSE),VLOOKUP(Z$1,test!$A$3:$F$32,2,FALSE))&lt;test!$K$16,$A75&lt;&gt;Z$1,Recharged_Feasible_mat!AA44=1),(VLOOKUP(Z$1,test!$A$3:$I$32,8,FALSE))-(VLOOKUP($A75,test!$A$3:$I$32,9,FALSE))+test!$B$34,0)</f>
        <v>0</v>
      </c>
      <c r="AA75">
        <f>IF(AND(SUM(VLOOKUP($A75,test!$A$3:$F$32,2,FALSE),VLOOKUP(AA$1,test!$A$3:$F$32,2,FALSE))&lt;test!$K$16,$A75&lt;&gt;AA$1,Recharged_Feasible_mat!AB44=1),(VLOOKUP(AA$1,test!$A$3:$I$32,8,FALSE))-(VLOOKUP($A75,test!$A$3:$I$32,9,FALSE))+test!$B$34,0)</f>
        <v>0</v>
      </c>
      <c r="AB75">
        <f>IF(AND(SUM(VLOOKUP($A75,test!$A$3:$F$32,2,FALSE),VLOOKUP(AB$1,test!$A$3:$F$32,2,FALSE))&lt;test!$K$16,$A75&lt;&gt;AB$1,Recharged_Feasible_mat!AC44=1),(VLOOKUP(AB$1,test!$A$3:$I$32,8,FALSE))-(VLOOKUP($A75,test!$A$3:$I$32,9,FALSE))+test!$B$34,0)</f>
        <v>0</v>
      </c>
      <c r="AC75">
        <f>IF(AND(SUM(VLOOKUP($A75,test!$A$3:$F$32,2,FALSE),VLOOKUP(AC$1,test!$A$3:$F$32,2,FALSE))&lt;test!$K$16,$A75&lt;&gt;AC$1,Recharged_Feasible_mat!AD44=1),(VLOOKUP(AC$1,test!$A$3:$I$32,8,FALSE))-(VLOOKUP($A75,test!$A$3:$I$32,9,FALSE))+test!$B$34,0)</f>
        <v>0</v>
      </c>
      <c r="AD75">
        <f>IF(AND(SUM(VLOOKUP($A75,test!$A$3:$F$32,2,FALSE),VLOOKUP(AD$1,test!$A$3:$F$32,2,FALSE))&lt;test!$K$16,$A75&lt;&gt;AD$1,Recharged_Feasible_mat!AE44=1),(VLOOKUP(AD$1,test!$A$3:$I$32,8,FALSE))-(VLOOKUP($A75,test!$A$3:$I$32,9,FALSE))+test!$B$34,0)</f>
        <v>0</v>
      </c>
      <c r="AE75">
        <f>IF(AND(SUM(VLOOKUP($A75,test!$A$3:$F$32,2,FALSE),VLOOKUP(AE$1,test!$A$3:$F$32,2,FALSE))&lt;test!$K$16,$A75&lt;&gt;AE$1,Recharged_Feasible_mat!AF44=1),(VLOOKUP(AE$1,test!$A$3:$I$32,8,FALSE))-(VLOOKUP($A75,test!$A$3:$I$32,9,FALSE))+test!$B$34,0)</f>
        <v>0</v>
      </c>
      <c r="AF75">
        <f>IF(AND(SUM(VLOOKUP($A75,test!$A$3:$F$32,2,FALSE),VLOOKUP(AF$1,test!$A$3:$F$32,2,FALSE))&lt;test!$K$16,$A75&lt;&gt;AF$1,Recharged_Feasible_mat!AG44=1),(VLOOKUP(AF$1,test!$A$3:$I$32,8,FALSE))-(VLOOKUP($A75,test!$A$3:$I$32,9,FALSE))+test!$B$34,0)</f>
        <v>0</v>
      </c>
    </row>
    <row r="76" spans="1:32" x14ac:dyDescent="0.25">
      <c r="A76" t="s">
        <v>22</v>
      </c>
      <c r="B76">
        <v>0</v>
      </c>
      <c r="C76">
        <f>IF(AND(SUM(VLOOKUP($A76,test!$A$3:$F$32,2,FALSE),VLOOKUP(C$1,test!$A$3:$F$32,2,FALSE))&lt;test!$K$16,$A76&lt;&gt;C$1,Recharged_Feasible_mat!D45=1),(VLOOKUP(C$1,test!$A$3:$I$32,8,FALSE))-(VLOOKUP($A76,test!$A$3:$I$32,9,FALSE))+test!$B$34,0)</f>
        <v>0</v>
      </c>
      <c r="D76">
        <f>IF(AND(SUM(VLOOKUP($A76,test!$A$3:$F$32,2,FALSE),VLOOKUP(D$1,test!$A$3:$F$32,2,FALSE))&lt;test!$K$16,$A76&lt;&gt;D$1,Recharged_Feasible_mat!E45=1),(VLOOKUP(D$1,test!$A$3:$I$32,8,FALSE))-(VLOOKUP($A76,test!$A$3:$I$32,9,FALSE))+test!$B$34,0)</f>
        <v>0</v>
      </c>
      <c r="E76">
        <f>IF(AND(SUM(VLOOKUP($A76,test!$A$3:$F$32,2,FALSE),VLOOKUP(E$1,test!$A$3:$F$32,2,FALSE))&lt;test!$K$16,$A76&lt;&gt;E$1,Recharged_Feasible_mat!F45=1),(VLOOKUP(E$1,test!$A$3:$I$32,8,FALSE))-(VLOOKUP($A76,test!$A$3:$I$32,9,FALSE))+test!$B$34,0)</f>
        <v>0</v>
      </c>
      <c r="F76">
        <f>IF(AND(SUM(VLOOKUP($A76,test!$A$3:$F$32,2,FALSE),VLOOKUP(F$1,test!$A$3:$F$32,2,FALSE))&lt;test!$K$16,$A76&lt;&gt;F$1,Recharged_Feasible_mat!G45=1),(VLOOKUP(F$1,test!$A$3:$I$32,8,FALSE))-(VLOOKUP($A76,test!$A$3:$I$32,9,FALSE))+test!$B$34,0)</f>
        <v>0</v>
      </c>
      <c r="G76">
        <f>IF(AND(SUM(VLOOKUP($A76,test!$A$3:$F$32,2,FALSE),VLOOKUP(G$1,test!$A$3:$F$32,2,FALSE))&lt;test!$K$16,$A76&lt;&gt;G$1,Recharged_Feasible_mat!H45=1),(VLOOKUP(G$1,test!$A$3:$I$32,8,FALSE))-(VLOOKUP($A76,test!$A$3:$I$32,9,FALSE))+test!$B$34,0)</f>
        <v>0</v>
      </c>
      <c r="H76">
        <f>IF(AND(SUM(VLOOKUP($A76,test!$A$3:$F$32,2,FALSE),VLOOKUP(H$1,test!$A$3:$F$32,2,FALSE))&lt;test!$K$16,$A76&lt;&gt;H$1,Recharged_Feasible_mat!I45=1),(VLOOKUP(H$1,test!$A$3:$I$32,8,FALSE))-(VLOOKUP($A76,test!$A$3:$I$32,9,FALSE))+test!$B$34,0)</f>
        <v>0</v>
      </c>
      <c r="I76">
        <f>IF(AND(SUM(VLOOKUP($A76,test!$A$3:$F$32,2,FALSE),VLOOKUP(I$1,test!$A$3:$F$32,2,FALSE))&lt;test!$K$16,$A76&lt;&gt;I$1,Recharged_Feasible_mat!J45=1),(VLOOKUP(I$1,test!$A$3:$I$32,8,FALSE))-(VLOOKUP($A76,test!$A$3:$I$32,9,FALSE))+test!$B$34,0)</f>
        <v>0</v>
      </c>
      <c r="J76">
        <f>IF(AND(SUM(VLOOKUP($A76,test!$A$3:$F$32,2,FALSE),VLOOKUP(J$1,test!$A$3:$F$32,2,FALSE))&lt;test!$K$16,$A76&lt;&gt;J$1,Recharged_Feasible_mat!K45=1),(VLOOKUP(J$1,test!$A$3:$I$32,8,FALSE))-(VLOOKUP($A76,test!$A$3:$I$32,9,FALSE))+test!$B$34,0)</f>
        <v>0</v>
      </c>
      <c r="K76">
        <f>IF(AND(SUM(VLOOKUP($A76,test!$A$3:$F$32,2,FALSE),VLOOKUP(K$1,test!$A$3:$F$32,2,FALSE))&lt;test!$K$16,$A76&lt;&gt;K$1,Recharged_Feasible_mat!L45=1),(VLOOKUP(K$1,test!$A$3:$I$32,8,FALSE))-(VLOOKUP($A76,test!$A$3:$I$32,9,FALSE))+test!$B$34,0)</f>
        <v>0</v>
      </c>
      <c r="L76">
        <f>IF(AND(SUM(VLOOKUP($A76,test!$A$3:$F$32,2,FALSE),VLOOKUP(L$1,test!$A$3:$F$32,2,FALSE))&lt;test!$K$16,$A76&lt;&gt;L$1,Recharged_Feasible_mat!M45=1),(VLOOKUP(L$1,test!$A$3:$I$32,8,FALSE))-(VLOOKUP($A76,test!$A$3:$I$32,9,FALSE))+test!$B$34,0)</f>
        <v>0</v>
      </c>
      <c r="M76">
        <f>IF(AND(SUM(VLOOKUP($A76,test!$A$3:$F$32,2,FALSE),VLOOKUP(M$1,test!$A$3:$F$32,2,FALSE))&lt;test!$K$16,$A76&lt;&gt;M$1,Recharged_Feasible_mat!N45=1),(VLOOKUP(M$1,test!$A$3:$I$32,8,FALSE))-(VLOOKUP($A76,test!$A$3:$I$32,9,FALSE))+test!$B$34,0)</f>
        <v>0</v>
      </c>
      <c r="N76">
        <f>IF(AND(SUM(VLOOKUP($A76,test!$A$3:$F$32,2,FALSE),VLOOKUP(N$1,test!$A$3:$F$32,2,FALSE))&lt;test!$K$16,$A76&lt;&gt;N$1,Recharged_Feasible_mat!O45=1),(VLOOKUP(N$1,test!$A$3:$I$32,8,FALSE))-(VLOOKUP($A76,test!$A$3:$I$32,9,FALSE))+test!$B$34,0)</f>
        <v>0</v>
      </c>
      <c r="O76">
        <f>IF(AND(SUM(VLOOKUP($A76,test!$A$3:$F$32,2,FALSE),VLOOKUP(O$1,test!$A$3:$F$32,2,FALSE))&lt;test!$K$16,$A76&lt;&gt;O$1,Recharged_Feasible_mat!P45=1),(VLOOKUP(O$1,test!$A$3:$I$32,8,FALSE))-(VLOOKUP($A76,test!$A$3:$I$32,9,FALSE))+test!$B$34,0)</f>
        <v>0</v>
      </c>
      <c r="P76">
        <f>IF(AND(SUM(VLOOKUP($A76,test!$A$3:$F$32,2,FALSE),VLOOKUP(P$1,test!$A$3:$F$32,2,FALSE))&lt;test!$K$16,$A76&lt;&gt;P$1,Recharged_Feasible_mat!Q45=1),(VLOOKUP(P$1,test!$A$3:$I$32,8,FALSE))-(VLOOKUP($A76,test!$A$3:$I$32,9,FALSE))+test!$B$34,0)</f>
        <v>0</v>
      </c>
      <c r="Q76">
        <f>IF(AND(SUM(VLOOKUP($A76,test!$A$3:$F$32,2,FALSE),VLOOKUP(Q$1,test!$A$3:$F$32,2,FALSE))&lt;test!$K$16,$A76&lt;&gt;Q$1,Recharged_Feasible_mat!R45=1),(VLOOKUP(Q$1,test!$A$3:$I$32,8,FALSE))-(VLOOKUP($A76,test!$A$3:$I$32,9,FALSE))+test!$B$34,0)</f>
        <v>0</v>
      </c>
      <c r="R76">
        <f>IF(AND(SUM(VLOOKUP($A76,test!$A$3:$F$32,2,FALSE),VLOOKUP(R$1,test!$A$3:$F$32,2,FALSE))&lt;test!$K$16,$A76&lt;&gt;R$1,Recharged_Feasible_mat!S45=1),(VLOOKUP(R$1,test!$A$3:$I$32,8,FALSE))-(VLOOKUP($A76,test!$A$3:$I$32,9,FALSE))+test!$B$34,0)</f>
        <v>0</v>
      </c>
      <c r="S76">
        <f>IF(AND(SUM(VLOOKUP($A76,test!$A$3:$F$32,2,FALSE),VLOOKUP(S$1,test!$A$3:$F$32,2,FALSE))&lt;test!$K$16,$A76&lt;&gt;S$1,Recharged_Feasible_mat!T45=1),(VLOOKUP(S$1,test!$A$3:$I$32,8,FALSE))-(VLOOKUP($A76,test!$A$3:$I$32,9,FALSE))+test!$B$34,0)</f>
        <v>0</v>
      </c>
      <c r="T76">
        <f>IF(AND(SUM(VLOOKUP($A76,test!$A$3:$F$32,2,FALSE),VLOOKUP(T$1,test!$A$3:$F$32,2,FALSE))&lt;test!$K$16,$A76&lt;&gt;T$1,Recharged_Feasible_mat!U45=1),(VLOOKUP(T$1,test!$A$3:$I$32,8,FALSE))-(VLOOKUP($A76,test!$A$3:$I$32,9,FALSE))+test!$B$34,0)</f>
        <v>0</v>
      </c>
      <c r="U76">
        <f>IF(AND(SUM(VLOOKUP($A76,test!$A$3:$F$32,2,FALSE),VLOOKUP(U$1,test!$A$3:$F$32,2,FALSE))&lt;test!$K$16,$A76&lt;&gt;U$1,Recharged_Feasible_mat!V45=1),(VLOOKUP(U$1,test!$A$3:$I$32,8,FALSE))-(VLOOKUP($A76,test!$A$3:$I$32,9,FALSE))+test!$B$34,0)</f>
        <v>0</v>
      </c>
      <c r="V76">
        <f>IF(AND(SUM(VLOOKUP($A76,test!$A$3:$F$32,2,FALSE),VLOOKUP(V$1,test!$A$3:$F$32,2,FALSE))&lt;test!$K$16,$A76&lt;&gt;V$1,Recharged_Feasible_mat!W45=1),(VLOOKUP(V$1,test!$A$3:$I$32,8,FALSE))-(VLOOKUP($A76,test!$A$3:$I$32,9,FALSE))+test!$B$34,0)</f>
        <v>0</v>
      </c>
      <c r="W76">
        <f>IF(AND(SUM(VLOOKUP($A76,test!$A$3:$F$32,2,FALSE),VLOOKUP(W$1,test!$A$3:$F$32,2,FALSE))&lt;test!$K$16,$A76&lt;&gt;W$1,Recharged_Feasible_mat!X45=1),(VLOOKUP(W$1,test!$A$3:$I$32,8,FALSE))-(VLOOKUP($A76,test!$A$3:$I$32,9,FALSE))+test!$B$34,0)</f>
        <v>0</v>
      </c>
      <c r="X76">
        <f>IF(AND(SUM(VLOOKUP($A76,test!$A$3:$F$32,2,FALSE),VLOOKUP(X$1,test!$A$3:$F$32,2,FALSE))&lt;test!$K$16,$A76&lt;&gt;X$1,Recharged_Feasible_mat!Y45=1),(VLOOKUP(X$1,test!$A$3:$I$32,8,FALSE))-(VLOOKUP($A76,test!$A$3:$I$32,9,FALSE))+test!$B$34,0)</f>
        <v>0</v>
      </c>
      <c r="Y76">
        <f>IF(AND(SUM(VLOOKUP($A76,test!$A$3:$F$32,2,FALSE),VLOOKUP(Y$1,test!$A$3:$F$32,2,FALSE))&lt;test!$K$16,$A76&lt;&gt;Y$1,Recharged_Feasible_mat!Z45=1),(VLOOKUP(Y$1,test!$A$3:$I$32,8,FALSE))-(VLOOKUP($A76,test!$A$3:$I$32,9,FALSE))+test!$B$34,0)</f>
        <v>0</v>
      </c>
      <c r="Z76">
        <f>IF(AND(SUM(VLOOKUP($A76,test!$A$3:$F$32,2,FALSE),VLOOKUP(Z$1,test!$A$3:$F$32,2,FALSE))&lt;test!$K$16,$A76&lt;&gt;Z$1,Recharged_Feasible_mat!AA45=1),(VLOOKUP(Z$1,test!$A$3:$I$32,8,FALSE))-(VLOOKUP($A76,test!$A$3:$I$32,9,FALSE))+test!$B$34,0)</f>
        <v>0</v>
      </c>
      <c r="AA76">
        <f>IF(AND(SUM(VLOOKUP($A76,test!$A$3:$F$32,2,FALSE),VLOOKUP(AA$1,test!$A$3:$F$32,2,FALSE))&lt;test!$K$16,$A76&lt;&gt;AA$1,Recharged_Feasible_mat!AB45=1),(VLOOKUP(AA$1,test!$A$3:$I$32,8,FALSE))-(VLOOKUP($A76,test!$A$3:$I$32,9,FALSE))+test!$B$34,0)</f>
        <v>0</v>
      </c>
      <c r="AB76">
        <f>IF(AND(SUM(VLOOKUP($A76,test!$A$3:$F$32,2,FALSE),VLOOKUP(AB$1,test!$A$3:$F$32,2,FALSE))&lt;test!$K$16,$A76&lt;&gt;AB$1,Recharged_Feasible_mat!AC45=1),(VLOOKUP(AB$1,test!$A$3:$I$32,8,FALSE))-(VLOOKUP($A76,test!$A$3:$I$32,9,FALSE))+test!$B$34,0)</f>
        <v>0</v>
      </c>
      <c r="AC76">
        <f>IF(AND(SUM(VLOOKUP($A76,test!$A$3:$F$32,2,FALSE),VLOOKUP(AC$1,test!$A$3:$F$32,2,FALSE))&lt;test!$K$16,$A76&lt;&gt;AC$1,Recharged_Feasible_mat!AD45=1),(VLOOKUP(AC$1,test!$A$3:$I$32,8,FALSE))-(VLOOKUP($A76,test!$A$3:$I$32,9,FALSE))+test!$B$34,0)</f>
        <v>0</v>
      </c>
      <c r="AD76">
        <f>IF(AND(SUM(VLOOKUP($A76,test!$A$3:$F$32,2,FALSE),VLOOKUP(AD$1,test!$A$3:$F$32,2,FALSE))&lt;test!$K$16,$A76&lt;&gt;AD$1,Recharged_Feasible_mat!AE45=1),(VLOOKUP(AD$1,test!$A$3:$I$32,8,FALSE))-(VLOOKUP($A76,test!$A$3:$I$32,9,FALSE))+test!$B$34,0)</f>
        <v>0</v>
      </c>
      <c r="AE76">
        <f>IF(AND(SUM(VLOOKUP($A76,test!$A$3:$F$32,2,FALSE),VLOOKUP(AE$1,test!$A$3:$F$32,2,FALSE))&lt;test!$K$16,$A76&lt;&gt;AE$1,Recharged_Feasible_mat!AF45=1),(VLOOKUP(AE$1,test!$A$3:$I$32,8,FALSE))-(VLOOKUP($A76,test!$A$3:$I$32,9,FALSE))+test!$B$34,0)</f>
        <v>0</v>
      </c>
      <c r="AF76">
        <f>IF(AND(SUM(VLOOKUP($A76,test!$A$3:$F$32,2,FALSE),VLOOKUP(AF$1,test!$A$3:$F$32,2,FALSE))&lt;test!$K$16,$A76&lt;&gt;AF$1,Recharged_Feasible_mat!AG45=1),(VLOOKUP(AF$1,test!$A$3:$I$32,8,FALSE))-(VLOOKUP($A76,test!$A$3:$I$32,9,FALSE))+test!$B$34,0)</f>
        <v>0</v>
      </c>
    </row>
    <row r="77" spans="1:32" x14ac:dyDescent="0.25">
      <c r="A77" t="s">
        <v>23</v>
      </c>
      <c r="B77">
        <v>0</v>
      </c>
      <c r="C77">
        <f>IF(AND(SUM(VLOOKUP($A77,test!$A$3:$F$32,2,FALSE),VLOOKUP(C$1,test!$A$3:$F$32,2,FALSE))&lt;test!$K$16,$A77&lt;&gt;C$1,Recharged_Feasible_mat!D46=1),(VLOOKUP(C$1,test!$A$3:$I$32,8,FALSE))-(VLOOKUP($A77,test!$A$3:$I$32,9,FALSE))+test!$B$34,0)</f>
        <v>0</v>
      </c>
      <c r="D77">
        <f>IF(AND(SUM(VLOOKUP($A77,test!$A$3:$F$32,2,FALSE),VLOOKUP(D$1,test!$A$3:$F$32,2,FALSE))&lt;test!$K$16,$A77&lt;&gt;D$1,Recharged_Feasible_mat!E46=1),(VLOOKUP(D$1,test!$A$3:$I$32,8,FALSE))-(VLOOKUP($A77,test!$A$3:$I$32,9,FALSE))+test!$B$34,0)</f>
        <v>0</v>
      </c>
      <c r="E77">
        <f>IF(AND(SUM(VLOOKUP($A77,test!$A$3:$F$32,2,FALSE),VLOOKUP(E$1,test!$A$3:$F$32,2,FALSE))&lt;test!$K$16,$A77&lt;&gt;E$1,Recharged_Feasible_mat!F46=1),(VLOOKUP(E$1,test!$A$3:$I$32,8,FALSE))-(VLOOKUP($A77,test!$A$3:$I$32,9,FALSE))+test!$B$34,0)</f>
        <v>0</v>
      </c>
      <c r="F77">
        <f>IF(AND(SUM(VLOOKUP($A77,test!$A$3:$F$32,2,FALSE),VLOOKUP(F$1,test!$A$3:$F$32,2,FALSE))&lt;test!$K$16,$A77&lt;&gt;F$1,Recharged_Feasible_mat!G46=1),(VLOOKUP(F$1,test!$A$3:$I$32,8,FALSE))-(VLOOKUP($A77,test!$A$3:$I$32,9,FALSE))+test!$B$34,0)</f>
        <v>0</v>
      </c>
      <c r="G77">
        <f>IF(AND(SUM(VLOOKUP($A77,test!$A$3:$F$32,2,FALSE),VLOOKUP(G$1,test!$A$3:$F$32,2,FALSE))&lt;test!$K$16,$A77&lt;&gt;G$1,Recharged_Feasible_mat!H46=1),(VLOOKUP(G$1,test!$A$3:$I$32,8,FALSE))-(VLOOKUP($A77,test!$A$3:$I$32,9,FALSE))+test!$B$34,0)</f>
        <v>0</v>
      </c>
      <c r="H77">
        <f>IF(AND(SUM(VLOOKUP($A77,test!$A$3:$F$32,2,FALSE),VLOOKUP(H$1,test!$A$3:$F$32,2,FALSE))&lt;test!$K$16,$A77&lt;&gt;H$1,Recharged_Feasible_mat!I46=1),(VLOOKUP(H$1,test!$A$3:$I$32,8,FALSE))-(VLOOKUP($A77,test!$A$3:$I$32,9,FALSE))+test!$B$34,0)</f>
        <v>0</v>
      </c>
      <c r="I77">
        <f>IF(AND(SUM(VLOOKUP($A77,test!$A$3:$F$32,2,FALSE),VLOOKUP(I$1,test!$A$3:$F$32,2,FALSE))&lt;test!$K$16,$A77&lt;&gt;I$1,Recharged_Feasible_mat!J46=1),(VLOOKUP(I$1,test!$A$3:$I$32,8,FALSE))-(VLOOKUP($A77,test!$A$3:$I$32,9,FALSE))+test!$B$34,0)</f>
        <v>0</v>
      </c>
      <c r="J77">
        <f>IF(AND(SUM(VLOOKUP($A77,test!$A$3:$F$32,2,FALSE),VLOOKUP(J$1,test!$A$3:$F$32,2,FALSE))&lt;test!$K$16,$A77&lt;&gt;J$1,Recharged_Feasible_mat!K46=1),(VLOOKUP(J$1,test!$A$3:$I$32,8,FALSE))-(VLOOKUP($A77,test!$A$3:$I$32,9,FALSE))+test!$B$34,0)</f>
        <v>0</v>
      </c>
      <c r="K77">
        <f>IF(AND(SUM(VLOOKUP($A77,test!$A$3:$F$32,2,FALSE),VLOOKUP(K$1,test!$A$3:$F$32,2,FALSE))&lt;test!$K$16,$A77&lt;&gt;K$1,Recharged_Feasible_mat!L46=1),(VLOOKUP(K$1,test!$A$3:$I$32,8,FALSE))-(VLOOKUP($A77,test!$A$3:$I$32,9,FALSE))+test!$B$34,0)</f>
        <v>0</v>
      </c>
      <c r="L77">
        <f>IF(AND(SUM(VLOOKUP($A77,test!$A$3:$F$32,2,FALSE),VLOOKUP(L$1,test!$A$3:$F$32,2,FALSE))&lt;test!$K$16,$A77&lt;&gt;L$1,Recharged_Feasible_mat!M46=1),(VLOOKUP(L$1,test!$A$3:$I$32,8,FALSE))-(VLOOKUP($A77,test!$A$3:$I$32,9,FALSE))+test!$B$34,0)</f>
        <v>0</v>
      </c>
      <c r="M77">
        <f>IF(AND(SUM(VLOOKUP($A77,test!$A$3:$F$32,2,FALSE),VLOOKUP(M$1,test!$A$3:$F$32,2,FALSE))&lt;test!$K$16,$A77&lt;&gt;M$1,Recharged_Feasible_mat!N46=1),(VLOOKUP(M$1,test!$A$3:$I$32,8,FALSE))-(VLOOKUP($A77,test!$A$3:$I$32,9,FALSE))+test!$B$34,0)</f>
        <v>0</v>
      </c>
      <c r="N77">
        <f>IF(AND(SUM(VLOOKUP($A77,test!$A$3:$F$32,2,FALSE),VLOOKUP(N$1,test!$A$3:$F$32,2,FALSE))&lt;test!$K$16,$A77&lt;&gt;N$1,Recharged_Feasible_mat!O46=1),(VLOOKUP(N$1,test!$A$3:$I$32,8,FALSE))-(VLOOKUP($A77,test!$A$3:$I$32,9,FALSE))+test!$B$34,0)</f>
        <v>0</v>
      </c>
      <c r="O77">
        <f>IF(AND(SUM(VLOOKUP($A77,test!$A$3:$F$32,2,FALSE),VLOOKUP(O$1,test!$A$3:$F$32,2,FALSE))&lt;test!$K$16,$A77&lt;&gt;O$1,Recharged_Feasible_mat!P46=1),(VLOOKUP(O$1,test!$A$3:$I$32,8,FALSE))-(VLOOKUP($A77,test!$A$3:$I$32,9,FALSE))+test!$B$34,0)</f>
        <v>0</v>
      </c>
      <c r="P77">
        <f>IF(AND(SUM(VLOOKUP($A77,test!$A$3:$F$32,2,FALSE),VLOOKUP(P$1,test!$A$3:$F$32,2,FALSE))&lt;test!$K$16,$A77&lt;&gt;P$1,Recharged_Feasible_mat!Q46=1),(VLOOKUP(P$1,test!$A$3:$I$32,8,FALSE))-(VLOOKUP($A77,test!$A$3:$I$32,9,FALSE))+test!$B$34,0)</f>
        <v>0</v>
      </c>
      <c r="Q77">
        <f>IF(AND(SUM(VLOOKUP($A77,test!$A$3:$F$32,2,FALSE),VLOOKUP(Q$1,test!$A$3:$F$32,2,FALSE))&lt;test!$K$16,$A77&lt;&gt;Q$1,Recharged_Feasible_mat!R46=1),(VLOOKUP(Q$1,test!$A$3:$I$32,8,FALSE))-(VLOOKUP($A77,test!$A$3:$I$32,9,FALSE))+test!$B$34,0)</f>
        <v>0</v>
      </c>
      <c r="R77">
        <f>IF(AND(SUM(VLOOKUP($A77,test!$A$3:$F$32,2,FALSE),VLOOKUP(R$1,test!$A$3:$F$32,2,FALSE))&lt;test!$K$16,$A77&lt;&gt;R$1,Recharged_Feasible_mat!S46=1),(VLOOKUP(R$1,test!$A$3:$I$32,8,FALSE))-(VLOOKUP($A77,test!$A$3:$I$32,9,FALSE))+test!$B$34,0)</f>
        <v>0</v>
      </c>
      <c r="S77">
        <f>IF(AND(SUM(VLOOKUP($A77,test!$A$3:$F$32,2,FALSE),VLOOKUP(S$1,test!$A$3:$F$32,2,FALSE))&lt;test!$K$16,$A77&lt;&gt;S$1,Recharged_Feasible_mat!T46=1),(VLOOKUP(S$1,test!$A$3:$I$32,8,FALSE))-(VLOOKUP($A77,test!$A$3:$I$32,9,FALSE))+test!$B$34,0)</f>
        <v>0</v>
      </c>
      <c r="T77">
        <f>IF(AND(SUM(VLOOKUP($A77,test!$A$3:$F$32,2,FALSE),VLOOKUP(T$1,test!$A$3:$F$32,2,FALSE))&lt;test!$K$16,$A77&lt;&gt;T$1,Recharged_Feasible_mat!U46=1),(VLOOKUP(T$1,test!$A$3:$I$32,8,FALSE))-(VLOOKUP($A77,test!$A$3:$I$32,9,FALSE))+test!$B$34,0)</f>
        <v>0</v>
      </c>
      <c r="U77">
        <f>IF(AND(SUM(VLOOKUP($A77,test!$A$3:$F$32,2,FALSE),VLOOKUP(U$1,test!$A$3:$F$32,2,FALSE))&lt;test!$K$16,$A77&lt;&gt;U$1,Recharged_Feasible_mat!V46=1),(VLOOKUP(U$1,test!$A$3:$I$32,8,FALSE))-(VLOOKUP($A77,test!$A$3:$I$32,9,FALSE))+test!$B$34,0)</f>
        <v>0</v>
      </c>
      <c r="V77">
        <f>IF(AND(SUM(VLOOKUP($A77,test!$A$3:$F$32,2,FALSE),VLOOKUP(V$1,test!$A$3:$F$32,2,FALSE))&lt;test!$K$16,$A77&lt;&gt;V$1,Recharged_Feasible_mat!W46=1),(VLOOKUP(V$1,test!$A$3:$I$32,8,FALSE))-(VLOOKUP($A77,test!$A$3:$I$32,9,FALSE))+test!$B$34,0)</f>
        <v>0</v>
      </c>
      <c r="W77">
        <f>IF(AND(SUM(VLOOKUP($A77,test!$A$3:$F$32,2,FALSE),VLOOKUP(W$1,test!$A$3:$F$32,2,FALSE))&lt;test!$K$16,$A77&lt;&gt;W$1,Recharged_Feasible_mat!X46=1),(VLOOKUP(W$1,test!$A$3:$I$32,8,FALSE))-(VLOOKUP($A77,test!$A$3:$I$32,9,FALSE))+test!$B$34,0)</f>
        <v>0</v>
      </c>
      <c r="X77">
        <f>IF(AND(SUM(VLOOKUP($A77,test!$A$3:$F$32,2,FALSE),VLOOKUP(X$1,test!$A$3:$F$32,2,FALSE))&lt;test!$K$16,$A77&lt;&gt;X$1,Recharged_Feasible_mat!Y46=1),(VLOOKUP(X$1,test!$A$3:$I$32,8,FALSE))-(VLOOKUP($A77,test!$A$3:$I$32,9,FALSE))+test!$B$34,0)</f>
        <v>0</v>
      </c>
      <c r="Y77">
        <f>IF(AND(SUM(VLOOKUP($A77,test!$A$3:$F$32,2,FALSE),VLOOKUP(Y$1,test!$A$3:$F$32,2,FALSE))&lt;test!$K$16,$A77&lt;&gt;Y$1,Recharged_Feasible_mat!Z46=1),(VLOOKUP(Y$1,test!$A$3:$I$32,8,FALSE))-(VLOOKUP($A77,test!$A$3:$I$32,9,FALSE))+test!$B$34,0)</f>
        <v>0</v>
      </c>
      <c r="Z77">
        <f>IF(AND(SUM(VLOOKUP($A77,test!$A$3:$F$32,2,FALSE),VLOOKUP(Z$1,test!$A$3:$F$32,2,FALSE))&lt;test!$K$16,$A77&lt;&gt;Z$1,Recharged_Feasible_mat!AA46=1),(VLOOKUP(Z$1,test!$A$3:$I$32,8,FALSE))-(VLOOKUP($A77,test!$A$3:$I$32,9,FALSE))+test!$B$34,0)</f>
        <v>0</v>
      </c>
      <c r="AA77">
        <f>IF(AND(SUM(VLOOKUP($A77,test!$A$3:$F$32,2,FALSE),VLOOKUP(AA$1,test!$A$3:$F$32,2,FALSE))&lt;test!$K$16,$A77&lt;&gt;AA$1,Recharged_Feasible_mat!AB46=1),(VLOOKUP(AA$1,test!$A$3:$I$32,8,FALSE))-(VLOOKUP($A77,test!$A$3:$I$32,9,FALSE))+test!$B$34,0)</f>
        <v>0</v>
      </c>
      <c r="AB77">
        <f>IF(AND(SUM(VLOOKUP($A77,test!$A$3:$F$32,2,FALSE),VLOOKUP(AB$1,test!$A$3:$F$32,2,FALSE))&lt;test!$K$16,$A77&lt;&gt;AB$1,Recharged_Feasible_mat!AC46=1),(VLOOKUP(AB$1,test!$A$3:$I$32,8,FALSE))-(VLOOKUP($A77,test!$A$3:$I$32,9,FALSE))+test!$B$34,0)</f>
        <v>0</v>
      </c>
      <c r="AC77">
        <f>IF(AND(SUM(VLOOKUP($A77,test!$A$3:$F$32,2,FALSE),VLOOKUP(AC$1,test!$A$3:$F$32,2,FALSE))&lt;test!$K$16,$A77&lt;&gt;AC$1,Recharged_Feasible_mat!AD46=1),(VLOOKUP(AC$1,test!$A$3:$I$32,8,FALSE))-(VLOOKUP($A77,test!$A$3:$I$32,9,FALSE))+test!$B$34,0)</f>
        <v>0</v>
      </c>
      <c r="AD77">
        <f>IF(AND(SUM(VLOOKUP($A77,test!$A$3:$F$32,2,FALSE),VLOOKUP(AD$1,test!$A$3:$F$32,2,FALSE))&lt;test!$K$16,$A77&lt;&gt;AD$1,Recharged_Feasible_mat!AE46=1),(VLOOKUP(AD$1,test!$A$3:$I$32,8,FALSE))-(VLOOKUP($A77,test!$A$3:$I$32,9,FALSE))+test!$B$34,0)</f>
        <v>0</v>
      </c>
      <c r="AE77">
        <f>IF(AND(SUM(VLOOKUP($A77,test!$A$3:$F$32,2,FALSE),VLOOKUP(AE$1,test!$A$3:$F$32,2,FALSE))&lt;test!$K$16,$A77&lt;&gt;AE$1,Recharged_Feasible_mat!AF46=1),(VLOOKUP(AE$1,test!$A$3:$I$32,8,FALSE))-(VLOOKUP($A77,test!$A$3:$I$32,9,FALSE))+test!$B$34,0)</f>
        <v>0</v>
      </c>
      <c r="AF77">
        <f>IF(AND(SUM(VLOOKUP($A77,test!$A$3:$F$32,2,FALSE),VLOOKUP(AF$1,test!$A$3:$F$32,2,FALSE))&lt;test!$K$16,$A77&lt;&gt;AF$1,Recharged_Feasible_mat!AG46=1),(VLOOKUP(AF$1,test!$A$3:$I$32,8,FALSE))-(VLOOKUP($A77,test!$A$3:$I$32,9,FALSE))+test!$B$34,0)</f>
        <v>0</v>
      </c>
    </row>
    <row r="78" spans="1:32" x14ac:dyDescent="0.25">
      <c r="A78" t="s">
        <v>24</v>
      </c>
      <c r="B78">
        <v>0</v>
      </c>
      <c r="C78">
        <f>IF(AND(SUM(VLOOKUP($A78,test!$A$3:$F$32,2,FALSE),VLOOKUP(C$1,test!$A$3:$F$32,2,FALSE))&lt;test!$K$16,$A78&lt;&gt;C$1,Recharged_Feasible_mat!D47=1),(VLOOKUP(C$1,test!$A$3:$I$32,8,FALSE))-(VLOOKUP($A78,test!$A$3:$I$32,9,FALSE))+test!$B$34,0)</f>
        <v>0</v>
      </c>
      <c r="D78">
        <f>IF(AND(SUM(VLOOKUP($A78,test!$A$3:$F$32,2,FALSE),VLOOKUP(D$1,test!$A$3:$F$32,2,FALSE))&lt;test!$K$16,$A78&lt;&gt;D$1,Recharged_Feasible_mat!E47=1),(VLOOKUP(D$1,test!$A$3:$I$32,8,FALSE))-(VLOOKUP($A78,test!$A$3:$I$32,9,FALSE))+test!$B$34,0)</f>
        <v>0</v>
      </c>
      <c r="E78">
        <f>IF(AND(SUM(VLOOKUP($A78,test!$A$3:$F$32,2,FALSE),VLOOKUP(E$1,test!$A$3:$F$32,2,FALSE))&lt;test!$K$16,$A78&lt;&gt;E$1,Recharged_Feasible_mat!F47=1),(VLOOKUP(E$1,test!$A$3:$I$32,8,FALSE))-(VLOOKUP($A78,test!$A$3:$I$32,9,FALSE))+test!$B$34,0)</f>
        <v>0</v>
      </c>
      <c r="F78">
        <f>IF(AND(SUM(VLOOKUP($A78,test!$A$3:$F$32,2,FALSE),VLOOKUP(F$1,test!$A$3:$F$32,2,FALSE))&lt;test!$K$16,$A78&lt;&gt;F$1,Recharged_Feasible_mat!G47=1),(VLOOKUP(F$1,test!$A$3:$I$32,8,FALSE))-(VLOOKUP($A78,test!$A$3:$I$32,9,FALSE))+test!$B$34,0)</f>
        <v>0</v>
      </c>
      <c r="G78">
        <f>IF(AND(SUM(VLOOKUP($A78,test!$A$3:$F$32,2,FALSE),VLOOKUP(G$1,test!$A$3:$F$32,2,FALSE))&lt;test!$K$16,$A78&lt;&gt;G$1,Recharged_Feasible_mat!H47=1),(VLOOKUP(G$1,test!$A$3:$I$32,8,FALSE))-(VLOOKUP($A78,test!$A$3:$I$32,9,FALSE))+test!$B$34,0)</f>
        <v>0</v>
      </c>
      <c r="H78">
        <f>IF(AND(SUM(VLOOKUP($A78,test!$A$3:$F$32,2,FALSE),VLOOKUP(H$1,test!$A$3:$F$32,2,FALSE))&lt;test!$K$16,$A78&lt;&gt;H$1,Recharged_Feasible_mat!I47=1),(VLOOKUP(H$1,test!$A$3:$I$32,8,FALSE))-(VLOOKUP($A78,test!$A$3:$I$32,9,FALSE))+test!$B$34,0)</f>
        <v>320</v>
      </c>
      <c r="I78">
        <f>IF(AND(SUM(VLOOKUP($A78,test!$A$3:$F$32,2,FALSE),VLOOKUP(I$1,test!$A$3:$F$32,2,FALSE))&lt;test!$K$16,$A78&lt;&gt;I$1,Recharged_Feasible_mat!J47=1),(VLOOKUP(I$1,test!$A$3:$I$32,8,FALSE))-(VLOOKUP($A78,test!$A$3:$I$32,9,FALSE))+test!$B$34,0)</f>
        <v>380</v>
      </c>
      <c r="J78">
        <f>IF(AND(SUM(VLOOKUP($A78,test!$A$3:$F$32,2,FALSE),VLOOKUP(J$1,test!$A$3:$F$32,2,FALSE))&lt;test!$K$16,$A78&lt;&gt;J$1,Recharged_Feasible_mat!K47=1),(VLOOKUP(J$1,test!$A$3:$I$32,8,FALSE))-(VLOOKUP($A78,test!$A$3:$I$32,9,FALSE))+test!$B$34,0)</f>
        <v>470</v>
      </c>
      <c r="K78">
        <f>IF(AND(SUM(VLOOKUP($A78,test!$A$3:$F$32,2,FALSE),VLOOKUP(K$1,test!$A$3:$F$32,2,FALSE))&lt;test!$K$16,$A78&lt;&gt;K$1,Recharged_Feasible_mat!L47=1),(VLOOKUP(K$1,test!$A$3:$I$32,8,FALSE))-(VLOOKUP($A78,test!$A$3:$I$32,9,FALSE))+test!$B$34,0)</f>
        <v>0</v>
      </c>
      <c r="L78">
        <f>IF(AND(SUM(VLOOKUP($A78,test!$A$3:$F$32,2,FALSE),VLOOKUP(L$1,test!$A$3:$F$32,2,FALSE))&lt;test!$K$16,$A78&lt;&gt;L$1,Recharged_Feasible_mat!M47=1),(VLOOKUP(L$1,test!$A$3:$I$32,8,FALSE))-(VLOOKUP($A78,test!$A$3:$I$32,9,FALSE))+test!$B$34,0)</f>
        <v>0</v>
      </c>
      <c r="M78">
        <f>IF(AND(SUM(VLOOKUP($A78,test!$A$3:$F$32,2,FALSE),VLOOKUP(M$1,test!$A$3:$F$32,2,FALSE))&lt;test!$K$16,$A78&lt;&gt;M$1,Recharged_Feasible_mat!N47=1),(VLOOKUP(M$1,test!$A$3:$I$32,8,FALSE))-(VLOOKUP($A78,test!$A$3:$I$32,9,FALSE))+test!$B$34,0)</f>
        <v>0</v>
      </c>
      <c r="N78">
        <f>IF(AND(SUM(VLOOKUP($A78,test!$A$3:$F$32,2,FALSE),VLOOKUP(N$1,test!$A$3:$F$32,2,FALSE))&lt;test!$K$16,$A78&lt;&gt;N$1,Recharged_Feasible_mat!O47=1),(VLOOKUP(N$1,test!$A$3:$I$32,8,FALSE))-(VLOOKUP($A78,test!$A$3:$I$32,9,FALSE))+test!$B$34,0)</f>
        <v>0</v>
      </c>
      <c r="O78">
        <f>IF(AND(SUM(VLOOKUP($A78,test!$A$3:$F$32,2,FALSE),VLOOKUP(O$1,test!$A$3:$F$32,2,FALSE))&lt;test!$K$16,$A78&lt;&gt;O$1,Recharged_Feasible_mat!P47=1),(VLOOKUP(O$1,test!$A$3:$I$32,8,FALSE))-(VLOOKUP($A78,test!$A$3:$I$32,9,FALSE))+test!$B$34,0)</f>
        <v>0</v>
      </c>
      <c r="P78">
        <f>IF(AND(SUM(VLOOKUP($A78,test!$A$3:$F$32,2,FALSE),VLOOKUP(P$1,test!$A$3:$F$32,2,FALSE))&lt;test!$K$16,$A78&lt;&gt;P$1,Recharged_Feasible_mat!Q47=1),(VLOOKUP(P$1,test!$A$3:$I$32,8,FALSE))-(VLOOKUP($A78,test!$A$3:$I$32,9,FALSE))+test!$B$34,0)</f>
        <v>0</v>
      </c>
      <c r="Q78">
        <f>IF(AND(SUM(VLOOKUP($A78,test!$A$3:$F$32,2,FALSE),VLOOKUP(Q$1,test!$A$3:$F$32,2,FALSE))&lt;test!$K$16,$A78&lt;&gt;Q$1,Recharged_Feasible_mat!R47=1),(VLOOKUP(Q$1,test!$A$3:$I$32,8,FALSE))-(VLOOKUP($A78,test!$A$3:$I$32,9,FALSE))+test!$B$34,0)</f>
        <v>0</v>
      </c>
      <c r="R78">
        <f>IF(AND(SUM(VLOOKUP($A78,test!$A$3:$F$32,2,FALSE),VLOOKUP(R$1,test!$A$3:$F$32,2,FALSE))&lt;test!$K$16,$A78&lt;&gt;R$1,Recharged_Feasible_mat!S47=1),(VLOOKUP(R$1,test!$A$3:$I$32,8,FALSE))-(VLOOKUP($A78,test!$A$3:$I$32,9,FALSE))+test!$B$34,0)</f>
        <v>0</v>
      </c>
      <c r="S78">
        <f>IF(AND(SUM(VLOOKUP($A78,test!$A$3:$F$32,2,FALSE),VLOOKUP(S$1,test!$A$3:$F$32,2,FALSE))&lt;test!$K$16,$A78&lt;&gt;S$1,Recharged_Feasible_mat!T47=1),(VLOOKUP(S$1,test!$A$3:$I$32,8,FALSE))-(VLOOKUP($A78,test!$A$3:$I$32,9,FALSE))+test!$B$34,0)</f>
        <v>0</v>
      </c>
      <c r="T78">
        <f>IF(AND(SUM(VLOOKUP($A78,test!$A$3:$F$32,2,FALSE),VLOOKUP(T$1,test!$A$3:$F$32,2,FALSE))&lt;test!$K$16,$A78&lt;&gt;T$1,Recharged_Feasible_mat!U47=1),(VLOOKUP(T$1,test!$A$3:$I$32,8,FALSE))-(VLOOKUP($A78,test!$A$3:$I$32,9,FALSE))+test!$B$34,0)</f>
        <v>0</v>
      </c>
      <c r="U78">
        <f>IF(AND(SUM(VLOOKUP($A78,test!$A$3:$F$32,2,FALSE),VLOOKUP(U$1,test!$A$3:$F$32,2,FALSE))&lt;test!$K$16,$A78&lt;&gt;U$1,Recharged_Feasible_mat!V47=1),(VLOOKUP(U$1,test!$A$3:$I$32,8,FALSE))-(VLOOKUP($A78,test!$A$3:$I$32,9,FALSE))+test!$B$34,0)</f>
        <v>0</v>
      </c>
      <c r="V78">
        <f>IF(AND(SUM(VLOOKUP($A78,test!$A$3:$F$32,2,FALSE),VLOOKUP(V$1,test!$A$3:$F$32,2,FALSE))&lt;test!$K$16,$A78&lt;&gt;V$1,Recharged_Feasible_mat!W47=1),(VLOOKUP(V$1,test!$A$3:$I$32,8,FALSE))-(VLOOKUP($A78,test!$A$3:$I$32,9,FALSE))+test!$B$34,0)</f>
        <v>0</v>
      </c>
      <c r="W78">
        <f>IF(AND(SUM(VLOOKUP($A78,test!$A$3:$F$32,2,FALSE),VLOOKUP(W$1,test!$A$3:$F$32,2,FALSE))&lt;test!$K$16,$A78&lt;&gt;W$1,Recharged_Feasible_mat!X47=1),(VLOOKUP(W$1,test!$A$3:$I$32,8,FALSE))-(VLOOKUP($A78,test!$A$3:$I$32,9,FALSE))+test!$B$34,0)</f>
        <v>360</v>
      </c>
      <c r="X78">
        <f>IF(AND(SUM(VLOOKUP($A78,test!$A$3:$F$32,2,FALSE),VLOOKUP(X$1,test!$A$3:$F$32,2,FALSE))&lt;test!$K$16,$A78&lt;&gt;X$1,Recharged_Feasible_mat!Y47=1),(VLOOKUP(X$1,test!$A$3:$I$32,8,FALSE))-(VLOOKUP($A78,test!$A$3:$I$32,9,FALSE))+test!$B$34,0)</f>
        <v>420</v>
      </c>
      <c r="Y78">
        <f>IF(AND(SUM(VLOOKUP($A78,test!$A$3:$F$32,2,FALSE),VLOOKUP(Y$1,test!$A$3:$F$32,2,FALSE))&lt;test!$K$16,$A78&lt;&gt;Y$1,Recharged_Feasible_mat!Z47=1),(VLOOKUP(Y$1,test!$A$3:$I$32,8,FALSE))-(VLOOKUP($A78,test!$A$3:$I$32,9,FALSE))+test!$B$34,0)</f>
        <v>0</v>
      </c>
      <c r="Z78">
        <f>IF(AND(SUM(VLOOKUP($A78,test!$A$3:$F$32,2,FALSE),VLOOKUP(Z$1,test!$A$3:$F$32,2,FALSE))&lt;test!$K$16,$A78&lt;&gt;Z$1,Recharged_Feasible_mat!AA47=1),(VLOOKUP(Z$1,test!$A$3:$I$32,8,FALSE))-(VLOOKUP($A78,test!$A$3:$I$32,9,FALSE))+test!$B$34,0)</f>
        <v>0</v>
      </c>
      <c r="AA78">
        <f>IF(AND(SUM(VLOOKUP($A78,test!$A$3:$F$32,2,FALSE),VLOOKUP(AA$1,test!$A$3:$F$32,2,FALSE))&lt;test!$K$16,$A78&lt;&gt;AA$1,Recharged_Feasible_mat!AB47=1),(VLOOKUP(AA$1,test!$A$3:$I$32,8,FALSE))-(VLOOKUP($A78,test!$A$3:$I$32,9,FALSE))+test!$B$34,0)</f>
        <v>0</v>
      </c>
      <c r="AB78">
        <f>IF(AND(SUM(VLOOKUP($A78,test!$A$3:$F$32,2,FALSE),VLOOKUP(AB$1,test!$A$3:$F$32,2,FALSE))&lt;test!$K$16,$A78&lt;&gt;AB$1,Recharged_Feasible_mat!AC47=1),(VLOOKUP(AB$1,test!$A$3:$I$32,8,FALSE))-(VLOOKUP($A78,test!$A$3:$I$32,9,FALSE))+test!$B$34,0)</f>
        <v>0</v>
      </c>
      <c r="AC78">
        <f>IF(AND(SUM(VLOOKUP($A78,test!$A$3:$F$32,2,FALSE),VLOOKUP(AC$1,test!$A$3:$F$32,2,FALSE))&lt;test!$K$16,$A78&lt;&gt;AC$1,Recharged_Feasible_mat!AD47=1),(VLOOKUP(AC$1,test!$A$3:$I$32,8,FALSE))-(VLOOKUP($A78,test!$A$3:$I$32,9,FALSE))+test!$B$34,0)</f>
        <v>0</v>
      </c>
      <c r="AD78">
        <f>IF(AND(SUM(VLOOKUP($A78,test!$A$3:$F$32,2,FALSE),VLOOKUP(AD$1,test!$A$3:$F$32,2,FALSE))&lt;test!$K$16,$A78&lt;&gt;AD$1,Recharged_Feasible_mat!AE47=1),(VLOOKUP(AD$1,test!$A$3:$I$32,8,FALSE))-(VLOOKUP($A78,test!$A$3:$I$32,9,FALSE))+test!$B$34,0)</f>
        <v>0</v>
      </c>
      <c r="AE78">
        <f>IF(AND(SUM(VLOOKUP($A78,test!$A$3:$F$32,2,FALSE),VLOOKUP(AE$1,test!$A$3:$F$32,2,FALSE))&lt;test!$K$16,$A78&lt;&gt;AE$1,Recharged_Feasible_mat!AF47=1),(VLOOKUP(AE$1,test!$A$3:$I$32,8,FALSE))-(VLOOKUP($A78,test!$A$3:$I$32,9,FALSE))+test!$B$34,0)</f>
        <v>0</v>
      </c>
      <c r="AF78">
        <f>IF(AND(SUM(VLOOKUP($A78,test!$A$3:$F$32,2,FALSE),VLOOKUP(AF$1,test!$A$3:$F$32,2,FALSE))&lt;test!$K$16,$A78&lt;&gt;AF$1,Recharged_Feasible_mat!AG47=1),(VLOOKUP(AF$1,test!$A$3:$I$32,8,FALSE))-(VLOOKUP($A78,test!$A$3:$I$32,9,FALSE))+test!$B$34,0)</f>
        <v>0</v>
      </c>
    </row>
    <row r="79" spans="1:32" x14ac:dyDescent="0.25">
      <c r="A79" t="s">
        <v>26</v>
      </c>
      <c r="B79">
        <v>0</v>
      </c>
      <c r="C79">
        <f>IF(AND(SUM(VLOOKUP($A79,test!$A$3:$F$32,2,FALSE),VLOOKUP(C$1,test!$A$3:$F$32,2,FALSE))&lt;test!$K$16,$A79&lt;&gt;C$1,Recharged_Feasible_mat!D48=1),(VLOOKUP(C$1,test!$A$3:$I$32,8,FALSE))-(VLOOKUP($A79,test!$A$3:$I$32,9,FALSE))+test!$B$34,0)</f>
        <v>0</v>
      </c>
      <c r="D79">
        <f>IF(AND(SUM(VLOOKUP($A79,test!$A$3:$F$32,2,FALSE),VLOOKUP(D$1,test!$A$3:$F$32,2,FALSE))&lt;test!$K$16,$A79&lt;&gt;D$1,Recharged_Feasible_mat!E48=1),(VLOOKUP(D$1,test!$A$3:$I$32,8,FALSE))-(VLOOKUP($A79,test!$A$3:$I$32,9,FALSE))+test!$B$34,0)</f>
        <v>115</v>
      </c>
      <c r="E79">
        <f>IF(AND(SUM(VLOOKUP($A79,test!$A$3:$F$32,2,FALSE),VLOOKUP(E$1,test!$A$3:$F$32,2,FALSE))&lt;test!$K$16,$A79&lt;&gt;E$1,Recharged_Feasible_mat!F48=1),(VLOOKUP(E$1,test!$A$3:$I$32,8,FALSE))-(VLOOKUP($A79,test!$A$3:$I$32,9,FALSE))+test!$B$34,0)</f>
        <v>205</v>
      </c>
      <c r="F79">
        <f>IF(AND(SUM(VLOOKUP($A79,test!$A$3:$F$32,2,FALSE),VLOOKUP(F$1,test!$A$3:$F$32,2,FALSE))&lt;test!$K$16,$A79&lt;&gt;F$1,Recharged_Feasible_mat!G48=1),(VLOOKUP(F$1,test!$A$3:$I$32,8,FALSE))-(VLOOKUP($A79,test!$A$3:$I$32,9,FALSE))+test!$B$34,0)</f>
        <v>295</v>
      </c>
      <c r="G79">
        <f>IF(AND(SUM(VLOOKUP($A79,test!$A$3:$F$32,2,FALSE),VLOOKUP(G$1,test!$A$3:$F$32,2,FALSE))&lt;test!$K$16,$A79&lt;&gt;G$1,Recharged_Feasible_mat!H48=1),(VLOOKUP(G$1,test!$A$3:$I$32,8,FALSE))-(VLOOKUP($A79,test!$A$3:$I$32,9,FALSE))+test!$B$34,0)</f>
        <v>355</v>
      </c>
      <c r="H79">
        <f>IF(AND(SUM(VLOOKUP($A79,test!$A$3:$F$32,2,FALSE),VLOOKUP(H$1,test!$A$3:$F$32,2,FALSE))&lt;test!$K$16,$A79&lt;&gt;H$1,Recharged_Feasible_mat!I48=1),(VLOOKUP(H$1,test!$A$3:$I$32,8,FALSE))-(VLOOKUP($A79,test!$A$3:$I$32,9,FALSE))+test!$B$34,0)</f>
        <v>415</v>
      </c>
      <c r="I79">
        <f>IF(AND(SUM(VLOOKUP($A79,test!$A$3:$F$32,2,FALSE),VLOOKUP(I$1,test!$A$3:$F$32,2,FALSE))&lt;test!$K$16,$A79&lt;&gt;I$1,Recharged_Feasible_mat!J48=1),(VLOOKUP(I$1,test!$A$3:$I$32,8,FALSE))-(VLOOKUP($A79,test!$A$3:$I$32,9,FALSE))+test!$B$34,0)</f>
        <v>475</v>
      </c>
      <c r="J79">
        <f>IF(AND(SUM(VLOOKUP($A79,test!$A$3:$F$32,2,FALSE),VLOOKUP(J$1,test!$A$3:$F$32,2,FALSE))&lt;test!$K$16,$A79&lt;&gt;J$1,Recharged_Feasible_mat!K48=1),(VLOOKUP(J$1,test!$A$3:$I$32,8,FALSE))-(VLOOKUP($A79,test!$A$3:$I$32,9,FALSE))+test!$B$34,0)</f>
        <v>565</v>
      </c>
      <c r="K79">
        <f>IF(AND(SUM(VLOOKUP($A79,test!$A$3:$F$32,2,FALSE),VLOOKUP(K$1,test!$A$3:$F$32,2,FALSE))&lt;test!$K$16,$A79&lt;&gt;K$1,Recharged_Feasible_mat!L48=1),(VLOOKUP(K$1,test!$A$3:$I$32,8,FALSE))-(VLOOKUP($A79,test!$A$3:$I$32,9,FALSE))+test!$B$34,0)</f>
        <v>0</v>
      </c>
      <c r="L79">
        <f>IF(AND(SUM(VLOOKUP($A79,test!$A$3:$F$32,2,FALSE),VLOOKUP(L$1,test!$A$3:$F$32,2,FALSE))&lt;test!$K$16,$A79&lt;&gt;L$1,Recharged_Feasible_mat!M48=1),(VLOOKUP(L$1,test!$A$3:$I$32,8,FALSE))-(VLOOKUP($A79,test!$A$3:$I$32,9,FALSE))+test!$B$34,0)</f>
        <v>0</v>
      </c>
      <c r="M79">
        <f>IF(AND(SUM(VLOOKUP($A79,test!$A$3:$F$32,2,FALSE),VLOOKUP(M$1,test!$A$3:$F$32,2,FALSE))&lt;test!$K$16,$A79&lt;&gt;M$1,Recharged_Feasible_mat!N48=1),(VLOOKUP(M$1,test!$A$3:$I$32,8,FALSE))-(VLOOKUP($A79,test!$A$3:$I$32,9,FALSE))+test!$B$34,0)</f>
        <v>170</v>
      </c>
      <c r="N79">
        <f>IF(AND(SUM(VLOOKUP($A79,test!$A$3:$F$32,2,FALSE),VLOOKUP(N$1,test!$A$3:$F$32,2,FALSE))&lt;test!$K$16,$A79&lt;&gt;N$1,Recharged_Feasible_mat!O48=1),(VLOOKUP(N$1,test!$A$3:$I$32,8,FALSE))-(VLOOKUP($A79,test!$A$3:$I$32,9,FALSE))+test!$B$34,0)</f>
        <v>530</v>
      </c>
      <c r="O79">
        <f>IF(AND(SUM(VLOOKUP($A79,test!$A$3:$F$32,2,FALSE),VLOOKUP(O$1,test!$A$3:$F$32,2,FALSE))&lt;test!$K$16,$A79&lt;&gt;O$1,Recharged_Feasible_mat!P48=1),(VLOOKUP(O$1,test!$A$3:$I$32,8,FALSE))-(VLOOKUP($A79,test!$A$3:$I$32,9,FALSE))+test!$B$34,0)</f>
        <v>590</v>
      </c>
      <c r="P79">
        <f>IF(AND(SUM(VLOOKUP($A79,test!$A$3:$F$32,2,FALSE),VLOOKUP(P$1,test!$A$3:$F$32,2,FALSE))&lt;test!$K$16,$A79&lt;&gt;P$1,Recharged_Feasible_mat!Q48=1),(VLOOKUP(P$1,test!$A$3:$I$32,8,FALSE))-(VLOOKUP($A79,test!$A$3:$I$32,9,FALSE))+test!$B$34,0)</f>
        <v>0</v>
      </c>
      <c r="Q79">
        <f>IF(AND(SUM(VLOOKUP($A79,test!$A$3:$F$32,2,FALSE),VLOOKUP(Q$1,test!$A$3:$F$32,2,FALSE))&lt;test!$K$16,$A79&lt;&gt;Q$1,Recharged_Feasible_mat!R48=1),(VLOOKUP(Q$1,test!$A$3:$I$32,8,FALSE))-(VLOOKUP($A79,test!$A$3:$I$32,9,FALSE))+test!$B$34,0)</f>
        <v>0</v>
      </c>
      <c r="R79">
        <f>IF(AND(SUM(VLOOKUP($A79,test!$A$3:$F$32,2,FALSE),VLOOKUP(R$1,test!$A$3:$F$32,2,FALSE))&lt;test!$K$16,$A79&lt;&gt;R$1,Recharged_Feasible_mat!S48=1),(VLOOKUP(R$1,test!$A$3:$I$32,8,FALSE))-(VLOOKUP($A79,test!$A$3:$I$32,9,FALSE))+test!$B$34,0)</f>
        <v>0</v>
      </c>
      <c r="S79">
        <f>IF(AND(SUM(VLOOKUP($A79,test!$A$3:$F$32,2,FALSE),VLOOKUP(S$1,test!$A$3:$F$32,2,FALSE))&lt;test!$K$16,$A79&lt;&gt;S$1,Recharged_Feasible_mat!T48=1),(VLOOKUP(S$1,test!$A$3:$I$32,8,FALSE))-(VLOOKUP($A79,test!$A$3:$I$32,9,FALSE))+test!$B$34,0)</f>
        <v>0</v>
      </c>
      <c r="T79">
        <f>IF(AND(SUM(VLOOKUP($A79,test!$A$3:$F$32,2,FALSE),VLOOKUP(T$1,test!$A$3:$F$32,2,FALSE))&lt;test!$K$16,$A79&lt;&gt;T$1,Recharged_Feasible_mat!U48=1),(VLOOKUP(T$1,test!$A$3:$I$32,8,FALSE))-(VLOOKUP($A79,test!$A$3:$I$32,9,FALSE))+test!$B$34,0)</f>
        <v>185</v>
      </c>
      <c r="U79">
        <f>IF(AND(SUM(VLOOKUP($A79,test!$A$3:$F$32,2,FALSE),VLOOKUP(U$1,test!$A$3:$F$32,2,FALSE))&lt;test!$K$16,$A79&lt;&gt;U$1,Recharged_Feasible_mat!V48=1),(VLOOKUP(U$1,test!$A$3:$I$32,8,FALSE))-(VLOOKUP($A79,test!$A$3:$I$32,9,FALSE))+test!$B$34,0)</f>
        <v>275</v>
      </c>
      <c r="V79">
        <f>IF(AND(SUM(VLOOKUP($A79,test!$A$3:$F$32,2,FALSE),VLOOKUP(V$1,test!$A$3:$F$32,2,FALSE))&lt;test!$K$16,$A79&lt;&gt;V$1,Recharged_Feasible_mat!W48=1),(VLOOKUP(V$1,test!$A$3:$I$32,8,FALSE))-(VLOOKUP($A79,test!$A$3:$I$32,9,FALSE))+test!$B$34,0)</f>
        <v>365</v>
      </c>
      <c r="W79">
        <f>IF(AND(SUM(VLOOKUP($A79,test!$A$3:$F$32,2,FALSE),VLOOKUP(W$1,test!$A$3:$F$32,2,FALSE))&lt;test!$K$16,$A79&lt;&gt;W$1,Recharged_Feasible_mat!X48=1),(VLOOKUP(W$1,test!$A$3:$I$32,8,FALSE))-(VLOOKUP($A79,test!$A$3:$I$32,9,FALSE))+test!$B$34,0)</f>
        <v>455</v>
      </c>
      <c r="X79">
        <f>IF(AND(SUM(VLOOKUP($A79,test!$A$3:$F$32,2,FALSE),VLOOKUP(X$1,test!$A$3:$F$32,2,FALSE))&lt;test!$K$16,$A79&lt;&gt;X$1,Recharged_Feasible_mat!Y48=1),(VLOOKUP(X$1,test!$A$3:$I$32,8,FALSE))-(VLOOKUP($A79,test!$A$3:$I$32,9,FALSE))+test!$B$34,0)</f>
        <v>515</v>
      </c>
      <c r="Y79">
        <f>IF(AND(SUM(VLOOKUP($A79,test!$A$3:$F$32,2,FALSE),VLOOKUP(Y$1,test!$A$3:$F$32,2,FALSE))&lt;test!$K$16,$A79&lt;&gt;Y$1,Recharged_Feasible_mat!Z48=1),(VLOOKUP(Y$1,test!$A$3:$I$32,8,FALSE))-(VLOOKUP($A79,test!$A$3:$I$32,9,FALSE))+test!$B$34,0)</f>
        <v>0</v>
      </c>
      <c r="Z79">
        <f>IF(AND(SUM(VLOOKUP($A79,test!$A$3:$F$32,2,FALSE),VLOOKUP(Z$1,test!$A$3:$F$32,2,FALSE))&lt;test!$K$16,$A79&lt;&gt;Z$1,Recharged_Feasible_mat!AA48=1),(VLOOKUP(Z$1,test!$A$3:$I$32,8,FALSE))-(VLOOKUP($A79,test!$A$3:$I$32,9,FALSE))+test!$B$34,0)</f>
        <v>115</v>
      </c>
      <c r="AA79">
        <f>IF(AND(SUM(VLOOKUP($A79,test!$A$3:$F$32,2,FALSE),VLOOKUP(AA$1,test!$A$3:$F$32,2,FALSE))&lt;test!$K$16,$A79&lt;&gt;AA$1,Recharged_Feasible_mat!AB48=1),(VLOOKUP(AA$1,test!$A$3:$I$32,8,FALSE))-(VLOOKUP($A79,test!$A$3:$I$32,9,FALSE))+test!$B$34,0)</f>
        <v>235</v>
      </c>
      <c r="AB79">
        <f>IF(AND(SUM(VLOOKUP($A79,test!$A$3:$F$32,2,FALSE),VLOOKUP(AB$1,test!$A$3:$F$32,2,FALSE))&lt;test!$K$16,$A79&lt;&gt;AB$1,Recharged_Feasible_mat!AC48=1),(VLOOKUP(AB$1,test!$A$3:$I$32,8,FALSE))-(VLOOKUP($A79,test!$A$3:$I$32,9,FALSE))+test!$B$34,0)</f>
        <v>295</v>
      </c>
      <c r="AC79">
        <f>IF(AND(SUM(VLOOKUP($A79,test!$A$3:$F$32,2,FALSE),VLOOKUP(AC$1,test!$A$3:$F$32,2,FALSE))&lt;test!$K$16,$A79&lt;&gt;AC$1,Recharged_Feasible_mat!AD48=1),(VLOOKUP(AC$1,test!$A$3:$I$32,8,FALSE))-(VLOOKUP($A79,test!$A$3:$I$32,9,FALSE))+test!$B$34,0)</f>
        <v>415</v>
      </c>
      <c r="AD79">
        <f>IF(AND(SUM(VLOOKUP($A79,test!$A$3:$F$32,2,FALSE),VLOOKUP(AD$1,test!$A$3:$F$32,2,FALSE))&lt;test!$K$16,$A79&lt;&gt;AD$1,Recharged_Feasible_mat!AE48=1),(VLOOKUP(AD$1,test!$A$3:$I$32,8,FALSE))-(VLOOKUP($A79,test!$A$3:$I$32,9,FALSE))+test!$B$34,0)</f>
        <v>0</v>
      </c>
      <c r="AE79">
        <f>IF(AND(SUM(VLOOKUP($A79,test!$A$3:$F$32,2,FALSE),VLOOKUP(AE$1,test!$A$3:$F$32,2,FALSE))&lt;test!$K$16,$A79&lt;&gt;AE$1,Recharged_Feasible_mat!AF48=1),(VLOOKUP(AE$1,test!$A$3:$I$32,8,FALSE))-(VLOOKUP($A79,test!$A$3:$I$32,9,FALSE))+test!$B$34,0)</f>
        <v>235</v>
      </c>
      <c r="AF79">
        <f>IF(AND(SUM(VLOOKUP($A79,test!$A$3:$F$32,2,FALSE),VLOOKUP(AF$1,test!$A$3:$F$32,2,FALSE))&lt;test!$K$16,$A79&lt;&gt;AF$1,Recharged_Feasible_mat!AG48=1),(VLOOKUP(AF$1,test!$A$3:$I$32,8,FALSE))-(VLOOKUP($A79,test!$A$3:$I$32,9,FALSE))+test!$B$34,0)</f>
        <v>0</v>
      </c>
    </row>
    <row r="80" spans="1:32" x14ac:dyDescent="0.25">
      <c r="A80" t="s">
        <v>27</v>
      </c>
      <c r="B80">
        <v>0</v>
      </c>
      <c r="C80">
        <f>IF(AND(SUM(VLOOKUP($A80,test!$A$3:$F$32,2,FALSE),VLOOKUP(C$1,test!$A$3:$F$32,2,FALSE))&lt;test!$K$16,$A80&lt;&gt;C$1,Recharged_Feasible_mat!D49=1),(VLOOKUP(C$1,test!$A$3:$I$32,8,FALSE))-(VLOOKUP($A80,test!$A$3:$I$32,9,FALSE))+test!$B$34,0)</f>
        <v>0</v>
      </c>
      <c r="D80">
        <f>IF(AND(SUM(VLOOKUP($A80,test!$A$3:$F$32,2,FALSE),VLOOKUP(D$1,test!$A$3:$F$32,2,FALSE))&lt;test!$K$16,$A80&lt;&gt;D$1,Recharged_Feasible_mat!E49=1),(VLOOKUP(D$1,test!$A$3:$I$32,8,FALSE))-(VLOOKUP($A80,test!$A$3:$I$32,9,FALSE))+test!$B$34,0)</f>
        <v>0</v>
      </c>
      <c r="E80">
        <f>IF(AND(SUM(VLOOKUP($A80,test!$A$3:$F$32,2,FALSE),VLOOKUP(E$1,test!$A$3:$F$32,2,FALSE))&lt;test!$K$16,$A80&lt;&gt;E$1,Recharged_Feasible_mat!F49=1),(VLOOKUP(E$1,test!$A$3:$I$32,8,FALSE))-(VLOOKUP($A80,test!$A$3:$I$32,9,FALSE))+test!$B$34,0)</f>
        <v>115</v>
      </c>
      <c r="F80">
        <f>IF(AND(SUM(VLOOKUP($A80,test!$A$3:$F$32,2,FALSE),VLOOKUP(F$1,test!$A$3:$F$32,2,FALSE))&lt;test!$K$16,$A80&lt;&gt;F$1,Recharged_Feasible_mat!G49=1),(VLOOKUP(F$1,test!$A$3:$I$32,8,FALSE))-(VLOOKUP($A80,test!$A$3:$I$32,9,FALSE))+test!$B$34,0)</f>
        <v>205</v>
      </c>
      <c r="G80">
        <f>IF(AND(SUM(VLOOKUP($A80,test!$A$3:$F$32,2,FALSE),VLOOKUP(G$1,test!$A$3:$F$32,2,FALSE))&lt;test!$K$16,$A80&lt;&gt;G$1,Recharged_Feasible_mat!H49=1),(VLOOKUP(G$1,test!$A$3:$I$32,8,FALSE))-(VLOOKUP($A80,test!$A$3:$I$32,9,FALSE))+test!$B$34,0)</f>
        <v>265</v>
      </c>
      <c r="H80">
        <f>IF(AND(SUM(VLOOKUP($A80,test!$A$3:$F$32,2,FALSE),VLOOKUP(H$1,test!$A$3:$F$32,2,FALSE))&lt;test!$K$16,$A80&lt;&gt;H$1,Recharged_Feasible_mat!I49=1),(VLOOKUP(H$1,test!$A$3:$I$32,8,FALSE))-(VLOOKUP($A80,test!$A$3:$I$32,9,FALSE))+test!$B$34,0)</f>
        <v>325</v>
      </c>
      <c r="I80">
        <f>IF(AND(SUM(VLOOKUP($A80,test!$A$3:$F$32,2,FALSE),VLOOKUP(I$1,test!$A$3:$F$32,2,FALSE))&lt;test!$K$16,$A80&lt;&gt;I$1,Recharged_Feasible_mat!J49=1),(VLOOKUP(I$1,test!$A$3:$I$32,8,FALSE))-(VLOOKUP($A80,test!$A$3:$I$32,9,FALSE))+test!$B$34,0)</f>
        <v>385</v>
      </c>
      <c r="J80">
        <f>IF(AND(SUM(VLOOKUP($A80,test!$A$3:$F$32,2,FALSE),VLOOKUP(J$1,test!$A$3:$F$32,2,FALSE))&lt;test!$K$16,$A80&lt;&gt;J$1,Recharged_Feasible_mat!K49=1),(VLOOKUP(J$1,test!$A$3:$I$32,8,FALSE))-(VLOOKUP($A80,test!$A$3:$I$32,9,FALSE))+test!$B$34,0)</f>
        <v>475</v>
      </c>
      <c r="K80">
        <f>IF(AND(SUM(VLOOKUP($A80,test!$A$3:$F$32,2,FALSE),VLOOKUP(K$1,test!$A$3:$F$32,2,FALSE))&lt;test!$K$16,$A80&lt;&gt;K$1,Recharged_Feasible_mat!L49=1),(VLOOKUP(K$1,test!$A$3:$I$32,8,FALSE))-(VLOOKUP($A80,test!$A$3:$I$32,9,FALSE))+test!$B$34,0)</f>
        <v>0</v>
      </c>
      <c r="L80">
        <f>IF(AND(SUM(VLOOKUP($A80,test!$A$3:$F$32,2,FALSE),VLOOKUP(L$1,test!$A$3:$F$32,2,FALSE))&lt;test!$K$16,$A80&lt;&gt;L$1,Recharged_Feasible_mat!M49=1),(VLOOKUP(L$1,test!$A$3:$I$32,8,FALSE))-(VLOOKUP($A80,test!$A$3:$I$32,9,FALSE))+test!$B$34,0)</f>
        <v>0</v>
      </c>
      <c r="M80">
        <f>IF(AND(SUM(VLOOKUP($A80,test!$A$3:$F$32,2,FALSE),VLOOKUP(M$1,test!$A$3:$F$32,2,FALSE))&lt;test!$K$16,$A80&lt;&gt;M$1,Recharged_Feasible_mat!N49=1),(VLOOKUP(M$1,test!$A$3:$I$32,8,FALSE))-(VLOOKUP($A80,test!$A$3:$I$32,9,FALSE))+test!$B$34,0)</f>
        <v>0</v>
      </c>
      <c r="N80">
        <f>IF(AND(SUM(VLOOKUP($A80,test!$A$3:$F$32,2,FALSE),VLOOKUP(N$1,test!$A$3:$F$32,2,FALSE))&lt;test!$K$16,$A80&lt;&gt;N$1,Recharged_Feasible_mat!O49=1),(VLOOKUP(N$1,test!$A$3:$I$32,8,FALSE))-(VLOOKUP($A80,test!$A$3:$I$32,9,FALSE))+test!$B$34,0)</f>
        <v>440</v>
      </c>
      <c r="O80">
        <f>IF(AND(SUM(VLOOKUP($A80,test!$A$3:$F$32,2,FALSE),VLOOKUP(O$1,test!$A$3:$F$32,2,FALSE))&lt;test!$K$16,$A80&lt;&gt;O$1,Recharged_Feasible_mat!P49=1),(VLOOKUP(O$1,test!$A$3:$I$32,8,FALSE))-(VLOOKUP($A80,test!$A$3:$I$32,9,FALSE))+test!$B$34,0)</f>
        <v>500</v>
      </c>
      <c r="P80">
        <f>IF(AND(SUM(VLOOKUP($A80,test!$A$3:$F$32,2,FALSE),VLOOKUP(P$1,test!$A$3:$F$32,2,FALSE))&lt;test!$K$16,$A80&lt;&gt;P$1,Recharged_Feasible_mat!Q49=1),(VLOOKUP(P$1,test!$A$3:$I$32,8,FALSE))-(VLOOKUP($A80,test!$A$3:$I$32,9,FALSE))+test!$B$34,0)</f>
        <v>0</v>
      </c>
      <c r="Q80">
        <f>IF(AND(SUM(VLOOKUP($A80,test!$A$3:$F$32,2,FALSE),VLOOKUP(Q$1,test!$A$3:$F$32,2,FALSE))&lt;test!$K$16,$A80&lt;&gt;Q$1,Recharged_Feasible_mat!R49=1),(VLOOKUP(Q$1,test!$A$3:$I$32,8,FALSE))-(VLOOKUP($A80,test!$A$3:$I$32,9,FALSE))+test!$B$34,0)</f>
        <v>0</v>
      </c>
      <c r="R80">
        <f>IF(AND(SUM(VLOOKUP($A80,test!$A$3:$F$32,2,FALSE),VLOOKUP(R$1,test!$A$3:$F$32,2,FALSE))&lt;test!$K$16,$A80&lt;&gt;R$1,Recharged_Feasible_mat!S49=1),(VLOOKUP(R$1,test!$A$3:$I$32,8,FALSE))-(VLOOKUP($A80,test!$A$3:$I$32,9,FALSE))+test!$B$34,0)</f>
        <v>0</v>
      </c>
      <c r="S80">
        <f>IF(AND(SUM(VLOOKUP($A80,test!$A$3:$F$32,2,FALSE),VLOOKUP(S$1,test!$A$3:$F$32,2,FALSE))&lt;test!$K$16,$A80&lt;&gt;S$1,Recharged_Feasible_mat!T49=1),(VLOOKUP(S$1,test!$A$3:$I$32,8,FALSE))-(VLOOKUP($A80,test!$A$3:$I$32,9,FALSE))+test!$B$34,0)</f>
        <v>0</v>
      </c>
      <c r="T80">
        <f>IF(AND(SUM(VLOOKUP($A80,test!$A$3:$F$32,2,FALSE),VLOOKUP(T$1,test!$A$3:$F$32,2,FALSE))&lt;test!$K$16,$A80&lt;&gt;T$1,Recharged_Feasible_mat!U49=1),(VLOOKUP(T$1,test!$A$3:$I$32,8,FALSE))-(VLOOKUP($A80,test!$A$3:$I$32,9,FALSE))+test!$B$34,0)</f>
        <v>0</v>
      </c>
      <c r="U80">
        <f>IF(AND(SUM(VLOOKUP($A80,test!$A$3:$F$32,2,FALSE),VLOOKUP(U$1,test!$A$3:$F$32,2,FALSE))&lt;test!$K$16,$A80&lt;&gt;U$1,Recharged_Feasible_mat!V49=1),(VLOOKUP(U$1,test!$A$3:$I$32,8,FALSE))-(VLOOKUP($A80,test!$A$3:$I$32,9,FALSE))+test!$B$34,0)</f>
        <v>185</v>
      </c>
      <c r="V80">
        <f>IF(AND(SUM(VLOOKUP($A80,test!$A$3:$F$32,2,FALSE),VLOOKUP(V$1,test!$A$3:$F$32,2,FALSE))&lt;test!$K$16,$A80&lt;&gt;V$1,Recharged_Feasible_mat!W49=1),(VLOOKUP(V$1,test!$A$3:$I$32,8,FALSE))-(VLOOKUP($A80,test!$A$3:$I$32,9,FALSE))+test!$B$34,0)</f>
        <v>275</v>
      </c>
      <c r="W80">
        <f>IF(AND(SUM(VLOOKUP($A80,test!$A$3:$F$32,2,FALSE),VLOOKUP(W$1,test!$A$3:$F$32,2,FALSE))&lt;test!$K$16,$A80&lt;&gt;W$1,Recharged_Feasible_mat!X49=1),(VLOOKUP(W$1,test!$A$3:$I$32,8,FALSE))-(VLOOKUP($A80,test!$A$3:$I$32,9,FALSE))+test!$B$34,0)</f>
        <v>365</v>
      </c>
      <c r="X80">
        <f>IF(AND(SUM(VLOOKUP($A80,test!$A$3:$F$32,2,FALSE),VLOOKUP(X$1,test!$A$3:$F$32,2,FALSE))&lt;test!$K$16,$A80&lt;&gt;X$1,Recharged_Feasible_mat!Y49=1),(VLOOKUP(X$1,test!$A$3:$I$32,8,FALSE))-(VLOOKUP($A80,test!$A$3:$I$32,9,FALSE))+test!$B$34,0)</f>
        <v>425</v>
      </c>
      <c r="Y80">
        <f>IF(AND(SUM(VLOOKUP($A80,test!$A$3:$F$32,2,FALSE),VLOOKUP(Y$1,test!$A$3:$F$32,2,FALSE))&lt;test!$K$16,$A80&lt;&gt;Y$1,Recharged_Feasible_mat!Z49=1),(VLOOKUP(Y$1,test!$A$3:$I$32,8,FALSE))-(VLOOKUP($A80,test!$A$3:$I$32,9,FALSE))+test!$B$34,0)</f>
        <v>0</v>
      </c>
      <c r="Z80">
        <f>IF(AND(SUM(VLOOKUP($A80,test!$A$3:$F$32,2,FALSE),VLOOKUP(Z$1,test!$A$3:$F$32,2,FALSE))&lt;test!$K$16,$A80&lt;&gt;Z$1,Recharged_Feasible_mat!AA49=1),(VLOOKUP(Z$1,test!$A$3:$I$32,8,FALSE))-(VLOOKUP($A80,test!$A$3:$I$32,9,FALSE))+test!$B$34,0)</f>
        <v>0</v>
      </c>
      <c r="AA80">
        <f>IF(AND(SUM(VLOOKUP($A80,test!$A$3:$F$32,2,FALSE),VLOOKUP(AA$1,test!$A$3:$F$32,2,FALSE))&lt;test!$K$16,$A80&lt;&gt;AA$1,Recharged_Feasible_mat!AB49=1),(VLOOKUP(AA$1,test!$A$3:$I$32,8,FALSE))-(VLOOKUP($A80,test!$A$3:$I$32,9,FALSE))+test!$B$34,0)</f>
        <v>145</v>
      </c>
      <c r="AB80">
        <f>IF(AND(SUM(VLOOKUP($A80,test!$A$3:$F$32,2,FALSE),VLOOKUP(AB$1,test!$A$3:$F$32,2,FALSE))&lt;test!$K$16,$A80&lt;&gt;AB$1,Recharged_Feasible_mat!AC49=1),(VLOOKUP(AB$1,test!$A$3:$I$32,8,FALSE))-(VLOOKUP($A80,test!$A$3:$I$32,9,FALSE))+test!$B$34,0)</f>
        <v>205</v>
      </c>
      <c r="AC80">
        <f>IF(AND(SUM(VLOOKUP($A80,test!$A$3:$F$32,2,FALSE),VLOOKUP(AC$1,test!$A$3:$F$32,2,FALSE))&lt;test!$K$16,$A80&lt;&gt;AC$1,Recharged_Feasible_mat!AD49=1),(VLOOKUP(AC$1,test!$A$3:$I$32,8,FALSE))-(VLOOKUP($A80,test!$A$3:$I$32,9,FALSE))+test!$B$34,0)</f>
        <v>325</v>
      </c>
      <c r="AD80">
        <f>IF(AND(SUM(VLOOKUP($A80,test!$A$3:$F$32,2,FALSE),VLOOKUP(AD$1,test!$A$3:$F$32,2,FALSE))&lt;test!$K$16,$A80&lt;&gt;AD$1,Recharged_Feasible_mat!AE49=1),(VLOOKUP(AD$1,test!$A$3:$I$32,8,FALSE))-(VLOOKUP($A80,test!$A$3:$I$32,9,FALSE))+test!$B$34,0)</f>
        <v>0</v>
      </c>
      <c r="AE80">
        <f>IF(AND(SUM(VLOOKUP($A80,test!$A$3:$F$32,2,FALSE),VLOOKUP(AE$1,test!$A$3:$F$32,2,FALSE))&lt;test!$K$16,$A80&lt;&gt;AE$1,Recharged_Feasible_mat!AF49=1),(VLOOKUP(AE$1,test!$A$3:$I$32,8,FALSE))-(VLOOKUP($A80,test!$A$3:$I$32,9,FALSE))+test!$B$34,0)</f>
        <v>145</v>
      </c>
      <c r="AF80">
        <f>IF(AND(SUM(VLOOKUP($A80,test!$A$3:$F$32,2,FALSE),VLOOKUP(AF$1,test!$A$3:$F$32,2,FALSE))&lt;test!$K$16,$A80&lt;&gt;AF$1,Recharged_Feasible_mat!AG49=1),(VLOOKUP(AF$1,test!$A$3:$I$32,8,FALSE))-(VLOOKUP($A80,test!$A$3:$I$32,9,FALSE))+test!$B$34,0)</f>
        <v>0</v>
      </c>
    </row>
    <row r="81" spans="1:32" x14ac:dyDescent="0.25">
      <c r="A81" t="s">
        <v>28</v>
      </c>
      <c r="B81">
        <v>0</v>
      </c>
      <c r="C81">
        <f>IF(AND(SUM(VLOOKUP($A81,test!$A$3:$F$32,2,FALSE),VLOOKUP(C$1,test!$A$3:$F$32,2,FALSE))&lt;test!$K$16,$A81&lt;&gt;C$1,Recharged_Feasible_mat!D50=1),(VLOOKUP(C$1,test!$A$3:$I$32,8,FALSE))-(VLOOKUP($A81,test!$A$3:$I$32,9,FALSE))+test!$B$34,0)</f>
        <v>0</v>
      </c>
      <c r="D81">
        <f>IF(AND(SUM(VLOOKUP($A81,test!$A$3:$F$32,2,FALSE),VLOOKUP(D$1,test!$A$3:$F$32,2,FALSE))&lt;test!$K$16,$A81&lt;&gt;D$1,Recharged_Feasible_mat!E50=1),(VLOOKUP(D$1,test!$A$3:$I$32,8,FALSE))-(VLOOKUP($A81,test!$A$3:$I$32,9,FALSE))+test!$B$34,0)</f>
        <v>0</v>
      </c>
      <c r="E81">
        <f>IF(AND(SUM(VLOOKUP($A81,test!$A$3:$F$32,2,FALSE),VLOOKUP(E$1,test!$A$3:$F$32,2,FALSE))&lt;test!$K$16,$A81&lt;&gt;E$1,Recharged_Feasible_mat!F50=1),(VLOOKUP(E$1,test!$A$3:$I$32,8,FALSE))-(VLOOKUP($A81,test!$A$3:$I$32,9,FALSE))+test!$B$34,0)</f>
        <v>0</v>
      </c>
      <c r="F81">
        <f>IF(AND(SUM(VLOOKUP($A81,test!$A$3:$F$32,2,FALSE),VLOOKUP(F$1,test!$A$3:$F$32,2,FALSE))&lt;test!$K$16,$A81&lt;&gt;F$1,Recharged_Feasible_mat!G50=1),(VLOOKUP(F$1,test!$A$3:$I$32,8,FALSE))-(VLOOKUP($A81,test!$A$3:$I$32,9,FALSE))+test!$B$34,0)</f>
        <v>115</v>
      </c>
      <c r="G81">
        <f>IF(AND(SUM(VLOOKUP($A81,test!$A$3:$F$32,2,FALSE),VLOOKUP(G$1,test!$A$3:$F$32,2,FALSE))&lt;test!$K$16,$A81&lt;&gt;G$1,Recharged_Feasible_mat!H50=1),(VLOOKUP(G$1,test!$A$3:$I$32,8,FALSE))-(VLOOKUP($A81,test!$A$3:$I$32,9,FALSE))+test!$B$34,0)</f>
        <v>175</v>
      </c>
      <c r="H81">
        <f>IF(AND(SUM(VLOOKUP($A81,test!$A$3:$F$32,2,FALSE),VLOOKUP(H$1,test!$A$3:$F$32,2,FALSE))&lt;test!$K$16,$A81&lt;&gt;H$1,Recharged_Feasible_mat!I50=1),(VLOOKUP(H$1,test!$A$3:$I$32,8,FALSE))-(VLOOKUP($A81,test!$A$3:$I$32,9,FALSE))+test!$B$34,0)</f>
        <v>235</v>
      </c>
      <c r="I81">
        <f>IF(AND(SUM(VLOOKUP($A81,test!$A$3:$F$32,2,FALSE),VLOOKUP(I$1,test!$A$3:$F$32,2,FALSE))&lt;test!$K$16,$A81&lt;&gt;I$1,Recharged_Feasible_mat!J50=1),(VLOOKUP(I$1,test!$A$3:$I$32,8,FALSE))-(VLOOKUP($A81,test!$A$3:$I$32,9,FALSE))+test!$B$34,0)</f>
        <v>295</v>
      </c>
      <c r="J81">
        <f>IF(AND(SUM(VLOOKUP($A81,test!$A$3:$F$32,2,FALSE),VLOOKUP(J$1,test!$A$3:$F$32,2,FALSE))&lt;test!$K$16,$A81&lt;&gt;J$1,Recharged_Feasible_mat!K50=1),(VLOOKUP(J$1,test!$A$3:$I$32,8,FALSE))-(VLOOKUP($A81,test!$A$3:$I$32,9,FALSE))+test!$B$34,0)</f>
        <v>385</v>
      </c>
      <c r="K81">
        <f>IF(AND(SUM(VLOOKUP($A81,test!$A$3:$F$32,2,FALSE),VLOOKUP(K$1,test!$A$3:$F$32,2,FALSE))&lt;test!$K$16,$A81&lt;&gt;K$1,Recharged_Feasible_mat!L50=1),(VLOOKUP(K$1,test!$A$3:$I$32,8,FALSE))-(VLOOKUP($A81,test!$A$3:$I$32,9,FALSE))+test!$B$34,0)</f>
        <v>0</v>
      </c>
      <c r="L81">
        <f>IF(AND(SUM(VLOOKUP($A81,test!$A$3:$F$32,2,FALSE),VLOOKUP(L$1,test!$A$3:$F$32,2,FALSE))&lt;test!$K$16,$A81&lt;&gt;L$1,Recharged_Feasible_mat!M50=1),(VLOOKUP(L$1,test!$A$3:$I$32,8,FALSE))-(VLOOKUP($A81,test!$A$3:$I$32,9,FALSE))+test!$B$34,0)</f>
        <v>0</v>
      </c>
      <c r="M81">
        <f>IF(AND(SUM(VLOOKUP($A81,test!$A$3:$F$32,2,FALSE),VLOOKUP(M$1,test!$A$3:$F$32,2,FALSE))&lt;test!$K$16,$A81&lt;&gt;M$1,Recharged_Feasible_mat!N50=1),(VLOOKUP(M$1,test!$A$3:$I$32,8,FALSE))-(VLOOKUP($A81,test!$A$3:$I$32,9,FALSE))+test!$B$34,0)</f>
        <v>0</v>
      </c>
      <c r="N81">
        <f>IF(AND(SUM(VLOOKUP($A81,test!$A$3:$F$32,2,FALSE),VLOOKUP(N$1,test!$A$3:$F$32,2,FALSE))&lt;test!$K$16,$A81&lt;&gt;N$1,Recharged_Feasible_mat!O50=1),(VLOOKUP(N$1,test!$A$3:$I$32,8,FALSE))-(VLOOKUP($A81,test!$A$3:$I$32,9,FALSE))+test!$B$34,0)</f>
        <v>350</v>
      </c>
      <c r="O81">
        <f>IF(AND(SUM(VLOOKUP($A81,test!$A$3:$F$32,2,FALSE),VLOOKUP(O$1,test!$A$3:$F$32,2,FALSE))&lt;test!$K$16,$A81&lt;&gt;O$1,Recharged_Feasible_mat!P50=1),(VLOOKUP(O$1,test!$A$3:$I$32,8,FALSE))-(VLOOKUP($A81,test!$A$3:$I$32,9,FALSE))+test!$B$34,0)</f>
        <v>410</v>
      </c>
      <c r="P81">
        <f>IF(AND(SUM(VLOOKUP($A81,test!$A$3:$F$32,2,FALSE),VLOOKUP(P$1,test!$A$3:$F$32,2,FALSE))&lt;test!$K$16,$A81&lt;&gt;P$1,Recharged_Feasible_mat!Q50=1),(VLOOKUP(P$1,test!$A$3:$I$32,8,FALSE))-(VLOOKUP($A81,test!$A$3:$I$32,9,FALSE))+test!$B$34,0)</f>
        <v>0</v>
      </c>
      <c r="Q81">
        <f>IF(AND(SUM(VLOOKUP($A81,test!$A$3:$F$32,2,FALSE),VLOOKUP(Q$1,test!$A$3:$F$32,2,FALSE))&lt;test!$K$16,$A81&lt;&gt;Q$1,Recharged_Feasible_mat!R50=1),(VLOOKUP(Q$1,test!$A$3:$I$32,8,FALSE))-(VLOOKUP($A81,test!$A$3:$I$32,9,FALSE))+test!$B$34,0)</f>
        <v>0</v>
      </c>
      <c r="R81">
        <f>IF(AND(SUM(VLOOKUP($A81,test!$A$3:$F$32,2,FALSE),VLOOKUP(R$1,test!$A$3:$F$32,2,FALSE))&lt;test!$K$16,$A81&lt;&gt;R$1,Recharged_Feasible_mat!S50=1),(VLOOKUP(R$1,test!$A$3:$I$32,8,FALSE))-(VLOOKUP($A81,test!$A$3:$I$32,9,FALSE))+test!$B$34,0)</f>
        <v>0</v>
      </c>
      <c r="S81">
        <f>IF(AND(SUM(VLOOKUP($A81,test!$A$3:$F$32,2,FALSE),VLOOKUP(S$1,test!$A$3:$F$32,2,FALSE))&lt;test!$K$16,$A81&lt;&gt;S$1,Recharged_Feasible_mat!T50=1),(VLOOKUP(S$1,test!$A$3:$I$32,8,FALSE))-(VLOOKUP($A81,test!$A$3:$I$32,9,FALSE))+test!$B$34,0)</f>
        <v>0</v>
      </c>
      <c r="T81">
        <f>IF(AND(SUM(VLOOKUP($A81,test!$A$3:$F$32,2,FALSE),VLOOKUP(T$1,test!$A$3:$F$32,2,FALSE))&lt;test!$K$16,$A81&lt;&gt;T$1,Recharged_Feasible_mat!U50=1),(VLOOKUP(T$1,test!$A$3:$I$32,8,FALSE))-(VLOOKUP($A81,test!$A$3:$I$32,9,FALSE))+test!$B$34,0)</f>
        <v>0</v>
      </c>
      <c r="U81">
        <f>IF(AND(SUM(VLOOKUP($A81,test!$A$3:$F$32,2,FALSE),VLOOKUP(U$1,test!$A$3:$F$32,2,FALSE))&lt;test!$K$16,$A81&lt;&gt;U$1,Recharged_Feasible_mat!V50=1),(VLOOKUP(U$1,test!$A$3:$I$32,8,FALSE))-(VLOOKUP($A81,test!$A$3:$I$32,9,FALSE))+test!$B$34,0)</f>
        <v>0</v>
      </c>
      <c r="V81">
        <f>IF(AND(SUM(VLOOKUP($A81,test!$A$3:$F$32,2,FALSE),VLOOKUP(V$1,test!$A$3:$F$32,2,FALSE))&lt;test!$K$16,$A81&lt;&gt;V$1,Recharged_Feasible_mat!W50=1),(VLOOKUP(V$1,test!$A$3:$I$32,8,FALSE))-(VLOOKUP($A81,test!$A$3:$I$32,9,FALSE))+test!$B$34,0)</f>
        <v>185</v>
      </c>
      <c r="W81">
        <f>IF(AND(SUM(VLOOKUP($A81,test!$A$3:$F$32,2,FALSE),VLOOKUP(W$1,test!$A$3:$F$32,2,FALSE))&lt;test!$K$16,$A81&lt;&gt;W$1,Recharged_Feasible_mat!X50=1),(VLOOKUP(W$1,test!$A$3:$I$32,8,FALSE))-(VLOOKUP($A81,test!$A$3:$I$32,9,FALSE))+test!$B$34,0)</f>
        <v>275</v>
      </c>
      <c r="X81">
        <f>IF(AND(SUM(VLOOKUP($A81,test!$A$3:$F$32,2,FALSE),VLOOKUP(X$1,test!$A$3:$F$32,2,FALSE))&lt;test!$K$16,$A81&lt;&gt;X$1,Recharged_Feasible_mat!Y50=1),(VLOOKUP(X$1,test!$A$3:$I$32,8,FALSE))-(VLOOKUP($A81,test!$A$3:$I$32,9,FALSE))+test!$B$34,0)</f>
        <v>335</v>
      </c>
      <c r="Y81">
        <f>IF(AND(SUM(VLOOKUP($A81,test!$A$3:$F$32,2,FALSE),VLOOKUP(Y$1,test!$A$3:$F$32,2,FALSE))&lt;test!$K$16,$A81&lt;&gt;Y$1,Recharged_Feasible_mat!Z50=1),(VLOOKUP(Y$1,test!$A$3:$I$32,8,FALSE))-(VLOOKUP($A81,test!$A$3:$I$32,9,FALSE))+test!$B$34,0)</f>
        <v>0</v>
      </c>
      <c r="Z81">
        <f>IF(AND(SUM(VLOOKUP($A81,test!$A$3:$F$32,2,FALSE),VLOOKUP(Z$1,test!$A$3:$F$32,2,FALSE))&lt;test!$K$16,$A81&lt;&gt;Z$1,Recharged_Feasible_mat!AA50=1),(VLOOKUP(Z$1,test!$A$3:$I$32,8,FALSE))-(VLOOKUP($A81,test!$A$3:$I$32,9,FALSE))+test!$B$34,0)</f>
        <v>0</v>
      </c>
      <c r="AA81">
        <f>IF(AND(SUM(VLOOKUP($A81,test!$A$3:$F$32,2,FALSE),VLOOKUP(AA$1,test!$A$3:$F$32,2,FALSE))&lt;test!$K$16,$A81&lt;&gt;AA$1,Recharged_Feasible_mat!AB50=1),(VLOOKUP(AA$1,test!$A$3:$I$32,8,FALSE))-(VLOOKUP($A81,test!$A$3:$I$32,9,FALSE))+test!$B$34,0)</f>
        <v>0</v>
      </c>
      <c r="AB81">
        <f>IF(AND(SUM(VLOOKUP($A81,test!$A$3:$F$32,2,FALSE),VLOOKUP(AB$1,test!$A$3:$F$32,2,FALSE))&lt;test!$K$16,$A81&lt;&gt;AB$1,Recharged_Feasible_mat!AC50=1),(VLOOKUP(AB$1,test!$A$3:$I$32,8,FALSE))-(VLOOKUP($A81,test!$A$3:$I$32,9,FALSE))+test!$B$34,0)</f>
        <v>115</v>
      </c>
      <c r="AC81">
        <f>IF(AND(SUM(VLOOKUP($A81,test!$A$3:$F$32,2,FALSE),VLOOKUP(AC$1,test!$A$3:$F$32,2,FALSE))&lt;test!$K$16,$A81&lt;&gt;AC$1,Recharged_Feasible_mat!AD50=1),(VLOOKUP(AC$1,test!$A$3:$I$32,8,FALSE))-(VLOOKUP($A81,test!$A$3:$I$32,9,FALSE))+test!$B$34,0)</f>
        <v>235</v>
      </c>
      <c r="AD81">
        <f>IF(AND(SUM(VLOOKUP($A81,test!$A$3:$F$32,2,FALSE),VLOOKUP(AD$1,test!$A$3:$F$32,2,FALSE))&lt;test!$K$16,$A81&lt;&gt;AD$1,Recharged_Feasible_mat!AE50=1),(VLOOKUP(AD$1,test!$A$3:$I$32,8,FALSE))-(VLOOKUP($A81,test!$A$3:$I$32,9,FALSE))+test!$B$34,0)</f>
        <v>0</v>
      </c>
      <c r="AE81">
        <f>IF(AND(SUM(VLOOKUP($A81,test!$A$3:$F$32,2,FALSE),VLOOKUP(AE$1,test!$A$3:$F$32,2,FALSE))&lt;test!$K$16,$A81&lt;&gt;AE$1,Recharged_Feasible_mat!AF50=1),(VLOOKUP(AE$1,test!$A$3:$I$32,8,FALSE))-(VLOOKUP($A81,test!$A$3:$I$32,9,FALSE))+test!$B$34,0)</f>
        <v>0</v>
      </c>
      <c r="AF81">
        <f>IF(AND(SUM(VLOOKUP($A81,test!$A$3:$F$32,2,FALSE),VLOOKUP(AF$1,test!$A$3:$F$32,2,FALSE))&lt;test!$K$16,$A81&lt;&gt;AF$1,Recharged_Feasible_mat!AG50=1),(VLOOKUP(AF$1,test!$A$3:$I$32,8,FALSE))-(VLOOKUP($A81,test!$A$3:$I$32,9,FALSE))+test!$B$34,0)</f>
        <v>0</v>
      </c>
    </row>
    <row r="82" spans="1:32" x14ac:dyDescent="0.25">
      <c r="A82" t="s">
        <v>29</v>
      </c>
      <c r="B82">
        <v>0</v>
      </c>
      <c r="C82">
        <f>IF(AND(SUM(VLOOKUP($A82,test!$A$3:$F$32,2,FALSE),VLOOKUP(C$1,test!$A$3:$F$32,2,FALSE))&lt;test!$K$16,$A82&lt;&gt;C$1,Recharged_Feasible_mat!D51=1),(VLOOKUP(C$1,test!$A$3:$I$32,8,FALSE))-(VLOOKUP($A82,test!$A$3:$I$32,9,FALSE))+test!$B$34,0)</f>
        <v>0</v>
      </c>
      <c r="D82">
        <f>IF(AND(SUM(VLOOKUP($A82,test!$A$3:$F$32,2,FALSE),VLOOKUP(D$1,test!$A$3:$F$32,2,FALSE))&lt;test!$K$16,$A82&lt;&gt;D$1,Recharged_Feasible_mat!E51=1),(VLOOKUP(D$1,test!$A$3:$I$32,8,FALSE))-(VLOOKUP($A82,test!$A$3:$I$32,9,FALSE))+test!$B$34,0)</f>
        <v>0</v>
      </c>
      <c r="E82">
        <f>IF(AND(SUM(VLOOKUP($A82,test!$A$3:$F$32,2,FALSE),VLOOKUP(E$1,test!$A$3:$F$32,2,FALSE))&lt;test!$K$16,$A82&lt;&gt;E$1,Recharged_Feasible_mat!F51=1),(VLOOKUP(E$1,test!$A$3:$I$32,8,FALSE))-(VLOOKUP($A82,test!$A$3:$I$32,9,FALSE))+test!$B$34,0)</f>
        <v>0</v>
      </c>
      <c r="F82">
        <f>IF(AND(SUM(VLOOKUP($A82,test!$A$3:$F$32,2,FALSE),VLOOKUP(F$1,test!$A$3:$F$32,2,FALSE))&lt;test!$K$16,$A82&lt;&gt;F$1,Recharged_Feasible_mat!G51=1),(VLOOKUP(F$1,test!$A$3:$I$32,8,FALSE))-(VLOOKUP($A82,test!$A$3:$I$32,9,FALSE))+test!$B$34,0)</f>
        <v>0</v>
      </c>
      <c r="G82">
        <f>IF(AND(SUM(VLOOKUP($A82,test!$A$3:$F$32,2,FALSE),VLOOKUP(G$1,test!$A$3:$F$32,2,FALSE))&lt;test!$K$16,$A82&lt;&gt;G$1,Recharged_Feasible_mat!H51=1),(VLOOKUP(G$1,test!$A$3:$I$32,8,FALSE))-(VLOOKUP($A82,test!$A$3:$I$32,9,FALSE))+test!$B$34,0)</f>
        <v>0</v>
      </c>
      <c r="H82">
        <f>IF(AND(SUM(VLOOKUP($A82,test!$A$3:$F$32,2,FALSE),VLOOKUP(H$1,test!$A$3:$F$32,2,FALSE))&lt;test!$K$16,$A82&lt;&gt;H$1,Recharged_Feasible_mat!I51=1),(VLOOKUP(H$1,test!$A$3:$I$32,8,FALSE))-(VLOOKUP($A82,test!$A$3:$I$32,9,FALSE))+test!$B$34,0)</f>
        <v>145</v>
      </c>
      <c r="I82">
        <f>IF(AND(SUM(VLOOKUP($A82,test!$A$3:$F$32,2,FALSE),VLOOKUP(I$1,test!$A$3:$F$32,2,FALSE))&lt;test!$K$16,$A82&lt;&gt;I$1,Recharged_Feasible_mat!J51=1),(VLOOKUP(I$1,test!$A$3:$I$32,8,FALSE))-(VLOOKUP($A82,test!$A$3:$I$32,9,FALSE))+test!$B$34,0)</f>
        <v>205</v>
      </c>
      <c r="J82">
        <f>IF(AND(SUM(VLOOKUP($A82,test!$A$3:$F$32,2,FALSE),VLOOKUP(J$1,test!$A$3:$F$32,2,FALSE))&lt;test!$K$16,$A82&lt;&gt;J$1,Recharged_Feasible_mat!K51=1),(VLOOKUP(J$1,test!$A$3:$I$32,8,FALSE))-(VLOOKUP($A82,test!$A$3:$I$32,9,FALSE))+test!$B$34,0)</f>
        <v>295</v>
      </c>
      <c r="K82">
        <f>IF(AND(SUM(VLOOKUP($A82,test!$A$3:$F$32,2,FALSE),VLOOKUP(K$1,test!$A$3:$F$32,2,FALSE))&lt;test!$K$16,$A82&lt;&gt;K$1,Recharged_Feasible_mat!L51=1),(VLOOKUP(K$1,test!$A$3:$I$32,8,FALSE))-(VLOOKUP($A82,test!$A$3:$I$32,9,FALSE))+test!$B$34,0)</f>
        <v>0</v>
      </c>
      <c r="L82">
        <f>IF(AND(SUM(VLOOKUP($A82,test!$A$3:$F$32,2,FALSE),VLOOKUP(L$1,test!$A$3:$F$32,2,FALSE))&lt;test!$K$16,$A82&lt;&gt;L$1,Recharged_Feasible_mat!M51=1),(VLOOKUP(L$1,test!$A$3:$I$32,8,FALSE))-(VLOOKUP($A82,test!$A$3:$I$32,9,FALSE))+test!$B$34,0)</f>
        <v>0</v>
      </c>
      <c r="M82">
        <f>IF(AND(SUM(VLOOKUP($A82,test!$A$3:$F$32,2,FALSE),VLOOKUP(M$1,test!$A$3:$F$32,2,FALSE))&lt;test!$K$16,$A82&lt;&gt;M$1,Recharged_Feasible_mat!N51=1),(VLOOKUP(M$1,test!$A$3:$I$32,8,FALSE))-(VLOOKUP($A82,test!$A$3:$I$32,9,FALSE))+test!$B$34,0)</f>
        <v>0</v>
      </c>
      <c r="N82">
        <f>IF(AND(SUM(VLOOKUP($A82,test!$A$3:$F$32,2,FALSE),VLOOKUP(N$1,test!$A$3:$F$32,2,FALSE))&lt;test!$K$16,$A82&lt;&gt;N$1,Recharged_Feasible_mat!O51=1),(VLOOKUP(N$1,test!$A$3:$I$32,8,FALSE))-(VLOOKUP($A82,test!$A$3:$I$32,9,FALSE))+test!$B$34,0)</f>
        <v>260</v>
      </c>
      <c r="O82">
        <f>IF(AND(SUM(VLOOKUP($A82,test!$A$3:$F$32,2,FALSE),VLOOKUP(O$1,test!$A$3:$F$32,2,FALSE))&lt;test!$K$16,$A82&lt;&gt;O$1,Recharged_Feasible_mat!P51=1),(VLOOKUP(O$1,test!$A$3:$I$32,8,FALSE))-(VLOOKUP($A82,test!$A$3:$I$32,9,FALSE))+test!$B$34,0)</f>
        <v>320</v>
      </c>
      <c r="P82">
        <f>IF(AND(SUM(VLOOKUP($A82,test!$A$3:$F$32,2,FALSE),VLOOKUP(P$1,test!$A$3:$F$32,2,FALSE))&lt;test!$K$16,$A82&lt;&gt;P$1,Recharged_Feasible_mat!Q51=1),(VLOOKUP(P$1,test!$A$3:$I$32,8,FALSE))-(VLOOKUP($A82,test!$A$3:$I$32,9,FALSE))+test!$B$34,0)</f>
        <v>0</v>
      </c>
      <c r="Q82">
        <f>IF(AND(SUM(VLOOKUP($A82,test!$A$3:$F$32,2,FALSE),VLOOKUP(Q$1,test!$A$3:$F$32,2,FALSE))&lt;test!$K$16,$A82&lt;&gt;Q$1,Recharged_Feasible_mat!R51=1),(VLOOKUP(Q$1,test!$A$3:$I$32,8,FALSE))-(VLOOKUP($A82,test!$A$3:$I$32,9,FALSE))+test!$B$34,0)</f>
        <v>0</v>
      </c>
      <c r="R82">
        <f>IF(AND(SUM(VLOOKUP($A82,test!$A$3:$F$32,2,FALSE),VLOOKUP(R$1,test!$A$3:$F$32,2,FALSE))&lt;test!$K$16,$A82&lt;&gt;R$1,Recharged_Feasible_mat!S51=1),(VLOOKUP(R$1,test!$A$3:$I$32,8,FALSE))-(VLOOKUP($A82,test!$A$3:$I$32,9,FALSE))+test!$B$34,0)</f>
        <v>0</v>
      </c>
      <c r="S82">
        <f>IF(AND(SUM(VLOOKUP($A82,test!$A$3:$F$32,2,FALSE),VLOOKUP(S$1,test!$A$3:$F$32,2,FALSE))&lt;test!$K$16,$A82&lt;&gt;S$1,Recharged_Feasible_mat!T51=1),(VLOOKUP(S$1,test!$A$3:$I$32,8,FALSE))-(VLOOKUP($A82,test!$A$3:$I$32,9,FALSE))+test!$B$34,0)</f>
        <v>0</v>
      </c>
      <c r="T82">
        <f>IF(AND(SUM(VLOOKUP($A82,test!$A$3:$F$32,2,FALSE),VLOOKUP(T$1,test!$A$3:$F$32,2,FALSE))&lt;test!$K$16,$A82&lt;&gt;T$1,Recharged_Feasible_mat!U51=1),(VLOOKUP(T$1,test!$A$3:$I$32,8,FALSE))-(VLOOKUP($A82,test!$A$3:$I$32,9,FALSE))+test!$B$34,0)</f>
        <v>0</v>
      </c>
      <c r="U82">
        <f>IF(AND(SUM(VLOOKUP($A82,test!$A$3:$F$32,2,FALSE),VLOOKUP(U$1,test!$A$3:$F$32,2,FALSE))&lt;test!$K$16,$A82&lt;&gt;U$1,Recharged_Feasible_mat!V51=1),(VLOOKUP(U$1,test!$A$3:$I$32,8,FALSE))-(VLOOKUP($A82,test!$A$3:$I$32,9,FALSE))+test!$B$34,0)</f>
        <v>0</v>
      </c>
      <c r="V82">
        <f>IF(AND(SUM(VLOOKUP($A82,test!$A$3:$F$32,2,FALSE),VLOOKUP(V$1,test!$A$3:$F$32,2,FALSE))&lt;test!$K$16,$A82&lt;&gt;V$1,Recharged_Feasible_mat!W51=1),(VLOOKUP(V$1,test!$A$3:$I$32,8,FALSE))-(VLOOKUP($A82,test!$A$3:$I$32,9,FALSE))+test!$B$34,0)</f>
        <v>0</v>
      </c>
      <c r="W82">
        <f>IF(AND(SUM(VLOOKUP($A82,test!$A$3:$F$32,2,FALSE),VLOOKUP(W$1,test!$A$3:$F$32,2,FALSE))&lt;test!$K$16,$A82&lt;&gt;W$1,Recharged_Feasible_mat!X51=1),(VLOOKUP(W$1,test!$A$3:$I$32,8,FALSE))-(VLOOKUP($A82,test!$A$3:$I$32,9,FALSE))+test!$B$34,0)</f>
        <v>185</v>
      </c>
      <c r="X82">
        <f>IF(AND(SUM(VLOOKUP($A82,test!$A$3:$F$32,2,FALSE),VLOOKUP(X$1,test!$A$3:$F$32,2,FALSE))&lt;test!$K$16,$A82&lt;&gt;X$1,Recharged_Feasible_mat!Y51=1),(VLOOKUP(X$1,test!$A$3:$I$32,8,FALSE))-(VLOOKUP($A82,test!$A$3:$I$32,9,FALSE))+test!$B$34,0)</f>
        <v>245</v>
      </c>
      <c r="Y82">
        <f>IF(AND(SUM(VLOOKUP($A82,test!$A$3:$F$32,2,FALSE),VLOOKUP(Y$1,test!$A$3:$F$32,2,FALSE))&lt;test!$K$16,$A82&lt;&gt;Y$1,Recharged_Feasible_mat!Z51=1),(VLOOKUP(Y$1,test!$A$3:$I$32,8,FALSE))-(VLOOKUP($A82,test!$A$3:$I$32,9,FALSE))+test!$B$34,0)</f>
        <v>0</v>
      </c>
      <c r="Z82">
        <f>IF(AND(SUM(VLOOKUP($A82,test!$A$3:$F$32,2,FALSE),VLOOKUP(Z$1,test!$A$3:$F$32,2,FALSE))&lt;test!$K$16,$A82&lt;&gt;Z$1,Recharged_Feasible_mat!AA51=1),(VLOOKUP(Z$1,test!$A$3:$I$32,8,FALSE))-(VLOOKUP($A82,test!$A$3:$I$32,9,FALSE))+test!$B$34,0)</f>
        <v>0</v>
      </c>
      <c r="AA82">
        <f>IF(AND(SUM(VLOOKUP($A82,test!$A$3:$F$32,2,FALSE),VLOOKUP(AA$1,test!$A$3:$F$32,2,FALSE))&lt;test!$K$16,$A82&lt;&gt;AA$1,Recharged_Feasible_mat!AB51=1),(VLOOKUP(AA$1,test!$A$3:$I$32,8,FALSE))-(VLOOKUP($A82,test!$A$3:$I$32,9,FALSE))+test!$B$34,0)</f>
        <v>0</v>
      </c>
      <c r="AB82">
        <f>IF(AND(SUM(VLOOKUP($A82,test!$A$3:$F$32,2,FALSE),VLOOKUP(AB$1,test!$A$3:$F$32,2,FALSE))&lt;test!$K$16,$A82&lt;&gt;AB$1,Recharged_Feasible_mat!AC51=1),(VLOOKUP(AB$1,test!$A$3:$I$32,8,FALSE))-(VLOOKUP($A82,test!$A$3:$I$32,9,FALSE))+test!$B$34,0)</f>
        <v>0</v>
      </c>
      <c r="AC82">
        <f>IF(AND(SUM(VLOOKUP($A82,test!$A$3:$F$32,2,FALSE),VLOOKUP(AC$1,test!$A$3:$F$32,2,FALSE))&lt;test!$K$16,$A82&lt;&gt;AC$1,Recharged_Feasible_mat!AD51=1),(VLOOKUP(AC$1,test!$A$3:$I$32,8,FALSE))-(VLOOKUP($A82,test!$A$3:$I$32,9,FALSE))+test!$B$34,0)</f>
        <v>145</v>
      </c>
      <c r="AD82">
        <f>IF(AND(SUM(VLOOKUP($A82,test!$A$3:$F$32,2,FALSE),VLOOKUP(AD$1,test!$A$3:$F$32,2,FALSE))&lt;test!$K$16,$A82&lt;&gt;AD$1,Recharged_Feasible_mat!AE51=1),(VLOOKUP(AD$1,test!$A$3:$I$32,8,FALSE))-(VLOOKUP($A82,test!$A$3:$I$32,9,FALSE))+test!$B$34,0)</f>
        <v>0</v>
      </c>
      <c r="AE82">
        <f>IF(AND(SUM(VLOOKUP($A82,test!$A$3:$F$32,2,FALSE),VLOOKUP(AE$1,test!$A$3:$F$32,2,FALSE))&lt;test!$K$16,$A82&lt;&gt;AE$1,Recharged_Feasible_mat!AF51=1),(VLOOKUP(AE$1,test!$A$3:$I$32,8,FALSE))-(VLOOKUP($A82,test!$A$3:$I$32,9,FALSE))+test!$B$34,0)</f>
        <v>0</v>
      </c>
      <c r="AF82">
        <f>IF(AND(SUM(VLOOKUP($A82,test!$A$3:$F$32,2,FALSE),VLOOKUP(AF$1,test!$A$3:$F$32,2,FALSE))&lt;test!$K$16,$A82&lt;&gt;AF$1,Recharged_Feasible_mat!AG51=1),(VLOOKUP(AF$1,test!$A$3:$I$32,8,FALSE))-(VLOOKUP($A82,test!$A$3:$I$32,9,FALSE))+test!$B$34,0)</f>
        <v>0</v>
      </c>
    </row>
    <row r="83" spans="1:32" x14ac:dyDescent="0.25">
      <c r="A83" t="s">
        <v>30</v>
      </c>
      <c r="B83">
        <v>0</v>
      </c>
      <c r="C83">
        <f>IF(AND(SUM(VLOOKUP($A83,test!$A$3:$F$32,2,FALSE),VLOOKUP(C$1,test!$A$3:$F$32,2,FALSE))&lt;test!$K$16,$A83&lt;&gt;C$1,Recharged_Feasible_mat!D52=1),(VLOOKUP(C$1,test!$A$3:$I$32,8,FALSE))-(VLOOKUP($A83,test!$A$3:$I$32,9,FALSE))+test!$B$34,0)</f>
        <v>0</v>
      </c>
      <c r="D83">
        <f>IF(AND(SUM(VLOOKUP($A83,test!$A$3:$F$32,2,FALSE),VLOOKUP(D$1,test!$A$3:$F$32,2,FALSE))&lt;test!$K$16,$A83&lt;&gt;D$1,Recharged_Feasible_mat!E52=1),(VLOOKUP(D$1,test!$A$3:$I$32,8,FALSE))-(VLOOKUP($A83,test!$A$3:$I$32,9,FALSE))+test!$B$34,0)</f>
        <v>0</v>
      </c>
      <c r="E83">
        <f>IF(AND(SUM(VLOOKUP($A83,test!$A$3:$F$32,2,FALSE),VLOOKUP(E$1,test!$A$3:$F$32,2,FALSE))&lt;test!$K$16,$A83&lt;&gt;E$1,Recharged_Feasible_mat!F52=1),(VLOOKUP(E$1,test!$A$3:$I$32,8,FALSE))-(VLOOKUP($A83,test!$A$3:$I$32,9,FALSE))+test!$B$34,0)</f>
        <v>0</v>
      </c>
      <c r="F83">
        <f>IF(AND(SUM(VLOOKUP($A83,test!$A$3:$F$32,2,FALSE),VLOOKUP(F$1,test!$A$3:$F$32,2,FALSE))&lt;test!$K$16,$A83&lt;&gt;F$1,Recharged_Feasible_mat!G52=1),(VLOOKUP(F$1,test!$A$3:$I$32,8,FALSE))-(VLOOKUP($A83,test!$A$3:$I$32,9,FALSE))+test!$B$34,0)</f>
        <v>0</v>
      </c>
      <c r="G83">
        <f>IF(AND(SUM(VLOOKUP($A83,test!$A$3:$F$32,2,FALSE),VLOOKUP(G$1,test!$A$3:$F$32,2,FALSE))&lt;test!$K$16,$A83&lt;&gt;G$1,Recharged_Feasible_mat!H52=1),(VLOOKUP(G$1,test!$A$3:$I$32,8,FALSE))-(VLOOKUP($A83,test!$A$3:$I$32,9,FALSE))+test!$B$34,0)</f>
        <v>0</v>
      </c>
      <c r="H83">
        <f>IF(AND(SUM(VLOOKUP($A83,test!$A$3:$F$32,2,FALSE),VLOOKUP(H$1,test!$A$3:$F$32,2,FALSE))&lt;test!$K$16,$A83&lt;&gt;H$1,Recharged_Feasible_mat!I52=1),(VLOOKUP(H$1,test!$A$3:$I$32,8,FALSE))-(VLOOKUP($A83,test!$A$3:$I$32,9,FALSE))+test!$B$34,0)</f>
        <v>0</v>
      </c>
      <c r="I83">
        <f>IF(AND(SUM(VLOOKUP($A83,test!$A$3:$F$32,2,FALSE),VLOOKUP(I$1,test!$A$3:$F$32,2,FALSE))&lt;test!$K$16,$A83&lt;&gt;I$1,Recharged_Feasible_mat!J52=1),(VLOOKUP(I$1,test!$A$3:$I$32,8,FALSE))-(VLOOKUP($A83,test!$A$3:$I$32,9,FALSE))+test!$B$34,0)</f>
        <v>115</v>
      </c>
      <c r="J83">
        <f>IF(AND(SUM(VLOOKUP($A83,test!$A$3:$F$32,2,FALSE),VLOOKUP(J$1,test!$A$3:$F$32,2,FALSE))&lt;test!$K$16,$A83&lt;&gt;J$1,Recharged_Feasible_mat!K52=1),(VLOOKUP(J$1,test!$A$3:$I$32,8,FALSE))-(VLOOKUP($A83,test!$A$3:$I$32,9,FALSE))+test!$B$34,0)</f>
        <v>205</v>
      </c>
      <c r="K83">
        <f>IF(AND(SUM(VLOOKUP($A83,test!$A$3:$F$32,2,FALSE),VLOOKUP(K$1,test!$A$3:$F$32,2,FALSE))&lt;test!$K$16,$A83&lt;&gt;K$1,Recharged_Feasible_mat!L52=1),(VLOOKUP(K$1,test!$A$3:$I$32,8,FALSE))-(VLOOKUP($A83,test!$A$3:$I$32,9,FALSE))+test!$B$34,0)</f>
        <v>0</v>
      </c>
      <c r="L83">
        <f>IF(AND(SUM(VLOOKUP($A83,test!$A$3:$F$32,2,FALSE),VLOOKUP(L$1,test!$A$3:$F$32,2,FALSE))&lt;test!$K$16,$A83&lt;&gt;L$1,Recharged_Feasible_mat!M52=1),(VLOOKUP(L$1,test!$A$3:$I$32,8,FALSE))-(VLOOKUP($A83,test!$A$3:$I$32,9,FALSE))+test!$B$34,0)</f>
        <v>0</v>
      </c>
      <c r="M83">
        <f>IF(AND(SUM(VLOOKUP($A83,test!$A$3:$F$32,2,FALSE),VLOOKUP(M$1,test!$A$3:$F$32,2,FALSE))&lt;test!$K$16,$A83&lt;&gt;M$1,Recharged_Feasible_mat!N52=1),(VLOOKUP(M$1,test!$A$3:$I$32,8,FALSE))-(VLOOKUP($A83,test!$A$3:$I$32,9,FALSE))+test!$B$34,0)</f>
        <v>0</v>
      </c>
      <c r="N83">
        <f>IF(AND(SUM(VLOOKUP($A83,test!$A$3:$F$32,2,FALSE),VLOOKUP(N$1,test!$A$3:$F$32,2,FALSE))&lt;test!$K$16,$A83&lt;&gt;N$1,Recharged_Feasible_mat!O52=1),(VLOOKUP(N$1,test!$A$3:$I$32,8,FALSE))-(VLOOKUP($A83,test!$A$3:$I$32,9,FALSE))+test!$B$34,0)</f>
        <v>170</v>
      </c>
      <c r="O83">
        <f>IF(AND(SUM(VLOOKUP($A83,test!$A$3:$F$32,2,FALSE),VLOOKUP(O$1,test!$A$3:$F$32,2,FALSE))&lt;test!$K$16,$A83&lt;&gt;O$1,Recharged_Feasible_mat!P52=1),(VLOOKUP(O$1,test!$A$3:$I$32,8,FALSE))-(VLOOKUP($A83,test!$A$3:$I$32,9,FALSE))+test!$B$34,0)</f>
        <v>230</v>
      </c>
      <c r="P83">
        <f>IF(AND(SUM(VLOOKUP($A83,test!$A$3:$F$32,2,FALSE),VLOOKUP(P$1,test!$A$3:$F$32,2,FALSE))&lt;test!$K$16,$A83&lt;&gt;P$1,Recharged_Feasible_mat!Q52=1),(VLOOKUP(P$1,test!$A$3:$I$32,8,FALSE))-(VLOOKUP($A83,test!$A$3:$I$32,9,FALSE))+test!$B$34,0)</f>
        <v>0</v>
      </c>
      <c r="Q83">
        <f>IF(AND(SUM(VLOOKUP($A83,test!$A$3:$F$32,2,FALSE),VLOOKUP(Q$1,test!$A$3:$F$32,2,FALSE))&lt;test!$K$16,$A83&lt;&gt;Q$1,Recharged_Feasible_mat!R52=1),(VLOOKUP(Q$1,test!$A$3:$I$32,8,FALSE))-(VLOOKUP($A83,test!$A$3:$I$32,9,FALSE))+test!$B$34,0)</f>
        <v>0</v>
      </c>
      <c r="R83">
        <f>IF(AND(SUM(VLOOKUP($A83,test!$A$3:$F$32,2,FALSE),VLOOKUP(R$1,test!$A$3:$F$32,2,FALSE))&lt;test!$K$16,$A83&lt;&gt;R$1,Recharged_Feasible_mat!S52=1),(VLOOKUP(R$1,test!$A$3:$I$32,8,FALSE))-(VLOOKUP($A83,test!$A$3:$I$32,9,FALSE))+test!$B$34,0)</f>
        <v>0</v>
      </c>
      <c r="S83">
        <f>IF(AND(SUM(VLOOKUP($A83,test!$A$3:$F$32,2,FALSE),VLOOKUP(S$1,test!$A$3:$F$32,2,FALSE))&lt;test!$K$16,$A83&lt;&gt;S$1,Recharged_Feasible_mat!T52=1),(VLOOKUP(S$1,test!$A$3:$I$32,8,FALSE))-(VLOOKUP($A83,test!$A$3:$I$32,9,FALSE))+test!$B$34,0)</f>
        <v>0</v>
      </c>
      <c r="T83">
        <f>IF(AND(SUM(VLOOKUP($A83,test!$A$3:$F$32,2,FALSE),VLOOKUP(T$1,test!$A$3:$F$32,2,FALSE))&lt;test!$K$16,$A83&lt;&gt;T$1,Recharged_Feasible_mat!U52=1),(VLOOKUP(T$1,test!$A$3:$I$32,8,FALSE))-(VLOOKUP($A83,test!$A$3:$I$32,9,FALSE))+test!$B$34,0)</f>
        <v>0</v>
      </c>
      <c r="U83">
        <f>IF(AND(SUM(VLOOKUP($A83,test!$A$3:$F$32,2,FALSE),VLOOKUP(U$1,test!$A$3:$F$32,2,FALSE))&lt;test!$K$16,$A83&lt;&gt;U$1,Recharged_Feasible_mat!V52=1),(VLOOKUP(U$1,test!$A$3:$I$32,8,FALSE))-(VLOOKUP($A83,test!$A$3:$I$32,9,FALSE))+test!$B$34,0)</f>
        <v>0</v>
      </c>
      <c r="V83">
        <f>IF(AND(SUM(VLOOKUP($A83,test!$A$3:$F$32,2,FALSE),VLOOKUP(V$1,test!$A$3:$F$32,2,FALSE))&lt;test!$K$16,$A83&lt;&gt;V$1,Recharged_Feasible_mat!W52=1),(VLOOKUP(V$1,test!$A$3:$I$32,8,FALSE))-(VLOOKUP($A83,test!$A$3:$I$32,9,FALSE))+test!$B$34,0)</f>
        <v>0</v>
      </c>
      <c r="W83">
        <f>IF(AND(SUM(VLOOKUP($A83,test!$A$3:$F$32,2,FALSE),VLOOKUP(W$1,test!$A$3:$F$32,2,FALSE))&lt;test!$K$16,$A83&lt;&gt;W$1,Recharged_Feasible_mat!X52=1),(VLOOKUP(W$1,test!$A$3:$I$32,8,FALSE))-(VLOOKUP($A83,test!$A$3:$I$32,9,FALSE))+test!$B$34,0)</f>
        <v>0</v>
      </c>
      <c r="X83">
        <f>IF(AND(SUM(VLOOKUP($A83,test!$A$3:$F$32,2,FALSE),VLOOKUP(X$1,test!$A$3:$F$32,2,FALSE))&lt;test!$K$16,$A83&lt;&gt;X$1,Recharged_Feasible_mat!Y52=1),(VLOOKUP(X$1,test!$A$3:$I$32,8,FALSE))-(VLOOKUP($A83,test!$A$3:$I$32,9,FALSE))+test!$B$34,0)</f>
        <v>155</v>
      </c>
      <c r="Y83">
        <f>IF(AND(SUM(VLOOKUP($A83,test!$A$3:$F$32,2,FALSE),VLOOKUP(Y$1,test!$A$3:$F$32,2,FALSE))&lt;test!$K$16,$A83&lt;&gt;Y$1,Recharged_Feasible_mat!Z52=1),(VLOOKUP(Y$1,test!$A$3:$I$32,8,FALSE))-(VLOOKUP($A83,test!$A$3:$I$32,9,FALSE))+test!$B$34,0)</f>
        <v>0</v>
      </c>
      <c r="Z83">
        <f>IF(AND(SUM(VLOOKUP($A83,test!$A$3:$F$32,2,FALSE),VLOOKUP(Z$1,test!$A$3:$F$32,2,FALSE))&lt;test!$K$16,$A83&lt;&gt;Z$1,Recharged_Feasible_mat!AA52=1),(VLOOKUP(Z$1,test!$A$3:$I$32,8,FALSE))-(VLOOKUP($A83,test!$A$3:$I$32,9,FALSE))+test!$B$34,0)</f>
        <v>0</v>
      </c>
      <c r="AA83">
        <f>IF(AND(SUM(VLOOKUP($A83,test!$A$3:$F$32,2,FALSE),VLOOKUP(AA$1,test!$A$3:$F$32,2,FALSE))&lt;test!$K$16,$A83&lt;&gt;AA$1,Recharged_Feasible_mat!AB52=1),(VLOOKUP(AA$1,test!$A$3:$I$32,8,FALSE))-(VLOOKUP($A83,test!$A$3:$I$32,9,FALSE))+test!$B$34,0)</f>
        <v>0</v>
      </c>
      <c r="AB83">
        <f>IF(AND(SUM(VLOOKUP($A83,test!$A$3:$F$32,2,FALSE),VLOOKUP(AB$1,test!$A$3:$F$32,2,FALSE))&lt;test!$K$16,$A83&lt;&gt;AB$1,Recharged_Feasible_mat!AC52=1),(VLOOKUP(AB$1,test!$A$3:$I$32,8,FALSE))-(VLOOKUP($A83,test!$A$3:$I$32,9,FALSE))+test!$B$34,0)</f>
        <v>0</v>
      </c>
      <c r="AC83">
        <f>IF(AND(SUM(VLOOKUP($A83,test!$A$3:$F$32,2,FALSE),VLOOKUP(AC$1,test!$A$3:$F$32,2,FALSE))&lt;test!$K$16,$A83&lt;&gt;AC$1,Recharged_Feasible_mat!AD52=1),(VLOOKUP(AC$1,test!$A$3:$I$32,8,FALSE))-(VLOOKUP($A83,test!$A$3:$I$32,9,FALSE))+test!$B$34,0)</f>
        <v>0</v>
      </c>
      <c r="AD83">
        <f>IF(AND(SUM(VLOOKUP($A83,test!$A$3:$F$32,2,FALSE),VLOOKUP(AD$1,test!$A$3:$F$32,2,FALSE))&lt;test!$K$16,$A83&lt;&gt;AD$1,Recharged_Feasible_mat!AE52=1),(VLOOKUP(AD$1,test!$A$3:$I$32,8,FALSE))-(VLOOKUP($A83,test!$A$3:$I$32,9,FALSE))+test!$B$34,0)</f>
        <v>0</v>
      </c>
      <c r="AE83">
        <f>IF(AND(SUM(VLOOKUP($A83,test!$A$3:$F$32,2,FALSE),VLOOKUP(AE$1,test!$A$3:$F$32,2,FALSE))&lt;test!$K$16,$A83&lt;&gt;AE$1,Recharged_Feasible_mat!AF52=1),(VLOOKUP(AE$1,test!$A$3:$I$32,8,FALSE))-(VLOOKUP($A83,test!$A$3:$I$32,9,FALSE))+test!$B$34,0)</f>
        <v>0</v>
      </c>
      <c r="AF83">
        <f>IF(AND(SUM(VLOOKUP($A83,test!$A$3:$F$32,2,FALSE),VLOOKUP(AF$1,test!$A$3:$F$32,2,FALSE))&lt;test!$K$16,$A83&lt;&gt;AF$1,Recharged_Feasible_mat!AG52=1),(VLOOKUP(AF$1,test!$A$3:$I$32,8,FALSE))-(VLOOKUP($A83,test!$A$3:$I$32,9,FALSE))+test!$B$34,0)</f>
        <v>0</v>
      </c>
    </row>
    <row r="84" spans="1:32" x14ac:dyDescent="0.25">
      <c r="A84" t="s">
        <v>31</v>
      </c>
      <c r="B84">
        <v>0</v>
      </c>
      <c r="C84">
        <f>IF(AND(SUM(VLOOKUP($A84,test!$A$3:$F$32,2,FALSE),VLOOKUP(C$1,test!$A$3:$F$32,2,FALSE))&lt;test!$K$16,$A84&lt;&gt;C$1,Recharged_Feasible_mat!D53=1),(VLOOKUP(C$1,test!$A$3:$I$32,8,FALSE))-(VLOOKUP($A84,test!$A$3:$I$32,9,FALSE))+test!$B$34,0)</f>
        <v>0</v>
      </c>
      <c r="D84">
        <f>IF(AND(SUM(VLOOKUP($A84,test!$A$3:$F$32,2,FALSE),VLOOKUP(D$1,test!$A$3:$F$32,2,FALSE))&lt;test!$K$16,$A84&lt;&gt;D$1,Recharged_Feasible_mat!E53=1),(VLOOKUP(D$1,test!$A$3:$I$32,8,FALSE))-(VLOOKUP($A84,test!$A$3:$I$32,9,FALSE))+test!$B$34,0)</f>
        <v>0</v>
      </c>
      <c r="E84">
        <f>IF(AND(SUM(VLOOKUP($A84,test!$A$3:$F$32,2,FALSE),VLOOKUP(E$1,test!$A$3:$F$32,2,FALSE))&lt;test!$K$16,$A84&lt;&gt;E$1,Recharged_Feasible_mat!F53=1),(VLOOKUP(E$1,test!$A$3:$I$32,8,FALSE))-(VLOOKUP($A84,test!$A$3:$I$32,9,FALSE))+test!$B$34,0)</f>
        <v>0</v>
      </c>
      <c r="F84">
        <f>IF(AND(SUM(VLOOKUP($A84,test!$A$3:$F$32,2,FALSE),VLOOKUP(F$1,test!$A$3:$F$32,2,FALSE))&lt;test!$K$16,$A84&lt;&gt;F$1,Recharged_Feasible_mat!G53=1),(VLOOKUP(F$1,test!$A$3:$I$32,8,FALSE))-(VLOOKUP($A84,test!$A$3:$I$32,9,FALSE))+test!$B$34,0)</f>
        <v>0</v>
      </c>
      <c r="G84">
        <f>IF(AND(SUM(VLOOKUP($A84,test!$A$3:$F$32,2,FALSE),VLOOKUP(G$1,test!$A$3:$F$32,2,FALSE))&lt;test!$K$16,$A84&lt;&gt;G$1,Recharged_Feasible_mat!H53=1),(VLOOKUP(G$1,test!$A$3:$I$32,8,FALSE))-(VLOOKUP($A84,test!$A$3:$I$32,9,FALSE))+test!$B$34,0)</f>
        <v>0</v>
      </c>
      <c r="H84">
        <f>IF(AND(SUM(VLOOKUP($A84,test!$A$3:$F$32,2,FALSE),VLOOKUP(H$1,test!$A$3:$F$32,2,FALSE))&lt;test!$K$16,$A84&lt;&gt;H$1,Recharged_Feasible_mat!I53=1),(VLOOKUP(H$1,test!$A$3:$I$32,8,FALSE))-(VLOOKUP($A84,test!$A$3:$I$32,9,FALSE))+test!$B$34,0)</f>
        <v>0</v>
      </c>
      <c r="I84">
        <f>IF(AND(SUM(VLOOKUP($A84,test!$A$3:$F$32,2,FALSE),VLOOKUP(I$1,test!$A$3:$F$32,2,FALSE))&lt;test!$K$16,$A84&lt;&gt;I$1,Recharged_Feasible_mat!J53=1),(VLOOKUP(I$1,test!$A$3:$I$32,8,FALSE))-(VLOOKUP($A84,test!$A$3:$I$32,9,FALSE))+test!$B$34,0)</f>
        <v>0</v>
      </c>
      <c r="J84">
        <f>IF(AND(SUM(VLOOKUP($A84,test!$A$3:$F$32,2,FALSE),VLOOKUP(J$1,test!$A$3:$F$32,2,FALSE))&lt;test!$K$16,$A84&lt;&gt;J$1,Recharged_Feasible_mat!K53=1),(VLOOKUP(J$1,test!$A$3:$I$32,8,FALSE))-(VLOOKUP($A84,test!$A$3:$I$32,9,FALSE))+test!$B$34,0)</f>
        <v>115</v>
      </c>
      <c r="K84">
        <f>IF(AND(SUM(VLOOKUP($A84,test!$A$3:$F$32,2,FALSE),VLOOKUP(K$1,test!$A$3:$F$32,2,FALSE))&lt;test!$K$16,$A84&lt;&gt;K$1,Recharged_Feasible_mat!L53=1),(VLOOKUP(K$1,test!$A$3:$I$32,8,FALSE))-(VLOOKUP($A84,test!$A$3:$I$32,9,FALSE))+test!$B$34,0)</f>
        <v>0</v>
      </c>
      <c r="L84">
        <f>IF(AND(SUM(VLOOKUP($A84,test!$A$3:$F$32,2,FALSE),VLOOKUP(L$1,test!$A$3:$F$32,2,FALSE))&lt;test!$K$16,$A84&lt;&gt;L$1,Recharged_Feasible_mat!M53=1),(VLOOKUP(L$1,test!$A$3:$I$32,8,FALSE))-(VLOOKUP($A84,test!$A$3:$I$32,9,FALSE))+test!$B$34,0)</f>
        <v>0</v>
      </c>
      <c r="M84">
        <f>IF(AND(SUM(VLOOKUP($A84,test!$A$3:$F$32,2,FALSE),VLOOKUP(M$1,test!$A$3:$F$32,2,FALSE))&lt;test!$K$16,$A84&lt;&gt;M$1,Recharged_Feasible_mat!N53=1),(VLOOKUP(M$1,test!$A$3:$I$32,8,FALSE))-(VLOOKUP($A84,test!$A$3:$I$32,9,FALSE))+test!$B$34,0)</f>
        <v>0</v>
      </c>
      <c r="N84">
        <f>IF(AND(SUM(VLOOKUP($A84,test!$A$3:$F$32,2,FALSE),VLOOKUP(N$1,test!$A$3:$F$32,2,FALSE))&lt;test!$K$16,$A84&lt;&gt;N$1,Recharged_Feasible_mat!O53=1),(VLOOKUP(N$1,test!$A$3:$I$32,8,FALSE))-(VLOOKUP($A84,test!$A$3:$I$32,9,FALSE))+test!$B$34,0)</f>
        <v>0</v>
      </c>
      <c r="O84">
        <f>IF(AND(SUM(VLOOKUP($A84,test!$A$3:$F$32,2,FALSE),VLOOKUP(O$1,test!$A$3:$F$32,2,FALSE))&lt;test!$K$16,$A84&lt;&gt;O$1,Recharged_Feasible_mat!P53=1),(VLOOKUP(O$1,test!$A$3:$I$32,8,FALSE))-(VLOOKUP($A84,test!$A$3:$I$32,9,FALSE))+test!$B$34,0)</f>
        <v>140</v>
      </c>
      <c r="P84">
        <f>IF(AND(SUM(VLOOKUP($A84,test!$A$3:$F$32,2,FALSE),VLOOKUP(P$1,test!$A$3:$F$32,2,FALSE))&lt;test!$K$16,$A84&lt;&gt;P$1,Recharged_Feasible_mat!Q53=1),(VLOOKUP(P$1,test!$A$3:$I$32,8,FALSE))-(VLOOKUP($A84,test!$A$3:$I$32,9,FALSE))+test!$B$34,0)</f>
        <v>0</v>
      </c>
      <c r="Q84">
        <f>IF(AND(SUM(VLOOKUP($A84,test!$A$3:$F$32,2,FALSE),VLOOKUP(Q$1,test!$A$3:$F$32,2,FALSE))&lt;test!$K$16,$A84&lt;&gt;Q$1,Recharged_Feasible_mat!R53=1),(VLOOKUP(Q$1,test!$A$3:$I$32,8,FALSE))-(VLOOKUP($A84,test!$A$3:$I$32,9,FALSE))+test!$B$34,0)</f>
        <v>0</v>
      </c>
      <c r="R84">
        <f>IF(AND(SUM(VLOOKUP($A84,test!$A$3:$F$32,2,FALSE),VLOOKUP(R$1,test!$A$3:$F$32,2,FALSE))&lt;test!$K$16,$A84&lt;&gt;R$1,Recharged_Feasible_mat!S53=1),(VLOOKUP(R$1,test!$A$3:$I$32,8,FALSE))-(VLOOKUP($A84,test!$A$3:$I$32,9,FALSE))+test!$B$34,0)</f>
        <v>0</v>
      </c>
      <c r="S84">
        <f>IF(AND(SUM(VLOOKUP($A84,test!$A$3:$F$32,2,FALSE),VLOOKUP(S$1,test!$A$3:$F$32,2,FALSE))&lt;test!$K$16,$A84&lt;&gt;S$1,Recharged_Feasible_mat!T53=1),(VLOOKUP(S$1,test!$A$3:$I$32,8,FALSE))-(VLOOKUP($A84,test!$A$3:$I$32,9,FALSE))+test!$B$34,0)</f>
        <v>0</v>
      </c>
      <c r="T84">
        <f>IF(AND(SUM(VLOOKUP($A84,test!$A$3:$F$32,2,FALSE),VLOOKUP(T$1,test!$A$3:$F$32,2,FALSE))&lt;test!$K$16,$A84&lt;&gt;T$1,Recharged_Feasible_mat!U53=1),(VLOOKUP(T$1,test!$A$3:$I$32,8,FALSE))-(VLOOKUP($A84,test!$A$3:$I$32,9,FALSE))+test!$B$34,0)</f>
        <v>0</v>
      </c>
      <c r="U84">
        <f>IF(AND(SUM(VLOOKUP($A84,test!$A$3:$F$32,2,FALSE),VLOOKUP(U$1,test!$A$3:$F$32,2,FALSE))&lt;test!$K$16,$A84&lt;&gt;U$1,Recharged_Feasible_mat!V53=1),(VLOOKUP(U$1,test!$A$3:$I$32,8,FALSE))-(VLOOKUP($A84,test!$A$3:$I$32,9,FALSE))+test!$B$34,0)</f>
        <v>0</v>
      </c>
      <c r="V84">
        <f>IF(AND(SUM(VLOOKUP($A84,test!$A$3:$F$32,2,FALSE),VLOOKUP(V$1,test!$A$3:$F$32,2,FALSE))&lt;test!$K$16,$A84&lt;&gt;V$1,Recharged_Feasible_mat!W53=1),(VLOOKUP(V$1,test!$A$3:$I$32,8,FALSE))-(VLOOKUP($A84,test!$A$3:$I$32,9,FALSE))+test!$B$34,0)</f>
        <v>0</v>
      </c>
      <c r="W84">
        <f>IF(AND(SUM(VLOOKUP($A84,test!$A$3:$F$32,2,FALSE),VLOOKUP(W$1,test!$A$3:$F$32,2,FALSE))&lt;test!$K$16,$A84&lt;&gt;W$1,Recharged_Feasible_mat!X53=1),(VLOOKUP(W$1,test!$A$3:$I$32,8,FALSE))-(VLOOKUP($A84,test!$A$3:$I$32,9,FALSE))+test!$B$34,0)</f>
        <v>0</v>
      </c>
      <c r="X84">
        <f>IF(AND(SUM(VLOOKUP($A84,test!$A$3:$F$32,2,FALSE),VLOOKUP(X$1,test!$A$3:$F$32,2,FALSE))&lt;test!$K$16,$A84&lt;&gt;X$1,Recharged_Feasible_mat!Y53=1),(VLOOKUP(X$1,test!$A$3:$I$32,8,FALSE))-(VLOOKUP($A84,test!$A$3:$I$32,9,FALSE))+test!$B$34,0)</f>
        <v>0</v>
      </c>
      <c r="Y84">
        <f>IF(AND(SUM(VLOOKUP($A84,test!$A$3:$F$32,2,FALSE),VLOOKUP(Y$1,test!$A$3:$F$32,2,FALSE))&lt;test!$K$16,$A84&lt;&gt;Y$1,Recharged_Feasible_mat!Z53=1),(VLOOKUP(Y$1,test!$A$3:$I$32,8,FALSE))-(VLOOKUP($A84,test!$A$3:$I$32,9,FALSE))+test!$B$34,0)</f>
        <v>0</v>
      </c>
      <c r="Z84">
        <f>IF(AND(SUM(VLOOKUP($A84,test!$A$3:$F$32,2,FALSE),VLOOKUP(Z$1,test!$A$3:$F$32,2,FALSE))&lt;test!$K$16,$A84&lt;&gt;Z$1,Recharged_Feasible_mat!AA53=1),(VLOOKUP(Z$1,test!$A$3:$I$32,8,FALSE))-(VLOOKUP($A84,test!$A$3:$I$32,9,FALSE))+test!$B$34,0)</f>
        <v>0</v>
      </c>
      <c r="AA84">
        <f>IF(AND(SUM(VLOOKUP($A84,test!$A$3:$F$32,2,FALSE),VLOOKUP(AA$1,test!$A$3:$F$32,2,FALSE))&lt;test!$K$16,$A84&lt;&gt;AA$1,Recharged_Feasible_mat!AB53=1),(VLOOKUP(AA$1,test!$A$3:$I$32,8,FALSE))-(VLOOKUP($A84,test!$A$3:$I$32,9,FALSE))+test!$B$34,0)</f>
        <v>0</v>
      </c>
      <c r="AB84">
        <f>IF(AND(SUM(VLOOKUP($A84,test!$A$3:$F$32,2,FALSE),VLOOKUP(AB$1,test!$A$3:$F$32,2,FALSE))&lt;test!$K$16,$A84&lt;&gt;AB$1,Recharged_Feasible_mat!AC53=1),(VLOOKUP(AB$1,test!$A$3:$I$32,8,FALSE))-(VLOOKUP($A84,test!$A$3:$I$32,9,FALSE))+test!$B$34,0)</f>
        <v>0</v>
      </c>
      <c r="AC84">
        <f>IF(AND(SUM(VLOOKUP($A84,test!$A$3:$F$32,2,FALSE),VLOOKUP(AC$1,test!$A$3:$F$32,2,FALSE))&lt;test!$K$16,$A84&lt;&gt;AC$1,Recharged_Feasible_mat!AD53=1),(VLOOKUP(AC$1,test!$A$3:$I$32,8,FALSE))-(VLOOKUP($A84,test!$A$3:$I$32,9,FALSE))+test!$B$34,0)</f>
        <v>0</v>
      </c>
      <c r="AD84">
        <f>IF(AND(SUM(VLOOKUP($A84,test!$A$3:$F$32,2,FALSE),VLOOKUP(AD$1,test!$A$3:$F$32,2,FALSE))&lt;test!$K$16,$A84&lt;&gt;AD$1,Recharged_Feasible_mat!AE53=1),(VLOOKUP(AD$1,test!$A$3:$I$32,8,FALSE))-(VLOOKUP($A84,test!$A$3:$I$32,9,FALSE))+test!$B$34,0)</f>
        <v>0</v>
      </c>
      <c r="AE84">
        <f>IF(AND(SUM(VLOOKUP($A84,test!$A$3:$F$32,2,FALSE),VLOOKUP(AE$1,test!$A$3:$F$32,2,FALSE))&lt;test!$K$16,$A84&lt;&gt;AE$1,Recharged_Feasible_mat!AF53=1),(VLOOKUP(AE$1,test!$A$3:$I$32,8,FALSE))-(VLOOKUP($A84,test!$A$3:$I$32,9,FALSE))+test!$B$34,0)</f>
        <v>0</v>
      </c>
      <c r="AF84">
        <f>IF(AND(SUM(VLOOKUP($A84,test!$A$3:$F$32,2,FALSE),VLOOKUP(AF$1,test!$A$3:$F$32,2,FALSE))&lt;test!$K$16,$A84&lt;&gt;AF$1,Recharged_Feasible_mat!AG53=1),(VLOOKUP(AF$1,test!$A$3:$I$32,8,FALSE))-(VLOOKUP($A84,test!$A$3:$I$32,9,FALSE))+test!$B$34,0)</f>
        <v>0</v>
      </c>
    </row>
    <row r="85" spans="1:32" x14ac:dyDescent="0.25">
      <c r="A85" t="s">
        <v>32</v>
      </c>
      <c r="B85">
        <v>0</v>
      </c>
      <c r="C85">
        <f>IF(AND(SUM(VLOOKUP($A85,test!$A$3:$F$32,2,FALSE),VLOOKUP(C$1,test!$A$3:$F$32,2,FALSE))&lt;test!$K$16,$A85&lt;&gt;C$1,Recharged_Feasible_mat!D54=1),(VLOOKUP(C$1,test!$A$3:$I$32,8,FALSE))-(VLOOKUP($A85,test!$A$3:$I$32,9,FALSE))+test!$B$34,0)</f>
        <v>0</v>
      </c>
      <c r="D85">
        <f>IF(AND(SUM(VLOOKUP($A85,test!$A$3:$F$32,2,FALSE),VLOOKUP(D$1,test!$A$3:$F$32,2,FALSE))&lt;test!$K$16,$A85&lt;&gt;D$1,Recharged_Feasible_mat!E54=1),(VLOOKUP(D$1,test!$A$3:$I$32,8,FALSE))-(VLOOKUP($A85,test!$A$3:$I$32,9,FALSE))+test!$B$34,0)</f>
        <v>0</v>
      </c>
      <c r="E85">
        <f>IF(AND(SUM(VLOOKUP($A85,test!$A$3:$F$32,2,FALSE),VLOOKUP(E$1,test!$A$3:$F$32,2,FALSE))&lt;test!$K$16,$A85&lt;&gt;E$1,Recharged_Feasible_mat!F54=1),(VLOOKUP(E$1,test!$A$3:$I$32,8,FALSE))-(VLOOKUP($A85,test!$A$3:$I$32,9,FALSE))+test!$B$34,0)</f>
        <v>0</v>
      </c>
      <c r="F85">
        <f>IF(AND(SUM(VLOOKUP($A85,test!$A$3:$F$32,2,FALSE),VLOOKUP(F$1,test!$A$3:$F$32,2,FALSE))&lt;test!$K$16,$A85&lt;&gt;F$1,Recharged_Feasible_mat!G54=1),(VLOOKUP(F$1,test!$A$3:$I$32,8,FALSE))-(VLOOKUP($A85,test!$A$3:$I$32,9,FALSE))+test!$B$34,0)</f>
        <v>0</v>
      </c>
      <c r="G85">
        <f>IF(AND(SUM(VLOOKUP($A85,test!$A$3:$F$32,2,FALSE),VLOOKUP(G$1,test!$A$3:$F$32,2,FALSE))&lt;test!$K$16,$A85&lt;&gt;G$1,Recharged_Feasible_mat!H54=1),(VLOOKUP(G$1,test!$A$3:$I$32,8,FALSE))-(VLOOKUP($A85,test!$A$3:$I$32,9,FALSE))+test!$B$34,0)</f>
        <v>0</v>
      </c>
      <c r="H85">
        <f>IF(AND(SUM(VLOOKUP($A85,test!$A$3:$F$32,2,FALSE),VLOOKUP(H$1,test!$A$3:$F$32,2,FALSE))&lt;test!$K$16,$A85&lt;&gt;H$1,Recharged_Feasible_mat!I54=1),(VLOOKUP(H$1,test!$A$3:$I$32,8,FALSE))-(VLOOKUP($A85,test!$A$3:$I$32,9,FALSE))+test!$B$34,0)</f>
        <v>0</v>
      </c>
      <c r="I85">
        <f>IF(AND(SUM(VLOOKUP($A85,test!$A$3:$F$32,2,FALSE),VLOOKUP(I$1,test!$A$3:$F$32,2,FALSE))&lt;test!$K$16,$A85&lt;&gt;I$1,Recharged_Feasible_mat!J54=1),(VLOOKUP(I$1,test!$A$3:$I$32,8,FALSE))-(VLOOKUP($A85,test!$A$3:$I$32,9,FALSE))+test!$B$34,0)</f>
        <v>0</v>
      </c>
      <c r="J85">
        <f>IF(AND(SUM(VLOOKUP($A85,test!$A$3:$F$32,2,FALSE),VLOOKUP(J$1,test!$A$3:$F$32,2,FALSE))&lt;test!$K$16,$A85&lt;&gt;J$1,Recharged_Feasible_mat!K54=1),(VLOOKUP(J$1,test!$A$3:$I$32,8,FALSE))-(VLOOKUP($A85,test!$A$3:$I$32,9,FALSE))+test!$B$34,0)</f>
        <v>0</v>
      </c>
      <c r="K85">
        <f>IF(AND(SUM(VLOOKUP($A85,test!$A$3:$F$32,2,FALSE),VLOOKUP(K$1,test!$A$3:$F$32,2,FALSE))&lt;test!$K$16,$A85&lt;&gt;K$1,Recharged_Feasible_mat!L54=1),(VLOOKUP(K$1,test!$A$3:$I$32,8,FALSE))-(VLOOKUP($A85,test!$A$3:$I$32,9,FALSE))+test!$B$34,0)</f>
        <v>0</v>
      </c>
      <c r="L85">
        <f>IF(AND(SUM(VLOOKUP($A85,test!$A$3:$F$32,2,FALSE),VLOOKUP(L$1,test!$A$3:$F$32,2,FALSE))&lt;test!$K$16,$A85&lt;&gt;L$1,Recharged_Feasible_mat!M54=1),(VLOOKUP(L$1,test!$A$3:$I$32,8,FALSE))-(VLOOKUP($A85,test!$A$3:$I$32,9,FALSE))+test!$B$34,0)</f>
        <v>0</v>
      </c>
      <c r="M85">
        <f>IF(AND(SUM(VLOOKUP($A85,test!$A$3:$F$32,2,FALSE),VLOOKUP(M$1,test!$A$3:$F$32,2,FALSE))&lt;test!$K$16,$A85&lt;&gt;M$1,Recharged_Feasible_mat!N54=1),(VLOOKUP(M$1,test!$A$3:$I$32,8,FALSE))-(VLOOKUP($A85,test!$A$3:$I$32,9,FALSE))+test!$B$34,0)</f>
        <v>0</v>
      </c>
      <c r="N85">
        <f>IF(AND(SUM(VLOOKUP($A85,test!$A$3:$F$32,2,FALSE),VLOOKUP(N$1,test!$A$3:$F$32,2,FALSE))&lt;test!$K$16,$A85&lt;&gt;N$1,Recharged_Feasible_mat!O54=1),(VLOOKUP(N$1,test!$A$3:$I$32,8,FALSE))-(VLOOKUP($A85,test!$A$3:$I$32,9,FALSE))+test!$B$34,0)</f>
        <v>0</v>
      </c>
      <c r="O85">
        <f>IF(AND(SUM(VLOOKUP($A85,test!$A$3:$F$32,2,FALSE),VLOOKUP(O$1,test!$A$3:$F$32,2,FALSE))&lt;test!$K$16,$A85&lt;&gt;O$1,Recharged_Feasible_mat!P54=1),(VLOOKUP(O$1,test!$A$3:$I$32,8,FALSE))-(VLOOKUP($A85,test!$A$3:$I$32,9,FALSE))+test!$B$34,0)</f>
        <v>0</v>
      </c>
      <c r="P85">
        <f>IF(AND(SUM(VLOOKUP($A85,test!$A$3:$F$32,2,FALSE),VLOOKUP(P$1,test!$A$3:$F$32,2,FALSE))&lt;test!$K$16,$A85&lt;&gt;P$1,Recharged_Feasible_mat!Q54=1),(VLOOKUP(P$1,test!$A$3:$I$32,8,FALSE))-(VLOOKUP($A85,test!$A$3:$I$32,9,FALSE))+test!$B$34,0)</f>
        <v>0</v>
      </c>
      <c r="Q85">
        <f>IF(AND(SUM(VLOOKUP($A85,test!$A$3:$F$32,2,FALSE),VLOOKUP(Q$1,test!$A$3:$F$32,2,FALSE))&lt;test!$K$16,$A85&lt;&gt;Q$1,Recharged_Feasible_mat!R54=1),(VLOOKUP(Q$1,test!$A$3:$I$32,8,FALSE))-(VLOOKUP($A85,test!$A$3:$I$32,9,FALSE))+test!$B$34,0)</f>
        <v>0</v>
      </c>
      <c r="R85">
        <f>IF(AND(SUM(VLOOKUP($A85,test!$A$3:$F$32,2,FALSE),VLOOKUP(R$1,test!$A$3:$F$32,2,FALSE))&lt;test!$K$16,$A85&lt;&gt;R$1,Recharged_Feasible_mat!S54=1),(VLOOKUP(R$1,test!$A$3:$I$32,8,FALSE))-(VLOOKUP($A85,test!$A$3:$I$32,9,FALSE))+test!$B$34,0)</f>
        <v>0</v>
      </c>
      <c r="S85">
        <f>IF(AND(SUM(VLOOKUP($A85,test!$A$3:$F$32,2,FALSE),VLOOKUP(S$1,test!$A$3:$F$32,2,FALSE))&lt;test!$K$16,$A85&lt;&gt;S$1,Recharged_Feasible_mat!T54=1),(VLOOKUP(S$1,test!$A$3:$I$32,8,FALSE))-(VLOOKUP($A85,test!$A$3:$I$32,9,FALSE))+test!$B$34,0)</f>
        <v>0</v>
      </c>
      <c r="T85">
        <f>IF(AND(SUM(VLOOKUP($A85,test!$A$3:$F$32,2,FALSE),VLOOKUP(T$1,test!$A$3:$F$32,2,FALSE))&lt;test!$K$16,$A85&lt;&gt;T$1,Recharged_Feasible_mat!U54=1),(VLOOKUP(T$1,test!$A$3:$I$32,8,FALSE))-(VLOOKUP($A85,test!$A$3:$I$32,9,FALSE))+test!$B$34,0)</f>
        <v>0</v>
      </c>
      <c r="U85">
        <f>IF(AND(SUM(VLOOKUP($A85,test!$A$3:$F$32,2,FALSE),VLOOKUP(U$1,test!$A$3:$F$32,2,FALSE))&lt;test!$K$16,$A85&lt;&gt;U$1,Recharged_Feasible_mat!V54=1),(VLOOKUP(U$1,test!$A$3:$I$32,8,FALSE))-(VLOOKUP($A85,test!$A$3:$I$32,9,FALSE))+test!$B$34,0)</f>
        <v>0</v>
      </c>
      <c r="V85">
        <f>IF(AND(SUM(VLOOKUP($A85,test!$A$3:$F$32,2,FALSE),VLOOKUP(V$1,test!$A$3:$F$32,2,FALSE))&lt;test!$K$16,$A85&lt;&gt;V$1,Recharged_Feasible_mat!W54=1),(VLOOKUP(V$1,test!$A$3:$I$32,8,FALSE))-(VLOOKUP($A85,test!$A$3:$I$32,9,FALSE))+test!$B$34,0)</f>
        <v>0</v>
      </c>
      <c r="W85">
        <f>IF(AND(SUM(VLOOKUP($A85,test!$A$3:$F$32,2,FALSE),VLOOKUP(W$1,test!$A$3:$F$32,2,FALSE))&lt;test!$K$16,$A85&lt;&gt;W$1,Recharged_Feasible_mat!X54=1),(VLOOKUP(W$1,test!$A$3:$I$32,8,FALSE))-(VLOOKUP($A85,test!$A$3:$I$32,9,FALSE))+test!$B$34,0)</f>
        <v>0</v>
      </c>
      <c r="X85">
        <f>IF(AND(SUM(VLOOKUP($A85,test!$A$3:$F$32,2,FALSE),VLOOKUP(X$1,test!$A$3:$F$32,2,FALSE))&lt;test!$K$16,$A85&lt;&gt;X$1,Recharged_Feasible_mat!Y54=1),(VLOOKUP(X$1,test!$A$3:$I$32,8,FALSE))-(VLOOKUP($A85,test!$A$3:$I$32,9,FALSE))+test!$B$34,0)</f>
        <v>0</v>
      </c>
      <c r="Y85">
        <f>IF(AND(SUM(VLOOKUP($A85,test!$A$3:$F$32,2,FALSE),VLOOKUP(Y$1,test!$A$3:$F$32,2,FALSE))&lt;test!$K$16,$A85&lt;&gt;Y$1,Recharged_Feasible_mat!Z54=1),(VLOOKUP(Y$1,test!$A$3:$I$32,8,FALSE))-(VLOOKUP($A85,test!$A$3:$I$32,9,FALSE))+test!$B$34,0)</f>
        <v>0</v>
      </c>
      <c r="Z85">
        <f>IF(AND(SUM(VLOOKUP($A85,test!$A$3:$F$32,2,FALSE),VLOOKUP(Z$1,test!$A$3:$F$32,2,FALSE))&lt;test!$K$16,$A85&lt;&gt;Z$1,Recharged_Feasible_mat!AA54=1),(VLOOKUP(Z$1,test!$A$3:$I$32,8,FALSE))-(VLOOKUP($A85,test!$A$3:$I$32,9,FALSE))+test!$B$34,0)</f>
        <v>0</v>
      </c>
      <c r="AA85">
        <f>IF(AND(SUM(VLOOKUP($A85,test!$A$3:$F$32,2,FALSE),VLOOKUP(AA$1,test!$A$3:$F$32,2,FALSE))&lt;test!$K$16,$A85&lt;&gt;AA$1,Recharged_Feasible_mat!AB54=1),(VLOOKUP(AA$1,test!$A$3:$I$32,8,FALSE))-(VLOOKUP($A85,test!$A$3:$I$32,9,FALSE))+test!$B$34,0)</f>
        <v>0</v>
      </c>
      <c r="AB85">
        <f>IF(AND(SUM(VLOOKUP($A85,test!$A$3:$F$32,2,FALSE),VLOOKUP(AB$1,test!$A$3:$F$32,2,FALSE))&lt;test!$K$16,$A85&lt;&gt;AB$1,Recharged_Feasible_mat!AC54=1),(VLOOKUP(AB$1,test!$A$3:$I$32,8,FALSE))-(VLOOKUP($A85,test!$A$3:$I$32,9,FALSE))+test!$B$34,0)</f>
        <v>0</v>
      </c>
      <c r="AC85">
        <f>IF(AND(SUM(VLOOKUP($A85,test!$A$3:$F$32,2,FALSE),VLOOKUP(AC$1,test!$A$3:$F$32,2,FALSE))&lt;test!$K$16,$A85&lt;&gt;AC$1,Recharged_Feasible_mat!AD54=1),(VLOOKUP(AC$1,test!$A$3:$I$32,8,FALSE))-(VLOOKUP($A85,test!$A$3:$I$32,9,FALSE))+test!$B$34,0)</f>
        <v>0</v>
      </c>
      <c r="AD85">
        <f>IF(AND(SUM(VLOOKUP($A85,test!$A$3:$F$32,2,FALSE),VLOOKUP(AD$1,test!$A$3:$F$32,2,FALSE))&lt;test!$K$16,$A85&lt;&gt;AD$1,Recharged_Feasible_mat!AE54=1),(VLOOKUP(AD$1,test!$A$3:$I$32,8,FALSE))-(VLOOKUP($A85,test!$A$3:$I$32,9,FALSE))+test!$B$34,0)</f>
        <v>0</v>
      </c>
      <c r="AE85">
        <f>IF(AND(SUM(VLOOKUP($A85,test!$A$3:$F$32,2,FALSE),VLOOKUP(AE$1,test!$A$3:$F$32,2,FALSE))&lt;test!$K$16,$A85&lt;&gt;AE$1,Recharged_Feasible_mat!AF54=1),(VLOOKUP(AE$1,test!$A$3:$I$32,8,FALSE))-(VLOOKUP($A85,test!$A$3:$I$32,9,FALSE))+test!$B$34,0)</f>
        <v>0</v>
      </c>
      <c r="AF85">
        <f>IF(AND(SUM(VLOOKUP($A85,test!$A$3:$F$32,2,FALSE),VLOOKUP(AF$1,test!$A$3:$F$32,2,FALSE))&lt;test!$K$16,$A85&lt;&gt;AF$1,Recharged_Feasible_mat!AG54=1),(VLOOKUP(AF$1,test!$A$3:$I$32,8,FALSE))-(VLOOKUP($A85,test!$A$3:$I$32,9,FALSE))+test!$B$34,0)</f>
        <v>0</v>
      </c>
    </row>
    <row r="86" spans="1:32" x14ac:dyDescent="0.25">
      <c r="A86" t="s">
        <v>33</v>
      </c>
      <c r="B86">
        <v>0</v>
      </c>
      <c r="C86">
        <f>IF(AND(SUM(VLOOKUP($A86,test!$A$3:$F$32,2,FALSE),VLOOKUP(C$1,test!$A$3:$F$32,2,FALSE))&lt;test!$K$16,$A86&lt;&gt;C$1,Recharged_Feasible_mat!D55=1),(VLOOKUP(C$1,test!$A$3:$I$32,8,FALSE))-(VLOOKUP($A86,test!$A$3:$I$32,9,FALSE))+test!$B$34,0)</f>
        <v>0</v>
      </c>
      <c r="D86">
        <f>IF(AND(SUM(VLOOKUP($A86,test!$A$3:$F$32,2,FALSE),VLOOKUP(D$1,test!$A$3:$F$32,2,FALSE))&lt;test!$K$16,$A86&lt;&gt;D$1,Recharged_Feasible_mat!E55=1),(VLOOKUP(D$1,test!$A$3:$I$32,8,FALSE))-(VLOOKUP($A86,test!$A$3:$I$32,9,FALSE))+test!$B$34,0)</f>
        <v>0</v>
      </c>
      <c r="E86">
        <f>IF(AND(SUM(VLOOKUP($A86,test!$A$3:$F$32,2,FALSE),VLOOKUP(E$1,test!$A$3:$F$32,2,FALSE))&lt;test!$K$16,$A86&lt;&gt;E$1,Recharged_Feasible_mat!F55=1),(VLOOKUP(E$1,test!$A$3:$I$32,8,FALSE))-(VLOOKUP($A86,test!$A$3:$I$32,9,FALSE))+test!$B$34,0)</f>
        <v>0</v>
      </c>
      <c r="F86">
        <f>IF(AND(SUM(VLOOKUP($A86,test!$A$3:$F$32,2,FALSE),VLOOKUP(F$1,test!$A$3:$F$32,2,FALSE))&lt;test!$K$16,$A86&lt;&gt;F$1,Recharged_Feasible_mat!G55=1),(VLOOKUP(F$1,test!$A$3:$I$32,8,FALSE))-(VLOOKUP($A86,test!$A$3:$I$32,9,FALSE))+test!$B$34,0)</f>
        <v>0</v>
      </c>
      <c r="G86">
        <f>IF(AND(SUM(VLOOKUP($A86,test!$A$3:$F$32,2,FALSE),VLOOKUP(G$1,test!$A$3:$F$32,2,FALSE))&lt;test!$K$16,$A86&lt;&gt;G$1,Recharged_Feasible_mat!H55=1),(VLOOKUP(G$1,test!$A$3:$I$32,8,FALSE))-(VLOOKUP($A86,test!$A$3:$I$32,9,FALSE))+test!$B$34,0)</f>
        <v>0</v>
      </c>
      <c r="H86">
        <f>IF(AND(SUM(VLOOKUP($A86,test!$A$3:$F$32,2,FALSE),VLOOKUP(H$1,test!$A$3:$F$32,2,FALSE))&lt;test!$K$16,$A86&lt;&gt;H$1,Recharged_Feasible_mat!I55=1),(VLOOKUP(H$1,test!$A$3:$I$32,8,FALSE))-(VLOOKUP($A86,test!$A$3:$I$32,9,FALSE))+test!$B$34,0)</f>
        <v>0</v>
      </c>
      <c r="I86">
        <f>IF(AND(SUM(VLOOKUP($A86,test!$A$3:$F$32,2,FALSE),VLOOKUP(I$1,test!$A$3:$F$32,2,FALSE))&lt;test!$K$16,$A86&lt;&gt;I$1,Recharged_Feasible_mat!J55=1),(VLOOKUP(I$1,test!$A$3:$I$32,8,FALSE))-(VLOOKUP($A86,test!$A$3:$I$32,9,FALSE))+test!$B$34,0)</f>
        <v>0</v>
      </c>
      <c r="J86">
        <f>IF(AND(SUM(VLOOKUP($A86,test!$A$3:$F$32,2,FALSE),VLOOKUP(J$1,test!$A$3:$F$32,2,FALSE))&lt;test!$K$16,$A86&lt;&gt;J$1,Recharged_Feasible_mat!K55=1),(VLOOKUP(J$1,test!$A$3:$I$32,8,FALSE))-(VLOOKUP($A86,test!$A$3:$I$32,9,FALSE))+test!$B$34,0)</f>
        <v>0</v>
      </c>
      <c r="K86">
        <f>IF(AND(SUM(VLOOKUP($A86,test!$A$3:$F$32,2,FALSE),VLOOKUP(K$1,test!$A$3:$F$32,2,FALSE))&lt;test!$K$16,$A86&lt;&gt;K$1,Recharged_Feasible_mat!L55=1),(VLOOKUP(K$1,test!$A$3:$I$32,8,FALSE))-(VLOOKUP($A86,test!$A$3:$I$32,9,FALSE))+test!$B$34,0)</f>
        <v>0</v>
      </c>
      <c r="L86">
        <f>IF(AND(SUM(VLOOKUP($A86,test!$A$3:$F$32,2,FALSE),VLOOKUP(L$1,test!$A$3:$F$32,2,FALSE))&lt;test!$K$16,$A86&lt;&gt;L$1,Recharged_Feasible_mat!M55=1),(VLOOKUP(L$1,test!$A$3:$I$32,8,FALSE))-(VLOOKUP($A86,test!$A$3:$I$32,9,FALSE))+test!$B$34,0)</f>
        <v>0</v>
      </c>
      <c r="M86">
        <f>IF(AND(SUM(VLOOKUP($A86,test!$A$3:$F$32,2,FALSE),VLOOKUP(M$1,test!$A$3:$F$32,2,FALSE))&lt;test!$K$16,$A86&lt;&gt;M$1,Recharged_Feasible_mat!N55=1),(VLOOKUP(M$1,test!$A$3:$I$32,8,FALSE))-(VLOOKUP($A86,test!$A$3:$I$32,9,FALSE))+test!$B$34,0)</f>
        <v>0</v>
      </c>
      <c r="N86">
        <f>IF(AND(SUM(VLOOKUP($A86,test!$A$3:$F$32,2,FALSE),VLOOKUP(N$1,test!$A$3:$F$32,2,FALSE))&lt;test!$K$16,$A86&lt;&gt;N$1,Recharged_Feasible_mat!O55=1),(VLOOKUP(N$1,test!$A$3:$I$32,8,FALSE))-(VLOOKUP($A86,test!$A$3:$I$32,9,FALSE))+test!$B$34,0)</f>
        <v>0</v>
      </c>
      <c r="O86">
        <f>IF(AND(SUM(VLOOKUP($A86,test!$A$3:$F$32,2,FALSE),VLOOKUP(O$1,test!$A$3:$F$32,2,FALSE))&lt;test!$K$16,$A86&lt;&gt;O$1,Recharged_Feasible_mat!P55=1),(VLOOKUP(O$1,test!$A$3:$I$32,8,FALSE))-(VLOOKUP($A86,test!$A$3:$I$32,9,FALSE))+test!$B$34,0)</f>
        <v>0</v>
      </c>
      <c r="P86">
        <f>IF(AND(SUM(VLOOKUP($A86,test!$A$3:$F$32,2,FALSE),VLOOKUP(P$1,test!$A$3:$F$32,2,FALSE))&lt;test!$K$16,$A86&lt;&gt;P$1,Recharged_Feasible_mat!Q55=1),(VLOOKUP(P$1,test!$A$3:$I$32,8,FALSE))-(VLOOKUP($A86,test!$A$3:$I$32,9,FALSE))+test!$B$34,0)</f>
        <v>0</v>
      </c>
      <c r="Q86">
        <f>IF(AND(SUM(VLOOKUP($A86,test!$A$3:$F$32,2,FALSE),VLOOKUP(Q$1,test!$A$3:$F$32,2,FALSE))&lt;test!$K$16,$A86&lt;&gt;Q$1,Recharged_Feasible_mat!R55=1),(VLOOKUP(Q$1,test!$A$3:$I$32,8,FALSE))-(VLOOKUP($A86,test!$A$3:$I$32,9,FALSE))+test!$B$34,0)</f>
        <v>0</v>
      </c>
      <c r="R86">
        <f>IF(AND(SUM(VLOOKUP($A86,test!$A$3:$F$32,2,FALSE),VLOOKUP(R$1,test!$A$3:$F$32,2,FALSE))&lt;test!$K$16,$A86&lt;&gt;R$1,Recharged_Feasible_mat!S55=1),(VLOOKUP(R$1,test!$A$3:$I$32,8,FALSE))-(VLOOKUP($A86,test!$A$3:$I$32,9,FALSE))+test!$B$34,0)</f>
        <v>0</v>
      </c>
      <c r="S86">
        <f>IF(AND(SUM(VLOOKUP($A86,test!$A$3:$F$32,2,FALSE),VLOOKUP(S$1,test!$A$3:$F$32,2,FALSE))&lt;test!$K$16,$A86&lt;&gt;S$1,Recharged_Feasible_mat!T55=1),(VLOOKUP(S$1,test!$A$3:$I$32,8,FALSE))-(VLOOKUP($A86,test!$A$3:$I$32,9,FALSE))+test!$B$34,0)</f>
        <v>0</v>
      </c>
      <c r="T86">
        <f>IF(AND(SUM(VLOOKUP($A86,test!$A$3:$F$32,2,FALSE),VLOOKUP(T$1,test!$A$3:$F$32,2,FALSE))&lt;test!$K$16,$A86&lt;&gt;T$1,Recharged_Feasible_mat!U55=1),(VLOOKUP(T$1,test!$A$3:$I$32,8,FALSE))-(VLOOKUP($A86,test!$A$3:$I$32,9,FALSE))+test!$B$34,0)</f>
        <v>0</v>
      </c>
      <c r="U86">
        <f>IF(AND(SUM(VLOOKUP($A86,test!$A$3:$F$32,2,FALSE),VLOOKUP(U$1,test!$A$3:$F$32,2,FALSE))&lt;test!$K$16,$A86&lt;&gt;U$1,Recharged_Feasible_mat!V55=1),(VLOOKUP(U$1,test!$A$3:$I$32,8,FALSE))-(VLOOKUP($A86,test!$A$3:$I$32,9,FALSE))+test!$B$34,0)</f>
        <v>0</v>
      </c>
      <c r="V86">
        <f>IF(AND(SUM(VLOOKUP($A86,test!$A$3:$F$32,2,FALSE),VLOOKUP(V$1,test!$A$3:$F$32,2,FALSE))&lt;test!$K$16,$A86&lt;&gt;V$1,Recharged_Feasible_mat!W55=1),(VLOOKUP(V$1,test!$A$3:$I$32,8,FALSE))-(VLOOKUP($A86,test!$A$3:$I$32,9,FALSE))+test!$B$34,0)</f>
        <v>0</v>
      </c>
      <c r="W86">
        <f>IF(AND(SUM(VLOOKUP($A86,test!$A$3:$F$32,2,FALSE),VLOOKUP(W$1,test!$A$3:$F$32,2,FALSE))&lt;test!$K$16,$A86&lt;&gt;W$1,Recharged_Feasible_mat!X55=1),(VLOOKUP(W$1,test!$A$3:$I$32,8,FALSE))-(VLOOKUP($A86,test!$A$3:$I$32,9,FALSE))+test!$B$34,0)</f>
        <v>0</v>
      </c>
      <c r="X86">
        <f>IF(AND(SUM(VLOOKUP($A86,test!$A$3:$F$32,2,FALSE),VLOOKUP(X$1,test!$A$3:$F$32,2,FALSE))&lt;test!$K$16,$A86&lt;&gt;X$1,Recharged_Feasible_mat!Y55=1),(VLOOKUP(X$1,test!$A$3:$I$32,8,FALSE))-(VLOOKUP($A86,test!$A$3:$I$32,9,FALSE))+test!$B$34,0)</f>
        <v>0</v>
      </c>
      <c r="Y86">
        <f>IF(AND(SUM(VLOOKUP($A86,test!$A$3:$F$32,2,FALSE),VLOOKUP(Y$1,test!$A$3:$F$32,2,FALSE))&lt;test!$K$16,$A86&lt;&gt;Y$1,Recharged_Feasible_mat!Z55=1),(VLOOKUP(Y$1,test!$A$3:$I$32,8,FALSE))-(VLOOKUP($A86,test!$A$3:$I$32,9,FALSE))+test!$B$34,0)</f>
        <v>0</v>
      </c>
      <c r="Z86">
        <f>IF(AND(SUM(VLOOKUP($A86,test!$A$3:$F$32,2,FALSE),VLOOKUP(Z$1,test!$A$3:$F$32,2,FALSE))&lt;test!$K$16,$A86&lt;&gt;Z$1,Recharged_Feasible_mat!AA55=1),(VLOOKUP(Z$1,test!$A$3:$I$32,8,FALSE))-(VLOOKUP($A86,test!$A$3:$I$32,9,FALSE))+test!$B$34,0)</f>
        <v>0</v>
      </c>
      <c r="AA86">
        <f>IF(AND(SUM(VLOOKUP($A86,test!$A$3:$F$32,2,FALSE),VLOOKUP(AA$1,test!$A$3:$F$32,2,FALSE))&lt;test!$K$16,$A86&lt;&gt;AA$1,Recharged_Feasible_mat!AB55=1),(VLOOKUP(AA$1,test!$A$3:$I$32,8,FALSE))-(VLOOKUP($A86,test!$A$3:$I$32,9,FALSE))+test!$B$34,0)</f>
        <v>0</v>
      </c>
      <c r="AB86">
        <f>IF(AND(SUM(VLOOKUP($A86,test!$A$3:$F$32,2,FALSE),VLOOKUP(AB$1,test!$A$3:$F$32,2,FALSE))&lt;test!$K$16,$A86&lt;&gt;AB$1,Recharged_Feasible_mat!AC55=1),(VLOOKUP(AB$1,test!$A$3:$I$32,8,FALSE))-(VLOOKUP($A86,test!$A$3:$I$32,9,FALSE))+test!$B$34,0)</f>
        <v>0</v>
      </c>
      <c r="AC86">
        <f>IF(AND(SUM(VLOOKUP($A86,test!$A$3:$F$32,2,FALSE),VLOOKUP(AC$1,test!$A$3:$F$32,2,FALSE))&lt;test!$K$16,$A86&lt;&gt;AC$1,Recharged_Feasible_mat!AD55=1),(VLOOKUP(AC$1,test!$A$3:$I$32,8,FALSE))-(VLOOKUP($A86,test!$A$3:$I$32,9,FALSE))+test!$B$34,0)</f>
        <v>0</v>
      </c>
      <c r="AD86">
        <f>IF(AND(SUM(VLOOKUP($A86,test!$A$3:$F$32,2,FALSE),VLOOKUP(AD$1,test!$A$3:$F$32,2,FALSE))&lt;test!$K$16,$A86&lt;&gt;AD$1,Recharged_Feasible_mat!AE55=1),(VLOOKUP(AD$1,test!$A$3:$I$32,8,FALSE))-(VLOOKUP($A86,test!$A$3:$I$32,9,FALSE))+test!$B$34,0)</f>
        <v>0</v>
      </c>
      <c r="AE86">
        <f>IF(AND(SUM(VLOOKUP($A86,test!$A$3:$F$32,2,FALSE),VLOOKUP(AE$1,test!$A$3:$F$32,2,FALSE))&lt;test!$K$16,$A86&lt;&gt;AE$1,Recharged_Feasible_mat!AF55=1),(VLOOKUP(AE$1,test!$A$3:$I$32,8,FALSE))-(VLOOKUP($A86,test!$A$3:$I$32,9,FALSE))+test!$B$34,0)</f>
        <v>0</v>
      </c>
      <c r="AF86">
        <f>IF(AND(SUM(VLOOKUP($A86,test!$A$3:$F$32,2,FALSE),VLOOKUP(AF$1,test!$A$3:$F$32,2,FALSE))&lt;test!$K$16,$A86&lt;&gt;AF$1,Recharged_Feasible_mat!AG55=1),(VLOOKUP(AF$1,test!$A$3:$I$32,8,FALSE))-(VLOOKUP($A86,test!$A$3:$I$32,9,FALSE))+test!$B$34,0)</f>
        <v>0</v>
      </c>
    </row>
    <row r="87" spans="1:32" x14ac:dyDescent="0.25">
      <c r="A87" t="s">
        <v>34</v>
      </c>
      <c r="B87">
        <v>0</v>
      </c>
      <c r="C87">
        <f>IF(AND(SUM(VLOOKUP($A87,test!$A$3:$F$32,2,FALSE),VLOOKUP(C$1,test!$A$3:$F$32,2,FALSE))&lt;test!$K$16,$A87&lt;&gt;C$1,Recharged_Feasible_mat!D56=1),(VLOOKUP(C$1,test!$A$3:$I$32,8,FALSE))-(VLOOKUP($A87,test!$A$3:$I$32,9,FALSE))+test!$B$34,0)</f>
        <v>0</v>
      </c>
      <c r="D87">
        <f>IF(AND(SUM(VLOOKUP($A87,test!$A$3:$F$32,2,FALSE),VLOOKUP(D$1,test!$A$3:$F$32,2,FALSE))&lt;test!$K$16,$A87&lt;&gt;D$1,Recharged_Feasible_mat!E56=1),(VLOOKUP(D$1,test!$A$3:$I$32,8,FALSE))-(VLOOKUP($A87,test!$A$3:$I$32,9,FALSE))+test!$B$34,0)</f>
        <v>0</v>
      </c>
      <c r="E87">
        <f>IF(AND(SUM(VLOOKUP($A87,test!$A$3:$F$32,2,FALSE),VLOOKUP(E$1,test!$A$3:$F$32,2,FALSE))&lt;test!$K$16,$A87&lt;&gt;E$1,Recharged_Feasible_mat!F56=1),(VLOOKUP(E$1,test!$A$3:$I$32,8,FALSE))-(VLOOKUP($A87,test!$A$3:$I$32,9,FALSE))+test!$B$34,0)</f>
        <v>170</v>
      </c>
      <c r="F87">
        <f>IF(AND(SUM(VLOOKUP($A87,test!$A$3:$F$32,2,FALSE),VLOOKUP(F$1,test!$A$3:$F$32,2,FALSE))&lt;test!$K$16,$A87&lt;&gt;F$1,Recharged_Feasible_mat!G56=1),(VLOOKUP(F$1,test!$A$3:$I$32,8,FALSE))-(VLOOKUP($A87,test!$A$3:$I$32,9,FALSE))+test!$B$34,0)</f>
        <v>260</v>
      </c>
      <c r="G87">
        <f>IF(AND(SUM(VLOOKUP($A87,test!$A$3:$F$32,2,FALSE),VLOOKUP(G$1,test!$A$3:$F$32,2,FALSE))&lt;test!$K$16,$A87&lt;&gt;G$1,Recharged_Feasible_mat!H56=1),(VLOOKUP(G$1,test!$A$3:$I$32,8,FALSE))-(VLOOKUP($A87,test!$A$3:$I$32,9,FALSE))+test!$B$34,0)</f>
        <v>320</v>
      </c>
      <c r="H87">
        <f>IF(AND(SUM(VLOOKUP($A87,test!$A$3:$F$32,2,FALSE),VLOOKUP(H$1,test!$A$3:$F$32,2,FALSE))&lt;test!$K$16,$A87&lt;&gt;H$1,Recharged_Feasible_mat!I56=1),(VLOOKUP(H$1,test!$A$3:$I$32,8,FALSE))-(VLOOKUP($A87,test!$A$3:$I$32,9,FALSE))+test!$B$34,0)</f>
        <v>380</v>
      </c>
      <c r="I87">
        <f>IF(AND(SUM(VLOOKUP($A87,test!$A$3:$F$32,2,FALSE),VLOOKUP(I$1,test!$A$3:$F$32,2,FALSE))&lt;test!$K$16,$A87&lt;&gt;I$1,Recharged_Feasible_mat!J56=1),(VLOOKUP(I$1,test!$A$3:$I$32,8,FALSE))-(VLOOKUP($A87,test!$A$3:$I$32,9,FALSE))+test!$B$34,0)</f>
        <v>440</v>
      </c>
      <c r="J87">
        <f>IF(AND(SUM(VLOOKUP($A87,test!$A$3:$F$32,2,FALSE),VLOOKUP(J$1,test!$A$3:$F$32,2,FALSE))&lt;test!$K$16,$A87&lt;&gt;J$1,Recharged_Feasible_mat!K56=1),(VLOOKUP(J$1,test!$A$3:$I$32,8,FALSE))-(VLOOKUP($A87,test!$A$3:$I$32,9,FALSE))+test!$B$34,0)</f>
        <v>530</v>
      </c>
      <c r="K87">
        <f>IF(AND(SUM(VLOOKUP($A87,test!$A$3:$F$32,2,FALSE),VLOOKUP(K$1,test!$A$3:$F$32,2,FALSE))&lt;test!$K$16,$A87&lt;&gt;K$1,Recharged_Feasible_mat!L56=1),(VLOOKUP(K$1,test!$A$3:$I$32,8,FALSE))-(VLOOKUP($A87,test!$A$3:$I$32,9,FALSE))+test!$B$34,0)</f>
        <v>0</v>
      </c>
      <c r="L87">
        <f>IF(AND(SUM(VLOOKUP($A87,test!$A$3:$F$32,2,FALSE),VLOOKUP(L$1,test!$A$3:$F$32,2,FALSE))&lt;test!$K$16,$A87&lt;&gt;L$1,Recharged_Feasible_mat!M56=1),(VLOOKUP(L$1,test!$A$3:$I$32,8,FALSE))-(VLOOKUP($A87,test!$A$3:$I$32,9,FALSE))+test!$B$34,0)</f>
        <v>0</v>
      </c>
      <c r="M87">
        <f>IF(AND(SUM(VLOOKUP($A87,test!$A$3:$F$32,2,FALSE),VLOOKUP(M$1,test!$A$3:$F$32,2,FALSE))&lt;test!$K$16,$A87&lt;&gt;M$1,Recharged_Feasible_mat!N56=1),(VLOOKUP(M$1,test!$A$3:$I$32,8,FALSE))-(VLOOKUP($A87,test!$A$3:$I$32,9,FALSE))+test!$B$34,0)</f>
        <v>135</v>
      </c>
      <c r="N87">
        <f>IF(AND(SUM(VLOOKUP($A87,test!$A$3:$F$32,2,FALSE),VLOOKUP(N$1,test!$A$3:$F$32,2,FALSE))&lt;test!$K$16,$A87&lt;&gt;N$1,Recharged_Feasible_mat!O56=1),(VLOOKUP(N$1,test!$A$3:$I$32,8,FALSE))-(VLOOKUP($A87,test!$A$3:$I$32,9,FALSE))+test!$B$34,0)</f>
        <v>495</v>
      </c>
      <c r="O87">
        <f>IF(AND(SUM(VLOOKUP($A87,test!$A$3:$F$32,2,FALSE),VLOOKUP(O$1,test!$A$3:$F$32,2,FALSE))&lt;test!$K$16,$A87&lt;&gt;O$1,Recharged_Feasible_mat!P56=1),(VLOOKUP(O$1,test!$A$3:$I$32,8,FALSE))-(VLOOKUP($A87,test!$A$3:$I$32,9,FALSE))+test!$B$34,0)</f>
        <v>555</v>
      </c>
      <c r="P87">
        <f>IF(AND(SUM(VLOOKUP($A87,test!$A$3:$F$32,2,FALSE),VLOOKUP(P$1,test!$A$3:$F$32,2,FALSE))&lt;test!$K$16,$A87&lt;&gt;P$1,Recharged_Feasible_mat!Q56=1),(VLOOKUP(P$1,test!$A$3:$I$32,8,FALSE))-(VLOOKUP($A87,test!$A$3:$I$32,9,FALSE))+test!$B$34,0)</f>
        <v>0</v>
      </c>
      <c r="Q87">
        <f>IF(AND(SUM(VLOOKUP($A87,test!$A$3:$F$32,2,FALSE),VLOOKUP(Q$1,test!$A$3:$F$32,2,FALSE))&lt;test!$K$16,$A87&lt;&gt;Q$1,Recharged_Feasible_mat!R56=1),(VLOOKUP(Q$1,test!$A$3:$I$32,8,FALSE))-(VLOOKUP($A87,test!$A$3:$I$32,9,FALSE))+test!$B$34,0)</f>
        <v>0</v>
      </c>
      <c r="R87">
        <f>IF(AND(SUM(VLOOKUP($A87,test!$A$3:$F$32,2,FALSE),VLOOKUP(R$1,test!$A$3:$F$32,2,FALSE))&lt;test!$K$16,$A87&lt;&gt;R$1,Recharged_Feasible_mat!S56=1),(VLOOKUP(R$1,test!$A$3:$I$32,8,FALSE))-(VLOOKUP($A87,test!$A$3:$I$32,9,FALSE))+test!$B$34,0)</f>
        <v>0</v>
      </c>
      <c r="S87">
        <f>IF(AND(SUM(VLOOKUP($A87,test!$A$3:$F$32,2,FALSE),VLOOKUP(S$1,test!$A$3:$F$32,2,FALSE))&lt;test!$K$16,$A87&lt;&gt;S$1,Recharged_Feasible_mat!T56=1),(VLOOKUP(S$1,test!$A$3:$I$32,8,FALSE))-(VLOOKUP($A87,test!$A$3:$I$32,9,FALSE))+test!$B$34,0)</f>
        <v>0</v>
      </c>
      <c r="T87">
        <f>IF(AND(SUM(VLOOKUP($A87,test!$A$3:$F$32,2,FALSE),VLOOKUP(T$1,test!$A$3:$F$32,2,FALSE))&lt;test!$K$16,$A87&lt;&gt;T$1,Recharged_Feasible_mat!U56=1),(VLOOKUP(T$1,test!$A$3:$I$32,8,FALSE))-(VLOOKUP($A87,test!$A$3:$I$32,9,FALSE))+test!$B$34,0)</f>
        <v>150</v>
      </c>
      <c r="U87">
        <f>IF(AND(SUM(VLOOKUP($A87,test!$A$3:$F$32,2,FALSE),VLOOKUP(U$1,test!$A$3:$F$32,2,FALSE))&lt;test!$K$16,$A87&lt;&gt;U$1,Recharged_Feasible_mat!V56=1),(VLOOKUP(U$1,test!$A$3:$I$32,8,FALSE))-(VLOOKUP($A87,test!$A$3:$I$32,9,FALSE))+test!$B$34,0)</f>
        <v>240</v>
      </c>
      <c r="V87">
        <f>IF(AND(SUM(VLOOKUP($A87,test!$A$3:$F$32,2,FALSE),VLOOKUP(V$1,test!$A$3:$F$32,2,FALSE))&lt;test!$K$16,$A87&lt;&gt;V$1,Recharged_Feasible_mat!W56=1),(VLOOKUP(V$1,test!$A$3:$I$32,8,FALSE))-(VLOOKUP($A87,test!$A$3:$I$32,9,FALSE))+test!$B$34,0)</f>
        <v>330</v>
      </c>
      <c r="W87">
        <f>IF(AND(SUM(VLOOKUP($A87,test!$A$3:$F$32,2,FALSE),VLOOKUP(W$1,test!$A$3:$F$32,2,FALSE))&lt;test!$K$16,$A87&lt;&gt;W$1,Recharged_Feasible_mat!X56=1),(VLOOKUP(W$1,test!$A$3:$I$32,8,FALSE))-(VLOOKUP($A87,test!$A$3:$I$32,9,FALSE))+test!$B$34,0)</f>
        <v>420</v>
      </c>
      <c r="X87">
        <f>IF(AND(SUM(VLOOKUP($A87,test!$A$3:$F$32,2,FALSE),VLOOKUP(X$1,test!$A$3:$F$32,2,FALSE))&lt;test!$K$16,$A87&lt;&gt;X$1,Recharged_Feasible_mat!Y56=1),(VLOOKUP(X$1,test!$A$3:$I$32,8,FALSE))-(VLOOKUP($A87,test!$A$3:$I$32,9,FALSE))+test!$B$34,0)</f>
        <v>480</v>
      </c>
      <c r="Y87">
        <f>IF(AND(SUM(VLOOKUP($A87,test!$A$3:$F$32,2,FALSE),VLOOKUP(Y$1,test!$A$3:$F$32,2,FALSE))&lt;test!$K$16,$A87&lt;&gt;Y$1,Recharged_Feasible_mat!Z56=1),(VLOOKUP(Y$1,test!$A$3:$I$32,8,FALSE))-(VLOOKUP($A87,test!$A$3:$I$32,9,FALSE))+test!$B$34,0)</f>
        <v>0</v>
      </c>
      <c r="Z87">
        <f>IF(AND(SUM(VLOOKUP($A87,test!$A$3:$F$32,2,FALSE),VLOOKUP(Z$1,test!$A$3:$F$32,2,FALSE))&lt;test!$K$16,$A87&lt;&gt;Z$1,Recharged_Feasible_mat!AA56=1),(VLOOKUP(Z$1,test!$A$3:$I$32,8,FALSE))-(VLOOKUP($A87,test!$A$3:$I$32,9,FALSE))+test!$B$34,0)</f>
        <v>0</v>
      </c>
      <c r="AA87">
        <f>IF(AND(SUM(VLOOKUP($A87,test!$A$3:$F$32,2,FALSE),VLOOKUP(AA$1,test!$A$3:$F$32,2,FALSE))&lt;test!$K$16,$A87&lt;&gt;AA$1,Recharged_Feasible_mat!AB56=1),(VLOOKUP(AA$1,test!$A$3:$I$32,8,FALSE))-(VLOOKUP($A87,test!$A$3:$I$32,9,FALSE))+test!$B$34,0)</f>
        <v>200</v>
      </c>
      <c r="AB87">
        <f>IF(AND(SUM(VLOOKUP($A87,test!$A$3:$F$32,2,FALSE),VLOOKUP(AB$1,test!$A$3:$F$32,2,FALSE))&lt;test!$K$16,$A87&lt;&gt;AB$1,Recharged_Feasible_mat!AC56=1),(VLOOKUP(AB$1,test!$A$3:$I$32,8,FALSE))-(VLOOKUP($A87,test!$A$3:$I$32,9,FALSE))+test!$B$34,0)</f>
        <v>260</v>
      </c>
      <c r="AC87">
        <f>IF(AND(SUM(VLOOKUP($A87,test!$A$3:$F$32,2,FALSE),VLOOKUP(AC$1,test!$A$3:$F$32,2,FALSE))&lt;test!$K$16,$A87&lt;&gt;AC$1,Recharged_Feasible_mat!AD56=1),(VLOOKUP(AC$1,test!$A$3:$I$32,8,FALSE))-(VLOOKUP($A87,test!$A$3:$I$32,9,FALSE))+test!$B$34,0)</f>
        <v>380</v>
      </c>
      <c r="AD87">
        <f>IF(AND(SUM(VLOOKUP($A87,test!$A$3:$F$32,2,FALSE),VLOOKUP(AD$1,test!$A$3:$F$32,2,FALSE))&lt;test!$K$16,$A87&lt;&gt;AD$1,Recharged_Feasible_mat!AE56=1),(VLOOKUP(AD$1,test!$A$3:$I$32,8,FALSE))-(VLOOKUP($A87,test!$A$3:$I$32,9,FALSE))+test!$B$34,0)</f>
        <v>0</v>
      </c>
      <c r="AE87">
        <f>IF(AND(SUM(VLOOKUP($A87,test!$A$3:$F$32,2,FALSE),VLOOKUP(AE$1,test!$A$3:$F$32,2,FALSE))&lt;test!$K$16,$A87&lt;&gt;AE$1,Recharged_Feasible_mat!AF56=1),(VLOOKUP(AE$1,test!$A$3:$I$32,8,FALSE))-(VLOOKUP($A87,test!$A$3:$I$32,9,FALSE))+test!$B$34,0)</f>
        <v>0</v>
      </c>
      <c r="AF87">
        <f>IF(AND(SUM(VLOOKUP($A87,test!$A$3:$F$32,2,FALSE),VLOOKUP(AF$1,test!$A$3:$F$32,2,FALSE))&lt;test!$K$16,$A87&lt;&gt;AF$1,Recharged_Feasible_mat!AG56=1),(VLOOKUP(AF$1,test!$A$3:$I$32,8,FALSE))-(VLOOKUP($A87,test!$A$3:$I$32,9,FALSE))+test!$B$34,0)</f>
        <v>0</v>
      </c>
    </row>
    <row r="88" spans="1:32" x14ac:dyDescent="0.25">
      <c r="A88" t="s">
        <v>35</v>
      </c>
      <c r="B88">
        <v>0</v>
      </c>
      <c r="C88">
        <f>IF(AND(SUM(VLOOKUP($A88,test!$A$3:$F$32,2,FALSE),VLOOKUP(C$1,test!$A$3:$F$32,2,FALSE))&lt;test!$K$16,$A88&lt;&gt;C$1,Recharged_Feasible_mat!D57=1),(VLOOKUP(C$1,test!$A$3:$I$32,8,FALSE))-(VLOOKUP($A88,test!$A$3:$I$32,9,FALSE))+test!$B$34,0)</f>
        <v>0</v>
      </c>
      <c r="D88">
        <f>IF(AND(SUM(VLOOKUP($A88,test!$A$3:$F$32,2,FALSE),VLOOKUP(D$1,test!$A$3:$F$32,2,FALSE))&lt;test!$K$16,$A88&lt;&gt;D$1,Recharged_Feasible_mat!E57=1),(VLOOKUP(D$1,test!$A$3:$I$32,8,FALSE))-(VLOOKUP($A88,test!$A$3:$I$32,9,FALSE))+test!$B$34,0)</f>
        <v>0</v>
      </c>
      <c r="E88">
        <f>IF(AND(SUM(VLOOKUP($A88,test!$A$3:$F$32,2,FALSE),VLOOKUP(E$1,test!$A$3:$F$32,2,FALSE))&lt;test!$K$16,$A88&lt;&gt;E$1,Recharged_Feasible_mat!F57=1),(VLOOKUP(E$1,test!$A$3:$I$32,8,FALSE))-(VLOOKUP($A88,test!$A$3:$I$32,9,FALSE))+test!$B$34,0)</f>
        <v>0</v>
      </c>
      <c r="F88">
        <f>IF(AND(SUM(VLOOKUP($A88,test!$A$3:$F$32,2,FALSE),VLOOKUP(F$1,test!$A$3:$F$32,2,FALSE))&lt;test!$K$16,$A88&lt;&gt;F$1,Recharged_Feasible_mat!G57=1),(VLOOKUP(F$1,test!$A$3:$I$32,8,FALSE))-(VLOOKUP($A88,test!$A$3:$I$32,9,FALSE))+test!$B$34,0)</f>
        <v>0</v>
      </c>
      <c r="G88">
        <f>IF(AND(SUM(VLOOKUP($A88,test!$A$3:$F$32,2,FALSE),VLOOKUP(G$1,test!$A$3:$F$32,2,FALSE))&lt;test!$K$16,$A88&lt;&gt;G$1,Recharged_Feasible_mat!H57=1),(VLOOKUP(G$1,test!$A$3:$I$32,8,FALSE))-(VLOOKUP($A88,test!$A$3:$I$32,9,FALSE))+test!$B$34,0)</f>
        <v>150</v>
      </c>
      <c r="H88">
        <f>IF(AND(SUM(VLOOKUP($A88,test!$A$3:$F$32,2,FALSE),VLOOKUP(H$1,test!$A$3:$F$32,2,FALSE))&lt;test!$K$16,$A88&lt;&gt;H$1,Recharged_Feasible_mat!I57=1),(VLOOKUP(H$1,test!$A$3:$I$32,8,FALSE))-(VLOOKUP($A88,test!$A$3:$I$32,9,FALSE))+test!$B$34,0)</f>
        <v>210</v>
      </c>
      <c r="I88">
        <f>IF(AND(SUM(VLOOKUP($A88,test!$A$3:$F$32,2,FALSE),VLOOKUP(I$1,test!$A$3:$F$32,2,FALSE))&lt;test!$K$16,$A88&lt;&gt;I$1,Recharged_Feasible_mat!J57=1),(VLOOKUP(I$1,test!$A$3:$I$32,8,FALSE))-(VLOOKUP($A88,test!$A$3:$I$32,9,FALSE))+test!$B$34,0)</f>
        <v>270</v>
      </c>
      <c r="J88">
        <f>IF(AND(SUM(VLOOKUP($A88,test!$A$3:$F$32,2,FALSE),VLOOKUP(J$1,test!$A$3:$F$32,2,FALSE))&lt;test!$K$16,$A88&lt;&gt;J$1,Recharged_Feasible_mat!K57=1),(VLOOKUP(J$1,test!$A$3:$I$32,8,FALSE))-(VLOOKUP($A88,test!$A$3:$I$32,9,FALSE))+test!$B$34,0)</f>
        <v>360</v>
      </c>
      <c r="K88">
        <f>IF(AND(SUM(VLOOKUP($A88,test!$A$3:$F$32,2,FALSE),VLOOKUP(K$1,test!$A$3:$F$32,2,FALSE))&lt;test!$K$16,$A88&lt;&gt;K$1,Recharged_Feasible_mat!L57=1),(VLOOKUP(K$1,test!$A$3:$I$32,8,FALSE))-(VLOOKUP($A88,test!$A$3:$I$32,9,FALSE))+test!$B$34,0)</f>
        <v>0</v>
      </c>
      <c r="L88">
        <f>IF(AND(SUM(VLOOKUP($A88,test!$A$3:$F$32,2,FALSE),VLOOKUP(L$1,test!$A$3:$F$32,2,FALSE))&lt;test!$K$16,$A88&lt;&gt;L$1,Recharged_Feasible_mat!M57=1),(VLOOKUP(L$1,test!$A$3:$I$32,8,FALSE))-(VLOOKUP($A88,test!$A$3:$I$32,9,FALSE))+test!$B$34,0)</f>
        <v>0</v>
      </c>
      <c r="M88">
        <f>IF(AND(SUM(VLOOKUP($A88,test!$A$3:$F$32,2,FALSE),VLOOKUP(M$1,test!$A$3:$F$32,2,FALSE))&lt;test!$K$16,$A88&lt;&gt;M$1,Recharged_Feasible_mat!N57=1),(VLOOKUP(M$1,test!$A$3:$I$32,8,FALSE))-(VLOOKUP($A88,test!$A$3:$I$32,9,FALSE))+test!$B$34,0)</f>
        <v>0</v>
      </c>
      <c r="N88">
        <f>IF(AND(SUM(VLOOKUP($A88,test!$A$3:$F$32,2,FALSE),VLOOKUP(N$1,test!$A$3:$F$32,2,FALSE))&lt;test!$K$16,$A88&lt;&gt;N$1,Recharged_Feasible_mat!O57=1),(VLOOKUP(N$1,test!$A$3:$I$32,8,FALSE))-(VLOOKUP($A88,test!$A$3:$I$32,9,FALSE))+test!$B$34,0)</f>
        <v>325</v>
      </c>
      <c r="O88">
        <f>IF(AND(SUM(VLOOKUP($A88,test!$A$3:$F$32,2,FALSE),VLOOKUP(O$1,test!$A$3:$F$32,2,FALSE))&lt;test!$K$16,$A88&lt;&gt;O$1,Recharged_Feasible_mat!P57=1),(VLOOKUP(O$1,test!$A$3:$I$32,8,FALSE))-(VLOOKUP($A88,test!$A$3:$I$32,9,FALSE))+test!$B$34,0)</f>
        <v>385</v>
      </c>
      <c r="P88">
        <f>IF(AND(SUM(VLOOKUP($A88,test!$A$3:$F$32,2,FALSE),VLOOKUP(P$1,test!$A$3:$F$32,2,FALSE))&lt;test!$K$16,$A88&lt;&gt;P$1,Recharged_Feasible_mat!Q57=1),(VLOOKUP(P$1,test!$A$3:$I$32,8,FALSE))-(VLOOKUP($A88,test!$A$3:$I$32,9,FALSE))+test!$B$34,0)</f>
        <v>0</v>
      </c>
      <c r="Q88">
        <f>IF(AND(SUM(VLOOKUP($A88,test!$A$3:$F$32,2,FALSE),VLOOKUP(Q$1,test!$A$3:$F$32,2,FALSE))&lt;test!$K$16,$A88&lt;&gt;Q$1,Recharged_Feasible_mat!R57=1),(VLOOKUP(Q$1,test!$A$3:$I$32,8,FALSE))-(VLOOKUP($A88,test!$A$3:$I$32,9,FALSE))+test!$B$34,0)</f>
        <v>0</v>
      </c>
      <c r="R88">
        <f>IF(AND(SUM(VLOOKUP($A88,test!$A$3:$F$32,2,FALSE),VLOOKUP(R$1,test!$A$3:$F$32,2,FALSE))&lt;test!$K$16,$A88&lt;&gt;R$1,Recharged_Feasible_mat!S57=1),(VLOOKUP(R$1,test!$A$3:$I$32,8,FALSE))-(VLOOKUP($A88,test!$A$3:$I$32,9,FALSE))+test!$B$34,0)</f>
        <v>0</v>
      </c>
      <c r="S88">
        <f>IF(AND(SUM(VLOOKUP($A88,test!$A$3:$F$32,2,FALSE),VLOOKUP(S$1,test!$A$3:$F$32,2,FALSE))&lt;test!$K$16,$A88&lt;&gt;S$1,Recharged_Feasible_mat!T57=1),(VLOOKUP(S$1,test!$A$3:$I$32,8,FALSE))-(VLOOKUP($A88,test!$A$3:$I$32,9,FALSE))+test!$B$34,0)</f>
        <v>0</v>
      </c>
      <c r="T88">
        <f>IF(AND(SUM(VLOOKUP($A88,test!$A$3:$F$32,2,FALSE),VLOOKUP(T$1,test!$A$3:$F$32,2,FALSE))&lt;test!$K$16,$A88&lt;&gt;T$1,Recharged_Feasible_mat!U57=1),(VLOOKUP(T$1,test!$A$3:$I$32,8,FALSE))-(VLOOKUP($A88,test!$A$3:$I$32,9,FALSE))+test!$B$34,0)</f>
        <v>0</v>
      </c>
      <c r="U88">
        <f>IF(AND(SUM(VLOOKUP($A88,test!$A$3:$F$32,2,FALSE),VLOOKUP(U$1,test!$A$3:$F$32,2,FALSE))&lt;test!$K$16,$A88&lt;&gt;U$1,Recharged_Feasible_mat!V57=1),(VLOOKUP(U$1,test!$A$3:$I$32,8,FALSE))-(VLOOKUP($A88,test!$A$3:$I$32,9,FALSE))+test!$B$34,0)</f>
        <v>0</v>
      </c>
      <c r="V88">
        <f>IF(AND(SUM(VLOOKUP($A88,test!$A$3:$F$32,2,FALSE),VLOOKUP(V$1,test!$A$3:$F$32,2,FALSE))&lt;test!$K$16,$A88&lt;&gt;V$1,Recharged_Feasible_mat!W57=1),(VLOOKUP(V$1,test!$A$3:$I$32,8,FALSE))-(VLOOKUP($A88,test!$A$3:$I$32,9,FALSE))+test!$B$34,0)</f>
        <v>160</v>
      </c>
      <c r="W88">
        <f>IF(AND(SUM(VLOOKUP($A88,test!$A$3:$F$32,2,FALSE),VLOOKUP(W$1,test!$A$3:$F$32,2,FALSE))&lt;test!$K$16,$A88&lt;&gt;W$1,Recharged_Feasible_mat!X57=1),(VLOOKUP(W$1,test!$A$3:$I$32,8,FALSE))-(VLOOKUP($A88,test!$A$3:$I$32,9,FALSE))+test!$B$34,0)</f>
        <v>250</v>
      </c>
      <c r="X88">
        <f>IF(AND(SUM(VLOOKUP($A88,test!$A$3:$F$32,2,FALSE),VLOOKUP(X$1,test!$A$3:$F$32,2,FALSE))&lt;test!$K$16,$A88&lt;&gt;X$1,Recharged_Feasible_mat!Y57=1),(VLOOKUP(X$1,test!$A$3:$I$32,8,FALSE))-(VLOOKUP($A88,test!$A$3:$I$32,9,FALSE))+test!$B$34,0)</f>
        <v>310</v>
      </c>
      <c r="Y88">
        <f>IF(AND(SUM(VLOOKUP($A88,test!$A$3:$F$32,2,FALSE),VLOOKUP(Y$1,test!$A$3:$F$32,2,FALSE))&lt;test!$K$16,$A88&lt;&gt;Y$1,Recharged_Feasible_mat!Z57=1),(VLOOKUP(Y$1,test!$A$3:$I$32,8,FALSE))-(VLOOKUP($A88,test!$A$3:$I$32,9,FALSE))+test!$B$34,0)</f>
        <v>0</v>
      </c>
      <c r="Z88">
        <f>IF(AND(SUM(VLOOKUP($A88,test!$A$3:$F$32,2,FALSE),VLOOKUP(Z$1,test!$A$3:$F$32,2,FALSE))&lt;test!$K$16,$A88&lt;&gt;Z$1,Recharged_Feasible_mat!AA57=1),(VLOOKUP(Z$1,test!$A$3:$I$32,8,FALSE))-(VLOOKUP($A88,test!$A$3:$I$32,9,FALSE))+test!$B$34,0)</f>
        <v>0</v>
      </c>
      <c r="AA88">
        <f>IF(AND(SUM(VLOOKUP($A88,test!$A$3:$F$32,2,FALSE),VLOOKUP(AA$1,test!$A$3:$F$32,2,FALSE))&lt;test!$K$16,$A88&lt;&gt;AA$1,Recharged_Feasible_mat!AB57=1),(VLOOKUP(AA$1,test!$A$3:$I$32,8,FALSE))-(VLOOKUP($A88,test!$A$3:$I$32,9,FALSE))+test!$B$34,0)</f>
        <v>0</v>
      </c>
      <c r="AB88">
        <f>IF(AND(SUM(VLOOKUP($A88,test!$A$3:$F$32,2,FALSE),VLOOKUP(AB$1,test!$A$3:$F$32,2,FALSE))&lt;test!$K$16,$A88&lt;&gt;AB$1,Recharged_Feasible_mat!AC57=1),(VLOOKUP(AB$1,test!$A$3:$I$32,8,FALSE))-(VLOOKUP($A88,test!$A$3:$I$32,9,FALSE))+test!$B$34,0)</f>
        <v>0</v>
      </c>
      <c r="AC88">
        <f>IF(AND(SUM(VLOOKUP($A88,test!$A$3:$F$32,2,FALSE),VLOOKUP(AC$1,test!$A$3:$F$32,2,FALSE))&lt;test!$K$16,$A88&lt;&gt;AC$1,Recharged_Feasible_mat!AD57=1),(VLOOKUP(AC$1,test!$A$3:$I$32,8,FALSE))-(VLOOKUP($A88,test!$A$3:$I$32,9,FALSE))+test!$B$34,0)</f>
        <v>210</v>
      </c>
      <c r="AD88">
        <f>IF(AND(SUM(VLOOKUP($A88,test!$A$3:$F$32,2,FALSE),VLOOKUP(AD$1,test!$A$3:$F$32,2,FALSE))&lt;test!$K$16,$A88&lt;&gt;AD$1,Recharged_Feasible_mat!AE57=1),(VLOOKUP(AD$1,test!$A$3:$I$32,8,FALSE))-(VLOOKUP($A88,test!$A$3:$I$32,9,FALSE))+test!$B$34,0)</f>
        <v>0</v>
      </c>
      <c r="AE88">
        <f>IF(AND(SUM(VLOOKUP($A88,test!$A$3:$F$32,2,FALSE),VLOOKUP(AE$1,test!$A$3:$F$32,2,FALSE))&lt;test!$K$16,$A88&lt;&gt;AE$1,Recharged_Feasible_mat!AF57=1),(VLOOKUP(AE$1,test!$A$3:$I$32,8,FALSE))-(VLOOKUP($A88,test!$A$3:$I$32,9,FALSE))+test!$B$34,0)</f>
        <v>0</v>
      </c>
      <c r="AF88">
        <f>IF(AND(SUM(VLOOKUP($A88,test!$A$3:$F$32,2,FALSE),VLOOKUP(AF$1,test!$A$3:$F$32,2,FALSE))&lt;test!$K$16,$A88&lt;&gt;AF$1,Recharged_Feasible_mat!AG57=1),(VLOOKUP(AF$1,test!$A$3:$I$32,8,FALSE))-(VLOOKUP($A88,test!$A$3:$I$32,9,FALSE))+test!$B$34,0)</f>
        <v>0</v>
      </c>
    </row>
    <row r="89" spans="1:32" x14ac:dyDescent="0.25">
      <c r="A89" t="s">
        <v>36</v>
      </c>
      <c r="B89">
        <v>0</v>
      </c>
      <c r="C89">
        <f>IF(AND(SUM(VLOOKUP($A89,test!$A$3:$F$32,2,FALSE),VLOOKUP(C$1,test!$A$3:$F$32,2,FALSE))&lt;test!$K$16,$A89&lt;&gt;C$1,Recharged_Feasible_mat!D58=1),(VLOOKUP(C$1,test!$A$3:$I$32,8,FALSE))-(VLOOKUP($A89,test!$A$3:$I$32,9,FALSE))+test!$B$34,0)</f>
        <v>0</v>
      </c>
      <c r="D89">
        <f>IF(AND(SUM(VLOOKUP($A89,test!$A$3:$F$32,2,FALSE),VLOOKUP(D$1,test!$A$3:$F$32,2,FALSE))&lt;test!$K$16,$A89&lt;&gt;D$1,Recharged_Feasible_mat!E58=1),(VLOOKUP(D$1,test!$A$3:$I$32,8,FALSE))-(VLOOKUP($A89,test!$A$3:$I$32,9,FALSE))+test!$B$34,0)</f>
        <v>0</v>
      </c>
      <c r="E89">
        <f>IF(AND(SUM(VLOOKUP($A89,test!$A$3:$F$32,2,FALSE),VLOOKUP(E$1,test!$A$3:$F$32,2,FALSE))&lt;test!$K$16,$A89&lt;&gt;E$1,Recharged_Feasible_mat!F58=1),(VLOOKUP(E$1,test!$A$3:$I$32,8,FALSE))-(VLOOKUP($A89,test!$A$3:$I$32,9,FALSE))+test!$B$34,0)</f>
        <v>0</v>
      </c>
      <c r="F89">
        <f>IF(AND(SUM(VLOOKUP($A89,test!$A$3:$F$32,2,FALSE),VLOOKUP(F$1,test!$A$3:$F$32,2,FALSE))&lt;test!$K$16,$A89&lt;&gt;F$1,Recharged_Feasible_mat!G58=1),(VLOOKUP(F$1,test!$A$3:$I$32,8,FALSE))-(VLOOKUP($A89,test!$A$3:$I$32,9,FALSE))+test!$B$34,0)</f>
        <v>0</v>
      </c>
      <c r="G89">
        <f>IF(AND(SUM(VLOOKUP($A89,test!$A$3:$F$32,2,FALSE),VLOOKUP(G$1,test!$A$3:$F$32,2,FALSE))&lt;test!$K$16,$A89&lt;&gt;G$1,Recharged_Feasible_mat!H58=1),(VLOOKUP(G$1,test!$A$3:$I$32,8,FALSE))-(VLOOKUP($A89,test!$A$3:$I$32,9,FALSE))+test!$B$34,0)</f>
        <v>0</v>
      </c>
      <c r="H89">
        <f>IF(AND(SUM(VLOOKUP($A89,test!$A$3:$F$32,2,FALSE),VLOOKUP(H$1,test!$A$3:$F$32,2,FALSE))&lt;test!$K$16,$A89&lt;&gt;H$1,Recharged_Feasible_mat!I58=1),(VLOOKUP(H$1,test!$A$3:$I$32,8,FALSE))-(VLOOKUP($A89,test!$A$3:$I$32,9,FALSE))+test!$B$34,0)</f>
        <v>0</v>
      </c>
      <c r="I89">
        <f>IF(AND(SUM(VLOOKUP($A89,test!$A$3:$F$32,2,FALSE),VLOOKUP(I$1,test!$A$3:$F$32,2,FALSE))&lt;test!$K$16,$A89&lt;&gt;I$1,Recharged_Feasible_mat!J58=1),(VLOOKUP(I$1,test!$A$3:$I$32,8,FALSE))-(VLOOKUP($A89,test!$A$3:$I$32,9,FALSE))+test!$B$34,0)</f>
        <v>150</v>
      </c>
      <c r="J89">
        <f>IF(AND(SUM(VLOOKUP($A89,test!$A$3:$F$32,2,FALSE),VLOOKUP(J$1,test!$A$3:$F$32,2,FALSE))&lt;test!$K$16,$A89&lt;&gt;J$1,Recharged_Feasible_mat!K58=1),(VLOOKUP(J$1,test!$A$3:$I$32,8,FALSE))-(VLOOKUP($A89,test!$A$3:$I$32,9,FALSE))+test!$B$34,0)</f>
        <v>240</v>
      </c>
      <c r="K89">
        <f>IF(AND(SUM(VLOOKUP($A89,test!$A$3:$F$32,2,FALSE),VLOOKUP(K$1,test!$A$3:$F$32,2,FALSE))&lt;test!$K$16,$A89&lt;&gt;K$1,Recharged_Feasible_mat!L58=1),(VLOOKUP(K$1,test!$A$3:$I$32,8,FALSE))-(VLOOKUP($A89,test!$A$3:$I$32,9,FALSE))+test!$B$34,0)</f>
        <v>0</v>
      </c>
      <c r="L89">
        <f>IF(AND(SUM(VLOOKUP($A89,test!$A$3:$F$32,2,FALSE),VLOOKUP(L$1,test!$A$3:$F$32,2,FALSE))&lt;test!$K$16,$A89&lt;&gt;L$1,Recharged_Feasible_mat!M58=1),(VLOOKUP(L$1,test!$A$3:$I$32,8,FALSE))-(VLOOKUP($A89,test!$A$3:$I$32,9,FALSE))+test!$B$34,0)</f>
        <v>0</v>
      </c>
      <c r="M89">
        <f>IF(AND(SUM(VLOOKUP($A89,test!$A$3:$F$32,2,FALSE),VLOOKUP(M$1,test!$A$3:$F$32,2,FALSE))&lt;test!$K$16,$A89&lt;&gt;M$1,Recharged_Feasible_mat!N58=1),(VLOOKUP(M$1,test!$A$3:$I$32,8,FALSE))-(VLOOKUP($A89,test!$A$3:$I$32,9,FALSE))+test!$B$34,0)</f>
        <v>0</v>
      </c>
      <c r="N89">
        <f>IF(AND(SUM(VLOOKUP($A89,test!$A$3:$F$32,2,FALSE),VLOOKUP(N$1,test!$A$3:$F$32,2,FALSE))&lt;test!$K$16,$A89&lt;&gt;N$1,Recharged_Feasible_mat!O58=1),(VLOOKUP(N$1,test!$A$3:$I$32,8,FALSE))-(VLOOKUP($A89,test!$A$3:$I$32,9,FALSE))+test!$B$34,0)</f>
        <v>205</v>
      </c>
      <c r="O89">
        <f>IF(AND(SUM(VLOOKUP($A89,test!$A$3:$F$32,2,FALSE),VLOOKUP(O$1,test!$A$3:$F$32,2,FALSE))&lt;test!$K$16,$A89&lt;&gt;O$1,Recharged_Feasible_mat!P58=1),(VLOOKUP(O$1,test!$A$3:$I$32,8,FALSE))-(VLOOKUP($A89,test!$A$3:$I$32,9,FALSE))+test!$B$34,0)</f>
        <v>265</v>
      </c>
      <c r="P89">
        <f>IF(AND(SUM(VLOOKUP($A89,test!$A$3:$F$32,2,FALSE),VLOOKUP(P$1,test!$A$3:$F$32,2,FALSE))&lt;test!$K$16,$A89&lt;&gt;P$1,Recharged_Feasible_mat!Q58=1),(VLOOKUP(P$1,test!$A$3:$I$32,8,FALSE))-(VLOOKUP($A89,test!$A$3:$I$32,9,FALSE))+test!$B$34,0)</f>
        <v>0</v>
      </c>
      <c r="Q89">
        <f>IF(AND(SUM(VLOOKUP($A89,test!$A$3:$F$32,2,FALSE),VLOOKUP(Q$1,test!$A$3:$F$32,2,FALSE))&lt;test!$K$16,$A89&lt;&gt;Q$1,Recharged_Feasible_mat!R58=1),(VLOOKUP(Q$1,test!$A$3:$I$32,8,FALSE))-(VLOOKUP($A89,test!$A$3:$I$32,9,FALSE))+test!$B$34,0)</f>
        <v>0</v>
      </c>
      <c r="R89">
        <f>IF(AND(SUM(VLOOKUP($A89,test!$A$3:$F$32,2,FALSE),VLOOKUP(R$1,test!$A$3:$F$32,2,FALSE))&lt;test!$K$16,$A89&lt;&gt;R$1,Recharged_Feasible_mat!S58=1),(VLOOKUP(R$1,test!$A$3:$I$32,8,FALSE))-(VLOOKUP($A89,test!$A$3:$I$32,9,FALSE))+test!$B$34,0)</f>
        <v>0</v>
      </c>
      <c r="S89">
        <f>IF(AND(SUM(VLOOKUP($A89,test!$A$3:$F$32,2,FALSE),VLOOKUP(S$1,test!$A$3:$F$32,2,FALSE))&lt;test!$K$16,$A89&lt;&gt;S$1,Recharged_Feasible_mat!T58=1),(VLOOKUP(S$1,test!$A$3:$I$32,8,FALSE))-(VLOOKUP($A89,test!$A$3:$I$32,9,FALSE))+test!$B$34,0)</f>
        <v>0</v>
      </c>
      <c r="T89">
        <f>IF(AND(SUM(VLOOKUP($A89,test!$A$3:$F$32,2,FALSE),VLOOKUP(T$1,test!$A$3:$F$32,2,FALSE))&lt;test!$K$16,$A89&lt;&gt;T$1,Recharged_Feasible_mat!U58=1),(VLOOKUP(T$1,test!$A$3:$I$32,8,FALSE))-(VLOOKUP($A89,test!$A$3:$I$32,9,FALSE))+test!$B$34,0)</f>
        <v>0</v>
      </c>
      <c r="U89">
        <f>IF(AND(SUM(VLOOKUP($A89,test!$A$3:$F$32,2,FALSE),VLOOKUP(U$1,test!$A$3:$F$32,2,FALSE))&lt;test!$K$16,$A89&lt;&gt;U$1,Recharged_Feasible_mat!V58=1),(VLOOKUP(U$1,test!$A$3:$I$32,8,FALSE))-(VLOOKUP($A89,test!$A$3:$I$32,9,FALSE))+test!$B$34,0)</f>
        <v>0</v>
      </c>
      <c r="V89">
        <f>IF(AND(SUM(VLOOKUP($A89,test!$A$3:$F$32,2,FALSE),VLOOKUP(V$1,test!$A$3:$F$32,2,FALSE))&lt;test!$K$16,$A89&lt;&gt;V$1,Recharged_Feasible_mat!W58=1),(VLOOKUP(V$1,test!$A$3:$I$32,8,FALSE))-(VLOOKUP($A89,test!$A$3:$I$32,9,FALSE))+test!$B$34,0)</f>
        <v>0</v>
      </c>
      <c r="W89">
        <f>IF(AND(SUM(VLOOKUP($A89,test!$A$3:$F$32,2,FALSE),VLOOKUP(W$1,test!$A$3:$F$32,2,FALSE))&lt;test!$K$16,$A89&lt;&gt;W$1,Recharged_Feasible_mat!X58=1),(VLOOKUP(W$1,test!$A$3:$I$32,8,FALSE))-(VLOOKUP($A89,test!$A$3:$I$32,9,FALSE))+test!$B$34,0)</f>
        <v>130</v>
      </c>
      <c r="X89">
        <f>IF(AND(SUM(VLOOKUP($A89,test!$A$3:$F$32,2,FALSE),VLOOKUP(X$1,test!$A$3:$F$32,2,FALSE))&lt;test!$K$16,$A89&lt;&gt;X$1,Recharged_Feasible_mat!Y58=1),(VLOOKUP(X$1,test!$A$3:$I$32,8,FALSE))-(VLOOKUP($A89,test!$A$3:$I$32,9,FALSE))+test!$B$34,0)</f>
        <v>190</v>
      </c>
      <c r="Y89">
        <f>IF(AND(SUM(VLOOKUP($A89,test!$A$3:$F$32,2,FALSE),VLOOKUP(Y$1,test!$A$3:$F$32,2,FALSE))&lt;test!$K$16,$A89&lt;&gt;Y$1,Recharged_Feasible_mat!Z58=1),(VLOOKUP(Y$1,test!$A$3:$I$32,8,FALSE))-(VLOOKUP($A89,test!$A$3:$I$32,9,FALSE))+test!$B$34,0)</f>
        <v>0</v>
      </c>
      <c r="Z89">
        <f>IF(AND(SUM(VLOOKUP($A89,test!$A$3:$F$32,2,FALSE),VLOOKUP(Z$1,test!$A$3:$F$32,2,FALSE))&lt;test!$K$16,$A89&lt;&gt;Z$1,Recharged_Feasible_mat!AA58=1),(VLOOKUP(Z$1,test!$A$3:$I$32,8,FALSE))-(VLOOKUP($A89,test!$A$3:$I$32,9,FALSE))+test!$B$34,0)</f>
        <v>0</v>
      </c>
      <c r="AA89">
        <f>IF(AND(SUM(VLOOKUP($A89,test!$A$3:$F$32,2,FALSE),VLOOKUP(AA$1,test!$A$3:$F$32,2,FALSE))&lt;test!$K$16,$A89&lt;&gt;AA$1,Recharged_Feasible_mat!AB58=1),(VLOOKUP(AA$1,test!$A$3:$I$32,8,FALSE))-(VLOOKUP($A89,test!$A$3:$I$32,9,FALSE))+test!$B$34,0)</f>
        <v>0</v>
      </c>
      <c r="AB89">
        <f>IF(AND(SUM(VLOOKUP($A89,test!$A$3:$F$32,2,FALSE),VLOOKUP(AB$1,test!$A$3:$F$32,2,FALSE))&lt;test!$K$16,$A89&lt;&gt;AB$1,Recharged_Feasible_mat!AC58=1),(VLOOKUP(AB$1,test!$A$3:$I$32,8,FALSE))-(VLOOKUP($A89,test!$A$3:$I$32,9,FALSE))+test!$B$34,0)</f>
        <v>0</v>
      </c>
      <c r="AC89">
        <f>IF(AND(SUM(VLOOKUP($A89,test!$A$3:$F$32,2,FALSE),VLOOKUP(AC$1,test!$A$3:$F$32,2,FALSE))&lt;test!$K$16,$A89&lt;&gt;AC$1,Recharged_Feasible_mat!AD58=1),(VLOOKUP(AC$1,test!$A$3:$I$32,8,FALSE))-(VLOOKUP($A89,test!$A$3:$I$32,9,FALSE))+test!$B$34,0)</f>
        <v>0</v>
      </c>
      <c r="AD89">
        <f>IF(AND(SUM(VLOOKUP($A89,test!$A$3:$F$32,2,FALSE),VLOOKUP(AD$1,test!$A$3:$F$32,2,FALSE))&lt;test!$K$16,$A89&lt;&gt;AD$1,Recharged_Feasible_mat!AE58=1),(VLOOKUP(AD$1,test!$A$3:$I$32,8,FALSE))-(VLOOKUP($A89,test!$A$3:$I$32,9,FALSE))+test!$B$34,0)</f>
        <v>0</v>
      </c>
      <c r="AE89">
        <f>IF(AND(SUM(VLOOKUP($A89,test!$A$3:$F$32,2,FALSE),VLOOKUP(AE$1,test!$A$3:$F$32,2,FALSE))&lt;test!$K$16,$A89&lt;&gt;AE$1,Recharged_Feasible_mat!AF58=1),(VLOOKUP(AE$1,test!$A$3:$I$32,8,FALSE))-(VLOOKUP($A89,test!$A$3:$I$32,9,FALSE))+test!$B$34,0)</f>
        <v>0</v>
      </c>
      <c r="AF89">
        <f>IF(AND(SUM(VLOOKUP($A89,test!$A$3:$F$32,2,FALSE),VLOOKUP(AF$1,test!$A$3:$F$32,2,FALSE))&lt;test!$K$16,$A89&lt;&gt;AF$1,Recharged_Feasible_mat!AG58=1),(VLOOKUP(AF$1,test!$A$3:$I$32,8,FALSE))-(VLOOKUP($A89,test!$A$3:$I$32,9,FALSE))+test!$B$34,0)</f>
        <v>0</v>
      </c>
    </row>
    <row r="90" spans="1:32" x14ac:dyDescent="0.25">
      <c r="A90" t="s">
        <v>37</v>
      </c>
      <c r="B90">
        <v>0</v>
      </c>
      <c r="C90">
        <f>IF(AND(SUM(VLOOKUP($A90,test!$A$3:$F$32,2,FALSE),VLOOKUP(C$1,test!$A$3:$F$32,2,FALSE))&lt;test!$K$16,$A90&lt;&gt;C$1,Recharged_Feasible_mat!D59=1),(VLOOKUP(C$1,test!$A$3:$I$32,8,FALSE))-(VLOOKUP($A90,test!$A$3:$I$32,9,FALSE))+test!$B$34,0)</f>
        <v>0</v>
      </c>
      <c r="D90">
        <f>IF(AND(SUM(VLOOKUP($A90,test!$A$3:$F$32,2,FALSE),VLOOKUP(D$1,test!$A$3:$F$32,2,FALSE))&lt;test!$K$16,$A90&lt;&gt;D$1,Recharged_Feasible_mat!E59=1),(VLOOKUP(D$1,test!$A$3:$I$32,8,FALSE))-(VLOOKUP($A90,test!$A$3:$I$32,9,FALSE))+test!$B$34,0)</f>
        <v>0</v>
      </c>
      <c r="E90">
        <f>IF(AND(SUM(VLOOKUP($A90,test!$A$3:$F$32,2,FALSE),VLOOKUP(E$1,test!$A$3:$F$32,2,FALSE))&lt;test!$K$16,$A90&lt;&gt;E$1,Recharged_Feasible_mat!F59=1),(VLOOKUP(E$1,test!$A$3:$I$32,8,FALSE))-(VLOOKUP($A90,test!$A$3:$I$32,9,FALSE))+test!$B$34,0)</f>
        <v>0</v>
      </c>
      <c r="F90">
        <f>IF(AND(SUM(VLOOKUP($A90,test!$A$3:$F$32,2,FALSE),VLOOKUP(F$1,test!$A$3:$F$32,2,FALSE))&lt;test!$K$16,$A90&lt;&gt;F$1,Recharged_Feasible_mat!G59=1),(VLOOKUP(F$1,test!$A$3:$I$32,8,FALSE))-(VLOOKUP($A90,test!$A$3:$I$32,9,FALSE))+test!$B$34,0)</f>
        <v>0</v>
      </c>
      <c r="G90">
        <f>IF(AND(SUM(VLOOKUP($A90,test!$A$3:$F$32,2,FALSE),VLOOKUP(G$1,test!$A$3:$F$32,2,FALSE))&lt;test!$K$16,$A90&lt;&gt;G$1,Recharged_Feasible_mat!H59=1),(VLOOKUP(G$1,test!$A$3:$I$32,8,FALSE))-(VLOOKUP($A90,test!$A$3:$I$32,9,FALSE))+test!$B$34,0)</f>
        <v>0</v>
      </c>
      <c r="H90">
        <f>IF(AND(SUM(VLOOKUP($A90,test!$A$3:$F$32,2,FALSE),VLOOKUP(H$1,test!$A$3:$F$32,2,FALSE))&lt;test!$K$16,$A90&lt;&gt;H$1,Recharged_Feasible_mat!I59=1),(VLOOKUP(H$1,test!$A$3:$I$32,8,FALSE))-(VLOOKUP($A90,test!$A$3:$I$32,9,FALSE))+test!$B$34,0)</f>
        <v>0</v>
      </c>
      <c r="I90">
        <f>IF(AND(SUM(VLOOKUP($A90,test!$A$3:$F$32,2,FALSE),VLOOKUP(I$1,test!$A$3:$F$32,2,FALSE))&lt;test!$K$16,$A90&lt;&gt;I$1,Recharged_Feasible_mat!J59=1),(VLOOKUP(I$1,test!$A$3:$I$32,8,FALSE))-(VLOOKUP($A90,test!$A$3:$I$32,9,FALSE))+test!$B$34,0)</f>
        <v>0</v>
      </c>
      <c r="J90">
        <f>IF(AND(SUM(VLOOKUP($A90,test!$A$3:$F$32,2,FALSE),VLOOKUP(J$1,test!$A$3:$F$32,2,FALSE))&lt;test!$K$16,$A90&lt;&gt;J$1,Recharged_Feasible_mat!K59=1),(VLOOKUP(J$1,test!$A$3:$I$32,8,FALSE))-(VLOOKUP($A90,test!$A$3:$I$32,9,FALSE))+test!$B$34,0)</f>
        <v>180</v>
      </c>
      <c r="K90">
        <f>IF(AND(SUM(VLOOKUP($A90,test!$A$3:$F$32,2,FALSE),VLOOKUP(K$1,test!$A$3:$F$32,2,FALSE))&lt;test!$K$16,$A90&lt;&gt;K$1,Recharged_Feasible_mat!L59=1),(VLOOKUP(K$1,test!$A$3:$I$32,8,FALSE))-(VLOOKUP($A90,test!$A$3:$I$32,9,FALSE))+test!$B$34,0)</f>
        <v>0</v>
      </c>
      <c r="L90">
        <f>IF(AND(SUM(VLOOKUP($A90,test!$A$3:$F$32,2,FALSE),VLOOKUP(L$1,test!$A$3:$F$32,2,FALSE))&lt;test!$K$16,$A90&lt;&gt;L$1,Recharged_Feasible_mat!M59=1),(VLOOKUP(L$1,test!$A$3:$I$32,8,FALSE))-(VLOOKUP($A90,test!$A$3:$I$32,9,FALSE))+test!$B$34,0)</f>
        <v>0</v>
      </c>
      <c r="M90">
        <f>IF(AND(SUM(VLOOKUP($A90,test!$A$3:$F$32,2,FALSE),VLOOKUP(M$1,test!$A$3:$F$32,2,FALSE))&lt;test!$K$16,$A90&lt;&gt;M$1,Recharged_Feasible_mat!N59=1),(VLOOKUP(M$1,test!$A$3:$I$32,8,FALSE))-(VLOOKUP($A90,test!$A$3:$I$32,9,FALSE))+test!$B$34,0)</f>
        <v>0</v>
      </c>
      <c r="N90">
        <f>IF(AND(SUM(VLOOKUP($A90,test!$A$3:$F$32,2,FALSE),VLOOKUP(N$1,test!$A$3:$F$32,2,FALSE))&lt;test!$K$16,$A90&lt;&gt;N$1,Recharged_Feasible_mat!O59=1),(VLOOKUP(N$1,test!$A$3:$I$32,8,FALSE))-(VLOOKUP($A90,test!$A$3:$I$32,9,FALSE))+test!$B$34,0)</f>
        <v>145</v>
      </c>
      <c r="O90">
        <f>IF(AND(SUM(VLOOKUP($A90,test!$A$3:$F$32,2,FALSE),VLOOKUP(O$1,test!$A$3:$F$32,2,FALSE))&lt;test!$K$16,$A90&lt;&gt;O$1,Recharged_Feasible_mat!P59=1),(VLOOKUP(O$1,test!$A$3:$I$32,8,FALSE))-(VLOOKUP($A90,test!$A$3:$I$32,9,FALSE))+test!$B$34,0)</f>
        <v>205</v>
      </c>
      <c r="P90">
        <f>IF(AND(SUM(VLOOKUP($A90,test!$A$3:$F$32,2,FALSE),VLOOKUP(P$1,test!$A$3:$F$32,2,FALSE))&lt;test!$K$16,$A90&lt;&gt;P$1,Recharged_Feasible_mat!Q59=1),(VLOOKUP(P$1,test!$A$3:$I$32,8,FALSE))-(VLOOKUP($A90,test!$A$3:$I$32,9,FALSE))+test!$B$34,0)</f>
        <v>0</v>
      </c>
      <c r="Q90">
        <f>IF(AND(SUM(VLOOKUP($A90,test!$A$3:$F$32,2,FALSE),VLOOKUP(Q$1,test!$A$3:$F$32,2,FALSE))&lt;test!$K$16,$A90&lt;&gt;Q$1,Recharged_Feasible_mat!R59=1),(VLOOKUP(Q$1,test!$A$3:$I$32,8,FALSE))-(VLOOKUP($A90,test!$A$3:$I$32,9,FALSE))+test!$B$34,0)</f>
        <v>0</v>
      </c>
      <c r="R90">
        <f>IF(AND(SUM(VLOOKUP($A90,test!$A$3:$F$32,2,FALSE),VLOOKUP(R$1,test!$A$3:$F$32,2,FALSE))&lt;test!$K$16,$A90&lt;&gt;R$1,Recharged_Feasible_mat!S59=1),(VLOOKUP(R$1,test!$A$3:$I$32,8,FALSE))-(VLOOKUP($A90,test!$A$3:$I$32,9,FALSE))+test!$B$34,0)</f>
        <v>0</v>
      </c>
      <c r="S90">
        <f>IF(AND(SUM(VLOOKUP($A90,test!$A$3:$F$32,2,FALSE),VLOOKUP(S$1,test!$A$3:$F$32,2,FALSE))&lt;test!$K$16,$A90&lt;&gt;S$1,Recharged_Feasible_mat!T59=1),(VLOOKUP(S$1,test!$A$3:$I$32,8,FALSE))-(VLOOKUP($A90,test!$A$3:$I$32,9,FALSE))+test!$B$34,0)</f>
        <v>0</v>
      </c>
      <c r="T90">
        <f>IF(AND(SUM(VLOOKUP($A90,test!$A$3:$F$32,2,FALSE),VLOOKUP(T$1,test!$A$3:$F$32,2,FALSE))&lt;test!$K$16,$A90&lt;&gt;T$1,Recharged_Feasible_mat!U59=1),(VLOOKUP(T$1,test!$A$3:$I$32,8,FALSE))-(VLOOKUP($A90,test!$A$3:$I$32,9,FALSE))+test!$B$34,0)</f>
        <v>0</v>
      </c>
      <c r="U90">
        <f>IF(AND(SUM(VLOOKUP($A90,test!$A$3:$F$32,2,FALSE),VLOOKUP(U$1,test!$A$3:$F$32,2,FALSE))&lt;test!$K$16,$A90&lt;&gt;U$1,Recharged_Feasible_mat!V59=1),(VLOOKUP(U$1,test!$A$3:$I$32,8,FALSE))-(VLOOKUP($A90,test!$A$3:$I$32,9,FALSE))+test!$B$34,0)</f>
        <v>0</v>
      </c>
      <c r="V90">
        <f>IF(AND(SUM(VLOOKUP($A90,test!$A$3:$F$32,2,FALSE),VLOOKUP(V$1,test!$A$3:$F$32,2,FALSE))&lt;test!$K$16,$A90&lt;&gt;V$1,Recharged_Feasible_mat!W59=1),(VLOOKUP(V$1,test!$A$3:$I$32,8,FALSE))-(VLOOKUP($A90,test!$A$3:$I$32,9,FALSE))+test!$B$34,0)</f>
        <v>0</v>
      </c>
      <c r="W90">
        <f>IF(AND(SUM(VLOOKUP($A90,test!$A$3:$F$32,2,FALSE),VLOOKUP(W$1,test!$A$3:$F$32,2,FALSE))&lt;test!$K$16,$A90&lt;&gt;W$1,Recharged_Feasible_mat!X59=1),(VLOOKUP(W$1,test!$A$3:$I$32,8,FALSE))-(VLOOKUP($A90,test!$A$3:$I$32,9,FALSE))+test!$B$34,0)</f>
        <v>0</v>
      </c>
      <c r="X90">
        <f>IF(AND(SUM(VLOOKUP($A90,test!$A$3:$F$32,2,FALSE),VLOOKUP(X$1,test!$A$3:$F$32,2,FALSE))&lt;test!$K$16,$A90&lt;&gt;X$1,Recharged_Feasible_mat!Y59=1),(VLOOKUP(X$1,test!$A$3:$I$32,8,FALSE))-(VLOOKUP($A90,test!$A$3:$I$32,9,FALSE))+test!$B$34,0)</f>
        <v>130</v>
      </c>
      <c r="Y90">
        <f>IF(AND(SUM(VLOOKUP($A90,test!$A$3:$F$32,2,FALSE),VLOOKUP(Y$1,test!$A$3:$F$32,2,FALSE))&lt;test!$K$16,$A90&lt;&gt;Y$1,Recharged_Feasible_mat!Z59=1),(VLOOKUP(Y$1,test!$A$3:$I$32,8,FALSE))-(VLOOKUP($A90,test!$A$3:$I$32,9,FALSE))+test!$B$34,0)</f>
        <v>0</v>
      </c>
      <c r="Z90">
        <f>IF(AND(SUM(VLOOKUP($A90,test!$A$3:$F$32,2,FALSE),VLOOKUP(Z$1,test!$A$3:$F$32,2,FALSE))&lt;test!$K$16,$A90&lt;&gt;Z$1,Recharged_Feasible_mat!AA59=1),(VLOOKUP(Z$1,test!$A$3:$I$32,8,FALSE))-(VLOOKUP($A90,test!$A$3:$I$32,9,FALSE))+test!$B$34,0)</f>
        <v>0</v>
      </c>
      <c r="AA90">
        <f>IF(AND(SUM(VLOOKUP($A90,test!$A$3:$F$32,2,FALSE),VLOOKUP(AA$1,test!$A$3:$F$32,2,FALSE))&lt;test!$K$16,$A90&lt;&gt;AA$1,Recharged_Feasible_mat!AB59=1),(VLOOKUP(AA$1,test!$A$3:$I$32,8,FALSE))-(VLOOKUP($A90,test!$A$3:$I$32,9,FALSE))+test!$B$34,0)</f>
        <v>0</v>
      </c>
      <c r="AB90">
        <f>IF(AND(SUM(VLOOKUP($A90,test!$A$3:$F$32,2,FALSE),VLOOKUP(AB$1,test!$A$3:$F$32,2,FALSE))&lt;test!$K$16,$A90&lt;&gt;AB$1,Recharged_Feasible_mat!AC59=1),(VLOOKUP(AB$1,test!$A$3:$I$32,8,FALSE))-(VLOOKUP($A90,test!$A$3:$I$32,9,FALSE))+test!$B$34,0)</f>
        <v>0</v>
      </c>
      <c r="AC90">
        <f>IF(AND(SUM(VLOOKUP($A90,test!$A$3:$F$32,2,FALSE),VLOOKUP(AC$1,test!$A$3:$F$32,2,FALSE))&lt;test!$K$16,$A90&lt;&gt;AC$1,Recharged_Feasible_mat!AD59=1),(VLOOKUP(AC$1,test!$A$3:$I$32,8,FALSE))-(VLOOKUP($A90,test!$A$3:$I$32,9,FALSE))+test!$B$34,0)</f>
        <v>0</v>
      </c>
      <c r="AD90">
        <f>IF(AND(SUM(VLOOKUP($A90,test!$A$3:$F$32,2,FALSE),VLOOKUP(AD$1,test!$A$3:$F$32,2,FALSE))&lt;test!$K$16,$A90&lt;&gt;AD$1,Recharged_Feasible_mat!AE59=1),(VLOOKUP(AD$1,test!$A$3:$I$32,8,FALSE))-(VLOOKUP($A90,test!$A$3:$I$32,9,FALSE))+test!$B$34,0)</f>
        <v>0</v>
      </c>
      <c r="AE90">
        <f>IF(AND(SUM(VLOOKUP($A90,test!$A$3:$F$32,2,FALSE),VLOOKUP(AE$1,test!$A$3:$F$32,2,FALSE))&lt;test!$K$16,$A90&lt;&gt;AE$1,Recharged_Feasible_mat!AF59=1),(VLOOKUP(AE$1,test!$A$3:$I$32,8,FALSE))-(VLOOKUP($A90,test!$A$3:$I$32,9,FALSE))+test!$B$34,0)</f>
        <v>0</v>
      </c>
      <c r="AF90">
        <f>IF(AND(SUM(VLOOKUP($A90,test!$A$3:$F$32,2,FALSE),VLOOKUP(AF$1,test!$A$3:$F$32,2,FALSE))&lt;test!$K$16,$A90&lt;&gt;AF$1,Recharged_Feasible_mat!AG59=1),(VLOOKUP(AF$1,test!$A$3:$I$32,8,FALSE))-(VLOOKUP($A90,test!$A$3:$I$32,9,FALSE))+test!$B$34,0)</f>
        <v>0</v>
      </c>
    </row>
    <row r="91" spans="1:32" x14ac:dyDescent="0.25">
      <c r="A91" t="s">
        <v>38</v>
      </c>
      <c r="B91">
        <v>0</v>
      </c>
      <c r="C91">
        <f>IF(AND(SUM(VLOOKUP($A91,test!$A$3:$F$32,2,FALSE),VLOOKUP(C$1,test!$A$3:$F$32,2,FALSE))&lt;test!$K$16,$A91&lt;&gt;C$1,Recharged_Feasible_mat!D60=1),(VLOOKUP(C$1,test!$A$3:$I$32,8,FALSE))-(VLOOKUP($A91,test!$A$3:$I$32,9,FALSE))+test!$B$34,0)</f>
        <v>0</v>
      </c>
      <c r="D91">
        <f>IF(AND(SUM(VLOOKUP($A91,test!$A$3:$F$32,2,FALSE),VLOOKUP(D$1,test!$A$3:$F$32,2,FALSE))&lt;test!$K$16,$A91&lt;&gt;D$1,Recharged_Feasible_mat!E60=1),(VLOOKUP(D$1,test!$A$3:$I$32,8,FALSE))-(VLOOKUP($A91,test!$A$3:$I$32,9,FALSE))+test!$B$34,0)</f>
        <v>0</v>
      </c>
      <c r="E91">
        <f>IF(AND(SUM(VLOOKUP($A91,test!$A$3:$F$32,2,FALSE),VLOOKUP(E$1,test!$A$3:$F$32,2,FALSE))&lt;test!$K$16,$A91&lt;&gt;E$1,Recharged_Feasible_mat!F60=1),(VLOOKUP(E$1,test!$A$3:$I$32,8,FALSE))-(VLOOKUP($A91,test!$A$3:$I$32,9,FALSE))+test!$B$34,0)</f>
        <v>0</v>
      </c>
      <c r="F91">
        <f>IF(AND(SUM(VLOOKUP($A91,test!$A$3:$F$32,2,FALSE),VLOOKUP(F$1,test!$A$3:$F$32,2,FALSE))&lt;test!$K$16,$A91&lt;&gt;F$1,Recharged_Feasible_mat!G60=1),(VLOOKUP(F$1,test!$A$3:$I$32,8,FALSE))-(VLOOKUP($A91,test!$A$3:$I$32,9,FALSE))+test!$B$34,0)</f>
        <v>0</v>
      </c>
      <c r="G91">
        <f>IF(AND(SUM(VLOOKUP($A91,test!$A$3:$F$32,2,FALSE),VLOOKUP(G$1,test!$A$3:$F$32,2,FALSE))&lt;test!$K$16,$A91&lt;&gt;G$1,Recharged_Feasible_mat!H60=1),(VLOOKUP(G$1,test!$A$3:$I$32,8,FALSE))-(VLOOKUP($A91,test!$A$3:$I$32,9,FALSE))+test!$B$34,0)</f>
        <v>0</v>
      </c>
      <c r="H91">
        <f>IF(AND(SUM(VLOOKUP($A91,test!$A$3:$F$32,2,FALSE),VLOOKUP(H$1,test!$A$3:$F$32,2,FALSE))&lt;test!$K$16,$A91&lt;&gt;H$1,Recharged_Feasible_mat!I60=1),(VLOOKUP(H$1,test!$A$3:$I$32,8,FALSE))-(VLOOKUP($A91,test!$A$3:$I$32,9,FALSE))+test!$B$34,0)</f>
        <v>0</v>
      </c>
      <c r="I91">
        <f>IF(AND(SUM(VLOOKUP($A91,test!$A$3:$F$32,2,FALSE),VLOOKUP(I$1,test!$A$3:$F$32,2,FALSE))&lt;test!$K$16,$A91&lt;&gt;I$1,Recharged_Feasible_mat!J60=1),(VLOOKUP(I$1,test!$A$3:$I$32,8,FALSE))-(VLOOKUP($A91,test!$A$3:$I$32,9,FALSE))+test!$B$34,0)</f>
        <v>0</v>
      </c>
      <c r="J91">
        <f>IF(AND(SUM(VLOOKUP($A91,test!$A$3:$F$32,2,FALSE),VLOOKUP(J$1,test!$A$3:$F$32,2,FALSE))&lt;test!$K$16,$A91&lt;&gt;J$1,Recharged_Feasible_mat!K60=1),(VLOOKUP(J$1,test!$A$3:$I$32,8,FALSE))-(VLOOKUP($A91,test!$A$3:$I$32,9,FALSE))+test!$B$34,0)</f>
        <v>0</v>
      </c>
      <c r="K91">
        <f>IF(AND(SUM(VLOOKUP($A91,test!$A$3:$F$32,2,FALSE),VLOOKUP(K$1,test!$A$3:$F$32,2,FALSE))&lt;test!$K$16,$A91&lt;&gt;K$1,Recharged_Feasible_mat!L60=1),(VLOOKUP(K$1,test!$A$3:$I$32,8,FALSE))-(VLOOKUP($A91,test!$A$3:$I$32,9,FALSE))+test!$B$34,0)</f>
        <v>0</v>
      </c>
      <c r="L91">
        <f>IF(AND(SUM(VLOOKUP($A91,test!$A$3:$F$32,2,FALSE),VLOOKUP(L$1,test!$A$3:$F$32,2,FALSE))&lt;test!$K$16,$A91&lt;&gt;L$1,Recharged_Feasible_mat!M60=1),(VLOOKUP(L$1,test!$A$3:$I$32,8,FALSE))-(VLOOKUP($A91,test!$A$3:$I$32,9,FALSE))+test!$B$34,0)</f>
        <v>0</v>
      </c>
      <c r="M91">
        <f>IF(AND(SUM(VLOOKUP($A91,test!$A$3:$F$32,2,FALSE),VLOOKUP(M$1,test!$A$3:$F$32,2,FALSE))&lt;test!$K$16,$A91&lt;&gt;M$1,Recharged_Feasible_mat!N60=1),(VLOOKUP(M$1,test!$A$3:$I$32,8,FALSE))-(VLOOKUP($A91,test!$A$3:$I$32,9,FALSE))+test!$B$34,0)</f>
        <v>0</v>
      </c>
      <c r="N91">
        <f>IF(AND(SUM(VLOOKUP($A91,test!$A$3:$F$32,2,FALSE),VLOOKUP(N$1,test!$A$3:$F$32,2,FALSE))&lt;test!$K$16,$A91&lt;&gt;N$1,Recharged_Feasible_mat!O60=1),(VLOOKUP(N$1,test!$A$3:$I$32,8,FALSE))-(VLOOKUP($A91,test!$A$3:$I$32,9,FALSE))+test!$B$34,0)</f>
        <v>0</v>
      </c>
      <c r="O91">
        <f>IF(AND(SUM(VLOOKUP($A91,test!$A$3:$F$32,2,FALSE),VLOOKUP(O$1,test!$A$3:$F$32,2,FALSE))&lt;test!$K$16,$A91&lt;&gt;O$1,Recharged_Feasible_mat!P60=1),(VLOOKUP(O$1,test!$A$3:$I$32,8,FALSE))-(VLOOKUP($A91,test!$A$3:$I$32,9,FALSE))+test!$B$34,0)</f>
        <v>0</v>
      </c>
      <c r="P91">
        <f>IF(AND(SUM(VLOOKUP($A91,test!$A$3:$F$32,2,FALSE),VLOOKUP(P$1,test!$A$3:$F$32,2,FALSE))&lt;test!$K$16,$A91&lt;&gt;P$1,Recharged_Feasible_mat!Q60=1),(VLOOKUP(P$1,test!$A$3:$I$32,8,FALSE))-(VLOOKUP($A91,test!$A$3:$I$32,9,FALSE))+test!$B$34,0)</f>
        <v>0</v>
      </c>
      <c r="Q91">
        <f>IF(AND(SUM(VLOOKUP($A91,test!$A$3:$F$32,2,FALSE),VLOOKUP(Q$1,test!$A$3:$F$32,2,FALSE))&lt;test!$K$16,$A91&lt;&gt;Q$1,Recharged_Feasible_mat!R60=1),(VLOOKUP(Q$1,test!$A$3:$I$32,8,FALSE))-(VLOOKUP($A91,test!$A$3:$I$32,9,FALSE))+test!$B$34,0)</f>
        <v>0</v>
      </c>
      <c r="R91">
        <f>IF(AND(SUM(VLOOKUP($A91,test!$A$3:$F$32,2,FALSE),VLOOKUP(R$1,test!$A$3:$F$32,2,FALSE))&lt;test!$K$16,$A91&lt;&gt;R$1,Recharged_Feasible_mat!S60=1),(VLOOKUP(R$1,test!$A$3:$I$32,8,FALSE))-(VLOOKUP($A91,test!$A$3:$I$32,9,FALSE))+test!$B$34,0)</f>
        <v>0</v>
      </c>
      <c r="S91">
        <f>IF(AND(SUM(VLOOKUP($A91,test!$A$3:$F$32,2,FALSE),VLOOKUP(S$1,test!$A$3:$F$32,2,FALSE))&lt;test!$K$16,$A91&lt;&gt;S$1,Recharged_Feasible_mat!T60=1),(VLOOKUP(S$1,test!$A$3:$I$32,8,FALSE))-(VLOOKUP($A91,test!$A$3:$I$32,9,FALSE))+test!$B$34,0)</f>
        <v>0</v>
      </c>
      <c r="T91">
        <f>IF(AND(SUM(VLOOKUP($A91,test!$A$3:$F$32,2,FALSE),VLOOKUP(T$1,test!$A$3:$F$32,2,FALSE))&lt;test!$K$16,$A91&lt;&gt;T$1,Recharged_Feasible_mat!U60=1),(VLOOKUP(T$1,test!$A$3:$I$32,8,FALSE))-(VLOOKUP($A91,test!$A$3:$I$32,9,FALSE))+test!$B$34,0)</f>
        <v>0</v>
      </c>
      <c r="U91">
        <f>IF(AND(SUM(VLOOKUP($A91,test!$A$3:$F$32,2,FALSE),VLOOKUP(U$1,test!$A$3:$F$32,2,FALSE))&lt;test!$K$16,$A91&lt;&gt;U$1,Recharged_Feasible_mat!V60=1),(VLOOKUP(U$1,test!$A$3:$I$32,8,FALSE))-(VLOOKUP($A91,test!$A$3:$I$32,9,FALSE))+test!$B$34,0)</f>
        <v>0</v>
      </c>
      <c r="V91">
        <f>IF(AND(SUM(VLOOKUP($A91,test!$A$3:$F$32,2,FALSE),VLOOKUP(V$1,test!$A$3:$F$32,2,FALSE))&lt;test!$K$16,$A91&lt;&gt;V$1,Recharged_Feasible_mat!W60=1),(VLOOKUP(V$1,test!$A$3:$I$32,8,FALSE))-(VLOOKUP($A91,test!$A$3:$I$32,9,FALSE))+test!$B$34,0)</f>
        <v>0</v>
      </c>
      <c r="W91">
        <f>IF(AND(SUM(VLOOKUP($A91,test!$A$3:$F$32,2,FALSE),VLOOKUP(W$1,test!$A$3:$F$32,2,FALSE))&lt;test!$K$16,$A91&lt;&gt;W$1,Recharged_Feasible_mat!X60=1),(VLOOKUP(W$1,test!$A$3:$I$32,8,FALSE))-(VLOOKUP($A91,test!$A$3:$I$32,9,FALSE))+test!$B$34,0)</f>
        <v>0</v>
      </c>
      <c r="X91">
        <f>IF(AND(SUM(VLOOKUP($A91,test!$A$3:$F$32,2,FALSE),VLOOKUP(X$1,test!$A$3:$F$32,2,FALSE))&lt;test!$K$16,$A91&lt;&gt;X$1,Recharged_Feasible_mat!Y60=1),(VLOOKUP(X$1,test!$A$3:$I$32,8,FALSE))-(VLOOKUP($A91,test!$A$3:$I$32,9,FALSE))+test!$B$34,0)</f>
        <v>0</v>
      </c>
      <c r="Y91">
        <f>IF(AND(SUM(VLOOKUP($A91,test!$A$3:$F$32,2,FALSE),VLOOKUP(Y$1,test!$A$3:$F$32,2,FALSE))&lt;test!$K$16,$A91&lt;&gt;Y$1,Recharged_Feasible_mat!Z60=1),(VLOOKUP(Y$1,test!$A$3:$I$32,8,FALSE))-(VLOOKUP($A91,test!$A$3:$I$32,9,FALSE))+test!$B$34,0)</f>
        <v>0</v>
      </c>
      <c r="Z91">
        <f>IF(AND(SUM(VLOOKUP($A91,test!$A$3:$F$32,2,FALSE),VLOOKUP(Z$1,test!$A$3:$F$32,2,FALSE))&lt;test!$K$16,$A91&lt;&gt;Z$1,Recharged_Feasible_mat!AA60=1),(VLOOKUP(Z$1,test!$A$3:$I$32,8,FALSE))-(VLOOKUP($A91,test!$A$3:$I$32,9,FALSE))+test!$B$34,0)</f>
        <v>0</v>
      </c>
      <c r="AA91">
        <f>IF(AND(SUM(VLOOKUP($A91,test!$A$3:$F$32,2,FALSE),VLOOKUP(AA$1,test!$A$3:$F$32,2,FALSE))&lt;test!$K$16,$A91&lt;&gt;AA$1,Recharged_Feasible_mat!AB60=1),(VLOOKUP(AA$1,test!$A$3:$I$32,8,FALSE))-(VLOOKUP($A91,test!$A$3:$I$32,9,FALSE))+test!$B$34,0)</f>
        <v>0</v>
      </c>
      <c r="AB91">
        <f>IF(AND(SUM(VLOOKUP($A91,test!$A$3:$F$32,2,FALSE),VLOOKUP(AB$1,test!$A$3:$F$32,2,FALSE))&lt;test!$K$16,$A91&lt;&gt;AB$1,Recharged_Feasible_mat!AC60=1),(VLOOKUP(AB$1,test!$A$3:$I$32,8,FALSE))-(VLOOKUP($A91,test!$A$3:$I$32,9,FALSE))+test!$B$34,0)</f>
        <v>0</v>
      </c>
      <c r="AC91">
        <f>IF(AND(SUM(VLOOKUP($A91,test!$A$3:$F$32,2,FALSE),VLOOKUP(AC$1,test!$A$3:$F$32,2,FALSE))&lt;test!$K$16,$A91&lt;&gt;AC$1,Recharged_Feasible_mat!AD60=1),(VLOOKUP(AC$1,test!$A$3:$I$32,8,FALSE))-(VLOOKUP($A91,test!$A$3:$I$32,9,FALSE))+test!$B$34,0)</f>
        <v>0</v>
      </c>
      <c r="AD91">
        <f>IF(AND(SUM(VLOOKUP($A91,test!$A$3:$F$32,2,FALSE),VLOOKUP(AD$1,test!$A$3:$F$32,2,FALSE))&lt;test!$K$16,$A91&lt;&gt;AD$1,Recharged_Feasible_mat!AE60=1),(VLOOKUP(AD$1,test!$A$3:$I$32,8,FALSE))-(VLOOKUP($A91,test!$A$3:$I$32,9,FALSE))+test!$B$34,0)</f>
        <v>0</v>
      </c>
      <c r="AE91">
        <f>IF(AND(SUM(VLOOKUP($A91,test!$A$3:$F$32,2,FALSE),VLOOKUP(AE$1,test!$A$3:$F$32,2,FALSE))&lt;test!$K$16,$A91&lt;&gt;AE$1,Recharged_Feasible_mat!AF60=1),(VLOOKUP(AE$1,test!$A$3:$I$32,8,FALSE))-(VLOOKUP($A91,test!$A$3:$I$32,9,FALSE))+test!$B$34,0)</f>
        <v>0</v>
      </c>
      <c r="AF91">
        <f>IF(AND(SUM(VLOOKUP($A91,test!$A$3:$F$32,2,FALSE),VLOOKUP(AF$1,test!$A$3:$F$32,2,FALSE))&lt;test!$K$16,$A91&lt;&gt;AF$1,Recharged_Feasible_mat!AG60=1),(VLOOKUP(AF$1,test!$A$3:$I$32,8,FALSE))-(VLOOKUP($A91,test!$A$3:$I$32,9,FALSE))+test!$B$34,0)</f>
        <v>0</v>
      </c>
    </row>
    <row r="92" spans="1:32" x14ac:dyDescent="0.25">
      <c r="A92" t="s">
        <v>39</v>
      </c>
      <c r="B92">
        <v>0</v>
      </c>
      <c r="C92">
        <f>IF(AND(SUM(VLOOKUP($A92,test!$A$3:$F$32,2,FALSE),VLOOKUP(C$1,test!$A$3:$F$32,2,FALSE))&lt;test!$K$16,$A92&lt;&gt;C$1,Recharged_Feasible_mat!D61=1),(VLOOKUP(C$1,test!$A$3:$I$32,8,FALSE))-(VLOOKUP($A92,test!$A$3:$I$32,9,FALSE))+test!$B$34,0)</f>
        <v>0</v>
      </c>
      <c r="D92">
        <f>IF(AND(SUM(VLOOKUP($A92,test!$A$3:$F$32,2,FALSE),VLOOKUP(D$1,test!$A$3:$F$32,2,FALSE))&lt;test!$K$16,$A92&lt;&gt;D$1,Recharged_Feasible_mat!E61=1),(VLOOKUP(D$1,test!$A$3:$I$32,8,FALSE))-(VLOOKUP($A92,test!$A$3:$I$32,9,FALSE))+test!$B$34,0)</f>
        <v>0</v>
      </c>
      <c r="E92">
        <f>IF(AND(SUM(VLOOKUP($A92,test!$A$3:$F$32,2,FALSE),VLOOKUP(E$1,test!$A$3:$F$32,2,FALSE))&lt;test!$K$16,$A92&lt;&gt;E$1,Recharged_Feasible_mat!F61=1),(VLOOKUP(E$1,test!$A$3:$I$32,8,FALSE))-(VLOOKUP($A92,test!$A$3:$I$32,9,FALSE))+test!$B$34,0)</f>
        <v>0</v>
      </c>
      <c r="F92">
        <f>IF(AND(SUM(VLOOKUP($A92,test!$A$3:$F$32,2,FALSE),VLOOKUP(F$1,test!$A$3:$F$32,2,FALSE))&lt;test!$K$16,$A92&lt;&gt;F$1,Recharged_Feasible_mat!G61=1),(VLOOKUP(F$1,test!$A$3:$I$32,8,FALSE))-(VLOOKUP($A92,test!$A$3:$I$32,9,FALSE))+test!$B$34,0)</f>
        <v>0</v>
      </c>
      <c r="G92">
        <f>IF(AND(SUM(VLOOKUP($A92,test!$A$3:$F$32,2,FALSE),VLOOKUP(G$1,test!$A$3:$F$32,2,FALSE))&lt;test!$K$16,$A92&lt;&gt;G$1,Recharged_Feasible_mat!H61=1),(VLOOKUP(G$1,test!$A$3:$I$32,8,FALSE))-(VLOOKUP($A92,test!$A$3:$I$32,9,FALSE))+test!$B$34,0)</f>
        <v>0</v>
      </c>
      <c r="H92">
        <f>IF(AND(SUM(VLOOKUP($A92,test!$A$3:$F$32,2,FALSE),VLOOKUP(H$1,test!$A$3:$F$32,2,FALSE))&lt;test!$K$16,$A92&lt;&gt;H$1,Recharged_Feasible_mat!I61=1),(VLOOKUP(H$1,test!$A$3:$I$32,8,FALSE))-(VLOOKUP($A92,test!$A$3:$I$32,9,FALSE))+test!$B$34,0)</f>
        <v>0</v>
      </c>
      <c r="I92">
        <f>IF(AND(SUM(VLOOKUP($A92,test!$A$3:$F$32,2,FALSE),VLOOKUP(I$1,test!$A$3:$F$32,2,FALSE))&lt;test!$K$16,$A92&lt;&gt;I$1,Recharged_Feasible_mat!J61=1),(VLOOKUP(I$1,test!$A$3:$I$32,8,FALSE))-(VLOOKUP($A92,test!$A$3:$I$32,9,FALSE))+test!$B$34,0)</f>
        <v>0</v>
      </c>
      <c r="J92">
        <f>IF(AND(SUM(VLOOKUP($A92,test!$A$3:$F$32,2,FALSE),VLOOKUP(J$1,test!$A$3:$F$32,2,FALSE))&lt;test!$K$16,$A92&lt;&gt;J$1,Recharged_Feasible_mat!K61=1),(VLOOKUP(J$1,test!$A$3:$I$32,8,FALSE))-(VLOOKUP($A92,test!$A$3:$I$32,9,FALSE))+test!$B$34,0)</f>
        <v>0</v>
      </c>
      <c r="K92">
        <f>IF(AND(SUM(VLOOKUP($A92,test!$A$3:$F$32,2,FALSE),VLOOKUP(K$1,test!$A$3:$F$32,2,FALSE))&lt;test!$K$16,$A92&lt;&gt;K$1,Recharged_Feasible_mat!L61=1),(VLOOKUP(K$1,test!$A$3:$I$32,8,FALSE))-(VLOOKUP($A92,test!$A$3:$I$32,9,FALSE))+test!$B$34,0)</f>
        <v>0</v>
      </c>
      <c r="L92">
        <f>IF(AND(SUM(VLOOKUP($A92,test!$A$3:$F$32,2,FALSE),VLOOKUP(L$1,test!$A$3:$F$32,2,FALSE))&lt;test!$K$16,$A92&lt;&gt;L$1,Recharged_Feasible_mat!M61=1),(VLOOKUP(L$1,test!$A$3:$I$32,8,FALSE))-(VLOOKUP($A92,test!$A$3:$I$32,9,FALSE))+test!$B$34,0)</f>
        <v>0</v>
      </c>
      <c r="M92">
        <f>IF(AND(SUM(VLOOKUP($A92,test!$A$3:$F$32,2,FALSE),VLOOKUP(M$1,test!$A$3:$F$32,2,FALSE))&lt;test!$K$16,$A92&lt;&gt;M$1,Recharged_Feasible_mat!N61=1),(VLOOKUP(M$1,test!$A$3:$I$32,8,FALSE))-(VLOOKUP($A92,test!$A$3:$I$32,9,FALSE))+test!$B$34,0)</f>
        <v>0</v>
      </c>
      <c r="N92">
        <f>IF(AND(SUM(VLOOKUP($A92,test!$A$3:$F$32,2,FALSE),VLOOKUP(N$1,test!$A$3:$F$32,2,FALSE))&lt;test!$K$16,$A92&lt;&gt;N$1,Recharged_Feasible_mat!O61=1),(VLOOKUP(N$1,test!$A$3:$I$32,8,FALSE))-(VLOOKUP($A92,test!$A$3:$I$32,9,FALSE))+test!$B$34,0)</f>
        <v>0</v>
      </c>
      <c r="O92">
        <f>IF(AND(SUM(VLOOKUP($A92,test!$A$3:$F$32,2,FALSE),VLOOKUP(O$1,test!$A$3:$F$32,2,FALSE))&lt;test!$K$16,$A92&lt;&gt;O$1,Recharged_Feasible_mat!P61=1),(VLOOKUP(O$1,test!$A$3:$I$32,8,FALSE))-(VLOOKUP($A92,test!$A$3:$I$32,9,FALSE))+test!$B$34,0)</f>
        <v>0</v>
      </c>
      <c r="P92">
        <f>IF(AND(SUM(VLOOKUP($A92,test!$A$3:$F$32,2,FALSE),VLOOKUP(P$1,test!$A$3:$F$32,2,FALSE))&lt;test!$K$16,$A92&lt;&gt;P$1,Recharged_Feasible_mat!Q61=1),(VLOOKUP(P$1,test!$A$3:$I$32,8,FALSE))-(VLOOKUP($A92,test!$A$3:$I$32,9,FALSE))+test!$B$34,0)</f>
        <v>0</v>
      </c>
      <c r="Q92">
        <f>IF(AND(SUM(VLOOKUP($A92,test!$A$3:$F$32,2,FALSE),VLOOKUP(Q$1,test!$A$3:$F$32,2,FALSE))&lt;test!$K$16,$A92&lt;&gt;Q$1,Recharged_Feasible_mat!R61=1),(VLOOKUP(Q$1,test!$A$3:$I$32,8,FALSE))-(VLOOKUP($A92,test!$A$3:$I$32,9,FALSE))+test!$B$34,0)</f>
        <v>0</v>
      </c>
      <c r="R92">
        <f>IF(AND(SUM(VLOOKUP($A92,test!$A$3:$F$32,2,FALSE),VLOOKUP(R$1,test!$A$3:$F$32,2,FALSE))&lt;test!$K$16,$A92&lt;&gt;R$1,Recharged_Feasible_mat!S61=1),(VLOOKUP(R$1,test!$A$3:$I$32,8,FALSE))-(VLOOKUP($A92,test!$A$3:$I$32,9,FALSE))+test!$B$34,0)</f>
        <v>0</v>
      </c>
      <c r="S92">
        <f>IF(AND(SUM(VLOOKUP($A92,test!$A$3:$F$32,2,FALSE),VLOOKUP(S$1,test!$A$3:$F$32,2,FALSE))&lt;test!$K$16,$A92&lt;&gt;S$1,Recharged_Feasible_mat!T61=1),(VLOOKUP(S$1,test!$A$3:$I$32,8,FALSE))-(VLOOKUP($A92,test!$A$3:$I$32,9,FALSE))+test!$B$34,0)</f>
        <v>0</v>
      </c>
      <c r="T92">
        <f>IF(AND(SUM(VLOOKUP($A92,test!$A$3:$F$32,2,FALSE),VLOOKUP(T$1,test!$A$3:$F$32,2,FALSE))&lt;test!$K$16,$A92&lt;&gt;T$1,Recharged_Feasible_mat!U61=1),(VLOOKUP(T$1,test!$A$3:$I$32,8,FALSE))-(VLOOKUP($A92,test!$A$3:$I$32,9,FALSE))+test!$B$34,0)</f>
        <v>0</v>
      </c>
      <c r="U92">
        <f>IF(AND(SUM(VLOOKUP($A92,test!$A$3:$F$32,2,FALSE),VLOOKUP(U$1,test!$A$3:$F$32,2,FALSE))&lt;test!$K$16,$A92&lt;&gt;U$1,Recharged_Feasible_mat!V61=1),(VLOOKUP(U$1,test!$A$3:$I$32,8,FALSE))-(VLOOKUP($A92,test!$A$3:$I$32,9,FALSE))+test!$B$34,0)</f>
        <v>0</v>
      </c>
      <c r="V92">
        <f>IF(AND(SUM(VLOOKUP($A92,test!$A$3:$F$32,2,FALSE),VLOOKUP(V$1,test!$A$3:$F$32,2,FALSE))&lt;test!$K$16,$A92&lt;&gt;V$1,Recharged_Feasible_mat!W61=1),(VLOOKUP(V$1,test!$A$3:$I$32,8,FALSE))-(VLOOKUP($A92,test!$A$3:$I$32,9,FALSE))+test!$B$34,0)</f>
        <v>0</v>
      </c>
      <c r="W92">
        <f>IF(AND(SUM(VLOOKUP($A92,test!$A$3:$F$32,2,FALSE),VLOOKUP(W$1,test!$A$3:$F$32,2,FALSE))&lt;test!$K$16,$A92&lt;&gt;W$1,Recharged_Feasible_mat!X61=1),(VLOOKUP(W$1,test!$A$3:$I$32,8,FALSE))-(VLOOKUP($A92,test!$A$3:$I$32,9,FALSE))+test!$B$34,0)</f>
        <v>0</v>
      </c>
      <c r="X92">
        <f>IF(AND(SUM(VLOOKUP($A92,test!$A$3:$F$32,2,FALSE),VLOOKUP(X$1,test!$A$3:$F$32,2,FALSE))&lt;test!$K$16,$A92&lt;&gt;X$1,Recharged_Feasible_mat!Y61=1),(VLOOKUP(X$1,test!$A$3:$I$32,8,FALSE))-(VLOOKUP($A92,test!$A$3:$I$32,9,FALSE))+test!$B$34,0)</f>
        <v>0</v>
      </c>
      <c r="Y92">
        <f>IF(AND(SUM(VLOOKUP($A92,test!$A$3:$F$32,2,FALSE),VLOOKUP(Y$1,test!$A$3:$F$32,2,FALSE))&lt;test!$K$16,$A92&lt;&gt;Y$1,Recharged_Feasible_mat!Z61=1),(VLOOKUP(Y$1,test!$A$3:$I$32,8,FALSE))-(VLOOKUP($A92,test!$A$3:$I$32,9,FALSE))+test!$B$34,0)</f>
        <v>0</v>
      </c>
      <c r="Z92">
        <f>IF(AND(SUM(VLOOKUP($A92,test!$A$3:$F$32,2,FALSE),VLOOKUP(Z$1,test!$A$3:$F$32,2,FALSE))&lt;test!$K$16,$A92&lt;&gt;Z$1,Recharged_Feasible_mat!AA61=1),(VLOOKUP(Z$1,test!$A$3:$I$32,8,FALSE))-(VLOOKUP($A92,test!$A$3:$I$32,9,FALSE))+test!$B$34,0)</f>
        <v>0</v>
      </c>
      <c r="AA92">
        <f>IF(AND(SUM(VLOOKUP($A92,test!$A$3:$F$32,2,FALSE),VLOOKUP(AA$1,test!$A$3:$F$32,2,FALSE))&lt;test!$K$16,$A92&lt;&gt;AA$1,Recharged_Feasible_mat!AB61=1),(VLOOKUP(AA$1,test!$A$3:$I$32,8,FALSE))-(VLOOKUP($A92,test!$A$3:$I$32,9,FALSE))+test!$B$34,0)</f>
        <v>0</v>
      </c>
      <c r="AB92">
        <f>IF(AND(SUM(VLOOKUP($A92,test!$A$3:$F$32,2,FALSE),VLOOKUP(AB$1,test!$A$3:$F$32,2,FALSE))&lt;test!$K$16,$A92&lt;&gt;AB$1,Recharged_Feasible_mat!AC61=1),(VLOOKUP(AB$1,test!$A$3:$I$32,8,FALSE))-(VLOOKUP($A92,test!$A$3:$I$32,9,FALSE))+test!$B$34,0)</f>
        <v>0</v>
      </c>
      <c r="AC92">
        <f>IF(AND(SUM(VLOOKUP($A92,test!$A$3:$F$32,2,FALSE),VLOOKUP(AC$1,test!$A$3:$F$32,2,FALSE))&lt;test!$K$16,$A92&lt;&gt;AC$1,Recharged_Feasible_mat!AD61=1),(VLOOKUP(AC$1,test!$A$3:$I$32,8,FALSE))-(VLOOKUP($A92,test!$A$3:$I$32,9,FALSE))+test!$B$34,0)</f>
        <v>0</v>
      </c>
      <c r="AD92">
        <f>IF(AND(SUM(VLOOKUP($A92,test!$A$3:$F$32,2,FALSE),VLOOKUP(AD$1,test!$A$3:$F$32,2,FALSE))&lt;test!$K$16,$A92&lt;&gt;AD$1,Recharged_Feasible_mat!AE61=1),(VLOOKUP(AD$1,test!$A$3:$I$32,8,FALSE))-(VLOOKUP($A92,test!$A$3:$I$32,9,FALSE))+test!$B$34,0)</f>
        <v>0</v>
      </c>
      <c r="AE92">
        <f>IF(AND(SUM(VLOOKUP($A92,test!$A$3:$F$32,2,FALSE),VLOOKUP(AE$1,test!$A$3:$F$32,2,FALSE))&lt;test!$K$16,$A92&lt;&gt;AE$1,Recharged_Feasible_mat!AF61=1),(VLOOKUP(AE$1,test!$A$3:$I$32,8,FALSE))-(VLOOKUP($A92,test!$A$3:$I$32,9,FALSE))+test!$B$34,0)</f>
        <v>0</v>
      </c>
      <c r="AF92">
        <f>IF(AND(SUM(VLOOKUP($A92,test!$A$3:$F$32,2,FALSE),VLOOKUP(AF$1,test!$A$3:$F$32,2,FALSE))&lt;test!$K$16,$A92&lt;&gt;AF$1,Recharged_Feasible_mat!AG61=1),(VLOOKUP(AF$1,test!$A$3:$I$32,8,FALSE))-(VLOOKUP($A92,test!$A$3:$I$32,9,FALSE))+test!$B$34,0)</f>
        <v>0</v>
      </c>
    </row>
    <row r="93" spans="1:32" x14ac:dyDescent="0.25">
      <c r="A93" t="s">
        <v>40</v>
      </c>
      <c r="B93">
        <v>0</v>
      </c>
      <c r="C93">
        <f>IF(AND(SUM(VLOOKUP($A93,test!$A$3:$F$32,2,FALSE),VLOOKUP(C$1,test!$A$3:$F$32,2,FALSE))&lt;test!$K$16,$A93&lt;&gt;C$1,Recharged_Feasible_mat!D62=1),(VLOOKUP(C$1,test!$A$3:$I$32,8,FALSE))-(VLOOKUP($A93,test!$A$3:$I$32,9,FALSE))+test!$B$34,0)</f>
        <v>0</v>
      </c>
      <c r="D93">
        <f>IF(AND(SUM(VLOOKUP($A93,test!$A$3:$F$32,2,FALSE),VLOOKUP(D$1,test!$A$3:$F$32,2,FALSE))&lt;test!$K$16,$A93&lt;&gt;D$1,Recharged_Feasible_mat!E62=1),(VLOOKUP(D$1,test!$A$3:$I$32,8,FALSE))-(VLOOKUP($A93,test!$A$3:$I$32,9,FALSE))+test!$B$34,0)</f>
        <v>0</v>
      </c>
      <c r="E93">
        <f>IF(AND(SUM(VLOOKUP($A93,test!$A$3:$F$32,2,FALSE),VLOOKUP(E$1,test!$A$3:$F$32,2,FALSE))&lt;test!$K$16,$A93&lt;&gt;E$1,Recharged_Feasible_mat!F62=1),(VLOOKUP(E$1,test!$A$3:$I$32,8,FALSE))-(VLOOKUP($A93,test!$A$3:$I$32,9,FALSE))+test!$B$34,0)</f>
        <v>0</v>
      </c>
      <c r="F93">
        <f>IF(AND(SUM(VLOOKUP($A93,test!$A$3:$F$32,2,FALSE),VLOOKUP(F$1,test!$A$3:$F$32,2,FALSE))&lt;test!$K$16,$A93&lt;&gt;F$1,Recharged_Feasible_mat!G62=1),(VLOOKUP(F$1,test!$A$3:$I$32,8,FALSE))-(VLOOKUP($A93,test!$A$3:$I$32,9,FALSE))+test!$B$34,0)</f>
        <v>0</v>
      </c>
      <c r="G93">
        <f>IF(AND(SUM(VLOOKUP($A93,test!$A$3:$F$32,2,FALSE),VLOOKUP(G$1,test!$A$3:$F$32,2,FALSE))&lt;test!$K$16,$A93&lt;&gt;G$1,Recharged_Feasible_mat!H62=1),(VLOOKUP(G$1,test!$A$3:$I$32,8,FALSE))-(VLOOKUP($A93,test!$A$3:$I$32,9,FALSE))+test!$B$34,0)</f>
        <v>0</v>
      </c>
      <c r="H93">
        <f>IF(AND(SUM(VLOOKUP($A93,test!$A$3:$F$32,2,FALSE),VLOOKUP(H$1,test!$A$3:$F$32,2,FALSE))&lt;test!$K$16,$A93&lt;&gt;H$1,Recharged_Feasible_mat!I62=1),(VLOOKUP(H$1,test!$A$3:$I$32,8,FALSE))-(VLOOKUP($A93,test!$A$3:$I$32,9,FALSE))+test!$B$34,0)</f>
        <v>0</v>
      </c>
      <c r="I93">
        <f>IF(AND(SUM(VLOOKUP($A93,test!$A$3:$F$32,2,FALSE),VLOOKUP(I$1,test!$A$3:$F$32,2,FALSE))&lt;test!$K$16,$A93&lt;&gt;I$1,Recharged_Feasible_mat!J62=1),(VLOOKUP(I$1,test!$A$3:$I$32,8,FALSE))-(VLOOKUP($A93,test!$A$3:$I$32,9,FALSE))+test!$B$34,0)</f>
        <v>0</v>
      </c>
      <c r="J93">
        <f>IF(AND(SUM(VLOOKUP($A93,test!$A$3:$F$32,2,FALSE),VLOOKUP(J$1,test!$A$3:$F$32,2,FALSE))&lt;test!$K$16,$A93&lt;&gt;J$1,Recharged_Feasible_mat!K62=1),(VLOOKUP(J$1,test!$A$3:$I$32,8,FALSE))-(VLOOKUP($A93,test!$A$3:$I$32,9,FALSE))+test!$B$34,0)</f>
        <v>170</v>
      </c>
      <c r="K93">
        <f>IF(AND(SUM(VLOOKUP($A93,test!$A$3:$F$32,2,FALSE),VLOOKUP(K$1,test!$A$3:$F$32,2,FALSE))&lt;test!$K$16,$A93&lt;&gt;K$1,Recharged_Feasible_mat!L62=1),(VLOOKUP(K$1,test!$A$3:$I$32,8,FALSE))-(VLOOKUP($A93,test!$A$3:$I$32,9,FALSE))+test!$B$34,0)</f>
        <v>0</v>
      </c>
      <c r="L93">
        <f>IF(AND(SUM(VLOOKUP($A93,test!$A$3:$F$32,2,FALSE),VLOOKUP(L$1,test!$A$3:$F$32,2,FALSE))&lt;test!$K$16,$A93&lt;&gt;L$1,Recharged_Feasible_mat!M62=1),(VLOOKUP(L$1,test!$A$3:$I$32,8,FALSE))-(VLOOKUP($A93,test!$A$3:$I$32,9,FALSE))+test!$B$34,0)</f>
        <v>0</v>
      </c>
      <c r="M93">
        <f>IF(AND(SUM(VLOOKUP($A93,test!$A$3:$F$32,2,FALSE),VLOOKUP(M$1,test!$A$3:$F$32,2,FALSE))&lt;test!$K$16,$A93&lt;&gt;M$1,Recharged_Feasible_mat!N62=1),(VLOOKUP(M$1,test!$A$3:$I$32,8,FALSE))-(VLOOKUP($A93,test!$A$3:$I$32,9,FALSE))+test!$B$34,0)</f>
        <v>0</v>
      </c>
      <c r="N93">
        <f>IF(AND(SUM(VLOOKUP($A93,test!$A$3:$F$32,2,FALSE),VLOOKUP(N$1,test!$A$3:$F$32,2,FALSE))&lt;test!$K$16,$A93&lt;&gt;N$1,Recharged_Feasible_mat!O62=1),(VLOOKUP(N$1,test!$A$3:$I$32,8,FALSE))-(VLOOKUP($A93,test!$A$3:$I$32,9,FALSE))+test!$B$34,0)</f>
        <v>0</v>
      </c>
      <c r="O93">
        <f>IF(AND(SUM(VLOOKUP($A93,test!$A$3:$F$32,2,FALSE),VLOOKUP(O$1,test!$A$3:$F$32,2,FALSE))&lt;test!$K$16,$A93&lt;&gt;O$1,Recharged_Feasible_mat!P62=1),(VLOOKUP(O$1,test!$A$3:$I$32,8,FALSE))-(VLOOKUP($A93,test!$A$3:$I$32,9,FALSE))+test!$B$34,0)</f>
        <v>0</v>
      </c>
      <c r="P93">
        <f>IF(AND(SUM(VLOOKUP($A93,test!$A$3:$F$32,2,FALSE),VLOOKUP(P$1,test!$A$3:$F$32,2,FALSE))&lt;test!$K$16,$A93&lt;&gt;P$1,Recharged_Feasible_mat!Q62=1),(VLOOKUP(P$1,test!$A$3:$I$32,8,FALSE))-(VLOOKUP($A93,test!$A$3:$I$32,9,FALSE))+test!$B$34,0)</f>
        <v>0</v>
      </c>
      <c r="Q93">
        <f>IF(AND(SUM(VLOOKUP($A93,test!$A$3:$F$32,2,FALSE),VLOOKUP(Q$1,test!$A$3:$F$32,2,FALSE))&lt;test!$K$16,$A93&lt;&gt;Q$1,Recharged_Feasible_mat!R62=1),(VLOOKUP(Q$1,test!$A$3:$I$32,8,FALSE))-(VLOOKUP($A93,test!$A$3:$I$32,9,FALSE))+test!$B$34,0)</f>
        <v>0</v>
      </c>
      <c r="R93">
        <f>IF(AND(SUM(VLOOKUP($A93,test!$A$3:$F$32,2,FALSE),VLOOKUP(R$1,test!$A$3:$F$32,2,FALSE))&lt;test!$K$16,$A93&lt;&gt;R$1,Recharged_Feasible_mat!S62=1),(VLOOKUP(R$1,test!$A$3:$I$32,8,FALSE))-(VLOOKUP($A93,test!$A$3:$I$32,9,FALSE))+test!$B$34,0)</f>
        <v>0</v>
      </c>
      <c r="S93">
        <f>IF(AND(SUM(VLOOKUP($A93,test!$A$3:$F$32,2,FALSE),VLOOKUP(S$1,test!$A$3:$F$32,2,FALSE))&lt;test!$K$16,$A93&lt;&gt;S$1,Recharged_Feasible_mat!T62=1),(VLOOKUP(S$1,test!$A$3:$I$32,8,FALSE))-(VLOOKUP($A93,test!$A$3:$I$32,9,FALSE))+test!$B$34,0)</f>
        <v>0</v>
      </c>
      <c r="T93">
        <f>IF(AND(SUM(VLOOKUP($A93,test!$A$3:$F$32,2,FALSE),VLOOKUP(T$1,test!$A$3:$F$32,2,FALSE))&lt;test!$K$16,$A93&lt;&gt;T$1,Recharged_Feasible_mat!U62=1),(VLOOKUP(T$1,test!$A$3:$I$32,8,FALSE))-(VLOOKUP($A93,test!$A$3:$I$32,9,FALSE))+test!$B$34,0)</f>
        <v>0</v>
      </c>
      <c r="U93">
        <f>IF(AND(SUM(VLOOKUP($A93,test!$A$3:$F$32,2,FALSE),VLOOKUP(U$1,test!$A$3:$F$32,2,FALSE))&lt;test!$K$16,$A93&lt;&gt;U$1,Recharged_Feasible_mat!V62=1),(VLOOKUP(U$1,test!$A$3:$I$32,8,FALSE))-(VLOOKUP($A93,test!$A$3:$I$32,9,FALSE))+test!$B$34,0)</f>
        <v>0</v>
      </c>
      <c r="V93">
        <f>IF(AND(SUM(VLOOKUP($A93,test!$A$3:$F$32,2,FALSE),VLOOKUP(V$1,test!$A$3:$F$32,2,FALSE))&lt;test!$K$16,$A93&lt;&gt;V$1,Recharged_Feasible_mat!W62=1),(VLOOKUP(V$1,test!$A$3:$I$32,8,FALSE))-(VLOOKUP($A93,test!$A$3:$I$32,9,FALSE))+test!$B$34,0)</f>
        <v>0</v>
      </c>
      <c r="W93">
        <f>IF(AND(SUM(VLOOKUP($A93,test!$A$3:$F$32,2,FALSE),VLOOKUP(W$1,test!$A$3:$F$32,2,FALSE))&lt;test!$K$16,$A93&lt;&gt;W$1,Recharged_Feasible_mat!X62=1),(VLOOKUP(W$1,test!$A$3:$I$32,8,FALSE))-(VLOOKUP($A93,test!$A$3:$I$32,9,FALSE))+test!$B$34,0)</f>
        <v>0</v>
      </c>
      <c r="X93">
        <f>IF(AND(SUM(VLOOKUP($A93,test!$A$3:$F$32,2,FALSE),VLOOKUP(X$1,test!$A$3:$F$32,2,FALSE))&lt;test!$K$16,$A93&lt;&gt;X$1,Recharged_Feasible_mat!Y62=1),(VLOOKUP(X$1,test!$A$3:$I$32,8,FALSE))-(VLOOKUP($A93,test!$A$3:$I$32,9,FALSE))+test!$B$34,0)</f>
        <v>120</v>
      </c>
      <c r="Y93">
        <f>IF(AND(SUM(VLOOKUP($A93,test!$A$3:$F$32,2,FALSE),VLOOKUP(Y$1,test!$A$3:$F$32,2,FALSE))&lt;test!$K$16,$A93&lt;&gt;Y$1,Recharged_Feasible_mat!Z62=1),(VLOOKUP(Y$1,test!$A$3:$I$32,8,FALSE))-(VLOOKUP($A93,test!$A$3:$I$32,9,FALSE))+test!$B$34,0)</f>
        <v>0</v>
      </c>
      <c r="Z93">
        <f>IF(AND(SUM(VLOOKUP($A93,test!$A$3:$F$32,2,FALSE),VLOOKUP(Z$1,test!$A$3:$F$32,2,FALSE))&lt;test!$K$16,$A93&lt;&gt;Z$1,Recharged_Feasible_mat!AA62=1),(VLOOKUP(Z$1,test!$A$3:$I$32,8,FALSE))-(VLOOKUP($A93,test!$A$3:$I$32,9,FALSE))+test!$B$34,0)</f>
        <v>0</v>
      </c>
      <c r="AA93">
        <f>IF(AND(SUM(VLOOKUP($A93,test!$A$3:$F$32,2,FALSE),VLOOKUP(AA$1,test!$A$3:$F$32,2,FALSE))&lt;test!$K$16,$A93&lt;&gt;AA$1,Recharged_Feasible_mat!AB62=1),(VLOOKUP(AA$1,test!$A$3:$I$32,8,FALSE))-(VLOOKUP($A93,test!$A$3:$I$32,9,FALSE))+test!$B$34,0)</f>
        <v>0</v>
      </c>
      <c r="AB93">
        <f>IF(AND(SUM(VLOOKUP($A93,test!$A$3:$F$32,2,FALSE),VLOOKUP(AB$1,test!$A$3:$F$32,2,FALSE))&lt;test!$K$16,$A93&lt;&gt;AB$1,Recharged_Feasible_mat!AC62=1),(VLOOKUP(AB$1,test!$A$3:$I$32,8,FALSE))-(VLOOKUP($A93,test!$A$3:$I$32,9,FALSE))+test!$B$34,0)</f>
        <v>0</v>
      </c>
      <c r="AC93">
        <f>IF(AND(SUM(VLOOKUP($A93,test!$A$3:$F$32,2,FALSE),VLOOKUP(AC$1,test!$A$3:$F$32,2,FALSE))&lt;test!$K$16,$A93&lt;&gt;AC$1,Recharged_Feasible_mat!AD62=1),(VLOOKUP(AC$1,test!$A$3:$I$32,8,FALSE))-(VLOOKUP($A93,test!$A$3:$I$32,9,FALSE))+test!$B$34,0)</f>
        <v>0</v>
      </c>
      <c r="AD93">
        <f>IF(AND(SUM(VLOOKUP($A93,test!$A$3:$F$32,2,FALSE),VLOOKUP(AD$1,test!$A$3:$F$32,2,FALSE))&lt;test!$K$16,$A93&lt;&gt;AD$1,Recharged_Feasible_mat!AE62=1),(VLOOKUP(AD$1,test!$A$3:$I$32,8,FALSE))-(VLOOKUP($A93,test!$A$3:$I$32,9,FALSE))+test!$B$34,0)</f>
        <v>0</v>
      </c>
      <c r="AE93">
        <f>IF(AND(SUM(VLOOKUP($A93,test!$A$3:$F$32,2,FALSE),VLOOKUP(AE$1,test!$A$3:$F$32,2,FALSE))&lt;test!$K$16,$A93&lt;&gt;AE$1,Recharged_Feasible_mat!AF62=1),(VLOOKUP(AE$1,test!$A$3:$I$32,8,FALSE))-(VLOOKUP($A93,test!$A$3:$I$32,9,FALSE))+test!$B$34,0)</f>
        <v>0</v>
      </c>
      <c r="AF93">
        <f>IF(AND(SUM(VLOOKUP($A93,test!$A$3:$F$32,2,FALSE),VLOOKUP(AF$1,test!$A$3:$F$32,2,FALSE))&lt;test!$K$16,$A93&lt;&gt;AF$1,Recharged_Feasible_mat!AG62=1),(VLOOKUP(AF$1,test!$A$3:$I$32,8,FALSE))-(VLOOKUP($A93,test!$A$3:$I$32,9,FALSE))+test!$B$34,0)</f>
        <v>0</v>
      </c>
    </row>
    <row r="94" spans="1:32" x14ac:dyDescent="0.25">
      <c r="A94" t="s">
        <v>41</v>
      </c>
      <c r="B94">
        <v>0</v>
      </c>
      <c r="C94">
        <f>IF(AND(SUM(VLOOKUP($A94,test!$A$3:$F$32,2,FALSE),VLOOKUP(C$1,test!$A$3:$F$32,2,FALSE))&lt;test!$K$16,$A94&lt;&gt;C$1,Recharged_Feasible_mat!D63=1),(VLOOKUP(C$1,test!$A$3:$I$32,8,FALSE))-(VLOOKUP($A94,test!$A$3:$I$32,9,FALSE))+test!$B$34,0)</f>
        <v>0</v>
      </c>
      <c r="D94">
        <f>IF(AND(SUM(VLOOKUP($A94,test!$A$3:$F$32,2,FALSE),VLOOKUP(D$1,test!$A$3:$F$32,2,FALSE))&lt;test!$K$16,$A94&lt;&gt;D$1,Recharged_Feasible_mat!E63=1),(VLOOKUP(D$1,test!$A$3:$I$32,8,FALSE))-(VLOOKUP($A94,test!$A$3:$I$32,9,FALSE))+test!$B$34,0)</f>
        <v>0</v>
      </c>
      <c r="E94">
        <f>IF(AND(SUM(VLOOKUP($A94,test!$A$3:$F$32,2,FALSE),VLOOKUP(E$1,test!$A$3:$F$32,2,FALSE))&lt;test!$K$16,$A94&lt;&gt;E$1,Recharged_Feasible_mat!F63=1),(VLOOKUP(E$1,test!$A$3:$I$32,8,FALSE))-(VLOOKUP($A94,test!$A$3:$I$32,9,FALSE))+test!$B$34,0)</f>
        <v>0</v>
      </c>
      <c r="F94">
        <f>IF(AND(SUM(VLOOKUP($A94,test!$A$3:$F$32,2,FALSE),VLOOKUP(F$1,test!$A$3:$F$32,2,FALSE))&lt;test!$K$16,$A94&lt;&gt;F$1,Recharged_Feasible_mat!G63=1),(VLOOKUP(F$1,test!$A$3:$I$32,8,FALSE))-(VLOOKUP($A94,test!$A$3:$I$32,9,FALSE))+test!$B$34,0)</f>
        <v>0</v>
      </c>
      <c r="G94">
        <f>IF(AND(SUM(VLOOKUP($A94,test!$A$3:$F$32,2,FALSE),VLOOKUP(G$1,test!$A$3:$F$32,2,FALSE))&lt;test!$K$16,$A94&lt;&gt;G$1,Recharged_Feasible_mat!H63=1),(VLOOKUP(G$1,test!$A$3:$I$32,8,FALSE))-(VLOOKUP($A94,test!$A$3:$I$32,9,FALSE))+test!$B$34,0)</f>
        <v>0</v>
      </c>
      <c r="H94">
        <f>IF(AND(SUM(VLOOKUP($A94,test!$A$3:$F$32,2,FALSE),VLOOKUP(H$1,test!$A$3:$F$32,2,FALSE))&lt;test!$K$16,$A94&lt;&gt;H$1,Recharged_Feasible_mat!I63=1),(VLOOKUP(H$1,test!$A$3:$I$32,8,FALSE))-(VLOOKUP($A94,test!$A$3:$I$32,9,FALSE))+test!$B$34,0)</f>
        <v>0</v>
      </c>
      <c r="I94">
        <f>IF(AND(SUM(VLOOKUP($A94,test!$A$3:$F$32,2,FALSE),VLOOKUP(I$1,test!$A$3:$F$32,2,FALSE))&lt;test!$K$16,$A94&lt;&gt;I$1,Recharged_Feasible_mat!J63=1),(VLOOKUP(I$1,test!$A$3:$I$32,8,FALSE))-(VLOOKUP($A94,test!$A$3:$I$32,9,FALSE))+test!$B$34,0)</f>
        <v>0</v>
      </c>
      <c r="J94">
        <f>IF(AND(SUM(VLOOKUP($A94,test!$A$3:$F$32,2,FALSE),VLOOKUP(J$1,test!$A$3:$F$32,2,FALSE))&lt;test!$K$16,$A94&lt;&gt;J$1,Recharged_Feasible_mat!K63=1),(VLOOKUP(J$1,test!$A$3:$I$32,8,FALSE))-(VLOOKUP($A94,test!$A$3:$I$32,9,FALSE))+test!$B$34,0)</f>
        <v>0</v>
      </c>
      <c r="K94">
        <f>IF(AND(SUM(VLOOKUP($A94,test!$A$3:$F$32,2,FALSE),VLOOKUP(K$1,test!$A$3:$F$32,2,FALSE))&lt;test!$K$16,$A94&lt;&gt;K$1,Recharged_Feasible_mat!L63=1),(VLOOKUP(K$1,test!$A$3:$I$32,8,FALSE))-(VLOOKUP($A94,test!$A$3:$I$32,9,FALSE))+test!$B$34,0)</f>
        <v>0</v>
      </c>
      <c r="L94">
        <f>IF(AND(SUM(VLOOKUP($A94,test!$A$3:$F$32,2,FALSE),VLOOKUP(L$1,test!$A$3:$F$32,2,FALSE))&lt;test!$K$16,$A94&lt;&gt;L$1,Recharged_Feasible_mat!M63=1),(VLOOKUP(L$1,test!$A$3:$I$32,8,FALSE))-(VLOOKUP($A94,test!$A$3:$I$32,9,FALSE))+test!$B$34,0)</f>
        <v>0</v>
      </c>
      <c r="M94">
        <f>IF(AND(SUM(VLOOKUP($A94,test!$A$3:$F$32,2,FALSE),VLOOKUP(M$1,test!$A$3:$F$32,2,FALSE))&lt;test!$K$16,$A94&lt;&gt;M$1,Recharged_Feasible_mat!N63=1),(VLOOKUP(M$1,test!$A$3:$I$32,8,FALSE))-(VLOOKUP($A94,test!$A$3:$I$32,9,FALSE))+test!$B$34,0)</f>
        <v>0</v>
      </c>
      <c r="N94">
        <f>IF(AND(SUM(VLOOKUP($A94,test!$A$3:$F$32,2,FALSE),VLOOKUP(N$1,test!$A$3:$F$32,2,FALSE))&lt;test!$K$16,$A94&lt;&gt;N$1,Recharged_Feasible_mat!O63=1),(VLOOKUP(N$1,test!$A$3:$I$32,8,FALSE))-(VLOOKUP($A94,test!$A$3:$I$32,9,FALSE))+test!$B$34,0)</f>
        <v>0</v>
      </c>
      <c r="O94">
        <f>IF(AND(SUM(VLOOKUP($A94,test!$A$3:$F$32,2,FALSE),VLOOKUP(O$1,test!$A$3:$F$32,2,FALSE))&lt;test!$K$16,$A94&lt;&gt;O$1,Recharged_Feasible_mat!P63=1),(VLOOKUP(O$1,test!$A$3:$I$32,8,FALSE))-(VLOOKUP($A94,test!$A$3:$I$32,9,FALSE))+test!$B$34,0)</f>
        <v>0</v>
      </c>
      <c r="P94">
        <f>IF(AND(SUM(VLOOKUP($A94,test!$A$3:$F$32,2,FALSE),VLOOKUP(P$1,test!$A$3:$F$32,2,FALSE))&lt;test!$K$16,$A94&lt;&gt;P$1,Recharged_Feasible_mat!Q63=1),(VLOOKUP(P$1,test!$A$3:$I$32,8,FALSE))-(VLOOKUP($A94,test!$A$3:$I$32,9,FALSE))+test!$B$34,0)</f>
        <v>0</v>
      </c>
      <c r="Q94">
        <f>IF(AND(SUM(VLOOKUP($A94,test!$A$3:$F$32,2,FALSE),VLOOKUP(Q$1,test!$A$3:$F$32,2,FALSE))&lt;test!$K$16,$A94&lt;&gt;Q$1,Recharged_Feasible_mat!R63=1),(VLOOKUP(Q$1,test!$A$3:$I$32,8,FALSE))-(VLOOKUP($A94,test!$A$3:$I$32,9,FALSE))+test!$B$34,0)</f>
        <v>0</v>
      </c>
      <c r="R94">
        <f>IF(AND(SUM(VLOOKUP($A94,test!$A$3:$F$32,2,FALSE),VLOOKUP(R$1,test!$A$3:$F$32,2,FALSE))&lt;test!$K$16,$A94&lt;&gt;R$1,Recharged_Feasible_mat!S63=1),(VLOOKUP(R$1,test!$A$3:$I$32,8,FALSE))-(VLOOKUP($A94,test!$A$3:$I$32,9,FALSE))+test!$B$34,0)</f>
        <v>0</v>
      </c>
      <c r="S94">
        <f>IF(AND(SUM(VLOOKUP($A94,test!$A$3:$F$32,2,FALSE),VLOOKUP(S$1,test!$A$3:$F$32,2,FALSE))&lt;test!$K$16,$A94&lt;&gt;S$1,Recharged_Feasible_mat!T63=1),(VLOOKUP(S$1,test!$A$3:$I$32,8,FALSE))-(VLOOKUP($A94,test!$A$3:$I$32,9,FALSE))+test!$B$34,0)</f>
        <v>0</v>
      </c>
      <c r="T94">
        <f>IF(AND(SUM(VLOOKUP($A94,test!$A$3:$F$32,2,FALSE),VLOOKUP(T$1,test!$A$3:$F$32,2,FALSE))&lt;test!$K$16,$A94&lt;&gt;T$1,Recharged_Feasible_mat!U63=1),(VLOOKUP(T$1,test!$A$3:$I$32,8,FALSE))-(VLOOKUP($A94,test!$A$3:$I$32,9,FALSE))+test!$B$34,0)</f>
        <v>0</v>
      </c>
      <c r="U94">
        <f>IF(AND(SUM(VLOOKUP($A94,test!$A$3:$F$32,2,FALSE),VLOOKUP(U$1,test!$A$3:$F$32,2,FALSE))&lt;test!$K$16,$A94&lt;&gt;U$1,Recharged_Feasible_mat!V63=1),(VLOOKUP(U$1,test!$A$3:$I$32,8,FALSE))-(VLOOKUP($A94,test!$A$3:$I$32,9,FALSE))+test!$B$34,0)</f>
        <v>0</v>
      </c>
      <c r="V94">
        <f>IF(AND(SUM(VLOOKUP($A94,test!$A$3:$F$32,2,FALSE),VLOOKUP(V$1,test!$A$3:$F$32,2,FALSE))&lt;test!$K$16,$A94&lt;&gt;V$1,Recharged_Feasible_mat!W63=1),(VLOOKUP(V$1,test!$A$3:$I$32,8,FALSE))-(VLOOKUP($A94,test!$A$3:$I$32,9,FALSE))+test!$B$34,0)</f>
        <v>0</v>
      </c>
      <c r="W94">
        <f>IF(AND(SUM(VLOOKUP($A94,test!$A$3:$F$32,2,FALSE),VLOOKUP(W$1,test!$A$3:$F$32,2,FALSE))&lt;test!$K$16,$A94&lt;&gt;W$1,Recharged_Feasible_mat!X63=1),(VLOOKUP(W$1,test!$A$3:$I$32,8,FALSE))-(VLOOKUP($A94,test!$A$3:$I$32,9,FALSE))+test!$B$34,0)</f>
        <v>0</v>
      </c>
      <c r="X94">
        <f>IF(AND(SUM(VLOOKUP($A94,test!$A$3:$F$32,2,FALSE),VLOOKUP(X$1,test!$A$3:$F$32,2,FALSE))&lt;test!$K$16,$A94&lt;&gt;X$1,Recharged_Feasible_mat!Y63=1),(VLOOKUP(X$1,test!$A$3:$I$32,8,FALSE))-(VLOOKUP($A94,test!$A$3:$I$32,9,FALSE))+test!$B$34,0)</f>
        <v>0</v>
      </c>
      <c r="Y94">
        <f>IF(AND(SUM(VLOOKUP($A94,test!$A$3:$F$32,2,FALSE),VLOOKUP(Y$1,test!$A$3:$F$32,2,FALSE))&lt;test!$K$16,$A94&lt;&gt;Y$1,Recharged_Feasible_mat!Z63=1),(VLOOKUP(Y$1,test!$A$3:$I$32,8,FALSE))-(VLOOKUP($A94,test!$A$3:$I$32,9,FALSE))+test!$B$34,0)</f>
        <v>0</v>
      </c>
      <c r="Z94">
        <f>IF(AND(SUM(VLOOKUP($A94,test!$A$3:$F$32,2,FALSE),VLOOKUP(Z$1,test!$A$3:$F$32,2,FALSE))&lt;test!$K$16,$A94&lt;&gt;Z$1,Recharged_Feasible_mat!AA63=1),(VLOOKUP(Z$1,test!$A$3:$I$32,8,FALSE))-(VLOOKUP($A94,test!$A$3:$I$32,9,FALSE))+test!$B$34,0)</f>
        <v>0</v>
      </c>
      <c r="AA94">
        <f>IF(AND(SUM(VLOOKUP($A94,test!$A$3:$F$32,2,FALSE),VLOOKUP(AA$1,test!$A$3:$F$32,2,FALSE))&lt;test!$K$16,$A94&lt;&gt;AA$1,Recharged_Feasible_mat!AB63=1),(VLOOKUP(AA$1,test!$A$3:$I$32,8,FALSE))-(VLOOKUP($A94,test!$A$3:$I$32,9,FALSE))+test!$B$34,0)</f>
        <v>0</v>
      </c>
      <c r="AB94">
        <f>IF(AND(SUM(VLOOKUP($A94,test!$A$3:$F$32,2,FALSE),VLOOKUP(AB$1,test!$A$3:$F$32,2,FALSE))&lt;test!$K$16,$A94&lt;&gt;AB$1,Recharged_Feasible_mat!AC63=1),(VLOOKUP(AB$1,test!$A$3:$I$32,8,FALSE))-(VLOOKUP($A94,test!$A$3:$I$32,9,FALSE))+test!$B$34,0)</f>
        <v>0</v>
      </c>
      <c r="AC94">
        <f>IF(AND(SUM(VLOOKUP($A94,test!$A$3:$F$32,2,FALSE),VLOOKUP(AC$1,test!$A$3:$F$32,2,FALSE))&lt;test!$K$16,$A94&lt;&gt;AC$1,Recharged_Feasible_mat!AD63=1),(VLOOKUP(AC$1,test!$A$3:$I$32,8,FALSE))-(VLOOKUP($A94,test!$A$3:$I$32,9,FALSE))+test!$B$34,0)</f>
        <v>0</v>
      </c>
      <c r="AD94">
        <f>IF(AND(SUM(VLOOKUP($A94,test!$A$3:$F$32,2,FALSE),VLOOKUP(AD$1,test!$A$3:$F$32,2,FALSE))&lt;test!$K$16,$A94&lt;&gt;AD$1,Recharged_Feasible_mat!AE63=1),(VLOOKUP(AD$1,test!$A$3:$I$32,8,FALSE))-(VLOOKUP($A94,test!$A$3:$I$32,9,FALSE))+test!$B$34,0)</f>
        <v>0</v>
      </c>
      <c r="AE94">
        <f>IF(AND(SUM(VLOOKUP($A94,test!$A$3:$F$32,2,FALSE),VLOOKUP(AE$1,test!$A$3:$F$32,2,FALSE))&lt;test!$K$16,$A94&lt;&gt;AE$1,Recharged_Feasible_mat!AF63=1),(VLOOKUP(AE$1,test!$A$3:$I$32,8,FALSE))-(VLOOKUP($A94,test!$A$3:$I$32,9,FALSE))+test!$B$34,0)</f>
        <v>0</v>
      </c>
      <c r="AF94">
        <f>IF(AND(SUM(VLOOKUP($A94,test!$A$3:$F$32,2,FALSE),VLOOKUP(AF$1,test!$A$3:$F$32,2,FALSE))&lt;test!$K$16,$A94&lt;&gt;AF$1,Recharged_Feasible_mat!AG63=1),(VLOOKUP(AF$1,test!$A$3:$I$32,8,FALSE))-(VLOOKUP($A94,test!$A$3:$I$32,9,FALSE))+test!$B$34,0)</f>
        <v>0</v>
      </c>
    </row>
    <row r="95" spans="1:32" x14ac:dyDescent="0.25">
      <c r="A95" t="s">
        <v>46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6</v>
      </c>
      <c r="B96">
        <v>0</v>
      </c>
      <c r="C96">
        <f>IF(AND(SUM(VLOOKUP($A96,test!$A$3:$F$32,2,FALSE),VLOOKUP(C$1,test!$A$3:$F$32,2,FALSE))&lt;test!$K$16,$A96&lt;&gt;C$1,Recharged_Feasible_mat!D65=1),(VLOOKUP(C$1,test!$A$3:$I$32,8,FALSE))-(VLOOKUP($A96,test!$A$3:$I$32,9,FALSE))+test!$B$35,0)</f>
        <v>0</v>
      </c>
      <c r="D96">
        <f>IF(AND(SUM(VLOOKUP($A96,test!$A$3:$F$32,2,FALSE),VLOOKUP(D$1,test!$A$3:$F$32,2,FALSE))&lt;test!$K$16,$A96&lt;&gt;D$1,Recharged_Feasible_mat!E65=1),(VLOOKUP(D$1,test!$A$3:$I$32,8,FALSE))-(VLOOKUP($A96,test!$A$3:$I$32,9,FALSE))+test!$B$35,0)</f>
        <v>0</v>
      </c>
      <c r="E96">
        <f>IF(AND(SUM(VLOOKUP($A96,test!$A$3:$F$32,2,FALSE),VLOOKUP(E$1,test!$A$3:$F$32,2,FALSE))&lt;test!$K$16,$A96&lt;&gt;E$1,Recharged_Feasible_mat!F65=1),(VLOOKUP(E$1,test!$A$3:$I$32,8,FALSE))-(VLOOKUP($A96,test!$A$3:$I$32,9,FALSE))+test!$B$35,0)</f>
        <v>185</v>
      </c>
      <c r="F96">
        <f>IF(AND(SUM(VLOOKUP($A96,test!$A$3:$F$32,2,FALSE),VLOOKUP(F$1,test!$A$3:$F$32,2,FALSE))&lt;test!$K$16,$A96&lt;&gt;F$1,Recharged_Feasible_mat!G65=1),(VLOOKUP(F$1,test!$A$3:$I$32,8,FALSE))-(VLOOKUP($A96,test!$A$3:$I$32,9,FALSE))+test!$B$35,0)</f>
        <v>275</v>
      </c>
      <c r="G96">
        <f>IF(AND(SUM(VLOOKUP($A96,test!$A$3:$F$32,2,FALSE),VLOOKUP(G$1,test!$A$3:$F$32,2,FALSE))&lt;test!$K$16,$A96&lt;&gt;G$1,Recharged_Feasible_mat!H65=1),(VLOOKUP(G$1,test!$A$3:$I$32,8,FALSE))-(VLOOKUP($A96,test!$A$3:$I$32,9,FALSE))+test!$B$35,0)</f>
        <v>335</v>
      </c>
      <c r="H96">
        <f>IF(AND(SUM(VLOOKUP($A96,test!$A$3:$F$32,2,FALSE),VLOOKUP(H$1,test!$A$3:$F$32,2,FALSE))&lt;test!$K$16,$A96&lt;&gt;H$1,Recharged_Feasible_mat!I65=1),(VLOOKUP(H$1,test!$A$3:$I$32,8,FALSE))-(VLOOKUP($A96,test!$A$3:$I$32,9,FALSE))+test!$B$35,0)</f>
        <v>395</v>
      </c>
      <c r="I96">
        <f>IF(AND(SUM(VLOOKUP($A96,test!$A$3:$F$32,2,FALSE),VLOOKUP(I$1,test!$A$3:$F$32,2,FALSE))&lt;test!$K$16,$A96&lt;&gt;I$1,Recharged_Feasible_mat!J65=1),(VLOOKUP(I$1,test!$A$3:$I$32,8,FALSE))-(VLOOKUP($A96,test!$A$3:$I$32,9,FALSE))+test!$B$35,0)</f>
        <v>455</v>
      </c>
      <c r="J96">
        <f>IF(AND(SUM(VLOOKUP($A96,test!$A$3:$F$32,2,FALSE),VLOOKUP(J$1,test!$A$3:$F$32,2,FALSE))&lt;test!$K$16,$A96&lt;&gt;J$1,Recharged_Feasible_mat!K65=1),(VLOOKUP(J$1,test!$A$3:$I$32,8,FALSE))-(VLOOKUP($A96,test!$A$3:$I$32,9,FALSE))+test!$B$35,0)</f>
        <v>545</v>
      </c>
      <c r="K96">
        <f>IF(AND(SUM(VLOOKUP($A96,test!$A$3:$F$32,2,FALSE),VLOOKUP(K$1,test!$A$3:$F$32,2,FALSE))&lt;test!$K$16,$A96&lt;&gt;K$1,Recharged_Feasible_mat!L65=1),(VLOOKUP(K$1,test!$A$3:$I$32,8,FALSE))-(VLOOKUP($A96,test!$A$3:$I$32,9,FALSE))+test!$B$35,0)</f>
        <v>0</v>
      </c>
      <c r="L96">
        <f>IF(AND(SUM(VLOOKUP($A96,test!$A$3:$F$32,2,FALSE),VLOOKUP(L$1,test!$A$3:$F$32,2,FALSE))&lt;test!$K$16,$A96&lt;&gt;L$1,Recharged_Feasible_mat!M65=1),(VLOOKUP(L$1,test!$A$3:$I$32,8,FALSE))-(VLOOKUP($A96,test!$A$3:$I$32,9,FALSE))+test!$B$35,0)</f>
        <v>0</v>
      </c>
      <c r="M96">
        <f>IF(AND(SUM(VLOOKUP($A96,test!$A$3:$F$32,2,FALSE),VLOOKUP(M$1,test!$A$3:$F$32,2,FALSE))&lt;test!$K$16,$A96&lt;&gt;M$1,Recharged_Feasible_mat!N65=1),(VLOOKUP(M$1,test!$A$3:$I$32,8,FALSE))-(VLOOKUP($A96,test!$A$3:$I$32,9,FALSE))+test!$B$35,0)</f>
        <v>150</v>
      </c>
      <c r="N96">
        <f>IF(AND(SUM(VLOOKUP($A96,test!$A$3:$F$32,2,FALSE),VLOOKUP(N$1,test!$A$3:$F$32,2,FALSE))&lt;test!$K$16,$A96&lt;&gt;N$1,Recharged_Feasible_mat!O65=1),(VLOOKUP(N$1,test!$A$3:$I$32,8,FALSE))-(VLOOKUP($A96,test!$A$3:$I$32,9,FALSE))+test!$B$35,0)</f>
        <v>510</v>
      </c>
      <c r="O96">
        <f>IF(AND(SUM(VLOOKUP($A96,test!$A$3:$F$32,2,FALSE),VLOOKUP(O$1,test!$A$3:$F$32,2,FALSE))&lt;test!$K$16,$A96&lt;&gt;O$1,Recharged_Feasible_mat!P65=1),(VLOOKUP(O$1,test!$A$3:$I$32,8,FALSE))-(VLOOKUP($A96,test!$A$3:$I$32,9,FALSE))+test!$B$35,0)</f>
        <v>570</v>
      </c>
      <c r="P96">
        <f>IF(AND(SUM(VLOOKUP($A96,test!$A$3:$F$32,2,FALSE),VLOOKUP(P$1,test!$A$3:$F$32,2,FALSE))&lt;test!$K$16,$A96&lt;&gt;P$1,Recharged_Feasible_mat!Q65=1),(VLOOKUP(P$1,test!$A$3:$I$32,8,FALSE))-(VLOOKUP($A96,test!$A$3:$I$32,9,FALSE))+test!$B$35,0)</f>
        <v>0</v>
      </c>
      <c r="Q96">
        <f>IF(AND(SUM(VLOOKUP($A96,test!$A$3:$F$32,2,FALSE),VLOOKUP(Q$1,test!$A$3:$F$32,2,FALSE))&lt;test!$K$16,$A96&lt;&gt;Q$1,Recharged_Feasible_mat!R65=1),(VLOOKUP(Q$1,test!$A$3:$I$32,8,FALSE))-(VLOOKUP($A96,test!$A$3:$I$32,9,FALSE))+test!$B$35,0)</f>
        <v>0</v>
      </c>
      <c r="R96">
        <f>IF(AND(SUM(VLOOKUP($A96,test!$A$3:$F$32,2,FALSE),VLOOKUP(R$1,test!$A$3:$F$32,2,FALSE))&lt;test!$K$16,$A96&lt;&gt;R$1,Recharged_Feasible_mat!S65=1),(VLOOKUP(R$1,test!$A$3:$I$32,8,FALSE))-(VLOOKUP($A96,test!$A$3:$I$32,9,FALSE))+test!$B$35,0)</f>
        <v>0</v>
      </c>
      <c r="S96">
        <f>IF(AND(SUM(VLOOKUP($A96,test!$A$3:$F$32,2,FALSE),VLOOKUP(S$1,test!$A$3:$F$32,2,FALSE))&lt;test!$K$16,$A96&lt;&gt;S$1,Recharged_Feasible_mat!T65=1),(VLOOKUP(S$1,test!$A$3:$I$32,8,FALSE))-(VLOOKUP($A96,test!$A$3:$I$32,9,FALSE))+test!$B$35,0)</f>
        <v>0</v>
      </c>
      <c r="T96">
        <f>IF(AND(SUM(VLOOKUP($A96,test!$A$3:$F$32,2,FALSE),VLOOKUP(T$1,test!$A$3:$F$32,2,FALSE))&lt;test!$K$16,$A96&lt;&gt;T$1,Recharged_Feasible_mat!U65=1),(VLOOKUP(T$1,test!$A$3:$I$32,8,FALSE))-(VLOOKUP($A96,test!$A$3:$I$32,9,FALSE))+test!$B$35,0)</f>
        <v>165</v>
      </c>
      <c r="U96">
        <f>IF(AND(SUM(VLOOKUP($A96,test!$A$3:$F$32,2,FALSE),VLOOKUP(U$1,test!$A$3:$F$32,2,FALSE))&lt;test!$K$16,$A96&lt;&gt;U$1,Recharged_Feasible_mat!V65=1),(VLOOKUP(U$1,test!$A$3:$I$32,8,FALSE))-(VLOOKUP($A96,test!$A$3:$I$32,9,FALSE))+test!$B$35,0)</f>
        <v>255</v>
      </c>
      <c r="V96">
        <f>IF(AND(SUM(VLOOKUP($A96,test!$A$3:$F$32,2,FALSE),VLOOKUP(V$1,test!$A$3:$F$32,2,FALSE))&lt;test!$K$16,$A96&lt;&gt;V$1,Recharged_Feasible_mat!W65=1),(VLOOKUP(V$1,test!$A$3:$I$32,8,FALSE))-(VLOOKUP($A96,test!$A$3:$I$32,9,FALSE))+test!$B$35,0)</f>
        <v>345</v>
      </c>
      <c r="W96">
        <f>IF(AND(SUM(VLOOKUP($A96,test!$A$3:$F$32,2,FALSE),VLOOKUP(W$1,test!$A$3:$F$32,2,FALSE))&lt;test!$K$16,$A96&lt;&gt;W$1,Recharged_Feasible_mat!X65=1),(VLOOKUP(W$1,test!$A$3:$I$32,8,FALSE))-(VLOOKUP($A96,test!$A$3:$I$32,9,FALSE))+test!$B$35,0)</f>
        <v>435</v>
      </c>
      <c r="X96">
        <f>IF(AND(SUM(VLOOKUP($A96,test!$A$3:$F$32,2,FALSE),VLOOKUP(X$1,test!$A$3:$F$32,2,FALSE))&lt;test!$K$16,$A96&lt;&gt;X$1,Recharged_Feasible_mat!Y65=1),(VLOOKUP(X$1,test!$A$3:$I$32,8,FALSE))-(VLOOKUP($A96,test!$A$3:$I$32,9,FALSE))+test!$B$35,0)</f>
        <v>495</v>
      </c>
      <c r="Y96">
        <f>IF(AND(SUM(VLOOKUP($A96,test!$A$3:$F$32,2,FALSE),VLOOKUP(Y$1,test!$A$3:$F$32,2,FALSE))&lt;test!$K$16,$A96&lt;&gt;Y$1,Recharged_Feasible_mat!Z65=1),(VLOOKUP(Y$1,test!$A$3:$I$32,8,FALSE))-(VLOOKUP($A96,test!$A$3:$I$32,9,FALSE))+test!$B$35,0)</f>
        <v>0</v>
      </c>
      <c r="Z96">
        <f>IF(AND(SUM(VLOOKUP($A96,test!$A$3:$F$32,2,FALSE),VLOOKUP(Z$1,test!$A$3:$F$32,2,FALSE))&lt;test!$K$16,$A96&lt;&gt;Z$1,Recharged_Feasible_mat!AA65=1),(VLOOKUP(Z$1,test!$A$3:$I$32,8,FALSE))-(VLOOKUP($A96,test!$A$3:$I$32,9,FALSE))+test!$B$35,0)</f>
        <v>0</v>
      </c>
      <c r="AA96">
        <f>IF(AND(SUM(VLOOKUP($A96,test!$A$3:$F$32,2,FALSE),VLOOKUP(AA$1,test!$A$3:$F$32,2,FALSE))&lt;test!$K$16,$A96&lt;&gt;AA$1,Recharged_Feasible_mat!AB65=1),(VLOOKUP(AA$1,test!$A$3:$I$32,8,FALSE))-(VLOOKUP($A96,test!$A$3:$I$32,9,FALSE))+test!$B$35,0)</f>
        <v>215</v>
      </c>
      <c r="AB96">
        <f>IF(AND(SUM(VLOOKUP($A96,test!$A$3:$F$32,2,FALSE),VLOOKUP(AB$1,test!$A$3:$F$32,2,FALSE))&lt;test!$K$16,$A96&lt;&gt;AB$1,Recharged_Feasible_mat!AC65=1),(VLOOKUP(AB$1,test!$A$3:$I$32,8,FALSE))-(VLOOKUP($A96,test!$A$3:$I$32,9,FALSE))+test!$B$35,0)</f>
        <v>275</v>
      </c>
      <c r="AC96">
        <f>IF(AND(SUM(VLOOKUP($A96,test!$A$3:$F$32,2,FALSE),VLOOKUP(AC$1,test!$A$3:$F$32,2,FALSE))&lt;test!$K$16,$A96&lt;&gt;AC$1,Recharged_Feasible_mat!AD65=1),(VLOOKUP(AC$1,test!$A$3:$I$32,8,FALSE))-(VLOOKUP($A96,test!$A$3:$I$32,9,FALSE))+test!$B$35,0)</f>
        <v>395</v>
      </c>
      <c r="AD96">
        <f>IF(AND(SUM(VLOOKUP($A96,test!$A$3:$F$32,2,FALSE),VLOOKUP(AD$1,test!$A$3:$F$32,2,FALSE))&lt;test!$K$16,$A96&lt;&gt;AD$1,Recharged_Feasible_mat!AE65=1),(VLOOKUP(AD$1,test!$A$3:$I$32,8,FALSE))-(VLOOKUP($A96,test!$A$3:$I$32,9,FALSE))+test!$B$35,0)</f>
        <v>0</v>
      </c>
      <c r="AE96">
        <f>IF(AND(SUM(VLOOKUP($A96,test!$A$3:$F$32,2,FALSE),VLOOKUP(AE$1,test!$A$3:$F$32,2,FALSE))&lt;test!$K$16,$A96&lt;&gt;AE$1,Recharged_Feasible_mat!AF65=1),(VLOOKUP(AE$1,test!$A$3:$I$32,8,FALSE))-(VLOOKUP($A96,test!$A$3:$I$32,9,FALSE))+test!$B$35,0)</f>
        <v>215</v>
      </c>
      <c r="AF96">
        <f>IF(AND(SUM(VLOOKUP($A96,test!$A$3:$F$32,2,FALSE),VLOOKUP(AF$1,test!$A$3:$F$32,2,FALSE))&lt;test!$K$16,$A96&lt;&gt;AF$1,Recharged_Feasible_mat!AG65=1),(VLOOKUP(AF$1,test!$A$3:$I$32,8,FALSE))-(VLOOKUP($A96,test!$A$3:$I$32,9,FALSE))+test!$B$35,0)</f>
        <v>0</v>
      </c>
    </row>
    <row r="97" spans="1:32" x14ac:dyDescent="0.25">
      <c r="A97" t="s">
        <v>9</v>
      </c>
      <c r="B97">
        <v>0</v>
      </c>
      <c r="C97">
        <f>IF(AND(SUM(VLOOKUP($A97,test!$A$3:$F$32,2,FALSE),VLOOKUP(C$1,test!$A$3:$F$32,2,FALSE))&lt;test!$K$16,$A97&lt;&gt;C$1,Recharged_Feasible_mat!D66=1),(VLOOKUP(C$1,test!$A$3:$I$32,8,FALSE))-(VLOOKUP($A97,test!$A$3:$I$32,9,FALSE))+test!$B$35,0)</f>
        <v>0</v>
      </c>
      <c r="D97">
        <f>IF(AND(SUM(VLOOKUP($A97,test!$A$3:$F$32,2,FALSE),VLOOKUP(D$1,test!$A$3:$F$32,2,FALSE))&lt;test!$K$16,$A97&lt;&gt;D$1,Recharged_Feasible_mat!E66=1),(VLOOKUP(D$1,test!$A$3:$I$32,8,FALSE))-(VLOOKUP($A97,test!$A$3:$I$32,9,FALSE))+test!$B$35,0)</f>
        <v>0</v>
      </c>
      <c r="E97">
        <f>IF(AND(SUM(VLOOKUP($A97,test!$A$3:$F$32,2,FALSE),VLOOKUP(E$1,test!$A$3:$F$32,2,FALSE))&lt;test!$K$16,$A97&lt;&gt;E$1,Recharged_Feasible_mat!F66=1),(VLOOKUP(E$1,test!$A$3:$I$32,8,FALSE))-(VLOOKUP($A97,test!$A$3:$I$32,9,FALSE))+test!$B$35,0)</f>
        <v>0</v>
      </c>
      <c r="F97">
        <f>IF(AND(SUM(VLOOKUP($A97,test!$A$3:$F$32,2,FALSE),VLOOKUP(F$1,test!$A$3:$F$32,2,FALSE))&lt;test!$K$16,$A97&lt;&gt;F$1,Recharged_Feasible_mat!G66=1),(VLOOKUP(F$1,test!$A$3:$I$32,8,FALSE))-(VLOOKUP($A97,test!$A$3:$I$32,9,FALSE))+test!$B$35,0)</f>
        <v>0</v>
      </c>
      <c r="G97">
        <f>IF(AND(SUM(VLOOKUP($A97,test!$A$3:$F$32,2,FALSE),VLOOKUP(G$1,test!$A$3:$F$32,2,FALSE))&lt;test!$K$16,$A97&lt;&gt;G$1,Recharged_Feasible_mat!H66=1),(VLOOKUP(G$1,test!$A$3:$I$32,8,FALSE))-(VLOOKUP($A97,test!$A$3:$I$32,9,FALSE))+test!$B$35,0)</f>
        <v>155</v>
      </c>
      <c r="H97">
        <f>IF(AND(SUM(VLOOKUP($A97,test!$A$3:$F$32,2,FALSE),VLOOKUP(H$1,test!$A$3:$F$32,2,FALSE))&lt;test!$K$16,$A97&lt;&gt;H$1,Recharged_Feasible_mat!I66=1),(VLOOKUP(H$1,test!$A$3:$I$32,8,FALSE))-(VLOOKUP($A97,test!$A$3:$I$32,9,FALSE))+test!$B$35,0)</f>
        <v>215</v>
      </c>
      <c r="I97">
        <f>IF(AND(SUM(VLOOKUP($A97,test!$A$3:$F$32,2,FALSE),VLOOKUP(I$1,test!$A$3:$F$32,2,FALSE))&lt;test!$K$16,$A97&lt;&gt;I$1,Recharged_Feasible_mat!J66=1),(VLOOKUP(I$1,test!$A$3:$I$32,8,FALSE))-(VLOOKUP($A97,test!$A$3:$I$32,9,FALSE))+test!$B$35,0)</f>
        <v>275</v>
      </c>
      <c r="J97">
        <f>IF(AND(SUM(VLOOKUP($A97,test!$A$3:$F$32,2,FALSE),VLOOKUP(J$1,test!$A$3:$F$32,2,FALSE))&lt;test!$K$16,$A97&lt;&gt;J$1,Recharged_Feasible_mat!K66=1),(VLOOKUP(J$1,test!$A$3:$I$32,8,FALSE))-(VLOOKUP($A97,test!$A$3:$I$32,9,FALSE))+test!$B$35,0)</f>
        <v>365</v>
      </c>
      <c r="K97">
        <f>IF(AND(SUM(VLOOKUP($A97,test!$A$3:$F$32,2,FALSE),VLOOKUP(K$1,test!$A$3:$F$32,2,FALSE))&lt;test!$K$16,$A97&lt;&gt;K$1,Recharged_Feasible_mat!L66=1),(VLOOKUP(K$1,test!$A$3:$I$32,8,FALSE))-(VLOOKUP($A97,test!$A$3:$I$32,9,FALSE))+test!$B$35,0)</f>
        <v>0</v>
      </c>
      <c r="L97">
        <f>IF(AND(SUM(VLOOKUP($A97,test!$A$3:$F$32,2,FALSE),VLOOKUP(L$1,test!$A$3:$F$32,2,FALSE))&lt;test!$K$16,$A97&lt;&gt;L$1,Recharged_Feasible_mat!M66=1),(VLOOKUP(L$1,test!$A$3:$I$32,8,FALSE))-(VLOOKUP($A97,test!$A$3:$I$32,9,FALSE))+test!$B$35,0)</f>
        <v>0</v>
      </c>
      <c r="M97">
        <f>IF(AND(SUM(VLOOKUP($A97,test!$A$3:$F$32,2,FALSE),VLOOKUP(M$1,test!$A$3:$F$32,2,FALSE))&lt;test!$K$16,$A97&lt;&gt;M$1,Recharged_Feasible_mat!N66=1),(VLOOKUP(M$1,test!$A$3:$I$32,8,FALSE))-(VLOOKUP($A97,test!$A$3:$I$32,9,FALSE))+test!$B$35,0)</f>
        <v>0</v>
      </c>
      <c r="N97">
        <f>IF(AND(SUM(VLOOKUP($A97,test!$A$3:$F$32,2,FALSE),VLOOKUP(N$1,test!$A$3:$F$32,2,FALSE))&lt;test!$K$16,$A97&lt;&gt;N$1,Recharged_Feasible_mat!O66=1),(VLOOKUP(N$1,test!$A$3:$I$32,8,FALSE))-(VLOOKUP($A97,test!$A$3:$I$32,9,FALSE))+test!$B$35,0)</f>
        <v>330</v>
      </c>
      <c r="O97">
        <f>IF(AND(SUM(VLOOKUP($A97,test!$A$3:$F$32,2,FALSE),VLOOKUP(O$1,test!$A$3:$F$32,2,FALSE))&lt;test!$K$16,$A97&lt;&gt;O$1,Recharged_Feasible_mat!P66=1),(VLOOKUP(O$1,test!$A$3:$I$32,8,FALSE))-(VLOOKUP($A97,test!$A$3:$I$32,9,FALSE))+test!$B$35,0)</f>
        <v>390</v>
      </c>
      <c r="P97">
        <f>IF(AND(SUM(VLOOKUP($A97,test!$A$3:$F$32,2,FALSE),VLOOKUP(P$1,test!$A$3:$F$32,2,FALSE))&lt;test!$K$16,$A97&lt;&gt;P$1,Recharged_Feasible_mat!Q66=1),(VLOOKUP(P$1,test!$A$3:$I$32,8,FALSE))-(VLOOKUP($A97,test!$A$3:$I$32,9,FALSE))+test!$B$35,0)</f>
        <v>0</v>
      </c>
      <c r="Q97">
        <f>IF(AND(SUM(VLOOKUP($A97,test!$A$3:$F$32,2,FALSE),VLOOKUP(Q$1,test!$A$3:$F$32,2,FALSE))&lt;test!$K$16,$A97&lt;&gt;Q$1,Recharged_Feasible_mat!R66=1),(VLOOKUP(Q$1,test!$A$3:$I$32,8,FALSE))-(VLOOKUP($A97,test!$A$3:$I$32,9,FALSE))+test!$B$35,0)</f>
        <v>0</v>
      </c>
      <c r="R97">
        <f>IF(AND(SUM(VLOOKUP($A97,test!$A$3:$F$32,2,FALSE),VLOOKUP(R$1,test!$A$3:$F$32,2,FALSE))&lt;test!$K$16,$A97&lt;&gt;R$1,Recharged_Feasible_mat!S66=1),(VLOOKUP(R$1,test!$A$3:$I$32,8,FALSE))-(VLOOKUP($A97,test!$A$3:$I$32,9,FALSE))+test!$B$35,0)</f>
        <v>0</v>
      </c>
      <c r="S97">
        <f>IF(AND(SUM(VLOOKUP($A97,test!$A$3:$F$32,2,FALSE),VLOOKUP(S$1,test!$A$3:$F$32,2,FALSE))&lt;test!$K$16,$A97&lt;&gt;S$1,Recharged_Feasible_mat!T66=1),(VLOOKUP(S$1,test!$A$3:$I$32,8,FALSE))-(VLOOKUP($A97,test!$A$3:$I$32,9,FALSE))+test!$B$35,0)</f>
        <v>0</v>
      </c>
      <c r="T97">
        <f>IF(AND(SUM(VLOOKUP($A97,test!$A$3:$F$32,2,FALSE),VLOOKUP(T$1,test!$A$3:$F$32,2,FALSE))&lt;test!$K$16,$A97&lt;&gt;T$1,Recharged_Feasible_mat!U66=1),(VLOOKUP(T$1,test!$A$3:$I$32,8,FALSE))-(VLOOKUP($A97,test!$A$3:$I$32,9,FALSE))+test!$B$35,0)</f>
        <v>0</v>
      </c>
      <c r="U97">
        <f>IF(AND(SUM(VLOOKUP($A97,test!$A$3:$F$32,2,FALSE),VLOOKUP(U$1,test!$A$3:$F$32,2,FALSE))&lt;test!$K$16,$A97&lt;&gt;U$1,Recharged_Feasible_mat!V66=1),(VLOOKUP(U$1,test!$A$3:$I$32,8,FALSE))-(VLOOKUP($A97,test!$A$3:$I$32,9,FALSE))+test!$B$35,0)</f>
        <v>0</v>
      </c>
      <c r="V97">
        <f>IF(AND(SUM(VLOOKUP($A97,test!$A$3:$F$32,2,FALSE),VLOOKUP(V$1,test!$A$3:$F$32,2,FALSE))&lt;test!$K$16,$A97&lt;&gt;V$1,Recharged_Feasible_mat!W66=1),(VLOOKUP(V$1,test!$A$3:$I$32,8,FALSE))-(VLOOKUP($A97,test!$A$3:$I$32,9,FALSE))+test!$B$35,0)</f>
        <v>165</v>
      </c>
      <c r="W97">
        <f>IF(AND(SUM(VLOOKUP($A97,test!$A$3:$F$32,2,FALSE),VLOOKUP(W$1,test!$A$3:$F$32,2,FALSE))&lt;test!$K$16,$A97&lt;&gt;W$1,Recharged_Feasible_mat!X66=1),(VLOOKUP(W$1,test!$A$3:$I$32,8,FALSE))-(VLOOKUP($A97,test!$A$3:$I$32,9,FALSE))+test!$B$35,0)</f>
        <v>255</v>
      </c>
      <c r="X97">
        <f>IF(AND(SUM(VLOOKUP($A97,test!$A$3:$F$32,2,FALSE),VLOOKUP(X$1,test!$A$3:$F$32,2,FALSE))&lt;test!$K$16,$A97&lt;&gt;X$1,Recharged_Feasible_mat!Y66=1),(VLOOKUP(X$1,test!$A$3:$I$32,8,FALSE))-(VLOOKUP($A97,test!$A$3:$I$32,9,FALSE))+test!$B$35,0)</f>
        <v>315</v>
      </c>
      <c r="Y97">
        <f>IF(AND(SUM(VLOOKUP($A97,test!$A$3:$F$32,2,FALSE),VLOOKUP(Y$1,test!$A$3:$F$32,2,FALSE))&lt;test!$K$16,$A97&lt;&gt;Y$1,Recharged_Feasible_mat!Z66=1),(VLOOKUP(Y$1,test!$A$3:$I$32,8,FALSE))-(VLOOKUP($A97,test!$A$3:$I$32,9,FALSE))+test!$B$35,0)</f>
        <v>0</v>
      </c>
      <c r="Z97">
        <f>IF(AND(SUM(VLOOKUP($A97,test!$A$3:$F$32,2,FALSE),VLOOKUP(Z$1,test!$A$3:$F$32,2,FALSE))&lt;test!$K$16,$A97&lt;&gt;Z$1,Recharged_Feasible_mat!AA66=1),(VLOOKUP(Z$1,test!$A$3:$I$32,8,FALSE))-(VLOOKUP($A97,test!$A$3:$I$32,9,FALSE))+test!$B$35,0)</f>
        <v>0</v>
      </c>
      <c r="AA97">
        <f>IF(AND(SUM(VLOOKUP($A97,test!$A$3:$F$32,2,FALSE),VLOOKUP(AA$1,test!$A$3:$F$32,2,FALSE))&lt;test!$K$16,$A97&lt;&gt;AA$1,Recharged_Feasible_mat!AB66=1),(VLOOKUP(AA$1,test!$A$3:$I$32,8,FALSE))-(VLOOKUP($A97,test!$A$3:$I$32,9,FALSE))+test!$B$35,0)</f>
        <v>0</v>
      </c>
      <c r="AB97">
        <f>IF(AND(SUM(VLOOKUP($A97,test!$A$3:$F$32,2,FALSE),VLOOKUP(AB$1,test!$A$3:$F$32,2,FALSE))&lt;test!$K$16,$A97&lt;&gt;AB$1,Recharged_Feasible_mat!AC66=1),(VLOOKUP(AB$1,test!$A$3:$I$32,8,FALSE))-(VLOOKUP($A97,test!$A$3:$I$32,9,FALSE))+test!$B$35,0)</f>
        <v>0</v>
      </c>
      <c r="AC97">
        <f>IF(AND(SUM(VLOOKUP($A97,test!$A$3:$F$32,2,FALSE),VLOOKUP(AC$1,test!$A$3:$F$32,2,FALSE))&lt;test!$K$16,$A97&lt;&gt;AC$1,Recharged_Feasible_mat!AD66=1),(VLOOKUP(AC$1,test!$A$3:$I$32,8,FALSE))-(VLOOKUP($A97,test!$A$3:$I$32,9,FALSE))+test!$B$35,0)</f>
        <v>215</v>
      </c>
      <c r="AD97">
        <f>IF(AND(SUM(VLOOKUP($A97,test!$A$3:$F$32,2,FALSE),VLOOKUP(AD$1,test!$A$3:$F$32,2,FALSE))&lt;test!$K$16,$A97&lt;&gt;AD$1,Recharged_Feasible_mat!AE66=1),(VLOOKUP(AD$1,test!$A$3:$I$32,8,FALSE))-(VLOOKUP($A97,test!$A$3:$I$32,9,FALSE))+test!$B$35,0)</f>
        <v>0</v>
      </c>
      <c r="AE97">
        <f>IF(AND(SUM(VLOOKUP($A97,test!$A$3:$F$32,2,FALSE),VLOOKUP(AE$1,test!$A$3:$F$32,2,FALSE))&lt;test!$K$16,$A97&lt;&gt;AE$1,Recharged_Feasible_mat!AF66=1),(VLOOKUP(AE$1,test!$A$3:$I$32,8,FALSE))-(VLOOKUP($A97,test!$A$3:$I$32,9,FALSE))+test!$B$35,0)</f>
        <v>0</v>
      </c>
      <c r="AF97">
        <f>IF(AND(SUM(VLOOKUP($A97,test!$A$3:$F$32,2,FALSE),VLOOKUP(AF$1,test!$A$3:$F$32,2,FALSE))&lt;test!$K$16,$A97&lt;&gt;AF$1,Recharged_Feasible_mat!AG66=1),(VLOOKUP(AF$1,test!$A$3:$I$32,8,FALSE))-(VLOOKUP($A97,test!$A$3:$I$32,9,FALSE))+test!$B$35,0)</f>
        <v>0</v>
      </c>
    </row>
    <row r="98" spans="1:32" x14ac:dyDescent="0.25">
      <c r="A98" t="s">
        <v>10</v>
      </c>
      <c r="B98">
        <v>0</v>
      </c>
      <c r="C98">
        <f>IF(AND(SUM(VLOOKUP($A98,test!$A$3:$F$32,2,FALSE),VLOOKUP(C$1,test!$A$3:$F$32,2,FALSE))&lt;test!$K$16,$A98&lt;&gt;C$1,Recharged_Feasible_mat!D67=1),(VLOOKUP(C$1,test!$A$3:$I$32,8,FALSE))-(VLOOKUP($A98,test!$A$3:$I$32,9,FALSE))+test!$B$35,0)</f>
        <v>0</v>
      </c>
      <c r="D98">
        <f>IF(AND(SUM(VLOOKUP($A98,test!$A$3:$F$32,2,FALSE),VLOOKUP(D$1,test!$A$3:$F$32,2,FALSE))&lt;test!$K$16,$A98&lt;&gt;D$1,Recharged_Feasible_mat!E67=1),(VLOOKUP(D$1,test!$A$3:$I$32,8,FALSE))-(VLOOKUP($A98,test!$A$3:$I$32,9,FALSE))+test!$B$35,0)</f>
        <v>0</v>
      </c>
      <c r="E98">
        <f>IF(AND(SUM(VLOOKUP($A98,test!$A$3:$F$32,2,FALSE),VLOOKUP(E$1,test!$A$3:$F$32,2,FALSE))&lt;test!$K$16,$A98&lt;&gt;E$1,Recharged_Feasible_mat!F67=1),(VLOOKUP(E$1,test!$A$3:$I$32,8,FALSE))-(VLOOKUP($A98,test!$A$3:$I$32,9,FALSE))+test!$B$35,0)</f>
        <v>0</v>
      </c>
      <c r="F98">
        <f>IF(AND(SUM(VLOOKUP($A98,test!$A$3:$F$32,2,FALSE),VLOOKUP(F$1,test!$A$3:$F$32,2,FALSE))&lt;test!$K$16,$A98&lt;&gt;F$1,Recharged_Feasible_mat!G67=1),(VLOOKUP(F$1,test!$A$3:$I$32,8,FALSE))-(VLOOKUP($A98,test!$A$3:$I$32,9,FALSE))+test!$B$35,0)</f>
        <v>0</v>
      </c>
      <c r="G98">
        <f>IF(AND(SUM(VLOOKUP($A98,test!$A$3:$F$32,2,FALSE),VLOOKUP(G$1,test!$A$3:$F$32,2,FALSE))&lt;test!$K$16,$A98&lt;&gt;G$1,Recharged_Feasible_mat!H67=1),(VLOOKUP(G$1,test!$A$3:$I$32,8,FALSE))-(VLOOKUP($A98,test!$A$3:$I$32,9,FALSE))+test!$B$35,0)</f>
        <v>0</v>
      </c>
      <c r="H98">
        <f>IF(AND(SUM(VLOOKUP($A98,test!$A$3:$F$32,2,FALSE),VLOOKUP(H$1,test!$A$3:$F$32,2,FALSE))&lt;test!$K$16,$A98&lt;&gt;H$1,Recharged_Feasible_mat!I67=1),(VLOOKUP(H$1,test!$A$3:$I$32,8,FALSE))-(VLOOKUP($A98,test!$A$3:$I$32,9,FALSE))+test!$B$35,0)</f>
        <v>125</v>
      </c>
      <c r="I98">
        <f>IF(AND(SUM(VLOOKUP($A98,test!$A$3:$F$32,2,FALSE),VLOOKUP(I$1,test!$A$3:$F$32,2,FALSE))&lt;test!$K$16,$A98&lt;&gt;I$1,Recharged_Feasible_mat!J67=1),(VLOOKUP(I$1,test!$A$3:$I$32,8,FALSE))-(VLOOKUP($A98,test!$A$3:$I$32,9,FALSE))+test!$B$35,0)</f>
        <v>185</v>
      </c>
      <c r="J98">
        <f>IF(AND(SUM(VLOOKUP($A98,test!$A$3:$F$32,2,FALSE),VLOOKUP(J$1,test!$A$3:$F$32,2,FALSE))&lt;test!$K$16,$A98&lt;&gt;J$1,Recharged_Feasible_mat!K67=1),(VLOOKUP(J$1,test!$A$3:$I$32,8,FALSE))-(VLOOKUP($A98,test!$A$3:$I$32,9,FALSE))+test!$B$35,0)</f>
        <v>275</v>
      </c>
      <c r="K98">
        <f>IF(AND(SUM(VLOOKUP($A98,test!$A$3:$F$32,2,FALSE),VLOOKUP(K$1,test!$A$3:$F$32,2,FALSE))&lt;test!$K$16,$A98&lt;&gt;K$1,Recharged_Feasible_mat!L67=1),(VLOOKUP(K$1,test!$A$3:$I$32,8,FALSE))-(VLOOKUP($A98,test!$A$3:$I$32,9,FALSE))+test!$B$35,0)</f>
        <v>0</v>
      </c>
      <c r="L98">
        <f>IF(AND(SUM(VLOOKUP($A98,test!$A$3:$F$32,2,FALSE),VLOOKUP(L$1,test!$A$3:$F$32,2,FALSE))&lt;test!$K$16,$A98&lt;&gt;L$1,Recharged_Feasible_mat!M67=1),(VLOOKUP(L$1,test!$A$3:$I$32,8,FALSE))-(VLOOKUP($A98,test!$A$3:$I$32,9,FALSE))+test!$B$35,0)</f>
        <v>0</v>
      </c>
      <c r="M98">
        <f>IF(AND(SUM(VLOOKUP($A98,test!$A$3:$F$32,2,FALSE),VLOOKUP(M$1,test!$A$3:$F$32,2,FALSE))&lt;test!$K$16,$A98&lt;&gt;M$1,Recharged_Feasible_mat!N67=1),(VLOOKUP(M$1,test!$A$3:$I$32,8,FALSE))-(VLOOKUP($A98,test!$A$3:$I$32,9,FALSE))+test!$B$35,0)</f>
        <v>0</v>
      </c>
      <c r="N98">
        <f>IF(AND(SUM(VLOOKUP($A98,test!$A$3:$F$32,2,FALSE),VLOOKUP(N$1,test!$A$3:$F$32,2,FALSE))&lt;test!$K$16,$A98&lt;&gt;N$1,Recharged_Feasible_mat!O67=1),(VLOOKUP(N$1,test!$A$3:$I$32,8,FALSE))-(VLOOKUP($A98,test!$A$3:$I$32,9,FALSE))+test!$B$35,0)</f>
        <v>240</v>
      </c>
      <c r="O98">
        <f>IF(AND(SUM(VLOOKUP($A98,test!$A$3:$F$32,2,FALSE),VLOOKUP(O$1,test!$A$3:$F$32,2,FALSE))&lt;test!$K$16,$A98&lt;&gt;O$1,Recharged_Feasible_mat!P67=1),(VLOOKUP(O$1,test!$A$3:$I$32,8,FALSE))-(VLOOKUP($A98,test!$A$3:$I$32,9,FALSE))+test!$B$35,0)</f>
        <v>300</v>
      </c>
      <c r="P98">
        <f>IF(AND(SUM(VLOOKUP($A98,test!$A$3:$F$32,2,FALSE),VLOOKUP(P$1,test!$A$3:$F$32,2,FALSE))&lt;test!$K$16,$A98&lt;&gt;P$1,Recharged_Feasible_mat!Q67=1),(VLOOKUP(P$1,test!$A$3:$I$32,8,FALSE))-(VLOOKUP($A98,test!$A$3:$I$32,9,FALSE))+test!$B$35,0)</f>
        <v>0</v>
      </c>
      <c r="Q98">
        <f>IF(AND(SUM(VLOOKUP($A98,test!$A$3:$F$32,2,FALSE),VLOOKUP(Q$1,test!$A$3:$F$32,2,FALSE))&lt;test!$K$16,$A98&lt;&gt;Q$1,Recharged_Feasible_mat!R67=1),(VLOOKUP(Q$1,test!$A$3:$I$32,8,FALSE))-(VLOOKUP($A98,test!$A$3:$I$32,9,FALSE))+test!$B$35,0)</f>
        <v>0</v>
      </c>
      <c r="R98">
        <f>IF(AND(SUM(VLOOKUP($A98,test!$A$3:$F$32,2,FALSE),VLOOKUP(R$1,test!$A$3:$F$32,2,FALSE))&lt;test!$K$16,$A98&lt;&gt;R$1,Recharged_Feasible_mat!S67=1),(VLOOKUP(R$1,test!$A$3:$I$32,8,FALSE))-(VLOOKUP($A98,test!$A$3:$I$32,9,FALSE))+test!$B$35,0)</f>
        <v>0</v>
      </c>
      <c r="S98">
        <f>IF(AND(SUM(VLOOKUP($A98,test!$A$3:$F$32,2,FALSE),VLOOKUP(S$1,test!$A$3:$F$32,2,FALSE))&lt;test!$K$16,$A98&lt;&gt;S$1,Recharged_Feasible_mat!T67=1),(VLOOKUP(S$1,test!$A$3:$I$32,8,FALSE))-(VLOOKUP($A98,test!$A$3:$I$32,9,FALSE))+test!$B$35,0)</f>
        <v>0</v>
      </c>
      <c r="T98">
        <f>IF(AND(SUM(VLOOKUP($A98,test!$A$3:$F$32,2,FALSE),VLOOKUP(T$1,test!$A$3:$F$32,2,FALSE))&lt;test!$K$16,$A98&lt;&gt;T$1,Recharged_Feasible_mat!U67=1),(VLOOKUP(T$1,test!$A$3:$I$32,8,FALSE))-(VLOOKUP($A98,test!$A$3:$I$32,9,FALSE))+test!$B$35,0)</f>
        <v>0</v>
      </c>
      <c r="U98">
        <f>IF(AND(SUM(VLOOKUP($A98,test!$A$3:$F$32,2,FALSE),VLOOKUP(U$1,test!$A$3:$F$32,2,FALSE))&lt;test!$K$16,$A98&lt;&gt;U$1,Recharged_Feasible_mat!V67=1),(VLOOKUP(U$1,test!$A$3:$I$32,8,FALSE))-(VLOOKUP($A98,test!$A$3:$I$32,9,FALSE))+test!$B$35,0)</f>
        <v>0</v>
      </c>
      <c r="V98">
        <f>IF(AND(SUM(VLOOKUP($A98,test!$A$3:$F$32,2,FALSE),VLOOKUP(V$1,test!$A$3:$F$32,2,FALSE))&lt;test!$K$16,$A98&lt;&gt;V$1,Recharged_Feasible_mat!W67=1),(VLOOKUP(V$1,test!$A$3:$I$32,8,FALSE))-(VLOOKUP($A98,test!$A$3:$I$32,9,FALSE))+test!$B$35,0)</f>
        <v>0</v>
      </c>
      <c r="W98">
        <f>IF(AND(SUM(VLOOKUP($A98,test!$A$3:$F$32,2,FALSE),VLOOKUP(W$1,test!$A$3:$F$32,2,FALSE))&lt;test!$K$16,$A98&lt;&gt;W$1,Recharged_Feasible_mat!X67=1),(VLOOKUP(W$1,test!$A$3:$I$32,8,FALSE))-(VLOOKUP($A98,test!$A$3:$I$32,9,FALSE))+test!$B$35,0)</f>
        <v>165</v>
      </c>
      <c r="X98">
        <f>IF(AND(SUM(VLOOKUP($A98,test!$A$3:$F$32,2,FALSE),VLOOKUP(X$1,test!$A$3:$F$32,2,FALSE))&lt;test!$K$16,$A98&lt;&gt;X$1,Recharged_Feasible_mat!Y67=1),(VLOOKUP(X$1,test!$A$3:$I$32,8,FALSE))-(VLOOKUP($A98,test!$A$3:$I$32,9,FALSE))+test!$B$35,0)</f>
        <v>225</v>
      </c>
      <c r="Y98">
        <f>IF(AND(SUM(VLOOKUP($A98,test!$A$3:$F$32,2,FALSE),VLOOKUP(Y$1,test!$A$3:$F$32,2,FALSE))&lt;test!$K$16,$A98&lt;&gt;Y$1,Recharged_Feasible_mat!Z67=1),(VLOOKUP(Y$1,test!$A$3:$I$32,8,FALSE))-(VLOOKUP($A98,test!$A$3:$I$32,9,FALSE))+test!$B$35,0)</f>
        <v>0</v>
      </c>
      <c r="Z98">
        <f>IF(AND(SUM(VLOOKUP($A98,test!$A$3:$F$32,2,FALSE),VLOOKUP(Z$1,test!$A$3:$F$32,2,FALSE))&lt;test!$K$16,$A98&lt;&gt;Z$1,Recharged_Feasible_mat!AA67=1),(VLOOKUP(Z$1,test!$A$3:$I$32,8,FALSE))-(VLOOKUP($A98,test!$A$3:$I$32,9,FALSE))+test!$B$35,0)</f>
        <v>0</v>
      </c>
      <c r="AA98">
        <f>IF(AND(SUM(VLOOKUP($A98,test!$A$3:$F$32,2,FALSE),VLOOKUP(AA$1,test!$A$3:$F$32,2,FALSE))&lt;test!$K$16,$A98&lt;&gt;AA$1,Recharged_Feasible_mat!AB67=1),(VLOOKUP(AA$1,test!$A$3:$I$32,8,FALSE))-(VLOOKUP($A98,test!$A$3:$I$32,9,FALSE))+test!$B$35,0)</f>
        <v>0</v>
      </c>
      <c r="AB98">
        <f>IF(AND(SUM(VLOOKUP($A98,test!$A$3:$F$32,2,FALSE),VLOOKUP(AB$1,test!$A$3:$F$32,2,FALSE))&lt;test!$K$16,$A98&lt;&gt;AB$1,Recharged_Feasible_mat!AC67=1),(VLOOKUP(AB$1,test!$A$3:$I$32,8,FALSE))-(VLOOKUP($A98,test!$A$3:$I$32,9,FALSE))+test!$B$35,0)</f>
        <v>0</v>
      </c>
      <c r="AC98">
        <f>IF(AND(SUM(VLOOKUP($A98,test!$A$3:$F$32,2,FALSE),VLOOKUP(AC$1,test!$A$3:$F$32,2,FALSE))&lt;test!$K$16,$A98&lt;&gt;AC$1,Recharged_Feasible_mat!AD67=1),(VLOOKUP(AC$1,test!$A$3:$I$32,8,FALSE))-(VLOOKUP($A98,test!$A$3:$I$32,9,FALSE))+test!$B$35,0)</f>
        <v>125</v>
      </c>
      <c r="AD98">
        <f>IF(AND(SUM(VLOOKUP($A98,test!$A$3:$F$32,2,FALSE),VLOOKUP(AD$1,test!$A$3:$F$32,2,FALSE))&lt;test!$K$16,$A98&lt;&gt;AD$1,Recharged_Feasible_mat!AE67=1),(VLOOKUP(AD$1,test!$A$3:$I$32,8,FALSE))-(VLOOKUP($A98,test!$A$3:$I$32,9,FALSE))+test!$B$35,0)</f>
        <v>0</v>
      </c>
      <c r="AE98">
        <f>IF(AND(SUM(VLOOKUP($A98,test!$A$3:$F$32,2,FALSE),VLOOKUP(AE$1,test!$A$3:$F$32,2,FALSE))&lt;test!$K$16,$A98&lt;&gt;AE$1,Recharged_Feasible_mat!AF67=1),(VLOOKUP(AE$1,test!$A$3:$I$32,8,FALSE))-(VLOOKUP($A98,test!$A$3:$I$32,9,FALSE))+test!$B$35,0)</f>
        <v>0</v>
      </c>
      <c r="AF98">
        <f>IF(AND(SUM(VLOOKUP($A98,test!$A$3:$F$32,2,FALSE),VLOOKUP(AF$1,test!$A$3:$F$32,2,FALSE))&lt;test!$K$16,$A98&lt;&gt;AF$1,Recharged_Feasible_mat!AG67=1),(VLOOKUP(AF$1,test!$A$3:$I$32,8,FALSE))-(VLOOKUP($A98,test!$A$3:$I$32,9,FALSE))+test!$B$35,0)</f>
        <v>0</v>
      </c>
    </row>
    <row r="99" spans="1:32" x14ac:dyDescent="0.25">
      <c r="A99" t="s">
        <v>11</v>
      </c>
      <c r="B99">
        <v>0</v>
      </c>
      <c r="C99">
        <f>IF(AND(SUM(VLOOKUP($A99,test!$A$3:$F$32,2,FALSE),VLOOKUP(C$1,test!$A$3:$F$32,2,FALSE))&lt;test!$K$16,$A99&lt;&gt;C$1,Recharged_Feasible_mat!D68=1),(VLOOKUP(C$1,test!$A$3:$I$32,8,FALSE))-(VLOOKUP($A99,test!$A$3:$I$32,9,FALSE))+test!$B$35,0)</f>
        <v>0</v>
      </c>
      <c r="D99">
        <f>IF(AND(SUM(VLOOKUP($A99,test!$A$3:$F$32,2,FALSE),VLOOKUP(D$1,test!$A$3:$F$32,2,FALSE))&lt;test!$K$16,$A99&lt;&gt;D$1,Recharged_Feasible_mat!E68=1),(VLOOKUP(D$1,test!$A$3:$I$32,8,FALSE))-(VLOOKUP($A99,test!$A$3:$I$32,9,FALSE))+test!$B$35,0)</f>
        <v>0</v>
      </c>
      <c r="E99">
        <f>IF(AND(SUM(VLOOKUP($A99,test!$A$3:$F$32,2,FALSE),VLOOKUP(E$1,test!$A$3:$F$32,2,FALSE))&lt;test!$K$16,$A99&lt;&gt;E$1,Recharged_Feasible_mat!F68=1),(VLOOKUP(E$1,test!$A$3:$I$32,8,FALSE))-(VLOOKUP($A99,test!$A$3:$I$32,9,FALSE))+test!$B$35,0)</f>
        <v>0</v>
      </c>
      <c r="F99">
        <f>IF(AND(SUM(VLOOKUP($A99,test!$A$3:$F$32,2,FALSE),VLOOKUP(F$1,test!$A$3:$F$32,2,FALSE))&lt;test!$K$16,$A99&lt;&gt;F$1,Recharged_Feasible_mat!G68=1),(VLOOKUP(F$1,test!$A$3:$I$32,8,FALSE))-(VLOOKUP($A99,test!$A$3:$I$32,9,FALSE))+test!$B$35,0)</f>
        <v>0</v>
      </c>
      <c r="G99">
        <f>IF(AND(SUM(VLOOKUP($A99,test!$A$3:$F$32,2,FALSE),VLOOKUP(G$1,test!$A$3:$F$32,2,FALSE))&lt;test!$K$16,$A99&lt;&gt;G$1,Recharged_Feasible_mat!H68=1),(VLOOKUP(G$1,test!$A$3:$I$32,8,FALSE))-(VLOOKUP($A99,test!$A$3:$I$32,9,FALSE))+test!$B$35,0)</f>
        <v>0</v>
      </c>
      <c r="H99">
        <f>IF(AND(SUM(VLOOKUP($A99,test!$A$3:$F$32,2,FALSE),VLOOKUP(H$1,test!$A$3:$F$32,2,FALSE))&lt;test!$K$16,$A99&lt;&gt;H$1,Recharged_Feasible_mat!I68=1),(VLOOKUP(H$1,test!$A$3:$I$32,8,FALSE))-(VLOOKUP($A99,test!$A$3:$I$32,9,FALSE))+test!$B$35,0)</f>
        <v>0</v>
      </c>
      <c r="I99">
        <f>IF(AND(SUM(VLOOKUP($A99,test!$A$3:$F$32,2,FALSE),VLOOKUP(I$1,test!$A$3:$F$32,2,FALSE))&lt;test!$K$16,$A99&lt;&gt;I$1,Recharged_Feasible_mat!J68=1),(VLOOKUP(I$1,test!$A$3:$I$32,8,FALSE))-(VLOOKUP($A99,test!$A$3:$I$32,9,FALSE))+test!$B$35,0)</f>
        <v>0</v>
      </c>
      <c r="J99">
        <f>IF(AND(SUM(VLOOKUP($A99,test!$A$3:$F$32,2,FALSE),VLOOKUP(J$1,test!$A$3:$F$32,2,FALSE))&lt;test!$K$16,$A99&lt;&gt;J$1,Recharged_Feasible_mat!K68=1),(VLOOKUP(J$1,test!$A$3:$I$32,8,FALSE))-(VLOOKUP($A99,test!$A$3:$I$32,9,FALSE))+test!$B$35,0)</f>
        <v>185</v>
      </c>
      <c r="K99">
        <f>IF(AND(SUM(VLOOKUP($A99,test!$A$3:$F$32,2,FALSE),VLOOKUP(K$1,test!$A$3:$F$32,2,FALSE))&lt;test!$K$16,$A99&lt;&gt;K$1,Recharged_Feasible_mat!L68=1),(VLOOKUP(K$1,test!$A$3:$I$32,8,FALSE))-(VLOOKUP($A99,test!$A$3:$I$32,9,FALSE))+test!$B$35,0)</f>
        <v>0</v>
      </c>
      <c r="L99">
        <f>IF(AND(SUM(VLOOKUP($A99,test!$A$3:$F$32,2,FALSE),VLOOKUP(L$1,test!$A$3:$F$32,2,FALSE))&lt;test!$K$16,$A99&lt;&gt;L$1,Recharged_Feasible_mat!M68=1),(VLOOKUP(L$1,test!$A$3:$I$32,8,FALSE))-(VLOOKUP($A99,test!$A$3:$I$32,9,FALSE))+test!$B$35,0)</f>
        <v>0</v>
      </c>
      <c r="M99">
        <f>IF(AND(SUM(VLOOKUP($A99,test!$A$3:$F$32,2,FALSE),VLOOKUP(M$1,test!$A$3:$F$32,2,FALSE))&lt;test!$K$16,$A99&lt;&gt;M$1,Recharged_Feasible_mat!N68=1),(VLOOKUP(M$1,test!$A$3:$I$32,8,FALSE))-(VLOOKUP($A99,test!$A$3:$I$32,9,FALSE))+test!$B$35,0)</f>
        <v>0</v>
      </c>
      <c r="N99">
        <f>IF(AND(SUM(VLOOKUP($A99,test!$A$3:$F$32,2,FALSE),VLOOKUP(N$1,test!$A$3:$F$32,2,FALSE))&lt;test!$K$16,$A99&lt;&gt;N$1,Recharged_Feasible_mat!O68=1),(VLOOKUP(N$1,test!$A$3:$I$32,8,FALSE))-(VLOOKUP($A99,test!$A$3:$I$32,9,FALSE))+test!$B$35,0)</f>
        <v>150</v>
      </c>
      <c r="O99">
        <f>IF(AND(SUM(VLOOKUP($A99,test!$A$3:$F$32,2,FALSE),VLOOKUP(O$1,test!$A$3:$F$32,2,FALSE))&lt;test!$K$16,$A99&lt;&gt;O$1,Recharged_Feasible_mat!P68=1),(VLOOKUP(O$1,test!$A$3:$I$32,8,FALSE))-(VLOOKUP($A99,test!$A$3:$I$32,9,FALSE))+test!$B$35,0)</f>
        <v>210</v>
      </c>
      <c r="P99">
        <f>IF(AND(SUM(VLOOKUP($A99,test!$A$3:$F$32,2,FALSE),VLOOKUP(P$1,test!$A$3:$F$32,2,FALSE))&lt;test!$K$16,$A99&lt;&gt;P$1,Recharged_Feasible_mat!Q68=1),(VLOOKUP(P$1,test!$A$3:$I$32,8,FALSE))-(VLOOKUP($A99,test!$A$3:$I$32,9,FALSE))+test!$B$35,0)</f>
        <v>0</v>
      </c>
      <c r="Q99">
        <f>IF(AND(SUM(VLOOKUP($A99,test!$A$3:$F$32,2,FALSE),VLOOKUP(Q$1,test!$A$3:$F$32,2,FALSE))&lt;test!$K$16,$A99&lt;&gt;Q$1,Recharged_Feasible_mat!R68=1),(VLOOKUP(Q$1,test!$A$3:$I$32,8,FALSE))-(VLOOKUP($A99,test!$A$3:$I$32,9,FALSE))+test!$B$35,0)</f>
        <v>0</v>
      </c>
      <c r="R99">
        <f>IF(AND(SUM(VLOOKUP($A99,test!$A$3:$F$32,2,FALSE),VLOOKUP(R$1,test!$A$3:$F$32,2,FALSE))&lt;test!$K$16,$A99&lt;&gt;R$1,Recharged_Feasible_mat!S68=1),(VLOOKUP(R$1,test!$A$3:$I$32,8,FALSE))-(VLOOKUP($A99,test!$A$3:$I$32,9,FALSE))+test!$B$35,0)</f>
        <v>0</v>
      </c>
      <c r="S99">
        <f>IF(AND(SUM(VLOOKUP($A99,test!$A$3:$F$32,2,FALSE),VLOOKUP(S$1,test!$A$3:$F$32,2,FALSE))&lt;test!$K$16,$A99&lt;&gt;S$1,Recharged_Feasible_mat!T68=1),(VLOOKUP(S$1,test!$A$3:$I$32,8,FALSE))-(VLOOKUP($A99,test!$A$3:$I$32,9,FALSE))+test!$B$35,0)</f>
        <v>0</v>
      </c>
      <c r="T99">
        <f>IF(AND(SUM(VLOOKUP($A99,test!$A$3:$F$32,2,FALSE),VLOOKUP(T$1,test!$A$3:$F$32,2,FALSE))&lt;test!$K$16,$A99&lt;&gt;T$1,Recharged_Feasible_mat!U68=1),(VLOOKUP(T$1,test!$A$3:$I$32,8,FALSE))-(VLOOKUP($A99,test!$A$3:$I$32,9,FALSE))+test!$B$35,0)</f>
        <v>0</v>
      </c>
      <c r="U99">
        <f>IF(AND(SUM(VLOOKUP($A99,test!$A$3:$F$32,2,FALSE),VLOOKUP(U$1,test!$A$3:$F$32,2,FALSE))&lt;test!$K$16,$A99&lt;&gt;U$1,Recharged_Feasible_mat!V68=1),(VLOOKUP(U$1,test!$A$3:$I$32,8,FALSE))-(VLOOKUP($A99,test!$A$3:$I$32,9,FALSE))+test!$B$35,0)</f>
        <v>0</v>
      </c>
      <c r="V99">
        <f>IF(AND(SUM(VLOOKUP($A99,test!$A$3:$F$32,2,FALSE),VLOOKUP(V$1,test!$A$3:$F$32,2,FALSE))&lt;test!$K$16,$A99&lt;&gt;V$1,Recharged_Feasible_mat!W68=1),(VLOOKUP(V$1,test!$A$3:$I$32,8,FALSE))-(VLOOKUP($A99,test!$A$3:$I$32,9,FALSE))+test!$B$35,0)</f>
        <v>0</v>
      </c>
      <c r="W99">
        <f>IF(AND(SUM(VLOOKUP($A99,test!$A$3:$F$32,2,FALSE),VLOOKUP(W$1,test!$A$3:$F$32,2,FALSE))&lt;test!$K$16,$A99&lt;&gt;W$1,Recharged_Feasible_mat!X68=1),(VLOOKUP(W$1,test!$A$3:$I$32,8,FALSE))-(VLOOKUP($A99,test!$A$3:$I$32,9,FALSE))+test!$B$35,0)</f>
        <v>0</v>
      </c>
      <c r="X99">
        <f>IF(AND(SUM(VLOOKUP($A99,test!$A$3:$F$32,2,FALSE),VLOOKUP(X$1,test!$A$3:$F$32,2,FALSE))&lt;test!$K$16,$A99&lt;&gt;X$1,Recharged_Feasible_mat!Y68=1),(VLOOKUP(X$1,test!$A$3:$I$32,8,FALSE))-(VLOOKUP($A99,test!$A$3:$I$32,9,FALSE))+test!$B$35,0)</f>
        <v>135</v>
      </c>
      <c r="Y99">
        <f>IF(AND(SUM(VLOOKUP($A99,test!$A$3:$F$32,2,FALSE),VLOOKUP(Y$1,test!$A$3:$F$32,2,FALSE))&lt;test!$K$16,$A99&lt;&gt;Y$1,Recharged_Feasible_mat!Z68=1),(VLOOKUP(Y$1,test!$A$3:$I$32,8,FALSE))-(VLOOKUP($A99,test!$A$3:$I$32,9,FALSE))+test!$B$35,0)</f>
        <v>0</v>
      </c>
      <c r="Z99">
        <f>IF(AND(SUM(VLOOKUP($A99,test!$A$3:$F$32,2,FALSE),VLOOKUP(Z$1,test!$A$3:$F$32,2,FALSE))&lt;test!$K$16,$A99&lt;&gt;Z$1,Recharged_Feasible_mat!AA68=1),(VLOOKUP(Z$1,test!$A$3:$I$32,8,FALSE))-(VLOOKUP($A99,test!$A$3:$I$32,9,FALSE))+test!$B$35,0)</f>
        <v>0</v>
      </c>
      <c r="AA99">
        <f>IF(AND(SUM(VLOOKUP($A99,test!$A$3:$F$32,2,FALSE),VLOOKUP(AA$1,test!$A$3:$F$32,2,FALSE))&lt;test!$K$16,$A99&lt;&gt;AA$1,Recharged_Feasible_mat!AB68=1),(VLOOKUP(AA$1,test!$A$3:$I$32,8,FALSE))-(VLOOKUP($A99,test!$A$3:$I$32,9,FALSE))+test!$B$35,0)</f>
        <v>0</v>
      </c>
      <c r="AB99">
        <f>IF(AND(SUM(VLOOKUP($A99,test!$A$3:$F$32,2,FALSE),VLOOKUP(AB$1,test!$A$3:$F$32,2,FALSE))&lt;test!$K$16,$A99&lt;&gt;AB$1,Recharged_Feasible_mat!AC68=1),(VLOOKUP(AB$1,test!$A$3:$I$32,8,FALSE))-(VLOOKUP($A99,test!$A$3:$I$32,9,FALSE))+test!$B$35,0)</f>
        <v>0</v>
      </c>
      <c r="AC99">
        <f>IF(AND(SUM(VLOOKUP($A99,test!$A$3:$F$32,2,FALSE),VLOOKUP(AC$1,test!$A$3:$F$32,2,FALSE))&lt;test!$K$16,$A99&lt;&gt;AC$1,Recharged_Feasible_mat!AD68=1),(VLOOKUP(AC$1,test!$A$3:$I$32,8,FALSE))-(VLOOKUP($A99,test!$A$3:$I$32,9,FALSE))+test!$B$35,0)</f>
        <v>0</v>
      </c>
      <c r="AD99">
        <f>IF(AND(SUM(VLOOKUP($A99,test!$A$3:$F$32,2,FALSE),VLOOKUP(AD$1,test!$A$3:$F$32,2,FALSE))&lt;test!$K$16,$A99&lt;&gt;AD$1,Recharged_Feasible_mat!AE68=1),(VLOOKUP(AD$1,test!$A$3:$I$32,8,FALSE))-(VLOOKUP($A99,test!$A$3:$I$32,9,FALSE))+test!$B$35,0)</f>
        <v>0</v>
      </c>
      <c r="AE99">
        <f>IF(AND(SUM(VLOOKUP($A99,test!$A$3:$F$32,2,FALSE),VLOOKUP(AE$1,test!$A$3:$F$32,2,FALSE))&lt;test!$K$16,$A99&lt;&gt;AE$1,Recharged_Feasible_mat!AF68=1),(VLOOKUP(AE$1,test!$A$3:$I$32,8,FALSE))-(VLOOKUP($A99,test!$A$3:$I$32,9,FALSE))+test!$B$35,0)</f>
        <v>0</v>
      </c>
      <c r="AF99">
        <f>IF(AND(SUM(VLOOKUP($A99,test!$A$3:$F$32,2,FALSE),VLOOKUP(AF$1,test!$A$3:$F$32,2,FALSE))&lt;test!$K$16,$A99&lt;&gt;AF$1,Recharged_Feasible_mat!AG68=1),(VLOOKUP(AF$1,test!$A$3:$I$32,8,FALSE))-(VLOOKUP($A99,test!$A$3:$I$32,9,FALSE))+test!$B$35,0)</f>
        <v>0</v>
      </c>
    </row>
    <row r="100" spans="1:32" x14ac:dyDescent="0.25">
      <c r="A100" t="s">
        <v>12</v>
      </c>
      <c r="B100">
        <v>0</v>
      </c>
      <c r="C100">
        <f>IF(AND(SUM(VLOOKUP($A100,test!$A$3:$F$32,2,FALSE),VLOOKUP(C$1,test!$A$3:$F$32,2,FALSE))&lt;test!$K$16,$A100&lt;&gt;C$1,Recharged_Feasible_mat!D69=1),(VLOOKUP(C$1,test!$A$3:$I$32,8,FALSE))-(VLOOKUP($A100,test!$A$3:$I$32,9,FALSE))+test!$B$35,0)</f>
        <v>0</v>
      </c>
      <c r="D100">
        <f>IF(AND(SUM(VLOOKUP($A100,test!$A$3:$F$32,2,FALSE),VLOOKUP(D$1,test!$A$3:$F$32,2,FALSE))&lt;test!$K$16,$A100&lt;&gt;D$1,Recharged_Feasible_mat!E69=1),(VLOOKUP(D$1,test!$A$3:$I$32,8,FALSE))-(VLOOKUP($A100,test!$A$3:$I$32,9,FALSE))+test!$B$35,0)</f>
        <v>0</v>
      </c>
      <c r="E100">
        <f>IF(AND(SUM(VLOOKUP($A100,test!$A$3:$F$32,2,FALSE),VLOOKUP(E$1,test!$A$3:$F$32,2,FALSE))&lt;test!$K$16,$A100&lt;&gt;E$1,Recharged_Feasible_mat!F69=1),(VLOOKUP(E$1,test!$A$3:$I$32,8,FALSE))-(VLOOKUP($A100,test!$A$3:$I$32,9,FALSE))+test!$B$35,0)</f>
        <v>0</v>
      </c>
      <c r="F100">
        <f>IF(AND(SUM(VLOOKUP($A100,test!$A$3:$F$32,2,FALSE),VLOOKUP(F$1,test!$A$3:$F$32,2,FALSE))&lt;test!$K$16,$A100&lt;&gt;F$1,Recharged_Feasible_mat!G69=1),(VLOOKUP(F$1,test!$A$3:$I$32,8,FALSE))-(VLOOKUP($A100,test!$A$3:$I$32,9,FALSE))+test!$B$35,0)</f>
        <v>0</v>
      </c>
      <c r="G100">
        <f>IF(AND(SUM(VLOOKUP($A100,test!$A$3:$F$32,2,FALSE),VLOOKUP(G$1,test!$A$3:$F$32,2,FALSE))&lt;test!$K$16,$A100&lt;&gt;G$1,Recharged_Feasible_mat!H69=1),(VLOOKUP(G$1,test!$A$3:$I$32,8,FALSE))-(VLOOKUP($A100,test!$A$3:$I$32,9,FALSE))+test!$B$35,0)</f>
        <v>0</v>
      </c>
      <c r="H100">
        <f>IF(AND(SUM(VLOOKUP($A100,test!$A$3:$F$32,2,FALSE),VLOOKUP(H$1,test!$A$3:$F$32,2,FALSE))&lt;test!$K$16,$A100&lt;&gt;H$1,Recharged_Feasible_mat!I69=1),(VLOOKUP(H$1,test!$A$3:$I$32,8,FALSE))-(VLOOKUP($A100,test!$A$3:$I$32,9,FALSE))+test!$B$35,0)</f>
        <v>0</v>
      </c>
      <c r="I100">
        <f>IF(AND(SUM(VLOOKUP($A100,test!$A$3:$F$32,2,FALSE),VLOOKUP(I$1,test!$A$3:$F$32,2,FALSE))&lt;test!$K$16,$A100&lt;&gt;I$1,Recharged_Feasible_mat!J69=1),(VLOOKUP(I$1,test!$A$3:$I$32,8,FALSE))-(VLOOKUP($A100,test!$A$3:$I$32,9,FALSE))+test!$B$35,0)</f>
        <v>0</v>
      </c>
      <c r="J100">
        <f>IF(AND(SUM(VLOOKUP($A100,test!$A$3:$F$32,2,FALSE),VLOOKUP(J$1,test!$A$3:$F$32,2,FALSE))&lt;test!$K$16,$A100&lt;&gt;J$1,Recharged_Feasible_mat!K69=1),(VLOOKUP(J$1,test!$A$3:$I$32,8,FALSE))-(VLOOKUP($A100,test!$A$3:$I$32,9,FALSE))+test!$B$35,0)</f>
        <v>125</v>
      </c>
      <c r="K100">
        <f>IF(AND(SUM(VLOOKUP($A100,test!$A$3:$F$32,2,FALSE),VLOOKUP(K$1,test!$A$3:$F$32,2,FALSE))&lt;test!$K$16,$A100&lt;&gt;K$1,Recharged_Feasible_mat!L69=1),(VLOOKUP(K$1,test!$A$3:$I$32,8,FALSE))-(VLOOKUP($A100,test!$A$3:$I$32,9,FALSE))+test!$B$35,0)</f>
        <v>0</v>
      </c>
      <c r="L100">
        <f>IF(AND(SUM(VLOOKUP($A100,test!$A$3:$F$32,2,FALSE),VLOOKUP(L$1,test!$A$3:$F$32,2,FALSE))&lt;test!$K$16,$A100&lt;&gt;L$1,Recharged_Feasible_mat!M69=1),(VLOOKUP(L$1,test!$A$3:$I$32,8,FALSE))-(VLOOKUP($A100,test!$A$3:$I$32,9,FALSE))+test!$B$35,0)</f>
        <v>0</v>
      </c>
      <c r="M100">
        <f>IF(AND(SUM(VLOOKUP($A100,test!$A$3:$F$32,2,FALSE),VLOOKUP(M$1,test!$A$3:$F$32,2,FALSE))&lt;test!$K$16,$A100&lt;&gt;M$1,Recharged_Feasible_mat!N69=1),(VLOOKUP(M$1,test!$A$3:$I$32,8,FALSE))-(VLOOKUP($A100,test!$A$3:$I$32,9,FALSE))+test!$B$35,0)</f>
        <v>0</v>
      </c>
      <c r="N100">
        <f>IF(AND(SUM(VLOOKUP($A100,test!$A$3:$F$32,2,FALSE),VLOOKUP(N$1,test!$A$3:$F$32,2,FALSE))&lt;test!$K$16,$A100&lt;&gt;N$1,Recharged_Feasible_mat!O69=1),(VLOOKUP(N$1,test!$A$3:$I$32,8,FALSE))-(VLOOKUP($A100,test!$A$3:$I$32,9,FALSE))+test!$B$35,0)</f>
        <v>0</v>
      </c>
      <c r="O100">
        <f>IF(AND(SUM(VLOOKUP($A100,test!$A$3:$F$32,2,FALSE),VLOOKUP(O$1,test!$A$3:$F$32,2,FALSE))&lt;test!$K$16,$A100&lt;&gt;O$1,Recharged_Feasible_mat!P69=1),(VLOOKUP(O$1,test!$A$3:$I$32,8,FALSE))-(VLOOKUP($A100,test!$A$3:$I$32,9,FALSE))+test!$B$35,0)</f>
        <v>150</v>
      </c>
      <c r="P100">
        <f>IF(AND(SUM(VLOOKUP($A100,test!$A$3:$F$32,2,FALSE),VLOOKUP(P$1,test!$A$3:$F$32,2,FALSE))&lt;test!$K$16,$A100&lt;&gt;P$1,Recharged_Feasible_mat!Q69=1),(VLOOKUP(P$1,test!$A$3:$I$32,8,FALSE))-(VLOOKUP($A100,test!$A$3:$I$32,9,FALSE))+test!$B$35,0)</f>
        <v>0</v>
      </c>
      <c r="Q100">
        <f>IF(AND(SUM(VLOOKUP($A100,test!$A$3:$F$32,2,FALSE),VLOOKUP(Q$1,test!$A$3:$F$32,2,FALSE))&lt;test!$K$16,$A100&lt;&gt;Q$1,Recharged_Feasible_mat!R69=1),(VLOOKUP(Q$1,test!$A$3:$I$32,8,FALSE))-(VLOOKUP($A100,test!$A$3:$I$32,9,FALSE))+test!$B$35,0)</f>
        <v>0</v>
      </c>
      <c r="R100">
        <f>IF(AND(SUM(VLOOKUP($A100,test!$A$3:$F$32,2,FALSE),VLOOKUP(R$1,test!$A$3:$F$32,2,FALSE))&lt;test!$K$16,$A100&lt;&gt;R$1,Recharged_Feasible_mat!S69=1),(VLOOKUP(R$1,test!$A$3:$I$32,8,FALSE))-(VLOOKUP($A100,test!$A$3:$I$32,9,FALSE))+test!$B$35,0)</f>
        <v>0</v>
      </c>
      <c r="S100">
        <f>IF(AND(SUM(VLOOKUP($A100,test!$A$3:$F$32,2,FALSE),VLOOKUP(S$1,test!$A$3:$F$32,2,FALSE))&lt;test!$K$16,$A100&lt;&gt;S$1,Recharged_Feasible_mat!T69=1),(VLOOKUP(S$1,test!$A$3:$I$32,8,FALSE))-(VLOOKUP($A100,test!$A$3:$I$32,9,FALSE))+test!$B$35,0)</f>
        <v>0</v>
      </c>
      <c r="T100">
        <f>IF(AND(SUM(VLOOKUP($A100,test!$A$3:$F$32,2,FALSE),VLOOKUP(T$1,test!$A$3:$F$32,2,FALSE))&lt;test!$K$16,$A100&lt;&gt;T$1,Recharged_Feasible_mat!U69=1),(VLOOKUP(T$1,test!$A$3:$I$32,8,FALSE))-(VLOOKUP($A100,test!$A$3:$I$32,9,FALSE))+test!$B$35,0)</f>
        <v>0</v>
      </c>
      <c r="U100">
        <f>IF(AND(SUM(VLOOKUP($A100,test!$A$3:$F$32,2,FALSE),VLOOKUP(U$1,test!$A$3:$F$32,2,FALSE))&lt;test!$K$16,$A100&lt;&gt;U$1,Recharged_Feasible_mat!V69=1),(VLOOKUP(U$1,test!$A$3:$I$32,8,FALSE))-(VLOOKUP($A100,test!$A$3:$I$32,9,FALSE))+test!$B$35,0)</f>
        <v>0</v>
      </c>
      <c r="V100">
        <f>IF(AND(SUM(VLOOKUP($A100,test!$A$3:$F$32,2,FALSE),VLOOKUP(V$1,test!$A$3:$F$32,2,FALSE))&lt;test!$K$16,$A100&lt;&gt;V$1,Recharged_Feasible_mat!W69=1),(VLOOKUP(V$1,test!$A$3:$I$32,8,FALSE))-(VLOOKUP($A100,test!$A$3:$I$32,9,FALSE))+test!$B$35,0)</f>
        <v>0</v>
      </c>
      <c r="W100">
        <f>IF(AND(SUM(VLOOKUP($A100,test!$A$3:$F$32,2,FALSE),VLOOKUP(W$1,test!$A$3:$F$32,2,FALSE))&lt;test!$K$16,$A100&lt;&gt;W$1,Recharged_Feasible_mat!X69=1),(VLOOKUP(W$1,test!$A$3:$I$32,8,FALSE))-(VLOOKUP($A100,test!$A$3:$I$32,9,FALSE))+test!$B$35,0)</f>
        <v>0</v>
      </c>
      <c r="X100">
        <f>IF(AND(SUM(VLOOKUP($A100,test!$A$3:$F$32,2,FALSE),VLOOKUP(X$1,test!$A$3:$F$32,2,FALSE))&lt;test!$K$16,$A100&lt;&gt;X$1,Recharged_Feasible_mat!Y69=1),(VLOOKUP(X$1,test!$A$3:$I$32,8,FALSE))-(VLOOKUP($A100,test!$A$3:$I$32,9,FALSE))+test!$B$35,0)</f>
        <v>0</v>
      </c>
      <c r="Y100">
        <f>IF(AND(SUM(VLOOKUP($A100,test!$A$3:$F$32,2,FALSE),VLOOKUP(Y$1,test!$A$3:$F$32,2,FALSE))&lt;test!$K$16,$A100&lt;&gt;Y$1,Recharged_Feasible_mat!Z69=1),(VLOOKUP(Y$1,test!$A$3:$I$32,8,FALSE))-(VLOOKUP($A100,test!$A$3:$I$32,9,FALSE))+test!$B$35,0)</f>
        <v>0</v>
      </c>
      <c r="Z100">
        <f>IF(AND(SUM(VLOOKUP($A100,test!$A$3:$F$32,2,FALSE),VLOOKUP(Z$1,test!$A$3:$F$32,2,FALSE))&lt;test!$K$16,$A100&lt;&gt;Z$1,Recharged_Feasible_mat!AA69=1),(VLOOKUP(Z$1,test!$A$3:$I$32,8,FALSE))-(VLOOKUP($A100,test!$A$3:$I$32,9,FALSE))+test!$B$35,0)</f>
        <v>0</v>
      </c>
      <c r="AA100">
        <f>IF(AND(SUM(VLOOKUP($A100,test!$A$3:$F$32,2,FALSE),VLOOKUP(AA$1,test!$A$3:$F$32,2,FALSE))&lt;test!$K$16,$A100&lt;&gt;AA$1,Recharged_Feasible_mat!AB69=1),(VLOOKUP(AA$1,test!$A$3:$I$32,8,FALSE))-(VLOOKUP($A100,test!$A$3:$I$32,9,FALSE))+test!$B$35,0)</f>
        <v>0</v>
      </c>
      <c r="AB100">
        <f>IF(AND(SUM(VLOOKUP($A100,test!$A$3:$F$32,2,FALSE),VLOOKUP(AB$1,test!$A$3:$F$32,2,FALSE))&lt;test!$K$16,$A100&lt;&gt;AB$1,Recharged_Feasible_mat!AC69=1),(VLOOKUP(AB$1,test!$A$3:$I$32,8,FALSE))-(VLOOKUP($A100,test!$A$3:$I$32,9,FALSE))+test!$B$35,0)</f>
        <v>0</v>
      </c>
      <c r="AC100">
        <f>IF(AND(SUM(VLOOKUP($A100,test!$A$3:$F$32,2,FALSE),VLOOKUP(AC$1,test!$A$3:$F$32,2,FALSE))&lt;test!$K$16,$A100&lt;&gt;AC$1,Recharged_Feasible_mat!AD69=1),(VLOOKUP(AC$1,test!$A$3:$I$32,8,FALSE))-(VLOOKUP($A100,test!$A$3:$I$32,9,FALSE))+test!$B$35,0)</f>
        <v>0</v>
      </c>
      <c r="AD100">
        <f>IF(AND(SUM(VLOOKUP($A100,test!$A$3:$F$32,2,FALSE),VLOOKUP(AD$1,test!$A$3:$F$32,2,FALSE))&lt;test!$K$16,$A100&lt;&gt;AD$1,Recharged_Feasible_mat!AE69=1),(VLOOKUP(AD$1,test!$A$3:$I$32,8,FALSE))-(VLOOKUP($A100,test!$A$3:$I$32,9,FALSE))+test!$B$35,0)</f>
        <v>0</v>
      </c>
      <c r="AE100">
        <f>IF(AND(SUM(VLOOKUP($A100,test!$A$3:$F$32,2,FALSE),VLOOKUP(AE$1,test!$A$3:$F$32,2,FALSE))&lt;test!$K$16,$A100&lt;&gt;AE$1,Recharged_Feasible_mat!AF69=1),(VLOOKUP(AE$1,test!$A$3:$I$32,8,FALSE))-(VLOOKUP($A100,test!$A$3:$I$32,9,FALSE))+test!$B$35,0)</f>
        <v>0</v>
      </c>
      <c r="AF100">
        <f>IF(AND(SUM(VLOOKUP($A100,test!$A$3:$F$32,2,FALSE),VLOOKUP(AF$1,test!$A$3:$F$32,2,FALSE))&lt;test!$K$16,$A100&lt;&gt;AF$1,Recharged_Feasible_mat!AG69=1),(VLOOKUP(AF$1,test!$A$3:$I$32,8,FALSE))-(VLOOKUP($A100,test!$A$3:$I$32,9,FALSE))+test!$B$35,0)</f>
        <v>0</v>
      </c>
    </row>
    <row r="101" spans="1:32" x14ac:dyDescent="0.25">
      <c r="A101" t="s">
        <v>13</v>
      </c>
      <c r="B101">
        <v>0</v>
      </c>
      <c r="C101">
        <f>IF(AND(SUM(VLOOKUP($A101,test!$A$3:$F$32,2,FALSE),VLOOKUP(C$1,test!$A$3:$F$32,2,FALSE))&lt;test!$K$16,$A101&lt;&gt;C$1,Recharged_Feasible_mat!D70=1),(VLOOKUP(C$1,test!$A$3:$I$32,8,FALSE))-(VLOOKUP($A101,test!$A$3:$I$32,9,FALSE))+test!$B$35,0)</f>
        <v>0</v>
      </c>
      <c r="D101">
        <f>IF(AND(SUM(VLOOKUP($A101,test!$A$3:$F$32,2,FALSE),VLOOKUP(D$1,test!$A$3:$F$32,2,FALSE))&lt;test!$K$16,$A101&lt;&gt;D$1,Recharged_Feasible_mat!E70=1),(VLOOKUP(D$1,test!$A$3:$I$32,8,FALSE))-(VLOOKUP($A101,test!$A$3:$I$32,9,FALSE))+test!$B$35,0)</f>
        <v>0</v>
      </c>
      <c r="E101">
        <f>IF(AND(SUM(VLOOKUP($A101,test!$A$3:$F$32,2,FALSE),VLOOKUP(E$1,test!$A$3:$F$32,2,FALSE))&lt;test!$K$16,$A101&lt;&gt;E$1,Recharged_Feasible_mat!F70=1),(VLOOKUP(E$1,test!$A$3:$I$32,8,FALSE))-(VLOOKUP($A101,test!$A$3:$I$32,9,FALSE))+test!$B$35,0)</f>
        <v>0</v>
      </c>
      <c r="F101">
        <f>IF(AND(SUM(VLOOKUP($A101,test!$A$3:$F$32,2,FALSE),VLOOKUP(F$1,test!$A$3:$F$32,2,FALSE))&lt;test!$K$16,$A101&lt;&gt;F$1,Recharged_Feasible_mat!G70=1),(VLOOKUP(F$1,test!$A$3:$I$32,8,FALSE))-(VLOOKUP($A101,test!$A$3:$I$32,9,FALSE))+test!$B$35,0)</f>
        <v>0</v>
      </c>
      <c r="G101">
        <f>IF(AND(SUM(VLOOKUP($A101,test!$A$3:$F$32,2,FALSE),VLOOKUP(G$1,test!$A$3:$F$32,2,FALSE))&lt;test!$K$16,$A101&lt;&gt;G$1,Recharged_Feasible_mat!H70=1),(VLOOKUP(G$1,test!$A$3:$I$32,8,FALSE))-(VLOOKUP($A101,test!$A$3:$I$32,9,FALSE))+test!$B$35,0)</f>
        <v>0</v>
      </c>
      <c r="H101">
        <f>IF(AND(SUM(VLOOKUP($A101,test!$A$3:$F$32,2,FALSE),VLOOKUP(H$1,test!$A$3:$F$32,2,FALSE))&lt;test!$K$16,$A101&lt;&gt;H$1,Recharged_Feasible_mat!I70=1),(VLOOKUP(H$1,test!$A$3:$I$32,8,FALSE))-(VLOOKUP($A101,test!$A$3:$I$32,9,FALSE))+test!$B$35,0)</f>
        <v>0</v>
      </c>
      <c r="I101">
        <f>IF(AND(SUM(VLOOKUP($A101,test!$A$3:$F$32,2,FALSE),VLOOKUP(I$1,test!$A$3:$F$32,2,FALSE))&lt;test!$K$16,$A101&lt;&gt;I$1,Recharged_Feasible_mat!J70=1),(VLOOKUP(I$1,test!$A$3:$I$32,8,FALSE))-(VLOOKUP($A101,test!$A$3:$I$32,9,FALSE))+test!$B$35,0)</f>
        <v>0</v>
      </c>
      <c r="J101">
        <f>IF(AND(SUM(VLOOKUP($A101,test!$A$3:$F$32,2,FALSE),VLOOKUP(J$1,test!$A$3:$F$32,2,FALSE))&lt;test!$K$16,$A101&lt;&gt;J$1,Recharged_Feasible_mat!K70=1),(VLOOKUP(J$1,test!$A$3:$I$32,8,FALSE))-(VLOOKUP($A101,test!$A$3:$I$32,9,FALSE))+test!$B$35,0)</f>
        <v>0</v>
      </c>
      <c r="K101">
        <f>IF(AND(SUM(VLOOKUP($A101,test!$A$3:$F$32,2,FALSE),VLOOKUP(K$1,test!$A$3:$F$32,2,FALSE))&lt;test!$K$16,$A101&lt;&gt;K$1,Recharged_Feasible_mat!L70=1),(VLOOKUP(K$1,test!$A$3:$I$32,8,FALSE))-(VLOOKUP($A101,test!$A$3:$I$32,9,FALSE))+test!$B$35,0)</f>
        <v>0</v>
      </c>
      <c r="L101">
        <f>IF(AND(SUM(VLOOKUP($A101,test!$A$3:$F$32,2,FALSE),VLOOKUP(L$1,test!$A$3:$F$32,2,FALSE))&lt;test!$K$16,$A101&lt;&gt;L$1,Recharged_Feasible_mat!M70=1),(VLOOKUP(L$1,test!$A$3:$I$32,8,FALSE))-(VLOOKUP($A101,test!$A$3:$I$32,9,FALSE))+test!$B$35,0)</f>
        <v>0</v>
      </c>
      <c r="M101">
        <f>IF(AND(SUM(VLOOKUP($A101,test!$A$3:$F$32,2,FALSE),VLOOKUP(M$1,test!$A$3:$F$32,2,FALSE))&lt;test!$K$16,$A101&lt;&gt;M$1,Recharged_Feasible_mat!N70=1),(VLOOKUP(M$1,test!$A$3:$I$32,8,FALSE))-(VLOOKUP($A101,test!$A$3:$I$32,9,FALSE))+test!$B$35,0)</f>
        <v>0</v>
      </c>
      <c r="N101">
        <f>IF(AND(SUM(VLOOKUP($A101,test!$A$3:$F$32,2,FALSE),VLOOKUP(N$1,test!$A$3:$F$32,2,FALSE))&lt;test!$K$16,$A101&lt;&gt;N$1,Recharged_Feasible_mat!O70=1),(VLOOKUP(N$1,test!$A$3:$I$32,8,FALSE))-(VLOOKUP($A101,test!$A$3:$I$32,9,FALSE))+test!$B$35,0)</f>
        <v>0</v>
      </c>
      <c r="O101">
        <f>IF(AND(SUM(VLOOKUP($A101,test!$A$3:$F$32,2,FALSE),VLOOKUP(O$1,test!$A$3:$F$32,2,FALSE))&lt;test!$K$16,$A101&lt;&gt;O$1,Recharged_Feasible_mat!P70=1),(VLOOKUP(O$1,test!$A$3:$I$32,8,FALSE))-(VLOOKUP($A101,test!$A$3:$I$32,9,FALSE))+test!$B$35,0)</f>
        <v>0</v>
      </c>
      <c r="P101">
        <f>IF(AND(SUM(VLOOKUP($A101,test!$A$3:$F$32,2,FALSE),VLOOKUP(P$1,test!$A$3:$F$32,2,FALSE))&lt;test!$K$16,$A101&lt;&gt;P$1,Recharged_Feasible_mat!Q70=1),(VLOOKUP(P$1,test!$A$3:$I$32,8,FALSE))-(VLOOKUP($A101,test!$A$3:$I$32,9,FALSE))+test!$B$35,0)</f>
        <v>0</v>
      </c>
      <c r="Q101">
        <f>IF(AND(SUM(VLOOKUP($A101,test!$A$3:$F$32,2,FALSE),VLOOKUP(Q$1,test!$A$3:$F$32,2,FALSE))&lt;test!$K$16,$A101&lt;&gt;Q$1,Recharged_Feasible_mat!R70=1),(VLOOKUP(Q$1,test!$A$3:$I$32,8,FALSE))-(VLOOKUP($A101,test!$A$3:$I$32,9,FALSE))+test!$B$35,0)</f>
        <v>0</v>
      </c>
      <c r="R101">
        <f>IF(AND(SUM(VLOOKUP($A101,test!$A$3:$F$32,2,FALSE),VLOOKUP(R$1,test!$A$3:$F$32,2,FALSE))&lt;test!$K$16,$A101&lt;&gt;R$1,Recharged_Feasible_mat!S70=1),(VLOOKUP(R$1,test!$A$3:$I$32,8,FALSE))-(VLOOKUP($A101,test!$A$3:$I$32,9,FALSE))+test!$B$35,0)</f>
        <v>0</v>
      </c>
      <c r="S101">
        <f>IF(AND(SUM(VLOOKUP($A101,test!$A$3:$F$32,2,FALSE),VLOOKUP(S$1,test!$A$3:$F$32,2,FALSE))&lt;test!$K$16,$A101&lt;&gt;S$1,Recharged_Feasible_mat!T70=1),(VLOOKUP(S$1,test!$A$3:$I$32,8,FALSE))-(VLOOKUP($A101,test!$A$3:$I$32,9,FALSE))+test!$B$35,0)</f>
        <v>0</v>
      </c>
      <c r="T101">
        <f>IF(AND(SUM(VLOOKUP($A101,test!$A$3:$F$32,2,FALSE),VLOOKUP(T$1,test!$A$3:$F$32,2,FALSE))&lt;test!$K$16,$A101&lt;&gt;T$1,Recharged_Feasible_mat!U70=1),(VLOOKUP(T$1,test!$A$3:$I$32,8,FALSE))-(VLOOKUP($A101,test!$A$3:$I$32,9,FALSE))+test!$B$35,0)</f>
        <v>0</v>
      </c>
      <c r="U101">
        <f>IF(AND(SUM(VLOOKUP($A101,test!$A$3:$F$32,2,FALSE),VLOOKUP(U$1,test!$A$3:$F$32,2,FALSE))&lt;test!$K$16,$A101&lt;&gt;U$1,Recharged_Feasible_mat!V70=1),(VLOOKUP(U$1,test!$A$3:$I$32,8,FALSE))-(VLOOKUP($A101,test!$A$3:$I$32,9,FALSE))+test!$B$35,0)</f>
        <v>0</v>
      </c>
      <c r="V101">
        <f>IF(AND(SUM(VLOOKUP($A101,test!$A$3:$F$32,2,FALSE),VLOOKUP(V$1,test!$A$3:$F$32,2,FALSE))&lt;test!$K$16,$A101&lt;&gt;V$1,Recharged_Feasible_mat!W70=1),(VLOOKUP(V$1,test!$A$3:$I$32,8,FALSE))-(VLOOKUP($A101,test!$A$3:$I$32,9,FALSE))+test!$B$35,0)</f>
        <v>0</v>
      </c>
      <c r="W101">
        <f>IF(AND(SUM(VLOOKUP($A101,test!$A$3:$F$32,2,FALSE),VLOOKUP(W$1,test!$A$3:$F$32,2,FALSE))&lt;test!$K$16,$A101&lt;&gt;W$1,Recharged_Feasible_mat!X70=1),(VLOOKUP(W$1,test!$A$3:$I$32,8,FALSE))-(VLOOKUP($A101,test!$A$3:$I$32,9,FALSE))+test!$B$35,0)</f>
        <v>0</v>
      </c>
      <c r="X101">
        <f>IF(AND(SUM(VLOOKUP($A101,test!$A$3:$F$32,2,FALSE),VLOOKUP(X$1,test!$A$3:$F$32,2,FALSE))&lt;test!$K$16,$A101&lt;&gt;X$1,Recharged_Feasible_mat!Y70=1),(VLOOKUP(X$1,test!$A$3:$I$32,8,FALSE))-(VLOOKUP($A101,test!$A$3:$I$32,9,FALSE))+test!$B$35,0)</f>
        <v>0</v>
      </c>
      <c r="Y101">
        <f>IF(AND(SUM(VLOOKUP($A101,test!$A$3:$F$32,2,FALSE),VLOOKUP(Y$1,test!$A$3:$F$32,2,FALSE))&lt;test!$K$16,$A101&lt;&gt;Y$1,Recharged_Feasible_mat!Z70=1),(VLOOKUP(Y$1,test!$A$3:$I$32,8,FALSE))-(VLOOKUP($A101,test!$A$3:$I$32,9,FALSE))+test!$B$35,0)</f>
        <v>0</v>
      </c>
      <c r="Z101">
        <f>IF(AND(SUM(VLOOKUP($A101,test!$A$3:$F$32,2,FALSE),VLOOKUP(Z$1,test!$A$3:$F$32,2,FALSE))&lt;test!$K$16,$A101&lt;&gt;Z$1,Recharged_Feasible_mat!AA70=1),(VLOOKUP(Z$1,test!$A$3:$I$32,8,FALSE))-(VLOOKUP($A101,test!$A$3:$I$32,9,FALSE))+test!$B$35,0)</f>
        <v>0</v>
      </c>
      <c r="AA101">
        <f>IF(AND(SUM(VLOOKUP($A101,test!$A$3:$F$32,2,FALSE),VLOOKUP(AA$1,test!$A$3:$F$32,2,FALSE))&lt;test!$K$16,$A101&lt;&gt;AA$1,Recharged_Feasible_mat!AB70=1),(VLOOKUP(AA$1,test!$A$3:$I$32,8,FALSE))-(VLOOKUP($A101,test!$A$3:$I$32,9,FALSE))+test!$B$35,0)</f>
        <v>0</v>
      </c>
      <c r="AB101">
        <f>IF(AND(SUM(VLOOKUP($A101,test!$A$3:$F$32,2,FALSE),VLOOKUP(AB$1,test!$A$3:$F$32,2,FALSE))&lt;test!$K$16,$A101&lt;&gt;AB$1,Recharged_Feasible_mat!AC70=1),(VLOOKUP(AB$1,test!$A$3:$I$32,8,FALSE))-(VLOOKUP($A101,test!$A$3:$I$32,9,FALSE))+test!$B$35,0)</f>
        <v>0</v>
      </c>
      <c r="AC101">
        <f>IF(AND(SUM(VLOOKUP($A101,test!$A$3:$F$32,2,FALSE),VLOOKUP(AC$1,test!$A$3:$F$32,2,FALSE))&lt;test!$K$16,$A101&lt;&gt;AC$1,Recharged_Feasible_mat!AD70=1),(VLOOKUP(AC$1,test!$A$3:$I$32,8,FALSE))-(VLOOKUP($A101,test!$A$3:$I$32,9,FALSE))+test!$B$35,0)</f>
        <v>0</v>
      </c>
      <c r="AD101">
        <f>IF(AND(SUM(VLOOKUP($A101,test!$A$3:$F$32,2,FALSE),VLOOKUP(AD$1,test!$A$3:$F$32,2,FALSE))&lt;test!$K$16,$A101&lt;&gt;AD$1,Recharged_Feasible_mat!AE70=1),(VLOOKUP(AD$1,test!$A$3:$I$32,8,FALSE))-(VLOOKUP($A101,test!$A$3:$I$32,9,FALSE))+test!$B$35,0)</f>
        <v>0</v>
      </c>
      <c r="AE101">
        <f>IF(AND(SUM(VLOOKUP($A101,test!$A$3:$F$32,2,FALSE),VLOOKUP(AE$1,test!$A$3:$F$32,2,FALSE))&lt;test!$K$16,$A101&lt;&gt;AE$1,Recharged_Feasible_mat!AF70=1),(VLOOKUP(AE$1,test!$A$3:$I$32,8,FALSE))-(VLOOKUP($A101,test!$A$3:$I$32,9,FALSE))+test!$B$35,0)</f>
        <v>0</v>
      </c>
      <c r="AF101">
        <f>IF(AND(SUM(VLOOKUP($A101,test!$A$3:$F$32,2,FALSE),VLOOKUP(AF$1,test!$A$3:$F$32,2,FALSE))&lt;test!$K$16,$A101&lt;&gt;AF$1,Recharged_Feasible_mat!AG70=1),(VLOOKUP(AF$1,test!$A$3:$I$32,8,FALSE))-(VLOOKUP($A101,test!$A$3:$I$32,9,FALSE))+test!$B$35,0)</f>
        <v>0</v>
      </c>
    </row>
    <row r="102" spans="1:32" x14ac:dyDescent="0.25">
      <c r="A102" t="s">
        <v>14</v>
      </c>
      <c r="B102">
        <v>0</v>
      </c>
      <c r="C102">
        <f>IF(AND(SUM(VLOOKUP($A102,test!$A$3:$F$32,2,FALSE),VLOOKUP(C$1,test!$A$3:$F$32,2,FALSE))&lt;test!$K$16,$A102&lt;&gt;C$1,Recharged_Feasible_mat!D71=1),(VLOOKUP(C$1,test!$A$3:$I$32,8,FALSE))-(VLOOKUP($A102,test!$A$3:$I$32,9,FALSE))+test!$B$35,0)</f>
        <v>0</v>
      </c>
      <c r="D102">
        <f>IF(AND(SUM(VLOOKUP($A102,test!$A$3:$F$32,2,FALSE),VLOOKUP(D$1,test!$A$3:$F$32,2,FALSE))&lt;test!$K$16,$A102&lt;&gt;D$1,Recharged_Feasible_mat!E71=1),(VLOOKUP(D$1,test!$A$3:$I$32,8,FALSE))-(VLOOKUP($A102,test!$A$3:$I$32,9,FALSE))+test!$B$35,0)</f>
        <v>0</v>
      </c>
      <c r="E102">
        <f>IF(AND(SUM(VLOOKUP($A102,test!$A$3:$F$32,2,FALSE),VLOOKUP(E$1,test!$A$3:$F$32,2,FALSE))&lt;test!$K$16,$A102&lt;&gt;E$1,Recharged_Feasible_mat!F71=1),(VLOOKUP(E$1,test!$A$3:$I$32,8,FALSE))-(VLOOKUP($A102,test!$A$3:$I$32,9,FALSE))+test!$B$35,0)</f>
        <v>0</v>
      </c>
      <c r="F102">
        <f>IF(AND(SUM(VLOOKUP($A102,test!$A$3:$F$32,2,FALSE),VLOOKUP(F$1,test!$A$3:$F$32,2,FALSE))&lt;test!$K$16,$A102&lt;&gt;F$1,Recharged_Feasible_mat!G71=1),(VLOOKUP(F$1,test!$A$3:$I$32,8,FALSE))-(VLOOKUP($A102,test!$A$3:$I$32,9,FALSE))+test!$B$35,0)</f>
        <v>0</v>
      </c>
      <c r="G102">
        <f>IF(AND(SUM(VLOOKUP($A102,test!$A$3:$F$32,2,FALSE),VLOOKUP(G$1,test!$A$3:$F$32,2,FALSE))&lt;test!$K$16,$A102&lt;&gt;G$1,Recharged_Feasible_mat!H71=1),(VLOOKUP(G$1,test!$A$3:$I$32,8,FALSE))-(VLOOKUP($A102,test!$A$3:$I$32,9,FALSE))+test!$B$35,0)</f>
        <v>0</v>
      </c>
      <c r="H102">
        <f>IF(AND(SUM(VLOOKUP($A102,test!$A$3:$F$32,2,FALSE),VLOOKUP(H$1,test!$A$3:$F$32,2,FALSE))&lt;test!$K$16,$A102&lt;&gt;H$1,Recharged_Feasible_mat!I71=1),(VLOOKUP(H$1,test!$A$3:$I$32,8,FALSE))-(VLOOKUP($A102,test!$A$3:$I$32,9,FALSE))+test!$B$35,0)</f>
        <v>0</v>
      </c>
      <c r="I102">
        <f>IF(AND(SUM(VLOOKUP($A102,test!$A$3:$F$32,2,FALSE),VLOOKUP(I$1,test!$A$3:$F$32,2,FALSE))&lt;test!$K$16,$A102&lt;&gt;I$1,Recharged_Feasible_mat!J71=1),(VLOOKUP(I$1,test!$A$3:$I$32,8,FALSE))-(VLOOKUP($A102,test!$A$3:$I$32,9,FALSE))+test!$B$35,0)</f>
        <v>0</v>
      </c>
      <c r="J102">
        <f>IF(AND(SUM(VLOOKUP($A102,test!$A$3:$F$32,2,FALSE),VLOOKUP(J$1,test!$A$3:$F$32,2,FALSE))&lt;test!$K$16,$A102&lt;&gt;J$1,Recharged_Feasible_mat!K71=1),(VLOOKUP(J$1,test!$A$3:$I$32,8,FALSE))-(VLOOKUP($A102,test!$A$3:$I$32,9,FALSE))+test!$B$35,0)</f>
        <v>0</v>
      </c>
      <c r="K102">
        <f>IF(AND(SUM(VLOOKUP($A102,test!$A$3:$F$32,2,FALSE),VLOOKUP(K$1,test!$A$3:$F$32,2,FALSE))&lt;test!$K$16,$A102&lt;&gt;K$1,Recharged_Feasible_mat!L71=1),(VLOOKUP(K$1,test!$A$3:$I$32,8,FALSE))-(VLOOKUP($A102,test!$A$3:$I$32,9,FALSE))+test!$B$35,0)</f>
        <v>0</v>
      </c>
      <c r="L102">
        <f>IF(AND(SUM(VLOOKUP($A102,test!$A$3:$F$32,2,FALSE),VLOOKUP(L$1,test!$A$3:$F$32,2,FALSE))&lt;test!$K$16,$A102&lt;&gt;L$1,Recharged_Feasible_mat!M71=1),(VLOOKUP(L$1,test!$A$3:$I$32,8,FALSE))-(VLOOKUP($A102,test!$A$3:$I$32,9,FALSE))+test!$B$35,0)</f>
        <v>0</v>
      </c>
      <c r="M102">
        <f>IF(AND(SUM(VLOOKUP($A102,test!$A$3:$F$32,2,FALSE),VLOOKUP(M$1,test!$A$3:$F$32,2,FALSE))&lt;test!$K$16,$A102&lt;&gt;M$1,Recharged_Feasible_mat!N71=1),(VLOOKUP(M$1,test!$A$3:$I$32,8,FALSE))-(VLOOKUP($A102,test!$A$3:$I$32,9,FALSE))+test!$B$35,0)</f>
        <v>0</v>
      </c>
      <c r="N102">
        <f>IF(AND(SUM(VLOOKUP($A102,test!$A$3:$F$32,2,FALSE),VLOOKUP(N$1,test!$A$3:$F$32,2,FALSE))&lt;test!$K$16,$A102&lt;&gt;N$1,Recharged_Feasible_mat!O71=1),(VLOOKUP(N$1,test!$A$3:$I$32,8,FALSE))-(VLOOKUP($A102,test!$A$3:$I$32,9,FALSE))+test!$B$35,0)</f>
        <v>0</v>
      </c>
      <c r="O102">
        <f>IF(AND(SUM(VLOOKUP($A102,test!$A$3:$F$32,2,FALSE),VLOOKUP(O$1,test!$A$3:$F$32,2,FALSE))&lt;test!$K$16,$A102&lt;&gt;O$1,Recharged_Feasible_mat!P71=1),(VLOOKUP(O$1,test!$A$3:$I$32,8,FALSE))-(VLOOKUP($A102,test!$A$3:$I$32,9,FALSE))+test!$B$35,0)</f>
        <v>0</v>
      </c>
      <c r="P102">
        <f>IF(AND(SUM(VLOOKUP($A102,test!$A$3:$F$32,2,FALSE),VLOOKUP(P$1,test!$A$3:$F$32,2,FALSE))&lt;test!$K$16,$A102&lt;&gt;P$1,Recharged_Feasible_mat!Q71=1),(VLOOKUP(P$1,test!$A$3:$I$32,8,FALSE))-(VLOOKUP($A102,test!$A$3:$I$32,9,FALSE))+test!$B$35,0)</f>
        <v>0</v>
      </c>
      <c r="Q102">
        <f>IF(AND(SUM(VLOOKUP($A102,test!$A$3:$F$32,2,FALSE),VLOOKUP(Q$1,test!$A$3:$F$32,2,FALSE))&lt;test!$K$16,$A102&lt;&gt;Q$1,Recharged_Feasible_mat!R71=1),(VLOOKUP(Q$1,test!$A$3:$I$32,8,FALSE))-(VLOOKUP($A102,test!$A$3:$I$32,9,FALSE))+test!$B$35,0)</f>
        <v>0</v>
      </c>
      <c r="R102">
        <f>IF(AND(SUM(VLOOKUP($A102,test!$A$3:$F$32,2,FALSE),VLOOKUP(R$1,test!$A$3:$F$32,2,FALSE))&lt;test!$K$16,$A102&lt;&gt;R$1,Recharged_Feasible_mat!S71=1),(VLOOKUP(R$1,test!$A$3:$I$32,8,FALSE))-(VLOOKUP($A102,test!$A$3:$I$32,9,FALSE))+test!$B$35,0)</f>
        <v>0</v>
      </c>
      <c r="S102">
        <f>IF(AND(SUM(VLOOKUP($A102,test!$A$3:$F$32,2,FALSE),VLOOKUP(S$1,test!$A$3:$F$32,2,FALSE))&lt;test!$K$16,$A102&lt;&gt;S$1,Recharged_Feasible_mat!T71=1),(VLOOKUP(S$1,test!$A$3:$I$32,8,FALSE))-(VLOOKUP($A102,test!$A$3:$I$32,9,FALSE))+test!$B$35,0)</f>
        <v>0</v>
      </c>
      <c r="T102">
        <f>IF(AND(SUM(VLOOKUP($A102,test!$A$3:$F$32,2,FALSE),VLOOKUP(T$1,test!$A$3:$F$32,2,FALSE))&lt;test!$K$16,$A102&lt;&gt;T$1,Recharged_Feasible_mat!U71=1),(VLOOKUP(T$1,test!$A$3:$I$32,8,FALSE))-(VLOOKUP($A102,test!$A$3:$I$32,9,FALSE))+test!$B$35,0)</f>
        <v>0</v>
      </c>
      <c r="U102">
        <f>IF(AND(SUM(VLOOKUP($A102,test!$A$3:$F$32,2,FALSE),VLOOKUP(U$1,test!$A$3:$F$32,2,FALSE))&lt;test!$K$16,$A102&lt;&gt;U$1,Recharged_Feasible_mat!V71=1),(VLOOKUP(U$1,test!$A$3:$I$32,8,FALSE))-(VLOOKUP($A102,test!$A$3:$I$32,9,FALSE))+test!$B$35,0)</f>
        <v>0</v>
      </c>
      <c r="V102">
        <f>IF(AND(SUM(VLOOKUP($A102,test!$A$3:$F$32,2,FALSE),VLOOKUP(V$1,test!$A$3:$F$32,2,FALSE))&lt;test!$K$16,$A102&lt;&gt;V$1,Recharged_Feasible_mat!W71=1),(VLOOKUP(V$1,test!$A$3:$I$32,8,FALSE))-(VLOOKUP($A102,test!$A$3:$I$32,9,FALSE))+test!$B$35,0)</f>
        <v>0</v>
      </c>
      <c r="W102">
        <f>IF(AND(SUM(VLOOKUP($A102,test!$A$3:$F$32,2,FALSE),VLOOKUP(W$1,test!$A$3:$F$32,2,FALSE))&lt;test!$K$16,$A102&lt;&gt;W$1,Recharged_Feasible_mat!X71=1),(VLOOKUP(W$1,test!$A$3:$I$32,8,FALSE))-(VLOOKUP($A102,test!$A$3:$I$32,9,FALSE))+test!$B$35,0)</f>
        <v>0</v>
      </c>
      <c r="X102">
        <f>IF(AND(SUM(VLOOKUP($A102,test!$A$3:$F$32,2,FALSE),VLOOKUP(X$1,test!$A$3:$F$32,2,FALSE))&lt;test!$K$16,$A102&lt;&gt;X$1,Recharged_Feasible_mat!Y71=1),(VLOOKUP(X$1,test!$A$3:$I$32,8,FALSE))-(VLOOKUP($A102,test!$A$3:$I$32,9,FALSE))+test!$B$35,0)</f>
        <v>0</v>
      </c>
      <c r="Y102">
        <f>IF(AND(SUM(VLOOKUP($A102,test!$A$3:$F$32,2,FALSE),VLOOKUP(Y$1,test!$A$3:$F$32,2,FALSE))&lt;test!$K$16,$A102&lt;&gt;Y$1,Recharged_Feasible_mat!Z71=1),(VLOOKUP(Y$1,test!$A$3:$I$32,8,FALSE))-(VLOOKUP($A102,test!$A$3:$I$32,9,FALSE))+test!$B$35,0)</f>
        <v>0</v>
      </c>
      <c r="Z102">
        <f>IF(AND(SUM(VLOOKUP($A102,test!$A$3:$F$32,2,FALSE),VLOOKUP(Z$1,test!$A$3:$F$32,2,FALSE))&lt;test!$K$16,$A102&lt;&gt;Z$1,Recharged_Feasible_mat!AA71=1),(VLOOKUP(Z$1,test!$A$3:$I$32,8,FALSE))-(VLOOKUP($A102,test!$A$3:$I$32,9,FALSE))+test!$B$35,0)</f>
        <v>0</v>
      </c>
      <c r="AA102">
        <f>IF(AND(SUM(VLOOKUP($A102,test!$A$3:$F$32,2,FALSE),VLOOKUP(AA$1,test!$A$3:$F$32,2,FALSE))&lt;test!$K$16,$A102&lt;&gt;AA$1,Recharged_Feasible_mat!AB71=1),(VLOOKUP(AA$1,test!$A$3:$I$32,8,FALSE))-(VLOOKUP($A102,test!$A$3:$I$32,9,FALSE))+test!$B$35,0)</f>
        <v>0</v>
      </c>
      <c r="AB102">
        <f>IF(AND(SUM(VLOOKUP($A102,test!$A$3:$F$32,2,FALSE),VLOOKUP(AB$1,test!$A$3:$F$32,2,FALSE))&lt;test!$K$16,$A102&lt;&gt;AB$1,Recharged_Feasible_mat!AC71=1),(VLOOKUP(AB$1,test!$A$3:$I$32,8,FALSE))-(VLOOKUP($A102,test!$A$3:$I$32,9,FALSE))+test!$B$35,0)</f>
        <v>0</v>
      </c>
      <c r="AC102">
        <f>IF(AND(SUM(VLOOKUP($A102,test!$A$3:$F$32,2,FALSE),VLOOKUP(AC$1,test!$A$3:$F$32,2,FALSE))&lt;test!$K$16,$A102&lt;&gt;AC$1,Recharged_Feasible_mat!AD71=1),(VLOOKUP(AC$1,test!$A$3:$I$32,8,FALSE))-(VLOOKUP($A102,test!$A$3:$I$32,9,FALSE))+test!$B$35,0)</f>
        <v>0</v>
      </c>
      <c r="AD102">
        <f>IF(AND(SUM(VLOOKUP($A102,test!$A$3:$F$32,2,FALSE),VLOOKUP(AD$1,test!$A$3:$F$32,2,FALSE))&lt;test!$K$16,$A102&lt;&gt;AD$1,Recharged_Feasible_mat!AE71=1),(VLOOKUP(AD$1,test!$A$3:$I$32,8,FALSE))-(VLOOKUP($A102,test!$A$3:$I$32,9,FALSE))+test!$B$35,0)</f>
        <v>0</v>
      </c>
      <c r="AE102">
        <f>IF(AND(SUM(VLOOKUP($A102,test!$A$3:$F$32,2,FALSE),VLOOKUP(AE$1,test!$A$3:$F$32,2,FALSE))&lt;test!$K$16,$A102&lt;&gt;AE$1,Recharged_Feasible_mat!AF71=1),(VLOOKUP(AE$1,test!$A$3:$I$32,8,FALSE))-(VLOOKUP($A102,test!$A$3:$I$32,9,FALSE))+test!$B$35,0)</f>
        <v>0</v>
      </c>
      <c r="AF102">
        <f>IF(AND(SUM(VLOOKUP($A102,test!$A$3:$F$32,2,FALSE),VLOOKUP(AF$1,test!$A$3:$F$32,2,FALSE))&lt;test!$K$16,$A102&lt;&gt;AF$1,Recharged_Feasible_mat!AG71=1),(VLOOKUP(AF$1,test!$A$3:$I$32,8,FALSE))-(VLOOKUP($A102,test!$A$3:$I$32,9,FALSE))+test!$B$35,0)</f>
        <v>0</v>
      </c>
    </row>
    <row r="103" spans="1:32" x14ac:dyDescent="0.25">
      <c r="A103" t="s">
        <v>15</v>
      </c>
      <c r="B103">
        <v>0</v>
      </c>
      <c r="C103">
        <f>IF(AND(SUM(VLOOKUP($A103,test!$A$3:$F$32,2,FALSE),VLOOKUP(C$1,test!$A$3:$F$32,2,FALSE))&lt;test!$K$16,$A103&lt;&gt;C$1,Recharged_Feasible_mat!D72=1),(VLOOKUP(C$1,test!$A$3:$I$32,8,FALSE))-(VLOOKUP($A103,test!$A$3:$I$32,9,FALSE))+test!$B$35,0)</f>
        <v>0</v>
      </c>
      <c r="D103">
        <f>IF(AND(SUM(VLOOKUP($A103,test!$A$3:$F$32,2,FALSE),VLOOKUP(D$1,test!$A$3:$F$32,2,FALSE))&lt;test!$K$16,$A103&lt;&gt;D$1,Recharged_Feasible_mat!E72=1),(VLOOKUP(D$1,test!$A$3:$I$32,8,FALSE))-(VLOOKUP($A103,test!$A$3:$I$32,9,FALSE))+test!$B$35,0)</f>
        <v>0</v>
      </c>
      <c r="E103">
        <f>IF(AND(SUM(VLOOKUP($A103,test!$A$3:$F$32,2,FALSE),VLOOKUP(E$1,test!$A$3:$F$32,2,FALSE))&lt;test!$K$16,$A103&lt;&gt;E$1,Recharged_Feasible_mat!F72=1),(VLOOKUP(E$1,test!$A$3:$I$32,8,FALSE))-(VLOOKUP($A103,test!$A$3:$I$32,9,FALSE))+test!$B$35,0)</f>
        <v>0</v>
      </c>
      <c r="F103">
        <f>IF(AND(SUM(VLOOKUP($A103,test!$A$3:$F$32,2,FALSE),VLOOKUP(F$1,test!$A$3:$F$32,2,FALSE))&lt;test!$K$16,$A103&lt;&gt;F$1,Recharged_Feasible_mat!G72=1),(VLOOKUP(F$1,test!$A$3:$I$32,8,FALSE))-(VLOOKUP($A103,test!$A$3:$I$32,9,FALSE))+test!$B$35,0)</f>
        <v>0</v>
      </c>
      <c r="G103">
        <f>IF(AND(SUM(VLOOKUP($A103,test!$A$3:$F$32,2,FALSE),VLOOKUP(G$1,test!$A$3:$F$32,2,FALSE))&lt;test!$K$16,$A103&lt;&gt;G$1,Recharged_Feasible_mat!H72=1),(VLOOKUP(G$1,test!$A$3:$I$32,8,FALSE))-(VLOOKUP($A103,test!$A$3:$I$32,9,FALSE))+test!$B$35,0)</f>
        <v>0</v>
      </c>
      <c r="H103">
        <f>IF(AND(SUM(VLOOKUP($A103,test!$A$3:$F$32,2,FALSE),VLOOKUP(H$1,test!$A$3:$F$32,2,FALSE))&lt;test!$K$16,$A103&lt;&gt;H$1,Recharged_Feasible_mat!I72=1),(VLOOKUP(H$1,test!$A$3:$I$32,8,FALSE))-(VLOOKUP($A103,test!$A$3:$I$32,9,FALSE))+test!$B$35,0)</f>
        <v>0</v>
      </c>
      <c r="I103">
        <f>IF(AND(SUM(VLOOKUP($A103,test!$A$3:$F$32,2,FALSE),VLOOKUP(I$1,test!$A$3:$F$32,2,FALSE))&lt;test!$K$16,$A103&lt;&gt;I$1,Recharged_Feasible_mat!J72=1),(VLOOKUP(I$1,test!$A$3:$I$32,8,FALSE))-(VLOOKUP($A103,test!$A$3:$I$32,9,FALSE))+test!$B$35,0)</f>
        <v>0</v>
      </c>
      <c r="J103">
        <f>IF(AND(SUM(VLOOKUP($A103,test!$A$3:$F$32,2,FALSE),VLOOKUP(J$1,test!$A$3:$F$32,2,FALSE))&lt;test!$K$16,$A103&lt;&gt;J$1,Recharged_Feasible_mat!K72=1),(VLOOKUP(J$1,test!$A$3:$I$32,8,FALSE))-(VLOOKUP($A103,test!$A$3:$I$32,9,FALSE))+test!$B$35,0)</f>
        <v>0</v>
      </c>
      <c r="K103">
        <f>IF(AND(SUM(VLOOKUP($A103,test!$A$3:$F$32,2,FALSE),VLOOKUP(K$1,test!$A$3:$F$32,2,FALSE))&lt;test!$K$16,$A103&lt;&gt;K$1,Recharged_Feasible_mat!L72=1),(VLOOKUP(K$1,test!$A$3:$I$32,8,FALSE))-(VLOOKUP($A103,test!$A$3:$I$32,9,FALSE))+test!$B$35,0)</f>
        <v>0</v>
      </c>
      <c r="L103">
        <f>IF(AND(SUM(VLOOKUP($A103,test!$A$3:$F$32,2,FALSE),VLOOKUP(L$1,test!$A$3:$F$32,2,FALSE))&lt;test!$K$16,$A103&lt;&gt;L$1,Recharged_Feasible_mat!M72=1),(VLOOKUP(L$1,test!$A$3:$I$32,8,FALSE))-(VLOOKUP($A103,test!$A$3:$I$32,9,FALSE))+test!$B$35,0)</f>
        <v>0</v>
      </c>
      <c r="M103">
        <f>IF(AND(SUM(VLOOKUP($A103,test!$A$3:$F$32,2,FALSE),VLOOKUP(M$1,test!$A$3:$F$32,2,FALSE))&lt;test!$K$16,$A103&lt;&gt;M$1,Recharged_Feasible_mat!N72=1),(VLOOKUP(M$1,test!$A$3:$I$32,8,FALSE))-(VLOOKUP($A103,test!$A$3:$I$32,9,FALSE))+test!$B$35,0)</f>
        <v>0</v>
      </c>
      <c r="N103">
        <f>IF(AND(SUM(VLOOKUP($A103,test!$A$3:$F$32,2,FALSE),VLOOKUP(N$1,test!$A$3:$F$32,2,FALSE))&lt;test!$K$16,$A103&lt;&gt;N$1,Recharged_Feasible_mat!O72=1),(VLOOKUP(N$1,test!$A$3:$I$32,8,FALSE))-(VLOOKUP($A103,test!$A$3:$I$32,9,FALSE))+test!$B$35,0)</f>
        <v>0</v>
      </c>
      <c r="O103">
        <f>IF(AND(SUM(VLOOKUP($A103,test!$A$3:$F$32,2,FALSE),VLOOKUP(O$1,test!$A$3:$F$32,2,FALSE))&lt;test!$K$16,$A103&lt;&gt;O$1,Recharged_Feasible_mat!P72=1),(VLOOKUP(O$1,test!$A$3:$I$32,8,FALSE))-(VLOOKUP($A103,test!$A$3:$I$32,9,FALSE))+test!$B$35,0)</f>
        <v>0</v>
      </c>
      <c r="P103">
        <f>IF(AND(SUM(VLOOKUP($A103,test!$A$3:$F$32,2,FALSE),VLOOKUP(P$1,test!$A$3:$F$32,2,FALSE))&lt;test!$K$16,$A103&lt;&gt;P$1,Recharged_Feasible_mat!Q72=1),(VLOOKUP(P$1,test!$A$3:$I$32,8,FALSE))-(VLOOKUP($A103,test!$A$3:$I$32,9,FALSE))+test!$B$35,0)</f>
        <v>0</v>
      </c>
      <c r="Q103">
        <f>IF(AND(SUM(VLOOKUP($A103,test!$A$3:$F$32,2,FALSE),VLOOKUP(Q$1,test!$A$3:$F$32,2,FALSE))&lt;test!$K$16,$A103&lt;&gt;Q$1,Recharged_Feasible_mat!R72=1),(VLOOKUP(Q$1,test!$A$3:$I$32,8,FALSE))-(VLOOKUP($A103,test!$A$3:$I$32,9,FALSE))+test!$B$35,0)</f>
        <v>0</v>
      </c>
      <c r="R103">
        <f>IF(AND(SUM(VLOOKUP($A103,test!$A$3:$F$32,2,FALSE),VLOOKUP(R$1,test!$A$3:$F$32,2,FALSE))&lt;test!$K$16,$A103&lt;&gt;R$1,Recharged_Feasible_mat!S72=1),(VLOOKUP(R$1,test!$A$3:$I$32,8,FALSE))-(VLOOKUP($A103,test!$A$3:$I$32,9,FALSE))+test!$B$35,0)</f>
        <v>0</v>
      </c>
      <c r="S103">
        <f>IF(AND(SUM(VLOOKUP($A103,test!$A$3:$F$32,2,FALSE),VLOOKUP(S$1,test!$A$3:$F$32,2,FALSE))&lt;test!$K$16,$A103&lt;&gt;S$1,Recharged_Feasible_mat!T72=1),(VLOOKUP(S$1,test!$A$3:$I$32,8,FALSE))-(VLOOKUP($A103,test!$A$3:$I$32,9,FALSE))+test!$B$35,0)</f>
        <v>0</v>
      </c>
      <c r="T103">
        <f>IF(AND(SUM(VLOOKUP($A103,test!$A$3:$F$32,2,FALSE),VLOOKUP(T$1,test!$A$3:$F$32,2,FALSE))&lt;test!$K$16,$A103&lt;&gt;T$1,Recharged_Feasible_mat!U72=1),(VLOOKUP(T$1,test!$A$3:$I$32,8,FALSE))-(VLOOKUP($A103,test!$A$3:$I$32,9,FALSE))+test!$B$35,0)</f>
        <v>0</v>
      </c>
      <c r="U103">
        <f>IF(AND(SUM(VLOOKUP($A103,test!$A$3:$F$32,2,FALSE),VLOOKUP(U$1,test!$A$3:$F$32,2,FALSE))&lt;test!$K$16,$A103&lt;&gt;U$1,Recharged_Feasible_mat!V72=1),(VLOOKUP(U$1,test!$A$3:$I$32,8,FALSE))-(VLOOKUP($A103,test!$A$3:$I$32,9,FALSE))+test!$B$35,0)</f>
        <v>0</v>
      </c>
      <c r="V103">
        <f>IF(AND(SUM(VLOOKUP($A103,test!$A$3:$F$32,2,FALSE),VLOOKUP(V$1,test!$A$3:$F$32,2,FALSE))&lt;test!$K$16,$A103&lt;&gt;V$1,Recharged_Feasible_mat!W72=1),(VLOOKUP(V$1,test!$A$3:$I$32,8,FALSE))-(VLOOKUP($A103,test!$A$3:$I$32,9,FALSE))+test!$B$35,0)</f>
        <v>0</v>
      </c>
      <c r="W103">
        <f>IF(AND(SUM(VLOOKUP($A103,test!$A$3:$F$32,2,FALSE),VLOOKUP(W$1,test!$A$3:$F$32,2,FALSE))&lt;test!$K$16,$A103&lt;&gt;W$1,Recharged_Feasible_mat!X72=1),(VLOOKUP(W$1,test!$A$3:$I$32,8,FALSE))-(VLOOKUP($A103,test!$A$3:$I$32,9,FALSE))+test!$B$35,0)</f>
        <v>0</v>
      </c>
      <c r="X103">
        <f>IF(AND(SUM(VLOOKUP($A103,test!$A$3:$F$32,2,FALSE),VLOOKUP(X$1,test!$A$3:$F$32,2,FALSE))&lt;test!$K$16,$A103&lt;&gt;X$1,Recharged_Feasible_mat!Y72=1),(VLOOKUP(X$1,test!$A$3:$I$32,8,FALSE))-(VLOOKUP($A103,test!$A$3:$I$32,9,FALSE))+test!$B$35,0)</f>
        <v>0</v>
      </c>
      <c r="Y103">
        <f>IF(AND(SUM(VLOOKUP($A103,test!$A$3:$F$32,2,FALSE),VLOOKUP(Y$1,test!$A$3:$F$32,2,FALSE))&lt;test!$K$16,$A103&lt;&gt;Y$1,Recharged_Feasible_mat!Z72=1),(VLOOKUP(Y$1,test!$A$3:$I$32,8,FALSE))-(VLOOKUP($A103,test!$A$3:$I$32,9,FALSE))+test!$B$35,0)</f>
        <v>0</v>
      </c>
      <c r="Z103">
        <f>IF(AND(SUM(VLOOKUP($A103,test!$A$3:$F$32,2,FALSE),VLOOKUP(Z$1,test!$A$3:$F$32,2,FALSE))&lt;test!$K$16,$A103&lt;&gt;Z$1,Recharged_Feasible_mat!AA72=1),(VLOOKUP(Z$1,test!$A$3:$I$32,8,FALSE))-(VLOOKUP($A103,test!$A$3:$I$32,9,FALSE))+test!$B$35,0)</f>
        <v>0</v>
      </c>
      <c r="AA103">
        <f>IF(AND(SUM(VLOOKUP($A103,test!$A$3:$F$32,2,FALSE),VLOOKUP(AA$1,test!$A$3:$F$32,2,FALSE))&lt;test!$K$16,$A103&lt;&gt;AA$1,Recharged_Feasible_mat!AB72=1),(VLOOKUP(AA$1,test!$A$3:$I$32,8,FALSE))-(VLOOKUP($A103,test!$A$3:$I$32,9,FALSE))+test!$B$35,0)</f>
        <v>0</v>
      </c>
      <c r="AB103">
        <f>IF(AND(SUM(VLOOKUP($A103,test!$A$3:$F$32,2,FALSE),VLOOKUP(AB$1,test!$A$3:$F$32,2,FALSE))&lt;test!$K$16,$A103&lt;&gt;AB$1,Recharged_Feasible_mat!AC72=1),(VLOOKUP(AB$1,test!$A$3:$I$32,8,FALSE))-(VLOOKUP($A103,test!$A$3:$I$32,9,FALSE))+test!$B$35,0)</f>
        <v>0</v>
      </c>
      <c r="AC103">
        <f>IF(AND(SUM(VLOOKUP($A103,test!$A$3:$F$32,2,FALSE),VLOOKUP(AC$1,test!$A$3:$F$32,2,FALSE))&lt;test!$K$16,$A103&lt;&gt;AC$1,Recharged_Feasible_mat!AD72=1),(VLOOKUP(AC$1,test!$A$3:$I$32,8,FALSE))-(VLOOKUP($A103,test!$A$3:$I$32,9,FALSE))+test!$B$35,0)</f>
        <v>0</v>
      </c>
      <c r="AD103">
        <f>IF(AND(SUM(VLOOKUP($A103,test!$A$3:$F$32,2,FALSE),VLOOKUP(AD$1,test!$A$3:$F$32,2,FALSE))&lt;test!$K$16,$A103&lt;&gt;AD$1,Recharged_Feasible_mat!AE72=1),(VLOOKUP(AD$1,test!$A$3:$I$32,8,FALSE))-(VLOOKUP($A103,test!$A$3:$I$32,9,FALSE))+test!$B$35,0)</f>
        <v>0</v>
      </c>
      <c r="AE103">
        <f>IF(AND(SUM(VLOOKUP($A103,test!$A$3:$F$32,2,FALSE),VLOOKUP(AE$1,test!$A$3:$F$32,2,FALSE))&lt;test!$K$16,$A103&lt;&gt;AE$1,Recharged_Feasible_mat!AF72=1),(VLOOKUP(AE$1,test!$A$3:$I$32,8,FALSE))-(VLOOKUP($A103,test!$A$3:$I$32,9,FALSE))+test!$B$35,0)</f>
        <v>0</v>
      </c>
      <c r="AF103">
        <f>IF(AND(SUM(VLOOKUP($A103,test!$A$3:$F$32,2,FALSE),VLOOKUP(AF$1,test!$A$3:$F$32,2,FALSE))&lt;test!$K$16,$A103&lt;&gt;AF$1,Recharged_Feasible_mat!AG72=1),(VLOOKUP(AF$1,test!$A$3:$I$32,8,FALSE))-(VLOOKUP($A103,test!$A$3:$I$32,9,FALSE))+test!$B$35,0)</f>
        <v>0</v>
      </c>
    </row>
    <row r="104" spans="1:32" x14ac:dyDescent="0.25">
      <c r="A104" t="s">
        <v>18</v>
      </c>
      <c r="B104">
        <v>0</v>
      </c>
      <c r="C104">
        <f>IF(AND(SUM(VLOOKUP($A104,test!$A$3:$F$32,2,FALSE),VLOOKUP(C$1,test!$A$3:$F$32,2,FALSE))&lt;test!$K$16,$A104&lt;&gt;C$1,Recharged_Feasible_mat!D73=1),(VLOOKUP(C$1,test!$A$3:$I$32,8,FALSE))-(VLOOKUP($A104,test!$A$3:$I$32,9,FALSE))+test!$B$35,0)</f>
        <v>0</v>
      </c>
      <c r="D104">
        <f>IF(AND(SUM(VLOOKUP($A104,test!$A$3:$F$32,2,FALSE),VLOOKUP(D$1,test!$A$3:$F$32,2,FALSE))&lt;test!$K$16,$A104&lt;&gt;D$1,Recharged_Feasible_mat!E73=1),(VLOOKUP(D$1,test!$A$3:$I$32,8,FALSE))-(VLOOKUP($A104,test!$A$3:$I$32,9,FALSE))+test!$B$35,0)</f>
        <v>0</v>
      </c>
      <c r="E104">
        <f>IF(AND(SUM(VLOOKUP($A104,test!$A$3:$F$32,2,FALSE),VLOOKUP(E$1,test!$A$3:$F$32,2,FALSE))&lt;test!$K$16,$A104&lt;&gt;E$1,Recharged_Feasible_mat!F73=1),(VLOOKUP(E$1,test!$A$3:$I$32,8,FALSE))-(VLOOKUP($A104,test!$A$3:$I$32,9,FALSE))+test!$B$35,0)</f>
        <v>0</v>
      </c>
      <c r="F104">
        <f>IF(AND(SUM(VLOOKUP($A104,test!$A$3:$F$32,2,FALSE),VLOOKUP(F$1,test!$A$3:$F$32,2,FALSE))&lt;test!$K$16,$A104&lt;&gt;F$1,Recharged_Feasible_mat!G73=1),(VLOOKUP(F$1,test!$A$3:$I$32,8,FALSE))-(VLOOKUP($A104,test!$A$3:$I$32,9,FALSE))+test!$B$35,0)</f>
        <v>275</v>
      </c>
      <c r="G104">
        <f>IF(AND(SUM(VLOOKUP($A104,test!$A$3:$F$32,2,FALSE),VLOOKUP(G$1,test!$A$3:$F$32,2,FALSE))&lt;test!$K$16,$A104&lt;&gt;G$1,Recharged_Feasible_mat!H73=1),(VLOOKUP(G$1,test!$A$3:$I$32,8,FALSE))-(VLOOKUP($A104,test!$A$3:$I$32,9,FALSE))+test!$B$35,0)</f>
        <v>335</v>
      </c>
      <c r="H104">
        <f>IF(AND(SUM(VLOOKUP($A104,test!$A$3:$F$32,2,FALSE),VLOOKUP(H$1,test!$A$3:$F$32,2,FALSE))&lt;test!$K$16,$A104&lt;&gt;H$1,Recharged_Feasible_mat!I73=1),(VLOOKUP(H$1,test!$A$3:$I$32,8,FALSE))-(VLOOKUP($A104,test!$A$3:$I$32,9,FALSE))+test!$B$35,0)</f>
        <v>395</v>
      </c>
      <c r="I104">
        <f>IF(AND(SUM(VLOOKUP($A104,test!$A$3:$F$32,2,FALSE),VLOOKUP(I$1,test!$A$3:$F$32,2,FALSE))&lt;test!$K$16,$A104&lt;&gt;I$1,Recharged_Feasible_mat!J73=1),(VLOOKUP(I$1,test!$A$3:$I$32,8,FALSE))-(VLOOKUP($A104,test!$A$3:$I$32,9,FALSE))+test!$B$35,0)</f>
        <v>455</v>
      </c>
      <c r="J104">
        <f>IF(AND(SUM(VLOOKUP($A104,test!$A$3:$F$32,2,FALSE),VLOOKUP(J$1,test!$A$3:$F$32,2,FALSE))&lt;test!$K$16,$A104&lt;&gt;J$1,Recharged_Feasible_mat!K73=1),(VLOOKUP(J$1,test!$A$3:$I$32,8,FALSE))-(VLOOKUP($A104,test!$A$3:$I$32,9,FALSE))+test!$B$35,0)</f>
        <v>545</v>
      </c>
      <c r="K104">
        <f>IF(AND(SUM(VLOOKUP($A104,test!$A$3:$F$32,2,FALSE),VLOOKUP(K$1,test!$A$3:$F$32,2,FALSE))&lt;test!$K$16,$A104&lt;&gt;K$1,Recharged_Feasible_mat!L73=1),(VLOOKUP(K$1,test!$A$3:$I$32,8,FALSE))-(VLOOKUP($A104,test!$A$3:$I$32,9,FALSE))+test!$B$35,0)</f>
        <v>0</v>
      </c>
      <c r="L104">
        <f>IF(AND(SUM(VLOOKUP($A104,test!$A$3:$F$32,2,FALSE),VLOOKUP(L$1,test!$A$3:$F$32,2,FALSE))&lt;test!$K$16,$A104&lt;&gt;L$1,Recharged_Feasible_mat!M73=1),(VLOOKUP(L$1,test!$A$3:$I$32,8,FALSE))-(VLOOKUP($A104,test!$A$3:$I$32,9,FALSE))+test!$B$35,0)</f>
        <v>0</v>
      </c>
      <c r="M104">
        <f>IF(AND(SUM(VLOOKUP($A104,test!$A$3:$F$32,2,FALSE),VLOOKUP(M$1,test!$A$3:$F$32,2,FALSE))&lt;test!$K$16,$A104&lt;&gt;M$1,Recharged_Feasible_mat!N73=1),(VLOOKUP(M$1,test!$A$3:$I$32,8,FALSE))-(VLOOKUP($A104,test!$A$3:$I$32,9,FALSE))+test!$B$35,0)</f>
        <v>0</v>
      </c>
      <c r="N104">
        <f>IF(AND(SUM(VLOOKUP($A104,test!$A$3:$F$32,2,FALSE),VLOOKUP(N$1,test!$A$3:$F$32,2,FALSE))&lt;test!$K$16,$A104&lt;&gt;N$1,Recharged_Feasible_mat!O73=1),(VLOOKUP(N$1,test!$A$3:$I$32,8,FALSE))-(VLOOKUP($A104,test!$A$3:$I$32,9,FALSE))+test!$B$35,0)</f>
        <v>510</v>
      </c>
      <c r="O104">
        <f>IF(AND(SUM(VLOOKUP($A104,test!$A$3:$F$32,2,FALSE),VLOOKUP(O$1,test!$A$3:$F$32,2,FALSE))&lt;test!$K$16,$A104&lt;&gt;O$1,Recharged_Feasible_mat!P73=1),(VLOOKUP(O$1,test!$A$3:$I$32,8,FALSE))-(VLOOKUP($A104,test!$A$3:$I$32,9,FALSE))+test!$B$35,0)</f>
        <v>570</v>
      </c>
      <c r="P104">
        <f>IF(AND(SUM(VLOOKUP($A104,test!$A$3:$F$32,2,FALSE),VLOOKUP(P$1,test!$A$3:$F$32,2,FALSE))&lt;test!$K$16,$A104&lt;&gt;P$1,Recharged_Feasible_mat!Q73=1),(VLOOKUP(P$1,test!$A$3:$I$32,8,FALSE))-(VLOOKUP($A104,test!$A$3:$I$32,9,FALSE))+test!$B$35,0)</f>
        <v>0</v>
      </c>
      <c r="Q104">
        <f>IF(AND(SUM(VLOOKUP($A104,test!$A$3:$F$32,2,FALSE),VLOOKUP(Q$1,test!$A$3:$F$32,2,FALSE))&lt;test!$K$16,$A104&lt;&gt;Q$1,Recharged_Feasible_mat!R73=1),(VLOOKUP(Q$1,test!$A$3:$I$32,8,FALSE))-(VLOOKUP($A104,test!$A$3:$I$32,9,FALSE))+test!$B$35,0)</f>
        <v>0</v>
      </c>
      <c r="R104">
        <f>IF(AND(SUM(VLOOKUP($A104,test!$A$3:$F$32,2,FALSE),VLOOKUP(R$1,test!$A$3:$F$32,2,FALSE))&lt;test!$K$16,$A104&lt;&gt;R$1,Recharged_Feasible_mat!S73=1),(VLOOKUP(R$1,test!$A$3:$I$32,8,FALSE))-(VLOOKUP($A104,test!$A$3:$I$32,9,FALSE))+test!$B$35,0)</f>
        <v>0</v>
      </c>
      <c r="S104">
        <f>IF(AND(SUM(VLOOKUP($A104,test!$A$3:$F$32,2,FALSE),VLOOKUP(S$1,test!$A$3:$F$32,2,FALSE))&lt;test!$K$16,$A104&lt;&gt;S$1,Recharged_Feasible_mat!T73=1),(VLOOKUP(S$1,test!$A$3:$I$32,8,FALSE))-(VLOOKUP($A104,test!$A$3:$I$32,9,FALSE))+test!$B$35,0)</f>
        <v>0</v>
      </c>
      <c r="T104">
        <f>IF(AND(SUM(VLOOKUP($A104,test!$A$3:$F$32,2,FALSE),VLOOKUP(T$1,test!$A$3:$F$32,2,FALSE))&lt;test!$K$16,$A104&lt;&gt;T$1,Recharged_Feasible_mat!U73=1),(VLOOKUP(T$1,test!$A$3:$I$32,8,FALSE))-(VLOOKUP($A104,test!$A$3:$I$32,9,FALSE))+test!$B$35,0)</f>
        <v>0</v>
      </c>
      <c r="U104">
        <f>IF(AND(SUM(VLOOKUP($A104,test!$A$3:$F$32,2,FALSE),VLOOKUP(U$1,test!$A$3:$F$32,2,FALSE))&lt;test!$K$16,$A104&lt;&gt;U$1,Recharged_Feasible_mat!V73=1),(VLOOKUP(U$1,test!$A$3:$I$32,8,FALSE))-(VLOOKUP($A104,test!$A$3:$I$32,9,FALSE))+test!$B$35,0)</f>
        <v>255</v>
      </c>
      <c r="V104">
        <f>IF(AND(SUM(VLOOKUP($A104,test!$A$3:$F$32,2,FALSE),VLOOKUP(V$1,test!$A$3:$F$32,2,FALSE))&lt;test!$K$16,$A104&lt;&gt;V$1,Recharged_Feasible_mat!W73=1),(VLOOKUP(V$1,test!$A$3:$I$32,8,FALSE))-(VLOOKUP($A104,test!$A$3:$I$32,9,FALSE))+test!$B$35,0)</f>
        <v>345</v>
      </c>
      <c r="W104">
        <f>IF(AND(SUM(VLOOKUP($A104,test!$A$3:$F$32,2,FALSE),VLOOKUP(W$1,test!$A$3:$F$32,2,FALSE))&lt;test!$K$16,$A104&lt;&gt;W$1,Recharged_Feasible_mat!X73=1),(VLOOKUP(W$1,test!$A$3:$I$32,8,FALSE))-(VLOOKUP($A104,test!$A$3:$I$32,9,FALSE))+test!$B$35,0)</f>
        <v>435</v>
      </c>
      <c r="X104">
        <f>IF(AND(SUM(VLOOKUP($A104,test!$A$3:$F$32,2,FALSE),VLOOKUP(X$1,test!$A$3:$F$32,2,FALSE))&lt;test!$K$16,$A104&lt;&gt;X$1,Recharged_Feasible_mat!Y73=1),(VLOOKUP(X$1,test!$A$3:$I$32,8,FALSE))-(VLOOKUP($A104,test!$A$3:$I$32,9,FALSE))+test!$B$35,0)</f>
        <v>495</v>
      </c>
      <c r="Y104">
        <f>IF(AND(SUM(VLOOKUP($A104,test!$A$3:$F$32,2,FALSE),VLOOKUP(Y$1,test!$A$3:$F$32,2,FALSE))&lt;test!$K$16,$A104&lt;&gt;Y$1,Recharged_Feasible_mat!Z73=1),(VLOOKUP(Y$1,test!$A$3:$I$32,8,FALSE))-(VLOOKUP($A104,test!$A$3:$I$32,9,FALSE))+test!$B$35,0)</f>
        <v>0</v>
      </c>
      <c r="Z104">
        <f>IF(AND(SUM(VLOOKUP($A104,test!$A$3:$F$32,2,FALSE),VLOOKUP(Z$1,test!$A$3:$F$32,2,FALSE))&lt;test!$K$16,$A104&lt;&gt;Z$1,Recharged_Feasible_mat!AA73=1),(VLOOKUP(Z$1,test!$A$3:$I$32,8,FALSE))-(VLOOKUP($A104,test!$A$3:$I$32,9,FALSE))+test!$B$35,0)</f>
        <v>0</v>
      </c>
      <c r="AA104">
        <f>IF(AND(SUM(VLOOKUP($A104,test!$A$3:$F$32,2,FALSE),VLOOKUP(AA$1,test!$A$3:$F$32,2,FALSE))&lt;test!$K$16,$A104&lt;&gt;AA$1,Recharged_Feasible_mat!AB73=1),(VLOOKUP(AA$1,test!$A$3:$I$32,8,FALSE))-(VLOOKUP($A104,test!$A$3:$I$32,9,FALSE))+test!$B$35,0)</f>
        <v>0</v>
      </c>
      <c r="AB104">
        <f>IF(AND(SUM(VLOOKUP($A104,test!$A$3:$F$32,2,FALSE),VLOOKUP(AB$1,test!$A$3:$F$32,2,FALSE))&lt;test!$K$16,$A104&lt;&gt;AB$1,Recharged_Feasible_mat!AC73=1),(VLOOKUP(AB$1,test!$A$3:$I$32,8,FALSE))-(VLOOKUP($A104,test!$A$3:$I$32,9,FALSE))+test!$B$35,0)</f>
        <v>275</v>
      </c>
      <c r="AC104">
        <f>IF(AND(SUM(VLOOKUP($A104,test!$A$3:$F$32,2,FALSE),VLOOKUP(AC$1,test!$A$3:$F$32,2,FALSE))&lt;test!$K$16,$A104&lt;&gt;AC$1,Recharged_Feasible_mat!AD73=1),(VLOOKUP(AC$1,test!$A$3:$I$32,8,FALSE))-(VLOOKUP($A104,test!$A$3:$I$32,9,FALSE))+test!$B$35,0)</f>
        <v>395</v>
      </c>
      <c r="AD104">
        <f>IF(AND(SUM(VLOOKUP($A104,test!$A$3:$F$32,2,FALSE),VLOOKUP(AD$1,test!$A$3:$F$32,2,FALSE))&lt;test!$K$16,$A104&lt;&gt;AD$1,Recharged_Feasible_mat!AE73=1),(VLOOKUP(AD$1,test!$A$3:$I$32,8,FALSE))-(VLOOKUP($A104,test!$A$3:$I$32,9,FALSE))+test!$B$35,0)</f>
        <v>0</v>
      </c>
      <c r="AE104">
        <f>IF(AND(SUM(VLOOKUP($A104,test!$A$3:$F$32,2,FALSE),VLOOKUP(AE$1,test!$A$3:$F$32,2,FALSE))&lt;test!$K$16,$A104&lt;&gt;AE$1,Recharged_Feasible_mat!AF73=1),(VLOOKUP(AE$1,test!$A$3:$I$32,8,FALSE))-(VLOOKUP($A104,test!$A$3:$I$32,9,FALSE))+test!$B$35,0)</f>
        <v>0</v>
      </c>
      <c r="AF104">
        <f>IF(AND(SUM(VLOOKUP($A104,test!$A$3:$F$32,2,FALSE),VLOOKUP(AF$1,test!$A$3:$F$32,2,FALSE))&lt;test!$K$16,$A104&lt;&gt;AF$1,Recharged_Feasible_mat!AG73=1),(VLOOKUP(AF$1,test!$A$3:$I$32,8,FALSE))-(VLOOKUP($A104,test!$A$3:$I$32,9,FALSE))+test!$B$35,0)</f>
        <v>0</v>
      </c>
    </row>
    <row r="105" spans="1:32" x14ac:dyDescent="0.25">
      <c r="A105" t="s">
        <v>20</v>
      </c>
      <c r="B105">
        <v>0</v>
      </c>
      <c r="C105">
        <f>IF(AND(SUM(VLOOKUP($A105,test!$A$3:$F$32,2,FALSE),VLOOKUP(C$1,test!$A$3:$F$32,2,FALSE))&lt;test!$K$16,$A105&lt;&gt;C$1,Recharged_Feasible_mat!D74=1),(VLOOKUP(C$1,test!$A$3:$I$32,8,FALSE))-(VLOOKUP($A105,test!$A$3:$I$32,9,FALSE))+test!$B$35,0)</f>
        <v>0</v>
      </c>
      <c r="D105">
        <f>IF(AND(SUM(VLOOKUP($A105,test!$A$3:$F$32,2,FALSE),VLOOKUP(D$1,test!$A$3:$F$32,2,FALSE))&lt;test!$K$16,$A105&lt;&gt;D$1,Recharged_Feasible_mat!E74=1),(VLOOKUP(D$1,test!$A$3:$I$32,8,FALSE))-(VLOOKUP($A105,test!$A$3:$I$32,9,FALSE))+test!$B$35,0)</f>
        <v>0</v>
      </c>
      <c r="E105">
        <f>IF(AND(SUM(VLOOKUP($A105,test!$A$3:$F$32,2,FALSE),VLOOKUP(E$1,test!$A$3:$F$32,2,FALSE))&lt;test!$K$16,$A105&lt;&gt;E$1,Recharged_Feasible_mat!F74=1),(VLOOKUP(E$1,test!$A$3:$I$32,8,FALSE))-(VLOOKUP($A105,test!$A$3:$I$32,9,FALSE))+test!$B$35,0)</f>
        <v>0</v>
      </c>
      <c r="F105">
        <f>IF(AND(SUM(VLOOKUP($A105,test!$A$3:$F$32,2,FALSE),VLOOKUP(F$1,test!$A$3:$F$32,2,FALSE))&lt;test!$K$16,$A105&lt;&gt;F$1,Recharged_Feasible_mat!G74=1),(VLOOKUP(F$1,test!$A$3:$I$32,8,FALSE))-(VLOOKUP($A105,test!$A$3:$I$32,9,FALSE))+test!$B$35,0)</f>
        <v>0</v>
      </c>
      <c r="G105">
        <f>IF(AND(SUM(VLOOKUP($A105,test!$A$3:$F$32,2,FALSE),VLOOKUP(G$1,test!$A$3:$F$32,2,FALSE))&lt;test!$K$16,$A105&lt;&gt;G$1,Recharged_Feasible_mat!H74=1),(VLOOKUP(G$1,test!$A$3:$I$32,8,FALSE))-(VLOOKUP($A105,test!$A$3:$I$32,9,FALSE))+test!$B$35,0)</f>
        <v>0</v>
      </c>
      <c r="H105">
        <f>IF(AND(SUM(VLOOKUP($A105,test!$A$3:$F$32,2,FALSE),VLOOKUP(H$1,test!$A$3:$F$32,2,FALSE))&lt;test!$K$16,$A105&lt;&gt;H$1,Recharged_Feasible_mat!I74=1),(VLOOKUP(H$1,test!$A$3:$I$32,8,FALSE))-(VLOOKUP($A105,test!$A$3:$I$32,9,FALSE))+test!$B$35,0)</f>
        <v>275</v>
      </c>
      <c r="I105">
        <f>IF(AND(SUM(VLOOKUP($A105,test!$A$3:$F$32,2,FALSE),VLOOKUP(I$1,test!$A$3:$F$32,2,FALSE))&lt;test!$K$16,$A105&lt;&gt;I$1,Recharged_Feasible_mat!J74=1),(VLOOKUP(I$1,test!$A$3:$I$32,8,FALSE))-(VLOOKUP($A105,test!$A$3:$I$32,9,FALSE))+test!$B$35,0)</f>
        <v>335</v>
      </c>
      <c r="J105">
        <f>IF(AND(SUM(VLOOKUP($A105,test!$A$3:$F$32,2,FALSE),VLOOKUP(J$1,test!$A$3:$F$32,2,FALSE))&lt;test!$K$16,$A105&lt;&gt;J$1,Recharged_Feasible_mat!K74=1),(VLOOKUP(J$1,test!$A$3:$I$32,8,FALSE))-(VLOOKUP($A105,test!$A$3:$I$32,9,FALSE))+test!$B$35,0)</f>
        <v>425</v>
      </c>
      <c r="K105">
        <f>IF(AND(SUM(VLOOKUP($A105,test!$A$3:$F$32,2,FALSE),VLOOKUP(K$1,test!$A$3:$F$32,2,FALSE))&lt;test!$K$16,$A105&lt;&gt;K$1,Recharged_Feasible_mat!L74=1),(VLOOKUP(K$1,test!$A$3:$I$32,8,FALSE))-(VLOOKUP($A105,test!$A$3:$I$32,9,FALSE))+test!$B$35,0)</f>
        <v>0</v>
      </c>
      <c r="L105">
        <f>IF(AND(SUM(VLOOKUP($A105,test!$A$3:$F$32,2,FALSE),VLOOKUP(L$1,test!$A$3:$F$32,2,FALSE))&lt;test!$K$16,$A105&lt;&gt;L$1,Recharged_Feasible_mat!M74=1),(VLOOKUP(L$1,test!$A$3:$I$32,8,FALSE))-(VLOOKUP($A105,test!$A$3:$I$32,9,FALSE))+test!$B$35,0)</f>
        <v>0</v>
      </c>
      <c r="M105">
        <f>IF(AND(SUM(VLOOKUP($A105,test!$A$3:$F$32,2,FALSE),VLOOKUP(M$1,test!$A$3:$F$32,2,FALSE))&lt;test!$K$16,$A105&lt;&gt;M$1,Recharged_Feasible_mat!N74=1),(VLOOKUP(M$1,test!$A$3:$I$32,8,FALSE))-(VLOOKUP($A105,test!$A$3:$I$32,9,FALSE))+test!$B$35,0)</f>
        <v>0</v>
      </c>
      <c r="N105">
        <f>IF(AND(SUM(VLOOKUP($A105,test!$A$3:$F$32,2,FALSE),VLOOKUP(N$1,test!$A$3:$F$32,2,FALSE))&lt;test!$K$16,$A105&lt;&gt;N$1,Recharged_Feasible_mat!O74=1),(VLOOKUP(N$1,test!$A$3:$I$32,8,FALSE))-(VLOOKUP($A105,test!$A$3:$I$32,9,FALSE))+test!$B$35,0)</f>
        <v>390</v>
      </c>
      <c r="O105">
        <f>IF(AND(SUM(VLOOKUP($A105,test!$A$3:$F$32,2,FALSE),VLOOKUP(O$1,test!$A$3:$F$32,2,FALSE))&lt;test!$K$16,$A105&lt;&gt;O$1,Recharged_Feasible_mat!P74=1),(VLOOKUP(O$1,test!$A$3:$I$32,8,FALSE))-(VLOOKUP($A105,test!$A$3:$I$32,9,FALSE))+test!$B$35,0)</f>
        <v>450</v>
      </c>
      <c r="P105">
        <f>IF(AND(SUM(VLOOKUP($A105,test!$A$3:$F$32,2,FALSE),VLOOKUP(P$1,test!$A$3:$F$32,2,FALSE))&lt;test!$K$16,$A105&lt;&gt;P$1,Recharged_Feasible_mat!Q74=1),(VLOOKUP(P$1,test!$A$3:$I$32,8,FALSE))-(VLOOKUP($A105,test!$A$3:$I$32,9,FALSE))+test!$B$35,0)</f>
        <v>0</v>
      </c>
      <c r="Q105">
        <f>IF(AND(SUM(VLOOKUP($A105,test!$A$3:$F$32,2,FALSE),VLOOKUP(Q$1,test!$A$3:$F$32,2,FALSE))&lt;test!$K$16,$A105&lt;&gt;Q$1,Recharged_Feasible_mat!R74=1),(VLOOKUP(Q$1,test!$A$3:$I$32,8,FALSE))-(VLOOKUP($A105,test!$A$3:$I$32,9,FALSE))+test!$B$35,0)</f>
        <v>0</v>
      </c>
      <c r="R105">
        <f>IF(AND(SUM(VLOOKUP($A105,test!$A$3:$F$32,2,FALSE),VLOOKUP(R$1,test!$A$3:$F$32,2,FALSE))&lt;test!$K$16,$A105&lt;&gt;R$1,Recharged_Feasible_mat!S74=1),(VLOOKUP(R$1,test!$A$3:$I$32,8,FALSE))-(VLOOKUP($A105,test!$A$3:$I$32,9,FALSE))+test!$B$35,0)</f>
        <v>0</v>
      </c>
      <c r="S105">
        <f>IF(AND(SUM(VLOOKUP($A105,test!$A$3:$F$32,2,FALSE),VLOOKUP(S$1,test!$A$3:$F$32,2,FALSE))&lt;test!$K$16,$A105&lt;&gt;S$1,Recharged_Feasible_mat!T74=1),(VLOOKUP(S$1,test!$A$3:$I$32,8,FALSE))-(VLOOKUP($A105,test!$A$3:$I$32,9,FALSE))+test!$B$35,0)</f>
        <v>0</v>
      </c>
      <c r="T105">
        <f>IF(AND(SUM(VLOOKUP($A105,test!$A$3:$F$32,2,FALSE),VLOOKUP(T$1,test!$A$3:$F$32,2,FALSE))&lt;test!$K$16,$A105&lt;&gt;T$1,Recharged_Feasible_mat!U74=1),(VLOOKUP(T$1,test!$A$3:$I$32,8,FALSE))-(VLOOKUP($A105,test!$A$3:$I$32,9,FALSE))+test!$B$35,0)</f>
        <v>0</v>
      </c>
      <c r="U105">
        <f>IF(AND(SUM(VLOOKUP($A105,test!$A$3:$F$32,2,FALSE),VLOOKUP(U$1,test!$A$3:$F$32,2,FALSE))&lt;test!$K$16,$A105&lt;&gt;U$1,Recharged_Feasible_mat!V74=1),(VLOOKUP(U$1,test!$A$3:$I$32,8,FALSE))-(VLOOKUP($A105,test!$A$3:$I$32,9,FALSE))+test!$B$35,0)</f>
        <v>0</v>
      </c>
      <c r="V105">
        <f>IF(AND(SUM(VLOOKUP($A105,test!$A$3:$F$32,2,FALSE),VLOOKUP(V$1,test!$A$3:$F$32,2,FALSE))&lt;test!$K$16,$A105&lt;&gt;V$1,Recharged_Feasible_mat!W74=1),(VLOOKUP(V$1,test!$A$3:$I$32,8,FALSE))-(VLOOKUP($A105,test!$A$3:$I$32,9,FALSE))+test!$B$35,0)</f>
        <v>0</v>
      </c>
      <c r="W105">
        <f>IF(AND(SUM(VLOOKUP($A105,test!$A$3:$F$32,2,FALSE),VLOOKUP(W$1,test!$A$3:$F$32,2,FALSE))&lt;test!$K$16,$A105&lt;&gt;W$1,Recharged_Feasible_mat!X74=1),(VLOOKUP(W$1,test!$A$3:$I$32,8,FALSE))-(VLOOKUP($A105,test!$A$3:$I$32,9,FALSE))+test!$B$35,0)</f>
        <v>315</v>
      </c>
      <c r="X105">
        <f>IF(AND(SUM(VLOOKUP($A105,test!$A$3:$F$32,2,FALSE),VLOOKUP(X$1,test!$A$3:$F$32,2,FALSE))&lt;test!$K$16,$A105&lt;&gt;X$1,Recharged_Feasible_mat!Y74=1),(VLOOKUP(X$1,test!$A$3:$I$32,8,FALSE))-(VLOOKUP($A105,test!$A$3:$I$32,9,FALSE))+test!$B$35,0)</f>
        <v>375</v>
      </c>
      <c r="Y105">
        <f>IF(AND(SUM(VLOOKUP($A105,test!$A$3:$F$32,2,FALSE),VLOOKUP(Y$1,test!$A$3:$F$32,2,FALSE))&lt;test!$K$16,$A105&lt;&gt;Y$1,Recharged_Feasible_mat!Z74=1),(VLOOKUP(Y$1,test!$A$3:$I$32,8,FALSE))-(VLOOKUP($A105,test!$A$3:$I$32,9,FALSE))+test!$B$35,0)</f>
        <v>0</v>
      </c>
      <c r="Z105">
        <f>IF(AND(SUM(VLOOKUP($A105,test!$A$3:$F$32,2,FALSE),VLOOKUP(Z$1,test!$A$3:$F$32,2,FALSE))&lt;test!$K$16,$A105&lt;&gt;Z$1,Recharged_Feasible_mat!AA74=1),(VLOOKUP(Z$1,test!$A$3:$I$32,8,FALSE))-(VLOOKUP($A105,test!$A$3:$I$32,9,FALSE))+test!$B$35,0)</f>
        <v>0</v>
      </c>
      <c r="AA105">
        <f>IF(AND(SUM(VLOOKUP($A105,test!$A$3:$F$32,2,FALSE),VLOOKUP(AA$1,test!$A$3:$F$32,2,FALSE))&lt;test!$K$16,$A105&lt;&gt;AA$1,Recharged_Feasible_mat!AB74=1),(VLOOKUP(AA$1,test!$A$3:$I$32,8,FALSE))-(VLOOKUP($A105,test!$A$3:$I$32,9,FALSE))+test!$B$35,0)</f>
        <v>0</v>
      </c>
      <c r="AB105">
        <f>IF(AND(SUM(VLOOKUP($A105,test!$A$3:$F$32,2,FALSE),VLOOKUP(AB$1,test!$A$3:$F$32,2,FALSE))&lt;test!$K$16,$A105&lt;&gt;AB$1,Recharged_Feasible_mat!AC74=1),(VLOOKUP(AB$1,test!$A$3:$I$32,8,FALSE))-(VLOOKUP($A105,test!$A$3:$I$32,9,FALSE))+test!$B$35,0)</f>
        <v>0</v>
      </c>
      <c r="AC105">
        <f>IF(AND(SUM(VLOOKUP($A105,test!$A$3:$F$32,2,FALSE),VLOOKUP(AC$1,test!$A$3:$F$32,2,FALSE))&lt;test!$K$16,$A105&lt;&gt;AC$1,Recharged_Feasible_mat!AD74=1),(VLOOKUP(AC$1,test!$A$3:$I$32,8,FALSE))-(VLOOKUP($A105,test!$A$3:$I$32,9,FALSE))+test!$B$35,0)</f>
        <v>275</v>
      </c>
      <c r="AD105">
        <f>IF(AND(SUM(VLOOKUP($A105,test!$A$3:$F$32,2,FALSE),VLOOKUP(AD$1,test!$A$3:$F$32,2,FALSE))&lt;test!$K$16,$A105&lt;&gt;AD$1,Recharged_Feasible_mat!AE74=1),(VLOOKUP(AD$1,test!$A$3:$I$32,8,FALSE))-(VLOOKUP($A105,test!$A$3:$I$32,9,FALSE))+test!$B$35,0)</f>
        <v>0</v>
      </c>
      <c r="AE105">
        <f>IF(AND(SUM(VLOOKUP($A105,test!$A$3:$F$32,2,FALSE),VLOOKUP(AE$1,test!$A$3:$F$32,2,FALSE))&lt;test!$K$16,$A105&lt;&gt;AE$1,Recharged_Feasible_mat!AF74=1),(VLOOKUP(AE$1,test!$A$3:$I$32,8,FALSE))-(VLOOKUP($A105,test!$A$3:$I$32,9,FALSE))+test!$B$35,0)</f>
        <v>0</v>
      </c>
      <c r="AF105">
        <f>IF(AND(SUM(VLOOKUP($A105,test!$A$3:$F$32,2,FALSE),VLOOKUP(AF$1,test!$A$3:$F$32,2,FALSE))&lt;test!$K$16,$A105&lt;&gt;AF$1,Recharged_Feasible_mat!AG74=1),(VLOOKUP(AF$1,test!$A$3:$I$32,8,FALSE))-(VLOOKUP($A105,test!$A$3:$I$32,9,FALSE))+test!$B$35,0)</f>
        <v>0</v>
      </c>
    </row>
    <row r="106" spans="1:32" x14ac:dyDescent="0.25">
      <c r="A106" t="s">
        <v>21</v>
      </c>
      <c r="B106">
        <v>0</v>
      </c>
      <c r="C106">
        <f>IF(AND(SUM(VLOOKUP($A106,test!$A$3:$F$32,2,FALSE),VLOOKUP(C$1,test!$A$3:$F$32,2,FALSE))&lt;test!$K$16,$A106&lt;&gt;C$1,Recharged_Feasible_mat!D75=1),(VLOOKUP(C$1,test!$A$3:$I$32,8,FALSE))-(VLOOKUP($A106,test!$A$3:$I$32,9,FALSE))+test!$B$35,0)</f>
        <v>0</v>
      </c>
      <c r="D106">
        <f>IF(AND(SUM(VLOOKUP($A106,test!$A$3:$F$32,2,FALSE),VLOOKUP(D$1,test!$A$3:$F$32,2,FALSE))&lt;test!$K$16,$A106&lt;&gt;D$1,Recharged_Feasible_mat!E75=1),(VLOOKUP(D$1,test!$A$3:$I$32,8,FALSE))-(VLOOKUP($A106,test!$A$3:$I$32,9,FALSE))+test!$B$35,0)</f>
        <v>0</v>
      </c>
      <c r="E106">
        <f>IF(AND(SUM(VLOOKUP($A106,test!$A$3:$F$32,2,FALSE),VLOOKUP(E$1,test!$A$3:$F$32,2,FALSE))&lt;test!$K$16,$A106&lt;&gt;E$1,Recharged_Feasible_mat!F75=1),(VLOOKUP(E$1,test!$A$3:$I$32,8,FALSE))-(VLOOKUP($A106,test!$A$3:$I$32,9,FALSE))+test!$B$35,0)</f>
        <v>0</v>
      </c>
      <c r="F106">
        <f>IF(AND(SUM(VLOOKUP($A106,test!$A$3:$F$32,2,FALSE),VLOOKUP(F$1,test!$A$3:$F$32,2,FALSE))&lt;test!$K$16,$A106&lt;&gt;F$1,Recharged_Feasible_mat!G75=1),(VLOOKUP(F$1,test!$A$3:$I$32,8,FALSE))-(VLOOKUP($A106,test!$A$3:$I$32,9,FALSE))+test!$B$35,0)</f>
        <v>0</v>
      </c>
      <c r="G106">
        <f>IF(AND(SUM(VLOOKUP($A106,test!$A$3:$F$32,2,FALSE),VLOOKUP(G$1,test!$A$3:$F$32,2,FALSE))&lt;test!$K$16,$A106&lt;&gt;G$1,Recharged_Feasible_mat!H75=1),(VLOOKUP(G$1,test!$A$3:$I$32,8,FALSE))-(VLOOKUP($A106,test!$A$3:$I$32,9,FALSE))+test!$B$35,0)</f>
        <v>0</v>
      </c>
      <c r="H106">
        <f>IF(AND(SUM(VLOOKUP($A106,test!$A$3:$F$32,2,FALSE),VLOOKUP(H$1,test!$A$3:$F$32,2,FALSE))&lt;test!$K$16,$A106&lt;&gt;H$1,Recharged_Feasible_mat!I75=1),(VLOOKUP(H$1,test!$A$3:$I$32,8,FALSE))-(VLOOKUP($A106,test!$A$3:$I$32,9,FALSE))+test!$B$35,0)</f>
        <v>0</v>
      </c>
      <c r="I106">
        <f>IF(AND(SUM(VLOOKUP($A106,test!$A$3:$F$32,2,FALSE),VLOOKUP(I$1,test!$A$3:$F$32,2,FALSE))&lt;test!$K$16,$A106&lt;&gt;I$1,Recharged_Feasible_mat!J75=1),(VLOOKUP(I$1,test!$A$3:$I$32,8,FALSE))-(VLOOKUP($A106,test!$A$3:$I$32,9,FALSE))+test!$B$35,0)</f>
        <v>0</v>
      </c>
      <c r="J106">
        <f>IF(AND(SUM(VLOOKUP($A106,test!$A$3:$F$32,2,FALSE),VLOOKUP(J$1,test!$A$3:$F$32,2,FALSE))&lt;test!$K$16,$A106&lt;&gt;J$1,Recharged_Feasible_mat!K75=1),(VLOOKUP(J$1,test!$A$3:$I$32,8,FALSE))-(VLOOKUP($A106,test!$A$3:$I$32,9,FALSE))+test!$B$35,0)</f>
        <v>305</v>
      </c>
      <c r="K106">
        <f>IF(AND(SUM(VLOOKUP($A106,test!$A$3:$F$32,2,FALSE),VLOOKUP(K$1,test!$A$3:$F$32,2,FALSE))&lt;test!$K$16,$A106&lt;&gt;K$1,Recharged_Feasible_mat!L75=1),(VLOOKUP(K$1,test!$A$3:$I$32,8,FALSE))-(VLOOKUP($A106,test!$A$3:$I$32,9,FALSE))+test!$B$35,0)</f>
        <v>0</v>
      </c>
      <c r="L106">
        <f>IF(AND(SUM(VLOOKUP($A106,test!$A$3:$F$32,2,FALSE),VLOOKUP(L$1,test!$A$3:$F$32,2,FALSE))&lt;test!$K$16,$A106&lt;&gt;L$1,Recharged_Feasible_mat!M75=1),(VLOOKUP(L$1,test!$A$3:$I$32,8,FALSE))-(VLOOKUP($A106,test!$A$3:$I$32,9,FALSE))+test!$B$35,0)</f>
        <v>0</v>
      </c>
      <c r="M106">
        <f>IF(AND(SUM(VLOOKUP($A106,test!$A$3:$F$32,2,FALSE),VLOOKUP(M$1,test!$A$3:$F$32,2,FALSE))&lt;test!$K$16,$A106&lt;&gt;M$1,Recharged_Feasible_mat!N75=1),(VLOOKUP(M$1,test!$A$3:$I$32,8,FALSE))-(VLOOKUP($A106,test!$A$3:$I$32,9,FALSE))+test!$B$35,0)</f>
        <v>0</v>
      </c>
      <c r="N106">
        <f>IF(AND(SUM(VLOOKUP($A106,test!$A$3:$F$32,2,FALSE),VLOOKUP(N$1,test!$A$3:$F$32,2,FALSE))&lt;test!$K$16,$A106&lt;&gt;N$1,Recharged_Feasible_mat!O75=1),(VLOOKUP(N$1,test!$A$3:$I$32,8,FALSE))-(VLOOKUP($A106,test!$A$3:$I$32,9,FALSE))+test!$B$35,0)</f>
        <v>270</v>
      </c>
      <c r="O106">
        <f>IF(AND(SUM(VLOOKUP($A106,test!$A$3:$F$32,2,FALSE),VLOOKUP(O$1,test!$A$3:$F$32,2,FALSE))&lt;test!$K$16,$A106&lt;&gt;O$1,Recharged_Feasible_mat!P75=1),(VLOOKUP(O$1,test!$A$3:$I$32,8,FALSE))-(VLOOKUP($A106,test!$A$3:$I$32,9,FALSE))+test!$B$35,0)</f>
        <v>330</v>
      </c>
      <c r="P106">
        <f>IF(AND(SUM(VLOOKUP($A106,test!$A$3:$F$32,2,FALSE),VLOOKUP(P$1,test!$A$3:$F$32,2,FALSE))&lt;test!$K$16,$A106&lt;&gt;P$1,Recharged_Feasible_mat!Q75=1),(VLOOKUP(P$1,test!$A$3:$I$32,8,FALSE))-(VLOOKUP($A106,test!$A$3:$I$32,9,FALSE))+test!$B$35,0)</f>
        <v>0</v>
      </c>
      <c r="Q106">
        <f>IF(AND(SUM(VLOOKUP($A106,test!$A$3:$F$32,2,FALSE),VLOOKUP(Q$1,test!$A$3:$F$32,2,FALSE))&lt;test!$K$16,$A106&lt;&gt;Q$1,Recharged_Feasible_mat!R75=1),(VLOOKUP(Q$1,test!$A$3:$I$32,8,FALSE))-(VLOOKUP($A106,test!$A$3:$I$32,9,FALSE))+test!$B$35,0)</f>
        <v>0</v>
      </c>
      <c r="R106">
        <f>IF(AND(SUM(VLOOKUP($A106,test!$A$3:$F$32,2,FALSE),VLOOKUP(R$1,test!$A$3:$F$32,2,FALSE))&lt;test!$K$16,$A106&lt;&gt;R$1,Recharged_Feasible_mat!S75=1),(VLOOKUP(R$1,test!$A$3:$I$32,8,FALSE))-(VLOOKUP($A106,test!$A$3:$I$32,9,FALSE))+test!$B$35,0)</f>
        <v>0</v>
      </c>
      <c r="S106">
        <f>IF(AND(SUM(VLOOKUP($A106,test!$A$3:$F$32,2,FALSE),VLOOKUP(S$1,test!$A$3:$F$32,2,FALSE))&lt;test!$K$16,$A106&lt;&gt;S$1,Recharged_Feasible_mat!T75=1),(VLOOKUP(S$1,test!$A$3:$I$32,8,FALSE))-(VLOOKUP($A106,test!$A$3:$I$32,9,FALSE))+test!$B$35,0)</f>
        <v>0</v>
      </c>
      <c r="T106">
        <f>IF(AND(SUM(VLOOKUP($A106,test!$A$3:$F$32,2,FALSE),VLOOKUP(T$1,test!$A$3:$F$32,2,FALSE))&lt;test!$K$16,$A106&lt;&gt;T$1,Recharged_Feasible_mat!U75=1),(VLOOKUP(T$1,test!$A$3:$I$32,8,FALSE))-(VLOOKUP($A106,test!$A$3:$I$32,9,FALSE))+test!$B$35,0)</f>
        <v>0</v>
      </c>
      <c r="U106">
        <f>IF(AND(SUM(VLOOKUP($A106,test!$A$3:$F$32,2,FALSE),VLOOKUP(U$1,test!$A$3:$F$32,2,FALSE))&lt;test!$K$16,$A106&lt;&gt;U$1,Recharged_Feasible_mat!V75=1),(VLOOKUP(U$1,test!$A$3:$I$32,8,FALSE))-(VLOOKUP($A106,test!$A$3:$I$32,9,FALSE))+test!$B$35,0)</f>
        <v>0</v>
      </c>
      <c r="V106">
        <f>IF(AND(SUM(VLOOKUP($A106,test!$A$3:$F$32,2,FALSE),VLOOKUP(V$1,test!$A$3:$F$32,2,FALSE))&lt;test!$K$16,$A106&lt;&gt;V$1,Recharged_Feasible_mat!W75=1),(VLOOKUP(V$1,test!$A$3:$I$32,8,FALSE))-(VLOOKUP($A106,test!$A$3:$I$32,9,FALSE))+test!$B$35,0)</f>
        <v>0</v>
      </c>
      <c r="W106">
        <f>IF(AND(SUM(VLOOKUP($A106,test!$A$3:$F$32,2,FALSE),VLOOKUP(W$1,test!$A$3:$F$32,2,FALSE))&lt;test!$K$16,$A106&lt;&gt;W$1,Recharged_Feasible_mat!X75=1),(VLOOKUP(W$1,test!$A$3:$I$32,8,FALSE))-(VLOOKUP($A106,test!$A$3:$I$32,9,FALSE))+test!$B$35,0)</f>
        <v>0</v>
      </c>
      <c r="X106">
        <f>IF(AND(SUM(VLOOKUP($A106,test!$A$3:$F$32,2,FALSE),VLOOKUP(X$1,test!$A$3:$F$32,2,FALSE))&lt;test!$K$16,$A106&lt;&gt;X$1,Recharged_Feasible_mat!Y75=1),(VLOOKUP(X$1,test!$A$3:$I$32,8,FALSE))-(VLOOKUP($A106,test!$A$3:$I$32,9,FALSE))+test!$B$35,0)</f>
        <v>255</v>
      </c>
      <c r="Y106">
        <f>IF(AND(SUM(VLOOKUP($A106,test!$A$3:$F$32,2,FALSE),VLOOKUP(Y$1,test!$A$3:$F$32,2,FALSE))&lt;test!$K$16,$A106&lt;&gt;Y$1,Recharged_Feasible_mat!Z75=1),(VLOOKUP(Y$1,test!$A$3:$I$32,8,FALSE))-(VLOOKUP($A106,test!$A$3:$I$32,9,FALSE))+test!$B$35,0)</f>
        <v>0</v>
      </c>
      <c r="Z106">
        <f>IF(AND(SUM(VLOOKUP($A106,test!$A$3:$F$32,2,FALSE),VLOOKUP(Z$1,test!$A$3:$F$32,2,FALSE))&lt;test!$K$16,$A106&lt;&gt;Z$1,Recharged_Feasible_mat!AA75=1),(VLOOKUP(Z$1,test!$A$3:$I$32,8,FALSE))-(VLOOKUP($A106,test!$A$3:$I$32,9,FALSE))+test!$B$35,0)</f>
        <v>0</v>
      </c>
      <c r="AA106">
        <f>IF(AND(SUM(VLOOKUP($A106,test!$A$3:$F$32,2,FALSE),VLOOKUP(AA$1,test!$A$3:$F$32,2,FALSE))&lt;test!$K$16,$A106&lt;&gt;AA$1,Recharged_Feasible_mat!AB75=1),(VLOOKUP(AA$1,test!$A$3:$I$32,8,FALSE))-(VLOOKUP($A106,test!$A$3:$I$32,9,FALSE))+test!$B$35,0)</f>
        <v>0</v>
      </c>
      <c r="AB106">
        <f>IF(AND(SUM(VLOOKUP($A106,test!$A$3:$F$32,2,FALSE),VLOOKUP(AB$1,test!$A$3:$F$32,2,FALSE))&lt;test!$K$16,$A106&lt;&gt;AB$1,Recharged_Feasible_mat!AC75=1),(VLOOKUP(AB$1,test!$A$3:$I$32,8,FALSE))-(VLOOKUP($A106,test!$A$3:$I$32,9,FALSE))+test!$B$35,0)</f>
        <v>0</v>
      </c>
      <c r="AC106">
        <f>IF(AND(SUM(VLOOKUP($A106,test!$A$3:$F$32,2,FALSE),VLOOKUP(AC$1,test!$A$3:$F$32,2,FALSE))&lt;test!$K$16,$A106&lt;&gt;AC$1,Recharged_Feasible_mat!AD75=1),(VLOOKUP(AC$1,test!$A$3:$I$32,8,FALSE))-(VLOOKUP($A106,test!$A$3:$I$32,9,FALSE))+test!$B$35,0)</f>
        <v>0</v>
      </c>
      <c r="AD106">
        <f>IF(AND(SUM(VLOOKUP($A106,test!$A$3:$F$32,2,FALSE),VLOOKUP(AD$1,test!$A$3:$F$32,2,FALSE))&lt;test!$K$16,$A106&lt;&gt;AD$1,Recharged_Feasible_mat!AE75=1),(VLOOKUP(AD$1,test!$A$3:$I$32,8,FALSE))-(VLOOKUP($A106,test!$A$3:$I$32,9,FALSE))+test!$B$35,0)</f>
        <v>0</v>
      </c>
      <c r="AE106">
        <f>IF(AND(SUM(VLOOKUP($A106,test!$A$3:$F$32,2,FALSE),VLOOKUP(AE$1,test!$A$3:$F$32,2,FALSE))&lt;test!$K$16,$A106&lt;&gt;AE$1,Recharged_Feasible_mat!AF75=1),(VLOOKUP(AE$1,test!$A$3:$I$32,8,FALSE))-(VLOOKUP($A106,test!$A$3:$I$32,9,FALSE))+test!$B$35,0)</f>
        <v>0</v>
      </c>
      <c r="AF106">
        <f>IF(AND(SUM(VLOOKUP($A106,test!$A$3:$F$32,2,FALSE),VLOOKUP(AF$1,test!$A$3:$F$32,2,FALSE))&lt;test!$K$16,$A106&lt;&gt;AF$1,Recharged_Feasible_mat!AG75=1),(VLOOKUP(AF$1,test!$A$3:$I$32,8,FALSE))-(VLOOKUP($A106,test!$A$3:$I$32,9,FALSE))+test!$B$35,0)</f>
        <v>0</v>
      </c>
    </row>
    <row r="107" spans="1:32" x14ac:dyDescent="0.25">
      <c r="A107" t="s">
        <v>22</v>
      </c>
      <c r="B107">
        <v>0</v>
      </c>
      <c r="C107">
        <f>IF(AND(SUM(VLOOKUP($A107,test!$A$3:$F$32,2,FALSE),VLOOKUP(C$1,test!$A$3:$F$32,2,FALSE))&lt;test!$K$16,$A107&lt;&gt;C$1,Recharged_Feasible_mat!D76=1),(VLOOKUP(C$1,test!$A$3:$I$32,8,FALSE))-(VLOOKUP($A107,test!$A$3:$I$32,9,FALSE))+test!$B$35,0)</f>
        <v>0</v>
      </c>
      <c r="D107">
        <f>IF(AND(SUM(VLOOKUP($A107,test!$A$3:$F$32,2,FALSE),VLOOKUP(D$1,test!$A$3:$F$32,2,FALSE))&lt;test!$K$16,$A107&lt;&gt;D$1,Recharged_Feasible_mat!E76=1),(VLOOKUP(D$1,test!$A$3:$I$32,8,FALSE))-(VLOOKUP($A107,test!$A$3:$I$32,9,FALSE))+test!$B$35,0)</f>
        <v>0</v>
      </c>
      <c r="E107">
        <f>IF(AND(SUM(VLOOKUP($A107,test!$A$3:$F$32,2,FALSE),VLOOKUP(E$1,test!$A$3:$F$32,2,FALSE))&lt;test!$K$16,$A107&lt;&gt;E$1,Recharged_Feasible_mat!F76=1),(VLOOKUP(E$1,test!$A$3:$I$32,8,FALSE))-(VLOOKUP($A107,test!$A$3:$I$32,9,FALSE))+test!$B$35,0)</f>
        <v>0</v>
      </c>
      <c r="F107">
        <f>IF(AND(SUM(VLOOKUP($A107,test!$A$3:$F$32,2,FALSE),VLOOKUP(F$1,test!$A$3:$F$32,2,FALSE))&lt;test!$K$16,$A107&lt;&gt;F$1,Recharged_Feasible_mat!G76=1),(VLOOKUP(F$1,test!$A$3:$I$32,8,FALSE))-(VLOOKUP($A107,test!$A$3:$I$32,9,FALSE))+test!$B$35,0)</f>
        <v>0</v>
      </c>
      <c r="G107">
        <f>IF(AND(SUM(VLOOKUP($A107,test!$A$3:$F$32,2,FALSE),VLOOKUP(G$1,test!$A$3:$F$32,2,FALSE))&lt;test!$K$16,$A107&lt;&gt;G$1,Recharged_Feasible_mat!H76=1),(VLOOKUP(G$1,test!$A$3:$I$32,8,FALSE))-(VLOOKUP($A107,test!$A$3:$I$32,9,FALSE))+test!$B$35,0)</f>
        <v>0</v>
      </c>
      <c r="H107">
        <f>IF(AND(SUM(VLOOKUP($A107,test!$A$3:$F$32,2,FALSE),VLOOKUP(H$1,test!$A$3:$F$32,2,FALSE))&lt;test!$K$16,$A107&lt;&gt;H$1,Recharged_Feasible_mat!I76=1),(VLOOKUP(H$1,test!$A$3:$I$32,8,FALSE))-(VLOOKUP($A107,test!$A$3:$I$32,9,FALSE))+test!$B$35,0)</f>
        <v>0</v>
      </c>
      <c r="I107">
        <f>IF(AND(SUM(VLOOKUP($A107,test!$A$3:$F$32,2,FALSE),VLOOKUP(I$1,test!$A$3:$F$32,2,FALSE))&lt;test!$K$16,$A107&lt;&gt;I$1,Recharged_Feasible_mat!J76=1),(VLOOKUP(I$1,test!$A$3:$I$32,8,FALSE))-(VLOOKUP($A107,test!$A$3:$I$32,9,FALSE))+test!$B$35,0)</f>
        <v>0</v>
      </c>
      <c r="J107">
        <f>IF(AND(SUM(VLOOKUP($A107,test!$A$3:$F$32,2,FALSE),VLOOKUP(J$1,test!$A$3:$F$32,2,FALSE))&lt;test!$K$16,$A107&lt;&gt;J$1,Recharged_Feasible_mat!K76=1),(VLOOKUP(J$1,test!$A$3:$I$32,8,FALSE))-(VLOOKUP($A107,test!$A$3:$I$32,9,FALSE))+test!$B$35,0)</f>
        <v>0</v>
      </c>
      <c r="K107">
        <f>IF(AND(SUM(VLOOKUP($A107,test!$A$3:$F$32,2,FALSE),VLOOKUP(K$1,test!$A$3:$F$32,2,FALSE))&lt;test!$K$16,$A107&lt;&gt;K$1,Recharged_Feasible_mat!L76=1),(VLOOKUP(K$1,test!$A$3:$I$32,8,FALSE))-(VLOOKUP($A107,test!$A$3:$I$32,9,FALSE))+test!$B$35,0)</f>
        <v>0</v>
      </c>
      <c r="L107">
        <f>IF(AND(SUM(VLOOKUP($A107,test!$A$3:$F$32,2,FALSE),VLOOKUP(L$1,test!$A$3:$F$32,2,FALSE))&lt;test!$K$16,$A107&lt;&gt;L$1,Recharged_Feasible_mat!M76=1),(VLOOKUP(L$1,test!$A$3:$I$32,8,FALSE))-(VLOOKUP($A107,test!$A$3:$I$32,9,FALSE))+test!$B$35,0)</f>
        <v>0</v>
      </c>
      <c r="M107">
        <f>IF(AND(SUM(VLOOKUP($A107,test!$A$3:$F$32,2,FALSE),VLOOKUP(M$1,test!$A$3:$F$32,2,FALSE))&lt;test!$K$16,$A107&lt;&gt;M$1,Recharged_Feasible_mat!N76=1),(VLOOKUP(M$1,test!$A$3:$I$32,8,FALSE))-(VLOOKUP($A107,test!$A$3:$I$32,9,FALSE))+test!$B$35,0)</f>
        <v>0</v>
      </c>
      <c r="N107">
        <f>IF(AND(SUM(VLOOKUP($A107,test!$A$3:$F$32,2,FALSE),VLOOKUP(N$1,test!$A$3:$F$32,2,FALSE))&lt;test!$K$16,$A107&lt;&gt;N$1,Recharged_Feasible_mat!O76=1),(VLOOKUP(N$1,test!$A$3:$I$32,8,FALSE))-(VLOOKUP($A107,test!$A$3:$I$32,9,FALSE))+test!$B$35,0)</f>
        <v>0</v>
      </c>
      <c r="O107">
        <f>IF(AND(SUM(VLOOKUP($A107,test!$A$3:$F$32,2,FALSE),VLOOKUP(O$1,test!$A$3:$F$32,2,FALSE))&lt;test!$K$16,$A107&lt;&gt;O$1,Recharged_Feasible_mat!P76=1),(VLOOKUP(O$1,test!$A$3:$I$32,8,FALSE))-(VLOOKUP($A107,test!$A$3:$I$32,9,FALSE))+test!$B$35,0)</f>
        <v>0</v>
      </c>
      <c r="P107">
        <f>IF(AND(SUM(VLOOKUP($A107,test!$A$3:$F$32,2,FALSE),VLOOKUP(P$1,test!$A$3:$F$32,2,FALSE))&lt;test!$K$16,$A107&lt;&gt;P$1,Recharged_Feasible_mat!Q76=1),(VLOOKUP(P$1,test!$A$3:$I$32,8,FALSE))-(VLOOKUP($A107,test!$A$3:$I$32,9,FALSE))+test!$B$35,0)</f>
        <v>0</v>
      </c>
      <c r="Q107">
        <f>IF(AND(SUM(VLOOKUP($A107,test!$A$3:$F$32,2,FALSE),VLOOKUP(Q$1,test!$A$3:$F$32,2,FALSE))&lt;test!$K$16,$A107&lt;&gt;Q$1,Recharged_Feasible_mat!R76=1),(VLOOKUP(Q$1,test!$A$3:$I$32,8,FALSE))-(VLOOKUP($A107,test!$A$3:$I$32,9,FALSE))+test!$B$35,0)</f>
        <v>0</v>
      </c>
      <c r="R107">
        <f>IF(AND(SUM(VLOOKUP($A107,test!$A$3:$F$32,2,FALSE),VLOOKUP(R$1,test!$A$3:$F$32,2,FALSE))&lt;test!$K$16,$A107&lt;&gt;R$1,Recharged_Feasible_mat!S76=1),(VLOOKUP(R$1,test!$A$3:$I$32,8,FALSE))-(VLOOKUP($A107,test!$A$3:$I$32,9,FALSE))+test!$B$35,0)</f>
        <v>0</v>
      </c>
      <c r="S107">
        <f>IF(AND(SUM(VLOOKUP($A107,test!$A$3:$F$32,2,FALSE),VLOOKUP(S$1,test!$A$3:$F$32,2,FALSE))&lt;test!$K$16,$A107&lt;&gt;S$1,Recharged_Feasible_mat!T76=1),(VLOOKUP(S$1,test!$A$3:$I$32,8,FALSE))-(VLOOKUP($A107,test!$A$3:$I$32,9,FALSE))+test!$B$35,0)</f>
        <v>0</v>
      </c>
      <c r="T107">
        <f>IF(AND(SUM(VLOOKUP($A107,test!$A$3:$F$32,2,FALSE),VLOOKUP(T$1,test!$A$3:$F$32,2,FALSE))&lt;test!$K$16,$A107&lt;&gt;T$1,Recharged_Feasible_mat!U76=1),(VLOOKUP(T$1,test!$A$3:$I$32,8,FALSE))-(VLOOKUP($A107,test!$A$3:$I$32,9,FALSE))+test!$B$35,0)</f>
        <v>0</v>
      </c>
      <c r="U107">
        <f>IF(AND(SUM(VLOOKUP($A107,test!$A$3:$F$32,2,FALSE),VLOOKUP(U$1,test!$A$3:$F$32,2,FALSE))&lt;test!$K$16,$A107&lt;&gt;U$1,Recharged_Feasible_mat!V76=1),(VLOOKUP(U$1,test!$A$3:$I$32,8,FALSE))-(VLOOKUP($A107,test!$A$3:$I$32,9,FALSE))+test!$B$35,0)</f>
        <v>0</v>
      </c>
      <c r="V107">
        <f>IF(AND(SUM(VLOOKUP($A107,test!$A$3:$F$32,2,FALSE),VLOOKUP(V$1,test!$A$3:$F$32,2,FALSE))&lt;test!$K$16,$A107&lt;&gt;V$1,Recharged_Feasible_mat!W76=1),(VLOOKUP(V$1,test!$A$3:$I$32,8,FALSE))-(VLOOKUP($A107,test!$A$3:$I$32,9,FALSE))+test!$B$35,0)</f>
        <v>0</v>
      </c>
      <c r="W107">
        <f>IF(AND(SUM(VLOOKUP($A107,test!$A$3:$F$32,2,FALSE),VLOOKUP(W$1,test!$A$3:$F$32,2,FALSE))&lt;test!$K$16,$A107&lt;&gt;W$1,Recharged_Feasible_mat!X76=1),(VLOOKUP(W$1,test!$A$3:$I$32,8,FALSE))-(VLOOKUP($A107,test!$A$3:$I$32,9,FALSE))+test!$B$35,0)</f>
        <v>0</v>
      </c>
      <c r="X107">
        <f>IF(AND(SUM(VLOOKUP($A107,test!$A$3:$F$32,2,FALSE),VLOOKUP(X$1,test!$A$3:$F$32,2,FALSE))&lt;test!$K$16,$A107&lt;&gt;X$1,Recharged_Feasible_mat!Y76=1),(VLOOKUP(X$1,test!$A$3:$I$32,8,FALSE))-(VLOOKUP($A107,test!$A$3:$I$32,9,FALSE))+test!$B$35,0)</f>
        <v>0</v>
      </c>
      <c r="Y107">
        <f>IF(AND(SUM(VLOOKUP($A107,test!$A$3:$F$32,2,FALSE),VLOOKUP(Y$1,test!$A$3:$F$32,2,FALSE))&lt;test!$K$16,$A107&lt;&gt;Y$1,Recharged_Feasible_mat!Z76=1),(VLOOKUP(Y$1,test!$A$3:$I$32,8,FALSE))-(VLOOKUP($A107,test!$A$3:$I$32,9,FALSE))+test!$B$35,0)</f>
        <v>0</v>
      </c>
      <c r="Z107">
        <f>IF(AND(SUM(VLOOKUP($A107,test!$A$3:$F$32,2,FALSE),VLOOKUP(Z$1,test!$A$3:$F$32,2,FALSE))&lt;test!$K$16,$A107&lt;&gt;Z$1,Recharged_Feasible_mat!AA76=1),(VLOOKUP(Z$1,test!$A$3:$I$32,8,FALSE))-(VLOOKUP($A107,test!$A$3:$I$32,9,FALSE))+test!$B$35,0)</f>
        <v>0</v>
      </c>
      <c r="AA107">
        <f>IF(AND(SUM(VLOOKUP($A107,test!$A$3:$F$32,2,FALSE),VLOOKUP(AA$1,test!$A$3:$F$32,2,FALSE))&lt;test!$K$16,$A107&lt;&gt;AA$1,Recharged_Feasible_mat!AB76=1),(VLOOKUP(AA$1,test!$A$3:$I$32,8,FALSE))-(VLOOKUP($A107,test!$A$3:$I$32,9,FALSE))+test!$B$35,0)</f>
        <v>0</v>
      </c>
      <c r="AB107">
        <f>IF(AND(SUM(VLOOKUP($A107,test!$A$3:$F$32,2,FALSE),VLOOKUP(AB$1,test!$A$3:$F$32,2,FALSE))&lt;test!$K$16,$A107&lt;&gt;AB$1,Recharged_Feasible_mat!AC76=1),(VLOOKUP(AB$1,test!$A$3:$I$32,8,FALSE))-(VLOOKUP($A107,test!$A$3:$I$32,9,FALSE))+test!$B$35,0)</f>
        <v>0</v>
      </c>
      <c r="AC107">
        <f>IF(AND(SUM(VLOOKUP($A107,test!$A$3:$F$32,2,FALSE),VLOOKUP(AC$1,test!$A$3:$F$32,2,FALSE))&lt;test!$K$16,$A107&lt;&gt;AC$1,Recharged_Feasible_mat!AD76=1),(VLOOKUP(AC$1,test!$A$3:$I$32,8,FALSE))-(VLOOKUP($A107,test!$A$3:$I$32,9,FALSE))+test!$B$35,0)</f>
        <v>0</v>
      </c>
      <c r="AD107">
        <f>IF(AND(SUM(VLOOKUP($A107,test!$A$3:$F$32,2,FALSE),VLOOKUP(AD$1,test!$A$3:$F$32,2,FALSE))&lt;test!$K$16,$A107&lt;&gt;AD$1,Recharged_Feasible_mat!AE76=1),(VLOOKUP(AD$1,test!$A$3:$I$32,8,FALSE))-(VLOOKUP($A107,test!$A$3:$I$32,9,FALSE))+test!$B$35,0)</f>
        <v>0</v>
      </c>
      <c r="AE107">
        <f>IF(AND(SUM(VLOOKUP($A107,test!$A$3:$F$32,2,FALSE),VLOOKUP(AE$1,test!$A$3:$F$32,2,FALSE))&lt;test!$K$16,$A107&lt;&gt;AE$1,Recharged_Feasible_mat!AF76=1),(VLOOKUP(AE$1,test!$A$3:$I$32,8,FALSE))-(VLOOKUP($A107,test!$A$3:$I$32,9,FALSE))+test!$B$35,0)</f>
        <v>0</v>
      </c>
      <c r="AF107">
        <f>IF(AND(SUM(VLOOKUP($A107,test!$A$3:$F$32,2,FALSE),VLOOKUP(AF$1,test!$A$3:$F$32,2,FALSE))&lt;test!$K$16,$A107&lt;&gt;AF$1,Recharged_Feasible_mat!AG76=1),(VLOOKUP(AF$1,test!$A$3:$I$32,8,FALSE))-(VLOOKUP($A107,test!$A$3:$I$32,9,FALSE))+test!$B$35,0)</f>
        <v>0</v>
      </c>
    </row>
    <row r="108" spans="1:32" x14ac:dyDescent="0.25">
      <c r="A108" t="s">
        <v>23</v>
      </c>
      <c r="B108">
        <v>0</v>
      </c>
      <c r="C108">
        <f>IF(AND(SUM(VLOOKUP($A108,test!$A$3:$F$32,2,FALSE),VLOOKUP(C$1,test!$A$3:$F$32,2,FALSE))&lt;test!$K$16,$A108&lt;&gt;C$1,Recharged_Feasible_mat!D77=1),(VLOOKUP(C$1,test!$A$3:$I$32,8,FALSE))-(VLOOKUP($A108,test!$A$3:$I$32,9,FALSE))+test!$B$35,0)</f>
        <v>0</v>
      </c>
      <c r="D108">
        <f>IF(AND(SUM(VLOOKUP($A108,test!$A$3:$F$32,2,FALSE),VLOOKUP(D$1,test!$A$3:$F$32,2,FALSE))&lt;test!$K$16,$A108&lt;&gt;D$1,Recharged_Feasible_mat!E77=1),(VLOOKUP(D$1,test!$A$3:$I$32,8,FALSE))-(VLOOKUP($A108,test!$A$3:$I$32,9,FALSE))+test!$B$35,0)</f>
        <v>0</v>
      </c>
      <c r="E108">
        <f>IF(AND(SUM(VLOOKUP($A108,test!$A$3:$F$32,2,FALSE),VLOOKUP(E$1,test!$A$3:$F$32,2,FALSE))&lt;test!$K$16,$A108&lt;&gt;E$1,Recharged_Feasible_mat!F77=1),(VLOOKUP(E$1,test!$A$3:$I$32,8,FALSE))-(VLOOKUP($A108,test!$A$3:$I$32,9,FALSE))+test!$B$35,0)</f>
        <v>0</v>
      </c>
      <c r="F108">
        <f>IF(AND(SUM(VLOOKUP($A108,test!$A$3:$F$32,2,FALSE),VLOOKUP(F$1,test!$A$3:$F$32,2,FALSE))&lt;test!$K$16,$A108&lt;&gt;F$1,Recharged_Feasible_mat!G77=1),(VLOOKUP(F$1,test!$A$3:$I$32,8,FALSE))-(VLOOKUP($A108,test!$A$3:$I$32,9,FALSE))+test!$B$35,0)</f>
        <v>0</v>
      </c>
      <c r="G108">
        <f>IF(AND(SUM(VLOOKUP($A108,test!$A$3:$F$32,2,FALSE),VLOOKUP(G$1,test!$A$3:$F$32,2,FALSE))&lt;test!$K$16,$A108&lt;&gt;G$1,Recharged_Feasible_mat!H77=1),(VLOOKUP(G$1,test!$A$3:$I$32,8,FALSE))-(VLOOKUP($A108,test!$A$3:$I$32,9,FALSE))+test!$B$35,0)</f>
        <v>0</v>
      </c>
      <c r="H108">
        <f>IF(AND(SUM(VLOOKUP($A108,test!$A$3:$F$32,2,FALSE),VLOOKUP(H$1,test!$A$3:$F$32,2,FALSE))&lt;test!$K$16,$A108&lt;&gt;H$1,Recharged_Feasible_mat!I77=1),(VLOOKUP(H$1,test!$A$3:$I$32,8,FALSE))-(VLOOKUP($A108,test!$A$3:$I$32,9,FALSE))+test!$B$35,0)</f>
        <v>0</v>
      </c>
      <c r="I108">
        <f>IF(AND(SUM(VLOOKUP($A108,test!$A$3:$F$32,2,FALSE),VLOOKUP(I$1,test!$A$3:$F$32,2,FALSE))&lt;test!$K$16,$A108&lt;&gt;I$1,Recharged_Feasible_mat!J77=1),(VLOOKUP(I$1,test!$A$3:$I$32,8,FALSE))-(VLOOKUP($A108,test!$A$3:$I$32,9,FALSE))+test!$B$35,0)</f>
        <v>0</v>
      </c>
      <c r="J108">
        <f>IF(AND(SUM(VLOOKUP($A108,test!$A$3:$F$32,2,FALSE),VLOOKUP(J$1,test!$A$3:$F$32,2,FALSE))&lt;test!$K$16,$A108&lt;&gt;J$1,Recharged_Feasible_mat!K77=1),(VLOOKUP(J$1,test!$A$3:$I$32,8,FALSE))-(VLOOKUP($A108,test!$A$3:$I$32,9,FALSE))+test!$B$35,0)</f>
        <v>0</v>
      </c>
      <c r="K108">
        <f>IF(AND(SUM(VLOOKUP($A108,test!$A$3:$F$32,2,FALSE),VLOOKUP(K$1,test!$A$3:$F$32,2,FALSE))&lt;test!$K$16,$A108&lt;&gt;K$1,Recharged_Feasible_mat!L77=1),(VLOOKUP(K$1,test!$A$3:$I$32,8,FALSE))-(VLOOKUP($A108,test!$A$3:$I$32,9,FALSE))+test!$B$35,0)</f>
        <v>0</v>
      </c>
      <c r="L108">
        <f>IF(AND(SUM(VLOOKUP($A108,test!$A$3:$F$32,2,FALSE),VLOOKUP(L$1,test!$A$3:$F$32,2,FALSE))&lt;test!$K$16,$A108&lt;&gt;L$1,Recharged_Feasible_mat!M77=1),(VLOOKUP(L$1,test!$A$3:$I$32,8,FALSE))-(VLOOKUP($A108,test!$A$3:$I$32,9,FALSE))+test!$B$35,0)</f>
        <v>0</v>
      </c>
      <c r="M108">
        <f>IF(AND(SUM(VLOOKUP($A108,test!$A$3:$F$32,2,FALSE),VLOOKUP(M$1,test!$A$3:$F$32,2,FALSE))&lt;test!$K$16,$A108&lt;&gt;M$1,Recharged_Feasible_mat!N77=1),(VLOOKUP(M$1,test!$A$3:$I$32,8,FALSE))-(VLOOKUP($A108,test!$A$3:$I$32,9,FALSE))+test!$B$35,0)</f>
        <v>0</v>
      </c>
      <c r="N108">
        <f>IF(AND(SUM(VLOOKUP($A108,test!$A$3:$F$32,2,FALSE),VLOOKUP(N$1,test!$A$3:$F$32,2,FALSE))&lt;test!$K$16,$A108&lt;&gt;N$1,Recharged_Feasible_mat!O77=1),(VLOOKUP(N$1,test!$A$3:$I$32,8,FALSE))-(VLOOKUP($A108,test!$A$3:$I$32,9,FALSE))+test!$B$35,0)</f>
        <v>0</v>
      </c>
      <c r="O108">
        <f>IF(AND(SUM(VLOOKUP($A108,test!$A$3:$F$32,2,FALSE),VLOOKUP(O$1,test!$A$3:$F$32,2,FALSE))&lt;test!$K$16,$A108&lt;&gt;O$1,Recharged_Feasible_mat!P77=1),(VLOOKUP(O$1,test!$A$3:$I$32,8,FALSE))-(VLOOKUP($A108,test!$A$3:$I$32,9,FALSE))+test!$B$35,0)</f>
        <v>0</v>
      </c>
      <c r="P108">
        <f>IF(AND(SUM(VLOOKUP($A108,test!$A$3:$F$32,2,FALSE),VLOOKUP(P$1,test!$A$3:$F$32,2,FALSE))&lt;test!$K$16,$A108&lt;&gt;P$1,Recharged_Feasible_mat!Q77=1),(VLOOKUP(P$1,test!$A$3:$I$32,8,FALSE))-(VLOOKUP($A108,test!$A$3:$I$32,9,FALSE))+test!$B$35,0)</f>
        <v>0</v>
      </c>
      <c r="Q108">
        <f>IF(AND(SUM(VLOOKUP($A108,test!$A$3:$F$32,2,FALSE),VLOOKUP(Q$1,test!$A$3:$F$32,2,FALSE))&lt;test!$K$16,$A108&lt;&gt;Q$1,Recharged_Feasible_mat!R77=1),(VLOOKUP(Q$1,test!$A$3:$I$32,8,FALSE))-(VLOOKUP($A108,test!$A$3:$I$32,9,FALSE))+test!$B$35,0)</f>
        <v>0</v>
      </c>
      <c r="R108">
        <f>IF(AND(SUM(VLOOKUP($A108,test!$A$3:$F$32,2,FALSE),VLOOKUP(R$1,test!$A$3:$F$32,2,FALSE))&lt;test!$K$16,$A108&lt;&gt;R$1,Recharged_Feasible_mat!S77=1),(VLOOKUP(R$1,test!$A$3:$I$32,8,FALSE))-(VLOOKUP($A108,test!$A$3:$I$32,9,FALSE))+test!$B$35,0)</f>
        <v>0</v>
      </c>
      <c r="S108">
        <f>IF(AND(SUM(VLOOKUP($A108,test!$A$3:$F$32,2,FALSE),VLOOKUP(S$1,test!$A$3:$F$32,2,FALSE))&lt;test!$K$16,$A108&lt;&gt;S$1,Recharged_Feasible_mat!T77=1),(VLOOKUP(S$1,test!$A$3:$I$32,8,FALSE))-(VLOOKUP($A108,test!$A$3:$I$32,9,FALSE))+test!$B$35,0)</f>
        <v>0</v>
      </c>
      <c r="T108">
        <f>IF(AND(SUM(VLOOKUP($A108,test!$A$3:$F$32,2,FALSE),VLOOKUP(T$1,test!$A$3:$F$32,2,FALSE))&lt;test!$K$16,$A108&lt;&gt;T$1,Recharged_Feasible_mat!U77=1),(VLOOKUP(T$1,test!$A$3:$I$32,8,FALSE))-(VLOOKUP($A108,test!$A$3:$I$32,9,FALSE))+test!$B$35,0)</f>
        <v>0</v>
      </c>
      <c r="U108">
        <f>IF(AND(SUM(VLOOKUP($A108,test!$A$3:$F$32,2,FALSE),VLOOKUP(U$1,test!$A$3:$F$32,2,FALSE))&lt;test!$K$16,$A108&lt;&gt;U$1,Recharged_Feasible_mat!V77=1),(VLOOKUP(U$1,test!$A$3:$I$32,8,FALSE))-(VLOOKUP($A108,test!$A$3:$I$32,9,FALSE))+test!$B$35,0)</f>
        <v>0</v>
      </c>
      <c r="V108">
        <f>IF(AND(SUM(VLOOKUP($A108,test!$A$3:$F$32,2,FALSE),VLOOKUP(V$1,test!$A$3:$F$32,2,FALSE))&lt;test!$K$16,$A108&lt;&gt;V$1,Recharged_Feasible_mat!W77=1),(VLOOKUP(V$1,test!$A$3:$I$32,8,FALSE))-(VLOOKUP($A108,test!$A$3:$I$32,9,FALSE))+test!$B$35,0)</f>
        <v>0</v>
      </c>
      <c r="W108">
        <f>IF(AND(SUM(VLOOKUP($A108,test!$A$3:$F$32,2,FALSE),VLOOKUP(W$1,test!$A$3:$F$32,2,FALSE))&lt;test!$K$16,$A108&lt;&gt;W$1,Recharged_Feasible_mat!X77=1),(VLOOKUP(W$1,test!$A$3:$I$32,8,FALSE))-(VLOOKUP($A108,test!$A$3:$I$32,9,FALSE))+test!$B$35,0)</f>
        <v>0</v>
      </c>
      <c r="X108">
        <f>IF(AND(SUM(VLOOKUP($A108,test!$A$3:$F$32,2,FALSE),VLOOKUP(X$1,test!$A$3:$F$32,2,FALSE))&lt;test!$K$16,$A108&lt;&gt;X$1,Recharged_Feasible_mat!Y77=1),(VLOOKUP(X$1,test!$A$3:$I$32,8,FALSE))-(VLOOKUP($A108,test!$A$3:$I$32,9,FALSE))+test!$B$35,0)</f>
        <v>0</v>
      </c>
      <c r="Y108">
        <f>IF(AND(SUM(VLOOKUP($A108,test!$A$3:$F$32,2,FALSE),VLOOKUP(Y$1,test!$A$3:$F$32,2,FALSE))&lt;test!$K$16,$A108&lt;&gt;Y$1,Recharged_Feasible_mat!Z77=1),(VLOOKUP(Y$1,test!$A$3:$I$32,8,FALSE))-(VLOOKUP($A108,test!$A$3:$I$32,9,FALSE))+test!$B$35,0)</f>
        <v>0</v>
      </c>
      <c r="Z108">
        <f>IF(AND(SUM(VLOOKUP($A108,test!$A$3:$F$32,2,FALSE),VLOOKUP(Z$1,test!$A$3:$F$32,2,FALSE))&lt;test!$K$16,$A108&lt;&gt;Z$1,Recharged_Feasible_mat!AA77=1),(VLOOKUP(Z$1,test!$A$3:$I$32,8,FALSE))-(VLOOKUP($A108,test!$A$3:$I$32,9,FALSE))+test!$B$35,0)</f>
        <v>0</v>
      </c>
      <c r="AA108">
        <f>IF(AND(SUM(VLOOKUP($A108,test!$A$3:$F$32,2,FALSE),VLOOKUP(AA$1,test!$A$3:$F$32,2,FALSE))&lt;test!$K$16,$A108&lt;&gt;AA$1,Recharged_Feasible_mat!AB77=1),(VLOOKUP(AA$1,test!$A$3:$I$32,8,FALSE))-(VLOOKUP($A108,test!$A$3:$I$32,9,FALSE))+test!$B$35,0)</f>
        <v>0</v>
      </c>
      <c r="AB108">
        <f>IF(AND(SUM(VLOOKUP($A108,test!$A$3:$F$32,2,FALSE),VLOOKUP(AB$1,test!$A$3:$F$32,2,FALSE))&lt;test!$K$16,$A108&lt;&gt;AB$1,Recharged_Feasible_mat!AC77=1),(VLOOKUP(AB$1,test!$A$3:$I$32,8,FALSE))-(VLOOKUP($A108,test!$A$3:$I$32,9,FALSE))+test!$B$35,0)</f>
        <v>0</v>
      </c>
      <c r="AC108">
        <f>IF(AND(SUM(VLOOKUP($A108,test!$A$3:$F$32,2,FALSE),VLOOKUP(AC$1,test!$A$3:$F$32,2,FALSE))&lt;test!$K$16,$A108&lt;&gt;AC$1,Recharged_Feasible_mat!AD77=1),(VLOOKUP(AC$1,test!$A$3:$I$32,8,FALSE))-(VLOOKUP($A108,test!$A$3:$I$32,9,FALSE))+test!$B$35,0)</f>
        <v>0</v>
      </c>
      <c r="AD108">
        <f>IF(AND(SUM(VLOOKUP($A108,test!$A$3:$F$32,2,FALSE),VLOOKUP(AD$1,test!$A$3:$F$32,2,FALSE))&lt;test!$K$16,$A108&lt;&gt;AD$1,Recharged_Feasible_mat!AE77=1),(VLOOKUP(AD$1,test!$A$3:$I$32,8,FALSE))-(VLOOKUP($A108,test!$A$3:$I$32,9,FALSE))+test!$B$35,0)</f>
        <v>0</v>
      </c>
      <c r="AE108">
        <f>IF(AND(SUM(VLOOKUP($A108,test!$A$3:$F$32,2,FALSE),VLOOKUP(AE$1,test!$A$3:$F$32,2,FALSE))&lt;test!$K$16,$A108&lt;&gt;AE$1,Recharged_Feasible_mat!AF77=1),(VLOOKUP(AE$1,test!$A$3:$I$32,8,FALSE))-(VLOOKUP($A108,test!$A$3:$I$32,9,FALSE))+test!$B$35,0)</f>
        <v>0</v>
      </c>
      <c r="AF108">
        <f>IF(AND(SUM(VLOOKUP($A108,test!$A$3:$F$32,2,FALSE),VLOOKUP(AF$1,test!$A$3:$F$32,2,FALSE))&lt;test!$K$16,$A108&lt;&gt;AF$1,Recharged_Feasible_mat!AG77=1),(VLOOKUP(AF$1,test!$A$3:$I$32,8,FALSE))-(VLOOKUP($A108,test!$A$3:$I$32,9,FALSE))+test!$B$35,0)</f>
        <v>0</v>
      </c>
    </row>
    <row r="109" spans="1:32" x14ac:dyDescent="0.25">
      <c r="A109" t="s">
        <v>24</v>
      </c>
      <c r="B109">
        <v>0</v>
      </c>
      <c r="C109">
        <f>IF(AND(SUM(VLOOKUP($A109,test!$A$3:$F$32,2,FALSE),VLOOKUP(C$1,test!$A$3:$F$32,2,FALSE))&lt;test!$K$16,$A109&lt;&gt;C$1,Recharged_Feasible_mat!D78=1),(VLOOKUP(C$1,test!$A$3:$I$32,8,FALSE))-(VLOOKUP($A109,test!$A$3:$I$32,9,FALSE))+test!$B$35,0)</f>
        <v>0</v>
      </c>
      <c r="D109">
        <f>IF(AND(SUM(VLOOKUP($A109,test!$A$3:$F$32,2,FALSE),VLOOKUP(D$1,test!$A$3:$F$32,2,FALSE))&lt;test!$K$16,$A109&lt;&gt;D$1,Recharged_Feasible_mat!E78=1),(VLOOKUP(D$1,test!$A$3:$I$32,8,FALSE))-(VLOOKUP($A109,test!$A$3:$I$32,9,FALSE))+test!$B$35,0)</f>
        <v>0</v>
      </c>
      <c r="E109">
        <f>IF(AND(SUM(VLOOKUP($A109,test!$A$3:$F$32,2,FALSE),VLOOKUP(E$1,test!$A$3:$F$32,2,FALSE))&lt;test!$K$16,$A109&lt;&gt;E$1,Recharged_Feasible_mat!F78=1),(VLOOKUP(E$1,test!$A$3:$I$32,8,FALSE))-(VLOOKUP($A109,test!$A$3:$I$32,9,FALSE))+test!$B$35,0)</f>
        <v>0</v>
      </c>
      <c r="F109">
        <f>IF(AND(SUM(VLOOKUP($A109,test!$A$3:$F$32,2,FALSE),VLOOKUP(F$1,test!$A$3:$F$32,2,FALSE))&lt;test!$K$16,$A109&lt;&gt;F$1,Recharged_Feasible_mat!G78=1),(VLOOKUP(F$1,test!$A$3:$I$32,8,FALSE))-(VLOOKUP($A109,test!$A$3:$I$32,9,FALSE))+test!$B$35,0)</f>
        <v>0</v>
      </c>
      <c r="G109">
        <f>IF(AND(SUM(VLOOKUP($A109,test!$A$3:$F$32,2,FALSE),VLOOKUP(G$1,test!$A$3:$F$32,2,FALSE))&lt;test!$K$16,$A109&lt;&gt;G$1,Recharged_Feasible_mat!H78=1),(VLOOKUP(G$1,test!$A$3:$I$32,8,FALSE))-(VLOOKUP($A109,test!$A$3:$I$32,9,FALSE))+test!$B$35,0)</f>
        <v>260</v>
      </c>
      <c r="H109">
        <f>IF(AND(SUM(VLOOKUP($A109,test!$A$3:$F$32,2,FALSE),VLOOKUP(H$1,test!$A$3:$F$32,2,FALSE))&lt;test!$K$16,$A109&lt;&gt;H$1,Recharged_Feasible_mat!I78=1),(VLOOKUP(H$1,test!$A$3:$I$32,8,FALSE))-(VLOOKUP($A109,test!$A$3:$I$32,9,FALSE))+test!$B$35,0)</f>
        <v>320</v>
      </c>
      <c r="I109">
        <f>IF(AND(SUM(VLOOKUP($A109,test!$A$3:$F$32,2,FALSE),VLOOKUP(I$1,test!$A$3:$F$32,2,FALSE))&lt;test!$K$16,$A109&lt;&gt;I$1,Recharged_Feasible_mat!J78=1),(VLOOKUP(I$1,test!$A$3:$I$32,8,FALSE))-(VLOOKUP($A109,test!$A$3:$I$32,9,FALSE))+test!$B$35,0)</f>
        <v>380</v>
      </c>
      <c r="J109">
        <f>IF(AND(SUM(VLOOKUP($A109,test!$A$3:$F$32,2,FALSE),VLOOKUP(J$1,test!$A$3:$F$32,2,FALSE))&lt;test!$K$16,$A109&lt;&gt;J$1,Recharged_Feasible_mat!K78=1),(VLOOKUP(J$1,test!$A$3:$I$32,8,FALSE))-(VLOOKUP($A109,test!$A$3:$I$32,9,FALSE))+test!$B$35,0)</f>
        <v>470</v>
      </c>
      <c r="K109">
        <f>IF(AND(SUM(VLOOKUP($A109,test!$A$3:$F$32,2,FALSE),VLOOKUP(K$1,test!$A$3:$F$32,2,FALSE))&lt;test!$K$16,$A109&lt;&gt;K$1,Recharged_Feasible_mat!L78=1),(VLOOKUP(K$1,test!$A$3:$I$32,8,FALSE))-(VLOOKUP($A109,test!$A$3:$I$32,9,FALSE))+test!$B$35,0)</f>
        <v>0</v>
      </c>
      <c r="L109">
        <f>IF(AND(SUM(VLOOKUP($A109,test!$A$3:$F$32,2,FALSE),VLOOKUP(L$1,test!$A$3:$F$32,2,FALSE))&lt;test!$K$16,$A109&lt;&gt;L$1,Recharged_Feasible_mat!M78=1),(VLOOKUP(L$1,test!$A$3:$I$32,8,FALSE))-(VLOOKUP($A109,test!$A$3:$I$32,9,FALSE))+test!$B$35,0)</f>
        <v>0</v>
      </c>
      <c r="M109">
        <f>IF(AND(SUM(VLOOKUP($A109,test!$A$3:$F$32,2,FALSE),VLOOKUP(M$1,test!$A$3:$F$32,2,FALSE))&lt;test!$K$16,$A109&lt;&gt;M$1,Recharged_Feasible_mat!N78=1),(VLOOKUP(M$1,test!$A$3:$I$32,8,FALSE))-(VLOOKUP($A109,test!$A$3:$I$32,9,FALSE))+test!$B$35,0)</f>
        <v>0</v>
      </c>
      <c r="N109">
        <f>IF(AND(SUM(VLOOKUP($A109,test!$A$3:$F$32,2,FALSE),VLOOKUP(N$1,test!$A$3:$F$32,2,FALSE))&lt;test!$K$16,$A109&lt;&gt;N$1,Recharged_Feasible_mat!O78=1),(VLOOKUP(N$1,test!$A$3:$I$32,8,FALSE))-(VLOOKUP($A109,test!$A$3:$I$32,9,FALSE))+test!$B$35,0)</f>
        <v>0</v>
      </c>
      <c r="O109">
        <f>IF(AND(SUM(VLOOKUP($A109,test!$A$3:$F$32,2,FALSE),VLOOKUP(O$1,test!$A$3:$F$32,2,FALSE))&lt;test!$K$16,$A109&lt;&gt;O$1,Recharged_Feasible_mat!P78=1),(VLOOKUP(O$1,test!$A$3:$I$32,8,FALSE))-(VLOOKUP($A109,test!$A$3:$I$32,9,FALSE))+test!$B$35,0)</f>
        <v>0</v>
      </c>
      <c r="P109">
        <f>IF(AND(SUM(VLOOKUP($A109,test!$A$3:$F$32,2,FALSE),VLOOKUP(P$1,test!$A$3:$F$32,2,FALSE))&lt;test!$K$16,$A109&lt;&gt;P$1,Recharged_Feasible_mat!Q78=1),(VLOOKUP(P$1,test!$A$3:$I$32,8,FALSE))-(VLOOKUP($A109,test!$A$3:$I$32,9,FALSE))+test!$B$35,0)</f>
        <v>0</v>
      </c>
      <c r="Q109">
        <f>IF(AND(SUM(VLOOKUP($A109,test!$A$3:$F$32,2,FALSE),VLOOKUP(Q$1,test!$A$3:$F$32,2,FALSE))&lt;test!$K$16,$A109&lt;&gt;Q$1,Recharged_Feasible_mat!R78=1),(VLOOKUP(Q$1,test!$A$3:$I$32,8,FALSE))-(VLOOKUP($A109,test!$A$3:$I$32,9,FALSE))+test!$B$35,0)</f>
        <v>0</v>
      </c>
      <c r="R109">
        <f>IF(AND(SUM(VLOOKUP($A109,test!$A$3:$F$32,2,FALSE),VLOOKUP(R$1,test!$A$3:$F$32,2,FALSE))&lt;test!$K$16,$A109&lt;&gt;R$1,Recharged_Feasible_mat!S78=1),(VLOOKUP(R$1,test!$A$3:$I$32,8,FALSE))-(VLOOKUP($A109,test!$A$3:$I$32,9,FALSE))+test!$B$35,0)</f>
        <v>0</v>
      </c>
      <c r="S109">
        <f>IF(AND(SUM(VLOOKUP($A109,test!$A$3:$F$32,2,FALSE),VLOOKUP(S$1,test!$A$3:$F$32,2,FALSE))&lt;test!$K$16,$A109&lt;&gt;S$1,Recharged_Feasible_mat!T78=1),(VLOOKUP(S$1,test!$A$3:$I$32,8,FALSE))-(VLOOKUP($A109,test!$A$3:$I$32,9,FALSE))+test!$B$35,0)</f>
        <v>0</v>
      </c>
      <c r="T109">
        <f>IF(AND(SUM(VLOOKUP($A109,test!$A$3:$F$32,2,FALSE),VLOOKUP(T$1,test!$A$3:$F$32,2,FALSE))&lt;test!$K$16,$A109&lt;&gt;T$1,Recharged_Feasible_mat!U78=1),(VLOOKUP(T$1,test!$A$3:$I$32,8,FALSE))-(VLOOKUP($A109,test!$A$3:$I$32,9,FALSE))+test!$B$35,0)</f>
        <v>0</v>
      </c>
      <c r="U109">
        <f>IF(AND(SUM(VLOOKUP($A109,test!$A$3:$F$32,2,FALSE),VLOOKUP(U$1,test!$A$3:$F$32,2,FALSE))&lt;test!$K$16,$A109&lt;&gt;U$1,Recharged_Feasible_mat!V78=1),(VLOOKUP(U$1,test!$A$3:$I$32,8,FALSE))-(VLOOKUP($A109,test!$A$3:$I$32,9,FALSE))+test!$B$35,0)</f>
        <v>0</v>
      </c>
      <c r="V109">
        <f>IF(AND(SUM(VLOOKUP($A109,test!$A$3:$F$32,2,FALSE),VLOOKUP(V$1,test!$A$3:$F$32,2,FALSE))&lt;test!$K$16,$A109&lt;&gt;V$1,Recharged_Feasible_mat!W78=1),(VLOOKUP(V$1,test!$A$3:$I$32,8,FALSE))-(VLOOKUP($A109,test!$A$3:$I$32,9,FALSE))+test!$B$35,0)</f>
        <v>270</v>
      </c>
      <c r="W109">
        <f>IF(AND(SUM(VLOOKUP($A109,test!$A$3:$F$32,2,FALSE),VLOOKUP(W$1,test!$A$3:$F$32,2,FALSE))&lt;test!$K$16,$A109&lt;&gt;W$1,Recharged_Feasible_mat!X78=1),(VLOOKUP(W$1,test!$A$3:$I$32,8,FALSE))-(VLOOKUP($A109,test!$A$3:$I$32,9,FALSE))+test!$B$35,0)</f>
        <v>360</v>
      </c>
      <c r="X109">
        <f>IF(AND(SUM(VLOOKUP($A109,test!$A$3:$F$32,2,FALSE),VLOOKUP(X$1,test!$A$3:$F$32,2,FALSE))&lt;test!$K$16,$A109&lt;&gt;X$1,Recharged_Feasible_mat!Y78=1),(VLOOKUP(X$1,test!$A$3:$I$32,8,FALSE))-(VLOOKUP($A109,test!$A$3:$I$32,9,FALSE))+test!$B$35,0)</f>
        <v>420</v>
      </c>
      <c r="Y109">
        <f>IF(AND(SUM(VLOOKUP($A109,test!$A$3:$F$32,2,FALSE),VLOOKUP(Y$1,test!$A$3:$F$32,2,FALSE))&lt;test!$K$16,$A109&lt;&gt;Y$1,Recharged_Feasible_mat!Z78=1),(VLOOKUP(Y$1,test!$A$3:$I$32,8,FALSE))-(VLOOKUP($A109,test!$A$3:$I$32,9,FALSE))+test!$B$35,0)</f>
        <v>0</v>
      </c>
      <c r="Z109">
        <f>IF(AND(SUM(VLOOKUP($A109,test!$A$3:$F$32,2,FALSE),VLOOKUP(Z$1,test!$A$3:$F$32,2,FALSE))&lt;test!$K$16,$A109&lt;&gt;Z$1,Recharged_Feasible_mat!AA78=1),(VLOOKUP(Z$1,test!$A$3:$I$32,8,FALSE))-(VLOOKUP($A109,test!$A$3:$I$32,9,FALSE))+test!$B$35,0)</f>
        <v>0</v>
      </c>
      <c r="AA109">
        <f>IF(AND(SUM(VLOOKUP($A109,test!$A$3:$F$32,2,FALSE),VLOOKUP(AA$1,test!$A$3:$F$32,2,FALSE))&lt;test!$K$16,$A109&lt;&gt;AA$1,Recharged_Feasible_mat!AB78=1),(VLOOKUP(AA$1,test!$A$3:$I$32,8,FALSE))-(VLOOKUP($A109,test!$A$3:$I$32,9,FALSE))+test!$B$35,0)</f>
        <v>0</v>
      </c>
      <c r="AB109">
        <f>IF(AND(SUM(VLOOKUP($A109,test!$A$3:$F$32,2,FALSE),VLOOKUP(AB$1,test!$A$3:$F$32,2,FALSE))&lt;test!$K$16,$A109&lt;&gt;AB$1,Recharged_Feasible_mat!AC78=1),(VLOOKUP(AB$1,test!$A$3:$I$32,8,FALSE))-(VLOOKUP($A109,test!$A$3:$I$32,9,FALSE))+test!$B$35,0)</f>
        <v>0</v>
      </c>
      <c r="AC109">
        <f>IF(AND(SUM(VLOOKUP($A109,test!$A$3:$F$32,2,FALSE),VLOOKUP(AC$1,test!$A$3:$F$32,2,FALSE))&lt;test!$K$16,$A109&lt;&gt;AC$1,Recharged_Feasible_mat!AD78=1),(VLOOKUP(AC$1,test!$A$3:$I$32,8,FALSE))-(VLOOKUP($A109,test!$A$3:$I$32,9,FALSE))+test!$B$35,0)</f>
        <v>0</v>
      </c>
      <c r="AD109">
        <f>IF(AND(SUM(VLOOKUP($A109,test!$A$3:$F$32,2,FALSE),VLOOKUP(AD$1,test!$A$3:$F$32,2,FALSE))&lt;test!$K$16,$A109&lt;&gt;AD$1,Recharged_Feasible_mat!AE78=1),(VLOOKUP(AD$1,test!$A$3:$I$32,8,FALSE))-(VLOOKUP($A109,test!$A$3:$I$32,9,FALSE))+test!$B$35,0)</f>
        <v>0</v>
      </c>
      <c r="AE109">
        <f>IF(AND(SUM(VLOOKUP($A109,test!$A$3:$F$32,2,FALSE),VLOOKUP(AE$1,test!$A$3:$F$32,2,FALSE))&lt;test!$K$16,$A109&lt;&gt;AE$1,Recharged_Feasible_mat!AF78=1),(VLOOKUP(AE$1,test!$A$3:$I$32,8,FALSE))-(VLOOKUP($A109,test!$A$3:$I$32,9,FALSE))+test!$B$35,0)</f>
        <v>0</v>
      </c>
      <c r="AF109">
        <f>IF(AND(SUM(VLOOKUP($A109,test!$A$3:$F$32,2,FALSE),VLOOKUP(AF$1,test!$A$3:$F$32,2,FALSE))&lt;test!$K$16,$A109&lt;&gt;AF$1,Recharged_Feasible_mat!AG78=1),(VLOOKUP(AF$1,test!$A$3:$I$32,8,FALSE))-(VLOOKUP($A109,test!$A$3:$I$32,9,FALSE))+test!$B$35,0)</f>
        <v>0</v>
      </c>
    </row>
    <row r="110" spans="1:32" x14ac:dyDescent="0.25">
      <c r="A110" t="s">
        <v>26</v>
      </c>
      <c r="B110">
        <v>0</v>
      </c>
      <c r="C110">
        <f>IF(AND(SUM(VLOOKUP($A110,test!$A$3:$F$32,2,FALSE),VLOOKUP(C$1,test!$A$3:$F$32,2,FALSE))&lt;test!$K$16,$A110&lt;&gt;C$1,Recharged_Feasible_mat!D79=1),(VLOOKUP(C$1,test!$A$3:$I$32,8,FALSE))-(VLOOKUP($A110,test!$A$3:$I$32,9,FALSE))+test!$B$35,0)</f>
        <v>0</v>
      </c>
      <c r="D110">
        <f>IF(AND(SUM(VLOOKUP($A110,test!$A$3:$F$32,2,FALSE),VLOOKUP(D$1,test!$A$3:$F$32,2,FALSE))&lt;test!$K$16,$A110&lt;&gt;D$1,Recharged_Feasible_mat!E79=1),(VLOOKUP(D$1,test!$A$3:$I$32,8,FALSE))-(VLOOKUP($A110,test!$A$3:$I$32,9,FALSE))+test!$B$35,0)</f>
        <v>0</v>
      </c>
      <c r="E110">
        <f>IF(AND(SUM(VLOOKUP($A110,test!$A$3:$F$32,2,FALSE),VLOOKUP(E$1,test!$A$3:$F$32,2,FALSE))&lt;test!$K$16,$A110&lt;&gt;E$1,Recharged_Feasible_mat!F79=1),(VLOOKUP(E$1,test!$A$3:$I$32,8,FALSE))-(VLOOKUP($A110,test!$A$3:$I$32,9,FALSE))+test!$B$35,0)</f>
        <v>0</v>
      </c>
      <c r="F110">
        <f>IF(AND(SUM(VLOOKUP($A110,test!$A$3:$F$32,2,FALSE),VLOOKUP(F$1,test!$A$3:$F$32,2,FALSE))&lt;test!$K$16,$A110&lt;&gt;F$1,Recharged_Feasible_mat!G79=1),(VLOOKUP(F$1,test!$A$3:$I$32,8,FALSE))-(VLOOKUP($A110,test!$A$3:$I$32,9,FALSE))+test!$B$35,0)</f>
        <v>295</v>
      </c>
      <c r="G110">
        <f>IF(AND(SUM(VLOOKUP($A110,test!$A$3:$F$32,2,FALSE),VLOOKUP(G$1,test!$A$3:$F$32,2,FALSE))&lt;test!$K$16,$A110&lt;&gt;G$1,Recharged_Feasible_mat!H79=1),(VLOOKUP(G$1,test!$A$3:$I$32,8,FALSE))-(VLOOKUP($A110,test!$A$3:$I$32,9,FALSE))+test!$B$35,0)</f>
        <v>355</v>
      </c>
      <c r="H110">
        <f>IF(AND(SUM(VLOOKUP($A110,test!$A$3:$F$32,2,FALSE),VLOOKUP(H$1,test!$A$3:$F$32,2,FALSE))&lt;test!$K$16,$A110&lt;&gt;H$1,Recharged_Feasible_mat!I79=1),(VLOOKUP(H$1,test!$A$3:$I$32,8,FALSE))-(VLOOKUP($A110,test!$A$3:$I$32,9,FALSE))+test!$B$35,0)</f>
        <v>415</v>
      </c>
      <c r="I110">
        <f>IF(AND(SUM(VLOOKUP($A110,test!$A$3:$F$32,2,FALSE),VLOOKUP(I$1,test!$A$3:$F$32,2,FALSE))&lt;test!$K$16,$A110&lt;&gt;I$1,Recharged_Feasible_mat!J79=1),(VLOOKUP(I$1,test!$A$3:$I$32,8,FALSE))-(VLOOKUP($A110,test!$A$3:$I$32,9,FALSE))+test!$B$35,0)</f>
        <v>475</v>
      </c>
      <c r="J110">
        <f>IF(AND(SUM(VLOOKUP($A110,test!$A$3:$F$32,2,FALSE),VLOOKUP(J$1,test!$A$3:$F$32,2,FALSE))&lt;test!$K$16,$A110&lt;&gt;J$1,Recharged_Feasible_mat!K79=1),(VLOOKUP(J$1,test!$A$3:$I$32,8,FALSE))-(VLOOKUP($A110,test!$A$3:$I$32,9,FALSE))+test!$B$35,0)</f>
        <v>565</v>
      </c>
      <c r="K110">
        <f>IF(AND(SUM(VLOOKUP($A110,test!$A$3:$F$32,2,FALSE),VLOOKUP(K$1,test!$A$3:$F$32,2,FALSE))&lt;test!$K$16,$A110&lt;&gt;K$1,Recharged_Feasible_mat!L79=1),(VLOOKUP(K$1,test!$A$3:$I$32,8,FALSE))-(VLOOKUP($A110,test!$A$3:$I$32,9,FALSE))+test!$B$35,0)</f>
        <v>0</v>
      </c>
      <c r="L110">
        <f>IF(AND(SUM(VLOOKUP($A110,test!$A$3:$F$32,2,FALSE),VLOOKUP(L$1,test!$A$3:$F$32,2,FALSE))&lt;test!$K$16,$A110&lt;&gt;L$1,Recharged_Feasible_mat!M79=1),(VLOOKUP(L$1,test!$A$3:$I$32,8,FALSE))-(VLOOKUP($A110,test!$A$3:$I$32,9,FALSE))+test!$B$35,0)</f>
        <v>0</v>
      </c>
      <c r="M110">
        <f>IF(AND(SUM(VLOOKUP($A110,test!$A$3:$F$32,2,FALSE),VLOOKUP(M$1,test!$A$3:$F$32,2,FALSE))&lt;test!$K$16,$A110&lt;&gt;M$1,Recharged_Feasible_mat!N79=1),(VLOOKUP(M$1,test!$A$3:$I$32,8,FALSE))-(VLOOKUP($A110,test!$A$3:$I$32,9,FALSE))+test!$B$35,0)</f>
        <v>0</v>
      </c>
      <c r="N110">
        <f>IF(AND(SUM(VLOOKUP($A110,test!$A$3:$F$32,2,FALSE),VLOOKUP(N$1,test!$A$3:$F$32,2,FALSE))&lt;test!$K$16,$A110&lt;&gt;N$1,Recharged_Feasible_mat!O79=1),(VLOOKUP(N$1,test!$A$3:$I$32,8,FALSE))-(VLOOKUP($A110,test!$A$3:$I$32,9,FALSE))+test!$B$35,0)</f>
        <v>530</v>
      </c>
      <c r="O110">
        <f>IF(AND(SUM(VLOOKUP($A110,test!$A$3:$F$32,2,FALSE),VLOOKUP(O$1,test!$A$3:$F$32,2,FALSE))&lt;test!$K$16,$A110&lt;&gt;O$1,Recharged_Feasible_mat!P79=1),(VLOOKUP(O$1,test!$A$3:$I$32,8,FALSE))-(VLOOKUP($A110,test!$A$3:$I$32,9,FALSE))+test!$B$35,0)</f>
        <v>590</v>
      </c>
      <c r="P110">
        <f>IF(AND(SUM(VLOOKUP($A110,test!$A$3:$F$32,2,FALSE),VLOOKUP(P$1,test!$A$3:$F$32,2,FALSE))&lt;test!$K$16,$A110&lt;&gt;P$1,Recharged_Feasible_mat!Q79=1),(VLOOKUP(P$1,test!$A$3:$I$32,8,FALSE))-(VLOOKUP($A110,test!$A$3:$I$32,9,FALSE))+test!$B$35,0)</f>
        <v>0</v>
      </c>
      <c r="Q110">
        <f>IF(AND(SUM(VLOOKUP($A110,test!$A$3:$F$32,2,FALSE),VLOOKUP(Q$1,test!$A$3:$F$32,2,FALSE))&lt;test!$K$16,$A110&lt;&gt;Q$1,Recharged_Feasible_mat!R79=1),(VLOOKUP(Q$1,test!$A$3:$I$32,8,FALSE))-(VLOOKUP($A110,test!$A$3:$I$32,9,FALSE))+test!$B$35,0)</f>
        <v>0</v>
      </c>
      <c r="R110">
        <f>IF(AND(SUM(VLOOKUP($A110,test!$A$3:$F$32,2,FALSE),VLOOKUP(R$1,test!$A$3:$F$32,2,FALSE))&lt;test!$K$16,$A110&lt;&gt;R$1,Recharged_Feasible_mat!S79=1),(VLOOKUP(R$1,test!$A$3:$I$32,8,FALSE))-(VLOOKUP($A110,test!$A$3:$I$32,9,FALSE))+test!$B$35,0)</f>
        <v>0</v>
      </c>
      <c r="S110">
        <f>IF(AND(SUM(VLOOKUP($A110,test!$A$3:$F$32,2,FALSE),VLOOKUP(S$1,test!$A$3:$F$32,2,FALSE))&lt;test!$K$16,$A110&lt;&gt;S$1,Recharged_Feasible_mat!T79=1),(VLOOKUP(S$1,test!$A$3:$I$32,8,FALSE))-(VLOOKUP($A110,test!$A$3:$I$32,9,FALSE))+test!$B$35,0)</f>
        <v>0</v>
      </c>
      <c r="T110">
        <f>IF(AND(SUM(VLOOKUP($A110,test!$A$3:$F$32,2,FALSE),VLOOKUP(T$1,test!$A$3:$F$32,2,FALSE))&lt;test!$K$16,$A110&lt;&gt;T$1,Recharged_Feasible_mat!U79=1),(VLOOKUP(T$1,test!$A$3:$I$32,8,FALSE))-(VLOOKUP($A110,test!$A$3:$I$32,9,FALSE))+test!$B$35,0)</f>
        <v>0</v>
      </c>
      <c r="U110">
        <f>IF(AND(SUM(VLOOKUP($A110,test!$A$3:$F$32,2,FALSE),VLOOKUP(U$1,test!$A$3:$F$32,2,FALSE))&lt;test!$K$16,$A110&lt;&gt;U$1,Recharged_Feasible_mat!V79=1),(VLOOKUP(U$1,test!$A$3:$I$32,8,FALSE))-(VLOOKUP($A110,test!$A$3:$I$32,9,FALSE))+test!$B$35,0)</f>
        <v>275</v>
      </c>
      <c r="V110">
        <f>IF(AND(SUM(VLOOKUP($A110,test!$A$3:$F$32,2,FALSE),VLOOKUP(V$1,test!$A$3:$F$32,2,FALSE))&lt;test!$K$16,$A110&lt;&gt;V$1,Recharged_Feasible_mat!W79=1),(VLOOKUP(V$1,test!$A$3:$I$32,8,FALSE))-(VLOOKUP($A110,test!$A$3:$I$32,9,FALSE))+test!$B$35,0)</f>
        <v>365</v>
      </c>
      <c r="W110">
        <f>IF(AND(SUM(VLOOKUP($A110,test!$A$3:$F$32,2,FALSE),VLOOKUP(W$1,test!$A$3:$F$32,2,FALSE))&lt;test!$K$16,$A110&lt;&gt;W$1,Recharged_Feasible_mat!X79=1),(VLOOKUP(W$1,test!$A$3:$I$32,8,FALSE))-(VLOOKUP($A110,test!$A$3:$I$32,9,FALSE))+test!$B$35,0)</f>
        <v>455</v>
      </c>
      <c r="X110">
        <f>IF(AND(SUM(VLOOKUP($A110,test!$A$3:$F$32,2,FALSE),VLOOKUP(X$1,test!$A$3:$F$32,2,FALSE))&lt;test!$K$16,$A110&lt;&gt;X$1,Recharged_Feasible_mat!Y79=1),(VLOOKUP(X$1,test!$A$3:$I$32,8,FALSE))-(VLOOKUP($A110,test!$A$3:$I$32,9,FALSE))+test!$B$35,0)</f>
        <v>515</v>
      </c>
      <c r="Y110">
        <f>IF(AND(SUM(VLOOKUP($A110,test!$A$3:$F$32,2,FALSE),VLOOKUP(Y$1,test!$A$3:$F$32,2,FALSE))&lt;test!$K$16,$A110&lt;&gt;Y$1,Recharged_Feasible_mat!Z79=1),(VLOOKUP(Y$1,test!$A$3:$I$32,8,FALSE))-(VLOOKUP($A110,test!$A$3:$I$32,9,FALSE))+test!$B$35,0)</f>
        <v>0</v>
      </c>
      <c r="Z110">
        <f>IF(AND(SUM(VLOOKUP($A110,test!$A$3:$F$32,2,FALSE),VLOOKUP(Z$1,test!$A$3:$F$32,2,FALSE))&lt;test!$K$16,$A110&lt;&gt;Z$1,Recharged_Feasible_mat!AA79=1),(VLOOKUP(Z$1,test!$A$3:$I$32,8,FALSE))-(VLOOKUP($A110,test!$A$3:$I$32,9,FALSE))+test!$B$35,0)</f>
        <v>0</v>
      </c>
      <c r="AA110">
        <f>IF(AND(SUM(VLOOKUP($A110,test!$A$3:$F$32,2,FALSE),VLOOKUP(AA$1,test!$A$3:$F$32,2,FALSE))&lt;test!$K$16,$A110&lt;&gt;AA$1,Recharged_Feasible_mat!AB79=1),(VLOOKUP(AA$1,test!$A$3:$I$32,8,FALSE))-(VLOOKUP($A110,test!$A$3:$I$32,9,FALSE))+test!$B$35,0)</f>
        <v>0</v>
      </c>
      <c r="AB110">
        <f>IF(AND(SUM(VLOOKUP($A110,test!$A$3:$F$32,2,FALSE),VLOOKUP(AB$1,test!$A$3:$F$32,2,FALSE))&lt;test!$K$16,$A110&lt;&gt;AB$1,Recharged_Feasible_mat!AC79=1),(VLOOKUP(AB$1,test!$A$3:$I$32,8,FALSE))-(VLOOKUP($A110,test!$A$3:$I$32,9,FALSE))+test!$B$35,0)</f>
        <v>295</v>
      </c>
      <c r="AC110">
        <f>IF(AND(SUM(VLOOKUP($A110,test!$A$3:$F$32,2,FALSE),VLOOKUP(AC$1,test!$A$3:$F$32,2,FALSE))&lt;test!$K$16,$A110&lt;&gt;AC$1,Recharged_Feasible_mat!AD79=1),(VLOOKUP(AC$1,test!$A$3:$I$32,8,FALSE))-(VLOOKUP($A110,test!$A$3:$I$32,9,FALSE))+test!$B$35,0)</f>
        <v>415</v>
      </c>
      <c r="AD110">
        <f>IF(AND(SUM(VLOOKUP($A110,test!$A$3:$F$32,2,FALSE),VLOOKUP(AD$1,test!$A$3:$F$32,2,FALSE))&lt;test!$K$16,$A110&lt;&gt;AD$1,Recharged_Feasible_mat!AE79=1),(VLOOKUP(AD$1,test!$A$3:$I$32,8,FALSE))-(VLOOKUP($A110,test!$A$3:$I$32,9,FALSE))+test!$B$35,0)</f>
        <v>0</v>
      </c>
      <c r="AE110">
        <f>IF(AND(SUM(VLOOKUP($A110,test!$A$3:$F$32,2,FALSE),VLOOKUP(AE$1,test!$A$3:$F$32,2,FALSE))&lt;test!$K$16,$A110&lt;&gt;AE$1,Recharged_Feasible_mat!AF79=1),(VLOOKUP(AE$1,test!$A$3:$I$32,8,FALSE))-(VLOOKUP($A110,test!$A$3:$I$32,9,FALSE))+test!$B$35,0)</f>
        <v>0</v>
      </c>
      <c r="AF110">
        <f>IF(AND(SUM(VLOOKUP($A110,test!$A$3:$F$32,2,FALSE),VLOOKUP(AF$1,test!$A$3:$F$32,2,FALSE))&lt;test!$K$16,$A110&lt;&gt;AF$1,Recharged_Feasible_mat!AG79=1),(VLOOKUP(AF$1,test!$A$3:$I$32,8,FALSE))-(VLOOKUP($A110,test!$A$3:$I$32,9,FALSE))+test!$B$35,0)</f>
        <v>0</v>
      </c>
    </row>
    <row r="111" spans="1:32" x14ac:dyDescent="0.25">
      <c r="A111" t="s">
        <v>27</v>
      </c>
      <c r="B111">
        <v>0</v>
      </c>
      <c r="C111">
        <f>IF(AND(SUM(VLOOKUP($A111,test!$A$3:$F$32,2,FALSE),VLOOKUP(C$1,test!$A$3:$F$32,2,FALSE))&lt;test!$K$16,$A111&lt;&gt;C$1,Recharged_Feasible_mat!D80=1),(VLOOKUP(C$1,test!$A$3:$I$32,8,FALSE))-(VLOOKUP($A111,test!$A$3:$I$32,9,FALSE))+test!$B$35,0)</f>
        <v>0</v>
      </c>
      <c r="D111">
        <f>IF(AND(SUM(VLOOKUP($A111,test!$A$3:$F$32,2,FALSE),VLOOKUP(D$1,test!$A$3:$F$32,2,FALSE))&lt;test!$K$16,$A111&lt;&gt;D$1,Recharged_Feasible_mat!E80=1),(VLOOKUP(D$1,test!$A$3:$I$32,8,FALSE))-(VLOOKUP($A111,test!$A$3:$I$32,9,FALSE))+test!$B$35,0)</f>
        <v>0</v>
      </c>
      <c r="E111">
        <f>IF(AND(SUM(VLOOKUP($A111,test!$A$3:$F$32,2,FALSE),VLOOKUP(E$1,test!$A$3:$F$32,2,FALSE))&lt;test!$K$16,$A111&lt;&gt;E$1,Recharged_Feasible_mat!F80=1),(VLOOKUP(E$1,test!$A$3:$I$32,8,FALSE))-(VLOOKUP($A111,test!$A$3:$I$32,9,FALSE))+test!$B$35,0)</f>
        <v>0</v>
      </c>
      <c r="F111">
        <f>IF(AND(SUM(VLOOKUP($A111,test!$A$3:$F$32,2,FALSE),VLOOKUP(F$1,test!$A$3:$F$32,2,FALSE))&lt;test!$K$16,$A111&lt;&gt;F$1,Recharged_Feasible_mat!G80=1),(VLOOKUP(F$1,test!$A$3:$I$32,8,FALSE))-(VLOOKUP($A111,test!$A$3:$I$32,9,FALSE))+test!$B$35,0)</f>
        <v>0</v>
      </c>
      <c r="G111">
        <f>IF(AND(SUM(VLOOKUP($A111,test!$A$3:$F$32,2,FALSE),VLOOKUP(G$1,test!$A$3:$F$32,2,FALSE))&lt;test!$K$16,$A111&lt;&gt;G$1,Recharged_Feasible_mat!H80=1),(VLOOKUP(G$1,test!$A$3:$I$32,8,FALSE))-(VLOOKUP($A111,test!$A$3:$I$32,9,FALSE))+test!$B$35,0)</f>
        <v>265</v>
      </c>
      <c r="H111">
        <f>IF(AND(SUM(VLOOKUP($A111,test!$A$3:$F$32,2,FALSE),VLOOKUP(H$1,test!$A$3:$F$32,2,FALSE))&lt;test!$K$16,$A111&lt;&gt;H$1,Recharged_Feasible_mat!I80=1),(VLOOKUP(H$1,test!$A$3:$I$32,8,FALSE))-(VLOOKUP($A111,test!$A$3:$I$32,9,FALSE))+test!$B$35,0)</f>
        <v>325</v>
      </c>
      <c r="I111">
        <f>IF(AND(SUM(VLOOKUP($A111,test!$A$3:$F$32,2,FALSE),VLOOKUP(I$1,test!$A$3:$F$32,2,FALSE))&lt;test!$K$16,$A111&lt;&gt;I$1,Recharged_Feasible_mat!J80=1),(VLOOKUP(I$1,test!$A$3:$I$32,8,FALSE))-(VLOOKUP($A111,test!$A$3:$I$32,9,FALSE))+test!$B$35,0)</f>
        <v>385</v>
      </c>
      <c r="J111">
        <f>IF(AND(SUM(VLOOKUP($A111,test!$A$3:$F$32,2,FALSE),VLOOKUP(J$1,test!$A$3:$F$32,2,FALSE))&lt;test!$K$16,$A111&lt;&gt;J$1,Recharged_Feasible_mat!K80=1),(VLOOKUP(J$1,test!$A$3:$I$32,8,FALSE))-(VLOOKUP($A111,test!$A$3:$I$32,9,FALSE))+test!$B$35,0)</f>
        <v>475</v>
      </c>
      <c r="K111">
        <f>IF(AND(SUM(VLOOKUP($A111,test!$A$3:$F$32,2,FALSE),VLOOKUP(K$1,test!$A$3:$F$32,2,FALSE))&lt;test!$K$16,$A111&lt;&gt;K$1,Recharged_Feasible_mat!L80=1),(VLOOKUP(K$1,test!$A$3:$I$32,8,FALSE))-(VLOOKUP($A111,test!$A$3:$I$32,9,FALSE))+test!$B$35,0)</f>
        <v>0</v>
      </c>
      <c r="L111">
        <f>IF(AND(SUM(VLOOKUP($A111,test!$A$3:$F$32,2,FALSE),VLOOKUP(L$1,test!$A$3:$F$32,2,FALSE))&lt;test!$K$16,$A111&lt;&gt;L$1,Recharged_Feasible_mat!M80=1),(VLOOKUP(L$1,test!$A$3:$I$32,8,FALSE))-(VLOOKUP($A111,test!$A$3:$I$32,9,FALSE))+test!$B$35,0)</f>
        <v>0</v>
      </c>
      <c r="M111">
        <f>IF(AND(SUM(VLOOKUP($A111,test!$A$3:$F$32,2,FALSE),VLOOKUP(M$1,test!$A$3:$F$32,2,FALSE))&lt;test!$K$16,$A111&lt;&gt;M$1,Recharged_Feasible_mat!N80=1),(VLOOKUP(M$1,test!$A$3:$I$32,8,FALSE))-(VLOOKUP($A111,test!$A$3:$I$32,9,FALSE))+test!$B$35,0)</f>
        <v>0</v>
      </c>
      <c r="N111">
        <f>IF(AND(SUM(VLOOKUP($A111,test!$A$3:$F$32,2,FALSE),VLOOKUP(N$1,test!$A$3:$F$32,2,FALSE))&lt;test!$K$16,$A111&lt;&gt;N$1,Recharged_Feasible_mat!O80=1),(VLOOKUP(N$1,test!$A$3:$I$32,8,FALSE))-(VLOOKUP($A111,test!$A$3:$I$32,9,FALSE))+test!$B$35,0)</f>
        <v>440</v>
      </c>
      <c r="O111">
        <f>IF(AND(SUM(VLOOKUP($A111,test!$A$3:$F$32,2,FALSE),VLOOKUP(O$1,test!$A$3:$F$32,2,FALSE))&lt;test!$K$16,$A111&lt;&gt;O$1,Recharged_Feasible_mat!P80=1),(VLOOKUP(O$1,test!$A$3:$I$32,8,FALSE))-(VLOOKUP($A111,test!$A$3:$I$32,9,FALSE))+test!$B$35,0)</f>
        <v>500</v>
      </c>
      <c r="P111">
        <f>IF(AND(SUM(VLOOKUP($A111,test!$A$3:$F$32,2,FALSE),VLOOKUP(P$1,test!$A$3:$F$32,2,FALSE))&lt;test!$K$16,$A111&lt;&gt;P$1,Recharged_Feasible_mat!Q80=1),(VLOOKUP(P$1,test!$A$3:$I$32,8,FALSE))-(VLOOKUP($A111,test!$A$3:$I$32,9,FALSE))+test!$B$35,0)</f>
        <v>0</v>
      </c>
      <c r="Q111">
        <f>IF(AND(SUM(VLOOKUP($A111,test!$A$3:$F$32,2,FALSE),VLOOKUP(Q$1,test!$A$3:$F$32,2,FALSE))&lt;test!$K$16,$A111&lt;&gt;Q$1,Recharged_Feasible_mat!R80=1),(VLOOKUP(Q$1,test!$A$3:$I$32,8,FALSE))-(VLOOKUP($A111,test!$A$3:$I$32,9,FALSE))+test!$B$35,0)</f>
        <v>0</v>
      </c>
      <c r="R111">
        <f>IF(AND(SUM(VLOOKUP($A111,test!$A$3:$F$32,2,FALSE),VLOOKUP(R$1,test!$A$3:$F$32,2,FALSE))&lt;test!$K$16,$A111&lt;&gt;R$1,Recharged_Feasible_mat!S80=1),(VLOOKUP(R$1,test!$A$3:$I$32,8,FALSE))-(VLOOKUP($A111,test!$A$3:$I$32,9,FALSE))+test!$B$35,0)</f>
        <v>0</v>
      </c>
      <c r="S111">
        <f>IF(AND(SUM(VLOOKUP($A111,test!$A$3:$F$32,2,FALSE),VLOOKUP(S$1,test!$A$3:$F$32,2,FALSE))&lt;test!$K$16,$A111&lt;&gt;S$1,Recharged_Feasible_mat!T80=1),(VLOOKUP(S$1,test!$A$3:$I$32,8,FALSE))-(VLOOKUP($A111,test!$A$3:$I$32,9,FALSE))+test!$B$35,0)</f>
        <v>0</v>
      </c>
      <c r="T111">
        <f>IF(AND(SUM(VLOOKUP($A111,test!$A$3:$F$32,2,FALSE),VLOOKUP(T$1,test!$A$3:$F$32,2,FALSE))&lt;test!$K$16,$A111&lt;&gt;T$1,Recharged_Feasible_mat!U80=1),(VLOOKUP(T$1,test!$A$3:$I$32,8,FALSE))-(VLOOKUP($A111,test!$A$3:$I$32,9,FALSE))+test!$B$35,0)</f>
        <v>0</v>
      </c>
      <c r="U111">
        <f>IF(AND(SUM(VLOOKUP($A111,test!$A$3:$F$32,2,FALSE),VLOOKUP(U$1,test!$A$3:$F$32,2,FALSE))&lt;test!$K$16,$A111&lt;&gt;U$1,Recharged_Feasible_mat!V80=1),(VLOOKUP(U$1,test!$A$3:$I$32,8,FALSE))-(VLOOKUP($A111,test!$A$3:$I$32,9,FALSE))+test!$B$35,0)</f>
        <v>0</v>
      </c>
      <c r="V111">
        <f>IF(AND(SUM(VLOOKUP($A111,test!$A$3:$F$32,2,FALSE),VLOOKUP(V$1,test!$A$3:$F$32,2,FALSE))&lt;test!$K$16,$A111&lt;&gt;V$1,Recharged_Feasible_mat!W80=1),(VLOOKUP(V$1,test!$A$3:$I$32,8,FALSE))-(VLOOKUP($A111,test!$A$3:$I$32,9,FALSE))+test!$B$35,0)</f>
        <v>275</v>
      </c>
      <c r="W111">
        <f>IF(AND(SUM(VLOOKUP($A111,test!$A$3:$F$32,2,FALSE),VLOOKUP(W$1,test!$A$3:$F$32,2,FALSE))&lt;test!$K$16,$A111&lt;&gt;W$1,Recharged_Feasible_mat!X80=1),(VLOOKUP(W$1,test!$A$3:$I$32,8,FALSE))-(VLOOKUP($A111,test!$A$3:$I$32,9,FALSE))+test!$B$35,0)</f>
        <v>365</v>
      </c>
      <c r="X111">
        <f>IF(AND(SUM(VLOOKUP($A111,test!$A$3:$F$32,2,FALSE),VLOOKUP(X$1,test!$A$3:$F$32,2,FALSE))&lt;test!$K$16,$A111&lt;&gt;X$1,Recharged_Feasible_mat!Y80=1),(VLOOKUP(X$1,test!$A$3:$I$32,8,FALSE))-(VLOOKUP($A111,test!$A$3:$I$32,9,FALSE))+test!$B$35,0)</f>
        <v>425</v>
      </c>
      <c r="Y111">
        <f>IF(AND(SUM(VLOOKUP($A111,test!$A$3:$F$32,2,FALSE),VLOOKUP(Y$1,test!$A$3:$F$32,2,FALSE))&lt;test!$K$16,$A111&lt;&gt;Y$1,Recharged_Feasible_mat!Z80=1),(VLOOKUP(Y$1,test!$A$3:$I$32,8,FALSE))-(VLOOKUP($A111,test!$A$3:$I$32,9,FALSE))+test!$B$35,0)</f>
        <v>0</v>
      </c>
      <c r="Z111">
        <f>IF(AND(SUM(VLOOKUP($A111,test!$A$3:$F$32,2,FALSE),VLOOKUP(Z$1,test!$A$3:$F$32,2,FALSE))&lt;test!$K$16,$A111&lt;&gt;Z$1,Recharged_Feasible_mat!AA80=1),(VLOOKUP(Z$1,test!$A$3:$I$32,8,FALSE))-(VLOOKUP($A111,test!$A$3:$I$32,9,FALSE))+test!$B$35,0)</f>
        <v>0</v>
      </c>
      <c r="AA111">
        <f>IF(AND(SUM(VLOOKUP($A111,test!$A$3:$F$32,2,FALSE),VLOOKUP(AA$1,test!$A$3:$F$32,2,FALSE))&lt;test!$K$16,$A111&lt;&gt;AA$1,Recharged_Feasible_mat!AB80=1),(VLOOKUP(AA$1,test!$A$3:$I$32,8,FALSE))-(VLOOKUP($A111,test!$A$3:$I$32,9,FALSE))+test!$B$35,0)</f>
        <v>0</v>
      </c>
      <c r="AB111">
        <f>IF(AND(SUM(VLOOKUP($A111,test!$A$3:$F$32,2,FALSE),VLOOKUP(AB$1,test!$A$3:$F$32,2,FALSE))&lt;test!$K$16,$A111&lt;&gt;AB$1,Recharged_Feasible_mat!AC80=1),(VLOOKUP(AB$1,test!$A$3:$I$32,8,FALSE))-(VLOOKUP($A111,test!$A$3:$I$32,9,FALSE))+test!$B$35,0)</f>
        <v>0</v>
      </c>
      <c r="AC111">
        <f>IF(AND(SUM(VLOOKUP($A111,test!$A$3:$F$32,2,FALSE),VLOOKUP(AC$1,test!$A$3:$F$32,2,FALSE))&lt;test!$K$16,$A111&lt;&gt;AC$1,Recharged_Feasible_mat!AD80=1),(VLOOKUP(AC$1,test!$A$3:$I$32,8,FALSE))-(VLOOKUP($A111,test!$A$3:$I$32,9,FALSE))+test!$B$35,0)</f>
        <v>325</v>
      </c>
      <c r="AD111">
        <f>IF(AND(SUM(VLOOKUP($A111,test!$A$3:$F$32,2,FALSE),VLOOKUP(AD$1,test!$A$3:$F$32,2,FALSE))&lt;test!$K$16,$A111&lt;&gt;AD$1,Recharged_Feasible_mat!AE80=1),(VLOOKUP(AD$1,test!$A$3:$I$32,8,FALSE))-(VLOOKUP($A111,test!$A$3:$I$32,9,FALSE))+test!$B$35,0)</f>
        <v>0</v>
      </c>
      <c r="AE111">
        <f>IF(AND(SUM(VLOOKUP($A111,test!$A$3:$F$32,2,FALSE),VLOOKUP(AE$1,test!$A$3:$F$32,2,FALSE))&lt;test!$K$16,$A111&lt;&gt;AE$1,Recharged_Feasible_mat!AF80=1),(VLOOKUP(AE$1,test!$A$3:$I$32,8,FALSE))-(VLOOKUP($A111,test!$A$3:$I$32,9,FALSE))+test!$B$35,0)</f>
        <v>0</v>
      </c>
      <c r="AF111">
        <f>IF(AND(SUM(VLOOKUP($A111,test!$A$3:$F$32,2,FALSE),VLOOKUP(AF$1,test!$A$3:$F$32,2,FALSE))&lt;test!$K$16,$A111&lt;&gt;AF$1,Recharged_Feasible_mat!AG80=1),(VLOOKUP(AF$1,test!$A$3:$I$32,8,FALSE))-(VLOOKUP($A111,test!$A$3:$I$32,9,FALSE))+test!$B$35,0)</f>
        <v>0</v>
      </c>
    </row>
    <row r="112" spans="1:32" x14ac:dyDescent="0.25">
      <c r="A112" t="s">
        <v>28</v>
      </c>
      <c r="B112">
        <v>0</v>
      </c>
      <c r="C112">
        <f>IF(AND(SUM(VLOOKUP($A112,test!$A$3:$F$32,2,FALSE),VLOOKUP(C$1,test!$A$3:$F$32,2,FALSE))&lt;test!$K$16,$A112&lt;&gt;C$1,Recharged_Feasible_mat!D81=1),(VLOOKUP(C$1,test!$A$3:$I$32,8,FALSE))-(VLOOKUP($A112,test!$A$3:$I$32,9,FALSE))+test!$B$35,0)</f>
        <v>0</v>
      </c>
      <c r="D112">
        <f>IF(AND(SUM(VLOOKUP($A112,test!$A$3:$F$32,2,FALSE),VLOOKUP(D$1,test!$A$3:$F$32,2,FALSE))&lt;test!$K$16,$A112&lt;&gt;D$1,Recharged_Feasible_mat!E81=1),(VLOOKUP(D$1,test!$A$3:$I$32,8,FALSE))-(VLOOKUP($A112,test!$A$3:$I$32,9,FALSE))+test!$B$35,0)</f>
        <v>0</v>
      </c>
      <c r="E112">
        <f>IF(AND(SUM(VLOOKUP($A112,test!$A$3:$F$32,2,FALSE),VLOOKUP(E$1,test!$A$3:$F$32,2,FALSE))&lt;test!$K$16,$A112&lt;&gt;E$1,Recharged_Feasible_mat!F81=1),(VLOOKUP(E$1,test!$A$3:$I$32,8,FALSE))-(VLOOKUP($A112,test!$A$3:$I$32,9,FALSE))+test!$B$35,0)</f>
        <v>0</v>
      </c>
      <c r="F112">
        <f>IF(AND(SUM(VLOOKUP($A112,test!$A$3:$F$32,2,FALSE),VLOOKUP(F$1,test!$A$3:$F$32,2,FALSE))&lt;test!$K$16,$A112&lt;&gt;F$1,Recharged_Feasible_mat!G81=1),(VLOOKUP(F$1,test!$A$3:$I$32,8,FALSE))-(VLOOKUP($A112,test!$A$3:$I$32,9,FALSE))+test!$B$35,0)</f>
        <v>0</v>
      </c>
      <c r="G112">
        <f>IF(AND(SUM(VLOOKUP($A112,test!$A$3:$F$32,2,FALSE),VLOOKUP(G$1,test!$A$3:$F$32,2,FALSE))&lt;test!$K$16,$A112&lt;&gt;G$1,Recharged_Feasible_mat!H81=1),(VLOOKUP(G$1,test!$A$3:$I$32,8,FALSE))-(VLOOKUP($A112,test!$A$3:$I$32,9,FALSE))+test!$B$35,0)</f>
        <v>0</v>
      </c>
      <c r="H112">
        <f>IF(AND(SUM(VLOOKUP($A112,test!$A$3:$F$32,2,FALSE),VLOOKUP(H$1,test!$A$3:$F$32,2,FALSE))&lt;test!$K$16,$A112&lt;&gt;H$1,Recharged_Feasible_mat!I81=1),(VLOOKUP(H$1,test!$A$3:$I$32,8,FALSE))-(VLOOKUP($A112,test!$A$3:$I$32,9,FALSE))+test!$B$35,0)</f>
        <v>0</v>
      </c>
      <c r="I112">
        <f>IF(AND(SUM(VLOOKUP($A112,test!$A$3:$F$32,2,FALSE),VLOOKUP(I$1,test!$A$3:$F$32,2,FALSE))&lt;test!$K$16,$A112&lt;&gt;I$1,Recharged_Feasible_mat!J81=1),(VLOOKUP(I$1,test!$A$3:$I$32,8,FALSE))-(VLOOKUP($A112,test!$A$3:$I$32,9,FALSE))+test!$B$35,0)</f>
        <v>295</v>
      </c>
      <c r="J112">
        <f>IF(AND(SUM(VLOOKUP($A112,test!$A$3:$F$32,2,FALSE),VLOOKUP(J$1,test!$A$3:$F$32,2,FALSE))&lt;test!$K$16,$A112&lt;&gt;J$1,Recharged_Feasible_mat!K81=1),(VLOOKUP(J$1,test!$A$3:$I$32,8,FALSE))-(VLOOKUP($A112,test!$A$3:$I$32,9,FALSE))+test!$B$35,0)</f>
        <v>385</v>
      </c>
      <c r="K112">
        <f>IF(AND(SUM(VLOOKUP($A112,test!$A$3:$F$32,2,FALSE),VLOOKUP(K$1,test!$A$3:$F$32,2,FALSE))&lt;test!$K$16,$A112&lt;&gt;K$1,Recharged_Feasible_mat!L81=1),(VLOOKUP(K$1,test!$A$3:$I$32,8,FALSE))-(VLOOKUP($A112,test!$A$3:$I$32,9,FALSE))+test!$B$35,0)</f>
        <v>0</v>
      </c>
      <c r="L112">
        <f>IF(AND(SUM(VLOOKUP($A112,test!$A$3:$F$32,2,FALSE),VLOOKUP(L$1,test!$A$3:$F$32,2,FALSE))&lt;test!$K$16,$A112&lt;&gt;L$1,Recharged_Feasible_mat!M81=1),(VLOOKUP(L$1,test!$A$3:$I$32,8,FALSE))-(VLOOKUP($A112,test!$A$3:$I$32,9,FALSE))+test!$B$35,0)</f>
        <v>0</v>
      </c>
      <c r="M112">
        <f>IF(AND(SUM(VLOOKUP($A112,test!$A$3:$F$32,2,FALSE),VLOOKUP(M$1,test!$A$3:$F$32,2,FALSE))&lt;test!$K$16,$A112&lt;&gt;M$1,Recharged_Feasible_mat!N81=1),(VLOOKUP(M$1,test!$A$3:$I$32,8,FALSE))-(VLOOKUP($A112,test!$A$3:$I$32,9,FALSE))+test!$B$35,0)</f>
        <v>0</v>
      </c>
      <c r="N112">
        <f>IF(AND(SUM(VLOOKUP($A112,test!$A$3:$F$32,2,FALSE),VLOOKUP(N$1,test!$A$3:$F$32,2,FALSE))&lt;test!$K$16,$A112&lt;&gt;N$1,Recharged_Feasible_mat!O81=1),(VLOOKUP(N$1,test!$A$3:$I$32,8,FALSE))-(VLOOKUP($A112,test!$A$3:$I$32,9,FALSE))+test!$B$35,0)</f>
        <v>350</v>
      </c>
      <c r="O112">
        <f>IF(AND(SUM(VLOOKUP($A112,test!$A$3:$F$32,2,FALSE),VLOOKUP(O$1,test!$A$3:$F$32,2,FALSE))&lt;test!$K$16,$A112&lt;&gt;O$1,Recharged_Feasible_mat!P81=1),(VLOOKUP(O$1,test!$A$3:$I$32,8,FALSE))-(VLOOKUP($A112,test!$A$3:$I$32,9,FALSE))+test!$B$35,0)</f>
        <v>410</v>
      </c>
      <c r="P112">
        <f>IF(AND(SUM(VLOOKUP($A112,test!$A$3:$F$32,2,FALSE),VLOOKUP(P$1,test!$A$3:$F$32,2,FALSE))&lt;test!$K$16,$A112&lt;&gt;P$1,Recharged_Feasible_mat!Q81=1),(VLOOKUP(P$1,test!$A$3:$I$32,8,FALSE))-(VLOOKUP($A112,test!$A$3:$I$32,9,FALSE))+test!$B$35,0)</f>
        <v>0</v>
      </c>
      <c r="Q112">
        <f>IF(AND(SUM(VLOOKUP($A112,test!$A$3:$F$32,2,FALSE),VLOOKUP(Q$1,test!$A$3:$F$32,2,FALSE))&lt;test!$K$16,$A112&lt;&gt;Q$1,Recharged_Feasible_mat!R81=1),(VLOOKUP(Q$1,test!$A$3:$I$32,8,FALSE))-(VLOOKUP($A112,test!$A$3:$I$32,9,FALSE))+test!$B$35,0)</f>
        <v>0</v>
      </c>
      <c r="R112">
        <f>IF(AND(SUM(VLOOKUP($A112,test!$A$3:$F$32,2,FALSE),VLOOKUP(R$1,test!$A$3:$F$32,2,FALSE))&lt;test!$K$16,$A112&lt;&gt;R$1,Recharged_Feasible_mat!S81=1),(VLOOKUP(R$1,test!$A$3:$I$32,8,FALSE))-(VLOOKUP($A112,test!$A$3:$I$32,9,FALSE))+test!$B$35,0)</f>
        <v>0</v>
      </c>
      <c r="S112">
        <f>IF(AND(SUM(VLOOKUP($A112,test!$A$3:$F$32,2,FALSE),VLOOKUP(S$1,test!$A$3:$F$32,2,FALSE))&lt;test!$K$16,$A112&lt;&gt;S$1,Recharged_Feasible_mat!T81=1),(VLOOKUP(S$1,test!$A$3:$I$32,8,FALSE))-(VLOOKUP($A112,test!$A$3:$I$32,9,FALSE))+test!$B$35,0)</f>
        <v>0</v>
      </c>
      <c r="T112">
        <f>IF(AND(SUM(VLOOKUP($A112,test!$A$3:$F$32,2,FALSE),VLOOKUP(T$1,test!$A$3:$F$32,2,FALSE))&lt;test!$K$16,$A112&lt;&gt;T$1,Recharged_Feasible_mat!U81=1),(VLOOKUP(T$1,test!$A$3:$I$32,8,FALSE))-(VLOOKUP($A112,test!$A$3:$I$32,9,FALSE))+test!$B$35,0)</f>
        <v>0</v>
      </c>
      <c r="U112">
        <f>IF(AND(SUM(VLOOKUP($A112,test!$A$3:$F$32,2,FALSE),VLOOKUP(U$1,test!$A$3:$F$32,2,FALSE))&lt;test!$K$16,$A112&lt;&gt;U$1,Recharged_Feasible_mat!V81=1),(VLOOKUP(U$1,test!$A$3:$I$32,8,FALSE))-(VLOOKUP($A112,test!$A$3:$I$32,9,FALSE))+test!$B$35,0)</f>
        <v>0</v>
      </c>
      <c r="V112">
        <f>IF(AND(SUM(VLOOKUP($A112,test!$A$3:$F$32,2,FALSE),VLOOKUP(V$1,test!$A$3:$F$32,2,FALSE))&lt;test!$K$16,$A112&lt;&gt;V$1,Recharged_Feasible_mat!W81=1),(VLOOKUP(V$1,test!$A$3:$I$32,8,FALSE))-(VLOOKUP($A112,test!$A$3:$I$32,9,FALSE))+test!$B$35,0)</f>
        <v>0</v>
      </c>
      <c r="W112">
        <f>IF(AND(SUM(VLOOKUP($A112,test!$A$3:$F$32,2,FALSE),VLOOKUP(W$1,test!$A$3:$F$32,2,FALSE))&lt;test!$K$16,$A112&lt;&gt;W$1,Recharged_Feasible_mat!X81=1),(VLOOKUP(W$1,test!$A$3:$I$32,8,FALSE))-(VLOOKUP($A112,test!$A$3:$I$32,9,FALSE))+test!$B$35,0)</f>
        <v>275</v>
      </c>
      <c r="X112">
        <f>IF(AND(SUM(VLOOKUP($A112,test!$A$3:$F$32,2,FALSE),VLOOKUP(X$1,test!$A$3:$F$32,2,FALSE))&lt;test!$K$16,$A112&lt;&gt;X$1,Recharged_Feasible_mat!Y81=1),(VLOOKUP(X$1,test!$A$3:$I$32,8,FALSE))-(VLOOKUP($A112,test!$A$3:$I$32,9,FALSE))+test!$B$35,0)</f>
        <v>335</v>
      </c>
      <c r="Y112">
        <f>IF(AND(SUM(VLOOKUP($A112,test!$A$3:$F$32,2,FALSE),VLOOKUP(Y$1,test!$A$3:$F$32,2,FALSE))&lt;test!$K$16,$A112&lt;&gt;Y$1,Recharged_Feasible_mat!Z81=1),(VLOOKUP(Y$1,test!$A$3:$I$32,8,FALSE))-(VLOOKUP($A112,test!$A$3:$I$32,9,FALSE))+test!$B$35,0)</f>
        <v>0</v>
      </c>
      <c r="Z112">
        <f>IF(AND(SUM(VLOOKUP($A112,test!$A$3:$F$32,2,FALSE),VLOOKUP(Z$1,test!$A$3:$F$32,2,FALSE))&lt;test!$K$16,$A112&lt;&gt;Z$1,Recharged_Feasible_mat!AA81=1),(VLOOKUP(Z$1,test!$A$3:$I$32,8,FALSE))-(VLOOKUP($A112,test!$A$3:$I$32,9,FALSE))+test!$B$35,0)</f>
        <v>0</v>
      </c>
      <c r="AA112">
        <f>IF(AND(SUM(VLOOKUP($A112,test!$A$3:$F$32,2,FALSE),VLOOKUP(AA$1,test!$A$3:$F$32,2,FALSE))&lt;test!$K$16,$A112&lt;&gt;AA$1,Recharged_Feasible_mat!AB81=1),(VLOOKUP(AA$1,test!$A$3:$I$32,8,FALSE))-(VLOOKUP($A112,test!$A$3:$I$32,9,FALSE))+test!$B$35,0)</f>
        <v>0</v>
      </c>
      <c r="AB112">
        <f>IF(AND(SUM(VLOOKUP($A112,test!$A$3:$F$32,2,FALSE),VLOOKUP(AB$1,test!$A$3:$F$32,2,FALSE))&lt;test!$K$16,$A112&lt;&gt;AB$1,Recharged_Feasible_mat!AC81=1),(VLOOKUP(AB$1,test!$A$3:$I$32,8,FALSE))-(VLOOKUP($A112,test!$A$3:$I$32,9,FALSE))+test!$B$35,0)</f>
        <v>0</v>
      </c>
      <c r="AC112">
        <f>IF(AND(SUM(VLOOKUP($A112,test!$A$3:$F$32,2,FALSE),VLOOKUP(AC$1,test!$A$3:$F$32,2,FALSE))&lt;test!$K$16,$A112&lt;&gt;AC$1,Recharged_Feasible_mat!AD81=1),(VLOOKUP(AC$1,test!$A$3:$I$32,8,FALSE))-(VLOOKUP($A112,test!$A$3:$I$32,9,FALSE))+test!$B$35,0)</f>
        <v>0</v>
      </c>
      <c r="AD112">
        <f>IF(AND(SUM(VLOOKUP($A112,test!$A$3:$F$32,2,FALSE),VLOOKUP(AD$1,test!$A$3:$F$32,2,FALSE))&lt;test!$K$16,$A112&lt;&gt;AD$1,Recharged_Feasible_mat!AE81=1),(VLOOKUP(AD$1,test!$A$3:$I$32,8,FALSE))-(VLOOKUP($A112,test!$A$3:$I$32,9,FALSE))+test!$B$35,0)</f>
        <v>0</v>
      </c>
      <c r="AE112">
        <f>IF(AND(SUM(VLOOKUP($A112,test!$A$3:$F$32,2,FALSE),VLOOKUP(AE$1,test!$A$3:$F$32,2,FALSE))&lt;test!$K$16,$A112&lt;&gt;AE$1,Recharged_Feasible_mat!AF81=1),(VLOOKUP(AE$1,test!$A$3:$I$32,8,FALSE))-(VLOOKUP($A112,test!$A$3:$I$32,9,FALSE))+test!$B$35,0)</f>
        <v>0</v>
      </c>
      <c r="AF112">
        <f>IF(AND(SUM(VLOOKUP($A112,test!$A$3:$F$32,2,FALSE),VLOOKUP(AF$1,test!$A$3:$F$32,2,FALSE))&lt;test!$K$16,$A112&lt;&gt;AF$1,Recharged_Feasible_mat!AG81=1),(VLOOKUP(AF$1,test!$A$3:$I$32,8,FALSE))-(VLOOKUP($A112,test!$A$3:$I$32,9,FALSE))+test!$B$35,0)</f>
        <v>0</v>
      </c>
    </row>
    <row r="113" spans="1:32" x14ac:dyDescent="0.25">
      <c r="A113" t="s">
        <v>29</v>
      </c>
      <c r="B113">
        <v>0</v>
      </c>
      <c r="C113">
        <f>IF(AND(SUM(VLOOKUP($A113,test!$A$3:$F$32,2,FALSE),VLOOKUP(C$1,test!$A$3:$F$32,2,FALSE))&lt;test!$K$16,$A113&lt;&gt;C$1,Recharged_Feasible_mat!D82=1),(VLOOKUP(C$1,test!$A$3:$I$32,8,FALSE))-(VLOOKUP($A113,test!$A$3:$I$32,9,FALSE))+test!$B$35,0)</f>
        <v>0</v>
      </c>
      <c r="D113">
        <f>IF(AND(SUM(VLOOKUP($A113,test!$A$3:$F$32,2,FALSE),VLOOKUP(D$1,test!$A$3:$F$32,2,FALSE))&lt;test!$K$16,$A113&lt;&gt;D$1,Recharged_Feasible_mat!E82=1),(VLOOKUP(D$1,test!$A$3:$I$32,8,FALSE))-(VLOOKUP($A113,test!$A$3:$I$32,9,FALSE))+test!$B$35,0)</f>
        <v>0</v>
      </c>
      <c r="E113">
        <f>IF(AND(SUM(VLOOKUP($A113,test!$A$3:$F$32,2,FALSE),VLOOKUP(E$1,test!$A$3:$F$32,2,FALSE))&lt;test!$K$16,$A113&lt;&gt;E$1,Recharged_Feasible_mat!F82=1),(VLOOKUP(E$1,test!$A$3:$I$32,8,FALSE))-(VLOOKUP($A113,test!$A$3:$I$32,9,FALSE))+test!$B$35,0)</f>
        <v>0</v>
      </c>
      <c r="F113">
        <f>IF(AND(SUM(VLOOKUP($A113,test!$A$3:$F$32,2,FALSE),VLOOKUP(F$1,test!$A$3:$F$32,2,FALSE))&lt;test!$K$16,$A113&lt;&gt;F$1,Recharged_Feasible_mat!G82=1),(VLOOKUP(F$1,test!$A$3:$I$32,8,FALSE))-(VLOOKUP($A113,test!$A$3:$I$32,9,FALSE))+test!$B$35,0)</f>
        <v>0</v>
      </c>
      <c r="G113">
        <f>IF(AND(SUM(VLOOKUP($A113,test!$A$3:$F$32,2,FALSE),VLOOKUP(G$1,test!$A$3:$F$32,2,FALSE))&lt;test!$K$16,$A113&lt;&gt;G$1,Recharged_Feasible_mat!H82=1),(VLOOKUP(G$1,test!$A$3:$I$32,8,FALSE))-(VLOOKUP($A113,test!$A$3:$I$32,9,FALSE))+test!$B$35,0)</f>
        <v>0</v>
      </c>
      <c r="H113">
        <f>IF(AND(SUM(VLOOKUP($A113,test!$A$3:$F$32,2,FALSE),VLOOKUP(H$1,test!$A$3:$F$32,2,FALSE))&lt;test!$K$16,$A113&lt;&gt;H$1,Recharged_Feasible_mat!I82=1),(VLOOKUP(H$1,test!$A$3:$I$32,8,FALSE))-(VLOOKUP($A113,test!$A$3:$I$32,9,FALSE))+test!$B$35,0)</f>
        <v>0</v>
      </c>
      <c r="I113">
        <f>IF(AND(SUM(VLOOKUP($A113,test!$A$3:$F$32,2,FALSE),VLOOKUP(I$1,test!$A$3:$F$32,2,FALSE))&lt;test!$K$16,$A113&lt;&gt;I$1,Recharged_Feasible_mat!J82=1),(VLOOKUP(I$1,test!$A$3:$I$32,8,FALSE))-(VLOOKUP($A113,test!$A$3:$I$32,9,FALSE))+test!$B$35,0)</f>
        <v>0</v>
      </c>
      <c r="J113">
        <f>IF(AND(SUM(VLOOKUP($A113,test!$A$3:$F$32,2,FALSE),VLOOKUP(J$1,test!$A$3:$F$32,2,FALSE))&lt;test!$K$16,$A113&lt;&gt;J$1,Recharged_Feasible_mat!K82=1),(VLOOKUP(J$1,test!$A$3:$I$32,8,FALSE))-(VLOOKUP($A113,test!$A$3:$I$32,9,FALSE))+test!$B$35,0)</f>
        <v>295</v>
      </c>
      <c r="K113">
        <f>IF(AND(SUM(VLOOKUP($A113,test!$A$3:$F$32,2,FALSE),VLOOKUP(K$1,test!$A$3:$F$32,2,FALSE))&lt;test!$K$16,$A113&lt;&gt;K$1,Recharged_Feasible_mat!L82=1),(VLOOKUP(K$1,test!$A$3:$I$32,8,FALSE))-(VLOOKUP($A113,test!$A$3:$I$32,9,FALSE))+test!$B$35,0)</f>
        <v>0</v>
      </c>
      <c r="L113">
        <f>IF(AND(SUM(VLOOKUP($A113,test!$A$3:$F$32,2,FALSE),VLOOKUP(L$1,test!$A$3:$F$32,2,FALSE))&lt;test!$K$16,$A113&lt;&gt;L$1,Recharged_Feasible_mat!M82=1),(VLOOKUP(L$1,test!$A$3:$I$32,8,FALSE))-(VLOOKUP($A113,test!$A$3:$I$32,9,FALSE))+test!$B$35,0)</f>
        <v>0</v>
      </c>
      <c r="M113">
        <f>IF(AND(SUM(VLOOKUP($A113,test!$A$3:$F$32,2,FALSE),VLOOKUP(M$1,test!$A$3:$F$32,2,FALSE))&lt;test!$K$16,$A113&lt;&gt;M$1,Recharged_Feasible_mat!N82=1),(VLOOKUP(M$1,test!$A$3:$I$32,8,FALSE))-(VLOOKUP($A113,test!$A$3:$I$32,9,FALSE))+test!$B$35,0)</f>
        <v>0</v>
      </c>
      <c r="N113">
        <f>IF(AND(SUM(VLOOKUP($A113,test!$A$3:$F$32,2,FALSE),VLOOKUP(N$1,test!$A$3:$F$32,2,FALSE))&lt;test!$K$16,$A113&lt;&gt;N$1,Recharged_Feasible_mat!O82=1),(VLOOKUP(N$1,test!$A$3:$I$32,8,FALSE))-(VLOOKUP($A113,test!$A$3:$I$32,9,FALSE))+test!$B$35,0)</f>
        <v>260</v>
      </c>
      <c r="O113">
        <f>IF(AND(SUM(VLOOKUP($A113,test!$A$3:$F$32,2,FALSE),VLOOKUP(O$1,test!$A$3:$F$32,2,FALSE))&lt;test!$K$16,$A113&lt;&gt;O$1,Recharged_Feasible_mat!P82=1),(VLOOKUP(O$1,test!$A$3:$I$32,8,FALSE))-(VLOOKUP($A113,test!$A$3:$I$32,9,FALSE))+test!$B$35,0)</f>
        <v>320</v>
      </c>
      <c r="P113">
        <f>IF(AND(SUM(VLOOKUP($A113,test!$A$3:$F$32,2,FALSE),VLOOKUP(P$1,test!$A$3:$F$32,2,FALSE))&lt;test!$K$16,$A113&lt;&gt;P$1,Recharged_Feasible_mat!Q82=1),(VLOOKUP(P$1,test!$A$3:$I$32,8,FALSE))-(VLOOKUP($A113,test!$A$3:$I$32,9,FALSE))+test!$B$35,0)</f>
        <v>0</v>
      </c>
      <c r="Q113">
        <f>IF(AND(SUM(VLOOKUP($A113,test!$A$3:$F$32,2,FALSE),VLOOKUP(Q$1,test!$A$3:$F$32,2,FALSE))&lt;test!$K$16,$A113&lt;&gt;Q$1,Recharged_Feasible_mat!R82=1),(VLOOKUP(Q$1,test!$A$3:$I$32,8,FALSE))-(VLOOKUP($A113,test!$A$3:$I$32,9,FALSE))+test!$B$35,0)</f>
        <v>0</v>
      </c>
      <c r="R113">
        <f>IF(AND(SUM(VLOOKUP($A113,test!$A$3:$F$32,2,FALSE),VLOOKUP(R$1,test!$A$3:$F$32,2,FALSE))&lt;test!$K$16,$A113&lt;&gt;R$1,Recharged_Feasible_mat!S82=1),(VLOOKUP(R$1,test!$A$3:$I$32,8,FALSE))-(VLOOKUP($A113,test!$A$3:$I$32,9,FALSE))+test!$B$35,0)</f>
        <v>0</v>
      </c>
      <c r="S113">
        <f>IF(AND(SUM(VLOOKUP($A113,test!$A$3:$F$32,2,FALSE),VLOOKUP(S$1,test!$A$3:$F$32,2,FALSE))&lt;test!$K$16,$A113&lt;&gt;S$1,Recharged_Feasible_mat!T82=1),(VLOOKUP(S$1,test!$A$3:$I$32,8,FALSE))-(VLOOKUP($A113,test!$A$3:$I$32,9,FALSE))+test!$B$35,0)</f>
        <v>0</v>
      </c>
      <c r="T113">
        <f>IF(AND(SUM(VLOOKUP($A113,test!$A$3:$F$32,2,FALSE),VLOOKUP(T$1,test!$A$3:$F$32,2,FALSE))&lt;test!$K$16,$A113&lt;&gt;T$1,Recharged_Feasible_mat!U82=1),(VLOOKUP(T$1,test!$A$3:$I$32,8,FALSE))-(VLOOKUP($A113,test!$A$3:$I$32,9,FALSE))+test!$B$35,0)</f>
        <v>0</v>
      </c>
      <c r="U113">
        <f>IF(AND(SUM(VLOOKUP($A113,test!$A$3:$F$32,2,FALSE),VLOOKUP(U$1,test!$A$3:$F$32,2,FALSE))&lt;test!$K$16,$A113&lt;&gt;U$1,Recharged_Feasible_mat!V82=1),(VLOOKUP(U$1,test!$A$3:$I$32,8,FALSE))-(VLOOKUP($A113,test!$A$3:$I$32,9,FALSE))+test!$B$35,0)</f>
        <v>0</v>
      </c>
      <c r="V113">
        <f>IF(AND(SUM(VLOOKUP($A113,test!$A$3:$F$32,2,FALSE),VLOOKUP(V$1,test!$A$3:$F$32,2,FALSE))&lt;test!$K$16,$A113&lt;&gt;V$1,Recharged_Feasible_mat!W82=1),(VLOOKUP(V$1,test!$A$3:$I$32,8,FALSE))-(VLOOKUP($A113,test!$A$3:$I$32,9,FALSE))+test!$B$35,0)</f>
        <v>0</v>
      </c>
      <c r="W113">
        <f>IF(AND(SUM(VLOOKUP($A113,test!$A$3:$F$32,2,FALSE),VLOOKUP(W$1,test!$A$3:$F$32,2,FALSE))&lt;test!$K$16,$A113&lt;&gt;W$1,Recharged_Feasible_mat!X82=1),(VLOOKUP(W$1,test!$A$3:$I$32,8,FALSE))-(VLOOKUP($A113,test!$A$3:$I$32,9,FALSE))+test!$B$35,0)</f>
        <v>0</v>
      </c>
      <c r="X113">
        <f>IF(AND(SUM(VLOOKUP($A113,test!$A$3:$F$32,2,FALSE),VLOOKUP(X$1,test!$A$3:$F$32,2,FALSE))&lt;test!$K$16,$A113&lt;&gt;X$1,Recharged_Feasible_mat!Y82=1),(VLOOKUP(X$1,test!$A$3:$I$32,8,FALSE))-(VLOOKUP($A113,test!$A$3:$I$32,9,FALSE))+test!$B$35,0)</f>
        <v>245</v>
      </c>
      <c r="Y113">
        <f>IF(AND(SUM(VLOOKUP($A113,test!$A$3:$F$32,2,FALSE),VLOOKUP(Y$1,test!$A$3:$F$32,2,FALSE))&lt;test!$K$16,$A113&lt;&gt;Y$1,Recharged_Feasible_mat!Z82=1),(VLOOKUP(Y$1,test!$A$3:$I$32,8,FALSE))-(VLOOKUP($A113,test!$A$3:$I$32,9,FALSE))+test!$B$35,0)</f>
        <v>0</v>
      </c>
      <c r="Z113">
        <f>IF(AND(SUM(VLOOKUP($A113,test!$A$3:$F$32,2,FALSE),VLOOKUP(Z$1,test!$A$3:$F$32,2,FALSE))&lt;test!$K$16,$A113&lt;&gt;Z$1,Recharged_Feasible_mat!AA82=1),(VLOOKUP(Z$1,test!$A$3:$I$32,8,FALSE))-(VLOOKUP($A113,test!$A$3:$I$32,9,FALSE))+test!$B$35,0)</f>
        <v>0</v>
      </c>
      <c r="AA113">
        <f>IF(AND(SUM(VLOOKUP($A113,test!$A$3:$F$32,2,FALSE),VLOOKUP(AA$1,test!$A$3:$F$32,2,FALSE))&lt;test!$K$16,$A113&lt;&gt;AA$1,Recharged_Feasible_mat!AB82=1),(VLOOKUP(AA$1,test!$A$3:$I$32,8,FALSE))-(VLOOKUP($A113,test!$A$3:$I$32,9,FALSE))+test!$B$35,0)</f>
        <v>0</v>
      </c>
      <c r="AB113">
        <f>IF(AND(SUM(VLOOKUP($A113,test!$A$3:$F$32,2,FALSE),VLOOKUP(AB$1,test!$A$3:$F$32,2,FALSE))&lt;test!$K$16,$A113&lt;&gt;AB$1,Recharged_Feasible_mat!AC82=1),(VLOOKUP(AB$1,test!$A$3:$I$32,8,FALSE))-(VLOOKUP($A113,test!$A$3:$I$32,9,FALSE))+test!$B$35,0)</f>
        <v>0</v>
      </c>
      <c r="AC113">
        <f>IF(AND(SUM(VLOOKUP($A113,test!$A$3:$F$32,2,FALSE),VLOOKUP(AC$1,test!$A$3:$F$32,2,FALSE))&lt;test!$K$16,$A113&lt;&gt;AC$1,Recharged_Feasible_mat!AD82=1),(VLOOKUP(AC$1,test!$A$3:$I$32,8,FALSE))-(VLOOKUP($A113,test!$A$3:$I$32,9,FALSE))+test!$B$35,0)</f>
        <v>0</v>
      </c>
      <c r="AD113">
        <f>IF(AND(SUM(VLOOKUP($A113,test!$A$3:$F$32,2,FALSE),VLOOKUP(AD$1,test!$A$3:$F$32,2,FALSE))&lt;test!$K$16,$A113&lt;&gt;AD$1,Recharged_Feasible_mat!AE82=1),(VLOOKUP(AD$1,test!$A$3:$I$32,8,FALSE))-(VLOOKUP($A113,test!$A$3:$I$32,9,FALSE))+test!$B$35,0)</f>
        <v>0</v>
      </c>
      <c r="AE113">
        <f>IF(AND(SUM(VLOOKUP($A113,test!$A$3:$F$32,2,FALSE),VLOOKUP(AE$1,test!$A$3:$F$32,2,FALSE))&lt;test!$K$16,$A113&lt;&gt;AE$1,Recharged_Feasible_mat!AF82=1),(VLOOKUP(AE$1,test!$A$3:$I$32,8,FALSE))-(VLOOKUP($A113,test!$A$3:$I$32,9,FALSE))+test!$B$35,0)</f>
        <v>0</v>
      </c>
      <c r="AF113">
        <f>IF(AND(SUM(VLOOKUP($A113,test!$A$3:$F$32,2,FALSE),VLOOKUP(AF$1,test!$A$3:$F$32,2,FALSE))&lt;test!$K$16,$A113&lt;&gt;AF$1,Recharged_Feasible_mat!AG82=1),(VLOOKUP(AF$1,test!$A$3:$I$32,8,FALSE))-(VLOOKUP($A113,test!$A$3:$I$32,9,FALSE))+test!$B$35,0)</f>
        <v>0</v>
      </c>
    </row>
    <row r="114" spans="1:32" x14ac:dyDescent="0.25">
      <c r="A114" t="s">
        <v>30</v>
      </c>
      <c r="B114">
        <v>0</v>
      </c>
      <c r="C114">
        <f>IF(AND(SUM(VLOOKUP($A114,test!$A$3:$F$32,2,FALSE),VLOOKUP(C$1,test!$A$3:$F$32,2,FALSE))&lt;test!$K$16,$A114&lt;&gt;C$1,Recharged_Feasible_mat!D83=1),(VLOOKUP(C$1,test!$A$3:$I$32,8,FALSE))-(VLOOKUP($A114,test!$A$3:$I$32,9,FALSE))+test!$B$35,0)</f>
        <v>0</v>
      </c>
      <c r="D114">
        <f>IF(AND(SUM(VLOOKUP($A114,test!$A$3:$F$32,2,FALSE),VLOOKUP(D$1,test!$A$3:$F$32,2,FALSE))&lt;test!$K$16,$A114&lt;&gt;D$1,Recharged_Feasible_mat!E83=1),(VLOOKUP(D$1,test!$A$3:$I$32,8,FALSE))-(VLOOKUP($A114,test!$A$3:$I$32,9,FALSE))+test!$B$35,0)</f>
        <v>0</v>
      </c>
      <c r="E114">
        <f>IF(AND(SUM(VLOOKUP($A114,test!$A$3:$F$32,2,FALSE),VLOOKUP(E$1,test!$A$3:$F$32,2,FALSE))&lt;test!$K$16,$A114&lt;&gt;E$1,Recharged_Feasible_mat!F83=1),(VLOOKUP(E$1,test!$A$3:$I$32,8,FALSE))-(VLOOKUP($A114,test!$A$3:$I$32,9,FALSE))+test!$B$35,0)</f>
        <v>0</v>
      </c>
      <c r="F114">
        <f>IF(AND(SUM(VLOOKUP($A114,test!$A$3:$F$32,2,FALSE),VLOOKUP(F$1,test!$A$3:$F$32,2,FALSE))&lt;test!$K$16,$A114&lt;&gt;F$1,Recharged_Feasible_mat!G83=1),(VLOOKUP(F$1,test!$A$3:$I$32,8,FALSE))-(VLOOKUP($A114,test!$A$3:$I$32,9,FALSE))+test!$B$35,0)</f>
        <v>0</v>
      </c>
      <c r="G114">
        <f>IF(AND(SUM(VLOOKUP($A114,test!$A$3:$F$32,2,FALSE),VLOOKUP(G$1,test!$A$3:$F$32,2,FALSE))&lt;test!$K$16,$A114&lt;&gt;G$1,Recharged_Feasible_mat!H83=1),(VLOOKUP(G$1,test!$A$3:$I$32,8,FALSE))-(VLOOKUP($A114,test!$A$3:$I$32,9,FALSE))+test!$B$35,0)</f>
        <v>0</v>
      </c>
      <c r="H114">
        <f>IF(AND(SUM(VLOOKUP($A114,test!$A$3:$F$32,2,FALSE),VLOOKUP(H$1,test!$A$3:$F$32,2,FALSE))&lt;test!$K$16,$A114&lt;&gt;H$1,Recharged_Feasible_mat!I83=1),(VLOOKUP(H$1,test!$A$3:$I$32,8,FALSE))-(VLOOKUP($A114,test!$A$3:$I$32,9,FALSE))+test!$B$35,0)</f>
        <v>0</v>
      </c>
      <c r="I114">
        <f>IF(AND(SUM(VLOOKUP($A114,test!$A$3:$F$32,2,FALSE),VLOOKUP(I$1,test!$A$3:$F$32,2,FALSE))&lt;test!$K$16,$A114&lt;&gt;I$1,Recharged_Feasible_mat!J83=1),(VLOOKUP(I$1,test!$A$3:$I$32,8,FALSE))-(VLOOKUP($A114,test!$A$3:$I$32,9,FALSE))+test!$B$35,0)</f>
        <v>0</v>
      </c>
      <c r="J114">
        <f>IF(AND(SUM(VLOOKUP($A114,test!$A$3:$F$32,2,FALSE),VLOOKUP(J$1,test!$A$3:$F$32,2,FALSE))&lt;test!$K$16,$A114&lt;&gt;J$1,Recharged_Feasible_mat!K83=1),(VLOOKUP(J$1,test!$A$3:$I$32,8,FALSE))-(VLOOKUP($A114,test!$A$3:$I$32,9,FALSE))+test!$B$35,0)</f>
        <v>0</v>
      </c>
      <c r="K114">
        <f>IF(AND(SUM(VLOOKUP($A114,test!$A$3:$F$32,2,FALSE),VLOOKUP(K$1,test!$A$3:$F$32,2,FALSE))&lt;test!$K$16,$A114&lt;&gt;K$1,Recharged_Feasible_mat!L83=1),(VLOOKUP(K$1,test!$A$3:$I$32,8,FALSE))-(VLOOKUP($A114,test!$A$3:$I$32,9,FALSE))+test!$B$35,0)</f>
        <v>0</v>
      </c>
      <c r="L114">
        <f>IF(AND(SUM(VLOOKUP($A114,test!$A$3:$F$32,2,FALSE),VLOOKUP(L$1,test!$A$3:$F$32,2,FALSE))&lt;test!$K$16,$A114&lt;&gt;L$1,Recharged_Feasible_mat!M83=1),(VLOOKUP(L$1,test!$A$3:$I$32,8,FALSE))-(VLOOKUP($A114,test!$A$3:$I$32,9,FALSE))+test!$B$35,0)</f>
        <v>0</v>
      </c>
      <c r="M114">
        <f>IF(AND(SUM(VLOOKUP($A114,test!$A$3:$F$32,2,FALSE),VLOOKUP(M$1,test!$A$3:$F$32,2,FALSE))&lt;test!$K$16,$A114&lt;&gt;M$1,Recharged_Feasible_mat!N83=1),(VLOOKUP(M$1,test!$A$3:$I$32,8,FALSE))-(VLOOKUP($A114,test!$A$3:$I$32,9,FALSE))+test!$B$35,0)</f>
        <v>0</v>
      </c>
      <c r="N114">
        <f>IF(AND(SUM(VLOOKUP($A114,test!$A$3:$F$32,2,FALSE),VLOOKUP(N$1,test!$A$3:$F$32,2,FALSE))&lt;test!$K$16,$A114&lt;&gt;N$1,Recharged_Feasible_mat!O83=1),(VLOOKUP(N$1,test!$A$3:$I$32,8,FALSE))-(VLOOKUP($A114,test!$A$3:$I$32,9,FALSE))+test!$B$35,0)</f>
        <v>0</v>
      </c>
      <c r="O114">
        <f>IF(AND(SUM(VLOOKUP($A114,test!$A$3:$F$32,2,FALSE),VLOOKUP(O$1,test!$A$3:$F$32,2,FALSE))&lt;test!$K$16,$A114&lt;&gt;O$1,Recharged_Feasible_mat!P83=1),(VLOOKUP(O$1,test!$A$3:$I$32,8,FALSE))-(VLOOKUP($A114,test!$A$3:$I$32,9,FALSE))+test!$B$35,0)</f>
        <v>0</v>
      </c>
      <c r="P114">
        <f>IF(AND(SUM(VLOOKUP($A114,test!$A$3:$F$32,2,FALSE),VLOOKUP(P$1,test!$A$3:$F$32,2,FALSE))&lt;test!$K$16,$A114&lt;&gt;P$1,Recharged_Feasible_mat!Q83=1),(VLOOKUP(P$1,test!$A$3:$I$32,8,FALSE))-(VLOOKUP($A114,test!$A$3:$I$32,9,FALSE))+test!$B$35,0)</f>
        <v>0</v>
      </c>
      <c r="Q114">
        <f>IF(AND(SUM(VLOOKUP($A114,test!$A$3:$F$32,2,FALSE),VLOOKUP(Q$1,test!$A$3:$F$32,2,FALSE))&lt;test!$K$16,$A114&lt;&gt;Q$1,Recharged_Feasible_mat!R83=1),(VLOOKUP(Q$1,test!$A$3:$I$32,8,FALSE))-(VLOOKUP($A114,test!$A$3:$I$32,9,FALSE))+test!$B$35,0)</f>
        <v>0</v>
      </c>
      <c r="R114">
        <f>IF(AND(SUM(VLOOKUP($A114,test!$A$3:$F$32,2,FALSE),VLOOKUP(R$1,test!$A$3:$F$32,2,FALSE))&lt;test!$K$16,$A114&lt;&gt;R$1,Recharged_Feasible_mat!S83=1),(VLOOKUP(R$1,test!$A$3:$I$32,8,FALSE))-(VLOOKUP($A114,test!$A$3:$I$32,9,FALSE))+test!$B$35,0)</f>
        <v>0</v>
      </c>
      <c r="S114">
        <f>IF(AND(SUM(VLOOKUP($A114,test!$A$3:$F$32,2,FALSE),VLOOKUP(S$1,test!$A$3:$F$32,2,FALSE))&lt;test!$K$16,$A114&lt;&gt;S$1,Recharged_Feasible_mat!T83=1),(VLOOKUP(S$1,test!$A$3:$I$32,8,FALSE))-(VLOOKUP($A114,test!$A$3:$I$32,9,FALSE))+test!$B$35,0)</f>
        <v>0</v>
      </c>
      <c r="T114">
        <f>IF(AND(SUM(VLOOKUP($A114,test!$A$3:$F$32,2,FALSE),VLOOKUP(T$1,test!$A$3:$F$32,2,FALSE))&lt;test!$K$16,$A114&lt;&gt;T$1,Recharged_Feasible_mat!U83=1),(VLOOKUP(T$1,test!$A$3:$I$32,8,FALSE))-(VLOOKUP($A114,test!$A$3:$I$32,9,FALSE))+test!$B$35,0)</f>
        <v>0</v>
      </c>
      <c r="U114">
        <f>IF(AND(SUM(VLOOKUP($A114,test!$A$3:$F$32,2,FALSE),VLOOKUP(U$1,test!$A$3:$F$32,2,FALSE))&lt;test!$K$16,$A114&lt;&gt;U$1,Recharged_Feasible_mat!V83=1),(VLOOKUP(U$1,test!$A$3:$I$32,8,FALSE))-(VLOOKUP($A114,test!$A$3:$I$32,9,FALSE))+test!$B$35,0)</f>
        <v>0</v>
      </c>
      <c r="V114">
        <f>IF(AND(SUM(VLOOKUP($A114,test!$A$3:$F$32,2,FALSE),VLOOKUP(V$1,test!$A$3:$F$32,2,FALSE))&lt;test!$K$16,$A114&lt;&gt;V$1,Recharged_Feasible_mat!W83=1),(VLOOKUP(V$1,test!$A$3:$I$32,8,FALSE))-(VLOOKUP($A114,test!$A$3:$I$32,9,FALSE))+test!$B$35,0)</f>
        <v>0</v>
      </c>
      <c r="W114">
        <f>IF(AND(SUM(VLOOKUP($A114,test!$A$3:$F$32,2,FALSE),VLOOKUP(W$1,test!$A$3:$F$32,2,FALSE))&lt;test!$K$16,$A114&lt;&gt;W$1,Recharged_Feasible_mat!X83=1),(VLOOKUP(W$1,test!$A$3:$I$32,8,FALSE))-(VLOOKUP($A114,test!$A$3:$I$32,9,FALSE))+test!$B$35,0)</f>
        <v>0</v>
      </c>
      <c r="X114">
        <f>IF(AND(SUM(VLOOKUP($A114,test!$A$3:$F$32,2,FALSE),VLOOKUP(X$1,test!$A$3:$F$32,2,FALSE))&lt;test!$K$16,$A114&lt;&gt;X$1,Recharged_Feasible_mat!Y83=1),(VLOOKUP(X$1,test!$A$3:$I$32,8,FALSE))-(VLOOKUP($A114,test!$A$3:$I$32,9,FALSE))+test!$B$35,0)</f>
        <v>0</v>
      </c>
      <c r="Y114">
        <f>IF(AND(SUM(VLOOKUP($A114,test!$A$3:$F$32,2,FALSE),VLOOKUP(Y$1,test!$A$3:$F$32,2,FALSE))&lt;test!$K$16,$A114&lt;&gt;Y$1,Recharged_Feasible_mat!Z83=1),(VLOOKUP(Y$1,test!$A$3:$I$32,8,FALSE))-(VLOOKUP($A114,test!$A$3:$I$32,9,FALSE))+test!$B$35,0)</f>
        <v>0</v>
      </c>
      <c r="Z114">
        <f>IF(AND(SUM(VLOOKUP($A114,test!$A$3:$F$32,2,FALSE),VLOOKUP(Z$1,test!$A$3:$F$32,2,FALSE))&lt;test!$K$16,$A114&lt;&gt;Z$1,Recharged_Feasible_mat!AA83=1),(VLOOKUP(Z$1,test!$A$3:$I$32,8,FALSE))-(VLOOKUP($A114,test!$A$3:$I$32,9,FALSE))+test!$B$35,0)</f>
        <v>0</v>
      </c>
      <c r="AA114">
        <f>IF(AND(SUM(VLOOKUP($A114,test!$A$3:$F$32,2,FALSE),VLOOKUP(AA$1,test!$A$3:$F$32,2,FALSE))&lt;test!$K$16,$A114&lt;&gt;AA$1,Recharged_Feasible_mat!AB83=1),(VLOOKUP(AA$1,test!$A$3:$I$32,8,FALSE))-(VLOOKUP($A114,test!$A$3:$I$32,9,FALSE))+test!$B$35,0)</f>
        <v>0</v>
      </c>
      <c r="AB114">
        <f>IF(AND(SUM(VLOOKUP($A114,test!$A$3:$F$32,2,FALSE),VLOOKUP(AB$1,test!$A$3:$F$32,2,FALSE))&lt;test!$K$16,$A114&lt;&gt;AB$1,Recharged_Feasible_mat!AC83=1),(VLOOKUP(AB$1,test!$A$3:$I$32,8,FALSE))-(VLOOKUP($A114,test!$A$3:$I$32,9,FALSE))+test!$B$35,0)</f>
        <v>0</v>
      </c>
      <c r="AC114">
        <f>IF(AND(SUM(VLOOKUP($A114,test!$A$3:$F$32,2,FALSE),VLOOKUP(AC$1,test!$A$3:$F$32,2,FALSE))&lt;test!$K$16,$A114&lt;&gt;AC$1,Recharged_Feasible_mat!AD83=1),(VLOOKUP(AC$1,test!$A$3:$I$32,8,FALSE))-(VLOOKUP($A114,test!$A$3:$I$32,9,FALSE))+test!$B$35,0)</f>
        <v>0</v>
      </c>
      <c r="AD114">
        <f>IF(AND(SUM(VLOOKUP($A114,test!$A$3:$F$32,2,FALSE),VLOOKUP(AD$1,test!$A$3:$F$32,2,FALSE))&lt;test!$K$16,$A114&lt;&gt;AD$1,Recharged_Feasible_mat!AE83=1),(VLOOKUP(AD$1,test!$A$3:$I$32,8,FALSE))-(VLOOKUP($A114,test!$A$3:$I$32,9,FALSE))+test!$B$35,0)</f>
        <v>0</v>
      </c>
      <c r="AE114">
        <f>IF(AND(SUM(VLOOKUP($A114,test!$A$3:$F$32,2,FALSE),VLOOKUP(AE$1,test!$A$3:$F$32,2,FALSE))&lt;test!$K$16,$A114&lt;&gt;AE$1,Recharged_Feasible_mat!AF83=1),(VLOOKUP(AE$1,test!$A$3:$I$32,8,FALSE))-(VLOOKUP($A114,test!$A$3:$I$32,9,FALSE))+test!$B$35,0)</f>
        <v>0</v>
      </c>
      <c r="AF114">
        <f>IF(AND(SUM(VLOOKUP($A114,test!$A$3:$F$32,2,FALSE),VLOOKUP(AF$1,test!$A$3:$F$32,2,FALSE))&lt;test!$K$16,$A114&lt;&gt;AF$1,Recharged_Feasible_mat!AG83=1),(VLOOKUP(AF$1,test!$A$3:$I$32,8,FALSE))-(VLOOKUP($A114,test!$A$3:$I$32,9,FALSE))+test!$B$35,0)</f>
        <v>0</v>
      </c>
    </row>
    <row r="115" spans="1:32" x14ac:dyDescent="0.25">
      <c r="A115" t="s">
        <v>31</v>
      </c>
      <c r="B115">
        <v>0</v>
      </c>
      <c r="C115">
        <f>IF(AND(SUM(VLOOKUP($A115,test!$A$3:$F$32,2,FALSE),VLOOKUP(C$1,test!$A$3:$F$32,2,FALSE))&lt;test!$K$16,$A115&lt;&gt;C$1,Recharged_Feasible_mat!D84=1),(VLOOKUP(C$1,test!$A$3:$I$32,8,FALSE))-(VLOOKUP($A115,test!$A$3:$I$32,9,FALSE))+test!$B$35,0)</f>
        <v>0</v>
      </c>
      <c r="D115">
        <f>IF(AND(SUM(VLOOKUP($A115,test!$A$3:$F$32,2,FALSE),VLOOKUP(D$1,test!$A$3:$F$32,2,FALSE))&lt;test!$K$16,$A115&lt;&gt;D$1,Recharged_Feasible_mat!E84=1),(VLOOKUP(D$1,test!$A$3:$I$32,8,FALSE))-(VLOOKUP($A115,test!$A$3:$I$32,9,FALSE))+test!$B$35,0)</f>
        <v>0</v>
      </c>
      <c r="E115">
        <f>IF(AND(SUM(VLOOKUP($A115,test!$A$3:$F$32,2,FALSE),VLOOKUP(E$1,test!$A$3:$F$32,2,FALSE))&lt;test!$K$16,$A115&lt;&gt;E$1,Recharged_Feasible_mat!F84=1),(VLOOKUP(E$1,test!$A$3:$I$32,8,FALSE))-(VLOOKUP($A115,test!$A$3:$I$32,9,FALSE))+test!$B$35,0)</f>
        <v>0</v>
      </c>
      <c r="F115">
        <f>IF(AND(SUM(VLOOKUP($A115,test!$A$3:$F$32,2,FALSE),VLOOKUP(F$1,test!$A$3:$F$32,2,FALSE))&lt;test!$K$16,$A115&lt;&gt;F$1,Recharged_Feasible_mat!G84=1),(VLOOKUP(F$1,test!$A$3:$I$32,8,FALSE))-(VLOOKUP($A115,test!$A$3:$I$32,9,FALSE))+test!$B$35,0)</f>
        <v>0</v>
      </c>
      <c r="G115">
        <f>IF(AND(SUM(VLOOKUP($A115,test!$A$3:$F$32,2,FALSE),VLOOKUP(G$1,test!$A$3:$F$32,2,FALSE))&lt;test!$K$16,$A115&lt;&gt;G$1,Recharged_Feasible_mat!H84=1),(VLOOKUP(G$1,test!$A$3:$I$32,8,FALSE))-(VLOOKUP($A115,test!$A$3:$I$32,9,FALSE))+test!$B$35,0)</f>
        <v>0</v>
      </c>
      <c r="H115">
        <f>IF(AND(SUM(VLOOKUP($A115,test!$A$3:$F$32,2,FALSE),VLOOKUP(H$1,test!$A$3:$F$32,2,FALSE))&lt;test!$K$16,$A115&lt;&gt;H$1,Recharged_Feasible_mat!I84=1),(VLOOKUP(H$1,test!$A$3:$I$32,8,FALSE))-(VLOOKUP($A115,test!$A$3:$I$32,9,FALSE))+test!$B$35,0)</f>
        <v>0</v>
      </c>
      <c r="I115">
        <f>IF(AND(SUM(VLOOKUP($A115,test!$A$3:$F$32,2,FALSE),VLOOKUP(I$1,test!$A$3:$F$32,2,FALSE))&lt;test!$K$16,$A115&lt;&gt;I$1,Recharged_Feasible_mat!J84=1),(VLOOKUP(I$1,test!$A$3:$I$32,8,FALSE))-(VLOOKUP($A115,test!$A$3:$I$32,9,FALSE))+test!$B$35,0)</f>
        <v>0</v>
      </c>
      <c r="J115">
        <f>IF(AND(SUM(VLOOKUP($A115,test!$A$3:$F$32,2,FALSE),VLOOKUP(J$1,test!$A$3:$F$32,2,FALSE))&lt;test!$K$16,$A115&lt;&gt;J$1,Recharged_Feasible_mat!K84=1),(VLOOKUP(J$1,test!$A$3:$I$32,8,FALSE))-(VLOOKUP($A115,test!$A$3:$I$32,9,FALSE))+test!$B$35,0)</f>
        <v>0</v>
      </c>
      <c r="K115">
        <f>IF(AND(SUM(VLOOKUP($A115,test!$A$3:$F$32,2,FALSE),VLOOKUP(K$1,test!$A$3:$F$32,2,FALSE))&lt;test!$K$16,$A115&lt;&gt;K$1,Recharged_Feasible_mat!L84=1),(VLOOKUP(K$1,test!$A$3:$I$32,8,FALSE))-(VLOOKUP($A115,test!$A$3:$I$32,9,FALSE))+test!$B$35,0)</f>
        <v>0</v>
      </c>
      <c r="L115">
        <f>IF(AND(SUM(VLOOKUP($A115,test!$A$3:$F$32,2,FALSE),VLOOKUP(L$1,test!$A$3:$F$32,2,FALSE))&lt;test!$K$16,$A115&lt;&gt;L$1,Recharged_Feasible_mat!M84=1),(VLOOKUP(L$1,test!$A$3:$I$32,8,FALSE))-(VLOOKUP($A115,test!$A$3:$I$32,9,FALSE))+test!$B$35,0)</f>
        <v>0</v>
      </c>
      <c r="M115">
        <f>IF(AND(SUM(VLOOKUP($A115,test!$A$3:$F$32,2,FALSE),VLOOKUP(M$1,test!$A$3:$F$32,2,FALSE))&lt;test!$K$16,$A115&lt;&gt;M$1,Recharged_Feasible_mat!N84=1),(VLOOKUP(M$1,test!$A$3:$I$32,8,FALSE))-(VLOOKUP($A115,test!$A$3:$I$32,9,FALSE))+test!$B$35,0)</f>
        <v>0</v>
      </c>
      <c r="N115">
        <f>IF(AND(SUM(VLOOKUP($A115,test!$A$3:$F$32,2,FALSE),VLOOKUP(N$1,test!$A$3:$F$32,2,FALSE))&lt;test!$K$16,$A115&lt;&gt;N$1,Recharged_Feasible_mat!O84=1),(VLOOKUP(N$1,test!$A$3:$I$32,8,FALSE))-(VLOOKUP($A115,test!$A$3:$I$32,9,FALSE))+test!$B$35,0)</f>
        <v>0</v>
      </c>
      <c r="O115">
        <f>IF(AND(SUM(VLOOKUP($A115,test!$A$3:$F$32,2,FALSE),VLOOKUP(O$1,test!$A$3:$F$32,2,FALSE))&lt;test!$K$16,$A115&lt;&gt;O$1,Recharged_Feasible_mat!P84=1),(VLOOKUP(O$1,test!$A$3:$I$32,8,FALSE))-(VLOOKUP($A115,test!$A$3:$I$32,9,FALSE))+test!$B$35,0)</f>
        <v>0</v>
      </c>
      <c r="P115">
        <f>IF(AND(SUM(VLOOKUP($A115,test!$A$3:$F$32,2,FALSE),VLOOKUP(P$1,test!$A$3:$F$32,2,FALSE))&lt;test!$K$16,$A115&lt;&gt;P$1,Recharged_Feasible_mat!Q84=1),(VLOOKUP(P$1,test!$A$3:$I$32,8,FALSE))-(VLOOKUP($A115,test!$A$3:$I$32,9,FALSE))+test!$B$35,0)</f>
        <v>0</v>
      </c>
      <c r="Q115">
        <f>IF(AND(SUM(VLOOKUP($A115,test!$A$3:$F$32,2,FALSE),VLOOKUP(Q$1,test!$A$3:$F$32,2,FALSE))&lt;test!$K$16,$A115&lt;&gt;Q$1,Recharged_Feasible_mat!R84=1),(VLOOKUP(Q$1,test!$A$3:$I$32,8,FALSE))-(VLOOKUP($A115,test!$A$3:$I$32,9,FALSE))+test!$B$35,0)</f>
        <v>0</v>
      </c>
      <c r="R115">
        <f>IF(AND(SUM(VLOOKUP($A115,test!$A$3:$F$32,2,FALSE),VLOOKUP(R$1,test!$A$3:$F$32,2,FALSE))&lt;test!$K$16,$A115&lt;&gt;R$1,Recharged_Feasible_mat!S84=1),(VLOOKUP(R$1,test!$A$3:$I$32,8,FALSE))-(VLOOKUP($A115,test!$A$3:$I$32,9,FALSE))+test!$B$35,0)</f>
        <v>0</v>
      </c>
      <c r="S115">
        <f>IF(AND(SUM(VLOOKUP($A115,test!$A$3:$F$32,2,FALSE),VLOOKUP(S$1,test!$A$3:$F$32,2,FALSE))&lt;test!$K$16,$A115&lt;&gt;S$1,Recharged_Feasible_mat!T84=1),(VLOOKUP(S$1,test!$A$3:$I$32,8,FALSE))-(VLOOKUP($A115,test!$A$3:$I$32,9,FALSE))+test!$B$35,0)</f>
        <v>0</v>
      </c>
      <c r="T115">
        <f>IF(AND(SUM(VLOOKUP($A115,test!$A$3:$F$32,2,FALSE),VLOOKUP(T$1,test!$A$3:$F$32,2,FALSE))&lt;test!$K$16,$A115&lt;&gt;T$1,Recharged_Feasible_mat!U84=1),(VLOOKUP(T$1,test!$A$3:$I$32,8,FALSE))-(VLOOKUP($A115,test!$A$3:$I$32,9,FALSE))+test!$B$35,0)</f>
        <v>0</v>
      </c>
      <c r="U115">
        <f>IF(AND(SUM(VLOOKUP($A115,test!$A$3:$F$32,2,FALSE),VLOOKUP(U$1,test!$A$3:$F$32,2,FALSE))&lt;test!$K$16,$A115&lt;&gt;U$1,Recharged_Feasible_mat!V84=1),(VLOOKUP(U$1,test!$A$3:$I$32,8,FALSE))-(VLOOKUP($A115,test!$A$3:$I$32,9,FALSE))+test!$B$35,0)</f>
        <v>0</v>
      </c>
      <c r="V115">
        <f>IF(AND(SUM(VLOOKUP($A115,test!$A$3:$F$32,2,FALSE),VLOOKUP(V$1,test!$A$3:$F$32,2,FALSE))&lt;test!$K$16,$A115&lt;&gt;V$1,Recharged_Feasible_mat!W84=1),(VLOOKUP(V$1,test!$A$3:$I$32,8,FALSE))-(VLOOKUP($A115,test!$A$3:$I$32,9,FALSE))+test!$B$35,0)</f>
        <v>0</v>
      </c>
      <c r="W115">
        <f>IF(AND(SUM(VLOOKUP($A115,test!$A$3:$F$32,2,FALSE),VLOOKUP(W$1,test!$A$3:$F$32,2,FALSE))&lt;test!$K$16,$A115&lt;&gt;W$1,Recharged_Feasible_mat!X84=1),(VLOOKUP(W$1,test!$A$3:$I$32,8,FALSE))-(VLOOKUP($A115,test!$A$3:$I$32,9,FALSE))+test!$B$35,0)</f>
        <v>0</v>
      </c>
      <c r="X115">
        <f>IF(AND(SUM(VLOOKUP($A115,test!$A$3:$F$32,2,FALSE),VLOOKUP(X$1,test!$A$3:$F$32,2,FALSE))&lt;test!$K$16,$A115&lt;&gt;X$1,Recharged_Feasible_mat!Y84=1),(VLOOKUP(X$1,test!$A$3:$I$32,8,FALSE))-(VLOOKUP($A115,test!$A$3:$I$32,9,FALSE))+test!$B$35,0)</f>
        <v>0</v>
      </c>
      <c r="Y115">
        <f>IF(AND(SUM(VLOOKUP($A115,test!$A$3:$F$32,2,FALSE),VLOOKUP(Y$1,test!$A$3:$F$32,2,FALSE))&lt;test!$K$16,$A115&lt;&gt;Y$1,Recharged_Feasible_mat!Z84=1),(VLOOKUP(Y$1,test!$A$3:$I$32,8,FALSE))-(VLOOKUP($A115,test!$A$3:$I$32,9,FALSE))+test!$B$35,0)</f>
        <v>0</v>
      </c>
      <c r="Z115">
        <f>IF(AND(SUM(VLOOKUP($A115,test!$A$3:$F$32,2,FALSE),VLOOKUP(Z$1,test!$A$3:$F$32,2,FALSE))&lt;test!$K$16,$A115&lt;&gt;Z$1,Recharged_Feasible_mat!AA84=1),(VLOOKUP(Z$1,test!$A$3:$I$32,8,FALSE))-(VLOOKUP($A115,test!$A$3:$I$32,9,FALSE))+test!$B$35,0)</f>
        <v>0</v>
      </c>
      <c r="AA115">
        <f>IF(AND(SUM(VLOOKUP($A115,test!$A$3:$F$32,2,FALSE),VLOOKUP(AA$1,test!$A$3:$F$32,2,FALSE))&lt;test!$K$16,$A115&lt;&gt;AA$1,Recharged_Feasible_mat!AB84=1),(VLOOKUP(AA$1,test!$A$3:$I$32,8,FALSE))-(VLOOKUP($A115,test!$A$3:$I$32,9,FALSE))+test!$B$35,0)</f>
        <v>0</v>
      </c>
      <c r="AB115">
        <f>IF(AND(SUM(VLOOKUP($A115,test!$A$3:$F$32,2,FALSE),VLOOKUP(AB$1,test!$A$3:$F$32,2,FALSE))&lt;test!$K$16,$A115&lt;&gt;AB$1,Recharged_Feasible_mat!AC84=1),(VLOOKUP(AB$1,test!$A$3:$I$32,8,FALSE))-(VLOOKUP($A115,test!$A$3:$I$32,9,FALSE))+test!$B$35,0)</f>
        <v>0</v>
      </c>
      <c r="AC115">
        <f>IF(AND(SUM(VLOOKUP($A115,test!$A$3:$F$32,2,FALSE),VLOOKUP(AC$1,test!$A$3:$F$32,2,FALSE))&lt;test!$K$16,$A115&lt;&gt;AC$1,Recharged_Feasible_mat!AD84=1),(VLOOKUP(AC$1,test!$A$3:$I$32,8,FALSE))-(VLOOKUP($A115,test!$A$3:$I$32,9,FALSE))+test!$B$35,0)</f>
        <v>0</v>
      </c>
      <c r="AD115">
        <f>IF(AND(SUM(VLOOKUP($A115,test!$A$3:$F$32,2,FALSE),VLOOKUP(AD$1,test!$A$3:$F$32,2,FALSE))&lt;test!$K$16,$A115&lt;&gt;AD$1,Recharged_Feasible_mat!AE84=1),(VLOOKUP(AD$1,test!$A$3:$I$32,8,FALSE))-(VLOOKUP($A115,test!$A$3:$I$32,9,FALSE))+test!$B$35,0)</f>
        <v>0</v>
      </c>
      <c r="AE115">
        <f>IF(AND(SUM(VLOOKUP($A115,test!$A$3:$F$32,2,FALSE),VLOOKUP(AE$1,test!$A$3:$F$32,2,FALSE))&lt;test!$K$16,$A115&lt;&gt;AE$1,Recharged_Feasible_mat!AF84=1),(VLOOKUP(AE$1,test!$A$3:$I$32,8,FALSE))-(VLOOKUP($A115,test!$A$3:$I$32,9,FALSE))+test!$B$35,0)</f>
        <v>0</v>
      </c>
      <c r="AF115">
        <f>IF(AND(SUM(VLOOKUP($A115,test!$A$3:$F$32,2,FALSE),VLOOKUP(AF$1,test!$A$3:$F$32,2,FALSE))&lt;test!$K$16,$A115&lt;&gt;AF$1,Recharged_Feasible_mat!AG84=1),(VLOOKUP(AF$1,test!$A$3:$I$32,8,FALSE))-(VLOOKUP($A115,test!$A$3:$I$32,9,FALSE))+test!$B$35,0)</f>
        <v>0</v>
      </c>
    </row>
    <row r="116" spans="1:32" x14ac:dyDescent="0.25">
      <c r="A116" t="s">
        <v>32</v>
      </c>
      <c r="B116">
        <v>0</v>
      </c>
      <c r="C116">
        <f>IF(AND(SUM(VLOOKUP($A116,test!$A$3:$F$32,2,FALSE),VLOOKUP(C$1,test!$A$3:$F$32,2,FALSE))&lt;test!$K$16,$A116&lt;&gt;C$1,Recharged_Feasible_mat!D85=1),(VLOOKUP(C$1,test!$A$3:$I$32,8,FALSE))-(VLOOKUP($A116,test!$A$3:$I$32,9,FALSE))+test!$B$35,0)</f>
        <v>0</v>
      </c>
      <c r="D116">
        <f>IF(AND(SUM(VLOOKUP($A116,test!$A$3:$F$32,2,FALSE),VLOOKUP(D$1,test!$A$3:$F$32,2,FALSE))&lt;test!$K$16,$A116&lt;&gt;D$1,Recharged_Feasible_mat!E85=1),(VLOOKUP(D$1,test!$A$3:$I$32,8,FALSE))-(VLOOKUP($A116,test!$A$3:$I$32,9,FALSE))+test!$B$35,0)</f>
        <v>0</v>
      </c>
      <c r="E116">
        <f>IF(AND(SUM(VLOOKUP($A116,test!$A$3:$F$32,2,FALSE),VLOOKUP(E$1,test!$A$3:$F$32,2,FALSE))&lt;test!$K$16,$A116&lt;&gt;E$1,Recharged_Feasible_mat!F85=1),(VLOOKUP(E$1,test!$A$3:$I$32,8,FALSE))-(VLOOKUP($A116,test!$A$3:$I$32,9,FALSE))+test!$B$35,0)</f>
        <v>0</v>
      </c>
      <c r="F116">
        <f>IF(AND(SUM(VLOOKUP($A116,test!$A$3:$F$32,2,FALSE),VLOOKUP(F$1,test!$A$3:$F$32,2,FALSE))&lt;test!$K$16,$A116&lt;&gt;F$1,Recharged_Feasible_mat!G85=1),(VLOOKUP(F$1,test!$A$3:$I$32,8,FALSE))-(VLOOKUP($A116,test!$A$3:$I$32,9,FALSE))+test!$B$35,0)</f>
        <v>0</v>
      </c>
      <c r="G116">
        <f>IF(AND(SUM(VLOOKUP($A116,test!$A$3:$F$32,2,FALSE),VLOOKUP(G$1,test!$A$3:$F$32,2,FALSE))&lt;test!$K$16,$A116&lt;&gt;G$1,Recharged_Feasible_mat!H85=1),(VLOOKUP(G$1,test!$A$3:$I$32,8,FALSE))-(VLOOKUP($A116,test!$A$3:$I$32,9,FALSE))+test!$B$35,0)</f>
        <v>0</v>
      </c>
      <c r="H116">
        <f>IF(AND(SUM(VLOOKUP($A116,test!$A$3:$F$32,2,FALSE),VLOOKUP(H$1,test!$A$3:$F$32,2,FALSE))&lt;test!$K$16,$A116&lt;&gt;H$1,Recharged_Feasible_mat!I85=1),(VLOOKUP(H$1,test!$A$3:$I$32,8,FALSE))-(VLOOKUP($A116,test!$A$3:$I$32,9,FALSE))+test!$B$35,0)</f>
        <v>0</v>
      </c>
      <c r="I116">
        <f>IF(AND(SUM(VLOOKUP($A116,test!$A$3:$F$32,2,FALSE),VLOOKUP(I$1,test!$A$3:$F$32,2,FALSE))&lt;test!$K$16,$A116&lt;&gt;I$1,Recharged_Feasible_mat!J85=1),(VLOOKUP(I$1,test!$A$3:$I$32,8,FALSE))-(VLOOKUP($A116,test!$A$3:$I$32,9,FALSE))+test!$B$35,0)</f>
        <v>0</v>
      </c>
      <c r="J116">
        <f>IF(AND(SUM(VLOOKUP($A116,test!$A$3:$F$32,2,FALSE),VLOOKUP(J$1,test!$A$3:$F$32,2,FALSE))&lt;test!$K$16,$A116&lt;&gt;J$1,Recharged_Feasible_mat!K85=1),(VLOOKUP(J$1,test!$A$3:$I$32,8,FALSE))-(VLOOKUP($A116,test!$A$3:$I$32,9,FALSE))+test!$B$35,0)</f>
        <v>0</v>
      </c>
      <c r="K116">
        <f>IF(AND(SUM(VLOOKUP($A116,test!$A$3:$F$32,2,FALSE),VLOOKUP(K$1,test!$A$3:$F$32,2,FALSE))&lt;test!$K$16,$A116&lt;&gt;K$1,Recharged_Feasible_mat!L85=1),(VLOOKUP(K$1,test!$A$3:$I$32,8,FALSE))-(VLOOKUP($A116,test!$A$3:$I$32,9,FALSE))+test!$B$35,0)</f>
        <v>0</v>
      </c>
      <c r="L116">
        <f>IF(AND(SUM(VLOOKUP($A116,test!$A$3:$F$32,2,FALSE),VLOOKUP(L$1,test!$A$3:$F$32,2,FALSE))&lt;test!$K$16,$A116&lt;&gt;L$1,Recharged_Feasible_mat!M85=1),(VLOOKUP(L$1,test!$A$3:$I$32,8,FALSE))-(VLOOKUP($A116,test!$A$3:$I$32,9,FALSE))+test!$B$35,0)</f>
        <v>0</v>
      </c>
      <c r="M116">
        <f>IF(AND(SUM(VLOOKUP($A116,test!$A$3:$F$32,2,FALSE),VLOOKUP(M$1,test!$A$3:$F$32,2,FALSE))&lt;test!$K$16,$A116&lt;&gt;M$1,Recharged_Feasible_mat!N85=1),(VLOOKUP(M$1,test!$A$3:$I$32,8,FALSE))-(VLOOKUP($A116,test!$A$3:$I$32,9,FALSE))+test!$B$35,0)</f>
        <v>0</v>
      </c>
      <c r="N116">
        <f>IF(AND(SUM(VLOOKUP($A116,test!$A$3:$F$32,2,FALSE),VLOOKUP(N$1,test!$A$3:$F$32,2,FALSE))&lt;test!$K$16,$A116&lt;&gt;N$1,Recharged_Feasible_mat!O85=1),(VLOOKUP(N$1,test!$A$3:$I$32,8,FALSE))-(VLOOKUP($A116,test!$A$3:$I$32,9,FALSE))+test!$B$35,0)</f>
        <v>0</v>
      </c>
      <c r="O116">
        <f>IF(AND(SUM(VLOOKUP($A116,test!$A$3:$F$32,2,FALSE),VLOOKUP(O$1,test!$A$3:$F$32,2,FALSE))&lt;test!$K$16,$A116&lt;&gt;O$1,Recharged_Feasible_mat!P85=1),(VLOOKUP(O$1,test!$A$3:$I$32,8,FALSE))-(VLOOKUP($A116,test!$A$3:$I$32,9,FALSE))+test!$B$35,0)</f>
        <v>0</v>
      </c>
      <c r="P116">
        <f>IF(AND(SUM(VLOOKUP($A116,test!$A$3:$F$32,2,FALSE),VLOOKUP(P$1,test!$A$3:$F$32,2,FALSE))&lt;test!$K$16,$A116&lt;&gt;P$1,Recharged_Feasible_mat!Q85=1),(VLOOKUP(P$1,test!$A$3:$I$32,8,FALSE))-(VLOOKUP($A116,test!$A$3:$I$32,9,FALSE))+test!$B$35,0)</f>
        <v>0</v>
      </c>
      <c r="Q116">
        <f>IF(AND(SUM(VLOOKUP($A116,test!$A$3:$F$32,2,FALSE),VLOOKUP(Q$1,test!$A$3:$F$32,2,FALSE))&lt;test!$K$16,$A116&lt;&gt;Q$1,Recharged_Feasible_mat!R85=1),(VLOOKUP(Q$1,test!$A$3:$I$32,8,FALSE))-(VLOOKUP($A116,test!$A$3:$I$32,9,FALSE))+test!$B$35,0)</f>
        <v>0</v>
      </c>
      <c r="R116">
        <f>IF(AND(SUM(VLOOKUP($A116,test!$A$3:$F$32,2,FALSE),VLOOKUP(R$1,test!$A$3:$F$32,2,FALSE))&lt;test!$K$16,$A116&lt;&gt;R$1,Recharged_Feasible_mat!S85=1),(VLOOKUP(R$1,test!$A$3:$I$32,8,FALSE))-(VLOOKUP($A116,test!$A$3:$I$32,9,FALSE))+test!$B$35,0)</f>
        <v>0</v>
      </c>
      <c r="S116">
        <f>IF(AND(SUM(VLOOKUP($A116,test!$A$3:$F$32,2,FALSE),VLOOKUP(S$1,test!$A$3:$F$32,2,FALSE))&lt;test!$K$16,$A116&lt;&gt;S$1,Recharged_Feasible_mat!T85=1),(VLOOKUP(S$1,test!$A$3:$I$32,8,FALSE))-(VLOOKUP($A116,test!$A$3:$I$32,9,FALSE))+test!$B$35,0)</f>
        <v>0</v>
      </c>
      <c r="T116">
        <f>IF(AND(SUM(VLOOKUP($A116,test!$A$3:$F$32,2,FALSE),VLOOKUP(T$1,test!$A$3:$F$32,2,FALSE))&lt;test!$K$16,$A116&lt;&gt;T$1,Recharged_Feasible_mat!U85=1),(VLOOKUP(T$1,test!$A$3:$I$32,8,FALSE))-(VLOOKUP($A116,test!$A$3:$I$32,9,FALSE))+test!$B$35,0)</f>
        <v>0</v>
      </c>
      <c r="U116">
        <f>IF(AND(SUM(VLOOKUP($A116,test!$A$3:$F$32,2,FALSE),VLOOKUP(U$1,test!$A$3:$F$32,2,FALSE))&lt;test!$K$16,$A116&lt;&gt;U$1,Recharged_Feasible_mat!V85=1),(VLOOKUP(U$1,test!$A$3:$I$32,8,FALSE))-(VLOOKUP($A116,test!$A$3:$I$32,9,FALSE))+test!$B$35,0)</f>
        <v>0</v>
      </c>
      <c r="V116">
        <f>IF(AND(SUM(VLOOKUP($A116,test!$A$3:$F$32,2,FALSE),VLOOKUP(V$1,test!$A$3:$F$32,2,FALSE))&lt;test!$K$16,$A116&lt;&gt;V$1,Recharged_Feasible_mat!W85=1),(VLOOKUP(V$1,test!$A$3:$I$32,8,FALSE))-(VLOOKUP($A116,test!$A$3:$I$32,9,FALSE))+test!$B$35,0)</f>
        <v>0</v>
      </c>
      <c r="W116">
        <f>IF(AND(SUM(VLOOKUP($A116,test!$A$3:$F$32,2,FALSE),VLOOKUP(W$1,test!$A$3:$F$32,2,FALSE))&lt;test!$K$16,$A116&lt;&gt;W$1,Recharged_Feasible_mat!X85=1),(VLOOKUP(W$1,test!$A$3:$I$32,8,FALSE))-(VLOOKUP($A116,test!$A$3:$I$32,9,FALSE))+test!$B$35,0)</f>
        <v>0</v>
      </c>
      <c r="X116">
        <f>IF(AND(SUM(VLOOKUP($A116,test!$A$3:$F$32,2,FALSE),VLOOKUP(X$1,test!$A$3:$F$32,2,FALSE))&lt;test!$K$16,$A116&lt;&gt;X$1,Recharged_Feasible_mat!Y85=1),(VLOOKUP(X$1,test!$A$3:$I$32,8,FALSE))-(VLOOKUP($A116,test!$A$3:$I$32,9,FALSE))+test!$B$35,0)</f>
        <v>0</v>
      </c>
      <c r="Y116">
        <f>IF(AND(SUM(VLOOKUP($A116,test!$A$3:$F$32,2,FALSE),VLOOKUP(Y$1,test!$A$3:$F$32,2,FALSE))&lt;test!$K$16,$A116&lt;&gt;Y$1,Recharged_Feasible_mat!Z85=1),(VLOOKUP(Y$1,test!$A$3:$I$32,8,FALSE))-(VLOOKUP($A116,test!$A$3:$I$32,9,FALSE))+test!$B$35,0)</f>
        <v>0</v>
      </c>
      <c r="Z116">
        <f>IF(AND(SUM(VLOOKUP($A116,test!$A$3:$F$32,2,FALSE),VLOOKUP(Z$1,test!$A$3:$F$32,2,FALSE))&lt;test!$K$16,$A116&lt;&gt;Z$1,Recharged_Feasible_mat!AA85=1),(VLOOKUP(Z$1,test!$A$3:$I$32,8,FALSE))-(VLOOKUP($A116,test!$A$3:$I$32,9,FALSE))+test!$B$35,0)</f>
        <v>0</v>
      </c>
      <c r="AA116">
        <f>IF(AND(SUM(VLOOKUP($A116,test!$A$3:$F$32,2,FALSE),VLOOKUP(AA$1,test!$A$3:$F$32,2,FALSE))&lt;test!$K$16,$A116&lt;&gt;AA$1,Recharged_Feasible_mat!AB85=1),(VLOOKUP(AA$1,test!$A$3:$I$32,8,FALSE))-(VLOOKUP($A116,test!$A$3:$I$32,9,FALSE))+test!$B$35,0)</f>
        <v>0</v>
      </c>
      <c r="AB116">
        <f>IF(AND(SUM(VLOOKUP($A116,test!$A$3:$F$32,2,FALSE),VLOOKUP(AB$1,test!$A$3:$F$32,2,FALSE))&lt;test!$K$16,$A116&lt;&gt;AB$1,Recharged_Feasible_mat!AC85=1),(VLOOKUP(AB$1,test!$A$3:$I$32,8,FALSE))-(VLOOKUP($A116,test!$A$3:$I$32,9,FALSE))+test!$B$35,0)</f>
        <v>0</v>
      </c>
      <c r="AC116">
        <f>IF(AND(SUM(VLOOKUP($A116,test!$A$3:$F$32,2,FALSE),VLOOKUP(AC$1,test!$A$3:$F$32,2,FALSE))&lt;test!$K$16,$A116&lt;&gt;AC$1,Recharged_Feasible_mat!AD85=1),(VLOOKUP(AC$1,test!$A$3:$I$32,8,FALSE))-(VLOOKUP($A116,test!$A$3:$I$32,9,FALSE))+test!$B$35,0)</f>
        <v>0</v>
      </c>
      <c r="AD116">
        <f>IF(AND(SUM(VLOOKUP($A116,test!$A$3:$F$32,2,FALSE),VLOOKUP(AD$1,test!$A$3:$F$32,2,FALSE))&lt;test!$K$16,$A116&lt;&gt;AD$1,Recharged_Feasible_mat!AE85=1),(VLOOKUP(AD$1,test!$A$3:$I$32,8,FALSE))-(VLOOKUP($A116,test!$A$3:$I$32,9,FALSE))+test!$B$35,0)</f>
        <v>0</v>
      </c>
      <c r="AE116">
        <f>IF(AND(SUM(VLOOKUP($A116,test!$A$3:$F$32,2,FALSE),VLOOKUP(AE$1,test!$A$3:$F$32,2,FALSE))&lt;test!$K$16,$A116&lt;&gt;AE$1,Recharged_Feasible_mat!AF85=1),(VLOOKUP(AE$1,test!$A$3:$I$32,8,FALSE))-(VLOOKUP($A116,test!$A$3:$I$32,9,FALSE))+test!$B$35,0)</f>
        <v>0</v>
      </c>
      <c r="AF116">
        <f>IF(AND(SUM(VLOOKUP($A116,test!$A$3:$F$32,2,FALSE),VLOOKUP(AF$1,test!$A$3:$F$32,2,FALSE))&lt;test!$K$16,$A116&lt;&gt;AF$1,Recharged_Feasible_mat!AG85=1),(VLOOKUP(AF$1,test!$A$3:$I$32,8,FALSE))-(VLOOKUP($A116,test!$A$3:$I$32,9,FALSE))+test!$B$35,0)</f>
        <v>0</v>
      </c>
    </row>
    <row r="117" spans="1:32" x14ac:dyDescent="0.25">
      <c r="A117" t="s">
        <v>33</v>
      </c>
      <c r="B117">
        <v>0</v>
      </c>
      <c r="C117">
        <f>IF(AND(SUM(VLOOKUP($A117,test!$A$3:$F$32,2,FALSE),VLOOKUP(C$1,test!$A$3:$F$32,2,FALSE))&lt;test!$K$16,$A117&lt;&gt;C$1,Recharged_Feasible_mat!D86=1),(VLOOKUP(C$1,test!$A$3:$I$32,8,FALSE))-(VLOOKUP($A117,test!$A$3:$I$32,9,FALSE))+test!$B$35,0)</f>
        <v>0</v>
      </c>
      <c r="D117">
        <f>IF(AND(SUM(VLOOKUP($A117,test!$A$3:$F$32,2,FALSE),VLOOKUP(D$1,test!$A$3:$F$32,2,FALSE))&lt;test!$K$16,$A117&lt;&gt;D$1,Recharged_Feasible_mat!E86=1),(VLOOKUP(D$1,test!$A$3:$I$32,8,FALSE))-(VLOOKUP($A117,test!$A$3:$I$32,9,FALSE))+test!$B$35,0)</f>
        <v>0</v>
      </c>
      <c r="E117">
        <f>IF(AND(SUM(VLOOKUP($A117,test!$A$3:$F$32,2,FALSE),VLOOKUP(E$1,test!$A$3:$F$32,2,FALSE))&lt;test!$K$16,$A117&lt;&gt;E$1,Recharged_Feasible_mat!F86=1),(VLOOKUP(E$1,test!$A$3:$I$32,8,FALSE))-(VLOOKUP($A117,test!$A$3:$I$32,9,FALSE))+test!$B$35,0)</f>
        <v>0</v>
      </c>
      <c r="F117">
        <f>IF(AND(SUM(VLOOKUP($A117,test!$A$3:$F$32,2,FALSE),VLOOKUP(F$1,test!$A$3:$F$32,2,FALSE))&lt;test!$K$16,$A117&lt;&gt;F$1,Recharged_Feasible_mat!G86=1),(VLOOKUP(F$1,test!$A$3:$I$32,8,FALSE))-(VLOOKUP($A117,test!$A$3:$I$32,9,FALSE))+test!$B$35,0)</f>
        <v>0</v>
      </c>
      <c r="G117">
        <f>IF(AND(SUM(VLOOKUP($A117,test!$A$3:$F$32,2,FALSE),VLOOKUP(G$1,test!$A$3:$F$32,2,FALSE))&lt;test!$K$16,$A117&lt;&gt;G$1,Recharged_Feasible_mat!H86=1),(VLOOKUP(G$1,test!$A$3:$I$32,8,FALSE))-(VLOOKUP($A117,test!$A$3:$I$32,9,FALSE))+test!$B$35,0)</f>
        <v>0</v>
      </c>
      <c r="H117">
        <f>IF(AND(SUM(VLOOKUP($A117,test!$A$3:$F$32,2,FALSE),VLOOKUP(H$1,test!$A$3:$F$32,2,FALSE))&lt;test!$K$16,$A117&lt;&gt;H$1,Recharged_Feasible_mat!I86=1),(VLOOKUP(H$1,test!$A$3:$I$32,8,FALSE))-(VLOOKUP($A117,test!$A$3:$I$32,9,FALSE))+test!$B$35,0)</f>
        <v>0</v>
      </c>
      <c r="I117">
        <f>IF(AND(SUM(VLOOKUP($A117,test!$A$3:$F$32,2,FALSE),VLOOKUP(I$1,test!$A$3:$F$32,2,FALSE))&lt;test!$K$16,$A117&lt;&gt;I$1,Recharged_Feasible_mat!J86=1),(VLOOKUP(I$1,test!$A$3:$I$32,8,FALSE))-(VLOOKUP($A117,test!$A$3:$I$32,9,FALSE))+test!$B$35,0)</f>
        <v>0</v>
      </c>
      <c r="J117">
        <f>IF(AND(SUM(VLOOKUP($A117,test!$A$3:$F$32,2,FALSE),VLOOKUP(J$1,test!$A$3:$F$32,2,FALSE))&lt;test!$K$16,$A117&lt;&gt;J$1,Recharged_Feasible_mat!K86=1),(VLOOKUP(J$1,test!$A$3:$I$32,8,FALSE))-(VLOOKUP($A117,test!$A$3:$I$32,9,FALSE))+test!$B$35,0)</f>
        <v>0</v>
      </c>
      <c r="K117">
        <f>IF(AND(SUM(VLOOKUP($A117,test!$A$3:$F$32,2,FALSE),VLOOKUP(K$1,test!$A$3:$F$32,2,FALSE))&lt;test!$K$16,$A117&lt;&gt;K$1,Recharged_Feasible_mat!L86=1),(VLOOKUP(K$1,test!$A$3:$I$32,8,FALSE))-(VLOOKUP($A117,test!$A$3:$I$32,9,FALSE))+test!$B$35,0)</f>
        <v>0</v>
      </c>
      <c r="L117">
        <f>IF(AND(SUM(VLOOKUP($A117,test!$A$3:$F$32,2,FALSE),VLOOKUP(L$1,test!$A$3:$F$32,2,FALSE))&lt;test!$K$16,$A117&lt;&gt;L$1,Recharged_Feasible_mat!M86=1),(VLOOKUP(L$1,test!$A$3:$I$32,8,FALSE))-(VLOOKUP($A117,test!$A$3:$I$32,9,FALSE))+test!$B$35,0)</f>
        <v>0</v>
      </c>
      <c r="M117">
        <f>IF(AND(SUM(VLOOKUP($A117,test!$A$3:$F$32,2,FALSE),VLOOKUP(M$1,test!$A$3:$F$32,2,FALSE))&lt;test!$K$16,$A117&lt;&gt;M$1,Recharged_Feasible_mat!N86=1),(VLOOKUP(M$1,test!$A$3:$I$32,8,FALSE))-(VLOOKUP($A117,test!$A$3:$I$32,9,FALSE))+test!$B$35,0)</f>
        <v>0</v>
      </c>
      <c r="N117">
        <f>IF(AND(SUM(VLOOKUP($A117,test!$A$3:$F$32,2,FALSE),VLOOKUP(N$1,test!$A$3:$F$32,2,FALSE))&lt;test!$K$16,$A117&lt;&gt;N$1,Recharged_Feasible_mat!O86=1),(VLOOKUP(N$1,test!$A$3:$I$32,8,FALSE))-(VLOOKUP($A117,test!$A$3:$I$32,9,FALSE))+test!$B$35,0)</f>
        <v>0</v>
      </c>
      <c r="O117">
        <f>IF(AND(SUM(VLOOKUP($A117,test!$A$3:$F$32,2,FALSE),VLOOKUP(O$1,test!$A$3:$F$32,2,FALSE))&lt;test!$K$16,$A117&lt;&gt;O$1,Recharged_Feasible_mat!P86=1),(VLOOKUP(O$1,test!$A$3:$I$32,8,FALSE))-(VLOOKUP($A117,test!$A$3:$I$32,9,FALSE))+test!$B$35,0)</f>
        <v>0</v>
      </c>
      <c r="P117">
        <f>IF(AND(SUM(VLOOKUP($A117,test!$A$3:$F$32,2,FALSE),VLOOKUP(P$1,test!$A$3:$F$32,2,FALSE))&lt;test!$K$16,$A117&lt;&gt;P$1,Recharged_Feasible_mat!Q86=1),(VLOOKUP(P$1,test!$A$3:$I$32,8,FALSE))-(VLOOKUP($A117,test!$A$3:$I$32,9,FALSE))+test!$B$35,0)</f>
        <v>0</v>
      </c>
      <c r="Q117">
        <f>IF(AND(SUM(VLOOKUP($A117,test!$A$3:$F$32,2,FALSE),VLOOKUP(Q$1,test!$A$3:$F$32,2,FALSE))&lt;test!$K$16,$A117&lt;&gt;Q$1,Recharged_Feasible_mat!R86=1),(VLOOKUP(Q$1,test!$A$3:$I$32,8,FALSE))-(VLOOKUP($A117,test!$A$3:$I$32,9,FALSE))+test!$B$35,0)</f>
        <v>0</v>
      </c>
      <c r="R117">
        <f>IF(AND(SUM(VLOOKUP($A117,test!$A$3:$F$32,2,FALSE),VLOOKUP(R$1,test!$A$3:$F$32,2,FALSE))&lt;test!$K$16,$A117&lt;&gt;R$1,Recharged_Feasible_mat!S86=1),(VLOOKUP(R$1,test!$A$3:$I$32,8,FALSE))-(VLOOKUP($A117,test!$A$3:$I$32,9,FALSE))+test!$B$35,0)</f>
        <v>0</v>
      </c>
      <c r="S117">
        <f>IF(AND(SUM(VLOOKUP($A117,test!$A$3:$F$32,2,FALSE),VLOOKUP(S$1,test!$A$3:$F$32,2,FALSE))&lt;test!$K$16,$A117&lt;&gt;S$1,Recharged_Feasible_mat!T86=1),(VLOOKUP(S$1,test!$A$3:$I$32,8,FALSE))-(VLOOKUP($A117,test!$A$3:$I$32,9,FALSE))+test!$B$35,0)</f>
        <v>0</v>
      </c>
      <c r="T117">
        <f>IF(AND(SUM(VLOOKUP($A117,test!$A$3:$F$32,2,FALSE),VLOOKUP(T$1,test!$A$3:$F$32,2,FALSE))&lt;test!$K$16,$A117&lt;&gt;T$1,Recharged_Feasible_mat!U86=1),(VLOOKUP(T$1,test!$A$3:$I$32,8,FALSE))-(VLOOKUP($A117,test!$A$3:$I$32,9,FALSE))+test!$B$35,0)</f>
        <v>0</v>
      </c>
      <c r="U117">
        <f>IF(AND(SUM(VLOOKUP($A117,test!$A$3:$F$32,2,FALSE),VLOOKUP(U$1,test!$A$3:$F$32,2,FALSE))&lt;test!$K$16,$A117&lt;&gt;U$1,Recharged_Feasible_mat!V86=1),(VLOOKUP(U$1,test!$A$3:$I$32,8,FALSE))-(VLOOKUP($A117,test!$A$3:$I$32,9,FALSE))+test!$B$35,0)</f>
        <v>0</v>
      </c>
      <c r="V117">
        <f>IF(AND(SUM(VLOOKUP($A117,test!$A$3:$F$32,2,FALSE),VLOOKUP(V$1,test!$A$3:$F$32,2,FALSE))&lt;test!$K$16,$A117&lt;&gt;V$1,Recharged_Feasible_mat!W86=1),(VLOOKUP(V$1,test!$A$3:$I$32,8,FALSE))-(VLOOKUP($A117,test!$A$3:$I$32,9,FALSE))+test!$B$35,0)</f>
        <v>0</v>
      </c>
      <c r="W117">
        <f>IF(AND(SUM(VLOOKUP($A117,test!$A$3:$F$32,2,FALSE),VLOOKUP(W$1,test!$A$3:$F$32,2,FALSE))&lt;test!$K$16,$A117&lt;&gt;W$1,Recharged_Feasible_mat!X86=1),(VLOOKUP(W$1,test!$A$3:$I$32,8,FALSE))-(VLOOKUP($A117,test!$A$3:$I$32,9,FALSE))+test!$B$35,0)</f>
        <v>0</v>
      </c>
      <c r="X117">
        <f>IF(AND(SUM(VLOOKUP($A117,test!$A$3:$F$32,2,FALSE),VLOOKUP(X$1,test!$A$3:$F$32,2,FALSE))&lt;test!$K$16,$A117&lt;&gt;X$1,Recharged_Feasible_mat!Y86=1),(VLOOKUP(X$1,test!$A$3:$I$32,8,FALSE))-(VLOOKUP($A117,test!$A$3:$I$32,9,FALSE))+test!$B$35,0)</f>
        <v>0</v>
      </c>
      <c r="Y117">
        <f>IF(AND(SUM(VLOOKUP($A117,test!$A$3:$F$32,2,FALSE),VLOOKUP(Y$1,test!$A$3:$F$32,2,FALSE))&lt;test!$K$16,$A117&lt;&gt;Y$1,Recharged_Feasible_mat!Z86=1),(VLOOKUP(Y$1,test!$A$3:$I$32,8,FALSE))-(VLOOKUP($A117,test!$A$3:$I$32,9,FALSE))+test!$B$35,0)</f>
        <v>0</v>
      </c>
      <c r="Z117">
        <f>IF(AND(SUM(VLOOKUP($A117,test!$A$3:$F$32,2,FALSE),VLOOKUP(Z$1,test!$A$3:$F$32,2,FALSE))&lt;test!$K$16,$A117&lt;&gt;Z$1,Recharged_Feasible_mat!AA86=1),(VLOOKUP(Z$1,test!$A$3:$I$32,8,FALSE))-(VLOOKUP($A117,test!$A$3:$I$32,9,FALSE))+test!$B$35,0)</f>
        <v>0</v>
      </c>
      <c r="AA117">
        <f>IF(AND(SUM(VLOOKUP($A117,test!$A$3:$F$32,2,FALSE),VLOOKUP(AA$1,test!$A$3:$F$32,2,FALSE))&lt;test!$K$16,$A117&lt;&gt;AA$1,Recharged_Feasible_mat!AB86=1),(VLOOKUP(AA$1,test!$A$3:$I$32,8,FALSE))-(VLOOKUP($A117,test!$A$3:$I$32,9,FALSE))+test!$B$35,0)</f>
        <v>0</v>
      </c>
      <c r="AB117">
        <f>IF(AND(SUM(VLOOKUP($A117,test!$A$3:$F$32,2,FALSE),VLOOKUP(AB$1,test!$A$3:$F$32,2,FALSE))&lt;test!$K$16,$A117&lt;&gt;AB$1,Recharged_Feasible_mat!AC86=1),(VLOOKUP(AB$1,test!$A$3:$I$32,8,FALSE))-(VLOOKUP($A117,test!$A$3:$I$32,9,FALSE))+test!$B$35,0)</f>
        <v>0</v>
      </c>
      <c r="AC117">
        <f>IF(AND(SUM(VLOOKUP($A117,test!$A$3:$F$32,2,FALSE),VLOOKUP(AC$1,test!$A$3:$F$32,2,FALSE))&lt;test!$K$16,$A117&lt;&gt;AC$1,Recharged_Feasible_mat!AD86=1),(VLOOKUP(AC$1,test!$A$3:$I$32,8,FALSE))-(VLOOKUP($A117,test!$A$3:$I$32,9,FALSE))+test!$B$35,0)</f>
        <v>0</v>
      </c>
      <c r="AD117">
        <f>IF(AND(SUM(VLOOKUP($A117,test!$A$3:$F$32,2,FALSE),VLOOKUP(AD$1,test!$A$3:$F$32,2,FALSE))&lt;test!$K$16,$A117&lt;&gt;AD$1,Recharged_Feasible_mat!AE86=1),(VLOOKUP(AD$1,test!$A$3:$I$32,8,FALSE))-(VLOOKUP($A117,test!$A$3:$I$32,9,FALSE))+test!$B$35,0)</f>
        <v>0</v>
      </c>
      <c r="AE117">
        <f>IF(AND(SUM(VLOOKUP($A117,test!$A$3:$F$32,2,FALSE),VLOOKUP(AE$1,test!$A$3:$F$32,2,FALSE))&lt;test!$K$16,$A117&lt;&gt;AE$1,Recharged_Feasible_mat!AF86=1),(VLOOKUP(AE$1,test!$A$3:$I$32,8,FALSE))-(VLOOKUP($A117,test!$A$3:$I$32,9,FALSE))+test!$B$35,0)</f>
        <v>0</v>
      </c>
      <c r="AF117">
        <f>IF(AND(SUM(VLOOKUP($A117,test!$A$3:$F$32,2,FALSE),VLOOKUP(AF$1,test!$A$3:$F$32,2,FALSE))&lt;test!$K$16,$A117&lt;&gt;AF$1,Recharged_Feasible_mat!AG86=1),(VLOOKUP(AF$1,test!$A$3:$I$32,8,FALSE))-(VLOOKUP($A117,test!$A$3:$I$32,9,FALSE))+test!$B$35,0)</f>
        <v>0</v>
      </c>
    </row>
    <row r="118" spans="1:32" x14ac:dyDescent="0.25">
      <c r="A118" t="s">
        <v>34</v>
      </c>
      <c r="B118">
        <v>0</v>
      </c>
      <c r="C118">
        <f>IF(AND(SUM(VLOOKUP($A118,test!$A$3:$F$32,2,FALSE),VLOOKUP(C$1,test!$A$3:$F$32,2,FALSE))&lt;test!$K$16,$A118&lt;&gt;C$1,Recharged_Feasible_mat!D87=1),(VLOOKUP(C$1,test!$A$3:$I$32,8,FALSE))-(VLOOKUP($A118,test!$A$3:$I$32,9,FALSE))+test!$B$35,0)</f>
        <v>0</v>
      </c>
      <c r="D118">
        <f>IF(AND(SUM(VLOOKUP($A118,test!$A$3:$F$32,2,FALSE),VLOOKUP(D$1,test!$A$3:$F$32,2,FALSE))&lt;test!$K$16,$A118&lt;&gt;D$1,Recharged_Feasible_mat!E87=1),(VLOOKUP(D$1,test!$A$3:$I$32,8,FALSE))-(VLOOKUP($A118,test!$A$3:$I$32,9,FALSE))+test!$B$35,0)</f>
        <v>0</v>
      </c>
      <c r="E118">
        <f>IF(AND(SUM(VLOOKUP($A118,test!$A$3:$F$32,2,FALSE),VLOOKUP(E$1,test!$A$3:$F$32,2,FALSE))&lt;test!$K$16,$A118&lt;&gt;E$1,Recharged_Feasible_mat!F87=1),(VLOOKUP(E$1,test!$A$3:$I$32,8,FALSE))-(VLOOKUP($A118,test!$A$3:$I$32,9,FALSE))+test!$B$35,0)</f>
        <v>0</v>
      </c>
      <c r="F118">
        <f>IF(AND(SUM(VLOOKUP($A118,test!$A$3:$F$32,2,FALSE),VLOOKUP(F$1,test!$A$3:$F$32,2,FALSE))&lt;test!$K$16,$A118&lt;&gt;F$1,Recharged_Feasible_mat!G87=1),(VLOOKUP(F$1,test!$A$3:$I$32,8,FALSE))-(VLOOKUP($A118,test!$A$3:$I$32,9,FALSE))+test!$B$35,0)</f>
        <v>260</v>
      </c>
      <c r="G118">
        <f>IF(AND(SUM(VLOOKUP($A118,test!$A$3:$F$32,2,FALSE),VLOOKUP(G$1,test!$A$3:$F$32,2,FALSE))&lt;test!$K$16,$A118&lt;&gt;G$1,Recharged_Feasible_mat!H87=1),(VLOOKUP(G$1,test!$A$3:$I$32,8,FALSE))-(VLOOKUP($A118,test!$A$3:$I$32,9,FALSE))+test!$B$35,0)</f>
        <v>320</v>
      </c>
      <c r="H118">
        <f>IF(AND(SUM(VLOOKUP($A118,test!$A$3:$F$32,2,FALSE),VLOOKUP(H$1,test!$A$3:$F$32,2,FALSE))&lt;test!$K$16,$A118&lt;&gt;H$1,Recharged_Feasible_mat!I87=1),(VLOOKUP(H$1,test!$A$3:$I$32,8,FALSE))-(VLOOKUP($A118,test!$A$3:$I$32,9,FALSE))+test!$B$35,0)</f>
        <v>380</v>
      </c>
      <c r="I118">
        <f>IF(AND(SUM(VLOOKUP($A118,test!$A$3:$F$32,2,FALSE),VLOOKUP(I$1,test!$A$3:$F$32,2,FALSE))&lt;test!$K$16,$A118&lt;&gt;I$1,Recharged_Feasible_mat!J87=1),(VLOOKUP(I$1,test!$A$3:$I$32,8,FALSE))-(VLOOKUP($A118,test!$A$3:$I$32,9,FALSE))+test!$B$35,0)</f>
        <v>440</v>
      </c>
      <c r="J118">
        <f>IF(AND(SUM(VLOOKUP($A118,test!$A$3:$F$32,2,FALSE),VLOOKUP(J$1,test!$A$3:$F$32,2,FALSE))&lt;test!$K$16,$A118&lt;&gt;J$1,Recharged_Feasible_mat!K87=1),(VLOOKUP(J$1,test!$A$3:$I$32,8,FALSE))-(VLOOKUP($A118,test!$A$3:$I$32,9,FALSE))+test!$B$35,0)</f>
        <v>530</v>
      </c>
      <c r="K118">
        <f>IF(AND(SUM(VLOOKUP($A118,test!$A$3:$F$32,2,FALSE),VLOOKUP(K$1,test!$A$3:$F$32,2,FALSE))&lt;test!$K$16,$A118&lt;&gt;K$1,Recharged_Feasible_mat!L87=1),(VLOOKUP(K$1,test!$A$3:$I$32,8,FALSE))-(VLOOKUP($A118,test!$A$3:$I$32,9,FALSE))+test!$B$35,0)</f>
        <v>0</v>
      </c>
      <c r="L118">
        <f>IF(AND(SUM(VLOOKUP($A118,test!$A$3:$F$32,2,FALSE),VLOOKUP(L$1,test!$A$3:$F$32,2,FALSE))&lt;test!$K$16,$A118&lt;&gt;L$1,Recharged_Feasible_mat!M87=1),(VLOOKUP(L$1,test!$A$3:$I$32,8,FALSE))-(VLOOKUP($A118,test!$A$3:$I$32,9,FALSE))+test!$B$35,0)</f>
        <v>0</v>
      </c>
      <c r="M118">
        <f>IF(AND(SUM(VLOOKUP($A118,test!$A$3:$F$32,2,FALSE),VLOOKUP(M$1,test!$A$3:$F$32,2,FALSE))&lt;test!$K$16,$A118&lt;&gt;M$1,Recharged_Feasible_mat!N87=1),(VLOOKUP(M$1,test!$A$3:$I$32,8,FALSE))-(VLOOKUP($A118,test!$A$3:$I$32,9,FALSE))+test!$B$35,0)</f>
        <v>0</v>
      </c>
      <c r="N118">
        <f>IF(AND(SUM(VLOOKUP($A118,test!$A$3:$F$32,2,FALSE),VLOOKUP(N$1,test!$A$3:$F$32,2,FALSE))&lt;test!$K$16,$A118&lt;&gt;N$1,Recharged_Feasible_mat!O87=1),(VLOOKUP(N$1,test!$A$3:$I$32,8,FALSE))-(VLOOKUP($A118,test!$A$3:$I$32,9,FALSE))+test!$B$35,0)</f>
        <v>495</v>
      </c>
      <c r="O118">
        <f>IF(AND(SUM(VLOOKUP($A118,test!$A$3:$F$32,2,FALSE),VLOOKUP(O$1,test!$A$3:$F$32,2,FALSE))&lt;test!$K$16,$A118&lt;&gt;O$1,Recharged_Feasible_mat!P87=1),(VLOOKUP(O$1,test!$A$3:$I$32,8,FALSE))-(VLOOKUP($A118,test!$A$3:$I$32,9,FALSE))+test!$B$35,0)</f>
        <v>555</v>
      </c>
      <c r="P118">
        <f>IF(AND(SUM(VLOOKUP($A118,test!$A$3:$F$32,2,FALSE),VLOOKUP(P$1,test!$A$3:$F$32,2,FALSE))&lt;test!$K$16,$A118&lt;&gt;P$1,Recharged_Feasible_mat!Q87=1),(VLOOKUP(P$1,test!$A$3:$I$32,8,FALSE))-(VLOOKUP($A118,test!$A$3:$I$32,9,FALSE))+test!$B$35,0)</f>
        <v>0</v>
      </c>
      <c r="Q118">
        <f>IF(AND(SUM(VLOOKUP($A118,test!$A$3:$F$32,2,FALSE),VLOOKUP(Q$1,test!$A$3:$F$32,2,FALSE))&lt;test!$K$16,$A118&lt;&gt;Q$1,Recharged_Feasible_mat!R87=1),(VLOOKUP(Q$1,test!$A$3:$I$32,8,FALSE))-(VLOOKUP($A118,test!$A$3:$I$32,9,FALSE))+test!$B$35,0)</f>
        <v>0</v>
      </c>
      <c r="R118">
        <f>IF(AND(SUM(VLOOKUP($A118,test!$A$3:$F$32,2,FALSE),VLOOKUP(R$1,test!$A$3:$F$32,2,FALSE))&lt;test!$K$16,$A118&lt;&gt;R$1,Recharged_Feasible_mat!S87=1),(VLOOKUP(R$1,test!$A$3:$I$32,8,FALSE))-(VLOOKUP($A118,test!$A$3:$I$32,9,FALSE))+test!$B$35,0)</f>
        <v>0</v>
      </c>
      <c r="S118">
        <f>IF(AND(SUM(VLOOKUP($A118,test!$A$3:$F$32,2,FALSE),VLOOKUP(S$1,test!$A$3:$F$32,2,FALSE))&lt;test!$K$16,$A118&lt;&gt;S$1,Recharged_Feasible_mat!T87=1),(VLOOKUP(S$1,test!$A$3:$I$32,8,FALSE))-(VLOOKUP($A118,test!$A$3:$I$32,9,FALSE))+test!$B$35,0)</f>
        <v>0</v>
      </c>
      <c r="T118">
        <f>IF(AND(SUM(VLOOKUP($A118,test!$A$3:$F$32,2,FALSE),VLOOKUP(T$1,test!$A$3:$F$32,2,FALSE))&lt;test!$K$16,$A118&lt;&gt;T$1,Recharged_Feasible_mat!U87=1),(VLOOKUP(T$1,test!$A$3:$I$32,8,FALSE))-(VLOOKUP($A118,test!$A$3:$I$32,9,FALSE))+test!$B$35,0)</f>
        <v>0</v>
      </c>
      <c r="U118">
        <f>IF(AND(SUM(VLOOKUP($A118,test!$A$3:$F$32,2,FALSE),VLOOKUP(U$1,test!$A$3:$F$32,2,FALSE))&lt;test!$K$16,$A118&lt;&gt;U$1,Recharged_Feasible_mat!V87=1),(VLOOKUP(U$1,test!$A$3:$I$32,8,FALSE))-(VLOOKUP($A118,test!$A$3:$I$32,9,FALSE))+test!$B$35,0)</f>
        <v>0</v>
      </c>
      <c r="V118">
        <f>IF(AND(SUM(VLOOKUP($A118,test!$A$3:$F$32,2,FALSE),VLOOKUP(V$1,test!$A$3:$F$32,2,FALSE))&lt;test!$K$16,$A118&lt;&gt;V$1,Recharged_Feasible_mat!W87=1),(VLOOKUP(V$1,test!$A$3:$I$32,8,FALSE))-(VLOOKUP($A118,test!$A$3:$I$32,9,FALSE))+test!$B$35,0)</f>
        <v>330</v>
      </c>
      <c r="W118">
        <f>IF(AND(SUM(VLOOKUP($A118,test!$A$3:$F$32,2,FALSE),VLOOKUP(W$1,test!$A$3:$F$32,2,FALSE))&lt;test!$K$16,$A118&lt;&gt;W$1,Recharged_Feasible_mat!X87=1),(VLOOKUP(W$1,test!$A$3:$I$32,8,FALSE))-(VLOOKUP($A118,test!$A$3:$I$32,9,FALSE))+test!$B$35,0)</f>
        <v>420</v>
      </c>
      <c r="X118">
        <f>IF(AND(SUM(VLOOKUP($A118,test!$A$3:$F$32,2,FALSE),VLOOKUP(X$1,test!$A$3:$F$32,2,FALSE))&lt;test!$K$16,$A118&lt;&gt;X$1,Recharged_Feasible_mat!Y87=1),(VLOOKUP(X$1,test!$A$3:$I$32,8,FALSE))-(VLOOKUP($A118,test!$A$3:$I$32,9,FALSE))+test!$B$35,0)</f>
        <v>480</v>
      </c>
      <c r="Y118">
        <f>IF(AND(SUM(VLOOKUP($A118,test!$A$3:$F$32,2,FALSE),VLOOKUP(Y$1,test!$A$3:$F$32,2,FALSE))&lt;test!$K$16,$A118&lt;&gt;Y$1,Recharged_Feasible_mat!Z87=1),(VLOOKUP(Y$1,test!$A$3:$I$32,8,FALSE))-(VLOOKUP($A118,test!$A$3:$I$32,9,FALSE))+test!$B$35,0)</f>
        <v>0</v>
      </c>
      <c r="Z118">
        <f>IF(AND(SUM(VLOOKUP($A118,test!$A$3:$F$32,2,FALSE),VLOOKUP(Z$1,test!$A$3:$F$32,2,FALSE))&lt;test!$K$16,$A118&lt;&gt;Z$1,Recharged_Feasible_mat!AA87=1),(VLOOKUP(Z$1,test!$A$3:$I$32,8,FALSE))-(VLOOKUP($A118,test!$A$3:$I$32,9,FALSE))+test!$B$35,0)</f>
        <v>0</v>
      </c>
      <c r="AA118">
        <f>IF(AND(SUM(VLOOKUP($A118,test!$A$3:$F$32,2,FALSE),VLOOKUP(AA$1,test!$A$3:$F$32,2,FALSE))&lt;test!$K$16,$A118&lt;&gt;AA$1,Recharged_Feasible_mat!AB87=1),(VLOOKUP(AA$1,test!$A$3:$I$32,8,FALSE))-(VLOOKUP($A118,test!$A$3:$I$32,9,FALSE))+test!$B$35,0)</f>
        <v>0</v>
      </c>
      <c r="AB118">
        <f>IF(AND(SUM(VLOOKUP($A118,test!$A$3:$F$32,2,FALSE),VLOOKUP(AB$1,test!$A$3:$F$32,2,FALSE))&lt;test!$K$16,$A118&lt;&gt;AB$1,Recharged_Feasible_mat!AC87=1),(VLOOKUP(AB$1,test!$A$3:$I$32,8,FALSE))-(VLOOKUP($A118,test!$A$3:$I$32,9,FALSE))+test!$B$35,0)</f>
        <v>260</v>
      </c>
      <c r="AC118">
        <f>IF(AND(SUM(VLOOKUP($A118,test!$A$3:$F$32,2,FALSE),VLOOKUP(AC$1,test!$A$3:$F$32,2,FALSE))&lt;test!$K$16,$A118&lt;&gt;AC$1,Recharged_Feasible_mat!AD87=1),(VLOOKUP(AC$1,test!$A$3:$I$32,8,FALSE))-(VLOOKUP($A118,test!$A$3:$I$32,9,FALSE))+test!$B$35,0)</f>
        <v>380</v>
      </c>
      <c r="AD118">
        <f>IF(AND(SUM(VLOOKUP($A118,test!$A$3:$F$32,2,FALSE),VLOOKUP(AD$1,test!$A$3:$F$32,2,FALSE))&lt;test!$K$16,$A118&lt;&gt;AD$1,Recharged_Feasible_mat!AE87=1),(VLOOKUP(AD$1,test!$A$3:$I$32,8,FALSE))-(VLOOKUP($A118,test!$A$3:$I$32,9,FALSE))+test!$B$35,0)</f>
        <v>0</v>
      </c>
      <c r="AE118">
        <f>IF(AND(SUM(VLOOKUP($A118,test!$A$3:$F$32,2,FALSE),VLOOKUP(AE$1,test!$A$3:$F$32,2,FALSE))&lt;test!$K$16,$A118&lt;&gt;AE$1,Recharged_Feasible_mat!AF87=1),(VLOOKUP(AE$1,test!$A$3:$I$32,8,FALSE))-(VLOOKUP($A118,test!$A$3:$I$32,9,FALSE))+test!$B$35,0)</f>
        <v>0</v>
      </c>
      <c r="AF118">
        <f>IF(AND(SUM(VLOOKUP($A118,test!$A$3:$F$32,2,FALSE),VLOOKUP(AF$1,test!$A$3:$F$32,2,FALSE))&lt;test!$K$16,$A118&lt;&gt;AF$1,Recharged_Feasible_mat!AG87=1),(VLOOKUP(AF$1,test!$A$3:$I$32,8,FALSE))-(VLOOKUP($A118,test!$A$3:$I$32,9,FALSE))+test!$B$35,0)</f>
        <v>0</v>
      </c>
    </row>
    <row r="119" spans="1:32" x14ac:dyDescent="0.25">
      <c r="A119" t="s">
        <v>35</v>
      </c>
      <c r="B119">
        <v>0</v>
      </c>
      <c r="C119">
        <f>IF(AND(SUM(VLOOKUP($A119,test!$A$3:$F$32,2,FALSE),VLOOKUP(C$1,test!$A$3:$F$32,2,FALSE))&lt;test!$K$16,$A119&lt;&gt;C$1,Recharged_Feasible_mat!D88=1),(VLOOKUP(C$1,test!$A$3:$I$32,8,FALSE))-(VLOOKUP($A119,test!$A$3:$I$32,9,FALSE))+test!$B$35,0)</f>
        <v>0</v>
      </c>
      <c r="D119">
        <f>IF(AND(SUM(VLOOKUP($A119,test!$A$3:$F$32,2,FALSE),VLOOKUP(D$1,test!$A$3:$F$32,2,FALSE))&lt;test!$K$16,$A119&lt;&gt;D$1,Recharged_Feasible_mat!E88=1),(VLOOKUP(D$1,test!$A$3:$I$32,8,FALSE))-(VLOOKUP($A119,test!$A$3:$I$32,9,FALSE))+test!$B$35,0)</f>
        <v>0</v>
      </c>
      <c r="E119">
        <f>IF(AND(SUM(VLOOKUP($A119,test!$A$3:$F$32,2,FALSE),VLOOKUP(E$1,test!$A$3:$F$32,2,FALSE))&lt;test!$K$16,$A119&lt;&gt;E$1,Recharged_Feasible_mat!F88=1),(VLOOKUP(E$1,test!$A$3:$I$32,8,FALSE))-(VLOOKUP($A119,test!$A$3:$I$32,9,FALSE))+test!$B$35,0)</f>
        <v>0</v>
      </c>
      <c r="F119">
        <f>IF(AND(SUM(VLOOKUP($A119,test!$A$3:$F$32,2,FALSE),VLOOKUP(F$1,test!$A$3:$F$32,2,FALSE))&lt;test!$K$16,$A119&lt;&gt;F$1,Recharged_Feasible_mat!G88=1),(VLOOKUP(F$1,test!$A$3:$I$32,8,FALSE))-(VLOOKUP($A119,test!$A$3:$I$32,9,FALSE))+test!$B$35,0)</f>
        <v>0</v>
      </c>
      <c r="G119">
        <f>IF(AND(SUM(VLOOKUP($A119,test!$A$3:$F$32,2,FALSE),VLOOKUP(G$1,test!$A$3:$F$32,2,FALSE))&lt;test!$K$16,$A119&lt;&gt;G$1,Recharged_Feasible_mat!H88=1),(VLOOKUP(G$1,test!$A$3:$I$32,8,FALSE))-(VLOOKUP($A119,test!$A$3:$I$32,9,FALSE))+test!$B$35,0)</f>
        <v>0</v>
      </c>
      <c r="H119">
        <f>IF(AND(SUM(VLOOKUP($A119,test!$A$3:$F$32,2,FALSE),VLOOKUP(H$1,test!$A$3:$F$32,2,FALSE))&lt;test!$K$16,$A119&lt;&gt;H$1,Recharged_Feasible_mat!I88=1),(VLOOKUP(H$1,test!$A$3:$I$32,8,FALSE))-(VLOOKUP($A119,test!$A$3:$I$32,9,FALSE))+test!$B$35,0)</f>
        <v>0</v>
      </c>
      <c r="I119">
        <f>IF(AND(SUM(VLOOKUP($A119,test!$A$3:$F$32,2,FALSE),VLOOKUP(I$1,test!$A$3:$F$32,2,FALSE))&lt;test!$K$16,$A119&lt;&gt;I$1,Recharged_Feasible_mat!J88=1),(VLOOKUP(I$1,test!$A$3:$I$32,8,FALSE))-(VLOOKUP($A119,test!$A$3:$I$32,9,FALSE))+test!$B$35,0)</f>
        <v>270</v>
      </c>
      <c r="J119">
        <f>IF(AND(SUM(VLOOKUP($A119,test!$A$3:$F$32,2,FALSE),VLOOKUP(J$1,test!$A$3:$F$32,2,FALSE))&lt;test!$K$16,$A119&lt;&gt;J$1,Recharged_Feasible_mat!K88=1),(VLOOKUP(J$1,test!$A$3:$I$32,8,FALSE))-(VLOOKUP($A119,test!$A$3:$I$32,9,FALSE))+test!$B$35,0)</f>
        <v>360</v>
      </c>
      <c r="K119">
        <f>IF(AND(SUM(VLOOKUP($A119,test!$A$3:$F$32,2,FALSE),VLOOKUP(K$1,test!$A$3:$F$32,2,FALSE))&lt;test!$K$16,$A119&lt;&gt;K$1,Recharged_Feasible_mat!L88=1),(VLOOKUP(K$1,test!$A$3:$I$32,8,FALSE))-(VLOOKUP($A119,test!$A$3:$I$32,9,FALSE))+test!$B$35,0)</f>
        <v>0</v>
      </c>
      <c r="L119">
        <f>IF(AND(SUM(VLOOKUP($A119,test!$A$3:$F$32,2,FALSE),VLOOKUP(L$1,test!$A$3:$F$32,2,FALSE))&lt;test!$K$16,$A119&lt;&gt;L$1,Recharged_Feasible_mat!M88=1),(VLOOKUP(L$1,test!$A$3:$I$32,8,FALSE))-(VLOOKUP($A119,test!$A$3:$I$32,9,FALSE))+test!$B$35,0)</f>
        <v>0</v>
      </c>
      <c r="M119">
        <f>IF(AND(SUM(VLOOKUP($A119,test!$A$3:$F$32,2,FALSE),VLOOKUP(M$1,test!$A$3:$F$32,2,FALSE))&lt;test!$K$16,$A119&lt;&gt;M$1,Recharged_Feasible_mat!N88=1),(VLOOKUP(M$1,test!$A$3:$I$32,8,FALSE))-(VLOOKUP($A119,test!$A$3:$I$32,9,FALSE))+test!$B$35,0)</f>
        <v>0</v>
      </c>
      <c r="N119">
        <f>IF(AND(SUM(VLOOKUP($A119,test!$A$3:$F$32,2,FALSE),VLOOKUP(N$1,test!$A$3:$F$32,2,FALSE))&lt;test!$K$16,$A119&lt;&gt;N$1,Recharged_Feasible_mat!O88=1),(VLOOKUP(N$1,test!$A$3:$I$32,8,FALSE))-(VLOOKUP($A119,test!$A$3:$I$32,9,FALSE))+test!$B$35,0)</f>
        <v>325</v>
      </c>
      <c r="O119">
        <f>IF(AND(SUM(VLOOKUP($A119,test!$A$3:$F$32,2,FALSE),VLOOKUP(O$1,test!$A$3:$F$32,2,FALSE))&lt;test!$K$16,$A119&lt;&gt;O$1,Recharged_Feasible_mat!P88=1),(VLOOKUP(O$1,test!$A$3:$I$32,8,FALSE))-(VLOOKUP($A119,test!$A$3:$I$32,9,FALSE))+test!$B$35,0)</f>
        <v>385</v>
      </c>
      <c r="P119">
        <f>IF(AND(SUM(VLOOKUP($A119,test!$A$3:$F$32,2,FALSE),VLOOKUP(P$1,test!$A$3:$F$32,2,FALSE))&lt;test!$K$16,$A119&lt;&gt;P$1,Recharged_Feasible_mat!Q88=1),(VLOOKUP(P$1,test!$A$3:$I$32,8,FALSE))-(VLOOKUP($A119,test!$A$3:$I$32,9,FALSE))+test!$B$35,0)</f>
        <v>0</v>
      </c>
      <c r="Q119">
        <f>IF(AND(SUM(VLOOKUP($A119,test!$A$3:$F$32,2,FALSE),VLOOKUP(Q$1,test!$A$3:$F$32,2,FALSE))&lt;test!$K$16,$A119&lt;&gt;Q$1,Recharged_Feasible_mat!R88=1),(VLOOKUP(Q$1,test!$A$3:$I$32,8,FALSE))-(VLOOKUP($A119,test!$A$3:$I$32,9,FALSE))+test!$B$35,0)</f>
        <v>0</v>
      </c>
      <c r="R119">
        <f>IF(AND(SUM(VLOOKUP($A119,test!$A$3:$F$32,2,FALSE),VLOOKUP(R$1,test!$A$3:$F$32,2,FALSE))&lt;test!$K$16,$A119&lt;&gt;R$1,Recharged_Feasible_mat!S88=1),(VLOOKUP(R$1,test!$A$3:$I$32,8,FALSE))-(VLOOKUP($A119,test!$A$3:$I$32,9,FALSE))+test!$B$35,0)</f>
        <v>0</v>
      </c>
      <c r="S119">
        <f>IF(AND(SUM(VLOOKUP($A119,test!$A$3:$F$32,2,FALSE),VLOOKUP(S$1,test!$A$3:$F$32,2,FALSE))&lt;test!$K$16,$A119&lt;&gt;S$1,Recharged_Feasible_mat!T88=1),(VLOOKUP(S$1,test!$A$3:$I$32,8,FALSE))-(VLOOKUP($A119,test!$A$3:$I$32,9,FALSE))+test!$B$35,0)</f>
        <v>0</v>
      </c>
      <c r="T119">
        <f>IF(AND(SUM(VLOOKUP($A119,test!$A$3:$F$32,2,FALSE),VLOOKUP(T$1,test!$A$3:$F$32,2,FALSE))&lt;test!$K$16,$A119&lt;&gt;T$1,Recharged_Feasible_mat!U88=1),(VLOOKUP(T$1,test!$A$3:$I$32,8,FALSE))-(VLOOKUP($A119,test!$A$3:$I$32,9,FALSE))+test!$B$35,0)</f>
        <v>0</v>
      </c>
      <c r="U119">
        <f>IF(AND(SUM(VLOOKUP($A119,test!$A$3:$F$32,2,FALSE),VLOOKUP(U$1,test!$A$3:$F$32,2,FALSE))&lt;test!$K$16,$A119&lt;&gt;U$1,Recharged_Feasible_mat!V88=1),(VLOOKUP(U$1,test!$A$3:$I$32,8,FALSE))-(VLOOKUP($A119,test!$A$3:$I$32,9,FALSE))+test!$B$35,0)</f>
        <v>0</v>
      </c>
      <c r="V119">
        <f>IF(AND(SUM(VLOOKUP($A119,test!$A$3:$F$32,2,FALSE),VLOOKUP(V$1,test!$A$3:$F$32,2,FALSE))&lt;test!$K$16,$A119&lt;&gt;V$1,Recharged_Feasible_mat!W88=1),(VLOOKUP(V$1,test!$A$3:$I$32,8,FALSE))-(VLOOKUP($A119,test!$A$3:$I$32,9,FALSE))+test!$B$35,0)</f>
        <v>0</v>
      </c>
      <c r="W119">
        <f>IF(AND(SUM(VLOOKUP($A119,test!$A$3:$F$32,2,FALSE),VLOOKUP(W$1,test!$A$3:$F$32,2,FALSE))&lt;test!$K$16,$A119&lt;&gt;W$1,Recharged_Feasible_mat!X88=1),(VLOOKUP(W$1,test!$A$3:$I$32,8,FALSE))-(VLOOKUP($A119,test!$A$3:$I$32,9,FALSE))+test!$B$35,0)</f>
        <v>250</v>
      </c>
      <c r="X119">
        <f>IF(AND(SUM(VLOOKUP($A119,test!$A$3:$F$32,2,FALSE),VLOOKUP(X$1,test!$A$3:$F$32,2,FALSE))&lt;test!$K$16,$A119&lt;&gt;X$1,Recharged_Feasible_mat!Y88=1),(VLOOKUP(X$1,test!$A$3:$I$32,8,FALSE))-(VLOOKUP($A119,test!$A$3:$I$32,9,FALSE))+test!$B$35,0)</f>
        <v>310</v>
      </c>
      <c r="Y119">
        <f>IF(AND(SUM(VLOOKUP($A119,test!$A$3:$F$32,2,FALSE),VLOOKUP(Y$1,test!$A$3:$F$32,2,FALSE))&lt;test!$K$16,$A119&lt;&gt;Y$1,Recharged_Feasible_mat!Z88=1),(VLOOKUP(Y$1,test!$A$3:$I$32,8,FALSE))-(VLOOKUP($A119,test!$A$3:$I$32,9,FALSE))+test!$B$35,0)</f>
        <v>0</v>
      </c>
      <c r="Z119">
        <f>IF(AND(SUM(VLOOKUP($A119,test!$A$3:$F$32,2,FALSE),VLOOKUP(Z$1,test!$A$3:$F$32,2,FALSE))&lt;test!$K$16,$A119&lt;&gt;Z$1,Recharged_Feasible_mat!AA88=1),(VLOOKUP(Z$1,test!$A$3:$I$32,8,FALSE))-(VLOOKUP($A119,test!$A$3:$I$32,9,FALSE))+test!$B$35,0)</f>
        <v>0</v>
      </c>
      <c r="AA119">
        <f>IF(AND(SUM(VLOOKUP($A119,test!$A$3:$F$32,2,FALSE),VLOOKUP(AA$1,test!$A$3:$F$32,2,FALSE))&lt;test!$K$16,$A119&lt;&gt;AA$1,Recharged_Feasible_mat!AB88=1),(VLOOKUP(AA$1,test!$A$3:$I$32,8,FALSE))-(VLOOKUP($A119,test!$A$3:$I$32,9,FALSE))+test!$B$35,0)</f>
        <v>0</v>
      </c>
      <c r="AB119">
        <f>IF(AND(SUM(VLOOKUP($A119,test!$A$3:$F$32,2,FALSE),VLOOKUP(AB$1,test!$A$3:$F$32,2,FALSE))&lt;test!$K$16,$A119&lt;&gt;AB$1,Recharged_Feasible_mat!AC88=1),(VLOOKUP(AB$1,test!$A$3:$I$32,8,FALSE))-(VLOOKUP($A119,test!$A$3:$I$32,9,FALSE))+test!$B$35,0)</f>
        <v>0</v>
      </c>
      <c r="AC119">
        <f>IF(AND(SUM(VLOOKUP($A119,test!$A$3:$F$32,2,FALSE),VLOOKUP(AC$1,test!$A$3:$F$32,2,FALSE))&lt;test!$K$16,$A119&lt;&gt;AC$1,Recharged_Feasible_mat!AD88=1),(VLOOKUP(AC$1,test!$A$3:$I$32,8,FALSE))-(VLOOKUP($A119,test!$A$3:$I$32,9,FALSE))+test!$B$35,0)</f>
        <v>0</v>
      </c>
      <c r="AD119">
        <f>IF(AND(SUM(VLOOKUP($A119,test!$A$3:$F$32,2,FALSE),VLOOKUP(AD$1,test!$A$3:$F$32,2,FALSE))&lt;test!$K$16,$A119&lt;&gt;AD$1,Recharged_Feasible_mat!AE88=1),(VLOOKUP(AD$1,test!$A$3:$I$32,8,FALSE))-(VLOOKUP($A119,test!$A$3:$I$32,9,FALSE))+test!$B$35,0)</f>
        <v>0</v>
      </c>
      <c r="AE119">
        <f>IF(AND(SUM(VLOOKUP($A119,test!$A$3:$F$32,2,FALSE),VLOOKUP(AE$1,test!$A$3:$F$32,2,FALSE))&lt;test!$K$16,$A119&lt;&gt;AE$1,Recharged_Feasible_mat!AF88=1),(VLOOKUP(AE$1,test!$A$3:$I$32,8,FALSE))-(VLOOKUP($A119,test!$A$3:$I$32,9,FALSE))+test!$B$35,0)</f>
        <v>0</v>
      </c>
      <c r="AF119">
        <f>IF(AND(SUM(VLOOKUP($A119,test!$A$3:$F$32,2,FALSE),VLOOKUP(AF$1,test!$A$3:$F$32,2,FALSE))&lt;test!$K$16,$A119&lt;&gt;AF$1,Recharged_Feasible_mat!AG88=1),(VLOOKUP(AF$1,test!$A$3:$I$32,8,FALSE))-(VLOOKUP($A119,test!$A$3:$I$32,9,FALSE))+test!$B$35,0)</f>
        <v>0</v>
      </c>
    </row>
    <row r="120" spans="1:32" x14ac:dyDescent="0.25">
      <c r="A120" t="s">
        <v>36</v>
      </c>
      <c r="B120">
        <v>0</v>
      </c>
      <c r="C120">
        <f>IF(AND(SUM(VLOOKUP($A120,test!$A$3:$F$32,2,FALSE),VLOOKUP(C$1,test!$A$3:$F$32,2,FALSE))&lt;test!$K$16,$A120&lt;&gt;C$1,Recharged_Feasible_mat!D89=1),(VLOOKUP(C$1,test!$A$3:$I$32,8,FALSE))-(VLOOKUP($A120,test!$A$3:$I$32,9,FALSE))+test!$B$35,0)</f>
        <v>0</v>
      </c>
      <c r="D120">
        <f>IF(AND(SUM(VLOOKUP($A120,test!$A$3:$F$32,2,FALSE),VLOOKUP(D$1,test!$A$3:$F$32,2,FALSE))&lt;test!$K$16,$A120&lt;&gt;D$1,Recharged_Feasible_mat!E89=1),(VLOOKUP(D$1,test!$A$3:$I$32,8,FALSE))-(VLOOKUP($A120,test!$A$3:$I$32,9,FALSE))+test!$B$35,0)</f>
        <v>0</v>
      </c>
      <c r="E120">
        <f>IF(AND(SUM(VLOOKUP($A120,test!$A$3:$F$32,2,FALSE),VLOOKUP(E$1,test!$A$3:$F$32,2,FALSE))&lt;test!$K$16,$A120&lt;&gt;E$1,Recharged_Feasible_mat!F89=1),(VLOOKUP(E$1,test!$A$3:$I$32,8,FALSE))-(VLOOKUP($A120,test!$A$3:$I$32,9,FALSE))+test!$B$35,0)</f>
        <v>0</v>
      </c>
      <c r="F120">
        <f>IF(AND(SUM(VLOOKUP($A120,test!$A$3:$F$32,2,FALSE),VLOOKUP(F$1,test!$A$3:$F$32,2,FALSE))&lt;test!$K$16,$A120&lt;&gt;F$1,Recharged_Feasible_mat!G89=1),(VLOOKUP(F$1,test!$A$3:$I$32,8,FALSE))-(VLOOKUP($A120,test!$A$3:$I$32,9,FALSE))+test!$B$35,0)</f>
        <v>0</v>
      </c>
      <c r="G120">
        <f>IF(AND(SUM(VLOOKUP($A120,test!$A$3:$F$32,2,FALSE),VLOOKUP(G$1,test!$A$3:$F$32,2,FALSE))&lt;test!$K$16,$A120&lt;&gt;G$1,Recharged_Feasible_mat!H89=1),(VLOOKUP(G$1,test!$A$3:$I$32,8,FALSE))-(VLOOKUP($A120,test!$A$3:$I$32,9,FALSE))+test!$B$35,0)</f>
        <v>0</v>
      </c>
      <c r="H120">
        <f>IF(AND(SUM(VLOOKUP($A120,test!$A$3:$F$32,2,FALSE),VLOOKUP(H$1,test!$A$3:$F$32,2,FALSE))&lt;test!$K$16,$A120&lt;&gt;H$1,Recharged_Feasible_mat!I89=1),(VLOOKUP(H$1,test!$A$3:$I$32,8,FALSE))-(VLOOKUP($A120,test!$A$3:$I$32,9,FALSE))+test!$B$35,0)</f>
        <v>0</v>
      </c>
      <c r="I120">
        <f>IF(AND(SUM(VLOOKUP($A120,test!$A$3:$F$32,2,FALSE),VLOOKUP(I$1,test!$A$3:$F$32,2,FALSE))&lt;test!$K$16,$A120&lt;&gt;I$1,Recharged_Feasible_mat!J89=1),(VLOOKUP(I$1,test!$A$3:$I$32,8,FALSE))-(VLOOKUP($A120,test!$A$3:$I$32,9,FALSE))+test!$B$35,0)</f>
        <v>0</v>
      </c>
      <c r="J120">
        <f>IF(AND(SUM(VLOOKUP($A120,test!$A$3:$F$32,2,FALSE),VLOOKUP(J$1,test!$A$3:$F$32,2,FALSE))&lt;test!$K$16,$A120&lt;&gt;J$1,Recharged_Feasible_mat!K89=1),(VLOOKUP(J$1,test!$A$3:$I$32,8,FALSE))-(VLOOKUP($A120,test!$A$3:$I$32,9,FALSE))+test!$B$35,0)</f>
        <v>0</v>
      </c>
      <c r="K120">
        <f>IF(AND(SUM(VLOOKUP($A120,test!$A$3:$F$32,2,FALSE),VLOOKUP(K$1,test!$A$3:$F$32,2,FALSE))&lt;test!$K$16,$A120&lt;&gt;K$1,Recharged_Feasible_mat!L89=1),(VLOOKUP(K$1,test!$A$3:$I$32,8,FALSE))-(VLOOKUP($A120,test!$A$3:$I$32,9,FALSE))+test!$B$35,0)</f>
        <v>0</v>
      </c>
      <c r="L120">
        <f>IF(AND(SUM(VLOOKUP($A120,test!$A$3:$F$32,2,FALSE),VLOOKUP(L$1,test!$A$3:$F$32,2,FALSE))&lt;test!$K$16,$A120&lt;&gt;L$1,Recharged_Feasible_mat!M89=1),(VLOOKUP(L$1,test!$A$3:$I$32,8,FALSE))-(VLOOKUP($A120,test!$A$3:$I$32,9,FALSE))+test!$B$35,0)</f>
        <v>0</v>
      </c>
      <c r="M120">
        <f>IF(AND(SUM(VLOOKUP($A120,test!$A$3:$F$32,2,FALSE),VLOOKUP(M$1,test!$A$3:$F$32,2,FALSE))&lt;test!$K$16,$A120&lt;&gt;M$1,Recharged_Feasible_mat!N89=1),(VLOOKUP(M$1,test!$A$3:$I$32,8,FALSE))-(VLOOKUP($A120,test!$A$3:$I$32,9,FALSE))+test!$B$35,0)</f>
        <v>0</v>
      </c>
      <c r="N120">
        <f>IF(AND(SUM(VLOOKUP($A120,test!$A$3:$F$32,2,FALSE),VLOOKUP(N$1,test!$A$3:$F$32,2,FALSE))&lt;test!$K$16,$A120&lt;&gt;N$1,Recharged_Feasible_mat!O89=1),(VLOOKUP(N$1,test!$A$3:$I$32,8,FALSE))-(VLOOKUP($A120,test!$A$3:$I$32,9,FALSE))+test!$B$35,0)</f>
        <v>0</v>
      </c>
      <c r="O120">
        <f>IF(AND(SUM(VLOOKUP($A120,test!$A$3:$F$32,2,FALSE),VLOOKUP(O$1,test!$A$3:$F$32,2,FALSE))&lt;test!$K$16,$A120&lt;&gt;O$1,Recharged_Feasible_mat!P89=1),(VLOOKUP(O$1,test!$A$3:$I$32,8,FALSE))-(VLOOKUP($A120,test!$A$3:$I$32,9,FALSE))+test!$B$35,0)</f>
        <v>265</v>
      </c>
      <c r="P120">
        <f>IF(AND(SUM(VLOOKUP($A120,test!$A$3:$F$32,2,FALSE),VLOOKUP(P$1,test!$A$3:$F$32,2,FALSE))&lt;test!$K$16,$A120&lt;&gt;P$1,Recharged_Feasible_mat!Q89=1),(VLOOKUP(P$1,test!$A$3:$I$32,8,FALSE))-(VLOOKUP($A120,test!$A$3:$I$32,9,FALSE))+test!$B$35,0)</f>
        <v>0</v>
      </c>
      <c r="Q120">
        <f>IF(AND(SUM(VLOOKUP($A120,test!$A$3:$F$32,2,FALSE),VLOOKUP(Q$1,test!$A$3:$F$32,2,FALSE))&lt;test!$K$16,$A120&lt;&gt;Q$1,Recharged_Feasible_mat!R89=1),(VLOOKUP(Q$1,test!$A$3:$I$32,8,FALSE))-(VLOOKUP($A120,test!$A$3:$I$32,9,FALSE))+test!$B$35,0)</f>
        <v>0</v>
      </c>
      <c r="R120">
        <f>IF(AND(SUM(VLOOKUP($A120,test!$A$3:$F$32,2,FALSE),VLOOKUP(R$1,test!$A$3:$F$32,2,FALSE))&lt;test!$K$16,$A120&lt;&gt;R$1,Recharged_Feasible_mat!S89=1),(VLOOKUP(R$1,test!$A$3:$I$32,8,FALSE))-(VLOOKUP($A120,test!$A$3:$I$32,9,FALSE))+test!$B$35,0)</f>
        <v>0</v>
      </c>
      <c r="S120">
        <f>IF(AND(SUM(VLOOKUP($A120,test!$A$3:$F$32,2,FALSE),VLOOKUP(S$1,test!$A$3:$F$32,2,FALSE))&lt;test!$K$16,$A120&lt;&gt;S$1,Recharged_Feasible_mat!T89=1),(VLOOKUP(S$1,test!$A$3:$I$32,8,FALSE))-(VLOOKUP($A120,test!$A$3:$I$32,9,FALSE))+test!$B$35,0)</f>
        <v>0</v>
      </c>
      <c r="T120">
        <f>IF(AND(SUM(VLOOKUP($A120,test!$A$3:$F$32,2,FALSE),VLOOKUP(T$1,test!$A$3:$F$32,2,FALSE))&lt;test!$K$16,$A120&lt;&gt;T$1,Recharged_Feasible_mat!U89=1),(VLOOKUP(T$1,test!$A$3:$I$32,8,FALSE))-(VLOOKUP($A120,test!$A$3:$I$32,9,FALSE))+test!$B$35,0)</f>
        <v>0</v>
      </c>
      <c r="U120">
        <f>IF(AND(SUM(VLOOKUP($A120,test!$A$3:$F$32,2,FALSE),VLOOKUP(U$1,test!$A$3:$F$32,2,FALSE))&lt;test!$K$16,$A120&lt;&gt;U$1,Recharged_Feasible_mat!V89=1),(VLOOKUP(U$1,test!$A$3:$I$32,8,FALSE))-(VLOOKUP($A120,test!$A$3:$I$32,9,FALSE))+test!$B$35,0)</f>
        <v>0</v>
      </c>
      <c r="V120">
        <f>IF(AND(SUM(VLOOKUP($A120,test!$A$3:$F$32,2,FALSE),VLOOKUP(V$1,test!$A$3:$F$32,2,FALSE))&lt;test!$K$16,$A120&lt;&gt;V$1,Recharged_Feasible_mat!W89=1),(VLOOKUP(V$1,test!$A$3:$I$32,8,FALSE))-(VLOOKUP($A120,test!$A$3:$I$32,9,FALSE))+test!$B$35,0)</f>
        <v>0</v>
      </c>
      <c r="W120">
        <f>IF(AND(SUM(VLOOKUP($A120,test!$A$3:$F$32,2,FALSE),VLOOKUP(W$1,test!$A$3:$F$32,2,FALSE))&lt;test!$K$16,$A120&lt;&gt;W$1,Recharged_Feasible_mat!X89=1),(VLOOKUP(W$1,test!$A$3:$I$32,8,FALSE))-(VLOOKUP($A120,test!$A$3:$I$32,9,FALSE))+test!$B$35,0)</f>
        <v>0</v>
      </c>
      <c r="X120">
        <f>IF(AND(SUM(VLOOKUP($A120,test!$A$3:$F$32,2,FALSE),VLOOKUP(X$1,test!$A$3:$F$32,2,FALSE))&lt;test!$K$16,$A120&lt;&gt;X$1,Recharged_Feasible_mat!Y89=1),(VLOOKUP(X$1,test!$A$3:$I$32,8,FALSE))-(VLOOKUP($A120,test!$A$3:$I$32,9,FALSE))+test!$B$35,0)</f>
        <v>0</v>
      </c>
      <c r="Y120">
        <f>IF(AND(SUM(VLOOKUP($A120,test!$A$3:$F$32,2,FALSE),VLOOKUP(Y$1,test!$A$3:$F$32,2,FALSE))&lt;test!$K$16,$A120&lt;&gt;Y$1,Recharged_Feasible_mat!Z89=1),(VLOOKUP(Y$1,test!$A$3:$I$32,8,FALSE))-(VLOOKUP($A120,test!$A$3:$I$32,9,FALSE))+test!$B$35,0)</f>
        <v>0</v>
      </c>
      <c r="Z120">
        <f>IF(AND(SUM(VLOOKUP($A120,test!$A$3:$F$32,2,FALSE),VLOOKUP(Z$1,test!$A$3:$F$32,2,FALSE))&lt;test!$K$16,$A120&lt;&gt;Z$1,Recharged_Feasible_mat!AA89=1),(VLOOKUP(Z$1,test!$A$3:$I$32,8,FALSE))-(VLOOKUP($A120,test!$A$3:$I$32,9,FALSE))+test!$B$35,0)</f>
        <v>0</v>
      </c>
      <c r="AA120">
        <f>IF(AND(SUM(VLOOKUP($A120,test!$A$3:$F$32,2,FALSE),VLOOKUP(AA$1,test!$A$3:$F$32,2,FALSE))&lt;test!$K$16,$A120&lt;&gt;AA$1,Recharged_Feasible_mat!AB89=1),(VLOOKUP(AA$1,test!$A$3:$I$32,8,FALSE))-(VLOOKUP($A120,test!$A$3:$I$32,9,FALSE))+test!$B$35,0)</f>
        <v>0</v>
      </c>
      <c r="AB120">
        <f>IF(AND(SUM(VLOOKUP($A120,test!$A$3:$F$32,2,FALSE),VLOOKUP(AB$1,test!$A$3:$F$32,2,FALSE))&lt;test!$K$16,$A120&lt;&gt;AB$1,Recharged_Feasible_mat!AC89=1),(VLOOKUP(AB$1,test!$A$3:$I$32,8,FALSE))-(VLOOKUP($A120,test!$A$3:$I$32,9,FALSE))+test!$B$35,0)</f>
        <v>0</v>
      </c>
      <c r="AC120">
        <f>IF(AND(SUM(VLOOKUP($A120,test!$A$3:$F$32,2,FALSE),VLOOKUP(AC$1,test!$A$3:$F$32,2,FALSE))&lt;test!$K$16,$A120&lt;&gt;AC$1,Recharged_Feasible_mat!AD89=1),(VLOOKUP(AC$1,test!$A$3:$I$32,8,FALSE))-(VLOOKUP($A120,test!$A$3:$I$32,9,FALSE))+test!$B$35,0)</f>
        <v>0</v>
      </c>
      <c r="AD120">
        <f>IF(AND(SUM(VLOOKUP($A120,test!$A$3:$F$32,2,FALSE),VLOOKUP(AD$1,test!$A$3:$F$32,2,FALSE))&lt;test!$K$16,$A120&lt;&gt;AD$1,Recharged_Feasible_mat!AE89=1),(VLOOKUP(AD$1,test!$A$3:$I$32,8,FALSE))-(VLOOKUP($A120,test!$A$3:$I$32,9,FALSE))+test!$B$35,0)</f>
        <v>0</v>
      </c>
      <c r="AE120">
        <f>IF(AND(SUM(VLOOKUP($A120,test!$A$3:$F$32,2,FALSE),VLOOKUP(AE$1,test!$A$3:$F$32,2,FALSE))&lt;test!$K$16,$A120&lt;&gt;AE$1,Recharged_Feasible_mat!AF89=1),(VLOOKUP(AE$1,test!$A$3:$I$32,8,FALSE))-(VLOOKUP($A120,test!$A$3:$I$32,9,FALSE))+test!$B$35,0)</f>
        <v>0</v>
      </c>
      <c r="AF120">
        <f>IF(AND(SUM(VLOOKUP($A120,test!$A$3:$F$32,2,FALSE),VLOOKUP(AF$1,test!$A$3:$F$32,2,FALSE))&lt;test!$K$16,$A120&lt;&gt;AF$1,Recharged_Feasible_mat!AG89=1),(VLOOKUP(AF$1,test!$A$3:$I$32,8,FALSE))-(VLOOKUP($A120,test!$A$3:$I$32,9,FALSE))+test!$B$35,0)</f>
        <v>0</v>
      </c>
    </row>
    <row r="121" spans="1:32" x14ac:dyDescent="0.25">
      <c r="A121" t="s">
        <v>37</v>
      </c>
      <c r="B121">
        <v>0</v>
      </c>
      <c r="C121">
        <f>IF(AND(SUM(VLOOKUP($A121,test!$A$3:$F$32,2,FALSE),VLOOKUP(C$1,test!$A$3:$F$32,2,FALSE))&lt;test!$K$16,$A121&lt;&gt;C$1,Recharged_Feasible_mat!D90=1),(VLOOKUP(C$1,test!$A$3:$I$32,8,FALSE))-(VLOOKUP($A121,test!$A$3:$I$32,9,FALSE))+test!$B$35,0)</f>
        <v>0</v>
      </c>
      <c r="D121">
        <f>IF(AND(SUM(VLOOKUP($A121,test!$A$3:$F$32,2,FALSE),VLOOKUP(D$1,test!$A$3:$F$32,2,FALSE))&lt;test!$K$16,$A121&lt;&gt;D$1,Recharged_Feasible_mat!E90=1),(VLOOKUP(D$1,test!$A$3:$I$32,8,FALSE))-(VLOOKUP($A121,test!$A$3:$I$32,9,FALSE))+test!$B$35,0)</f>
        <v>0</v>
      </c>
      <c r="E121">
        <f>IF(AND(SUM(VLOOKUP($A121,test!$A$3:$F$32,2,FALSE),VLOOKUP(E$1,test!$A$3:$F$32,2,FALSE))&lt;test!$K$16,$A121&lt;&gt;E$1,Recharged_Feasible_mat!F90=1),(VLOOKUP(E$1,test!$A$3:$I$32,8,FALSE))-(VLOOKUP($A121,test!$A$3:$I$32,9,FALSE))+test!$B$35,0)</f>
        <v>0</v>
      </c>
      <c r="F121">
        <f>IF(AND(SUM(VLOOKUP($A121,test!$A$3:$F$32,2,FALSE),VLOOKUP(F$1,test!$A$3:$F$32,2,FALSE))&lt;test!$K$16,$A121&lt;&gt;F$1,Recharged_Feasible_mat!G90=1),(VLOOKUP(F$1,test!$A$3:$I$32,8,FALSE))-(VLOOKUP($A121,test!$A$3:$I$32,9,FALSE))+test!$B$35,0)</f>
        <v>0</v>
      </c>
      <c r="G121">
        <f>IF(AND(SUM(VLOOKUP($A121,test!$A$3:$F$32,2,FALSE),VLOOKUP(G$1,test!$A$3:$F$32,2,FALSE))&lt;test!$K$16,$A121&lt;&gt;G$1,Recharged_Feasible_mat!H90=1),(VLOOKUP(G$1,test!$A$3:$I$32,8,FALSE))-(VLOOKUP($A121,test!$A$3:$I$32,9,FALSE))+test!$B$35,0)</f>
        <v>0</v>
      </c>
      <c r="H121">
        <f>IF(AND(SUM(VLOOKUP($A121,test!$A$3:$F$32,2,FALSE),VLOOKUP(H$1,test!$A$3:$F$32,2,FALSE))&lt;test!$K$16,$A121&lt;&gt;H$1,Recharged_Feasible_mat!I90=1),(VLOOKUP(H$1,test!$A$3:$I$32,8,FALSE))-(VLOOKUP($A121,test!$A$3:$I$32,9,FALSE))+test!$B$35,0)</f>
        <v>0</v>
      </c>
      <c r="I121">
        <f>IF(AND(SUM(VLOOKUP($A121,test!$A$3:$F$32,2,FALSE),VLOOKUP(I$1,test!$A$3:$F$32,2,FALSE))&lt;test!$K$16,$A121&lt;&gt;I$1,Recharged_Feasible_mat!J90=1),(VLOOKUP(I$1,test!$A$3:$I$32,8,FALSE))-(VLOOKUP($A121,test!$A$3:$I$32,9,FALSE))+test!$B$35,0)</f>
        <v>0</v>
      </c>
      <c r="J121">
        <f>IF(AND(SUM(VLOOKUP($A121,test!$A$3:$F$32,2,FALSE),VLOOKUP(J$1,test!$A$3:$F$32,2,FALSE))&lt;test!$K$16,$A121&lt;&gt;J$1,Recharged_Feasible_mat!K90=1),(VLOOKUP(J$1,test!$A$3:$I$32,8,FALSE))-(VLOOKUP($A121,test!$A$3:$I$32,9,FALSE))+test!$B$35,0)</f>
        <v>0</v>
      </c>
      <c r="K121">
        <f>IF(AND(SUM(VLOOKUP($A121,test!$A$3:$F$32,2,FALSE),VLOOKUP(K$1,test!$A$3:$F$32,2,FALSE))&lt;test!$K$16,$A121&lt;&gt;K$1,Recharged_Feasible_mat!L90=1),(VLOOKUP(K$1,test!$A$3:$I$32,8,FALSE))-(VLOOKUP($A121,test!$A$3:$I$32,9,FALSE))+test!$B$35,0)</f>
        <v>0</v>
      </c>
      <c r="L121">
        <f>IF(AND(SUM(VLOOKUP($A121,test!$A$3:$F$32,2,FALSE),VLOOKUP(L$1,test!$A$3:$F$32,2,FALSE))&lt;test!$K$16,$A121&lt;&gt;L$1,Recharged_Feasible_mat!M90=1),(VLOOKUP(L$1,test!$A$3:$I$32,8,FALSE))-(VLOOKUP($A121,test!$A$3:$I$32,9,FALSE))+test!$B$35,0)</f>
        <v>0</v>
      </c>
      <c r="M121">
        <f>IF(AND(SUM(VLOOKUP($A121,test!$A$3:$F$32,2,FALSE),VLOOKUP(M$1,test!$A$3:$F$32,2,FALSE))&lt;test!$K$16,$A121&lt;&gt;M$1,Recharged_Feasible_mat!N90=1),(VLOOKUP(M$1,test!$A$3:$I$32,8,FALSE))-(VLOOKUP($A121,test!$A$3:$I$32,9,FALSE))+test!$B$35,0)</f>
        <v>0</v>
      </c>
      <c r="N121">
        <f>IF(AND(SUM(VLOOKUP($A121,test!$A$3:$F$32,2,FALSE),VLOOKUP(N$1,test!$A$3:$F$32,2,FALSE))&lt;test!$K$16,$A121&lt;&gt;N$1,Recharged_Feasible_mat!O90=1),(VLOOKUP(N$1,test!$A$3:$I$32,8,FALSE))-(VLOOKUP($A121,test!$A$3:$I$32,9,FALSE))+test!$B$35,0)</f>
        <v>0</v>
      </c>
      <c r="O121">
        <f>IF(AND(SUM(VLOOKUP($A121,test!$A$3:$F$32,2,FALSE),VLOOKUP(O$1,test!$A$3:$F$32,2,FALSE))&lt;test!$K$16,$A121&lt;&gt;O$1,Recharged_Feasible_mat!P90=1),(VLOOKUP(O$1,test!$A$3:$I$32,8,FALSE))-(VLOOKUP($A121,test!$A$3:$I$32,9,FALSE))+test!$B$35,0)</f>
        <v>0</v>
      </c>
      <c r="P121">
        <f>IF(AND(SUM(VLOOKUP($A121,test!$A$3:$F$32,2,FALSE),VLOOKUP(P$1,test!$A$3:$F$32,2,FALSE))&lt;test!$K$16,$A121&lt;&gt;P$1,Recharged_Feasible_mat!Q90=1),(VLOOKUP(P$1,test!$A$3:$I$32,8,FALSE))-(VLOOKUP($A121,test!$A$3:$I$32,9,FALSE))+test!$B$35,0)</f>
        <v>0</v>
      </c>
      <c r="Q121">
        <f>IF(AND(SUM(VLOOKUP($A121,test!$A$3:$F$32,2,FALSE),VLOOKUP(Q$1,test!$A$3:$F$32,2,FALSE))&lt;test!$K$16,$A121&lt;&gt;Q$1,Recharged_Feasible_mat!R90=1),(VLOOKUP(Q$1,test!$A$3:$I$32,8,FALSE))-(VLOOKUP($A121,test!$A$3:$I$32,9,FALSE))+test!$B$35,0)</f>
        <v>0</v>
      </c>
      <c r="R121">
        <f>IF(AND(SUM(VLOOKUP($A121,test!$A$3:$F$32,2,FALSE),VLOOKUP(R$1,test!$A$3:$F$32,2,FALSE))&lt;test!$K$16,$A121&lt;&gt;R$1,Recharged_Feasible_mat!S90=1),(VLOOKUP(R$1,test!$A$3:$I$32,8,FALSE))-(VLOOKUP($A121,test!$A$3:$I$32,9,FALSE))+test!$B$35,0)</f>
        <v>0</v>
      </c>
      <c r="S121">
        <f>IF(AND(SUM(VLOOKUP($A121,test!$A$3:$F$32,2,FALSE),VLOOKUP(S$1,test!$A$3:$F$32,2,FALSE))&lt;test!$K$16,$A121&lt;&gt;S$1,Recharged_Feasible_mat!T90=1),(VLOOKUP(S$1,test!$A$3:$I$32,8,FALSE))-(VLOOKUP($A121,test!$A$3:$I$32,9,FALSE))+test!$B$35,0)</f>
        <v>0</v>
      </c>
      <c r="T121">
        <f>IF(AND(SUM(VLOOKUP($A121,test!$A$3:$F$32,2,FALSE),VLOOKUP(T$1,test!$A$3:$F$32,2,FALSE))&lt;test!$K$16,$A121&lt;&gt;T$1,Recharged_Feasible_mat!U90=1),(VLOOKUP(T$1,test!$A$3:$I$32,8,FALSE))-(VLOOKUP($A121,test!$A$3:$I$32,9,FALSE))+test!$B$35,0)</f>
        <v>0</v>
      </c>
      <c r="U121">
        <f>IF(AND(SUM(VLOOKUP($A121,test!$A$3:$F$32,2,FALSE),VLOOKUP(U$1,test!$A$3:$F$32,2,FALSE))&lt;test!$K$16,$A121&lt;&gt;U$1,Recharged_Feasible_mat!V90=1),(VLOOKUP(U$1,test!$A$3:$I$32,8,FALSE))-(VLOOKUP($A121,test!$A$3:$I$32,9,FALSE))+test!$B$35,0)</f>
        <v>0</v>
      </c>
      <c r="V121">
        <f>IF(AND(SUM(VLOOKUP($A121,test!$A$3:$F$32,2,FALSE),VLOOKUP(V$1,test!$A$3:$F$32,2,FALSE))&lt;test!$K$16,$A121&lt;&gt;V$1,Recharged_Feasible_mat!W90=1),(VLOOKUP(V$1,test!$A$3:$I$32,8,FALSE))-(VLOOKUP($A121,test!$A$3:$I$32,9,FALSE))+test!$B$35,0)</f>
        <v>0</v>
      </c>
      <c r="W121">
        <f>IF(AND(SUM(VLOOKUP($A121,test!$A$3:$F$32,2,FALSE),VLOOKUP(W$1,test!$A$3:$F$32,2,FALSE))&lt;test!$K$16,$A121&lt;&gt;W$1,Recharged_Feasible_mat!X90=1),(VLOOKUP(W$1,test!$A$3:$I$32,8,FALSE))-(VLOOKUP($A121,test!$A$3:$I$32,9,FALSE))+test!$B$35,0)</f>
        <v>0</v>
      </c>
      <c r="X121">
        <f>IF(AND(SUM(VLOOKUP($A121,test!$A$3:$F$32,2,FALSE),VLOOKUP(X$1,test!$A$3:$F$32,2,FALSE))&lt;test!$K$16,$A121&lt;&gt;X$1,Recharged_Feasible_mat!Y90=1),(VLOOKUP(X$1,test!$A$3:$I$32,8,FALSE))-(VLOOKUP($A121,test!$A$3:$I$32,9,FALSE))+test!$B$35,0)</f>
        <v>0</v>
      </c>
      <c r="Y121">
        <f>IF(AND(SUM(VLOOKUP($A121,test!$A$3:$F$32,2,FALSE),VLOOKUP(Y$1,test!$A$3:$F$32,2,FALSE))&lt;test!$K$16,$A121&lt;&gt;Y$1,Recharged_Feasible_mat!Z90=1),(VLOOKUP(Y$1,test!$A$3:$I$32,8,FALSE))-(VLOOKUP($A121,test!$A$3:$I$32,9,FALSE))+test!$B$35,0)</f>
        <v>0</v>
      </c>
      <c r="Z121">
        <f>IF(AND(SUM(VLOOKUP($A121,test!$A$3:$F$32,2,FALSE),VLOOKUP(Z$1,test!$A$3:$F$32,2,FALSE))&lt;test!$K$16,$A121&lt;&gt;Z$1,Recharged_Feasible_mat!AA90=1),(VLOOKUP(Z$1,test!$A$3:$I$32,8,FALSE))-(VLOOKUP($A121,test!$A$3:$I$32,9,FALSE))+test!$B$35,0)</f>
        <v>0</v>
      </c>
      <c r="AA121">
        <f>IF(AND(SUM(VLOOKUP($A121,test!$A$3:$F$32,2,FALSE),VLOOKUP(AA$1,test!$A$3:$F$32,2,FALSE))&lt;test!$K$16,$A121&lt;&gt;AA$1,Recharged_Feasible_mat!AB90=1),(VLOOKUP(AA$1,test!$A$3:$I$32,8,FALSE))-(VLOOKUP($A121,test!$A$3:$I$32,9,FALSE))+test!$B$35,0)</f>
        <v>0</v>
      </c>
      <c r="AB121">
        <f>IF(AND(SUM(VLOOKUP($A121,test!$A$3:$F$32,2,FALSE),VLOOKUP(AB$1,test!$A$3:$F$32,2,FALSE))&lt;test!$K$16,$A121&lt;&gt;AB$1,Recharged_Feasible_mat!AC90=1),(VLOOKUP(AB$1,test!$A$3:$I$32,8,FALSE))-(VLOOKUP($A121,test!$A$3:$I$32,9,FALSE))+test!$B$35,0)</f>
        <v>0</v>
      </c>
      <c r="AC121">
        <f>IF(AND(SUM(VLOOKUP($A121,test!$A$3:$F$32,2,FALSE),VLOOKUP(AC$1,test!$A$3:$F$32,2,FALSE))&lt;test!$K$16,$A121&lt;&gt;AC$1,Recharged_Feasible_mat!AD90=1),(VLOOKUP(AC$1,test!$A$3:$I$32,8,FALSE))-(VLOOKUP($A121,test!$A$3:$I$32,9,FALSE))+test!$B$35,0)</f>
        <v>0</v>
      </c>
      <c r="AD121">
        <f>IF(AND(SUM(VLOOKUP($A121,test!$A$3:$F$32,2,FALSE),VLOOKUP(AD$1,test!$A$3:$F$32,2,FALSE))&lt;test!$K$16,$A121&lt;&gt;AD$1,Recharged_Feasible_mat!AE90=1),(VLOOKUP(AD$1,test!$A$3:$I$32,8,FALSE))-(VLOOKUP($A121,test!$A$3:$I$32,9,FALSE))+test!$B$35,0)</f>
        <v>0</v>
      </c>
      <c r="AE121">
        <f>IF(AND(SUM(VLOOKUP($A121,test!$A$3:$F$32,2,FALSE),VLOOKUP(AE$1,test!$A$3:$F$32,2,FALSE))&lt;test!$K$16,$A121&lt;&gt;AE$1,Recharged_Feasible_mat!AF90=1),(VLOOKUP(AE$1,test!$A$3:$I$32,8,FALSE))-(VLOOKUP($A121,test!$A$3:$I$32,9,FALSE))+test!$B$35,0)</f>
        <v>0</v>
      </c>
      <c r="AF121">
        <f>IF(AND(SUM(VLOOKUP($A121,test!$A$3:$F$32,2,FALSE),VLOOKUP(AF$1,test!$A$3:$F$32,2,FALSE))&lt;test!$K$16,$A121&lt;&gt;AF$1,Recharged_Feasible_mat!AG90=1),(VLOOKUP(AF$1,test!$A$3:$I$32,8,FALSE))-(VLOOKUP($A121,test!$A$3:$I$32,9,FALSE))+test!$B$35,0)</f>
        <v>0</v>
      </c>
    </row>
    <row r="122" spans="1:32" x14ac:dyDescent="0.25">
      <c r="A122" t="s">
        <v>38</v>
      </c>
      <c r="B122">
        <v>0</v>
      </c>
      <c r="C122">
        <f>IF(AND(SUM(VLOOKUP($A122,test!$A$3:$F$32,2,FALSE),VLOOKUP(C$1,test!$A$3:$F$32,2,FALSE))&lt;test!$K$16,$A122&lt;&gt;C$1,Recharged_Feasible_mat!D91=1),(VLOOKUP(C$1,test!$A$3:$I$32,8,FALSE))-(VLOOKUP($A122,test!$A$3:$I$32,9,FALSE))+test!$B$35,0)</f>
        <v>0</v>
      </c>
      <c r="D122">
        <f>IF(AND(SUM(VLOOKUP($A122,test!$A$3:$F$32,2,FALSE),VLOOKUP(D$1,test!$A$3:$F$32,2,FALSE))&lt;test!$K$16,$A122&lt;&gt;D$1,Recharged_Feasible_mat!E91=1),(VLOOKUP(D$1,test!$A$3:$I$32,8,FALSE))-(VLOOKUP($A122,test!$A$3:$I$32,9,FALSE))+test!$B$35,0)</f>
        <v>0</v>
      </c>
      <c r="E122">
        <f>IF(AND(SUM(VLOOKUP($A122,test!$A$3:$F$32,2,FALSE),VLOOKUP(E$1,test!$A$3:$F$32,2,FALSE))&lt;test!$K$16,$A122&lt;&gt;E$1,Recharged_Feasible_mat!F91=1),(VLOOKUP(E$1,test!$A$3:$I$32,8,FALSE))-(VLOOKUP($A122,test!$A$3:$I$32,9,FALSE))+test!$B$35,0)</f>
        <v>0</v>
      </c>
      <c r="F122">
        <f>IF(AND(SUM(VLOOKUP($A122,test!$A$3:$F$32,2,FALSE),VLOOKUP(F$1,test!$A$3:$F$32,2,FALSE))&lt;test!$K$16,$A122&lt;&gt;F$1,Recharged_Feasible_mat!G91=1),(VLOOKUP(F$1,test!$A$3:$I$32,8,FALSE))-(VLOOKUP($A122,test!$A$3:$I$32,9,FALSE))+test!$B$35,0)</f>
        <v>0</v>
      </c>
      <c r="G122">
        <f>IF(AND(SUM(VLOOKUP($A122,test!$A$3:$F$32,2,FALSE),VLOOKUP(G$1,test!$A$3:$F$32,2,FALSE))&lt;test!$K$16,$A122&lt;&gt;G$1,Recharged_Feasible_mat!H91=1),(VLOOKUP(G$1,test!$A$3:$I$32,8,FALSE))-(VLOOKUP($A122,test!$A$3:$I$32,9,FALSE))+test!$B$35,0)</f>
        <v>0</v>
      </c>
      <c r="H122">
        <f>IF(AND(SUM(VLOOKUP($A122,test!$A$3:$F$32,2,FALSE),VLOOKUP(H$1,test!$A$3:$F$32,2,FALSE))&lt;test!$K$16,$A122&lt;&gt;H$1,Recharged_Feasible_mat!I91=1),(VLOOKUP(H$1,test!$A$3:$I$32,8,FALSE))-(VLOOKUP($A122,test!$A$3:$I$32,9,FALSE))+test!$B$35,0)</f>
        <v>0</v>
      </c>
      <c r="I122">
        <f>IF(AND(SUM(VLOOKUP($A122,test!$A$3:$F$32,2,FALSE),VLOOKUP(I$1,test!$A$3:$F$32,2,FALSE))&lt;test!$K$16,$A122&lt;&gt;I$1,Recharged_Feasible_mat!J91=1),(VLOOKUP(I$1,test!$A$3:$I$32,8,FALSE))-(VLOOKUP($A122,test!$A$3:$I$32,9,FALSE))+test!$B$35,0)</f>
        <v>0</v>
      </c>
      <c r="J122">
        <f>IF(AND(SUM(VLOOKUP($A122,test!$A$3:$F$32,2,FALSE),VLOOKUP(J$1,test!$A$3:$F$32,2,FALSE))&lt;test!$K$16,$A122&lt;&gt;J$1,Recharged_Feasible_mat!K91=1),(VLOOKUP(J$1,test!$A$3:$I$32,8,FALSE))-(VLOOKUP($A122,test!$A$3:$I$32,9,FALSE))+test!$B$35,0)</f>
        <v>0</v>
      </c>
      <c r="K122">
        <f>IF(AND(SUM(VLOOKUP($A122,test!$A$3:$F$32,2,FALSE),VLOOKUP(K$1,test!$A$3:$F$32,2,FALSE))&lt;test!$K$16,$A122&lt;&gt;K$1,Recharged_Feasible_mat!L91=1),(VLOOKUP(K$1,test!$A$3:$I$32,8,FALSE))-(VLOOKUP($A122,test!$A$3:$I$32,9,FALSE))+test!$B$35,0)</f>
        <v>0</v>
      </c>
      <c r="L122">
        <f>IF(AND(SUM(VLOOKUP($A122,test!$A$3:$F$32,2,FALSE),VLOOKUP(L$1,test!$A$3:$F$32,2,FALSE))&lt;test!$K$16,$A122&lt;&gt;L$1,Recharged_Feasible_mat!M91=1),(VLOOKUP(L$1,test!$A$3:$I$32,8,FALSE))-(VLOOKUP($A122,test!$A$3:$I$32,9,FALSE))+test!$B$35,0)</f>
        <v>0</v>
      </c>
      <c r="M122">
        <f>IF(AND(SUM(VLOOKUP($A122,test!$A$3:$F$32,2,FALSE),VLOOKUP(M$1,test!$A$3:$F$32,2,FALSE))&lt;test!$K$16,$A122&lt;&gt;M$1,Recharged_Feasible_mat!N91=1),(VLOOKUP(M$1,test!$A$3:$I$32,8,FALSE))-(VLOOKUP($A122,test!$A$3:$I$32,9,FALSE))+test!$B$35,0)</f>
        <v>0</v>
      </c>
      <c r="N122">
        <f>IF(AND(SUM(VLOOKUP($A122,test!$A$3:$F$32,2,FALSE),VLOOKUP(N$1,test!$A$3:$F$32,2,FALSE))&lt;test!$K$16,$A122&lt;&gt;N$1,Recharged_Feasible_mat!O91=1),(VLOOKUP(N$1,test!$A$3:$I$32,8,FALSE))-(VLOOKUP($A122,test!$A$3:$I$32,9,FALSE))+test!$B$35,0)</f>
        <v>0</v>
      </c>
      <c r="O122">
        <f>IF(AND(SUM(VLOOKUP($A122,test!$A$3:$F$32,2,FALSE),VLOOKUP(O$1,test!$A$3:$F$32,2,FALSE))&lt;test!$K$16,$A122&lt;&gt;O$1,Recharged_Feasible_mat!P91=1),(VLOOKUP(O$1,test!$A$3:$I$32,8,FALSE))-(VLOOKUP($A122,test!$A$3:$I$32,9,FALSE))+test!$B$35,0)</f>
        <v>0</v>
      </c>
      <c r="P122">
        <f>IF(AND(SUM(VLOOKUP($A122,test!$A$3:$F$32,2,FALSE),VLOOKUP(P$1,test!$A$3:$F$32,2,FALSE))&lt;test!$K$16,$A122&lt;&gt;P$1,Recharged_Feasible_mat!Q91=1),(VLOOKUP(P$1,test!$A$3:$I$32,8,FALSE))-(VLOOKUP($A122,test!$A$3:$I$32,9,FALSE))+test!$B$35,0)</f>
        <v>0</v>
      </c>
      <c r="Q122">
        <f>IF(AND(SUM(VLOOKUP($A122,test!$A$3:$F$32,2,FALSE),VLOOKUP(Q$1,test!$A$3:$F$32,2,FALSE))&lt;test!$K$16,$A122&lt;&gt;Q$1,Recharged_Feasible_mat!R91=1),(VLOOKUP(Q$1,test!$A$3:$I$32,8,FALSE))-(VLOOKUP($A122,test!$A$3:$I$32,9,FALSE))+test!$B$35,0)</f>
        <v>0</v>
      </c>
      <c r="R122">
        <f>IF(AND(SUM(VLOOKUP($A122,test!$A$3:$F$32,2,FALSE),VLOOKUP(R$1,test!$A$3:$F$32,2,FALSE))&lt;test!$K$16,$A122&lt;&gt;R$1,Recharged_Feasible_mat!S91=1),(VLOOKUP(R$1,test!$A$3:$I$32,8,FALSE))-(VLOOKUP($A122,test!$A$3:$I$32,9,FALSE))+test!$B$35,0)</f>
        <v>0</v>
      </c>
      <c r="S122">
        <f>IF(AND(SUM(VLOOKUP($A122,test!$A$3:$F$32,2,FALSE),VLOOKUP(S$1,test!$A$3:$F$32,2,FALSE))&lt;test!$K$16,$A122&lt;&gt;S$1,Recharged_Feasible_mat!T91=1),(VLOOKUP(S$1,test!$A$3:$I$32,8,FALSE))-(VLOOKUP($A122,test!$A$3:$I$32,9,FALSE))+test!$B$35,0)</f>
        <v>0</v>
      </c>
      <c r="T122">
        <f>IF(AND(SUM(VLOOKUP($A122,test!$A$3:$F$32,2,FALSE),VLOOKUP(T$1,test!$A$3:$F$32,2,FALSE))&lt;test!$K$16,$A122&lt;&gt;T$1,Recharged_Feasible_mat!U91=1),(VLOOKUP(T$1,test!$A$3:$I$32,8,FALSE))-(VLOOKUP($A122,test!$A$3:$I$32,9,FALSE))+test!$B$35,0)</f>
        <v>0</v>
      </c>
      <c r="U122">
        <f>IF(AND(SUM(VLOOKUP($A122,test!$A$3:$F$32,2,FALSE),VLOOKUP(U$1,test!$A$3:$F$32,2,FALSE))&lt;test!$K$16,$A122&lt;&gt;U$1,Recharged_Feasible_mat!V91=1),(VLOOKUP(U$1,test!$A$3:$I$32,8,FALSE))-(VLOOKUP($A122,test!$A$3:$I$32,9,FALSE))+test!$B$35,0)</f>
        <v>0</v>
      </c>
      <c r="V122">
        <f>IF(AND(SUM(VLOOKUP($A122,test!$A$3:$F$32,2,FALSE),VLOOKUP(V$1,test!$A$3:$F$32,2,FALSE))&lt;test!$K$16,$A122&lt;&gt;V$1,Recharged_Feasible_mat!W91=1),(VLOOKUP(V$1,test!$A$3:$I$32,8,FALSE))-(VLOOKUP($A122,test!$A$3:$I$32,9,FALSE))+test!$B$35,0)</f>
        <v>0</v>
      </c>
      <c r="W122">
        <f>IF(AND(SUM(VLOOKUP($A122,test!$A$3:$F$32,2,FALSE),VLOOKUP(W$1,test!$A$3:$F$32,2,FALSE))&lt;test!$K$16,$A122&lt;&gt;W$1,Recharged_Feasible_mat!X91=1),(VLOOKUP(W$1,test!$A$3:$I$32,8,FALSE))-(VLOOKUP($A122,test!$A$3:$I$32,9,FALSE))+test!$B$35,0)</f>
        <v>0</v>
      </c>
      <c r="X122">
        <f>IF(AND(SUM(VLOOKUP($A122,test!$A$3:$F$32,2,FALSE),VLOOKUP(X$1,test!$A$3:$F$32,2,FALSE))&lt;test!$K$16,$A122&lt;&gt;X$1,Recharged_Feasible_mat!Y91=1),(VLOOKUP(X$1,test!$A$3:$I$32,8,FALSE))-(VLOOKUP($A122,test!$A$3:$I$32,9,FALSE))+test!$B$35,0)</f>
        <v>0</v>
      </c>
      <c r="Y122">
        <f>IF(AND(SUM(VLOOKUP($A122,test!$A$3:$F$32,2,FALSE),VLOOKUP(Y$1,test!$A$3:$F$32,2,FALSE))&lt;test!$K$16,$A122&lt;&gt;Y$1,Recharged_Feasible_mat!Z91=1),(VLOOKUP(Y$1,test!$A$3:$I$32,8,FALSE))-(VLOOKUP($A122,test!$A$3:$I$32,9,FALSE))+test!$B$35,0)</f>
        <v>0</v>
      </c>
      <c r="Z122">
        <f>IF(AND(SUM(VLOOKUP($A122,test!$A$3:$F$32,2,FALSE),VLOOKUP(Z$1,test!$A$3:$F$32,2,FALSE))&lt;test!$K$16,$A122&lt;&gt;Z$1,Recharged_Feasible_mat!AA91=1),(VLOOKUP(Z$1,test!$A$3:$I$32,8,FALSE))-(VLOOKUP($A122,test!$A$3:$I$32,9,FALSE))+test!$B$35,0)</f>
        <v>0</v>
      </c>
      <c r="AA122">
        <f>IF(AND(SUM(VLOOKUP($A122,test!$A$3:$F$32,2,FALSE),VLOOKUP(AA$1,test!$A$3:$F$32,2,FALSE))&lt;test!$K$16,$A122&lt;&gt;AA$1,Recharged_Feasible_mat!AB91=1),(VLOOKUP(AA$1,test!$A$3:$I$32,8,FALSE))-(VLOOKUP($A122,test!$A$3:$I$32,9,FALSE))+test!$B$35,0)</f>
        <v>0</v>
      </c>
      <c r="AB122">
        <f>IF(AND(SUM(VLOOKUP($A122,test!$A$3:$F$32,2,FALSE),VLOOKUP(AB$1,test!$A$3:$F$32,2,FALSE))&lt;test!$K$16,$A122&lt;&gt;AB$1,Recharged_Feasible_mat!AC91=1),(VLOOKUP(AB$1,test!$A$3:$I$32,8,FALSE))-(VLOOKUP($A122,test!$A$3:$I$32,9,FALSE))+test!$B$35,0)</f>
        <v>0</v>
      </c>
      <c r="AC122">
        <f>IF(AND(SUM(VLOOKUP($A122,test!$A$3:$F$32,2,FALSE),VLOOKUP(AC$1,test!$A$3:$F$32,2,FALSE))&lt;test!$K$16,$A122&lt;&gt;AC$1,Recharged_Feasible_mat!AD91=1),(VLOOKUP(AC$1,test!$A$3:$I$32,8,FALSE))-(VLOOKUP($A122,test!$A$3:$I$32,9,FALSE))+test!$B$35,0)</f>
        <v>0</v>
      </c>
      <c r="AD122">
        <f>IF(AND(SUM(VLOOKUP($A122,test!$A$3:$F$32,2,FALSE),VLOOKUP(AD$1,test!$A$3:$F$32,2,FALSE))&lt;test!$K$16,$A122&lt;&gt;AD$1,Recharged_Feasible_mat!AE91=1),(VLOOKUP(AD$1,test!$A$3:$I$32,8,FALSE))-(VLOOKUP($A122,test!$A$3:$I$32,9,FALSE))+test!$B$35,0)</f>
        <v>0</v>
      </c>
      <c r="AE122">
        <f>IF(AND(SUM(VLOOKUP($A122,test!$A$3:$F$32,2,FALSE),VLOOKUP(AE$1,test!$A$3:$F$32,2,FALSE))&lt;test!$K$16,$A122&lt;&gt;AE$1,Recharged_Feasible_mat!AF91=1),(VLOOKUP(AE$1,test!$A$3:$I$32,8,FALSE))-(VLOOKUP($A122,test!$A$3:$I$32,9,FALSE))+test!$B$35,0)</f>
        <v>0</v>
      </c>
      <c r="AF122">
        <f>IF(AND(SUM(VLOOKUP($A122,test!$A$3:$F$32,2,FALSE),VLOOKUP(AF$1,test!$A$3:$F$32,2,FALSE))&lt;test!$K$16,$A122&lt;&gt;AF$1,Recharged_Feasible_mat!AG91=1),(VLOOKUP(AF$1,test!$A$3:$I$32,8,FALSE))-(VLOOKUP($A122,test!$A$3:$I$32,9,FALSE))+test!$B$35,0)</f>
        <v>0</v>
      </c>
    </row>
    <row r="123" spans="1:32" x14ac:dyDescent="0.25">
      <c r="A123" t="s">
        <v>39</v>
      </c>
      <c r="B123">
        <v>0</v>
      </c>
      <c r="C123">
        <f>IF(AND(SUM(VLOOKUP($A123,test!$A$3:$F$32,2,FALSE),VLOOKUP(C$1,test!$A$3:$F$32,2,FALSE))&lt;test!$K$16,$A123&lt;&gt;C$1,Recharged_Feasible_mat!D92=1),(VLOOKUP(C$1,test!$A$3:$I$32,8,FALSE))-(VLOOKUP($A123,test!$A$3:$I$32,9,FALSE))+test!$B$35,0)</f>
        <v>0</v>
      </c>
      <c r="D123">
        <f>IF(AND(SUM(VLOOKUP($A123,test!$A$3:$F$32,2,FALSE),VLOOKUP(D$1,test!$A$3:$F$32,2,FALSE))&lt;test!$K$16,$A123&lt;&gt;D$1,Recharged_Feasible_mat!E92=1),(VLOOKUP(D$1,test!$A$3:$I$32,8,FALSE))-(VLOOKUP($A123,test!$A$3:$I$32,9,FALSE))+test!$B$35,0)</f>
        <v>0</v>
      </c>
      <c r="E123">
        <f>IF(AND(SUM(VLOOKUP($A123,test!$A$3:$F$32,2,FALSE),VLOOKUP(E$1,test!$A$3:$F$32,2,FALSE))&lt;test!$K$16,$A123&lt;&gt;E$1,Recharged_Feasible_mat!F92=1),(VLOOKUP(E$1,test!$A$3:$I$32,8,FALSE))-(VLOOKUP($A123,test!$A$3:$I$32,9,FALSE))+test!$B$35,0)</f>
        <v>0</v>
      </c>
      <c r="F123">
        <f>IF(AND(SUM(VLOOKUP($A123,test!$A$3:$F$32,2,FALSE),VLOOKUP(F$1,test!$A$3:$F$32,2,FALSE))&lt;test!$K$16,$A123&lt;&gt;F$1,Recharged_Feasible_mat!G92=1),(VLOOKUP(F$1,test!$A$3:$I$32,8,FALSE))-(VLOOKUP($A123,test!$A$3:$I$32,9,FALSE))+test!$B$35,0)</f>
        <v>0</v>
      </c>
      <c r="G123">
        <f>IF(AND(SUM(VLOOKUP($A123,test!$A$3:$F$32,2,FALSE),VLOOKUP(G$1,test!$A$3:$F$32,2,FALSE))&lt;test!$K$16,$A123&lt;&gt;G$1,Recharged_Feasible_mat!H92=1),(VLOOKUP(G$1,test!$A$3:$I$32,8,FALSE))-(VLOOKUP($A123,test!$A$3:$I$32,9,FALSE))+test!$B$35,0)</f>
        <v>0</v>
      </c>
      <c r="H123">
        <f>IF(AND(SUM(VLOOKUP($A123,test!$A$3:$F$32,2,FALSE),VLOOKUP(H$1,test!$A$3:$F$32,2,FALSE))&lt;test!$K$16,$A123&lt;&gt;H$1,Recharged_Feasible_mat!I92=1),(VLOOKUP(H$1,test!$A$3:$I$32,8,FALSE))-(VLOOKUP($A123,test!$A$3:$I$32,9,FALSE))+test!$B$35,0)</f>
        <v>0</v>
      </c>
      <c r="I123">
        <f>IF(AND(SUM(VLOOKUP($A123,test!$A$3:$F$32,2,FALSE),VLOOKUP(I$1,test!$A$3:$F$32,2,FALSE))&lt;test!$K$16,$A123&lt;&gt;I$1,Recharged_Feasible_mat!J92=1),(VLOOKUP(I$1,test!$A$3:$I$32,8,FALSE))-(VLOOKUP($A123,test!$A$3:$I$32,9,FALSE))+test!$B$35,0)</f>
        <v>0</v>
      </c>
      <c r="J123">
        <f>IF(AND(SUM(VLOOKUP($A123,test!$A$3:$F$32,2,FALSE),VLOOKUP(J$1,test!$A$3:$F$32,2,FALSE))&lt;test!$K$16,$A123&lt;&gt;J$1,Recharged_Feasible_mat!K92=1),(VLOOKUP(J$1,test!$A$3:$I$32,8,FALSE))-(VLOOKUP($A123,test!$A$3:$I$32,9,FALSE))+test!$B$35,0)</f>
        <v>0</v>
      </c>
      <c r="K123">
        <f>IF(AND(SUM(VLOOKUP($A123,test!$A$3:$F$32,2,FALSE),VLOOKUP(K$1,test!$A$3:$F$32,2,FALSE))&lt;test!$K$16,$A123&lt;&gt;K$1,Recharged_Feasible_mat!L92=1),(VLOOKUP(K$1,test!$A$3:$I$32,8,FALSE))-(VLOOKUP($A123,test!$A$3:$I$32,9,FALSE))+test!$B$35,0)</f>
        <v>0</v>
      </c>
      <c r="L123">
        <f>IF(AND(SUM(VLOOKUP($A123,test!$A$3:$F$32,2,FALSE),VLOOKUP(L$1,test!$A$3:$F$32,2,FALSE))&lt;test!$K$16,$A123&lt;&gt;L$1,Recharged_Feasible_mat!M92=1),(VLOOKUP(L$1,test!$A$3:$I$32,8,FALSE))-(VLOOKUP($A123,test!$A$3:$I$32,9,FALSE))+test!$B$35,0)</f>
        <v>0</v>
      </c>
      <c r="M123">
        <f>IF(AND(SUM(VLOOKUP($A123,test!$A$3:$F$32,2,FALSE),VLOOKUP(M$1,test!$A$3:$F$32,2,FALSE))&lt;test!$K$16,$A123&lt;&gt;M$1,Recharged_Feasible_mat!N92=1),(VLOOKUP(M$1,test!$A$3:$I$32,8,FALSE))-(VLOOKUP($A123,test!$A$3:$I$32,9,FALSE))+test!$B$35,0)</f>
        <v>0</v>
      </c>
      <c r="N123">
        <f>IF(AND(SUM(VLOOKUP($A123,test!$A$3:$F$32,2,FALSE),VLOOKUP(N$1,test!$A$3:$F$32,2,FALSE))&lt;test!$K$16,$A123&lt;&gt;N$1,Recharged_Feasible_mat!O92=1),(VLOOKUP(N$1,test!$A$3:$I$32,8,FALSE))-(VLOOKUP($A123,test!$A$3:$I$32,9,FALSE))+test!$B$35,0)</f>
        <v>0</v>
      </c>
      <c r="O123">
        <f>IF(AND(SUM(VLOOKUP($A123,test!$A$3:$F$32,2,FALSE),VLOOKUP(O$1,test!$A$3:$F$32,2,FALSE))&lt;test!$K$16,$A123&lt;&gt;O$1,Recharged_Feasible_mat!P92=1),(VLOOKUP(O$1,test!$A$3:$I$32,8,FALSE))-(VLOOKUP($A123,test!$A$3:$I$32,9,FALSE))+test!$B$35,0)</f>
        <v>0</v>
      </c>
      <c r="P123">
        <f>IF(AND(SUM(VLOOKUP($A123,test!$A$3:$F$32,2,FALSE),VLOOKUP(P$1,test!$A$3:$F$32,2,FALSE))&lt;test!$K$16,$A123&lt;&gt;P$1,Recharged_Feasible_mat!Q92=1),(VLOOKUP(P$1,test!$A$3:$I$32,8,FALSE))-(VLOOKUP($A123,test!$A$3:$I$32,9,FALSE))+test!$B$35,0)</f>
        <v>0</v>
      </c>
      <c r="Q123">
        <f>IF(AND(SUM(VLOOKUP($A123,test!$A$3:$F$32,2,FALSE),VLOOKUP(Q$1,test!$A$3:$F$32,2,FALSE))&lt;test!$K$16,$A123&lt;&gt;Q$1,Recharged_Feasible_mat!R92=1),(VLOOKUP(Q$1,test!$A$3:$I$32,8,FALSE))-(VLOOKUP($A123,test!$A$3:$I$32,9,FALSE))+test!$B$35,0)</f>
        <v>0</v>
      </c>
      <c r="R123">
        <f>IF(AND(SUM(VLOOKUP($A123,test!$A$3:$F$32,2,FALSE),VLOOKUP(R$1,test!$A$3:$F$32,2,FALSE))&lt;test!$K$16,$A123&lt;&gt;R$1,Recharged_Feasible_mat!S92=1),(VLOOKUP(R$1,test!$A$3:$I$32,8,FALSE))-(VLOOKUP($A123,test!$A$3:$I$32,9,FALSE))+test!$B$35,0)</f>
        <v>0</v>
      </c>
      <c r="S123">
        <f>IF(AND(SUM(VLOOKUP($A123,test!$A$3:$F$32,2,FALSE),VLOOKUP(S$1,test!$A$3:$F$32,2,FALSE))&lt;test!$K$16,$A123&lt;&gt;S$1,Recharged_Feasible_mat!T92=1),(VLOOKUP(S$1,test!$A$3:$I$32,8,FALSE))-(VLOOKUP($A123,test!$A$3:$I$32,9,FALSE))+test!$B$35,0)</f>
        <v>0</v>
      </c>
      <c r="T123">
        <f>IF(AND(SUM(VLOOKUP($A123,test!$A$3:$F$32,2,FALSE),VLOOKUP(T$1,test!$A$3:$F$32,2,FALSE))&lt;test!$K$16,$A123&lt;&gt;T$1,Recharged_Feasible_mat!U92=1),(VLOOKUP(T$1,test!$A$3:$I$32,8,FALSE))-(VLOOKUP($A123,test!$A$3:$I$32,9,FALSE))+test!$B$35,0)</f>
        <v>0</v>
      </c>
      <c r="U123">
        <f>IF(AND(SUM(VLOOKUP($A123,test!$A$3:$F$32,2,FALSE),VLOOKUP(U$1,test!$A$3:$F$32,2,FALSE))&lt;test!$K$16,$A123&lt;&gt;U$1,Recharged_Feasible_mat!V92=1),(VLOOKUP(U$1,test!$A$3:$I$32,8,FALSE))-(VLOOKUP($A123,test!$A$3:$I$32,9,FALSE))+test!$B$35,0)</f>
        <v>0</v>
      </c>
      <c r="V123">
        <f>IF(AND(SUM(VLOOKUP($A123,test!$A$3:$F$32,2,FALSE),VLOOKUP(V$1,test!$A$3:$F$32,2,FALSE))&lt;test!$K$16,$A123&lt;&gt;V$1,Recharged_Feasible_mat!W92=1),(VLOOKUP(V$1,test!$A$3:$I$32,8,FALSE))-(VLOOKUP($A123,test!$A$3:$I$32,9,FALSE))+test!$B$35,0)</f>
        <v>0</v>
      </c>
      <c r="W123">
        <f>IF(AND(SUM(VLOOKUP($A123,test!$A$3:$F$32,2,FALSE),VLOOKUP(W$1,test!$A$3:$F$32,2,FALSE))&lt;test!$K$16,$A123&lt;&gt;W$1,Recharged_Feasible_mat!X92=1),(VLOOKUP(W$1,test!$A$3:$I$32,8,FALSE))-(VLOOKUP($A123,test!$A$3:$I$32,9,FALSE))+test!$B$35,0)</f>
        <v>0</v>
      </c>
      <c r="X123">
        <f>IF(AND(SUM(VLOOKUP($A123,test!$A$3:$F$32,2,FALSE),VLOOKUP(X$1,test!$A$3:$F$32,2,FALSE))&lt;test!$K$16,$A123&lt;&gt;X$1,Recharged_Feasible_mat!Y92=1),(VLOOKUP(X$1,test!$A$3:$I$32,8,FALSE))-(VLOOKUP($A123,test!$A$3:$I$32,9,FALSE))+test!$B$35,0)</f>
        <v>0</v>
      </c>
      <c r="Y123">
        <f>IF(AND(SUM(VLOOKUP($A123,test!$A$3:$F$32,2,FALSE),VLOOKUP(Y$1,test!$A$3:$F$32,2,FALSE))&lt;test!$K$16,$A123&lt;&gt;Y$1,Recharged_Feasible_mat!Z92=1),(VLOOKUP(Y$1,test!$A$3:$I$32,8,FALSE))-(VLOOKUP($A123,test!$A$3:$I$32,9,FALSE))+test!$B$35,0)</f>
        <v>0</v>
      </c>
      <c r="Z123">
        <f>IF(AND(SUM(VLOOKUP($A123,test!$A$3:$F$32,2,FALSE),VLOOKUP(Z$1,test!$A$3:$F$32,2,FALSE))&lt;test!$K$16,$A123&lt;&gt;Z$1,Recharged_Feasible_mat!AA92=1),(VLOOKUP(Z$1,test!$A$3:$I$32,8,FALSE))-(VLOOKUP($A123,test!$A$3:$I$32,9,FALSE))+test!$B$35,0)</f>
        <v>0</v>
      </c>
      <c r="AA123">
        <f>IF(AND(SUM(VLOOKUP($A123,test!$A$3:$F$32,2,FALSE),VLOOKUP(AA$1,test!$A$3:$F$32,2,FALSE))&lt;test!$K$16,$A123&lt;&gt;AA$1,Recharged_Feasible_mat!AB92=1),(VLOOKUP(AA$1,test!$A$3:$I$32,8,FALSE))-(VLOOKUP($A123,test!$A$3:$I$32,9,FALSE))+test!$B$35,0)</f>
        <v>0</v>
      </c>
      <c r="AB123">
        <f>IF(AND(SUM(VLOOKUP($A123,test!$A$3:$F$32,2,FALSE),VLOOKUP(AB$1,test!$A$3:$F$32,2,FALSE))&lt;test!$K$16,$A123&lt;&gt;AB$1,Recharged_Feasible_mat!AC92=1),(VLOOKUP(AB$1,test!$A$3:$I$32,8,FALSE))-(VLOOKUP($A123,test!$A$3:$I$32,9,FALSE))+test!$B$35,0)</f>
        <v>0</v>
      </c>
      <c r="AC123">
        <f>IF(AND(SUM(VLOOKUP($A123,test!$A$3:$F$32,2,FALSE),VLOOKUP(AC$1,test!$A$3:$F$32,2,FALSE))&lt;test!$K$16,$A123&lt;&gt;AC$1,Recharged_Feasible_mat!AD92=1),(VLOOKUP(AC$1,test!$A$3:$I$32,8,FALSE))-(VLOOKUP($A123,test!$A$3:$I$32,9,FALSE))+test!$B$35,0)</f>
        <v>0</v>
      </c>
      <c r="AD123">
        <f>IF(AND(SUM(VLOOKUP($A123,test!$A$3:$F$32,2,FALSE),VLOOKUP(AD$1,test!$A$3:$F$32,2,FALSE))&lt;test!$K$16,$A123&lt;&gt;AD$1,Recharged_Feasible_mat!AE92=1),(VLOOKUP(AD$1,test!$A$3:$I$32,8,FALSE))-(VLOOKUP($A123,test!$A$3:$I$32,9,FALSE))+test!$B$35,0)</f>
        <v>0</v>
      </c>
      <c r="AE123">
        <f>IF(AND(SUM(VLOOKUP($A123,test!$A$3:$F$32,2,FALSE),VLOOKUP(AE$1,test!$A$3:$F$32,2,FALSE))&lt;test!$K$16,$A123&lt;&gt;AE$1,Recharged_Feasible_mat!AF92=1),(VLOOKUP(AE$1,test!$A$3:$I$32,8,FALSE))-(VLOOKUP($A123,test!$A$3:$I$32,9,FALSE))+test!$B$35,0)</f>
        <v>0</v>
      </c>
      <c r="AF123">
        <f>IF(AND(SUM(VLOOKUP($A123,test!$A$3:$F$32,2,FALSE),VLOOKUP(AF$1,test!$A$3:$F$32,2,FALSE))&lt;test!$K$16,$A123&lt;&gt;AF$1,Recharged_Feasible_mat!AG92=1),(VLOOKUP(AF$1,test!$A$3:$I$32,8,FALSE))-(VLOOKUP($A123,test!$A$3:$I$32,9,FALSE))+test!$B$35,0)</f>
        <v>0</v>
      </c>
    </row>
    <row r="124" spans="1:32" x14ac:dyDescent="0.25">
      <c r="A124" t="s">
        <v>40</v>
      </c>
      <c r="B124">
        <v>0</v>
      </c>
      <c r="C124">
        <f>IF(AND(SUM(VLOOKUP($A124,test!$A$3:$F$32,2,FALSE),VLOOKUP(C$1,test!$A$3:$F$32,2,FALSE))&lt;test!$K$16,$A124&lt;&gt;C$1,Recharged_Feasible_mat!D93=1),(VLOOKUP(C$1,test!$A$3:$I$32,8,FALSE))-(VLOOKUP($A124,test!$A$3:$I$32,9,FALSE))+test!$B$35,0)</f>
        <v>0</v>
      </c>
      <c r="D124">
        <f>IF(AND(SUM(VLOOKUP($A124,test!$A$3:$F$32,2,FALSE),VLOOKUP(D$1,test!$A$3:$F$32,2,FALSE))&lt;test!$K$16,$A124&lt;&gt;D$1,Recharged_Feasible_mat!E93=1),(VLOOKUP(D$1,test!$A$3:$I$32,8,FALSE))-(VLOOKUP($A124,test!$A$3:$I$32,9,FALSE))+test!$B$35,0)</f>
        <v>0</v>
      </c>
      <c r="E124">
        <f>IF(AND(SUM(VLOOKUP($A124,test!$A$3:$F$32,2,FALSE),VLOOKUP(E$1,test!$A$3:$F$32,2,FALSE))&lt;test!$K$16,$A124&lt;&gt;E$1,Recharged_Feasible_mat!F93=1),(VLOOKUP(E$1,test!$A$3:$I$32,8,FALSE))-(VLOOKUP($A124,test!$A$3:$I$32,9,FALSE))+test!$B$35,0)</f>
        <v>0</v>
      </c>
      <c r="F124">
        <f>IF(AND(SUM(VLOOKUP($A124,test!$A$3:$F$32,2,FALSE),VLOOKUP(F$1,test!$A$3:$F$32,2,FALSE))&lt;test!$K$16,$A124&lt;&gt;F$1,Recharged_Feasible_mat!G93=1),(VLOOKUP(F$1,test!$A$3:$I$32,8,FALSE))-(VLOOKUP($A124,test!$A$3:$I$32,9,FALSE))+test!$B$35,0)</f>
        <v>0</v>
      </c>
      <c r="G124">
        <f>IF(AND(SUM(VLOOKUP($A124,test!$A$3:$F$32,2,FALSE),VLOOKUP(G$1,test!$A$3:$F$32,2,FALSE))&lt;test!$K$16,$A124&lt;&gt;G$1,Recharged_Feasible_mat!H93=1),(VLOOKUP(G$1,test!$A$3:$I$32,8,FALSE))-(VLOOKUP($A124,test!$A$3:$I$32,9,FALSE))+test!$B$35,0)</f>
        <v>0</v>
      </c>
      <c r="H124">
        <f>IF(AND(SUM(VLOOKUP($A124,test!$A$3:$F$32,2,FALSE),VLOOKUP(H$1,test!$A$3:$F$32,2,FALSE))&lt;test!$K$16,$A124&lt;&gt;H$1,Recharged_Feasible_mat!I93=1),(VLOOKUP(H$1,test!$A$3:$I$32,8,FALSE))-(VLOOKUP($A124,test!$A$3:$I$32,9,FALSE))+test!$B$35,0)</f>
        <v>0</v>
      </c>
      <c r="I124">
        <f>IF(AND(SUM(VLOOKUP($A124,test!$A$3:$F$32,2,FALSE),VLOOKUP(I$1,test!$A$3:$F$32,2,FALSE))&lt;test!$K$16,$A124&lt;&gt;I$1,Recharged_Feasible_mat!J93=1),(VLOOKUP(I$1,test!$A$3:$I$32,8,FALSE))-(VLOOKUP($A124,test!$A$3:$I$32,9,FALSE))+test!$B$35,0)</f>
        <v>0</v>
      </c>
      <c r="J124">
        <f>IF(AND(SUM(VLOOKUP($A124,test!$A$3:$F$32,2,FALSE),VLOOKUP(J$1,test!$A$3:$F$32,2,FALSE))&lt;test!$K$16,$A124&lt;&gt;J$1,Recharged_Feasible_mat!K93=1),(VLOOKUP(J$1,test!$A$3:$I$32,8,FALSE))-(VLOOKUP($A124,test!$A$3:$I$32,9,FALSE))+test!$B$35,0)</f>
        <v>0</v>
      </c>
      <c r="K124">
        <f>IF(AND(SUM(VLOOKUP($A124,test!$A$3:$F$32,2,FALSE),VLOOKUP(K$1,test!$A$3:$F$32,2,FALSE))&lt;test!$K$16,$A124&lt;&gt;K$1,Recharged_Feasible_mat!L93=1),(VLOOKUP(K$1,test!$A$3:$I$32,8,FALSE))-(VLOOKUP($A124,test!$A$3:$I$32,9,FALSE))+test!$B$35,0)</f>
        <v>0</v>
      </c>
      <c r="L124">
        <f>IF(AND(SUM(VLOOKUP($A124,test!$A$3:$F$32,2,FALSE),VLOOKUP(L$1,test!$A$3:$F$32,2,FALSE))&lt;test!$K$16,$A124&lt;&gt;L$1,Recharged_Feasible_mat!M93=1),(VLOOKUP(L$1,test!$A$3:$I$32,8,FALSE))-(VLOOKUP($A124,test!$A$3:$I$32,9,FALSE))+test!$B$35,0)</f>
        <v>0</v>
      </c>
      <c r="M124">
        <f>IF(AND(SUM(VLOOKUP($A124,test!$A$3:$F$32,2,FALSE),VLOOKUP(M$1,test!$A$3:$F$32,2,FALSE))&lt;test!$K$16,$A124&lt;&gt;M$1,Recharged_Feasible_mat!N93=1),(VLOOKUP(M$1,test!$A$3:$I$32,8,FALSE))-(VLOOKUP($A124,test!$A$3:$I$32,9,FALSE))+test!$B$35,0)</f>
        <v>0</v>
      </c>
      <c r="N124">
        <f>IF(AND(SUM(VLOOKUP($A124,test!$A$3:$F$32,2,FALSE),VLOOKUP(N$1,test!$A$3:$F$32,2,FALSE))&lt;test!$K$16,$A124&lt;&gt;N$1,Recharged_Feasible_mat!O93=1),(VLOOKUP(N$1,test!$A$3:$I$32,8,FALSE))-(VLOOKUP($A124,test!$A$3:$I$32,9,FALSE))+test!$B$35,0)</f>
        <v>0</v>
      </c>
      <c r="O124">
        <f>IF(AND(SUM(VLOOKUP($A124,test!$A$3:$F$32,2,FALSE),VLOOKUP(O$1,test!$A$3:$F$32,2,FALSE))&lt;test!$K$16,$A124&lt;&gt;O$1,Recharged_Feasible_mat!P93=1),(VLOOKUP(O$1,test!$A$3:$I$32,8,FALSE))-(VLOOKUP($A124,test!$A$3:$I$32,9,FALSE))+test!$B$35,0)</f>
        <v>0</v>
      </c>
      <c r="P124">
        <f>IF(AND(SUM(VLOOKUP($A124,test!$A$3:$F$32,2,FALSE),VLOOKUP(P$1,test!$A$3:$F$32,2,FALSE))&lt;test!$K$16,$A124&lt;&gt;P$1,Recharged_Feasible_mat!Q93=1),(VLOOKUP(P$1,test!$A$3:$I$32,8,FALSE))-(VLOOKUP($A124,test!$A$3:$I$32,9,FALSE))+test!$B$35,0)</f>
        <v>0</v>
      </c>
      <c r="Q124">
        <f>IF(AND(SUM(VLOOKUP($A124,test!$A$3:$F$32,2,FALSE),VLOOKUP(Q$1,test!$A$3:$F$32,2,FALSE))&lt;test!$K$16,$A124&lt;&gt;Q$1,Recharged_Feasible_mat!R93=1),(VLOOKUP(Q$1,test!$A$3:$I$32,8,FALSE))-(VLOOKUP($A124,test!$A$3:$I$32,9,FALSE))+test!$B$35,0)</f>
        <v>0</v>
      </c>
      <c r="R124">
        <f>IF(AND(SUM(VLOOKUP($A124,test!$A$3:$F$32,2,FALSE),VLOOKUP(R$1,test!$A$3:$F$32,2,FALSE))&lt;test!$K$16,$A124&lt;&gt;R$1,Recharged_Feasible_mat!S93=1),(VLOOKUP(R$1,test!$A$3:$I$32,8,FALSE))-(VLOOKUP($A124,test!$A$3:$I$32,9,FALSE))+test!$B$35,0)</f>
        <v>0</v>
      </c>
      <c r="S124">
        <f>IF(AND(SUM(VLOOKUP($A124,test!$A$3:$F$32,2,FALSE),VLOOKUP(S$1,test!$A$3:$F$32,2,FALSE))&lt;test!$K$16,$A124&lt;&gt;S$1,Recharged_Feasible_mat!T93=1),(VLOOKUP(S$1,test!$A$3:$I$32,8,FALSE))-(VLOOKUP($A124,test!$A$3:$I$32,9,FALSE))+test!$B$35,0)</f>
        <v>0</v>
      </c>
      <c r="T124">
        <f>IF(AND(SUM(VLOOKUP($A124,test!$A$3:$F$32,2,FALSE),VLOOKUP(T$1,test!$A$3:$F$32,2,FALSE))&lt;test!$K$16,$A124&lt;&gt;T$1,Recharged_Feasible_mat!U93=1),(VLOOKUP(T$1,test!$A$3:$I$32,8,FALSE))-(VLOOKUP($A124,test!$A$3:$I$32,9,FALSE))+test!$B$35,0)</f>
        <v>0</v>
      </c>
      <c r="U124">
        <f>IF(AND(SUM(VLOOKUP($A124,test!$A$3:$F$32,2,FALSE),VLOOKUP(U$1,test!$A$3:$F$32,2,FALSE))&lt;test!$K$16,$A124&lt;&gt;U$1,Recharged_Feasible_mat!V93=1),(VLOOKUP(U$1,test!$A$3:$I$32,8,FALSE))-(VLOOKUP($A124,test!$A$3:$I$32,9,FALSE))+test!$B$35,0)</f>
        <v>0</v>
      </c>
      <c r="V124">
        <f>IF(AND(SUM(VLOOKUP($A124,test!$A$3:$F$32,2,FALSE),VLOOKUP(V$1,test!$A$3:$F$32,2,FALSE))&lt;test!$K$16,$A124&lt;&gt;V$1,Recharged_Feasible_mat!W93=1),(VLOOKUP(V$1,test!$A$3:$I$32,8,FALSE))-(VLOOKUP($A124,test!$A$3:$I$32,9,FALSE))+test!$B$35,0)</f>
        <v>0</v>
      </c>
      <c r="W124">
        <f>IF(AND(SUM(VLOOKUP($A124,test!$A$3:$F$32,2,FALSE),VLOOKUP(W$1,test!$A$3:$F$32,2,FALSE))&lt;test!$K$16,$A124&lt;&gt;W$1,Recharged_Feasible_mat!X93=1),(VLOOKUP(W$1,test!$A$3:$I$32,8,FALSE))-(VLOOKUP($A124,test!$A$3:$I$32,9,FALSE))+test!$B$35,0)</f>
        <v>0</v>
      </c>
      <c r="X124">
        <f>IF(AND(SUM(VLOOKUP($A124,test!$A$3:$F$32,2,FALSE),VLOOKUP(X$1,test!$A$3:$F$32,2,FALSE))&lt;test!$K$16,$A124&lt;&gt;X$1,Recharged_Feasible_mat!Y93=1),(VLOOKUP(X$1,test!$A$3:$I$32,8,FALSE))-(VLOOKUP($A124,test!$A$3:$I$32,9,FALSE))+test!$B$35,0)</f>
        <v>0</v>
      </c>
      <c r="Y124">
        <f>IF(AND(SUM(VLOOKUP($A124,test!$A$3:$F$32,2,FALSE),VLOOKUP(Y$1,test!$A$3:$F$32,2,FALSE))&lt;test!$K$16,$A124&lt;&gt;Y$1,Recharged_Feasible_mat!Z93=1),(VLOOKUP(Y$1,test!$A$3:$I$32,8,FALSE))-(VLOOKUP($A124,test!$A$3:$I$32,9,FALSE))+test!$B$35,0)</f>
        <v>0</v>
      </c>
      <c r="Z124">
        <f>IF(AND(SUM(VLOOKUP($A124,test!$A$3:$F$32,2,FALSE),VLOOKUP(Z$1,test!$A$3:$F$32,2,FALSE))&lt;test!$K$16,$A124&lt;&gt;Z$1,Recharged_Feasible_mat!AA93=1),(VLOOKUP(Z$1,test!$A$3:$I$32,8,FALSE))-(VLOOKUP($A124,test!$A$3:$I$32,9,FALSE))+test!$B$35,0)</f>
        <v>0</v>
      </c>
      <c r="AA124">
        <f>IF(AND(SUM(VLOOKUP($A124,test!$A$3:$F$32,2,FALSE),VLOOKUP(AA$1,test!$A$3:$F$32,2,FALSE))&lt;test!$K$16,$A124&lt;&gt;AA$1,Recharged_Feasible_mat!AB93=1),(VLOOKUP(AA$1,test!$A$3:$I$32,8,FALSE))-(VLOOKUP($A124,test!$A$3:$I$32,9,FALSE))+test!$B$35,0)</f>
        <v>0</v>
      </c>
      <c r="AB124">
        <f>IF(AND(SUM(VLOOKUP($A124,test!$A$3:$F$32,2,FALSE),VLOOKUP(AB$1,test!$A$3:$F$32,2,FALSE))&lt;test!$K$16,$A124&lt;&gt;AB$1,Recharged_Feasible_mat!AC93=1),(VLOOKUP(AB$1,test!$A$3:$I$32,8,FALSE))-(VLOOKUP($A124,test!$A$3:$I$32,9,FALSE))+test!$B$35,0)</f>
        <v>0</v>
      </c>
      <c r="AC124">
        <f>IF(AND(SUM(VLOOKUP($A124,test!$A$3:$F$32,2,FALSE),VLOOKUP(AC$1,test!$A$3:$F$32,2,FALSE))&lt;test!$K$16,$A124&lt;&gt;AC$1,Recharged_Feasible_mat!AD93=1),(VLOOKUP(AC$1,test!$A$3:$I$32,8,FALSE))-(VLOOKUP($A124,test!$A$3:$I$32,9,FALSE))+test!$B$35,0)</f>
        <v>0</v>
      </c>
      <c r="AD124">
        <f>IF(AND(SUM(VLOOKUP($A124,test!$A$3:$F$32,2,FALSE),VLOOKUP(AD$1,test!$A$3:$F$32,2,FALSE))&lt;test!$K$16,$A124&lt;&gt;AD$1,Recharged_Feasible_mat!AE93=1),(VLOOKUP(AD$1,test!$A$3:$I$32,8,FALSE))-(VLOOKUP($A124,test!$A$3:$I$32,9,FALSE))+test!$B$35,0)</f>
        <v>0</v>
      </c>
      <c r="AE124">
        <f>IF(AND(SUM(VLOOKUP($A124,test!$A$3:$F$32,2,FALSE),VLOOKUP(AE$1,test!$A$3:$F$32,2,FALSE))&lt;test!$K$16,$A124&lt;&gt;AE$1,Recharged_Feasible_mat!AF93=1),(VLOOKUP(AE$1,test!$A$3:$I$32,8,FALSE))-(VLOOKUP($A124,test!$A$3:$I$32,9,FALSE))+test!$B$35,0)</f>
        <v>0</v>
      </c>
      <c r="AF124">
        <f>IF(AND(SUM(VLOOKUP($A124,test!$A$3:$F$32,2,FALSE),VLOOKUP(AF$1,test!$A$3:$F$32,2,FALSE))&lt;test!$K$16,$A124&lt;&gt;AF$1,Recharged_Feasible_mat!AG93=1),(VLOOKUP(AF$1,test!$A$3:$I$32,8,FALSE))-(VLOOKUP($A124,test!$A$3:$I$32,9,FALSE))+test!$B$35,0)</f>
        <v>0</v>
      </c>
    </row>
    <row r="125" spans="1:32" x14ac:dyDescent="0.25">
      <c r="A125" t="s">
        <v>41</v>
      </c>
      <c r="B125">
        <v>0</v>
      </c>
      <c r="C125">
        <f>IF(AND(SUM(VLOOKUP($A125,test!$A$3:$F$32,2,FALSE),VLOOKUP(C$1,test!$A$3:$F$32,2,FALSE))&lt;test!$K$16,$A125&lt;&gt;C$1,Recharged_Feasible_mat!D94=1),(VLOOKUP(C$1,test!$A$3:$I$32,8,FALSE))-(VLOOKUP($A125,test!$A$3:$I$32,9,FALSE))+test!$B$35,0)</f>
        <v>0</v>
      </c>
      <c r="D125">
        <f>IF(AND(SUM(VLOOKUP($A125,test!$A$3:$F$32,2,FALSE),VLOOKUP(D$1,test!$A$3:$F$32,2,FALSE))&lt;test!$K$16,$A125&lt;&gt;D$1,Recharged_Feasible_mat!E94=1),(VLOOKUP(D$1,test!$A$3:$I$32,8,FALSE))-(VLOOKUP($A125,test!$A$3:$I$32,9,FALSE))+test!$B$35,0)</f>
        <v>0</v>
      </c>
      <c r="E125">
        <f>IF(AND(SUM(VLOOKUP($A125,test!$A$3:$F$32,2,FALSE),VLOOKUP(E$1,test!$A$3:$F$32,2,FALSE))&lt;test!$K$16,$A125&lt;&gt;E$1,Recharged_Feasible_mat!F94=1),(VLOOKUP(E$1,test!$A$3:$I$32,8,FALSE))-(VLOOKUP($A125,test!$A$3:$I$32,9,FALSE))+test!$B$35,0)</f>
        <v>0</v>
      </c>
      <c r="F125">
        <f>IF(AND(SUM(VLOOKUP($A125,test!$A$3:$F$32,2,FALSE),VLOOKUP(F$1,test!$A$3:$F$32,2,FALSE))&lt;test!$K$16,$A125&lt;&gt;F$1,Recharged_Feasible_mat!G94=1),(VLOOKUP(F$1,test!$A$3:$I$32,8,FALSE))-(VLOOKUP($A125,test!$A$3:$I$32,9,FALSE))+test!$B$35,0)</f>
        <v>0</v>
      </c>
      <c r="G125">
        <f>IF(AND(SUM(VLOOKUP($A125,test!$A$3:$F$32,2,FALSE),VLOOKUP(G$1,test!$A$3:$F$32,2,FALSE))&lt;test!$K$16,$A125&lt;&gt;G$1,Recharged_Feasible_mat!H94=1),(VLOOKUP(G$1,test!$A$3:$I$32,8,FALSE))-(VLOOKUP($A125,test!$A$3:$I$32,9,FALSE))+test!$B$35,0)</f>
        <v>0</v>
      </c>
      <c r="H125">
        <f>IF(AND(SUM(VLOOKUP($A125,test!$A$3:$F$32,2,FALSE),VLOOKUP(H$1,test!$A$3:$F$32,2,FALSE))&lt;test!$K$16,$A125&lt;&gt;H$1,Recharged_Feasible_mat!I94=1),(VLOOKUP(H$1,test!$A$3:$I$32,8,FALSE))-(VLOOKUP($A125,test!$A$3:$I$32,9,FALSE))+test!$B$35,0)</f>
        <v>0</v>
      </c>
      <c r="I125">
        <f>IF(AND(SUM(VLOOKUP($A125,test!$A$3:$F$32,2,FALSE),VLOOKUP(I$1,test!$A$3:$F$32,2,FALSE))&lt;test!$K$16,$A125&lt;&gt;I$1,Recharged_Feasible_mat!J94=1),(VLOOKUP(I$1,test!$A$3:$I$32,8,FALSE))-(VLOOKUP($A125,test!$A$3:$I$32,9,FALSE))+test!$B$35,0)</f>
        <v>0</v>
      </c>
      <c r="J125">
        <f>IF(AND(SUM(VLOOKUP($A125,test!$A$3:$F$32,2,FALSE),VLOOKUP(J$1,test!$A$3:$F$32,2,FALSE))&lt;test!$K$16,$A125&lt;&gt;J$1,Recharged_Feasible_mat!K94=1),(VLOOKUP(J$1,test!$A$3:$I$32,8,FALSE))-(VLOOKUP($A125,test!$A$3:$I$32,9,FALSE))+test!$B$35,0)</f>
        <v>0</v>
      </c>
      <c r="K125">
        <f>IF(AND(SUM(VLOOKUP($A125,test!$A$3:$F$32,2,FALSE),VLOOKUP(K$1,test!$A$3:$F$32,2,FALSE))&lt;test!$K$16,$A125&lt;&gt;K$1,Recharged_Feasible_mat!L94=1),(VLOOKUP(K$1,test!$A$3:$I$32,8,FALSE))-(VLOOKUP($A125,test!$A$3:$I$32,9,FALSE))+test!$B$35,0)</f>
        <v>0</v>
      </c>
      <c r="L125">
        <f>IF(AND(SUM(VLOOKUP($A125,test!$A$3:$F$32,2,FALSE),VLOOKUP(L$1,test!$A$3:$F$32,2,FALSE))&lt;test!$K$16,$A125&lt;&gt;L$1,Recharged_Feasible_mat!M94=1),(VLOOKUP(L$1,test!$A$3:$I$32,8,FALSE))-(VLOOKUP($A125,test!$A$3:$I$32,9,FALSE))+test!$B$35,0)</f>
        <v>0</v>
      </c>
      <c r="M125">
        <f>IF(AND(SUM(VLOOKUP($A125,test!$A$3:$F$32,2,FALSE),VLOOKUP(M$1,test!$A$3:$F$32,2,FALSE))&lt;test!$K$16,$A125&lt;&gt;M$1,Recharged_Feasible_mat!N94=1),(VLOOKUP(M$1,test!$A$3:$I$32,8,FALSE))-(VLOOKUP($A125,test!$A$3:$I$32,9,FALSE))+test!$B$35,0)</f>
        <v>0</v>
      </c>
      <c r="N125">
        <f>IF(AND(SUM(VLOOKUP($A125,test!$A$3:$F$32,2,FALSE),VLOOKUP(N$1,test!$A$3:$F$32,2,FALSE))&lt;test!$K$16,$A125&lt;&gt;N$1,Recharged_Feasible_mat!O94=1),(VLOOKUP(N$1,test!$A$3:$I$32,8,FALSE))-(VLOOKUP($A125,test!$A$3:$I$32,9,FALSE))+test!$B$35,0)</f>
        <v>0</v>
      </c>
      <c r="O125">
        <f>IF(AND(SUM(VLOOKUP($A125,test!$A$3:$F$32,2,FALSE),VLOOKUP(O$1,test!$A$3:$F$32,2,FALSE))&lt;test!$K$16,$A125&lt;&gt;O$1,Recharged_Feasible_mat!P94=1),(VLOOKUP(O$1,test!$A$3:$I$32,8,FALSE))-(VLOOKUP($A125,test!$A$3:$I$32,9,FALSE))+test!$B$35,0)</f>
        <v>0</v>
      </c>
      <c r="P125">
        <f>IF(AND(SUM(VLOOKUP($A125,test!$A$3:$F$32,2,FALSE),VLOOKUP(P$1,test!$A$3:$F$32,2,FALSE))&lt;test!$K$16,$A125&lt;&gt;P$1,Recharged_Feasible_mat!Q94=1),(VLOOKUP(P$1,test!$A$3:$I$32,8,FALSE))-(VLOOKUP($A125,test!$A$3:$I$32,9,FALSE))+test!$B$35,0)</f>
        <v>0</v>
      </c>
      <c r="Q125">
        <f>IF(AND(SUM(VLOOKUP($A125,test!$A$3:$F$32,2,FALSE),VLOOKUP(Q$1,test!$A$3:$F$32,2,FALSE))&lt;test!$K$16,$A125&lt;&gt;Q$1,Recharged_Feasible_mat!R94=1),(VLOOKUP(Q$1,test!$A$3:$I$32,8,FALSE))-(VLOOKUP($A125,test!$A$3:$I$32,9,FALSE))+test!$B$35,0)</f>
        <v>0</v>
      </c>
      <c r="R125">
        <f>IF(AND(SUM(VLOOKUP($A125,test!$A$3:$F$32,2,FALSE),VLOOKUP(R$1,test!$A$3:$F$32,2,FALSE))&lt;test!$K$16,$A125&lt;&gt;R$1,Recharged_Feasible_mat!S94=1),(VLOOKUP(R$1,test!$A$3:$I$32,8,FALSE))-(VLOOKUP($A125,test!$A$3:$I$32,9,FALSE))+test!$B$35,0)</f>
        <v>0</v>
      </c>
      <c r="S125">
        <f>IF(AND(SUM(VLOOKUP($A125,test!$A$3:$F$32,2,FALSE),VLOOKUP(S$1,test!$A$3:$F$32,2,FALSE))&lt;test!$K$16,$A125&lt;&gt;S$1,Recharged_Feasible_mat!T94=1),(VLOOKUP(S$1,test!$A$3:$I$32,8,FALSE))-(VLOOKUP($A125,test!$A$3:$I$32,9,FALSE))+test!$B$35,0)</f>
        <v>0</v>
      </c>
      <c r="T125">
        <f>IF(AND(SUM(VLOOKUP($A125,test!$A$3:$F$32,2,FALSE),VLOOKUP(T$1,test!$A$3:$F$32,2,FALSE))&lt;test!$K$16,$A125&lt;&gt;T$1,Recharged_Feasible_mat!U94=1),(VLOOKUP(T$1,test!$A$3:$I$32,8,FALSE))-(VLOOKUP($A125,test!$A$3:$I$32,9,FALSE))+test!$B$35,0)</f>
        <v>0</v>
      </c>
      <c r="U125">
        <f>IF(AND(SUM(VLOOKUP($A125,test!$A$3:$F$32,2,FALSE),VLOOKUP(U$1,test!$A$3:$F$32,2,FALSE))&lt;test!$K$16,$A125&lt;&gt;U$1,Recharged_Feasible_mat!V94=1),(VLOOKUP(U$1,test!$A$3:$I$32,8,FALSE))-(VLOOKUP($A125,test!$A$3:$I$32,9,FALSE))+test!$B$35,0)</f>
        <v>0</v>
      </c>
      <c r="V125">
        <f>IF(AND(SUM(VLOOKUP($A125,test!$A$3:$F$32,2,FALSE),VLOOKUP(V$1,test!$A$3:$F$32,2,FALSE))&lt;test!$K$16,$A125&lt;&gt;V$1,Recharged_Feasible_mat!W94=1),(VLOOKUP(V$1,test!$A$3:$I$32,8,FALSE))-(VLOOKUP($A125,test!$A$3:$I$32,9,FALSE))+test!$B$35,0)</f>
        <v>0</v>
      </c>
      <c r="W125">
        <f>IF(AND(SUM(VLOOKUP($A125,test!$A$3:$F$32,2,FALSE),VLOOKUP(W$1,test!$A$3:$F$32,2,FALSE))&lt;test!$K$16,$A125&lt;&gt;W$1,Recharged_Feasible_mat!X94=1),(VLOOKUP(W$1,test!$A$3:$I$32,8,FALSE))-(VLOOKUP($A125,test!$A$3:$I$32,9,FALSE))+test!$B$35,0)</f>
        <v>0</v>
      </c>
      <c r="X125">
        <f>IF(AND(SUM(VLOOKUP($A125,test!$A$3:$F$32,2,FALSE),VLOOKUP(X$1,test!$A$3:$F$32,2,FALSE))&lt;test!$K$16,$A125&lt;&gt;X$1,Recharged_Feasible_mat!Y94=1),(VLOOKUP(X$1,test!$A$3:$I$32,8,FALSE))-(VLOOKUP($A125,test!$A$3:$I$32,9,FALSE))+test!$B$35,0)</f>
        <v>0</v>
      </c>
      <c r="Y125">
        <f>IF(AND(SUM(VLOOKUP($A125,test!$A$3:$F$32,2,FALSE),VLOOKUP(Y$1,test!$A$3:$F$32,2,FALSE))&lt;test!$K$16,$A125&lt;&gt;Y$1,Recharged_Feasible_mat!Z94=1),(VLOOKUP(Y$1,test!$A$3:$I$32,8,FALSE))-(VLOOKUP($A125,test!$A$3:$I$32,9,FALSE))+test!$B$35,0)</f>
        <v>0</v>
      </c>
      <c r="Z125">
        <f>IF(AND(SUM(VLOOKUP($A125,test!$A$3:$F$32,2,FALSE),VLOOKUP(Z$1,test!$A$3:$F$32,2,FALSE))&lt;test!$K$16,$A125&lt;&gt;Z$1,Recharged_Feasible_mat!AA94=1),(VLOOKUP(Z$1,test!$A$3:$I$32,8,FALSE))-(VLOOKUP($A125,test!$A$3:$I$32,9,FALSE))+test!$B$35,0)</f>
        <v>0</v>
      </c>
      <c r="AA125">
        <f>IF(AND(SUM(VLOOKUP($A125,test!$A$3:$F$32,2,FALSE),VLOOKUP(AA$1,test!$A$3:$F$32,2,FALSE))&lt;test!$K$16,$A125&lt;&gt;AA$1,Recharged_Feasible_mat!AB94=1),(VLOOKUP(AA$1,test!$A$3:$I$32,8,FALSE))-(VLOOKUP($A125,test!$A$3:$I$32,9,FALSE))+test!$B$35,0)</f>
        <v>0</v>
      </c>
      <c r="AB125">
        <f>IF(AND(SUM(VLOOKUP($A125,test!$A$3:$F$32,2,FALSE),VLOOKUP(AB$1,test!$A$3:$F$32,2,FALSE))&lt;test!$K$16,$A125&lt;&gt;AB$1,Recharged_Feasible_mat!AC94=1),(VLOOKUP(AB$1,test!$A$3:$I$32,8,FALSE))-(VLOOKUP($A125,test!$A$3:$I$32,9,FALSE))+test!$B$35,0)</f>
        <v>0</v>
      </c>
      <c r="AC125">
        <f>IF(AND(SUM(VLOOKUP($A125,test!$A$3:$F$32,2,FALSE),VLOOKUP(AC$1,test!$A$3:$F$32,2,FALSE))&lt;test!$K$16,$A125&lt;&gt;AC$1,Recharged_Feasible_mat!AD94=1),(VLOOKUP(AC$1,test!$A$3:$I$32,8,FALSE))-(VLOOKUP($A125,test!$A$3:$I$32,9,FALSE))+test!$B$35,0)</f>
        <v>0</v>
      </c>
      <c r="AD125">
        <f>IF(AND(SUM(VLOOKUP($A125,test!$A$3:$F$32,2,FALSE),VLOOKUP(AD$1,test!$A$3:$F$32,2,FALSE))&lt;test!$K$16,$A125&lt;&gt;AD$1,Recharged_Feasible_mat!AE94=1),(VLOOKUP(AD$1,test!$A$3:$I$32,8,FALSE))-(VLOOKUP($A125,test!$A$3:$I$32,9,FALSE))+test!$B$35,0)</f>
        <v>0</v>
      </c>
      <c r="AE125">
        <f>IF(AND(SUM(VLOOKUP($A125,test!$A$3:$F$32,2,FALSE),VLOOKUP(AE$1,test!$A$3:$F$32,2,FALSE))&lt;test!$K$16,$A125&lt;&gt;AE$1,Recharged_Feasible_mat!AF94=1),(VLOOKUP(AE$1,test!$A$3:$I$32,8,FALSE))-(VLOOKUP($A125,test!$A$3:$I$32,9,FALSE))+test!$B$35,0)</f>
        <v>0</v>
      </c>
      <c r="AF125">
        <f>IF(AND(SUM(VLOOKUP($A125,test!$A$3:$F$32,2,FALSE),VLOOKUP(AF$1,test!$A$3:$F$32,2,FALSE))&lt;test!$K$16,$A125&lt;&gt;AF$1,Recharged_Feasible_mat!AG94=1),(VLOOKUP(AF$1,test!$A$3:$I$32,8,FALSE))-(VLOOKUP($A125,test!$A$3:$I$32,9,FALSE))+test!$B$35,0)</f>
        <v>0</v>
      </c>
    </row>
    <row r="133" spans="5:5" x14ac:dyDescent="0.25">
      <c r="E133" s="16" t="s">
        <v>71</v>
      </c>
    </row>
    <row r="134" spans="5:5" x14ac:dyDescent="0.25">
      <c r="E134" s="16">
        <f>SUM(VLOOKUP($A3,test!$A$3:$F$32,2,FALSE),VLOOKUP(D$1,test!$A$3:$F$32,2,FALSE))</f>
        <v>270</v>
      </c>
    </row>
    <row r="135" spans="5:5" x14ac:dyDescent="0.25">
      <c r="E135" s="16">
        <f>test!$K$16</f>
        <v>350</v>
      </c>
    </row>
    <row r="136" spans="5:5" x14ac:dyDescent="0.25">
      <c r="E136" s="16" t="b">
        <f>$A3&lt;&gt;D$1</f>
        <v>1</v>
      </c>
    </row>
    <row r="137" spans="5:5" x14ac:dyDescent="0.25">
      <c r="E137" s="16" t="b">
        <f>feasible_mat!D3=1</f>
        <v>1</v>
      </c>
    </row>
    <row r="138" spans="5:5" x14ac:dyDescent="0.25">
      <c r="E138" s="16">
        <f>VLOOKUP(D$1,test!$A$3:$I$32,8,FALSE)-(VLOOKUP($A3,test!$A$3:$I$32,9,FALSE))</f>
        <v>45</v>
      </c>
    </row>
    <row r="139" spans="5:5" x14ac:dyDescent="0.25">
      <c r="E139" s="16">
        <f>VLOOKUP(D$1,test!$A$3:$I$32,8,FALSE)</f>
        <v>740</v>
      </c>
    </row>
    <row r="140" spans="5:5" x14ac:dyDescent="0.25">
      <c r="E140" s="16">
        <f>(VLOOKUP($A3,test!$A$3:$I$32,9,FALSE))</f>
        <v>695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D6C2-9469-4027-91F0-93EBDA95815B}">
  <dimension ref="A1:AJ140"/>
  <sheetViews>
    <sheetView topLeftCell="A13" zoomScale="98" zoomScaleNormal="98" workbookViewId="0">
      <pane xSplit="1" topLeftCell="B1" activePane="topRight" state="frozen"/>
      <selection activeCell="A25" sqref="A25"/>
      <selection pane="topRight" activeCell="C34" sqref="C34"/>
    </sheetView>
  </sheetViews>
  <sheetFormatPr defaultRowHeight="15" x14ac:dyDescent="0.25"/>
  <cols>
    <col min="1" max="4" width="9.140625" style="16"/>
    <col min="5" max="5" width="14.42578125" style="16" bestFit="1" customWidth="1"/>
    <col min="6" max="6" width="12" style="16" bestFit="1" customWidth="1"/>
    <col min="7" max="21" width="9.140625" style="16"/>
    <col min="22" max="22" width="16.7109375" style="16" bestFit="1" customWidth="1"/>
    <col min="23" max="16384" width="9.140625" style="16"/>
  </cols>
  <sheetData>
    <row r="1" spans="1:36" x14ac:dyDescent="0.25">
      <c r="A1"/>
      <c r="B1" t="s">
        <v>46</v>
      </c>
      <c r="C1" t="s">
        <v>6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18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</row>
    <row r="2" spans="1:36" x14ac:dyDescent="0.2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 x14ac:dyDescent="0.25">
      <c r="A3" t="s">
        <v>6</v>
      </c>
      <c r="B3">
        <v>0</v>
      </c>
      <c r="C3">
        <f>IF(AND($A3&lt;&gt;C$1,feasible_mat!C3=1),(VLOOKUP(C$1,test!$A$3:$I$32,8,FALSE))-(VLOOKUP($A3,test!$A$3:$I$32,9,FALSE)),0)</f>
        <v>0</v>
      </c>
      <c r="D3">
        <f>IF(AND($A3&lt;&gt;D$1,feasible_mat!D3=1),(VLOOKUP(D$1,test!$A$3:$I$32,8,FALSE))-(VLOOKUP($A3,test!$A$3:$I$32,9,FALSE)),0)</f>
        <v>45</v>
      </c>
      <c r="E3">
        <f>IF(AND($A3&lt;&gt;E$1,feasible_mat!E3=1),(VLOOKUP(E$1,test!$A$3:$I$32,8,FALSE))-(VLOOKUP($A3,test!$A$3:$I$32,9,FALSE)),0)</f>
        <v>135</v>
      </c>
      <c r="F3">
        <f>IF(AND($A3&lt;&gt;F$1,feasible_mat!F3=1),(VLOOKUP(F$1,test!$A$3:$I$32,8,FALSE))-(VLOOKUP($A3,test!$A$3:$I$32,9,FALSE)),0)</f>
        <v>225</v>
      </c>
      <c r="G3">
        <f>IF(AND($A3&lt;&gt;G$1,feasible_mat!G3=1),(VLOOKUP(G$1,test!$A$3:$I$32,8,FALSE))-(VLOOKUP($A3,test!$A$3:$I$32,9,FALSE)),0)</f>
        <v>285</v>
      </c>
      <c r="H3">
        <f>IF(AND($A3&lt;&gt;H$1,feasible_mat!H3=1),(VLOOKUP(H$1,test!$A$3:$I$32,8,FALSE))-(VLOOKUP($A3,test!$A$3:$I$32,9,FALSE)),0)</f>
        <v>345</v>
      </c>
      <c r="I3">
        <f>IF(AND($A3&lt;&gt;I$1,feasible_mat!I3=1),(VLOOKUP(I$1,test!$A$3:$I$32,8,FALSE))-(VLOOKUP($A3,test!$A$3:$I$32,9,FALSE)),0)</f>
        <v>405</v>
      </c>
      <c r="J3">
        <f>IF(AND($A3&lt;&gt;J$1,feasible_mat!J3=1),(VLOOKUP(J$1,test!$A$3:$I$32,8,FALSE))-(VLOOKUP($A3,test!$A$3:$I$32,9,FALSE)),0)</f>
        <v>495</v>
      </c>
      <c r="K3">
        <f>IF(AND($A3&lt;&gt;K$1,feasible_mat!K3=1),(VLOOKUP(K$1,test!$A$3:$I$32,8,FALSE))-(VLOOKUP($A3,test!$A$3:$I$32,9,FALSE)),0)</f>
        <v>0</v>
      </c>
      <c r="L3">
        <f>IF(AND($A3&lt;&gt;L$1,feasible_mat!L3=1),(VLOOKUP(L$1,test!$A$3:$I$32,8,FALSE))-(VLOOKUP($A3,test!$A$3:$I$32,9,FALSE)),0)</f>
        <v>0</v>
      </c>
      <c r="M3">
        <f>IF(AND($A3&lt;&gt;M$1,feasible_mat!M3=1),(VLOOKUP(M$1,test!$A$3:$I$32,8,FALSE))-(VLOOKUP($A3,test!$A$3:$I$32,9,FALSE)),0)</f>
        <v>100</v>
      </c>
      <c r="N3">
        <f>IF(AND($A3&lt;&gt;N$1,feasible_mat!N3=1),(VLOOKUP(N$1,test!$A$3:$I$32,8,FALSE))-(VLOOKUP($A3,test!$A$3:$I$32,9,FALSE)),0)</f>
        <v>460</v>
      </c>
      <c r="O3">
        <f>IF(AND($A3&lt;&gt;O$1,feasible_mat!O3=1),(VLOOKUP(O$1,test!$A$3:$I$32,8,FALSE))-(VLOOKUP($A3,test!$A$3:$I$32,9,FALSE)),0)</f>
        <v>520</v>
      </c>
      <c r="P3">
        <f>IF(AND($A3&lt;&gt;P$1,feasible_mat!P3=1),(VLOOKUP(P$1,test!$A$3:$I$32,8,FALSE))-(VLOOKUP($A3,test!$A$3:$I$32,9,FALSE)),0)</f>
        <v>0</v>
      </c>
      <c r="Q3">
        <f>IF(AND($A3&lt;&gt;Q$1,feasible_mat!Q3=1),(VLOOKUP(Q$1,test!$A$3:$I$32,8,FALSE))-(VLOOKUP($A3,test!$A$3:$I$32,9,FALSE)),0)</f>
        <v>0</v>
      </c>
      <c r="R3">
        <f>IF(AND($A3&lt;&gt;R$1,feasible_mat!R3=1),(VLOOKUP(R$1,test!$A$3:$I$32,8,FALSE))-(VLOOKUP($A3,test!$A$3:$I$32,9,FALSE)),0)</f>
        <v>0</v>
      </c>
      <c r="S3">
        <f>IF(AND($A3&lt;&gt;S$1,feasible_mat!S3=1),(VLOOKUP(S$1,test!$A$3:$I$32,8,FALSE))-(VLOOKUP($A3,test!$A$3:$I$32,9,FALSE)),0)</f>
        <v>25</v>
      </c>
      <c r="T3">
        <f>IF(AND($A3&lt;&gt;T$1,feasible_mat!T3=1),(VLOOKUP(T$1,test!$A$3:$I$32,8,FALSE))-(VLOOKUP($A3,test!$A$3:$I$32,9,FALSE)),0)</f>
        <v>115</v>
      </c>
      <c r="U3">
        <f>IF(AND($A3&lt;&gt;U$1,feasible_mat!U3=1),(VLOOKUP(U$1,test!$A$3:$I$32,8,FALSE))-(VLOOKUP($A3,test!$A$3:$I$32,9,FALSE)),0)</f>
        <v>205</v>
      </c>
      <c r="V3">
        <f>IF(AND($A3&lt;&gt;V$1,feasible_mat!V3=1),(VLOOKUP(V$1,test!$A$3:$I$32,8,FALSE))-(VLOOKUP($A3,test!$A$3:$I$32,9,FALSE)),0)</f>
        <v>295</v>
      </c>
      <c r="W3">
        <f>IF(AND($A3&lt;&gt;W$1,feasible_mat!W3=1),(VLOOKUP(W$1,test!$A$3:$I$32,8,FALSE))-(VLOOKUP($A3,test!$A$3:$I$32,9,FALSE)),0)</f>
        <v>385</v>
      </c>
      <c r="X3">
        <f>IF(AND($A3&lt;&gt;X$1,feasible_mat!X3=1),(VLOOKUP(X$1,test!$A$3:$I$32,8,FALSE))-(VLOOKUP($A3,test!$A$3:$I$32,9,FALSE)),0)</f>
        <v>445</v>
      </c>
      <c r="Y3">
        <f>IF(AND($A3&lt;&gt;Y$1,feasible_mat!Y3=1),(VLOOKUP(Y$1,test!$A$3:$I$32,8,FALSE))-(VLOOKUP($A3,test!$A$3:$I$32,9,FALSE)),0)</f>
        <v>0</v>
      </c>
      <c r="Z3">
        <f>IF(AND($A3&lt;&gt;Z$1,feasible_mat!Z3=1),(VLOOKUP(Z$1,test!$A$3:$I$32,8,FALSE))-(VLOOKUP($A3,test!$A$3:$I$32,9,FALSE)),0)</f>
        <v>45</v>
      </c>
      <c r="AA3">
        <f>IF(AND($A3&lt;&gt;AA$1,feasible_mat!AA3=1),(VLOOKUP(AA$1,test!$A$3:$I$32,8,FALSE))-(VLOOKUP($A3,test!$A$3:$I$32,9,FALSE)),0)</f>
        <v>165</v>
      </c>
      <c r="AB3">
        <f>IF(AND($A3&lt;&gt;AB$1,feasible_mat!AB3=1),(VLOOKUP(AB$1,test!$A$3:$I$32,8,FALSE))-(VLOOKUP($A3,test!$A$3:$I$32,9,FALSE)),0)</f>
        <v>225</v>
      </c>
      <c r="AC3">
        <f>IF(AND($A3&lt;&gt;AC$1,feasible_mat!AC3=1),(VLOOKUP(AC$1,test!$A$3:$I$32,8,FALSE))-(VLOOKUP($A3,test!$A$3:$I$32,9,FALSE)),0)</f>
        <v>345</v>
      </c>
      <c r="AD3">
        <f>IF(AND($A3&lt;&gt;AD$1,feasible_mat!AD3=1),(VLOOKUP(AD$1,test!$A$3:$I$32,8,FALSE))-(VLOOKUP($A3,test!$A$3:$I$32,9,FALSE)),0)</f>
        <v>0</v>
      </c>
      <c r="AE3">
        <f>IF(AND($A3&lt;&gt;AE$1,feasible_mat!AE3=1),(VLOOKUP(AE$1,test!$A$3:$I$32,8,FALSE))-(VLOOKUP($A3,test!$A$3:$I$32,9,FALSE)),0)</f>
        <v>165</v>
      </c>
      <c r="AF3">
        <f>IF(AND($A3&lt;&gt;AF$1,feasible_mat!AF3=1),(VLOOKUP(AF$1,test!$A$3:$I$32,8,FALSE))-(VLOOKUP($A3,test!$A$3:$I$32,9,FALSE)),0)</f>
        <v>115</v>
      </c>
    </row>
    <row r="4" spans="1:36" x14ac:dyDescent="0.25">
      <c r="A4" t="s">
        <v>9</v>
      </c>
      <c r="B4">
        <v>0</v>
      </c>
      <c r="C4">
        <f>IF(AND($A4&lt;&gt;C$1,feasible_mat!C4=1),(VLOOKUP(C$1,test!$A$3:$I$32,8,FALSE))-(VLOOKUP($A4,test!$A$3:$I$32,9,FALSE)),0)</f>
        <v>0</v>
      </c>
      <c r="D4">
        <f>IF(AND($A4&lt;&gt;D$1,feasible_mat!D4=1),(VLOOKUP(D$1,test!$A$3:$I$32,8,FALSE))-(VLOOKUP($A4,test!$A$3:$I$32,9,FALSE)),0)</f>
        <v>0</v>
      </c>
      <c r="E4">
        <f>IF(AND($A4&lt;&gt;E$1,feasible_mat!E4=1),(VLOOKUP(E$1,test!$A$3:$I$32,8,FALSE))-(VLOOKUP($A4,test!$A$3:$I$32,9,FALSE)),0)</f>
        <v>0</v>
      </c>
      <c r="F4">
        <f>IF(AND($A4&lt;&gt;F$1,feasible_mat!F4=1),(VLOOKUP(F$1,test!$A$3:$I$32,8,FALSE))-(VLOOKUP($A4,test!$A$3:$I$32,9,FALSE)),0)</f>
        <v>45</v>
      </c>
      <c r="G4">
        <f>IF(AND($A4&lt;&gt;G$1,feasible_mat!G4=1),(VLOOKUP(G$1,test!$A$3:$I$32,8,FALSE))-(VLOOKUP($A4,test!$A$3:$I$32,9,FALSE)),0)</f>
        <v>105</v>
      </c>
      <c r="H4">
        <f>IF(AND($A4&lt;&gt;H$1,feasible_mat!H4=1),(VLOOKUP(H$1,test!$A$3:$I$32,8,FALSE))-(VLOOKUP($A4,test!$A$3:$I$32,9,FALSE)),0)</f>
        <v>165</v>
      </c>
      <c r="I4">
        <f>IF(AND($A4&lt;&gt;I$1,feasible_mat!I4=1),(VLOOKUP(I$1,test!$A$3:$I$32,8,FALSE))-(VLOOKUP($A4,test!$A$3:$I$32,9,FALSE)),0)</f>
        <v>225</v>
      </c>
      <c r="J4">
        <f>IF(AND($A4&lt;&gt;J$1,feasible_mat!J4=1),(VLOOKUP(J$1,test!$A$3:$I$32,8,FALSE))-(VLOOKUP($A4,test!$A$3:$I$32,9,FALSE)),0)</f>
        <v>315</v>
      </c>
      <c r="K4">
        <f>IF(AND($A4&lt;&gt;K$1,feasible_mat!K4=1),(VLOOKUP(K$1,test!$A$3:$I$32,8,FALSE))-(VLOOKUP($A4,test!$A$3:$I$32,9,FALSE)),0)</f>
        <v>0</v>
      </c>
      <c r="L4">
        <f>IF(AND($A4&lt;&gt;L$1,feasible_mat!L4=1),(VLOOKUP(L$1,test!$A$3:$I$32,8,FALSE))-(VLOOKUP($A4,test!$A$3:$I$32,9,FALSE)),0)</f>
        <v>0</v>
      </c>
      <c r="M4">
        <f>IF(AND($A4&lt;&gt;M$1,feasible_mat!M4=1),(VLOOKUP(M$1,test!$A$3:$I$32,8,FALSE))-(VLOOKUP($A4,test!$A$3:$I$32,9,FALSE)),0)</f>
        <v>0</v>
      </c>
      <c r="N4">
        <f>IF(AND($A4&lt;&gt;N$1,feasible_mat!N4=1),(VLOOKUP(N$1,test!$A$3:$I$32,8,FALSE))-(VLOOKUP($A4,test!$A$3:$I$32,9,FALSE)),0)</f>
        <v>280</v>
      </c>
      <c r="O4">
        <f>IF(AND($A4&lt;&gt;O$1,feasible_mat!O4=1),(VLOOKUP(O$1,test!$A$3:$I$32,8,FALSE))-(VLOOKUP($A4,test!$A$3:$I$32,9,FALSE)),0)</f>
        <v>340</v>
      </c>
      <c r="P4">
        <f>IF(AND($A4&lt;&gt;P$1,feasible_mat!P4=1),(VLOOKUP(P$1,test!$A$3:$I$32,8,FALSE))-(VLOOKUP($A4,test!$A$3:$I$32,9,FALSE)),0)</f>
        <v>0</v>
      </c>
      <c r="Q4">
        <f>IF(AND($A4&lt;&gt;Q$1,feasible_mat!Q4=1),(VLOOKUP(Q$1,test!$A$3:$I$32,8,FALSE))-(VLOOKUP($A4,test!$A$3:$I$32,9,FALSE)),0)</f>
        <v>0</v>
      </c>
      <c r="R4">
        <f>IF(AND($A4&lt;&gt;R$1,feasible_mat!R4=1),(VLOOKUP(R$1,test!$A$3:$I$32,8,FALSE))-(VLOOKUP($A4,test!$A$3:$I$32,9,FALSE)),0)</f>
        <v>0</v>
      </c>
      <c r="S4">
        <f>IF(AND($A4&lt;&gt;S$1,feasible_mat!S4=1),(VLOOKUP(S$1,test!$A$3:$I$32,8,FALSE))-(VLOOKUP($A4,test!$A$3:$I$32,9,FALSE)),0)</f>
        <v>0</v>
      </c>
      <c r="T4">
        <f>IF(AND($A4&lt;&gt;T$1,feasible_mat!T4=1),(VLOOKUP(T$1,test!$A$3:$I$32,8,FALSE))-(VLOOKUP($A4,test!$A$3:$I$32,9,FALSE)),0)</f>
        <v>0</v>
      </c>
      <c r="U4">
        <f>IF(AND($A4&lt;&gt;U$1,feasible_mat!U4=1),(VLOOKUP(U$1,test!$A$3:$I$32,8,FALSE))-(VLOOKUP($A4,test!$A$3:$I$32,9,FALSE)),0)</f>
        <v>25</v>
      </c>
      <c r="V4">
        <f>IF(AND($A4&lt;&gt;V$1,feasible_mat!V4=1),(VLOOKUP(V$1,test!$A$3:$I$32,8,FALSE))-(VLOOKUP($A4,test!$A$3:$I$32,9,FALSE)),0)</f>
        <v>115</v>
      </c>
      <c r="W4">
        <f>IF(AND($A4&lt;&gt;W$1,feasible_mat!W4=1),(VLOOKUP(W$1,test!$A$3:$I$32,8,FALSE))-(VLOOKUP($A4,test!$A$3:$I$32,9,FALSE)),0)</f>
        <v>205</v>
      </c>
      <c r="X4">
        <f>IF(AND($A4&lt;&gt;X$1,feasible_mat!X4=1),(VLOOKUP(X$1,test!$A$3:$I$32,8,FALSE))-(VLOOKUP($A4,test!$A$3:$I$32,9,FALSE)),0)</f>
        <v>265</v>
      </c>
      <c r="Y4">
        <f>IF(AND($A4&lt;&gt;Y$1,feasible_mat!Y4=1),(VLOOKUP(Y$1,test!$A$3:$I$32,8,FALSE))-(VLOOKUP($A4,test!$A$3:$I$32,9,FALSE)),0)</f>
        <v>0</v>
      </c>
      <c r="Z4">
        <f>IF(AND($A4&lt;&gt;Z$1,feasible_mat!Z4=1),(VLOOKUP(Z$1,test!$A$3:$I$32,8,FALSE))-(VLOOKUP($A4,test!$A$3:$I$32,9,FALSE)),0)</f>
        <v>0</v>
      </c>
      <c r="AA4">
        <f>IF(AND($A4&lt;&gt;AA$1,feasible_mat!AA4=1),(VLOOKUP(AA$1,test!$A$3:$I$32,8,FALSE))-(VLOOKUP($A4,test!$A$3:$I$32,9,FALSE)),0)</f>
        <v>0</v>
      </c>
      <c r="AB4">
        <f>IF(AND($A4&lt;&gt;AB$1,feasible_mat!AB4=1),(VLOOKUP(AB$1,test!$A$3:$I$32,8,FALSE))-(VLOOKUP($A4,test!$A$3:$I$32,9,FALSE)),0)</f>
        <v>45</v>
      </c>
      <c r="AC4">
        <f>IF(AND($A4&lt;&gt;AC$1,feasible_mat!AC4=1),(VLOOKUP(AC$1,test!$A$3:$I$32,8,FALSE))-(VLOOKUP($A4,test!$A$3:$I$32,9,FALSE)),0)</f>
        <v>165</v>
      </c>
      <c r="AD4">
        <f>IF(AND($A4&lt;&gt;AD$1,feasible_mat!AD4=1),(VLOOKUP(AD$1,test!$A$3:$I$32,8,FALSE))-(VLOOKUP($A4,test!$A$3:$I$32,9,FALSE)),0)</f>
        <v>0</v>
      </c>
      <c r="AE4">
        <f>IF(AND($A4&lt;&gt;AE$1,feasible_mat!AE4=1),(VLOOKUP(AE$1,test!$A$3:$I$32,8,FALSE))-(VLOOKUP($A4,test!$A$3:$I$32,9,FALSE)),0)</f>
        <v>0</v>
      </c>
      <c r="AF4">
        <f>IF(AND($A4&lt;&gt;AF$1,feasible_mat!AF4=1),(VLOOKUP(AF$1,test!$A$3:$I$32,8,FALSE))-(VLOOKUP($A4,test!$A$3:$I$32,9,FALSE)),0)</f>
        <v>0</v>
      </c>
      <c r="AJ4" s="16" t="s">
        <v>84</v>
      </c>
    </row>
    <row r="5" spans="1:36" x14ac:dyDescent="0.25">
      <c r="A5" t="s">
        <v>10</v>
      </c>
      <c r="B5">
        <v>0</v>
      </c>
      <c r="C5">
        <f>IF(AND($A5&lt;&gt;C$1,feasible_mat!C5=1),(VLOOKUP(C$1,test!$A$3:$I$32,8,FALSE))-(VLOOKUP($A5,test!$A$3:$I$32,9,FALSE)),0)</f>
        <v>0</v>
      </c>
      <c r="D5">
        <f>IF(AND($A5&lt;&gt;D$1,feasible_mat!D5=1),(VLOOKUP(D$1,test!$A$3:$I$32,8,FALSE))-(VLOOKUP($A5,test!$A$3:$I$32,9,FALSE)),0)</f>
        <v>0</v>
      </c>
      <c r="E5">
        <f>IF(AND($A5&lt;&gt;E$1,feasible_mat!E5=1),(VLOOKUP(E$1,test!$A$3:$I$32,8,FALSE))-(VLOOKUP($A5,test!$A$3:$I$32,9,FALSE)),0)</f>
        <v>0</v>
      </c>
      <c r="F5">
        <f>IF(AND($A5&lt;&gt;F$1,feasible_mat!F5=1),(VLOOKUP(F$1,test!$A$3:$I$32,8,FALSE))-(VLOOKUP($A5,test!$A$3:$I$32,9,FALSE)),0)</f>
        <v>0</v>
      </c>
      <c r="G5">
        <f>IF(AND($A5&lt;&gt;G$1,feasible_mat!G5=1),(VLOOKUP(G$1,test!$A$3:$I$32,8,FALSE))-(VLOOKUP($A5,test!$A$3:$I$32,9,FALSE)),0)</f>
        <v>15</v>
      </c>
      <c r="H5">
        <f>IF(AND($A5&lt;&gt;H$1,feasible_mat!H5=1),(VLOOKUP(H$1,test!$A$3:$I$32,8,FALSE))-(VLOOKUP($A5,test!$A$3:$I$32,9,FALSE)),0)</f>
        <v>75</v>
      </c>
      <c r="I5">
        <f>IF(AND($A5&lt;&gt;I$1,feasible_mat!I5=1),(VLOOKUP(I$1,test!$A$3:$I$32,8,FALSE))-(VLOOKUP($A5,test!$A$3:$I$32,9,FALSE)),0)</f>
        <v>135</v>
      </c>
      <c r="J5">
        <f>IF(AND($A5&lt;&gt;J$1,feasible_mat!J5=1),(VLOOKUP(J$1,test!$A$3:$I$32,8,FALSE))-(VLOOKUP($A5,test!$A$3:$I$32,9,FALSE)),0)</f>
        <v>225</v>
      </c>
      <c r="K5">
        <f>IF(AND($A5&lt;&gt;K$1,feasible_mat!K5=1),(VLOOKUP(K$1,test!$A$3:$I$32,8,FALSE))-(VLOOKUP($A5,test!$A$3:$I$32,9,FALSE)),0)</f>
        <v>0</v>
      </c>
      <c r="L5">
        <f>IF(AND($A5&lt;&gt;L$1,feasible_mat!L5=1),(VLOOKUP(L$1,test!$A$3:$I$32,8,FALSE))-(VLOOKUP($A5,test!$A$3:$I$32,9,FALSE)),0)</f>
        <v>0</v>
      </c>
      <c r="M5">
        <f>IF(AND($A5&lt;&gt;M$1,feasible_mat!M5=1),(VLOOKUP(M$1,test!$A$3:$I$32,8,FALSE))-(VLOOKUP($A5,test!$A$3:$I$32,9,FALSE)),0)</f>
        <v>0</v>
      </c>
      <c r="N5">
        <f>IF(AND($A5&lt;&gt;N$1,feasible_mat!N5=1),(VLOOKUP(N$1,test!$A$3:$I$32,8,FALSE))-(VLOOKUP($A5,test!$A$3:$I$32,9,FALSE)),0)</f>
        <v>190</v>
      </c>
      <c r="O5">
        <f>IF(AND($A5&lt;&gt;O$1,feasible_mat!O5=1),(VLOOKUP(O$1,test!$A$3:$I$32,8,FALSE))-(VLOOKUP($A5,test!$A$3:$I$32,9,FALSE)),0)</f>
        <v>250</v>
      </c>
      <c r="P5">
        <f>IF(AND($A5&lt;&gt;P$1,feasible_mat!P5=1),(VLOOKUP(P$1,test!$A$3:$I$32,8,FALSE))-(VLOOKUP($A5,test!$A$3:$I$32,9,FALSE)),0)</f>
        <v>0</v>
      </c>
      <c r="Q5">
        <f>IF(AND($A5&lt;&gt;Q$1,feasible_mat!Q5=1),(VLOOKUP(Q$1,test!$A$3:$I$32,8,FALSE))-(VLOOKUP($A5,test!$A$3:$I$32,9,FALSE)),0)</f>
        <v>0</v>
      </c>
      <c r="R5">
        <f>IF(AND($A5&lt;&gt;R$1,feasible_mat!R5=1),(VLOOKUP(R$1,test!$A$3:$I$32,8,FALSE))-(VLOOKUP($A5,test!$A$3:$I$32,9,FALSE)),0)</f>
        <v>0</v>
      </c>
      <c r="S5">
        <f>IF(AND($A5&lt;&gt;S$1,feasible_mat!S5=1),(VLOOKUP(S$1,test!$A$3:$I$32,8,FALSE))-(VLOOKUP($A5,test!$A$3:$I$32,9,FALSE)),0)</f>
        <v>0</v>
      </c>
      <c r="T5">
        <f>IF(AND($A5&lt;&gt;T$1,feasible_mat!T5=1),(VLOOKUP(T$1,test!$A$3:$I$32,8,FALSE))-(VLOOKUP($A5,test!$A$3:$I$32,9,FALSE)),0)</f>
        <v>0</v>
      </c>
      <c r="U5">
        <f>IF(AND($A5&lt;&gt;U$1,feasible_mat!U5=1),(VLOOKUP(U$1,test!$A$3:$I$32,8,FALSE))-(VLOOKUP($A5,test!$A$3:$I$32,9,FALSE)),0)</f>
        <v>0</v>
      </c>
      <c r="V5">
        <f>IF(AND($A5&lt;&gt;V$1,feasible_mat!V5=1),(VLOOKUP(V$1,test!$A$3:$I$32,8,FALSE))-(VLOOKUP($A5,test!$A$3:$I$32,9,FALSE)),0)</f>
        <v>25</v>
      </c>
      <c r="W5">
        <f>IF(AND($A5&lt;&gt;W$1,feasible_mat!W5=1),(VLOOKUP(W$1,test!$A$3:$I$32,8,FALSE))-(VLOOKUP($A5,test!$A$3:$I$32,9,FALSE)),0)</f>
        <v>115</v>
      </c>
      <c r="X5">
        <f>IF(AND($A5&lt;&gt;X$1,feasible_mat!X5=1),(VLOOKUP(X$1,test!$A$3:$I$32,8,FALSE))-(VLOOKUP($A5,test!$A$3:$I$32,9,FALSE)),0)</f>
        <v>175</v>
      </c>
      <c r="Y5">
        <f>IF(AND($A5&lt;&gt;Y$1,feasible_mat!Y5=1),(VLOOKUP(Y$1,test!$A$3:$I$32,8,FALSE))-(VLOOKUP($A5,test!$A$3:$I$32,9,FALSE)),0)</f>
        <v>0</v>
      </c>
      <c r="Z5">
        <f>IF(AND($A5&lt;&gt;Z$1,feasible_mat!Z5=1),(VLOOKUP(Z$1,test!$A$3:$I$32,8,FALSE))-(VLOOKUP($A5,test!$A$3:$I$32,9,FALSE)),0)</f>
        <v>0</v>
      </c>
      <c r="AA5">
        <f>IF(AND($A5&lt;&gt;AA$1,feasible_mat!AA5=1),(VLOOKUP(AA$1,test!$A$3:$I$32,8,FALSE))-(VLOOKUP($A5,test!$A$3:$I$32,9,FALSE)),0)</f>
        <v>0</v>
      </c>
      <c r="AB5">
        <f>IF(AND($A5&lt;&gt;AB$1,feasible_mat!AB5=1),(VLOOKUP(AB$1,test!$A$3:$I$32,8,FALSE))-(VLOOKUP($A5,test!$A$3:$I$32,9,FALSE)),0)</f>
        <v>0</v>
      </c>
      <c r="AC5">
        <f>IF(AND($A5&lt;&gt;AC$1,feasible_mat!AC5=1),(VLOOKUP(AC$1,test!$A$3:$I$32,8,FALSE))-(VLOOKUP($A5,test!$A$3:$I$32,9,FALSE)),0)</f>
        <v>75</v>
      </c>
      <c r="AD5">
        <f>IF(AND($A5&lt;&gt;AD$1,feasible_mat!AD5=1),(VLOOKUP(AD$1,test!$A$3:$I$32,8,FALSE))-(VLOOKUP($A5,test!$A$3:$I$32,9,FALSE)),0)</f>
        <v>0</v>
      </c>
      <c r="AE5">
        <f>IF(AND($A5&lt;&gt;AE$1,feasible_mat!AE5=1),(VLOOKUP(AE$1,test!$A$3:$I$32,8,FALSE))-(VLOOKUP($A5,test!$A$3:$I$32,9,FALSE)),0)</f>
        <v>0</v>
      </c>
      <c r="AF5">
        <f>IF(AND($A5&lt;&gt;AF$1,feasible_mat!AF5=1),(VLOOKUP(AF$1,test!$A$3:$I$32,8,FALSE))-(VLOOKUP($A5,test!$A$3:$I$32,9,FALSE)),0)</f>
        <v>0</v>
      </c>
    </row>
    <row r="6" spans="1:36" x14ac:dyDescent="0.25">
      <c r="A6" t="s">
        <v>11</v>
      </c>
      <c r="B6">
        <v>0</v>
      </c>
      <c r="C6">
        <f>IF(AND($A6&lt;&gt;C$1,feasible_mat!C6=1),(VLOOKUP(C$1,test!$A$3:$I$32,8,FALSE))-(VLOOKUP($A6,test!$A$3:$I$32,9,FALSE)),0)</f>
        <v>0</v>
      </c>
      <c r="D6">
        <f>IF(AND($A6&lt;&gt;D$1,feasible_mat!D6=1),(VLOOKUP(D$1,test!$A$3:$I$32,8,FALSE))-(VLOOKUP($A6,test!$A$3:$I$32,9,FALSE)),0)</f>
        <v>0</v>
      </c>
      <c r="E6">
        <f>IF(AND($A6&lt;&gt;E$1,feasible_mat!E6=1),(VLOOKUP(E$1,test!$A$3:$I$32,8,FALSE))-(VLOOKUP($A6,test!$A$3:$I$32,9,FALSE)),0)</f>
        <v>0</v>
      </c>
      <c r="F6">
        <f>IF(AND($A6&lt;&gt;F$1,feasible_mat!F6=1),(VLOOKUP(F$1,test!$A$3:$I$32,8,FALSE))-(VLOOKUP($A6,test!$A$3:$I$32,9,FALSE)),0)</f>
        <v>0</v>
      </c>
      <c r="G6">
        <f>IF(AND($A6&lt;&gt;G$1,feasible_mat!G6=1),(VLOOKUP(G$1,test!$A$3:$I$32,8,FALSE))-(VLOOKUP($A6,test!$A$3:$I$32,9,FALSE)),0)</f>
        <v>0</v>
      </c>
      <c r="H6">
        <f>IF(AND($A6&lt;&gt;H$1,feasible_mat!H6=1),(VLOOKUP(H$1,test!$A$3:$I$32,8,FALSE))-(VLOOKUP($A6,test!$A$3:$I$32,9,FALSE)),0)</f>
        <v>0</v>
      </c>
      <c r="I6">
        <f>IF(AND($A6&lt;&gt;I$1,feasible_mat!I6=1),(VLOOKUP(I$1,test!$A$3:$I$32,8,FALSE))-(VLOOKUP($A6,test!$A$3:$I$32,9,FALSE)),0)</f>
        <v>45</v>
      </c>
      <c r="J6">
        <f>IF(AND($A6&lt;&gt;J$1,feasible_mat!J6=1),(VLOOKUP(J$1,test!$A$3:$I$32,8,FALSE))-(VLOOKUP($A6,test!$A$3:$I$32,9,FALSE)),0)</f>
        <v>135</v>
      </c>
      <c r="K6">
        <f>IF(AND($A6&lt;&gt;K$1,feasible_mat!K6=1),(VLOOKUP(K$1,test!$A$3:$I$32,8,FALSE))-(VLOOKUP($A6,test!$A$3:$I$32,9,FALSE)),0)</f>
        <v>0</v>
      </c>
      <c r="L6">
        <f>IF(AND($A6&lt;&gt;L$1,feasible_mat!L6=1),(VLOOKUP(L$1,test!$A$3:$I$32,8,FALSE))-(VLOOKUP($A6,test!$A$3:$I$32,9,FALSE)),0)</f>
        <v>0</v>
      </c>
      <c r="M6">
        <f>IF(AND($A6&lt;&gt;M$1,feasible_mat!M6=1),(VLOOKUP(M$1,test!$A$3:$I$32,8,FALSE))-(VLOOKUP($A6,test!$A$3:$I$32,9,FALSE)),0)</f>
        <v>0</v>
      </c>
      <c r="N6">
        <f>IF(AND($A6&lt;&gt;N$1,feasible_mat!N6=1),(VLOOKUP(N$1,test!$A$3:$I$32,8,FALSE))-(VLOOKUP($A6,test!$A$3:$I$32,9,FALSE)),0)</f>
        <v>100</v>
      </c>
      <c r="O6">
        <f>IF(AND($A6&lt;&gt;O$1,feasible_mat!O6=1),(VLOOKUP(O$1,test!$A$3:$I$32,8,FALSE))-(VLOOKUP($A6,test!$A$3:$I$32,9,FALSE)),0)</f>
        <v>160</v>
      </c>
      <c r="P6">
        <f>IF(AND($A6&lt;&gt;P$1,feasible_mat!P6=1),(VLOOKUP(P$1,test!$A$3:$I$32,8,FALSE))-(VLOOKUP($A6,test!$A$3:$I$32,9,FALSE)),0)</f>
        <v>0</v>
      </c>
      <c r="Q6">
        <f>IF(AND($A6&lt;&gt;Q$1,feasible_mat!Q6=1),(VLOOKUP(Q$1,test!$A$3:$I$32,8,FALSE))-(VLOOKUP($A6,test!$A$3:$I$32,9,FALSE)),0)</f>
        <v>0</v>
      </c>
      <c r="R6">
        <f>IF(AND($A6&lt;&gt;R$1,feasible_mat!R6=1),(VLOOKUP(R$1,test!$A$3:$I$32,8,FALSE))-(VLOOKUP($A6,test!$A$3:$I$32,9,FALSE)),0)</f>
        <v>0</v>
      </c>
      <c r="S6">
        <f>IF(AND($A6&lt;&gt;S$1,feasible_mat!S6=1),(VLOOKUP(S$1,test!$A$3:$I$32,8,FALSE))-(VLOOKUP($A6,test!$A$3:$I$32,9,FALSE)),0)</f>
        <v>0</v>
      </c>
      <c r="T6">
        <f>IF(AND($A6&lt;&gt;T$1,feasible_mat!T6=1),(VLOOKUP(T$1,test!$A$3:$I$32,8,FALSE))-(VLOOKUP($A6,test!$A$3:$I$32,9,FALSE)),0)</f>
        <v>0</v>
      </c>
      <c r="U6">
        <f>IF(AND($A6&lt;&gt;U$1,feasible_mat!U6=1),(VLOOKUP(U$1,test!$A$3:$I$32,8,FALSE))-(VLOOKUP($A6,test!$A$3:$I$32,9,FALSE)),0)</f>
        <v>0</v>
      </c>
      <c r="V6">
        <f>IF(AND($A6&lt;&gt;V$1,feasible_mat!V6=1),(VLOOKUP(V$1,test!$A$3:$I$32,8,FALSE))-(VLOOKUP($A6,test!$A$3:$I$32,9,FALSE)),0)</f>
        <v>0</v>
      </c>
      <c r="W6">
        <f>IF(AND($A6&lt;&gt;W$1,feasible_mat!W6=1),(VLOOKUP(W$1,test!$A$3:$I$32,8,FALSE))-(VLOOKUP($A6,test!$A$3:$I$32,9,FALSE)),0)</f>
        <v>25</v>
      </c>
      <c r="X6">
        <f>IF(AND($A6&lt;&gt;X$1,feasible_mat!X6=1),(VLOOKUP(X$1,test!$A$3:$I$32,8,FALSE))-(VLOOKUP($A6,test!$A$3:$I$32,9,FALSE)),0)</f>
        <v>85</v>
      </c>
      <c r="Y6">
        <f>IF(AND($A6&lt;&gt;Y$1,feasible_mat!Y6=1),(VLOOKUP(Y$1,test!$A$3:$I$32,8,FALSE))-(VLOOKUP($A6,test!$A$3:$I$32,9,FALSE)),0)</f>
        <v>0</v>
      </c>
      <c r="Z6">
        <f>IF(AND($A6&lt;&gt;Z$1,feasible_mat!Z6=1),(VLOOKUP(Z$1,test!$A$3:$I$32,8,FALSE))-(VLOOKUP($A6,test!$A$3:$I$32,9,FALSE)),0)</f>
        <v>0</v>
      </c>
      <c r="AA6">
        <f>IF(AND($A6&lt;&gt;AA$1,feasible_mat!AA6=1),(VLOOKUP(AA$1,test!$A$3:$I$32,8,FALSE))-(VLOOKUP($A6,test!$A$3:$I$32,9,FALSE)),0)</f>
        <v>0</v>
      </c>
      <c r="AB6">
        <f>IF(AND($A6&lt;&gt;AB$1,feasible_mat!AB6=1),(VLOOKUP(AB$1,test!$A$3:$I$32,8,FALSE))-(VLOOKUP($A6,test!$A$3:$I$32,9,FALSE)),0)</f>
        <v>0</v>
      </c>
      <c r="AC6">
        <f>IF(AND($A6&lt;&gt;AC$1,feasible_mat!AC6=1),(VLOOKUP(AC$1,test!$A$3:$I$32,8,FALSE))-(VLOOKUP($A6,test!$A$3:$I$32,9,FALSE)),0)</f>
        <v>0</v>
      </c>
      <c r="AD6">
        <f>IF(AND($A6&lt;&gt;AD$1,feasible_mat!AD6=1),(VLOOKUP(AD$1,test!$A$3:$I$32,8,FALSE))-(VLOOKUP($A6,test!$A$3:$I$32,9,FALSE)),0)</f>
        <v>0</v>
      </c>
      <c r="AE6">
        <f>IF(AND($A6&lt;&gt;AE$1,feasible_mat!AE6=1),(VLOOKUP(AE$1,test!$A$3:$I$32,8,FALSE))-(VLOOKUP($A6,test!$A$3:$I$32,9,FALSE)),0)</f>
        <v>0</v>
      </c>
      <c r="AF6">
        <f>IF(AND($A6&lt;&gt;AF$1,feasible_mat!AF6=1),(VLOOKUP(AF$1,test!$A$3:$I$32,8,FALSE))-(VLOOKUP($A6,test!$A$3:$I$32,9,FALSE)),0)</f>
        <v>0</v>
      </c>
      <c r="AJ6" s="16" t="b">
        <f>AND(SUM(VLOOKUP($A11,test!$A$3:$F$32,2,FALSE),VLOOKUP(AE$1,test!$A$3:$F$32,2,FALSE))&lt;test!$K$16,$A11&lt;&gt;AE$1,feasible_mat!AE11=1)</f>
        <v>0</v>
      </c>
    </row>
    <row r="7" spans="1:36" x14ac:dyDescent="0.25">
      <c r="A7" t="s">
        <v>12</v>
      </c>
      <c r="B7">
        <v>0</v>
      </c>
      <c r="C7">
        <f>IF(AND($A7&lt;&gt;C$1,feasible_mat!C7=1),(VLOOKUP(C$1,test!$A$3:$I$32,8,FALSE))-(VLOOKUP($A7,test!$A$3:$I$32,9,FALSE)),0)</f>
        <v>0</v>
      </c>
      <c r="D7">
        <f>IF(AND($A7&lt;&gt;D$1,feasible_mat!D7=1),(VLOOKUP(D$1,test!$A$3:$I$32,8,FALSE))-(VLOOKUP($A7,test!$A$3:$I$32,9,FALSE)),0)</f>
        <v>0</v>
      </c>
      <c r="E7">
        <f>IF(AND($A7&lt;&gt;E$1,feasible_mat!E7=1),(VLOOKUP(E$1,test!$A$3:$I$32,8,FALSE))-(VLOOKUP($A7,test!$A$3:$I$32,9,FALSE)),0)</f>
        <v>0</v>
      </c>
      <c r="F7">
        <f>IF(AND($A7&lt;&gt;F$1,feasible_mat!F7=1),(VLOOKUP(F$1,test!$A$3:$I$32,8,FALSE))-(VLOOKUP($A7,test!$A$3:$I$32,9,FALSE)),0)</f>
        <v>0</v>
      </c>
      <c r="G7">
        <f>IF(AND($A7&lt;&gt;G$1,feasible_mat!G7=1),(VLOOKUP(G$1,test!$A$3:$I$32,8,FALSE))-(VLOOKUP($A7,test!$A$3:$I$32,9,FALSE)),0)</f>
        <v>0</v>
      </c>
      <c r="H7">
        <f>IF(AND($A7&lt;&gt;H$1,feasible_mat!H7=1),(VLOOKUP(H$1,test!$A$3:$I$32,8,FALSE))-(VLOOKUP($A7,test!$A$3:$I$32,9,FALSE)),0)</f>
        <v>0</v>
      </c>
      <c r="I7">
        <f>IF(AND($A7&lt;&gt;I$1,feasible_mat!I7=1),(VLOOKUP(I$1,test!$A$3:$I$32,8,FALSE))-(VLOOKUP($A7,test!$A$3:$I$32,9,FALSE)),0)</f>
        <v>0</v>
      </c>
      <c r="J7">
        <f>IF(AND($A7&lt;&gt;J$1,feasible_mat!J7=1),(VLOOKUP(J$1,test!$A$3:$I$32,8,FALSE))-(VLOOKUP($A7,test!$A$3:$I$32,9,FALSE)),0)</f>
        <v>75</v>
      </c>
      <c r="K7">
        <f>IF(AND($A7&lt;&gt;K$1,feasible_mat!K7=1),(VLOOKUP(K$1,test!$A$3:$I$32,8,FALSE))-(VLOOKUP($A7,test!$A$3:$I$32,9,FALSE)),0)</f>
        <v>0</v>
      </c>
      <c r="L7">
        <f>IF(AND($A7&lt;&gt;L$1,feasible_mat!L7=1),(VLOOKUP(L$1,test!$A$3:$I$32,8,FALSE))-(VLOOKUP($A7,test!$A$3:$I$32,9,FALSE)),0)</f>
        <v>0</v>
      </c>
      <c r="M7">
        <f>IF(AND($A7&lt;&gt;M$1,feasible_mat!M7=1),(VLOOKUP(M$1,test!$A$3:$I$32,8,FALSE))-(VLOOKUP($A7,test!$A$3:$I$32,9,FALSE)),0)</f>
        <v>0</v>
      </c>
      <c r="N7">
        <f>IF(AND($A7&lt;&gt;N$1,feasible_mat!N7=1),(VLOOKUP(N$1,test!$A$3:$I$32,8,FALSE))-(VLOOKUP($A7,test!$A$3:$I$32,9,FALSE)),0)</f>
        <v>40</v>
      </c>
      <c r="O7">
        <f>IF(AND($A7&lt;&gt;O$1,feasible_mat!O7=1),(VLOOKUP(O$1,test!$A$3:$I$32,8,FALSE))-(VLOOKUP($A7,test!$A$3:$I$32,9,FALSE)),0)</f>
        <v>100</v>
      </c>
      <c r="P7">
        <f>IF(AND($A7&lt;&gt;P$1,feasible_mat!P7=1),(VLOOKUP(P$1,test!$A$3:$I$32,8,FALSE))-(VLOOKUP($A7,test!$A$3:$I$32,9,FALSE)),0)</f>
        <v>0</v>
      </c>
      <c r="Q7">
        <f>IF(AND($A7&lt;&gt;Q$1,feasible_mat!Q7=1),(VLOOKUP(Q$1,test!$A$3:$I$32,8,FALSE))-(VLOOKUP($A7,test!$A$3:$I$32,9,FALSE)),0)</f>
        <v>0</v>
      </c>
      <c r="R7">
        <f>IF(AND($A7&lt;&gt;R$1,feasible_mat!R7=1),(VLOOKUP(R$1,test!$A$3:$I$32,8,FALSE))-(VLOOKUP($A7,test!$A$3:$I$32,9,FALSE)),0)</f>
        <v>0</v>
      </c>
      <c r="S7">
        <f>IF(AND($A7&lt;&gt;S$1,feasible_mat!S7=1),(VLOOKUP(S$1,test!$A$3:$I$32,8,FALSE))-(VLOOKUP($A7,test!$A$3:$I$32,9,FALSE)),0)</f>
        <v>0</v>
      </c>
      <c r="T7">
        <f>IF(AND($A7&lt;&gt;T$1,feasible_mat!T7=1),(VLOOKUP(T$1,test!$A$3:$I$32,8,FALSE))-(VLOOKUP($A7,test!$A$3:$I$32,9,FALSE)),0)</f>
        <v>0</v>
      </c>
      <c r="U7">
        <f>IF(AND($A7&lt;&gt;U$1,feasible_mat!U7=1),(VLOOKUP(U$1,test!$A$3:$I$32,8,FALSE))-(VLOOKUP($A7,test!$A$3:$I$32,9,FALSE)),0)</f>
        <v>0</v>
      </c>
      <c r="V7">
        <f>IF(AND($A7&lt;&gt;V$1,feasible_mat!V7=1),(VLOOKUP(V$1,test!$A$3:$I$32,8,FALSE))-(VLOOKUP($A7,test!$A$3:$I$32,9,FALSE)),0)</f>
        <v>0</v>
      </c>
      <c r="W7">
        <f>IF(AND($A7&lt;&gt;W$1,feasible_mat!W7=1),(VLOOKUP(W$1,test!$A$3:$I$32,8,FALSE))-(VLOOKUP($A7,test!$A$3:$I$32,9,FALSE)),0)</f>
        <v>0</v>
      </c>
      <c r="X7">
        <f>IF(AND($A7&lt;&gt;X$1,feasible_mat!X7=1),(VLOOKUP(X$1,test!$A$3:$I$32,8,FALSE))-(VLOOKUP($A7,test!$A$3:$I$32,9,FALSE)),0)</f>
        <v>25</v>
      </c>
      <c r="Y7">
        <f>IF(AND($A7&lt;&gt;Y$1,feasible_mat!Y7=1),(VLOOKUP(Y$1,test!$A$3:$I$32,8,FALSE))-(VLOOKUP($A7,test!$A$3:$I$32,9,FALSE)),0)</f>
        <v>0</v>
      </c>
      <c r="Z7">
        <f>IF(AND($A7&lt;&gt;Z$1,feasible_mat!Z7=1),(VLOOKUP(Z$1,test!$A$3:$I$32,8,FALSE))-(VLOOKUP($A7,test!$A$3:$I$32,9,FALSE)),0)</f>
        <v>0</v>
      </c>
      <c r="AA7">
        <f>IF(AND($A7&lt;&gt;AA$1,feasible_mat!AA7=1),(VLOOKUP(AA$1,test!$A$3:$I$32,8,FALSE))-(VLOOKUP($A7,test!$A$3:$I$32,9,FALSE)),0)</f>
        <v>0</v>
      </c>
      <c r="AB7">
        <f>IF(AND($A7&lt;&gt;AB$1,feasible_mat!AB7=1),(VLOOKUP(AB$1,test!$A$3:$I$32,8,FALSE))-(VLOOKUP($A7,test!$A$3:$I$32,9,FALSE)),0)</f>
        <v>0</v>
      </c>
      <c r="AC7">
        <f>IF(AND($A7&lt;&gt;AC$1,feasible_mat!AC7=1),(VLOOKUP(AC$1,test!$A$3:$I$32,8,FALSE))-(VLOOKUP($A7,test!$A$3:$I$32,9,FALSE)),0)</f>
        <v>0</v>
      </c>
      <c r="AD7">
        <f>IF(AND($A7&lt;&gt;AD$1,feasible_mat!AD7=1),(VLOOKUP(AD$1,test!$A$3:$I$32,8,FALSE))-(VLOOKUP($A7,test!$A$3:$I$32,9,FALSE)),0)</f>
        <v>0</v>
      </c>
      <c r="AE7">
        <f>IF(AND($A7&lt;&gt;AE$1,feasible_mat!AE7=1),(VLOOKUP(AE$1,test!$A$3:$I$32,8,FALSE))-(VLOOKUP($A7,test!$A$3:$I$32,9,FALSE)),0)</f>
        <v>0</v>
      </c>
      <c r="AF7">
        <f>IF(AND($A7&lt;&gt;AF$1,feasible_mat!AF7=1),(VLOOKUP(AF$1,test!$A$3:$I$32,8,FALSE))-(VLOOKUP($A7,test!$A$3:$I$32,9,FALSE)),0)</f>
        <v>0</v>
      </c>
      <c r="AJ7" s="16">
        <f>VLOOKUP(AE$1,test!$A$3:$F$32,2,FALSE)</f>
        <v>210</v>
      </c>
    </row>
    <row r="8" spans="1:36" x14ac:dyDescent="0.25">
      <c r="A8" t="s">
        <v>13</v>
      </c>
      <c r="B8">
        <v>0</v>
      </c>
      <c r="C8">
        <f>IF(AND($A8&lt;&gt;C$1,feasible_mat!C8=1),(VLOOKUP(C$1,test!$A$3:$I$32,8,FALSE))-(VLOOKUP($A8,test!$A$3:$I$32,9,FALSE)),0)</f>
        <v>0</v>
      </c>
      <c r="D8">
        <f>IF(AND($A8&lt;&gt;D$1,feasible_mat!D8=1),(VLOOKUP(D$1,test!$A$3:$I$32,8,FALSE))-(VLOOKUP($A8,test!$A$3:$I$32,9,FALSE)),0)</f>
        <v>0</v>
      </c>
      <c r="E8">
        <f>IF(AND($A8&lt;&gt;E$1,feasible_mat!E8=1),(VLOOKUP(E$1,test!$A$3:$I$32,8,FALSE))-(VLOOKUP($A8,test!$A$3:$I$32,9,FALSE)),0)</f>
        <v>0</v>
      </c>
      <c r="F8">
        <f>IF(AND($A8&lt;&gt;F$1,feasible_mat!F8=1),(VLOOKUP(F$1,test!$A$3:$I$32,8,FALSE))-(VLOOKUP($A8,test!$A$3:$I$32,9,FALSE)),0)</f>
        <v>0</v>
      </c>
      <c r="G8">
        <f>IF(AND($A8&lt;&gt;G$1,feasible_mat!G8=1),(VLOOKUP(G$1,test!$A$3:$I$32,8,FALSE))-(VLOOKUP($A8,test!$A$3:$I$32,9,FALSE)),0)</f>
        <v>0</v>
      </c>
      <c r="H8">
        <f>IF(AND($A8&lt;&gt;H$1,feasible_mat!H8=1),(VLOOKUP(H$1,test!$A$3:$I$32,8,FALSE))-(VLOOKUP($A8,test!$A$3:$I$32,9,FALSE)),0)</f>
        <v>0</v>
      </c>
      <c r="I8">
        <f>IF(AND($A8&lt;&gt;I$1,feasible_mat!I8=1),(VLOOKUP(I$1,test!$A$3:$I$32,8,FALSE))-(VLOOKUP($A8,test!$A$3:$I$32,9,FALSE)),0)</f>
        <v>0</v>
      </c>
      <c r="J8">
        <f>IF(AND($A8&lt;&gt;J$1,feasible_mat!J8=1),(VLOOKUP(J$1,test!$A$3:$I$32,8,FALSE))-(VLOOKUP($A8,test!$A$3:$I$32,9,FALSE)),0)</f>
        <v>15</v>
      </c>
      <c r="K8">
        <f>IF(AND($A8&lt;&gt;K$1,feasible_mat!K8=1),(VLOOKUP(K$1,test!$A$3:$I$32,8,FALSE))-(VLOOKUP($A8,test!$A$3:$I$32,9,FALSE)),0)</f>
        <v>0</v>
      </c>
      <c r="L8">
        <f>IF(AND($A8&lt;&gt;L$1,feasible_mat!L8=1),(VLOOKUP(L$1,test!$A$3:$I$32,8,FALSE))-(VLOOKUP($A8,test!$A$3:$I$32,9,FALSE)),0)</f>
        <v>0</v>
      </c>
      <c r="M8">
        <f>IF(AND($A8&lt;&gt;M$1,feasible_mat!M8=1),(VLOOKUP(M$1,test!$A$3:$I$32,8,FALSE))-(VLOOKUP($A8,test!$A$3:$I$32,9,FALSE)),0)</f>
        <v>0</v>
      </c>
      <c r="N8">
        <f>IF(AND($A8&lt;&gt;N$1,feasible_mat!N8=1),(VLOOKUP(N$1,test!$A$3:$I$32,8,FALSE))-(VLOOKUP($A8,test!$A$3:$I$32,9,FALSE)),0)</f>
        <v>0</v>
      </c>
      <c r="O8">
        <f>IF(AND($A8&lt;&gt;O$1,feasible_mat!O8=1),(VLOOKUP(O$1,test!$A$3:$I$32,8,FALSE))-(VLOOKUP($A8,test!$A$3:$I$32,9,FALSE)),0)</f>
        <v>40</v>
      </c>
      <c r="P8">
        <f>IF(AND($A8&lt;&gt;P$1,feasible_mat!P8=1),(VLOOKUP(P$1,test!$A$3:$I$32,8,FALSE))-(VLOOKUP($A8,test!$A$3:$I$32,9,FALSE)),0)</f>
        <v>0</v>
      </c>
      <c r="Q8">
        <f>IF(AND($A8&lt;&gt;Q$1,feasible_mat!Q8=1),(VLOOKUP(Q$1,test!$A$3:$I$32,8,FALSE))-(VLOOKUP($A8,test!$A$3:$I$32,9,FALSE)),0)</f>
        <v>0</v>
      </c>
      <c r="R8">
        <f>IF(AND($A8&lt;&gt;R$1,feasible_mat!R8=1),(VLOOKUP(R$1,test!$A$3:$I$32,8,FALSE))-(VLOOKUP($A8,test!$A$3:$I$32,9,FALSE)),0)</f>
        <v>0</v>
      </c>
      <c r="S8">
        <f>IF(AND($A8&lt;&gt;S$1,feasible_mat!S8=1),(VLOOKUP(S$1,test!$A$3:$I$32,8,FALSE))-(VLOOKUP($A8,test!$A$3:$I$32,9,FALSE)),0)</f>
        <v>0</v>
      </c>
      <c r="T8">
        <f>IF(AND($A8&lt;&gt;T$1,feasible_mat!T8=1),(VLOOKUP(T$1,test!$A$3:$I$32,8,FALSE))-(VLOOKUP($A8,test!$A$3:$I$32,9,FALSE)),0)</f>
        <v>0</v>
      </c>
      <c r="U8">
        <f>IF(AND($A8&lt;&gt;U$1,feasible_mat!U8=1),(VLOOKUP(U$1,test!$A$3:$I$32,8,FALSE))-(VLOOKUP($A8,test!$A$3:$I$32,9,FALSE)),0)</f>
        <v>0</v>
      </c>
      <c r="V8">
        <f>IF(AND($A8&lt;&gt;V$1,feasible_mat!V8=1),(VLOOKUP(V$1,test!$A$3:$I$32,8,FALSE))-(VLOOKUP($A8,test!$A$3:$I$32,9,FALSE)),0)</f>
        <v>0</v>
      </c>
      <c r="W8">
        <f>IF(AND($A8&lt;&gt;W$1,feasible_mat!W8=1),(VLOOKUP(W$1,test!$A$3:$I$32,8,FALSE))-(VLOOKUP($A8,test!$A$3:$I$32,9,FALSE)),0)</f>
        <v>0</v>
      </c>
      <c r="X8">
        <f>IF(AND($A8&lt;&gt;X$1,feasible_mat!X8=1),(VLOOKUP(X$1,test!$A$3:$I$32,8,FALSE))-(VLOOKUP($A8,test!$A$3:$I$32,9,FALSE)),0)</f>
        <v>0</v>
      </c>
      <c r="Y8">
        <f>IF(AND($A8&lt;&gt;Y$1,feasible_mat!Y8=1),(VLOOKUP(Y$1,test!$A$3:$I$32,8,FALSE))-(VLOOKUP($A8,test!$A$3:$I$32,9,FALSE)),0)</f>
        <v>0</v>
      </c>
      <c r="Z8">
        <f>IF(AND($A8&lt;&gt;Z$1,feasible_mat!Z8=1),(VLOOKUP(Z$1,test!$A$3:$I$32,8,FALSE))-(VLOOKUP($A8,test!$A$3:$I$32,9,FALSE)),0)</f>
        <v>0</v>
      </c>
      <c r="AA8">
        <f>IF(AND($A8&lt;&gt;AA$1,feasible_mat!AA8=1),(VLOOKUP(AA$1,test!$A$3:$I$32,8,FALSE))-(VLOOKUP($A8,test!$A$3:$I$32,9,FALSE)),0)</f>
        <v>0</v>
      </c>
      <c r="AB8">
        <f>IF(AND($A8&lt;&gt;AB$1,feasible_mat!AB8=1),(VLOOKUP(AB$1,test!$A$3:$I$32,8,FALSE))-(VLOOKUP($A8,test!$A$3:$I$32,9,FALSE)),0)</f>
        <v>0</v>
      </c>
      <c r="AC8">
        <f>IF(AND($A8&lt;&gt;AC$1,feasible_mat!AC8=1),(VLOOKUP(AC$1,test!$A$3:$I$32,8,FALSE))-(VLOOKUP($A8,test!$A$3:$I$32,9,FALSE)),0)</f>
        <v>0</v>
      </c>
      <c r="AD8">
        <f>IF(AND($A8&lt;&gt;AD$1,feasible_mat!AD8=1),(VLOOKUP(AD$1,test!$A$3:$I$32,8,FALSE))-(VLOOKUP($A8,test!$A$3:$I$32,9,FALSE)),0)</f>
        <v>0</v>
      </c>
      <c r="AE8">
        <f>IF(AND($A8&lt;&gt;AE$1,feasible_mat!AE8=1),(VLOOKUP(AE$1,test!$A$3:$I$32,8,FALSE))-(VLOOKUP($A8,test!$A$3:$I$32,9,FALSE)),0)</f>
        <v>0</v>
      </c>
      <c r="AF8">
        <f>IF(AND($A8&lt;&gt;AF$1,feasible_mat!AF8=1),(VLOOKUP(AF$1,test!$A$3:$I$32,8,FALSE))-(VLOOKUP($A8,test!$A$3:$I$32,9,FALSE)),0)</f>
        <v>0</v>
      </c>
      <c r="AJ8" s="16">
        <f>SUM(VLOOKUP($A11,test!$A$3:$F$32,2,FALSE),VLOOKUP(AE$1,test!$A$3:$F$32,2,FALSE))</f>
        <v>350</v>
      </c>
    </row>
    <row r="9" spans="1:36" x14ac:dyDescent="0.25">
      <c r="A9" t="s">
        <v>14</v>
      </c>
      <c r="B9">
        <v>0</v>
      </c>
      <c r="C9">
        <f>IF(AND($A9&lt;&gt;C$1,feasible_mat!C9=1),(VLOOKUP(C$1,test!$A$3:$I$32,8,FALSE))-(VLOOKUP($A9,test!$A$3:$I$32,9,FALSE)),0)</f>
        <v>0</v>
      </c>
      <c r="D9">
        <f>IF(AND($A9&lt;&gt;D$1,feasible_mat!D9=1),(VLOOKUP(D$1,test!$A$3:$I$32,8,FALSE))-(VLOOKUP($A9,test!$A$3:$I$32,9,FALSE)),0)</f>
        <v>0</v>
      </c>
      <c r="E9">
        <f>IF(AND($A9&lt;&gt;E$1,feasible_mat!E9=1),(VLOOKUP(E$1,test!$A$3:$I$32,8,FALSE))-(VLOOKUP($A9,test!$A$3:$I$32,9,FALSE)),0)</f>
        <v>0</v>
      </c>
      <c r="F9">
        <f>IF(AND($A9&lt;&gt;F$1,feasible_mat!F9=1),(VLOOKUP(F$1,test!$A$3:$I$32,8,FALSE))-(VLOOKUP($A9,test!$A$3:$I$32,9,FALSE)),0)</f>
        <v>0</v>
      </c>
      <c r="G9">
        <f>IF(AND($A9&lt;&gt;G$1,feasible_mat!G9=1),(VLOOKUP(G$1,test!$A$3:$I$32,8,FALSE))-(VLOOKUP($A9,test!$A$3:$I$32,9,FALSE)),0)</f>
        <v>0</v>
      </c>
      <c r="H9">
        <f>IF(AND($A9&lt;&gt;H$1,feasible_mat!H9=1),(VLOOKUP(H$1,test!$A$3:$I$32,8,FALSE))-(VLOOKUP($A9,test!$A$3:$I$32,9,FALSE)),0)</f>
        <v>0</v>
      </c>
      <c r="I9">
        <f>IF(AND($A9&lt;&gt;I$1,feasible_mat!I9=1),(VLOOKUP(I$1,test!$A$3:$I$32,8,FALSE))-(VLOOKUP($A9,test!$A$3:$I$32,9,FALSE)),0)</f>
        <v>0</v>
      </c>
      <c r="J9">
        <f>IF(AND($A9&lt;&gt;J$1,feasible_mat!J9=1),(VLOOKUP(J$1,test!$A$3:$I$32,8,FALSE))-(VLOOKUP($A9,test!$A$3:$I$32,9,FALSE)),0)</f>
        <v>0</v>
      </c>
      <c r="K9">
        <f>IF(AND($A9&lt;&gt;K$1,feasible_mat!K9=1),(VLOOKUP(K$1,test!$A$3:$I$32,8,FALSE))-(VLOOKUP($A9,test!$A$3:$I$32,9,FALSE)),0)</f>
        <v>0</v>
      </c>
      <c r="L9">
        <f>IF(AND($A9&lt;&gt;L$1,feasible_mat!L9=1),(VLOOKUP(L$1,test!$A$3:$I$32,8,FALSE))-(VLOOKUP($A9,test!$A$3:$I$32,9,FALSE)),0)</f>
        <v>0</v>
      </c>
      <c r="M9">
        <f>IF(AND($A9&lt;&gt;M$1,feasible_mat!M9=1),(VLOOKUP(M$1,test!$A$3:$I$32,8,FALSE))-(VLOOKUP($A9,test!$A$3:$I$32,9,FALSE)),0)</f>
        <v>0</v>
      </c>
      <c r="N9">
        <f>IF(AND($A9&lt;&gt;N$1,feasible_mat!N9=1),(VLOOKUP(N$1,test!$A$3:$I$32,8,FALSE))-(VLOOKUP($A9,test!$A$3:$I$32,9,FALSE)),0)</f>
        <v>0</v>
      </c>
      <c r="O9">
        <f>IF(AND($A9&lt;&gt;O$1,feasible_mat!O9=1),(VLOOKUP(O$1,test!$A$3:$I$32,8,FALSE))-(VLOOKUP($A9,test!$A$3:$I$32,9,FALSE)),0)</f>
        <v>0</v>
      </c>
      <c r="P9">
        <f>IF(AND($A9&lt;&gt;P$1,feasible_mat!P9=1),(VLOOKUP(P$1,test!$A$3:$I$32,8,FALSE))-(VLOOKUP($A9,test!$A$3:$I$32,9,FALSE)),0)</f>
        <v>0</v>
      </c>
      <c r="Q9">
        <f>IF(AND($A9&lt;&gt;Q$1,feasible_mat!Q9=1),(VLOOKUP(Q$1,test!$A$3:$I$32,8,FALSE))-(VLOOKUP($A9,test!$A$3:$I$32,9,FALSE)),0)</f>
        <v>0</v>
      </c>
      <c r="R9">
        <f>IF(AND($A9&lt;&gt;R$1,feasible_mat!R9=1),(VLOOKUP(R$1,test!$A$3:$I$32,8,FALSE))-(VLOOKUP($A9,test!$A$3:$I$32,9,FALSE)),0)</f>
        <v>0</v>
      </c>
      <c r="S9">
        <f>IF(AND($A9&lt;&gt;S$1,feasible_mat!S9=1),(VLOOKUP(S$1,test!$A$3:$I$32,8,FALSE))-(VLOOKUP($A9,test!$A$3:$I$32,9,FALSE)),0)</f>
        <v>0</v>
      </c>
      <c r="T9">
        <f>IF(AND($A9&lt;&gt;T$1,feasible_mat!T9=1),(VLOOKUP(T$1,test!$A$3:$I$32,8,FALSE))-(VLOOKUP($A9,test!$A$3:$I$32,9,FALSE)),0)</f>
        <v>0</v>
      </c>
      <c r="U9">
        <f>IF(AND($A9&lt;&gt;U$1,feasible_mat!U9=1),(VLOOKUP(U$1,test!$A$3:$I$32,8,FALSE))-(VLOOKUP($A9,test!$A$3:$I$32,9,FALSE)),0)</f>
        <v>0</v>
      </c>
      <c r="V9">
        <f>IF(AND($A9&lt;&gt;V$1,feasible_mat!V9=1),(VLOOKUP(V$1,test!$A$3:$I$32,8,FALSE))-(VLOOKUP($A9,test!$A$3:$I$32,9,FALSE)),0)</f>
        <v>0</v>
      </c>
      <c r="W9">
        <f>IF(AND($A9&lt;&gt;W$1,feasible_mat!W9=1),(VLOOKUP(W$1,test!$A$3:$I$32,8,FALSE))-(VLOOKUP($A9,test!$A$3:$I$32,9,FALSE)),0)</f>
        <v>0</v>
      </c>
      <c r="X9">
        <f>IF(AND($A9&lt;&gt;X$1,feasible_mat!X9=1),(VLOOKUP(X$1,test!$A$3:$I$32,8,FALSE))-(VLOOKUP($A9,test!$A$3:$I$32,9,FALSE)),0)</f>
        <v>0</v>
      </c>
      <c r="Y9">
        <f>IF(AND($A9&lt;&gt;Y$1,feasible_mat!Y9=1),(VLOOKUP(Y$1,test!$A$3:$I$32,8,FALSE))-(VLOOKUP($A9,test!$A$3:$I$32,9,FALSE)),0)</f>
        <v>0</v>
      </c>
      <c r="Z9">
        <f>IF(AND($A9&lt;&gt;Z$1,feasible_mat!Z9=1),(VLOOKUP(Z$1,test!$A$3:$I$32,8,FALSE))-(VLOOKUP($A9,test!$A$3:$I$32,9,FALSE)),0)</f>
        <v>0</v>
      </c>
      <c r="AA9">
        <f>IF(AND($A9&lt;&gt;AA$1,feasible_mat!AA9=1),(VLOOKUP(AA$1,test!$A$3:$I$32,8,FALSE))-(VLOOKUP($A9,test!$A$3:$I$32,9,FALSE)),0)</f>
        <v>0</v>
      </c>
      <c r="AB9">
        <f>IF(AND($A9&lt;&gt;AB$1,feasible_mat!AB9=1),(VLOOKUP(AB$1,test!$A$3:$I$32,8,FALSE))-(VLOOKUP($A9,test!$A$3:$I$32,9,FALSE)),0)</f>
        <v>0</v>
      </c>
      <c r="AC9">
        <f>IF(AND($A9&lt;&gt;AC$1,feasible_mat!AC9=1),(VLOOKUP(AC$1,test!$A$3:$I$32,8,FALSE))-(VLOOKUP($A9,test!$A$3:$I$32,9,FALSE)),0)</f>
        <v>0</v>
      </c>
      <c r="AD9">
        <f>IF(AND($A9&lt;&gt;AD$1,feasible_mat!AD9=1),(VLOOKUP(AD$1,test!$A$3:$I$32,8,FALSE))-(VLOOKUP($A9,test!$A$3:$I$32,9,FALSE)),0)</f>
        <v>0</v>
      </c>
      <c r="AE9">
        <f>IF(AND($A9&lt;&gt;AE$1,feasible_mat!AE9=1),(VLOOKUP(AE$1,test!$A$3:$I$32,8,FALSE))-(VLOOKUP($A9,test!$A$3:$I$32,9,FALSE)),0)</f>
        <v>0</v>
      </c>
      <c r="AF9">
        <f>IF(AND($A9&lt;&gt;AF$1,feasible_mat!AF9=1),(VLOOKUP(AF$1,test!$A$3:$I$32,8,FALSE))-(VLOOKUP($A9,test!$A$3:$I$32,9,FALSE)),0)</f>
        <v>0</v>
      </c>
      <c r="AJ9" s="16">
        <f>test!$K$16</f>
        <v>350</v>
      </c>
    </row>
    <row r="10" spans="1:36" x14ac:dyDescent="0.25">
      <c r="A10" t="s">
        <v>15</v>
      </c>
      <c r="B10">
        <v>0</v>
      </c>
      <c r="C10">
        <f>IF(AND($A10&lt;&gt;C$1,feasible_mat!C10=1),(VLOOKUP(C$1,test!$A$3:$I$32,8,FALSE))-(VLOOKUP($A10,test!$A$3:$I$32,9,FALSE)),0)</f>
        <v>0</v>
      </c>
      <c r="D10">
        <f>IF(AND($A10&lt;&gt;D$1,feasible_mat!D10=1),(VLOOKUP(D$1,test!$A$3:$I$32,8,FALSE))-(VLOOKUP($A10,test!$A$3:$I$32,9,FALSE)),0)</f>
        <v>0</v>
      </c>
      <c r="E10">
        <f>IF(AND($A10&lt;&gt;E$1,feasible_mat!E10=1),(VLOOKUP(E$1,test!$A$3:$I$32,8,FALSE))-(VLOOKUP($A10,test!$A$3:$I$32,9,FALSE)),0)</f>
        <v>0</v>
      </c>
      <c r="F10">
        <f>IF(AND($A10&lt;&gt;F$1,feasible_mat!F10=1),(VLOOKUP(F$1,test!$A$3:$I$32,8,FALSE))-(VLOOKUP($A10,test!$A$3:$I$32,9,FALSE)),0)</f>
        <v>0</v>
      </c>
      <c r="G10">
        <f>IF(AND($A10&lt;&gt;G$1,feasible_mat!G10=1),(VLOOKUP(G$1,test!$A$3:$I$32,8,FALSE))-(VLOOKUP($A10,test!$A$3:$I$32,9,FALSE)),0)</f>
        <v>0</v>
      </c>
      <c r="H10">
        <f>IF(AND($A10&lt;&gt;H$1,feasible_mat!H10=1),(VLOOKUP(H$1,test!$A$3:$I$32,8,FALSE))-(VLOOKUP($A10,test!$A$3:$I$32,9,FALSE)),0)</f>
        <v>0</v>
      </c>
      <c r="I10">
        <f>IF(AND($A10&lt;&gt;I$1,feasible_mat!I10=1),(VLOOKUP(I$1,test!$A$3:$I$32,8,FALSE))-(VLOOKUP($A10,test!$A$3:$I$32,9,FALSE)),0)</f>
        <v>0</v>
      </c>
      <c r="J10">
        <f>IF(AND($A10&lt;&gt;J$1,feasible_mat!J10=1),(VLOOKUP(J$1,test!$A$3:$I$32,8,FALSE))-(VLOOKUP($A10,test!$A$3:$I$32,9,FALSE)),0)</f>
        <v>0</v>
      </c>
      <c r="K10">
        <f>IF(AND($A10&lt;&gt;K$1,feasible_mat!K10=1),(VLOOKUP(K$1,test!$A$3:$I$32,8,FALSE))-(VLOOKUP($A10,test!$A$3:$I$32,9,FALSE)),0)</f>
        <v>0</v>
      </c>
      <c r="L10">
        <f>IF(AND($A10&lt;&gt;L$1,feasible_mat!L10=1),(VLOOKUP(L$1,test!$A$3:$I$32,8,FALSE))-(VLOOKUP($A10,test!$A$3:$I$32,9,FALSE)),0)</f>
        <v>0</v>
      </c>
      <c r="M10">
        <f>IF(AND($A10&lt;&gt;M$1,feasible_mat!M10=1),(VLOOKUP(M$1,test!$A$3:$I$32,8,FALSE))-(VLOOKUP($A10,test!$A$3:$I$32,9,FALSE)),0)</f>
        <v>0</v>
      </c>
      <c r="N10">
        <f>IF(AND($A10&lt;&gt;N$1,feasible_mat!N10=1),(VLOOKUP(N$1,test!$A$3:$I$32,8,FALSE))-(VLOOKUP($A10,test!$A$3:$I$32,9,FALSE)),0)</f>
        <v>0</v>
      </c>
      <c r="O10">
        <f>IF(AND($A10&lt;&gt;O$1,feasible_mat!O10=1),(VLOOKUP(O$1,test!$A$3:$I$32,8,FALSE))-(VLOOKUP($A10,test!$A$3:$I$32,9,FALSE)),0)</f>
        <v>0</v>
      </c>
      <c r="P10">
        <f>IF(AND($A10&lt;&gt;P$1,feasible_mat!P10=1),(VLOOKUP(P$1,test!$A$3:$I$32,8,FALSE))-(VLOOKUP($A10,test!$A$3:$I$32,9,FALSE)),0)</f>
        <v>0</v>
      </c>
      <c r="Q10">
        <f>IF(AND($A10&lt;&gt;Q$1,feasible_mat!Q10=1),(VLOOKUP(Q$1,test!$A$3:$I$32,8,FALSE))-(VLOOKUP($A10,test!$A$3:$I$32,9,FALSE)),0)</f>
        <v>0</v>
      </c>
      <c r="R10">
        <f>IF(AND($A10&lt;&gt;R$1,feasible_mat!R10=1),(VLOOKUP(R$1,test!$A$3:$I$32,8,FALSE))-(VLOOKUP($A10,test!$A$3:$I$32,9,FALSE)),0)</f>
        <v>0</v>
      </c>
      <c r="S10">
        <f>IF(AND($A10&lt;&gt;S$1,feasible_mat!S10=1),(VLOOKUP(S$1,test!$A$3:$I$32,8,FALSE))-(VLOOKUP($A10,test!$A$3:$I$32,9,FALSE)),0)</f>
        <v>0</v>
      </c>
      <c r="T10">
        <f>IF(AND($A10&lt;&gt;T$1,feasible_mat!T10=1),(VLOOKUP(T$1,test!$A$3:$I$32,8,FALSE))-(VLOOKUP($A10,test!$A$3:$I$32,9,FALSE)),0)</f>
        <v>0</v>
      </c>
      <c r="U10">
        <f>IF(AND($A10&lt;&gt;U$1,feasible_mat!U10=1),(VLOOKUP(U$1,test!$A$3:$I$32,8,FALSE))-(VLOOKUP($A10,test!$A$3:$I$32,9,FALSE)),0)</f>
        <v>0</v>
      </c>
      <c r="V10">
        <f>IF(AND($A10&lt;&gt;V$1,feasible_mat!V10=1),(VLOOKUP(V$1,test!$A$3:$I$32,8,FALSE))-(VLOOKUP($A10,test!$A$3:$I$32,9,FALSE)),0)</f>
        <v>0</v>
      </c>
      <c r="W10">
        <f>IF(AND($A10&lt;&gt;W$1,feasible_mat!W10=1),(VLOOKUP(W$1,test!$A$3:$I$32,8,FALSE))-(VLOOKUP($A10,test!$A$3:$I$32,9,FALSE)),0)</f>
        <v>0</v>
      </c>
      <c r="X10">
        <f>IF(AND($A10&lt;&gt;X$1,feasible_mat!X10=1),(VLOOKUP(X$1,test!$A$3:$I$32,8,FALSE))-(VLOOKUP($A10,test!$A$3:$I$32,9,FALSE)),0)</f>
        <v>0</v>
      </c>
      <c r="Y10">
        <f>IF(AND($A10&lt;&gt;Y$1,feasible_mat!Y10=1),(VLOOKUP(Y$1,test!$A$3:$I$32,8,FALSE))-(VLOOKUP($A10,test!$A$3:$I$32,9,FALSE)),0)</f>
        <v>0</v>
      </c>
      <c r="Z10">
        <f>IF(AND($A10&lt;&gt;Z$1,feasible_mat!Z10=1),(VLOOKUP(Z$1,test!$A$3:$I$32,8,FALSE))-(VLOOKUP($A10,test!$A$3:$I$32,9,FALSE)),0)</f>
        <v>0</v>
      </c>
      <c r="AA10">
        <f>IF(AND($A10&lt;&gt;AA$1,feasible_mat!AA10=1),(VLOOKUP(AA$1,test!$A$3:$I$32,8,FALSE))-(VLOOKUP($A10,test!$A$3:$I$32,9,FALSE)),0)</f>
        <v>0</v>
      </c>
      <c r="AB10">
        <f>IF(AND($A10&lt;&gt;AB$1,feasible_mat!AB10=1),(VLOOKUP(AB$1,test!$A$3:$I$32,8,FALSE))-(VLOOKUP($A10,test!$A$3:$I$32,9,FALSE)),0)</f>
        <v>0</v>
      </c>
      <c r="AC10">
        <f>IF(AND($A10&lt;&gt;AC$1,feasible_mat!AC10=1),(VLOOKUP(AC$1,test!$A$3:$I$32,8,FALSE))-(VLOOKUP($A10,test!$A$3:$I$32,9,FALSE)),0)</f>
        <v>0</v>
      </c>
      <c r="AD10">
        <f>IF(AND($A10&lt;&gt;AD$1,feasible_mat!AD10=1),(VLOOKUP(AD$1,test!$A$3:$I$32,8,FALSE))-(VLOOKUP($A10,test!$A$3:$I$32,9,FALSE)),0)</f>
        <v>0</v>
      </c>
      <c r="AE10">
        <f>IF(AND($A10&lt;&gt;AE$1,feasible_mat!AE10=1),(VLOOKUP(AE$1,test!$A$3:$I$32,8,FALSE))-(VLOOKUP($A10,test!$A$3:$I$32,9,FALSE)),0)</f>
        <v>0</v>
      </c>
      <c r="AF10">
        <f>IF(AND($A10&lt;&gt;AF$1,feasible_mat!AF10=1),(VLOOKUP(AF$1,test!$A$3:$I$32,8,FALSE))-(VLOOKUP($A10,test!$A$3:$I$32,9,FALSE)),0)</f>
        <v>0</v>
      </c>
      <c r="AJ10" s="16" t="b">
        <f>$A11&lt;&gt;AE$1</f>
        <v>1</v>
      </c>
    </row>
    <row r="11" spans="1:36" x14ac:dyDescent="0.25">
      <c r="A11" t="s">
        <v>18</v>
      </c>
      <c r="B11">
        <v>0</v>
      </c>
      <c r="C11">
        <f>IF(AND($A11&lt;&gt;C$1,feasible_mat!C11=1),(VLOOKUP(C$1,test!$A$3:$I$32,8,FALSE))-(VLOOKUP($A11,test!$A$3:$I$32,9,FALSE)),0)</f>
        <v>0</v>
      </c>
      <c r="D11">
        <f>IF(AND($A11&lt;&gt;D$1,feasible_mat!D11=1),(VLOOKUP(D$1,test!$A$3:$I$32,8,FALSE))-(VLOOKUP($A11,test!$A$3:$I$32,9,FALSE)),0)</f>
        <v>45</v>
      </c>
      <c r="E11">
        <f>IF(AND($A11&lt;&gt;E$1,feasible_mat!E11=1),(VLOOKUP(E$1,test!$A$3:$I$32,8,FALSE))-(VLOOKUP($A11,test!$A$3:$I$32,9,FALSE)),0)</f>
        <v>135</v>
      </c>
      <c r="F11">
        <f>IF(AND($A11&lt;&gt;F$1,feasible_mat!F11=1),(VLOOKUP(F$1,test!$A$3:$I$32,8,FALSE))-(VLOOKUP($A11,test!$A$3:$I$32,9,FALSE)),0)</f>
        <v>225</v>
      </c>
      <c r="G11">
        <f>IF(AND($A11&lt;&gt;G$1,feasible_mat!G11=1),(VLOOKUP(G$1,test!$A$3:$I$32,8,FALSE))-(VLOOKUP($A11,test!$A$3:$I$32,9,FALSE)),0)</f>
        <v>285</v>
      </c>
      <c r="H11">
        <f>IF(AND($A11&lt;&gt;H$1,feasible_mat!H11=1),(VLOOKUP(H$1,test!$A$3:$I$32,8,FALSE))-(VLOOKUP($A11,test!$A$3:$I$32,9,FALSE)),0)</f>
        <v>345</v>
      </c>
      <c r="I11">
        <f>IF(AND($A11&lt;&gt;I$1,feasible_mat!I11=1),(VLOOKUP(I$1,test!$A$3:$I$32,8,FALSE))-(VLOOKUP($A11,test!$A$3:$I$32,9,FALSE)),0)</f>
        <v>405</v>
      </c>
      <c r="J11">
        <f>IF(AND($A11&lt;&gt;J$1,feasible_mat!J11=1),(VLOOKUP(J$1,test!$A$3:$I$32,8,FALSE))-(VLOOKUP($A11,test!$A$3:$I$32,9,FALSE)),0)</f>
        <v>495</v>
      </c>
      <c r="K11">
        <f>IF(AND($A11&lt;&gt;K$1,feasible_mat!K11=1),(VLOOKUP(K$1,test!$A$3:$I$32,8,FALSE))-(VLOOKUP($A11,test!$A$3:$I$32,9,FALSE)),0)</f>
        <v>0</v>
      </c>
      <c r="L11">
        <f>IF(AND($A11&lt;&gt;L$1,feasible_mat!L11=1),(VLOOKUP(L$1,test!$A$3:$I$32,8,FALSE))-(VLOOKUP($A11,test!$A$3:$I$32,9,FALSE)),0)</f>
        <v>0</v>
      </c>
      <c r="M11">
        <f>IF(AND($A11&lt;&gt;M$1,feasible_mat!M11=1),(VLOOKUP(M$1,test!$A$3:$I$32,8,FALSE))-(VLOOKUP($A11,test!$A$3:$I$32,9,FALSE)),0)</f>
        <v>100</v>
      </c>
      <c r="N11">
        <f>IF(AND($A11&lt;&gt;N$1,feasible_mat!N11=1),(VLOOKUP(N$1,test!$A$3:$I$32,8,FALSE))-(VLOOKUP($A11,test!$A$3:$I$32,9,FALSE)),0)</f>
        <v>460</v>
      </c>
      <c r="O11">
        <f>IF(AND($A11&lt;&gt;O$1,feasible_mat!O11=1),(VLOOKUP(O$1,test!$A$3:$I$32,8,FALSE))-(VLOOKUP($A11,test!$A$3:$I$32,9,FALSE)),0)</f>
        <v>520</v>
      </c>
      <c r="P11">
        <f>IF(AND($A11&lt;&gt;P$1,feasible_mat!P11=1),(VLOOKUP(P$1,test!$A$3:$I$32,8,FALSE))-(VLOOKUP($A11,test!$A$3:$I$32,9,FALSE)),0)</f>
        <v>0</v>
      </c>
      <c r="Q11">
        <f>IF(AND($A11&lt;&gt;Q$1,feasible_mat!Q11=1),(VLOOKUP(Q$1,test!$A$3:$I$32,8,FALSE))-(VLOOKUP($A11,test!$A$3:$I$32,9,FALSE)),0)</f>
        <v>0</v>
      </c>
      <c r="R11">
        <f>IF(AND($A11&lt;&gt;R$1,feasible_mat!R11=1),(VLOOKUP(R$1,test!$A$3:$I$32,8,FALSE))-(VLOOKUP($A11,test!$A$3:$I$32,9,FALSE)),0)</f>
        <v>0</v>
      </c>
      <c r="S11">
        <f>IF(AND($A11&lt;&gt;S$1,feasible_mat!S11=1),(VLOOKUP(S$1,test!$A$3:$I$32,8,FALSE))-(VLOOKUP($A11,test!$A$3:$I$32,9,FALSE)),0)</f>
        <v>25</v>
      </c>
      <c r="T11">
        <f>IF(AND($A11&lt;&gt;T$1,feasible_mat!T11=1),(VLOOKUP(T$1,test!$A$3:$I$32,8,FALSE))-(VLOOKUP($A11,test!$A$3:$I$32,9,FALSE)),0)</f>
        <v>115</v>
      </c>
      <c r="U11">
        <f>IF(AND($A11&lt;&gt;U$1,feasible_mat!U11=1),(VLOOKUP(U$1,test!$A$3:$I$32,8,FALSE))-(VLOOKUP($A11,test!$A$3:$I$32,9,FALSE)),0)</f>
        <v>205</v>
      </c>
      <c r="V11">
        <f>IF(AND($A11&lt;&gt;V$1,feasible_mat!V11=1),(VLOOKUP(V$1,test!$A$3:$I$32,8,FALSE))-(VLOOKUP($A11,test!$A$3:$I$32,9,FALSE)),0)</f>
        <v>295</v>
      </c>
      <c r="W11">
        <f>IF(AND($A11&lt;&gt;W$1,feasible_mat!W11=1),(VLOOKUP(W$1,test!$A$3:$I$32,8,FALSE))-(VLOOKUP($A11,test!$A$3:$I$32,9,FALSE)),0)</f>
        <v>385</v>
      </c>
      <c r="X11">
        <f>IF(AND($A11&lt;&gt;X$1,feasible_mat!X11=1),(VLOOKUP(X$1,test!$A$3:$I$32,8,FALSE))-(VLOOKUP($A11,test!$A$3:$I$32,9,FALSE)),0)</f>
        <v>445</v>
      </c>
      <c r="Y11">
        <f>IF(AND($A11&lt;&gt;Y$1,feasible_mat!Y11=1),(VLOOKUP(Y$1,test!$A$3:$I$32,8,FALSE))-(VLOOKUP($A11,test!$A$3:$I$32,9,FALSE)),0)</f>
        <v>0</v>
      </c>
      <c r="Z11">
        <f>IF(AND($A11&lt;&gt;Z$1,feasible_mat!Z11=1),(VLOOKUP(Z$1,test!$A$3:$I$32,8,FALSE))-(VLOOKUP($A11,test!$A$3:$I$32,9,FALSE)),0)</f>
        <v>45</v>
      </c>
      <c r="AA11">
        <f>IF(AND($A11&lt;&gt;AA$1,feasible_mat!AA11=1),(VLOOKUP(AA$1,test!$A$3:$I$32,8,FALSE))-(VLOOKUP($A11,test!$A$3:$I$32,9,FALSE)),0)</f>
        <v>165</v>
      </c>
      <c r="AB11">
        <f>IF(AND($A11&lt;&gt;AB$1,feasible_mat!AB11=1),(VLOOKUP(AB$1,test!$A$3:$I$32,8,FALSE))-(VLOOKUP($A11,test!$A$3:$I$32,9,FALSE)),0)</f>
        <v>225</v>
      </c>
      <c r="AC11">
        <f>IF(AND($A11&lt;&gt;AC$1,feasible_mat!AC11=1),(VLOOKUP(AC$1,test!$A$3:$I$32,8,FALSE))-(VLOOKUP($A11,test!$A$3:$I$32,9,FALSE)),0)</f>
        <v>345</v>
      </c>
      <c r="AD11">
        <f>IF(AND($A11&lt;&gt;AD$1,feasible_mat!AD11=1),(VLOOKUP(AD$1,test!$A$3:$I$32,8,FALSE))-(VLOOKUP($A11,test!$A$3:$I$32,9,FALSE)),0)</f>
        <v>0</v>
      </c>
      <c r="AE11">
        <f>IF(AND($A11&lt;&gt;AE$1,feasible_mat!AE11=1),(VLOOKUP(AE$1,test!$A$3:$I$32,8,FALSE))-(VLOOKUP($A11,test!$A$3:$I$32,9,FALSE)),0)</f>
        <v>165</v>
      </c>
      <c r="AF11">
        <f>IF(AND($A11&lt;&gt;AF$1,feasible_mat!AF11=1),(VLOOKUP(AF$1,test!$A$3:$I$32,8,FALSE))-(VLOOKUP($A11,test!$A$3:$I$32,9,FALSE)),0)</f>
        <v>115</v>
      </c>
      <c r="AJ11" s="16" t="b">
        <f>feasible_mat!AE11=1</f>
        <v>1</v>
      </c>
    </row>
    <row r="12" spans="1:36" x14ac:dyDescent="0.25">
      <c r="A12" t="s">
        <v>20</v>
      </c>
      <c r="B12">
        <v>0</v>
      </c>
      <c r="C12">
        <f>IF(AND($A12&lt;&gt;C$1,feasible_mat!C12=1),(VLOOKUP(C$1,test!$A$3:$I$32,8,FALSE))-(VLOOKUP($A12,test!$A$3:$I$32,9,FALSE)),0)</f>
        <v>0</v>
      </c>
      <c r="D12">
        <f>IF(AND($A12&lt;&gt;D$1,feasible_mat!D12=1),(VLOOKUP(D$1,test!$A$3:$I$32,8,FALSE))-(VLOOKUP($A12,test!$A$3:$I$32,9,FALSE)),0)</f>
        <v>0</v>
      </c>
      <c r="E12">
        <f>IF(AND($A12&lt;&gt;E$1,feasible_mat!E12=1),(VLOOKUP(E$1,test!$A$3:$I$32,8,FALSE))-(VLOOKUP($A12,test!$A$3:$I$32,9,FALSE)),0)</f>
        <v>15</v>
      </c>
      <c r="F12">
        <f>IF(AND($A12&lt;&gt;F$1,feasible_mat!F12=1),(VLOOKUP(F$1,test!$A$3:$I$32,8,FALSE))-(VLOOKUP($A12,test!$A$3:$I$32,9,FALSE)),0)</f>
        <v>105</v>
      </c>
      <c r="G12">
        <f>IF(AND($A12&lt;&gt;G$1,feasible_mat!G12=1),(VLOOKUP(G$1,test!$A$3:$I$32,8,FALSE))-(VLOOKUP($A12,test!$A$3:$I$32,9,FALSE)),0)</f>
        <v>165</v>
      </c>
      <c r="H12">
        <f>IF(AND($A12&lt;&gt;H$1,feasible_mat!H12=1),(VLOOKUP(H$1,test!$A$3:$I$32,8,FALSE))-(VLOOKUP($A12,test!$A$3:$I$32,9,FALSE)),0)</f>
        <v>225</v>
      </c>
      <c r="I12">
        <f>IF(AND($A12&lt;&gt;I$1,feasible_mat!I12=1),(VLOOKUP(I$1,test!$A$3:$I$32,8,FALSE))-(VLOOKUP($A12,test!$A$3:$I$32,9,FALSE)),0)</f>
        <v>285</v>
      </c>
      <c r="J12">
        <f>IF(AND($A12&lt;&gt;J$1,feasible_mat!J12=1),(VLOOKUP(J$1,test!$A$3:$I$32,8,FALSE))-(VLOOKUP($A12,test!$A$3:$I$32,9,FALSE)),0)</f>
        <v>375</v>
      </c>
      <c r="K12">
        <f>IF(AND($A12&lt;&gt;K$1,feasible_mat!K12=1),(VLOOKUP(K$1,test!$A$3:$I$32,8,FALSE))-(VLOOKUP($A12,test!$A$3:$I$32,9,FALSE)),0)</f>
        <v>0</v>
      </c>
      <c r="L12">
        <f>IF(AND($A12&lt;&gt;L$1,feasible_mat!L12=1),(VLOOKUP(L$1,test!$A$3:$I$32,8,FALSE))-(VLOOKUP($A12,test!$A$3:$I$32,9,FALSE)),0)</f>
        <v>0</v>
      </c>
      <c r="M12">
        <f>IF(AND($A12&lt;&gt;M$1,feasible_mat!M12=1),(VLOOKUP(M$1,test!$A$3:$I$32,8,FALSE))-(VLOOKUP($A12,test!$A$3:$I$32,9,FALSE)),0)</f>
        <v>0</v>
      </c>
      <c r="N12">
        <f>IF(AND($A12&lt;&gt;N$1,feasible_mat!N12=1),(VLOOKUP(N$1,test!$A$3:$I$32,8,FALSE))-(VLOOKUP($A12,test!$A$3:$I$32,9,FALSE)),0)</f>
        <v>340</v>
      </c>
      <c r="O12">
        <f>IF(AND($A12&lt;&gt;O$1,feasible_mat!O12=1),(VLOOKUP(O$1,test!$A$3:$I$32,8,FALSE))-(VLOOKUP($A12,test!$A$3:$I$32,9,FALSE)),0)</f>
        <v>400</v>
      </c>
      <c r="P12">
        <f>IF(AND($A12&lt;&gt;P$1,feasible_mat!P12=1),(VLOOKUP(P$1,test!$A$3:$I$32,8,FALSE))-(VLOOKUP($A12,test!$A$3:$I$32,9,FALSE)),0)</f>
        <v>0</v>
      </c>
      <c r="Q12">
        <f>IF(AND($A12&lt;&gt;Q$1,feasible_mat!Q12=1),(VLOOKUP(Q$1,test!$A$3:$I$32,8,FALSE))-(VLOOKUP($A12,test!$A$3:$I$32,9,FALSE)),0)</f>
        <v>0</v>
      </c>
      <c r="R12">
        <f>IF(AND($A12&lt;&gt;R$1,feasible_mat!R12=1),(VLOOKUP(R$1,test!$A$3:$I$32,8,FALSE))-(VLOOKUP($A12,test!$A$3:$I$32,9,FALSE)),0)</f>
        <v>0</v>
      </c>
      <c r="S12">
        <f>IF(AND($A12&lt;&gt;S$1,feasible_mat!S12=1),(VLOOKUP(S$1,test!$A$3:$I$32,8,FALSE))-(VLOOKUP($A12,test!$A$3:$I$32,9,FALSE)),0)</f>
        <v>0</v>
      </c>
      <c r="T12">
        <f>IF(AND($A12&lt;&gt;T$1,feasible_mat!T12=1),(VLOOKUP(T$1,test!$A$3:$I$32,8,FALSE))-(VLOOKUP($A12,test!$A$3:$I$32,9,FALSE)),0)</f>
        <v>0</v>
      </c>
      <c r="U12">
        <f>IF(AND($A12&lt;&gt;U$1,feasible_mat!U12=1),(VLOOKUP(U$1,test!$A$3:$I$32,8,FALSE))-(VLOOKUP($A12,test!$A$3:$I$32,9,FALSE)),0)</f>
        <v>85</v>
      </c>
      <c r="V12">
        <f>IF(AND($A12&lt;&gt;V$1,feasible_mat!V12=1),(VLOOKUP(V$1,test!$A$3:$I$32,8,FALSE))-(VLOOKUP($A12,test!$A$3:$I$32,9,FALSE)),0)</f>
        <v>175</v>
      </c>
      <c r="W12">
        <f>IF(AND($A12&lt;&gt;W$1,feasible_mat!W12=1),(VLOOKUP(W$1,test!$A$3:$I$32,8,FALSE))-(VLOOKUP($A12,test!$A$3:$I$32,9,FALSE)),0)</f>
        <v>265</v>
      </c>
      <c r="X12">
        <f>IF(AND($A12&lt;&gt;X$1,feasible_mat!X12=1),(VLOOKUP(X$1,test!$A$3:$I$32,8,FALSE))-(VLOOKUP($A12,test!$A$3:$I$32,9,FALSE)),0)</f>
        <v>325</v>
      </c>
      <c r="Y12">
        <f>IF(AND($A12&lt;&gt;Y$1,feasible_mat!Y12=1),(VLOOKUP(Y$1,test!$A$3:$I$32,8,FALSE))-(VLOOKUP($A12,test!$A$3:$I$32,9,FALSE)),0)</f>
        <v>0</v>
      </c>
      <c r="Z12">
        <f>IF(AND($A12&lt;&gt;Z$1,feasible_mat!Z12=1),(VLOOKUP(Z$1,test!$A$3:$I$32,8,FALSE))-(VLOOKUP($A12,test!$A$3:$I$32,9,FALSE)),0)</f>
        <v>0</v>
      </c>
      <c r="AA12">
        <f>IF(AND($A12&lt;&gt;AA$1,feasible_mat!AA12=1),(VLOOKUP(AA$1,test!$A$3:$I$32,8,FALSE))-(VLOOKUP($A12,test!$A$3:$I$32,9,FALSE)),0)</f>
        <v>45</v>
      </c>
      <c r="AB12">
        <f>IF(AND($A12&lt;&gt;AB$1,feasible_mat!AB12=1),(VLOOKUP(AB$1,test!$A$3:$I$32,8,FALSE))-(VLOOKUP($A12,test!$A$3:$I$32,9,FALSE)),0)</f>
        <v>105</v>
      </c>
      <c r="AC12">
        <f>IF(AND($A12&lt;&gt;AC$1,feasible_mat!AC12=1),(VLOOKUP(AC$1,test!$A$3:$I$32,8,FALSE))-(VLOOKUP($A12,test!$A$3:$I$32,9,FALSE)),0)</f>
        <v>225</v>
      </c>
      <c r="AD12">
        <f>IF(AND($A12&lt;&gt;AD$1,feasible_mat!AD12=1),(VLOOKUP(AD$1,test!$A$3:$I$32,8,FALSE))-(VLOOKUP($A12,test!$A$3:$I$32,9,FALSE)),0)</f>
        <v>0</v>
      </c>
      <c r="AE12">
        <f>IF(AND($A12&lt;&gt;AE$1,feasible_mat!AE12=1),(VLOOKUP(AE$1,test!$A$3:$I$32,8,FALSE))-(VLOOKUP($A12,test!$A$3:$I$32,9,FALSE)),0)</f>
        <v>45</v>
      </c>
      <c r="AF12">
        <f>IF(AND($A12&lt;&gt;AF$1,feasible_mat!AF12=1),(VLOOKUP(AF$1,test!$A$3:$I$32,8,FALSE))-(VLOOKUP($A12,test!$A$3:$I$32,9,FALSE)),0)</f>
        <v>0</v>
      </c>
      <c r="AJ12" s="16" t="s">
        <v>70</v>
      </c>
    </row>
    <row r="13" spans="1:36" x14ac:dyDescent="0.25">
      <c r="A13" t="s">
        <v>21</v>
      </c>
      <c r="B13">
        <v>0</v>
      </c>
      <c r="C13">
        <f>IF(AND($A13&lt;&gt;C$1,feasible_mat!C13=1),(VLOOKUP(C$1,test!$A$3:$I$32,8,FALSE))-(VLOOKUP($A13,test!$A$3:$I$32,9,FALSE)),0)</f>
        <v>0</v>
      </c>
      <c r="D13">
        <f>IF(AND($A13&lt;&gt;D$1,feasible_mat!D13=1),(VLOOKUP(D$1,test!$A$3:$I$32,8,FALSE))-(VLOOKUP($A13,test!$A$3:$I$32,9,FALSE)),0)</f>
        <v>0</v>
      </c>
      <c r="E13">
        <f>IF(AND($A13&lt;&gt;E$1,feasible_mat!E13=1),(VLOOKUP(E$1,test!$A$3:$I$32,8,FALSE))-(VLOOKUP($A13,test!$A$3:$I$32,9,FALSE)),0)</f>
        <v>0</v>
      </c>
      <c r="F13">
        <f>IF(AND($A13&lt;&gt;F$1,feasible_mat!F13=1),(VLOOKUP(F$1,test!$A$3:$I$32,8,FALSE))-(VLOOKUP($A13,test!$A$3:$I$32,9,FALSE)),0)</f>
        <v>0</v>
      </c>
      <c r="G13">
        <f>IF(AND($A13&lt;&gt;G$1,feasible_mat!G13=1),(VLOOKUP(G$1,test!$A$3:$I$32,8,FALSE))-(VLOOKUP($A13,test!$A$3:$I$32,9,FALSE)),0)</f>
        <v>45</v>
      </c>
      <c r="H13">
        <f>IF(AND($A13&lt;&gt;H$1,feasible_mat!H13=1),(VLOOKUP(H$1,test!$A$3:$I$32,8,FALSE))-(VLOOKUP($A13,test!$A$3:$I$32,9,FALSE)),0)</f>
        <v>105</v>
      </c>
      <c r="I13">
        <f>IF(AND($A13&lt;&gt;I$1,feasible_mat!I13=1),(VLOOKUP(I$1,test!$A$3:$I$32,8,FALSE))-(VLOOKUP($A13,test!$A$3:$I$32,9,FALSE)),0)</f>
        <v>165</v>
      </c>
      <c r="J13">
        <f>IF(AND($A13&lt;&gt;J$1,feasible_mat!J13=1),(VLOOKUP(J$1,test!$A$3:$I$32,8,FALSE))-(VLOOKUP($A13,test!$A$3:$I$32,9,FALSE)),0)</f>
        <v>255</v>
      </c>
      <c r="K13">
        <f>IF(AND($A13&lt;&gt;K$1,feasible_mat!K13=1),(VLOOKUP(K$1,test!$A$3:$I$32,8,FALSE))-(VLOOKUP($A13,test!$A$3:$I$32,9,FALSE)),0)</f>
        <v>0</v>
      </c>
      <c r="L13">
        <f>IF(AND($A13&lt;&gt;L$1,feasible_mat!L13=1),(VLOOKUP(L$1,test!$A$3:$I$32,8,FALSE))-(VLOOKUP($A13,test!$A$3:$I$32,9,FALSE)),0)</f>
        <v>0</v>
      </c>
      <c r="M13">
        <f>IF(AND($A13&lt;&gt;M$1,feasible_mat!M13=1),(VLOOKUP(M$1,test!$A$3:$I$32,8,FALSE))-(VLOOKUP($A13,test!$A$3:$I$32,9,FALSE)),0)</f>
        <v>0</v>
      </c>
      <c r="N13">
        <f>IF(AND($A13&lt;&gt;N$1,feasible_mat!N13=1),(VLOOKUP(N$1,test!$A$3:$I$32,8,FALSE))-(VLOOKUP($A13,test!$A$3:$I$32,9,FALSE)),0)</f>
        <v>220</v>
      </c>
      <c r="O13">
        <f>IF(AND($A13&lt;&gt;O$1,feasible_mat!O13=1),(VLOOKUP(O$1,test!$A$3:$I$32,8,FALSE))-(VLOOKUP($A13,test!$A$3:$I$32,9,FALSE)),0)</f>
        <v>280</v>
      </c>
      <c r="P13">
        <f>IF(AND($A13&lt;&gt;P$1,feasible_mat!P13=1),(VLOOKUP(P$1,test!$A$3:$I$32,8,FALSE))-(VLOOKUP($A13,test!$A$3:$I$32,9,FALSE)),0)</f>
        <v>0</v>
      </c>
      <c r="Q13">
        <f>IF(AND($A13&lt;&gt;Q$1,feasible_mat!Q13=1),(VLOOKUP(Q$1,test!$A$3:$I$32,8,FALSE))-(VLOOKUP($A13,test!$A$3:$I$32,9,FALSE)),0)</f>
        <v>0</v>
      </c>
      <c r="R13">
        <f>IF(AND($A13&lt;&gt;R$1,feasible_mat!R13=1),(VLOOKUP(R$1,test!$A$3:$I$32,8,FALSE))-(VLOOKUP($A13,test!$A$3:$I$32,9,FALSE)),0)</f>
        <v>0</v>
      </c>
      <c r="S13">
        <f>IF(AND($A13&lt;&gt;S$1,feasible_mat!S13=1),(VLOOKUP(S$1,test!$A$3:$I$32,8,FALSE))-(VLOOKUP($A13,test!$A$3:$I$32,9,FALSE)),0)</f>
        <v>0</v>
      </c>
      <c r="T13">
        <f>IF(AND($A13&lt;&gt;T$1,feasible_mat!T13=1),(VLOOKUP(T$1,test!$A$3:$I$32,8,FALSE))-(VLOOKUP($A13,test!$A$3:$I$32,9,FALSE)),0)</f>
        <v>0</v>
      </c>
      <c r="U13">
        <f>IF(AND($A13&lt;&gt;U$1,feasible_mat!U13=1),(VLOOKUP(U$1,test!$A$3:$I$32,8,FALSE))-(VLOOKUP($A13,test!$A$3:$I$32,9,FALSE)),0)</f>
        <v>0</v>
      </c>
      <c r="V13">
        <f>IF(AND($A13&lt;&gt;V$1,feasible_mat!V13=1),(VLOOKUP(V$1,test!$A$3:$I$32,8,FALSE))-(VLOOKUP($A13,test!$A$3:$I$32,9,FALSE)),0)</f>
        <v>55</v>
      </c>
      <c r="W13">
        <f>IF(AND($A13&lt;&gt;W$1,feasible_mat!W13=1),(VLOOKUP(W$1,test!$A$3:$I$32,8,FALSE))-(VLOOKUP($A13,test!$A$3:$I$32,9,FALSE)),0)</f>
        <v>145</v>
      </c>
      <c r="X13">
        <f>IF(AND($A13&lt;&gt;X$1,feasible_mat!X13=1),(VLOOKUP(X$1,test!$A$3:$I$32,8,FALSE))-(VLOOKUP($A13,test!$A$3:$I$32,9,FALSE)),0)</f>
        <v>205</v>
      </c>
      <c r="Y13">
        <f>IF(AND($A13&lt;&gt;Y$1,feasible_mat!Y13=1),(VLOOKUP(Y$1,test!$A$3:$I$32,8,FALSE))-(VLOOKUP($A13,test!$A$3:$I$32,9,FALSE)),0)</f>
        <v>0</v>
      </c>
      <c r="Z13">
        <f>IF(AND($A13&lt;&gt;Z$1,feasible_mat!Z13=1),(VLOOKUP(Z$1,test!$A$3:$I$32,8,FALSE))-(VLOOKUP($A13,test!$A$3:$I$32,9,FALSE)),0)</f>
        <v>0</v>
      </c>
      <c r="AA13">
        <f>IF(AND($A13&lt;&gt;AA$1,feasible_mat!AA13=1),(VLOOKUP(AA$1,test!$A$3:$I$32,8,FALSE))-(VLOOKUP($A13,test!$A$3:$I$32,9,FALSE)),0)</f>
        <v>0</v>
      </c>
      <c r="AB13">
        <f>IF(AND($A13&lt;&gt;AB$1,feasible_mat!AB13=1),(VLOOKUP(AB$1,test!$A$3:$I$32,8,FALSE))-(VLOOKUP($A13,test!$A$3:$I$32,9,FALSE)),0)</f>
        <v>0</v>
      </c>
      <c r="AC13">
        <f>IF(AND($A13&lt;&gt;AC$1,feasible_mat!AC13=1),(VLOOKUP(AC$1,test!$A$3:$I$32,8,FALSE))-(VLOOKUP($A13,test!$A$3:$I$32,9,FALSE)),0)</f>
        <v>105</v>
      </c>
      <c r="AD13">
        <f>IF(AND($A13&lt;&gt;AD$1,feasible_mat!AD13=1),(VLOOKUP(AD$1,test!$A$3:$I$32,8,FALSE))-(VLOOKUP($A13,test!$A$3:$I$32,9,FALSE)),0)</f>
        <v>0</v>
      </c>
      <c r="AE13">
        <f>IF(AND($A13&lt;&gt;AE$1,feasible_mat!AE13=1),(VLOOKUP(AE$1,test!$A$3:$I$32,8,FALSE))-(VLOOKUP($A13,test!$A$3:$I$32,9,FALSE)),0)</f>
        <v>0</v>
      </c>
      <c r="AF13">
        <f>IF(AND($A13&lt;&gt;AF$1,feasible_mat!AF13=1),(VLOOKUP(AF$1,test!$A$3:$I$32,8,FALSE))-(VLOOKUP($A13,test!$A$3:$I$32,9,FALSE)),0)</f>
        <v>0</v>
      </c>
      <c r="AJ13" s="16" t="e">
        <f>VLOOKUP(AE$1,test!$A$3:$F$32,8,FALSE)</f>
        <v>#REF!</v>
      </c>
    </row>
    <row r="14" spans="1:36" x14ac:dyDescent="0.25">
      <c r="A14" t="s">
        <v>22</v>
      </c>
      <c r="B14">
        <v>0</v>
      </c>
      <c r="C14">
        <f>IF(AND($A14&lt;&gt;C$1,feasible_mat!C14=1),(VLOOKUP(C$1,test!$A$3:$I$32,8,FALSE))-(VLOOKUP($A14,test!$A$3:$I$32,9,FALSE)),0)</f>
        <v>0</v>
      </c>
      <c r="D14">
        <f>IF(AND($A14&lt;&gt;D$1,feasible_mat!D14=1),(VLOOKUP(D$1,test!$A$3:$I$32,8,FALSE))-(VLOOKUP($A14,test!$A$3:$I$32,9,FALSE)),0)</f>
        <v>0</v>
      </c>
      <c r="E14">
        <f>IF(AND($A14&lt;&gt;E$1,feasible_mat!E14=1),(VLOOKUP(E$1,test!$A$3:$I$32,8,FALSE))-(VLOOKUP($A14,test!$A$3:$I$32,9,FALSE)),0)</f>
        <v>0</v>
      </c>
      <c r="F14">
        <f>IF(AND($A14&lt;&gt;F$1,feasible_mat!F14=1),(VLOOKUP(F$1,test!$A$3:$I$32,8,FALSE))-(VLOOKUP($A14,test!$A$3:$I$32,9,FALSE)),0)</f>
        <v>0</v>
      </c>
      <c r="G14">
        <f>IF(AND($A14&lt;&gt;G$1,feasible_mat!G14=1),(VLOOKUP(G$1,test!$A$3:$I$32,8,FALSE))-(VLOOKUP($A14,test!$A$3:$I$32,9,FALSE)),0)</f>
        <v>0</v>
      </c>
      <c r="H14">
        <f>IF(AND($A14&lt;&gt;H$1,feasible_mat!H14=1),(VLOOKUP(H$1,test!$A$3:$I$32,8,FALSE))-(VLOOKUP($A14,test!$A$3:$I$32,9,FALSE)),0)</f>
        <v>0</v>
      </c>
      <c r="I14">
        <f>IF(AND($A14&lt;&gt;I$1,feasible_mat!I14=1),(VLOOKUP(I$1,test!$A$3:$I$32,8,FALSE))-(VLOOKUP($A14,test!$A$3:$I$32,9,FALSE)),0)</f>
        <v>0</v>
      </c>
      <c r="J14">
        <f>IF(AND($A14&lt;&gt;J$1,feasible_mat!J14=1),(VLOOKUP(J$1,test!$A$3:$I$32,8,FALSE))-(VLOOKUP($A14,test!$A$3:$I$32,9,FALSE)),0)</f>
        <v>0</v>
      </c>
      <c r="K14">
        <f>IF(AND($A14&lt;&gt;K$1,feasible_mat!K14=1),(VLOOKUP(K$1,test!$A$3:$I$32,8,FALSE))-(VLOOKUP($A14,test!$A$3:$I$32,9,FALSE)),0)</f>
        <v>0</v>
      </c>
      <c r="L14">
        <f>IF(AND($A14&lt;&gt;L$1,feasible_mat!L14=1),(VLOOKUP(L$1,test!$A$3:$I$32,8,FALSE))-(VLOOKUP($A14,test!$A$3:$I$32,9,FALSE)),0)</f>
        <v>0</v>
      </c>
      <c r="M14">
        <f>IF(AND($A14&lt;&gt;M$1,feasible_mat!M14=1),(VLOOKUP(M$1,test!$A$3:$I$32,8,FALSE))-(VLOOKUP($A14,test!$A$3:$I$32,9,FALSE)),0)</f>
        <v>0</v>
      </c>
      <c r="N14">
        <f>IF(AND($A14&lt;&gt;N$1,feasible_mat!N14=1),(VLOOKUP(N$1,test!$A$3:$I$32,8,FALSE))-(VLOOKUP($A14,test!$A$3:$I$32,9,FALSE)),0)</f>
        <v>0</v>
      </c>
      <c r="O14">
        <f>IF(AND($A14&lt;&gt;O$1,feasible_mat!O14=1),(VLOOKUP(O$1,test!$A$3:$I$32,8,FALSE))-(VLOOKUP($A14,test!$A$3:$I$32,9,FALSE)),0)</f>
        <v>0</v>
      </c>
      <c r="P14">
        <f>IF(AND($A14&lt;&gt;P$1,feasible_mat!P14=1),(VLOOKUP(P$1,test!$A$3:$I$32,8,FALSE))-(VLOOKUP($A14,test!$A$3:$I$32,9,FALSE)),0)</f>
        <v>0</v>
      </c>
      <c r="Q14">
        <f>IF(AND($A14&lt;&gt;Q$1,feasible_mat!Q14=1),(VLOOKUP(Q$1,test!$A$3:$I$32,8,FALSE))-(VLOOKUP($A14,test!$A$3:$I$32,9,FALSE)),0)</f>
        <v>0</v>
      </c>
      <c r="R14">
        <f>IF(AND($A14&lt;&gt;R$1,feasible_mat!R14=1),(VLOOKUP(R$1,test!$A$3:$I$32,8,FALSE))-(VLOOKUP($A14,test!$A$3:$I$32,9,FALSE)),0)</f>
        <v>0</v>
      </c>
      <c r="S14">
        <f>IF(AND($A14&lt;&gt;S$1,feasible_mat!S14=1),(VLOOKUP(S$1,test!$A$3:$I$32,8,FALSE))-(VLOOKUP($A14,test!$A$3:$I$32,9,FALSE)),0)</f>
        <v>0</v>
      </c>
      <c r="T14">
        <f>IF(AND($A14&lt;&gt;T$1,feasible_mat!T14=1),(VLOOKUP(T$1,test!$A$3:$I$32,8,FALSE))-(VLOOKUP($A14,test!$A$3:$I$32,9,FALSE)),0)</f>
        <v>0</v>
      </c>
      <c r="U14">
        <f>IF(AND($A14&lt;&gt;U$1,feasible_mat!U14=1),(VLOOKUP(U$1,test!$A$3:$I$32,8,FALSE))-(VLOOKUP($A14,test!$A$3:$I$32,9,FALSE)),0)</f>
        <v>0</v>
      </c>
      <c r="V14">
        <f>IF(AND($A14&lt;&gt;V$1,feasible_mat!V14=1),(VLOOKUP(V$1,test!$A$3:$I$32,8,FALSE))-(VLOOKUP($A14,test!$A$3:$I$32,9,FALSE)),0)</f>
        <v>0</v>
      </c>
      <c r="W14">
        <f>IF(AND($A14&lt;&gt;W$1,feasible_mat!W14=1),(VLOOKUP(W$1,test!$A$3:$I$32,8,FALSE))-(VLOOKUP($A14,test!$A$3:$I$32,9,FALSE)),0)</f>
        <v>0</v>
      </c>
      <c r="X14">
        <f>IF(AND($A14&lt;&gt;X$1,feasible_mat!X14=1),(VLOOKUP(X$1,test!$A$3:$I$32,8,FALSE))-(VLOOKUP($A14,test!$A$3:$I$32,9,FALSE)),0)</f>
        <v>0</v>
      </c>
      <c r="Y14">
        <f>IF(AND($A14&lt;&gt;Y$1,feasible_mat!Y14=1),(VLOOKUP(Y$1,test!$A$3:$I$32,8,FALSE))-(VLOOKUP($A14,test!$A$3:$I$32,9,FALSE)),0)</f>
        <v>0</v>
      </c>
      <c r="Z14">
        <f>IF(AND($A14&lt;&gt;Z$1,feasible_mat!Z14=1),(VLOOKUP(Z$1,test!$A$3:$I$32,8,FALSE))-(VLOOKUP($A14,test!$A$3:$I$32,9,FALSE)),0)</f>
        <v>0</v>
      </c>
      <c r="AA14">
        <f>IF(AND($A14&lt;&gt;AA$1,feasible_mat!AA14=1),(VLOOKUP(AA$1,test!$A$3:$I$32,8,FALSE))-(VLOOKUP($A14,test!$A$3:$I$32,9,FALSE)),0)</f>
        <v>0</v>
      </c>
      <c r="AB14">
        <f>IF(AND($A14&lt;&gt;AB$1,feasible_mat!AB14=1),(VLOOKUP(AB$1,test!$A$3:$I$32,8,FALSE))-(VLOOKUP($A14,test!$A$3:$I$32,9,FALSE)),0)</f>
        <v>0</v>
      </c>
      <c r="AC14">
        <f>IF(AND($A14&lt;&gt;AC$1,feasible_mat!AC14=1),(VLOOKUP(AC$1,test!$A$3:$I$32,8,FALSE))-(VLOOKUP($A14,test!$A$3:$I$32,9,FALSE)),0)</f>
        <v>0</v>
      </c>
      <c r="AD14">
        <f>IF(AND($A14&lt;&gt;AD$1,feasible_mat!AD14=1),(VLOOKUP(AD$1,test!$A$3:$I$32,8,FALSE))-(VLOOKUP($A14,test!$A$3:$I$32,9,FALSE)),0)</f>
        <v>0</v>
      </c>
      <c r="AE14">
        <f>IF(AND($A14&lt;&gt;AE$1,feasible_mat!AE14=1),(VLOOKUP(AE$1,test!$A$3:$I$32,8,FALSE))-(VLOOKUP($A14,test!$A$3:$I$32,9,FALSE)),0)</f>
        <v>0</v>
      </c>
      <c r="AF14">
        <f>IF(AND($A14&lt;&gt;AF$1,feasible_mat!AF14=1),(VLOOKUP(AF$1,test!$A$3:$I$32,8,FALSE))-(VLOOKUP($A14,test!$A$3:$I$32,9,FALSE)),0)</f>
        <v>0</v>
      </c>
    </row>
    <row r="15" spans="1:36" x14ac:dyDescent="0.25">
      <c r="A15" t="s">
        <v>23</v>
      </c>
      <c r="B15">
        <v>0</v>
      </c>
      <c r="C15">
        <f>IF(AND($A15&lt;&gt;C$1,feasible_mat!C15=1),(VLOOKUP(C$1,test!$A$3:$I$32,8,FALSE))-(VLOOKUP($A15,test!$A$3:$I$32,9,FALSE)),0)</f>
        <v>0</v>
      </c>
      <c r="D15">
        <f>IF(AND($A15&lt;&gt;D$1,feasible_mat!D15=1),(VLOOKUP(D$1,test!$A$3:$I$32,8,FALSE))-(VLOOKUP($A15,test!$A$3:$I$32,9,FALSE)),0)</f>
        <v>0</v>
      </c>
      <c r="E15">
        <f>IF(AND($A15&lt;&gt;E$1,feasible_mat!E15=1),(VLOOKUP(E$1,test!$A$3:$I$32,8,FALSE))-(VLOOKUP($A15,test!$A$3:$I$32,9,FALSE)),0)</f>
        <v>0</v>
      </c>
      <c r="F15">
        <f>IF(AND($A15&lt;&gt;F$1,feasible_mat!F15=1),(VLOOKUP(F$1,test!$A$3:$I$32,8,FALSE))-(VLOOKUP($A15,test!$A$3:$I$32,9,FALSE)),0)</f>
        <v>0</v>
      </c>
      <c r="G15">
        <f>IF(AND($A15&lt;&gt;G$1,feasible_mat!G15=1),(VLOOKUP(G$1,test!$A$3:$I$32,8,FALSE))-(VLOOKUP($A15,test!$A$3:$I$32,9,FALSE)),0)</f>
        <v>0</v>
      </c>
      <c r="H15">
        <f>IF(AND($A15&lt;&gt;H$1,feasible_mat!H15=1),(VLOOKUP(H$1,test!$A$3:$I$32,8,FALSE))-(VLOOKUP($A15,test!$A$3:$I$32,9,FALSE)),0)</f>
        <v>0</v>
      </c>
      <c r="I15">
        <f>IF(AND($A15&lt;&gt;I$1,feasible_mat!I15=1),(VLOOKUP(I$1,test!$A$3:$I$32,8,FALSE))-(VLOOKUP($A15,test!$A$3:$I$32,9,FALSE)),0)</f>
        <v>0</v>
      </c>
      <c r="J15">
        <f>IF(AND($A15&lt;&gt;J$1,feasible_mat!J15=1),(VLOOKUP(J$1,test!$A$3:$I$32,8,FALSE))-(VLOOKUP($A15,test!$A$3:$I$32,9,FALSE)),0)</f>
        <v>0</v>
      </c>
      <c r="K15">
        <f>IF(AND($A15&lt;&gt;K$1,feasible_mat!K15=1),(VLOOKUP(K$1,test!$A$3:$I$32,8,FALSE))-(VLOOKUP($A15,test!$A$3:$I$32,9,FALSE)),0)</f>
        <v>0</v>
      </c>
      <c r="L15">
        <f>IF(AND($A15&lt;&gt;L$1,feasible_mat!L15=1),(VLOOKUP(L$1,test!$A$3:$I$32,8,FALSE))-(VLOOKUP($A15,test!$A$3:$I$32,9,FALSE)),0)</f>
        <v>0</v>
      </c>
      <c r="M15">
        <f>IF(AND($A15&lt;&gt;M$1,feasible_mat!M15=1),(VLOOKUP(M$1,test!$A$3:$I$32,8,FALSE))-(VLOOKUP($A15,test!$A$3:$I$32,9,FALSE)),0)</f>
        <v>0</v>
      </c>
      <c r="N15">
        <f>IF(AND($A15&lt;&gt;N$1,feasible_mat!N15=1),(VLOOKUP(N$1,test!$A$3:$I$32,8,FALSE))-(VLOOKUP($A15,test!$A$3:$I$32,9,FALSE)),0)</f>
        <v>0</v>
      </c>
      <c r="O15">
        <f>IF(AND($A15&lt;&gt;O$1,feasible_mat!O15=1),(VLOOKUP(O$1,test!$A$3:$I$32,8,FALSE))-(VLOOKUP($A15,test!$A$3:$I$32,9,FALSE)),0)</f>
        <v>0</v>
      </c>
      <c r="P15">
        <f>IF(AND($A15&lt;&gt;P$1,feasible_mat!P15=1),(VLOOKUP(P$1,test!$A$3:$I$32,8,FALSE))-(VLOOKUP($A15,test!$A$3:$I$32,9,FALSE)),0)</f>
        <v>0</v>
      </c>
      <c r="Q15">
        <f>IF(AND($A15&lt;&gt;Q$1,feasible_mat!Q15=1),(VLOOKUP(Q$1,test!$A$3:$I$32,8,FALSE))-(VLOOKUP($A15,test!$A$3:$I$32,9,FALSE)),0)</f>
        <v>0</v>
      </c>
      <c r="R15">
        <f>IF(AND($A15&lt;&gt;R$1,feasible_mat!R15=1),(VLOOKUP(R$1,test!$A$3:$I$32,8,FALSE))-(VLOOKUP($A15,test!$A$3:$I$32,9,FALSE)),0)</f>
        <v>0</v>
      </c>
      <c r="S15">
        <f>IF(AND($A15&lt;&gt;S$1,feasible_mat!S15=1),(VLOOKUP(S$1,test!$A$3:$I$32,8,FALSE))-(VLOOKUP($A15,test!$A$3:$I$32,9,FALSE)),0)</f>
        <v>0</v>
      </c>
      <c r="T15">
        <f>IF(AND($A15&lt;&gt;T$1,feasible_mat!T15=1),(VLOOKUP(T$1,test!$A$3:$I$32,8,FALSE))-(VLOOKUP($A15,test!$A$3:$I$32,9,FALSE)),0)</f>
        <v>0</v>
      </c>
      <c r="U15">
        <f>IF(AND($A15&lt;&gt;U$1,feasible_mat!U15=1),(VLOOKUP(U$1,test!$A$3:$I$32,8,FALSE))-(VLOOKUP($A15,test!$A$3:$I$32,9,FALSE)),0)</f>
        <v>0</v>
      </c>
      <c r="V15">
        <f>IF(AND($A15&lt;&gt;V$1,feasible_mat!V15=1),(VLOOKUP(V$1,test!$A$3:$I$32,8,FALSE))-(VLOOKUP($A15,test!$A$3:$I$32,9,FALSE)),0)</f>
        <v>0</v>
      </c>
      <c r="W15">
        <f>IF(AND($A15&lt;&gt;W$1,feasible_mat!W15=1),(VLOOKUP(W$1,test!$A$3:$I$32,8,FALSE))-(VLOOKUP($A15,test!$A$3:$I$32,9,FALSE)),0)</f>
        <v>0</v>
      </c>
      <c r="X15">
        <f>IF(AND($A15&lt;&gt;X$1,feasible_mat!X15=1),(VLOOKUP(X$1,test!$A$3:$I$32,8,FALSE))-(VLOOKUP($A15,test!$A$3:$I$32,9,FALSE)),0)</f>
        <v>0</v>
      </c>
      <c r="Y15">
        <f>IF(AND($A15&lt;&gt;Y$1,feasible_mat!Y15=1),(VLOOKUP(Y$1,test!$A$3:$I$32,8,FALSE))-(VLOOKUP($A15,test!$A$3:$I$32,9,FALSE)),0)</f>
        <v>0</v>
      </c>
      <c r="Z15">
        <f>IF(AND($A15&lt;&gt;Z$1,feasible_mat!Z15=1),(VLOOKUP(Z$1,test!$A$3:$I$32,8,FALSE))-(VLOOKUP($A15,test!$A$3:$I$32,9,FALSE)),0)</f>
        <v>0</v>
      </c>
      <c r="AA15">
        <f>IF(AND($A15&lt;&gt;AA$1,feasible_mat!AA15=1),(VLOOKUP(AA$1,test!$A$3:$I$32,8,FALSE))-(VLOOKUP($A15,test!$A$3:$I$32,9,FALSE)),0)</f>
        <v>0</v>
      </c>
      <c r="AB15">
        <f>IF(AND($A15&lt;&gt;AB$1,feasible_mat!AB15=1),(VLOOKUP(AB$1,test!$A$3:$I$32,8,FALSE))-(VLOOKUP($A15,test!$A$3:$I$32,9,FALSE)),0)</f>
        <v>0</v>
      </c>
      <c r="AC15">
        <f>IF(AND($A15&lt;&gt;AC$1,feasible_mat!AC15=1),(VLOOKUP(AC$1,test!$A$3:$I$32,8,FALSE))-(VLOOKUP($A15,test!$A$3:$I$32,9,FALSE)),0)</f>
        <v>0</v>
      </c>
      <c r="AD15">
        <f>IF(AND($A15&lt;&gt;AD$1,feasible_mat!AD15=1),(VLOOKUP(AD$1,test!$A$3:$I$32,8,FALSE))-(VLOOKUP($A15,test!$A$3:$I$32,9,FALSE)),0)</f>
        <v>0</v>
      </c>
      <c r="AE15">
        <f>IF(AND($A15&lt;&gt;AE$1,feasible_mat!AE15=1),(VLOOKUP(AE$1,test!$A$3:$I$32,8,FALSE))-(VLOOKUP($A15,test!$A$3:$I$32,9,FALSE)),0)</f>
        <v>0</v>
      </c>
      <c r="AF15">
        <f>IF(AND($A15&lt;&gt;AF$1,feasible_mat!AF15=1),(VLOOKUP(AF$1,test!$A$3:$I$32,8,FALSE))-(VLOOKUP($A15,test!$A$3:$I$32,9,FALSE)),0)</f>
        <v>0</v>
      </c>
      <c r="AJ15" s="16">
        <f>IF(SUM(VLOOKUP($A11,test!$A$3:$F$32,2,FALSE),VLOOKUP(AF$1,test!$A$3:$F$32,2,FALSE))&lt;=test!$K$16,IF(AND($A11&lt;&gt;AF$1,feasible_mat!AF11=1),(VLOOKUP(AF$1,test!$A$3:$I$32,8,FALSE))-(VLOOKUP($A11,test!$A$3:$I$32,9,FALSE)),0),IF(AND($A11&lt;&gt;AF$1,feasible_mat!AF11=1),(VLOOKUP(AF$1,test!$A$3:$I$32,8,FALSE))-(VLOOKUP($A11,test!$A$3:$I$32,9,FALSE))-50,0))</f>
        <v>65</v>
      </c>
    </row>
    <row r="16" spans="1:36" x14ac:dyDescent="0.25">
      <c r="A16" t="s">
        <v>24</v>
      </c>
      <c r="B16">
        <v>0</v>
      </c>
      <c r="C16">
        <f>IF(AND($A16&lt;&gt;C$1,feasible_mat!C16=1),(VLOOKUP(C$1,test!$A$3:$I$32,8,FALSE))-(VLOOKUP($A16,test!$A$3:$I$32,9,FALSE)),0)</f>
        <v>0</v>
      </c>
      <c r="D16">
        <f>IF(AND($A16&lt;&gt;D$1,feasible_mat!D16=1),(VLOOKUP(D$1,test!$A$3:$I$32,8,FALSE))-(VLOOKUP($A16,test!$A$3:$I$32,9,FALSE)),0)</f>
        <v>0</v>
      </c>
      <c r="E16">
        <f>IF(AND($A16&lt;&gt;E$1,feasible_mat!E16=1),(VLOOKUP(E$1,test!$A$3:$I$32,8,FALSE))-(VLOOKUP($A16,test!$A$3:$I$32,9,FALSE)),0)</f>
        <v>60</v>
      </c>
      <c r="F16">
        <f>IF(AND($A16&lt;&gt;F$1,feasible_mat!F16=1),(VLOOKUP(F$1,test!$A$3:$I$32,8,FALSE))-(VLOOKUP($A16,test!$A$3:$I$32,9,FALSE)),0)</f>
        <v>150</v>
      </c>
      <c r="G16">
        <f>IF(AND($A16&lt;&gt;G$1,feasible_mat!G16=1),(VLOOKUP(G$1,test!$A$3:$I$32,8,FALSE))-(VLOOKUP($A16,test!$A$3:$I$32,9,FALSE)),0)</f>
        <v>210</v>
      </c>
      <c r="H16">
        <f>IF(AND($A16&lt;&gt;H$1,feasible_mat!H16=1),(VLOOKUP(H$1,test!$A$3:$I$32,8,FALSE))-(VLOOKUP($A16,test!$A$3:$I$32,9,FALSE)),0)</f>
        <v>270</v>
      </c>
      <c r="I16">
        <f>IF(AND($A16&lt;&gt;I$1,feasible_mat!I16=1),(VLOOKUP(I$1,test!$A$3:$I$32,8,FALSE))-(VLOOKUP($A16,test!$A$3:$I$32,9,FALSE)),0)</f>
        <v>330</v>
      </c>
      <c r="J16">
        <f>IF(AND($A16&lt;&gt;J$1,feasible_mat!J16=1),(VLOOKUP(J$1,test!$A$3:$I$32,8,FALSE))-(VLOOKUP($A16,test!$A$3:$I$32,9,FALSE)),0)</f>
        <v>420</v>
      </c>
      <c r="K16">
        <f>IF(AND($A16&lt;&gt;K$1,feasible_mat!K16=1),(VLOOKUP(K$1,test!$A$3:$I$32,8,FALSE))-(VLOOKUP($A16,test!$A$3:$I$32,9,FALSE)),0)</f>
        <v>0</v>
      </c>
      <c r="L16">
        <f>IF(AND($A16&lt;&gt;L$1,feasible_mat!L16=1),(VLOOKUP(L$1,test!$A$3:$I$32,8,FALSE))-(VLOOKUP($A16,test!$A$3:$I$32,9,FALSE)),0)</f>
        <v>0</v>
      </c>
      <c r="M16">
        <f>IF(AND($A16&lt;&gt;M$1,feasible_mat!M16=1),(VLOOKUP(M$1,test!$A$3:$I$32,8,FALSE))-(VLOOKUP($A16,test!$A$3:$I$32,9,FALSE)),0)</f>
        <v>25</v>
      </c>
      <c r="N16">
        <f>IF(AND($A16&lt;&gt;N$1,feasible_mat!N16=1),(VLOOKUP(N$1,test!$A$3:$I$32,8,FALSE))-(VLOOKUP($A16,test!$A$3:$I$32,9,FALSE)),0)</f>
        <v>385</v>
      </c>
      <c r="O16">
        <f>IF(AND($A16&lt;&gt;O$1,feasible_mat!O16=1),(VLOOKUP(O$1,test!$A$3:$I$32,8,FALSE))-(VLOOKUP($A16,test!$A$3:$I$32,9,FALSE)),0)</f>
        <v>445</v>
      </c>
      <c r="P16">
        <f>IF(AND($A16&lt;&gt;P$1,feasible_mat!P16=1),(VLOOKUP(P$1,test!$A$3:$I$32,8,FALSE))-(VLOOKUP($A16,test!$A$3:$I$32,9,FALSE)),0)</f>
        <v>0</v>
      </c>
      <c r="Q16">
        <f>IF(AND($A16&lt;&gt;Q$1,feasible_mat!Q16=1),(VLOOKUP(Q$1,test!$A$3:$I$32,8,FALSE))-(VLOOKUP($A16,test!$A$3:$I$32,9,FALSE)),0)</f>
        <v>0</v>
      </c>
      <c r="R16">
        <f>IF(AND($A16&lt;&gt;R$1,feasible_mat!R16=1),(VLOOKUP(R$1,test!$A$3:$I$32,8,FALSE))-(VLOOKUP($A16,test!$A$3:$I$32,9,FALSE)),0)</f>
        <v>0</v>
      </c>
      <c r="S16">
        <f>IF(AND($A16&lt;&gt;S$1,feasible_mat!S16=1),(VLOOKUP(S$1,test!$A$3:$I$32,8,FALSE))-(VLOOKUP($A16,test!$A$3:$I$32,9,FALSE)),0)</f>
        <v>0</v>
      </c>
      <c r="T16">
        <f>IF(AND($A16&lt;&gt;T$1,feasible_mat!T16=1),(VLOOKUP(T$1,test!$A$3:$I$32,8,FALSE))-(VLOOKUP($A16,test!$A$3:$I$32,9,FALSE)),0)</f>
        <v>40</v>
      </c>
      <c r="U16">
        <f>IF(AND($A16&lt;&gt;U$1,feasible_mat!U16=1),(VLOOKUP(U$1,test!$A$3:$I$32,8,FALSE))-(VLOOKUP($A16,test!$A$3:$I$32,9,FALSE)),0)</f>
        <v>130</v>
      </c>
      <c r="V16">
        <f>IF(AND($A16&lt;&gt;V$1,feasible_mat!V16=1),(VLOOKUP(V$1,test!$A$3:$I$32,8,FALSE))-(VLOOKUP($A16,test!$A$3:$I$32,9,FALSE)),0)</f>
        <v>220</v>
      </c>
      <c r="W16">
        <f>IF(AND($A16&lt;&gt;W$1,feasible_mat!W16=1),(VLOOKUP(W$1,test!$A$3:$I$32,8,FALSE))-(VLOOKUP($A16,test!$A$3:$I$32,9,FALSE)),0)</f>
        <v>310</v>
      </c>
      <c r="X16">
        <f>IF(AND($A16&lt;&gt;X$1,feasible_mat!X16=1),(VLOOKUP(X$1,test!$A$3:$I$32,8,FALSE))-(VLOOKUP($A16,test!$A$3:$I$32,9,FALSE)),0)</f>
        <v>370</v>
      </c>
      <c r="Y16">
        <f>IF(AND($A16&lt;&gt;Y$1,feasible_mat!Y16=1),(VLOOKUP(Y$1,test!$A$3:$I$32,8,FALSE))-(VLOOKUP($A16,test!$A$3:$I$32,9,FALSE)),0)</f>
        <v>0</v>
      </c>
      <c r="Z16">
        <f>IF(AND($A16&lt;&gt;Z$1,feasible_mat!Z16=1),(VLOOKUP(Z$1,test!$A$3:$I$32,8,FALSE))-(VLOOKUP($A16,test!$A$3:$I$32,9,FALSE)),0)</f>
        <v>0</v>
      </c>
      <c r="AA16">
        <f>IF(AND($A16&lt;&gt;AA$1,feasible_mat!AA16=1),(VLOOKUP(AA$1,test!$A$3:$I$32,8,FALSE))-(VLOOKUP($A16,test!$A$3:$I$32,9,FALSE)),0)</f>
        <v>90</v>
      </c>
      <c r="AB16">
        <f>IF(AND($A16&lt;&gt;AB$1,feasible_mat!AB16=1),(VLOOKUP(AB$1,test!$A$3:$I$32,8,FALSE))-(VLOOKUP($A16,test!$A$3:$I$32,9,FALSE)),0)</f>
        <v>150</v>
      </c>
      <c r="AC16">
        <f>IF(AND($A16&lt;&gt;AC$1,feasible_mat!AC16=1),(VLOOKUP(AC$1,test!$A$3:$I$32,8,FALSE))-(VLOOKUP($A16,test!$A$3:$I$32,9,FALSE)),0)</f>
        <v>270</v>
      </c>
      <c r="AD16">
        <f>IF(AND($A16&lt;&gt;AD$1,feasible_mat!AD16=1),(VLOOKUP(AD$1,test!$A$3:$I$32,8,FALSE))-(VLOOKUP($A16,test!$A$3:$I$32,9,FALSE)),0)</f>
        <v>0</v>
      </c>
      <c r="AE16">
        <f>IF(AND($A16&lt;&gt;AE$1,feasible_mat!AE16=1),(VLOOKUP(AE$1,test!$A$3:$I$32,8,FALSE))-(VLOOKUP($A16,test!$A$3:$I$32,9,FALSE)),0)</f>
        <v>90</v>
      </c>
      <c r="AF16">
        <f>IF(AND($A16&lt;&gt;AF$1,feasible_mat!AF16=1),(VLOOKUP(AF$1,test!$A$3:$I$32,8,FALSE))-(VLOOKUP($A16,test!$A$3:$I$32,9,FALSE)),0)</f>
        <v>40</v>
      </c>
      <c r="AJ16" s="16" t="s">
        <v>85</v>
      </c>
    </row>
    <row r="17" spans="1:36" x14ac:dyDescent="0.25">
      <c r="A17" t="s">
        <v>26</v>
      </c>
      <c r="B17">
        <v>0</v>
      </c>
      <c r="C17">
        <f>IF(AND($A17&lt;&gt;C$1,feasible_mat!C17=1),(VLOOKUP(C$1,test!$A$3:$I$32,8,FALSE))-(VLOOKUP($A17,test!$A$3:$I$32,9,FALSE)),0)</f>
        <v>0</v>
      </c>
      <c r="D17">
        <f>IF(AND($A17&lt;&gt;D$1,feasible_mat!D17=1),(VLOOKUP(D$1,test!$A$3:$I$32,8,FALSE))-(VLOOKUP($A17,test!$A$3:$I$32,9,FALSE)),0)</f>
        <v>65</v>
      </c>
      <c r="E17">
        <f>IF(AND($A17&lt;&gt;E$1,feasible_mat!E17=1),(VLOOKUP(E$1,test!$A$3:$I$32,8,FALSE))-(VLOOKUP($A17,test!$A$3:$I$32,9,FALSE)),0)</f>
        <v>155</v>
      </c>
      <c r="F17">
        <f>IF(AND($A17&lt;&gt;F$1,feasible_mat!F17=1),(VLOOKUP(F$1,test!$A$3:$I$32,8,FALSE))-(VLOOKUP($A17,test!$A$3:$I$32,9,FALSE)),0)</f>
        <v>245</v>
      </c>
      <c r="G17">
        <f>IF(AND($A17&lt;&gt;G$1,feasible_mat!G17=1),(VLOOKUP(G$1,test!$A$3:$I$32,8,FALSE))-(VLOOKUP($A17,test!$A$3:$I$32,9,FALSE)),0)</f>
        <v>305</v>
      </c>
      <c r="H17">
        <f>IF(AND($A17&lt;&gt;H$1,feasible_mat!H17=1),(VLOOKUP(H$1,test!$A$3:$I$32,8,FALSE))-(VLOOKUP($A17,test!$A$3:$I$32,9,FALSE)),0)</f>
        <v>365</v>
      </c>
      <c r="I17">
        <f>IF(AND($A17&lt;&gt;I$1,feasible_mat!I17=1),(VLOOKUP(I$1,test!$A$3:$I$32,8,FALSE))-(VLOOKUP($A17,test!$A$3:$I$32,9,FALSE)),0)</f>
        <v>425</v>
      </c>
      <c r="J17">
        <f>IF(AND($A17&lt;&gt;J$1,feasible_mat!J17=1),(VLOOKUP(J$1,test!$A$3:$I$32,8,FALSE))-(VLOOKUP($A17,test!$A$3:$I$32,9,FALSE)),0)</f>
        <v>515</v>
      </c>
      <c r="K17">
        <f>IF(AND($A17&lt;&gt;K$1,feasible_mat!K17=1),(VLOOKUP(K$1,test!$A$3:$I$32,8,FALSE))-(VLOOKUP($A17,test!$A$3:$I$32,9,FALSE)),0)</f>
        <v>0</v>
      </c>
      <c r="L17">
        <f>IF(AND($A17&lt;&gt;L$1,feasible_mat!L17=1),(VLOOKUP(L$1,test!$A$3:$I$32,8,FALSE))-(VLOOKUP($A17,test!$A$3:$I$32,9,FALSE)),0)</f>
        <v>0</v>
      </c>
      <c r="M17">
        <f>IF(AND($A17&lt;&gt;M$1,feasible_mat!M17=1),(VLOOKUP(M$1,test!$A$3:$I$32,8,FALSE))-(VLOOKUP($A17,test!$A$3:$I$32,9,FALSE)),0)</f>
        <v>120</v>
      </c>
      <c r="N17">
        <f>IF(AND($A17&lt;&gt;N$1,feasible_mat!N17=1),(VLOOKUP(N$1,test!$A$3:$I$32,8,FALSE))-(VLOOKUP($A17,test!$A$3:$I$32,9,FALSE)),0)</f>
        <v>480</v>
      </c>
      <c r="O17">
        <f>IF(AND($A17&lt;&gt;O$1,feasible_mat!O17=1),(VLOOKUP(O$1,test!$A$3:$I$32,8,FALSE))-(VLOOKUP($A17,test!$A$3:$I$32,9,FALSE)),0)</f>
        <v>540</v>
      </c>
      <c r="P17">
        <f>IF(AND($A17&lt;&gt;P$1,feasible_mat!P17=1),(VLOOKUP(P$1,test!$A$3:$I$32,8,FALSE))-(VLOOKUP($A17,test!$A$3:$I$32,9,FALSE)),0)</f>
        <v>0</v>
      </c>
      <c r="Q17">
        <f>IF(AND($A17&lt;&gt;Q$1,feasible_mat!Q17=1),(VLOOKUP(Q$1,test!$A$3:$I$32,8,FALSE))-(VLOOKUP($A17,test!$A$3:$I$32,9,FALSE)),0)</f>
        <v>0</v>
      </c>
      <c r="R17">
        <f>IF(AND($A17&lt;&gt;R$1,feasible_mat!R17=1),(VLOOKUP(R$1,test!$A$3:$I$32,8,FALSE))-(VLOOKUP($A17,test!$A$3:$I$32,9,FALSE)),0)</f>
        <v>0</v>
      </c>
      <c r="S17">
        <f>IF(AND($A17&lt;&gt;S$1,feasible_mat!S17=1),(VLOOKUP(S$1,test!$A$3:$I$32,8,FALSE))-(VLOOKUP($A17,test!$A$3:$I$32,9,FALSE)),0)</f>
        <v>45</v>
      </c>
      <c r="T17">
        <f>IF(AND($A17&lt;&gt;T$1,feasible_mat!T17=1),(VLOOKUP(T$1,test!$A$3:$I$32,8,FALSE))-(VLOOKUP($A17,test!$A$3:$I$32,9,FALSE)),0)</f>
        <v>135</v>
      </c>
      <c r="U17">
        <f>IF(AND($A17&lt;&gt;U$1,feasible_mat!U17=1),(VLOOKUP(U$1,test!$A$3:$I$32,8,FALSE))-(VLOOKUP($A17,test!$A$3:$I$32,9,FALSE)),0)</f>
        <v>225</v>
      </c>
      <c r="V17">
        <f>IF(AND($A17&lt;&gt;V$1,feasible_mat!V17=1),(VLOOKUP(V$1,test!$A$3:$I$32,8,FALSE))-(VLOOKUP($A17,test!$A$3:$I$32,9,FALSE)),0)</f>
        <v>315</v>
      </c>
      <c r="W17">
        <f>IF(AND($A17&lt;&gt;W$1,feasible_mat!W17=1),(VLOOKUP(W$1,test!$A$3:$I$32,8,FALSE))-(VLOOKUP($A17,test!$A$3:$I$32,9,FALSE)),0)</f>
        <v>405</v>
      </c>
      <c r="X17">
        <f>IF(AND($A17&lt;&gt;X$1,feasible_mat!X17=1),(VLOOKUP(X$1,test!$A$3:$I$32,8,FALSE))-(VLOOKUP($A17,test!$A$3:$I$32,9,FALSE)),0)</f>
        <v>465</v>
      </c>
      <c r="Y17">
        <f>IF(AND($A17&lt;&gt;Y$1,feasible_mat!Y17=1),(VLOOKUP(Y$1,test!$A$3:$I$32,8,FALSE))-(VLOOKUP($A17,test!$A$3:$I$32,9,FALSE)),0)</f>
        <v>0</v>
      </c>
      <c r="Z17">
        <f>IF(AND($A17&lt;&gt;Z$1,feasible_mat!Z17=1),(VLOOKUP(Z$1,test!$A$3:$I$32,8,FALSE))-(VLOOKUP($A17,test!$A$3:$I$32,9,FALSE)),0)</f>
        <v>65</v>
      </c>
      <c r="AA17">
        <f>IF(AND($A17&lt;&gt;AA$1,feasible_mat!AA17=1),(VLOOKUP(AA$1,test!$A$3:$I$32,8,FALSE))-(VLOOKUP($A17,test!$A$3:$I$32,9,FALSE)),0)</f>
        <v>185</v>
      </c>
      <c r="AB17">
        <f>IF(AND($A17&lt;&gt;AB$1,feasible_mat!AB17=1),(VLOOKUP(AB$1,test!$A$3:$I$32,8,FALSE))-(VLOOKUP($A17,test!$A$3:$I$32,9,FALSE)),0)</f>
        <v>245</v>
      </c>
      <c r="AC17">
        <f>IF(AND($A17&lt;&gt;AC$1,feasible_mat!AC17=1),(VLOOKUP(AC$1,test!$A$3:$I$32,8,FALSE))-(VLOOKUP($A17,test!$A$3:$I$32,9,FALSE)),0)</f>
        <v>365</v>
      </c>
      <c r="AD17">
        <f>IF(AND($A17&lt;&gt;AD$1,feasible_mat!AD17=1),(VLOOKUP(AD$1,test!$A$3:$I$32,8,FALSE))-(VLOOKUP($A17,test!$A$3:$I$32,9,FALSE)),0)</f>
        <v>0</v>
      </c>
      <c r="AE17">
        <f>IF(AND($A17&lt;&gt;AE$1,feasible_mat!AE17=1),(VLOOKUP(AE$1,test!$A$3:$I$32,8,FALSE))-(VLOOKUP($A17,test!$A$3:$I$32,9,FALSE)),0)</f>
        <v>185</v>
      </c>
      <c r="AF17">
        <f>IF(AND($A17&lt;&gt;AF$1,feasible_mat!AF17=1),(VLOOKUP(AF$1,test!$A$3:$I$32,8,FALSE))-(VLOOKUP($A17,test!$A$3:$I$32,9,FALSE)),0)</f>
        <v>135</v>
      </c>
      <c r="AJ17" s="16" t="b">
        <f>SUM(VLOOKUP($A11,test!$A$3:$F$32,2,FALSE),VLOOKUP(AF$1,test!$A$3:$F$32,2,FALSE))&lt;=test!$K$16</f>
        <v>0</v>
      </c>
    </row>
    <row r="18" spans="1:36" x14ac:dyDescent="0.25">
      <c r="A18" t="s">
        <v>27</v>
      </c>
      <c r="B18">
        <v>0</v>
      </c>
      <c r="C18">
        <f>IF(AND($A18&lt;&gt;C$1,feasible_mat!C18=1),(VLOOKUP(C$1,test!$A$3:$I$32,8,FALSE))-(VLOOKUP($A18,test!$A$3:$I$32,9,FALSE)),0)</f>
        <v>0</v>
      </c>
      <c r="D18">
        <f>IF(AND($A18&lt;&gt;D$1,feasible_mat!D18=1),(VLOOKUP(D$1,test!$A$3:$I$32,8,FALSE))-(VLOOKUP($A18,test!$A$3:$I$32,9,FALSE)),0)</f>
        <v>0</v>
      </c>
      <c r="E18">
        <f>IF(AND($A18&lt;&gt;E$1,feasible_mat!E18=1),(VLOOKUP(E$1,test!$A$3:$I$32,8,FALSE))-(VLOOKUP($A18,test!$A$3:$I$32,9,FALSE)),0)</f>
        <v>65</v>
      </c>
      <c r="F18">
        <f>IF(AND($A18&lt;&gt;F$1,feasible_mat!F18=1),(VLOOKUP(F$1,test!$A$3:$I$32,8,FALSE))-(VLOOKUP($A18,test!$A$3:$I$32,9,FALSE)),0)</f>
        <v>155</v>
      </c>
      <c r="G18">
        <f>IF(AND($A18&lt;&gt;G$1,feasible_mat!G18=1),(VLOOKUP(G$1,test!$A$3:$I$32,8,FALSE))-(VLOOKUP($A18,test!$A$3:$I$32,9,FALSE)),0)</f>
        <v>215</v>
      </c>
      <c r="H18">
        <f>IF(AND($A18&lt;&gt;H$1,feasible_mat!H18=1),(VLOOKUP(H$1,test!$A$3:$I$32,8,FALSE))-(VLOOKUP($A18,test!$A$3:$I$32,9,FALSE)),0)</f>
        <v>275</v>
      </c>
      <c r="I18">
        <f>IF(AND($A18&lt;&gt;I$1,feasible_mat!I18=1),(VLOOKUP(I$1,test!$A$3:$I$32,8,FALSE))-(VLOOKUP($A18,test!$A$3:$I$32,9,FALSE)),0)</f>
        <v>335</v>
      </c>
      <c r="J18">
        <f>IF(AND($A18&lt;&gt;J$1,feasible_mat!J18=1),(VLOOKUP(J$1,test!$A$3:$I$32,8,FALSE))-(VLOOKUP($A18,test!$A$3:$I$32,9,FALSE)),0)</f>
        <v>425</v>
      </c>
      <c r="K18">
        <f>IF(AND($A18&lt;&gt;K$1,feasible_mat!K18=1),(VLOOKUP(K$1,test!$A$3:$I$32,8,FALSE))-(VLOOKUP($A18,test!$A$3:$I$32,9,FALSE)),0)</f>
        <v>0</v>
      </c>
      <c r="L18">
        <f>IF(AND($A18&lt;&gt;L$1,feasible_mat!L18=1),(VLOOKUP(L$1,test!$A$3:$I$32,8,FALSE))-(VLOOKUP($A18,test!$A$3:$I$32,9,FALSE)),0)</f>
        <v>0</v>
      </c>
      <c r="M18">
        <f>IF(AND($A18&lt;&gt;M$1,feasible_mat!M18=1),(VLOOKUP(M$1,test!$A$3:$I$32,8,FALSE))-(VLOOKUP($A18,test!$A$3:$I$32,9,FALSE)),0)</f>
        <v>30</v>
      </c>
      <c r="N18">
        <f>IF(AND($A18&lt;&gt;N$1,feasible_mat!N18=1),(VLOOKUP(N$1,test!$A$3:$I$32,8,FALSE))-(VLOOKUP($A18,test!$A$3:$I$32,9,FALSE)),0)</f>
        <v>390</v>
      </c>
      <c r="O18">
        <f>IF(AND($A18&lt;&gt;O$1,feasible_mat!O18=1),(VLOOKUP(O$1,test!$A$3:$I$32,8,FALSE))-(VLOOKUP($A18,test!$A$3:$I$32,9,FALSE)),0)</f>
        <v>450</v>
      </c>
      <c r="P18">
        <f>IF(AND($A18&lt;&gt;P$1,feasible_mat!P18=1),(VLOOKUP(P$1,test!$A$3:$I$32,8,FALSE))-(VLOOKUP($A18,test!$A$3:$I$32,9,FALSE)),0)</f>
        <v>0</v>
      </c>
      <c r="Q18">
        <f>IF(AND($A18&lt;&gt;Q$1,feasible_mat!Q18=1),(VLOOKUP(Q$1,test!$A$3:$I$32,8,FALSE))-(VLOOKUP($A18,test!$A$3:$I$32,9,FALSE)),0)</f>
        <v>0</v>
      </c>
      <c r="R18">
        <f>IF(AND($A18&lt;&gt;R$1,feasible_mat!R18=1),(VLOOKUP(R$1,test!$A$3:$I$32,8,FALSE))-(VLOOKUP($A18,test!$A$3:$I$32,9,FALSE)),0)</f>
        <v>0</v>
      </c>
      <c r="S18">
        <f>IF(AND($A18&lt;&gt;S$1,feasible_mat!S18=1),(VLOOKUP(S$1,test!$A$3:$I$32,8,FALSE))-(VLOOKUP($A18,test!$A$3:$I$32,9,FALSE)),0)</f>
        <v>0</v>
      </c>
      <c r="T18">
        <f>IF(AND($A18&lt;&gt;T$1,feasible_mat!T18=1),(VLOOKUP(T$1,test!$A$3:$I$32,8,FALSE))-(VLOOKUP($A18,test!$A$3:$I$32,9,FALSE)),0)</f>
        <v>45</v>
      </c>
      <c r="U18">
        <f>IF(AND($A18&lt;&gt;U$1,feasible_mat!U18=1),(VLOOKUP(U$1,test!$A$3:$I$32,8,FALSE))-(VLOOKUP($A18,test!$A$3:$I$32,9,FALSE)),0)</f>
        <v>135</v>
      </c>
      <c r="V18">
        <f>IF(AND($A18&lt;&gt;V$1,feasible_mat!V18=1),(VLOOKUP(V$1,test!$A$3:$I$32,8,FALSE))-(VLOOKUP($A18,test!$A$3:$I$32,9,FALSE)),0)</f>
        <v>225</v>
      </c>
      <c r="W18">
        <f>IF(AND($A18&lt;&gt;W$1,feasible_mat!W18=1),(VLOOKUP(W$1,test!$A$3:$I$32,8,FALSE))-(VLOOKUP($A18,test!$A$3:$I$32,9,FALSE)),0)</f>
        <v>315</v>
      </c>
      <c r="X18">
        <f>IF(AND($A18&lt;&gt;X$1,feasible_mat!X18=1),(VLOOKUP(X$1,test!$A$3:$I$32,8,FALSE))-(VLOOKUP($A18,test!$A$3:$I$32,9,FALSE)),0)</f>
        <v>375</v>
      </c>
      <c r="Y18">
        <f>IF(AND($A18&lt;&gt;Y$1,feasible_mat!Y18=1),(VLOOKUP(Y$1,test!$A$3:$I$32,8,FALSE))-(VLOOKUP($A18,test!$A$3:$I$32,9,FALSE)),0)</f>
        <v>0</v>
      </c>
      <c r="Z18">
        <f>IF(AND($A18&lt;&gt;Z$1,feasible_mat!Z18=1),(VLOOKUP(Z$1,test!$A$3:$I$32,8,FALSE))-(VLOOKUP($A18,test!$A$3:$I$32,9,FALSE)),0)</f>
        <v>0</v>
      </c>
      <c r="AA18">
        <f>IF(AND($A18&lt;&gt;AA$1,feasible_mat!AA18=1),(VLOOKUP(AA$1,test!$A$3:$I$32,8,FALSE))-(VLOOKUP($A18,test!$A$3:$I$32,9,FALSE)),0)</f>
        <v>95</v>
      </c>
      <c r="AB18">
        <f>IF(AND($A18&lt;&gt;AB$1,feasible_mat!AB18=1),(VLOOKUP(AB$1,test!$A$3:$I$32,8,FALSE))-(VLOOKUP($A18,test!$A$3:$I$32,9,FALSE)),0)</f>
        <v>155</v>
      </c>
      <c r="AC18">
        <f>IF(AND($A18&lt;&gt;AC$1,feasible_mat!AC18=1),(VLOOKUP(AC$1,test!$A$3:$I$32,8,FALSE))-(VLOOKUP($A18,test!$A$3:$I$32,9,FALSE)),0)</f>
        <v>275</v>
      </c>
      <c r="AD18">
        <f>IF(AND($A18&lt;&gt;AD$1,feasible_mat!AD18=1),(VLOOKUP(AD$1,test!$A$3:$I$32,8,FALSE))-(VLOOKUP($A18,test!$A$3:$I$32,9,FALSE)),0)</f>
        <v>0</v>
      </c>
      <c r="AE18">
        <f>IF(AND($A18&lt;&gt;AE$1,feasible_mat!AE18=1),(VLOOKUP(AE$1,test!$A$3:$I$32,8,FALSE))-(VLOOKUP($A18,test!$A$3:$I$32,9,FALSE)),0)</f>
        <v>95</v>
      </c>
      <c r="AF18">
        <f>IF(AND($A18&lt;&gt;AF$1,feasible_mat!AF18=1),(VLOOKUP(AF$1,test!$A$3:$I$32,8,FALSE))-(VLOOKUP($A18,test!$A$3:$I$32,9,FALSE)),0)</f>
        <v>45</v>
      </c>
      <c r="AJ18" s="16">
        <f>IF(SUM(VLOOKUP($A11,test!$A$3:$F$32,2,FALSE),VLOOKUP(AF$1,test!$A$3:$F$32,2,FALSE))&lt;=350,10,0)</f>
        <v>0</v>
      </c>
    </row>
    <row r="19" spans="1:36" x14ac:dyDescent="0.25">
      <c r="A19" t="s">
        <v>28</v>
      </c>
      <c r="B19">
        <v>0</v>
      </c>
      <c r="C19">
        <f>IF(AND($A19&lt;&gt;C$1,feasible_mat!C19=1),(VLOOKUP(C$1,test!$A$3:$I$32,8,FALSE))-(VLOOKUP($A19,test!$A$3:$I$32,9,FALSE)),0)</f>
        <v>0</v>
      </c>
      <c r="D19">
        <f>IF(AND($A19&lt;&gt;D$1,feasible_mat!D19=1),(VLOOKUP(D$1,test!$A$3:$I$32,8,FALSE))-(VLOOKUP($A19,test!$A$3:$I$32,9,FALSE)),0)</f>
        <v>0</v>
      </c>
      <c r="E19">
        <f>IF(AND($A19&lt;&gt;E$1,feasible_mat!E19=1),(VLOOKUP(E$1,test!$A$3:$I$32,8,FALSE))-(VLOOKUP($A19,test!$A$3:$I$32,9,FALSE)),0)</f>
        <v>0</v>
      </c>
      <c r="F19">
        <f>IF(AND($A19&lt;&gt;F$1,feasible_mat!F19=1),(VLOOKUP(F$1,test!$A$3:$I$32,8,FALSE))-(VLOOKUP($A19,test!$A$3:$I$32,9,FALSE)),0)</f>
        <v>65</v>
      </c>
      <c r="G19">
        <f>IF(AND($A19&lt;&gt;G$1,feasible_mat!G19=1),(VLOOKUP(G$1,test!$A$3:$I$32,8,FALSE))-(VLOOKUP($A19,test!$A$3:$I$32,9,FALSE)),0)</f>
        <v>125</v>
      </c>
      <c r="H19">
        <f>IF(AND($A19&lt;&gt;H$1,feasible_mat!H19=1),(VLOOKUP(H$1,test!$A$3:$I$32,8,FALSE))-(VLOOKUP($A19,test!$A$3:$I$32,9,FALSE)),0)</f>
        <v>185</v>
      </c>
      <c r="I19">
        <f>IF(AND($A19&lt;&gt;I$1,feasible_mat!I19=1),(VLOOKUP(I$1,test!$A$3:$I$32,8,FALSE))-(VLOOKUP($A19,test!$A$3:$I$32,9,FALSE)),0)</f>
        <v>245</v>
      </c>
      <c r="J19">
        <f>IF(AND($A19&lt;&gt;J$1,feasible_mat!J19=1),(VLOOKUP(J$1,test!$A$3:$I$32,8,FALSE))-(VLOOKUP($A19,test!$A$3:$I$32,9,FALSE)),0)</f>
        <v>335</v>
      </c>
      <c r="K19">
        <f>IF(AND($A19&lt;&gt;K$1,feasible_mat!K19=1),(VLOOKUP(K$1,test!$A$3:$I$32,8,FALSE))-(VLOOKUP($A19,test!$A$3:$I$32,9,FALSE)),0)</f>
        <v>0</v>
      </c>
      <c r="L19">
        <f>IF(AND($A19&lt;&gt;L$1,feasible_mat!L19=1),(VLOOKUP(L$1,test!$A$3:$I$32,8,FALSE))-(VLOOKUP($A19,test!$A$3:$I$32,9,FALSE)),0)</f>
        <v>0</v>
      </c>
      <c r="M19">
        <f>IF(AND($A19&lt;&gt;M$1,feasible_mat!M19=1),(VLOOKUP(M$1,test!$A$3:$I$32,8,FALSE))-(VLOOKUP($A19,test!$A$3:$I$32,9,FALSE)),0)</f>
        <v>0</v>
      </c>
      <c r="N19">
        <f>IF(AND($A19&lt;&gt;N$1,feasible_mat!N19=1),(VLOOKUP(N$1,test!$A$3:$I$32,8,FALSE))-(VLOOKUP($A19,test!$A$3:$I$32,9,FALSE)),0)</f>
        <v>300</v>
      </c>
      <c r="O19">
        <f>IF(AND($A19&lt;&gt;O$1,feasible_mat!O19=1),(VLOOKUP(O$1,test!$A$3:$I$32,8,FALSE))-(VLOOKUP($A19,test!$A$3:$I$32,9,FALSE)),0)</f>
        <v>360</v>
      </c>
      <c r="P19">
        <f>IF(AND($A19&lt;&gt;P$1,feasible_mat!P19=1),(VLOOKUP(P$1,test!$A$3:$I$32,8,FALSE))-(VLOOKUP($A19,test!$A$3:$I$32,9,FALSE)),0)</f>
        <v>0</v>
      </c>
      <c r="Q19">
        <f>IF(AND($A19&lt;&gt;Q$1,feasible_mat!Q19=1),(VLOOKUP(Q$1,test!$A$3:$I$32,8,FALSE))-(VLOOKUP($A19,test!$A$3:$I$32,9,FALSE)),0)</f>
        <v>0</v>
      </c>
      <c r="R19">
        <f>IF(AND($A19&lt;&gt;R$1,feasible_mat!R19=1),(VLOOKUP(R$1,test!$A$3:$I$32,8,FALSE))-(VLOOKUP($A19,test!$A$3:$I$32,9,FALSE)),0)</f>
        <v>0</v>
      </c>
      <c r="S19">
        <f>IF(AND($A19&lt;&gt;S$1,feasible_mat!S19=1),(VLOOKUP(S$1,test!$A$3:$I$32,8,FALSE))-(VLOOKUP($A19,test!$A$3:$I$32,9,FALSE)),0)</f>
        <v>0</v>
      </c>
      <c r="T19">
        <f>IF(AND($A19&lt;&gt;T$1,feasible_mat!T19=1),(VLOOKUP(T$1,test!$A$3:$I$32,8,FALSE))-(VLOOKUP($A19,test!$A$3:$I$32,9,FALSE)),0)</f>
        <v>0</v>
      </c>
      <c r="U19">
        <f>IF(AND($A19&lt;&gt;U$1,feasible_mat!U19=1),(VLOOKUP(U$1,test!$A$3:$I$32,8,FALSE))-(VLOOKUP($A19,test!$A$3:$I$32,9,FALSE)),0)</f>
        <v>45</v>
      </c>
      <c r="V19">
        <f>IF(AND($A19&lt;&gt;V$1,feasible_mat!V19=1),(VLOOKUP(V$1,test!$A$3:$I$32,8,FALSE))-(VLOOKUP($A19,test!$A$3:$I$32,9,FALSE)),0)</f>
        <v>135</v>
      </c>
      <c r="W19">
        <f>IF(AND($A19&lt;&gt;W$1,feasible_mat!W19=1),(VLOOKUP(W$1,test!$A$3:$I$32,8,FALSE))-(VLOOKUP($A19,test!$A$3:$I$32,9,FALSE)),0)</f>
        <v>225</v>
      </c>
      <c r="X19">
        <f>IF(AND($A19&lt;&gt;X$1,feasible_mat!X19=1),(VLOOKUP(X$1,test!$A$3:$I$32,8,FALSE))-(VLOOKUP($A19,test!$A$3:$I$32,9,FALSE)),0)</f>
        <v>285</v>
      </c>
      <c r="Y19">
        <f>IF(AND($A19&lt;&gt;Y$1,feasible_mat!Y19=1),(VLOOKUP(Y$1,test!$A$3:$I$32,8,FALSE))-(VLOOKUP($A19,test!$A$3:$I$32,9,FALSE)),0)</f>
        <v>0</v>
      </c>
      <c r="Z19">
        <f>IF(AND($A19&lt;&gt;Z$1,feasible_mat!Z19=1),(VLOOKUP(Z$1,test!$A$3:$I$32,8,FALSE))-(VLOOKUP($A19,test!$A$3:$I$32,9,FALSE)),0)</f>
        <v>0</v>
      </c>
      <c r="AA19">
        <f>IF(AND($A19&lt;&gt;AA$1,feasible_mat!AA19=1),(VLOOKUP(AA$1,test!$A$3:$I$32,8,FALSE))-(VLOOKUP($A19,test!$A$3:$I$32,9,FALSE)),0)</f>
        <v>0</v>
      </c>
      <c r="AB19">
        <f>IF(AND($A19&lt;&gt;AB$1,feasible_mat!AB19=1),(VLOOKUP(AB$1,test!$A$3:$I$32,8,FALSE))-(VLOOKUP($A19,test!$A$3:$I$32,9,FALSE)),0)</f>
        <v>65</v>
      </c>
      <c r="AC19">
        <f>IF(AND($A19&lt;&gt;AC$1,feasible_mat!AC19=1),(VLOOKUP(AC$1,test!$A$3:$I$32,8,FALSE))-(VLOOKUP($A19,test!$A$3:$I$32,9,FALSE)),0)</f>
        <v>185</v>
      </c>
      <c r="AD19">
        <f>IF(AND($A19&lt;&gt;AD$1,feasible_mat!AD19=1),(VLOOKUP(AD$1,test!$A$3:$I$32,8,FALSE))-(VLOOKUP($A19,test!$A$3:$I$32,9,FALSE)),0)</f>
        <v>0</v>
      </c>
      <c r="AE19">
        <f>IF(AND($A19&lt;&gt;AE$1,feasible_mat!AE19=1),(VLOOKUP(AE$1,test!$A$3:$I$32,8,FALSE))-(VLOOKUP($A19,test!$A$3:$I$32,9,FALSE)),0)</f>
        <v>0</v>
      </c>
      <c r="AF19">
        <f>IF(AND($A19&lt;&gt;AF$1,feasible_mat!AF19=1),(VLOOKUP(AF$1,test!$A$3:$I$32,8,FALSE))-(VLOOKUP($A19,test!$A$3:$I$32,9,FALSE)),0)</f>
        <v>0</v>
      </c>
      <c r="AJ19" s="16">
        <f>SUM(VLOOKUP($A11,test!$A$3:$F$32,2,FALSE),VLOOKUP(AF$1,test!$A$3:$F$32,2,FALSE))</f>
        <v>410</v>
      </c>
    </row>
    <row r="20" spans="1:36" x14ac:dyDescent="0.25">
      <c r="A20" t="s">
        <v>29</v>
      </c>
      <c r="B20">
        <v>0</v>
      </c>
      <c r="C20">
        <f>IF(AND($A20&lt;&gt;C$1,feasible_mat!C20=1),(VLOOKUP(C$1,test!$A$3:$I$32,8,FALSE))-(VLOOKUP($A20,test!$A$3:$I$32,9,FALSE)),0)</f>
        <v>0</v>
      </c>
      <c r="D20">
        <f>IF(AND($A20&lt;&gt;D$1,feasible_mat!D20=1),(VLOOKUP(D$1,test!$A$3:$I$32,8,FALSE))-(VLOOKUP($A20,test!$A$3:$I$32,9,FALSE)),0)</f>
        <v>0</v>
      </c>
      <c r="E20">
        <f>IF(AND($A20&lt;&gt;E$1,feasible_mat!E20=1),(VLOOKUP(E$1,test!$A$3:$I$32,8,FALSE))-(VLOOKUP($A20,test!$A$3:$I$32,9,FALSE)),0)</f>
        <v>0</v>
      </c>
      <c r="F20">
        <f>IF(AND($A20&lt;&gt;F$1,feasible_mat!F20=1),(VLOOKUP(F$1,test!$A$3:$I$32,8,FALSE))-(VLOOKUP($A20,test!$A$3:$I$32,9,FALSE)),0)</f>
        <v>0</v>
      </c>
      <c r="G20">
        <f>IF(AND($A20&lt;&gt;G$1,feasible_mat!G20=1),(VLOOKUP(G$1,test!$A$3:$I$32,8,FALSE))-(VLOOKUP($A20,test!$A$3:$I$32,9,FALSE)),0)</f>
        <v>35</v>
      </c>
      <c r="H20">
        <f>IF(AND($A20&lt;&gt;H$1,feasible_mat!H20=1),(VLOOKUP(H$1,test!$A$3:$I$32,8,FALSE))-(VLOOKUP($A20,test!$A$3:$I$32,9,FALSE)),0)</f>
        <v>95</v>
      </c>
      <c r="I20">
        <f>IF(AND($A20&lt;&gt;I$1,feasible_mat!I20=1),(VLOOKUP(I$1,test!$A$3:$I$32,8,FALSE))-(VLOOKUP($A20,test!$A$3:$I$32,9,FALSE)),0)</f>
        <v>155</v>
      </c>
      <c r="J20">
        <f>IF(AND($A20&lt;&gt;J$1,feasible_mat!J20=1),(VLOOKUP(J$1,test!$A$3:$I$32,8,FALSE))-(VLOOKUP($A20,test!$A$3:$I$32,9,FALSE)),0)</f>
        <v>245</v>
      </c>
      <c r="K20">
        <f>IF(AND($A20&lt;&gt;K$1,feasible_mat!K20=1),(VLOOKUP(K$1,test!$A$3:$I$32,8,FALSE))-(VLOOKUP($A20,test!$A$3:$I$32,9,FALSE)),0)</f>
        <v>0</v>
      </c>
      <c r="L20">
        <f>IF(AND($A20&lt;&gt;L$1,feasible_mat!L20=1),(VLOOKUP(L$1,test!$A$3:$I$32,8,FALSE))-(VLOOKUP($A20,test!$A$3:$I$32,9,FALSE)),0)</f>
        <v>0</v>
      </c>
      <c r="M20">
        <f>IF(AND($A20&lt;&gt;M$1,feasible_mat!M20=1),(VLOOKUP(M$1,test!$A$3:$I$32,8,FALSE))-(VLOOKUP($A20,test!$A$3:$I$32,9,FALSE)),0)</f>
        <v>0</v>
      </c>
      <c r="N20">
        <f>IF(AND($A20&lt;&gt;N$1,feasible_mat!N20=1),(VLOOKUP(N$1,test!$A$3:$I$32,8,FALSE))-(VLOOKUP($A20,test!$A$3:$I$32,9,FALSE)),0)</f>
        <v>210</v>
      </c>
      <c r="O20">
        <f>IF(AND($A20&lt;&gt;O$1,feasible_mat!O20=1),(VLOOKUP(O$1,test!$A$3:$I$32,8,FALSE))-(VLOOKUP($A20,test!$A$3:$I$32,9,FALSE)),0)</f>
        <v>270</v>
      </c>
      <c r="P20">
        <f>IF(AND($A20&lt;&gt;P$1,feasible_mat!P20=1),(VLOOKUP(P$1,test!$A$3:$I$32,8,FALSE))-(VLOOKUP($A20,test!$A$3:$I$32,9,FALSE)),0)</f>
        <v>0</v>
      </c>
      <c r="Q20">
        <f>IF(AND($A20&lt;&gt;Q$1,feasible_mat!Q20=1),(VLOOKUP(Q$1,test!$A$3:$I$32,8,FALSE))-(VLOOKUP($A20,test!$A$3:$I$32,9,FALSE)),0)</f>
        <v>0</v>
      </c>
      <c r="R20">
        <f>IF(AND($A20&lt;&gt;R$1,feasible_mat!R20=1),(VLOOKUP(R$1,test!$A$3:$I$32,8,FALSE))-(VLOOKUP($A20,test!$A$3:$I$32,9,FALSE)),0)</f>
        <v>0</v>
      </c>
      <c r="S20">
        <f>IF(AND($A20&lt;&gt;S$1,feasible_mat!S20=1),(VLOOKUP(S$1,test!$A$3:$I$32,8,FALSE))-(VLOOKUP($A20,test!$A$3:$I$32,9,FALSE)),0)</f>
        <v>0</v>
      </c>
      <c r="T20">
        <f>IF(AND($A20&lt;&gt;T$1,feasible_mat!T20=1),(VLOOKUP(T$1,test!$A$3:$I$32,8,FALSE))-(VLOOKUP($A20,test!$A$3:$I$32,9,FALSE)),0)</f>
        <v>0</v>
      </c>
      <c r="U20">
        <f>IF(AND($A20&lt;&gt;U$1,feasible_mat!U20=1),(VLOOKUP(U$1,test!$A$3:$I$32,8,FALSE))-(VLOOKUP($A20,test!$A$3:$I$32,9,FALSE)),0)</f>
        <v>0</v>
      </c>
      <c r="V20">
        <f>IF(AND($A20&lt;&gt;V$1,feasible_mat!V20=1),(VLOOKUP(V$1,test!$A$3:$I$32,8,FALSE))-(VLOOKUP($A20,test!$A$3:$I$32,9,FALSE)),0)</f>
        <v>45</v>
      </c>
      <c r="W20">
        <f>IF(AND($A20&lt;&gt;W$1,feasible_mat!W20=1),(VLOOKUP(W$1,test!$A$3:$I$32,8,FALSE))-(VLOOKUP($A20,test!$A$3:$I$32,9,FALSE)),0)</f>
        <v>135</v>
      </c>
      <c r="X20">
        <f>IF(AND($A20&lt;&gt;X$1,feasible_mat!X20=1),(VLOOKUP(X$1,test!$A$3:$I$32,8,FALSE))-(VLOOKUP($A20,test!$A$3:$I$32,9,FALSE)),0)</f>
        <v>195</v>
      </c>
      <c r="Y20">
        <f>IF(AND($A20&lt;&gt;Y$1,feasible_mat!Y20=1),(VLOOKUP(Y$1,test!$A$3:$I$32,8,FALSE))-(VLOOKUP($A20,test!$A$3:$I$32,9,FALSE)),0)</f>
        <v>0</v>
      </c>
      <c r="Z20">
        <f>IF(AND($A20&lt;&gt;Z$1,feasible_mat!Z20=1),(VLOOKUP(Z$1,test!$A$3:$I$32,8,FALSE))-(VLOOKUP($A20,test!$A$3:$I$32,9,FALSE)),0)</f>
        <v>0</v>
      </c>
      <c r="AA20">
        <f>IF(AND($A20&lt;&gt;AA$1,feasible_mat!AA20=1),(VLOOKUP(AA$1,test!$A$3:$I$32,8,FALSE))-(VLOOKUP($A20,test!$A$3:$I$32,9,FALSE)),0)</f>
        <v>0</v>
      </c>
      <c r="AB20">
        <f>IF(AND($A20&lt;&gt;AB$1,feasible_mat!AB20=1),(VLOOKUP(AB$1,test!$A$3:$I$32,8,FALSE))-(VLOOKUP($A20,test!$A$3:$I$32,9,FALSE)),0)</f>
        <v>0</v>
      </c>
      <c r="AC20">
        <f>IF(AND($A20&lt;&gt;AC$1,feasible_mat!AC20=1),(VLOOKUP(AC$1,test!$A$3:$I$32,8,FALSE))-(VLOOKUP($A20,test!$A$3:$I$32,9,FALSE)),0)</f>
        <v>95</v>
      </c>
      <c r="AD20">
        <f>IF(AND($A20&lt;&gt;AD$1,feasible_mat!AD20=1),(VLOOKUP(AD$1,test!$A$3:$I$32,8,FALSE))-(VLOOKUP($A20,test!$A$3:$I$32,9,FALSE)),0)</f>
        <v>0</v>
      </c>
      <c r="AE20">
        <f>IF(AND($A20&lt;&gt;AE$1,feasible_mat!AE20=1),(VLOOKUP(AE$1,test!$A$3:$I$32,8,FALSE))-(VLOOKUP($A20,test!$A$3:$I$32,9,FALSE)),0)</f>
        <v>0</v>
      </c>
      <c r="AF20">
        <f>IF(AND($A20&lt;&gt;AF$1,feasible_mat!AF20=1),(VLOOKUP(AF$1,test!$A$3:$I$32,8,FALSE))-(VLOOKUP($A20,test!$A$3:$I$32,9,FALSE)),0)</f>
        <v>0</v>
      </c>
    </row>
    <row r="21" spans="1:36" x14ac:dyDescent="0.25">
      <c r="A21" t="s">
        <v>30</v>
      </c>
      <c r="B21">
        <v>0</v>
      </c>
      <c r="C21">
        <f>IF(AND($A21&lt;&gt;C$1,feasible_mat!C21=1),(VLOOKUP(C$1,test!$A$3:$I$32,8,FALSE))-(VLOOKUP($A21,test!$A$3:$I$32,9,FALSE)),0)</f>
        <v>0</v>
      </c>
      <c r="D21">
        <f>IF(AND($A21&lt;&gt;D$1,feasible_mat!D21=1),(VLOOKUP(D$1,test!$A$3:$I$32,8,FALSE))-(VLOOKUP($A21,test!$A$3:$I$32,9,FALSE)),0)</f>
        <v>0</v>
      </c>
      <c r="E21">
        <f>IF(AND($A21&lt;&gt;E$1,feasible_mat!E21=1),(VLOOKUP(E$1,test!$A$3:$I$32,8,FALSE))-(VLOOKUP($A21,test!$A$3:$I$32,9,FALSE)),0)</f>
        <v>0</v>
      </c>
      <c r="F21">
        <f>IF(AND($A21&lt;&gt;F$1,feasible_mat!F21=1),(VLOOKUP(F$1,test!$A$3:$I$32,8,FALSE))-(VLOOKUP($A21,test!$A$3:$I$32,9,FALSE)),0)</f>
        <v>0</v>
      </c>
      <c r="G21">
        <f>IF(AND($A21&lt;&gt;G$1,feasible_mat!G21=1),(VLOOKUP(G$1,test!$A$3:$I$32,8,FALSE))-(VLOOKUP($A21,test!$A$3:$I$32,9,FALSE)),0)</f>
        <v>0</v>
      </c>
      <c r="H21">
        <f>IF(AND($A21&lt;&gt;H$1,feasible_mat!H21=1),(VLOOKUP(H$1,test!$A$3:$I$32,8,FALSE))-(VLOOKUP($A21,test!$A$3:$I$32,9,FALSE)),0)</f>
        <v>0</v>
      </c>
      <c r="I21">
        <f>IF(AND($A21&lt;&gt;I$1,feasible_mat!I21=1),(VLOOKUP(I$1,test!$A$3:$I$32,8,FALSE))-(VLOOKUP($A21,test!$A$3:$I$32,9,FALSE)),0)</f>
        <v>65</v>
      </c>
      <c r="J21">
        <f>IF(AND($A21&lt;&gt;J$1,feasible_mat!J21=1),(VLOOKUP(J$1,test!$A$3:$I$32,8,FALSE))-(VLOOKUP($A21,test!$A$3:$I$32,9,FALSE)),0)</f>
        <v>155</v>
      </c>
      <c r="K21">
        <f>IF(AND($A21&lt;&gt;K$1,feasible_mat!K21=1),(VLOOKUP(K$1,test!$A$3:$I$32,8,FALSE))-(VLOOKUP($A21,test!$A$3:$I$32,9,FALSE)),0)</f>
        <v>0</v>
      </c>
      <c r="L21">
        <f>IF(AND($A21&lt;&gt;L$1,feasible_mat!L21=1),(VLOOKUP(L$1,test!$A$3:$I$32,8,FALSE))-(VLOOKUP($A21,test!$A$3:$I$32,9,FALSE)),0)</f>
        <v>0</v>
      </c>
      <c r="M21">
        <f>IF(AND($A21&lt;&gt;M$1,feasible_mat!M21=1),(VLOOKUP(M$1,test!$A$3:$I$32,8,FALSE))-(VLOOKUP($A21,test!$A$3:$I$32,9,FALSE)),0)</f>
        <v>0</v>
      </c>
      <c r="N21">
        <f>IF(AND($A21&lt;&gt;N$1,feasible_mat!N21=1),(VLOOKUP(N$1,test!$A$3:$I$32,8,FALSE))-(VLOOKUP($A21,test!$A$3:$I$32,9,FALSE)),0)</f>
        <v>120</v>
      </c>
      <c r="O21">
        <f>IF(AND($A21&lt;&gt;O$1,feasible_mat!O21=1),(VLOOKUP(O$1,test!$A$3:$I$32,8,FALSE))-(VLOOKUP($A21,test!$A$3:$I$32,9,FALSE)),0)</f>
        <v>180</v>
      </c>
      <c r="P21">
        <f>IF(AND($A21&lt;&gt;P$1,feasible_mat!P21=1),(VLOOKUP(P$1,test!$A$3:$I$32,8,FALSE))-(VLOOKUP($A21,test!$A$3:$I$32,9,FALSE)),0)</f>
        <v>0</v>
      </c>
      <c r="Q21">
        <f>IF(AND($A21&lt;&gt;Q$1,feasible_mat!Q21=1),(VLOOKUP(Q$1,test!$A$3:$I$32,8,FALSE))-(VLOOKUP($A21,test!$A$3:$I$32,9,FALSE)),0)</f>
        <v>0</v>
      </c>
      <c r="R21">
        <f>IF(AND($A21&lt;&gt;R$1,feasible_mat!R21=1),(VLOOKUP(R$1,test!$A$3:$I$32,8,FALSE))-(VLOOKUP($A21,test!$A$3:$I$32,9,FALSE)),0)</f>
        <v>0</v>
      </c>
      <c r="S21">
        <f>IF(AND($A21&lt;&gt;S$1,feasible_mat!S21=1),(VLOOKUP(S$1,test!$A$3:$I$32,8,FALSE))-(VLOOKUP($A21,test!$A$3:$I$32,9,FALSE)),0)</f>
        <v>0</v>
      </c>
      <c r="T21">
        <f>IF(AND($A21&lt;&gt;T$1,feasible_mat!T21=1),(VLOOKUP(T$1,test!$A$3:$I$32,8,FALSE))-(VLOOKUP($A21,test!$A$3:$I$32,9,FALSE)),0)</f>
        <v>0</v>
      </c>
      <c r="U21">
        <f>IF(AND($A21&lt;&gt;U$1,feasible_mat!U21=1),(VLOOKUP(U$1,test!$A$3:$I$32,8,FALSE))-(VLOOKUP($A21,test!$A$3:$I$32,9,FALSE)),0)</f>
        <v>0</v>
      </c>
      <c r="V21">
        <f>IF(AND($A21&lt;&gt;V$1,feasible_mat!V21=1),(VLOOKUP(V$1,test!$A$3:$I$32,8,FALSE))-(VLOOKUP($A21,test!$A$3:$I$32,9,FALSE)),0)</f>
        <v>0</v>
      </c>
      <c r="W21">
        <f>IF(AND($A21&lt;&gt;W$1,feasible_mat!W21=1),(VLOOKUP(W$1,test!$A$3:$I$32,8,FALSE))-(VLOOKUP($A21,test!$A$3:$I$32,9,FALSE)),0)</f>
        <v>45</v>
      </c>
      <c r="X21">
        <f>IF(AND($A21&lt;&gt;X$1,feasible_mat!X21=1),(VLOOKUP(X$1,test!$A$3:$I$32,8,FALSE))-(VLOOKUP($A21,test!$A$3:$I$32,9,FALSE)),0)</f>
        <v>105</v>
      </c>
      <c r="Y21">
        <f>IF(AND($A21&lt;&gt;Y$1,feasible_mat!Y21=1),(VLOOKUP(Y$1,test!$A$3:$I$32,8,FALSE))-(VLOOKUP($A21,test!$A$3:$I$32,9,FALSE)),0)</f>
        <v>0</v>
      </c>
      <c r="Z21">
        <f>IF(AND($A21&lt;&gt;Z$1,feasible_mat!Z21=1),(VLOOKUP(Z$1,test!$A$3:$I$32,8,FALSE))-(VLOOKUP($A21,test!$A$3:$I$32,9,FALSE)),0)</f>
        <v>0</v>
      </c>
      <c r="AA21">
        <f>IF(AND($A21&lt;&gt;AA$1,feasible_mat!AA21=1),(VLOOKUP(AA$1,test!$A$3:$I$32,8,FALSE))-(VLOOKUP($A21,test!$A$3:$I$32,9,FALSE)),0)</f>
        <v>0</v>
      </c>
      <c r="AB21">
        <f>IF(AND($A21&lt;&gt;AB$1,feasible_mat!AB21=1),(VLOOKUP(AB$1,test!$A$3:$I$32,8,FALSE))-(VLOOKUP($A21,test!$A$3:$I$32,9,FALSE)),0)</f>
        <v>0</v>
      </c>
      <c r="AC21">
        <f>IF(AND($A21&lt;&gt;AC$1,feasible_mat!AC21=1),(VLOOKUP(AC$1,test!$A$3:$I$32,8,FALSE))-(VLOOKUP($A21,test!$A$3:$I$32,9,FALSE)),0)</f>
        <v>0</v>
      </c>
      <c r="AD21">
        <f>IF(AND($A21&lt;&gt;AD$1,feasible_mat!AD21=1),(VLOOKUP(AD$1,test!$A$3:$I$32,8,FALSE))-(VLOOKUP($A21,test!$A$3:$I$32,9,FALSE)),0)</f>
        <v>0</v>
      </c>
      <c r="AE21">
        <f>IF(AND($A21&lt;&gt;AE$1,feasible_mat!AE21=1),(VLOOKUP(AE$1,test!$A$3:$I$32,8,FALSE))-(VLOOKUP($A21,test!$A$3:$I$32,9,FALSE)),0)</f>
        <v>0</v>
      </c>
      <c r="AF21">
        <f>IF(AND($A21&lt;&gt;AF$1,feasible_mat!AF21=1),(VLOOKUP(AF$1,test!$A$3:$I$32,8,FALSE))-(VLOOKUP($A21,test!$A$3:$I$32,9,FALSE)),0)</f>
        <v>0</v>
      </c>
      <c r="AJ21" s="16">
        <f>VLOOKUP(AF$1,test!$A$3:$I$32,8,FALSE)</f>
        <v>810</v>
      </c>
    </row>
    <row r="22" spans="1:36" x14ac:dyDescent="0.25">
      <c r="A22" t="s">
        <v>31</v>
      </c>
      <c r="B22">
        <v>0</v>
      </c>
      <c r="C22">
        <f>IF(AND($A22&lt;&gt;C$1,feasible_mat!C22=1),(VLOOKUP(C$1,test!$A$3:$I$32,8,FALSE))-(VLOOKUP($A22,test!$A$3:$I$32,9,FALSE)),0)</f>
        <v>0</v>
      </c>
      <c r="D22">
        <f>IF(AND($A22&lt;&gt;D$1,feasible_mat!D22=1),(VLOOKUP(D$1,test!$A$3:$I$32,8,FALSE))-(VLOOKUP($A22,test!$A$3:$I$32,9,FALSE)),0)</f>
        <v>0</v>
      </c>
      <c r="E22">
        <f>IF(AND($A22&lt;&gt;E$1,feasible_mat!E22=1),(VLOOKUP(E$1,test!$A$3:$I$32,8,FALSE))-(VLOOKUP($A22,test!$A$3:$I$32,9,FALSE)),0)</f>
        <v>0</v>
      </c>
      <c r="F22">
        <f>IF(AND($A22&lt;&gt;F$1,feasible_mat!F22=1),(VLOOKUP(F$1,test!$A$3:$I$32,8,FALSE))-(VLOOKUP($A22,test!$A$3:$I$32,9,FALSE)),0)</f>
        <v>0</v>
      </c>
      <c r="G22">
        <f>IF(AND($A22&lt;&gt;G$1,feasible_mat!G22=1),(VLOOKUP(G$1,test!$A$3:$I$32,8,FALSE))-(VLOOKUP($A22,test!$A$3:$I$32,9,FALSE)),0)</f>
        <v>0</v>
      </c>
      <c r="H22">
        <f>IF(AND($A22&lt;&gt;H$1,feasible_mat!H22=1),(VLOOKUP(H$1,test!$A$3:$I$32,8,FALSE))-(VLOOKUP($A22,test!$A$3:$I$32,9,FALSE)),0)</f>
        <v>0</v>
      </c>
      <c r="I22">
        <f>IF(AND($A22&lt;&gt;I$1,feasible_mat!I22=1),(VLOOKUP(I$1,test!$A$3:$I$32,8,FALSE))-(VLOOKUP($A22,test!$A$3:$I$32,9,FALSE)),0)</f>
        <v>0</v>
      </c>
      <c r="J22">
        <f>IF(AND($A22&lt;&gt;J$1,feasible_mat!J22=1),(VLOOKUP(J$1,test!$A$3:$I$32,8,FALSE))-(VLOOKUP($A22,test!$A$3:$I$32,9,FALSE)),0)</f>
        <v>65</v>
      </c>
      <c r="K22">
        <f>IF(AND($A22&lt;&gt;K$1,feasible_mat!K22=1),(VLOOKUP(K$1,test!$A$3:$I$32,8,FALSE))-(VLOOKUP($A22,test!$A$3:$I$32,9,FALSE)),0)</f>
        <v>0</v>
      </c>
      <c r="L22">
        <f>IF(AND($A22&lt;&gt;L$1,feasible_mat!L22=1),(VLOOKUP(L$1,test!$A$3:$I$32,8,FALSE))-(VLOOKUP($A22,test!$A$3:$I$32,9,FALSE)),0)</f>
        <v>0</v>
      </c>
      <c r="M22">
        <f>IF(AND($A22&lt;&gt;M$1,feasible_mat!M22=1),(VLOOKUP(M$1,test!$A$3:$I$32,8,FALSE))-(VLOOKUP($A22,test!$A$3:$I$32,9,FALSE)),0)</f>
        <v>0</v>
      </c>
      <c r="N22">
        <f>IF(AND($A22&lt;&gt;N$1,feasible_mat!N22=1),(VLOOKUP(N$1,test!$A$3:$I$32,8,FALSE))-(VLOOKUP($A22,test!$A$3:$I$32,9,FALSE)),0)</f>
        <v>30</v>
      </c>
      <c r="O22">
        <f>IF(AND($A22&lt;&gt;O$1,feasible_mat!O22=1),(VLOOKUP(O$1,test!$A$3:$I$32,8,FALSE))-(VLOOKUP($A22,test!$A$3:$I$32,9,FALSE)),0)</f>
        <v>90</v>
      </c>
      <c r="P22">
        <f>IF(AND($A22&lt;&gt;P$1,feasible_mat!P22=1),(VLOOKUP(P$1,test!$A$3:$I$32,8,FALSE))-(VLOOKUP($A22,test!$A$3:$I$32,9,FALSE)),0)</f>
        <v>0</v>
      </c>
      <c r="Q22">
        <f>IF(AND($A22&lt;&gt;Q$1,feasible_mat!Q22=1),(VLOOKUP(Q$1,test!$A$3:$I$32,8,FALSE))-(VLOOKUP($A22,test!$A$3:$I$32,9,FALSE)),0)</f>
        <v>0</v>
      </c>
      <c r="R22">
        <f>IF(AND($A22&lt;&gt;R$1,feasible_mat!R22=1),(VLOOKUP(R$1,test!$A$3:$I$32,8,FALSE))-(VLOOKUP($A22,test!$A$3:$I$32,9,FALSE)),0)</f>
        <v>0</v>
      </c>
      <c r="S22">
        <f>IF(AND($A22&lt;&gt;S$1,feasible_mat!S22=1),(VLOOKUP(S$1,test!$A$3:$I$32,8,FALSE))-(VLOOKUP($A22,test!$A$3:$I$32,9,FALSE)),0)</f>
        <v>0</v>
      </c>
      <c r="T22">
        <f>IF(AND($A22&lt;&gt;T$1,feasible_mat!T22=1),(VLOOKUP(T$1,test!$A$3:$I$32,8,FALSE))-(VLOOKUP($A22,test!$A$3:$I$32,9,FALSE)),0)</f>
        <v>0</v>
      </c>
      <c r="U22">
        <f>IF(AND($A22&lt;&gt;U$1,feasible_mat!U22=1),(VLOOKUP(U$1,test!$A$3:$I$32,8,FALSE))-(VLOOKUP($A22,test!$A$3:$I$32,9,FALSE)),0)</f>
        <v>0</v>
      </c>
      <c r="V22">
        <f>IF(AND($A22&lt;&gt;V$1,feasible_mat!V22=1),(VLOOKUP(V$1,test!$A$3:$I$32,8,FALSE))-(VLOOKUP($A22,test!$A$3:$I$32,9,FALSE)),0)</f>
        <v>0</v>
      </c>
      <c r="W22">
        <f>IF(AND($A22&lt;&gt;W$1,feasible_mat!W22=1),(VLOOKUP(W$1,test!$A$3:$I$32,8,FALSE))-(VLOOKUP($A22,test!$A$3:$I$32,9,FALSE)),0)</f>
        <v>0</v>
      </c>
      <c r="X22">
        <f>IF(AND($A22&lt;&gt;X$1,feasible_mat!X22=1),(VLOOKUP(X$1,test!$A$3:$I$32,8,FALSE))-(VLOOKUP($A22,test!$A$3:$I$32,9,FALSE)),0)</f>
        <v>15</v>
      </c>
      <c r="Y22">
        <f>IF(AND($A22&lt;&gt;Y$1,feasible_mat!Y22=1),(VLOOKUP(Y$1,test!$A$3:$I$32,8,FALSE))-(VLOOKUP($A22,test!$A$3:$I$32,9,FALSE)),0)</f>
        <v>0</v>
      </c>
      <c r="Z22">
        <f>IF(AND($A22&lt;&gt;Z$1,feasible_mat!Z22=1),(VLOOKUP(Z$1,test!$A$3:$I$32,8,FALSE))-(VLOOKUP($A22,test!$A$3:$I$32,9,FALSE)),0)</f>
        <v>0</v>
      </c>
      <c r="AA22">
        <f>IF(AND($A22&lt;&gt;AA$1,feasible_mat!AA22=1),(VLOOKUP(AA$1,test!$A$3:$I$32,8,FALSE))-(VLOOKUP($A22,test!$A$3:$I$32,9,FALSE)),0)</f>
        <v>0</v>
      </c>
      <c r="AB22">
        <f>IF(AND($A22&lt;&gt;AB$1,feasible_mat!AB22=1),(VLOOKUP(AB$1,test!$A$3:$I$32,8,FALSE))-(VLOOKUP($A22,test!$A$3:$I$32,9,FALSE)),0)</f>
        <v>0</v>
      </c>
      <c r="AC22">
        <f>IF(AND($A22&lt;&gt;AC$1,feasible_mat!AC22=1),(VLOOKUP(AC$1,test!$A$3:$I$32,8,FALSE))-(VLOOKUP($A22,test!$A$3:$I$32,9,FALSE)),0)</f>
        <v>0</v>
      </c>
      <c r="AD22">
        <f>IF(AND($A22&lt;&gt;AD$1,feasible_mat!AD22=1),(VLOOKUP(AD$1,test!$A$3:$I$32,8,FALSE))-(VLOOKUP($A22,test!$A$3:$I$32,9,FALSE)),0)</f>
        <v>0</v>
      </c>
      <c r="AE22">
        <f>IF(AND($A22&lt;&gt;AE$1,feasible_mat!AE22=1),(VLOOKUP(AE$1,test!$A$3:$I$32,8,FALSE))-(VLOOKUP($A22,test!$A$3:$I$32,9,FALSE)),0)</f>
        <v>0</v>
      </c>
      <c r="AF22">
        <f>IF(AND($A22&lt;&gt;AF$1,feasible_mat!AF22=1),(VLOOKUP(AF$1,test!$A$3:$I$32,8,FALSE))-(VLOOKUP($A22,test!$A$3:$I$32,9,FALSE)),0)</f>
        <v>0</v>
      </c>
      <c r="AJ22" s="16">
        <f>(VLOOKUP($A11,test!$A$3:$I$32,9,FALSE))</f>
        <v>695</v>
      </c>
    </row>
    <row r="23" spans="1:36" x14ac:dyDescent="0.25">
      <c r="A23" t="s">
        <v>32</v>
      </c>
      <c r="B23">
        <v>0</v>
      </c>
      <c r="C23">
        <f>IF(AND($A23&lt;&gt;C$1,feasible_mat!C23=1),(VLOOKUP(C$1,test!$A$3:$I$32,8,FALSE))-(VLOOKUP($A23,test!$A$3:$I$32,9,FALSE)),0)</f>
        <v>0</v>
      </c>
      <c r="D23">
        <f>IF(AND($A23&lt;&gt;D$1,feasible_mat!D23=1),(VLOOKUP(D$1,test!$A$3:$I$32,8,FALSE))-(VLOOKUP($A23,test!$A$3:$I$32,9,FALSE)),0)</f>
        <v>0</v>
      </c>
      <c r="E23">
        <f>IF(AND($A23&lt;&gt;E$1,feasible_mat!E23=1),(VLOOKUP(E$1,test!$A$3:$I$32,8,FALSE))-(VLOOKUP($A23,test!$A$3:$I$32,9,FALSE)),0)</f>
        <v>0</v>
      </c>
      <c r="F23">
        <f>IF(AND($A23&lt;&gt;F$1,feasible_mat!F23=1),(VLOOKUP(F$1,test!$A$3:$I$32,8,FALSE))-(VLOOKUP($A23,test!$A$3:$I$32,9,FALSE)),0)</f>
        <v>0</v>
      </c>
      <c r="G23">
        <f>IF(AND($A23&lt;&gt;G$1,feasible_mat!G23=1),(VLOOKUP(G$1,test!$A$3:$I$32,8,FALSE))-(VLOOKUP($A23,test!$A$3:$I$32,9,FALSE)),0)</f>
        <v>0</v>
      </c>
      <c r="H23">
        <f>IF(AND($A23&lt;&gt;H$1,feasible_mat!H23=1),(VLOOKUP(H$1,test!$A$3:$I$32,8,FALSE))-(VLOOKUP($A23,test!$A$3:$I$32,9,FALSE)),0)</f>
        <v>0</v>
      </c>
      <c r="I23">
        <f>IF(AND($A23&lt;&gt;I$1,feasible_mat!I23=1),(VLOOKUP(I$1,test!$A$3:$I$32,8,FALSE))-(VLOOKUP($A23,test!$A$3:$I$32,9,FALSE)),0)</f>
        <v>0</v>
      </c>
      <c r="J23">
        <f>IF(AND($A23&lt;&gt;J$1,feasible_mat!J23=1),(VLOOKUP(J$1,test!$A$3:$I$32,8,FALSE))-(VLOOKUP($A23,test!$A$3:$I$32,9,FALSE)),0)</f>
        <v>0</v>
      </c>
      <c r="K23">
        <f>IF(AND($A23&lt;&gt;K$1,feasible_mat!K23=1),(VLOOKUP(K$1,test!$A$3:$I$32,8,FALSE))-(VLOOKUP($A23,test!$A$3:$I$32,9,FALSE)),0)</f>
        <v>0</v>
      </c>
      <c r="L23">
        <f>IF(AND($A23&lt;&gt;L$1,feasible_mat!L23=1),(VLOOKUP(L$1,test!$A$3:$I$32,8,FALSE))-(VLOOKUP($A23,test!$A$3:$I$32,9,FALSE)),0)</f>
        <v>0</v>
      </c>
      <c r="M23">
        <f>IF(AND($A23&lt;&gt;M$1,feasible_mat!M23=1),(VLOOKUP(M$1,test!$A$3:$I$32,8,FALSE))-(VLOOKUP($A23,test!$A$3:$I$32,9,FALSE)),0)</f>
        <v>0</v>
      </c>
      <c r="N23">
        <f>IF(AND($A23&lt;&gt;N$1,feasible_mat!N23=1),(VLOOKUP(N$1,test!$A$3:$I$32,8,FALSE))-(VLOOKUP($A23,test!$A$3:$I$32,9,FALSE)),0)</f>
        <v>0</v>
      </c>
      <c r="O23">
        <f>IF(AND($A23&lt;&gt;O$1,feasible_mat!O23=1),(VLOOKUP(O$1,test!$A$3:$I$32,8,FALSE))-(VLOOKUP($A23,test!$A$3:$I$32,9,FALSE)),0)</f>
        <v>0</v>
      </c>
      <c r="P23">
        <f>IF(AND($A23&lt;&gt;P$1,feasible_mat!P23=1),(VLOOKUP(P$1,test!$A$3:$I$32,8,FALSE))-(VLOOKUP($A23,test!$A$3:$I$32,9,FALSE)),0)</f>
        <v>0</v>
      </c>
      <c r="Q23">
        <f>IF(AND($A23&lt;&gt;Q$1,feasible_mat!Q23=1),(VLOOKUP(Q$1,test!$A$3:$I$32,8,FALSE))-(VLOOKUP($A23,test!$A$3:$I$32,9,FALSE)),0)</f>
        <v>0</v>
      </c>
      <c r="R23">
        <f>IF(AND($A23&lt;&gt;R$1,feasible_mat!R23=1),(VLOOKUP(R$1,test!$A$3:$I$32,8,FALSE))-(VLOOKUP($A23,test!$A$3:$I$32,9,FALSE)),0)</f>
        <v>0</v>
      </c>
      <c r="S23">
        <f>IF(AND($A23&lt;&gt;S$1,feasible_mat!S23=1),(VLOOKUP(S$1,test!$A$3:$I$32,8,FALSE))-(VLOOKUP($A23,test!$A$3:$I$32,9,FALSE)),0)</f>
        <v>0</v>
      </c>
      <c r="T23">
        <f>IF(AND($A23&lt;&gt;T$1,feasible_mat!T23=1),(VLOOKUP(T$1,test!$A$3:$I$32,8,FALSE))-(VLOOKUP($A23,test!$A$3:$I$32,9,FALSE)),0)</f>
        <v>0</v>
      </c>
      <c r="U23">
        <f>IF(AND($A23&lt;&gt;U$1,feasible_mat!U23=1),(VLOOKUP(U$1,test!$A$3:$I$32,8,FALSE))-(VLOOKUP($A23,test!$A$3:$I$32,9,FALSE)),0)</f>
        <v>0</v>
      </c>
      <c r="V23">
        <f>IF(AND($A23&lt;&gt;V$1,feasible_mat!V23=1),(VLOOKUP(V$1,test!$A$3:$I$32,8,FALSE))-(VLOOKUP($A23,test!$A$3:$I$32,9,FALSE)),0)</f>
        <v>0</v>
      </c>
      <c r="W23">
        <f>IF(AND($A23&lt;&gt;W$1,feasible_mat!W23=1),(VLOOKUP(W$1,test!$A$3:$I$32,8,FALSE))-(VLOOKUP($A23,test!$A$3:$I$32,9,FALSE)),0)</f>
        <v>0</v>
      </c>
      <c r="X23">
        <f>IF(AND($A23&lt;&gt;X$1,feasible_mat!X23=1),(VLOOKUP(X$1,test!$A$3:$I$32,8,FALSE))-(VLOOKUP($A23,test!$A$3:$I$32,9,FALSE)),0)</f>
        <v>0</v>
      </c>
      <c r="Y23">
        <f>IF(AND($A23&lt;&gt;Y$1,feasible_mat!Y23=1),(VLOOKUP(Y$1,test!$A$3:$I$32,8,FALSE))-(VLOOKUP($A23,test!$A$3:$I$32,9,FALSE)),0)</f>
        <v>0</v>
      </c>
      <c r="Z23">
        <f>IF(AND($A23&lt;&gt;Z$1,feasible_mat!Z23=1),(VLOOKUP(Z$1,test!$A$3:$I$32,8,FALSE))-(VLOOKUP($A23,test!$A$3:$I$32,9,FALSE)),0)</f>
        <v>0</v>
      </c>
      <c r="AA23">
        <f>IF(AND($A23&lt;&gt;AA$1,feasible_mat!AA23=1),(VLOOKUP(AA$1,test!$A$3:$I$32,8,FALSE))-(VLOOKUP($A23,test!$A$3:$I$32,9,FALSE)),0)</f>
        <v>0</v>
      </c>
      <c r="AB23">
        <f>IF(AND($A23&lt;&gt;AB$1,feasible_mat!AB23=1),(VLOOKUP(AB$1,test!$A$3:$I$32,8,FALSE))-(VLOOKUP($A23,test!$A$3:$I$32,9,FALSE)),0)</f>
        <v>0</v>
      </c>
      <c r="AC23">
        <f>IF(AND($A23&lt;&gt;AC$1,feasible_mat!AC23=1),(VLOOKUP(AC$1,test!$A$3:$I$32,8,FALSE))-(VLOOKUP($A23,test!$A$3:$I$32,9,FALSE)),0)</f>
        <v>0</v>
      </c>
      <c r="AD23">
        <f>IF(AND($A23&lt;&gt;AD$1,feasible_mat!AD23=1),(VLOOKUP(AD$1,test!$A$3:$I$32,8,FALSE))-(VLOOKUP($A23,test!$A$3:$I$32,9,FALSE)),0)</f>
        <v>0</v>
      </c>
      <c r="AE23">
        <f>IF(AND($A23&lt;&gt;AE$1,feasible_mat!AE23=1),(VLOOKUP(AE$1,test!$A$3:$I$32,8,FALSE))-(VLOOKUP($A23,test!$A$3:$I$32,9,FALSE)),0)</f>
        <v>0</v>
      </c>
      <c r="AF23">
        <f>IF(AND($A23&lt;&gt;AF$1,feasible_mat!AF23=1),(VLOOKUP(AF$1,test!$A$3:$I$32,8,FALSE))-(VLOOKUP($A23,test!$A$3:$I$32,9,FALSE)),0)</f>
        <v>0</v>
      </c>
    </row>
    <row r="24" spans="1:36" x14ac:dyDescent="0.25">
      <c r="A24" t="s">
        <v>33</v>
      </c>
      <c r="B24">
        <v>0</v>
      </c>
      <c r="C24">
        <f>IF(AND($A24&lt;&gt;C$1,feasible_mat!C24=1),(VLOOKUP(C$1,test!$A$3:$I$32,8,FALSE))-(VLOOKUP($A24,test!$A$3:$I$32,9,FALSE)),0)</f>
        <v>0</v>
      </c>
      <c r="D24">
        <f>IF(AND($A24&lt;&gt;D$1,feasible_mat!D24=1),(VLOOKUP(D$1,test!$A$3:$I$32,8,FALSE))-(VLOOKUP($A24,test!$A$3:$I$32,9,FALSE)),0)</f>
        <v>0</v>
      </c>
      <c r="E24">
        <f>IF(AND($A24&lt;&gt;E$1,feasible_mat!E24=1),(VLOOKUP(E$1,test!$A$3:$I$32,8,FALSE))-(VLOOKUP($A24,test!$A$3:$I$32,9,FALSE)),0)</f>
        <v>0</v>
      </c>
      <c r="F24">
        <f>IF(AND($A24&lt;&gt;F$1,feasible_mat!F24=1),(VLOOKUP(F$1,test!$A$3:$I$32,8,FALSE))-(VLOOKUP($A24,test!$A$3:$I$32,9,FALSE)),0)</f>
        <v>0</v>
      </c>
      <c r="G24">
        <f>IF(AND($A24&lt;&gt;G$1,feasible_mat!G24=1),(VLOOKUP(G$1,test!$A$3:$I$32,8,FALSE))-(VLOOKUP($A24,test!$A$3:$I$32,9,FALSE)),0)</f>
        <v>0</v>
      </c>
      <c r="H24">
        <f>IF(AND($A24&lt;&gt;H$1,feasible_mat!H24=1),(VLOOKUP(H$1,test!$A$3:$I$32,8,FALSE))-(VLOOKUP($A24,test!$A$3:$I$32,9,FALSE)),0)</f>
        <v>0</v>
      </c>
      <c r="I24">
        <f>IF(AND($A24&lt;&gt;I$1,feasible_mat!I24=1),(VLOOKUP(I$1,test!$A$3:$I$32,8,FALSE))-(VLOOKUP($A24,test!$A$3:$I$32,9,FALSE)),0)</f>
        <v>0</v>
      </c>
      <c r="J24">
        <f>IF(AND($A24&lt;&gt;J$1,feasible_mat!J24=1),(VLOOKUP(J$1,test!$A$3:$I$32,8,FALSE))-(VLOOKUP($A24,test!$A$3:$I$32,9,FALSE)),0)</f>
        <v>0</v>
      </c>
      <c r="K24">
        <f>IF(AND($A24&lt;&gt;K$1,feasible_mat!K24=1),(VLOOKUP(K$1,test!$A$3:$I$32,8,FALSE))-(VLOOKUP($A24,test!$A$3:$I$32,9,FALSE)),0)</f>
        <v>0</v>
      </c>
      <c r="L24">
        <f>IF(AND($A24&lt;&gt;L$1,feasible_mat!L24=1),(VLOOKUP(L$1,test!$A$3:$I$32,8,FALSE))-(VLOOKUP($A24,test!$A$3:$I$32,9,FALSE)),0)</f>
        <v>0</v>
      </c>
      <c r="M24">
        <f>IF(AND($A24&lt;&gt;M$1,feasible_mat!M24=1),(VLOOKUP(M$1,test!$A$3:$I$32,8,FALSE))-(VLOOKUP($A24,test!$A$3:$I$32,9,FALSE)),0)</f>
        <v>0</v>
      </c>
      <c r="N24">
        <f>IF(AND($A24&lt;&gt;N$1,feasible_mat!N24=1),(VLOOKUP(N$1,test!$A$3:$I$32,8,FALSE))-(VLOOKUP($A24,test!$A$3:$I$32,9,FALSE)),0)</f>
        <v>0</v>
      </c>
      <c r="O24">
        <f>IF(AND($A24&lt;&gt;O$1,feasible_mat!O24=1),(VLOOKUP(O$1,test!$A$3:$I$32,8,FALSE))-(VLOOKUP($A24,test!$A$3:$I$32,9,FALSE)),0)</f>
        <v>0</v>
      </c>
      <c r="P24">
        <f>IF(AND($A24&lt;&gt;P$1,feasible_mat!P24=1),(VLOOKUP(P$1,test!$A$3:$I$32,8,FALSE))-(VLOOKUP($A24,test!$A$3:$I$32,9,FALSE)),0)</f>
        <v>0</v>
      </c>
      <c r="Q24">
        <f>IF(AND($A24&lt;&gt;Q$1,feasible_mat!Q24=1),(VLOOKUP(Q$1,test!$A$3:$I$32,8,FALSE))-(VLOOKUP($A24,test!$A$3:$I$32,9,FALSE)),0)</f>
        <v>0</v>
      </c>
      <c r="R24">
        <f>IF(AND($A24&lt;&gt;R$1,feasible_mat!R24=1),(VLOOKUP(R$1,test!$A$3:$I$32,8,FALSE))-(VLOOKUP($A24,test!$A$3:$I$32,9,FALSE)),0)</f>
        <v>0</v>
      </c>
      <c r="S24">
        <f>IF(AND($A24&lt;&gt;S$1,feasible_mat!S24=1),(VLOOKUP(S$1,test!$A$3:$I$32,8,FALSE))-(VLOOKUP($A24,test!$A$3:$I$32,9,FALSE)),0)</f>
        <v>0</v>
      </c>
      <c r="T24">
        <f>IF(AND($A24&lt;&gt;T$1,feasible_mat!T24=1),(VLOOKUP(T$1,test!$A$3:$I$32,8,FALSE))-(VLOOKUP($A24,test!$A$3:$I$32,9,FALSE)),0)</f>
        <v>0</v>
      </c>
      <c r="U24">
        <f>IF(AND($A24&lt;&gt;U$1,feasible_mat!U24=1),(VLOOKUP(U$1,test!$A$3:$I$32,8,FALSE))-(VLOOKUP($A24,test!$A$3:$I$32,9,FALSE)),0)</f>
        <v>0</v>
      </c>
      <c r="V24">
        <f>IF(AND($A24&lt;&gt;V$1,feasible_mat!V24=1),(VLOOKUP(V$1,test!$A$3:$I$32,8,FALSE))-(VLOOKUP($A24,test!$A$3:$I$32,9,FALSE)),0)</f>
        <v>0</v>
      </c>
      <c r="W24">
        <f>IF(AND($A24&lt;&gt;W$1,feasible_mat!W24=1),(VLOOKUP(W$1,test!$A$3:$I$32,8,FALSE))-(VLOOKUP($A24,test!$A$3:$I$32,9,FALSE)),0)</f>
        <v>0</v>
      </c>
      <c r="X24">
        <f>IF(AND($A24&lt;&gt;X$1,feasible_mat!X24=1),(VLOOKUP(X$1,test!$A$3:$I$32,8,FALSE))-(VLOOKUP($A24,test!$A$3:$I$32,9,FALSE)),0)</f>
        <v>0</v>
      </c>
      <c r="Y24">
        <f>IF(AND($A24&lt;&gt;Y$1,feasible_mat!Y24=1),(VLOOKUP(Y$1,test!$A$3:$I$32,8,FALSE))-(VLOOKUP($A24,test!$A$3:$I$32,9,FALSE)),0)</f>
        <v>0</v>
      </c>
      <c r="Z24">
        <f>IF(AND($A24&lt;&gt;Z$1,feasible_mat!Z24=1),(VLOOKUP(Z$1,test!$A$3:$I$32,8,FALSE))-(VLOOKUP($A24,test!$A$3:$I$32,9,FALSE)),0)</f>
        <v>0</v>
      </c>
      <c r="AA24">
        <f>IF(AND($A24&lt;&gt;AA$1,feasible_mat!AA24=1),(VLOOKUP(AA$1,test!$A$3:$I$32,8,FALSE))-(VLOOKUP($A24,test!$A$3:$I$32,9,FALSE)),0)</f>
        <v>0</v>
      </c>
      <c r="AB24">
        <f>IF(AND($A24&lt;&gt;AB$1,feasible_mat!AB24=1),(VLOOKUP(AB$1,test!$A$3:$I$32,8,FALSE))-(VLOOKUP($A24,test!$A$3:$I$32,9,FALSE)),0)</f>
        <v>0</v>
      </c>
      <c r="AC24">
        <f>IF(AND($A24&lt;&gt;AC$1,feasible_mat!AC24=1),(VLOOKUP(AC$1,test!$A$3:$I$32,8,FALSE))-(VLOOKUP($A24,test!$A$3:$I$32,9,FALSE)),0)</f>
        <v>0</v>
      </c>
      <c r="AD24">
        <f>IF(AND($A24&lt;&gt;AD$1,feasible_mat!AD24=1),(VLOOKUP(AD$1,test!$A$3:$I$32,8,FALSE))-(VLOOKUP($A24,test!$A$3:$I$32,9,FALSE)),0)</f>
        <v>0</v>
      </c>
      <c r="AE24">
        <f>IF(AND($A24&lt;&gt;AE$1,feasible_mat!AE24=1),(VLOOKUP(AE$1,test!$A$3:$I$32,8,FALSE))-(VLOOKUP($A24,test!$A$3:$I$32,9,FALSE)),0)</f>
        <v>0</v>
      </c>
      <c r="AF24">
        <f>IF(AND($A24&lt;&gt;AF$1,feasible_mat!AF24=1),(VLOOKUP(AF$1,test!$A$3:$I$32,8,FALSE))-(VLOOKUP($A24,test!$A$3:$I$32,9,FALSE)),0)</f>
        <v>0</v>
      </c>
    </row>
    <row r="25" spans="1:36" x14ac:dyDescent="0.25">
      <c r="A25" t="s">
        <v>34</v>
      </c>
      <c r="B25">
        <v>0</v>
      </c>
      <c r="C25">
        <f>IF(AND($A25&lt;&gt;C$1,feasible_mat!C25=1),(VLOOKUP(C$1,test!$A$3:$I$32,8,FALSE))-(VLOOKUP($A25,test!$A$3:$I$32,9,FALSE)),0)</f>
        <v>0</v>
      </c>
      <c r="D25">
        <f>IF(AND($A25&lt;&gt;D$1,feasible_mat!D25=1),(VLOOKUP(D$1,test!$A$3:$I$32,8,FALSE))-(VLOOKUP($A25,test!$A$3:$I$32,9,FALSE)),0)</f>
        <v>30</v>
      </c>
      <c r="E25">
        <f>IF(AND($A25&lt;&gt;E$1,feasible_mat!E25=1),(VLOOKUP(E$1,test!$A$3:$I$32,8,FALSE))-(VLOOKUP($A25,test!$A$3:$I$32,9,FALSE)),0)</f>
        <v>120</v>
      </c>
      <c r="F25">
        <f>IF(AND($A25&lt;&gt;F$1,feasible_mat!F25=1),(VLOOKUP(F$1,test!$A$3:$I$32,8,FALSE))-(VLOOKUP($A25,test!$A$3:$I$32,9,FALSE)),0)</f>
        <v>210</v>
      </c>
      <c r="G25">
        <f>IF(AND($A25&lt;&gt;G$1,feasible_mat!G25=1),(VLOOKUP(G$1,test!$A$3:$I$32,8,FALSE))-(VLOOKUP($A25,test!$A$3:$I$32,9,FALSE)),0)</f>
        <v>270</v>
      </c>
      <c r="H25">
        <f>IF(AND($A25&lt;&gt;H$1,feasible_mat!H25=1),(VLOOKUP(H$1,test!$A$3:$I$32,8,FALSE))-(VLOOKUP($A25,test!$A$3:$I$32,9,FALSE)),0)</f>
        <v>330</v>
      </c>
      <c r="I25">
        <f>IF(AND($A25&lt;&gt;I$1,feasible_mat!I25=1),(VLOOKUP(I$1,test!$A$3:$I$32,8,FALSE))-(VLOOKUP($A25,test!$A$3:$I$32,9,FALSE)),0)</f>
        <v>390</v>
      </c>
      <c r="J25">
        <f>IF(AND($A25&lt;&gt;J$1,feasible_mat!J25=1),(VLOOKUP(J$1,test!$A$3:$I$32,8,FALSE))-(VLOOKUP($A25,test!$A$3:$I$32,9,FALSE)),0)</f>
        <v>480</v>
      </c>
      <c r="K25">
        <f>IF(AND($A25&lt;&gt;K$1,feasible_mat!K25=1),(VLOOKUP(K$1,test!$A$3:$I$32,8,FALSE))-(VLOOKUP($A25,test!$A$3:$I$32,9,FALSE)),0)</f>
        <v>0</v>
      </c>
      <c r="L25">
        <f>IF(AND($A25&lt;&gt;L$1,feasible_mat!L25=1),(VLOOKUP(L$1,test!$A$3:$I$32,8,FALSE))-(VLOOKUP($A25,test!$A$3:$I$32,9,FALSE)),0)</f>
        <v>0</v>
      </c>
      <c r="M25">
        <f>IF(AND($A25&lt;&gt;M$1,feasible_mat!M25=1),(VLOOKUP(M$1,test!$A$3:$I$32,8,FALSE))-(VLOOKUP($A25,test!$A$3:$I$32,9,FALSE)),0)</f>
        <v>85</v>
      </c>
      <c r="N25">
        <f>IF(AND($A25&lt;&gt;N$1,feasible_mat!N25=1),(VLOOKUP(N$1,test!$A$3:$I$32,8,FALSE))-(VLOOKUP($A25,test!$A$3:$I$32,9,FALSE)),0)</f>
        <v>445</v>
      </c>
      <c r="O25">
        <f>IF(AND($A25&lt;&gt;O$1,feasible_mat!O25=1),(VLOOKUP(O$1,test!$A$3:$I$32,8,FALSE))-(VLOOKUP($A25,test!$A$3:$I$32,9,FALSE)),0)</f>
        <v>505</v>
      </c>
      <c r="P25">
        <f>IF(AND($A25&lt;&gt;P$1,feasible_mat!P25=1),(VLOOKUP(P$1,test!$A$3:$I$32,8,FALSE))-(VLOOKUP($A25,test!$A$3:$I$32,9,FALSE)),0)</f>
        <v>0</v>
      </c>
      <c r="Q25">
        <f>IF(AND($A25&lt;&gt;Q$1,feasible_mat!Q25=1),(VLOOKUP(Q$1,test!$A$3:$I$32,8,FALSE))-(VLOOKUP($A25,test!$A$3:$I$32,9,FALSE)),0)</f>
        <v>0</v>
      </c>
      <c r="R25">
        <f>IF(AND($A25&lt;&gt;R$1,feasible_mat!R25=1),(VLOOKUP(R$1,test!$A$3:$I$32,8,FALSE))-(VLOOKUP($A25,test!$A$3:$I$32,9,FALSE)),0)</f>
        <v>0</v>
      </c>
      <c r="S25">
        <f>IF(AND($A25&lt;&gt;S$1,feasible_mat!S25=1),(VLOOKUP(S$1,test!$A$3:$I$32,8,FALSE))-(VLOOKUP($A25,test!$A$3:$I$32,9,FALSE)),0)</f>
        <v>0</v>
      </c>
      <c r="T25">
        <f>IF(AND($A25&lt;&gt;T$1,feasible_mat!T25=1),(VLOOKUP(T$1,test!$A$3:$I$32,8,FALSE))-(VLOOKUP($A25,test!$A$3:$I$32,9,FALSE)),0)</f>
        <v>100</v>
      </c>
      <c r="U25">
        <f>IF(AND($A25&lt;&gt;U$1,feasible_mat!U25=1),(VLOOKUP(U$1,test!$A$3:$I$32,8,FALSE))-(VLOOKUP($A25,test!$A$3:$I$32,9,FALSE)),0)</f>
        <v>190</v>
      </c>
      <c r="V25">
        <f>IF(AND($A25&lt;&gt;V$1,feasible_mat!V25=1),(VLOOKUP(V$1,test!$A$3:$I$32,8,FALSE))-(VLOOKUP($A25,test!$A$3:$I$32,9,FALSE)),0)</f>
        <v>280</v>
      </c>
      <c r="W25">
        <f>IF(AND($A25&lt;&gt;W$1,feasible_mat!W25=1),(VLOOKUP(W$1,test!$A$3:$I$32,8,FALSE))-(VLOOKUP($A25,test!$A$3:$I$32,9,FALSE)),0)</f>
        <v>370</v>
      </c>
      <c r="X25">
        <f>IF(AND($A25&lt;&gt;X$1,feasible_mat!X25=1),(VLOOKUP(X$1,test!$A$3:$I$32,8,FALSE))-(VLOOKUP($A25,test!$A$3:$I$32,9,FALSE)),0)</f>
        <v>430</v>
      </c>
      <c r="Y25">
        <f>IF(AND($A25&lt;&gt;Y$1,feasible_mat!Y25=1),(VLOOKUP(Y$1,test!$A$3:$I$32,8,FALSE))-(VLOOKUP($A25,test!$A$3:$I$32,9,FALSE)),0)</f>
        <v>0</v>
      </c>
      <c r="Z25">
        <f>IF(AND($A25&lt;&gt;Z$1,feasible_mat!Z25=1),(VLOOKUP(Z$1,test!$A$3:$I$32,8,FALSE))-(VLOOKUP($A25,test!$A$3:$I$32,9,FALSE)),0)</f>
        <v>30</v>
      </c>
      <c r="AA25">
        <f>IF(AND($A25&lt;&gt;AA$1,feasible_mat!AA25=1),(VLOOKUP(AA$1,test!$A$3:$I$32,8,FALSE))-(VLOOKUP($A25,test!$A$3:$I$32,9,FALSE)),0)</f>
        <v>150</v>
      </c>
      <c r="AB25">
        <f>IF(AND($A25&lt;&gt;AB$1,feasible_mat!AB25=1),(VLOOKUP(AB$1,test!$A$3:$I$32,8,FALSE))-(VLOOKUP($A25,test!$A$3:$I$32,9,FALSE)),0)</f>
        <v>210</v>
      </c>
      <c r="AC25">
        <f>IF(AND($A25&lt;&gt;AC$1,feasible_mat!AC25=1),(VLOOKUP(AC$1,test!$A$3:$I$32,8,FALSE))-(VLOOKUP($A25,test!$A$3:$I$32,9,FALSE)),0)</f>
        <v>330</v>
      </c>
      <c r="AD25">
        <f>IF(AND($A25&lt;&gt;AD$1,feasible_mat!AD25=1),(VLOOKUP(AD$1,test!$A$3:$I$32,8,FALSE))-(VLOOKUP($A25,test!$A$3:$I$32,9,FALSE)),0)</f>
        <v>0</v>
      </c>
      <c r="AE25">
        <f>IF(AND($A25&lt;&gt;AE$1,feasible_mat!AE25=1),(VLOOKUP(AE$1,test!$A$3:$I$32,8,FALSE))-(VLOOKUP($A25,test!$A$3:$I$32,9,FALSE)),0)</f>
        <v>150</v>
      </c>
      <c r="AF25">
        <f>IF(AND($A25&lt;&gt;AF$1,feasible_mat!AF25=1),(VLOOKUP(AF$1,test!$A$3:$I$32,8,FALSE))-(VLOOKUP($A25,test!$A$3:$I$32,9,FALSE)),0)</f>
        <v>100</v>
      </c>
    </row>
    <row r="26" spans="1:36" x14ac:dyDescent="0.25">
      <c r="A26" t="s">
        <v>35</v>
      </c>
      <c r="B26">
        <v>0</v>
      </c>
      <c r="C26">
        <f>IF(AND($A26&lt;&gt;C$1,feasible_mat!C26=1),(VLOOKUP(C$1,test!$A$3:$I$32,8,FALSE))-(VLOOKUP($A26,test!$A$3:$I$32,9,FALSE)),0)</f>
        <v>0</v>
      </c>
      <c r="D26">
        <f>IF(AND($A26&lt;&gt;D$1,feasible_mat!D26=1),(VLOOKUP(D$1,test!$A$3:$I$32,8,FALSE))-(VLOOKUP($A26,test!$A$3:$I$32,9,FALSE)),0)</f>
        <v>0</v>
      </c>
      <c r="E26">
        <f>IF(AND($A26&lt;&gt;E$1,feasible_mat!E26=1),(VLOOKUP(E$1,test!$A$3:$I$32,8,FALSE))-(VLOOKUP($A26,test!$A$3:$I$32,9,FALSE)),0)</f>
        <v>0</v>
      </c>
      <c r="F26">
        <f>IF(AND($A26&lt;&gt;F$1,feasible_mat!F26=1),(VLOOKUP(F$1,test!$A$3:$I$32,8,FALSE))-(VLOOKUP($A26,test!$A$3:$I$32,9,FALSE)),0)</f>
        <v>40</v>
      </c>
      <c r="G26">
        <f>IF(AND($A26&lt;&gt;G$1,feasible_mat!G26=1),(VLOOKUP(G$1,test!$A$3:$I$32,8,FALSE))-(VLOOKUP($A26,test!$A$3:$I$32,9,FALSE)),0)</f>
        <v>100</v>
      </c>
      <c r="H26">
        <f>IF(AND($A26&lt;&gt;H$1,feasible_mat!H26=1),(VLOOKUP(H$1,test!$A$3:$I$32,8,FALSE))-(VLOOKUP($A26,test!$A$3:$I$32,9,FALSE)),0)</f>
        <v>160</v>
      </c>
      <c r="I26">
        <f>IF(AND($A26&lt;&gt;I$1,feasible_mat!I26=1),(VLOOKUP(I$1,test!$A$3:$I$32,8,FALSE))-(VLOOKUP($A26,test!$A$3:$I$32,9,FALSE)),0)</f>
        <v>220</v>
      </c>
      <c r="J26">
        <f>IF(AND($A26&lt;&gt;J$1,feasible_mat!J26=1),(VLOOKUP(J$1,test!$A$3:$I$32,8,FALSE))-(VLOOKUP($A26,test!$A$3:$I$32,9,FALSE)),0)</f>
        <v>310</v>
      </c>
      <c r="K26">
        <f>IF(AND($A26&lt;&gt;K$1,feasible_mat!K26=1),(VLOOKUP(K$1,test!$A$3:$I$32,8,FALSE))-(VLOOKUP($A26,test!$A$3:$I$32,9,FALSE)),0)</f>
        <v>0</v>
      </c>
      <c r="L26">
        <f>IF(AND($A26&lt;&gt;L$1,feasible_mat!L26=1),(VLOOKUP(L$1,test!$A$3:$I$32,8,FALSE))-(VLOOKUP($A26,test!$A$3:$I$32,9,FALSE)),0)</f>
        <v>0</v>
      </c>
      <c r="M26">
        <f>IF(AND($A26&lt;&gt;M$1,feasible_mat!M26=1),(VLOOKUP(M$1,test!$A$3:$I$32,8,FALSE))-(VLOOKUP($A26,test!$A$3:$I$32,9,FALSE)),0)</f>
        <v>0</v>
      </c>
      <c r="N26">
        <f>IF(AND($A26&lt;&gt;N$1,feasible_mat!N26=1),(VLOOKUP(N$1,test!$A$3:$I$32,8,FALSE))-(VLOOKUP($A26,test!$A$3:$I$32,9,FALSE)),0)</f>
        <v>275</v>
      </c>
      <c r="O26">
        <f>IF(AND($A26&lt;&gt;O$1,feasible_mat!O26=1),(VLOOKUP(O$1,test!$A$3:$I$32,8,FALSE))-(VLOOKUP($A26,test!$A$3:$I$32,9,FALSE)),0)</f>
        <v>335</v>
      </c>
      <c r="P26">
        <f>IF(AND($A26&lt;&gt;P$1,feasible_mat!P26=1),(VLOOKUP(P$1,test!$A$3:$I$32,8,FALSE))-(VLOOKUP($A26,test!$A$3:$I$32,9,FALSE)),0)</f>
        <v>0</v>
      </c>
      <c r="Q26">
        <f>IF(AND($A26&lt;&gt;Q$1,feasible_mat!Q26=1),(VLOOKUP(Q$1,test!$A$3:$I$32,8,FALSE))-(VLOOKUP($A26,test!$A$3:$I$32,9,FALSE)),0)</f>
        <v>0</v>
      </c>
      <c r="R26">
        <f>IF(AND($A26&lt;&gt;R$1,feasible_mat!R26=1),(VLOOKUP(R$1,test!$A$3:$I$32,8,FALSE))-(VLOOKUP($A26,test!$A$3:$I$32,9,FALSE)),0)</f>
        <v>0</v>
      </c>
      <c r="S26">
        <f>IF(AND($A26&lt;&gt;S$1,feasible_mat!S26=1),(VLOOKUP(S$1,test!$A$3:$I$32,8,FALSE))-(VLOOKUP($A26,test!$A$3:$I$32,9,FALSE)),0)</f>
        <v>0</v>
      </c>
      <c r="T26">
        <f>IF(AND($A26&lt;&gt;T$1,feasible_mat!T26=1),(VLOOKUP(T$1,test!$A$3:$I$32,8,FALSE))-(VLOOKUP($A26,test!$A$3:$I$32,9,FALSE)),0)</f>
        <v>0</v>
      </c>
      <c r="U26">
        <f>IF(AND($A26&lt;&gt;U$1,feasible_mat!U26=1),(VLOOKUP(U$1,test!$A$3:$I$32,8,FALSE))-(VLOOKUP($A26,test!$A$3:$I$32,9,FALSE)),0)</f>
        <v>20</v>
      </c>
      <c r="V26">
        <f>IF(AND($A26&lt;&gt;V$1,feasible_mat!V26=1),(VLOOKUP(V$1,test!$A$3:$I$32,8,FALSE))-(VLOOKUP($A26,test!$A$3:$I$32,9,FALSE)),0)</f>
        <v>110</v>
      </c>
      <c r="W26">
        <f>IF(AND($A26&lt;&gt;W$1,feasible_mat!W26=1),(VLOOKUP(W$1,test!$A$3:$I$32,8,FALSE))-(VLOOKUP($A26,test!$A$3:$I$32,9,FALSE)),0)</f>
        <v>200</v>
      </c>
      <c r="X26">
        <f>IF(AND($A26&lt;&gt;X$1,feasible_mat!X26=1),(VLOOKUP(X$1,test!$A$3:$I$32,8,FALSE))-(VLOOKUP($A26,test!$A$3:$I$32,9,FALSE)),0)</f>
        <v>260</v>
      </c>
      <c r="Y26">
        <f>IF(AND($A26&lt;&gt;Y$1,feasible_mat!Y26=1),(VLOOKUP(Y$1,test!$A$3:$I$32,8,FALSE))-(VLOOKUP($A26,test!$A$3:$I$32,9,FALSE)),0)</f>
        <v>0</v>
      </c>
      <c r="Z26">
        <f>IF(AND($A26&lt;&gt;Z$1,feasible_mat!Z26=1),(VLOOKUP(Z$1,test!$A$3:$I$32,8,FALSE))-(VLOOKUP($A26,test!$A$3:$I$32,9,FALSE)),0)</f>
        <v>0</v>
      </c>
      <c r="AA26">
        <f>IF(AND($A26&lt;&gt;AA$1,feasible_mat!AA26=1),(VLOOKUP(AA$1,test!$A$3:$I$32,8,FALSE))-(VLOOKUP($A26,test!$A$3:$I$32,9,FALSE)),0)</f>
        <v>0</v>
      </c>
      <c r="AB26">
        <f>IF(AND($A26&lt;&gt;AB$1,feasible_mat!AB26=1),(VLOOKUP(AB$1,test!$A$3:$I$32,8,FALSE))-(VLOOKUP($A26,test!$A$3:$I$32,9,FALSE)),0)</f>
        <v>40</v>
      </c>
      <c r="AC26">
        <f>IF(AND($A26&lt;&gt;AC$1,feasible_mat!AC26=1),(VLOOKUP(AC$1,test!$A$3:$I$32,8,FALSE))-(VLOOKUP($A26,test!$A$3:$I$32,9,FALSE)),0)</f>
        <v>160</v>
      </c>
      <c r="AD26">
        <f>IF(AND($A26&lt;&gt;AD$1,feasible_mat!AD26=1),(VLOOKUP(AD$1,test!$A$3:$I$32,8,FALSE))-(VLOOKUP($A26,test!$A$3:$I$32,9,FALSE)),0)</f>
        <v>0</v>
      </c>
      <c r="AE26">
        <f>IF(AND($A26&lt;&gt;AE$1,feasible_mat!AE26=1),(VLOOKUP(AE$1,test!$A$3:$I$32,8,FALSE))-(VLOOKUP($A26,test!$A$3:$I$32,9,FALSE)),0)</f>
        <v>0</v>
      </c>
      <c r="AF26">
        <f>IF(AND($A26&lt;&gt;AF$1,feasible_mat!AF26=1),(VLOOKUP(AF$1,test!$A$3:$I$32,8,FALSE))-(VLOOKUP($A26,test!$A$3:$I$32,9,FALSE)),0)</f>
        <v>0</v>
      </c>
    </row>
    <row r="27" spans="1:36" x14ac:dyDescent="0.25">
      <c r="A27" t="s">
        <v>36</v>
      </c>
      <c r="B27">
        <v>0</v>
      </c>
      <c r="C27">
        <f>IF(AND($A27&lt;&gt;C$1,feasible_mat!C27=1),(VLOOKUP(C$1,test!$A$3:$I$32,8,FALSE))-(VLOOKUP($A27,test!$A$3:$I$32,9,FALSE)),0)</f>
        <v>0</v>
      </c>
      <c r="D27">
        <f>IF(AND($A27&lt;&gt;D$1,feasible_mat!D27=1),(VLOOKUP(D$1,test!$A$3:$I$32,8,FALSE))-(VLOOKUP($A27,test!$A$3:$I$32,9,FALSE)),0)</f>
        <v>0</v>
      </c>
      <c r="E27">
        <f>IF(AND($A27&lt;&gt;E$1,feasible_mat!E27=1),(VLOOKUP(E$1,test!$A$3:$I$32,8,FALSE))-(VLOOKUP($A27,test!$A$3:$I$32,9,FALSE)),0)</f>
        <v>0</v>
      </c>
      <c r="F27">
        <f>IF(AND($A27&lt;&gt;F$1,feasible_mat!F27=1),(VLOOKUP(F$1,test!$A$3:$I$32,8,FALSE))-(VLOOKUP($A27,test!$A$3:$I$32,9,FALSE)),0)</f>
        <v>0</v>
      </c>
      <c r="G27">
        <f>IF(AND($A27&lt;&gt;G$1,feasible_mat!G27=1),(VLOOKUP(G$1,test!$A$3:$I$32,8,FALSE))-(VLOOKUP($A27,test!$A$3:$I$32,9,FALSE)),0)</f>
        <v>0</v>
      </c>
      <c r="H27">
        <f>IF(AND($A27&lt;&gt;H$1,feasible_mat!H27=1),(VLOOKUP(H$1,test!$A$3:$I$32,8,FALSE))-(VLOOKUP($A27,test!$A$3:$I$32,9,FALSE)),0)</f>
        <v>40</v>
      </c>
      <c r="I27">
        <f>IF(AND($A27&lt;&gt;I$1,feasible_mat!I27=1),(VLOOKUP(I$1,test!$A$3:$I$32,8,FALSE))-(VLOOKUP($A27,test!$A$3:$I$32,9,FALSE)),0)</f>
        <v>100</v>
      </c>
      <c r="J27">
        <f>IF(AND($A27&lt;&gt;J$1,feasible_mat!J27=1),(VLOOKUP(J$1,test!$A$3:$I$32,8,FALSE))-(VLOOKUP($A27,test!$A$3:$I$32,9,FALSE)),0)</f>
        <v>190</v>
      </c>
      <c r="K27">
        <f>IF(AND($A27&lt;&gt;K$1,feasible_mat!K27=1),(VLOOKUP(K$1,test!$A$3:$I$32,8,FALSE))-(VLOOKUP($A27,test!$A$3:$I$32,9,FALSE)),0)</f>
        <v>0</v>
      </c>
      <c r="L27">
        <f>IF(AND($A27&lt;&gt;L$1,feasible_mat!L27=1),(VLOOKUP(L$1,test!$A$3:$I$32,8,FALSE))-(VLOOKUP($A27,test!$A$3:$I$32,9,FALSE)),0)</f>
        <v>0</v>
      </c>
      <c r="M27">
        <f>IF(AND($A27&lt;&gt;M$1,feasible_mat!M27=1),(VLOOKUP(M$1,test!$A$3:$I$32,8,FALSE))-(VLOOKUP($A27,test!$A$3:$I$32,9,FALSE)),0)</f>
        <v>0</v>
      </c>
      <c r="N27">
        <f>IF(AND($A27&lt;&gt;N$1,feasible_mat!N27=1),(VLOOKUP(N$1,test!$A$3:$I$32,8,FALSE))-(VLOOKUP($A27,test!$A$3:$I$32,9,FALSE)),0)</f>
        <v>155</v>
      </c>
      <c r="O27">
        <f>IF(AND($A27&lt;&gt;O$1,feasible_mat!O27=1),(VLOOKUP(O$1,test!$A$3:$I$32,8,FALSE))-(VLOOKUP($A27,test!$A$3:$I$32,9,FALSE)),0)</f>
        <v>215</v>
      </c>
      <c r="P27">
        <f>IF(AND($A27&lt;&gt;P$1,feasible_mat!P27=1),(VLOOKUP(P$1,test!$A$3:$I$32,8,FALSE))-(VLOOKUP($A27,test!$A$3:$I$32,9,FALSE)),0)</f>
        <v>0</v>
      </c>
      <c r="Q27">
        <f>IF(AND($A27&lt;&gt;Q$1,feasible_mat!Q27=1),(VLOOKUP(Q$1,test!$A$3:$I$32,8,FALSE))-(VLOOKUP($A27,test!$A$3:$I$32,9,FALSE)),0)</f>
        <v>0</v>
      </c>
      <c r="R27">
        <f>IF(AND($A27&lt;&gt;R$1,feasible_mat!R27=1),(VLOOKUP(R$1,test!$A$3:$I$32,8,FALSE))-(VLOOKUP($A27,test!$A$3:$I$32,9,FALSE)),0)</f>
        <v>0</v>
      </c>
      <c r="S27">
        <f>IF(AND($A27&lt;&gt;S$1,feasible_mat!S27=1),(VLOOKUP(S$1,test!$A$3:$I$32,8,FALSE))-(VLOOKUP($A27,test!$A$3:$I$32,9,FALSE)),0)</f>
        <v>0</v>
      </c>
      <c r="T27">
        <f>IF(AND($A27&lt;&gt;T$1,feasible_mat!T27=1),(VLOOKUP(T$1,test!$A$3:$I$32,8,FALSE))-(VLOOKUP($A27,test!$A$3:$I$32,9,FALSE)),0)</f>
        <v>0</v>
      </c>
      <c r="U27">
        <f>IF(AND($A27&lt;&gt;U$1,feasible_mat!U27=1),(VLOOKUP(U$1,test!$A$3:$I$32,8,FALSE))-(VLOOKUP($A27,test!$A$3:$I$32,9,FALSE)),0)</f>
        <v>0</v>
      </c>
      <c r="V27">
        <f>IF(AND($A27&lt;&gt;V$1,feasible_mat!V27=1),(VLOOKUP(V$1,test!$A$3:$I$32,8,FALSE))-(VLOOKUP($A27,test!$A$3:$I$32,9,FALSE)),0)</f>
        <v>0</v>
      </c>
      <c r="W27">
        <f>IF(AND($A27&lt;&gt;W$1,feasible_mat!W27=1),(VLOOKUP(W$1,test!$A$3:$I$32,8,FALSE))-(VLOOKUP($A27,test!$A$3:$I$32,9,FALSE)),0)</f>
        <v>80</v>
      </c>
      <c r="X27">
        <f>IF(AND($A27&lt;&gt;X$1,feasible_mat!X27=1),(VLOOKUP(X$1,test!$A$3:$I$32,8,FALSE))-(VLOOKUP($A27,test!$A$3:$I$32,9,FALSE)),0)</f>
        <v>140</v>
      </c>
      <c r="Y27">
        <f>IF(AND($A27&lt;&gt;Y$1,feasible_mat!Y27=1),(VLOOKUP(Y$1,test!$A$3:$I$32,8,FALSE))-(VLOOKUP($A27,test!$A$3:$I$32,9,FALSE)),0)</f>
        <v>0</v>
      </c>
      <c r="Z27">
        <f>IF(AND($A27&lt;&gt;Z$1,feasible_mat!Z27=1),(VLOOKUP(Z$1,test!$A$3:$I$32,8,FALSE))-(VLOOKUP($A27,test!$A$3:$I$32,9,FALSE)),0)</f>
        <v>0</v>
      </c>
      <c r="AA27">
        <f>IF(AND($A27&lt;&gt;AA$1,feasible_mat!AA27=1),(VLOOKUP(AA$1,test!$A$3:$I$32,8,FALSE))-(VLOOKUP($A27,test!$A$3:$I$32,9,FALSE)),0)</f>
        <v>0</v>
      </c>
      <c r="AB27">
        <f>IF(AND($A27&lt;&gt;AB$1,feasible_mat!AB27=1),(VLOOKUP(AB$1,test!$A$3:$I$32,8,FALSE))-(VLOOKUP($A27,test!$A$3:$I$32,9,FALSE)),0)</f>
        <v>0</v>
      </c>
      <c r="AC27">
        <f>IF(AND($A27&lt;&gt;AC$1,feasible_mat!AC27=1),(VLOOKUP(AC$1,test!$A$3:$I$32,8,FALSE))-(VLOOKUP($A27,test!$A$3:$I$32,9,FALSE)),0)</f>
        <v>40</v>
      </c>
      <c r="AD27">
        <f>IF(AND($A27&lt;&gt;AD$1,feasible_mat!AD27=1),(VLOOKUP(AD$1,test!$A$3:$I$32,8,FALSE))-(VLOOKUP($A27,test!$A$3:$I$32,9,FALSE)),0)</f>
        <v>0</v>
      </c>
      <c r="AE27">
        <f>IF(AND($A27&lt;&gt;AE$1,feasible_mat!AE27=1),(VLOOKUP(AE$1,test!$A$3:$I$32,8,FALSE))-(VLOOKUP($A27,test!$A$3:$I$32,9,FALSE)),0)</f>
        <v>0</v>
      </c>
      <c r="AF27">
        <f>IF(AND($A27&lt;&gt;AF$1,feasible_mat!AF27=1),(VLOOKUP(AF$1,test!$A$3:$I$32,8,FALSE))-(VLOOKUP($A27,test!$A$3:$I$32,9,FALSE)),0)</f>
        <v>0</v>
      </c>
    </row>
    <row r="28" spans="1:36" x14ac:dyDescent="0.25">
      <c r="A28" t="s">
        <v>37</v>
      </c>
      <c r="B28">
        <v>0</v>
      </c>
      <c r="C28">
        <f>IF(AND($A28&lt;&gt;C$1,feasible_mat!C28=1),(VLOOKUP(C$1,test!$A$3:$I$32,8,FALSE))-(VLOOKUP($A28,test!$A$3:$I$32,9,FALSE)),0)</f>
        <v>0</v>
      </c>
      <c r="D28">
        <f>IF(AND($A28&lt;&gt;D$1,feasible_mat!D28=1),(VLOOKUP(D$1,test!$A$3:$I$32,8,FALSE))-(VLOOKUP($A28,test!$A$3:$I$32,9,FALSE)),0)</f>
        <v>0</v>
      </c>
      <c r="E28">
        <f>IF(AND($A28&lt;&gt;E$1,feasible_mat!E28=1),(VLOOKUP(E$1,test!$A$3:$I$32,8,FALSE))-(VLOOKUP($A28,test!$A$3:$I$32,9,FALSE)),0)</f>
        <v>0</v>
      </c>
      <c r="F28">
        <f>IF(AND($A28&lt;&gt;F$1,feasible_mat!F28=1),(VLOOKUP(F$1,test!$A$3:$I$32,8,FALSE))-(VLOOKUP($A28,test!$A$3:$I$32,9,FALSE)),0)</f>
        <v>0</v>
      </c>
      <c r="G28">
        <f>IF(AND($A28&lt;&gt;G$1,feasible_mat!G28=1),(VLOOKUP(G$1,test!$A$3:$I$32,8,FALSE))-(VLOOKUP($A28,test!$A$3:$I$32,9,FALSE)),0)</f>
        <v>0</v>
      </c>
      <c r="H28">
        <f>IF(AND($A28&lt;&gt;H$1,feasible_mat!H28=1),(VLOOKUP(H$1,test!$A$3:$I$32,8,FALSE))-(VLOOKUP($A28,test!$A$3:$I$32,9,FALSE)),0)</f>
        <v>0</v>
      </c>
      <c r="I28">
        <f>IF(AND($A28&lt;&gt;I$1,feasible_mat!I28=1),(VLOOKUP(I$1,test!$A$3:$I$32,8,FALSE))-(VLOOKUP($A28,test!$A$3:$I$32,9,FALSE)),0)</f>
        <v>40</v>
      </c>
      <c r="J28">
        <f>IF(AND($A28&lt;&gt;J$1,feasible_mat!J28=1),(VLOOKUP(J$1,test!$A$3:$I$32,8,FALSE))-(VLOOKUP($A28,test!$A$3:$I$32,9,FALSE)),0)</f>
        <v>130</v>
      </c>
      <c r="K28">
        <f>IF(AND($A28&lt;&gt;K$1,feasible_mat!K28=1),(VLOOKUP(K$1,test!$A$3:$I$32,8,FALSE))-(VLOOKUP($A28,test!$A$3:$I$32,9,FALSE)),0)</f>
        <v>0</v>
      </c>
      <c r="L28">
        <f>IF(AND($A28&lt;&gt;L$1,feasible_mat!L28=1),(VLOOKUP(L$1,test!$A$3:$I$32,8,FALSE))-(VLOOKUP($A28,test!$A$3:$I$32,9,FALSE)),0)</f>
        <v>0</v>
      </c>
      <c r="M28">
        <f>IF(AND($A28&lt;&gt;M$1,feasible_mat!M28=1),(VLOOKUP(M$1,test!$A$3:$I$32,8,FALSE))-(VLOOKUP($A28,test!$A$3:$I$32,9,FALSE)),0)</f>
        <v>0</v>
      </c>
      <c r="N28">
        <f>IF(AND($A28&lt;&gt;N$1,feasible_mat!N28=1),(VLOOKUP(N$1,test!$A$3:$I$32,8,FALSE))-(VLOOKUP($A28,test!$A$3:$I$32,9,FALSE)),0)</f>
        <v>95</v>
      </c>
      <c r="O28">
        <f>IF(AND($A28&lt;&gt;O$1,feasible_mat!O28=1),(VLOOKUP(O$1,test!$A$3:$I$32,8,FALSE))-(VLOOKUP($A28,test!$A$3:$I$32,9,FALSE)),0)</f>
        <v>155</v>
      </c>
      <c r="P28">
        <f>IF(AND($A28&lt;&gt;P$1,feasible_mat!P28=1),(VLOOKUP(P$1,test!$A$3:$I$32,8,FALSE))-(VLOOKUP($A28,test!$A$3:$I$32,9,FALSE)),0)</f>
        <v>0</v>
      </c>
      <c r="Q28">
        <f>IF(AND($A28&lt;&gt;Q$1,feasible_mat!Q28=1),(VLOOKUP(Q$1,test!$A$3:$I$32,8,FALSE))-(VLOOKUP($A28,test!$A$3:$I$32,9,FALSE)),0)</f>
        <v>0</v>
      </c>
      <c r="R28">
        <f>IF(AND($A28&lt;&gt;R$1,feasible_mat!R28=1),(VLOOKUP(R$1,test!$A$3:$I$32,8,FALSE))-(VLOOKUP($A28,test!$A$3:$I$32,9,FALSE)),0)</f>
        <v>0</v>
      </c>
      <c r="S28">
        <f>IF(AND($A28&lt;&gt;S$1,feasible_mat!S28=1),(VLOOKUP(S$1,test!$A$3:$I$32,8,FALSE))-(VLOOKUP($A28,test!$A$3:$I$32,9,FALSE)),0)</f>
        <v>0</v>
      </c>
      <c r="T28">
        <f>IF(AND($A28&lt;&gt;T$1,feasible_mat!T28=1),(VLOOKUP(T$1,test!$A$3:$I$32,8,FALSE))-(VLOOKUP($A28,test!$A$3:$I$32,9,FALSE)),0)</f>
        <v>0</v>
      </c>
      <c r="U28">
        <f>IF(AND($A28&lt;&gt;U$1,feasible_mat!U28=1),(VLOOKUP(U$1,test!$A$3:$I$32,8,FALSE))-(VLOOKUP($A28,test!$A$3:$I$32,9,FALSE)),0)</f>
        <v>0</v>
      </c>
      <c r="V28">
        <f>IF(AND($A28&lt;&gt;V$1,feasible_mat!V28=1),(VLOOKUP(V$1,test!$A$3:$I$32,8,FALSE))-(VLOOKUP($A28,test!$A$3:$I$32,9,FALSE)),0)</f>
        <v>0</v>
      </c>
      <c r="W28">
        <f>IF(AND($A28&lt;&gt;W$1,feasible_mat!W28=1),(VLOOKUP(W$1,test!$A$3:$I$32,8,FALSE))-(VLOOKUP($A28,test!$A$3:$I$32,9,FALSE)),0)</f>
        <v>20</v>
      </c>
      <c r="X28">
        <f>IF(AND($A28&lt;&gt;X$1,feasible_mat!X28=1),(VLOOKUP(X$1,test!$A$3:$I$32,8,FALSE))-(VLOOKUP($A28,test!$A$3:$I$32,9,FALSE)),0)</f>
        <v>80</v>
      </c>
      <c r="Y28">
        <f>IF(AND($A28&lt;&gt;Y$1,feasible_mat!Y28=1),(VLOOKUP(Y$1,test!$A$3:$I$32,8,FALSE))-(VLOOKUP($A28,test!$A$3:$I$32,9,FALSE)),0)</f>
        <v>0</v>
      </c>
      <c r="Z28">
        <f>IF(AND($A28&lt;&gt;Z$1,feasible_mat!Z28=1),(VLOOKUP(Z$1,test!$A$3:$I$32,8,FALSE))-(VLOOKUP($A28,test!$A$3:$I$32,9,FALSE)),0)</f>
        <v>0</v>
      </c>
      <c r="AA28">
        <f>IF(AND($A28&lt;&gt;AA$1,feasible_mat!AA28=1),(VLOOKUP(AA$1,test!$A$3:$I$32,8,FALSE))-(VLOOKUP($A28,test!$A$3:$I$32,9,FALSE)),0)</f>
        <v>0</v>
      </c>
      <c r="AB28">
        <f>IF(AND($A28&lt;&gt;AB$1,feasible_mat!AB28=1),(VLOOKUP(AB$1,test!$A$3:$I$32,8,FALSE))-(VLOOKUP($A28,test!$A$3:$I$32,9,FALSE)),0)</f>
        <v>0</v>
      </c>
      <c r="AC28">
        <f>IF(AND($A28&lt;&gt;AC$1,feasible_mat!AC28=1),(VLOOKUP(AC$1,test!$A$3:$I$32,8,FALSE))-(VLOOKUP($A28,test!$A$3:$I$32,9,FALSE)),0)</f>
        <v>0</v>
      </c>
      <c r="AD28">
        <f>IF(AND($A28&lt;&gt;AD$1,feasible_mat!AD28=1),(VLOOKUP(AD$1,test!$A$3:$I$32,8,FALSE))-(VLOOKUP($A28,test!$A$3:$I$32,9,FALSE)),0)</f>
        <v>0</v>
      </c>
      <c r="AE28">
        <f>IF(AND($A28&lt;&gt;AE$1,feasible_mat!AE28=1),(VLOOKUP(AE$1,test!$A$3:$I$32,8,FALSE))-(VLOOKUP($A28,test!$A$3:$I$32,9,FALSE)),0)</f>
        <v>0</v>
      </c>
      <c r="AF28">
        <f>IF(AND($A28&lt;&gt;AF$1,feasible_mat!AF28=1),(VLOOKUP(AF$1,test!$A$3:$I$32,8,FALSE))-(VLOOKUP($A28,test!$A$3:$I$32,9,FALSE)),0)</f>
        <v>0</v>
      </c>
    </row>
    <row r="29" spans="1:36" x14ac:dyDescent="0.25">
      <c r="A29" t="s">
        <v>38</v>
      </c>
      <c r="B29">
        <v>0</v>
      </c>
      <c r="C29">
        <f>IF(AND($A29&lt;&gt;C$1,feasible_mat!C29=1),(VLOOKUP(C$1,test!$A$3:$I$32,8,FALSE))-(VLOOKUP($A29,test!$A$3:$I$32,9,FALSE)),0)</f>
        <v>0</v>
      </c>
      <c r="D29">
        <f>IF(AND($A29&lt;&gt;D$1,feasible_mat!D29=1),(VLOOKUP(D$1,test!$A$3:$I$32,8,FALSE))-(VLOOKUP($A29,test!$A$3:$I$32,9,FALSE)),0)</f>
        <v>0</v>
      </c>
      <c r="E29">
        <f>IF(AND($A29&lt;&gt;E$1,feasible_mat!E29=1),(VLOOKUP(E$1,test!$A$3:$I$32,8,FALSE))-(VLOOKUP($A29,test!$A$3:$I$32,9,FALSE)),0)</f>
        <v>0</v>
      </c>
      <c r="F29">
        <f>IF(AND($A29&lt;&gt;F$1,feasible_mat!F29=1),(VLOOKUP(F$1,test!$A$3:$I$32,8,FALSE))-(VLOOKUP($A29,test!$A$3:$I$32,9,FALSE)),0)</f>
        <v>0</v>
      </c>
      <c r="G29">
        <f>IF(AND($A29&lt;&gt;G$1,feasible_mat!G29=1),(VLOOKUP(G$1,test!$A$3:$I$32,8,FALSE))-(VLOOKUP($A29,test!$A$3:$I$32,9,FALSE)),0)</f>
        <v>0</v>
      </c>
      <c r="H29">
        <f>IF(AND($A29&lt;&gt;H$1,feasible_mat!H29=1),(VLOOKUP(H$1,test!$A$3:$I$32,8,FALSE))-(VLOOKUP($A29,test!$A$3:$I$32,9,FALSE)),0)</f>
        <v>0</v>
      </c>
      <c r="I29">
        <f>IF(AND($A29&lt;&gt;I$1,feasible_mat!I29=1),(VLOOKUP(I$1,test!$A$3:$I$32,8,FALSE))-(VLOOKUP($A29,test!$A$3:$I$32,9,FALSE)),0)</f>
        <v>0</v>
      </c>
      <c r="J29">
        <f>IF(AND($A29&lt;&gt;J$1,feasible_mat!J29=1),(VLOOKUP(J$1,test!$A$3:$I$32,8,FALSE))-(VLOOKUP($A29,test!$A$3:$I$32,9,FALSE)),0)</f>
        <v>0</v>
      </c>
      <c r="K29">
        <f>IF(AND($A29&lt;&gt;K$1,feasible_mat!K29=1),(VLOOKUP(K$1,test!$A$3:$I$32,8,FALSE))-(VLOOKUP($A29,test!$A$3:$I$32,9,FALSE)),0)</f>
        <v>0</v>
      </c>
      <c r="L29">
        <f>IF(AND($A29&lt;&gt;L$1,feasible_mat!L29=1),(VLOOKUP(L$1,test!$A$3:$I$32,8,FALSE))-(VLOOKUP($A29,test!$A$3:$I$32,9,FALSE)),0)</f>
        <v>0</v>
      </c>
      <c r="M29">
        <f>IF(AND($A29&lt;&gt;M$1,feasible_mat!M29=1),(VLOOKUP(M$1,test!$A$3:$I$32,8,FALSE))-(VLOOKUP($A29,test!$A$3:$I$32,9,FALSE)),0)</f>
        <v>0</v>
      </c>
      <c r="N29">
        <f>IF(AND($A29&lt;&gt;N$1,feasible_mat!N29=1),(VLOOKUP(N$1,test!$A$3:$I$32,8,FALSE))-(VLOOKUP($A29,test!$A$3:$I$32,9,FALSE)),0)</f>
        <v>0</v>
      </c>
      <c r="O29">
        <f>IF(AND($A29&lt;&gt;O$1,feasible_mat!O29=1),(VLOOKUP(O$1,test!$A$3:$I$32,8,FALSE))-(VLOOKUP($A29,test!$A$3:$I$32,9,FALSE)),0)</f>
        <v>35</v>
      </c>
      <c r="P29">
        <f>IF(AND($A29&lt;&gt;P$1,feasible_mat!P29=1),(VLOOKUP(P$1,test!$A$3:$I$32,8,FALSE))-(VLOOKUP($A29,test!$A$3:$I$32,9,FALSE)),0)</f>
        <v>0</v>
      </c>
      <c r="Q29">
        <f>IF(AND($A29&lt;&gt;Q$1,feasible_mat!Q29=1),(VLOOKUP(Q$1,test!$A$3:$I$32,8,FALSE))-(VLOOKUP($A29,test!$A$3:$I$32,9,FALSE)),0)</f>
        <v>0</v>
      </c>
      <c r="R29">
        <f>IF(AND($A29&lt;&gt;R$1,feasible_mat!R29=1),(VLOOKUP(R$1,test!$A$3:$I$32,8,FALSE))-(VLOOKUP($A29,test!$A$3:$I$32,9,FALSE)),0)</f>
        <v>0</v>
      </c>
      <c r="S29">
        <f>IF(AND($A29&lt;&gt;S$1,feasible_mat!S29=1),(VLOOKUP(S$1,test!$A$3:$I$32,8,FALSE))-(VLOOKUP($A29,test!$A$3:$I$32,9,FALSE)),0)</f>
        <v>0</v>
      </c>
      <c r="T29">
        <f>IF(AND($A29&lt;&gt;T$1,feasible_mat!T29=1),(VLOOKUP(T$1,test!$A$3:$I$32,8,FALSE))-(VLOOKUP($A29,test!$A$3:$I$32,9,FALSE)),0)</f>
        <v>0</v>
      </c>
      <c r="U29">
        <f>IF(AND($A29&lt;&gt;U$1,feasible_mat!U29=1),(VLOOKUP(U$1,test!$A$3:$I$32,8,FALSE))-(VLOOKUP($A29,test!$A$3:$I$32,9,FALSE)),0)</f>
        <v>0</v>
      </c>
      <c r="V29">
        <f>IF(AND($A29&lt;&gt;V$1,feasible_mat!V29=1),(VLOOKUP(V$1,test!$A$3:$I$32,8,FALSE))-(VLOOKUP($A29,test!$A$3:$I$32,9,FALSE)),0)</f>
        <v>0</v>
      </c>
      <c r="W29">
        <f>IF(AND($A29&lt;&gt;W$1,feasible_mat!W29=1),(VLOOKUP(W$1,test!$A$3:$I$32,8,FALSE))-(VLOOKUP($A29,test!$A$3:$I$32,9,FALSE)),0)</f>
        <v>0</v>
      </c>
      <c r="X29">
        <f>IF(AND($A29&lt;&gt;X$1,feasible_mat!X29=1),(VLOOKUP(X$1,test!$A$3:$I$32,8,FALSE))-(VLOOKUP($A29,test!$A$3:$I$32,9,FALSE)),0)</f>
        <v>0</v>
      </c>
      <c r="Y29">
        <f>IF(AND($A29&lt;&gt;Y$1,feasible_mat!Y29=1),(VLOOKUP(Y$1,test!$A$3:$I$32,8,FALSE))-(VLOOKUP($A29,test!$A$3:$I$32,9,FALSE)),0)</f>
        <v>0</v>
      </c>
      <c r="Z29">
        <f>IF(AND($A29&lt;&gt;Z$1,feasible_mat!Z29=1),(VLOOKUP(Z$1,test!$A$3:$I$32,8,FALSE))-(VLOOKUP($A29,test!$A$3:$I$32,9,FALSE)),0)</f>
        <v>0</v>
      </c>
      <c r="AA29">
        <f>IF(AND($A29&lt;&gt;AA$1,feasible_mat!AA29=1),(VLOOKUP(AA$1,test!$A$3:$I$32,8,FALSE))-(VLOOKUP($A29,test!$A$3:$I$32,9,FALSE)),0)</f>
        <v>0</v>
      </c>
      <c r="AB29">
        <f>IF(AND($A29&lt;&gt;AB$1,feasible_mat!AB29=1),(VLOOKUP(AB$1,test!$A$3:$I$32,8,FALSE))-(VLOOKUP($A29,test!$A$3:$I$32,9,FALSE)),0)</f>
        <v>0</v>
      </c>
      <c r="AC29">
        <f>IF(AND($A29&lt;&gt;AC$1,feasible_mat!AC29=1),(VLOOKUP(AC$1,test!$A$3:$I$32,8,FALSE))-(VLOOKUP($A29,test!$A$3:$I$32,9,FALSE)),0)</f>
        <v>0</v>
      </c>
      <c r="AD29">
        <f>IF(AND($A29&lt;&gt;AD$1,feasible_mat!AD29=1),(VLOOKUP(AD$1,test!$A$3:$I$32,8,FALSE))-(VLOOKUP($A29,test!$A$3:$I$32,9,FALSE)),0)</f>
        <v>0</v>
      </c>
      <c r="AE29">
        <f>IF(AND($A29&lt;&gt;AE$1,feasible_mat!AE29=1),(VLOOKUP(AE$1,test!$A$3:$I$32,8,FALSE))-(VLOOKUP($A29,test!$A$3:$I$32,9,FALSE)),0)</f>
        <v>0</v>
      </c>
      <c r="AF29">
        <f>IF(AND($A29&lt;&gt;AF$1,feasible_mat!AF29=1),(VLOOKUP(AF$1,test!$A$3:$I$32,8,FALSE))-(VLOOKUP($A29,test!$A$3:$I$32,9,FALSE)),0)</f>
        <v>0</v>
      </c>
    </row>
    <row r="30" spans="1:36" x14ac:dyDescent="0.25">
      <c r="A30" t="s">
        <v>39</v>
      </c>
      <c r="B30">
        <v>0</v>
      </c>
      <c r="C30">
        <f>IF(AND($A30&lt;&gt;C$1,feasible_mat!C30=1),(VLOOKUP(C$1,test!$A$3:$I$32,8,FALSE))-(VLOOKUP($A30,test!$A$3:$I$32,9,FALSE)),0)</f>
        <v>0</v>
      </c>
      <c r="D30">
        <f>IF(AND($A30&lt;&gt;D$1,feasible_mat!D30=1),(VLOOKUP(D$1,test!$A$3:$I$32,8,FALSE))-(VLOOKUP($A30,test!$A$3:$I$32,9,FALSE)),0)</f>
        <v>20</v>
      </c>
      <c r="E30">
        <f>IF(AND($A30&lt;&gt;E$1,feasible_mat!E30=1),(VLOOKUP(E$1,test!$A$3:$I$32,8,FALSE))-(VLOOKUP($A30,test!$A$3:$I$32,9,FALSE)),0)</f>
        <v>110</v>
      </c>
      <c r="F30">
        <f>IF(AND($A30&lt;&gt;F$1,feasible_mat!F30=1),(VLOOKUP(F$1,test!$A$3:$I$32,8,FALSE))-(VLOOKUP($A30,test!$A$3:$I$32,9,FALSE)),0)</f>
        <v>200</v>
      </c>
      <c r="G30">
        <f>IF(AND($A30&lt;&gt;G$1,feasible_mat!G30=1),(VLOOKUP(G$1,test!$A$3:$I$32,8,FALSE))-(VLOOKUP($A30,test!$A$3:$I$32,9,FALSE)),0)</f>
        <v>260</v>
      </c>
      <c r="H30">
        <f>IF(AND($A30&lt;&gt;H$1,feasible_mat!H30=1),(VLOOKUP(H$1,test!$A$3:$I$32,8,FALSE))-(VLOOKUP($A30,test!$A$3:$I$32,9,FALSE)),0)</f>
        <v>320</v>
      </c>
      <c r="I30">
        <f>IF(AND($A30&lt;&gt;I$1,feasible_mat!I30=1),(VLOOKUP(I$1,test!$A$3:$I$32,8,FALSE))-(VLOOKUP($A30,test!$A$3:$I$32,9,FALSE)),0)</f>
        <v>380</v>
      </c>
      <c r="J30">
        <f>IF(AND($A30&lt;&gt;J$1,feasible_mat!J30=1),(VLOOKUP(J$1,test!$A$3:$I$32,8,FALSE))-(VLOOKUP($A30,test!$A$3:$I$32,9,FALSE)),0)</f>
        <v>470</v>
      </c>
      <c r="K30">
        <f>IF(AND($A30&lt;&gt;K$1,feasible_mat!K30=1),(VLOOKUP(K$1,test!$A$3:$I$32,8,FALSE))-(VLOOKUP($A30,test!$A$3:$I$32,9,FALSE)),0)</f>
        <v>0</v>
      </c>
      <c r="L30">
        <f>IF(AND($A30&lt;&gt;L$1,feasible_mat!L30=1),(VLOOKUP(L$1,test!$A$3:$I$32,8,FALSE))-(VLOOKUP($A30,test!$A$3:$I$32,9,FALSE)),0)</f>
        <v>0</v>
      </c>
      <c r="M30">
        <f>IF(AND($A30&lt;&gt;M$1,feasible_mat!M30=1),(VLOOKUP(M$1,test!$A$3:$I$32,8,FALSE))-(VLOOKUP($A30,test!$A$3:$I$32,9,FALSE)),0)</f>
        <v>75</v>
      </c>
      <c r="N30">
        <f>IF(AND($A30&lt;&gt;N$1,feasible_mat!N30=1),(VLOOKUP(N$1,test!$A$3:$I$32,8,FALSE))-(VLOOKUP($A30,test!$A$3:$I$32,9,FALSE)),0)</f>
        <v>435</v>
      </c>
      <c r="O30">
        <f>IF(AND($A30&lt;&gt;O$1,feasible_mat!O30=1),(VLOOKUP(O$1,test!$A$3:$I$32,8,FALSE))-(VLOOKUP($A30,test!$A$3:$I$32,9,FALSE)),0)</f>
        <v>495</v>
      </c>
      <c r="P30">
        <f>IF(AND($A30&lt;&gt;P$1,feasible_mat!P30=1),(VLOOKUP(P$1,test!$A$3:$I$32,8,FALSE))-(VLOOKUP($A30,test!$A$3:$I$32,9,FALSE)),0)</f>
        <v>0</v>
      </c>
      <c r="Q30">
        <f>IF(AND($A30&lt;&gt;Q$1,feasible_mat!Q30=1),(VLOOKUP(Q$1,test!$A$3:$I$32,8,FALSE))-(VLOOKUP($A30,test!$A$3:$I$32,9,FALSE)),0)</f>
        <v>0</v>
      </c>
      <c r="R30">
        <f>IF(AND($A30&lt;&gt;R$1,feasible_mat!R30=1),(VLOOKUP(R$1,test!$A$3:$I$32,8,FALSE))-(VLOOKUP($A30,test!$A$3:$I$32,9,FALSE)),0)</f>
        <v>0</v>
      </c>
      <c r="S30">
        <f>IF(AND($A30&lt;&gt;S$1,feasible_mat!S30=1),(VLOOKUP(S$1,test!$A$3:$I$32,8,FALSE))-(VLOOKUP($A30,test!$A$3:$I$32,9,FALSE)),0)</f>
        <v>0</v>
      </c>
      <c r="T30">
        <f>IF(AND($A30&lt;&gt;T$1,feasible_mat!T30=1),(VLOOKUP(T$1,test!$A$3:$I$32,8,FALSE))-(VLOOKUP($A30,test!$A$3:$I$32,9,FALSE)),0)</f>
        <v>90</v>
      </c>
      <c r="U30">
        <f>IF(AND($A30&lt;&gt;U$1,feasible_mat!U30=1),(VLOOKUP(U$1,test!$A$3:$I$32,8,FALSE))-(VLOOKUP($A30,test!$A$3:$I$32,9,FALSE)),0)</f>
        <v>180</v>
      </c>
      <c r="V30">
        <f>IF(AND($A30&lt;&gt;V$1,feasible_mat!V30=1),(VLOOKUP(V$1,test!$A$3:$I$32,8,FALSE))-(VLOOKUP($A30,test!$A$3:$I$32,9,FALSE)),0)</f>
        <v>270</v>
      </c>
      <c r="W30">
        <f>IF(AND($A30&lt;&gt;W$1,feasible_mat!W30=1),(VLOOKUP(W$1,test!$A$3:$I$32,8,FALSE))-(VLOOKUP($A30,test!$A$3:$I$32,9,FALSE)),0)</f>
        <v>360</v>
      </c>
      <c r="X30">
        <f>IF(AND($A30&lt;&gt;X$1,feasible_mat!X30=1),(VLOOKUP(X$1,test!$A$3:$I$32,8,FALSE))-(VLOOKUP($A30,test!$A$3:$I$32,9,FALSE)),0)</f>
        <v>420</v>
      </c>
      <c r="Y30">
        <f>IF(AND($A30&lt;&gt;Y$1,feasible_mat!Y30=1),(VLOOKUP(Y$1,test!$A$3:$I$32,8,FALSE))-(VLOOKUP($A30,test!$A$3:$I$32,9,FALSE)),0)</f>
        <v>0</v>
      </c>
      <c r="Z30">
        <f>IF(AND($A30&lt;&gt;Z$1,feasible_mat!Z30=1),(VLOOKUP(Z$1,test!$A$3:$I$32,8,FALSE))-(VLOOKUP($A30,test!$A$3:$I$32,9,FALSE)),0)</f>
        <v>20</v>
      </c>
      <c r="AA30">
        <f>IF(AND($A30&lt;&gt;AA$1,feasible_mat!AA30=1),(VLOOKUP(AA$1,test!$A$3:$I$32,8,FALSE))-(VLOOKUP($A30,test!$A$3:$I$32,9,FALSE)),0)</f>
        <v>140</v>
      </c>
      <c r="AB30">
        <f>IF(AND($A30&lt;&gt;AB$1,feasible_mat!AB30=1),(VLOOKUP(AB$1,test!$A$3:$I$32,8,FALSE))-(VLOOKUP($A30,test!$A$3:$I$32,9,FALSE)),0)</f>
        <v>200</v>
      </c>
      <c r="AC30">
        <f>IF(AND($A30&lt;&gt;AC$1,feasible_mat!AC30=1),(VLOOKUP(AC$1,test!$A$3:$I$32,8,FALSE))-(VLOOKUP($A30,test!$A$3:$I$32,9,FALSE)),0)</f>
        <v>320</v>
      </c>
      <c r="AD30">
        <f>IF(AND($A30&lt;&gt;AD$1,feasible_mat!AD30=1),(VLOOKUP(AD$1,test!$A$3:$I$32,8,FALSE))-(VLOOKUP($A30,test!$A$3:$I$32,9,FALSE)),0)</f>
        <v>0</v>
      </c>
      <c r="AE30">
        <f>IF(AND($A30&lt;&gt;AE$1,feasible_mat!AE30=1),(VLOOKUP(AE$1,test!$A$3:$I$32,8,FALSE))-(VLOOKUP($A30,test!$A$3:$I$32,9,FALSE)),0)</f>
        <v>140</v>
      </c>
      <c r="AF30">
        <f>IF(AND($A30&lt;&gt;AF$1,feasible_mat!AF30=1),(VLOOKUP(AF$1,test!$A$3:$I$32,8,FALSE))-(VLOOKUP($A30,test!$A$3:$I$32,9,FALSE)),0)</f>
        <v>90</v>
      </c>
    </row>
    <row r="31" spans="1:36" x14ac:dyDescent="0.25">
      <c r="A31" t="s">
        <v>40</v>
      </c>
      <c r="B31">
        <v>0</v>
      </c>
      <c r="C31">
        <f>IF(AND($A31&lt;&gt;C$1,feasible_mat!C31=1),(VLOOKUP(C$1,test!$A$3:$I$32,8,FALSE))-(VLOOKUP($A31,test!$A$3:$I$32,9,FALSE)),0)</f>
        <v>0</v>
      </c>
      <c r="D31">
        <f>IF(AND($A31&lt;&gt;D$1,feasible_mat!D31=1),(VLOOKUP(D$1,test!$A$3:$I$32,8,FALSE))-(VLOOKUP($A31,test!$A$3:$I$32,9,FALSE)),0)</f>
        <v>0</v>
      </c>
      <c r="E31">
        <f>IF(AND($A31&lt;&gt;E$1,feasible_mat!E31=1),(VLOOKUP(E$1,test!$A$3:$I$32,8,FALSE))-(VLOOKUP($A31,test!$A$3:$I$32,9,FALSE)),0)</f>
        <v>0</v>
      </c>
      <c r="F31">
        <f>IF(AND($A31&lt;&gt;F$1,feasible_mat!F31=1),(VLOOKUP(F$1,test!$A$3:$I$32,8,FALSE))-(VLOOKUP($A31,test!$A$3:$I$32,9,FALSE)),0)</f>
        <v>0</v>
      </c>
      <c r="G31">
        <f>IF(AND($A31&lt;&gt;G$1,feasible_mat!G31=1),(VLOOKUP(G$1,test!$A$3:$I$32,8,FALSE))-(VLOOKUP($A31,test!$A$3:$I$32,9,FALSE)),0)</f>
        <v>0</v>
      </c>
      <c r="H31">
        <f>IF(AND($A31&lt;&gt;H$1,feasible_mat!H31=1),(VLOOKUP(H$1,test!$A$3:$I$32,8,FALSE))-(VLOOKUP($A31,test!$A$3:$I$32,9,FALSE)),0)</f>
        <v>0</v>
      </c>
      <c r="I31">
        <f>IF(AND($A31&lt;&gt;I$1,feasible_mat!I31=1),(VLOOKUP(I$1,test!$A$3:$I$32,8,FALSE))-(VLOOKUP($A31,test!$A$3:$I$32,9,FALSE)),0)</f>
        <v>30</v>
      </c>
      <c r="J31">
        <f>IF(AND($A31&lt;&gt;J$1,feasible_mat!J31=1),(VLOOKUP(J$1,test!$A$3:$I$32,8,FALSE))-(VLOOKUP($A31,test!$A$3:$I$32,9,FALSE)),0)</f>
        <v>120</v>
      </c>
      <c r="K31">
        <f>IF(AND($A31&lt;&gt;K$1,feasible_mat!K31=1),(VLOOKUP(K$1,test!$A$3:$I$32,8,FALSE))-(VLOOKUP($A31,test!$A$3:$I$32,9,FALSE)),0)</f>
        <v>0</v>
      </c>
      <c r="L31">
        <f>IF(AND($A31&lt;&gt;L$1,feasible_mat!L31=1),(VLOOKUP(L$1,test!$A$3:$I$32,8,FALSE))-(VLOOKUP($A31,test!$A$3:$I$32,9,FALSE)),0)</f>
        <v>0</v>
      </c>
      <c r="M31">
        <f>IF(AND($A31&lt;&gt;M$1,feasible_mat!M31=1),(VLOOKUP(M$1,test!$A$3:$I$32,8,FALSE))-(VLOOKUP($A31,test!$A$3:$I$32,9,FALSE)),0)</f>
        <v>0</v>
      </c>
      <c r="N31">
        <f>IF(AND($A31&lt;&gt;N$1,feasible_mat!N31=1),(VLOOKUP(N$1,test!$A$3:$I$32,8,FALSE))-(VLOOKUP($A31,test!$A$3:$I$32,9,FALSE)),0)</f>
        <v>85</v>
      </c>
      <c r="O31">
        <f>IF(AND($A31&lt;&gt;O$1,feasible_mat!O31=1),(VLOOKUP(O$1,test!$A$3:$I$32,8,FALSE))-(VLOOKUP($A31,test!$A$3:$I$32,9,FALSE)),0)</f>
        <v>145</v>
      </c>
      <c r="P31">
        <f>IF(AND($A31&lt;&gt;P$1,feasible_mat!P31=1),(VLOOKUP(P$1,test!$A$3:$I$32,8,FALSE))-(VLOOKUP($A31,test!$A$3:$I$32,9,FALSE)),0)</f>
        <v>0</v>
      </c>
      <c r="Q31">
        <f>IF(AND($A31&lt;&gt;Q$1,feasible_mat!Q31=1),(VLOOKUP(Q$1,test!$A$3:$I$32,8,FALSE))-(VLOOKUP($A31,test!$A$3:$I$32,9,FALSE)),0)</f>
        <v>0</v>
      </c>
      <c r="R31">
        <f>IF(AND($A31&lt;&gt;R$1,feasible_mat!R31=1),(VLOOKUP(R$1,test!$A$3:$I$32,8,FALSE))-(VLOOKUP($A31,test!$A$3:$I$32,9,FALSE)),0)</f>
        <v>0</v>
      </c>
      <c r="S31">
        <f>IF(AND($A31&lt;&gt;S$1,feasible_mat!S31=1),(VLOOKUP(S$1,test!$A$3:$I$32,8,FALSE))-(VLOOKUP($A31,test!$A$3:$I$32,9,FALSE)),0)</f>
        <v>0</v>
      </c>
      <c r="T31">
        <f>IF(AND($A31&lt;&gt;T$1,feasible_mat!T31=1),(VLOOKUP(T$1,test!$A$3:$I$32,8,FALSE))-(VLOOKUP($A31,test!$A$3:$I$32,9,FALSE)),0)</f>
        <v>0</v>
      </c>
      <c r="U31">
        <f>IF(AND($A31&lt;&gt;U$1,feasible_mat!U31=1),(VLOOKUP(U$1,test!$A$3:$I$32,8,FALSE))-(VLOOKUP($A31,test!$A$3:$I$32,9,FALSE)),0)</f>
        <v>0</v>
      </c>
      <c r="V31">
        <f>IF(AND($A31&lt;&gt;V$1,feasible_mat!V31=1),(VLOOKUP(V$1,test!$A$3:$I$32,8,FALSE))-(VLOOKUP($A31,test!$A$3:$I$32,9,FALSE)),0)</f>
        <v>0</v>
      </c>
      <c r="W31">
        <f>IF(AND($A31&lt;&gt;W$1,feasible_mat!W31=1),(VLOOKUP(W$1,test!$A$3:$I$32,8,FALSE))-(VLOOKUP($A31,test!$A$3:$I$32,9,FALSE)),0)</f>
        <v>0</v>
      </c>
      <c r="X31">
        <f>IF(AND($A31&lt;&gt;X$1,feasible_mat!X31=1),(VLOOKUP(X$1,test!$A$3:$I$32,8,FALSE))-(VLOOKUP($A31,test!$A$3:$I$32,9,FALSE)),0)</f>
        <v>70</v>
      </c>
      <c r="Y31">
        <f>IF(AND($A31&lt;&gt;Y$1,feasible_mat!Y31=1),(VLOOKUP(Y$1,test!$A$3:$I$32,8,FALSE))-(VLOOKUP($A31,test!$A$3:$I$32,9,FALSE)),0)</f>
        <v>0</v>
      </c>
      <c r="Z31">
        <f>IF(AND($A31&lt;&gt;Z$1,feasible_mat!Z31=1),(VLOOKUP(Z$1,test!$A$3:$I$32,8,FALSE))-(VLOOKUP($A31,test!$A$3:$I$32,9,FALSE)),0)</f>
        <v>0</v>
      </c>
      <c r="AA31">
        <f>IF(AND($A31&lt;&gt;AA$1,feasible_mat!AA31=1),(VLOOKUP(AA$1,test!$A$3:$I$32,8,FALSE))-(VLOOKUP($A31,test!$A$3:$I$32,9,FALSE)),0)</f>
        <v>0</v>
      </c>
      <c r="AB31">
        <f>IF(AND($A31&lt;&gt;AB$1,feasible_mat!AB31=1),(VLOOKUP(AB$1,test!$A$3:$I$32,8,FALSE))-(VLOOKUP($A31,test!$A$3:$I$32,9,FALSE)),0)</f>
        <v>0</v>
      </c>
      <c r="AC31">
        <f>IF(AND($A31&lt;&gt;AC$1,feasible_mat!AC31=1),(VLOOKUP(AC$1,test!$A$3:$I$32,8,FALSE))-(VLOOKUP($A31,test!$A$3:$I$32,9,FALSE)),0)</f>
        <v>0</v>
      </c>
      <c r="AD31">
        <f>IF(AND($A31&lt;&gt;AD$1,feasible_mat!AD31=1),(VLOOKUP(AD$1,test!$A$3:$I$32,8,FALSE))-(VLOOKUP($A31,test!$A$3:$I$32,9,FALSE)),0)</f>
        <v>0</v>
      </c>
      <c r="AE31">
        <f>IF(AND($A31&lt;&gt;AE$1,feasible_mat!AE31=1),(VLOOKUP(AE$1,test!$A$3:$I$32,8,FALSE))-(VLOOKUP($A31,test!$A$3:$I$32,9,FALSE)),0)</f>
        <v>0</v>
      </c>
      <c r="AF31">
        <f>IF(AND($A31&lt;&gt;AF$1,feasible_mat!AF31=1),(VLOOKUP(AF$1,test!$A$3:$I$32,8,FALSE))-(VLOOKUP($A31,test!$A$3:$I$32,9,FALSE)),0)</f>
        <v>0</v>
      </c>
    </row>
    <row r="32" spans="1:36" x14ac:dyDescent="0.25">
      <c r="A32" t="s">
        <v>41</v>
      </c>
      <c r="B32">
        <v>0</v>
      </c>
      <c r="C32">
        <f>IF(AND($A32&lt;&gt;C$1,feasible_mat!C32=1),(VLOOKUP(C$1,test!$A$3:$I$32,8,FALSE))-(VLOOKUP($A32,test!$A$3:$I$32,9,FALSE)),0)</f>
        <v>0</v>
      </c>
      <c r="D32">
        <f>IF(AND($A32&lt;&gt;D$1,feasible_mat!D32=1),(VLOOKUP(D$1,test!$A$3:$I$32,8,FALSE))-(VLOOKUP($A32,test!$A$3:$I$32,9,FALSE)),0)</f>
        <v>0</v>
      </c>
      <c r="E32">
        <f>IF(AND($A32&lt;&gt;E$1,feasible_mat!E32=1),(VLOOKUP(E$1,test!$A$3:$I$32,8,FALSE))-(VLOOKUP($A32,test!$A$3:$I$32,9,FALSE)),0)</f>
        <v>0</v>
      </c>
      <c r="F32">
        <f>IF(AND($A32&lt;&gt;F$1,feasible_mat!F32=1),(VLOOKUP(F$1,test!$A$3:$I$32,8,FALSE))-(VLOOKUP($A32,test!$A$3:$I$32,9,FALSE)),0)</f>
        <v>0</v>
      </c>
      <c r="G32">
        <f>IF(AND($A32&lt;&gt;G$1,feasible_mat!G32=1),(VLOOKUP(G$1,test!$A$3:$I$32,8,FALSE))-(VLOOKUP($A32,test!$A$3:$I$32,9,FALSE)),0)</f>
        <v>0</v>
      </c>
      <c r="H32">
        <f>IF(AND($A32&lt;&gt;H$1,feasible_mat!H32=1),(VLOOKUP(H$1,test!$A$3:$I$32,8,FALSE))-(VLOOKUP($A32,test!$A$3:$I$32,9,FALSE)),0)</f>
        <v>0</v>
      </c>
      <c r="I32">
        <f>IF(AND($A32&lt;&gt;I$1,feasible_mat!I32=1),(VLOOKUP(I$1,test!$A$3:$I$32,8,FALSE))-(VLOOKUP($A32,test!$A$3:$I$32,9,FALSE)),0)</f>
        <v>20</v>
      </c>
      <c r="J32">
        <f>IF(AND($A32&lt;&gt;J$1,feasible_mat!J32=1),(VLOOKUP(J$1,test!$A$3:$I$32,8,FALSE))-(VLOOKUP($A32,test!$A$3:$I$32,9,FALSE)),0)</f>
        <v>110</v>
      </c>
      <c r="K32">
        <f>IF(AND($A32&lt;&gt;K$1,feasible_mat!K32=1),(VLOOKUP(K$1,test!$A$3:$I$32,8,FALSE))-(VLOOKUP($A32,test!$A$3:$I$32,9,FALSE)),0)</f>
        <v>0</v>
      </c>
      <c r="L32">
        <f>IF(AND($A32&lt;&gt;L$1,feasible_mat!L32=1),(VLOOKUP(L$1,test!$A$3:$I$32,8,FALSE))-(VLOOKUP($A32,test!$A$3:$I$32,9,FALSE)),0)</f>
        <v>0</v>
      </c>
      <c r="M32">
        <f>IF(AND($A32&lt;&gt;M$1,feasible_mat!M32=1),(VLOOKUP(M$1,test!$A$3:$I$32,8,FALSE))-(VLOOKUP($A32,test!$A$3:$I$32,9,FALSE)),0)</f>
        <v>0</v>
      </c>
      <c r="N32">
        <f>IF(AND($A32&lt;&gt;N$1,feasible_mat!N32=1),(VLOOKUP(N$1,test!$A$3:$I$32,8,FALSE))-(VLOOKUP($A32,test!$A$3:$I$32,9,FALSE)),0)</f>
        <v>75</v>
      </c>
      <c r="O32">
        <f>IF(AND($A32&lt;&gt;O$1,feasible_mat!O32=1),(VLOOKUP(O$1,test!$A$3:$I$32,8,FALSE))-(VLOOKUP($A32,test!$A$3:$I$32,9,FALSE)),0)</f>
        <v>135</v>
      </c>
      <c r="P32">
        <f>IF(AND($A32&lt;&gt;P$1,feasible_mat!P32=1),(VLOOKUP(P$1,test!$A$3:$I$32,8,FALSE))-(VLOOKUP($A32,test!$A$3:$I$32,9,FALSE)),0)</f>
        <v>0</v>
      </c>
      <c r="Q32">
        <f>IF(AND($A32&lt;&gt;Q$1,feasible_mat!Q32=1),(VLOOKUP(Q$1,test!$A$3:$I$32,8,FALSE))-(VLOOKUP($A32,test!$A$3:$I$32,9,FALSE)),0)</f>
        <v>0</v>
      </c>
      <c r="R32">
        <f>IF(AND($A32&lt;&gt;R$1,feasible_mat!R32=1),(VLOOKUP(R$1,test!$A$3:$I$32,8,FALSE))-(VLOOKUP($A32,test!$A$3:$I$32,9,FALSE)),0)</f>
        <v>0</v>
      </c>
      <c r="S32">
        <f>IF(AND($A32&lt;&gt;S$1,feasible_mat!S32=1),(VLOOKUP(S$1,test!$A$3:$I$32,8,FALSE))-(VLOOKUP($A32,test!$A$3:$I$32,9,FALSE)),0)</f>
        <v>0</v>
      </c>
      <c r="T32">
        <f>IF(AND($A32&lt;&gt;T$1,feasible_mat!T32=1),(VLOOKUP(T$1,test!$A$3:$I$32,8,FALSE))-(VLOOKUP($A32,test!$A$3:$I$32,9,FALSE)),0)</f>
        <v>0</v>
      </c>
      <c r="U32">
        <f>IF(AND($A32&lt;&gt;U$1,feasible_mat!U32=1),(VLOOKUP(U$1,test!$A$3:$I$32,8,FALSE))-(VLOOKUP($A32,test!$A$3:$I$32,9,FALSE)),0)</f>
        <v>0</v>
      </c>
      <c r="V32">
        <f>IF(AND($A32&lt;&gt;V$1,feasible_mat!V32=1),(VLOOKUP(V$1,test!$A$3:$I$32,8,FALSE))-(VLOOKUP($A32,test!$A$3:$I$32,9,FALSE)),0)</f>
        <v>0</v>
      </c>
      <c r="W32">
        <f>IF(AND($A32&lt;&gt;W$1,feasible_mat!W32=1),(VLOOKUP(W$1,test!$A$3:$I$32,8,FALSE))-(VLOOKUP($A32,test!$A$3:$I$32,9,FALSE)),0)</f>
        <v>0</v>
      </c>
      <c r="X32">
        <f>IF(AND($A32&lt;&gt;X$1,feasible_mat!X32=1),(VLOOKUP(X$1,test!$A$3:$I$32,8,FALSE))-(VLOOKUP($A32,test!$A$3:$I$32,9,FALSE)),0)</f>
        <v>60</v>
      </c>
      <c r="Y32">
        <f>IF(AND($A32&lt;&gt;Y$1,feasible_mat!Y32=1),(VLOOKUP(Y$1,test!$A$3:$I$32,8,FALSE))-(VLOOKUP($A32,test!$A$3:$I$32,9,FALSE)),0)</f>
        <v>0</v>
      </c>
      <c r="Z32">
        <f>IF(AND($A32&lt;&gt;Z$1,feasible_mat!Z32=1),(VLOOKUP(Z$1,test!$A$3:$I$32,8,FALSE))-(VLOOKUP($A32,test!$A$3:$I$32,9,FALSE)),0)</f>
        <v>0</v>
      </c>
      <c r="AA32">
        <f>IF(AND($A32&lt;&gt;AA$1,feasible_mat!AA32=1),(VLOOKUP(AA$1,test!$A$3:$I$32,8,FALSE))-(VLOOKUP($A32,test!$A$3:$I$32,9,FALSE)),0)</f>
        <v>0</v>
      </c>
      <c r="AB32">
        <f>IF(AND($A32&lt;&gt;AB$1,feasible_mat!AB32=1),(VLOOKUP(AB$1,test!$A$3:$I$32,8,FALSE))-(VLOOKUP($A32,test!$A$3:$I$32,9,FALSE)),0)</f>
        <v>0</v>
      </c>
      <c r="AC32">
        <f>IF(AND($A32&lt;&gt;AC$1,feasible_mat!AC32=1),(VLOOKUP(AC$1,test!$A$3:$I$32,8,FALSE))-(VLOOKUP($A32,test!$A$3:$I$32,9,FALSE)),0)</f>
        <v>0</v>
      </c>
      <c r="AD32">
        <f>IF(AND($A32&lt;&gt;AD$1,feasible_mat!AD32=1),(VLOOKUP(AD$1,test!$A$3:$I$32,8,FALSE))-(VLOOKUP($A32,test!$A$3:$I$32,9,FALSE)),0)</f>
        <v>0</v>
      </c>
      <c r="AE32">
        <f>IF(AND($A32&lt;&gt;AE$1,feasible_mat!AE32=1),(VLOOKUP(AE$1,test!$A$3:$I$32,8,FALSE))-(VLOOKUP($A32,test!$A$3:$I$32,9,FALSE)),0)</f>
        <v>0</v>
      </c>
      <c r="AF32">
        <f>IF(AND($A32&lt;&gt;AF$1,feasible_mat!AF32=1),(VLOOKUP(AF$1,test!$A$3:$I$32,8,FALSE))-(VLOOKUP($A32,test!$A$3:$I$32,9,FALSE)),0)</f>
        <v>0</v>
      </c>
    </row>
    <row r="33" spans="1:35" x14ac:dyDescent="0.25">
      <c r="A33" t="s">
        <v>46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5" x14ac:dyDescent="0.25">
      <c r="A34" t="s">
        <v>6</v>
      </c>
      <c r="B34">
        <v>0</v>
      </c>
      <c r="C34">
        <f>IF(AND($A34&lt;&gt;C$1,Recharged_Feasible_mat!D3),(VLOOKUP(C$1,test!$A$3:$I$32,8,FALSE))-(VLOOKUP($A34,test!$A$3:$I$32,9,FALSE))-(test!$B$33-50),0)</f>
        <v>0</v>
      </c>
      <c r="D34">
        <f>IF(AND($A34&lt;&gt;D$1,Recharged_Feasible_mat!E3),(VLOOKUP(D$1,test!$A$3:$I$32,8,FALSE))-(VLOOKUP($A34,test!$A$3:$I$32,9,FALSE))-(test!$B$33-50),0)</f>
        <v>0</v>
      </c>
      <c r="E34">
        <f>IF(AND($A34&lt;&gt;E$1,Recharged_Feasible_mat!F3),(VLOOKUP(E$1,test!$A$3:$I$32,8,FALSE))-(VLOOKUP($A34,test!$A$3:$I$32,9,FALSE))-(test!$B$33-50),0)</f>
        <v>135</v>
      </c>
      <c r="F34">
        <f>IF(AND($A34&lt;&gt;F$1,Recharged_Feasible_mat!G3),(VLOOKUP(F$1,test!$A$3:$I$32,8,FALSE))-(VLOOKUP($A34,test!$A$3:$I$32,9,FALSE))-(test!$B$33-50),0)</f>
        <v>225</v>
      </c>
      <c r="G34">
        <f>IF(AND($A34&lt;&gt;G$1,Recharged_Feasible_mat!H3),(VLOOKUP(G$1,test!$A$3:$I$32,8,FALSE))-(VLOOKUP($A34,test!$A$3:$I$32,9,FALSE))-(test!$B$33-50),0)</f>
        <v>285</v>
      </c>
      <c r="H34">
        <f>IF(AND($A34&lt;&gt;H$1,Recharged_Feasible_mat!I3),(VLOOKUP(H$1,test!$A$3:$I$32,8,FALSE))-(VLOOKUP($A34,test!$A$3:$I$32,9,FALSE))-(test!$B$33-50),0)</f>
        <v>345</v>
      </c>
      <c r="I34">
        <f>IF(AND($A34&lt;&gt;I$1,Recharged_Feasible_mat!J3),(VLOOKUP(I$1,test!$A$3:$I$32,8,FALSE))-(VLOOKUP($A34,test!$A$3:$I$32,9,FALSE))-(test!$B$33-50),0)</f>
        <v>405</v>
      </c>
      <c r="J34">
        <f>IF(AND($A34&lt;&gt;J$1,Recharged_Feasible_mat!K3),(VLOOKUP(J$1,test!$A$3:$I$32,8,FALSE))-(VLOOKUP($A34,test!$A$3:$I$32,9,FALSE))-(test!$B$33-50),0)</f>
        <v>495</v>
      </c>
      <c r="K34">
        <f>IF(AND($A34&lt;&gt;K$1,Recharged_Feasible_mat!L3),(VLOOKUP(K$1,test!$A$3:$I$32,8,FALSE))-(VLOOKUP($A34,test!$A$3:$I$32,9,FALSE))-(test!$B$33-50),0)</f>
        <v>0</v>
      </c>
      <c r="L34">
        <f>IF(AND($A34&lt;&gt;L$1,Recharged_Feasible_mat!M3),(VLOOKUP(L$1,test!$A$3:$I$32,8,FALSE))-(VLOOKUP($A34,test!$A$3:$I$32,9,FALSE))-test!$B$33,0)</f>
        <v>0</v>
      </c>
      <c r="M34">
        <f>IF(AND($A34&lt;&gt;M$1,Recharged_Feasible_mat!N3),(VLOOKUP(M$1,test!$A$3:$I$32,8,FALSE))-(VLOOKUP($A34,test!$A$3:$I$32,9,FALSE))-test!$B$33,0)</f>
        <v>50</v>
      </c>
      <c r="N34">
        <f>IF(AND($A34&lt;&gt;N$1,Recharged_Feasible_mat!O3),(VLOOKUP(N$1,test!$A$3:$I$32,8,FALSE))-(VLOOKUP($A34,test!$A$3:$I$32,9,FALSE))-test!$B$33,0)</f>
        <v>410</v>
      </c>
      <c r="O34">
        <f>IF(AND($A34&lt;&gt;O$1,Recharged_Feasible_mat!P3),(VLOOKUP(O$1,test!$A$3:$I$32,8,FALSE))-(VLOOKUP($A34,test!$A$3:$I$32,9,FALSE))-test!$B$33,0)</f>
        <v>470</v>
      </c>
      <c r="P34">
        <f>IF(AND($A34&lt;&gt;P$1,Recharged_Feasible_mat!Q3),(VLOOKUP(P$1,test!$A$3:$I$32,8,FALSE))-(VLOOKUP($A34,test!$A$3:$I$32,9,FALSE))-test!$B$33,0)</f>
        <v>0</v>
      </c>
      <c r="Q34">
        <f>IF(AND($A34&lt;&gt;Q$1,Recharged_Feasible_mat!R3),(VLOOKUP(Q$1,test!$A$3:$I$32,8,FALSE))-(VLOOKUP($A34,test!$A$3:$I$32,9,FALSE))-test!$B$33,0)</f>
        <v>0</v>
      </c>
      <c r="R34">
        <f>IF(AND($A34&lt;&gt;R$1,Recharged_Feasible_mat!S3),(VLOOKUP(R$1,test!$A$3:$I$32,8,FALSE))-(VLOOKUP($A34,test!$A$3:$I$32,9,FALSE))-test!$B$33,0)</f>
        <v>0</v>
      </c>
      <c r="S34">
        <f>IF(AND($A34&lt;&gt;S$1,Recharged_Feasible_mat!T3),(VLOOKUP(S$1,test!$A$3:$I$32,8,FALSE))-(VLOOKUP($A34,test!$A$3:$I$32,9,FALSE))-test!$B$33,0)</f>
        <v>0</v>
      </c>
      <c r="T34">
        <f>IF(AND($A34&lt;&gt;T$1,Recharged_Feasible_mat!U3),(VLOOKUP(T$1,test!$A$3:$I$32,8,FALSE))-(VLOOKUP($A34,test!$A$3:$I$32,9,FALSE))-test!$B$33,0)</f>
        <v>65</v>
      </c>
      <c r="U34">
        <f>IF(AND($A34&lt;&gt;U$1,Recharged_Feasible_mat!V3),(VLOOKUP(U$1,test!$A$3:$I$32,8,FALSE))-(VLOOKUP($A34,test!$A$3:$I$32,9,FALSE))-test!$B$33,0)</f>
        <v>155</v>
      </c>
      <c r="V34">
        <f>IF(AND($A34&lt;&gt;V$1,Recharged_Feasible_mat!W3),(VLOOKUP(V$1,test!$A$3:$I$32,8,FALSE))-(VLOOKUP($A34,test!$A$3:$I$32,9,FALSE))-test!$B$33,0)</f>
        <v>245</v>
      </c>
      <c r="W34">
        <f>IF(AND($A34&lt;&gt;W$1,Recharged_Feasible_mat!X3),(VLOOKUP(W$1,test!$A$3:$I$32,8,FALSE))-(VLOOKUP($A34,test!$A$3:$I$32,9,FALSE))-test!$B$33,0)</f>
        <v>335</v>
      </c>
      <c r="X34">
        <f>IF(AND($A34&lt;&gt;X$1,Recharged_Feasible_mat!Y3),(VLOOKUP(X$1,test!$A$3:$I$32,8,FALSE))-(VLOOKUP($A34,test!$A$3:$I$32,9,FALSE))-test!$B$33,0)</f>
        <v>395</v>
      </c>
      <c r="Y34">
        <f>IF(AND($A34&lt;&gt;Y$1,Recharged_Feasible_mat!Z3),(VLOOKUP(Y$1,test!$A$3:$I$32,8,FALSE))-(VLOOKUP($A34,test!$A$3:$I$32,9,FALSE))-test!$B$33,0)</f>
        <v>0</v>
      </c>
      <c r="Z34">
        <f>IF(AND($A34&lt;&gt;Z$1,Recharged_Feasible_mat!AA3),(VLOOKUP(Z$1,test!$A$3:$I$32,8,FALSE))-(VLOOKUP($A34,test!$A$3:$I$32,9,FALSE))-test!$B$33,0)</f>
        <v>0</v>
      </c>
      <c r="AA34">
        <f>IF(AND($A34&lt;&gt;AA$1,Recharged_Feasible_mat!AB3),(VLOOKUP(AA$1,test!$A$3:$I$32,8,FALSE))-(VLOOKUP($A34,test!$A$3:$I$32,9,FALSE))-test!$B$33,0)</f>
        <v>115</v>
      </c>
      <c r="AB34">
        <f>IF(AND($A34&lt;&gt;AB$1,Recharged_Feasible_mat!AC3),(VLOOKUP(AB$1,test!$A$3:$I$32,8,FALSE))-(VLOOKUP($A34,test!$A$3:$I$32,9,FALSE))-test!$B$33,0)</f>
        <v>175</v>
      </c>
      <c r="AC34">
        <f>IF(AND($A34&lt;&gt;AC$1,Recharged_Feasible_mat!AD3),(VLOOKUP(AC$1,test!$A$3:$I$32,8,FALSE))-(VLOOKUP($A34,test!$A$3:$I$32,9,FALSE))-test!$B$33,0)</f>
        <v>295</v>
      </c>
      <c r="AD34">
        <f>IF(AND($A34&lt;&gt;AD$1,Recharged_Feasible_mat!AE3),(VLOOKUP(AD$1,test!$A$3:$I$32,8,FALSE))-(VLOOKUP($A34,test!$A$3:$I$32,9,FALSE))-test!$B$33,0)</f>
        <v>0</v>
      </c>
      <c r="AE34">
        <f>IF(AND($A34&lt;&gt;AE$1,Recharged_Feasible_mat!AF3),(VLOOKUP(AE$1,test!$A$3:$I$32,8,FALSE))-(VLOOKUP($A34,test!$A$3:$I$32,9,FALSE))-test!$B$33,0)</f>
        <v>115</v>
      </c>
      <c r="AF34">
        <f>IF(AND($A34&lt;&gt;AF$1,Recharged_Feasible_mat!AG3),(VLOOKUP(AF$1,test!$A$3:$I$32,8,FALSE))-(VLOOKUP($A34,test!$A$3:$I$32,9,FALSE))-test!$B$33,0)</f>
        <v>65</v>
      </c>
      <c r="AI34" s="16" t="s">
        <v>86</v>
      </c>
    </row>
    <row r="35" spans="1:35" x14ac:dyDescent="0.25">
      <c r="A35" t="s">
        <v>9</v>
      </c>
      <c r="B35">
        <v>0</v>
      </c>
      <c r="C35">
        <f>IF(AND($A35&lt;&gt;C$1,Recharged_Feasible_mat!D4),(VLOOKUP(C$1,test!$A$3:$I$32,8,FALSE))-(VLOOKUP($A35,test!$A$3:$I$32,9,FALSE))-(test!$B$33-50),0)</f>
        <v>0</v>
      </c>
      <c r="D35">
        <f>IF(AND($A35&lt;&gt;D$1,Recharged_Feasible_mat!E4),(VLOOKUP(D$1,test!$A$3:$I$32,8,FALSE))-(VLOOKUP($A35,test!$A$3:$I$32,9,FALSE))-(test!$B$33-50),0)</f>
        <v>0</v>
      </c>
      <c r="E35">
        <f>IF(AND($A35&lt;&gt;E$1,Recharged_Feasible_mat!F4),(VLOOKUP(E$1,test!$A$3:$I$32,8,FALSE))-(VLOOKUP($A35,test!$A$3:$I$32,9,FALSE))-(test!$B$33-50),0)</f>
        <v>0</v>
      </c>
      <c r="F35">
        <f>IF(AND($A35&lt;&gt;F$1,Recharged_Feasible_mat!G4),(VLOOKUP(F$1,test!$A$3:$I$32,8,FALSE))-(VLOOKUP($A35,test!$A$3:$I$32,9,FALSE))-(test!$B$33-50),0)</f>
        <v>0</v>
      </c>
      <c r="G35">
        <f>IF(AND($A35&lt;&gt;G$1,Recharged_Feasible_mat!H4),(VLOOKUP(G$1,test!$A$3:$I$32,8,FALSE))-(VLOOKUP($A35,test!$A$3:$I$32,9,FALSE))-(test!$B$33-50),0)</f>
        <v>105</v>
      </c>
      <c r="H35">
        <f>IF(AND($A35&lt;&gt;H$1,Recharged_Feasible_mat!I4),(VLOOKUP(H$1,test!$A$3:$I$32,8,FALSE))-(VLOOKUP($A35,test!$A$3:$I$32,9,FALSE))-(test!$B$33-50),0)</f>
        <v>165</v>
      </c>
      <c r="I35">
        <f>IF(AND($A35&lt;&gt;I$1,Recharged_Feasible_mat!J4),(VLOOKUP(I$1,test!$A$3:$I$32,8,FALSE))-(VLOOKUP($A35,test!$A$3:$I$32,9,FALSE))-(test!$B$33-50),0)</f>
        <v>225</v>
      </c>
      <c r="J35">
        <f>IF(AND($A35&lt;&gt;J$1,Recharged_Feasible_mat!K4),(VLOOKUP(J$1,test!$A$3:$I$32,8,FALSE))-(VLOOKUP($A35,test!$A$3:$I$32,9,FALSE))-(test!$B$33-50),0)</f>
        <v>315</v>
      </c>
      <c r="K35">
        <f>IF(AND($A35&lt;&gt;K$1,Recharged_Feasible_mat!L4),(VLOOKUP(K$1,test!$A$3:$I$32,8,FALSE))-(VLOOKUP($A35,test!$A$3:$I$32,9,FALSE))-(test!$B$33-50),0)</f>
        <v>0</v>
      </c>
      <c r="L35">
        <f>IF(AND($A35&lt;&gt;L$1,Recharged_Feasible_mat!M4),(VLOOKUP(L$1,test!$A$3:$I$32,8,FALSE))-(VLOOKUP($A35,test!$A$3:$I$32,9,FALSE))-test!$B$33,0)</f>
        <v>0</v>
      </c>
      <c r="M35">
        <f>IF(AND($A35&lt;&gt;M$1,Recharged_Feasible_mat!N4),(VLOOKUP(M$1,test!$A$3:$I$32,8,FALSE))-(VLOOKUP($A35,test!$A$3:$I$32,9,FALSE))-test!$B$33,0)</f>
        <v>0</v>
      </c>
      <c r="N35">
        <f>IF(AND($A35&lt;&gt;N$1,Recharged_Feasible_mat!O4),(VLOOKUP(N$1,test!$A$3:$I$32,8,FALSE))-(VLOOKUP($A35,test!$A$3:$I$32,9,FALSE))-test!$B$33,0)</f>
        <v>230</v>
      </c>
      <c r="O35">
        <f>IF(AND($A35&lt;&gt;O$1,Recharged_Feasible_mat!P4),(VLOOKUP(O$1,test!$A$3:$I$32,8,FALSE))-(VLOOKUP($A35,test!$A$3:$I$32,9,FALSE))-test!$B$33,0)</f>
        <v>290</v>
      </c>
      <c r="P35">
        <f>IF(AND($A35&lt;&gt;P$1,Recharged_Feasible_mat!Q4),(VLOOKUP(P$1,test!$A$3:$I$32,8,FALSE))-(VLOOKUP($A35,test!$A$3:$I$32,9,FALSE))-test!$B$33,0)</f>
        <v>0</v>
      </c>
      <c r="Q35">
        <f>IF(AND($A35&lt;&gt;Q$1,Recharged_Feasible_mat!R4),(VLOOKUP(Q$1,test!$A$3:$I$32,8,FALSE))-(VLOOKUP($A35,test!$A$3:$I$32,9,FALSE))-test!$B$33,0)</f>
        <v>0</v>
      </c>
      <c r="R35">
        <f>IF(AND($A35&lt;&gt;R$1,Recharged_Feasible_mat!S4),(VLOOKUP(R$1,test!$A$3:$I$32,8,FALSE))-(VLOOKUP($A35,test!$A$3:$I$32,9,FALSE))-test!$B$33,0)</f>
        <v>0</v>
      </c>
      <c r="S35">
        <f>IF(AND($A35&lt;&gt;S$1,Recharged_Feasible_mat!T4),(VLOOKUP(S$1,test!$A$3:$I$32,8,FALSE))-(VLOOKUP($A35,test!$A$3:$I$32,9,FALSE))-test!$B$33,0)</f>
        <v>0</v>
      </c>
      <c r="T35">
        <f>IF(AND($A35&lt;&gt;T$1,Recharged_Feasible_mat!U4),(VLOOKUP(T$1,test!$A$3:$I$32,8,FALSE))-(VLOOKUP($A35,test!$A$3:$I$32,9,FALSE))-test!$B$33,0)</f>
        <v>0</v>
      </c>
      <c r="U35">
        <f>IF(AND($A35&lt;&gt;U$1,Recharged_Feasible_mat!V4),(VLOOKUP(U$1,test!$A$3:$I$32,8,FALSE))-(VLOOKUP($A35,test!$A$3:$I$32,9,FALSE))-test!$B$33,0)</f>
        <v>0</v>
      </c>
      <c r="V35">
        <f>IF(AND($A35&lt;&gt;V$1,Recharged_Feasible_mat!W4),(VLOOKUP(V$1,test!$A$3:$I$32,8,FALSE))-(VLOOKUP($A35,test!$A$3:$I$32,9,FALSE))-test!$B$33,0)</f>
        <v>65</v>
      </c>
      <c r="W35">
        <f>IF(AND($A35&lt;&gt;W$1,Recharged_Feasible_mat!X4),(VLOOKUP(W$1,test!$A$3:$I$32,8,FALSE))-(VLOOKUP($A35,test!$A$3:$I$32,9,FALSE))-test!$B$33,0)</f>
        <v>155</v>
      </c>
      <c r="X35">
        <f>IF(AND($A35&lt;&gt;X$1,Recharged_Feasible_mat!Y4),(VLOOKUP(X$1,test!$A$3:$I$32,8,FALSE))-(VLOOKUP($A35,test!$A$3:$I$32,9,FALSE))-test!$B$33,0)</f>
        <v>215</v>
      </c>
      <c r="Y35">
        <f>IF(AND($A35&lt;&gt;Y$1,Recharged_Feasible_mat!Z4),(VLOOKUP(Y$1,test!$A$3:$I$32,8,FALSE))-(VLOOKUP($A35,test!$A$3:$I$32,9,FALSE))-test!$B$33,0)</f>
        <v>0</v>
      </c>
      <c r="Z35">
        <f>IF(AND($A35&lt;&gt;Z$1,Recharged_Feasible_mat!AA4),(VLOOKUP(Z$1,test!$A$3:$I$32,8,FALSE))-(VLOOKUP($A35,test!$A$3:$I$32,9,FALSE))-test!$B$33,0)</f>
        <v>0</v>
      </c>
      <c r="AA35">
        <f>IF(AND($A35&lt;&gt;AA$1,Recharged_Feasible_mat!AB4),(VLOOKUP(AA$1,test!$A$3:$I$32,8,FALSE))-(VLOOKUP($A35,test!$A$3:$I$32,9,FALSE))-test!$B$33,0)</f>
        <v>0</v>
      </c>
      <c r="AB35">
        <f>IF(AND($A35&lt;&gt;AB$1,Recharged_Feasible_mat!AC4),(VLOOKUP(AB$1,test!$A$3:$I$32,8,FALSE))-(VLOOKUP($A35,test!$A$3:$I$32,9,FALSE))-test!$B$33,0)</f>
        <v>0</v>
      </c>
      <c r="AC35">
        <f>IF(AND($A35&lt;&gt;AC$1,Recharged_Feasible_mat!AD4),(VLOOKUP(AC$1,test!$A$3:$I$32,8,FALSE))-(VLOOKUP($A35,test!$A$3:$I$32,9,FALSE))-test!$B$33,0)</f>
        <v>115</v>
      </c>
      <c r="AD35">
        <f>IF(AND($A35&lt;&gt;AD$1,Recharged_Feasible_mat!AE4),(VLOOKUP(AD$1,test!$A$3:$I$32,8,FALSE))-(VLOOKUP($A35,test!$A$3:$I$32,9,FALSE))-test!$B$33,0)</f>
        <v>0</v>
      </c>
      <c r="AE35">
        <f>IF(AND($A35&lt;&gt;AE$1,Recharged_Feasible_mat!AF4),(VLOOKUP(AE$1,test!$A$3:$I$32,8,FALSE))-(VLOOKUP($A35,test!$A$3:$I$32,9,FALSE))-test!$B$33,0)</f>
        <v>0</v>
      </c>
      <c r="AF35">
        <f>IF(AND($A35&lt;&gt;AF$1,Recharged_Feasible_mat!AG4),(VLOOKUP(AF$1,test!$A$3:$I$32,8,FALSE))-(VLOOKUP($A35,test!$A$3:$I$32,9,FALSE))-test!$B$33,0)</f>
        <v>0</v>
      </c>
      <c r="AI35" s="16" t="b">
        <f>AND($A34&lt;&gt;E$1,feasible_mat!E34=1)</f>
        <v>0</v>
      </c>
    </row>
    <row r="36" spans="1:35" x14ac:dyDescent="0.25">
      <c r="A36" t="s">
        <v>10</v>
      </c>
      <c r="B36">
        <v>0</v>
      </c>
      <c r="C36">
        <f>IF(AND($A36&lt;&gt;C$1,Recharged_Feasible_mat!D5),(VLOOKUP(C$1,test!$A$3:$I$32,8,FALSE))-(VLOOKUP($A36,test!$A$3:$I$32,9,FALSE))-(test!$B$33-50),0)</f>
        <v>0</v>
      </c>
      <c r="D36">
        <f>IF(AND($A36&lt;&gt;D$1,Recharged_Feasible_mat!E5),(VLOOKUP(D$1,test!$A$3:$I$32,8,FALSE))-(VLOOKUP($A36,test!$A$3:$I$32,9,FALSE))-(test!$B$33-50),0)</f>
        <v>0</v>
      </c>
      <c r="E36">
        <f>IF(AND($A36&lt;&gt;E$1,Recharged_Feasible_mat!F5),(VLOOKUP(E$1,test!$A$3:$I$32,8,FALSE))-(VLOOKUP($A36,test!$A$3:$I$32,9,FALSE))-(test!$B$33-50),0)</f>
        <v>0</v>
      </c>
      <c r="F36">
        <f>IF(AND($A36&lt;&gt;F$1,Recharged_Feasible_mat!G5),(VLOOKUP(F$1,test!$A$3:$I$32,8,FALSE))-(VLOOKUP($A36,test!$A$3:$I$32,9,FALSE))-(test!$B$33-50),0)</f>
        <v>0</v>
      </c>
      <c r="G36">
        <f>IF(AND($A36&lt;&gt;G$1,Recharged_Feasible_mat!H5),(VLOOKUP(G$1,test!$A$3:$I$32,8,FALSE))-(VLOOKUP($A36,test!$A$3:$I$32,9,FALSE))-(test!$B$33-50),0)</f>
        <v>0</v>
      </c>
      <c r="H36">
        <f>IF(AND($A36&lt;&gt;H$1,Recharged_Feasible_mat!I5),(VLOOKUP(H$1,test!$A$3:$I$32,8,FALSE))-(VLOOKUP($A36,test!$A$3:$I$32,9,FALSE))-(test!$B$33-50),0)</f>
        <v>0</v>
      </c>
      <c r="I36">
        <f>IF(AND($A36&lt;&gt;I$1,Recharged_Feasible_mat!J5),(VLOOKUP(I$1,test!$A$3:$I$32,8,FALSE))-(VLOOKUP($A36,test!$A$3:$I$32,9,FALSE))-(test!$B$33-50),0)</f>
        <v>135</v>
      </c>
      <c r="J36">
        <f>IF(AND($A36&lt;&gt;J$1,Recharged_Feasible_mat!K5),(VLOOKUP(J$1,test!$A$3:$I$32,8,FALSE))-(VLOOKUP($A36,test!$A$3:$I$32,9,FALSE))-(test!$B$33-50),0)</f>
        <v>225</v>
      </c>
      <c r="K36">
        <f>IF(AND($A36&lt;&gt;K$1,Recharged_Feasible_mat!L5),(VLOOKUP(K$1,test!$A$3:$I$32,8,FALSE))-(VLOOKUP($A36,test!$A$3:$I$32,9,FALSE))-(test!$B$33-50),0)</f>
        <v>0</v>
      </c>
      <c r="L36">
        <f>IF(AND($A36&lt;&gt;L$1,Recharged_Feasible_mat!M5),(VLOOKUP(L$1,test!$A$3:$I$32,8,FALSE))-(VLOOKUP($A36,test!$A$3:$I$32,9,FALSE))-test!$B$33,0)</f>
        <v>0</v>
      </c>
      <c r="M36">
        <f>IF(AND($A36&lt;&gt;M$1,Recharged_Feasible_mat!N5),(VLOOKUP(M$1,test!$A$3:$I$32,8,FALSE))-(VLOOKUP($A36,test!$A$3:$I$32,9,FALSE))-test!$B$33,0)</f>
        <v>0</v>
      </c>
      <c r="N36">
        <f>IF(AND($A36&lt;&gt;N$1,Recharged_Feasible_mat!O5),(VLOOKUP(N$1,test!$A$3:$I$32,8,FALSE))-(VLOOKUP($A36,test!$A$3:$I$32,9,FALSE))-test!$B$33,0)</f>
        <v>140</v>
      </c>
      <c r="O36">
        <f>IF(AND($A36&lt;&gt;O$1,Recharged_Feasible_mat!P5),(VLOOKUP(O$1,test!$A$3:$I$32,8,FALSE))-(VLOOKUP($A36,test!$A$3:$I$32,9,FALSE))-test!$B$33,0)</f>
        <v>200</v>
      </c>
      <c r="P36">
        <f>IF(AND($A36&lt;&gt;P$1,Recharged_Feasible_mat!Q5),(VLOOKUP(P$1,test!$A$3:$I$32,8,FALSE))-(VLOOKUP($A36,test!$A$3:$I$32,9,FALSE))-test!$B$33,0)</f>
        <v>0</v>
      </c>
      <c r="Q36">
        <f>IF(AND($A36&lt;&gt;Q$1,Recharged_Feasible_mat!R5),(VLOOKUP(Q$1,test!$A$3:$I$32,8,FALSE))-(VLOOKUP($A36,test!$A$3:$I$32,9,FALSE))-test!$B$33,0)</f>
        <v>0</v>
      </c>
      <c r="R36">
        <f>IF(AND($A36&lt;&gt;R$1,Recharged_Feasible_mat!S5),(VLOOKUP(R$1,test!$A$3:$I$32,8,FALSE))-(VLOOKUP($A36,test!$A$3:$I$32,9,FALSE))-test!$B$33,0)</f>
        <v>0</v>
      </c>
      <c r="S36">
        <f>IF(AND($A36&lt;&gt;S$1,Recharged_Feasible_mat!T5),(VLOOKUP(S$1,test!$A$3:$I$32,8,FALSE))-(VLOOKUP($A36,test!$A$3:$I$32,9,FALSE))-test!$B$33,0)</f>
        <v>0</v>
      </c>
      <c r="T36">
        <f>IF(AND($A36&lt;&gt;T$1,Recharged_Feasible_mat!U5),(VLOOKUP(T$1,test!$A$3:$I$32,8,FALSE))-(VLOOKUP($A36,test!$A$3:$I$32,9,FALSE))-test!$B$33,0)</f>
        <v>0</v>
      </c>
      <c r="U36">
        <f>IF(AND($A36&lt;&gt;U$1,Recharged_Feasible_mat!V5),(VLOOKUP(U$1,test!$A$3:$I$32,8,FALSE))-(VLOOKUP($A36,test!$A$3:$I$32,9,FALSE))-test!$B$33,0)</f>
        <v>0</v>
      </c>
      <c r="V36">
        <f>IF(AND($A36&lt;&gt;V$1,Recharged_Feasible_mat!W5),(VLOOKUP(V$1,test!$A$3:$I$32,8,FALSE))-(VLOOKUP($A36,test!$A$3:$I$32,9,FALSE))-test!$B$33,0)</f>
        <v>0</v>
      </c>
      <c r="W36">
        <f>IF(AND($A36&lt;&gt;W$1,Recharged_Feasible_mat!X5),(VLOOKUP(W$1,test!$A$3:$I$32,8,FALSE))-(VLOOKUP($A36,test!$A$3:$I$32,9,FALSE))-test!$B$33,0)</f>
        <v>65</v>
      </c>
      <c r="X36">
        <f>IF(AND($A36&lt;&gt;X$1,Recharged_Feasible_mat!Y5),(VLOOKUP(X$1,test!$A$3:$I$32,8,FALSE))-(VLOOKUP($A36,test!$A$3:$I$32,9,FALSE))-test!$B$33,0)</f>
        <v>125</v>
      </c>
      <c r="Y36">
        <f>IF(AND($A36&lt;&gt;Y$1,Recharged_Feasible_mat!Z5),(VLOOKUP(Y$1,test!$A$3:$I$32,8,FALSE))-(VLOOKUP($A36,test!$A$3:$I$32,9,FALSE))-test!$B$33,0)</f>
        <v>0</v>
      </c>
      <c r="Z36">
        <f>IF(AND($A36&lt;&gt;Z$1,Recharged_Feasible_mat!AA5),(VLOOKUP(Z$1,test!$A$3:$I$32,8,FALSE))-(VLOOKUP($A36,test!$A$3:$I$32,9,FALSE))-test!$B$33,0)</f>
        <v>0</v>
      </c>
      <c r="AA36">
        <f>IF(AND($A36&lt;&gt;AA$1,Recharged_Feasible_mat!AB5),(VLOOKUP(AA$1,test!$A$3:$I$32,8,FALSE))-(VLOOKUP($A36,test!$A$3:$I$32,9,FALSE))-test!$B$33,0)</f>
        <v>0</v>
      </c>
      <c r="AB36">
        <f>IF(AND($A36&lt;&gt;AB$1,Recharged_Feasible_mat!AC5),(VLOOKUP(AB$1,test!$A$3:$I$32,8,FALSE))-(VLOOKUP($A36,test!$A$3:$I$32,9,FALSE))-test!$B$33,0)</f>
        <v>0</v>
      </c>
      <c r="AC36">
        <f>IF(AND($A36&lt;&gt;AC$1,Recharged_Feasible_mat!AD5),(VLOOKUP(AC$1,test!$A$3:$I$32,8,FALSE))-(VLOOKUP($A36,test!$A$3:$I$32,9,FALSE))-test!$B$33,0)</f>
        <v>0</v>
      </c>
      <c r="AD36">
        <f>IF(AND($A36&lt;&gt;AD$1,Recharged_Feasible_mat!AE5),(VLOOKUP(AD$1,test!$A$3:$I$32,8,FALSE))-(VLOOKUP($A36,test!$A$3:$I$32,9,FALSE))-test!$B$33,0)</f>
        <v>0</v>
      </c>
      <c r="AE36">
        <f>IF(AND($A36&lt;&gt;AE$1,Recharged_Feasible_mat!AF5),(VLOOKUP(AE$1,test!$A$3:$I$32,8,FALSE))-(VLOOKUP($A36,test!$A$3:$I$32,9,FALSE))-test!$B$33,0)</f>
        <v>0</v>
      </c>
      <c r="AF36">
        <f>IF(AND($A36&lt;&gt;AF$1,Recharged_Feasible_mat!AG5),(VLOOKUP(AF$1,test!$A$3:$I$32,8,FALSE))-(VLOOKUP($A36,test!$A$3:$I$32,9,FALSE))-test!$B$33,0)</f>
        <v>0</v>
      </c>
      <c r="AI36" s="16" t="b">
        <f>$A34&lt;&gt;E$1</f>
        <v>1</v>
      </c>
    </row>
    <row r="37" spans="1:35" x14ac:dyDescent="0.25">
      <c r="A37" t="s">
        <v>11</v>
      </c>
      <c r="B37">
        <v>0</v>
      </c>
      <c r="C37">
        <f>IF(AND($A37&lt;&gt;C$1,Recharged_Feasible_mat!D6),(VLOOKUP(C$1,test!$A$3:$I$32,8,FALSE))-(VLOOKUP($A37,test!$A$3:$I$32,9,FALSE))-(test!$B$33-50),0)</f>
        <v>0</v>
      </c>
      <c r="D37">
        <f>IF(AND($A37&lt;&gt;D$1,Recharged_Feasible_mat!E6),(VLOOKUP(D$1,test!$A$3:$I$32,8,FALSE))-(VLOOKUP($A37,test!$A$3:$I$32,9,FALSE))-(test!$B$33-50),0)</f>
        <v>0</v>
      </c>
      <c r="E37">
        <f>IF(AND($A37&lt;&gt;E$1,Recharged_Feasible_mat!F6),(VLOOKUP(E$1,test!$A$3:$I$32,8,FALSE))-(VLOOKUP($A37,test!$A$3:$I$32,9,FALSE))-(test!$B$33-50),0)</f>
        <v>0</v>
      </c>
      <c r="F37">
        <f>IF(AND($A37&lt;&gt;F$1,Recharged_Feasible_mat!G6),(VLOOKUP(F$1,test!$A$3:$I$32,8,FALSE))-(VLOOKUP($A37,test!$A$3:$I$32,9,FALSE))-(test!$B$33-50),0)</f>
        <v>0</v>
      </c>
      <c r="G37">
        <f>IF(AND($A37&lt;&gt;G$1,Recharged_Feasible_mat!H6),(VLOOKUP(G$1,test!$A$3:$I$32,8,FALSE))-(VLOOKUP($A37,test!$A$3:$I$32,9,FALSE))-(test!$B$33-50),0)</f>
        <v>0</v>
      </c>
      <c r="H37">
        <f>IF(AND($A37&lt;&gt;H$1,Recharged_Feasible_mat!I6),(VLOOKUP(H$1,test!$A$3:$I$32,8,FALSE))-(VLOOKUP($A37,test!$A$3:$I$32,9,FALSE))-(test!$B$33-50),0)</f>
        <v>0</v>
      </c>
      <c r="I37">
        <f>IF(AND($A37&lt;&gt;I$1,Recharged_Feasible_mat!J6),(VLOOKUP(I$1,test!$A$3:$I$32,8,FALSE))-(VLOOKUP($A37,test!$A$3:$I$32,9,FALSE))-(test!$B$33-50),0)</f>
        <v>0</v>
      </c>
      <c r="J37">
        <f>IF(AND($A37&lt;&gt;J$1,Recharged_Feasible_mat!K6),(VLOOKUP(J$1,test!$A$3:$I$32,8,FALSE))-(VLOOKUP($A37,test!$A$3:$I$32,9,FALSE))-(test!$B$33-50),0)</f>
        <v>135</v>
      </c>
      <c r="K37">
        <f>IF(AND($A37&lt;&gt;K$1,Recharged_Feasible_mat!L6),(VLOOKUP(K$1,test!$A$3:$I$32,8,FALSE))-(VLOOKUP($A37,test!$A$3:$I$32,9,FALSE))-(test!$B$33-50),0)</f>
        <v>0</v>
      </c>
      <c r="L37">
        <f>IF(AND($A37&lt;&gt;L$1,Recharged_Feasible_mat!M6),(VLOOKUP(L$1,test!$A$3:$I$32,8,FALSE))-(VLOOKUP($A37,test!$A$3:$I$32,9,FALSE))-test!$B$33,0)</f>
        <v>0</v>
      </c>
      <c r="M37">
        <f>IF(AND($A37&lt;&gt;M$1,Recharged_Feasible_mat!N6),(VLOOKUP(M$1,test!$A$3:$I$32,8,FALSE))-(VLOOKUP($A37,test!$A$3:$I$32,9,FALSE))-test!$B$33,0)</f>
        <v>0</v>
      </c>
      <c r="N37">
        <f>IF(AND($A37&lt;&gt;N$1,Recharged_Feasible_mat!O6),(VLOOKUP(N$1,test!$A$3:$I$32,8,FALSE))-(VLOOKUP($A37,test!$A$3:$I$32,9,FALSE))-test!$B$33,0)</f>
        <v>50</v>
      </c>
      <c r="O37">
        <f>IF(AND($A37&lt;&gt;O$1,Recharged_Feasible_mat!P6),(VLOOKUP(O$1,test!$A$3:$I$32,8,FALSE))-(VLOOKUP($A37,test!$A$3:$I$32,9,FALSE))-test!$B$33,0)</f>
        <v>110</v>
      </c>
      <c r="P37">
        <f>IF(AND($A37&lt;&gt;P$1,Recharged_Feasible_mat!Q6),(VLOOKUP(P$1,test!$A$3:$I$32,8,FALSE))-(VLOOKUP($A37,test!$A$3:$I$32,9,FALSE))-test!$B$33,0)</f>
        <v>0</v>
      </c>
      <c r="Q37">
        <f>IF(AND($A37&lt;&gt;Q$1,Recharged_Feasible_mat!R6),(VLOOKUP(Q$1,test!$A$3:$I$32,8,FALSE))-(VLOOKUP($A37,test!$A$3:$I$32,9,FALSE))-test!$B$33,0)</f>
        <v>0</v>
      </c>
      <c r="R37">
        <f>IF(AND($A37&lt;&gt;R$1,Recharged_Feasible_mat!S6),(VLOOKUP(R$1,test!$A$3:$I$32,8,FALSE))-(VLOOKUP($A37,test!$A$3:$I$32,9,FALSE))-test!$B$33,0)</f>
        <v>0</v>
      </c>
      <c r="S37">
        <f>IF(AND($A37&lt;&gt;S$1,Recharged_Feasible_mat!T6),(VLOOKUP(S$1,test!$A$3:$I$32,8,FALSE))-(VLOOKUP($A37,test!$A$3:$I$32,9,FALSE))-test!$B$33,0)</f>
        <v>0</v>
      </c>
      <c r="T37">
        <f>IF(AND($A37&lt;&gt;T$1,Recharged_Feasible_mat!U6),(VLOOKUP(T$1,test!$A$3:$I$32,8,FALSE))-(VLOOKUP($A37,test!$A$3:$I$32,9,FALSE))-test!$B$33,0)</f>
        <v>0</v>
      </c>
      <c r="U37">
        <f>IF(AND($A37&lt;&gt;U$1,Recharged_Feasible_mat!V6),(VLOOKUP(U$1,test!$A$3:$I$32,8,FALSE))-(VLOOKUP($A37,test!$A$3:$I$32,9,FALSE))-test!$B$33,0)</f>
        <v>0</v>
      </c>
      <c r="V37">
        <f>IF(AND($A37&lt;&gt;V$1,Recharged_Feasible_mat!W6),(VLOOKUP(V$1,test!$A$3:$I$32,8,FALSE))-(VLOOKUP($A37,test!$A$3:$I$32,9,FALSE))-test!$B$33,0)</f>
        <v>0</v>
      </c>
      <c r="W37">
        <f>IF(AND($A37&lt;&gt;W$1,Recharged_Feasible_mat!X6),(VLOOKUP(W$1,test!$A$3:$I$32,8,FALSE))-(VLOOKUP($A37,test!$A$3:$I$32,9,FALSE))-test!$B$33,0)</f>
        <v>0</v>
      </c>
      <c r="X37">
        <f>IF(AND($A37&lt;&gt;X$1,Recharged_Feasible_mat!Y6),(VLOOKUP(X$1,test!$A$3:$I$32,8,FALSE))-(VLOOKUP($A37,test!$A$3:$I$32,9,FALSE))-test!$B$33,0)</f>
        <v>35</v>
      </c>
      <c r="Y37">
        <f>IF(AND($A37&lt;&gt;Y$1,Recharged_Feasible_mat!Z6),(VLOOKUP(Y$1,test!$A$3:$I$32,8,FALSE))-(VLOOKUP($A37,test!$A$3:$I$32,9,FALSE))-test!$B$33,0)</f>
        <v>0</v>
      </c>
      <c r="Z37">
        <f>IF(AND($A37&lt;&gt;Z$1,Recharged_Feasible_mat!AA6),(VLOOKUP(Z$1,test!$A$3:$I$32,8,FALSE))-(VLOOKUP($A37,test!$A$3:$I$32,9,FALSE))-test!$B$33,0)</f>
        <v>0</v>
      </c>
      <c r="AA37">
        <f>IF(AND($A37&lt;&gt;AA$1,Recharged_Feasible_mat!AB6),(VLOOKUP(AA$1,test!$A$3:$I$32,8,FALSE))-(VLOOKUP($A37,test!$A$3:$I$32,9,FALSE))-test!$B$33,0)</f>
        <v>0</v>
      </c>
      <c r="AB37">
        <f>IF(AND($A37&lt;&gt;AB$1,Recharged_Feasible_mat!AC6),(VLOOKUP(AB$1,test!$A$3:$I$32,8,FALSE))-(VLOOKUP($A37,test!$A$3:$I$32,9,FALSE))-test!$B$33,0)</f>
        <v>0</v>
      </c>
      <c r="AC37">
        <f>IF(AND($A37&lt;&gt;AC$1,Recharged_Feasible_mat!AD6),(VLOOKUP(AC$1,test!$A$3:$I$32,8,FALSE))-(VLOOKUP($A37,test!$A$3:$I$32,9,FALSE))-test!$B$33,0)</f>
        <v>0</v>
      </c>
      <c r="AD37">
        <f>IF(AND($A37&lt;&gt;AD$1,Recharged_Feasible_mat!AE6),(VLOOKUP(AD$1,test!$A$3:$I$32,8,FALSE))-(VLOOKUP($A37,test!$A$3:$I$32,9,FALSE))-test!$B$33,0)</f>
        <v>0</v>
      </c>
      <c r="AE37">
        <f>IF(AND($A37&lt;&gt;AE$1,Recharged_Feasible_mat!AF6),(VLOOKUP(AE$1,test!$A$3:$I$32,8,FALSE))-(VLOOKUP($A37,test!$A$3:$I$32,9,FALSE))-test!$B$33,0)</f>
        <v>0</v>
      </c>
      <c r="AF37">
        <f>IF(AND($A37&lt;&gt;AF$1,Recharged_Feasible_mat!AG6),(VLOOKUP(AF$1,test!$A$3:$I$32,8,FALSE))-(VLOOKUP($A37,test!$A$3:$I$32,9,FALSE))-test!$B$33,0)</f>
        <v>0</v>
      </c>
      <c r="AI37" s="16" t="b">
        <f>feasible_mat!E34=1</f>
        <v>0</v>
      </c>
    </row>
    <row r="38" spans="1:35" x14ac:dyDescent="0.25">
      <c r="A38" t="s">
        <v>12</v>
      </c>
      <c r="B38">
        <v>0</v>
      </c>
      <c r="C38">
        <f>IF(AND($A38&lt;&gt;C$1,Recharged_Feasible_mat!D7),(VLOOKUP(C$1,test!$A$3:$I$32,8,FALSE))-(VLOOKUP($A38,test!$A$3:$I$32,9,FALSE))-(test!$B$33-50),0)</f>
        <v>0</v>
      </c>
      <c r="D38">
        <f>IF(AND($A38&lt;&gt;D$1,Recharged_Feasible_mat!E7),(VLOOKUP(D$1,test!$A$3:$I$32,8,FALSE))-(VLOOKUP($A38,test!$A$3:$I$32,9,FALSE))-(test!$B$33-50),0)</f>
        <v>0</v>
      </c>
      <c r="E38">
        <f>IF(AND($A38&lt;&gt;E$1,Recharged_Feasible_mat!F7),(VLOOKUP(E$1,test!$A$3:$I$32,8,FALSE))-(VLOOKUP($A38,test!$A$3:$I$32,9,FALSE))-(test!$B$33-50),0)</f>
        <v>0</v>
      </c>
      <c r="F38">
        <f>IF(AND($A38&lt;&gt;F$1,Recharged_Feasible_mat!G7),(VLOOKUP(F$1,test!$A$3:$I$32,8,FALSE))-(VLOOKUP($A38,test!$A$3:$I$32,9,FALSE))-(test!$B$33-50),0)</f>
        <v>0</v>
      </c>
      <c r="G38">
        <f>IF(AND($A38&lt;&gt;G$1,Recharged_Feasible_mat!H7),(VLOOKUP(G$1,test!$A$3:$I$32,8,FALSE))-(VLOOKUP($A38,test!$A$3:$I$32,9,FALSE))-(test!$B$33-50),0)</f>
        <v>0</v>
      </c>
      <c r="H38">
        <f>IF(AND($A38&lt;&gt;H$1,Recharged_Feasible_mat!I7),(VLOOKUP(H$1,test!$A$3:$I$32,8,FALSE))-(VLOOKUP($A38,test!$A$3:$I$32,9,FALSE))-(test!$B$33-50),0)</f>
        <v>0</v>
      </c>
      <c r="I38">
        <f>IF(AND($A38&lt;&gt;I$1,Recharged_Feasible_mat!J7),(VLOOKUP(I$1,test!$A$3:$I$32,8,FALSE))-(VLOOKUP($A38,test!$A$3:$I$32,9,FALSE))-(test!$B$33-50),0)</f>
        <v>0</v>
      </c>
      <c r="J38">
        <f>IF(AND($A38&lt;&gt;J$1,Recharged_Feasible_mat!K7),(VLOOKUP(J$1,test!$A$3:$I$32,8,FALSE))-(VLOOKUP($A38,test!$A$3:$I$32,9,FALSE))-(test!$B$33-50),0)</f>
        <v>0</v>
      </c>
      <c r="K38">
        <f>IF(AND($A38&lt;&gt;K$1,Recharged_Feasible_mat!L7),(VLOOKUP(K$1,test!$A$3:$I$32,8,FALSE))-(VLOOKUP($A38,test!$A$3:$I$32,9,FALSE))-(test!$B$33-50),0)</f>
        <v>0</v>
      </c>
      <c r="L38">
        <f>IF(AND($A38&lt;&gt;L$1,Recharged_Feasible_mat!M7),(VLOOKUP(L$1,test!$A$3:$I$32,8,FALSE))-(VLOOKUP($A38,test!$A$3:$I$32,9,FALSE))-test!$B$33,0)</f>
        <v>0</v>
      </c>
      <c r="M38">
        <f>IF(AND($A38&lt;&gt;M$1,Recharged_Feasible_mat!N7),(VLOOKUP(M$1,test!$A$3:$I$32,8,FALSE))-(VLOOKUP($A38,test!$A$3:$I$32,9,FALSE))-test!$B$33,0)</f>
        <v>0</v>
      </c>
      <c r="N38">
        <f>IF(AND($A38&lt;&gt;N$1,Recharged_Feasible_mat!O7),(VLOOKUP(N$1,test!$A$3:$I$32,8,FALSE))-(VLOOKUP($A38,test!$A$3:$I$32,9,FALSE))-test!$B$33,0)</f>
        <v>0</v>
      </c>
      <c r="O38">
        <f>IF(AND($A38&lt;&gt;O$1,Recharged_Feasible_mat!P7),(VLOOKUP(O$1,test!$A$3:$I$32,8,FALSE))-(VLOOKUP($A38,test!$A$3:$I$32,9,FALSE))-test!$B$33,0)</f>
        <v>50</v>
      </c>
      <c r="P38">
        <f>IF(AND($A38&lt;&gt;P$1,Recharged_Feasible_mat!Q7),(VLOOKUP(P$1,test!$A$3:$I$32,8,FALSE))-(VLOOKUP($A38,test!$A$3:$I$32,9,FALSE))-test!$B$33,0)</f>
        <v>0</v>
      </c>
      <c r="Q38">
        <f>IF(AND($A38&lt;&gt;Q$1,Recharged_Feasible_mat!R7),(VLOOKUP(Q$1,test!$A$3:$I$32,8,FALSE))-(VLOOKUP($A38,test!$A$3:$I$32,9,FALSE))-test!$B$33,0)</f>
        <v>0</v>
      </c>
      <c r="R38">
        <f>IF(AND($A38&lt;&gt;R$1,Recharged_Feasible_mat!S7),(VLOOKUP(R$1,test!$A$3:$I$32,8,FALSE))-(VLOOKUP($A38,test!$A$3:$I$32,9,FALSE))-test!$B$33,0)</f>
        <v>0</v>
      </c>
      <c r="S38">
        <f>IF(AND($A38&lt;&gt;S$1,Recharged_Feasible_mat!T7),(VLOOKUP(S$1,test!$A$3:$I$32,8,FALSE))-(VLOOKUP($A38,test!$A$3:$I$32,9,FALSE))-test!$B$33,0)</f>
        <v>0</v>
      </c>
      <c r="T38">
        <f>IF(AND($A38&lt;&gt;T$1,Recharged_Feasible_mat!U7),(VLOOKUP(T$1,test!$A$3:$I$32,8,FALSE))-(VLOOKUP($A38,test!$A$3:$I$32,9,FALSE))-test!$B$33,0)</f>
        <v>0</v>
      </c>
      <c r="U38">
        <f>IF(AND($A38&lt;&gt;U$1,Recharged_Feasible_mat!V7),(VLOOKUP(U$1,test!$A$3:$I$32,8,FALSE))-(VLOOKUP($A38,test!$A$3:$I$32,9,FALSE))-test!$B$33,0)</f>
        <v>0</v>
      </c>
      <c r="V38">
        <f>IF(AND($A38&lt;&gt;V$1,Recharged_Feasible_mat!W7),(VLOOKUP(V$1,test!$A$3:$I$32,8,FALSE))-(VLOOKUP($A38,test!$A$3:$I$32,9,FALSE))-test!$B$33,0)</f>
        <v>0</v>
      </c>
      <c r="W38">
        <f>IF(AND($A38&lt;&gt;W$1,Recharged_Feasible_mat!X7),(VLOOKUP(W$1,test!$A$3:$I$32,8,FALSE))-(VLOOKUP($A38,test!$A$3:$I$32,9,FALSE))-test!$B$33,0)</f>
        <v>0</v>
      </c>
      <c r="X38">
        <f>IF(AND($A38&lt;&gt;X$1,Recharged_Feasible_mat!Y7),(VLOOKUP(X$1,test!$A$3:$I$32,8,FALSE))-(VLOOKUP($A38,test!$A$3:$I$32,9,FALSE))-test!$B$33,0)</f>
        <v>0</v>
      </c>
      <c r="Y38">
        <f>IF(AND($A38&lt;&gt;Y$1,Recharged_Feasible_mat!Z7),(VLOOKUP(Y$1,test!$A$3:$I$32,8,FALSE))-(VLOOKUP($A38,test!$A$3:$I$32,9,FALSE))-test!$B$33,0)</f>
        <v>0</v>
      </c>
      <c r="Z38">
        <f>IF(AND($A38&lt;&gt;Z$1,Recharged_Feasible_mat!AA7),(VLOOKUP(Z$1,test!$A$3:$I$32,8,FALSE))-(VLOOKUP($A38,test!$A$3:$I$32,9,FALSE))-test!$B$33,0)</f>
        <v>0</v>
      </c>
      <c r="AA38">
        <f>IF(AND($A38&lt;&gt;AA$1,Recharged_Feasible_mat!AB7),(VLOOKUP(AA$1,test!$A$3:$I$32,8,FALSE))-(VLOOKUP($A38,test!$A$3:$I$32,9,FALSE))-test!$B$33,0)</f>
        <v>0</v>
      </c>
      <c r="AB38">
        <f>IF(AND($A38&lt;&gt;AB$1,Recharged_Feasible_mat!AC7),(VLOOKUP(AB$1,test!$A$3:$I$32,8,FALSE))-(VLOOKUP($A38,test!$A$3:$I$32,9,FALSE))-test!$B$33,0)</f>
        <v>0</v>
      </c>
      <c r="AC38">
        <f>IF(AND($A38&lt;&gt;AC$1,Recharged_Feasible_mat!AD7),(VLOOKUP(AC$1,test!$A$3:$I$32,8,FALSE))-(VLOOKUP($A38,test!$A$3:$I$32,9,FALSE))-test!$B$33,0)</f>
        <v>0</v>
      </c>
      <c r="AD38">
        <f>IF(AND($A38&lt;&gt;AD$1,Recharged_Feasible_mat!AE7),(VLOOKUP(AD$1,test!$A$3:$I$32,8,FALSE))-(VLOOKUP($A38,test!$A$3:$I$32,9,FALSE))-test!$B$33,0)</f>
        <v>0</v>
      </c>
      <c r="AE38">
        <f>IF(AND($A38&lt;&gt;AE$1,Recharged_Feasible_mat!AF7),(VLOOKUP(AE$1,test!$A$3:$I$32,8,FALSE))-(VLOOKUP($A38,test!$A$3:$I$32,9,FALSE))-test!$B$33,0)</f>
        <v>0</v>
      </c>
      <c r="AF38">
        <f>IF(AND($A38&lt;&gt;AF$1,Recharged_Feasible_mat!AG7),(VLOOKUP(AF$1,test!$A$3:$I$32,8,FALSE))-(VLOOKUP($A38,test!$A$3:$I$32,9,FALSE))-test!$B$33,0)</f>
        <v>0</v>
      </c>
    </row>
    <row r="39" spans="1:35" x14ac:dyDescent="0.25">
      <c r="A39" t="s">
        <v>13</v>
      </c>
      <c r="B39">
        <v>0</v>
      </c>
      <c r="C39">
        <f>IF(AND($A39&lt;&gt;C$1,Recharged_Feasible_mat!D8),(VLOOKUP(C$1,test!$A$3:$I$32,8,FALSE))-(VLOOKUP($A39,test!$A$3:$I$32,9,FALSE))-(test!$B$33-50),0)</f>
        <v>0</v>
      </c>
      <c r="D39">
        <f>IF(AND($A39&lt;&gt;D$1,Recharged_Feasible_mat!E8),(VLOOKUP(D$1,test!$A$3:$I$32,8,FALSE))-(VLOOKUP($A39,test!$A$3:$I$32,9,FALSE))-(test!$B$33-50),0)</f>
        <v>0</v>
      </c>
      <c r="E39">
        <f>IF(AND($A39&lt;&gt;E$1,Recharged_Feasible_mat!F8),(VLOOKUP(E$1,test!$A$3:$I$32,8,FALSE))-(VLOOKUP($A39,test!$A$3:$I$32,9,FALSE))-(test!$B$33-50),0)</f>
        <v>0</v>
      </c>
      <c r="F39">
        <f>IF(AND($A39&lt;&gt;F$1,Recharged_Feasible_mat!G8),(VLOOKUP(F$1,test!$A$3:$I$32,8,FALSE))-(VLOOKUP($A39,test!$A$3:$I$32,9,FALSE))-(test!$B$33-50),0)</f>
        <v>0</v>
      </c>
      <c r="G39">
        <f>IF(AND($A39&lt;&gt;G$1,Recharged_Feasible_mat!H8),(VLOOKUP(G$1,test!$A$3:$I$32,8,FALSE))-(VLOOKUP($A39,test!$A$3:$I$32,9,FALSE))-(test!$B$33-50),0)</f>
        <v>0</v>
      </c>
      <c r="H39">
        <f>IF(AND($A39&lt;&gt;H$1,Recharged_Feasible_mat!I8),(VLOOKUP(H$1,test!$A$3:$I$32,8,FALSE))-(VLOOKUP($A39,test!$A$3:$I$32,9,FALSE))-(test!$B$33-50),0)</f>
        <v>0</v>
      </c>
      <c r="I39">
        <f>IF(AND($A39&lt;&gt;I$1,Recharged_Feasible_mat!J8),(VLOOKUP(I$1,test!$A$3:$I$32,8,FALSE))-(VLOOKUP($A39,test!$A$3:$I$32,9,FALSE))-(test!$B$33-50),0)</f>
        <v>0</v>
      </c>
      <c r="J39">
        <f>IF(AND($A39&lt;&gt;J$1,Recharged_Feasible_mat!K8),(VLOOKUP(J$1,test!$A$3:$I$32,8,FALSE))-(VLOOKUP($A39,test!$A$3:$I$32,9,FALSE))-(test!$B$33-50),0)</f>
        <v>0</v>
      </c>
      <c r="K39">
        <f>IF(AND($A39&lt;&gt;K$1,Recharged_Feasible_mat!L8),(VLOOKUP(K$1,test!$A$3:$I$32,8,FALSE))-(VLOOKUP($A39,test!$A$3:$I$32,9,FALSE))-(test!$B$33-50),0)</f>
        <v>0</v>
      </c>
      <c r="L39">
        <f>IF(AND($A39&lt;&gt;L$1,Recharged_Feasible_mat!M8),(VLOOKUP(L$1,test!$A$3:$I$32,8,FALSE))-(VLOOKUP($A39,test!$A$3:$I$32,9,FALSE))-test!$B$33,0)</f>
        <v>0</v>
      </c>
      <c r="M39">
        <f>IF(AND($A39&lt;&gt;M$1,Recharged_Feasible_mat!N8),(VLOOKUP(M$1,test!$A$3:$I$32,8,FALSE))-(VLOOKUP($A39,test!$A$3:$I$32,9,FALSE))-test!$B$33,0)</f>
        <v>0</v>
      </c>
      <c r="N39">
        <f>IF(AND($A39&lt;&gt;N$1,Recharged_Feasible_mat!O8),(VLOOKUP(N$1,test!$A$3:$I$32,8,FALSE))-(VLOOKUP($A39,test!$A$3:$I$32,9,FALSE))-test!$B$33,0)</f>
        <v>0</v>
      </c>
      <c r="O39">
        <f>IF(AND($A39&lt;&gt;O$1,Recharged_Feasible_mat!P8),(VLOOKUP(O$1,test!$A$3:$I$32,8,FALSE))-(VLOOKUP($A39,test!$A$3:$I$32,9,FALSE))-test!$B$33,0)</f>
        <v>0</v>
      </c>
      <c r="P39">
        <f>IF(AND($A39&lt;&gt;P$1,Recharged_Feasible_mat!Q8),(VLOOKUP(P$1,test!$A$3:$I$32,8,FALSE))-(VLOOKUP($A39,test!$A$3:$I$32,9,FALSE))-test!$B$33,0)</f>
        <v>0</v>
      </c>
      <c r="Q39">
        <f>IF(AND($A39&lt;&gt;Q$1,Recharged_Feasible_mat!R8),(VLOOKUP(Q$1,test!$A$3:$I$32,8,FALSE))-(VLOOKUP($A39,test!$A$3:$I$32,9,FALSE))-test!$B$33,0)</f>
        <v>0</v>
      </c>
      <c r="R39">
        <f>IF(AND($A39&lt;&gt;R$1,Recharged_Feasible_mat!S8),(VLOOKUP(R$1,test!$A$3:$I$32,8,FALSE))-(VLOOKUP($A39,test!$A$3:$I$32,9,FALSE))-test!$B$33,0)</f>
        <v>0</v>
      </c>
      <c r="S39">
        <f>IF(AND($A39&lt;&gt;S$1,Recharged_Feasible_mat!T8),(VLOOKUP(S$1,test!$A$3:$I$32,8,FALSE))-(VLOOKUP($A39,test!$A$3:$I$32,9,FALSE))-test!$B$33,0)</f>
        <v>0</v>
      </c>
      <c r="T39">
        <f>IF(AND($A39&lt;&gt;T$1,Recharged_Feasible_mat!U8),(VLOOKUP(T$1,test!$A$3:$I$32,8,FALSE))-(VLOOKUP($A39,test!$A$3:$I$32,9,FALSE))-test!$B$33,0)</f>
        <v>0</v>
      </c>
      <c r="U39">
        <f>IF(AND($A39&lt;&gt;U$1,Recharged_Feasible_mat!V8),(VLOOKUP(U$1,test!$A$3:$I$32,8,FALSE))-(VLOOKUP($A39,test!$A$3:$I$32,9,FALSE))-test!$B$33,0)</f>
        <v>0</v>
      </c>
      <c r="V39">
        <f>IF(AND($A39&lt;&gt;V$1,Recharged_Feasible_mat!W8),(VLOOKUP(V$1,test!$A$3:$I$32,8,FALSE))-(VLOOKUP($A39,test!$A$3:$I$32,9,FALSE))-test!$B$33,0)</f>
        <v>0</v>
      </c>
      <c r="W39">
        <f>IF(AND($A39&lt;&gt;W$1,Recharged_Feasible_mat!X8),(VLOOKUP(W$1,test!$A$3:$I$32,8,FALSE))-(VLOOKUP($A39,test!$A$3:$I$32,9,FALSE))-test!$B$33,0)</f>
        <v>0</v>
      </c>
      <c r="X39">
        <f>IF(AND($A39&lt;&gt;X$1,Recharged_Feasible_mat!Y8),(VLOOKUP(X$1,test!$A$3:$I$32,8,FALSE))-(VLOOKUP($A39,test!$A$3:$I$32,9,FALSE))-test!$B$33,0)</f>
        <v>0</v>
      </c>
      <c r="Y39">
        <f>IF(AND($A39&lt;&gt;Y$1,Recharged_Feasible_mat!Z8),(VLOOKUP(Y$1,test!$A$3:$I$32,8,FALSE))-(VLOOKUP($A39,test!$A$3:$I$32,9,FALSE))-test!$B$33,0)</f>
        <v>0</v>
      </c>
      <c r="Z39">
        <f>IF(AND($A39&lt;&gt;Z$1,Recharged_Feasible_mat!AA8),(VLOOKUP(Z$1,test!$A$3:$I$32,8,FALSE))-(VLOOKUP($A39,test!$A$3:$I$32,9,FALSE))-test!$B$33,0)</f>
        <v>0</v>
      </c>
      <c r="AA39">
        <f>IF(AND($A39&lt;&gt;AA$1,Recharged_Feasible_mat!AB8),(VLOOKUP(AA$1,test!$A$3:$I$32,8,FALSE))-(VLOOKUP($A39,test!$A$3:$I$32,9,FALSE))-test!$B$33,0)</f>
        <v>0</v>
      </c>
      <c r="AB39">
        <f>IF(AND($A39&lt;&gt;AB$1,Recharged_Feasible_mat!AC8),(VLOOKUP(AB$1,test!$A$3:$I$32,8,FALSE))-(VLOOKUP($A39,test!$A$3:$I$32,9,FALSE))-test!$B$33,0)</f>
        <v>0</v>
      </c>
      <c r="AC39">
        <f>IF(AND($A39&lt;&gt;AC$1,Recharged_Feasible_mat!AD8),(VLOOKUP(AC$1,test!$A$3:$I$32,8,FALSE))-(VLOOKUP($A39,test!$A$3:$I$32,9,FALSE))-test!$B$33,0)</f>
        <v>0</v>
      </c>
      <c r="AD39">
        <f>IF(AND($A39&lt;&gt;AD$1,Recharged_Feasible_mat!AE8),(VLOOKUP(AD$1,test!$A$3:$I$32,8,FALSE))-(VLOOKUP($A39,test!$A$3:$I$32,9,FALSE))-test!$B$33,0)</f>
        <v>0</v>
      </c>
      <c r="AE39">
        <f>IF(AND($A39&lt;&gt;AE$1,Recharged_Feasible_mat!AF8),(VLOOKUP(AE$1,test!$A$3:$I$32,8,FALSE))-(VLOOKUP($A39,test!$A$3:$I$32,9,FALSE))-test!$B$33,0)</f>
        <v>0</v>
      </c>
      <c r="AF39">
        <f>IF(AND($A39&lt;&gt;AF$1,Recharged_Feasible_mat!AG8),(VLOOKUP(AF$1,test!$A$3:$I$32,8,FALSE))-(VLOOKUP($A39,test!$A$3:$I$32,9,FALSE))-test!$B$33,0)</f>
        <v>0</v>
      </c>
    </row>
    <row r="40" spans="1:35" x14ac:dyDescent="0.25">
      <c r="A40" t="s">
        <v>14</v>
      </c>
      <c r="B40">
        <v>0</v>
      </c>
      <c r="C40">
        <f>IF(AND($A40&lt;&gt;C$1,Recharged_Feasible_mat!D9),(VLOOKUP(C$1,test!$A$3:$I$32,8,FALSE))-(VLOOKUP($A40,test!$A$3:$I$32,9,FALSE))-(test!$B$33-50),0)</f>
        <v>0</v>
      </c>
      <c r="D40">
        <f>IF(AND($A40&lt;&gt;D$1,Recharged_Feasible_mat!E9),(VLOOKUP(D$1,test!$A$3:$I$32,8,FALSE))-(VLOOKUP($A40,test!$A$3:$I$32,9,FALSE))-(test!$B$33-50),0)</f>
        <v>0</v>
      </c>
      <c r="E40">
        <f>IF(AND($A40&lt;&gt;E$1,Recharged_Feasible_mat!F9),(VLOOKUP(E$1,test!$A$3:$I$32,8,FALSE))-(VLOOKUP($A40,test!$A$3:$I$32,9,FALSE))-(test!$B$33-50),0)</f>
        <v>0</v>
      </c>
      <c r="F40">
        <f>IF(AND($A40&lt;&gt;F$1,Recharged_Feasible_mat!G9),(VLOOKUP(F$1,test!$A$3:$I$32,8,FALSE))-(VLOOKUP($A40,test!$A$3:$I$32,9,FALSE))-(test!$B$33-50),0)</f>
        <v>0</v>
      </c>
      <c r="G40">
        <f>IF(AND($A40&lt;&gt;G$1,Recharged_Feasible_mat!H9),(VLOOKUP(G$1,test!$A$3:$I$32,8,FALSE))-(VLOOKUP($A40,test!$A$3:$I$32,9,FALSE))-(test!$B$33-50),0)</f>
        <v>0</v>
      </c>
      <c r="H40">
        <f>IF(AND($A40&lt;&gt;H$1,Recharged_Feasible_mat!I9),(VLOOKUP(H$1,test!$A$3:$I$32,8,FALSE))-(VLOOKUP($A40,test!$A$3:$I$32,9,FALSE))-(test!$B$33-50),0)</f>
        <v>0</v>
      </c>
      <c r="I40">
        <f>IF(AND($A40&lt;&gt;I$1,Recharged_Feasible_mat!J9),(VLOOKUP(I$1,test!$A$3:$I$32,8,FALSE))-(VLOOKUP($A40,test!$A$3:$I$32,9,FALSE))-(test!$B$33-50),0)</f>
        <v>0</v>
      </c>
      <c r="J40">
        <f>IF(AND($A40&lt;&gt;J$1,Recharged_Feasible_mat!K9),(VLOOKUP(J$1,test!$A$3:$I$32,8,FALSE))-(VLOOKUP($A40,test!$A$3:$I$32,9,FALSE))-(test!$B$33-50),0)</f>
        <v>0</v>
      </c>
      <c r="K40">
        <f>IF(AND($A40&lt;&gt;K$1,Recharged_Feasible_mat!L9),(VLOOKUP(K$1,test!$A$3:$I$32,8,FALSE))-(VLOOKUP($A40,test!$A$3:$I$32,9,FALSE))-(test!$B$33-50),0)</f>
        <v>0</v>
      </c>
      <c r="L40">
        <f>IF(AND($A40&lt;&gt;L$1,Recharged_Feasible_mat!M9),(VLOOKUP(L$1,test!$A$3:$I$32,8,FALSE))-(VLOOKUP($A40,test!$A$3:$I$32,9,FALSE))-test!$B$33,0)</f>
        <v>0</v>
      </c>
      <c r="M40">
        <f>IF(AND($A40&lt;&gt;M$1,Recharged_Feasible_mat!N9),(VLOOKUP(M$1,test!$A$3:$I$32,8,FALSE))-(VLOOKUP($A40,test!$A$3:$I$32,9,FALSE))-test!$B$33,0)</f>
        <v>0</v>
      </c>
      <c r="N40">
        <f>IF(AND($A40&lt;&gt;N$1,Recharged_Feasible_mat!O9),(VLOOKUP(N$1,test!$A$3:$I$32,8,FALSE))-(VLOOKUP($A40,test!$A$3:$I$32,9,FALSE))-test!$B$33,0)</f>
        <v>0</v>
      </c>
      <c r="O40">
        <f>IF(AND($A40&lt;&gt;O$1,Recharged_Feasible_mat!P9),(VLOOKUP(O$1,test!$A$3:$I$32,8,FALSE))-(VLOOKUP($A40,test!$A$3:$I$32,9,FALSE))-test!$B$33,0)</f>
        <v>0</v>
      </c>
      <c r="P40">
        <f>IF(AND($A40&lt;&gt;P$1,Recharged_Feasible_mat!Q9),(VLOOKUP(P$1,test!$A$3:$I$32,8,FALSE))-(VLOOKUP($A40,test!$A$3:$I$32,9,FALSE))-test!$B$33,0)</f>
        <v>0</v>
      </c>
      <c r="Q40">
        <f>IF(AND($A40&lt;&gt;Q$1,Recharged_Feasible_mat!R9),(VLOOKUP(Q$1,test!$A$3:$I$32,8,FALSE))-(VLOOKUP($A40,test!$A$3:$I$32,9,FALSE))-test!$B$33,0)</f>
        <v>0</v>
      </c>
      <c r="R40">
        <f>IF(AND($A40&lt;&gt;R$1,Recharged_Feasible_mat!S9),(VLOOKUP(R$1,test!$A$3:$I$32,8,FALSE))-(VLOOKUP($A40,test!$A$3:$I$32,9,FALSE))-test!$B$33,0)</f>
        <v>0</v>
      </c>
      <c r="S40">
        <f>IF(AND($A40&lt;&gt;S$1,Recharged_Feasible_mat!T9),(VLOOKUP(S$1,test!$A$3:$I$32,8,FALSE))-(VLOOKUP($A40,test!$A$3:$I$32,9,FALSE))-test!$B$33,0)</f>
        <v>0</v>
      </c>
      <c r="T40">
        <f>IF(AND($A40&lt;&gt;T$1,Recharged_Feasible_mat!U9),(VLOOKUP(T$1,test!$A$3:$I$32,8,FALSE))-(VLOOKUP($A40,test!$A$3:$I$32,9,FALSE))-test!$B$33,0)</f>
        <v>0</v>
      </c>
      <c r="U40">
        <f>IF(AND($A40&lt;&gt;U$1,Recharged_Feasible_mat!V9),(VLOOKUP(U$1,test!$A$3:$I$32,8,FALSE))-(VLOOKUP($A40,test!$A$3:$I$32,9,FALSE))-test!$B$33,0)</f>
        <v>0</v>
      </c>
      <c r="V40">
        <f>IF(AND($A40&lt;&gt;V$1,Recharged_Feasible_mat!W9),(VLOOKUP(V$1,test!$A$3:$I$32,8,FALSE))-(VLOOKUP($A40,test!$A$3:$I$32,9,FALSE))-test!$B$33,0)</f>
        <v>0</v>
      </c>
      <c r="W40">
        <f>IF(AND($A40&lt;&gt;W$1,Recharged_Feasible_mat!X9),(VLOOKUP(W$1,test!$A$3:$I$32,8,FALSE))-(VLOOKUP($A40,test!$A$3:$I$32,9,FALSE))-test!$B$33,0)</f>
        <v>0</v>
      </c>
      <c r="X40">
        <f>IF(AND($A40&lt;&gt;X$1,Recharged_Feasible_mat!Y9),(VLOOKUP(X$1,test!$A$3:$I$32,8,FALSE))-(VLOOKUP($A40,test!$A$3:$I$32,9,FALSE))-test!$B$33,0)</f>
        <v>0</v>
      </c>
      <c r="Y40">
        <f>IF(AND($A40&lt;&gt;Y$1,Recharged_Feasible_mat!Z9),(VLOOKUP(Y$1,test!$A$3:$I$32,8,FALSE))-(VLOOKUP($A40,test!$A$3:$I$32,9,FALSE))-test!$B$33,0)</f>
        <v>0</v>
      </c>
      <c r="Z40">
        <f>IF(AND($A40&lt;&gt;Z$1,Recharged_Feasible_mat!AA9),(VLOOKUP(Z$1,test!$A$3:$I$32,8,FALSE))-(VLOOKUP($A40,test!$A$3:$I$32,9,FALSE))-test!$B$33,0)</f>
        <v>0</v>
      </c>
      <c r="AA40">
        <f>IF(AND($A40&lt;&gt;AA$1,Recharged_Feasible_mat!AB9),(VLOOKUP(AA$1,test!$A$3:$I$32,8,FALSE))-(VLOOKUP($A40,test!$A$3:$I$32,9,FALSE))-test!$B$33,0)</f>
        <v>0</v>
      </c>
      <c r="AB40">
        <f>IF(AND($A40&lt;&gt;AB$1,Recharged_Feasible_mat!AC9),(VLOOKUP(AB$1,test!$A$3:$I$32,8,FALSE))-(VLOOKUP($A40,test!$A$3:$I$32,9,FALSE))-test!$B$33,0)</f>
        <v>0</v>
      </c>
      <c r="AC40">
        <f>IF(AND($A40&lt;&gt;AC$1,Recharged_Feasible_mat!AD9),(VLOOKUP(AC$1,test!$A$3:$I$32,8,FALSE))-(VLOOKUP($A40,test!$A$3:$I$32,9,FALSE))-test!$B$33,0)</f>
        <v>0</v>
      </c>
      <c r="AD40">
        <f>IF(AND($A40&lt;&gt;AD$1,Recharged_Feasible_mat!AE9),(VLOOKUP(AD$1,test!$A$3:$I$32,8,FALSE))-(VLOOKUP($A40,test!$A$3:$I$32,9,FALSE))-test!$B$33,0)</f>
        <v>0</v>
      </c>
      <c r="AE40">
        <f>IF(AND($A40&lt;&gt;AE$1,Recharged_Feasible_mat!AF9),(VLOOKUP(AE$1,test!$A$3:$I$32,8,FALSE))-(VLOOKUP($A40,test!$A$3:$I$32,9,FALSE))-test!$B$33,0)</f>
        <v>0</v>
      </c>
      <c r="AF40">
        <f>IF(AND($A40&lt;&gt;AF$1,Recharged_Feasible_mat!AG9),(VLOOKUP(AF$1,test!$A$3:$I$32,8,FALSE))-(VLOOKUP($A40,test!$A$3:$I$32,9,FALSE))-test!$B$33,0)</f>
        <v>0</v>
      </c>
    </row>
    <row r="41" spans="1:35" x14ac:dyDescent="0.25">
      <c r="A41" t="s">
        <v>15</v>
      </c>
      <c r="B41">
        <v>0</v>
      </c>
      <c r="C41">
        <f>IF(AND($A41&lt;&gt;C$1,Recharged_Feasible_mat!D10),(VLOOKUP(C$1,test!$A$3:$I$32,8,FALSE))-(VLOOKUP($A41,test!$A$3:$I$32,9,FALSE))-(test!$B$33-50),0)</f>
        <v>0</v>
      </c>
      <c r="D41">
        <f>IF(AND($A41&lt;&gt;D$1,Recharged_Feasible_mat!E10),(VLOOKUP(D$1,test!$A$3:$I$32,8,FALSE))-(VLOOKUP($A41,test!$A$3:$I$32,9,FALSE))-(test!$B$33-50),0)</f>
        <v>0</v>
      </c>
      <c r="E41">
        <f>IF(AND($A41&lt;&gt;E$1,Recharged_Feasible_mat!F10),(VLOOKUP(E$1,test!$A$3:$I$32,8,FALSE))-(VLOOKUP($A41,test!$A$3:$I$32,9,FALSE))-(test!$B$33-50),0)</f>
        <v>0</v>
      </c>
      <c r="F41">
        <f>IF(AND($A41&lt;&gt;F$1,Recharged_Feasible_mat!G10),(VLOOKUP(F$1,test!$A$3:$I$32,8,FALSE))-(VLOOKUP($A41,test!$A$3:$I$32,9,FALSE))-(test!$B$33-50),0)</f>
        <v>0</v>
      </c>
      <c r="G41">
        <f>IF(AND($A41&lt;&gt;G$1,Recharged_Feasible_mat!H10),(VLOOKUP(G$1,test!$A$3:$I$32,8,FALSE))-(VLOOKUP($A41,test!$A$3:$I$32,9,FALSE))-(test!$B$33-50),0)</f>
        <v>0</v>
      </c>
      <c r="H41">
        <f>IF(AND($A41&lt;&gt;H$1,Recharged_Feasible_mat!I10),(VLOOKUP(H$1,test!$A$3:$I$32,8,FALSE))-(VLOOKUP($A41,test!$A$3:$I$32,9,FALSE))-(test!$B$33-50),0)</f>
        <v>0</v>
      </c>
      <c r="I41">
        <f>IF(AND($A41&lt;&gt;I$1,Recharged_Feasible_mat!J10),(VLOOKUP(I$1,test!$A$3:$I$32,8,FALSE))-(VLOOKUP($A41,test!$A$3:$I$32,9,FALSE))-(test!$B$33-50),0)</f>
        <v>0</v>
      </c>
      <c r="J41">
        <f>IF(AND($A41&lt;&gt;J$1,Recharged_Feasible_mat!K10),(VLOOKUP(J$1,test!$A$3:$I$32,8,FALSE))-(VLOOKUP($A41,test!$A$3:$I$32,9,FALSE))-(test!$B$33-50),0)</f>
        <v>0</v>
      </c>
      <c r="K41">
        <f>IF(AND($A41&lt;&gt;K$1,Recharged_Feasible_mat!L10),(VLOOKUP(K$1,test!$A$3:$I$32,8,FALSE))-(VLOOKUP($A41,test!$A$3:$I$32,9,FALSE))-(test!$B$33-50),0)</f>
        <v>0</v>
      </c>
      <c r="L41">
        <f>IF(AND($A41&lt;&gt;L$1,Recharged_Feasible_mat!M10),(VLOOKUP(L$1,test!$A$3:$I$32,8,FALSE))-(VLOOKUP($A41,test!$A$3:$I$32,9,FALSE))-test!$B$33,0)</f>
        <v>0</v>
      </c>
      <c r="M41">
        <f>IF(AND($A41&lt;&gt;M$1,Recharged_Feasible_mat!N10),(VLOOKUP(M$1,test!$A$3:$I$32,8,FALSE))-(VLOOKUP($A41,test!$A$3:$I$32,9,FALSE))-test!$B$33,0)</f>
        <v>0</v>
      </c>
      <c r="N41">
        <f>IF(AND($A41&lt;&gt;N$1,Recharged_Feasible_mat!O10),(VLOOKUP(N$1,test!$A$3:$I$32,8,FALSE))-(VLOOKUP($A41,test!$A$3:$I$32,9,FALSE))-test!$B$33,0)</f>
        <v>0</v>
      </c>
      <c r="O41">
        <f>IF(AND($A41&lt;&gt;O$1,Recharged_Feasible_mat!P10),(VLOOKUP(O$1,test!$A$3:$I$32,8,FALSE))-(VLOOKUP($A41,test!$A$3:$I$32,9,FALSE))-test!$B$33,0)</f>
        <v>0</v>
      </c>
      <c r="P41">
        <f>IF(AND($A41&lt;&gt;P$1,Recharged_Feasible_mat!Q10),(VLOOKUP(P$1,test!$A$3:$I$32,8,FALSE))-(VLOOKUP($A41,test!$A$3:$I$32,9,FALSE))-test!$B$33,0)</f>
        <v>0</v>
      </c>
      <c r="Q41">
        <f>IF(AND($A41&lt;&gt;Q$1,Recharged_Feasible_mat!R10),(VLOOKUP(Q$1,test!$A$3:$I$32,8,FALSE))-(VLOOKUP($A41,test!$A$3:$I$32,9,FALSE))-test!$B$33,0)</f>
        <v>0</v>
      </c>
      <c r="R41">
        <f>IF(AND($A41&lt;&gt;R$1,Recharged_Feasible_mat!S10),(VLOOKUP(R$1,test!$A$3:$I$32,8,FALSE))-(VLOOKUP($A41,test!$A$3:$I$32,9,FALSE))-test!$B$33,0)</f>
        <v>0</v>
      </c>
      <c r="S41">
        <f>IF(AND($A41&lt;&gt;S$1,Recharged_Feasible_mat!T10),(VLOOKUP(S$1,test!$A$3:$I$32,8,FALSE))-(VLOOKUP($A41,test!$A$3:$I$32,9,FALSE))-test!$B$33,0)</f>
        <v>0</v>
      </c>
      <c r="T41">
        <f>IF(AND($A41&lt;&gt;T$1,Recharged_Feasible_mat!U10),(VLOOKUP(T$1,test!$A$3:$I$32,8,FALSE))-(VLOOKUP($A41,test!$A$3:$I$32,9,FALSE))-test!$B$33,0)</f>
        <v>0</v>
      </c>
      <c r="U41">
        <f>IF(AND($A41&lt;&gt;U$1,Recharged_Feasible_mat!V10),(VLOOKUP(U$1,test!$A$3:$I$32,8,FALSE))-(VLOOKUP($A41,test!$A$3:$I$32,9,FALSE))-test!$B$33,0)</f>
        <v>0</v>
      </c>
      <c r="V41">
        <f>IF(AND($A41&lt;&gt;V$1,Recharged_Feasible_mat!W10),(VLOOKUP(V$1,test!$A$3:$I$32,8,FALSE))-(VLOOKUP($A41,test!$A$3:$I$32,9,FALSE))-test!$B$33,0)</f>
        <v>0</v>
      </c>
      <c r="W41">
        <f>IF(AND($A41&lt;&gt;W$1,Recharged_Feasible_mat!X10),(VLOOKUP(W$1,test!$A$3:$I$32,8,FALSE))-(VLOOKUP($A41,test!$A$3:$I$32,9,FALSE))-test!$B$33,0)</f>
        <v>0</v>
      </c>
      <c r="X41">
        <f>IF(AND($A41&lt;&gt;X$1,Recharged_Feasible_mat!Y10),(VLOOKUP(X$1,test!$A$3:$I$32,8,FALSE))-(VLOOKUP($A41,test!$A$3:$I$32,9,FALSE))-test!$B$33,0)</f>
        <v>0</v>
      </c>
      <c r="Y41">
        <f>IF(AND($A41&lt;&gt;Y$1,Recharged_Feasible_mat!Z10),(VLOOKUP(Y$1,test!$A$3:$I$32,8,FALSE))-(VLOOKUP($A41,test!$A$3:$I$32,9,FALSE))-test!$B$33,0)</f>
        <v>0</v>
      </c>
      <c r="Z41">
        <f>IF(AND($A41&lt;&gt;Z$1,Recharged_Feasible_mat!AA10),(VLOOKUP(Z$1,test!$A$3:$I$32,8,FALSE))-(VLOOKUP($A41,test!$A$3:$I$32,9,FALSE))-test!$B$33,0)</f>
        <v>0</v>
      </c>
      <c r="AA41">
        <f>IF(AND($A41&lt;&gt;AA$1,Recharged_Feasible_mat!AB10),(VLOOKUP(AA$1,test!$A$3:$I$32,8,FALSE))-(VLOOKUP($A41,test!$A$3:$I$32,9,FALSE))-test!$B$33,0)</f>
        <v>0</v>
      </c>
      <c r="AB41">
        <f>IF(AND($A41&lt;&gt;AB$1,Recharged_Feasible_mat!AC10),(VLOOKUP(AB$1,test!$A$3:$I$32,8,FALSE))-(VLOOKUP($A41,test!$A$3:$I$32,9,FALSE))-test!$B$33,0)</f>
        <v>0</v>
      </c>
      <c r="AC41">
        <f>IF(AND($A41&lt;&gt;AC$1,Recharged_Feasible_mat!AD10),(VLOOKUP(AC$1,test!$A$3:$I$32,8,FALSE))-(VLOOKUP($A41,test!$A$3:$I$32,9,FALSE))-test!$B$33,0)</f>
        <v>0</v>
      </c>
      <c r="AD41">
        <f>IF(AND($A41&lt;&gt;AD$1,Recharged_Feasible_mat!AE10),(VLOOKUP(AD$1,test!$A$3:$I$32,8,FALSE))-(VLOOKUP($A41,test!$A$3:$I$32,9,FALSE))-test!$B$33,0)</f>
        <v>0</v>
      </c>
      <c r="AE41">
        <f>IF(AND($A41&lt;&gt;AE$1,Recharged_Feasible_mat!AF10),(VLOOKUP(AE$1,test!$A$3:$I$32,8,FALSE))-(VLOOKUP($A41,test!$A$3:$I$32,9,FALSE))-test!$B$33,0)</f>
        <v>0</v>
      </c>
      <c r="AF41">
        <f>IF(AND($A41&lt;&gt;AF$1,Recharged_Feasible_mat!AG10),(VLOOKUP(AF$1,test!$A$3:$I$32,8,FALSE))-(VLOOKUP($A41,test!$A$3:$I$32,9,FALSE))-test!$B$33,0)</f>
        <v>0</v>
      </c>
    </row>
    <row r="42" spans="1:35" x14ac:dyDescent="0.25">
      <c r="A42" t="s">
        <v>18</v>
      </c>
      <c r="B42">
        <v>0</v>
      </c>
      <c r="C42">
        <f>IF(AND($A42&lt;&gt;C$1,Recharged_Feasible_mat!D11),(VLOOKUP(C$1,test!$A$3:$I$32,8,FALSE))-(VLOOKUP($A42,test!$A$3:$I$32,9,FALSE))-(test!$B$33-50),0)</f>
        <v>0</v>
      </c>
      <c r="D42">
        <f>IF(AND($A42&lt;&gt;D$1,Recharged_Feasible_mat!E11),(VLOOKUP(D$1,test!$A$3:$I$32,8,FALSE))-(VLOOKUP($A42,test!$A$3:$I$32,9,FALSE))-(test!$B$33-50),0)</f>
        <v>0</v>
      </c>
      <c r="E42">
        <f>IF(AND($A42&lt;&gt;E$1,Recharged_Feasible_mat!F11),(VLOOKUP(E$1,test!$A$3:$I$32,8,FALSE))-(VLOOKUP($A42,test!$A$3:$I$32,9,FALSE))-(test!$B$33-50),0)</f>
        <v>135</v>
      </c>
      <c r="F42">
        <f>IF(AND($A42&lt;&gt;F$1,Recharged_Feasible_mat!G11),(VLOOKUP(F$1,test!$A$3:$I$32,8,FALSE))-(VLOOKUP($A42,test!$A$3:$I$32,9,FALSE))-(test!$B$33-50),0)</f>
        <v>225</v>
      </c>
      <c r="G42">
        <f>IF(AND($A42&lt;&gt;G$1,Recharged_Feasible_mat!H11),(VLOOKUP(G$1,test!$A$3:$I$32,8,FALSE))-(VLOOKUP($A42,test!$A$3:$I$32,9,FALSE))-(test!$B$33-50),0)</f>
        <v>285</v>
      </c>
      <c r="H42">
        <f>IF(AND($A42&lt;&gt;H$1,Recharged_Feasible_mat!I11),(VLOOKUP(H$1,test!$A$3:$I$32,8,FALSE))-(VLOOKUP($A42,test!$A$3:$I$32,9,FALSE))-(test!$B$33-50),0)</f>
        <v>345</v>
      </c>
      <c r="I42">
        <f>IF(AND($A42&lt;&gt;I$1,Recharged_Feasible_mat!J11),(VLOOKUP(I$1,test!$A$3:$I$32,8,FALSE))-(VLOOKUP($A42,test!$A$3:$I$32,9,FALSE))-(test!$B$33-50),0)</f>
        <v>405</v>
      </c>
      <c r="J42">
        <f>IF(AND($A42&lt;&gt;J$1,Recharged_Feasible_mat!K11),(VLOOKUP(J$1,test!$A$3:$I$32,8,FALSE))-(VLOOKUP($A42,test!$A$3:$I$32,9,FALSE))-(test!$B$33-50),0)</f>
        <v>495</v>
      </c>
      <c r="K42">
        <f>IF(AND($A42&lt;&gt;K$1,Recharged_Feasible_mat!L11),(VLOOKUP(K$1,test!$A$3:$I$32,8,FALSE))-(VLOOKUP($A42,test!$A$3:$I$32,9,FALSE))-(test!$B$33-50),0)</f>
        <v>0</v>
      </c>
      <c r="L42">
        <f>IF(AND($A42&lt;&gt;L$1,Recharged_Feasible_mat!M11),(VLOOKUP(L$1,test!$A$3:$I$32,8,FALSE))-(VLOOKUP($A42,test!$A$3:$I$32,9,FALSE))-test!$B$33,0)</f>
        <v>0</v>
      </c>
      <c r="M42">
        <f>IF(AND($A42&lt;&gt;M$1,Recharged_Feasible_mat!N11),(VLOOKUP(M$1,test!$A$3:$I$32,8,FALSE))-(VLOOKUP($A42,test!$A$3:$I$32,9,FALSE))-test!$B$33,0)</f>
        <v>50</v>
      </c>
      <c r="N42">
        <f>IF(AND($A42&lt;&gt;N$1,Recharged_Feasible_mat!O11),(VLOOKUP(N$1,test!$A$3:$I$32,8,FALSE))-(VLOOKUP($A42,test!$A$3:$I$32,9,FALSE))-test!$B$33,0)</f>
        <v>410</v>
      </c>
      <c r="O42">
        <f>IF(AND($A42&lt;&gt;O$1,Recharged_Feasible_mat!P11),(VLOOKUP(O$1,test!$A$3:$I$32,8,FALSE))-(VLOOKUP($A42,test!$A$3:$I$32,9,FALSE))-test!$B$33,0)</f>
        <v>470</v>
      </c>
      <c r="P42">
        <f>IF(AND($A42&lt;&gt;P$1,Recharged_Feasible_mat!Q11),(VLOOKUP(P$1,test!$A$3:$I$32,8,FALSE))-(VLOOKUP($A42,test!$A$3:$I$32,9,FALSE))-test!$B$33,0)</f>
        <v>0</v>
      </c>
      <c r="Q42">
        <f>IF(AND($A42&lt;&gt;Q$1,Recharged_Feasible_mat!R11),(VLOOKUP(Q$1,test!$A$3:$I$32,8,FALSE))-(VLOOKUP($A42,test!$A$3:$I$32,9,FALSE))-test!$B$33,0)</f>
        <v>0</v>
      </c>
      <c r="R42">
        <f>IF(AND($A42&lt;&gt;R$1,Recharged_Feasible_mat!S11),(VLOOKUP(R$1,test!$A$3:$I$32,8,FALSE))-(VLOOKUP($A42,test!$A$3:$I$32,9,FALSE))-test!$B$33,0)</f>
        <v>0</v>
      </c>
      <c r="S42">
        <f>IF(AND($A42&lt;&gt;S$1,Recharged_Feasible_mat!T11),(VLOOKUP(S$1,test!$A$3:$I$32,8,FALSE))-(VLOOKUP($A42,test!$A$3:$I$32,9,FALSE))-test!$B$33,0)</f>
        <v>0</v>
      </c>
      <c r="T42">
        <f>IF(AND($A42&lt;&gt;T$1,Recharged_Feasible_mat!U11),(VLOOKUP(T$1,test!$A$3:$I$32,8,FALSE))-(VLOOKUP($A42,test!$A$3:$I$32,9,FALSE))-test!$B$33,0)</f>
        <v>65</v>
      </c>
      <c r="U42">
        <f>IF(AND($A42&lt;&gt;U$1,Recharged_Feasible_mat!V11),(VLOOKUP(U$1,test!$A$3:$I$32,8,FALSE))-(VLOOKUP($A42,test!$A$3:$I$32,9,FALSE))-test!$B$33,0)</f>
        <v>155</v>
      </c>
      <c r="V42">
        <f>IF(AND($A42&lt;&gt;V$1,Recharged_Feasible_mat!W11),(VLOOKUP(V$1,test!$A$3:$I$32,8,FALSE))-(VLOOKUP($A42,test!$A$3:$I$32,9,FALSE))-test!$B$33,0)</f>
        <v>245</v>
      </c>
      <c r="W42">
        <f>IF(AND($A42&lt;&gt;W$1,Recharged_Feasible_mat!X11),(VLOOKUP(W$1,test!$A$3:$I$32,8,FALSE))-(VLOOKUP($A42,test!$A$3:$I$32,9,FALSE))-test!$B$33,0)</f>
        <v>335</v>
      </c>
      <c r="X42">
        <f>IF(AND($A42&lt;&gt;X$1,Recharged_Feasible_mat!Y11),(VLOOKUP(X$1,test!$A$3:$I$32,8,FALSE))-(VLOOKUP($A42,test!$A$3:$I$32,9,FALSE))-test!$B$33,0)</f>
        <v>395</v>
      </c>
      <c r="Y42">
        <f>IF(AND($A42&lt;&gt;Y$1,Recharged_Feasible_mat!Z11),(VLOOKUP(Y$1,test!$A$3:$I$32,8,FALSE))-(VLOOKUP($A42,test!$A$3:$I$32,9,FALSE))-test!$B$33,0)</f>
        <v>0</v>
      </c>
      <c r="Z42">
        <f>IF(AND($A42&lt;&gt;Z$1,Recharged_Feasible_mat!AA11),(VLOOKUP(Z$1,test!$A$3:$I$32,8,FALSE))-(VLOOKUP($A42,test!$A$3:$I$32,9,FALSE))-test!$B$33,0)</f>
        <v>0</v>
      </c>
      <c r="AA42">
        <f>IF(AND($A42&lt;&gt;AA$1,Recharged_Feasible_mat!AB11),(VLOOKUP(AA$1,test!$A$3:$I$32,8,FALSE))-(VLOOKUP($A42,test!$A$3:$I$32,9,FALSE))-test!$B$33,0)</f>
        <v>115</v>
      </c>
      <c r="AB42">
        <f>IF(AND($A42&lt;&gt;AB$1,Recharged_Feasible_mat!AC11),(VLOOKUP(AB$1,test!$A$3:$I$32,8,FALSE))-(VLOOKUP($A42,test!$A$3:$I$32,9,FALSE))-test!$B$33,0)</f>
        <v>175</v>
      </c>
      <c r="AC42">
        <f>IF(AND($A42&lt;&gt;AC$1,Recharged_Feasible_mat!AD11),(VLOOKUP(AC$1,test!$A$3:$I$32,8,FALSE))-(VLOOKUP($A42,test!$A$3:$I$32,9,FALSE))-test!$B$33,0)</f>
        <v>295</v>
      </c>
      <c r="AD42">
        <f>IF(AND($A42&lt;&gt;AD$1,Recharged_Feasible_mat!AE11),(VLOOKUP(AD$1,test!$A$3:$I$32,8,FALSE))-(VLOOKUP($A42,test!$A$3:$I$32,9,FALSE))-test!$B$33,0)</f>
        <v>0</v>
      </c>
      <c r="AE42">
        <f>IF(AND($A42&lt;&gt;AE$1,Recharged_Feasible_mat!AF11),(VLOOKUP(AE$1,test!$A$3:$I$32,8,FALSE))-(VLOOKUP($A42,test!$A$3:$I$32,9,FALSE))-test!$B$33,0)</f>
        <v>115</v>
      </c>
      <c r="AF42">
        <f>IF(AND($A42&lt;&gt;AF$1,Recharged_Feasible_mat!AG11),(VLOOKUP(AF$1,test!$A$3:$I$32,8,FALSE))-(VLOOKUP($A42,test!$A$3:$I$32,9,FALSE))-test!$B$33,0)</f>
        <v>65</v>
      </c>
    </row>
    <row r="43" spans="1:35" x14ac:dyDescent="0.25">
      <c r="A43" t="s">
        <v>20</v>
      </c>
      <c r="B43">
        <v>0</v>
      </c>
      <c r="C43">
        <f>IF(AND($A43&lt;&gt;C$1,Recharged_Feasible_mat!D12),(VLOOKUP(C$1,test!$A$3:$I$32,8,FALSE))-(VLOOKUP($A43,test!$A$3:$I$32,9,FALSE))-(test!$B$33-50),0)</f>
        <v>0</v>
      </c>
      <c r="D43">
        <f>IF(AND($A43&lt;&gt;D$1,Recharged_Feasible_mat!E12),(VLOOKUP(D$1,test!$A$3:$I$32,8,FALSE))-(VLOOKUP($A43,test!$A$3:$I$32,9,FALSE))-(test!$B$33-50),0)</f>
        <v>0</v>
      </c>
      <c r="E43">
        <f>IF(AND($A43&lt;&gt;E$1,Recharged_Feasible_mat!F12),(VLOOKUP(E$1,test!$A$3:$I$32,8,FALSE))-(VLOOKUP($A43,test!$A$3:$I$32,9,FALSE))-(test!$B$33-50),0)</f>
        <v>0</v>
      </c>
      <c r="F43">
        <f>IF(AND($A43&lt;&gt;F$1,Recharged_Feasible_mat!G12),(VLOOKUP(F$1,test!$A$3:$I$32,8,FALSE))-(VLOOKUP($A43,test!$A$3:$I$32,9,FALSE))-(test!$B$33-50),0)</f>
        <v>105</v>
      </c>
      <c r="G43">
        <f>IF(AND($A43&lt;&gt;G$1,Recharged_Feasible_mat!H12),(VLOOKUP(G$1,test!$A$3:$I$32,8,FALSE))-(VLOOKUP($A43,test!$A$3:$I$32,9,FALSE))-(test!$B$33-50),0)</f>
        <v>165</v>
      </c>
      <c r="H43">
        <f>IF(AND($A43&lt;&gt;H$1,Recharged_Feasible_mat!I12),(VLOOKUP(H$1,test!$A$3:$I$32,8,FALSE))-(VLOOKUP($A43,test!$A$3:$I$32,9,FALSE))-(test!$B$33-50),0)</f>
        <v>225</v>
      </c>
      <c r="I43">
        <f>IF(AND($A43&lt;&gt;I$1,Recharged_Feasible_mat!J12),(VLOOKUP(I$1,test!$A$3:$I$32,8,FALSE))-(VLOOKUP($A43,test!$A$3:$I$32,9,FALSE))-(test!$B$33-50),0)</f>
        <v>285</v>
      </c>
      <c r="J43">
        <f>IF(AND($A43&lt;&gt;J$1,Recharged_Feasible_mat!K12),(VLOOKUP(J$1,test!$A$3:$I$32,8,FALSE))-(VLOOKUP($A43,test!$A$3:$I$32,9,FALSE))-(test!$B$33-50),0)</f>
        <v>375</v>
      </c>
      <c r="K43">
        <f>IF(AND($A43&lt;&gt;K$1,Recharged_Feasible_mat!L12),(VLOOKUP(K$1,test!$A$3:$I$32,8,FALSE))-(VLOOKUP($A43,test!$A$3:$I$32,9,FALSE))-(test!$B$33-50),0)</f>
        <v>0</v>
      </c>
      <c r="L43">
        <f>IF(AND($A43&lt;&gt;L$1,Recharged_Feasible_mat!M12),(VLOOKUP(L$1,test!$A$3:$I$32,8,FALSE))-(VLOOKUP($A43,test!$A$3:$I$32,9,FALSE))-test!$B$33,0)</f>
        <v>0</v>
      </c>
      <c r="M43">
        <f>IF(AND($A43&lt;&gt;M$1,Recharged_Feasible_mat!N12),(VLOOKUP(M$1,test!$A$3:$I$32,8,FALSE))-(VLOOKUP($A43,test!$A$3:$I$32,9,FALSE))-test!$B$33,0)</f>
        <v>0</v>
      </c>
      <c r="N43">
        <f>IF(AND($A43&lt;&gt;N$1,Recharged_Feasible_mat!O12),(VLOOKUP(N$1,test!$A$3:$I$32,8,FALSE))-(VLOOKUP($A43,test!$A$3:$I$32,9,FALSE))-test!$B$33,0)</f>
        <v>290</v>
      </c>
      <c r="O43">
        <f>IF(AND($A43&lt;&gt;O$1,Recharged_Feasible_mat!P12),(VLOOKUP(O$1,test!$A$3:$I$32,8,FALSE))-(VLOOKUP($A43,test!$A$3:$I$32,9,FALSE))-test!$B$33,0)</f>
        <v>350</v>
      </c>
      <c r="P43">
        <f>IF(AND($A43&lt;&gt;P$1,Recharged_Feasible_mat!Q12),(VLOOKUP(P$1,test!$A$3:$I$32,8,FALSE))-(VLOOKUP($A43,test!$A$3:$I$32,9,FALSE))-test!$B$33,0)</f>
        <v>0</v>
      </c>
      <c r="Q43">
        <f>IF(AND($A43&lt;&gt;Q$1,Recharged_Feasible_mat!R12),(VLOOKUP(Q$1,test!$A$3:$I$32,8,FALSE))-(VLOOKUP($A43,test!$A$3:$I$32,9,FALSE))-test!$B$33,0)</f>
        <v>0</v>
      </c>
      <c r="R43">
        <f>IF(AND($A43&lt;&gt;R$1,Recharged_Feasible_mat!S12),(VLOOKUP(R$1,test!$A$3:$I$32,8,FALSE))-(VLOOKUP($A43,test!$A$3:$I$32,9,FALSE))-test!$B$33,0)</f>
        <v>0</v>
      </c>
      <c r="S43">
        <f>IF(AND($A43&lt;&gt;S$1,Recharged_Feasible_mat!T12),(VLOOKUP(S$1,test!$A$3:$I$32,8,FALSE))-(VLOOKUP($A43,test!$A$3:$I$32,9,FALSE))-test!$B$33,0)</f>
        <v>0</v>
      </c>
      <c r="T43">
        <f>IF(AND($A43&lt;&gt;T$1,Recharged_Feasible_mat!U12),(VLOOKUP(T$1,test!$A$3:$I$32,8,FALSE))-(VLOOKUP($A43,test!$A$3:$I$32,9,FALSE))-test!$B$33,0)</f>
        <v>0</v>
      </c>
      <c r="U43">
        <f>IF(AND($A43&lt;&gt;U$1,Recharged_Feasible_mat!V12),(VLOOKUP(U$1,test!$A$3:$I$32,8,FALSE))-(VLOOKUP($A43,test!$A$3:$I$32,9,FALSE))-test!$B$33,0)</f>
        <v>35</v>
      </c>
      <c r="V43">
        <f>IF(AND($A43&lt;&gt;V$1,Recharged_Feasible_mat!W12),(VLOOKUP(V$1,test!$A$3:$I$32,8,FALSE))-(VLOOKUP($A43,test!$A$3:$I$32,9,FALSE))-test!$B$33,0)</f>
        <v>125</v>
      </c>
      <c r="W43">
        <f>IF(AND($A43&lt;&gt;W$1,Recharged_Feasible_mat!X12),(VLOOKUP(W$1,test!$A$3:$I$32,8,FALSE))-(VLOOKUP($A43,test!$A$3:$I$32,9,FALSE))-test!$B$33,0)</f>
        <v>215</v>
      </c>
      <c r="X43">
        <f>IF(AND($A43&lt;&gt;X$1,Recharged_Feasible_mat!Y12),(VLOOKUP(X$1,test!$A$3:$I$32,8,FALSE))-(VLOOKUP($A43,test!$A$3:$I$32,9,FALSE))-test!$B$33,0)</f>
        <v>275</v>
      </c>
      <c r="Y43">
        <f>IF(AND($A43&lt;&gt;Y$1,Recharged_Feasible_mat!Z12),(VLOOKUP(Y$1,test!$A$3:$I$32,8,FALSE))-(VLOOKUP($A43,test!$A$3:$I$32,9,FALSE))-test!$B$33,0)</f>
        <v>0</v>
      </c>
      <c r="Z43">
        <f>IF(AND($A43&lt;&gt;Z$1,Recharged_Feasible_mat!AA12),(VLOOKUP(Z$1,test!$A$3:$I$32,8,FALSE))-(VLOOKUP($A43,test!$A$3:$I$32,9,FALSE))-test!$B$33,0)</f>
        <v>0</v>
      </c>
      <c r="AA43">
        <f>IF(AND($A43&lt;&gt;AA$1,Recharged_Feasible_mat!AB12),(VLOOKUP(AA$1,test!$A$3:$I$32,8,FALSE))-(VLOOKUP($A43,test!$A$3:$I$32,9,FALSE))-test!$B$33,0)</f>
        <v>0</v>
      </c>
      <c r="AB43">
        <f>IF(AND($A43&lt;&gt;AB$1,Recharged_Feasible_mat!AC12),(VLOOKUP(AB$1,test!$A$3:$I$32,8,FALSE))-(VLOOKUP($A43,test!$A$3:$I$32,9,FALSE))-test!$B$33,0)</f>
        <v>55</v>
      </c>
      <c r="AC43">
        <f>IF(AND($A43&lt;&gt;AC$1,Recharged_Feasible_mat!AD12),(VLOOKUP(AC$1,test!$A$3:$I$32,8,FALSE))-(VLOOKUP($A43,test!$A$3:$I$32,9,FALSE))-test!$B$33,0)</f>
        <v>175</v>
      </c>
      <c r="AD43">
        <f>IF(AND($A43&lt;&gt;AD$1,Recharged_Feasible_mat!AE12),(VLOOKUP(AD$1,test!$A$3:$I$32,8,FALSE))-(VLOOKUP($A43,test!$A$3:$I$32,9,FALSE))-test!$B$33,0)</f>
        <v>0</v>
      </c>
      <c r="AE43">
        <f>IF(AND($A43&lt;&gt;AE$1,Recharged_Feasible_mat!AF12),(VLOOKUP(AE$1,test!$A$3:$I$32,8,FALSE))-(VLOOKUP($A43,test!$A$3:$I$32,9,FALSE))-test!$B$33,0)</f>
        <v>0</v>
      </c>
      <c r="AF43">
        <f>IF(AND($A43&lt;&gt;AF$1,Recharged_Feasible_mat!AG12),(VLOOKUP(AF$1,test!$A$3:$I$32,8,FALSE))-(VLOOKUP($A43,test!$A$3:$I$32,9,FALSE))-test!$B$33,0)</f>
        <v>0</v>
      </c>
    </row>
    <row r="44" spans="1:35" x14ac:dyDescent="0.25">
      <c r="A44" t="s">
        <v>21</v>
      </c>
      <c r="B44">
        <v>0</v>
      </c>
      <c r="C44">
        <f>IF(AND($A44&lt;&gt;C$1,Recharged_Feasible_mat!D13),(VLOOKUP(C$1,test!$A$3:$I$32,8,FALSE))-(VLOOKUP($A44,test!$A$3:$I$32,9,FALSE))-(test!$B$33-50),0)</f>
        <v>0</v>
      </c>
      <c r="D44">
        <f>IF(AND($A44&lt;&gt;D$1,Recharged_Feasible_mat!E13),(VLOOKUP(D$1,test!$A$3:$I$32,8,FALSE))-(VLOOKUP($A44,test!$A$3:$I$32,9,FALSE))-(test!$B$33-50),0)</f>
        <v>0</v>
      </c>
      <c r="E44">
        <f>IF(AND($A44&lt;&gt;E$1,Recharged_Feasible_mat!F13),(VLOOKUP(E$1,test!$A$3:$I$32,8,FALSE))-(VLOOKUP($A44,test!$A$3:$I$32,9,FALSE))-(test!$B$33-50),0)</f>
        <v>0</v>
      </c>
      <c r="F44">
        <f>IF(AND($A44&lt;&gt;F$1,Recharged_Feasible_mat!G13),(VLOOKUP(F$1,test!$A$3:$I$32,8,FALSE))-(VLOOKUP($A44,test!$A$3:$I$32,9,FALSE))-(test!$B$33-50),0)</f>
        <v>0</v>
      </c>
      <c r="G44">
        <f>IF(AND($A44&lt;&gt;G$1,Recharged_Feasible_mat!H13),(VLOOKUP(G$1,test!$A$3:$I$32,8,FALSE))-(VLOOKUP($A44,test!$A$3:$I$32,9,FALSE))-(test!$B$33-50),0)</f>
        <v>0</v>
      </c>
      <c r="H44">
        <f>IF(AND($A44&lt;&gt;H$1,Recharged_Feasible_mat!I13),(VLOOKUP(H$1,test!$A$3:$I$32,8,FALSE))-(VLOOKUP($A44,test!$A$3:$I$32,9,FALSE))-(test!$B$33-50),0)</f>
        <v>105</v>
      </c>
      <c r="I44">
        <f>IF(AND($A44&lt;&gt;I$1,Recharged_Feasible_mat!J13),(VLOOKUP(I$1,test!$A$3:$I$32,8,FALSE))-(VLOOKUP($A44,test!$A$3:$I$32,9,FALSE))-(test!$B$33-50),0)</f>
        <v>165</v>
      </c>
      <c r="J44">
        <f>IF(AND($A44&lt;&gt;J$1,Recharged_Feasible_mat!K13),(VLOOKUP(J$1,test!$A$3:$I$32,8,FALSE))-(VLOOKUP($A44,test!$A$3:$I$32,9,FALSE))-(test!$B$33-50),0)</f>
        <v>255</v>
      </c>
      <c r="K44">
        <f>IF(AND($A44&lt;&gt;K$1,Recharged_Feasible_mat!L13),(VLOOKUP(K$1,test!$A$3:$I$32,8,FALSE))-(VLOOKUP($A44,test!$A$3:$I$32,9,FALSE))-(test!$B$33-50),0)</f>
        <v>0</v>
      </c>
      <c r="L44">
        <f>IF(AND($A44&lt;&gt;L$1,Recharged_Feasible_mat!M13),(VLOOKUP(L$1,test!$A$3:$I$32,8,FALSE))-(VLOOKUP($A44,test!$A$3:$I$32,9,FALSE))-test!$B$33,0)</f>
        <v>0</v>
      </c>
      <c r="M44">
        <f>IF(AND($A44&lt;&gt;M$1,Recharged_Feasible_mat!N13),(VLOOKUP(M$1,test!$A$3:$I$32,8,FALSE))-(VLOOKUP($A44,test!$A$3:$I$32,9,FALSE))-test!$B$33,0)</f>
        <v>0</v>
      </c>
      <c r="N44">
        <f>IF(AND($A44&lt;&gt;N$1,Recharged_Feasible_mat!O13),(VLOOKUP(N$1,test!$A$3:$I$32,8,FALSE))-(VLOOKUP($A44,test!$A$3:$I$32,9,FALSE))-test!$B$33,0)</f>
        <v>170</v>
      </c>
      <c r="O44">
        <f>IF(AND($A44&lt;&gt;O$1,Recharged_Feasible_mat!P13),(VLOOKUP(O$1,test!$A$3:$I$32,8,FALSE))-(VLOOKUP($A44,test!$A$3:$I$32,9,FALSE))-test!$B$33,0)</f>
        <v>230</v>
      </c>
      <c r="P44">
        <f>IF(AND($A44&lt;&gt;P$1,Recharged_Feasible_mat!Q13),(VLOOKUP(P$1,test!$A$3:$I$32,8,FALSE))-(VLOOKUP($A44,test!$A$3:$I$32,9,FALSE))-test!$B$33,0)</f>
        <v>0</v>
      </c>
      <c r="Q44">
        <f>IF(AND($A44&lt;&gt;Q$1,Recharged_Feasible_mat!R13),(VLOOKUP(Q$1,test!$A$3:$I$32,8,FALSE))-(VLOOKUP($A44,test!$A$3:$I$32,9,FALSE))-test!$B$33,0)</f>
        <v>0</v>
      </c>
      <c r="R44">
        <f>IF(AND($A44&lt;&gt;R$1,Recharged_Feasible_mat!S13),(VLOOKUP(R$1,test!$A$3:$I$32,8,FALSE))-(VLOOKUP($A44,test!$A$3:$I$32,9,FALSE))-test!$B$33,0)</f>
        <v>0</v>
      </c>
      <c r="S44">
        <f>IF(AND($A44&lt;&gt;S$1,Recharged_Feasible_mat!T13),(VLOOKUP(S$1,test!$A$3:$I$32,8,FALSE))-(VLOOKUP($A44,test!$A$3:$I$32,9,FALSE))-test!$B$33,0)</f>
        <v>0</v>
      </c>
      <c r="T44">
        <f>IF(AND($A44&lt;&gt;T$1,Recharged_Feasible_mat!U13),(VLOOKUP(T$1,test!$A$3:$I$32,8,FALSE))-(VLOOKUP($A44,test!$A$3:$I$32,9,FALSE))-test!$B$33,0)</f>
        <v>0</v>
      </c>
      <c r="U44">
        <f>IF(AND($A44&lt;&gt;U$1,Recharged_Feasible_mat!V13),(VLOOKUP(U$1,test!$A$3:$I$32,8,FALSE))-(VLOOKUP($A44,test!$A$3:$I$32,9,FALSE))-test!$B$33,0)</f>
        <v>0</v>
      </c>
      <c r="V44">
        <f>IF(AND($A44&lt;&gt;V$1,Recharged_Feasible_mat!W13),(VLOOKUP(V$1,test!$A$3:$I$32,8,FALSE))-(VLOOKUP($A44,test!$A$3:$I$32,9,FALSE))-test!$B$33,0)</f>
        <v>0</v>
      </c>
      <c r="W44">
        <f>IF(AND($A44&lt;&gt;W$1,Recharged_Feasible_mat!X13),(VLOOKUP(W$1,test!$A$3:$I$32,8,FALSE))-(VLOOKUP($A44,test!$A$3:$I$32,9,FALSE))-test!$B$33,0)</f>
        <v>95</v>
      </c>
      <c r="X44">
        <f>IF(AND($A44&lt;&gt;X$1,Recharged_Feasible_mat!Y13),(VLOOKUP(X$1,test!$A$3:$I$32,8,FALSE))-(VLOOKUP($A44,test!$A$3:$I$32,9,FALSE))-test!$B$33,0)</f>
        <v>155</v>
      </c>
      <c r="Y44">
        <f>IF(AND($A44&lt;&gt;Y$1,Recharged_Feasible_mat!Z13),(VLOOKUP(Y$1,test!$A$3:$I$32,8,FALSE))-(VLOOKUP($A44,test!$A$3:$I$32,9,FALSE))-test!$B$33,0)</f>
        <v>0</v>
      </c>
      <c r="Z44">
        <f>IF(AND($A44&lt;&gt;Z$1,Recharged_Feasible_mat!AA13),(VLOOKUP(Z$1,test!$A$3:$I$32,8,FALSE))-(VLOOKUP($A44,test!$A$3:$I$32,9,FALSE))-test!$B$33,0)</f>
        <v>0</v>
      </c>
      <c r="AA44">
        <f>IF(AND($A44&lt;&gt;AA$1,Recharged_Feasible_mat!AB13),(VLOOKUP(AA$1,test!$A$3:$I$32,8,FALSE))-(VLOOKUP($A44,test!$A$3:$I$32,9,FALSE))-test!$B$33,0)</f>
        <v>0</v>
      </c>
      <c r="AB44">
        <f>IF(AND($A44&lt;&gt;AB$1,Recharged_Feasible_mat!AC13),(VLOOKUP(AB$1,test!$A$3:$I$32,8,FALSE))-(VLOOKUP($A44,test!$A$3:$I$32,9,FALSE))-test!$B$33,0)</f>
        <v>0</v>
      </c>
      <c r="AC44">
        <f>IF(AND($A44&lt;&gt;AC$1,Recharged_Feasible_mat!AD13),(VLOOKUP(AC$1,test!$A$3:$I$32,8,FALSE))-(VLOOKUP($A44,test!$A$3:$I$32,9,FALSE))-test!$B$33,0)</f>
        <v>55</v>
      </c>
      <c r="AD44">
        <f>IF(AND($A44&lt;&gt;AD$1,Recharged_Feasible_mat!AE13),(VLOOKUP(AD$1,test!$A$3:$I$32,8,FALSE))-(VLOOKUP($A44,test!$A$3:$I$32,9,FALSE))-test!$B$33,0)</f>
        <v>0</v>
      </c>
      <c r="AE44">
        <f>IF(AND($A44&lt;&gt;AE$1,Recharged_Feasible_mat!AF13),(VLOOKUP(AE$1,test!$A$3:$I$32,8,FALSE))-(VLOOKUP($A44,test!$A$3:$I$32,9,FALSE))-test!$B$33,0)</f>
        <v>0</v>
      </c>
      <c r="AF44">
        <f>IF(AND($A44&lt;&gt;AF$1,Recharged_Feasible_mat!AG13),(VLOOKUP(AF$1,test!$A$3:$I$32,8,FALSE))-(VLOOKUP($A44,test!$A$3:$I$32,9,FALSE))-test!$B$33,0)</f>
        <v>0</v>
      </c>
    </row>
    <row r="45" spans="1:35" x14ac:dyDescent="0.25">
      <c r="A45" t="s">
        <v>22</v>
      </c>
      <c r="B45">
        <v>0</v>
      </c>
      <c r="C45">
        <f>IF(AND($A45&lt;&gt;C$1,Recharged_Feasible_mat!D14),(VLOOKUP(C$1,test!$A$3:$I$32,8,FALSE))-(VLOOKUP($A45,test!$A$3:$I$32,9,FALSE))-(test!$B$33-50),0)</f>
        <v>0</v>
      </c>
      <c r="D45">
        <f>IF(AND($A45&lt;&gt;D$1,Recharged_Feasible_mat!E14),(VLOOKUP(D$1,test!$A$3:$I$32,8,FALSE))-(VLOOKUP($A45,test!$A$3:$I$32,9,FALSE))-(test!$B$33-50),0)</f>
        <v>0</v>
      </c>
      <c r="E45">
        <f>IF(AND($A45&lt;&gt;E$1,Recharged_Feasible_mat!F14),(VLOOKUP(E$1,test!$A$3:$I$32,8,FALSE))-(VLOOKUP($A45,test!$A$3:$I$32,9,FALSE))-(test!$B$33-50),0)</f>
        <v>0</v>
      </c>
      <c r="F45">
        <f>IF(AND($A45&lt;&gt;F$1,Recharged_Feasible_mat!G14),(VLOOKUP(F$1,test!$A$3:$I$32,8,FALSE))-(VLOOKUP($A45,test!$A$3:$I$32,9,FALSE))-(test!$B$33-50),0)</f>
        <v>0</v>
      </c>
      <c r="G45">
        <f>IF(AND($A45&lt;&gt;G$1,Recharged_Feasible_mat!H14),(VLOOKUP(G$1,test!$A$3:$I$32,8,FALSE))-(VLOOKUP($A45,test!$A$3:$I$32,9,FALSE))-(test!$B$33-50),0)</f>
        <v>0</v>
      </c>
      <c r="H45">
        <f>IF(AND($A45&lt;&gt;H$1,Recharged_Feasible_mat!I14),(VLOOKUP(H$1,test!$A$3:$I$32,8,FALSE))-(VLOOKUP($A45,test!$A$3:$I$32,9,FALSE))-(test!$B$33-50),0)</f>
        <v>0</v>
      </c>
      <c r="I45">
        <f>IF(AND($A45&lt;&gt;I$1,Recharged_Feasible_mat!J14),(VLOOKUP(I$1,test!$A$3:$I$32,8,FALSE))-(VLOOKUP($A45,test!$A$3:$I$32,9,FALSE))-(test!$B$33-50),0)</f>
        <v>0</v>
      </c>
      <c r="J45">
        <f>IF(AND($A45&lt;&gt;J$1,Recharged_Feasible_mat!K14),(VLOOKUP(J$1,test!$A$3:$I$32,8,FALSE))-(VLOOKUP($A45,test!$A$3:$I$32,9,FALSE))-(test!$B$33-50),0)</f>
        <v>0</v>
      </c>
      <c r="K45">
        <f>IF(AND($A45&lt;&gt;K$1,Recharged_Feasible_mat!L14),(VLOOKUP(K$1,test!$A$3:$I$32,8,FALSE))-(VLOOKUP($A45,test!$A$3:$I$32,9,FALSE))-(test!$B$33-50),0)</f>
        <v>0</v>
      </c>
      <c r="L45">
        <f>IF(AND($A45&lt;&gt;L$1,Recharged_Feasible_mat!M14),(VLOOKUP(L$1,test!$A$3:$I$32,8,FALSE))-(VLOOKUP($A45,test!$A$3:$I$32,9,FALSE))-test!$B$33,0)</f>
        <v>0</v>
      </c>
      <c r="M45">
        <f>IF(AND($A45&lt;&gt;M$1,Recharged_Feasible_mat!N14),(VLOOKUP(M$1,test!$A$3:$I$32,8,FALSE))-(VLOOKUP($A45,test!$A$3:$I$32,9,FALSE))-test!$B$33,0)</f>
        <v>0</v>
      </c>
      <c r="N45">
        <f>IF(AND($A45&lt;&gt;N$1,Recharged_Feasible_mat!O14),(VLOOKUP(N$1,test!$A$3:$I$32,8,FALSE))-(VLOOKUP($A45,test!$A$3:$I$32,9,FALSE))-test!$B$33,0)</f>
        <v>0</v>
      </c>
      <c r="O45">
        <f>IF(AND($A45&lt;&gt;O$1,Recharged_Feasible_mat!P14),(VLOOKUP(O$1,test!$A$3:$I$32,8,FALSE))-(VLOOKUP($A45,test!$A$3:$I$32,9,FALSE))-test!$B$33,0)</f>
        <v>0</v>
      </c>
      <c r="P45">
        <f>IF(AND($A45&lt;&gt;P$1,Recharged_Feasible_mat!Q14),(VLOOKUP(P$1,test!$A$3:$I$32,8,FALSE))-(VLOOKUP($A45,test!$A$3:$I$32,9,FALSE))-test!$B$33,0)</f>
        <v>0</v>
      </c>
      <c r="Q45">
        <f>IF(AND($A45&lt;&gt;Q$1,Recharged_Feasible_mat!R14),(VLOOKUP(Q$1,test!$A$3:$I$32,8,FALSE))-(VLOOKUP($A45,test!$A$3:$I$32,9,FALSE))-test!$B$33,0)</f>
        <v>0</v>
      </c>
      <c r="R45">
        <f>IF(AND($A45&lt;&gt;R$1,Recharged_Feasible_mat!S14),(VLOOKUP(R$1,test!$A$3:$I$32,8,FALSE))-(VLOOKUP($A45,test!$A$3:$I$32,9,FALSE))-test!$B$33,0)</f>
        <v>0</v>
      </c>
      <c r="S45">
        <f>IF(AND($A45&lt;&gt;S$1,Recharged_Feasible_mat!T14),(VLOOKUP(S$1,test!$A$3:$I$32,8,FALSE))-(VLOOKUP($A45,test!$A$3:$I$32,9,FALSE))-test!$B$33,0)</f>
        <v>0</v>
      </c>
      <c r="T45">
        <f>IF(AND($A45&lt;&gt;T$1,Recharged_Feasible_mat!U14),(VLOOKUP(T$1,test!$A$3:$I$32,8,FALSE))-(VLOOKUP($A45,test!$A$3:$I$32,9,FALSE))-test!$B$33,0)</f>
        <v>0</v>
      </c>
      <c r="U45">
        <f>IF(AND($A45&lt;&gt;U$1,Recharged_Feasible_mat!V14),(VLOOKUP(U$1,test!$A$3:$I$32,8,FALSE))-(VLOOKUP($A45,test!$A$3:$I$32,9,FALSE))-test!$B$33,0)</f>
        <v>0</v>
      </c>
      <c r="V45">
        <f>IF(AND($A45&lt;&gt;V$1,Recharged_Feasible_mat!W14),(VLOOKUP(V$1,test!$A$3:$I$32,8,FALSE))-(VLOOKUP($A45,test!$A$3:$I$32,9,FALSE))-test!$B$33,0)</f>
        <v>0</v>
      </c>
      <c r="W45">
        <f>IF(AND($A45&lt;&gt;W$1,Recharged_Feasible_mat!X14),(VLOOKUP(W$1,test!$A$3:$I$32,8,FALSE))-(VLOOKUP($A45,test!$A$3:$I$32,9,FALSE))-test!$B$33,0)</f>
        <v>0</v>
      </c>
      <c r="X45">
        <f>IF(AND($A45&lt;&gt;X$1,Recharged_Feasible_mat!Y14),(VLOOKUP(X$1,test!$A$3:$I$32,8,FALSE))-(VLOOKUP($A45,test!$A$3:$I$32,9,FALSE))-test!$B$33,0)</f>
        <v>0</v>
      </c>
      <c r="Y45">
        <f>IF(AND($A45&lt;&gt;Y$1,Recharged_Feasible_mat!Z14),(VLOOKUP(Y$1,test!$A$3:$I$32,8,FALSE))-(VLOOKUP($A45,test!$A$3:$I$32,9,FALSE))-test!$B$33,0)</f>
        <v>0</v>
      </c>
      <c r="Z45">
        <f>IF(AND($A45&lt;&gt;Z$1,Recharged_Feasible_mat!AA14),(VLOOKUP(Z$1,test!$A$3:$I$32,8,FALSE))-(VLOOKUP($A45,test!$A$3:$I$32,9,FALSE))-test!$B$33,0)</f>
        <v>0</v>
      </c>
      <c r="AA45">
        <f>IF(AND($A45&lt;&gt;AA$1,Recharged_Feasible_mat!AB14),(VLOOKUP(AA$1,test!$A$3:$I$32,8,FALSE))-(VLOOKUP($A45,test!$A$3:$I$32,9,FALSE))-test!$B$33,0)</f>
        <v>0</v>
      </c>
      <c r="AB45">
        <f>IF(AND($A45&lt;&gt;AB$1,Recharged_Feasible_mat!AC14),(VLOOKUP(AB$1,test!$A$3:$I$32,8,FALSE))-(VLOOKUP($A45,test!$A$3:$I$32,9,FALSE))-test!$B$33,0)</f>
        <v>0</v>
      </c>
      <c r="AC45">
        <f>IF(AND($A45&lt;&gt;AC$1,Recharged_Feasible_mat!AD14),(VLOOKUP(AC$1,test!$A$3:$I$32,8,FALSE))-(VLOOKUP($A45,test!$A$3:$I$32,9,FALSE))-test!$B$33,0)</f>
        <v>0</v>
      </c>
      <c r="AD45">
        <f>IF(AND($A45&lt;&gt;AD$1,Recharged_Feasible_mat!AE14),(VLOOKUP(AD$1,test!$A$3:$I$32,8,FALSE))-(VLOOKUP($A45,test!$A$3:$I$32,9,FALSE))-test!$B$33,0)</f>
        <v>0</v>
      </c>
      <c r="AE45">
        <f>IF(AND($A45&lt;&gt;AE$1,Recharged_Feasible_mat!AF14),(VLOOKUP(AE$1,test!$A$3:$I$32,8,FALSE))-(VLOOKUP($A45,test!$A$3:$I$32,9,FALSE))-test!$B$33,0)</f>
        <v>0</v>
      </c>
      <c r="AF45">
        <f>IF(AND($A45&lt;&gt;AF$1,Recharged_Feasible_mat!AG14),(VLOOKUP(AF$1,test!$A$3:$I$32,8,FALSE))-(VLOOKUP($A45,test!$A$3:$I$32,9,FALSE))-test!$B$33,0)</f>
        <v>0</v>
      </c>
    </row>
    <row r="46" spans="1:35" x14ac:dyDescent="0.25">
      <c r="A46" t="s">
        <v>23</v>
      </c>
      <c r="B46">
        <v>0</v>
      </c>
      <c r="C46">
        <f>IF(AND($A46&lt;&gt;C$1,Recharged_Feasible_mat!D15),(VLOOKUP(C$1,test!$A$3:$I$32,8,FALSE))-(VLOOKUP($A46,test!$A$3:$I$32,9,FALSE))-(test!$B$33-50),0)</f>
        <v>0</v>
      </c>
      <c r="D46">
        <f>IF(AND($A46&lt;&gt;D$1,Recharged_Feasible_mat!E15),(VLOOKUP(D$1,test!$A$3:$I$32,8,FALSE))-(VLOOKUP($A46,test!$A$3:$I$32,9,FALSE))-(test!$B$33-50),0)</f>
        <v>0</v>
      </c>
      <c r="E46">
        <f>IF(AND($A46&lt;&gt;E$1,Recharged_Feasible_mat!F15),(VLOOKUP(E$1,test!$A$3:$I$32,8,FALSE))-(VLOOKUP($A46,test!$A$3:$I$32,9,FALSE))-(test!$B$33-50),0)</f>
        <v>0</v>
      </c>
      <c r="F46">
        <f>IF(AND($A46&lt;&gt;F$1,Recharged_Feasible_mat!G15),(VLOOKUP(F$1,test!$A$3:$I$32,8,FALSE))-(VLOOKUP($A46,test!$A$3:$I$32,9,FALSE))-(test!$B$33-50),0)</f>
        <v>0</v>
      </c>
      <c r="G46">
        <f>IF(AND($A46&lt;&gt;G$1,Recharged_Feasible_mat!H15),(VLOOKUP(G$1,test!$A$3:$I$32,8,FALSE))-(VLOOKUP($A46,test!$A$3:$I$32,9,FALSE))-(test!$B$33-50),0)</f>
        <v>0</v>
      </c>
      <c r="H46">
        <f>IF(AND($A46&lt;&gt;H$1,Recharged_Feasible_mat!I15),(VLOOKUP(H$1,test!$A$3:$I$32,8,FALSE))-(VLOOKUP($A46,test!$A$3:$I$32,9,FALSE))-(test!$B$33-50),0)</f>
        <v>0</v>
      </c>
      <c r="I46">
        <f>IF(AND($A46&lt;&gt;I$1,Recharged_Feasible_mat!J15),(VLOOKUP(I$1,test!$A$3:$I$32,8,FALSE))-(VLOOKUP($A46,test!$A$3:$I$32,9,FALSE))-(test!$B$33-50),0)</f>
        <v>0</v>
      </c>
      <c r="J46">
        <f>IF(AND($A46&lt;&gt;J$1,Recharged_Feasible_mat!K15),(VLOOKUP(J$1,test!$A$3:$I$32,8,FALSE))-(VLOOKUP($A46,test!$A$3:$I$32,9,FALSE))-(test!$B$33-50),0)</f>
        <v>0</v>
      </c>
      <c r="K46">
        <f>IF(AND($A46&lt;&gt;K$1,Recharged_Feasible_mat!L15),(VLOOKUP(K$1,test!$A$3:$I$32,8,FALSE))-(VLOOKUP($A46,test!$A$3:$I$32,9,FALSE))-(test!$B$33-50),0)</f>
        <v>0</v>
      </c>
      <c r="L46">
        <f>IF(AND($A46&lt;&gt;L$1,Recharged_Feasible_mat!M15),(VLOOKUP(L$1,test!$A$3:$I$32,8,FALSE))-(VLOOKUP($A46,test!$A$3:$I$32,9,FALSE))-test!$B$33,0)</f>
        <v>0</v>
      </c>
      <c r="M46">
        <f>IF(AND($A46&lt;&gt;M$1,Recharged_Feasible_mat!N15),(VLOOKUP(M$1,test!$A$3:$I$32,8,FALSE))-(VLOOKUP($A46,test!$A$3:$I$32,9,FALSE))-test!$B$33,0)</f>
        <v>0</v>
      </c>
      <c r="N46">
        <f>IF(AND($A46&lt;&gt;N$1,Recharged_Feasible_mat!O15),(VLOOKUP(N$1,test!$A$3:$I$32,8,FALSE))-(VLOOKUP($A46,test!$A$3:$I$32,9,FALSE))-test!$B$33,0)</f>
        <v>0</v>
      </c>
      <c r="O46">
        <f>IF(AND($A46&lt;&gt;O$1,Recharged_Feasible_mat!P15),(VLOOKUP(O$1,test!$A$3:$I$32,8,FALSE))-(VLOOKUP($A46,test!$A$3:$I$32,9,FALSE))-test!$B$33,0)</f>
        <v>0</v>
      </c>
      <c r="P46">
        <f>IF(AND($A46&lt;&gt;P$1,Recharged_Feasible_mat!Q15),(VLOOKUP(P$1,test!$A$3:$I$32,8,FALSE))-(VLOOKUP($A46,test!$A$3:$I$32,9,FALSE))-test!$B$33,0)</f>
        <v>0</v>
      </c>
      <c r="Q46">
        <f>IF(AND($A46&lt;&gt;Q$1,Recharged_Feasible_mat!R15),(VLOOKUP(Q$1,test!$A$3:$I$32,8,FALSE))-(VLOOKUP($A46,test!$A$3:$I$32,9,FALSE))-test!$B$33,0)</f>
        <v>0</v>
      </c>
      <c r="R46">
        <f>IF(AND($A46&lt;&gt;R$1,Recharged_Feasible_mat!S15),(VLOOKUP(R$1,test!$A$3:$I$32,8,FALSE))-(VLOOKUP($A46,test!$A$3:$I$32,9,FALSE))-test!$B$33,0)</f>
        <v>0</v>
      </c>
      <c r="S46">
        <f>IF(AND($A46&lt;&gt;S$1,Recharged_Feasible_mat!T15),(VLOOKUP(S$1,test!$A$3:$I$32,8,FALSE))-(VLOOKUP($A46,test!$A$3:$I$32,9,FALSE))-test!$B$33,0)</f>
        <v>0</v>
      </c>
      <c r="T46">
        <f>IF(AND($A46&lt;&gt;T$1,Recharged_Feasible_mat!U15),(VLOOKUP(T$1,test!$A$3:$I$32,8,FALSE))-(VLOOKUP($A46,test!$A$3:$I$32,9,FALSE))-test!$B$33,0)</f>
        <v>0</v>
      </c>
      <c r="U46">
        <f>IF(AND($A46&lt;&gt;U$1,Recharged_Feasible_mat!V15),(VLOOKUP(U$1,test!$A$3:$I$32,8,FALSE))-(VLOOKUP($A46,test!$A$3:$I$32,9,FALSE))-test!$B$33,0)</f>
        <v>0</v>
      </c>
      <c r="V46">
        <f>IF(AND($A46&lt;&gt;V$1,Recharged_Feasible_mat!W15),(VLOOKUP(V$1,test!$A$3:$I$32,8,FALSE))-(VLOOKUP($A46,test!$A$3:$I$32,9,FALSE))-test!$B$33,0)</f>
        <v>0</v>
      </c>
      <c r="W46">
        <f>IF(AND($A46&lt;&gt;W$1,Recharged_Feasible_mat!X15),(VLOOKUP(W$1,test!$A$3:$I$32,8,FALSE))-(VLOOKUP($A46,test!$A$3:$I$32,9,FALSE))-test!$B$33,0)</f>
        <v>0</v>
      </c>
      <c r="X46">
        <f>IF(AND($A46&lt;&gt;X$1,Recharged_Feasible_mat!Y15),(VLOOKUP(X$1,test!$A$3:$I$32,8,FALSE))-(VLOOKUP($A46,test!$A$3:$I$32,9,FALSE))-test!$B$33,0)</f>
        <v>0</v>
      </c>
      <c r="Y46">
        <f>IF(AND($A46&lt;&gt;Y$1,Recharged_Feasible_mat!Z15),(VLOOKUP(Y$1,test!$A$3:$I$32,8,FALSE))-(VLOOKUP($A46,test!$A$3:$I$32,9,FALSE))-test!$B$33,0)</f>
        <v>0</v>
      </c>
      <c r="Z46">
        <f>IF(AND($A46&lt;&gt;Z$1,Recharged_Feasible_mat!AA15),(VLOOKUP(Z$1,test!$A$3:$I$32,8,FALSE))-(VLOOKUP($A46,test!$A$3:$I$32,9,FALSE))-test!$B$33,0)</f>
        <v>0</v>
      </c>
      <c r="AA46">
        <f>IF(AND($A46&lt;&gt;AA$1,Recharged_Feasible_mat!AB15),(VLOOKUP(AA$1,test!$A$3:$I$32,8,FALSE))-(VLOOKUP($A46,test!$A$3:$I$32,9,FALSE))-test!$B$33,0)</f>
        <v>0</v>
      </c>
      <c r="AB46">
        <f>IF(AND($A46&lt;&gt;AB$1,Recharged_Feasible_mat!AC15),(VLOOKUP(AB$1,test!$A$3:$I$32,8,FALSE))-(VLOOKUP($A46,test!$A$3:$I$32,9,FALSE))-test!$B$33,0)</f>
        <v>0</v>
      </c>
      <c r="AC46">
        <f>IF(AND($A46&lt;&gt;AC$1,Recharged_Feasible_mat!AD15),(VLOOKUP(AC$1,test!$A$3:$I$32,8,FALSE))-(VLOOKUP($A46,test!$A$3:$I$32,9,FALSE))-test!$B$33,0)</f>
        <v>0</v>
      </c>
      <c r="AD46">
        <f>IF(AND($A46&lt;&gt;AD$1,Recharged_Feasible_mat!AE15),(VLOOKUP(AD$1,test!$A$3:$I$32,8,FALSE))-(VLOOKUP($A46,test!$A$3:$I$32,9,FALSE))-test!$B$33,0)</f>
        <v>0</v>
      </c>
      <c r="AE46">
        <f>IF(AND($A46&lt;&gt;AE$1,Recharged_Feasible_mat!AF15),(VLOOKUP(AE$1,test!$A$3:$I$32,8,FALSE))-(VLOOKUP($A46,test!$A$3:$I$32,9,FALSE))-test!$B$33,0)</f>
        <v>0</v>
      </c>
      <c r="AF46">
        <f>IF(AND($A46&lt;&gt;AF$1,Recharged_Feasible_mat!AG15),(VLOOKUP(AF$1,test!$A$3:$I$32,8,FALSE))-(VLOOKUP($A46,test!$A$3:$I$32,9,FALSE))-test!$B$33,0)</f>
        <v>0</v>
      </c>
    </row>
    <row r="47" spans="1:35" x14ac:dyDescent="0.25">
      <c r="A47" t="s">
        <v>24</v>
      </c>
      <c r="B47">
        <v>0</v>
      </c>
      <c r="C47">
        <f>IF(AND($A47&lt;&gt;C$1,Recharged_Feasible_mat!D16),(VLOOKUP(C$1,test!$A$3:$I$32,8,FALSE))-(VLOOKUP($A47,test!$A$3:$I$32,9,FALSE))-(test!$B$33-50),0)</f>
        <v>0</v>
      </c>
      <c r="D47">
        <f>IF(AND($A47&lt;&gt;D$1,Recharged_Feasible_mat!E16),(VLOOKUP(D$1,test!$A$3:$I$32,8,FALSE))-(VLOOKUP($A47,test!$A$3:$I$32,9,FALSE))-(test!$B$33-50),0)</f>
        <v>0</v>
      </c>
      <c r="E47">
        <f>IF(AND($A47&lt;&gt;E$1,Recharged_Feasible_mat!F16),(VLOOKUP(E$1,test!$A$3:$I$32,8,FALSE))-(VLOOKUP($A47,test!$A$3:$I$32,9,FALSE))-(test!$B$33-50),0)</f>
        <v>0</v>
      </c>
      <c r="F47">
        <f>IF(AND($A47&lt;&gt;F$1,Recharged_Feasible_mat!G16),(VLOOKUP(F$1,test!$A$3:$I$32,8,FALSE))-(VLOOKUP($A47,test!$A$3:$I$32,9,FALSE))-(test!$B$33-50),0)</f>
        <v>150</v>
      </c>
      <c r="G47">
        <f>IF(AND($A47&lt;&gt;G$1,Recharged_Feasible_mat!H16),(VLOOKUP(G$1,test!$A$3:$I$32,8,FALSE))-(VLOOKUP($A47,test!$A$3:$I$32,9,FALSE))-(test!$B$33-50),0)</f>
        <v>210</v>
      </c>
      <c r="H47">
        <f>IF(AND($A47&lt;&gt;H$1,Recharged_Feasible_mat!I16),(VLOOKUP(H$1,test!$A$3:$I$32,8,FALSE))-(VLOOKUP($A47,test!$A$3:$I$32,9,FALSE))-(test!$B$33-50),0)</f>
        <v>270</v>
      </c>
      <c r="I47">
        <f>IF(AND($A47&lt;&gt;I$1,Recharged_Feasible_mat!J16),(VLOOKUP(I$1,test!$A$3:$I$32,8,FALSE))-(VLOOKUP($A47,test!$A$3:$I$32,9,FALSE))-(test!$B$33-50),0)</f>
        <v>330</v>
      </c>
      <c r="J47">
        <f>IF(AND($A47&lt;&gt;J$1,Recharged_Feasible_mat!K16),(VLOOKUP(J$1,test!$A$3:$I$32,8,FALSE))-(VLOOKUP($A47,test!$A$3:$I$32,9,FALSE))-(test!$B$33-50),0)</f>
        <v>420</v>
      </c>
      <c r="K47">
        <f>IF(AND($A47&lt;&gt;K$1,Recharged_Feasible_mat!L16),(VLOOKUP(K$1,test!$A$3:$I$32,8,FALSE))-(VLOOKUP($A47,test!$A$3:$I$32,9,FALSE))-(test!$B$33-50),0)</f>
        <v>0</v>
      </c>
      <c r="L47">
        <f>IF(AND($A47&lt;&gt;L$1,Recharged_Feasible_mat!M16),(VLOOKUP(L$1,test!$A$3:$I$32,8,FALSE))-(VLOOKUP($A47,test!$A$3:$I$32,9,FALSE))-test!$B$33,0)</f>
        <v>0</v>
      </c>
      <c r="M47">
        <f>IF(AND($A47&lt;&gt;M$1,Recharged_Feasible_mat!N16),(VLOOKUP(M$1,test!$A$3:$I$32,8,FALSE))-(VLOOKUP($A47,test!$A$3:$I$32,9,FALSE))-test!$B$33,0)</f>
        <v>0</v>
      </c>
      <c r="N47">
        <f>IF(AND($A47&lt;&gt;N$1,Recharged_Feasible_mat!O16),(VLOOKUP(N$1,test!$A$3:$I$32,8,FALSE))-(VLOOKUP($A47,test!$A$3:$I$32,9,FALSE))-test!$B$33,0)</f>
        <v>335</v>
      </c>
      <c r="O47">
        <f>IF(AND($A47&lt;&gt;O$1,Recharged_Feasible_mat!P16),(VLOOKUP(O$1,test!$A$3:$I$32,8,FALSE))-(VLOOKUP($A47,test!$A$3:$I$32,9,FALSE))-test!$B$33,0)</f>
        <v>395</v>
      </c>
      <c r="P47">
        <f>IF(AND($A47&lt;&gt;P$1,Recharged_Feasible_mat!Q16),(VLOOKUP(P$1,test!$A$3:$I$32,8,FALSE))-(VLOOKUP($A47,test!$A$3:$I$32,9,FALSE))-test!$B$33,0)</f>
        <v>0</v>
      </c>
      <c r="Q47">
        <f>IF(AND($A47&lt;&gt;Q$1,Recharged_Feasible_mat!R16),(VLOOKUP(Q$1,test!$A$3:$I$32,8,FALSE))-(VLOOKUP($A47,test!$A$3:$I$32,9,FALSE))-test!$B$33,0)</f>
        <v>0</v>
      </c>
      <c r="R47">
        <f>IF(AND($A47&lt;&gt;R$1,Recharged_Feasible_mat!S16),(VLOOKUP(R$1,test!$A$3:$I$32,8,FALSE))-(VLOOKUP($A47,test!$A$3:$I$32,9,FALSE))-test!$B$33,0)</f>
        <v>0</v>
      </c>
      <c r="S47">
        <f>IF(AND($A47&lt;&gt;S$1,Recharged_Feasible_mat!T16),(VLOOKUP(S$1,test!$A$3:$I$32,8,FALSE))-(VLOOKUP($A47,test!$A$3:$I$32,9,FALSE))-test!$B$33,0)</f>
        <v>0</v>
      </c>
      <c r="T47">
        <f>IF(AND($A47&lt;&gt;T$1,Recharged_Feasible_mat!U16),(VLOOKUP(T$1,test!$A$3:$I$32,8,FALSE))-(VLOOKUP($A47,test!$A$3:$I$32,9,FALSE))-test!$B$33,0)</f>
        <v>0</v>
      </c>
      <c r="U47">
        <f>IF(AND($A47&lt;&gt;U$1,Recharged_Feasible_mat!V16),(VLOOKUP(U$1,test!$A$3:$I$32,8,FALSE))-(VLOOKUP($A47,test!$A$3:$I$32,9,FALSE))-test!$B$33,0)</f>
        <v>80</v>
      </c>
      <c r="V47">
        <f>IF(AND($A47&lt;&gt;V$1,Recharged_Feasible_mat!W16),(VLOOKUP(V$1,test!$A$3:$I$32,8,FALSE))-(VLOOKUP($A47,test!$A$3:$I$32,9,FALSE))-test!$B$33,0)</f>
        <v>170</v>
      </c>
      <c r="W47">
        <f>IF(AND($A47&lt;&gt;W$1,Recharged_Feasible_mat!X16),(VLOOKUP(W$1,test!$A$3:$I$32,8,FALSE))-(VLOOKUP($A47,test!$A$3:$I$32,9,FALSE))-test!$B$33,0)</f>
        <v>260</v>
      </c>
      <c r="X47">
        <f>IF(AND($A47&lt;&gt;X$1,Recharged_Feasible_mat!Y16),(VLOOKUP(X$1,test!$A$3:$I$32,8,FALSE))-(VLOOKUP($A47,test!$A$3:$I$32,9,FALSE))-test!$B$33,0)</f>
        <v>320</v>
      </c>
      <c r="Y47">
        <f>IF(AND($A47&lt;&gt;Y$1,Recharged_Feasible_mat!Z16),(VLOOKUP(Y$1,test!$A$3:$I$32,8,FALSE))-(VLOOKUP($A47,test!$A$3:$I$32,9,FALSE))-test!$B$33,0)</f>
        <v>0</v>
      </c>
      <c r="Z47">
        <f>IF(AND($A47&lt;&gt;Z$1,Recharged_Feasible_mat!AA16),(VLOOKUP(Z$1,test!$A$3:$I$32,8,FALSE))-(VLOOKUP($A47,test!$A$3:$I$32,9,FALSE))-test!$B$33,0)</f>
        <v>0</v>
      </c>
      <c r="AA47">
        <f>IF(AND($A47&lt;&gt;AA$1,Recharged_Feasible_mat!AB16),(VLOOKUP(AA$1,test!$A$3:$I$32,8,FALSE))-(VLOOKUP($A47,test!$A$3:$I$32,9,FALSE))-test!$B$33,0)</f>
        <v>40</v>
      </c>
      <c r="AB47">
        <f>IF(AND($A47&lt;&gt;AB$1,Recharged_Feasible_mat!AC16),(VLOOKUP(AB$1,test!$A$3:$I$32,8,FALSE))-(VLOOKUP($A47,test!$A$3:$I$32,9,FALSE))-test!$B$33,0)</f>
        <v>100</v>
      </c>
      <c r="AC47">
        <f>IF(AND($A47&lt;&gt;AC$1,Recharged_Feasible_mat!AD16),(VLOOKUP(AC$1,test!$A$3:$I$32,8,FALSE))-(VLOOKUP($A47,test!$A$3:$I$32,9,FALSE))-test!$B$33,0)</f>
        <v>220</v>
      </c>
      <c r="AD47">
        <f>IF(AND($A47&lt;&gt;AD$1,Recharged_Feasible_mat!AE16),(VLOOKUP(AD$1,test!$A$3:$I$32,8,FALSE))-(VLOOKUP($A47,test!$A$3:$I$32,9,FALSE))-test!$B$33,0)</f>
        <v>0</v>
      </c>
      <c r="AE47">
        <f>IF(AND($A47&lt;&gt;AE$1,Recharged_Feasible_mat!AF16),(VLOOKUP(AE$1,test!$A$3:$I$32,8,FALSE))-(VLOOKUP($A47,test!$A$3:$I$32,9,FALSE))-test!$B$33,0)</f>
        <v>40</v>
      </c>
      <c r="AF47">
        <f>IF(AND($A47&lt;&gt;AF$1,Recharged_Feasible_mat!AG16),(VLOOKUP(AF$1,test!$A$3:$I$32,8,FALSE))-(VLOOKUP($A47,test!$A$3:$I$32,9,FALSE))-test!$B$33,0)</f>
        <v>0</v>
      </c>
    </row>
    <row r="48" spans="1:35" x14ac:dyDescent="0.25">
      <c r="A48" t="s">
        <v>26</v>
      </c>
      <c r="B48">
        <v>0</v>
      </c>
      <c r="C48">
        <f>IF(AND($A48&lt;&gt;C$1,Recharged_Feasible_mat!D17),(VLOOKUP(C$1,test!$A$3:$I$32,8,FALSE))-(VLOOKUP($A48,test!$A$3:$I$32,9,FALSE))-(test!$B$33-50),0)</f>
        <v>0</v>
      </c>
      <c r="D48">
        <f>IF(AND($A48&lt;&gt;D$1,Recharged_Feasible_mat!E17),(VLOOKUP(D$1,test!$A$3:$I$32,8,FALSE))-(VLOOKUP($A48,test!$A$3:$I$32,9,FALSE))-(test!$B$33-50),0)</f>
        <v>0</v>
      </c>
      <c r="E48">
        <f>IF(AND($A48&lt;&gt;E$1,Recharged_Feasible_mat!F17),(VLOOKUP(E$1,test!$A$3:$I$32,8,FALSE))-(VLOOKUP($A48,test!$A$3:$I$32,9,FALSE))-(test!$B$33-50),0)</f>
        <v>155</v>
      </c>
      <c r="F48">
        <f>IF(AND($A48&lt;&gt;F$1,Recharged_Feasible_mat!G17),(VLOOKUP(F$1,test!$A$3:$I$32,8,FALSE))-(VLOOKUP($A48,test!$A$3:$I$32,9,FALSE))-(test!$B$33-50),0)</f>
        <v>245</v>
      </c>
      <c r="G48">
        <f>IF(AND($A48&lt;&gt;G$1,Recharged_Feasible_mat!H17),(VLOOKUP(G$1,test!$A$3:$I$32,8,FALSE))-(VLOOKUP($A48,test!$A$3:$I$32,9,FALSE))-(test!$B$33-50),0)</f>
        <v>305</v>
      </c>
      <c r="H48">
        <f>IF(AND($A48&lt;&gt;H$1,Recharged_Feasible_mat!I17),(VLOOKUP(H$1,test!$A$3:$I$32,8,FALSE))-(VLOOKUP($A48,test!$A$3:$I$32,9,FALSE))-(test!$B$33-50),0)</f>
        <v>365</v>
      </c>
      <c r="I48">
        <f>IF(AND($A48&lt;&gt;I$1,Recharged_Feasible_mat!J17),(VLOOKUP(I$1,test!$A$3:$I$32,8,FALSE))-(VLOOKUP($A48,test!$A$3:$I$32,9,FALSE))-(test!$B$33-50),0)</f>
        <v>425</v>
      </c>
      <c r="J48">
        <f>IF(AND($A48&lt;&gt;J$1,Recharged_Feasible_mat!K17),(VLOOKUP(J$1,test!$A$3:$I$32,8,FALSE))-(VLOOKUP($A48,test!$A$3:$I$32,9,FALSE))-(test!$B$33-50),0)</f>
        <v>515</v>
      </c>
      <c r="K48">
        <f>IF(AND($A48&lt;&gt;K$1,Recharged_Feasible_mat!L17),(VLOOKUP(K$1,test!$A$3:$I$32,8,FALSE))-(VLOOKUP($A48,test!$A$3:$I$32,9,FALSE))-(test!$B$33-50),0)</f>
        <v>0</v>
      </c>
      <c r="L48">
        <f>IF(AND($A48&lt;&gt;L$1,Recharged_Feasible_mat!M17),(VLOOKUP(L$1,test!$A$3:$I$32,8,FALSE))-(VLOOKUP($A48,test!$A$3:$I$32,9,FALSE))-test!$B$33,0)</f>
        <v>0</v>
      </c>
      <c r="M48">
        <f>IF(AND($A48&lt;&gt;M$1,Recharged_Feasible_mat!N17),(VLOOKUP(M$1,test!$A$3:$I$32,8,FALSE))-(VLOOKUP($A48,test!$A$3:$I$32,9,FALSE))-test!$B$33,0)</f>
        <v>70</v>
      </c>
      <c r="N48">
        <f>IF(AND($A48&lt;&gt;N$1,Recharged_Feasible_mat!O17),(VLOOKUP(N$1,test!$A$3:$I$32,8,FALSE))-(VLOOKUP($A48,test!$A$3:$I$32,9,FALSE))-test!$B$33,0)</f>
        <v>430</v>
      </c>
      <c r="O48">
        <f>IF(AND($A48&lt;&gt;O$1,Recharged_Feasible_mat!P17),(VLOOKUP(O$1,test!$A$3:$I$32,8,FALSE))-(VLOOKUP($A48,test!$A$3:$I$32,9,FALSE))-test!$B$33,0)</f>
        <v>490</v>
      </c>
      <c r="P48">
        <f>IF(AND($A48&lt;&gt;P$1,Recharged_Feasible_mat!Q17),(VLOOKUP(P$1,test!$A$3:$I$32,8,FALSE))-(VLOOKUP($A48,test!$A$3:$I$32,9,FALSE))-test!$B$33,0)</f>
        <v>0</v>
      </c>
      <c r="Q48">
        <f>IF(AND($A48&lt;&gt;Q$1,Recharged_Feasible_mat!R17),(VLOOKUP(Q$1,test!$A$3:$I$32,8,FALSE))-(VLOOKUP($A48,test!$A$3:$I$32,9,FALSE))-test!$B$33,0)</f>
        <v>0</v>
      </c>
      <c r="R48">
        <f>IF(AND($A48&lt;&gt;R$1,Recharged_Feasible_mat!S17),(VLOOKUP(R$1,test!$A$3:$I$32,8,FALSE))-(VLOOKUP($A48,test!$A$3:$I$32,9,FALSE))-test!$B$33,0)</f>
        <v>0</v>
      </c>
      <c r="S48">
        <f>IF(AND($A48&lt;&gt;S$1,Recharged_Feasible_mat!T17),(VLOOKUP(S$1,test!$A$3:$I$32,8,FALSE))-(VLOOKUP($A48,test!$A$3:$I$32,9,FALSE))-test!$B$33,0)</f>
        <v>0</v>
      </c>
      <c r="T48">
        <f>IF(AND($A48&lt;&gt;T$1,Recharged_Feasible_mat!U17),(VLOOKUP(T$1,test!$A$3:$I$32,8,FALSE))-(VLOOKUP($A48,test!$A$3:$I$32,9,FALSE))-test!$B$33,0)</f>
        <v>85</v>
      </c>
      <c r="U48">
        <f>IF(AND($A48&lt;&gt;U$1,Recharged_Feasible_mat!V17),(VLOOKUP(U$1,test!$A$3:$I$32,8,FALSE))-(VLOOKUP($A48,test!$A$3:$I$32,9,FALSE))-test!$B$33,0)</f>
        <v>175</v>
      </c>
      <c r="V48">
        <f>IF(AND($A48&lt;&gt;V$1,Recharged_Feasible_mat!W17),(VLOOKUP(V$1,test!$A$3:$I$32,8,FALSE))-(VLOOKUP($A48,test!$A$3:$I$32,9,FALSE))-test!$B$33,0)</f>
        <v>265</v>
      </c>
      <c r="W48">
        <f>IF(AND($A48&lt;&gt;W$1,Recharged_Feasible_mat!X17),(VLOOKUP(W$1,test!$A$3:$I$32,8,FALSE))-(VLOOKUP($A48,test!$A$3:$I$32,9,FALSE))-test!$B$33,0)</f>
        <v>355</v>
      </c>
      <c r="X48">
        <f>IF(AND($A48&lt;&gt;X$1,Recharged_Feasible_mat!Y17),(VLOOKUP(X$1,test!$A$3:$I$32,8,FALSE))-(VLOOKUP($A48,test!$A$3:$I$32,9,FALSE))-test!$B$33,0)</f>
        <v>415</v>
      </c>
      <c r="Y48">
        <f>IF(AND($A48&lt;&gt;Y$1,Recharged_Feasible_mat!Z17),(VLOOKUP(Y$1,test!$A$3:$I$32,8,FALSE))-(VLOOKUP($A48,test!$A$3:$I$32,9,FALSE))-test!$B$33,0)</f>
        <v>0</v>
      </c>
      <c r="Z48">
        <f>IF(AND($A48&lt;&gt;Z$1,Recharged_Feasible_mat!AA17),(VLOOKUP(Z$1,test!$A$3:$I$32,8,FALSE))-(VLOOKUP($A48,test!$A$3:$I$32,9,FALSE))-test!$B$33,0)</f>
        <v>0</v>
      </c>
      <c r="AA48">
        <f>IF(AND($A48&lt;&gt;AA$1,Recharged_Feasible_mat!AB17),(VLOOKUP(AA$1,test!$A$3:$I$32,8,FALSE))-(VLOOKUP($A48,test!$A$3:$I$32,9,FALSE))-test!$B$33,0)</f>
        <v>135</v>
      </c>
      <c r="AB48">
        <f>IF(AND($A48&lt;&gt;AB$1,Recharged_Feasible_mat!AC17),(VLOOKUP(AB$1,test!$A$3:$I$32,8,FALSE))-(VLOOKUP($A48,test!$A$3:$I$32,9,FALSE))-test!$B$33,0)</f>
        <v>195</v>
      </c>
      <c r="AC48">
        <f>IF(AND($A48&lt;&gt;AC$1,Recharged_Feasible_mat!AD17),(VLOOKUP(AC$1,test!$A$3:$I$32,8,FALSE))-(VLOOKUP($A48,test!$A$3:$I$32,9,FALSE))-test!$B$33,0)</f>
        <v>315</v>
      </c>
      <c r="AD48">
        <f>IF(AND($A48&lt;&gt;AD$1,Recharged_Feasible_mat!AE17),(VLOOKUP(AD$1,test!$A$3:$I$32,8,FALSE))-(VLOOKUP($A48,test!$A$3:$I$32,9,FALSE))-test!$B$33,0)</f>
        <v>0</v>
      </c>
      <c r="AE48">
        <f>IF(AND($A48&lt;&gt;AE$1,Recharged_Feasible_mat!AF17),(VLOOKUP(AE$1,test!$A$3:$I$32,8,FALSE))-(VLOOKUP($A48,test!$A$3:$I$32,9,FALSE))-test!$B$33,0)</f>
        <v>135</v>
      </c>
      <c r="AF48">
        <f>IF(AND($A48&lt;&gt;AF$1,Recharged_Feasible_mat!AG17),(VLOOKUP(AF$1,test!$A$3:$I$32,8,FALSE))-(VLOOKUP($A48,test!$A$3:$I$32,9,FALSE))-test!$B$33,0)</f>
        <v>85</v>
      </c>
    </row>
    <row r="49" spans="1:32" x14ac:dyDescent="0.25">
      <c r="A49" t="s">
        <v>27</v>
      </c>
      <c r="B49">
        <v>0</v>
      </c>
      <c r="C49">
        <f>IF(AND($A49&lt;&gt;C$1,Recharged_Feasible_mat!D18),(VLOOKUP(C$1,test!$A$3:$I$32,8,FALSE))-(VLOOKUP($A49,test!$A$3:$I$32,9,FALSE))-(test!$B$33-50),0)</f>
        <v>0</v>
      </c>
      <c r="D49">
        <f>IF(AND($A49&lt;&gt;D$1,Recharged_Feasible_mat!E18),(VLOOKUP(D$1,test!$A$3:$I$32,8,FALSE))-(VLOOKUP($A49,test!$A$3:$I$32,9,FALSE))-(test!$B$33-50),0)</f>
        <v>0</v>
      </c>
      <c r="E49">
        <f>IF(AND($A49&lt;&gt;E$1,Recharged_Feasible_mat!F18),(VLOOKUP(E$1,test!$A$3:$I$32,8,FALSE))-(VLOOKUP($A49,test!$A$3:$I$32,9,FALSE))-(test!$B$33-50),0)</f>
        <v>0</v>
      </c>
      <c r="F49">
        <f>IF(AND($A49&lt;&gt;F$1,Recharged_Feasible_mat!G18),(VLOOKUP(F$1,test!$A$3:$I$32,8,FALSE))-(VLOOKUP($A49,test!$A$3:$I$32,9,FALSE))-(test!$B$33-50),0)</f>
        <v>155</v>
      </c>
      <c r="G49">
        <f>IF(AND($A49&lt;&gt;G$1,Recharged_Feasible_mat!H18),(VLOOKUP(G$1,test!$A$3:$I$32,8,FALSE))-(VLOOKUP($A49,test!$A$3:$I$32,9,FALSE))-(test!$B$33-50),0)</f>
        <v>215</v>
      </c>
      <c r="H49">
        <f>IF(AND($A49&lt;&gt;H$1,Recharged_Feasible_mat!I18),(VLOOKUP(H$1,test!$A$3:$I$32,8,FALSE))-(VLOOKUP($A49,test!$A$3:$I$32,9,FALSE))-(test!$B$33-50),0)</f>
        <v>275</v>
      </c>
      <c r="I49">
        <f>IF(AND($A49&lt;&gt;I$1,Recharged_Feasible_mat!J18),(VLOOKUP(I$1,test!$A$3:$I$32,8,FALSE))-(VLOOKUP($A49,test!$A$3:$I$32,9,FALSE))-(test!$B$33-50),0)</f>
        <v>335</v>
      </c>
      <c r="J49">
        <f>IF(AND($A49&lt;&gt;J$1,Recharged_Feasible_mat!K18),(VLOOKUP(J$1,test!$A$3:$I$32,8,FALSE))-(VLOOKUP($A49,test!$A$3:$I$32,9,FALSE))-(test!$B$33-50),0)</f>
        <v>425</v>
      </c>
      <c r="K49">
        <f>IF(AND($A49&lt;&gt;K$1,Recharged_Feasible_mat!L18),(VLOOKUP(K$1,test!$A$3:$I$32,8,FALSE))-(VLOOKUP($A49,test!$A$3:$I$32,9,FALSE))-(test!$B$33-50),0)</f>
        <v>0</v>
      </c>
      <c r="L49">
        <f>IF(AND($A49&lt;&gt;L$1,Recharged_Feasible_mat!M18),(VLOOKUP(L$1,test!$A$3:$I$32,8,FALSE))-(VLOOKUP($A49,test!$A$3:$I$32,9,FALSE))-test!$B$33,0)</f>
        <v>0</v>
      </c>
      <c r="M49">
        <f>IF(AND($A49&lt;&gt;M$1,Recharged_Feasible_mat!N18),(VLOOKUP(M$1,test!$A$3:$I$32,8,FALSE))-(VLOOKUP($A49,test!$A$3:$I$32,9,FALSE))-test!$B$33,0)</f>
        <v>0</v>
      </c>
      <c r="N49">
        <f>IF(AND($A49&lt;&gt;N$1,Recharged_Feasible_mat!O18),(VLOOKUP(N$1,test!$A$3:$I$32,8,FALSE))-(VLOOKUP($A49,test!$A$3:$I$32,9,FALSE))-test!$B$33,0)</f>
        <v>340</v>
      </c>
      <c r="O49">
        <f>IF(AND($A49&lt;&gt;O$1,Recharged_Feasible_mat!P18),(VLOOKUP(O$1,test!$A$3:$I$32,8,FALSE))-(VLOOKUP($A49,test!$A$3:$I$32,9,FALSE))-test!$B$33,0)</f>
        <v>400</v>
      </c>
      <c r="P49">
        <f>IF(AND($A49&lt;&gt;P$1,Recharged_Feasible_mat!Q18),(VLOOKUP(P$1,test!$A$3:$I$32,8,FALSE))-(VLOOKUP($A49,test!$A$3:$I$32,9,FALSE))-test!$B$33,0)</f>
        <v>0</v>
      </c>
      <c r="Q49">
        <f>IF(AND($A49&lt;&gt;Q$1,Recharged_Feasible_mat!R18),(VLOOKUP(Q$1,test!$A$3:$I$32,8,FALSE))-(VLOOKUP($A49,test!$A$3:$I$32,9,FALSE))-test!$B$33,0)</f>
        <v>0</v>
      </c>
      <c r="R49">
        <f>IF(AND($A49&lt;&gt;R$1,Recharged_Feasible_mat!S18),(VLOOKUP(R$1,test!$A$3:$I$32,8,FALSE))-(VLOOKUP($A49,test!$A$3:$I$32,9,FALSE))-test!$B$33,0)</f>
        <v>0</v>
      </c>
      <c r="S49">
        <f>IF(AND($A49&lt;&gt;S$1,Recharged_Feasible_mat!T18),(VLOOKUP(S$1,test!$A$3:$I$32,8,FALSE))-(VLOOKUP($A49,test!$A$3:$I$32,9,FALSE))-test!$B$33,0)</f>
        <v>0</v>
      </c>
      <c r="T49">
        <f>IF(AND($A49&lt;&gt;T$1,Recharged_Feasible_mat!U18),(VLOOKUP(T$1,test!$A$3:$I$32,8,FALSE))-(VLOOKUP($A49,test!$A$3:$I$32,9,FALSE))-test!$B$33,0)</f>
        <v>0</v>
      </c>
      <c r="U49">
        <f>IF(AND($A49&lt;&gt;U$1,Recharged_Feasible_mat!V18),(VLOOKUP(U$1,test!$A$3:$I$32,8,FALSE))-(VLOOKUP($A49,test!$A$3:$I$32,9,FALSE))-test!$B$33,0)</f>
        <v>85</v>
      </c>
      <c r="V49">
        <f>IF(AND($A49&lt;&gt;V$1,Recharged_Feasible_mat!W18),(VLOOKUP(V$1,test!$A$3:$I$32,8,FALSE))-(VLOOKUP($A49,test!$A$3:$I$32,9,FALSE))-test!$B$33,0)</f>
        <v>175</v>
      </c>
      <c r="W49">
        <f>IF(AND($A49&lt;&gt;W$1,Recharged_Feasible_mat!X18),(VLOOKUP(W$1,test!$A$3:$I$32,8,FALSE))-(VLOOKUP($A49,test!$A$3:$I$32,9,FALSE))-test!$B$33,0)</f>
        <v>265</v>
      </c>
      <c r="X49">
        <f>IF(AND($A49&lt;&gt;X$1,Recharged_Feasible_mat!Y18),(VLOOKUP(X$1,test!$A$3:$I$32,8,FALSE))-(VLOOKUP($A49,test!$A$3:$I$32,9,FALSE))-test!$B$33,0)</f>
        <v>325</v>
      </c>
      <c r="Y49">
        <f>IF(AND($A49&lt;&gt;Y$1,Recharged_Feasible_mat!Z18),(VLOOKUP(Y$1,test!$A$3:$I$32,8,FALSE))-(VLOOKUP($A49,test!$A$3:$I$32,9,FALSE))-test!$B$33,0)</f>
        <v>0</v>
      </c>
      <c r="Z49">
        <f>IF(AND($A49&lt;&gt;Z$1,Recharged_Feasible_mat!AA18),(VLOOKUP(Z$1,test!$A$3:$I$32,8,FALSE))-(VLOOKUP($A49,test!$A$3:$I$32,9,FALSE))-test!$B$33,0)</f>
        <v>0</v>
      </c>
      <c r="AA49">
        <f>IF(AND($A49&lt;&gt;AA$1,Recharged_Feasible_mat!AB18),(VLOOKUP(AA$1,test!$A$3:$I$32,8,FALSE))-(VLOOKUP($A49,test!$A$3:$I$32,9,FALSE))-test!$B$33,0)</f>
        <v>45</v>
      </c>
      <c r="AB49">
        <f>IF(AND($A49&lt;&gt;AB$1,Recharged_Feasible_mat!AC18),(VLOOKUP(AB$1,test!$A$3:$I$32,8,FALSE))-(VLOOKUP($A49,test!$A$3:$I$32,9,FALSE))-test!$B$33,0)</f>
        <v>105</v>
      </c>
      <c r="AC49">
        <f>IF(AND($A49&lt;&gt;AC$1,Recharged_Feasible_mat!AD18),(VLOOKUP(AC$1,test!$A$3:$I$32,8,FALSE))-(VLOOKUP($A49,test!$A$3:$I$32,9,FALSE))-test!$B$33,0)</f>
        <v>225</v>
      </c>
      <c r="AD49">
        <f>IF(AND($A49&lt;&gt;AD$1,Recharged_Feasible_mat!AE18),(VLOOKUP(AD$1,test!$A$3:$I$32,8,FALSE))-(VLOOKUP($A49,test!$A$3:$I$32,9,FALSE))-test!$B$33,0)</f>
        <v>0</v>
      </c>
      <c r="AE49">
        <f>IF(AND($A49&lt;&gt;AE$1,Recharged_Feasible_mat!AF18),(VLOOKUP(AE$1,test!$A$3:$I$32,8,FALSE))-(VLOOKUP($A49,test!$A$3:$I$32,9,FALSE))-test!$B$33,0)</f>
        <v>45</v>
      </c>
      <c r="AF49">
        <f>IF(AND($A49&lt;&gt;AF$1,Recharged_Feasible_mat!AG18),(VLOOKUP(AF$1,test!$A$3:$I$32,8,FALSE))-(VLOOKUP($A49,test!$A$3:$I$32,9,FALSE))-test!$B$33,0)</f>
        <v>0</v>
      </c>
    </row>
    <row r="50" spans="1:32" x14ac:dyDescent="0.25">
      <c r="A50" t="s">
        <v>28</v>
      </c>
      <c r="B50">
        <v>0</v>
      </c>
      <c r="C50">
        <f>IF(AND($A50&lt;&gt;C$1,Recharged_Feasible_mat!D19),(VLOOKUP(C$1,test!$A$3:$I$32,8,FALSE))-(VLOOKUP($A50,test!$A$3:$I$32,9,FALSE))-(test!$B$33-50),0)</f>
        <v>0</v>
      </c>
      <c r="D50">
        <f>IF(AND($A50&lt;&gt;D$1,Recharged_Feasible_mat!E19),(VLOOKUP(D$1,test!$A$3:$I$32,8,FALSE))-(VLOOKUP($A50,test!$A$3:$I$32,9,FALSE))-(test!$B$33-50),0)</f>
        <v>0</v>
      </c>
      <c r="E50">
        <f>IF(AND($A50&lt;&gt;E$1,Recharged_Feasible_mat!F19),(VLOOKUP(E$1,test!$A$3:$I$32,8,FALSE))-(VLOOKUP($A50,test!$A$3:$I$32,9,FALSE))-(test!$B$33-50),0)</f>
        <v>0</v>
      </c>
      <c r="F50">
        <f>IF(AND($A50&lt;&gt;F$1,Recharged_Feasible_mat!G19),(VLOOKUP(F$1,test!$A$3:$I$32,8,FALSE))-(VLOOKUP($A50,test!$A$3:$I$32,9,FALSE))-(test!$B$33-50),0)</f>
        <v>0</v>
      </c>
      <c r="G50">
        <f>IF(AND($A50&lt;&gt;G$1,Recharged_Feasible_mat!H19),(VLOOKUP(G$1,test!$A$3:$I$32,8,FALSE))-(VLOOKUP($A50,test!$A$3:$I$32,9,FALSE))-(test!$B$33-50),0)</f>
        <v>125</v>
      </c>
      <c r="H50">
        <f>IF(AND($A50&lt;&gt;H$1,Recharged_Feasible_mat!I19),(VLOOKUP(H$1,test!$A$3:$I$32,8,FALSE))-(VLOOKUP($A50,test!$A$3:$I$32,9,FALSE))-(test!$B$33-50),0)</f>
        <v>185</v>
      </c>
      <c r="I50">
        <f>IF(AND($A50&lt;&gt;I$1,Recharged_Feasible_mat!J19),(VLOOKUP(I$1,test!$A$3:$I$32,8,FALSE))-(VLOOKUP($A50,test!$A$3:$I$32,9,FALSE))-(test!$B$33-50),0)</f>
        <v>245</v>
      </c>
      <c r="J50">
        <f>IF(AND($A50&lt;&gt;J$1,Recharged_Feasible_mat!K19),(VLOOKUP(J$1,test!$A$3:$I$32,8,FALSE))-(VLOOKUP($A50,test!$A$3:$I$32,9,FALSE))-(test!$B$33-50),0)</f>
        <v>335</v>
      </c>
      <c r="K50">
        <f>IF(AND($A50&lt;&gt;K$1,Recharged_Feasible_mat!L19),(VLOOKUP(K$1,test!$A$3:$I$32,8,FALSE))-(VLOOKUP($A50,test!$A$3:$I$32,9,FALSE))-(test!$B$33-50),0)</f>
        <v>0</v>
      </c>
      <c r="L50">
        <f>IF(AND($A50&lt;&gt;L$1,Recharged_Feasible_mat!M19),(VLOOKUP(L$1,test!$A$3:$I$32,8,FALSE))-(VLOOKUP($A50,test!$A$3:$I$32,9,FALSE))-test!$B$33,0)</f>
        <v>0</v>
      </c>
      <c r="M50">
        <f>IF(AND($A50&lt;&gt;M$1,Recharged_Feasible_mat!N19),(VLOOKUP(M$1,test!$A$3:$I$32,8,FALSE))-(VLOOKUP($A50,test!$A$3:$I$32,9,FALSE))-test!$B$33,0)</f>
        <v>0</v>
      </c>
      <c r="N50">
        <f>IF(AND($A50&lt;&gt;N$1,Recharged_Feasible_mat!O19),(VLOOKUP(N$1,test!$A$3:$I$32,8,FALSE))-(VLOOKUP($A50,test!$A$3:$I$32,9,FALSE))-test!$B$33,0)</f>
        <v>250</v>
      </c>
      <c r="O50">
        <f>IF(AND($A50&lt;&gt;O$1,Recharged_Feasible_mat!P19),(VLOOKUP(O$1,test!$A$3:$I$32,8,FALSE))-(VLOOKUP($A50,test!$A$3:$I$32,9,FALSE))-test!$B$33,0)</f>
        <v>310</v>
      </c>
      <c r="P50">
        <f>IF(AND($A50&lt;&gt;P$1,Recharged_Feasible_mat!Q19),(VLOOKUP(P$1,test!$A$3:$I$32,8,FALSE))-(VLOOKUP($A50,test!$A$3:$I$32,9,FALSE))-test!$B$33,0)</f>
        <v>0</v>
      </c>
      <c r="Q50">
        <f>IF(AND($A50&lt;&gt;Q$1,Recharged_Feasible_mat!R19),(VLOOKUP(Q$1,test!$A$3:$I$32,8,FALSE))-(VLOOKUP($A50,test!$A$3:$I$32,9,FALSE))-test!$B$33,0)</f>
        <v>0</v>
      </c>
      <c r="R50">
        <f>IF(AND($A50&lt;&gt;R$1,Recharged_Feasible_mat!S19),(VLOOKUP(R$1,test!$A$3:$I$32,8,FALSE))-(VLOOKUP($A50,test!$A$3:$I$32,9,FALSE))-test!$B$33,0)</f>
        <v>0</v>
      </c>
      <c r="S50">
        <f>IF(AND($A50&lt;&gt;S$1,Recharged_Feasible_mat!T19),(VLOOKUP(S$1,test!$A$3:$I$32,8,FALSE))-(VLOOKUP($A50,test!$A$3:$I$32,9,FALSE))-test!$B$33,0)</f>
        <v>0</v>
      </c>
      <c r="T50">
        <f>IF(AND($A50&lt;&gt;T$1,Recharged_Feasible_mat!U19),(VLOOKUP(T$1,test!$A$3:$I$32,8,FALSE))-(VLOOKUP($A50,test!$A$3:$I$32,9,FALSE))-test!$B$33,0)</f>
        <v>0</v>
      </c>
      <c r="U50">
        <f>IF(AND($A50&lt;&gt;U$1,Recharged_Feasible_mat!V19),(VLOOKUP(U$1,test!$A$3:$I$32,8,FALSE))-(VLOOKUP($A50,test!$A$3:$I$32,9,FALSE))-test!$B$33,0)</f>
        <v>0</v>
      </c>
      <c r="V50">
        <f>IF(AND($A50&lt;&gt;V$1,Recharged_Feasible_mat!W19),(VLOOKUP(V$1,test!$A$3:$I$32,8,FALSE))-(VLOOKUP($A50,test!$A$3:$I$32,9,FALSE))-test!$B$33,0)</f>
        <v>85</v>
      </c>
      <c r="W50">
        <f>IF(AND($A50&lt;&gt;W$1,Recharged_Feasible_mat!X19),(VLOOKUP(W$1,test!$A$3:$I$32,8,FALSE))-(VLOOKUP($A50,test!$A$3:$I$32,9,FALSE))-test!$B$33,0)</f>
        <v>175</v>
      </c>
      <c r="X50">
        <f>IF(AND($A50&lt;&gt;X$1,Recharged_Feasible_mat!Y19),(VLOOKUP(X$1,test!$A$3:$I$32,8,FALSE))-(VLOOKUP($A50,test!$A$3:$I$32,9,FALSE))-test!$B$33,0)</f>
        <v>235</v>
      </c>
      <c r="Y50">
        <f>IF(AND($A50&lt;&gt;Y$1,Recharged_Feasible_mat!Z19),(VLOOKUP(Y$1,test!$A$3:$I$32,8,FALSE))-(VLOOKUP($A50,test!$A$3:$I$32,9,FALSE))-test!$B$33,0)</f>
        <v>0</v>
      </c>
      <c r="Z50">
        <f>IF(AND($A50&lt;&gt;Z$1,Recharged_Feasible_mat!AA19),(VLOOKUP(Z$1,test!$A$3:$I$32,8,FALSE))-(VLOOKUP($A50,test!$A$3:$I$32,9,FALSE))-test!$B$33,0)</f>
        <v>0</v>
      </c>
      <c r="AA50">
        <f>IF(AND($A50&lt;&gt;AA$1,Recharged_Feasible_mat!AB19),(VLOOKUP(AA$1,test!$A$3:$I$32,8,FALSE))-(VLOOKUP($A50,test!$A$3:$I$32,9,FALSE))-test!$B$33,0)</f>
        <v>0</v>
      </c>
      <c r="AB50">
        <f>IF(AND($A50&lt;&gt;AB$1,Recharged_Feasible_mat!AC19),(VLOOKUP(AB$1,test!$A$3:$I$32,8,FALSE))-(VLOOKUP($A50,test!$A$3:$I$32,9,FALSE))-test!$B$33,0)</f>
        <v>0</v>
      </c>
      <c r="AC50">
        <f>IF(AND($A50&lt;&gt;AC$1,Recharged_Feasible_mat!AD19),(VLOOKUP(AC$1,test!$A$3:$I$32,8,FALSE))-(VLOOKUP($A50,test!$A$3:$I$32,9,FALSE))-test!$B$33,0)</f>
        <v>135</v>
      </c>
      <c r="AD50">
        <f>IF(AND($A50&lt;&gt;AD$1,Recharged_Feasible_mat!AE19),(VLOOKUP(AD$1,test!$A$3:$I$32,8,FALSE))-(VLOOKUP($A50,test!$A$3:$I$32,9,FALSE))-test!$B$33,0)</f>
        <v>0</v>
      </c>
      <c r="AE50">
        <f>IF(AND($A50&lt;&gt;AE$1,Recharged_Feasible_mat!AF19),(VLOOKUP(AE$1,test!$A$3:$I$32,8,FALSE))-(VLOOKUP($A50,test!$A$3:$I$32,9,FALSE))-test!$B$33,0)</f>
        <v>0</v>
      </c>
      <c r="AF50">
        <f>IF(AND($A50&lt;&gt;AF$1,Recharged_Feasible_mat!AG19),(VLOOKUP(AF$1,test!$A$3:$I$32,8,FALSE))-(VLOOKUP($A50,test!$A$3:$I$32,9,FALSE))-test!$B$33,0)</f>
        <v>0</v>
      </c>
    </row>
    <row r="51" spans="1:32" x14ac:dyDescent="0.25">
      <c r="A51" t="s">
        <v>29</v>
      </c>
      <c r="B51">
        <v>0</v>
      </c>
      <c r="C51">
        <f>IF(AND($A51&lt;&gt;C$1,Recharged_Feasible_mat!D20),(VLOOKUP(C$1,test!$A$3:$I$32,8,FALSE))-(VLOOKUP($A51,test!$A$3:$I$32,9,FALSE))-(test!$B$33-50),0)</f>
        <v>0</v>
      </c>
      <c r="D51">
        <f>IF(AND($A51&lt;&gt;D$1,Recharged_Feasible_mat!E20),(VLOOKUP(D$1,test!$A$3:$I$32,8,FALSE))-(VLOOKUP($A51,test!$A$3:$I$32,9,FALSE))-(test!$B$33-50),0)</f>
        <v>0</v>
      </c>
      <c r="E51">
        <f>IF(AND($A51&lt;&gt;E$1,Recharged_Feasible_mat!F20),(VLOOKUP(E$1,test!$A$3:$I$32,8,FALSE))-(VLOOKUP($A51,test!$A$3:$I$32,9,FALSE))-(test!$B$33-50),0)</f>
        <v>0</v>
      </c>
      <c r="F51">
        <f>IF(AND($A51&lt;&gt;F$1,Recharged_Feasible_mat!G20),(VLOOKUP(F$1,test!$A$3:$I$32,8,FALSE))-(VLOOKUP($A51,test!$A$3:$I$32,9,FALSE))-(test!$B$33-50),0)</f>
        <v>0</v>
      </c>
      <c r="G51">
        <f>IF(AND($A51&lt;&gt;G$1,Recharged_Feasible_mat!H20),(VLOOKUP(G$1,test!$A$3:$I$32,8,FALSE))-(VLOOKUP($A51,test!$A$3:$I$32,9,FALSE))-(test!$B$33-50),0)</f>
        <v>0</v>
      </c>
      <c r="H51">
        <f>IF(AND($A51&lt;&gt;H$1,Recharged_Feasible_mat!I20),(VLOOKUP(H$1,test!$A$3:$I$32,8,FALSE))-(VLOOKUP($A51,test!$A$3:$I$32,9,FALSE))-(test!$B$33-50),0)</f>
        <v>95</v>
      </c>
      <c r="I51">
        <f>IF(AND($A51&lt;&gt;I$1,Recharged_Feasible_mat!J20),(VLOOKUP(I$1,test!$A$3:$I$32,8,FALSE))-(VLOOKUP($A51,test!$A$3:$I$32,9,FALSE))-(test!$B$33-50),0)</f>
        <v>155</v>
      </c>
      <c r="J51">
        <f>IF(AND($A51&lt;&gt;J$1,Recharged_Feasible_mat!K20),(VLOOKUP(J$1,test!$A$3:$I$32,8,FALSE))-(VLOOKUP($A51,test!$A$3:$I$32,9,FALSE))-(test!$B$33-50),0)</f>
        <v>245</v>
      </c>
      <c r="K51">
        <f>IF(AND($A51&lt;&gt;K$1,Recharged_Feasible_mat!L20),(VLOOKUP(K$1,test!$A$3:$I$32,8,FALSE))-(VLOOKUP($A51,test!$A$3:$I$32,9,FALSE))-(test!$B$33-50),0)</f>
        <v>0</v>
      </c>
      <c r="L51">
        <f>IF(AND($A51&lt;&gt;L$1,Recharged_Feasible_mat!M20),(VLOOKUP(L$1,test!$A$3:$I$32,8,FALSE))-(VLOOKUP($A51,test!$A$3:$I$32,9,FALSE))-test!$B$33,0)</f>
        <v>0</v>
      </c>
      <c r="M51">
        <f>IF(AND($A51&lt;&gt;M$1,Recharged_Feasible_mat!N20),(VLOOKUP(M$1,test!$A$3:$I$32,8,FALSE))-(VLOOKUP($A51,test!$A$3:$I$32,9,FALSE))-test!$B$33,0)</f>
        <v>0</v>
      </c>
      <c r="N51">
        <f>IF(AND($A51&lt;&gt;N$1,Recharged_Feasible_mat!O20),(VLOOKUP(N$1,test!$A$3:$I$32,8,FALSE))-(VLOOKUP($A51,test!$A$3:$I$32,9,FALSE))-test!$B$33,0)</f>
        <v>160</v>
      </c>
      <c r="O51">
        <f>IF(AND($A51&lt;&gt;O$1,Recharged_Feasible_mat!P20),(VLOOKUP(O$1,test!$A$3:$I$32,8,FALSE))-(VLOOKUP($A51,test!$A$3:$I$32,9,FALSE))-test!$B$33,0)</f>
        <v>220</v>
      </c>
      <c r="P51">
        <f>IF(AND($A51&lt;&gt;P$1,Recharged_Feasible_mat!Q20),(VLOOKUP(P$1,test!$A$3:$I$32,8,FALSE))-(VLOOKUP($A51,test!$A$3:$I$32,9,FALSE))-test!$B$33,0)</f>
        <v>0</v>
      </c>
      <c r="Q51">
        <f>IF(AND($A51&lt;&gt;Q$1,Recharged_Feasible_mat!R20),(VLOOKUP(Q$1,test!$A$3:$I$32,8,FALSE))-(VLOOKUP($A51,test!$A$3:$I$32,9,FALSE))-test!$B$33,0)</f>
        <v>0</v>
      </c>
      <c r="R51">
        <f>IF(AND($A51&lt;&gt;R$1,Recharged_Feasible_mat!S20),(VLOOKUP(R$1,test!$A$3:$I$32,8,FALSE))-(VLOOKUP($A51,test!$A$3:$I$32,9,FALSE))-test!$B$33,0)</f>
        <v>0</v>
      </c>
      <c r="S51">
        <f>IF(AND($A51&lt;&gt;S$1,Recharged_Feasible_mat!T20),(VLOOKUP(S$1,test!$A$3:$I$32,8,FALSE))-(VLOOKUP($A51,test!$A$3:$I$32,9,FALSE))-test!$B$33,0)</f>
        <v>0</v>
      </c>
      <c r="T51">
        <f>IF(AND($A51&lt;&gt;T$1,Recharged_Feasible_mat!U20),(VLOOKUP(T$1,test!$A$3:$I$32,8,FALSE))-(VLOOKUP($A51,test!$A$3:$I$32,9,FALSE))-test!$B$33,0)</f>
        <v>0</v>
      </c>
      <c r="U51">
        <f>IF(AND($A51&lt;&gt;U$1,Recharged_Feasible_mat!V20),(VLOOKUP(U$1,test!$A$3:$I$32,8,FALSE))-(VLOOKUP($A51,test!$A$3:$I$32,9,FALSE))-test!$B$33,0)</f>
        <v>0</v>
      </c>
      <c r="V51">
        <f>IF(AND($A51&lt;&gt;V$1,Recharged_Feasible_mat!W20),(VLOOKUP(V$1,test!$A$3:$I$32,8,FALSE))-(VLOOKUP($A51,test!$A$3:$I$32,9,FALSE))-test!$B$33,0)</f>
        <v>0</v>
      </c>
      <c r="W51">
        <f>IF(AND($A51&lt;&gt;W$1,Recharged_Feasible_mat!X20),(VLOOKUP(W$1,test!$A$3:$I$32,8,FALSE))-(VLOOKUP($A51,test!$A$3:$I$32,9,FALSE))-test!$B$33,0)</f>
        <v>85</v>
      </c>
      <c r="X51">
        <f>IF(AND($A51&lt;&gt;X$1,Recharged_Feasible_mat!Y20),(VLOOKUP(X$1,test!$A$3:$I$32,8,FALSE))-(VLOOKUP($A51,test!$A$3:$I$32,9,FALSE))-test!$B$33,0)</f>
        <v>145</v>
      </c>
      <c r="Y51">
        <f>IF(AND($A51&lt;&gt;Y$1,Recharged_Feasible_mat!Z20),(VLOOKUP(Y$1,test!$A$3:$I$32,8,FALSE))-(VLOOKUP($A51,test!$A$3:$I$32,9,FALSE))-test!$B$33,0)</f>
        <v>0</v>
      </c>
      <c r="Z51">
        <f>IF(AND($A51&lt;&gt;Z$1,Recharged_Feasible_mat!AA20),(VLOOKUP(Z$1,test!$A$3:$I$32,8,FALSE))-(VLOOKUP($A51,test!$A$3:$I$32,9,FALSE))-test!$B$33,0)</f>
        <v>0</v>
      </c>
      <c r="AA51">
        <f>IF(AND($A51&lt;&gt;AA$1,Recharged_Feasible_mat!AB20),(VLOOKUP(AA$1,test!$A$3:$I$32,8,FALSE))-(VLOOKUP($A51,test!$A$3:$I$32,9,FALSE))-test!$B$33,0)</f>
        <v>0</v>
      </c>
      <c r="AB51">
        <f>IF(AND($A51&lt;&gt;AB$1,Recharged_Feasible_mat!AC20),(VLOOKUP(AB$1,test!$A$3:$I$32,8,FALSE))-(VLOOKUP($A51,test!$A$3:$I$32,9,FALSE))-test!$B$33,0)</f>
        <v>0</v>
      </c>
      <c r="AC51">
        <f>IF(AND($A51&lt;&gt;AC$1,Recharged_Feasible_mat!AD20),(VLOOKUP(AC$1,test!$A$3:$I$32,8,FALSE))-(VLOOKUP($A51,test!$A$3:$I$32,9,FALSE))-test!$B$33,0)</f>
        <v>45</v>
      </c>
      <c r="AD51">
        <f>IF(AND($A51&lt;&gt;AD$1,Recharged_Feasible_mat!AE20),(VLOOKUP(AD$1,test!$A$3:$I$32,8,FALSE))-(VLOOKUP($A51,test!$A$3:$I$32,9,FALSE))-test!$B$33,0)</f>
        <v>0</v>
      </c>
      <c r="AE51">
        <f>IF(AND($A51&lt;&gt;AE$1,Recharged_Feasible_mat!AF20),(VLOOKUP(AE$1,test!$A$3:$I$32,8,FALSE))-(VLOOKUP($A51,test!$A$3:$I$32,9,FALSE))-test!$B$33,0)</f>
        <v>0</v>
      </c>
      <c r="AF51">
        <f>IF(AND($A51&lt;&gt;AF$1,Recharged_Feasible_mat!AG20),(VLOOKUP(AF$1,test!$A$3:$I$32,8,FALSE))-(VLOOKUP($A51,test!$A$3:$I$32,9,FALSE))-test!$B$33,0)</f>
        <v>0</v>
      </c>
    </row>
    <row r="52" spans="1:32" x14ac:dyDescent="0.25">
      <c r="A52" t="s">
        <v>30</v>
      </c>
      <c r="B52">
        <v>0</v>
      </c>
      <c r="C52">
        <f>IF(AND($A52&lt;&gt;C$1,Recharged_Feasible_mat!D21),(VLOOKUP(C$1,test!$A$3:$I$32,8,FALSE))-(VLOOKUP($A52,test!$A$3:$I$32,9,FALSE))-(test!$B$33-50),0)</f>
        <v>0</v>
      </c>
      <c r="D52">
        <f>IF(AND($A52&lt;&gt;D$1,Recharged_Feasible_mat!E21),(VLOOKUP(D$1,test!$A$3:$I$32,8,FALSE))-(VLOOKUP($A52,test!$A$3:$I$32,9,FALSE))-(test!$B$33-50),0)</f>
        <v>0</v>
      </c>
      <c r="E52">
        <f>IF(AND($A52&lt;&gt;E$1,Recharged_Feasible_mat!F21),(VLOOKUP(E$1,test!$A$3:$I$32,8,FALSE))-(VLOOKUP($A52,test!$A$3:$I$32,9,FALSE))-(test!$B$33-50),0)</f>
        <v>0</v>
      </c>
      <c r="F52">
        <f>IF(AND($A52&lt;&gt;F$1,Recharged_Feasible_mat!G21),(VLOOKUP(F$1,test!$A$3:$I$32,8,FALSE))-(VLOOKUP($A52,test!$A$3:$I$32,9,FALSE))-(test!$B$33-50),0)</f>
        <v>0</v>
      </c>
      <c r="G52">
        <f>IF(AND($A52&lt;&gt;G$1,Recharged_Feasible_mat!H21),(VLOOKUP(G$1,test!$A$3:$I$32,8,FALSE))-(VLOOKUP($A52,test!$A$3:$I$32,9,FALSE))-(test!$B$33-50),0)</f>
        <v>0</v>
      </c>
      <c r="H52">
        <f>IF(AND($A52&lt;&gt;H$1,Recharged_Feasible_mat!I21),(VLOOKUP(H$1,test!$A$3:$I$32,8,FALSE))-(VLOOKUP($A52,test!$A$3:$I$32,9,FALSE))-(test!$B$33-50),0)</f>
        <v>0</v>
      </c>
      <c r="I52">
        <f>IF(AND($A52&lt;&gt;I$1,Recharged_Feasible_mat!J21),(VLOOKUP(I$1,test!$A$3:$I$32,8,FALSE))-(VLOOKUP($A52,test!$A$3:$I$32,9,FALSE))-(test!$B$33-50),0)</f>
        <v>0</v>
      </c>
      <c r="J52">
        <f>IF(AND($A52&lt;&gt;J$1,Recharged_Feasible_mat!K21),(VLOOKUP(J$1,test!$A$3:$I$32,8,FALSE))-(VLOOKUP($A52,test!$A$3:$I$32,9,FALSE))-(test!$B$33-50),0)</f>
        <v>155</v>
      </c>
      <c r="K52">
        <f>IF(AND($A52&lt;&gt;K$1,Recharged_Feasible_mat!L21),(VLOOKUP(K$1,test!$A$3:$I$32,8,FALSE))-(VLOOKUP($A52,test!$A$3:$I$32,9,FALSE))-(test!$B$33-50),0)</f>
        <v>0</v>
      </c>
      <c r="L52">
        <f>IF(AND($A52&lt;&gt;L$1,Recharged_Feasible_mat!M21),(VLOOKUP(L$1,test!$A$3:$I$32,8,FALSE))-(VLOOKUP($A52,test!$A$3:$I$32,9,FALSE))-test!$B$33,0)</f>
        <v>0</v>
      </c>
      <c r="M52">
        <f>IF(AND($A52&lt;&gt;M$1,Recharged_Feasible_mat!N21),(VLOOKUP(M$1,test!$A$3:$I$32,8,FALSE))-(VLOOKUP($A52,test!$A$3:$I$32,9,FALSE))-test!$B$33,0)</f>
        <v>0</v>
      </c>
      <c r="N52">
        <f>IF(AND($A52&lt;&gt;N$1,Recharged_Feasible_mat!O21),(VLOOKUP(N$1,test!$A$3:$I$32,8,FALSE))-(VLOOKUP($A52,test!$A$3:$I$32,9,FALSE))-test!$B$33,0)</f>
        <v>70</v>
      </c>
      <c r="O52">
        <f>IF(AND($A52&lt;&gt;O$1,Recharged_Feasible_mat!P21),(VLOOKUP(O$1,test!$A$3:$I$32,8,FALSE))-(VLOOKUP($A52,test!$A$3:$I$32,9,FALSE))-test!$B$33,0)</f>
        <v>130</v>
      </c>
      <c r="P52">
        <f>IF(AND($A52&lt;&gt;P$1,Recharged_Feasible_mat!Q21),(VLOOKUP(P$1,test!$A$3:$I$32,8,FALSE))-(VLOOKUP($A52,test!$A$3:$I$32,9,FALSE))-test!$B$33,0)</f>
        <v>0</v>
      </c>
      <c r="Q52">
        <f>IF(AND($A52&lt;&gt;Q$1,Recharged_Feasible_mat!R21),(VLOOKUP(Q$1,test!$A$3:$I$32,8,FALSE))-(VLOOKUP($A52,test!$A$3:$I$32,9,FALSE))-test!$B$33,0)</f>
        <v>0</v>
      </c>
      <c r="R52">
        <f>IF(AND($A52&lt;&gt;R$1,Recharged_Feasible_mat!S21),(VLOOKUP(R$1,test!$A$3:$I$32,8,FALSE))-(VLOOKUP($A52,test!$A$3:$I$32,9,FALSE))-test!$B$33,0)</f>
        <v>0</v>
      </c>
      <c r="S52">
        <f>IF(AND($A52&lt;&gt;S$1,Recharged_Feasible_mat!T21),(VLOOKUP(S$1,test!$A$3:$I$32,8,FALSE))-(VLOOKUP($A52,test!$A$3:$I$32,9,FALSE))-test!$B$33,0)</f>
        <v>0</v>
      </c>
      <c r="T52">
        <f>IF(AND($A52&lt;&gt;T$1,Recharged_Feasible_mat!U21),(VLOOKUP(T$1,test!$A$3:$I$32,8,FALSE))-(VLOOKUP($A52,test!$A$3:$I$32,9,FALSE))-test!$B$33,0)</f>
        <v>0</v>
      </c>
      <c r="U52">
        <f>IF(AND($A52&lt;&gt;U$1,Recharged_Feasible_mat!V21),(VLOOKUP(U$1,test!$A$3:$I$32,8,FALSE))-(VLOOKUP($A52,test!$A$3:$I$32,9,FALSE))-test!$B$33,0)</f>
        <v>0</v>
      </c>
      <c r="V52">
        <f>IF(AND($A52&lt;&gt;V$1,Recharged_Feasible_mat!W21),(VLOOKUP(V$1,test!$A$3:$I$32,8,FALSE))-(VLOOKUP($A52,test!$A$3:$I$32,9,FALSE))-test!$B$33,0)</f>
        <v>0</v>
      </c>
      <c r="W52">
        <f>IF(AND($A52&lt;&gt;W$1,Recharged_Feasible_mat!X21),(VLOOKUP(W$1,test!$A$3:$I$32,8,FALSE))-(VLOOKUP($A52,test!$A$3:$I$32,9,FALSE))-test!$B$33,0)</f>
        <v>0</v>
      </c>
      <c r="X52">
        <f>IF(AND($A52&lt;&gt;X$1,Recharged_Feasible_mat!Y21),(VLOOKUP(X$1,test!$A$3:$I$32,8,FALSE))-(VLOOKUP($A52,test!$A$3:$I$32,9,FALSE))-test!$B$33,0)</f>
        <v>55</v>
      </c>
      <c r="Y52">
        <f>IF(AND($A52&lt;&gt;Y$1,Recharged_Feasible_mat!Z21),(VLOOKUP(Y$1,test!$A$3:$I$32,8,FALSE))-(VLOOKUP($A52,test!$A$3:$I$32,9,FALSE))-test!$B$33,0)</f>
        <v>0</v>
      </c>
      <c r="Z52">
        <f>IF(AND($A52&lt;&gt;Z$1,Recharged_Feasible_mat!AA21),(VLOOKUP(Z$1,test!$A$3:$I$32,8,FALSE))-(VLOOKUP($A52,test!$A$3:$I$32,9,FALSE))-test!$B$33,0)</f>
        <v>0</v>
      </c>
      <c r="AA52">
        <f>IF(AND($A52&lt;&gt;AA$1,Recharged_Feasible_mat!AB21),(VLOOKUP(AA$1,test!$A$3:$I$32,8,FALSE))-(VLOOKUP($A52,test!$A$3:$I$32,9,FALSE))-test!$B$33,0)</f>
        <v>0</v>
      </c>
      <c r="AB52">
        <f>IF(AND($A52&lt;&gt;AB$1,Recharged_Feasible_mat!AC21),(VLOOKUP(AB$1,test!$A$3:$I$32,8,FALSE))-(VLOOKUP($A52,test!$A$3:$I$32,9,FALSE))-test!$B$33,0)</f>
        <v>0</v>
      </c>
      <c r="AC52">
        <f>IF(AND($A52&lt;&gt;AC$1,Recharged_Feasible_mat!AD21),(VLOOKUP(AC$1,test!$A$3:$I$32,8,FALSE))-(VLOOKUP($A52,test!$A$3:$I$32,9,FALSE))-test!$B$33,0)</f>
        <v>0</v>
      </c>
      <c r="AD52">
        <f>IF(AND($A52&lt;&gt;AD$1,Recharged_Feasible_mat!AE21),(VLOOKUP(AD$1,test!$A$3:$I$32,8,FALSE))-(VLOOKUP($A52,test!$A$3:$I$32,9,FALSE))-test!$B$33,0)</f>
        <v>0</v>
      </c>
      <c r="AE52">
        <f>IF(AND($A52&lt;&gt;AE$1,Recharged_Feasible_mat!AF21),(VLOOKUP(AE$1,test!$A$3:$I$32,8,FALSE))-(VLOOKUP($A52,test!$A$3:$I$32,9,FALSE))-test!$B$33,0)</f>
        <v>0</v>
      </c>
      <c r="AF52">
        <f>IF(AND($A52&lt;&gt;AF$1,Recharged_Feasible_mat!AG21),(VLOOKUP(AF$1,test!$A$3:$I$32,8,FALSE))-(VLOOKUP($A52,test!$A$3:$I$32,9,FALSE))-test!$B$33,0)</f>
        <v>0</v>
      </c>
    </row>
    <row r="53" spans="1:32" x14ac:dyDescent="0.25">
      <c r="A53" t="s">
        <v>31</v>
      </c>
      <c r="B53">
        <v>0</v>
      </c>
      <c r="C53">
        <f>IF(AND($A53&lt;&gt;C$1,Recharged_Feasible_mat!D22),(VLOOKUP(C$1,test!$A$3:$I$32,8,FALSE))-(VLOOKUP($A53,test!$A$3:$I$32,9,FALSE))-(test!$B$33-50),0)</f>
        <v>0</v>
      </c>
      <c r="D53">
        <f>IF(AND($A53&lt;&gt;D$1,Recharged_Feasible_mat!E22),(VLOOKUP(D$1,test!$A$3:$I$32,8,FALSE))-(VLOOKUP($A53,test!$A$3:$I$32,9,FALSE))-(test!$B$33-50),0)</f>
        <v>0</v>
      </c>
      <c r="E53">
        <f>IF(AND($A53&lt;&gt;E$1,Recharged_Feasible_mat!F22),(VLOOKUP(E$1,test!$A$3:$I$32,8,FALSE))-(VLOOKUP($A53,test!$A$3:$I$32,9,FALSE))-(test!$B$33-50),0)</f>
        <v>0</v>
      </c>
      <c r="F53">
        <f>IF(AND($A53&lt;&gt;F$1,Recharged_Feasible_mat!G22),(VLOOKUP(F$1,test!$A$3:$I$32,8,FALSE))-(VLOOKUP($A53,test!$A$3:$I$32,9,FALSE))-(test!$B$33-50),0)</f>
        <v>0</v>
      </c>
      <c r="G53">
        <f>IF(AND($A53&lt;&gt;G$1,Recharged_Feasible_mat!H22),(VLOOKUP(G$1,test!$A$3:$I$32,8,FALSE))-(VLOOKUP($A53,test!$A$3:$I$32,9,FALSE))-(test!$B$33-50),0)</f>
        <v>0</v>
      </c>
      <c r="H53">
        <f>IF(AND($A53&lt;&gt;H$1,Recharged_Feasible_mat!I22),(VLOOKUP(H$1,test!$A$3:$I$32,8,FALSE))-(VLOOKUP($A53,test!$A$3:$I$32,9,FALSE))-(test!$B$33-50),0)</f>
        <v>0</v>
      </c>
      <c r="I53">
        <f>IF(AND($A53&lt;&gt;I$1,Recharged_Feasible_mat!J22),(VLOOKUP(I$1,test!$A$3:$I$32,8,FALSE))-(VLOOKUP($A53,test!$A$3:$I$32,9,FALSE))-(test!$B$33-50),0)</f>
        <v>0</v>
      </c>
      <c r="J53">
        <f>IF(AND($A53&lt;&gt;J$1,Recharged_Feasible_mat!K22),(VLOOKUP(J$1,test!$A$3:$I$32,8,FALSE))-(VLOOKUP($A53,test!$A$3:$I$32,9,FALSE))-(test!$B$33-50),0)</f>
        <v>0</v>
      </c>
      <c r="K53">
        <f>IF(AND($A53&lt;&gt;K$1,Recharged_Feasible_mat!L22),(VLOOKUP(K$1,test!$A$3:$I$32,8,FALSE))-(VLOOKUP($A53,test!$A$3:$I$32,9,FALSE))-(test!$B$33-50),0)</f>
        <v>0</v>
      </c>
      <c r="L53">
        <f>IF(AND($A53&lt;&gt;L$1,Recharged_Feasible_mat!M22),(VLOOKUP(L$1,test!$A$3:$I$32,8,FALSE))-(VLOOKUP($A53,test!$A$3:$I$32,9,FALSE))-test!$B$33,0)</f>
        <v>0</v>
      </c>
      <c r="M53">
        <f>IF(AND($A53&lt;&gt;M$1,Recharged_Feasible_mat!N22),(VLOOKUP(M$1,test!$A$3:$I$32,8,FALSE))-(VLOOKUP($A53,test!$A$3:$I$32,9,FALSE))-test!$B$33,0)</f>
        <v>0</v>
      </c>
      <c r="N53">
        <f>IF(AND($A53&lt;&gt;N$1,Recharged_Feasible_mat!O22),(VLOOKUP(N$1,test!$A$3:$I$32,8,FALSE))-(VLOOKUP($A53,test!$A$3:$I$32,9,FALSE))-test!$B$33,0)</f>
        <v>0</v>
      </c>
      <c r="O53">
        <f>IF(AND($A53&lt;&gt;O$1,Recharged_Feasible_mat!P22),(VLOOKUP(O$1,test!$A$3:$I$32,8,FALSE))-(VLOOKUP($A53,test!$A$3:$I$32,9,FALSE))-test!$B$33,0)</f>
        <v>40</v>
      </c>
      <c r="P53">
        <f>IF(AND($A53&lt;&gt;P$1,Recharged_Feasible_mat!Q22),(VLOOKUP(P$1,test!$A$3:$I$32,8,FALSE))-(VLOOKUP($A53,test!$A$3:$I$32,9,FALSE))-test!$B$33,0)</f>
        <v>0</v>
      </c>
      <c r="Q53">
        <f>IF(AND($A53&lt;&gt;Q$1,Recharged_Feasible_mat!R22),(VLOOKUP(Q$1,test!$A$3:$I$32,8,FALSE))-(VLOOKUP($A53,test!$A$3:$I$32,9,FALSE))-test!$B$33,0)</f>
        <v>0</v>
      </c>
      <c r="R53">
        <f>IF(AND($A53&lt;&gt;R$1,Recharged_Feasible_mat!S22),(VLOOKUP(R$1,test!$A$3:$I$32,8,FALSE))-(VLOOKUP($A53,test!$A$3:$I$32,9,FALSE))-test!$B$33,0)</f>
        <v>0</v>
      </c>
      <c r="S53">
        <f>IF(AND($A53&lt;&gt;S$1,Recharged_Feasible_mat!T22),(VLOOKUP(S$1,test!$A$3:$I$32,8,FALSE))-(VLOOKUP($A53,test!$A$3:$I$32,9,FALSE))-test!$B$33,0)</f>
        <v>0</v>
      </c>
      <c r="T53">
        <f>IF(AND($A53&lt;&gt;T$1,Recharged_Feasible_mat!U22),(VLOOKUP(T$1,test!$A$3:$I$32,8,FALSE))-(VLOOKUP($A53,test!$A$3:$I$32,9,FALSE))-test!$B$33,0)</f>
        <v>0</v>
      </c>
      <c r="U53">
        <f>IF(AND($A53&lt;&gt;U$1,Recharged_Feasible_mat!V22),(VLOOKUP(U$1,test!$A$3:$I$32,8,FALSE))-(VLOOKUP($A53,test!$A$3:$I$32,9,FALSE))-test!$B$33,0)</f>
        <v>0</v>
      </c>
      <c r="V53">
        <f>IF(AND($A53&lt;&gt;V$1,Recharged_Feasible_mat!W22),(VLOOKUP(V$1,test!$A$3:$I$32,8,FALSE))-(VLOOKUP($A53,test!$A$3:$I$32,9,FALSE))-test!$B$33,0)</f>
        <v>0</v>
      </c>
      <c r="W53">
        <f>IF(AND($A53&lt;&gt;W$1,Recharged_Feasible_mat!X22),(VLOOKUP(W$1,test!$A$3:$I$32,8,FALSE))-(VLOOKUP($A53,test!$A$3:$I$32,9,FALSE))-test!$B$33,0)</f>
        <v>0</v>
      </c>
      <c r="X53">
        <f>IF(AND($A53&lt;&gt;X$1,Recharged_Feasible_mat!Y22),(VLOOKUP(X$1,test!$A$3:$I$32,8,FALSE))-(VLOOKUP($A53,test!$A$3:$I$32,9,FALSE))-test!$B$33,0)</f>
        <v>0</v>
      </c>
      <c r="Y53">
        <f>IF(AND($A53&lt;&gt;Y$1,Recharged_Feasible_mat!Z22),(VLOOKUP(Y$1,test!$A$3:$I$32,8,FALSE))-(VLOOKUP($A53,test!$A$3:$I$32,9,FALSE))-test!$B$33,0)</f>
        <v>0</v>
      </c>
      <c r="Z53">
        <f>IF(AND($A53&lt;&gt;Z$1,Recharged_Feasible_mat!AA22),(VLOOKUP(Z$1,test!$A$3:$I$32,8,FALSE))-(VLOOKUP($A53,test!$A$3:$I$32,9,FALSE))-test!$B$33,0)</f>
        <v>0</v>
      </c>
      <c r="AA53">
        <f>IF(AND($A53&lt;&gt;AA$1,Recharged_Feasible_mat!AB22),(VLOOKUP(AA$1,test!$A$3:$I$32,8,FALSE))-(VLOOKUP($A53,test!$A$3:$I$32,9,FALSE))-test!$B$33,0)</f>
        <v>0</v>
      </c>
      <c r="AB53">
        <f>IF(AND($A53&lt;&gt;AB$1,Recharged_Feasible_mat!AC22),(VLOOKUP(AB$1,test!$A$3:$I$32,8,FALSE))-(VLOOKUP($A53,test!$A$3:$I$32,9,FALSE))-test!$B$33,0)</f>
        <v>0</v>
      </c>
      <c r="AC53">
        <f>IF(AND($A53&lt;&gt;AC$1,Recharged_Feasible_mat!AD22),(VLOOKUP(AC$1,test!$A$3:$I$32,8,FALSE))-(VLOOKUP($A53,test!$A$3:$I$32,9,FALSE))-test!$B$33,0)</f>
        <v>0</v>
      </c>
      <c r="AD53">
        <f>IF(AND($A53&lt;&gt;AD$1,Recharged_Feasible_mat!AE22),(VLOOKUP(AD$1,test!$A$3:$I$32,8,FALSE))-(VLOOKUP($A53,test!$A$3:$I$32,9,FALSE))-test!$B$33,0)</f>
        <v>0</v>
      </c>
      <c r="AE53">
        <f>IF(AND($A53&lt;&gt;AE$1,Recharged_Feasible_mat!AF22),(VLOOKUP(AE$1,test!$A$3:$I$32,8,FALSE))-(VLOOKUP($A53,test!$A$3:$I$32,9,FALSE))-test!$B$33,0)</f>
        <v>0</v>
      </c>
      <c r="AF53">
        <f>IF(AND($A53&lt;&gt;AF$1,Recharged_Feasible_mat!AG22),(VLOOKUP(AF$1,test!$A$3:$I$32,8,FALSE))-(VLOOKUP($A53,test!$A$3:$I$32,9,FALSE))-test!$B$33,0)</f>
        <v>0</v>
      </c>
    </row>
    <row r="54" spans="1:32" x14ac:dyDescent="0.25">
      <c r="A54" t="s">
        <v>32</v>
      </c>
      <c r="B54">
        <v>0</v>
      </c>
      <c r="C54">
        <f>IF(AND($A54&lt;&gt;C$1,Recharged_Feasible_mat!D23),(VLOOKUP(C$1,test!$A$3:$I$32,8,FALSE))-(VLOOKUP($A54,test!$A$3:$I$32,9,FALSE))-(test!$B$33-50),0)</f>
        <v>0</v>
      </c>
      <c r="D54">
        <f>IF(AND($A54&lt;&gt;D$1,Recharged_Feasible_mat!E23),(VLOOKUP(D$1,test!$A$3:$I$32,8,FALSE))-(VLOOKUP($A54,test!$A$3:$I$32,9,FALSE))-(test!$B$33-50),0)</f>
        <v>0</v>
      </c>
      <c r="E54">
        <f>IF(AND($A54&lt;&gt;E$1,Recharged_Feasible_mat!F23),(VLOOKUP(E$1,test!$A$3:$I$32,8,FALSE))-(VLOOKUP($A54,test!$A$3:$I$32,9,FALSE))-(test!$B$33-50),0)</f>
        <v>0</v>
      </c>
      <c r="F54">
        <f>IF(AND($A54&lt;&gt;F$1,Recharged_Feasible_mat!G23),(VLOOKUP(F$1,test!$A$3:$I$32,8,FALSE))-(VLOOKUP($A54,test!$A$3:$I$32,9,FALSE))-(test!$B$33-50),0)</f>
        <v>0</v>
      </c>
      <c r="G54">
        <f>IF(AND($A54&lt;&gt;G$1,Recharged_Feasible_mat!H23),(VLOOKUP(G$1,test!$A$3:$I$32,8,FALSE))-(VLOOKUP($A54,test!$A$3:$I$32,9,FALSE))-(test!$B$33-50),0)</f>
        <v>0</v>
      </c>
      <c r="H54">
        <f>IF(AND($A54&lt;&gt;H$1,Recharged_Feasible_mat!I23),(VLOOKUP(H$1,test!$A$3:$I$32,8,FALSE))-(VLOOKUP($A54,test!$A$3:$I$32,9,FALSE))-(test!$B$33-50),0)</f>
        <v>0</v>
      </c>
      <c r="I54">
        <f>IF(AND($A54&lt;&gt;I$1,Recharged_Feasible_mat!J23),(VLOOKUP(I$1,test!$A$3:$I$32,8,FALSE))-(VLOOKUP($A54,test!$A$3:$I$32,9,FALSE))-(test!$B$33-50),0)</f>
        <v>0</v>
      </c>
      <c r="J54">
        <f>IF(AND($A54&lt;&gt;J$1,Recharged_Feasible_mat!K23),(VLOOKUP(J$1,test!$A$3:$I$32,8,FALSE))-(VLOOKUP($A54,test!$A$3:$I$32,9,FALSE))-(test!$B$33-50),0)</f>
        <v>0</v>
      </c>
      <c r="K54">
        <f>IF(AND($A54&lt;&gt;K$1,Recharged_Feasible_mat!L23),(VLOOKUP(K$1,test!$A$3:$I$32,8,FALSE))-(VLOOKUP($A54,test!$A$3:$I$32,9,FALSE))-(test!$B$33-50),0)</f>
        <v>0</v>
      </c>
      <c r="L54">
        <f>IF(AND($A54&lt;&gt;L$1,Recharged_Feasible_mat!M23),(VLOOKUP(L$1,test!$A$3:$I$32,8,FALSE))-(VLOOKUP($A54,test!$A$3:$I$32,9,FALSE))-test!$B$33,0)</f>
        <v>0</v>
      </c>
      <c r="M54">
        <f>IF(AND($A54&lt;&gt;M$1,Recharged_Feasible_mat!N23),(VLOOKUP(M$1,test!$A$3:$I$32,8,FALSE))-(VLOOKUP($A54,test!$A$3:$I$32,9,FALSE))-test!$B$33,0)</f>
        <v>0</v>
      </c>
      <c r="N54">
        <f>IF(AND($A54&lt;&gt;N$1,Recharged_Feasible_mat!O23),(VLOOKUP(N$1,test!$A$3:$I$32,8,FALSE))-(VLOOKUP($A54,test!$A$3:$I$32,9,FALSE))-test!$B$33,0)</f>
        <v>0</v>
      </c>
      <c r="O54">
        <f>IF(AND($A54&lt;&gt;O$1,Recharged_Feasible_mat!P23),(VLOOKUP(O$1,test!$A$3:$I$32,8,FALSE))-(VLOOKUP($A54,test!$A$3:$I$32,9,FALSE))-test!$B$33,0)</f>
        <v>0</v>
      </c>
      <c r="P54">
        <f>IF(AND($A54&lt;&gt;P$1,Recharged_Feasible_mat!Q23),(VLOOKUP(P$1,test!$A$3:$I$32,8,FALSE))-(VLOOKUP($A54,test!$A$3:$I$32,9,FALSE))-test!$B$33,0)</f>
        <v>0</v>
      </c>
      <c r="Q54">
        <f>IF(AND($A54&lt;&gt;Q$1,Recharged_Feasible_mat!R23),(VLOOKUP(Q$1,test!$A$3:$I$32,8,FALSE))-(VLOOKUP($A54,test!$A$3:$I$32,9,FALSE))-test!$B$33,0)</f>
        <v>0</v>
      </c>
      <c r="R54">
        <f>IF(AND($A54&lt;&gt;R$1,Recharged_Feasible_mat!S23),(VLOOKUP(R$1,test!$A$3:$I$32,8,FALSE))-(VLOOKUP($A54,test!$A$3:$I$32,9,FALSE))-test!$B$33,0)</f>
        <v>0</v>
      </c>
      <c r="S54">
        <f>IF(AND($A54&lt;&gt;S$1,Recharged_Feasible_mat!T23),(VLOOKUP(S$1,test!$A$3:$I$32,8,FALSE))-(VLOOKUP($A54,test!$A$3:$I$32,9,FALSE))-test!$B$33,0)</f>
        <v>0</v>
      </c>
      <c r="T54">
        <f>IF(AND($A54&lt;&gt;T$1,Recharged_Feasible_mat!U23),(VLOOKUP(T$1,test!$A$3:$I$32,8,FALSE))-(VLOOKUP($A54,test!$A$3:$I$32,9,FALSE))-test!$B$33,0)</f>
        <v>0</v>
      </c>
      <c r="U54">
        <f>IF(AND($A54&lt;&gt;U$1,Recharged_Feasible_mat!V23),(VLOOKUP(U$1,test!$A$3:$I$32,8,FALSE))-(VLOOKUP($A54,test!$A$3:$I$32,9,FALSE))-test!$B$33,0)</f>
        <v>0</v>
      </c>
      <c r="V54">
        <f>IF(AND($A54&lt;&gt;V$1,Recharged_Feasible_mat!W23),(VLOOKUP(V$1,test!$A$3:$I$32,8,FALSE))-(VLOOKUP($A54,test!$A$3:$I$32,9,FALSE))-test!$B$33,0)</f>
        <v>0</v>
      </c>
      <c r="W54">
        <f>IF(AND($A54&lt;&gt;W$1,Recharged_Feasible_mat!X23),(VLOOKUP(W$1,test!$A$3:$I$32,8,FALSE))-(VLOOKUP($A54,test!$A$3:$I$32,9,FALSE))-test!$B$33,0)</f>
        <v>0</v>
      </c>
      <c r="X54">
        <f>IF(AND($A54&lt;&gt;X$1,Recharged_Feasible_mat!Y23),(VLOOKUP(X$1,test!$A$3:$I$32,8,FALSE))-(VLOOKUP($A54,test!$A$3:$I$32,9,FALSE))-test!$B$33,0)</f>
        <v>0</v>
      </c>
      <c r="Y54">
        <f>IF(AND($A54&lt;&gt;Y$1,Recharged_Feasible_mat!Z23),(VLOOKUP(Y$1,test!$A$3:$I$32,8,FALSE))-(VLOOKUP($A54,test!$A$3:$I$32,9,FALSE))-test!$B$33,0)</f>
        <v>0</v>
      </c>
      <c r="Z54">
        <f>IF(AND($A54&lt;&gt;Z$1,Recharged_Feasible_mat!AA23),(VLOOKUP(Z$1,test!$A$3:$I$32,8,FALSE))-(VLOOKUP($A54,test!$A$3:$I$32,9,FALSE))-test!$B$33,0)</f>
        <v>0</v>
      </c>
      <c r="AA54">
        <f>IF(AND($A54&lt;&gt;AA$1,Recharged_Feasible_mat!AB23),(VLOOKUP(AA$1,test!$A$3:$I$32,8,FALSE))-(VLOOKUP($A54,test!$A$3:$I$32,9,FALSE))-test!$B$33,0)</f>
        <v>0</v>
      </c>
      <c r="AB54">
        <f>IF(AND($A54&lt;&gt;AB$1,Recharged_Feasible_mat!AC23),(VLOOKUP(AB$1,test!$A$3:$I$32,8,FALSE))-(VLOOKUP($A54,test!$A$3:$I$32,9,FALSE))-test!$B$33,0)</f>
        <v>0</v>
      </c>
      <c r="AC54">
        <f>IF(AND($A54&lt;&gt;AC$1,Recharged_Feasible_mat!AD23),(VLOOKUP(AC$1,test!$A$3:$I$32,8,FALSE))-(VLOOKUP($A54,test!$A$3:$I$32,9,FALSE))-test!$B$33,0)</f>
        <v>0</v>
      </c>
      <c r="AD54">
        <f>IF(AND($A54&lt;&gt;AD$1,Recharged_Feasible_mat!AE23),(VLOOKUP(AD$1,test!$A$3:$I$32,8,FALSE))-(VLOOKUP($A54,test!$A$3:$I$32,9,FALSE))-test!$B$33,0)</f>
        <v>0</v>
      </c>
      <c r="AE54">
        <f>IF(AND($A54&lt;&gt;AE$1,Recharged_Feasible_mat!AF23),(VLOOKUP(AE$1,test!$A$3:$I$32,8,FALSE))-(VLOOKUP($A54,test!$A$3:$I$32,9,FALSE))-test!$B$33,0)</f>
        <v>0</v>
      </c>
      <c r="AF54">
        <f>IF(AND($A54&lt;&gt;AF$1,Recharged_Feasible_mat!AG23),(VLOOKUP(AF$1,test!$A$3:$I$32,8,FALSE))-(VLOOKUP($A54,test!$A$3:$I$32,9,FALSE))-test!$B$33,0)</f>
        <v>0</v>
      </c>
    </row>
    <row r="55" spans="1:32" x14ac:dyDescent="0.25">
      <c r="A55" t="s">
        <v>33</v>
      </c>
      <c r="B55">
        <v>0</v>
      </c>
      <c r="C55">
        <f>IF(AND($A55&lt;&gt;C$1,Recharged_Feasible_mat!D24),(VLOOKUP(C$1,test!$A$3:$I$32,8,FALSE))-(VLOOKUP($A55,test!$A$3:$I$32,9,FALSE))-(test!$B$33-50),0)</f>
        <v>0</v>
      </c>
      <c r="D55">
        <f>IF(AND($A55&lt;&gt;D$1,Recharged_Feasible_mat!E24),(VLOOKUP(D$1,test!$A$3:$I$32,8,FALSE))-(VLOOKUP($A55,test!$A$3:$I$32,9,FALSE))-(test!$B$33-50),0)</f>
        <v>0</v>
      </c>
      <c r="E55">
        <f>IF(AND($A55&lt;&gt;E$1,Recharged_Feasible_mat!F24),(VLOOKUP(E$1,test!$A$3:$I$32,8,FALSE))-(VLOOKUP($A55,test!$A$3:$I$32,9,FALSE))-(test!$B$33-50),0)</f>
        <v>0</v>
      </c>
      <c r="F55">
        <f>IF(AND($A55&lt;&gt;F$1,Recharged_Feasible_mat!G24),(VLOOKUP(F$1,test!$A$3:$I$32,8,FALSE))-(VLOOKUP($A55,test!$A$3:$I$32,9,FALSE))-(test!$B$33-50),0)</f>
        <v>0</v>
      </c>
      <c r="G55">
        <f>IF(AND($A55&lt;&gt;G$1,Recharged_Feasible_mat!H24),(VLOOKUP(G$1,test!$A$3:$I$32,8,FALSE))-(VLOOKUP($A55,test!$A$3:$I$32,9,FALSE))-(test!$B$33-50),0)</f>
        <v>0</v>
      </c>
      <c r="H55">
        <f>IF(AND($A55&lt;&gt;H$1,Recharged_Feasible_mat!I24),(VLOOKUP(H$1,test!$A$3:$I$32,8,FALSE))-(VLOOKUP($A55,test!$A$3:$I$32,9,FALSE))-(test!$B$33-50),0)</f>
        <v>0</v>
      </c>
      <c r="I55">
        <f>IF(AND($A55&lt;&gt;I$1,Recharged_Feasible_mat!J24),(VLOOKUP(I$1,test!$A$3:$I$32,8,FALSE))-(VLOOKUP($A55,test!$A$3:$I$32,9,FALSE))-(test!$B$33-50),0)</f>
        <v>0</v>
      </c>
      <c r="J55">
        <f>IF(AND($A55&lt;&gt;J$1,Recharged_Feasible_mat!K24),(VLOOKUP(J$1,test!$A$3:$I$32,8,FALSE))-(VLOOKUP($A55,test!$A$3:$I$32,9,FALSE))-(test!$B$33-50),0)</f>
        <v>0</v>
      </c>
      <c r="K55">
        <f>IF(AND($A55&lt;&gt;K$1,Recharged_Feasible_mat!L24),(VLOOKUP(K$1,test!$A$3:$I$32,8,FALSE))-(VLOOKUP($A55,test!$A$3:$I$32,9,FALSE))-(test!$B$33-50),0)</f>
        <v>0</v>
      </c>
      <c r="L55">
        <f>IF(AND($A55&lt;&gt;L$1,Recharged_Feasible_mat!M24),(VLOOKUP(L$1,test!$A$3:$I$32,8,FALSE))-(VLOOKUP($A55,test!$A$3:$I$32,9,FALSE))-test!$B$33,0)</f>
        <v>0</v>
      </c>
      <c r="M55">
        <f>IF(AND($A55&lt;&gt;M$1,Recharged_Feasible_mat!N24),(VLOOKUP(M$1,test!$A$3:$I$32,8,FALSE))-(VLOOKUP($A55,test!$A$3:$I$32,9,FALSE))-test!$B$33,0)</f>
        <v>0</v>
      </c>
      <c r="N55">
        <f>IF(AND($A55&lt;&gt;N$1,Recharged_Feasible_mat!O24),(VLOOKUP(N$1,test!$A$3:$I$32,8,FALSE))-(VLOOKUP($A55,test!$A$3:$I$32,9,FALSE))-test!$B$33,0)</f>
        <v>0</v>
      </c>
      <c r="O55">
        <f>IF(AND($A55&lt;&gt;O$1,Recharged_Feasible_mat!P24),(VLOOKUP(O$1,test!$A$3:$I$32,8,FALSE))-(VLOOKUP($A55,test!$A$3:$I$32,9,FALSE))-test!$B$33,0)</f>
        <v>0</v>
      </c>
      <c r="P55">
        <f>IF(AND($A55&lt;&gt;P$1,Recharged_Feasible_mat!Q24),(VLOOKUP(P$1,test!$A$3:$I$32,8,FALSE))-(VLOOKUP($A55,test!$A$3:$I$32,9,FALSE))-test!$B$33,0)</f>
        <v>0</v>
      </c>
      <c r="Q55">
        <f>IF(AND($A55&lt;&gt;Q$1,Recharged_Feasible_mat!R24),(VLOOKUP(Q$1,test!$A$3:$I$32,8,FALSE))-(VLOOKUP($A55,test!$A$3:$I$32,9,FALSE))-test!$B$33,0)</f>
        <v>0</v>
      </c>
      <c r="R55">
        <f>IF(AND($A55&lt;&gt;R$1,Recharged_Feasible_mat!S24),(VLOOKUP(R$1,test!$A$3:$I$32,8,FALSE))-(VLOOKUP($A55,test!$A$3:$I$32,9,FALSE))-test!$B$33,0)</f>
        <v>0</v>
      </c>
      <c r="S55">
        <f>IF(AND($A55&lt;&gt;S$1,Recharged_Feasible_mat!T24),(VLOOKUP(S$1,test!$A$3:$I$32,8,FALSE))-(VLOOKUP($A55,test!$A$3:$I$32,9,FALSE))-test!$B$33,0)</f>
        <v>0</v>
      </c>
      <c r="T55">
        <f>IF(AND($A55&lt;&gt;T$1,Recharged_Feasible_mat!U24),(VLOOKUP(T$1,test!$A$3:$I$32,8,FALSE))-(VLOOKUP($A55,test!$A$3:$I$32,9,FALSE))-test!$B$33,0)</f>
        <v>0</v>
      </c>
      <c r="U55">
        <f>IF(AND($A55&lt;&gt;U$1,Recharged_Feasible_mat!V24),(VLOOKUP(U$1,test!$A$3:$I$32,8,FALSE))-(VLOOKUP($A55,test!$A$3:$I$32,9,FALSE))-test!$B$33,0)</f>
        <v>0</v>
      </c>
      <c r="V55">
        <f>IF(AND($A55&lt;&gt;V$1,Recharged_Feasible_mat!W24),(VLOOKUP(V$1,test!$A$3:$I$32,8,FALSE))-(VLOOKUP($A55,test!$A$3:$I$32,9,FALSE))-test!$B$33,0)</f>
        <v>0</v>
      </c>
      <c r="W55">
        <f>IF(AND($A55&lt;&gt;W$1,Recharged_Feasible_mat!X24),(VLOOKUP(W$1,test!$A$3:$I$32,8,FALSE))-(VLOOKUP($A55,test!$A$3:$I$32,9,FALSE))-test!$B$33,0)</f>
        <v>0</v>
      </c>
      <c r="X55">
        <f>IF(AND($A55&lt;&gt;X$1,Recharged_Feasible_mat!Y24),(VLOOKUP(X$1,test!$A$3:$I$32,8,FALSE))-(VLOOKUP($A55,test!$A$3:$I$32,9,FALSE))-test!$B$33,0)</f>
        <v>0</v>
      </c>
      <c r="Y55">
        <f>IF(AND($A55&lt;&gt;Y$1,Recharged_Feasible_mat!Z24),(VLOOKUP(Y$1,test!$A$3:$I$32,8,FALSE))-(VLOOKUP($A55,test!$A$3:$I$32,9,FALSE))-test!$B$33,0)</f>
        <v>0</v>
      </c>
      <c r="Z55">
        <f>IF(AND($A55&lt;&gt;Z$1,Recharged_Feasible_mat!AA24),(VLOOKUP(Z$1,test!$A$3:$I$32,8,FALSE))-(VLOOKUP($A55,test!$A$3:$I$32,9,FALSE))-test!$B$33,0)</f>
        <v>0</v>
      </c>
      <c r="AA55">
        <f>IF(AND($A55&lt;&gt;AA$1,Recharged_Feasible_mat!AB24),(VLOOKUP(AA$1,test!$A$3:$I$32,8,FALSE))-(VLOOKUP($A55,test!$A$3:$I$32,9,FALSE))-test!$B$33,0)</f>
        <v>0</v>
      </c>
      <c r="AB55">
        <f>IF(AND($A55&lt;&gt;AB$1,Recharged_Feasible_mat!AC24),(VLOOKUP(AB$1,test!$A$3:$I$32,8,FALSE))-(VLOOKUP($A55,test!$A$3:$I$32,9,FALSE))-test!$B$33,0)</f>
        <v>0</v>
      </c>
      <c r="AC55">
        <f>IF(AND($A55&lt;&gt;AC$1,Recharged_Feasible_mat!AD24),(VLOOKUP(AC$1,test!$A$3:$I$32,8,FALSE))-(VLOOKUP($A55,test!$A$3:$I$32,9,FALSE))-test!$B$33,0)</f>
        <v>0</v>
      </c>
      <c r="AD55">
        <f>IF(AND($A55&lt;&gt;AD$1,Recharged_Feasible_mat!AE24),(VLOOKUP(AD$1,test!$A$3:$I$32,8,FALSE))-(VLOOKUP($A55,test!$A$3:$I$32,9,FALSE))-test!$B$33,0)</f>
        <v>0</v>
      </c>
      <c r="AE55">
        <f>IF(AND($A55&lt;&gt;AE$1,Recharged_Feasible_mat!AF24),(VLOOKUP(AE$1,test!$A$3:$I$32,8,FALSE))-(VLOOKUP($A55,test!$A$3:$I$32,9,FALSE))-test!$B$33,0)</f>
        <v>0</v>
      </c>
      <c r="AF55">
        <f>IF(AND($A55&lt;&gt;AF$1,Recharged_Feasible_mat!AG24),(VLOOKUP(AF$1,test!$A$3:$I$32,8,FALSE))-(VLOOKUP($A55,test!$A$3:$I$32,9,FALSE))-test!$B$33,0)</f>
        <v>0</v>
      </c>
    </row>
    <row r="56" spans="1:32" x14ac:dyDescent="0.25">
      <c r="A56" t="s">
        <v>34</v>
      </c>
      <c r="B56">
        <v>0</v>
      </c>
      <c r="C56">
        <f>IF(AND($A56&lt;&gt;C$1,Recharged_Feasible_mat!D25),(VLOOKUP(C$1,test!$A$3:$I$32,8,FALSE))-(VLOOKUP($A56,test!$A$3:$I$32,9,FALSE))-(test!$B$33-50),0)</f>
        <v>0</v>
      </c>
      <c r="D56">
        <f>IF(AND($A56&lt;&gt;D$1,Recharged_Feasible_mat!E25),(VLOOKUP(D$1,test!$A$3:$I$32,8,FALSE))-(VLOOKUP($A56,test!$A$3:$I$32,9,FALSE))-(test!$B$33-50),0)</f>
        <v>0</v>
      </c>
      <c r="E56">
        <f>IF(AND($A56&lt;&gt;E$1,Recharged_Feasible_mat!F25),(VLOOKUP(E$1,test!$A$3:$I$32,8,FALSE))-(VLOOKUP($A56,test!$A$3:$I$32,9,FALSE))-(test!$B$33-50),0)</f>
        <v>120</v>
      </c>
      <c r="F56">
        <f>IF(AND($A56&lt;&gt;F$1,Recharged_Feasible_mat!G25),(VLOOKUP(F$1,test!$A$3:$I$32,8,FALSE))-(VLOOKUP($A56,test!$A$3:$I$32,9,FALSE))-(test!$B$33-50),0)</f>
        <v>210</v>
      </c>
      <c r="G56">
        <f>IF(AND($A56&lt;&gt;G$1,Recharged_Feasible_mat!H25),(VLOOKUP(G$1,test!$A$3:$I$32,8,FALSE))-(VLOOKUP($A56,test!$A$3:$I$32,9,FALSE))-(test!$B$33-50),0)</f>
        <v>270</v>
      </c>
      <c r="H56">
        <f>IF(AND($A56&lt;&gt;H$1,Recharged_Feasible_mat!I25),(VLOOKUP(H$1,test!$A$3:$I$32,8,FALSE))-(VLOOKUP($A56,test!$A$3:$I$32,9,FALSE))-(test!$B$33-50),0)</f>
        <v>330</v>
      </c>
      <c r="I56">
        <f>IF(AND($A56&lt;&gt;I$1,Recharged_Feasible_mat!J25),(VLOOKUP(I$1,test!$A$3:$I$32,8,FALSE))-(VLOOKUP($A56,test!$A$3:$I$32,9,FALSE))-(test!$B$33-50),0)</f>
        <v>390</v>
      </c>
      <c r="J56">
        <f>IF(AND($A56&lt;&gt;J$1,Recharged_Feasible_mat!K25),(VLOOKUP(J$1,test!$A$3:$I$32,8,FALSE))-(VLOOKUP($A56,test!$A$3:$I$32,9,FALSE))-(test!$B$33-50),0)</f>
        <v>480</v>
      </c>
      <c r="K56">
        <f>IF(AND($A56&lt;&gt;K$1,Recharged_Feasible_mat!L25),(VLOOKUP(K$1,test!$A$3:$I$32,8,FALSE))-(VLOOKUP($A56,test!$A$3:$I$32,9,FALSE))-(test!$B$33-50),0)</f>
        <v>0</v>
      </c>
      <c r="L56">
        <f>IF(AND($A56&lt;&gt;L$1,Recharged_Feasible_mat!M25),(VLOOKUP(L$1,test!$A$3:$I$32,8,FALSE))-(VLOOKUP($A56,test!$A$3:$I$32,9,FALSE))-test!$B$33,0)</f>
        <v>0</v>
      </c>
      <c r="M56">
        <f>IF(AND($A56&lt;&gt;M$1,Recharged_Feasible_mat!N25),(VLOOKUP(M$1,test!$A$3:$I$32,8,FALSE))-(VLOOKUP($A56,test!$A$3:$I$32,9,FALSE))-test!$B$33,0)</f>
        <v>35</v>
      </c>
      <c r="N56">
        <f>IF(AND($A56&lt;&gt;N$1,Recharged_Feasible_mat!O25),(VLOOKUP(N$1,test!$A$3:$I$32,8,FALSE))-(VLOOKUP($A56,test!$A$3:$I$32,9,FALSE))-test!$B$33,0)</f>
        <v>395</v>
      </c>
      <c r="O56">
        <f>IF(AND($A56&lt;&gt;O$1,Recharged_Feasible_mat!P25),(VLOOKUP(O$1,test!$A$3:$I$32,8,FALSE))-(VLOOKUP($A56,test!$A$3:$I$32,9,FALSE))-test!$B$33,0)</f>
        <v>455</v>
      </c>
      <c r="P56">
        <f>IF(AND($A56&lt;&gt;P$1,Recharged_Feasible_mat!Q25),(VLOOKUP(P$1,test!$A$3:$I$32,8,FALSE))-(VLOOKUP($A56,test!$A$3:$I$32,9,FALSE))-test!$B$33,0)</f>
        <v>0</v>
      </c>
      <c r="Q56">
        <f>IF(AND($A56&lt;&gt;Q$1,Recharged_Feasible_mat!R25),(VLOOKUP(Q$1,test!$A$3:$I$32,8,FALSE))-(VLOOKUP($A56,test!$A$3:$I$32,9,FALSE))-test!$B$33,0)</f>
        <v>0</v>
      </c>
      <c r="R56">
        <f>IF(AND($A56&lt;&gt;R$1,Recharged_Feasible_mat!S25),(VLOOKUP(R$1,test!$A$3:$I$32,8,FALSE))-(VLOOKUP($A56,test!$A$3:$I$32,9,FALSE))-test!$B$33,0)</f>
        <v>0</v>
      </c>
      <c r="S56">
        <f>IF(AND($A56&lt;&gt;S$1,Recharged_Feasible_mat!T25),(VLOOKUP(S$1,test!$A$3:$I$32,8,FALSE))-(VLOOKUP($A56,test!$A$3:$I$32,9,FALSE))-test!$B$33,0)</f>
        <v>0</v>
      </c>
      <c r="T56">
        <f>IF(AND($A56&lt;&gt;T$1,Recharged_Feasible_mat!U25),(VLOOKUP(T$1,test!$A$3:$I$32,8,FALSE))-(VLOOKUP($A56,test!$A$3:$I$32,9,FALSE))-test!$B$33,0)</f>
        <v>50</v>
      </c>
      <c r="U56">
        <f>IF(AND($A56&lt;&gt;U$1,Recharged_Feasible_mat!V25),(VLOOKUP(U$1,test!$A$3:$I$32,8,FALSE))-(VLOOKUP($A56,test!$A$3:$I$32,9,FALSE))-test!$B$33,0)</f>
        <v>140</v>
      </c>
      <c r="V56">
        <f>IF(AND($A56&lt;&gt;V$1,Recharged_Feasible_mat!W25),(VLOOKUP(V$1,test!$A$3:$I$32,8,FALSE))-(VLOOKUP($A56,test!$A$3:$I$32,9,FALSE))-test!$B$33,0)</f>
        <v>230</v>
      </c>
      <c r="W56">
        <f>IF(AND($A56&lt;&gt;W$1,Recharged_Feasible_mat!X25),(VLOOKUP(W$1,test!$A$3:$I$32,8,FALSE))-(VLOOKUP($A56,test!$A$3:$I$32,9,FALSE))-test!$B$33,0)</f>
        <v>320</v>
      </c>
      <c r="X56">
        <f>IF(AND($A56&lt;&gt;X$1,Recharged_Feasible_mat!Y25),(VLOOKUP(X$1,test!$A$3:$I$32,8,FALSE))-(VLOOKUP($A56,test!$A$3:$I$32,9,FALSE))-test!$B$33,0)</f>
        <v>380</v>
      </c>
      <c r="Y56">
        <f>IF(AND($A56&lt;&gt;Y$1,Recharged_Feasible_mat!Z25),(VLOOKUP(Y$1,test!$A$3:$I$32,8,FALSE))-(VLOOKUP($A56,test!$A$3:$I$32,9,FALSE))-test!$B$33,0)</f>
        <v>0</v>
      </c>
      <c r="Z56">
        <f>IF(AND($A56&lt;&gt;Z$1,Recharged_Feasible_mat!AA25),(VLOOKUP(Z$1,test!$A$3:$I$32,8,FALSE))-(VLOOKUP($A56,test!$A$3:$I$32,9,FALSE))-test!$B$33,0)</f>
        <v>0</v>
      </c>
      <c r="AA56">
        <f>IF(AND($A56&lt;&gt;AA$1,Recharged_Feasible_mat!AB25),(VLOOKUP(AA$1,test!$A$3:$I$32,8,FALSE))-(VLOOKUP($A56,test!$A$3:$I$32,9,FALSE))-test!$B$33,0)</f>
        <v>100</v>
      </c>
      <c r="AB56">
        <f>IF(AND($A56&lt;&gt;AB$1,Recharged_Feasible_mat!AC25),(VLOOKUP(AB$1,test!$A$3:$I$32,8,FALSE))-(VLOOKUP($A56,test!$A$3:$I$32,9,FALSE))-test!$B$33,0)</f>
        <v>160</v>
      </c>
      <c r="AC56">
        <f>IF(AND($A56&lt;&gt;AC$1,Recharged_Feasible_mat!AD25),(VLOOKUP(AC$1,test!$A$3:$I$32,8,FALSE))-(VLOOKUP($A56,test!$A$3:$I$32,9,FALSE))-test!$B$33,0)</f>
        <v>280</v>
      </c>
      <c r="AD56">
        <f>IF(AND($A56&lt;&gt;AD$1,Recharged_Feasible_mat!AE25),(VLOOKUP(AD$1,test!$A$3:$I$32,8,FALSE))-(VLOOKUP($A56,test!$A$3:$I$32,9,FALSE))-test!$B$33,0)</f>
        <v>0</v>
      </c>
      <c r="AE56">
        <f>IF(AND($A56&lt;&gt;AE$1,Recharged_Feasible_mat!AF25),(VLOOKUP(AE$1,test!$A$3:$I$32,8,FALSE))-(VLOOKUP($A56,test!$A$3:$I$32,9,FALSE))-test!$B$33,0)</f>
        <v>100</v>
      </c>
      <c r="AF56">
        <f>IF(AND($A56&lt;&gt;AF$1,Recharged_Feasible_mat!AG25),(VLOOKUP(AF$1,test!$A$3:$I$32,8,FALSE))-(VLOOKUP($A56,test!$A$3:$I$32,9,FALSE))-test!$B$33,0)</f>
        <v>50</v>
      </c>
    </row>
    <row r="57" spans="1:32" x14ac:dyDescent="0.25">
      <c r="A57" t="s">
        <v>35</v>
      </c>
      <c r="B57">
        <v>0</v>
      </c>
      <c r="C57">
        <f>IF(AND($A57&lt;&gt;C$1,Recharged_Feasible_mat!D26),(VLOOKUP(C$1,test!$A$3:$I$32,8,FALSE))-(VLOOKUP($A57,test!$A$3:$I$32,9,FALSE))-(test!$B$33-50),0)</f>
        <v>0</v>
      </c>
      <c r="D57">
        <f>IF(AND($A57&lt;&gt;D$1,Recharged_Feasible_mat!E26),(VLOOKUP(D$1,test!$A$3:$I$32,8,FALSE))-(VLOOKUP($A57,test!$A$3:$I$32,9,FALSE))-(test!$B$33-50),0)</f>
        <v>0</v>
      </c>
      <c r="E57">
        <f>IF(AND($A57&lt;&gt;E$1,Recharged_Feasible_mat!F26),(VLOOKUP(E$1,test!$A$3:$I$32,8,FALSE))-(VLOOKUP($A57,test!$A$3:$I$32,9,FALSE))-(test!$B$33-50),0)</f>
        <v>0</v>
      </c>
      <c r="F57">
        <f>IF(AND($A57&lt;&gt;F$1,Recharged_Feasible_mat!G26),(VLOOKUP(F$1,test!$A$3:$I$32,8,FALSE))-(VLOOKUP($A57,test!$A$3:$I$32,9,FALSE))-(test!$B$33-50),0)</f>
        <v>0</v>
      </c>
      <c r="G57">
        <f>IF(AND($A57&lt;&gt;G$1,Recharged_Feasible_mat!H26),(VLOOKUP(G$1,test!$A$3:$I$32,8,FALSE))-(VLOOKUP($A57,test!$A$3:$I$32,9,FALSE))-(test!$B$33-50),0)</f>
        <v>100</v>
      </c>
      <c r="H57">
        <f>IF(AND($A57&lt;&gt;H$1,Recharged_Feasible_mat!I26),(VLOOKUP(H$1,test!$A$3:$I$32,8,FALSE))-(VLOOKUP($A57,test!$A$3:$I$32,9,FALSE))-(test!$B$33-50),0)</f>
        <v>160</v>
      </c>
      <c r="I57">
        <f>IF(AND($A57&lt;&gt;I$1,Recharged_Feasible_mat!J26),(VLOOKUP(I$1,test!$A$3:$I$32,8,FALSE))-(VLOOKUP($A57,test!$A$3:$I$32,9,FALSE))-(test!$B$33-50),0)</f>
        <v>220</v>
      </c>
      <c r="J57">
        <f>IF(AND($A57&lt;&gt;J$1,Recharged_Feasible_mat!K26),(VLOOKUP(J$1,test!$A$3:$I$32,8,FALSE))-(VLOOKUP($A57,test!$A$3:$I$32,9,FALSE))-(test!$B$33-50),0)</f>
        <v>310</v>
      </c>
      <c r="K57">
        <f>IF(AND($A57&lt;&gt;K$1,Recharged_Feasible_mat!L26),(VLOOKUP(K$1,test!$A$3:$I$32,8,FALSE))-(VLOOKUP($A57,test!$A$3:$I$32,9,FALSE))-(test!$B$33-50),0)</f>
        <v>0</v>
      </c>
      <c r="L57">
        <f>IF(AND($A57&lt;&gt;L$1,Recharged_Feasible_mat!M26),(VLOOKUP(L$1,test!$A$3:$I$32,8,FALSE))-(VLOOKUP($A57,test!$A$3:$I$32,9,FALSE))-test!$B$33,0)</f>
        <v>0</v>
      </c>
      <c r="M57">
        <f>IF(AND($A57&lt;&gt;M$1,Recharged_Feasible_mat!N26),(VLOOKUP(M$1,test!$A$3:$I$32,8,FALSE))-(VLOOKUP($A57,test!$A$3:$I$32,9,FALSE))-test!$B$33,0)</f>
        <v>0</v>
      </c>
      <c r="N57">
        <f>IF(AND($A57&lt;&gt;N$1,Recharged_Feasible_mat!O26),(VLOOKUP(N$1,test!$A$3:$I$32,8,FALSE))-(VLOOKUP($A57,test!$A$3:$I$32,9,FALSE))-test!$B$33,0)</f>
        <v>225</v>
      </c>
      <c r="O57">
        <f>IF(AND($A57&lt;&gt;O$1,Recharged_Feasible_mat!P26),(VLOOKUP(O$1,test!$A$3:$I$32,8,FALSE))-(VLOOKUP($A57,test!$A$3:$I$32,9,FALSE))-test!$B$33,0)</f>
        <v>285</v>
      </c>
      <c r="P57">
        <f>IF(AND($A57&lt;&gt;P$1,Recharged_Feasible_mat!Q26),(VLOOKUP(P$1,test!$A$3:$I$32,8,FALSE))-(VLOOKUP($A57,test!$A$3:$I$32,9,FALSE))-test!$B$33,0)</f>
        <v>0</v>
      </c>
      <c r="Q57">
        <f>IF(AND($A57&lt;&gt;Q$1,Recharged_Feasible_mat!R26),(VLOOKUP(Q$1,test!$A$3:$I$32,8,FALSE))-(VLOOKUP($A57,test!$A$3:$I$32,9,FALSE))-test!$B$33,0)</f>
        <v>0</v>
      </c>
      <c r="R57">
        <f>IF(AND($A57&lt;&gt;R$1,Recharged_Feasible_mat!S26),(VLOOKUP(R$1,test!$A$3:$I$32,8,FALSE))-(VLOOKUP($A57,test!$A$3:$I$32,9,FALSE))-test!$B$33,0)</f>
        <v>0</v>
      </c>
      <c r="S57">
        <f>IF(AND($A57&lt;&gt;S$1,Recharged_Feasible_mat!T26),(VLOOKUP(S$1,test!$A$3:$I$32,8,FALSE))-(VLOOKUP($A57,test!$A$3:$I$32,9,FALSE))-test!$B$33,0)</f>
        <v>0</v>
      </c>
      <c r="T57">
        <f>IF(AND($A57&lt;&gt;T$1,Recharged_Feasible_mat!U26),(VLOOKUP(T$1,test!$A$3:$I$32,8,FALSE))-(VLOOKUP($A57,test!$A$3:$I$32,9,FALSE))-test!$B$33,0)</f>
        <v>0</v>
      </c>
      <c r="U57">
        <f>IF(AND($A57&lt;&gt;U$1,Recharged_Feasible_mat!V26),(VLOOKUP(U$1,test!$A$3:$I$32,8,FALSE))-(VLOOKUP($A57,test!$A$3:$I$32,9,FALSE))-test!$B$33,0)</f>
        <v>0</v>
      </c>
      <c r="V57">
        <f>IF(AND($A57&lt;&gt;V$1,Recharged_Feasible_mat!W26),(VLOOKUP(V$1,test!$A$3:$I$32,8,FALSE))-(VLOOKUP($A57,test!$A$3:$I$32,9,FALSE))-test!$B$33,0)</f>
        <v>60</v>
      </c>
      <c r="W57">
        <f>IF(AND($A57&lt;&gt;W$1,Recharged_Feasible_mat!X26),(VLOOKUP(W$1,test!$A$3:$I$32,8,FALSE))-(VLOOKUP($A57,test!$A$3:$I$32,9,FALSE))-test!$B$33,0)</f>
        <v>150</v>
      </c>
      <c r="X57">
        <f>IF(AND($A57&lt;&gt;X$1,Recharged_Feasible_mat!Y26),(VLOOKUP(X$1,test!$A$3:$I$32,8,FALSE))-(VLOOKUP($A57,test!$A$3:$I$32,9,FALSE))-test!$B$33,0)</f>
        <v>210</v>
      </c>
      <c r="Y57">
        <f>IF(AND($A57&lt;&gt;Y$1,Recharged_Feasible_mat!Z26),(VLOOKUP(Y$1,test!$A$3:$I$32,8,FALSE))-(VLOOKUP($A57,test!$A$3:$I$32,9,FALSE))-test!$B$33,0)</f>
        <v>0</v>
      </c>
      <c r="Z57">
        <f>IF(AND($A57&lt;&gt;Z$1,Recharged_Feasible_mat!AA26),(VLOOKUP(Z$1,test!$A$3:$I$32,8,FALSE))-(VLOOKUP($A57,test!$A$3:$I$32,9,FALSE))-test!$B$33,0)</f>
        <v>0</v>
      </c>
      <c r="AA57">
        <f>IF(AND($A57&lt;&gt;AA$1,Recharged_Feasible_mat!AB26),(VLOOKUP(AA$1,test!$A$3:$I$32,8,FALSE))-(VLOOKUP($A57,test!$A$3:$I$32,9,FALSE))-test!$B$33,0)</f>
        <v>0</v>
      </c>
      <c r="AB57">
        <f>IF(AND($A57&lt;&gt;AB$1,Recharged_Feasible_mat!AC26),(VLOOKUP(AB$1,test!$A$3:$I$32,8,FALSE))-(VLOOKUP($A57,test!$A$3:$I$32,9,FALSE))-test!$B$33,0)</f>
        <v>0</v>
      </c>
      <c r="AC57">
        <f>IF(AND($A57&lt;&gt;AC$1,Recharged_Feasible_mat!AD26),(VLOOKUP(AC$1,test!$A$3:$I$32,8,FALSE))-(VLOOKUP($A57,test!$A$3:$I$32,9,FALSE))-test!$B$33,0)</f>
        <v>110</v>
      </c>
      <c r="AD57">
        <f>IF(AND($A57&lt;&gt;AD$1,Recharged_Feasible_mat!AE26),(VLOOKUP(AD$1,test!$A$3:$I$32,8,FALSE))-(VLOOKUP($A57,test!$A$3:$I$32,9,FALSE))-test!$B$33,0)</f>
        <v>0</v>
      </c>
      <c r="AE57">
        <f>IF(AND($A57&lt;&gt;AE$1,Recharged_Feasible_mat!AF26),(VLOOKUP(AE$1,test!$A$3:$I$32,8,FALSE))-(VLOOKUP($A57,test!$A$3:$I$32,9,FALSE))-test!$B$33,0)</f>
        <v>0</v>
      </c>
      <c r="AF57">
        <f>IF(AND($A57&lt;&gt;AF$1,Recharged_Feasible_mat!AG26),(VLOOKUP(AF$1,test!$A$3:$I$32,8,FALSE))-(VLOOKUP($A57,test!$A$3:$I$32,9,FALSE))-test!$B$33,0)</f>
        <v>0</v>
      </c>
    </row>
    <row r="58" spans="1:32" x14ac:dyDescent="0.25">
      <c r="A58" t="s">
        <v>36</v>
      </c>
      <c r="B58">
        <v>0</v>
      </c>
      <c r="C58">
        <f>IF(AND($A58&lt;&gt;C$1,Recharged_Feasible_mat!D27),(VLOOKUP(C$1,test!$A$3:$I$32,8,FALSE))-(VLOOKUP($A58,test!$A$3:$I$32,9,FALSE))-(test!$B$33-50),0)</f>
        <v>0</v>
      </c>
      <c r="D58">
        <f>IF(AND($A58&lt;&gt;D$1,Recharged_Feasible_mat!E27),(VLOOKUP(D$1,test!$A$3:$I$32,8,FALSE))-(VLOOKUP($A58,test!$A$3:$I$32,9,FALSE))-(test!$B$33-50),0)</f>
        <v>0</v>
      </c>
      <c r="E58">
        <f>IF(AND($A58&lt;&gt;E$1,Recharged_Feasible_mat!F27),(VLOOKUP(E$1,test!$A$3:$I$32,8,FALSE))-(VLOOKUP($A58,test!$A$3:$I$32,9,FALSE))-(test!$B$33-50),0)</f>
        <v>0</v>
      </c>
      <c r="F58">
        <f>IF(AND($A58&lt;&gt;F$1,Recharged_Feasible_mat!G27),(VLOOKUP(F$1,test!$A$3:$I$32,8,FALSE))-(VLOOKUP($A58,test!$A$3:$I$32,9,FALSE))-(test!$B$33-50),0)</f>
        <v>0</v>
      </c>
      <c r="G58">
        <f>IF(AND($A58&lt;&gt;G$1,Recharged_Feasible_mat!H27),(VLOOKUP(G$1,test!$A$3:$I$32,8,FALSE))-(VLOOKUP($A58,test!$A$3:$I$32,9,FALSE))-(test!$B$33-50),0)</f>
        <v>0</v>
      </c>
      <c r="H58">
        <f>IF(AND($A58&lt;&gt;H$1,Recharged_Feasible_mat!I27),(VLOOKUP(H$1,test!$A$3:$I$32,8,FALSE))-(VLOOKUP($A58,test!$A$3:$I$32,9,FALSE))-(test!$B$33-50),0)</f>
        <v>0</v>
      </c>
      <c r="I58">
        <f>IF(AND($A58&lt;&gt;I$1,Recharged_Feasible_mat!J27),(VLOOKUP(I$1,test!$A$3:$I$32,8,FALSE))-(VLOOKUP($A58,test!$A$3:$I$32,9,FALSE))-(test!$B$33-50),0)</f>
        <v>100</v>
      </c>
      <c r="J58">
        <f>IF(AND($A58&lt;&gt;J$1,Recharged_Feasible_mat!K27),(VLOOKUP(J$1,test!$A$3:$I$32,8,FALSE))-(VLOOKUP($A58,test!$A$3:$I$32,9,FALSE))-(test!$B$33-50),0)</f>
        <v>190</v>
      </c>
      <c r="K58">
        <f>IF(AND($A58&lt;&gt;K$1,Recharged_Feasible_mat!L27),(VLOOKUP(K$1,test!$A$3:$I$32,8,FALSE))-(VLOOKUP($A58,test!$A$3:$I$32,9,FALSE))-(test!$B$33-50),0)</f>
        <v>0</v>
      </c>
      <c r="L58">
        <f>IF(AND($A58&lt;&gt;L$1,Recharged_Feasible_mat!M27),(VLOOKUP(L$1,test!$A$3:$I$32,8,FALSE))-(VLOOKUP($A58,test!$A$3:$I$32,9,FALSE))-test!$B$33,0)</f>
        <v>0</v>
      </c>
      <c r="M58">
        <f>IF(AND($A58&lt;&gt;M$1,Recharged_Feasible_mat!N27),(VLOOKUP(M$1,test!$A$3:$I$32,8,FALSE))-(VLOOKUP($A58,test!$A$3:$I$32,9,FALSE))-test!$B$33,0)</f>
        <v>0</v>
      </c>
      <c r="N58">
        <f>IF(AND($A58&lt;&gt;N$1,Recharged_Feasible_mat!O27),(VLOOKUP(N$1,test!$A$3:$I$32,8,FALSE))-(VLOOKUP($A58,test!$A$3:$I$32,9,FALSE))-test!$B$33,0)</f>
        <v>105</v>
      </c>
      <c r="O58">
        <f>IF(AND($A58&lt;&gt;O$1,Recharged_Feasible_mat!P27),(VLOOKUP(O$1,test!$A$3:$I$32,8,FALSE))-(VLOOKUP($A58,test!$A$3:$I$32,9,FALSE))-test!$B$33,0)</f>
        <v>165</v>
      </c>
      <c r="P58">
        <f>IF(AND($A58&lt;&gt;P$1,Recharged_Feasible_mat!Q27),(VLOOKUP(P$1,test!$A$3:$I$32,8,FALSE))-(VLOOKUP($A58,test!$A$3:$I$32,9,FALSE))-test!$B$33,0)</f>
        <v>0</v>
      </c>
      <c r="Q58">
        <f>IF(AND($A58&lt;&gt;Q$1,Recharged_Feasible_mat!R27),(VLOOKUP(Q$1,test!$A$3:$I$32,8,FALSE))-(VLOOKUP($A58,test!$A$3:$I$32,9,FALSE))-test!$B$33,0)</f>
        <v>0</v>
      </c>
      <c r="R58">
        <f>IF(AND($A58&lt;&gt;R$1,Recharged_Feasible_mat!S27),(VLOOKUP(R$1,test!$A$3:$I$32,8,FALSE))-(VLOOKUP($A58,test!$A$3:$I$32,9,FALSE))-test!$B$33,0)</f>
        <v>0</v>
      </c>
      <c r="S58">
        <f>IF(AND($A58&lt;&gt;S$1,Recharged_Feasible_mat!T27),(VLOOKUP(S$1,test!$A$3:$I$32,8,FALSE))-(VLOOKUP($A58,test!$A$3:$I$32,9,FALSE))-test!$B$33,0)</f>
        <v>0</v>
      </c>
      <c r="T58">
        <f>IF(AND($A58&lt;&gt;T$1,Recharged_Feasible_mat!U27),(VLOOKUP(T$1,test!$A$3:$I$32,8,FALSE))-(VLOOKUP($A58,test!$A$3:$I$32,9,FALSE))-test!$B$33,0)</f>
        <v>0</v>
      </c>
      <c r="U58">
        <f>IF(AND($A58&lt;&gt;U$1,Recharged_Feasible_mat!V27),(VLOOKUP(U$1,test!$A$3:$I$32,8,FALSE))-(VLOOKUP($A58,test!$A$3:$I$32,9,FALSE))-test!$B$33,0)</f>
        <v>0</v>
      </c>
      <c r="V58">
        <f>IF(AND($A58&lt;&gt;V$1,Recharged_Feasible_mat!W27),(VLOOKUP(V$1,test!$A$3:$I$32,8,FALSE))-(VLOOKUP($A58,test!$A$3:$I$32,9,FALSE))-test!$B$33,0)</f>
        <v>0</v>
      </c>
      <c r="W58">
        <f>IF(AND($A58&lt;&gt;W$1,Recharged_Feasible_mat!X27),(VLOOKUP(W$1,test!$A$3:$I$32,8,FALSE))-(VLOOKUP($A58,test!$A$3:$I$32,9,FALSE))-test!$B$33,0)</f>
        <v>0</v>
      </c>
      <c r="X58">
        <f>IF(AND($A58&lt;&gt;X$1,Recharged_Feasible_mat!Y27),(VLOOKUP(X$1,test!$A$3:$I$32,8,FALSE))-(VLOOKUP($A58,test!$A$3:$I$32,9,FALSE))-test!$B$33,0)</f>
        <v>90</v>
      </c>
      <c r="Y58">
        <f>IF(AND($A58&lt;&gt;Y$1,Recharged_Feasible_mat!Z27),(VLOOKUP(Y$1,test!$A$3:$I$32,8,FALSE))-(VLOOKUP($A58,test!$A$3:$I$32,9,FALSE))-test!$B$33,0)</f>
        <v>0</v>
      </c>
      <c r="Z58">
        <f>IF(AND($A58&lt;&gt;Z$1,Recharged_Feasible_mat!AA27),(VLOOKUP(Z$1,test!$A$3:$I$32,8,FALSE))-(VLOOKUP($A58,test!$A$3:$I$32,9,FALSE))-test!$B$33,0)</f>
        <v>0</v>
      </c>
      <c r="AA58">
        <f>IF(AND($A58&lt;&gt;AA$1,Recharged_Feasible_mat!AB27),(VLOOKUP(AA$1,test!$A$3:$I$32,8,FALSE))-(VLOOKUP($A58,test!$A$3:$I$32,9,FALSE))-test!$B$33,0)</f>
        <v>0</v>
      </c>
      <c r="AB58">
        <f>IF(AND($A58&lt;&gt;AB$1,Recharged_Feasible_mat!AC27),(VLOOKUP(AB$1,test!$A$3:$I$32,8,FALSE))-(VLOOKUP($A58,test!$A$3:$I$32,9,FALSE))-test!$B$33,0)</f>
        <v>0</v>
      </c>
      <c r="AC58">
        <f>IF(AND($A58&lt;&gt;AC$1,Recharged_Feasible_mat!AD27),(VLOOKUP(AC$1,test!$A$3:$I$32,8,FALSE))-(VLOOKUP($A58,test!$A$3:$I$32,9,FALSE))-test!$B$33,0)</f>
        <v>0</v>
      </c>
      <c r="AD58">
        <f>IF(AND($A58&lt;&gt;AD$1,Recharged_Feasible_mat!AE27),(VLOOKUP(AD$1,test!$A$3:$I$32,8,FALSE))-(VLOOKUP($A58,test!$A$3:$I$32,9,FALSE))-test!$B$33,0)</f>
        <v>0</v>
      </c>
      <c r="AE58">
        <f>IF(AND($A58&lt;&gt;AE$1,Recharged_Feasible_mat!AF27),(VLOOKUP(AE$1,test!$A$3:$I$32,8,FALSE))-(VLOOKUP($A58,test!$A$3:$I$32,9,FALSE))-test!$B$33,0)</f>
        <v>0</v>
      </c>
      <c r="AF58">
        <f>IF(AND($A58&lt;&gt;AF$1,Recharged_Feasible_mat!AG27),(VLOOKUP(AF$1,test!$A$3:$I$32,8,FALSE))-(VLOOKUP($A58,test!$A$3:$I$32,9,FALSE))-test!$B$33,0)</f>
        <v>0</v>
      </c>
    </row>
    <row r="59" spans="1:32" x14ac:dyDescent="0.25">
      <c r="A59" t="s">
        <v>37</v>
      </c>
      <c r="B59">
        <v>0</v>
      </c>
      <c r="C59">
        <f>IF(AND($A59&lt;&gt;C$1,Recharged_Feasible_mat!D28),(VLOOKUP(C$1,test!$A$3:$I$32,8,FALSE))-(VLOOKUP($A59,test!$A$3:$I$32,9,FALSE))-(test!$B$33-50),0)</f>
        <v>0</v>
      </c>
      <c r="D59">
        <f>IF(AND($A59&lt;&gt;D$1,Recharged_Feasible_mat!E28),(VLOOKUP(D$1,test!$A$3:$I$32,8,FALSE))-(VLOOKUP($A59,test!$A$3:$I$32,9,FALSE))-(test!$B$33-50),0)</f>
        <v>0</v>
      </c>
      <c r="E59">
        <f>IF(AND($A59&lt;&gt;E$1,Recharged_Feasible_mat!F28),(VLOOKUP(E$1,test!$A$3:$I$32,8,FALSE))-(VLOOKUP($A59,test!$A$3:$I$32,9,FALSE))-(test!$B$33-50),0)</f>
        <v>0</v>
      </c>
      <c r="F59">
        <f>IF(AND($A59&lt;&gt;F$1,Recharged_Feasible_mat!G28),(VLOOKUP(F$1,test!$A$3:$I$32,8,FALSE))-(VLOOKUP($A59,test!$A$3:$I$32,9,FALSE))-(test!$B$33-50),0)</f>
        <v>0</v>
      </c>
      <c r="G59">
        <f>IF(AND($A59&lt;&gt;G$1,Recharged_Feasible_mat!H28),(VLOOKUP(G$1,test!$A$3:$I$32,8,FALSE))-(VLOOKUP($A59,test!$A$3:$I$32,9,FALSE))-(test!$B$33-50),0)</f>
        <v>0</v>
      </c>
      <c r="H59">
        <f>IF(AND($A59&lt;&gt;H$1,Recharged_Feasible_mat!I28),(VLOOKUP(H$1,test!$A$3:$I$32,8,FALSE))-(VLOOKUP($A59,test!$A$3:$I$32,9,FALSE))-(test!$B$33-50),0)</f>
        <v>0</v>
      </c>
      <c r="I59">
        <f>IF(AND($A59&lt;&gt;I$1,Recharged_Feasible_mat!J28),(VLOOKUP(I$1,test!$A$3:$I$32,8,FALSE))-(VLOOKUP($A59,test!$A$3:$I$32,9,FALSE))-(test!$B$33-50),0)</f>
        <v>0</v>
      </c>
      <c r="J59">
        <f>IF(AND($A59&lt;&gt;J$1,Recharged_Feasible_mat!K28),(VLOOKUP(J$1,test!$A$3:$I$32,8,FALSE))-(VLOOKUP($A59,test!$A$3:$I$32,9,FALSE))-(test!$B$33-50),0)</f>
        <v>130</v>
      </c>
      <c r="K59">
        <f>IF(AND($A59&lt;&gt;K$1,Recharged_Feasible_mat!L28),(VLOOKUP(K$1,test!$A$3:$I$32,8,FALSE))-(VLOOKUP($A59,test!$A$3:$I$32,9,FALSE))-(test!$B$33-50),0)</f>
        <v>0</v>
      </c>
      <c r="L59">
        <f>IF(AND($A59&lt;&gt;L$1,Recharged_Feasible_mat!M28),(VLOOKUP(L$1,test!$A$3:$I$32,8,FALSE))-(VLOOKUP($A59,test!$A$3:$I$32,9,FALSE))-test!$B$33,0)</f>
        <v>0</v>
      </c>
      <c r="M59">
        <f>IF(AND($A59&lt;&gt;M$1,Recharged_Feasible_mat!N28),(VLOOKUP(M$1,test!$A$3:$I$32,8,FALSE))-(VLOOKUP($A59,test!$A$3:$I$32,9,FALSE))-test!$B$33,0)</f>
        <v>0</v>
      </c>
      <c r="N59">
        <f>IF(AND($A59&lt;&gt;N$1,Recharged_Feasible_mat!O28),(VLOOKUP(N$1,test!$A$3:$I$32,8,FALSE))-(VLOOKUP($A59,test!$A$3:$I$32,9,FALSE))-test!$B$33,0)</f>
        <v>45</v>
      </c>
      <c r="O59">
        <f>IF(AND($A59&lt;&gt;O$1,Recharged_Feasible_mat!P28),(VLOOKUP(O$1,test!$A$3:$I$32,8,FALSE))-(VLOOKUP($A59,test!$A$3:$I$32,9,FALSE))-test!$B$33,0)</f>
        <v>105</v>
      </c>
      <c r="P59">
        <f>IF(AND($A59&lt;&gt;P$1,Recharged_Feasible_mat!Q28),(VLOOKUP(P$1,test!$A$3:$I$32,8,FALSE))-(VLOOKUP($A59,test!$A$3:$I$32,9,FALSE))-test!$B$33,0)</f>
        <v>0</v>
      </c>
      <c r="Q59">
        <f>IF(AND($A59&lt;&gt;Q$1,Recharged_Feasible_mat!R28),(VLOOKUP(Q$1,test!$A$3:$I$32,8,FALSE))-(VLOOKUP($A59,test!$A$3:$I$32,9,FALSE))-test!$B$33,0)</f>
        <v>0</v>
      </c>
      <c r="R59">
        <f>IF(AND($A59&lt;&gt;R$1,Recharged_Feasible_mat!S28),(VLOOKUP(R$1,test!$A$3:$I$32,8,FALSE))-(VLOOKUP($A59,test!$A$3:$I$32,9,FALSE))-test!$B$33,0)</f>
        <v>0</v>
      </c>
      <c r="S59">
        <f>IF(AND($A59&lt;&gt;S$1,Recharged_Feasible_mat!T28),(VLOOKUP(S$1,test!$A$3:$I$32,8,FALSE))-(VLOOKUP($A59,test!$A$3:$I$32,9,FALSE))-test!$B$33,0)</f>
        <v>0</v>
      </c>
      <c r="T59">
        <f>IF(AND($A59&lt;&gt;T$1,Recharged_Feasible_mat!U28),(VLOOKUP(T$1,test!$A$3:$I$32,8,FALSE))-(VLOOKUP($A59,test!$A$3:$I$32,9,FALSE))-test!$B$33,0)</f>
        <v>0</v>
      </c>
      <c r="U59">
        <f>IF(AND($A59&lt;&gt;U$1,Recharged_Feasible_mat!V28),(VLOOKUP(U$1,test!$A$3:$I$32,8,FALSE))-(VLOOKUP($A59,test!$A$3:$I$32,9,FALSE))-test!$B$33,0)</f>
        <v>0</v>
      </c>
      <c r="V59">
        <f>IF(AND($A59&lt;&gt;V$1,Recharged_Feasible_mat!W28),(VLOOKUP(V$1,test!$A$3:$I$32,8,FALSE))-(VLOOKUP($A59,test!$A$3:$I$32,9,FALSE))-test!$B$33,0)</f>
        <v>0</v>
      </c>
      <c r="W59">
        <f>IF(AND($A59&lt;&gt;W$1,Recharged_Feasible_mat!X28),(VLOOKUP(W$1,test!$A$3:$I$32,8,FALSE))-(VLOOKUP($A59,test!$A$3:$I$32,9,FALSE))-test!$B$33,0)</f>
        <v>0</v>
      </c>
      <c r="X59">
        <f>IF(AND($A59&lt;&gt;X$1,Recharged_Feasible_mat!Y28),(VLOOKUP(X$1,test!$A$3:$I$32,8,FALSE))-(VLOOKUP($A59,test!$A$3:$I$32,9,FALSE))-test!$B$33,0)</f>
        <v>0</v>
      </c>
      <c r="Y59">
        <f>IF(AND($A59&lt;&gt;Y$1,Recharged_Feasible_mat!Z28),(VLOOKUP(Y$1,test!$A$3:$I$32,8,FALSE))-(VLOOKUP($A59,test!$A$3:$I$32,9,FALSE))-test!$B$33,0)</f>
        <v>0</v>
      </c>
      <c r="Z59">
        <f>IF(AND($A59&lt;&gt;Z$1,Recharged_Feasible_mat!AA28),(VLOOKUP(Z$1,test!$A$3:$I$32,8,FALSE))-(VLOOKUP($A59,test!$A$3:$I$32,9,FALSE))-test!$B$33,0)</f>
        <v>0</v>
      </c>
      <c r="AA59">
        <f>IF(AND($A59&lt;&gt;AA$1,Recharged_Feasible_mat!AB28),(VLOOKUP(AA$1,test!$A$3:$I$32,8,FALSE))-(VLOOKUP($A59,test!$A$3:$I$32,9,FALSE))-test!$B$33,0)</f>
        <v>0</v>
      </c>
      <c r="AB59">
        <f>IF(AND($A59&lt;&gt;AB$1,Recharged_Feasible_mat!AC28),(VLOOKUP(AB$1,test!$A$3:$I$32,8,FALSE))-(VLOOKUP($A59,test!$A$3:$I$32,9,FALSE))-test!$B$33,0)</f>
        <v>0</v>
      </c>
      <c r="AC59">
        <f>IF(AND($A59&lt;&gt;AC$1,Recharged_Feasible_mat!AD28),(VLOOKUP(AC$1,test!$A$3:$I$32,8,FALSE))-(VLOOKUP($A59,test!$A$3:$I$32,9,FALSE))-test!$B$33,0)</f>
        <v>0</v>
      </c>
      <c r="AD59">
        <f>IF(AND($A59&lt;&gt;AD$1,Recharged_Feasible_mat!AE28),(VLOOKUP(AD$1,test!$A$3:$I$32,8,FALSE))-(VLOOKUP($A59,test!$A$3:$I$32,9,FALSE))-test!$B$33,0)</f>
        <v>0</v>
      </c>
      <c r="AE59">
        <f>IF(AND($A59&lt;&gt;AE$1,Recharged_Feasible_mat!AF28),(VLOOKUP(AE$1,test!$A$3:$I$32,8,FALSE))-(VLOOKUP($A59,test!$A$3:$I$32,9,FALSE))-test!$B$33,0)</f>
        <v>0</v>
      </c>
      <c r="AF59">
        <f>IF(AND($A59&lt;&gt;AF$1,Recharged_Feasible_mat!AG28),(VLOOKUP(AF$1,test!$A$3:$I$32,8,FALSE))-(VLOOKUP($A59,test!$A$3:$I$32,9,FALSE))-test!$B$33,0)</f>
        <v>0</v>
      </c>
    </row>
    <row r="60" spans="1:32" x14ac:dyDescent="0.25">
      <c r="A60" t="s">
        <v>38</v>
      </c>
      <c r="B60">
        <v>0</v>
      </c>
      <c r="C60">
        <f>IF(AND($A60&lt;&gt;C$1,Recharged_Feasible_mat!D29),(VLOOKUP(C$1,test!$A$3:$I$32,8,FALSE))-(VLOOKUP($A60,test!$A$3:$I$32,9,FALSE))-(test!$B$33-50),0)</f>
        <v>0</v>
      </c>
      <c r="D60">
        <f>IF(AND($A60&lt;&gt;D$1,Recharged_Feasible_mat!E29),(VLOOKUP(D$1,test!$A$3:$I$32,8,FALSE))-(VLOOKUP($A60,test!$A$3:$I$32,9,FALSE))-(test!$B$33-50),0)</f>
        <v>0</v>
      </c>
      <c r="E60">
        <f>IF(AND($A60&lt;&gt;E$1,Recharged_Feasible_mat!F29),(VLOOKUP(E$1,test!$A$3:$I$32,8,FALSE))-(VLOOKUP($A60,test!$A$3:$I$32,9,FALSE))-(test!$B$33-50),0)</f>
        <v>0</v>
      </c>
      <c r="F60">
        <f>IF(AND($A60&lt;&gt;F$1,Recharged_Feasible_mat!G29),(VLOOKUP(F$1,test!$A$3:$I$32,8,FALSE))-(VLOOKUP($A60,test!$A$3:$I$32,9,FALSE))-(test!$B$33-50),0)</f>
        <v>0</v>
      </c>
      <c r="G60">
        <f>IF(AND($A60&lt;&gt;G$1,Recharged_Feasible_mat!H29),(VLOOKUP(G$1,test!$A$3:$I$32,8,FALSE))-(VLOOKUP($A60,test!$A$3:$I$32,9,FALSE))-(test!$B$33-50),0)</f>
        <v>0</v>
      </c>
      <c r="H60">
        <f>IF(AND($A60&lt;&gt;H$1,Recharged_Feasible_mat!I29),(VLOOKUP(H$1,test!$A$3:$I$32,8,FALSE))-(VLOOKUP($A60,test!$A$3:$I$32,9,FALSE))-(test!$B$33-50),0)</f>
        <v>0</v>
      </c>
      <c r="I60">
        <f>IF(AND($A60&lt;&gt;I$1,Recharged_Feasible_mat!J29),(VLOOKUP(I$1,test!$A$3:$I$32,8,FALSE))-(VLOOKUP($A60,test!$A$3:$I$32,9,FALSE))-(test!$B$33-50),0)</f>
        <v>0</v>
      </c>
      <c r="J60">
        <f>IF(AND($A60&lt;&gt;J$1,Recharged_Feasible_mat!K29),(VLOOKUP(J$1,test!$A$3:$I$32,8,FALSE))-(VLOOKUP($A60,test!$A$3:$I$32,9,FALSE))-(test!$B$33-50),0)</f>
        <v>0</v>
      </c>
      <c r="K60">
        <f>IF(AND($A60&lt;&gt;K$1,Recharged_Feasible_mat!L29),(VLOOKUP(K$1,test!$A$3:$I$32,8,FALSE))-(VLOOKUP($A60,test!$A$3:$I$32,9,FALSE))-(test!$B$33-50),0)</f>
        <v>0</v>
      </c>
      <c r="L60">
        <f>IF(AND($A60&lt;&gt;L$1,Recharged_Feasible_mat!M29),(VLOOKUP(L$1,test!$A$3:$I$32,8,FALSE))-(VLOOKUP($A60,test!$A$3:$I$32,9,FALSE))-test!$B$33,0)</f>
        <v>0</v>
      </c>
      <c r="M60">
        <f>IF(AND($A60&lt;&gt;M$1,Recharged_Feasible_mat!N29),(VLOOKUP(M$1,test!$A$3:$I$32,8,FALSE))-(VLOOKUP($A60,test!$A$3:$I$32,9,FALSE))-test!$B$33,0)</f>
        <v>0</v>
      </c>
      <c r="N60">
        <f>IF(AND($A60&lt;&gt;N$1,Recharged_Feasible_mat!O29),(VLOOKUP(N$1,test!$A$3:$I$32,8,FALSE))-(VLOOKUP($A60,test!$A$3:$I$32,9,FALSE))-test!$B$33,0)</f>
        <v>0</v>
      </c>
      <c r="O60">
        <f>IF(AND($A60&lt;&gt;O$1,Recharged_Feasible_mat!P29),(VLOOKUP(O$1,test!$A$3:$I$32,8,FALSE))-(VLOOKUP($A60,test!$A$3:$I$32,9,FALSE))-test!$B$33,0)</f>
        <v>0</v>
      </c>
      <c r="P60">
        <f>IF(AND($A60&lt;&gt;P$1,Recharged_Feasible_mat!Q29),(VLOOKUP(P$1,test!$A$3:$I$32,8,FALSE))-(VLOOKUP($A60,test!$A$3:$I$32,9,FALSE))-test!$B$33,0)</f>
        <v>0</v>
      </c>
      <c r="Q60">
        <f>IF(AND($A60&lt;&gt;Q$1,Recharged_Feasible_mat!R29),(VLOOKUP(Q$1,test!$A$3:$I$32,8,FALSE))-(VLOOKUP($A60,test!$A$3:$I$32,9,FALSE))-test!$B$33,0)</f>
        <v>0</v>
      </c>
      <c r="R60">
        <f>IF(AND($A60&lt;&gt;R$1,Recharged_Feasible_mat!S29),(VLOOKUP(R$1,test!$A$3:$I$32,8,FALSE))-(VLOOKUP($A60,test!$A$3:$I$32,9,FALSE))-test!$B$33,0)</f>
        <v>0</v>
      </c>
      <c r="S60">
        <f>IF(AND($A60&lt;&gt;S$1,Recharged_Feasible_mat!T29),(VLOOKUP(S$1,test!$A$3:$I$32,8,FALSE))-(VLOOKUP($A60,test!$A$3:$I$32,9,FALSE))-test!$B$33,0)</f>
        <v>0</v>
      </c>
      <c r="T60">
        <f>IF(AND($A60&lt;&gt;T$1,Recharged_Feasible_mat!U29),(VLOOKUP(T$1,test!$A$3:$I$32,8,FALSE))-(VLOOKUP($A60,test!$A$3:$I$32,9,FALSE))-test!$B$33,0)</f>
        <v>0</v>
      </c>
      <c r="U60">
        <f>IF(AND($A60&lt;&gt;U$1,Recharged_Feasible_mat!V29),(VLOOKUP(U$1,test!$A$3:$I$32,8,FALSE))-(VLOOKUP($A60,test!$A$3:$I$32,9,FALSE))-test!$B$33,0)</f>
        <v>0</v>
      </c>
      <c r="V60">
        <f>IF(AND($A60&lt;&gt;V$1,Recharged_Feasible_mat!W29),(VLOOKUP(V$1,test!$A$3:$I$32,8,FALSE))-(VLOOKUP($A60,test!$A$3:$I$32,9,FALSE))-test!$B$33,0)</f>
        <v>0</v>
      </c>
      <c r="W60">
        <f>IF(AND($A60&lt;&gt;W$1,Recharged_Feasible_mat!X29),(VLOOKUP(W$1,test!$A$3:$I$32,8,FALSE))-(VLOOKUP($A60,test!$A$3:$I$32,9,FALSE))-test!$B$33,0)</f>
        <v>0</v>
      </c>
      <c r="X60">
        <f>IF(AND($A60&lt;&gt;X$1,Recharged_Feasible_mat!Y29),(VLOOKUP(X$1,test!$A$3:$I$32,8,FALSE))-(VLOOKUP($A60,test!$A$3:$I$32,9,FALSE))-test!$B$33,0)</f>
        <v>0</v>
      </c>
      <c r="Y60">
        <f>IF(AND($A60&lt;&gt;Y$1,Recharged_Feasible_mat!Z29),(VLOOKUP(Y$1,test!$A$3:$I$32,8,FALSE))-(VLOOKUP($A60,test!$A$3:$I$32,9,FALSE))-test!$B$33,0)</f>
        <v>0</v>
      </c>
      <c r="Z60">
        <f>IF(AND($A60&lt;&gt;Z$1,Recharged_Feasible_mat!AA29),(VLOOKUP(Z$1,test!$A$3:$I$32,8,FALSE))-(VLOOKUP($A60,test!$A$3:$I$32,9,FALSE))-test!$B$33,0)</f>
        <v>0</v>
      </c>
      <c r="AA60">
        <f>IF(AND($A60&lt;&gt;AA$1,Recharged_Feasible_mat!AB29),(VLOOKUP(AA$1,test!$A$3:$I$32,8,FALSE))-(VLOOKUP($A60,test!$A$3:$I$32,9,FALSE))-test!$B$33,0)</f>
        <v>0</v>
      </c>
      <c r="AB60">
        <f>IF(AND($A60&lt;&gt;AB$1,Recharged_Feasible_mat!AC29),(VLOOKUP(AB$1,test!$A$3:$I$32,8,FALSE))-(VLOOKUP($A60,test!$A$3:$I$32,9,FALSE))-test!$B$33,0)</f>
        <v>0</v>
      </c>
      <c r="AC60">
        <f>IF(AND($A60&lt;&gt;AC$1,Recharged_Feasible_mat!AD29),(VLOOKUP(AC$1,test!$A$3:$I$32,8,FALSE))-(VLOOKUP($A60,test!$A$3:$I$32,9,FALSE))-test!$B$33,0)</f>
        <v>0</v>
      </c>
      <c r="AD60">
        <f>IF(AND($A60&lt;&gt;AD$1,Recharged_Feasible_mat!AE29),(VLOOKUP(AD$1,test!$A$3:$I$32,8,FALSE))-(VLOOKUP($A60,test!$A$3:$I$32,9,FALSE))-test!$B$33,0)</f>
        <v>0</v>
      </c>
      <c r="AE60">
        <f>IF(AND($A60&lt;&gt;AE$1,Recharged_Feasible_mat!AF29),(VLOOKUP(AE$1,test!$A$3:$I$32,8,FALSE))-(VLOOKUP($A60,test!$A$3:$I$32,9,FALSE))-test!$B$33,0)</f>
        <v>0</v>
      </c>
      <c r="AF60">
        <f>IF(AND($A60&lt;&gt;AF$1,Recharged_Feasible_mat!AG29),(VLOOKUP(AF$1,test!$A$3:$I$32,8,FALSE))-(VLOOKUP($A60,test!$A$3:$I$32,9,FALSE))-test!$B$33,0)</f>
        <v>0</v>
      </c>
    </row>
    <row r="61" spans="1:32" x14ac:dyDescent="0.25">
      <c r="A61" t="s">
        <v>39</v>
      </c>
      <c r="B61">
        <v>0</v>
      </c>
      <c r="C61">
        <f>IF(AND($A61&lt;&gt;C$1,Recharged_Feasible_mat!D30),(VLOOKUP(C$1,test!$A$3:$I$32,8,FALSE))-(VLOOKUP($A61,test!$A$3:$I$32,9,FALSE))-(test!$B$33-50),0)</f>
        <v>0</v>
      </c>
      <c r="D61">
        <f>IF(AND($A61&lt;&gt;D$1,Recharged_Feasible_mat!E30),(VLOOKUP(D$1,test!$A$3:$I$32,8,FALSE))-(VLOOKUP($A61,test!$A$3:$I$32,9,FALSE))-(test!$B$33-50),0)</f>
        <v>0</v>
      </c>
      <c r="E61">
        <f>IF(AND($A61&lt;&gt;E$1,Recharged_Feasible_mat!F30),(VLOOKUP(E$1,test!$A$3:$I$32,8,FALSE))-(VLOOKUP($A61,test!$A$3:$I$32,9,FALSE))-(test!$B$33-50),0)</f>
        <v>110</v>
      </c>
      <c r="F61">
        <f>IF(AND($A61&lt;&gt;F$1,Recharged_Feasible_mat!G30),(VLOOKUP(F$1,test!$A$3:$I$32,8,FALSE))-(VLOOKUP($A61,test!$A$3:$I$32,9,FALSE))-(test!$B$33-50),0)</f>
        <v>200</v>
      </c>
      <c r="G61">
        <f>IF(AND($A61&lt;&gt;G$1,Recharged_Feasible_mat!H30),(VLOOKUP(G$1,test!$A$3:$I$32,8,FALSE))-(VLOOKUP($A61,test!$A$3:$I$32,9,FALSE))-(test!$B$33-50),0)</f>
        <v>260</v>
      </c>
      <c r="H61">
        <f>IF(AND($A61&lt;&gt;H$1,Recharged_Feasible_mat!I30),(VLOOKUP(H$1,test!$A$3:$I$32,8,FALSE))-(VLOOKUP($A61,test!$A$3:$I$32,9,FALSE))-(test!$B$33-50),0)</f>
        <v>320</v>
      </c>
      <c r="I61">
        <f>IF(AND($A61&lt;&gt;I$1,Recharged_Feasible_mat!J30),(VLOOKUP(I$1,test!$A$3:$I$32,8,FALSE))-(VLOOKUP($A61,test!$A$3:$I$32,9,FALSE))-(test!$B$33-50),0)</f>
        <v>380</v>
      </c>
      <c r="J61">
        <f>IF(AND($A61&lt;&gt;J$1,Recharged_Feasible_mat!K30),(VLOOKUP(J$1,test!$A$3:$I$32,8,FALSE))-(VLOOKUP($A61,test!$A$3:$I$32,9,FALSE))-(test!$B$33-50),0)</f>
        <v>470</v>
      </c>
      <c r="K61">
        <f>IF(AND($A61&lt;&gt;K$1,Recharged_Feasible_mat!L30),(VLOOKUP(K$1,test!$A$3:$I$32,8,FALSE))-(VLOOKUP($A61,test!$A$3:$I$32,9,FALSE))-(test!$B$33-50),0)</f>
        <v>0</v>
      </c>
      <c r="L61">
        <f>IF(AND($A61&lt;&gt;L$1,Recharged_Feasible_mat!M30),(VLOOKUP(L$1,test!$A$3:$I$32,8,FALSE))-(VLOOKUP($A61,test!$A$3:$I$32,9,FALSE))-test!$B$33,0)</f>
        <v>0</v>
      </c>
      <c r="M61">
        <f>IF(AND($A61&lt;&gt;M$1,Recharged_Feasible_mat!N30),(VLOOKUP(M$1,test!$A$3:$I$32,8,FALSE))-(VLOOKUP($A61,test!$A$3:$I$32,9,FALSE))-test!$B$33,0)</f>
        <v>0</v>
      </c>
      <c r="N61">
        <f>IF(AND($A61&lt;&gt;N$1,Recharged_Feasible_mat!O30),(VLOOKUP(N$1,test!$A$3:$I$32,8,FALSE))-(VLOOKUP($A61,test!$A$3:$I$32,9,FALSE))-test!$B$33,0)</f>
        <v>385</v>
      </c>
      <c r="O61">
        <f>IF(AND($A61&lt;&gt;O$1,Recharged_Feasible_mat!P30),(VLOOKUP(O$1,test!$A$3:$I$32,8,FALSE))-(VLOOKUP($A61,test!$A$3:$I$32,9,FALSE))-test!$B$33,0)</f>
        <v>445</v>
      </c>
      <c r="P61">
        <f>IF(AND($A61&lt;&gt;P$1,Recharged_Feasible_mat!Q30),(VLOOKUP(P$1,test!$A$3:$I$32,8,FALSE))-(VLOOKUP($A61,test!$A$3:$I$32,9,FALSE))-test!$B$33,0)</f>
        <v>0</v>
      </c>
      <c r="Q61">
        <f>IF(AND($A61&lt;&gt;Q$1,Recharged_Feasible_mat!R30),(VLOOKUP(Q$1,test!$A$3:$I$32,8,FALSE))-(VLOOKUP($A61,test!$A$3:$I$32,9,FALSE))-test!$B$33,0)</f>
        <v>0</v>
      </c>
      <c r="R61">
        <f>IF(AND($A61&lt;&gt;R$1,Recharged_Feasible_mat!S30),(VLOOKUP(R$1,test!$A$3:$I$32,8,FALSE))-(VLOOKUP($A61,test!$A$3:$I$32,9,FALSE))-test!$B$33,0)</f>
        <v>0</v>
      </c>
      <c r="S61">
        <f>IF(AND($A61&lt;&gt;S$1,Recharged_Feasible_mat!T30),(VLOOKUP(S$1,test!$A$3:$I$32,8,FALSE))-(VLOOKUP($A61,test!$A$3:$I$32,9,FALSE))-test!$B$33,0)</f>
        <v>0</v>
      </c>
      <c r="T61">
        <f>IF(AND($A61&lt;&gt;T$1,Recharged_Feasible_mat!U30),(VLOOKUP(T$1,test!$A$3:$I$32,8,FALSE))-(VLOOKUP($A61,test!$A$3:$I$32,9,FALSE))-test!$B$33,0)</f>
        <v>40</v>
      </c>
      <c r="U61">
        <f>IF(AND($A61&lt;&gt;U$1,Recharged_Feasible_mat!V30),(VLOOKUP(U$1,test!$A$3:$I$32,8,FALSE))-(VLOOKUP($A61,test!$A$3:$I$32,9,FALSE))-test!$B$33,0)</f>
        <v>130</v>
      </c>
      <c r="V61">
        <f>IF(AND($A61&lt;&gt;V$1,Recharged_Feasible_mat!W30),(VLOOKUP(V$1,test!$A$3:$I$32,8,FALSE))-(VLOOKUP($A61,test!$A$3:$I$32,9,FALSE))-test!$B$33,0)</f>
        <v>220</v>
      </c>
      <c r="W61">
        <f>IF(AND($A61&lt;&gt;W$1,Recharged_Feasible_mat!X30),(VLOOKUP(W$1,test!$A$3:$I$32,8,FALSE))-(VLOOKUP($A61,test!$A$3:$I$32,9,FALSE))-test!$B$33,0)</f>
        <v>310</v>
      </c>
      <c r="X61">
        <f>IF(AND($A61&lt;&gt;X$1,Recharged_Feasible_mat!Y30),(VLOOKUP(X$1,test!$A$3:$I$32,8,FALSE))-(VLOOKUP($A61,test!$A$3:$I$32,9,FALSE))-test!$B$33,0)</f>
        <v>370</v>
      </c>
      <c r="Y61">
        <f>IF(AND($A61&lt;&gt;Y$1,Recharged_Feasible_mat!Z30),(VLOOKUP(Y$1,test!$A$3:$I$32,8,FALSE))-(VLOOKUP($A61,test!$A$3:$I$32,9,FALSE))-test!$B$33,0)</f>
        <v>0</v>
      </c>
      <c r="Z61">
        <f>IF(AND($A61&lt;&gt;Z$1,Recharged_Feasible_mat!AA30),(VLOOKUP(Z$1,test!$A$3:$I$32,8,FALSE))-(VLOOKUP($A61,test!$A$3:$I$32,9,FALSE))-test!$B$33,0)</f>
        <v>0</v>
      </c>
      <c r="AA61">
        <f>IF(AND($A61&lt;&gt;AA$1,Recharged_Feasible_mat!AB30),(VLOOKUP(AA$1,test!$A$3:$I$32,8,FALSE))-(VLOOKUP($A61,test!$A$3:$I$32,9,FALSE))-test!$B$33,0)</f>
        <v>90</v>
      </c>
      <c r="AB61">
        <f>IF(AND($A61&lt;&gt;AB$1,Recharged_Feasible_mat!AC30),(VLOOKUP(AB$1,test!$A$3:$I$32,8,FALSE))-(VLOOKUP($A61,test!$A$3:$I$32,9,FALSE))-test!$B$33,0)</f>
        <v>150</v>
      </c>
      <c r="AC61">
        <f>IF(AND($A61&lt;&gt;AC$1,Recharged_Feasible_mat!AD30),(VLOOKUP(AC$1,test!$A$3:$I$32,8,FALSE))-(VLOOKUP($A61,test!$A$3:$I$32,9,FALSE))-test!$B$33,0)</f>
        <v>270</v>
      </c>
      <c r="AD61">
        <f>IF(AND($A61&lt;&gt;AD$1,Recharged_Feasible_mat!AE30),(VLOOKUP(AD$1,test!$A$3:$I$32,8,FALSE))-(VLOOKUP($A61,test!$A$3:$I$32,9,FALSE))-test!$B$33,0)</f>
        <v>0</v>
      </c>
      <c r="AE61">
        <f>IF(AND($A61&lt;&gt;AE$1,Recharged_Feasible_mat!AF30),(VLOOKUP(AE$1,test!$A$3:$I$32,8,FALSE))-(VLOOKUP($A61,test!$A$3:$I$32,9,FALSE))-test!$B$33,0)</f>
        <v>90</v>
      </c>
      <c r="AF61">
        <f>IF(AND($A61&lt;&gt;AF$1,Recharged_Feasible_mat!AG30),(VLOOKUP(AF$1,test!$A$3:$I$32,8,FALSE))-(VLOOKUP($A61,test!$A$3:$I$32,9,FALSE))-test!$B$33,0)</f>
        <v>40</v>
      </c>
    </row>
    <row r="62" spans="1:32" x14ac:dyDescent="0.25">
      <c r="A62" t="s">
        <v>40</v>
      </c>
      <c r="B62">
        <v>0</v>
      </c>
      <c r="C62">
        <f>IF(AND($A62&lt;&gt;C$1,Recharged_Feasible_mat!D31),(VLOOKUP(C$1,test!$A$3:$I$32,8,FALSE))-(VLOOKUP($A62,test!$A$3:$I$32,9,FALSE))-(test!$B$33-50),0)</f>
        <v>0</v>
      </c>
      <c r="D62">
        <f>IF(AND($A62&lt;&gt;D$1,Recharged_Feasible_mat!E31),(VLOOKUP(D$1,test!$A$3:$I$32,8,FALSE))-(VLOOKUP($A62,test!$A$3:$I$32,9,FALSE))-(test!$B$33-50),0)</f>
        <v>0</v>
      </c>
      <c r="E62">
        <f>IF(AND($A62&lt;&gt;E$1,Recharged_Feasible_mat!F31),(VLOOKUP(E$1,test!$A$3:$I$32,8,FALSE))-(VLOOKUP($A62,test!$A$3:$I$32,9,FALSE))-(test!$B$33-50),0)</f>
        <v>0</v>
      </c>
      <c r="F62">
        <f>IF(AND($A62&lt;&gt;F$1,Recharged_Feasible_mat!G31),(VLOOKUP(F$1,test!$A$3:$I$32,8,FALSE))-(VLOOKUP($A62,test!$A$3:$I$32,9,FALSE))-(test!$B$33-50),0)</f>
        <v>0</v>
      </c>
      <c r="G62">
        <f>IF(AND($A62&lt;&gt;G$1,Recharged_Feasible_mat!H31),(VLOOKUP(G$1,test!$A$3:$I$32,8,FALSE))-(VLOOKUP($A62,test!$A$3:$I$32,9,FALSE))-(test!$B$33-50),0)</f>
        <v>0</v>
      </c>
      <c r="H62">
        <f>IF(AND($A62&lt;&gt;H$1,Recharged_Feasible_mat!I31),(VLOOKUP(H$1,test!$A$3:$I$32,8,FALSE))-(VLOOKUP($A62,test!$A$3:$I$32,9,FALSE))-(test!$B$33-50),0)</f>
        <v>0</v>
      </c>
      <c r="I62">
        <f>IF(AND($A62&lt;&gt;I$1,Recharged_Feasible_mat!J31),(VLOOKUP(I$1,test!$A$3:$I$32,8,FALSE))-(VLOOKUP($A62,test!$A$3:$I$32,9,FALSE))-(test!$B$33-50),0)</f>
        <v>0</v>
      </c>
      <c r="J62">
        <f>IF(AND($A62&lt;&gt;J$1,Recharged_Feasible_mat!K31),(VLOOKUP(J$1,test!$A$3:$I$32,8,FALSE))-(VLOOKUP($A62,test!$A$3:$I$32,9,FALSE))-(test!$B$33-50),0)</f>
        <v>120</v>
      </c>
      <c r="K62">
        <f>IF(AND($A62&lt;&gt;K$1,Recharged_Feasible_mat!L31),(VLOOKUP(K$1,test!$A$3:$I$32,8,FALSE))-(VLOOKUP($A62,test!$A$3:$I$32,9,FALSE))-(test!$B$33-50),0)</f>
        <v>0</v>
      </c>
      <c r="L62">
        <f>IF(AND($A62&lt;&gt;L$1,Recharged_Feasible_mat!M31),(VLOOKUP(L$1,test!$A$3:$I$32,8,FALSE))-(VLOOKUP($A62,test!$A$3:$I$32,9,FALSE))-test!$B$33,0)</f>
        <v>0</v>
      </c>
      <c r="M62">
        <f>IF(AND($A62&lt;&gt;M$1,Recharged_Feasible_mat!N31),(VLOOKUP(M$1,test!$A$3:$I$32,8,FALSE))-(VLOOKUP($A62,test!$A$3:$I$32,9,FALSE))-test!$B$33,0)</f>
        <v>0</v>
      </c>
      <c r="N62">
        <f>IF(AND($A62&lt;&gt;N$1,Recharged_Feasible_mat!O31),(VLOOKUP(N$1,test!$A$3:$I$32,8,FALSE))-(VLOOKUP($A62,test!$A$3:$I$32,9,FALSE))-test!$B$33,0)</f>
        <v>35</v>
      </c>
      <c r="O62">
        <f>IF(AND($A62&lt;&gt;O$1,Recharged_Feasible_mat!P31),(VLOOKUP(O$1,test!$A$3:$I$32,8,FALSE))-(VLOOKUP($A62,test!$A$3:$I$32,9,FALSE))-test!$B$33,0)</f>
        <v>95</v>
      </c>
      <c r="P62">
        <f>IF(AND($A62&lt;&gt;P$1,Recharged_Feasible_mat!Q31),(VLOOKUP(P$1,test!$A$3:$I$32,8,FALSE))-(VLOOKUP($A62,test!$A$3:$I$32,9,FALSE))-test!$B$33,0)</f>
        <v>0</v>
      </c>
      <c r="Q62">
        <f>IF(AND($A62&lt;&gt;Q$1,Recharged_Feasible_mat!R31),(VLOOKUP(Q$1,test!$A$3:$I$32,8,FALSE))-(VLOOKUP($A62,test!$A$3:$I$32,9,FALSE))-test!$B$33,0)</f>
        <v>0</v>
      </c>
      <c r="R62">
        <f>IF(AND($A62&lt;&gt;R$1,Recharged_Feasible_mat!S31),(VLOOKUP(R$1,test!$A$3:$I$32,8,FALSE))-(VLOOKUP($A62,test!$A$3:$I$32,9,FALSE))-test!$B$33,0)</f>
        <v>0</v>
      </c>
      <c r="S62">
        <f>IF(AND($A62&lt;&gt;S$1,Recharged_Feasible_mat!T31),(VLOOKUP(S$1,test!$A$3:$I$32,8,FALSE))-(VLOOKUP($A62,test!$A$3:$I$32,9,FALSE))-test!$B$33,0)</f>
        <v>0</v>
      </c>
      <c r="T62">
        <f>IF(AND($A62&lt;&gt;T$1,Recharged_Feasible_mat!U31),(VLOOKUP(T$1,test!$A$3:$I$32,8,FALSE))-(VLOOKUP($A62,test!$A$3:$I$32,9,FALSE))-test!$B$33,0)</f>
        <v>0</v>
      </c>
      <c r="U62">
        <f>IF(AND($A62&lt;&gt;U$1,Recharged_Feasible_mat!V31),(VLOOKUP(U$1,test!$A$3:$I$32,8,FALSE))-(VLOOKUP($A62,test!$A$3:$I$32,9,FALSE))-test!$B$33,0)</f>
        <v>0</v>
      </c>
      <c r="V62">
        <f>IF(AND($A62&lt;&gt;V$1,Recharged_Feasible_mat!W31),(VLOOKUP(V$1,test!$A$3:$I$32,8,FALSE))-(VLOOKUP($A62,test!$A$3:$I$32,9,FALSE))-test!$B$33,0)</f>
        <v>0</v>
      </c>
      <c r="W62">
        <f>IF(AND($A62&lt;&gt;W$1,Recharged_Feasible_mat!X31),(VLOOKUP(W$1,test!$A$3:$I$32,8,FALSE))-(VLOOKUP($A62,test!$A$3:$I$32,9,FALSE))-test!$B$33,0)</f>
        <v>0</v>
      </c>
      <c r="X62">
        <f>IF(AND($A62&lt;&gt;X$1,Recharged_Feasible_mat!Y31),(VLOOKUP(X$1,test!$A$3:$I$32,8,FALSE))-(VLOOKUP($A62,test!$A$3:$I$32,9,FALSE))-test!$B$33,0)</f>
        <v>0</v>
      </c>
      <c r="Y62">
        <f>IF(AND($A62&lt;&gt;Y$1,Recharged_Feasible_mat!Z31),(VLOOKUP(Y$1,test!$A$3:$I$32,8,FALSE))-(VLOOKUP($A62,test!$A$3:$I$32,9,FALSE))-test!$B$33,0)</f>
        <v>0</v>
      </c>
      <c r="Z62">
        <f>IF(AND($A62&lt;&gt;Z$1,Recharged_Feasible_mat!AA31),(VLOOKUP(Z$1,test!$A$3:$I$32,8,FALSE))-(VLOOKUP($A62,test!$A$3:$I$32,9,FALSE))-test!$B$33,0)</f>
        <v>0</v>
      </c>
      <c r="AA62">
        <f>IF(AND($A62&lt;&gt;AA$1,Recharged_Feasible_mat!AB31),(VLOOKUP(AA$1,test!$A$3:$I$32,8,FALSE))-(VLOOKUP($A62,test!$A$3:$I$32,9,FALSE))-test!$B$33,0)</f>
        <v>0</v>
      </c>
      <c r="AB62">
        <f>IF(AND($A62&lt;&gt;AB$1,Recharged_Feasible_mat!AC31),(VLOOKUP(AB$1,test!$A$3:$I$32,8,FALSE))-(VLOOKUP($A62,test!$A$3:$I$32,9,FALSE))-test!$B$33,0)</f>
        <v>0</v>
      </c>
      <c r="AC62">
        <f>IF(AND($A62&lt;&gt;AC$1,Recharged_Feasible_mat!AD31),(VLOOKUP(AC$1,test!$A$3:$I$32,8,FALSE))-(VLOOKUP($A62,test!$A$3:$I$32,9,FALSE))-test!$B$33,0)</f>
        <v>0</v>
      </c>
      <c r="AD62">
        <f>IF(AND($A62&lt;&gt;AD$1,Recharged_Feasible_mat!AE31),(VLOOKUP(AD$1,test!$A$3:$I$32,8,FALSE))-(VLOOKUP($A62,test!$A$3:$I$32,9,FALSE))-test!$B$33,0)</f>
        <v>0</v>
      </c>
      <c r="AE62">
        <f>IF(AND($A62&lt;&gt;AE$1,Recharged_Feasible_mat!AF31),(VLOOKUP(AE$1,test!$A$3:$I$32,8,FALSE))-(VLOOKUP($A62,test!$A$3:$I$32,9,FALSE))-test!$B$33,0)</f>
        <v>0</v>
      </c>
      <c r="AF62">
        <f>IF(AND($A62&lt;&gt;AF$1,Recharged_Feasible_mat!AG31),(VLOOKUP(AF$1,test!$A$3:$I$32,8,FALSE))-(VLOOKUP($A62,test!$A$3:$I$32,9,FALSE))-test!$B$33,0)</f>
        <v>0</v>
      </c>
    </row>
    <row r="63" spans="1:32" x14ac:dyDescent="0.25">
      <c r="A63" t="s">
        <v>41</v>
      </c>
      <c r="B63">
        <v>0</v>
      </c>
      <c r="C63">
        <f>IF(AND($A63&lt;&gt;C$1,Recharged_Feasible_mat!D32),(VLOOKUP(C$1,test!$A$3:$I$32,8,FALSE))-(VLOOKUP($A63,test!$A$3:$I$32,9,FALSE))-(test!$B$33-50),0)</f>
        <v>0</v>
      </c>
      <c r="D63">
        <f>IF(AND($A63&lt;&gt;D$1,Recharged_Feasible_mat!E32),(VLOOKUP(D$1,test!$A$3:$I$32,8,FALSE))-(VLOOKUP($A63,test!$A$3:$I$32,9,FALSE))-(test!$B$33-50),0)</f>
        <v>0</v>
      </c>
      <c r="E63">
        <f>IF(AND($A63&lt;&gt;E$1,Recharged_Feasible_mat!F32),(VLOOKUP(E$1,test!$A$3:$I$32,8,FALSE))-(VLOOKUP($A63,test!$A$3:$I$32,9,FALSE))-(test!$B$33-50),0)</f>
        <v>0</v>
      </c>
      <c r="F63">
        <f>IF(AND($A63&lt;&gt;F$1,Recharged_Feasible_mat!G32),(VLOOKUP(F$1,test!$A$3:$I$32,8,FALSE))-(VLOOKUP($A63,test!$A$3:$I$32,9,FALSE))-(test!$B$33-50),0)</f>
        <v>0</v>
      </c>
      <c r="G63">
        <f>IF(AND($A63&lt;&gt;G$1,Recharged_Feasible_mat!H32),(VLOOKUP(G$1,test!$A$3:$I$32,8,FALSE))-(VLOOKUP($A63,test!$A$3:$I$32,9,FALSE))-(test!$B$33-50),0)</f>
        <v>0</v>
      </c>
      <c r="H63">
        <f>IF(AND($A63&lt;&gt;H$1,Recharged_Feasible_mat!I32),(VLOOKUP(H$1,test!$A$3:$I$32,8,FALSE))-(VLOOKUP($A63,test!$A$3:$I$32,9,FALSE))-(test!$B$33-50),0)</f>
        <v>0</v>
      </c>
      <c r="I63">
        <f>IF(AND($A63&lt;&gt;I$1,Recharged_Feasible_mat!J32),(VLOOKUP(I$1,test!$A$3:$I$32,8,FALSE))-(VLOOKUP($A63,test!$A$3:$I$32,9,FALSE))-(test!$B$33-50),0)</f>
        <v>0</v>
      </c>
      <c r="J63">
        <f>IF(AND($A63&lt;&gt;J$1,Recharged_Feasible_mat!K32),(VLOOKUP(J$1,test!$A$3:$I$32,8,FALSE))-(VLOOKUP($A63,test!$A$3:$I$32,9,FALSE))-(test!$B$33-50),0)</f>
        <v>110</v>
      </c>
      <c r="K63">
        <f>IF(AND($A63&lt;&gt;K$1,Recharged_Feasible_mat!L32),(VLOOKUP(K$1,test!$A$3:$I$32,8,FALSE))-(VLOOKUP($A63,test!$A$3:$I$32,9,FALSE))-(test!$B$33-50),0)</f>
        <v>0</v>
      </c>
      <c r="L63">
        <f>IF(AND($A63&lt;&gt;L$1,Recharged_Feasible_mat!M32),(VLOOKUP(L$1,test!$A$3:$I$32,8,FALSE))-(VLOOKUP($A63,test!$A$3:$I$32,9,FALSE))-test!$B$33,0)</f>
        <v>0</v>
      </c>
      <c r="M63">
        <f>IF(AND($A63&lt;&gt;M$1,Recharged_Feasible_mat!N32),(VLOOKUP(M$1,test!$A$3:$I$32,8,FALSE))-(VLOOKUP($A63,test!$A$3:$I$32,9,FALSE))-test!$B$33,0)</f>
        <v>0</v>
      </c>
      <c r="N63">
        <f>IF(AND($A63&lt;&gt;N$1,Recharged_Feasible_mat!O32),(VLOOKUP(N$1,test!$A$3:$I$32,8,FALSE))-(VLOOKUP($A63,test!$A$3:$I$32,9,FALSE))-test!$B$33,0)</f>
        <v>0</v>
      </c>
      <c r="O63">
        <f>IF(AND($A63&lt;&gt;O$1,Recharged_Feasible_mat!P32),(VLOOKUP(O$1,test!$A$3:$I$32,8,FALSE))-(VLOOKUP($A63,test!$A$3:$I$32,9,FALSE))-test!$B$33,0)</f>
        <v>85</v>
      </c>
      <c r="P63">
        <f>IF(AND($A63&lt;&gt;P$1,Recharged_Feasible_mat!Q32),(VLOOKUP(P$1,test!$A$3:$I$32,8,FALSE))-(VLOOKUP($A63,test!$A$3:$I$32,9,FALSE))-test!$B$33,0)</f>
        <v>0</v>
      </c>
      <c r="Q63">
        <f>IF(AND($A63&lt;&gt;Q$1,Recharged_Feasible_mat!R32),(VLOOKUP(Q$1,test!$A$3:$I$32,8,FALSE))-(VLOOKUP($A63,test!$A$3:$I$32,9,FALSE))-test!$B$33,0)</f>
        <v>0</v>
      </c>
      <c r="R63">
        <f>IF(AND($A63&lt;&gt;R$1,Recharged_Feasible_mat!S32),(VLOOKUP(R$1,test!$A$3:$I$32,8,FALSE))-(VLOOKUP($A63,test!$A$3:$I$32,9,FALSE))-test!$B$33,0)</f>
        <v>0</v>
      </c>
      <c r="S63">
        <f>IF(AND($A63&lt;&gt;S$1,Recharged_Feasible_mat!T32),(VLOOKUP(S$1,test!$A$3:$I$32,8,FALSE))-(VLOOKUP($A63,test!$A$3:$I$32,9,FALSE))-test!$B$33,0)</f>
        <v>0</v>
      </c>
      <c r="T63">
        <f>IF(AND($A63&lt;&gt;T$1,Recharged_Feasible_mat!U32),(VLOOKUP(T$1,test!$A$3:$I$32,8,FALSE))-(VLOOKUP($A63,test!$A$3:$I$32,9,FALSE))-test!$B$33,0)</f>
        <v>0</v>
      </c>
      <c r="U63">
        <f>IF(AND($A63&lt;&gt;U$1,Recharged_Feasible_mat!V32),(VLOOKUP(U$1,test!$A$3:$I$32,8,FALSE))-(VLOOKUP($A63,test!$A$3:$I$32,9,FALSE))-test!$B$33,0)</f>
        <v>0</v>
      </c>
      <c r="V63">
        <f>IF(AND($A63&lt;&gt;V$1,Recharged_Feasible_mat!W32),(VLOOKUP(V$1,test!$A$3:$I$32,8,FALSE))-(VLOOKUP($A63,test!$A$3:$I$32,9,FALSE))-test!$B$33,0)</f>
        <v>0</v>
      </c>
      <c r="W63">
        <f>IF(AND($A63&lt;&gt;W$1,Recharged_Feasible_mat!X32),(VLOOKUP(W$1,test!$A$3:$I$32,8,FALSE))-(VLOOKUP($A63,test!$A$3:$I$32,9,FALSE))-test!$B$33,0)</f>
        <v>0</v>
      </c>
      <c r="X63">
        <f>IF(AND($A63&lt;&gt;X$1,Recharged_Feasible_mat!Y32),(VLOOKUP(X$1,test!$A$3:$I$32,8,FALSE))-(VLOOKUP($A63,test!$A$3:$I$32,9,FALSE))-test!$B$33,0)</f>
        <v>0</v>
      </c>
      <c r="Y63">
        <f>IF(AND($A63&lt;&gt;Y$1,Recharged_Feasible_mat!Z32),(VLOOKUP(Y$1,test!$A$3:$I$32,8,FALSE))-(VLOOKUP($A63,test!$A$3:$I$32,9,FALSE))-test!$B$33,0)</f>
        <v>0</v>
      </c>
      <c r="Z63">
        <f>IF(AND($A63&lt;&gt;Z$1,Recharged_Feasible_mat!AA32),(VLOOKUP(Z$1,test!$A$3:$I$32,8,FALSE))-(VLOOKUP($A63,test!$A$3:$I$32,9,FALSE))-test!$B$33,0)</f>
        <v>0</v>
      </c>
      <c r="AA63">
        <f>IF(AND($A63&lt;&gt;AA$1,Recharged_Feasible_mat!AB32),(VLOOKUP(AA$1,test!$A$3:$I$32,8,FALSE))-(VLOOKUP($A63,test!$A$3:$I$32,9,FALSE))-test!$B$33,0)</f>
        <v>0</v>
      </c>
      <c r="AB63">
        <f>IF(AND($A63&lt;&gt;AB$1,Recharged_Feasible_mat!AC32),(VLOOKUP(AB$1,test!$A$3:$I$32,8,FALSE))-(VLOOKUP($A63,test!$A$3:$I$32,9,FALSE))-test!$B$33,0)</f>
        <v>0</v>
      </c>
      <c r="AC63">
        <f>IF(AND($A63&lt;&gt;AC$1,Recharged_Feasible_mat!AD32),(VLOOKUP(AC$1,test!$A$3:$I$32,8,FALSE))-(VLOOKUP($A63,test!$A$3:$I$32,9,FALSE))-test!$B$33,0)</f>
        <v>0</v>
      </c>
      <c r="AD63">
        <f>IF(AND($A63&lt;&gt;AD$1,Recharged_Feasible_mat!AE32),(VLOOKUP(AD$1,test!$A$3:$I$32,8,FALSE))-(VLOOKUP($A63,test!$A$3:$I$32,9,FALSE))-test!$B$33,0)</f>
        <v>0</v>
      </c>
      <c r="AE63">
        <f>IF(AND($A63&lt;&gt;AE$1,Recharged_Feasible_mat!AF32),(VLOOKUP(AE$1,test!$A$3:$I$32,8,FALSE))-(VLOOKUP($A63,test!$A$3:$I$32,9,FALSE))-test!$B$33,0)</f>
        <v>0</v>
      </c>
      <c r="AF63">
        <f>IF(AND($A63&lt;&gt;AF$1,Recharged_Feasible_mat!AG32),(VLOOKUP(AF$1,test!$A$3:$I$32,8,FALSE))-(VLOOKUP($A63,test!$A$3:$I$32,9,FALSE))-test!$B$33,0)</f>
        <v>0</v>
      </c>
    </row>
    <row r="64" spans="1:32" x14ac:dyDescent="0.25">
      <c r="A64" t="s">
        <v>46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6</v>
      </c>
      <c r="B65">
        <v>0</v>
      </c>
      <c r="C65">
        <f>IF(AND($A65&lt;&gt;C$1,Recharged_Feasible_mat!D34),(VLOOKUP(C$1,test!$A$3:$I$32,8,FALSE))-(VLOOKUP($A65,test!$A$3:$I$32,9,FALSE))-(test!$B$34-50),0)</f>
        <v>0</v>
      </c>
      <c r="D65">
        <f>IF(AND($A65&lt;&gt;D$1,Recharged_Feasible_mat!E34),(VLOOKUP(D$1,test!$A$3:$I$32,8,FALSE))-(VLOOKUP($A65,test!$A$3:$I$32,9,FALSE))-(test!$B$34-50),0)</f>
        <v>0</v>
      </c>
      <c r="E65">
        <f>IF(AND($A65&lt;&gt;E$1,Recharged_Feasible_mat!F34),(VLOOKUP(E$1,test!$A$3:$I$32,8,FALSE))-(VLOOKUP($A65,test!$A$3:$I$32,9,FALSE))-(test!$B$34-50),0)</f>
        <v>0</v>
      </c>
      <c r="F65">
        <f>IF(AND($A65&lt;&gt;F$1,Recharged_Feasible_mat!G34),(VLOOKUP(F$1,test!$A$3:$I$32,8,FALSE))-(VLOOKUP($A65,test!$A$3:$I$32,9,FALSE))-(test!$B$34-50),0)</f>
        <v>225</v>
      </c>
      <c r="G65">
        <f>IF(AND($A65&lt;&gt;G$1,Recharged_Feasible_mat!H34),(VLOOKUP(G$1,test!$A$3:$I$32,8,FALSE))-(VLOOKUP($A65,test!$A$3:$I$32,9,FALSE))-(test!$B$34-50),0)</f>
        <v>285</v>
      </c>
      <c r="H65">
        <f>IF(AND($A65&lt;&gt;H$1,Recharged_Feasible_mat!I34),(VLOOKUP(H$1,test!$A$3:$I$32,8,FALSE))-(VLOOKUP($A65,test!$A$3:$I$32,9,FALSE))-(test!$B$34-50),0)</f>
        <v>345</v>
      </c>
      <c r="I65">
        <f>IF(AND($A65&lt;&gt;I$1,Recharged_Feasible_mat!J34),(VLOOKUP(I$1,test!$A$3:$I$32,8,FALSE))-(VLOOKUP($A65,test!$A$3:$I$32,9,FALSE))-(test!$B$34-50),0)</f>
        <v>405</v>
      </c>
      <c r="J65">
        <f>IF(AND($A65&lt;&gt;J$1,Recharged_Feasible_mat!K34),(VLOOKUP(J$1,test!$A$3:$I$32,8,FALSE))-(VLOOKUP($A65,test!$A$3:$I$32,9,FALSE))-(test!$B$34-50),0)</f>
        <v>495</v>
      </c>
      <c r="K65">
        <f>IF(AND($A65&lt;&gt;K$1,Recharged_Feasible_mat!L34),(VLOOKUP(K$1,test!$A$3:$I$32,8,FALSE))-(VLOOKUP($A65,test!$A$3:$I$32,9,FALSE))-(test!$B$34-50),0)</f>
        <v>0</v>
      </c>
      <c r="L65">
        <f>IF(AND($A65&lt;&gt;L$1,Recharged_Feasible_mat!M34),(VLOOKUP(L$1,test!$A$3:$I$32,8,FALSE))-(VLOOKUP($A65,test!$A$3:$I$32,9,FALSE))-(test!$B$34-50),0)</f>
        <v>0</v>
      </c>
      <c r="M65">
        <f>IF(AND($A65&lt;&gt;M$1,Recharged_Feasible_mat!N34),(VLOOKUP(M$1,test!$A$3:$I$32,8,FALSE))-(VLOOKUP($A65,test!$A$3:$I$32,9,FALSE))-(test!$B$34-50),0)</f>
        <v>0</v>
      </c>
      <c r="N65">
        <f>IF(AND($A65&lt;&gt;N$1,Recharged_Feasible_mat!O34),(VLOOKUP(N$1,test!$A$3:$I$32,8,FALSE))-(VLOOKUP($A65,test!$A$3:$I$32,9,FALSE))-(test!$B$34-50),0)</f>
        <v>460</v>
      </c>
      <c r="O65">
        <f>IF(AND($A65&lt;&gt;O$1,Recharged_Feasible_mat!P34),(VLOOKUP(O$1,test!$A$3:$I$32,8,FALSE))-(VLOOKUP($A65,test!$A$3:$I$32,9,FALSE))-(test!$B$34-50),0)</f>
        <v>520</v>
      </c>
      <c r="P65">
        <f>IF(AND($A65&lt;&gt;P$1,Recharged_Feasible_mat!Q34),(VLOOKUP(P$1,test!$A$3:$I$32,8,FALSE))-(VLOOKUP($A65,test!$A$3:$I$32,9,FALSE))-(test!$B$34-50),0)</f>
        <v>0</v>
      </c>
      <c r="Q65">
        <f>IF(AND($A65&lt;&gt;Q$1,Recharged_Feasible_mat!R34),(VLOOKUP(Q$1,test!$A$3:$I$32,8,FALSE))-(VLOOKUP($A65,test!$A$3:$I$32,9,FALSE))-(test!$B$34-50),0)</f>
        <v>0</v>
      </c>
      <c r="R65">
        <f>IF(AND($A65&lt;&gt;R$1,Recharged_Feasible_mat!S34),(VLOOKUP(R$1,test!$A$3:$I$32,8,FALSE))-(VLOOKUP($A65,test!$A$3:$I$32,9,FALSE))-(test!$B$34-50),0)</f>
        <v>0</v>
      </c>
      <c r="S65">
        <f>IF(AND($A65&lt;&gt;S$1,Recharged_Feasible_mat!T34),(VLOOKUP(S$1,test!$A$3:$I$32,8,FALSE))-(VLOOKUP($A65,test!$A$3:$I$32,9,FALSE))-(test!$B$34-50),0)</f>
        <v>0</v>
      </c>
      <c r="T65">
        <f>IF(AND($A65&lt;&gt;T$1,Recharged_Feasible_mat!U34),(VLOOKUP(T$1,test!$A$3:$I$32,8,FALSE))-(VLOOKUP($A65,test!$A$3:$I$32,9,FALSE))-(test!$B$34-50),0)</f>
        <v>0</v>
      </c>
      <c r="U65">
        <f>IF(AND($A65&lt;&gt;U$1,Recharged_Feasible_mat!V34),(VLOOKUP(U$1,test!$A$3:$I$32,8,FALSE))-(VLOOKUP($A65,test!$A$3:$I$32,9,FALSE))-(test!$B$34-50),0)</f>
        <v>205</v>
      </c>
      <c r="V65">
        <f>IF(AND($A65&lt;&gt;V$1,Recharged_Feasible_mat!W34),(VLOOKUP(V$1,test!$A$3:$I$32,8,FALSE))-(VLOOKUP($A65,test!$A$3:$I$32,9,FALSE))-(test!$B$34-50),0)</f>
        <v>295</v>
      </c>
      <c r="W65">
        <f>IF(AND($A65&lt;&gt;W$1,Recharged_Feasible_mat!X34),(VLOOKUP(W$1,test!$A$3:$I$32,8,FALSE))-(VLOOKUP($A65,test!$A$3:$I$32,9,FALSE))-(test!$B$34-50),0)</f>
        <v>385</v>
      </c>
      <c r="X65">
        <f>IF(AND($A65&lt;&gt;X$1,Recharged_Feasible_mat!Y34),(VLOOKUP(X$1,test!$A$3:$I$32,8,FALSE))-(VLOOKUP($A65,test!$A$3:$I$32,9,FALSE))-(test!$B$34-50),0)</f>
        <v>445</v>
      </c>
      <c r="Y65">
        <f>IF(AND($A65&lt;&gt;Y$1,Recharged_Feasible_mat!Z34),(VLOOKUP(Y$1,test!$A$3:$I$32,8,FALSE))-(VLOOKUP($A65,test!$A$3:$I$32,9,FALSE))-(test!$B$34-50),0)</f>
        <v>0</v>
      </c>
      <c r="Z65">
        <f>IF(AND($A65&lt;&gt;Z$1,Recharged_Feasible_mat!AA34),(VLOOKUP(Z$1,test!$A$3:$I$32,8,FALSE))-(VLOOKUP($A65,test!$A$3:$I$32,9,FALSE))-(test!$B$34-50),0)</f>
        <v>0</v>
      </c>
      <c r="AA65">
        <f>IF(AND($A65&lt;&gt;AA$1,Recharged_Feasible_mat!AB34),(VLOOKUP(AA$1,test!$A$3:$I$32,8,FALSE))-(VLOOKUP($A65,test!$A$3:$I$32,9,FALSE))-(test!$B$34-50),0)</f>
        <v>0</v>
      </c>
      <c r="AB65">
        <f>IF(AND($A65&lt;&gt;AB$1,Recharged_Feasible_mat!AC34),(VLOOKUP(AB$1,test!$A$3:$I$32,8,FALSE))-(VLOOKUP($A65,test!$A$3:$I$32,9,FALSE))-(test!$B$34-50),0)</f>
        <v>225</v>
      </c>
      <c r="AC65">
        <f>IF(AND($A65&lt;&gt;AC$1,Recharged_Feasible_mat!AD34),(VLOOKUP(AC$1,test!$A$3:$I$32,8,FALSE))-(VLOOKUP($A65,test!$A$3:$I$32,9,FALSE))-(test!$B$34-50),0)</f>
        <v>345</v>
      </c>
      <c r="AD65">
        <f>IF(AND($A65&lt;&gt;AD$1,Recharged_Feasible_mat!AE34),(VLOOKUP(AD$1,test!$A$3:$I$32,8,FALSE))-(VLOOKUP($A65,test!$A$3:$I$32,9,FALSE))-(test!$B$34-50),0)</f>
        <v>0</v>
      </c>
      <c r="AE65">
        <f>IF(AND($A65&lt;&gt;AE$1,Recharged_Feasible_mat!AF34),(VLOOKUP(AE$1,test!$A$3:$I$32,8,FALSE))-(VLOOKUP($A65,test!$A$3:$I$32,9,FALSE))-(test!$B$34-50),0)</f>
        <v>0</v>
      </c>
      <c r="AF65">
        <f>IF(AND($A65&lt;&gt;AF$1,Recharged_Feasible_mat!AG34),(VLOOKUP(AF$1,test!$A$3:$I$32,8,FALSE))-(VLOOKUP($A65,test!$A$3:$I$32,9,FALSE))-(test!$B$34-50),0)</f>
        <v>0</v>
      </c>
    </row>
    <row r="66" spans="1:32" x14ac:dyDescent="0.25">
      <c r="A66" t="s">
        <v>9</v>
      </c>
      <c r="B66">
        <v>0</v>
      </c>
      <c r="C66">
        <f>IF(AND($A66&lt;&gt;C$1,Recharged_Feasible_mat!D35),(VLOOKUP(C$1,test!$A$3:$I$32,8,FALSE))-(VLOOKUP($A66,test!$A$3:$I$32,9,FALSE))-(test!$B$34-50),0)</f>
        <v>0</v>
      </c>
      <c r="D66">
        <f>IF(AND($A66&lt;&gt;D$1,Recharged_Feasible_mat!E35),(VLOOKUP(D$1,test!$A$3:$I$32,8,FALSE))-(VLOOKUP($A66,test!$A$3:$I$32,9,FALSE))-(test!$B$34-50),0)</f>
        <v>0</v>
      </c>
      <c r="E66">
        <f>IF(AND($A66&lt;&gt;E$1,Recharged_Feasible_mat!F35),(VLOOKUP(E$1,test!$A$3:$I$32,8,FALSE))-(VLOOKUP($A66,test!$A$3:$I$32,9,FALSE))-(test!$B$34-50),0)</f>
        <v>0</v>
      </c>
      <c r="F66">
        <f>IF(AND($A66&lt;&gt;F$1,Recharged_Feasible_mat!G35),(VLOOKUP(F$1,test!$A$3:$I$32,8,FALSE))-(VLOOKUP($A66,test!$A$3:$I$32,9,FALSE))-(test!$B$34-50),0)</f>
        <v>0</v>
      </c>
      <c r="G66">
        <f>IF(AND($A66&lt;&gt;G$1,Recharged_Feasible_mat!H35),(VLOOKUP(G$1,test!$A$3:$I$32,8,FALSE))-(VLOOKUP($A66,test!$A$3:$I$32,9,FALSE))-(test!$B$34-50),0)</f>
        <v>0</v>
      </c>
      <c r="H66">
        <f>IF(AND($A66&lt;&gt;H$1,Recharged_Feasible_mat!I35),(VLOOKUP(H$1,test!$A$3:$I$32,8,FALSE))-(VLOOKUP($A66,test!$A$3:$I$32,9,FALSE))-(test!$B$34-50),0)</f>
        <v>0</v>
      </c>
      <c r="I66">
        <f>IF(AND($A66&lt;&gt;I$1,Recharged_Feasible_mat!J35),(VLOOKUP(I$1,test!$A$3:$I$32,8,FALSE))-(VLOOKUP($A66,test!$A$3:$I$32,9,FALSE))-(test!$B$34-50),0)</f>
        <v>225</v>
      </c>
      <c r="J66">
        <f>IF(AND($A66&lt;&gt;J$1,Recharged_Feasible_mat!K35),(VLOOKUP(J$1,test!$A$3:$I$32,8,FALSE))-(VLOOKUP($A66,test!$A$3:$I$32,9,FALSE))-(test!$B$34-50),0)</f>
        <v>315</v>
      </c>
      <c r="K66">
        <f>IF(AND($A66&lt;&gt;K$1,Recharged_Feasible_mat!L35),(VLOOKUP(K$1,test!$A$3:$I$32,8,FALSE))-(VLOOKUP($A66,test!$A$3:$I$32,9,FALSE))-(test!$B$34-50),0)</f>
        <v>0</v>
      </c>
      <c r="L66">
        <f>IF(AND($A66&lt;&gt;L$1,Recharged_Feasible_mat!M35),(VLOOKUP(L$1,test!$A$3:$I$32,8,FALSE))-(VLOOKUP($A66,test!$A$3:$I$32,9,FALSE))-(test!$B$34-50),0)</f>
        <v>0</v>
      </c>
      <c r="M66">
        <f>IF(AND($A66&lt;&gt;M$1,Recharged_Feasible_mat!N35),(VLOOKUP(M$1,test!$A$3:$I$32,8,FALSE))-(VLOOKUP($A66,test!$A$3:$I$32,9,FALSE))-(test!$B$34-50),0)</f>
        <v>0</v>
      </c>
      <c r="N66">
        <f>IF(AND($A66&lt;&gt;N$1,Recharged_Feasible_mat!O35),(VLOOKUP(N$1,test!$A$3:$I$32,8,FALSE))-(VLOOKUP($A66,test!$A$3:$I$32,9,FALSE))-(test!$B$34-50),0)</f>
        <v>280</v>
      </c>
      <c r="O66">
        <f>IF(AND($A66&lt;&gt;O$1,Recharged_Feasible_mat!P35),(VLOOKUP(O$1,test!$A$3:$I$32,8,FALSE))-(VLOOKUP($A66,test!$A$3:$I$32,9,FALSE))-(test!$B$34-50),0)</f>
        <v>340</v>
      </c>
      <c r="P66">
        <f>IF(AND($A66&lt;&gt;P$1,Recharged_Feasible_mat!Q35),(VLOOKUP(P$1,test!$A$3:$I$32,8,FALSE))-(VLOOKUP($A66,test!$A$3:$I$32,9,FALSE))-(test!$B$34-50),0)</f>
        <v>0</v>
      </c>
      <c r="Q66">
        <f>IF(AND($A66&lt;&gt;Q$1,Recharged_Feasible_mat!R35),(VLOOKUP(Q$1,test!$A$3:$I$32,8,FALSE))-(VLOOKUP($A66,test!$A$3:$I$32,9,FALSE))-(test!$B$34-50),0)</f>
        <v>0</v>
      </c>
      <c r="R66">
        <f>IF(AND($A66&lt;&gt;R$1,Recharged_Feasible_mat!S35),(VLOOKUP(R$1,test!$A$3:$I$32,8,FALSE))-(VLOOKUP($A66,test!$A$3:$I$32,9,FALSE))-(test!$B$34-50),0)</f>
        <v>0</v>
      </c>
      <c r="S66">
        <f>IF(AND($A66&lt;&gt;S$1,Recharged_Feasible_mat!T35),(VLOOKUP(S$1,test!$A$3:$I$32,8,FALSE))-(VLOOKUP($A66,test!$A$3:$I$32,9,FALSE))-(test!$B$34-50),0)</f>
        <v>0</v>
      </c>
      <c r="T66">
        <f>IF(AND($A66&lt;&gt;T$1,Recharged_Feasible_mat!U35),(VLOOKUP(T$1,test!$A$3:$I$32,8,FALSE))-(VLOOKUP($A66,test!$A$3:$I$32,9,FALSE))-(test!$B$34-50),0)</f>
        <v>0</v>
      </c>
      <c r="U66">
        <f>IF(AND($A66&lt;&gt;U$1,Recharged_Feasible_mat!V35),(VLOOKUP(U$1,test!$A$3:$I$32,8,FALSE))-(VLOOKUP($A66,test!$A$3:$I$32,9,FALSE))-(test!$B$34-50),0)</f>
        <v>0</v>
      </c>
      <c r="V66">
        <f>IF(AND($A66&lt;&gt;V$1,Recharged_Feasible_mat!W35),(VLOOKUP(V$1,test!$A$3:$I$32,8,FALSE))-(VLOOKUP($A66,test!$A$3:$I$32,9,FALSE))-(test!$B$34-50),0)</f>
        <v>0</v>
      </c>
      <c r="W66">
        <f>IF(AND($A66&lt;&gt;W$1,Recharged_Feasible_mat!X35),(VLOOKUP(W$1,test!$A$3:$I$32,8,FALSE))-(VLOOKUP($A66,test!$A$3:$I$32,9,FALSE))-(test!$B$34-50),0)</f>
        <v>205</v>
      </c>
      <c r="X66">
        <f>IF(AND($A66&lt;&gt;X$1,Recharged_Feasible_mat!Y35),(VLOOKUP(X$1,test!$A$3:$I$32,8,FALSE))-(VLOOKUP($A66,test!$A$3:$I$32,9,FALSE))-(test!$B$34-50),0)</f>
        <v>265</v>
      </c>
      <c r="Y66">
        <f>IF(AND($A66&lt;&gt;Y$1,Recharged_Feasible_mat!Z35),(VLOOKUP(Y$1,test!$A$3:$I$32,8,FALSE))-(VLOOKUP($A66,test!$A$3:$I$32,9,FALSE))-(test!$B$34-50),0)</f>
        <v>0</v>
      </c>
      <c r="Z66">
        <f>IF(AND($A66&lt;&gt;Z$1,Recharged_Feasible_mat!AA35),(VLOOKUP(Z$1,test!$A$3:$I$32,8,FALSE))-(VLOOKUP($A66,test!$A$3:$I$32,9,FALSE))-(test!$B$34-50),0)</f>
        <v>0</v>
      </c>
      <c r="AA66">
        <f>IF(AND($A66&lt;&gt;AA$1,Recharged_Feasible_mat!AB35),(VLOOKUP(AA$1,test!$A$3:$I$32,8,FALSE))-(VLOOKUP($A66,test!$A$3:$I$32,9,FALSE))-(test!$B$34-50),0)</f>
        <v>0</v>
      </c>
      <c r="AB66">
        <f>IF(AND($A66&lt;&gt;AB$1,Recharged_Feasible_mat!AC35),(VLOOKUP(AB$1,test!$A$3:$I$32,8,FALSE))-(VLOOKUP($A66,test!$A$3:$I$32,9,FALSE))-(test!$B$34-50),0)</f>
        <v>0</v>
      </c>
      <c r="AC66">
        <f>IF(AND($A66&lt;&gt;AC$1,Recharged_Feasible_mat!AD35),(VLOOKUP(AC$1,test!$A$3:$I$32,8,FALSE))-(VLOOKUP($A66,test!$A$3:$I$32,9,FALSE))-(test!$B$34-50),0)</f>
        <v>0</v>
      </c>
      <c r="AD66">
        <f>IF(AND($A66&lt;&gt;AD$1,Recharged_Feasible_mat!AE35),(VLOOKUP(AD$1,test!$A$3:$I$32,8,FALSE))-(VLOOKUP($A66,test!$A$3:$I$32,9,FALSE))-(test!$B$34-50),0)</f>
        <v>0</v>
      </c>
      <c r="AE66">
        <f>IF(AND($A66&lt;&gt;AE$1,Recharged_Feasible_mat!AF35),(VLOOKUP(AE$1,test!$A$3:$I$32,8,FALSE))-(VLOOKUP($A66,test!$A$3:$I$32,9,FALSE))-(test!$B$34-50),0)</f>
        <v>0</v>
      </c>
      <c r="AF66">
        <f>IF(AND($A66&lt;&gt;AF$1,Recharged_Feasible_mat!AG35),(VLOOKUP(AF$1,test!$A$3:$I$32,8,FALSE))-(VLOOKUP($A66,test!$A$3:$I$32,9,FALSE))-(test!$B$34-50),0)</f>
        <v>0</v>
      </c>
    </row>
    <row r="67" spans="1:32" x14ac:dyDescent="0.25">
      <c r="A67" t="s">
        <v>10</v>
      </c>
      <c r="B67">
        <v>0</v>
      </c>
      <c r="C67">
        <f>IF(AND($A67&lt;&gt;C$1,Recharged_Feasible_mat!D36),(VLOOKUP(C$1,test!$A$3:$I$32,8,FALSE))-(VLOOKUP($A67,test!$A$3:$I$32,9,FALSE))-(test!$B$34-50),0)</f>
        <v>0</v>
      </c>
      <c r="D67">
        <f>IF(AND($A67&lt;&gt;D$1,Recharged_Feasible_mat!E36),(VLOOKUP(D$1,test!$A$3:$I$32,8,FALSE))-(VLOOKUP($A67,test!$A$3:$I$32,9,FALSE))-(test!$B$34-50),0)</f>
        <v>0</v>
      </c>
      <c r="E67">
        <f>IF(AND($A67&lt;&gt;E$1,Recharged_Feasible_mat!F36),(VLOOKUP(E$1,test!$A$3:$I$32,8,FALSE))-(VLOOKUP($A67,test!$A$3:$I$32,9,FALSE))-(test!$B$34-50),0)</f>
        <v>0</v>
      </c>
      <c r="F67">
        <f>IF(AND($A67&lt;&gt;F$1,Recharged_Feasible_mat!G36),(VLOOKUP(F$1,test!$A$3:$I$32,8,FALSE))-(VLOOKUP($A67,test!$A$3:$I$32,9,FALSE))-(test!$B$34-50),0)</f>
        <v>0</v>
      </c>
      <c r="G67">
        <f>IF(AND($A67&lt;&gt;G$1,Recharged_Feasible_mat!H36),(VLOOKUP(G$1,test!$A$3:$I$32,8,FALSE))-(VLOOKUP($A67,test!$A$3:$I$32,9,FALSE))-(test!$B$34-50),0)</f>
        <v>0</v>
      </c>
      <c r="H67">
        <f>IF(AND($A67&lt;&gt;H$1,Recharged_Feasible_mat!I36),(VLOOKUP(H$1,test!$A$3:$I$32,8,FALSE))-(VLOOKUP($A67,test!$A$3:$I$32,9,FALSE))-(test!$B$34-50),0)</f>
        <v>0</v>
      </c>
      <c r="I67">
        <f>IF(AND($A67&lt;&gt;I$1,Recharged_Feasible_mat!J36),(VLOOKUP(I$1,test!$A$3:$I$32,8,FALSE))-(VLOOKUP($A67,test!$A$3:$I$32,9,FALSE))-(test!$B$34-50),0)</f>
        <v>0</v>
      </c>
      <c r="J67">
        <f>IF(AND($A67&lt;&gt;J$1,Recharged_Feasible_mat!K36),(VLOOKUP(J$1,test!$A$3:$I$32,8,FALSE))-(VLOOKUP($A67,test!$A$3:$I$32,9,FALSE))-(test!$B$34-50),0)</f>
        <v>225</v>
      </c>
      <c r="K67">
        <f>IF(AND($A67&lt;&gt;K$1,Recharged_Feasible_mat!L36),(VLOOKUP(K$1,test!$A$3:$I$32,8,FALSE))-(VLOOKUP($A67,test!$A$3:$I$32,9,FALSE))-(test!$B$34-50),0)</f>
        <v>0</v>
      </c>
      <c r="L67">
        <f>IF(AND($A67&lt;&gt;L$1,Recharged_Feasible_mat!M36),(VLOOKUP(L$1,test!$A$3:$I$32,8,FALSE))-(VLOOKUP($A67,test!$A$3:$I$32,9,FALSE))-(test!$B$34-50),0)</f>
        <v>0</v>
      </c>
      <c r="M67">
        <f>IF(AND($A67&lt;&gt;M$1,Recharged_Feasible_mat!N36),(VLOOKUP(M$1,test!$A$3:$I$32,8,FALSE))-(VLOOKUP($A67,test!$A$3:$I$32,9,FALSE))-(test!$B$34-50),0)</f>
        <v>0</v>
      </c>
      <c r="N67">
        <f>IF(AND($A67&lt;&gt;N$1,Recharged_Feasible_mat!O36),(VLOOKUP(N$1,test!$A$3:$I$32,8,FALSE))-(VLOOKUP($A67,test!$A$3:$I$32,9,FALSE))-(test!$B$34-50),0)</f>
        <v>0</v>
      </c>
      <c r="O67">
        <f>IF(AND($A67&lt;&gt;O$1,Recharged_Feasible_mat!P36),(VLOOKUP(O$1,test!$A$3:$I$32,8,FALSE))-(VLOOKUP($A67,test!$A$3:$I$32,9,FALSE))-(test!$B$34-50),0)</f>
        <v>250</v>
      </c>
      <c r="P67">
        <f>IF(AND($A67&lt;&gt;P$1,Recharged_Feasible_mat!Q36),(VLOOKUP(P$1,test!$A$3:$I$32,8,FALSE))-(VLOOKUP($A67,test!$A$3:$I$32,9,FALSE))-(test!$B$34-50),0)</f>
        <v>0</v>
      </c>
      <c r="Q67">
        <f>IF(AND($A67&lt;&gt;Q$1,Recharged_Feasible_mat!R36),(VLOOKUP(Q$1,test!$A$3:$I$32,8,FALSE))-(VLOOKUP($A67,test!$A$3:$I$32,9,FALSE))-(test!$B$34-50),0)</f>
        <v>0</v>
      </c>
      <c r="R67">
        <f>IF(AND($A67&lt;&gt;R$1,Recharged_Feasible_mat!S36),(VLOOKUP(R$1,test!$A$3:$I$32,8,FALSE))-(VLOOKUP($A67,test!$A$3:$I$32,9,FALSE))-(test!$B$34-50),0)</f>
        <v>0</v>
      </c>
      <c r="S67">
        <f>IF(AND($A67&lt;&gt;S$1,Recharged_Feasible_mat!T36),(VLOOKUP(S$1,test!$A$3:$I$32,8,FALSE))-(VLOOKUP($A67,test!$A$3:$I$32,9,FALSE))-(test!$B$34-50),0)</f>
        <v>0</v>
      </c>
      <c r="T67">
        <f>IF(AND($A67&lt;&gt;T$1,Recharged_Feasible_mat!U36),(VLOOKUP(T$1,test!$A$3:$I$32,8,FALSE))-(VLOOKUP($A67,test!$A$3:$I$32,9,FALSE))-(test!$B$34-50),0)</f>
        <v>0</v>
      </c>
      <c r="U67">
        <f>IF(AND($A67&lt;&gt;U$1,Recharged_Feasible_mat!V36),(VLOOKUP(U$1,test!$A$3:$I$32,8,FALSE))-(VLOOKUP($A67,test!$A$3:$I$32,9,FALSE))-(test!$B$34-50),0)</f>
        <v>0</v>
      </c>
      <c r="V67">
        <f>IF(AND($A67&lt;&gt;V$1,Recharged_Feasible_mat!W36),(VLOOKUP(V$1,test!$A$3:$I$32,8,FALSE))-(VLOOKUP($A67,test!$A$3:$I$32,9,FALSE))-(test!$B$34-50),0)</f>
        <v>0</v>
      </c>
      <c r="W67">
        <f>IF(AND($A67&lt;&gt;W$1,Recharged_Feasible_mat!X36),(VLOOKUP(W$1,test!$A$3:$I$32,8,FALSE))-(VLOOKUP($A67,test!$A$3:$I$32,9,FALSE))-(test!$B$34-50),0)</f>
        <v>0</v>
      </c>
      <c r="X67">
        <f>IF(AND($A67&lt;&gt;X$1,Recharged_Feasible_mat!Y36),(VLOOKUP(X$1,test!$A$3:$I$32,8,FALSE))-(VLOOKUP($A67,test!$A$3:$I$32,9,FALSE))-(test!$B$34-50),0)</f>
        <v>0</v>
      </c>
      <c r="Y67">
        <f>IF(AND($A67&lt;&gt;Y$1,Recharged_Feasible_mat!Z36),(VLOOKUP(Y$1,test!$A$3:$I$32,8,FALSE))-(VLOOKUP($A67,test!$A$3:$I$32,9,FALSE))-(test!$B$34-50),0)</f>
        <v>0</v>
      </c>
      <c r="Z67">
        <f>IF(AND($A67&lt;&gt;Z$1,Recharged_Feasible_mat!AA36),(VLOOKUP(Z$1,test!$A$3:$I$32,8,FALSE))-(VLOOKUP($A67,test!$A$3:$I$32,9,FALSE))-(test!$B$34-50),0)</f>
        <v>0</v>
      </c>
      <c r="AA67">
        <f>IF(AND($A67&lt;&gt;AA$1,Recharged_Feasible_mat!AB36),(VLOOKUP(AA$1,test!$A$3:$I$32,8,FALSE))-(VLOOKUP($A67,test!$A$3:$I$32,9,FALSE))-(test!$B$34-50),0)</f>
        <v>0</v>
      </c>
      <c r="AB67">
        <f>IF(AND($A67&lt;&gt;AB$1,Recharged_Feasible_mat!AC36),(VLOOKUP(AB$1,test!$A$3:$I$32,8,FALSE))-(VLOOKUP($A67,test!$A$3:$I$32,9,FALSE))-(test!$B$34-50),0)</f>
        <v>0</v>
      </c>
      <c r="AC67">
        <f>IF(AND($A67&lt;&gt;AC$1,Recharged_Feasible_mat!AD36),(VLOOKUP(AC$1,test!$A$3:$I$32,8,FALSE))-(VLOOKUP($A67,test!$A$3:$I$32,9,FALSE))-(test!$B$34-50),0)</f>
        <v>0</v>
      </c>
      <c r="AD67">
        <f>IF(AND($A67&lt;&gt;AD$1,Recharged_Feasible_mat!AE36),(VLOOKUP(AD$1,test!$A$3:$I$32,8,FALSE))-(VLOOKUP($A67,test!$A$3:$I$32,9,FALSE))-(test!$B$34-50),0)</f>
        <v>0</v>
      </c>
      <c r="AE67">
        <f>IF(AND($A67&lt;&gt;AE$1,Recharged_Feasible_mat!AF36),(VLOOKUP(AE$1,test!$A$3:$I$32,8,FALSE))-(VLOOKUP($A67,test!$A$3:$I$32,9,FALSE))-(test!$B$34-50),0)</f>
        <v>0</v>
      </c>
      <c r="AF67">
        <f>IF(AND($A67&lt;&gt;AF$1,Recharged_Feasible_mat!AG36),(VLOOKUP(AF$1,test!$A$3:$I$32,8,FALSE))-(VLOOKUP($A67,test!$A$3:$I$32,9,FALSE))-(test!$B$34-50),0)</f>
        <v>0</v>
      </c>
    </row>
    <row r="68" spans="1:32" x14ac:dyDescent="0.25">
      <c r="A68" t="s">
        <v>11</v>
      </c>
      <c r="B68">
        <v>0</v>
      </c>
      <c r="C68">
        <f>IF(AND($A68&lt;&gt;C$1,Recharged_Feasible_mat!D37),(VLOOKUP(C$1,test!$A$3:$I$32,8,FALSE))-(VLOOKUP($A68,test!$A$3:$I$32,9,FALSE))-(test!$B$34-50),0)</f>
        <v>0</v>
      </c>
      <c r="D68">
        <f>IF(AND($A68&lt;&gt;D$1,Recharged_Feasible_mat!E37),(VLOOKUP(D$1,test!$A$3:$I$32,8,FALSE))-(VLOOKUP($A68,test!$A$3:$I$32,9,FALSE))-(test!$B$34-50),0)</f>
        <v>0</v>
      </c>
      <c r="E68">
        <f>IF(AND($A68&lt;&gt;E$1,Recharged_Feasible_mat!F37),(VLOOKUP(E$1,test!$A$3:$I$32,8,FALSE))-(VLOOKUP($A68,test!$A$3:$I$32,9,FALSE))-(test!$B$34-50),0)</f>
        <v>0</v>
      </c>
      <c r="F68">
        <f>IF(AND($A68&lt;&gt;F$1,Recharged_Feasible_mat!G37),(VLOOKUP(F$1,test!$A$3:$I$32,8,FALSE))-(VLOOKUP($A68,test!$A$3:$I$32,9,FALSE))-(test!$B$34-50),0)</f>
        <v>0</v>
      </c>
      <c r="G68">
        <f>IF(AND($A68&lt;&gt;G$1,Recharged_Feasible_mat!H37),(VLOOKUP(G$1,test!$A$3:$I$32,8,FALSE))-(VLOOKUP($A68,test!$A$3:$I$32,9,FALSE))-(test!$B$34-50),0)</f>
        <v>0</v>
      </c>
      <c r="H68">
        <f>IF(AND($A68&lt;&gt;H$1,Recharged_Feasible_mat!I37),(VLOOKUP(H$1,test!$A$3:$I$32,8,FALSE))-(VLOOKUP($A68,test!$A$3:$I$32,9,FALSE))-(test!$B$34-50),0)</f>
        <v>0</v>
      </c>
      <c r="I68">
        <f>IF(AND($A68&lt;&gt;I$1,Recharged_Feasible_mat!J37),(VLOOKUP(I$1,test!$A$3:$I$32,8,FALSE))-(VLOOKUP($A68,test!$A$3:$I$32,9,FALSE))-(test!$B$34-50),0)</f>
        <v>0</v>
      </c>
      <c r="J68">
        <f>IF(AND($A68&lt;&gt;J$1,Recharged_Feasible_mat!K37),(VLOOKUP(J$1,test!$A$3:$I$32,8,FALSE))-(VLOOKUP($A68,test!$A$3:$I$32,9,FALSE))-(test!$B$34-50),0)</f>
        <v>0</v>
      </c>
      <c r="K68">
        <f>IF(AND($A68&lt;&gt;K$1,Recharged_Feasible_mat!L37),(VLOOKUP(K$1,test!$A$3:$I$32,8,FALSE))-(VLOOKUP($A68,test!$A$3:$I$32,9,FALSE))-(test!$B$34-50),0)</f>
        <v>0</v>
      </c>
      <c r="L68">
        <f>IF(AND($A68&lt;&gt;L$1,Recharged_Feasible_mat!M37),(VLOOKUP(L$1,test!$A$3:$I$32,8,FALSE))-(VLOOKUP($A68,test!$A$3:$I$32,9,FALSE))-(test!$B$34-50),0)</f>
        <v>0</v>
      </c>
      <c r="M68">
        <f>IF(AND($A68&lt;&gt;M$1,Recharged_Feasible_mat!N37),(VLOOKUP(M$1,test!$A$3:$I$32,8,FALSE))-(VLOOKUP($A68,test!$A$3:$I$32,9,FALSE))-(test!$B$34-50),0)</f>
        <v>0</v>
      </c>
      <c r="N68">
        <f>IF(AND($A68&lt;&gt;N$1,Recharged_Feasible_mat!O37),(VLOOKUP(N$1,test!$A$3:$I$32,8,FALSE))-(VLOOKUP($A68,test!$A$3:$I$32,9,FALSE))-(test!$B$34-50),0)</f>
        <v>0</v>
      </c>
      <c r="O68">
        <f>IF(AND($A68&lt;&gt;O$1,Recharged_Feasible_mat!P37),(VLOOKUP(O$1,test!$A$3:$I$32,8,FALSE))-(VLOOKUP($A68,test!$A$3:$I$32,9,FALSE))-(test!$B$34-50),0)</f>
        <v>0</v>
      </c>
      <c r="P68">
        <f>IF(AND($A68&lt;&gt;P$1,Recharged_Feasible_mat!Q37),(VLOOKUP(P$1,test!$A$3:$I$32,8,FALSE))-(VLOOKUP($A68,test!$A$3:$I$32,9,FALSE))-(test!$B$34-50),0)</f>
        <v>0</v>
      </c>
      <c r="Q68">
        <f>IF(AND($A68&lt;&gt;Q$1,Recharged_Feasible_mat!R37),(VLOOKUP(Q$1,test!$A$3:$I$32,8,FALSE))-(VLOOKUP($A68,test!$A$3:$I$32,9,FALSE))-(test!$B$34-50),0)</f>
        <v>0</v>
      </c>
      <c r="R68">
        <f>IF(AND($A68&lt;&gt;R$1,Recharged_Feasible_mat!S37),(VLOOKUP(R$1,test!$A$3:$I$32,8,FALSE))-(VLOOKUP($A68,test!$A$3:$I$32,9,FALSE))-(test!$B$34-50),0)</f>
        <v>0</v>
      </c>
      <c r="S68">
        <f>IF(AND($A68&lt;&gt;S$1,Recharged_Feasible_mat!T37),(VLOOKUP(S$1,test!$A$3:$I$32,8,FALSE))-(VLOOKUP($A68,test!$A$3:$I$32,9,FALSE))-(test!$B$34-50),0)</f>
        <v>0</v>
      </c>
      <c r="T68">
        <f>IF(AND($A68&lt;&gt;T$1,Recharged_Feasible_mat!U37),(VLOOKUP(T$1,test!$A$3:$I$32,8,FALSE))-(VLOOKUP($A68,test!$A$3:$I$32,9,FALSE))-(test!$B$34-50),0)</f>
        <v>0</v>
      </c>
      <c r="U68">
        <f>IF(AND($A68&lt;&gt;U$1,Recharged_Feasible_mat!V37),(VLOOKUP(U$1,test!$A$3:$I$32,8,FALSE))-(VLOOKUP($A68,test!$A$3:$I$32,9,FALSE))-(test!$B$34-50),0)</f>
        <v>0</v>
      </c>
      <c r="V68">
        <f>IF(AND($A68&lt;&gt;V$1,Recharged_Feasible_mat!W37),(VLOOKUP(V$1,test!$A$3:$I$32,8,FALSE))-(VLOOKUP($A68,test!$A$3:$I$32,9,FALSE))-(test!$B$34-50),0)</f>
        <v>0</v>
      </c>
      <c r="W68">
        <f>IF(AND($A68&lt;&gt;W$1,Recharged_Feasible_mat!X37),(VLOOKUP(W$1,test!$A$3:$I$32,8,FALSE))-(VLOOKUP($A68,test!$A$3:$I$32,9,FALSE))-(test!$B$34-50),0)</f>
        <v>0</v>
      </c>
      <c r="X68">
        <f>IF(AND($A68&lt;&gt;X$1,Recharged_Feasible_mat!Y37),(VLOOKUP(X$1,test!$A$3:$I$32,8,FALSE))-(VLOOKUP($A68,test!$A$3:$I$32,9,FALSE))-(test!$B$34-50),0)</f>
        <v>0</v>
      </c>
      <c r="Y68">
        <f>IF(AND($A68&lt;&gt;Y$1,Recharged_Feasible_mat!Z37),(VLOOKUP(Y$1,test!$A$3:$I$32,8,FALSE))-(VLOOKUP($A68,test!$A$3:$I$32,9,FALSE))-(test!$B$34-50),0)</f>
        <v>0</v>
      </c>
      <c r="Z68">
        <f>IF(AND($A68&lt;&gt;Z$1,Recharged_Feasible_mat!AA37),(VLOOKUP(Z$1,test!$A$3:$I$32,8,FALSE))-(VLOOKUP($A68,test!$A$3:$I$32,9,FALSE))-(test!$B$34-50),0)</f>
        <v>0</v>
      </c>
      <c r="AA68">
        <f>IF(AND($A68&lt;&gt;AA$1,Recharged_Feasible_mat!AB37),(VLOOKUP(AA$1,test!$A$3:$I$32,8,FALSE))-(VLOOKUP($A68,test!$A$3:$I$32,9,FALSE))-(test!$B$34-50),0)</f>
        <v>0</v>
      </c>
      <c r="AB68">
        <f>IF(AND($A68&lt;&gt;AB$1,Recharged_Feasible_mat!AC37),(VLOOKUP(AB$1,test!$A$3:$I$32,8,FALSE))-(VLOOKUP($A68,test!$A$3:$I$32,9,FALSE))-(test!$B$34-50),0)</f>
        <v>0</v>
      </c>
      <c r="AC68">
        <f>IF(AND($A68&lt;&gt;AC$1,Recharged_Feasible_mat!AD37),(VLOOKUP(AC$1,test!$A$3:$I$32,8,FALSE))-(VLOOKUP($A68,test!$A$3:$I$32,9,FALSE))-(test!$B$34-50),0)</f>
        <v>0</v>
      </c>
      <c r="AD68">
        <f>IF(AND($A68&lt;&gt;AD$1,Recharged_Feasible_mat!AE37),(VLOOKUP(AD$1,test!$A$3:$I$32,8,FALSE))-(VLOOKUP($A68,test!$A$3:$I$32,9,FALSE))-(test!$B$34-50),0)</f>
        <v>0</v>
      </c>
      <c r="AE68">
        <f>IF(AND($A68&lt;&gt;AE$1,Recharged_Feasible_mat!AF37),(VLOOKUP(AE$1,test!$A$3:$I$32,8,FALSE))-(VLOOKUP($A68,test!$A$3:$I$32,9,FALSE))-(test!$B$34-50),0)</f>
        <v>0</v>
      </c>
      <c r="AF68">
        <f>IF(AND($A68&lt;&gt;AF$1,Recharged_Feasible_mat!AG37),(VLOOKUP(AF$1,test!$A$3:$I$32,8,FALSE))-(VLOOKUP($A68,test!$A$3:$I$32,9,FALSE))-(test!$B$34-50),0)</f>
        <v>0</v>
      </c>
    </row>
    <row r="69" spans="1:32" x14ac:dyDescent="0.25">
      <c r="A69" t="s">
        <v>12</v>
      </c>
      <c r="B69">
        <v>0</v>
      </c>
      <c r="C69">
        <f>IF(AND($A69&lt;&gt;C$1,Recharged_Feasible_mat!D38),(VLOOKUP(C$1,test!$A$3:$I$32,8,FALSE))-(VLOOKUP($A69,test!$A$3:$I$32,9,FALSE))-(test!$B$34-50),0)</f>
        <v>0</v>
      </c>
      <c r="D69">
        <f>IF(AND($A69&lt;&gt;D$1,Recharged_Feasible_mat!E38),(VLOOKUP(D$1,test!$A$3:$I$32,8,FALSE))-(VLOOKUP($A69,test!$A$3:$I$32,9,FALSE))-(test!$B$34-50),0)</f>
        <v>0</v>
      </c>
      <c r="E69">
        <f>IF(AND($A69&lt;&gt;E$1,Recharged_Feasible_mat!F38),(VLOOKUP(E$1,test!$A$3:$I$32,8,FALSE))-(VLOOKUP($A69,test!$A$3:$I$32,9,FALSE))-(test!$B$34-50),0)</f>
        <v>0</v>
      </c>
      <c r="F69">
        <f>IF(AND($A69&lt;&gt;F$1,Recharged_Feasible_mat!G38),(VLOOKUP(F$1,test!$A$3:$I$32,8,FALSE))-(VLOOKUP($A69,test!$A$3:$I$32,9,FALSE))-(test!$B$34-50),0)</f>
        <v>0</v>
      </c>
      <c r="G69">
        <f>IF(AND($A69&lt;&gt;G$1,Recharged_Feasible_mat!H38),(VLOOKUP(G$1,test!$A$3:$I$32,8,FALSE))-(VLOOKUP($A69,test!$A$3:$I$32,9,FALSE))-(test!$B$34-50),0)</f>
        <v>0</v>
      </c>
      <c r="H69">
        <f>IF(AND($A69&lt;&gt;H$1,Recharged_Feasible_mat!I38),(VLOOKUP(H$1,test!$A$3:$I$32,8,FALSE))-(VLOOKUP($A69,test!$A$3:$I$32,9,FALSE))-(test!$B$34-50),0)</f>
        <v>0</v>
      </c>
      <c r="I69">
        <f>IF(AND($A69&lt;&gt;I$1,Recharged_Feasible_mat!J38),(VLOOKUP(I$1,test!$A$3:$I$32,8,FALSE))-(VLOOKUP($A69,test!$A$3:$I$32,9,FALSE))-(test!$B$34-50),0)</f>
        <v>0</v>
      </c>
      <c r="J69">
        <f>IF(AND($A69&lt;&gt;J$1,Recharged_Feasible_mat!K38),(VLOOKUP(J$1,test!$A$3:$I$32,8,FALSE))-(VLOOKUP($A69,test!$A$3:$I$32,9,FALSE))-(test!$B$34-50),0)</f>
        <v>0</v>
      </c>
      <c r="K69">
        <f>IF(AND($A69&lt;&gt;K$1,Recharged_Feasible_mat!L38),(VLOOKUP(K$1,test!$A$3:$I$32,8,FALSE))-(VLOOKUP($A69,test!$A$3:$I$32,9,FALSE))-(test!$B$34-50),0)</f>
        <v>0</v>
      </c>
      <c r="L69">
        <f>IF(AND($A69&lt;&gt;L$1,Recharged_Feasible_mat!M38),(VLOOKUP(L$1,test!$A$3:$I$32,8,FALSE))-(VLOOKUP($A69,test!$A$3:$I$32,9,FALSE))-(test!$B$34-50),0)</f>
        <v>0</v>
      </c>
      <c r="M69">
        <f>IF(AND($A69&lt;&gt;M$1,Recharged_Feasible_mat!N38),(VLOOKUP(M$1,test!$A$3:$I$32,8,FALSE))-(VLOOKUP($A69,test!$A$3:$I$32,9,FALSE))-(test!$B$34-50),0)</f>
        <v>0</v>
      </c>
      <c r="N69">
        <f>IF(AND($A69&lt;&gt;N$1,Recharged_Feasible_mat!O38),(VLOOKUP(N$1,test!$A$3:$I$32,8,FALSE))-(VLOOKUP($A69,test!$A$3:$I$32,9,FALSE))-(test!$B$34-50),0)</f>
        <v>0</v>
      </c>
      <c r="O69">
        <f>IF(AND($A69&lt;&gt;O$1,Recharged_Feasible_mat!P38),(VLOOKUP(O$1,test!$A$3:$I$32,8,FALSE))-(VLOOKUP($A69,test!$A$3:$I$32,9,FALSE))-(test!$B$34-50),0)</f>
        <v>0</v>
      </c>
      <c r="P69">
        <f>IF(AND($A69&lt;&gt;P$1,Recharged_Feasible_mat!Q38),(VLOOKUP(P$1,test!$A$3:$I$32,8,FALSE))-(VLOOKUP($A69,test!$A$3:$I$32,9,FALSE))-(test!$B$34-50),0)</f>
        <v>0</v>
      </c>
      <c r="Q69">
        <f>IF(AND($A69&lt;&gt;Q$1,Recharged_Feasible_mat!R38),(VLOOKUP(Q$1,test!$A$3:$I$32,8,FALSE))-(VLOOKUP($A69,test!$A$3:$I$32,9,FALSE))-(test!$B$34-50),0)</f>
        <v>0</v>
      </c>
      <c r="R69">
        <f>IF(AND($A69&lt;&gt;R$1,Recharged_Feasible_mat!S38),(VLOOKUP(R$1,test!$A$3:$I$32,8,FALSE))-(VLOOKUP($A69,test!$A$3:$I$32,9,FALSE))-(test!$B$34-50),0)</f>
        <v>0</v>
      </c>
      <c r="S69">
        <f>IF(AND($A69&lt;&gt;S$1,Recharged_Feasible_mat!T38),(VLOOKUP(S$1,test!$A$3:$I$32,8,FALSE))-(VLOOKUP($A69,test!$A$3:$I$32,9,FALSE))-(test!$B$34-50),0)</f>
        <v>0</v>
      </c>
      <c r="T69">
        <f>IF(AND($A69&lt;&gt;T$1,Recharged_Feasible_mat!U38),(VLOOKUP(T$1,test!$A$3:$I$32,8,FALSE))-(VLOOKUP($A69,test!$A$3:$I$32,9,FALSE))-(test!$B$34-50),0)</f>
        <v>0</v>
      </c>
      <c r="U69">
        <f>IF(AND($A69&lt;&gt;U$1,Recharged_Feasible_mat!V38),(VLOOKUP(U$1,test!$A$3:$I$32,8,FALSE))-(VLOOKUP($A69,test!$A$3:$I$32,9,FALSE))-(test!$B$34-50),0)</f>
        <v>0</v>
      </c>
      <c r="V69">
        <f>IF(AND($A69&lt;&gt;V$1,Recharged_Feasible_mat!W38),(VLOOKUP(V$1,test!$A$3:$I$32,8,FALSE))-(VLOOKUP($A69,test!$A$3:$I$32,9,FALSE))-(test!$B$34-50),0)</f>
        <v>0</v>
      </c>
      <c r="W69">
        <f>IF(AND($A69&lt;&gt;W$1,Recharged_Feasible_mat!X38),(VLOOKUP(W$1,test!$A$3:$I$32,8,FALSE))-(VLOOKUP($A69,test!$A$3:$I$32,9,FALSE))-(test!$B$34-50),0)</f>
        <v>0</v>
      </c>
      <c r="X69">
        <f>IF(AND($A69&lt;&gt;X$1,Recharged_Feasible_mat!Y38),(VLOOKUP(X$1,test!$A$3:$I$32,8,FALSE))-(VLOOKUP($A69,test!$A$3:$I$32,9,FALSE))-(test!$B$34-50),0)</f>
        <v>0</v>
      </c>
      <c r="Y69">
        <f>IF(AND($A69&lt;&gt;Y$1,Recharged_Feasible_mat!Z38),(VLOOKUP(Y$1,test!$A$3:$I$32,8,FALSE))-(VLOOKUP($A69,test!$A$3:$I$32,9,FALSE))-(test!$B$34-50),0)</f>
        <v>0</v>
      </c>
      <c r="Z69">
        <f>IF(AND($A69&lt;&gt;Z$1,Recharged_Feasible_mat!AA38),(VLOOKUP(Z$1,test!$A$3:$I$32,8,FALSE))-(VLOOKUP($A69,test!$A$3:$I$32,9,FALSE))-(test!$B$34-50),0)</f>
        <v>0</v>
      </c>
      <c r="AA69">
        <f>IF(AND($A69&lt;&gt;AA$1,Recharged_Feasible_mat!AB38),(VLOOKUP(AA$1,test!$A$3:$I$32,8,FALSE))-(VLOOKUP($A69,test!$A$3:$I$32,9,FALSE))-(test!$B$34-50),0)</f>
        <v>0</v>
      </c>
      <c r="AB69">
        <f>IF(AND($A69&lt;&gt;AB$1,Recharged_Feasible_mat!AC38),(VLOOKUP(AB$1,test!$A$3:$I$32,8,FALSE))-(VLOOKUP($A69,test!$A$3:$I$32,9,FALSE))-(test!$B$34-50),0)</f>
        <v>0</v>
      </c>
      <c r="AC69">
        <f>IF(AND($A69&lt;&gt;AC$1,Recharged_Feasible_mat!AD38),(VLOOKUP(AC$1,test!$A$3:$I$32,8,FALSE))-(VLOOKUP($A69,test!$A$3:$I$32,9,FALSE))-(test!$B$34-50),0)</f>
        <v>0</v>
      </c>
      <c r="AD69">
        <f>IF(AND($A69&lt;&gt;AD$1,Recharged_Feasible_mat!AE38),(VLOOKUP(AD$1,test!$A$3:$I$32,8,FALSE))-(VLOOKUP($A69,test!$A$3:$I$32,9,FALSE))-(test!$B$34-50),0)</f>
        <v>0</v>
      </c>
      <c r="AE69">
        <f>IF(AND($A69&lt;&gt;AE$1,Recharged_Feasible_mat!AF38),(VLOOKUP(AE$1,test!$A$3:$I$32,8,FALSE))-(VLOOKUP($A69,test!$A$3:$I$32,9,FALSE))-(test!$B$34-50),0)</f>
        <v>0</v>
      </c>
      <c r="AF69">
        <f>IF(AND($A69&lt;&gt;AF$1,Recharged_Feasible_mat!AG38),(VLOOKUP(AF$1,test!$A$3:$I$32,8,FALSE))-(VLOOKUP($A69,test!$A$3:$I$32,9,FALSE))-(test!$B$34-50),0)</f>
        <v>0</v>
      </c>
    </row>
    <row r="70" spans="1:32" x14ac:dyDescent="0.25">
      <c r="A70" t="s">
        <v>13</v>
      </c>
      <c r="B70">
        <v>0</v>
      </c>
      <c r="C70">
        <f>IF(AND($A70&lt;&gt;C$1,Recharged_Feasible_mat!D39),(VLOOKUP(C$1,test!$A$3:$I$32,8,FALSE))-(VLOOKUP($A70,test!$A$3:$I$32,9,FALSE))-(test!$B$34-50),0)</f>
        <v>0</v>
      </c>
      <c r="D70">
        <f>IF(AND($A70&lt;&gt;D$1,Recharged_Feasible_mat!E39),(VLOOKUP(D$1,test!$A$3:$I$32,8,FALSE))-(VLOOKUP($A70,test!$A$3:$I$32,9,FALSE))-(test!$B$34-50),0)</f>
        <v>0</v>
      </c>
      <c r="E70">
        <f>IF(AND($A70&lt;&gt;E$1,Recharged_Feasible_mat!F39),(VLOOKUP(E$1,test!$A$3:$I$32,8,FALSE))-(VLOOKUP($A70,test!$A$3:$I$32,9,FALSE))-(test!$B$34-50),0)</f>
        <v>0</v>
      </c>
      <c r="F70">
        <f>IF(AND($A70&lt;&gt;F$1,Recharged_Feasible_mat!G39),(VLOOKUP(F$1,test!$A$3:$I$32,8,FALSE))-(VLOOKUP($A70,test!$A$3:$I$32,9,FALSE))-(test!$B$34-50),0)</f>
        <v>0</v>
      </c>
      <c r="G70">
        <f>IF(AND($A70&lt;&gt;G$1,Recharged_Feasible_mat!H39),(VLOOKUP(G$1,test!$A$3:$I$32,8,FALSE))-(VLOOKUP($A70,test!$A$3:$I$32,9,FALSE))-(test!$B$34-50),0)</f>
        <v>0</v>
      </c>
      <c r="H70">
        <f>IF(AND($A70&lt;&gt;H$1,Recharged_Feasible_mat!I39),(VLOOKUP(H$1,test!$A$3:$I$32,8,FALSE))-(VLOOKUP($A70,test!$A$3:$I$32,9,FALSE))-(test!$B$34-50),0)</f>
        <v>0</v>
      </c>
      <c r="I70">
        <f>IF(AND($A70&lt;&gt;I$1,Recharged_Feasible_mat!J39),(VLOOKUP(I$1,test!$A$3:$I$32,8,FALSE))-(VLOOKUP($A70,test!$A$3:$I$32,9,FALSE))-(test!$B$34-50),0)</f>
        <v>0</v>
      </c>
      <c r="J70">
        <f>IF(AND($A70&lt;&gt;J$1,Recharged_Feasible_mat!K39),(VLOOKUP(J$1,test!$A$3:$I$32,8,FALSE))-(VLOOKUP($A70,test!$A$3:$I$32,9,FALSE))-(test!$B$34-50),0)</f>
        <v>0</v>
      </c>
      <c r="K70">
        <f>IF(AND($A70&lt;&gt;K$1,Recharged_Feasible_mat!L39),(VLOOKUP(K$1,test!$A$3:$I$32,8,FALSE))-(VLOOKUP($A70,test!$A$3:$I$32,9,FALSE))-(test!$B$34-50),0)</f>
        <v>0</v>
      </c>
      <c r="L70">
        <f>IF(AND($A70&lt;&gt;L$1,Recharged_Feasible_mat!M39),(VLOOKUP(L$1,test!$A$3:$I$32,8,FALSE))-(VLOOKUP($A70,test!$A$3:$I$32,9,FALSE))-(test!$B$34-50),0)</f>
        <v>0</v>
      </c>
      <c r="M70">
        <f>IF(AND($A70&lt;&gt;M$1,Recharged_Feasible_mat!N39),(VLOOKUP(M$1,test!$A$3:$I$32,8,FALSE))-(VLOOKUP($A70,test!$A$3:$I$32,9,FALSE))-(test!$B$34-50),0)</f>
        <v>0</v>
      </c>
      <c r="N70">
        <f>IF(AND($A70&lt;&gt;N$1,Recharged_Feasible_mat!O39),(VLOOKUP(N$1,test!$A$3:$I$32,8,FALSE))-(VLOOKUP($A70,test!$A$3:$I$32,9,FALSE))-(test!$B$34-50),0)</f>
        <v>0</v>
      </c>
      <c r="O70">
        <f>IF(AND($A70&lt;&gt;O$1,Recharged_Feasible_mat!P39),(VLOOKUP(O$1,test!$A$3:$I$32,8,FALSE))-(VLOOKUP($A70,test!$A$3:$I$32,9,FALSE))-(test!$B$34-50),0)</f>
        <v>0</v>
      </c>
      <c r="P70">
        <f>IF(AND($A70&lt;&gt;P$1,Recharged_Feasible_mat!Q39),(VLOOKUP(P$1,test!$A$3:$I$32,8,FALSE))-(VLOOKUP($A70,test!$A$3:$I$32,9,FALSE))-(test!$B$34-50),0)</f>
        <v>0</v>
      </c>
      <c r="Q70">
        <f>IF(AND($A70&lt;&gt;Q$1,Recharged_Feasible_mat!R39),(VLOOKUP(Q$1,test!$A$3:$I$32,8,FALSE))-(VLOOKUP($A70,test!$A$3:$I$32,9,FALSE))-(test!$B$34-50),0)</f>
        <v>0</v>
      </c>
      <c r="R70">
        <f>IF(AND($A70&lt;&gt;R$1,Recharged_Feasible_mat!S39),(VLOOKUP(R$1,test!$A$3:$I$32,8,FALSE))-(VLOOKUP($A70,test!$A$3:$I$32,9,FALSE))-(test!$B$34-50),0)</f>
        <v>0</v>
      </c>
      <c r="S70">
        <f>IF(AND($A70&lt;&gt;S$1,Recharged_Feasible_mat!T39),(VLOOKUP(S$1,test!$A$3:$I$32,8,FALSE))-(VLOOKUP($A70,test!$A$3:$I$32,9,FALSE))-(test!$B$34-50),0)</f>
        <v>0</v>
      </c>
      <c r="T70">
        <f>IF(AND($A70&lt;&gt;T$1,Recharged_Feasible_mat!U39),(VLOOKUP(T$1,test!$A$3:$I$32,8,FALSE))-(VLOOKUP($A70,test!$A$3:$I$32,9,FALSE))-(test!$B$34-50),0)</f>
        <v>0</v>
      </c>
      <c r="U70">
        <f>IF(AND($A70&lt;&gt;U$1,Recharged_Feasible_mat!V39),(VLOOKUP(U$1,test!$A$3:$I$32,8,FALSE))-(VLOOKUP($A70,test!$A$3:$I$32,9,FALSE))-(test!$B$34-50),0)</f>
        <v>0</v>
      </c>
      <c r="V70">
        <f>IF(AND($A70&lt;&gt;V$1,Recharged_Feasible_mat!W39),(VLOOKUP(V$1,test!$A$3:$I$32,8,FALSE))-(VLOOKUP($A70,test!$A$3:$I$32,9,FALSE))-(test!$B$34-50),0)</f>
        <v>0</v>
      </c>
      <c r="W70">
        <f>IF(AND($A70&lt;&gt;W$1,Recharged_Feasible_mat!X39),(VLOOKUP(W$1,test!$A$3:$I$32,8,FALSE))-(VLOOKUP($A70,test!$A$3:$I$32,9,FALSE))-(test!$B$34-50),0)</f>
        <v>0</v>
      </c>
      <c r="X70">
        <f>IF(AND($A70&lt;&gt;X$1,Recharged_Feasible_mat!Y39),(VLOOKUP(X$1,test!$A$3:$I$32,8,FALSE))-(VLOOKUP($A70,test!$A$3:$I$32,9,FALSE))-(test!$B$34-50),0)</f>
        <v>0</v>
      </c>
      <c r="Y70">
        <f>IF(AND($A70&lt;&gt;Y$1,Recharged_Feasible_mat!Z39),(VLOOKUP(Y$1,test!$A$3:$I$32,8,FALSE))-(VLOOKUP($A70,test!$A$3:$I$32,9,FALSE))-(test!$B$34-50),0)</f>
        <v>0</v>
      </c>
      <c r="Z70">
        <f>IF(AND($A70&lt;&gt;Z$1,Recharged_Feasible_mat!AA39),(VLOOKUP(Z$1,test!$A$3:$I$32,8,FALSE))-(VLOOKUP($A70,test!$A$3:$I$32,9,FALSE))-(test!$B$34-50),0)</f>
        <v>0</v>
      </c>
      <c r="AA70">
        <f>IF(AND($A70&lt;&gt;AA$1,Recharged_Feasible_mat!AB39),(VLOOKUP(AA$1,test!$A$3:$I$32,8,FALSE))-(VLOOKUP($A70,test!$A$3:$I$32,9,FALSE))-(test!$B$34-50),0)</f>
        <v>0</v>
      </c>
      <c r="AB70">
        <f>IF(AND($A70&lt;&gt;AB$1,Recharged_Feasible_mat!AC39),(VLOOKUP(AB$1,test!$A$3:$I$32,8,FALSE))-(VLOOKUP($A70,test!$A$3:$I$32,9,FALSE))-(test!$B$34-50),0)</f>
        <v>0</v>
      </c>
      <c r="AC70">
        <f>IF(AND($A70&lt;&gt;AC$1,Recharged_Feasible_mat!AD39),(VLOOKUP(AC$1,test!$A$3:$I$32,8,FALSE))-(VLOOKUP($A70,test!$A$3:$I$32,9,FALSE))-(test!$B$34-50),0)</f>
        <v>0</v>
      </c>
      <c r="AD70">
        <f>IF(AND($A70&lt;&gt;AD$1,Recharged_Feasible_mat!AE39),(VLOOKUP(AD$1,test!$A$3:$I$32,8,FALSE))-(VLOOKUP($A70,test!$A$3:$I$32,9,FALSE))-(test!$B$34-50),0)</f>
        <v>0</v>
      </c>
      <c r="AE70">
        <f>IF(AND($A70&lt;&gt;AE$1,Recharged_Feasible_mat!AF39),(VLOOKUP(AE$1,test!$A$3:$I$32,8,FALSE))-(VLOOKUP($A70,test!$A$3:$I$32,9,FALSE))-(test!$B$34-50),0)</f>
        <v>0</v>
      </c>
      <c r="AF70">
        <f>IF(AND($A70&lt;&gt;AF$1,Recharged_Feasible_mat!AG39),(VLOOKUP(AF$1,test!$A$3:$I$32,8,FALSE))-(VLOOKUP($A70,test!$A$3:$I$32,9,FALSE))-(test!$B$34-50),0)</f>
        <v>0</v>
      </c>
    </row>
    <row r="71" spans="1:32" x14ac:dyDescent="0.25">
      <c r="A71" t="s">
        <v>14</v>
      </c>
      <c r="B71">
        <v>0</v>
      </c>
      <c r="C71">
        <f>IF(AND($A71&lt;&gt;C$1,Recharged_Feasible_mat!D40),(VLOOKUP(C$1,test!$A$3:$I$32,8,FALSE))-(VLOOKUP($A71,test!$A$3:$I$32,9,FALSE))-(test!$B$34-50),0)</f>
        <v>0</v>
      </c>
      <c r="D71">
        <f>IF(AND($A71&lt;&gt;D$1,Recharged_Feasible_mat!E40),(VLOOKUP(D$1,test!$A$3:$I$32,8,FALSE))-(VLOOKUP($A71,test!$A$3:$I$32,9,FALSE))-(test!$B$34-50),0)</f>
        <v>0</v>
      </c>
      <c r="E71">
        <f>IF(AND($A71&lt;&gt;E$1,Recharged_Feasible_mat!F40),(VLOOKUP(E$1,test!$A$3:$I$32,8,FALSE))-(VLOOKUP($A71,test!$A$3:$I$32,9,FALSE))-(test!$B$34-50),0)</f>
        <v>0</v>
      </c>
      <c r="F71">
        <f>IF(AND($A71&lt;&gt;F$1,Recharged_Feasible_mat!G40),(VLOOKUP(F$1,test!$A$3:$I$32,8,FALSE))-(VLOOKUP($A71,test!$A$3:$I$32,9,FALSE))-(test!$B$34-50),0)</f>
        <v>0</v>
      </c>
      <c r="G71">
        <f>IF(AND($A71&lt;&gt;G$1,Recharged_Feasible_mat!H40),(VLOOKUP(G$1,test!$A$3:$I$32,8,FALSE))-(VLOOKUP($A71,test!$A$3:$I$32,9,FALSE))-(test!$B$34-50),0)</f>
        <v>0</v>
      </c>
      <c r="H71">
        <f>IF(AND($A71&lt;&gt;H$1,Recharged_Feasible_mat!I40),(VLOOKUP(H$1,test!$A$3:$I$32,8,FALSE))-(VLOOKUP($A71,test!$A$3:$I$32,9,FALSE))-(test!$B$34-50),0)</f>
        <v>0</v>
      </c>
      <c r="I71">
        <f>IF(AND($A71&lt;&gt;I$1,Recharged_Feasible_mat!J40),(VLOOKUP(I$1,test!$A$3:$I$32,8,FALSE))-(VLOOKUP($A71,test!$A$3:$I$32,9,FALSE))-(test!$B$34-50),0)</f>
        <v>0</v>
      </c>
      <c r="J71">
        <f>IF(AND($A71&lt;&gt;J$1,Recharged_Feasible_mat!K40),(VLOOKUP(J$1,test!$A$3:$I$32,8,FALSE))-(VLOOKUP($A71,test!$A$3:$I$32,9,FALSE))-(test!$B$34-50),0)</f>
        <v>0</v>
      </c>
      <c r="K71">
        <f>IF(AND($A71&lt;&gt;K$1,Recharged_Feasible_mat!L40),(VLOOKUP(K$1,test!$A$3:$I$32,8,FALSE))-(VLOOKUP($A71,test!$A$3:$I$32,9,FALSE))-(test!$B$34-50),0)</f>
        <v>0</v>
      </c>
      <c r="L71">
        <f>IF(AND($A71&lt;&gt;L$1,Recharged_Feasible_mat!M40),(VLOOKUP(L$1,test!$A$3:$I$32,8,FALSE))-(VLOOKUP($A71,test!$A$3:$I$32,9,FALSE))-(test!$B$34-50),0)</f>
        <v>0</v>
      </c>
      <c r="M71">
        <f>IF(AND($A71&lt;&gt;M$1,Recharged_Feasible_mat!N40),(VLOOKUP(M$1,test!$A$3:$I$32,8,FALSE))-(VLOOKUP($A71,test!$A$3:$I$32,9,FALSE))-(test!$B$34-50),0)</f>
        <v>0</v>
      </c>
      <c r="N71">
        <f>IF(AND($A71&lt;&gt;N$1,Recharged_Feasible_mat!O40),(VLOOKUP(N$1,test!$A$3:$I$32,8,FALSE))-(VLOOKUP($A71,test!$A$3:$I$32,9,FALSE))-(test!$B$34-50),0)</f>
        <v>0</v>
      </c>
      <c r="O71">
        <f>IF(AND($A71&lt;&gt;O$1,Recharged_Feasible_mat!P40),(VLOOKUP(O$1,test!$A$3:$I$32,8,FALSE))-(VLOOKUP($A71,test!$A$3:$I$32,9,FALSE))-(test!$B$34-50),0)</f>
        <v>0</v>
      </c>
      <c r="P71">
        <f>IF(AND($A71&lt;&gt;P$1,Recharged_Feasible_mat!Q40),(VLOOKUP(P$1,test!$A$3:$I$32,8,FALSE))-(VLOOKUP($A71,test!$A$3:$I$32,9,FALSE))-(test!$B$34-50),0)</f>
        <v>0</v>
      </c>
      <c r="Q71">
        <f>IF(AND($A71&lt;&gt;Q$1,Recharged_Feasible_mat!R40),(VLOOKUP(Q$1,test!$A$3:$I$32,8,FALSE))-(VLOOKUP($A71,test!$A$3:$I$32,9,FALSE))-(test!$B$34-50),0)</f>
        <v>0</v>
      </c>
      <c r="R71">
        <f>IF(AND($A71&lt;&gt;R$1,Recharged_Feasible_mat!S40),(VLOOKUP(R$1,test!$A$3:$I$32,8,FALSE))-(VLOOKUP($A71,test!$A$3:$I$32,9,FALSE))-(test!$B$34-50),0)</f>
        <v>0</v>
      </c>
      <c r="S71">
        <f>IF(AND($A71&lt;&gt;S$1,Recharged_Feasible_mat!T40),(VLOOKUP(S$1,test!$A$3:$I$32,8,FALSE))-(VLOOKUP($A71,test!$A$3:$I$32,9,FALSE))-(test!$B$34-50),0)</f>
        <v>0</v>
      </c>
      <c r="T71">
        <f>IF(AND($A71&lt;&gt;T$1,Recharged_Feasible_mat!U40),(VLOOKUP(T$1,test!$A$3:$I$32,8,FALSE))-(VLOOKUP($A71,test!$A$3:$I$32,9,FALSE))-(test!$B$34-50),0)</f>
        <v>0</v>
      </c>
      <c r="U71">
        <f>IF(AND($A71&lt;&gt;U$1,Recharged_Feasible_mat!V40),(VLOOKUP(U$1,test!$A$3:$I$32,8,FALSE))-(VLOOKUP($A71,test!$A$3:$I$32,9,FALSE))-(test!$B$34-50),0)</f>
        <v>0</v>
      </c>
      <c r="V71">
        <f>IF(AND($A71&lt;&gt;V$1,Recharged_Feasible_mat!W40),(VLOOKUP(V$1,test!$A$3:$I$32,8,FALSE))-(VLOOKUP($A71,test!$A$3:$I$32,9,FALSE))-(test!$B$34-50),0)</f>
        <v>0</v>
      </c>
      <c r="W71">
        <f>IF(AND($A71&lt;&gt;W$1,Recharged_Feasible_mat!X40),(VLOOKUP(W$1,test!$A$3:$I$32,8,FALSE))-(VLOOKUP($A71,test!$A$3:$I$32,9,FALSE))-(test!$B$34-50),0)</f>
        <v>0</v>
      </c>
      <c r="X71">
        <f>IF(AND($A71&lt;&gt;X$1,Recharged_Feasible_mat!Y40),(VLOOKUP(X$1,test!$A$3:$I$32,8,FALSE))-(VLOOKUP($A71,test!$A$3:$I$32,9,FALSE))-(test!$B$34-50),0)</f>
        <v>0</v>
      </c>
      <c r="Y71">
        <f>IF(AND($A71&lt;&gt;Y$1,Recharged_Feasible_mat!Z40),(VLOOKUP(Y$1,test!$A$3:$I$32,8,FALSE))-(VLOOKUP($A71,test!$A$3:$I$32,9,FALSE))-(test!$B$34-50),0)</f>
        <v>0</v>
      </c>
      <c r="Z71">
        <f>IF(AND($A71&lt;&gt;Z$1,Recharged_Feasible_mat!AA40),(VLOOKUP(Z$1,test!$A$3:$I$32,8,FALSE))-(VLOOKUP($A71,test!$A$3:$I$32,9,FALSE))-(test!$B$34-50),0)</f>
        <v>0</v>
      </c>
      <c r="AA71">
        <f>IF(AND($A71&lt;&gt;AA$1,Recharged_Feasible_mat!AB40),(VLOOKUP(AA$1,test!$A$3:$I$32,8,FALSE))-(VLOOKUP($A71,test!$A$3:$I$32,9,FALSE))-(test!$B$34-50),0)</f>
        <v>0</v>
      </c>
      <c r="AB71">
        <f>IF(AND($A71&lt;&gt;AB$1,Recharged_Feasible_mat!AC40),(VLOOKUP(AB$1,test!$A$3:$I$32,8,FALSE))-(VLOOKUP($A71,test!$A$3:$I$32,9,FALSE))-(test!$B$34-50),0)</f>
        <v>0</v>
      </c>
      <c r="AC71">
        <f>IF(AND($A71&lt;&gt;AC$1,Recharged_Feasible_mat!AD40),(VLOOKUP(AC$1,test!$A$3:$I$32,8,FALSE))-(VLOOKUP($A71,test!$A$3:$I$32,9,FALSE))-(test!$B$34-50),0)</f>
        <v>0</v>
      </c>
      <c r="AD71">
        <f>IF(AND($A71&lt;&gt;AD$1,Recharged_Feasible_mat!AE40),(VLOOKUP(AD$1,test!$A$3:$I$32,8,FALSE))-(VLOOKUP($A71,test!$A$3:$I$32,9,FALSE))-(test!$B$34-50),0)</f>
        <v>0</v>
      </c>
      <c r="AE71">
        <f>IF(AND($A71&lt;&gt;AE$1,Recharged_Feasible_mat!AF40),(VLOOKUP(AE$1,test!$A$3:$I$32,8,FALSE))-(VLOOKUP($A71,test!$A$3:$I$32,9,FALSE))-(test!$B$34-50),0)</f>
        <v>0</v>
      </c>
      <c r="AF71">
        <f>IF(AND($A71&lt;&gt;AF$1,Recharged_Feasible_mat!AG40),(VLOOKUP(AF$1,test!$A$3:$I$32,8,FALSE))-(VLOOKUP($A71,test!$A$3:$I$32,9,FALSE))-(test!$B$34-50),0)</f>
        <v>0</v>
      </c>
    </row>
    <row r="72" spans="1:32" x14ac:dyDescent="0.25">
      <c r="A72" t="s">
        <v>15</v>
      </c>
      <c r="B72">
        <v>0</v>
      </c>
      <c r="C72">
        <f>IF(AND($A72&lt;&gt;C$1,Recharged_Feasible_mat!D41),(VLOOKUP(C$1,test!$A$3:$I$32,8,FALSE))-(VLOOKUP($A72,test!$A$3:$I$32,9,FALSE))-(test!$B$34-50),0)</f>
        <v>0</v>
      </c>
      <c r="D72">
        <f>IF(AND($A72&lt;&gt;D$1,Recharged_Feasible_mat!E41),(VLOOKUP(D$1,test!$A$3:$I$32,8,FALSE))-(VLOOKUP($A72,test!$A$3:$I$32,9,FALSE))-(test!$B$34-50),0)</f>
        <v>0</v>
      </c>
      <c r="E72">
        <f>IF(AND($A72&lt;&gt;E$1,Recharged_Feasible_mat!F41),(VLOOKUP(E$1,test!$A$3:$I$32,8,FALSE))-(VLOOKUP($A72,test!$A$3:$I$32,9,FALSE))-(test!$B$34-50),0)</f>
        <v>0</v>
      </c>
      <c r="F72">
        <f>IF(AND($A72&lt;&gt;F$1,Recharged_Feasible_mat!G41),(VLOOKUP(F$1,test!$A$3:$I$32,8,FALSE))-(VLOOKUP($A72,test!$A$3:$I$32,9,FALSE))-(test!$B$34-50),0)</f>
        <v>0</v>
      </c>
      <c r="G72">
        <f>IF(AND($A72&lt;&gt;G$1,Recharged_Feasible_mat!H41),(VLOOKUP(G$1,test!$A$3:$I$32,8,FALSE))-(VLOOKUP($A72,test!$A$3:$I$32,9,FALSE))-(test!$B$34-50),0)</f>
        <v>0</v>
      </c>
      <c r="H72">
        <f>IF(AND($A72&lt;&gt;H$1,Recharged_Feasible_mat!I41),(VLOOKUP(H$1,test!$A$3:$I$32,8,FALSE))-(VLOOKUP($A72,test!$A$3:$I$32,9,FALSE))-(test!$B$34-50),0)</f>
        <v>0</v>
      </c>
      <c r="I72">
        <f>IF(AND($A72&lt;&gt;I$1,Recharged_Feasible_mat!J41),(VLOOKUP(I$1,test!$A$3:$I$32,8,FALSE))-(VLOOKUP($A72,test!$A$3:$I$32,9,FALSE))-(test!$B$34-50),0)</f>
        <v>0</v>
      </c>
      <c r="J72">
        <f>IF(AND($A72&lt;&gt;J$1,Recharged_Feasible_mat!K41),(VLOOKUP(J$1,test!$A$3:$I$32,8,FALSE))-(VLOOKUP($A72,test!$A$3:$I$32,9,FALSE))-(test!$B$34-50),0)</f>
        <v>0</v>
      </c>
      <c r="K72">
        <f>IF(AND($A72&lt;&gt;K$1,Recharged_Feasible_mat!L41),(VLOOKUP(K$1,test!$A$3:$I$32,8,FALSE))-(VLOOKUP($A72,test!$A$3:$I$32,9,FALSE))-(test!$B$34-50),0)</f>
        <v>0</v>
      </c>
      <c r="L72">
        <f>IF(AND($A72&lt;&gt;L$1,Recharged_Feasible_mat!M41),(VLOOKUP(L$1,test!$A$3:$I$32,8,FALSE))-(VLOOKUP($A72,test!$A$3:$I$32,9,FALSE))-(test!$B$34-50),0)</f>
        <v>0</v>
      </c>
      <c r="M72">
        <f>IF(AND($A72&lt;&gt;M$1,Recharged_Feasible_mat!N41),(VLOOKUP(M$1,test!$A$3:$I$32,8,FALSE))-(VLOOKUP($A72,test!$A$3:$I$32,9,FALSE))-(test!$B$34-50),0)</f>
        <v>0</v>
      </c>
      <c r="N72">
        <f>IF(AND($A72&lt;&gt;N$1,Recharged_Feasible_mat!O41),(VLOOKUP(N$1,test!$A$3:$I$32,8,FALSE))-(VLOOKUP($A72,test!$A$3:$I$32,9,FALSE))-(test!$B$34-50),0)</f>
        <v>0</v>
      </c>
      <c r="O72">
        <f>IF(AND($A72&lt;&gt;O$1,Recharged_Feasible_mat!P41),(VLOOKUP(O$1,test!$A$3:$I$32,8,FALSE))-(VLOOKUP($A72,test!$A$3:$I$32,9,FALSE))-(test!$B$34-50),0)</f>
        <v>0</v>
      </c>
      <c r="P72">
        <f>IF(AND($A72&lt;&gt;P$1,Recharged_Feasible_mat!Q41),(VLOOKUP(P$1,test!$A$3:$I$32,8,FALSE))-(VLOOKUP($A72,test!$A$3:$I$32,9,FALSE))-(test!$B$34-50),0)</f>
        <v>0</v>
      </c>
      <c r="Q72">
        <f>IF(AND($A72&lt;&gt;Q$1,Recharged_Feasible_mat!R41),(VLOOKUP(Q$1,test!$A$3:$I$32,8,FALSE))-(VLOOKUP($A72,test!$A$3:$I$32,9,FALSE))-(test!$B$34-50),0)</f>
        <v>0</v>
      </c>
      <c r="R72">
        <f>IF(AND($A72&lt;&gt;R$1,Recharged_Feasible_mat!S41),(VLOOKUP(R$1,test!$A$3:$I$32,8,FALSE))-(VLOOKUP($A72,test!$A$3:$I$32,9,FALSE))-(test!$B$34-50),0)</f>
        <v>0</v>
      </c>
      <c r="S72">
        <f>IF(AND($A72&lt;&gt;S$1,Recharged_Feasible_mat!T41),(VLOOKUP(S$1,test!$A$3:$I$32,8,FALSE))-(VLOOKUP($A72,test!$A$3:$I$32,9,FALSE))-(test!$B$34-50),0)</f>
        <v>0</v>
      </c>
      <c r="T72">
        <f>IF(AND($A72&lt;&gt;T$1,Recharged_Feasible_mat!U41),(VLOOKUP(T$1,test!$A$3:$I$32,8,FALSE))-(VLOOKUP($A72,test!$A$3:$I$32,9,FALSE))-(test!$B$34-50),0)</f>
        <v>0</v>
      </c>
      <c r="U72">
        <f>IF(AND($A72&lt;&gt;U$1,Recharged_Feasible_mat!V41),(VLOOKUP(U$1,test!$A$3:$I$32,8,FALSE))-(VLOOKUP($A72,test!$A$3:$I$32,9,FALSE))-(test!$B$34-50),0)</f>
        <v>0</v>
      </c>
      <c r="V72">
        <f>IF(AND($A72&lt;&gt;V$1,Recharged_Feasible_mat!W41),(VLOOKUP(V$1,test!$A$3:$I$32,8,FALSE))-(VLOOKUP($A72,test!$A$3:$I$32,9,FALSE))-(test!$B$34-50),0)</f>
        <v>0</v>
      </c>
      <c r="W72">
        <f>IF(AND($A72&lt;&gt;W$1,Recharged_Feasible_mat!X41),(VLOOKUP(W$1,test!$A$3:$I$32,8,FALSE))-(VLOOKUP($A72,test!$A$3:$I$32,9,FALSE))-(test!$B$34-50),0)</f>
        <v>0</v>
      </c>
      <c r="X72">
        <f>IF(AND($A72&lt;&gt;X$1,Recharged_Feasible_mat!Y41),(VLOOKUP(X$1,test!$A$3:$I$32,8,FALSE))-(VLOOKUP($A72,test!$A$3:$I$32,9,FALSE))-(test!$B$34-50),0)</f>
        <v>0</v>
      </c>
      <c r="Y72">
        <f>IF(AND($A72&lt;&gt;Y$1,Recharged_Feasible_mat!Z41),(VLOOKUP(Y$1,test!$A$3:$I$32,8,FALSE))-(VLOOKUP($A72,test!$A$3:$I$32,9,FALSE))-(test!$B$34-50),0)</f>
        <v>0</v>
      </c>
      <c r="Z72">
        <f>IF(AND($A72&lt;&gt;Z$1,Recharged_Feasible_mat!AA41),(VLOOKUP(Z$1,test!$A$3:$I$32,8,FALSE))-(VLOOKUP($A72,test!$A$3:$I$32,9,FALSE))-(test!$B$34-50),0)</f>
        <v>0</v>
      </c>
      <c r="AA72">
        <f>IF(AND($A72&lt;&gt;AA$1,Recharged_Feasible_mat!AB41),(VLOOKUP(AA$1,test!$A$3:$I$32,8,FALSE))-(VLOOKUP($A72,test!$A$3:$I$32,9,FALSE))-(test!$B$34-50),0)</f>
        <v>0</v>
      </c>
      <c r="AB72">
        <f>IF(AND($A72&lt;&gt;AB$1,Recharged_Feasible_mat!AC41),(VLOOKUP(AB$1,test!$A$3:$I$32,8,FALSE))-(VLOOKUP($A72,test!$A$3:$I$32,9,FALSE))-(test!$B$34-50),0)</f>
        <v>0</v>
      </c>
      <c r="AC72">
        <f>IF(AND($A72&lt;&gt;AC$1,Recharged_Feasible_mat!AD41),(VLOOKUP(AC$1,test!$A$3:$I$32,8,FALSE))-(VLOOKUP($A72,test!$A$3:$I$32,9,FALSE))-(test!$B$34-50),0)</f>
        <v>0</v>
      </c>
      <c r="AD72">
        <f>IF(AND($A72&lt;&gt;AD$1,Recharged_Feasible_mat!AE41),(VLOOKUP(AD$1,test!$A$3:$I$32,8,FALSE))-(VLOOKUP($A72,test!$A$3:$I$32,9,FALSE))-(test!$B$34-50),0)</f>
        <v>0</v>
      </c>
      <c r="AE72">
        <f>IF(AND($A72&lt;&gt;AE$1,Recharged_Feasible_mat!AF41),(VLOOKUP(AE$1,test!$A$3:$I$32,8,FALSE))-(VLOOKUP($A72,test!$A$3:$I$32,9,FALSE))-(test!$B$34-50),0)</f>
        <v>0</v>
      </c>
      <c r="AF72">
        <f>IF(AND($A72&lt;&gt;AF$1,Recharged_Feasible_mat!AG41),(VLOOKUP(AF$1,test!$A$3:$I$32,8,FALSE))-(VLOOKUP($A72,test!$A$3:$I$32,9,FALSE))-(test!$B$34-50),0)</f>
        <v>0</v>
      </c>
    </row>
    <row r="73" spans="1:32" x14ac:dyDescent="0.25">
      <c r="A73" t="s">
        <v>18</v>
      </c>
      <c r="B73">
        <v>0</v>
      </c>
      <c r="C73">
        <f>IF(AND($A73&lt;&gt;C$1,Recharged_Feasible_mat!D42),(VLOOKUP(C$1,test!$A$3:$I$32,8,FALSE))-(VLOOKUP($A73,test!$A$3:$I$32,9,FALSE))-(test!$B$34-50),0)</f>
        <v>0</v>
      </c>
      <c r="D73">
        <f>IF(AND($A73&lt;&gt;D$1,Recharged_Feasible_mat!E42),(VLOOKUP(D$1,test!$A$3:$I$32,8,FALSE))-(VLOOKUP($A73,test!$A$3:$I$32,9,FALSE))-(test!$B$34-50),0)</f>
        <v>0</v>
      </c>
      <c r="E73">
        <f>IF(AND($A73&lt;&gt;E$1,Recharged_Feasible_mat!F42),(VLOOKUP(E$1,test!$A$3:$I$32,8,FALSE))-(VLOOKUP($A73,test!$A$3:$I$32,9,FALSE))-(test!$B$34-50),0)</f>
        <v>0</v>
      </c>
      <c r="F73">
        <f>IF(AND($A73&lt;&gt;F$1,Recharged_Feasible_mat!G42),(VLOOKUP(F$1,test!$A$3:$I$32,8,FALSE))-(VLOOKUP($A73,test!$A$3:$I$32,9,FALSE))-(test!$B$34-50),0)</f>
        <v>225</v>
      </c>
      <c r="G73">
        <f>IF(AND($A73&lt;&gt;G$1,Recharged_Feasible_mat!H42),(VLOOKUP(G$1,test!$A$3:$I$32,8,FALSE))-(VLOOKUP($A73,test!$A$3:$I$32,9,FALSE))-(test!$B$34-50),0)</f>
        <v>285</v>
      </c>
      <c r="H73">
        <f>IF(AND($A73&lt;&gt;H$1,Recharged_Feasible_mat!I42),(VLOOKUP(H$1,test!$A$3:$I$32,8,FALSE))-(VLOOKUP($A73,test!$A$3:$I$32,9,FALSE))-(test!$B$34-50),0)</f>
        <v>345</v>
      </c>
      <c r="I73">
        <f>IF(AND($A73&lt;&gt;I$1,Recharged_Feasible_mat!J42),(VLOOKUP(I$1,test!$A$3:$I$32,8,FALSE))-(VLOOKUP($A73,test!$A$3:$I$32,9,FALSE))-(test!$B$34-50),0)</f>
        <v>405</v>
      </c>
      <c r="J73">
        <f>IF(AND($A73&lt;&gt;J$1,Recharged_Feasible_mat!K42),(VLOOKUP(J$1,test!$A$3:$I$32,8,FALSE))-(VLOOKUP($A73,test!$A$3:$I$32,9,FALSE))-(test!$B$34-50),0)</f>
        <v>495</v>
      </c>
      <c r="K73">
        <f>IF(AND($A73&lt;&gt;K$1,Recharged_Feasible_mat!L42),(VLOOKUP(K$1,test!$A$3:$I$32,8,FALSE))-(VLOOKUP($A73,test!$A$3:$I$32,9,FALSE))-(test!$B$34-50),0)</f>
        <v>0</v>
      </c>
      <c r="L73">
        <f>IF(AND($A73&lt;&gt;L$1,Recharged_Feasible_mat!M42),(VLOOKUP(L$1,test!$A$3:$I$32,8,FALSE))-(VLOOKUP($A73,test!$A$3:$I$32,9,FALSE))-(test!$B$34-50),0)</f>
        <v>0</v>
      </c>
      <c r="M73">
        <f>IF(AND($A73&lt;&gt;M$1,Recharged_Feasible_mat!N42),(VLOOKUP(M$1,test!$A$3:$I$32,8,FALSE))-(VLOOKUP($A73,test!$A$3:$I$32,9,FALSE))-(test!$B$34-50),0)</f>
        <v>0</v>
      </c>
      <c r="N73">
        <f>IF(AND($A73&lt;&gt;N$1,Recharged_Feasible_mat!O42),(VLOOKUP(N$1,test!$A$3:$I$32,8,FALSE))-(VLOOKUP($A73,test!$A$3:$I$32,9,FALSE))-(test!$B$34-50),0)</f>
        <v>460</v>
      </c>
      <c r="O73">
        <f>IF(AND($A73&lt;&gt;O$1,Recharged_Feasible_mat!P42),(VLOOKUP(O$1,test!$A$3:$I$32,8,FALSE))-(VLOOKUP($A73,test!$A$3:$I$32,9,FALSE))-(test!$B$34-50),0)</f>
        <v>520</v>
      </c>
      <c r="P73">
        <f>IF(AND($A73&lt;&gt;P$1,Recharged_Feasible_mat!Q42),(VLOOKUP(P$1,test!$A$3:$I$32,8,FALSE))-(VLOOKUP($A73,test!$A$3:$I$32,9,FALSE))-(test!$B$34-50),0)</f>
        <v>0</v>
      </c>
      <c r="Q73">
        <f>IF(AND($A73&lt;&gt;Q$1,Recharged_Feasible_mat!R42),(VLOOKUP(Q$1,test!$A$3:$I$32,8,FALSE))-(VLOOKUP($A73,test!$A$3:$I$32,9,FALSE))-(test!$B$34-50),0)</f>
        <v>0</v>
      </c>
      <c r="R73">
        <f>IF(AND($A73&lt;&gt;R$1,Recharged_Feasible_mat!S42),(VLOOKUP(R$1,test!$A$3:$I$32,8,FALSE))-(VLOOKUP($A73,test!$A$3:$I$32,9,FALSE))-(test!$B$34-50),0)</f>
        <v>0</v>
      </c>
      <c r="S73">
        <f>IF(AND($A73&lt;&gt;S$1,Recharged_Feasible_mat!T42),(VLOOKUP(S$1,test!$A$3:$I$32,8,FALSE))-(VLOOKUP($A73,test!$A$3:$I$32,9,FALSE))-(test!$B$34-50),0)</f>
        <v>0</v>
      </c>
      <c r="T73">
        <f>IF(AND($A73&lt;&gt;T$1,Recharged_Feasible_mat!U42),(VLOOKUP(T$1,test!$A$3:$I$32,8,FALSE))-(VLOOKUP($A73,test!$A$3:$I$32,9,FALSE))-(test!$B$34-50),0)</f>
        <v>0</v>
      </c>
      <c r="U73">
        <f>IF(AND($A73&lt;&gt;U$1,Recharged_Feasible_mat!V42),(VLOOKUP(U$1,test!$A$3:$I$32,8,FALSE))-(VLOOKUP($A73,test!$A$3:$I$32,9,FALSE))-(test!$B$34-50),0)</f>
        <v>205</v>
      </c>
      <c r="V73">
        <f>IF(AND($A73&lt;&gt;V$1,Recharged_Feasible_mat!W42),(VLOOKUP(V$1,test!$A$3:$I$32,8,FALSE))-(VLOOKUP($A73,test!$A$3:$I$32,9,FALSE))-(test!$B$34-50),0)</f>
        <v>295</v>
      </c>
      <c r="W73">
        <f>IF(AND($A73&lt;&gt;W$1,Recharged_Feasible_mat!X42),(VLOOKUP(W$1,test!$A$3:$I$32,8,FALSE))-(VLOOKUP($A73,test!$A$3:$I$32,9,FALSE))-(test!$B$34-50),0)</f>
        <v>385</v>
      </c>
      <c r="X73">
        <f>IF(AND($A73&lt;&gt;X$1,Recharged_Feasible_mat!Y42),(VLOOKUP(X$1,test!$A$3:$I$32,8,FALSE))-(VLOOKUP($A73,test!$A$3:$I$32,9,FALSE))-(test!$B$34-50),0)</f>
        <v>445</v>
      </c>
      <c r="Y73">
        <f>IF(AND($A73&lt;&gt;Y$1,Recharged_Feasible_mat!Z42),(VLOOKUP(Y$1,test!$A$3:$I$32,8,FALSE))-(VLOOKUP($A73,test!$A$3:$I$32,9,FALSE))-(test!$B$34-50),0)</f>
        <v>0</v>
      </c>
      <c r="Z73">
        <f>IF(AND($A73&lt;&gt;Z$1,Recharged_Feasible_mat!AA42),(VLOOKUP(Z$1,test!$A$3:$I$32,8,FALSE))-(VLOOKUP($A73,test!$A$3:$I$32,9,FALSE))-(test!$B$34-50),0)</f>
        <v>0</v>
      </c>
      <c r="AA73">
        <f>IF(AND($A73&lt;&gt;AA$1,Recharged_Feasible_mat!AB42),(VLOOKUP(AA$1,test!$A$3:$I$32,8,FALSE))-(VLOOKUP($A73,test!$A$3:$I$32,9,FALSE))-(test!$B$34-50),0)</f>
        <v>0</v>
      </c>
      <c r="AB73">
        <f>IF(AND($A73&lt;&gt;AB$1,Recharged_Feasible_mat!AC42),(VLOOKUP(AB$1,test!$A$3:$I$32,8,FALSE))-(VLOOKUP($A73,test!$A$3:$I$32,9,FALSE))-(test!$B$34-50),0)</f>
        <v>225</v>
      </c>
      <c r="AC73">
        <f>IF(AND($A73&lt;&gt;AC$1,Recharged_Feasible_mat!AD42),(VLOOKUP(AC$1,test!$A$3:$I$32,8,FALSE))-(VLOOKUP($A73,test!$A$3:$I$32,9,FALSE))-(test!$B$34-50),0)</f>
        <v>345</v>
      </c>
      <c r="AD73">
        <f>IF(AND($A73&lt;&gt;AD$1,Recharged_Feasible_mat!AE42),(VLOOKUP(AD$1,test!$A$3:$I$32,8,FALSE))-(VLOOKUP($A73,test!$A$3:$I$32,9,FALSE))-(test!$B$34-50),0)</f>
        <v>0</v>
      </c>
      <c r="AE73">
        <f>IF(AND($A73&lt;&gt;AE$1,Recharged_Feasible_mat!AF42),(VLOOKUP(AE$1,test!$A$3:$I$32,8,FALSE))-(VLOOKUP($A73,test!$A$3:$I$32,9,FALSE))-(test!$B$34-50),0)</f>
        <v>0</v>
      </c>
      <c r="AF73">
        <f>IF(AND($A73&lt;&gt;AF$1,Recharged_Feasible_mat!AG42),(VLOOKUP(AF$1,test!$A$3:$I$32,8,FALSE))-(VLOOKUP($A73,test!$A$3:$I$32,9,FALSE))-(test!$B$34-50),0)</f>
        <v>0</v>
      </c>
    </row>
    <row r="74" spans="1:32" x14ac:dyDescent="0.25">
      <c r="A74" t="s">
        <v>20</v>
      </c>
      <c r="B74">
        <v>0</v>
      </c>
      <c r="C74">
        <f>IF(AND($A74&lt;&gt;C$1,Recharged_Feasible_mat!D43),(VLOOKUP(C$1,test!$A$3:$I$32,8,FALSE))-(VLOOKUP($A74,test!$A$3:$I$32,9,FALSE))-(test!$B$34-50),0)</f>
        <v>0</v>
      </c>
      <c r="D74">
        <f>IF(AND($A74&lt;&gt;D$1,Recharged_Feasible_mat!E43),(VLOOKUP(D$1,test!$A$3:$I$32,8,FALSE))-(VLOOKUP($A74,test!$A$3:$I$32,9,FALSE))-(test!$B$34-50),0)</f>
        <v>0</v>
      </c>
      <c r="E74">
        <f>IF(AND($A74&lt;&gt;E$1,Recharged_Feasible_mat!F43),(VLOOKUP(E$1,test!$A$3:$I$32,8,FALSE))-(VLOOKUP($A74,test!$A$3:$I$32,9,FALSE))-(test!$B$34-50),0)</f>
        <v>0</v>
      </c>
      <c r="F74">
        <f>IF(AND($A74&lt;&gt;F$1,Recharged_Feasible_mat!G43),(VLOOKUP(F$1,test!$A$3:$I$32,8,FALSE))-(VLOOKUP($A74,test!$A$3:$I$32,9,FALSE))-(test!$B$34-50),0)</f>
        <v>0</v>
      </c>
      <c r="G74">
        <f>IF(AND($A74&lt;&gt;G$1,Recharged_Feasible_mat!H43),(VLOOKUP(G$1,test!$A$3:$I$32,8,FALSE))-(VLOOKUP($A74,test!$A$3:$I$32,9,FALSE))-(test!$B$34-50),0)</f>
        <v>0</v>
      </c>
      <c r="H74">
        <f>IF(AND($A74&lt;&gt;H$1,Recharged_Feasible_mat!I43),(VLOOKUP(H$1,test!$A$3:$I$32,8,FALSE))-(VLOOKUP($A74,test!$A$3:$I$32,9,FALSE))-(test!$B$34-50),0)</f>
        <v>225</v>
      </c>
      <c r="I74">
        <f>IF(AND($A74&lt;&gt;I$1,Recharged_Feasible_mat!J43),(VLOOKUP(I$1,test!$A$3:$I$32,8,FALSE))-(VLOOKUP($A74,test!$A$3:$I$32,9,FALSE))-(test!$B$34-50),0)</f>
        <v>285</v>
      </c>
      <c r="J74">
        <f>IF(AND($A74&lt;&gt;J$1,Recharged_Feasible_mat!K43),(VLOOKUP(J$1,test!$A$3:$I$32,8,FALSE))-(VLOOKUP($A74,test!$A$3:$I$32,9,FALSE))-(test!$B$34-50),0)</f>
        <v>375</v>
      </c>
      <c r="K74">
        <f>IF(AND($A74&lt;&gt;K$1,Recharged_Feasible_mat!L43),(VLOOKUP(K$1,test!$A$3:$I$32,8,FALSE))-(VLOOKUP($A74,test!$A$3:$I$32,9,FALSE))-(test!$B$34-50),0)</f>
        <v>0</v>
      </c>
      <c r="L74">
        <f>IF(AND($A74&lt;&gt;L$1,Recharged_Feasible_mat!M43),(VLOOKUP(L$1,test!$A$3:$I$32,8,FALSE))-(VLOOKUP($A74,test!$A$3:$I$32,9,FALSE))-(test!$B$34-50),0)</f>
        <v>0</v>
      </c>
      <c r="M74">
        <f>IF(AND($A74&lt;&gt;M$1,Recharged_Feasible_mat!N43),(VLOOKUP(M$1,test!$A$3:$I$32,8,FALSE))-(VLOOKUP($A74,test!$A$3:$I$32,9,FALSE))-(test!$B$34-50),0)</f>
        <v>0</v>
      </c>
      <c r="N74">
        <f>IF(AND($A74&lt;&gt;N$1,Recharged_Feasible_mat!O43),(VLOOKUP(N$1,test!$A$3:$I$32,8,FALSE))-(VLOOKUP($A74,test!$A$3:$I$32,9,FALSE))-(test!$B$34-50),0)</f>
        <v>340</v>
      </c>
      <c r="O74">
        <f>IF(AND($A74&lt;&gt;O$1,Recharged_Feasible_mat!P43),(VLOOKUP(O$1,test!$A$3:$I$32,8,FALSE))-(VLOOKUP($A74,test!$A$3:$I$32,9,FALSE))-(test!$B$34-50),0)</f>
        <v>400</v>
      </c>
      <c r="P74">
        <f>IF(AND($A74&lt;&gt;P$1,Recharged_Feasible_mat!Q43),(VLOOKUP(P$1,test!$A$3:$I$32,8,FALSE))-(VLOOKUP($A74,test!$A$3:$I$32,9,FALSE))-(test!$B$34-50),0)</f>
        <v>0</v>
      </c>
      <c r="Q74">
        <f>IF(AND($A74&lt;&gt;Q$1,Recharged_Feasible_mat!R43),(VLOOKUP(Q$1,test!$A$3:$I$32,8,FALSE))-(VLOOKUP($A74,test!$A$3:$I$32,9,FALSE))-(test!$B$34-50),0)</f>
        <v>0</v>
      </c>
      <c r="R74">
        <f>IF(AND($A74&lt;&gt;R$1,Recharged_Feasible_mat!S43),(VLOOKUP(R$1,test!$A$3:$I$32,8,FALSE))-(VLOOKUP($A74,test!$A$3:$I$32,9,FALSE))-(test!$B$34-50),0)</f>
        <v>0</v>
      </c>
      <c r="S74">
        <f>IF(AND($A74&lt;&gt;S$1,Recharged_Feasible_mat!T43),(VLOOKUP(S$1,test!$A$3:$I$32,8,FALSE))-(VLOOKUP($A74,test!$A$3:$I$32,9,FALSE))-(test!$B$34-50),0)</f>
        <v>0</v>
      </c>
      <c r="T74">
        <f>IF(AND($A74&lt;&gt;T$1,Recharged_Feasible_mat!U43),(VLOOKUP(T$1,test!$A$3:$I$32,8,FALSE))-(VLOOKUP($A74,test!$A$3:$I$32,9,FALSE))-(test!$B$34-50),0)</f>
        <v>0</v>
      </c>
      <c r="U74">
        <f>IF(AND($A74&lt;&gt;U$1,Recharged_Feasible_mat!V43),(VLOOKUP(U$1,test!$A$3:$I$32,8,FALSE))-(VLOOKUP($A74,test!$A$3:$I$32,9,FALSE))-(test!$B$34-50),0)</f>
        <v>0</v>
      </c>
      <c r="V74">
        <f>IF(AND($A74&lt;&gt;V$1,Recharged_Feasible_mat!W43),(VLOOKUP(V$1,test!$A$3:$I$32,8,FALSE))-(VLOOKUP($A74,test!$A$3:$I$32,9,FALSE))-(test!$B$34-50),0)</f>
        <v>0</v>
      </c>
      <c r="W74">
        <f>IF(AND($A74&lt;&gt;W$1,Recharged_Feasible_mat!X43),(VLOOKUP(W$1,test!$A$3:$I$32,8,FALSE))-(VLOOKUP($A74,test!$A$3:$I$32,9,FALSE))-(test!$B$34-50),0)</f>
        <v>265</v>
      </c>
      <c r="X74">
        <f>IF(AND($A74&lt;&gt;X$1,Recharged_Feasible_mat!Y43),(VLOOKUP(X$1,test!$A$3:$I$32,8,FALSE))-(VLOOKUP($A74,test!$A$3:$I$32,9,FALSE))-(test!$B$34-50),0)</f>
        <v>325</v>
      </c>
      <c r="Y74">
        <f>IF(AND($A74&lt;&gt;Y$1,Recharged_Feasible_mat!Z43),(VLOOKUP(Y$1,test!$A$3:$I$32,8,FALSE))-(VLOOKUP($A74,test!$A$3:$I$32,9,FALSE))-(test!$B$34-50),0)</f>
        <v>0</v>
      </c>
      <c r="Z74">
        <f>IF(AND($A74&lt;&gt;Z$1,Recharged_Feasible_mat!AA43),(VLOOKUP(Z$1,test!$A$3:$I$32,8,FALSE))-(VLOOKUP($A74,test!$A$3:$I$32,9,FALSE))-(test!$B$34-50),0)</f>
        <v>0</v>
      </c>
      <c r="AA74">
        <f>IF(AND($A74&lt;&gt;AA$1,Recharged_Feasible_mat!AB43),(VLOOKUP(AA$1,test!$A$3:$I$32,8,FALSE))-(VLOOKUP($A74,test!$A$3:$I$32,9,FALSE))-(test!$B$34-50),0)</f>
        <v>0</v>
      </c>
      <c r="AB74">
        <f>IF(AND($A74&lt;&gt;AB$1,Recharged_Feasible_mat!AC43),(VLOOKUP(AB$1,test!$A$3:$I$32,8,FALSE))-(VLOOKUP($A74,test!$A$3:$I$32,9,FALSE))-(test!$B$34-50),0)</f>
        <v>0</v>
      </c>
      <c r="AC74">
        <f>IF(AND($A74&lt;&gt;AC$1,Recharged_Feasible_mat!AD43),(VLOOKUP(AC$1,test!$A$3:$I$32,8,FALSE))-(VLOOKUP($A74,test!$A$3:$I$32,9,FALSE))-(test!$B$34-50),0)</f>
        <v>225</v>
      </c>
      <c r="AD74">
        <f>IF(AND($A74&lt;&gt;AD$1,Recharged_Feasible_mat!AE43),(VLOOKUP(AD$1,test!$A$3:$I$32,8,FALSE))-(VLOOKUP($A74,test!$A$3:$I$32,9,FALSE))-(test!$B$34-50),0)</f>
        <v>0</v>
      </c>
      <c r="AE74">
        <f>IF(AND($A74&lt;&gt;AE$1,Recharged_Feasible_mat!AF43),(VLOOKUP(AE$1,test!$A$3:$I$32,8,FALSE))-(VLOOKUP($A74,test!$A$3:$I$32,9,FALSE))-(test!$B$34-50),0)</f>
        <v>0</v>
      </c>
      <c r="AF74">
        <f>IF(AND($A74&lt;&gt;AF$1,Recharged_Feasible_mat!AG43),(VLOOKUP(AF$1,test!$A$3:$I$32,8,FALSE))-(VLOOKUP($A74,test!$A$3:$I$32,9,FALSE))-(test!$B$34-50),0)</f>
        <v>0</v>
      </c>
    </row>
    <row r="75" spans="1:32" x14ac:dyDescent="0.25">
      <c r="A75" t="s">
        <v>21</v>
      </c>
      <c r="B75">
        <v>0</v>
      </c>
      <c r="C75">
        <f>IF(AND($A75&lt;&gt;C$1,Recharged_Feasible_mat!D44),(VLOOKUP(C$1,test!$A$3:$I$32,8,FALSE))-(VLOOKUP($A75,test!$A$3:$I$32,9,FALSE))-(test!$B$34-50),0)</f>
        <v>0</v>
      </c>
      <c r="D75">
        <f>IF(AND($A75&lt;&gt;D$1,Recharged_Feasible_mat!E44),(VLOOKUP(D$1,test!$A$3:$I$32,8,FALSE))-(VLOOKUP($A75,test!$A$3:$I$32,9,FALSE))-(test!$B$34-50),0)</f>
        <v>0</v>
      </c>
      <c r="E75">
        <f>IF(AND($A75&lt;&gt;E$1,Recharged_Feasible_mat!F44),(VLOOKUP(E$1,test!$A$3:$I$32,8,FALSE))-(VLOOKUP($A75,test!$A$3:$I$32,9,FALSE))-(test!$B$34-50),0)</f>
        <v>0</v>
      </c>
      <c r="F75">
        <f>IF(AND($A75&lt;&gt;F$1,Recharged_Feasible_mat!G44),(VLOOKUP(F$1,test!$A$3:$I$32,8,FALSE))-(VLOOKUP($A75,test!$A$3:$I$32,9,FALSE))-(test!$B$34-50),0)</f>
        <v>0</v>
      </c>
      <c r="G75">
        <f>IF(AND($A75&lt;&gt;G$1,Recharged_Feasible_mat!H44),(VLOOKUP(G$1,test!$A$3:$I$32,8,FALSE))-(VLOOKUP($A75,test!$A$3:$I$32,9,FALSE))-(test!$B$34-50),0)</f>
        <v>0</v>
      </c>
      <c r="H75">
        <f>IF(AND($A75&lt;&gt;H$1,Recharged_Feasible_mat!I44),(VLOOKUP(H$1,test!$A$3:$I$32,8,FALSE))-(VLOOKUP($A75,test!$A$3:$I$32,9,FALSE))-(test!$B$34-50),0)</f>
        <v>0</v>
      </c>
      <c r="I75">
        <f>IF(AND($A75&lt;&gt;I$1,Recharged_Feasible_mat!J44),(VLOOKUP(I$1,test!$A$3:$I$32,8,FALSE))-(VLOOKUP($A75,test!$A$3:$I$32,9,FALSE))-(test!$B$34-50),0)</f>
        <v>0</v>
      </c>
      <c r="J75">
        <f>IF(AND($A75&lt;&gt;J$1,Recharged_Feasible_mat!K44),(VLOOKUP(J$1,test!$A$3:$I$32,8,FALSE))-(VLOOKUP($A75,test!$A$3:$I$32,9,FALSE))-(test!$B$34-50),0)</f>
        <v>255</v>
      </c>
      <c r="K75">
        <f>IF(AND($A75&lt;&gt;K$1,Recharged_Feasible_mat!L44),(VLOOKUP(K$1,test!$A$3:$I$32,8,FALSE))-(VLOOKUP($A75,test!$A$3:$I$32,9,FALSE))-(test!$B$34-50),0)</f>
        <v>0</v>
      </c>
      <c r="L75">
        <f>IF(AND($A75&lt;&gt;L$1,Recharged_Feasible_mat!M44),(VLOOKUP(L$1,test!$A$3:$I$32,8,FALSE))-(VLOOKUP($A75,test!$A$3:$I$32,9,FALSE))-(test!$B$34-50),0)</f>
        <v>0</v>
      </c>
      <c r="M75">
        <f>IF(AND($A75&lt;&gt;M$1,Recharged_Feasible_mat!N44),(VLOOKUP(M$1,test!$A$3:$I$32,8,FALSE))-(VLOOKUP($A75,test!$A$3:$I$32,9,FALSE))-(test!$B$34-50),0)</f>
        <v>0</v>
      </c>
      <c r="N75">
        <f>IF(AND($A75&lt;&gt;N$1,Recharged_Feasible_mat!O44),(VLOOKUP(N$1,test!$A$3:$I$32,8,FALSE))-(VLOOKUP($A75,test!$A$3:$I$32,9,FALSE))-(test!$B$34-50),0)</f>
        <v>220</v>
      </c>
      <c r="O75">
        <f>IF(AND($A75&lt;&gt;O$1,Recharged_Feasible_mat!P44),(VLOOKUP(O$1,test!$A$3:$I$32,8,FALSE))-(VLOOKUP($A75,test!$A$3:$I$32,9,FALSE))-(test!$B$34-50),0)</f>
        <v>280</v>
      </c>
      <c r="P75">
        <f>IF(AND($A75&lt;&gt;P$1,Recharged_Feasible_mat!Q44),(VLOOKUP(P$1,test!$A$3:$I$32,8,FALSE))-(VLOOKUP($A75,test!$A$3:$I$32,9,FALSE))-(test!$B$34-50),0)</f>
        <v>0</v>
      </c>
      <c r="Q75">
        <f>IF(AND($A75&lt;&gt;Q$1,Recharged_Feasible_mat!R44),(VLOOKUP(Q$1,test!$A$3:$I$32,8,FALSE))-(VLOOKUP($A75,test!$A$3:$I$32,9,FALSE))-(test!$B$34-50),0)</f>
        <v>0</v>
      </c>
      <c r="R75">
        <f>IF(AND($A75&lt;&gt;R$1,Recharged_Feasible_mat!S44),(VLOOKUP(R$1,test!$A$3:$I$32,8,FALSE))-(VLOOKUP($A75,test!$A$3:$I$32,9,FALSE))-(test!$B$34-50),0)</f>
        <v>0</v>
      </c>
      <c r="S75">
        <f>IF(AND($A75&lt;&gt;S$1,Recharged_Feasible_mat!T44),(VLOOKUP(S$1,test!$A$3:$I$32,8,FALSE))-(VLOOKUP($A75,test!$A$3:$I$32,9,FALSE))-(test!$B$34-50),0)</f>
        <v>0</v>
      </c>
      <c r="T75">
        <f>IF(AND($A75&lt;&gt;T$1,Recharged_Feasible_mat!U44),(VLOOKUP(T$1,test!$A$3:$I$32,8,FALSE))-(VLOOKUP($A75,test!$A$3:$I$32,9,FALSE))-(test!$B$34-50),0)</f>
        <v>0</v>
      </c>
      <c r="U75">
        <f>IF(AND($A75&lt;&gt;U$1,Recharged_Feasible_mat!V44),(VLOOKUP(U$1,test!$A$3:$I$32,8,FALSE))-(VLOOKUP($A75,test!$A$3:$I$32,9,FALSE))-(test!$B$34-50),0)</f>
        <v>0</v>
      </c>
      <c r="V75">
        <f>IF(AND($A75&lt;&gt;V$1,Recharged_Feasible_mat!W44),(VLOOKUP(V$1,test!$A$3:$I$32,8,FALSE))-(VLOOKUP($A75,test!$A$3:$I$32,9,FALSE))-(test!$B$34-50),0)</f>
        <v>0</v>
      </c>
      <c r="W75">
        <f>IF(AND($A75&lt;&gt;W$1,Recharged_Feasible_mat!X44),(VLOOKUP(W$1,test!$A$3:$I$32,8,FALSE))-(VLOOKUP($A75,test!$A$3:$I$32,9,FALSE))-(test!$B$34-50),0)</f>
        <v>0</v>
      </c>
      <c r="X75">
        <f>IF(AND($A75&lt;&gt;X$1,Recharged_Feasible_mat!Y44),(VLOOKUP(X$1,test!$A$3:$I$32,8,FALSE))-(VLOOKUP($A75,test!$A$3:$I$32,9,FALSE))-(test!$B$34-50),0)</f>
        <v>205</v>
      </c>
      <c r="Y75">
        <f>IF(AND($A75&lt;&gt;Y$1,Recharged_Feasible_mat!Z44),(VLOOKUP(Y$1,test!$A$3:$I$32,8,FALSE))-(VLOOKUP($A75,test!$A$3:$I$32,9,FALSE))-(test!$B$34-50),0)</f>
        <v>0</v>
      </c>
      <c r="Z75">
        <f>IF(AND($A75&lt;&gt;Z$1,Recharged_Feasible_mat!AA44),(VLOOKUP(Z$1,test!$A$3:$I$32,8,FALSE))-(VLOOKUP($A75,test!$A$3:$I$32,9,FALSE))-(test!$B$34-50),0)</f>
        <v>0</v>
      </c>
      <c r="AA75">
        <f>IF(AND($A75&lt;&gt;AA$1,Recharged_Feasible_mat!AB44),(VLOOKUP(AA$1,test!$A$3:$I$32,8,FALSE))-(VLOOKUP($A75,test!$A$3:$I$32,9,FALSE))-(test!$B$34-50),0)</f>
        <v>0</v>
      </c>
      <c r="AB75">
        <f>IF(AND($A75&lt;&gt;AB$1,Recharged_Feasible_mat!AC44),(VLOOKUP(AB$1,test!$A$3:$I$32,8,FALSE))-(VLOOKUP($A75,test!$A$3:$I$32,9,FALSE))-(test!$B$34-50),0)</f>
        <v>0</v>
      </c>
      <c r="AC75">
        <f>IF(AND($A75&lt;&gt;AC$1,Recharged_Feasible_mat!AD44),(VLOOKUP(AC$1,test!$A$3:$I$32,8,FALSE))-(VLOOKUP($A75,test!$A$3:$I$32,9,FALSE))-(test!$B$34-50),0)</f>
        <v>0</v>
      </c>
      <c r="AD75">
        <f>IF(AND($A75&lt;&gt;AD$1,Recharged_Feasible_mat!AE44),(VLOOKUP(AD$1,test!$A$3:$I$32,8,FALSE))-(VLOOKUP($A75,test!$A$3:$I$32,9,FALSE))-(test!$B$34-50),0)</f>
        <v>0</v>
      </c>
      <c r="AE75">
        <f>IF(AND($A75&lt;&gt;AE$1,Recharged_Feasible_mat!AF44),(VLOOKUP(AE$1,test!$A$3:$I$32,8,FALSE))-(VLOOKUP($A75,test!$A$3:$I$32,9,FALSE))-(test!$B$34-50),0)</f>
        <v>0</v>
      </c>
      <c r="AF75">
        <f>IF(AND($A75&lt;&gt;AF$1,Recharged_Feasible_mat!AG44),(VLOOKUP(AF$1,test!$A$3:$I$32,8,FALSE))-(VLOOKUP($A75,test!$A$3:$I$32,9,FALSE))-(test!$B$34-50),0)</f>
        <v>0</v>
      </c>
    </row>
    <row r="76" spans="1:32" x14ac:dyDescent="0.25">
      <c r="A76" t="s">
        <v>22</v>
      </c>
      <c r="B76">
        <v>0</v>
      </c>
      <c r="C76">
        <f>IF(AND($A76&lt;&gt;C$1,Recharged_Feasible_mat!D45),(VLOOKUP(C$1,test!$A$3:$I$32,8,FALSE))-(VLOOKUP($A76,test!$A$3:$I$32,9,FALSE))-(test!$B$34-50),0)</f>
        <v>0</v>
      </c>
      <c r="D76">
        <f>IF(AND($A76&lt;&gt;D$1,Recharged_Feasible_mat!E45),(VLOOKUP(D$1,test!$A$3:$I$32,8,FALSE))-(VLOOKUP($A76,test!$A$3:$I$32,9,FALSE))-(test!$B$34-50),0)</f>
        <v>0</v>
      </c>
      <c r="E76">
        <f>IF(AND($A76&lt;&gt;E$1,Recharged_Feasible_mat!F45),(VLOOKUP(E$1,test!$A$3:$I$32,8,FALSE))-(VLOOKUP($A76,test!$A$3:$I$32,9,FALSE))-(test!$B$34-50),0)</f>
        <v>0</v>
      </c>
      <c r="F76">
        <f>IF(AND($A76&lt;&gt;F$1,Recharged_Feasible_mat!G45),(VLOOKUP(F$1,test!$A$3:$I$32,8,FALSE))-(VLOOKUP($A76,test!$A$3:$I$32,9,FALSE))-(test!$B$34-50),0)</f>
        <v>0</v>
      </c>
      <c r="G76">
        <f>IF(AND($A76&lt;&gt;G$1,Recharged_Feasible_mat!H45),(VLOOKUP(G$1,test!$A$3:$I$32,8,FALSE))-(VLOOKUP($A76,test!$A$3:$I$32,9,FALSE))-(test!$B$34-50),0)</f>
        <v>0</v>
      </c>
      <c r="H76">
        <f>IF(AND($A76&lt;&gt;H$1,Recharged_Feasible_mat!I45),(VLOOKUP(H$1,test!$A$3:$I$32,8,FALSE))-(VLOOKUP($A76,test!$A$3:$I$32,9,FALSE))-(test!$B$34-50),0)</f>
        <v>0</v>
      </c>
      <c r="I76">
        <f>IF(AND($A76&lt;&gt;I$1,Recharged_Feasible_mat!J45),(VLOOKUP(I$1,test!$A$3:$I$32,8,FALSE))-(VLOOKUP($A76,test!$A$3:$I$32,9,FALSE))-(test!$B$34-50),0)</f>
        <v>0</v>
      </c>
      <c r="J76">
        <f>IF(AND($A76&lt;&gt;J$1,Recharged_Feasible_mat!K45),(VLOOKUP(J$1,test!$A$3:$I$32,8,FALSE))-(VLOOKUP($A76,test!$A$3:$I$32,9,FALSE))-(test!$B$34-50),0)</f>
        <v>0</v>
      </c>
      <c r="K76">
        <f>IF(AND($A76&lt;&gt;K$1,Recharged_Feasible_mat!L45),(VLOOKUP(K$1,test!$A$3:$I$32,8,FALSE))-(VLOOKUP($A76,test!$A$3:$I$32,9,FALSE))-(test!$B$34-50),0)</f>
        <v>0</v>
      </c>
      <c r="L76">
        <f>IF(AND($A76&lt;&gt;L$1,Recharged_Feasible_mat!M45),(VLOOKUP(L$1,test!$A$3:$I$32,8,FALSE))-(VLOOKUP($A76,test!$A$3:$I$32,9,FALSE))-(test!$B$34-50),0)</f>
        <v>0</v>
      </c>
      <c r="M76">
        <f>IF(AND($A76&lt;&gt;M$1,Recharged_Feasible_mat!N45),(VLOOKUP(M$1,test!$A$3:$I$32,8,FALSE))-(VLOOKUP($A76,test!$A$3:$I$32,9,FALSE))-(test!$B$34-50),0)</f>
        <v>0</v>
      </c>
      <c r="N76">
        <f>IF(AND($A76&lt;&gt;N$1,Recharged_Feasible_mat!O45),(VLOOKUP(N$1,test!$A$3:$I$32,8,FALSE))-(VLOOKUP($A76,test!$A$3:$I$32,9,FALSE))-(test!$B$34-50),0)</f>
        <v>0</v>
      </c>
      <c r="O76">
        <f>IF(AND($A76&lt;&gt;O$1,Recharged_Feasible_mat!P45),(VLOOKUP(O$1,test!$A$3:$I$32,8,FALSE))-(VLOOKUP($A76,test!$A$3:$I$32,9,FALSE))-(test!$B$34-50),0)</f>
        <v>0</v>
      </c>
      <c r="P76">
        <f>IF(AND($A76&lt;&gt;P$1,Recharged_Feasible_mat!Q45),(VLOOKUP(P$1,test!$A$3:$I$32,8,FALSE))-(VLOOKUP($A76,test!$A$3:$I$32,9,FALSE))-(test!$B$34-50),0)</f>
        <v>0</v>
      </c>
      <c r="Q76">
        <f>IF(AND($A76&lt;&gt;Q$1,Recharged_Feasible_mat!R45),(VLOOKUP(Q$1,test!$A$3:$I$32,8,FALSE))-(VLOOKUP($A76,test!$A$3:$I$32,9,FALSE))-(test!$B$34-50),0)</f>
        <v>0</v>
      </c>
      <c r="R76">
        <f>IF(AND($A76&lt;&gt;R$1,Recharged_Feasible_mat!S45),(VLOOKUP(R$1,test!$A$3:$I$32,8,FALSE))-(VLOOKUP($A76,test!$A$3:$I$32,9,FALSE))-(test!$B$34-50),0)</f>
        <v>0</v>
      </c>
      <c r="S76">
        <f>IF(AND($A76&lt;&gt;S$1,Recharged_Feasible_mat!T45),(VLOOKUP(S$1,test!$A$3:$I$32,8,FALSE))-(VLOOKUP($A76,test!$A$3:$I$32,9,FALSE))-(test!$B$34-50),0)</f>
        <v>0</v>
      </c>
      <c r="T76">
        <f>IF(AND($A76&lt;&gt;T$1,Recharged_Feasible_mat!U45),(VLOOKUP(T$1,test!$A$3:$I$32,8,FALSE))-(VLOOKUP($A76,test!$A$3:$I$32,9,FALSE))-(test!$B$34-50),0)</f>
        <v>0</v>
      </c>
      <c r="U76">
        <f>IF(AND($A76&lt;&gt;U$1,Recharged_Feasible_mat!V45),(VLOOKUP(U$1,test!$A$3:$I$32,8,FALSE))-(VLOOKUP($A76,test!$A$3:$I$32,9,FALSE))-(test!$B$34-50),0)</f>
        <v>0</v>
      </c>
      <c r="V76">
        <f>IF(AND($A76&lt;&gt;V$1,Recharged_Feasible_mat!W45),(VLOOKUP(V$1,test!$A$3:$I$32,8,FALSE))-(VLOOKUP($A76,test!$A$3:$I$32,9,FALSE))-(test!$B$34-50),0)</f>
        <v>0</v>
      </c>
      <c r="W76">
        <f>IF(AND($A76&lt;&gt;W$1,Recharged_Feasible_mat!X45),(VLOOKUP(W$1,test!$A$3:$I$32,8,FALSE))-(VLOOKUP($A76,test!$A$3:$I$32,9,FALSE))-(test!$B$34-50),0)</f>
        <v>0</v>
      </c>
      <c r="X76">
        <f>IF(AND($A76&lt;&gt;X$1,Recharged_Feasible_mat!Y45),(VLOOKUP(X$1,test!$A$3:$I$32,8,FALSE))-(VLOOKUP($A76,test!$A$3:$I$32,9,FALSE))-(test!$B$34-50),0)</f>
        <v>0</v>
      </c>
      <c r="Y76">
        <f>IF(AND($A76&lt;&gt;Y$1,Recharged_Feasible_mat!Z45),(VLOOKUP(Y$1,test!$A$3:$I$32,8,FALSE))-(VLOOKUP($A76,test!$A$3:$I$32,9,FALSE))-(test!$B$34-50),0)</f>
        <v>0</v>
      </c>
      <c r="Z76">
        <f>IF(AND($A76&lt;&gt;Z$1,Recharged_Feasible_mat!AA45),(VLOOKUP(Z$1,test!$A$3:$I$32,8,FALSE))-(VLOOKUP($A76,test!$A$3:$I$32,9,FALSE))-(test!$B$34-50),0)</f>
        <v>0</v>
      </c>
      <c r="AA76">
        <f>IF(AND($A76&lt;&gt;AA$1,Recharged_Feasible_mat!AB45),(VLOOKUP(AA$1,test!$A$3:$I$32,8,FALSE))-(VLOOKUP($A76,test!$A$3:$I$32,9,FALSE))-(test!$B$34-50),0)</f>
        <v>0</v>
      </c>
      <c r="AB76">
        <f>IF(AND($A76&lt;&gt;AB$1,Recharged_Feasible_mat!AC45),(VLOOKUP(AB$1,test!$A$3:$I$32,8,FALSE))-(VLOOKUP($A76,test!$A$3:$I$32,9,FALSE))-(test!$B$34-50),0)</f>
        <v>0</v>
      </c>
      <c r="AC76">
        <f>IF(AND($A76&lt;&gt;AC$1,Recharged_Feasible_mat!AD45),(VLOOKUP(AC$1,test!$A$3:$I$32,8,FALSE))-(VLOOKUP($A76,test!$A$3:$I$32,9,FALSE))-(test!$B$34-50),0)</f>
        <v>0</v>
      </c>
      <c r="AD76">
        <f>IF(AND($A76&lt;&gt;AD$1,Recharged_Feasible_mat!AE45),(VLOOKUP(AD$1,test!$A$3:$I$32,8,FALSE))-(VLOOKUP($A76,test!$A$3:$I$32,9,FALSE))-(test!$B$34-50),0)</f>
        <v>0</v>
      </c>
      <c r="AE76">
        <f>IF(AND($A76&lt;&gt;AE$1,Recharged_Feasible_mat!AF45),(VLOOKUP(AE$1,test!$A$3:$I$32,8,FALSE))-(VLOOKUP($A76,test!$A$3:$I$32,9,FALSE))-(test!$B$34-50),0)</f>
        <v>0</v>
      </c>
      <c r="AF76">
        <f>IF(AND($A76&lt;&gt;AF$1,Recharged_Feasible_mat!AG45),(VLOOKUP(AF$1,test!$A$3:$I$32,8,FALSE))-(VLOOKUP($A76,test!$A$3:$I$32,9,FALSE))-(test!$B$34-50),0)</f>
        <v>0</v>
      </c>
    </row>
    <row r="77" spans="1:32" x14ac:dyDescent="0.25">
      <c r="A77" t="s">
        <v>23</v>
      </c>
      <c r="B77">
        <v>0</v>
      </c>
      <c r="C77">
        <f>IF(AND($A77&lt;&gt;C$1,Recharged_Feasible_mat!D46),(VLOOKUP(C$1,test!$A$3:$I$32,8,FALSE))-(VLOOKUP($A77,test!$A$3:$I$32,9,FALSE))-(test!$B$34-50),0)</f>
        <v>0</v>
      </c>
      <c r="D77">
        <f>IF(AND($A77&lt;&gt;D$1,Recharged_Feasible_mat!E46),(VLOOKUP(D$1,test!$A$3:$I$32,8,FALSE))-(VLOOKUP($A77,test!$A$3:$I$32,9,FALSE))-(test!$B$34-50),0)</f>
        <v>0</v>
      </c>
      <c r="E77">
        <f>IF(AND($A77&lt;&gt;E$1,Recharged_Feasible_mat!F46),(VLOOKUP(E$1,test!$A$3:$I$32,8,FALSE))-(VLOOKUP($A77,test!$A$3:$I$32,9,FALSE))-(test!$B$34-50),0)</f>
        <v>0</v>
      </c>
      <c r="F77">
        <f>IF(AND($A77&lt;&gt;F$1,Recharged_Feasible_mat!G46),(VLOOKUP(F$1,test!$A$3:$I$32,8,FALSE))-(VLOOKUP($A77,test!$A$3:$I$32,9,FALSE))-(test!$B$34-50),0)</f>
        <v>0</v>
      </c>
      <c r="G77">
        <f>IF(AND($A77&lt;&gt;G$1,Recharged_Feasible_mat!H46),(VLOOKUP(G$1,test!$A$3:$I$32,8,FALSE))-(VLOOKUP($A77,test!$A$3:$I$32,9,FALSE))-(test!$B$34-50),0)</f>
        <v>0</v>
      </c>
      <c r="H77">
        <f>IF(AND($A77&lt;&gt;H$1,Recharged_Feasible_mat!I46),(VLOOKUP(H$1,test!$A$3:$I$32,8,FALSE))-(VLOOKUP($A77,test!$A$3:$I$32,9,FALSE))-(test!$B$34-50),0)</f>
        <v>0</v>
      </c>
      <c r="I77">
        <f>IF(AND($A77&lt;&gt;I$1,Recharged_Feasible_mat!J46),(VLOOKUP(I$1,test!$A$3:$I$32,8,FALSE))-(VLOOKUP($A77,test!$A$3:$I$32,9,FALSE))-(test!$B$34-50),0)</f>
        <v>0</v>
      </c>
      <c r="J77">
        <f>IF(AND($A77&lt;&gt;J$1,Recharged_Feasible_mat!K46),(VLOOKUP(J$1,test!$A$3:$I$32,8,FALSE))-(VLOOKUP($A77,test!$A$3:$I$32,9,FALSE))-(test!$B$34-50),0)</f>
        <v>0</v>
      </c>
      <c r="K77">
        <f>IF(AND($A77&lt;&gt;K$1,Recharged_Feasible_mat!L46),(VLOOKUP(K$1,test!$A$3:$I$32,8,FALSE))-(VLOOKUP($A77,test!$A$3:$I$32,9,FALSE))-(test!$B$34-50),0)</f>
        <v>0</v>
      </c>
      <c r="L77">
        <f>IF(AND($A77&lt;&gt;L$1,Recharged_Feasible_mat!M46),(VLOOKUP(L$1,test!$A$3:$I$32,8,FALSE))-(VLOOKUP($A77,test!$A$3:$I$32,9,FALSE))-(test!$B$34-50),0)</f>
        <v>0</v>
      </c>
      <c r="M77">
        <f>IF(AND($A77&lt;&gt;M$1,Recharged_Feasible_mat!N46),(VLOOKUP(M$1,test!$A$3:$I$32,8,FALSE))-(VLOOKUP($A77,test!$A$3:$I$32,9,FALSE))-(test!$B$34-50),0)</f>
        <v>0</v>
      </c>
      <c r="N77">
        <f>IF(AND($A77&lt;&gt;N$1,Recharged_Feasible_mat!O46),(VLOOKUP(N$1,test!$A$3:$I$32,8,FALSE))-(VLOOKUP($A77,test!$A$3:$I$32,9,FALSE))-(test!$B$34-50),0)</f>
        <v>0</v>
      </c>
      <c r="O77">
        <f>IF(AND($A77&lt;&gt;O$1,Recharged_Feasible_mat!P46),(VLOOKUP(O$1,test!$A$3:$I$32,8,FALSE))-(VLOOKUP($A77,test!$A$3:$I$32,9,FALSE))-(test!$B$34-50),0)</f>
        <v>0</v>
      </c>
      <c r="P77">
        <f>IF(AND($A77&lt;&gt;P$1,Recharged_Feasible_mat!Q46),(VLOOKUP(P$1,test!$A$3:$I$32,8,FALSE))-(VLOOKUP($A77,test!$A$3:$I$32,9,FALSE))-(test!$B$34-50),0)</f>
        <v>0</v>
      </c>
      <c r="Q77">
        <f>IF(AND($A77&lt;&gt;Q$1,Recharged_Feasible_mat!R46),(VLOOKUP(Q$1,test!$A$3:$I$32,8,FALSE))-(VLOOKUP($A77,test!$A$3:$I$32,9,FALSE))-(test!$B$34-50),0)</f>
        <v>0</v>
      </c>
      <c r="R77">
        <f>IF(AND($A77&lt;&gt;R$1,Recharged_Feasible_mat!S46),(VLOOKUP(R$1,test!$A$3:$I$32,8,FALSE))-(VLOOKUP($A77,test!$A$3:$I$32,9,FALSE))-(test!$B$34-50),0)</f>
        <v>0</v>
      </c>
      <c r="S77">
        <f>IF(AND($A77&lt;&gt;S$1,Recharged_Feasible_mat!T46),(VLOOKUP(S$1,test!$A$3:$I$32,8,FALSE))-(VLOOKUP($A77,test!$A$3:$I$32,9,FALSE))-(test!$B$34-50),0)</f>
        <v>0</v>
      </c>
      <c r="T77">
        <f>IF(AND($A77&lt;&gt;T$1,Recharged_Feasible_mat!U46),(VLOOKUP(T$1,test!$A$3:$I$32,8,FALSE))-(VLOOKUP($A77,test!$A$3:$I$32,9,FALSE))-(test!$B$34-50),0)</f>
        <v>0</v>
      </c>
      <c r="U77">
        <f>IF(AND($A77&lt;&gt;U$1,Recharged_Feasible_mat!V46),(VLOOKUP(U$1,test!$A$3:$I$32,8,FALSE))-(VLOOKUP($A77,test!$A$3:$I$32,9,FALSE))-(test!$B$34-50),0)</f>
        <v>0</v>
      </c>
      <c r="V77">
        <f>IF(AND($A77&lt;&gt;V$1,Recharged_Feasible_mat!W46),(VLOOKUP(V$1,test!$A$3:$I$32,8,FALSE))-(VLOOKUP($A77,test!$A$3:$I$32,9,FALSE))-(test!$B$34-50),0)</f>
        <v>0</v>
      </c>
      <c r="W77">
        <f>IF(AND($A77&lt;&gt;W$1,Recharged_Feasible_mat!X46),(VLOOKUP(W$1,test!$A$3:$I$32,8,FALSE))-(VLOOKUP($A77,test!$A$3:$I$32,9,FALSE))-(test!$B$34-50),0)</f>
        <v>0</v>
      </c>
      <c r="X77">
        <f>IF(AND($A77&lt;&gt;X$1,Recharged_Feasible_mat!Y46),(VLOOKUP(X$1,test!$A$3:$I$32,8,FALSE))-(VLOOKUP($A77,test!$A$3:$I$32,9,FALSE))-(test!$B$34-50),0)</f>
        <v>0</v>
      </c>
      <c r="Y77">
        <f>IF(AND($A77&lt;&gt;Y$1,Recharged_Feasible_mat!Z46),(VLOOKUP(Y$1,test!$A$3:$I$32,8,FALSE))-(VLOOKUP($A77,test!$A$3:$I$32,9,FALSE))-(test!$B$34-50),0)</f>
        <v>0</v>
      </c>
      <c r="Z77">
        <f>IF(AND($A77&lt;&gt;Z$1,Recharged_Feasible_mat!AA46),(VLOOKUP(Z$1,test!$A$3:$I$32,8,FALSE))-(VLOOKUP($A77,test!$A$3:$I$32,9,FALSE))-(test!$B$34-50),0)</f>
        <v>0</v>
      </c>
      <c r="AA77">
        <f>IF(AND($A77&lt;&gt;AA$1,Recharged_Feasible_mat!AB46),(VLOOKUP(AA$1,test!$A$3:$I$32,8,FALSE))-(VLOOKUP($A77,test!$A$3:$I$32,9,FALSE))-(test!$B$34-50),0)</f>
        <v>0</v>
      </c>
      <c r="AB77">
        <f>IF(AND($A77&lt;&gt;AB$1,Recharged_Feasible_mat!AC46),(VLOOKUP(AB$1,test!$A$3:$I$32,8,FALSE))-(VLOOKUP($A77,test!$A$3:$I$32,9,FALSE))-(test!$B$34-50),0)</f>
        <v>0</v>
      </c>
      <c r="AC77">
        <f>IF(AND($A77&lt;&gt;AC$1,Recharged_Feasible_mat!AD46),(VLOOKUP(AC$1,test!$A$3:$I$32,8,FALSE))-(VLOOKUP($A77,test!$A$3:$I$32,9,FALSE))-(test!$B$34-50),0)</f>
        <v>0</v>
      </c>
      <c r="AD77">
        <f>IF(AND($A77&lt;&gt;AD$1,Recharged_Feasible_mat!AE46),(VLOOKUP(AD$1,test!$A$3:$I$32,8,FALSE))-(VLOOKUP($A77,test!$A$3:$I$32,9,FALSE))-(test!$B$34-50),0)</f>
        <v>0</v>
      </c>
      <c r="AE77">
        <f>IF(AND($A77&lt;&gt;AE$1,Recharged_Feasible_mat!AF46),(VLOOKUP(AE$1,test!$A$3:$I$32,8,FALSE))-(VLOOKUP($A77,test!$A$3:$I$32,9,FALSE))-(test!$B$34-50),0)</f>
        <v>0</v>
      </c>
      <c r="AF77">
        <f>IF(AND($A77&lt;&gt;AF$1,Recharged_Feasible_mat!AG46),(VLOOKUP(AF$1,test!$A$3:$I$32,8,FALSE))-(VLOOKUP($A77,test!$A$3:$I$32,9,FALSE))-(test!$B$34-50),0)</f>
        <v>0</v>
      </c>
    </row>
    <row r="78" spans="1:32" x14ac:dyDescent="0.25">
      <c r="A78" t="s">
        <v>24</v>
      </c>
      <c r="B78">
        <v>0</v>
      </c>
      <c r="C78">
        <f>IF(AND($A78&lt;&gt;C$1,Recharged_Feasible_mat!D47),(VLOOKUP(C$1,test!$A$3:$I$32,8,FALSE))-(VLOOKUP($A78,test!$A$3:$I$32,9,FALSE))-(test!$B$34-50),0)</f>
        <v>0</v>
      </c>
      <c r="D78">
        <f>IF(AND($A78&lt;&gt;D$1,Recharged_Feasible_mat!E47),(VLOOKUP(D$1,test!$A$3:$I$32,8,FALSE))-(VLOOKUP($A78,test!$A$3:$I$32,9,FALSE))-(test!$B$34-50),0)</f>
        <v>0</v>
      </c>
      <c r="E78">
        <f>IF(AND($A78&lt;&gt;E$1,Recharged_Feasible_mat!F47),(VLOOKUP(E$1,test!$A$3:$I$32,8,FALSE))-(VLOOKUP($A78,test!$A$3:$I$32,9,FALSE))-(test!$B$34-50),0)</f>
        <v>0</v>
      </c>
      <c r="F78">
        <f>IF(AND($A78&lt;&gt;F$1,Recharged_Feasible_mat!G47),(VLOOKUP(F$1,test!$A$3:$I$32,8,FALSE))-(VLOOKUP($A78,test!$A$3:$I$32,9,FALSE))-(test!$B$34-50),0)</f>
        <v>0</v>
      </c>
      <c r="G78">
        <f>IF(AND($A78&lt;&gt;G$1,Recharged_Feasible_mat!H47),(VLOOKUP(G$1,test!$A$3:$I$32,8,FALSE))-(VLOOKUP($A78,test!$A$3:$I$32,9,FALSE))-(test!$B$34-50),0)</f>
        <v>0</v>
      </c>
      <c r="H78">
        <f>IF(AND($A78&lt;&gt;H$1,Recharged_Feasible_mat!I47),(VLOOKUP(H$1,test!$A$3:$I$32,8,FALSE))-(VLOOKUP($A78,test!$A$3:$I$32,9,FALSE))-(test!$B$34-50),0)</f>
        <v>270</v>
      </c>
      <c r="I78">
        <f>IF(AND($A78&lt;&gt;I$1,Recharged_Feasible_mat!J47),(VLOOKUP(I$1,test!$A$3:$I$32,8,FALSE))-(VLOOKUP($A78,test!$A$3:$I$32,9,FALSE))-(test!$B$34-50),0)</f>
        <v>330</v>
      </c>
      <c r="J78">
        <f>IF(AND($A78&lt;&gt;J$1,Recharged_Feasible_mat!K47),(VLOOKUP(J$1,test!$A$3:$I$32,8,FALSE))-(VLOOKUP($A78,test!$A$3:$I$32,9,FALSE))-(test!$B$34-50),0)</f>
        <v>420</v>
      </c>
      <c r="K78">
        <f>IF(AND($A78&lt;&gt;K$1,Recharged_Feasible_mat!L47),(VLOOKUP(K$1,test!$A$3:$I$32,8,FALSE))-(VLOOKUP($A78,test!$A$3:$I$32,9,FALSE))-(test!$B$34-50),0)</f>
        <v>0</v>
      </c>
      <c r="L78">
        <f>IF(AND($A78&lt;&gt;L$1,Recharged_Feasible_mat!M47),(VLOOKUP(L$1,test!$A$3:$I$32,8,FALSE))-(VLOOKUP($A78,test!$A$3:$I$32,9,FALSE))-(test!$B$34-50),0)</f>
        <v>0</v>
      </c>
      <c r="M78">
        <f>IF(AND($A78&lt;&gt;M$1,Recharged_Feasible_mat!N47),(VLOOKUP(M$1,test!$A$3:$I$32,8,FALSE))-(VLOOKUP($A78,test!$A$3:$I$32,9,FALSE))-(test!$B$34-50),0)</f>
        <v>0</v>
      </c>
      <c r="N78">
        <f>IF(AND($A78&lt;&gt;N$1,Recharged_Feasible_mat!O47),(VLOOKUP(N$1,test!$A$3:$I$32,8,FALSE))-(VLOOKUP($A78,test!$A$3:$I$32,9,FALSE))-(test!$B$34-50),0)</f>
        <v>385</v>
      </c>
      <c r="O78">
        <f>IF(AND($A78&lt;&gt;O$1,Recharged_Feasible_mat!P47),(VLOOKUP(O$1,test!$A$3:$I$32,8,FALSE))-(VLOOKUP($A78,test!$A$3:$I$32,9,FALSE))-(test!$B$34-50),0)</f>
        <v>445</v>
      </c>
      <c r="P78">
        <f>IF(AND($A78&lt;&gt;P$1,Recharged_Feasible_mat!Q47),(VLOOKUP(P$1,test!$A$3:$I$32,8,FALSE))-(VLOOKUP($A78,test!$A$3:$I$32,9,FALSE))-(test!$B$34-50),0)</f>
        <v>0</v>
      </c>
      <c r="Q78">
        <f>IF(AND($A78&lt;&gt;Q$1,Recharged_Feasible_mat!R47),(VLOOKUP(Q$1,test!$A$3:$I$32,8,FALSE))-(VLOOKUP($A78,test!$A$3:$I$32,9,FALSE))-(test!$B$34-50),0)</f>
        <v>0</v>
      </c>
      <c r="R78">
        <f>IF(AND($A78&lt;&gt;R$1,Recharged_Feasible_mat!S47),(VLOOKUP(R$1,test!$A$3:$I$32,8,FALSE))-(VLOOKUP($A78,test!$A$3:$I$32,9,FALSE))-(test!$B$34-50),0)</f>
        <v>0</v>
      </c>
      <c r="S78">
        <f>IF(AND($A78&lt;&gt;S$1,Recharged_Feasible_mat!T47),(VLOOKUP(S$1,test!$A$3:$I$32,8,FALSE))-(VLOOKUP($A78,test!$A$3:$I$32,9,FALSE))-(test!$B$34-50),0)</f>
        <v>0</v>
      </c>
      <c r="T78">
        <f>IF(AND($A78&lt;&gt;T$1,Recharged_Feasible_mat!U47),(VLOOKUP(T$1,test!$A$3:$I$32,8,FALSE))-(VLOOKUP($A78,test!$A$3:$I$32,9,FALSE))-(test!$B$34-50),0)</f>
        <v>0</v>
      </c>
      <c r="U78">
        <f>IF(AND($A78&lt;&gt;U$1,Recharged_Feasible_mat!V47),(VLOOKUP(U$1,test!$A$3:$I$32,8,FALSE))-(VLOOKUP($A78,test!$A$3:$I$32,9,FALSE))-(test!$B$34-50),0)</f>
        <v>0</v>
      </c>
      <c r="V78">
        <f>IF(AND($A78&lt;&gt;V$1,Recharged_Feasible_mat!W47),(VLOOKUP(V$1,test!$A$3:$I$32,8,FALSE))-(VLOOKUP($A78,test!$A$3:$I$32,9,FALSE))-(test!$B$34-50),0)</f>
        <v>0</v>
      </c>
      <c r="W78">
        <f>IF(AND($A78&lt;&gt;W$1,Recharged_Feasible_mat!X47),(VLOOKUP(W$1,test!$A$3:$I$32,8,FALSE))-(VLOOKUP($A78,test!$A$3:$I$32,9,FALSE))-(test!$B$34-50),0)</f>
        <v>310</v>
      </c>
      <c r="X78">
        <f>IF(AND($A78&lt;&gt;X$1,Recharged_Feasible_mat!Y47),(VLOOKUP(X$1,test!$A$3:$I$32,8,FALSE))-(VLOOKUP($A78,test!$A$3:$I$32,9,FALSE))-(test!$B$34-50),0)</f>
        <v>370</v>
      </c>
      <c r="Y78">
        <f>IF(AND($A78&lt;&gt;Y$1,Recharged_Feasible_mat!Z47),(VLOOKUP(Y$1,test!$A$3:$I$32,8,FALSE))-(VLOOKUP($A78,test!$A$3:$I$32,9,FALSE))-(test!$B$34-50),0)</f>
        <v>0</v>
      </c>
      <c r="Z78">
        <f>IF(AND($A78&lt;&gt;Z$1,Recharged_Feasible_mat!AA47),(VLOOKUP(Z$1,test!$A$3:$I$32,8,FALSE))-(VLOOKUP($A78,test!$A$3:$I$32,9,FALSE))-(test!$B$34-50),0)</f>
        <v>0</v>
      </c>
      <c r="AA78">
        <f>IF(AND($A78&lt;&gt;AA$1,Recharged_Feasible_mat!AB47),(VLOOKUP(AA$1,test!$A$3:$I$32,8,FALSE))-(VLOOKUP($A78,test!$A$3:$I$32,9,FALSE))-(test!$B$34-50),0)</f>
        <v>0</v>
      </c>
      <c r="AB78">
        <f>IF(AND($A78&lt;&gt;AB$1,Recharged_Feasible_mat!AC47),(VLOOKUP(AB$1,test!$A$3:$I$32,8,FALSE))-(VLOOKUP($A78,test!$A$3:$I$32,9,FALSE))-(test!$B$34-50),0)</f>
        <v>0</v>
      </c>
      <c r="AC78">
        <f>IF(AND($A78&lt;&gt;AC$1,Recharged_Feasible_mat!AD47),(VLOOKUP(AC$1,test!$A$3:$I$32,8,FALSE))-(VLOOKUP($A78,test!$A$3:$I$32,9,FALSE))-(test!$B$34-50),0)</f>
        <v>270</v>
      </c>
      <c r="AD78">
        <f>IF(AND($A78&lt;&gt;AD$1,Recharged_Feasible_mat!AE47),(VLOOKUP(AD$1,test!$A$3:$I$32,8,FALSE))-(VLOOKUP($A78,test!$A$3:$I$32,9,FALSE))-(test!$B$34-50),0)</f>
        <v>0</v>
      </c>
      <c r="AE78">
        <f>IF(AND($A78&lt;&gt;AE$1,Recharged_Feasible_mat!AF47),(VLOOKUP(AE$1,test!$A$3:$I$32,8,FALSE))-(VLOOKUP($A78,test!$A$3:$I$32,9,FALSE))-(test!$B$34-50),0)</f>
        <v>0</v>
      </c>
      <c r="AF78">
        <f>IF(AND($A78&lt;&gt;AF$1,Recharged_Feasible_mat!AG47),(VLOOKUP(AF$1,test!$A$3:$I$32,8,FALSE))-(VLOOKUP($A78,test!$A$3:$I$32,9,FALSE))-(test!$B$34-50),0)</f>
        <v>0</v>
      </c>
    </row>
    <row r="79" spans="1:32" x14ac:dyDescent="0.25">
      <c r="A79" t="s">
        <v>26</v>
      </c>
      <c r="B79">
        <v>0</v>
      </c>
      <c r="C79">
        <f>IF(AND($A79&lt;&gt;C$1,Recharged_Feasible_mat!D48),(VLOOKUP(C$1,test!$A$3:$I$32,8,FALSE))-(VLOOKUP($A79,test!$A$3:$I$32,9,FALSE))-(test!$B$34-50),0)</f>
        <v>0</v>
      </c>
      <c r="D79">
        <f>IF(AND($A79&lt;&gt;D$1,Recharged_Feasible_mat!E48),(VLOOKUP(D$1,test!$A$3:$I$32,8,FALSE))-(VLOOKUP($A79,test!$A$3:$I$32,9,FALSE))-(test!$B$34-50),0)</f>
        <v>65</v>
      </c>
      <c r="E79">
        <f>IF(AND($A79&lt;&gt;E$1,Recharged_Feasible_mat!F48),(VLOOKUP(E$1,test!$A$3:$I$32,8,FALSE))-(VLOOKUP($A79,test!$A$3:$I$32,9,FALSE))-(test!$B$34-50),0)</f>
        <v>155</v>
      </c>
      <c r="F79">
        <f>IF(AND($A79&lt;&gt;F$1,Recharged_Feasible_mat!G48),(VLOOKUP(F$1,test!$A$3:$I$32,8,FALSE))-(VLOOKUP($A79,test!$A$3:$I$32,9,FALSE))-(test!$B$34-50),0)</f>
        <v>245</v>
      </c>
      <c r="G79">
        <f>IF(AND($A79&lt;&gt;G$1,Recharged_Feasible_mat!H48),(VLOOKUP(G$1,test!$A$3:$I$32,8,FALSE))-(VLOOKUP($A79,test!$A$3:$I$32,9,FALSE))-(test!$B$34-50),0)</f>
        <v>305</v>
      </c>
      <c r="H79">
        <f>IF(AND($A79&lt;&gt;H$1,Recharged_Feasible_mat!I48),(VLOOKUP(H$1,test!$A$3:$I$32,8,FALSE))-(VLOOKUP($A79,test!$A$3:$I$32,9,FALSE))-(test!$B$34-50),0)</f>
        <v>365</v>
      </c>
      <c r="I79">
        <f>IF(AND($A79&lt;&gt;I$1,Recharged_Feasible_mat!J48),(VLOOKUP(I$1,test!$A$3:$I$32,8,FALSE))-(VLOOKUP($A79,test!$A$3:$I$32,9,FALSE))-(test!$B$34-50),0)</f>
        <v>425</v>
      </c>
      <c r="J79">
        <f>IF(AND($A79&lt;&gt;J$1,Recharged_Feasible_mat!K48),(VLOOKUP(J$1,test!$A$3:$I$32,8,FALSE))-(VLOOKUP($A79,test!$A$3:$I$32,9,FALSE))-(test!$B$34-50),0)</f>
        <v>515</v>
      </c>
      <c r="K79">
        <f>IF(AND($A79&lt;&gt;K$1,Recharged_Feasible_mat!L48),(VLOOKUP(K$1,test!$A$3:$I$32,8,FALSE))-(VLOOKUP($A79,test!$A$3:$I$32,9,FALSE))-(test!$B$34-50),0)</f>
        <v>0</v>
      </c>
      <c r="L79">
        <f>IF(AND($A79&lt;&gt;L$1,Recharged_Feasible_mat!M48),(VLOOKUP(L$1,test!$A$3:$I$32,8,FALSE))-(VLOOKUP($A79,test!$A$3:$I$32,9,FALSE))-(test!$B$34-50),0)</f>
        <v>0</v>
      </c>
      <c r="M79">
        <f>IF(AND($A79&lt;&gt;M$1,Recharged_Feasible_mat!N48),(VLOOKUP(M$1,test!$A$3:$I$32,8,FALSE))-(VLOOKUP($A79,test!$A$3:$I$32,9,FALSE))-(test!$B$34-50),0)</f>
        <v>120</v>
      </c>
      <c r="N79">
        <f>IF(AND($A79&lt;&gt;N$1,Recharged_Feasible_mat!O48),(VLOOKUP(N$1,test!$A$3:$I$32,8,FALSE))-(VLOOKUP($A79,test!$A$3:$I$32,9,FALSE))-(test!$B$34-50),0)</f>
        <v>480</v>
      </c>
      <c r="O79">
        <f>IF(AND($A79&lt;&gt;O$1,Recharged_Feasible_mat!P48),(VLOOKUP(O$1,test!$A$3:$I$32,8,FALSE))-(VLOOKUP($A79,test!$A$3:$I$32,9,FALSE))-(test!$B$34-50),0)</f>
        <v>540</v>
      </c>
      <c r="P79">
        <f>IF(AND($A79&lt;&gt;P$1,Recharged_Feasible_mat!Q48),(VLOOKUP(P$1,test!$A$3:$I$32,8,FALSE))-(VLOOKUP($A79,test!$A$3:$I$32,9,FALSE))-(test!$B$34-50),0)</f>
        <v>0</v>
      </c>
      <c r="Q79">
        <f>IF(AND($A79&lt;&gt;Q$1,Recharged_Feasible_mat!R48),(VLOOKUP(Q$1,test!$A$3:$I$32,8,FALSE))-(VLOOKUP($A79,test!$A$3:$I$32,9,FALSE))-(test!$B$34-50),0)</f>
        <v>0</v>
      </c>
      <c r="R79">
        <f>IF(AND($A79&lt;&gt;R$1,Recharged_Feasible_mat!S48),(VLOOKUP(R$1,test!$A$3:$I$32,8,FALSE))-(VLOOKUP($A79,test!$A$3:$I$32,9,FALSE))-(test!$B$34-50),0)</f>
        <v>0</v>
      </c>
      <c r="S79">
        <f>IF(AND($A79&lt;&gt;S$1,Recharged_Feasible_mat!T48),(VLOOKUP(S$1,test!$A$3:$I$32,8,FALSE))-(VLOOKUP($A79,test!$A$3:$I$32,9,FALSE))-(test!$B$34-50),0)</f>
        <v>0</v>
      </c>
      <c r="T79">
        <f>IF(AND($A79&lt;&gt;T$1,Recharged_Feasible_mat!U48),(VLOOKUP(T$1,test!$A$3:$I$32,8,FALSE))-(VLOOKUP($A79,test!$A$3:$I$32,9,FALSE))-(test!$B$34-50),0)</f>
        <v>135</v>
      </c>
      <c r="U79">
        <f>IF(AND($A79&lt;&gt;U$1,Recharged_Feasible_mat!V48),(VLOOKUP(U$1,test!$A$3:$I$32,8,FALSE))-(VLOOKUP($A79,test!$A$3:$I$32,9,FALSE))-(test!$B$34-50),0)</f>
        <v>225</v>
      </c>
      <c r="V79">
        <f>IF(AND($A79&lt;&gt;V$1,Recharged_Feasible_mat!W48),(VLOOKUP(V$1,test!$A$3:$I$32,8,FALSE))-(VLOOKUP($A79,test!$A$3:$I$32,9,FALSE))-(test!$B$34-50),0)</f>
        <v>315</v>
      </c>
      <c r="W79">
        <f>IF(AND($A79&lt;&gt;W$1,Recharged_Feasible_mat!X48),(VLOOKUP(W$1,test!$A$3:$I$32,8,FALSE))-(VLOOKUP($A79,test!$A$3:$I$32,9,FALSE))-(test!$B$34-50),0)</f>
        <v>405</v>
      </c>
      <c r="X79">
        <f>IF(AND($A79&lt;&gt;X$1,Recharged_Feasible_mat!Y48),(VLOOKUP(X$1,test!$A$3:$I$32,8,FALSE))-(VLOOKUP($A79,test!$A$3:$I$32,9,FALSE))-(test!$B$34-50),0)</f>
        <v>465</v>
      </c>
      <c r="Y79">
        <f>IF(AND($A79&lt;&gt;Y$1,Recharged_Feasible_mat!Z48),(VLOOKUP(Y$1,test!$A$3:$I$32,8,FALSE))-(VLOOKUP($A79,test!$A$3:$I$32,9,FALSE))-(test!$B$34-50),0)</f>
        <v>0</v>
      </c>
      <c r="Z79">
        <f>IF(AND($A79&lt;&gt;Z$1,Recharged_Feasible_mat!AA48),(VLOOKUP(Z$1,test!$A$3:$I$32,8,FALSE))-(VLOOKUP($A79,test!$A$3:$I$32,9,FALSE))-(test!$B$34-50),0)</f>
        <v>65</v>
      </c>
      <c r="AA79">
        <f>IF(AND($A79&lt;&gt;AA$1,Recharged_Feasible_mat!AB48),(VLOOKUP(AA$1,test!$A$3:$I$32,8,FALSE))-(VLOOKUP($A79,test!$A$3:$I$32,9,FALSE))-(test!$B$34-50),0)</f>
        <v>185</v>
      </c>
      <c r="AB79">
        <f>IF(AND($A79&lt;&gt;AB$1,Recharged_Feasible_mat!AC48),(VLOOKUP(AB$1,test!$A$3:$I$32,8,FALSE))-(VLOOKUP($A79,test!$A$3:$I$32,9,FALSE))-(test!$B$34-50),0)</f>
        <v>245</v>
      </c>
      <c r="AC79">
        <f>IF(AND($A79&lt;&gt;AC$1,Recharged_Feasible_mat!AD48),(VLOOKUP(AC$1,test!$A$3:$I$32,8,FALSE))-(VLOOKUP($A79,test!$A$3:$I$32,9,FALSE))-(test!$B$34-50),0)</f>
        <v>365</v>
      </c>
      <c r="AD79">
        <f>IF(AND($A79&lt;&gt;AD$1,Recharged_Feasible_mat!AE48),(VLOOKUP(AD$1,test!$A$3:$I$32,8,FALSE))-(VLOOKUP($A79,test!$A$3:$I$32,9,FALSE))-(test!$B$34-50),0)</f>
        <v>0</v>
      </c>
      <c r="AE79">
        <f>IF(AND($A79&lt;&gt;AE$1,Recharged_Feasible_mat!AF48),(VLOOKUP(AE$1,test!$A$3:$I$32,8,FALSE))-(VLOOKUP($A79,test!$A$3:$I$32,9,FALSE))-(test!$B$34-50),0)</f>
        <v>185</v>
      </c>
      <c r="AF79">
        <f>IF(AND($A79&lt;&gt;AF$1,Recharged_Feasible_mat!AG48),(VLOOKUP(AF$1,test!$A$3:$I$32,8,FALSE))-(VLOOKUP($A79,test!$A$3:$I$32,9,FALSE))-(test!$B$34-50),0)</f>
        <v>135</v>
      </c>
    </row>
    <row r="80" spans="1:32" x14ac:dyDescent="0.25">
      <c r="A80" t="s">
        <v>27</v>
      </c>
      <c r="B80">
        <v>0</v>
      </c>
      <c r="C80">
        <f>IF(AND($A80&lt;&gt;C$1,Recharged_Feasible_mat!D49),(VLOOKUP(C$1,test!$A$3:$I$32,8,FALSE))-(VLOOKUP($A80,test!$A$3:$I$32,9,FALSE))-(test!$B$34-50),0)</f>
        <v>0</v>
      </c>
      <c r="D80">
        <f>IF(AND($A80&lt;&gt;D$1,Recharged_Feasible_mat!E49),(VLOOKUP(D$1,test!$A$3:$I$32,8,FALSE))-(VLOOKUP($A80,test!$A$3:$I$32,9,FALSE))-(test!$B$34-50),0)</f>
        <v>0</v>
      </c>
      <c r="E80">
        <f>IF(AND($A80&lt;&gt;E$1,Recharged_Feasible_mat!F49),(VLOOKUP(E$1,test!$A$3:$I$32,8,FALSE))-(VLOOKUP($A80,test!$A$3:$I$32,9,FALSE))-(test!$B$34-50),0)</f>
        <v>65</v>
      </c>
      <c r="F80">
        <f>IF(AND($A80&lt;&gt;F$1,Recharged_Feasible_mat!G49),(VLOOKUP(F$1,test!$A$3:$I$32,8,FALSE))-(VLOOKUP($A80,test!$A$3:$I$32,9,FALSE))-(test!$B$34-50),0)</f>
        <v>155</v>
      </c>
      <c r="G80">
        <f>IF(AND($A80&lt;&gt;G$1,Recharged_Feasible_mat!H49),(VLOOKUP(G$1,test!$A$3:$I$32,8,FALSE))-(VLOOKUP($A80,test!$A$3:$I$32,9,FALSE))-(test!$B$34-50),0)</f>
        <v>215</v>
      </c>
      <c r="H80">
        <f>IF(AND($A80&lt;&gt;H$1,Recharged_Feasible_mat!I49),(VLOOKUP(H$1,test!$A$3:$I$32,8,FALSE))-(VLOOKUP($A80,test!$A$3:$I$32,9,FALSE))-(test!$B$34-50),0)</f>
        <v>275</v>
      </c>
      <c r="I80">
        <f>IF(AND($A80&lt;&gt;I$1,Recharged_Feasible_mat!J49),(VLOOKUP(I$1,test!$A$3:$I$32,8,FALSE))-(VLOOKUP($A80,test!$A$3:$I$32,9,FALSE))-(test!$B$34-50),0)</f>
        <v>335</v>
      </c>
      <c r="J80">
        <f>IF(AND($A80&lt;&gt;J$1,Recharged_Feasible_mat!K49),(VLOOKUP(J$1,test!$A$3:$I$32,8,FALSE))-(VLOOKUP($A80,test!$A$3:$I$32,9,FALSE))-(test!$B$34-50),0)</f>
        <v>425</v>
      </c>
      <c r="K80">
        <f>IF(AND($A80&lt;&gt;K$1,Recharged_Feasible_mat!L49),(VLOOKUP(K$1,test!$A$3:$I$32,8,FALSE))-(VLOOKUP($A80,test!$A$3:$I$32,9,FALSE))-(test!$B$34-50),0)</f>
        <v>0</v>
      </c>
      <c r="L80">
        <f>IF(AND($A80&lt;&gt;L$1,Recharged_Feasible_mat!M49),(VLOOKUP(L$1,test!$A$3:$I$32,8,FALSE))-(VLOOKUP($A80,test!$A$3:$I$32,9,FALSE))-(test!$B$34-50),0)</f>
        <v>0</v>
      </c>
      <c r="M80">
        <f>IF(AND($A80&lt;&gt;M$1,Recharged_Feasible_mat!N49),(VLOOKUP(M$1,test!$A$3:$I$32,8,FALSE))-(VLOOKUP($A80,test!$A$3:$I$32,9,FALSE))-(test!$B$34-50),0)</f>
        <v>0</v>
      </c>
      <c r="N80">
        <f>IF(AND($A80&lt;&gt;N$1,Recharged_Feasible_mat!O49),(VLOOKUP(N$1,test!$A$3:$I$32,8,FALSE))-(VLOOKUP($A80,test!$A$3:$I$32,9,FALSE))-(test!$B$34-50),0)</f>
        <v>390</v>
      </c>
      <c r="O80">
        <f>IF(AND($A80&lt;&gt;O$1,Recharged_Feasible_mat!P49),(VLOOKUP(O$1,test!$A$3:$I$32,8,FALSE))-(VLOOKUP($A80,test!$A$3:$I$32,9,FALSE))-(test!$B$34-50),0)</f>
        <v>450</v>
      </c>
      <c r="P80">
        <f>IF(AND($A80&lt;&gt;P$1,Recharged_Feasible_mat!Q49),(VLOOKUP(P$1,test!$A$3:$I$32,8,FALSE))-(VLOOKUP($A80,test!$A$3:$I$32,9,FALSE))-(test!$B$34-50),0)</f>
        <v>0</v>
      </c>
      <c r="Q80">
        <f>IF(AND($A80&lt;&gt;Q$1,Recharged_Feasible_mat!R49),(VLOOKUP(Q$1,test!$A$3:$I$32,8,FALSE))-(VLOOKUP($A80,test!$A$3:$I$32,9,FALSE))-(test!$B$34-50),0)</f>
        <v>0</v>
      </c>
      <c r="R80">
        <f>IF(AND($A80&lt;&gt;R$1,Recharged_Feasible_mat!S49),(VLOOKUP(R$1,test!$A$3:$I$32,8,FALSE))-(VLOOKUP($A80,test!$A$3:$I$32,9,FALSE))-(test!$B$34-50),0)</f>
        <v>0</v>
      </c>
      <c r="S80">
        <f>IF(AND($A80&lt;&gt;S$1,Recharged_Feasible_mat!T49),(VLOOKUP(S$1,test!$A$3:$I$32,8,FALSE))-(VLOOKUP($A80,test!$A$3:$I$32,9,FALSE))-(test!$B$34-50),0)</f>
        <v>0</v>
      </c>
      <c r="T80">
        <f>IF(AND($A80&lt;&gt;T$1,Recharged_Feasible_mat!U49),(VLOOKUP(T$1,test!$A$3:$I$32,8,FALSE))-(VLOOKUP($A80,test!$A$3:$I$32,9,FALSE))-(test!$B$34-50),0)</f>
        <v>0</v>
      </c>
      <c r="U80">
        <f>IF(AND($A80&lt;&gt;U$1,Recharged_Feasible_mat!V49),(VLOOKUP(U$1,test!$A$3:$I$32,8,FALSE))-(VLOOKUP($A80,test!$A$3:$I$32,9,FALSE))-(test!$B$34-50),0)</f>
        <v>135</v>
      </c>
      <c r="V80">
        <f>IF(AND($A80&lt;&gt;V$1,Recharged_Feasible_mat!W49),(VLOOKUP(V$1,test!$A$3:$I$32,8,FALSE))-(VLOOKUP($A80,test!$A$3:$I$32,9,FALSE))-(test!$B$34-50),0)</f>
        <v>225</v>
      </c>
      <c r="W80">
        <f>IF(AND($A80&lt;&gt;W$1,Recharged_Feasible_mat!X49),(VLOOKUP(W$1,test!$A$3:$I$32,8,FALSE))-(VLOOKUP($A80,test!$A$3:$I$32,9,FALSE))-(test!$B$34-50),0)</f>
        <v>315</v>
      </c>
      <c r="X80">
        <f>IF(AND($A80&lt;&gt;X$1,Recharged_Feasible_mat!Y49),(VLOOKUP(X$1,test!$A$3:$I$32,8,FALSE))-(VLOOKUP($A80,test!$A$3:$I$32,9,FALSE))-(test!$B$34-50),0)</f>
        <v>375</v>
      </c>
      <c r="Y80">
        <f>IF(AND($A80&lt;&gt;Y$1,Recharged_Feasible_mat!Z49),(VLOOKUP(Y$1,test!$A$3:$I$32,8,FALSE))-(VLOOKUP($A80,test!$A$3:$I$32,9,FALSE))-(test!$B$34-50),0)</f>
        <v>0</v>
      </c>
      <c r="Z80">
        <f>IF(AND($A80&lt;&gt;Z$1,Recharged_Feasible_mat!AA49),(VLOOKUP(Z$1,test!$A$3:$I$32,8,FALSE))-(VLOOKUP($A80,test!$A$3:$I$32,9,FALSE))-(test!$B$34-50),0)</f>
        <v>0</v>
      </c>
      <c r="AA80">
        <f>IF(AND($A80&lt;&gt;AA$1,Recharged_Feasible_mat!AB49),(VLOOKUP(AA$1,test!$A$3:$I$32,8,FALSE))-(VLOOKUP($A80,test!$A$3:$I$32,9,FALSE))-(test!$B$34-50),0)</f>
        <v>95</v>
      </c>
      <c r="AB80">
        <f>IF(AND($A80&lt;&gt;AB$1,Recharged_Feasible_mat!AC49),(VLOOKUP(AB$1,test!$A$3:$I$32,8,FALSE))-(VLOOKUP($A80,test!$A$3:$I$32,9,FALSE))-(test!$B$34-50),0)</f>
        <v>155</v>
      </c>
      <c r="AC80">
        <f>IF(AND($A80&lt;&gt;AC$1,Recharged_Feasible_mat!AD49),(VLOOKUP(AC$1,test!$A$3:$I$32,8,FALSE))-(VLOOKUP($A80,test!$A$3:$I$32,9,FALSE))-(test!$B$34-50),0)</f>
        <v>275</v>
      </c>
      <c r="AD80">
        <f>IF(AND($A80&lt;&gt;AD$1,Recharged_Feasible_mat!AE49),(VLOOKUP(AD$1,test!$A$3:$I$32,8,FALSE))-(VLOOKUP($A80,test!$A$3:$I$32,9,FALSE))-(test!$B$34-50),0)</f>
        <v>0</v>
      </c>
      <c r="AE80">
        <f>IF(AND($A80&lt;&gt;AE$1,Recharged_Feasible_mat!AF49),(VLOOKUP(AE$1,test!$A$3:$I$32,8,FALSE))-(VLOOKUP($A80,test!$A$3:$I$32,9,FALSE))-(test!$B$34-50),0)</f>
        <v>95</v>
      </c>
      <c r="AF80">
        <f>IF(AND($A80&lt;&gt;AF$1,Recharged_Feasible_mat!AG49),(VLOOKUP(AF$1,test!$A$3:$I$32,8,FALSE))-(VLOOKUP($A80,test!$A$3:$I$32,9,FALSE))-(test!$B$34-50),0)</f>
        <v>0</v>
      </c>
    </row>
    <row r="81" spans="1:32" x14ac:dyDescent="0.25">
      <c r="A81" t="s">
        <v>28</v>
      </c>
      <c r="B81">
        <v>0</v>
      </c>
      <c r="C81">
        <f>IF(AND($A81&lt;&gt;C$1,Recharged_Feasible_mat!D50),(VLOOKUP(C$1,test!$A$3:$I$32,8,FALSE))-(VLOOKUP($A81,test!$A$3:$I$32,9,FALSE))-(test!$B$34-50),0)</f>
        <v>0</v>
      </c>
      <c r="D81">
        <f>IF(AND($A81&lt;&gt;D$1,Recharged_Feasible_mat!E50),(VLOOKUP(D$1,test!$A$3:$I$32,8,FALSE))-(VLOOKUP($A81,test!$A$3:$I$32,9,FALSE))-(test!$B$34-50),0)</f>
        <v>0</v>
      </c>
      <c r="E81">
        <f>IF(AND($A81&lt;&gt;E$1,Recharged_Feasible_mat!F50),(VLOOKUP(E$1,test!$A$3:$I$32,8,FALSE))-(VLOOKUP($A81,test!$A$3:$I$32,9,FALSE))-(test!$B$34-50),0)</f>
        <v>0</v>
      </c>
      <c r="F81">
        <f>IF(AND($A81&lt;&gt;F$1,Recharged_Feasible_mat!G50),(VLOOKUP(F$1,test!$A$3:$I$32,8,FALSE))-(VLOOKUP($A81,test!$A$3:$I$32,9,FALSE))-(test!$B$34-50),0)</f>
        <v>65</v>
      </c>
      <c r="G81">
        <f>IF(AND($A81&lt;&gt;G$1,Recharged_Feasible_mat!H50),(VLOOKUP(G$1,test!$A$3:$I$32,8,FALSE))-(VLOOKUP($A81,test!$A$3:$I$32,9,FALSE))-(test!$B$34-50),0)</f>
        <v>125</v>
      </c>
      <c r="H81">
        <f>IF(AND($A81&lt;&gt;H$1,Recharged_Feasible_mat!I50),(VLOOKUP(H$1,test!$A$3:$I$32,8,FALSE))-(VLOOKUP($A81,test!$A$3:$I$32,9,FALSE))-(test!$B$34-50),0)</f>
        <v>185</v>
      </c>
      <c r="I81">
        <f>IF(AND($A81&lt;&gt;I$1,Recharged_Feasible_mat!J50),(VLOOKUP(I$1,test!$A$3:$I$32,8,FALSE))-(VLOOKUP($A81,test!$A$3:$I$32,9,FALSE))-(test!$B$34-50),0)</f>
        <v>245</v>
      </c>
      <c r="J81">
        <f>IF(AND($A81&lt;&gt;J$1,Recharged_Feasible_mat!K50),(VLOOKUP(J$1,test!$A$3:$I$32,8,FALSE))-(VLOOKUP($A81,test!$A$3:$I$32,9,FALSE))-(test!$B$34-50),0)</f>
        <v>335</v>
      </c>
      <c r="K81">
        <f>IF(AND($A81&lt;&gt;K$1,Recharged_Feasible_mat!L50),(VLOOKUP(K$1,test!$A$3:$I$32,8,FALSE))-(VLOOKUP($A81,test!$A$3:$I$32,9,FALSE))-(test!$B$34-50),0)</f>
        <v>0</v>
      </c>
      <c r="L81">
        <f>IF(AND($A81&lt;&gt;L$1,Recharged_Feasible_mat!M50),(VLOOKUP(L$1,test!$A$3:$I$32,8,FALSE))-(VLOOKUP($A81,test!$A$3:$I$32,9,FALSE))-(test!$B$34-50),0)</f>
        <v>0</v>
      </c>
      <c r="M81">
        <f>IF(AND($A81&lt;&gt;M$1,Recharged_Feasible_mat!N50),(VLOOKUP(M$1,test!$A$3:$I$32,8,FALSE))-(VLOOKUP($A81,test!$A$3:$I$32,9,FALSE))-(test!$B$34-50),0)</f>
        <v>0</v>
      </c>
      <c r="N81">
        <f>IF(AND($A81&lt;&gt;N$1,Recharged_Feasible_mat!O50),(VLOOKUP(N$1,test!$A$3:$I$32,8,FALSE))-(VLOOKUP($A81,test!$A$3:$I$32,9,FALSE))-(test!$B$34-50),0)</f>
        <v>300</v>
      </c>
      <c r="O81">
        <f>IF(AND($A81&lt;&gt;O$1,Recharged_Feasible_mat!P50),(VLOOKUP(O$1,test!$A$3:$I$32,8,FALSE))-(VLOOKUP($A81,test!$A$3:$I$32,9,FALSE))-(test!$B$34-50),0)</f>
        <v>360</v>
      </c>
      <c r="P81">
        <f>IF(AND($A81&lt;&gt;P$1,Recharged_Feasible_mat!Q50),(VLOOKUP(P$1,test!$A$3:$I$32,8,FALSE))-(VLOOKUP($A81,test!$A$3:$I$32,9,FALSE))-(test!$B$34-50),0)</f>
        <v>0</v>
      </c>
      <c r="Q81">
        <f>IF(AND($A81&lt;&gt;Q$1,Recharged_Feasible_mat!R50),(VLOOKUP(Q$1,test!$A$3:$I$32,8,FALSE))-(VLOOKUP($A81,test!$A$3:$I$32,9,FALSE))-(test!$B$34-50),0)</f>
        <v>0</v>
      </c>
      <c r="R81">
        <f>IF(AND($A81&lt;&gt;R$1,Recharged_Feasible_mat!S50),(VLOOKUP(R$1,test!$A$3:$I$32,8,FALSE))-(VLOOKUP($A81,test!$A$3:$I$32,9,FALSE))-(test!$B$34-50),0)</f>
        <v>0</v>
      </c>
      <c r="S81">
        <f>IF(AND($A81&lt;&gt;S$1,Recharged_Feasible_mat!T50),(VLOOKUP(S$1,test!$A$3:$I$32,8,FALSE))-(VLOOKUP($A81,test!$A$3:$I$32,9,FALSE))-(test!$B$34-50),0)</f>
        <v>0</v>
      </c>
      <c r="T81">
        <f>IF(AND($A81&lt;&gt;T$1,Recharged_Feasible_mat!U50),(VLOOKUP(T$1,test!$A$3:$I$32,8,FALSE))-(VLOOKUP($A81,test!$A$3:$I$32,9,FALSE))-(test!$B$34-50),0)</f>
        <v>0</v>
      </c>
      <c r="U81">
        <f>IF(AND($A81&lt;&gt;U$1,Recharged_Feasible_mat!V50),(VLOOKUP(U$1,test!$A$3:$I$32,8,FALSE))-(VLOOKUP($A81,test!$A$3:$I$32,9,FALSE))-(test!$B$34-50),0)</f>
        <v>0</v>
      </c>
      <c r="V81">
        <f>IF(AND($A81&lt;&gt;V$1,Recharged_Feasible_mat!W50),(VLOOKUP(V$1,test!$A$3:$I$32,8,FALSE))-(VLOOKUP($A81,test!$A$3:$I$32,9,FALSE))-(test!$B$34-50),0)</f>
        <v>135</v>
      </c>
      <c r="W81">
        <f>IF(AND($A81&lt;&gt;W$1,Recharged_Feasible_mat!X50),(VLOOKUP(W$1,test!$A$3:$I$32,8,FALSE))-(VLOOKUP($A81,test!$A$3:$I$32,9,FALSE))-(test!$B$34-50),0)</f>
        <v>225</v>
      </c>
      <c r="X81">
        <f>IF(AND($A81&lt;&gt;X$1,Recharged_Feasible_mat!Y50),(VLOOKUP(X$1,test!$A$3:$I$32,8,FALSE))-(VLOOKUP($A81,test!$A$3:$I$32,9,FALSE))-(test!$B$34-50),0)</f>
        <v>285</v>
      </c>
      <c r="Y81">
        <f>IF(AND($A81&lt;&gt;Y$1,Recharged_Feasible_mat!Z50),(VLOOKUP(Y$1,test!$A$3:$I$32,8,FALSE))-(VLOOKUP($A81,test!$A$3:$I$32,9,FALSE))-(test!$B$34-50),0)</f>
        <v>0</v>
      </c>
      <c r="Z81">
        <f>IF(AND($A81&lt;&gt;Z$1,Recharged_Feasible_mat!AA50),(VLOOKUP(Z$1,test!$A$3:$I$32,8,FALSE))-(VLOOKUP($A81,test!$A$3:$I$32,9,FALSE))-(test!$B$34-50),0)</f>
        <v>0</v>
      </c>
      <c r="AA81">
        <f>IF(AND($A81&lt;&gt;AA$1,Recharged_Feasible_mat!AB50),(VLOOKUP(AA$1,test!$A$3:$I$32,8,FALSE))-(VLOOKUP($A81,test!$A$3:$I$32,9,FALSE))-(test!$B$34-50),0)</f>
        <v>0</v>
      </c>
      <c r="AB81">
        <f>IF(AND($A81&lt;&gt;AB$1,Recharged_Feasible_mat!AC50),(VLOOKUP(AB$1,test!$A$3:$I$32,8,FALSE))-(VLOOKUP($A81,test!$A$3:$I$32,9,FALSE))-(test!$B$34-50),0)</f>
        <v>65</v>
      </c>
      <c r="AC81">
        <f>IF(AND($A81&lt;&gt;AC$1,Recharged_Feasible_mat!AD50),(VLOOKUP(AC$1,test!$A$3:$I$32,8,FALSE))-(VLOOKUP($A81,test!$A$3:$I$32,9,FALSE))-(test!$B$34-50),0)</f>
        <v>185</v>
      </c>
      <c r="AD81">
        <f>IF(AND($A81&lt;&gt;AD$1,Recharged_Feasible_mat!AE50),(VLOOKUP(AD$1,test!$A$3:$I$32,8,FALSE))-(VLOOKUP($A81,test!$A$3:$I$32,9,FALSE))-(test!$B$34-50),0)</f>
        <v>0</v>
      </c>
      <c r="AE81">
        <f>IF(AND($A81&lt;&gt;AE$1,Recharged_Feasible_mat!AF50),(VLOOKUP(AE$1,test!$A$3:$I$32,8,FALSE))-(VLOOKUP($A81,test!$A$3:$I$32,9,FALSE))-(test!$B$34-50),0)</f>
        <v>0</v>
      </c>
      <c r="AF81">
        <f>IF(AND($A81&lt;&gt;AF$1,Recharged_Feasible_mat!AG50),(VLOOKUP(AF$1,test!$A$3:$I$32,8,FALSE))-(VLOOKUP($A81,test!$A$3:$I$32,9,FALSE))-(test!$B$34-50),0)</f>
        <v>0</v>
      </c>
    </row>
    <row r="82" spans="1:32" x14ac:dyDescent="0.25">
      <c r="A82" t="s">
        <v>29</v>
      </c>
      <c r="B82">
        <v>0</v>
      </c>
      <c r="C82">
        <f>IF(AND($A82&lt;&gt;C$1,Recharged_Feasible_mat!D51),(VLOOKUP(C$1,test!$A$3:$I$32,8,FALSE))-(VLOOKUP($A82,test!$A$3:$I$32,9,FALSE))-(test!$B$34-50),0)</f>
        <v>0</v>
      </c>
      <c r="D82">
        <f>IF(AND($A82&lt;&gt;D$1,Recharged_Feasible_mat!E51),(VLOOKUP(D$1,test!$A$3:$I$32,8,FALSE))-(VLOOKUP($A82,test!$A$3:$I$32,9,FALSE))-(test!$B$34-50),0)</f>
        <v>0</v>
      </c>
      <c r="E82">
        <f>IF(AND($A82&lt;&gt;E$1,Recharged_Feasible_mat!F51),(VLOOKUP(E$1,test!$A$3:$I$32,8,FALSE))-(VLOOKUP($A82,test!$A$3:$I$32,9,FALSE))-(test!$B$34-50),0)</f>
        <v>0</v>
      </c>
      <c r="F82">
        <f>IF(AND($A82&lt;&gt;F$1,Recharged_Feasible_mat!G51),(VLOOKUP(F$1,test!$A$3:$I$32,8,FALSE))-(VLOOKUP($A82,test!$A$3:$I$32,9,FALSE))-(test!$B$34-50),0)</f>
        <v>0</v>
      </c>
      <c r="G82">
        <f>IF(AND($A82&lt;&gt;G$1,Recharged_Feasible_mat!H51),(VLOOKUP(G$1,test!$A$3:$I$32,8,FALSE))-(VLOOKUP($A82,test!$A$3:$I$32,9,FALSE))-(test!$B$34-50),0)</f>
        <v>0</v>
      </c>
      <c r="H82">
        <f>IF(AND($A82&lt;&gt;H$1,Recharged_Feasible_mat!I51),(VLOOKUP(H$1,test!$A$3:$I$32,8,FALSE))-(VLOOKUP($A82,test!$A$3:$I$32,9,FALSE))-(test!$B$34-50),0)</f>
        <v>95</v>
      </c>
      <c r="I82">
        <f>IF(AND($A82&lt;&gt;I$1,Recharged_Feasible_mat!J51),(VLOOKUP(I$1,test!$A$3:$I$32,8,FALSE))-(VLOOKUP($A82,test!$A$3:$I$32,9,FALSE))-(test!$B$34-50),0)</f>
        <v>155</v>
      </c>
      <c r="J82">
        <f>IF(AND($A82&lt;&gt;J$1,Recharged_Feasible_mat!K51),(VLOOKUP(J$1,test!$A$3:$I$32,8,FALSE))-(VLOOKUP($A82,test!$A$3:$I$32,9,FALSE))-(test!$B$34-50),0)</f>
        <v>245</v>
      </c>
      <c r="K82">
        <f>IF(AND($A82&lt;&gt;K$1,Recharged_Feasible_mat!L51),(VLOOKUP(K$1,test!$A$3:$I$32,8,FALSE))-(VLOOKUP($A82,test!$A$3:$I$32,9,FALSE))-(test!$B$34-50),0)</f>
        <v>0</v>
      </c>
      <c r="L82">
        <f>IF(AND($A82&lt;&gt;L$1,Recharged_Feasible_mat!M51),(VLOOKUP(L$1,test!$A$3:$I$32,8,FALSE))-(VLOOKUP($A82,test!$A$3:$I$32,9,FALSE))-(test!$B$34-50),0)</f>
        <v>0</v>
      </c>
      <c r="M82">
        <f>IF(AND($A82&lt;&gt;M$1,Recharged_Feasible_mat!N51),(VLOOKUP(M$1,test!$A$3:$I$32,8,FALSE))-(VLOOKUP($A82,test!$A$3:$I$32,9,FALSE))-(test!$B$34-50),0)</f>
        <v>0</v>
      </c>
      <c r="N82">
        <f>IF(AND($A82&lt;&gt;N$1,Recharged_Feasible_mat!O51),(VLOOKUP(N$1,test!$A$3:$I$32,8,FALSE))-(VLOOKUP($A82,test!$A$3:$I$32,9,FALSE))-(test!$B$34-50),0)</f>
        <v>210</v>
      </c>
      <c r="O82">
        <f>IF(AND($A82&lt;&gt;O$1,Recharged_Feasible_mat!P51),(VLOOKUP(O$1,test!$A$3:$I$32,8,FALSE))-(VLOOKUP($A82,test!$A$3:$I$32,9,FALSE))-(test!$B$34-50),0)</f>
        <v>270</v>
      </c>
      <c r="P82">
        <f>IF(AND($A82&lt;&gt;P$1,Recharged_Feasible_mat!Q51),(VLOOKUP(P$1,test!$A$3:$I$32,8,FALSE))-(VLOOKUP($A82,test!$A$3:$I$32,9,FALSE))-(test!$B$34-50),0)</f>
        <v>0</v>
      </c>
      <c r="Q82">
        <f>IF(AND($A82&lt;&gt;Q$1,Recharged_Feasible_mat!R51),(VLOOKUP(Q$1,test!$A$3:$I$32,8,FALSE))-(VLOOKUP($A82,test!$A$3:$I$32,9,FALSE))-(test!$B$34-50),0)</f>
        <v>0</v>
      </c>
      <c r="R82">
        <f>IF(AND($A82&lt;&gt;R$1,Recharged_Feasible_mat!S51),(VLOOKUP(R$1,test!$A$3:$I$32,8,FALSE))-(VLOOKUP($A82,test!$A$3:$I$32,9,FALSE))-(test!$B$34-50),0)</f>
        <v>0</v>
      </c>
      <c r="S82">
        <f>IF(AND($A82&lt;&gt;S$1,Recharged_Feasible_mat!T51),(VLOOKUP(S$1,test!$A$3:$I$32,8,FALSE))-(VLOOKUP($A82,test!$A$3:$I$32,9,FALSE))-(test!$B$34-50),0)</f>
        <v>0</v>
      </c>
      <c r="T82">
        <f>IF(AND($A82&lt;&gt;T$1,Recharged_Feasible_mat!U51),(VLOOKUP(T$1,test!$A$3:$I$32,8,FALSE))-(VLOOKUP($A82,test!$A$3:$I$32,9,FALSE))-(test!$B$34-50),0)</f>
        <v>0</v>
      </c>
      <c r="U82">
        <f>IF(AND($A82&lt;&gt;U$1,Recharged_Feasible_mat!V51),(VLOOKUP(U$1,test!$A$3:$I$32,8,FALSE))-(VLOOKUP($A82,test!$A$3:$I$32,9,FALSE))-(test!$B$34-50),0)</f>
        <v>0</v>
      </c>
      <c r="V82">
        <f>IF(AND($A82&lt;&gt;V$1,Recharged_Feasible_mat!W51),(VLOOKUP(V$1,test!$A$3:$I$32,8,FALSE))-(VLOOKUP($A82,test!$A$3:$I$32,9,FALSE))-(test!$B$34-50),0)</f>
        <v>0</v>
      </c>
      <c r="W82">
        <f>IF(AND($A82&lt;&gt;W$1,Recharged_Feasible_mat!X51),(VLOOKUP(W$1,test!$A$3:$I$32,8,FALSE))-(VLOOKUP($A82,test!$A$3:$I$32,9,FALSE))-(test!$B$34-50),0)</f>
        <v>135</v>
      </c>
      <c r="X82">
        <f>IF(AND($A82&lt;&gt;X$1,Recharged_Feasible_mat!Y51),(VLOOKUP(X$1,test!$A$3:$I$32,8,FALSE))-(VLOOKUP($A82,test!$A$3:$I$32,9,FALSE))-(test!$B$34-50),0)</f>
        <v>195</v>
      </c>
      <c r="Y82">
        <f>IF(AND($A82&lt;&gt;Y$1,Recharged_Feasible_mat!Z51),(VLOOKUP(Y$1,test!$A$3:$I$32,8,FALSE))-(VLOOKUP($A82,test!$A$3:$I$32,9,FALSE))-(test!$B$34-50),0)</f>
        <v>0</v>
      </c>
      <c r="Z82">
        <f>IF(AND($A82&lt;&gt;Z$1,Recharged_Feasible_mat!AA51),(VLOOKUP(Z$1,test!$A$3:$I$32,8,FALSE))-(VLOOKUP($A82,test!$A$3:$I$32,9,FALSE))-(test!$B$34-50),0)</f>
        <v>0</v>
      </c>
      <c r="AA82">
        <f>IF(AND($A82&lt;&gt;AA$1,Recharged_Feasible_mat!AB51),(VLOOKUP(AA$1,test!$A$3:$I$32,8,FALSE))-(VLOOKUP($A82,test!$A$3:$I$32,9,FALSE))-(test!$B$34-50),0)</f>
        <v>0</v>
      </c>
      <c r="AB82">
        <f>IF(AND($A82&lt;&gt;AB$1,Recharged_Feasible_mat!AC51),(VLOOKUP(AB$1,test!$A$3:$I$32,8,FALSE))-(VLOOKUP($A82,test!$A$3:$I$32,9,FALSE))-(test!$B$34-50),0)</f>
        <v>0</v>
      </c>
      <c r="AC82">
        <f>IF(AND($A82&lt;&gt;AC$1,Recharged_Feasible_mat!AD51),(VLOOKUP(AC$1,test!$A$3:$I$32,8,FALSE))-(VLOOKUP($A82,test!$A$3:$I$32,9,FALSE))-(test!$B$34-50),0)</f>
        <v>95</v>
      </c>
      <c r="AD82">
        <f>IF(AND($A82&lt;&gt;AD$1,Recharged_Feasible_mat!AE51),(VLOOKUP(AD$1,test!$A$3:$I$32,8,FALSE))-(VLOOKUP($A82,test!$A$3:$I$32,9,FALSE))-(test!$B$34-50),0)</f>
        <v>0</v>
      </c>
      <c r="AE82">
        <f>IF(AND($A82&lt;&gt;AE$1,Recharged_Feasible_mat!AF51),(VLOOKUP(AE$1,test!$A$3:$I$32,8,FALSE))-(VLOOKUP($A82,test!$A$3:$I$32,9,FALSE))-(test!$B$34-50),0)</f>
        <v>0</v>
      </c>
      <c r="AF82">
        <f>IF(AND($A82&lt;&gt;AF$1,Recharged_Feasible_mat!AG51),(VLOOKUP(AF$1,test!$A$3:$I$32,8,FALSE))-(VLOOKUP($A82,test!$A$3:$I$32,9,FALSE))-(test!$B$34-50),0)</f>
        <v>0</v>
      </c>
    </row>
    <row r="83" spans="1:32" x14ac:dyDescent="0.25">
      <c r="A83" t="s">
        <v>30</v>
      </c>
      <c r="B83">
        <v>0</v>
      </c>
      <c r="C83">
        <f>IF(AND($A83&lt;&gt;C$1,Recharged_Feasible_mat!D52),(VLOOKUP(C$1,test!$A$3:$I$32,8,FALSE))-(VLOOKUP($A83,test!$A$3:$I$32,9,FALSE))-(test!$B$34-50),0)</f>
        <v>0</v>
      </c>
      <c r="D83">
        <f>IF(AND($A83&lt;&gt;D$1,Recharged_Feasible_mat!E52),(VLOOKUP(D$1,test!$A$3:$I$32,8,FALSE))-(VLOOKUP($A83,test!$A$3:$I$32,9,FALSE))-(test!$B$34-50),0)</f>
        <v>0</v>
      </c>
      <c r="E83">
        <f>IF(AND($A83&lt;&gt;E$1,Recharged_Feasible_mat!F52),(VLOOKUP(E$1,test!$A$3:$I$32,8,FALSE))-(VLOOKUP($A83,test!$A$3:$I$32,9,FALSE))-(test!$B$34-50),0)</f>
        <v>0</v>
      </c>
      <c r="F83">
        <f>IF(AND($A83&lt;&gt;F$1,Recharged_Feasible_mat!G52),(VLOOKUP(F$1,test!$A$3:$I$32,8,FALSE))-(VLOOKUP($A83,test!$A$3:$I$32,9,FALSE))-(test!$B$34-50),0)</f>
        <v>0</v>
      </c>
      <c r="G83">
        <f>IF(AND($A83&lt;&gt;G$1,Recharged_Feasible_mat!H52),(VLOOKUP(G$1,test!$A$3:$I$32,8,FALSE))-(VLOOKUP($A83,test!$A$3:$I$32,9,FALSE))-(test!$B$34-50),0)</f>
        <v>0</v>
      </c>
      <c r="H83">
        <f>IF(AND($A83&lt;&gt;H$1,Recharged_Feasible_mat!I52),(VLOOKUP(H$1,test!$A$3:$I$32,8,FALSE))-(VLOOKUP($A83,test!$A$3:$I$32,9,FALSE))-(test!$B$34-50),0)</f>
        <v>0</v>
      </c>
      <c r="I83">
        <f>IF(AND($A83&lt;&gt;I$1,Recharged_Feasible_mat!J52),(VLOOKUP(I$1,test!$A$3:$I$32,8,FALSE))-(VLOOKUP($A83,test!$A$3:$I$32,9,FALSE))-(test!$B$34-50),0)</f>
        <v>65</v>
      </c>
      <c r="J83">
        <f>IF(AND($A83&lt;&gt;J$1,Recharged_Feasible_mat!K52),(VLOOKUP(J$1,test!$A$3:$I$32,8,FALSE))-(VLOOKUP($A83,test!$A$3:$I$32,9,FALSE))-(test!$B$34-50),0)</f>
        <v>155</v>
      </c>
      <c r="K83">
        <f>IF(AND($A83&lt;&gt;K$1,Recharged_Feasible_mat!L52),(VLOOKUP(K$1,test!$A$3:$I$32,8,FALSE))-(VLOOKUP($A83,test!$A$3:$I$32,9,FALSE))-(test!$B$34-50),0)</f>
        <v>0</v>
      </c>
      <c r="L83">
        <f>IF(AND($A83&lt;&gt;L$1,Recharged_Feasible_mat!M52),(VLOOKUP(L$1,test!$A$3:$I$32,8,FALSE))-(VLOOKUP($A83,test!$A$3:$I$32,9,FALSE))-(test!$B$34-50),0)</f>
        <v>0</v>
      </c>
      <c r="M83">
        <f>IF(AND($A83&lt;&gt;M$1,Recharged_Feasible_mat!N52),(VLOOKUP(M$1,test!$A$3:$I$32,8,FALSE))-(VLOOKUP($A83,test!$A$3:$I$32,9,FALSE))-(test!$B$34-50),0)</f>
        <v>0</v>
      </c>
      <c r="N83">
        <f>IF(AND($A83&lt;&gt;N$1,Recharged_Feasible_mat!O52),(VLOOKUP(N$1,test!$A$3:$I$32,8,FALSE))-(VLOOKUP($A83,test!$A$3:$I$32,9,FALSE))-(test!$B$34-50),0)</f>
        <v>120</v>
      </c>
      <c r="O83">
        <f>IF(AND($A83&lt;&gt;O$1,Recharged_Feasible_mat!P52),(VLOOKUP(O$1,test!$A$3:$I$32,8,FALSE))-(VLOOKUP($A83,test!$A$3:$I$32,9,FALSE))-(test!$B$34-50),0)</f>
        <v>180</v>
      </c>
      <c r="P83">
        <f>IF(AND($A83&lt;&gt;P$1,Recharged_Feasible_mat!Q52),(VLOOKUP(P$1,test!$A$3:$I$32,8,FALSE))-(VLOOKUP($A83,test!$A$3:$I$32,9,FALSE))-(test!$B$34-50),0)</f>
        <v>0</v>
      </c>
      <c r="Q83">
        <f>IF(AND($A83&lt;&gt;Q$1,Recharged_Feasible_mat!R52),(VLOOKUP(Q$1,test!$A$3:$I$32,8,FALSE))-(VLOOKUP($A83,test!$A$3:$I$32,9,FALSE))-(test!$B$34-50),0)</f>
        <v>0</v>
      </c>
      <c r="R83">
        <f>IF(AND($A83&lt;&gt;R$1,Recharged_Feasible_mat!S52),(VLOOKUP(R$1,test!$A$3:$I$32,8,FALSE))-(VLOOKUP($A83,test!$A$3:$I$32,9,FALSE))-(test!$B$34-50),0)</f>
        <v>0</v>
      </c>
      <c r="S83">
        <f>IF(AND($A83&lt;&gt;S$1,Recharged_Feasible_mat!T52),(VLOOKUP(S$1,test!$A$3:$I$32,8,FALSE))-(VLOOKUP($A83,test!$A$3:$I$32,9,FALSE))-(test!$B$34-50),0)</f>
        <v>0</v>
      </c>
      <c r="T83">
        <f>IF(AND($A83&lt;&gt;T$1,Recharged_Feasible_mat!U52),(VLOOKUP(T$1,test!$A$3:$I$32,8,FALSE))-(VLOOKUP($A83,test!$A$3:$I$32,9,FALSE))-(test!$B$34-50),0)</f>
        <v>0</v>
      </c>
      <c r="U83">
        <f>IF(AND($A83&lt;&gt;U$1,Recharged_Feasible_mat!V52),(VLOOKUP(U$1,test!$A$3:$I$32,8,FALSE))-(VLOOKUP($A83,test!$A$3:$I$32,9,FALSE))-(test!$B$34-50),0)</f>
        <v>0</v>
      </c>
      <c r="V83">
        <f>IF(AND($A83&lt;&gt;V$1,Recharged_Feasible_mat!W52),(VLOOKUP(V$1,test!$A$3:$I$32,8,FALSE))-(VLOOKUP($A83,test!$A$3:$I$32,9,FALSE))-(test!$B$34-50),0)</f>
        <v>0</v>
      </c>
      <c r="W83">
        <f>IF(AND($A83&lt;&gt;W$1,Recharged_Feasible_mat!X52),(VLOOKUP(W$1,test!$A$3:$I$32,8,FALSE))-(VLOOKUP($A83,test!$A$3:$I$32,9,FALSE))-(test!$B$34-50),0)</f>
        <v>0</v>
      </c>
      <c r="X83">
        <f>IF(AND($A83&lt;&gt;X$1,Recharged_Feasible_mat!Y52),(VLOOKUP(X$1,test!$A$3:$I$32,8,FALSE))-(VLOOKUP($A83,test!$A$3:$I$32,9,FALSE))-(test!$B$34-50),0)</f>
        <v>105</v>
      </c>
      <c r="Y83">
        <f>IF(AND($A83&lt;&gt;Y$1,Recharged_Feasible_mat!Z52),(VLOOKUP(Y$1,test!$A$3:$I$32,8,FALSE))-(VLOOKUP($A83,test!$A$3:$I$32,9,FALSE))-(test!$B$34-50),0)</f>
        <v>0</v>
      </c>
      <c r="Z83">
        <f>IF(AND($A83&lt;&gt;Z$1,Recharged_Feasible_mat!AA52),(VLOOKUP(Z$1,test!$A$3:$I$32,8,FALSE))-(VLOOKUP($A83,test!$A$3:$I$32,9,FALSE))-(test!$B$34-50),0)</f>
        <v>0</v>
      </c>
      <c r="AA83">
        <f>IF(AND($A83&lt;&gt;AA$1,Recharged_Feasible_mat!AB52),(VLOOKUP(AA$1,test!$A$3:$I$32,8,FALSE))-(VLOOKUP($A83,test!$A$3:$I$32,9,FALSE))-(test!$B$34-50),0)</f>
        <v>0</v>
      </c>
      <c r="AB83">
        <f>IF(AND($A83&lt;&gt;AB$1,Recharged_Feasible_mat!AC52),(VLOOKUP(AB$1,test!$A$3:$I$32,8,FALSE))-(VLOOKUP($A83,test!$A$3:$I$32,9,FALSE))-(test!$B$34-50),0)</f>
        <v>0</v>
      </c>
      <c r="AC83">
        <f>IF(AND($A83&lt;&gt;AC$1,Recharged_Feasible_mat!AD52),(VLOOKUP(AC$1,test!$A$3:$I$32,8,FALSE))-(VLOOKUP($A83,test!$A$3:$I$32,9,FALSE))-(test!$B$34-50),0)</f>
        <v>0</v>
      </c>
      <c r="AD83">
        <f>IF(AND($A83&lt;&gt;AD$1,Recharged_Feasible_mat!AE52),(VLOOKUP(AD$1,test!$A$3:$I$32,8,FALSE))-(VLOOKUP($A83,test!$A$3:$I$32,9,FALSE))-(test!$B$34-50),0)</f>
        <v>0</v>
      </c>
      <c r="AE83">
        <f>IF(AND($A83&lt;&gt;AE$1,Recharged_Feasible_mat!AF52),(VLOOKUP(AE$1,test!$A$3:$I$32,8,FALSE))-(VLOOKUP($A83,test!$A$3:$I$32,9,FALSE))-(test!$B$34-50),0)</f>
        <v>0</v>
      </c>
      <c r="AF83">
        <f>IF(AND($A83&lt;&gt;AF$1,Recharged_Feasible_mat!AG52),(VLOOKUP(AF$1,test!$A$3:$I$32,8,FALSE))-(VLOOKUP($A83,test!$A$3:$I$32,9,FALSE))-(test!$B$34-50),0)</f>
        <v>0</v>
      </c>
    </row>
    <row r="84" spans="1:32" x14ac:dyDescent="0.25">
      <c r="A84" t="s">
        <v>31</v>
      </c>
      <c r="B84">
        <v>0</v>
      </c>
      <c r="C84">
        <f>IF(AND($A84&lt;&gt;C$1,Recharged_Feasible_mat!D53),(VLOOKUP(C$1,test!$A$3:$I$32,8,FALSE))-(VLOOKUP($A84,test!$A$3:$I$32,9,FALSE))-(test!$B$34-50),0)</f>
        <v>0</v>
      </c>
      <c r="D84">
        <f>IF(AND($A84&lt;&gt;D$1,Recharged_Feasible_mat!E53),(VLOOKUP(D$1,test!$A$3:$I$32,8,FALSE))-(VLOOKUP($A84,test!$A$3:$I$32,9,FALSE))-(test!$B$34-50),0)</f>
        <v>0</v>
      </c>
      <c r="E84">
        <f>IF(AND($A84&lt;&gt;E$1,Recharged_Feasible_mat!F53),(VLOOKUP(E$1,test!$A$3:$I$32,8,FALSE))-(VLOOKUP($A84,test!$A$3:$I$32,9,FALSE))-(test!$B$34-50),0)</f>
        <v>0</v>
      </c>
      <c r="F84">
        <f>IF(AND($A84&lt;&gt;F$1,Recharged_Feasible_mat!G53),(VLOOKUP(F$1,test!$A$3:$I$32,8,FALSE))-(VLOOKUP($A84,test!$A$3:$I$32,9,FALSE))-(test!$B$34-50),0)</f>
        <v>0</v>
      </c>
      <c r="G84">
        <f>IF(AND($A84&lt;&gt;G$1,Recharged_Feasible_mat!H53),(VLOOKUP(G$1,test!$A$3:$I$32,8,FALSE))-(VLOOKUP($A84,test!$A$3:$I$32,9,FALSE))-(test!$B$34-50),0)</f>
        <v>0</v>
      </c>
      <c r="H84">
        <f>IF(AND($A84&lt;&gt;H$1,Recharged_Feasible_mat!I53),(VLOOKUP(H$1,test!$A$3:$I$32,8,FALSE))-(VLOOKUP($A84,test!$A$3:$I$32,9,FALSE))-(test!$B$34-50),0)</f>
        <v>0</v>
      </c>
      <c r="I84">
        <f>IF(AND($A84&lt;&gt;I$1,Recharged_Feasible_mat!J53),(VLOOKUP(I$1,test!$A$3:$I$32,8,FALSE))-(VLOOKUP($A84,test!$A$3:$I$32,9,FALSE))-(test!$B$34-50),0)</f>
        <v>0</v>
      </c>
      <c r="J84">
        <f>IF(AND($A84&lt;&gt;J$1,Recharged_Feasible_mat!K53),(VLOOKUP(J$1,test!$A$3:$I$32,8,FALSE))-(VLOOKUP($A84,test!$A$3:$I$32,9,FALSE))-(test!$B$34-50),0)</f>
        <v>65</v>
      </c>
      <c r="K84">
        <f>IF(AND($A84&lt;&gt;K$1,Recharged_Feasible_mat!L53),(VLOOKUP(K$1,test!$A$3:$I$32,8,FALSE))-(VLOOKUP($A84,test!$A$3:$I$32,9,FALSE))-(test!$B$34-50),0)</f>
        <v>0</v>
      </c>
      <c r="L84">
        <f>IF(AND($A84&lt;&gt;L$1,Recharged_Feasible_mat!M53),(VLOOKUP(L$1,test!$A$3:$I$32,8,FALSE))-(VLOOKUP($A84,test!$A$3:$I$32,9,FALSE))-(test!$B$34-50),0)</f>
        <v>0</v>
      </c>
      <c r="M84">
        <f>IF(AND($A84&lt;&gt;M$1,Recharged_Feasible_mat!N53),(VLOOKUP(M$1,test!$A$3:$I$32,8,FALSE))-(VLOOKUP($A84,test!$A$3:$I$32,9,FALSE))-(test!$B$34-50),0)</f>
        <v>0</v>
      </c>
      <c r="N84">
        <f>IF(AND($A84&lt;&gt;N$1,Recharged_Feasible_mat!O53),(VLOOKUP(N$1,test!$A$3:$I$32,8,FALSE))-(VLOOKUP($A84,test!$A$3:$I$32,9,FALSE))-(test!$B$34-50),0)</f>
        <v>0</v>
      </c>
      <c r="O84">
        <f>IF(AND($A84&lt;&gt;O$1,Recharged_Feasible_mat!P53),(VLOOKUP(O$1,test!$A$3:$I$32,8,FALSE))-(VLOOKUP($A84,test!$A$3:$I$32,9,FALSE))-(test!$B$34-50),0)</f>
        <v>90</v>
      </c>
      <c r="P84">
        <f>IF(AND($A84&lt;&gt;P$1,Recharged_Feasible_mat!Q53),(VLOOKUP(P$1,test!$A$3:$I$32,8,FALSE))-(VLOOKUP($A84,test!$A$3:$I$32,9,FALSE))-(test!$B$34-50),0)</f>
        <v>0</v>
      </c>
      <c r="Q84">
        <f>IF(AND($A84&lt;&gt;Q$1,Recharged_Feasible_mat!R53),(VLOOKUP(Q$1,test!$A$3:$I$32,8,FALSE))-(VLOOKUP($A84,test!$A$3:$I$32,9,FALSE))-(test!$B$34-50),0)</f>
        <v>0</v>
      </c>
      <c r="R84">
        <f>IF(AND($A84&lt;&gt;R$1,Recharged_Feasible_mat!S53),(VLOOKUP(R$1,test!$A$3:$I$32,8,FALSE))-(VLOOKUP($A84,test!$A$3:$I$32,9,FALSE))-(test!$B$34-50),0)</f>
        <v>0</v>
      </c>
      <c r="S84">
        <f>IF(AND($A84&lt;&gt;S$1,Recharged_Feasible_mat!T53),(VLOOKUP(S$1,test!$A$3:$I$32,8,FALSE))-(VLOOKUP($A84,test!$A$3:$I$32,9,FALSE))-(test!$B$34-50),0)</f>
        <v>0</v>
      </c>
      <c r="T84">
        <f>IF(AND($A84&lt;&gt;T$1,Recharged_Feasible_mat!U53),(VLOOKUP(T$1,test!$A$3:$I$32,8,FALSE))-(VLOOKUP($A84,test!$A$3:$I$32,9,FALSE))-(test!$B$34-50),0)</f>
        <v>0</v>
      </c>
      <c r="U84">
        <f>IF(AND($A84&lt;&gt;U$1,Recharged_Feasible_mat!V53),(VLOOKUP(U$1,test!$A$3:$I$32,8,FALSE))-(VLOOKUP($A84,test!$A$3:$I$32,9,FALSE))-(test!$B$34-50),0)</f>
        <v>0</v>
      </c>
      <c r="V84">
        <f>IF(AND($A84&lt;&gt;V$1,Recharged_Feasible_mat!W53),(VLOOKUP(V$1,test!$A$3:$I$32,8,FALSE))-(VLOOKUP($A84,test!$A$3:$I$32,9,FALSE))-(test!$B$34-50),0)</f>
        <v>0</v>
      </c>
      <c r="W84">
        <f>IF(AND($A84&lt;&gt;W$1,Recharged_Feasible_mat!X53),(VLOOKUP(W$1,test!$A$3:$I$32,8,FALSE))-(VLOOKUP($A84,test!$A$3:$I$32,9,FALSE))-(test!$B$34-50),0)</f>
        <v>0</v>
      </c>
      <c r="X84">
        <f>IF(AND($A84&lt;&gt;X$1,Recharged_Feasible_mat!Y53),(VLOOKUP(X$1,test!$A$3:$I$32,8,FALSE))-(VLOOKUP($A84,test!$A$3:$I$32,9,FALSE))-(test!$B$34-50),0)</f>
        <v>0</v>
      </c>
      <c r="Y84">
        <f>IF(AND($A84&lt;&gt;Y$1,Recharged_Feasible_mat!Z53),(VLOOKUP(Y$1,test!$A$3:$I$32,8,FALSE))-(VLOOKUP($A84,test!$A$3:$I$32,9,FALSE))-(test!$B$34-50),0)</f>
        <v>0</v>
      </c>
      <c r="Z84">
        <f>IF(AND($A84&lt;&gt;Z$1,Recharged_Feasible_mat!AA53),(VLOOKUP(Z$1,test!$A$3:$I$32,8,FALSE))-(VLOOKUP($A84,test!$A$3:$I$32,9,FALSE))-(test!$B$34-50),0)</f>
        <v>0</v>
      </c>
      <c r="AA84">
        <f>IF(AND($A84&lt;&gt;AA$1,Recharged_Feasible_mat!AB53),(VLOOKUP(AA$1,test!$A$3:$I$32,8,FALSE))-(VLOOKUP($A84,test!$A$3:$I$32,9,FALSE))-(test!$B$34-50),0)</f>
        <v>0</v>
      </c>
      <c r="AB84">
        <f>IF(AND($A84&lt;&gt;AB$1,Recharged_Feasible_mat!AC53),(VLOOKUP(AB$1,test!$A$3:$I$32,8,FALSE))-(VLOOKUP($A84,test!$A$3:$I$32,9,FALSE))-(test!$B$34-50),0)</f>
        <v>0</v>
      </c>
      <c r="AC84">
        <f>IF(AND($A84&lt;&gt;AC$1,Recharged_Feasible_mat!AD53),(VLOOKUP(AC$1,test!$A$3:$I$32,8,FALSE))-(VLOOKUP($A84,test!$A$3:$I$32,9,FALSE))-(test!$B$34-50),0)</f>
        <v>0</v>
      </c>
      <c r="AD84">
        <f>IF(AND($A84&lt;&gt;AD$1,Recharged_Feasible_mat!AE53),(VLOOKUP(AD$1,test!$A$3:$I$32,8,FALSE))-(VLOOKUP($A84,test!$A$3:$I$32,9,FALSE))-(test!$B$34-50),0)</f>
        <v>0</v>
      </c>
      <c r="AE84">
        <f>IF(AND($A84&lt;&gt;AE$1,Recharged_Feasible_mat!AF53),(VLOOKUP(AE$1,test!$A$3:$I$32,8,FALSE))-(VLOOKUP($A84,test!$A$3:$I$32,9,FALSE))-(test!$B$34-50),0)</f>
        <v>0</v>
      </c>
      <c r="AF84">
        <f>IF(AND($A84&lt;&gt;AF$1,Recharged_Feasible_mat!AG53),(VLOOKUP(AF$1,test!$A$3:$I$32,8,FALSE))-(VLOOKUP($A84,test!$A$3:$I$32,9,FALSE))-(test!$B$34-50),0)</f>
        <v>0</v>
      </c>
    </row>
    <row r="85" spans="1:32" x14ac:dyDescent="0.25">
      <c r="A85" t="s">
        <v>32</v>
      </c>
      <c r="B85">
        <v>0</v>
      </c>
      <c r="C85">
        <f>IF(AND($A85&lt;&gt;C$1,Recharged_Feasible_mat!D54),(VLOOKUP(C$1,test!$A$3:$I$32,8,FALSE))-(VLOOKUP($A85,test!$A$3:$I$32,9,FALSE))-(test!$B$34-50),0)</f>
        <v>0</v>
      </c>
      <c r="D85">
        <f>IF(AND($A85&lt;&gt;D$1,Recharged_Feasible_mat!E54),(VLOOKUP(D$1,test!$A$3:$I$32,8,FALSE))-(VLOOKUP($A85,test!$A$3:$I$32,9,FALSE))-(test!$B$34-50),0)</f>
        <v>0</v>
      </c>
      <c r="E85">
        <f>IF(AND($A85&lt;&gt;E$1,Recharged_Feasible_mat!F54),(VLOOKUP(E$1,test!$A$3:$I$32,8,FALSE))-(VLOOKUP($A85,test!$A$3:$I$32,9,FALSE))-(test!$B$34-50),0)</f>
        <v>0</v>
      </c>
      <c r="F85">
        <f>IF(AND($A85&lt;&gt;F$1,Recharged_Feasible_mat!G54),(VLOOKUP(F$1,test!$A$3:$I$32,8,FALSE))-(VLOOKUP($A85,test!$A$3:$I$32,9,FALSE))-(test!$B$34-50),0)</f>
        <v>0</v>
      </c>
      <c r="G85">
        <f>IF(AND($A85&lt;&gt;G$1,Recharged_Feasible_mat!H54),(VLOOKUP(G$1,test!$A$3:$I$32,8,FALSE))-(VLOOKUP($A85,test!$A$3:$I$32,9,FALSE))-(test!$B$34-50),0)</f>
        <v>0</v>
      </c>
      <c r="H85">
        <f>IF(AND($A85&lt;&gt;H$1,Recharged_Feasible_mat!I54),(VLOOKUP(H$1,test!$A$3:$I$32,8,FALSE))-(VLOOKUP($A85,test!$A$3:$I$32,9,FALSE))-(test!$B$34-50),0)</f>
        <v>0</v>
      </c>
      <c r="I85">
        <f>IF(AND($A85&lt;&gt;I$1,Recharged_Feasible_mat!J54),(VLOOKUP(I$1,test!$A$3:$I$32,8,FALSE))-(VLOOKUP($A85,test!$A$3:$I$32,9,FALSE))-(test!$B$34-50),0)</f>
        <v>0</v>
      </c>
      <c r="J85">
        <f>IF(AND($A85&lt;&gt;J$1,Recharged_Feasible_mat!K54),(VLOOKUP(J$1,test!$A$3:$I$32,8,FALSE))-(VLOOKUP($A85,test!$A$3:$I$32,9,FALSE))-(test!$B$34-50),0)</f>
        <v>0</v>
      </c>
      <c r="K85">
        <f>IF(AND($A85&lt;&gt;K$1,Recharged_Feasible_mat!L54),(VLOOKUP(K$1,test!$A$3:$I$32,8,FALSE))-(VLOOKUP($A85,test!$A$3:$I$32,9,FALSE))-(test!$B$34-50),0)</f>
        <v>0</v>
      </c>
      <c r="L85">
        <f>IF(AND($A85&lt;&gt;L$1,Recharged_Feasible_mat!M54),(VLOOKUP(L$1,test!$A$3:$I$32,8,FALSE))-(VLOOKUP($A85,test!$A$3:$I$32,9,FALSE))-(test!$B$34-50),0)</f>
        <v>0</v>
      </c>
      <c r="M85">
        <f>IF(AND($A85&lt;&gt;M$1,Recharged_Feasible_mat!N54),(VLOOKUP(M$1,test!$A$3:$I$32,8,FALSE))-(VLOOKUP($A85,test!$A$3:$I$32,9,FALSE))-(test!$B$34-50),0)</f>
        <v>0</v>
      </c>
      <c r="N85">
        <f>IF(AND($A85&lt;&gt;N$1,Recharged_Feasible_mat!O54),(VLOOKUP(N$1,test!$A$3:$I$32,8,FALSE))-(VLOOKUP($A85,test!$A$3:$I$32,9,FALSE))-(test!$B$34-50),0)</f>
        <v>0</v>
      </c>
      <c r="O85">
        <f>IF(AND($A85&lt;&gt;O$1,Recharged_Feasible_mat!P54),(VLOOKUP(O$1,test!$A$3:$I$32,8,FALSE))-(VLOOKUP($A85,test!$A$3:$I$32,9,FALSE))-(test!$B$34-50),0)</f>
        <v>0</v>
      </c>
      <c r="P85">
        <f>IF(AND($A85&lt;&gt;P$1,Recharged_Feasible_mat!Q54),(VLOOKUP(P$1,test!$A$3:$I$32,8,FALSE))-(VLOOKUP($A85,test!$A$3:$I$32,9,FALSE))-(test!$B$34-50),0)</f>
        <v>0</v>
      </c>
      <c r="Q85">
        <f>IF(AND($A85&lt;&gt;Q$1,Recharged_Feasible_mat!R54),(VLOOKUP(Q$1,test!$A$3:$I$32,8,FALSE))-(VLOOKUP($A85,test!$A$3:$I$32,9,FALSE))-(test!$B$34-50),0)</f>
        <v>0</v>
      </c>
      <c r="R85">
        <f>IF(AND($A85&lt;&gt;R$1,Recharged_Feasible_mat!S54),(VLOOKUP(R$1,test!$A$3:$I$32,8,FALSE))-(VLOOKUP($A85,test!$A$3:$I$32,9,FALSE))-(test!$B$34-50),0)</f>
        <v>0</v>
      </c>
      <c r="S85">
        <f>IF(AND($A85&lt;&gt;S$1,Recharged_Feasible_mat!T54),(VLOOKUP(S$1,test!$A$3:$I$32,8,FALSE))-(VLOOKUP($A85,test!$A$3:$I$32,9,FALSE))-(test!$B$34-50),0)</f>
        <v>0</v>
      </c>
      <c r="T85">
        <f>IF(AND($A85&lt;&gt;T$1,Recharged_Feasible_mat!U54),(VLOOKUP(T$1,test!$A$3:$I$32,8,FALSE))-(VLOOKUP($A85,test!$A$3:$I$32,9,FALSE))-(test!$B$34-50),0)</f>
        <v>0</v>
      </c>
      <c r="U85">
        <f>IF(AND($A85&lt;&gt;U$1,Recharged_Feasible_mat!V54),(VLOOKUP(U$1,test!$A$3:$I$32,8,FALSE))-(VLOOKUP($A85,test!$A$3:$I$32,9,FALSE))-(test!$B$34-50),0)</f>
        <v>0</v>
      </c>
      <c r="V85">
        <f>IF(AND($A85&lt;&gt;V$1,Recharged_Feasible_mat!W54),(VLOOKUP(V$1,test!$A$3:$I$32,8,FALSE))-(VLOOKUP($A85,test!$A$3:$I$32,9,FALSE))-(test!$B$34-50),0)</f>
        <v>0</v>
      </c>
      <c r="W85">
        <f>IF(AND($A85&lt;&gt;W$1,Recharged_Feasible_mat!X54),(VLOOKUP(W$1,test!$A$3:$I$32,8,FALSE))-(VLOOKUP($A85,test!$A$3:$I$32,9,FALSE))-(test!$B$34-50),0)</f>
        <v>0</v>
      </c>
      <c r="X85">
        <f>IF(AND($A85&lt;&gt;X$1,Recharged_Feasible_mat!Y54),(VLOOKUP(X$1,test!$A$3:$I$32,8,FALSE))-(VLOOKUP($A85,test!$A$3:$I$32,9,FALSE))-(test!$B$34-50),0)</f>
        <v>0</v>
      </c>
      <c r="Y85">
        <f>IF(AND($A85&lt;&gt;Y$1,Recharged_Feasible_mat!Z54),(VLOOKUP(Y$1,test!$A$3:$I$32,8,FALSE))-(VLOOKUP($A85,test!$A$3:$I$32,9,FALSE))-(test!$B$34-50),0)</f>
        <v>0</v>
      </c>
      <c r="Z85">
        <f>IF(AND($A85&lt;&gt;Z$1,Recharged_Feasible_mat!AA54),(VLOOKUP(Z$1,test!$A$3:$I$32,8,FALSE))-(VLOOKUP($A85,test!$A$3:$I$32,9,FALSE))-(test!$B$34-50),0)</f>
        <v>0</v>
      </c>
      <c r="AA85">
        <f>IF(AND($A85&lt;&gt;AA$1,Recharged_Feasible_mat!AB54),(VLOOKUP(AA$1,test!$A$3:$I$32,8,FALSE))-(VLOOKUP($A85,test!$A$3:$I$32,9,FALSE))-(test!$B$34-50),0)</f>
        <v>0</v>
      </c>
      <c r="AB85">
        <f>IF(AND($A85&lt;&gt;AB$1,Recharged_Feasible_mat!AC54),(VLOOKUP(AB$1,test!$A$3:$I$32,8,FALSE))-(VLOOKUP($A85,test!$A$3:$I$32,9,FALSE))-(test!$B$34-50),0)</f>
        <v>0</v>
      </c>
      <c r="AC85">
        <f>IF(AND($A85&lt;&gt;AC$1,Recharged_Feasible_mat!AD54),(VLOOKUP(AC$1,test!$A$3:$I$32,8,FALSE))-(VLOOKUP($A85,test!$A$3:$I$32,9,FALSE))-(test!$B$34-50),0)</f>
        <v>0</v>
      </c>
      <c r="AD85">
        <f>IF(AND($A85&lt;&gt;AD$1,Recharged_Feasible_mat!AE54),(VLOOKUP(AD$1,test!$A$3:$I$32,8,FALSE))-(VLOOKUP($A85,test!$A$3:$I$32,9,FALSE))-(test!$B$34-50),0)</f>
        <v>0</v>
      </c>
      <c r="AE85">
        <f>IF(AND($A85&lt;&gt;AE$1,Recharged_Feasible_mat!AF54),(VLOOKUP(AE$1,test!$A$3:$I$32,8,FALSE))-(VLOOKUP($A85,test!$A$3:$I$32,9,FALSE))-(test!$B$34-50),0)</f>
        <v>0</v>
      </c>
      <c r="AF85">
        <f>IF(AND($A85&lt;&gt;AF$1,Recharged_Feasible_mat!AG54),(VLOOKUP(AF$1,test!$A$3:$I$32,8,FALSE))-(VLOOKUP($A85,test!$A$3:$I$32,9,FALSE))-(test!$B$34-50),0)</f>
        <v>0</v>
      </c>
    </row>
    <row r="86" spans="1:32" x14ac:dyDescent="0.25">
      <c r="A86" t="s">
        <v>33</v>
      </c>
      <c r="B86">
        <v>0</v>
      </c>
      <c r="C86">
        <f>IF(AND($A86&lt;&gt;C$1,Recharged_Feasible_mat!D55),(VLOOKUP(C$1,test!$A$3:$I$32,8,FALSE))-(VLOOKUP($A86,test!$A$3:$I$32,9,FALSE))-(test!$B$34-50),0)</f>
        <v>0</v>
      </c>
      <c r="D86">
        <f>IF(AND($A86&lt;&gt;D$1,Recharged_Feasible_mat!E55),(VLOOKUP(D$1,test!$A$3:$I$32,8,FALSE))-(VLOOKUP($A86,test!$A$3:$I$32,9,FALSE))-(test!$B$34-50),0)</f>
        <v>0</v>
      </c>
      <c r="E86">
        <f>IF(AND($A86&lt;&gt;E$1,Recharged_Feasible_mat!F55),(VLOOKUP(E$1,test!$A$3:$I$32,8,FALSE))-(VLOOKUP($A86,test!$A$3:$I$32,9,FALSE))-(test!$B$34-50),0)</f>
        <v>0</v>
      </c>
      <c r="F86">
        <f>IF(AND($A86&lt;&gt;F$1,Recharged_Feasible_mat!G55),(VLOOKUP(F$1,test!$A$3:$I$32,8,FALSE))-(VLOOKUP($A86,test!$A$3:$I$32,9,FALSE))-(test!$B$34-50),0)</f>
        <v>0</v>
      </c>
      <c r="G86">
        <f>IF(AND($A86&lt;&gt;G$1,Recharged_Feasible_mat!H55),(VLOOKUP(G$1,test!$A$3:$I$32,8,FALSE))-(VLOOKUP($A86,test!$A$3:$I$32,9,FALSE))-(test!$B$34-50),0)</f>
        <v>0</v>
      </c>
      <c r="H86">
        <f>IF(AND($A86&lt;&gt;H$1,Recharged_Feasible_mat!I55),(VLOOKUP(H$1,test!$A$3:$I$32,8,FALSE))-(VLOOKUP($A86,test!$A$3:$I$32,9,FALSE))-(test!$B$34-50),0)</f>
        <v>0</v>
      </c>
      <c r="I86">
        <f>IF(AND($A86&lt;&gt;I$1,Recharged_Feasible_mat!J55),(VLOOKUP(I$1,test!$A$3:$I$32,8,FALSE))-(VLOOKUP($A86,test!$A$3:$I$32,9,FALSE))-(test!$B$34-50),0)</f>
        <v>0</v>
      </c>
      <c r="J86">
        <f>IF(AND($A86&lt;&gt;J$1,Recharged_Feasible_mat!K55),(VLOOKUP(J$1,test!$A$3:$I$32,8,FALSE))-(VLOOKUP($A86,test!$A$3:$I$32,9,FALSE))-(test!$B$34-50),0)</f>
        <v>0</v>
      </c>
      <c r="K86">
        <f>IF(AND($A86&lt;&gt;K$1,Recharged_Feasible_mat!L55),(VLOOKUP(K$1,test!$A$3:$I$32,8,FALSE))-(VLOOKUP($A86,test!$A$3:$I$32,9,FALSE))-(test!$B$34-50),0)</f>
        <v>0</v>
      </c>
      <c r="L86">
        <f>IF(AND($A86&lt;&gt;L$1,Recharged_Feasible_mat!M55),(VLOOKUP(L$1,test!$A$3:$I$32,8,FALSE))-(VLOOKUP($A86,test!$A$3:$I$32,9,FALSE))-(test!$B$34-50),0)</f>
        <v>0</v>
      </c>
      <c r="M86">
        <f>IF(AND($A86&lt;&gt;M$1,Recharged_Feasible_mat!N55),(VLOOKUP(M$1,test!$A$3:$I$32,8,FALSE))-(VLOOKUP($A86,test!$A$3:$I$32,9,FALSE))-(test!$B$34-50),0)</f>
        <v>0</v>
      </c>
      <c r="N86">
        <f>IF(AND($A86&lt;&gt;N$1,Recharged_Feasible_mat!O55),(VLOOKUP(N$1,test!$A$3:$I$32,8,FALSE))-(VLOOKUP($A86,test!$A$3:$I$32,9,FALSE))-(test!$B$34-50),0)</f>
        <v>0</v>
      </c>
      <c r="O86">
        <f>IF(AND($A86&lt;&gt;O$1,Recharged_Feasible_mat!P55),(VLOOKUP(O$1,test!$A$3:$I$32,8,FALSE))-(VLOOKUP($A86,test!$A$3:$I$32,9,FALSE))-(test!$B$34-50),0)</f>
        <v>0</v>
      </c>
      <c r="P86">
        <f>IF(AND($A86&lt;&gt;P$1,Recharged_Feasible_mat!Q55),(VLOOKUP(P$1,test!$A$3:$I$32,8,FALSE))-(VLOOKUP($A86,test!$A$3:$I$32,9,FALSE))-(test!$B$34-50),0)</f>
        <v>0</v>
      </c>
      <c r="Q86">
        <f>IF(AND($A86&lt;&gt;Q$1,Recharged_Feasible_mat!R55),(VLOOKUP(Q$1,test!$A$3:$I$32,8,FALSE))-(VLOOKUP($A86,test!$A$3:$I$32,9,FALSE))-(test!$B$34-50),0)</f>
        <v>0</v>
      </c>
      <c r="R86">
        <f>IF(AND($A86&lt;&gt;R$1,Recharged_Feasible_mat!S55),(VLOOKUP(R$1,test!$A$3:$I$32,8,FALSE))-(VLOOKUP($A86,test!$A$3:$I$32,9,FALSE))-(test!$B$34-50),0)</f>
        <v>0</v>
      </c>
      <c r="S86">
        <f>IF(AND($A86&lt;&gt;S$1,Recharged_Feasible_mat!T55),(VLOOKUP(S$1,test!$A$3:$I$32,8,FALSE))-(VLOOKUP($A86,test!$A$3:$I$32,9,FALSE))-(test!$B$34-50),0)</f>
        <v>0</v>
      </c>
      <c r="T86">
        <f>IF(AND($A86&lt;&gt;T$1,Recharged_Feasible_mat!U55),(VLOOKUP(T$1,test!$A$3:$I$32,8,FALSE))-(VLOOKUP($A86,test!$A$3:$I$32,9,FALSE))-(test!$B$34-50),0)</f>
        <v>0</v>
      </c>
      <c r="U86">
        <f>IF(AND($A86&lt;&gt;U$1,Recharged_Feasible_mat!V55),(VLOOKUP(U$1,test!$A$3:$I$32,8,FALSE))-(VLOOKUP($A86,test!$A$3:$I$32,9,FALSE))-(test!$B$34-50),0)</f>
        <v>0</v>
      </c>
      <c r="V86">
        <f>IF(AND($A86&lt;&gt;V$1,Recharged_Feasible_mat!W55),(VLOOKUP(V$1,test!$A$3:$I$32,8,FALSE))-(VLOOKUP($A86,test!$A$3:$I$32,9,FALSE))-(test!$B$34-50),0)</f>
        <v>0</v>
      </c>
      <c r="W86">
        <f>IF(AND($A86&lt;&gt;W$1,Recharged_Feasible_mat!X55),(VLOOKUP(W$1,test!$A$3:$I$32,8,FALSE))-(VLOOKUP($A86,test!$A$3:$I$32,9,FALSE))-(test!$B$34-50),0)</f>
        <v>0</v>
      </c>
      <c r="X86">
        <f>IF(AND($A86&lt;&gt;X$1,Recharged_Feasible_mat!Y55),(VLOOKUP(X$1,test!$A$3:$I$32,8,FALSE))-(VLOOKUP($A86,test!$A$3:$I$32,9,FALSE))-(test!$B$34-50),0)</f>
        <v>0</v>
      </c>
      <c r="Y86">
        <f>IF(AND($A86&lt;&gt;Y$1,Recharged_Feasible_mat!Z55),(VLOOKUP(Y$1,test!$A$3:$I$32,8,FALSE))-(VLOOKUP($A86,test!$A$3:$I$32,9,FALSE))-(test!$B$34-50),0)</f>
        <v>0</v>
      </c>
      <c r="Z86">
        <f>IF(AND($A86&lt;&gt;Z$1,Recharged_Feasible_mat!AA55),(VLOOKUP(Z$1,test!$A$3:$I$32,8,FALSE))-(VLOOKUP($A86,test!$A$3:$I$32,9,FALSE))-(test!$B$34-50),0)</f>
        <v>0</v>
      </c>
      <c r="AA86">
        <f>IF(AND($A86&lt;&gt;AA$1,Recharged_Feasible_mat!AB55),(VLOOKUP(AA$1,test!$A$3:$I$32,8,FALSE))-(VLOOKUP($A86,test!$A$3:$I$32,9,FALSE))-(test!$B$34-50),0)</f>
        <v>0</v>
      </c>
      <c r="AB86">
        <f>IF(AND($A86&lt;&gt;AB$1,Recharged_Feasible_mat!AC55),(VLOOKUP(AB$1,test!$A$3:$I$32,8,FALSE))-(VLOOKUP($A86,test!$A$3:$I$32,9,FALSE))-(test!$B$34-50),0)</f>
        <v>0</v>
      </c>
      <c r="AC86">
        <f>IF(AND($A86&lt;&gt;AC$1,Recharged_Feasible_mat!AD55),(VLOOKUP(AC$1,test!$A$3:$I$32,8,FALSE))-(VLOOKUP($A86,test!$A$3:$I$32,9,FALSE))-(test!$B$34-50),0)</f>
        <v>0</v>
      </c>
      <c r="AD86">
        <f>IF(AND($A86&lt;&gt;AD$1,Recharged_Feasible_mat!AE55),(VLOOKUP(AD$1,test!$A$3:$I$32,8,FALSE))-(VLOOKUP($A86,test!$A$3:$I$32,9,FALSE))-(test!$B$34-50),0)</f>
        <v>0</v>
      </c>
      <c r="AE86">
        <f>IF(AND($A86&lt;&gt;AE$1,Recharged_Feasible_mat!AF55),(VLOOKUP(AE$1,test!$A$3:$I$32,8,FALSE))-(VLOOKUP($A86,test!$A$3:$I$32,9,FALSE))-(test!$B$34-50),0)</f>
        <v>0</v>
      </c>
      <c r="AF86">
        <f>IF(AND($A86&lt;&gt;AF$1,Recharged_Feasible_mat!AG55),(VLOOKUP(AF$1,test!$A$3:$I$32,8,FALSE))-(VLOOKUP($A86,test!$A$3:$I$32,9,FALSE))-(test!$B$34-50),0)</f>
        <v>0</v>
      </c>
    </row>
    <row r="87" spans="1:32" x14ac:dyDescent="0.25">
      <c r="A87" t="s">
        <v>34</v>
      </c>
      <c r="B87">
        <v>0</v>
      </c>
      <c r="C87">
        <f>IF(AND($A87&lt;&gt;C$1,Recharged_Feasible_mat!D56),(VLOOKUP(C$1,test!$A$3:$I$32,8,FALSE))-(VLOOKUP($A87,test!$A$3:$I$32,9,FALSE))-(test!$B$34-50),0)</f>
        <v>0</v>
      </c>
      <c r="D87">
        <f>IF(AND($A87&lt;&gt;D$1,Recharged_Feasible_mat!E56),(VLOOKUP(D$1,test!$A$3:$I$32,8,FALSE))-(VLOOKUP($A87,test!$A$3:$I$32,9,FALSE))-(test!$B$34-50),0)</f>
        <v>0</v>
      </c>
      <c r="E87">
        <f>IF(AND($A87&lt;&gt;E$1,Recharged_Feasible_mat!F56),(VLOOKUP(E$1,test!$A$3:$I$32,8,FALSE))-(VLOOKUP($A87,test!$A$3:$I$32,9,FALSE))-(test!$B$34-50),0)</f>
        <v>120</v>
      </c>
      <c r="F87">
        <f>IF(AND($A87&lt;&gt;F$1,Recharged_Feasible_mat!G56),(VLOOKUP(F$1,test!$A$3:$I$32,8,FALSE))-(VLOOKUP($A87,test!$A$3:$I$32,9,FALSE))-(test!$B$34-50),0)</f>
        <v>210</v>
      </c>
      <c r="G87">
        <f>IF(AND($A87&lt;&gt;G$1,Recharged_Feasible_mat!H56),(VLOOKUP(G$1,test!$A$3:$I$32,8,FALSE))-(VLOOKUP($A87,test!$A$3:$I$32,9,FALSE))-(test!$B$34-50),0)</f>
        <v>270</v>
      </c>
      <c r="H87">
        <f>IF(AND($A87&lt;&gt;H$1,Recharged_Feasible_mat!I56),(VLOOKUP(H$1,test!$A$3:$I$32,8,FALSE))-(VLOOKUP($A87,test!$A$3:$I$32,9,FALSE))-(test!$B$34-50),0)</f>
        <v>330</v>
      </c>
      <c r="I87">
        <f>IF(AND($A87&lt;&gt;I$1,Recharged_Feasible_mat!J56),(VLOOKUP(I$1,test!$A$3:$I$32,8,FALSE))-(VLOOKUP($A87,test!$A$3:$I$32,9,FALSE))-(test!$B$34-50),0)</f>
        <v>390</v>
      </c>
      <c r="J87">
        <f>IF(AND($A87&lt;&gt;J$1,Recharged_Feasible_mat!K56),(VLOOKUP(J$1,test!$A$3:$I$32,8,FALSE))-(VLOOKUP($A87,test!$A$3:$I$32,9,FALSE))-(test!$B$34-50),0)</f>
        <v>480</v>
      </c>
      <c r="K87">
        <f>IF(AND($A87&lt;&gt;K$1,Recharged_Feasible_mat!L56),(VLOOKUP(K$1,test!$A$3:$I$32,8,FALSE))-(VLOOKUP($A87,test!$A$3:$I$32,9,FALSE))-(test!$B$34-50),0)</f>
        <v>0</v>
      </c>
      <c r="L87">
        <f>IF(AND($A87&lt;&gt;L$1,Recharged_Feasible_mat!M56),(VLOOKUP(L$1,test!$A$3:$I$32,8,FALSE))-(VLOOKUP($A87,test!$A$3:$I$32,9,FALSE))-(test!$B$34-50),0)</f>
        <v>0</v>
      </c>
      <c r="M87">
        <f>IF(AND($A87&lt;&gt;M$1,Recharged_Feasible_mat!N56),(VLOOKUP(M$1,test!$A$3:$I$32,8,FALSE))-(VLOOKUP($A87,test!$A$3:$I$32,9,FALSE))-(test!$B$34-50),0)</f>
        <v>85</v>
      </c>
      <c r="N87">
        <f>IF(AND($A87&lt;&gt;N$1,Recharged_Feasible_mat!O56),(VLOOKUP(N$1,test!$A$3:$I$32,8,FALSE))-(VLOOKUP($A87,test!$A$3:$I$32,9,FALSE))-(test!$B$34-50),0)</f>
        <v>445</v>
      </c>
      <c r="O87">
        <f>IF(AND($A87&lt;&gt;O$1,Recharged_Feasible_mat!P56),(VLOOKUP(O$1,test!$A$3:$I$32,8,FALSE))-(VLOOKUP($A87,test!$A$3:$I$32,9,FALSE))-(test!$B$34-50),0)</f>
        <v>505</v>
      </c>
      <c r="P87">
        <f>IF(AND($A87&lt;&gt;P$1,Recharged_Feasible_mat!Q56),(VLOOKUP(P$1,test!$A$3:$I$32,8,FALSE))-(VLOOKUP($A87,test!$A$3:$I$32,9,FALSE))-(test!$B$34-50),0)</f>
        <v>0</v>
      </c>
      <c r="Q87">
        <f>IF(AND($A87&lt;&gt;Q$1,Recharged_Feasible_mat!R56),(VLOOKUP(Q$1,test!$A$3:$I$32,8,FALSE))-(VLOOKUP($A87,test!$A$3:$I$32,9,FALSE))-(test!$B$34-50),0)</f>
        <v>0</v>
      </c>
      <c r="R87">
        <f>IF(AND($A87&lt;&gt;R$1,Recharged_Feasible_mat!S56),(VLOOKUP(R$1,test!$A$3:$I$32,8,FALSE))-(VLOOKUP($A87,test!$A$3:$I$32,9,FALSE))-(test!$B$34-50),0)</f>
        <v>0</v>
      </c>
      <c r="S87">
        <f>IF(AND($A87&lt;&gt;S$1,Recharged_Feasible_mat!T56),(VLOOKUP(S$1,test!$A$3:$I$32,8,FALSE))-(VLOOKUP($A87,test!$A$3:$I$32,9,FALSE))-(test!$B$34-50),0)</f>
        <v>0</v>
      </c>
      <c r="T87">
        <f>IF(AND($A87&lt;&gt;T$1,Recharged_Feasible_mat!U56),(VLOOKUP(T$1,test!$A$3:$I$32,8,FALSE))-(VLOOKUP($A87,test!$A$3:$I$32,9,FALSE))-(test!$B$34-50),0)</f>
        <v>100</v>
      </c>
      <c r="U87">
        <f>IF(AND($A87&lt;&gt;U$1,Recharged_Feasible_mat!V56),(VLOOKUP(U$1,test!$A$3:$I$32,8,FALSE))-(VLOOKUP($A87,test!$A$3:$I$32,9,FALSE))-(test!$B$34-50),0)</f>
        <v>190</v>
      </c>
      <c r="V87">
        <f>IF(AND($A87&lt;&gt;V$1,Recharged_Feasible_mat!W56),(VLOOKUP(V$1,test!$A$3:$I$32,8,FALSE))-(VLOOKUP($A87,test!$A$3:$I$32,9,FALSE))-(test!$B$34-50),0)</f>
        <v>280</v>
      </c>
      <c r="W87">
        <f>IF(AND($A87&lt;&gt;W$1,Recharged_Feasible_mat!X56),(VLOOKUP(W$1,test!$A$3:$I$32,8,FALSE))-(VLOOKUP($A87,test!$A$3:$I$32,9,FALSE))-(test!$B$34-50),0)</f>
        <v>370</v>
      </c>
      <c r="X87">
        <f>IF(AND($A87&lt;&gt;X$1,Recharged_Feasible_mat!Y56),(VLOOKUP(X$1,test!$A$3:$I$32,8,FALSE))-(VLOOKUP($A87,test!$A$3:$I$32,9,FALSE))-(test!$B$34-50),0)</f>
        <v>430</v>
      </c>
      <c r="Y87">
        <f>IF(AND($A87&lt;&gt;Y$1,Recharged_Feasible_mat!Z56),(VLOOKUP(Y$1,test!$A$3:$I$32,8,FALSE))-(VLOOKUP($A87,test!$A$3:$I$32,9,FALSE))-(test!$B$34-50),0)</f>
        <v>0</v>
      </c>
      <c r="Z87">
        <f>IF(AND($A87&lt;&gt;Z$1,Recharged_Feasible_mat!AA56),(VLOOKUP(Z$1,test!$A$3:$I$32,8,FALSE))-(VLOOKUP($A87,test!$A$3:$I$32,9,FALSE))-(test!$B$34-50),0)</f>
        <v>0</v>
      </c>
      <c r="AA87">
        <f>IF(AND($A87&lt;&gt;AA$1,Recharged_Feasible_mat!AB56),(VLOOKUP(AA$1,test!$A$3:$I$32,8,FALSE))-(VLOOKUP($A87,test!$A$3:$I$32,9,FALSE))-(test!$B$34-50),0)</f>
        <v>150</v>
      </c>
      <c r="AB87">
        <f>IF(AND($A87&lt;&gt;AB$1,Recharged_Feasible_mat!AC56),(VLOOKUP(AB$1,test!$A$3:$I$32,8,FALSE))-(VLOOKUP($A87,test!$A$3:$I$32,9,FALSE))-(test!$B$34-50),0)</f>
        <v>210</v>
      </c>
      <c r="AC87">
        <f>IF(AND($A87&lt;&gt;AC$1,Recharged_Feasible_mat!AD56),(VLOOKUP(AC$1,test!$A$3:$I$32,8,FALSE))-(VLOOKUP($A87,test!$A$3:$I$32,9,FALSE))-(test!$B$34-50),0)</f>
        <v>330</v>
      </c>
      <c r="AD87">
        <f>IF(AND($A87&lt;&gt;AD$1,Recharged_Feasible_mat!AE56),(VLOOKUP(AD$1,test!$A$3:$I$32,8,FALSE))-(VLOOKUP($A87,test!$A$3:$I$32,9,FALSE))-(test!$B$34-50),0)</f>
        <v>0</v>
      </c>
      <c r="AE87">
        <f>IF(AND($A87&lt;&gt;AE$1,Recharged_Feasible_mat!AF56),(VLOOKUP(AE$1,test!$A$3:$I$32,8,FALSE))-(VLOOKUP($A87,test!$A$3:$I$32,9,FALSE))-(test!$B$34-50),0)</f>
        <v>150</v>
      </c>
      <c r="AF87">
        <f>IF(AND($A87&lt;&gt;AF$1,Recharged_Feasible_mat!AG56),(VLOOKUP(AF$1,test!$A$3:$I$32,8,FALSE))-(VLOOKUP($A87,test!$A$3:$I$32,9,FALSE))-(test!$B$34-50),0)</f>
        <v>100</v>
      </c>
    </row>
    <row r="88" spans="1:32" x14ac:dyDescent="0.25">
      <c r="A88" t="s">
        <v>35</v>
      </c>
      <c r="B88">
        <v>0</v>
      </c>
      <c r="C88">
        <f>IF(AND($A88&lt;&gt;C$1,Recharged_Feasible_mat!D57),(VLOOKUP(C$1,test!$A$3:$I$32,8,FALSE))-(VLOOKUP($A88,test!$A$3:$I$32,9,FALSE))-(test!$B$34-50),0)</f>
        <v>0</v>
      </c>
      <c r="D88">
        <f>IF(AND($A88&lt;&gt;D$1,Recharged_Feasible_mat!E57),(VLOOKUP(D$1,test!$A$3:$I$32,8,FALSE))-(VLOOKUP($A88,test!$A$3:$I$32,9,FALSE))-(test!$B$34-50),0)</f>
        <v>0</v>
      </c>
      <c r="E88">
        <f>IF(AND($A88&lt;&gt;E$1,Recharged_Feasible_mat!F57),(VLOOKUP(E$1,test!$A$3:$I$32,8,FALSE))-(VLOOKUP($A88,test!$A$3:$I$32,9,FALSE))-(test!$B$34-50),0)</f>
        <v>0</v>
      </c>
      <c r="F88">
        <f>IF(AND($A88&lt;&gt;F$1,Recharged_Feasible_mat!G57),(VLOOKUP(F$1,test!$A$3:$I$32,8,FALSE))-(VLOOKUP($A88,test!$A$3:$I$32,9,FALSE))-(test!$B$34-50),0)</f>
        <v>0</v>
      </c>
      <c r="G88">
        <f>IF(AND($A88&lt;&gt;G$1,Recharged_Feasible_mat!H57),(VLOOKUP(G$1,test!$A$3:$I$32,8,FALSE))-(VLOOKUP($A88,test!$A$3:$I$32,9,FALSE))-(test!$B$34-50),0)</f>
        <v>100</v>
      </c>
      <c r="H88">
        <f>IF(AND($A88&lt;&gt;H$1,Recharged_Feasible_mat!I57),(VLOOKUP(H$1,test!$A$3:$I$32,8,FALSE))-(VLOOKUP($A88,test!$A$3:$I$32,9,FALSE))-(test!$B$34-50),0)</f>
        <v>160</v>
      </c>
      <c r="I88">
        <f>IF(AND($A88&lt;&gt;I$1,Recharged_Feasible_mat!J57),(VLOOKUP(I$1,test!$A$3:$I$32,8,FALSE))-(VLOOKUP($A88,test!$A$3:$I$32,9,FALSE))-(test!$B$34-50),0)</f>
        <v>220</v>
      </c>
      <c r="J88">
        <f>IF(AND($A88&lt;&gt;J$1,Recharged_Feasible_mat!K57),(VLOOKUP(J$1,test!$A$3:$I$32,8,FALSE))-(VLOOKUP($A88,test!$A$3:$I$32,9,FALSE))-(test!$B$34-50),0)</f>
        <v>310</v>
      </c>
      <c r="K88">
        <f>IF(AND($A88&lt;&gt;K$1,Recharged_Feasible_mat!L57),(VLOOKUP(K$1,test!$A$3:$I$32,8,FALSE))-(VLOOKUP($A88,test!$A$3:$I$32,9,FALSE))-(test!$B$34-50),0)</f>
        <v>0</v>
      </c>
      <c r="L88">
        <f>IF(AND($A88&lt;&gt;L$1,Recharged_Feasible_mat!M57),(VLOOKUP(L$1,test!$A$3:$I$32,8,FALSE))-(VLOOKUP($A88,test!$A$3:$I$32,9,FALSE))-(test!$B$34-50),0)</f>
        <v>0</v>
      </c>
      <c r="M88">
        <f>IF(AND($A88&lt;&gt;M$1,Recharged_Feasible_mat!N57),(VLOOKUP(M$1,test!$A$3:$I$32,8,FALSE))-(VLOOKUP($A88,test!$A$3:$I$32,9,FALSE))-(test!$B$34-50),0)</f>
        <v>0</v>
      </c>
      <c r="N88">
        <f>IF(AND($A88&lt;&gt;N$1,Recharged_Feasible_mat!O57),(VLOOKUP(N$1,test!$A$3:$I$32,8,FALSE))-(VLOOKUP($A88,test!$A$3:$I$32,9,FALSE))-(test!$B$34-50),0)</f>
        <v>275</v>
      </c>
      <c r="O88">
        <f>IF(AND($A88&lt;&gt;O$1,Recharged_Feasible_mat!P57),(VLOOKUP(O$1,test!$A$3:$I$32,8,FALSE))-(VLOOKUP($A88,test!$A$3:$I$32,9,FALSE))-(test!$B$34-50),0)</f>
        <v>335</v>
      </c>
      <c r="P88">
        <f>IF(AND($A88&lt;&gt;P$1,Recharged_Feasible_mat!Q57),(VLOOKUP(P$1,test!$A$3:$I$32,8,FALSE))-(VLOOKUP($A88,test!$A$3:$I$32,9,FALSE))-(test!$B$34-50),0)</f>
        <v>0</v>
      </c>
      <c r="Q88">
        <f>IF(AND($A88&lt;&gt;Q$1,Recharged_Feasible_mat!R57),(VLOOKUP(Q$1,test!$A$3:$I$32,8,FALSE))-(VLOOKUP($A88,test!$A$3:$I$32,9,FALSE))-(test!$B$34-50),0)</f>
        <v>0</v>
      </c>
      <c r="R88">
        <f>IF(AND($A88&lt;&gt;R$1,Recharged_Feasible_mat!S57),(VLOOKUP(R$1,test!$A$3:$I$32,8,FALSE))-(VLOOKUP($A88,test!$A$3:$I$32,9,FALSE))-(test!$B$34-50),0)</f>
        <v>0</v>
      </c>
      <c r="S88">
        <f>IF(AND($A88&lt;&gt;S$1,Recharged_Feasible_mat!T57),(VLOOKUP(S$1,test!$A$3:$I$32,8,FALSE))-(VLOOKUP($A88,test!$A$3:$I$32,9,FALSE))-(test!$B$34-50),0)</f>
        <v>0</v>
      </c>
      <c r="T88">
        <f>IF(AND($A88&lt;&gt;T$1,Recharged_Feasible_mat!U57),(VLOOKUP(T$1,test!$A$3:$I$32,8,FALSE))-(VLOOKUP($A88,test!$A$3:$I$32,9,FALSE))-(test!$B$34-50),0)</f>
        <v>0</v>
      </c>
      <c r="U88">
        <f>IF(AND($A88&lt;&gt;U$1,Recharged_Feasible_mat!V57),(VLOOKUP(U$1,test!$A$3:$I$32,8,FALSE))-(VLOOKUP($A88,test!$A$3:$I$32,9,FALSE))-(test!$B$34-50),0)</f>
        <v>0</v>
      </c>
      <c r="V88">
        <f>IF(AND($A88&lt;&gt;V$1,Recharged_Feasible_mat!W57),(VLOOKUP(V$1,test!$A$3:$I$32,8,FALSE))-(VLOOKUP($A88,test!$A$3:$I$32,9,FALSE))-(test!$B$34-50),0)</f>
        <v>110</v>
      </c>
      <c r="W88">
        <f>IF(AND($A88&lt;&gt;W$1,Recharged_Feasible_mat!X57),(VLOOKUP(W$1,test!$A$3:$I$32,8,FALSE))-(VLOOKUP($A88,test!$A$3:$I$32,9,FALSE))-(test!$B$34-50),0)</f>
        <v>200</v>
      </c>
      <c r="X88">
        <f>IF(AND($A88&lt;&gt;X$1,Recharged_Feasible_mat!Y57),(VLOOKUP(X$1,test!$A$3:$I$32,8,FALSE))-(VLOOKUP($A88,test!$A$3:$I$32,9,FALSE))-(test!$B$34-50),0)</f>
        <v>260</v>
      </c>
      <c r="Y88">
        <f>IF(AND($A88&lt;&gt;Y$1,Recharged_Feasible_mat!Z57),(VLOOKUP(Y$1,test!$A$3:$I$32,8,FALSE))-(VLOOKUP($A88,test!$A$3:$I$32,9,FALSE))-(test!$B$34-50),0)</f>
        <v>0</v>
      </c>
      <c r="Z88">
        <f>IF(AND($A88&lt;&gt;Z$1,Recharged_Feasible_mat!AA57),(VLOOKUP(Z$1,test!$A$3:$I$32,8,FALSE))-(VLOOKUP($A88,test!$A$3:$I$32,9,FALSE))-(test!$B$34-50),0)</f>
        <v>0</v>
      </c>
      <c r="AA88">
        <f>IF(AND($A88&lt;&gt;AA$1,Recharged_Feasible_mat!AB57),(VLOOKUP(AA$1,test!$A$3:$I$32,8,FALSE))-(VLOOKUP($A88,test!$A$3:$I$32,9,FALSE))-(test!$B$34-50),0)</f>
        <v>0</v>
      </c>
      <c r="AB88">
        <f>IF(AND($A88&lt;&gt;AB$1,Recharged_Feasible_mat!AC57),(VLOOKUP(AB$1,test!$A$3:$I$32,8,FALSE))-(VLOOKUP($A88,test!$A$3:$I$32,9,FALSE))-(test!$B$34-50),0)</f>
        <v>0</v>
      </c>
      <c r="AC88">
        <f>IF(AND($A88&lt;&gt;AC$1,Recharged_Feasible_mat!AD57),(VLOOKUP(AC$1,test!$A$3:$I$32,8,FALSE))-(VLOOKUP($A88,test!$A$3:$I$32,9,FALSE))-(test!$B$34-50),0)</f>
        <v>160</v>
      </c>
      <c r="AD88">
        <f>IF(AND($A88&lt;&gt;AD$1,Recharged_Feasible_mat!AE57),(VLOOKUP(AD$1,test!$A$3:$I$32,8,FALSE))-(VLOOKUP($A88,test!$A$3:$I$32,9,FALSE))-(test!$B$34-50),0)</f>
        <v>0</v>
      </c>
      <c r="AE88">
        <f>IF(AND($A88&lt;&gt;AE$1,Recharged_Feasible_mat!AF57),(VLOOKUP(AE$1,test!$A$3:$I$32,8,FALSE))-(VLOOKUP($A88,test!$A$3:$I$32,9,FALSE))-(test!$B$34-50),0)</f>
        <v>0</v>
      </c>
      <c r="AF88">
        <f>IF(AND($A88&lt;&gt;AF$1,Recharged_Feasible_mat!AG57),(VLOOKUP(AF$1,test!$A$3:$I$32,8,FALSE))-(VLOOKUP($A88,test!$A$3:$I$32,9,FALSE))-(test!$B$34-50),0)</f>
        <v>0</v>
      </c>
    </row>
    <row r="89" spans="1:32" x14ac:dyDescent="0.25">
      <c r="A89" t="s">
        <v>36</v>
      </c>
      <c r="B89">
        <v>0</v>
      </c>
      <c r="C89">
        <f>IF(AND($A89&lt;&gt;C$1,Recharged_Feasible_mat!D58),(VLOOKUP(C$1,test!$A$3:$I$32,8,FALSE))-(VLOOKUP($A89,test!$A$3:$I$32,9,FALSE))-(test!$B$34-50),0)</f>
        <v>0</v>
      </c>
      <c r="D89">
        <f>IF(AND($A89&lt;&gt;D$1,Recharged_Feasible_mat!E58),(VLOOKUP(D$1,test!$A$3:$I$32,8,FALSE))-(VLOOKUP($A89,test!$A$3:$I$32,9,FALSE))-(test!$B$34-50),0)</f>
        <v>0</v>
      </c>
      <c r="E89">
        <f>IF(AND($A89&lt;&gt;E$1,Recharged_Feasible_mat!F58),(VLOOKUP(E$1,test!$A$3:$I$32,8,FALSE))-(VLOOKUP($A89,test!$A$3:$I$32,9,FALSE))-(test!$B$34-50),0)</f>
        <v>0</v>
      </c>
      <c r="F89">
        <f>IF(AND($A89&lt;&gt;F$1,Recharged_Feasible_mat!G58),(VLOOKUP(F$1,test!$A$3:$I$32,8,FALSE))-(VLOOKUP($A89,test!$A$3:$I$32,9,FALSE))-(test!$B$34-50),0)</f>
        <v>0</v>
      </c>
      <c r="G89">
        <f>IF(AND($A89&lt;&gt;G$1,Recharged_Feasible_mat!H58),(VLOOKUP(G$1,test!$A$3:$I$32,8,FALSE))-(VLOOKUP($A89,test!$A$3:$I$32,9,FALSE))-(test!$B$34-50),0)</f>
        <v>0</v>
      </c>
      <c r="H89">
        <f>IF(AND($A89&lt;&gt;H$1,Recharged_Feasible_mat!I58),(VLOOKUP(H$1,test!$A$3:$I$32,8,FALSE))-(VLOOKUP($A89,test!$A$3:$I$32,9,FALSE))-(test!$B$34-50),0)</f>
        <v>0</v>
      </c>
      <c r="I89">
        <f>IF(AND($A89&lt;&gt;I$1,Recharged_Feasible_mat!J58),(VLOOKUP(I$1,test!$A$3:$I$32,8,FALSE))-(VLOOKUP($A89,test!$A$3:$I$32,9,FALSE))-(test!$B$34-50),0)</f>
        <v>100</v>
      </c>
      <c r="J89">
        <f>IF(AND($A89&lt;&gt;J$1,Recharged_Feasible_mat!K58),(VLOOKUP(J$1,test!$A$3:$I$32,8,FALSE))-(VLOOKUP($A89,test!$A$3:$I$32,9,FALSE))-(test!$B$34-50),0)</f>
        <v>190</v>
      </c>
      <c r="K89">
        <f>IF(AND($A89&lt;&gt;K$1,Recharged_Feasible_mat!L58),(VLOOKUP(K$1,test!$A$3:$I$32,8,FALSE))-(VLOOKUP($A89,test!$A$3:$I$32,9,FALSE))-(test!$B$34-50),0)</f>
        <v>0</v>
      </c>
      <c r="L89">
        <f>IF(AND($A89&lt;&gt;L$1,Recharged_Feasible_mat!M58),(VLOOKUP(L$1,test!$A$3:$I$32,8,FALSE))-(VLOOKUP($A89,test!$A$3:$I$32,9,FALSE))-(test!$B$34-50),0)</f>
        <v>0</v>
      </c>
      <c r="M89">
        <f>IF(AND($A89&lt;&gt;M$1,Recharged_Feasible_mat!N58),(VLOOKUP(M$1,test!$A$3:$I$32,8,FALSE))-(VLOOKUP($A89,test!$A$3:$I$32,9,FALSE))-(test!$B$34-50),0)</f>
        <v>0</v>
      </c>
      <c r="N89">
        <f>IF(AND($A89&lt;&gt;N$1,Recharged_Feasible_mat!O58),(VLOOKUP(N$1,test!$A$3:$I$32,8,FALSE))-(VLOOKUP($A89,test!$A$3:$I$32,9,FALSE))-(test!$B$34-50),0)</f>
        <v>155</v>
      </c>
      <c r="O89">
        <f>IF(AND($A89&lt;&gt;O$1,Recharged_Feasible_mat!P58),(VLOOKUP(O$1,test!$A$3:$I$32,8,FALSE))-(VLOOKUP($A89,test!$A$3:$I$32,9,FALSE))-(test!$B$34-50),0)</f>
        <v>215</v>
      </c>
      <c r="P89">
        <f>IF(AND($A89&lt;&gt;P$1,Recharged_Feasible_mat!Q58),(VLOOKUP(P$1,test!$A$3:$I$32,8,FALSE))-(VLOOKUP($A89,test!$A$3:$I$32,9,FALSE))-(test!$B$34-50),0)</f>
        <v>0</v>
      </c>
      <c r="Q89">
        <f>IF(AND($A89&lt;&gt;Q$1,Recharged_Feasible_mat!R58),(VLOOKUP(Q$1,test!$A$3:$I$32,8,FALSE))-(VLOOKUP($A89,test!$A$3:$I$32,9,FALSE))-(test!$B$34-50),0)</f>
        <v>0</v>
      </c>
      <c r="R89">
        <f>IF(AND($A89&lt;&gt;R$1,Recharged_Feasible_mat!S58),(VLOOKUP(R$1,test!$A$3:$I$32,8,FALSE))-(VLOOKUP($A89,test!$A$3:$I$32,9,FALSE))-(test!$B$34-50),0)</f>
        <v>0</v>
      </c>
      <c r="S89">
        <f>IF(AND($A89&lt;&gt;S$1,Recharged_Feasible_mat!T58),(VLOOKUP(S$1,test!$A$3:$I$32,8,FALSE))-(VLOOKUP($A89,test!$A$3:$I$32,9,FALSE))-(test!$B$34-50),0)</f>
        <v>0</v>
      </c>
      <c r="T89">
        <f>IF(AND($A89&lt;&gt;T$1,Recharged_Feasible_mat!U58),(VLOOKUP(T$1,test!$A$3:$I$32,8,FALSE))-(VLOOKUP($A89,test!$A$3:$I$32,9,FALSE))-(test!$B$34-50),0)</f>
        <v>0</v>
      </c>
      <c r="U89">
        <f>IF(AND($A89&lt;&gt;U$1,Recharged_Feasible_mat!V58),(VLOOKUP(U$1,test!$A$3:$I$32,8,FALSE))-(VLOOKUP($A89,test!$A$3:$I$32,9,FALSE))-(test!$B$34-50),0)</f>
        <v>0</v>
      </c>
      <c r="V89">
        <f>IF(AND($A89&lt;&gt;V$1,Recharged_Feasible_mat!W58),(VLOOKUP(V$1,test!$A$3:$I$32,8,FALSE))-(VLOOKUP($A89,test!$A$3:$I$32,9,FALSE))-(test!$B$34-50),0)</f>
        <v>0</v>
      </c>
      <c r="W89">
        <f>IF(AND($A89&lt;&gt;W$1,Recharged_Feasible_mat!X58),(VLOOKUP(W$1,test!$A$3:$I$32,8,FALSE))-(VLOOKUP($A89,test!$A$3:$I$32,9,FALSE))-(test!$B$34-50),0)</f>
        <v>80</v>
      </c>
      <c r="X89">
        <f>IF(AND($A89&lt;&gt;X$1,Recharged_Feasible_mat!Y58),(VLOOKUP(X$1,test!$A$3:$I$32,8,FALSE))-(VLOOKUP($A89,test!$A$3:$I$32,9,FALSE))-(test!$B$34-50),0)</f>
        <v>140</v>
      </c>
      <c r="Y89">
        <f>IF(AND($A89&lt;&gt;Y$1,Recharged_Feasible_mat!Z58),(VLOOKUP(Y$1,test!$A$3:$I$32,8,FALSE))-(VLOOKUP($A89,test!$A$3:$I$32,9,FALSE))-(test!$B$34-50),0)</f>
        <v>0</v>
      </c>
      <c r="Z89">
        <f>IF(AND($A89&lt;&gt;Z$1,Recharged_Feasible_mat!AA58),(VLOOKUP(Z$1,test!$A$3:$I$32,8,FALSE))-(VLOOKUP($A89,test!$A$3:$I$32,9,FALSE))-(test!$B$34-50),0)</f>
        <v>0</v>
      </c>
      <c r="AA89">
        <f>IF(AND($A89&lt;&gt;AA$1,Recharged_Feasible_mat!AB58),(VLOOKUP(AA$1,test!$A$3:$I$32,8,FALSE))-(VLOOKUP($A89,test!$A$3:$I$32,9,FALSE))-(test!$B$34-50),0)</f>
        <v>0</v>
      </c>
      <c r="AB89">
        <f>IF(AND($A89&lt;&gt;AB$1,Recharged_Feasible_mat!AC58),(VLOOKUP(AB$1,test!$A$3:$I$32,8,FALSE))-(VLOOKUP($A89,test!$A$3:$I$32,9,FALSE))-(test!$B$34-50),0)</f>
        <v>0</v>
      </c>
      <c r="AC89">
        <f>IF(AND($A89&lt;&gt;AC$1,Recharged_Feasible_mat!AD58),(VLOOKUP(AC$1,test!$A$3:$I$32,8,FALSE))-(VLOOKUP($A89,test!$A$3:$I$32,9,FALSE))-(test!$B$34-50),0)</f>
        <v>0</v>
      </c>
      <c r="AD89">
        <f>IF(AND($A89&lt;&gt;AD$1,Recharged_Feasible_mat!AE58),(VLOOKUP(AD$1,test!$A$3:$I$32,8,FALSE))-(VLOOKUP($A89,test!$A$3:$I$32,9,FALSE))-(test!$B$34-50),0)</f>
        <v>0</v>
      </c>
      <c r="AE89">
        <f>IF(AND($A89&lt;&gt;AE$1,Recharged_Feasible_mat!AF58),(VLOOKUP(AE$1,test!$A$3:$I$32,8,FALSE))-(VLOOKUP($A89,test!$A$3:$I$32,9,FALSE))-(test!$B$34-50),0)</f>
        <v>0</v>
      </c>
      <c r="AF89">
        <f>IF(AND($A89&lt;&gt;AF$1,Recharged_Feasible_mat!AG58),(VLOOKUP(AF$1,test!$A$3:$I$32,8,FALSE))-(VLOOKUP($A89,test!$A$3:$I$32,9,FALSE))-(test!$B$34-50),0)</f>
        <v>0</v>
      </c>
    </row>
    <row r="90" spans="1:32" x14ac:dyDescent="0.25">
      <c r="A90" t="s">
        <v>37</v>
      </c>
      <c r="B90">
        <v>0</v>
      </c>
      <c r="C90">
        <f>IF(AND($A90&lt;&gt;C$1,Recharged_Feasible_mat!D59),(VLOOKUP(C$1,test!$A$3:$I$32,8,FALSE))-(VLOOKUP($A90,test!$A$3:$I$32,9,FALSE))-(test!$B$34-50),0)</f>
        <v>0</v>
      </c>
      <c r="D90">
        <f>IF(AND($A90&lt;&gt;D$1,Recharged_Feasible_mat!E59),(VLOOKUP(D$1,test!$A$3:$I$32,8,FALSE))-(VLOOKUP($A90,test!$A$3:$I$32,9,FALSE))-(test!$B$34-50),0)</f>
        <v>0</v>
      </c>
      <c r="E90">
        <f>IF(AND($A90&lt;&gt;E$1,Recharged_Feasible_mat!F59),(VLOOKUP(E$1,test!$A$3:$I$32,8,FALSE))-(VLOOKUP($A90,test!$A$3:$I$32,9,FALSE))-(test!$B$34-50),0)</f>
        <v>0</v>
      </c>
      <c r="F90">
        <f>IF(AND($A90&lt;&gt;F$1,Recharged_Feasible_mat!G59),(VLOOKUP(F$1,test!$A$3:$I$32,8,FALSE))-(VLOOKUP($A90,test!$A$3:$I$32,9,FALSE))-(test!$B$34-50),0)</f>
        <v>0</v>
      </c>
      <c r="G90">
        <f>IF(AND($A90&lt;&gt;G$1,Recharged_Feasible_mat!H59),(VLOOKUP(G$1,test!$A$3:$I$32,8,FALSE))-(VLOOKUP($A90,test!$A$3:$I$32,9,FALSE))-(test!$B$34-50),0)</f>
        <v>0</v>
      </c>
      <c r="H90">
        <f>IF(AND($A90&lt;&gt;H$1,Recharged_Feasible_mat!I59),(VLOOKUP(H$1,test!$A$3:$I$32,8,FALSE))-(VLOOKUP($A90,test!$A$3:$I$32,9,FALSE))-(test!$B$34-50),0)</f>
        <v>0</v>
      </c>
      <c r="I90">
        <f>IF(AND($A90&lt;&gt;I$1,Recharged_Feasible_mat!J59),(VLOOKUP(I$1,test!$A$3:$I$32,8,FALSE))-(VLOOKUP($A90,test!$A$3:$I$32,9,FALSE))-(test!$B$34-50),0)</f>
        <v>0</v>
      </c>
      <c r="J90">
        <f>IF(AND($A90&lt;&gt;J$1,Recharged_Feasible_mat!K59),(VLOOKUP(J$1,test!$A$3:$I$32,8,FALSE))-(VLOOKUP($A90,test!$A$3:$I$32,9,FALSE))-(test!$B$34-50),0)</f>
        <v>130</v>
      </c>
      <c r="K90">
        <f>IF(AND($A90&lt;&gt;K$1,Recharged_Feasible_mat!L59),(VLOOKUP(K$1,test!$A$3:$I$32,8,FALSE))-(VLOOKUP($A90,test!$A$3:$I$32,9,FALSE))-(test!$B$34-50),0)</f>
        <v>0</v>
      </c>
      <c r="L90">
        <f>IF(AND($A90&lt;&gt;L$1,Recharged_Feasible_mat!M59),(VLOOKUP(L$1,test!$A$3:$I$32,8,FALSE))-(VLOOKUP($A90,test!$A$3:$I$32,9,FALSE))-(test!$B$34-50),0)</f>
        <v>0</v>
      </c>
      <c r="M90">
        <f>IF(AND($A90&lt;&gt;M$1,Recharged_Feasible_mat!N59),(VLOOKUP(M$1,test!$A$3:$I$32,8,FALSE))-(VLOOKUP($A90,test!$A$3:$I$32,9,FALSE))-(test!$B$34-50),0)</f>
        <v>0</v>
      </c>
      <c r="N90">
        <f>IF(AND($A90&lt;&gt;N$1,Recharged_Feasible_mat!O59),(VLOOKUP(N$1,test!$A$3:$I$32,8,FALSE))-(VLOOKUP($A90,test!$A$3:$I$32,9,FALSE))-(test!$B$34-50),0)</f>
        <v>95</v>
      </c>
      <c r="O90">
        <f>IF(AND($A90&lt;&gt;O$1,Recharged_Feasible_mat!P59),(VLOOKUP(O$1,test!$A$3:$I$32,8,FALSE))-(VLOOKUP($A90,test!$A$3:$I$32,9,FALSE))-(test!$B$34-50),0)</f>
        <v>155</v>
      </c>
      <c r="P90">
        <f>IF(AND($A90&lt;&gt;P$1,Recharged_Feasible_mat!Q59),(VLOOKUP(P$1,test!$A$3:$I$32,8,FALSE))-(VLOOKUP($A90,test!$A$3:$I$32,9,FALSE))-(test!$B$34-50),0)</f>
        <v>0</v>
      </c>
      <c r="Q90">
        <f>IF(AND($A90&lt;&gt;Q$1,Recharged_Feasible_mat!R59),(VLOOKUP(Q$1,test!$A$3:$I$32,8,FALSE))-(VLOOKUP($A90,test!$A$3:$I$32,9,FALSE))-(test!$B$34-50),0)</f>
        <v>0</v>
      </c>
      <c r="R90">
        <f>IF(AND($A90&lt;&gt;R$1,Recharged_Feasible_mat!S59),(VLOOKUP(R$1,test!$A$3:$I$32,8,FALSE))-(VLOOKUP($A90,test!$A$3:$I$32,9,FALSE))-(test!$B$34-50),0)</f>
        <v>0</v>
      </c>
      <c r="S90">
        <f>IF(AND($A90&lt;&gt;S$1,Recharged_Feasible_mat!T59),(VLOOKUP(S$1,test!$A$3:$I$32,8,FALSE))-(VLOOKUP($A90,test!$A$3:$I$32,9,FALSE))-(test!$B$34-50),0)</f>
        <v>0</v>
      </c>
      <c r="T90">
        <f>IF(AND($A90&lt;&gt;T$1,Recharged_Feasible_mat!U59),(VLOOKUP(T$1,test!$A$3:$I$32,8,FALSE))-(VLOOKUP($A90,test!$A$3:$I$32,9,FALSE))-(test!$B$34-50),0)</f>
        <v>0</v>
      </c>
      <c r="U90">
        <f>IF(AND($A90&lt;&gt;U$1,Recharged_Feasible_mat!V59),(VLOOKUP(U$1,test!$A$3:$I$32,8,FALSE))-(VLOOKUP($A90,test!$A$3:$I$32,9,FALSE))-(test!$B$34-50),0)</f>
        <v>0</v>
      </c>
      <c r="V90">
        <f>IF(AND($A90&lt;&gt;V$1,Recharged_Feasible_mat!W59),(VLOOKUP(V$1,test!$A$3:$I$32,8,FALSE))-(VLOOKUP($A90,test!$A$3:$I$32,9,FALSE))-(test!$B$34-50),0)</f>
        <v>0</v>
      </c>
      <c r="W90">
        <f>IF(AND($A90&lt;&gt;W$1,Recharged_Feasible_mat!X59),(VLOOKUP(W$1,test!$A$3:$I$32,8,FALSE))-(VLOOKUP($A90,test!$A$3:$I$32,9,FALSE))-(test!$B$34-50),0)</f>
        <v>0</v>
      </c>
      <c r="X90">
        <f>IF(AND($A90&lt;&gt;X$1,Recharged_Feasible_mat!Y59),(VLOOKUP(X$1,test!$A$3:$I$32,8,FALSE))-(VLOOKUP($A90,test!$A$3:$I$32,9,FALSE))-(test!$B$34-50),0)</f>
        <v>80</v>
      </c>
      <c r="Y90">
        <f>IF(AND($A90&lt;&gt;Y$1,Recharged_Feasible_mat!Z59),(VLOOKUP(Y$1,test!$A$3:$I$32,8,FALSE))-(VLOOKUP($A90,test!$A$3:$I$32,9,FALSE))-(test!$B$34-50),0)</f>
        <v>0</v>
      </c>
      <c r="Z90">
        <f>IF(AND($A90&lt;&gt;Z$1,Recharged_Feasible_mat!AA59),(VLOOKUP(Z$1,test!$A$3:$I$32,8,FALSE))-(VLOOKUP($A90,test!$A$3:$I$32,9,FALSE))-(test!$B$34-50),0)</f>
        <v>0</v>
      </c>
      <c r="AA90">
        <f>IF(AND($A90&lt;&gt;AA$1,Recharged_Feasible_mat!AB59),(VLOOKUP(AA$1,test!$A$3:$I$32,8,FALSE))-(VLOOKUP($A90,test!$A$3:$I$32,9,FALSE))-(test!$B$34-50),0)</f>
        <v>0</v>
      </c>
      <c r="AB90">
        <f>IF(AND($A90&lt;&gt;AB$1,Recharged_Feasible_mat!AC59),(VLOOKUP(AB$1,test!$A$3:$I$32,8,FALSE))-(VLOOKUP($A90,test!$A$3:$I$32,9,FALSE))-(test!$B$34-50),0)</f>
        <v>0</v>
      </c>
      <c r="AC90">
        <f>IF(AND($A90&lt;&gt;AC$1,Recharged_Feasible_mat!AD59),(VLOOKUP(AC$1,test!$A$3:$I$32,8,FALSE))-(VLOOKUP($A90,test!$A$3:$I$32,9,FALSE))-(test!$B$34-50),0)</f>
        <v>0</v>
      </c>
      <c r="AD90">
        <f>IF(AND($A90&lt;&gt;AD$1,Recharged_Feasible_mat!AE59),(VLOOKUP(AD$1,test!$A$3:$I$32,8,FALSE))-(VLOOKUP($A90,test!$A$3:$I$32,9,FALSE))-(test!$B$34-50),0)</f>
        <v>0</v>
      </c>
      <c r="AE90">
        <f>IF(AND($A90&lt;&gt;AE$1,Recharged_Feasible_mat!AF59),(VLOOKUP(AE$1,test!$A$3:$I$32,8,FALSE))-(VLOOKUP($A90,test!$A$3:$I$32,9,FALSE))-(test!$B$34-50),0)</f>
        <v>0</v>
      </c>
      <c r="AF90">
        <f>IF(AND($A90&lt;&gt;AF$1,Recharged_Feasible_mat!AG59),(VLOOKUP(AF$1,test!$A$3:$I$32,8,FALSE))-(VLOOKUP($A90,test!$A$3:$I$32,9,FALSE))-(test!$B$34-50),0)</f>
        <v>0</v>
      </c>
    </row>
    <row r="91" spans="1:32" x14ac:dyDescent="0.25">
      <c r="A91" t="s">
        <v>38</v>
      </c>
      <c r="B91">
        <v>0</v>
      </c>
      <c r="C91">
        <f>IF(AND($A91&lt;&gt;C$1,Recharged_Feasible_mat!D60),(VLOOKUP(C$1,test!$A$3:$I$32,8,FALSE))-(VLOOKUP($A91,test!$A$3:$I$32,9,FALSE))-(test!$B$34-50),0)</f>
        <v>0</v>
      </c>
      <c r="D91">
        <f>IF(AND($A91&lt;&gt;D$1,Recharged_Feasible_mat!E60),(VLOOKUP(D$1,test!$A$3:$I$32,8,FALSE))-(VLOOKUP($A91,test!$A$3:$I$32,9,FALSE))-(test!$B$34-50),0)</f>
        <v>0</v>
      </c>
      <c r="E91">
        <f>IF(AND($A91&lt;&gt;E$1,Recharged_Feasible_mat!F60),(VLOOKUP(E$1,test!$A$3:$I$32,8,FALSE))-(VLOOKUP($A91,test!$A$3:$I$32,9,FALSE))-(test!$B$34-50),0)</f>
        <v>0</v>
      </c>
      <c r="F91">
        <f>IF(AND($A91&lt;&gt;F$1,Recharged_Feasible_mat!G60),(VLOOKUP(F$1,test!$A$3:$I$32,8,FALSE))-(VLOOKUP($A91,test!$A$3:$I$32,9,FALSE))-(test!$B$34-50),0)</f>
        <v>0</v>
      </c>
      <c r="G91">
        <f>IF(AND($A91&lt;&gt;G$1,Recharged_Feasible_mat!H60),(VLOOKUP(G$1,test!$A$3:$I$32,8,FALSE))-(VLOOKUP($A91,test!$A$3:$I$32,9,FALSE))-(test!$B$34-50),0)</f>
        <v>0</v>
      </c>
      <c r="H91">
        <f>IF(AND($A91&lt;&gt;H$1,Recharged_Feasible_mat!I60),(VLOOKUP(H$1,test!$A$3:$I$32,8,FALSE))-(VLOOKUP($A91,test!$A$3:$I$32,9,FALSE))-(test!$B$34-50),0)</f>
        <v>0</v>
      </c>
      <c r="I91">
        <f>IF(AND($A91&lt;&gt;I$1,Recharged_Feasible_mat!J60),(VLOOKUP(I$1,test!$A$3:$I$32,8,FALSE))-(VLOOKUP($A91,test!$A$3:$I$32,9,FALSE))-(test!$B$34-50),0)</f>
        <v>0</v>
      </c>
      <c r="J91">
        <f>IF(AND($A91&lt;&gt;J$1,Recharged_Feasible_mat!K60),(VLOOKUP(J$1,test!$A$3:$I$32,8,FALSE))-(VLOOKUP($A91,test!$A$3:$I$32,9,FALSE))-(test!$B$34-50),0)</f>
        <v>0</v>
      </c>
      <c r="K91">
        <f>IF(AND($A91&lt;&gt;K$1,Recharged_Feasible_mat!L60),(VLOOKUP(K$1,test!$A$3:$I$32,8,FALSE))-(VLOOKUP($A91,test!$A$3:$I$32,9,FALSE))-(test!$B$34-50),0)</f>
        <v>0</v>
      </c>
      <c r="L91">
        <f>IF(AND($A91&lt;&gt;L$1,Recharged_Feasible_mat!M60),(VLOOKUP(L$1,test!$A$3:$I$32,8,FALSE))-(VLOOKUP($A91,test!$A$3:$I$32,9,FALSE))-(test!$B$34-50),0)</f>
        <v>0</v>
      </c>
      <c r="M91">
        <f>IF(AND($A91&lt;&gt;M$1,Recharged_Feasible_mat!N60),(VLOOKUP(M$1,test!$A$3:$I$32,8,FALSE))-(VLOOKUP($A91,test!$A$3:$I$32,9,FALSE))-(test!$B$34-50),0)</f>
        <v>0</v>
      </c>
      <c r="N91">
        <f>IF(AND($A91&lt;&gt;N$1,Recharged_Feasible_mat!O60),(VLOOKUP(N$1,test!$A$3:$I$32,8,FALSE))-(VLOOKUP($A91,test!$A$3:$I$32,9,FALSE))-(test!$B$34-50),0)</f>
        <v>0</v>
      </c>
      <c r="O91">
        <f>IF(AND($A91&lt;&gt;O$1,Recharged_Feasible_mat!P60),(VLOOKUP(O$1,test!$A$3:$I$32,8,FALSE))-(VLOOKUP($A91,test!$A$3:$I$32,9,FALSE))-(test!$B$34-50),0)</f>
        <v>0</v>
      </c>
      <c r="P91">
        <f>IF(AND($A91&lt;&gt;P$1,Recharged_Feasible_mat!Q60),(VLOOKUP(P$1,test!$A$3:$I$32,8,FALSE))-(VLOOKUP($A91,test!$A$3:$I$32,9,FALSE))-(test!$B$34-50),0)</f>
        <v>0</v>
      </c>
      <c r="Q91">
        <f>IF(AND($A91&lt;&gt;Q$1,Recharged_Feasible_mat!R60),(VLOOKUP(Q$1,test!$A$3:$I$32,8,FALSE))-(VLOOKUP($A91,test!$A$3:$I$32,9,FALSE))-(test!$B$34-50),0)</f>
        <v>0</v>
      </c>
      <c r="R91">
        <f>IF(AND($A91&lt;&gt;R$1,Recharged_Feasible_mat!S60),(VLOOKUP(R$1,test!$A$3:$I$32,8,FALSE))-(VLOOKUP($A91,test!$A$3:$I$32,9,FALSE))-(test!$B$34-50),0)</f>
        <v>0</v>
      </c>
      <c r="S91">
        <f>IF(AND($A91&lt;&gt;S$1,Recharged_Feasible_mat!T60),(VLOOKUP(S$1,test!$A$3:$I$32,8,FALSE))-(VLOOKUP($A91,test!$A$3:$I$32,9,FALSE))-(test!$B$34-50),0)</f>
        <v>0</v>
      </c>
      <c r="T91">
        <f>IF(AND($A91&lt;&gt;T$1,Recharged_Feasible_mat!U60),(VLOOKUP(T$1,test!$A$3:$I$32,8,FALSE))-(VLOOKUP($A91,test!$A$3:$I$32,9,FALSE))-(test!$B$34-50),0)</f>
        <v>0</v>
      </c>
      <c r="U91">
        <f>IF(AND($A91&lt;&gt;U$1,Recharged_Feasible_mat!V60),(VLOOKUP(U$1,test!$A$3:$I$32,8,FALSE))-(VLOOKUP($A91,test!$A$3:$I$32,9,FALSE))-(test!$B$34-50),0)</f>
        <v>0</v>
      </c>
      <c r="V91">
        <f>IF(AND($A91&lt;&gt;V$1,Recharged_Feasible_mat!W60),(VLOOKUP(V$1,test!$A$3:$I$32,8,FALSE))-(VLOOKUP($A91,test!$A$3:$I$32,9,FALSE))-(test!$B$34-50),0)</f>
        <v>0</v>
      </c>
      <c r="W91">
        <f>IF(AND($A91&lt;&gt;W$1,Recharged_Feasible_mat!X60),(VLOOKUP(W$1,test!$A$3:$I$32,8,FALSE))-(VLOOKUP($A91,test!$A$3:$I$32,9,FALSE))-(test!$B$34-50),0)</f>
        <v>0</v>
      </c>
      <c r="X91">
        <f>IF(AND($A91&lt;&gt;X$1,Recharged_Feasible_mat!Y60),(VLOOKUP(X$1,test!$A$3:$I$32,8,FALSE))-(VLOOKUP($A91,test!$A$3:$I$32,9,FALSE))-(test!$B$34-50),0)</f>
        <v>0</v>
      </c>
      <c r="Y91">
        <f>IF(AND($A91&lt;&gt;Y$1,Recharged_Feasible_mat!Z60),(VLOOKUP(Y$1,test!$A$3:$I$32,8,FALSE))-(VLOOKUP($A91,test!$A$3:$I$32,9,FALSE))-(test!$B$34-50),0)</f>
        <v>0</v>
      </c>
      <c r="Z91">
        <f>IF(AND($A91&lt;&gt;Z$1,Recharged_Feasible_mat!AA60),(VLOOKUP(Z$1,test!$A$3:$I$32,8,FALSE))-(VLOOKUP($A91,test!$A$3:$I$32,9,FALSE))-(test!$B$34-50),0)</f>
        <v>0</v>
      </c>
      <c r="AA91">
        <f>IF(AND($A91&lt;&gt;AA$1,Recharged_Feasible_mat!AB60),(VLOOKUP(AA$1,test!$A$3:$I$32,8,FALSE))-(VLOOKUP($A91,test!$A$3:$I$32,9,FALSE))-(test!$B$34-50),0)</f>
        <v>0</v>
      </c>
      <c r="AB91">
        <f>IF(AND($A91&lt;&gt;AB$1,Recharged_Feasible_mat!AC60),(VLOOKUP(AB$1,test!$A$3:$I$32,8,FALSE))-(VLOOKUP($A91,test!$A$3:$I$32,9,FALSE))-(test!$B$34-50),0)</f>
        <v>0</v>
      </c>
      <c r="AC91">
        <f>IF(AND($A91&lt;&gt;AC$1,Recharged_Feasible_mat!AD60),(VLOOKUP(AC$1,test!$A$3:$I$32,8,FALSE))-(VLOOKUP($A91,test!$A$3:$I$32,9,FALSE))-(test!$B$34-50),0)</f>
        <v>0</v>
      </c>
      <c r="AD91">
        <f>IF(AND($A91&lt;&gt;AD$1,Recharged_Feasible_mat!AE60),(VLOOKUP(AD$1,test!$A$3:$I$32,8,FALSE))-(VLOOKUP($A91,test!$A$3:$I$32,9,FALSE))-(test!$B$34-50),0)</f>
        <v>0</v>
      </c>
      <c r="AE91">
        <f>IF(AND($A91&lt;&gt;AE$1,Recharged_Feasible_mat!AF60),(VLOOKUP(AE$1,test!$A$3:$I$32,8,FALSE))-(VLOOKUP($A91,test!$A$3:$I$32,9,FALSE))-(test!$B$34-50),0)</f>
        <v>0</v>
      </c>
      <c r="AF91">
        <f>IF(AND($A91&lt;&gt;AF$1,Recharged_Feasible_mat!AG60),(VLOOKUP(AF$1,test!$A$3:$I$32,8,FALSE))-(VLOOKUP($A91,test!$A$3:$I$32,9,FALSE))-(test!$B$34-50),0)</f>
        <v>0</v>
      </c>
    </row>
    <row r="92" spans="1:32" x14ac:dyDescent="0.25">
      <c r="A92" t="s">
        <v>39</v>
      </c>
      <c r="B92">
        <v>0</v>
      </c>
      <c r="C92">
        <f>IF(AND($A92&lt;&gt;C$1,Recharged_Feasible_mat!D61),(VLOOKUP(C$1,test!$A$3:$I$32,8,FALSE))-(VLOOKUP($A92,test!$A$3:$I$32,9,FALSE))-(test!$B$34-50),0)</f>
        <v>0</v>
      </c>
      <c r="D92">
        <f>IF(AND($A92&lt;&gt;D$1,Recharged_Feasible_mat!E61),(VLOOKUP(D$1,test!$A$3:$I$32,8,FALSE))-(VLOOKUP($A92,test!$A$3:$I$32,9,FALSE))-(test!$B$34-50),0)</f>
        <v>0</v>
      </c>
      <c r="E92">
        <f>IF(AND($A92&lt;&gt;E$1,Recharged_Feasible_mat!F61),(VLOOKUP(E$1,test!$A$3:$I$32,8,FALSE))-(VLOOKUP($A92,test!$A$3:$I$32,9,FALSE))-(test!$B$34-50),0)</f>
        <v>0</v>
      </c>
      <c r="F92">
        <f>IF(AND($A92&lt;&gt;F$1,Recharged_Feasible_mat!G61),(VLOOKUP(F$1,test!$A$3:$I$32,8,FALSE))-(VLOOKUP($A92,test!$A$3:$I$32,9,FALSE))-(test!$B$34-50),0)</f>
        <v>0</v>
      </c>
      <c r="G92">
        <f>IF(AND($A92&lt;&gt;G$1,Recharged_Feasible_mat!H61),(VLOOKUP(G$1,test!$A$3:$I$32,8,FALSE))-(VLOOKUP($A92,test!$A$3:$I$32,9,FALSE))-(test!$B$34-50),0)</f>
        <v>0</v>
      </c>
      <c r="H92">
        <f>IF(AND($A92&lt;&gt;H$1,Recharged_Feasible_mat!I61),(VLOOKUP(H$1,test!$A$3:$I$32,8,FALSE))-(VLOOKUP($A92,test!$A$3:$I$32,9,FALSE))-(test!$B$34-50),0)</f>
        <v>320</v>
      </c>
      <c r="I92">
        <f>IF(AND($A92&lt;&gt;I$1,Recharged_Feasible_mat!J61),(VLOOKUP(I$1,test!$A$3:$I$32,8,FALSE))-(VLOOKUP($A92,test!$A$3:$I$32,9,FALSE))-(test!$B$34-50),0)</f>
        <v>380</v>
      </c>
      <c r="J92">
        <f>IF(AND($A92&lt;&gt;J$1,Recharged_Feasible_mat!K61),(VLOOKUP(J$1,test!$A$3:$I$32,8,FALSE))-(VLOOKUP($A92,test!$A$3:$I$32,9,FALSE))-(test!$B$34-50),0)</f>
        <v>470</v>
      </c>
      <c r="K92">
        <f>IF(AND($A92&lt;&gt;K$1,Recharged_Feasible_mat!L61),(VLOOKUP(K$1,test!$A$3:$I$32,8,FALSE))-(VLOOKUP($A92,test!$A$3:$I$32,9,FALSE))-(test!$B$34-50),0)</f>
        <v>0</v>
      </c>
      <c r="L92">
        <f>IF(AND($A92&lt;&gt;L$1,Recharged_Feasible_mat!M61),(VLOOKUP(L$1,test!$A$3:$I$32,8,FALSE))-(VLOOKUP($A92,test!$A$3:$I$32,9,FALSE))-(test!$B$34-50),0)</f>
        <v>0</v>
      </c>
      <c r="M92">
        <f>IF(AND($A92&lt;&gt;M$1,Recharged_Feasible_mat!N61),(VLOOKUP(M$1,test!$A$3:$I$32,8,FALSE))-(VLOOKUP($A92,test!$A$3:$I$32,9,FALSE))-(test!$B$34-50),0)</f>
        <v>0</v>
      </c>
      <c r="N92">
        <f>IF(AND($A92&lt;&gt;N$1,Recharged_Feasible_mat!O61),(VLOOKUP(N$1,test!$A$3:$I$32,8,FALSE))-(VLOOKUP($A92,test!$A$3:$I$32,9,FALSE))-(test!$B$34-50),0)</f>
        <v>435</v>
      </c>
      <c r="O92">
        <f>IF(AND($A92&lt;&gt;O$1,Recharged_Feasible_mat!P61),(VLOOKUP(O$1,test!$A$3:$I$32,8,FALSE))-(VLOOKUP($A92,test!$A$3:$I$32,9,FALSE))-(test!$B$34-50),0)</f>
        <v>495</v>
      </c>
      <c r="P92">
        <f>IF(AND($A92&lt;&gt;P$1,Recharged_Feasible_mat!Q61),(VLOOKUP(P$1,test!$A$3:$I$32,8,FALSE))-(VLOOKUP($A92,test!$A$3:$I$32,9,FALSE))-(test!$B$34-50),0)</f>
        <v>0</v>
      </c>
      <c r="Q92">
        <f>IF(AND($A92&lt;&gt;Q$1,Recharged_Feasible_mat!R61),(VLOOKUP(Q$1,test!$A$3:$I$32,8,FALSE))-(VLOOKUP($A92,test!$A$3:$I$32,9,FALSE))-(test!$B$34-50),0)</f>
        <v>0</v>
      </c>
      <c r="R92">
        <f>IF(AND($A92&lt;&gt;R$1,Recharged_Feasible_mat!S61),(VLOOKUP(R$1,test!$A$3:$I$32,8,FALSE))-(VLOOKUP($A92,test!$A$3:$I$32,9,FALSE))-(test!$B$34-50),0)</f>
        <v>0</v>
      </c>
      <c r="S92">
        <f>IF(AND($A92&lt;&gt;S$1,Recharged_Feasible_mat!T61),(VLOOKUP(S$1,test!$A$3:$I$32,8,FALSE))-(VLOOKUP($A92,test!$A$3:$I$32,9,FALSE))-(test!$B$34-50),0)</f>
        <v>0</v>
      </c>
      <c r="T92">
        <f>IF(AND($A92&lt;&gt;T$1,Recharged_Feasible_mat!U61),(VLOOKUP(T$1,test!$A$3:$I$32,8,FALSE))-(VLOOKUP($A92,test!$A$3:$I$32,9,FALSE))-(test!$B$34-50),0)</f>
        <v>0</v>
      </c>
      <c r="U92">
        <f>IF(AND($A92&lt;&gt;U$1,Recharged_Feasible_mat!V61),(VLOOKUP(U$1,test!$A$3:$I$32,8,FALSE))-(VLOOKUP($A92,test!$A$3:$I$32,9,FALSE))-(test!$B$34-50),0)</f>
        <v>0</v>
      </c>
      <c r="V92">
        <f>IF(AND($A92&lt;&gt;V$1,Recharged_Feasible_mat!W61),(VLOOKUP(V$1,test!$A$3:$I$32,8,FALSE))-(VLOOKUP($A92,test!$A$3:$I$32,9,FALSE))-(test!$B$34-50),0)</f>
        <v>270</v>
      </c>
      <c r="W92">
        <f>IF(AND($A92&lt;&gt;W$1,Recharged_Feasible_mat!X61),(VLOOKUP(W$1,test!$A$3:$I$32,8,FALSE))-(VLOOKUP($A92,test!$A$3:$I$32,9,FALSE))-(test!$B$34-50),0)</f>
        <v>360</v>
      </c>
      <c r="X92">
        <f>IF(AND($A92&lt;&gt;X$1,Recharged_Feasible_mat!Y61),(VLOOKUP(X$1,test!$A$3:$I$32,8,FALSE))-(VLOOKUP($A92,test!$A$3:$I$32,9,FALSE))-(test!$B$34-50),0)</f>
        <v>420</v>
      </c>
      <c r="Y92">
        <f>IF(AND($A92&lt;&gt;Y$1,Recharged_Feasible_mat!Z61),(VLOOKUP(Y$1,test!$A$3:$I$32,8,FALSE))-(VLOOKUP($A92,test!$A$3:$I$32,9,FALSE))-(test!$B$34-50),0)</f>
        <v>0</v>
      </c>
      <c r="Z92">
        <f>IF(AND($A92&lt;&gt;Z$1,Recharged_Feasible_mat!AA61),(VLOOKUP(Z$1,test!$A$3:$I$32,8,FALSE))-(VLOOKUP($A92,test!$A$3:$I$32,9,FALSE))-(test!$B$34-50),0)</f>
        <v>0</v>
      </c>
      <c r="AA92">
        <f>IF(AND($A92&lt;&gt;AA$1,Recharged_Feasible_mat!AB61),(VLOOKUP(AA$1,test!$A$3:$I$32,8,FALSE))-(VLOOKUP($A92,test!$A$3:$I$32,9,FALSE))-(test!$B$34-50),0)</f>
        <v>0</v>
      </c>
      <c r="AB92">
        <f>IF(AND($A92&lt;&gt;AB$1,Recharged_Feasible_mat!AC61),(VLOOKUP(AB$1,test!$A$3:$I$32,8,FALSE))-(VLOOKUP($A92,test!$A$3:$I$32,9,FALSE))-(test!$B$34-50),0)</f>
        <v>0</v>
      </c>
      <c r="AC92">
        <f>IF(AND($A92&lt;&gt;AC$1,Recharged_Feasible_mat!AD61),(VLOOKUP(AC$1,test!$A$3:$I$32,8,FALSE))-(VLOOKUP($A92,test!$A$3:$I$32,9,FALSE))-(test!$B$34-50),0)</f>
        <v>320</v>
      </c>
      <c r="AD92">
        <f>IF(AND($A92&lt;&gt;AD$1,Recharged_Feasible_mat!AE61),(VLOOKUP(AD$1,test!$A$3:$I$32,8,FALSE))-(VLOOKUP($A92,test!$A$3:$I$32,9,FALSE))-(test!$B$34-50),0)</f>
        <v>0</v>
      </c>
      <c r="AE92">
        <f>IF(AND($A92&lt;&gt;AE$1,Recharged_Feasible_mat!AF61),(VLOOKUP(AE$1,test!$A$3:$I$32,8,FALSE))-(VLOOKUP($A92,test!$A$3:$I$32,9,FALSE))-(test!$B$34-50),0)</f>
        <v>0</v>
      </c>
      <c r="AF92">
        <f>IF(AND($A92&lt;&gt;AF$1,Recharged_Feasible_mat!AG61),(VLOOKUP(AF$1,test!$A$3:$I$32,8,FALSE))-(VLOOKUP($A92,test!$A$3:$I$32,9,FALSE))-(test!$B$34-50),0)</f>
        <v>0</v>
      </c>
    </row>
    <row r="93" spans="1:32" x14ac:dyDescent="0.25">
      <c r="A93" t="s">
        <v>40</v>
      </c>
      <c r="B93">
        <v>0</v>
      </c>
      <c r="C93">
        <f>IF(AND($A93&lt;&gt;C$1,Recharged_Feasible_mat!D62),(VLOOKUP(C$1,test!$A$3:$I$32,8,FALSE))-(VLOOKUP($A93,test!$A$3:$I$32,9,FALSE))-(test!$B$34-50),0)</f>
        <v>0</v>
      </c>
      <c r="D93">
        <f>IF(AND($A93&lt;&gt;D$1,Recharged_Feasible_mat!E62),(VLOOKUP(D$1,test!$A$3:$I$32,8,FALSE))-(VLOOKUP($A93,test!$A$3:$I$32,9,FALSE))-(test!$B$34-50),0)</f>
        <v>0</v>
      </c>
      <c r="E93">
        <f>IF(AND($A93&lt;&gt;E$1,Recharged_Feasible_mat!F62),(VLOOKUP(E$1,test!$A$3:$I$32,8,FALSE))-(VLOOKUP($A93,test!$A$3:$I$32,9,FALSE))-(test!$B$34-50),0)</f>
        <v>0</v>
      </c>
      <c r="F93">
        <f>IF(AND($A93&lt;&gt;F$1,Recharged_Feasible_mat!G62),(VLOOKUP(F$1,test!$A$3:$I$32,8,FALSE))-(VLOOKUP($A93,test!$A$3:$I$32,9,FALSE))-(test!$B$34-50),0)</f>
        <v>0</v>
      </c>
      <c r="G93">
        <f>IF(AND($A93&lt;&gt;G$1,Recharged_Feasible_mat!H62),(VLOOKUP(G$1,test!$A$3:$I$32,8,FALSE))-(VLOOKUP($A93,test!$A$3:$I$32,9,FALSE))-(test!$B$34-50),0)</f>
        <v>0</v>
      </c>
      <c r="H93">
        <f>IF(AND($A93&lt;&gt;H$1,Recharged_Feasible_mat!I62),(VLOOKUP(H$1,test!$A$3:$I$32,8,FALSE))-(VLOOKUP($A93,test!$A$3:$I$32,9,FALSE))-(test!$B$34-50),0)</f>
        <v>0</v>
      </c>
      <c r="I93">
        <f>IF(AND($A93&lt;&gt;I$1,Recharged_Feasible_mat!J62),(VLOOKUP(I$1,test!$A$3:$I$32,8,FALSE))-(VLOOKUP($A93,test!$A$3:$I$32,9,FALSE))-(test!$B$34-50),0)</f>
        <v>0</v>
      </c>
      <c r="J93">
        <f>IF(AND($A93&lt;&gt;J$1,Recharged_Feasible_mat!K62),(VLOOKUP(J$1,test!$A$3:$I$32,8,FALSE))-(VLOOKUP($A93,test!$A$3:$I$32,9,FALSE))-(test!$B$34-50),0)</f>
        <v>120</v>
      </c>
      <c r="K93">
        <f>IF(AND($A93&lt;&gt;K$1,Recharged_Feasible_mat!L62),(VLOOKUP(K$1,test!$A$3:$I$32,8,FALSE))-(VLOOKUP($A93,test!$A$3:$I$32,9,FALSE))-(test!$B$34-50),0)</f>
        <v>0</v>
      </c>
      <c r="L93">
        <f>IF(AND($A93&lt;&gt;L$1,Recharged_Feasible_mat!M62),(VLOOKUP(L$1,test!$A$3:$I$32,8,FALSE))-(VLOOKUP($A93,test!$A$3:$I$32,9,FALSE))-(test!$B$34-50),0)</f>
        <v>0</v>
      </c>
      <c r="M93">
        <f>IF(AND($A93&lt;&gt;M$1,Recharged_Feasible_mat!N62),(VLOOKUP(M$1,test!$A$3:$I$32,8,FALSE))-(VLOOKUP($A93,test!$A$3:$I$32,9,FALSE))-(test!$B$34-50),0)</f>
        <v>0</v>
      </c>
      <c r="N93">
        <f>IF(AND($A93&lt;&gt;N$1,Recharged_Feasible_mat!O62),(VLOOKUP(N$1,test!$A$3:$I$32,8,FALSE))-(VLOOKUP($A93,test!$A$3:$I$32,9,FALSE))-(test!$B$34-50),0)</f>
        <v>85</v>
      </c>
      <c r="O93">
        <f>IF(AND($A93&lt;&gt;O$1,Recharged_Feasible_mat!P62),(VLOOKUP(O$1,test!$A$3:$I$32,8,FALSE))-(VLOOKUP($A93,test!$A$3:$I$32,9,FALSE))-(test!$B$34-50),0)</f>
        <v>145</v>
      </c>
      <c r="P93">
        <f>IF(AND($A93&lt;&gt;P$1,Recharged_Feasible_mat!Q62),(VLOOKUP(P$1,test!$A$3:$I$32,8,FALSE))-(VLOOKUP($A93,test!$A$3:$I$32,9,FALSE))-(test!$B$34-50),0)</f>
        <v>0</v>
      </c>
      <c r="Q93">
        <f>IF(AND($A93&lt;&gt;Q$1,Recharged_Feasible_mat!R62),(VLOOKUP(Q$1,test!$A$3:$I$32,8,FALSE))-(VLOOKUP($A93,test!$A$3:$I$32,9,FALSE))-(test!$B$34-50),0)</f>
        <v>0</v>
      </c>
      <c r="R93">
        <f>IF(AND($A93&lt;&gt;R$1,Recharged_Feasible_mat!S62),(VLOOKUP(R$1,test!$A$3:$I$32,8,FALSE))-(VLOOKUP($A93,test!$A$3:$I$32,9,FALSE))-(test!$B$34-50),0)</f>
        <v>0</v>
      </c>
      <c r="S93">
        <f>IF(AND($A93&lt;&gt;S$1,Recharged_Feasible_mat!T62),(VLOOKUP(S$1,test!$A$3:$I$32,8,FALSE))-(VLOOKUP($A93,test!$A$3:$I$32,9,FALSE))-(test!$B$34-50),0)</f>
        <v>0</v>
      </c>
      <c r="T93">
        <f>IF(AND($A93&lt;&gt;T$1,Recharged_Feasible_mat!U62),(VLOOKUP(T$1,test!$A$3:$I$32,8,FALSE))-(VLOOKUP($A93,test!$A$3:$I$32,9,FALSE))-(test!$B$34-50),0)</f>
        <v>0</v>
      </c>
      <c r="U93">
        <f>IF(AND($A93&lt;&gt;U$1,Recharged_Feasible_mat!V62),(VLOOKUP(U$1,test!$A$3:$I$32,8,FALSE))-(VLOOKUP($A93,test!$A$3:$I$32,9,FALSE))-(test!$B$34-50),0)</f>
        <v>0</v>
      </c>
      <c r="V93">
        <f>IF(AND($A93&lt;&gt;V$1,Recharged_Feasible_mat!W62),(VLOOKUP(V$1,test!$A$3:$I$32,8,FALSE))-(VLOOKUP($A93,test!$A$3:$I$32,9,FALSE))-(test!$B$34-50),0)</f>
        <v>0</v>
      </c>
      <c r="W93">
        <f>IF(AND($A93&lt;&gt;W$1,Recharged_Feasible_mat!X62),(VLOOKUP(W$1,test!$A$3:$I$32,8,FALSE))-(VLOOKUP($A93,test!$A$3:$I$32,9,FALSE))-(test!$B$34-50),0)</f>
        <v>0</v>
      </c>
      <c r="X93">
        <f>IF(AND($A93&lt;&gt;X$1,Recharged_Feasible_mat!Y62),(VLOOKUP(X$1,test!$A$3:$I$32,8,FALSE))-(VLOOKUP($A93,test!$A$3:$I$32,9,FALSE))-(test!$B$34-50),0)</f>
        <v>70</v>
      </c>
      <c r="Y93">
        <f>IF(AND($A93&lt;&gt;Y$1,Recharged_Feasible_mat!Z62),(VLOOKUP(Y$1,test!$A$3:$I$32,8,FALSE))-(VLOOKUP($A93,test!$A$3:$I$32,9,FALSE))-(test!$B$34-50),0)</f>
        <v>0</v>
      </c>
      <c r="Z93">
        <f>IF(AND($A93&lt;&gt;Z$1,Recharged_Feasible_mat!AA62),(VLOOKUP(Z$1,test!$A$3:$I$32,8,FALSE))-(VLOOKUP($A93,test!$A$3:$I$32,9,FALSE))-(test!$B$34-50),0)</f>
        <v>0</v>
      </c>
      <c r="AA93">
        <f>IF(AND($A93&lt;&gt;AA$1,Recharged_Feasible_mat!AB62),(VLOOKUP(AA$1,test!$A$3:$I$32,8,FALSE))-(VLOOKUP($A93,test!$A$3:$I$32,9,FALSE))-(test!$B$34-50),0)</f>
        <v>0</v>
      </c>
      <c r="AB93">
        <f>IF(AND($A93&lt;&gt;AB$1,Recharged_Feasible_mat!AC62),(VLOOKUP(AB$1,test!$A$3:$I$32,8,FALSE))-(VLOOKUP($A93,test!$A$3:$I$32,9,FALSE))-(test!$B$34-50),0)</f>
        <v>0</v>
      </c>
      <c r="AC93">
        <f>IF(AND($A93&lt;&gt;AC$1,Recharged_Feasible_mat!AD62),(VLOOKUP(AC$1,test!$A$3:$I$32,8,FALSE))-(VLOOKUP($A93,test!$A$3:$I$32,9,FALSE))-(test!$B$34-50),0)</f>
        <v>0</v>
      </c>
      <c r="AD93">
        <f>IF(AND($A93&lt;&gt;AD$1,Recharged_Feasible_mat!AE62),(VLOOKUP(AD$1,test!$A$3:$I$32,8,FALSE))-(VLOOKUP($A93,test!$A$3:$I$32,9,FALSE))-(test!$B$34-50),0)</f>
        <v>0</v>
      </c>
      <c r="AE93">
        <f>IF(AND($A93&lt;&gt;AE$1,Recharged_Feasible_mat!AF62),(VLOOKUP(AE$1,test!$A$3:$I$32,8,FALSE))-(VLOOKUP($A93,test!$A$3:$I$32,9,FALSE))-(test!$B$34-50),0)</f>
        <v>0</v>
      </c>
      <c r="AF93">
        <f>IF(AND($A93&lt;&gt;AF$1,Recharged_Feasible_mat!AG62),(VLOOKUP(AF$1,test!$A$3:$I$32,8,FALSE))-(VLOOKUP($A93,test!$A$3:$I$32,9,FALSE))-(test!$B$34-50),0)</f>
        <v>0</v>
      </c>
    </row>
    <row r="94" spans="1:32" x14ac:dyDescent="0.25">
      <c r="A94" t="s">
        <v>41</v>
      </c>
      <c r="B94">
        <v>0</v>
      </c>
      <c r="C94">
        <f>IF(AND($A94&lt;&gt;C$1,Recharged_Feasible_mat!D63),(VLOOKUP(C$1,test!$A$3:$I$32,8,FALSE))-(VLOOKUP($A94,test!$A$3:$I$32,9,FALSE))-(test!$B$34-50),0)</f>
        <v>0</v>
      </c>
      <c r="D94">
        <f>IF(AND($A94&lt;&gt;D$1,Recharged_Feasible_mat!E63),(VLOOKUP(D$1,test!$A$3:$I$32,8,FALSE))-(VLOOKUP($A94,test!$A$3:$I$32,9,FALSE))-(test!$B$34-50),0)</f>
        <v>0</v>
      </c>
      <c r="E94">
        <f>IF(AND($A94&lt;&gt;E$1,Recharged_Feasible_mat!F63),(VLOOKUP(E$1,test!$A$3:$I$32,8,FALSE))-(VLOOKUP($A94,test!$A$3:$I$32,9,FALSE))-(test!$B$34-50),0)</f>
        <v>0</v>
      </c>
      <c r="F94">
        <f>IF(AND($A94&lt;&gt;F$1,Recharged_Feasible_mat!G63),(VLOOKUP(F$1,test!$A$3:$I$32,8,FALSE))-(VLOOKUP($A94,test!$A$3:$I$32,9,FALSE))-(test!$B$34-50),0)</f>
        <v>0</v>
      </c>
      <c r="G94">
        <f>IF(AND($A94&lt;&gt;G$1,Recharged_Feasible_mat!H63),(VLOOKUP(G$1,test!$A$3:$I$32,8,FALSE))-(VLOOKUP($A94,test!$A$3:$I$32,9,FALSE))-(test!$B$34-50),0)</f>
        <v>0</v>
      </c>
      <c r="H94">
        <f>IF(AND($A94&lt;&gt;H$1,Recharged_Feasible_mat!I63),(VLOOKUP(H$1,test!$A$3:$I$32,8,FALSE))-(VLOOKUP($A94,test!$A$3:$I$32,9,FALSE))-(test!$B$34-50),0)</f>
        <v>0</v>
      </c>
      <c r="I94">
        <f>IF(AND($A94&lt;&gt;I$1,Recharged_Feasible_mat!J63),(VLOOKUP(I$1,test!$A$3:$I$32,8,FALSE))-(VLOOKUP($A94,test!$A$3:$I$32,9,FALSE))-(test!$B$34-50),0)</f>
        <v>0</v>
      </c>
      <c r="J94">
        <f>IF(AND($A94&lt;&gt;J$1,Recharged_Feasible_mat!K63),(VLOOKUP(J$1,test!$A$3:$I$32,8,FALSE))-(VLOOKUP($A94,test!$A$3:$I$32,9,FALSE))-(test!$B$34-50),0)</f>
        <v>0</v>
      </c>
      <c r="K94">
        <f>IF(AND($A94&lt;&gt;K$1,Recharged_Feasible_mat!L63),(VLOOKUP(K$1,test!$A$3:$I$32,8,FALSE))-(VLOOKUP($A94,test!$A$3:$I$32,9,FALSE))-(test!$B$34-50),0)</f>
        <v>0</v>
      </c>
      <c r="L94">
        <f>IF(AND($A94&lt;&gt;L$1,Recharged_Feasible_mat!M63),(VLOOKUP(L$1,test!$A$3:$I$32,8,FALSE))-(VLOOKUP($A94,test!$A$3:$I$32,9,FALSE))-(test!$B$34-50),0)</f>
        <v>0</v>
      </c>
      <c r="M94">
        <f>IF(AND($A94&lt;&gt;M$1,Recharged_Feasible_mat!N63),(VLOOKUP(M$1,test!$A$3:$I$32,8,FALSE))-(VLOOKUP($A94,test!$A$3:$I$32,9,FALSE))-(test!$B$34-50),0)</f>
        <v>0</v>
      </c>
      <c r="N94">
        <f>IF(AND($A94&lt;&gt;N$1,Recharged_Feasible_mat!O63),(VLOOKUP(N$1,test!$A$3:$I$32,8,FALSE))-(VLOOKUP($A94,test!$A$3:$I$32,9,FALSE))-(test!$B$34-50),0)</f>
        <v>0</v>
      </c>
      <c r="O94">
        <f>IF(AND($A94&lt;&gt;O$1,Recharged_Feasible_mat!P63),(VLOOKUP(O$1,test!$A$3:$I$32,8,FALSE))-(VLOOKUP($A94,test!$A$3:$I$32,9,FALSE))-(test!$B$34-50),0)</f>
        <v>0</v>
      </c>
      <c r="P94">
        <f>IF(AND($A94&lt;&gt;P$1,Recharged_Feasible_mat!Q63),(VLOOKUP(P$1,test!$A$3:$I$32,8,FALSE))-(VLOOKUP($A94,test!$A$3:$I$32,9,FALSE))-(test!$B$34-50),0)</f>
        <v>0</v>
      </c>
      <c r="Q94">
        <f>IF(AND($A94&lt;&gt;Q$1,Recharged_Feasible_mat!R63),(VLOOKUP(Q$1,test!$A$3:$I$32,8,FALSE))-(VLOOKUP($A94,test!$A$3:$I$32,9,FALSE))-(test!$B$34-50),0)</f>
        <v>0</v>
      </c>
      <c r="R94">
        <f>IF(AND($A94&lt;&gt;R$1,Recharged_Feasible_mat!S63),(VLOOKUP(R$1,test!$A$3:$I$32,8,FALSE))-(VLOOKUP($A94,test!$A$3:$I$32,9,FALSE))-(test!$B$34-50),0)</f>
        <v>0</v>
      </c>
      <c r="S94">
        <f>IF(AND($A94&lt;&gt;S$1,Recharged_Feasible_mat!T63),(VLOOKUP(S$1,test!$A$3:$I$32,8,FALSE))-(VLOOKUP($A94,test!$A$3:$I$32,9,FALSE))-(test!$B$34-50),0)</f>
        <v>0</v>
      </c>
      <c r="T94">
        <f>IF(AND($A94&lt;&gt;T$1,Recharged_Feasible_mat!U63),(VLOOKUP(T$1,test!$A$3:$I$32,8,FALSE))-(VLOOKUP($A94,test!$A$3:$I$32,9,FALSE))-(test!$B$34-50),0)</f>
        <v>0</v>
      </c>
      <c r="U94">
        <f>IF(AND($A94&lt;&gt;U$1,Recharged_Feasible_mat!V63),(VLOOKUP(U$1,test!$A$3:$I$32,8,FALSE))-(VLOOKUP($A94,test!$A$3:$I$32,9,FALSE))-(test!$B$34-50),0)</f>
        <v>0</v>
      </c>
      <c r="V94">
        <f>IF(AND($A94&lt;&gt;V$1,Recharged_Feasible_mat!W63),(VLOOKUP(V$1,test!$A$3:$I$32,8,FALSE))-(VLOOKUP($A94,test!$A$3:$I$32,9,FALSE))-(test!$B$34-50),0)</f>
        <v>0</v>
      </c>
      <c r="W94">
        <f>IF(AND($A94&lt;&gt;W$1,Recharged_Feasible_mat!X63),(VLOOKUP(W$1,test!$A$3:$I$32,8,FALSE))-(VLOOKUP($A94,test!$A$3:$I$32,9,FALSE))-(test!$B$34-50),0)</f>
        <v>0</v>
      </c>
      <c r="X94">
        <f>IF(AND($A94&lt;&gt;X$1,Recharged_Feasible_mat!Y63),(VLOOKUP(X$1,test!$A$3:$I$32,8,FALSE))-(VLOOKUP($A94,test!$A$3:$I$32,9,FALSE))-(test!$B$34-50),0)</f>
        <v>0</v>
      </c>
      <c r="Y94">
        <f>IF(AND($A94&lt;&gt;Y$1,Recharged_Feasible_mat!Z63),(VLOOKUP(Y$1,test!$A$3:$I$32,8,FALSE))-(VLOOKUP($A94,test!$A$3:$I$32,9,FALSE))-(test!$B$34-50),0)</f>
        <v>0</v>
      </c>
      <c r="Z94">
        <f>IF(AND($A94&lt;&gt;Z$1,Recharged_Feasible_mat!AA63),(VLOOKUP(Z$1,test!$A$3:$I$32,8,FALSE))-(VLOOKUP($A94,test!$A$3:$I$32,9,FALSE))-(test!$B$34-50),0)</f>
        <v>0</v>
      </c>
      <c r="AA94">
        <f>IF(AND($A94&lt;&gt;AA$1,Recharged_Feasible_mat!AB63),(VLOOKUP(AA$1,test!$A$3:$I$32,8,FALSE))-(VLOOKUP($A94,test!$A$3:$I$32,9,FALSE))-(test!$B$34-50),0)</f>
        <v>0</v>
      </c>
      <c r="AB94">
        <f>IF(AND($A94&lt;&gt;AB$1,Recharged_Feasible_mat!AC63),(VLOOKUP(AB$1,test!$A$3:$I$32,8,FALSE))-(VLOOKUP($A94,test!$A$3:$I$32,9,FALSE))-(test!$B$34-50),0)</f>
        <v>0</v>
      </c>
      <c r="AC94">
        <f>IF(AND($A94&lt;&gt;AC$1,Recharged_Feasible_mat!AD63),(VLOOKUP(AC$1,test!$A$3:$I$32,8,FALSE))-(VLOOKUP($A94,test!$A$3:$I$32,9,FALSE))-(test!$B$34-50),0)</f>
        <v>0</v>
      </c>
      <c r="AD94">
        <f>IF(AND($A94&lt;&gt;AD$1,Recharged_Feasible_mat!AE63),(VLOOKUP(AD$1,test!$A$3:$I$32,8,FALSE))-(VLOOKUP($A94,test!$A$3:$I$32,9,FALSE))-(test!$B$34-50),0)</f>
        <v>0</v>
      </c>
      <c r="AE94">
        <f>IF(AND($A94&lt;&gt;AE$1,Recharged_Feasible_mat!AF63),(VLOOKUP(AE$1,test!$A$3:$I$32,8,FALSE))-(VLOOKUP($A94,test!$A$3:$I$32,9,FALSE))-(test!$B$34-50),0)</f>
        <v>0</v>
      </c>
      <c r="AF94">
        <f>IF(AND($A94&lt;&gt;AF$1,Recharged_Feasible_mat!AG63),(VLOOKUP(AF$1,test!$A$3:$I$32,8,FALSE))-(VLOOKUP($A94,test!$A$3:$I$32,9,FALSE))-(test!$B$34-50),0)</f>
        <v>0</v>
      </c>
    </row>
    <row r="95" spans="1:32" x14ac:dyDescent="0.25">
      <c r="A95" t="s">
        <v>46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6</v>
      </c>
      <c r="B96">
        <v>0</v>
      </c>
      <c r="C96">
        <f>IF(AND($A96&lt;&gt;C$1,Recharged_Feasible_mat!D65),(VLOOKUP(C$1,test!$A$3:$I$32,8,FALSE))-(VLOOKUP($A96,test!$A$3:$I$32,9,FALSE))-(test!$B$35-50),0)</f>
        <v>0</v>
      </c>
      <c r="D96">
        <f>IF(AND($A96&lt;&gt;D$1,Recharged_Feasible_mat!E65),(VLOOKUP(D$1,test!$A$3:$I$32,8,FALSE))-(VLOOKUP($A96,test!$A$3:$I$32,9,FALSE))-(test!$B$35-50),0)</f>
        <v>0</v>
      </c>
      <c r="E96">
        <f>IF(AND($A96&lt;&gt;E$1,Recharged_Feasible_mat!F65),(VLOOKUP(E$1,test!$A$3:$I$32,8,FALSE))-(VLOOKUP($A96,test!$A$3:$I$32,9,FALSE))-(test!$B$35-50),0)</f>
        <v>135</v>
      </c>
      <c r="F96">
        <f>IF(AND($A96&lt;&gt;F$1,Recharged_Feasible_mat!G65),(VLOOKUP(F$1,test!$A$3:$I$32,8,FALSE))-(VLOOKUP($A96,test!$A$3:$I$32,9,FALSE))-(test!$B$35-50),0)</f>
        <v>225</v>
      </c>
      <c r="G96">
        <f>IF(AND($A96&lt;&gt;G$1,Recharged_Feasible_mat!H65),(VLOOKUP(G$1,test!$A$3:$I$32,8,FALSE))-(VLOOKUP($A96,test!$A$3:$I$32,9,FALSE))-(test!$B$35-50),0)</f>
        <v>285</v>
      </c>
      <c r="H96">
        <f>IF(AND($A96&lt;&gt;H$1,Recharged_Feasible_mat!I65),(VLOOKUP(H$1,test!$A$3:$I$32,8,FALSE))-(VLOOKUP($A96,test!$A$3:$I$32,9,FALSE))-(test!$B$35-50),0)</f>
        <v>345</v>
      </c>
      <c r="I96">
        <f>IF(AND($A96&lt;&gt;I$1,Recharged_Feasible_mat!J65),(VLOOKUP(I$1,test!$A$3:$I$32,8,FALSE))-(VLOOKUP($A96,test!$A$3:$I$32,9,FALSE))-(test!$B$35-50),0)</f>
        <v>405</v>
      </c>
      <c r="J96">
        <f>IF(AND($A96&lt;&gt;J$1,Recharged_Feasible_mat!K65),(VLOOKUP(J$1,test!$A$3:$I$32,8,FALSE))-(VLOOKUP($A96,test!$A$3:$I$32,9,FALSE))-(test!$B$35-50),0)</f>
        <v>495</v>
      </c>
      <c r="K96">
        <f>IF(AND($A96&lt;&gt;K$1,Recharged_Feasible_mat!L65),(VLOOKUP(K$1,test!$A$3:$I$32,8,FALSE))-(VLOOKUP($A96,test!$A$3:$I$32,9,FALSE))-(test!$B$35-50),0)</f>
        <v>0</v>
      </c>
      <c r="L96">
        <f>IF(AND($A96&lt;&gt;L$1,Recharged_Feasible_mat!M65),(VLOOKUP(L$1,test!$A$3:$I$32,8,FALSE))-(VLOOKUP($A96,test!$A$3:$I$32,9,FALSE))-(test!$B$35-50),0)</f>
        <v>0</v>
      </c>
      <c r="M96">
        <f>IF(AND($A96&lt;&gt;M$1,Recharged_Feasible_mat!N65),(VLOOKUP(M$1,test!$A$3:$I$32,8,FALSE))-(VLOOKUP($A96,test!$A$3:$I$32,9,FALSE))-(test!$B$35-50),0)</f>
        <v>100</v>
      </c>
      <c r="N96">
        <f>IF(AND($A96&lt;&gt;N$1,Recharged_Feasible_mat!O65),(VLOOKUP(N$1,test!$A$3:$I$32,8,FALSE))-(VLOOKUP($A96,test!$A$3:$I$32,9,FALSE))-(test!$B$35-50),0)</f>
        <v>460</v>
      </c>
      <c r="O96">
        <f>IF(AND($A96&lt;&gt;O$1,Recharged_Feasible_mat!P65),(VLOOKUP(O$1,test!$A$3:$I$32,8,FALSE))-(VLOOKUP($A96,test!$A$3:$I$32,9,FALSE))-(test!$B$35-50),0)</f>
        <v>520</v>
      </c>
      <c r="P96">
        <f>IF(AND($A96&lt;&gt;P$1,Recharged_Feasible_mat!Q65),(VLOOKUP(P$1,test!$A$3:$I$32,8,FALSE))-(VLOOKUP($A96,test!$A$3:$I$32,9,FALSE))-(test!$B$35-50),0)</f>
        <v>0</v>
      </c>
      <c r="Q96">
        <f>IF(AND($A96&lt;&gt;Q$1,Recharged_Feasible_mat!R65),(VLOOKUP(Q$1,test!$A$3:$I$32,8,FALSE))-(VLOOKUP($A96,test!$A$3:$I$32,9,FALSE))-(test!$B$35-50),0)</f>
        <v>0</v>
      </c>
      <c r="R96">
        <f>IF(AND($A96&lt;&gt;R$1,Recharged_Feasible_mat!S65),(VLOOKUP(R$1,test!$A$3:$I$32,8,FALSE))-(VLOOKUP($A96,test!$A$3:$I$32,9,FALSE))-(test!$B$35-50),0)</f>
        <v>0</v>
      </c>
      <c r="S96">
        <f>IF(AND($A96&lt;&gt;S$1,Recharged_Feasible_mat!T65),(VLOOKUP(S$1,test!$A$3:$I$32,8,FALSE))-(VLOOKUP($A96,test!$A$3:$I$32,9,FALSE))-(test!$B$35-50),0)</f>
        <v>0</v>
      </c>
      <c r="T96">
        <f>IF(AND($A96&lt;&gt;T$1,Recharged_Feasible_mat!U65),(VLOOKUP(T$1,test!$A$3:$I$32,8,FALSE))-(VLOOKUP($A96,test!$A$3:$I$32,9,FALSE))-(test!$B$35-50),0)</f>
        <v>115</v>
      </c>
      <c r="U96">
        <f>IF(AND($A96&lt;&gt;U$1,Recharged_Feasible_mat!V65),(VLOOKUP(U$1,test!$A$3:$I$32,8,FALSE))-(VLOOKUP($A96,test!$A$3:$I$32,9,FALSE))-(test!$B$35-50),0)</f>
        <v>205</v>
      </c>
      <c r="V96">
        <f>IF(AND($A96&lt;&gt;V$1,Recharged_Feasible_mat!W65),(VLOOKUP(V$1,test!$A$3:$I$32,8,FALSE))-(VLOOKUP($A96,test!$A$3:$I$32,9,FALSE))-(test!$B$35-50),0)</f>
        <v>295</v>
      </c>
      <c r="W96">
        <f>IF(AND($A96&lt;&gt;W$1,Recharged_Feasible_mat!X65),(VLOOKUP(W$1,test!$A$3:$I$32,8,FALSE))-(VLOOKUP($A96,test!$A$3:$I$32,9,FALSE))-(test!$B$35-50),0)</f>
        <v>385</v>
      </c>
      <c r="X96">
        <f>IF(AND($A96&lt;&gt;X$1,Recharged_Feasible_mat!Y65),(VLOOKUP(X$1,test!$A$3:$I$32,8,FALSE))-(VLOOKUP($A96,test!$A$3:$I$32,9,FALSE))-(test!$B$35-50),0)</f>
        <v>445</v>
      </c>
      <c r="Y96">
        <f>IF(AND($A96&lt;&gt;Y$1,Recharged_Feasible_mat!Z65),(VLOOKUP(Y$1,test!$A$3:$I$32,8,FALSE))-(VLOOKUP($A96,test!$A$3:$I$32,9,FALSE))-(test!$B$35-50),0)</f>
        <v>0</v>
      </c>
      <c r="Z96">
        <f>IF(AND($A96&lt;&gt;Z$1,Recharged_Feasible_mat!AA65),(VLOOKUP(Z$1,test!$A$3:$I$32,8,FALSE))-(VLOOKUP($A96,test!$A$3:$I$32,9,FALSE))-(test!$B$35-50),0)</f>
        <v>0</v>
      </c>
      <c r="AA96">
        <f>IF(AND($A96&lt;&gt;AA$1,Recharged_Feasible_mat!AB65),(VLOOKUP(AA$1,test!$A$3:$I$32,8,FALSE))-(VLOOKUP($A96,test!$A$3:$I$32,9,FALSE))-(test!$B$35-50),0)</f>
        <v>165</v>
      </c>
      <c r="AB96">
        <f>IF(AND($A96&lt;&gt;AB$1,Recharged_Feasible_mat!AC65),(VLOOKUP(AB$1,test!$A$3:$I$32,8,FALSE))-(VLOOKUP($A96,test!$A$3:$I$32,9,FALSE))-(test!$B$35-50),0)</f>
        <v>225</v>
      </c>
      <c r="AC96">
        <f>IF(AND($A96&lt;&gt;AC$1,Recharged_Feasible_mat!AD65),(VLOOKUP(AC$1,test!$A$3:$I$32,8,FALSE))-(VLOOKUP($A96,test!$A$3:$I$32,9,FALSE))-(test!$B$35-50),0)</f>
        <v>345</v>
      </c>
      <c r="AD96">
        <f>IF(AND($A96&lt;&gt;AD$1,Recharged_Feasible_mat!AE65),(VLOOKUP(AD$1,test!$A$3:$I$32,8,FALSE))-(VLOOKUP($A96,test!$A$3:$I$32,9,FALSE))-(test!$B$35-50),0)</f>
        <v>0</v>
      </c>
      <c r="AE96">
        <f>IF(AND($A96&lt;&gt;AE$1,Recharged_Feasible_mat!AF65),(VLOOKUP(AE$1,test!$A$3:$I$32,8,FALSE))-(VLOOKUP($A96,test!$A$3:$I$32,9,FALSE))-(test!$B$35-50),0)</f>
        <v>165</v>
      </c>
      <c r="AF96">
        <f>IF(AND($A96&lt;&gt;AF$1,Recharged_Feasible_mat!AG65),(VLOOKUP(AF$1,test!$A$3:$I$32,8,FALSE))-(VLOOKUP($A96,test!$A$3:$I$32,9,FALSE))-(test!$B$35-50),0)</f>
        <v>115</v>
      </c>
    </row>
    <row r="97" spans="1:32" x14ac:dyDescent="0.25">
      <c r="A97" t="s">
        <v>9</v>
      </c>
      <c r="B97">
        <v>0</v>
      </c>
      <c r="C97">
        <f>IF(AND($A97&lt;&gt;C$1,Recharged_Feasible_mat!D66),(VLOOKUP(C$1,test!$A$3:$I$32,8,FALSE))-(VLOOKUP($A97,test!$A$3:$I$32,9,FALSE))-(test!$B$35-50),0)</f>
        <v>0</v>
      </c>
      <c r="D97">
        <f>IF(AND($A97&lt;&gt;D$1,Recharged_Feasible_mat!E66),(VLOOKUP(D$1,test!$A$3:$I$32,8,FALSE))-(VLOOKUP($A97,test!$A$3:$I$32,9,FALSE))-(test!$B$35-50),0)</f>
        <v>0</v>
      </c>
      <c r="E97">
        <f>IF(AND($A97&lt;&gt;E$1,Recharged_Feasible_mat!F66),(VLOOKUP(E$1,test!$A$3:$I$32,8,FALSE))-(VLOOKUP($A97,test!$A$3:$I$32,9,FALSE))-(test!$B$35-50),0)</f>
        <v>0</v>
      </c>
      <c r="F97">
        <f>IF(AND($A97&lt;&gt;F$1,Recharged_Feasible_mat!G66),(VLOOKUP(F$1,test!$A$3:$I$32,8,FALSE))-(VLOOKUP($A97,test!$A$3:$I$32,9,FALSE))-(test!$B$35-50),0)</f>
        <v>0</v>
      </c>
      <c r="G97">
        <f>IF(AND($A97&lt;&gt;G$1,Recharged_Feasible_mat!H66),(VLOOKUP(G$1,test!$A$3:$I$32,8,FALSE))-(VLOOKUP($A97,test!$A$3:$I$32,9,FALSE))-(test!$B$35-50),0)</f>
        <v>105</v>
      </c>
      <c r="H97">
        <f>IF(AND($A97&lt;&gt;H$1,Recharged_Feasible_mat!I66),(VLOOKUP(H$1,test!$A$3:$I$32,8,FALSE))-(VLOOKUP($A97,test!$A$3:$I$32,9,FALSE))-(test!$B$35-50),0)</f>
        <v>165</v>
      </c>
      <c r="I97">
        <f>IF(AND($A97&lt;&gt;I$1,Recharged_Feasible_mat!J66),(VLOOKUP(I$1,test!$A$3:$I$32,8,FALSE))-(VLOOKUP($A97,test!$A$3:$I$32,9,FALSE))-(test!$B$35-50),0)</f>
        <v>225</v>
      </c>
      <c r="J97">
        <f>IF(AND($A97&lt;&gt;J$1,Recharged_Feasible_mat!K66),(VLOOKUP(J$1,test!$A$3:$I$32,8,FALSE))-(VLOOKUP($A97,test!$A$3:$I$32,9,FALSE))-(test!$B$35-50),0)</f>
        <v>315</v>
      </c>
      <c r="K97">
        <f>IF(AND($A97&lt;&gt;K$1,Recharged_Feasible_mat!L66),(VLOOKUP(K$1,test!$A$3:$I$32,8,FALSE))-(VLOOKUP($A97,test!$A$3:$I$32,9,FALSE))-(test!$B$35-50),0)</f>
        <v>0</v>
      </c>
      <c r="L97">
        <f>IF(AND($A97&lt;&gt;L$1,Recharged_Feasible_mat!M66),(VLOOKUP(L$1,test!$A$3:$I$32,8,FALSE))-(VLOOKUP($A97,test!$A$3:$I$32,9,FALSE))-(test!$B$35-50),0)</f>
        <v>0</v>
      </c>
      <c r="M97">
        <f>IF(AND($A97&lt;&gt;M$1,Recharged_Feasible_mat!N66),(VLOOKUP(M$1,test!$A$3:$I$32,8,FALSE))-(VLOOKUP($A97,test!$A$3:$I$32,9,FALSE))-(test!$B$35-50),0)</f>
        <v>0</v>
      </c>
      <c r="N97">
        <f>IF(AND($A97&lt;&gt;N$1,Recharged_Feasible_mat!O66),(VLOOKUP(N$1,test!$A$3:$I$32,8,FALSE))-(VLOOKUP($A97,test!$A$3:$I$32,9,FALSE))-(test!$B$35-50),0)</f>
        <v>280</v>
      </c>
      <c r="O97">
        <f>IF(AND($A97&lt;&gt;O$1,Recharged_Feasible_mat!P66),(VLOOKUP(O$1,test!$A$3:$I$32,8,FALSE))-(VLOOKUP($A97,test!$A$3:$I$32,9,FALSE))-(test!$B$35-50),0)</f>
        <v>340</v>
      </c>
      <c r="P97">
        <f>IF(AND($A97&lt;&gt;P$1,Recharged_Feasible_mat!Q66),(VLOOKUP(P$1,test!$A$3:$I$32,8,FALSE))-(VLOOKUP($A97,test!$A$3:$I$32,9,FALSE))-(test!$B$35-50),0)</f>
        <v>0</v>
      </c>
      <c r="Q97">
        <f>IF(AND($A97&lt;&gt;Q$1,Recharged_Feasible_mat!R66),(VLOOKUP(Q$1,test!$A$3:$I$32,8,FALSE))-(VLOOKUP($A97,test!$A$3:$I$32,9,FALSE))-(test!$B$35-50),0)</f>
        <v>0</v>
      </c>
      <c r="R97">
        <f>IF(AND($A97&lt;&gt;R$1,Recharged_Feasible_mat!S66),(VLOOKUP(R$1,test!$A$3:$I$32,8,FALSE))-(VLOOKUP($A97,test!$A$3:$I$32,9,FALSE))-(test!$B$35-50),0)</f>
        <v>0</v>
      </c>
      <c r="S97">
        <f>IF(AND($A97&lt;&gt;S$1,Recharged_Feasible_mat!T66),(VLOOKUP(S$1,test!$A$3:$I$32,8,FALSE))-(VLOOKUP($A97,test!$A$3:$I$32,9,FALSE))-(test!$B$35-50),0)</f>
        <v>0</v>
      </c>
      <c r="T97">
        <f>IF(AND($A97&lt;&gt;T$1,Recharged_Feasible_mat!U66),(VLOOKUP(T$1,test!$A$3:$I$32,8,FALSE))-(VLOOKUP($A97,test!$A$3:$I$32,9,FALSE))-(test!$B$35-50),0)</f>
        <v>0</v>
      </c>
      <c r="U97">
        <f>IF(AND($A97&lt;&gt;U$1,Recharged_Feasible_mat!V66),(VLOOKUP(U$1,test!$A$3:$I$32,8,FALSE))-(VLOOKUP($A97,test!$A$3:$I$32,9,FALSE))-(test!$B$35-50),0)</f>
        <v>0</v>
      </c>
      <c r="V97">
        <f>IF(AND($A97&lt;&gt;V$1,Recharged_Feasible_mat!W66),(VLOOKUP(V$1,test!$A$3:$I$32,8,FALSE))-(VLOOKUP($A97,test!$A$3:$I$32,9,FALSE))-(test!$B$35-50),0)</f>
        <v>115</v>
      </c>
      <c r="W97">
        <f>IF(AND($A97&lt;&gt;W$1,Recharged_Feasible_mat!X66),(VLOOKUP(W$1,test!$A$3:$I$32,8,FALSE))-(VLOOKUP($A97,test!$A$3:$I$32,9,FALSE))-(test!$B$35-50),0)</f>
        <v>205</v>
      </c>
      <c r="X97">
        <f>IF(AND($A97&lt;&gt;X$1,Recharged_Feasible_mat!Y66),(VLOOKUP(X$1,test!$A$3:$I$32,8,FALSE))-(VLOOKUP($A97,test!$A$3:$I$32,9,FALSE))-(test!$B$35-50),0)</f>
        <v>265</v>
      </c>
      <c r="Y97">
        <f>IF(AND($A97&lt;&gt;Y$1,Recharged_Feasible_mat!Z66),(VLOOKUP(Y$1,test!$A$3:$I$32,8,FALSE))-(VLOOKUP($A97,test!$A$3:$I$32,9,FALSE))-(test!$B$35-50),0)</f>
        <v>0</v>
      </c>
      <c r="Z97">
        <f>IF(AND($A97&lt;&gt;Z$1,Recharged_Feasible_mat!AA66),(VLOOKUP(Z$1,test!$A$3:$I$32,8,FALSE))-(VLOOKUP($A97,test!$A$3:$I$32,9,FALSE))-(test!$B$35-50),0)</f>
        <v>0</v>
      </c>
      <c r="AA97">
        <f>IF(AND($A97&lt;&gt;AA$1,Recharged_Feasible_mat!AB66),(VLOOKUP(AA$1,test!$A$3:$I$32,8,FALSE))-(VLOOKUP($A97,test!$A$3:$I$32,9,FALSE))-(test!$B$35-50),0)</f>
        <v>0</v>
      </c>
      <c r="AB97">
        <f>IF(AND($A97&lt;&gt;AB$1,Recharged_Feasible_mat!AC66),(VLOOKUP(AB$1,test!$A$3:$I$32,8,FALSE))-(VLOOKUP($A97,test!$A$3:$I$32,9,FALSE))-(test!$B$35-50),0)</f>
        <v>0</v>
      </c>
      <c r="AC97">
        <f>IF(AND($A97&lt;&gt;AC$1,Recharged_Feasible_mat!AD66),(VLOOKUP(AC$1,test!$A$3:$I$32,8,FALSE))-(VLOOKUP($A97,test!$A$3:$I$32,9,FALSE))-(test!$B$35-50),0)</f>
        <v>165</v>
      </c>
      <c r="AD97">
        <f>IF(AND($A97&lt;&gt;AD$1,Recharged_Feasible_mat!AE66),(VLOOKUP(AD$1,test!$A$3:$I$32,8,FALSE))-(VLOOKUP($A97,test!$A$3:$I$32,9,FALSE))-(test!$B$35-50),0)</f>
        <v>0</v>
      </c>
      <c r="AE97">
        <f>IF(AND($A97&lt;&gt;AE$1,Recharged_Feasible_mat!AF66),(VLOOKUP(AE$1,test!$A$3:$I$32,8,FALSE))-(VLOOKUP($A97,test!$A$3:$I$32,9,FALSE))-(test!$B$35-50),0)</f>
        <v>0</v>
      </c>
      <c r="AF97">
        <f>IF(AND($A97&lt;&gt;AF$1,Recharged_Feasible_mat!AG66),(VLOOKUP(AF$1,test!$A$3:$I$32,8,FALSE))-(VLOOKUP($A97,test!$A$3:$I$32,9,FALSE))-(test!$B$35-50),0)</f>
        <v>0</v>
      </c>
    </row>
    <row r="98" spans="1:32" x14ac:dyDescent="0.25">
      <c r="A98" t="s">
        <v>10</v>
      </c>
      <c r="B98">
        <v>0</v>
      </c>
      <c r="C98">
        <f>IF(AND($A98&lt;&gt;C$1,Recharged_Feasible_mat!D67),(VLOOKUP(C$1,test!$A$3:$I$32,8,FALSE))-(VLOOKUP($A98,test!$A$3:$I$32,9,FALSE))-(test!$B$35-50),0)</f>
        <v>0</v>
      </c>
      <c r="D98">
        <f>IF(AND($A98&lt;&gt;D$1,Recharged_Feasible_mat!E67),(VLOOKUP(D$1,test!$A$3:$I$32,8,FALSE))-(VLOOKUP($A98,test!$A$3:$I$32,9,FALSE))-(test!$B$35-50),0)</f>
        <v>0</v>
      </c>
      <c r="E98">
        <f>IF(AND($A98&lt;&gt;E$1,Recharged_Feasible_mat!F67),(VLOOKUP(E$1,test!$A$3:$I$32,8,FALSE))-(VLOOKUP($A98,test!$A$3:$I$32,9,FALSE))-(test!$B$35-50),0)</f>
        <v>0</v>
      </c>
      <c r="F98">
        <f>IF(AND($A98&lt;&gt;F$1,Recharged_Feasible_mat!G67),(VLOOKUP(F$1,test!$A$3:$I$32,8,FALSE))-(VLOOKUP($A98,test!$A$3:$I$32,9,FALSE))-(test!$B$35-50),0)</f>
        <v>0</v>
      </c>
      <c r="G98">
        <f>IF(AND($A98&lt;&gt;G$1,Recharged_Feasible_mat!H67),(VLOOKUP(G$1,test!$A$3:$I$32,8,FALSE))-(VLOOKUP($A98,test!$A$3:$I$32,9,FALSE))-(test!$B$35-50),0)</f>
        <v>0</v>
      </c>
      <c r="H98">
        <f>IF(AND($A98&lt;&gt;H$1,Recharged_Feasible_mat!I67),(VLOOKUP(H$1,test!$A$3:$I$32,8,FALSE))-(VLOOKUP($A98,test!$A$3:$I$32,9,FALSE))-(test!$B$35-50),0)</f>
        <v>75</v>
      </c>
      <c r="I98">
        <f>IF(AND($A98&lt;&gt;I$1,Recharged_Feasible_mat!J67),(VLOOKUP(I$1,test!$A$3:$I$32,8,FALSE))-(VLOOKUP($A98,test!$A$3:$I$32,9,FALSE))-(test!$B$35-50),0)</f>
        <v>135</v>
      </c>
      <c r="J98">
        <f>IF(AND($A98&lt;&gt;J$1,Recharged_Feasible_mat!K67),(VLOOKUP(J$1,test!$A$3:$I$32,8,FALSE))-(VLOOKUP($A98,test!$A$3:$I$32,9,FALSE))-(test!$B$35-50),0)</f>
        <v>225</v>
      </c>
      <c r="K98">
        <f>IF(AND($A98&lt;&gt;K$1,Recharged_Feasible_mat!L67),(VLOOKUP(K$1,test!$A$3:$I$32,8,FALSE))-(VLOOKUP($A98,test!$A$3:$I$32,9,FALSE))-(test!$B$35-50),0)</f>
        <v>0</v>
      </c>
      <c r="L98">
        <f>IF(AND($A98&lt;&gt;L$1,Recharged_Feasible_mat!M67),(VLOOKUP(L$1,test!$A$3:$I$32,8,FALSE))-(VLOOKUP($A98,test!$A$3:$I$32,9,FALSE))-(test!$B$35-50),0)</f>
        <v>0</v>
      </c>
      <c r="M98">
        <f>IF(AND($A98&lt;&gt;M$1,Recharged_Feasible_mat!N67),(VLOOKUP(M$1,test!$A$3:$I$32,8,FALSE))-(VLOOKUP($A98,test!$A$3:$I$32,9,FALSE))-(test!$B$35-50),0)</f>
        <v>0</v>
      </c>
      <c r="N98">
        <f>IF(AND($A98&lt;&gt;N$1,Recharged_Feasible_mat!O67),(VLOOKUP(N$1,test!$A$3:$I$32,8,FALSE))-(VLOOKUP($A98,test!$A$3:$I$32,9,FALSE))-(test!$B$35-50),0)</f>
        <v>190</v>
      </c>
      <c r="O98">
        <f>IF(AND($A98&lt;&gt;O$1,Recharged_Feasible_mat!P67),(VLOOKUP(O$1,test!$A$3:$I$32,8,FALSE))-(VLOOKUP($A98,test!$A$3:$I$32,9,FALSE))-(test!$B$35-50),0)</f>
        <v>250</v>
      </c>
      <c r="P98">
        <f>IF(AND($A98&lt;&gt;P$1,Recharged_Feasible_mat!Q67),(VLOOKUP(P$1,test!$A$3:$I$32,8,FALSE))-(VLOOKUP($A98,test!$A$3:$I$32,9,FALSE))-(test!$B$35-50),0)</f>
        <v>0</v>
      </c>
      <c r="Q98">
        <f>IF(AND($A98&lt;&gt;Q$1,Recharged_Feasible_mat!R67),(VLOOKUP(Q$1,test!$A$3:$I$32,8,FALSE))-(VLOOKUP($A98,test!$A$3:$I$32,9,FALSE))-(test!$B$35-50),0)</f>
        <v>0</v>
      </c>
      <c r="R98">
        <f>IF(AND($A98&lt;&gt;R$1,Recharged_Feasible_mat!S67),(VLOOKUP(R$1,test!$A$3:$I$32,8,FALSE))-(VLOOKUP($A98,test!$A$3:$I$32,9,FALSE))-(test!$B$35-50),0)</f>
        <v>0</v>
      </c>
      <c r="S98">
        <f>IF(AND($A98&lt;&gt;S$1,Recharged_Feasible_mat!T67),(VLOOKUP(S$1,test!$A$3:$I$32,8,FALSE))-(VLOOKUP($A98,test!$A$3:$I$32,9,FALSE))-(test!$B$35-50),0)</f>
        <v>0</v>
      </c>
      <c r="T98">
        <f>IF(AND($A98&lt;&gt;T$1,Recharged_Feasible_mat!U67),(VLOOKUP(T$1,test!$A$3:$I$32,8,FALSE))-(VLOOKUP($A98,test!$A$3:$I$32,9,FALSE))-(test!$B$35-50),0)</f>
        <v>0</v>
      </c>
      <c r="U98">
        <f>IF(AND($A98&lt;&gt;U$1,Recharged_Feasible_mat!V67),(VLOOKUP(U$1,test!$A$3:$I$32,8,FALSE))-(VLOOKUP($A98,test!$A$3:$I$32,9,FALSE))-(test!$B$35-50),0)</f>
        <v>0</v>
      </c>
      <c r="V98">
        <f>IF(AND($A98&lt;&gt;V$1,Recharged_Feasible_mat!W67),(VLOOKUP(V$1,test!$A$3:$I$32,8,FALSE))-(VLOOKUP($A98,test!$A$3:$I$32,9,FALSE))-(test!$B$35-50),0)</f>
        <v>0</v>
      </c>
      <c r="W98">
        <f>IF(AND($A98&lt;&gt;W$1,Recharged_Feasible_mat!X67),(VLOOKUP(W$1,test!$A$3:$I$32,8,FALSE))-(VLOOKUP($A98,test!$A$3:$I$32,9,FALSE))-(test!$B$35-50),0)</f>
        <v>115</v>
      </c>
      <c r="X98">
        <f>IF(AND($A98&lt;&gt;X$1,Recharged_Feasible_mat!Y67),(VLOOKUP(X$1,test!$A$3:$I$32,8,FALSE))-(VLOOKUP($A98,test!$A$3:$I$32,9,FALSE))-(test!$B$35-50),0)</f>
        <v>175</v>
      </c>
      <c r="Y98">
        <f>IF(AND($A98&lt;&gt;Y$1,Recharged_Feasible_mat!Z67),(VLOOKUP(Y$1,test!$A$3:$I$32,8,FALSE))-(VLOOKUP($A98,test!$A$3:$I$32,9,FALSE))-(test!$B$35-50),0)</f>
        <v>0</v>
      </c>
      <c r="Z98">
        <f>IF(AND($A98&lt;&gt;Z$1,Recharged_Feasible_mat!AA67),(VLOOKUP(Z$1,test!$A$3:$I$32,8,FALSE))-(VLOOKUP($A98,test!$A$3:$I$32,9,FALSE))-(test!$B$35-50),0)</f>
        <v>0</v>
      </c>
      <c r="AA98">
        <f>IF(AND($A98&lt;&gt;AA$1,Recharged_Feasible_mat!AB67),(VLOOKUP(AA$1,test!$A$3:$I$32,8,FALSE))-(VLOOKUP($A98,test!$A$3:$I$32,9,FALSE))-(test!$B$35-50),0)</f>
        <v>0</v>
      </c>
      <c r="AB98">
        <f>IF(AND($A98&lt;&gt;AB$1,Recharged_Feasible_mat!AC67),(VLOOKUP(AB$1,test!$A$3:$I$32,8,FALSE))-(VLOOKUP($A98,test!$A$3:$I$32,9,FALSE))-(test!$B$35-50),0)</f>
        <v>0</v>
      </c>
      <c r="AC98">
        <f>IF(AND($A98&lt;&gt;AC$1,Recharged_Feasible_mat!AD67),(VLOOKUP(AC$1,test!$A$3:$I$32,8,FALSE))-(VLOOKUP($A98,test!$A$3:$I$32,9,FALSE))-(test!$B$35-50),0)</f>
        <v>75</v>
      </c>
      <c r="AD98">
        <f>IF(AND($A98&lt;&gt;AD$1,Recharged_Feasible_mat!AE67),(VLOOKUP(AD$1,test!$A$3:$I$32,8,FALSE))-(VLOOKUP($A98,test!$A$3:$I$32,9,FALSE))-(test!$B$35-50),0)</f>
        <v>0</v>
      </c>
      <c r="AE98">
        <f>IF(AND($A98&lt;&gt;AE$1,Recharged_Feasible_mat!AF67),(VLOOKUP(AE$1,test!$A$3:$I$32,8,FALSE))-(VLOOKUP($A98,test!$A$3:$I$32,9,FALSE))-(test!$B$35-50),0)</f>
        <v>0</v>
      </c>
      <c r="AF98">
        <f>IF(AND($A98&lt;&gt;AF$1,Recharged_Feasible_mat!AG67),(VLOOKUP(AF$1,test!$A$3:$I$32,8,FALSE))-(VLOOKUP($A98,test!$A$3:$I$32,9,FALSE))-(test!$B$35-50),0)</f>
        <v>0</v>
      </c>
    </row>
    <row r="99" spans="1:32" x14ac:dyDescent="0.25">
      <c r="A99" t="s">
        <v>11</v>
      </c>
      <c r="B99">
        <v>0</v>
      </c>
      <c r="C99">
        <f>IF(AND($A99&lt;&gt;C$1,Recharged_Feasible_mat!D68),(VLOOKUP(C$1,test!$A$3:$I$32,8,FALSE))-(VLOOKUP($A99,test!$A$3:$I$32,9,FALSE))-(test!$B$35-50),0)</f>
        <v>0</v>
      </c>
      <c r="D99">
        <f>IF(AND($A99&lt;&gt;D$1,Recharged_Feasible_mat!E68),(VLOOKUP(D$1,test!$A$3:$I$32,8,FALSE))-(VLOOKUP($A99,test!$A$3:$I$32,9,FALSE))-(test!$B$35-50),0)</f>
        <v>0</v>
      </c>
      <c r="E99">
        <f>IF(AND($A99&lt;&gt;E$1,Recharged_Feasible_mat!F68),(VLOOKUP(E$1,test!$A$3:$I$32,8,FALSE))-(VLOOKUP($A99,test!$A$3:$I$32,9,FALSE))-(test!$B$35-50),0)</f>
        <v>0</v>
      </c>
      <c r="F99">
        <f>IF(AND($A99&lt;&gt;F$1,Recharged_Feasible_mat!G68),(VLOOKUP(F$1,test!$A$3:$I$32,8,FALSE))-(VLOOKUP($A99,test!$A$3:$I$32,9,FALSE))-(test!$B$35-50),0)</f>
        <v>0</v>
      </c>
      <c r="G99">
        <f>IF(AND($A99&lt;&gt;G$1,Recharged_Feasible_mat!H68),(VLOOKUP(G$1,test!$A$3:$I$32,8,FALSE))-(VLOOKUP($A99,test!$A$3:$I$32,9,FALSE))-(test!$B$35-50),0)</f>
        <v>0</v>
      </c>
      <c r="H99">
        <f>IF(AND($A99&lt;&gt;H$1,Recharged_Feasible_mat!I68),(VLOOKUP(H$1,test!$A$3:$I$32,8,FALSE))-(VLOOKUP($A99,test!$A$3:$I$32,9,FALSE))-(test!$B$35-50),0)</f>
        <v>0</v>
      </c>
      <c r="I99">
        <f>IF(AND($A99&lt;&gt;I$1,Recharged_Feasible_mat!J68),(VLOOKUP(I$1,test!$A$3:$I$32,8,FALSE))-(VLOOKUP($A99,test!$A$3:$I$32,9,FALSE))-(test!$B$35-50),0)</f>
        <v>0</v>
      </c>
      <c r="J99">
        <f>IF(AND($A99&lt;&gt;J$1,Recharged_Feasible_mat!K68),(VLOOKUP(J$1,test!$A$3:$I$32,8,FALSE))-(VLOOKUP($A99,test!$A$3:$I$32,9,FALSE))-(test!$B$35-50),0)</f>
        <v>135</v>
      </c>
      <c r="K99">
        <f>IF(AND($A99&lt;&gt;K$1,Recharged_Feasible_mat!L68),(VLOOKUP(K$1,test!$A$3:$I$32,8,FALSE))-(VLOOKUP($A99,test!$A$3:$I$32,9,FALSE))-(test!$B$35-50),0)</f>
        <v>0</v>
      </c>
      <c r="L99">
        <f>IF(AND($A99&lt;&gt;L$1,Recharged_Feasible_mat!M68),(VLOOKUP(L$1,test!$A$3:$I$32,8,FALSE))-(VLOOKUP($A99,test!$A$3:$I$32,9,FALSE))-(test!$B$35-50),0)</f>
        <v>0</v>
      </c>
      <c r="M99">
        <f>IF(AND($A99&lt;&gt;M$1,Recharged_Feasible_mat!N68),(VLOOKUP(M$1,test!$A$3:$I$32,8,FALSE))-(VLOOKUP($A99,test!$A$3:$I$32,9,FALSE))-(test!$B$35-50),0)</f>
        <v>0</v>
      </c>
      <c r="N99">
        <f>IF(AND($A99&lt;&gt;N$1,Recharged_Feasible_mat!O68),(VLOOKUP(N$1,test!$A$3:$I$32,8,FALSE))-(VLOOKUP($A99,test!$A$3:$I$32,9,FALSE))-(test!$B$35-50),0)</f>
        <v>100</v>
      </c>
      <c r="O99">
        <f>IF(AND($A99&lt;&gt;O$1,Recharged_Feasible_mat!P68),(VLOOKUP(O$1,test!$A$3:$I$32,8,FALSE))-(VLOOKUP($A99,test!$A$3:$I$32,9,FALSE))-(test!$B$35-50),0)</f>
        <v>160</v>
      </c>
      <c r="P99">
        <f>IF(AND($A99&lt;&gt;P$1,Recharged_Feasible_mat!Q68),(VLOOKUP(P$1,test!$A$3:$I$32,8,FALSE))-(VLOOKUP($A99,test!$A$3:$I$32,9,FALSE))-(test!$B$35-50),0)</f>
        <v>0</v>
      </c>
      <c r="Q99">
        <f>IF(AND($A99&lt;&gt;Q$1,Recharged_Feasible_mat!R68),(VLOOKUP(Q$1,test!$A$3:$I$32,8,FALSE))-(VLOOKUP($A99,test!$A$3:$I$32,9,FALSE))-(test!$B$35-50),0)</f>
        <v>0</v>
      </c>
      <c r="R99">
        <f>IF(AND($A99&lt;&gt;R$1,Recharged_Feasible_mat!S68),(VLOOKUP(R$1,test!$A$3:$I$32,8,FALSE))-(VLOOKUP($A99,test!$A$3:$I$32,9,FALSE))-(test!$B$35-50),0)</f>
        <v>0</v>
      </c>
      <c r="S99">
        <f>IF(AND($A99&lt;&gt;S$1,Recharged_Feasible_mat!T68),(VLOOKUP(S$1,test!$A$3:$I$32,8,FALSE))-(VLOOKUP($A99,test!$A$3:$I$32,9,FALSE))-(test!$B$35-50),0)</f>
        <v>0</v>
      </c>
      <c r="T99">
        <f>IF(AND($A99&lt;&gt;T$1,Recharged_Feasible_mat!U68),(VLOOKUP(T$1,test!$A$3:$I$32,8,FALSE))-(VLOOKUP($A99,test!$A$3:$I$32,9,FALSE))-(test!$B$35-50),0)</f>
        <v>0</v>
      </c>
      <c r="U99">
        <f>IF(AND($A99&lt;&gt;U$1,Recharged_Feasible_mat!V68),(VLOOKUP(U$1,test!$A$3:$I$32,8,FALSE))-(VLOOKUP($A99,test!$A$3:$I$32,9,FALSE))-(test!$B$35-50),0)</f>
        <v>0</v>
      </c>
      <c r="V99">
        <f>IF(AND($A99&lt;&gt;V$1,Recharged_Feasible_mat!W68),(VLOOKUP(V$1,test!$A$3:$I$32,8,FALSE))-(VLOOKUP($A99,test!$A$3:$I$32,9,FALSE))-(test!$B$35-50),0)</f>
        <v>0</v>
      </c>
      <c r="W99">
        <f>IF(AND($A99&lt;&gt;W$1,Recharged_Feasible_mat!X68),(VLOOKUP(W$1,test!$A$3:$I$32,8,FALSE))-(VLOOKUP($A99,test!$A$3:$I$32,9,FALSE))-(test!$B$35-50),0)</f>
        <v>0</v>
      </c>
      <c r="X99">
        <f>IF(AND($A99&lt;&gt;X$1,Recharged_Feasible_mat!Y68),(VLOOKUP(X$1,test!$A$3:$I$32,8,FALSE))-(VLOOKUP($A99,test!$A$3:$I$32,9,FALSE))-(test!$B$35-50),0)</f>
        <v>85</v>
      </c>
      <c r="Y99">
        <f>IF(AND($A99&lt;&gt;Y$1,Recharged_Feasible_mat!Z68),(VLOOKUP(Y$1,test!$A$3:$I$32,8,FALSE))-(VLOOKUP($A99,test!$A$3:$I$32,9,FALSE))-(test!$B$35-50),0)</f>
        <v>0</v>
      </c>
      <c r="Z99">
        <f>IF(AND($A99&lt;&gt;Z$1,Recharged_Feasible_mat!AA68),(VLOOKUP(Z$1,test!$A$3:$I$32,8,FALSE))-(VLOOKUP($A99,test!$A$3:$I$32,9,FALSE))-(test!$B$35-50),0)</f>
        <v>0</v>
      </c>
      <c r="AA99">
        <f>IF(AND($A99&lt;&gt;AA$1,Recharged_Feasible_mat!AB68),(VLOOKUP(AA$1,test!$A$3:$I$32,8,FALSE))-(VLOOKUP($A99,test!$A$3:$I$32,9,FALSE))-(test!$B$35-50),0)</f>
        <v>0</v>
      </c>
      <c r="AB99">
        <f>IF(AND($A99&lt;&gt;AB$1,Recharged_Feasible_mat!AC68),(VLOOKUP(AB$1,test!$A$3:$I$32,8,FALSE))-(VLOOKUP($A99,test!$A$3:$I$32,9,FALSE))-(test!$B$35-50),0)</f>
        <v>0</v>
      </c>
      <c r="AC99">
        <f>IF(AND($A99&lt;&gt;AC$1,Recharged_Feasible_mat!AD68),(VLOOKUP(AC$1,test!$A$3:$I$32,8,FALSE))-(VLOOKUP($A99,test!$A$3:$I$32,9,FALSE))-(test!$B$35-50),0)</f>
        <v>0</v>
      </c>
      <c r="AD99">
        <f>IF(AND($A99&lt;&gt;AD$1,Recharged_Feasible_mat!AE68),(VLOOKUP(AD$1,test!$A$3:$I$32,8,FALSE))-(VLOOKUP($A99,test!$A$3:$I$32,9,FALSE))-(test!$B$35-50),0)</f>
        <v>0</v>
      </c>
      <c r="AE99">
        <f>IF(AND($A99&lt;&gt;AE$1,Recharged_Feasible_mat!AF68),(VLOOKUP(AE$1,test!$A$3:$I$32,8,FALSE))-(VLOOKUP($A99,test!$A$3:$I$32,9,FALSE))-(test!$B$35-50),0)</f>
        <v>0</v>
      </c>
      <c r="AF99">
        <f>IF(AND($A99&lt;&gt;AF$1,Recharged_Feasible_mat!AG68),(VLOOKUP(AF$1,test!$A$3:$I$32,8,FALSE))-(VLOOKUP($A99,test!$A$3:$I$32,9,FALSE))-(test!$B$35-50),0)</f>
        <v>0</v>
      </c>
    </row>
    <row r="100" spans="1:32" x14ac:dyDescent="0.25">
      <c r="A100" t="s">
        <v>12</v>
      </c>
      <c r="B100">
        <v>0</v>
      </c>
      <c r="C100">
        <f>IF(AND($A100&lt;&gt;C$1,Recharged_Feasible_mat!D69),(VLOOKUP(C$1,test!$A$3:$I$32,8,FALSE))-(VLOOKUP($A100,test!$A$3:$I$32,9,FALSE))-(test!$B$35-50),0)</f>
        <v>0</v>
      </c>
      <c r="D100">
        <f>IF(AND($A100&lt;&gt;D$1,Recharged_Feasible_mat!E69),(VLOOKUP(D$1,test!$A$3:$I$32,8,FALSE))-(VLOOKUP($A100,test!$A$3:$I$32,9,FALSE))-(test!$B$35-50),0)</f>
        <v>0</v>
      </c>
      <c r="E100">
        <f>IF(AND($A100&lt;&gt;E$1,Recharged_Feasible_mat!F69),(VLOOKUP(E$1,test!$A$3:$I$32,8,FALSE))-(VLOOKUP($A100,test!$A$3:$I$32,9,FALSE))-(test!$B$35-50),0)</f>
        <v>0</v>
      </c>
      <c r="F100">
        <f>IF(AND($A100&lt;&gt;F$1,Recharged_Feasible_mat!G69),(VLOOKUP(F$1,test!$A$3:$I$32,8,FALSE))-(VLOOKUP($A100,test!$A$3:$I$32,9,FALSE))-(test!$B$35-50),0)</f>
        <v>0</v>
      </c>
      <c r="G100">
        <f>IF(AND($A100&lt;&gt;G$1,Recharged_Feasible_mat!H69),(VLOOKUP(G$1,test!$A$3:$I$32,8,FALSE))-(VLOOKUP($A100,test!$A$3:$I$32,9,FALSE))-(test!$B$35-50),0)</f>
        <v>0</v>
      </c>
      <c r="H100">
        <f>IF(AND($A100&lt;&gt;H$1,Recharged_Feasible_mat!I69),(VLOOKUP(H$1,test!$A$3:$I$32,8,FALSE))-(VLOOKUP($A100,test!$A$3:$I$32,9,FALSE))-(test!$B$35-50),0)</f>
        <v>0</v>
      </c>
      <c r="I100">
        <f>IF(AND($A100&lt;&gt;I$1,Recharged_Feasible_mat!J69),(VLOOKUP(I$1,test!$A$3:$I$32,8,FALSE))-(VLOOKUP($A100,test!$A$3:$I$32,9,FALSE))-(test!$B$35-50),0)</f>
        <v>0</v>
      </c>
      <c r="J100">
        <f>IF(AND($A100&lt;&gt;J$1,Recharged_Feasible_mat!K69),(VLOOKUP(J$1,test!$A$3:$I$32,8,FALSE))-(VLOOKUP($A100,test!$A$3:$I$32,9,FALSE))-(test!$B$35-50),0)</f>
        <v>75</v>
      </c>
      <c r="K100">
        <f>IF(AND($A100&lt;&gt;K$1,Recharged_Feasible_mat!L69),(VLOOKUP(K$1,test!$A$3:$I$32,8,FALSE))-(VLOOKUP($A100,test!$A$3:$I$32,9,FALSE))-(test!$B$35-50),0)</f>
        <v>0</v>
      </c>
      <c r="L100">
        <f>IF(AND($A100&lt;&gt;L$1,Recharged_Feasible_mat!M69),(VLOOKUP(L$1,test!$A$3:$I$32,8,FALSE))-(VLOOKUP($A100,test!$A$3:$I$32,9,FALSE))-(test!$B$35-50),0)</f>
        <v>0</v>
      </c>
      <c r="M100">
        <f>IF(AND($A100&lt;&gt;M$1,Recharged_Feasible_mat!N69),(VLOOKUP(M$1,test!$A$3:$I$32,8,FALSE))-(VLOOKUP($A100,test!$A$3:$I$32,9,FALSE))-(test!$B$35-50),0)</f>
        <v>0</v>
      </c>
      <c r="N100">
        <f>IF(AND($A100&lt;&gt;N$1,Recharged_Feasible_mat!O69),(VLOOKUP(N$1,test!$A$3:$I$32,8,FALSE))-(VLOOKUP($A100,test!$A$3:$I$32,9,FALSE))-(test!$B$35-50),0)</f>
        <v>0</v>
      </c>
      <c r="O100">
        <f>IF(AND($A100&lt;&gt;O$1,Recharged_Feasible_mat!P69),(VLOOKUP(O$1,test!$A$3:$I$32,8,FALSE))-(VLOOKUP($A100,test!$A$3:$I$32,9,FALSE))-(test!$B$35-50),0)</f>
        <v>100</v>
      </c>
      <c r="P100">
        <f>IF(AND($A100&lt;&gt;P$1,Recharged_Feasible_mat!Q69),(VLOOKUP(P$1,test!$A$3:$I$32,8,FALSE))-(VLOOKUP($A100,test!$A$3:$I$32,9,FALSE))-(test!$B$35-50),0)</f>
        <v>0</v>
      </c>
      <c r="Q100">
        <f>IF(AND($A100&lt;&gt;Q$1,Recharged_Feasible_mat!R69),(VLOOKUP(Q$1,test!$A$3:$I$32,8,FALSE))-(VLOOKUP($A100,test!$A$3:$I$32,9,FALSE))-(test!$B$35-50),0)</f>
        <v>0</v>
      </c>
      <c r="R100">
        <f>IF(AND($A100&lt;&gt;R$1,Recharged_Feasible_mat!S69),(VLOOKUP(R$1,test!$A$3:$I$32,8,FALSE))-(VLOOKUP($A100,test!$A$3:$I$32,9,FALSE))-(test!$B$35-50),0)</f>
        <v>0</v>
      </c>
      <c r="S100">
        <f>IF(AND($A100&lt;&gt;S$1,Recharged_Feasible_mat!T69),(VLOOKUP(S$1,test!$A$3:$I$32,8,FALSE))-(VLOOKUP($A100,test!$A$3:$I$32,9,FALSE))-(test!$B$35-50),0)</f>
        <v>0</v>
      </c>
      <c r="T100">
        <f>IF(AND($A100&lt;&gt;T$1,Recharged_Feasible_mat!U69),(VLOOKUP(T$1,test!$A$3:$I$32,8,FALSE))-(VLOOKUP($A100,test!$A$3:$I$32,9,FALSE))-(test!$B$35-50),0)</f>
        <v>0</v>
      </c>
      <c r="U100">
        <f>IF(AND($A100&lt;&gt;U$1,Recharged_Feasible_mat!V69),(VLOOKUP(U$1,test!$A$3:$I$32,8,FALSE))-(VLOOKUP($A100,test!$A$3:$I$32,9,FALSE))-(test!$B$35-50),0)</f>
        <v>0</v>
      </c>
      <c r="V100">
        <f>IF(AND($A100&lt;&gt;V$1,Recharged_Feasible_mat!W69),(VLOOKUP(V$1,test!$A$3:$I$32,8,FALSE))-(VLOOKUP($A100,test!$A$3:$I$32,9,FALSE))-(test!$B$35-50),0)</f>
        <v>0</v>
      </c>
      <c r="W100">
        <f>IF(AND($A100&lt;&gt;W$1,Recharged_Feasible_mat!X69),(VLOOKUP(W$1,test!$A$3:$I$32,8,FALSE))-(VLOOKUP($A100,test!$A$3:$I$32,9,FALSE))-(test!$B$35-50),0)</f>
        <v>0</v>
      </c>
      <c r="X100">
        <f>IF(AND($A100&lt;&gt;X$1,Recharged_Feasible_mat!Y69),(VLOOKUP(X$1,test!$A$3:$I$32,8,FALSE))-(VLOOKUP($A100,test!$A$3:$I$32,9,FALSE))-(test!$B$35-50),0)</f>
        <v>0</v>
      </c>
      <c r="Y100">
        <f>IF(AND($A100&lt;&gt;Y$1,Recharged_Feasible_mat!Z69),(VLOOKUP(Y$1,test!$A$3:$I$32,8,FALSE))-(VLOOKUP($A100,test!$A$3:$I$32,9,FALSE))-(test!$B$35-50),0)</f>
        <v>0</v>
      </c>
      <c r="Z100">
        <f>IF(AND($A100&lt;&gt;Z$1,Recharged_Feasible_mat!AA69),(VLOOKUP(Z$1,test!$A$3:$I$32,8,FALSE))-(VLOOKUP($A100,test!$A$3:$I$32,9,FALSE))-(test!$B$35-50),0)</f>
        <v>0</v>
      </c>
      <c r="AA100">
        <f>IF(AND($A100&lt;&gt;AA$1,Recharged_Feasible_mat!AB69),(VLOOKUP(AA$1,test!$A$3:$I$32,8,FALSE))-(VLOOKUP($A100,test!$A$3:$I$32,9,FALSE))-(test!$B$35-50),0)</f>
        <v>0</v>
      </c>
      <c r="AB100">
        <f>IF(AND($A100&lt;&gt;AB$1,Recharged_Feasible_mat!AC69),(VLOOKUP(AB$1,test!$A$3:$I$32,8,FALSE))-(VLOOKUP($A100,test!$A$3:$I$32,9,FALSE))-(test!$B$35-50),0)</f>
        <v>0</v>
      </c>
      <c r="AC100">
        <f>IF(AND($A100&lt;&gt;AC$1,Recharged_Feasible_mat!AD69),(VLOOKUP(AC$1,test!$A$3:$I$32,8,FALSE))-(VLOOKUP($A100,test!$A$3:$I$32,9,FALSE))-(test!$B$35-50),0)</f>
        <v>0</v>
      </c>
      <c r="AD100">
        <f>IF(AND($A100&lt;&gt;AD$1,Recharged_Feasible_mat!AE69),(VLOOKUP(AD$1,test!$A$3:$I$32,8,FALSE))-(VLOOKUP($A100,test!$A$3:$I$32,9,FALSE))-(test!$B$35-50),0)</f>
        <v>0</v>
      </c>
      <c r="AE100">
        <f>IF(AND($A100&lt;&gt;AE$1,Recharged_Feasible_mat!AF69),(VLOOKUP(AE$1,test!$A$3:$I$32,8,FALSE))-(VLOOKUP($A100,test!$A$3:$I$32,9,FALSE))-(test!$B$35-50),0)</f>
        <v>0</v>
      </c>
      <c r="AF100">
        <f>IF(AND($A100&lt;&gt;AF$1,Recharged_Feasible_mat!AG69),(VLOOKUP(AF$1,test!$A$3:$I$32,8,FALSE))-(VLOOKUP($A100,test!$A$3:$I$32,9,FALSE))-(test!$B$35-50),0)</f>
        <v>0</v>
      </c>
    </row>
    <row r="101" spans="1:32" x14ac:dyDescent="0.25">
      <c r="A101" t="s">
        <v>13</v>
      </c>
      <c r="B101">
        <v>0</v>
      </c>
      <c r="C101">
        <f>IF(AND($A101&lt;&gt;C$1,Recharged_Feasible_mat!D70),(VLOOKUP(C$1,test!$A$3:$I$32,8,FALSE))-(VLOOKUP($A101,test!$A$3:$I$32,9,FALSE))-(test!$B$35-50),0)</f>
        <v>0</v>
      </c>
      <c r="D101">
        <f>IF(AND($A101&lt;&gt;D$1,Recharged_Feasible_mat!E70),(VLOOKUP(D$1,test!$A$3:$I$32,8,FALSE))-(VLOOKUP($A101,test!$A$3:$I$32,9,FALSE))-(test!$B$35-50),0)</f>
        <v>0</v>
      </c>
      <c r="E101">
        <f>IF(AND($A101&lt;&gt;E$1,Recharged_Feasible_mat!F70),(VLOOKUP(E$1,test!$A$3:$I$32,8,FALSE))-(VLOOKUP($A101,test!$A$3:$I$32,9,FALSE))-(test!$B$35-50),0)</f>
        <v>0</v>
      </c>
      <c r="F101">
        <f>IF(AND($A101&lt;&gt;F$1,Recharged_Feasible_mat!G70),(VLOOKUP(F$1,test!$A$3:$I$32,8,FALSE))-(VLOOKUP($A101,test!$A$3:$I$32,9,FALSE))-(test!$B$35-50),0)</f>
        <v>0</v>
      </c>
      <c r="G101">
        <f>IF(AND($A101&lt;&gt;G$1,Recharged_Feasible_mat!H70),(VLOOKUP(G$1,test!$A$3:$I$32,8,FALSE))-(VLOOKUP($A101,test!$A$3:$I$32,9,FALSE))-(test!$B$35-50),0)</f>
        <v>0</v>
      </c>
      <c r="H101">
        <f>IF(AND($A101&lt;&gt;H$1,Recharged_Feasible_mat!I70),(VLOOKUP(H$1,test!$A$3:$I$32,8,FALSE))-(VLOOKUP($A101,test!$A$3:$I$32,9,FALSE))-(test!$B$35-50),0)</f>
        <v>0</v>
      </c>
      <c r="I101">
        <f>IF(AND($A101&lt;&gt;I$1,Recharged_Feasible_mat!J70),(VLOOKUP(I$1,test!$A$3:$I$32,8,FALSE))-(VLOOKUP($A101,test!$A$3:$I$32,9,FALSE))-(test!$B$35-50),0)</f>
        <v>0</v>
      </c>
      <c r="J101">
        <f>IF(AND($A101&lt;&gt;J$1,Recharged_Feasible_mat!K70),(VLOOKUP(J$1,test!$A$3:$I$32,8,FALSE))-(VLOOKUP($A101,test!$A$3:$I$32,9,FALSE))-(test!$B$35-50),0)</f>
        <v>0</v>
      </c>
      <c r="K101">
        <f>IF(AND($A101&lt;&gt;K$1,Recharged_Feasible_mat!L70),(VLOOKUP(K$1,test!$A$3:$I$32,8,FALSE))-(VLOOKUP($A101,test!$A$3:$I$32,9,FALSE))-(test!$B$35-50),0)</f>
        <v>0</v>
      </c>
      <c r="L101">
        <f>IF(AND($A101&lt;&gt;L$1,Recharged_Feasible_mat!M70),(VLOOKUP(L$1,test!$A$3:$I$32,8,FALSE))-(VLOOKUP($A101,test!$A$3:$I$32,9,FALSE))-(test!$B$35-50),0)</f>
        <v>0</v>
      </c>
      <c r="M101">
        <f>IF(AND($A101&lt;&gt;M$1,Recharged_Feasible_mat!N70),(VLOOKUP(M$1,test!$A$3:$I$32,8,FALSE))-(VLOOKUP($A101,test!$A$3:$I$32,9,FALSE))-(test!$B$35-50),0)</f>
        <v>0</v>
      </c>
      <c r="N101">
        <f>IF(AND($A101&lt;&gt;N$1,Recharged_Feasible_mat!O70),(VLOOKUP(N$1,test!$A$3:$I$32,8,FALSE))-(VLOOKUP($A101,test!$A$3:$I$32,9,FALSE))-(test!$B$35-50),0)</f>
        <v>0</v>
      </c>
      <c r="O101">
        <f>IF(AND($A101&lt;&gt;O$1,Recharged_Feasible_mat!P70),(VLOOKUP(O$1,test!$A$3:$I$32,8,FALSE))-(VLOOKUP($A101,test!$A$3:$I$32,9,FALSE))-(test!$B$35-50),0)</f>
        <v>0</v>
      </c>
      <c r="P101">
        <f>IF(AND($A101&lt;&gt;P$1,Recharged_Feasible_mat!Q70),(VLOOKUP(P$1,test!$A$3:$I$32,8,FALSE))-(VLOOKUP($A101,test!$A$3:$I$32,9,FALSE))-(test!$B$35-50),0)</f>
        <v>0</v>
      </c>
      <c r="Q101">
        <f>IF(AND($A101&lt;&gt;Q$1,Recharged_Feasible_mat!R70),(VLOOKUP(Q$1,test!$A$3:$I$32,8,FALSE))-(VLOOKUP($A101,test!$A$3:$I$32,9,FALSE))-(test!$B$35-50),0)</f>
        <v>0</v>
      </c>
      <c r="R101">
        <f>IF(AND($A101&lt;&gt;R$1,Recharged_Feasible_mat!S70),(VLOOKUP(R$1,test!$A$3:$I$32,8,FALSE))-(VLOOKUP($A101,test!$A$3:$I$32,9,FALSE))-(test!$B$35-50),0)</f>
        <v>0</v>
      </c>
      <c r="S101">
        <f>IF(AND($A101&lt;&gt;S$1,Recharged_Feasible_mat!T70),(VLOOKUP(S$1,test!$A$3:$I$32,8,FALSE))-(VLOOKUP($A101,test!$A$3:$I$32,9,FALSE))-(test!$B$35-50),0)</f>
        <v>0</v>
      </c>
      <c r="T101">
        <f>IF(AND($A101&lt;&gt;T$1,Recharged_Feasible_mat!U70),(VLOOKUP(T$1,test!$A$3:$I$32,8,FALSE))-(VLOOKUP($A101,test!$A$3:$I$32,9,FALSE))-(test!$B$35-50),0)</f>
        <v>0</v>
      </c>
      <c r="U101">
        <f>IF(AND($A101&lt;&gt;U$1,Recharged_Feasible_mat!V70),(VLOOKUP(U$1,test!$A$3:$I$32,8,FALSE))-(VLOOKUP($A101,test!$A$3:$I$32,9,FALSE))-(test!$B$35-50),0)</f>
        <v>0</v>
      </c>
      <c r="V101">
        <f>IF(AND($A101&lt;&gt;V$1,Recharged_Feasible_mat!W70),(VLOOKUP(V$1,test!$A$3:$I$32,8,FALSE))-(VLOOKUP($A101,test!$A$3:$I$32,9,FALSE))-(test!$B$35-50),0)</f>
        <v>0</v>
      </c>
      <c r="W101">
        <f>IF(AND($A101&lt;&gt;W$1,Recharged_Feasible_mat!X70),(VLOOKUP(W$1,test!$A$3:$I$32,8,FALSE))-(VLOOKUP($A101,test!$A$3:$I$32,9,FALSE))-(test!$B$35-50),0)</f>
        <v>0</v>
      </c>
      <c r="X101">
        <f>IF(AND($A101&lt;&gt;X$1,Recharged_Feasible_mat!Y70),(VLOOKUP(X$1,test!$A$3:$I$32,8,FALSE))-(VLOOKUP($A101,test!$A$3:$I$32,9,FALSE))-(test!$B$35-50),0)</f>
        <v>0</v>
      </c>
      <c r="Y101">
        <f>IF(AND($A101&lt;&gt;Y$1,Recharged_Feasible_mat!Z70),(VLOOKUP(Y$1,test!$A$3:$I$32,8,FALSE))-(VLOOKUP($A101,test!$A$3:$I$32,9,FALSE))-(test!$B$35-50),0)</f>
        <v>0</v>
      </c>
      <c r="Z101">
        <f>IF(AND($A101&lt;&gt;Z$1,Recharged_Feasible_mat!AA70),(VLOOKUP(Z$1,test!$A$3:$I$32,8,FALSE))-(VLOOKUP($A101,test!$A$3:$I$32,9,FALSE))-(test!$B$35-50),0)</f>
        <v>0</v>
      </c>
      <c r="AA101">
        <f>IF(AND($A101&lt;&gt;AA$1,Recharged_Feasible_mat!AB70),(VLOOKUP(AA$1,test!$A$3:$I$32,8,FALSE))-(VLOOKUP($A101,test!$A$3:$I$32,9,FALSE))-(test!$B$35-50),0)</f>
        <v>0</v>
      </c>
      <c r="AB101">
        <f>IF(AND($A101&lt;&gt;AB$1,Recharged_Feasible_mat!AC70),(VLOOKUP(AB$1,test!$A$3:$I$32,8,FALSE))-(VLOOKUP($A101,test!$A$3:$I$32,9,FALSE))-(test!$B$35-50),0)</f>
        <v>0</v>
      </c>
      <c r="AC101">
        <f>IF(AND($A101&lt;&gt;AC$1,Recharged_Feasible_mat!AD70),(VLOOKUP(AC$1,test!$A$3:$I$32,8,FALSE))-(VLOOKUP($A101,test!$A$3:$I$32,9,FALSE))-(test!$B$35-50),0)</f>
        <v>0</v>
      </c>
      <c r="AD101">
        <f>IF(AND($A101&lt;&gt;AD$1,Recharged_Feasible_mat!AE70),(VLOOKUP(AD$1,test!$A$3:$I$32,8,FALSE))-(VLOOKUP($A101,test!$A$3:$I$32,9,FALSE))-(test!$B$35-50),0)</f>
        <v>0</v>
      </c>
      <c r="AE101">
        <f>IF(AND($A101&lt;&gt;AE$1,Recharged_Feasible_mat!AF70),(VLOOKUP(AE$1,test!$A$3:$I$32,8,FALSE))-(VLOOKUP($A101,test!$A$3:$I$32,9,FALSE))-(test!$B$35-50),0)</f>
        <v>0</v>
      </c>
      <c r="AF101">
        <f>IF(AND($A101&lt;&gt;AF$1,Recharged_Feasible_mat!AG70),(VLOOKUP(AF$1,test!$A$3:$I$32,8,FALSE))-(VLOOKUP($A101,test!$A$3:$I$32,9,FALSE))-(test!$B$35-50),0)</f>
        <v>0</v>
      </c>
    </row>
    <row r="102" spans="1:32" x14ac:dyDescent="0.25">
      <c r="A102" t="s">
        <v>14</v>
      </c>
      <c r="B102">
        <v>0</v>
      </c>
      <c r="C102">
        <f>IF(AND($A102&lt;&gt;C$1,Recharged_Feasible_mat!D71),(VLOOKUP(C$1,test!$A$3:$I$32,8,FALSE))-(VLOOKUP($A102,test!$A$3:$I$32,9,FALSE))-(test!$B$35-50),0)</f>
        <v>0</v>
      </c>
      <c r="D102">
        <f>IF(AND($A102&lt;&gt;D$1,Recharged_Feasible_mat!E71),(VLOOKUP(D$1,test!$A$3:$I$32,8,FALSE))-(VLOOKUP($A102,test!$A$3:$I$32,9,FALSE))-(test!$B$35-50),0)</f>
        <v>0</v>
      </c>
      <c r="E102">
        <f>IF(AND($A102&lt;&gt;E$1,Recharged_Feasible_mat!F71),(VLOOKUP(E$1,test!$A$3:$I$32,8,FALSE))-(VLOOKUP($A102,test!$A$3:$I$32,9,FALSE))-(test!$B$35-50),0)</f>
        <v>0</v>
      </c>
      <c r="F102">
        <f>IF(AND($A102&lt;&gt;F$1,Recharged_Feasible_mat!G71),(VLOOKUP(F$1,test!$A$3:$I$32,8,FALSE))-(VLOOKUP($A102,test!$A$3:$I$32,9,FALSE))-(test!$B$35-50),0)</f>
        <v>0</v>
      </c>
      <c r="G102">
        <f>IF(AND($A102&lt;&gt;G$1,Recharged_Feasible_mat!H71),(VLOOKUP(G$1,test!$A$3:$I$32,8,FALSE))-(VLOOKUP($A102,test!$A$3:$I$32,9,FALSE))-(test!$B$35-50),0)</f>
        <v>0</v>
      </c>
      <c r="H102">
        <f>IF(AND($A102&lt;&gt;H$1,Recharged_Feasible_mat!I71),(VLOOKUP(H$1,test!$A$3:$I$32,8,FALSE))-(VLOOKUP($A102,test!$A$3:$I$32,9,FALSE))-(test!$B$35-50),0)</f>
        <v>0</v>
      </c>
      <c r="I102">
        <f>IF(AND($A102&lt;&gt;I$1,Recharged_Feasible_mat!J71),(VLOOKUP(I$1,test!$A$3:$I$32,8,FALSE))-(VLOOKUP($A102,test!$A$3:$I$32,9,FALSE))-(test!$B$35-50),0)</f>
        <v>0</v>
      </c>
      <c r="J102">
        <f>IF(AND($A102&lt;&gt;J$1,Recharged_Feasible_mat!K71),(VLOOKUP(J$1,test!$A$3:$I$32,8,FALSE))-(VLOOKUP($A102,test!$A$3:$I$32,9,FALSE))-(test!$B$35-50),0)</f>
        <v>0</v>
      </c>
      <c r="K102">
        <f>IF(AND($A102&lt;&gt;K$1,Recharged_Feasible_mat!L71),(VLOOKUP(K$1,test!$A$3:$I$32,8,FALSE))-(VLOOKUP($A102,test!$A$3:$I$32,9,FALSE))-(test!$B$35-50),0)</f>
        <v>0</v>
      </c>
      <c r="L102">
        <f>IF(AND($A102&lt;&gt;L$1,Recharged_Feasible_mat!M71),(VLOOKUP(L$1,test!$A$3:$I$32,8,FALSE))-(VLOOKUP($A102,test!$A$3:$I$32,9,FALSE))-(test!$B$35-50),0)</f>
        <v>0</v>
      </c>
      <c r="M102">
        <f>IF(AND($A102&lt;&gt;M$1,Recharged_Feasible_mat!N71),(VLOOKUP(M$1,test!$A$3:$I$32,8,FALSE))-(VLOOKUP($A102,test!$A$3:$I$32,9,FALSE))-(test!$B$35-50),0)</f>
        <v>0</v>
      </c>
      <c r="N102">
        <f>IF(AND($A102&lt;&gt;N$1,Recharged_Feasible_mat!O71),(VLOOKUP(N$1,test!$A$3:$I$32,8,FALSE))-(VLOOKUP($A102,test!$A$3:$I$32,9,FALSE))-(test!$B$35-50),0)</f>
        <v>0</v>
      </c>
      <c r="O102">
        <f>IF(AND($A102&lt;&gt;O$1,Recharged_Feasible_mat!P71),(VLOOKUP(O$1,test!$A$3:$I$32,8,FALSE))-(VLOOKUP($A102,test!$A$3:$I$32,9,FALSE))-(test!$B$35-50),0)</f>
        <v>0</v>
      </c>
      <c r="P102">
        <f>IF(AND($A102&lt;&gt;P$1,Recharged_Feasible_mat!Q71),(VLOOKUP(P$1,test!$A$3:$I$32,8,FALSE))-(VLOOKUP($A102,test!$A$3:$I$32,9,FALSE))-(test!$B$35-50),0)</f>
        <v>0</v>
      </c>
      <c r="Q102">
        <f>IF(AND($A102&lt;&gt;Q$1,Recharged_Feasible_mat!R71),(VLOOKUP(Q$1,test!$A$3:$I$32,8,FALSE))-(VLOOKUP($A102,test!$A$3:$I$32,9,FALSE))-(test!$B$35-50),0)</f>
        <v>0</v>
      </c>
      <c r="R102">
        <f>IF(AND($A102&lt;&gt;R$1,Recharged_Feasible_mat!S71),(VLOOKUP(R$1,test!$A$3:$I$32,8,FALSE))-(VLOOKUP($A102,test!$A$3:$I$32,9,FALSE))-(test!$B$35-50),0)</f>
        <v>0</v>
      </c>
      <c r="S102">
        <f>IF(AND($A102&lt;&gt;S$1,Recharged_Feasible_mat!T71),(VLOOKUP(S$1,test!$A$3:$I$32,8,FALSE))-(VLOOKUP($A102,test!$A$3:$I$32,9,FALSE))-(test!$B$35-50),0)</f>
        <v>0</v>
      </c>
      <c r="T102">
        <f>IF(AND($A102&lt;&gt;T$1,Recharged_Feasible_mat!U71),(VLOOKUP(T$1,test!$A$3:$I$32,8,FALSE))-(VLOOKUP($A102,test!$A$3:$I$32,9,FALSE))-(test!$B$35-50),0)</f>
        <v>0</v>
      </c>
      <c r="U102">
        <f>IF(AND($A102&lt;&gt;U$1,Recharged_Feasible_mat!V71),(VLOOKUP(U$1,test!$A$3:$I$32,8,FALSE))-(VLOOKUP($A102,test!$A$3:$I$32,9,FALSE))-(test!$B$35-50),0)</f>
        <v>0</v>
      </c>
      <c r="V102">
        <f>IF(AND($A102&lt;&gt;V$1,Recharged_Feasible_mat!W71),(VLOOKUP(V$1,test!$A$3:$I$32,8,FALSE))-(VLOOKUP($A102,test!$A$3:$I$32,9,FALSE))-(test!$B$35-50),0)</f>
        <v>0</v>
      </c>
      <c r="W102">
        <f>IF(AND($A102&lt;&gt;W$1,Recharged_Feasible_mat!X71),(VLOOKUP(W$1,test!$A$3:$I$32,8,FALSE))-(VLOOKUP($A102,test!$A$3:$I$32,9,FALSE))-(test!$B$35-50),0)</f>
        <v>0</v>
      </c>
      <c r="X102">
        <f>IF(AND($A102&lt;&gt;X$1,Recharged_Feasible_mat!Y71),(VLOOKUP(X$1,test!$A$3:$I$32,8,FALSE))-(VLOOKUP($A102,test!$A$3:$I$32,9,FALSE))-(test!$B$35-50),0)</f>
        <v>0</v>
      </c>
      <c r="Y102">
        <f>IF(AND($A102&lt;&gt;Y$1,Recharged_Feasible_mat!Z71),(VLOOKUP(Y$1,test!$A$3:$I$32,8,FALSE))-(VLOOKUP($A102,test!$A$3:$I$32,9,FALSE))-(test!$B$35-50),0)</f>
        <v>0</v>
      </c>
      <c r="Z102">
        <f>IF(AND($A102&lt;&gt;Z$1,Recharged_Feasible_mat!AA71),(VLOOKUP(Z$1,test!$A$3:$I$32,8,FALSE))-(VLOOKUP($A102,test!$A$3:$I$32,9,FALSE))-(test!$B$35-50),0)</f>
        <v>0</v>
      </c>
      <c r="AA102">
        <f>IF(AND($A102&lt;&gt;AA$1,Recharged_Feasible_mat!AB71),(VLOOKUP(AA$1,test!$A$3:$I$32,8,FALSE))-(VLOOKUP($A102,test!$A$3:$I$32,9,FALSE))-(test!$B$35-50),0)</f>
        <v>0</v>
      </c>
      <c r="AB102">
        <f>IF(AND($A102&lt;&gt;AB$1,Recharged_Feasible_mat!AC71),(VLOOKUP(AB$1,test!$A$3:$I$32,8,FALSE))-(VLOOKUP($A102,test!$A$3:$I$32,9,FALSE))-(test!$B$35-50),0)</f>
        <v>0</v>
      </c>
      <c r="AC102">
        <f>IF(AND($A102&lt;&gt;AC$1,Recharged_Feasible_mat!AD71),(VLOOKUP(AC$1,test!$A$3:$I$32,8,FALSE))-(VLOOKUP($A102,test!$A$3:$I$32,9,FALSE))-(test!$B$35-50),0)</f>
        <v>0</v>
      </c>
      <c r="AD102">
        <f>IF(AND($A102&lt;&gt;AD$1,Recharged_Feasible_mat!AE71),(VLOOKUP(AD$1,test!$A$3:$I$32,8,FALSE))-(VLOOKUP($A102,test!$A$3:$I$32,9,FALSE))-(test!$B$35-50),0)</f>
        <v>0</v>
      </c>
      <c r="AE102">
        <f>IF(AND($A102&lt;&gt;AE$1,Recharged_Feasible_mat!AF71),(VLOOKUP(AE$1,test!$A$3:$I$32,8,FALSE))-(VLOOKUP($A102,test!$A$3:$I$32,9,FALSE))-(test!$B$35-50),0)</f>
        <v>0</v>
      </c>
      <c r="AF102">
        <f>IF(AND($A102&lt;&gt;AF$1,Recharged_Feasible_mat!AG71),(VLOOKUP(AF$1,test!$A$3:$I$32,8,FALSE))-(VLOOKUP($A102,test!$A$3:$I$32,9,FALSE))-(test!$B$35-50),0)</f>
        <v>0</v>
      </c>
    </row>
    <row r="103" spans="1:32" x14ac:dyDescent="0.25">
      <c r="A103" t="s">
        <v>15</v>
      </c>
      <c r="B103">
        <v>0</v>
      </c>
      <c r="C103">
        <f>IF(AND($A103&lt;&gt;C$1,Recharged_Feasible_mat!D72),(VLOOKUP(C$1,test!$A$3:$I$32,8,FALSE))-(VLOOKUP($A103,test!$A$3:$I$32,9,FALSE))-(test!$B$35-50),0)</f>
        <v>0</v>
      </c>
      <c r="D103">
        <f>IF(AND($A103&lt;&gt;D$1,Recharged_Feasible_mat!E72),(VLOOKUP(D$1,test!$A$3:$I$32,8,FALSE))-(VLOOKUP($A103,test!$A$3:$I$32,9,FALSE))-(test!$B$35-50),0)</f>
        <v>0</v>
      </c>
      <c r="E103">
        <f>IF(AND($A103&lt;&gt;E$1,Recharged_Feasible_mat!F72),(VLOOKUP(E$1,test!$A$3:$I$32,8,FALSE))-(VLOOKUP($A103,test!$A$3:$I$32,9,FALSE))-(test!$B$35-50),0)</f>
        <v>0</v>
      </c>
      <c r="F103">
        <f>IF(AND($A103&lt;&gt;F$1,Recharged_Feasible_mat!G72),(VLOOKUP(F$1,test!$A$3:$I$32,8,FALSE))-(VLOOKUP($A103,test!$A$3:$I$32,9,FALSE))-(test!$B$35-50),0)</f>
        <v>0</v>
      </c>
      <c r="G103">
        <f>IF(AND($A103&lt;&gt;G$1,Recharged_Feasible_mat!H72),(VLOOKUP(G$1,test!$A$3:$I$32,8,FALSE))-(VLOOKUP($A103,test!$A$3:$I$32,9,FALSE))-(test!$B$35-50),0)</f>
        <v>0</v>
      </c>
      <c r="H103">
        <f>IF(AND($A103&lt;&gt;H$1,Recharged_Feasible_mat!I72),(VLOOKUP(H$1,test!$A$3:$I$32,8,FALSE))-(VLOOKUP($A103,test!$A$3:$I$32,9,FALSE))-(test!$B$35-50),0)</f>
        <v>0</v>
      </c>
      <c r="I103">
        <f>IF(AND($A103&lt;&gt;I$1,Recharged_Feasible_mat!J72),(VLOOKUP(I$1,test!$A$3:$I$32,8,FALSE))-(VLOOKUP($A103,test!$A$3:$I$32,9,FALSE))-(test!$B$35-50),0)</f>
        <v>0</v>
      </c>
      <c r="J103">
        <f>IF(AND($A103&lt;&gt;J$1,Recharged_Feasible_mat!K72),(VLOOKUP(J$1,test!$A$3:$I$32,8,FALSE))-(VLOOKUP($A103,test!$A$3:$I$32,9,FALSE))-(test!$B$35-50),0)</f>
        <v>0</v>
      </c>
      <c r="K103">
        <f>IF(AND($A103&lt;&gt;K$1,Recharged_Feasible_mat!L72),(VLOOKUP(K$1,test!$A$3:$I$32,8,FALSE))-(VLOOKUP($A103,test!$A$3:$I$32,9,FALSE))-(test!$B$35-50),0)</f>
        <v>0</v>
      </c>
      <c r="L103">
        <f>IF(AND($A103&lt;&gt;L$1,Recharged_Feasible_mat!M72),(VLOOKUP(L$1,test!$A$3:$I$32,8,FALSE))-(VLOOKUP($A103,test!$A$3:$I$32,9,FALSE))-(test!$B$35-50),0)</f>
        <v>0</v>
      </c>
      <c r="M103">
        <f>IF(AND($A103&lt;&gt;M$1,Recharged_Feasible_mat!N72),(VLOOKUP(M$1,test!$A$3:$I$32,8,FALSE))-(VLOOKUP($A103,test!$A$3:$I$32,9,FALSE))-(test!$B$35-50),0)</f>
        <v>0</v>
      </c>
      <c r="N103">
        <f>IF(AND($A103&lt;&gt;N$1,Recharged_Feasible_mat!O72),(VLOOKUP(N$1,test!$A$3:$I$32,8,FALSE))-(VLOOKUP($A103,test!$A$3:$I$32,9,FALSE))-(test!$B$35-50),0)</f>
        <v>0</v>
      </c>
      <c r="O103">
        <f>IF(AND($A103&lt;&gt;O$1,Recharged_Feasible_mat!P72),(VLOOKUP(O$1,test!$A$3:$I$32,8,FALSE))-(VLOOKUP($A103,test!$A$3:$I$32,9,FALSE))-(test!$B$35-50),0)</f>
        <v>0</v>
      </c>
      <c r="P103">
        <f>IF(AND($A103&lt;&gt;P$1,Recharged_Feasible_mat!Q72),(VLOOKUP(P$1,test!$A$3:$I$32,8,FALSE))-(VLOOKUP($A103,test!$A$3:$I$32,9,FALSE))-(test!$B$35-50),0)</f>
        <v>0</v>
      </c>
      <c r="Q103">
        <f>IF(AND($A103&lt;&gt;Q$1,Recharged_Feasible_mat!R72),(VLOOKUP(Q$1,test!$A$3:$I$32,8,FALSE))-(VLOOKUP($A103,test!$A$3:$I$32,9,FALSE))-(test!$B$35-50),0)</f>
        <v>0</v>
      </c>
      <c r="R103">
        <f>IF(AND($A103&lt;&gt;R$1,Recharged_Feasible_mat!S72),(VLOOKUP(R$1,test!$A$3:$I$32,8,FALSE))-(VLOOKUP($A103,test!$A$3:$I$32,9,FALSE))-(test!$B$35-50),0)</f>
        <v>0</v>
      </c>
      <c r="S103">
        <f>IF(AND($A103&lt;&gt;S$1,Recharged_Feasible_mat!T72),(VLOOKUP(S$1,test!$A$3:$I$32,8,FALSE))-(VLOOKUP($A103,test!$A$3:$I$32,9,FALSE))-(test!$B$35-50),0)</f>
        <v>0</v>
      </c>
      <c r="T103">
        <f>IF(AND($A103&lt;&gt;T$1,Recharged_Feasible_mat!U72),(VLOOKUP(T$1,test!$A$3:$I$32,8,FALSE))-(VLOOKUP($A103,test!$A$3:$I$32,9,FALSE))-(test!$B$35-50),0)</f>
        <v>0</v>
      </c>
      <c r="U103">
        <f>IF(AND($A103&lt;&gt;U$1,Recharged_Feasible_mat!V72),(VLOOKUP(U$1,test!$A$3:$I$32,8,FALSE))-(VLOOKUP($A103,test!$A$3:$I$32,9,FALSE))-(test!$B$35-50),0)</f>
        <v>0</v>
      </c>
      <c r="V103">
        <f>IF(AND($A103&lt;&gt;V$1,Recharged_Feasible_mat!W72),(VLOOKUP(V$1,test!$A$3:$I$32,8,FALSE))-(VLOOKUP($A103,test!$A$3:$I$32,9,FALSE))-(test!$B$35-50),0)</f>
        <v>0</v>
      </c>
      <c r="W103">
        <f>IF(AND($A103&lt;&gt;W$1,Recharged_Feasible_mat!X72),(VLOOKUP(W$1,test!$A$3:$I$32,8,FALSE))-(VLOOKUP($A103,test!$A$3:$I$32,9,FALSE))-(test!$B$35-50),0)</f>
        <v>0</v>
      </c>
      <c r="X103">
        <f>IF(AND($A103&lt;&gt;X$1,Recharged_Feasible_mat!Y72),(VLOOKUP(X$1,test!$A$3:$I$32,8,FALSE))-(VLOOKUP($A103,test!$A$3:$I$32,9,FALSE))-(test!$B$35-50),0)</f>
        <v>0</v>
      </c>
      <c r="Y103">
        <f>IF(AND($A103&lt;&gt;Y$1,Recharged_Feasible_mat!Z72),(VLOOKUP(Y$1,test!$A$3:$I$32,8,FALSE))-(VLOOKUP($A103,test!$A$3:$I$32,9,FALSE))-(test!$B$35-50),0)</f>
        <v>0</v>
      </c>
      <c r="Z103">
        <f>IF(AND($A103&lt;&gt;Z$1,Recharged_Feasible_mat!AA72),(VLOOKUP(Z$1,test!$A$3:$I$32,8,FALSE))-(VLOOKUP($A103,test!$A$3:$I$32,9,FALSE))-(test!$B$35-50),0)</f>
        <v>0</v>
      </c>
      <c r="AA103">
        <f>IF(AND($A103&lt;&gt;AA$1,Recharged_Feasible_mat!AB72),(VLOOKUP(AA$1,test!$A$3:$I$32,8,FALSE))-(VLOOKUP($A103,test!$A$3:$I$32,9,FALSE))-(test!$B$35-50),0)</f>
        <v>0</v>
      </c>
      <c r="AB103">
        <f>IF(AND($A103&lt;&gt;AB$1,Recharged_Feasible_mat!AC72),(VLOOKUP(AB$1,test!$A$3:$I$32,8,FALSE))-(VLOOKUP($A103,test!$A$3:$I$32,9,FALSE))-(test!$B$35-50),0)</f>
        <v>0</v>
      </c>
      <c r="AC103">
        <f>IF(AND($A103&lt;&gt;AC$1,Recharged_Feasible_mat!AD72),(VLOOKUP(AC$1,test!$A$3:$I$32,8,FALSE))-(VLOOKUP($A103,test!$A$3:$I$32,9,FALSE))-(test!$B$35-50),0)</f>
        <v>0</v>
      </c>
      <c r="AD103">
        <f>IF(AND($A103&lt;&gt;AD$1,Recharged_Feasible_mat!AE72),(VLOOKUP(AD$1,test!$A$3:$I$32,8,FALSE))-(VLOOKUP($A103,test!$A$3:$I$32,9,FALSE))-(test!$B$35-50),0)</f>
        <v>0</v>
      </c>
      <c r="AE103">
        <f>IF(AND($A103&lt;&gt;AE$1,Recharged_Feasible_mat!AF72),(VLOOKUP(AE$1,test!$A$3:$I$32,8,FALSE))-(VLOOKUP($A103,test!$A$3:$I$32,9,FALSE))-(test!$B$35-50),0)</f>
        <v>0</v>
      </c>
      <c r="AF103">
        <f>IF(AND($A103&lt;&gt;AF$1,Recharged_Feasible_mat!AG72),(VLOOKUP(AF$1,test!$A$3:$I$32,8,FALSE))-(VLOOKUP($A103,test!$A$3:$I$32,9,FALSE))-(test!$B$35-50),0)</f>
        <v>0</v>
      </c>
    </row>
    <row r="104" spans="1:32" x14ac:dyDescent="0.25">
      <c r="A104" t="s">
        <v>18</v>
      </c>
      <c r="B104">
        <v>0</v>
      </c>
      <c r="C104">
        <f>IF(AND($A104&lt;&gt;C$1,Recharged_Feasible_mat!D73),(VLOOKUP(C$1,test!$A$3:$I$32,8,FALSE))-(VLOOKUP($A104,test!$A$3:$I$32,9,FALSE))-(test!$B$35-50),0)</f>
        <v>0</v>
      </c>
      <c r="D104">
        <f>IF(AND($A104&lt;&gt;D$1,Recharged_Feasible_mat!E73),(VLOOKUP(D$1,test!$A$3:$I$32,8,FALSE))-(VLOOKUP($A104,test!$A$3:$I$32,9,FALSE))-(test!$B$35-50),0)</f>
        <v>0</v>
      </c>
      <c r="E104">
        <f>IF(AND($A104&lt;&gt;E$1,Recharged_Feasible_mat!F73),(VLOOKUP(E$1,test!$A$3:$I$32,8,FALSE))-(VLOOKUP($A104,test!$A$3:$I$32,9,FALSE))-(test!$B$35-50),0)</f>
        <v>0</v>
      </c>
      <c r="F104">
        <f>IF(AND($A104&lt;&gt;F$1,Recharged_Feasible_mat!G73),(VLOOKUP(F$1,test!$A$3:$I$32,8,FALSE))-(VLOOKUP($A104,test!$A$3:$I$32,9,FALSE))-(test!$B$35-50),0)</f>
        <v>225</v>
      </c>
      <c r="G104">
        <f>IF(AND($A104&lt;&gt;G$1,Recharged_Feasible_mat!H73),(VLOOKUP(G$1,test!$A$3:$I$32,8,FALSE))-(VLOOKUP($A104,test!$A$3:$I$32,9,FALSE))-(test!$B$35-50),0)</f>
        <v>285</v>
      </c>
      <c r="H104">
        <f>IF(AND($A104&lt;&gt;H$1,Recharged_Feasible_mat!I73),(VLOOKUP(H$1,test!$A$3:$I$32,8,FALSE))-(VLOOKUP($A104,test!$A$3:$I$32,9,FALSE))-(test!$B$35-50),0)</f>
        <v>345</v>
      </c>
      <c r="I104">
        <f>IF(AND($A104&lt;&gt;I$1,Recharged_Feasible_mat!J73),(VLOOKUP(I$1,test!$A$3:$I$32,8,FALSE))-(VLOOKUP($A104,test!$A$3:$I$32,9,FALSE))-(test!$B$35-50),0)</f>
        <v>405</v>
      </c>
      <c r="J104">
        <f>IF(AND($A104&lt;&gt;J$1,Recharged_Feasible_mat!K73),(VLOOKUP(J$1,test!$A$3:$I$32,8,FALSE))-(VLOOKUP($A104,test!$A$3:$I$32,9,FALSE))-(test!$B$35-50),0)</f>
        <v>495</v>
      </c>
      <c r="K104">
        <f>IF(AND($A104&lt;&gt;K$1,Recharged_Feasible_mat!L73),(VLOOKUP(K$1,test!$A$3:$I$32,8,FALSE))-(VLOOKUP($A104,test!$A$3:$I$32,9,FALSE))-(test!$B$35-50),0)</f>
        <v>0</v>
      </c>
      <c r="L104">
        <f>IF(AND($A104&lt;&gt;L$1,Recharged_Feasible_mat!M73),(VLOOKUP(L$1,test!$A$3:$I$32,8,FALSE))-(VLOOKUP($A104,test!$A$3:$I$32,9,FALSE))-(test!$B$35-50),0)</f>
        <v>0</v>
      </c>
      <c r="M104">
        <f>IF(AND($A104&lt;&gt;M$1,Recharged_Feasible_mat!N73),(VLOOKUP(M$1,test!$A$3:$I$32,8,FALSE))-(VLOOKUP($A104,test!$A$3:$I$32,9,FALSE))-(test!$B$35-50),0)</f>
        <v>0</v>
      </c>
      <c r="N104">
        <f>IF(AND($A104&lt;&gt;N$1,Recharged_Feasible_mat!O73),(VLOOKUP(N$1,test!$A$3:$I$32,8,FALSE))-(VLOOKUP($A104,test!$A$3:$I$32,9,FALSE))-(test!$B$35-50),0)</f>
        <v>460</v>
      </c>
      <c r="O104">
        <f>IF(AND($A104&lt;&gt;O$1,Recharged_Feasible_mat!P73),(VLOOKUP(O$1,test!$A$3:$I$32,8,FALSE))-(VLOOKUP($A104,test!$A$3:$I$32,9,FALSE))-(test!$B$35-50),0)</f>
        <v>520</v>
      </c>
      <c r="P104">
        <f>IF(AND($A104&lt;&gt;P$1,Recharged_Feasible_mat!Q73),(VLOOKUP(P$1,test!$A$3:$I$32,8,FALSE))-(VLOOKUP($A104,test!$A$3:$I$32,9,FALSE))-(test!$B$35-50),0)</f>
        <v>0</v>
      </c>
      <c r="Q104">
        <f>IF(AND($A104&lt;&gt;Q$1,Recharged_Feasible_mat!R73),(VLOOKUP(Q$1,test!$A$3:$I$32,8,FALSE))-(VLOOKUP($A104,test!$A$3:$I$32,9,FALSE))-(test!$B$35-50),0)</f>
        <v>0</v>
      </c>
      <c r="R104">
        <f>IF(AND($A104&lt;&gt;R$1,Recharged_Feasible_mat!S73),(VLOOKUP(R$1,test!$A$3:$I$32,8,FALSE))-(VLOOKUP($A104,test!$A$3:$I$32,9,FALSE))-(test!$B$35-50),0)</f>
        <v>0</v>
      </c>
      <c r="S104">
        <f>IF(AND($A104&lt;&gt;S$1,Recharged_Feasible_mat!T73),(VLOOKUP(S$1,test!$A$3:$I$32,8,FALSE))-(VLOOKUP($A104,test!$A$3:$I$32,9,FALSE))-(test!$B$35-50),0)</f>
        <v>0</v>
      </c>
      <c r="T104">
        <f>IF(AND($A104&lt;&gt;T$1,Recharged_Feasible_mat!U73),(VLOOKUP(T$1,test!$A$3:$I$32,8,FALSE))-(VLOOKUP($A104,test!$A$3:$I$32,9,FALSE))-(test!$B$35-50),0)</f>
        <v>0</v>
      </c>
      <c r="U104">
        <f>IF(AND($A104&lt;&gt;U$1,Recharged_Feasible_mat!V73),(VLOOKUP(U$1,test!$A$3:$I$32,8,FALSE))-(VLOOKUP($A104,test!$A$3:$I$32,9,FALSE))-(test!$B$35-50),0)</f>
        <v>205</v>
      </c>
      <c r="V104">
        <f>IF(AND($A104&lt;&gt;V$1,Recharged_Feasible_mat!W73),(VLOOKUP(V$1,test!$A$3:$I$32,8,FALSE))-(VLOOKUP($A104,test!$A$3:$I$32,9,FALSE))-(test!$B$35-50),0)</f>
        <v>295</v>
      </c>
      <c r="W104">
        <f>IF(AND($A104&lt;&gt;W$1,Recharged_Feasible_mat!X73),(VLOOKUP(W$1,test!$A$3:$I$32,8,FALSE))-(VLOOKUP($A104,test!$A$3:$I$32,9,FALSE))-(test!$B$35-50),0)</f>
        <v>385</v>
      </c>
      <c r="X104">
        <f>IF(AND($A104&lt;&gt;X$1,Recharged_Feasible_mat!Y73),(VLOOKUP(X$1,test!$A$3:$I$32,8,FALSE))-(VLOOKUP($A104,test!$A$3:$I$32,9,FALSE))-(test!$B$35-50),0)</f>
        <v>445</v>
      </c>
      <c r="Y104">
        <f>IF(AND($A104&lt;&gt;Y$1,Recharged_Feasible_mat!Z73),(VLOOKUP(Y$1,test!$A$3:$I$32,8,FALSE))-(VLOOKUP($A104,test!$A$3:$I$32,9,FALSE))-(test!$B$35-50),0)</f>
        <v>0</v>
      </c>
      <c r="Z104">
        <f>IF(AND($A104&lt;&gt;Z$1,Recharged_Feasible_mat!AA73),(VLOOKUP(Z$1,test!$A$3:$I$32,8,FALSE))-(VLOOKUP($A104,test!$A$3:$I$32,9,FALSE))-(test!$B$35-50),0)</f>
        <v>0</v>
      </c>
      <c r="AA104">
        <f>IF(AND($A104&lt;&gt;AA$1,Recharged_Feasible_mat!AB73),(VLOOKUP(AA$1,test!$A$3:$I$32,8,FALSE))-(VLOOKUP($A104,test!$A$3:$I$32,9,FALSE))-(test!$B$35-50),0)</f>
        <v>0</v>
      </c>
      <c r="AB104">
        <f>IF(AND($A104&lt;&gt;AB$1,Recharged_Feasible_mat!AC73),(VLOOKUP(AB$1,test!$A$3:$I$32,8,FALSE))-(VLOOKUP($A104,test!$A$3:$I$32,9,FALSE))-(test!$B$35-50),0)</f>
        <v>225</v>
      </c>
      <c r="AC104">
        <f>IF(AND($A104&lt;&gt;AC$1,Recharged_Feasible_mat!AD73),(VLOOKUP(AC$1,test!$A$3:$I$32,8,FALSE))-(VLOOKUP($A104,test!$A$3:$I$32,9,FALSE))-(test!$B$35-50),0)</f>
        <v>345</v>
      </c>
      <c r="AD104">
        <f>IF(AND($A104&lt;&gt;AD$1,Recharged_Feasible_mat!AE73),(VLOOKUP(AD$1,test!$A$3:$I$32,8,FALSE))-(VLOOKUP($A104,test!$A$3:$I$32,9,FALSE))-(test!$B$35-50),0)</f>
        <v>0</v>
      </c>
      <c r="AE104">
        <f>IF(AND($A104&lt;&gt;AE$1,Recharged_Feasible_mat!AF73),(VLOOKUP(AE$1,test!$A$3:$I$32,8,FALSE))-(VLOOKUP($A104,test!$A$3:$I$32,9,FALSE))-(test!$B$35-50),0)</f>
        <v>0</v>
      </c>
      <c r="AF104">
        <f>IF(AND($A104&lt;&gt;AF$1,Recharged_Feasible_mat!AG73),(VLOOKUP(AF$1,test!$A$3:$I$32,8,FALSE))-(VLOOKUP($A104,test!$A$3:$I$32,9,FALSE))-(test!$B$35-50),0)</f>
        <v>0</v>
      </c>
    </row>
    <row r="105" spans="1:32" x14ac:dyDescent="0.25">
      <c r="A105" t="s">
        <v>20</v>
      </c>
      <c r="B105">
        <v>0</v>
      </c>
      <c r="C105">
        <f>IF(AND($A105&lt;&gt;C$1,Recharged_Feasible_mat!D74),(VLOOKUP(C$1,test!$A$3:$I$32,8,FALSE))-(VLOOKUP($A105,test!$A$3:$I$32,9,FALSE))-(test!$B$35-50),0)</f>
        <v>0</v>
      </c>
      <c r="D105">
        <f>IF(AND($A105&lt;&gt;D$1,Recharged_Feasible_mat!E74),(VLOOKUP(D$1,test!$A$3:$I$32,8,FALSE))-(VLOOKUP($A105,test!$A$3:$I$32,9,FALSE))-(test!$B$35-50),0)</f>
        <v>0</v>
      </c>
      <c r="E105">
        <f>IF(AND($A105&lt;&gt;E$1,Recharged_Feasible_mat!F74),(VLOOKUP(E$1,test!$A$3:$I$32,8,FALSE))-(VLOOKUP($A105,test!$A$3:$I$32,9,FALSE))-(test!$B$35-50),0)</f>
        <v>0</v>
      </c>
      <c r="F105">
        <f>IF(AND($A105&lt;&gt;F$1,Recharged_Feasible_mat!G74),(VLOOKUP(F$1,test!$A$3:$I$32,8,FALSE))-(VLOOKUP($A105,test!$A$3:$I$32,9,FALSE))-(test!$B$35-50),0)</f>
        <v>0</v>
      </c>
      <c r="G105">
        <f>IF(AND($A105&lt;&gt;G$1,Recharged_Feasible_mat!H74),(VLOOKUP(G$1,test!$A$3:$I$32,8,FALSE))-(VLOOKUP($A105,test!$A$3:$I$32,9,FALSE))-(test!$B$35-50),0)</f>
        <v>0</v>
      </c>
      <c r="H105">
        <f>IF(AND($A105&lt;&gt;H$1,Recharged_Feasible_mat!I74),(VLOOKUP(H$1,test!$A$3:$I$32,8,FALSE))-(VLOOKUP($A105,test!$A$3:$I$32,9,FALSE))-(test!$B$35-50),0)</f>
        <v>225</v>
      </c>
      <c r="I105">
        <f>IF(AND($A105&lt;&gt;I$1,Recharged_Feasible_mat!J74),(VLOOKUP(I$1,test!$A$3:$I$32,8,FALSE))-(VLOOKUP($A105,test!$A$3:$I$32,9,FALSE))-(test!$B$35-50),0)</f>
        <v>285</v>
      </c>
      <c r="J105">
        <f>IF(AND($A105&lt;&gt;J$1,Recharged_Feasible_mat!K74),(VLOOKUP(J$1,test!$A$3:$I$32,8,FALSE))-(VLOOKUP($A105,test!$A$3:$I$32,9,FALSE))-(test!$B$35-50),0)</f>
        <v>375</v>
      </c>
      <c r="K105">
        <f>IF(AND($A105&lt;&gt;K$1,Recharged_Feasible_mat!L74),(VLOOKUP(K$1,test!$A$3:$I$32,8,FALSE))-(VLOOKUP($A105,test!$A$3:$I$32,9,FALSE))-(test!$B$35-50),0)</f>
        <v>0</v>
      </c>
      <c r="L105">
        <f>IF(AND($A105&lt;&gt;L$1,Recharged_Feasible_mat!M74),(VLOOKUP(L$1,test!$A$3:$I$32,8,FALSE))-(VLOOKUP($A105,test!$A$3:$I$32,9,FALSE))-(test!$B$35-50),0)</f>
        <v>0</v>
      </c>
      <c r="M105">
        <f>IF(AND($A105&lt;&gt;M$1,Recharged_Feasible_mat!N74),(VLOOKUP(M$1,test!$A$3:$I$32,8,FALSE))-(VLOOKUP($A105,test!$A$3:$I$32,9,FALSE))-(test!$B$35-50),0)</f>
        <v>0</v>
      </c>
      <c r="N105">
        <f>IF(AND($A105&lt;&gt;N$1,Recharged_Feasible_mat!O74),(VLOOKUP(N$1,test!$A$3:$I$32,8,FALSE))-(VLOOKUP($A105,test!$A$3:$I$32,9,FALSE))-(test!$B$35-50),0)</f>
        <v>340</v>
      </c>
      <c r="O105">
        <f>IF(AND($A105&lt;&gt;O$1,Recharged_Feasible_mat!P74),(VLOOKUP(O$1,test!$A$3:$I$32,8,FALSE))-(VLOOKUP($A105,test!$A$3:$I$32,9,FALSE))-(test!$B$35-50),0)</f>
        <v>400</v>
      </c>
      <c r="P105">
        <f>IF(AND($A105&lt;&gt;P$1,Recharged_Feasible_mat!Q74),(VLOOKUP(P$1,test!$A$3:$I$32,8,FALSE))-(VLOOKUP($A105,test!$A$3:$I$32,9,FALSE))-(test!$B$35-50),0)</f>
        <v>0</v>
      </c>
      <c r="Q105">
        <f>IF(AND($A105&lt;&gt;Q$1,Recharged_Feasible_mat!R74),(VLOOKUP(Q$1,test!$A$3:$I$32,8,FALSE))-(VLOOKUP($A105,test!$A$3:$I$32,9,FALSE))-(test!$B$35-50),0)</f>
        <v>0</v>
      </c>
      <c r="R105">
        <f>IF(AND($A105&lt;&gt;R$1,Recharged_Feasible_mat!S74),(VLOOKUP(R$1,test!$A$3:$I$32,8,FALSE))-(VLOOKUP($A105,test!$A$3:$I$32,9,FALSE))-(test!$B$35-50),0)</f>
        <v>0</v>
      </c>
      <c r="S105">
        <f>IF(AND($A105&lt;&gt;S$1,Recharged_Feasible_mat!T74),(VLOOKUP(S$1,test!$A$3:$I$32,8,FALSE))-(VLOOKUP($A105,test!$A$3:$I$32,9,FALSE))-(test!$B$35-50),0)</f>
        <v>0</v>
      </c>
      <c r="T105">
        <f>IF(AND($A105&lt;&gt;T$1,Recharged_Feasible_mat!U74),(VLOOKUP(T$1,test!$A$3:$I$32,8,FALSE))-(VLOOKUP($A105,test!$A$3:$I$32,9,FALSE))-(test!$B$35-50),0)</f>
        <v>0</v>
      </c>
      <c r="U105">
        <f>IF(AND($A105&lt;&gt;U$1,Recharged_Feasible_mat!V74),(VLOOKUP(U$1,test!$A$3:$I$32,8,FALSE))-(VLOOKUP($A105,test!$A$3:$I$32,9,FALSE))-(test!$B$35-50),0)</f>
        <v>0</v>
      </c>
      <c r="V105">
        <f>IF(AND($A105&lt;&gt;V$1,Recharged_Feasible_mat!W74),(VLOOKUP(V$1,test!$A$3:$I$32,8,FALSE))-(VLOOKUP($A105,test!$A$3:$I$32,9,FALSE))-(test!$B$35-50),0)</f>
        <v>0</v>
      </c>
      <c r="W105">
        <f>IF(AND($A105&lt;&gt;W$1,Recharged_Feasible_mat!X74),(VLOOKUP(W$1,test!$A$3:$I$32,8,FALSE))-(VLOOKUP($A105,test!$A$3:$I$32,9,FALSE))-(test!$B$35-50),0)</f>
        <v>265</v>
      </c>
      <c r="X105">
        <f>IF(AND($A105&lt;&gt;X$1,Recharged_Feasible_mat!Y74),(VLOOKUP(X$1,test!$A$3:$I$32,8,FALSE))-(VLOOKUP($A105,test!$A$3:$I$32,9,FALSE))-(test!$B$35-50),0)</f>
        <v>325</v>
      </c>
      <c r="Y105">
        <f>IF(AND($A105&lt;&gt;Y$1,Recharged_Feasible_mat!Z74),(VLOOKUP(Y$1,test!$A$3:$I$32,8,FALSE))-(VLOOKUP($A105,test!$A$3:$I$32,9,FALSE))-(test!$B$35-50),0)</f>
        <v>0</v>
      </c>
      <c r="Z105">
        <f>IF(AND($A105&lt;&gt;Z$1,Recharged_Feasible_mat!AA74),(VLOOKUP(Z$1,test!$A$3:$I$32,8,FALSE))-(VLOOKUP($A105,test!$A$3:$I$32,9,FALSE))-(test!$B$35-50),0)</f>
        <v>0</v>
      </c>
      <c r="AA105">
        <f>IF(AND($A105&lt;&gt;AA$1,Recharged_Feasible_mat!AB74),(VLOOKUP(AA$1,test!$A$3:$I$32,8,FALSE))-(VLOOKUP($A105,test!$A$3:$I$32,9,FALSE))-(test!$B$35-50),0)</f>
        <v>0</v>
      </c>
      <c r="AB105">
        <f>IF(AND($A105&lt;&gt;AB$1,Recharged_Feasible_mat!AC74),(VLOOKUP(AB$1,test!$A$3:$I$32,8,FALSE))-(VLOOKUP($A105,test!$A$3:$I$32,9,FALSE))-(test!$B$35-50),0)</f>
        <v>0</v>
      </c>
      <c r="AC105">
        <f>IF(AND($A105&lt;&gt;AC$1,Recharged_Feasible_mat!AD74),(VLOOKUP(AC$1,test!$A$3:$I$32,8,FALSE))-(VLOOKUP($A105,test!$A$3:$I$32,9,FALSE))-(test!$B$35-50),0)</f>
        <v>225</v>
      </c>
      <c r="AD105">
        <f>IF(AND($A105&lt;&gt;AD$1,Recharged_Feasible_mat!AE74),(VLOOKUP(AD$1,test!$A$3:$I$32,8,FALSE))-(VLOOKUP($A105,test!$A$3:$I$32,9,FALSE))-(test!$B$35-50),0)</f>
        <v>0</v>
      </c>
      <c r="AE105">
        <f>IF(AND($A105&lt;&gt;AE$1,Recharged_Feasible_mat!AF74),(VLOOKUP(AE$1,test!$A$3:$I$32,8,FALSE))-(VLOOKUP($A105,test!$A$3:$I$32,9,FALSE))-(test!$B$35-50),0)</f>
        <v>0</v>
      </c>
      <c r="AF105">
        <f>IF(AND($A105&lt;&gt;AF$1,Recharged_Feasible_mat!AG74),(VLOOKUP(AF$1,test!$A$3:$I$32,8,FALSE))-(VLOOKUP($A105,test!$A$3:$I$32,9,FALSE))-(test!$B$35-50),0)</f>
        <v>0</v>
      </c>
    </row>
    <row r="106" spans="1:32" x14ac:dyDescent="0.25">
      <c r="A106" t="s">
        <v>21</v>
      </c>
      <c r="B106">
        <v>0</v>
      </c>
      <c r="C106">
        <f>IF(AND($A106&lt;&gt;C$1,Recharged_Feasible_mat!D75),(VLOOKUP(C$1,test!$A$3:$I$32,8,FALSE))-(VLOOKUP($A106,test!$A$3:$I$32,9,FALSE))-(test!$B$35-50),0)</f>
        <v>0</v>
      </c>
      <c r="D106">
        <f>IF(AND($A106&lt;&gt;D$1,Recharged_Feasible_mat!E75),(VLOOKUP(D$1,test!$A$3:$I$32,8,FALSE))-(VLOOKUP($A106,test!$A$3:$I$32,9,FALSE))-(test!$B$35-50),0)</f>
        <v>0</v>
      </c>
      <c r="E106">
        <f>IF(AND($A106&lt;&gt;E$1,Recharged_Feasible_mat!F75),(VLOOKUP(E$1,test!$A$3:$I$32,8,FALSE))-(VLOOKUP($A106,test!$A$3:$I$32,9,FALSE))-(test!$B$35-50),0)</f>
        <v>0</v>
      </c>
      <c r="F106">
        <f>IF(AND($A106&lt;&gt;F$1,Recharged_Feasible_mat!G75),(VLOOKUP(F$1,test!$A$3:$I$32,8,FALSE))-(VLOOKUP($A106,test!$A$3:$I$32,9,FALSE))-(test!$B$35-50),0)</f>
        <v>0</v>
      </c>
      <c r="G106">
        <f>IF(AND($A106&lt;&gt;G$1,Recharged_Feasible_mat!H75),(VLOOKUP(G$1,test!$A$3:$I$32,8,FALSE))-(VLOOKUP($A106,test!$A$3:$I$32,9,FALSE))-(test!$B$35-50),0)</f>
        <v>0</v>
      </c>
      <c r="H106">
        <f>IF(AND($A106&lt;&gt;H$1,Recharged_Feasible_mat!I75),(VLOOKUP(H$1,test!$A$3:$I$32,8,FALSE))-(VLOOKUP($A106,test!$A$3:$I$32,9,FALSE))-(test!$B$35-50),0)</f>
        <v>0</v>
      </c>
      <c r="I106">
        <f>IF(AND($A106&lt;&gt;I$1,Recharged_Feasible_mat!J75),(VLOOKUP(I$1,test!$A$3:$I$32,8,FALSE))-(VLOOKUP($A106,test!$A$3:$I$32,9,FALSE))-(test!$B$35-50),0)</f>
        <v>0</v>
      </c>
      <c r="J106">
        <f>IF(AND($A106&lt;&gt;J$1,Recharged_Feasible_mat!K75),(VLOOKUP(J$1,test!$A$3:$I$32,8,FALSE))-(VLOOKUP($A106,test!$A$3:$I$32,9,FALSE))-(test!$B$35-50),0)</f>
        <v>255</v>
      </c>
      <c r="K106">
        <f>IF(AND($A106&lt;&gt;K$1,Recharged_Feasible_mat!L75),(VLOOKUP(K$1,test!$A$3:$I$32,8,FALSE))-(VLOOKUP($A106,test!$A$3:$I$32,9,FALSE))-(test!$B$35-50),0)</f>
        <v>0</v>
      </c>
      <c r="L106">
        <f>IF(AND($A106&lt;&gt;L$1,Recharged_Feasible_mat!M75),(VLOOKUP(L$1,test!$A$3:$I$32,8,FALSE))-(VLOOKUP($A106,test!$A$3:$I$32,9,FALSE))-(test!$B$35-50),0)</f>
        <v>0</v>
      </c>
      <c r="M106">
        <f>IF(AND($A106&lt;&gt;M$1,Recharged_Feasible_mat!N75),(VLOOKUP(M$1,test!$A$3:$I$32,8,FALSE))-(VLOOKUP($A106,test!$A$3:$I$32,9,FALSE))-(test!$B$35-50),0)</f>
        <v>0</v>
      </c>
      <c r="N106">
        <f>IF(AND($A106&lt;&gt;N$1,Recharged_Feasible_mat!O75),(VLOOKUP(N$1,test!$A$3:$I$32,8,FALSE))-(VLOOKUP($A106,test!$A$3:$I$32,9,FALSE))-(test!$B$35-50),0)</f>
        <v>220</v>
      </c>
      <c r="O106">
        <f>IF(AND($A106&lt;&gt;O$1,Recharged_Feasible_mat!P75),(VLOOKUP(O$1,test!$A$3:$I$32,8,FALSE))-(VLOOKUP($A106,test!$A$3:$I$32,9,FALSE))-(test!$B$35-50),0)</f>
        <v>280</v>
      </c>
      <c r="P106">
        <f>IF(AND($A106&lt;&gt;P$1,Recharged_Feasible_mat!Q75),(VLOOKUP(P$1,test!$A$3:$I$32,8,FALSE))-(VLOOKUP($A106,test!$A$3:$I$32,9,FALSE))-(test!$B$35-50),0)</f>
        <v>0</v>
      </c>
      <c r="Q106">
        <f>IF(AND($A106&lt;&gt;Q$1,Recharged_Feasible_mat!R75),(VLOOKUP(Q$1,test!$A$3:$I$32,8,FALSE))-(VLOOKUP($A106,test!$A$3:$I$32,9,FALSE))-(test!$B$35-50),0)</f>
        <v>0</v>
      </c>
      <c r="R106">
        <f>IF(AND($A106&lt;&gt;R$1,Recharged_Feasible_mat!S75),(VLOOKUP(R$1,test!$A$3:$I$32,8,FALSE))-(VLOOKUP($A106,test!$A$3:$I$32,9,FALSE))-(test!$B$35-50),0)</f>
        <v>0</v>
      </c>
      <c r="S106">
        <f>IF(AND($A106&lt;&gt;S$1,Recharged_Feasible_mat!T75),(VLOOKUP(S$1,test!$A$3:$I$32,8,FALSE))-(VLOOKUP($A106,test!$A$3:$I$32,9,FALSE))-(test!$B$35-50),0)</f>
        <v>0</v>
      </c>
      <c r="T106">
        <f>IF(AND($A106&lt;&gt;T$1,Recharged_Feasible_mat!U75),(VLOOKUP(T$1,test!$A$3:$I$32,8,FALSE))-(VLOOKUP($A106,test!$A$3:$I$32,9,FALSE))-(test!$B$35-50),0)</f>
        <v>0</v>
      </c>
      <c r="U106">
        <f>IF(AND($A106&lt;&gt;U$1,Recharged_Feasible_mat!V75),(VLOOKUP(U$1,test!$A$3:$I$32,8,FALSE))-(VLOOKUP($A106,test!$A$3:$I$32,9,FALSE))-(test!$B$35-50),0)</f>
        <v>0</v>
      </c>
      <c r="V106">
        <f>IF(AND($A106&lt;&gt;V$1,Recharged_Feasible_mat!W75),(VLOOKUP(V$1,test!$A$3:$I$32,8,FALSE))-(VLOOKUP($A106,test!$A$3:$I$32,9,FALSE))-(test!$B$35-50),0)</f>
        <v>0</v>
      </c>
      <c r="W106">
        <f>IF(AND($A106&lt;&gt;W$1,Recharged_Feasible_mat!X75),(VLOOKUP(W$1,test!$A$3:$I$32,8,FALSE))-(VLOOKUP($A106,test!$A$3:$I$32,9,FALSE))-(test!$B$35-50),0)</f>
        <v>0</v>
      </c>
      <c r="X106">
        <f>IF(AND($A106&lt;&gt;X$1,Recharged_Feasible_mat!Y75),(VLOOKUP(X$1,test!$A$3:$I$32,8,FALSE))-(VLOOKUP($A106,test!$A$3:$I$32,9,FALSE))-(test!$B$35-50),0)</f>
        <v>205</v>
      </c>
      <c r="Y106">
        <f>IF(AND($A106&lt;&gt;Y$1,Recharged_Feasible_mat!Z75),(VLOOKUP(Y$1,test!$A$3:$I$32,8,FALSE))-(VLOOKUP($A106,test!$A$3:$I$32,9,FALSE))-(test!$B$35-50),0)</f>
        <v>0</v>
      </c>
      <c r="Z106">
        <f>IF(AND($A106&lt;&gt;Z$1,Recharged_Feasible_mat!AA75),(VLOOKUP(Z$1,test!$A$3:$I$32,8,FALSE))-(VLOOKUP($A106,test!$A$3:$I$32,9,FALSE))-(test!$B$35-50),0)</f>
        <v>0</v>
      </c>
      <c r="AA106">
        <f>IF(AND($A106&lt;&gt;AA$1,Recharged_Feasible_mat!AB75),(VLOOKUP(AA$1,test!$A$3:$I$32,8,FALSE))-(VLOOKUP($A106,test!$A$3:$I$32,9,FALSE))-(test!$B$35-50),0)</f>
        <v>0</v>
      </c>
      <c r="AB106">
        <f>IF(AND($A106&lt;&gt;AB$1,Recharged_Feasible_mat!AC75),(VLOOKUP(AB$1,test!$A$3:$I$32,8,FALSE))-(VLOOKUP($A106,test!$A$3:$I$32,9,FALSE))-(test!$B$35-50),0)</f>
        <v>0</v>
      </c>
      <c r="AC106">
        <f>IF(AND($A106&lt;&gt;AC$1,Recharged_Feasible_mat!AD75),(VLOOKUP(AC$1,test!$A$3:$I$32,8,FALSE))-(VLOOKUP($A106,test!$A$3:$I$32,9,FALSE))-(test!$B$35-50),0)</f>
        <v>0</v>
      </c>
      <c r="AD106">
        <f>IF(AND($A106&lt;&gt;AD$1,Recharged_Feasible_mat!AE75),(VLOOKUP(AD$1,test!$A$3:$I$32,8,FALSE))-(VLOOKUP($A106,test!$A$3:$I$32,9,FALSE))-(test!$B$35-50),0)</f>
        <v>0</v>
      </c>
      <c r="AE106">
        <f>IF(AND($A106&lt;&gt;AE$1,Recharged_Feasible_mat!AF75),(VLOOKUP(AE$1,test!$A$3:$I$32,8,FALSE))-(VLOOKUP($A106,test!$A$3:$I$32,9,FALSE))-(test!$B$35-50),0)</f>
        <v>0</v>
      </c>
      <c r="AF106">
        <f>IF(AND($A106&lt;&gt;AF$1,Recharged_Feasible_mat!AG75),(VLOOKUP(AF$1,test!$A$3:$I$32,8,FALSE))-(VLOOKUP($A106,test!$A$3:$I$32,9,FALSE))-(test!$B$35-50),0)</f>
        <v>0</v>
      </c>
    </row>
    <row r="107" spans="1:32" x14ac:dyDescent="0.25">
      <c r="A107" t="s">
        <v>22</v>
      </c>
      <c r="B107">
        <v>0</v>
      </c>
      <c r="C107">
        <f>IF(AND($A107&lt;&gt;C$1,Recharged_Feasible_mat!D76),(VLOOKUP(C$1,test!$A$3:$I$32,8,FALSE))-(VLOOKUP($A107,test!$A$3:$I$32,9,FALSE))-(test!$B$35-50),0)</f>
        <v>0</v>
      </c>
      <c r="D107">
        <f>IF(AND($A107&lt;&gt;D$1,Recharged_Feasible_mat!E76),(VLOOKUP(D$1,test!$A$3:$I$32,8,FALSE))-(VLOOKUP($A107,test!$A$3:$I$32,9,FALSE))-(test!$B$35-50),0)</f>
        <v>0</v>
      </c>
      <c r="E107">
        <f>IF(AND($A107&lt;&gt;E$1,Recharged_Feasible_mat!F76),(VLOOKUP(E$1,test!$A$3:$I$32,8,FALSE))-(VLOOKUP($A107,test!$A$3:$I$32,9,FALSE))-(test!$B$35-50),0)</f>
        <v>0</v>
      </c>
      <c r="F107">
        <f>IF(AND($A107&lt;&gt;F$1,Recharged_Feasible_mat!G76),(VLOOKUP(F$1,test!$A$3:$I$32,8,FALSE))-(VLOOKUP($A107,test!$A$3:$I$32,9,FALSE))-(test!$B$35-50),0)</f>
        <v>0</v>
      </c>
      <c r="G107">
        <f>IF(AND($A107&lt;&gt;G$1,Recharged_Feasible_mat!H76),(VLOOKUP(G$1,test!$A$3:$I$32,8,FALSE))-(VLOOKUP($A107,test!$A$3:$I$32,9,FALSE))-(test!$B$35-50),0)</f>
        <v>0</v>
      </c>
      <c r="H107">
        <f>IF(AND($A107&lt;&gt;H$1,Recharged_Feasible_mat!I76),(VLOOKUP(H$1,test!$A$3:$I$32,8,FALSE))-(VLOOKUP($A107,test!$A$3:$I$32,9,FALSE))-(test!$B$35-50),0)</f>
        <v>0</v>
      </c>
      <c r="I107">
        <f>IF(AND($A107&lt;&gt;I$1,Recharged_Feasible_mat!J76),(VLOOKUP(I$1,test!$A$3:$I$32,8,FALSE))-(VLOOKUP($A107,test!$A$3:$I$32,9,FALSE))-(test!$B$35-50),0)</f>
        <v>0</v>
      </c>
      <c r="J107">
        <f>IF(AND($A107&lt;&gt;J$1,Recharged_Feasible_mat!K76),(VLOOKUP(J$1,test!$A$3:$I$32,8,FALSE))-(VLOOKUP($A107,test!$A$3:$I$32,9,FALSE))-(test!$B$35-50),0)</f>
        <v>0</v>
      </c>
      <c r="K107">
        <f>IF(AND($A107&lt;&gt;K$1,Recharged_Feasible_mat!L76),(VLOOKUP(K$1,test!$A$3:$I$32,8,FALSE))-(VLOOKUP($A107,test!$A$3:$I$32,9,FALSE))-(test!$B$35-50),0)</f>
        <v>0</v>
      </c>
      <c r="L107">
        <f>IF(AND($A107&lt;&gt;L$1,Recharged_Feasible_mat!M76),(VLOOKUP(L$1,test!$A$3:$I$32,8,FALSE))-(VLOOKUP($A107,test!$A$3:$I$32,9,FALSE))-(test!$B$35-50),0)</f>
        <v>0</v>
      </c>
      <c r="M107">
        <f>IF(AND($A107&lt;&gt;M$1,Recharged_Feasible_mat!N76),(VLOOKUP(M$1,test!$A$3:$I$32,8,FALSE))-(VLOOKUP($A107,test!$A$3:$I$32,9,FALSE))-(test!$B$35-50),0)</f>
        <v>0</v>
      </c>
      <c r="N107">
        <f>IF(AND($A107&lt;&gt;N$1,Recharged_Feasible_mat!O76),(VLOOKUP(N$1,test!$A$3:$I$32,8,FALSE))-(VLOOKUP($A107,test!$A$3:$I$32,9,FALSE))-(test!$B$35-50),0)</f>
        <v>0</v>
      </c>
      <c r="O107">
        <f>IF(AND($A107&lt;&gt;O$1,Recharged_Feasible_mat!P76),(VLOOKUP(O$1,test!$A$3:$I$32,8,FALSE))-(VLOOKUP($A107,test!$A$3:$I$32,9,FALSE))-(test!$B$35-50),0)</f>
        <v>0</v>
      </c>
      <c r="P107">
        <f>IF(AND($A107&lt;&gt;P$1,Recharged_Feasible_mat!Q76),(VLOOKUP(P$1,test!$A$3:$I$32,8,FALSE))-(VLOOKUP($A107,test!$A$3:$I$32,9,FALSE))-(test!$B$35-50),0)</f>
        <v>0</v>
      </c>
      <c r="Q107">
        <f>IF(AND($A107&lt;&gt;Q$1,Recharged_Feasible_mat!R76),(VLOOKUP(Q$1,test!$A$3:$I$32,8,FALSE))-(VLOOKUP($A107,test!$A$3:$I$32,9,FALSE))-(test!$B$35-50),0)</f>
        <v>0</v>
      </c>
      <c r="R107">
        <f>IF(AND($A107&lt;&gt;R$1,Recharged_Feasible_mat!S76),(VLOOKUP(R$1,test!$A$3:$I$32,8,FALSE))-(VLOOKUP($A107,test!$A$3:$I$32,9,FALSE))-(test!$B$35-50),0)</f>
        <v>0</v>
      </c>
      <c r="S107">
        <f>IF(AND($A107&lt;&gt;S$1,Recharged_Feasible_mat!T76),(VLOOKUP(S$1,test!$A$3:$I$32,8,FALSE))-(VLOOKUP($A107,test!$A$3:$I$32,9,FALSE))-(test!$B$35-50),0)</f>
        <v>0</v>
      </c>
      <c r="T107">
        <f>IF(AND($A107&lt;&gt;T$1,Recharged_Feasible_mat!U76),(VLOOKUP(T$1,test!$A$3:$I$32,8,FALSE))-(VLOOKUP($A107,test!$A$3:$I$32,9,FALSE))-(test!$B$35-50),0)</f>
        <v>0</v>
      </c>
      <c r="U107">
        <f>IF(AND($A107&lt;&gt;U$1,Recharged_Feasible_mat!V76),(VLOOKUP(U$1,test!$A$3:$I$32,8,FALSE))-(VLOOKUP($A107,test!$A$3:$I$32,9,FALSE))-(test!$B$35-50),0)</f>
        <v>0</v>
      </c>
      <c r="V107">
        <f>IF(AND($A107&lt;&gt;V$1,Recharged_Feasible_mat!W76),(VLOOKUP(V$1,test!$A$3:$I$32,8,FALSE))-(VLOOKUP($A107,test!$A$3:$I$32,9,FALSE))-(test!$B$35-50),0)</f>
        <v>0</v>
      </c>
      <c r="W107">
        <f>IF(AND($A107&lt;&gt;W$1,Recharged_Feasible_mat!X76),(VLOOKUP(W$1,test!$A$3:$I$32,8,FALSE))-(VLOOKUP($A107,test!$A$3:$I$32,9,FALSE))-(test!$B$35-50),0)</f>
        <v>0</v>
      </c>
      <c r="X107">
        <f>IF(AND($A107&lt;&gt;X$1,Recharged_Feasible_mat!Y76),(VLOOKUP(X$1,test!$A$3:$I$32,8,FALSE))-(VLOOKUP($A107,test!$A$3:$I$32,9,FALSE))-(test!$B$35-50),0)</f>
        <v>0</v>
      </c>
      <c r="Y107">
        <f>IF(AND($A107&lt;&gt;Y$1,Recharged_Feasible_mat!Z76),(VLOOKUP(Y$1,test!$A$3:$I$32,8,FALSE))-(VLOOKUP($A107,test!$A$3:$I$32,9,FALSE))-(test!$B$35-50),0)</f>
        <v>0</v>
      </c>
      <c r="Z107">
        <f>IF(AND($A107&lt;&gt;Z$1,Recharged_Feasible_mat!AA76),(VLOOKUP(Z$1,test!$A$3:$I$32,8,FALSE))-(VLOOKUP($A107,test!$A$3:$I$32,9,FALSE))-(test!$B$35-50),0)</f>
        <v>0</v>
      </c>
      <c r="AA107">
        <f>IF(AND($A107&lt;&gt;AA$1,Recharged_Feasible_mat!AB76),(VLOOKUP(AA$1,test!$A$3:$I$32,8,FALSE))-(VLOOKUP($A107,test!$A$3:$I$32,9,FALSE))-(test!$B$35-50),0)</f>
        <v>0</v>
      </c>
      <c r="AB107">
        <f>IF(AND($A107&lt;&gt;AB$1,Recharged_Feasible_mat!AC76),(VLOOKUP(AB$1,test!$A$3:$I$32,8,FALSE))-(VLOOKUP($A107,test!$A$3:$I$32,9,FALSE))-(test!$B$35-50),0)</f>
        <v>0</v>
      </c>
      <c r="AC107">
        <f>IF(AND($A107&lt;&gt;AC$1,Recharged_Feasible_mat!AD76),(VLOOKUP(AC$1,test!$A$3:$I$32,8,FALSE))-(VLOOKUP($A107,test!$A$3:$I$32,9,FALSE))-(test!$B$35-50),0)</f>
        <v>0</v>
      </c>
      <c r="AD107">
        <f>IF(AND($A107&lt;&gt;AD$1,Recharged_Feasible_mat!AE76),(VLOOKUP(AD$1,test!$A$3:$I$32,8,FALSE))-(VLOOKUP($A107,test!$A$3:$I$32,9,FALSE))-(test!$B$35-50),0)</f>
        <v>0</v>
      </c>
      <c r="AE107">
        <f>IF(AND($A107&lt;&gt;AE$1,Recharged_Feasible_mat!AF76),(VLOOKUP(AE$1,test!$A$3:$I$32,8,FALSE))-(VLOOKUP($A107,test!$A$3:$I$32,9,FALSE))-(test!$B$35-50),0)</f>
        <v>0</v>
      </c>
      <c r="AF107">
        <f>IF(AND($A107&lt;&gt;AF$1,Recharged_Feasible_mat!AG76),(VLOOKUP(AF$1,test!$A$3:$I$32,8,FALSE))-(VLOOKUP($A107,test!$A$3:$I$32,9,FALSE))-(test!$B$35-50),0)</f>
        <v>0</v>
      </c>
    </row>
    <row r="108" spans="1:32" x14ac:dyDescent="0.25">
      <c r="A108" t="s">
        <v>23</v>
      </c>
      <c r="B108">
        <v>0</v>
      </c>
      <c r="C108">
        <f>IF(AND($A108&lt;&gt;C$1,Recharged_Feasible_mat!D77),(VLOOKUP(C$1,test!$A$3:$I$32,8,FALSE))-(VLOOKUP($A108,test!$A$3:$I$32,9,FALSE))-(test!$B$35-50),0)</f>
        <v>0</v>
      </c>
      <c r="D108">
        <f>IF(AND($A108&lt;&gt;D$1,Recharged_Feasible_mat!E77),(VLOOKUP(D$1,test!$A$3:$I$32,8,FALSE))-(VLOOKUP($A108,test!$A$3:$I$32,9,FALSE))-(test!$B$35-50),0)</f>
        <v>0</v>
      </c>
      <c r="E108">
        <f>IF(AND($A108&lt;&gt;E$1,Recharged_Feasible_mat!F77),(VLOOKUP(E$1,test!$A$3:$I$32,8,FALSE))-(VLOOKUP($A108,test!$A$3:$I$32,9,FALSE))-(test!$B$35-50),0)</f>
        <v>0</v>
      </c>
      <c r="F108">
        <f>IF(AND($A108&lt;&gt;F$1,Recharged_Feasible_mat!G77),(VLOOKUP(F$1,test!$A$3:$I$32,8,FALSE))-(VLOOKUP($A108,test!$A$3:$I$32,9,FALSE))-(test!$B$35-50),0)</f>
        <v>0</v>
      </c>
      <c r="G108">
        <f>IF(AND($A108&lt;&gt;G$1,Recharged_Feasible_mat!H77),(VLOOKUP(G$1,test!$A$3:$I$32,8,FALSE))-(VLOOKUP($A108,test!$A$3:$I$32,9,FALSE))-(test!$B$35-50),0)</f>
        <v>0</v>
      </c>
      <c r="H108">
        <f>IF(AND($A108&lt;&gt;H$1,Recharged_Feasible_mat!I77),(VLOOKUP(H$1,test!$A$3:$I$32,8,FALSE))-(VLOOKUP($A108,test!$A$3:$I$32,9,FALSE))-(test!$B$35-50),0)</f>
        <v>0</v>
      </c>
      <c r="I108">
        <f>IF(AND($A108&lt;&gt;I$1,Recharged_Feasible_mat!J77),(VLOOKUP(I$1,test!$A$3:$I$32,8,FALSE))-(VLOOKUP($A108,test!$A$3:$I$32,9,FALSE))-(test!$B$35-50),0)</f>
        <v>0</v>
      </c>
      <c r="J108">
        <f>IF(AND($A108&lt;&gt;J$1,Recharged_Feasible_mat!K77),(VLOOKUP(J$1,test!$A$3:$I$32,8,FALSE))-(VLOOKUP($A108,test!$A$3:$I$32,9,FALSE))-(test!$B$35-50),0)</f>
        <v>0</v>
      </c>
      <c r="K108">
        <f>IF(AND($A108&lt;&gt;K$1,Recharged_Feasible_mat!L77),(VLOOKUP(K$1,test!$A$3:$I$32,8,FALSE))-(VLOOKUP($A108,test!$A$3:$I$32,9,FALSE))-(test!$B$35-50),0)</f>
        <v>0</v>
      </c>
      <c r="L108">
        <f>IF(AND($A108&lt;&gt;L$1,Recharged_Feasible_mat!M77),(VLOOKUP(L$1,test!$A$3:$I$32,8,FALSE))-(VLOOKUP($A108,test!$A$3:$I$32,9,FALSE))-(test!$B$35-50),0)</f>
        <v>0</v>
      </c>
      <c r="M108">
        <f>IF(AND($A108&lt;&gt;M$1,Recharged_Feasible_mat!N77),(VLOOKUP(M$1,test!$A$3:$I$32,8,FALSE))-(VLOOKUP($A108,test!$A$3:$I$32,9,FALSE))-(test!$B$35-50),0)</f>
        <v>0</v>
      </c>
      <c r="N108">
        <f>IF(AND($A108&lt;&gt;N$1,Recharged_Feasible_mat!O77),(VLOOKUP(N$1,test!$A$3:$I$32,8,FALSE))-(VLOOKUP($A108,test!$A$3:$I$32,9,FALSE))-(test!$B$35-50),0)</f>
        <v>0</v>
      </c>
      <c r="O108">
        <f>IF(AND($A108&lt;&gt;O$1,Recharged_Feasible_mat!P77),(VLOOKUP(O$1,test!$A$3:$I$32,8,FALSE))-(VLOOKUP($A108,test!$A$3:$I$32,9,FALSE))-(test!$B$35-50),0)</f>
        <v>0</v>
      </c>
      <c r="P108">
        <f>IF(AND($A108&lt;&gt;P$1,Recharged_Feasible_mat!Q77),(VLOOKUP(P$1,test!$A$3:$I$32,8,FALSE))-(VLOOKUP($A108,test!$A$3:$I$32,9,FALSE))-(test!$B$35-50),0)</f>
        <v>0</v>
      </c>
      <c r="Q108">
        <f>IF(AND($A108&lt;&gt;Q$1,Recharged_Feasible_mat!R77),(VLOOKUP(Q$1,test!$A$3:$I$32,8,FALSE))-(VLOOKUP($A108,test!$A$3:$I$32,9,FALSE))-(test!$B$35-50),0)</f>
        <v>0</v>
      </c>
      <c r="R108">
        <f>IF(AND($A108&lt;&gt;R$1,Recharged_Feasible_mat!S77),(VLOOKUP(R$1,test!$A$3:$I$32,8,FALSE))-(VLOOKUP($A108,test!$A$3:$I$32,9,FALSE))-(test!$B$35-50),0)</f>
        <v>0</v>
      </c>
      <c r="S108">
        <f>IF(AND($A108&lt;&gt;S$1,Recharged_Feasible_mat!T77),(VLOOKUP(S$1,test!$A$3:$I$32,8,FALSE))-(VLOOKUP($A108,test!$A$3:$I$32,9,FALSE))-(test!$B$35-50),0)</f>
        <v>0</v>
      </c>
      <c r="T108">
        <f>IF(AND($A108&lt;&gt;T$1,Recharged_Feasible_mat!U77),(VLOOKUP(T$1,test!$A$3:$I$32,8,FALSE))-(VLOOKUP($A108,test!$A$3:$I$32,9,FALSE))-(test!$B$35-50),0)</f>
        <v>0</v>
      </c>
      <c r="U108">
        <f>IF(AND($A108&lt;&gt;U$1,Recharged_Feasible_mat!V77),(VLOOKUP(U$1,test!$A$3:$I$32,8,FALSE))-(VLOOKUP($A108,test!$A$3:$I$32,9,FALSE))-(test!$B$35-50),0)</f>
        <v>0</v>
      </c>
      <c r="V108">
        <f>IF(AND($A108&lt;&gt;V$1,Recharged_Feasible_mat!W77),(VLOOKUP(V$1,test!$A$3:$I$32,8,FALSE))-(VLOOKUP($A108,test!$A$3:$I$32,9,FALSE))-(test!$B$35-50),0)</f>
        <v>0</v>
      </c>
      <c r="W108">
        <f>IF(AND($A108&lt;&gt;W$1,Recharged_Feasible_mat!X77),(VLOOKUP(W$1,test!$A$3:$I$32,8,FALSE))-(VLOOKUP($A108,test!$A$3:$I$32,9,FALSE))-(test!$B$35-50),0)</f>
        <v>0</v>
      </c>
      <c r="X108">
        <f>IF(AND($A108&lt;&gt;X$1,Recharged_Feasible_mat!Y77),(VLOOKUP(X$1,test!$A$3:$I$32,8,FALSE))-(VLOOKUP($A108,test!$A$3:$I$32,9,FALSE))-(test!$B$35-50),0)</f>
        <v>0</v>
      </c>
      <c r="Y108">
        <f>IF(AND($A108&lt;&gt;Y$1,Recharged_Feasible_mat!Z77),(VLOOKUP(Y$1,test!$A$3:$I$32,8,FALSE))-(VLOOKUP($A108,test!$A$3:$I$32,9,FALSE))-(test!$B$35-50),0)</f>
        <v>0</v>
      </c>
      <c r="Z108">
        <f>IF(AND($A108&lt;&gt;Z$1,Recharged_Feasible_mat!AA77),(VLOOKUP(Z$1,test!$A$3:$I$32,8,FALSE))-(VLOOKUP($A108,test!$A$3:$I$32,9,FALSE))-(test!$B$35-50),0)</f>
        <v>0</v>
      </c>
      <c r="AA108">
        <f>IF(AND($A108&lt;&gt;AA$1,Recharged_Feasible_mat!AB77),(VLOOKUP(AA$1,test!$A$3:$I$32,8,FALSE))-(VLOOKUP($A108,test!$A$3:$I$32,9,FALSE))-(test!$B$35-50),0)</f>
        <v>0</v>
      </c>
      <c r="AB108">
        <f>IF(AND($A108&lt;&gt;AB$1,Recharged_Feasible_mat!AC77),(VLOOKUP(AB$1,test!$A$3:$I$32,8,FALSE))-(VLOOKUP($A108,test!$A$3:$I$32,9,FALSE))-(test!$B$35-50),0)</f>
        <v>0</v>
      </c>
      <c r="AC108">
        <f>IF(AND($A108&lt;&gt;AC$1,Recharged_Feasible_mat!AD77),(VLOOKUP(AC$1,test!$A$3:$I$32,8,FALSE))-(VLOOKUP($A108,test!$A$3:$I$32,9,FALSE))-(test!$B$35-50),0)</f>
        <v>0</v>
      </c>
      <c r="AD108">
        <f>IF(AND($A108&lt;&gt;AD$1,Recharged_Feasible_mat!AE77),(VLOOKUP(AD$1,test!$A$3:$I$32,8,FALSE))-(VLOOKUP($A108,test!$A$3:$I$32,9,FALSE))-(test!$B$35-50),0)</f>
        <v>0</v>
      </c>
      <c r="AE108">
        <f>IF(AND($A108&lt;&gt;AE$1,Recharged_Feasible_mat!AF77),(VLOOKUP(AE$1,test!$A$3:$I$32,8,FALSE))-(VLOOKUP($A108,test!$A$3:$I$32,9,FALSE))-(test!$B$35-50),0)</f>
        <v>0</v>
      </c>
      <c r="AF108">
        <f>IF(AND($A108&lt;&gt;AF$1,Recharged_Feasible_mat!AG77),(VLOOKUP(AF$1,test!$A$3:$I$32,8,FALSE))-(VLOOKUP($A108,test!$A$3:$I$32,9,FALSE))-(test!$B$35-50),0)</f>
        <v>0</v>
      </c>
    </row>
    <row r="109" spans="1:32" x14ac:dyDescent="0.25">
      <c r="A109" t="s">
        <v>24</v>
      </c>
      <c r="B109">
        <v>0</v>
      </c>
      <c r="C109">
        <f>IF(AND($A109&lt;&gt;C$1,Recharged_Feasible_mat!D78),(VLOOKUP(C$1,test!$A$3:$I$32,8,FALSE))-(VLOOKUP($A109,test!$A$3:$I$32,9,FALSE))-(test!$B$35-50),0)</f>
        <v>0</v>
      </c>
      <c r="D109">
        <f>IF(AND($A109&lt;&gt;D$1,Recharged_Feasible_mat!E78),(VLOOKUP(D$1,test!$A$3:$I$32,8,FALSE))-(VLOOKUP($A109,test!$A$3:$I$32,9,FALSE))-(test!$B$35-50),0)</f>
        <v>0</v>
      </c>
      <c r="E109">
        <f>IF(AND($A109&lt;&gt;E$1,Recharged_Feasible_mat!F78),(VLOOKUP(E$1,test!$A$3:$I$32,8,FALSE))-(VLOOKUP($A109,test!$A$3:$I$32,9,FALSE))-(test!$B$35-50),0)</f>
        <v>0</v>
      </c>
      <c r="F109">
        <f>IF(AND($A109&lt;&gt;F$1,Recharged_Feasible_mat!G78),(VLOOKUP(F$1,test!$A$3:$I$32,8,FALSE))-(VLOOKUP($A109,test!$A$3:$I$32,9,FALSE))-(test!$B$35-50),0)</f>
        <v>0</v>
      </c>
      <c r="G109">
        <f>IF(AND($A109&lt;&gt;G$1,Recharged_Feasible_mat!H78),(VLOOKUP(G$1,test!$A$3:$I$32,8,FALSE))-(VLOOKUP($A109,test!$A$3:$I$32,9,FALSE))-(test!$B$35-50),0)</f>
        <v>210</v>
      </c>
      <c r="H109">
        <f>IF(AND($A109&lt;&gt;H$1,Recharged_Feasible_mat!I78),(VLOOKUP(H$1,test!$A$3:$I$32,8,FALSE))-(VLOOKUP($A109,test!$A$3:$I$32,9,FALSE))-(test!$B$35-50),0)</f>
        <v>270</v>
      </c>
      <c r="I109">
        <f>IF(AND($A109&lt;&gt;I$1,Recharged_Feasible_mat!J78),(VLOOKUP(I$1,test!$A$3:$I$32,8,FALSE))-(VLOOKUP($A109,test!$A$3:$I$32,9,FALSE))-(test!$B$35-50),0)</f>
        <v>330</v>
      </c>
      <c r="J109">
        <f>IF(AND($A109&lt;&gt;J$1,Recharged_Feasible_mat!K78),(VLOOKUP(J$1,test!$A$3:$I$32,8,FALSE))-(VLOOKUP($A109,test!$A$3:$I$32,9,FALSE))-(test!$B$35-50),0)</f>
        <v>420</v>
      </c>
      <c r="K109">
        <f>IF(AND($A109&lt;&gt;K$1,Recharged_Feasible_mat!L78),(VLOOKUP(K$1,test!$A$3:$I$32,8,FALSE))-(VLOOKUP($A109,test!$A$3:$I$32,9,FALSE))-(test!$B$35-50),0)</f>
        <v>0</v>
      </c>
      <c r="L109">
        <f>IF(AND($A109&lt;&gt;L$1,Recharged_Feasible_mat!M78),(VLOOKUP(L$1,test!$A$3:$I$32,8,FALSE))-(VLOOKUP($A109,test!$A$3:$I$32,9,FALSE))-(test!$B$35-50),0)</f>
        <v>0</v>
      </c>
      <c r="M109">
        <f>IF(AND($A109&lt;&gt;M$1,Recharged_Feasible_mat!N78),(VLOOKUP(M$1,test!$A$3:$I$32,8,FALSE))-(VLOOKUP($A109,test!$A$3:$I$32,9,FALSE))-(test!$B$35-50),0)</f>
        <v>0</v>
      </c>
      <c r="N109">
        <f>IF(AND($A109&lt;&gt;N$1,Recharged_Feasible_mat!O78),(VLOOKUP(N$1,test!$A$3:$I$32,8,FALSE))-(VLOOKUP($A109,test!$A$3:$I$32,9,FALSE))-(test!$B$35-50),0)</f>
        <v>385</v>
      </c>
      <c r="O109">
        <f>IF(AND($A109&lt;&gt;O$1,Recharged_Feasible_mat!P78),(VLOOKUP(O$1,test!$A$3:$I$32,8,FALSE))-(VLOOKUP($A109,test!$A$3:$I$32,9,FALSE))-(test!$B$35-50),0)</f>
        <v>445</v>
      </c>
      <c r="P109">
        <f>IF(AND($A109&lt;&gt;P$1,Recharged_Feasible_mat!Q78),(VLOOKUP(P$1,test!$A$3:$I$32,8,FALSE))-(VLOOKUP($A109,test!$A$3:$I$32,9,FALSE))-(test!$B$35-50),0)</f>
        <v>0</v>
      </c>
      <c r="Q109">
        <f>IF(AND($A109&lt;&gt;Q$1,Recharged_Feasible_mat!R78),(VLOOKUP(Q$1,test!$A$3:$I$32,8,FALSE))-(VLOOKUP($A109,test!$A$3:$I$32,9,FALSE))-(test!$B$35-50),0)</f>
        <v>0</v>
      </c>
      <c r="R109">
        <f>IF(AND($A109&lt;&gt;R$1,Recharged_Feasible_mat!S78),(VLOOKUP(R$1,test!$A$3:$I$32,8,FALSE))-(VLOOKUP($A109,test!$A$3:$I$32,9,FALSE))-(test!$B$35-50),0)</f>
        <v>0</v>
      </c>
      <c r="S109">
        <f>IF(AND($A109&lt;&gt;S$1,Recharged_Feasible_mat!T78),(VLOOKUP(S$1,test!$A$3:$I$32,8,FALSE))-(VLOOKUP($A109,test!$A$3:$I$32,9,FALSE))-(test!$B$35-50),0)</f>
        <v>0</v>
      </c>
      <c r="T109">
        <f>IF(AND($A109&lt;&gt;T$1,Recharged_Feasible_mat!U78),(VLOOKUP(T$1,test!$A$3:$I$32,8,FALSE))-(VLOOKUP($A109,test!$A$3:$I$32,9,FALSE))-(test!$B$35-50),0)</f>
        <v>0</v>
      </c>
      <c r="U109">
        <f>IF(AND($A109&lt;&gt;U$1,Recharged_Feasible_mat!V78),(VLOOKUP(U$1,test!$A$3:$I$32,8,FALSE))-(VLOOKUP($A109,test!$A$3:$I$32,9,FALSE))-(test!$B$35-50),0)</f>
        <v>0</v>
      </c>
      <c r="V109">
        <f>IF(AND($A109&lt;&gt;V$1,Recharged_Feasible_mat!W78),(VLOOKUP(V$1,test!$A$3:$I$32,8,FALSE))-(VLOOKUP($A109,test!$A$3:$I$32,9,FALSE))-(test!$B$35-50),0)</f>
        <v>220</v>
      </c>
      <c r="W109">
        <f>IF(AND($A109&lt;&gt;W$1,Recharged_Feasible_mat!X78),(VLOOKUP(W$1,test!$A$3:$I$32,8,FALSE))-(VLOOKUP($A109,test!$A$3:$I$32,9,FALSE))-(test!$B$35-50),0)</f>
        <v>310</v>
      </c>
      <c r="X109">
        <f>IF(AND($A109&lt;&gt;X$1,Recharged_Feasible_mat!Y78),(VLOOKUP(X$1,test!$A$3:$I$32,8,FALSE))-(VLOOKUP($A109,test!$A$3:$I$32,9,FALSE))-(test!$B$35-50),0)</f>
        <v>370</v>
      </c>
      <c r="Y109">
        <f>IF(AND($A109&lt;&gt;Y$1,Recharged_Feasible_mat!Z78),(VLOOKUP(Y$1,test!$A$3:$I$32,8,FALSE))-(VLOOKUP($A109,test!$A$3:$I$32,9,FALSE))-(test!$B$35-50),0)</f>
        <v>0</v>
      </c>
      <c r="Z109">
        <f>IF(AND($A109&lt;&gt;Z$1,Recharged_Feasible_mat!AA78),(VLOOKUP(Z$1,test!$A$3:$I$32,8,FALSE))-(VLOOKUP($A109,test!$A$3:$I$32,9,FALSE))-(test!$B$35-50),0)</f>
        <v>0</v>
      </c>
      <c r="AA109">
        <f>IF(AND($A109&lt;&gt;AA$1,Recharged_Feasible_mat!AB78),(VLOOKUP(AA$1,test!$A$3:$I$32,8,FALSE))-(VLOOKUP($A109,test!$A$3:$I$32,9,FALSE))-(test!$B$35-50),0)</f>
        <v>0</v>
      </c>
      <c r="AB109">
        <f>IF(AND($A109&lt;&gt;AB$1,Recharged_Feasible_mat!AC78),(VLOOKUP(AB$1,test!$A$3:$I$32,8,FALSE))-(VLOOKUP($A109,test!$A$3:$I$32,9,FALSE))-(test!$B$35-50),0)</f>
        <v>0</v>
      </c>
      <c r="AC109">
        <f>IF(AND($A109&lt;&gt;AC$1,Recharged_Feasible_mat!AD78),(VLOOKUP(AC$1,test!$A$3:$I$32,8,FALSE))-(VLOOKUP($A109,test!$A$3:$I$32,9,FALSE))-(test!$B$35-50),0)</f>
        <v>270</v>
      </c>
      <c r="AD109">
        <f>IF(AND($A109&lt;&gt;AD$1,Recharged_Feasible_mat!AE78),(VLOOKUP(AD$1,test!$A$3:$I$32,8,FALSE))-(VLOOKUP($A109,test!$A$3:$I$32,9,FALSE))-(test!$B$35-50),0)</f>
        <v>0</v>
      </c>
      <c r="AE109">
        <f>IF(AND($A109&lt;&gt;AE$1,Recharged_Feasible_mat!AF78),(VLOOKUP(AE$1,test!$A$3:$I$32,8,FALSE))-(VLOOKUP($A109,test!$A$3:$I$32,9,FALSE))-(test!$B$35-50),0)</f>
        <v>0</v>
      </c>
      <c r="AF109">
        <f>IF(AND($A109&lt;&gt;AF$1,Recharged_Feasible_mat!AG78),(VLOOKUP(AF$1,test!$A$3:$I$32,8,FALSE))-(VLOOKUP($A109,test!$A$3:$I$32,9,FALSE))-(test!$B$35-50),0)</f>
        <v>0</v>
      </c>
    </row>
    <row r="110" spans="1:32" x14ac:dyDescent="0.25">
      <c r="A110" t="s">
        <v>26</v>
      </c>
      <c r="B110">
        <v>0</v>
      </c>
      <c r="C110">
        <f>IF(AND($A110&lt;&gt;C$1,Recharged_Feasible_mat!D79),(VLOOKUP(C$1,test!$A$3:$I$32,8,FALSE))-(VLOOKUP($A110,test!$A$3:$I$32,9,FALSE))-(test!$B$35-50),0)</f>
        <v>0</v>
      </c>
      <c r="D110">
        <f>IF(AND($A110&lt;&gt;D$1,Recharged_Feasible_mat!E79),(VLOOKUP(D$1,test!$A$3:$I$32,8,FALSE))-(VLOOKUP($A110,test!$A$3:$I$32,9,FALSE))-(test!$B$35-50),0)</f>
        <v>0</v>
      </c>
      <c r="E110">
        <f>IF(AND($A110&lt;&gt;E$1,Recharged_Feasible_mat!F79),(VLOOKUP(E$1,test!$A$3:$I$32,8,FALSE))-(VLOOKUP($A110,test!$A$3:$I$32,9,FALSE))-(test!$B$35-50),0)</f>
        <v>0</v>
      </c>
      <c r="F110">
        <f>IF(AND($A110&lt;&gt;F$1,Recharged_Feasible_mat!G79),(VLOOKUP(F$1,test!$A$3:$I$32,8,FALSE))-(VLOOKUP($A110,test!$A$3:$I$32,9,FALSE))-(test!$B$35-50),0)</f>
        <v>245</v>
      </c>
      <c r="G110">
        <f>IF(AND($A110&lt;&gt;G$1,Recharged_Feasible_mat!H79),(VLOOKUP(G$1,test!$A$3:$I$32,8,FALSE))-(VLOOKUP($A110,test!$A$3:$I$32,9,FALSE))-(test!$B$35-50),0)</f>
        <v>305</v>
      </c>
      <c r="H110">
        <f>IF(AND($A110&lt;&gt;H$1,Recharged_Feasible_mat!I79),(VLOOKUP(H$1,test!$A$3:$I$32,8,FALSE))-(VLOOKUP($A110,test!$A$3:$I$32,9,FALSE))-(test!$B$35-50),0)</f>
        <v>365</v>
      </c>
      <c r="I110">
        <f>IF(AND($A110&lt;&gt;I$1,Recharged_Feasible_mat!J79),(VLOOKUP(I$1,test!$A$3:$I$32,8,FALSE))-(VLOOKUP($A110,test!$A$3:$I$32,9,FALSE))-(test!$B$35-50),0)</f>
        <v>425</v>
      </c>
      <c r="J110">
        <f>IF(AND($A110&lt;&gt;J$1,Recharged_Feasible_mat!K79),(VLOOKUP(J$1,test!$A$3:$I$32,8,FALSE))-(VLOOKUP($A110,test!$A$3:$I$32,9,FALSE))-(test!$B$35-50),0)</f>
        <v>515</v>
      </c>
      <c r="K110">
        <f>IF(AND($A110&lt;&gt;K$1,Recharged_Feasible_mat!L79),(VLOOKUP(K$1,test!$A$3:$I$32,8,FALSE))-(VLOOKUP($A110,test!$A$3:$I$32,9,FALSE))-(test!$B$35-50),0)</f>
        <v>0</v>
      </c>
      <c r="L110">
        <f>IF(AND($A110&lt;&gt;L$1,Recharged_Feasible_mat!M79),(VLOOKUP(L$1,test!$A$3:$I$32,8,FALSE))-(VLOOKUP($A110,test!$A$3:$I$32,9,FALSE))-(test!$B$35-50),0)</f>
        <v>0</v>
      </c>
      <c r="M110">
        <f>IF(AND($A110&lt;&gt;M$1,Recharged_Feasible_mat!N79),(VLOOKUP(M$1,test!$A$3:$I$32,8,FALSE))-(VLOOKUP($A110,test!$A$3:$I$32,9,FALSE))-(test!$B$35-50),0)</f>
        <v>0</v>
      </c>
      <c r="N110">
        <f>IF(AND($A110&lt;&gt;N$1,Recharged_Feasible_mat!O79),(VLOOKUP(N$1,test!$A$3:$I$32,8,FALSE))-(VLOOKUP($A110,test!$A$3:$I$32,9,FALSE))-(test!$B$35-50),0)</f>
        <v>480</v>
      </c>
      <c r="O110">
        <f>IF(AND($A110&lt;&gt;O$1,Recharged_Feasible_mat!P79),(VLOOKUP(O$1,test!$A$3:$I$32,8,FALSE))-(VLOOKUP($A110,test!$A$3:$I$32,9,FALSE))-(test!$B$35-50),0)</f>
        <v>540</v>
      </c>
      <c r="P110">
        <f>IF(AND($A110&lt;&gt;P$1,Recharged_Feasible_mat!Q79),(VLOOKUP(P$1,test!$A$3:$I$32,8,FALSE))-(VLOOKUP($A110,test!$A$3:$I$32,9,FALSE))-(test!$B$35-50),0)</f>
        <v>0</v>
      </c>
      <c r="Q110">
        <f>IF(AND($A110&lt;&gt;Q$1,Recharged_Feasible_mat!R79),(VLOOKUP(Q$1,test!$A$3:$I$32,8,FALSE))-(VLOOKUP($A110,test!$A$3:$I$32,9,FALSE))-(test!$B$35-50),0)</f>
        <v>0</v>
      </c>
      <c r="R110">
        <f>IF(AND($A110&lt;&gt;R$1,Recharged_Feasible_mat!S79),(VLOOKUP(R$1,test!$A$3:$I$32,8,FALSE))-(VLOOKUP($A110,test!$A$3:$I$32,9,FALSE))-(test!$B$35-50),0)</f>
        <v>0</v>
      </c>
      <c r="S110">
        <f>IF(AND($A110&lt;&gt;S$1,Recharged_Feasible_mat!T79),(VLOOKUP(S$1,test!$A$3:$I$32,8,FALSE))-(VLOOKUP($A110,test!$A$3:$I$32,9,FALSE))-(test!$B$35-50),0)</f>
        <v>0</v>
      </c>
      <c r="T110">
        <f>IF(AND($A110&lt;&gt;T$1,Recharged_Feasible_mat!U79),(VLOOKUP(T$1,test!$A$3:$I$32,8,FALSE))-(VLOOKUP($A110,test!$A$3:$I$32,9,FALSE))-(test!$B$35-50),0)</f>
        <v>0</v>
      </c>
      <c r="U110">
        <f>IF(AND($A110&lt;&gt;U$1,Recharged_Feasible_mat!V79),(VLOOKUP(U$1,test!$A$3:$I$32,8,FALSE))-(VLOOKUP($A110,test!$A$3:$I$32,9,FALSE))-(test!$B$35-50),0)</f>
        <v>225</v>
      </c>
      <c r="V110">
        <f>IF(AND($A110&lt;&gt;V$1,Recharged_Feasible_mat!W79),(VLOOKUP(V$1,test!$A$3:$I$32,8,FALSE))-(VLOOKUP($A110,test!$A$3:$I$32,9,FALSE))-(test!$B$35-50),0)</f>
        <v>315</v>
      </c>
      <c r="W110">
        <f>IF(AND($A110&lt;&gt;W$1,Recharged_Feasible_mat!X79),(VLOOKUP(W$1,test!$A$3:$I$32,8,FALSE))-(VLOOKUP($A110,test!$A$3:$I$32,9,FALSE))-(test!$B$35-50),0)</f>
        <v>405</v>
      </c>
      <c r="X110">
        <f>IF(AND($A110&lt;&gt;X$1,Recharged_Feasible_mat!Y79),(VLOOKUP(X$1,test!$A$3:$I$32,8,FALSE))-(VLOOKUP($A110,test!$A$3:$I$32,9,FALSE))-(test!$B$35-50),0)</f>
        <v>465</v>
      </c>
      <c r="Y110">
        <f>IF(AND($A110&lt;&gt;Y$1,Recharged_Feasible_mat!Z79),(VLOOKUP(Y$1,test!$A$3:$I$32,8,FALSE))-(VLOOKUP($A110,test!$A$3:$I$32,9,FALSE))-(test!$B$35-50),0)</f>
        <v>0</v>
      </c>
      <c r="Z110">
        <f>IF(AND($A110&lt;&gt;Z$1,Recharged_Feasible_mat!AA79),(VLOOKUP(Z$1,test!$A$3:$I$32,8,FALSE))-(VLOOKUP($A110,test!$A$3:$I$32,9,FALSE))-(test!$B$35-50),0)</f>
        <v>0</v>
      </c>
      <c r="AA110">
        <f>IF(AND($A110&lt;&gt;AA$1,Recharged_Feasible_mat!AB79),(VLOOKUP(AA$1,test!$A$3:$I$32,8,FALSE))-(VLOOKUP($A110,test!$A$3:$I$32,9,FALSE))-(test!$B$35-50),0)</f>
        <v>0</v>
      </c>
      <c r="AB110">
        <f>IF(AND($A110&lt;&gt;AB$1,Recharged_Feasible_mat!AC79),(VLOOKUP(AB$1,test!$A$3:$I$32,8,FALSE))-(VLOOKUP($A110,test!$A$3:$I$32,9,FALSE))-(test!$B$35-50),0)</f>
        <v>245</v>
      </c>
      <c r="AC110">
        <f>IF(AND($A110&lt;&gt;AC$1,Recharged_Feasible_mat!AD79),(VLOOKUP(AC$1,test!$A$3:$I$32,8,FALSE))-(VLOOKUP($A110,test!$A$3:$I$32,9,FALSE))-(test!$B$35-50),0)</f>
        <v>365</v>
      </c>
      <c r="AD110">
        <f>IF(AND($A110&lt;&gt;AD$1,Recharged_Feasible_mat!AE79),(VLOOKUP(AD$1,test!$A$3:$I$32,8,FALSE))-(VLOOKUP($A110,test!$A$3:$I$32,9,FALSE))-(test!$B$35-50),0)</f>
        <v>0</v>
      </c>
      <c r="AE110">
        <f>IF(AND($A110&lt;&gt;AE$1,Recharged_Feasible_mat!AF79),(VLOOKUP(AE$1,test!$A$3:$I$32,8,FALSE))-(VLOOKUP($A110,test!$A$3:$I$32,9,FALSE))-(test!$B$35-50),0)</f>
        <v>0</v>
      </c>
      <c r="AF110">
        <f>IF(AND($A110&lt;&gt;AF$1,Recharged_Feasible_mat!AG79),(VLOOKUP(AF$1,test!$A$3:$I$32,8,FALSE))-(VLOOKUP($A110,test!$A$3:$I$32,9,FALSE))-(test!$B$35-50),0)</f>
        <v>0</v>
      </c>
    </row>
    <row r="111" spans="1:32" x14ac:dyDescent="0.25">
      <c r="A111" t="s">
        <v>27</v>
      </c>
      <c r="B111">
        <v>0</v>
      </c>
      <c r="C111">
        <f>IF(AND($A111&lt;&gt;C$1,Recharged_Feasible_mat!D80),(VLOOKUP(C$1,test!$A$3:$I$32,8,FALSE))-(VLOOKUP($A111,test!$A$3:$I$32,9,FALSE))-(test!$B$35-50),0)</f>
        <v>0</v>
      </c>
      <c r="D111">
        <f>IF(AND($A111&lt;&gt;D$1,Recharged_Feasible_mat!E80),(VLOOKUP(D$1,test!$A$3:$I$32,8,FALSE))-(VLOOKUP($A111,test!$A$3:$I$32,9,FALSE))-(test!$B$35-50),0)</f>
        <v>0</v>
      </c>
      <c r="E111">
        <f>IF(AND($A111&lt;&gt;E$1,Recharged_Feasible_mat!F80),(VLOOKUP(E$1,test!$A$3:$I$32,8,FALSE))-(VLOOKUP($A111,test!$A$3:$I$32,9,FALSE))-(test!$B$35-50),0)</f>
        <v>0</v>
      </c>
      <c r="F111">
        <f>IF(AND($A111&lt;&gt;F$1,Recharged_Feasible_mat!G80),(VLOOKUP(F$1,test!$A$3:$I$32,8,FALSE))-(VLOOKUP($A111,test!$A$3:$I$32,9,FALSE))-(test!$B$35-50),0)</f>
        <v>0</v>
      </c>
      <c r="G111">
        <f>IF(AND($A111&lt;&gt;G$1,Recharged_Feasible_mat!H80),(VLOOKUP(G$1,test!$A$3:$I$32,8,FALSE))-(VLOOKUP($A111,test!$A$3:$I$32,9,FALSE))-(test!$B$35-50),0)</f>
        <v>215</v>
      </c>
      <c r="H111">
        <f>IF(AND($A111&lt;&gt;H$1,Recharged_Feasible_mat!I80),(VLOOKUP(H$1,test!$A$3:$I$32,8,FALSE))-(VLOOKUP($A111,test!$A$3:$I$32,9,FALSE))-(test!$B$35-50),0)</f>
        <v>275</v>
      </c>
      <c r="I111">
        <f>IF(AND($A111&lt;&gt;I$1,Recharged_Feasible_mat!J80),(VLOOKUP(I$1,test!$A$3:$I$32,8,FALSE))-(VLOOKUP($A111,test!$A$3:$I$32,9,FALSE))-(test!$B$35-50),0)</f>
        <v>335</v>
      </c>
      <c r="J111">
        <f>IF(AND($A111&lt;&gt;J$1,Recharged_Feasible_mat!K80),(VLOOKUP(J$1,test!$A$3:$I$32,8,FALSE))-(VLOOKUP($A111,test!$A$3:$I$32,9,FALSE))-(test!$B$35-50),0)</f>
        <v>425</v>
      </c>
      <c r="K111">
        <f>IF(AND($A111&lt;&gt;K$1,Recharged_Feasible_mat!L80),(VLOOKUP(K$1,test!$A$3:$I$32,8,FALSE))-(VLOOKUP($A111,test!$A$3:$I$32,9,FALSE))-(test!$B$35-50),0)</f>
        <v>0</v>
      </c>
      <c r="L111">
        <f>IF(AND($A111&lt;&gt;L$1,Recharged_Feasible_mat!M80),(VLOOKUP(L$1,test!$A$3:$I$32,8,FALSE))-(VLOOKUP($A111,test!$A$3:$I$32,9,FALSE))-(test!$B$35-50),0)</f>
        <v>0</v>
      </c>
      <c r="M111">
        <f>IF(AND($A111&lt;&gt;M$1,Recharged_Feasible_mat!N80),(VLOOKUP(M$1,test!$A$3:$I$32,8,FALSE))-(VLOOKUP($A111,test!$A$3:$I$32,9,FALSE))-(test!$B$35-50),0)</f>
        <v>0</v>
      </c>
      <c r="N111">
        <f>IF(AND($A111&lt;&gt;N$1,Recharged_Feasible_mat!O80),(VLOOKUP(N$1,test!$A$3:$I$32,8,FALSE))-(VLOOKUP($A111,test!$A$3:$I$32,9,FALSE))-(test!$B$35-50),0)</f>
        <v>390</v>
      </c>
      <c r="O111">
        <f>IF(AND($A111&lt;&gt;O$1,Recharged_Feasible_mat!P80),(VLOOKUP(O$1,test!$A$3:$I$32,8,FALSE))-(VLOOKUP($A111,test!$A$3:$I$32,9,FALSE))-(test!$B$35-50),0)</f>
        <v>450</v>
      </c>
      <c r="P111">
        <f>IF(AND($A111&lt;&gt;P$1,Recharged_Feasible_mat!Q80),(VLOOKUP(P$1,test!$A$3:$I$32,8,FALSE))-(VLOOKUP($A111,test!$A$3:$I$32,9,FALSE))-(test!$B$35-50),0)</f>
        <v>0</v>
      </c>
      <c r="Q111">
        <f>IF(AND($A111&lt;&gt;Q$1,Recharged_Feasible_mat!R80),(VLOOKUP(Q$1,test!$A$3:$I$32,8,FALSE))-(VLOOKUP($A111,test!$A$3:$I$32,9,FALSE))-(test!$B$35-50),0)</f>
        <v>0</v>
      </c>
      <c r="R111">
        <f>IF(AND($A111&lt;&gt;R$1,Recharged_Feasible_mat!S80),(VLOOKUP(R$1,test!$A$3:$I$32,8,FALSE))-(VLOOKUP($A111,test!$A$3:$I$32,9,FALSE))-(test!$B$35-50),0)</f>
        <v>0</v>
      </c>
      <c r="S111">
        <f>IF(AND($A111&lt;&gt;S$1,Recharged_Feasible_mat!T80),(VLOOKUP(S$1,test!$A$3:$I$32,8,FALSE))-(VLOOKUP($A111,test!$A$3:$I$32,9,FALSE))-(test!$B$35-50),0)</f>
        <v>0</v>
      </c>
      <c r="T111">
        <f>IF(AND($A111&lt;&gt;T$1,Recharged_Feasible_mat!U80),(VLOOKUP(T$1,test!$A$3:$I$32,8,FALSE))-(VLOOKUP($A111,test!$A$3:$I$32,9,FALSE))-(test!$B$35-50),0)</f>
        <v>0</v>
      </c>
      <c r="U111">
        <f>IF(AND($A111&lt;&gt;U$1,Recharged_Feasible_mat!V80),(VLOOKUP(U$1,test!$A$3:$I$32,8,FALSE))-(VLOOKUP($A111,test!$A$3:$I$32,9,FALSE))-(test!$B$35-50),0)</f>
        <v>0</v>
      </c>
      <c r="V111">
        <f>IF(AND($A111&lt;&gt;V$1,Recharged_Feasible_mat!W80),(VLOOKUP(V$1,test!$A$3:$I$32,8,FALSE))-(VLOOKUP($A111,test!$A$3:$I$32,9,FALSE))-(test!$B$35-50),0)</f>
        <v>225</v>
      </c>
      <c r="W111">
        <f>IF(AND($A111&lt;&gt;W$1,Recharged_Feasible_mat!X80),(VLOOKUP(W$1,test!$A$3:$I$32,8,FALSE))-(VLOOKUP($A111,test!$A$3:$I$32,9,FALSE))-(test!$B$35-50),0)</f>
        <v>315</v>
      </c>
      <c r="X111">
        <f>IF(AND($A111&lt;&gt;X$1,Recharged_Feasible_mat!Y80),(VLOOKUP(X$1,test!$A$3:$I$32,8,FALSE))-(VLOOKUP($A111,test!$A$3:$I$32,9,FALSE))-(test!$B$35-50),0)</f>
        <v>375</v>
      </c>
      <c r="Y111">
        <f>IF(AND($A111&lt;&gt;Y$1,Recharged_Feasible_mat!Z80),(VLOOKUP(Y$1,test!$A$3:$I$32,8,FALSE))-(VLOOKUP($A111,test!$A$3:$I$32,9,FALSE))-(test!$B$35-50),0)</f>
        <v>0</v>
      </c>
      <c r="Z111">
        <f>IF(AND($A111&lt;&gt;Z$1,Recharged_Feasible_mat!AA80),(VLOOKUP(Z$1,test!$A$3:$I$32,8,FALSE))-(VLOOKUP($A111,test!$A$3:$I$32,9,FALSE))-(test!$B$35-50),0)</f>
        <v>0</v>
      </c>
      <c r="AA111">
        <f>IF(AND($A111&lt;&gt;AA$1,Recharged_Feasible_mat!AB80),(VLOOKUP(AA$1,test!$A$3:$I$32,8,FALSE))-(VLOOKUP($A111,test!$A$3:$I$32,9,FALSE))-(test!$B$35-50),0)</f>
        <v>0</v>
      </c>
      <c r="AB111">
        <f>IF(AND($A111&lt;&gt;AB$1,Recharged_Feasible_mat!AC80),(VLOOKUP(AB$1,test!$A$3:$I$32,8,FALSE))-(VLOOKUP($A111,test!$A$3:$I$32,9,FALSE))-(test!$B$35-50),0)</f>
        <v>0</v>
      </c>
      <c r="AC111">
        <f>IF(AND($A111&lt;&gt;AC$1,Recharged_Feasible_mat!AD80),(VLOOKUP(AC$1,test!$A$3:$I$32,8,FALSE))-(VLOOKUP($A111,test!$A$3:$I$32,9,FALSE))-(test!$B$35-50),0)</f>
        <v>275</v>
      </c>
      <c r="AD111">
        <f>IF(AND($A111&lt;&gt;AD$1,Recharged_Feasible_mat!AE80),(VLOOKUP(AD$1,test!$A$3:$I$32,8,FALSE))-(VLOOKUP($A111,test!$A$3:$I$32,9,FALSE))-(test!$B$35-50),0)</f>
        <v>0</v>
      </c>
      <c r="AE111">
        <f>IF(AND($A111&lt;&gt;AE$1,Recharged_Feasible_mat!AF80),(VLOOKUP(AE$1,test!$A$3:$I$32,8,FALSE))-(VLOOKUP($A111,test!$A$3:$I$32,9,FALSE))-(test!$B$35-50),0)</f>
        <v>0</v>
      </c>
      <c r="AF111">
        <f>IF(AND($A111&lt;&gt;AF$1,Recharged_Feasible_mat!AG80),(VLOOKUP(AF$1,test!$A$3:$I$32,8,FALSE))-(VLOOKUP($A111,test!$A$3:$I$32,9,FALSE))-(test!$B$35-50),0)</f>
        <v>0</v>
      </c>
    </row>
    <row r="112" spans="1:32" x14ac:dyDescent="0.25">
      <c r="A112" t="s">
        <v>28</v>
      </c>
      <c r="B112">
        <v>0</v>
      </c>
      <c r="C112">
        <f>IF(AND($A112&lt;&gt;C$1,Recharged_Feasible_mat!D81),(VLOOKUP(C$1,test!$A$3:$I$32,8,FALSE))-(VLOOKUP($A112,test!$A$3:$I$32,9,FALSE))-(test!$B$35-50),0)</f>
        <v>0</v>
      </c>
      <c r="D112">
        <f>IF(AND($A112&lt;&gt;D$1,Recharged_Feasible_mat!E81),(VLOOKUP(D$1,test!$A$3:$I$32,8,FALSE))-(VLOOKUP($A112,test!$A$3:$I$32,9,FALSE))-(test!$B$35-50),0)</f>
        <v>0</v>
      </c>
      <c r="E112">
        <f>IF(AND($A112&lt;&gt;E$1,Recharged_Feasible_mat!F81),(VLOOKUP(E$1,test!$A$3:$I$32,8,FALSE))-(VLOOKUP($A112,test!$A$3:$I$32,9,FALSE))-(test!$B$35-50),0)</f>
        <v>0</v>
      </c>
      <c r="F112">
        <f>IF(AND($A112&lt;&gt;F$1,Recharged_Feasible_mat!G81),(VLOOKUP(F$1,test!$A$3:$I$32,8,FALSE))-(VLOOKUP($A112,test!$A$3:$I$32,9,FALSE))-(test!$B$35-50),0)</f>
        <v>0</v>
      </c>
      <c r="G112">
        <f>IF(AND($A112&lt;&gt;G$1,Recharged_Feasible_mat!H81),(VLOOKUP(G$1,test!$A$3:$I$32,8,FALSE))-(VLOOKUP($A112,test!$A$3:$I$32,9,FALSE))-(test!$B$35-50),0)</f>
        <v>0</v>
      </c>
      <c r="H112">
        <f>IF(AND($A112&lt;&gt;H$1,Recharged_Feasible_mat!I81),(VLOOKUP(H$1,test!$A$3:$I$32,8,FALSE))-(VLOOKUP($A112,test!$A$3:$I$32,9,FALSE))-(test!$B$35-50),0)</f>
        <v>0</v>
      </c>
      <c r="I112">
        <f>IF(AND($A112&lt;&gt;I$1,Recharged_Feasible_mat!J81),(VLOOKUP(I$1,test!$A$3:$I$32,8,FALSE))-(VLOOKUP($A112,test!$A$3:$I$32,9,FALSE))-(test!$B$35-50),0)</f>
        <v>245</v>
      </c>
      <c r="J112">
        <f>IF(AND($A112&lt;&gt;J$1,Recharged_Feasible_mat!K81),(VLOOKUP(J$1,test!$A$3:$I$32,8,FALSE))-(VLOOKUP($A112,test!$A$3:$I$32,9,FALSE))-(test!$B$35-50),0)</f>
        <v>335</v>
      </c>
      <c r="K112">
        <f>IF(AND($A112&lt;&gt;K$1,Recharged_Feasible_mat!L81),(VLOOKUP(K$1,test!$A$3:$I$32,8,FALSE))-(VLOOKUP($A112,test!$A$3:$I$32,9,FALSE))-(test!$B$35-50),0)</f>
        <v>0</v>
      </c>
      <c r="L112">
        <f>IF(AND($A112&lt;&gt;L$1,Recharged_Feasible_mat!M81),(VLOOKUP(L$1,test!$A$3:$I$32,8,FALSE))-(VLOOKUP($A112,test!$A$3:$I$32,9,FALSE))-(test!$B$35-50),0)</f>
        <v>0</v>
      </c>
      <c r="M112">
        <f>IF(AND($A112&lt;&gt;M$1,Recharged_Feasible_mat!N81),(VLOOKUP(M$1,test!$A$3:$I$32,8,FALSE))-(VLOOKUP($A112,test!$A$3:$I$32,9,FALSE))-(test!$B$35-50),0)</f>
        <v>0</v>
      </c>
      <c r="N112">
        <f>IF(AND($A112&lt;&gt;N$1,Recharged_Feasible_mat!O81),(VLOOKUP(N$1,test!$A$3:$I$32,8,FALSE))-(VLOOKUP($A112,test!$A$3:$I$32,9,FALSE))-(test!$B$35-50),0)</f>
        <v>300</v>
      </c>
      <c r="O112">
        <f>IF(AND($A112&lt;&gt;O$1,Recharged_Feasible_mat!P81),(VLOOKUP(O$1,test!$A$3:$I$32,8,FALSE))-(VLOOKUP($A112,test!$A$3:$I$32,9,FALSE))-(test!$B$35-50),0)</f>
        <v>360</v>
      </c>
      <c r="P112">
        <f>IF(AND($A112&lt;&gt;P$1,Recharged_Feasible_mat!Q81),(VLOOKUP(P$1,test!$A$3:$I$32,8,FALSE))-(VLOOKUP($A112,test!$A$3:$I$32,9,FALSE))-(test!$B$35-50),0)</f>
        <v>0</v>
      </c>
      <c r="Q112">
        <f>IF(AND($A112&lt;&gt;Q$1,Recharged_Feasible_mat!R81),(VLOOKUP(Q$1,test!$A$3:$I$32,8,FALSE))-(VLOOKUP($A112,test!$A$3:$I$32,9,FALSE))-(test!$B$35-50),0)</f>
        <v>0</v>
      </c>
      <c r="R112">
        <f>IF(AND($A112&lt;&gt;R$1,Recharged_Feasible_mat!S81),(VLOOKUP(R$1,test!$A$3:$I$32,8,FALSE))-(VLOOKUP($A112,test!$A$3:$I$32,9,FALSE))-(test!$B$35-50),0)</f>
        <v>0</v>
      </c>
      <c r="S112">
        <f>IF(AND($A112&lt;&gt;S$1,Recharged_Feasible_mat!T81),(VLOOKUP(S$1,test!$A$3:$I$32,8,FALSE))-(VLOOKUP($A112,test!$A$3:$I$32,9,FALSE))-(test!$B$35-50),0)</f>
        <v>0</v>
      </c>
      <c r="T112">
        <f>IF(AND($A112&lt;&gt;T$1,Recharged_Feasible_mat!U81),(VLOOKUP(T$1,test!$A$3:$I$32,8,FALSE))-(VLOOKUP($A112,test!$A$3:$I$32,9,FALSE))-(test!$B$35-50),0)</f>
        <v>0</v>
      </c>
      <c r="U112">
        <f>IF(AND($A112&lt;&gt;U$1,Recharged_Feasible_mat!V81),(VLOOKUP(U$1,test!$A$3:$I$32,8,FALSE))-(VLOOKUP($A112,test!$A$3:$I$32,9,FALSE))-(test!$B$35-50),0)</f>
        <v>0</v>
      </c>
      <c r="V112">
        <f>IF(AND($A112&lt;&gt;V$1,Recharged_Feasible_mat!W81),(VLOOKUP(V$1,test!$A$3:$I$32,8,FALSE))-(VLOOKUP($A112,test!$A$3:$I$32,9,FALSE))-(test!$B$35-50),0)</f>
        <v>0</v>
      </c>
      <c r="W112">
        <f>IF(AND($A112&lt;&gt;W$1,Recharged_Feasible_mat!X81),(VLOOKUP(W$1,test!$A$3:$I$32,8,FALSE))-(VLOOKUP($A112,test!$A$3:$I$32,9,FALSE))-(test!$B$35-50),0)</f>
        <v>225</v>
      </c>
      <c r="X112">
        <f>IF(AND($A112&lt;&gt;X$1,Recharged_Feasible_mat!Y81),(VLOOKUP(X$1,test!$A$3:$I$32,8,FALSE))-(VLOOKUP($A112,test!$A$3:$I$32,9,FALSE))-(test!$B$35-50),0)</f>
        <v>285</v>
      </c>
      <c r="Y112">
        <f>IF(AND($A112&lt;&gt;Y$1,Recharged_Feasible_mat!Z81),(VLOOKUP(Y$1,test!$A$3:$I$32,8,FALSE))-(VLOOKUP($A112,test!$A$3:$I$32,9,FALSE))-(test!$B$35-50),0)</f>
        <v>0</v>
      </c>
      <c r="Z112">
        <f>IF(AND($A112&lt;&gt;Z$1,Recharged_Feasible_mat!AA81),(VLOOKUP(Z$1,test!$A$3:$I$32,8,FALSE))-(VLOOKUP($A112,test!$A$3:$I$32,9,FALSE))-(test!$B$35-50),0)</f>
        <v>0</v>
      </c>
      <c r="AA112">
        <f>IF(AND($A112&lt;&gt;AA$1,Recharged_Feasible_mat!AB81),(VLOOKUP(AA$1,test!$A$3:$I$32,8,FALSE))-(VLOOKUP($A112,test!$A$3:$I$32,9,FALSE))-(test!$B$35-50),0)</f>
        <v>0</v>
      </c>
      <c r="AB112">
        <f>IF(AND($A112&lt;&gt;AB$1,Recharged_Feasible_mat!AC81),(VLOOKUP(AB$1,test!$A$3:$I$32,8,FALSE))-(VLOOKUP($A112,test!$A$3:$I$32,9,FALSE))-(test!$B$35-50),0)</f>
        <v>0</v>
      </c>
      <c r="AC112">
        <f>IF(AND($A112&lt;&gt;AC$1,Recharged_Feasible_mat!AD81),(VLOOKUP(AC$1,test!$A$3:$I$32,8,FALSE))-(VLOOKUP($A112,test!$A$3:$I$32,9,FALSE))-(test!$B$35-50),0)</f>
        <v>0</v>
      </c>
      <c r="AD112">
        <f>IF(AND($A112&lt;&gt;AD$1,Recharged_Feasible_mat!AE81),(VLOOKUP(AD$1,test!$A$3:$I$32,8,FALSE))-(VLOOKUP($A112,test!$A$3:$I$32,9,FALSE))-(test!$B$35-50),0)</f>
        <v>0</v>
      </c>
      <c r="AE112">
        <f>IF(AND($A112&lt;&gt;AE$1,Recharged_Feasible_mat!AF81),(VLOOKUP(AE$1,test!$A$3:$I$32,8,FALSE))-(VLOOKUP($A112,test!$A$3:$I$32,9,FALSE))-(test!$B$35-50),0)</f>
        <v>0</v>
      </c>
      <c r="AF112">
        <f>IF(AND($A112&lt;&gt;AF$1,Recharged_Feasible_mat!AG81),(VLOOKUP(AF$1,test!$A$3:$I$32,8,FALSE))-(VLOOKUP($A112,test!$A$3:$I$32,9,FALSE))-(test!$B$35-50),0)</f>
        <v>0</v>
      </c>
    </row>
    <row r="113" spans="1:32" x14ac:dyDescent="0.25">
      <c r="A113" t="s">
        <v>29</v>
      </c>
      <c r="B113">
        <v>0</v>
      </c>
      <c r="C113">
        <f>IF(AND($A113&lt;&gt;C$1,Recharged_Feasible_mat!D82),(VLOOKUP(C$1,test!$A$3:$I$32,8,FALSE))-(VLOOKUP($A113,test!$A$3:$I$32,9,FALSE))-(test!$B$35-50),0)</f>
        <v>0</v>
      </c>
      <c r="D113">
        <f>IF(AND($A113&lt;&gt;D$1,Recharged_Feasible_mat!E82),(VLOOKUP(D$1,test!$A$3:$I$32,8,FALSE))-(VLOOKUP($A113,test!$A$3:$I$32,9,FALSE))-(test!$B$35-50),0)</f>
        <v>0</v>
      </c>
      <c r="E113">
        <f>IF(AND($A113&lt;&gt;E$1,Recharged_Feasible_mat!F82),(VLOOKUP(E$1,test!$A$3:$I$32,8,FALSE))-(VLOOKUP($A113,test!$A$3:$I$32,9,FALSE))-(test!$B$35-50),0)</f>
        <v>0</v>
      </c>
      <c r="F113">
        <f>IF(AND($A113&lt;&gt;F$1,Recharged_Feasible_mat!G82),(VLOOKUP(F$1,test!$A$3:$I$32,8,FALSE))-(VLOOKUP($A113,test!$A$3:$I$32,9,FALSE))-(test!$B$35-50),0)</f>
        <v>0</v>
      </c>
      <c r="G113">
        <f>IF(AND($A113&lt;&gt;G$1,Recharged_Feasible_mat!H82),(VLOOKUP(G$1,test!$A$3:$I$32,8,FALSE))-(VLOOKUP($A113,test!$A$3:$I$32,9,FALSE))-(test!$B$35-50),0)</f>
        <v>0</v>
      </c>
      <c r="H113">
        <f>IF(AND($A113&lt;&gt;H$1,Recharged_Feasible_mat!I82),(VLOOKUP(H$1,test!$A$3:$I$32,8,FALSE))-(VLOOKUP($A113,test!$A$3:$I$32,9,FALSE))-(test!$B$35-50),0)</f>
        <v>0</v>
      </c>
      <c r="I113">
        <f>IF(AND($A113&lt;&gt;I$1,Recharged_Feasible_mat!J82),(VLOOKUP(I$1,test!$A$3:$I$32,8,FALSE))-(VLOOKUP($A113,test!$A$3:$I$32,9,FALSE))-(test!$B$35-50),0)</f>
        <v>0</v>
      </c>
      <c r="J113">
        <f>IF(AND($A113&lt;&gt;J$1,Recharged_Feasible_mat!K82),(VLOOKUP(J$1,test!$A$3:$I$32,8,FALSE))-(VLOOKUP($A113,test!$A$3:$I$32,9,FALSE))-(test!$B$35-50),0)</f>
        <v>245</v>
      </c>
      <c r="K113">
        <f>IF(AND($A113&lt;&gt;K$1,Recharged_Feasible_mat!L82),(VLOOKUP(K$1,test!$A$3:$I$32,8,FALSE))-(VLOOKUP($A113,test!$A$3:$I$32,9,FALSE))-(test!$B$35-50),0)</f>
        <v>0</v>
      </c>
      <c r="L113">
        <f>IF(AND($A113&lt;&gt;L$1,Recharged_Feasible_mat!M82),(VLOOKUP(L$1,test!$A$3:$I$32,8,FALSE))-(VLOOKUP($A113,test!$A$3:$I$32,9,FALSE))-(test!$B$35-50),0)</f>
        <v>0</v>
      </c>
      <c r="M113">
        <f>IF(AND($A113&lt;&gt;M$1,Recharged_Feasible_mat!N82),(VLOOKUP(M$1,test!$A$3:$I$32,8,FALSE))-(VLOOKUP($A113,test!$A$3:$I$32,9,FALSE))-(test!$B$35-50),0)</f>
        <v>0</v>
      </c>
      <c r="N113">
        <f>IF(AND($A113&lt;&gt;N$1,Recharged_Feasible_mat!O82),(VLOOKUP(N$1,test!$A$3:$I$32,8,FALSE))-(VLOOKUP($A113,test!$A$3:$I$32,9,FALSE))-(test!$B$35-50),0)</f>
        <v>210</v>
      </c>
      <c r="O113">
        <f>IF(AND($A113&lt;&gt;O$1,Recharged_Feasible_mat!P82),(VLOOKUP(O$1,test!$A$3:$I$32,8,FALSE))-(VLOOKUP($A113,test!$A$3:$I$32,9,FALSE))-(test!$B$35-50),0)</f>
        <v>270</v>
      </c>
      <c r="P113">
        <f>IF(AND($A113&lt;&gt;P$1,Recharged_Feasible_mat!Q82),(VLOOKUP(P$1,test!$A$3:$I$32,8,FALSE))-(VLOOKUP($A113,test!$A$3:$I$32,9,FALSE))-(test!$B$35-50),0)</f>
        <v>0</v>
      </c>
      <c r="Q113">
        <f>IF(AND($A113&lt;&gt;Q$1,Recharged_Feasible_mat!R82),(VLOOKUP(Q$1,test!$A$3:$I$32,8,FALSE))-(VLOOKUP($A113,test!$A$3:$I$32,9,FALSE))-(test!$B$35-50),0)</f>
        <v>0</v>
      </c>
      <c r="R113">
        <f>IF(AND($A113&lt;&gt;R$1,Recharged_Feasible_mat!S82),(VLOOKUP(R$1,test!$A$3:$I$32,8,FALSE))-(VLOOKUP($A113,test!$A$3:$I$32,9,FALSE))-(test!$B$35-50),0)</f>
        <v>0</v>
      </c>
      <c r="S113">
        <f>IF(AND($A113&lt;&gt;S$1,Recharged_Feasible_mat!T82),(VLOOKUP(S$1,test!$A$3:$I$32,8,FALSE))-(VLOOKUP($A113,test!$A$3:$I$32,9,FALSE))-(test!$B$35-50),0)</f>
        <v>0</v>
      </c>
      <c r="T113">
        <f>IF(AND($A113&lt;&gt;T$1,Recharged_Feasible_mat!U82),(VLOOKUP(T$1,test!$A$3:$I$32,8,FALSE))-(VLOOKUP($A113,test!$A$3:$I$32,9,FALSE))-(test!$B$35-50),0)</f>
        <v>0</v>
      </c>
      <c r="U113">
        <f>IF(AND($A113&lt;&gt;U$1,Recharged_Feasible_mat!V82),(VLOOKUP(U$1,test!$A$3:$I$32,8,FALSE))-(VLOOKUP($A113,test!$A$3:$I$32,9,FALSE))-(test!$B$35-50),0)</f>
        <v>0</v>
      </c>
      <c r="V113">
        <f>IF(AND($A113&lt;&gt;V$1,Recharged_Feasible_mat!W82),(VLOOKUP(V$1,test!$A$3:$I$32,8,FALSE))-(VLOOKUP($A113,test!$A$3:$I$32,9,FALSE))-(test!$B$35-50),0)</f>
        <v>0</v>
      </c>
      <c r="W113">
        <f>IF(AND($A113&lt;&gt;W$1,Recharged_Feasible_mat!X82),(VLOOKUP(W$1,test!$A$3:$I$32,8,FALSE))-(VLOOKUP($A113,test!$A$3:$I$32,9,FALSE))-(test!$B$35-50),0)</f>
        <v>0</v>
      </c>
      <c r="X113">
        <f>IF(AND($A113&lt;&gt;X$1,Recharged_Feasible_mat!Y82),(VLOOKUP(X$1,test!$A$3:$I$32,8,FALSE))-(VLOOKUP($A113,test!$A$3:$I$32,9,FALSE))-(test!$B$35-50),0)</f>
        <v>195</v>
      </c>
      <c r="Y113">
        <f>IF(AND($A113&lt;&gt;Y$1,Recharged_Feasible_mat!Z82),(VLOOKUP(Y$1,test!$A$3:$I$32,8,FALSE))-(VLOOKUP($A113,test!$A$3:$I$32,9,FALSE))-(test!$B$35-50),0)</f>
        <v>0</v>
      </c>
      <c r="Z113">
        <f>IF(AND($A113&lt;&gt;Z$1,Recharged_Feasible_mat!AA82),(VLOOKUP(Z$1,test!$A$3:$I$32,8,FALSE))-(VLOOKUP($A113,test!$A$3:$I$32,9,FALSE))-(test!$B$35-50),0)</f>
        <v>0</v>
      </c>
      <c r="AA113">
        <f>IF(AND($A113&lt;&gt;AA$1,Recharged_Feasible_mat!AB82),(VLOOKUP(AA$1,test!$A$3:$I$32,8,FALSE))-(VLOOKUP($A113,test!$A$3:$I$32,9,FALSE))-(test!$B$35-50),0)</f>
        <v>0</v>
      </c>
      <c r="AB113">
        <f>IF(AND($A113&lt;&gt;AB$1,Recharged_Feasible_mat!AC82),(VLOOKUP(AB$1,test!$A$3:$I$32,8,FALSE))-(VLOOKUP($A113,test!$A$3:$I$32,9,FALSE))-(test!$B$35-50),0)</f>
        <v>0</v>
      </c>
      <c r="AC113">
        <f>IF(AND($A113&lt;&gt;AC$1,Recharged_Feasible_mat!AD82),(VLOOKUP(AC$1,test!$A$3:$I$32,8,FALSE))-(VLOOKUP($A113,test!$A$3:$I$32,9,FALSE))-(test!$B$35-50),0)</f>
        <v>0</v>
      </c>
      <c r="AD113">
        <f>IF(AND($A113&lt;&gt;AD$1,Recharged_Feasible_mat!AE82),(VLOOKUP(AD$1,test!$A$3:$I$32,8,FALSE))-(VLOOKUP($A113,test!$A$3:$I$32,9,FALSE))-(test!$B$35-50),0)</f>
        <v>0</v>
      </c>
      <c r="AE113">
        <f>IF(AND($A113&lt;&gt;AE$1,Recharged_Feasible_mat!AF82),(VLOOKUP(AE$1,test!$A$3:$I$32,8,FALSE))-(VLOOKUP($A113,test!$A$3:$I$32,9,FALSE))-(test!$B$35-50),0)</f>
        <v>0</v>
      </c>
      <c r="AF113">
        <f>IF(AND($A113&lt;&gt;AF$1,Recharged_Feasible_mat!AG82),(VLOOKUP(AF$1,test!$A$3:$I$32,8,FALSE))-(VLOOKUP($A113,test!$A$3:$I$32,9,FALSE))-(test!$B$35-50),0)</f>
        <v>0</v>
      </c>
    </row>
    <row r="114" spans="1:32" x14ac:dyDescent="0.25">
      <c r="A114" t="s">
        <v>30</v>
      </c>
      <c r="B114">
        <v>0</v>
      </c>
      <c r="C114">
        <f>IF(AND($A114&lt;&gt;C$1,Recharged_Feasible_mat!D83),(VLOOKUP(C$1,test!$A$3:$I$32,8,FALSE))-(VLOOKUP($A114,test!$A$3:$I$32,9,FALSE))-(test!$B$35-50),0)</f>
        <v>0</v>
      </c>
      <c r="D114">
        <f>IF(AND($A114&lt;&gt;D$1,Recharged_Feasible_mat!E83),(VLOOKUP(D$1,test!$A$3:$I$32,8,FALSE))-(VLOOKUP($A114,test!$A$3:$I$32,9,FALSE))-(test!$B$35-50),0)</f>
        <v>0</v>
      </c>
      <c r="E114">
        <f>IF(AND($A114&lt;&gt;E$1,Recharged_Feasible_mat!F83),(VLOOKUP(E$1,test!$A$3:$I$32,8,FALSE))-(VLOOKUP($A114,test!$A$3:$I$32,9,FALSE))-(test!$B$35-50),0)</f>
        <v>0</v>
      </c>
      <c r="F114">
        <f>IF(AND($A114&lt;&gt;F$1,Recharged_Feasible_mat!G83),(VLOOKUP(F$1,test!$A$3:$I$32,8,FALSE))-(VLOOKUP($A114,test!$A$3:$I$32,9,FALSE))-(test!$B$35-50),0)</f>
        <v>0</v>
      </c>
      <c r="G114">
        <f>IF(AND($A114&lt;&gt;G$1,Recharged_Feasible_mat!H83),(VLOOKUP(G$1,test!$A$3:$I$32,8,FALSE))-(VLOOKUP($A114,test!$A$3:$I$32,9,FALSE))-(test!$B$35-50),0)</f>
        <v>0</v>
      </c>
      <c r="H114">
        <f>IF(AND($A114&lt;&gt;H$1,Recharged_Feasible_mat!I83),(VLOOKUP(H$1,test!$A$3:$I$32,8,FALSE))-(VLOOKUP($A114,test!$A$3:$I$32,9,FALSE))-(test!$B$35-50),0)</f>
        <v>0</v>
      </c>
      <c r="I114">
        <f>IF(AND($A114&lt;&gt;I$1,Recharged_Feasible_mat!J83),(VLOOKUP(I$1,test!$A$3:$I$32,8,FALSE))-(VLOOKUP($A114,test!$A$3:$I$32,9,FALSE))-(test!$B$35-50),0)</f>
        <v>0</v>
      </c>
      <c r="J114">
        <f>IF(AND($A114&lt;&gt;J$1,Recharged_Feasible_mat!K83),(VLOOKUP(J$1,test!$A$3:$I$32,8,FALSE))-(VLOOKUP($A114,test!$A$3:$I$32,9,FALSE))-(test!$B$35-50),0)</f>
        <v>0</v>
      </c>
      <c r="K114">
        <f>IF(AND($A114&lt;&gt;K$1,Recharged_Feasible_mat!L83),(VLOOKUP(K$1,test!$A$3:$I$32,8,FALSE))-(VLOOKUP($A114,test!$A$3:$I$32,9,FALSE))-(test!$B$35-50),0)</f>
        <v>0</v>
      </c>
      <c r="L114">
        <f>IF(AND($A114&lt;&gt;L$1,Recharged_Feasible_mat!M83),(VLOOKUP(L$1,test!$A$3:$I$32,8,FALSE))-(VLOOKUP($A114,test!$A$3:$I$32,9,FALSE))-(test!$B$35-50),0)</f>
        <v>0</v>
      </c>
      <c r="M114">
        <f>IF(AND($A114&lt;&gt;M$1,Recharged_Feasible_mat!N83),(VLOOKUP(M$1,test!$A$3:$I$32,8,FALSE))-(VLOOKUP($A114,test!$A$3:$I$32,9,FALSE))-(test!$B$35-50),0)</f>
        <v>0</v>
      </c>
      <c r="N114">
        <f>IF(AND($A114&lt;&gt;N$1,Recharged_Feasible_mat!O83),(VLOOKUP(N$1,test!$A$3:$I$32,8,FALSE))-(VLOOKUP($A114,test!$A$3:$I$32,9,FALSE))-(test!$B$35-50),0)</f>
        <v>0</v>
      </c>
      <c r="O114">
        <f>IF(AND($A114&lt;&gt;O$1,Recharged_Feasible_mat!P83),(VLOOKUP(O$1,test!$A$3:$I$32,8,FALSE))-(VLOOKUP($A114,test!$A$3:$I$32,9,FALSE))-(test!$B$35-50),0)</f>
        <v>0</v>
      </c>
      <c r="P114">
        <f>IF(AND($A114&lt;&gt;P$1,Recharged_Feasible_mat!Q83),(VLOOKUP(P$1,test!$A$3:$I$32,8,FALSE))-(VLOOKUP($A114,test!$A$3:$I$32,9,FALSE))-(test!$B$35-50),0)</f>
        <v>0</v>
      </c>
      <c r="Q114">
        <f>IF(AND($A114&lt;&gt;Q$1,Recharged_Feasible_mat!R83),(VLOOKUP(Q$1,test!$A$3:$I$32,8,FALSE))-(VLOOKUP($A114,test!$A$3:$I$32,9,FALSE))-(test!$B$35-50),0)</f>
        <v>0</v>
      </c>
      <c r="R114">
        <f>IF(AND($A114&lt;&gt;R$1,Recharged_Feasible_mat!S83),(VLOOKUP(R$1,test!$A$3:$I$32,8,FALSE))-(VLOOKUP($A114,test!$A$3:$I$32,9,FALSE))-(test!$B$35-50),0)</f>
        <v>0</v>
      </c>
      <c r="S114">
        <f>IF(AND($A114&lt;&gt;S$1,Recharged_Feasible_mat!T83),(VLOOKUP(S$1,test!$A$3:$I$32,8,FALSE))-(VLOOKUP($A114,test!$A$3:$I$32,9,FALSE))-(test!$B$35-50),0)</f>
        <v>0</v>
      </c>
      <c r="T114">
        <f>IF(AND($A114&lt;&gt;T$1,Recharged_Feasible_mat!U83),(VLOOKUP(T$1,test!$A$3:$I$32,8,FALSE))-(VLOOKUP($A114,test!$A$3:$I$32,9,FALSE))-(test!$B$35-50),0)</f>
        <v>0</v>
      </c>
      <c r="U114">
        <f>IF(AND($A114&lt;&gt;U$1,Recharged_Feasible_mat!V83),(VLOOKUP(U$1,test!$A$3:$I$32,8,FALSE))-(VLOOKUP($A114,test!$A$3:$I$32,9,FALSE))-(test!$B$35-50),0)</f>
        <v>0</v>
      </c>
      <c r="V114">
        <f>IF(AND($A114&lt;&gt;V$1,Recharged_Feasible_mat!W83),(VLOOKUP(V$1,test!$A$3:$I$32,8,FALSE))-(VLOOKUP($A114,test!$A$3:$I$32,9,FALSE))-(test!$B$35-50),0)</f>
        <v>0</v>
      </c>
      <c r="W114">
        <f>IF(AND($A114&lt;&gt;W$1,Recharged_Feasible_mat!X83),(VLOOKUP(W$1,test!$A$3:$I$32,8,FALSE))-(VLOOKUP($A114,test!$A$3:$I$32,9,FALSE))-(test!$B$35-50),0)</f>
        <v>0</v>
      </c>
      <c r="X114">
        <f>IF(AND($A114&lt;&gt;X$1,Recharged_Feasible_mat!Y83),(VLOOKUP(X$1,test!$A$3:$I$32,8,FALSE))-(VLOOKUP($A114,test!$A$3:$I$32,9,FALSE))-(test!$B$35-50),0)</f>
        <v>0</v>
      </c>
      <c r="Y114">
        <f>IF(AND($A114&lt;&gt;Y$1,Recharged_Feasible_mat!Z83),(VLOOKUP(Y$1,test!$A$3:$I$32,8,FALSE))-(VLOOKUP($A114,test!$A$3:$I$32,9,FALSE))-(test!$B$35-50),0)</f>
        <v>0</v>
      </c>
      <c r="Z114">
        <f>IF(AND($A114&lt;&gt;Z$1,Recharged_Feasible_mat!AA83),(VLOOKUP(Z$1,test!$A$3:$I$32,8,FALSE))-(VLOOKUP($A114,test!$A$3:$I$32,9,FALSE))-(test!$B$35-50),0)</f>
        <v>0</v>
      </c>
      <c r="AA114">
        <f>IF(AND($A114&lt;&gt;AA$1,Recharged_Feasible_mat!AB83),(VLOOKUP(AA$1,test!$A$3:$I$32,8,FALSE))-(VLOOKUP($A114,test!$A$3:$I$32,9,FALSE))-(test!$B$35-50),0)</f>
        <v>0</v>
      </c>
      <c r="AB114">
        <f>IF(AND($A114&lt;&gt;AB$1,Recharged_Feasible_mat!AC83),(VLOOKUP(AB$1,test!$A$3:$I$32,8,FALSE))-(VLOOKUP($A114,test!$A$3:$I$32,9,FALSE))-(test!$B$35-50),0)</f>
        <v>0</v>
      </c>
      <c r="AC114">
        <f>IF(AND($A114&lt;&gt;AC$1,Recharged_Feasible_mat!AD83),(VLOOKUP(AC$1,test!$A$3:$I$32,8,FALSE))-(VLOOKUP($A114,test!$A$3:$I$32,9,FALSE))-(test!$B$35-50),0)</f>
        <v>0</v>
      </c>
      <c r="AD114">
        <f>IF(AND($A114&lt;&gt;AD$1,Recharged_Feasible_mat!AE83),(VLOOKUP(AD$1,test!$A$3:$I$32,8,FALSE))-(VLOOKUP($A114,test!$A$3:$I$32,9,FALSE))-(test!$B$35-50),0)</f>
        <v>0</v>
      </c>
      <c r="AE114">
        <f>IF(AND($A114&lt;&gt;AE$1,Recharged_Feasible_mat!AF83),(VLOOKUP(AE$1,test!$A$3:$I$32,8,FALSE))-(VLOOKUP($A114,test!$A$3:$I$32,9,FALSE))-(test!$B$35-50),0)</f>
        <v>0</v>
      </c>
      <c r="AF114">
        <f>IF(AND($A114&lt;&gt;AF$1,Recharged_Feasible_mat!AG83),(VLOOKUP(AF$1,test!$A$3:$I$32,8,FALSE))-(VLOOKUP($A114,test!$A$3:$I$32,9,FALSE))-(test!$B$35-50),0)</f>
        <v>0</v>
      </c>
    </row>
    <row r="115" spans="1:32" x14ac:dyDescent="0.25">
      <c r="A115" t="s">
        <v>31</v>
      </c>
      <c r="B115">
        <v>0</v>
      </c>
      <c r="C115">
        <f>IF(AND($A115&lt;&gt;C$1,Recharged_Feasible_mat!D84),(VLOOKUP(C$1,test!$A$3:$I$32,8,FALSE))-(VLOOKUP($A115,test!$A$3:$I$32,9,FALSE))-(test!$B$35-50),0)</f>
        <v>0</v>
      </c>
      <c r="D115">
        <f>IF(AND($A115&lt;&gt;D$1,Recharged_Feasible_mat!E84),(VLOOKUP(D$1,test!$A$3:$I$32,8,FALSE))-(VLOOKUP($A115,test!$A$3:$I$32,9,FALSE))-(test!$B$35-50),0)</f>
        <v>0</v>
      </c>
      <c r="E115">
        <f>IF(AND($A115&lt;&gt;E$1,Recharged_Feasible_mat!F84),(VLOOKUP(E$1,test!$A$3:$I$32,8,FALSE))-(VLOOKUP($A115,test!$A$3:$I$32,9,FALSE))-(test!$B$35-50),0)</f>
        <v>0</v>
      </c>
      <c r="F115">
        <f>IF(AND($A115&lt;&gt;F$1,Recharged_Feasible_mat!G84),(VLOOKUP(F$1,test!$A$3:$I$32,8,FALSE))-(VLOOKUP($A115,test!$A$3:$I$32,9,FALSE))-(test!$B$35-50),0)</f>
        <v>0</v>
      </c>
      <c r="G115">
        <f>IF(AND($A115&lt;&gt;G$1,Recharged_Feasible_mat!H84),(VLOOKUP(G$1,test!$A$3:$I$32,8,FALSE))-(VLOOKUP($A115,test!$A$3:$I$32,9,FALSE))-(test!$B$35-50),0)</f>
        <v>0</v>
      </c>
      <c r="H115">
        <f>IF(AND($A115&lt;&gt;H$1,Recharged_Feasible_mat!I84),(VLOOKUP(H$1,test!$A$3:$I$32,8,FALSE))-(VLOOKUP($A115,test!$A$3:$I$32,9,FALSE))-(test!$B$35-50),0)</f>
        <v>0</v>
      </c>
      <c r="I115">
        <f>IF(AND($A115&lt;&gt;I$1,Recharged_Feasible_mat!J84),(VLOOKUP(I$1,test!$A$3:$I$32,8,FALSE))-(VLOOKUP($A115,test!$A$3:$I$32,9,FALSE))-(test!$B$35-50),0)</f>
        <v>0</v>
      </c>
      <c r="J115">
        <f>IF(AND($A115&lt;&gt;J$1,Recharged_Feasible_mat!K84),(VLOOKUP(J$1,test!$A$3:$I$32,8,FALSE))-(VLOOKUP($A115,test!$A$3:$I$32,9,FALSE))-(test!$B$35-50),0)</f>
        <v>0</v>
      </c>
      <c r="K115">
        <f>IF(AND($A115&lt;&gt;K$1,Recharged_Feasible_mat!L84),(VLOOKUP(K$1,test!$A$3:$I$32,8,FALSE))-(VLOOKUP($A115,test!$A$3:$I$32,9,FALSE))-(test!$B$35-50),0)</f>
        <v>0</v>
      </c>
      <c r="L115">
        <f>IF(AND($A115&lt;&gt;L$1,Recharged_Feasible_mat!M84),(VLOOKUP(L$1,test!$A$3:$I$32,8,FALSE))-(VLOOKUP($A115,test!$A$3:$I$32,9,FALSE))-(test!$B$35-50),0)</f>
        <v>0</v>
      </c>
      <c r="M115">
        <f>IF(AND($A115&lt;&gt;M$1,Recharged_Feasible_mat!N84),(VLOOKUP(M$1,test!$A$3:$I$32,8,FALSE))-(VLOOKUP($A115,test!$A$3:$I$32,9,FALSE))-(test!$B$35-50),0)</f>
        <v>0</v>
      </c>
      <c r="N115">
        <f>IF(AND($A115&lt;&gt;N$1,Recharged_Feasible_mat!O84),(VLOOKUP(N$1,test!$A$3:$I$32,8,FALSE))-(VLOOKUP($A115,test!$A$3:$I$32,9,FALSE))-(test!$B$35-50),0)</f>
        <v>0</v>
      </c>
      <c r="O115">
        <f>IF(AND($A115&lt;&gt;O$1,Recharged_Feasible_mat!P84),(VLOOKUP(O$1,test!$A$3:$I$32,8,FALSE))-(VLOOKUP($A115,test!$A$3:$I$32,9,FALSE))-(test!$B$35-50),0)</f>
        <v>0</v>
      </c>
      <c r="P115">
        <f>IF(AND($A115&lt;&gt;P$1,Recharged_Feasible_mat!Q84),(VLOOKUP(P$1,test!$A$3:$I$32,8,FALSE))-(VLOOKUP($A115,test!$A$3:$I$32,9,FALSE))-(test!$B$35-50),0)</f>
        <v>0</v>
      </c>
      <c r="Q115">
        <f>IF(AND($A115&lt;&gt;Q$1,Recharged_Feasible_mat!R84),(VLOOKUP(Q$1,test!$A$3:$I$32,8,FALSE))-(VLOOKUP($A115,test!$A$3:$I$32,9,FALSE))-(test!$B$35-50),0)</f>
        <v>0</v>
      </c>
      <c r="R115">
        <f>IF(AND($A115&lt;&gt;R$1,Recharged_Feasible_mat!S84),(VLOOKUP(R$1,test!$A$3:$I$32,8,FALSE))-(VLOOKUP($A115,test!$A$3:$I$32,9,FALSE))-(test!$B$35-50),0)</f>
        <v>0</v>
      </c>
      <c r="S115">
        <f>IF(AND($A115&lt;&gt;S$1,Recharged_Feasible_mat!T84),(VLOOKUP(S$1,test!$A$3:$I$32,8,FALSE))-(VLOOKUP($A115,test!$A$3:$I$32,9,FALSE))-(test!$B$35-50),0)</f>
        <v>0</v>
      </c>
      <c r="T115">
        <f>IF(AND($A115&lt;&gt;T$1,Recharged_Feasible_mat!U84),(VLOOKUP(T$1,test!$A$3:$I$32,8,FALSE))-(VLOOKUP($A115,test!$A$3:$I$32,9,FALSE))-(test!$B$35-50),0)</f>
        <v>0</v>
      </c>
      <c r="U115">
        <f>IF(AND($A115&lt;&gt;U$1,Recharged_Feasible_mat!V84),(VLOOKUP(U$1,test!$A$3:$I$32,8,FALSE))-(VLOOKUP($A115,test!$A$3:$I$32,9,FALSE))-(test!$B$35-50),0)</f>
        <v>0</v>
      </c>
      <c r="V115">
        <f>IF(AND($A115&lt;&gt;V$1,Recharged_Feasible_mat!W84),(VLOOKUP(V$1,test!$A$3:$I$32,8,FALSE))-(VLOOKUP($A115,test!$A$3:$I$32,9,FALSE))-(test!$B$35-50),0)</f>
        <v>0</v>
      </c>
      <c r="W115">
        <f>IF(AND($A115&lt;&gt;W$1,Recharged_Feasible_mat!X84),(VLOOKUP(W$1,test!$A$3:$I$32,8,FALSE))-(VLOOKUP($A115,test!$A$3:$I$32,9,FALSE))-(test!$B$35-50),0)</f>
        <v>0</v>
      </c>
      <c r="X115">
        <f>IF(AND($A115&lt;&gt;X$1,Recharged_Feasible_mat!Y84),(VLOOKUP(X$1,test!$A$3:$I$32,8,FALSE))-(VLOOKUP($A115,test!$A$3:$I$32,9,FALSE))-(test!$B$35-50),0)</f>
        <v>0</v>
      </c>
      <c r="Y115">
        <f>IF(AND($A115&lt;&gt;Y$1,Recharged_Feasible_mat!Z84),(VLOOKUP(Y$1,test!$A$3:$I$32,8,FALSE))-(VLOOKUP($A115,test!$A$3:$I$32,9,FALSE))-(test!$B$35-50),0)</f>
        <v>0</v>
      </c>
      <c r="Z115">
        <f>IF(AND($A115&lt;&gt;Z$1,Recharged_Feasible_mat!AA84),(VLOOKUP(Z$1,test!$A$3:$I$32,8,FALSE))-(VLOOKUP($A115,test!$A$3:$I$32,9,FALSE))-(test!$B$35-50),0)</f>
        <v>0</v>
      </c>
      <c r="AA115">
        <f>IF(AND($A115&lt;&gt;AA$1,Recharged_Feasible_mat!AB84),(VLOOKUP(AA$1,test!$A$3:$I$32,8,FALSE))-(VLOOKUP($A115,test!$A$3:$I$32,9,FALSE))-(test!$B$35-50),0)</f>
        <v>0</v>
      </c>
      <c r="AB115">
        <f>IF(AND($A115&lt;&gt;AB$1,Recharged_Feasible_mat!AC84),(VLOOKUP(AB$1,test!$A$3:$I$32,8,FALSE))-(VLOOKUP($A115,test!$A$3:$I$32,9,FALSE))-(test!$B$35-50),0)</f>
        <v>0</v>
      </c>
      <c r="AC115">
        <f>IF(AND($A115&lt;&gt;AC$1,Recharged_Feasible_mat!AD84),(VLOOKUP(AC$1,test!$A$3:$I$32,8,FALSE))-(VLOOKUP($A115,test!$A$3:$I$32,9,FALSE))-(test!$B$35-50),0)</f>
        <v>0</v>
      </c>
      <c r="AD115">
        <f>IF(AND($A115&lt;&gt;AD$1,Recharged_Feasible_mat!AE84),(VLOOKUP(AD$1,test!$A$3:$I$32,8,FALSE))-(VLOOKUP($A115,test!$A$3:$I$32,9,FALSE))-(test!$B$35-50),0)</f>
        <v>0</v>
      </c>
      <c r="AE115">
        <f>IF(AND($A115&lt;&gt;AE$1,Recharged_Feasible_mat!AF84),(VLOOKUP(AE$1,test!$A$3:$I$32,8,FALSE))-(VLOOKUP($A115,test!$A$3:$I$32,9,FALSE))-(test!$B$35-50),0)</f>
        <v>0</v>
      </c>
      <c r="AF115">
        <f>IF(AND($A115&lt;&gt;AF$1,Recharged_Feasible_mat!AG84),(VLOOKUP(AF$1,test!$A$3:$I$32,8,FALSE))-(VLOOKUP($A115,test!$A$3:$I$32,9,FALSE))-(test!$B$35-50),0)</f>
        <v>0</v>
      </c>
    </row>
    <row r="116" spans="1:32" x14ac:dyDescent="0.25">
      <c r="A116" t="s">
        <v>32</v>
      </c>
      <c r="B116">
        <v>0</v>
      </c>
      <c r="C116">
        <f>IF(AND($A116&lt;&gt;C$1,Recharged_Feasible_mat!D85),(VLOOKUP(C$1,test!$A$3:$I$32,8,FALSE))-(VLOOKUP($A116,test!$A$3:$I$32,9,FALSE))-(test!$B$35-50),0)</f>
        <v>0</v>
      </c>
      <c r="D116">
        <f>IF(AND($A116&lt;&gt;D$1,Recharged_Feasible_mat!E85),(VLOOKUP(D$1,test!$A$3:$I$32,8,FALSE))-(VLOOKUP($A116,test!$A$3:$I$32,9,FALSE))-(test!$B$35-50),0)</f>
        <v>0</v>
      </c>
      <c r="E116">
        <f>IF(AND($A116&lt;&gt;E$1,Recharged_Feasible_mat!F85),(VLOOKUP(E$1,test!$A$3:$I$32,8,FALSE))-(VLOOKUP($A116,test!$A$3:$I$32,9,FALSE))-(test!$B$35-50),0)</f>
        <v>0</v>
      </c>
      <c r="F116">
        <f>IF(AND($A116&lt;&gt;F$1,Recharged_Feasible_mat!G85),(VLOOKUP(F$1,test!$A$3:$I$32,8,FALSE))-(VLOOKUP($A116,test!$A$3:$I$32,9,FALSE))-(test!$B$35-50),0)</f>
        <v>0</v>
      </c>
      <c r="G116">
        <f>IF(AND($A116&lt;&gt;G$1,Recharged_Feasible_mat!H85),(VLOOKUP(G$1,test!$A$3:$I$32,8,FALSE))-(VLOOKUP($A116,test!$A$3:$I$32,9,FALSE))-(test!$B$35-50),0)</f>
        <v>0</v>
      </c>
      <c r="H116">
        <f>IF(AND($A116&lt;&gt;H$1,Recharged_Feasible_mat!I85),(VLOOKUP(H$1,test!$A$3:$I$32,8,FALSE))-(VLOOKUP($A116,test!$A$3:$I$32,9,FALSE))-(test!$B$35-50),0)</f>
        <v>0</v>
      </c>
      <c r="I116">
        <f>IF(AND($A116&lt;&gt;I$1,Recharged_Feasible_mat!J85),(VLOOKUP(I$1,test!$A$3:$I$32,8,FALSE))-(VLOOKUP($A116,test!$A$3:$I$32,9,FALSE))-(test!$B$35-50),0)</f>
        <v>0</v>
      </c>
      <c r="J116">
        <f>IF(AND($A116&lt;&gt;J$1,Recharged_Feasible_mat!K85),(VLOOKUP(J$1,test!$A$3:$I$32,8,FALSE))-(VLOOKUP($A116,test!$A$3:$I$32,9,FALSE))-(test!$B$35-50),0)</f>
        <v>0</v>
      </c>
      <c r="K116">
        <f>IF(AND($A116&lt;&gt;K$1,Recharged_Feasible_mat!L85),(VLOOKUP(K$1,test!$A$3:$I$32,8,FALSE))-(VLOOKUP($A116,test!$A$3:$I$32,9,FALSE))-(test!$B$35-50),0)</f>
        <v>0</v>
      </c>
      <c r="L116">
        <f>IF(AND($A116&lt;&gt;L$1,Recharged_Feasible_mat!M85),(VLOOKUP(L$1,test!$A$3:$I$32,8,FALSE))-(VLOOKUP($A116,test!$A$3:$I$32,9,FALSE))-(test!$B$35-50),0)</f>
        <v>0</v>
      </c>
      <c r="M116">
        <f>IF(AND($A116&lt;&gt;M$1,Recharged_Feasible_mat!N85),(VLOOKUP(M$1,test!$A$3:$I$32,8,FALSE))-(VLOOKUP($A116,test!$A$3:$I$32,9,FALSE))-(test!$B$35-50),0)</f>
        <v>0</v>
      </c>
      <c r="N116">
        <f>IF(AND($A116&lt;&gt;N$1,Recharged_Feasible_mat!O85),(VLOOKUP(N$1,test!$A$3:$I$32,8,FALSE))-(VLOOKUP($A116,test!$A$3:$I$32,9,FALSE))-(test!$B$35-50),0)</f>
        <v>0</v>
      </c>
      <c r="O116">
        <f>IF(AND($A116&lt;&gt;O$1,Recharged_Feasible_mat!P85),(VLOOKUP(O$1,test!$A$3:$I$32,8,FALSE))-(VLOOKUP($A116,test!$A$3:$I$32,9,FALSE))-(test!$B$35-50),0)</f>
        <v>0</v>
      </c>
      <c r="P116">
        <f>IF(AND($A116&lt;&gt;P$1,Recharged_Feasible_mat!Q85),(VLOOKUP(P$1,test!$A$3:$I$32,8,FALSE))-(VLOOKUP($A116,test!$A$3:$I$32,9,FALSE))-(test!$B$35-50),0)</f>
        <v>0</v>
      </c>
      <c r="Q116">
        <f>IF(AND($A116&lt;&gt;Q$1,Recharged_Feasible_mat!R85),(VLOOKUP(Q$1,test!$A$3:$I$32,8,FALSE))-(VLOOKUP($A116,test!$A$3:$I$32,9,FALSE))-(test!$B$35-50),0)</f>
        <v>0</v>
      </c>
      <c r="R116">
        <f>IF(AND($A116&lt;&gt;R$1,Recharged_Feasible_mat!S85),(VLOOKUP(R$1,test!$A$3:$I$32,8,FALSE))-(VLOOKUP($A116,test!$A$3:$I$32,9,FALSE))-(test!$B$35-50),0)</f>
        <v>0</v>
      </c>
      <c r="S116">
        <f>IF(AND($A116&lt;&gt;S$1,Recharged_Feasible_mat!T85),(VLOOKUP(S$1,test!$A$3:$I$32,8,FALSE))-(VLOOKUP($A116,test!$A$3:$I$32,9,FALSE))-(test!$B$35-50),0)</f>
        <v>0</v>
      </c>
      <c r="T116">
        <f>IF(AND($A116&lt;&gt;T$1,Recharged_Feasible_mat!U85),(VLOOKUP(T$1,test!$A$3:$I$32,8,FALSE))-(VLOOKUP($A116,test!$A$3:$I$32,9,FALSE))-(test!$B$35-50),0)</f>
        <v>0</v>
      </c>
      <c r="U116">
        <f>IF(AND($A116&lt;&gt;U$1,Recharged_Feasible_mat!V85),(VLOOKUP(U$1,test!$A$3:$I$32,8,FALSE))-(VLOOKUP($A116,test!$A$3:$I$32,9,FALSE))-(test!$B$35-50),0)</f>
        <v>0</v>
      </c>
      <c r="V116">
        <f>IF(AND($A116&lt;&gt;V$1,Recharged_Feasible_mat!W85),(VLOOKUP(V$1,test!$A$3:$I$32,8,FALSE))-(VLOOKUP($A116,test!$A$3:$I$32,9,FALSE))-(test!$B$35-50),0)</f>
        <v>0</v>
      </c>
      <c r="W116">
        <f>IF(AND($A116&lt;&gt;W$1,Recharged_Feasible_mat!X85),(VLOOKUP(W$1,test!$A$3:$I$32,8,FALSE))-(VLOOKUP($A116,test!$A$3:$I$32,9,FALSE))-(test!$B$35-50),0)</f>
        <v>0</v>
      </c>
      <c r="X116">
        <f>IF(AND($A116&lt;&gt;X$1,Recharged_Feasible_mat!Y85),(VLOOKUP(X$1,test!$A$3:$I$32,8,FALSE))-(VLOOKUP($A116,test!$A$3:$I$32,9,FALSE))-(test!$B$35-50),0)</f>
        <v>0</v>
      </c>
      <c r="Y116">
        <f>IF(AND($A116&lt;&gt;Y$1,Recharged_Feasible_mat!Z85),(VLOOKUP(Y$1,test!$A$3:$I$32,8,FALSE))-(VLOOKUP($A116,test!$A$3:$I$32,9,FALSE))-(test!$B$35-50),0)</f>
        <v>0</v>
      </c>
      <c r="Z116">
        <f>IF(AND($A116&lt;&gt;Z$1,Recharged_Feasible_mat!AA85),(VLOOKUP(Z$1,test!$A$3:$I$32,8,FALSE))-(VLOOKUP($A116,test!$A$3:$I$32,9,FALSE))-(test!$B$35-50),0)</f>
        <v>0</v>
      </c>
      <c r="AA116">
        <f>IF(AND($A116&lt;&gt;AA$1,Recharged_Feasible_mat!AB85),(VLOOKUP(AA$1,test!$A$3:$I$32,8,FALSE))-(VLOOKUP($A116,test!$A$3:$I$32,9,FALSE))-(test!$B$35-50),0)</f>
        <v>0</v>
      </c>
      <c r="AB116">
        <f>IF(AND($A116&lt;&gt;AB$1,Recharged_Feasible_mat!AC85),(VLOOKUP(AB$1,test!$A$3:$I$32,8,FALSE))-(VLOOKUP($A116,test!$A$3:$I$32,9,FALSE))-(test!$B$35-50),0)</f>
        <v>0</v>
      </c>
      <c r="AC116">
        <f>IF(AND($A116&lt;&gt;AC$1,Recharged_Feasible_mat!AD85),(VLOOKUP(AC$1,test!$A$3:$I$32,8,FALSE))-(VLOOKUP($A116,test!$A$3:$I$32,9,FALSE))-(test!$B$35-50),0)</f>
        <v>0</v>
      </c>
      <c r="AD116">
        <f>IF(AND($A116&lt;&gt;AD$1,Recharged_Feasible_mat!AE85),(VLOOKUP(AD$1,test!$A$3:$I$32,8,FALSE))-(VLOOKUP($A116,test!$A$3:$I$32,9,FALSE))-(test!$B$35-50),0)</f>
        <v>0</v>
      </c>
      <c r="AE116">
        <f>IF(AND($A116&lt;&gt;AE$1,Recharged_Feasible_mat!AF85),(VLOOKUP(AE$1,test!$A$3:$I$32,8,FALSE))-(VLOOKUP($A116,test!$A$3:$I$32,9,FALSE))-(test!$B$35-50),0)</f>
        <v>0</v>
      </c>
      <c r="AF116">
        <f>IF(AND($A116&lt;&gt;AF$1,Recharged_Feasible_mat!AG85),(VLOOKUP(AF$1,test!$A$3:$I$32,8,FALSE))-(VLOOKUP($A116,test!$A$3:$I$32,9,FALSE))-(test!$B$35-50),0)</f>
        <v>0</v>
      </c>
    </row>
    <row r="117" spans="1:32" x14ac:dyDescent="0.25">
      <c r="A117" t="s">
        <v>33</v>
      </c>
      <c r="B117">
        <v>0</v>
      </c>
      <c r="C117">
        <f>IF(AND($A117&lt;&gt;C$1,Recharged_Feasible_mat!D86),(VLOOKUP(C$1,test!$A$3:$I$32,8,FALSE))-(VLOOKUP($A117,test!$A$3:$I$32,9,FALSE))-(test!$B$35-50),0)</f>
        <v>0</v>
      </c>
      <c r="D117">
        <f>IF(AND($A117&lt;&gt;D$1,Recharged_Feasible_mat!E86),(VLOOKUP(D$1,test!$A$3:$I$32,8,FALSE))-(VLOOKUP($A117,test!$A$3:$I$32,9,FALSE))-(test!$B$35-50),0)</f>
        <v>0</v>
      </c>
      <c r="E117">
        <f>IF(AND($A117&lt;&gt;E$1,Recharged_Feasible_mat!F86),(VLOOKUP(E$1,test!$A$3:$I$32,8,FALSE))-(VLOOKUP($A117,test!$A$3:$I$32,9,FALSE))-(test!$B$35-50),0)</f>
        <v>0</v>
      </c>
      <c r="F117">
        <f>IF(AND($A117&lt;&gt;F$1,Recharged_Feasible_mat!G86),(VLOOKUP(F$1,test!$A$3:$I$32,8,FALSE))-(VLOOKUP($A117,test!$A$3:$I$32,9,FALSE))-(test!$B$35-50),0)</f>
        <v>0</v>
      </c>
      <c r="G117">
        <f>IF(AND($A117&lt;&gt;G$1,Recharged_Feasible_mat!H86),(VLOOKUP(G$1,test!$A$3:$I$32,8,FALSE))-(VLOOKUP($A117,test!$A$3:$I$32,9,FALSE))-(test!$B$35-50),0)</f>
        <v>0</v>
      </c>
      <c r="H117">
        <f>IF(AND($A117&lt;&gt;H$1,Recharged_Feasible_mat!I86),(VLOOKUP(H$1,test!$A$3:$I$32,8,FALSE))-(VLOOKUP($A117,test!$A$3:$I$32,9,FALSE))-(test!$B$35-50),0)</f>
        <v>0</v>
      </c>
      <c r="I117">
        <f>IF(AND($A117&lt;&gt;I$1,Recharged_Feasible_mat!J86),(VLOOKUP(I$1,test!$A$3:$I$32,8,FALSE))-(VLOOKUP($A117,test!$A$3:$I$32,9,FALSE))-(test!$B$35-50),0)</f>
        <v>0</v>
      </c>
      <c r="J117">
        <f>IF(AND($A117&lt;&gt;J$1,Recharged_Feasible_mat!K86),(VLOOKUP(J$1,test!$A$3:$I$32,8,FALSE))-(VLOOKUP($A117,test!$A$3:$I$32,9,FALSE))-(test!$B$35-50),0)</f>
        <v>0</v>
      </c>
      <c r="K117">
        <f>IF(AND($A117&lt;&gt;K$1,Recharged_Feasible_mat!L86),(VLOOKUP(K$1,test!$A$3:$I$32,8,FALSE))-(VLOOKUP($A117,test!$A$3:$I$32,9,FALSE))-(test!$B$35-50),0)</f>
        <v>0</v>
      </c>
      <c r="L117">
        <f>IF(AND($A117&lt;&gt;L$1,Recharged_Feasible_mat!M86),(VLOOKUP(L$1,test!$A$3:$I$32,8,FALSE))-(VLOOKUP($A117,test!$A$3:$I$32,9,FALSE))-(test!$B$35-50),0)</f>
        <v>0</v>
      </c>
      <c r="M117">
        <f>IF(AND($A117&lt;&gt;M$1,Recharged_Feasible_mat!N86),(VLOOKUP(M$1,test!$A$3:$I$32,8,FALSE))-(VLOOKUP($A117,test!$A$3:$I$32,9,FALSE))-(test!$B$35-50),0)</f>
        <v>0</v>
      </c>
      <c r="N117">
        <f>IF(AND($A117&lt;&gt;N$1,Recharged_Feasible_mat!O86),(VLOOKUP(N$1,test!$A$3:$I$32,8,FALSE))-(VLOOKUP($A117,test!$A$3:$I$32,9,FALSE))-(test!$B$35-50),0)</f>
        <v>0</v>
      </c>
      <c r="O117">
        <f>IF(AND($A117&lt;&gt;O$1,Recharged_Feasible_mat!P86),(VLOOKUP(O$1,test!$A$3:$I$32,8,FALSE))-(VLOOKUP($A117,test!$A$3:$I$32,9,FALSE))-(test!$B$35-50),0)</f>
        <v>0</v>
      </c>
      <c r="P117">
        <f>IF(AND($A117&lt;&gt;P$1,Recharged_Feasible_mat!Q86),(VLOOKUP(P$1,test!$A$3:$I$32,8,FALSE))-(VLOOKUP($A117,test!$A$3:$I$32,9,FALSE))-(test!$B$35-50),0)</f>
        <v>0</v>
      </c>
      <c r="Q117">
        <f>IF(AND($A117&lt;&gt;Q$1,Recharged_Feasible_mat!R86),(VLOOKUP(Q$1,test!$A$3:$I$32,8,FALSE))-(VLOOKUP($A117,test!$A$3:$I$32,9,FALSE))-(test!$B$35-50),0)</f>
        <v>0</v>
      </c>
      <c r="R117">
        <f>IF(AND($A117&lt;&gt;R$1,Recharged_Feasible_mat!S86),(VLOOKUP(R$1,test!$A$3:$I$32,8,FALSE))-(VLOOKUP($A117,test!$A$3:$I$32,9,FALSE))-(test!$B$35-50),0)</f>
        <v>0</v>
      </c>
      <c r="S117">
        <f>IF(AND($A117&lt;&gt;S$1,Recharged_Feasible_mat!T86),(VLOOKUP(S$1,test!$A$3:$I$32,8,FALSE))-(VLOOKUP($A117,test!$A$3:$I$32,9,FALSE))-(test!$B$35-50),0)</f>
        <v>0</v>
      </c>
      <c r="T117">
        <f>IF(AND($A117&lt;&gt;T$1,Recharged_Feasible_mat!U86),(VLOOKUP(T$1,test!$A$3:$I$32,8,FALSE))-(VLOOKUP($A117,test!$A$3:$I$32,9,FALSE))-(test!$B$35-50),0)</f>
        <v>0</v>
      </c>
      <c r="U117">
        <f>IF(AND($A117&lt;&gt;U$1,Recharged_Feasible_mat!V86),(VLOOKUP(U$1,test!$A$3:$I$32,8,FALSE))-(VLOOKUP($A117,test!$A$3:$I$32,9,FALSE))-(test!$B$35-50),0)</f>
        <v>0</v>
      </c>
      <c r="V117">
        <f>IF(AND($A117&lt;&gt;V$1,Recharged_Feasible_mat!W86),(VLOOKUP(V$1,test!$A$3:$I$32,8,FALSE))-(VLOOKUP($A117,test!$A$3:$I$32,9,FALSE))-(test!$B$35-50),0)</f>
        <v>0</v>
      </c>
      <c r="W117">
        <f>IF(AND($A117&lt;&gt;W$1,Recharged_Feasible_mat!X86),(VLOOKUP(W$1,test!$A$3:$I$32,8,FALSE))-(VLOOKUP($A117,test!$A$3:$I$32,9,FALSE))-(test!$B$35-50),0)</f>
        <v>0</v>
      </c>
      <c r="X117">
        <f>IF(AND($A117&lt;&gt;X$1,Recharged_Feasible_mat!Y86),(VLOOKUP(X$1,test!$A$3:$I$32,8,FALSE))-(VLOOKUP($A117,test!$A$3:$I$32,9,FALSE))-(test!$B$35-50),0)</f>
        <v>0</v>
      </c>
      <c r="Y117">
        <f>IF(AND($A117&lt;&gt;Y$1,Recharged_Feasible_mat!Z86),(VLOOKUP(Y$1,test!$A$3:$I$32,8,FALSE))-(VLOOKUP($A117,test!$A$3:$I$32,9,FALSE))-(test!$B$35-50),0)</f>
        <v>0</v>
      </c>
      <c r="Z117">
        <f>IF(AND($A117&lt;&gt;Z$1,Recharged_Feasible_mat!AA86),(VLOOKUP(Z$1,test!$A$3:$I$32,8,FALSE))-(VLOOKUP($A117,test!$A$3:$I$32,9,FALSE))-(test!$B$35-50),0)</f>
        <v>0</v>
      </c>
      <c r="AA117">
        <f>IF(AND($A117&lt;&gt;AA$1,Recharged_Feasible_mat!AB86),(VLOOKUP(AA$1,test!$A$3:$I$32,8,FALSE))-(VLOOKUP($A117,test!$A$3:$I$32,9,FALSE))-(test!$B$35-50),0)</f>
        <v>0</v>
      </c>
      <c r="AB117">
        <f>IF(AND($A117&lt;&gt;AB$1,Recharged_Feasible_mat!AC86),(VLOOKUP(AB$1,test!$A$3:$I$32,8,FALSE))-(VLOOKUP($A117,test!$A$3:$I$32,9,FALSE))-(test!$B$35-50),0)</f>
        <v>0</v>
      </c>
      <c r="AC117">
        <f>IF(AND($A117&lt;&gt;AC$1,Recharged_Feasible_mat!AD86),(VLOOKUP(AC$1,test!$A$3:$I$32,8,FALSE))-(VLOOKUP($A117,test!$A$3:$I$32,9,FALSE))-(test!$B$35-50),0)</f>
        <v>0</v>
      </c>
      <c r="AD117">
        <f>IF(AND($A117&lt;&gt;AD$1,Recharged_Feasible_mat!AE86),(VLOOKUP(AD$1,test!$A$3:$I$32,8,FALSE))-(VLOOKUP($A117,test!$A$3:$I$32,9,FALSE))-(test!$B$35-50),0)</f>
        <v>0</v>
      </c>
      <c r="AE117">
        <f>IF(AND($A117&lt;&gt;AE$1,Recharged_Feasible_mat!AF86),(VLOOKUP(AE$1,test!$A$3:$I$32,8,FALSE))-(VLOOKUP($A117,test!$A$3:$I$32,9,FALSE))-(test!$B$35-50),0)</f>
        <v>0</v>
      </c>
      <c r="AF117">
        <f>IF(AND($A117&lt;&gt;AF$1,Recharged_Feasible_mat!AG86),(VLOOKUP(AF$1,test!$A$3:$I$32,8,FALSE))-(VLOOKUP($A117,test!$A$3:$I$32,9,FALSE))-(test!$B$35-50),0)</f>
        <v>0</v>
      </c>
    </row>
    <row r="118" spans="1:32" x14ac:dyDescent="0.25">
      <c r="A118" t="s">
        <v>34</v>
      </c>
      <c r="B118">
        <v>0</v>
      </c>
      <c r="C118">
        <f>IF(AND($A118&lt;&gt;C$1,Recharged_Feasible_mat!D87),(VLOOKUP(C$1,test!$A$3:$I$32,8,FALSE))-(VLOOKUP($A118,test!$A$3:$I$32,9,FALSE))-(test!$B$35-50),0)</f>
        <v>0</v>
      </c>
      <c r="D118">
        <f>IF(AND($A118&lt;&gt;D$1,Recharged_Feasible_mat!E87),(VLOOKUP(D$1,test!$A$3:$I$32,8,FALSE))-(VLOOKUP($A118,test!$A$3:$I$32,9,FALSE))-(test!$B$35-50),0)</f>
        <v>0</v>
      </c>
      <c r="E118">
        <f>IF(AND($A118&lt;&gt;E$1,Recharged_Feasible_mat!F87),(VLOOKUP(E$1,test!$A$3:$I$32,8,FALSE))-(VLOOKUP($A118,test!$A$3:$I$32,9,FALSE))-(test!$B$35-50),0)</f>
        <v>0</v>
      </c>
      <c r="F118">
        <f>IF(AND($A118&lt;&gt;F$1,Recharged_Feasible_mat!G87),(VLOOKUP(F$1,test!$A$3:$I$32,8,FALSE))-(VLOOKUP($A118,test!$A$3:$I$32,9,FALSE))-(test!$B$35-50),0)</f>
        <v>210</v>
      </c>
      <c r="G118">
        <f>IF(AND($A118&lt;&gt;G$1,Recharged_Feasible_mat!H87),(VLOOKUP(G$1,test!$A$3:$I$32,8,FALSE))-(VLOOKUP($A118,test!$A$3:$I$32,9,FALSE))-(test!$B$35-50),0)</f>
        <v>270</v>
      </c>
      <c r="H118">
        <f>IF(AND($A118&lt;&gt;H$1,Recharged_Feasible_mat!I87),(VLOOKUP(H$1,test!$A$3:$I$32,8,FALSE))-(VLOOKUP($A118,test!$A$3:$I$32,9,FALSE))-(test!$B$35-50),0)</f>
        <v>330</v>
      </c>
      <c r="I118">
        <f>IF(AND($A118&lt;&gt;I$1,Recharged_Feasible_mat!J87),(VLOOKUP(I$1,test!$A$3:$I$32,8,FALSE))-(VLOOKUP($A118,test!$A$3:$I$32,9,FALSE))-(test!$B$35-50),0)</f>
        <v>390</v>
      </c>
      <c r="J118">
        <f>IF(AND($A118&lt;&gt;J$1,Recharged_Feasible_mat!K87),(VLOOKUP(J$1,test!$A$3:$I$32,8,FALSE))-(VLOOKUP($A118,test!$A$3:$I$32,9,FALSE))-(test!$B$35-50),0)</f>
        <v>480</v>
      </c>
      <c r="K118">
        <f>IF(AND($A118&lt;&gt;K$1,Recharged_Feasible_mat!L87),(VLOOKUP(K$1,test!$A$3:$I$32,8,FALSE))-(VLOOKUP($A118,test!$A$3:$I$32,9,FALSE))-(test!$B$35-50),0)</f>
        <v>0</v>
      </c>
      <c r="L118">
        <f>IF(AND($A118&lt;&gt;L$1,Recharged_Feasible_mat!M87),(VLOOKUP(L$1,test!$A$3:$I$32,8,FALSE))-(VLOOKUP($A118,test!$A$3:$I$32,9,FALSE))-(test!$B$35-50),0)</f>
        <v>0</v>
      </c>
      <c r="M118">
        <f>IF(AND($A118&lt;&gt;M$1,Recharged_Feasible_mat!N87),(VLOOKUP(M$1,test!$A$3:$I$32,8,FALSE))-(VLOOKUP($A118,test!$A$3:$I$32,9,FALSE))-(test!$B$35-50),0)</f>
        <v>0</v>
      </c>
      <c r="N118">
        <f>IF(AND($A118&lt;&gt;N$1,Recharged_Feasible_mat!O87),(VLOOKUP(N$1,test!$A$3:$I$32,8,FALSE))-(VLOOKUP($A118,test!$A$3:$I$32,9,FALSE))-(test!$B$35-50),0)</f>
        <v>445</v>
      </c>
      <c r="O118">
        <f>IF(AND($A118&lt;&gt;O$1,Recharged_Feasible_mat!P87),(VLOOKUP(O$1,test!$A$3:$I$32,8,FALSE))-(VLOOKUP($A118,test!$A$3:$I$32,9,FALSE))-(test!$B$35-50),0)</f>
        <v>505</v>
      </c>
      <c r="P118">
        <f>IF(AND($A118&lt;&gt;P$1,Recharged_Feasible_mat!Q87),(VLOOKUP(P$1,test!$A$3:$I$32,8,FALSE))-(VLOOKUP($A118,test!$A$3:$I$32,9,FALSE))-(test!$B$35-50),0)</f>
        <v>0</v>
      </c>
      <c r="Q118">
        <f>IF(AND($A118&lt;&gt;Q$1,Recharged_Feasible_mat!R87),(VLOOKUP(Q$1,test!$A$3:$I$32,8,FALSE))-(VLOOKUP($A118,test!$A$3:$I$32,9,FALSE))-(test!$B$35-50),0)</f>
        <v>0</v>
      </c>
      <c r="R118">
        <f>IF(AND($A118&lt;&gt;R$1,Recharged_Feasible_mat!S87),(VLOOKUP(R$1,test!$A$3:$I$32,8,FALSE))-(VLOOKUP($A118,test!$A$3:$I$32,9,FALSE))-(test!$B$35-50),0)</f>
        <v>0</v>
      </c>
      <c r="S118">
        <f>IF(AND($A118&lt;&gt;S$1,Recharged_Feasible_mat!T87),(VLOOKUP(S$1,test!$A$3:$I$32,8,FALSE))-(VLOOKUP($A118,test!$A$3:$I$32,9,FALSE))-(test!$B$35-50),0)</f>
        <v>0</v>
      </c>
      <c r="T118">
        <f>IF(AND($A118&lt;&gt;T$1,Recharged_Feasible_mat!U87),(VLOOKUP(T$1,test!$A$3:$I$32,8,FALSE))-(VLOOKUP($A118,test!$A$3:$I$32,9,FALSE))-(test!$B$35-50),0)</f>
        <v>0</v>
      </c>
      <c r="U118">
        <f>IF(AND($A118&lt;&gt;U$1,Recharged_Feasible_mat!V87),(VLOOKUP(U$1,test!$A$3:$I$32,8,FALSE))-(VLOOKUP($A118,test!$A$3:$I$32,9,FALSE))-(test!$B$35-50),0)</f>
        <v>0</v>
      </c>
      <c r="V118">
        <f>IF(AND($A118&lt;&gt;V$1,Recharged_Feasible_mat!W87),(VLOOKUP(V$1,test!$A$3:$I$32,8,FALSE))-(VLOOKUP($A118,test!$A$3:$I$32,9,FALSE))-(test!$B$35-50),0)</f>
        <v>280</v>
      </c>
      <c r="W118">
        <f>IF(AND($A118&lt;&gt;W$1,Recharged_Feasible_mat!X87),(VLOOKUP(W$1,test!$A$3:$I$32,8,FALSE))-(VLOOKUP($A118,test!$A$3:$I$32,9,FALSE))-(test!$B$35-50),0)</f>
        <v>370</v>
      </c>
      <c r="X118">
        <f>IF(AND($A118&lt;&gt;X$1,Recharged_Feasible_mat!Y87),(VLOOKUP(X$1,test!$A$3:$I$32,8,FALSE))-(VLOOKUP($A118,test!$A$3:$I$32,9,FALSE))-(test!$B$35-50),0)</f>
        <v>430</v>
      </c>
      <c r="Y118">
        <f>IF(AND($A118&lt;&gt;Y$1,Recharged_Feasible_mat!Z87),(VLOOKUP(Y$1,test!$A$3:$I$32,8,FALSE))-(VLOOKUP($A118,test!$A$3:$I$32,9,FALSE))-(test!$B$35-50),0)</f>
        <v>0</v>
      </c>
      <c r="Z118">
        <f>IF(AND($A118&lt;&gt;Z$1,Recharged_Feasible_mat!AA87),(VLOOKUP(Z$1,test!$A$3:$I$32,8,FALSE))-(VLOOKUP($A118,test!$A$3:$I$32,9,FALSE))-(test!$B$35-50),0)</f>
        <v>0</v>
      </c>
      <c r="AA118">
        <f>IF(AND($A118&lt;&gt;AA$1,Recharged_Feasible_mat!AB87),(VLOOKUP(AA$1,test!$A$3:$I$32,8,FALSE))-(VLOOKUP($A118,test!$A$3:$I$32,9,FALSE))-(test!$B$35-50),0)</f>
        <v>0</v>
      </c>
      <c r="AB118">
        <f>IF(AND($A118&lt;&gt;AB$1,Recharged_Feasible_mat!AC87),(VLOOKUP(AB$1,test!$A$3:$I$32,8,FALSE))-(VLOOKUP($A118,test!$A$3:$I$32,9,FALSE))-(test!$B$35-50),0)</f>
        <v>210</v>
      </c>
      <c r="AC118">
        <f>IF(AND($A118&lt;&gt;AC$1,Recharged_Feasible_mat!AD87),(VLOOKUP(AC$1,test!$A$3:$I$32,8,FALSE))-(VLOOKUP($A118,test!$A$3:$I$32,9,FALSE))-(test!$B$35-50),0)</f>
        <v>330</v>
      </c>
      <c r="AD118">
        <f>IF(AND($A118&lt;&gt;AD$1,Recharged_Feasible_mat!AE87),(VLOOKUP(AD$1,test!$A$3:$I$32,8,FALSE))-(VLOOKUP($A118,test!$A$3:$I$32,9,FALSE))-(test!$B$35-50),0)</f>
        <v>0</v>
      </c>
      <c r="AE118">
        <f>IF(AND($A118&lt;&gt;AE$1,Recharged_Feasible_mat!AF87),(VLOOKUP(AE$1,test!$A$3:$I$32,8,FALSE))-(VLOOKUP($A118,test!$A$3:$I$32,9,FALSE))-(test!$B$35-50),0)</f>
        <v>0</v>
      </c>
      <c r="AF118">
        <f>IF(AND($A118&lt;&gt;AF$1,Recharged_Feasible_mat!AG87),(VLOOKUP(AF$1,test!$A$3:$I$32,8,FALSE))-(VLOOKUP($A118,test!$A$3:$I$32,9,FALSE))-(test!$B$35-50),0)</f>
        <v>0</v>
      </c>
    </row>
    <row r="119" spans="1:32" x14ac:dyDescent="0.25">
      <c r="A119" t="s">
        <v>35</v>
      </c>
      <c r="B119">
        <v>0</v>
      </c>
      <c r="C119">
        <f>IF(AND($A119&lt;&gt;C$1,Recharged_Feasible_mat!D88),(VLOOKUP(C$1,test!$A$3:$I$32,8,FALSE))-(VLOOKUP($A119,test!$A$3:$I$32,9,FALSE))-(test!$B$35-50),0)</f>
        <v>0</v>
      </c>
      <c r="D119">
        <f>IF(AND($A119&lt;&gt;D$1,Recharged_Feasible_mat!E88),(VLOOKUP(D$1,test!$A$3:$I$32,8,FALSE))-(VLOOKUP($A119,test!$A$3:$I$32,9,FALSE))-(test!$B$35-50),0)</f>
        <v>0</v>
      </c>
      <c r="E119">
        <f>IF(AND($A119&lt;&gt;E$1,Recharged_Feasible_mat!F88),(VLOOKUP(E$1,test!$A$3:$I$32,8,FALSE))-(VLOOKUP($A119,test!$A$3:$I$32,9,FALSE))-(test!$B$35-50),0)</f>
        <v>0</v>
      </c>
      <c r="F119">
        <f>IF(AND($A119&lt;&gt;F$1,Recharged_Feasible_mat!G88),(VLOOKUP(F$1,test!$A$3:$I$32,8,FALSE))-(VLOOKUP($A119,test!$A$3:$I$32,9,FALSE))-(test!$B$35-50),0)</f>
        <v>0</v>
      </c>
      <c r="G119">
        <f>IF(AND($A119&lt;&gt;G$1,Recharged_Feasible_mat!H88),(VLOOKUP(G$1,test!$A$3:$I$32,8,FALSE))-(VLOOKUP($A119,test!$A$3:$I$32,9,FALSE))-(test!$B$35-50),0)</f>
        <v>0</v>
      </c>
      <c r="H119">
        <f>IF(AND($A119&lt;&gt;H$1,Recharged_Feasible_mat!I88),(VLOOKUP(H$1,test!$A$3:$I$32,8,FALSE))-(VLOOKUP($A119,test!$A$3:$I$32,9,FALSE))-(test!$B$35-50),0)</f>
        <v>0</v>
      </c>
      <c r="I119">
        <f>IF(AND($A119&lt;&gt;I$1,Recharged_Feasible_mat!J88),(VLOOKUP(I$1,test!$A$3:$I$32,8,FALSE))-(VLOOKUP($A119,test!$A$3:$I$32,9,FALSE))-(test!$B$35-50),0)</f>
        <v>220</v>
      </c>
      <c r="J119">
        <f>IF(AND($A119&lt;&gt;J$1,Recharged_Feasible_mat!K88),(VLOOKUP(J$1,test!$A$3:$I$32,8,FALSE))-(VLOOKUP($A119,test!$A$3:$I$32,9,FALSE))-(test!$B$35-50),0)</f>
        <v>310</v>
      </c>
      <c r="K119">
        <f>IF(AND($A119&lt;&gt;K$1,Recharged_Feasible_mat!L88),(VLOOKUP(K$1,test!$A$3:$I$32,8,FALSE))-(VLOOKUP($A119,test!$A$3:$I$32,9,FALSE))-(test!$B$35-50),0)</f>
        <v>0</v>
      </c>
      <c r="L119">
        <f>IF(AND($A119&lt;&gt;L$1,Recharged_Feasible_mat!M88),(VLOOKUP(L$1,test!$A$3:$I$32,8,FALSE))-(VLOOKUP($A119,test!$A$3:$I$32,9,FALSE))-(test!$B$35-50),0)</f>
        <v>0</v>
      </c>
      <c r="M119">
        <f>IF(AND($A119&lt;&gt;M$1,Recharged_Feasible_mat!N88),(VLOOKUP(M$1,test!$A$3:$I$32,8,FALSE))-(VLOOKUP($A119,test!$A$3:$I$32,9,FALSE))-(test!$B$35-50),0)</f>
        <v>0</v>
      </c>
      <c r="N119">
        <f>IF(AND($A119&lt;&gt;N$1,Recharged_Feasible_mat!O88),(VLOOKUP(N$1,test!$A$3:$I$32,8,FALSE))-(VLOOKUP($A119,test!$A$3:$I$32,9,FALSE))-(test!$B$35-50),0)</f>
        <v>275</v>
      </c>
      <c r="O119">
        <f>IF(AND($A119&lt;&gt;O$1,Recharged_Feasible_mat!P88),(VLOOKUP(O$1,test!$A$3:$I$32,8,FALSE))-(VLOOKUP($A119,test!$A$3:$I$32,9,FALSE))-(test!$B$35-50),0)</f>
        <v>335</v>
      </c>
      <c r="P119">
        <f>IF(AND($A119&lt;&gt;P$1,Recharged_Feasible_mat!Q88),(VLOOKUP(P$1,test!$A$3:$I$32,8,FALSE))-(VLOOKUP($A119,test!$A$3:$I$32,9,FALSE))-(test!$B$35-50),0)</f>
        <v>0</v>
      </c>
      <c r="Q119">
        <f>IF(AND($A119&lt;&gt;Q$1,Recharged_Feasible_mat!R88),(VLOOKUP(Q$1,test!$A$3:$I$32,8,FALSE))-(VLOOKUP($A119,test!$A$3:$I$32,9,FALSE))-(test!$B$35-50),0)</f>
        <v>0</v>
      </c>
      <c r="R119">
        <f>IF(AND($A119&lt;&gt;R$1,Recharged_Feasible_mat!S88),(VLOOKUP(R$1,test!$A$3:$I$32,8,FALSE))-(VLOOKUP($A119,test!$A$3:$I$32,9,FALSE))-(test!$B$35-50),0)</f>
        <v>0</v>
      </c>
      <c r="S119">
        <f>IF(AND($A119&lt;&gt;S$1,Recharged_Feasible_mat!T88),(VLOOKUP(S$1,test!$A$3:$I$32,8,FALSE))-(VLOOKUP($A119,test!$A$3:$I$32,9,FALSE))-(test!$B$35-50),0)</f>
        <v>0</v>
      </c>
      <c r="T119">
        <f>IF(AND($A119&lt;&gt;T$1,Recharged_Feasible_mat!U88),(VLOOKUP(T$1,test!$A$3:$I$32,8,FALSE))-(VLOOKUP($A119,test!$A$3:$I$32,9,FALSE))-(test!$B$35-50),0)</f>
        <v>0</v>
      </c>
      <c r="U119">
        <f>IF(AND($A119&lt;&gt;U$1,Recharged_Feasible_mat!V88),(VLOOKUP(U$1,test!$A$3:$I$32,8,FALSE))-(VLOOKUP($A119,test!$A$3:$I$32,9,FALSE))-(test!$B$35-50),0)</f>
        <v>0</v>
      </c>
      <c r="V119">
        <f>IF(AND($A119&lt;&gt;V$1,Recharged_Feasible_mat!W88),(VLOOKUP(V$1,test!$A$3:$I$32,8,FALSE))-(VLOOKUP($A119,test!$A$3:$I$32,9,FALSE))-(test!$B$35-50),0)</f>
        <v>0</v>
      </c>
      <c r="W119">
        <f>IF(AND($A119&lt;&gt;W$1,Recharged_Feasible_mat!X88),(VLOOKUP(W$1,test!$A$3:$I$32,8,FALSE))-(VLOOKUP($A119,test!$A$3:$I$32,9,FALSE))-(test!$B$35-50),0)</f>
        <v>200</v>
      </c>
      <c r="X119">
        <f>IF(AND($A119&lt;&gt;X$1,Recharged_Feasible_mat!Y88),(VLOOKUP(X$1,test!$A$3:$I$32,8,FALSE))-(VLOOKUP($A119,test!$A$3:$I$32,9,FALSE))-(test!$B$35-50),0)</f>
        <v>260</v>
      </c>
      <c r="Y119">
        <f>IF(AND($A119&lt;&gt;Y$1,Recharged_Feasible_mat!Z88),(VLOOKUP(Y$1,test!$A$3:$I$32,8,FALSE))-(VLOOKUP($A119,test!$A$3:$I$32,9,FALSE))-(test!$B$35-50),0)</f>
        <v>0</v>
      </c>
      <c r="Z119">
        <f>IF(AND($A119&lt;&gt;Z$1,Recharged_Feasible_mat!AA88),(VLOOKUP(Z$1,test!$A$3:$I$32,8,FALSE))-(VLOOKUP($A119,test!$A$3:$I$32,9,FALSE))-(test!$B$35-50),0)</f>
        <v>0</v>
      </c>
      <c r="AA119">
        <f>IF(AND($A119&lt;&gt;AA$1,Recharged_Feasible_mat!AB88),(VLOOKUP(AA$1,test!$A$3:$I$32,8,FALSE))-(VLOOKUP($A119,test!$A$3:$I$32,9,FALSE))-(test!$B$35-50),0)</f>
        <v>0</v>
      </c>
      <c r="AB119">
        <f>IF(AND($A119&lt;&gt;AB$1,Recharged_Feasible_mat!AC88),(VLOOKUP(AB$1,test!$A$3:$I$32,8,FALSE))-(VLOOKUP($A119,test!$A$3:$I$32,9,FALSE))-(test!$B$35-50),0)</f>
        <v>0</v>
      </c>
      <c r="AC119">
        <f>IF(AND($A119&lt;&gt;AC$1,Recharged_Feasible_mat!AD88),(VLOOKUP(AC$1,test!$A$3:$I$32,8,FALSE))-(VLOOKUP($A119,test!$A$3:$I$32,9,FALSE))-(test!$B$35-50),0)</f>
        <v>0</v>
      </c>
      <c r="AD119">
        <f>IF(AND($A119&lt;&gt;AD$1,Recharged_Feasible_mat!AE88),(VLOOKUP(AD$1,test!$A$3:$I$32,8,FALSE))-(VLOOKUP($A119,test!$A$3:$I$32,9,FALSE))-(test!$B$35-50),0)</f>
        <v>0</v>
      </c>
      <c r="AE119">
        <f>IF(AND($A119&lt;&gt;AE$1,Recharged_Feasible_mat!AF88),(VLOOKUP(AE$1,test!$A$3:$I$32,8,FALSE))-(VLOOKUP($A119,test!$A$3:$I$32,9,FALSE))-(test!$B$35-50),0)</f>
        <v>0</v>
      </c>
      <c r="AF119">
        <f>IF(AND($A119&lt;&gt;AF$1,Recharged_Feasible_mat!AG88),(VLOOKUP(AF$1,test!$A$3:$I$32,8,FALSE))-(VLOOKUP($A119,test!$A$3:$I$32,9,FALSE))-(test!$B$35-50),0)</f>
        <v>0</v>
      </c>
    </row>
    <row r="120" spans="1:32" x14ac:dyDescent="0.25">
      <c r="A120" t="s">
        <v>36</v>
      </c>
      <c r="B120">
        <v>0</v>
      </c>
      <c r="C120">
        <f>IF(AND($A120&lt;&gt;C$1,Recharged_Feasible_mat!D89),(VLOOKUP(C$1,test!$A$3:$I$32,8,FALSE))-(VLOOKUP($A120,test!$A$3:$I$32,9,FALSE))-(test!$B$35-50),0)</f>
        <v>0</v>
      </c>
      <c r="D120">
        <f>IF(AND($A120&lt;&gt;D$1,Recharged_Feasible_mat!E89),(VLOOKUP(D$1,test!$A$3:$I$32,8,FALSE))-(VLOOKUP($A120,test!$A$3:$I$32,9,FALSE))-(test!$B$35-50),0)</f>
        <v>0</v>
      </c>
      <c r="E120">
        <f>IF(AND($A120&lt;&gt;E$1,Recharged_Feasible_mat!F89),(VLOOKUP(E$1,test!$A$3:$I$32,8,FALSE))-(VLOOKUP($A120,test!$A$3:$I$32,9,FALSE))-(test!$B$35-50),0)</f>
        <v>0</v>
      </c>
      <c r="F120">
        <f>IF(AND($A120&lt;&gt;F$1,Recharged_Feasible_mat!G89),(VLOOKUP(F$1,test!$A$3:$I$32,8,FALSE))-(VLOOKUP($A120,test!$A$3:$I$32,9,FALSE))-(test!$B$35-50),0)</f>
        <v>0</v>
      </c>
      <c r="G120">
        <f>IF(AND($A120&lt;&gt;G$1,Recharged_Feasible_mat!H89),(VLOOKUP(G$1,test!$A$3:$I$32,8,FALSE))-(VLOOKUP($A120,test!$A$3:$I$32,9,FALSE))-(test!$B$35-50),0)</f>
        <v>0</v>
      </c>
      <c r="H120">
        <f>IF(AND($A120&lt;&gt;H$1,Recharged_Feasible_mat!I89),(VLOOKUP(H$1,test!$A$3:$I$32,8,FALSE))-(VLOOKUP($A120,test!$A$3:$I$32,9,FALSE))-(test!$B$35-50),0)</f>
        <v>0</v>
      </c>
      <c r="I120">
        <f>IF(AND($A120&lt;&gt;I$1,Recharged_Feasible_mat!J89),(VLOOKUP(I$1,test!$A$3:$I$32,8,FALSE))-(VLOOKUP($A120,test!$A$3:$I$32,9,FALSE))-(test!$B$35-50),0)</f>
        <v>0</v>
      </c>
      <c r="J120">
        <f>IF(AND($A120&lt;&gt;J$1,Recharged_Feasible_mat!K89),(VLOOKUP(J$1,test!$A$3:$I$32,8,FALSE))-(VLOOKUP($A120,test!$A$3:$I$32,9,FALSE))-(test!$B$35-50),0)</f>
        <v>0</v>
      </c>
      <c r="K120">
        <f>IF(AND($A120&lt;&gt;K$1,Recharged_Feasible_mat!L89),(VLOOKUP(K$1,test!$A$3:$I$32,8,FALSE))-(VLOOKUP($A120,test!$A$3:$I$32,9,FALSE))-(test!$B$35-50),0)</f>
        <v>0</v>
      </c>
      <c r="L120">
        <f>IF(AND($A120&lt;&gt;L$1,Recharged_Feasible_mat!M89),(VLOOKUP(L$1,test!$A$3:$I$32,8,FALSE))-(VLOOKUP($A120,test!$A$3:$I$32,9,FALSE))-(test!$B$35-50),0)</f>
        <v>0</v>
      </c>
      <c r="M120">
        <f>IF(AND($A120&lt;&gt;M$1,Recharged_Feasible_mat!N89),(VLOOKUP(M$1,test!$A$3:$I$32,8,FALSE))-(VLOOKUP($A120,test!$A$3:$I$32,9,FALSE))-(test!$B$35-50),0)</f>
        <v>0</v>
      </c>
      <c r="N120">
        <f>IF(AND($A120&lt;&gt;N$1,Recharged_Feasible_mat!O89),(VLOOKUP(N$1,test!$A$3:$I$32,8,FALSE))-(VLOOKUP($A120,test!$A$3:$I$32,9,FALSE))-(test!$B$35-50),0)</f>
        <v>0</v>
      </c>
      <c r="O120">
        <f>IF(AND($A120&lt;&gt;O$1,Recharged_Feasible_mat!P89),(VLOOKUP(O$1,test!$A$3:$I$32,8,FALSE))-(VLOOKUP($A120,test!$A$3:$I$32,9,FALSE))-(test!$B$35-50),0)</f>
        <v>215</v>
      </c>
      <c r="P120">
        <f>IF(AND($A120&lt;&gt;P$1,Recharged_Feasible_mat!Q89),(VLOOKUP(P$1,test!$A$3:$I$32,8,FALSE))-(VLOOKUP($A120,test!$A$3:$I$32,9,FALSE))-(test!$B$35-50),0)</f>
        <v>0</v>
      </c>
      <c r="Q120">
        <f>IF(AND($A120&lt;&gt;Q$1,Recharged_Feasible_mat!R89),(VLOOKUP(Q$1,test!$A$3:$I$32,8,FALSE))-(VLOOKUP($A120,test!$A$3:$I$32,9,FALSE))-(test!$B$35-50),0)</f>
        <v>0</v>
      </c>
      <c r="R120">
        <f>IF(AND($A120&lt;&gt;R$1,Recharged_Feasible_mat!S89),(VLOOKUP(R$1,test!$A$3:$I$32,8,FALSE))-(VLOOKUP($A120,test!$A$3:$I$32,9,FALSE))-(test!$B$35-50),0)</f>
        <v>0</v>
      </c>
      <c r="S120">
        <f>IF(AND($A120&lt;&gt;S$1,Recharged_Feasible_mat!T89),(VLOOKUP(S$1,test!$A$3:$I$32,8,FALSE))-(VLOOKUP($A120,test!$A$3:$I$32,9,FALSE))-(test!$B$35-50),0)</f>
        <v>0</v>
      </c>
      <c r="T120">
        <f>IF(AND($A120&lt;&gt;T$1,Recharged_Feasible_mat!U89),(VLOOKUP(T$1,test!$A$3:$I$32,8,FALSE))-(VLOOKUP($A120,test!$A$3:$I$32,9,FALSE))-(test!$B$35-50),0)</f>
        <v>0</v>
      </c>
      <c r="U120">
        <f>IF(AND($A120&lt;&gt;U$1,Recharged_Feasible_mat!V89),(VLOOKUP(U$1,test!$A$3:$I$32,8,FALSE))-(VLOOKUP($A120,test!$A$3:$I$32,9,FALSE))-(test!$B$35-50),0)</f>
        <v>0</v>
      </c>
      <c r="V120">
        <f>IF(AND($A120&lt;&gt;V$1,Recharged_Feasible_mat!W89),(VLOOKUP(V$1,test!$A$3:$I$32,8,FALSE))-(VLOOKUP($A120,test!$A$3:$I$32,9,FALSE))-(test!$B$35-50),0)</f>
        <v>0</v>
      </c>
      <c r="W120">
        <f>IF(AND($A120&lt;&gt;W$1,Recharged_Feasible_mat!X89),(VLOOKUP(W$1,test!$A$3:$I$32,8,FALSE))-(VLOOKUP($A120,test!$A$3:$I$32,9,FALSE))-(test!$B$35-50),0)</f>
        <v>0</v>
      </c>
      <c r="X120">
        <f>IF(AND($A120&lt;&gt;X$1,Recharged_Feasible_mat!Y89),(VLOOKUP(X$1,test!$A$3:$I$32,8,FALSE))-(VLOOKUP($A120,test!$A$3:$I$32,9,FALSE))-(test!$B$35-50),0)</f>
        <v>0</v>
      </c>
      <c r="Y120">
        <f>IF(AND($A120&lt;&gt;Y$1,Recharged_Feasible_mat!Z89),(VLOOKUP(Y$1,test!$A$3:$I$32,8,FALSE))-(VLOOKUP($A120,test!$A$3:$I$32,9,FALSE))-(test!$B$35-50),0)</f>
        <v>0</v>
      </c>
      <c r="Z120">
        <f>IF(AND($A120&lt;&gt;Z$1,Recharged_Feasible_mat!AA89),(VLOOKUP(Z$1,test!$A$3:$I$32,8,FALSE))-(VLOOKUP($A120,test!$A$3:$I$32,9,FALSE))-(test!$B$35-50),0)</f>
        <v>0</v>
      </c>
      <c r="AA120">
        <f>IF(AND($A120&lt;&gt;AA$1,Recharged_Feasible_mat!AB89),(VLOOKUP(AA$1,test!$A$3:$I$32,8,FALSE))-(VLOOKUP($A120,test!$A$3:$I$32,9,FALSE))-(test!$B$35-50),0)</f>
        <v>0</v>
      </c>
      <c r="AB120">
        <f>IF(AND($A120&lt;&gt;AB$1,Recharged_Feasible_mat!AC89),(VLOOKUP(AB$1,test!$A$3:$I$32,8,FALSE))-(VLOOKUP($A120,test!$A$3:$I$32,9,FALSE))-(test!$B$35-50),0)</f>
        <v>0</v>
      </c>
      <c r="AC120">
        <f>IF(AND($A120&lt;&gt;AC$1,Recharged_Feasible_mat!AD89),(VLOOKUP(AC$1,test!$A$3:$I$32,8,FALSE))-(VLOOKUP($A120,test!$A$3:$I$32,9,FALSE))-(test!$B$35-50),0)</f>
        <v>0</v>
      </c>
      <c r="AD120">
        <f>IF(AND($A120&lt;&gt;AD$1,Recharged_Feasible_mat!AE89),(VLOOKUP(AD$1,test!$A$3:$I$32,8,FALSE))-(VLOOKUP($A120,test!$A$3:$I$32,9,FALSE))-(test!$B$35-50),0)</f>
        <v>0</v>
      </c>
      <c r="AE120">
        <f>IF(AND($A120&lt;&gt;AE$1,Recharged_Feasible_mat!AF89),(VLOOKUP(AE$1,test!$A$3:$I$32,8,FALSE))-(VLOOKUP($A120,test!$A$3:$I$32,9,FALSE))-(test!$B$35-50),0)</f>
        <v>0</v>
      </c>
      <c r="AF120">
        <f>IF(AND($A120&lt;&gt;AF$1,Recharged_Feasible_mat!AG89),(VLOOKUP(AF$1,test!$A$3:$I$32,8,FALSE))-(VLOOKUP($A120,test!$A$3:$I$32,9,FALSE))-(test!$B$35-50),0)</f>
        <v>0</v>
      </c>
    </row>
    <row r="121" spans="1:32" x14ac:dyDescent="0.25">
      <c r="A121" t="s">
        <v>37</v>
      </c>
      <c r="B121">
        <v>0</v>
      </c>
      <c r="C121">
        <f>IF(AND($A121&lt;&gt;C$1,Recharged_Feasible_mat!D90),(VLOOKUP(C$1,test!$A$3:$I$32,8,FALSE))-(VLOOKUP($A121,test!$A$3:$I$32,9,FALSE))-(test!$B$35-50),0)</f>
        <v>0</v>
      </c>
      <c r="D121">
        <f>IF(AND($A121&lt;&gt;D$1,Recharged_Feasible_mat!E90),(VLOOKUP(D$1,test!$A$3:$I$32,8,FALSE))-(VLOOKUP($A121,test!$A$3:$I$32,9,FALSE))-(test!$B$35-50),0)</f>
        <v>0</v>
      </c>
      <c r="E121">
        <f>IF(AND($A121&lt;&gt;E$1,Recharged_Feasible_mat!F90),(VLOOKUP(E$1,test!$A$3:$I$32,8,FALSE))-(VLOOKUP($A121,test!$A$3:$I$32,9,FALSE))-(test!$B$35-50),0)</f>
        <v>0</v>
      </c>
      <c r="F121">
        <f>IF(AND($A121&lt;&gt;F$1,Recharged_Feasible_mat!G90),(VLOOKUP(F$1,test!$A$3:$I$32,8,FALSE))-(VLOOKUP($A121,test!$A$3:$I$32,9,FALSE))-(test!$B$35-50),0)</f>
        <v>0</v>
      </c>
      <c r="G121">
        <f>IF(AND($A121&lt;&gt;G$1,Recharged_Feasible_mat!H90),(VLOOKUP(G$1,test!$A$3:$I$32,8,FALSE))-(VLOOKUP($A121,test!$A$3:$I$32,9,FALSE))-(test!$B$35-50),0)</f>
        <v>0</v>
      </c>
      <c r="H121">
        <f>IF(AND($A121&lt;&gt;H$1,Recharged_Feasible_mat!I90),(VLOOKUP(H$1,test!$A$3:$I$32,8,FALSE))-(VLOOKUP($A121,test!$A$3:$I$32,9,FALSE))-(test!$B$35-50),0)</f>
        <v>0</v>
      </c>
      <c r="I121">
        <f>IF(AND($A121&lt;&gt;I$1,Recharged_Feasible_mat!J90),(VLOOKUP(I$1,test!$A$3:$I$32,8,FALSE))-(VLOOKUP($A121,test!$A$3:$I$32,9,FALSE))-(test!$B$35-50),0)</f>
        <v>0</v>
      </c>
      <c r="J121">
        <f>IF(AND($A121&lt;&gt;J$1,Recharged_Feasible_mat!K90),(VLOOKUP(J$1,test!$A$3:$I$32,8,FALSE))-(VLOOKUP($A121,test!$A$3:$I$32,9,FALSE))-(test!$B$35-50),0)</f>
        <v>0</v>
      </c>
      <c r="K121">
        <f>IF(AND($A121&lt;&gt;K$1,Recharged_Feasible_mat!L90),(VLOOKUP(K$1,test!$A$3:$I$32,8,FALSE))-(VLOOKUP($A121,test!$A$3:$I$32,9,FALSE))-(test!$B$35-50),0)</f>
        <v>0</v>
      </c>
      <c r="L121">
        <f>IF(AND($A121&lt;&gt;L$1,Recharged_Feasible_mat!M90),(VLOOKUP(L$1,test!$A$3:$I$32,8,FALSE))-(VLOOKUP($A121,test!$A$3:$I$32,9,FALSE))-(test!$B$35-50),0)</f>
        <v>0</v>
      </c>
      <c r="M121">
        <f>IF(AND($A121&lt;&gt;M$1,Recharged_Feasible_mat!N90),(VLOOKUP(M$1,test!$A$3:$I$32,8,FALSE))-(VLOOKUP($A121,test!$A$3:$I$32,9,FALSE))-(test!$B$35-50),0)</f>
        <v>0</v>
      </c>
      <c r="N121">
        <f>IF(AND($A121&lt;&gt;N$1,Recharged_Feasible_mat!O90),(VLOOKUP(N$1,test!$A$3:$I$32,8,FALSE))-(VLOOKUP($A121,test!$A$3:$I$32,9,FALSE))-(test!$B$35-50),0)</f>
        <v>0</v>
      </c>
      <c r="O121">
        <f>IF(AND($A121&lt;&gt;O$1,Recharged_Feasible_mat!P90),(VLOOKUP(O$1,test!$A$3:$I$32,8,FALSE))-(VLOOKUP($A121,test!$A$3:$I$32,9,FALSE))-(test!$B$35-50),0)</f>
        <v>0</v>
      </c>
      <c r="P121">
        <f>IF(AND($A121&lt;&gt;P$1,Recharged_Feasible_mat!Q90),(VLOOKUP(P$1,test!$A$3:$I$32,8,FALSE))-(VLOOKUP($A121,test!$A$3:$I$32,9,FALSE))-(test!$B$35-50),0)</f>
        <v>0</v>
      </c>
      <c r="Q121">
        <f>IF(AND($A121&lt;&gt;Q$1,Recharged_Feasible_mat!R90),(VLOOKUP(Q$1,test!$A$3:$I$32,8,FALSE))-(VLOOKUP($A121,test!$A$3:$I$32,9,FALSE))-(test!$B$35-50),0)</f>
        <v>0</v>
      </c>
      <c r="R121">
        <f>IF(AND($A121&lt;&gt;R$1,Recharged_Feasible_mat!S90),(VLOOKUP(R$1,test!$A$3:$I$32,8,FALSE))-(VLOOKUP($A121,test!$A$3:$I$32,9,FALSE))-(test!$B$35-50),0)</f>
        <v>0</v>
      </c>
      <c r="S121">
        <f>IF(AND($A121&lt;&gt;S$1,Recharged_Feasible_mat!T90),(VLOOKUP(S$1,test!$A$3:$I$32,8,FALSE))-(VLOOKUP($A121,test!$A$3:$I$32,9,FALSE))-(test!$B$35-50),0)</f>
        <v>0</v>
      </c>
      <c r="T121">
        <f>IF(AND($A121&lt;&gt;T$1,Recharged_Feasible_mat!U90),(VLOOKUP(T$1,test!$A$3:$I$32,8,FALSE))-(VLOOKUP($A121,test!$A$3:$I$32,9,FALSE))-(test!$B$35-50),0)</f>
        <v>0</v>
      </c>
      <c r="U121">
        <f>IF(AND($A121&lt;&gt;U$1,Recharged_Feasible_mat!V90),(VLOOKUP(U$1,test!$A$3:$I$32,8,FALSE))-(VLOOKUP($A121,test!$A$3:$I$32,9,FALSE))-(test!$B$35-50),0)</f>
        <v>0</v>
      </c>
      <c r="V121">
        <f>IF(AND($A121&lt;&gt;V$1,Recharged_Feasible_mat!W90),(VLOOKUP(V$1,test!$A$3:$I$32,8,FALSE))-(VLOOKUP($A121,test!$A$3:$I$32,9,FALSE))-(test!$B$35-50),0)</f>
        <v>0</v>
      </c>
      <c r="W121">
        <f>IF(AND($A121&lt;&gt;W$1,Recharged_Feasible_mat!X90),(VLOOKUP(W$1,test!$A$3:$I$32,8,FALSE))-(VLOOKUP($A121,test!$A$3:$I$32,9,FALSE))-(test!$B$35-50),0)</f>
        <v>0</v>
      </c>
      <c r="X121">
        <f>IF(AND($A121&lt;&gt;X$1,Recharged_Feasible_mat!Y90),(VLOOKUP(X$1,test!$A$3:$I$32,8,FALSE))-(VLOOKUP($A121,test!$A$3:$I$32,9,FALSE))-(test!$B$35-50),0)</f>
        <v>0</v>
      </c>
      <c r="Y121">
        <f>IF(AND($A121&lt;&gt;Y$1,Recharged_Feasible_mat!Z90),(VLOOKUP(Y$1,test!$A$3:$I$32,8,FALSE))-(VLOOKUP($A121,test!$A$3:$I$32,9,FALSE))-(test!$B$35-50),0)</f>
        <v>0</v>
      </c>
      <c r="Z121">
        <f>IF(AND($A121&lt;&gt;Z$1,Recharged_Feasible_mat!AA90),(VLOOKUP(Z$1,test!$A$3:$I$32,8,FALSE))-(VLOOKUP($A121,test!$A$3:$I$32,9,FALSE))-(test!$B$35-50),0)</f>
        <v>0</v>
      </c>
      <c r="AA121">
        <f>IF(AND($A121&lt;&gt;AA$1,Recharged_Feasible_mat!AB90),(VLOOKUP(AA$1,test!$A$3:$I$32,8,FALSE))-(VLOOKUP($A121,test!$A$3:$I$32,9,FALSE))-(test!$B$35-50),0)</f>
        <v>0</v>
      </c>
      <c r="AB121">
        <f>IF(AND($A121&lt;&gt;AB$1,Recharged_Feasible_mat!AC90),(VLOOKUP(AB$1,test!$A$3:$I$32,8,FALSE))-(VLOOKUP($A121,test!$A$3:$I$32,9,FALSE))-(test!$B$35-50),0)</f>
        <v>0</v>
      </c>
      <c r="AC121">
        <f>IF(AND($A121&lt;&gt;AC$1,Recharged_Feasible_mat!AD90),(VLOOKUP(AC$1,test!$A$3:$I$32,8,FALSE))-(VLOOKUP($A121,test!$A$3:$I$32,9,FALSE))-(test!$B$35-50),0)</f>
        <v>0</v>
      </c>
      <c r="AD121">
        <f>IF(AND($A121&lt;&gt;AD$1,Recharged_Feasible_mat!AE90),(VLOOKUP(AD$1,test!$A$3:$I$32,8,FALSE))-(VLOOKUP($A121,test!$A$3:$I$32,9,FALSE))-(test!$B$35-50),0)</f>
        <v>0</v>
      </c>
      <c r="AE121">
        <f>IF(AND($A121&lt;&gt;AE$1,Recharged_Feasible_mat!AF90),(VLOOKUP(AE$1,test!$A$3:$I$32,8,FALSE))-(VLOOKUP($A121,test!$A$3:$I$32,9,FALSE))-(test!$B$35-50),0)</f>
        <v>0</v>
      </c>
      <c r="AF121">
        <f>IF(AND($A121&lt;&gt;AF$1,Recharged_Feasible_mat!AG90),(VLOOKUP(AF$1,test!$A$3:$I$32,8,FALSE))-(VLOOKUP($A121,test!$A$3:$I$32,9,FALSE))-(test!$B$35-50),0)</f>
        <v>0</v>
      </c>
    </row>
    <row r="122" spans="1:32" x14ac:dyDescent="0.25">
      <c r="A122" t="s">
        <v>38</v>
      </c>
      <c r="B122">
        <v>0</v>
      </c>
      <c r="C122">
        <f>IF(AND($A122&lt;&gt;C$1,Recharged_Feasible_mat!D91),(VLOOKUP(C$1,test!$A$3:$I$32,8,FALSE))-(VLOOKUP($A122,test!$A$3:$I$32,9,FALSE))-(test!$B$35-50),0)</f>
        <v>0</v>
      </c>
      <c r="D122">
        <f>IF(AND($A122&lt;&gt;D$1,Recharged_Feasible_mat!E91),(VLOOKUP(D$1,test!$A$3:$I$32,8,FALSE))-(VLOOKUP($A122,test!$A$3:$I$32,9,FALSE))-(test!$B$35-50),0)</f>
        <v>0</v>
      </c>
      <c r="E122">
        <f>IF(AND($A122&lt;&gt;E$1,Recharged_Feasible_mat!F91),(VLOOKUP(E$1,test!$A$3:$I$32,8,FALSE))-(VLOOKUP($A122,test!$A$3:$I$32,9,FALSE))-(test!$B$35-50),0)</f>
        <v>0</v>
      </c>
      <c r="F122">
        <f>IF(AND($A122&lt;&gt;F$1,Recharged_Feasible_mat!G91),(VLOOKUP(F$1,test!$A$3:$I$32,8,FALSE))-(VLOOKUP($A122,test!$A$3:$I$32,9,FALSE))-(test!$B$35-50),0)</f>
        <v>0</v>
      </c>
      <c r="G122">
        <f>IF(AND($A122&lt;&gt;G$1,Recharged_Feasible_mat!H91),(VLOOKUP(G$1,test!$A$3:$I$32,8,FALSE))-(VLOOKUP($A122,test!$A$3:$I$32,9,FALSE))-(test!$B$35-50),0)</f>
        <v>0</v>
      </c>
      <c r="H122">
        <f>IF(AND($A122&lt;&gt;H$1,Recharged_Feasible_mat!I91),(VLOOKUP(H$1,test!$A$3:$I$32,8,FALSE))-(VLOOKUP($A122,test!$A$3:$I$32,9,FALSE))-(test!$B$35-50),0)</f>
        <v>0</v>
      </c>
      <c r="I122">
        <f>IF(AND($A122&lt;&gt;I$1,Recharged_Feasible_mat!J91),(VLOOKUP(I$1,test!$A$3:$I$32,8,FALSE))-(VLOOKUP($A122,test!$A$3:$I$32,9,FALSE))-(test!$B$35-50),0)</f>
        <v>0</v>
      </c>
      <c r="J122">
        <f>IF(AND($A122&lt;&gt;J$1,Recharged_Feasible_mat!K91),(VLOOKUP(J$1,test!$A$3:$I$32,8,FALSE))-(VLOOKUP($A122,test!$A$3:$I$32,9,FALSE))-(test!$B$35-50),0)</f>
        <v>0</v>
      </c>
      <c r="K122">
        <f>IF(AND($A122&lt;&gt;K$1,Recharged_Feasible_mat!L91),(VLOOKUP(K$1,test!$A$3:$I$32,8,FALSE))-(VLOOKUP($A122,test!$A$3:$I$32,9,FALSE))-(test!$B$35-50),0)</f>
        <v>0</v>
      </c>
      <c r="L122">
        <f>IF(AND($A122&lt;&gt;L$1,Recharged_Feasible_mat!M91),(VLOOKUP(L$1,test!$A$3:$I$32,8,FALSE))-(VLOOKUP($A122,test!$A$3:$I$32,9,FALSE))-(test!$B$35-50),0)</f>
        <v>0</v>
      </c>
      <c r="M122">
        <f>IF(AND($A122&lt;&gt;M$1,Recharged_Feasible_mat!N91),(VLOOKUP(M$1,test!$A$3:$I$32,8,FALSE))-(VLOOKUP($A122,test!$A$3:$I$32,9,FALSE))-(test!$B$35-50),0)</f>
        <v>0</v>
      </c>
      <c r="N122">
        <f>IF(AND($A122&lt;&gt;N$1,Recharged_Feasible_mat!O91),(VLOOKUP(N$1,test!$A$3:$I$32,8,FALSE))-(VLOOKUP($A122,test!$A$3:$I$32,9,FALSE))-(test!$B$35-50),0)</f>
        <v>0</v>
      </c>
      <c r="O122">
        <f>IF(AND($A122&lt;&gt;O$1,Recharged_Feasible_mat!P91),(VLOOKUP(O$1,test!$A$3:$I$32,8,FALSE))-(VLOOKUP($A122,test!$A$3:$I$32,9,FALSE))-(test!$B$35-50),0)</f>
        <v>0</v>
      </c>
      <c r="P122">
        <f>IF(AND($A122&lt;&gt;P$1,Recharged_Feasible_mat!Q91),(VLOOKUP(P$1,test!$A$3:$I$32,8,FALSE))-(VLOOKUP($A122,test!$A$3:$I$32,9,FALSE))-(test!$B$35-50),0)</f>
        <v>0</v>
      </c>
      <c r="Q122">
        <f>IF(AND($A122&lt;&gt;Q$1,Recharged_Feasible_mat!R91),(VLOOKUP(Q$1,test!$A$3:$I$32,8,FALSE))-(VLOOKUP($A122,test!$A$3:$I$32,9,FALSE))-(test!$B$35-50),0)</f>
        <v>0</v>
      </c>
      <c r="R122">
        <f>IF(AND($A122&lt;&gt;R$1,Recharged_Feasible_mat!S91),(VLOOKUP(R$1,test!$A$3:$I$32,8,FALSE))-(VLOOKUP($A122,test!$A$3:$I$32,9,FALSE))-(test!$B$35-50),0)</f>
        <v>0</v>
      </c>
      <c r="S122">
        <f>IF(AND($A122&lt;&gt;S$1,Recharged_Feasible_mat!T91),(VLOOKUP(S$1,test!$A$3:$I$32,8,FALSE))-(VLOOKUP($A122,test!$A$3:$I$32,9,FALSE))-(test!$B$35-50),0)</f>
        <v>0</v>
      </c>
      <c r="T122">
        <f>IF(AND($A122&lt;&gt;T$1,Recharged_Feasible_mat!U91),(VLOOKUP(T$1,test!$A$3:$I$32,8,FALSE))-(VLOOKUP($A122,test!$A$3:$I$32,9,FALSE))-(test!$B$35-50),0)</f>
        <v>0</v>
      </c>
      <c r="U122">
        <f>IF(AND($A122&lt;&gt;U$1,Recharged_Feasible_mat!V91),(VLOOKUP(U$1,test!$A$3:$I$32,8,FALSE))-(VLOOKUP($A122,test!$A$3:$I$32,9,FALSE))-(test!$B$35-50),0)</f>
        <v>0</v>
      </c>
      <c r="V122">
        <f>IF(AND($A122&lt;&gt;V$1,Recharged_Feasible_mat!W91),(VLOOKUP(V$1,test!$A$3:$I$32,8,FALSE))-(VLOOKUP($A122,test!$A$3:$I$32,9,FALSE))-(test!$B$35-50),0)</f>
        <v>0</v>
      </c>
      <c r="W122">
        <f>IF(AND($A122&lt;&gt;W$1,Recharged_Feasible_mat!X91),(VLOOKUP(W$1,test!$A$3:$I$32,8,FALSE))-(VLOOKUP($A122,test!$A$3:$I$32,9,FALSE))-(test!$B$35-50),0)</f>
        <v>0</v>
      </c>
      <c r="X122">
        <f>IF(AND($A122&lt;&gt;X$1,Recharged_Feasible_mat!Y91),(VLOOKUP(X$1,test!$A$3:$I$32,8,FALSE))-(VLOOKUP($A122,test!$A$3:$I$32,9,FALSE))-(test!$B$35-50),0)</f>
        <v>0</v>
      </c>
      <c r="Y122">
        <f>IF(AND($A122&lt;&gt;Y$1,Recharged_Feasible_mat!Z91),(VLOOKUP(Y$1,test!$A$3:$I$32,8,FALSE))-(VLOOKUP($A122,test!$A$3:$I$32,9,FALSE))-(test!$B$35-50),0)</f>
        <v>0</v>
      </c>
      <c r="Z122">
        <f>IF(AND($A122&lt;&gt;Z$1,Recharged_Feasible_mat!AA91),(VLOOKUP(Z$1,test!$A$3:$I$32,8,FALSE))-(VLOOKUP($A122,test!$A$3:$I$32,9,FALSE))-(test!$B$35-50),0)</f>
        <v>0</v>
      </c>
      <c r="AA122">
        <f>IF(AND($A122&lt;&gt;AA$1,Recharged_Feasible_mat!AB91),(VLOOKUP(AA$1,test!$A$3:$I$32,8,FALSE))-(VLOOKUP($A122,test!$A$3:$I$32,9,FALSE))-(test!$B$35-50),0)</f>
        <v>0</v>
      </c>
      <c r="AB122">
        <f>IF(AND($A122&lt;&gt;AB$1,Recharged_Feasible_mat!AC91),(VLOOKUP(AB$1,test!$A$3:$I$32,8,FALSE))-(VLOOKUP($A122,test!$A$3:$I$32,9,FALSE))-(test!$B$35-50),0)</f>
        <v>0</v>
      </c>
      <c r="AC122">
        <f>IF(AND($A122&lt;&gt;AC$1,Recharged_Feasible_mat!AD91),(VLOOKUP(AC$1,test!$A$3:$I$32,8,FALSE))-(VLOOKUP($A122,test!$A$3:$I$32,9,FALSE))-(test!$B$35-50),0)</f>
        <v>0</v>
      </c>
      <c r="AD122">
        <f>IF(AND($A122&lt;&gt;AD$1,Recharged_Feasible_mat!AE91),(VLOOKUP(AD$1,test!$A$3:$I$32,8,FALSE))-(VLOOKUP($A122,test!$A$3:$I$32,9,FALSE))-(test!$B$35-50),0)</f>
        <v>0</v>
      </c>
      <c r="AE122">
        <f>IF(AND($A122&lt;&gt;AE$1,Recharged_Feasible_mat!AF91),(VLOOKUP(AE$1,test!$A$3:$I$32,8,FALSE))-(VLOOKUP($A122,test!$A$3:$I$32,9,FALSE))-(test!$B$35-50),0)</f>
        <v>0</v>
      </c>
      <c r="AF122">
        <f>IF(AND($A122&lt;&gt;AF$1,Recharged_Feasible_mat!AG91),(VLOOKUP(AF$1,test!$A$3:$I$32,8,FALSE))-(VLOOKUP($A122,test!$A$3:$I$32,9,FALSE))-(test!$B$35-50),0)</f>
        <v>0</v>
      </c>
    </row>
    <row r="123" spans="1:32" x14ac:dyDescent="0.25">
      <c r="A123" t="s">
        <v>39</v>
      </c>
      <c r="B123">
        <v>0</v>
      </c>
      <c r="C123">
        <f>IF(AND($A123&lt;&gt;C$1,Recharged_Feasible_mat!D92),(VLOOKUP(C$1,test!$A$3:$I$32,8,FALSE))-(VLOOKUP($A123,test!$A$3:$I$32,9,FALSE))-(test!$B$35-50),0)</f>
        <v>0</v>
      </c>
      <c r="D123">
        <f>IF(AND($A123&lt;&gt;D$1,Recharged_Feasible_mat!E92),(VLOOKUP(D$1,test!$A$3:$I$32,8,FALSE))-(VLOOKUP($A123,test!$A$3:$I$32,9,FALSE))-(test!$B$35-50),0)</f>
        <v>0</v>
      </c>
      <c r="E123">
        <f>IF(AND($A123&lt;&gt;E$1,Recharged_Feasible_mat!F92),(VLOOKUP(E$1,test!$A$3:$I$32,8,FALSE))-(VLOOKUP($A123,test!$A$3:$I$32,9,FALSE))-(test!$B$35-50),0)</f>
        <v>0</v>
      </c>
      <c r="F123">
        <f>IF(AND($A123&lt;&gt;F$1,Recharged_Feasible_mat!G92),(VLOOKUP(F$1,test!$A$3:$I$32,8,FALSE))-(VLOOKUP($A123,test!$A$3:$I$32,9,FALSE))-(test!$B$35-50),0)</f>
        <v>0</v>
      </c>
      <c r="G123">
        <f>IF(AND($A123&lt;&gt;G$1,Recharged_Feasible_mat!H92),(VLOOKUP(G$1,test!$A$3:$I$32,8,FALSE))-(VLOOKUP($A123,test!$A$3:$I$32,9,FALSE))-(test!$B$35-50),0)</f>
        <v>260</v>
      </c>
      <c r="H123">
        <f>IF(AND($A123&lt;&gt;H$1,Recharged_Feasible_mat!I92),(VLOOKUP(H$1,test!$A$3:$I$32,8,FALSE))-(VLOOKUP($A123,test!$A$3:$I$32,9,FALSE))-(test!$B$35-50),0)</f>
        <v>320</v>
      </c>
      <c r="I123">
        <f>IF(AND($A123&lt;&gt;I$1,Recharged_Feasible_mat!J92),(VLOOKUP(I$1,test!$A$3:$I$32,8,FALSE))-(VLOOKUP($A123,test!$A$3:$I$32,9,FALSE))-(test!$B$35-50),0)</f>
        <v>380</v>
      </c>
      <c r="J123">
        <f>IF(AND($A123&lt;&gt;J$1,Recharged_Feasible_mat!K92),(VLOOKUP(J$1,test!$A$3:$I$32,8,FALSE))-(VLOOKUP($A123,test!$A$3:$I$32,9,FALSE))-(test!$B$35-50),0)</f>
        <v>470</v>
      </c>
      <c r="K123">
        <f>IF(AND($A123&lt;&gt;K$1,Recharged_Feasible_mat!L92),(VLOOKUP(K$1,test!$A$3:$I$32,8,FALSE))-(VLOOKUP($A123,test!$A$3:$I$32,9,FALSE))-(test!$B$35-50),0)</f>
        <v>0</v>
      </c>
      <c r="L123">
        <f>IF(AND($A123&lt;&gt;L$1,Recharged_Feasible_mat!M92),(VLOOKUP(L$1,test!$A$3:$I$32,8,FALSE))-(VLOOKUP($A123,test!$A$3:$I$32,9,FALSE))-(test!$B$35-50),0)</f>
        <v>0</v>
      </c>
      <c r="M123">
        <f>IF(AND($A123&lt;&gt;M$1,Recharged_Feasible_mat!N92),(VLOOKUP(M$1,test!$A$3:$I$32,8,FALSE))-(VLOOKUP($A123,test!$A$3:$I$32,9,FALSE))-(test!$B$35-50),0)</f>
        <v>0</v>
      </c>
      <c r="N123">
        <f>IF(AND($A123&lt;&gt;N$1,Recharged_Feasible_mat!O92),(VLOOKUP(N$1,test!$A$3:$I$32,8,FALSE))-(VLOOKUP($A123,test!$A$3:$I$32,9,FALSE))-(test!$B$35-50),0)</f>
        <v>435</v>
      </c>
      <c r="O123">
        <f>IF(AND($A123&lt;&gt;O$1,Recharged_Feasible_mat!P92),(VLOOKUP(O$1,test!$A$3:$I$32,8,FALSE))-(VLOOKUP($A123,test!$A$3:$I$32,9,FALSE))-(test!$B$35-50),0)</f>
        <v>495</v>
      </c>
      <c r="P123">
        <f>IF(AND($A123&lt;&gt;P$1,Recharged_Feasible_mat!Q92),(VLOOKUP(P$1,test!$A$3:$I$32,8,FALSE))-(VLOOKUP($A123,test!$A$3:$I$32,9,FALSE))-(test!$B$35-50),0)</f>
        <v>0</v>
      </c>
      <c r="Q123">
        <f>IF(AND($A123&lt;&gt;Q$1,Recharged_Feasible_mat!R92),(VLOOKUP(Q$1,test!$A$3:$I$32,8,FALSE))-(VLOOKUP($A123,test!$A$3:$I$32,9,FALSE))-(test!$B$35-50),0)</f>
        <v>0</v>
      </c>
      <c r="R123">
        <f>IF(AND($A123&lt;&gt;R$1,Recharged_Feasible_mat!S92),(VLOOKUP(R$1,test!$A$3:$I$32,8,FALSE))-(VLOOKUP($A123,test!$A$3:$I$32,9,FALSE))-(test!$B$35-50),0)</f>
        <v>0</v>
      </c>
      <c r="S123">
        <f>IF(AND($A123&lt;&gt;S$1,Recharged_Feasible_mat!T92),(VLOOKUP(S$1,test!$A$3:$I$32,8,FALSE))-(VLOOKUP($A123,test!$A$3:$I$32,9,FALSE))-(test!$B$35-50),0)</f>
        <v>0</v>
      </c>
      <c r="T123">
        <f>IF(AND($A123&lt;&gt;T$1,Recharged_Feasible_mat!U92),(VLOOKUP(T$1,test!$A$3:$I$32,8,FALSE))-(VLOOKUP($A123,test!$A$3:$I$32,9,FALSE))-(test!$B$35-50),0)</f>
        <v>0</v>
      </c>
      <c r="U123">
        <f>IF(AND($A123&lt;&gt;U$1,Recharged_Feasible_mat!V92),(VLOOKUP(U$1,test!$A$3:$I$32,8,FALSE))-(VLOOKUP($A123,test!$A$3:$I$32,9,FALSE))-(test!$B$35-50),0)</f>
        <v>0</v>
      </c>
      <c r="V123">
        <f>IF(AND($A123&lt;&gt;V$1,Recharged_Feasible_mat!W92),(VLOOKUP(V$1,test!$A$3:$I$32,8,FALSE))-(VLOOKUP($A123,test!$A$3:$I$32,9,FALSE))-(test!$B$35-50),0)</f>
        <v>270</v>
      </c>
      <c r="W123">
        <f>IF(AND($A123&lt;&gt;W$1,Recharged_Feasible_mat!X92),(VLOOKUP(W$1,test!$A$3:$I$32,8,FALSE))-(VLOOKUP($A123,test!$A$3:$I$32,9,FALSE))-(test!$B$35-50),0)</f>
        <v>360</v>
      </c>
      <c r="X123">
        <f>IF(AND($A123&lt;&gt;X$1,Recharged_Feasible_mat!Y92),(VLOOKUP(X$1,test!$A$3:$I$32,8,FALSE))-(VLOOKUP($A123,test!$A$3:$I$32,9,FALSE))-(test!$B$35-50),0)</f>
        <v>420</v>
      </c>
      <c r="Y123">
        <f>IF(AND($A123&lt;&gt;Y$1,Recharged_Feasible_mat!Z92),(VLOOKUP(Y$1,test!$A$3:$I$32,8,FALSE))-(VLOOKUP($A123,test!$A$3:$I$32,9,FALSE))-(test!$B$35-50),0)</f>
        <v>0</v>
      </c>
      <c r="Z123">
        <f>IF(AND($A123&lt;&gt;Z$1,Recharged_Feasible_mat!AA92),(VLOOKUP(Z$1,test!$A$3:$I$32,8,FALSE))-(VLOOKUP($A123,test!$A$3:$I$32,9,FALSE))-(test!$B$35-50),0)</f>
        <v>0</v>
      </c>
      <c r="AA123">
        <f>IF(AND($A123&lt;&gt;AA$1,Recharged_Feasible_mat!AB92),(VLOOKUP(AA$1,test!$A$3:$I$32,8,FALSE))-(VLOOKUP($A123,test!$A$3:$I$32,9,FALSE))-(test!$B$35-50),0)</f>
        <v>0</v>
      </c>
      <c r="AB123">
        <f>IF(AND($A123&lt;&gt;AB$1,Recharged_Feasible_mat!AC92),(VLOOKUP(AB$1,test!$A$3:$I$32,8,FALSE))-(VLOOKUP($A123,test!$A$3:$I$32,9,FALSE))-(test!$B$35-50),0)</f>
        <v>0</v>
      </c>
      <c r="AC123">
        <f>IF(AND($A123&lt;&gt;AC$1,Recharged_Feasible_mat!AD92),(VLOOKUP(AC$1,test!$A$3:$I$32,8,FALSE))-(VLOOKUP($A123,test!$A$3:$I$32,9,FALSE))-(test!$B$35-50),0)</f>
        <v>320</v>
      </c>
      <c r="AD123">
        <f>IF(AND($A123&lt;&gt;AD$1,Recharged_Feasible_mat!AE92),(VLOOKUP(AD$1,test!$A$3:$I$32,8,FALSE))-(VLOOKUP($A123,test!$A$3:$I$32,9,FALSE))-(test!$B$35-50),0)</f>
        <v>0</v>
      </c>
      <c r="AE123">
        <f>IF(AND($A123&lt;&gt;AE$1,Recharged_Feasible_mat!AF92),(VLOOKUP(AE$1,test!$A$3:$I$32,8,FALSE))-(VLOOKUP($A123,test!$A$3:$I$32,9,FALSE))-(test!$B$35-50),0)</f>
        <v>0</v>
      </c>
      <c r="AF123">
        <f>IF(AND($A123&lt;&gt;AF$1,Recharged_Feasible_mat!AG92),(VLOOKUP(AF$1,test!$A$3:$I$32,8,FALSE))-(VLOOKUP($A123,test!$A$3:$I$32,9,FALSE))-(test!$B$35-50),0)</f>
        <v>0</v>
      </c>
    </row>
    <row r="124" spans="1:32" x14ac:dyDescent="0.25">
      <c r="A124" t="s">
        <v>40</v>
      </c>
      <c r="B124">
        <v>0</v>
      </c>
      <c r="C124">
        <f>IF(AND($A124&lt;&gt;C$1,Recharged_Feasible_mat!D93),(VLOOKUP(C$1,test!$A$3:$I$32,8,FALSE))-(VLOOKUP($A124,test!$A$3:$I$32,9,FALSE))-(test!$B$35-50),0)</f>
        <v>0</v>
      </c>
      <c r="D124">
        <f>IF(AND($A124&lt;&gt;D$1,Recharged_Feasible_mat!E93),(VLOOKUP(D$1,test!$A$3:$I$32,8,FALSE))-(VLOOKUP($A124,test!$A$3:$I$32,9,FALSE))-(test!$B$35-50),0)</f>
        <v>0</v>
      </c>
      <c r="E124">
        <f>IF(AND($A124&lt;&gt;E$1,Recharged_Feasible_mat!F93),(VLOOKUP(E$1,test!$A$3:$I$32,8,FALSE))-(VLOOKUP($A124,test!$A$3:$I$32,9,FALSE))-(test!$B$35-50),0)</f>
        <v>0</v>
      </c>
      <c r="F124">
        <f>IF(AND($A124&lt;&gt;F$1,Recharged_Feasible_mat!G93),(VLOOKUP(F$1,test!$A$3:$I$32,8,FALSE))-(VLOOKUP($A124,test!$A$3:$I$32,9,FALSE))-(test!$B$35-50),0)</f>
        <v>0</v>
      </c>
      <c r="G124">
        <f>IF(AND($A124&lt;&gt;G$1,Recharged_Feasible_mat!H93),(VLOOKUP(G$1,test!$A$3:$I$32,8,FALSE))-(VLOOKUP($A124,test!$A$3:$I$32,9,FALSE))-(test!$B$35-50),0)</f>
        <v>0</v>
      </c>
      <c r="H124">
        <f>IF(AND($A124&lt;&gt;H$1,Recharged_Feasible_mat!I93),(VLOOKUP(H$1,test!$A$3:$I$32,8,FALSE))-(VLOOKUP($A124,test!$A$3:$I$32,9,FALSE))-(test!$B$35-50),0)</f>
        <v>0</v>
      </c>
      <c r="I124">
        <f>IF(AND($A124&lt;&gt;I$1,Recharged_Feasible_mat!J93),(VLOOKUP(I$1,test!$A$3:$I$32,8,FALSE))-(VLOOKUP($A124,test!$A$3:$I$32,9,FALSE))-(test!$B$35-50),0)</f>
        <v>0</v>
      </c>
      <c r="J124">
        <f>IF(AND($A124&lt;&gt;J$1,Recharged_Feasible_mat!K93),(VLOOKUP(J$1,test!$A$3:$I$32,8,FALSE))-(VLOOKUP($A124,test!$A$3:$I$32,9,FALSE))-(test!$B$35-50),0)</f>
        <v>0</v>
      </c>
      <c r="K124">
        <f>IF(AND($A124&lt;&gt;K$1,Recharged_Feasible_mat!L93),(VLOOKUP(K$1,test!$A$3:$I$32,8,FALSE))-(VLOOKUP($A124,test!$A$3:$I$32,9,FALSE))-(test!$B$35-50),0)</f>
        <v>0</v>
      </c>
      <c r="L124">
        <f>IF(AND($A124&lt;&gt;L$1,Recharged_Feasible_mat!M93),(VLOOKUP(L$1,test!$A$3:$I$32,8,FALSE))-(VLOOKUP($A124,test!$A$3:$I$32,9,FALSE))-(test!$B$35-50),0)</f>
        <v>0</v>
      </c>
      <c r="M124">
        <f>IF(AND($A124&lt;&gt;M$1,Recharged_Feasible_mat!N93),(VLOOKUP(M$1,test!$A$3:$I$32,8,FALSE))-(VLOOKUP($A124,test!$A$3:$I$32,9,FALSE))-(test!$B$35-50),0)</f>
        <v>0</v>
      </c>
      <c r="N124">
        <f>IF(AND($A124&lt;&gt;N$1,Recharged_Feasible_mat!O93),(VLOOKUP(N$1,test!$A$3:$I$32,8,FALSE))-(VLOOKUP($A124,test!$A$3:$I$32,9,FALSE))-(test!$B$35-50),0)</f>
        <v>0</v>
      </c>
      <c r="O124">
        <f>IF(AND($A124&lt;&gt;O$1,Recharged_Feasible_mat!P93),(VLOOKUP(O$1,test!$A$3:$I$32,8,FALSE))-(VLOOKUP($A124,test!$A$3:$I$32,9,FALSE))-(test!$B$35-50),0)</f>
        <v>0</v>
      </c>
      <c r="P124">
        <f>IF(AND($A124&lt;&gt;P$1,Recharged_Feasible_mat!Q93),(VLOOKUP(P$1,test!$A$3:$I$32,8,FALSE))-(VLOOKUP($A124,test!$A$3:$I$32,9,FALSE))-(test!$B$35-50),0)</f>
        <v>0</v>
      </c>
      <c r="Q124">
        <f>IF(AND($A124&lt;&gt;Q$1,Recharged_Feasible_mat!R93),(VLOOKUP(Q$1,test!$A$3:$I$32,8,FALSE))-(VLOOKUP($A124,test!$A$3:$I$32,9,FALSE))-(test!$B$35-50),0)</f>
        <v>0</v>
      </c>
      <c r="R124">
        <f>IF(AND($A124&lt;&gt;R$1,Recharged_Feasible_mat!S93),(VLOOKUP(R$1,test!$A$3:$I$32,8,FALSE))-(VLOOKUP($A124,test!$A$3:$I$32,9,FALSE))-(test!$B$35-50),0)</f>
        <v>0</v>
      </c>
      <c r="S124">
        <f>IF(AND($A124&lt;&gt;S$1,Recharged_Feasible_mat!T93),(VLOOKUP(S$1,test!$A$3:$I$32,8,FALSE))-(VLOOKUP($A124,test!$A$3:$I$32,9,FALSE))-(test!$B$35-50),0)</f>
        <v>0</v>
      </c>
      <c r="T124">
        <f>IF(AND($A124&lt;&gt;T$1,Recharged_Feasible_mat!U93),(VLOOKUP(T$1,test!$A$3:$I$32,8,FALSE))-(VLOOKUP($A124,test!$A$3:$I$32,9,FALSE))-(test!$B$35-50),0)</f>
        <v>0</v>
      </c>
      <c r="U124">
        <f>IF(AND($A124&lt;&gt;U$1,Recharged_Feasible_mat!V93),(VLOOKUP(U$1,test!$A$3:$I$32,8,FALSE))-(VLOOKUP($A124,test!$A$3:$I$32,9,FALSE))-(test!$B$35-50),0)</f>
        <v>0</v>
      </c>
      <c r="V124">
        <f>IF(AND($A124&lt;&gt;V$1,Recharged_Feasible_mat!W93),(VLOOKUP(V$1,test!$A$3:$I$32,8,FALSE))-(VLOOKUP($A124,test!$A$3:$I$32,9,FALSE))-(test!$B$35-50),0)</f>
        <v>0</v>
      </c>
      <c r="W124">
        <f>IF(AND($A124&lt;&gt;W$1,Recharged_Feasible_mat!X93),(VLOOKUP(W$1,test!$A$3:$I$32,8,FALSE))-(VLOOKUP($A124,test!$A$3:$I$32,9,FALSE))-(test!$B$35-50),0)</f>
        <v>0</v>
      </c>
      <c r="X124">
        <f>IF(AND($A124&lt;&gt;X$1,Recharged_Feasible_mat!Y93),(VLOOKUP(X$1,test!$A$3:$I$32,8,FALSE))-(VLOOKUP($A124,test!$A$3:$I$32,9,FALSE))-(test!$B$35-50),0)</f>
        <v>0</v>
      </c>
      <c r="Y124">
        <f>IF(AND($A124&lt;&gt;Y$1,Recharged_Feasible_mat!Z93),(VLOOKUP(Y$1,test!$A$3:$I$32,8,FALSE))-(VLOOKUP($A124,test!$A$3:$I$32,9,FALSE))-(test!$B$35-50),0)</f>
        <v>0</v>
      </c>
      <c r="Z124">
        <f>IF(AND($A124&lt;&gt;Z$1,Recharged_Feasible_mat!AA93),(VLOOKUP(Z$1,test!$A$3:$I$32,8,FALSE))-(VLOOKUP($A124,test!$A$3:$I$32,9,FALSE))-(test!$B$35-50),0)</f>
        <v>0</v>
      </c>
      <c r="AA124">
        <f>IF(AND($A124&lt;&gt;AA$1,Recharged_Feasible_mat!AB93),(VLOOKUP(AA$1,test!$A$3:$I$32,8,FALSE))-(VLOOKUP($A124,test!$A$3:$I$32,9,FALSE))-(test!$B$35-50),0)</f>
        <v>0</v>
      </c>
      <c r="AB124">
        <f>IF(AND($A124&lt;&gt;AB$1,Recharged_Feasible_mat!AC93),(VLOOKUP(AB$1,test!$A$3:$I$32,8,FALSE))-(VLOOKUP($A124,test!$A$3:$I$32,9,FALSE))-(test!$B$35-50),0)</f>
        <v>0</v>
      </c>
      <c r="AC124">
        <f>IF(AND($A124&lt;&gt;AC$1,Recharged_Feasible_mat!AD93),(VLOOKUP(AC$1,test!$A$3:$I$32,8,FALSE))-(VLOOKUP($A124,test!$A$3:$I$32,9,FALSE))-(test!$B$35-50),0)</f>
        <v>0</v>
      </c>
      <c r="AD124">
        <f>IF(AND($A124&lt;&gt;AD$1,Recharged_Feasible_mat!AE93),(VLOOKUP(AD$1,test!$A$3:$I$32,8,FALSE))-(VLOOKUP($A124,test!$A$3:$I$32,9,FALSE))-(test!$B$35-50),0)</f>
        <v>0</v>
      </c>
      <c r="AE124">
        <f>IF(AND($A124&lt;&gt;AE$1,Recharged_Feasible_mat!AF93),(VLOOKUP(AE$1,test!$A$3:$I$32,8,FALSE))-(VLOOKUP($A124,test!$A$3:$I$32,9,FALSE))-(test!$B$35-50),0)</f>
        <v>0</v>
      </c>
      <c r="AF124">
        <f>IF(AND($A124&lt;&gt;AF$1,Recharged_Feasible_mat!AG93),(VLOOKUP(AF$1,test!$A$3:$I$32,8,FALSE))-(VLOOKUP($A124,test!$A$3:$I$32,9,FALSE))-(test!$B$35-50),0)</f>
        <v>0</v>
      </c>
    </row>
    <row r="125" spans="1:32" x14ac:dyDescent="0.25">
      <c r="A125" t="s">
        <v>41</v>
      </c>
      <c r="B125">
        <v>0</v>
      </c>
      <c r="C125">
        <f>IF(AND($A125&lt;&gt;C$1,Recharged_Feasible_mat!D94),(VLOOKUP(C$1,test!$A$3:$I$32,8,FALSE))-(VLOOKUP($A125,test!$A$3:$I$32,9,FALSE))-(test!$B$35-50),0)</f>
        <v>0</v>
      </c>
      <c r="D125">
        <f>IF(AND($A125&lt;&gt;D$1,Recharged_Feasible_mat!E94),(VLOOKUP(D$1,test!$A$3:$I$32,8,FALSE))-(VLOOKUP($A125,test!$A$3:$I$32,9,FALSE))-(test!$B$35-50),0)</f>
        <v>0</v>
      </c>
      <c r="E125">
        <f>IF(AND($A125&lt;&gt;E$1,Recharged_Feasible_mat!F94),(VLOOKUP(E$1,test!$A$3:$I$32,8,FALSE))-(VLOOKUP($A125,test!$A$3:$I$32,9,FALSE))-(test!$B$35-50),0)</f>
        <v>0</v>
      </c>
      <c r="F125">
        <f>IF(AND($A125&lt;&gt;F$1,Recharged_Feasible_mat!G94),(VLOOKUP(F$1,test!$A$3:$I$32,8,FALSE))-(VLOOKUP($A125,test!$A$3:$I$32,9,FALSE))-(test!$B$35-50),0)</f>
        <v>0</v>
      </c>
      <c r="G125">
        <f>IF(AND($A125&lt;&gt;G$1,Recharged_Feasible_mat!H94),(VLOOKUP(G$1,test!$A$3:$I$32,8,FALSE))-(VLOOKUP($A125,test!$A$3:$I$32,9,FALSE))-(test!$B$35-50),0)</f>
        <v>0</v>
      </c>
      <c r="H125">
        <f>IF(AND($A125&lt;&gt;H$1,Recharged_Feasible_mat!I94),(VLOOKUP(H$1,test!$A$3:$I$32,8,FALSE))-(VLOOKUP($A125,test!$A$3:$I$32,9,FALSE))-(test!$B$35-50),0)</f>
        <v>0</v>
      </c>
      <c r="I125">
        <f>IF(AND($A125&lt;&gt;I$1,Recharged_Feasible_mat!J94),(VLOOKUP(I$1,test!$A$3:$I$32,8,FALSE))-(VLOOKUP($A125,test!$A$3:$I$32,9,FALSE))-(test!$B$35-50),0)</f>
        <v>0</v>
      </c>
      <c r="J125">
        <f>IF(AND($A125&lt;&gt;J$1,Recharged_Feasible_mat!K94),(VLOOKUP(J$1,test!$A$3:$I$32,8,FALSE))-(VLOOKUP($A125,test!$A$3:$I$32,9,FALSE))-(test!$B$35-50),0)</f>
        <v>0</v>
      </c>
      <c r="K125">
        <f>IF(AND($A125&lt;&gt;K$1,Recharged_Feasible_mat!L94),(VLOOKUP(K$1,test!$A$3:$I$32,8,FALSE))-(VLOOKUP($A125,test!$A$3:$I$32,9,FALSE))-(test!$B$35-50),0)</f>
        <v>0</v>
      </c>
      <c r="L125">
        <f>IF(AND($A125&lt;&gt;L$1,Recharged_Feasible_mat!M94),(VLOOKUP(L$1,test!$A$3:$I$32,8,FALSE))-(VLOOKUP($A125,test!$A$3:$I$32,9,FALSE))-(test!$B$35-50),0)</f>
        <v>0</v>
      </c>
      <c r="M125">
        <f>IF(AND($A125&lt;&gt;M$1,Recharged_Feasible_mat!N94),(VLOOKUP(M$1,test!$A$3:$I$32,8,FALSE))-(VLOOKUP($A125,test!$A$3:$I$32,9,FALSE))-(test!$B$35-50),0)</f>
        <v>0</v>
      </c>
      <c r="N125">
        <f>IF(AND($A125&lt;&gt;N$1,Recharged_Feasible_mat!O94),(VLOOKUP(N$1,test!$A$3:$I$32,8,FALSE))-(VLOOKUP($A125,test!$A$3:$I$32,9,FALSE))-(test!$B$35-50),0)</f>
        <v>0</v>
      </c>
      <c r="O125">
        <f>IF(AND($A125&lt;&gt;O$1,Recharged_Feasible_mat!P94),(VLOOKUP(O$1,test!$A$3:$I$32,8,FALSE))-(VLOOKUP($A125,test!$A$3:$I$32,9,FALSE))-(test!$B$35-50),0)</f>
        <v>0</v>
      </c>
      <c r="P125">
        <f>IF(AND($A125&lt;&gt;P$1,Recharged_Feasible_mat!Q94),(VLOOKUP(P$1,test!$A$3:$I$32,8,FALSE))-(VLOOKUP($A125,test!$A$3:$I$32,9,FALSE))-(test!$B$35-50),0)</f>
        <v>0</v>
      </c>
      <c r="Q125">
        <f>IF(AND($A125&lt;&gt;Q$1,Recharged_Feasible_mat!R94),(VLOOKUP(Q$1,test!$A$3:$I$32,8,FALSE))-(VLOOKUP($A125,test!$A$3:$I$32,9,FALSE))-(test!$B$35-50),0)</f>
        <v>0</v>
      </c>
      <c r="R125">
        <f>IF(AND($A125&lt;&gt;R$1,Recharged_Feasible_mat!S94),(VLOOKUP(R$1,test!$A$3:$I$32,8,FALSE))-(VLOOKUP($A125,test!$A$3:$I$32,9,FALSE))-(test!$B$35-50),0)</f>
        <v>0</v>
      </c>
      <c r="S125">
        <f>IF(AND($A125&lt;&gt;S$1,Recharged_Feasible_mat!T94),(VLOOKUP(S$1,test!$A$3:$I$32,8,FALSE))-(VLOOKUP($A125,test!$A$3:$I$32,9,FALSE))-(test!$B$35-50),0)</f>
        <v>0</v>
      </c>
      <c r="T125">
        <f>IF(AND($A125&lt;&gt;T$1,Recharged_Feasible_mat!U94),(VLOOKUP(T$1,test!$A$3:$I$32,8,FALSE))-(VLOOKUP($A125,test!$A$3:$I$32,9,FALSE))-(test!$B$35-50),0)</f>
        <v>0</v>
      </c>
      <c r="U125">
        <f>IF(AND($A125&lt;&gt;U$1,Recharged_Feasible_mat!V94),(VLOOKUP(U$1,test!$A$3:$I$32,8,FALSE))-(VLOOKUP($A125,test!$A$3:$I$32,9,FALSE))-(test!$B$35-50),0)</f>
        <v>0</v>
      </c>
      <c r="V125">
        <f>IF(AND($A125&lt;&gt;V$1,Recharged_Feasible_mat!W94),(VLOOKUP(V$1,test!$A$3:$I$32,8,FALSE))-(VLOOKUP($A125,test!$A$3:$I$32,9,FALSE))-(test!$B$35-50),0)</f>
        <v>0</v>
      </c>
      <c r="W125">
        <f>IF(AND($A125&lt;&gt;W$1,Recharged_Feasible_mat!X94),(VLOOKUP(W$1,test!$A$3:$I$32,8,FALSE))-(VLOOKUP($A125,test!$A$3:$I$32,9,FALSE))-(test!$B$35-50),0)</f>
        <v>0</v>
      </c>
      <c r="X125">
        <f>IF(AND($A125&lt;&gt;X$1,Recharged_Feasible_mat!Y94),(VLOOKUP(X$1,test!$A$3:$I$32,8,FALSE))-(VLOOKUP($A125,test!$A$3:$I$32,9,FALSE))-(test!$B$35-50),0)</f>
        <v>0</v>
      </c>
      <c r="Y125">
        <f>IF(AND($A125&lt;&gt;Y$1,Recharged_Feasible_mat!Z94),(VLOOKUP(Y$1,test!$A$3:$I$32,8,FALSE))-(VLOOKUP($A125,test!$A$3:$I$32,9,FALSE))-(test!$B$35-50),0)</f>
        <v>0</v>
      </c>
      <c r="Z125">
        <f>IF(AND($A125&lt;&gt;Z$1,Recharged_Feasible_mat!AA94),(VLOOKUP(Z$1,test!$A$3:$I$32,8,FALSE))-(VLOOKUP($A125,test!$A$3:$I$32,9,FALSE))-(test!$B$35-50),0)</f>
        <v>0</v>
      </c>
      <c r="AA125">
        <f>IF(AND($A125&lt;&gt;AA$1,Recharged_Feasible_mat!AB94),(VLOOKUP(AA$1,test!$A$3:$I$32,8,FALSE))-(VLOOKUP($A125,test!$A$3:$I$32,9,FALSE))-(test!$B$35-50),0)</f>
        <v>0</v>
      </c>
      <c r="AB125">
        <f>IF(AND($A125&lt;&gt;AB$1,Recharged_Feasible_mat!AC94),(VLOOKUP(AB$1,test!$A$3:$I$32,8,FALSE))-(VLOOKUP($A125,test!$A$3:$I$32,9,FALSE))-(test!$B$35-50),0)</f>
        <v>0</v>
      </c>
      <c r="AC125">
        <f>IF(AND($A125&lt;&gt;AC$1,Recharged_Feasible_mat!AD94),(VLOOKUP(AC$1,test!$A$3:$I$32,8,FALSE))-(VLOOKUP($A125,test!$A$3:$I$32,9,FALSE))-(test!$B$35-50),0)</f>
        <v>0</v>
      </c>
      <c r="AD125">
        <f>IF(AND($A125&lt;&gt;AD$1,Recharged_Feasible_mat!AE94),(VLOOKUP(AD$1,test!$A$3:$I$32,8,FALSE))-(VLOOKUP($A125,test!$A$3:$I$32,9,FALSE))-(test!$B$35-50),0)</f>
        <v>0</v>
      </c>
      <c r="AE125">
        <f>IF(AND($A125&lt;&gt;AE$1,Recharged_Feasible_mat!AF94),(VLOOKUP(AE$1,test!$A$3:$I$32,8,FALSE))-(VLOOKUP($A125,test!$A$3:$I$32,9,FALSE))-(test!$B$35-50),0)</f>
        <v>0</v>
      </c>
      <c r="AF125">
        <f>IF(AND($A125&lt;&gt;AF$1,Recharged_Feasible_mat!AG94),(VLOOKUP(AF$1,test!$A$3:$I$32,8,FALSE))-(VLOOKUP($A125,test!$A$3:$I$32,9,FALSE))-(test!$B$35-50),0)</f>
        <v>0</v>
      </c>
    </row>
    <row r="133" spans="5:5" x14ac:dyDescent="0.25">
      <c r="E133" s="16" t="s">
        <v>71</v>
      </c>
    </row>
    <row r="134" spans="5:5" x14ac:dyDescent="0.25">
      <c r="E134" s="16">
        <f>SUM(VLOOKUP($A3,test!$A$3:$F$32,2,FALSE),VLOOKUP(D$1,test!$A$3:$F$32,2,FALSE))</f>
        <v>270</v>
      </c>
    </row>
    <row r="135" spans="5:5" x14ac:dyDescent="0.25">
      <c r="E135" s="16">
        <f>test!$K$16</f>
        <v>350</v>
      </c>
    </row>
    <row r="136" spans="5:5" x14ac:dyDescent="0.25">
      <c r="E136" s="16" t="b">
        <f>$A3&lt;&gt;D$1</f>
        <v>1</v>
      </c>
    </row>
    <row r="137" spans="5:5" x14ac:dyDescent="0.25">
      <c r="E137" s="16" t="b">
        <f>feasible_mat!D3=1</f>
        <v>1</v>
      </c>
    </row>
    <row r="138" spans="5:5" x14ac:dyDescent="0.25">
      <c r="E138" s="16">
        <f>VLOOKUP(D$1,test!$A$3:$I$32,8,FALSE)-(VLOOKUP($A3,test!$A$3:$I$32,9,FALSE))</f>
        <v>45</v>
      </c>
    </row>
    <row r="139" spans="5:5" x14ac:dyDescent="0.25">
      <c r="E139" s="16">
        <f>VLOOKUP(D$1,test!$A$3:$I$32,8,FALSE)</f>
        <v>740</v>
      </c>
    </row>
    <row r="140" spans="5:5" x14ac:dyDescent="0.25">
      <c r="E140" s="16">
        <f>(VLOOKUP($A3,test!$A$3:$I$32,9,FALSE))</f>
        <v>695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CDAC-5966-4CFE-9AEA-0357830988F2}">
  <dimension ref="A1:AH156"/>
  <sheetViews>
    <sheetView topLeftCell="A25" workbookViewId="0">
      <pane xSplit="1" topLeftCell="B1" activePane="topRight" state="frozen"/>
      <selection activeCell="A97" sqref="A97"/>
      <selection pane="topRight" activeCell="J43" sqref="J43"/>
    </sheetView>
  </sheetViews>
  <sheetFormatPr defaultRowHeight="15" x14ac:dyDescent="0.25"/>
  <sheetData>
    <row r="1" spans="1:34" x14ac:dyDescent="0.25">
      <c r="A1" t="s">
        <v>59</v>
      </c>
      <c r="C1" t="s">
        <v>46</v>
      </c>
      <c r="D1" t="s">
        <v>6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18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</row>
    <row r="2" spans="1:34" x14ac:dyDescent="0.25">
      <c r="A2" t="s">
        <v>48</v>
      </c>
      <c r="B2" t="s">
        <v>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s="3"/>
    </row>
    <row r="3" spans="1:34" x14ac:dyDescent="0.25">
      <c r="A3" t="s">
        <v>48</v>
      </c>
      <c r="B3" t="s">
        <v>6</v>
      </c>
      <c r="C3">
        <v>0</v>
      </c>
      <c r="D3" s="2">
        <f>IF(AND(VLOOKUP(D$1,test!$A$3:$F$32,5,FALSE) - VLOOKUP($B3,test!$A$3:$G$32,6,FALSE) &gt;= (test!$B$33+VLOOKUP(VLOOKUP($B3,test!$A$2:$I$32,4,FALSE),test!$J$10:$P$14,3,FALSE))/1440),1,0)</f>
        <v>0</v>
      </c>
      <c r="E3" s="2">
        <f>IF(AND(VLOOKUP(E$1,test!$A$3:$F$32,5,FALSE) - VLOOKUP($B3,test!$A$3:$G$32,6,FALSE) &gt;= (test!$B$33+VLOOKUP(VLOOKUP($B3,test!$A$2:$I$32,4,FALSE),test!$J$10:$P$14,3,FALSE))/1440),1,0)</f>
        <v>0</v>
      </c>
      <c r="F3" s="2">
        <f>IF(AND(VLOOKUP(F$1,test!$A$3:$F$32,5,FALSE) - VLOOKUP($B3,test!$A$3:$G$32,6,FALSE) &gt;= (test!$B$33+VLOOKUP(VLOOKUP($B3,test!$A$2:$I$32,4,FALSE),test!$J$10:$P$14,3,FALSE))/1440),1,0)</f>
        <v>1</v>
      </c>
      <c r="G3" s="2">
        <f>IF(AND(VLOOKUP(G$1,test!$A$3:$F$32,5,FALSE) - VLOOKUP($B3,test!$A$3:$G$32,6,FALSE) &gt;= (test!$B$33+VLOOKUP(VLOOKUP($B3,test!$A$2:$I$32,4,FALSE),test!$J$10:$P$14,3,FALSE))/1440),1,0)</f>
        <v>1</v>
      </c>
      <c r="H3" s="2">
        <f>IF(AND(VLOOKUP(H$1,test!$A$3:$F$32,5,FALSE) - VLOOKUP($B3,test!$A$3:$G$32,6,FALSE) &gt;= (test!$B$33+VLOOKUP(VLOOKUP($B3,test!$A$2:$I$32,4,FALSE),test!$J$10:$P$14,3,FALSE))/1440),1,0)</f>
        <v>1</v>
      </c>
      <c r="I3" s="2">
        <f>IF(AND(VLOOKUP(I$1,test!$A$3:$F$32,5,FALSE) - VLOOKUP($B3,test!$A$3:$G$32,6,FALSE) &gt;= (test!$B$33+VLOOKUP(VLOOKUP($B3,test!$A$2:$I$32,4,FALSE),test!$J$10:$P$14,3,FALSE))/1440),1,0)</f>
        <v>1</v>
      </c>
      <c r="J3" s="2">
        <f>IF(AND(VLOOKUP(J$1,test!$A$3:$F$32,5,FALSE) - VLOOKUP($B3,test!$A$3:$G$32,6,FALSE) &gt;= (test!$B$33+VLOOKUP(VLOOKUP($B3,test!$A$2:$I$32,4,FALSE),test!$J$10:$P$14,3,FALSE))/1440),1,0)</f>
        <v>1</v>
      </c>
      <c r="K3" s="2">
        <f>IF(AND(VLOOKUP(K$1,test!$A$3:$F$32,5,FALSE) - VLOOKUP($B3,test!$A$3:$G$32,6,FALSE) &gt;= (test!$B$33+VLOOKUP(VLOOKUP($B3,test!$A$2:$I$32,4,FALSE),test!$J$10:$P$14,3,FALSE))/1440),1,0)</f>
        <v>1</v>
      </c>
      <c r="L3" s="2">
        <f>IF(AND(VLOOKUP(L$1,test!$A$3:$F$32,5,FALSE) - VLOOKUP($B3,test!$A$3:$G$32,6,FALSE) &gt;= (test!$B$33+VLOOKUP(VLOOKUP($B3,test!$A$2:$I$32,4,FALSE),test!$J$10:$P$14,3,FALSE))/1440),1,0)</f>
        <v>0</v>
      </c>
      <c r="M3" s="2">
        <f>IF(AND(VLOOKUP(M$1,test!$A$3:$F$32,5,FALSE) - VLOOKUP($B3,test!$A$3:$G$32,6,FALSE) &gt;= (test!$B$33+VLOOKUP(VLOOKUP($B3,test!$A$2:$I$32,4,FALSE),test!$J$10:$P$14,3,FALSE))/1440),1,0)</f>
        <v>0</v>
      </c>
      <c r="N3" s="2">
        <f>IF(AND(VLOOKUP(N$1,test!$A$3:$F$32,5,FALSE) - VLOOKUP($B3,test!$A$3:$G$32,6,FALSE) &gt;= (test!$B$33+VLOOKUP(VLOOKUP($B3,test!$A$2:$I$32,4,FALSE),test!$J$10:$P$14,3,FALSE))/1440),1,0)</f>
        <v>1</v>
      </c>
      <c r="O3" s="2">
        <f>IF(AND(VLOOKUP(O$1,test!$A$3:$F$32,5,FALSE) - VLOOKUP($B3,test!$A$3:$G$32,6,FALSE) &gt;= (test!$B$33+VLOOKUP(VLOOKUP($B3,test!$A$2:$I$32,4,FALSE),test!$J$10:$P$14,3,FALSE))/1440),1,0)</f>
        <v>1</v>
      </c>
      <c r="P3" s="2">
        <f>IF(AND(VLOOKUP(P$1,test!$A$3:$F$32,5,FALSE) - VLOOKUP($B3,test!$A$3:$G$32,6,FALSE) &gt;= (test!$B$33+VLOOKUP(VLOOKUP($B3,test!$A$2:$I$32,4,FALSE),test!$J$10:$P$14,3,FALSE))/1440),1,0)</f>
        <v>1</v>
      </c>
      <c r="Q3" s="2">
        <f>IF(AND(VLOOKUP(Q$1,test!$A$3:$F$32,5,FALSE) - VLOOKUP($B3,test!$A$3:$G$32,6,FALSE) &gt;= (test!$B$33+VLOOKUP(VLOOKUP($B3,test!$A$2:$I$32,4,FALSE),test!$J$10:$P$14,3,FALSE))/1440),1,0)</f>
        <v>0</v>
      </c>
      <c r="R3" s="2">
        <f>IF(AND(VLOOKUP(R$1,test!$A$3:$F$32,5,FALSE) - VLOOKUP($B3,test!$A$3:$G$32,6,FALSE) &gt;= (test!$B$33+VLOOKUP(VLOOKUP($B3,test!$A$2:$I$32,4,FALSE),test!$J$10:$P$14,3,FALSE))/1440),1,0)</f>
        <v>0</v>
      </c>
      <c r="S3" s="2">
        <f>IF(AND(VLOOKUP(S$1,test!$A$3:$F$32,5,FALSE) - VLOOKUP($B3,test!$A$3:$G$32,6,FALSE) &gt;= (test!$B$33+VLOOKUP(VLOOKUP($B3,test!$A$2:$I$32,4,FALSE),test!$J$10:$P$14,3,FALSE))/1440),1,0)</f>
        <v>0</v>
      </c>
      <c r="T3" s="2">
        <f>IF(AND(VLOOKUP(T$1,test!$A$3:$F$32,5,FALSE) - VLOOKUP($B3,test!$A$3:$G$32,6,FALSE) &gt;= (test!$B$33+VLOOKUP(VLOOKUP($B3,test!$A$2:$I$32,4,FALSE),test!$J$10:$P$14,3,FALSE))/1440),1,0)</f>
        <v>0</v>
      </c>
      <c r="U3" s="2">
        <f>IF(AND(VLOOKUP(U$1,test!$A$3:$F$32,5,FALSE) - VLOOKUP($B3,test!$A$3:$G$32,6,FALSE) &gt;= (test!$B$33+VLOOKUP(VLOOKUP($B3,test!$A$2:$I$32,4,FALSE),test!$J$10:$P$14,3,FALSE))/1440),1,0)</f>
        <v>1</v>
      </c>
      <c r="V3" s="2">
        <f>IF(AND(VLOOKUP(V$1,test!$A$3:$F$32,5,FALSE) - VLOOKUP($B3,test!$A$3:$G$32,6,FALSE) &gt;= (test!$B$33+VLOOKUP(VLOOKUP($B3,test!$A$2:$I$32,4,FALSE),test!$J$10:$P$14,3,FALSE))/1440),1,0)</f>
        <v>1</v>
      </c>
      <c r="W3" s="2">
        <f>IF(AND(VLOOKUP(W$1,test!$A$3:$F$32,5,FALSE) - VLOOKUP($B3,test!$A$3:$G$32,6,FALSE) &gt;= (test!$B$33+VLOOKUP(VLOOKUP($B3,test!$A$2:$I$32,4,FALSE),test!$J$10:$P$14,3,FALSE))/1440),1,0)</f>
        <v>1</v>
      </c>
      <c r="X3" s="2">
        <f>IF(AND(VLOOKUP(X$1,test!$A$3:$F$32,5,FALSE) - VLOOKUP($B3,test!$A$3:$G$32,6,FALSE) &gt;= (test!$B$33+VLOOKUP(VLOOKUP($B3,test!$A$2:$I$32,4,FALSE),test!$J$10:$P$14,3,FALSE))/1440),1,0)</f>
        <v>1</v>
      </c>
      <c r="Y3" s="2">
        <f>IF(AND(VLOOKUP(Y$1,test!$A$3:$F$32,5,FALSE) - VLOOKUP($B3,test!$A$3:$G$32,6,FALSE) &gt;= (test!$B$33+VLOOKUP(VLOOKUP($B3,test!$A$2:$I$32,4,FALSE),test!$J$10:$P$14,3,FALSE))/1440),1,0)</f>
        <v>1</v>
      </c>
      <c r="Z3" s="2">
        <f>IF(AND(VLOOKUP(Z$1,test!$A$3:$F$32,5,FALSE) - VLOOKUP($B3,test!$A$3:$G$32,6,FALSE) &gt;= (test!$B$33+VLOOKUP(VLOOKUP($B3,test!$A$2:$I$32,4,FALSE),test!$J$10:$P$14,3,FALSE))/1440),1,0)</f>
        <v>0</v>
      </c>
      <c r="AA3" s="2">
        <f>IF(AND(VLOOKUP(AA$1,test!$A$3:$F$32,5,FALSE) - VLOOKUP($B3,test!$A$3:$G$32,6,FALSE) &gt;= (test!$B$33+VLOOKUP(VLOOKUP($B3,test!$A$2:$I$32,4,FALSE),test!$J$10:$P$14,3,FALSE))/1440),1,0)</f>
        <v>0</v>
      </c>
      <c r="AB3" s="2">
        <f>IF(AND(VLOOKUP(AB$1,test!$A$3:$F$32,5,FALSE) - VLOOKUP($B3,test!$A$3:$G$32,6,FALSE) &gt;= (test!$B$33+VLOOKUP(VLOOKUP($B3,test!$A$2:$I$32,4,FALSE),test!$J$10:$P$14,3,FALSE))/1440),1,0)</f>
        <v>1</v>
      </c>
      <c r="AC3" s="2">
        <f>IF(AND(VLOOKUP(AC$1,test!$A$3:$F$32,5,FALSE) - VLOOKUP($B3,test!$A$3:$G$32,6,FALSE) &gt;= (test!$B$33+VLOOKUP(VLOOKUP($B3,test!$A$2:$I$32,4,FALSE),test!$J$10:$P$14,3,FALSE))/1440),1,0)</f>
        <v>1</v>
      </c>
      <c r="AD3" s="2">
        <f>IF(AND(VLOOKUP(AD$1,test!$A$3:$F$32,5,FALSE) - VLOOKUP($B3,test!$A$3:$G$32,6,FALSE) &gt;= (test!$B$33+VLOOKUP(VLOOKUP($B3,test!$A$2:$I$32,4,FALSE),test!$J$10:$P$14,3,FALSE))/1440),1,0)</f>
        <v>1</v>
      </c>
      <c r="AE3" s="2">
        <f>IF(AND(VLOOKUP(AE$1,test!$A$3:$F$32,5,FALSE) - VLOOKUP($B3,test!$A$3:$G$32,6,FALSE) &gt;= (test!$B$33+VLOOKUP(VLOOKUP($B3,test!$A$2:$I$32,4,FALSE),test!$J$10:$P$14,3,FALSE))/1440),1,0)</f>
        <v>0</v>
      </c>
      <c r="AF3" s="2">
        <f>IF(AND(VLOOKUP(AF$1,test!$A$3:$F$32,5,FALSE) - VLOOKUP($B3,test!$A$3:$G$32,6,FALSE) &gt;= (test!$B$33+VLOOKUP(VLOOKUP($B3,test!$A$2:$I$32,4,FALSE),test!$J$10:$P$14,3,FALSE))/1440),1,0)</f>
        <v>1</v>
      </c>
      <c r="AG3" s="2">
        <f>IF(AND(VLOOKUP(AG$1,test!$A$3:$F$32,5,FALSE) - VLOOKUP($B3,test!$A$3:$G$32,6,FALSE) &gt;= (test!$B$33+VLOOKUP(VLOOKUP($B3,test!$A$2:$I$32,4,FALSE),test!$J$10:$P$14,3,FALSE))/1440),1,0)</f>
        <v>1</v>
      </c>
    </row>
    <row r="4" spans="1:34" x14ac:dyDescent="0.25">
      <c r="A4" t="s">
        <v>48</v>
      </c>
      <c r="B4" t="s">
        <v>9</v>
      </c>
      <c r="C4">
        <v>0</v>
      </c>
      <c r="D4" s="2">
        <f>IF(AND(VLOOKUP(D$1,test!$A$3:$F$32,5,FALSE) - VLOOKUP($B4,test!$A$3:$G$32,6,FALSE) &gt;= (test!$B$33+VLOOKUP(VLOOKUP($B4,test!$A$2:$I$32,4,FALSE),test!$J$10:$P$14,3,FALSE))/1440),1,0)</f>
        <v>0</v>
      </c>
      <c r="E4" s="2">
        <f>IF(AND(VLOOKUP(E$1,test!$A$3:$F$32,5,FALSE) - VLOOKUP($B4,test!$A$3:$G$32,6,FALSE) &gt;= (test!$B$33+VLOOKUP(VLOOKUP($B4,test!$A$2:$I$32,4,FALSE),test!$J$10:$P$14,3,FALSE))/1440),1,0)</f>
        <v>0</v>
      </c>
      <c r="F4" s="2">
        <f>IF(AND(VLOOKUP(F$1,test!$A$3:$F$32,5,FALSE) - VLOOKUP($B4,test!$A$3:$G$32,6,FALSE) &gt;= (test!$B$33+VLOOKUP(VLOOKUP($B4,test!$A$2:$I$32,4,FALSE),test!$J$10:$P$14,3,FALSE))/1440),1,0)</f>
        <v>0</v>
      </c>
      <c r="G4" s="2">
        <f>IF(AND(VLOOKUP(G$1,test!$A$3:$F$32,5,FALSE) - VLOOKUP($B4,test!$A$3:$G$32,6,FALSE) &gt;= (test!$B$33+VLOOKUP(VLOOKUP($B4,test!$A$2:$I$32,4,FALSE),test!$J$10:$P$14,3,FALSE))/1440),1,0)</f>
        <v>0</v>
      </c>
      <c r="H4" s="2">
        <f>IF(AND(VLOOKUP(H$1,test!$A$3:$F$32,5,FALSE) - VLOOKUP($B4,test!$A$3:$G$32,6,FALSE) &gt;= (test!$B$33+VLOOKUP(VLOOKUP($B4,test!$A$2:$I$32,4,FALSE),test!$J$10:$P$14,3,FALSE))/1440),1,0)</f>
        <v>1</v>
      </c>
      <c r="I4" s="2">
        <f>IF(AND(VLOOKUP(I$1,test!$A$3:$F$32,5,FALSE) - VLOOKUP($B4,test!$A$3:$G$32,6,FALSE) &gt;= (test!$B$33+VLOOKUP(VLOOKUP($B4,test!$A$2:$I$32,4,FALSE),test!$J$10:$P$14,3,FALSE))/1440),1,0)</f>
        <v>1</v>
      </c>
      <c r="J4" s="2">
        <f>IF(AND(VLOOKUP(J$1,test!$A$3:$F$32,5,FALSE) - VLOOKUP($B4,test!$A$3:$G$32,6,FALSE) &gt;= (test!$B$33+VLOOKUP(VLOOKUP($B4,test!$A$2:$I$32,4,FALSE),test!$J$10:$P$14,3,FALSE))/1440),1,0)</f>
        <v>1</v>
      </c>
      <c r="K4" s="2">
        <f>IF(AND(VLOOKUP(K$1,test!$A$3:$F$32,5,FALSE) - VLOOKUP($B4,test!$A$3:$G$32,6,FALSE) &gt;= (test!$B$33+VLOOKUP(VLOOKUP($B4,test!$A$2:$I$32,4,FALSE),test!$J$10:$P$14,3,FALSE))/1440),1,0)</f>
        <v>1</v>
      </c>
      <c r="L4" s="2">
        <f>IF(AND(VLOOKUP(L$1,test!$A$3:$F$32,5,FALSE) - VLOOKUP($B4,test!$A$3:$G$32,6,FALSE) &gt;= (test!$B$33+VLOOKUP(VLOOKUP($B4,test!$A$2:$I$32,4,FALSE),test!$J$10:$P$14,3,FALSE))/1440),1,0)</f>
        <v>0</v>
      </c>
      <c r="M4" s="2">
        <f>IF(AND(VLOOKUP(M$1,test!$A$3:$F$32,5,FALSE) - VLOOKUP($B4,test!$A$3:$G$32,6,FALSE) &gt;= (test!$B$33+VLOOKUP(VLOOKUP($B4,test!$A$2:$I$32,4,FALSE),test!$J$10:$P$14,3,FALSE))/1440),1,0)</f>
        <v>0</v>
      </c>
      <c r="N4" s="2">
        <f>IF(AND(VLOOKUP(N$1,test!$A$3:$F$32,5,FALSE) - VLOOKUP($B4,test!$A$3:$G$32,6,FALSE) &gt;= (test!$B$33+VLOOKUP(VLOOKUP($B4,test!$A$2:$I$32,4,FALSE),test!$J$10:$P$14,3,FALSE))/1440),1,0)</f>
        <v>0</v>
      </c>
      <c r="O4" s="2">
        <f>IF(AND(VLOOKUP(O$1,test!$A$3:$F$32,5,FALSE) - VLOOKUP($B4,test!$A$3:$G$32,6,FALSE) &gt;= (test!$B$33+VLOOKUP(VLOOKUP($B4,test!$A$2:$I$32,4,FALSE),test!$J$10:$P$14,3,FALSE))/1440),1,0)</f>
        <v>1</v>
      </c>
      <c r="P4" s="2">
        <f>IF(AND(VLOOKUP(P$1,test!$A$3:$F$32,5,FALSE) - VLOOKUP($B4,test!$A$3:$G$32,6,FALSE) &gt;= (test!$B$33+VLOOKUP(VLOOKUP($B4,test!$A$2:$I$32,4,FALSE),test!$J$10:$P$14,3,FALSE))/1440),1,0)</f>
        <v>1</v>
      </c>
      <c r="Q4" s="2">
        <f>IF(AND(VLOOKUP(Q$1,test!$A$3:$F$32,5,FALSE) - VLOOKUP($B4,test!$A$3:$G$32,6,FALSE) &gt;= (test!$B$33+VLOOKUP(VLOOKUP($B4,test!$A$2:$I$32,4,FALSE),test!$J$10:$P$14,3,FALSE))/1440),1,0)</f>
        <v>0</v>
      </c>
      <c r="R4" s="2">
        <f>IF(AND(VLOOKUP(R$1,test!$A$3:$F$32,5,FALSE) - VLOOKUP($B4,test!$A$3:$G$32,6,FALSE) &gt;= (test!$B$33+VLOOKUP(VLOOKUP($B4,test!$A$2:$I$32,4,FALSE),test!$J$10:$P$14,3,FALSE))/1440),1,0)</f>
        <v>0</v>
      </c>
      <c r="S4" s="2">
        <f>IF(AND(VLOOKUP(S$1,test!$A$3:$F$32,5,FALSE) - VLOOKUP($B4,test!$A$3:$G$32,6,FALSE) &gt;= (test!$B$33+VLOOKUP(VLOOKUP($B4,test!$A$2:$I$32,4,FALSE),test!$J$10:$P$14,3,FALSE))/1440),1,0)</f>
        <v>0</v>
      </c>
      <c r="T4" s="2">
        <f>IF(AND(VLOOKUP(T$1,test!$A$3:$F$32,5,FALSE) - VLOOKUP($B4,test!$A$3:$G$32,6,FALSE) &gt;= (test!$B$33+VLOOKUP(VLOOKUP($B4,test!$A$2:$I$32,4,FALSE),test!$J$10:$P$14,3,FALSE))/1440),1,0)</f>
        <v>0</v>
      </c>
      <c r="U4" s="2">
        <f>IF(AND(VLOOKUP(U$1,test!$A$3:$F$32,5,FALSE) - VLOOKUP($B4,test!$A$3:$G$32,6,FALSE) &gt;= (test!$B$33+VLOOKUP(VLOOKUP($B4,test!$A$2:$I$32,4,FALSE),test!$J$10:$P$14,3,FALSE))/1440),1,0)</f>
        <v>0</v>
      </c>
      <c r="V4" s="2">
        <f>IF(AND(VLOOKUP(V$1,test!$A$3:$F$32,5,FALSE) - VLOOKUP($B4,test!$A$3:$G$32,6,FALSE) &gt;= (test!$B$33+VLOOKUP(VLOOKUP($B4,test!$A$2:$I$32,4,FALSE),test!$J$10:$P$14,3,FALSE))/1440),1,0)</f>
        <v>0</v>
      </c>
      <c r="W4" s="2">
        <f>IF(AND(VLOOKUP(W$1,test!$A$3:$F$32,5,FALSE) - VLOOKUP($B4,test!$A$3:$G$32,6,FALSE) &gt;= (test!$B$33+VLOOKUP(VLOOKUP($B4,test!$A$2:$I$32,4,FALSE),test!$J$10:$P$14,3,FALSE))/1440),1,0)</f>
        <v>1</v>
      </c>
      <c r="X4" s="2">
        <f>IF(AND(VLOOKUP(X$1,test!$A$3:$F$32,5,FALSE) - VLOOKUP($B4,test!$A$3:$G$32,6,FALSE) &gt;= (test!$B$33+VLOOKUP(VLOOKUP($B4,test!$A$2:$I$32,4,FALSE),test!$J$10:$P$14,3,FALSE))/1440),1,0)</f>
        <v>1</v>
      </c>
      <c r="Y4" s="2">
        <f>IF(AND(VLOOKUP(Y$1,test!$A$3:$F$32,5,FALSE) - VLOOKUP($B4,test!$A$3:$G$32,6,FALSE) &gt;= (test!$B$33+VLOOKUP(VLOOKUP($B4,test!$A$2:$I$32,4,FALSE),test!$J$10:$P$14,3,FALSE))/1440),1,0)</f>
        <v>1</v>
      </c>
      <c r="Z4" s="2">
        <f>IF(AND(VLOOKUP(Z$1,test!$A$3:$F$32,5,FALSE) - VLOOKUP($B4,test!$A$3:$G$32,6,FALSE) &gt;= (test!$B$33+VLOOKUP(VLOOKUP($B4,test!$A$2:$I$32,4,FALSE),test!$J$10:$P$14,3,FALSE))/1440),1,0)</f>
        <v>0</v>
      </c>
      <c r="AA4" s="2">
        <f>IF(AND(VLOOKUP(AA$1,test!$A$3:$F$32,5,FALSE) - VLOOKUP($B4,test!$A$3:$G$32,6,FALSE) &gt;= (test!$B$33+VLOOKUP(VLOOKUP($B4,test!$A$2:$I$32,4,FALSE),test!$J$10:$P$14,3,FALSE))/1440),1,0)</f>
        <v>0</v>
      </c>
      <c r="AB4" s="2">
        <f>IF(AND(VLOOKUP(AB$1,test!$A$3:$F$32,5,FALSE) - VLOOKUP($B4,test!$A$3:$G$32,6,FALSE) &gt;= (test!$B$33+VLOOKUP(VLOOKUP($B4,test!$A$2:$I$32,4,FALSE),test!$J$10:$P$14,3,FALSE))/1440),1,0)</f>
        <v>0</v>
      </c>
      <c r="AC4" s="2">
        <f>IF(AND(VLOOKUP(AC$1,test!$A$3:$F$32,5,FALSE) - VLOOKUP($B4,test!$A$3:$G$32,6,FALSE) &gt;= (test!$B$33+VLOOKUP(VLOOKUP($B4,test!$A$2:$I$32,4,FALSE),test!$J$10:$P$14,3,FALSE))/1440),1,0)</f>
        <v>0</v>
      </c>
      <c r="AD4" s="2">
        <f>IF(AND(VLOOKUP(AD$1,test!$A$3:$F$32,5,FALSE) - VLOOKUP($B4,test!$A$3:$G$32,6,FALSE) &gt;= (test!$B$33+VLOOKUP(VLOOKUP($B4,test!$A$2:$I$32,4,FALSE),test!$J$10:$P$14,3,FALSE))/1440),1,0)</f>
        <v>1</v>
      </c>
      <c r="AE4" s="2">
        <f>IF(AND(VLOOKUP(AE$1,test!$A$3:$F$32,5,FALSE) - VLOOKUP($B4,test!$A$3:$G$32,6,FALSE) &gt;= (test!$B$33+VLOOKUP(VLOOKUP($B4,test!$A$2:$I$32,4,FALSE),test!$J$10:$P$14,3,FALSE))/1440),1,0)</f>
        <v>0</v>
      </c>
      <c r="AF4" s="2">
        <f>IF(AND(VLOOKUP(AF$1,test!$A$3:$F$32,5,FALSE) - VLOOKUP($B4,test!$A$3:$G$32,6,FALSE) &gt;= (test!$B$33+VLOOKUP(VLOOKUP($B4,test!$A$2:$I$32,4,FALSE),test!$J$10:$P$14,3,FALSE))/1440),1,0)</f>
        <v>0</v>
      </c>
      <c r="AG4" s="2">
        <f>IF(AND(VLOOKUP(AG$1,test!$A$3:$F$32,5,FALSE) - VLOOKUP($B4,test!$A$3:$G$32,6,FALSE) &gt;= (test!$B$33+VLOOKUP(VLOOKUP($B4,test!$A$2:$I$32,4,FALSE),test!$J$10:$P$14,3,FALSE))/1440),1,0)</f>
        <v>0</v>
      </c>
    </row>
    <row r="5" spans="1:34" x14ac:dyDescent="0.25">
      <c r="A5" t="s">
        <v>48</v>
      </c>
      <c r="B5" t="s">
        <v>10</v>
      </c>
      <c r="C5">
        <v>0</v>
      </c>
      <c r="D5" s="2">
        <f>IF(AND(VLOOKUP(D$1,test!$A$3:$F$32,5,FALSE) - VLOOKUP($B5,test!$A$3:$G$32,6,FALSE) &gt;= (test!$B$33+VLOOKUP(VLOOKUP($B5,test!$A$2:$I$32,4,FALSE),test!$J$10:$P$14,3,FALSE))/1440),1,0)</f>
        <v>0</v>
      </c>
      <c r="E5" s="2">
        <f>IF(AND(VLOOKUP(E$1,test!$A$3:$F$32,5,FALSE) - VLOOKUP($B5,test!$A$3:$G$32,6,FALSE) &gt;= (test!$B$33+VLOOKUP(VLOOKUP($B5,test!$A$2:$I$32,4,FALSE),test!$J$10:$P$14,3,FALSE))/1440),1,0)</f>
        <v>0</v>
      </c>
      <c r="F5" s="2">
        <f>IF(AND(VLOOKUP(F$1,test!$A$3:$F$32,5,FALSE) - VLOOKUP($B5,test!$A$3:$G$32,6,FALSE) &gt;= (test!$B$33+VLOOKUP(VLOOKUP($B5,test!$A$2:$I$32,4,FALSE),test!$J$10:$P$14,3,FALSE))/1440),1,0)</f>
        <v>0</v>
      </c>
      <c r="G5" s="2">
        <f>IF(AND(VLOOKUP(G$1,test!$A$3:$F$32,5,FALSE) - VLOOKUP($B5,test!$A$3:$G$32,6,FALSE) &gt;= (test!$B$33+VLOOKUP(VLOOKUP($B5,test!$A$2:$I$32,4,FALSE),test!$J$10:$P$14,3,FALSE))/1440),1,0)</f>
        <v>0</v>
      </c>
      <c r="H5" s="2">
        <f>IF(AND(VLOOKUP(H$1,test!$A$3:$F$32,5,FALSE) - VLOOKUP($B5,test!$A$3:$G$32,6,FALSE) &gt;= (test!$B$33+VLOOKUP(VLOOKUP($B5,test!$A$2:$I$32,4,FALSE),test!$J$10:$P$14,3,FALSE))/1440),1,0)</f>
        <v>0</v>
      </c>
      <c r="I5" s="2">
        <f>IF(AND(VLOOKUP(I$1,test!$A$3:$F$32,5,FALSE) - VLOOKUP($B5,test!$A$3:$G$32,6,FALSE) &gt;= (test!$B$33+VLOOKUP(VLOOKUP($B5,test!$A$2:$I$32,4,FALSE),test!$J$10:$P$14,3,FALSE))/1440),1,0)</f>
        <v>0</v>
      </c>
      <c r="J5" s="2">
        <f>IF(AND(VLOOKUP(J$1,test!$A$3:$F$32,5,FALSE) - VLOOKUP($B5,test!$A$3:$G$32,6,FALSE) &gt;= (test!$B$33+VLOOKUP(VLOOKUP($B5,test!$A$2:$I$32,4,FALSE),test!$J$10:$P$14,3,FALSE))/1440),1,0)</f>
        <v>1</v>
      </c>
      <c r="K5" s="2">
        <f>IF(AND(VLOOKUP(K$1,test!$A$3:$F$32,5,FALSE) - VLOOKUP($B5,test!$A$3:$G$32,6,FALSE) &gt;= (test!$B$33+VLOOKUP(VLOOKUP($B5,test!$A$2:$I$32,4,FALSE),test!$J$10:$P$14,3,FALSE))/1440),1,0)</f>
        <v>1</v>
      </c>
      <c r="L5" s="2">
        <f>IF(AND(VLOOKUP(L$1,test!$A$3:$F$32,5,FALSE) - VLOOKUP($B5,test!$A$3:$G$32,6,FALSE) &gt;= (test!$B$33+VLOOKUP(VLOOKUP($B5,test!$A$2:$I$32,4,FALSE),test!$J$10:$P$14,3,FALSE))/1440),1,0)</f>
        <v>0</v>
      </c>
      <c r="M5" s="2">
        <f>IF(AND(VLOOKUP(M$1,test!$A$3:$F$32,5,FALSE) - VLOOKUP($B5,test!$A$3:$G$32,6,FALSE) &gt;= (test!$B$33+VLOOKUP(VLOOKUP($B5,test!$A$2:$I$32,4,FALSE),test!$J$10:$P$14,3,FALSE))/1440),1,0)</f>
        <v>0</v>
      </c>
      <c r="N5" s="2">
        <f>IF(AND(VLOOKUP(N$1,test!$A$3:$F$32,5,FALSE) - VLOOKUP($B5,test!$A$3:$G$32,6,FALSE) &gt;= (test!$B$33+VLOOKUP(VLOOKUP($B5,test!$A$2:$I$32,4,FALSE),test!$J$10:$P$14,3,FALSE))/1440),1,0)</f>
        <v>0</v>
      </c>
      <c r="O5" s="2">
        <f>IF(AND(VLOOKUP(O$1,test!$A$3:$F$32,5,FALSE) - VLOOKUP($B5,test!$A$3:$G$32,6,FALSE) &gt;= (test!$B$33+VLOOKUP(VLOOKUP($B5,test!$A$2:$I$32,4,FALSE),test!$J$10:$P$14,3,FALSE))/1440),1,0)</f>
        <v>1</v>
      </c>
      <c r="P5" s="2">
        <f>IF(AND(VLOOKUP(P$1,test!$A$3:$F$32,5,FALSE) - VLOOKUP($B5,test!$A$3:$G$32,6,FALSE) &gt;= (test!$B$33+VLOOKUP(VLOOKUP($B5,test!$A$2:$I$32,4,FALSE),test!$J$10:$P$14,3,FALSE))/1440),1,0)</f>
        <v>1</v>
      </c>
      <c r="Q5" s="2">
        <f>IF(AND(VLOOKUP(Q$1,test!$A$3:$F$32,5,FALSE) - VLOOKUP($B5,test!$A$3:$G$32,6,FALSE) &gt;= (test!$B$33+VLOOKUP(VLOOKUP($B5,test!$A$2:$I$32,4,FALSE),test!$J$10:$P$14,3,FALSE))/1440),1,0)</f>
        <v>0</v>
      </c>
      <c r="R5" s="2">
        <f>IF(AND(VLOOKUP(R$1,test!$A$3:$F$32,5,FALSE) - VLOOKUP($B5,test!$A$3:$G$32,6,FALSE) &gt;= (test!$B$33+VLOOKUP(VLOOKUP($B5,test!$A$2:$I$32,4,FALSE),test!$J$10:$P$14,3,FALSE))/1440),1,0)</f>
        <v>0</v>
      </c>
      <c r="S5" s="2">
        <f>IF(AND(VLOOKUP(S$1,test!$A$3:$F$32,5,FALSE) - VLOOKUP($B5,test!$A$3:$G$32,6,FALSE) &gt;= (test!$B$33+VLOOKUP(VLOOKUP($B5,test!$A$2:$I$32,4,FALSE),test!$J$10:$P$14,3,FALSE))/1440),1,0)</f>
        <v>0</v>
      </c>
      <c r="T5" s="2">
        <f>IF(AND(VLOOKUP(T$1,test!$A$3:$F$32,5,FALSE) - VLOOKUP($B5,test!$A$3:$G$32,6,FALSE) &gt;= (test!$B$33+VLOOKUP(VLOOKUP($B5,test!$A$2:$I$32,4,FALSE),test!$J$10:$P$14,3,FALSE))/1440),1,0)</f>
        <v>0</v>
      </c>
      <c r="U5" s="2">
        <f>IF(AND(VLOOKUP(U$1,test!$A$3:$F$32,5,FALSE) - VLOOKUP($B5,test!$A$3:$G$32,6,FALSE) &gt;= (test!$B$33+VLOOKUP(VLOOKUP($B5,test!$A$2:$I$32,4,FALSE),test!$J$10:$P$14,3,FALSE))/1440),1,0)</f>
        <v>0</v>
      </c>
      <c r="V5" s="2">
        <f>IF(AND(VLOOKUP(V$1,test!$A$3:$F$32,5,FALSE) - VLOOKUP($B5,test!$A$3:$G$32,6,FALSE) &gt;= (test!$B$33+VLOOKUP(VLOOKUP($B5,test!$A$2:$I$32,4,FALSE),test!$J$10:$P$14,3,FALSE))/1440),1,0)</f>
        <v>0</v>
      </c>
      <c r="W5" s="2">
        <f>IF(AND(VLOOKUP(W$1,test!$A$3:$F$32,5,FALSE) - VLOOKUP($B5,test!$A$3:$G$32,6,FALSE) &gt;= (test!$B$33+VLOOKUP(VLOOKUP($B5,test!$A$2:$I$32,4,FALSE),test!$J$10:$P$14,3,FALSE))/1440),1,0)</f>
        <v>0</v>
      </c>
      <c r="X5" s="2">
        <f>IF(AND(VLOOKUP(X$1,test!$A$3:$F$32,5,FALSE) - VLOOKUP($B5,test!$A$3:$G$32,6,FALSE) &gt;= (test!$B$33+VLOOKUP(VLOOKUP($B5,test!$A$2:$I$32,4,FALSE),test!$J$10:$P$14,3,FALSE))/1440),1,0)</f>
        <v>1</v>
      </c>
      <c r="Y5" s="2">
        <f>IF(AND(VLOOKUP(Y$1,test!$A$3:$F$32,5,FALSE) - VLOOKUP($B5,test!$A$3:$G$32,6,FALSE) &gt;= (test!$B$33+VLOOKUP(VLOOKUP($B5,test!$A$2:$I$32,4,FALSE),test!$J$10:$P$14,3,FALSE))/1440),1,0)</f>
        <v>1</v>
      </c>
      <c r="Z5" s="2">
        <f>IF(AND(VLOOKUP(Z$1,test!$A$3:$F$32,5,FALSE) - VLOOKUP($B5,test!$A$3:$G$32,6,FALSE) &gt;= (test!$B$33+VLOOKUP(VLOOKUP($B5,test!$A$2:$I$32,4,FALSE),test!$J$10:$P$14,3,FALSE))/1440),1,0)</f>
        <v>0</v>
      </c>
      <c r="AA5" s="2">
        <f>IF(AND(VLOOKUP(AA$1,test!$A$3:$F$32,5,FALSE) - VLOOKUP($B5,test!$A$3:$G$32,6,FALSE) &gt;= (test!$B$33+VLOOKUP(VLOOKUP($B5,test!$A$2:$I$32,4,FALSE),test!$J$10:$P$14,3,FALSE))/1440),1,0)</f>
        <v>0</v>
      </c>
      <c r="AB5" s="2">
        <f>IF(AND(VLOOKUP(AB$1,test!$A$3:$F$32,5,FALSE) - VLOOKUP($B5,test!$A$3:$G$32,6,FALSE) &gt;= (test!$B$33+VLOOKUP(VLOOKUP($B5,test!$A$2:$I$32,4,FALSE),test!$J$10:$P$14,3,FALSE))/1440),1,0)</f>
        <v>0</v>
      </c>
      <c r="AC5" s="2">
        <f>IF(AND(VLOOKUP(AC$1,test!$A$3:$F$32,5,FALSE) - VLOOKUP($B5,test!$A$3:$G$32,6,FALSE) &gt;= (test!$B$33+VLOOKUP(VLOOKUP($B5,test!$A$2:$I$32,4,FALSE),test!$J$10:$P$14,3,FALSE))/1440),1,0)</f>
        <v>0</v>
      </c>
      <c r="AD5" s="2">
        <f>IF(AND(VLOOKUP(AD$1,test!$A$3:$F$32,5,FALSE) - VLOOKUP($B5,test!$A$3:$G$32,6,FALSE) &gt;= (test!$B$33+VLOOKUP(VLOOKUP($B5,test!$A$2:$I$32,4,FALSE),test!$J$10:$P$14,3,FALSE))/1440),1,0)</f>
        <v>0</v>
      </c>
      <c r="AE5" s="2">
        <f>IF(AND(VLOOKUP(AE$1,test!$A$3:$F$32,5,FALSE) - VLOOKUP($B5,test!$A$3:$G$32,6,FALSE) &gt;= (test!$B$33+VLOOKUP(VLOOKUP($B5,test!$A$2:$I$32,4,FALSE),test!$J$10:$P$14,3,FALSE))/1440),1,0)</f>
        <v>0</v>
      </c>
      <c r="AF5" s="2">
        <f>IF(AND(VLOOKUP(AF$1,test!$A$3:$F$32,5,FALSE) - VLOOKUP($B5,test!$A$3:$G$32,6,FALSE) &gt;= (test!$B$33+VLOOKUP(VLOOKUP($B5,test!$A$2:$I$32,4,FALSE),test!$J$10:$P$14,3,FALSE))/1440),1,0)</f>
        <v>0</v>
      </c>
      <c r="AG5" s="2">
        <f>IF(AND(VLOOKUP(AG$1,test!$A$3:$F$32,5,FALSE) - VLOOKUP($B5,test!$A$3:$G$32,6,FALSE) &gt;= (test!$B$33+VLOOKUP(VLOOKUP($B5,test!$A$2:$I$32,4,FALSE),test!$J$10:$P$14,3,FALSE))/1440),1,0)</f>
        <v>0</v>
      </c>
    </row>
    <row r="6" spans="1:34" x14ac:dyDescent="0.25">
      <c r="A6" t="s">
        <v>48</v>
      </c>
      <c r="B6" t="s">
        <v>11</v>
      </c>
      <c r="C6">
        <v>0</v>
      </c>
      <c r="D6" s="2">
        <f>IF(AND(VLOOKUP(D$1,test!$A$3:$F$32,5,FALSE) - VLOOKUP($B6,test!$A$3:$G$32,6,FALSE) &gt;= (test!$B$33+VLOOKUP(VLOOKUP($B6,test!$A$2:$I$32,4,FALSE),test!$J$10:$P$14,3,FALSE))/1440),1,0)</f>
        <v>0</v>
      </c>
      <c r="E6" s="2">
        <f>IF(AND(VLOOKUP(E$1,test!$A$3:$F$32,5,FALSE) - VLOOKUP($B6,test!$A$3:$G$32,6,FALSE) &gt;= (test!$B$33+VLOOKUP(VLOOKUP($B6,test!$A$2:$I$32,4,FALSE),test!$J$10:$P$14,3,FALSE))/1440),1,0)</f>
        <v>0</v>
      </c>
      <c r="F6" s="2">
        <f>IF(AND(VLOOKUP(F$1,test!$A$3:$F$32,5,FALSE) - VLOOKUP($B6,test!$A$3:$G$32,6,FALSE) &gt;= (test!$B$33+VLOOKUP(VLOOKUP($B6,test!$A$2:$I$32,4,FALSE),test!$J$10:$P$14,3,FALSE))/1440),1,0)</f>
        <v>0</v>
      </c>
      <c r="G6" s="2">
        <f>IF(AND(VLOOKUP(G$1,test!$A$3:$F$32,5,FALSE) - VLOOKUP($B6,test!$A$3:$G$32,6,FALSE) &gt;= (test!$B$33+VLOOKUP(VLOOKUP($B6,test!$A$2:$I$32,4,FALSE),test!$J$10:$P$14,3,FALSE))/1440),1,0)</f>
        <v>0</v>
      </c>
      <c r="H6" s="2">
        <f>IF(AND(VLOOKUP(H$1,test!$A$3:$F$32,5,FALSE) - VLOOKUP($B6,test!$A$3:$G$32,6,FALSE) &gt;= (test!$B$33+VLOOKUP(VLOOKUP($B6,test!$A$2:$I$32,4,FALSE),test!$J$10:$P$14,3,FALSE))/1440),1,0)</f>
        <v>0</v>
      </c>
      <c r="I6" s="2">
        <f>IF(AND(VLOOKUP(I$1,test!$A$3:$F$32,5,FALSE) - VLOOKUP($B6,test!$A$3:$G$32,6,FALSE) &gt;= (test!$B$33+VLOOKUP(VLOOKUP($B6,test!$A$2:$I$32,4,FALSE),test!$J$10:$P$14,3,FALSE))/1440),1,0)</f>
        <v>0</v>
      </c>
      <c r="J6" s="2">
        <f>IF(AND(VLOOKUP(J$1,test!$A$3:$F$32,5,FALSE) - VLOOKUP($B6,test!$A$3:$G$32,6,FALSE) &gt;= (test!$B$33+VLOOKUP(VLOOKUP($B6,test!$A$2:$I$32,4,FALSE),test!$J$10:$P$14,3,FALSE))/1440),1,0)</f>
        <v>0</v>
      </c>
      <c r="K6" s="2">
        <f>IF(AND(VLOOKUP(K$1,test!$A$3:$F$32,5,FALSE) - VLOOKUP($B6,test!$A$3:$G$32,6,FALSE) &gt;= (test!$B$33+VLOOKUP(VLOOKUP($B6,test!$A$2:$I$32,4,FALSE),test!$J$10:$P$14,3,FALSE))/1440),1,0)</f>
        <v>1</v>
      </c>
      <c r="L6" s="2">
        <f>IF(AND(VLOOKUP(L$1,test!$A$3:$F$32,5,FALSE) - VLOOKUP($B6,test!$A$3:$G$32,6,FALSE) &gt;= (test!$B$33+VLOOKUP(VLOOKUP($B6,test!$A$2:$I$32,4,FALSE),test!$J$10:$P$14,3,FALSE))/1440),1,0)</f>
        <v>0</v>
      </c>
      <c r="M6" s="2">
        <f>IF(AND(VLOOKUP(M$1,test!$A$3:$F$32,5,FALSE) - VLOOKUP($B6,test!$A$3:$G$32,6,FALSE) &gt;= (test!$B$33+VLOOKUP(VLOOKUP($B6,test!$A$2:$I$32,4,FALSE),test!$J$10:$P$14,3,FALSE))/1440),1,0)</f>
        <v>0</v>
      </c>
      <c r="N6" s="2">
        <f>IF(AND(VLOOKUP(N$1,test!$A$3:$F$32,5,FALSE) - VLOOKUP($B6,test!$A$3:$G$32,6,FALSE) &gt;= (test!$B$33+VLOOKUP(VLOOKUP($B6,test!$A$2:$I$32,4,FALSE),test!$J$10:$P$14,3,FALSE))/1440),1,0)</f>
        <v>0</v>
      </c>
      <c r="O6" s="2">
        <f>IF(AND(VLOOKUP(O$1,test!$A$3:$F$32,5,FALSE) - VLOOKUP($B6,test!$A$3:$G$32,6,FALSE) &gt;= (test!$B$33+VLOOKUP(VLOOKUP($B6,test!$A$2:$I$32,4,FALSE),test!$J$10:$P$14,3,FALSE))/1440),1,0)</f>
        <v>1</v>
      </c>
      <c r="P6" s="2">
        <f>IF(AND(VLOOKUP(P$1,test!$A$3:$F$32,5,FALSE) - VLOOKUP($B6,test!$A$3:$G$32,6,FALSE) &gt;= (test!$B$33+VLOOKUP(VLOOKUP($B6,test!$A$2:$I$32,4,FALSE),test!$J$10:$P$14,3,FALSE))/1440),1,0)</f>
        <v>1</v>
      </c>
      <c r="Q6" s="2">
        <f>IF(AND(VLOOKUP(Q$1,test!$A$3:$F$32,5,FALSE) - VLOOKUP($B6,test!$A$3:$G$32,6,FALSE) &gt;= (test!$B$33+VLOOKUP(VLOOKUP($B6,test!$A$2:$I$32,4,FALSE),test!$J$10:$P$14,3,FALSE))/1440),1,0)</f>
        <v>0</v>
      </c>
      <c r="R6" s="2">
        <f>IF(AND(VLOOKUP(R$1,test!$A$3:$F$32,5,FALSE) - VLOOKUP($B6,test!$A$3:$G$32,6,FALSE) &gt;= (test!$B$33+VLOOKUP(VLOOKUP($B6,test!$A$2:$I$32,4,FALSE),test!$J$10:$P$14,3,FALSE))/1440),1,0)</f>
        <v>0</v>
      </c>
      <c r="S6" s="2">
        <f>IF(AND(VLOOKUP(S$1,test!$A$3:$F$32,5,FALSE) - VLOOKUP($B6,test!$A$3:$G$32,6,FALSE) &gt;= (test!$B$33+VLOOKUP(VLOOKUP($B6,test!$A$2:$I$32,4,FALSE),test!$J$10:$P$14,3,FALSE))/1440),1,0)</f>
        <v>0</v>
      </c>
      <c r="T6" s="2">
        <f>IF(AND(VLOOKUP(T$1,test!$A$3:$F$32,5,FALSE) - VLOOKUP($B6,test!$A$3:$G$32,6,FALSE) &gt;= (test!$B$33+VLOOKUP(VLOOKUP($B6,test!$A$2:$I$32,4,FALSE),test!$J$10:$P$14,3,FALSE))/1440),1,0)</f>
        <v>0</v>
      </c>
      <c r="U6" s="2">
        <f>IF(AND(VLOOKUP(U$1,test!$A$3:$F$32,5,FALSE) - VLOOKUP($B6,test!$A$3:$G$32,6,FALSE) &gt;= (test!$B$33+VLOOKUP(VLOOKUP($B6,test!$A$2:$I$32,4,FALSE),test!$J$10:$P$14,3,FALSE))/1440),1,0)</f>
        <v>0</v>
      </c>
      <c r="V6" s="2">
        <f>IF(AND(VLOOKUP(V$1,test!$A$3:$F$32,5,FALSE) - VLOOKUP($B6,test!$A$3:$G$32,6,FALSE) &gt;= (test!$B$33+VLOOKUP(VLOOKUP($B6,test!$A$2:$I$32,4,FALSE),test!$J$10:$P$14,3,FALSE))/1440),1,0)</f>
        <v>0</v>
      </c>
      <c r="W6" s="2">
        <f>IF(AND(VLOOKUP(W$1,test!$A$3:$F$32,5,FALSE) - VLOOKUP($B6,test!$A$3:$G$32,6,FALSE) &gt;= (test!$B$33+VLOOKUP(VLOOKUP($B6,test!$A$2:$I$32,4,FALSE),test!$J$10:$P$14,3,FALSE))/1440),1,0)</f>
        <v>0</v>
      </c>
      <c r="X6" s="2">
        <f>IF(AND(VLOOKUP(X$1,test!$A$3:$F$32,5,FALSE) - VLOOKUP($B6,test!$A$3:$G$32,6,FALSE) &gt;= (test!$B$33+VLOOKUP(VLOOKUP($B6,test!$A$2:$I$32,4,FALSE),test!$J$10:$P$14,3,FALSE))/1440),1,0)</f>
        <v>0</v>
      </c>
      <c r="Y6" s="2">
        <f>IF(AND(VLOOKUP(Y$1,test!$A$3:$F$32,5,FALSE) - VLOOKUP($B6,test!$A$3:$G$32,6,FALSE) &gt;= (test!$B$33+VLOOKUP(VLOOKUP($B6,test!$A$2:$I$32,4,FALSE),test!$J$10:$P$14,3,FALSE))/1440),1,0)</f>
        <v>1</v>
      </c>
      <c r="Z6" s="2">
        <f>IF(AND(VLOOKUP(Z$1,test!$A$3:$F$32,5,FALSE) - VLOOKUP($B6,test!$A$3:$G$32,6,FALSE) &gt;= (test!$B$33+VLOOKUP(VLOOKUP($B6,test!$A$2:$I$32,4,FALSE),test!$J$10:$P$14,3,FALSE))/1440),1,0)</f>
        <v>0</v>
      </c>
      <c r="AA6" s="2">
        <f>IF(AND(VLOOKUP(AA$1,test!$A$3:$F$32,5,FALSE) - VLOOKUP($B6,test!$A$3:$G$32,6,FALSE) &gt;= (test!$B$33+VLOOKUP(VLOOKUP($B6,test!$A$2:$I$32,4,FALSE),test!$J$10:$P$14,3,FALSE))/1440),1,0)</f>
        <v>0</v>
      </c>
      <c r="AB6" s="2">
        <f>IF(AND(VLOOKUP(AB$1,test!$A$3:$F$32,5,FALSE) - VLOOKUP($B6,test!$A$3:$G$32,6,FALSE) &gt;= (test!$B$33+VLOOKUP(VLOOKUP($B6,test!$A$2:$I$32,4,FALSE),test!$J$10:$P$14,3,FALSE))/1440),1,0)</f>
        <v>0</v>
      </c>
      <c r="AC6" s="2">
        <f>IF(AND(VLOOKUP(AC$1,test!$A$3:$F$32,5,FALSE) - VLOOKUP($B6,test!$A$3:$G$32,6,FALSE) &gt;= (test!$B$33+VLOOKUP(VLOOKUP($B6,test!$A$2:$I$32,4,FALSE),test!$J$10:$P$14,3,FALSE))/1440),1,0)</f>
        <v>0</v>
      </c>
      <c r="AD6" s="2">
        <f>IF(AND(VLOOKUP(AD$1,test!$A$3:$F$32,5,FALSE) - VLOOKUP($B6,test!$A$3:$G$32,6,FALSE) &gt;= (test!$B$33+VLOOKUP(VLOOKUP($B6,test!$A$2:$I$32,4,FALSE),test!$J$10:$P$14,3,FALSE))/1440),1,0)</f>
        <v>0</v>
      </c>
      <c r="AE6" s="2">
        <f>IF(AND(VLOOKUP(AE$1,test!$A$3:$F$32,5,FALSE) - VLOOKUP($B6,test!$A$3:$G$32,6,FALSE) &gt;= (test!$B$33+VLOOKUP(VLOOKUP($B6,test!$A$2:$I$32,4,FALSE),test!$J$10:$P$14,3,FALSE))/1440),1,0)</f>
        <v>0</v>
      </c>
      <c r="AF6" s="2">
        <f>IF(AND(VLOOKUP(AF$1,test!$A$3:$F$32,5,FALSE) - VLOOKUP($B6,test!$A$3:$G$32,6,FALSE) &gt;= (test!$B$33+VLOOKUP(VLOOKUP($B6,test!$A$2:$I$32,4,FALSE),test!$J$10:$P$14,3,FALSE))/1440),1,0)</f>
        <v>0</v>
      </c>
      <c r="AG6" s="2">
        <f>IF(AND(VLOOKUP(AG$1,test!$A$3:$F$32,5,FALSE) - VLOOKUP($B6,test!$A$3:$G$32,6,FALSE) &gt;= (test!$B$33+VLOOKUP(VLOOKUP($B6,test!$A$2:$I$32,4,FALSE),test!$J$10:$P$14,3,FALSE))/1440),1,0)</f>
        <v>0</v>
      </c>
    </row>
    <row r="7" spans="1:34" x14ac:dyDescent="0.25">
      <c r="A7" t="s">
        <v>48</v>
      </c>
      <c r="B7" t="s">
        <v>12</v>
      </c>
      <c r="C7">
        <v>0</v>
      </c>
      <c r="D7" s="2">
        <f>IF(AND(VLOOKUP(D$1,test!$A$3:$F$32,5,FALSE) - VLOOKUP($B7,test!$A$3:$G$32,6,FALSE) &gt;= (test!$B$33+VLOOKUP(VLOOKUP($B7,test!$A$2:$I$32,4,FALSE),test!$J$10:$P$14,3,FALSE))/1440),1,0)</f>
        <v>0</v>
      </c>
      <c r="E7" s="2">
        <f>IF(AND(VLOOKUP(E$1,test!$A$3:$F$32,5,FALSE) - VLOOKUP($B7,test!$A$3:$G$32,6,FALSE) &gt;= (test!$B$33+VLOOKUP(VLOOKUP($B7,test!$A$2:$I$32,4,FALSE),test!$J$10:$P$14,3,FALSE))/1440),1,0)</f>
        <v>0</v>
      </c>
      <c r="F7" s="2">
        <f>IF(AND(VLOOKUP(F$1,test!$A$3:$F$32,5,FALSE) - VLOOKUP($B7,test!$A$3:$G$32,6,FALSE) &gt;= (test!$B$33+VLOOKUP(VLOOKUP($B7,test!$A$2:$I$32,4,FALSE),test!$J$10:$P$14,3,FALSE))/1440),1,0)</f>
        <v>0</v>
      </c>
      <c r="G7" s="2">
        <f>IF(AND(VLOOKUP(G$1,test!$A$3:$F$32,5,FALSE) - VLOOKUP($B7,test!$A$3:$G$32,6,FALSE) &gt;= (test!$B$33+VLOOKUP(VLOOKUP($B7,test!$A$2:$I$32,4,FALSE),test!$J$10:$P$14,3,FALSE))/1440),1,0)</f>
        <v>0</v>
      </c>
      <c r="H7" s="2">
        <f>IF(AND(VLOOKUP(H$1,test!$A$3:$F$32,5,FALSE) - VLOOKUP($B7,test!$A$3:$G$32,6,FALSE) &gt;= (test!$B$33+VLOOKUP(VLOOKUP($B7,test!$A$2:$I$32,4,FALSE),test!$J$10:$P$14,3,FALSE))/1440),1,0)</f>
        <v>0</v>
      </c>
      <c r="I7" s="2">
        <f>IF(AND(VLOOKUP(I$1,test!$A$3:$F$32,5,FALSE) - VLOOKUP($B7,test!$A$3:$G$32,6,FALSE) &gt;= (test!$B$33+VLOOKUP(VLOOKUP($B7,test!$A$2:$I$32,4,FALSE),test!$J$10:$P$14,3,FALSE))/1440),1,0)</f>
        <v>0</v>
      </c>
      <c r="J7" s="2">
        <f>IF(AND(VLOOKUP(J$1,test!$A$3:$F$32,5,FALSE) - VLOOKUP($B7,test!$A$3:$G$32,6,FALSE) &gt;= (test!$B$33+VLOOKUP(VLOOKUP($B7,test!$A$2:$I$32,4,FALSE),test!$J$10:$P$14,3,FALSE))/1440),1,0)</f>
        <v>0</v>
      </c>
      <c r="K7" s="2">
        <f>IF(AND(VLOOKUP(K$1,test!$A$3:$F$32,5,FALSE) - VLOOKUP($B7,test!$A$3:$G$32,6,FALSE) &gt;= (test!$B$33+VLOOKUP(VLOOKUP($B7,test!$A$2:$I$32,4,FALSE),test!$J$10:$P$14,3,FALSE))/1440),1,0)</f>
        <v>0</v>
      </c>
      <c r="L7" s="2">
        <f>IF(AND(VLOOKUP(L$1,test!$A$3:$F$32,5,FALSE) - VLOOKUP($B7,test!$A$3:$G$32,6,FALSE) &gt;= (test!$B$33+VLOOKUP(VLOOKUP($B7,test!$A$2:$I$32,4,FALSE),test!$J$10:$P$14,3,FALSE))/1440),1,0)</f>
        <v>0</v>
      </c>
      <c r="M7" s="2">
        <f>IF(AND(VLOOKUP(M$1,test!$A$3:$F$32,5,FALSE) - VLOOKUP($B7,test!$A$3:$G$32,6,FALSE) &gt;= (test!$B$33+VLOOKUP(VLOOKUP($B7,test!$A$2:$I$32,4,FALSE),test!$J$10:$P$14,3,FALSE))/1440),1,0)</f>
        <v>0</v>
      </c>
      <c r="N7" s="2">
        <f>IF(AND(VLOOKUP(N$1,test!$A$3:$F$32,5,FALSE) - VLOOKUP($B7,test!$A$3:$G$32,6,FALSE) &gt;= (test!$B$33+VLOOKUP(VLOOKUP($B7,test!$A$2:$I$32,4,FALSE),test!$J$10:$P$14,3,FALSE))/1440),1,0)</f>
        <v>0</v>
      </c>
      <c r="O7" s="2">
        <f>IF(AND(VLOOKUP(O$1,test!$A$3:$F$32,5,FALSE) - VLOOKUP($B7,test!$A$3:$G$32,6,FALSE) &gt;= (test!$B$33+VLOOKUP(VLOOKUP($B7,test!$A$2:$I$32,4,FALSE),test!$J$10:$P$14,3,FALSE))/1440),1,0)</f>
        <v>0</v>
      </c>
      <c r="P7" s="2">
        <f>IF(AND(VLOOKUP(P$1,test!$A$3:$F$32,5,FALSE) - VLOOKUP($B7,test!$A$3:$G$32,6,FALSE) &gt;= (test!$B$33+VLOOKUP(VLOOKUP($B7,test!$A$2:$I$32,4,FALSE),test!$J$10:$P$14,3,FALSE))/1440),1,0)</f>
        <v>1</v>
      </c>
      <c r="Q7" s="2">
        <f>IF(AND(VLOOKUP(Q$1,test!$A$3:$F$32,5,FALSE) - VLOOKUP($B7,test!$A$3:$G$32,6,FALSE) &gt;= (test!$B$33+VLOOKUP(VLOOKUP($B7,test!$A$2:$I$32,4,FALSE),test!$J$10:$P$14,3,FALSE))/1440),1,0)</f>
        <v>0</v>
      </c>
      <c r="R7" s="2">
        <f>IF(AND(VLOOKUP(R$1,test!$A$3:$F$32,5,FALSE) - VLOOKUP($B7,test!$A$3:$G$32,6,FALSE) &gt;= (test!$B$33+VLOOKUP(VLOOKUP($B7,test!$A$2:$I$32,4,FALSE),test!$J$10:$P$14,3,FALSE))/1440),1,0)</f>
        <v>0</v>
      </c>
      <c r="S7" s="2">
        <f>IF(AND(VLOOKUP(S$1,test!$A$3:$F$32,5,FALSE) - VLOOKUP($B7,test!$A$3:$G$32,6,FALSE) &gt;= (test!$B$33+VLOOKUP(VLOOKUP($B7,test!$A$2:$I$32,4,FALSE),test!$J$10:$P$14,3,FALSE))/1440),1,0)</f>
        <v>0</v>
      </c>
      <c r="T7" s="2">
        <f>IF(AND(VLOOKUP(T$1,test!$A$3:$F$32,5,FALSE) - VLOOKUP($B7,test!$A$3:$G$32,6,FALSE) &gt;= (test!$B$33+VLOOKUP(VLOOKUP($B7,test!$A$2:$I$32,4,FALSE),test!$J$10:$P$14,3,FALSE))/1440),1,0)</f>
        <v>0</v>
      </c>
      <c r="U7" s="2">
        <f>IF(AND(VLOOKUP(U$1,test!$A$3:$F$32,5,FALSE) - VLOOKUP($B7,test!$A$3:$G$32,6,FALSE) &gt;= (test!$B$33+VLOOKUP(VLOOKUP($B7,test!$A$2:$I$32,4,FALSE),test!$J$10:$P$14,3,FALSE))/1440),1,0)</f>
        <v>0</v>
      </c>
      <c r="V7" s="2">
        <f>IF(AND(VLOOKUP(V$1,test!$A$3:$F$32,5,FALSE) - VLOOKUP($B7,test!$A$3:$G$32,6,FALSE) &gt;= (test!$B$33+VLOOKUP(VLOOKUP($B7,test!$A$2:$I$32,4,FALSE),test!$J$10:$P$14,3,FALSE))/1440),1,0)</f>
        <v>0</v>
      </c>
      <c r="W7" s="2">
        <f>IF(AND(VLOOKUP(W$1,test!$A$3:$F$32,5,FALSE) - VLOOKUP($B7,test!$A$3:$G$32,6,FALSE) &gt;= (test!$B$33+VLOOKUP(VLOOKUP($B7,test!$A$2:$I$32,4,FALSE),test!$J$10:$P$14,3,FALSE))/1440),1,0)</f>
        <v>0</v>
      </c>
      <c r="X7" s="2">
        <f>IF(AND(VLOOKUP(X$1,test!$A$3:$F$32,5,FALSE) - VLOOKUP($B7,test!$A$3:$G$32,6,FALSE) &gt;= (test!$B$33+VLOOKUP(VLOOKUP($B7,test!$A$2:$I$32,4,FALSE),test!$J$10:$P$14,3,FALSE))/1440),1,0)</f>
        <v>0</v>
      </c>
      <c r="Y7" s="2">
        <f>IF(AND(VLOOKUP(Y$1,test!$A$3:$F$32,5,FALSE) - VLOOKUP($B7,test!$A$3:$G$32,6,FALSE) &gt;= (test!$B$33+VLOOKUP(VLOOKUP($B7,test!$A$2:$I$32,4,FALSE),test!$J$10:$P$14,3,FALSE))/1440),1,0)</f>
        <v>0</v>
      </c>
      <c r="Z7" s="2">
        <f>IF(AND(VLOOKUP(Z$1,test!$A$3:$F$32,5,FALSE) - VLOOKUP($B7,test!$A$3:$G$32,6,FALSE) &gt;= (test!$B$33+VLOOKUP(VLOOKUP($B7,test!$A$2:$I$32,4,FALSE),test!$J$10:$P$14,3,FALSE))/1440),1,0)</f>
        <v>0</v>
      </c>
      <c r="AA7" s="2">
        <f>IF(AND(VLOOKUP(AA$1,test!$A$3:$F$32,5,FALSE) - VLOOKUP($B7,test!$A$3:$G$32,6,FALSE) &gt;= (test!$B$33+VLOOKUP(VLOOKUP($B7,test!$A$2:$I$32,4,FALSE),test!$J$10:$P$14,3,FALSE))/1440),1,0)</f>
        <v>0</v>
      </c>
      <c r="AB7" s="2">
        <f>IF(AND(VLOOKUP(AB$1,test!$A$3:$F$32,5,FALSE) - VLOOKUP($B7,test!$A$3:$G$32,6,FALSE) &gt;= (test!$B$33+VLOOKUP(VLOOKUP($B7,test!$A$2:$I$32,4,FALSE),test!$J$10:$P$14,3,FALSE))/1440),1,0)</f>
        <v>0</v>
      </c>
      <c r="AC7" s="2">
        <f>IF(AND(VLOOKUP(AC$1,test!$A$3:$F$32,5,FALSE) - VLOOKUP($B7,test!$A$3:$G$32,6,FALSE) &gt;= (test!$B$33+VLOOKUP(VLOOKUP($B7,test!$A$2:$I$32,4,FALSE),test!$J$10:$P$14,3,FALSE))/1440),1,0)</f>
        <v>0</v>
      </c>
      <c r="AD7" s="2">
        <f>IF(AND(VLOOKUP(AD$1,test!$A$3:$F$32,5,FALSE) - VLOOKUP($B7,test!$A$3:$G$32,6,FALSE) &gt;= (test!$B$33+VLOOKUP(VLOOKUP($B7,test!$A$2:$I$32,4,FALSE),test!$J$10:$P$14,3,FALSE))/1440),1,0)</f>
        <v>0</v>
      </c>
      <c r="AE7" s="2">
        <f>IF(AND(VLOOKUP(AE$1,test!$A$3:$F$32,5,FALSE) - VLOOKUP($B7,test!$A$3:$G$32,6,FALSE) &gt;= (test!$B$33+VLOOKUP(VLOOKUP($B7,test!$A$2:$I$32,4,FALSE),test!$J$10:$P$14,3,FALSE))/1440),1,0)</f>
        <v>0</v>
      </c>
      <c r="AF7" s="2">
        <f>IF(AND(VLOOKUP(AF$1,test!$A$3:$F$32,5,FALSE) - VLOOKUP($B7,test!$A$3:$G$32,6,FALSE) &gt;= (test!$B$33+VLOOKUP(VLOOKUP($B7,test!$A$2:$I$32,4,FALSE),test!$J$10:$P$14,3,FALSE))/1440),1,0)</f>
        <v>0</v>
      </c>
      <c r="AG7" s="2">
        <f>IF(AND(VLOOKUP(AG$1,test!$A$3:$F$32,5,FALSE) - VLOOKUP($B7,test!$A$3:$G$32,6,FALSE) &gt;= (test!$B$33+VLOOKUP(VLOOKUP($B7,test!$A$2:$I$32,4,FALSE),test!$J$10:$P$14,3,FALSE))/1440),1,0)</f>
        <v>0</v>
      </c>
    </row>
    <row r="8" spans="1:34" x14ac:dyDescent="0.25">
      <c r="A8" t="s">
        <v>48</v>
      </c>
      <c r="B8" t="s">
        <v>13</v>
      </c>
      <c r="C8">
        <v>0</v>
      </c>
      <c r="D8" s="2">
        <f>IF(AND(VLOOKUP(D$1,test!$A$3:$F$32,5,FALSE) - VLOOKUP($B8,test!$A$3:$G$32,6,FALSE) &gt;= (test!$B$33+VLOOKUP(VLOOKUP($B8,test!$A$2:$I$32,4,FALSE),test!$J$10:$P$14,3,FALSE))/1440),1,0)</f>
        <v>0</v>
      </c>
      <c r="E8" s="2">
        <f>IF(AND(VLOOKUP(E$1,test!$A$3:$F$32,5,FALSE) - VLOOKUP($B8,test!$A$3:$G$32,6,FALSE) &gt;= (test!$B$33+VLOOKUP(VLOOKUP($B8,test!$A$2:$I$32,4,FALSE),test!$J$10:$P$14,3,FALSE))/1440),1,0)</f>
        <v>0</v>
      </c>
      <c r="F8" s="2">
        <f>IF(AND(VLOOKUP(F$1,test!$A$3:$F$32,5,FALSE) - VLOOKUP($B8,test!$A$3:$G$32,6,FALSE) &gt;= (test!$B$33+VLOOKUP(VLOOKUP($B8,test!$A$2:$I$32,4,FALSE),test!$J$10:$P$14,3,FALSE))/1440),1,0)</f>
        <v>0</v>
      </c>
      <c r="G8" s="2">
        <f>IF(AND(VLOOKUP(G$1,test!$A$3:$F$32,5,FALSE) - VLOOKUP($B8,test!$A$3:$G$32,6,FALSE) &gt;= (test!$B$33+VLOOKUP(VLOOKUP($B8,test!$A$2:$I$32,4,FALSE),test!$J$10:$P$14,3,FALSE))/1440),1,0)</f>
        <v>0</v>
      </c>
      <c r="H8" s="2">
        <f>IF(AND(VLOOKUP(H$1,test!$A$3:$F$32,5,FALSE) - VLOOKUP($B8,test!$A$3:$G$32,6,FALSE) &gt;= (test!$B$33+VLOOKUP(VLOOKUP($B8,test!$A$2:$I$32,4,FALSE),test!$J$10:$P$14,3,FALSE))/1440),1,0)</f>
        <v>0</v>
      </c>
      <c r="I8" s="2">
        <f>IF(AND(VLOOKUP(I$1,test!$A$3:$F$32,5,FALSE) - VLOOKUP($B8,test!$A$3:$G$32,6,FALSE) &gt;= (test!$B$33+VLOOKUP(VLOOKUP($B8,test!$A$2:$I$32,4,FALSE),test!$J$10:$P$14,3,FALSE))/1440),1,0)</f>
        <v>0</v>
      </c>
      <c r="J8" s="2">
        <f>IF(AND(VLOOKUP(J$1,test!$A$3:$F$32,5,FALSE) - VLOOKUP($B8,test!$A$3:$G$32,6,FALSE) &gt;= (test!$B$33+VLOOKUP(VLOOKUP($B8,test!$A$2:$I$32,4,FALSE),test!$J$10:$P$14,3,FALSE))/1440),1,0)</f>
        <v>0</v>
      </c>
      <c r="K8" s="2">
        <f>IF(AND(VLOOKUP(K$1,test!$A$3:$F$32,5,FALSE) - VLOOKUP($B8,test!$A$3:$G$32,6,FALSE) &gt;= (test!$B$33+VLOOKUP(VLOOKUP($B8,test!$A$2:$I$32,4,FALSE),test!$J$10:$P$14,3,FALSE))/1440),1,0)</f>
        <v>0</v>
      </c>
      <c r="L8" s="2">
        <f>IF(AND(VLOOKUP(L$1,test!$A$3:$F$32,5,FALSE) - VLOOKUP($B8,test!$A$3:$G$32,6,FALSE) &gt;= (test!$B$33+VLOOKUP(VLOOKUP($B8,test!$A$2:$I$32,4,FALSE),test!$J$10:$P$14,3,FALSE))/1440),1,0)</f>
        <v>0</v>
      </c>
      <c r="M8" s="2">
        <f>IF(AND(VLOOKUP(M$1,test!$A$3:$F$32,5,FALSE) - VLOOKUP($B8,test!$A$3:$G$32,6,FALSE) &gt;= (test!$B$33+VLOOKUP(VLOOKUP($B8,test!$A$2:$I$32,4,FALSE),test!$J$10:$P$14,3,FALSE))/1440),1,0)</f>
        <v>0</v>
      </c>
      <c r="N8" s="2">
        <f>IF(AND(VLOOKUP(N$1,test!$A$3:$F$32,5,FALSE) - VLOOKUP($B8,test!$A$3:$G$32,6,FALSE) &gt;= (test!$B$33+VLOOKUP(VLOOKUP($B8,test!$A$2:$I$32,4,FALSE),test!$J$10:$P$14,3,FALSE))/1440),1,0)</f>
        <v>0</v>
      </c>
      <c r="O8" s="2">
        <f>IF(AND(VLOOKUP(O$1,test!$A$3:$F$32,5,FALSE) - VLOOKUP($B8,test!$A$3:$G$32,6,FALSE) &gt;= (test!$B$33+VLOOKUP(VLOOKUP($B8,test!$A$2:$I$32,4,FALSE),test!$J$10:$P$14,3,FALSE))/1440),1,0)</f>
        <v>0</v>
      </c>
      <c r="P8" s="2">
        <f>IF(AND(VLOOKUP(P$1,test!$A$3:$F$32,5,FALSE) - VLOOKUP($B8,test!$A$3:$G$32,6,FALSE) &gt;= (test!$B$33+VLOOKUP(VLOOKUP($B8,test!$A$2:$I$32,4,FALSE),test!$J$10:$P$14,3,FALSE))/1440),1,0)</f>
        <v>0</v>
      </c>
      <c r="Q8" s="2">
        <f>IF(AND(VLOOKUP(Q$1,test!$A$3:$F$32,5,FALSE) - VLOOKUP($B8,test!$A$3:$G$32,6,FALSE) &gt;= (test!$B$33+VLOOKUP(VLOOKUP($B8,test!$A$2:$I$32,4,FALSE),test!$J$10:$P$14,3,FALSE))/1440),1,0)</f>
        <v>0</v>
      </c>
      <c r="R8" s="2">
        <f>IF(AND(VLOOKUP(R$1,test!$A$3:$F$32,5,FALSE) - VLOOKUP($B8,test!$A$3:$G$32,6,FALSE) &gt;= (test!$B$33+VLOOKUP(VLOOKUP($B8,test!$A$2:$I$32,4,FALSE),test!$J$10:$P$14,3,FALSE))/1440),1,0)</f>
        <v>0</v>
      </c>
      <c r="S8" s="2">
        <f>IF(AND(VLOOKUP(S$1,test!$A$3:$F$32,5,FALSE) - VLOOKUP($B8,test!$A$3:$G$32,6,FALSE) &gt;= (test!$B$33+VLOOKUP(VLOOKUP($B8,test!$A$2:$I$32,4,FALSE),test!$J$10:$P$14,3,FALSE))/1440),1,0)</f>
        <v>0</v>
      </c>
      <c r="T8" s="2">
        <f>IF(AND(VLOOKUP(T$1,test!$A$3:$F$32,5,FALSE) - VLOOKUP($B8,test!$A$3:$G$32,6,FALSE) &gt;= (test!$B$33+VLOOKUP(VLOOKUP($B8,test!$A$2:$I$32,4,FALSE),test!$J$10:$P$14,3,FALSE))/1440),1,0)</f>
        <v>0</v>
      </c>
      <c r="U8" s="2">
        <f>IF(AND(VLOOKUP(U$1,test!$A$3:$F$32,5,FALSE) - VLOOKUP($B8,test!$A$3:$G$32,6,FALSE) &gt;= (test!$B$33+VLOOKUP(VLOOKUP($B8,test!$A$2:$I$32,4,FALSE),test!$J$10:$P$14,3,FALSE))/1440),1,0)</f>
        <v>0</v>
      </c>
      <c r="V8" s="2">
        <f>IF(AND(VLOOKUP(V$1,test!$A$3:$F$32,5,FALSE) - VLOOKUP($B8,test!$A$3:$G$32,6,FALSE) &gt;= (test!$B$33+VLOOKUP(VLOOKUP($B8,test!$A$2:$I$32,4,FALSE),test!$J$10:$P$14,3,FALSE))/1440),1,0)</f>
        <v>0</v>
      </c>
      <c r="W8" s="2">
        <f>IF(AND(VLOOKUP(W$1,test!$A$3:$F$32,5,FALSE) - VLOOKUP($B8,test!$A$3:$G$32,6,FALSE) &gt;= (test!$B$33+VLOOKUP(VLOOKUP($B8,test!$A$2:$I$32,4,FALSE),test!$J$10:$P$14,3,FALSE))/1440),1,0)</f>
        <v>0</v>
      </c>
      <c r="X8" s="2">
        <f>IF(AND(VLOOKUP(X$1,test!$A$3:$F$32,5,FALSE) - VLOOKUP($B8,test!$A$3:$G$32,6,FALSE) &gt;= (test!$B$33+VLOOKUP(VLOOKUP($B8,test!$A$2:$I$32,4,FALSE),test!$J$10:$P$14,3,FALSE))/1440),1,0)</f>
        <v>0</v>
      </c>
      <c r="Y8" s="2">
        <f>IF(AND(VLOOKUP(Y$1,test!$A$3:$F$32,5,FALSE) - VLOOKUP($B8,test!$A$3:$G$32,6,FALSE) &gt;= (test!$B$33+VLOOKUP(VLOOKUP($B8,test!$A$2:$I$32,4,FALSE),test!$J$10:$P$14,3,FALSE))/1440),1,0)</f>
        <v>0</v>
      </c>
      <c r="Z8" s="2">
        <f>IF(AND(VLOOKUP(Z$1,test!$A$3:$F$32,5,FALSE) - VLOOKUP($B8,test!$A$3:$G$32,6,FALSE) &gt;= (test!$B$33+VLOOKUP(VLOOKUP($B8,test!$A$2:$I$32,4,FALSE),test!$J$10:$P$14,3,FALSE))/1440),1,0)</f>
        <v>0</v>
      </c>
      <c r="AA8" s="2">
        <f>IF(AND(VLOOKUP(AA$1,test!$A$3:$F$32,5,FALSE) - VLOOKUP($B8,test!$A$3:$G$32,6,FALSE) &gt;= (test!$B$33+VLOOKUP(VLOOKUP($B8,test!$A$2:$I$32,4,FALSE),test!$J$10:$P$14,3,FALSE))/1440),1,0)</f>
        <v>0</v>
      </c>
      <c r="AB8" s="2">
        <f>IF(AND(VLOOKUP(AB$1,test!$A$3:$F$32,5,FALSE) - VLOOKUP($B8,test!$A$3:$G$32,6,FALSE) &gt;= (test!$B$33+VLOOKUP(VLOOKUP($B8,test!$A$2:$I$32,4,FALSE),test!$J$10:$P$14,3,FALSE))/1440),1,0)</f>
        <v>0</v>
      </c>
      <c r="AC8" s="2">
        <f>IF(AND(VLOOKUP(AC$1,test!$A$3:$F$32,5,FALSE) - VLOOKUP($B8,test!$A$3:$G$32,6,FALSE) &gt;= (test!$B$33+VLOOKUP(VLOOKUP($B8,test!$A$2:$I$32,4,FALSE),test!$J$10:$P$14,3,FALSE))/1440),1,0)</f>
        <v>0</v>
      </c>
      <c r="AD8" s="2">
        <f>IF(AND(VLOOKUP(AD$1,test!$A$3:$F$32,5,FALSE) - VLOOKUP($B8,test!$A$3:$G$32,6,FALSE) &gt;= (test!$B$33+VLOOKUP(VLOOKUP($B8,test!$A$2:$I$32,4,FALSE),test!$J$10:$P$14,3,FALSE))/1440),1,0)</f>
        <v>0</v>
      </c>
      <c r="AE8" s="2">
        <f>IF(AND(VLOOKUP(AE$1,test!$A$3:$F$32,5,FALSE) - VLOOKUP($B8,test!$A$3:$G$32,6,FALSE) &gt;= (test!$B$33+VLOOKUP(VLOOKUP($B8,test!$A$2:$I$32,4,FALSE),test!$J$10:$P$14,3,FALSE))/1440),1,0)</f>
        <v>0</v>
      </c>
      <c r="AF8" s="2">
        <f>IF(AND(VLOOKUP(AF$1,test!$A$3:$F$32,5,FALSE) - VLOOKUP($B8,test!$A$3:$G$32,6,FALSE) &gt;= (test!$B$33+VLOOKUP(VLOOKUP($B8,test!$A$2:$I$32,4,FALSE),test!$J$10:$P$14,3,FALSE))/1440),1,0)</f>
        <v>0</v>
      </c>
      <c r="AG8" s="2">
        <f>IF(AND(VLOOKUP(AG$1,test!$A$3:$F$32,5,FALSE) - VLOOKUP($B8,test!$A$3:$G$32,6,FALSE) &gt;= (test!$B$33+VLOOKUP(VLOOKUP($B8,test!$A$2:$I$32,4,FALSE),test!$J$10:$P$14,3,FALSE))/1440),1,0)</f>
        <v>0</v>
      </c>
    </row>
    <row r="9" spans="1:34" x14ac:dyDescent="0.25">
      <c r="A9" t="s">
        <v>48</v>
      </c>
      <c r="B9" t="s">
        <v>14</v>
      </c>
      <c r="C9">
        <v>0</v>
      </c>
      <c r="D9" s="2">
        <f>IF(AND(VLOOKUP(D$1,test!$A$3:$F$32,5,FALSE) - VLOOKUP($B9,test!$A$3:$G$32,6,FALSE) &gt;= (test!$B$33+VLOOKUP(VLOOKUP($B9,test!$A$2:$I$32,4,FALSE),test!$J$10:$P$14,3,FALSE))/1440),1,0)</f>
        <v>0</v>
      </c>
      <c r="E9" s="2">
        <f>IF(AND(VLOOKUP(E$1,test!$A$3:$F$32,5,FALSE) - VLOOKUP($B9,test!$A$3:$G$32,6,FALSE) &gt;= (test!$B$33+VLOOKUP(VLOOKUP($B9,test!$A$2:$I$32,4,FALSE),test!$J$10:$P$14,3,FALSE))/1440),1,0)</f>
        <v>0</v>
      </c>
      <c r="F9" s="2">
        <f>IF(AND(VLOOKUP(F$1,test!$A$3:$F$32,5,FALSE) - VLOOKUP($B9,test!$A$3:$G$32,6,FALSE) &gt;= (test!$B$33+VLOOKUP(VLOOKUP($B9,test!$A$2:$I$32,4,FALSE),test!$J$10:$P$14,3,FALSE))/1440),1,0)</f>
        <v>0</v>
      </c>
      <c r="G9" s="2">
        <f>IF(AND(VLOOKUP(G$1,test!$A$3:$F$32,5,FALSE) - VLOOKUP($B9,test!$A$3:$G$32,6,FALSE) &gt;= (test!$B$33+VLOOKUP(VLOOKUP($B9,test!$A$2:$I$32,4,FALSE),test!$J$10:$P$14,3,FALSE))/1440),1,0)</f>
        <v>0</v>
      </c>
      <c r="H9" s="2">
        <f>IF(AND(VLOOKUP(H$1,test!$A$3:$F$32,5,FALSE) - VLOOKUP($B9,test!$A$3:$G$32,6,FALSE) &gt;= (test!$B$33+VLOOKUP(VLOOKUP($B9,test!$A$2:$I$32,4,FALSE),test!$J$10:$P$14,3,FALSE))/1440),1,0)</f>
        <v>0</v>
      </c>
      <c r="I9" s="2">
        <f>IF(AND(VLOOKUP(I$1,test!$A$3:$F$32,5,FALSE) - VLOOKUP($B9,test!$A$3:$G$32,6,FALSE) &gt;= (test!$B$33+VLOOKUP(VLOOKUP($B9,test!$A$2:$I$32,4,FALSE),test!$J$10:$P$14,3,FALSE))/1440),1,0)</f>
        <v>0</v>
      </c>
      <c r="J9" s="2">
        <f>IF(AND(VLOOKUP(J$1,test!$A$3:$F$32,5,FALSE) - VLOOKUP($B9,test!$A$3:$G$32,6,FALSE) &gt;= (test!$B$33+VLOOKUP(VLOOKUP($B9,test!$A$2:$I$32,4,FALSE),test!$J$10:$P$14,3,FALSE))/1440),1,0)</f>
        <v>0</v>
      </c>
      <c r="K9" s="2">
        <f>IF(AND(VLOOKUP(K$1,test!$A$3:$F$32,5,FALSE) - VLOOKUP($B9,test!$A$3:$G$32,6,FALSE) &gt;= (test!$B$33+VLOOKUP(VLOOKUP($B9,test!$A$2:$I$32,4,FALSE),test!$J$10:$P$14,3,FALSE))/1440),1,0)</f>
        <v>0</v>
      </c>
      <c r="L9" s="2">
        <f>IF(AND(VLOOKUP(L$1,test!$A$3:$F$32,5,FALSE) - VLOOKUP($B9,test!$A$3:$G$32,6,FALSE) &gt;= (test!$B$33+VLOOKUP(VLOOKUP($B9,test!$A$2:$I$32,4,FALSE),test!$J$10:$P$14,3,FALSE))/1440),1,0)</f>
        <v>0</v>
      </c>
      <c r="M9" s="2">
        <f>IF(AND(VLOOKUP(M$1,test!$A$3:$F$32,5,FALSE) - VLOOKUP($B9,test!$A$3:$G$32,6,FALSE) &gt;= (test!$B$33+VLOOKUP(VLOOKUP($B9,test!$A$2:$I$32,4,FALSE),test!$J$10:$P$14,3,FALSE))/1440),1,0)</f>
        <v>0</v>
      </c>
      <c r="N9" s="2">
        <f>IF(AND(VLOOKUP(N$1,test!$A$3:$F$32,5,FALSE) - VLOOKUP($B9,test!$A$3:$G$32,6,FALSE) &gt;= (test!$B$33+VLOOKUP(VLOOKUP($B9,test!$A$2:$I$32,4,FALSE),test!$J$10:$P$14,3,FALSE))/1440),1,0)</f>
        <v>0</v>
      </c>
      <c r="O9" s="2">
        <f>IF(AND(VLOOKUP(O$1,test!$A$3:$F$32,5,FALSE) - VLOOKUP($B9,test!$A$3:$G$32,6,FALSE) &gt;= (test!$B$33+VLOOKUP(VLOOKUP($B9,test!$A$2:$I$32,4,FALSE),test!$J$10:$P$14,3,FALSE))/1440),1,0)</f>
        <v>0</v>
      </c>
      <c r="P9" s="2">
        <f>IF(AND(VLOOKUP(P$1,test!$A$3:$F$32,5,FALSE) - VLOOKUP($B9,test!$A$3:$G$32,6,FALSE) &gt;= (test!$B$33+VLOOKUP(VLOOKUP($B9,test!$A$2:$I$32,4,FALSE),test!$J$10:$P$14,3,FALSE))/1440),1,0)</f>
        <v>0</v>
      </c>
      <c r="Q9" s="2">
        <f>IF(AND(VLOOKUP(Q$1,test!$A$3:$F$32,5,FALSE) - VLOOKUP($B9,test!$A$3:$G$32,6,FALSE) &gt;= (test!$B$33+VLOOKUP(VLOOKUP($B9,test!$A$2:$I$32,4,FALSE),test!$J$10:$P$14,3,FALSE))/1440),1,0)</f>
        <v>0</v>
      </c>
      <c r="R9" s="2">
        <f>IF(AND(VLOOKUP(R$1,test!$A$3:$F$32,5,FALSE) - VLOOKUP($B9,test!$A$3:$G$32,6,FALSE) &gt;= (test!$B$33+VLOOKUP(VLOOKUP($B9,test!$A$2:$I$32,4,FALSE),test!$J$10:$P$14,3,FALSE))/1440),1,0)</f>
        <v>0</v>
      </c>
      <c r="S9" s="2">
        <f>IF(AND(VLOOKUP(S$1,test!$A$3:$F$32,5,FALSE) - VLOOKUP($B9,test!$A$3:$G$32,6,FALSE) &gt;= (test!$B$33+VLOOKUP(VLOOKUP($B9,test!$A$2:$I$32,4,FALSE),test!$J$10:$P$14,3,FALSE))/1440),1,0)</f>
        <v>0</v>
      </c>
      <c r="T9" s="2">
        <f>IF(AND(VLOOKUP(T$1,test!$A$3:$F$32,5,FALSE) - VLOOKUP($B9,test!$A$3:$G$32,6,FALSE) &gt;= (test!$B$33+VLOOKUP(VLOOKUP($B9,test!$A$2:$I$32,4,FALSE),test!$J$10:$P$14,3,FALSE))/1440),1,0)</f>
        <v>0</v>
      </c>
      <c r="U9" s="2">
        <f>IF(AND(VLOOKUP(U$1,test!$A$3:$F$32,5,FALSE) - VLOOKUP($B9,test!$A$3:$G$32,6,FALSE) &gt;= (test!$B$33+VLOOKUP(VLOOKUP($B9,test!$A$2:$I$32,4,FALSE),test!$J$10:$P$14,3,FALSE))/1440),1,0)</f>
        <v>0</v>
      </c>
      <c r="V9" s="2">
        <f>IF(AND(VLOOKUP(V$1,test!$A$3:$F$32,5,FALSE) - VLOOKUP($B9,test!$A$3:$G$32,6,FALSE) &gt;= (test!$B$33+VLOOKUP(VLOOKUP($B9,test!$A$2:$I$32,4,FALSE),test!$J$10:$P$14,3,FALSE))/1440),1,0)</f>
        <v>0</v>
      </c>
      <c r="W9" s="2">
        <f>IF(AND(VLOOKUP(W$1,test!$A$3:$F$32,5,FALSE) - VLOOKUP($B9,test!$A$3:$G$32,6,FALSE) &gt;= (test!$B$33+VLOOKUP(VLOOKUP($B9,test!$A$2:$I$32,4,FALSE),test!$J$10:$P$14,3,FALSE))/1440),1,0)</f>
        <v>0</v>
      </c>
      <c r="X9" s="2">
        <f>IF(AND(VLOOKUP(X$1,test!$A$3:$F$32,5,FALSE) - VLOOKUP($B9,test!$A$3:$G$32,6,FALSE) &gt;= (test!$B$33+VLOOKUP(VLOOKUP($B9,test!$A$2:$I$32,4,FALSE),test!$J$10:$P$14,3,FALSE))/1440),1,0)</f>
        <v>0</v>
      </c>
      <c r="Y9" s="2">
        <f>IF(AND(VLOOKUP(Y$1,test!$A$3:$F$32,5,FALSE) - VLOOKUP($B9,test!$A$3:$G$32,6,FALSE) &gt;= (test!$B$33+VLOOKUP(VLOOKUP($B9,test!$A$2:$I$32,4,FALSE),test!$J$10:$P$14,3,FALSE))/1440),1,0)</f>
        <v>0</v>
      </c>
      <c r="Z9" s="2">
        <f>IF(AND(VLOOKUP(Z$1,test!$A$3:$F$32,5,FALSE) - VLOOKUP($B9,test!$A$3:$G$32,6,FALSE) &gt;= (test!$B$33+VLOOKUP(VLOOKUP($B9,test!$A$2:$I$32,4,FALSE),test!$J$10:$P$14,3,FALSE))/1440),1,0)</f>
        <v>0</v>
      </c>
      <c r="AA9" s="2">
        <f>IF(AND(VLOOKUP(AA$1,test!$A$3:$F$32,5,FALSE) - VLOOKUP($B9,test!$A$3:$G$32,6,FALSE) &gt;= (test!$B$33+VLOOKUP(VLOOKUP($B9,test!$A$2:$I$32,4,FALSE),test!$J$10:$P$14,3,FALSE))/1440),1,0)</f>
        <v>0</v>
      </c>
      <c r="AB9" s="2">
        <f>IF(AND(VLOOKUP(AB$1,test!$A$3:$F$32,5,FALSE) - VLOOKUP($B9,test!$A$3:$G$32,6,FALSE) &gt;= (test!$B$33+VLOOKUP(VLOOKUP($B9,test!$A$2:$I$32,4,FALSE),test!$J$10:$P$14,3,FALSE))/1440),1,0)</f>
        <v>0</v>
      </c>
      <c r="AC9" s="2">
        <f>IF(AND(VLOOKUP(AC$1,test!$A$3:$F$32,5,FALSE) - VLOOKUP($B9,test!$A$3:$G$32,6,FALSE) &gt;= (test!$B$33+VLOOKUP(VLOOKUP($B9,test!$A$2:$I$32,4,FALSE),test!$J$10:$P$14,3,FALSE))/1440),1,0)</f>
        <v>0</v>
      </c>
      <c r="AD9" s="2">
        <f>IF(AND(VLOOKUP(AD$1,test!$A$3:$F$32,5,FALSE) - VLOOKUP($B9,test!$A$3:$G$32,6,FALSE) &gt;= (test!$B$33+VLOOKUP(VLOOKUP($B9,test!$A$2:$I$32,4,FALSE),test!$J$10:$P$14,3,FALSE))/1440),1,0)</f>
        <v>0</v>
      </c>
      <c r="AE9" s="2">
        <f>IF(AND(VLOOKUP(AE$1,test!$A$3:$F$32,5,FALSE) - VLOOKUP($B9,test!$A$3:$G$32,6,FALSE) &gt;= (test!$B$33+VLOOKUP(VLOOKUP($B9,test!$A$2:$I$32,4,FALSE),test!$J$10:$P$14,3,FALSE))/1440),1,0)</f>
        <v>0</v>
      </c>
      <c r="AF9" s="2">
        <f>IF(AND(VLOOKUP(AF$1,test!$A$3:$F$32,5,FALSE) - VLOOKUP($B9,test!$A$3:$G$32,6,FALSE) &gt;= (test!$B$33+VLOOKUP(VLOOKUP($B9,test!$A$2:$I$32,4,FALSE),test!$J$10:$P$14,3,FALSE))/1440),1,0)</f>
        <v>0</v>
      </c>
      <c r="AG9" s="2">
        <f>IF(AND(VLOOKUP(AG$1,test!$A$3:$F$32,5,FALSE) - VLOOKUP($B9,test!$A$3:$G$32,6,FALSE) &gt;= (test!$B$33+VLOOKUP(VLOOKUP($B9,test!$A$2:$I$32,4,FALSE),test!$J$10:$P$14,3,FALSE))/1440),1,0)</f>
        <v>0</v>
      </c>
    </row>
    <row r="10" spans="1:34" x14ac:dyDescent="0.25">
      <c r="A10" t="s">
        <v>48</v>
      </c>
      <c r="B10" t="s">
        <v>15</v>
      </c>
      <c r="C10">
        <v>0</v>
      </c>
      <c r="D10" s="2">
        <f>IF(AND(VLOOKUP(D$1,test!$A$3:$F$32,5,FALSE) - VLOOKUP($B10,test!$A$3:$G$32,6,FALSE) &gt;= (test!$B$33+VLOOKUP(VLOOKUP($B10,test!$A$2:$I$32,4,FALSE),test!$J$10:$P$14,3,FALSE))/1440),1,0)</f>
        <v>0</v>
      </c>
      <c r="E10" s="2">
        <f>IF(AND(VLOOKUP(E$1,test!$A$3:$F$32,5,FALSE) - VLOOKUP($B10,test!$A$3:$G$32,6,FALSE) &gt;= (test!$B$33+VLOOKUP(VLOOKUP($B10,test!$A$2:$I$32,4,FALSE),test!$J$10:$P$14,3,FALSE))/1440),1,0)</f>
        <v>0</v>
      </c>
      <c r="F10" s="2">
        <f>IF(AND(VLOOKUP(F$1,test!$A$3:$F$32,5,FALSE) - VLOOKUP($B10,test!$A$3:$G$32,6,FALSE) &gt;= (test!$B$33+VLOOKUP(VLOOKUP($B10,test!$A$2:$I$32,4,FALSE),test!$J$10:$P$14,3,FALSE))/1440),1,0)</f>
        <v>0</v>
      </c>
      <c r="G10" s="2">
        <f>IF(AND(VLOOKUP(G$1,test!$A$3:$F$32,5,FALSE) - VLOOKUP($B10,test!$A$3:$G$32,6,FALSE) &gt;= (test!$B$33+VLOOKUP(VLOOKUP($B10,test!$A$2:$I$32,4,FALSE),test!$J$10:$P$14,3,FALSE))/1440),1,0)</f>
        <v>0</v>
      </c>
      <c r="H10" s="2">
        <f>IF(AND(VLOOKUP(H$1,test!$A$3:$F$32,5,FALSE) - VLOOKUP($B10,test!$A$3:$G$32,6,FALSE) &gt;= (test!$B$33+VLOOKUP(VLOOKUP($B10,test!$A$2:$I$32,4,FALSE),test!$J$10:$P$14,3,FALSE))/1440),1,0)</f>
        <v>0</v>
      </c>
      <c r="I10" s="2">
        <f>IF(AND(VLOOKUP(I$1,test!$A$3:$F$32,5,FALSE) - VLOOKUP($B10,test!$A$3:$G$32,6,FALSE) &gt;= (test!$B$33+VLOOKUP(VLOOKUP($B10,test!$A$2:$I$32,4,FALSE),test!$J$10:$P$14,3,FALSE))/1440),1,0)</f>
        <v>0</v>
      </c>
      <c r="J10" s="2">
        <f>IF(AND(VLOOKUP(J$1,test!$A$3:$F$32,5,FALSE) - VLOOKUP($B10,test!$A$3:$G$32,6,FALSE) &gt;= (test!$B$33+VLOOKUP(VLOOKUP($B10,test!$A$2:$I$32,4,FALSE),test!$J$10:$P$14,3,FALSE))/1440),1,0)</f>
        <v>0</v>
      </c>
      <c r="K10" s="2">
        <f>IF(AND(VLOOKUP(K$1,test!$A$3:$F$32,5,FALSE) - VLOOKUP($B10,test!$A$3:$G$32,6,FALSE) &gt;= (test!$B$33+VLOOKUP(VLOOKUP($B10,test!$A$2:$I$32,4,FALSE),test!$J$10:$P$14,3,FALSE))/1440),1,0)</f>
        <v>0</v>
      </c>
      <c r="L10" s="2">
        <f>IF(AND(VLOOKUP(L$1,test!$A$3:$F$32,5,FALSE) - VLOOKUP($B10,test!$A$3:$G$32,6,FALSE) &gt;= (test!$B$33+VLOOKUP(VLOOKUP($B10,test!$A$2:$I$32,4,FALSE),test!$J$10:$P$14,3,FALSE))/1440),1,0)</f>
        <v>0</v>
      </c>
      <c r="M10" s="2">
        <f>IF(AND(VLOOKUP(M$1,test!$A$3:$F$32,5,FALSE) - VLOOKUP($B10,test!$A$3:$G$32,6,FALSE) &gt;= (test!$B$33+VLOOKUP(VLOOKUP($B10,test!$A$2:$I$32,4,FALSE),test!$J$10:$P$14,3,FALSE))/1440),1,0)</f>
        <v>0</v>
      </c>
      <c r="N10" s="2">
        <f>IF(AND(VLOOKUP(N$1,test!$A$3:$F$32,5,FALSE) - VLOOKUP($B10,test!$A$3:$G$32,6,FALSE) &gt;= (test!$B$33+VLOOKUP(VLOOKUP($B10,test!$A$2:$I$32,4,FALSE),test!$J$10:$P$14,3,FALSE))/1440),1,0)</f>
        <v>0</v>
      </c>
      <c r="O10" s="2">
        <f>IF(AND(VLOOKUP(O$1,test!$A$3:$F$32,5,FALSE) - VLOOKUP($B10,test!$A$3:$G$32,6,FALSE) &gt;= (test!$B$33+VLOOKUP(VLOOKUP($B10,test!$A$2:$I$32,4,FALSE),test!$J$10:$P$14,3,FALSE))/1440),1,0)</f>
        <v>0</v>
      </c>
      <c r="P10" s="2">
        <f>IF(AND(VLOOKUP(P$1,test!$A$3:$F$32,5,FALSE) - VLOOKUP($B10,test!$A$3:$G$32,6,FALSE) &gt;= (test!$B$33+VLOOKUP(VLOOKUP($B10,test!$A$2:$I$32,4,FALSE),test!$J$10:$P$14,3,FALSE))/1440),1,0)</f>
        <v>0</v>
      </c>
      <c r="Q10" s="2">
        <f>IF(AND(VLOOKUP(Q$1,test!$A$3:$F$32,5,FALSE) - VLOOKUP($B10,test!$A$3:$G$32,6,FALSE) &gt;= (test!$B$33+VLOOKUP(VLOOKUP($B10,test!$A$2:$I$32,4,FALSE),test!$J$10:$P$14,3,FALSE))/1440),1,0)</f>
        <v>0</v>
      </c>
      <c r="R10" s="2">
        <f>IF(AND(VLOOKUP(R$1,test!$A$3:$F$32,5,FALSE) - VLOOKUP($B10,test!$A$3:$G$32,6,FALSE) &gt;= (test!$B$33+VLOOKUP(VLOOKUP($B10,test!$A$2:$I$32,4,FALSE),test!$J$10:$P$14,3,FALSE))/1440),1,0)</f>
        <v>0</v>
      </c>
      <c r="S10" s="2">
        <f>IF(AND(VLOOKUP(S$1,test!$A$3:$F$32,5,FALSE) - VLOOKUP($B10,test!$A$3:$G$32,6,FALSE) &gt;= (test!$B$33+VLOOKUP(VLOOKUP($B10,test!$A$2:$I$32,4,FALSE),test!$J$10:$P$14,3,FALSE))/1440),1,0)</f>
        <v>0</v>
      </c>
      <c r="T10" s="2">
        <f>IF(AND(VLOOKUP(T$1,test!$A$3:$F$32,5,FALSE) - VLOOKUP($B10,test!$A$3:$G$32,6,FALSE) &gt;= (test!$B$33+VLOOKUP(VLOOKUP($B10,test!$A$2:$I$32,4,FALSE),test!$J$10:$P$14,3,FALSE))/1440),1,0)</f>
        <v>0</v>
      </c>
      <c r="U10" s="2">
        <f>IF(AND(VLOOKUP(U$1,test!$A$3:$F$32,5,FALSE) - VLOOKUP($B10,test!$A$3:$G$32,6,FALSE) &gt;= (test!$B$33+VLOOKUP(VLOOKUP($B10,test!$A$2:$I$32,4,FALSE),test!$J$10:$P$14,3,FALSE))/1440),1,0)</f>
        <v>0</v>
      </c>
      <c r="V10" s="2">
        <f>IF(AND(VLOOKUP(V$1,test!$A$3:$F$32,5,FALSE) - VLOOKUP($B10,test!$A$3:$G$32,6,FALSE) &gt;= (test!$B$33+VLOOKUP(VLOOKUP($B10,test!$A$2:$I$32,4,FALSE),test!$J$10:$P$14,3,FALSE))/1440),1,0)</f>
        <v>0</v>
      </c>
      <c r="W10" s="2">
        <f>IF(AND(VLOOKUP(W$1,test!$A$3:$F$32,5,FALSE) - VLOOKUP($B10,test!$A$3:$G$32,6,FALSE) &gt;= (test!$B$33+VLOOKUP(VLOOKUP($B10,test!$A$2:$I$32,4,FALSE),test!$J$10:$P$14,3,FALSE))/1440),1,0)</f>
        <v>0</v>
      </c>
      <c r="X10" s="2">
        <f>IF(AND(VLOOKUP(X$1,test!$A$3:$F$32,5,FALSE) - VLOOKUP($B10,test!$A$3:$G$32,6,FALSE) &gt;= (test!$B$33+VLOOKUP(VLOOKUP($B10,test!$A$2:$I$32,4,FALSE),test!$J$10:$P$14,3,FALSE))/1440),1,0)</f>
        <v>0</v>
      </c>
      <c r="Y10" s="2">
        <f>IF(AND(VLOOKUP(Y$1,test!$A$3:$F$32,5,FALSE) - VLOOKUP($B10,test!$A$3:$G$32,6,FALSE) &gt;= (test!$B$33+VLOOKUP(VLOOKUP($B10,test!$A$2:$I$32,4,FALSE),test!$J$10:$P$14,3,FALSE))/1440),1,0)</f>
        <v>0</v>
      </c>
      <c r="Z10" s="2">
        <f>IF(AND(VLOOKUP(Z$1,test!$A$3:$F$32,5,FALSE) - VLOOKUP($B10,test!$A$3:$G$32,6,FALSE) &gt;= (test!$B$33+VLOOKUP(VLOOKUP($B10,test!$A$2:$I$32,4,FALSE),test!$J$10:$P$14,3,FALSE))/1440),1,0)</f>
        <v>0</v>
      </c>
      <c r="AA10" s="2">
        <f>IF(AND(VLOOKUP(AA$1,test!$A$3:$F$32,5,FALSE) - VLOOKUP($B10,test!$A$3:$G$32,6,FALSE) &gt;= (test!$B$33+VLOOKUP(VLOOKUP($B10,test!$A$2:$I$32,4,FALSE),test!$J$10:$P$14,3,FALSE))/1440),1,0)</f>
        <v>0</v>
      </c>
      <c r="AB10" s="2">
        <f>IF(AND(VLOOKUP(AB$1,test!$A$3:$F$32,5,FALSE) - VLOOKUP($B10,test!$A$3:$G$32,6,FALSE) &gt;= (test!$B$33+VLOOKUP(VLOOKUP($B10,test!$A$2:$I$32,4,FALSE),test!$J$10:$P$14,3,FALSE))/1440),1,0)</f>
        <v>0</v>
      </c>
      <c r="AC10" s="2">
        <f>IF(AND(VLOOKUP(AC$1,test!$A$3:$F$32,5,FALSE) - VLOOKUP($B10,test!$A$3:$G$32,6,FALSE) &gt;= (test!$B$33+VLOOKUP(VLOOKUP($B10,test!$A$2:$I$32,4,FALSE),test!$J$10:$P$14,3,FALSE))/1440),1,0)</f>
        <v>0</v>
      </c>
      <c r="AD10" s="2">
        <f>IF(AND(VLOOKUP(AD$1,test!$A$3:$F$32,5,FALSE) - VLOOKUP($B10,test!$A$3:$G$32,6,FALSE) &gt;= (test!$B$33+VLOOKUP(VLOOKUP($B10,test!$A$2:$I$32,4,FALSE),test!$J$10:$P$14,3,FALSE))/1440),1,0)</f>
        <v>0</v>
      </c>
      <c r="AE10" s="2">
        <f>IF(AND(VLOOKUP(AE$1,test!$A$3:$F$32,5,FALSE) - VLOOKUP($B10,test!$A$3:$G$32,6,FALSE) &gt;= (test!$B$33+VLOOKUP(VLOOKUP($B10,test!$A$2:$I$32,4,FALSE),test!$J$10:$P$14,3,FALSE))/1440),1,0)</f>
        <v>0</v>
      </c>
      <c r="AF10" s="2">
        <f>IF(AND(VLOOKUP(AF$1,test!$A$3:$F$32,5,FALSE) - VLOOKUP($B10,test!$A$3:$G$32,6,FALSE) &gt;= (test!$B$33+VLOOKUP(VLOOKUP($B10,test!$A$2:$I$32,4,FALSE),test!$J$10:$P$14,3,FALSE))/1440),1,0)</f>
        <v>0</v>
      </c>
      <c r="AG10" s="2">
        <f>IF(AND(VLOOKUP(AG$1,test!$A$3:$F$32,5,FALSE) - VLOOKUP($B10,test!$A$3:$G$32,6,FALSE) &gt;= (test!$B$33+VLOOKUP(VLOOKUP($B10,test!$A$2:$I$32,4,FALSE),test!$J$10:$P$14,3,FALSE))/1440),1,0)</f>
        <v>0</v>
      </c>
    </row>
    <row r="11" spans="1:34" x14ac:dyDescent="0.25">
      <c r="A11" t="s">
        <v>48</v>
      </c>
      <c r="B11" t="s">
        <v>18</v>
      </c>
      <c r="C11">
        <v>0</v>
      </c>
      <c r="D11" s="2">
        <f>IF(AND(VLOOKUP(D$1,test!$A$3:$F$32,5,FALSE) - VLOOKUP($B11,test!$A$3:$G$32,6,FALSE) &gt;= (test!$B$33+VLOOKUP(VLOOKUP($B11,test!$A$2:$I$32,4,FALSE),test!$J$10:$P$14,3,FALSE))/1440),1,0)</f>
        <v>0</v>
      </c>
      <c r="E11" s="2">
        <f>IF(AND(VLOOKUP(E$1,test!$A$3:$F$32,5,FALSE) - VLOOKUP($B11,test!$A$3:$G$32,6,FALSE) &gt;= (test!$B$33+VLOOKUP(VLOOKUP($B11,test!$A$2:$I$32,4,FALSE),test!$J$10:$P$14,3,FALSE))/1440),1,0)</f>
        <v>0</v>
      </c>
      <c r="F11" s="2">
        <f>IF(AND(VLOOKUP(F$1,test!$A$3:$F$32,5,FALSE) - VLOOKUP($B11,test!$A$3:$G$32,6,FALSE) &gt;= (test!$B$33+VLOOKUP(VLOOKUP($B11,test!$A$2:$I$32,4,FALSE),test!$J$10:$P$14,3,FALSE))/1440),1,0)</f>
        <v>1</v>
      </c>
      <c r="G11" s="2">
        <f>IF(AND(VLOOKUP(G$1,test!$A$3:$F$32,5,FALSE) - VLOOKUP($B11,test!$A$3:$G$32,6,FALSE) &gt;= (test!$B$33+VLOOKUP(VLOOKUP($B11,test!$A$2:$I$32,4,FALSE),test!$J$10:$P$14,3,FALSE))/1440),1,0)</f>
        <v>1</v>
      </c>
      <c r="H11" s="2">
        <f>IF(AND(VLOOKUP(H$1,test!$A$3:$F$32,5,FALSE) - VLOOKUP($B11,test!$A$3:$G$32,6,FALSE) &gt;= (test!$B$33+VLOOKUP(VLOOKUP($B11,test!$A$2:$I$32,4,FALSE),test!$J$10:$P$14,3,FALSE))/1440),1,0)</f>
        <v>1</v>
      </c>
      <c r="I11" s="2">
        <f>IF(AND(VLOOKUP(I$1,test!$A$3:$F$32,5,FALSE) - VLOOKUP($B11,test!$A$3:$G$32,6,FALSE) &gt;= (test!$B$33+VLOOKUP(VLOOKUP($B11,test!$A$2:$I$32,4,FALSE),test!$J$10:$P$14,3,FALSE))/1440),1,0)</f>
        <v>1</v>
      </c>
      <c r="J11" s="2">
        <f>IF(AND(VLOOKUP(J$1,test!$A$3:$F$32,5,FALSE) - VLOOKUP($B11,test!$A$3:$G$32,6,FALSE) &gt;= (test!$B$33+VLOOKUP(VLOOKUP($B11,test!$A$2:$I$32,4,FALSE),test!$J$10:$P$14,3,FALSE))/1440),1,0)</f>
        <v>1</v>
      </c>
      <c r="K11" s="2">
        <f>IF(AND(VLOOKUP(K$1,test!$A$3:$F$32,5,FALSE) - VLOOKUP($B11,test!$A$3:$G$32,6,FALSE) &gt;= (test!$B$33+VLOOKUP(VLOOKUP($B11,test!$A$2:$I$32,4,FALSE),test!$J$10:$P$14,3,FALSE))/1440),1,0)</f>
        <v>1</v>
      </c>
      <c r="L11" s="2">
        <f>IF(AND(VLOOKUP(L$1,test!$A$3:$F$32,5,FALSE) - VLOOKUP($B11,test!$A$3:$G$32,6,FALSE) &gt;= (test!$B$33+VLOOKUP(VLOOKUP($B11,test!$A$2:$I$32,4,FALSE),test!$J$10:$P$14,3,FALSE))/1440),1,0)</f>
        <v>0</v>
      </c>
      <c r="M11" s="2">
        <f>IF(AND(VLOOKUP(M$1,test!$A$3:$F$32,5,FALSE) - VLOOKUP($B11,test!$A$3:$G$32,6,FALSE) &gt;= (test!$B$33+VLOOKUP(VLOOKUP($B11,test!$A$2:$I$32,4,FALSE),test!$J$10:$P$14,3,FALSE))/1440),1,0)</f>
        <v>0</v>
      </c>
      <c r="N11" s="2">
        <f>IF(AND(VLOOKUP(N$1,test!$A$3:$F$32,5,FALSE) - VLOOKUP($B11,test!$A$3:$G$32,6,FALSE) &gt;= (test!$B$33+VLOOKUP(VLOOKUP($B11,test!$A$2:$I$32,4,FALSE),test!$J$10:$P$14,3,FALSE))/1440),1,0)</f>
        <v>1</v>
      </c>
      <c r="O11" s="2">
        <f>IF(AND(VLOOKUP(O$1,test!$A$3:$F$32,5,FALSE) - VLOOKUP($B11,test!$A$3:$G$32,6,FALSE) &gt;= (test!$B$33+VLOOKUP(VLOOKUP($B11,test!$A$2:$I$32,4,FALSE),test!$J$10:$P$14,3,FALSE))/1440),1,0)</f>
        <v>1</v>
      </c>
      <c r="P11" s="2">
        <f>IF(AND(VLOOKUP(P$1,test!$A$3:$F$32,5,FALSE) - VLOOKUP($B11,test!$A$3:$G$32,6,FALSE) &gt;= (test!$B$33+VLOOKUP(VLOOKUP($B11,test!$A$2:$I$32,4,FALSE),test!$J$10:$P$14,3,FALSE))/1440),1,0)</f>
        <v>1</v>
      </c>
      <c r="Q11" s="2">
        <f>IF(AND(VLOOKUP(Q$1,test!$A$3:$F$32,5,FALSE) - VLOOKUP($B11,test!$A$3:$G$32,6,FALSE) &gt;= (test!$B$33+VLOOKUP(VLOOKUP($B11,test!$A$2:$I$32,4,FALSE),test!$J$10:$P$14,3,FALSE))/1440),1,0)</f>
        <v>0</v>
      </c>
      <c r="R11" s="2">
        <f>IF(AND(VLOOKUP(R$1,test!$A$3:$F$32,5,FALSE) - VLOOKUP($B11,test!$A$3:$G$32,6,FALSE) &gt;= (test!$B$33+VLOOKUP(VLOOKUP($B11,test!$A$2:$I$32,4,FALSE),test!$J$10:$P$14,3,FALSE))/1440),1,0)</f>
        <v>0</v>
      </c>
      <c r="S11" s="2">
        <f>IF(AND(VLOOKUP(S$1,test!$A$3:$F$32,5,FALSE) - VLOOKUP($B11,test!$A$3:$G$32,6,FALSE) &gt;= (test!$B$33+VLOOKUP(VLOOKUP($B11,test!$A$2:$I$32,4,FALSE),test!$J$10:$P$14,3,FALSE))/1440),1,0)</f>
        <v>0</v>
      </c>
      <c r="T11" s="2">
        <f>IF(AND(VLOOKUP(T$1,test!$A$3:$F$32,5,FALSE) - VLOOKUP($B11,test!$A$3:$G$32,6,FALSE) &gt;= (test!$B$33+VLOOKUP(VLOOKUP($B11,test!$A$2:$I$32,4,FALSE),test!$J$10:$P$14,3,FALSE))/1440),1,0)</f>
        <v>0</v>
      </c>
      <c r="U11" s="2">
        <f>IF(AND(VLOOKUP(U$1,test!$A$3:$F$32,5,FALSE) - VLOOKUP($B11,test!$A$3:$G$32,6,FALSE) &gt;= (test!$B$33+VLOOKUP(VLOOKUP($B11,test!$A$2:$I$32,4,FALSE),test!$J$10:$P$14,3,FALSE))/1440),1,0)</f>
        <v>1</v>
      </c>
      <c r="V11" s="2">
        <f>IF(AND(VLOOKUP(V$1,test!$A$3:$F$32,5,FALSE) - VLOOKUP($B11,test!$A$3:$G$32,6,FALSE) &gt;= (test!$B$33+VLOOKUP(VLOOKUP($B11,test!$A$2:$I$32,4,FALSE),test!$J$10:$P$14,3,FALSE))/1440),1,0)</f>
        <v>1</v>
      </c>
      <c r="W11" s="2">
        <f>IF(AND(VLOOKUP(W$1,test!$A$3:$F$32,5,FALSE) - VLOOKUP($B11,test!$A$3:$G$32,6,FALSE) &gt;= (test!$B$33+VLOOKUP(VLOOKUP($B11,test!$A$2:$I$32,4,FALSE),test!$J$10:$P$14,3,FALSE))/1440),1,0)</f>
        <v>1</v>
      </c>
      <c r="X11" s="2">
        <f>IF(AND(VLOOKUP(X$1,test!$A$3:$F$32,5,FALSE) - VLOOKUP($B11,test!$A$3:$G$32,6,FALSE) &gt;= (test!$B$33+VLOOKUP(VLOOKUP($B11,test!$A$2:$I$32,4,FALSE),test!$J$10:$P$14,3,FALSE))/1440),1,0)</f>
        <v>1</v>
      </c>
      <c r="Y11" s="2">
        <f>IF(AND(VLOOKUP(Y$1,test!$A$3:$F$32,5,FALSE) - VLOOKUP($B11,test!$A$3:$G$32,6,FALSE) &gt;= (test!$B$33+VLOOKUP(VLOOKUP($B11,test!$A$2:$I$32,4,FALSE),test!$J$10:$P$14,3,FALSE))/1440),1,0)</f>
        <v>1</v>
      </c>
      <c r="Z11" s="2">
        <f>IF(AND(VLOOKUP(Z$1,test!$A$3:$F$32,5,FALSE) - VLOOKUP($B11,test!$A$3:$G$32,6,FALSE) &gt;= (test!$B$33+VLOOKUP(VLOOKUP($B11,test!$A$2:$I$32,4,FALSE),test!$J$10:$P$14,3,FALSE))/1440),1,0)</f>
        <v>0</v>
      </c>
      <c r="AA11" s="2">
        <f>IF(AND(VLOOKUP(AA$1,test!$A$3:$F$32,5,FALSE) - VLOOKUP($B11,test!$A$3:$G$32,6,FALSE) &gt;= (test!$B$33+VLOOKUP(VLOOKUP($B11,test!$A$2:$I$32,4,FALSE),test!$J$10:$P$14,3,FALSE))/1440),1,0)</f>
        <v>0</v>
      </c>
      <c r="AB11" s="2">
        <f>IF(AND(VLOOKUP(AB$1,test!$A$3:$F$32,5,FALSE) - VLOOKUP($B11,test!$A$3:$G$32,6,FALSE) &gt;= (test!$B$33+VLOOKUP(VLOOKUP($B11,test!$A$2:$I$32,4,FALSE),test!$J$10:$P$14,3,FALSE))/1440),1,0)</f>
        <v>1</v>
      </c>
      <c r="AC11" s="2">
        <f>IF(AND(VLOOKUP(AC$1,test!$A$3:$F$32,5,FALSE) - VLOOKUP($B11,test!$A$3:$G$32,6,FALSE) &gt;= (test!$B$33+VLOOKUP(VLOOKUP($B11,test!$A$2:$I$32,4,FALSE),test!$J$10:$P$14,3,FALSE))/1440),1,0)</f>
        <v>1</v>
      </c>
      <c r="AD11" s="2">
        <f>IF(AND(VLOOKUP(AD$1,test!$A$3:$F$32,5,FALSE) - VLOOKUP($B11,test!$A$3:$G$32,6,FALSE) &gt;= (test!$B$33+VLOOKUP(VLOOKUP($B11,test!$A$2:$I$32,4,FALSE),test!$J$10:$P$14,3,FALSE))/1440),1,0)</f>
        <v>1</v>
      </c>
      <c r="AE11" s="2">
        <f>IF(AND(VLOOKUP(AE$1,test!$A$3:$F$32,5,FALSE) - VLOOKUP($B11,test!$A$3:$G$32,6,FALSE) &gt;= (test!$B$33+VLOOKUP(VLOOKUP($B11,test!$A$2:$I$32,4,FALSE),test!$J$10:$P$14,3,FALSE))/1440),1,0)</f>
        <v>0</v>
      </c>
      <c r="AF11" s="2">
        <f>IF(AND(VLOOKUP(AF$1,test!$A$3:$F$32,5,FALSE) - VLOOKUP($B11,test!$A$3:$G$32,6,FALSE) &gt;= (test!$B$33+VLOOKUP(VLOOKUP($B11,test!$A$2:$I$32,4,FALSE),test!$J$10:$P$14,3,FALSE))/1440),1,0)</f>
        <v>1</v>
      </c>
      <c r="AG11" s="2">
        <f>IF(AND(VLOOKUP(AG$1,test!$A$3:$F$32,5,FALSE) - VLOOKUP($B11,test!$A$3:$G$32,6,FALSE) &gt;= (test!$B$33+VLOOKUP(VLOOKUP($B11,test!$A$2:$I$32,4,FALSE),test!$J$10:$P$14,3,FALSE))/1440),1,0)</f>
        <v>1</v>
      </c>
    </row>
    <row r="12" spans="1:34" x14ac:dyDescent="0.25">
      <c r="A12" t="s">
        <v>48</v>
      </c>
      <c r="B12" t="s">
        <v>20</v>
      </c>
      <c r="C12">
        <v>0</v>
      </c>
      <c r="D12" s="2">
        <f>IF(AND(VLOOKUP(D$1,test!$A$3:$F$32,5,FALSE) - VLOOKUP($B12,test!$A$3:$G$32,6,FALSE) &gt;= (test!$B$33+VLOOKUP(VLOOKUP($B12,test!$A$2:$I$32,4,FALSE),test!$J$10:$P$14,3,FALSE))/1440),1,0)</f>
        <v>0</v>
      </c>
      <c r="E12" s="2">
        <f>IF(AND(VLOOKUP(E$1,test!$A$3:$F$32,5,FALSE) - VLOOKUP($B12,test!$A$3:$G$32,6,FALSE) &gt;= (test!$B$33+VLOOKUP(VLOOKUP($B12,test!$A$2:$I$32,4,FALSE),test!$J$10:$P$14,3,FALSE))/1440),1,0)</f>
        <v>0</v>
      </c>
      <c r="F12" s="2">
        <f>IF(AND(VLOOKUP(F$1,test!$A$3:$F$32,5,FALSE) - VLOOKUP($B12,test!$A$3:$G$32,6,FALSE) &gt;= (test!$B$33+VLOOKUP(VLOOKUP($B12,test!$A$2:$I$32,4,FALSE),test!$J$10:$P$14,3,FALSE))/1440),1,0)</f>
        <v>0</v>
      </c>
      <c r="G12" s="2">
        <f>IF(AND(VLOOKUP(G$1,test!$A$3:$F$32,5,FALSE) - VLOOKUP($B12,test!$A$3:$G$32,6,FALSE) &gt;= (test!$B$33+VLOOKUP(VLOOKUP($B12,test!$A$2:$I$32,4,FALSE),test!$J$10:$P$14,3,FALSE))/1440),1,0)</f>
        <v>1</v>
      </c>
      <c r="H12" s="2">
        <f>IF(AND(VLOOKUP(H$1,test!$A$3:$F$32,5,FALSE) - VLOOKUP($B12,test!$A$3:$G$32,6,FALSE) &gt;= (test!$B$33+VLOOKUP(VLOOKUP($B12,test!$A$2:$I$32,4,FALSE),test!$J$10:$P$14,3,FALSE))/1440),1,0)</f>
        <v>1</v>
      </c>
      <c r="I12" s="2">
        <f>IF(AND(VLOOKUP(I$1,test!$A$3:$F$32,5,FALSE) - VLOOKUP($B12,test!$A$3:$G$32,6,FALSE) &gt;= (test!$B$33+VLOOKUP(VLOOKUP($B12,test!$A$2:$I$32,4,FALSE),test!$J$10:$P$14,3,FALSE))/1440),1,0)</f>
        <v>1</v>
      </c>
      <c r="J12" s="2">
        <f>IF(AND(VLOOKUP(J$1,test!$A$3:$F$32,5,FALSE) - VLOOKUP($B12,test!$A$3:$G$32,6,FALSE) &gt;= (test!$B$33+VLOOKUP(VLOOKUP($B12,test!$A$2:$I$32,4,FALSE),test!$J$10:$P$14,3,FALSE))/1440),1,0)</f>
        <v>1</v>
      </c>
      <c r="K12" s="2">
        <f>IF(AND(VLOOKUP(K$1,test!$A$3:$F$32,5,FALSE) - VLOOKUP($B12,test!$A$3:$G$32,6,FALSE) &gt;= (test!$B$33+VLOOKUP(VLOOKUP($B12,test!$A$2:$I$32,4,FALSE),test!$J$10:$P$14,3,FALSE))/1440),1,0)</f>
        <v>1</v>
      </c>
      <c r="L12" s="2">
        <f>IF(AND(VLOOKUP(L$1,test!$A$3:$F$32,5,FALSE) - VLOOKUP($B12,test!$A$3:$G$32,6,FALSE) &gt;= (test!$B$33+VLOOKUP(VLOOKUP($B12,test!$A$2:$I$32,4,FALSE),test!$J$10:$P$14,3,FALSE))/1440),1,0)</f>
        <v>0</v>
      </c>
      <c r="M12" s="2">
        <f>IF(AND(VLOOKUP(M$1,test!$A$3:$F$32,5,FALSE) - VLOOKUP($B12,test!$A$3:$G$32,6,FALSE) &gt;= (test!$B$33+VLOOKUP(VLOOKUP($B12,test!$A$2:$I$32,4,FALSE),test!$J$10:$P$14,3,FALSE))/1440),1,0)</f>
        <v>0</v>
      </c>
      <c r="N12" s="2">
        <f>IF(AND(VLOOKUP(N$1,test!$A$3:$F$32,5,FALSE) - VLOOKUP($B12,test!$A$3:$G$32,6,FALSE) &gt;= (test!$B$33+VLOOKUP(VLOOKUP($B12,test!$A$2:$I$32,4,FALSE),test!$J$10:$P$14,3,FALSE))/1440),1,0)</f>
        <v>0</v>
      </c>
      <c r="O12" s="2">
        <f>IF(AND(VLOOKUP(O$1,test!$A$3:$F$32,5,FALSE) - VLOOKUP($B12,test!$A$3:$G$32,6,FALSE) &gt;= (test!$B$33+VLOOKUP(VLOOKUP($B12,test!$A$2:$I$32,4,FALSE),test!$J$10:$P$14,3,FALSE))/1440),1,0)</f>
        <v>1</v>
      </c>
      <c r="P12" s="2">
        <f>IF(AND(VLOOKUP(P$1,test!$A$3:$F$32,5,FALSE) - VLOOKUP($B12,test!$A$3:$G$32,6,FALSE) &gt;= (test!$B$33+VLOOKUP(VLOOKUP($B12,test!$A$2:$I$32,4,FALSE),test!$J$10:$P$14,3,FALSE))/1440),1,0)</f>
        <v>1</v>
      </c>
      <c r="Q12" s="2">
        <f>IF(AND(VLOOKUP(Q$1,test!$A$3:$F$32,5,FALSE) - VLOOKUP($B12,test!$A$3:$G$32,6,FALSE) &gt;= (test!$B$33+VLOOKUP(VLOOKUP($B12,test!$A$2:$I$32,4,FALSE),test!$J$10:$P$14,3,FALSE))/1440),1,0)</f>
        <v>0</v>
      </c>
      <c r="R12" s="2">
        <f>IF(AND(VLOOKUP(R$1,test!$A$3:$F$32,5,FALSE) - VLOOKUP($B12,test!$A$3:$G$32,6,FALSE) &gt;= (test!$B$33+VLOOKUP(VLOOKUP($B12,test!$A$2:$I$32,4,FALSE),test!$J$10:$P$14,3,FALSE))/1440),1,0)</f>
        <v>0</v>
      </c>
      <c r="S12" s="2">
        <f>IF(AND(VLOOKUP(S$1,test!$A$3:$F$32,5,FALSE) - VLOOKUP($B12,test!$A$3:$G$32,6,FALSE) &gt;= (test!$B$33+VLOOKUP(VLOOKUP($B12,test!$A$2:$I$32,4,FALSE),test!$J$10:$P$14,3,FALSE))/1440),1,0)</f>
        <v>0</v>
      </c>
      <c r="T12" s="2">
        <f>IF(AND(VLOOKUP(T$1,test!$A$3:$F$32,5,FALSE) - VLOOKUP($B12,test!$A$3:$G$32,6,FALSE) &gt;= (test!$B$33+VLOOKUP(VLOOKUP($B12,test!$A$2:$I$32,4,FALSE),test!$J$10:$P$14,3,FALSE))/1440),1,0)</f>
        <v>0</v>
      </c>
      <c r="U12" s="2">
        <f>IF(AND(VLOOKUP(U$1,test!$A$3:$F$32,5,FALSE) - VLOOKUP($B12,test!$A$3:$G$32,6,FALSE) &gt;= (test!$B$33+VLOOKUP(VLOOKUP($B12,test!$A$2:$I$32,4,FALSE),test!$J$10:$P$14,3,FALSE))/1440),1,0)</f>
        <v>0</v>
      </c>
      <c r="V12" s="2">
        <f>IF(AND(VLOOKUP(V$1,test!$A$3:$F$32,5,FALSE) - VLOOKUP($B12,test!$A$3:$G$32,6,FALSE) &gt;= (test!$B$33+VLOOKUP(VLOOKUP($B12,test!$A$2:$I$32,4,FALSE),test!$J$10:$P$14,3,FALSE))/1440),1,0)</f>
        <v>1</v>
      </c>
      <c r="W12" s="2">
        <f>IF(AND(VLOOKUP(W$1,test!$A$3:$F$32,5,FALSE) - VLOOKUP($B12,test!$A$3:$G$32,6,FALSE) &gt;= (test!$B$33+VLOOKUP(VLOOKUP($B12,test!$A$2:$I$32,4,FALSE),test!$J$10:$P$14,3,FALSE))/1440),1,0)</f>
        <v>1</v>
      </c>
      <c r="X12" s="2">
        <f>IF(AND(VLOOKUP(X$1,test!$A$3:$F$32,5,FALSE) - VLOOKUP($B12,test!$A$3:$G$32,6,FALSE) &gt;= (test!$B$33+VLOOKUP(VLOOKUP($B12,test!$A$2:$I$32,4,FALSE),test!$J$10:$P$14,3,FALSE))/1440),1,0)</f>
        <v>1</v>
      </c>
      <c r="Y12" s="2">
        <f>IF(AND(VLOOKUP(Y$1,test!$A$3:$F$32,5,FALSE) - VLOOKUP($B12,test!$A$3:$G$32,6,FALSE) &gt;= (test!$B$33+VLOOKUP(VLOOKUP($B12,test!$A$2:$I$32,4,FALSE),test!$J$10:$P$14,3,FALSE))/1440),1,0)</f>
        <v>1</v>
      </c>
      <c r="Z12" s="2">
        <f>IF(AND(VLOOKUP(Z$1,test!$A$3:$F$32,5,FALSE) - VLOOKUP($B12,test!$A$3:$G$32,6,FALSE) &gt;= (test!$B$33+VLOOKUP(VLOOKUP($B12,test!$A$2:$I$32,4,FALSE),test!$J$10:$P$14,3,FALSE))/1440),1,0)</f>
        <v>0</v>
      </c>
      <c r="AA12" s="2">
        <f>IF(AND(VLOOKUP(AA$1,test!$A$3:$F$32,5,FALSE) - VLOOKUP($B12,test!$A$3:$G$32,6,FALSE) &gt;= (test!$B$33+VLOOKUP(VLOOKUP($B12,test!$A$2:$I$32,4,FALSE),test!$J$10:$P$14,3,FALSE))/1440),1,0)</f>
        <v>0</v>
      </c>
      <c r="AB12" s="2">
        <f>IF(AND(VLOOKUP(AB$1,test!$A$3:$F$32,5,FALSE) - VLOOKUP($B12,test!$A$3:$G$32,6,FALSE) &gt;= (test!$B$33+VLOOKUP(VLOOKUP($B12,test!$A$2:$I$32,4,FALSE),test!$J$10:$P$14,3,FALSE))/1440),1,0)</f>
        <v>0</v>
      </c>
      <c r="AC12" s="2">
        <f>IF(AND(VLOOKUP(AC$1,test!$A$3:$F$32,5,FALSE) - VLOOKUP($B12,test!$A$3:$G$32,6,FALSE) &gt;= (test!$B$33+VLOOKUP(VLOOKUP($B12,test!$A$2:$I$32,4,FALSE),test!$J$10:$P$14,3,FALSE))/1440),1,0)</f>
        <v>1</v>
      </c>
      <c r="AD12" s="2">
        <f>IF(AND(VLOOKUP(AD$1,test!$A$3:$F$32,5,FALSE) - VLOOKUP($B12,test!$A$3:$G$32,6,FALSE) &gt;= (test!$B$33+VLOOKUP(VLOOKUP($B12,test!$A$2:$I$32,4,FALSE),test!$J$10:$P$14,3,FALSE))/1440),1,0)</f>
        <v>1</v>
      </c>
      <c r="AE12" s="2">
        <f>IF(AND(VLOOKUP(AE$1,test!$A$3:$F$32,5,FALSE) - VLOOKUP($B12,test!$A$3:$G$32,6,FALSE) &gt;= (test!$B$33+VLOOKUP(VLOOKUP($B12,test!$A$2:$I$32,4,FALSE),test!$J$10:$P$14,3,FALSE))/1440),1,0)</f>
        <v>0</v>
      </c>
      <c r="AF12" s="2">
        <f>IF(AND(VLOOKUP(AF$1,test!$A$3:$F$32,5,FALSE) - VLOOKUP($B12,test!$A$3:$G$32,6,FALSE) &gt;= (test!$B$33+VLOOKUP(VLOOKUP($B12,test!$A$2:$I$32,4,FALSE),test!$J$10:$P$14,3,FALSE))/1440),1,0)</f>
        <v>0</v>
      </c>
      <c r="AG12" s="2">
        <f>IF(AND(VLOOKUP(AG$1,test!$A$3:$F$32,5,FALSE) - VLOOKUP($B12,test!$A$3:$G$32,6,FALSE) &gt;= (test!$B$33+VLOOKUP(VLOOKUP($B12,test!$A$2:$I$32,4,FALSE),test!$J$10:$P$14,3,FALSE))/1440),1,0)</f>
        <v>0</v>
      </c>
    </row>
    <row r="13" spans="1:34" x14ac:dyDescent="0.25">
      <c r="A13" t="s">
        <v>48</v>
      </c>
      <c r="B13" t="s">
        <v>21</v>
      </c>
      <c r="C13">
        <v>0</v>
      </c>
      <c r="D13" s="2">
        <f>IF(AND(VLOOKUP(D$1,test!$A$3:$F$32,5,FALSE) - VLOOKUP($B13,test!$A$3:$G$32,6,FALSE) &gt;= (test!$B$33+VLOOKUP(VLOOKUP($B13,test!$A$2:$I$32,4,FALSE),test!$J$10:$P$14,3,FALSE))/1440),1,0)</f>
        <v>0</v>
      </c>
      <c r="E13" s="2">
        <f>IF(AND(VLOOKUP(E$1,test!$A$3:$F$32,5,FALSE) - VLOOKUP($B13,test!$A$3:$G$32,6,FALSE) &gt;= (test!$B$33+VLOOKUP(VLOOKUP($B13,test!$A$2:$I$32,4,FALSE),test!$J$10:$P$14,3,FALSE))/1440),1,0)</f>
        <v>0</v>
      </c>
      <c r="F13" s="2">
        <f>IF(AND(VLOOKUP(F$1,test!$A$3:$F$32,5,FALSE) - VLOOKUP($B13,test!$A$3:$G$32,6,FALSE) &gt;= (test!$B$33+VLOOKUP(VLOOKUP($B13,test!$A$2:$I$32,4,FALSE),test!$J$10:$P$14,3,FALSE))/1440),1,0)</f>
        <v>0</v>
      </c>
      <c r="G13" s="2">
        <f>IF(AND(VLOOKUP(G$1,test!$A$3:$F$32,5,FALSE) - VLOOKUP($B13,test!$A$3:$G$32,6,FALSE) &gt;= (test!$B$33+VLOOKUP(VLOOKUP($B13,test!$A$2:$I$32,4,FALSE),test!$J$10:$P$14,3,FALSE))/1440),1,0)</f>
        <v>0</v>
      </c>
      <c r="H13" s="2">
        <f>IF(AND(VLOOKUP(H$1,test!$A$3:$F$32,5,FALSE) - VLOOKUP($B13,test!$A$3:$G$32,6,FALSE) &gt;= (test!$B$33+VLOOKUP(VLOOKUP($B13,test!$A$2:$I$32,4,FALSE),test!$J$10:$P$14,3,FALSE))/1440),1,0)</f>
        <v>0</v>
      </c>
      <c r="I13" s="2">
        <f>IF(AND(VLOOKUP(I$1,test!$A$3:$F$32,5,FALSE) - VLOOKUP($B13,test!$A$3:$G$32,6,FALSE) &gt;= (test!$B$33+VLOOKUP(VLOOKUP($B13,test!$A$2:$I$32,4,FALSE),test!$J$10:$P$14,3,FALSE))/1440),1,0)</f>
        <v>1</v>
      </c>
      <c r="J13" s="2">
        <f>IF(AND(VLOOKUP(J$1,test!$A$3:$F$32,5,FALSE) - VLOOKUP($B13,test!$A$3:$G$32,6,FALSE) &gt;= (test!$B$33+VLOOKUP(VLOOKUP($B13,test!$A$2:$I$32,4,FALSE),test!$J$10:$P$14,3,FALSE))/1440),1,0)</f>
        <v>1</v>
      </c>
      <c r="K13" s="2">
        <f>IF(AND(VLOOKUP(K$1,test!$A$3:$F$32,5,FALSE) - VLOOKUP($B13,test!$A$3:$G$32,6,FALSE) &gt;= (test!$B$33+VLOOKUP(VLOOKUP($B13,test!$A$2:$I$32,4,FALSE),test!$J$10:$P$14,3,FALSE))/1440),1,0)</f>
        <v>1</v>
      </c>
      <c r="L13" s="2">
        <f>IF(AND(VLOOKUP(L$1,test!$A$3:$F$32,5,FALSE) - VLOOKUP($B13,test!$A$3:$G$32,6,FALSE) &gt;= (test!$B$33+VLOOKUP(VLOOKUP($B13,test!$A$2:$I$32,4,FALSE),test!$J$10:$P$14,3,FALSE))/1440),1,0)</f>
        <v>0</v>
      </c>
      <c r="M13" s="2">
        <f>IF(AND(VLOOKUP(M$1,test!$A$3:$F$32,5,FALSE) - VLOOKUP($B13,test!$A$3:$G$32,6,FALSE) &gt;= (test!$B$33+VLOOKUP(VLOOKUP($B13,test!$A$2:$I$32,4,FALSE),test!$J$10:$P$14,3,FALSE))/1440),1,0)</f>
        <v>0</v>
      </c>
      <c r="N13" s="2">
        <f>IF(AND(VLOOKUP(N$1,test!$A$3:$F$32,5,FALSE) - VLOOKUP($B13,test!$A$3:$G$32,6,FALSE) &gt;= (test!$B$33+VLOOKUP(VLOOKUP($B13,test!$A$2:$I$32,4,FALSE),test!$J$10:$P$14,3,FALSE))/1440),1,0)</f>
        <v>0</v>
      </c>
      <c r="O13" s="2">
        <f>IF(AND(VLOOKUP(O$1,test!$A$3:$F$32,5,FALSE) - VLOOKUP($B13,test!$A$3:$G$32,6,FALSE) &gt;= (test!$B$33+VLOOKUP(VLOOKUP($B13,test!$A$2:$I$32,4,FALSE),test!$J$10:$P$14,3,FALSE))/1440),1,0)</f>
        <v>1</v>
      </c>
      <c r="P13" s="2">
        <f>IF(AND(VLOOKUP(P$1,test!$A$3:$F$32,5,FALSE) - VLOOKUP($B13,test!$A$3:$G$32,6,FALSE) &gt;= (test!$B$33+VLOOKUP(VLOOKUP($B13,test!$A$2:$I$32,4,FALSE),test!$J$10:$P$14,3,FALSE))/1440),1,0)</f>
        <v>1</v>
      </c>
      <c r="Q13" s="2">
        <f>IF(AND(VLOOKUP(Q$1,test!$A$3:$F$32,5,FALSE) - VLOOKUP($B13,test!$A$3:$G$32,6,FALSE) &gt;= (test!$B$33+VLOOKUP(VLOOKUP($B13,test!$A$2:$I$32,4,FALSE),test!$J$10:$P$14,3,FALSE))/1440),1,0)</f>
        <v>0</v>
      </c>
      <c r="R13" s="2">
        <f>IF(AND(VLOOKUP(R$1,test!$A$3:$F$32,5,FALSE) - VLOOKUP($B13,test!$A$3:$G$32,6,FALSE) &gt;= (test!$B$33+VLOOKUP(VLOOKUP($B13,test!$A$2:$I$32,4,FALSE),test!$J$10:$P$14,3,FALSE))/1440),1,0)</f>
        <v>0</v>
      </c>
      <c r="S13" s="2">
        <f>IF(AND(VLOOKUP(S$1,test!$A$3:$F$32,5,FALSE) - VLOOKUP($B13,test!$A$3:$G$32,6,FALSE) &gt;= (test!$B$33+VLOOKUP(VLOOKUP($B13,test!$A$2:$I$32,4,FALSE),test!$J$10:$P$14,3,FALSE))/1440),1,0)</f>
        <v>0</v>
      </c>
      <c r="T13" s="2">
        <f>IF(AND(VLOOKUP(T$1,test!$A$3:$F$32,5,FALSE) - VLOOKUP($B13,test!$A$3:$G$32,6,FALSE) &gt;= (test!$B$33+VLOOKUP(VLOOKUP($B13,test!$A$2:$I$32,4,FALSE),test!$J$10:$P$14,3,FALSE))/1440),1,0)</f>
        <v>0</v>
      </c>
      <c r="U13" s="2">
        <f>IF(AND(VLOOKUP(U$1,test!$A$3:$F$32,5,FALSE) - VLOOKUP($B13,test!$A$3:$G$32,6,FALSE) &gt;= (test!$B$33+VLOOKUP(VLOOKUP($B13,test!$A$2:$I$32,4,FALSE),test!$J$10:$P$14,3,FALSE))/1440),1,0)</f>
        <v>0</v>
      </c>
      <c r="V13" s="2">
        <f>IF(AND(VLOOKUP(V$1,test!$A$3:$F$32,5,FALSE) - VLOOKUP($B13,test!$A$3:$G$32,6,FALSE) &gt;= (test!$B$33+VLOOKUP(VLOOKUP($B13,test!$A$2:$I$32,4,FALSE),test!$J$10:$P$14,3,FALSE))/1440),1,0)</f>
        <v>0</v>
      </c>
      <c r="W13" s="2">
        <f>IF(AND(VLOOKUP(W$1,test!$A$3:$F$32,5,FALSE) - VLOOKUP($B13,test!$A$3:$G$32,6,FALSE) &gt;= (test!$B$33+VLOOKUP(VLOOKUP($B13,test!$A$2:$I$32,4,FALSE),test!$J$10:$P$14,3,FALSE))/1440),1,0)</f>
        <v>0</v>
      </c>
      <c r="X13" s="2">
        <f>IF(AND(VLOOKUP(X$1,test!$A$3:$F$32,5,FALSE) - VLOOKUP($B13,test!$A$3:$G$32,6,FALSE) &gt;= (test!$B$33+VLOOKUP(VLOOKUP($B13,test!$A$2:$I$32,4,FALSE),test!$J$10:$P$14,3,FALSE))/1440),1,0)</f>
        <v>1</v>
      </c>
      <c r="Y13" s="2">
        <f>IF(AND(VLOOKUP(Y$1,test!$A$3:$F$32,5,FALSE) - VLOOKUP($B13,test!$A$3:$G$32,6,FALSE) &gt;= (test!$B$33+VLOOKUP(VLOOKUP($B13,test!$A$2:$I$32,4,FALSE),test!$J$10:$P$14,3,FALSE))/1440),1,0)</f>
        <v>1</v>
      </c>
      <c r="Z13" s="2">
        <f>IF(AND(VLOOKUP(Z$1,test!$A$3:$F$32,5,FALSE) - VLOOKUP($B13,test!$A$3:$G$32,6,FALSE) &gt;= (test!$B$33+VLOOKUP(VLOOKUP($B13,test!$A$2:$I$32,4,FALSE),test!$J$10:$P$14,3,FALSE))/1440),1,0)</f>
        <v>0</v>
      </c>
      <c r="AA13" s="2">
        <f>IF(AND(VLOOKUP(AA$1,test!$A$3:$F$32,5,FALSE) - VLOOKUP($B13,test!$A$3:$G$32,6,FALSE) &gt;= (test!$B$33+VLOOKUP(VLOOKUP($B13,test!$A$2:$I$32,4,FALSE),test!$J$10:$P$14,3,FALSE))/1440),1,0)</f>
        <v>0</v>
      </c>
      <c r="AB13" s="2">
        <f>IF(AND(VLOOKUP(AB$1,test!$A$3:$F$32,5,FALSE) - VLOOKUP($B13,test!$A$3:$G$32,6,FALSE) &gt;= (test!$B$33+VLOOKUP(VLOOKUP($B13,test!$A$2:$I$32,4,FALSE),test!$J$10:$P$14,3,FALSE))/1440),1,0)</f>
        <v>0</v>
      </c>
      <c r="AC13" s="2">
        <f>IF(AND(VLOOKUP(AC$1,test!$A$3:$F$32,5,FALSE) - VLOOKUP($B13,test!$A$3:$G$32,6,FALSE) &gt;= (test!$B$33+VLOOKUP(VLOOKUP($B13,test!$A$2:$I$32,4,FALSE),test!$J$10:$P$14,3,FALSE))/1440),1,0)</f>
        <v>0</v>
      </c>
      <c r="AD13" s="2">
        <f>IF(AND(VLOOKUP(AD$1,test!$A$3:$F$32,5,FALSE) - VLOOKUP($B13,test!$A$3:$G$32,6,FALSE) &gt;= (test!$B$33+VLOOKUP(VLOOKUP($B13,test!$A$2:$I$32,4,FALSE),test!$J$10:$P$14,3,FALSE))/1440),1,0)</f>
        <v>1</v>
      </c>
      <c r="AE13" s="2">
        <f>IF(AND(VLOOKUP(AE$1,test!$A$3:$F$32,5,FALSE) - VLOOKUP($B13,test!$A$3:$G$32,6,FALSE) &gt;= (test!$B$33+VLOOKUP(VLOOKUP($B13,test!$A$2:$I$32,4,FALSE),test!$J$10:$P$14,3,FALSE))/1440),1,0)</f>
        <v>0</v>
      </c>
      <c r="AF13" s="2">
        <f>IF(AND(VLOOKUP(AF$1,test!$A$3:$F$32,5,FALSE) - VLOOKUP($B13,test!$A$3:$G$32,6,FALSE) &gt;= (test!$B$33+VLOOKUP(VLOOKUP($B13,test!$A$2:$I$32,4,FALSE),test!$J$10:$P$14,3,FALSE))/1440),1,0)</f>
        <v>0</v>
      </c>
      <c r="AG13" s="2">
        <f>IF(AND(VLOOKUP(AG$1,test!$A$3:$F$32,5,FALSE) - VLOOKUP($B13,test!$A$3:$G$32,6,FALSE) &gt;= (test!$B$33+VLOOKUP(VLOOKUP($B13,test!$A$2:$I$32,4,FALSE),test!$J$10:$P$14,3,FALSE))/1440),1,0)</f>
        <v>0</v>
      </c>
    </row>
    <row r="14" spans="1:34" x14ac:dyDescent="0.25">
      <c r="A14" t="s">
        <v>48</v>
      </c>
      <c r="B14" t="s">
        <v>22</v>
      </c>
      <c r="C14">
        <v>0</v>
      </c>
      <c r="D14" s="2">
        <f>IF(AND(VLOOKUP(D$1,test!$A$3:$F$32,5,FALSE) - VLOOKUP($B14,test!$A$3:$G$32,6,FALSE) &gt;= (test!$B$33+VLOOKUP(VLOOKUP($B14,test!$A$2:$I$32,4,FALSE),test!$J$10:$P$14,3,FALSE))/1440),1,0)</f>
        <v>0</v>
      </c>
      <c r="E14" s="2">
        <f>IF(AND(VLOOKUP(E$1,test!$A$3:$F$32,5,FALSE) - VLOOKUP($B14,test!$A$3:$G$32,6,FALSE) &gt;= (test!$B$33+VLOOKUP(VLOOKUP($B14,test!$A$2:$I$32,4,FALSE),test!$J$10:$P$14,3,FALSE))/1440),1,0)</f>
        <v>0</v>
      </c>
      <c r="F14" s="2">
        <f>IF(AND(VLOOKUP(F$1,test!$A$3:$F$32,5,FALSE) - VLOOKUP($B14,test!$A$3:$G$32,6,FALSE) &gt;= (test!$B$33+VLOOKUP(VLOOKUP($B14,test!$A$2:$I$32,4,FALSE),test!$J$10:$P$14,3,FALSE))/1440),1,0)</f>
        <v>0</v>
      </c>
      <c r="G14" s="2">
        <f>IF(AND(VLOOKUP(G$1,test!$A$3:$F$32,5,FALSE) - VLOOKUP($B14,test!$A$3:$G$32,6,FALSE) &gt;= (test!$B$33+VLOOKUP(VLOOKUP($B14,test!$A$2:$I$32,4,FALSE),test!$J$10:$P$14,3,FALSE))/1440),1,0)</f>
        <v>0</v>
      </c>
      <c r="H14" s="2">
        <f>IF(AND(VLOOKUP(H$1,test!$A$3:$F$32,5,FALSE) - VLOOKUP($B14,test!$A$3:$G$32,6,FALSE) &gt;= (test!$B$33+VLOOKUP(VLOOKUP($B14,test!$A$2:$I$32,4,FALSE),test!$J$10:$P$14,3,FALSE))/1440),1,0)</f>
        <v>0</v>
      </c>
      <c r="I14" s="2">
        <f>IF(AND(VLOOKUP(I$1,test!$A$3:$F$32,5,FALSE) - VLOOKUP($B14,test!$A$3:$G$32,6,FALSE) &gt;= (test!$B$33+VLOOKUP(VLOOKUP($B14,test!$A$2:$I$32,4,FALSE),test!$J$10:$P$14,3,FALSE))/1440),1,0)</f>
        <v>0</v>
      </c>
      <c r="J14" s="2">
        <f>IF(AND(VLOOKUP(J$1,test!$A$3:$F$32,5,FALSE) - VLOOKUP($B14,test!$A$3:$G$32,6,FALSE) &gt;= (test!$B$33+VLOOKUP(VLOOKUP($B14,test!$A$2:$I$32,4,FALSE),test!$J$10:$P$14,3,FALSE))/1440),1,0)</f>
        <v>0</v>
      </c>
      <c r="K14" s="2">
        <f>IF(AND(VLOOKUP(K$1,test!$A$3:$F$32,5,FALSE) - VLOOKUP($B14,test!$A$3:$G$32,6,FALSE) &gt;= (test!$B$33+VLOOKUP(VLOOKUP($B14,test!$A$2:$I$32,4,FALSE),test!$J$10:$P$14,3,FALSE))/1440),1,0)</f>
        <v>0</v>
      </c>
      <c r="L14" s="2">
        <f>IF(AND(VLOOKUP(L$1,test!$A$3:$F$32,5,FALSE) - VLOOKUP($B14,test!$A$3:$G$32,6,FALSE) &gt;= (test!$B$33+VLOOKUP(VLOOKUP($B14,test!$A$2:$I$32,4,FALSE),test!$J$10:$P$14,3,FALSE))/1440),1,0)</f>
        <v>0</v>
      </c>
      <c r="M14" s="2">
        <f>IF(AND(VLOOKUP(M$1,test!$A$3:$F$32,5,FALSE) - VLOOKUP($B14,test!$A$3:$G$32,6,FALSE) &gt;= (test!$B$33+VLOOKUP(VLOOKUP($B14,test!$A$2:$I$32,4,FALSE),test!$J$10:$P$14,3,FALSE))/1440),1,0)</f>
        <v>0</v>
      </c>
      <c r="N14" s="2">
        <f>IF(AND(VLOOKUP(N$1,test!$A$3:$F$32,5,FALSE) - VLOOKUP($B14,test!$A$3:$G$32,6,FALSE) &gt;= (test!$B$33+VLOOKUP(VLOOKUP($B14,test!$A$2:$I$32,4,FALSE),test!$J$10:$P$14,3,FALSE))/1440),1,0)</f>
        <v>0</v>
      </c>
      <c r="O14" s="2">
        <f>IF(AND(VLOOKUP(O$1,test!$A$3:$F$32,5,FALSE) - VLOOKUP($B14,test!$A$3:$G$32,6,FALSE) &gt;= (test!$B$33+VLOOKUP(VLOOKUP($B14,test!$A$2:$I$32,4,FALSE),test!$J$10:$P$14,3,FALSE))/1440),1,0)</f>
        <v>0</v>
      </c>
      <c r="P14" s="2">
        <f>IF(AND(VLOOKUP(P$1,test!$A$3:$F$32,5,FALSE) - VLOOKUP($B14,test!$A$3:$G$32,6,FALSE) &gt;= (test!$B$33+VLOOKUP(VLOOKUP($B14,test!$A$2:$I$32,4,FALSE),test!$J$10:$P$14,3,FALSE))/1440),1,0)</f>
        <v>0</v>
      </c>
      <c r="Q14" s="2">
        <f>IF(AND(VLOOKUP(Q$1,test!$A$3:$F$32,5,FALSE) - VLOOKUP($B14,test!$A$3:$G$32,6,FALSE) &gt;= (test!$B$33+VLOOKUP(VLOOKUP($B14,test!$A$2:$I$32,4,FALSE),test!$J$10:$P$14,3,FALSE))/1440),1,0)</f>
        <v>0</v>
      </c>
      <c r="R14" s="2">
        <f>IF(AND(VLOOKUP(R$1,test!$A$3:$F$32,5,FALSE) - VLOOKUP($B14,test!$A$3:$G$32,6,FALSE) &gt;= (test!$B$33+VLOOKUP(VLOOKUP($B14,test!$A$2:$I$32,4,FALSE),test!$J$10:$P$14,3,FALSE))/1440),1,0)</f>
        <v>0</v>
      </c>
      <c r="S14" s="2">
        <f>IF(AND(VLOOKUP(S$1,test!$A$3:$F$32,5,FALSE) - VLOOKUP($B14,test!$A$3:$G$32,6,FALSE) &gt;= (test!$B$33+VLOOKUP(VLOOKUP($B14,test!$A$2:$I$32,4,FALSE),test!$J$10:$P$14,3,FALSE))/1440),1,0)</f>
        <v>0</v>
      </c>
      <c r="T14" s="2">
        <f>IF(AND(VLOOKUP(T$1,test!$A$3:$F$32,5,FALSE) - VLOOKUP($B14,test!$A$3:$G$32,6,FALSE) &gt;= (test!$B$33+VLOOKUP(VLOOKUP($B14,test!$A$2:$I$32,4,FALSE),test!$J$10:$P$14,3,FALSE))/1440),1,0)</f>
        <v>0</v>
      </c>
      <c r="U14" s="2">
        <f>IF(AND(VLOOKUP(U$1,test!$A$3:$F$32,5,FALSE) - VLOOKUP($B14,test!$A$3:$G$32,6,FALSE) &gt;= (test!$B$33+VLOOKUP(VLOOKUP($B14,test!$A$2:$I$32,4,FALSE),test!$J$10:$P$14,3,FALSE))/1440),1,0)</f>
        <v>0</v>
      </c>
      <c r="V14" s="2">
        <f>IF(AND(VLOOKUP(V$1,test!$A$3:$F$32,5,FALSE) - VLOOKUP($B14,test!$A$3:$G$32,6,FALSE) &gt;= (test!$B$33+VLOOKUP(VLOOKUP($B14,test!$A$2:$I$32,4,FALSE),test!$J$10:$P$14,3,FALSE))/1440),1,0)</f>
        <v>0</v>
      </c>
      <c r="W14" s="2">
        <f>IF(AND(VLOOKUP(W$1,test!$A$3:$F$32,5,FALSE) - VLOOKUP($B14,test!$A$3:$G$32,6,FALSE) &gt;= (test!$B$33+VLOOKUP(VLOOKUP($B14,test!$A$2:$I$32,4,FALSE),test!$J$10:$P$14,3,FALSE))/1440),1,0)</f>
        <v>0</v>
      </c>
      <c r="X14" s="2">
        <f>IF(AND(VLOOKUP(X$1,test!$A$3:$F$32,5,FALSE) - VLOOKUP($B14,test!$A$3:$G$32,6,FALSE) &gt;= (test!$B$33+VLOOKUP(VLOOKUP($B14,test!$A$2:$I$32,4,FALSE),test!$J$10:$P$14,3,FALSE))/1440),1,0)</f>
        <v>0</v>
      </c>
      <c r="Y14" s="2">
        <f>IF(AND(VLOOKUP(Y$1,test!$A$3:$F$32,5,FALSE) - VLOOKUP($B14,test!$A$3:$G$32,6,FALSE) &gt;= (test!$B$33+VLOOKUP(VLOOKUP($B14,test!$A$2:$I$32,4,FALSE),test!$J$10:$P$14,3,FALSE))/1440),1,0)</f>
        <v>0</v>
      </c>
      <c r="Z14" s="2">
        <f>IF(AND(VLOOKUP(Z$1,test!$A$3:$F$32,5,FALSE) - VLOOKUP($B14,test!$A$3:$G$32,6,FALSE) &gt;= (test!$B$33+VLOOKUP(VLOOKUP($B14,test!$A$2:$I$32,4,FALSE),test!$J$10:$P$14,3,FALSE))/1440),1,0)</f>
        <v>0</v>
      </c>
      <c r="AA14" s="2">
        <f>IF(AND(VLOOKUP(AA$1,test!$A$3:$F$32,5,FALSE) - VLOOKUP($B14,test!$A$3:$G$32,6,FALSE) &gt;= (test!$B$33+VLOOKUP(VLOOKUP($B14,test!$A$2:$I$32,4,FALSE),test!$J$10:$P$14,3,FALSE))/1440),1,0)</f>
        <v>0</v>
      </c>
      <c r="AB14" s="2">
        <f>IF(AND(VLOOKUP(AB$1,test!$A$3:$F$32,5,FALSE) - VLOOKUP($B14,test!$A$3:$G$32,6,FALSE) &gt;= (test!$B$33+VLOOKUP(VLOOKUP($B14,test!$A$2:$I$32,4,FALSE),test!$J$10:$P$14,3,FALSE))/1440),1,0)</f>
        <v>0</v>
      </c>
      <c r="AC14" s="2">
        <f>IF(AND(VLOOKUP(AC$1,test!$A$3:$F$32,5,FALSE) - VLOOKUP($B14,test!$A$3:$G$32,6,FALSE) &gt;= (test!$B$33+VLOOKUP(VLOOKUP($B14,test!$A$2:$I$32,4,FALSE),test!$J$10:$P$14,3,FALSE))/1440),1,0)</f>
        <v>0</v>
      </c>
      <c r="AD14" s="2">
        <f>IF(AND(VLOOKUP(AD$1,test!$A$3:$F$32,5,FALSE) - VLOOKUP($B14,test!$A$3:$G$32,6,FALSE) &gt;= (test!$B$33+VLOOKUP(VLOOKUP($B14,test!$A$2:$I$32,4,FALSE),test!$J$10:$P$14,3,FALSE))/1440),1,0)</f>
        <v>0</v>
      </c>
      <c r="AE14" s="2">
        <f>IF(AND(VLOOKUP(AE$1,test!$A$3:$F$32,5,FALSE) - VLOOKUP($B14,test!$A$3:$G$32,6,FALSE) &gt;= (test!$B$33+VLOOKUP(VLOOKUP($B14,test!$A$2:$I$32,4,FALSE),test!$J$10:$P$14,3,FALSE))/1440),1,0)</f>
        <v>0</v>
      </c>
      <c r="AF14" s="2">
        <f>IF(AND(VLOOKUP(AF$1,test!$A$3:$F$32,5,FALSE) - VLOOKUP($B14,test!$A$3:$G$32,6,FALSE) &gt;= (test!$B$33+VLOOKUP(VLOOKUP($B14,test!$A$2:$I$32,4,FALSE),test!$J$10:$P$14,3,FALSE))/1440),1,0)</f>
        <v>0</v>
      </c>
      <c r="AG14" s="2">
        <f>IF(AND(VLOOKUP(AG$1,test!$A$3:$F$32,5,FALSE) - VLOOKUP($B14,test!$A$3:$G$32,6,FALSE) &gt;= (test!$B$33+VLOOKUP(VLOOKUP($B14,test!$A$2:$I$32,4,FALSE),test!$J$10:$P$14,3,FALSE))/1440),1,0)</f>
        <v>0</v>
      </c>
    </row>
    <row r="15" spans="1:34" x14ac:dyDescent="0.25">
      <c r="A15" t="s">
        <v>48</v>
      </c>
      <c r="B15" t="s">
        <v>23</v>
      </c>
      <c r="C15">
        <v>0</v>
      </c>
      <c r="D15" s="2">
        <f>IF(AND(VLOOKUP(D$1,test!$A$3:$F$32,5,FALSE) - VLOOKUP($B15,test!$A$3:$G$32,6,FALSE) &gt;= (test!$B$33+VLOOKUP(VLOOKUP($B15,test!$A$2:$I$32,4,FALSE),test!$J$10:$P$14,3,FALSE))/1440),1,0)</f>
        <v>0</v>
      </c>
      <c r="E15" s="2">
        <f>IF(AND(VLOOKUP(E$1,test!$A$3:$F$32,5,FALSE) - VLOOKUP($B15,test!$A$3:$G$32,6,FALSE) &gt;= (test!$B$33+VLOOKUP(VLOOKUP($B15,test!$A$2:$I$32,4,FALSE),test!$J$10:$P$14,3,FALSE))/1440),1,0)</f>
        <v>0</v>
      </c>
      <c r="F15" s="2">
        <f>IF(AND(VLOOKUP(F$1,test!$A$3:$F$32,5,FALSE) - VLOOKUP($B15,test!$A$3:$G$32,6,FALSE) &gt;= (test!$B$33+VLOOKUP(VLOOKUP($B15,test!$A$2:$I$32,4,FALSE),test!$J$10:$P$14,3,FALSE))/1440),1,0)</f>
        <v>0</v>
      </c>
      <c r="G15" s="2">
        <f>IF(AND(VLOOKUP(G$1,test!$A$3:$F$32,5,FALSE) - VLOOKUP($B15,test!$A$3:$G$32,6,FALSE) &gt;= (test!$B$33+VLOOKUP(VLOOKUP($B15,test!$A$2:$I$32,4,FALSE),test!$J$10:$P$14,3,FALSE))/1440),1,0)</f>
        <v>0</v>
      </c>
      <c r="H15" s="2">
        <f>IF(AND(VLOOKUP(H$1,test!$A$3:$F$32,5,FALSE) - VLOOKUP($B15,test!$A$3:$G$32,6,FALSE) &gt;= (test!$B$33+VLOOKUP(VLOOKUP($B15,test!$A$2:$I$32,4,FALSE),test!$J$10:$P$14,3,FALSE))/1440),1,0)</f>
        <v>0</v>
      </c>
      <c r="I15" s="2">
        <f>IF(AND(VLOOKUP(I$1,test!$A$3:$F$32,5,FALSE) - VLOOKUP($B15,test!$A$3:$G$32,6,FALSE) &gt;= (test!$B$33+VLOOKUP(VLOOKUP($B15,test!$A$2:$I$32,4,FALSE),test!$J$10:$P$14,3,FALSE))/1440),1,0)</f>
        <v>0</v>
      </c>
      <c r="J15" s="2">
        <f>IF(AND(VLOOKUP(J$1,test!$A$3:$F$32,5,FALSE) - VLOOKUP($B15,test!$A$3:$G$32,6,FALSE) &gt;= (test!$B$33+VLOOKUP(VLOOKUP($B15,test!$A$2:$I$32,4,FALSE),test!$J$10:$P$14,3,FALSE))/1440),1,0)</f>
        <v>0</v>
      </c>
      <c r="K15" s="2">
        <f>IF(AND(VLOOKUP(K$1,test!$A$3:$F$32,5,FALSE) - VLOOKUP($B15,test!$A$3:$G$32,6,FALSE) &gt;= (test!$B$33+VLOOKUP(VLOOKUP($B15,test!$A$2:$I$32,4,FALSE),test!$J$10:$P$14,3,FALSE))/1440),1,0)</f>
        <v>0</v>
      </c>
      <c r="L15" s="2">
        <f>IF(AND(VLOOKUP(L$1,test!$A$3:$F$32,5,FALSE) - VLOOKUP($B15,test!$A$3:$G$32,6,FALSE) &gt;= (test!$B$33+VLOOKUP(VLOOKUP($B15,test!$A$2:$I$32,4,FALSE),test!$J$10:$P$14,3,FALSE))/1440),1,0)</f>
        <v>0</v>
      </c>
      <c r="M15" s="2">
        <f>IF(AND(VLOOKUP(M$1,test!$A$3:$F$32,5,FALSE) - VLOOKUP($B15,test!$A$3:$G$32,6,FALSE) &gt;= (test!$B$33+VLOOKUP(VLOOKUP($B15,test!$A$2:$I$32,4,FALSE),test!$J$10:$P$14,3,FALSE))/1440),1,0)</f>
        <v>0</v>
      </c>
      <c r="N15" s="2">
        <f>IF(AND(VLOOKUP(N$1,test!$A$3:$F$32,5,FALSE) - VLOOKUP($B15,test!$A$3:$G$32,6,FALSE) &gt;= (test!$B$33+VLOOKUP(VLOOKUP($B15,test!$A$2:$I$32,4,FALSE),test!$J$10:$P$14,3,FALSE))/1440),1,0)</f>
        <v>0</v>
      </c>
      <c r="O15" s="2">
        <f>IF(AND(VLOOKUP(O$1,test!$A$3:$F$32,5,FALSE) - VLOOKUP($B15,test!$A$3:$G$32,6,FALSE) &gt;= (test!$B$33+VLOOKUP(VLOOKUP($B15,test!$A$2:$I$32,4,FALSE),test!$J$10:$P$14,3,FALSE))/1440),1,0)</f>
        <v>0</v>
      </c>
      <c r="P15" s="2">
        <f>IF(AND(VLOOKUP(P$1,test!$A$3:$F$32,5,FALSE) - VLOOKUP($B15,test!$A$3:$G$32,6,FALSE) &gt;= (test!$B$33+VLOOKUP(VLOOKUP($B15,test!$A$2:$I$32,4,FALSE),test!$J$10:$P$14,3,FALSE))/1440),1,0)</f>
        <v>0</v>
      </c>
      <c r="Q15" s="2">
        <f>IF(AND(VLOOKUP(Q$1,test!$A$3:$F$32,5,FALSE) - VLOOKUP($B15,test!$A$3:$G$32,6,FALSE) &gt;= (test!$B$33+VLOOKUP(VLOOKUP($B15,test!$A$2:$I$32,4,FALSE),test!$J$10:$P$14,3,FALSE))/1440),1,0)</f>
        <v>0</v>
      </c>
      <c r="R15" s="2">
        <f>IF(AND(VLOOKUP(R$1,test!$A$3:$F$32,5,FALSE) - VLOOKUP($B15,test!$A$3:$G$32,6,FALSE) &gt;= (test!$B$33+VLOOKUP(VLOOKUP($B15,test!$A$2:$I$32,4,FALSE),test!$J$10:$P$14,3,FALSE))/1440),1,0)</f>
        <v>0</v>
      </c>
      <c r="S15" s="2">
        <f>IF(AND(VLOOKUP(S$1,test!$A$3:$F$32,5,FALSE) - VLOOKUP($B15,test!$A$3:$G$32,6,FALSE) &gt;= (test!$B$33+VLOOKUP(VLOOKUP($B15,test!$A$2:$I$32,4,FALSE),test!$J$10:$P$14,3,FALSE))/1440),1,0)</f>
        <v>0</v>
      </c>
      <c r="T15" s="2">
        <f>IF(AND(VLOOKUP(T$1,test!$A$3:$F$32,5,FALSE) - VLOOKUP($B15,test!$A$3:$G$32,6,FALSE) &gt;= (test!$B$33+VLOOKUP(VLOOKUP($B15,test!$A$2:$I$32,4,FALSE),test!$J$10:$P$14,3,FALSE))/1440),1,0)</f>
        <v>0</v>
      </c>
      <c r="U15" s="2">
        <f>IF(AND(VLOOKUP(U$1,test!$A$3:$F$32,5,FALSE) - VLOOKUP($B15,test!$A$3:$G$32,6,FALSE) &gt;= (test!$B$33+VLOOKUP(VLOOKUP($B15,test!$A$2:$I$32,4,FALSE),test!$J$10:$P$14,3,FALSE))/1440),1,0)</f>
        <v>0</v>
      </c>
      <c r="V15" s="2">
        <f>IF(AND(VLOOKUP(V$1,test!$A$3:$F$32,5,FALSE) - VLOOKUP($B15,test!$A$3:$G$32,6,FALSE) &gt;= (test!$B$33+VLOOKUP(VLOOKUP($B15,test!$A$2:$I$32,4,FALSE),test!$J$10:$P$14,3,FALSE))/1440),1,0)</f>
        <v>0</v>
      </c>
      <c r="W15" s="2">
        <f>IF(AND(VLOOKUP(W$1,test!$A$3:$F$32,5,FALSE) - VLOOKUP($B15,test!$A$3:$G$32,6,FALSE) &gt;= (test!$B$33+VLOOKUP(VLOOKUP($B15,test!$A$2:$I$32,4,FALSE),test!$J$10:$P$14,3,FALSE))/1440),1,0)</f>
        <v>0</v>
      </c>
      <c r="X15" s="2">
        <f>IF(AND(VLOOKUP(X$1,test!$A$3:$F$32,5,FALSE) - VLOOKUP($B15,test!$A$3:$G$32,6,FALSE) &gt;= (test!$B$33+VLOOKUP(VLOOKUP($B15,test!$A$2:$I$32,4,FALSE),test!$J$10:$P$14,3,FALSE))/1440),1,0)</f>
        <v>0</v>
      </c>
      <c r="Y15" s="2">
        <f>IF(AND(VLOOKUP(Y$1,test!$A$3:$F$32,5,FALSE) - VLOOKUP($B15,test!$A$3:$G$32,6,FALSE) &gt;= (test!$B$33+VLOOKUP(VLOOKUP($B15,test!$A$2:$I$32,4,FALSE),test!$J$10:$P$14,3,FALSE))/1440),1,0)</f>
        <v>0</v>
      </c>
      <c r="Z15" s="2">
        <f>IF(AND(VLOOKUP(Z$1,test!$A$3:$F$32,5,FALSE) - VLOOKUP($B15,test!$A$3:$G$32,6,FALSE) &gt;= (test!$B$33+VLOOKUP(VLOOKUP($B15,test!$A$2:$I$32,4,FALSE),test!$J$10:$P$14,3,FALSE))/1440),1,0)</f>
        <v>0</v>
      </c>
      <c r="AA15" s="2">
        <f>IF(AND(VLOOKUP(AA$1,test!$A$3:$F$32,5,FALSE) - VLOOKUP($B15,test!$A$3:$G$32,6,FALSE) &gt;= (test!$B$33+VLOOKUP(VLOOKUP($B15,test!$A$2:$I$32,4,FALSE),test!$J$10:$P$14,3,FALSE))/1440),1,0)</f>
        <v>0</v>
      </c>
      <c r="AB15" s="2">
        <f>IF(AND(VLOOKUP(AB$1,test!$A$3:$F$32,5,FALSE) - VLOOKUP($B15,test!$A$3:$G$32,6,FALSE) &gt;= (test!$B$33+VLOOKUP(VLOOKUP($B15,test!$A$2:$I$32,4,FALSE),test!$J$10:$P$14,3,FALSE))/1440),1,0)</f>
        <v>0</v>
      </c>
      <c r="AC15" s="2">
        <f>IF(AND(VLOOKUP(AC$1,test!$A$3:$F$32,5,FALSE) - VLOOKUP($B15,test!$A$3:$G$32,6,FALSE) &gt;= (test!$B$33+VLOOKUP(VLOOKUP($B15,test!$A$2:$I$32,4,FALSE),test!$J$10:$P$14,3,FALSE))/1440),1,0)</f>
        <v>0</v>
      </c>
      <c r="AD15" s="2">
        <f>IF(AND(VLOOKUP(AD$1,test!$A$3:$F$32,5,FALSE) - VLOOKUP($B15,test!$A$3:$G$32,6,FALSE) &gt;= (test!$B$33+VLOOKUP(VLOOKUP($B15,test!$A$2:$I$32,4,FALSE),test!$J$10:$P$14,3,FALSE))/1440),1,0)</f>
        <v>0</v>
      </c>
      <c r="AE15" s="2">
        <f>IF(AND(VLOOKUP(AE$1,test!$A$3:$F$32,5,FALSE) - VLOOKUP($B15,test!$A$3:$G$32,6,FALSE) &gt;= (test!$B$33+VLOOKUP(VLOOKUP($B15,test!$A$2:$I$32,4,FALSE),test!$J$10:$P$14,3,FALSE))/1440),1,0)</f>
        <v>0</v>
      </c>
      <c r="AF15" s="2">
        <f>IF(AND(VLOOKUP(AF$1,test!$A$3:$F$32,5,FALSE) - VLOOKUP($B15,test!$A$3:$G$32,6,FALSE) &gt;= (test!$B$33+VLOOKUP(VLOOKUP($B15,test!$A$2:$I$32,4,FALSE),test!$J$10:$P$14,3,FALSE))/1440),1,0)</f>
        <v>0</v>
      </c>
      <c r="AG15" s="2">
        <f>IF(AND(VLOOKUP(AG$1,test!$A$3:$F$32,5,FALSE) - VLOOKUP($B15,test!$A$3:$G$32,6,FALSE) &gt;= (test!$B$33+VLOOKUP(VLOOKUP($B15,test!$A$2:$I$32,4,FALSE),test!$J$10:$P$14,3,FALSE))/1440),1,0)</f>
        <v>0</v>
      </c>
    </row>
    <row r="16" spans="1:34" x14ac:dyDescent="0.25">
      <c r="A16" t="s">
        <v>48</v>
      </c>
      <c r="B16" t="s">
        <v>24</v>
      </c>
      <c r="C16">
        <v>0</v>
      </c>
      <c r="D16" s="2">
        <f>IF(AND(VLOOKUP(D$1,test!$A$3:$F$32,5,FALSE) - VLOOKUP($B16,test!$A$3:$G$32,6,FALSE) &gt;= (test!$B$33+VLOOKUP(VLOOKUP($B16,test!$A$2:$I$32,4,FALSE),test!$J$10:$P$14,3,FALSE))/1440),1,0)</f>
        <v>0</v>
      </c>
      <c r="E16" s="2">
        <f>IF(AND(VLOOKUP(E$1,test!$A$3:$F$32,5,FALSE) - VLOOKUP($B16,test!$A$3:$G$32,6,FALSE) &gt;= (test!$B$33+VLOOKUP(VLOOKUP($B16,test!$A$2:$I$32,4,FALSE),test!$J$10:$P$14,3,FALSE))/1440),1,0)</f>
        <v>0</v>
      </c>
      <c r="F16" s="2">
        <f>IF(AND(VLOOKUP(F$1,test!$A$3:$F$32,5,FALSE) - VLOOKUP($B16,test!$A$3:$G$32,6,FALSE) &gt;= (test!$B$33+VLOOKUP(VLOOKUP($B16,test!$A$2:$I$32,4,FALSE),test!$J$10:$P$14,3,FALSE))/1440),1,0)</f>
        <v>0</v>
      </c>
      <c r="G16" s="2">
        <f>IF(AND(VLOOKUP(G$1,test!$A$3:$F$32,5,FALSE) - VLOOKUP($B16,test!$A$3:$G$32,6,FALSE) &gt;= (test!$B$33+VLOOKUP(VLOOKUP($B16,test!$A$2:$I$32,4,FALSE),test!$J$10:$P$14,3,FALSE))/1440),1,0)</f>
        <v>1</v>
      </c>
      <c r="H16" s="2">
        <f>IF(AND(VLOOKUP(H$1,test!$A$3:$F$32,5,FALSE) - VLOOKUP($B16,test!$A$3:$G$32,6,FALSE) &gt;= (test!$B$33+VLOOKUP(VLOOKUP($B16,test!$A$2:$I$32,4,FALSE),test!$J$10:$P$14,3,FALSE))/1440),1,0)</f>
        <v>1</v>
      </c>
      <c r="I16" s="2">
        <f>IF(AND(VLOOKUP(I$1,test!$A$3:$F$32,5,FALSE) - VLOOKUP($B16,test!$A$3:$G$32,6,FALSE) &gt;= (test!$B$33+VLOOKUP(VLOOKUP($B16,test!$A$2:$I$32,4,FALSE),test!$J$10:$P$14,3,FALSE))/1440),1,0)</f>
        <v>1</v>
      </c>
      <c r="J16" s="2">
        <f>IF(AND(VLOOKUP(J$1,test!$A$3:$F$32,5,FALSE) - VLOOKUP($B16,test!$A$3:$G$32,6,FALSE) &gt;= (test!$B$33+VLOOKUP(VLOOKUP($B16,test!$A$2:$I$32,4,FALSE),test!$J$10:$P$14,3,FALSE))/1440),1,0)</f>
        <v>1</v>
      </c>
      <c r="K16" s="2">
        <f>IF(AND(VLOOKUP(K$1,test!$A$3:$F$32,5,FALSE) - VLOOKUP($B16,test!$A$3:$G$32,6,FALSE) &gt;= (test!$B$33+VLOOKUP(VLOOKUP($B16,test!$A$2:$I$32,4,FALSE),test!$J$10:$P$14,3,FALSE))/1440),1,0)</f>
        <v>1</v>
      </c>
      <c r="L16" s="2">
        <f>IF(AND(VLOOKUP(L$1,test!$A$3:$F$32,5,FALSE) - VLOOKUP($B16,test!$A$3:$G$32,6,FALSE) &gt;= (test!$B$33+VLOOKUP(VLOOKUP($B16,test!$A$2:$I$32,4,FALSE),test!$J$10:$P$14,3,FALSE))/1440),1,0)</f>
        <v>0</v>
      </c>
      <c r="M16" s="2">
        <f>IF(AND(VLOOKUP(M$1,test!$A$3:$F$32,5,FALSE) - VLOOKUP($B16,test!$A$3:$G$32,6,FALSE) &gt;= (test!$B$33+VLOOKUP(VLOOKUP($B16,test!$A$2:$I$32,4,FALSE),test!$J$10:$P$14,3,FALSE))/1440),1,0)</f>
        <v>0</v>
      </c>
      <c r="N16" s="2">
        <f>IF(AND(VLOOKUP(N$1,test!$A$3:$F$32,5,FALSE) - VLOOKUP($B16,test!$A$3:$G$32,6,FALSE) &gt;= (test!$B$33+VLOOKUP(VLOOKUP($B16,test!$A$2:$I$32,4,FALSE),test!$J$10:$P$14,3,FALSE))/1440),1,0)</f>
        <v>0</v>
      </c>
      <c r="O16" s="2">
        <f>IF(AND(VLOOKUP(O$1,test!$A$3:$F$32,5,FALSE) - VLOOKUP($B16,test!$A$3:$G$32,6,FALSE) &gt;= (test!$B$33+VLOOKUP(VLOOKUP($B16,test!$A$2:$I$32,4,FALSE),test!$J$10:$P$14,3,FALSE))/1440),1,0)</f>
        <v>1</v>
      </c>
      <c r="P16" s="2">
        <f>IF(AND(VLOOKUP(P$1,test!$A$3:$F$32,5,FALSE) - VLOOKUP($B16,test!$A$3:$G$32,6,FALSE) &gt;= (test!$B$33+VLOOKUP(VLOOKUP($B16,test!$A$2:$I$32,4,FALSE),test!$J$10:$P$14,3,FALSE))/1440),1,0)</f>
        <v>1</v>
      </c>
      <c r="Q16" s="2">
        <f>IF(AND(VLOOKUP(Q$1,test!$A$3:$F$32,5,FALSE) - VLOOKUP($B16,test!$A$3:$G$32,6,FALSE) &gt;= (test!$B$33+VLOOKUP(VLOOKUP($B16,test!$A$2:$I$32,4,FALSE),test!$J$10:$P$14,3,FALSE))/1440),1,0)</f>
        <v>0</v>
      </c>
      <c r="R16" s="2">
        <f>IF(AND(VLOOKUP(R$1,test!$A$3:$F$32,5,FALSE) - VLOOKUP($B16,test!$A$3:$G$32,6,FALSE) &gt;= (test!$B$33+VLOOKUP(VLOOKUP($B16,test!$A$2:$I$32,4,FALSE),test!$J$10:$P$14,3,FALSE))/1440),1,0)</f>
        <v>0</v>
      </c>
      <c r="S16" s="2">
        <f>IF(AND(VLOOKUP(S$1,test!$A$3:$F$32,5,FALSE) - VLOOKUP($B16,test!$A$3:$G$32,6,FALSE) &gt;= (test!$B$33+VLOOKUP(VLOOKUP($B16,test!$A$2:$I$32,4,FALSE),test!$J$10:$P$14,3,FALSE))/1440),1,0)</f>
        <v>0</v>
      </c>
      <c r="T16" s="2">
        <f>IF(AND(VLOOKUP(T$1,test!$A$3:$F$32,5,FALSE) - VLOOKUP($B16,test!$A$3:$G$32,6,FALSE) &gt;= (test!$B$33+VLOOKUP(VLOOKUP($B16,test!$A$2:$I$32,4,FALSE),test!$J$10:$P$14,3,FALSE))/1440),1,0)</f>
        <v>0</v>
      </c>
      <c r="U16" s="2">
        <f>IF(AND(VLOOKUP(U$1,test!$A$3:$F$32,5,FALSE) - VLOOKUP($B16,test!$A$3:$G$32,6,FALSE) &gt;= (test!$B$33+VLOOKUP(VLOOKUP($B16,test!$A$2:$I$32,4,FALSE),test!$J$10:$P$14,3,FALSE))/1440),1,0)</f>
        <v>0</v>
      </c>
      <c r="V16" s="2">
        <f>IF(AND(VLOOKUP(V$1,test!$A$3:$F$32,5,FALSE) - VLOOKUP($B16,test!$A$3:$G$32,6,FALSE) &gt;= (test!$B$33+VLOOKUP(VLOOKUP($B16,test!$A$2:$I$32,4,FALSE),test!$J$10:$P$14,3,FALSE))/1440),1,0)</f>
        <v>1</v>
      </c>
      <c r="W16" s="2">
        <f>IF(AND(VLOOKUP(W$1,test!$A$3:$F$32,5,FALSE) - VLOOKUP($B16,test!$A$3:$G$32,6,FALSE) &gt;= (test!$B$33+VLOOKUP(VLOOKUP($B16,test!$A$2:$I$32,4,FALSE),test!$J$10:$P$14,3,FALSE))/1440),1,0)</f>
        <v>1</v>
      </c>
      <c r="X16" s="2">
        <f>IF(AND(VLOOKUP(X$1,test!$A$3:$F$32,5,FALSE) - VLOOKUP($B16,test!$A$3:$G$32,6,FALSE) &gt;= (test!$B$33+VLOOKUP(VLOOKUP($B16,test!$A$2:$I$32,4,FALSE),test!$J$10:$P$14,3,FALSE))/1440),1,0)</f>
        <v>1</v>
      </c>
      <c r="Y16" s="2">
        <f>IF(AND(VLOOKUP(Y$1,test!$A$3:$F$32,5,FALSE) - VLOOKUP($B16,test!$A$3:$G$32,6,FALSE) &gt;= (test!$B$33+VLOOKUP(VLOOKUP($B16,test!$A$2:$I$32,4,FALSE),test!$J$10:$P$14,3,FALSE))/1440),1,0)</f>
        <v>1</v>
      </c>
      <c r="Z16" s="2">
        <f>IF(AND(VLOOKUP(Z$1,test!$A$3:$F$32,5,FALSE) - VLOOKUP($B16,test!$A$3:$G$32,6,FALSE) &gt;= (test!$B$33+VLOOKUP(VLOOKUP($B16,test!$A$2:$I$32,4,FALSE),test!$J$10:$P$14,3,FALSE))/1440),1,0)</f>
        <v>0</v>
      </c>
      <c r="AA16" s="2">
        <f>IF(AND(VLOOKUP(AA$1,test!$A$3:$F$32,5,FALSE) - VLOOKUP($B16,test!$A$3:$G$32,6,FALSE) &gt;= (test!$B$33+VLOOKUP(VLOOKUP($B16,test!$A$2:$I$32,4,FALSE),test!$J$10:$P$14,3,FALSE))/1440),1,0)</f>
        <v>0</v>
      </c>
      <c r="AB16" s="2">
        <f>IF(AND(VLOOKUP(AB$1,test!$A$3:$F$32,5,FALSE) - VLOOKUP($B16,test!$A$3:$G$32,6,FALSE) &gt;= (test!$B$33+VLOOKUP(VLOOKUP($B16,test!$A$2:$I$32,4,FALSE),test!$J$10:$P$14,3,FALSE))/1440),1,0)</f>
        <v>1</v>
      </c>
      <c r="AC16" s="2">
        <f>IF(AND(VLOOKUP(AC$1,test!$A$3:$F$32,5,FALSE) - VLOOKUP($B16,test!$A$3:$G$32,6,FALSE) &gt;= (test!$B$33+VLOOKUP(VLOOKUP($B16,test!$A$2:$I$32,4,FALSE),test!$J$10:$P$14,3,FALSE))/1440),1,0)</f>
        <v>1</v>
      </c>
      <c r="AD16" s="2">
        <f>IF(AND(VLOOKUP(AD$1,test!$A$3:$F$32,5,FALSE) - VLOOKUP($B16,test!$A$3:$G$32,6,FALSE) &gt;= (test!$B$33+VLOOKUP(VLOOKUP($B16,test!$A$2:$I$32,4,FALSE),test!$J$10:$P$14,3,FALSE))/1440),1,0)</f>
        <v>1</v>
      </c>
      <c r="AE16" s="2">
        <f>IF(AND(VLOOKUP(AE$1,test!$A$3:$F$32,5,FALSE) - VLOOKUP($B16,test!$A$3:$G$32,6,FALSE) &gt;= (test!$B$33+VLOOKUP(VLOOKUP($B16,test!$A$2:$I$32,4,FALSE),test!$J$10:$P$14,3,FALSE))/1440),1,0)</f>
        <v>0</v>
      </c>
      <c r="AF16" s="2">
        <f>IF(AND(VLOOKUP(AF$1,test!$A$3:$F$32,5,FALSE) - VLOOKUP($B16,test!$A$3:$G$32,6,FALSE) &gt;= (test!$B$33+VLOOKUP(VLOOKUP($B16,test!$A$2:$I$32,4,FALSE),test!$J$10:$P$14,3,FALSE))/1440),1,0)</f>
        <v>1</v>
      </c>
      <c r="AG16" s="2">
        <f>IF(AND(VLOOKUP(AG$1,test!$A$3:$F$32,5,FALSE) - VLOOKUP($B16,test!$A$3:$G$32,6,FALSE) &gt;= (test!$B$33+VLOOKUP(VLOOKUP($B16,test!$A$2:$I$32,4,FALSE),test!$J$10:$P$14,3,FALSE))/1440),1,0)</f>
        <v>0</v>
      </c>
    </row>
    <row r="17" spans="1:33" x14ac:dyDescent="0.25">
      <c r="A17" t="s">
        <v>48</v>
      </c>
      <c r="B17" t="s">
        <v>26</v>
      </c>
      <c r="C17">
        <v>0</v>
      </c>
      <c r="D17" s="2">
        <f>IF(AND(VLOOKUP(D$1,test!$A$3:$F$32,5,FALSE) - VLOOKUP($B17,test!$A$3:$G$32,6,FALSE) &gt;= (test!$B$33+VLOOKUP(VLOOKUP($B17,test!$A$2:$I$32,4,FALSE),test!$J$10:$P$14,3,FALSE))/1440),1,0)</f>
        <v>0</v>
      </c>
      <c r="E17" s="2">
        <f>IF(AND(VLOOKUP(E$1,test!$A$3:$F$32,5,FALSE) - VLOOKUP($B17,test!$A$3:$G$32,6,FALSE) &gt;= (test!$B$33+VLOOKUP(VLOOKUP($B17,test!$A$2:$I$32,4,FALSE),test!$J$10:$P$14,3,FALSE))/1440),1,0)</f>
        <v>0</v>
      </c>
      <c r="F17" s="2">
        <f>IF(AND(VLOOKUP(F$1,test!$A$3:$F$32,5,FALSE) - VLOOKUP($B17,test!$A$3:$G$32,6,FALSE) &gt;= (test!$B$33+VLOOKUP(VLOOKUP($B17,test!$A$2:$I$32,4,FALSE),test!$J$10:$P$14,3,FALSE))/1440),1,0)</f>
        <v>1</v>
      </c>
      <c r="G17" s="2">
        <f>IF(AND(VLOOKUP(G$1,test!$A$3:$F$32,5,FALSE) - VLOOKUP($B17,test!$A$3:$G$32,6,FALSE) &gt;= (test!$B$33+VLOOKUP(VLOOKUP($B17,test!$A$2:$I$32,4,FALSE),test!$J$10:$P$14,3,FALSE))/1440),1,0)</f>
        <v>1</v>
      </c>
      <c r="H17" s="2">
        <f>IF(AND(VLOOKUP(H$1,test!$A$3:$F$32,5,FALSE) - VLOOKUP($B17,test!$A$3:$G$32,6,FALSE) &gt;= (test!$B$33+VLOOKUP(VLOOKUP($B17,test!$A$2:$I$32,4,FALSE),test!$J$10:$P$14,3,FALSE))/1440),1,0)</f>
        <v>1</v>
      </c>
      <c r="I17" s="2">
        <f>IF(AND(VLOOKUP(I$1,test!$A$3:$F$32,5,FALSE) - VLOOKUP($B17,test!$A$3:$G$32,6,FALSE) &gt;= (test!$B$33+VLOOKUP(VLOOKUP($B17,test!$A$2:$I$32,4,FALSE),test!$J$10:$P$14,3,FALSE))/1440),1,0)</f>
        <v>1</v>
      </c>
      <c r="J17" s="2">
        <f>IF(AND(VLOOKUP(J$1,test!$A$3:$F$32,5,FALSE) - VLOOKUP($B17,test!$A$3:$G$32,6,FALSE) &gt;= (test!$B$33+VLOOKUP(VLOOKUP($B17,test!$A$2:$I$32,4,FALSE),test!$J$10:$P$14,3,FALSE))/1440),1,0)</f>
        <v>1</v>
      </c>
      <c r="K17" s="2">
        <f>IF(AND(VLOOKUP(K$1,test!$A$3:$F$32,5,FALSE) - VLOOKUP($B17,test!$A$3:$G$32,6,FALSE) &gt;= (test!$B$33+VLOOKUP(VLOOKUP($B17,test!$A$2:$I$32,4,FALSE),test!$J$10:$P$14,3,FALSE))/1440),1,0)</f>
        <v>1</v>
      </c>
      <c r="L17" s="2">
        <f>IF(AND(VLOOKUP(L$1,test!$A$3:$F$32,5,FALSE) - VLOOKUP($B17,test!$A$3:$G$32,6,FALSE) &gt;= (test!$B$33+VLOOKUP(VLOOKUP($B17,test!$A$2:$I$32,4,FALSE),test!$J$10:$P$14,3,FALSE))/1440),1,0)</f>
        <v>0</v>
      </c>
      <c r="M17" s="2">
        <f>IF(AND(VLOOKUP(M$1,test!$A$3:$F$32,5,FALSE) - VLOOKUP($B17,test!$A$3:$G$32,6,FALSE) &gt;= (test!$B$33+VLOOKUP(VLOOKUP($B17,test!$A$2:$I$32,4,FALSE),test!$J$10:$P$14,3,FALSE))/1440),1,0)</f>
        <v>0</v>
      </c>
      <c r="N17" s="2">
        <f>IF(AND(VLOOKUP(N$1,test!$A$3:$F$32,5,FALSE) - VLOOKUP($B17,test!$A$3:$G$32,6,FALSE) &gt;= (test!$B$33+VLOOKUP(VLOOKUP($B17,test!$A$2:$I$32,4,FALSE),test!$J$10:$P$14,3,FALSE))/1440),1,0)</f>
        <v>1</v>
      </c>
      <c r="O17" s="2">
        <f>IF(AND(VLOOKUP(O$1,test!$A$3:$F$32,5,FALSE) - VLOOKUP($B17,test!$A$3:$G$32,6,FALSE) &gt;= (test!$B$33+VLOOKUP(VLOOKUP($B17,test!$A$2:$I$32,4,FALSE),test!$J$10:$P$14,3,FALSE))/1440),1,0)</f>
        <v>1</v>
      </c>
      <c r="P17" s="2">
        <f>IF(AND(VLOOKUP(P$1,test!$A$3:$F$32,5,FALSE) - VLOOKUP($B17,test!$A$3:$G$32,6,FALSE) &gt;= (test!$B$33+VLOOKUP(VLOOKUP($B17,test!$A$2:$I$32,4,FALSE),test!$J$10:$P$14,3,FALSE))/1440),1,0)</f>
        <v>1</v>
      </c>
      <c r="Q17" s="2">
        <f>IF(AND(VLOOKUP(Q$1,test!$A$3:$F$32,5,FALSE) - VLOOKUP($B17,test!$A$3:$G$32,6,FALSE) &gt;= (test!$B$33+VLOOKUP(VLOOKUP($B17,test!$A$2:$I$32,4,FALSE),test!$J$10:$P$14,3,FALSE))/1440),1,0)</f>
        <v>0</v>
      </c>
      <c r="R17" s="2">
        <f>IF(AND(VLOOKUP(R$1,test!$A$3:$F$32,5,FALSE) - VLOOKUP($B17,test!$A$3:$G$32,6,FALSE) &gt;= (test!$B$33+VLOOKUP(VLOOKUP($B17,test!$A$2:$I$32,4,FALSE),test!$J$10:$P$14,3,FALSE))/1440),1,0)</f>
        <v>0</v>
      </c>
      <c r="S17" s="2">
        <f>IF(AND(VLOOKUP(S$1,test!$A$3:$F$32,5,FALSE) - VLOOKUP($B17,test!$A$3:$G$32,6,FALSE) &gt;= (test!$B$33+VLOOKUP(VLOOKUP($B17,test!$A$2:$I$32,4,FALSE),test!$J$10:$P$14,3,FALSE))/1440),1,0)</f>
        <v>0</v>
      </c>
      <c r="T17" s="2">
        <f>IF(AND(VLOOKUP(T$1,test!$A$3:$F$32,5,FALSE) - VLOOKUP($B17,test!$A$3:$G$32,6,FALSE) &gt;= (test!$B$33+VLOOKUP(VLOOKUP($B17,test!$A$2:$I$32,4,FALSE),test!$J$10:$P$14,3,FALSE))/1440),1,0)</f>
        <v>0</v>
      </c>
      <c r="U17" s="2">
        <f>IF(AND(VLOOKUP(U$1,test!$A$3:$F$32,5,FALSE) - VLOOKUP($B17,test!$A$3:$G$32,6,FALSE) &gt;= (test!$B$33+VLOOKUP(VLOOKUP($B17,test!$A$2:$I$32,4,FALSE),test!$J$10:$P$14,3,FALSE))/1440),1,0)</f>
        <v>1</v>
      </c>
      <c r="V17" s="2">
        <f>IF(AND(VLOOKUP(V$1,test!$A$3:$F$32,5,FALSE) - VLOOKUP($B17,test!$A$3:$G$32,6,FALSE) &gt;= (test!$B$33+VLOOKUP(VLOOKUP($B17,test!$A$2:$I$32,4,FALSE),test!$J$10:$P$14,3,FALSE))/1440),1,0)</f>
        <v>1</v>
      </c>
      <c r="W17" s="2">
        <f>IF(AND(VLOOKUP(W$1,test!$A$3:$F$32,5,FALSE) - VLOOKUP($B17,test!$A$3:$G$32,6,FALSE) &gt;= (test!$B$33+VLOOKUP(VLOOKUP($B17,test!$A$2:$I$32,4,FALSE),test!$J$10:$P$14,3,FALSE))/1440),1,0)</f>
        <v>1</v>
      </c>
      <c r="X17" s="2">
        <f>IF(AND(VLOOKUP(X$1,test!$A$3:$F$32,5,FALSE) - VLOOKUP($B17,test!$A$3:$G$32,6,FALSE) &gt;= (test!$B$33+VLOOKUP(VLOOKUP($B17,test!$A$2:$I$32,4,FALSE),test!$J$10:$P$14,3,FALSE))/1440),1,0)</f>
        <v>1</v>
      </c>
      <c r="Y17" s="2">
        <f>IF(AND(VLOOKUP(Y$1,test!$A$3:$F$32,5,FALSE) - VLOOKUP($B17,test!$A$3:$G$32,6,FALSE) &gt;= (test!$B$33+VLOOKUP(VLOOKUP($B17,test!$A$2:$I$32,4,FALSE),test!$J$10:$P$14,3,FALSE))/1440),1,0)</f>
        <v>1</v>
      </c>
      <c r="Z17" s="2">
        <f>IF(AND(VLOOKUP(Z$1,test!$A$3:$F$32,5,FALSE) - VLOOKUP($B17,test!$A$3:$G$32,6,FALSE) &gt;= (test!$B$33+VLOOKUP(VLOOKUP($B17,test!$A$2:$I$32,4,FALSE),test!$J$10:$P$14,3,FALSE))/1440),1,0)</f>
        <v>0</v>
      </c>
      <c r="AA17" s="2">
        <f>IF(AND(VLOOKUP(AA$1,test!$A$3:$F$32,5,FALSE) - VLOOKUP($B17,test!$A$3:$G$32,6,FALSE) &gt;= (test!$B$33+VLOOKUP(VLOOKUP($B17,test!$A$2:$I$32,4,FALSE),test!$J$10:$P$14,3,FALSE))/1440),1,0)</f>
        <v>0</v>
      </c>
      <c r="AB17" s="2">
        <f>IF(AND(VLOOKUP(AB$1,test!$A$3:$F$32,5,FALSE) - VLOOKUP($B17,test!$A$3:$G$32,6,FALSE) &gt;= (test!$B$33+VLOOKUP(VLOOKUP($B17,test!$A$2:$I$32,4,FALSE),test!$J$10:$P$14,3,FALSE))/1440),1,0)</f>
        <v>1</v>
      </c>
      <c r="AC17" s="2">
        <f>IF(AND(VLOOKUP(AC$1,test!$A$3:$F$32,5,FALSE) - VLOOKUP($B17,test!$A$3:$G$32,6,FALSE) &gt;= (test!$B$33+VLOOKUP(VLOOKUP($B17,test!$A$2:$I$32,4,FALSE),test!$J$10:$P$14,3,FALSE))/1440),1,0)</f>
        <v>1</v>
      </c>
      <c r="AD17" s="2">
        <f>IF(AND(VLOOKUP(AD$1,test!$A$3:$F$32,5,FALSE) - VLOOKUP($B17,test!$A$3:$G$32,6,FALSE) &gt;= (test!$B$33+VLOOKUP(VLOOKUP($B17,test!$A$2:$I$32,4,FALSE),test!$J$10:$P$14,3,FALSE))/1440),1,0)</f>
        <v>1</v>
      </c>
      <c r="AE17" s="2">
        <f>IF(AND(VLOOKUP(AE$1,test!$A$3:$F$32,5,FALSE) - VLOOKUP($B17,test!$A$3:$G$32,6,FALSE) &gt;= (test!$B$33+VLOOKUP(VLOOKUP($B17,test!$A$2:$I$32,4,FALSE),test!$J$10:$P$14,3,FALSE))/1440),1,0)</f>
        <v>0</v>
      </c>
      <c r="AF17" s="2">
        <f>IF(AND(VLOOKUP(AF$1,test!$A$3:$F$32,5,FALSE) - VLOOKUP($B17,test!$A$3:$G$32,6,FALSE) &gt;= (test!$B$33+VLOOKUP(VLOOKUP($B17,test!$A$2:$I$32,4,FALSE),test!$J$10:$P$14,3,FALSE))/1440),1,0)</f>
        <v>1</v>
      </c>
      <c r="AG17" s="2">
        <f>IF(AND(VLOOKUP(AG$1,test!$A$3:$F$32,5,FALSE) - VLOOKUP($B17,test!$A$3:$G$32,6,FALSE) &gt;= (test!$B$33+VLOOKUP(VLOOKUP($B17,test!$A$2:$I$32,4,FALSE),test!$J$10:$P$14,3,FALSE))/1440),1,0)</f>
        <v>1</v>
      </c>
    </row>
    <row r="18" spans="1:33" x14ac:dyDescent="0.25">
      <c r="A18" t="s">
        <v>48</v>
      </c>
      <c r="B18" t="s">
        <v>27</v>
      </c>
      <c r="C18">
        <v>0</v>
      </c>
      <c r="D18" s="2">
        <f>IF(AND(VLOOKUP(D$1,test!$A$3:$F$32,5,FALSE) - VLOOKUP($B18,test!$A$3:$G$32,6,FALSE) &gt;= (test!$B$33+VLOOKUP(VLOOKUP($B18,test!$A$2:$I$32,4,FALSE),test!$J$10:$P$14,3,FALSE))/1440),1,0)</f>
        <v>0</v>
      </c>
      <c r="E18" s="2">
        <f>IF(AND(VLOOKUP(E$1,test!$A$3:$F$32,5,FALSE) - VLOOKUP($B18,test!$A$3:$G$32,6,FALSE) &gt;= (test!$B$33+VLOOKUP(VLOOKUP($B18,test!$A$2:$I$32,4,FALSE),test!$J$10:$P$14,3,FALSE))/1440),1,0)</f>
        <v>0</v>
      </c>
      <c r="F18" s="2">
        <f>IF(AND(VLOOKUP(F$1,test!$A$3:$F$32,5,FALSE) - VLOOKUP($B18,test!$A$3:$G$32,6,FALSE) &gt;= (test!$B$33+VLOOKUP(VLOOKUP($B18,test!$A$2:$I$32,4,FALSE),test!$J$10:$P$14,3,FALSE))/1440),1,0)</f>
        <v>0</v>
      </c>
      <c r="G18" s="2">
        <f>IF(AND(VLOOKUP(G$1,test!$A$3:$F$32,5,FALSE) - VLOOKUP($B18,test!$A$3:$G$32,6,FALSE) &gt;= (test!$B$33+VLOOKUP(VLOOKUP($B18,test!$A$2:$I$32,4,FALSE),test!$J$10:$P$14,3,FALSE))/1440),1,0)</f>
        <v>1</v>
      </c>
      <c r="H18" s="2">
        <f>IF(AND(VLOOKUP(H$1,test!$A$3:$F$32,5,FALSE) - VLOOKUP($B18,test!$A$3:$G$32,6,FALSE) &gt;= (test!$B$33+VLOOKUP(VLOOKUP($B18,test!$A$2:$I$32,4,FALSE),test!$J$10:$P$14,3,FALSE))/1440),1,0)</f>
        <v>1</v>
      </c>
      <c r="I18" s="2">
        <f>IF(AND(VLOOKUP(I$1,test!$A$3:$F$32,5,FALSE) - VLOOKUP($B18,test!$A$3:$G$32,6,FALSE) &gt;= (test!$B$33+VLOOKUP(VLOOKUP($B18,test!$A$2:$I$32,4,FALSE),test!$J$10:$P$14,3,FALSE))/1440),1,0)</f>
        <v>1</v>
      </c>
      <c r="J18" s="2">
        <f>IF(AND(VLOOKUP(J$1,test!$A$3:$F$32,5,FALSE) - VLOOKUP($B18,test!$A$3:$G$32,6,FALSE) &gt;= (test!$B$33+VLOOKUP(VLOOKUP($B18,test!$A$2:$I$32,4,FALSE),test!$J$10:$P$14,3,FALSE))/1440),1,0)</f>
        <v>1</v>
      </c>
      <c r="K18" s="2">
        <f>IF(AND(VLOOKUP(K$1,test!$A$3:$F$32,5,FALSE) - VLOOKUP($B18,test!$A$3:$G$32,6,FALSE) &gt;= (test!$B$33+VLOOKUP(VLOOKUP($B18,test!$A$2:$I$32,4,FALSE),test!$J$10:$P$14,3,FALSE))/1440),1,0)</f>
        <v>1</v>
      </c>
      <c r="L18" s="2">
        <f>IF(AND(VLOOKUP(L$1,test!$A$3:$F$32,5,FALSE) - VLOOKUP($B18,test!$A$3:$G$32,6,FALSE) &gt;= (test!$B$33+VLOOKUP(VLOOKUP($B18,test!$A$2:$I$32,4,FALSE),test!$J$10:$P$14,3,FALSE))/1440),1,0)</f>
        <v>0</v>
      </c>
      <c r="M18" s="2">
        <f>IF(AND(VLOOKUP(M$1,test!$A$3:$F$32,5,FALSE) - VLOOKUP($B18,test!$A$3:$G$32,6,FALSE) &gt;= (test!$B$33+VLOOKUP(VLOOKUP($B18,test!$A$2:$I$32,4,FALSE),test!$J$10:$P$14,3,FALSE))/1440),1,0)</f>
        <v>0</v>
      </c>
      <c r="N18" s="2">
        <f>IF(AND(VLOOKUP(N$1,test!$A$3:$F$32,5,FALSE) - VLOOKUP($B18,test!$A$3:$G$32,6,FALSE) &gt;= (test!$B$33+VLOOKUP(VLOOKUP($B18,test!$A$2:$I$32,4,FALSE),test!$J$10:$P$14,3,FALSE))/1440),1,0)</f>
        <v>0</v>
      </c>
      <c r="O18" s="2">
        <f>IF(AND(VLOOKUP(O$1,test!$A$3:$F$32,5,FALSE) - VLOOKUP($B18,test!$A$3:$G$32,6,FALSE) &gt;= (test!$B$33+VLOOKUP(VLOOKUP($B18,test!$A$2:$I$32,4,FALSE),test!$J$10:$P$14,3,FALSE))/1440),1,0)</f>
        <v>1</v>
      </c>
      <c r="P18" s="2">
        <f>IF(AND(VLOOKUP(P$1,test!$A$3:$F$32,5,FALSE) - VLOOKUP($B18,test!$A$3:$G$32,6,FALSE) &gt;= (test!$B$33+VLOOKUP(VLOOKUP($B18,test!$A$2:$I$32,4,FALSE),test!$J$10:$P$14,3,FALSE))/1440),1,0)</f>
        <v>1</v>
      </c>
      <c r="Q18" s="2">
        <f>IF(AND(VLOOKUP(Q$1,test!$A$3:$F$32,5,FALSE) - VLOOKUP($B18,test!$A$3:$G$32,6,FALSE) &gt;= (test!$B$33+VLOOKUP(VLOOKUP($B18,test!$A$2:$I$32,4,FALSE),test!$J$10:$P$14,3,FALSE))/1440),1,0)</f>
        <v>0</v>
      </c>
      <c r="R18" s="2">
        <f>IF(AND(VLOOKUP(R$1,test!$A$3:$F$32,5,FALSE) - VLOOKUP($B18,test!$A$3:$G$32,6,FALSE) &gt;= (test!$B$33+VLOOKUP(VLOOKUP($B18,test!$A$2:$I$32,4,FALSE),test!$J$10:$P$14,3,FALSE))/1440),1,0)</f>
        <v>0</v>
      </c>
      <c r="S18" s="2">
        <f>IF(AND(VLOOKUP(S$1,test!$A$3:$F$32,5,FALSE) - VLOOKUP($B18,test!$A$3:$G$32,6,FALSE) &gt;= (test!$B$33+VLOOKUP(VLOOKUP($B18,test!$A$2:$I$32,4,FALSE),test!$J$10:$P$14,3,FALSE))/1440),1,0)</f>
        <v>0</v>
      </c>
      <c r="T18" s="2">
        <f>IF(AND(VLOOKUP(T$1,test!$A$3:$F$32,5,FALSE) - VLOOKUP($B18,test!$A$3:$G$32,6,FALSE) &gt;= (test!$B$33+VLOOKUP(VLOOKUP($B18,test!$A$2:$I$32,4,FALSE),test!$J$10:$P$14,3,FALSE))/1440),1,0)</f>
        <v>0</v>
      </c>
      <c r="U18" s="2">
        <f>IF(AND(VLOOKUP(U$1,test!$A$3:$F$32,5,FALSE) - VLOOKUP($B18,test!$A$3:$G$32,6,FALSE) &gt;= (test!$B$33+VLOOKUP(VLOOKUP($B18,test!$A$2:$I$32,4,FALSE),test!$J$10:$P$14,3,FALSE))/1440),1,0)</f>
        <v>0</v>
      </c>
      <c r="V18" s="2">
        <f>IF(AND(VLOOKUP(V$1,test!$A$3:$F$32,5,FALSE) - VLOOKUP($B18,test!$A$3:$G$32,6,FALSE) &gt;= (test!$B$33+VLOOKUP(VLOOKUP($B18,test!$A$2:$I$32,4,FALSE),test!$J$10:$P$14,3,FALSE))/1440),1,0)</f>
        <v>1</v>
      </c>
      <c r="W18" s="2">
        <f>IF(AND(VLOOKUP(W$1,test!$A$3:$F$32,5,FALSE) - VLOOKUP($B18,test!$A$3:$G$32,6,FALSE) &gt;= (test!$B$33+VLOOKUP(VLOOKUP($B18,test!$A$2:$I$32,4,FALSE),test!$J$10:$P$14,3,FALSE))/1440),1,0)</f>
        <v>1</v>
      </c>
      <c r="X18" s="2">
        <f>IF(AND(VLOOKUP(X$1,test!$A$3:$F$32,5,FALSE) - VLOOKUP($B18,test!$A$3:$G$32,6,FALSE) &gt;= (test!$B$33+VLOOKUP(VLOOKUP($B18,test!$A$2:$I$32,4,FALSE),test!$J$10:$P$14,3,FALSE))/1440),1,0)</f>
        <v>1</v>
      </c>
      <c r="Y18" s="2">
        <f>IF(AND(VLOOKUP(Y$1,test!$A$3:$F$32,5,FALSE) - VLOOKUP($B18,test!$A$3:$G$32,6,FALSE) &gt;= (test!$B$33+VLOOKUP(VLOOKUP($B18,test!$A$2:$I$32,4,FALSE),test!$J$10:$P$14,3,FALSE))/1440),1,0)</f>
        <v>1</v>
      </c>
      <c r="Z18" s="2">
        <f>IF(AND(VLOOKUP(Z$1,test!$A$3:$F$32,5,FALSE) - VLOOKUP($B18,test!$A$3:$G$32,6,FALSE) &gt;= (test!$B$33+VLOOKUP(VLOOKUP($B18,test!$A$2:$I$32,4,FALSE),test!$J$10:$P$14,3,FALSE))/1440),1,0)</f>
        <v>0</v>
      </c>
      <c r="AA18" s="2">
        <f>IF(AND(VLOOKUP(AA$1,test!$A$3:$F$32,5,FALSE) - VLOOKUP($B18,test!$A$3:$G$32,6,FALSE) &gt;= (test!$B$33+VLOOKUP(VLOOKUP($B18,test!$A$2:$I$32,4,FALSE),test!$J$10:$P$14,3,FALSE))/1440),1,0)</f>
        <v>0</v>
      </c>
      <c r="AB18" s="2">
        <f>IF(AND(VLOOKUP(AB$1,test!$A$3:$F$32,5,FALSE) - VLOOKUP($B18,test!$A$3:$G$32,6,FALSE) &gt;= (test!$B$33+VLOOKUP(VLOOKUP($B18,test!$A$2:$I$32,4,FALSE),test!$J$10:$P$14,3,FALSE))/1440),1,0)</f>
        <v>1</v>
      </c>
      <c r="AC18" s="2">
        <f>IF(AND(VLOOKUP(AC$1,test!$A$3:$F$32,5,FALSE) - VLOOKUP($B18,test!$A$3:$G$32,6,FALSE) &gt;= (test!$B$33+VLOOKUP(VLOOKUP($B18,test!$A$2:$I$32,4,FALSE),test!$J$10:$P$14,3,FALSE))/1440),1,0)</f>
        <v>1</v>
      </c>
      <c r="AD18" s="2">
        <f>IF(AND(VLOOKUP(AD$1,test!$A$3:$F$32,5,FALSE) - VLOOKUP($B18,test!$A$3:$G$32,6,FALSE) &gt;= (test!$B$33+VLOOKUP(VLOOKUP($B18,test!$A$2:$I$32,4,FALSE),test!$J$10:$P$14,3,FALSE))/1440),1,0)</f>
        <v>1</v>
      </c>
      <c r="AE18" s="2">
        <f>IF(AND(VLOOKUP(AE$1,test!$A$3:$F$32,5,FALSE) - VLOOKUP($B18,test!$A$3:$G$32,6,FALSE) &gt;= (test!$B$33+VLOOKUP(VLOOKUP($B18,test!$A$2:$I$32,4,FALSE),test!$J$10:$P$14,3,FALSE))/1440),1,0)</f>
        <v>0</v>
      </c>
      <c r="AF18" s="2">
        <f>IF(AND(VLOOKUP(AF$1,test!$A$3:$F$32,5,FALSE) - VLOOKUP($B18,test!$A$3:$G$32,6,FALSE) &gt;= (test!$B$33+VLOOKUP(VLOOKUP($B18,test!$A$2:$I$32,4,FALSE),test!$J$10:$P$14,3,FALSE))/1440),1,0)</f>
        <v>1</v>
      </c>
      <c r="AG18" s="2">
        <f>IF(AND(VLOOKUP(AG$1,test!$A$3:$F$32,5,FALSE) - VLOOKUP($B18,test!$A$3:$G$32,6,FALSE) &gt;= (test!$B$33+VLOOKUP(VLOOKUP($B18,test!$A$2:$I$32,4,FALSE),test!$J$10:$P$14,3,FALSE))/1440),1,0)</f>
        <v>0</v>
      </c>
    </row>
    <row r="19" spans="1:33" x14ac:dyDescent="0.25">
      <c r="A19" t="s">
        <v>48</v>
      </c>
      <c r="B19" t="s">
        <v>28</v>
      </c>
      <c r="C19">
        <v>0</v>
      </c>
      <c r="D19" s="2">
        <f>IF(AND(VLOOKUP(D$1,test!$A$3:$F$32,5,FALSE) - VLOOKUP($B19,test!$A$3:$G$32,6,FALSE) &gt;= (test!$B$33+VLOOKUP(VLOOKUP($B19,test!$A$2:$I$32,4,FALSE),test!$J$10:$P$14,3,FALSE))/1440),1,0)</f>
        <v>0</v>
      </c>
      <c r="E19" s="2">
        <f>IF(AND(VLOOKUP(E$1,test!$A$3:$F$32,5,FALSE) - VLOOKUP($B19,test!$A$3:$G$32,6,FALSE) &gt;= (test!$B$33+VLOOKUP(VLOOKUP($B19,test!$A$2:$I$32,4,FALSE),test!$J$10:$P$14,3,FALSE))/1440),1,0)</f>
        <v>0</v>
      </c>
      <c r="F19" s="2">
        <f>IF(AND(VLOOKUP(F$1,test!$A$3:$F$32,5,FALSE) - VLOOKUP($B19,test!$A$3:$G$32,6,FALSE) &gt;= (test!$B$33+VLOOKUP(VLOOKUP($B19,test!$A$2:$I$32,4,FALSE),test!$J$10:$P$14,3,FALSE))/1440),1,0)</f>
        <v>0</v>
      </c>
      <c r="G19" s="2">
        <f>IF(AND(VLOOKUP(G$1,test!$A$3:$F$32,5,FALSE) - VLOOKUP($B19,test!$A$3:$G$32,6,FALSE) &gt;= (test!$B$33+VLOOKUP(VLOOKUP($B19,test!$A$2:$I$32,4,FALSE),test!$J$10:$P$14,3,FALSE))/1440),1,0)</f>
        <v>0</v>
      </c>
      <c r="H19" s="2">
        <f>IF(AND(VLOOKUP(H$1,test!$A$3:$F$32,5,FALSE) - VLOOKUP($B19,test!$A$3:$G$32,6,FALSE) &gt;= (test!$B$33+VLOOKUP(VLOOKUP($B19,test!$A$2:$I$32,4,FALSE),test!$J$10:$P$14,3,FALSE))/1440),1,0)</f>
        <v>1</v>
      </c>
      <c r="I19" s="2">
        <f>IF(AND(VLOOKUP(I$1,test!$A$3:$F$32,5,FALSE) - VLOOKUP($B19,test!$A$3:$G$32,6,FALSE) &gt;= (test!$B$33+VLOOKUP(VLOOKUP($B19,test!$A$2:$I$32,4,FALSE),test!$J$10:$P$14,3,FALSE))/1440),1,0)</f>
        <v>1</v>
      </c>
      <c r="J19" s="2">
        <f>IF(AND(VLOOKUP(J$1,test!$A$3:$F$32,5,FALSE) - VLOOKUP($B19,test!$A$3:$G$32,6,FALSE) &gt;= (test!$B$33+VLOOKUP(VLOOKUP($B19,test!$A$2:$I$32,4,FALSE),test!$J$10:$P$14,3,FALSE))/1440),1,0)</f>
        <v>1</v>
      </c>
      <c r="K19" s="2">
        <f>IF(AND(VLOOKUP(K$1,test!$A$3:$F$32,5,FALSE) - VLOOKUP($B19,test!$A$3:$G$32,6,FALSE) &gt;= (test!$B$33+VLOOKUP(VLOOKUP($B19,test!$A$2:$I$32,4,FALSE),test!$J$10:$P$14,3,FALSE))/1440),1,0)</f>
        <v>1</v>
      </c>
      <c r="L19" s="2">
        <f>IF(AND(VLOOKUP(L$1,test!$A$3:$F$32,5,FALSE) - VLOOKUP($B19,test!$A$3:$G$32,6,FALSE) &gt;= (test!$B$33+VLOOKUP(VLOOKUP($B19,test!$A$2:$I$32,4,FALSE),test!$J$10:$P$14,3,FALSE))/1440),1,0)</f>
        <v>0</v>
      </c>
      <c r="M19" s="2">
        <f>IF(AND(VLOOKUP(M$1,test!$A$3:$F$32,5,FALSE) - VLOOKUP($B19,test!$A$3:$G$32,6,FALSE) &gt;= (test!$B$33+VLOOKUP(VLOOKUP($B19,test!$A$2:$I$32,4,FALSE),test!$J$10:$P$14,3,FALSE))/1440),1,0)</f>
        <v>0</v>
      </c>
      <c r="N19" s="2">
        <f>IF(AND(VLOOKUP(N$1,test!$A$3:$F$32,5,FALSE) - VLOOKUP($B19,test!$A$3:$G$32,6,FALSE) &gt;= (test!$B$33+VLOOKUP(VLOOKUP($B19,test!$A$2:$I$32,4,FALSE),test!$J$10:$P$14,3,FALSE))/1440),1,0)</f>
        <v>0</v>
      </c>
      <c r="O19" s="2">
        <f>IF(AND(VLOOKUP(O$1,test!$A$3:$F$32,5,FALSE) - VLOOKUP($B19,test!$A$3:$G$32,6,FALSE) &gt;= (test!$B$33+VLOOKUP(VLOOKUP($B19,test!$A$2:$I$32,4,FALSE),test!$J$10:$P$14,3,FALSE))/1440),1,0)</f>
        <v>1</v>
      </c>
      <c r="P19" s="2">
        <f>IF(AND(VLOOKUP(P$1,test!$A$3:$F$32,5,FALSE) - VLOOKUP($B19,test!$A$3:$G$32,6,FALSE) &gt;= (test!$B$33+VLOOKUP(VLOOKUP($B19,test!$A$2:$I$32,4,FALSE),test!$J$10:$P$14,3,FALSE))/1440),1,0)</f>
        <v>1</v>
      </c>
      <c r="Q19" s="2">
        <f>IF(AND(VLOOKUP(Q$1,test!$A$3:$F$32,5,FALSE) - VLOOKUP($B19,test!$A$3:$G$32,6,FALSE) &gt;= (test!$B$33+VLOOKUP(VLOOKUP($B19,test!$A$2:$I$32,4,FALSE),test!$J$10:$P$14,3,FALSE))/1440),1,0)</f>
        <v>0</v>
      </c>
      <c r="R19" s="2">
        <f>IF(AND(VLOOKUP(R$1,test!$A$3:$F$32,5,FALSE) - VLOOKUP($B19,test!$A$3:$G$32,6,FALSE) &gt;= (test!$B$33+VLOOKUP(VLOOKUP($B19,test!$A$2:$I$32,4,FALSE),test!$J$10:$P$14,3,FALSE))/1440),1,0)</f>
        <v>0</v>
      </c>
      <c r="S19" s="2">
        <f>IF(AND(VLOOKUP(S$1,test!$A$3:$F$32,5,FALSE) - VLOOKUP($B19,test!$A$3:$G$32,6,FALSE) &gt;= (test!$B$33+VLOOKUP(VLOOKUP($B19,test!$A$2:$I$32,4,FALSE),test!$J$10:$P$14,3,FALSE))/1440),1,0)</f>
        <v>0</v>
      </c>
      <c r="T19" s="2">
        <f>IF(AND(VLOOKUP(T$1,test!$A$3:$F$32,5,FALSE) - VLOOKUP($B19,test!$A$3:$G$32,6,FALSE) &gt;= (test!$B$33+VLOOKUP(VLOOKUP($B19,test!$A$2:$I$32,4,FALSE),test!$J$10:$P$14,3,FALSE))/1440),1,0)</f>
        <v>0</v>
      </c>
      <c r="U19" s="2">
        <f>IF(AND(VLOOKUP(U$1,test!$A$3:$F$32,5,FALSE) - VLOOKUP($B19,test!$A$3:$G$32,6,FALSE) &gt;= (test!$B$33+VLOOKUP(VLOOKUP($B19,test!$A$2:$I$32,4,FALSE),test!$J$10:$P$14,3,FALSE))/1440),1,0)</f>
        <v>0</v>
      </c>
      <c r="V19" s="2">
        <f>IF(AND(VLOOKUP(V$1,test!$A$3:$F$32,5,FALSE) - VLOOKUP($B19,test!$A$3:$G$32,6,FALSE) &gt;= (test!$B$33+VLOOKUP(VLOOKUP($B19,test!$A$2:$I$32,4,FALSE),test!$J$10:$P$14,3,FALSE))/1440),1,0)</f>
        <v>0</v>
      </c>
      <c r="W19" s="2">
        <f>IF(AND(VLOOKUP(W$1,test!$A$3:$F$32,5,FALSE) - VLOOKUP($B19,test!$A$3:$G$32,6,FALSE) &gt;= (test!$B$33+VLOOKUP(VLOOKUP($B19,test!$A$2:$I$32,4,FALSE),test!$J$10:$P$14,3,FALSE))/1440),1,0)</f>
        <v>1</v>
      </c>
      <c r="X19" s="2">
        <f>IF(AND(VLOOKUP(X$1,test!$A$3:$F$32,5,FALSE) - VLOOKUP($B19,test!$A$3:$G$32,6,FALSE) &gt;= (test!$B$33+VLOOKUP(VLOOKUP($B19,test!$A$2:$I$32,4,FALSE),test!$J$10:$P$14,3,FALSE))/1440),1,0)</f>
        <v>1</v>
      </c>
      <c r="Y19" s="2">
        <f>IF(AND(VLOOKUP(Y$1,test!$A$3:$F$32,5,FALSE) - VLOOKUP($B19,test!$A$3:$G$32,6,FALSE) &gt;= (test!$B$33+VLOOKUP(VLOOKUP($B19,test!$A$2:$I$32,4,FALSE),test!$J$10:$P$14,3,FALSE))/1440),1,0)</f>
        <v>1</v>
      </c>
      <c r="Z19" s="2">
        <f>IF(AND(VLOOKUP(Z$1,test!$A$3:$F$32,5,FALSE) - VLOOKUP($B19,test!$A$3:$G$32,6,FALSE) &gt;= (test!$B$33+VLOOKUP(VLOOKUP($B19,test!$A$2:$I$32,4,FALSE),test!$J$10:$P$14,3,FALSE))/1440),1,0)</f>
        <v>0</v>
      </c>
      <c r="AA19" s="2">
        <f>IF(AND(VLOOKUP(AA$1,test!$A$3:$F$32,5,FALSE) - VLOOKUP($B19,test!$A$3:$G$32,6,FALSE) &gt;= (test!$B$33+VLOOKUP(VLOOKUP($B19,test!$A$2:$I$32,4,FALSE),test!$J$10:$P$14,3,FALSE))/1440),1,0)</f>
        <v>0</v>
      </c>
      <c r="AB19" s="2">
        <f>IF(AND(VLOOKUP(AB$1,test!$A$3:$F$32,5,FALSE) - VLOOKUP($B19,test!$A$3:$G$32,6,FALSE) &gt;= (test!$B$33+VLOOKUP(VLOOKUP($B19,test!$A$2:$I$32,4,FALSE),test!$J$10:$P$14,3,FALSE))/1440),1,0)</f>
        <v>0</v>
      </c>
      <c r="AC19" s="2">
        <f>IF(AND(VLOOKUP(AC$1,test!$A$3:$F$32,5,FALSE) - VLOOKUP($B19,test!$A$3:$G$32,6,FALSE) &gt;= (test!$B$33+VLOOKUP(VLOOKUP($B19,test!$A$2:$I$32,4,FALSE),test!$J$10:$P$14,3,FALSE))/1440),1,0)</f>
        <v>0</v>
      </c>
      <c r="AD19" s="2">
        <f>IF(AND(VLOOKUP(AD$1,test!$A$3:$F$32,5,FALSE) - VLOOKUP($B19,test!$A$3:$G$32,6,FALSE) &gt;= (test!$B$33+VLOOKUP(VLOOKUP($B19,test!$A$2:$I$32,4,FALSE),test!$J$10:$P$14,3,FALSE))/1440),1,0)</f>
        <v>1</v>
      </c>
      <c r="AE19" s="2">
        <f>IF(AND(VLOOKUP(AE$1,test!$A$3:$F$32,5,FALSE) - VLOOKUP($B19,test!$A$3:$G$32,6,FALSE) &gt;= (test!$B$33+VLOOKUP(VLOOKUP($B19,test!$A$2:$I$32,4,FALSE),test!$J$10:$P$14,3,FALSE))/1440),1,0)</f>
        <v>0</v>
      </c>
      <c r="AF19" s="2">
        <f>IF(AND(VLOOKUP(AF$1,test!$A$3:$F$32,5,FALSE) - VLOOKUP($B19,test!$A$3:$G$32,6,FALSE) &gt;= (test!$B$33+VLOOKUP(VLOOKUP($B19,test!$A$2:$I$32,4,FALSE),test!$J$10:$P$14,3,FALSE))/1440),1,0)</f>
        <v>0</v>
      </c>
      <c r="AG19" s="2">
        <f>IF(AND(VLOOKUP(AG$1,test!$A$3:$F$32,5,FALSE) - VLOOKUP($B19,test!$A$3:$G$32,6,FALSE) &gt;= (test!$B$33+VLOOKUP(VLOOKUP($B19,test!$A$2:$I$32,4,FALSE),test!$J$10:$P$14,3,FALSE))/1440),1,0)</f>
        <v>0</v>
      </c>
    </row>
    <row r="20" spans="1:33" x14ac:dyDescent="0.25">
      <c r="A20" t="s">
        <v>48</v>
      </c>
      <c r="B20" t="s">
        <v>29</v>
      </c>
      <c r="C20">
        <v>0</v>
      </c>
      <c r="D20" s="2">
        <f>IF(AND(VLOOKUP(D$1,test!$A$3:$F$32,5,FALSE) - VLOOKUP($B20,test!$A$3:$G$32,6,FALSE) &gt;= (test!$B$33+VLOOKUP(VLOOKUP($B20,test!$A$2:$I$32,4,FALSE),test!$J$10:$P$14,3,FALSE))/1440),1,0)</f>
        <v>0</v>
      </c>
      <c r="E20" s="2">
        <f>IF(AND(VLOOKUP(E$1,test!$A$3:$F$32,5,FALSE) - VLOOKUP($B20,test!$A$3:$G$32,6,FALSE) &gt;= (test!$B$33+VLOOKUP(VLOOKUP($B20,test!$A$2:$I$32,4,FALSE),test!$J$10:$P$14,3,FALSE))/1440),1,0)</f>
        <v>0</v>
      </c>
      <c r="F20" s="2">
        <f>IF(AND(VLOOKUP(F$1,test!$A$3:$F$32,5,FALSE) - VLOOKUP($B20,test!$A$3:$G$32,6,FALSE) &gt;= (test!$B$33+VLOOKUP(VLOOKUP($B20,test!$A$2:$I$32,4,FALSE),test!$J$10:$P$14,3,FALSE))/1440),1,0)</f>
        <v>0</v>
      </c>
      <c r="G20" s="2">
        <f>IF(AND(VLOOKUP(G$1,test!$A$3:$F$32,5,FALSE) - VLOOKUP($B20,test!$A$3:$G$32,6,FALSE) &gt;= (test!$B$33+VLOOKUP(VLOOKUP($B20,test!$A$2:$I$32,4,FALSE),test!$J$10:$P$14,3,FALSE))/1440),1,0)</f>
        <v>0</v>
      </c>
      <c r="H20" s="2">
        <f>IF(AND(VLOOKUP(H$1,test!$A$3:$F$32,5,FALSE) - VLOOKUP($B20,test!$A$3:$G$32,6,FALSE) &gt;= (test!$B$33+VLOOKUP(VLOOKUP($B20,test!$A$2:$I$32,4,FALSE),test!$J$10:$P$14,3,FALSE))/1440),1,0)</f>
        <v>0</v>
      </c>
      <c r="I20" s="2">
        <f>IF(AND(VLOOKUP(I$1,test!$A$3:$F$32,5,FALSE) - VLOOKUP($B20,test!$A$3:$G$32,6,FALSE) &gt;= (test!$B$33+VLOOKUP(VLOOKUP($B20,test!$A$2:$I$32,4,FALSE),test!$J$10:$P$14,3,FALSE))/1440),1,0)</f>
        <v>1</v>
      </c>
      <c r="J20" s="2">
        <f>IF(AND(VLOOKUP(J$1,test!$A$3:$F$32,5,FALSE) - VLOOKUP($B20,test!$A$3:$G$32,6,FALSE) &gt;= (test!$B$33+VLOOKUP(VLOOKUP($B20,test!$A$2:$I$32,4,FALSE),test!$J$10:$P$14,3,FALSE))/1440),1,0)</f>
        <v>1</v>
      </c>
      <c r="K20" s="2">
        <f>IF(AND(VLOOKUP(K$1,test!$A$3:$F$32,5,FALSE) - VLOOKUP($B20,test!$A$3:$G$32,6,FALSE) &gt;= (test!$B$33+VLOOKUP(VLOOKUP($B20,test!$A$2:$I$32,4,FALSE),test!$J$10:$P$14,3,FALSE))/1440),1,0)</f>
        <v>1</v>
      </c>
      <c r="L20" s="2">
        <f>IF(AND(VLOOKUP(L$1,test!$A$3:$F$32,5,FALSE) - VLOOKUP($B20,test!$A$3:$G$32,6,FALSE) &gt;= (test!$B$33+VLOOKUP(VLOOKUP($B20,test!$A$2:$I$32,4,FALSE),test!$J$10:$P$14,3,FALSE))/1440),1,0)</f>
        <v>0</v>
      </c>
      <c r="M20" s="2">
        <f>IF(AND(VLOOKUP(M$1,test!$A$3:$F$32,5,FALSE) - VLOOKUP($B20,test!$A$3:$G$32,6,FALSE) &gt;= (test!$B$33+VLOOKUP(VLOOKUP($B20,test!$A$2:$I$32,4,FALSE),test!$J$10:$P$14,3,FALSE))/1440),1,0)</f>
        <v>0</v>
      </c>
      <c r="N20" s="2">
        <f>IF(AND(VLOOKUP(N$1,test!$A$3:$F$32,5,FALSE) - VLOOKUP($B20,test!$A$3:$G$32,6,FALSE) &gt;= (test!$B$33+VLOOKUP(VLOOKUP($B20,test!$A$2:$I$32,4,FALSE),test!$J$10:$P$14,3,FALSE))/1440),1,0)</f>
        <v>0</v>
      </c>
      <c r="O20" s="2">
        <f>IF(AND(VLOOKUP(O$1,test!$A$3:$F$32,5,FALSE) - VLOOKUP($B20,test!$A$3:$G$32,6,FALSE) &gt;= (test!$B$33+VLOOKUP(VLOOKUP($B20,test!$A$2:$I$32,4,FALSE),test!$J$10:$P$14,3,FALSE))/1440),1,0)</f>
        <v>1</v>
      </c>
      <c r="P20" s="2">
        <f>IF(AND(VLOOKUP(P$1,test!$A$3:$F$32,5,FALSE) - VLOOKUP($B20,test!$A$3:$G$32,6,FALSE) &gt;= (test!$B$33+VLOOKUP(VLOOKUP($B20,test!$A$2:$I$32,4,FALSE),test!$J$10:$P$14,3,FALSE))/1440),1,0)</f>
        <v>1</v>
      </c>
      <c r="Q20" s="2">
        <f>IF(AND(VLOOKUP(Q$1,test!$A$3:$F$32,5,FALSE) - VLOOKUP($B20,test!$A$3:$G$32,6,FALSE) &gt;= (test!$B$33+VLOOKUP(VLOOKUP($B20,test!$A$2:$I$32,4,FALSE),test!$J$10:$P$14,3,FALSE))/1440),1,0)</f>
        <v>0</v>
      </c>
      <c r="R20" s="2">
        <f>IF(AND(VLOOKUP(R$1,test!$A$3:$F$32,5,FALSE) - VLOOKUP($B20,test!$A$3:$G$32,6,FALSE) &gt;= (test!$B$33+VLOOKUP(VLOOKUP($B20,test!$A$2:$I$32,4,FALSE),test!$J$10:$P$14,3,FALSE))/1440),1,0)</f>
        <v>0</v>
      </c>
      <c r="S20" s="2">
        <f>IF(AND(VLOOKUP(S$1,test!$A$3:$F$32,5,FALSE) - VLOOKUP($B20,test!$A$3:$G$32,6,FALSE) &gt;= (test!$B$33+VLOOKUP(VLOOKUP($B20,test!$A$2:$I$32,4,FALSE),test!$J$10:$P$14,3,FALSE))/1440),1,0)</f>
        <v>0</v>
      </c>
      <c r="T20" s="2">
        <f>IF(AND(VLOOKUP(T$1,test!$A$3:$F$32,5,FALSE) - VLOOKUP($B20,test!$A$3:$G$32,6,FALSE) &gt;= (test!$B$33+VLOOKUP(VLOOKUP($B20,test!$A$2:$I$32,4,FALSE),test!$J$10:$P$14,3,FALSE))/1440),1,0)</f>
        <v>0</v>
      </c>
      <c r="U20" s="2">
        <f>IF(AND(VLOOKUP(U$1,test!$A$3:$F$32,5,FALSE) - VLOOKUP($B20,test!$A$3:$G$32,6,FALSE) &gt;= (test!$B$33+VLOOKUP(VLOOKUP($B20,test!$A$2:$I$32,4,FALSE),test!$J$10:$P$14,3,FALSE))/1440),1,0)</f>
        <v>0</v>
      </c>
      <c r="V20" s="2">
        <f>IF(AND(VLOOKUP(V$1,test!$A$3:$F$32,5,FALSE) - VLOOKUP($B20,test!$A$3:$G$32,6,FALSE) &gt;= (test!$B$33+VLOOKUP(VLOOKUP($B20,test!$A$2:$I$32,4,FALSE),test!$J$10:$P$14,3,FALSE))/1440),1,0)</f>
        <v>0</v>
      </c>
      <c r="W20" s="2">
        <f>IF(AND(VLOOKUP(W$1,test!$A$3:$F$32,5,FALSE) - VLOOKUP($B20,test!$A$3:$G$32,6,FALSE) &gt;= (test!$B$33+VLOOKUP(VLOOKUP($B20,test!$A$2:$I$32,4,FALSE),test!$J$10:$P$14,3,FALSE))/1440),1,0)</f>
        <v>0</v>
      </c>
      <c r="X20" s="2">
        <f>IF(AND(VLOOKUP(X$1,test!$A$3:$F$32,5,FALSE) - VLOOKUP($B20,test!$A$3:$G$32,6,FALSE) &gt;= (test!$B$33+VLOOKUP(VLOOKUP($B20,test!$A$2:$I$32,4,FALSE),test!$J$10:$P$14,3,FALSE))/1440),1,0)</f>
        <v>1</v>
      </c>
      <c r="Y20" s="2">
        <f>IF(AND(VLOOKUP(Y$1,test!$A$3:$F$32,5,FALSE) - VLOOKUP($B20,test!$A$3:$G$32,6,FALSE) &gt;= (test!$B$33+VLOOKUP(VLOOKUP($B20,test!$A$2:$I$32,4,FALSE),test!$J$10:$P$14,3,FALSE))/1440),1,0)</f>
        <v>1</v>
      </c>
      <c r="Z20" s="2">
        <f>IF(AND(VLOOKUP(Z$1,test!$A$3:$F$32,5,FALSE) - VLOOKUP($B20,test!$A$3:$G$32,6,FALSE) &gt;= (test!$B$33+VLOOKUP(VLOOKUP($B20,test!$A$2:$I$32,4,FALSE),test!$J$10:$P$14,3,FALSE))/1440),1,0)</f>
        <v>0</v>
      </c>
      <c r="AA20" s="2">
        <f>IF(AND(VLOOKUP(AA$1,test!$A$3:$F$32,5,FALSE) - VLOOKUP($B20,test!$A$3:$G$32,6,FALSE) &gt;= (test!$B$33+VLOOKUP(VLOOKUP($B20,test!$A$2:$I$32,4,FALSE),test!$J$10:$P$14,3,FALSE))/1440),1,0)</f>
        <v>0</v>
      </c>
      <c r="AB20" s="2">
        <f>IF(AND(VLOOKUP(AB$1,test!$A$3:$F$32,5,FALSE) - VLOOKUP($B20,test!$A$3:$G$32,6,FALSE) &gt;= (test!$B$33+VLOOKUP(VLOOKUP($B20,test!$A$2:$I$32,4,FALSE),test!$J$10:$P$14,3,FALSE))/1440),1,0)</f>
        <v>0</v>
      </c>
      <c r="AC20" s="2">
        <f>IF(AND(VLOOKUP(AC$1,test!$A$3:$F$32,5,FALSE) - VLOOKUP($B20,test!$A$3:$G$32,6,FALSE) &gt;= (test!$B$33+VLOOKUP(VLOOKUP($B20,test!$A$2:$I$32,4,FALSE),test!$J$10:$P$14,3,FALSE))/1440),1,0)</f>
        <v>0</v>
      </c>
      <c r="AD20" s="2">
        <f>IF(AND(VLOOKUP(AD$1,test!$A$3:$F$32,5,FALSE) - VLOOKUP($B20,test!$A$3:$G$32,6,FALSE) &gt;= (test!$B$33+VLOOKUP(VLOOKUP($B20,test!$A$2:$I$32,4,FALSE),test!$J$10:$P$14,3,FALSE))/1440),1,0)</f>
        <v>1</v>
      </c>
      <c r="AE20" s="2">
        <f>IF(AND(VLOOKUP(AE$1,test!$A$3:$F$32,5,FALSE) - VLOOKUP($B20,test!$A$3:$G$32,6,FALSE) &gt;= (test!$B$33+VLOOKUP(VLOOKUP($B20,test!$A$2:$I$32,4,FALSE),test!$J$10:$P$14,3,FALSE))/1440),1,0)</f>
        <v>0</v>
      </c>
      <c r="AF20" s="2">
        <f>IF(AND(VLOOKUP(AF$1,test!$A$3:$F$32,5,FALSE) - VLOOKUP($B20,test!$A$3:$G$32,6,FALSE) &gt;= (test!$B$33+VLOOKUP(VLOOKUP($B20,test!$A$2:$I$32,4,FALSE),test!$J$10:$P$14,3,FALSE))/1440),1,0)</f>
        <v>0</v>
      </c>
      <c r="AG20" s="2">
        <f>IF(AND(VLOOKUP(AG$1,test!$A$3:$F$32,5,FALSE) - VLOOKUP($B20,test!$A$3:$G$32,6,FALSE) &gt;= (test!$B$33+VLOOKUP(VLOOKUP($B20,test!$A$2:$I$32,4,FALSE),test!$J$10:$P$14,3,FALSE))/1440),1,0)</f>
        <v>0</v>
      </c>
    </row>
    <row r="21" spans="1:33" x14ac:dyDescent="0.25">
      <c r="A21" t="s">
        <v>48</v>
      </c>
      <c r="B21" t="s">
        <v>30</v>
      </c>
      <c r="C21">
        <v>0</v>
      </c>
      <c r="D21" s="2">
        <f>IF(AND(VLOOKUP(D$1,test!$A$3:$F$32,5,FALSE) - VLOOKUP($B21,test!$A$3:$G$32,6,FALSE) &gt;= (test!$B$33+VLOOKUP(VLOOKUP($B21,test!$A$2:$I$32,4,FALSE),test!$J$10:$P$14,3,FALSE))/1440),1,0)</f>
        <v>0</v>
      </c>
      <c r="E21" s="2">
        <f>IF(AND(VLOOKUP(E$1,test!$A$3:$F$32,5,FALSE) - VLOOKUP($B21,test!$A$3:$G$32,6,FALSE) &gt;= (test!$B$33+VLOOKUP(VLOOKUP($B21,test!$A$2:$I$32,4,FALSE),test!$J$10:$P$14,3,FALSE))/1440),1,0)</f>
        <v>0</v>
      </c>
      <c r="F21" s="2">
        <f>IF(AND(VLOOKUP(F$1,test!$A$3:$F$32,5,FALSE) - VLOOKUP($B21,test!$A$3:$G$32,6,FALSE) &gt;= (test!$B$33+VLOOKUP(VLOOKUP($B21,test!$A$2:$I$32,4,FALSE),test!$J$10:$P$14,3,FALSE))/1440),1,0)</f>
        <v>0</v>
      </c>
      <c r="G21" s="2">
        <f>IF(AND(VLOOKUP(G$1,test!$A$3:$F$32,5,FALSE) - VLOOKUP($B21,test!$A$3:$G$32,6,FALSE) &gt;= (test!$B$33+VLOOKUP(VLOOKUP($B21,test!$A$2:$I$32,4,FALSE),test!$J$10:$P$14,3,FALSE))/1440),1,0)</f>
        <v>0</v>
      </c>
      <c r="H21" s="2">
        <f>IF(AND(VLOOKUP(H$1,test!$A$3:$F$32,5,FALSE) - VLOOKUP($B21,test!$A$3:$G$32,6,FALSE) &gt;= (test!$B$33+VLOOKUP(VLOOKUP($B21,test!$A$2:$I$32,4,FALSE),test!$J$10:$P$14,3,FALSE))/1440),1,0)</f>
        <v>0</v>
      </c>
      <c r="I21" s="2">
        <f>IF(AND(VLOOKUP(I$1,test!$A$3:$F$32,5,FALSE) - VLOOKUP($B21,test!$A$3:$G$32,6,FALSE) &gt;= (test!$B$33+VLOOKUP(VLOOKUP($B21,test!$A$2:$I$32,4,FALSE),test!$J$10:$P$14,3,FALSE))/1440),1,0)</f>
        <v>0</v>
      </c>
      <c r="J21" s="2">
        <f>IF(AND(VLOOKUP(J$1,test!$A$3:$F$32,5,FALSE) - VLOOKUP($B21,test!$A$3:$G$32,6,FALSE) &gt;= (test!$B$33+VLOOKUP(VLOOKUP($B21,test!$A$2:$I$32,4,FALSE),test!$J$10:$P$14,3,FALSE))/1440),1,0)</f>
        <v>0</v>
      </c>
      <c r="K21" s="2">
        <f>IF(AND(VLOOKUP(K$1,test!$A$3:$F$32,5,FALSE) - VLOOKUP($B21,test!$A$3:$G$32,6,FALSE) &gt;= (test!$B$33+VLOOKUP(VLOOKUP($B21,test!$A$2:$I$32,4,FALSE),test!$J$10:$P$14,3,FALSE))/1440),1,0)</f>
        <v>1</v>
      </c>
      <c r="L21" s="2">
        <f>IF(AND(VLOOKUP(L$1,test!$A$3:$F$32,5,FALSE) - VLOOKUP($B21,test!$A$3:$G$32,6,FALSE) &gt;= (test!$B$33+VLOOKUP(VLOOKUP($B21,test!$A$2:$I$32,4,FALSE),test!$J$10:$P$14,3,FALSE))/1440),1,0)</f>
        <v>0</v>
      </c>
      <c r="M21" s="2">
        <f>IF(AND(VLOOKUP(M$1,test!$A$3:$F$32,5,FALSE) - VLOOKUP($B21,test!$A$3:$G$32,6,FALSE) &gt;= (test!$B$33+VLOOKUP(VLOOKUP($B21,test!$A$2:$I$32,4,FALSE),test!$J$10:$P$14,3,FALSE))/1440),1,0)</f>
        <v>0</v>
      </c>
      <c r="N21" s="2">
        <f>IF(AND(VLOOKUP(N$1,test!$A$3:$F$32,5,FALSE) - VLOOKUP($B21,test!$A$3:$G$32,6,FALSE) &gt;= (test!$B$33+VLOOKUP(VLOOKUP($B21,test!$A$2:$I$32,4,FALSE),test!$J$10:$P$14,3,FALSE))/1440),1,0)</f>
        <v>0</v>
      </c>
      <c r="O21" s="2">
        <f>IF(AND(VLOOKUP(O$1,test!$A$3:$F$32,5,FALSE) - VLOOKUP($B21,test!$A$3:$G$32,6,FALSE) &gt;= (test!$B$33+VLOOKUP(VLOOKUP($B21,test!$A$2:$I$32,4,FALSE),test!$J$10:$P$14,3,FALSE))/1440),1,0)</f>
        <v>1</v>
      </c>
      <c r="P21" s="2">
        <f>IF(AND(VLOOKUP(P$1,test!$A$3:$F$32,5,FALSE) - VLOOKUP($B21,test!$A$3:$G$32,6,FALSE) &gt;= (test!$B$33+VLOOKUP(VLOOKUP($B21,test!$A$2:$I$32,4,FALSE),test!$J$10:$P$14,3,FALSE))/1440),1,0)</f>
        <v>1</v>
      </c>
      <c r="Q21" s="2">
        <f>IF(AND(VLOOKUP(Q$1,test!$A$3:$F$32,5,FALSE) - VLOOKUP($B21,test!$A$3:$G$32,6,FALSE) &gt;= (test!$B$33+VLOOKUP(VLOOKUP($B21,test!$A$2:$I$32,4,FALSE),test!$J$10:$P$14,3,FALSE))/1440),1,0)</f>
        <v>0</v>
      </c>
      <c r="R21" s="2">
        <f>IF(AND(VLOOKUP(R$1,test!$A$3:$F$32,5,FALSE) - VLOOKUP($B21,test!$A$3:$G$32,6,FALSE) &gt;= (test!$B$33+VLOOKUP(VLOOKUP($B21,test!$A$2:$I$32,4,FALSE),test!$J$10:$P$14,3,FALSE))/1440),1,0)</f>
        <v>0</v>
      </c>
      <c r="S21" s="2">
        <f>IF(AND(VLOOKUP(S$1,test!$A$3:$F$32,5,FALSE) - VLOOKUP($B21,test!$A$3:$G$32,6,FALSE) &gt;= (test!$B$33+VLOOKUP(VLOOKUP($B21,test!$A$2:$I$32,4,FALSE),test!$J$10:$P$14,3,FALSE))/1440),1,0)</f>
        <v>0</v>
      </c>
      <c r="T21" s="2">
        <f>IF(AND(VLOOKUP(T$1,test!$A$3:$F$32,5,FALSE) - VLOOKUP($B21,test!$A$3:$G$32,6,FALSE) &gt;= (test!$B$33+VLOOKUP(VLOOKUP($B21,test!$A$2:$I$32,4,FALSE),test!$J$10:$P$14,3,FALSE))/1440),1,0)</f>
        <v>0</v>
      </c>
      <c r="U21" s="2">
        <f>IF(AND(VLOOKUP(U$1,test!$A$3:$F$32,5,FALSE) - VLOOKUP($B21,test!$A$3:$G$32,6,FALSE) &gt;= (test!$B$33+VLOOKUP(VLOOKUP($B21,test!$A$2:$I$32,4,FALSE),test!$J$10:$P$14,3,FALSE))/1440),1,0)</f>
        <v>0</v>
      </c>
      <c r="V21" s="2">
        <f>IF(AND(VLOOKUP(V$1,test!$A$3:$F$32,5,FALSE) - VLOOKUP($B21,test!$A$3:$G$32,6,FALSE) &gt;= (test!$B$33+VLOOKUP(VLOOKUP($B21,test!$A$2:$I$32,4,FALSE),test!$J$10:$P$14,3,FALSE))/1440),1,0)</f>
        <v>0</v>
      </c>
      <c r="W21" s="2">
        <f>IF(AND(VLOOKUP(W$1,test!$A$3:$F$32,5,FALSE) - VLOOKUP($B21,test!$A$3:$G$32,6,FALSE) &gt;= (test!$B$33+VLOOKUP(VLOOKUP($B21,test!$A$2:$I$32,4,FALSE),test!$J$10:$P$14,3,FALSE))/1440),1,0)</f>
        <v>0</v>
      </c>
      <c r="X21" s="2">
        <f>IF(AND(VLOOKUP(X$1,test!$A$3:$F$32,5,FALSE) - VLOOKUP($B21,test!$A$3:$G$32,6,FALSE) &gt;= (test!$B$33+VLOOKUP(VLOOKUP($B21,test!$A$2:$I$32,4,FALSE),test!$J$10:$P$14,3,FALSE))/1440),1,0)</f>
        <v>0</v>
      </c>
      <c r="Y21" s="2">
        <f>IF(AND(VLOOKUP(Y$1,test!$A$3:$F$32,5,FALSE) - VLOOKUP($B21,test!$A$3:$G$32,6,FALSE) &gt;= (test!$B$33+VLOOKUP(VLOOKUP($B21,test!$A$2:$I$32,4,FALSE),test!$J$10:$P$14,3,FALSE))/1440),1,0)</f>
        <v>1</v>
      </c>
      <c r="Z21" s="2">
        <f>IF(AND(VLOOKUP(Z$1,test!$A$3:$F$32,5,FALSE) - VLOOKUP($B21,test!$A$3:$G$32,6,FALSE) &gt;= (test!$B$33+VLOOKUP(VLOOKUP($B21,test!$A$2:$I$32,4,FALSE),test!$J$10:$P$14,3,FALSE))/1440),1,0)</f>
        <v>0</v>
      </c>
      <c r="AA21" s="2">
        <f>IF(AND(VLOOKUP(AA$1,test!$A$3:$F$32,5,FALSE) - VLOOKUP($B21,test!$A$3:$G$32,6,FALSE) &gt;= (test!$B$33+VLOOKUP(VLOOKUP($B21,test!$A$2:$I$32,4,FALSE),test!$J$10:$P$14,3,FALSE))/1440),1,0)</f>
        <v>0</v>
      </c>
      <c r="AB21" s="2">
        <f>IF(AND(VLOOKUP(AB$1,test!$A$3:$F$32,5,FALSE) - VLOOKUP($B21,test!$A$3:$G$32,6,FALSE) &gt;= (test!$B$33+VLOOKUP(VLOOKUP($B21,test!$A$2:$I$32,4,FALSE),test!$J$10:$P$14,3,FALSE))/1440),1,0)</f>
        <v>0</v>
      </c>
      <c r="AC21" s="2">
        <f>IF(AND(VLOOKUP(AC$1,test!$A$3:$F$32,5,FALSE) - VLOOKUP($B21,test!$A$3:$G$32,6,FALSE) &gt;= (test!$B$33+VLOOKUP(VLOOKUP($B21,test!$A$2:$I$32,4,FALSE),test!$J$10:$P$14,3,FALSE))/1440),1,0)</f>
        <v>0</v>
      </c>
      <c r="AD21" s="2">
        <f>IF(AND(VLOOKUP(AD$1,test!$A$3:$F$32,5,FALSE) - VLOOKUP($B21,test!$A$3:$G$32,6,FALSE) &gt;= (test!$B$33+VLOOKUP(VLOOKUP($B21,test!$A$2:$I$32,4,FALSE),test!$J$10:$P$14,3,FALSE))/1440),1,0)</f>
        <v>0</v>
      </c>
      <c r="AE21" s="2">
        <f>IF(AND(VLOOKUP(AE$1,test!$A$3:$F$32,5,FALSE) - VLOOKUP($B21,test!$A$3:$G$32,6,FALSE) &gt;= (test!$B$33+VLOOKUP(VLOOKUP($B21,test!$A$2:$I$32,4,FALSE),test!$J$10:$P$14,3,FALSE))/1440),1,0)</f>
        <v>0</v>
      </c>
      <c r="AF21" s="2">
        <f>IF(AND(VLOOKUP(AF$1,test!$A$3:$F$32,5,FALSE) - VLOOKUP($B21,test!$A$3:$G$32,6,FALSE) &gt;= (test!$B$33+VLOOKUP(VLOOKUP($B21,test!$A$2:$I$32,4,FALSE),test!$J$10:$P$14,3,FALSE))/1440),1,0)</f>
        <v>0</v>
      </c>
      <c r="AG21" s="2">
        <f>IF(AND(VLOOKUP(AG$1,test!$A$3:$F$32,5,FALSE) - VLOOKUP($B21,test!$A$3:$G$32,6,FALSE) &gt;= (test!$B$33+VLOOKUP(VLOOKUP($B21,test!$A$2:$I$32,4,FALSE),test!$J$10:$P$14,3,FALSE))/1440),1,0)</f>
        <v>0</v>
      </c>
    </row>
    <row r="22" spans="1:33" x14ac:dyDescent="0.25">
      <c r="A22" t="s">
        <v>48</v>
      </c>
      <c r="B22" t="s">
        <v>31</v>
      </c>
      <c r="C22">
        <v>0</v>
      </c>
      <c r="D22" s="2">
        <f>IF(AND(VLOOKUP(D$1,test!$A$3:$F$32,5,FALSE) - VLOOKUP($B22,test!$A$3:$G$32,6,FALSE) &gt;= (test!$B$33+VLOOKUP(VLOOKUP($B22,test!$A$2:$I$32,4,FALSE),test!$J$10:$P$14,3,FALSE))/1440),1,0)</f>
        <v>0</v>
      </c>
      <c r="E22" s="2">
        <f>IF(AND(VLOOKUP(E$1,test!$A$3:$F$32,5,FALSE) - VLOOKUP($B22,test!$A$3:$G$32,6,FALSE) &gt;= (test!$B$33+VLOOKUP(VLOOKUP($B22,test!$A$2:$I$32,4,FALSE),test!$J$10:$P$14,3,FALSE))/1440),1,0)</f>
        <v>0</v>
      </c>
      <c r="F22" s="2">
        <f>IF(AND(VLOOKUP(F$1,test!$A$3:$F$32,5,FALSE) - VLOOKUP($B22,test!$A$3:$G$32,6,FALSE) &gt;= (test!$B$33+VLOOKUP(VLOOKUP($B22,test!$A$2:$I$32,4,FALSE),test!$J$10:$P$14,3,FALSE))/1440),1,0)</f>
        <v>0</v>
      </c>
      <c r="G22" s="2">
        <f>IF(AND(VLOOKUP(G$1,test!$A$3:$F$32,5,FALSE) - VLOOKUP($B22,test!$A$3:$G$32,6,FALSE) &gt;= (test!$B$33+VLOOKUP(VLOOKUP($B22,test!$A$2:$I$32,4,FALSE),test!$J$10:$P$14,3,FALSE))/1440),1,0)</f>
        <v>0</v>
      </c>
      <c r="H22" s="2">
        <f>IF(AND(VLOOKUP(H$1,test!$A$3:$F$32,5,FALSE) - VLOOKUP($B22,test!$A$3:$G$32,6,FALSE) &gt;= (test!$B$33+VLOOKUP(VLOOKUP($B22,test!$A$2:$I$32,4,FALSE),test!$J$10:$P$14,3,FALSE))/1440),1,0)</f>
        <v>0</v>
      </c>
      <c r="I22" s="2">
        <f>IF(AND(VLOOKUP(I$1,test!$A$3:$F$32,5,FALSE) - VLOOKUP($B22,test!$A$3:$G$32,6,FALSE) &gt;= (test!$B$33+VLOOKUP(VLOOKUP($B22,test!$A$2:$I$32,4,FALSE),test!$J$10:$P$14,3,FALSE))/1440),1,0)</f>
        <v>0</v>
      </c>
      <c r="J22" s="2">
        <f>IF(AND(VLOOKUP(J$1,test!$A$3:$F$32,5,FALSE) - VLOOKUP($B22,test!$A$3:$G$32,6,FALSE) &gt;= (test!$B$33+VLOOKUP(VLOOKUP($B22,test!$A$2:$I$32,4,FALSE),test!$J$10:$P$14,3,FALSE))/1440),1,0)</f>
        <v>0</v>
      </c>
      <c r="K22" s="2">
        <f>IF(AND(VLOOKUP(K$1,test!$A$3:$F$32,5,FALSE) - VLOOKUP($B22,test!$A$3:$G$32,6,FALSE) &gt;= (test!$B$33+VLOOKUP(VLOOKUP($B22,test!$A$2:$I$32,4,FALSE),test!$J$10:$P$14,3,FALSE))/1440),1,0)</f>
        <v>0</v>
      </c>
      <c r="L22" s="2">
        <f>IF(AND(VLOOKUP(L$1,test!$A$3:$F$32,5,FALSE) - VLOOKUP($B22,test!$A$3:$G$32,6,FALSE) &gt;= (test!$B$33+VLOOKUP(VLOOKUP($B22,test!$A$2:$I$32,4,FALSE),test!$J$10:$P$14,3,FALSE))/1440),1,0)</f>
        <v>0</v>
      </c>
      <c r="M22" s="2">
        <f>IF(AND(VLOOKUP(M$1,test!$A$3:$F$32,5,FALSE) - VLOOKUP($B22,test!$A$3:$G$32,6,FALSE) &gt;= (test!$B$33+VLOOKUP(VLOOKUP($B22,test!$A$2:$I$32,4,FALSE),test!$J$10:$P$14,3,FALSE))/1440),1,0)</f>
        <v>0</v>
      </c>
      <c r="N22" s="2">
        <f>IF(AND(VLOOKUP(N$1,test!$A$3:$F$32,5,FALSE) - VLOOKUP($B22,test!$A$3:$G$32,6,FALSE) &gt;= (test!$B$33+VLOOKUP(VLOOKUP($B22,test!$A$2:$I$32,4,FALSE),test!$J$10:$P$14,3,FALSE))/1440),1,0)</f>
        <v>0</v>
      </c>
      <c r="O22" s="2">
        <f>IF(AND(VLOOKUP(O$1,test!$A$3:$F$32,5,FALSE) - VLOOKUP($B22,test!$A$3:$G$32,6,FALSE) &gt;= (test!$B$33+VLOOKUP(VLOOKUP($B22,test!$A$2:$I$32,4,FALSE),test!$J$10:$P$14,3,FALSE))/1440),1,0)</f>
        <v>0</v>
      </c>
      <c r="P22" s="2">
        <f>IF(AND(VLOOKUP(P$1,test!$A$3:$F$32,5,FALSE) - VLOOKUP($B22,test!$A$3:$G$32,6,FALSE) &gt;= (test!$B$33+VLOOKUP(VLOOKUP($B22,test!$A$2:$I$32,4,FALSE),test!$J$10:$P$14,3,FALSE))/1440),1,0)</f>
        <v>1</v>
      </c>
      <c r="Q22" s="2">
        <f>IF(AND(VLOOKUP(Q$1,test!$A$3:$F$32,5,FALSE) - VLOOKUP($B22,test!$A$3:$G$32,6,FALSE) &gt;= (test!$B$33+VLOOKUP(VLOOKUP($B22,test!$A$2:$I$32,4,FALSE),test!$J$10:$P$14,3,FALSE))/1440),1,0)</f>
        <v>0</v>
      </c>
      <c r="R22" s="2">
        <f>IF(AND(VLOOKUP(R$1,test!$A$3:$F$32,5,FALSE) - VLOOKUP($B22,test!$A$3:$G$32,6,FALSE) &gt;= (test!$B$33+VLOOKUP(VLOOKUP($B22,test!$A$2:$I$32,4,FALSE),test!$J$10:$P$14,3,FALSE))/1440),1,0)</f>
        <v>0</v>
      </c>
      <c r="S22" s="2">
        <f>IF(AND(VLOOKUP(S$1,test!$A$3:$F$32,5,FALSE) - VLOOKUP($B22,test!$A$3:$G$32,6,FALSE) &gt;= (test!$B$33+VLOOKUP(VLOOKUP($B22,test!$A$2:$I$32,4,FALSE),test!$J$10:$P$14,3,FALSE))/1440),1,0)</f>
        <v>0</v>
      </c>
      <c r="T22" s="2">
        <f>IF(AND(VLOOKUP(T$1,test!$A$3:$F$32,5,FALSE) - VLOOKUP($B22,test!$A$3:$G$32,6,FALSE) &gt;= (test!$B$33+VLOOKUP(VLOOKUP($B22,test!$A$2:$I$32,4,FALSE),test!$J$10:$P$14,3,FALSE))/1440),1,0)</f>
        <v>0</v>
      </c>
      <c r="U22" s="2">
        <f>IF(AND(VLOOKUP(U$1,test!$A$3:$F$32,5,FALSE) - VLOOKUP($B22,test!$A$3:$G$32,6,FALSE) &gt;= (test!$B$33+VLOOKUP(VLOOKUP($B22,test!$A$2:$I$32,4,FALSE),test!$J$10:$P$14,3,FALSE))/1440),1,0)</f>
        <v>0</v>
      </c>
      <c r="V22" s="2">
        <f>IF(AND(VLOOKUP(V$1,test!$A$3:$F$32,5,FALSE) - VLOOKUP($B22,test!$A$3:$G$32,6,FALSE) &gt;= (test!$B$33+VLOOKUP(VLOOKUP($B22,test!$A$2:$I$32,4,FALSE),test!$J$10:$P$14,3,FALSE))/1440),1,0)</f>
        <v>0</v>
      </c>
      <c r="W22" s="2">
        <f>IF(AND(VLOOKUP(W$1,test!$A$3:$F$32,5,FALSE) - VLOOKUP($B22,test!$A$3:$G$32,6,FALSE) &gt;= (test!$B$33+VLOOKUP(VLOOKUP($B22,test!$A$2:$I$32,4,FALSE),test!$J$10:$P$14,3,FALSE))/1440),1,0)</f>
        <v>0</v>
      </c>
      <c r="X22" s="2">
        <f>IF(AND(VLOOKUP(X$1,test!$A$3:$F$32,5,FALSE) - VLOOKUP($B22,test!$A$3:$G$32,6,FALSE) &gt;= (test!$B$33+VLOOKUP(VLOOKUP($B22,test!$A$2:$I$32,4,FALSE),test!$J$10:$P$14,3,FALSE))/1440),1,0)</f>
        <v>0</v>
      </c>
      <c r="Y22" s="2">
        <f>IF(AND(VLOOKUP(Y$1,test!$A$3:$F$32,5,FALSE) - VLOOKUP($B22,test!$A$3:$G$32,6,FALSE) &gt;= (test!$B$33+VLOOKUP(VLOOKUP($B22,test!$A$2:$I$32,4,FALSE),test!$J$10:$P$14,3,FALSE))/1440),1,0)</f>
        <v>0</v>
      </c>
      <c r="Z22" s="2">
        <f>IF(AND(VLOOKUP(Z$1,test!$A$3:$F$32,5,FALSE) - VLOOKUP($B22,test!$A$3:$G$32,6,FALSE) &gt;= (test!$B$33+VLOOKUP(VLOOKUP($B22,test!$A$2:$I$32,4,FALSE),test!$J$10:$P$14,3,FALSE))/1440),1,0)</f>
        <v>0</v>
      </c>
      <c r="AA22" s="2">
        <f>IF(AND(VLOOKUP(AA$1,test!$A$3:$F$32,5,FALSE) - VLOOKUP($B22,test!$A$3:$G$32,6,FALSE) &gt;= (test!$B$33+VLOOKUP(VLOOKUP($B22,test!$A$2:$I$32,4,FALSE),test!$J$10:$P$14,3,FALSE))/1440),1,0)</f>
        <v>0</v>
      </c>
      <c r="AB22" s="2">
        <f>IF(AND(VLOOKUP(AB$1,test!$A$3:$F$32,5,FALSE) - VLOOKUP($B22,test!$A$3:$G$32,6,FALSE) &gt;= (test!$B$33+VLOOKUP(VLOOKUP($B22,test!$A$2:$I$32,4,FALSE),test!$J$10:$P$14,3,FALSE))/1440),1,0)</f>
        <v>0</v>
      </c>
      <c r="AC22" s="2">
        <f>IF(AND(VLOOKUP(AC$1,test!$A$3:$F$32,5,FALSE) - VLOOKUP($B22,test!$A$3:$G$32,6,FALSE) &gt;= (test!$B$33+VLOOKUP(VLOOKUP($B22,test!$A$2:$I$32,4,FALSE),test!$J$10:$P$14,3,FALSE))/1440),1,0)</f>
        <v>0</v>
      </c>
      <c r="AD22" s="2">
        <f>IF(AND(VLOOKUP(AD$1,test!$A$3:$F$32,5,FALSE) - VLOOKUP($B22,test!$A$3:$G$32,6,FALSE) &gt;= (test!$B$33+VLOOKUP(VLOOKUP($B22,test!$A$2:$I$32,4,FALSE),test!$J$10:$P$14,3,FALSE))/1440),1,0)</f>
        <v>0</v>
      </c>
      <c r="AE22" s="2">
        <f>IF(AND(VLOOKUP(AE$1,test!$A$3:$F$32,5,FALSE) - VLOOKUP($B22,test!$A$3:$G$32,6,FALSE) &gt;= (test!$B$33+VLOOKUP(VLOOKUP($B22,test!$A$2:$I$32,4,FALSE),test!$J$10:$P$14,3,FALSE))/1440),1,0)</f>
        <v>0</v>
      </c>
      <c r="AF22" s="2">
        <f>IF(AND(VLOOKUP(AF$1,test!$A$3:$F$32,5,FALSE) - VLOOKUP($B22,test!$A$3:$G$32,6,FALSE) &gt;= (test!$B$33+VLOOKUP(VLOOKUP($B22,test!$A$2:$I$32,4,FALSE),test!$J$10:$P$14,3,FALSE))/1440),1,0)</f>
        <v>0</v>
      </c>
      <c r="AG22" s="2">
        <f>IF(AND(VLOOKUP(AG$1,test!$A$3:$F$32,5,FALSE) - VLOOKUP($B22,test!$A$3:$G$32,6,FALSE) &gt;= (test!$B$33+VLOOKUP(VLOOKUP($B22,test!$A$2:$I$32,4,FALSE),test!$J$10:$P$14,3,FALSE))/1440),1,0)</f>
        <v>0</v>
      </c>
    </row>
    <row r="23" spans="1:33" x14ac:dyDescent="0.25">
      <c r="A23" t="s">
        <v>48</v>
      </c>
      <c r="B23" t="s">
        <v>32</v>
      </c>
      <c r="C23">
        <v>0</v>
      </c>
      <c r="D23" s="2">
        <f>IF(AND(VLOOKUP(D$1,test!$A$3:$F$32,5,FALSE) - VLOOKUP($B23,test!$A$3:$G$32,6,FALSE) &gt;= (test!$B$33+VLOOKUP(VLOOKUP($B23,test!$A$2:$I$32,4,FALSE),test!$J$10:$P$14,3,FALSE))/1440),1,0)</f>
        <v>0</v>
      </c>
      <c r="E23" s="2">
        <f>IF(AND(VLOOKUP(E$1,test!$A$3:$F$32,5,FALSE) - VLOOKUP($B23,test!$A$3:$G$32,6,FALSE) &gt;= (test!$B$33+VLOOKUP(VLOOKUP($B23,test!$A$2:$I$32,4,FALSE),test!$J$10:$P$14,3,FALSE))/1440),1,0)</f>
        <v>0</v>
      </c>
      <c r="F23" s="2">
        <f>IF(AND(VLOOKUP(F$1,test!$A$3:$F$32,5,FALSE) - VLOOKUP($B23,test!$A$3:$G$32,6,FALSE) &gt;= (test!$B$33+VLOOKUP(VLOOKUP($B23,test!$A$2:$I$32,4,FALSE),test!$J$10:$P$14,3,FALSE))/1440),1,0)</f>
        <v>0</v>
      </c>
      <c r="G23" s="2">
        <f>IF(AND(VLOOKUP(G$1,test!$A$3:$F$32,5,FALSE) - VLOOKUP($B23,test!$A$3:$G$32,6,FALSE) &gt;= (test!$B$33+VLOOKUP(VLOOKUP($B23,test!$A$2:$I$32,4,FALSE),test!$J$10:$P$14,3,FALSE))/1440),1,0)</f>
        <v>0</v>
      </c>
      <c r="H23" s="2">
        <f>IF(AND(VLOOKUP(H$1,test!$A$3:$F$32,5,FALSE) - VLOOKUP($B23,test!$A$3:$G$32,6,FALSE) &gt;= (test!$B$33+VLOOKUP(VLOOKUP($B23,test!$A$2:$I$32,4,FALSE),test!$J$10:$P$14,3,FALSE))/1440),1,0)</f>
        <v>0</v>
      </c>
      <c r="I23" s="2">
        <f>IF(AND(VLOOKUP(I$1,test!$A$3:$F$32,5,FALSE) - VLOOKUP($B23,test!$A$3:$G$32,6,FALSE) &gt;= (test!$B$33+VLOOKUP(VLOOKUP($B23,test!$A$2:$I$32,4,FALSE),test!$J$10:$P$14,3,FALSE))/1440),1,0)</f>
        <v>0</v>
      </c>
      <c r="J23" s="2">
        <f>IF(AND(VLOOKUP(J$1,test!$A$3:$F$32,5,FALSE) - VLOOKUP($B23,test!$A$3:$G$32,6,FALSE) &gt;= (test!$B$33+VLOOKUP(VLOOKUP($B23,test!$A$2:$I$32,4,FALSE),test!$J$10:$P$14,3,FALSE))/1440),1,0)</f>
        <v>0</v>
      </c>
      <c r="K23" s="2">
        <f>IF(AND(VLOOKUP(K$1,test!$A$3:$F$32,5,FALSE) - VLOOKUP($B23,test!$A$3:$G$32,6,FALSE) &gt;= (test!$B$33+VLOOKUP(VLOOKUP($B23,test!$A$2:$I$32,4,FALSE),test!$J$10:$P$14,3,FALSE))/1440),1,0)</f>
        <v>0</v>
      </c>
      <c r="L23" s="2">
        <f>IF(AND(VLOOKUP(L$1,test!$A$3:$F$32,5,FALSE) - VLOOKUP($B23,test!$A$3:$G$32,6,FALSE) &gt;= (test!$B$33+VLOOKUP(VLOOKUP($B23,test!$A$2:$I$32,4,FALSE),test!$J$10:$P$14,3,FALSE))/1440),1,0)</f>
        <v>0</v>
      </c>
      <c r="M23" s="2">
        <f>IF(AND(VLOOKUP(M$1,test!$A$3:$F$32,5,FALSE) - VLOOKUP($B23,test!$A$3:$G$32,6,FALSE) &gt;= (test!$B$33+VLOOKUP(VLOOKUP($B23,test!$A$2:$I$32,4,FALSE),test!$J$10:$P$14,3,FALSE))/1440),1,0)</f>
        <v>0</v>
      </c>
      <c r="N23" s="2">
        <f>IF(AND(VLOOKUP(N$1,test!$A$3:$F$32,5,FALSE) - VLOOKUP($B23,test!$A$3:$G$32,6,FALSE) &gt;= (test!$B$33+VLOOKUP(VLOOKUP($B23,test!$A$2:$I$32,4,FALSE),test!$J$10:$P$14,3,FALSE))/1440),1,0)</f>
        <v>0</v>
      </c>
      <c r="O23" s="2">
        <f>IF(AND(VLOOKUP(O$1,test!$A$3:$F$32,5,FALSE) - VLOOKUP($B23,test!$A$3:$G$32,6,FALSE) &gt;= (test!$B$33+VLOOKUP(VLOOKUP($B23,test!$A$2:$I$32,4,FALSE),test!$J$10:$P$14,3,FALSE))/1440),1,0)</f>
        <v>0</v>
      </c>
      <c r="P23" s="2">
        <f>IF(AND(VLOOKUP(P$1,test!$A$3:$F$32,5,FALSE) - VLOOKUP($B23,test!$A$3:$G$32,6,FALSE) &gt;= (test!$B$33+VLOOKUP(VLOOKUP($B23,test!$A$2:$I$32,4,FALSE),test!$J$10:$P$14,3,FALSE))/1440),1,0)</f>
        <v>0</v>
      </c>
      <c r="Q23" s="2">
        <f>IF(AND(VLOOKUP(Q$1,test!$A$3:$F$32,5,FALSE) - VLOOKUP($B23,test!$A$3:$G$32,6,FALSE) &gt;= (test!$B$33+VLOOKUP(VLOOKUP($B23,test!$A$2:$I$32,4,FALSE),test!$J$10:$P$14,3,FALSE))/1440),1,0)</f>
        <v>0</v>
      </c>
      <c r="R23" s="2">
        <f>IF(AND(VLOOKUP(R$1,test!$A$3:$F$32,5,FALSE) - VLOOKUP($B23,test!$A$3:$G$32,6,FALSE) &gt;= (test!$B$33+VLOOKUP(VLOOKUP($B23,test!$A$2:$I$32,4,FALSE),test!$J$10:$P$14,3,FALSE))/1440),1,0)</f>
        <v>0</v>
      </c>
      <c r="S23" s="2">
        <f>IF(AND(VLOOKUP(S$1,test!$A$3:$F$32,5,FALSE) - VLOOKUP($B23,test!$A$3:$G$32,6,FALSE) &gt;= (test!$B$33+VLOOKUP(VLOOKUP($B23,test!$A$2:$I$32,4,FALSE),test!$J$10:$P$14,3,FALSE))/1440),1,0)</f>
        <v>0</v>
      </c>
      <c r="T23" s="2">
        <f>IF(AND(VLOOKUP(T$1,test!$A$3:$F$32,5,FALSE) - VLOOKUP($B23,test!$A$3:$G$32,6,FALSE) &gt;= (test!$B$33+VLOOKUP(VLOOKUP($B23,test!$A$2:$I$32,4,FALSE),test!$J$10:$P$14,3,FALSE))/1440),1,0)</f>
        <v>0</v>
      </c>
      <c r="U23" s="2">
        <f>IF(AND(VLOOKUP(U$1,test!$A$3:$F$32,5,FALSE) - VLOOKUP($B23,test!$A$3:$G$32,6,FALSE) &gt;= (test!$B$33+VLOOKUP(VLOOKUP($B23,test!$A$2:$I$32,4,FALSE),test!$J$10:$P$14,3,FALSE))/1440),1,0)</f>
        <v>0</v>
      </c>
      <c r="V23" s="2">
        <f>IF(AND(VLOOKUP(V$1,test!$A$3:$F$32,5,FALSE) - VLOOKUP($B23,test!$A$3:$G$32,6,FALSE) &gt;= (test!$B$33+VLOOKUP(VLOOKUP($B23,test!$A$2:$I$32,4,FALSE),test!$J$10:$P$14,3,FALSE))/1440),1,0)</f>
        <v>0</v>
      </c>
      <c r="W23" s="2">
        <f>IF(AND(VLOOKUP(W$1,test!$A$3:$F$32,5,FALSE) - VLOOKUP($B23,test!$A$3:$G$32,6,FALSE) &gt;= (test!$B$33+VLOOKUP(VLOOKUP($B23,test!$A$2:$I$32,4,FALSE),test!$J$10:$P$14,3,FALSE))/1440),1,0)</f>
        <v>0</v>
      </c>
      <c r="X23" s="2">
        <f>IF(AND(VLOOKUP(X$1,test!$A$3:$F$32,5,FALSE) - VLOOKUP($B23,test!$A$3:$G$32,6,FALSE) &gt;= (test!$B$33+VLOOKUP(VLOOKUP($B23,test!$A$2:$I$32,4,FALSE),test!$J$10:$P$14,3,FALSE))/1440),1,0)</f>
        <v>0</v>
      </c>
      <c r="Y23" s="2">
        <f>IF(AND(VLOOKUP(Y$1,test!$A$3:$F$32,5,FALSE) - VLOOKUP($B23,test!$A$3:$G$32,6,FALSE) &gt;= (test!$B$33+VLOOKUP(VLOOKUP($B23,test!$A$2:$I$32,4,FALSE),test!$J$10:$P$14,3,FALSE))/1440),1,0)</f>
        <v>0</v>
      </c>
      <c r="Z23" s="2">
        <f>IF(AND(VLOOKUP(Z$1,test!$A$3:$F$32,5,FALSE) - VLOOKUP($B23,test!$A$3:$G$32,6,FALSE) &gt;= (test!$B$33+VLOOKUP(VLOOKUP($B23,test!$A$2:$I$32,4,FALSE),test!$J$10:$P$14,3,FALSE))/1440),1,0)</f>
        <v>0</v>
      </c>
      <c r="AA23" s="2">
        <f>IF(AND(VLOOKUP(AA$1,test!$A$3:$F$32,5,FALSE) - VLOOKUP($B23,test!$A$3:$G$32,6,FALSE) &gt;= (test!$B$33+VLOOKUP(VLOOKUP($B23,test!$A$2:$I$32,4,FALSE),test!$J$10:$P$14,3,FALSE))/1440),1,0)</f>
        <v>0</v>
      </c>
      <c r="AB23" s="2">
        <f>IF(AND(VLOOKUP(AB$1,test!$A$3:$F$32,5,FALSE) - VLOOKUP($B23,test!$A$3:$G$32,6,FALSE) &gt;= (test!$B$33+VLOOKUP(VLOOKUP($B23,test!$A$2:$I$32,4,FALSE),test!$J$10:$P$14,3,FALSE))/1440),1,0)</f>
        <v>0</v>
      </c>
      <c r="AC23" s="2">
        <f>IF(AND(VLOOKUP(AC$1,test!$A$3:$F$32,5,FALSE) - VLOOKUP($B23,test!$A$3:$G$32,6,FALSE) &gt;= (test!$B$33+VLOOKUP(VLOOKUP($B23,test!$A$2:$I$32,4,FALSE),test!$J$10:$P$14,3,FALSE))/1440),1,0)</f>
        <v>0</v>
      </c>
      <c r="AD23" s="2">
        <f>IF(AND(VLOOKUP(AD$1,test!$A$3:$F$32,5,FALSE) - VLOOKUP($B23,test!$A$3:$G$32,6,FALSE) &gt;= (test!$B$33+VLOOKUP(VLOOKUP($B23,test!$A$2:$I$32,4,FALSE),test!$J$10:$P$14,3,FALSE))/1440),1,0)</f>
        <v>0</v>
      </c>
      <c r="AE23" s="2">
        <f>IF(AND(VLOOKUP(AE$1,test!$A$3:$F$32,5,FALSE) - VLOOKUP($B23,test!$A$3:$G$32,6,FALSE) &gt;= (test!$B$33+VLOOKUP(VLOOKUP($B23,test!$A$2:$I$32,4,FALSE),test!$J$10:$P$14,3,FALSE))/1440),1,0)</f>
        <v>0</v>
      </c>
      <c r="AF23" s="2">
        <f>IF(AND(VLOOKUP(AF$1,test!$A$3:$F$32,5,FALSE) - VLOOKUP($B23,test!$A$3:$G$32,6,FALSE) &gt;= (test!$B$33+VLOOKUP(VLOOKUP($B23,test!$A$2:$I$32,4,FALSE),test!$J$10:$P$14,3,FALSE))/1440),1,0)</f>
        <v>0</v>
      </c>
      <c r="AG23" s="2">
        <f>IF(AND(VLOOKUP(AG$1,test!$A$3:$F$32,5,FALSE) - VLOOKUP($B23,test!$A$3:$G$32,6,FALSE) &gt;= (test!$B$33+VLOOKUP(VLOOKUP($B23,test!$A$2:$I$32,4,FALSE),test!$J$10:$P$14,3,FALSE))/1440),1,0)</f>
        <v>0</v>
      </c>
    </row>
    <row r="24" spans="1:33" x14ac:dyDescent="0.25">
      <c r="A24" t="s">
        <v>48</v>
      </c>
      <c r="B24" t="s">
        <v>33</v>
      </c>
      <c r="C24">
        <v>0</v>
      </c>
      <c r="D24" s="2">
        <f>IF(AND(VLOOKUP(D$1,test!$A$3:$F$32,5,FALSE) - VLOOKUP($B24,test!$A$3:$G$32,6,FALSE) &gt;= (test!$B$33+VLOOKUP(VLOOKUP($B24,test!$A$2:$I$32,4,FALSE),test!$J$10:$P$14,3,FALSE))/1440),1,0)</f>
        <v>0</v>
      </c>
      <c r="E24" s="2">
        <f>IF(AND(VLOOKUP(E$1,test!$A$3:$F$32,5,FALSE) - VLOOKUP($B24,test!$A$3:$G$32,6,FALSE) &gt;= (test!$B$33+VLOOKUP(VLOOKUP($B24,test!$A$2:$I$32,4,FALSE),test!$J$10:$P$14,3,FALSE))/1440),1,0)</f>
        <v>0</v>
      </c>
      <c r="F24" s="2">
        <f>IF(AND(VLOOKUP(F$1,test!$A$3:$F$32,5,FALSE) - VLOOKUP($B24,test!$A$3:$G$32,6,FALSE) &gt;= (test!$B$33+VLOOKUP(VLOOKUP($B24,test!$A$2:$I$32,4,FALSE),test!$J$10:$P$14,3,FALSE))/1440),1,0)</f>
        <v>0</v>
      </c>
      <c r="G24" s="2">
        <f>IF(AND(VLOOKUP(G$1,test!$A$3:$F$32,5,FALSE) - VLOOKUP($B24,test!$A$3:$G$32,6,FALSE) &gt;= (test!$B$33+VLOOKUP(VLOOKUP($B24,test!$A$2:$I$32,4,FALSE),test!$J$10:$P$14,3,FALSE))/1440),1,0)</f>
        <v>0</v>
      </c>
      <c r="H24" s="2">
        <f>IF(AND(VLOOKUP(H$1,test!$A$3:$F$32,5,FALSE) - VLOOKUP($B24,test!$A$3:$G$32,6,FALSE) &gt;= (test!$B$33+VLOOKUP(VLOOKUP($B24,test!$A$2:$I$32,4,FALSE),test!$J$10:$P$14,3,FALSE))/1440),1,0)</f>
        <v>0</v>
      </c>
      <c r="I24" s="2">
        <f>IF(AND(VLOOKUP(I$1,test!$A$3:$F$32,5,FALSE) - VLOOKUP($B24,test!$A$3:$G$32,6,FALSE) &gt;= (test!$B$33+VLOOKUP(VLOOKUP($B24,test!$A$2:$I$32,4,FALSE),test!$J$10:$P$14,3,FALSE))/1440),1,0)</f>
        <v>0</v>
      </c>
      <c r="J24" s="2">
        <f>IF(AND(VLOOKUP(J$1,test!$A$3:$F$32,5,FALSE) - VLOOKUP($B24,test!$A$3:$G$32,6,FALSE) &gt;= (test!$B$33+VLOOKUP(VLOOKUP($B24,test!$A$2:$I$32,4,FALSE),test!$J$10:$P$14,3,FALSE))/1440),1,0)</f>
        <v>0</v>
      </c>
      <c r="K24" s="2">
        <f>IF(AND(VLOOKUP(K$1,test!$A$3:$F$32,5,FALSE) - VLOOKUP($B24,test!$A$3:$G$32,6,FALSE) &gt;= (test!$B$33+VLOOKUP(VLOOKUP($B24,test!$A$2:$I$32,4,FALSE),test!$J$10:$P$14,3,FALSE))/1440),1,0)</f>
        <v>0</v>
      </c>
      <c r="L24" s="2">
        <f>IF(AND(VLOOKUP(L$1,test!$A$3:$F$32,5,FALSE) - VLOOKUP($B24,test!$A$3:$G$32,6,FALSE) &gt;= (test!$B$33+VLOOKUP(VLOOKUP($B24,test!$A$2:$I$32,4,FALSE),test!$J$10:$P$14,3,FALSE))/1440),1,0)</f>
        <v>0</v>
      </c>
      <c r="M24" s="2">
        <f>IF(AND(VLOOKUP(M$1,test!$A$3:$F$32,5,FALSE) - VLOOKUP($B24,test!$A$3:$G$32,6,FALSE) &gt;= (test!$B$33+VLOOKUP(VLOOKUP($B24,test!$A$2:$I$32,4,FALSE),test!$J$10:$P$14,3,FALSE))/1440),1,0)</f>
        <v>0</v>
      </c>
      <c r="N24" s="2">
        <f>IF(AND(VLOOKUP(N$1,test!$A$3:$F$32,5,FALSE) - VLOOKUP($B24,test!$A$3:$G$32,6,FALSE) &gt;= (test!$B$33+VLOOKUP(VLOOKUP($B24,test!$A$2:$I$32,4,FALSE),test!$J$10:$P$14,3,FALSE))/1440),1,0)</f>
        <v>0</v>
      </c>
      <c r="O24" s="2">
        <f>IF(AND(VLOOKUP(O$1,test!$A$3:$F$32,5,FALSE) - VLOOKUP($B24,test!$A$3:$G$32,6,FALSE) &gt;= (test!$B$33+VLOOKUP(VLOOKUP($B24,test!$A$2:$I$32,4,FALSE),test!$J$10:$P$14,3,FALSE))/1440),1,0)</f>
        <v>0</v>
      </c>
      <c r="P24" s="2">
        <f>IF(AND(VLOOKUP(P$1,test!$A$3:$F$32,5,FALSE) - VLOOKUP($B24,test!$A$3:$G$32,6,FALSE) &gt;= (test!$B$33+VLOOKUP(VLOOKUP($B24,test!$A$2:$I$32,4,FALSE),test!$J$10:$P$14,3,FALSE))/1440),1,0)</f>
        <v>0</v>
      </c>
      <c r="Q24" s="2">
        <f>IF(AND(VLOOKUP(Q$1,test!$A$3:$F$32,5,FALSE) - VLOOKUP($B24,test!$A$3:$G$32,6,FALSE) &gt;= (test!$B$33+VLOOKUP(VLOOKUP($B24,test!$A$2:$I$32,4,FALSE),test!$J$10:$P$14,3,FALSE))/1440),1,0)</f>
        <v>0</v>
      </c>
      <c r="R24" s="2">
        <f>IF(AND(VLOOKUP(R$1,test!$A$3:$F$32,5,FALSE) - VLOOKUP($B24,test!$A$3:$G$32,6,FALSE) &gt;= (test!$B$33+VLOOKUP(VLOOKUP($B24,test!$A$2:$I$32,4,FALSE),test!$J$10:$P$14,3,FALSE))/1440),1,0)</f>
        <v>0</v>
      </c>
      <c r="S24" s="2">
        <f>IF(AND(VLOOKUP(S$1,test!$A$3:$F$32,5,FALSE) - VLOOKUP($B24,test!$A$3:$G$32,6,FALSE) &gt;= (test!$B$33+VLOOKUP(VLOOKUP($B24,test!$A$2:$I$32,4,FALSE),test!$J$10:$P$14,3,FALSE))/1440),1,0)</f>
        <v>0</v>
      </c>
      <c r="T24" s="2">
        <f>IF(AND(VLOOKUP(T$1,test!$A$3:$F$32,5,FALSE) - VLOOKUP($B24,test!$A$3:$G$32,6,FALSE) &gt;= (test!$B$33+VLOOKUP(VLOOKUP($B24,test!$A$2:$I$32,4,FALSE),test!$J$10:$P$14,3,FALSE))/1440),1,0)</f>
        <v>0</v>
      </c>
      <c r="U24" s="2">
        <f>IF(AND(VLOOKUP(U$1,test!$A$3:$F$32,5,FALSE) - VLOOKUP($B24,test!$A$3:$G$32,6,FALSE) &gt;= (test!$B$33+VLOOKUP(VLOOKUP($B24,test!$A$2:$I$32,4,FALSE),test!$J$10:$P$14,3,FALSE))/1440),1,0)</f>
        <v>0</v>
      </c>
      <c r="V24" s="2">
        <f>IF(AND(VLOOKUP(V$1,test!$A$3:$F$32,5,FALSE) - VLOOKUP($B24,test!$A$3:$G$32,6,FALSE) &gt;= (test!$B$33+VLOOKUP(VLOOKUP($B24,test!$A$2:$I$32,4,FALSE),test!$J$10:$P$14,3,FALSE))/1440),1,0)</f>
        <v>0</v>
      </c>
      <c r="W24" s="2">
        <f>IF(AND(VLOOKUP(W$1,test!$A$3:$F$32,5,FALSE) - VLOOKUP($B24,test!$A$3:$G$32,6,FALSE) &gt;= (test!$B$33+VLOOKUP(VLOOKUP($B24,test!$A$2:$I$32,4,FALSE),test!$J$10:$P$14,3,FALSE))/1440),1,0)</f>
        <v>0</v>
      </c>
      <c r="X24" s="2">
        <f>IF(AND(VLOOKUP(X$1,test!$A$3:$F$32,5,FALSE) - VLOOKUP($B24,test!$A$3:$G$32,6,FALSE) &gt;= (test!$B$33+VLOOKUP(VLOOKUP($B24,test!$A$2:$I$32,4,FALSE),test!$J$10:$P$14,3,FALSE))/1440),1,0)</f>
        <v>0</v>
      </c>
      <c r="Y24" s="2">
        <f>IF(AND(VLOOKUP(Y$1,test!$A$3:$F$32,5,FALSE) - VLOOKUP($B24,test!$A$3:$G$32,6,FALSE) &gt;= (test!$B$33+VLOOKUP(VLOOKUP($B24,test!$A$2:$I$32,4,FALSE),test!$J$10:$P$14,3,FALSE))/1440),1,0)</f>
        <v>0</v>
      </c>
      <c r="Z24" s="2">
        <f>IF(AND(VLOOKUP(Z$1,test!$A$3:$F$32,5,FALSE) - VLOOKUP($B24,test!$A$3:$G$32,6,FALSE) &gt;= (test!$B$33+VLOOKUP(VLOOKUP($B24,test!$A$2:$I$32,4,FALSE),test!$J$10:$P$14,3,FALSE))/1440),1,0)</f>
        <v>0</v>
      </c>
      <c r="AA24" s="2">
        <f>IF(AND(VLOOKUP(AA$1,test!$A$3:$F$32,5,FALSE) - VLOOKUP($B24,test!$A$3:$G$32,6,FALSE) &gt;= (test!$B$33+VLOOKUP(VLOOKUP($B24,test!$A$2:$I$32,4,FALSE),test!$J$10:$P$14,3,FALSE))/1440),1,0)</f>
        <v>0</v>
      </c>
      <c r="AB24" s="2">
        <f>IF(AND(VLOOKUP(AB$1,test!$A$3:$F$32,5,FALSE) - VLOOKUP($B24,test!$A$3:$G$32,6,FALSE) &gt;= (test!$B$33+VLOOKUP(VLOOKUP($B24,test!$A$2:$I$32,4,FALSE),test!$J$10:$P$14,3,FALSE))/1440),1,0)</f>
        <v>0</v>
      </c>
      <c r="AC24" s="2">
        <f>IF(AND(VLOOKUP(AC$1,test!$A$3:$F$32,5,FALSE) - VLOOKUP($B24,test!$A$3:$G$32,6,FALSE) &gt;= (test!$B$33+VLOOKUP(VLOOKUP($B24,test!$A$2:$I$32,4,FALSE),test!$J$10:$P$14,3,FALSE))/1440),1,0)</f>
        <v>0</v>
      </c>
      <c r="AD24" s="2">
        <f>IF(AND(VLOOKUP(AD$1,test!$A$3:$F$32,5,FALSE) - VLOOKUP($B24,test!$A$3:$G$32,6,FALSE) &gt;= (test!$B$33+VLOOKUP(VLOOKUP($B24,test!$A$2:$I$32,4,FALSE),test!$J$10:$P$14,3,FALSE))/1440),1,0)</f>
        <v>0</v>
      </c>
      <c r="AE24" s="2">
        <f>IF(AND(VLOOKUP(AE$1,test!$A$3:$F$32,5,FALSE) - VLOOKUP($B24,test!$A$3:$G$32,6,FALSE) &gt;= (test!$B$33+VLOOKUP(VLOOKUP($B24,test!$A$2:$I$32,4,FALSE),test!$J$10:$P$14,3,FALSE))/1440),1,0)</f>
        <v>0</v>
      </c>
      <c r="AF24" s="2">
        <f>IF(AND(VLOOKUP(AF$1,test!$A$3:$F$32,5,FALSE) - VLOOKUP($B24,test!$A$3:$G$32,6,FALSE) &gt;= (test!$B$33+VLOOKUP(VLOOKUP($B24,test!$A$2:$I$32,4,FALSE),test!$J$10:$P$14,3,FALSE))/1440),1,0)</f>
        <v>0</v>
      </c>
      <c r="AG24" s="2">
        <f>IF(AND(VLOOKUP(AG$1,test!$A$3:$F$32,5,FALSE) - VLOOKUP($B24,test!$A$3:$G$32,6,FALSE) &gt;= (test!$B$33+VLOOKUP(VLOOKUP($B24,test!$A$2:$I$32,4,FALSE),test!$J$10:$P$14,3,FALSE))/1440),1,0)</f>
        <v>0</v>
      </c>
    </row>
    <row r="25" spans="1:33" x14ac:dyDescent="0.25">
      <c r="A25" t="s">
        <v>48</v>
      </c>
      <c r="B25" t="s">
        <v>34</v>
      </c>
      <c r="C25">
        <v>0</v>
      </c>
      <c r="D25" s="2">
        <f>IF(AND(VLOOKUP(D$1,test!$A$3:$F$32,5,FALSE) - VLOOKUP($B25,test!$A$3:$G$32,6,FALSE) &gt;= (test!$B$33+VLOOKUP(VLOOKUP($B25,test!$A$2:$I$32,4,FALSE),test!$J$10:$P$14,3,FALSE))/1440),1,0)</f>
        <v>0</v>
      </c>
      <c r="E25" s="2">
        <f>IF(AND(VLOOKUP(E$1,test!$A$3:$F$32,5,FALSE) - VLOOKUP($B25,test!$A$3:$G$32,6,FALSE) &gt;= (test!$B$33+VLOOKUP(VLOOKUP($B25,test!$A$2:$I$32,4,FALSE),test!$J$10:$P$14,3,FALSE))/1440),1,0)</f>
        <v>0</v>
      </c>
      <c r="F25" s="2">
        <f>IF(AND(VLOOKUP(F$1,test!$A$3:$F$32,5,FALSE) - VLOOKUP($B25,test!$A$3:$G$32,6,FALSE) &gt;= (test!$B$33+VLOOKUP(VLOOKUP($B25,test!$A$2:$I$32,4,FALSE),test!$J$10:$P$14,3,FALSE))/1440),1,0)</f>
        <v>1</v>
      </c>
      <c r="G25" s="2">
        <f>IF(AND(VLOOKUP(G$1,test!$A$3:$F$32,5,FALSE) - VLOOKUP($B25,test!$A$3:$G$32,6,FALSE) &gt;= (test!$B$33+VLOOKUP(VLOOKUP($B25,test!$A$2:$I$32,4,FALSE),test!$J$10:$P$14,3,FALSE))/1440),1,0)</f>
        <v>1</v>
      </c>
      <c r="H25" s="2">
        <f>IF(AND(VLOOKUP(H$1,test!$A$3:$F$32,5,FALSE) - VLOOKUP($B25,test!$A$3:$G$32,6,FALSE) &gt;= (test!$B$33+VLOOKUP(VLOOKUP($B25,test!$A$2:$I$32,4,FALSE),test!$J$10:$P$14,3,FALSE))/1440),1,0)</f>
        <v>1</v>
      </c>
      <c r="I25" s="2">
        <f>IF(AND(VLOOKUP(I$1,test!$A$3:$F$32,5,FALSE) - VLOOKUP($B25,test!$A$3:$G$32,6,FALSE) &gt;= (test!$B$33+VLOOKUP(VLOOKUP($B25,test!$A$2:$I$32,4,FALSE),test!$J$10:$P$14,3,FALSE))/1440),1,0)</f>
        <v>1</v>
      </c>
      <c r="J25" s="2">
        <f>IF(AND(VLOOKUP(J$1,test!$A$3:$F$32,5,FALSE) - VLOOKUP($B25,test!$A$3:$G$32,6,FALSE) &gt;= (test!$B$33+VLOOKUP(VLOOKUP($B25,test!$A$2:$I$32,4,FALSE),test!$J$10:$P$14,3,FALSE))/1440),1,0)</f>
        <v>1</v>
      </c>
      <c r="K25" s="2">
        <f>IF(AND(VLOOKUP(K$1,test!$A$3:$F$32,5,FALSE) - VLOOKUP($B25,test!$A$3:$G$32,6,FALSE) &gt;= (test!$B$33+VLOOKUP(VLOOKUP($B25,test!$A$2:$I$32,4,FALSE),test!$J$10:$P$14,3,FALSE))/1440),1,0)</f>
        <v>1</v>
      </c>
      <c r="L25" s="2">
        <f>IF(AND(VLOOKUP(L$1,test!$A$3:$F$32,5,FALSE) - VLOOKUP($B25,test!$A$3:$G$32,6,FALSE) &gt;= (test!$B$33+VLOOKUP(VLOOKUP($B25,test!$A$2:$I$32,4,FALSE),test!$J$10:$P$14,3,FALSE))/1440),1,0)</f>
        <v>0</v>
      </c>
      <c r="M25" s="2">
        <f>IF(AND(VLOOKUP(M$1,test!$A$3:$F$32,5,FALSE) - VLOOKUP($B25,test!$A$3:$G$32,6,FALSE) &gt;= (test!$B$33+VLOOKUP(VLOOKUP($B25,test!$A$2:$I$32,4,FALSE),test!$J$10:$P$14,3,FALSE))/1440),1,0)</f>
        <v>0</v>
      </c>
      <c r="N25" s="2">
        <f>IF(AND(VLOOKUP(N$1,test!$A$3:$F$32,5,FALSE) - VLOOKUP($B25,test!$A$3:$G$32,6,FALSE) &gt;= (test!$B$33+VLOOKUP(VLOOKUP($B25,test!$A$2:$I$32,4,FALSE),test!$J$10:$P$14,3,FALSE))/1440),1,0)</f>
        <v>1</v>
      </c>
      <c r="O25" s="2">
        <f>IF(AND(VLOOKUP(O$1,test!$A$3:$F$32,5,FALSE) - VLOOKUP($B25,test!$A$3:$G$32,6,FALSE) &gt;= (test!$B$33+VLOOKUP(VLOOKUP($B25,test!$A$2:$I$32,4,FALSE),test!$J$10:$P$14,3,FALSE))/1440),1,0)</f>
        <v>1</v>
      </c>
      <c r="P25" s="2">
        <f>IF(AND(VLOOKUP(P$1,test!$A$3:$F$32,5,FALSE) - VLOOKUP($B25,test!$A$3:$G$32,6,FALSE) &gt;= (test!$B$33+VLOOKUP(VLOOKUP($B25,test!$A$2:$I$32,4,FALSE),test!$J$10:$P$14,3,FALSE))/1440),1,0)</f>
        <v>1</v>
      </c>
      <c r="Q25" s="2">
        <f>IF(AND(VLOOKUP(Q$1,test!$A$3:$F$32,5,FALSE) - VLOOKUP($B25,test!$A$3:$G$32,6,FALSE) &gt;= (test!$B$33+VLOOKUP(VLOOKUP($B25,test!$A$2:$I$32,4,FALSE),test!$J$10:$P$14,3,FALSE))/1440),1,0)</f>
        <v>0</v>
      </c>
      <c r="R25" s="2">
        <f>IF(AND(VLOOKUP(R$1,test!$A$3:$F$32,5,FALSE) - VLOOKUP($B25,test!$A$3:$G$32,6,FALSE) &gt;= (test!$B$33+VLOOKUP(VLOOKUP($B25,test!$A$2:$I$32,4,FALSE),test!$J$10:$P$14,3,FALSE))/1440),1,0)</f>
        <v>0</v>
      </c>
      <c r="S25" s="2">
        <f>IF(AND(VLOOKUP(S$1,test!$A$3:$F$32,5,FALSE) - VLOOKUP($B25,test!$A$3:$G$32,6,FALSE) &gt;= (test!$B$33+VLOOKUP(VLOOKUP($B25,test!$A$2:$I$32,4,FALSE),test!$J$10:$P$14,3,FALSE))/1440),1,0)</f>
        <v>0</v>
      </c>
      <c r="T25" s="2">
        <f>IF(AND(VLOOKUP(T$1,test!$A$3:$F$32,5,FALSE) - VLOOKUP($B25,test!$A$3:$G$32,6,FALSE) &gt;= (test!$B$33+VLOOKUP(VLOOKUP($B25,test!$A$2:$I$32,4,FALSE),test!$J$10:$P$14,3,FALSE))/1440),1,0)</f>
        <v>0</v>
      </c>
      <c r="U25" s="2">
        <f>IF(AND(VLOOKUP(U$1,test!$A$3:$F$32,5,FALSE) - VLOOKUP($B25,test!$A$3:$G$32,6,FALSE) &gt;= (test!$B$33+VLOOKUP(VLOOKUP($B25,test!$A$2:$I$32,4,FALSE),test!$J$10:$P$14,3,FALSE))/1440),1,0)</f>
        <v>1</v>
      </c>
      <c r="V25" s="2">
        <f>IF(AND(VLOOKUP(V$1,test!$A$3:$F$32,5,FALSE) - VLOOKUP($B25,test!$A$3:$G$32,6,FALSE) &gt;= (test!$B$33+VLOOKUP(VLOOKUP($B25,test!$A$2:$I$32,4,FALSE),test!$J$10:$P$14,3,FALSE))/1440),1,0)</f>
        <v>1</v>
      </c>
      <c r="W25" s="2">
        <f>IF(AND(VLOOKUP(W$1,test!$A$3:$F$32,5,FALSE) - VLOOKUP($B25,test!$A$3:$G$32,6,FALSE) &gt;= (test!$B$33+VLOOKUP(VLOOKUP($B25,test!$A$2:$I$32,4,FALSE),test!$J$10:$P$14,3,FALSE))/1440),1,0)</f>
        <v>1</v>
      </c>
      <c r="X25" s="2">
        <f>IF(AND(VLOOKUP(X$1,test!$A$3:$F$32,5,FALSE) - VLOOKUP($B25,test!$A$3:$G$32,6,FALSE) &gt;= (test!$B$33+VLOOKUP(VLOOKUP($B25,test!$A$2:$I$32,4,FALSE),test!$J$10:$P$14,3,FALSE))/1440),1,0)</f>
        <v>1</v>
      </c>
      <c r="Y25" s="2">
        <f>IF(AND(VLOOKUP(Y$1,test!$A$3:$F$32,5,FALSE) - VLOOKUP($B25,test!$A$3:$G$32,6,FALSE) &gt;= (test!$B$33+VLOOKUP(VLOOKUP($B25,test!$A$2:$I$32,4,FALSE),test!$J$10:$P$14,3,FALSE))/1440),1,0)</f>
        <v>1</v>
      </c>
      <c r="Z25" s="2">
        <f>IF(AND(VLOOKUP(Z$1,test!$A$3:$F$32,5,FALSE) - VLOOKUP($B25,test!$A$3:$G$32,6,FALSE) &gt;= (test!$B$33+VLOOKUP(VLOOKUP($B25,test!$A$2:$I$32,4,FALSE),test!$J$10:$P$14,3,FALSE))/1440),1,0)</f>
        <v>0</v>
      </c>
      <c r="AA25" s="2">
        <f>IF(AND(VLOOKUP(AA$1,test!$A$3:$F$32,5,FALSE) - VLOOKUP($B25,test!$A$3:$G$32,6,FALSE) &gt;= (test!$B$33+VLOOKUP(VLOOKUP($B25,test!$A$2:$I$32,4,FALSE),test!$J$10:$P$14,3,FALSE))/1440),1,0)</f>
        <v>0</v>
      </c>
      <c r="AB25" s="2">
        <f>IF(AND(VLOOKUP(AB$1,test!$A$3:$F$32,5,FALSE) - VLOOKUP($B25,test!$A$3:$G$32,6,FALSE) &gt;= (test!$B$33+VLOOKUP(VLOOKUP($B25,test!$A$2:$I$32,4,FALSE),test!$J$10:$P$14,3,FALSE))/1440),1,0)</f>
        <v>1</v>
      </c>
      <c r="AC25" s="2">
        <f>IF(AND(VLOOKUP(AC$1,test!$A$3:$F$32,5,FALSE) - VLOOKUP($B25,test!$A$3:$G$32,6,FALSE) &gt;= (test!$B$33+VLOOKUP(VLOOKUP($B25,test!$A$2:$I$32,4,FALSE),test!$J$10:$P$14,3,FALSE))/1440),1,0)</f>
        <v>1</v>
      </c>
      <c r="AD25" s="2">
        <f>IF(AND(VLOOKUP(AD$1,test!$A$3:$F$32,5,FALSE) - VLOOKUP($B25,test!$A$3:$G$32,6,FALSE) &gt;= (test!$B$33+VLOOKUP(VLOOKUP($B25,test!$A$2:$I$32,4,FALSE),test!$J$10:$P$14,3,FALSE))/1440),1,0)</f>
        <v>1</v>
      </c>
      <c r="AE25" s="2">
        <f>IF(AND(VLOOKUP(AE$1,test!$A$3:$F$32,5,FALSE) - VLOOKUP($B25,test!$A$3:$G$32,6,FALSE) &gt;= (test!$B$33+VLOOKUP(VLOOKUP($B25,test!$A$2:$I$32,4,FALSE),test!$J$10:$P$14,3,FALSE))/1440),1,0)</f>
        <v>0</v>
      </c>
      <c r="AF25" s="2">
        <f>IF(AND(VLOOKUP(AF$1,test!$A$3:$F$32,5,FALSE) - VLOOKUP($B25,test!$A$3:$G$32,6,FALSE) &gt;= (test!$B$33+VLOOKUP(VLOOKUP($B25,test!$A$2:$I$32,4,FALSE),test!$J$10:$P$14,3,FALSE))/1440),1,0)</f>
        <v>1</v>
      </c>
      <c r="AG25" s="2">
        <f>IF(AND(VLOOKUP(AG$1,test!$A$3:$F$32,5,FALSE) - VLOOKUP($B25,test!$A$3:$G$32,6,FALSE) &gt;= (test!$B$33+VLOOKUP(VLOOKUP($B25,test!$A$2:$I$32,4,FALSE),test!$J$10:$P$14,3,FALSE))/1440),1,0)</f>
        <v>1</v>
      </c>
    </row>
    <row r="26" spans="1:33" x14ac:dyDescent="0.25">
      <c r="A26" t="s">
        <v>48</v>
      </c>
      <c r="B26" t="s">
        <v>35</v>
      </c>
      <c r="C26">
        <v>0</v>
      </c>
      <c r="D26" s="2">
        <f>IF(AND(VLOOKUP(D$1,test!$A$3:$F$32,5,FALSE) - VLOOKUP($B26,test!$A$3:$G$32,6,FALSE) &gt;= (test!$B$33+VLOOKUP(VLOOKUP($B26,test!$A$2:$I$32,4,FALSE),test!$J$10:$P$14,3,FALSE))/1440),1,0)</f>
        <v>0</v>
      </c>
      <c r="E26" s="2">
        <f>IF(AND(VLOOKUP(E$1,test!$A$3:$F$32,5,FALSE) - VLOOKUP($B26,test!$A$3:$G$32,6,FALSE) &gt;= (test!$B$33+VLOOKUP(VLOOKUP($B26,test!$A$2:$I$32,4,FALSE),test!$J$10:$P$14,3,FALSE))/1440),1,0)</f>
        <v>0</v>
      </c>
      <c r="F26" s="2">
        <f>IF(AND(VLOOKUP(F$1,test!$A$3:$F$32,5,FALSE) - VLOOKUP($B26,test!$A$3:$G$32,6,FALSE) &gt;= (test!$B$33+VLOOKUP(VLOOKUP($B26,test!$A$2:$I$32,4,FALSE),test!$J$10:$P$14,3,FALSE))/1440),1,0)</f>
        <v>0</v>
      </c>
      <c r="G26" s="2">
        <f>IF(AND(VLOOKUP(G$1,test!$A$3:$F$32,5,FALSE) - VLOOKUP($B26,test!$A$3:$G$32,6,FALSE) &gt;= (test!$B$33+VLOOKUP(VLOOKUP($B26,test!$A$2:$I$32,4,FALSE),test!$J$10:$P$14,3,FALSE))/1440),1,0)</f>
        <v>0</v>
      </c>
      <c r="H26" s="2">
        <f>IF(AND(VLOOKUP(H$1,test!$A$3:$F$32,5,FALSE) - VLOOKUP($B26,test!$A$3:$G$32,6,FALSE) &gt;= (test!$B$33+VLOOKUP(VLOOKUP($B26,test!$A$2:$I$32,4,FALSE),test!$J$10:$P$14,3,FALSE))/1440),1,0)</f>
        <v>1</v>
      </c>
      <c r="I26" s="2">
        <f>IF(AND(VLOOKUP(I$1,test!$A$3:$F$32,5,FALSE) - VLOOKUP($B26,test!$A$3:$G$32,6,FALSE) &gt;= (test!$B$33+VLOOKUP(VLOOKUP($B26,test!$A$2:$I$32,4,FALSE),test!$J$10:$P$14,3,FALSE))/1440),1,0)</f>
        <v>1</v>
      </c>
      <c r="J26" s="2">
        <f>IF(AND(VLOOKUP(J$1,test!$A$3:$F$32,5,FALSE) - VLOOKUP($B26,test!$A$3:$G$32,6,FALSE) &gt;= (test!$B$33+VLOOKUP(VLOOKUP($B26,test!$A$2:$I$32,4,FALSE),test!$J$10:$P$14,3,FALSE))/1440),1,0)</f>
        <v>1</v>
      </c>
      <c r="K26" s="2">
        <f>IF(AND(VLOOKUP(K$1,test!$A$3:$F$32,5,FALSE) - VLOOKUP($B26,test!$A$3:$G$32,6,FALSE) &gt;= (test!$B$33+VLOOKUP(VLOOKUP($B26,test!$A$2:$I$32,4,FALSE),test!$J$10:$P$14,3,FALSE))/1440),1,0)</f>
        <v>1</v>
      </c>
      <c r="L26" s="2">
        <f>IF(AND(VLOOKUP(L$1,test!$A$3:$F$32,5,FALSE) - VLOOKUP($B26,test!$A$3:$G$32,6,FALSE) &gt;= (test!$B$33+VLOOKUP(VLOOKUP($B26,test!$A$2:$I$32,4,FALSE),test!$J$10:$P$14,3,FALSE))/1440),1,0)</f>
        <v>0</v>
      </c>
      <c r="M26" s="2">
        <f>IF(AND(VLOOKUP(M$1,test!$A$3:$F$32,5,FALSE) - VLOOKUP($B26,test!$A$3:$G$32,6,FALSE) &gt;= (test!$B$33+VLOOKUP(VLOOKUP($B26,test!$A$2:$I$32,4,FALSE),test!$J$10:$P$14,3,FALSE))/1440),1,0)</f>
        <v>0</v>
      </c>
      <c r="N26" s="2">
        <f>IF(AND(VLOOKUP(N$1,test!$A$3:$F$32,5,FALSE) - VLOOKUP($B26,test!$A$3:$G$32,6,FALSE) &gt;= (test!$B$33+VLOOKUP(VLOOKUP($B26,test!$A$2:$I$32,4,FALSE),test!$J$10:$P$14,3,FALSE))/1440),1,0)</f>
        <v>0</v>
      </c>
      <c r="O26" s="2">
        <f>IF(AND(VLOOKUP(O$1,test!$A$3:$F$32,5,FALSE) - VLOOKUP($B26,test!$A$3:$G$32,6,FALSE) &gt;= (test!$B$33+VLOOKUP(VLOOKUP($B26,test!$A$2:$I$32,4,FALSE),test!$J$10:$P$14,3,FALSE))/1440),1,0)</f>
        <v>1</v>
      </c>
      <c r="P26" s="2">
        <f>IF(AND(VLOOKUP(P$1,test!$A$3:$F$32,5,FALSE) - VLOOKUP($B26,test!$A$3:$G$32,6,FALSE) &gt;= (test!$B$33+VLOOKUP(VLOOKUP($B26,test!$A$2:$I$32,4,FALSE),test!$J$10:$P$14,3,FALSE))/1440),1,0)</f>
        <v>1</v>
      </c>
      <c r="Q26" s="2">
        <f>IF(AND(VLOOKUP(Q$1,test!$A$3:$F$32,5,FALSE) - VLOOKUP($B26,test!$A$3:$G$32,6,FALSE) &gt;= (test!$B$33+VLOOKUP(VLOOKUP($B26,test!$A$2:$I$32,4,FALSE),test!$J$10:$P$14,3,FALSE))/1440),1,0)</f>
        <v>0</v>
      </c>
      <c r="R26" s="2">
        <f>IF(AND(VLOOKUP(R$1,test!$A$3:$F$32,5,FALSE) - VLOOKUP($B26,test!$A$3:$G$32,6,FALSE) &gt;= (test!$B$33+VLOOKUP(VLOOKUP($B26,test!$A$2:$I$32,4,FALSE),test!$J$10:$P$14,3,FALSE))/1440),1,0)</f>
        <v>0</v>
      </c>
      <c r="S26" s="2">
        <f>IF(AND(VLOOKUP(S$1,test!$A$3:$F$32,5,FALSE) - VLOOKUP($B26,test!$A$3:$G$32,6,FALSE) &gt;= (test!$B$33+VLOOKUP(VLOOKUP($B26,test!$A$2:$I$32,4,FALSE),test!$J$10:$P$14,3,FALSE))/1440),1,0)</f>
        <v>0</v>
      </c>
      <c r="T26" s="2">
        <f>IF(AND(VLOOKUP(T$1,test!$A$3:$F$32,5,FALSE) - VLOOKUP($B26,test!$A$3:$G$32,6,FALSE) &gt;= (test!$B$33+VLOOKUP(VLOOKUP($B26,test!$A$2:$I$32,4,FALSE),test!$J$10:$P$14,3,FALSE))/1440),1,0)</f>
        <v>0</v>
      </c>
      <c r="U26" s="2">
        <f>IF(AND(VLOOKUP(U$1,test!$A$3:$F$32,5,FALSE) - VLOOKUP($B26,test!$A$3:$G$32,6,FALSE) &gt;= (test!$B$33+VLOOKUP(VLOOKUP($B26,test!$A$2:$I$32,4,FALSE),test!$J$10:$P$14,3,FALSE))/1440),1,0)</f>
        <v>0</v>
      </c>
      <c r="V26" s="2">
        <f>IF(AND(VLOOKUP(V$1,test!$A$3:$F$32,5,FALSE) - VLOOKUP($B26,test!$A$3:$G$32,6,FALSE) &gt;= (test!$B$33+VLOOKUP(VLOOKUP($B26,test!$A$2:$I$32,4,FALSE),test!$J$10:$P$14,3,FALSE))/1440),1,0)</f>
        <v>0</v>
      </c>
      <c r="W26" s="2">
        <f>IF(AND(VLOOKUP(W$1,test!$A$3:$F$32,5,FALSE) - VLOOKUP($B26,test!$A$3:$G$32,6,FALSE) &gt;= (test!$B$33+VLOOKUP(VLOOKUP($B26,test!$A$2:$I$32,4,FALSE),test!$J$10:$P$14,3,FALSE))/1440),1,0)</f>
        <v>1</v>
      </c>
      <c r="X26" s="2">
        <f>IF(AND(VLOOKUP(X$1,test!$A$3:$F$32,5,FALSE) - VLOOKUP($B26,test!$A$3:$G$32,6,FALSE) &gt;= (test!$B$33+VLOOKUP(VLOOKUP($B26,test!$A$2:$I$32,4,FALSE),test!$J$10:$P$14,3,FALSE))/1440),1,0)</f>
        <v>1</v>
      </c>
      <c r="Y26" s="2">
        <f>IF(AND(VLOOKUP(Y$1,test!$A$3:$F$32,5,FALSE) - VLOOKUP($B26,test!$A$3:$G$32,6,FALSE) &gt;= (test!$B$33+VLOOKUP(VLOOKUP($B26,test!$A$2:$I$32,4,FALSE),test!$J$10:$P$14,3,FALSE))/1440),1,0)</f>
        <v>1</v>
      </c>
      <c r="Z26" s="2">
        <f>IF(AND(VLOOKUP(Z$1,test!$A$3:$F$32,5,FALSE) - VLOOKUP($B26,test!$A$3:$G$32,6,FALSE) &gt;= (test!$B$33+VLOOKUP(VLOOKUP($B26,test!$A$2:$I$32,4,FALSE),test!$J$10:$P$14,3,FALSE))/1440),1,0)</f>
        <v>0</v>
      </c>
      <c r="AA26" s="2">
        <f>IF(AND(VLOOKUP(AA$1,test!$A$3:$F$32,5,FALSE) - VLOOKUP($B26,test!$A$3:$G$32,6,FALSE) &gt;= (test!$B$33+VLOOKUP(VLOOKUP($B26,test!$A$2:$I$32,4,FALSE),test!$J$10:$P$14,3,FALSE))/1440),1,0)</f>
        <v>0</v>
      </c>
      <c r="AB26" s="2">
        <f>IF(AND(VLOOKUP(AB$1,test!$A$3:$F$32,5,FALSE) - VLOOKUP($B26,test!$A$3:$G$32,6,FALSE) &gt;= (test!$B$33+VLOOKUP(VLOOKUP($B26,test!$A$2:$I$32,4,FALSE),test!$J$10:$P$14,3,FALSE))/1440),1,0)</f>
        <v>0</v>
      </c>
      <c r="AC26" s="2">
        <f>IF(AND(VLOOKUP(AC$1,test!$A$3:$F$32,5,FALSE) - VLOOKUP($B26,test!$A$3:$G$32,6,FALSE) &gt;= (test!$B$33+VLOOKUP(VLOOKUP($B26,test!$A$2:$I$32,4,FALSE),test!$J$10:$P$14,3,FALSE))/1440),1,0)</f>
        <v>0</v>
      </c>
      <c r="AD26" s="2">
        <f>IF(AND(VLOOKUP(AD$1,test!$A$3:$F$32,5,FALSE) - VLOOKUP($B26,test!$A$3:$G$32,6,FALSE) &gt;= (test!$B$33+VLOOKUP(VLOOKUP($B26,test!$A$2:$I$32,4,FALSE),test!$J$10:$P$14,3,FALSE))/1440),1,0)</f>
        <v>1</v>
      </c>
      <c r="AE26" s="2">
        <f>IF(AND(VLOOKUP(AE$1,test!$A$3:$F$32,5,FALSE) - VLOOKUP($B26,test!$A$3:$G$32,6,FALSE) &gt;= (test!$B$33+VLOOKUP(VLOOKUP($B26,test!$A$2:$I$32,4,FALSE),test!$J$10:$P$14,3,FALSE))/1440),1,0)</f>
        <v>0</v>
      </c>
      <c r="AF26" s="2">
        <f>IF(AND(VLOOKUP(AF$1,test!$A$3:$F$32,5,FALSE) - VLOOKUP($B26,test!$A$3:$G$32,6,FALSE) &gt;= (test!$B$33+VLOOKUP(VLOOKUP($B26,test!$A$2:$I$32,4,FALSE),test!$J$10:$P$14,3,FALSE))/1440),1,0)</f>
        <v>0</v>
      </c>
      <c r="AG26" s="2">
        <f>IF(AND(VLOOKUP(AG$1,test!$A$3:$F$32,5,FALSE) - VLOOKUP($B26,test!$A$3:$G$32,6,FALSE) &gt;= (test!$B$33+VLOOKUP(VLOOKUP($B26,test!$A$2:$I$32,4,FALSE),test!$J$10:$P$14,3,FALSE))/1440),1,0)</f>
        <v>0</v>
      </c>
    </row>
    <row r="27" spans="1:33" x14ac:dyDescent="0.25">
      <c r="A27" t="s">
        <v>48</v>
      </c>
      <c r="B27" t="s">
        <v>36</v>
      </c>
      <c r="C27">
        <v>0</v>
      </c>
      <c r="D27" s="2">
        <f>IF(AND(VLOOKUP(D$1,test!$A$3:$F$32,5,FALSE) - VLOOKUP($B27,test!$A$3:$G$32,6,FALSE) &gt;= (test!$B$33+VLOOKUP(VLOOKUP($B27,test!$A$2:$I$32,4,FALSE),test!$J$10:$P$14,3,FALSE))/1440),1,0)</f>
        <v>0</v>
      </c>
      <c r="E27" s="2">
        <f>IF(AND(VLOOKUP(E$1,test!$A$3:$F$32,5,FALSE) - VLOOKUP($B27,test!$A$3:$G$32,6,FALSE) &gt;= (test!$B$33+VLOOKUP(VLOOKUP($B27,test!$A$2:$I$32,4,FALSE),test!$J$10:$P$14,3,FALSE))/1440),1,0)</f>
        <v>0</v>
      </c>
      <c r="F27" s="2">
        <f>IF(AND(VLOOKUP(F$1,test!$A$3:$F$32,5,FALSE) - VLOOKUP($B27,test!$A$3:$G$32,6,FALSE) &gt;= (test!$B$33+VLOOKUP(VLOOKUP($B27,test!$A$2:$I$32,4,FALSE),test!$J$10:$P$14,3,FALSE))/1440),1,0)</f>
        <v>0</v>
      </c>
      <c r="G27" s="2">
        <f>IF(AND(VLOOKUP(G$1,test!$A$3:$F$32,5,FALSE) - VLOOKUP($B27,test!$A$3:$G$32,6,FALSE) &gt;= (test!$B$33+VLOOKUP(VLOOKUP($B27,test!$A$2:$I$32,4,FALSE),test!$J$10:$P$14,3,FALSE))/1440),1,0)</f>
        <v>0</v>
      </c>
      <c r="H27" s="2">
        <f>IF(AND(VLOOKUP(H$1,test!$A$3:$F$32,5,FALSE) - VLOOKUP($B27,test!$A$3:$G$32,6,FALSE) &gt;= (test!$B$33+VLOOKUP(VLOOKUP($B27,test!$A$2:$I$32,4,FALSE),test!$J$10:$P$14,3,FALSE))/1440),1,0)</f>
        <v>0</v>
      </c>
      <c r="I27" s="2">
        <f>IF(AND(VLOOKUP(I$1,test!$A$3:$F$32,5,FALSE) - VLOOKUP($B27,test!$A$3:$G$32,6,FALSE) &gt;= (test!$B$33+VLOOKUP(VLOOKUP($B27,test!$A$2:$I$32,4,FALSE),test!$J$10:$P$14,3,FALSE))/1440),1,0)</f>
        <v>0</v>
      </c>
      <c r="J27" s="2">
        <f>IF(AND(VLOOKUP(J$1,test!$A$3:$F$32,5,FALSE) - VLOOKUP($B27,test!$A$3:$G$32,6,FALSE) &gt;= (test!$B$33+VLOOKUP(VLOOKUP($B27,test!$A$2:$I$32,4,FALSE),test!$J$10:$P$14,3,FALSE))/1440),1,0)</f>
        <v>1</v>
      </c>
      <c r="K27" s="2">
        <f>IF(AND(VLOOKUP(K$1,test!$A$3:$F$32,5,FALSE) - VLOOKUP($B27,test!$A$3:$G$32,6,FALSE) &gt;= (test!$B$33+VLOOKUP(VLOOKUP($B27,test!$A$2:$I$32,4,FALSE),test!$J$10:$P$14,3,FALSE))/1440),1,0)</f>
        <v>1</v>
      </c>
      <c r="L27" s="2">
        <f>IF(AND(VLOOKUP(L$1,test!$A$3:$F$32,5,FALSE) - VLOOKUP($B27,test!$A$3:$G$32,6,FALSE) &gt;= (test!$B$33+VLOOKUP(VLOOKUP($B27,test!$A$2:$I$32,4,FALSE),test!$J$10:$P$14,3,FALSE))/1440),1,0)</f>
        <v>0</v>
      </c>
      <c r="M27" s="2">
        <f>IF(AND(VLOOKUP(M$1,test!$A$3:$F$32,5,FALSE) - VLOOKUP($B27,test!$A$3:$G$32,6,FALSE) &gt;= (test!$B$33+VLOOKUP(VLOOKUP($B27,test!$A$2:$I$32,4,FALSE),test!$J$10:$P$14,3,FALSE))/1440),1,0)</f>
        <v>0</v>
      </c>
      <c r="N27" s="2">
        <f>IF(AND(VLOOKUP(N$1,test!$A$3:$F$32,5,FALSE) - VLOOKUP($B27,test!$A$3:$G$32,6,FALSE) &gt;= (test!$B$33+VLOOKUP(VLOOKUP($B27,test!$A$2:$I$32,4,FALSE),test!$J$10:$P$14,3,FALSE))/1440),1,0)</f>
        <v>0</v>
      </c>
      <c r="O27" s="2">
        <f>IF(AND(VLOOKUP(O$1,test!$A$3:$F$32,5,FALSE) - VLOOKUP($B27,test!$A$3:$G$32,6,FALSE) &gt;= (test!$B$33+VLOOKUP(VLOOKUP($B27,test!$A$2:$I$32,4,FALSE),test!$J$10:$P$14,3,FALSE))/1440),1,0)</f>
        <v>1</v>
      </c>
      <c r="P27" s="2">
        <f>IF(AND(VLOOKUP(P$1,test!$A$3:$F$32,5,FALSE) - VLOOKUP($B27,test!$A$3:$G$32,6,FALSE) &gt;= (test!$B$33+VLOOKUP(VLOOKUP($B27,test!$A$2:$I$32,4,FALSE),test!$J$10:$P$14,3,FALSE))/1440),1,0)</f>
        <v>1</v>
      </c>
      <c r="Q27" s="2">
        <f>IF(AND(VLOOKUP(Q$1,test!$A$3:$F$32,5,FALSE) - VLOOKUP($B27,test!$A$3:$G$32,6,FALSE) &gt;= (test!$B$33+VLOOKUP(VLOOKUP($B27,test!$A$2:$I$32,4,FALSE),test!$J$10:$P$14,3,FALSE))/1440),1,0)</f>
        <v>0</v>
      </c>
      <c r="R27" s="2">
        <f>IF(AND(VLOOKUP(R$1,test!$A$3:$F$32,5,FALSE) - VLOOKUP($B27,test!$A$3:$G$32,6,FALSE) &gt;= (test!$B$33+VLOOKUP(VLOOKUP($B27,test!$A$2:$I$32,4,FALSE),test!$J$10:$P$14,3,FALSE))/1440),1,0)</f>
        <v>0</v>
      </c>
      <c r="S27" s="2">
        <f>IF(AND(VLOOKUP(S$1,test!$A$3:$F$32,5,FALSE) - VLOOKUP($B27,test!$A$3:$G$32,6,FALSE) &gt;= (test!$B$33+VLOOKUP(VLOOKUP($B27,test!$A$2:$I$32,4,FALSE),test!$J$10:$P$14,3,FALSE))/1440),1,0)</f>
        <v>0</v>
      </c>
      <c r="T27" s="2">
        <f>IF(AND(VLOOKUP(T$1,test!$A$3:$F$32,5,FALSE) - VLOOKUP($B27,test!$A$3:$G$32,6,FALSE) &gt;= (test!$B$33+VLOOKUP(VLOOKUP($B27,test!$A$2:$I$32,4,FALSE),test!$J$10:$P$14,3,FALSE))/1440),1,0)</f>
        <v>0</v>
      </c>
      <c r="U27" s="2">
        <f>IF(AND(VLOOKUP(U$1,test!$A$3:$F$32,5,FALSE) - VLOOKUP($B27,test!$A$3:$G$32,6,FALSE) &gt;= (test!$B$33+VLOOKUP(VLOOKUP($B27,test!$A$2:$I$32,4,FALSE),test!$J$10:$P$14,3,FALSE))/1440),1,0)</f>
        <v>0</v>
      </c>
      <c r="V27" s="2">
        <f>IF(AND(VLOOKUP(V$1,test!$A$3:$F$32,5,FALSE) - VLOOKUP($B27,test!$A$3:$G$32,6,FALSE) &gt;= (test!$B$33+VLOOKUP(VLOOKUP($B27,test!$A$2:$I$32,4,FALSE),test!$J$10:$P$14,3,FALSE))/1440),1,0)</f>
        <v>0</v>
      </c>
      <c r="W27" s="2">
        <f>IF(AND(VLOOKUP(W$1,test!$A$3:$F$32,5,FALSE) - VLOOKUP($B27,test!$A$3:$G$32,6,FALSE) &gt;= (test!$B$33+VLOOKUP(VLOOKUP($B27,test!$A$2:$I$32,4,FALSE),test!$J$10:$P$14,3,FALSE))/1440),1,0)</f>
        <v>0</v>
      </c>
      <c r="X27" s="2">
        <f>IF(AND(VLOOKUP(X$1,test!$A$3:$F$32,5,FALSE) - VLOOKUP($B27,test!$A$3:$G$32,6,FALSE) &gt;= (test!$B$33+VLOOKUP(VLOOKUP($B27,test!$A$2:$I$32,4,FALSE),test!$J$10:$P$14,3,FALSE))/1440),1,0)</f>
        <v>0</v>
      </c>
      <c r="Y27" s="2">
        <f>IF(AND(VLOOKUP(Y$1,test!$A$3:$F$32,5,FALSE) - VLOOKUP($B27,test!$A$3:$G$32,6,FALSE) &gt;= (test!$B$33+VLOOKUP(VLOOKUP($B27,test!$A$2:$I$32,4,FALSE),test!$J$10:$P$14,3,FALSE))/1440),1,0)</f>
        <v>1</v>
      </c>
      <c r="Z27" s="2">
        <f>IF(AND(VLOOKUP(Z$1,test!$A$3:$F$32,5,FALSE) - VLOOKUP($B27,test!$A$3:$G$32,6,FALSE) &gt;= (test!$B$33+VLOOKUP(VLOOKUP($B27,test!$A$2:$I$32,4,FALSE),test!$J$10:$P$14,3,FALSE))/1440),1,0)</f>
        <v>0</v>
      </c>
      <c r="AA27" s="2">
        <f>IF(AND(VLOOKUP(AA$1,test!$A$3:$F$32,5,FALSE) - VLOOKUP($B27,test!$A$3:$G$32,6,FALSE) &gt;= (test!$B$33+VLOOKUP(VLOOKUP($B27,test!$A$2:$I$32,4,FALSE),test!$J$10:$P$14,3,FALSE))/1440),1,0)</f>
        <v>0</v>
      </c>
      <c r="AB27" s="2">
        <f>IF(AND(VLOOKUP(AB$1,test!$A$3:$F$32,5,FALSE) - VLOOKUP($B27,test!$A$3:$G$32,6,FALSE) &gt;= (test!$B$33+VLOOKUP(VLOOKUP($B27,test!$A$2:$I$32,4,FALSE),test!$J$10:$P$14,3,FALSE))/1440),1,0)</f>
        <v>0</v>
      </c>
      <c r="AC27" s="2">
        <f>IF(AND(VLOOKUP(AC$1,test!$A$3:$F$32,5,FALSE) - VLOOKUP($B27,test!$A$3:$G$32,6,FALSE) &gt;= (test!$B$33+VLOOKUP(VLOOKUP($B27,test!$A$2:$I$32,4,FALSE),test!$J$10:$P$14,3,FALSE))/1440),1,0)</f>
        <v>0</v>
      </c>
      <c r="AD27" s="2">
        <f>IF(AND(VLOOKUP(AD$1,test!$A$3:$F$32,5,FALSE) - VLOOKUP($B27,test!$A$3:$G$32,6,FALSE) &gt;= (test!$B$33+VLOOKUP(VLOOKUP($B27,test!$A$2:$I$32,4,FALSE),test!$J$10:$P$14,3,FALSE))/1440),1,0)</f>
        <v>0</v>
      </c>
      <c r="AE27" s="2">
        <f>IF(AND(VLOOKUP(AE$1,test!$A$3:$F$32,5,FALSE) - VLOOKUP($B27,test!$A$3:$G$32,6,FALSE) &gt;= (test!$B$33+VLOOKUP(VLOOKUP($B27,test!$A$2:$I$32,4,FALSE),test!$J$10:$P$14,3,FALSE))/1440),1,0)</f>
        <v>0</v>
      </c>
      <c r="AF27" s="2">
        <f>IF(AND(VLOOKUP(AF$1,test!$A$3:$F$32,5,FALSE) - VLOOKUP($B27,test!$A$3:$G$32,6,FALSE) &gt;= (test!$B$33+VLOOKUP(VLOOKUP($B27,test!$A$2:$I$32,4,FALSE),test!$J$10:$P$14,3,FALSE))/1440),1,0)</f>
        <v>0</v>
      </c>
      <c r="AG27" s="2">
        <f>IF(AND(VLOOKUP(AG$1,test!$A$3:$F$32,5,FALSE) - VLOOKUP($B27,test!$A$3:$G$32,6,FALSE) &gt;= (test!$B$33+VLOOKUP(VLOOKUP($B27,test!$A$2:$I$32,4,FALSE),test!$J$10:$P$14,3,FALSE))/1440),1,0)</f>
        <v>0</v>
      </c>
    </row>
    <row r="28" spans="1:33" x14ac:dyDescent="0.25">
      <c r="A28" t="s">
        <v>48</v>
      </c>
      <c r="B28" t="s">
        <v>37</v>
      </c>
      <c r="C28">
        <v>0</v>
      </c>
      <c r="D28" s="2">
        <f>IF(AND(VLOOKUP(D$1,test!$A$3:$F$32,5,FALSE) - VLOOKUP($B28,test!$A$3:$G$32,6,FALSE) &gt;= (test!$B$33+VLOOKUP(VLOOKUP($B28,test!$A$2:$I$32,4,FALSE),test!$J$10:$P$14,3,FALSE))/1440),1,0)</f>
        <v>0</v>
      </c>
      <c r="E28" s="2">
        <f>IF(AND(VLOOKUP(E$1,test!$A$3:$F$32,5,FALSE) - VLOOKUP($B28,test!$A$3:$G$32,6,FALSE) &gt;= (test!$B$33+VLOOKUP(VLOOKUP($B28,test!$A$2:$I$32,4,FALSE),test!$J$10:$P$14,3,FALSE))/1440),1,0)</f>
        <v>0</v>
      </c>
      <c r="F28" s="2">
        <f>IF(AND(VLOOKUP(F$1,test!$A$3:$F$32,5,FALSE) - VLOOKUP($B28,test!$A$3:$G$32,6,FALSE) &gt;= (test!$B$33+VLOOKUP(VLOOKUP($B28,test!$A$2:$I$32,4,FALSE),test!$J$10:$P$14,3,FALSE))/1440),1,0)</f>
        <v>0</v>
      </c>
      <c r="G28" s="2">
        <f>IF(AND(VLOOKUP(G$1,test!$A$3:$F$32,5,FALSE) - VLOOKUP($B28,test!$A$3:$G$32,6,FALSE) &gt;= (test!$B$33+VLOOKUP(VLOOKUP($B28,test!$A$2:$I$32,4,FALSE),test!$J$10:$P$14,3,FALSE))/1440),1,0)</f>
        <v>0</v>
      </c>
      <c r="H28" s="2">
        <f>IF(AND(VLOOKUP(H$1,test!$A$3:$F$32,5,FALSE) - VLOOKUP($B28,test!$A$3:$G$32,6,FALSE) &gt;= (test!$B$33+VLOOKUP(VLOOKUP($B28,test!$A$2:$I$32,4,FALSE),test!$J$10:$P$14,3,FALSE))/1440),1,0)</f>
        <v>0</v>
      </c>
      <c r="I28" s="2">
        <f>IF(AND(VLOOKUP(I$1,test!$A$3:$F$32,5,FALSE) - VLOOKUP($B28,test!$A$3:$G$32,6,FALSE) &gt;= (test!$B$33+VLOOKUP(VLOOKUP($B28,test!$A$2:$I$32,4,FALSE),test!$J$10:$P$14,3,FALSE))/1440),1,0)</f>
        <v>0</v>
      </c>
      <c r="J28" s="2">
        <f>IF(AND(VLOOKUP(J$1,test!$A$3:$F$32,5,FALSE) - VLOOKUP($B28,test!$A$3:$G$32,6,FALSE) &gt;= (test!$B$33+VLOOKUP(VLOOKUP($B28,test!$A$2:$I$32,4,FALSE),test!$J$10:$P$14,3,FALSE))/1440),1,0)</f>
        <v>0</v>
      </c>
      <c r="K28" s="2">
        <f>IF(AND(VLOOKUP(K$1,test!$A$3:$F$32,5,FALSE) - VLOOKUP($B28,test!$A$3:$G$32,6,FALSE) &gt;= (test!$B$33+VLOOKUP(VLOOKUP($B28,test!$A$2:$I$32,4,FALSE),test!$J$10:$P$14,3,FALSE))/1440),1,0)</f>
        <v>1</v>
      </c>
      <c r="L28" s="2">
        <f>IF(AND(VLOOKUP(L$1,test!$A$3:$F$32,5,FALSE) - VLOOKUP($B28,test!$A$3:$G$32,6,FALSE) &gt;= (test!$B$33+VLOOKUP(VLOOKUP($B28,test!$A$2:$I$32,4,FALSE),test!$J$10:$P$14,3,FALSE))/1440),1,0)</f>
        <v>0</v>
      </c>
      <c r="M28" s="2">
        <f>IF(AND(VLOOKUP(M$1,test!$A$3:$F$32,5,FALSE) - VLOOKUP($B28,test!$A$3:$G$32,6,FALSE) &gt;= (test!$B$33+VLOOKUP(VLOOKUP($B28,test!$A$2:$I$32,4,FALSE),test!$J$10:$P$14,3,FALSE))/1440),1,0)</f>
        <v>0</v>
      </c>
      <c r="N28" s="2">
        <f>IF(AND(VLOOKUP(N$1,test!$A$3:$F$32,5,FALSE) - VLOOKUP($B28,test!$A$3:$G$32,6,FALSE) &gt;= (test!$B$33+VLOOKUP(VLOOKUP($B28,test!$A$2:$I$32,4,FALSE),test!$J$10:$P$14,3,FALSE))/1440),1,0)</f>
        <v>0</v>
      </c>
      <c r="O28" s="2">
        <f>IF(AND(VLOOKUP(O$1,test!$A$3:$F$32,5,FALSE) - VLOOKUP($B28,test!$A$3:$G$32,6,FALSE) &gt;= (test!$B$33+VLOOKUP(VLOOKUP($B28,test!$A$2:$I$32,4,FALSE),test!$J$10:$P$14,3,FALSE))/1440),1,0)</f>
        <v>1</v>
      </c>
      <c r="P28" s="2">
        <f>IF(AND(VLOOKUP(P$1,test!$A$3:$F$32,5,FALSE) - VLOOKUP($B28,test!$A$3:$G$32,6,FALSE) &gt;= (test!$B$33+VLOOKUP(VLOOKUP($B28,test!$A$2:$I$32,4,FALSE),test!$J$10:$P$14,3,FALSE))/1440),1,0)</f>
        <v>1</v>
      </c>
      <c r="Q28" s="2">
        <f>IF(AND(VLOOKUP(Q$1,test!$A$3:$F$32,5,FALSE) - VLOOKUP($B28,test!$A$3:$G$32,6,FALSE) &gt;= (test!$B$33+VLOOKUP(VLOOKUP($B28,test!$A$2:$I$32,4,FALSE),test!$J$10:$P$14,3,FALSE))/1440),1,0)</f>
        <v>0</v>
      </c>
      <c r="R28" s="2">
        <f>IF(AND(VLOOKUP(R$1,test!$A$3:$F$32,5,FALSE) - VLOOKUP($B28,test!$A$3:$G$32,6,FALSE) &gt;= (test!$B$33+VLOOKUP(VLOOKUP($B28,test!$A$2:$I$32,4,FALSE),test!$J$10:$P$14,3,FALSE))/1440),1,0)</f>
        <v>0</v>
      </c>
      <c r="S28" s="2">
        <f>IF(AND(VLOOKUP(S$1,test!$A$3:$F$32,5,FALSE) - VLOOKUP($B28,test!$A$3:$G$32,6,FALSE) &gt;= (test!$B$33+VLOOKUP(VLOOKUP($B28,test!$A$2:$I$32,4,FALSE),test!$J$10:$P$14,3,FALSE))/1440),1,0)</f>
        <v>0</v>
      </c>
      <c r="T28" s="2">
        <f>IF(AND(VLOOKUP(T$1,test!$A$3:$F$32,5,FALSE) - VLOOKUP($B28,test!$A$3:$G$32,6,FALSE) &gt;= (test!$B$33+VLOOKUP(VLOOKUP($B28,test!$A$2:$I$32,4,FALSE),test!$J$10:$P$14,3,FALSE))/1440),1,0)</f>
        <v>0</v>
      </c>
      <c r="U28" s="2">
        <f>IF(AND(VLOOKUP(U$1,test!$A$3:$F$32,5,FALSE) - VLOOKUP($B28,test!$A$3:$G$32,6,FALSE) &gt;= (test!$B$33+VLOOKUP(VLOOKUP($B28,test!$A$2:$I$32,4,FALSE),test!$J$10:$P$14,3,FALSE))/1440),1,0)</f>
        <v>0</v>
      </c>
      <c r="V28" s="2">
        <f>IF(AND(VLOOKUP(V$1,test!$A$3:$F$32,5,FALSE) - VLOOKUP($B28,test!$A$3:$G$32,6,FALSE) &gt;= (test!$B$33+VLOOKUP(VLOOKUP($B28,test!$A$2:$I$32,4,FALSE),test!$J$10:$P$14,3,FALSE))/1440),1,0)</f>
        <v>0</v>
      </c>
      <c r="W28" s="2">
        <f>IF(AND(VLOOKUP(W$1,test!$A$3:$F$32,5,FALSE) - VLOOKUP($B28,test!$A$3:$G$32,6,FALSE) &gt;= (test!$B$33+VLOOKUP(VLOOKUP($B28,test!$A$2:$I$32,4,FALSE),test!$J$10:$P$14,3,FALSE))/1440),1,0)</f>
        <v>0</v>
      </c>
      <c r="X28" s="2">
        <f>IF(AND(VLOOKUP(X$1,test!$A$3:$F$32,5,FALSE) - VLOOKUP($B28,test!$A$3:$G$32,6,FALSE) &gt;= (test!$B$33+VLOOKUP(VLOOKUP($B28,test!$A$2:$I$32,4,FALSE),test!$J$10:$P$14,3,FALSE))/1440),1,0)</f>
        <v>0</v>
      </c>
      <c r="Y28" s="2">
        <f>IF(AND(VLOOKUP(Y$1,test!$A$3:$F$32,5,FALSE) - VLOOKUP($B28,test!$A$3:$G$32,6,FALSE) &gt;= (test!$B$33+VLOOKUP(VLOOKUP($B28,test!$A$2:$I$32,4,FALSE),test!$J$10:$P$14,3,FALSE))/1440),1,0)</f>
        <v>0</v>
      </c>
      <c r="Z28" s="2">
        <f>IF(AND(VLOOKUP(Z$1,test!$A$3:$F$32,5,FALSE) - VLOOKUP($B28,test!$A$3:$G$32,6,FALSE) &gt;= (test!$B$33+VLOOKUP(VLOOKUP($B28,test!$A$2:$I$32,4,FALSE),test!$J$10:$P$14,3,FALSE))/1440),1,0)</f>
        <v>0</v>
      </c>
      <c r="AA28" s="2">
        <f>IF(AND(VLOOKUP(AA$1,test!$A$3:$F$32,5,FALSE) - VLOOKUP($B28,test!$A$3:$G$32,6,FALSE) &gt;= (test!$B$33+VLOOKUP(VLOOKUP($B28,test!$A$2:$I$32,4,FALSE),test!$J$10:$P$14,3,FALSE))/1440),1,0)</f>
        <v>0</v>
      </c>
      <c r="AB28" s="2">
        <f>IF(AND(VLOOKUP(AB$1,test!$A$3:$F$32,5,FALSE) - VLOOKUP($B28,test!$A$3:$G$32,6,FALSE) &gt;= (test!$B$33+VLOOKUP(VLOOKUP($B28,test!$A$2:$I$32,4,FALSE),test!$J$10:$P$14,3,FALSE))/1440),1,0)</f>
        <v>0</v>
      </c>
      <c r="AC28" s="2">
        <f>IF(AND(VLOOKUP(AC$1,test!$A$3:$F$32,5,FALSE) - VLOOKUP($B28,test!$A$3:$G$32,6,FALSE) &gt;= (test!$B$33+VLOOKUP(VLOOKUP($B28,test!$A$2:$I$32,4,FALSE),test!$J$10:$P$14,3,FALSE))/1440),1,0)</f>
        <v>0</v>
      </c>
      <c r="AD28" s="2">
        <f>IF(AND(VLOOKUP(AD$1,test!$A$3:$F$32,5,FALSE) - VLOOKUP($B28,test!$A$3:$G$32,6,FALSE) &gt;= (test!$B$33+VLOOKUP(VLOOKUP($B28,test!$A$2:$I$32,4,FALSE),test!$J$10:$P$14,3,FALSE))/1440),1,0)</f>
        <v>0</v>
      </c>
      <c r="AE28" s="2">
        <f>IF(AND(VLOOKUP(AE$1,test!$A$3:$F$32,5,FALSE) - VLOOKUP($B28,test!$A$3:$G$32,6,FALSE) &gt;= (test!$B$33+VLOOKUP(VLOOKUP($B28,test!$A$2:$I$32,4,FALSE),test!$J$10:$P$14,3,FALSE))/1440),1,0)</f>
        <v>0</v>
      </c>
      <c r="AF28" s="2">
        <f>IF(AND(VLOOKUP(AF$1,test!$A$3:$F$32,5,FALSE) - VLOOKUP($B28,test!$A$3:$G$32,6,FALSE) &gt;= (test!$B$33+VLOOKUP(VLOOKUP($B28,test!$A$2:$I$32,4,FALSE),test!$J$10:$P$14,3,FALSE))/1440),1,0)</f>
        <v>0</v>
      </c>
      <c r="AG28" s="2">
        <f>IF(AND(VLOOKUP(AG$1,test!$A$3:$F$32,5,FALSE) - VLOOKUP($B28,test!$A$3:$G$32,6,FALSE) &gt;= (test!$B$33+VLOOKUP(VLOOKUP($B28,test!$A$2:$I$32,4,FALSE),test!$J$10:$P$14,3,FALSE))/1440),1,0)</f>
        <v>0</v>
      </c>
    </row>
    <row r="29" spans="1:33" x14ac:dyDescent="0.25">
      <c r="A29" t="s">
        <v>48</v>
      </c>
      <c r="B29" t="s">
        <v>38</v>
      </c>
      <c r="C29">
        <v>0</v>
      </c>
      <c r="D29" s="2">
        <f>IF(AND(VLOOKUP(D$1,test!$A$3:$F$32,5,FALSE) - VLOOKUP($B29,test!$A$3:$G$32,6,FALSE) &gt;= (test!$B$33+VLOOKUP(VLOOKUP($B29,test!$A$2:$I$32,4,FALSE),test!$J$10:$P$14,3,FALSE))/1440),1,0)</f>
        <v>0</v>
      </c>
      <c r="E29" s="2">
        <f>IF(AND(VLOOKUP(E$1,test!$A$3:$F$32,5,FALSE) - VLOOKUP($B29,test!$A$3:$G$32,6,FALSE) &gt;= (test!$B$33+VLOOKUP(VLOOKUP($B29,test!$A$2:$I$32,4,FALSE),test!$J$10:$P$14,3,FALSE))/1440),1,0)</f>
        <v>0</v>
      </c>
      <c r="F29" s="2">
        <f>IF(AND(VLOOKUP(F$1,test!$A$3:$F$32,5,FALSE) - VLOOKUP($B29,test!$A$3:$G$32,6,FALSE) &gt;= (test!$B$33+VLOOKUP(VLOOKUP($B29,test!$A$2:$I$32,4,FALSE),test!$J$10:$P$14,3,FALSE))/1440),1,0)</f>
        <v>0</v>
      </c>
      <c r="G29" s="2">
        <f>IF(AND(VLOOKUP(G$1,test!$A$3:$F$32,5,FALSE) - VLOOKUP($B29,test!$A$3:$G$32,6,FALSE) &gt;= (test!$B$33+VLOOKUP(VLOOKUP($B29,test!$A$2:$I$32,4,FALSE),test!$J$10:$P$14,3,FALSE))/1440),1,0)</f>
        <v>0</v>
      </c>
      <c r="H29" s="2">
        <f>IF(AND(VLOOKUP(H$1,test!$A$3:$F$32,5,FALSE) - VLOOKUP($B29,test!$A$3:$G$32,6,FALSE) &gt;= (test!$B$33+VLOOKUP(VLOOKUP($B29,test!$A$2:$I$32,4,FALSE),test!$J$10:$P$14,3,FALSE))/1440),1,0)</f>
        <v>0</v>
      </c>
      <c r="I29" s="2">
        <f>IF(AND(VLOOKUP(I$1,test!$A$3:$F$32,5,FALSE) - VLOOKUP($B29,test!$A$3:$G$32,6,FALSE) &gt;= (test!$B$33+VLOOKUP(VLOOKUP($B29,test!$A$2:$I$32,4,FALSE),test!$J$10:$P$14,3,FALSE))/1440),1,0)</f>
        <v>0</v>
      </c>
      <c r="J29" s="2">
        <f>IF(AND(VLOOKUP(J$1,test!$A$3:$F$32,5,FALSE) - VLOOKUP($B29,test!$A$3:$G$32,6,FALSE) &gt;= (test!$B$33+VLOOKUP(VLOOKUP($B29,test!$A$2:$I$32,4,FALSE),test!$J$10:$P$14,3,FALSE))/1440),1,0)</f>
        <v>0</v>
      </c>
      <c r="K29" s="2">
        <f>IF(AND(VLOOKUP(K$1,test!$A$3:$F$32,5,FALSE) - VLOOKUP($B29,test!$A$3:$G$32,6,FALSE) &gt;= (test!$B$33+VLOOKUP(VLOOKUP($B29,test!$A$2:$I$32,4,FALSE),test!$J$10:$P$14,3,FALSE))/1440),1,0)</f>
        <v>0</v>
      </c>
      <c r="L29" s="2">
        <f>IF(AND(VLOOKUP(L$1,test!$A$3:$F$32,5,FALSE) - VLOOKUP($B29,test!$A$3:$G$32,6,FALSE) &gt;= (test!$B$33+VLOOKUP(VLOOKUP($B29,test!$A$2:$I$32,4,FALSE),test!$J$10:$P$14,3,FALSE))/1440),1,0)</f>
        <v>0</v>
      </c>
      <c r="M29" s="2">
        <f>IF(AND(VLOOKUP(M$1,test!$A$3:$F$32,5,FALSE) - VLOOKUP($B29,test!$A$3:$G$32,6,FALSE) &gt;= (test!$B$33+VLOOKUP(VLOOKUP($B29,test!$A$2:$I$32,4,FALSE),test!$J$10:$P$14,3,FALSE))/1440),1,0)</f>
        <v>0</v>
      </c>
      <c r="N29" s="2">
        <f>IF(AND(VLOOKUP(N$1,test!$A$3:$F$32,5,FALSE) - VLOOKUP($B29,test!$A$3:$G$32,6,FALSE) &gt;= (test!$B$33+VLOOKUP(VLOOKUP($B29,test!$A$2:$I$32,4,FALSE),test!$J$10:$P$14,3,FALSE))/1440),1,0)</f>
        <v>0</v>
      </c>
      <c r="O29" s="2">
        <f>IF(AND(VLOOKUP(O$1,test!$A$3:$F$32,5,FALSE) - VLOOKUP($B29,test!$A$3:$G$32,6,FALSE) &gt;= (test!$B$33+VLOOKUP(VLOOKUP($B29,test!$A$2:$I$32,4,FALSE),test!$J$10:$P$14,3,FALSE))/1440),1,0)</f>
        <v>0</v>
      </c>
      <c r="P29" s="2">
        <f>IF(AND(VLOOKUP(P$1,test!$A$3:$F$32,5,FALSE) - VLOOKUP($B29,test!$A$3:$G$32,6,FALSE) &gt;= (test!$B$33+VLOOKUP(VLOOKUP($B29,test!$A$2:$I$32,4,FALSE),test!$J$10:$P$14,3,FALSE))/1440),1,0)</f>
        <v>0</v>
      </c>
      <c r="Q29" s="2">
        <f>IF(AND(VLOOKUP(Q$1,test!$A$3:$F$32,5,FALSE) - VLOOKUP($B29,test!$A$3:$G$32,6,FALSE) &gt;= (test!$B$33+VLOOKUP(VLOOKUP($B29,test!$A$2:$I$32,4,FALSE),test!$J$10:$P$14,3,FALSE))/1440),1,0)</f>
        <v>0</v>
      </c>
      <c r="R29" s="2">
        <f>IF(AND(VLOOKUP(R$1,test!$A$3:$F$32,5,FALSE) - VLOOKUP($B29,test!$A$3:$G$32,6,FALSE) &gt;= (test!$B$33+VLOOKUP(VLOOKUP($B29,test!$A$2:$I$32,4,FALSE),test!$J$10:$P$14,3,FALSE))/1440),1,0)</f>
        <v>0</v>
      </c>
      <c r="S29" s="2">
        <f>IF(AND(VLOOKUP(S$1,test!$A$3:$F$32,5,FALSE) - VLOOKUP($B29,test!$A$3:$G$32,6,FALSE) &gt;= (test!$B$33+VLOOKUP(VLOOKUP($B29,test!$A$2:$I$32,4,FALSE),test!$J$10:$P$14,3,FALSE))/1440),1,0)</f>
        <v>0</v>
      </c>
      <c r="T29" s="2">
        <f>IF(AND(VLOOKUP(T$1,test!$A$3:$F$32,5,FALSE) - VLOOKUP($B29,test!$A$3:$G$32,6,FALSE) &gt;= (test!$B$33+VLOOKUP(VLOOKUP($B29,test!$A$2:$I$32,4,FALSE),test!$J$10:$P$14,3,FALSE))/1440),1,0)</f>
        <v>0</v>
      </c>
      <c r="U29" s="2">
        <f>IF(AND(VLOOKUP(U$1,test!$A$3:$F$32,5,FALSE) - VLOOKUP($B29,test!$A$3:$G$32,6,FALSE) &gt;= (test!$B$33+VLOOKUP(VLOOKUP($B29,test!$A$2:$I$32,4,FALSE),test!$J$10:$P$14,3,FALSE))/1440),1,0)</f>
        <v>0</v>
      </c>
      <c r="V29" s="2">
        <f>IF(AND(VLOOKUP(V$1,test!$A$3:$F$32,5,FALSE) - VLOOKUP($B29,test!$A$3:$G$32,6,FALSE) &gt;= (test!$B$33+VLOOKUP(VLOOKUP($B29,test!$A$2:$I$32,4,FALSE),test!$J$10:$P$14,3,FALSE))/1440),1,0)</f>
        <v>0</v>
      </c>
      <c r="W29" s="2">
        <f>IF(AND(VLOOKUP(W$1,test!$A$3:$F$32,5,FALSE) - VLOOKUP($B29,test!$A$3:$G$32,6,FALSE) &gt;= (test!$B$33+VLOOKUP(VLOOKUP($B29,test!$A$2:$I$32,4,FALSE),test!$J$10:$P$14,3,FALSE))/1440),1,0)</f>
        <v>0</v>
      </c>
      <c r="X29" s="2">
        <f>IF(AND(VLOOKUP(X$1,test!$A$3:$F$32,5,FALSE) - VLOOKUP($B29,test!$A$3:$G$32,6,FALSE) &gt;= (test!$B$33+VLOOKUP(VLOOKUP($B29,test!$A$2:$I$32,4,FALSE),test!$J$10:$P$14,3,FALSE))/1440),1,0)</f>
        <v>0</v>
      </c>
      <c r="Y29" s="2">
        <f>IF(AND(VLOOKUP(Y$1,test!$A$3:$F$32,5,FALSE) - VLOOKUP($B29,test!$A$3:$G$32,6,FALSE) &gt;= (test!$B$33+VLOOKUP(VLOOKUP($B29,test!$A$2:$I$32,4,FALSE),test!$J$10:$P$14,3,FALSE))/1440),1,0)</f>
        <v>0</v>
      </c>
      <c r="Z29" s="2">
        <f>IF(AND(VLOOKUP(Z$1,test!$A$3:$F$32,5,FALSE) - VLOOKUP($B29,test!$A$3:$G$32,6,FALSE) &gt;= (test!$B$33+VLOOKUP(VLOOKUP($B29,test!$A$2:$I$32,4,FALSE),test!$J$10:$P$14,3,FALSE))/1440),1,0)</f>
        <v>0</v>
      </c>
      <c r="AA29" s="2">
        <f>IF(AND(VLOOKUP(AA$1,test!$A$3:$F$32,5,FALSE) - VLOOKUP($B29,test!$A$3:$G$32,6,FALSE) &gt;= (test!$B$33+VLOOKUP(VLOOKUP($B29,test!$A$2:$I$32,4,FALSE),test!$J$10:$P$14,3,FALSE))/1440),1,0)</f>
        <v>0</v>
      </c>
      <c r="AB29" s="2">
        <f>IF(AND(VLOOKUP(AB$1,test!$A$3:$F$32,5,FALSE) - VLOOKUP($B29,test!$A$3:$G$32,6,FALSE) &gt;= (test!$B$33+VLOOKUP(VLOOKUP($B29,test!$A$2:$I$32,4,FALSE),test!$J$10:$P$14,3,FALSE))/1440),1,0)</f>
        <v>0</v>
      </c>
      <c r="AC29" s="2">
        <f>IF(AND(VLOOKUP(AC$1,test!$A$3:$F$32,5,FALSE) - VLOOKUP($B29,test!$A$3:$G$32,6,FALSE) &gt;= (test!$B$33+VLOOKUP(VLOOKUP($B29,test!$A$2:$I$32,4,FALSE),test!$J$10:$P$14,3,FALSE))/1440),1,0)</f>
        <v>0</v>
      </c>
      <c r="AD29" s="2">
        <f>IF(AND(VLOOKUP(AD$1,test!$A$3:$F$32,5,FALSE) - VLOOKUP($B29,test!$A$3:$G$32,6,FALSE) &gt;= (test!$B$33+VLOOKUP(VLOOKUP($B29,test!$A$2:$I$32,4,FALSE),test!$J$10:$P$14,3,FALSE))/1440),1,0)</f>
        <v>0</v>
      </c>
      <c r="AE29" s="2">
        <f>IF(AND(VLOOKUP(AE$1,test!$A$3:$F$32,5,FALSE) - VLOOKUP($B29,test!$A$3:$G$32,6,FALSE) &gt;= (test!$B$33+VLOOKUP(VLOOKUP($B29,test!$A$2:$I$32,4,FALSE),test!$J$10:$P$14,3,FALSE))/1440),1,0)</f>
        <v>0</v>
      </c>
      <c r="AF29" s="2">
        <f>IF(AND(VLOOKUP(AF$1,test!$A$3:$F$32,5,FALSE) - VLOOKUP($B29,test!$A$3:$G$32,6,FALSE) &gt;= (test!$B$33+VLOOKUP(VLOOKUP($B29,test!$A$2:$I$32,4,FALSE),test!$J$10:$P$14,3,FALSE))/1440),1,0)</f>
        <v>0</v>
      </c>
      <c r="AG29" s="2">
        <f>IF(AND(VLOOKUP(AG$1,test!$A$3:$F$32,5,FALSE) - VLOOKUP($B29,test!$A$3:$G$32,6,FALSE) &gt;= (test!$B$33+VLOOKUP(VLOOKUP($B29,test!$A$2:$I$32,4,FALSE),test!$J$10:$P$14,3,FALSE))/1440),1,0)</f>
        <v>0</v>
      </c>
    </row>
    <row r="30" spans="1:33" x14ac:dyDescent="0.25">
      <c r="A30" t="s">
        <v>48</v>
      </c>
      <c r="B30" t="s">
        <v>39</v>
      </c>
      <c r="C30">
        <v>0</v>
      </c>
      <c r="D30" s="2">
        <f>IF(AND(VLOOKUP(D$1,test!$A$3:$F$32,5,FALSE) - VLOOKUP($B30,test!$A$3:$G$32,6,FALSE) &gt;= (test!$B$33+VLOOKUP(VLOOKUP($B30,test!$A$2:$I$32,4,FALSE),test!$J$10:$P$14,3,FALSE))/1440),1,0)</f>
        <v>0</v>
      </c>
      <c r="E30" s="2">
        <f>IF(AND(VLOOKUP(E$1,test!$A$3:$F$32,5,FALSE) - VLOOKUP($B30,test!$A$3:$G$32,6,FALSE) &gt;= (test!$B$33+VLOOKUP(VLOOKUP($B30,test!$A$2:$I$32,4,FALSE),test!$J$10:$P$14,3,FALSE))/1440),1,0)</f>
        <v>0</v>
      </c>
      <c r="F30" s="2">
        <f>IF(AND(VLOOKUP(F$1,test!$A$3:$F$32,5,FALSE) - VLOOKUP($B30,test!$A$3:$G$32,6,FALSE) &gt;= (test!$B$33+VLOOKUP(VLOOKUP($B30,test!$A$2:$I$32,4,FALSE),test!$J$10:$P$14,3,FALSE))/1440),1,0)</f>
        <v>1</v>
      </c>
      <c r="G30" s="2">
        <f>IF(AND(VLOOKUP(G$1,test!$A$3:$F$32,5,FALSE) - VLOOKUP($B30,test!$A$3:$G$32,6,FALSE) &gt;= (test!$B$33+VLOOKUP(VLOOKUP($B30,test!$A$2:$I$32,4,FALSE),test!$J$10:$P$14,3,FALSE))/1440),1,0)</f>
        <v>1</v>
      </c>
      <c r="H30" s="2">
        <f>IF(AND(VLOOKUP(H$1,test!$A$3:$F$32,5,FALSE) - VLOOKUP($B30,test!$A$3:$G$32,6,FALSE) &gt;= (test!$B$33+VLOOKUP(VLOOKUP($B30,test!$A$2:$I$32,4,FALSE),test!$J$10:$P$14,3,FALSE))/1440),1,0)</f>
        <v>1</v>
      </c>
      <c r="I30" s="2">
        <f>IF(AND(VLOOKUP(I$1,test!$A$3:$F$32,5,FALSE) - VLOOKUP($B30,test!$A$3:$G$32,6,FALSE) &gt;= (test!$B$33+VLOOKUP(VLOOKUP($B30,test!$A$2:$I$32,4,FALSE),test!$J$10:$P$14,3,FALSE))/1440),1,0)</f>
        <v>1</v>
      </c>
      <c r="J30" s="2">
        <f>IF(AND(VLOOKUP(J$1,test!$A$3:$F$32,5,FALSE) - VLOOKUP($B30,test!$A$3:$G$32,6,FALSE) &gt;= (test!$B$33+VLOOKUP(VLOOKUP($B30,test!$A$2:$I$32,4,FALSE),test!$J$10:$P$14,3,FALSE))/1440),1,0)</f>
        <v>1</v>
      </c>
      <c r="K30" s="2">
        <f>IF(AND(VLOOKUP(K$1,test!$A$3:$F$32,5,FALSE) - VLOOKUP($B30,test!$A$3:$G$32,6,FALSE) &gt;= (test!$B$33+VLOOKUP(VLOOKUP($B30,test!$A$2:$I$32,4,FALSE),test!$J$10:$P$14,3,FALSE))/1440),1,0)</f>
        <v>1</v>
      </c>
      <c r="L30" s="2">
        <f>IF(AND(VLOOKUP(L$1,test!$A$3:$F$32,5,FALSE) - VLOOKUP($B30,test!$A$3:$G$32,6,FALSE) &gt;= (test!$B$33+VLOOKUP(VLOOKUP($B30,test!$A$2:$I$32,4,FALSE),test!$J$10:$P$14,3,FALSE))/1440),1,0)</f>
        <v>0</v>
      </c>
      <c r="M30" s="2">
        <f>IF(AND(VLOOKUP(M$1,test!$A$3:$F$32,5,FALSE) - VLOOKUP($B30,test!$A$3:$G$32,6,FALSE) &gt;= (test!$B$33+VLOOKUP(VLOOKUP($B30,test!$A$2:$I$32,4,FALSE),test!$J$10:$P$14,3,FALSE))/1440),1,0)</f>
        <v>0</v>
      </c>
      <c r="N30" s="2">
        <f>IF(AND(VLOOKUP(N$1,test!$A$3:$F$32,5,FALSE) - VLOOKUP($B30,test!$A$3:$G$32,6,FALSE) &gt;= (test!$B$33+VLOOKUP(VLOOKUP($B30,test!$A$2:$I$32,4,FALSE),test!$J$10:$P$14,3,FALSE))/1440),1,0)</f>
        <v>0</v>
      </c>
      <c r="O30" s="2">
        <f>IF(AND(VLOOKUP(O$1,test!$A$3:$F$32,5,FALSE) - VLOOKUP($B30,test!$A$3:$G$32,6,FALSE) &gt;= (test!$B$33+VLOOKUP(VLOOKUP($B30,test!$A$2:$I$32,4,FALSE),test!$J$10:$P$14,3,FALSE))/1440),1,0)</f>
        <v>1</v>
      </c>
      <c r="P30" s="2">
        <f>IF(AND(VLOOKUP(P$1,test!$A$3:$F$32,5,FALSE) - VLOOKUP($B30,test!$A$3:$G$32,6,FALSE) &gt;= (test!$B$33+VLOOKUP(VLOOKUP($B30,test!$A$2:$I$32,4,FALSE),test!$J$10:$P$14,3,FALSE))/1440),1,0)</f>
        <v>1</v>
      </c>
      <c r="Q30" s="2">
        <f>IF(AND(VLOOKUP(Q$1,test!$A$3:$F$32,5,FALSE) - VLOOKUP($B30,test!$A$3:$G$32,6,FALSE) &gt;= (test!$B$33+VLOOKUP(VLOOKUP($B30,test!$A$2:$I$32,4,FALSE),test!$J$10:$P$14,3,FALSE))/1440),1,0)</f>
        <v>0</v>
      </c>
      <c r="R30" s="2">
        <f>IF(AND(VLOOKUP(R$1,test!$A$3:$F$32,5,FALSE) - VLOOKUP($B30,test!$A$3:$G$32,6,FALSE) &gt;= (test!$B$33+VLOOKUP(VLOOKUP($B30,test!$A$2:$I$32,4,FALSE),test!$J$10:$P$14,3,FALSE))/1440),1,0)</f>
        <v>0</v>
      </c>
      <c r="S30" s="2">
        <f>IF(AND(VLOOKUP(S$1,test!$A$3:$F$32,5,FALSE) - VLOOKUP($B30,test!$A$3:$G$32,6,FALSE) &gt;= (test!$B$33+VLOOKUP(VLOOKUP($B30,test!$A$2:$I$32,4,FALSE),test!$J$10:$P$14,3,FALSE))/1440),1,0)</f>
        <v>0</v>
      </c>
      <c r="T30" s="2">
        <f>IF(AND(VLOOKUP(T$1,test!$A$3:$F$32,5,FALSE) - VLOOKUP($B30,test!$A$3:$G$32,6,FALSE) &gt;= (test!$B$33+VLOOKUP(VLOOKUP($B30,test!$A$2:$I$32,4,FALSE),test!$J$10:$P$14,3,FALSE))/1440),1,0)</f>
        <v>0</v>
      </c>
      <c r="U30" s="2">
        <f>IF(AND(VLOOKUP(U$1,test!$A$3:$F$32,5,FALSE) - VLOOKUP($B30,test!$A$3:$G$32,6,FALSE) &gt;= (test!$B$33+VLOOKUP(VLOOKUP($B30,test!$A$2:$I$32,4,FALSE),test!$J$10:$P$14,3,FALSE))/1440),1,0)</f>
        <v>1</v>
      </c>
      <c r="V30" s="2">
        <f>IF(AND(VLOOKUP(V$1,test!$A$3:$F$32,5,FALSE) - VLOOKUP($B30,test!$A$3:$G$32,6,FALSE) &gt;= (test!$B$33+VLOOKUP(VLOOKUP($B30,test!$A$2:$I$32,4,FALSE),test!$J$10:$P$14,3,FALSE))/1440),1,0)</f>
        <v>1</v>
      </c>
      <c r="W30" s="2">
        <f>IF(AND(VLOOKUP(W$1,test!$A$3:$F$32,5,FALSE) - VLOOKUP($B30,test!$A$3:$G$32,6,FALSE) &gt;= (test!$B$33+VLOOKUP(VLOOKUP($B30,test!$A$2:$I$32,4,FALSE),test!$J$10:$P$14,3,FALSE))/1440),1,0)</f>
        <v>1</v>
      </c>
      <c r="X30" s="2">
        <f>IF(AND(VLOOKUP(X$1,test!$A$3:$F$32,5,FALSE) - VLOOKUP($B30,test!$A$3:$G$32,6,FALSE) &gt;= (test!$B$33+VLOOKUP(VLOOKUP($B30,test!$A$2:$I$32,4,FALSE),test!$J$10:$P$14,3,FALSE))/1440),1,0)</f>
        <v>1</v>
      </c>
      <c r="Y30" s="2">
        <f>IF(AND(VLOOKUP(Y$1,test!$A$3:$F$32,5,FALSE) - VLOOKUP($B30,test!$A$3:$G$32,6,FALSE) &gt;= (test!$B$33+VLOOKUP(VLOOKUP($B30,test!$A$2:$I$32,4,FALSE),test!$J$10:$P$14,3,FALSE))/1440),1,0)</f>
        <v>1</v>
      </c>
      <c r="Z30" s="2">
        <f>IF(AND(VLOOKUP(Z$1,test!$A$3:$F$32,5,FALSE) - VLOOKUP($B30,test!$A$3:$G$32,6,FALSE) &gt;= (test!$B$33+VLOOKUP(VLOOKUP($B30,test!$A$2:$I$32,4,FALSE),test!$J$10:$P$14,3,FALSE))/1440),1,0)</f>
        <v>0</v>
      </c>
      <c r="AA30" s="2">
        <f>IF(AND(VLOOKUP(AA$1,test!$A$3:$F$32,5,FALSE) - VLOOKUP($B30,test!$A$3:$G$32,6,FALSE) &gt;= (test!$B$33+VLOOKUP(VLOOKUP($B30,test!$A$2:$I$32,4,FALSE),test!$J$10:$P$14,3,FALSE))/1440),1,0)</f>
        <v>0</v>
      </c>
      <c r="AB30" s="2">
        <f>IF(AND(VLOOKUP(AB$1,test!$A$3:$F$32,5,FALSE) - VLOOKUP($B30,test!$A$3:$G$32,6,FALSE) &gt;= (test!$B$33+VLOOKUP(VLOOKUP($B30,test!$A$2:$I$32,4,FALSE),test!$J$10:$P$14,3,FALSE))/1440),1,0)</f>
        <v>1</v>
      </c>
      <c r="AC30" s="2">
        <f>IF(AND(VLOOKUP(AC$1,test!$A$3:$F$32,5,FALSE) - VLOOKUP($B30,test!$A$3:$G$32,6,FALSE) &gt;= (test!$B$33+VLOOKUP(VLOOKUP($B30,test!$A$2:$I$32,4,FALSE),test!$J$10:$P$14,3,FALSE))/1440),1,0)</f>
        <v>1</v>
      </c>
      <c r="AD30" s="2">
        <f>IF(AND(VLOOKUP(AD$1,test!$A$3:$F$32,5,FALSE) - VLOOKUP($B30,test!$A$3:$G$32,6,FALSE) &gt;= (test!$B$33+VLOOKUP(VLOOKUP($B30,test!$A$2:$I$32,4,FALSE),test!$J$10:$P$14,3,FALSE))/1440),1,0)</f>
        <v>1</v>
      </c>
      <c r="AE30" s="2">
        <f>IF(AND(VLOOKUP(AE$1,test!$A$3:$F$32,5,FALSE) - VLOOKUP($B30,test!$A$3:$G$32,6,FALSE) &gt;= (test!$B$33+VLOOKUP(VLOOKUP($B30,test!$A$2:$I$32,4,FALSE),test!$J$10:$P$14,3,FALSE))/1440),1,0)</f>
        <v>0</v>
      </c>
      <c r="AF30" s="2">
        <f>IF(AND(VLOOKUP(AF$1,test!$A$3:$F$32,5,FALSE) - VLOOKUP($B30,test!$A$3:$G$32,6,FALSE) &gt;= (test!$B$33+VLOOKUP(VLOOKUP($B30,test!$A$2:$I$32,4,FALSE),test!$J$10:$P$14,3,FALSE))/1440),1,0)</f>
        <v>1</v>
      </c>
      <c r="AG30" s="2">
        <f>IF(AND(VLOOKUP(AG$1,test!$A$3:$F$32,5,FALSE) - VLOOKUP($B30,test!$A$3:$G$32,6,FALSE) &gt;= (test!$B$33+VLOOKUP(VLOOKUP($B30,test!$A$2:$I$32,4,FALSE),test!$J$10:$P$14,3,FALSE))/1440),1,0)</f>
        <v>1</v>
      </c>
    </row>
    <row r="31" spans="1:33" x14ac:dyDescent="0.25">
      <c r="A31" t="s">
        <v>48</v>
      </c>
      <c r="B31" t="s">
        <v>40</v>
      </c>
      <c r="C31">
        <v>0</v>
      </c>
      <c r="D31" s="2">
        <f>IF(AND(VLOOKUP(D$1,test!$A$3:$F$32,5,FALSE) - VLOOKUP($B31,test!$A$3:$G$32,6,FALSE) &gt;= (test!$B$33+VLOOKUP(VLOOKUP($B31,test!$A$2:$I$32,4,FALSE),test!$J$10:$P$14,3,FALSE))/1440),1,0)</f>
        <v>0</v>
      </c>
      <c r="E31" s="2">
        <f>IF(AND(VLOOKUP(E$1,test!$A$3:$F$32,5,FALSE) - VLOOKUP($B31,test!$A$3:$G$32,6,FALSE) &gt;= (test!$B$33+VLOOKUP(VLOOKUP($B31,test!$A$2:$I$32,4,FALSE),test!$J$10:$P$14,3,FALSE))/1440),1,0)</f>
        <v>0</v>
      </c>
      <c r="F31" s="2">
        <f>IF(AND(VLOOKUP(F$1,test!$A$3:$F$32,5,FALSE) - VLOOKUP($B31,test!$A$3:$G$32,6,FALSE) &gt;= (test!$B$33+VLOOKUP(VLOOKUP($B31,test!$A$2:$I$32,4,FALSE),test!$J$10:$P$14,3,FALSE))/1440),1,0)</f>
        <v>0</v>
      </c>
      <c r="G31" s="2">
        <f>IF(AND(VLOOKUP(G$1,test!$A$3:$F$32,5,FALSE) - VLOOKUP($B31,test!$A$3:$G$32,6,FALSE) &gt;= (test!$B$33+VLOOKUP(VLOOKUP($B31,test!$A$2:$I$32,4,FALSE),test!$J$10:$P$14,3,FALSE))/1440),1,0)</f>
        <v>0</v>
      </c>
      <c r="H31" s="2">
        <f>IF(AND(VLOOKUP(H$1,test!$A$3:$F$32,5,FALSE) - VLOOKUP($B31,test!$A$3:$G$32,6,FALSE) &gt;= (test!$B$33+VLOOKUP(VLOOKUP($B31,test!$A$2:$I$32,4,FALSE),test!$J$10:$P$14,3,FALSE))/1440),1,0)</f>
        <v>0</v>
      </c>
      <c r="I31" s="2">
        <f>IF(AND(VLOOKUP(I$1,test!$A$3:$F$32,5,FALSE) - VLOOKUP($B31,test!$A$3:$G$32,6,FALSE) &gt;= (test!$B$33+VLOOKUP(VLOOKUP($B31,test!$A$2:$I$32,4,FALSE),test!$J$10:$P$14,3,FALSE))/1440),1,0)</f>
        <v>0</v>
      </c>
      <c r="J31" s="2">
        <f>IF(AND(VLOOKUP(J$1,test!$A$3:$F$32,5,FALSE) - VLOOKUP($B31,test!$A$3:$G$32,6,FALSE) &gt;= (test!$B$33+VLOOKUP(VLOOKUP($B31,test!$A$2:$I$32,4,FALSE),test!$J$10:$P$14,3,FALSE))/1440),1,0)</f>
        <v>0</v>
      </c>
      <c r="K31" s="2">
        <f>IF(AND(VLOOKUP(K$1,test!$A$3:$F$32,5,FALSE) - VLOOKUP($B31,test!$A$3:$G$32,6,FALSE) &gt;= (test!$B$33+VLOOKUP(VLOOKUP($B31,test!$A$2:$I$32,4,FALSE),test!$J$10:$P$14,3,FALSE))/1440),1,0)</f>
        <v>1</v>
      </c>
      <c r="L31" s="2">
        <f>IF(AND(VLOOKUP(L$1,test!$A$3:$F$32,5,FALSE) - VLOOKUP($B31,test!$A$3:$G$32,6,FALSE) &gt;= (test!$B$33+VLOOKUP(VLOOKUP($B31,test!$A$2:$I$32,4,FALSE),test!$J$10:$P$14,3,FALSE))/1440),1,0)</f>
        <v>0</v>
      </c>
      <c r="M31" s="2">
        <f>IF(AND(VLOOKUP(M$1,test!$A$3:$F$32,5,FALSE) - VLOOKUP($B31,test!$A$3:$G$32,6,FALSE) &gt;= (test!$B$33+VLOOKUP(VLOOKUP($B31,test!$A$2:$I$32,4,FALSE),test!$J$10:$P$14,3,FALSE))/1440),1,0)</f>
        <v>0</v>
      </c>
      <c r="N31" s="2">
        <f>IF(AND(VLOOKUP(N$1,test!$A$3:$F$32,5,FALSE) - VLOOKUP($B31,test!$A$3:$G$32,6,FALSE) &gt;= (test!$B$33+VLOOKUP(VLOOKUP($B31,test!$A$2:$I$32,4,FALSE),test!$J$10:$P$14,3,FALSE))/1440),1,0)</f>
        <v>0</v>
      </c>
      <c r="O31" s="2">
        <f>IF(AND(VLOOKUP(O$1,test!$A$3:$F$32,5,FALSE) - VLOOKUP($B31,test!$A$3:$G$32,6,FALSE) &gt;= (test!$B$33+VLOOKUP(VLOOKUP($B31,test!$A$2:$I$32,4,FALSE),test!$J$10:$P$14,3,FALSE))/1440),1,0)</f>
        <v>1</v>
      </c>
      <c r="P31" s="2">
        <f>IF(AND(VLOOKUP(P$1,test!$A$3:$F$32,5,FALSE) - VLOOKUP($B31,test!$A$3:$G$32,6,FALSE) &gt;= (test!$B$33+VLOOKUP(VLOOKUP($B31,test!$A$2:$I$32,4,FALSE),test!$J$10:$P$14,3,FALSE))/1440),1,0)</f>
        <v>1</v>
      </c>
      <c r="Q31" s="2">
        <f>IF(AND(VLOOKUP(Q$1,test!$A$3:$F$32,5,FALSE) - VLOOKUP($B31,test!$A$3:$G$32,6,FALSE) &gt;= (test!$B$33+VLOOKUP(VLOOKUP($B31,test!$A$2:$I$32,4,FALSE),test!$J$10:$P$14,3,FALSE))/1440),1,0)</f>
        <v>0</v>
      </c>
      <c r="R31" s="2">
        <f>IF(AND(VLOOKUP(R$1,test!$A$3:$F$32,5,FALSE) - VLOOKUP($B31,test!$A$3:$G$32,6,FALSE) &gt;= (test!$B$33+VLOOKUP(VLOOKUP($B31,test!$A$2:$I$32,4,FALSE),test!$J$10:$P$14,3,FALSE))/1440),1,0)</f>
        <v>0</v>
      </c>
      <c r="S31" s="2">
        <f>IF(AND(VLOOKUP(S$1,test!$A$3:$F$32,5,FALSE) - VLOOKUP($B31,test!$A$3:$G$32,6,FALSE) &gt;= (test!$B$33+VLOOKUP(VLOOKUP($B31,test!$A$2:$I$32,4,FALSE),test!$J$10:$P$14,3,FALSE))/1440),1,0)</f>
        <v>0</v>
      </c>
      <c r="T31" s="2">
        <f>IF(AND(VLOOKUP(T$1,test!$A$3:$F$32,5,FALSE) - VLOOKUP($B31,test!$A$3:$G$32,6,FALSE) &gt;= (test!$B$33+VLOOKUP(VLOOKUP($B31,test!$A$2:$I$32,4,FALSE),test!$J$10:$P$14,3,FALSE))/1440),1,0)</f>
        <v>0</v>
      </c>
      <c r="U31" s="2">
        <f>IF(AND(VLOOKUP(U$1,test!$A$3:$F$32,5,FALSE) - VLOOKUP($B31,test!$A$3:$G$32,6,FALSE) &gt;= (test!$B$33+VLOOKUP(VLOOKUP($B31,test!$A$2:$I$32,4,FALSE),test!$J$10:$P$14,3,FALSE))/1440),1,0)</f>
        <v>0</v>
      </c>
      <c r="V31" s="2">
        <f>IF(AND(VLOOKUP(V$1,test!$A$3:$F$32,5,FALSE) - VLOOKUP($B31,test!$A$3:$G$32,6,FALSE) &gt;= (test!$B$33+VLOOKUP(VLOOKUP($B31,test!$A$2:$I$32,4,FALSE),test!$J$10:$P$14,3,FALSE))/1440),1,0)</f>
        <v>0</v>
      </c>
      <c r="W31" s="2">
        <f>IF(AND(VLOOKUP(W$1,test!$A$3:$F$32,5,FALSE) - VLOOKUP($B31,test!$A$3:$G$32,6,FALSE) &gt;= (test!$B$33+VLOOKUP(VLOOKUP($B31,test!$A$2:$I$32,4,FALSE),test!$J$10:$P$14,3,FALSE))/1440),1,0)</f>
        <v>0</v>
      </c>
      <c r="X31" s="2">
        <f>IF(AND(VLOOKUP(X$1,test!$A$3:$F$32,5,FALSE) - VLOOKUP($B31,test!$A$3:$G$32,6,FALSE) &gt;= (test!$B$33+VLOOKUP(VLOOKUP($B31,test!$A$2:$I$32,4,FALSE),test!$J$10:$P$14,3,FALSE))/1440),1,0)</f>
        <v>0</v>
      </c>
      <c r="Y31" s="2">
        <f>IF(AND(VLOOKUP(Y$1,test!$A$3:$F$32,5,FALSE) - VLOOKUP($B31,test!$A$3:$G$32,6,FALSE) &gt;= (test!$B$33+VLOOKUP(VLOOKUP($B31,test!$A$2:$I$32,4,FALSE),test!$J$10:$P$14,3,FALSE))/1440),1,0)</f>
        <v>0</v>
      </c>
      <c r="Z31" s="2">
        <f>IF(AND(VLOOKUP(Z$1,test!$A$3:$F$32,5,FALSE) - VLOOKUP($B31,test!$A$3:$G$32,6,FALSE) &gt;= (test!$B$33+VLOOKUP(VLOOKUP($B31,test!$A$2:$I$32,4,FALSE),test!$J$10:$P$14,3,FALSE))/1440),1,0)</f>
        <v>0</v>
      </c>
      <c r="AA31" s="2">
        <f>IF(AND(VLOOKUP(AA$1,test!$A$3:$F$32,5,FALSE) - VLOOKUP($B31,test!$A$3:$G$32,6,FALSE) &gt;= (test!$B$33+VLOOKUP(VLOOKUP($B31,test!$A$2:$I$32,4,FALSE),test!$J$10:$P$14,3,FALSE))/1440),1,0)</f>
        <v>0</v>
      </c>
      <c r="AB31" s="2">
        <f>IF(AND(VLOOKUP(AB$1,test!$A$3:$F$32,5,FALSE) - VLOOKUP($B31,test!$A$3:$G$32,6,FALSE) &gt;= (test!$B$33+VLOOKUP(VLOOKUP($B31,test!$A$2:$I$32,4,FALSE),test!$J$10:$P$14,3,FALSE))/1440),1,0)</f>
        <v>0</v>
      </c>
      <c r="AC31" s="2">
        <f>IF(AND(VLOOKUP(AC$1,test!$A$3:$F$32,5,FALSE) - VLOOKUP($B31,test!$A$3:$G$32,6,FALSE) &gt;= (test!$B$33+VLOOKUP(VLOOKUP($B31,test!$A$2:$I$32,4,FALSE),test!$J$10:$P$14,3,FALSE))/1440),1,0)</f>
        <v>0</v>
      </c>
      <c r="AD31" s="2">
        <f>IF(AND(VLOOKUP(AD$1,test!$A$3:$F$32,5,FALSE) - VLOOKUP($B31,test!$A$3:$G$32,6,FALSE) &gt;= (test!$B$33+VLOOKUP(VLOOKUP($B31,test!$A$2:$I$32,4,FALSE),test!$J$10:$P$14,3,FALSE))/1440),1,0)</f>
        <v>0</v>
      </c>
      <c r="AE31" s="2">
        <f>IF(AND(VLOOKUP(AE$1,test!$A$3:$F$32,5,FALSE) - VLOOKUP($B31,test!$A$3:$G$32,6,FALSE) &gt;= (test!$B$33+VLOOKUP(VLOOKUP($B31,test!$A$2:$I$32,4,FALSE),test!$J$10:$P$14,3,FALSE))/1440),1,0)</f>
        <v>0</v>
      </c>
      <c r="AF31" s="2">
        <f>IF(AND(VLOOKUP(AF$1,test!$A$3:$F$32,5,FALSE) - VLOOKUP($B31,test!$A$3:$G$32,6,FALSE) &gt;= (test!$B$33+VLOOKUP(VLOOKUP($B31,test!$A$2:$I$32,4,FALSE),test!$J$10:$P$14,3,FALSE))/1440),1,0)</f>
        <v>0</v>
      </c>
      <c r="AG31" s="2">
        <f>IF(AND(VLOOKUP(AG$1,test!$A$3:$F$32,5,FALSE) - VLOOKUP($B31,test!$A$3:$G$32,6,FALSE) &gt;= (test!$B$33+VLOOKUP(VLOOKUP($B31,test!$A$2:$I$32,4,FALSE),test!$J$10:$P$14,3,FALSE))/1440),1,0)</f>
        <v>0</v>
      </c>
    </row>
    <row r="32" spans="1:33" x14ac:dyDescent="0.25">
      <c r="A32" t="s">
        <v>48</v>
      </c>
      <c r="B32" t="s">
        <v>41</v>
      </c>
      <c r="C32">
        <v>0</v>
      </c>
      <c r="D32" s="2">
        <f>IF(AND(VLOOKUP(D$1,test!$A$3:$F$32,5,FALSE) - VLOOKUP($B32,test!$A$3:$G$32,6,FALSE) &gt;= (test!$B$33+VLOOKUP(VLOOKUP($B32,test!$A$2:$I$32,4,FALSE),test!$J$10:$P$14,3,FALSE))/1440),1,0)</f>
        <v>0</v>
      </c>
      <c r="E32" s="2">
        <f>IF(AND(VLOOKUP(E$1,test!$A$3:$F$32,5,FALSE) - VLOOKUP($B32,test!$A$3:$G$32,6,FALSE) &gt;= (test!$B$33+VLOOKUP(VLOOKUP($B32,test!$A$2:$I$32,4,FALSE),test!$J$10:$P$14,3,FALSE))/1440),1,0)</f>
        <v>0</v>
      </c>
      <c r="F32" s="2">
        <f>IF(AND(VLOOKUP(F$1,test!$A$3:$F$32,5,FALSE) - VLOOKUP($B32,test!$A$3:$G$32,6,FALSE) &gt;= (test!$B$33+VLOOKUP(VLOOKUP($B32,test!$A$2:$I$32,4,FALSE),test!$J$10:$P$14,3,FALSE))/1440),1,0)</f>
        <v>0</v>
      </c>
      <c r="G32" s="2">
        <f>IF(AND(VLOOKUP(G$1,test!$A$3:$F$32,5,FALSE) - VLOOKUP($B32,test!$A$3:$G$32,6,FALSE) &gt;= (test!$B$33+VLOOKUP(VLOOKUP($B32,test!$A$2:$I$32,4,FALSE),test!$J$10:$P$14,3,FALSE))/1440),1,0)</f>
        <v>0</v>
      </c>
      <c r="H32" s="2">
        <f>IF(AND(VLOOKUP(H$1,test!$A$3:$F$32,5,FALSE) - VLOOKUP($B32,test!$A$3:$G$32,6,FALSE) &gt;= (test!$B$33+VLOOKUP(VLOOKUP($B32,test!$A$2:$I$32,4,FALSE),test!$J$10:$P$14,3,FALSE))/1440),1,0)</f>
        <v>0</v>
      </c>
      <c r="I32" s="2">
        <f>IF(AND(VLOOKUP(I$1,test!$A$3:$F$32,5,FALSE) - VLOOKUP($B32,test!$A$3:$G$32,6,FALSE) &gt;= (test!$B$33+VLOOKUP(VLOOKUP($B32,test!$A$2:$I$32,4,FALSE),test!$J$10:$P$14,3,FALSE))/1440),1,0)</f>
        <v>0</v>
      </c>
      <c r="J32" s="2">
        <f>IF(AND(VLOOKUP(J$1,test!$A$3:$F$32,5,FALSE) - VLOOKUP($B32,test!$A$3:$G$32,6,FALSE) &gt;= (test!$B$33+VLOOKUP(VLOOKUP($B32,test!$A$2:$I$32,4,FALSE),test!$J$10:$P$14,3,FALSE))/1440),1,0)</f>
        <v>0</v>
      </c>
      <c r="K32" s="2">
        <f>IF(AND(VLOOKUP(K$1,test!$A$3:$F$32,5,FALSE) - VLOOKUP($B32,test!$A$3:$G$32,6,FALSE) &gt;= (test!$B$33+VLOOKUP(VLOOKUP($B32,test!$A$2:$I$32,4,FALSE),test!$J$10:$P$14,3,FALSE))/1440),1,0)</f>
        <v>1</v>
      </c>
      <c r="L32" s="2">
        <f>IF(AND(VLOOKUP(L$1,test!$A$3:$F$32,5,FALSE) - VLOOKUP($B32,test!$A$3:$G$32,6,FALSE) &gt;= (test!$B$33+VLOOKUP(VLOOKUP($B32,test!$A$2:$I$32,4,FALSE),test!$J$10:$P$14,3,FALSE))/1440),1,0)</f>
        <v>0</v>
      </c>
      <c r="M32" s="2">
        <f>IF(AND(VLOOKUP(M$1,test!$A$3:$F$32,5,FALSE) - VLOOKUP($B32,test!$A$3:$G$32,6,FALSE) &gt;= (test!$B$33+VLOOKUP(VLOOKUP($B32,test!$A$2:$I$32,4,FALSE),test!$J$10:$P$14,3,FALSE))/1440),1,0)</f>
        <v>0</v>
      </c>
      <c r="N32" s="2">
        <f>IF(AND(VLOOKUP(N$1,test!$A$3:$F$32,5,FALSE) - VLOOKUP($B32,test!$A$3:$G$32,6,FALSE) &gt;= (test!$B$33+VLOOKUP(VLOOKUP($B32,test!$A$2:$I$32,4,FALSE),test!$J$10:$P$14,3,FALSE))/1440),1,0)</f>
        <v>0</v>
      </c>
      <c r="O32" s="2">
        <f>IF(AND(VLOOKUP(O$1,test!$A$3:$F$32,5,FALSE) - VLOOKUP($B32,test!$A$3:$G$32,6,FALSE) &gt;= (test!$B$33+VLOOKUP(VLOOKUP($B32,test!$A$2:$I$32,4,FALSE),test!$J$10:$P$14,3,FALSE))/1440),1,0)</f>
        <v>0</v>
      </c>
      <c r="P32" s="2">
        <f>IF(AND(VLOOKUP(P$1,test!$A$3:$F$32,5,FALSE) - VLOOKUP($B32,test!$A$3:$G$32,6,FALSE) &gt;= (test!$B$33+VLOOKUP(VLOOKUP($B32,test!$A$2:$I$32,4,FALSE),test!$J$10:$P$14,3,FALSE))/1440),1,0)</f>
        <v>1</v>
      </c>
      <c r="Q32" s="2">
        <f>IF(AND(VLOOKUP(Q$1,test!$A$3:$F$32,5,FALSE) - VLOOKUP($B32,test!$A$3:$G$32,6,FALSE) &gt;= (test!$B$33+VLOOKUP(VLOOKUP($B32,test!$A$2:$I$32,4,FALSE),test!$J$10:$P$14,3,FALSE))/1440),1,0)</f>
        <v>0</v>
      </c>
      <c r="R32" s="2">
        <f>IF(AND(VLOOKUP(R$1,test!$A$3:$F$32,5,FALSE) - VLOOKUP($B32,test!$A$3:$G$32,6,FALSE) &gt;= (test!$B$33+VLOOKUP(VLOOKUP($B32,test!$A$2:$I$32,4,FALSE),test!$J$10:$P$14,3,FALSE))/1440),1,0)</f>
        <v>0</v>
      </c>
      <c r="S32" s="2">
        <f>IF(AND(VLOOKUP(S$1,test!$A$3:$F$32,5,FALSE) - VLOOKUP($B32,test!$A$3:$G$32,6,FALSE) &gt;= (test!$B$33+VLOOKUP(VLOOKUP($B32,test!$A$2:$I$32,4,FALSE),test!$J$10:$P$14,3,FALSE))/1440),1,0)</f>
        <v>0</v>
      </c>
      <c r="T32" s="2">
        <f>IF(AND(VLOOKUP(T$1,test!$A$3:$F$32,5,FALSE) - VLOOKUP($B32,test!$A$3:$G$32,6,FALSE) &gt;= (test!$B$33+VLOOKUP(VLOOKUP($B32,test!$A$2:$I$32,4,FALSE),test!$J$10:$P$14,3,FALSE))/1440),1,0)</f>
        <v>0</v>
      </c>
      <c r="U32" s="2">
        <f>IF(AND(VLOOKUP(U$1,test!$A$3:$F$32,5,FALSE) - VLOOKUP($B32,test!$A$3:$G$32,6,FALSE) &gt;= (test!$B$33+VLOOKUP(VLOOKUP($B32,test!$A$2:$I$32,4,FALSE),test!$J$10:$P$14,3,FALSE))/1440),1,0)</f>
        <v>0</v>
      </c>
      <c r="V32" s="2">
        <f>IF(AND(VLOOKUP(V$1,test!$A$3:$F$32,5,FALSE) - VLOOKUP($B32,test!$A$3:$G$32,6,FALSE) &gt;= (test!$B$33+VLOOKUP(VLOOKUP($B32,test!$A$2:$I$32,4,FALSE),test!$J$10:$P$14,3,FALSE))/1440),1,0)</f>
        <v>0</v>
      </c>
      <c r="W32" s="2">
        <f>IF(AND(VLOOKUP(W$1,test!$A$3:$F$32,5,FALSE) - VLOOKUP($B32,test!$A$3:$G$32,6,FALSE) &gt;= (test!$B$33+VLOOKUP(VLOOKUP($B32,test!$A$2:$I$32,4,FALSE),test!$J$10:$P$14,3,FALSE))/1440),1,0)</f>
        <v>0</v>
      </c>
      <c r="X32" s="2">
        <f>IF(AND(VLOOKUP(X$1,test!$A$3:$F$32,5,FALSE) - VLOOKUP($B32,test!$A$3:$G$32,6,FALSE) &gt;= (test!$B$33+VLOOKUP(VLOOKUP($B32,test!$A$2:$I$32,4,FALSE),test!$J$10:$P$14,3,FALSE))/1440),1,0)</f>
        <v>0</v>
      </c>
      <c r="Y32" s="2">
        <f>IF(AND(VLOOKUP(Y$1,test!$A$3:$F$32,5,FALSE) - VLOOKUP($B32,test!$A$3:$G$32,6,FALSE) &gt;= (test!$B$33+VLOOKUP(VLOOKUP($B32,test!$A$2:$I$32,4,FALSE),test!$J$10:$P$14,3,FALSE))/1440),1,0)</f>
        <v>0</v>
      </c>
      <c r="Z32" s="2">
        <f>IF(AND(VLOOKUP(Z$1,test!$A$3:$F$32,5,FALSE) - VLOOKUP($B32,test!$A$3:$G$32,6,FALSE) &gt;= (test!$B$33+VLOOKUP(VLOOKUP($B32,test!$A$2:$I$32,4,FALSE),test!$J$10:$P$14,3,FALSE))/1440),1,0)</f>
        <v>0</v>
      </c>
      <c r="AA32" s="2">
        <f>IF(AND(VLOOKUP(AA$1,test!$A$3:$F$32,5,FALSE) - VLOOKUP($B32,test!$A$3:$G$32,6,FALSE) &gt;= (test!$B$33+VLOOKUP(VLOOKUP($B32,test!$A$2:$I$32,4,FALSE),test!$J$10:$P$14,3,FALSE))/1440),1,0)</f>
        <v>0</v>
      </c>
      <c r="AB32" s="2">
        <f>IF(AND(VLOOKUP(AB$1,test!$A$3:$F$32,5,FALSE) - VLOOKUP($B32,test!$A$3:$G$32,6,FALSE) &gt;= (test!$B$33+VLOOKUP(VLOOKUP($B32,test!$A$2:$I$32,4,FALSE),test!$J$10:$P$14,3,FALSE))/1440),1,0)</f>
        <v>0</v>
      </c>
      <c r="AC32" s="2">
        <f>IF(AND(VLOOKUP(AC$1,test!$A$3:$F$32,5,FALSE) - VLOOKUP($B32,test!$A$3:$G$32,6,FALSE) &gt;= (test!$B$33+VLOOKUP(VLOOKUP($B32,test!$A$2:$I$32,4,FALSE),test!$J$10:$P$14,3,FALSE))/1440),1,0)</f>
        <v>0</v>
      </c>
      <c r="AD32" s="2">
        <f>IF(AND(VLOOKUP(AD$1,test!$A$3:$F$32,5,FALSE) - VLOOKUP($B32,test!$A$3:$G$32,6,FALSE) &gt;= (test!$B$33+VLOOKUP(VLOOKUP($B32,test!$A$2:$I$32,4,FALSE),test!$J$10:$P$14,3,FALSE))/1440),1,0)</f>
        <v>0</v>
      </c>
      <c r="AE32" s="2">
        <f>IF(AND(VLOOKUP(AE$1,test!$A$3:$F$32,5,FALSE) - VLOOKUP($B32,test!$A$3:$G$32,6,FALSE) &gt;= (test!$B$33+VLOOKUP(VLOOKUP($B32,test!$A$2:$I$32,4,FALSE),test!$J$10:$P$14,3,FALSE))/1440),1,0)</f>
        <v>0</v>
      </c>
      <c r="AF32" s="2">
        <f>IF(AND(VLOOKUP(AF$1,test!$A$3:$F$32,5,FALSE) - VLOOKUP($B32,test!$A$3:$G$32,6,FALSE) &gt;= (test!$B$33+VLOOKUP(VLOOKUP($B32,test!$A$2:$I$32,4,FALSE),test!$J$10:$P$14,3,FALSE))/1440),1,0)</f>
        <v>0</v>
      </c>
      <c r="AG32" s="2">
        <f>IF(AND(VLOOKUP(AG$1,test!$A$3:$F$32,5,FALSE) - VLOOKUP($B32,test!$A$3:$G$32,6,FALSE) &gt;= (test!$B$33+VLOOKUP(VLOOKUP($B32,test!$A$2:$I$32,4,FALSE),test!$J$10:$P$14,3,FALSE))/1440),1,0)</f>
        <v>0</v>
      </c>
    </row>
    <row r="33" spans="1:33" x14ac:dyDescent="0.25">
      <c r="A33" t="s">
        <v>90</v>
      </c>
      <c r="B33" t="s">
        <v>46</v>
      </c>
      <c r="C33">
        <v>0</v>
      </c>
      <c r="D33" s="2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 t="s">
        <v>90</v>
      </c>
      <c r="B34" t="s">
        <v>6</v>
      </c>
      <c r="C34">
        <v>0</v>
      </c>
      <c r="D34" s="2">
        <f>IF(AND(VLOOKUP(D$1,test!$A$3:$F$32,5,FALSE) - VLOOKUP($B34,test!$A$3:$G$32,6,FALSE) &gt;= (test!$B$34+VLOOKUP(VLOOKUP($B34,test!$A$2:$I$32,4,FALSE),test!$J$10:$P$14,4,FALSE))/1440),1,0)</f>
        <v>0</v>
      </c>
      <c r="E34" s="2">
        <f>IF(AND(VLOOKUP(E$1,test!$A$3:$F$32,5,FALSE) - VLOOKUP($B34,test!$A$3:$G$32,6,FALSE) &gt;= (test!$B$34+VLOOKUP(VLOOKUP($B34,test!$A$2:$I$32,4,FALSE),test!$J$10:$P$14,4,FALSE))/1440),1,0)</f>
        <v>0</v>
      </c>
      <c r="F34" s="2">
        <f>IF(AND(VLOOKUP(F$1,test!$A$3:$F$32,5,FALSE) - VLOOKUP($B34,test!$A$3:$G$32,6,FALSE) &gt;= (test!$B$34+VLOOKUP(VLOOKUP($B34,test!$A$2:$I$32,4,FALSE),test!$J$10:$P$14,4,FALSE))/1440),1,0)</f>
        <v>0</v>
      </c>
      <c r="G34" s="2">
        <f>IF(AND(VLOOKUP(G$1,test!$A$3:$F$32,5,FALSE) - VLOOKUP($B34,test!$A$3:$G$32,6,FALSE) &gt;= (test!$B$34+VLOOKUP(VLOOKUP($B34,test!$A$2:$I$32,4,FALSE),test!$J$10:$P$14,4,FALSE))/1440),1,0)</f>
        <v>1</v>
      </c>
      <c r="H34" s="2">
        <f>IF(AND(VLOOKUP(H$1,test!$A$3:$F$32,5,FALSE) - VLOOKUP($B34,test!$A$3:$G$32,6,FALSE) &gt;= (test!$B$34+VLOOKUP(VLOOKUP($B34,test!$A$2:$I$32,4,FALSE),test!$J$10:$P$14,4,FALSE))/1440),1,0)</f>
        <v>1</v>
      </c>
      <c r="I34" s="2">
        <f>IF(AND(VLOOKUP(I$1,test!$A$3:$F$32,5,FALSE) - VLOOKUP($B34,test!$A$3:$G$32,6,FALSE) &gt;= (test!$B$34+VLOOKUP(VLOOKUP($B34,test!$A$2:$I$32,4,FALSE),test!$J$10:$P$14,4,FALSE))/1440),1,0)</f>
        <v>1</v>
      </c>
      <c r="J34" s="2">
        <f>IF(AND(VLOOKUP(J$1,test!$A$3:$F$32,5,FALSE) - VLOOKUP($B34,test!$A$3:$G$32,6,FALSE) &gt;= (test!$B$34+VLOOKUP(VLOOKUP($B34,test!$A$2:$I$32,4,FALSE),test!$J$10:$P$14,4,FALSE))/1440),1,0)</f>
        <v>1</v>
      </c>
      <c r="K34" s="2">
        <f>IF(AND(VLOOKUP(K$1,test!$A$3:$F$32,5,FALSE) - VLOOKUP($B34,test!$A$3:$G$32,6,FALSE) &gt;= (test!$B$34+VLOOKUP(VLOOKUP($B34,test!$A$2:$I$32,4,FALSE),test!$J$10:$P$14,4,FALSE))/1440),1,0)</f>
        <v>1</v>
      </c>
      <c r="L34" s="2">
        <f>IF(AND(VLOOKUP(L$1,test!$A$3:$F$32,5,FALSE) - VLOOKUP($B34,test!$A$3:$G$32,6,FALSE) &gt;= (test!$B$34+VLOOKUP(VLOOKUP($B34,test!$A$2:$I$32,4,FALSE),test!$J$10:$P$14,4,FALSE))/1440),1,0)</f>
        <v>0</v>
      </c>
      <c r="M34" s="2">
        <f>IF(AND(VLOOKUP(M$1,test!$A$3:$F$32,5,FALSE) - VLOOKUP($B34,test!$A$3:$G$32,6,FALSE) &gt;= (test!$B$34+VLOOKUP(VLOOKUP($B34,test!$A$2:$I$32,4,FALSE),test!$J$10:$P$14,4,FALSE))/1440),1,0)</f>
        <v>0</v>
      </c>
      <c r="N34" s="2">
        <f>IF(AND(VLOOKUP(N$1,test!$A$3:$F$32,5,FALSE) - VLOOKUP($B34,test!$A$3:$G$32,6,FALSE) &gt;= (test!$B$34+VLOOKUP(VLOOKUP($B34,test!$A$2:$I$32,4,FALSE),test!$J$10:$P$14,4,FALSE))/1440),1,0)</f>
        <v>0</v>
      </c>
      <c r="O34" s="2">
        <f>IF(AND(VLOOKUP(O$1,test!$A$3:$F$32,5,FALSE) - VLOOKUP($B34,test!$A$3:$G$32,6,FALSE) &gt;= (test!$B$34+VLOOKUP(VLOOKUP($B34,test!$A$2:$I$32,4,FALSE),test!$J$10:$P$14,4,FALSE))/1440),1,0)</f>
        <v>1</v>
      </c>
      <c r="P34" s="2">
        <f>IF(AND(VLOOKUP(P$1,test!$A$3:$F$32,5,FALSE) - VLOOKUP($B34,test!$A$3:$G$32,6,FALSE) &gt;= (test!$B$34+VLOOKUP(VLOOKUP($B34,test!$A$2:$I$32,4,FALSE),test!$J$10:$P$14,4,FALSE))/1440),1,0)</f>
        <v>1</v>
      </c>
      <c r="Q34" s="2">
        <f>IF(AND(VLOOKUP(Q$1,test!$A$3:$F$32,5,FALSE) - VLOOKUP($B34,test!$A$3:$G$32,6,FALSE) &gt;= (test!$B$34+VLOOKUP(VLOOKUP($B34,test!$A$2:$I$32,4,FALSE),test!$J$10:$P$14,4,FALSE))/1440),1,0)</f>
        <v>0</v>
      </c>
      <c r="R34" s="2">
        <f>IF(AND(VLOOKUP(R$1,test!$A$3:$F$32,5,FALSE) - VLOOKUP($B34,test!$A$3:$G$32,6,FALSE) &gt;= (test!$B$34+VLOOKUP(VLOOKUP($B34,test!$A$2:$I$32,4,FALSE),test!$J$10:$P$14,4,FALSE))/1440),1,0)</f>
        <v>0</v>
      </c>
      <c r="S34" s="2">
        <f>IF(AND(VLOOKUP(S$1,test!$A$3:$F$32,5,FALSE) - VLOOKUP($B34,test!$A$3:$G$32,6,FALSE) &gt;= (test!$B$34+VLOOKUP(VLOOKUP($B34,test!$A$2:$I$32,4,FALSE),test!$J$10:$P$14,4,FALSE))/1440),1,0)</f>
        <v>0</v>
      </c>
      <c r="T34" s="2">
        <f>IF(AND(VLOOKUP(T$1,test!$A$3:$F$32,5,FALSE) - VLOOKUP($B34,test!$A$3:$G$32,6,FALSE) &gt;= (test!$B$34+VLOOKUP(VLOOKUP($B34,test!$A$2:$I$32,4,FALSE),test!$J$10:$P$14,4,FALSE))/1440),1,0)</f>
        <v>0</v>
      </c>
      <c r="U34" s="2">
        <f>IF(AND(VLOOKUP(U$1,test!$A$3:$F$32,5,FALSE) - VLOOKUP($B34,test!$A$3:$G$32,6,FALSE) &gt;= (test!$B$34+VLOOKUP(VLOOKUP($B34,test!$A$2:$I$32,4,FALSE),test!$J$10:$P$14,4,FALSE))/1440),1,0)</f>
        <v>0</v>
      </c>
      <c r="V34" s="2">
        <f>IF(AND(VLOOKUP(V$1,test!$A$3:$F$32,5,FALSE) - VLOOKUP($B34,test!$A$3:$G$32,6,FALSE) &gt;= (test!$B$34+VLOOKUP(VLOOKUP($B34,test!$A$2:$I$32,4,FALSE),test!$J$10:$P$14,4,FALSE))/1440),1,0)</f>
        <v>1</v>
      </c>
      <c r="W34" s="2">
        <f>IF(AND(VLOOKUP(W$1,test!$A$3:$F$32,5,FALSE) - VLOOKUP($B34,test!$A$3:$G$32,6,FALSE) &gt;= (test!$B$34+VLOOKUP(VLOOKUP($B34,test!$A$2:$I$32,4,FALSE),test!$J$10:$P$14,4,FALSE))/1440),1,0)</f>
        <v>1</v>
      </c>
      <c r="X34" s="2">
        <f>IF(AND(VLOOKUP(X$1,test!$A$3:$F$32,5,FALSE) - VLOOKUP($B34,test!$A$3:$G$32,6,FALSE) &gt;= (test!$B$34+VLOOKUP(VLOOKUP($B34,test!$A$2:$I$32,4,FALSE),test!$J$10:$P$14,4,FALSE))/1440),1,0)</f>
        <v>1</v>
      </c>
      <c r="Y34" s="2">
        <f>IF(AND(VLOOKUP(Y$1,test!$A$3:$F$32,5,FALSE) - VLOOKUP($B34,test!$A$3:$G$32,6,FALSE) &gt;= (test!$B$34+VLOOKUP(VLOOKUP($B34,test!$A$2:$I$32,4,FALSE),test!$J$10:$P$14,4,FALSE))/1440),1,0)</f>
        <v>1</v>
      </c>
      <c r="Z34" s="2">
        <f>IF(AND(VLOOKUP(Z$1,test!$A$3:$F$32,5,FALSE) - VLOOKUP($B34,test!$A$3:$G$32,6,FALSE) &gt;= (test!$B$34+VLOOKUP(VLOOKUP($B34,test!$A$2:$I$32,4,FALSE),test!$J$10:$P$14,4,FALSE))/1440),1,0)</f>
        <v>0</v>
      </c>
      <c r="AA34" s="2">
        <f>IF(AND(VLOOKUP(AA$1,test!$A$3:$F$32,5,FALSE) - VLOOKUP($B34,test!$A$3:$G$32,6,FALSE) &gt;= (test!$B$34+VLOOKUP(VLOOKUP($B34,test!$A$2:$I$32,4,FALSE),test!$J$10:$P$14,4,FALSE))/1440),1,0)</f>
        <v>0</v>
      </c>
      <c r="AB34" s="2">
        <f>IF(AND(VLOOKUP(AB$1,test!$A$3:$F$32,5,FALSE) - VLOOKUP($B34,test!$A$3:$G$32,6,FALSE) &gt;= (test!$B$34+VLOOKUP(VLOOKUP($B34,test!$A$2:$I$32,4,FALSE),test!$J$10:$P$14,4,FALSE))/1440),1,0)</f>
        <v>0</v>
      </c>
      <c r="AC34" s="2">
        <f>IF(AND(VLOOKUP(AC$1,test!$A$3:$F$32,5,FALSE) - VLOOKUP($B34,test!$A$3:$G$32,6,FALSE) &gt;= (test!$B$34+VLOOKUP(VLOOKUP($B34,test!$A$2:$I$32,4,FALSE),test!$J$10:$P$14,4,FALSE))/1440),1,0)</f>
        <v>1</v>
      </c>
      <c r="AD34" s="2">
        <f>IF(AND(VLOOKUP(AD$1,test!$A$3:$F$32,5,FALSE) - VLOOKUP($B34,test!$A$3:$G$32,6,FALSE) &gt;= (test!$B$34+VLOOKUP(VLOOKUP($B34,test!$A$2:$I$32,4,FALSE),test!$J$10:$P$14,4,FALSE))/1440),1,0)</f>
        <v>1</v>
      </c>
      <c r="AE34" s="2">
        <f>IF(AND(VLOOKUP(AE$1,test!$A$3:$F$32,5,FALSE) - VLOOKUP($B34,test!$A$3:$G$32,6,FALSE) &gt;= (test!$B$34+VLOOKUP(VLOOKUP($B34,test!$A$2:$I$32,4,FALSE),test!$J$10:$P$14,4,FALSE))/1440),1,0)</f>
        <v>0</v>
      </c>
      <c r="AF34" s="2">
        <f>IF(AND(VLOOKUP(AF$1,test!$A$3:$F$32,5,FALSE) - VLOOKUP($B34,test!$A$3:$G$32,6,FALSE) &gt;= (test!$B$34+VLOOKUP(VLOOKUP($B34,test!$A$2:$I$32,4,FALSE),test!$J$10:$P$14,4,FALSE))/1440),1,0)</f>
        <v>0</v>
      </c>
      <c r="AG34" s="2">
        <f>IF(AND(VLOOKUP(AG$1,test!$A$3:$F$32,5,FALSE) - VLOOKUP($B34,test!$A$3:$G$32,6,FALSE) &gt;= (test!$B$34+VLOOKUP(VLOOKUP($B34,test!$A$2:$I$32,4,FALSE),test!$J$10:$P$14,4,FALSE))/1440),1,0)</f>
        <v>0</v>
      </c>
    </row>
    <row r="35" spans="1:33" x14ac:dyDescent="0.25">
      <c r="A35" t="s">
        <v>90</v>
      </c>
      <c r="B35" t="s">
        <v>9</v>
      </c>
      <c r="C35">
        <v>0</v>
      </c>
      <c r="D35" s="2">
        <f>IF(AND(VLOOKUP(D$1,test!$A$3:$F$32,5,FALSE) - VLOOKUP($B35,test!$A$3:$G$32,6,FALSE) &gt;= (test!$B$34+VLOOKUP(VLOOKUP($B35,test!$A$2:$I$32,4,FALSE),test!$J$10:$P$14,4,FALSE))/1440),1,0)</f>
        <v>0</v>
      </c>
      <c r="E35" s="2">
        <f>IF(AND(VLOOKUP(E$1,test!$A$3:$F$32,5,FALSE) - VLOOKUP($B35,test!$A$3:$G$32,6,FALSE) &gt;= (test!$B$34+VLOOKUP(VLOOKUP($B35,test!$A$2:$I$32,4,FALSE),test!$J$10:$P$14,4,FALSE))/1440),1,0)</f>
        <v>0</v>
      </c>
      <c r="F35" s="2">
        <f>IF(AND(VLOOKUP(F$1,test!$A$3:$F$32,5,FALSE) - VLOOKUP($B35,test!$A$3:$G$32,6,FALSE) &gt;= (test!$B$34+VLOOKUP(VLOOKUP($B35,test!$A$2:$I$32,4,FALSE),test!$J$10:$P$14,4,FALSE))/1440),1,0)</f>
        <v>0</v>
      </c>
      <c r="G35" s="2">
        <f>IF(AND(VLOOKUP(G$1,test!$A$3:$F$32,5,FALSE) - VLOOKUP($B35,test!$A$3:$G$32,6,FALSE) &gt;= (test!$B$34+VLOOKUP(VLOOKUP($B35,test!$A$2:$I$32,4,FALSE),test!$J$10:$P$14,4,FALSE))/1440),1,0)</f>
        <v>0</v>
      </c>
      <c r="H35" s="2">
        <f>IF(AND(VLOOKUP(H$1,test!$A$3:$F$32,5,FALSE) - VLOOKUP($B35,test!$A$3:$G$32,6,FALSE) &gt;= (test!$B$34+VLOOKUP(VLOOKUP($B35,test!$A$2:$I$32,4,FALSE),test!$J$10:$P$14,4,FALSE))/1440),1,0)</f>
        <v>0</v>
      </c>
      <c r="I35" s="2">
        <f>IF(AND(VLOOKUP(I$1,test!$A$3:$F$32,5,FALSE) - VLOOKUP($B35,test!$A$3:$G$32,6,FALSE) &gt;= (test!$B$34+VLOOKUP(VLOOKUP($B35,test!$A$2:$I$32,4,FALSE),test!$J$10:$P$14,4,FALSE))/1440),1,0)</f>
        <v>0</v>
      </c>
      <c r="J35" s="2">
        <f>IF(AND(VLOOKUP(J$1,test!$A$3:$F$32,5,FALSE) - VLOOKUP($B35,test!$A$3:$G$32,6,FALSE) &gt;= (test!$B$34+VLOOKUP(VLOOKUP($B35,test!$A$2:$I$32,4,FALSE),test!$J$10:$P$14,4,FALSE))/1440),1,0)</f>
        <v>1</v>
      </c>
      <c r="K35" s="2">
        <f>IF(AND(VLOOKUP(K$1,test!$A$3:$F$32,5,FALSE) - VLOOKUP($B35,test!$A$3:$G$32,6,FALSE) &gt;= (test!$B$34+VLOOKUP(VLOOKUP($B35,test!$A$2:$I$32,4,FALSE),test!$J$10:$P$14,4,FALSE))/1440),1,0)</f>
        <v>1</v>
      </c>
      <c r="L35" s="2">
        <f>IF(AND(VLOOKUP(L$1,test!$A$3:$F$32,5,FALSE) - VLOOKUP($B35,test!$A$3:$G$32,6,FALSE) &gt;= (test!$B$34+VLOOKUP(VLOOKUP($B35,test!$A$2:$I$32,4,FALSE),test!$J$10:$P$14,4,FALSE))/1440),1,0)</f>
        <v>0</v>
      </c>
      <c r="M35" s="2">
        <f>IF(AND(VLOOKUP(M$1,test!$A$3:$F$32,5,FALSE) - VLOOKUP($B35,test!$A$3:$G$32,6,FALSE) &gt;= (test!$B$34+VLOOKUP(VLOOKUP($B35,test!$A$2:$I$32,4,FALSE),test!$J$10:$P$14,4,FALSE))/1440),1,0)</f>
        <v>0</v>
      </c>
      <c r="N35" s="2">
        <f>IF(AND(VLOOKUP(N$1,test!$A$3:$F$32,5,FALSE) - VLOOKUP($B35,test!$A$3:$G$32,6,FALSE) &gt;= (test!$B$34+VLOOKUP(VLOOKUP($B35,test!$A$2:$I$32,4,FALSE),test!$J$10:$P$14,4,FALSE))/1440),1,0)</f>
        <v>0</v>
      </c>
      <c r="O35" s="2">
        <f>IF(AND(VLOOKUP(O$1,test!$A$3:$F$32,5,FALSE) - VLOOKUP($B35,test!$A$3:$G$32,6,FALSE) &gt;= (test!$B$34+VLOOKUP(VLOOKUP($B35,test!$A$2:$I$32,4,FALSE),test!$J$10:$P$14,4,FALSE))/1440),1,0)</f>
        <v>1</v>
      </c>
      <c r="P35" s="2">
        <f>IF(AND(VLOOKUP(P$1,test!$A$3:$F$32,5,FALSE) - VLOOKUP($B35,test!$A$3:$G$32,6,FALSE) &gt;= (test!$B$34+VLOOKUP(VLOOKUP($B35,test!$A$2:$I$32,4,FALSE),test!$J$10:$P$14,4,FALSE))/1440),1,0)</f>
        <v>1</v>
      </c>
      <c r="Q35" s="2">
        <f>IF(AND(VLOOKUP(Q$1,test!$A$3:$F$32,5,FALSE) - VLOOKUP($B35,test!$A$3:$G$32,6,FALSE) &gt;= (test!$B$34+VLOOKUP(VLOOKUP($B35,test!$A$2:$I$32,4,FALSE),test!$J$10:$P$14,4,FALSE))/1440),1,0)</f>
        <v>0</v>
      </c>
      <c r="R35" s="2">
        <f>IF(AND(VLOOKUP(R$1,test!$A$3:$F$32,5,FALSE) - VLOOKUP($B35,test!$A$3:$G$32,6,FALSE) &gt;= (test!$B$34+VLOOKUP(VLOOKUP($B35,test!$A$2:$I$32,4,FALSE),test!$J$10:$P$14,4,FALSE))/1440),1,0)</f>
        <v>0</v>
      </c>
      <c r="S35" s="2">
        <f>IF(AND(VLOOKUP(S$1,test!$A$3:$F$32,5,FALSE) - VLOOKUP($B35,test!$A$3:$G$32,6,FALSE) &gt;= (test!$B$34+VLOOKUP(VLOOKUP($B35,test!$A$2:$I$32,4,FALSE),test!$J$10:$P$14,4,FALSE))/1440),1,0)</f>
        <v>0</v>
      </c>
      <c r="T35" s="2">
        <f>IF(AND(VLOOKUP(T$1,test!$A$3:$F$32,5,FALSE) - VLOOKUP($B35,test!$A$3:$G$32,6,FALSE) &gt;= (test!$B$34+VLOOKUP(VLOOKUP($B35,test!$A$2:$I$32,4,FALSE),test!$J$10:$P$14,4,FALSE))/1440),1,0)</f>
        <v>0</v>
      </c>
      <c r="U35" s="2">
        <f>IF(AND(VLOOKUP(U$1,test!$A$3:$F$32,5,FALSE) - VLOOKUP($B35,test!$A$3:$G$32,6,FALSE) &gt;= (test!$B$34+VLOOKUP(VLOOKUP($B35,test!$A$2:$I$32,4,FALSE),test!$J$10:$P$14,4,FALSE))/1440),1,0)</f>
        <v>0</v>
      </c>
      <c r="V35" s="2">
        <f>IF(AND(VLOOKUP(V$1,test!$A$3:$F$32,5,FALSE) - VLOOKUP($B35,test!$A$3:$G$32,6,FALSE) &gt;= (test!$B$34+VLOOKUP(VLOOKUP($B35,test!$A$2:$I$32,4,FALSE),test!$J$10:$P$14,4,FALSE))/1440),1,0)</f>
        <v>0</v>
      </c>
      <c r="W35" s="2">
        <f>IF(AND(VLOOKUP(W$1,test!$A$3:$F$32,5,FALSE) - VLOOKUP($B35,test!$A$3:$G$32,6,FALSE) &gt;= (test!$B$34+VLOOKUP(VLOOKUP($B35,test!$A$2:$I$32,4,FALSE),test!$J$10:$P$14,4,FALSE))/1440),1,0)</f>
        <v>0</v>
      </c>
      <c r="X35" s="2">
        <f>IF(AND(VLOOKUP(X$1,test!$A$3:$F$32,5,FALSE) - VLOOKUP($B35,test!$A$3:$G$32,6,FALSE) &gt;= (test!$B$34+VLOOKUP(VLOOKUP($B35,test!$A$2:$I$32,4,FALSE),test!$J$10:$P$14,4,FALSE))/1440),1,0)</f>
        <v>1</v>
      </c>
      <c r="Y35" s="2">
        <f>IF(AND(VLOOKUP(Y$1,test!$A$3:$F$32,5,FALSE) - VLOOKUP($B35,test!$A$3:$G$32,6,FALSE) &gt;= (test!$B$34+VLOOKUP(VLOOKUP($B35,test!$A$2:$I$32,4,FALSE),test!$J$10:$P$14,4,FALSE))/1440),1,0)</f>
        <v>1</v>
      </c>
      <c r="Z35" s="2">
        <f>IF(AND(VLOOKUP(Z$1,test!$A$3:$F$32,5,FALSE) - VLOOKUP($B35,test!$A$3:$G$32,6,FALSE) &gt;= (test!$B$34+VLOOKUP(VLOOKUP($B35,test!$A$2:$I$32,4,FALSE),test!$J$10:$P$14,4,FALSE))/1440),1,0)</f>
        <v>0</v>
      </c>
      <c r="AA35" s="2">
        <f>IF(AND(VLOOKUP(AA$1,test!$A$3:$F$32,5,FALSE) - VLOOKUP($B35,test!$A$3:$G$32,6,FALSE) &gt;= (test!$B$34+VLOOKUP(VLOOKUP($B35,test!$A$2:$I$32,4,FALSE),test!$J$10:$P$14,4,FALSE))/1440),1,0)</f>
        <v>0</v>
      </c>
      <c r="AB35" s="2">
        <f>IF(AND(VLOOKUP(AB$1,test!$A$3:$F$32,5,FALSE) - VLOOKUP($B35,test!$A$3:$G$32,6,FALSE) &gt;= (test!$B$34+VLOOKUP(VLOOKUP($B35,test!$A$2:$I$32,4,FALSE),test!$J$10:$P$14,4,FALSE))/1440),1,0)</f>
        <v>0</v>
      </c>
      <c r="AC35" s="2">
        <f>IF(AND(VLOOKUP(AC$1,test!$A$3:$F$32,5,FALSE) - VLOOKUP($B35,test!$A$3:$G$32,6,FALSE) &gt;= (test!$B$34+VLOOKUP(VLOOKUP($B35,test!$A$2:$I$32,4,FALSE),test!$J$10:$P$14,4,FALSE))/1440),1,0)</f>
        <v>0</v>
      </c>
      <c r="AD35" s="2">
        <f>IF(AND(VLOOKUP(AD$1,test!$A$3:$F$32,5,FALSE) - VLOOKUP($B35,test!$A$3:$G$32,6,FALSE) &gt;= (test!$B$34+VLOOKUP(VLOOKUP($B35,test!$A$2:$I$32,4,FALSE),test!$J$10:$P$14,4,FALSE))/1440),1,0)</f>
        <v>0</v>
      </c>
      <c r="AE35" s="2">
        <f>IF(AND(VLOOKUP(AE$1,test!$A$3:$F$32,5,FALSE) - VLOOKUP($B35,test!$A$3:$G$32,6,FALSE) &gt;= (test!$B$34+VLOOKUP(VLOOKUP($B35,test!$A$2:$I$32,4,FALSE),test!$J$10:$P$14,4,FALSE))/1440),1,0)</f>
        <v>0</v>
      </c>
      <c r="AF35" s="2">
        <f>IF(AND(VLOOKUP(AF$1,test!$A$3:$F$32,5,FALSE) - VLOOKUP($B35,test!$A$3:$G$32,6,FALSE) &gt;= (test!$B$34+VLOOKUP(VLOOKUP($B35,test!$A$2:$I$32,4,FALSE),test!$J$10:$P$14,4,FALSE))/1440),1,0)</f>
        <v>0</v>
      </c>
      <c r="AG35" s="2">
        <f>IF(AND(VLOOKUP(AG$1,test!$A$3:$F$32,5,FALSE) - VLOOKUP($B35,test!$A$3:$G$32,6,FALSE) &gt;= (test!$B$34+VLOOKUP(VLOOKUP($B35,test!$A$2:$I$32,4,FALSE),test!$J$10:$P$14,4,FALSE))/1440),1,0)</f>
        <v>0</v>
      </c>
    </row>
    <row r="36" spans="1:33" x14ac:dyDescent="0.25">
      <c r="A36" t="s">
        <v>90</v>
      </c>
      <c r="B36" t="s">
        <v>10</v>
      </c>
      <c r="C36">
        <v>0</v>
      </c>
      <c r="D36" s="2">
        <f>IF(AND(VLOOKUP(D$1,test!$A$3:$F$32,5,FALSE) - VLOOKUP($B36,test!$A$3:$G$32,6,FALSE) &gt;= (test!$B$34+VLOOKUP(VLOOKUP($B36,test!$A$2:$I$32,4,FALSE),test!$J$10:$P$14,4,FALSE))/1440),1,0)</f>
        <v>0</v>
      </c>
      <c r="E36" s="2">
        <f>IF(AND(VLOOKUP(E$1,test!$A$3:$F$32,5,FALSE) - VLOOKUP($B36,test!$A$3:$G$32,6,FALSE) &gt;= (test!$B$34+VLOOKUP(VLOOKUP($B36,test!$A$2:$I$32,4,FALSE),test!$J$10:$P$14,4,FALSE))/1440),1,0)</f>
        <v>0</v>
      </c>
      <c r="F36" s="2">
        <f>IF(AND(VLOOKUP(F$1,test!$A$3:$F$32,5,FALSE) - VLOOKUP($B36,test!$A$3:$G$32,6,FALSE) &gt;= (test!$B$34+VLOOKUP(VLOOKUP($B36,test!$A$2:$I$32,4,FALSE),test!$J$10:$P$14,4,FALSE))/1440),1,0)</f>
        <v>0</v>
      </c>
      <c r="G36" s="2">
        <f>IF(AND(VLOOKUP(G$1,test!$A$3:$F$32,5,FALSE) - VLOOKUP($B36,test!$A$3:$G$32,6,FALSE) &gt;= (test!$B$34+VLOOKUP(VLOOKUP($B36,test!$A$2:$I$32,4,FALSE),test!$J$10:$P$14,4,FALSE))/1440),1,0)</f>
        <v>0</v>
      </c>
      <c r="H36" s="2">
        <f>IF(AND(VLOOKUP(H$1,test!$A$3:$F$32,5,FALSE) - VLOOKUP($B36,test!$A$3:$G$32,6,FALSE) &gt;= (test!$B$34+VLOOKUP(VLOOKUP($B36,test!$A$2:$I$32,4,FALSE),test!$J$10:$P$14,4,FALSE))/1440),1,0)</f>
        <v>0</v>
      </c>
      <c r="I36" s="2">
        <f>IF(AND(VLOOKUP(I$1,test!$A$3:$F$32,5,FALSE) - VLOOKUP($B36,test!$A$3:$G$32,6,FALSE) &gt;= (test!$B$34+VLOOKUP(VLOOKUP($B36,test!$A$2:$I$32,4,FALSE),test!$J$10:$P$14,4,FALSE))/1440),1,0)</f>
        <v>0</v>
      </c>
      <c r="J36" s="2">
        <f>IF(AND(VLOOKUP(J$1,test!$A$3:$F$32,5,FALSE) - VLOOKUP($B36,test!$A$3:$G$32,6,FALSE) &gt;= (test!$B$34+VLOOKUP(VLOOKUP($B36,test!$A$2:$I$32,4,FALSE),test!$J$10:$P$14,4,FALSE))/1440),1,0)</f>
        <v>0</v>
      </c>
      <c r="K36" s="2">
        <f>IF(AND(VLOOKUP(K$1,test!$A$3:$F$32,5,FALSE) - VLOOKUP($B36,test!$A$3:$G$32,6,FALSE) &gt;= (test!$B$34+VLOOKUP(VLOOKUP($B36,test!$A$2:$I$32,4,FALSE),test!$J$10:$P$14,4,FALSE))/1440),1,0)</f>
        <v>1</v>
      </c>
      <c r="L36" s="2">
        <f>IF(AND(VLOOKUP(L$1,test!$A$3:$F$32,5,FALSE) - VLOOKUP($B36,test!$A$3:$G$32,6,FALSE) &gt;= (test!$B$34+VLOOKUP(VLOOKUP($B36,test!$A$2:$I$32,4,FALSE),test!$J$10:$P$14,4,FALSE))/1440),1,0)</f>
        <v>0</v>
      </c>
      <c r="M36" s="2">
        <f>IF(AND(VLOOKUP(M$1,test!$A$3:$F$32,5,FALSE) - VLOOKUP($B36,test!$A$3:$G$32,6,FALSE) &gt;= (test!$B$34+VLOOKUP(VLOOKUP($B36,test!$A$2:$I$32,4,FALSE),test!$J$10:$P$14,4,FALSE))/1440),1,0)</f>
        <v>0</v>
      </c>
      <c r="N36" s="2">
        <f>IF(AND(VLOOKUP(N$1,test!$A$3:$F$32,5,FALSE) - VLOOKUP($B36,test!$A$3:$G$32,6,FALSE) &gt;= (test!$B$34+VLOOKUP(VLOOKUP($B36,test!$A$2:$I$32,4,FALSE),test!$J$10:$P$14,4,FALSE))/1440),1,0)</f>
        <v>0</v>
      </c>
      <c r="O36" s="2">
        <f>IF(AND(VLOOKUP(O$1,test!$A$3:$F$32,5,FALSE) - VLOOKUP($B36,test!$A$3:$G$32,6,FALSE) &gt;= (test!$B$34+VLOOKUP(VLOOKUP($B36,test!$A$2:$I$32,4,FALSE),test!$J$10:$P$14,4,FALSE))/1440),1,0)</f>
        <v>0</v>
      </c>
      <c r="P36" s="2">
        <f>IF(AND(VLOOKUP(P$1,test!$A$3:$F$32,5,FALSE) - VLOOKUP($B36,test!$A$3:$G$32,6,FALSE) &gt;= (test!$B$34+VLOOKUP(VLOOKUP($B36,test!$A$2:$I$32,4,FALSE),test!$J$10:$P$14,4,FALSE))/1440),1,0)</f>
        <v>1</v>
      </c>
      <c r="Q36" s="2">
        <f>IF(AND(VLOOKUP(Q$1,test!$A$3:$F$32,5,FALSE) - VLOOKUP($B36,test!$A$3:$G$32,6,FALSE) &gt;= (test!$B$34+VLOOKUP(VLOOKUP($B36,test!$A$2:$I$32,4,FALSE),test!$J$10:$P$14,4,FALSE))/1440),1,0)</f>
        <v>0</v>
      </c>
      <c r="R36" s="2">
        <f>IF(AND(VLOOKUP(R$1,test!$A$3:$F$32,5,FALSE) - VLOOKUP($B36,test!$A$3:$G$32,6,FALSE) &gt;= (test!$B$34+VLOOKUP(VLOOKUP($B36,test!$A$2:$I$32,4,FALSE),test!$J$10:$P$14,4,FALSE))/1440),1,0)</f>
        <v>0</v>
      </c>
      <c r="S36" s="2">
        <f>IF(AND(VLOOKUP(S$1,test!$A$3:$F$32,5,FALSE) - VLOOKUP($B36,test!$A$3:$G$32,6,FALSE) &gt;= (test!$B$34+VLOOKUP(VLOOKUP($B36,test!$A$2:$I$32,4,FALSE),test!$J$10:$P$14,4,FALSE))/1440),1,0)</f>
        <v>0</v>
      </c>
      <c r="T36" s="2">
        <f>IF(AND(VLOOKUP(T$1,test!$A$3:$F$32,5,FALSE) - VLOOKUP($B36,test!$A$3:$G$32,6,FALSE) &gt;= (test!$B$34+VLOOKUP(VLOOKUP($B36,test!$A$2:$I$32,4,FALSE),test!$J$10:$P$14,4,FALSE))/1440),1,0)</f>
        <v>0</v>
      </c>
      <c r="U36" s="2">
        <f>IF(AND(VLOOKUP(U$1,test!$A$3:$F$32,5,FALSE) - VLOOKUP($B36,test!$A$3:$G$32,6,FALSE) &gt;= (test!$B$34+VLOOKUP(VLOOKUP($B36,test!$A$2:$I$32,4,FALSE),test!$J$10:$P$14,4,FALSE))/1440),1,0)</f>
        <v>0</v>
      </c>
      <c r="V36" s="2">
        <f>IF(AND(VLOOKUP(V$1,test!$A$3:$F$32,5,FALSE) - VLOOKUP($B36,test!$A$3:$G$32,6,FALSE) &gt;= (test!$B$34+VLOOKUP(VLOOKUP($B36,test!$A$2:$I$32,4,FALSE),test!$J$10:$P$14,4,FALSE))/1440),1,0)</f>
        <v>0</v>
      </c>
      <c r="W36" s="2">
        <f>IF(AND(VLOOKUP(W$1,test!$A$3:$F$32,5,FALSE) - VLOOKUP($B36,test!$A$3:$G$32,6,FALSE) &gt;= (test!$B$34+VLOOKUP(VLOOKUP($B36,test!$A$2:$I$32,4,FALSE),test!$J$10:$P$14,4,FALSE))/1440),1,0)</f>
        <v>0</v>
      </c>
      <c r="X36" s="2">
        <f>IF(AND(VLOOKUP(X$1,test!$A$3:$F$32,5,FALSE) - VLOOKUP($B36,test!$A$3:$G$32,6,FALSE) &gt;= (test!$B$34+VLOOKUP(VLOOKUP($B36,test!$A$2:$I$32,4,FALSE),test!$J$10:$P$14,4,FALSE))/1440),1,0)</f>
        <v>0</v>
      </c>
      <c r="Y36" s="2">
        <f>IF(AND(VLOOKUP(Y$1,test!$A$3:$F$32,5,FALSE) - VLOOKUP($B36,test!$A$3:$G$32,6,FALSE) &gt;= (test!$B$34+VLOOKUP(VLOOKUP($B36,test!$A$2:$I$32,4,FALSE),test!$J$10:$P$14,4,FALSE))/1440),1,0)</f>
        <v>0</v>
      </c>
      <c r="Z36" s="2">
        <f>IF(AND(VLOOKUP(Z$1,test!$A$3:$F$32,5,FALSE) - VLOOKUP($B36,test!$A$3:$G$32,6,FALSE) &gt;= (test!$B$34+VLOOKUP(VLOOKUP($B36,test!$A$2:$I$32,4,FALSE),test!$J$10:$P$14,4,FALSE))/1440),1,0)</f>
        <v>0</v>
      </c>
      <c r="AA36" s="2">
        <f>IF(AND(VLOOKUP(AA$1,test!$A$3:$F$32,5,FALSE) - VLOOKUP($B36,test!$A$3:$G$32,6,FALSE) &gt;= (test!$B$34+VLOOKUP(VLOOKUP($B36,test!$A$2:$I$32,4,FALSE),test!$J$10:$P$14,4,FALSE))/1440),1,0)</f>
        <v>0</v>
      </c>
      <c r="AB36" s="2">
        <f>IF(AND(VLOOKUP(AB$1,test!$A$3:$F$32,5,FALSE) - VLOOKUP($B36,test!$A$3:$G$32,6,FALSE) &gt;= (test!$B$34+VLOOKUP(VLOOKUP($B36,test!$A$2:$I$32,4,FALSE),test!$J$10:$P$14,4,FALSE))/1440),1,0)</f>
        <v>0</v>
      </c>
      <c r="AC36" s="2">
        <f>IF(AND(VLOOKUP(AC$1,test!$A$3:$F$32,5,FALSE) - VLOOKUP($B36,test!$A$3:$G$32,6,FALSE) &gt;= (test!$B$34+VLOOKUP(VLOOKUP($B36,test!$A$2:$I$32,4,FALSE),test!$J$10:$P$14,4,FALSE))/1440),1,0)</f>
        <v>0</v>
      </c>
      <c r="AD36" s="2">
        <f>IF(AND(VLOOKUP(AD$1,test!$A$3:$F$32,5,FALSE) - VLOOKUP($B36,test!$A$3:$G$32,6,FALSE) &gt;= (test!$B$34+VLOOKUP(VLOOKUP($B36,test!$A$2:$I$32,4,FALSE),test!$J$10:$P$14,4,FALSE))/1440),1,0)</f>
        <v>0</v>
      </c>
      <c r="AE36" s="2">
        <f>IF(AND(VLOOKUP(AE$1,test!$A$3:$F$32,5,FALSE) - VLOOKUP($B36,test!$A$3:$G$32,6,FALSE) &gt;= (test!$B$34+VLOOKUP(VLOOKUP($B36,test!$A$2:$I$32,4,FALSE),test!$J$10:$P$14,4,FALSE))/1440),1,0)</f>
        <v>0</v>
      </c>
      <c r="AF36" s="2">
        <f>IF(AND(VLOOKUP(AF$1,test!$A$3:$F$32,5,FALSE) - VLOOKUP($B36,test!$A$3:$G$32,6,FALSE) &gt;= (test!$B$34+VLOOKUP(VLOOKUP($B36,test!$A$2:$I$32,4,FALSE),test!$J$10:$P$14,4,FALSE))/1440),1,0)</f>
        <v>0</v>
      </c>
      <c r="AG36" s="2">
        <f>IF(AND(VLOOKUP(AG$1,test!$A$3:$F$32,5,FALSE) - VLOOKUP($B36,test!$A$3:$G$32,6,FALSE) &gt;= (test!$B$34+VLOOKUP(VLOOKUP($B36,test!$A$2:$I$32,4,FALSE),test!$J$10:$P$14,4,FALSE))/1440),1,0)</f>
        <v>0</v>
      </c>
    </row>
    <row r="37" spans="1:33" x14ac:dyDescent="0.25">
      <c r="A37" t="s">
        <v>90</v>
      </c>
      <c r="B37" t="s">
        <v>11</v>
      </c>
      <c r="C37">
        <v>0</v>
      </c>
      <c r="D37" s="2">
        <f>IF(AND(VLOOKUP(D$1,test!$A$3:$F$32,5,FALSE) - VLOOKUP($B37,test!$A$3:$G$32,6,FALSE) &gt;= (test!$B$34+VLOOKUP(VLOOKUP($B37,test!$A$2:$I$32,4,FALSE),test!$J$10:$P$14,4,FALSE))/1440),1,0)</f>
        <v>0</v>
      </c>
      <c r="E37" s="2">
        <f>IF(AND(VLOOKUP(E$1,test!$A$3:$F$32,5,FALSE) - VLOOKUP($B37,test!$A$3:$G$32,6,FALSE) &gt;= (test!$B$34+VLOOKUP(VLOOKUP($B37,test!$A$2:$I$32,4,FALSE),test!$J$10:$P$14,4,FALSE))/1440),1,0)</f>
        <v>0</v>
      </c>
      <c r="F37" s="2">
        <f>IF(AND(VLOOKUP(F$1,test!$A$3:$F$32,5,FALSE) - VLOOKUP($B37,test!$A$3:$G$32,6,FALSE) &gt;= (test!$B$34+VLOOKUP(VLOOKUP($B37,test!$A$2:$I$32,4,FALSE),test!$J$10:$P$14,4,FALSE))/1440),1,0)</f>
        <v>0</v>
      </c>
      <c r="G37" s="2">
        <f>IF(AND(VLOOKUP(G$1,test!$A$3:$F$32,5,FALSE) - VLOOKUP($B37,test!$A$3:$G$32,6,FALSE) &gt;= (test!$B$34+VLOOKUP(VLOOKUP($B37,test!$A$2:$I$32,4,FALSE),test!$J$10:$P$14,4,FALSE))/1440),1,0)</f>
        <v>0</v>
      </c>
      <c r="H37" s="2">
        <f>IF(AND(VLOOKUP(H$1,test!$A$3:$F$32,5,FALSE) - VLOOKUP($B37,test!$A$3:$G$32,6,FALSE) &gt;= (test!$B$34+VLOOKUP(VLOOKUP($B37,test!$A$2:$I$32,4,FALSE),test!$J$10:$P$14,4,FALSE))/1440),1,0)</f>
        <v>0</v>
      </c>
      <c r="I37" s="2">
        <f>IF(AND(VLOOKUP(I$1,test!$A$3:$F$32,5,FALSE) - VLOOKUP($B37,test!$A$3:$G$32,6,FALSE) &gt;= (test!$B$34+VLOOKUP(VLOOKUP($B37,test!$A$2:$I$32,4,FALSE),test!$J$10:$P$14,4,FALSE))/1440),1,0)</f>
        <v>0</v>
      </c>
      <c r="J37" s="2">
        <f>IF(AND(VLOOKUP(J$1,test!$A$3:$F$32,5,FALSE) - VLOOKUP($B37,test!$A$3:$G$32,6,FALSE) &gt;= (test!$B$34+VLOOKUP(VLOOKUP($B37,test!$A$2:$I$32,4,FALSE),test!$J$10:$P$14,4,FALSE))/1440),1,0)</f>
        <v>0</v>
      </c>
      <c r="K37" s="2">
        <f>IF(AND(VLOOKUP(K$1,test!$A$3:$F$32,5,FALSE) - VLOOKUP($B37,test!$A$3:$G$32,6,FALSE) &gt;= (test!$B$34+VLOOKUP(VLOOKUP($B37,test!$A$2:$I$32,4,FALSE),test!$J$10:$P$14,4,FALSE))/1440),1,0)</f>
        <v>0</v>
      </c>
      <c r="L37" s="2">
        <f>IF(AND(VLOOKUP(L$1,test!$A$3:$F$32,5,FALSE) - VLOOKUP($B37,test!$A$3:$G$32,6,FALSE) &gt;= (test!$B$34+VLOOKUP(VLOOKUP($B37,test!$A$2:$I$32,4,FALSE),test!$J$10:$P$14,4,FALSE))/1440),1,0)</f>
        <v>0</v>
      </c>
      <c r="M37" s="2">
        <f>IF(AND(VLOOKUP(M$1,test!$A$3:$F$32,5,FALSE) - VLOOKUP($B37,test!$A$3:$G$32,6,FALSE) &gt;= (test!$B$34+VLOOKUP(VLOOKUP($B37,test!$A$2:$I$32,4,FALSE),test!$J$10:$P$14,4,FALSE))/1440),1,0)</f>
        <v>0</v>
      </c>
      <c r="N37" s="2">
        <f>IF(AND(VLOOKUP(N$1,test!$A$3:$F$32,5,FALSE) - VLOOKUP($B37,test!$A$3:$G$32,6,FALSE) &gt;= (test!$B$34+VLOOKUP(VLOOKUP($B37,test!$A$2:$I$32,4,FALSE),test!$J$10:$P$14,4,FALSE))/1440),1,0)</f>
        <v>0</v>
      </c>
      <c r="O37" s="2">
        <f>IF(AND(VLOOKUP(O$1,test!$A$3:$F$32,5,FALSE) - VLOOKUP($B37,test!$A$3:$G$32,6,FALSE) &gt;= (test!$B$34+VLOOKUP(VLOOKUP($B37,test!$A$2:$I$32,4,FALSE),test!$J$10:$P$14,4,FALSE))/1440),1,0)</f>
        <v>0</v>
      </c>
      <c r="P37" s="2">
        <f>IF(AND(VLOOKUP(P$1,test!$A$3:$F$32,5,FALSE) - VLOOKUP($B37,test!$A$3:$G$32,6,FALSE) &gt;= (test!$B$34+VLOOKUP(VLOOKUP($B37,test!$A$2:$I$32,4,FALSE),test!$J$10:$P$14,4,FALSE))/1440),1,0)</f>
        <v>0</v>
      </c>
      <c r="Q37" s="2">
        <f>IF(AND(VLOOKUP(Q$1,test!$A$3:$F$32,5,FALSE) - VLOOKUP($B37,test!$A$3:$G$32,6,FALSE) &gt;= (test!$B$34+VLOOKUP(VLOOKUP($B37,test!$A$2:$I$32,4,FALSE),test!$J$10:$P$14,4,FALSE))/1440),1,0)</f>
        <v>0</v>
      </c>
      <c r="R37" s="2">
        <f>IF(AND(VLOOKUP(R$1,test!$A$3:$F$32,5,FALSE) - VLOOKUP($B37,test!$A$3:$G$32,6,FALSE) &gt;= (test!$B$34+VLOOKUP(VLOOKUP($B37,test!$A$2:$I$32,4,FALSE),test!$J$10:$P$14,4,FALSE))/1440),1,0)</f>
        <v>0</v>
      </c>
      <c r="S37" s="2">
        <f>IF(AND(VLOOKUP(S$1,test!$A$3:$F$32,5,FALSE) - VLOOKUP($B37,test!$A$3:$G$32,6,FALSE) &gt;= (test!$B$34+VLOOKUP(VLOOKUP($B37,test!$A$2:$I$32,4,FALSE),test!$J$10:$P$14,4,FALSE))/1440),1,0)</f>
        <v>0</v>
      </c>
      <c r="T37" s="2">
        <f>IF(AND(VLOOKUP(T$1,test!$A$3:$F$32,5,FALSE) - VLOOKUP($B37,test!$A$3:$G$32,6,FALSE) &gt;= (test!$B$34+VLOOKUP(VLOOKUP($B37,test!$A$2:$I$32,4,FALSE),test!$J$10:$P$14,4,FALSE))/1440),1,0)</f>
        <v>0</v>
      </c>
      <c r="U37" s="2">
        <f>IF(AND(VLOOKUP(U$1,test!$A$3:$F$32,5,FALSE) - VLOOKUP($B37,test!$A$3:$G$32,6,FALSE) &gt;= (test!$B$34+VLOOKUP(VLOOKUP($B37,test!$A$2:$I$32,4,FALSE),test!$J$10:$P$14,4,FALSE))/1440),1,0)</f>
        <v>0</v>
      </c>
      <c r="V37" s="2">
        <f>IF(AND(VLOOKUP(V$1,test!$A$3:$F$32,5,FALSE) - VLOOKUP($B37,test!$A$3:$G$32,6,FALSE) &gt;= (test!$B$34+VLOOKUP(VLOOKUP($B37,test!$A$2:$I$32,4,FALSE),test!$J$10:$P$14,4,FALSE))/1440),1,0)</f>
        <v>0</v>
      </c>
      <c r="W37" s="2">
        <f>IF(AND(VLOOKUP(W$1,test!$A$3:$F$32,5,FALSE) - VLOOKUP($B37,test!$A$3:$G$32,6,FALSE) &gt;= (test!$B$34+VLOOKUP(VLOOKUP($B37,test!$A$2:$I$32,4,FALSE),test!$J$10:$P$14,4,FALSE))/1440),1,0)</f>
        <v>0</v>
      </c>
      <c r="X37" s="2">
        <f>IF(AND(VLOOKUP(X$1,test!$A$3:$F$32,5,FALSE) - VLOOKUP($B37,test!$A$3:$G$32,6,FALSE) &gt;= (test!$B$34+VLOOKUP(VLOOKUP($B37,test!$A$2:$I$32,4,FALSE),test!$J$10:$P$14,4,FALSE))/1440),1,0)</f>
        <v>0</v>
      </c>
      <c r="Y37" s="2">
        <f>IF(AND(VLOOKUP(Y$1,test!$A$3:$F$32,5,FALSE) - VLOOKUP($B37,test!$A$3:$G$32,6,FALSE) &gt;= (test!$B$34+VLOOKUP(VLOOKUP($B37,test!$A$2:$I$32,4,FALSE),test!$J$10:$P$14,4,FALSE))/1440),1,0)</f>
        <v>0</v>
      </c>
      <c r="Z37" s="2">
        <f>IF(AND(VLOOKUP(Z$1,test!$A$3:$F$32,5,FALSE) - VLOOKUP($B37,test!$A$3:$G$32,6,FALSE) &gt;= (test!$B$34+VLOOKUP(VLOOKUP($B37,test!$A$2:$I$32,4,FALSE),test!$J$10:$P$14,4,FALSE))/1440),1,0)</f>
        <v>0</v>
      </c>
      <c r="AA37" s="2">
        <f>IF(AND(VLOOKUP(AA$1,test!$A$3:$F$32,5,FALSE) - VLOOKUP($B37,test!$A$3:$G$32,6,FALSE) &gt;= (test!$B$34+VLOOKUP(VLOOKUP($B37,test!$A$2:$I$32,4,FALSE),test!$J$10:$P$14,4,FALSE))/1440),1,0)</f>
        <v>0</v>
      </c>
      <c r="AB37" s="2">
        <f>IF(AND(VLOOKUP(AB$1,test!$A$3:$F$32,5,FALSE) - VLOOKUP($B37,test!$A$3:$G$32,6,FALSE) &gt;= (test!$B$34+VLOOKUP(VLOOKUP($B37,test!$A$2:$I$32,4,FALSE),test!$J$10:$P$14,4,FALSE))/1440),1,0)</f>
        <v>0</v>
      </c>
      <c r="AC37" s="2">
        <f>IF(AND(VLOOKUP(AC$1,test!$A$3:$F$32,5,FALSE) - VLOOKUP($B37,test!$A$3:$G$32,6,FALSE) &gt;= (test!$B$34+VLOOKUP(VLOOKUP($B37,test!$A$2:$I$32,4,FALSE),test!$J$10:$P$14,4,FALSE))/1440),1,0)</f>
        <v>0</v>
      </c>
      <c r="AD37" s="2">
        <f>IF(AND(VLOOKUP(AD$1,test!$A$3:$F$32,5,FALSE) - VLOOKUP($B37,test!$A$3:$G$32,6,FALSE) &gt;= (test!$B$34+VLOOKUP(VLOOKUP($B37,test!$A$2:$I$32,4,FALSE),test!$J$10:$P$14,4,FALSE))/1440),1,0)</f>
        <v>0</v>
      </c>
      <c r="AE37" s="2">
        <f>IF(AND(VLOOKUP(AE$1,test!$A$3:$F$32,5,FALSE) - VLOOKUP($B37,test!$A$3:$G$32,6,FALSE) &gt;= (test!$B$34+VLOOKUP(VLOOKUP($B37,test!$A$2:$I$32,4,FALSE),test!$J$10:$P$14,4,FALSE))/1440),1,0)</f>
        <v>0</v>
      </c>
      <c r="AF37" s="2">
        <f>IF(AND(VLOOKUP(AF$1,test!$A$3:$F$32,5,FALSE) - VLOOKUP($B37,test!$A$3:$G$32,6,FALSE) &gt;= (test!$B$34+VLOOKUP(VLOOKUP($B37,test!$A$2:$I$32,4,FALSE),test!$J$10:$P$14,4,FALSE))/1440),1,0)</f>
        <v>0</v>
      </c>
      <c r="AG37" s="2">
        <f>IF(AND(VLOOKUP(AG$1,test!$A$3:$F$32,5,FALSE) - VLOOKUP($B37,test!$A$3:$G$32,6,FALSE) &gt;= (test!$B$34+VLOOKUP(VLOOKUP($B37,test!$A$2:$I$32,4,FALSE),test!$J$10:$P$14,4,FALSE))/1440),1,0)</f>
        <v>0</v>
      </c>
    </row>
    <row r="38" spans="1:33" x14ac:dyDescent="0.25">
      <c r="A38" t="s">
        <v>90</v>
      </c>
      <c r="B38" t="s">
        <v>12</v>
      </c>
      <c r="C38">
        <v>0</v>
      </c>
      <c r="D38" s="2">
        <f>IF(AND(VLOOKUP(D$1,test!$A$3:$F$32,5,FALSE) - VLOOKUP($B38,test!$A$3:$G$32,6,FALSE) &gt;= (test!$B$34+VLOOKUP(VLOOKUP($B38,test!$A$2:$I$32,4,FALSE),test!$J$10:$P$14,4,FALSE))/1440),1,0)</f>
        <v>0</v>
      </c>
      <c r="E38" s="2">
        <f>IF(AND(VLOOKUP(E$1,test!$A$3:$F$32,5,FALSE) - VLOOKUP($B38,test!$A$3:$G$32,6,FALSE) &gt;= (test!$B$34+VLOOKUP(VLOOKUP($B38,test!$A$2:$I$32,4,FALSE),test!$J$10:$P$14,4,FALSE))/1440),1,0)</f>
        <v>0</v>
      </c>
      <c r="F38" s="2">
        <f>IF(AND(VLOOKUP(F$1,test!$A$3:$F$32,5,FALSE) - VLOOKUP($B38,test!$A$3:$G$32,6,FALSE) &gt;= (test!$B$34+VLOOKUP(VLOOKUP($B38,test!$A$2:$I$32,4,FALSE),test!$J$10:$P$14,4,FALSE))/1440),1,0)</f>
        <v>0</v>
      </c>
      <c r="G38" s="2">
        <f>IF(AND(VLOOKUP(G$1,test!$A$3:$F$32,5,FALSE) - VLOOKUP($B38,test!$A$3:$G$32,6,FALSE) &gt;= (test!$B$34+VLOOKUP(VLOOKUP($B38,test!$A$2:$I$32,4,FALSE),test!$J$10:$P$14,4,FALSE))/1440),1,0)</f>
        <v>0</v>
      </c>
      <c r="H38" s="2">
        <f>IF(AND(VLOOKUP(H$1,test!$A$3:$F$32,5,FALSE) - VLOOKUP($B38,test!$A$3:$G$32,6,FALSE) &gt;= (test!$B$34+VLOOKUP(VLOOKUP($B38,test!$A$2:$I$32,4,FALSE),test!$J$10:$P$14,4,FALSE))/1440),1,0)</f>
        <v>0</v>
      </c>
      <c r="I38" s="2">
        <f>IF(AND(VLOOKUP(I$1,test!$A$3:$F$32,5,FALSE) - VLOOKUP($B38,test!$A$3:$G$32,6,FALSE) &gt;= (test!$B$34+VLOOKUP(VLOOKUP($B38,test!$A$2:$I$32,4,FALSE),test!$J$10:$P$14,4,FALSE))/1440),1,0)</f>
        <v>0</v>
      </c>
      <c r="J38" s="2">
        <f>IF(AND(VLOOKUP(J$1,test!$A$3:$F$32,5,FALSE) - VLOOKUP($B38,test!$A$3:$G$32,6,FALSE) &gt;= (test!$B$34+VLOOKUP(VLOOKUP($B38,test!$A$2:$I$32,4,FALSE),test!$J$10:$P$14,4,FALSE))/1440),1,0)</f>
        <v>0</v>
      </c>
      <c r="K38" s="2">
        <f>IF(AND(VLOOKUP(K$1,test!$A$3:$F$32,5,FALSE) - VLOOKUP($B38,test!$A$3:$G$32,6,FALSE) &gt;= (test!$B$34+VLOOKUP(VLOOKUP($B38,test!$A$2:$I$32,4,FALSE),test!$J$10:$P$14,4,FALSE))/1440),1,0)</f>
        <v>0</v>
      </c>
      <c r="L38" s="2">
        <f>IF(AND(VLOOKUP(L$1,test!$A$3:$F$32,5,FALSE) - VLOOKUP($B38,test!$A$3:$G$32,6,FALSE) &gt;= (test!$B$34+VLOOKUP(VLOOKUP($B38,test!$A$2:$I$32,4,FALSE),test!$J$10:$P$14,4,FALSE))/1440),1,0)</f>
        <v>0</v>
      </c>
      <c r="M38" s="2">
        <f>IF(AND(VLOOKUP(M$1,test!$A$3:$F$32,5,FALSE) - VLOOKUP($B38,test!$A$3:$G$32,6,FALSE) &gt;= (test!$B$34+VLOOKUP(VLOOKUP($B38,test!$A$2:$I$32,4,FALSE),test!$J$10:$P$14,4,FALSE))/1440),1,0)</f>
        <v>0</v>
      </c>
      <c r="N38" s="2">
        <f>IF(AND(VLOOKUP(N$1,test!$A$3:$F$32,5,FALSE) - VLOOKUP($B38,test!$A$3:$G$32,6,FALSE) &gt;= (test!$B$34+VLOOKUP(VLOOKUP($B38,test!$A$2:$I$32,4,FALSE),test!$J$10:$P$14,4,FALSE))/1440),1,0)</f>
        <v>0</v>
      </c>
      <c r="O38" s="2">
        <f>IF(AND(VLOOKUP(O$1,test!$A$3:$F$32,5,FALSE) - VLOOKUP($B38,test!$A$3:$G$32,6,FALSE) &gt;= (test!$B$34+VLOOKUP(VLOOKUP($B38,test!$A$2:$I$32,4,FALSE),test!$J$10:$P$14,4,FALSE))/1440),1,0)</f>
        <v>0</v>
      </c>
      <c r="P38" s="2">
        <f>IF(AND(VLOOKUP(P$1,test!$A$3:$F$32,5,FALSE) - VLOOKUP($B38,test!$A$3:$G$32,6,FALSE) &gt;= (test!$B$34+VLOOKUP(VLOOKUP($B38,test!$A$2:$I$32,4,FALSE),test!$J$10:$P$14,4,FALSE))/1440),1,0)</f>
        <v>0</v>
      </c>
      <c r="Q38" s="2">
        <f>IF(AND(VLOOKUP(Q$1,test!$A$3:$F$32,5,FALSE) - VLOOKUP($B38,test!$A$3:$G$32,6,FALSE) &gt;= (test!$B$34+VLOOKUP(VLOOKUP($B38,test!$A$2:$I$32,4,FALSE),test!$J$10:$P$14,4,FALSE))/1440),1,0)</f>
        <v>0</v>
      </c>
      <c r="R38" s="2">
        <f>IF(AND(VLOOKUP(R$1,test!$A$3:$F$32,5,FALSE) - VLOOKUP($B38,test!$A$3:$G$32,6,FALSE) &gt;= (test!$B$34+VLOOKUP(VLOOKUP($B38,test!$A$2:$I$32,4,FALSE),test!$J$10:$P$14,4,FALSE))/1440),1,0)</f>
        <v>0</v>
      </c>
      <c r="S38" s="2">
        <f>IF(AND(VLOOKUP(S$1,test!$A$3:$F$32,5,FALSE) - VLOOKUP($B38,test!$A$3:$G$32,6,FALSE) &gt;= (test!$B$34+VLOOKUP(VLOOKUP($B38,test!$A$2:$I$32,4,FALSE),test!$J$10:$P$14,4,FALSE))/1440),1,0)</f>
        <v>0</v>
      </c>
      <c r="T38" s="2">
        <f>IF(AND(VLOOKUP(T$1,test!$A$3:$F$32,5,FALSE) - VLOOKUP($B38,test!$A$3:$G$32,6,FALSE) &gt;= (test!$B$34+VLOOKUP(VLOOKUP($B38,test!$A$2:$I$32,4,FALSE),test!$J$10:$P$14,4,FALSE))/1440),1,0)</f>
        <v>0</v>
      </c>
      <c r="U38" s="2">
        <f>IF(AND(VLOOKUP(U$1,test!$A$3:$F$32,5,FALSE) - VLOOKUP($B38,test!$A$3:$G$32,6,FALSE) &gt;= (test!$B$34+VLOOKUP(VLOOKUP($B38,test!$A$2:$I$32,4,FALSE),test!$J$10:$P$14,4,FALSE))/1440),1,0)</f>
        <v>0</v>
      </c>
      <c r="V38" s="2">
        <f>IF(AND(VLOOKUP(V$1,test!$A$3:$F$32,5,FALSE) - VLOOKUP($B38,test!$A$3:$G$32,6,FALSE) &gt;= (test!$B$34+VLOOKUP(VLOOKUP($B38,test!$A$2:$I$32,4,FALSE),test!$J$10:$P$14,4,FALSE))/1440),1,0)</f>
        <v>0</v>
      </c>
      <c r="W38" s="2">
        <f>IF(AND(VLOOKUP(W$1,test!$A$3:$F$32,5,FALSE) - VLOOKUP($B38,test!$A$3:$G$32,6,FALSE) &gt;= (test!$B$34+VLOOKUP(VLOOKUP($B38,test!$A$2:$I$32,4,FALSE),test!$J$10:$P$14,4,FALSE))/1440),1,0)</f>
        <v>0</v>
      </c>
      <c r="X38" s="2">
        <f>IF(AND(VLOOKUP(X$1,test!$A$3:$F$32,5,FALSE) - VLOOKUP($B38,test!$A$3:$G$32,6,FALSE) &gt;= (test!$B$34+VLOOKUP(VLOOKUP($B38,test!$A$2:$I$32,4,FALSE),test!$J$10:$P$14,4,FALSE))/1440),1,0)</f>
        <v>0</v>
      </c>
      <c r="Y38" s="2">
        <f>IF(AND(VLOOKUP(Y$1,test!$A$3:$F$32,5,FALSE) - VLOOKUP($B38,test!$A$3:$G$32,6,FALSE) &gt;= (test!$B$34+VLOOKUP(VLOOKUP($B38,test!$A$2:$I$32,4,FALSE),test!$J$10:$P$14,4,FALSE))/1440),1,0)</f>
        <v>0</v>
      </c>
      <c r="Z38" s="2">
        <f>IF(AND(VLOOKUP(Z$1,test!$A$3:$F$32,5,FALSE) - VLOOKUP($B38,test!$A$3:$G$32,6,FALSE) &gt;= (test!$B$34+VLOOKUP(VLOOKUP($B38,test!$A$2:$I$32,4,FALSE),test!$J$10:$P$14,4,FALSE))/1440),1,0)</f>
        <v>0</v>
      </c>
      <c r="AA38" s="2">
        <f>IF(AND(VLOOKUP(AA$1,test!$A$3:$F$32,5,FALSE) - VLOOKUP($B38,test!$A$3:$G$32,6,FALSE) &gt;= (test!$B$34+VLOOKUP(VLOOKUP($B38,test!$A$2:$I$32,4,FALSE),test!$J$10:$P$14,4,FALSE))/1440),1,0)</f>
        <v>0</v>
      </c>
      <c r="AB38" s="2">
        <f>IF(AND(VLOOKUP(AB$1,test!$A$3:$F$32,5,FALSE) - VLOOKUP($B38,test!$A$3:$G$32,6,FALSE) &gt;= (test!$B$34+VLOOKUP(VLOOKUP($B38,test!$A$2:$I$32,4,FALSE),test!$J$10:$P$14,4,FALSE))/1440),1,0)</f>
        <v>0</v>
      </c>
      <c r="AC38" s="2">
        <f>IF(AND(VLOOKUP(AC$1,test!$A$3:$F$32,5,FALSE) - VLOOKUP($B38,test!$A$3:$G$32,6,FALSE) &gt;= (test!$B$34+VLOOKUP(VLOOKUP($B38,test!$A$2:$I$32,4,FALSE),test!$J$10:$P$14,4,FALSE))/1440),1,0)</f>
        <v>0</v>
      </c>
      <c r="AD38" s="2">
        <f>IF(AND(VLOOKUP(AD$1,test!$A$3:$F$32,5,FALSE) - VLOOKUP($B38,test!$A$3:$G$32,6,FALSE) &gt;= (test!$B$34+VLOOKUP(VLOOKUP($B38,test!$A$2:$I$32,4,FALSE),test!$J$10:$P$14,4,FALSE))/1440),1,0)</f>
        <v>0</v>
      </c>
      <c r="AE38" s="2">
        <f>IF(AND(VLOOKUP(AE$1,test!$A$3:$F$32,5,FALSE) - VLOOKUP($B38,test!$A$3:$G$32,6,FALSE) &gt;= (test!$B$34+VLOOKUP(VLOOKUP($B38,test!$A$2:$I$32,4,FALSE),test!$J$10:$P$14,4,FALSE))/1440),1,0)</f>
        <v>0</v>
      </c>
      <c r="AF38" s="2">
        <f>IF(AND(VLOOKUP(AF$1,test!$A$3:$F$32,5,FALSE) - VLOOKUP($B38,test!$A$3:$G$32,6,FALSE) &gt;= (test!$B$34+VLOOKUP(VLOOKUP($B38,test!$A$2:$I$32,4,FALSE),test!$J$10:$P$14,4,FALSE))/1440),1,0)</f>
        <v>0</v>
      </c>
      <c r="AG38" s="2">
        <f>IF(AND(VLOOKUP(AG$1,test!$A$3:$F$32,5,FALSE) - VLOOKUP($B38,test!$A$3:$G$32,6,FALSE) &gt;= (test!$B$34+VLOOKUP(VLOOKUP($B38,test!$A$2:$I$32,4,FALSE),test!$J$10:$P$14,4,FALSE))/1440),1,0)</f>
        <v>0</v>
      </c>
    </row>
    <row r="39" spans="1:33" x14ac:dyDescent="0.25">
      <c r="A39" t="s">
        <v>90</v>
      </c>
      <c r="B39" t="s">
        <v>13</v>
      </c>
      <c r="C39">
        <v>0</v>
      </c>
      <c r="D39" s="2">
        <f>IF(AND(VLOOKUP(D$1,test!$A$3:$F$32,5,FALSE) - VLOOKUP($B39,test!$A$3:$G$32,6,FALSE) &gt;= (test!$B$34+VLOOKUP(VLOOKUP($B39,test!$A$2:$I$32,4,FALSE),test!$J$10:$P$14,4,FALSE))/1440),1,0)</f>
        <v>0</v>
      </c>
      <c r="E39" s="2">
        <f>IF(AND(VLOOKUP(E$1,test!$A$3:$F$32,5,FALSE) - VLOOKUP($B39,test!$A$3:$G$32,6,FALSE) &gt;= (test!$B$34+VLOOKUP(VLOOKUP($B39,test!$A$2:$I$32,4,FALSE),test!$J$10:$P$14,4,FALSE))/1440),1,0)</f>
        <v>0</v>
      </c>
      <c r="F39" s="2">
        <f>IF(AND(VLOOKUP(F$1,test!$A$3:$F$32,5,FALSE) - VLOOKUP($B39,test!$A$3:$G$32,6,FALSE) &gt;= (test!$B$34+VLOOKUP(VLOOKUP($B39,test!$A$2:$I$32,4,FALSE),test!$J$10:$P$14,4,FALSE))/1440),1,0)</f>
        <v>0</v>
      </c>
      <c r="G39" s="2">
        <f>IF(AND(VLOOKUP(G$1,test!$A$3:$F$32,5,FALSE) - VLOOKUP($B39,test!$A$3:$G$32,6,FALSE) &gt;= (test!$B$34+VLOOKUP(VLOOKUP($B39,test!$A$2:$I$32,4,FALSE),test!$J$10:$P$14,4,FALSE))/1440),1,0)</f>
        <v>0</v>
      </c>
      <c r="H39" s="2">
        <f>IF(AND(VLOOKUP(H$1,test!$A$3:$F$32,5,FALSE) - VLOOKUP($B39,test!$A$3:$G$32,6,FALSE) &gt;= (test!$B$34+VLOOKUP(VLOOKUP($B39,test!$A$2:$I$32,4,FALSE),test!$J$10:$P$14,4,FALSE))/1440),1,0)</f>
        <v>0</v>
      </c>
      <c r="I39" s="2">
        <f>IF(AND(VLOOKUP(I$1,test!$A$3:$F$32,5,FALSE) - VLOOKUP($B39,test!$A$3:$G$32,6,FALSE) &gt;= (test!$B$34+VLOOKUP(VLOOKUP($B39,test!$A$2:$I$32,4,FALSE),test!$J$10:$P$14,4,FALSE))/1440),1,0)</f>
        <v>0</v>
      </c>
      <c r="J39" s="2">
        <f>IF(AND(VLOOKUP(J$1,test!$A$3:$F$32,5,FALSE) - VLOOKUP($B39,test!$A$3:$G$32,6,FALSE) &gt;= (test!$B$34+VLOOKUP(VLOOKUP($B39,test!$A$2:$I$32,4,FALSE),test!$J$10:$P$14,4,FALSE))/1440),1,0)</f>
        <v>0</v>
      </c>
      <c r="K39" s="2">
        <f>IF(AND(VLOOKUP(K$1,test!$A$3:$F$32,5,FALSE) - VLOOKUP($B39,test!$A$3:$G$32,6,FALSE) &gt;= (test!$B$34+VLOOKUP(VLOOKUP($B39,test!$A$2:$I$32,4,FALSE),test!$J$10:$P$14,4,FALSE))/1440),1,0)</f>
        <v>0</v>
      </c>
      <c r="L39" s="2">
        <f>IF(AND(VLOOKUP(L$1,test!$A$3:$F$32,5,FALSE) - VLOOKUP($B39,test!$A$3:$G$32,6,FALSE) &gt;= (test!$B$34+VLOOKUP(VLOOKUP($B39,test!$A$2:$I$32,4,FALSE),test!$J$10:$P$14,4,FALSE))/1440),1,0)</f>
        <v>0</v>
      </c>
      <c r="M39" s="2">
        <f>IF(AND(VLOOKUP(M$1,test!$A$3:$F$32,5,FALSE) - VLOOKUP($B39,test!$A$3:$G$32,6,FALSE) &gt;= (test!$B$34+VLOOKUP(VLOOKUP($B39,test!$A$2:$I$32,4,FALSE),test!$J$10:$P$14,4,FALSE))/1440),1,0)</f>
        <v>0</v>
      </c>
      <c r="N39" s="2">
        <f>IF(AND(VLOOKUP(N$1,test!$A$3:$F$32,5,FALSE) - VLOOKUP($B39,test!$A$3:$G$32,6,FALSE) &gt;= (test!$B$34+VLOOKUP(VLOOKUP($B39,test!$A$2:$I$32,4,FALSE),test!$J$10:$P$14,4,FALSE))/1440),1,0)</f>
        <v>0</v>
      </c>
      <c r="O39" s="2">
        <f>IF(AND(VLOOKUP(O$1,test!$A$3:$F$32,5,FALSE) - VLOOKUP($B39,test!$A$3:$G$32,6,FALSE) &gt;= (test!$B$34+VLOOKUP(VLOOKUP($B39,test!$A$2:$I$32,4,FALSE),test!$J$10:$P$14,4,FALSE))/1440),1,0)</f>
        <v>0</v>
      </c>
      <c r="P39" s="2">
        <f>IF(AND(VLOOKUP(P$1,test!$A$3:$F$32,5,FALSE) - VLOOKUP($B39,test!$A$3:$G$32,6,FALSE) &gt;= (test!$B$34+VLOOKUP(VLOOKUP($B39,test!$A$2:$I$32,4,FALSE),test!$J$10:$P$14,4,FALSE))/1440),1,0)</f>
        <v>0</v>
      </c>
      <c r="Q39" s="2">
        <f>IF(AND(VLOOKUP(Q$1,test!$A$3:$F$32,5,FALSE) - VLOOKUP($B39,test!$A$3:$G$32,6,FALSE) &gt;= (test!$B$34+VLOOKUP(VLOOKUP($B39,test!$A$2:$I$32,4,FALSE),test!$J$10:$P$14,4,FALSE))/1440),1,0)</f>
        <v>0</v>
      </c>
      <c r="R39" s="2">
        <f>IF(AND(VLOOKUP(R$1,test!$A$3:$F$32,5,FALSE) - VLOOKUP($B39,test!$A$3:$G$32,6,FALSE) &gt;= (test!$B$34+VLOOKUP(VLOOKUP($B39,test!$A$2:$I$32,4,FALSE),test!$J$10:$P$14,4,FALSE))/1440),1,0)</f>
        <v>0</v>
      </c>
      <c r="S39" s="2">
        <f>IF(AND(VLOOKUP(S$1,test!$A$3:$F$32,5,FALSE) - VLOOKUP($B39,test!$A$3:$G$32,6,FALSE) &gt;= (test!$B$34+VLOOKUP(VLOOKUP($B39,test!$A$2:$I$32,4,FALSE),test!$J$10:$P$14,4,FALSE))/1440),1,0)</f>
        <v>0</v>
      </c>
      <c r="T39" s="2">
        <f>IF(AND(VLOOKUP(T$1,test!$A$3:$F$32,5,FALSE) - VLOOKUP($B39,test!$A$3:$G$32,6,FALSE) &gt;= (test!$B$34+VLOOKUP(VLOOKUP($B39,test!$A$2:$I$32,4,FALSE),test!$J$10:$P$14,4,FALSE))/1440),1,0)</f>
        <v>0</v>
      </c>
      <c r="U39" s="2">
        <f>IF(AND(VLOOKUP(U$1,test!$A$3:$F$32,5,FALSE) - VLOOKUP($B39,test!$A$3:$G$32,6,FALSE) &gt;= (test!$B$34+VLOOKUP(VLOOKUP($B39,test!$A$2:$I$32,4,FALSE),test!$J$10:$P$14,4,FALSE))/1440),1,0)</f>
        <v>0</v>
      </c>
      <c r="V39" s="2">
        <f>IF(AND(VLOOKUP(V$1,test!$A$3:$F$32,5,FALSE) - VLOOKUP($B39,test!$A$3:$G$32,6,FALSE) &gt;= (test!$B$34+VLOOKUP(VLOOKUP($B39,test!$A$2:$I$32,4,FALSE),test!$J$10:$P$14,4,FALSE))/1440),1,0)</f>
        <v>0</v>
      </c>
      <c r="W39" s="2">
        <f>IF(AND(VLOOKUP(W$1,test!$A$3:$F$32,5,FALSE) - VLOOKUP($B39,test!$A$3:$G$32,6,FALSE) &gt;= (test!$B$34+VLOOKUP(VLOOKUP($B39,test!$A$2:$I$32,4,FALSE),test!$J$10:$P$14,4,FALSE))/1440),1,0)</f>
        <v>0</v>
      </c>
      <c r="X39" s="2">
        <f>IF(AND(VLOOKUP(X$1,test!$A$3:$F$32,5,FALSE) - VLOOKUP($B39,test!$A$3:$G$32,6,FALSE) &gt;= (test!$B$34+VLOOKUP(VLOOKUP($B39,test!$A$2:$I$32,4,FALSE),test!$J$10:$P$14,4,FALSE))/1440),1,0)</f>
        <v>0</v>
      </c>
      <c r="Y39" s="2">
        <f>IF(AND(VLOOKUP(Y$1,test!$A$3:$F$32,5,FALSE) - VLOOKUP($B39,test!$A$3:$G$32,6,FALSE) &gt;= (test!$B$34+VLOOKUP(VLOOKUP($B39,test!$A$2:$I$32,4,FALSE),test!$J$10:$P$14,4,FALSE))/1440),1,0)</f>
        <v>0</v>
      </c>
      <c r="Z39" s="2">
        <f>IF(AND(VLOOKUP(Z$1,test!$A$3:$F$32,5,FALSE) - VLOOKUP($B39,test!$A$3:$G$32,6,FALSE) &gt;= (test!$B$34+VLOOKUP(VLOOKUP($B39,test!$A$2:$I$32,4,FALSE),test!$J$10:$P$14,4,FALSE))/1440),1,0)</f>
        <v>0</v>
      </c>
      <c r="AA39" s="2">
        <f>IF(AND(VLOOKUP(AA$1,test!$A$3:$F$32,5,FALSE) - VLOOKUP($B39,test!$A$3:$G$32,6,FALSE) &gt;= (test!$B$34+VLOOKUP(VLOOKUP($B39,test!$A$2:$I$32,4,FALSE),test!$J$10:$P$14,4,FALSE))/1440),1,0)</f>
        <v>0</v>
      </c>
      <c r="AB39" s="2">
        <f>IF(AND(VLOOKUP(AB$1,test!$A$3:$F$32,5,FALSE) - VLOOKUP($B39,test!$A$3:$G$32,6,FALSE) &gt;= (test!$B$34+VLOOKUP(VLOOKUP($B39,test!$A$2:$I$32,4,FALSE),test!$J$10:$P$14,4,FALSE))/1440),1,0)</f>
        <v>0</v>
      </c>
      <c r="AC39" s="2">
        <f>IF(AND(VLOOKUP(AC$1,test!$A$3:$F$32,5,FALSE) - VLOOKUP($B39,test!$A$3:$G$32,6,FALSE) &gt;= (test!$B$34+VLOOKUP(VLOOKUP($B39,test!$A$2:$I$32,4,FALSE),test!$J$10:$P$14,4,FALSE))/1440),1,0)</f>
        <v>0</v>
      </c>
      <c r="AD39" s="2">
        <f>IF(AND(VLOOKUP(AD$1,test!$A$3:$F$32,5,FALSE) - VLOOKUP($B39,test!$A$3:$G$32,6,FALSE) &gt;= (test!$B$34+VLOOKUP(VLOOKUP($B39,test!$A$2:$I$32,4,FALSE),test!$J$10:$P$14,4,FALSE))/1440),1,0)</f>
        <v>0</v>
      </c>
      <c r="AE39" s="2">
        <f>IF(AND(VLOOKUP(AE$1,test!$A$3:$F$32,5,FALSE) - VLOOKUP($B39,test!$A$3:$G$32,6,FALSE) &gt;= (test!$B$34+VLOOKUP(VLOOKUP($B39,test!$A$2:$I$32,4,FALSE),test!$J$10:$P$14,4,FALSE))/1440),1,0)</f>
        <v>0</v>
      </c>
      <c r="AF39" s="2">
        <f>IF(AND(VLOOKUP(AF$1,test!$A$3:$F$32,5,FALSE) - VLOOKUP($B39,test!$A$3:$G$32,6,FALSE) &gt;= (test!$B$34+VLOOKUP(VLOOKUP($B39,test!$A$2:$I$32,4,FALSE),test!$J$10:$P$14,4,FALSE))/1440),1,0)</f>
        <v>0</v>
      </c>
      <c r="AG39" s="2">
        <f>IF(AND(VLOOKUP(AG$1,test!$A$3:$F$32,5,FALSE) - VLOOKUP($B39,test!$A$3:$G$32,6,FALSE) &gt;= (test!$B$34+VLOOKUP(VLOOKUP($B39,test!$A$2:$I$32,4,FALSE),test!$J$10:$P$14,4,FALSE))/1440),1,0)</f>
        <v>0</v>
      </c>
    </row>
    <row r="40" spans="1:33" x14ac:dyDescent="0.25">
      <c r="A40" t="s">
        <v>90</v>
      </c>
      <c r="B40" t="s">
        <v>14</v>
      </c>
      <c r="C40">
        <v>0</v>
      </c>
      <c r="D40" s="2">
        <f>IF(AND(VLOOKUP(D$1,test!$A$3:$F$32,5,FALSE) - VLOOKUP($B40,test!$A$3:$G$32,6,FALSE) &gt;= (test!$B$34+VLOOKUP(VLOOKUP($B40,test!$A$2:$I$32,4,FALSE),test!$J$10:$P$14,4,FALSE))/1440),1,0)</f>
        <v>0</v>
      </c>
      <c r="E40" s="2">
        <f>IF(AND(VLOOKUP(E$1,test!$A$3:$F$32,5,FALSE) - VLOOKUP($B40,test!$A$3:$G$32,6,FALSE) &gt;= (test!$B$34+VLOOKUP(VLOOKUP($B40,test!$A$2:$I$32,4,FALSE),test!$J$10:$P$14,4,FALSE))/1440),1,0)</f>
        <v>0</v>
      </c>
      <c r="F40" s="2">
        <f>IF(AND(VLOOKUP(F$1,test!$A$3:$F$32,5,FALSE) - VLOOKUP($B40,test!$A$3:$G$32,6,FALSE) &gt;= (test!$B$34+VLOOKUP(VLOOKUP($B40,test!$A$2:$I$32,4,FALSE),test!$J$10:$P$14,4,FALSE))/1440),1,0)</f>
        <v>0</v>
      </c>
      <c r="G40" s="2">
        <f>IF(AND(VLOOKUP(G$1,test!$A$3:$F$32,5,FALSE) - VLOOKUP($B40,test!$A$3:$G$32,6,FALSE) &gt;= (test!$B$34+VLOOKUP(VLOOKUP($B40,test!$A$2:$I$32,4,FALSE),test!$J$10:$P$14,4,FALSE))/1440),1,0)</f>
        <v>0</v>
      </c>
      <c r="H40" s="2">
        <f>IF(AND(VLOOKUP(H$1,test!$A$3:$F$32,5,FALSE) - VLOOKUP($B40,test!$A$3:$G$32,6,FALSE) &gt;= (test!$B$34+VLOOKUP(VLOOKUP($B40,test!$A$2:$I$32,4,FALSE),test!$J$10:$P$14,4,FALSE))/1440),1,0)</f>
        <v>0</v>
      </c>
      <c r="I40" s="2">
        <f>IF(AND(VLOOKUP(I$1,test!$A$3:$F$32,5,FALSE) - VLOOKUP($B40,test!$A$3:$G$32,6,FALSE) &gt;= (test!$B$34+VLOOKUP(VLOOKUP($B40,test!$A$2:$I$32,4,FALSE),test!$J$10:$P$14,4,FALSE))/1440),1,0)</f>
        <v>0</v>
      </c>
      <c r="J40" s="2">
        <f>IF(AND(VLOOKUP(J$1,test!$A$3:$F$32,5,FALSE) - VLOOKUP($B40,test!$A$3:$G$32,6,FALSE) &gt;= (test!$B$34+VLOOKUP(VLOOKUP($B40,test!$A$2:$I$32,4,FALSE),test!$J$10:$P$14,4,FALSE))/1440),1,0)</f>
        <v>0</v>
      </c>
      <c r="K40" s="2">
        <f>IF(AND(VLOOKUP(K$1,test!$A$3:$F$32,5,FALSE) - VLOOKUP($B40,test!$A$3:$G$32,6,FALSE) &gt;= (test!$B$34+VLOOKUP(VLOOKUP($B40,test!$A$2:$I$32,4,FALSE),test!$J$10:$P$14,4,FALSE))/1440),1,0)</f>
        <v>0</v>
      </c>
      <c r="L40" s="2">
        <f>IF(AND(VLOOKUP(L$1,test!$A$3:$F$32,5,FALSE) - VLOOKUP($B40,test!$A$3:$G$32,6,FALSE) &gt;= (test!$B$34+VLOOKUP(VLOOKUP($B40,test!$A$2:$I$32,4,FALSE),test!$J$10:$P$14,4,FALSE))/1440),1,0)</f>
        <v>0</v>
      </c>
      <c r="M40" s="2">
        <f>IF(AND(VLOOKUP(M$1,test!$A$3:$F$32,5,FALSE) - VLOOKUP($B40,test!$A$3:$G$32,6,FALSE) &gt;= (test!$B$34+VLOOKUP(VLOOKUP($B40,test!$A$2:$I$32,4,FALSE),test!$J$10:$P$14,4,FALSE))/1440),1,0)</f>
        <v>0</v>
      </c>
      <c r="N40" s="2">
        <f>IF(AND(VLOOKUP(N$1,test!$A$3:$F$32,5,FALSE) - VLOOKUP($B40,test!$A$3:$G$32,6,FALSE) &gt;= (test!$B$34+VLOOKUP(VLOOKUP($B40,test!$A$2:$I$32,4,FALSE),test!$J$10:$P$14,4,FALSE))/1440),1,0)</f>
        <v>0</v>
      </c>
      <c r="O40" s="2">
        <f>IF(AND(VLOOKUP(O$1,test!$A$3:$F$32,5,FALSE) - VLOOKUP($B40,test!$A$3:$G$32,6,FALSE) &gt;= (test!$B$34+VLOOKUP(VLOOKUP($B40,test!$A$2:$I$32,4,FALSE),test!$J$10:$P$14,4,FALSE))/1440),1,0)</f>
        <v>0</v>
      </c>
      <c r="P40" s="2">
        <f>IF(AND(VLOOKUP(P$1,test!$A$3:$F$32,5,FALSE) - VLOOKUP($B40,test!$A$3:$G$32,6,FALSE) &gt;= (test!$B$34+VLOOKUP(VLOOKUP($B40,test!$A$2:$I$32,4,FALSE),test!$J$10:$P$14,4,FALSE))/1440),1,0)</f>
        <v>0</v>
      </c>
      <c r="Q40" s="2">
        <f>IF(AND(VLOOKUP(Q$1,test!$A$3:$F$32,5,FALSE) - VLOOKUP($B40,test!$A$3:$G$32,6,FALSE) &gt;= (test!$B$34+VLOOKUP(VLOOKUP($B40,test!$A$2:$I$32,4,FALSE),test!$J$10:$P$14,4,FALSE))/1440),1,0)</f>
        <v>0</v>
      </c>
      <c r="R40" s="2">
        <f>IF(AND(VLOOKUP(R$1,test!$A$3:$F$32,5,FALSE) - VLOOKUP($B40,test!$A$3:$G$32,6,FALSE) &gt;= (test!$B$34+VLOOKUP(VLOOKUP($B40,test!$A$2:$I$32,4,FALSE),test!$J$10:$P$14,4,FALSE))/1440),1,0)</f>
        <v>0</v>
      </c>
      <c r="S40" s="2">
        <f>IF(AND(VLOOKUP(S$1,test!$A$3:$F$32,5,FALSE) - VLOOKUP($B40,test!$A$3:$G$32,6,FALSE) &gt;= (test!$B$34+VLOOKUP(VLOOKUP($B40,test!$A$2:$I$32,4,FALSE),test!$J$10:$P$14,4,FALSE))/1440),1,0)</f>
        <v>0</v>
      </c>
      <c r="T40" s="2">
        <f>IF(AND(VLOOKUP(T$1,test!$A$3:$F$32,5,FALSE) - VLOOKUP($B40,test!$A$3:$G$32,6,FALSE) &gt;= (test!$B$34+VLOOKUP(VLOOKUP($B40,test!$A$2:$I$32,4,FALSE),test!$J$10:$P$14,4,FALSE))/1440),1,0)</f>
        <v>0</v>
      </c>
      <c r="U40" s="2">
        <f>IF(AND(VLOOKUP(U$1,test!$A$3:$F$32,5,FALSE) - VLOOKUP($B40,test!$A$3:$G$32,6,FALSE) &gt;= (test!$B$34+VLOOKUP(VLOOKUP($B40,test!$A$2:$I$32,4,FALSE),test!$J$10:$P$14,4,FALSE))/1440),1,0)</f>
        <v>0</v>
      </c>
      <c r="V40" s="2">
        <f>IF(AND(VLOOKUP(V$1,test!$A$3:$F$32,5,FALSE) - VLOOKUP($B40,test!$A$3:$G$32,6,FALSE) &gt;= (test!$B$34+VLOOKUP(VLOOKUP($B40,test!$A$2:$I$32,4,FALSE),test!$J$10:$P$14,4,FALSE))/1440),1,0)</f>
        <v>0</v>
      </c>
      <c r="W40" s="2">
        <f>IF(AND(VLOOKUP(W$1,test!$A$3:$F$32,5,FALSE) - VLOOKUP($B40,test!$A$3:$G$32,6,FALSE) &gt;= (test!$B$34+VLOOKUP(VLOOKUP($B40,test!$A$2:$I$32,4,FALSE),test!$J$10:$P$14,4,FALSE))/1440),1,0)</f>
        <v>0</v>
      </c>
      <c r="X40" s="2">
        <f>IF(AND(VLOOKUP(X$1,test!$A$3:$F$32,5,FALSE) - VLOOKUP($B40,test!$A$3:$G$32,6,FALSE) &gt;= (test!$B$34+VLOOKUP(VLOOKUP($B40,test!$A$2:$I$32,4,FALSE),test!$J$10:$P$14,4,FALSE))/1440),1,0)</f>
        <v>0</v>
      </c>
      <c r="Y40" s="2">
        <f>IF(AND(VLOOKUP(Y$1,test!$A$3:$F$32,5,FALSE) - VLOOKUP($B40,test!$A$3:$G$32,6,FALSE) &gt;= (test!$B$34+VLOOKUP(VLOOKUP($B40,test!$A$2:$I$32,4,FALSE),test!$J$10:$P$14,4,FALSE))/1440),1,0)</f>
        <v>0</v>
      </c>
      <c r="Z40" s="2">
        <f>IF(AND(VLOOKUP(Z$1,test!$A$3:$F$32,5,FALSE) - VLOOKUP($B40,test!$A$3:$G$32,6,FALSE) &gt;= (test!$B$34+VLOOKUP(VLOOKUP($B40,test!$A$2:$I$32,4,FALSE),test!$J$10:$P$14,4,FALSE))/1440),1,0)</f>
        <v>0</v>
      </c>
      <c r="AA40" s="2">
        <f>IF(AND(VLOOKUP(AA$1,test!$A$3:$F$32,5,FALSE) - VLOOKUP($B40,test!$A$3:$G$32,6,FALSE) &gt;= (test!$B$34+VLOOKUP(VLOOKUP($B40,test!$A$2:$I$32,4,FALSE),test!$J$10:$P$14,4,FALSE))/1440),1,0)</f>
        <v>0</v>
      </c>
      <c r="AB40" s="2">
        <f>IF(AND(VLOOKUP(AB$1,test!$A$3:$F$32,5,FALSE) - VLOOKUP($B40,test!$A$3:$G$32,6,FALSE) &gt;= (test!$B$34+VLOOKUP(VLOOKUP($B40,test!$A$2:$I$32,4,FALSE),test!$J$10:$P$14,4,FALSE))/1440),1,0)</f>
        <v>0</v>
      </c>
      <c r="AC40" s="2">
        <f>IF(AND(VLOOKUP(AC$1,test!$A$3:$F$32,5,FALSE) - VLOOKUP($B40,test!$A$3:$G$32,6,FALSE) &gt;= (test!$B$34+VLOOKUP(VLOOKUP($B40,test!$A$2:$I$32,4,FALSE),test!$J$10:$P$14,4,FALSE))/1440),1,0)</f>
        <v>0</v>
      </c>
      <c r="AD40" s="2">
        <f>IF(AND(VLOOKUP(AD$1,test!$A$3:$F$32,5,FALSE) - VLOOKUP($B40,test!$A$3:$G$32,6,FALSE) &gt;= (test!$B$34+VLOOKUP(VLOOKUP($B40,test!$A$2:$I$32,4,FALSE),test!$J$10:$P$14,4,FALSE))/1440),1,0)</f>
        <v>0</v>
      </c>
      <c r="AE40" s="2">
        <f>IF(AND(VLOOKUP(AE$1,test!$A$3:$F$32,5,FALSE) - VLOOKUP($B40,test!$A$3:$G$32,6,FALSE) &gt;= (test!$B$34+VLOOKUP(VLOOKUP($B40,test!$A$2:$I$32,4,FALSE),test!$J$10:$P$14,4,FALSE))/1440),1,0)</f>
        <v>0</v>
      </c>
      <c r="AF40" s="2">
        <f>IF(AND(VLOOKUP(AF$1,test!$A$3:$F$32,5,FALSE) - VLOOKUP($B40,test!$A$3:$G$32,6,FALSE) &gt;= (test!$B$34+VLOOKUP(VLOOKUP($B40,test!$A$2:$I$32,4,FALSE),test!$J$10:$P$14,4,FALSE))/1440),1,0)</f>
        <v>0</v>
      </c>
      <c r="AG40" s="2">
        <f>IF(AND(VLOOKUP(AG$1,test!$A$3:$F$32,5,FALSE) - VLOOKUP($B40,test!$A$3:$G$32,6,FALSE) &gt;= (test!$B$34+VLOOKUP(VLOOKUP($B40,test!$A$2:$I$32,4,FALSE),test!$J$10:$P$14,4,FALSE))/1440),1,0)</f>
        <v>0</v>
      </c>
    </row>
    <row r="41" spans="1:33" x14ac:dyDescent="0.25">
      <c r="A41" t="s">
        <v>90</v>
      </c>
      <c r="B41" t="s">
        <v>15</v>
      </c>
      <c r="C41">
        <v>0</v>
      </c>
      <c r="D41" s="2">
        <f>IF(AND(VLOOKUP(D$1,test!$A$3:$F$32,5,FALSE) - VLOOKUP($B41,test!$A$3:$G$32,6,FALSE) &gt;= (test!$B$34+VLOOKUP(VLOOKUP($B41,test!$A$2:$I$32,4,FALSE),test!$J$10:$P$14,4,FALSE))/1440),1,0)</f>
        <v>0</v>
      </c>
      <c r="E41" s="2">
        <f>IF(AND(VLOOKUP(E$1,test!$A$3:$F$32,5,FALSE) - VLOOKUP($B41,test!$A$3:$G$32,6,FALSE) &gt;= (test!$B$34+VLOOKUP(VLOOKUP($B41,test!$A$2:$I$32,4,FALSE),test!$J$10:$P$14,4,FALSE))/1440),1,0)</f>
        <v>0</v>
      </c>
      <c r="F41" s="2">
        <f>IF(AND(VLOOKUP(F$1,test!$A$3:$F$32,5,FALSE) - VLOOKUP($B41,test!$A$3:$G$32,6,FALSE) &gt;= (test!$B$34+VLOOKUP(VLOOKUP($B41,test!$A$2:$I$32,4,FALSE),test!$J$10:$P$14,4,FALSE))/1440),1,0)</f>
        <v>0</v>
      </c>
      <c r="G41" s="2">
        <f>IF(AND(VLOOKUP(G$1,test!$A$3:$F$32,5,FALSE) - VLOOKUP($B41,test!$A$3:$G$32,6,FALSE) &gt;= (test!$B$34+VLOOKUP(VLOOKUP($B41,test!$A$2:$I$32,4,FALSE),test!$J$10:$P$14,4,FALSE))/1440),1,0)</f>
        <v>0</v>
      </c>
      <c r="H41" s="2">
        <f>IF(AND(VLOOKUP(H$1,test!$A$3:$F$32,5,FALSE) - VLOOKUP($B41,test!$A$3:$G$32,6,FALSE) &gt;= (test!$B$34+VLOOKUP(VLOOKUP($B41,test!$A$2:$I$32,4,FALSE),test!$J$10:$P$14,4,FALSE))/1440),1,0)</f>
        <v>0</v>
      </c>
      <c r="I41" s="2">
        <f>IF(AND(VLOOKUP(I$1,test!$A$3:$F$32,5,FALSE) - VLOOKUP($B41,test!$A$3:$G$32,6,FALSE) &gt;= (test!$B$34+VLOOKUP(VLOOKUP($B41,test!$A$2:$I$32,4,FALSE),test!$J$10:$P$14,4,FALSE))/1440),1,0)</f>
        <v>0</v>
      </c>
      <c r="J41" s="2">
        <f>IF(AND(VLOOKUP(J$1,test!$A$3:$F$32,5,FALSE) - VLOOKUP($B41,test!$A$3:$G$32,6,FALSE) &gt;= (test!$B$34+VLOOKUP(VLOOKUP($B41,test!$A$2:$I$32,4,FALSE),test!$J$10:$P$14,4,FALSE))/1440),1,0)</f>
        <v>0</v>
      </c>
      <c r="K41" s="2">
        <f>IF(AND(VLOOKUP(K$1,test!$A$3:$F$32,5,FALSE) - VLOOKUP($B41,test!$A$3:$G$32,6,FALSE) &gt;= (test!$B$34+VLOOKUP(VLOOKUP($B41,test!$A$2:$I$32,4,FALSE),test!$J$10:$P$14,4,FALSE))/1440),1,0)</f>
        <v>0</v>
      </c>
      <c r="L41" s="2">
        <f>IF(AND(VLOOKUP(L$1,test!$A$3:$F$32,5,FALSE) - VLOOKUP($B41,test!$A$3:$G$32,6,FALSE) &gt;= (test!$B$34+VLOOKUP(VLOOKUP($B41,test!$A$2:$I$32,4,FALSE),test!$J$10:$P$14,4,FALSE))/1440),1,0)</f>
        <v>0</v>
      </c>
      <c r="M41" s="2">
        <f>IF(AND(VLOOKUP(M$1,test!$A$3:$F$32,5,FALSE) - VLOOKUP($B41,test!$A$3:$G$32,6,FALSE) &gt;= (test!$B$34+VLOOKUP(VLOOKUP($B41,test!$A$2:$I$32,4,FALSE),test!$J$10:$P$14,4,FALSE))/1440),1,0)</f>
        <v>0</v>
      </c>
      <c r="N41" s="2">
        <f>IF(AND(VLOOKUP(N$1,test!$A$3:$F$32,5,FALSE) - VLOOKUP($B41,test!$A$3:$G$32,6,FALSE) &gt;= (test!$B$34+VLOOKUP(VLOOKUP($B41,test!$A$2:$I$32,4,FALSE),test!$J$10:$P$14,4,FALSE))/1440),1,0)</f>
        <v>0</v>
      </c>
      <c r="O41" s="2">
        <f>IF(AND(VLOOKUP(O$1,test!$A$3:$F$32,5,FALSE) - VLOOKUP($B41,test!$A$3:$G$32,6,FALSE) &gt;= (test!$B$34+VLOOKUP(VLOOKUP($B41,test!$A$2:$I$32,4,FALSE),test!$J$10:$P$14,4,FALSE))/1440),1,0)</f>
        <v>0</v>
      </c>
      <c r="P41" s="2">
        <f>IF(AND(VLOOKUP(P$1,test!$A$3:$F$32,5,FALSE) - VLOOKUP($B41,test!$A$3:$G$32,6,FALSE) &gt;= (test!$B$34+VLOOKUP(VLOOKUP($B41,test!$A$2:$I$32,4,FALSE),test!$J$10:$P$14,4,FALSE))/1440),1,0)</f>
        <v>0</v>
      </c>
      <c r="Q41" s="2">
        <f>IF(AND(VLOOKUP(Q$1,test!$A$3:$F$32,5,FALSE) - VLOOKUP($B41,test!$A$3:$G$32,6,FALSE) &gt;= (test!$B$34+VLOOKUP(VLOOKUP($B41,test!$A$2:$I$32,4,FALSE),test!$J$10:$P$14,4,FALSE))/1440),1,0)</f>
        <v>0</v>
      </c>
      <c r="R41" s="2">
        <f>IF(AND(VLOOKUP(R$1,test!$A$3:$F$32,5,FALSE) - VLOOKUP($B41,test!$A$3:$G$32,6,FALSE) &gt;= (test!$B$34+VLOOKUP(VLOOKUP($B41,test!$A$2:$I$32,4,FALSE),test!$J$10:$P$14,4,FALSE))/1440),1,0)</f>
        <v>0</v>
      </c>
      <c r="S41" s="2">
        <f>IF(AND(VLOOKUP(S$1,test!$A$3:$F$32,5,FALSE) - VLOOKUP($B41,test!$A$3:$G$32,6,FALSE) &gt;= (test!$B$34+VLOOKUP(VLOOKUP($B41,test!$A$2:$I$32,4,FALSE),test!$J$10:$P$14,4,FALSE))/1440),1,0)</f>
        <v>0</v>
      </c>
      <c r="T41" s="2">
        <f>IF(AND(VLOOKUP(T$1,test!$A$3:$F$32,5,FALSE) - VLOOKUP($B41,test!$A$3:$G$32,6,FALSE) &gt;= (test!$B$34+VLOOKUP(VLOOKUP($B41,test!$A$2:$I$32,4,FALSE),test!$J$10:$P$14,4,FALSE))/1440),1,0)</f>
        <v>0</v>
      </c>
      <c r="U41" s="2">
        <f>IF(AND(VLOOKUP(U$1,test!$A$3:$F$32,5,FALSE) - VLOOKUP($B41,test!$A$3:$G$32,6,FALSE) &gt;= (test!$B$34+VLOOKUP(VLOOKUP($B41,test!$A$2:$I$32,4,FALSE),test!$J$10:$P$14,4,FALSE))/1440),1,0)</f>
        <v>0</v>
      </c>
      <c r="V41" s="2">
        <f>IF(AND(VLOOKUP(V$1,test!$A$3:$F$32,5,FALSE) - VLOOKUP($B41,test!$A$3:$G$32,6,FALSE) &gt;= (test!$B$34+VLOOKUP(VLOOKUP($B41,test!$A$2:$I$32,4,FALSE),test!$J$10:$P$14,4,FALSE))/1440),1,0)</f>
        <v>0</v>
      </c>
      <c r="W41" s="2">
        <f>IF(AND(VLOOKUP(W$1,test!$A$3:$F$32,5,FALSE) - VLOOKUP($B41,test!$A$3:$G$32,6,FALSE) &gt;= (test!$B$34+VLOOKUP(VLOOKUP($B41,test!$A$2:$I$32,4,FALSE),test!$J$10:$P$14,4,FALSE))/1440),1,0)</f>
        <v>0</v>
      </c>
      <c r="X41" s="2">
        <f>IF(AND(VLOOKUP(X$1,test!$A$3:$F$32,5,FALSE) - VLOOKUP($B41,test!$A$3:$G$32,6,FALSE) &gt;= (test!$B$34+VLOOKUP(VLOOKUP($B41,test!$A$2:$I$32,4,FALSE),test!$J$10:$P$14,4,FALSE))/1440),1,0)</f>
        <v>0</v>
      </c>
      <c r="Y41" s="2">
        <f>IF(AND(VLOOKUP(Y$1,test!$A$3:$F$32,5,FALSE) - VLOOKUP($B41,test!$A$3:$G$32,6,FALSE) &gt;= (test!$B$34+VLOOKUP(VLOOKUP($B41,test!$A$2:$I$32,4,FALSE),test!$J$10:$P$14,4,FALSE))/1440),1,0)</f>
        <v>0</v>
      </c>
      <c r="Z41" s="2">
        <f>IF(AND(VLOOKUP(Z$1,test!$A$3:$F$32,5,FALSE) - VLOOKUP($B41,test!$A$3:$G$32,6,FALSE) &gt;= (test!$B$34+VLOOKUP(VLOOKUP($B41,test!$A$2:$I$32,4,FALSE),test!$J$10:$P$14,4,FALSE))/1440),1,0)</f>
        <v>0</v>
      </c>
      <c r="AA41" s="2">
        <f>IF(AND(VLOOKUP(AA$1,test!$A$3:$F$32,5,FALSE) - VLOOKUP($B41,test!$A$3:$G$32,6,FALSE) &gt;= (test!$B$34+VLOOKUP(VLOOKUP($B41,test!$A$2:$I$32,4,FALSE),test!$J$10:$P$14,4,FALSE))/1440),1,0)</f>
        <v>0</v>
      </c>
      <c r="AB41" s="2">
        <f>IF(AND(VLOOKUP(AB$1,test!$A$3:$F$32,5,FALSE) - VLOOKUP($B41,test!$A$3:$G$32,6,FALSE) &gt;= (test!$B$34+VLOOKUP(VLOOKUP($B41,test!$A$2:$I$32,4,FALSE),test!$J$10:$P$14,4,FALSE))/1440),1,0)</f>
        <v>0</v>
      </c>
      <c r="AC41" s="2">
        <f>IF(AND(VLOOKUP(AC$1,test!$A$3:$F$32,5,FALSE) - VLOOKUP($B41,test!$A$3:$G$32,6,FALSE) &gt;= (test!$B$34+VLOOKUP(VLOOKUP($B41,test!$A$2:$I$32,4,FALSE),test!$J$10:$P$14,4,FALSE))/1440),1,0)</f>
        <v>0</v>
      </c>
      <c r="AD41" s="2">
        <f>IF(AND(VLOOKUP(AD$1,test!$A$3:$F$32,5,FALSE) - VLOOKUP($B41,test!$A$3:$G$32,6,FALSE) &gt;= (test!$B$34+VLOOKUP(VLOOKUP($B41,test!$A$2:$I$32,4,FALSE),test!$J$10:$P$14,4,FALSE))/1440),1,0)</f>
        <v>0</v>
      </c>
      <c r="AE41" s="2">
        <f>IF(AND(VLOOKUP(AE$1,test!$A$3:$F$32,5,FALSE) - VLOOKUP($B41,test!$A$3:$G$32,6,FALSE) &gt;= (test!$B$34+VLOOKUP(VLOOKUP($B41,test!$A$2:$I$32,4,FALSE),test!$J$10:$P$14,4,FALSE))/1440),1,0)</f>
        <v>0</v>
      </c>
      <c r="AF41" s="2">
        <f>IF(AND(VLOOKUP(AF$1,test!$A$3:$F$32,5,FALSE) - VLOOKUP($B41,test!$A$3:$G$32,6,FALSE) &gt;= (test!$B$34+VLOOKUP(VLOOKUP($B41,test!$A$2:$I$32,4,FALSE),test!$J$10:$P$14,4,FALSE))/1440),1,0)</f>
        <v>0</v>
      </c>
      <c r="AG41" s="2">
        <f>IF(AND(VLOOKUP(AG$1,test!$A$3:$F$32,5,FALSE) - VLOOKUP($B41,test!$A$3:$G$32,6,FALSE) &gt;= (test!$B$34+VLOOKUP(VLOOKUP($B41,test!$A$2:$I$32,4,FALSE),test!$J$10:$P$14,4,FALSE))/1440),1,0)</f>
        <v>0</v>
      </c>
    </row>
    <row r="42" spans="1:33" x14ac:dyDescent="0.25">
      <c r="A42" t="s">
        <v>90</v>
      </c>
      <c r="B42" t="s">
        <v>18</v>
      </c>
      <c r="C42">
        <v>0</v>
      </c>
      <c r="D42" s="2">
        <f>IF(AND(VLOOKUP(D$1,test!$A$3:$F$32,5,FALSE) - VLOOKUP($B42,test!$A$3:$G$32,6,FALSE) &gt;= (test!$B$34+VLOOKUP(VLOOKUP($B42,test!$A$2:$I$32,4,FALSE),test!$J$10:$P$14,4,FALSE))/1440),1,0)</f>
        <v>0</v>
      </c>
      <c r="E42" s="2">
        <f>IF(AND(VLOOKUP(E$1,test!$A$3:$F$32,5,FALSE) - VLOOKUP($B42,test!$A$3:$G$32,6,FALSE) &gt;= (test!$B$34+VLOOKUP(VLOOKUP($B42,test!$A$2:$I$32,4,FALSE),test!$J$10:$P$14,4,FALSE))/1440),1,0)</f>
        <v>0</v>
      </c>
      <c r="F42" s="2">
        <f>IF(AND(VLOOKUP(F$1,test!$A$3:$F$32,5,FALSE) - VLOOKUP($B42,test!$A$3:$G$32,6,FALSE) &gt;= (test!$B$34+VLOOKUP(VLOOKUP($B42,test!$A$2:$I$32,4,FALSE),test!$J$10:$P$14,4,FALSE))/1440),1,0)</f>
        <v>0</v>
      </c>
      <c r="G42" s="2">
        <f>IF(AND(VLOOKUP(G$1,test!$A$3:$F$32,5,FALSE) - VLOOKUP($B42,test!$A$3:$G$32,6,FALSE) &gt;= (test!$B$34+VLOOKUP(VLOOKUP($B42,test!$A$2:$I$32,4,FALSE),test!$J$10:$P$14,4,FALSE))/1440),1,0)</f>
        <v>1</v>
      </c>
      <c r="H42" s="2">
        <f>IF(AND(VLOOKUP(H$1,test!$A$3:$F$32,5,FALSE) - VLOOKUP($B42,test!$A$3:$G$32,6,FALSE) &gt;= (test!$B$34+VLOOKUP(VLOOKUP($B42,test!$A$2:$I$32,4,FALSE),test!$J$10:$P$14,4,FALSE))/1440),1,0)</f>
        <v>1</v>
      </c>
      <c r="I42" s="2">
        <f>IF(AND(VLOOKUP(I$1,test!$A$3:$F$32,5,FALSE) - VLOOKUP($B42,test!$A$3:$G$32,6,FALSE) &gt;= (test!$B$34+VLOOKUP(VLOOKUP($B42,test!$A$2:$I$32,4,FALSE),test!$J$10:$P$14,4,FALSE))/1440),1,0)</f>
        <v>1</v>
      </c>
      <c r="J42" s="2">
        <f>IF(AND(VLOOKUP(J$1,test!$A$3:$F$32,5,FALSE) - VLOOKUP($B42,test!$A$3:$G$32,6,FALSE) &gt;= (test!$B$34+VLOOKUP(VLOOKUP($B42,test!$A$2:$I$32,4,FALSE),test!$J$10:$P$14,4,FALSE))/1440),1,0)</f>
        <v>1</v>
      </c>
      <c r="K42" s="2">
        <f>IF(AND(VLOOKUP(K$1,test!$A$3:$F$32,5,FALSE) - VLOOKUP($B42,test!$A$3:$G$32,6,FALSE) &gt;= (test!$B$34+VLOOKUP(VLOOKUP($B42,test!$A$2:$I$32,4,FALSE),test!$J$10:$P$14,4,FALSE))/1440),1,0)</f>
        <v>1</v>
      </c>
      <c r="L42" s="2">
        <f>IF(AND(VLOOKUP(L$1,test!$A$3:$F$32,5,FALSE) - VLOOKUP($B42,test!$A$3:$G$32,6,FALSE) &gt;= (test!$B$34+VLOOKUP(VLOOKUP($B42,test!$A$2:$I$32,4,FALSE),test!$J$10:$P$14,4,FALSE))/1440),1,0)</f>
        <v>0</v>
      </c>
      <c r="M42" s="2">
        <f>IF(AND(VLOOKUP(M$1,test!$A$3:$F$32,5,FALSE) - VLOOKUP($B42,test!$A$3:$G$32,6,FALSE) &gt;= (test!$B$34+VLOOKUP(VLOOKUP($B42,test!$A$2:$I$32,4,FALSE),test!$J$10:$P$14,4,FALSE))/1440),1,0)</f>
        <v>0</v>
      </c>
      <c r="N42" s="2">
        <f>IF(AND(VLOOKUP(N$1,test!$A$3:$F$32,5,FALSE) - VLOOKUP($B42,test!$A$3:$G$32,6,FALSE) &gt;= (test!$B$34+VLOOKUP(VLOOKUP($B42,test!$A$2:$I$32,4,FALSE),test!$J$10:$P$14,4,FALSE))/1440),1,0)</f>
        <v>0</v>
      </c>
      <c r="O42" s="2">
        <f>IF(AND(VLOOKUP(O$1,test!$A$3:$F$32,5,FALSE) - VLOOKUP($B42,test!$A$3:$G$32,6,FALSE) &gt;= (test!$B$34+VLOOKUP(VLOOKUP($B42,test!$A$2:$I$32,4,FALSE),test!$J$10:$P$14,4,FALSE))/1440),1,0)</f>
        <v>1</v>
      </c>
      <c r="P42" s="2">
        <f>IF(AND(VLOOKUP(P$1,test!$A$3:$F$32,5,FALSE) - VLOOKUP($B42,test!$A$3:$G$32,6,FALSE) &gt;= (test!$B$34+VLOOKUP(VLOOKUP($B42,test!$A$2:$I$32,4,FALSE),test!$J$10:$P$14,4,FALSE))/1440),1,0)</f>
        <v>1</v>
      </c>
      <c r="Q42" s="2">
        <f>IF(AND(VLOOKUP(Q$1,test!$A$3:$F$32,5,FALSE) - VLOOKUP($B42,test!$A$3:$G$32,6,FALSE) &gt;= (test!$B$34+VLOOKUP(VLOOKUP($B42,test!$A$2:$I$32,4,FALSE),test!$J$10:$P$14,4,FALSE))/1440),1,0)</f>
        <v>0</v>
      </c>
      <c r="R42" s="2">
        <f>IF(AND(VLOOKUP(R$1,test!$A$3:$F$32,5,FALSE) - VLOOKUP($B42,test!$A$3:$G$32,6,FALSE) &gt;= (test!$B$34+VLOOKUP(VLOOKUP($B42,test!$A$2:$I$32,4,FALSE),test!$J$10:$P$14,4,FALSE))/1440),1,0)</f>
        <v>0</v>
      </c>
      <c r="S42" s="2">
        <f>IF(AND(VLOOKUP(S$1,test!$A$3:$F$32,5,FALSE) - VLOOKUP($B42,test!$A$3:$G$32,6,FALSE) &gt;= (test!$B$34+VLOOKUP(VLOOKUP($B42,test!$A$2:$I$32,4,FALSE),test!$J$10:$P$14,4,FALSE))/1440),1,0)</f>
        <v>0</v>
      </c>
      <c r="T42" s="2">
        <f>IF(AND(VLOOKUP(T$1,test!$A$3:$F$32,5,FALSE) - VLOOKUP($B42,test!$A$3:$G$32,6,FALSE) &gt;= (test!$B$34+VLOOKUP(VLOOKUP($B42,test!$A$2:$I$32,4,FALSE),test!$J$10:$P$14,4,FALSE))/1440),1,0)</f>
        <v>0</v>
      </c>
      <c r="U42" s="2">
        <f>IF(AND(VLOOKUP(U$1,test!$A$3:$F$32,5,FALSE) - VLOOKUP($B42,test!$A$3:$G$32,6,FALSE) &gt;= (test!$B$34+VLOOKUP(VLOOKUP($B42,test!$A$2:$I$32,4,FALSE),test!$J$10:$P$14,4,FALSE))/1440),1,0)</f>
        <v>0</v>
      </c>
      <c r="V42" s="2">
        <f>IF(AND(VLOOKUP(V$1,test!$A$3:$F$32,5,FALSE) - VLOOKUP($B42,test!$A$3:$G$32,6,FALSE) &gt;= (test!$B$34+VLOOKUP(VLOOKUP($B42,test!$A$2:$I$32,4,FALSE),test!$J$10:$P$14,4,FALSE))/1440),1,0)</f>
        <v>1</v>
      </c>
      <c r="W42" s="2">
        <f>IF(AND(VLOOKUP(W$1,test!$A$3:$F$32,5,FALSE) - VLOOKUP($B42,test!$A$3:$G$32,6,FALSE) &gt;= (test!$B$34+VLOOKUP(VLOOKUP($B42,test!$A$2:$I$32,4,FALSE),test!$J$10:$P$14,4,FALSE))/1440),1,0)</f>
        <v>1</v>
      </c>
      <c r="X42" s="2">
        <f>IF(AND(VLOOKUP(X$1,test!$A$3:$F$32,5,FALSE) - VLOOKUP($B42,test!$A$3:$G$32,6,FALSE) &gt;= (test!$B$34+VLOOKUP(VLOOKUP($B42,test!$A$2:$I$32,4,FALSE),test!$J$10:$P$14,4,FALSE))/1440),1,0)</f>
        <v>1</v>
      </c>
      <c r="Y42" s="2">
        <f>IF(AND(VLOOKUP(Y$1,test!$A$3:$F$32,5,FALSE) - VLOOKUP($B42,test!$A$3:$G$32,6,FALSE) &gt;= (test!$B$34+VLOOKUP(VLOOKUP($B42,test!$A$2:$I$32,4,FALSE),test!$J$10:$P$14,4,FALSE))/1440),1,0)</f>
        <v>1</v>
      </c>
      <c r="Z42" s="2">
        <f>IF(AND(VLOOKUP(Z$1,test!$A$3:$F$32,5,FALSE) - VLOOKUP($B42,test!$A$3:$G$32,6,FALSE) &gt;= (test!$B$34+VLOOKUP(VLOOKUP($B42,test!$A$2:$I$32,4,FALSE),test!$J$10:$P$14,4,FALSE))/1440),1,0)</f>
        <v>0</v>
      </c>
      <c r="AA42" s="2">
        <f>IF(AND(VLOOKUP(AA$1,test!$A$3:$F$32,5,FALSE) - VLOOKUP($B42,test!$A$3:$G$32,6,FALSE) &gt;= (test!$B$34+VLOOKUP(VLOOKUP($B42,test!$A$2:$I$32,4,FALSE),test!$J$10:$P$14,4,FALSE))/1440),1,0)</f>
        <v>0</v>
      </c>
      <c r="AB42" s="2">
        <f>IF(AND(VLOOKUP(AB$1,test!$A$3:$F$32,5,FALSE) - VLOOKUP($B42,test!$A$3:$G$32,6,FALSE) &gt;= (test!$B$34+VLOOKUP(VLOOKUP($B42,test!$A$2:$I$32,4,FALSE),test!$J$10:$P$14,4,FALSE))/1440),1,0)</f>
        <v>0</v>
      </c>
      <c r="AC42" s="2">
        <f>IF(AND(VLOOKUP(AC$1,test!$A$3:$F$32,5,FALSE) - VLOOKUP($B42,test!$A$3:$G$32,6,FALSE) &gt;= (test!$B$34+VLOOKUP(VLOOKUP($B42,test!$A$2:$I$32,4,FALSE),test!$J$10:$P$14,4,FALSE))/1440),1,0)</f>
        <v>1</v>
      </c>
      <c r="AD42" s="2">
        <f>IF(AND(VLOOKUP(AD$1,test!$A$3:$F$32,5,FALSE) - VLOOKUP($B42,test!$A$3:$G$32,6,FALSE) &gt;= (test!$B$34+VLOOKUP(VLOOKUP($B42,test!$A$2:$I$32,4,FALSE),test!$J$10:$P$14,4,FALSE))/1440),1,0)</f>
        <v>1</v>
      </c>
      <c r="AE42" s="2">
        <f>IF(AND(VLOOKUP(AE$1,test!$A$3:$F$32,5,FALSE) - VLOOKUP($B42,test!$A$3:$G$32,6,FALSE) &gt;= (test!$B$34+VLOOKUP(VLOOKUP($B42,test!$A$2:$I$32,4,FALSE),test!$J$10:$P$14,4,FALSE))/1440),1,0)</f>
        <v>0</v>
      </c>
      <c r="AF42" s="2">
        <f>IF(AND(VLOOKUP(AF$1,test!$A$3:$F$32,5,FALSE) - VLOOKUP($B42,test!$A$3:$G$32,6,FALSE) &gt;= (test!$B$34+VLOOKUP(VLOOKUP($B42,test!$A$2:$I$32,4,FALSE),test!$J$10:$P$14,4,FALSE))/1440),1,0)</f>
        <v>0</v>
      </c>
      <c r="AG42" s="2">
        <f>IF(AND(VLOOKUP(AG$1,test!$A$3:$F$32,5,FALSE) - VLOOKUP($B42,test!$A$3:$G$32,6,FALSE) &gt;= (test!$B$34+VLOOKUP(VLOOKUP($B42,test!$A$2:$I$32,4,FALSE),test!$J$10:$P$14,4,FALSE))/1440),1,0)</f>
        <v>0</v>
      </c>
    </row>
    <row r="43" spans="1:33" x14ac:dyDescent="0.25">
      <c r="A43" t="s">
        <v>90</v>
      </c>
      <c r="B43" t="s">
        <v>20</v>
      </c>
      <c r="C43">
        <v>0</v>
      </c>
      <c r="D43" s="2">
        <f>IF(AND(VLOOKUP(D$1,test!$A$3:$F$32,5,FALSE) - VLOOKUP($B43,test!$A$3:$G$32,6,FALSE) &gt;= (test!$B$34+VLOOKUP(VLOOKUP($B43,test!$A$2:$I$32,4,FALSE),test!$J$10:$P$14,4,FALSE))/1440),1,0)</f>
        <v>0</v>
      </c>
      <c r="E43" s="2">
        <f>IF(AND(VLOOKUP(E$1,test!$A$3:$F$32,5,FALSE) - VLOOKUP($B43,test!$A$3:$G$32,6,FALSE) &gt;= (test!$B$34+VLOOKUP(VLOOKUP($B43,test!$A$2:$I$32,4,FALSE),test!$J$10:$P$14,4,FALSE))/1440),1,0)</f>
        <v>0</v>
      </c>
      <c r="F43" s="2">
        <f>IF(AND(VLOOKUP(F$1,test!$A$3:$F$32,5,FALSE) - VLOOKUP($B43,test!$A$3:$G$32,6,FALSE) &gt;= (test!$B$34+VLOOKUP(VLOOKUP($B43,test!$A$2:$I$32,4,FALSE),test!$J$10:$P$14,4,FALSE))/1440),1,0)</f>
        <v>0</v>
      </c>
      <c r="G43" s="2">
        <f>IF(AND(VLOOKUP(G$1,test!$A$3:$F$32,5,FALSE) - VLOOKUP($B43,test!$A$3:$G$32,6,FALSE) &gt;= (test!$B$34+VLOOKUP(VLOOKUP($B43,test!$A$2:$I$32,4,FALSE),test!$J$10:$P$14,4,FALSE))/1440),1,0)</f>
        <v>0</v>
      </c>
      <c r="H43" s="2">
        <f>IF(AND(VLOOKUP(H$1,test!$A$3:$F$32,5,FALSE) - VLOOKUP($B43,test!$A$3:$G$32,6,FALSE) &gt;= (test!$B$34+VLOOKUP(VLOOKUP($B43,test!$A$2:$I$32,4,FALSE),test!$J$10:$P$14,4,FALSE))/1440),1,0)</f>
        <v>0</v>
      </c>
      <c r="I43" s="2">
        <f>IF(AND(VLOOKUP(I$1,test!$A$3:$F$32,5,FALSE) - VLOOKUP($B43,test!$A$3:$G$32,6,FALSE) &gt;= (test!$B$34+VLOOKUP(VLOOKUP($B43,test!$A$2:$I$32,4,FALSE),test!$J$10:$P$14,4,FALSE))/1440),1,0)</f>
        <v>1</v>
      </c>
      <c r="J43" s="2">
        <f>IF(AND(VLOOKUP(J$1,test!$A$3:$F$32,5,FALSE) - VLOOKUP($B43,test!$A$3:$G$32,6,FALSE) &gt;= (test!$B$34+VLOOKUP(VLOOKUP($B43,test!$A$2:$I$32,4,FALSE),test!$J$10:$P$14,4,FALSE))/1440),1,0)</f>
        <v>1</v>
      </c>
      <c r="K43" s="2">
        <f>IF(AND(VLOOKUP(K$1,test!$A$3:$F$32,5,FALSE) - VLOOKUP($B43,test!$A$3:$G$32,6,FALSE) &gt;= (test!$B$34+VLOOKUP(VLOOKUP($B43,test!$A$2:$I$32,4,FALSE),test!$J$10:$P$14,4,FALSE))/1440),1,0)</f>
        <v>1</v>
      </c>
      <c r="L43" s="2">
        <f>IF(AND(VLOOKUP(L$1,test!$A$3:$F$32,5,FALSE) - VLOOKUP($B43,test!$A$3:$G$32,6,FALSE) &gt;= (test!$B$34+VLOOKUP(VLOOKUP($B43,test!$A$2:$I$32,4,FALSE),test!$J$10:$P$14,4,FALSE))/1440),1,0)</f>
        <v>0</v>
      </c>
      <c r="M43" s="2">
        <f>IF(AND(VLOOKUP(M$1,test!$A$3:$F$32,5,FALSE) - VLOOKUP($B43,test!$A$3:$G$32,6,FALSE) &gt;= (test!$B$34+VLOOKUP(VLOOKUP($B43,test!$A$2:$I$32,4,FALSE),test!$J$10:$P$14,4,FALSE))/1440),1,0)</f>
        <v>0</v>
      </c>
      <c r="N43" s="2">
        <f>IF(AND(VLOOKUP(N$1,test!$A$3:$F$32,5,FALSE) - VLOOKUP($B43,test!$A$3:$G$32,6,FALSE) &gt;= (test!$B$34+VLOOKUP(VLOOKUP($B43,test!$A$2:$I$32,4,FALSE),test!$J$10:$P$14,4,FALSE))/1440),1,0)</f>
        <v>0</v>
      </c>
      <c r="O43" s="2">
        <f>IF(AND(VLOOKUP(O$1,test!$A$3:$F$32,5,FALSE) - VLOOKUP($B43,test!$A$3:$G$32,6,FALSE) &gt;= (test!$B$34+VLOOKUP(VLOOKUP($B43,test!$A$2:$I$32,4,FALSE),test!$J$10:$P$14,4,FALSE))/1440),1,0)</f>
        <v>1</v>
      </c>
      <c r="P43" s="2">
        <f>IF(AND(VLOOKUP(P$1,test!$A$3:$F$32,5,FALSE) - VLOOKUP($B43,test!$A$3:$G$32,6,FALSE) &gt;= (test!$B$34+VLOOKUP(VLOOKUP($B43,test!$A$2:$I$32,4,FALSE),test!$J$10:$P$14,4,FALSE))/1440),1,0)</f>
        <v>1</v>
      </c>
      <c r="Q43" s="2">
        <f>IF(AND(VLOOKUP(Q$1,test!$A$3:$F$32,5,FALSE) - VLOOKUP($B43,test!$A$3:$G$32,6,FALSE) &gt;= (test!$B$34+VLOOKUP(VLOOKUP($B43,test!$A$2:$I$32,4,FALSE),test!$J$10:$P$14,4,FALSE))/1440),1,0)</f>
        <v>0</v>
      </c>
      <c r="R43" s="2">
        <f>IF(AND(VLOOKUP(R$1,test!$A$3:$F$32,5,FALSE) - VLOOKUP($B43,test!$A$3:$G$32,6,FALSE) &gt;= (test!$B$34+VLOOKUP(VLOOKUP($B43,test!$A$2:$I$32,4,FALSE),test!$J$10:$P$14,4,FALSE))/1440),1,0)</f>
        <v>0</v>
      </c>
      <c r="S43" s="2">
        <f>IF(AND(VLOOKUP(S$1,test!$A$3:$F$32,5,FALSE) - VLOOKUP($B43,test!$A$3:$G$32,6,FALSE) &gt;= (test!$B$34+VLOOKUP(VLOOKUP($B43,test!$A$2:$I$32,4,FALSE),test!$J$10:$P$14,4,FALSE))/1440),1,0)</f>
        <v>0</v>
      </c>
      <c r="T43" s="2">
        <f>IF(AND(VLOOKUP(T$1,test!$A$3:$F$32,5,FALSE) - VLOOKUP($B43,test!$A$3:$G$32,6,FALSE) &gt;= (test!$B$34+VLOOKUP(VLOOKUP($B43,test!$A$2:$I$32,4,FALSE),test!$J$10:$P$14,4,FALSE))/1440),1,0)</f>
        <v>0</v>
      </c>
      <c r="U43" s="2">
        <f>IF(AND(VLOOKUP(U$1,test!$A$3:$F$32,5,FALSE) - VLOOKUP($B43,test!$A$3:$G$32,6,FALSE) &gt;= (test!$B$34+VLOOKUP(VLOOKUP($B43,test!$A$2:$I$32,4,FALSE),test!$J$10:$P$14,4,FALSE))/1440),1,0)</f>
        <v>0</v>
      </c>
      <c r="V43" s="2">
        <f>IF(AND(VLOOKUP(V$1,test!$A$3:$F$32,5,FALSE) - VLOOKUP($B43,test!$A$3:$G$32,6,FALSE) &gt;= (test!$B$34+VLOOKUP(VLOOKUP($B43,test!$A$2:$I$32,4,FALSE),test!$J$10:$P$14,4,FALSE))/1440),1,0)</f>
        <v>0</v>
      </c>
      <c r="W43" s="2">
        <f>IF(AND(VLOOKUP(W$1,test!$A$3:$F$32,5,FALSE) - VLOOKUP($B43,test!$A$3:$G$32,6,FALSE) &gt;= (test!$B$34+VLOOKUP(VLOOKUP($B43,test!$A$2:$I$32,4,FALSE),test!$J$10:$P$14,4,FALSE))/1440),1,0)</f>
        <v>0</v>
      </c>
      <c r="X43" s="2">
        <f>IF(AND(VLOOKUP(X$1,test!$A$3:$F$32,5,FALSE) - VLOOKUP($B43,test!$A$3:$G$32,6,FALSE) &gt;= (test!$B$34+VLOOKUP(VLOOKUP($B43,test!$A$2:$I$32,4,FALSE),test!$J$10:$P$14,4,FALSE))/1440),1,0)</f>
        <v>1</v>
      </c>
      <c r="Y43" s="2">
        <f>IF(AND(VLOOKUP(Y$1,test!$A$3:$F$32,5,FALSE) - VLOOKUP($B43,test!$A$3:$G$32,6,FALSE) &gt;= (test!$B$34+VLOOKUP(VLOOKUP($B43,test!$A$2:$I$32,4,FALSE),test!$J$10:$P$14,4,FALSE))/1440),1,0)</f>
        <v>1</v>
      </c>
      <c r="Z43" s="2">
        <f>IF(AND(VLOOKUP(Z$1,test!$A$3:$F$32,5,FALSE) - VLOOKUP($B43,test!$A$3:$G$32,6,FALSE) &gt;= (test!$B$34+VLOOKUP(VLOOKUP($B43,test!$A$2:$I$32,4,FALSE),test!$J$10:$P$14,4,FALSE))/1440),1,0)</f>
        <v>0</v>
      </c>
      <c r="AA43" s="2">
        <f>IF(AND(VLOOKUP(AA$1,test!$A$3:$F$32,5,FALSE) - VLOOKUP($B43,test!$A$3:$G$32,6,FALSE) &gt;= (test!$B$34+VLOOKUP(VLOOKUP($B43,test!$A$2:$I$32,4,FALSE),test!$J$10:$P$14,4,FALSE))/1440),1,0)</f>
        <v>0</v>
      </c>
      <c r="AB43" s="2">
        <f>IF(AND(VLOOKUP(AB$1,test!$A$3:$F$32,5,FALSE) - VLOOKUP($B43,test!$A$3:$G$32,6,FALSE) &gt;= (test!$B$34+VLOOKUP(VLOOKUP($B43,test!$A$2:$I$32,4,FALSE),test!$J$10:$P$14,4,FALSE))/1440),1,0)</f>
        <v>0</v>
      </c>
      <c r="AC43" s="2">
        <f>IF(AND(VLOOKUP(AC$1,test!$A$3:$F$32,5,FALSE) - VLOOKUP($B43,test!$A$3:$G$32,6,FALSE) &gt;= (test!$B$34+VLOOKUP(VLOOKUP($B43,test!$A$2:$I$32,4,FALSE),test!$J$10:$P$14,4,FALSE))/1440),1,0)</f>
        <v>0</v>
      </c>
      <c r="AD43" s="2">
        <f>IF(AND(VLOOKUP(AD$1,test!$A$3:$F$32,5,FALSE) - VLOOKUP($B43,test!$A$3:$G$32,6,FALSE) &gt;= (test!$B$34+VLOOKUP(VLOOKUP($B43,test!$A$2:$I$32,4,FALSE),test!$J$10:$P$14,4,FALSE))/1440),1,0)</f>
        <v>1</v>
      </c>
      <c r="AE43" s="2">
        <f>IF(AND(VLOOKUP(AE$1,test!$A$3:$F$32,5,FALSE) - VLOOKUP($B43,test!$A$3:$G$32,6,FALSE) &gt;= (test!$B$34+VLOOKUP(VLOOKUP($B43,test!$A$2:$I$32,4,FALSE),test!$J$10:$P$14,4,FALSE))/1440),1,0)</f>
        <v>0</v>
      </c>
      <c r="AF43" s="2">
        <f>IF(AND(VLOOKUP(AF$1,test!$A$3:$F$32,5,FALSE) - VLOOKUP($B43,test!$A$3:$G$32,6,FALSE) &gt;= (test!$B$34+VLOOKUP(VLOOKUP($B43,test!$A$2:$I$32,4,FALSE),test!$J$10:$P$14,4,FALSE))/1440),1,0)</f>
        <v>0</v>
      </c>
      <c r="AG43" s="2">
        <f>IF(AND(VLOOKUP(AG$1,test!$A$3:$F$32,5,FALSE) - VLOOKUP($B43,test!$A$3:$G$32,6,FALSE) &gt;= (test!$B$34+VLOOKUP(VLOOKUP($B43,test!$A$2:$I$32,4,FALSE),test!$J$10:$P$14,4,FALSE))/1440),1,0)</f>
        <v>0</v>
      </c>
    </row>
    <row r="44" spans="1:33" x14ac:dyDescent="0.25">
      <c r="A44" t="s">
        <v>90</v>
      </c>
      <c r="B44" t="s">
        <v>21</v>
      </c>
      <c r="C44">
        <v>0</v>
      </c>
      <c r="D44" s="2">
        <f>IF(AND(VLOOKUP(D$1,test!$A$3:$F$32,5,FALSE) - VLOOKUP($B44,test!$A$3:$G$32,6,FALSE) &gt;= (test!$B$34+VLOOKUP(VLOOKUP($B44,test!$A$2:$I$32,4,FALSE),test!$J$10:$P$14,4,FALSE))/1440),1,0)</f>
        <v>0</v>
      </c>
      <c r="E44" s="2">
        <f>IF(AND(VLOOKUP(E$1,test!$A$3:$F$32,5,FALSE) - VLOOKUP($B44,test!$A$3:$G$32,6,FALSE) &gt;= (test!$B$34+VLOOKUP(VLOOKUP($B44,test!$A$2:$I$32,4,FALSE),test!$J$10:$P$14,4,FALSE))/1440),1,0)</f>
        <v>0</v>
      </c>
      <c r="F44" s="2">
        <f>IF(AND(VLOOKUP(F$1,test!$A$3:$F$32,5,FALSE) - VLOOKUP($B44,test!$A$3:$G$32,6,FALSE) &gt;= (test!$B$34+VLOOKUP(VLOOKUP($B44,test!$A$2:$I$32,4,FALSE),test!$J$10:$P$14,4,FALSE))/1440),1,0)</f>
        <v>0</v>
      </c>
      <c r="G44" s="2">
        <f>IF(AND(VLOOKUP(G$1,test!$A$3:$F$32,5,FALSE) - VLOOKUP($B44,test!$A$3:$G$32,6,FALSE) &gt;= (test!$B$34+VLOOKUP(VLOOKUP($B44,test!$A$2:$I$32,4,FALSE),test!$J$10:$P$14,4,FALSE))/1440),1,0)</f>
        <v>0</v>
      </c>
      <c r="H44" s="2">
        <f>IF(AND(VLOOKUP(H$1,test!$A$3:$F$32,5,FALSE) - VLOOKUP($B44,test!$A$3:$G$32,6,FALSE) &gt;= (test!$B$34+VLOOKUP(VLOOKUP($B44,test!$A$2:$I$32,4,FALSE),test!$J$10:$P$14,4,FALSE))/1440),1,0)</f>
        <v>0</v>
      </c>
      <c r="I44" s="2">
        <f>IF(AND(VLOOKUP(I$1,test!$A$3:$F$32,5,FALSE) - VLOOKUP($B44,test!$A$3:$G$32,6,FALSE) &gt;= (test!$B$34+VLOOKUP(VLOOKUP($B44,test!$A$2:$I$32,4,FALSE),test!$J$10:$P$14,4,FALSE))/1440),1,0)</f>
        <v>0</v>
      </c>
      <c r="J44" s="2">
        <f>IF(AND(VLOOKUP(J$1,test!$A$3:$F$32,5,FALSE) - VLOOKUP($B44,test!$A$3:$G$32,6,FALSE) &gt;= (test!$B$34+VLOOKUP(VLOOKUP($B44,test!$A$2:$I$32,4,FALSE),test!$J$10:$P$14,4,FALSE))/1440),1,0)</f>
        <v>0</v>
      </c>
      <c r="K44" s="2">
        <f>IF(AND(VLOOKUP(K$1,test!$A$3:$F$32,5,FALSE) - VLOOKUP($B44,test!$A$3:$G$32,6,FALSE) &gt;= (test!$B$34+VLOOKUP(VLOOKUP($B44,test!$A$2:$I$32,4,FALSE),test!$J$10:$P$14,4,FALSE))/1440),1,0)</f>
        <v>1</v>
      </c>
      <c r="L44" s="2">
        <f>IF(AND(VLOOKUP(L$1,test!$A$3:$F$32,5,FALSE) - VLOOKUP($B44,test!$A$3:$G$32,6,FALSE) &gt;= (test!$B$34+VLOOKUP(VLOOKUP($B44,test!$A$2:$I$32,4,FALSE),test!$J$10:$P$14,4,FALSE))/1440),1,0)</f>
        <v>0</v>
      </c>
      <c r="M44" s="2">
        <f>IF(AND(VLOOKUP(M$1,test!$A$3:$F$32,5,FALSE) - VLOOKUP($B44,test!$A$3:$G$32,6,FALSE) &gt;= (test!$B$34+VLOOKUP(VLOOKUP($B44,test!$A$2:$I$32,4,FALSE),test!$J$10:$P$14,4,FALSE))/1440),1,0)</f>
        <v>0</v>
      </c>
      <c r="N44" s="2">
        <f>IF(AND(VLOOKUP(N$1,test!$A$3:$F$32,5,FALSE) - VLOOKUP($B44,test!$A$3:$G$32,6,FALSE) &gt;= (test!$B$34+VLOOKUP(VLOOKUP($B44,test!$A$2:$I$32,4,FALSE),test!$J$10:$P$14,4,FALSE))/1440),1,0)</f>
        <v>0</v>
      </c>
      <c r="O44" s="2">
        <f>IF(AND(VLOOKUP(O$1,test!$A$3:$F$32,5,FALSE) - VLOOKUP($B44,test!$A$3:$G$32,6,FALSE) &gt;= (test!$B$34+VLOOKUP(VLOOKUP($B44,test!$A$2:$I$32,4,FALSE),test!$J$10:$P$14,4,FALSE))/1440),1,0)</f>
        <v>1</v>
      </c>
      <c r="P44" s="2">
        <f>IF(AND(VLOOKUP(P$1,test!$A$3:$F$32,5,FALSE) - VLOOKUP($B44,test!$A$3:$G$32,6,FALSE) &gt;= (test!$B$34+VLOOKUP(VLOOKUP($B44,test!$A$2:$I$32,4,FALSE),test!$J$10:$P$14,4,FALSE))/1440),1,0)</f>
        <v>1</v>
      </c>
      <c r="Q44" s="2">
        <f>IF(AND(VLOOKUP(Q$1,test!$A$3:$F$32,5,FALSE) - VLOOKUP($B44,test!$A$3:$G$32,6,FALSE) &gt;= (test!$B$34+VLOOKUP(VLOOKUP($B44,test!$A$2:$I$32,4,FALSE),test!$J$10:$P$14,4,FALSE))/1440),1,0)</f>
        <v>0</v>
      </c>
      <c r="R44" s="2">
        <f>IF(AND(VLOOKUP(R$1,test!$A$3:$F$32,5,FALSE) - VLOOKUP($B44,test!$A$3:$G$32,6,FALSE) &gt;= (test!$B$34+VLOOKUP(VLOOKUP($B44,test!$A$2:$I$32,4,FALSE),test!$J$10:$P$14,4,FALSE))/1440),1,0)</f>
        <v>0</v>
      </c>
      <c r="S44" s="2">
        <f>IF(AND(VLOOKUP(S$1,test!$A$3:$F$32,5,FALSE) - VLOOKUP($B44,test!$A$3:$G$32,6,FALSE) &gt;= (test!$B$34+VLOOKUP(VLOOKUP($B44,test!$A$2:$I$32,4,FALSE),test!$J$10:$P$14,4,FALSE))/1440),1,0)</f>
        <v>0</v>
      </c>
      <c r="T44" s="2">
        <f>IF(AND(VLOOKUP(T$1,test!$A$3:$F$32,5,FALSE) - VLOOKUP($B44,test!$A$3:$G$32,6,FALSE) &gt;= (test!$B$34+VLOOKUP(VLOOKUP($B44,test!$A$2:$I$32,4,FALSE),test!$J$10:$P$14,4,FALSE))/1440),1,0)</f>
        <v>0</v>
      </c>
      <c r="U44" s="2">
        <f>IF(AND(VLOOKUP(U$1,test!$A$3:$F$32,5,FALSE) - VLOOKUP($B44,test!$A$3:$G$32,6,FALSE) &gt;= (test!$B$34+VLOOKUP(VLOOKUP($B44,test!$A$2:$I$32,4,FALSE),test!$J$10:$P$14,4,FALSE))/1440),1,0)</f>
        <v>0</v>
      </c>
      <c r="V44" s="2">
        <f>IF(AND(VLOOKUP(V$1,test!$A$3:$F$32,5,FALSE) - VLOOKUP($B44,test!$A$3:$G$32,6,FALSE) &gt;= (test!$B$34+VLOOKUP(VLOOKUP($B44,test!$A$2:$I$32,4,FALSE),test!$J$10:$P$14,4,FALSE))/1440),1,0)</f>
        <v>0</v>
      </c>
      <c r="W44" s="2">
        <f>IF(AND(VLOOKUP(W$1,test!$A$3:$F$32,5,FALSE) - VLOOKUP($B44,test!$A$3:$G$32,6,FALSE) &gt;= (test!$B$34+VLOOKUP(VLOOKUP($B44,test!$A$2:$I$32,4,FALSE),test!$J$10:$P$14,4,FALSE))/1440),1,0)</f>
        <v>0</v>
      </c>
      <c r="X44" s="2">
        <f>IF(AND(VLOOKUP(X$1,test!$A$3:$F$32,5,FALSE) - VLOOKUP($B44,test!$A$3:$G$32,6,FALSE) &gt;= (test!$B$34+VLOOKUP(VLOOKUP($B44,test!$A$2:$I$32,4,FALSE),test!$J$10:$P$14,4,FALSE))/1440),1,0)</f>
        <v>0</v>
      </c>
      <c r="Y44" s="2">
        <f>IF(AND(VLOOKUP(Y$1,test!$A$3:$F$32,5,FALSE) - VLOOKUP($B44,test!$A$3:$G$32,6,FALSE) &gt;= (test!$B$34+VLOOKUP(VLOOKUP($B44,test!$A$2:$I$32,4,FALSE),test!$J$10:$P$14,4,FALSE))/1440),1,0)</f>
        <v>1</v>
      </c>
      <c r="Z44" s="2">
        <f>IF(AND(VLOOKUP(Z$1,test!$A$3:$F$32,5,FALSE) - VLOOKUP($B44,test!$A$3:$G$32,6,FALSE) &gt;= (test!$B$34+VLOOKUP(VLOOKUP($B44,test!$A$2:$I$32,4,FALSE),test!$J$10:$P$14,4,FALSE))/1440),1,0)</f>
        <v>0</v>
      </c>
      <c r="AA44" s="2">
        <f>IF(AND(VLOOKUP(AA$1,test!$A$3:$F$32,5,FALSE) - VLOOKUP($B44,test!$A$3:$G$32,6,FALSE) &gt;= (test!$B$34+VLOOKUP(VLOOKUP($B44,test!$A$2:$I$32,4,FALSE),test!$J$10:$P$14,4,FALSE))/1440),1,0)</f>
        <v>0</v>
      </c>
      <c r="AB44" s="2">
        <f>IF(AND(VLOOKUP(AB$1,test!$A$3:$F$32,5,FALSE) - VLOOKUP($B44,test!$A$3:$G$32,6,FALSE) &gt;= (test!$B$34+VLOOKUP(VLOOKUP($B44,test!$A$2:$I$32,4,FALSE),test!$J$10:$P$14,4,FALSE))/1440),1,0)</f>
        <v>0</v>
      </c>
      <c r="AC44" s="2">
        <f>IF(AND(VLOOKUP(AC$1,test!$A$3:$F$32,5,FALSE) - VLOOKUP($B44,test!$A$3:$G$32,6,FALSE) &gt;= (test!$B$34+VLOOKUP(VLOOKUP($B44,test!$A$2:$I$32,4,FALSE),test!$J$10:$P$14,4,FALSE))/1440),1,0)</f>
        <v>0</v>
      </c>
      <c r="AD44" s="2">
        <f>IF(AND(VLOOKUP(AD$1,test!$A$3:$F$32,5,FALSE) - VLOOKUP($B44,test!$A$3:$G$32,6,FALSE) &gt;= (test!$B$34+VLOOKUP(VLOOKUP($B44,test!$A$2:$I$32,4,FALSE),test!$J$10:$P$14,4,FALSE))/1440),1,0)</f>
        <v>0</v>
      </c>
      <c r="AE44" s="2">
        <f>IF(AND(VLOOKUP(AE$1,test!$A$3:$F$32,5,FALSE) - VLOOKUP($B44,test!$A$3:$G$32,6,FALSE) &gt;= (test!$B$34+VLOOKUP(VLOOKUP($B44,test!$A$2:$I$32,4,FALSE),test!$J$10:$P$14,4,FALSE))/1440),1,0)</f>
        <v>0</v>
      </c>
      <c r="AF44" s="2">
        <f>IF(AND(VLOOKUP(AF$1,test!$A$3:$F$32,5,FALSE) - VLOOKUP($B44,test!$A$3:$G$32,6,FALSE) &gt;= (test!$B$34+VLOOKUP(VLOOKUP($B44,test!$A$2:$I$32,4,FALSE),test!$J$10:$P$14,4,FALSE))/1440),1,0)</f>
        <v>0</v>
      </c>
      <c r="AG44" s="2">
        <f>IF(AND(VLOOKUP(AG$1,test!$A$3:$F$32,5,FALSE) - VLOOKUP($B44,test!$A$3:$G$32,6,FALSE) &gt;= (test!$B$34+VLOOKUP(VLOOKUP($B44,test!$A$2:$I$32,4,FALSE),test!$J$10:$P$14,4,FALSE))/1440),1,0)</f>
        <v>0</v>
      </c>
    </row>
    <row r="45" spans="1:33" x14ac:dyDescent="0.25">
      <c r="A45" t="s">
        <v>90</v>
      </c>
      <c r="B45" t="s">
        <v>22</v>
      </c>
      <c r="C45">
        <v>0</v>
      </c>
      <c r="D45" s="2">
        <f>IF(AND(VLOOKUP(D$1,test!$A$3:$F$32,5,FALSE) - VLOOKUP($B45,test!$A$3:$G$32,6,FALSE) &gt;= (test!$B$34+VLOOKUP(VLOOKUP($B45,test!$A$2:$I$32,4,FALSE),test!$J$10:$P$14,4,FALSE))/1440),1,0)</f>
        <v>0</v>
      </c>
      <c r="E45" s="2">
        <f>IF(AND(VLOOKUP(E$1,test!$A$3:$F$32,5,FALSE) - VLOOKUP($B45,test!$A$3:$G$32,6,FALSE) &gt;= (test!$B$34+VLOOKUP(VLOOKUP($B45,test!$A$2:$I$32,4,FALSE),test!$J$10:$P$14,4,FALSE))/1440),1,0)</f>
        <v>0</v>
      </c>
      <c r="F45" s="2">
        <f>IF(AND(VLOOKUP(F$1,test!$A$3:$F$32,5,FALSE) - VLOOKUP($B45,test!$A$3:$G$32,6,FALSE) &gt;= (test!$B$34+VLOOKUP(VLOOKUP($B45,test!$A$2:$I$32,4,FALSE),test!$J$10:$P$14,4,FALSE))/1440),1,0)</f>
        <v>0</v>
      </c>
      <c r="G45" s="2">
        <f>IF(AND(VLOOKUP(G$1,test!$A$3:$F$32,5,FALSE) - VLOOKUP($B45,test!$A$3:$G$32,6,FALSE) &gt;= (test!$B$34+VLOOKUP(VLOOKUP($B45,test!$A$2:$I$32,4,FALSE),test!$J$10:$P$14,4,FALSE))/1440),1,0)</f>
        <v>0</v>
      </c>
      <c r="H45" s="2">
        <f>IF(AND(VLOOKUP(H$1,test!$A$3:$F$32,5,FALSE) - VLOOKUP($B45,test!$A$3:$G$32,6,FALSE) &gt;= (test!$B$34+VLOOKUP(VLOOKUP($B45,test!$A$2:$I$32,4,FALSE),test!$J$10:$P$14,4,FALSE))/1440),1,0)</f>
        <v>0</v>
      </c>
      <c r="I45" s="2">
        <f>IF(AND(VLOOKUP(I$1,test!$A$3:$F$32,5,FALSE) - VLOOKUP($B45,test!$A$3:$G$32,6,FALSE) &gt;= (test!$B$34+VLOOKUP(VLOOKUP($B45,test!$A$2:$I$32,4,FALSE),test!$J$10:$P$14,4,FALSE))/1440),1,0)</f>
        <v>0</v>
      </c>
      <c r="J45" s="2">
        <f>IF(AND(VLOOKUP(J$1,test!$A$3:$F$32,5,FALSE) - VLOOKUP($B45,test!$A$3:$G$32,6,FALSE) &gt;= (test!$B$34+VLOOKUP(VLOOKUP($B45,test!$A$2:$I$32,4,FALSE),test!$J$10:$P$14,4,FALSE))/1440),1,0)</f>
        <v>0</v>
      </c>
      <c r="K45" s="2">
        <f>IF(AND(VLOOKUP(K$1,test!$A$3:$F$32,5,FALSE) - VLOOKUP($B45,test!$A$3:$G$32,6,FALSE) &gt;= (test!$B$34+VLOOKUP(VLOOKUP($B45,test!$A$2:$I$32,4,FALSE),test!$J$10:$P$14,4,FALSE))/1440),1,0)</f>
        <v>0</v>
      </c>
      <c r="L45" s="2">
        <f>IF(AND(VLOOKUP(L$1,test!$A$3:$F$32,5,FALSE) - VLOOKUP($B45,test!$A$3:$G$32,6,FALSE) &gt;= (test!$B$34+VLOOKUP(VLOOKUP($B45,test!$A$2:$I$32,4,FALSE),test!$J$10:$P$14,4,FALSE))/1440),1,0)</f>
        <v>0</v>
      </c>
      <c r="M45" s="2">
        <f>IF(AND(VLOOKUP(M$1,test!$A$3:$F$32,5,FALSE) - VLOOKUP($B45,test!$A$3:$G$32,6,FALSE) &gt;= (test!$B$34+VLOOKUP(VLOOKUP($B45,test!$A$2:$I$32,4,FALSE),test!$J$10:$P$14,4,FALSE))/1440),1,0)</f>
        <v>0</v>
      </c>
      <c r="N45" s="2">
        <f>IF(AND(VLOOKUP(N$1,test!$A$3:$F$32,5,FALSE) - VLOOKUP($B45,test!$A$3:$G$32,6,FALSE) &gt;= (test!$B$34+VLOOKUP(VLOOKUP($B45,test!$A$2:$I$32,4,FALSE),test!$J$10:$P$14,4,FALSE))/1440),1,0)</f>
        <v>0</v>
      </c>
      <c r="O45" s="2">
        <f>IF(AND(VLOOKUP(O$1,test!$A$3:$F$32,5,FALSE) - VLOOKUP($B45,test!$A$3:$G$32,6,FALSE) &gt;= (test!$B$34+VLOOKUP(VLOOKUP($B45,test!$A$2:$I$32,4,FALSE),test!$J$10:$P$14,4,FALSE))/1440),1,0)</f>
        <v>0</v>
      </c>
      <c r="P45" s="2">
        <f>IF(AND(VLOOKUP(P$1,test!$A$3:$F$32,5,FALSE) - VLOOKUP($B45,test!$A$3:$G$32,6,FALSE) &gt;= (test!$B$34+VLOOKUP(VLOOKUP($B45,test!$A$2:$I$32,4,FALSE),test!$J$10:$P$14,4,FALSE))/1440),1,0)</f>
        <v>0</v>
      </c>
      <c r="Q45" s="2">
        <f>IF(AND(VLOOKUP(Q$1,test!$A$3:$F$32,5,FALSE) - VLOOKUP($B45,test!$A$3:$G$32,6,FALSE) &gt;= (test!$B$34+VLOOKUP(VLOOKUP($B45,test!$A$2:$I$32,4,FALSE),test!$J$10:$P$14,4,FALSE))/1440),1,0)</f>
        <v>0</v>
      </c>
      <c r="R45" s="2">
        <f>IF(AND(VLOOKUP(R$1,test!$A$3:$F$32,5,FALSE) - VLOOKUP($B45,test!$A$3:$G$32,6,FALSE) &gt;= (test!$B$34+VLOOKUP(VLOOKUP($B45,test!$A$2:$I$32,4,FALSE),test!$J$10:$P$14,4,FALSE))/1440),1,0)</f>
        <v>0</v>
      </c>
      <c r="S45" s="2">
        <f>IF(AND(VLOOKUP(S$1,test!$A$3:$F$32,5,FALSE) - VLOOKUP($B45,test!$A$3:$G$32,6,FALSE) &gt;= (test!$B$34+VLOOKUP(VLOOKUP($B45,test!$A$2:$I$32,4,FALSE),test!$J$10:$P$14,4,FALSE))/1440),1,0)</f>
        <v>0</v>
      </c>
      <c r="T45" s="2">
        <f>IF(AND(VLOOKUP(T$1,test!$A$3:$F$32,5,FALSE) - VLOOKUP($B45,test!$A$3:$G$32,6,FALSE) &gt;= (test!$B$34+VLOOKUP(VLOOKUP($B45,test!$A$2:$I$32,4,FALSE),test!$J$10:$P$14,4,FALSE))/1440),1,0)</f>
        <v>0</v>
      </c>
      <c r="U45" s="2">
        <f>IF(AND(VLOOKUP(U$1,test!$A$3:$F$32,5,FALSE) - VLOOKUP($B45,test!$A$3:$G$32,6,FALSE) &gt;= (test!$B$34+VLOOKUP(VLOOKUP($B45,test!$A$2:$I$32,4,FALSE),test!$J$10:$P$14,4,FALSE))/1440),1,0)</f>
        <v>0</v>
      </c>
      <c r="V45" s="2">
        <f>IF(AND(VLOOKUP(V$1,test!$A$3:$F$32,5,FALSE) - VLOOKUP($B45,test!$A$3:$G$32,6,FALSE) &gt;= (test!$B$34+VLOOKUP(VLOOKUP($B45,test!$A$2:$I$32,4,FALSE),test!$J$10:$P$14,4,FALSE))/1440),1,0)</f>
        <v>0</v>
      </c>
      <c r="W45" s="2">
        <f>IF(AND(VLOOKUP(W$1,test!$A$3:$F$32,5,FALSE) - VLOOKUP($B45,test!$A$3:$G$32,6,FALSE) &gt;= (test!$B$34+VLOOKUP(VLOOKUP($B45,test!$A$2:$I$32,4,FALSE),test!$J$10:$P$14,4,FALSE))/1440),1,0)</f>
        <v>0</v>
      </c>
      <c r="X45" s="2">
        <f>IF(AND(VLOOKUP(X$1,test!$A$3:$F$32,5,FALSE) - VLOOKUP($B45,test!$A$3:$G$32,6,FALSE) &gt;= (test!$B$34+VLOOKUP(VLOOKUP($B45,test!$A$2:$I$32,4,FALSE),test!$J$10:$P$14,4,FALSE))/1440),1,0)</f>
        <v>0</v>
      </c>
      <c r="Y45" s="2">
        <f>IF(AND(VLOOKUP(Y$1,test!$A$3:$F$32,5,FALSE) - VLOOKUP($B45,test!$A$3:$G$32,6,FALSE) &gt;= (test!$B$34+VLOOKUP(VLOOKUP($B45,test!$A$2:$I$32,4,FALSE),test!$J$10:$P$14,4,FALSE))/1440),1,0)</f>
        <v>0</v>
      </c>
      <c r="Z45" s="2">
        <f>IF(AND(VLOOKUP(Z$1,test!$A$3:$F$32,5,FALSE) - VLOOKUP($B45,test!$A$3:$G$32,6,FALSE) &gt;= (test!$B$34+VLOOKUP(VLOOKUP($B45,test!$A$2:$I$32,4,FALSE),test!$J$10:$P$14,4,FALSE))/1440),1,0)</f>
        <v>0</v>
      </c>
      <c r="AA45" s="2">
        <f>IF(AND(VLOOKUP(AA$1,test!$A$3:$F$32,5,FALSE) - VLOOKUP($B45,test!$A$3:$G$32,6,FALSE) &gt;= (test!$B$34+VLOOKUP(VLOOKUP($B45,test!$A$2:$I$32,4,FALSE),test!$J$10:$P$14,4,FALSE))/1440),1,0)</f>
        <v>0</v>
      </c>
      <c r="AB45" s="2">
        <f>IF(AND(VLOOKUP(AB$1,test!$A$3:$F$32,5,FALSE) - VLOOKUP($B45,test!$A$3:$G$32,6,FALSE) &gt;= (test!$B$34+VLOOKUP(VLOOKUP($B45,test!$A$2:$I$32,4,FALSE),test!$J$10:$P$14,4,FALSE))/1440),1,0)</f>
        <v>0</v>
      </c>
      <c r="AC45" s="2">
        <f>IF(AND(VLOOKUP(AC$1,test!$A$3:$F$32,5,FALSE) - VLOOKUP($B45,test!$A$3:$G$32,6,FALSE) &gt;= (test!$B$34+VLOOKUP(VLOOKUP($B45,test!$A$2:$I$32,4,FALSE),test!$J$10:$P$14,4,FALSE))/1440),1,0)</f>
        <v>0</v>
      </c>
      <c r="AD45" s="2">
        <f>IF(AND(VLOOKUP(AD$1,test!$A$3:$F$32,5,FALSE) - VLOOKUP($B45,test!$A$3:$G$32,6,FALSE) &gt;= (test!$B$34+VLOOKUP(VLOOKUP($B45,test!$A$2:$I$32,4,FALSE),test!$J$10:$P$14,4,FALSE))/1440),1,0)</f>
        <v>0</v>
      </c>
      <c r="AE45" s="2">
        <f>IF(AND(VLOOKUP(AE$1,test!$A$3:$F$32,5,FALSE) - VLOOKUP($B45,test!$A$3:$G$32,6,FALSE) &gt;= (test!$B$34+VLOOKUP(VLOOKUP($B45,test!$A$2:$I$32,4,FALSE),test!$J$10:$P$14,4,FALSE))/1440),1,0)</f>
        <v>0</v>
      </c>
      <c r="AF45" s="2">
        <f>IF(AND(VLOOKUP(AF$1,test!$A$3:$F$32,5,FALSE) - VLOOKUP($B45,test!$A$3:$G$32,6,FALSE) &gt;= (test!$B$34+VLOOKUP(VLOOKUP($B45,test!$A$2:$I$32,4,FALSE),test!$J$10:$P$14,4,FALSE))/1440),1,0)</f>
        <v>0</v>
      </c>
      <c r="AG45" s="2">
        <f>IF(AND(VLOOKUP(AG$1,test!$A$3:$F$32,5,FALSE) - VLOOKUP($B45,test!$A$3:$G$32,6,FALSE) &gt;= (test!$B$34+VLOOKUP(VLOOKUP($B45,test!$A$2:$I$32,4,FALSE),test!$J$10:$P$14,4,FALSE))/1440),1,0)</f>
        <v>0</v>
      </c>
    </row>
    <row r="46" spans="1:33" x14ac:dyDescent="0.25">
      <c r="A46" t="s">
        <v>90</v>
      </c>
      <c r="B46" t="s">
        <v>23</v>
      </c>
      <c r="C46">
        <v>0</v>
      </c>
      <c r="D46" s="2">
        <f>IF(AND(VLOOKUP(D$1,test!$A$3:$F$32,5,FALSE) - VLOOKUP($B46,test!$A$3:$G$32,6,FALSE) &gt;= (test!$B$34+VLOOKUP(VLOOKUP($B46,test!$A$2:$I$32,4,FALSE),test!$J$10:$P$14,4,FALSE))/1440),1,0)</f>
        <v>0</v>
      </c>
      <c r="E46" s="2">
        <f>IF(AND(VLOOKUP(E$1,test!$A$3:$F$32,5,FALSE) - VLOOKUP($B46,test!$A$3:$G$32,6,FALSE) &gt;= (test!$B$34+VLOOKUP(VLOOKUP($B46,test!$A$2:$I$32,4,FALSE),test!$J$10:$P$14,4,FALSE))/1440),1,0)</f>
        <v>0</v>
      </c>
      <c r="F46" s="2">
        <f>IF(AND(VLOOKUP(F$1,test!$A$3:$F$32,5,FALSE) - VLOOKUP($B46,test!$A$3:$G$32,6,FALSE) &gt;= (test!$B$34+VLOOKUP(VLOOKUP($B46,test!$A$2:$I$32,4,FALSE),test!$J$10:$P$14,4,FALSE))/1440),1,0)</f>
        <v>0</v>
      </c>
      <c r="G46" s="2">
        <f>IF(AND(VLOOKUP(G$1,test!$A$3:$F$32,5,FALSE) - VLOOKUP($B46,test!$A$3:$G$32,6,FALSE) &gt;= (test!$B$34+VLOOKUP(VLOOKUP($B46,test!$A$2:$I$32,4,FALSE),test!$J$10:$P$14,4,FALSE))/1440),1,0)</f>
        <v>0</v>
      </c>
      <c r="H46" s="2">
        <f>IF(AND(VLOOKUP(H$1,test!$A$3:$F$32,5,FALSE) - VLOOKUP($B46,test!$A$3:$G$32,6,FALSE) &gt;= (test!$B$34+VLOOKUP(VLOOKUP($B46,test!$A$2:$I$32,4,FALSE),test!$J$10:$P$14,4,FALSE))/1440),1,0)</f>
        <v>0</v>
      </c>
      <c r="I46" s="2">
        <f>IF(AND(VLOOKUP(I$1,test!$A$3:$F$32,5,FALSE) - VLOOKUP($B46,test!$A$3:$G$32,6,FALSE) &gt;= (test!$B$34+VLOOKUP(VLOOKUP($B46,test!$A$2:$I$32,4,FALSE),test!$J$10:$P$14,4,FALSE))/1440),1,0)</f>
        <v>0</v>
      </c>
      <c r="J46" s="2">
        <f>IF(AND(VLOOKUP(J$1,test!$A$3:$F$32,5,FALSE) - VLOOKUP($B46,test!$A$3:$G$32,6,FALSE) &gt;= (test!$B$34+VLOOKUP(VLOOKUP($B46,test!$A$2:$I$32,4,FALSE),test!$J$10:$P$14,4,FALSE))/1440),1,0)</f>
        <v>0</v>
      </c>
      <c r="K46" s="2">
        <f>IF(AND(VLOOKUP(K$1,test!$A$3:$F$32,5,FALSE) - VLOOKUP($B46,test!$A$3:$G$32,6,FALSE) &gt;= (test!$B$34+VLOOKUP(VLOOKUP($B46,test!$A$2:$I$32,4,FALSE),test!$J$10:$P$14,4,FALSE))/1440),1,0)</f>
        <v>0</v>
      </c>
      <c r="L46" s="2">
        <f>IF(AND(VLOOKUP(L$1,test!$A$3:$F$32,5,FALSE) - VLOOKUP($B46,test!$A$3:$G$32,6,FALSE) &gt;= (test!$B$34+VLOOKUP(VLOOKUP($B46,test!$A$2:$I$32,4,FALSE),test!$J$10:$P$14,4,FALSE))/1440),1,0)</f>
        <v>0</v>
      </c>
      <c r="M46" s="2">
        <f>IF(AND(VLOOKUP(M$1,test!$A$3:$F$32,5,FALSE) - VLOOKUP($B46,test!$A$3:$G$32,6,FALSE) &gt;= (test!$B$34+VLOOKUP(VLOOKUP($B46,test!$A$2:$I$32,4,FALSE),test!$J$10:$P$14,4,FALSE))/1440),1,0)</f>
        <v>0</v>
      </c>
      <c r="N46" s="2">
        <f>IF(AND(VLOOKUP(N$1,test!$A$3:$F$32,5,FALSE) - VLOOKUP($B46,test!$A$3:$G$32,6,FALSE) &gt;= (test!$B$34+VLOOKUP(VLOOKUP($B46,test!$A$2:$I$32,4,FALSE),test!$J$10:$P$14,4,FALSE))/1440),1,0)</f>
        <v>0</v>
      </c>
      <c r="O46" s="2">
        <f>IF(AND(VLOOKUP(O$1,test!$A$3:$F$32,5,FALSE) - VLOOKUP($B46,test!$A$3:$G$32,6,FALSE) &gt;= (test!$B$34+VLOOKUP(VLOOKUP($B46,test!$A$2:$I$32,4,FALSE),test!$J$10:$P$14,4,FALSE))/1440),1,0)</f>
        <v>0</v>
      </c>
      <c r="P46" s="2">
        <f>IF(AND(VLOOKUP(P$1,test!$A$3:$F$32,5,FALSE) - VLOOKUP($B46,test!$A$3:$G$32,6,FALSE) &gt;= (test!$B$34+VLOOKUP(VLOOKUP($B46,test!$A$2:$I$32,4,FALSE),test!$J$10:$P$14,4,FALSE))/1440),1,0)</f>
        <v>0</v>
      </c>
      <c r="Q46" s="2">
        <f>IF(AND(VLOOKUP(Q$1,test!$A$3:$F$32,5,FALSE) - VLOOKUP($B46,test!$A$3:$G$32,6,FALSE) &gt;= (test!$B$34+VLOOKUP(VLOOKUP($B46,test!$A$2:$I$32,4,FALSE),test!$J$10:$P$14,4,FALSE))/1440),1,0)</f>
        <v>0</v>
      </c>
      <c r="R46" s="2">
        <f>IF(AND(VLOOKUP(R$1,test!$A$3:$F$32,5,FALSE) - VLOOKUP($B46,test!$A$3:$G$32,6,FALSE) &gt;= (test!$B$34+VLOOKUP(VLOOKUP($B46,test!$A$2:$I$32,4,FALSE),test!$J$10:$P$14,4,FALSE))/1440),1,0)</f>
        <v>0</v>
      </c>
      <c r="S46" s="2">
        <f>IF(AND(VLOOKUP(S$1,test!$A$3:$F$32,5,FALSE) - VLOOKUP($B46,test!$A$3:$G$32,6,FALSE) &gt;= (test!$B$34+VLOOKUP(VLOOKUP($B46,test!$A$2:$I$32,4,FALSE),test!$J$10:$P$14,4,FALSE))/1440),1,0)</f>
        <v>0</v>
      </c>
      <c r="T46" s="2">
        <f>IF(AND(VLOOKUP(T$1,test!$A$3:$F$32,5,FALSE) - VLOOKUP($B46,test!$A$3:$G$32,6,FALSE) &gt;= (test!$B$34+VLOOKUP(VLOOKUP($B46,test!$A$2:$I$32,4,FALSE),test!$J$10:$P$14,4,FALSE))/1440),1,0)</f>
        <v>0</v>
      </c>
      <c r="U46" s="2">
        <f>IF(AND(VLOOKUP(U$1,test!$A$3:$F$32,5,FALSE) - VLOOKUP($B46,test!$A$3:$G$32,6,FALSE) &gt;= (test!$B$34+VLOOKUP(VLOOKUP($B46,test!$A$2:$I$32,4,FALSE),test!$J$10:$P$14,4,FALSE))/1440),1,0)</f>
        <v>0</v>
      </c>
      <c r="V46" s="2">
        <f>IF(AND(VLOOKUP(V$1,test!$A$3:$F$32,5,FALSE) - VLOOKUP($B46,test!$A$3:$G$32,6,FALSE) &gt;= (test!$B$34+VLOOKUP(VLOOKUP($B46,test!$A$2:$I$32,4,FALSE),test!$J$10:$P$14,4,FALSE))/1440),1,0)</f>
        <v>0</v>
      </c>
      <c r="W46" s="2">
        <f>IF(AND(VLOOKUP(W$1,test!$A$3:$F$32,5,FALSE) - VLOOKUP($B46,test!$A$3:$G$32,6,FALSE) &gt;= (test!$B$34+VLOOKUP(VLOOKUP($B46,test!$A$2:$I$32,4,FALSE),test!$J$10:$P$14,4,FALSE))/1440),1,0)</f>
        <v>0</v>
      </c>
      <c r="X46" s="2">
        <f>IF(AND(VLOOKUP(X$1,test!$A$3:$F$32,5,FALSE) - VLOOKUP($B46,test!$A$3:$G$32,6,FALSE) &gt;= (test!$B$34+VLOOKUP(VLOOKUP($B46,test!$A$2:$I$32,4,FALSE),test!$J$10:$P$14,4,FALSE))/1440),1,0)</f>
        <v>0</v>
      </c>
      <c r="Y46" s="2">
        <f>IF(AND(VLOOKUP(Y$1,test!$A$3:$F$32,5,FALSE) - VLOOKUP($B46,test!$A$3:$G$32,6,FALSE) &gt;= (test!$B$34+VLOOKUP(VLOOKUP($B46,test!$A$2:$I$32,4,FALSE),test!$J$10:$P$14,4,FALSE))/1440),1,0)</f>
        <v>0</v>
      </c>
      <c r="Z46" s="2">
        <f>IF(AND(VLOOKUP(Z$1,test!$A$3:$F$32,5,FALSE) - VLOOKUP($B46,test!$A$3:$G$32,6,FALSE) &gt;= (test!$B$34+VLOOKUP(VLOOKUP($B46,test!$A$2:$I$32,4,FALSE),test!$J$10:$P$14,4,FALSE))/1440),1,0)</f>
        <v>0</v>
      </c>
      <c r="AA46" s="2">
        <f>IF(AND(VLOOKUP(AA$1,test!$A$3:$F$32,5,FALSE) - VLOOKUP($B46,test!$A$3:$G$32,6,FALSE) &gt;= (test!$B$34+VLOOKUP(VLOOKUP($B46,test!$A$2:$I$32,4,FALSE),test!$J$10:$P$14,4,FALSE))/1440),1,0)</f>
        <v>0</v>
      </c>
      <c r="AB46" s="2">
        <f>IF(AND(VLOOKUP(AB$1,test!$A$3:$F$32,5,FALSE) - VLOOKUP($B46,test!$A$3:$G$32,6,FALSE) &gt;= (test!$B$34+VLOOKUP(VLOOKUP($B46,test!$A$2:$I$32,4,FALSE),test!$J$10:$P$14,4,FALSE))/1440),1,0)</f>
        <v>0</v>
      </c>
      <c r="AC46" s="2">
        <f>IF(AND(VLOOKUP(AC$1,test!$A$3:$F$32,5,FALSE) - VLOOKUP($B46,test!$A$3:$G$32,6,FALSE) &gt;= (test!$B$34+VLOOKUP(VLOOKUP($B46,test!$A$2:$I$32,4,FALSE),test!$J$10:$P$14,4,FALSE))/1440),1,0)</f>
        <v>0</v>
      </c>
      <c r="AD46" s="2">
        <f>IF(AND(VLOOKUP(AD$1,test!$A$3:$F$32,5,FALSE) - VLOOKUP($B46,test!$A$3:$G$32,6,FALSE) &gt;= (test!$B$34+VLOOKUP(VLOOKUP($B46,test!$A$2:$I$32,4,FALSE),test!$J$10:$P$14,4,FALSE))/1440),1,0)</f>
        <v>0</v>
      </c>
      <c r="AE46" s="2">
        <f>IF(AND(VLOOKUP(AE$1,test!$A$3:$F$32,5,FALSE) - VLOOKUP($B46,test!$A$3:$G$32,6,FALSE) &gt;= (test!$B$34+VLOOKUP(VLOOKUP($B46,test!$A$2:$I$32,4,FALSE),test!$J$10:$P$14,4,FALSE))/1440),1,0)</f>
        <v>0</v>
      </c>
      <c r="AF46" s="2">
        <f>IF(AND(VLOOKUP(AF$1,test!$A$3:$F$32,5,FALSE) - VLOOKUP($B46,test!$A$3:$G$32,6,FALSE) &gt;= (test!$B$34+VLOOKUP(VLOOKUP($B46,test!$A$2:$I$32,4,FALSE),test!$J$10:$P$14,4,FALSE))/1440),1,0)</f>
        <v>0</v>
      </c>
      <c r="AG46" s="2">
        <f>IF(AND(VLOOKUP(AG$1,test!$A$3:$F$32,5,FALSE) - VLOOKUP($B46,test!$A$3:$G$32,6,FALSE) &gt;= (test!$B$34+VLOOKUP(VLOOKUP($B46,test!$A$2:$I$32,4,FALSE),test!$J$10:$P$14,4,FALSE))/1440),1,0)</f>
        <v>0</v>
      </c>
    </row>
    <row r="47" spans="1:33" x14ac:dyDescent="0.25">
      <c r="A47" t="s">
        <v>90</v>
      </c>
      <c r="B47" t="s">
        <v>24</v>
      </c>
      <c r="C47">
        <v>0</v>
      </c>
      <c r="D47" s="2">
        <f>IF(AND(VLOOKUP(D$1,test!$A$3:$F$32,5,FALSE) - VLOOKUP($B47,test!$A$3:$G$32,6,FALSE) &gt;= (test!$B$34+VLOOKUP(VLOOKUP($B47,test!$A$2:$I$32,4,FALSE),test!$J$10:$P$14,4,FALSE))/1440),1,0)</f>
        <v>0</v>
      </c>
      <c r="E47" s="2">
        <f>IF(AND(VLOOKUP(E$1,test!$A$3:$F$32,5,FALSE) - VLOOKUP($B47,test!$A$3:$G$32,6,FALSE) &gt;= (test!$B$34+VLOOKUP(VLOOKUP($B47,test!$A$2:$I$32,4,FALSE),test!$J$10:$P$14,4,FALSE))/1440),1,0)</f>
        <v>0</v>
      </c>
      <c r="F47" s="2">
        <f>IF(AND(VLOOKUP(F$1,test!$A$3:$F$32,5,FALSE) - VLOOKUP($B47,test!$A$3:$G$32,6,FALSE) &gt;= (test!$B$34+VLOOKUP(VLOOKUP($B47,test!$A$2:$I$32,4,FALSE),test!$J$10:$P$14,4,FALSE))/1440),1,0)</f>
        <v>0</v>
      </c>
      <c r="G47" s="2">
        <f>IF(AND(VLOOKUP(G$1,test!$A$3:$F$32,5,FALSE) - VLOOKUP($B47,test!$A$3:$G$32,6,FALSE) &gt;= (test!$B$34+VLOOKUP(VLOOKUP($B47,test!$A$2:$I$32,4,FALSE),test!$J$10:$P$14,4,FALSE))/1440),1,0)</f>
        <v>0</v>
      </c>
      <c r="H47" s="2">
        <f>IF(AND(VLOOKUP(H$1,test!$A$3:$F$32,5,FALSE) - VLOOKUP($B47,test!$A$3:$G$32,6,FALSE) &gt;= (test!$B$34+VLOOKUP(VLOOKUP($B47,test!$A$2:$I$32,4,FALSE),test!$J$10:$P$14,4,FALSE))/1440),1,0)</f>
        <v>0</v>
      </c>
      <c r="I47" s="2">
        <f>IF(AND(VLOOKUP(I$1,test!$A$3:$F$32,5,FALSE) - VLOOKUP($B47,test!$A$3:$G$32,6,FALSE) &gt;= (test!$B$34+VLOOKUP(VLOOKUP($B47,test!$A$2:$I$32,4,FALSE),test!$J$10:$P$14,4,FALSE))/1440),1,0)</f>
        <v>1</v>
      </c>
      <c r="J47" s="2">
        <f>IF(AND(VLOOKUP(J$1,test!$A$3:$F$32,5,FALSE) - VLOOKUP($B47,test!$A$3:$G$32,6,FALSE) &gt;= (test!$B$34+VLOOKUP(VLOOKUP($B47,test!$A$2:$I$32,4,FALSE),test!$J$10:$P$14,4,FALSE))/1440),1,0)</f>
        <v>1</v>
      </c>
      <c r="K47" s="2">
        <f>IF(AND(VLOOKUP(K$1,test!$A$3:$F$32,5,FALSE) - VLOOKUP($B47,test!$A$3:$G$32,6,FALSE) &gt;= (test!$B$34+VLOOKUP(VLOOKUP($B47,test!$A$2:$I$32,4,FALSE),test!$J$10:$P$14,4,FALSE))/1440),1,0)</f>
        <v>1</v>
      </c>
      <c r="L47" s="2">
        <f>IF(AND(VLOOKUP(L$1,test!$A$3:$F$32,5,FALSE) - VLOOKUP($B47,test!$A$3:$G$32,6,FALSE) &gt;= (test!$B$34+VLOOKUP(VLOOKUP($B47,test!$A$2:$I$32,4,FALSE),test!$J$10:$P$14,4,FALSE))/1440),1,0)</f>
        <v>0</v>
      </c>
      <c r="M47" s="2">
        <f>IF(AND(VLOOKUP(M$1,test!$A$3:$F$32,5,FALSE) - VLOOKUP($B47,test!$A$3:$G$32,6,FALSE) &gt;= (test!$B$34+VLOOKUP(VLOOKUP($B47,test!$A$2:$I$32,4,FALSE),test!$J$10:$P$14,4,FALSE))/1440),1,0)</f>
        <v>0</v>
      </c>
      <c r="N47" s="2">
        <f>IF(AND(VLOOKUP(N$1,test!$A$3:$F$32,5,FALSE) - VLOOKUP($B47,test!$A$3:$G$32,6,FALSE) &gt;= (test!$B$34+VLOOKUP(VLOOKUP($B47,test!$A$2:$I$32,4,FALSE),test!$J$10:$P$14,4,FALSE))/1440),1,0)</f>
        <v>0</v>
      </c>
      <c r="O47" s="2">
        <f>IF(AND(VLOOKUP(O$1,test!$A$3:$F$32,5,FALSE) - VLOOKUP($B47,test!$A$3:$G$32,6,FALSE) &gt;= (test!$B$34+VLOOKUP(VLOOKUP($B47,test!$A$2:$I$32,4,FALSE),test!$J$10:$P$14,4,FALSE))/1440),1,0)</f>
        <v>1</v>
      </c>
      <c r="P47" s="2">
        <f>IF(AND(VLOOKUP(P$1,test!$A$3:$F$32,5,FALSE) - VLOOKUP($B47,test!$A$3:$G$32,6,FALSE) &gt;= (test!$B$34+VLOOKUP(VLOOKUP($B47,test!$A$2:$I$32,4,FALSE),test!$J$10:$P$14,4,FALSE))/1440),1,0)</f>
        <v>1</v>
      </c>
      <c r="Q47" s="2">
        <f>IF(AND(VLOOKUP(Q$1,test!$A$3:$F$32,5,FALSE) - VLOOKUP($B47,test!$A$3:$G$32,6,FALSE) &gt;= (test!$B$34+VLOOKUP(VLOOKUP($B47,test!$A$2:$I$32,4,FALSE),test!$J$10:$P$14,4,FALSE))/1440),1,0)</f>
        <v>0</v>
      </c>
      <c r="R47" s="2">
        <f>IF(AND(VLOOKUP(R$1,test!$A$3:$F$32,5,FALSE) - VLOOKUP($B47,test!$A$3:$G$32,6,FALSE) &gt;= (test!$B$34+VLOOKUP(VLOOKUP($B47,test!$A$2:$I$32,4,FALSE),test!$J$10:$P$14,4,FALSE))/1440),1,0)</f>
        <v>0</v>
      </c>
      <c r="S47" s="2">
        <f>IF(AND(VLOOKUP(S$1,test!$A$3:$F$32,5,FALSE) - VLOOKUP($B47,test!$A$3:$G$32,6,FALSE) &gt;= (test!$B$34+VLOOKUP(VLOOKUP($B47,test!$A$2:$I$32,4,FALSE),test!$J$10:$P$14,4,FALSE))/1440),1,0)</f>
        <v>0</v>
      </c>
      <c r="T47" s="2">
        <f>IF(AND(VLOOKUP(T$1,test!$A$3:$F$32,5,FALSE) - VLOOKUP($B47,test!$A$3:$G$32,6,FALSE) &gt;= (test!$B$34+VLOOKUP(VLOOKUP($B47,test!$A$2:$I$32,4,FALSE),test!$J$10:$P$14,4,FALSE))/1440),1,0)</f>
        <v>0</v>
      </c>
      <c r="U47" s="2">
        <f>IF(AND(VLOOKUP(U$1,test!$A$3:$F$32,5,FALSE) - VLOOKUP($B47,test!$A$3:$G$32,6,FALSE) &gt;= (test!$B$34+VLOOKUP(VLOOKUP($B47,test!$A$2:$I$32,4,FALSE),test!$J$10:$P$14,4,FALSE))/1440),1,0)</f>
        <v>0</v>
      </c>
      <c r="V47" s="2">
        <f>IF(AND(VLOOKUP(V$1,test!$A$3:$F$32,5,FALSE) - VLOOKUP($B47,test!$A$3:$G$32,6,FALSE) &gt;= (test!$B$34+VLOOKUP(VLOOKUP($B47,test!$A$2:$I$32,4,FALSE),test!$J$10:$P$14,4,FALSE))/1440),1,0)</f>
        <v>0</v>
      </c>
      <c r="W47" s="2">
        <f>IF(AND(VLOOKUP(W$1,test!$A$3:$F$32,5,FALSE) - VLOOKUP($B47,test!$A$3:$G$32,6,FALSE) &gt;= (test!$B$34+VLOOKUP(VLOOKUP($B47,test!$A$2:$I$32,4,FALSE),test!$J$10:$P$14,4,FALSE))/1440),1,0)</f>
        <v>0</v>
      </c>
      <c r="X47" s="2">
        <f>IF(AND(VLOOKUP(X$1,test!$A$3:$F$32,5,FALSE) - VLOOKUP($B47,test!$A$3:$G$32,6,FALSE) &gt;= (test!$B$34+VLOOKUP(VLOOKUP($B47,test!$A$2:$I$32,4,FALSE),test!$J$10:$P$14,4,FALSE))/1440),1,0)</f>
        <v>1</v>
      </c>
      <c r="Y47" s="2">
        <f>IF(AND(VLOOKUP(Y$1,test!$A$3:$F$32,5,FALSE) - VLOOKUP($B47,test!$A$3:$G$32,6,FALSE) &gt;= (test!$B$34+VLOOKUP(VLOOKUP($B47,test!$A$2:$I$32,4,FALSE),test!$J$10:$P$14,4,FALSE))/1440),1,0)</f>
        <v>1</v>
      </c>
      <c r="Z47" s="2">
        <f>IF(AND(VLOOKUP(Z$1,test!$A$3:$F$32,5,FALSE) - VLOOKUP($B47,test!$A$3:$G$32,6,FALSE) &gt;= (test!$B$34+VLOOKUP(VLOOKUP($B47,test!$A$2:$I$32,4,FALSE),test!$J$10:$P$14,4,FALSE))/1440),1,0)</f>
        <v>0</v>
      </c>
      <c r="AA47" s="2">
        <f>IF(AND(VLOOKUP(AA$1,test!$A$3:$F$32,5,FALSE) - VLOOKUP($B47,test!$A$3:$G$32,6,FALSE) &gt;= (test!$B$34+VLOOKUP(VLOOKUP($B47,test!$A$2:$I$32,4,FALSE),test!$J$10:$P$14,4,FALSE))/1440),1,0)</f>
        <v>0</v>
      </c>
      <c r="AB47" s="2">
        <f>IF(AND(VLOOKUP(AB$1,test!$A$3:$F$32,5,FALSE) - VLOOKUP($B47,test!$A$3:$G$32,6,FALSE) &gt;= (test!$B$34+VLOOKUP(VLOOKUP($B47,test!$A$2:$I$32,4,FALSE),test!$J$10:$P$14,4,FALSE))/1440),1,0)</f>
        <v>0</v>
      </c>
      <c r="AC47" s="2">
        <f>IF(AND(VLOOKUP(AC$1,test!$A$3:$F$32,5,FALSE) - VLOOKUP($B47,test!$A$3:$G$32,6,FALSE) &gt;= (test!$B$34+VLOOKUP(VLOOKUP($B47,test!$A$2:$I$32,4,FALSE),test!$J$10:$P$14,4,FALSE))/1440),1,0)</f>
        <v>0</v>
      </c>
      <c r="AD47" s="2">
        <f>IF(AND(VLOOKUP(AD$1,test!$A$3:$F$32,5,FALSE) - VLOOKUP($B47,test!$A$3:$G$32,6,FALSE) &gt;= (test!$B$34+VLOOKUP(VLOOKUP($B47,test!$A$2:$I$32,4,FALSE),test!$J$10:$P$14,4,FALSE))/1440),1,0)</f>
        <v>1</v>
      </c>
      <c r="AE47" s="2">
        <f>IF(AND(VLOOKUP(AE$1,test!$A$3:$F$32,5,FALSE) - VLOOKUP($B47,test!$A$3:$G$32,6,FALSE) &gt;= (test!$B$34+VLOOKUP(VLOOKUP($B47,test!$A$2:$I$32,4,FALSE),test!$J$10:$P$14,4,FALSE))/1440),1,0)</f>
        <v>0</v>
      </c>
      <c r="AF47" s="2">
        <f>IF(AND(VLOOKUP(AF$1,test!$A$3:$F$32,5,FALSE) - VLOOKUP($B47,test!$A$3:$G$32,6,FALSE) &gt;= (test!$B$34+VLOOKUP(VLOOKUP($B47,test!$A$2:$I$32,4,FALSE),test!$J$10:$P$14,4,FALSE))/1440),1,0)</f>
        <v>0</v>
      </c>
      <c r="AG47" s="2">
        <f>IF(AND(VLOOKUP(AG$1,test!$A$3:$F$32,5,FALSE) - VLOOKUP($B47,test!$A$3:$G$32,6,FALSE) &gt;= (test!$B$34+VLOOKUP(VLOOKUP($B47,test!$A$2:$I$32,4,FALSE),test!$J$10:$P$14,4,FALSE))/1440),1,0)</f>
        <v>0</v>
      </c>
    </row>
    <row r="48" spans="1:33" x14ac:dyDescent="0.25">
      <c r="A48" t="s">
        <v>90</v>
      </c>
      <c r="B48" t="s">
        <v>26</v>
      </c>
      <c r="C48">
        <v>0</v>
      </c>
      <c r="D48" s="2">
        <f>IF(AND(VLOOKUP(D$1,test!$A$3:$F$32,5,FALSE) - VLOOKUP($B48,test!$A$3:$G$32,6,FALSE) &gt;= (test!$B$34+VLOOKUP(VLOOKUP($B48,test!$A$2:$I$32,4,FALSE),test!$J$10:$P$14,4,FALSE))/1440),1,0)</f>
        <v>0</v>
      </c>
      <c r="E48" s="2">
        <f>IF(AND(VLOOKUP(E$1,test!$A$3:$F$32,5,FALSE) - VLOOKUP($B48,test!$A$3:$G$32,6,FALSE) &gt;= (test!$B$34+VLOOKUP(VLOOKUP($B48,test!$A$2:$I$32,4,FALSE),test!$J$10:$P$14,4,FALSE))/1440),1,0)</f>
        <v>1</v>
      </c>
      <c r="F48" s="2">
        <f>IF(AND(VLOOKUP(F$1,test!$A$3:$F$32,5,FALSE) - VLOOKUP($B48,test!$A$3:$G$32,6,FALSE) &gt;= (test!$B$34+VLOOKUP(VLOOKUP($B48,test!$A$2:$I$32,4,FALSE),test!$J$10:$P$14,4,FALSE))/1440),1,0)</f>
        <v>1</v>
      </c>
      <c r="G48" s="2">
        <f>IF(AND(VLOOKUP(G$1,test!$A$3:$F$32,5,FALSE) - VLOOKUP($B48,test!$A$3:$G$32,6,FALSE) &gt;= (test!$B$34+VLOOKUP(VLOOKUP($B48,test!$A$2:$I$32,4,FALSE),test!$J$10:$P$14,4,FALSE))/1440),1,0)</f>
        <v>1</v>
      </c>
      <c r="H48" s="2">
        <f>IF(AND(VLOOKUP(H$1,test!$A$3:$F$32,5,FALSE) - VLOOKUP($B48,test!$A$3:$G$32,6,FALSE) &gt;= (test!$B$34+VLOOKUP(VLOOKUP($B48,test!$A$2:$I$32,4,FALSE),test!$J$10:$P$14,4,FALSE))/1440),1,0)</f>
        <v>1</v>
      </c>
      <c r="I48" s="2">
        <f>IF(AND(VLOOKUP(I$1,test!$A$3:$F$32,5,FALSE) - VLOOKUP($B48,test!$A$3:$G$32,6,FALSE) &gt;= (test!$B$34+VLOOKUP(VLOOKUP($B48,test!$A$2:$I$32,4,FALSE),test!$J$10:$P$14,4,FALSE))/1440),1,0)</f>
        <v>1</v>
      </c>
      <c r="J48" s="2">
        <f>IF(AND(VLOOKUP(J$1,test!$A$3:$F$32,5,FALSE) - VLOOKUP($B48,test!$A$3:$G$32,6,FALSE) &gt;= (test!$B$34+VLOOKUP(VLOOKUP($B48,test!$A$2:$I$32,4,FALSE),test!$J$10:$P$14,4,FALSE))/1440),1,0)</f>
        <v>1</v>
      </c>
      <c r="K48" s="2">
        <f>IF(AND(VLOOKUP(K$1,test!$A$3:$F$32,5,FALSE) - VLOOKUP($B48,test!$A$3:$G$32,6,FALSE) &gt;= (test!$B$34+VLOOKUP(VLOOKUP($B48,test!$A$2:$I$32,4,FALSE),test!$J$10:$P$14,4,FALSE))/1440),1,0)</f>
        <v>1</v>
      </c>
      <c r="L48" s="2">
        <f>IF(AND(VLOOKUP(L$1,test!$A$3:$F$32,5,FALSE) - VLOOKUP($B48,test!$A$3:$G$32,6,FALSE) &gt;= (test!$B$34+VLOOKUP(VLOOKUP($B48,test!$A$2:$I$32,4,FALSE),test!$J$10:$P$14,4,FALSE))/1440),1,0)</f>
        <v>0</v>
      </c>
      <c r="M48" s="2">
        <f>IF(AND(VLOOKUP(M$1,test!$A$3:$F$32,5,FALSE) - VLOOKUP($B48,test!$A$3:$G$32,6,FALSE) &gt;= (test!$B$34+VLOOKUP(VLOOKUP($B48,test!$A$2:$I$32,4,FALSE),test!$J$10:$P$14,4,FALSE))/1440),1,0)</f>
        <v>0</v>
      </c>
      <c r="N48" s="2">
        <f>IF(AND(VLOOKUP(N$1,test!$A$3:$F$32,5,FALSE) - VLOOKUP($B48,test!$A$3:$G$32,6,FALSE) &gt;= (test!$B$34+VLOOKUP(VLOOKUP($B48,test!$A$2:$I$32,4,FALSE),test!$J$10:$P$14,4,FALSE))/1440),1,0)</f>
        <v>1</v>
      </c>
      <c r="O48" s="2">
        <f>IF(AND(VLOOKUP(O$1,test!$A$3:$F$32,5,FALSE) - VLOOKUP($B48,test!$A$3:$G$32,6,FALSE) &gt;= (test!$B$34+VLOOKUP(VLOOKUP($B48,test!$A$2:$I$32,4,FALSE),test!$J$10:$P$14,4,FALSE))/1440),1,0)</f>
        <v>1</v>
      </c>
      <c r="P48" s="2">
        <f>IF(AND(VLOOKUP(P$1,test!$A$3:$F$32,5,FALSE) - VLOOKUP($B48,test!$A$3:$G$32,6,FALSE) &gt;= (test!$B$34+VLOOKUP(VLOOKUP($B48,test!$A$2:$I$32,4,FALSE),test!$J$10:$P$14,4,FALSE))/1440),1,0)</f>
        <v>1</v>
      </c>
      <c r="Q48" s="2">
        <f>IF(AND(VLOOKUP(Q$1,test!$A$3:$F$32,5,FALSE) - VLOOKUP($B48,test!$A$3:$G$32,6,FALSE) &gt;= (test!$B$34+VLOOKUP(VLOOKUP($B48,test!$A$2:$I$32,4,FALSE),test!$J$10:$P$14,4,FALSE))/1440),1,0)</f>
        <v>0</v>
      </c>
      <c r="R48" s="2">
        <f>IF(AND(VLOOKUP(R$1,test!$A$3:$F$32,5,FALSE) - VLOOKUP($B48,test!$A$3:$G$32,6,FALSE) &gt;= (test!$B$34+VLOOKUP(VLOOKUP($B48,test!$A$2:$I$32,4,FALSE),test!$J$10:$P$14,4,FALSE))/1440),1,0)</f>
        <v>0</v>
      </c>
      <c r="S48" s="2">
        <f>IF(AND(VLOOKUP(S$1,test!$A$3:$F$32,5,FALSE) - VLOOKUP($B48,test!$A$3:$G$32,6,FALSE) &gt;= (test!$B$34+VLOOKUP(VLOOKUP($B48,test!$A$2:$I$32,4,FALSE),test!$J$10:$P$14,4,FALSE))/1440),1,0)</f>
        <v>0</v>
      </c>
      <c r="T48" s="2">
        <f>IF(AND(VLOOKUP(T$1,test!$A$3:$F$32,5,FALSE) - VLOOKUP($B48,test!$A$3:$G$32,6,FALSE) &gt;= (test!$B$34+VLOOKUP(VLOOKUP($B48,test!$A$2:$I$32,4,FALSE),test!$J$10:$P$14,4,FALSE))/1440),1,0)</f>
        <v>0</v>
      </c>
      <c r="U48" s="2">
        <f>IF(AND(VLOOKUP(U$1,test!$A$3:$F$32,5,FALSE) - VLOOKUP($B48,test!$A$3:$G$32,6,FALSE) &gt;= (test!$B$34+VLOOKUP(VLOOKUP($B48,test!$A$2:$I$32,4,FALSE),test!$J$10:$P$14,4,FALSE))/1440),1,0)</f>
        <v>1</v>
      </c>
      <c r="V48" s="2">
        <f>IF(AND(VLOOKUP(V$1,test!$A$3:$F$32,5,FALSE) - VLOOKUP($B48,test!$A$3:$G$32,6,FALSE) &gt;= (test!$B$34+VLOOKUP(VLOOKUP($B48,test!$A$2:$I$32,4,FALSE),test!$J$10:$P$14,4,FALSE))/1440),1,0)</f>
        <v>1</v>
      </c>
      <c r="W48" s="2">
        <f>IF(AND(VLOOKUP(W$1,test!$A$3:$F$32,5,FALSE) - VLOOKUP($B48,test!$A$3:$G$32,6,FALSE) &gt;= (test!$B$34+VLOOKUP(VLOOKUP($B48,test!$A$2:$I$32,4,FALSE),test!$J$10:$P$14,4,FALSE))/1440),1,0)</f>
        <v>1</v>
      </c>
      <c r="X48" s="2">
        <f>IF(AND(VLOOKUP(X$1,test!$A$3:$F$32,5,FALSE) - VLOOKUP($B48,test!$A$3:$G$32,6,FALSE) &gt;= (test!$B$34+VLOOKUP(VLOOKUP($B48,test!$A$2:$I$32,4,FALSE),test!$J$10:$P$14,4,FALSE))/1440),1,0)</f>
        <v>1</v>
      </c>
      <c r="Y48" s="2">
        <f>IF(AND(VLOOKUP(Y$1,test!$A$3:$F$32,5,FALSE) - VLOOKUP($B48,test!$A$3:$G$32,6,FALSE) &gt;= (test!$B$34+VLOOKUP(VLOOKUP($B48,test!$A$2:$I$32,4,FALSE),test!$J$10:$P$14,4,FALSE))/1440),1,0)</f>
        <v>1</v>
      </c>
      <c r="Z48" s="2">
        <f>IF(AND(VLOOKUP(Z$1,test!$A$3:$F$32,5,FALSE) - VLOOKUP($B48,test!$A$3:$G$32,6,FALSE) &gt;= (test!$B$34+VLOOKUP(VLOOKUP($B48,test!$A$2:$I$32,4,FALSE),test!$J$10:$P$14,4,FALSE))/1440),1,0)</f>
        <v>0</v>
      </c>
      <c r="AA48" s="2">
        <f>IF(AND(VLOOKUP(AA$1,test!$A$3:$F$32,5,FALSE) - VLOOKUP($B48,test!$A$3:$G$32,6,FALSE) &gt;= (test!$B$34+VLOOKUP(VLOOKUP($B48,test!$A$2:$I$32,4,FALSE),test!$J$10:$P$14,4,FALSE))/1440),1,0)</f>
        <v>1</v>
      </c>
      <c r="AB48" s="2">
        <f>IF(AND(VLOOKUP(AB$1,test!$A$3:$F$32,5,FALSE) - VLOOKUP($B48,test!$A$3:$G$32,6,FALSE) &gt;= (test!$B$34+VLOOKUP(VLOOKUP($B48,test!$A$2:$I$32,4,FALSE),test!$J$10:$P$14,4,FALSE))/1440),1,0)</f>
        <v>1</v>
      </c>
      <c r="AC48" s="2">
        <f>IF(AND(VLOOKUP(AC$1,test!$A$3:$F$32,5,FALSE) - VLOOKUP($B48,test!$A$3:$G$32,6,FALSE) &gt;= (test!$B$34+VLOOKUP(VLOOKUP($B48,test!$A$2:$I$32,4,FALSE),test!$J$10:$P$14,4,FALSE))/1440),1,0)</f>
        <v>1</v>
      </c>
      <c r="AD48" s="2">
        <f>IF(AND(VLOOKUP(AD$1,test!$A$3:$F$32,5,FALSE) - VLOOKUP($B48,test!$A$3:$G$32,6,FALSE) &gt;= (test!$B$34+VLOOKUP(VLOOKUP($B48,test!$A$2:$I$32,4,FALSE),test!$J$10:$P$14,4,FALSE))/1440),1,0)</f>
        <v>1</v>
      </c>
      <c r="AE48" s="2">
        <f>IF(AND(VLOOKUP(AE$1,test!$A$3:$F$32,5,FALSE) - VLOOKUP($B48,test!$A$3:$G$32,6,FALSE) &gt;= (test!$B$34+VLOOKUP(VLOOKUP($B48,test!$A$2:$I$32,4,FALSE),test!$J$10:$P$14,4,FALSE))/1440),1,0)</f>
        <v>0</v>
      </c>
      <c r="AF48" s="2">
        <f>IF(AND(VLOOKUP(AF$1,test!$A$3:$F$32,5,FALSE) - VLOOKUP($B48,test!$A$3:$G$32,6,FALSE) &gt;= (test!$B$34+VLOOKUP(VLOOKUP($B48,test!$A$2:$I$32,4,FALSE),test!$J$10:$P$14,4,FALSE))/1440),1,0)</f>
        <v>1</v>
      </c>
      <c r="AG48" s="2">
        <f>IF(AND(VLOOKUP(AG$1,test!$A$3:$F$32,5,FALSE) - VLOOKUP($B48,test!$A$3:$G$32,6,FALSE) &gt;= (test!$B$34+VLOOKUP(VLOOKUP($B48,test!$A$2:$I$32,4,FALSE),test!$J$10:$P$14,4,FALSE))/1440),1,0)</f>
        <v>1</v>
      </c>
    </row>
    <row r="49" spans="1:33" x14ac:dyDescent="0.25">
      <c r="A49" t="s">
        <v>90</v>
      </c>
      <c r="B49" t="s">
        <v>27</v>
      </c>
      <c r="C49">
        <v>0</v>
      </c>
      <c r="D49" s="2">
        <f>IF(AND(VLOOKUP(D$1,test!$A$3:$F$32,5,FALSE) - VLOOKUP($B49,test!$A$3:$G$32,6,FALSE) &gt;= (test!$B$34+VLOOKUP(VLOOKUP($B49,test!$A$2:$I$32,4,FALSE),test!$J$10:$P$14,4,FALSE))/1440),1,0)</f>
        <v>0</v>
      </c>
      <c r="E49" s="2">
        <f>IF(AND(VLOOKUP(E$1,test!$A$3:$F$32,5,FALSE) - VLOOKUP($B49,test!$A$3:$G$32,6,FALSE) &gt;= (test!$B$34+VLOOKUP(VLOOKUP($B49,test!$A$2:$I$32,4,FALSE),test!$J$10:$P$14,4,FALSE))/1440),1,0)</f>
        <v>0</v>
      </c>
      <c r="F49" s="2">
        <f>IF(AND(VLOOKUP(F$1,test!$A$3:$F$32,5,FALSE) - VLOOKUP($B49,test!$A$3:$G$32,6,FALSE) &gt;= (test!$B$34+VLOOKUP(VLOOKUP($B49,test!$A$2:$I$32,4,FALSE),test!$J$10:$P$14,4,FALSE))/1440),1,0)</f>
        <v>1</v>
      </c>
      <c r="G49" s="2">
        <f>IF(AND(VLOOKUP(G$1,test!$A$3:$F$32,5,FALSE) - VLOOKUP($B49,test!$A$3:$G$32,6,FALSE) &gt;= (test!$B$34+VLOOKUP(VLOOKUP($B49,test!$A$2:$I$32,4,FALSE),test!$J$10:$P$14,4,FALSE))/1440),1,0)</f>
        <v>1</v>
      </c>
      <c r="H49" s="2">
        <f>IF(AND(VLOOKUP(H$1,test!$A$3:$F$32,5,FALSE) - VLOOKUP($B49,test!$A$3:$G$32,6,FALSE) &gt;= (test!$B$34+VLOOKUP(VLOOKUP($B49,test!$A$2:$I$32,4,FALSE),test!$J$10:$P$14,4,FALSE))/1440),1,0)</f>
        <v>1</v>
      </c>
      <c r="I49" s="2">
        <f>IF(AND(VLOOKUP(I$1,test!$A$3:$F$32,5,FALSE) - VLOOKUP($B49,test!$A$3:$G$32,6,FALSE) &gt;= (test!$B$34+VLOOKUP(VLOOKUP($B49,test!$A$2:$I$32,4,FALSE),test!$J$10:$P$14,4,FALSE))/1440),1,0)</f>
        <v>1</v>
      </c>
      <c r="J49" s="2">
        <f>IF(AND(VLOOKUP(J$1,test!$A$3:$F$32,5,FALSE) - VLOOKUP($B49,test!$A$3:$G$32,6,FALSE) &gt;= (test!$B$34+VLOOKUP(VLOOKUP($B49,test!$A$2:$I$32,4,FALSE),test!$J$10:$P$14,4,FALSE))/1440),1,0)</f>
        <v>1</v>
      </c>
      <c r="K49" s="2">
        <f>IF(AND(VLOOKUP(K$1,test!$A$3:$F$32,5,FALSE) - VLOOKUP($B49,test!$A$3:$G$32,6,FALSE) &gt;= (test!$B$34+VLOOKUP(VLOOKUP($B49,test!$A$2:$I$32,4,FALSE),test!$J$10:$P$14,4,FALSE))/1440),1,0)</f>
        <v>1</v>
      </c>
      <c r="L49" s="2">
        <f>IF(AND(VLOOKUP(L$1,test!$A$3:$F$32,5,FALSE) - VLOOKUP($B49,test!$A$3:$G$32,6,FALSE) &gt;= (test!$B$34+VLOOKUP(VLOOKUP($B49,test!$A$2:$I$32,4,FALSE),test!$J$10:$P$14,4,FALSE))/1440),1,0)</f>
        <v>0</v>
      </c>
      <c r="M49" s="2">
        <f>IF(AND(VLOOKUP(M$1,test!$A$3:$F$32,5,FALSE) - VLOOKUP($B49,test!$A$3:$G$32,6,FALSE) &gt;= (test!$B$34+VLOOKUP(VLOOKUP($B49,test!$A$2:$I$32,4,FALSE),test!$J$10:$P$14,4,FALSE))/1440),1,0)</f>
        <v>0</v>
      </c>
      <c r="N49" s="2">
        <f>IF(AND(VLOOKUP(N$1,test!$A$3:$F$32,5,FALSE) - VLOOKUP($B49,test!$A$3:$G$32,6,FALSE) &gt;= (test!$B$34+VLOOKUP(VLOOKUP($B49,test!$A$2:$I$32,4,FALSE),test!$J$10:$P$14,4,FALSE))/1440),1,0)</f>
        <v>0</v>
      </c>
      <c r="O49" s="2">
        <f>IF(AND(VLOOKUP(O$1,test!$A$3:$F$32,5,FALSE) - VLOOKUP($B49,test!$A$3:$G$32,6,FALSE) &gt;= (test!$B$34+VLOOKUP(VLOOKUP($B49,test!$A$2:$I$32,4,FALSE),test!$J$10:$P$14,4,FALSE))/1440),1,0)</f>
        <v>1</v>
      </c>
      <c r="P49" s="2">
        <f>IF(AND(VLOOKUP(P$1,test!$A$3:$F$32,5,FALSE) - VLOOKUP($B49,test!$A$3:$G$32,6,FALSE) &gt;= (test!$B$34+VLOOKUP(VLOOKUP($B49,test!$A$2:$I$32,4,FALSE),test!$J$10:$P$14,4,FALSE))/1440),1,0)</f>
        <v>1</v>
      </c>
      <c r="Q49" s="2">
        <f>IF(AND(VLOOKUP(Q$1,test!$A$3:$F$32,5,FALSE) - VLOOKUP($B49,test!$A$3:$G$32,6,FALSE) &gt;= (test!$B$34+VLOOKUP(VLOOKUP($B49,test!$A$2:$I$32,4,FALSE),test!$J$10:$P$14,4,FALSE))/1440),1,0)</f>
        <v>0</v>
      </c>
      <c r="R49" s="2">
        <f>IF(AND(VLOOKUP(R$1,test!$A$3:$F$32,5,FALSE) - VLOOKUP($B49,test!$A$3:$G$32,6,FALSE) &gt;= (test!$B$34+VLOOKUP(VLOOKUP($B49,test!$A$2:$I$32,4,FALSE),test!$J$10:$P$14,4,FALSE))/1440),1,0)</f>
        <v>0</v>
      </c>
      <c r="S49" s="2">
        <f>IF(AND(VLOOKUP(S$1,test!$A$3:$F$32,5,FALSE) - VLOOKUP($B49,test!$A$3:$G$32,6,FALSE) &gt;= (test!$B$34+VLOOKUP(VLOOKUP($B49,test!$A$2:$I$32,4,FALSE),test!$J$10:$P$14,4,FALSE))/1440),1,0)</f>
        <v>0</v>
      </c>
      <c r="T49" s="2">
        <f>IF(AND(VLOOKUP(T$1,test!$A$3:$F$32,5,FALSE) - VLOOKUP($B49,test!$A$3:$G$32,6,FALSE) &gt;= (test!$B$34+VLOOKUP(VLOOKUP($B49,test!$A$2:$I$32,4,FALSE),test!$J$10:$P$14,4,FALSE))/1440),1,0)</f>
        <v>0</v>
      </c>
      <c r="U49" s="2">
        <f>IF(AND(VLOOKUP(U$1,test!$A$3:$F$32,5,FALSE) - VLOOKUP($B49,test!$A$3:$G$32,6,FALSE) &gt;= (test!$B$34+VLOOKUP(VLOOKUP($B49,test!$A$2:$I$32,4,FALSE),test!$J$10:$P$14,4,FALSE))/1440),1,0)</f>
        <v>0</v>
      </c>
      <c r="V49" s="2">
        <f>IF(AND(VLOOKUP(V$1,test!$A$3:$F$32,5,FALSE) - VLOOKUP($B49,test!$A$3:$G$32,6,FALSE) &gt;= (test!$B$34+VLOOKUP(VLOOKUP($B49,test!$A$2:$I$32,4,FALSE),test!$J$10:$P$14,4,FALSE))/1440),1,0)</f>
        <v>1</v>
      </c>
      <c r="W49" s="2">
        <f>IF(AND(VLOOKUP(W$1,test!$A$3:$F$32,5,FALSE) - VLOOKUP($B49,test!$A$3:$G$32,6,FALSE) &gt;= (test!$B$34+VLOOKUP(VLOOKUP($B49,test!$A$2:$I$32,4,FALSE),test!$J$10:$P$14,4,FALSE))/1440),1,0)</f>
        <v>1</v>
      </c>
      <c r="X49" s="2">
        <f>IF(AND(VLOOKUP(X$1,test!$A$3:$F$32,5,FALSE) - VLOOKUP($B49,test!$A$3:$G$32,6,FALSE) &gt;= (test!$B$34+VLOOKUP(VLOOKUP($B49,test!$A$2:$I$32,4,FALSE),test!$J$10:$P$14,4,FALSE))/1440),1,0)</f>
        <v>1</v>
      </c>
      <c r="Y49" s="2">
        <f>IF(AND(VLOOKUP(Y$1,test!$A$3:$F$32,5,FALSE) - VLOOKUP($B49,test!$A$3:$G$32,6,FALSE) &gt;= (test!$B$34+VLOOKUP(VLOOKUP($B49,test!$A$2:$I$32,4,FALSE),test!$J$10:$P$14,4,FALSE))/1440),1,0)</f>
        <v>1</v>
      </c>
      <c r="Z49" s="2">
        <f>IF(AND(VLOOKUP(Z$1,test!$A$3:$F$32,5,FALSE) - VLOOKUP($B49,test!$A$3:$G$32,6,FALSE) &gt;= (test!$B$34+VLOOKUP(VLOOKUP($B49,test!$A$2:$I$32,4,FALSE),test!$J$10:$P$14,4,FALSE))/1440),1,0)</f>
        <v>0</v>
      </c>
      <c r="AA49" s="2">
        <f>IF(AND(VLOOKUP(AA$1,test!$A$3:$F$32,5,FALSE) - VLOOKUP($B49,test!$A$3:$G$32,6,FALSE) &gt;= (test!$B$34+VLOOKUP(VLOOKUP($B49,test!$A$2:$I$32,4,FALSE),test!$J$10:$P$14,4,FALSE))/1440),1,0)</f>
        <v>0</v>
      </c>
      <c r="AB49" s="2">
        <f>IF(AND(VLOOKUP(AB$1,test!$A$3:$F$32,5,FALSE) - VLOOKUP($B49,test!$A$3:$G$32,6,FALSE) &gt;= (test!$B$34+VLOOKUP(VLOOKUP($B49,test!$A$2:$I$32,4,FALSE),test!$J$10:$P$14,4,FALSE))/1440),1,0)</f>
        <v>1</v>
      </c>
      <c r="AC49" s="2">
        <f>IF(AND(VLOOKUP(AC$1,test!$A$3:$F$32,5,FALSE) - VLOOKUP($B49,test!$A$3:$G$32,6,FALSE) &gt;= (test!$B$34+VLOOKUP(VLOOKUP($B49,test!$A$2:$I$32,4,FALSE),test!$J$10:$P$14,4,FALSE))/1440),1,0)</f>
        <v>1</v>
      </c>
      <c r="AD49" s="2">
        <f>IF(AND(VLOOKUP(AD$1,test!$A$3:$F$32,5,FALSE) - VLOOKUP($B49,test!$A$3:$G$32,6,FALSE) &gt;= (test!$B$34+VLOOKUP(VLOOKUP($B49,test!$A$2:$I$32,4,FALSE),test!$J$10:$P$14,4,FALSE))/1440),1,0)</f>
        <v>1</v>
      </c>
      <c r="AE49" s="2">
        <f>IF(AND(VLOOKUP(AE$1,test!$A$3:$F$32,5,FALSE) - VLOOKUP($B49,test!$A$3:$G$32,6,FALSE) &gt;= (test!$B$34+VLOOKUP(VLOOKUP($B49,test!$A$2:$I$32,4,FALSE),test!$J$10:$P$14,4,FALSE))/1440),1,0)</f>
        <v>0</v>
      </c>
      <c r="AF49" s="2">
        <f>IF(AND(VLOOKUP(AF$1,test!$A$3:$F$32,5,FALSE) - VLOOKUP($B49,test!$A$3:$G$32,6,FALSE) &gt;= (test!$B$34+VLOOKUP(VLOOKUP($B49,test!$A$2:$I$32,4,FALSE),test!$J$10:$P$14,4,FALSE))/1440),1,0)</f>
        <v>1</v>
      </c>
      <c r="AG49" s="2">
        <f>IF(AND(VLOOKUP(AG$1,test!$A$3:$F$32,5,FALSE) - VLOOKUP($B49,test!$A$3:$G$32,6,FALSE) &gt;= (test!$B$34+VLOOKUP(VLOOKUP($B49,test!$A$2:$I$32,4,FALSE),test!$J$10:$P$14,4,FALSE))/1440),1,0)</f>
        <v>0</v>
      </c>
    </row>
    <row r="50" spans="1:33" x14ac:dyDescent="0.25">
      <c r="A50" t="s">
        <v>90</v>
      </c>
      <c r="B50" t="s">
        <v>28</v>
      </c>
      <c r="C50">
        <v>0</v>
      </c>
      <c r="D50" s="2">
        <f>IF(AND(VLOOKUP(D$1,test!$A$3:$F$32,5,FALSE) - VLOOKUP($B50,test!$A$3:$G$32,6,FALSE) &gt;= (test!$B$34+VLOOKUP(VLOOKUP($B50,test!$A$2:$I$32,4,FALSE),test!$J$10:$P$14,4,FALSE))/1440),1,0)</f>
        <v>0</v>
      </c>
      <c r="E50" s="2">
        <f>IF(AND(VLOOKUP(E$1,test!$A$3:$F$32,5,FALSE) - VLOOKUP($B50,test!$A$3:$G$32,6,FALSE) &gt;= (test!$B$34+VLOOKUP(VLOOKUP($B50,test!$A$2:$I$32,4,FALSE),test!$J$10:$P$14,4,FALSE))/1440),1,0)</f>
        <v>0</v>
      </c>
      <c r="F50" s="2">
        <f>IF(AND(VLOOKUP(F$1,test!$A$3:$F$32,5,FALSE) - VLOOKUP($B50,test!$A$3:$G$32,6,FALSE) &gt;= (test!$B$34+VLOOKUP(VLOOKUP($B50,test!$A$2:$I$32,4,FALSE),test!$J$10:$P$14,4,FALSE))/1440),1,0)</f>
        <v>0</v>
      </c>
      <c r="G50" s="2">
        <f>IF(AND(VLOOKUP(G$1,test!$A$3:$F$32,5,FALSE) - VLOOKUP($B50,test!$A$3:$G$32,6,FALSE) &gt;= (test!$B$34+VLOOKUP(VLOOKUP($B50,test!$A$2:$I$32,4,FALSE),test!$J$10:$P$14,4,FALSE))/1440),1,0)</f>
        <v>1</v>
      </c>
      <c r="H50" s="2">
        <f>IF(AND(VLOOKUP(H$1,test!$A$3:$F$32,5,FALSE) - VLOOKUP($B50,test!$A$3:$G$32,6,FALSE) &gt;= (test!$B$34+VLOOKUP(VLOOKUP($B50,test!$A$2:$I$32,4,FALSE),test!$J$10:$P$14,4,FALSE))/1440),1,0)</f>
        <v>1</v>
      </c>
      <c r="I50" s="2">
        <f>IF(AND(VLOOKUP(I$1,test!$A$3:$F$32,5,FALSE) - VLOOKUP($B50,test!$A$3:$G$32,6,FALSE) &gt;= (test!$B$34+VLOOKUP(VLOOKUP($B50,test!$A$2:$I$32,4,FALSE),test!$J$10:$P$14,4,FALSE))/1440),1,0)</f>
        <v>1</v>
      </c>
      <c r="J50" s="2">
        <f>IF(AND(VLOOKUP(J$1,test!$A$3:$F$32,5,FALSE) - VLOOKUP($B50,test!$A$3:$G$32,6,FALSE) &gt;= (test!$B$34+VLOOKUP(VLOOKUP($B50,test!$A$2:$I$32,4,FALSE),test!$J$10:$P$14,4,FALSE))/1440),1,0)</f>
        <v>1</v>
      </c>
      <c r="K50" s="2">
        <f>IF(AND(VLOOKUP(K$1,test!$A$3:$F$32,5,FALSE) - VLOOKUP($B50,test!$A$3:$G$32,6,FALSE) &gt;= (test!$B$34+VLOOKUP(VLOOKUP($B50,test!$A$2:$I$32,4,FALSE),test!$J$10:$P$14,4,FALSE))/1440),1,0)</f>
        <v>1</v>
      </c>
      <c r="L50" s="2">
        <f>IF(AND(VLOOKUP(L$1,test!$A$3:$F$32,5,FALSE) - VLOOKUP($B50,test!$A$3:$G$32,6,FALSE) &gt;= (test!$B$34+VLOOKUP(VLOOKUP($B50,test!$A$2:$I$32,4,FALSE),test!$J$10:$P$14,4,FALSE))/1440),1,0)</f>
        <v>0</v>
      </c>
      <c r="M50" s="2">
        <f>IF(AND(VLOOKUP(M$1,test!$A$3:$F$32,5,FALSE) - VLOOKUP($B50,test!$A$3:$G$32,6,FALSE) &gt;= (test!$B$34+VLOOKUP(VLOOKUP($B50,test!$A$2:$I$32,4,FALSE),test!$J$10:$P$14,4,FALSE))/1440),1,0)</f>
        <v>0</v>
      </c>
      <c r="N50" s="2">
        <f>IF(AND(VLOOKUP(N$1,test!$A$3:$F$32,5,FALSE) - VLOOKUP($B50,test!$A$3:$G$32,6,FALSE) &gt;= (test!$B$34+VLOOKUP(VLOOKUP($B50,test!$A$2:$I$32,4,FALSE),test!$J$10:$P$14,4,FALSE))/1440),1,0)</f>
        <v>0</v>
      </c>
      <c r="O50" s="2">
        <f>IF(AND(VLOOKUP(O$1,test!$A$3:$F$32,5,FALSE) - VLOOKUP($B50,test!$A$3:$G$32,6,FALSE) &gt;= (test!$B$34+VLOOKUP(VLOOKUP($B50,test!$A$2:$I$32,4,FALSE),test!$J$10:$P$14,4,FALSE))/1440),1,0)</f>
        <v>1</v>
      </c>
      <c r="P50" s="2">
        <f>IF(AND(VLOOKUP(P$1,test!$A$3:$F$32,5,FALSE) - VLOOKUP($B50,test!$A$3:$G$32,6,FALSE) &gt;= (test!$B$34+VLOOKUP(VLOOKUP($B50,test!$A$2:$I$32,4,FALSE),test!$J$10:$P$14,4,FALSE))/1440),1,0)</f>
        <v>1</v>
      </c>
      <c r="Q50" s="2">
        <f>IF(AND(VLOOKUP(Q$1,test!$A$3:$F$32,5,FALSE) - VLOOKUP($B50,test!$A$3:$G$32,6,FALSE) &gt;= (test!$B$34+VLOOKUP(VLOOKUP($B50,test!$A$2:$I$32,4,FALSE),test!$J$10:$P$14,4,FALSE))/1440),1,0)</f>
        <v>0</v>
      </c>
      <c r="R50" s="2">
        <f>IF(AND(VLOOKUP(R$1,test!$A$3:$F$32,5,FALSE) - VLOOKUP($B50,test!$A$3:$G$32,6,FALSE) &gt;= (test!$B$34+VLOOKUP(VLOOKUP($B50,test!$A$2:$I$32,4,FALSE),test!$J$10:$P$14,4,FALSE))/1440),1,0)</f>
        <v>0</v>
      </c>
      <c r="S50" s="2">
        <f>IF(AND(VLOOKUP(S$1,test!$A$3:$F$32,5,FALSE) - VLOOKUP($B50,test!$A$3:$G$32,6,FALSE) &gt;= (test!$B$34+VLOOKUP(VLOOKUP($B50,test!$A$2:$I$32,4,FALSE),test!$J$10:$P$14,4,FALSE))/1440),1,0)</f>
        <v>0</v>
      </c>
      <c r="T50" s="2">
        <f>IF(AND(VLOOKUP(T$1,test!$A$3:$F$32,5,FALSE) - VLOOKUP($B50,test!$A$3:$G$32,6,FALSE) &gt;= (test!$B$34+VLOOKUP(VLOOKUP($B50,test!$A$2:$I$32,4,FALSE),test!$J$10:$P$14,4,FALSE))/1440),1,0)</f>
        <v>0</v>
      </c>
      <c r="U50" s="2">
        <f>IF(AND(VLOOKUP(U$1,test!$A$3:$F$32,5,FALSE) - VLOOKUP($B50,test!$A$3:$G$32,6,FALSE) &gt;= (test!$B$34+VLOOKUP(VLOOKUP($B50,test!$A$2:$I$32,4,FALSE),test!$J$10:$P$14,4,FALSE))/1440),1,0)</f>
        <v>0</v>
      </c>
      <c r="V50" s="2">
        <f>IF(AND(VLOOKUP(V$1,test!$A$3:$F$32,5,FALSE) - VLOOKUP($B50,test!$A$3:$G$32,6,FALSE) &gt;= (test!$B$34+VLOOKUP(VLOOKUP($B50,test!$A$2:$I$32,4,FALSE),test!$J$10:$P$14,4,FALSE))/1440),1,0)</f>
        <v>0</v>
      </c>
      <c r="W50" s="2">
        <f>IF(AND(VLOOKUP(W$1,test!$A$3:$F$32,5,FALSE) - VLOOKUP($B50,test!$A$3:$G$32,6,FALSE) &gt;= (test!$B$34+VLOOKUP(VLOOKUP($B50,test!$A$2:$I$32,4,FALSE),test!$J$10:$P$14,4,FALSE))/1440),1,0)</f>
        <v>1</v>
      </c>
      <c r="X50" s="2">
        <f>IF(AND(VLOOKUP(X$1,test!$A$3:$F$32,5,FALSE) - VLOOKUP($B50,test!$A$3:$G$32,6,FALSE) &gt;= (test!$B$34+VLOOKUP(VLOOKUP($B50,test!$A$2:$I$32,4,FALSE),test!$J$10:$P$14,4,FALSE))/1440),1,0)</f>
        <v>1</v>
      </c>
      <c r="Y50" s="2">
        <f>IF(AND(VLOOKUP(Y$1,test!$A$3:$F$32,5,FALSE) - VLOOKUP($B50,test!$A$3:$G$32,6,FALSE) &gt;= (test!$B$34+VLOOKUP(VLOOKUP($B50,test!$A$2:$I$32,4,FALSE),test!$J$10:$P$14,4,FALSE))/1440),1,0)</f>
        <v>1</v>
      </c>
      <c r="Z50" s="2">
        <f>IF(AND(VLOOKUP(Z$1,test!$A$3:$F$32,5,FALSE) - VLOOKUP($B50,test!$A$3:$G$32,6,FALSE) &gt;= (test!$B$34+VLOOKUP(VLOOKUP($B50,test!$A$2:$I$32,4,FALSE),test!$J$10:$P$14,4,FALSE))/1440),1,0)</f>
        <v>0</v>
      </c>
      <c r="AA50" s="2">
        <f>IF(AND(VLOOKUP(AA$1,test!$A$3:$F$32,5,FALSE) - VLOOKUP($B50,test!$A$3:$G$32,6,FALSE) &gt;= (test!$B$34+VLOOKUP(VLOOKUP($B50,test!$A$2:$I$32,4,FALSE),test!$J$10:$P$14,4,FALSE))/1440),1,0)</f>
        <v>0</v>
      </c>
      <c r="AB50" s="2">
        <f>IF(AND(VLOOKUP(AB$1,test!$A$3:$F$32,5,FALSE) - VLOOKUP($B50,test!$A$3:$G$32,6,FALSE) &gt;= (test!$B$34+VLOOKUP(VLOOKUP($B50,test!$A$2:$I$32,4,FALSE),test!$J$10:$P$14,4,FALSE))/1440),1,0)</f>
        <v>0</v>
      </c>
      <c r="AC50" s="2">
        <f>IF(AND(VLOOKUP(AC$1,test!$A$3:$F$32,5,FALSE) - VLOOKUP($B50,test!$A$3:$G$32,6,FALSE) &gt;= (test!$B$34+VLOOKUP(VLOOKUP($B50,test!$A$2:$I$32,4,FALSE),test!$J$10:$P$14,4,FALSE))/1440),1,0)</f>
        <v>1</v>
      </c>
      <c r="AD50" s="2">
        <f>IF(AND(VLOOKUP(AD$1,test!$A$3:$F$32,5,FALSE) - VLOOKUP($B50,test!$A$3:$G$32,6,FALSE) &gt;= (test!$B$34+VLOOKUP(VLOOKUP($B50,test!$A$2:$I$32,4,FALSE),test!$J$10:$P$14,4,FALSE))/1440),1,0)</f>
        <v>1</v>
      </c>
      <c r="AE50" s="2">
        <f>IF(AND(VLOOKUP(AE$1,test!$A$3:$F$32,5,FALSE) - VLOOKUP($B50,test!$A$3:$G$32,6,FALSE) &gt;= (test!$B$34+VLOOKUP(VLOOKUP($B50,test!$A$2:$I$32,4,FALSE),test!$J$10:$P$14,4,FALSE))/1440),1,0)</f>
        <v>0</v>
      </c>
      <c r="AF50" s="2">
        <f>IF(AND(VLOOKUP(AF$1,test!$A$3:$F$32,5,FALSE) - VLOOKUP($B50,test!$A$3:$G$32,6,FALSE) &gt;= (test!$B$34+VLOOKUP(VLOOKUP($B50,test!$A$2:$I$32,4,FALSE),test!$J$10:$P$14,4,FALSE))/1440),1,0)</f>
        <v>0</v>
      </c>
      <c r="AG50" s="2">
        <f>IF(AND(VLOOKUP(AG$1,test!$A$3:$F$32,5,FALSE) - VLOOKUP($B50,test!$A$3:$G$32,6,FALSE) &gt;= (test!$B$34+VLOOKUP(VLOOKUP($B50,test!$A$2:$I$32,4,FALSE),test!$J$10:$P$14,4,FALSE))/1440),1,0)</f>
        <v>0</v>
      </c>
    </row>
    <row r="51" spans="1:33" x14ac:dyDescent="0.25">
      <c r="A51" t="s">
        <v>90</v>
      </c>
      <c r="B51" t="s">
        <v>29</v>
      </c>
      <c r="C51">
        <v>0</v>
      </c>
      <c r="D51" s="2">
        <f>IF(AND(VLOOKUP(D$1,test!$A$3:$F$32,5,FALSE) - VLOOKUP($B51,test!$A$3:$G$32,6,FALSE) &gt;= (test!$B$34+VLOOKUP(VLOOKUP($B51,test!$A$2:$I$32,4,FALSE),test!$J$10:$P$14,4,FALSE))/1440),1,0)</f>
        <v>0</v>
      </c>
      <c r="E51" s="2">
        <f>IF(AND(VLOOKUP(E$1,test!$A$3:$F$32,5,FALSE) - VLOOKUP($B51,test!$A$3:$G$32,6,FALSE) &gt;= (test!$B$34+VLOOKUP(VLOOKUP($B51,test!$A$2:$I$32,4,FALSE),test!$J$10:$P$14,4,FALSE))/1440),1,0)</f>
        <v>0</v>
      </c>
      <c r="F51" s="2">
        <f>IF(AND(VLOOKUP(F$1,test!$A$3:$F$32,5,FALSE) - VLOOKUP($B51,test!$A$3:$G$32,6,FALSE) &gt;= (test!$B$34+VLOOKUP(VLOOKUP($B51,test!$A$2:$I$32,4,FALSE),test!$J$10:$P$14,4,FALSE))/1440),1,0)</f>
        <v>0</v>
      </c>
      <c r="G51" s="2">
        <f>IF(AND(VLOOKUP(G$1,test!$A$3:$F$32,5,FALSE) - VLOOKUP($B51,test!$A$3:$G$32,6,FALSE) &gt;= (test!$B$34+VLOOKUP(VLOOKUP($B51,test!$A$2:$I$32,4,FALSE),test!$J$10:$P$14,4,FALSE))/1440),1,0)</f>
        <v>0</v>
      </c>
      <c r="H51" s="2">
        <f>IF(AND(VLOOKUP(H$1,test!$A$3:$F$32,5,FALSE) - VLOOKUP($B51,test!$A$3:$G$32,6,FALSE) &gt;= (test!$B$34+VLOOKUP(VLOOKUP($B51,test!$A$2:$I$32,4,FALSE),test!$J$10:$P$14,4,FALSE))/1440),1,0)</f>
        <v>0</v>
      </c>
      <c r="I51" s="2">
        <f>IF(AND(VLOOKUP(I$1,test!$A$3:$F$32,5,FALSE) - VLOOKUP($B51,test!$A$3:$G$32,6,FALSE) &gt;= (test!$B$34+VLOOKUP(VLOOKUP($B51,test!$A$2:$I$32,4,FALSE),test!$J$10:$P$14,4,FALSE))/1440),1,0)</f>
        <v>1</v>
      </c>
      <c r="J51" s="2">
        <f>IF(AND(VLOOKUP(J$1,test!$A$3:$F$32,5,FALSE) - VLOOKUP($B51,test!$A$3:$G$32,6,FALSE) &gt;= (test!$B$34+VLOOKUP(VLOOKUP($B51,test!$A$2:$I$32,4,FALSE),test!$J$10:$P$14,4,FALSE))/1440),1,0)</f>
        <v>1</v>
      </c>
      <c r="K51" s="2">
        <f>IF(AND(VLOOKUP(K$1,test!$A$3:$F$32,5,FALSE) - VLOOKUP($B51,test!$A$3:$G$32,6,FALSE) &gt;= (test!$B$34+VLOOKUP(VLOOKUP($B51,test!$A$2:$I$32,4,FALSE),test!$J$10:$P$14,4,FALSE))/1440),1,0)</f>
        <v>1</v>
      </c>
      <c r="L51" s="2">
        <f>IF(AND(VLOOKUP(L$1,test!$A$3:$F$32,5,FALSE) - VLOOKUP($B51,test!$A$3:$G$32,6,FALSE) &gt;= (test!$B$34+VLOOKUP(VLOOKUP($B51,test!$A$2:$I$32,4,FALSE),test!$J$10:$P$14,4,FALSE))/1440),1,0)</f>
        <v>0</v>
      </c>
      <c r="M51" s="2">
        <f>IF(AND(VLOOKUP(M$1,test!$A$3:$F$32,5,FALSE) - VLOOKUP($B51,test!$A$3:$G$32,6,FALSE) &gt;= (test!$B$34+VLOOKUP(VLOOKUP($B51,test!$A$2:$I$32,4,FALSE),test!$J$10:$P$14,4,FALSE))/1440),1,0)</f>
        <v>0</v>
      </c>
      <c r="N51" s="2">
        <f>IF(AND(VLOOKUP(N$1,test!$A$3:$F$32,5,FALSE) - VLOOKUP($B51,test!$A$3:$G$32,6,FALSE) &gt;= (test!$B$34+VLOOKUP(VLOOKUP($B51,test!$A$2:$I$32,4,FALSE),test!$J$10:$P$14,4,FALSE))/1440),1,0)</f>
        <v>0</v>
      </c>
      <c r="O51" s="2">
        <f>IF(AND(VLOOKUP(O$1,test!$A$3:$F$32,5,FALSE) - VLOOKUP($B51,test!$A$3:$G$32,6,FALSE) &gt;= (test!$B$34+VLOOKUP(VLOOKUP($B51,test!$A$2:$I$32,4,FALSE),test!$J$10:$P$14,4,FALSE))/1440),1,0)</f>
        <v>1</v>
      </c>
      <c r="P51" s="2">
        <f>IF(AND(VLOOKUP(P$1,test!$A$3:$F$32,5,FALSE) - VLOOKUP($B51,test!$A$3:$G$32,6,FALSE) &gt;= (test!$B$34+VLOOKUP(VLOOKUP($B51,test!$A$2:$I$32,4,FALSE),test!$J$10:$P$14,4,FALSE))/1440),1,0)</f>
        <v>1</v>
      </c>
      <c r="Q51" s="2">
        <f>IF(AND(VLOOKUP(Q$1,test!$A$3:$F$32,5,FALSE) - VLOOKUP($B51,test!$A$3:$G$32,6,FALSE) &gt;= (test!$B$34+VLOOKUP(VLOOKUP($B51,test!$A$2:$I$32,4,FALSE),test!$J$10:$P$14,4,FALSE))/1440),1,0)</f>
        <v>0</v>
      </c>
      <c r="R51" s="2">
        <f>IF(AND(VLOOKUP(R$1,test!$A$3:$F$32,5,FALSE) - VLOOKUP($B51,test!$A$3:$G$32,6,FALSE) &gt;= (test!$B$34+VLOOKUP(VLOOKUP($B51,test!$A$2:$I$32,4,FALSE),test!$J$10:$P$14,4,FALSE))/1440),1,0)</f>
        <v>0</v>
      </c>
      <c r="S51" s="2">
        <f>IF(AND(VLOOKUP(S$1,test!$A$3:$F$32,5,FALSE) - VLOOKUP($B51,test!$A$3:$G$32,6,FALSE) &gt;= (test!$B$34+VLOOKUP(VLOOKUP($B51,test!$A$2:$I$32,4,FALSE),test!$J$10:$P$14,4,FALSE))/1440),1,0)</f>
        <v>0</v>
      </c>
      <c r="T51" s="2">
        <f>IF(AND(VLOOKUP(T$1,test!$A$3:$F$32,5,FALSE) - VLOOKUP($B51,test!$A$3:$G$32,6,FALSE) &gt;= (test!$B$34+VLOOKUP(VLOOKUP($B51,test!$A$2:$I$32,4,FALSE),test!$J$10:$P$14,4,FALSE))/1440),1,0)</f>
        <v>0</v>
      </c>
      <c r="U51" s="2">
        <f>IF(AND(VLOOKUP(U$1,test!$A$3:$F$32,5,FALSE) - VLOOKUP($B51,test!$A$3:$G$32,6,FALSE) &gt;= (test!$B$34+VLOOKUP(VLOOKUP($B51,test!$A$2:$I$32,4,FALSE),test!$J$10:$P$14,4,FALSE))/1440),1,0)</f>
        <v>0</v>
      </c>
      <c r="V51" s="2">
        <f>IF(AND(VLOOKUP(V$1,test!$A$3:$F$32,5,FALSE) - VLOOKUP($B51,test!$A$3:$G$32,6,FALSE) &gt;= (test!$B$34+VLOOKUP(VLOOKUP($B51,test!$A$2:$I$32,4,FALSE),test!$J$10:$P$14,4,FALSE))/1440),1,0)</f>
        <v>0</v>
      </c>
      <c r="W51" s="2">
        <f>IF(AND(VLOOKUP(W$1,test!$A$3:$F$32,5,FALSE) - VLOOKUP($B51,test!$A$3:$G$32,6,FALSE) &gt;= (test!$B$34+VLOOKUP(VLOOKUP($B51,test!$A$2:$I$32,4,FALSE),test!$J$10:$P$14,4,FALSE))/1440),1,0)</f>
        <v>0</v>
      </c>
      <c r="X51" s="2">
        <f>IF(AND(VLOOKUP(X$1,test!$A$3:$F$32,5,FALSE) - VLOOKUP($B51,test!$A$3:$G$32,6,FALSE) &gt;= (test!$B$34+VLOOKUP(VLOOKUP($B51,test!$A$2:$I$32,4,FALSE),test!$J$10:$P$14,4,FALSE))/1440),1,0)</f>
        <v>1</v>
      </c>
      <c r="Y51" s="2">
        <f>IF(AND(VLOOKUP(Y$1,test!$A$3:$F$32,5,FALSE) - VLOOKUP($B51,test!$A$3:$G$32,6,FALSE) &gt;= (test!$B$34+VLOOKUP(VLOOKUP($B51,test!$A$2:$I$32,4,FALSE),test!$J$10:$P$14,4,FALSE))/1440),1,0)</f>
        <v>1</v>
      </c>
      <c r="Z51" s="2">
        <f>IF(AND(VLOOKUP(Z$1,test!$A$3:$F$32,5,FALSE) - VLOOKUP($B51,test!$A$3:$G$32,6,FALSE) &gt;= (test!$B$34+VLOOKUP(VLOOKUP($B51,test!$A$2:$I$32,4,FALSE),test!$J$10:$P$14,4,FALSE))/1440),1,0)</f>
        <v>0</v>
      </c>
      <c r="AA51" s="2">
        <f>IF(AND(VLOOKUP(AA$1,test!$A$3:$F$32,5,FALSE) - VLOOKUP($B51,test!$A$3:$G$32,6,FALSE) &gt;= (test!$B$34+VLOOKUP(VLOOKUP($B51,test!$A$2:$I$32,4,FALSE),test!$J$10:$P$14,4,FALSE))/1440),1,0)</f>
        <v>0</v>
      </c>
      <c r="AB51" s="2">
        <f>IF(AND(VLOOKUP(AB$1,test!$A$3:$F$32,5,FALSE) - VLOOKUP($B51,test!$A$3:$G$32,6,FALSE) &gt;= (test!$B$34+VLOOKUP(VLOOKUP($B51,test!$A$2:$I$32,4,FALSE),test!$J$10:$P$14,4,FALSE))/1440),1,0)</f>
        <v>0</v>
      </c>
      <c r="AC51" s="2">
        <f>IF(AND(VLOOKUP(AC$1,test!$A$3:$F$32,5,FALSE) - VLOOKUP($B51,test!$A$3:$G$32,6,FALSE) &gt;= (test!$B$34+VLOOKUP(VLOOKUP($B51,test!$A$2:$I$32,4,FALSE),test!$J$10:$P$14,4,FALSE))/1440),1,0)</f>
        <v>0</v>
      </c>
      <c r="AD51" s="2">
        <f>IF(AND(VLOOKUP(AD$1,test!$A$3:$F$32,5,FALSE) - VLOOKUP($B51,test!$A$3:$G$32,6,FALSE) &gt;= (test!$B$34+VLOOKUP(VLOOKUP($B51,test!$A$2:$I$32,4,FALSE),test!$J$10:$P$14,4,FALSE))/1440),1,0)</f>
        <v>1</v>
      </c>
      <c r="AE51" s="2">
        <f>IF(AND(VLOOKUP(AE$1,test!$A$3:$F$32,5,FALSE) - VLOOKUP($B51,test!$A$3:$G$32,6,FALSE) &gt;= (test!$B$34+VLOOKUP(VLOOKUP($B51,test!$A$2:$I$32,4,FALSE),test!$J$10:$P$14,4,FALSE))/1440),1,0)</f>
        <v>0</v>
      </c>
      <c r="AF51" s="2">
        <f>IF(AND(VLOOKUP(AF$1,test!$A$3:$F$32,5,FALSE) - VLOOKUP($B51,test!$A$3:$G$32,6,FALSE) &gt;= (test!$B$34+VLOOKUP(VLOOKUP($B51,test!$A$2:$I$32,4,FALSE),test!$J$10:$P$14,4,FALSE))/1440),1,0)</f>
        <v>0</v>
      </c>
      <c r="AG51" s="2">
        <f>IF(AND(VLOOKUP(AG$1,test!$A$3:$F$32,5,FALSE) - VLOOKUP($B51,test!$A$3:$G$32,6,FALSE) &gt;= (test!$B$34+VLOOKUP(VLOOKUP($B51,test!$A$2:$I$32,4,FALSE),test!$J$10:$P$14,4,FALSE))/1440),1,0)</f>
        <v>0</v>
      </c>
    </row>
    <row r="52" spans="1:33" x14ac:dyDescent="0.25">
      <c r="A52" t="s">
        <v>90</v>
      </c>
      <c r="B52" t="s">
        <v>30</v>
      </c>
      <c r="C52">
        <v>0</v>
      </c>
      <c r="D52" s="2">
        <f>IF(AND(VLOOKUP(D$1,test!$A$3:$F$32,5,FALSE) - VLOOKUP($B52,test!$A$3:$G$32,6,FALSE) &gt;= (test!$B$34+VLOOKUP(VLOOKUP($B52,test!$A$2:$I$32,4,FALSE),test!$J$10:$P$14,4,FALSE))/1440),1,0)</f>
        <v>0</v>
      </c>
      <c r="E52" s="2">
        <f>IF(AND(VLOOKUP(E$1,test!$A$3:$F$32,5,FALSE) - VLOOKUP($B52,test!$A$3:$G$32,6,FALSE) &gt;= (test!$B$34+VLOOKUP(VLOOKUP($B52,test!$A$2:$I$32,4,FALSE),test!$J$10:$P$14,4,FALSE))/1440),1,0)</f>
        <v>0</v>
      </c>
      <c r="F52" s="2">
        <f>IF(AND(VLOOKUP(F$1,test!$A$3:$F$32,5,FALSE) - VLOOKUP($B52,test!$A$3:$G$32,6,FALSE) &gt;= (test!$B$34+VLOOKUP(VLOOKUP($B52,test!$A$2:$I$32,4,FALSE),test!$J$10:$P$14,4,FALSE))/1440),1,0)</f>
        <v>0</v>
      </c>
      <c r="G52" s="2">
        <f>IF(AND(VLOOKUP(G$1,test!$A$3:$F$32,5,FALSE) - VLOOKUP($B52,test!$A$3:$G$32,6,FALSE) &gt;= (test!$B$34+VLOOKUP(VLOOKUP($B52,test!$A$2:$I$32,4,FALSE),test!$J$10:$P$14,4,FALSE))/1440),1,0)</f>
        <v>0</v>
      </c>
      <c r="H52" s="2">
        <f>IF(AND(VLOOKUP(H$1,test!$A$3:$F$32,5,FALSE) - VLOOKUP($B52,test!$A$3:$G$32,6,FALSE) &gt;= (test!$B$34+VLOOKUP(VLOOKUP($B52,test!$A$2:$I$32,4,FALSE),test!$J$10:$P$14,4,FALSE))/1440),1,0)</f>
        <v>0</v>
      </c>
      <c r="I52" s="2">
        <f>IF(AND(VLOOKUP(I$1,test!$A$3:$F$32,5,FALSE) - VLOOKUP($B52,test!$A$3:$G$32,6,FALSE) &gt;= (test!$B$34+VLOOKUP(VLOOKUP($B52,test!$A$2:$I$32,4,FALSE),test!$J$10:$P$14,4,FALSE))/1440),1,0)</f>
        <v>0</v>
      </c>
      <c r="J52" s="2">
        <f>IF(AND(VLOOKUP(J$1,test!$A$3:$F$32,5,FALSE) - VLOOKUP($B52,test!$A$3:$G$32,6,FALSE) &gt;= (test!$B$34+VLOOKUP(VLOOKUP($B52,test!$A$2:$I$32,4,FALSE),test!$J$10:$P$14,4,FALSE))/1440),1,0)</f>
        <v>1</v>
      </c>
      <c r="K52" s="2">
        <f>IF(AND(VLOOKUP(K$1,test!$A$3:$F$32,5,FALSE) - VLOOKUP($B52,test!$A$3:$G$32,6,FALSE) &gt;= (test!$B$34+VLOOKUP(VLOOKUP($B52,test!$A$2:$I$32,4,FALSE),test!$J$10:$P$14,4,FALSE))/1440),1,0)</f>
        <v>1</v>
      </c>
      <c r="L52" s="2">
        <f>IF(AND(VLOOKUP(L$1,test!$A$3:$F$32,5,FALSE) - VLOOKUP($B52,test!$A$3:$G$32,6,FALSE) &gt;= (test!$B$34+VLOOKUP(VLOOKUP($B52,test!$A$2:$I$32,4,FALSE),test!$J$10:$P$14,4,FALSE))/1440),1,0)</f>
        <v>0</v>
      </c>
      <c r="M52" s="2">
        <f>IF(AND(VLOOKUP(M$1,test!$A$3:$F$32,5,FALSE) - VLOOKUP($B52,test!$A$3:$G$32,6,FALSE) &gt;= (test!$B$34+VLOOKUP(VLOOKUP($B52,test!$A$2:$I$32,4,FALSE),test!$J$10:$P$14,4,FALSE))/1440),1,0)</f>
        <v>0</v>
      </c>
      <c r="N52" s="2">
        <f>IF(AND(VLOOKUP(N$1,test!$A$3:$F$32,5,FALSE) - VLOOKUP($B52,test!$A$3:$G$32,6,FALSE) &gt;= (test!$B$34+VLOOKUP(VLOOKUP($B52,test!$A$2:$I$32,4,FALSE),test!$J$10:$P$14,4,FALSE))/1440),1,0)</f>
        <v>0</v>
      </c>
      <c r="O52" s="2">
        <f>IF(AND(VLOOKUP(O$1,test!$A$3:$F$32,5,FALSE) - VLOOKUP($B52,test!$A$3:$G$32,6,FALSE) &gt;= (test!$B$34+VLOOKUP(VLOOKUP($B52,test!$A$2:$I$32,4,FALSE),test!$J$10:$P$14,4,FALSE))/1440),1,0)</f>
        <v>1</v>
      </c>
      <c r="P52" s="2">
        <f>IF(AND(VLOOKUP(P$1,test!$A$3:$F$32,5,FALSE) - VLOOKUP($B52,test!$A$3:$G$32,6,FALSE) &gt;= (test!$B$34+VLOOKUP(VLOOKUP($B52,test!$A$2:$I$32,4,FALSE),test!$J$10:$P$14,4,FALSE))/1440),1,0)</f>
        <v>1</v>
      </c>
      <c r="Q52" s="2">
        <f>IF(AND(VLOOKUP(Q$1,test!$A$3:$F$32,5,FALSE) - VLOOKUP($B52,test!$A$3:$G$32,6,FALSE) &gt;= (test!$B$34+VLOOKUP(VLOOKUP($B52,test!$A$2:$I$32,4,FALSE),test!$J$10:$P$14,4,FALSE))/1440),1,0)</f>
        <v>0</v>
      </c>
      <c r="R52" s="2">
        <f>IF(AND(VLOOKUP(R$1,test!$A$3:$F$32,5,FALSE) - VLOOKUP($B52,test!$A$3:$G$32,6,FALSE) &gt;= (test!$B$34+VLOOKUP(VLOOKUP($B52,test!$A$2:$I$32,4,FALSE),test!$J$10:$P$14,4,FALSE))/1440),1,0)</f>
        <v>0</v>
      </c>
      <c r="S52" s="2">
        <f>IF(AND(VLOOKUP(S$1,test!$A$3:$F$32,5,FALSE) - VLOOKUP($B52,test!$A$3:$G$32,6,FALSE) &gt;= (test!$B$34+VLOOKUP(VLOOKUP($B52,test!$A$2:$I$32,4,FALSE),test!$J$10:$P$14,4,FALSE))/1440),1,0)</f>
        <v>0</v>
      </c>
      <c r="T52" s="2">
        <f>IF(AND(VLOOKUP(T$1,test!$A$3:$F$32,5,FALSE) - VLOOKUP($B52,test!$A$3:$G$32,6,FALSE) &gt;= (test!$B$34+VLOOKUP(VLOOKUP($B52,test!$A$2:$I$32,4,FALSE),test!$J$10:$P$14,4,FALSE))/1440),1,0)</f>
        <v>0</v>
      </c>
      <c r="U52" s="2">
        <f>IF(AND(VLOOKUP(U$1,test!$A$3:$F$32,5,FALSE) - VLOOKUP($B52,test!$A$3:$G$32,6,FALSE) &gt;= (test!$B$34+VLOOKUP(VLOOKUP($B52,test!$A$2:$I$32,4,FALSE),test!$J$10:$P$14,4,FALSE))/1440),1,0)</f>
        <v>0</v>
      </c>
      <c r="V52" s="2">
        <f>IF(AND(VLOOKUP(V$1,test!$A$3:$F$32,5,FALSE) - VLOOKUP($B52,test!$A$3:$G$32,6,FALSE) &gt;= (test!$B$34+VLOOKUP(VLOOKUP($B52,test!$A$2:$I$32,4,FALSE),test!$J$10:$P$14,4,FALSE))/1440),1,0)</f>
        <v>0</v>
      </c>
      <c r="W52" s="2">
        <f>IF(AND(VLOOKUP(W$1,test!$A$3:$F$32,5,FALSE) - VLOOKUP($B52,test!$A$3:$G$32,6,FALSE) &gt;= (test!$B$34+VLOOKUP(VLOOKUP($B52,test!$A$2:$I$32,4,FALSE),test!$J$10:$P$14,4,FALSE))/1440),1,0)</f>
        <v>0</v>
      </c>
      <c r="X52" s="2">
        <f>IF(AND(VLOOKUP(X$1,test!$A$3:$F$32,5,FALSE) - VLOOKUP($B52,test!$A$3:$G$32,6,FALSE) &gt;= (test!$B$34+VLOOKUP(VLOOKUP($B52,test!$A$2:$I$32,4,FALSE),test!$J$10:$P$14,4,FALSE))/1440),1,0)</f>
        <v>0</v>
      </c>
      <c r="Y52" s="2">
        <f>IF(AND(VLOOKUP(Y$1,test!$A$3:$F$32,5,FALSE) - VLOOKUP($B52,test!$A$3:$G$32,6,FALSE) &gt;= (test!$B$34+VLOOKUP(VLOOKUP($B52,test!$A$2:$I$32,4,FALSE),test!$J$10:$P$14,4,FALSE))/1440),1,0)</f>
        <v>1</v>
      </c>
      <c r="Z52" s="2">
        <f>IF(AND(VLOOKUP(Z$1,test!$A$3:$F$32,5,FALSE) - VLOOKUP($B52,test!$A$3:$G$32,6,FALSE) &gt;= (test!$B$34+VLOOKUP(VLOOKUP($B52,test!$A$2:$I$32,4,FALSE),test!$J$10:$P$14,4,FALSE))/1440),1,0)</f>
        <v>0</v>
      </c>
      <c r="AA52" s="2">
        <f>IF(AND(VLOOKUP(AA$1,test!$A$3:$F$32,5,FALSE) - VLOOKUP($B52,test!$A$3:$G$32,6,FALSE) &gt;= (test!$B$34+VLOOKUP(VLOOKUP($B52,test!$A$2:$I$32,4,FALSE),test!$J$10:$P$14,4,FALSE))/1440),1,0)</f>
        <v>0</v>
      </c>
      <c r="AB52" s="2">
        <f>IF(AND(VLOOKUP(AB$1,test!$A$3:$F$32,5,FALSE) - VLOOKUP($B52,test!$A$3:$G$32,6,FALSE) &gt;= (test!$B$34+VLOOKUP(VLOOKUP($B52,test!$A$2:$I$32,4,FALSE),test!$J$10:$P$14,4,FALSE))/1440),1,0)</f>
        <v>0</v>
      </c>
      <c r="AC52" s="2">
        <f>IF(AND(VLOOKUP(AC$1,test!$A$3:$F$32,5,FALSE) - VLOOKUP($B52,test!$A$3:$G$32,6,FALSE) &gt;= (test!$B$34+VLOOKUP(VLOOKUP($B52,test!$A$2:$I$32,4,FALSE),test!$J$10:$P$14,4,FALSE))/1440),1,0)</f>
        <v>0</v>
      </c>
      <c r="AD52" s="2">
        <f>IF(AND(VLOOKUP(AD$1,test!$A$3:$F$32,5,FALSE) - VLOOKUP($B52,test!$A$3:$G$32,6,FALSE) &gt;= (test!$B$34+VLOOKUP(VLOOKUP($B52,test!$A$2:$I$32,4,FALSE),test!$J$10:$P$14,4,FALSE))/1440),1,0)</f>
        <v>0</v>
      </c>
      <c r="AE52" s="2">
        <f>IF(AND(VLOOKUP(AE$1,test!$A$3:$F$32,5,FALSE) - VLOOKUP($B52,test!$A$3:$G$32,6,FALSE) &gt;= (test!$B$34+VLOOKUP(VLOOKUP($B52,test!$A$2:$I$32,4,FALSE),test!$J$10:$P$14,4,FALSE))/1440),1,0)</f>
        <v>0</v>
      </c>
      <c r="AF52" s="2">
        <f>IF(AND(VLOOKUP(AF$1,test!$A$3:$F$32,5,FALSE) - VLOOKUP($B52,test!$A$3:$G$32,6,FALSE) &gt;= (test!$B$34+VLOOKUP(VLOOKUP($B52,test!$A$2:$I$32,4,FALSE),test!$J$10:$P$14,4,FALSE))/1440),1,0)</f>
        <v>0</v>
      </c>
      <c r="AG52" s="2">
        <f>IF(AND(VLOOKUP(AG$1,test!$A$3:$F$32,5,FALSE) - VLOOKUP($B52,test!$A$3:$G$32,6,FALSE) &gt;= (test!$B$34+VLOOKUP(VLOOKUP($B52,test!$A$2:$I$32,4,FALSE),test!$J$10:$P$14,4,FALSE))/1440),1,0)</f>
        <v>0</v>
      </c>
    </row>
    <row r="53" spans="1:33" x14ac:dyDescent="0.25">
      <c r="A53" t="s">
        <v>90</v>
      </c>
      <c r="B53" t="s">
        <v>31</v>
      </c>
      <c r="C53">
        <v>0</v>
      </c>
      <c r="D53" s="2">
        <f>IF(AND(VLOOKUP(D$1,test!$A$3:$F$32,5,FALSE) - VLOOKUP($B53,test!$A$3:$G$32,6,FALSE) &gt;= (test!$B$34+VLOOKUP(VLOOKUP($B53,test!$A$2:$I$32,4,FALSE),test!$J$10:$P$14,4,FALSE))/1440),1,0)</f>
        <v>0</v>
      </c>
      <c r="E53" s="2">
        <f>IF(AND(VLOOKUP(E$1,test!$A$3:$F$32,5,FALSE) - VLOOKUP($B53,test!$A$3:$G$32,6,FALSE) &gt;= (test!$B$34+VLOOKUP(VLOOKUP($B53,test!$A$2:$I$32,4,FALSE),test!$J$10:$P$14,4,FALSE))/1440),1,0)</f>
        <v>0</v>
      </c>
      <c r="F53" s="2">
        <f>IF(AND(VLOOKUP(F$1,test!$A$3:$F$32,5,FALSE) - VLOOKUP($B53,test!$A$3:$G$32,6,FALSE) &gt;= (test!$B$34+VLOOKUP(VLOOKUP($B53,test!$A$2:$I$32,4,FALSE),test!$J$10:$P$14,4,FALSE))/1440),1,0)</f>
        <v>0</v>
      </c>
      <c r="G53" s="2">
        <f>IF(AND(VLOOKUP(G$1,test!$A$3:$F$32,5,FALSE) - VLOOKUP($B53,test!$A$3:$G$32,6,FALSE) &gt;= (test!$B$34+VLOOKUP(VLOOKUP($B53,test!$A$2:$I$32,4,FALSE),test!$J$10:$P$14,4,FALSE))/1440),1,0)</f>
        <v>0</v>
      </c>
      <c r="H53" s="2">
        <f>IF(AND(VLOOKUP(H$1,test!$A$3:$F$32,5,FALSE) - VLOOKUP($B53,test!$A$3:$G$32,6,FALSE) &gt;= (test!$B$34+VLOOKUP(VLOOKUP($B53,test!$A$2:$I$32,4,FALSE),test!$J$10:$P$14,4,FALSE))/1440),1,0)</f>
        <v>0</v>
      </c>
      <c r="I53" s="2">
        <f>IF(AND(VLOOKUP(I$1,test!$A$3:$F$32,5,FALSE) - VLOOKUP($B53,test!$A$3:$G$32,6,FALSE) &gt;= (test!$B$34+VLOOKUP(VLOOKUP($B53,test!$A$2:$I$32,4,FALSE),test!$J$10:$P$14,4,FALSE))/1440),1,0)</f>
        <v>0</v>
      </c>
      <c r="J53" s="2">
        <f>IF(AND(VLOOKUP(J$1,test!$A$3:$F$32,5,FALSE) - VLOOKUP($B53,test!$A$3:$G$32,6,FALSE) &gt;= (test!$B$34+VLOOKUP(VLOOKUP($B53,test!$A$2:$I$32,4,FALSE),test!$J$10:$P$14,4,FALSE))/1440),1,0)</f>
        <v>0</v>
      </c>
      <c r="K53" s="2">
        <f>IF(AND(VLOOKUP(K$1,test!$A$3:$F$32,5,FALSE) - VLOOKUP($B53,test!$A$3:$G$32,6,FALSE) &gt;= (test!$B$34+VLOOKUP(VLOOKUP($B53,test!$A$2:$I$32,4,FALSE),test!$J$10:$P$14,4,FALSE))/1440),1,0)</f>
        <v>1</v>
      </c>
      <c r="L53" s="2">
        <f>IF(AND(VLOOKUP(L$1,test!$A$3:$F$32,5,FALSE) - VLOOKUP($B53,test!$A$3:$G$32,6,FALSE) &gt;= (test!$B$34+VLOOKUP(VLOOKUP($B53,test!$A$2:$I$32,4,FALSE),test!$J$10:$P$14,4,FALSE))/1440),1,0)</f>
        <v>0</v>
      </c>
      <c r="M53" s="2">
        <f>IF(AND(VLOOKUP(M$1,test!$A$3:$F$32,5,FALSE) - VLOOKUP($B53,test!$A$3:$G$32,6,FALSE) &gt;= (test!$B$34+VLOOKUP(VLOOKUP($B53,test!$A$2:$I$32,4,FALSE),test!$J$10:$P$14,4,FALSE))/1440),1,0)</f>
        <v>0</v>
      </c>
      <c r="N53" s="2">
        <f>IF(AND(VLOOKUP(N$1,test!$A$3:$F$32,5,FALSE) - VLOOKUP($B53,test!$A$3:$G$32,6,FALSE) &gt;= (test!$B$34+VLOOKUP(VLOOKUP($B53,test!$A$2:$I$32,4,FALSE),test!$J$10:$P$14,4,FALSE))/1440),1,0)</f>
        <v>0</v>
      </c>
      <c r="O53" s="2">
        <f>IF(AND(VLOOKUP(O$1,test!$A$3:$F$32,5,FALSE) - VLOOKUP($B53,test!$A$3:$G$32,6,FALSE) &gt;= (test!$B$34+VLOOKUP(VLOOKUP($B53,test!$A$2:$I$32,4,FALSE),test!$J$10:$P$14,4,FALSE))/1440),1,0)</f>
        <v>0</v>
      </c>
      <c r="P53" s="2">
        <f>IF(AND(VLOOKUP(P$1,test!$A$3:$F$32,5,FALSE) - VLOOKUP($B53,test!$A$3:$G$32,6,FALSE) &gt;= (test!$B$34+VLOOKUP(VLOOKUP($B53,test!$A$2:$I$32,4,FALSE),test!$J$10:$P$14,4,FALSE))/1440),1,0)</f>
        <v>1</v>
      </c>
      <c r="Q53" s="2">
        <f>IF(AND(VLOOKUP(Q$1,test!$A$3:$F$32,5,FALSE) - VLOOKUP($B53,test!$A$3:$G$32,6,FALSE) &gt;= (test!$B$34+VLOOKUP(VLOOKUP($B53,test!$A$2:$I$32,4,FALSE),test!$J$10:$P$14,4,FALSE))/1440),1,0)</f>
        <v>0</v>
      </c>
      <c r="R53" s="2">
        <f>IF(AND(VLOOKUP(R$1,test!$A$3:$F$32,5,FALSE) - VLOOKUP($B53,test!$A$3:$G$32,6,FALSE) &gt;= (test!$B$34+VLOOKUP(VLOOKUP($B53,test!$A$2:$I$32,4,FALSE),test!$J$10:$P$14,4,FALSE))/1440),1,0)</f>
        <v>0</v>
      </c>
      <c r="S53" s="2">
        <f>IF(AND(VLOOKUP(S$1,test!$A$3:$F$32,5,FALSE) - VLOOKUP($B53,test!$A$3:$G$32,6,FALSE) &gt;= (test!$B$34+VLOOKUP(VLOOKUP($B53,test!$A$2:$I$32,4,FALSE),test!$J$10:$P$14,4,FALSE))/1440),1,0)</f>
        <v>0</v>
      </c>
      <c r="T53" s="2">
        <f>IF(AND(VLOOKUP(T$1,test!$A$3:$F$32,5,FALSE) - VLOOKUP($B53,test!$A$3:$G$32,6,FALSE) &gt;= (test!$B$34+VLOOKUP(VLOOKUP($B53,test!$A$2:$I$32,4,FALSE),test!$J$10:$P$14,4,FALSE))/1440),1,0)</f>
        <v>0</v>
      </c>
      <c r="U53" s="2">
        <f>IF(AND(VLOOKUP(U$1,test!$A$3:$F$32,5,FALSE) - VLOOKUP($B53,test!$A$3:$G$32,6,FALSE) &gt;= (test!$B$34+VLOOKUP(VLOOKUP($B53,test!$A$2:$I$32,4,FALSE),test!$J$10:$P$14,4,FALSE))/1440),1,0)</f>
        <v>0</v>
      </c>
      <c r="V53" s="2">
        <f>IF(AND(VLOOKUP(V$1,test!$A$3:$F$32,5,FALSE) - VLOOKUP($B53,test!$A$3:$G$32,6,FALSE) &gt;= (test!$B$34+VLOOKUP(VLOOKUP($B53,test!$A$2:$I$32,4,FALSE),test!$J$10:$P$14,4,FALSE))/1440),1,0)</f>
        <v>0</v>
      </c>
      <c r="W53" s="2">
        <f>IF(AND(VLOOKUP(W$1,test!$A$3:$F$32,5,FALSE) - VLOOKUP($B53,test!$A$3:$G$32,6,FALSE) &gt;= (test!$B$34+VLOOKUP(VLOOKUP($B53,test!$A$2:$I$32,4,FALSE),test!$J$10:$P$14,4,FALSE))/1440),1,0)</f>
        <v>0</v>
      </c>
      <c r="X53" s="2">
        <f>IF(AND(VLOOKUP(X$1,test!$A$3:$F$32,5,FALSE) - VLOOKUP($B53,test!$A$3:$G$32,6,FALSE) &gt;= (test!$B$34+VLOOKUP(VLOOKUP($B53,test!$A$2:$I$32,4,FALSE),test!$J$10:$P$14,4,FALSE))/1440),1,0)</f>
        <v>0</v>
      </c>
      <c r="Y53" s="2">
        <f>IF(AND(VLOOKUP(Y$1,test!$A$3:$F$32,5,FALSE) - VLOOKUP($B53,test!$A$3:$G$32,6,FALSE) &gt;= (test!$B$34+VLOOKUP(VLOOKUP($B53,test!$A$2:$I$32,4,FALSE),test!$J$10:$P$14,4,FALSE))/1440),1,0)</f>
        <v>0</v>
      </c>
      <c r="Z53" s="2">
        <f>IF(AND(VLOOKUP(Z$1,test!$A$3:$F$32,5,FALSE) - VLOOKUP($B53,test!$A$3:$G$32,6,FALSE) &gt;= (test!$B$34+VLOOKUP(VLOOKUP($B53,test!$A$2:$I$32,4,FALSE),test!$J$10:$P$14,4,FALSE))/1440),1,0)</f>
        <v>0</v>
      </c>
      <c r="AA53" s="2">
        <f>IF(AND(VLOOKUP(AA$1,test!$A$3:$F$32,5,FALSE) - VLOOKUP($B53,test!$A$3:$G$32,6,FALSE) &gt;= (test!$B$34+VLOOKUP(VLOOKUP($B53,test!$A$2:$I$32,4,FALSE),test!$J$10:$P$14,4,FALSE))/1440),1,0)</f>
        <v>0</v>
      </c>
      <c r="AB53" s="2">
        <f>IF(AND(VLOOKUP(AB$1,test!$A$3:$F$32,5,FALSE) - VLOOKUP($B53,test!$A$3:$G$32,6,FALSE) &gt;= (test!$B$34+VLOOKUP(VLOOKUP($B53,test!$A$2:$I$32,4,FALSE),test!$J$10:$P$14,4,FALSE))/1440),1,0)</f>
        <v>0</v>
      </c>
      <c r="AC53" s="2">
        <f>IF(AND(VLOOKUP(AC$1,test!$A$3:$F$32,5,FALSE) - VLOOKUP($B53,test!$A$3:$G$32,6,FALSE) &gt;= (test!$B$34+VLOOKUP(VLOOKUP($B53,test!$A$2:$I$32,4,FALSE),test!$J$10:$P$14,4,FALSE))/1440),1,0)</f>
        <v>0</v>
      </c>
      <c r="AD53" s="2">
        <f>IF(AND(VLOOKUP(AD$1,test!$A$3:$F$32,5,FALSE) - VLOOKUP($B53,test!$A$3:$G$32,6,FALSE) &gt;= (test!$B$34+VLOOKUP(VLOOKUP($B53,test!$A$2:$I$32,4,FALSE),test!$J$10:$P$14,4,FALSE))/1440),1,0)</f>
        <v>0</v>
      </c>
      <c r="AE53" s="2">
        <f>IF(AND(VLOOKUP(AE$1,test!$A$3:$F$32,5,FALSE) - VLOOKUP($B53,test!$A$3:$G$32,6,FALSE) &gt;= (test!$B$34+VLOOKUP(VLOOKUP($B53,test!$A$2:$I$32,4,FALSE),test!$J$10:$P$14,4,FALSE))/1440),1,0)</f>
        <v>0</v>
      </c>
      <c r="AF53" s="2">
        <f>IF(AND(VLOOKUP(AF$1,test!$A$3:$F$32,5,FALSE) - VLOOKUP($B53,test!$A$3:$G$32,6,FALSE) &gt;= (test!$B$34+VLOOKUP(VLOOKUP($B53,test!$A$2:$I$32,4,FALSE),test!$J$10:$P$14,4,FALSE))/1440),1,0)</f>
        <v>0</v>
      </c>
      <c r="AG53" s="2">
        <f>IF(AND(VLOOKUP(AG$1,test!$A$3:$F$32,5,FALSE) - VLOOKUP($B53,test!$A$3:$G$32,6,FALSE) &gt;= (test!$B$34+VLOOKUP(VLOOKUP($B53,test!$A$2:$I$32,4,FALSE),test!$J$10:$P$14,4,FALSE))/1440),1,0)</f>
        <v>0</v>
      </c>
    </row>
    <row r="54" spans="1:33" x14ac:dyDescent="0.25">
      <c r="A54" t="s">
        <v>90</v>
      </c>
      <c r="B54" t="s">
        <v>32</v>
      </c>
      <c r="C54">
        <v>0</v>
      </c>
      <c r="D54" s="2">
        <f>IF(AND(VLOOKUP(D$1,test!$A$3:$F$32,5,FALSE) - VLOOKUP($B54,test!$A$3:$G$32,6,FALSE) &gt;= (test!$B$34+VLOOKUP(VLOOKUP($B54,test!$A$2:$I$32,4,FALSE),test!$J$10:$P$14,4,FALSE))/1440),1,0)</f>
        <v>0</v>
      </c>
      <c r="E54" s="2">
        <f>IF(AND(VLOOKUP(E$1,test!$A$3:$F$32,5,FALSE) - VLOOKUP($B54,test!$A$3:$G$32,6,FALSE) &gt;= (test!$B$34+VLOOKUP(VLOOKUP($B54,test!$A$2:$I$32,4,FALSE),test!$J$10:$P$14,4,FALSE))/1440),1,0)</f>
        <v>0</v>
      </c>
      <c r="F54" s="2">
        <f>IF(AND(VLOOKUP(F$1,test!$A$3:$F$32,5,FALSE) - VLOOKUP($B54,test!$A$3:$G$32,6,FALSE) &gt;= (test!$B$34+VLOOKUP(VLOOKUP($B54,test!$A$2:$I$32,4,FALSE),test!$J$10:$P$14,4,FALSE))/1440),1,0)</f>
        <v>0</v>
      </c>
      <c r="G54" s="2">
        <f>IF(AND(VLOOKUP(G$1,test!$A$3:$F$32,5,FALSE) - VLOOKUP($B54,test!$A$3:$G$32,6,FALSE) &gt;= (test!$B$34+VLOOKUP(VLOOKUP($B54,test!$A$2:$I$32,4,FALSE),test!$J$10:$P$14,4,FALSE))/1440),1,0)</f>
        <v>0</v>
      </c>
      <c r="H54" s="2">
        <f>IF(AND(VLOOKUP(H$1,test!$A$3:$F$32,5,FALSE) - VLOOKUP($B54,test!$A$3:$G$32,6,FALSE) &gt;= (test!$B$34+VLOOKUP(VLOOKUP($B54,test!$A$2:$I$32,4,FALSE),test!$J$10:$P$14,4,FALSE))/1440),1,0)</f>
        <v>0</v>
      </c>
      <c r="I54" s="2">
        <f>IF(AND(VLOOKUP(I$1,test!$A$3:$F$32,5,FALSE) - VLOOKUP($B54,test!$A$3:$G$32,6,FALSE) &gt;= (test!$B$34+VLOOKUP(VLOOKUP($B54,test!$A$2:$I$32,4,FALSE),test!$J$10:$P$14,4,FALSE))/1440),1,0)</f>
        <v>0</v>
      </c>
      <c r="J54" s="2">
        <f>IF(AND(VLOOKUP(J$1,test!$A$3:$F$32,5,FALSE) - VLOOKUP($B54,test!$A$3:$G$32,6,FALSE) &gt;= (test!$B$34+VLOOKUP(VLOOKUP($B54,test!$A$2:$I$32,4,FALSE),test!$J$10:$P$14,4,FALSE))/1440),1,0)</f>
        <v>0</v>
      </c>
      <c r="K54" s="2">
        <f>IF(AND(VLOOKUP(K$1,test!$A$3:$F$32,5,FALSE) - VLOOKUP($B54,test!$A$3:$G$32,6,FALSE) &gt;= (test!$B$34+VLOOKUP(VLOOKUP($B54,test!$A$2:$I$32,4,FALSE),test!$J$10:$P$14,4,FALSE))/1440),1,0)</f>
        <v>0</v>
      </c>
      <c r="L54" s="2">
        <f>IF(AND(VLOOKUP(L$1,test!$A$3:$F$32,5,FALSE) - VLOOKUP($B54,test!$A$3:$G$32,6,FALSE) &gt;= (test!$B$34+VLOOKUP(VLOOKUP($B54,test!$A$2:$I$32,4,FALSE),test!$J$10:$P$14,4,FALSE))/1440),1,0)</f>
        <v>0</v>
      </c>
      <c r="M54" s="2">
        <f>IF(AND(VLOOKUP(M$1,test!$A$3:$F$32,5,FALSE) - VLOOKUP($B54,test!$A$3:$G$32,6,FALSE) &gt;= (test!$B$34+VLOOKUP(VLOOKUP($B54,test!$A$2:$I$32,4,FALSE),test!$J$10:$P$14,4,FALSE))/1440),1,0)</f>
        <v>0</v>
      </c>
      <c r="N54" s="2">
        <f>IF(AND(VLOOKUP(N$1,test!$A$3:$F$32,5,FALSE) - VLOOKUP($B54,test!$A$3:$G$32,6,FALSE) &gt;= (test!$B$34+VLOOKUP(VLOOKUP($B54,test!$A$2:$I$32,4,FALSE),test!$J$10:$P$14,4,FALSE))/1440),1,0)</f>
        <v>0</v>
      </c>
      <c r="O54" s="2">
        <f>IF(AND(VLOOKUP(O$1,test!$A$3:$F$32,5,FALSE) - VLOOKUP($B54,test!$A$3:$G$32,6,FALSE) &gt;= (test!$B$34+VLOOKUP(VLOOKUP($B54,test!$A$2:$I$32,4,FALSE),test!$J$10:$P$14,4,FALSE))/1440),1,0)</f>
        <v>0</v>
      </c>
      <c r="P54" s="2">
        <f>IF(AND(VLOOKUP(P$1,test!$A$3:$F$32,5,FALSE) - VLOOKUP($B54,test!$A$3:$G$32,6,FALSE) &gt;= (test!$B$34+VLOOKUP(VLOOKUP($B54,test!$A$2:$I$32,4,FALSE),test!$J$10:$P$14,4,FALSE))/1440),1,0)</f>
        <v>0</v>
      </c>
      <c r="Q54" s="2">
        <f>IF(AND(VLOOKUP(Q$1,test!$A$3:$F$32,5,FALSE) - VLOOKUP($B54,test!$A$3:$G$32,6,FALSE) &gt;= (test!$B$34+VLOOKUP(VLOOKUP($B54,test!$A$2:$I$32,4,FALSE),test!$J$10:$P$14,4,FALSE))/1440),1,0)</f>
        <v>0</v>
      </c>
      <c r="R54" s="2">
        <f>IF(AND(VLOOKUP(R$1,test!$A$3:$F$32,5,FALSE) - VLOOKUP($B54,test!$A$3:$G$32,6,FALSE) &gt;= (test!$B$34+VLOOKUP(VLOOKUP($B54,test!$A$2:$I$32,4,FALSE),test!$J$10:$P$14,4,FALSE))/1440),1,0)</f>
        <v>0</v>
      </c>
      <c r="S54" s="2">
        <f>IF(AND(VLOOKUP(S$1,test!$A$3:$F$32,5,FALSE) - VLOOKUP($B54,test!$A$3:$G$32,6,FALSE) &gt;= (test!$B$34+VLOOKUP(VLOOKUP($B54,test!$A$2:$I$32,4,FALSE),test!$J$10:$P$14,4,FALSE))/1440),1,0)</f>
        <v>0</v>
      </c>
      <c r="T54" s="2">
        <f>IF(AND(VLOOKUP(T$1,test!$A$3:$F$32,5,FALSE) - VLOOKUP($B54,test!$A$3:$G$32,6,FALSE) &gt;= (test!$B$34+VLOOKUP(VLOOKUP($B54,test!$A$2:$I$32,4,FALSE),test!$J$10:$P$14,4,FALSE))/1440),1,0)</f>
        <v>0</v>
      </c>
      <c r="U54" s="2">
        <f>IF(AND(VLOOKUP(U$1,test!$A$3:$F$32,5,FALSE) - VLOOKUP($B54,test!$A$3:$G$32,6,FALSE) &gt;= (test!$B$34+VLOOKUP(VLOOKUP($B54,test!$A$2:$I$32,4,FALSE),test!$J$10:$P$14,4,FALSE))/1440),1,0)</f>
        <v>0</v>
      </c>
      <c r="V54" s="2">
        <f>IF(AND(VLOOKUP(V$1,test!$A$3:$F$32,5,FALSE) - VLOOKUP($B54,test!$A$3:$G$32,6,FALSE) &gt;= (test!$B$34+VLOOKUP(VLOOKUP($B54,test!$A$2:$I$32,4,FALSE),test!$J$10:$P$14,4,FALSE))/1440),1,0)</f>
        <v>0</v>
      </c>
      <c r="W54" s="2">
        <f>IF(AND(VLOOKUP(W$1,test!$A$3:$F$32,5,FALSE) - VLOOKUP($B54,test!$A$3:$G$32,6,FALSE) &gt;= (test!$B$34+VLOOKUP(VLOOKUP($B54,test!$A$2:$I$32,4,FALSE),test!$J$10:$P$14,4,FALSE))/1440),1,0)</f>
        <v>0</v>
      </c>
      <c r="X54" s="2">
        <f>IF(AND(VLOOKUP(X$1,test!$A$3:$F$32,5,FALSE) - VLOOKUP($B54,test!$A$3:$G$32,6,FALSE) &gt;= (test!$B$34+VLOOKUP(VLOOKUP($B54,test!$A$2:$I$32,4,FALSE),test!$J$10:$P$14,4,FALSE))/1440),1,0)</f>
        <v>0</v>
      </c>
      <c r="Y54" s="2">
        <f>IF(AND(VLOOKUP(Y$1,test!$A$3:$F$32,5,FALSE) - VLOOKUP($B54,test!$A$3:$G$32,6,FALSE) &gt;= (test!$B$34+VLOOKUP(VLOOKUP($B54,test!$A$2:$I$32,4,FALSE),test!$J$10:$P$14,4,FALSE))/1440),1,0)</f>
        <v>0</v>
      </c>
      <c r="Z54" s="2">
        <f>IF(AND(VLOOKUP(Z$1,test!$A$3:$F$32,5,FALSE) - VLOOKUP($B54,test!$A$3:$G$32,6,FALSE) &gt;= (test!$B$34+VLOOKUP(VLOOKUP($B54,test!$A$2:$I$32,4,FALSE),test!$J$10:$P$14,4,FALSE))/1440),1,0)</f>
        <v>0</v>
      </c>
      <c r="AA54" s="2">
        <f>IF(AND(VLOOKUP(AA$1,test!$A$3:$F$32,5,FALSE) - VLOOKUP($B54,test!$A$3:$G$32,6,FALSE) &gt;= (test!$B$34+VLOOKUP(VLOOKUP($B54,test!$A$2:$I$32,4,FALSE),test!$J$10:$P$14,4,FALSE))/1440),1,0)</f>
        <v>0</v>
      </c>
      <c r="AB54" s="2">
        <f>IF(AND(VLOOKUP(AB$1,test!$A$3:$F$32,5,FALSE) - VLOOKUP($B54,test!$A$3:$G$32,6,FALSE) &gt;= (test!$B$34+VLOOKUP(VLOOKUP($B54,test!$A$2:$I$32,4,FALSE),test!$J$10:$P$14,4,FALSE))/1440),1,0)</f>
        <v>0</v>
      </c>
      <c r="AC54" s="2">
        <f>IF(AND(VLOOKUP(AC$1,test!$A$3:$F$32,5,FALSE) - VLOOKUP($B54,test!$A$3:$G$32,6,FALSE) &gt;= (test!$B$34+VLOOKUP(VLOOKUP($B54,test!$A$2:$I$32,4,FALSE),test!$J$10:$P$14,4,FALSE))/1440),1,0)</f>
        <v>0</v>
      </c>
      <c r="AD54" s="2">
        <f>IF(AND(VLOOKUP(AD$1,test!$A$3:$F$32,5,FALSE) - VLOOKUP($B54,test!$A$3:$G$32,6,FALSE) &gt;= (test!$B$34+VLOOKUP(VLOOKUP($B54,test!$A$2:$I$32,4,FALSE),test!$J$10:$P$14,4,FALSE))/1440),1,0)</f>
        <v>0</v>
      </c>
      <c r="AE54" s="2">
        <f>IF(AND(VLOOKUP(AE$1,test!$A$3:$F$32,5,FALSE) - VLOOKUP($B54,test!$A$3:$G$32,6,FALSE) &gt;= (test!$B$34+VLOOKUP(VLOOKUP($B54,test!$A$2:$I$32,4,FALSE),test!$J$10:$P$14,4,FALSE))/1440),1,0)</f>
        <v>0</v>
      </c>
      <c r="AF54" s="2">
        <f>IF(AND(VLOOKUP(AF$1,test!$A$3:$F$32,5,FALSE) - VLOOKUP($B54,test!$A$3:$G$32,6,FALSE) &gt;= (test!$B$34+VLOOKUP(VLOOKUP($B54,test!$A$2:$I$32,4,FALSE),test!$J$10:$P$14,4,FALSE))/1440),1,0)</f>
        <v>0</v>
      </c>
      <c r="AG54" s="2">
        <f>IF(AND(VLOOKUP(AG$1,test!$A$3:$F$32,5,FALSE) - VLOOKUP($B54,test!$A$3:$G$32,6,FALSE) &gt;= (test!$B$34+VLOOKUP(VLOOKUP($B54,test!$A$2:$I$32,4,FALSE),test!$J$10:$P$14,4,FALSE))/1440),1,0)</f>
        <v>0</v>
      </c>
    </row>
    <row r="55" spans="1:33" x14ac:dyDescent="0.25">
      <c r="A55" t="s">
        <v>90</v>
      </c>
      <c r="B55" t="s">
        <v>33</v>
      </c>
      <c r="C55">
        <v>0</v>
      </c>
      <c r="D55" s="2">
        <f>IF(AND(VLOOKUP(D$1,test!$A$3:$F$32,5,FALSE) - VLOOKUP($B55,test!$A$3:$G$32,6,FALSE) &gt;= (test!$B$34+VLOOKUP(VLOOKUP($B55,test!$A$2:$I$32,4,FALSE),test!$J$10:$P$14,4,FALSE))/1440),1,0)</f>
        <v>0</v>
      </c>
      <c r="E55" s="2">
        <f>IF(AND(VLOOKUP(E$1,test!$A$3:$F$32,5,FALSE) - VLOOKUP($B55,test!$A$3:$G$32,6,FALSE) &gt;= (test!$B$34+VLOOKUP(VLOOKUP($B55,test!$A$2:$I$32,4,FALSE),test!$J$10:$P$14,4,FALSE))/1440),1,0)</f>
        <v>0</v>
      </c>
      <c r="F55" s="2">
        <f>IF(AND(VLOOKUP(F$1,test!$A$3:$F$32,5,FALSE) - VLOOKUP($B55,test!$A$3:$G$32,6,FALSE) &gt;= (test!$B$34+VLOOKUP(VLOOKUP($B55,test!$A$2:$I$32,4,FALSE),test!$J$10:$P$14,4,FALSE))/1440),1,0)</f>
        <v>0</v>
      </c>
      <c r="G55" s="2">
        <f>IF(AND(VLOOKUP(G$1,test!$A$3:$F$32,5,FALSE) - VLOOKUP($B55,test!$A$3:$G$32,6,FALSE) &gt;= (test!$B$34+VLOOKUP(VLOOKUP($B55,test!$A$2:$I$32,4,FALSE),test!$J$10:$P$14,4,FALSE))/1440),1,0)</f>
        <v>0</v>
      </c>
      <c r="H55" s="2">
        <f>IF(AND(VLOOKUP(H$1,test!$A$3:$F$32,5,FALSE) - VLOOKUP($B55,test!$A$3:$G$32,6,FALSE) &gt;= (test!$B$34+VLOOKUP(VLOOKUP($B55,test!$A$2:$I$32,4,FALSE),test!$J$10:$P$14,4,FALSE))/1440),1,0)</f>
        <v>0</v>
      </c>
      <c r="I55" s="2">
        <f>IF(AND(VLOOKUP(I$1,test!$A$3:$F$32,5,FALSE) - VLOOKUP($B55,test!$A$3:$G$32,6,FALSE) &gt;= (test!$B$34+VLOOKUP(VLOOKUP($B55,test!$A$2:$I$32,4,FALSE),test!$J$10:$P$14,4,FALSE))/1440),1,0)</f>
        <v>0</v>
      </c>
      <c r="J55" s="2">
        <f>IF(AND(VLOOKUP(J$1,test!$A$3:$F$32,5,FALSE) - VLOOKUP($B55,test!$A$3:$G$32,6,FALSE) &gt;= (test!$B$34+VLOOKUP(VLOOKUP($B55,test!$A$2:$I$32,4,FALSE),test!$J$10:$P$14,4,FALSE))/1440),1,0)</f>
        <v>0</v>
      </c>
      <c r="K55" s="2">
        <f>IF(AND(VLOOKUP(K$1,test!$A$3:$F$32,5,FALSE) - VLOOKUP($B55,test!$A$3:$G$32,6,FALSE) &gt;= (test!$B$34+VLOOKUP(VLOOKUP($B55,test!$A$2:$I$32,4,FALSE),test!$J$10:$P$14,4,FALSE))/1440),1,0)</f>
        <v>0</v>
      </c>
      <c r="L55" s="2">
        <f>IF(AND(VLOOKUP(L$1,test!$A$3:$F$32,5,FALSE) - VLOOKUP($B55,test!$A$3:$G$32,6,FALSE) &gt;= (test!$B$34+VLOOKUP(VLOOKUP($B55,test!$A$2:$I$32,4,FALSE),test!$J$10:$P$14,4,FALSE))/1440),1,0)</f>
        <v>0</v>
      </c>
      <c r="M55" s="2">
        <f>IF(AND(VLOOKUP(M$1,test!$A$3:$F$32,5,FALSE) - VLOOKUP($B55,test!$A$3:$G$32,6,FALSE) &gt;= (test!$B$34+VLOOKUP(VLOOKUP($B55,test!$A$2:$I$32,4,FALSE),test!$J$10:$P$14,4,FALSE))/1440),1,0)</f>
        <v>0</v>
      </c>
      <c r="N55" s="2">
        <f>IF(AND(VLOOKUP(N$1,test!$A$3:$F$32,5,FALSE) - VLOOKUP($B55,test!$A$3:$G$32,6,FALSE) &gt;= (test!$B$34+VLOOKUP(VLOOKUP($B55,test!$A$2:$I$32,4,FALSE),test!$J$10:$P$14,4,FALSE))/1440),1,0)</f>
        <v>0</v>
      </c>
      <c r="O55" s="2">
        <f>IF(AND(VLOOKUP(O$1,test!$A$3:$F$32,5,FALSE) - VLOOKUP($B55,test!$A$3:$G$32,6,FALSE) &gt;= (test!$B$34+VLOOKUP(VLOOKUP($B55,test!$A$2:$I$32,4,FALSE),test!$J$10:$P$14,4,FALSE))/1440),1,0)</f>
        <v>0</v>
      </c>
      <c r="P55" s="2">
        <f>IF(AND(VLOOKUP(P$1,test!$A$3:$F$32,5,FALSE) - VLOOKUP($B55,test!$A$3:$G$32,6,FALSE) &gt;= (test!$B$34+VLOOKUP(VLOOKUP($B55,test!$A$2:$I$32,4,FALSE),test!$J$10:$P$14,4,FALSE))/1440),1,0)</f>
        <v>0</v>
      </c>
      <c r="Q55" s="2">
        <f>IF(AND(VLOOKUP(Q$1,test!$A$3:$F$32,5,FALSE) - VLOOKUP($B55,test!$A$3:$G$32,6,FALSE) &gt;= (test!$B$34+VLOOKUP(VLOOKUP($B55,test!$A$2:$I$32,4,FALSE),test!$J$10:$P$14,4,FALSE))/1440),1,0)</f>
        <v>0</v>
      </c>
      <c r="R55" s="2">
        <f>IF(AND(VLOOKUP(R$1,test!$A$3:$F$32,5,FALSE) - VLOOKUP($B55,test!$A$3:$G$32,6,FALSE) &gt;= (test!$B$34+VLOOKUP(VLOOKUP($B55,test!$A$2:$I$32,4,FALSE),test!$J$10:$P$14,4,FALSE))/1440),1,0)</f>
        <v>0</v>
      </c>
      <c r="S55" s="2">
        <f>IF(AND(VLOOKUP(S$1,test!$A$3:$F$32,5,FALSE) - VLOOKUP($B55,test!$A$3:$G$32,6,FALSE) &gt;= (test!$B$34+VLOOKUP(VLOOKUP($B55,test!$A$2:$I$32,4,FALSE),test!$J$10:$P$14,4,FALSE))/1440),1,0)</f>
        <v>0</v>
      </c>
      <c r="T55" s="2">
        <f>IF(AND(VLOOKUP(T$1,test!$A$3:$F$32,5,FALSE) - VLOOKUP($B55,test!$A$3:$G$32,6,FALSE) &gt;= (test!$B$34+VLOOKUP(VLOOKUP($B55,test!$A$2:$I$32,4,FALSE),test!$J$10:$P$14,4,FALSE))/1440),1,0)</f>
        <v>0</v>
      </c>
      <c r="U55" s="2">
        <f>IF(AND(VLOOKUP(U$1,test!$A$3:$F$32,5,FALSE) - VLOOKUP($B55,test!$A$3:$G$32,6,FALSE) &gt;= (test!$B$34+VLOOKUP(VLOOKUP($B55,test!$A$2:$I$32,4,FALSE),test!$J$10:$P$14,4,FALSE))/1440),1,0)</f>
        <v>0</v>
      </c>
      <c r="V55" s="2">
        <f>IF(AND(VLOOKUP(V$1,test!$A$3:$F$32,5,FALSE) - VLOOKUP($B55,test!$A$3:$G$32,6,FALSE) &gt;= (test!$B$34+VLOOKUP(VLOOKUP($B55,test!$A$2:$I$32,4,FALSE),test!$J$10:$P$14,4,FALSE))/1440),1,0)</f>
        <v>0</v>
      </c>
      <c r="W55" s="2">
        <f>IF(AND(VLOOKUP(W$1,test!$A$3:$F$32,5,FALSE) - VLOOKUP($B55,test!$A$3:$G$32,6,FALSE) &gt;= (test!$B$34+VLOOKUP(VLOOKUP($B55,test!$A$2:$I$32,4,FALSE),test!$J$10:$P$14,4,FALSE))/1440),1,0)</f>
        <v>0</v>
      </c>
      <c r="X55" s="2">
        <f>IF(AND(VLOOKUP(X$1,test!$A$3:$F$32,5,FALSE) - VLOOKUP($B55,test!$A$3:$G$32,6,FALSE) &gt;= (test!$B$34+VLOOKUP(VLOOKUP($B55,test!$A$2:$I$32,4,FALSE),test!$J$10:$P$14,4,FALSE))/1440),1,0)</f>
        <v>0</v>
      </c>
      <c r="Y55" s="2">
        <f>IF(AND(VLOOKUP(Y$1,test!$A$3:$F$32,5,FALSE) - VLOOKUP($B55,test!$A$3:$G$32,6,FALSE) &gt;= (test!$B$34+VLOOKUP(VLOOKUP($B55,test!$A$2:$I$32,4,FALSE),test!$J$10:$P$14,4,FALSE))/1440),1,0)</f>
        <v>0</v>
      </c>
      <c r="Z55" s="2">
        <f>IF(AND(VLOOKUP(Z$1,test!$A$3:$F$32,5,FALSE) - VLOOKUP($B55,test!$A$3:$G$32,6,FALSE) &gt;= (test!$B$34+VLOOKUP(VLOOKUP($B55,test!$A$2:$I$32,4,FALSE),test!$J$10:$P$14,4,FALSE))/1440),1,0)</f>
        <v>0</v>
      </c>
      <c r="AA55" s="2">
        <f>IF(AND(VLOOKUP(AA$1,test!$A$3:$F$32,5,FALSE) - VLOOKUP($B55,test!$A$3:$G$32,6,FALSE) &gt;= (test!$B$34+VLOOKUP(VLOOKUP($B55,test!$A$2:$I$32,4,FALSE),test!$J$10:$P$14,4,FALSE))/1440),1,0)</f>
        <v>0</v>
      </c>
      <c r="AB55" s="2">
        <f>IF(AND(VLOOKUP(AB$1,test!$A$3:$F$32,5,FALSE) - VLOOKUP($B55,test!$A$3:$G$32,6,FALSE) &gt;= (test!$B$34+VLOOKUP(VLOOKUP($B55,test!$A$2:$I$32,4,FALSE),test!$J$10:$P$14,4,FALSE))/1440),1,0)</f>
        <v>0</v>
      </c>
      <c r="AC55" s="2">
        <f>IF(AND(VLOOKUP(AC$1,test!$A$3:$F$32,5,FALSE) - VLOOKUP($B55,test!$A$3:$G$32,6,FALSE) &gt;= (test!$B$34+VLOOKUP(VLOOKUP($B55,test!$A$2:$I$32,4,FALSE),test!$J$10:$P$14,4,FALSE))/1440),1,0)</f>
        <v>0</v>
      </c>
      <c r="AD55" s="2">
        <f>IF(AND(VLOOKUP(AD$1,test!$A$3:$F$32,5,FALSE) - VLOOKUP($B55,test!$A$3:$G$32,6,FALSE) &gt;= (test!$B$34+VLOOKUP(VLOOKUP($B55,test!$A$2:$I$32,4,FALSE),test!$J$10:$P$14,4,FALSE))/1440),1,0)</f>
        <v>0</v>
      </c>
      <c r="AE55" s="2">
        <f>IF(AND(VLOOKUP(AE$1,test!$A$3:$F$32,5,FALSE) - VLOOKUP($B55,test!$A$3:$G$32,6,FALSE) &gt;= (test!$B$34+VLOOKUP(VLOOKUP($B55,test!$A$2:$I$32,4,FALSE),test!$J$10:$P$14,4,FALSE))/1440),1,0)</f>
        <v>0</v>
      </c>
      <c r="AF55" s="2">
        <f>IF(AND(VLOOKUP(AF$1,test!$A$3:$F$32,5,FALSE) - VLOOKUP($B55,test!$A$3:$G$32,6,FALSE) &gt;= (test!$B$34+VLOOKUP(VLOOKUP($B55,test!$A$2:$I$32,4,FALSE),test!$J$10:$P$14,4,FALSE))/1440),1,0)</f>
        <v>0</v>
      </c>
      <c r="AG55" s="2">
        <f>IF(AND(VLOOKUP(AG$1,test!$A$3:$F$32,5,FALSE) - VLOOKUP($B55,test!$A$3:$G$32,6,FALSE) &gt;= (test!$B$34+VLOOKUP(VLOOKUP($B55,test!$A$2:$I$32,4,FALSE),test!$J$10:$P$14,4,FALSE))/1440),1,0)</f>
        <v>0</v>
      </c>
    </row>
    <row r="56" spans="1:33" x14ac:dyDescent="0.25">
      <c r="A56" t="s">
        <v>90</v>
      </c>
      <c r="B56" t="s">
        <v>34</v>
      </c>
      <c r="C56">
        <v>0</v>
      </c>
      <c r="D56" s="2">
        <f>IF(AND(VLOOKUP(D$1,test!$A$3:$F$32,5,FALSE) - VLOOKUP($B56,test!$A$3:$G$32,6,FALSE) &gt;= (test!$B$34+VLOOKUP(VLOOKUP($B56,test!$A$2:$I$32,4,FALSE),test!$J$10:$P$14,4,FALSE))/1440),1,0)</f>
        <v>0</v>
      </c>
      <c r="E56" s="2">
        <f>IF(AND(VLOOKUP(E$1,test!$A$3:$F$32,5,FALSE) - VLOOKUP($B56,test!$A$3:$G$32,6,FALSE) &gt;= (test!$B$34+VLOOKUP(VLOOKUP($B56,test!$A$2:$I$32,4,FALSE),test!$J$10:$P$14,4,FALSE))/1440),1,0)</f>
        <v>0</v>
      </c>
      <c r="F56" s="2">
        <f>IF(AND(VLOOKUP(F$1,test!$A$3:$F$32,5,FALSE) - VLOOKUP($B56,test!$A$3:$G$32,6,FALSE) &gt;= (test!$B$34+VLOOKUP(VLOOKUP($B56,test!$A$2:$I$32,4,FALSE),test!$J$10:$P$14,4,FALSE))/1440),1,0)</f>
        <v>1</v>
      </c>
      <c r="G56" s="2">
        <f>IF(AND(VLOOKUP(G$1,test!$A$3:$F$32,5,FALSE) - VLOOKUP($B56,test!$A$3:$G$32,6,FALSE) &gt;= (test!$B$34+VLOOKUP(VLOOKUP($B56,test!$A$2:$I$32,4,FALSE),test!$J$10:$P$14,4,FALSE))/1440),1,0)</f>
        <v>1</v>
      </c>
      <c r="H56" s="2">
        <f>IF(AND(VLOOKUP(H$1,test!$A$3:$F$32,5,FALSE) - VLOOKUP($B56,test!$A$3:$G$32,6,FALSE) &gt;= (test!$B$34+VLOOKUP(VLOOKUP($B56,test!$A$2:$I$32,4,FALSE),test!$J$10:$P$14,4,FALSE))/1440),1,0)</f>
        <v>1</v>
      </c>
      <c r="I56" s="2">
        <f>IF(AND(VLOOKUP(I$1,test!$A$3:$F$32,5,FALSE) - VLOOKUP($B56,test!$A$3:$G$32,6,FALSE) &gt;= (test!$B$34+VLOOKUP(VLOOKUP($B56,test!$A$2:$I$32,4,FALSE),test!$J$10:$P$14,4,FALSE))/1440),1,0)</f>
        <v>1</v>
      </c>
      <c r="J56" s="2">
        <f>IF(AND(VLOOKUP(J$1,test!$A$3:$F$32,5,FALSE) - VLOOKUP($B56,test!$A$3:$G$32,6,FALSE) &gt;= (test!$B$34+VLOOKUP(VLOOKUP($B56,test!$A$2:$I$32,4,FALSE),test!$J$10:$P$14,4,FALSE))/1440),1,0)</f>
        <v>1</v>
      </c>
      <c r="K56" s="2">
        <f>IF(AND(VLOOKUP(K$1,test!$A$3:$F$32,5,FALSE) - VLOOKUP($B56,test!$A$3:$G$32,6,FALSE) &gt;= (test!$B$34+VLOOKUP(VLOOKUP($B56,test!$A$2:$I$32,4,FALSE),test!$J$10:$P$14,4,FALSE))/1440),1,0)</f>
        <v>1</v>
      </c>
      <c r="L56" s="2">
        <f>IF(AND(VLOOKUP(L$1,test!$A$3:$F$32,5,FALSE) - VLOOKUP($B56,test!$A$3:$G$32,6,FALSE) &gt;= (test!$B$34+VLOOKUP(VLOOKUP($B56,test!$A$2:$I$32,4,FALSE),test!$J$10:$P$14,4,FALSE))/1440),1,0)</f>
        <v>0</v>
      </c>
      <c r="M56" s="2">
        <f>IF(AND(VLOOKUP(M$1,test!$A$3:$F$32,5,FALSE) - VLOOKUP($B56,test!$A$3:$G$32,6,FALSE) &gt;= (test!$B$34+VLOOKUP(VLOOKUP($B56,test!$A$2:$I$32,4,FALSE),test!$J$10:$P$14,4,FALSE))/1440),1,0)</f>
        <v>0</v>
      </c>
      <c r="N56" s="2">
        <f>IF(AND(VLOOKUP(N$1,test!$A$3:$F$32,5,FALSE) - VLOOKUP($B56,test!$A$3:$G$32,6,FALSE) &gt;= (test!$B$34+VLOOKUP(VLOOKUP($B56,test!$A$2:$I$32,4,FALSE),test!$J$10:$P$14,4,FALSE))/1440),1,0)</f>
        <v>1</v>
      </c>
      <c r="O56" s="2">
        <f>IF(AND(VLOOKUP(O$1,test!$A$3:$F$32,5,FALSE) - VLOOKUP($B56,test!$A$3:$G$32,6,FALSE) &gt;= (test!$B$34+VLOOKUP(VLOOKUP($B56,test!$A$2:$I$32,4,FALSE),test!$J$10:$P$14,4,FALSE))/1440),1,0)</f>
        <v>1</v>
      </c>
      <c r="P56" s="2">
        <f>IF(AND(VLOOKUP(P$1,test!$A$3:$F$32,5,FALSE) - VLOOKUP($B56,test!$A$3:$G$32,6,FALSE) &gt;= (test!$B$34+VLOOKUP(VLOOKUP($B56,test!$A$2:$I$32,4,FALSE),test!$J$10:$P$14,4,FALSE))/1440),1,0)</f>
        <v>1</v>
      </c>
      <c r="Q56" s="2">
        <f>IF(AND(VLOOKUP(Q$1,test!$A$3:$F$32,5,FALSE) - VLOOKUP($B56,test!$A$3:$G$32,6,FALSE) &gt;= (test!$B$34+VLOOKUP(VLOOKUP($B56,test!$A$2:$I$32,4,FALSE),test!$J$10:$P$14,4,FALSE))/1440),1,0)</f>
        <v>0</v>
      </c>
      <c r="R56" s="2">
        <f>IF(AND(VLOOKUP(R$1,test!$A$3:$F$32,5,FALSE) - VLOOKUP($B56,test!$A$3:$G$32,6,FALSE) &gt;= (test!$B$34+VLOOKUP(VLOOKUP($B56,test!$A$2:$I$32,4,FALSE),test!$J$10:$P$14,4,FALSE))/1440),1,0)</f>
        <v>0</v>
      </c>
      <c r="S56" s="2">
        <f>IF(AND(VLOOKUP(S$1,test!$A$3:$F$32,5,FALSE) - VLOOKUP($B56,test!$A$3:$G$32,6,FALSE) &gt;= (test!$B$34+VLOOKUP(VLOOKUP($B56,test!$A$2:$I$32,4,FALSE),test!$J$10:$P$14,4,FALSE))/1440),1,0)</f>
        <v>0</v>
      </c>
      <c r="T56" s="2">
        <f>IF(AND(VLOOKUP(T$1,test!$A$3:$F$32,5,FALSE) - VLOOKUP($B56,test!$A$3:$G$32,6,FALSE) &gt;= (test!$B$34+VLOOKUP(VLOOKUP($B56,test!$A$2:$I$32,4,FALSE),test!$J$10:$P$14,4,FALSE))/1440),1,0)</f>
        <v>0</v>
      </c>
      <c r="U56" s="2">
        <f>IF(AND(VLOOKUP(U$1,test!$A$3:$F$32,5,FALSE) - VLOOKUP($B56,test!$A$3:$G$32,6,FALSE) &gt;= (test!$B$34+VLOOKUP(VLOOKUP($B56,test!$A$2:$I$32,4,FALSE),test!$J$10:$P$14,4,FALSE))/1440),1,0)</f>
        <v>1</v>
      </c>
      <c r="V56" s="2">
        <f>IF(AND(VLOOKUP(V$1,test!$A$3:$F$32,5,FALSE) - VLOOKUP($B56,test!$A$3:$G$32,6,FALSE) &gt;= (test!$B$34+VLOOKUP(VLOOKUP($B56,test!$A$2:$I$32,4,FALSE),test!$J$10:$P$14,4,FALSE))/1440),1,0)</f>
        <v>1</v>
      </c>
      <c r="W56" s="2">
        <f>IF(AND(VLOOKUP(W$1,test!$A$3:$F$32,5,FALSE) - VLOOKUP($B56,test!$A$3:$G$32,6,FALSE) &gt;= (test!$B$34+VLOOKUP(VLOOKUP($B56,test!$A$2:$I$32,4,FALSE),test!$J$10:$P$14,4,FALSE))/1440),1,0)</f>
        <v>1</v>
      </c>
      <c r="X56" s="2">
        <f>IF(AND(VLOOKUP(X$1,test!$A$3:$F$32,5,FALSE) - VLOOKUP($B56,test!$A$3:$G$32,6,FALSE) &gt;= (test!$B$34+VLOOKUP(VLOOKUP($B56,test!$A$2:$I$32,4,FALSE),test!$J$10:$P$14,4,FALSE))/1440),1,0)</f>
        <v>1</v>
      </c>
      <c r="Y56" s="2">
        <f>IF(AND(VLOOKUP(Y$1,test!$A$3:$F$32,5,FALSE) - VLOOKUP($B56,test!$A$3:$G$32,6,FALSE) &gt;= (test!$B$34+VLOOKUP(VLOOKUP($B56,test!$A$2:$I$32,4,FALSE),test!$J$10:$P$14,4,FALSE))/1440),1,0)</f>
        <v>1</v>
      </c>
      <c r="Z56" s="2">
        <f>IF(AND(VLOOKUP(Z$1,test!$A$3:$F$32,5,FALSE) - VLOOKUP($B56,test!$A$3:$G$32,6,FALSE) &gt;= (test!$B$34+VLOOKUP(VLOOKUP($B56,test!$A$2:$I$32,4,FALSE),test!$J$10:$P$14,4,FALSE))/1440),1,0)</f>
        <v>0</v>
      </c>
      <c r="AA56" s="2">
        <f>IF(AND(VLOOKUP(AA$1,test!$A$3:$F$32,5,FALSE) - VLOOKUP($B56,test!$A$3:$G$32,6,FALSE) &gt;= (test!$B$34+VLOOKUP(VLOOKUP($B56,test!$A$2:$I$32,4,FALSE),test!$J$10:$P$14,4,FALSE))/1440),1,0)</f>
        <v>0</v>
      </c>
      <c r="AB56" s="2">
        <f>IF(AND(VLOOKUP(AB$1,test!$A$3:$F$32,5,FALSE) - VLOOKUP($B56,test!$A$3:$G$32,6,FALSE) &gt;= (test!$B$34+VLOOKUP(VLOOKUP($B56,test!$A$2:$I$32,4,FALSE),test!$J$10:$P$14,4,FALSE))/1440),1,0)</f>
        <v>1</v>
      </c>
      <c r="AC56" s="2">
        <f>IF(AND(VLOOKUP(AC$1,test!$A$3:$F$32,5,FALSE) - VLOOKUP($B56,test!$A$3:$G$32,6,FALSE) &gt;= (test!$B$34+VLOOKUP(VLOOKUP($B56,test!$A$2:$I$32,4,FALSE),test!$J$10:$P$14,4,FALSE))/1440),1,0)</f>
        <v>1</v>
      </c>
      <c r="AD56" s="2">
        <f>IF(AND(VLOOKUP(AD$1,test!$A$3:$F$32,5,FALSE) - VLOOKUP($B56,test!$A$3:$G$32,6,FALSE) &gt;= (test!$B$34+VLOOKUP(VLOOKUP($B56,test!$A$2:$I$32,4,FALSE),test!$J$10:$P$14,4,FALSE))/1440),1,0)</f>
        <v>1</v>
      </c>
      <c r="AE56" s="2">
        <f>IF(AND(VLOOKUP(AE$1,test!$A$3:$F$32,5,FALSE) - VLOOKUP($B56,test!$A$3:$G$32,6,FALSE) &gt;= (test!$B$34+VLOOKUP(VLOOKUP($B56,test!$A$2:$I$32,4,FALSE),test!$J$10:$P$14,4,FALSE))/1440),1,0)</f>
        <v>0</v>
      </c>
      <c r="AF56" s="2">
        <f>IF(AND(VLOOKUP(AF$1,test!$A$3:$F$32,5,FALSE) - VLOOKUP($B56,test!$A$3:$G$32,6,FALSE) &gt;= (test!$B$34+VLOOKUP(VLOOKUP($B56,test!$A$2:$I$32,4,FALSE),test!$J$10:$P$14,4,FALSE))/1440),1,0)</f>
        <v>1</v>
      </c>
      <c r="AG56" s="2">
        <f>IF(AND(VLOOKUP(AG$1,test!$A$3:$F$32,5,FALSE) - VLOOKUP($B56,test!$A$3:$G$32,6,FALSE) &gt;= (test!$B$34+VLOOKUP(VLOOKUP($B56,test!$A$2:$I$32,4,FALSE),test!$J$10:$P$14,4,FALSE))/1440),1,0)</f>
        <v>1</v>
      </c>
    </row>
    <row r="57" spans="1:33" x14ac:dyDescent="0.25">
      <c r="A57" t="s">
        <v>90</v>
      </c>
      <c r="B57" t="s">
        <v>35</v>
      </c>
      <c r="C57">
        <v>0</v>
      </c>
      <c r="D57" s="2">
        <f>IF(AND(VLOOKUP(D$1,test!$A$3:$F$32,5,FALSE) - VLOOKUP($B57,test!$A$3:$G$32,6,FALSE) &gt;= (test!$B$34+VLOOKUP(VLOOKUP($B57,test!$A$2:$I$32,4,FALSE),test!$J$10:$P$14,4,FALSE))/1440),1,0)</f>
        <v>0</v>
      </c>
      <c r="E57" s="2">
        <f>IF(AND(VLOOKUP(E$1,test!$A$3:$F$32,5,FALSE) - VLOOKUP($B57,test!$A$3:$G$32,6,FALSE) &gt;= (test!$B$34+VLOOKUP(VLOOKUP($B57,test!$A$2:$I$32,4,FALSE),test!$J$10:$P$14,4,FALSE))/1440),1,0)</f>
        <v>0</v>
      </c>
      <c r="F57" s="2">
        <f>IF(AND(VLOOKUP(F$1,test!$A$3:$F$32,5,FALSE) - VLOOKUP($B57,test!$A$3:$G$32,6,FALSE) &gt;= (test!$B$34+VLOOKUP(VLOOKUP($B57,test!$A$2:$I$32,4,FALSE),test!$J$10:$P$14,4,FALSE))/1440),1,0)</f>
        <v>0</v>
      </c>
      <c r="G57" s="2">
        <f>IF(AND(VLOOKUP(G$1,test!$A$3:$F$32,5,FALSE) - VLOOKUP($B57,test!$A$3:$G$32,6,FALSE) &gt;= (test!$B$34+VLOOKUP(VLOOKUP($B57,test!$A$2:$I$32,4,FALSE),test!$J$10:$P$14,4,FALSE))/1440),1,0)</f>
        <v>0</v>
      </c>
      <c r="H57" s="2">
        <f>IF(AND(VLOOKUP(H$1,test!$A$3:$F$32,5,FALSE) - VLOOKUP($B57,test!$A$3:$G$32,6,FALSE) &gt;= (test!$B$34+VLOOKUP(VLOOKUP($B57,test!$A$2:$I$32,4,FALSE),test!$J$10:$P$14,4,FALSE))/1440),1,0)</f>
        <v>1</v>
      </c>
      <c r="I57" s="2">
        <f>IF(AND(VLOOKUP(I$1,test!$A$3:$F$32,5,FALSE) - VLOOKUP($B57,test!$A$3:$G$32,6,FALSE) &gt;= (test!$B$34+VLOOKUP(VLOOKUP($B57,test!$A$2:$I$32,4,FALSE),test!$J$10:$P$14,4,FALSE))/1440),1,0)</f>
        <v>1</v>
      </c>
      <c r="J57" s="2">
        <f>IF(AND(VLOOKUP(J$1,test!$A$3:$F$32,5,FALSE) - VLOOKUP($B57,test!$A$3:$G$32,6,FALSE) &gt;= (test!$B$34+VLOOKUP(VLOOKUP($B57,test!$A$2:$I$32,4,FALSE),test!$J$10:$P$14,4,FALSE))/1440),1,0)</f>
        <v>1</v>
      </c>
      <c r="K57" s="2">
        <f>IF(AND(VLOOKUP(K$1,test!$A$3:$F$32,5,FALSE) - VLOOKUP($B57,test!$A$3:$G$32,6,FALSE) &gt;= (test!$B$34+VLOOKUP(VLOOKUP($B57,test!$A$2:$I$32,4,FALSE),test!$J$10:$P$14,4,FALSE))/1440),1,0)</f>
        <v>1</v>
      </c>
      <c r="L57" s="2">
        <f>IF(AND(VLOOKUP(L$1,test!$A$3:$F$32,5,FALSE) - VLOOKUP($B57,test!$A$3:$G$32,6,FALSE) &gt;= (test!$B$34+VLOOKUP(VLOOKUP($B57,test!$A$2:$I$32,4,FALSE),test!$J$10:$P$14,4,FALSE))/1440),1,0)</f>
        <v>0</v>
      </c>
      <c r="M57" s="2">
        <f>IF(AND(VLOOKUP(M$1,test!$A$3:$F$32,5,FALSE) - VLOOKUP($B57,test!$A$3:$G$32,6,FALSE) &gt;= (test!$B$34+VLOOKUP(VLOOKUP($B57,test!$A$2:$I$32,4,FALSE),test!$J$10:$P$14,4,FALSE))/1440),1,0)</f>
        <v>0</v>
      </c>
      <c r="N57" s="2">
        <f>IF(AND(VLOOKUP(N$1,test!$A$3:$F$32,5,FALSE) - VLOOKUP($B57,test!$A$3:$G$32,6,FALSE) &gt;= (test!$B$34+VLOOKUP(VLOOKUP($B57,test!$A$2:$I$32,4,FALSE),test!$J$10:$P$14,4,FALSE))/1440),1,0)</f>
        <v>0</v>
      </c>
      <c r="O57" s="2">
        <f>IF(AND(VLOOKUP(O$1,test!$A$3:$F$32,5,FALSE) - VLOOKUP($B57,test!$A$3:$G$32,6,FALSE) &gt;= (test!$B$34+VLOOKUP(VLOOKUP($B57,test!$A$2:$I$32,4,FALSE),test!$J$10:$P$14,4,FALSE))/1440),1,0)</f>
        <v>1</v>
      </c>
      <c r="P57" s="2">
        <f>IF(AND(VLOOKUP(P$1,test!$A$3:$F$32,5,FALSE) - VLOOKUP($B57,test!$A$3:$G$32,6,FALSE) &gt;= (test!$B$34+VLOOKUP(VLOOKUP($B57,test!$A$2:$I$32,4,FALSE),test!$J$10:$P$14,4,FALSE))/1440),1,0)</f>
        <v>1</v>
      </c>
      <c r="Q57" s="2">
        <f>IF(AND(VLOOKUP(Q$1,test!$A$3:$F$32,5,FALSE) - VLOOKUP($B57,test!$A$3:$G$32,6,FALSE) &gt;= (test!$B$34+VLOOKUP(VLOOKUP($B57,test!$A$2:$I$32,4,FALSE),test!$J$10:$P$14,4,FALSE))/1440),1,0)</f>
        <v>0</v>
      </c>
      <c r="R57" s="2">
        <f>IF(AND(VLOOKUP(R$1,test!$A$3:$F$32,5,FALSE) - VLOOKUP($B57,test!$A$3:$G$32,6,FALSE) &gt;= (test!$B$34+VLOOKUP(VLOOKUP($B57,test!$A$2:$I$32,4,FALSE),test!$J$10:$P$14,4,FALSE))/1440),1,0)</f>
        <v>0</v>
      </c>
      <c r="S57" s="2">
        <f>IF(AND(VLOOKUP(S$1,test!$A$3:$F$32,5,FALSE) - VLOOKUP($B57,test!$A$3:$G$32,6,FALSE) &gt;= (test!$B$34+VLOOKUP(VLOOKUP($B57,test!$A$2:$I$32,4,FALSE),test!$J$10:$P$14,4,FALSE))/1440),1,0)</f>
        <v>0</v>
      </c>
      <c r="T57" s="2">
        <f>IF(AND(VLOOKUP(T$1,test!$A$3:$F$32,5,FALSE) - VLOOKUP($B57,test!$A$3:$G$32,6,FALSE) &gt;= (test!$B$34+VLOOKUP(VLOOKUP($B57,test!$A$2:$I$32,4,FALSE),test!$J$10:$P$14,4,FALSE))/1440),1,0)</f>
        <v>0</v>
      </c>
      <c r="U57" s="2">
        <f>IF(AND(VLOOKUP(U$1,test!$A$3:$F$32,5,FALSE) - VLOOKUP($B57,test!$A$3:$G$32,6,FALSE) &gt;= (test!$B$34+VLOOKUP(VLOOKUP($B57,test!$A$2:$I$32,4,FALSE),test!$J$10:$P$14,4,FALSE))/1440),1,0)</f>
        <v>0</v>
      </c>
      <c r="V57" s="2">
        <f>IF(AND(VLOOKUP(V$1,test!$A$3:$F$32,5,FALSE) - VLOOKUP($B57,test!$A$3:$G$32,6,FALSE) &gt;= (test!$B$34+VLOOKUP(VLOOKUP($B57,test!$A$2:$I$32,4,FALSE),test!$J$10:$P$14,4,FALSE))/1440),1,0)</f>
        <v>0</v>
      </c>
      <c r="W57" s="2">
        <f>IF(AND(VLOOKUP(W$1,test!$A$3:$F$32,5,FALSE) - VLOOKUP($B57,test!$A$3:$G$32,6,FALSE) &gt;= (test!$B$34+VLOOKUP(VLOOKUP($B57,test!$A$2:$I$32,4,FALSE),test!$J$10:$P$14,4,FALSE))/1440),1,0)</f>
        <v>1</v>
      </c>
      <c r="X57" s="2">
        <f>IF(AND(VLOOKUP(X$1,test!$A$3:$F$32,5,FALSE) - VLOOKUP($B57,test!$A$3:$G$32,6,FALSE) &gt;= (test!$B$34+VLOOKUP(VLOOKUP($B57,test!$A$2:$I$32,4,FALSE),test!$J$10:$P$14,4,FALSE))/1440),1,0)</f>
        <v>1</v>
      </c>
      <c r="Y57" s="2">
        <f>IF(AND(VLOOKUP(Y$1,test!$A$3:$F$32,5,FALSE) - VLOOKUP($B57,test!$A$3:$G$32,6,FALSE) &gt;= (test!$B$34+VLOOKUP(VLOOKUP($B57,test!$A$2:$I$32,4,FALSE),test!$J$10:$P$14,4,FALSE))/1440),1,0)</f>
        <v>1</v>
      </c>
      <c r="Z57" s="2">
        <f>IF(AND(VLOOKUP(Z$1,test!$A$3:$F$32,5,FALSE) - VLOOKUP($B57,test!$A$3:$G$32,6,FALSE) &gt;= (test!$B$34+VLOOKUP(VLOOKUP($B57,test!$A$2:$I$32,4,FALSE),test!$J$10:$P$14,4,FALSE))/1440),1,0)</f>
        <v>0</v>
      </c>
      <c r="AA57" s="2">
        <f>IF(AND(VLOOKUP(AA$1,test!$A$3:$F$32,5,FALSE) - VLOOKUP($B57,test!$A$3:$G$32,6,FALSE) &gt;= (test!$B$34+VLOOKUP(VLOOKUP($B57,test!$A$2:$I$32,4,FALSE),test!$J$10:$P$14,4,FALSE))/1440),1,0)</f>
        <v>0</v>
      </c>
      <c r="AB57" s="2">
        <f>IF(AND(VLOOKUP(AB$1,test!$A$3:$F$32,5,FALSE) - VLOOKUP($B57,test!$A$3:$G$32,6,FALSE) &gt;= (test!$B$34+VLOOKUP(VLOOKUP($B57,test!$A$2:$I$32,4,FALSE),test!$J$10:$P$14,4,FALSE))/1440),1,0)</f>
        <v>0</v>
      </c>
      <c r="AC57" s="2">
        <f>IF(AND(VLOOKUP(AC$1,test!$A$3:$F$32,5,FALSE) - VLOOKUP($B57,test!$A$3:$G$32,6,FALSE) &gt;= (test!$B$34+VLOOKUP(VLOOKUP($B57,test!$A$2:$I$32,4,FALSE),test!$J$10:$P$14,4,FALSE))/1440),1,0)</f>
        <v>0</v>
      </c>
      <c r="AD57" s="2">
        <f>IF(AND(VLOOKUP(AD$1,test!$A$3:$F$32,5,FALSE) - VLOOKUP($B57,test!$A$3:$G$32,6,FALSE) &gt;= (test!$B$34+VLOOKUP(VLOOKUP($B57,test!$A$2:$I$32,4,FALSE),test!$J$10:$P$14,4,FALSE))/1440),1,0)</f>
        <v>1</v>
      </c>
      <c r="AE57" s="2">
        <f>IF(AND(VLOOKUP(AE$1,test!$A$3:$F$32,5,FALSE) - VLOOKUP($B57,test!$A$3:$G$32,6,FALSE) &gt;= (test!$B$34+VLOOKUP(VLOOKUP($B57,test!$A$2:$I$32,4,FALSE),test!$J$10:$P$14,4,FALSE))/1440),1,0)</f>
        <v>0</v>
      </c>
      <c r="AF57" s="2">
        <f>IF(AND(VLOOKUP(AF$1,test!$A$3:$F$32,5,FALSE) - VLOOKUP($B57,test!$A$3:$G$32,6,FALSE) &gt;= (test!$B$34+VLOOKUP(VLOOKUP($B57,test!$A$2:$I$32,4,FALSE),test!$J$10:$P$14,4,FALSE))/1440),1,0)</f>
        <v>0</v>
      </c>
      <c r="AG57" s="2">
        <f>IF(AND(VLOOKUP(AG$1,test!$A$3:$F$32,5,FALSE) - VLOOKUP($B57,test!$A$3:$G$32,6,FALSE) &gt;= (test!$B$34+VLOOKUP(VLOOKUP($B57,test!$A$2:$I$32,4,FALSE),test!$J$10:$P$14,4,FALSE))/1440),1,0)</f>
        <v>0</v>
      </c>
    </row>
    <row r="58" spans="1:33" x14ac:dyDescent="0.25">
      <c r="A58" t="s">
        <v>90</v>
      </c>
      <c r="B58" t="s">
        <v>36</v>
      </c>
      <c r="C58">
        <v>0</v>
      </c>
      <c r="D58" s="2">
        <f>IF(AND(VLOOKUP(D$1,test!$A$3:$F$32,5,FALSE) - VLOOKUP($B58,test!$A$3:$G$32,6,FALSE) &gt;= (test!$B$34+VLOOKUP(VLOOKUP($B58,test!$A$2:$I$32,4,FALSE),test!$J$10:$P$14,4,FALSE))/1440),1,0)</f>
        <v>0</v>
      </c>
      <c r="E58" s="2">
        <f>IF(AND(VLOOKUP(E$1,test!$A$3:$F$32,5,FALSE) - VLOOKUP($B58,test!$A$3:$G$32,6,FALSE) &gt;= (test!$B$34+VLOOKUP(VLOOKUP($B58,test!$A$2:$I$32,4,FALSE),test!$J$10:$P$14,4,FALSE))/1440),1,0)</f>
        <v>0</v>
      </c>
      <c r="F58" s="2">
        <f>IF(AND(VLOOKUP(F$1,test!$A$3:$F$32,5,FALSE) - VLOOKUP($B58,test!$A$3:$G$32,6,FALSE) &gt;= (test!$B$34+VLOOKUP(VLOOKUP($B58,test!$A$2:$I$32,4,FALSE),test!$J$10:$P$14,4,FALSE))/1440),1,0)</f>
        <v>0</v>
      </c>
      <c r="G58" s="2">
        <f>IF(AND(VLOOKUP(G$1,test!$A$3:$F$32,5,FALSE) - VLOOKUP($B58,test!$A$3:$G$32,6,FALSE) &gt;= (test!$B$34+VLOOKUP(VLOOKUP($B58,test!$A$2:$I$32,4,FALSE),test!$J$10:$P$14,4,FALSE))/1440),1,0)</f>
        <v>0</v>
      </c>
      <c r="H58" s="2">
        <f>IF(AND(VLOOKUP(H$1,test!$A$3:$F$32,5,FALSE) - VLOOKUP($B58,test!$A$3:$G$32,6,FALSE) &gt;= (test!$B$34+VLOOKUP(VLOOKUP($B58,test!$A$2:$I$32,4,FALSE),test!$J$10:$P$14,4,FALSE))/1440),1,0)</f>
        <v>0</v>
      </c>
      <c r="I58" s="2">
        <f>IF(AND(VLOOKUP(I$1,test!$A$3:$F$32,5,FALSE) - VLOOKUP($B58,test!$A$3:$G$32,6,FALSE) &gt;= (test!$B$34+VLOOKUP(VLOOKUP($B58,test!$A$2:$I$32,4,FALSE),test!$J$10:$P$14,4,FALSE))/1440),1,0)</f>
        <v>0</v>
      </c>
      <c r="J58" s="2">
        <f>IF(AND(VLOOKUP(J$1,test!$A$3:$F$32,5,FALSE) - VLOOKUP($B58,test!$A$3:$G$32,6,FALSE) &gt;= (test!$B$34+VLOOKUP(VLOOKUP($B58,test!$A$2:$I$32,4,FALSE),test!$J$10:$P$14,4,FALSE))/1440),1,0)</f>
        <v>1</v>
      </c>
      <c r="K58" s="2">
        <f>IF(AND(VLOOKUP(K$1,test!$A$3:$F$32,5,FALSE) - VLOOKUP($B58,test!$A$3:$G$32,6,FALSE) &gt;= (test!$B$34+VLOOKUP(VLOOKUP($B58,test!$A$2:$I$32,4,FALSE),test!$J$10:$P$14,4,FALSE))/1440),1,0)</f>
        <v>1</v>
      </c>
      <c r="L58" s="2">
        <f>IF(AND(VLOOKUP(L$1,test!$A$3:$F$32,5,FALSE) - VLOOKUP($B58,test!$A$3:$G$32,6,FALSE) &gt;= (test!$B$34+VLOOKUP(VLOOKUP($B58,test!$A$2:$I$32,4,FALSE),test!$J$10:$P$14,4,FALSE))/1440),1,0)</f>
        <v>0</v>
      </c>
      <c r="M58" s="2">
        <f>IF(AND(VLOOKUP(M$1,test!$A$3:$F$32,5,FALSE) - VLOOKUP($B58,test!$A$3:$G$32,6,FALSE) &gt;= (test!$B$34+VLOOKUP(VLOOKUP($B58,test!$A$2:$I$32,4,FALSE),test!$J$10:$P$14,4,FALSE))/1440),1,0)</f>
        <v>0</v>
      </c>
      <c r="N58" s="2">
        <f>IF(AND(VLOOKUP(N$1,test!$A$3:$F$32,5,FALSE) - VLOOKUP($B58,test!$A$3:$G$32,6,FALSE) &gt;= (test!$B$34+VLOOKUP(VLOOKUP($B58,test!$A$2:$I$32,4,FALSE),test!$J$10:$P$14,4,FALSE))/1440),1,0)</f>
        <v>0</v>
      </c>
      <c r="O58" s="2">
        <f>IF(AND(VLOOKUP(O$1,test!$A$3:$F$32,5,FALSE) - VLOOKUP($B58,test!$A$3:$G$32,6,FALSE) &gt;= (test!$B$34+VLOOKUP(VLOOKUP($B58,test!$A$2:$I$32,4,FALSE),test!$J$10:$P$14,4,FALSE))/1440),1,0)</f>
        <v>1</v>
      </c>
      <c r="P58" s="2">
        <f>IF(AND(VLOOKUP(P$1,test!$A$3:$F$32,5,FALSE) - VLOOKUP($B58,test!$A$3:$G$32,6,FALSE) &gt;= (test!$B$34+VLOOKUP(VLOOKUP($B58,test!$A$2:$I$32,4,FALSE),test!$J$10:$P$14,4,FALSE))/1440),1,0)</f>
        <v>1</v>
      </c>
      <c r="Q58" s="2">
        <f>IF(AND(VLOOKUP(Q$1,test!$A$3:$F$32,5,FALSE) - VLOOKUP($B58,test!$A$3:$G$32,6,FALSE) &gt;= (test!$B$34+VLOOKUP(VLOOKUP($B58,test!$A$2:$I$32,4,FALSE),test!$J$10:$P$14,4,FALSE))/1440),1,0)</f>
        <v>0</v>
      </c>
      <c r="R58" s="2">
        <f>IF(AND(VLOOKUP(R$1,test!$A$3:$F$32,5,FALSE) - VLOOKUP($B58,test!$A$3:$G$32,6,FALSE) &gt;= (test!$B$34+VLOOKUP(VLOOKUP($B58,test!$A$2:$I$32,4,FALSE),test!$J$10:$P$14,4,FALSE))/1440),1,0)</f>
        <v>0</v>
      </c>
      <c r="S58" s="2">
        <f>IF(AND(VLOOKUP(S$1,test!$A$3:$F$32,5,FALSE) - VLOOKUP($B58,test!$A$3:$G$32,6,FALSE) &gt;= (test!$B$34+VLOOKUP(VLOOKUP($B58,test!$A$2:$I$32,4,FALSE),test!$J$10:$P$14,4,FALSE))/1440),1,0)</f>
        <v>0</v>
      </c>
      <c r="T58" s="2">
        <f>IF(AND(VLOOKUP(T$1,test!$A$3:$F$32,5,FALSE) - VLOOKUP($B58,test!$A$3:$G$32,6,FALSE) &gt;= (test!$B$34+VLOOKUP(VLOOKUP($B58,test!$A$2:$I$32,4,FALSE),test!$J$10:$P$14,4,FALSE))/1440),1,0)</f>
        <v>0</v>
      </c>
      <c r="U58" s="2">
        <f>IF(AND(VLOOKUP(U$1,test!$A$3:$F$32,5,FALSE) - VLOOKUP($B58,test!$A$3:$G$32,6,FALSE) &gt;= (test!$B$34+VLOOKUP(VLOOKUP($B58,test!$A$2:$I$32,4,FALSE),test!$J$10:$P$14,4,FALSE))/1440),1,0)</f>
        <v>0</v>
      </c>
      <c r="V58" s="2">
        <f>IF(AND(VLOOKUP(V$1,test!$A$3:$F$32,5,FALSE) - VLOOKUP($B58,test!$A$3:$G$32,6,FALSE) &gt;= (test!$B$34+VLOOKUP(VLOOKUP($B58,test!$A$2:$I$32,4,FALSE),test!$J$10:$P$14,4,FALSE))/1440),1,0)</f>
        <v>0</v>
      </c>
      <c r="W58" s="2">
        <f>IF(AND(VLOOKUP(W$1,test!$A$3:$F$32,5,FALSE) - VLOOKUP($B58,test!$A$3:$G$32,6,FALSE) &gt;= (test!$B$34+VLOOKUP(VLOOKUP($B58,test!$A$2:$I$32,4,FALSE),test!$J$10:$P$14,4,FALSE))/1440),1,0)</f>
        <v>0</v>
      </c>
      <c r="X58" s="2">
        <f>IF(AND(VLOOKUP(X$1,test!$A$3:$F$32,5,FALSE) - VLOOKUP($B58,test!$A$3:$G$32,6,FALSE) &gt;= (test!$B$34+VLOOKUP(VLOOKUP($B58,test!$A$2:$I$32,4,FALSE),test!$J$10:$P$14,4,FALSE))/1440),1,0)</f>
        <v>1</v>
      </c>
      <c r="Y58" s="2">
        <f>IF(AND(VLOOKUP(Y$1,test!$A$3:$F$32,5,FALSE) - VLOOKUP($B58,test!$A$3:$G$32,6,FALSE) &gt;= (test!$B$34+VLOOKUP(VLOOKUP($B58,test!$A$2:$I$32,4,FALSE),test!$J$10:$P$14,4,FALSE))/1440),1,0)</f>
        <v>1</v>
      </c>
      <c r="Z58" s="2">
        <f>IF(AND(VLOOKUP(Z$1,test!$A$3:$F$32,5,FALSE) - VLOOKUP($B58,test!$A$3:$G$32,6,FALSE) &gt;= (test!$B$34+VLOOKUP(VLOOKUP($B58,test!$A$2:$I$32,4,FALSE),test!$J$10:$P$14,4,FALSE))/1440),1,0)</f>
        <v>0</v>
      </c>
      <c r="AA58" s="2">
        <f>IF(AND(VLOOKUP(AA$1,test!$A$3:$F$32,5,FALSE) - VLOOKUP($B58,test!$A$3:$G$32,6,FALSE) &gt;= (test!$B$34+VLOOKUP(VLOOKUP($B58,test!$A$2:$I$32,4,FALSE),test!$J$10:$P$14,4,FALSE))/1440),1,0)</f>
        <v>0</v>
      </c>
      <c r="AB58" s="2">
        <f>IF(AND(VLOOKUP(AB$1,test!$A$3:$F$32,5,FALSE) - VLOOKUP($B58,test!$A$3:$G$32,6,FALSE) &gt;= (test!$B$34+VLOOKUP(VLOOKUP($B58,test!$A$2:$I$32,4,FALSE),test!$J$10:$P$14,4,FALSE))/1440),1,0)</f>
        <v>0</v>
      </c>
      <c r="AC58" s="2">
        <f>IF(AND(VLOOKUP(AC$1,test!$A$3:$F$32,5,FALSE) - VLOOKUP($B58,test!$A$3:$G$32,6,FALSE) &gt;= (test!$B$34+VLOOKUP(VLOOKUP($B58,test!$A$2:$I$32,4,FALSE),test!$J$10:$P$14,4,FALSE))/1440),1,0)</f>
        <v>0</v>
      </c>
      <c r="AD58" s="2">
        <f>IF(AND(VLOOKUP(AD$1,test!$A$3:$F$32,5,FALSE) - VLOOKUP($B58,test!$A$3:$G$32,6,FALSE) &gt;= (test!$B$34+VLOOKUP(VLOOKUP($B58,test!$A$2:$I$32,4,FALSE),test!$J$10:$P$14,4,FALSE))/1440),1,0)</f>
        <v>0</v>
      </c>
      <c r="AE58" s="2">
        <f>IF(AND(VLOOKUP(AE$1,test!$A$3:$F$32,5,FALSE) - VLOOKUP($B58,test!$A$3:$G$32,6,FALSE) &gt;= (test!$B$34+VLOOKUP(VLOOKUP($B58,test!$A$2:$I$32,4,FALSE),test!$J$10:$P$14,4,FALSE))/1440),1,0)</f>
        <v>0</v>
      </c>
      <c r="AF58" s="2">
        <f>IF(AND(VLOOKUP(AF$1,test!$A$3:$F$32,5,FALSE) - VLOOKUP($B58,test!$A$3:$G$32,6,FALSE) &gt;= (test!$B$34+VLOOKUP(VLOOKUP($B58,test!$A$2:$I$32,4,FALSE),test!$J$10:$P$14,4,FALSE))/1440),1,0)</f>
        <v>0</v>
      </c>
      <c r="AG58" s="2">
        <f>IF(AND(VLOOKUP(AG$1,test!$A$3:$F$32,5,FALSE) - VLOOKUP($B58,test!$A$3:$G$32,6,FALSE) &gt;= (test!$B$34+VLOOKUP(VLOOKUP($B58,test!$A$2:$I$32,4,FALSE),test!$J$10:$P$14,4,FALSE))/1440),1,0)</f>
        <v>0</v>
      </c>
    </row>
    <row r="59" spans="1:33" x14ac:dyDescent="0.25">
      <c r="A59" t="s">
        <v>90</v>
      </c>
      <c r="B59" t="s">
        <v>37</v>
      </c>
      <c r="C59">
        <v>0</v>
      </c>
      <c r="D59" s="2">
        <f>IF(AND(VLOOKUP(D$1,test!$A$3:$F$32,5,FALSE) - VLOOKUP($B59,test!$A$3:$G$32,6,FALSE) &gt;= (test!$B$34+VLOOKUP(VLOOKUP($B59,test!$A$2:$I$32,4,FALSE),test!$J$10:$P$14,4,FALSE))/1440),1,0)</f>
        <v>0</v>
      </c>
      <c r="E59" s="2">
        <f>IF(AND(VLOOKUP(E$1,test!$A$3:$F$32,5,FALSE) - VLOOKUP($B59,test!$A$3:$G$32,6,FALSE) &gt;= (test!$B$34+VLOOKUP(VLOOKUP($B59,test!$A$2:$I$32,4,FALSE),test!$J$10:$P$14,4,FALSE))/1440),1,0)</f>
        <v>0</v>
      </c>
      <c r="F59" s="2">
        <f>IF(AND(VLOOKUP(F$1,test!$A$3:$F$32,5,FALSE) - VLOOKUP($B59,test!$A$3:$G$32,6,FALSE) &gt;= (test!$B$34+VLOOKUP(VLOOKUP($B59,test!$A$2:$I$32,4,FALSE),test!$J$10:$P$14,4,FALSE))/1440),1,0)</f>
        <v>0</v>
      </c>
      <c r="G59" s="2">
        <f>IF(AND(VLOOKUP(G$1,test!$A$3:$F$32,5,FALSE) - VLOOKUP($B59,test!$A$3:$G$32,6,FALSE) &gt;= (test!$B$34+VLOOKUP(VLOOKUP($B59,test!$A$2:$I$32,4,FALSE),test!$J$10:$P$14,4,FALSE))/1440),1,0)</f>
        <v>0</v>
      </c>
      <c r="H59" s="2">
        <f>IF(AND(VLOOKUP(H$1,test!$A$3:$F$32,5,FALSE) - VLOOKUP($B59,test!$A$3:$G$32,6,FALSE) &gt;= (test!$B$34+VLOOKUP(VLOOKUP($B59,test!$A$2:$I$32,4,FALSE),test!$J$10:$P$14,4,FALSE))/1440),1,0)</f>
        <v>0</v>
      </c>
      <c r="I59" s="2">
        <f>IF(AND(VLOOKUP(I$1,test!$A$3:$F$32,5,FALSE) - VLOOKUP($B59,test!$A$3:$G$32,6,FALSE) &gt;= (test!$B$34+VLOOKUP(VLOOKUP($B59,test!$A$2:$I$32,4,FALSE),test!$J$10:$P$14,4,FALSE))/1440),1,0)</f>
        <v>0</v>
      </c>
      <c r="J59" s="2">
        <f>IF(AND(VLOOKUP(J$1,test!$A$3:$F$32,5,FALSE) - VLOOKUP($B59,test!$A$3:$G$32,6,FALSE) &gt;= (test!$B$34+VLOOKUP(VLOOKUP($B59,test!$A$2:$I$32,4,FALSE),test!$J$10:$P$14,4,FALSE))/1440),1,0)</f>
        <v>0</v>
      </c>
      <c r="K59" s="2">
        <f>IF(AND(VLOOKUP(K$1,test!$A$3:$F$32,5,FALSE) - VLOOKUP($B59,test!$A$3:$G$32,6,FALSE) &gt;= (test!$B$34+VLOOKUP(VLOOKUP($B59,test!$A$2:$I$32,4,FALSE),test!$J$10:$P$14,4,FALSE))/1440),1,0)</f>
        <v>1</v>
      </c>
      <c r="L59" s="2">
        <f>IF(AND(VLOOKUP(L$1,test!$A$3:$F$32,5,FALSE) - VLOOKUP($B59,test!$A$3:$G$32,6,FALSE) &gt;= (test!$B$34+VLOOKUP(VLOOKUP($B59,test!$A$2:$I$32,4,FALSE),test!$J$10:$P$14,4,FALSE))/1440),1,0)</f>
        <v>0</v>
      </c>
      <c r="M59" s="2">
        <f>IF(AND(VLOOKUP(M$1,test!$A$3:$F$32,5,FALSE) - VLOOKUP($B59,test!$A$3:$G$32,6,FALSE) &gt;= (test!$B$34+VLOOKUP(VLOOKUP($B59,test!$A$2:$I$32,4,FALSE),test!$J$10:$P$14,4,FALSE))/1440),1,0)</f>
        <v>0</v>
      </c>
      <c r="N59" s="2">
        <f>IF(AND(VLOOKUP(N$1,test!$A$3:$F$32,5,FALSE) - VLOOKUP($B59,test!$A$3:$G$32,6,FALSE) &gt;= (test!$B$34+VLOOKUP(VLOOKUP($B59,test!$A$2:$I$32,4,FALSE),test!$J$10:$P$14,4,FALSE))/1440),1,0)</f>
        <v>0</v>
      </c>
      <c r="O59" s="2">
        <f>IF(AND(VLOOKUP(O$1,test!$A$3:$F$32,5,FALSE) - VLOOKUP($B59,test!$A$3:$G$32,6,FALSE) &gt;= (test!$B$34+VLOOKUP(VLOOKUP($B59,test!$A$2:$I$32,4,FALSE),test!$J$10:$P$14,4,FALSE))/1440),1,0)</f>
        <v>1</v>
      </c>
      <c r="P59" s="2">
        <f>IF(AND(VLOOKUP(P$1,test!$A$3:$F$32,5,FALSE) - VLOOKUP($B59,test!$A$3:$G$32,6,FALSE) &gt;= (test!$B$34+VLOOKUP(VLOOKUP($B59,test!$A$2:$I$32,4,FALSE),test!$J$10:$P$14,4,FALSE))/1440),1,0)</f>
        <v>1</v>
      </c>
      <c r="Q59" s="2">
        <f>IF(AND(VLOOKUP(Q$1,test!$A$3:$F$32,5,FALSE) - VLOOKUP($B59,test!$A$3:$G$32,6,FALSE) &gt;= (test!$B$34+VLOOKUP(VLOOKUP($B59,test!$A$2:$I$32,4,FALSE),test!$J$10:$P$14,4,FALSE))/1440),1,0)</f>
        <v>0</v>
      </c>
      <c r="R59" s="2">
        <f>IF(AND(VLOOKUP(R$1,test!$A$3:$F$32,5,FALSE) - VLOOKUP($B59,test!$A$3:$G$32,6,FALSE) &gt;= (test!$B$34+VLOOKUP(VLOOKUP($B59,test!$A$2:$I$32,4,FALSE),test!$J$10:$P$14,4,FALSE))/1440),1,0)</f>
        <v>0</v>
      </c>
      <c r="S59" s="2">
        <f>IF(AND(VLOOKUP(S$1,test!$A$3:$F$32,5,FALSE) - VLOOKUP($B59,test!$A$3:$G$32,6,FALSE) &gt;= (test!$B$34+VLOOKUP(VLOOKUP($B59,test!$A$2:$I$32,4,FALSE),test!$J$10:$P$14,4,FALSE))/1440),1,0)</f>
        <v>0</v>
      </c>
      <c r="T59" s="2">
        <f>IF(AND(VLOOKUP(T$1,test!$A$3:$F$32,5,FALSE) - VLOOKUP($B59,test!$A$3:$G$32,6,FALSE) &gt;= (test!$B$34+VLOOKUP(VLOOKUP($B59,test!$A$2:$I$32,4,FALSE),test!$J$10:$P$14,4,FALSE))/1440),1,0)</f>
        <v>0</v>
      </c>
      <c r="U59" s="2">
        <f>IF(AND(VLOOKUP(U$1,test!$A$3:$F$32,5,FALSE) - VLOOKUP($B59,test!$A$3:$G$32,6,FALSE) &gt;= (test!$B$34+VLOOKUP(VLOOKUP($B59,test!$A$2:$I$32,4,FALSE),test!$J$10:$P$14,4,FALSE))/1440),1,0)</f>
        <v>0</v>
      </c>
      <c r="V59" s="2">
        <f>IF(AND(VLOOKUP(V$1,test!$A$3:$F$32,5,FALSE) - VLOOKUP($B59,test!$A$3:$G$32,6,FALSE) &gt;= (test!$B$34+VLOOKUP(VLOOKUP($B59,test!$A$2:$I$32,4,FALSE),test!$J$10:$P$14,4,FALSE))/1440),1,0)</f>
        <v>0</v>
      </c>
      <c r="W59" s="2">
        <f>IF(AND(VLOOKUP(W$1,test!$A$3:$F$32,5,FALSE) - VLOOKUP($B59,test!$A$3:$G$32,6,FALSE) &gt;= (test!$B$34+VLOOKUP(VLOOKUP($B59,test!$A$2:$I$32,4,FALSE),test!$J$10:$P$14,4,FALSE))/1440),1,0)</f>
        <v>0</v>
      </c>
      <c r="X59" s="2">
        <f>IF(AND(VLOOKUP(X$1,test!$A$3:$F$32,5,FALSE) - VLOOKUP($B59,test!$A$3:$G$32,6,FALSE) &gt;= (test!$B$34+VLOOKUP(VLOOKUP($B59,test!$A$2:$I$32,4,FALSE),test!$J$10:$P$14,4,FALSE))/1440),1,0)</f>
        <v>0</v>
      </c>
      <c r="Y59" s="2">
        <f>IF(AND(VLOOKUP(Y$1,test!$A$3:$F$32,5,FALSE) - VLOOKUP($B59,test!$A$3:$G$32,6,FALSE) &gt;= (test!$B$34+VLOOKUP(VLOOKUP($B59,test!$A$2:$I$32,4,FALSE),test!$J$10:$P$14,4,FALSE))/1440),1,0)</f>
        <v>1</v>
      </c>
      <c r="Z59" s="2">
        <f>IF(AND(VLOOKUP(Z$1,test!$A$3:$F$32,5,FALSE) - VLOOKUP($B59,test!$A$3:$G$32,6,FALSE) &gt;= (test!$B$34+VLOOKUP(VLOOKUP($B59,test!$A$2:$I$32,4,FALSE),test!$J$10:$P$14,4,FALSE))/1440),1,0)</f>
        <v>0</v>
      </c>
      <c r="AA59" s="2">
        <f>IF(AND(VLOOKUP(AA$1,test!$A$3:$F$32,5,FALSE) - VLOOKUP($B59,test!$A$3:$G$32,6,FALSE) &gt;= (test!$B$34+VLOOKUP(VLOOKUP($B59,test!$A$2:$I$32,4,FALSE),test!$J$10:$P$14,4,FALSE))/1440),1,0)</f>
        <v>0</v>
      </c>
      <c r="AB59" s="2">
        <f>IF(AND(VLOOKUP(AB$1,test!$A$3:$F$32,5,FALSE) - VLOOKUP($B59,test!$A$3:$G$32,6,FALSE) &gt;= (test!$B$34+VLOOKUP(VLOOKUP($B59,test!$A$2:$I$32,4,FALSE),test!$J$10:$P$14,4,FALSE))/1440),1,0)</f>
        <v>0</v>
      </c>
      <c r="AC59" s="2">
        <f>IF(AND(VLOOKUP(AC$1,test!$A$3:$F$32,5,FALSE) - VLOOKUP($B59,test!$A$3:$G$32,6,FALSE) &gt;= (test!$B$34+VLOOKUP(VLOOKUP($B59,test!$A$2:$I$32,4,FALSE),test!$J$10:$P$14,4,FALSE))/1440),1,0)</f>
        <v>0</v>
      </c>
      <c r="AD59" s="2">
        <f>IF(AND(VLOOKUP(AD$1,test!$A$3:$F$32,5,FALSE) - VLOOKUP($B59,test!$A$3:$G$32,6,FALSE) &gt;= (test!$B$34+VLOOKUP(VLOOKUP($B59,test!$A$2:$I$32,4,FALSE),test!$J$10:$P$14,4,FALSE))/1440),1,0)</f>
        <v>0</v>
      </c>
      <c r="AE59" s="2">
        <f>IF(AND(VLOOKUP(AE$1,test!$A$3:$F$32,5,FALSE) - VLOOKUP($B59,test!$A$3:$G$32,6,FALSE) &gt;= (test!$B$34+VLOOKUP(VLOOKUP($B59,test!$A$2:$I$32,4,FALSE),test!$J$10:$P$14,4,FALSE))/1440),1,0)</f>
        <v>0</v>
      </c>
      <c r="AF59" s="2">
        <f>IF(AND(VLOOKUP(AF$1,test!$A$3:$F$32,5,FALSE) - VLOOKUP($B59,test!$A$3:$G$32,6,FALSE) &gt;= (test!$B$34+VLOOKUP(VLOOKUP($B59,test!$A$2:$I$32,4,FALSE),test!$J$10:$P$14,4,FALSE))/1440),1,0)</f>
        <v>0</v>
      </c>
      <c r="AG59" s="2">
        <f>IF(AND(VLOOKUP(AG$1,test!$A$3:$F$32,5,FALSE) - VLOOKUP($B59,test!$A$3:$G$32,6,FALSE) &gt;= (test!$B$34+VLOOKUP(VLOOKUP($B59,test!$A$2:$I$32,4,FALSE),test!$J$10:$P$14,4,FALSE))/1440),1,0)</f>
        <v>0</v>
      </c>
    </row>
    <row r="60" spans="1:33" x14ac:dyDescent="0.25">
      <c r="A60" t="s">
        <v>90</v>
      </c>
      <c r="B60" t="s">
        <v>38</v>
      </c>
      <c r="C60">
        <v>0</v>
      </c>
      <c r="D60" s="2">
        <f>IF(AND(VLOOKUP(D$1,test!$A$3:$F$32,5,FALSE) - VLOOKUP($B60,test!$A$3:$G$32,6,FALSE) &gt;= (test!$B$34+VLOOKUP(VLOOKUP($B60,test!$A$2:$I$32,4,FALSE),test!$J$10:$P$14,4,FALSE))/1440),1,0)</f>
        <v>0</v>
      </c>
      <c r="E60" s="2">
        <f>IF(AND(VLOOKUP(E$1,test!$A$3:$F$32,5,FALSE) - VLOOKUP($B60,test!$A$3:$G$32,6,FALSE) &gt;= (test!$B$34+VLOOKUP(VLOOKUP($B60,test!$A$2:$I$32,4,FALSE),test!$J$10:$P$14,4,FALSE))/1440),1,0)</f>
        <v>0</v>
      </c>
      <c r="F60" s="2">
        <f>IF(AND(VLOOKUP(F$1,test!$A$3:$F$32,5,FALSE) - VLOOKUP($B60,test!$A$3:$G$32,6,FALSE) &gt;= (test!$B$34+VLOOKUP(VLOOKUP($B60,test!$A$2:$I$32,4,FALSE),test!$J$10:$P$14,4,FALSE))/1440),1,0)</f>
        <v>0</v>
      </c>
      <c r="G60" s="2">
        <f>IF(AND(VLOOKUP(G$1,test!$A$3:$F$32,5,FALSE) - VLOOKUP($B60,test!$A$3:$G$32,6,FALSE) &gt;= (test!$B$34+VLOOKUP(VLOOKUP($B60,test!$A$2:$I$32,4,FALSE),test!$J$10:$P$14,4,FALSE))/1440),1,0)</f>
        <v>0</v>
      </c>
      <c r="H60" s="2">
        <f>IF(AND(VLOOKUP(H$1,test!$A$3:$F$32,5,FALSE) - VLOOKUP($B60,test!$A$3:$G$32,6,FALSE) &gt;= (test!$B$34+VLOOKUP(VLOOKUP($B60,test!$A$2:$I$32,4,FALSE),test!$J$10:$P$14,4,FALSE))/1440),1,0)</f>
        <v>0</v>
      </c>
      <c r="I60" s="2">
        <f>IF(AND(VLOOKUP(I$1,test!$A$3:$F$32,5,FALSE) - VLOOKUP($B60,test!$A$3:$G$32,6,FALSE) &gt;= (test!$B$34+VLOOKUP(VLOOKUP($B60,test!$A$2:$I$32,4,FALSE),test!$J$10:$P$14,4,FALSE))/1440),1,0)</f>
        <v>0</v>
      </c>
      <c r="J60" s="2">
        <f>IF(AND(VLOOKUP(J$1,test!$A$3:$F$32,5,FALSE) - VLOOKUP($B60,test!$A$3:$G$32,6,FALSE) &gt;= (test!$B$34+VLOOKUP(VLOOKUP($B60,test!$A$2:$I$32,4,FALSE),test!$J$10:$P$14,4,FALSE))/1440),1,0)</f>
        <v>0</v>
      </c>
      <c r="K60" s="2">
        <f>IF(AND(VLOOKUP(K$1,test!$A$3:$F$32,5,FALSE) - VLOOKUP($B60,test!$A$3:$G$32,6,FALSE) &gt;= (test!$B$34+VLOOKUP(VLOOKUP($B60,test!$A$2:$I$32,4,FALSE),test!$J$10:$P$14,4,FALSE))/1440),1,0)</f>
        <v>0</v>
      </c>
      <c r="L60" s="2">
        <f>IF(AND(VLOOKUP(L$1,test!$A$3:$F$32,5,FALSE) - VLOOKUP($B60,test!$A$3:$G$32,6,FALSE) &gt;= (test!$B$34+VLOOKUP(VLOOKUP($B60,test!$A$2:$I$32,4,FALSE),test!$J$10:$P$14,4,FALSE))/1440),1,0)</f>
        <v>0</v>
      </c>
      <c r="M60" s="2">
        <f>IF(AND(VLOOKUP(M$1,test!$A$3:$F$32,5,FALSE) - VLOOKUP($B60,test!$A$3:$G$32,6,FALSE) &gt;= (test!$B$34+VLOOKUP(VLOOKUP($B60,test!$A$2:$I$32,4,FALSE),test!$J$10:$P$14,4,FALSE))/1440),1,0)</f>
        <v>0</v>
      </c>
      <c r="N60" s="2">
        <f>IF(AND(VLOOKUP(N$1,test!$A$3:$F$32,5,FALSE) - VLOOKUP($B60,test!$A$3:$G$32,6,FALSE) &gt;= (test!$B$34+VLOOKUP(VLOOKUP($B60,test!$A$2:$I$32,4,FALSE),test!$J$10:$P$14,4,FALSE))/1440),1,0)</f>
        <v>0</v>
      </c>
      <c r="O60" s="2">
        <f>IF(AND(VLOOKUP(O$1,test!$A$3:$F$32,5,FALSE) - VLOOKUP($B60,test!$A$3:$G$32,6,FALSE) &gt;= (test!$B$34+VLOOKUP(VLOOKUP($B60,test!$A$2:$I$32,4,FALSE),test!$J$10:$P$14,4,FALSE))/1440),1,0)</f>
        <v>0</v>
      </c>
      <c r="P60" s="2">
        <f>IF(AND(VLOOKUP(P$1,test!$A$3:$F$32,5,FALSE) - VLOOKUP($B60,test!$A$3:$G$32,6,FALSE) &gt;= (test!$B$34+VLOOKUP(VLOOKUP($B60,test!$A$2:$I$32,4,FALSE),test!$J$10:$P$14,4,FALSE))/1440),1,0)</f>
        <v>0</v>
      </c>
      <c r="Q60" s="2">
        <f>IF(AND(VLOOKUP(Q$1,test!$A$3:$F$32,5,FALSE) - VLOOKUP($B60,test!$A$3:$G$32,6,FALSE) &gt;= (test!$B$34+VLOOKUP(VLOOKUP($B60,test!$A$2:$I$32,4,FALSE),test!$J$10:$P$14,4,FALSE))/1440),1,0)</f>
        <v>0</v>
      </c>
      <c r="R60" s="2">
        <f>IF(AND(VLOOKUP(R$1,test!$A$3:$F$32,5,FALSE) - VLOOKUP($B60,test!$A$3:$G$32,6,FALSE) &gt;= (test!$B$34+VLOOKUP(VLOOKUP($B60,test!$A$2:$I$32,4,FALSE),test!$J$10:$P$14,4,FALSE))/1440),1,0)</f>
        <v>0</v>
      </c>
      <c r="S60" s="2">
        <f>IF(AND(VLOOKUP(S$1,test!$A$3:$F$32,5,FALSE) - VLOOKUP($B60,test!$A$3:$G$32,6,FALSE) &gt;= (test!$B$34+VLOOKUP(VLOOKUP($B60,test!$A$2:$I$32,4,FALSE),test!$J$10:$P$14,4,FALSE))/1440),1,0)</f>
        <v>0</v>
      </c>
      <c r="T60" s="2">
        <f>IF(AND(VLOOKUP(T$1,test!$A$3:$F$32,5,FALSE) - VLOOKUP($B60,test!$A$3:$G$32,6,FALSE) &gt;= (test!$B$34+VLOOKUP(VLOOKUP($B60,test!$A$2:$I$32,4,FALSE),test!$J$10:$P$14,4,FALSE))/1440),1,0)</f>
        <v>0</v>
      </c>
      <c r="U60" s="2">
        <f>IF(AND(VLOOKUP(U$1,test!$A$3:$F$32,5,FALSE) - VLOOKUP($B60,test!$A$3:$G$32,6,FALSE) &gt;= (test!$B$34+VLOOKUP(VLOOKUP($B60,test!$A$2:$I$32,4,FALSE),test!$J$10:$P$14,4,FALSE))/1440),1,0)</f>
        <v>0</v>
      </c>
      <c r="V60" s="2">
        <f>IF(AND(VLOOKUP(V$1,test!$A$3:$F$32,5,FALSE) - VLOOKUP($B60,test!$A$3:$G$32,6,FALSE) &gt;= (test!$B$34+VLOOKUP(VLOOKUP($B60,test!$A$2:$I$32,4,FALSE),test!$J$10:$P$14,4,FALSE))/1440),1,0)</f>
        <v>0</v>
      </c>
      <c r="W60" s="2">
        <f>IF(AND(VLOOKUP(W$1,test!$A$3:$F$32,5,FALSE) - VLOOKUP($B60,test!$A$3:$G$32,6,FALSE) &gt;= (test!$B$34+VLOOKUP(VLOOKUP($B60,test!$A$2:$I$32,4,FALSE),test!$J$10:$P$14,4,FALSE))/1440),1,0)</f>
        <v>0</v>
      </c>
      <c r="X60" s="2">
        <f>IF(AND(VLOOKUP(X$1,test!$A$3:$F$32,5,FALSE) - VLOOKUP($B60,test!$A$3:$G$32,6,FALSE) &gt;= (test!$B$34+VLOOKUP(VLOOKUP($B60,test!$A$2:$I$32,4,FALSE),test!$J$10:$P$14,4,FALSE))/1440),1,0)</f>
        <v>0</v>
      </c>
      <c r="Y60" s="2">
        <f>IF(AND(VLOOKUP(Y$1,test!$A$3:$F$32,5,FALSE) - VLOOKUP($B60,test!$A$3:$G$32,6,FALSE) &gt;= (test!$B$34+VLOOKUP(VLOOKUP($B60,test!$A$2:$I$32,4,FALSE),test!$J$10:$P$14,4,FALSE))/1440),1,0)</f>
        <v>0</v>
      </c>
      <c r="Z60" s="2">
        <f>IF(AND(VLOOKUP(Z$1,test!$A$3:$F$32,5,FALSE) - VLOOKUP($B60,test!$A$3:$G$32,6,FALSE) &gt;= (test!$B$34+VLOOKUP(VLOOKUP($B60,test!$A$2:$I$32,4,FALSE),test!$J$10:$P$14,4,FALSE))/1440),1,0)</f>
        <v>0</v>
      </c>
      <c r="AA60" s="2">
        <f>IF(AND(VLOOKUP(AA$1,test!$A$3:$F$32,5,FALSE) - VLOOKUP($B60,test!$A$3:$G$32,6,FALSE) &gt;= (test!$B$34+VLOOKUP(VLOOKUP($B60,test!$A$2:$I$32,4,FALSE),test!$J$10:$P$14,4,FALSE))/1440),1,0)</f>
        <v>0</v>
      </c>
      <c r="AB60" s="2">
        <f>IF(AND(VLOOKUP(AB$1,test!$A$3:$F$32,5,FALSE) - VLOOKUP($B60,test!$A$3:$G$32,6,FALSE) &gt;= (test!$B$34+VLOOKUP(VLOOKUP($B60,test!$A$2:$I$32,4,FALSE),test!$J$10:$P$14,4,FALSE))/1440),1,0)</f>
        <v>0</v>
      </c>
      <c r="AC60" s="2">
        <f>IF(AND(VLOOKUP(AC$1,test!$A$3:$F$32,5,FALSE) - VLOOKUP($B60,test!$A$3:$G$32,6,FALSE) &gt;= (test!$B$34+VLOOKUP(VLOOKUP($B60,test!$A$2:$I$32,4,FALSE),test!$J$10:$P$14,4,FALSE))/1440),1,0)</f>
        <v>0</v>
      </c>
      <c r="AD60" s="2">
        <f>IF(AND(VLOOKUP(AD$1,test!$A$3:$F$32,5,FALSE) - VLOOKUP($B60,test!$A$3:$G$32,6,FALSE) &gt;= (test!$B$34+VLOOKUP(VLOOKUP($B60,test!$A$2:$I$32,4,FALSE),test!$J$10:$P$14,4,FALSE))/1440),1,0)</f>
        <v>0</v>
      </c>
      <c r="AE60" s="2">
        <f>IF(AND(VLOOKUP(AE$1,test!$A$3:$F$32,5,FALSE) - VLOOKUP($B60,test!$A$3:$G$32,6,FALSE) &gt;= (test!$B$34+VLOOKUP(VLOOKUP($B60,test!$A$2:$I$32,4,FALSE),test!$J$10:$P$14,4,FALSE))/1440),1,0)</f>
        <v>0</v>
      </c>
      <c r="AF60" s="2">
        <f>IF(AND(VLOOKUP(AF$1,test!$A$3:$F$32,5,FALSE) - VLOOKUP($B60,test!$A$3:$G$32,6,FALSE) &gt;= (test!$B$34+VLOOKUP(VLOOKUP($B60,test!$A$2:$I$32,4,FALSE),test!$J$10:$P$14,4,FALSE))/1440),1,0)</f>
        <v>0</v>
      </c>
      <c r="AG60" s="2">
        <f>IF(AND(VLOOKUP(AG$1,test!$A$3:$F$32,5,FALSE) - VLOOKUP($B60,test!$A$3:$G$32,6,FALSE) &gt;= (test!$B$34+VLOOKUP(VLOOKUP($B60,test!$A$2:$I$32,4,FALSE),test!$J$10:$P$14,4,FALSE))/1440),1,0)</f>
        <v>0</v>
      </c>
    </row>
    <row r="61" spans="1:33" x14ac:dyDescent="0.25">
      <c r="A61" t="s">
        <v>90</v>
      </c>
      <c r="B61" t="s">
        <v>39</v>
      </c>
      <c r="C61">
        <v>0</v>
      </c>
      <c r="D61" s="2">
        <f>IF(AND(VLOOKUP(D$1,test!$A$3:$F$32,5,FALSE) - VLOOKUP($B61,test!$A$3:$G$32,6,FALSE) &gt;= (test!$B$34+VLOOKUP(VLOOKUP($B61,test!$A$2:$I$32,4,FALSE),test!$J$10:$P$14,4,FALSE))/1440),1,0)</f>
        <v>0</v>
      </c>
      <c r="E61" s="2">
        <f>IF(AND(VLOOKUP(E$1,test!$A$3:$F$32,5,FALSE) - VLOOKUP($B61,test!$A$3:$G$32,6,FALSE) &gt;= (test!$B$34+VLOOKUP(VLOOKUP($B61,test!$A$2:$I$32,4,FALSE),test!$J$10:$P$14,4,FALSE))/1440),1,0)</f>
        <v>0</v>
      </c>
      <c r="F61" s="2">
        <f>IF(AND(VLOOKUP(F$1,test!$A$3:$F$32,5,FALSE) - VLOOKUP($B61,test!$A$3:$G$32,6,FALSE) &gt;= (test!$B$34+VLOOKUP(VLOOKUP($B61,test!$A$2:$I$32,4,FALSE),test!$J$10:$P$14,4,FALSE))/1440),1,0)</f>
        <v>0</v>
      </c>
      <c r="G61" s="2">
        <f>IF(AND(VLOOKUP(G$1,test!$A$3:$F$32,5,FALSE) - VLOOKUP($B61,test!$A$3:$G$32,6,FALSE) &gt;= (test!$B$34+VLOOKUP(VLOOKUP($B61,test!$A$2:$I$32,4,FALSE),test!$J$10:$P$14,4,FALSE))/1440),1,0)</f>
        <v>0</v>
      </c>
      <c r="H61" s="2">
        <f>IF(AND(VLOOKUP(H$1,test!$A$3:$F$32,5,FALSE) - VLOOKUP($B61,test!$A$3:$G$32,6,FALSE) &gt;= (test!$B$34+VLOOKUP(VLOOKUP($B61,test!$A$2:$I$32,4,FALSE),test!$J$10:$P$14,4,FALSE))/1440),1,0)</f>
        <v>0</v>
      </c>
      <c r="I61" s="2">
        <f>IF(AND(VLOOKUP(I$1,test!$A$3:$F$32,5,FALSE) - VLOOKUP($B61,test!$A$3:$G$32,6,FALSE) &gt;= (test!$B$34+VLOOKUP(VLOOKUP($B61,test!$A$2:$I$32,4,FALSE),test!$J$10:$P$14,4,FALSE))/1440),1,0)</f>
        <v>1</v>
      </c>
      <c r="J61" s="2">
        <f>IF(AND(VLOOKUP(J$1,test!$A$3:$F$32,5,FALSE) - VLOOKUP($B61,test!$A$3:$G$32,6,FALSE) &gt;= (test!$B$34+VLOOKUP(VLOOKUP($B61,test!$A$2:$I$32,4,FALSE),test!$J$10:$P$14,4,FALSE))/1440),1,0)</f>
        <v>1</v>
      </c>
      <c r="K61" s="2">
        <f>IF(AND(VLOOKUP(K$1,test!$A$3:$F$32,5,FALSE) - VLOOKUP($B61,test!$A$3:$G$32,6,FALSE) &gt;= (test!$B$34+VLOOKUP(VLOOKUP($B61,test!$A$2:$I$32,4,FALSE),test!$J$10:$P$14,4,FALSE))/1440),1,0)</f>
        <v>1</v>
      </c>
      <c r="L61" s="2">
        <f>IF(AND(VLOOKUP(L$1,test!$A$3:$F$32,5,FALSE) - VLOOKUP($B61,test!$A$3:$G$32,6,FALSE) &gt;= (test!$B$34+VLOOKUP(VLOOKUP($B61,test!$A$2:$I$32,4,FALSE),test!$J$10:$P$14,4,FALSE))/1440),1,0)</f>
        <v>0</v>
      </c>
      <c r="M61" s="2">
        <f>IF(AND(VLOOKUP(M$1,test!$A$3:$F$32,5,FALSE) - VLOOKUP($B61,test!$A$3:$G$32,6,FALSE) &gt;= (test!$B$34+VLOOKUP(VLOOKUP($B61,test!$A$2:$I$32,4,FALSE),test!$J$10:$P$14,4,FALSE))/1440),1,0)</f>
        <v>0</v>
      </c>
      <c r="N61" s="2">
        <f>IF(AND(VLOOKUP(N$1,test!$A$3:$F$32,5,FALSE) - VLOOKUP($B61,test!$A$3:$G$32,6,FALSE) &gt;= (test!$B$34+VLOOKUP(VLOOKUP($B61,test!$A$2:$I$32,4,FALSE),test!$J$10:$P$14,4,FALSE))/1440),1,0)</f>
        <v>0</v>
      </c>
      <c r="O61" s="2">
        <f>IF(AND(VLOOKUP(O$1,test!$A$3:$F$32,5,FALSE) - VLOOKUP($B61,test!$A$3:$G$32,6,FALSE) &gt;= (test!$B$34+VLOOKUP(VLOOKUP($B61,test!$A$2:$I$32,4,FALSE),test!$J$10:$P$14,4,FALSE))/1440),1,0)</f>
        <v>1</v>
      </c>
      <c r="P61" s="2">
        <f>IF(AND(VLOOKUP(P$1,test!$A$3:$F$32,5,FALSE) - VLOOKUP($B61,test!$A$3:$G$32,6,FALSE) &gt;= (test!$B$34+VLOOKUP(VLOOKUP($B61,test!$A$2:$I$32,4,FALSE),test!$J$10:$P$14,4,FALSE))/1440),1,0)</f>
        <v>1</v>
      </c>
      <c r="Q61" s="2">
        <f>IF(AND(VLOOKUP(Q$1,test!$A$3:$F$32,5,FALSE) - VLOOKUP($B61,test!$A$3:$G$32,6,FALSE) &gt;= (test!$B$34+VLOOKUP(VLOOKUP($B61,test!$A$2:$I$32,4,FALSE),test!$J$10:$P$14,4,FALSE))/1440),1,0)</f>
        <v>0</v>
      </c>
      <c r="R61" s="2">
        <f>IF(AND(VLOOKUP(R$1,test!$A$3:$F$32,5,FALSE) - VLOOKUP($B61,test!$A$3:$G$32,6,FALSE) &gt;= (test!$B$34+VLOOKUP(VLOOKUP($B61,test!$A$2:$I$32,4,FALSE),test!$J$10:$P$14,4,FALSE))/1440),1,0)</f>
        <v>0</v>
      </c>
      <c r="S61" s="2">
        <f>IF(AND(VLOOKUP(S$1,test!$A$3:$F$32,5,FALSE) - VLOOKUP($B61,test!$A$3:$G$32,6,FALSE) &gt;= (test!$B$34+VLOOKUP(VLOOKUP($B61,test!$A$2:$I$32,4,FALSE),test!$J$10:$P$14,4,FALSE))/1440),1,0)</f>
        <v>0</v>
      </c>
      <c r="T61" s="2">
        <f>IF(AND(VLOOKUP(T$1,test!$A$3:$F$32,5,FALSE) - VLOOKUP($B61,test!$A$3:$G$32,6,FALSE) &gt;= (test!$B$34+VLOOKUP(VLOOKUP($B61,test!$A$2:$I$32,4,FALSE),test!$J$10:$P$14,4,FALSE))/1440),1,0)</f>
        <v>0</v>
      </c>
      <c r="U61" s="2">
        <f>IF(AND(VLOOKUP(U$1,test!$A$3:$F$32,5,FALSE) - VLOOKUP($B61,test!$A$3:$G$32,6,FALSE) &gt;= (test!$B$34+VLOOKUP(VLOOKUP($B61,test!$A$2:$I$32,4,FALSE),test!$J$10:$P$14,4,FALSE))/1440),1,0)</f>
        <v>0</v>
      </c>
      <c r="V61" s="2">
        <f>IF(AND(VLOOKUP(V$1,test!$A$3:$F$32,5,FALSE) - VLOOKUP($B61,test!$A$3:$G$32,6,FALSE) &gt;= (test!$B$34+VLOOKUP(VLOOKUP($B61,test!$A$2:$I$32,4,FALSE),test!$J$10:$P$14,4,FALSE))/1440),1,0)</f>
        <v>0</v>
      </c>
      <c r="W61" s="2">
        <f>IF(AND(VLOOKUP(W$1,test!$A$3:$F$32,5,FALSE) - VLOOKUP($B61,test!$A$3:$G$32,6,FALSE) &gt;= (test!$B$34+VLOOKUP(VLOOKUP($B61,test!$A$2:$I$32,4,FALSE),test!$J$10:$P$14,4,FALSE))/1440),1,0)</f>
        <v>1</v>
      </c>
      <c r="X61" s="2">
        <f>IF(AND(VLOOKUP(X$1,test!$A$3:$F$32,5,FALSE) - VLOOKUP($B61,test!$A$3:$G$32,6,FALSE) &gt;= (test!$B$34+VLOOKUP(VLOOKUP($B61,test!$A$2:$I$32,4,FALSE),test!$J$10:$P$14,4,FALSE))/1440),1,0)</f>
        <v>1</v>
      </c>
      <c r="Y61" s="2">
        <f>IF(AND(VLOOKUP(Y$1,test!$A$3:$F$32,5,FALSE) - VLOOKUP($B61,test!$A$3:$G$32,6,FALSE) &gt;= (test!$B$34+VLOOKUP(VLOOKUP($B61,test!$A$2:$I$32,4,FALSE),test!$J$10:$P$14,4,FALSE))/1440),1,0)</f>
        <v>1</v>
      </c>
      <c r="Z61" s="2">
        <f>IF(AND(VLOOKUP(Z$1,test!$A$3:$F$32,5,FALSE) - VLOOKUP($B61,test!$A$3:$G$32,6,FALSE) &gt;= (test!$B$34+VLOOKUP(VLOOKUP($B61,test!$A$2:$I$32,4,FALSE),test!$J$10:$P$14,4,FALSE))/1440),1,0)</f>
        <v>0</v>
      </c>
      <c r="AA61" s="2">
        <f>IF(AND(VLOOKUP(AA$1,test!$A$3:$F$32,5,FALSE) - VLOOKUP($B61,test!$A$3:$G$32,6,FALSE) &gt;= (test!$B$34+VLOOKUP(VLOOKUP($B61,test!$A$2:$I$32,4,FALSE),test!$J$10:$P$14,4,FALSE))/1440),1,0)</f>
        <v>0</v>
      </c>
      <c r="AB61" s="2">
        <f>IF(AND(VLOOKUP(AB$1,test!$A$3:$F$32,5,FALSE) - VLOOKUP($B61,test!$A$3:$G$32,6,FALSE) &gt;= (test!$B$34+VLOOKUP(VLOOKUP($B61,test!$A$2:$I$32,4,FALSE),test!$J$10:$P$14,4,FALSE))/1440),1,0)</f>
        <v>0</v>
      </c>
      <c r="AC61" s="2">
        <f>IF(AND(VLOOKUP(AC$1,test!$A$3:$F$32,5,FALSE) - VLOOKUP($B61,test!$A$3:$G$32,6,FALSE) &gt;= (test!$B$34+VLOOKUP(VLOOKUP($B61,test!$A$2:$I$32,4,FALSE),test!$J$10:$P$14,4,FALSE))/1440),1,0)</f>
        <v>0</v>
      </c>
      <c r="AD61" s="2">
        <f>IF(AND(VLOOKUP(AD$1,test!$A$3:$F$32,5,FALSE) - VLOOKUP($B61,test!$A$3:$G$32,6,FALSE) &gt;= (test!$B$34+VLOOKUP(VLOOKUP($B61,test!$A$2:$I$32,4,FALSE),test!$J$10:$P$14,4,FALSE))/1440),1,0)</f>
        <v>1</v>
      </c>
      <c r="AE61" s="2">
        <f>IF(AND(VLOOKUP(AE$1,test!$A$3:$F$32,5,FALSE) - VLOOKUP($B61,test!$A$3:$G$32,6,FALSE) &gt;= (test!$B$34+VLOOKUP(VLOOKUP($B61,test!$A$2:$I$32,4,FALSE),test!$J$10:$P$14,4,FALSE))/1440),1,0)</f>
        <v>0</v>
      </c>
      <c r="AF61" s="2">
        <f>IF(AND(VLOOKUP(AF$1,test!$A$3:$F$32,5,FALSE) - VLOOKUP($B61,test!$A$3:$G$32,6,FALSE) &gt;= (test!$B$34+VLOOKUP(VLOOKUP($B61,test!$A$2:$I$32,4,FALSE),test!$J$10:$P$14,4,FALSE))/1440),1,0)</f>
        <v>0</v>
      </c>
      <c r="AG61" s="2">
        <f>IF(AND(VLOOKUP(AG$1,test!$A$3:$F$32,5,FALSE) - VLOOKUP($B61,test!$A$3:$G$32,6,FALSE) &gt;= (test!$B$34+VLOOKUP(VLOOKUP($B61,test!$A$2:$I$32,4,FALSE),test!$J$10:$P$14,4,FALSE))/1440),1,0)</f>
        <v>0</v>
      </c>
    </row>
    <row r="62" spans="1:33" x14ac:dyDescent="0.25">
      <c r="A62" t="s">
        <v>90</v>
      </c>
      <c r="B62" t="s">
        <v>40</v>
      </c>
      <c r="C62">
        <v>0</v>
      </c>
      <c r="D62" s="2">
        <f>IF(AND(VLOOKUP(D$1,test!$A$3:$F$32,5,FALSE) - VLOOKUP($B62,test!$A$3:$G$32,6,FALSE) &gt;= (test!$B$34+VLOOKUP(VLOOKUP($B62,test!$A$2:$I$32,4,FALSE),test!$J$10:$P$14,4,FALSE))/1440),1,0)</f>
        <v>0</v>
      </c>
      <c r="E62" s="2">
        <f>IF(AND(VLOOKUP(E$1,test!$A$3:$F$32,5,FALSE) - VLOOKUP($B62,test!$A$3:$G$32,6,FALSE) &gt;= (test!$B$34+VLOOKUP(VLOOKUP($B62,test!$A$2:$I$32,4,FALSE),test!$J$10:$P$14,4,FALSE))/1440),1,0)</f>
        <v>0</v>
      </c>
      <c r="F62" s="2">
        <f>IF(AND(VLOOKUP(F$1,test!$A$3:$F$32,5,FALSE) - VLOOKUP($B62,test!$A$3:$G$32,6,FALSE) &gt;= (test!$B$34+VLOOKUP(VLOOKUP($B62,test!$A$2:$I$32,4,FALSE),test!$J$10:$P$14,4,FALSE))/1440),1,0)</f>
        <v>0</v>
      </c>
      <c r="G62" s="2">
        <f>IF(AND(VLOOKUP(G$1,test!$A$3:$F$32,5,FALSE) - VLOOKUP($B62,test!$A$3:$G$32,6,FALSE) &gt;= (test!$B$34+VLOOKUP(VLOOKUP($B62,test!$A$2:$I$32,4,FALSE),test!$J$10:$P$14,4,FALSE))/1440),1,0)</f>
        <v>0</v>
      </c>
      <c r="H62" s="2">
        <f>IF(AND(VLOOKUP(H$1,test!$A$3:$F$32,5,FALSE) - VLOOKUP($B62,test!$A$3:$G$32,6,FALSE) &gt;= (test!$B$34+VLOOKUP(VLOOKUP($B62,test!$A$2:$I$32,4,FALSE),test!$J$10:$P$14,4,FALSE))/1440),1,0)</f>
        <v>0</v>
      </c>
      <c r="I62" s="2">
        <f>IF(AND(VLOOKUP(I$1,test!$A$3:$F$32,5,FALSE) - VLOOKUP($B62,test!$A$3:$G$32,6,FALSE) &gt;= (test!$B$34+VLOOKUP(VLOOKUP($B62,test!$A$2:$I$32,4,FALSE),test!$J$10:$P$14,4,FALSE))/1440),1,0)</f>
        <v>0</v>
      </c>
      <c r="J62" s="2">
        <f>IF(AND(VLOOKUP(J$1,test!$A$3:$F$32,5,FALSE) - VLOOKUP($B62,test!$A$3:$G$32,6,FALSE) &gt;= (test!$B$34+VLOOKUP(VLOOKUP($B62,test!$A$2:$I$32,4,FALSE),test!$J$10:$P$14,4,FALSE))/1440),1,0)</f>
        <v>0</v>
      </c>
      <c r="K62" s="2">
        <f>IF(AND(VLOOKUP(K$1,test!$A$3:$F$32,5,FALSE) - VLOOKUP($B62,test!$A$3:$G$32,6,FALSE) &gt;= (test!$B$34+VLOOKUP(VLOOKUP($B62,test!$A$2:$I$32,4,FALSE),test!$J$10:$P$14,4,FALSE))/1440),1,0)</f>
        <v>1</v>
      </c>
      <c r="L62" s="2">
        <f>IF(AND(VLOOKUP(L$1,test!$A$3:$F$32,5,FALSE) - VLOOKUP($B62,test!$A$3:$G$32,6,FALSE) &gt;= (test!$B$34+VLOOKUP(VLOOKUP($B62,test!$A$2:$I$32,4,FALSE),test!$J$10:$P$14,4,FALSE))/1440),1,0)</f>
        <v>0</v>
      </c>
      <c r="M62" s="2">
        <f>IF(AND(VLOOKUP(M$1,test!$A$3:$F$32,5,FALSE) - VLOOKUP($B62,test!$A$3:$G$32,6,FALSE) &gt;= (test!$B$34+VLOOKUP(VLOOKUP($B62,test!$A$2:$I$32,4,FALSE),test!$J$10:$P$14,4,FALSE))/1440),1,0)</f>
        <v>0</v>
      </c>
      <c r="N62" s="2">
        <f>IF(AND(VLOOKUP(N$1,test!$A$3:$F$32,5,FALSE) - VLOOKUP($B62,test!$A$3:$G$32,6,FALSE) &gt;= (test!$B$34+VLOOKUP(VLOOKUP($B62,test!$A$2:$I$32,4,FALSE),test!$J$10:$P$14,4,FALSE))/1440),1,0)</f>
        <v>0</v>
      </c>
      <c r="O62" s="2">
        <f>IF(AND(VLOOKUP(O$1,test!$A$3:$F$32,5,FALSE) - VLOOKUP($B62,test!$A$3:$G$32,6,FALSE) &gt;= (test!$B$34+VLOOKUP(VLOOKUP($B62,test!$A$2:$I$32,4,FALSE),test!$J$10:$P$14,4,FALSE))/1440),1,0)</f>
        <v>1</v>
      </c>
      <c r="P62" s="2">
        <f>IF(AND(VLOOKUP(P$1,test!$A$3:$F$32,5,FALSE) - VLOOKUP($B62,test!$A$3:$G$32,6,FALSE) &gt;= (test!$B$34+VLOOKUP(VLOOKUP($B62,test!$A$2:$I$32,4,FALSE),test!$J$10:$P$14,4,FALSE))/1440),1,0)</f>
        <v>1</v>
      </c>
      <c r="Q62" s="2">
        <f>IF(AND(VLOOKUP(Q$1,test!$A$3:$F$32,5,FALSE) - VLOOKUP($B62,test!$A$3:$G$32,6,FALSE) &gt;= (test!$B$34+VLOOKUP(VLOOKUP($B62,test!$A$2:$I$32,4,FALSE),test!$J$10:$P$14,4,FALSE))/1440),1,0)</f>
        <v>0</v>
      </c>
      <c r="R62" s="2">
        <f>IF(AND(VLOOKUP(R$1,test!$A$3:$F$32,5,FALSE) - VLOOKUP($B62,test!$A$3:$G$32,6,FALSE) &gt;= (test!$B$34+VLOOKUP(VLOOKUP($B62,test!$A$2:$I$32,4,FALSE),test!$J$10:$P$14,4,FALSE))/1440),1,0)</f>
        <v>0</v>
      </c>
      <c r="S62" s="2">
        <f>IF(AND(VLOOKUP(S$1,test!$A$3:$F$32,5,FALSE) - VLOOKUP($B62,test!$A$3:$G$32,6,FALSE) &gt;= (test!$B$34+VLOOKUP(VLOOKUP($B62,test!$A$2:$I$32,4,FALSE),test!$J$10:$P$14,4,FALSE))/1440),1,0)</f>
        <v>0</v>
      </c>
      <c r="T62" s="2">
        <f>IF(AND(VLOOKUP(T$1,test!$A$3:$F$32,5,FALSE) - VLOOKUP($B62,test!$A$3:$G$32,6,FALSE) &gt;= (test!$B$34+VLOOKUP(VLOOKUP($B62,test!$A$2:$I$32,4,FALSE),test!$J$10:$P$14,4,FALSE))/1440),1,0)</f>
        <v>0</v>
      </c>
      <c r="U62" s="2">
        <f>IF(AND(VLOOKUP(U$1,test!$A$3:$F$32,5,FALSE) - VLOOKUP($B62,test!$A$3:$G$32,6,FALSE) &gt;= (test!$B$34+VLOOKUP(VLOOKUP($B62,test!$A$2:$I$32,4,FALSE),test!$J$10:$P$14,4,FALSE))/1440),1,0)</f>
        <v>0</v>
      </c>
      <c r="V62" s="2">
        <f>IF(AND(VLOOKUP(V$1,test!$A$3:$F$32,5,FALSE) - VLOOKUP($B62,test!$A$3:$G$32,6,FALSE) &gt;= (test!$B$34+VLOOKUP(VLOOKUP($B62,test!$A$2:$I$32,4,FALSE),test!$J$10:$P$14,4,FALSE))/1440),1,0)</f>
        <v>0</v>
      </c>
      <c r="W62" s="2">
        <f>IF(AND(VLOOKUP(W$1,test!$A$3:$F$32,5,FALSE) - VLOOKUP($B62,test!$A$3:$G$32,6,FALSE) &gt;= (test!$B$34+VLOOKUP(VLOOKUP($B62,test!$A$2:$I$32,4,FALSE),test!$J$10:$P$14,4,FALSE))/1440),1,0)</f>
        <v>0</v>
      </c>
      <c r="X62" s="2">
        <f>IF(AND(VLOOKUP(X$1,test!$A$3:$F$32,5,FALSE) - VLOOKUP($B62,test!$A$3:$G$32,6,FALSE) &gt;= (test!$B$34+VLOOKUP(VLOOKUP($B62,test!$A$2:$I$32,4,FALSE),test!$J$10:$P$14,4,FALSE))/1440),1,0)</f>
        <v>0</v>
      </c>
      <c r="Y62" s="2">
        <f>IF(AND(VLOOKUP(Y$1,test!$A$3:$F$32,5,FALSE) - VLOOKUP($B62,test!$A$3:$G$32,6,FALSE) &gt;= (test!$B$34+VLOOKUP(VLOOKUP($B62,test!$A$2:$I$32,4,FALSE),test!$J$10:$P$14,4,FALSE))/1440),1,0)</f>
        <v>1</v>
      </c>
      <c r="Z62" s="2">
        <f>IF(AND(VLOOKUP(Z$1,test!$A$3:$F$32,5,FALSE) - VLOOKUP($B62,test!$A$3:$G$32,6,FALSE) &gt;= (test!$B$34+VLOOKUP(VLOOKUP($B62,test!$A$2:$I$32,4,FALSE),test!$J$10:$P$14,4,FALSE))/1440),1,0)</f>
        <v>0</v>
      </c>
      <c r="AA62" s="2">
        <f>IF(AND(VLOOKUP(AA$1,test!$A$3:$F$32,5,FALSE) - VLOOKUP($B62,test!$A$3:$G$32,6,FALSE) &gt;= (test!$B$34+VLOOKUP(VLOOKUP($B62,test!$A$2:$I$32,4,FALSE),test!$J$10:$P$14,4,FALSE))/1440),1,0)</f>
        <v>0</v>
      </c>
      <c r="AB62" s="2">
        <f>IF(AND(VLOOKUP(AB$1,test!$A$3:$F$32,5,FALSE) - VLOOKUP($B62,test!$A$3:$G$32,6,FALSE) &gt;= (test!$B$34+VLOOKUP(VLOOKUP($B62,test!$A$2:$I$32,4,FALSE),test!$J$10:$P$14,4,FALSE))/1440),1,0)</f>
        <v>0</v>
      </c>
      <c r="AC62" s="2">
        <f>IF(AND(VLOOKUP(AC$1,test!$A$3:$F$32,5,FALSE) - VLOOKUP($B62,test!$A$3:$G$32,6,FALSE) &gt;= (test!$B$34+VLOOKUP(VLOOKUP($B62,test!$A$2:$I$32,4,FALSE),test!$J$10:$P$14,4,FALSE))/1440),1,0)</f>
        <v>0</v>
      </c>
      <c r="AD62" s="2">
        <f>IF(AND(VLOOKUP(AD$1,test!$A$3:$F$32,5,FALSE) - VLOOKUP($B62,test!$A$3:$G$32,6,FALSE) &gt;= (test!$B$34+VLOOKUP(VLOOKUP($B62,test!$A$2:$I$32,4,FALSE),test!$J$10:$P$14,4,FALSE))/1440),1,0)</f>
        <v>0</v>
      </c>
      <c r="AE62" s="2">
        <f>IF(AND(VLOOKUP(AE$1,test!$A$3:$F$32,5,FALSE) - VLOOKUP($B62,test!$A$3:$G$32,6,FALSE) &gt;= (test!$B$34+VLOOKUP(VLOOKUP($B62,test!$A$2:$I$32,4,FALSE),test!$J$10:$P$14,4,FALSE))/1440),1,0)</f>
        <v>0</v>
      </c>
      <c r="AF62" s="2">
        <f>IF(AND(VLOOKUP(AF$1,test!$A$3:$F$32,5,FALSE) - VLOOKUP($B62,test!$A$3:$G$32,6,FALSE) &gt;= (test!$B$34+VLOOKUP(VLOOKUP($B62,test!$A$2:$I$32,4,FALSE),test!$J$10:$P$14,4,FALSE))/1440),1,0)</f>
        <v>0</v>
      </c>
      <c r="AG62" s="2">
        <f>IF(AND(VLOOKUP(AG$1,test!$A$3:$F$32,5,FALSE) - VLOOKUP($B62,test!$A$3:$G$32,6,FALSE) &gt;= (test!$B$34+VLOOKUP(VLOOKUP($B62,test!$A$2:$I$32,4,FALSE),test!$J$10:$P$14,4,FALSE))/1440),1,0)</f>
        <v>0</v>
      </c>
    </row>
    <row r="63" spans="1:33" x14ac:dyDescent="0.25">
      <c r="A63" t="s">
        <v>90</v>
      </c>
      <c r="B63" t="s">
        <v>41</v>
      </c>
      <c r="C63">
        <v>0</v>
      </c>
      <c r="D63" s="2">
        <f>IF(AND(VLOOKUP(D$1,test!$A$3:$F$32,5,FALSE) - VLOOKUP($B63,test!$A$3:$G$32,6,FALSE) &gt;= (test!$B$34+VLOOKUP(VLOOKUP($B63,test!$A$2:$I$32,4,FALSE),test!$J$10:$P$14,4,FALSE))/1440),1,0)</f>
        <v>0</v>
      </c>
      <c r="E63" s="2">
        <f>IF(AND(VLOOKUP(E$1,test!$A$3:$F$32,5,FALSE) - VLOOKUP($B63,test!$A$3:$G$32,6,FALSE) &gt;= (test!$B$34+VLOOKUP(VLOOKUP($B63,test!$A$2:$I$32,4,FALSE),test!$J$10:$P$14,4,FALSE))/1440),1,0)</f>
        <v>0</v>
      </c>
      <c r="F63" s="2">
        <f>IF(AND(VLOOKUP(F$1,test!$A$3:$F$32,5,FALSE) - VLOOKUP($B63,test!$A$3:$G$32,6,FALSE) &gt;= (test!$B$34+VLOOKUP(VLOOKUP($B63,test!$A$2:$I$32,4,FALSE),test!$J$10:$P$14,4,FALSE))/1440),1,0)</f>
        <v>0</v>
      </c>
      <c r="G63" s="2">
        <f>IF(AND(VLOOKUP(G$1,test!$A$3:$F$32,5,FALSE) - VLOOKUP($B63,test!$A$3:$G$32,6,FALSE) &gt;= (test!$B$34+VLOOKUP(VLOOKUP($B63,test!$A$2:$I$32,4,FALSE),test!$J$10:$P$14,4,FALSE))/1440),1,0)</f>
        <v>0</v>
      </c>
      <c r="H63" s="2">
        <f>IF(AND(VLOOKUP(H$1,test!$A$3:$F$32,5,FALSE) - VLOOKUP($B63,test!$A$3:$G$32,6,FALSE) &gt;= (test!$B$34+VLOOKUP(VLOOKUP($B63,test!$A$2:$I$32,4,FALSE),test!$J$10:$P$14,4,FALSE))/1440),1,0)</f>
        <v>0</v>
      </c>
      <c r="I63" s="2">
        <f>IF(AND(VLOOKUP(I$1,test!$A$3:$F$32,5,FALSE) - VLOOKUP($B63,test!$A$3:$G$32,6,FALSE) &gt;= (test!$B$34+VLOOKUP(VLOOKUP($B63,test!$A$2:$I$32,4,FALSE),test!$J$10:$P$14,4,FALSE))/1440),1,0)</f>
        <v>0</v>
      </c>
      <c r="J63" s="2">
        <f>IF(AND(VLOOKUP(J$1,test!$A$3:$F$32,5,FALSE) - VLOOKUP($B63,test!$A$3:$G$32,6,FALSE) &gt;= (test!$B$34+VLOOKUP(VLOOKUP($B63,test!$A$2:$I$32,4,FALSE),test!$J$10:$P$14,4,FALSE))/1440),1,0)</f>
        <v>0</v>
      </c>
      <c r="K63" s="2">
        <f>IF(AND(VLOOKUP(K$1,test!$A$3:$F$32,5,FALSE) - VLOOKUP($B63,test!$A$3:$G$32,6,FALSE) &gt;= (test!$B$34+VLOOKUP(VLOOKUP($B63,test!$A$2:$I$32,4,FALSE),test!$J$10:$P$14,4,FALSE))/1440),1,0)</f>
        <v>0</v>
      </c>
      <c r="L63" s="2">
        <f>IF(AND(VLOOKUP(L$1,test!$A$3:$F$32,5,FALSE) - VLOOKUP($B63,test!$A$3:$G$32,6,FALSE) &gt;= (test!$B$34+VLOOKUP(VLOOKUP($B63,test!$A$2:$I$32,4,FALSE),test!$J$10:$P$14,4,FALSE))/1440),1,0)</f>
        <v>0</v>
      </c>
      <c r="M63" s="2">
        <f>IF(AND(VLOOKUP(M$1,test!$A$3:$F$32,5,FALSE) - VLOOKUP($B63,test!$A$3:$G$32,6,FALSE) &gt;= (test!$B$34+VLOOKUP(VLOOKUP($B63,test!$A$2:$I$32,4,FALSE),test!$J$10:$P$14,4,FALSE))/1440),1,0)</f>
        <v>0</v>
      </c>
      <c r="N63" s="2">
        <f>IF(AND(VLOOKUP(N$1,test!$A$3:$F$32,5,FALSE) - VLOOKUP($B63,test!$A$3:$G$32,6,FALSE) &gt;= (test!$B$34+VLOOKUP(VLOOKUP($B63,test!$A$2:$I$32,4,FALSE),test!$J$10:$P$14,4,FALSE))/1440),1,0)</f>
        <v>0</v>
      </c>
      <c r="O63" s="2">
        <f>IF(AND(VLOOKUP(O$1,test!$A$3:$F$32,5,FALSE) - VLOOKUP($B63,test!$A$3:$G$32,6,FALSE) &gt;= (test!$B$34+VLOOKUP(VLOOKUP($B63,test!$A$2:$I$32,4,FALSE),test!$J$10:$P$14,4,FALSE))/1440),1,0)</f>
        <v>0</v>
      </c>
      <c r="P63" s="2">
        <f>IF(AND(VLOOKUP(P$1,test!$A$3:$F$32,5,FALSE) - VLOOKUP($B63,test!$A$3:$G$32,6,FALSE) &gt;= (test!$B$34+VLOOKUP(VLOOKUP($B63,test!$A$2:$I$32,4,FALSE),test!$J$10:$P$14,4,FALSE))/1440),1,0)</f>
        <v>0</v>
      </c>
      <c r="Q63" s="2">
        <f>IF(AND(VLOOKUP(Q$1,test!$A$3:$F$32,5,FALSE) - VLOOKUP($B63,test!$A$3:$G$32,6,FALSE) &gt;= (test!$B$34+VLOOKUP(VLOOKUP($B63,test!$A$2:$I$32,4,FALSE),test!$J$10:$P$14,4,FALSE))/1440),1,0)</f>
        <v>0</v>
      </c>
      <c r="R63" s="2">
        <f>IF(AND(VLOOKUP(R$1,test!$A$3:$F$32,5,FALSE) - VLOOKUP($B63,test!$A$3:$G$32,6,FALSE) &gt;= (test!$B$34+VLOOKUP(VLOOKUP($B63,test!$A$2:$I$32,4,FALSE),test!$J$10:$P$14,4,FALSE))/1440),1,0)</f>
        <v>0</v>
      </c>
      <c r="S63" s="2">
        <f>IF(AND(VLOOKUP(S$1,test!$A$3:$F$32,5,FALSE) - VLOOKUP($B63,test!$A$3:$G$32,6,FALSE) &gt;= (test!$B$34+VLOOKUP(VLOOKUP($B63,test!$A$2:$I$32,4,FALSE),test!$J$10:$P$14,4,FALSE))/1440),1,0)</f>
        <v>0</v>
      </c>
      <c r="T63" s="2">
        <f>IF(AND(VLOOKUP(T$1,test!$A$3:$F$32,5,FALSE) - VLOOKUP($B63,test!$A$3:$G$32,6,FALSE) &gt;= (test!$B$34+VLOOKUP(VLOOKUP($B63,test!$A$2:$I$32,4,FALSE),test!$J$10:$P$14,4,FALSE))/1440),1,0)</f>
        <v>0</v>
      </c>
      <c r="U63" s="2">
        <f>IF(AND(VLOOKUP(U$1,test!$A$3:$F$32,5,FALSE) - VLOOKUP($B63,test!$A$3:$G$32,6,FALSE) &gt;= (test!$B$34+VLOOKUP(VLOOKUP($B63,test!$A$2:$I$32,4,FALSE),test!$J$10:$P$14,4,FALSE))/1440),1,0)</f>
        <v>0</v>
      </c>
      <c r="V63" s="2">
        <f>IF(AND(VLOOKUP(V$1,test!$A$3:$F$32,5,FALSE) - VLOOKUP($B63,test!$A$3:$G$32,6,FALSE) &gt;= (test!$B$34+VLOOKUP(VLOOKUP($B63,test!$A$2:$I$32,4,FALSE),test!$J$10:$P$14,4,FALSE))/1440),1,0)</f>
        <v>0</v>
      </c>
      <c r="W63" s="2">
        <f>IF(AND(VLOOKUP(W$1,test!$A$3:$F$32,5,FALSE) - VLOOKUP($B63,test!$A$3:$G$32,6,FALSE) &gt;= (test!$B$34+VLOOKUP(VLOOKUP($B63,test!$A$2:$I$32,4,FALSE),test!$J$10:$P$14,4,FALSE))/1440),1,0)</f>
        <v>0</v>
      </c>
      <c r="X63" s="2">
        <f>IF(AND(VLOOKUP(X$1,test!$A$3:$F$32,5,FALSE) - VLOOKUP($B63,test!$A$3:$G$32,6,FALSE) &gt;= (test!$B$34+VLOOKUP(VLOOKUP($B63,test!$A$2:$I$32,4,FALSE),test!$J$10:$P$14,4,FALSE))/1440),1,0)</f>
        <v>0</v>
      </c>
      <c r="Y63" s="2">
        <f>IF(AND(VLOOKUP(Y$1,test!$A$3:$F$32,5,FALSE) - VLOOKUP($B63,test!$A$3:$G$32,6,FALSE) &gt;= (test!$B$34+VLOOKUP(VLOOKUP($B63,test!$A$2:$I$32,4,FALSE),test!$J$10:$P$14,4,FALSE))/1440),1,0)</f>
        <v>0</v>
      </c>
      <c r="Z63" s="2">
        <f>IF(AND(VLOOKUP(Z$1,test!$A$3:$F$32,5,FALSE) - VLOOKUP($B63,test!$A$3:$G$32,6,FALSE) &gt;= (test!$B$34+VLOOKUP(VLOOKUP($B63,test!$A$2:$I$32,4,FALSE),test!$J$10:$P$14,4,FALSE))/1440),1,0)</f>
        <v>0</v>
      </c>
      <c r="AA63" s="2">
        <f>IF(AND(VLOOKUP(AA$1,test!$A$3:$F$32,5,FALSE) - VLOOKUP($B63,test!$A$3:$G$32,6,FALSE) &gt;= (test!$B$34+VLOOKUP(VLOOKUP($B63,test!$A$2:$I$32,4,FALSE),test!$J$10:$P$14,4,FALSE))/1440),1,0)</f>
        <v>0</v>
      </c>
      <c r="AB63" s="2">
        <f>IF(AND(VLOOKUP(AB$1,test!$A$3:$F$32,5,FALSE) - VLOOKUP($B63,test!$A$3:$G$32,6,FALSE) &gt;= (test!$B$34+VLOOKUP(VLOOKUP($B63,test!$A$2:$I$32,4,FALSE),test!$J$10:$P$14,4,FALSE))/1440),1,0)</f>
        <v>0</v>
      </c>
      <c r="AC63" s="2">
        <f>IF(AND(VLOOKUP(AC$1,test!$A$3:$F$32,5,FALSE) - VLOOKUP($B63,test!$A$3:$G$32,6,FALSE) &gt;= (test!$B$34+VLOOKUP(VLOOKUP($B63,test!$A$2:$I$32,4,FALSE),test!$J$10:$P$14,4,FALSE))/1440),1,0)</f>
        <v>0</v>
      </c>
      <c r="AD63" s="2">
        <f>IF(AND(VLOOKUP(AD$1,test!$A$3:$F$32,5,FALSE) - VLOOKUP($B63,test!$A$3:$G$32,6,FALSE) &gt;= (test!$B$34+VLOOKUP(VLOOKUP($B63,test!$A$2:$I$32,4,FALSE),test!$J$10:$P$14,4,FALSE))/1440),1,0)</f>
        <v>0</v>
      </c>
      <c r="AE63" s="2">
        <f>IF(AND(VLOOKUP(AE$1,test!$A$3:$F$32,5,FALSE) - VLOOKUP($B63,test!$A$3:$G$32,6,FALSE) &gt;= (test!$B$34+VLOOKUP(VLOOKUP($B63,test!$A$2:$I$32,4,FALSE),test!$J$10:$P$14,4,FALSE))/1440),1,0)</f>
        <v>0</v>
      </c>
      <c r="AF63" s="2">
        <f>IF(AND(VLOOKUP(AF$1,test!$A$3:$F$32,5,FALSE) - VLOOKUP($B63,test!$A$3:$G$32,6,FALSE) &gt;= (test!$B$34+VLOOKUP(VLOOKUP($B63,test!$A$2:$I$32,4,FALSE),test!$J$10:$P$14,4,FALSE))/1440),1,0)</f>
        <v>0</v>
      </c>
      <c r="AG63" s="2">
        <f>IF(AND(VLOOKUP(AG$1,test!$A$3:$F$32,5,FALSE) - VLOOKUP($B63,test!$A$3:$G$32,6,FALSE) &gt;= (test!$B$34+VLOOKUP(VLOOKUP($B63,test!$A$2:$I$32,4,FALSE),test!$J$10:$P$14,4,FALSE))/1440),1,0)</f>
        <v>0</v>
      </c>
    </row>
    <row r="64" spans="1:33" x14ac:dyDescent="0.25">
      <c r="A64" t="s">
        <v>97</v>
      </c>
      <c r="B64" t="s">
        <v>46</v>
      </c>
      <c r="C64">
        <v>0</v>
      </c>
      <c r="D64" s="2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A65" t="s">
        <v>97</v>
      </c>
      <c r="B65" t="s">
        <v>6</v>
      </c>
      <c r="C65">
        <v>0</v>
      </c>
      <c r="D65" s="2">
        <f>IF(AND(VLOOKUP(D$1,test!$A$3:$F$32,5,FALSE) - VLOOKUP($B65,test!$A$3:$G$32,6,FALSE) &gt;= (test!$B$35+VLOOKUP(VLOOKUP($B65,test!$A$2:$I$32,4,FALSE),test!$J$10:$P$14,5,FALSE))/1440),1,0)</f>
        <v>0</v>
      </c>
      <c r="E65" s="2">
        <f>IF(AND(VLOOKUP(E$1,test!$A$3:$F$32,5,FALSE) - VLOOKUP($B65,test!$A$3:$G$32,6,FALSE) &gt;= (test!$B$35+VLOOKUP(VLOOKUP($B65,test!$A$2:$I$32,4,FALSE),test!$J$10:$P$14,5,FALSE))/1440),1,0)</f>
        <v>0</v>
      </c>
      <c r="F65" s="2">
        <f>IF(AND(VLOOKUP(F$1,test!$A$3:$F$32,5,FALSE) - VLOOKUP($B65,test!$A$3:$G$32,6,FALSE) &gt;= (test!$B$35+VLOOKUP(VLOOKUP($B65,test!$A$2:$I$32,4,FALSE),test!$J$10:$P$14,5,FALSE))/1440),1,0)</f>
        <v>1</v>
      </c>
      <c r="G65" s="2">
        <f>IF(AND(VLOOKUP(G$1,test!$A$3:$F$32,5,FALSE) - VLOOKUP($B65,test!$A$3:$G$32,6,FALSE) &gt;= (test!$B$35+VLOOKUP(VLOOKUP($B65,test!$A$2:$I$32,4,FALSE),test!$J$10:$P$14,5,FALSE))/1440),1,0)</f>
        <v>1</v>
      </c>
      <c r="H65" s="2">
        <f>IF(AND(VLOOKUP(H$1,test!$A$3:$F$32,5,FALSE) - VLOOKUP($B65,test!$A$3:$G$32,6,FALSE) &gt;= (test!$B$35+VLOOKUP(VLOOKUP($B65,test!$A$2:$I$32,4,FALSE),test!$J$10:$P$14,5,FALSE))/1440),1,0)</f>
        <v>1</v>
      </c>
      <c r="I65" s="2">
        <f>IF(AND(VLOOKUP(I$1,test!$A$3:$F$32,5,FALSE) - VLOOKUP($B65,test!$A$3:$G$32,6,FALSE) &gt;= (test!$B$35+VLOOKUP(VLOOKUP($B65,test!$A$2:$I$32,4,FALSE),test!$J$10:$P$14,5,FALSE))/1440),1,0)</f>
        <v>1</v>
      </c>
      <c r="J65" s="2">
        <f>IF(AND(VLOOKUP(J$1,test!$A$3:$F$32,5,FALSE) - VLOOKUP($B65,test!$A$3:$G$32,6,FALSE) &gt;= (test!$B$35+VLOOKUP(VLOOKUP($B65,test!$A$2:$I$32,4,FALSE),test!$J$10:$P$14,5,FALSE))/1440),1,0)</f>
        <v>1</v>
      </c>
      <c r="K65" s="2">
        <f>IF(AND(VLOOKUP(K$1,test!$A$3:$F$32,5,FALSE) - VLOOKUP($B65,test!$A$3:$G$32,6,FALSE) &gt;= (test!$B$35+VLOOKUP(VLOOKUP($B65,test!$A$2:$I$32,4,FALSE),test!$J$10:$P$14,5,FALSE))/1440),1,0)</f>
        <v>1</v>
      </c>
      <c r="L65" s="2">
        <f>IF(AND(VLOOKUP(L$1,test!$A$3:$F$32,5,FALSE) - VLOOKUP($B65,test!$A$3:$G$32,6,FALSE) &gt;= (test!$B$35+VLOOKUP(VLOOKUP($B65,test!$A$2:$I$32,4,FALSE),test!$J$10:$P$14,5,FALSE))/1440),1,0)</f>
        <v>0</v>
      </c>
      <c r="M65" s="2">
        <f>IF(AND(VLOOKUP(M$1,test!$A$3:$F$32,5,FALSE) - VLOOKUP($B65,test!$A$3:$G$32,6,FALSE) &gt;= (test!$B$35+VLOOKUP(VLOOKUP($B65,test!$A$2:$I$32,4,FALSE),test!$J$10:$P$14,5,FALSE))/1440),1,0)</f>
        <v>0</v>
      </c>
      <c r="N65" s="2">
        <f>IF(AND(VLOOKUP(N$1,test!$A$3:$F$32,5,FALSE) - VLOOKUP($B65,test!$A$3:$G$32,6,FALSE) &gt;= (test!$B$35+VLOOKUP(VLOOKUP($B65,test!$A$2:$I$32,4,FALSE),test!$J$10:$P$14,5,FALSE))/1440),1,0)</f>
        <v>1</v>
      </c>
      <c r="O65" s="2">
        <f>IF(AND(VLOOKUP(O$1,test!$A$3:$F$32,5,FALSE) - VLOOKUP($B65,test!$A$3:$G$32,6,FALSE) &gt;= (test!$B$35+VLOOKUP(VLOOKUP($B65,test!$A$2:$I$32,4,FALSE),test!$J$10:$P$14,5,FALSE))/1440),1,0)</f>
        <v>1</v>
      </c>
      <c r="P65" s="2">
        <f>IF(AND(VLOOKUP(P$1,test!$A$3:$F$32,5,FALSE) - VLOOKUP($B65,test!$A$3:$G$32,6,FALSE) &gt;= (test!$B$35+VLOOKUP(VLOOKUP($B65,test!$A$2:$I$32,4,FALSE),test!$J$10:$P$14,5,FALSE))/1440),1,0)</f>
        <v>1</v>
      </c>
      <c r="Q65" s="2">
        <f>IF(AND(VLOOKUP(Q$1,test!$A$3:$F$32,5,FALSE) - VLOOKUP($B65,test!$A$3:$G$32,6,FALSE) &gt;= (test!$B$35+VLOOKUP(VLOOKUP($B65,test!$A$2:$I$32,4,FALSE),test!$J$10:$P$14,5,FALSE))/1440),1,0)</f>
        <v>0</v>
      </c>
      <c r="R65" s="2">
        <f>IF(AND(VLOOKUP(R$1,test!$A$3:$F$32,5,FALSE) - VLOOKUP($B65,test!$A$3:$G$32,6,FALSE) &gt;= (test!$B$35+VLOOKUP(VLOOKUP($B65,test!$A$2:$I$32,4,FALSE),test!$J$10:$P$14,5,FALSE))/1440),1,0)</f>
        <v>0</v>
      </c>
      <c r="S65" s="2">
        <f>IF(AND(VLOOKUP(S$1,test!$A$3:$F$32,5,FALSE) - VLOOKUP($B65,test!$A$3:$G$32,6,FALSE) &gt;= (test!$B$35+VLOOKUP(VLOOKUP($B65,test!$A$2:$I$32,4,FALSE),test!$J$10:$P$14,5,FALSE))/1440),1,0)</f>
        <v>0</v>
      </c>
      <c r="T65" s="2">
        <f>IF(AND(VLOOKUP(T$1,test!$A$3:$F$32,5,FALSE) - VLOOKUP($B65,test!$A$3:$G$32,6,FALSE) &gt;= (test!$B$35+VLOOKUP(VLOOKUP($B65,test!$A$2:$I$32,4,FALSE),test!$J$10:$P$14,5,FALSE))/1440),1,0)</f>
        <v>0</v>
      </c>
      <c r="U65" s="2">
        <f>IF(AND(VLOOKUP(U$1,test!$A$3:$F$32,5,FALSE) - VLOOKUP($B65,test!$A$3:$G$32,6,FALSE) &gt;= (test!$B$35+VLOOKUP(VLOOKUP($B65,test!$A$2:$I$32,4,FALSE),test!$J$10:$P$14,5,FALSE))/1440),1,0)</f>
        <v>1</v>
      </c>
      <c r="V65" s="2">
        <f>IF(AND(VLOOKUP(V$1,test!$A$3:$F$32,5,FALSE) - VLOOKUP($B65,test!$A$3:$G$32,6,FALSE) &gt;= (test!$B$35+VLOOKUP(VLOOKUP($B65,test!$A$2:$I$32,4,FALSE),test!$J$10:$P$14,5,FALSE))/1440),1,0)</f>
        <v>1</v>
      </c>
      <c r="W65" s="2">
        <f>IF(AND(VLOOKUP(W$1,test!$A$3:$F$32,5,FALSE) - VLOOKUP($B65,test!$A$3:$G$32,6,FALSE) &gt;= (test!$B$35+VLOOKUP(VLOOKUP($B65,test!$A$2:$I$32,4,FALSE),test!$J$10:$P$14,5,FALSE))/1440),1,0)</f>
        <v>1</v>
      </c>
      <c r="X65" s="2">
        <f>IF(AND(VLOOKUP(X$1,test!$A$3:$F$32,5,FALSE) - VLOOKUP($B65,test!$A$3:$G$32,6,FALSE) &gt;= (test!$B$35+VLOOKUP(VLOOKUP($B65,test!$A$2:$I$32,4,FALSE),test!$J$10:$P$14,5,FALSE))/1440),1,0)</f>
        <v>1</v>
      </c>
      <c r="Y65" s="2">
        <f>IF(AND(VLOOKUP(Y$1,test!$A$3:$F$32,5,FALSE) - VLOOKUP($B65,test!$A$3:$G$32,6,FALSE) &gt;= (test!$B$35+VLOOKUP(VLOOKUP($B65,test!$A$2:$I$32,4,FALSE),test!$J$10:$P$14,5,FALSE))/1440),1,0)</f>
        <v>1</v>
      </c>
      <c r="Z65" s="2">
        <f>IF(AND(VLOOKUP(Z$1,test!$A$3:$F$32,5,FALSE) - VLOOKUP($B65,test!$A$3:$G$32,6,FALSE) &gt;= (test!$B$35+VLOOKUP(VLOOKUP($B65,test!$A$2:$I$32,4,FALSE),test!$J$10:$P$14,5,FALSE))/1440),1,0)</f>
        <v>0</v>
      </c>
      <c r="AA65" s="2">
        <f>IF(AND(VLOOKUP(AA$1,test!$A$3:$F$32,5,FALSE) - VLOOKUP($B65,test!$A$3:$G$32,6,FALSE) &gt;= (test!$B$35+VLOOKUP(VLOOKUP($B65,test!$A$2:$I$32,4,FALSE),test!$J$10:$P$14,5,FALSE))/1440),1,0)</f>
        <v>0</v>
      </c>
      <c r="AB65" s="2">
        <f>IF(AND(VLOOKUP(AB$1,test!$A$3:$F$32,5,FALSE) - VLOOKUP($B65,test!$A$3:$G$32,6,FALSE) &gt;= (test!$B$35+VLOOKUP(VLOOKUP($B65,test!$A$2:$I$32,4,FALSE),test!$J$10:$P$14,5,FALSE))/1440),1,0)</f>
        <v>1</v>
      </c>
      <c r="AC65" s="2">
        <f>IF(AND(VLOOKUP(AC$1,test!$A$3:$F$32,5,FALSE) - VLOOKUP($B65,test!$A$3:$G$32,6,FALSE) &gt;= (test!$B$35+VLOOKUP(VLOOKUP($B65,test!$A$2:$I$32,4,FALSE),test!$J$10:$P$14,5,FALSE))/1440),1,0)</f>
        <v>1</v>
      </c>
      <c r="AD65" s="2">
        <f>IF(AND(VLOOKUP(AD$1,test!$A$3:$F$32,5,FALSE) - VLOOKUP($B65,test!$A$3:$G$32,6,FALSE) &gt;= (test!$B$35+VLOOKUP(VLOOKUP($B65,test!$A$2:$I$32,4,FALSE),test!$J$10:$P$14,5,FALSE))/1440),1,0)</f>
        <v>1</v>
      </c>
      <c r="AE65" s="2">
        <f>IF(AND(VLOOKUP(AE$1,test!$A$3:$F$32,5,FALSE) - VLOOKUP($B65,test!$A$3:$G$32,6,FALSE) &gt;= (test!$B$35+VLOOKUP(VLOOKUP($B65,test!$A$2:$I$32,4,FALSE),test!$J$10:$P$14,5,FALSE))/1440),1,0)</f>
        <v>0</v>
      </c>
      <c r="AF65" s="2">
        <f>IF(AND(VLOOKUP(AF$1,test!$A$3:$F$32,5,FALSE) - VLOOKUP($B65,test!$A$3:$G$32,6,FALSE) &gt;= (test!$B$35+VLOOKUP(VLOOKUP($B65,test!$A$2:$I$32,4,FALSE),test!$J$10:$P$14,5,FALSE))/1440),1,0)</f>
        <v>1</v>
      </c>
      <c r="AG65" s="2">
        <f>IF(AND(VLOOKUP(AG$1,test!$A$3:$F$32,5,FALSE) - VLOOKUP($B65,test!$A$3:$G$32,6,FALSE) &gt;= (test!$B$35+VLOOKUP(VLOOKUP($B65,test!$A$2:$I$32,4,FALSE),test!$J$10:$P$14,5,FALSE))/1440),1,0)</f>
        <v>1</v>
      </c>
    </row>
    <row r="66" spans="1:33" x14ac:dyDescent="0.25">
      <c r="A66" t="s">
        <v>97</v>
      </c>
      <c r="B66" t="s">
        <v>9</v>
      </c>
      <c r="C66">
        <v>0</v>
      </c>
      <c r="D66" s="2">
        <f>IF(AND(VLOOKUP(D$1,test!$A$3:$F$32,5,FALSE) - VLOOKUP($B66,test!$A$3:$G$32,6,FALSE) &gt;= (test!$B$35+VLOOKUP(VLOOKUP($B66,test!$A$2:$I$32,4,FALSE),test!$J$10:$P$14,5,FALSE))/1440),1,0)</f>
        <v>0</v>
      </c>
      <c r="E66" s="2">
        <f>IF(AND(VLOOKUP(E$1,test!$A$3:$F$32,5,FALSE) - VLOOKUP($B66,test!$A$3:$G$32,6,FALSE) &gt;= (test!$B$35+VLOOKUP(VLOOKUP($B66,test!$A$2:$I$32,4,FALSE),test!$J$10:$P$14,5,FALSE))/1440),1,0)</f>
        <v>0</v>
      </c>
      <c r="F66" s="2">
        <f>IF(AND(VLOOKUP(F$1,test!$A$3:$F$32,5,FALSE) - VLOOKUP($B66,test!$A$3:$G$32,6,FALSE) &gt;= (test!$B$35+VLOOKUP(VLOOKUP($B66,test!$A$2:$I$32,4,FALSE),test!$J$10:$P$14,5,FALSE))/1440),1,0)</f>
        <v>0</v>
      </c>
      <c r="G66" s="2">
        <f>IF(AND(VLOOKUP(G$1,test!$A$3:$F$32,5,FALSE) - VLOOKUP($B66,test!$A$3:$G$32,6,FALSE) &gt;= (test!$B$35+VLOOKUP(VLOOKUP($B66,test!$A$2:$I$32,4,FALSE),test!$J$10:$P$14,5,FALSE))/1440),1,0)</f>
        <v>0</v>
      </c>
      <c r="H66" s="2">
        <f>IF(AND(VLOOKUP(H$1,test!$A$3:$F$32,5,FALSE) - VLOOKUP($B66,test!$A$3:$G$32,6,FALSE) &gt;= (test!$B$35+VLOOKUP(VLOOKUP($B66,test!$A$2:$I$32,4,FALSE),test!$J$10:$P$14,5,FALSE))/1440),1,0)</f>
        <v>1</v>
      </c>
      <c r="I66" s="2">
        <f>IF(AND(VLOOKUP(I$1,test!$A$3:$F$32,5,FALSE) - VLOOKUP($B66,test!$A$3:$G$32,6,FALSE) &gt;= (test!$B$35+VLOOKUP(VLOOKUP($B66,test!$A$2:$I$32,4,FALSE),test!$J$10:$P$14,5,FALSE))/1440),1,0)</f>
        <v>1</v>
      </c>
      <c r="J66" s="2">
        <f>IF(AND(VLOOKUP(J$1,test!$A$3:$F$32,5,FALSE) - VLOOKUP($B66,test!$A$3:$G$32,6,FALSE) &gt;= (test!$B$35+VLOOKUP(VLOOKUP($B66,test!$A$2:$I$32,4,FALSE),test!$J$10:$P$14,5,FALSE))/1440),1,0)</f>
        <v>1</v>
      </c>
      <c r="K66" s="2">
        <f>IF(AND(VLOOKUP(K$1,test!$A$3:$F$32,5,FALSE) - VLOOKUP($B66,test!$A$3:$G$32,6,FALSE) &gt;= (test!$B$35+VLOOKUP(VLOOKUP($B66,test!$A$2:$I$32,4,FALSE),test!$J$10:$P$14,5,FALSE))/1440),1,0)</f>
        <v>1</v>
      </c>
      <c r="L66" s="2">
        <f>IF(AND(VLOOKUP(L$1,test!$A$3:$F$32,5,FALSE) - VLOOKUP($B66,test!$A$3:$G$32,6,FALSE) &gt;= (test!$B$35+VLOOKUP(VLOOKUP($B66,test!$A$2:$I$32,4,FALSE),test!$J$10:$P$14,5,FALSE))/1440),1,0)</f>
        <v>0</v>
      </c>
      <c r="M66" s="2">
        <f>IF(AND(VLOOKUP(M$1,test!$A$3:$F$32,5,FALSE) - VLOOKUP($B66,test!$A$3:$G$32,6,FALSE) &gt;= (test!$B$35+VLOOKUP(VLOOKUP($B66,test!$A$2:$I$32,4,FALSE),test!$J$10:$P$14,5,FALSE))/1440),1,0)</f>
        <v>0</v>
      </c>
      <c r="N66" s="2">
        <f>IF(AND(VLOOKUP(N$1,test!$A$3:$F$32,5,FALSE) - VLOOKUP($B66,test!$A$3:$G$32,6,FALSE) &gt;= (test!$B$35+VLOOKUP(VLOOKUP($B66,test!$A$2:$I$32,4,FALSE),test!$J$10:$P$14,5,FALSE))/1440),1,0)</f>
        <v>0</v>
      </c>
      <c r="O66" s="2">
        <f>IF(AND(VLOOKUP(O$1,test!$A$3:$F$32,5,FALSE) - VLOOKUP($B66,test!$A$3:$G$32,6,FALSE) &gt;= (test!$B$35+VLOOKUP(VLOOKUP($B66,test!$A$2:$I$32,4,FALSE),test!$J$10:$P$14,5,FALSE))/1440),1,0)</f>
        <v>1</v>
      </c>
      <c r="P66" s="2">
        <f>IF(AND(VLOOKUP(P$1,test!$A$3:$F$32,5,FALSE) - VLOOKUP($B66,test!$A$3:$G$32,6,FALSE) &gt;= (test!$B$35+VLOOKUP(VLOOKUP($B66,test!$A$2:$I$32,4,FALSE),test!$J$10:$P$14,5,FALSE))/1440),1,0)</f>
        <v>1</v>
      </c>
      <c r="Q66" s="2">
        <f>IF(AND(VLOOKUP(Q$1,test!$A$3:$F$32,5,FALSE) - VLOOKUP($B66,test!$A$3:$G$32,6,FALSE) &gt;= (test!$B$35+VLOOKUP(VLOOKUP($B66,test!$A$2:$I$32,4,FALSE),test!$J$10:$P$14,5,FALSE))/1440),1,0)</f>
        <v>0</v>
      </c>
      <c r="R66" s="2">
        <f>IF(AND(VLOOKUP(R$1,test!$A$3:$F$32,5,FALSE) - VLOOKUP($B66,test!$A$3:$G$32,6,FALSE) &gt;= (test!$B$35+VLOOKUP(VLOOKUP($B66,test!$A$2:$I$32,4,FALSE),test!$J$10:$P$14,5,FALSE))/1440),1,0)</f>
        <v>0</v>
      </c>
      <c r="S66" s="2">
        <f>IF(AND(VLOOKUP(S$1,test!$A$3:$F$32,5,FALSE) - VLOOKUP($B66,test!$A$3:$G$32,6,FALSE) &gt;= (test!$B$35+VLOOKUP(VLOOKUP($B66,test!$A$2:$I$32,4,FALSE),test!$J$10:$P$14,5,FALSE))/1440),1,0)</f>
        <v>0</v>
      </c>
      <c r="T66" s="2">
        <f>IF(AND(VLOOKUP(T$1,test!$A$3:$F$32,5,FALSE) - VLOOKUP($B66,test!$A$3:$G$32,6,FALSE) &gt;= (test!$B$35+VLOOKUP(VLOOKUP($B66,test!$A$2:$I$32,4,FALSE),test!$J$10:$P$14,5,FALSE))/1440),1,0)</f>
        <v>0</v>
      </c>
      <c r="U66" s="2">
        <f>IF(AND(VLOOKUP(U$1,test!$A$3:$F$32,5,FALSE) - VLOOKUP($B66,test!$A$3:$G$32,6,FALSE) &gt;= (test!$B$35+VLOOKUP(VLOOKUP($B66,test!$A$2:$I$32,4,FALSE),test!$J$10:$P$14,5,FALSE))/1440),1,0)</f>
        <v>0</v>
      </c>
      <c r="V66" s="2">
        <f>IF(AND(VLOOKUP(V$1,test!$A$3:$F$32,5,FALSE) - VLOOKUP($B66,test!$A$3:$G$32,6,FALSE) &gt;= (test!$B$35+VLOOKUP(VLOOKUP($B66,test!$A$2:$I$32,4,FALSE),test!$J$10:$P$14,5,FALSE))/1440),1,0)</f>
        <v>0</v>
      </c>
      <c r="W66" s="2">
        <f>IF(AND(VLOOKUP(W$1,test!$A$3:$F$32,5,FALSE) - VLOOKUP($B66,test!$A$3:$G$32,6,FALSE) &gt;= (test!$B$35+VLOOKUP(VLOOKUP($B66,test!$A$2:$I$32,4,FALSE),test!$J$10:$P$14,5,FALSE))/1440),1,0)</f>
        <v>1</v>
      </c>
      <c r="X66" s="2">
        <f>IF(AND(VLOOKUP(X$1,test!$A$3:$F$32,5,FALSE) - VLOOKUP($B66,test!$A$3:$G$32,6,FALSE) &gt;= (test!$B$35+VLOOKUP(VLOOKUP($B66,test!$A$2:$I$32,4,FALSE),test!$J$10:$P$14,5,FALSE))/1440),1,0)</f>
        <v>1</v>
      </c>
      <c r="Y66" s="2">
        <f>IF(AND(VLOOKUP(Y$1,test!$A$3:$F$32,5,FALSE) - VLOOKUP($B66,test!$A$3:$G$32,6,FALSE) &gt;= (test!$B$35+VLOOKUP(VLOOKUP($B66,test!$A$2:$I$32,4,FALSE),test!$J$10:$P$14,5,FALSE))/1440),1,0)</f>
        <v>1</v>
      </c>
      <c r="Z66" s="2">
        <f>IF(AND(VLOOKUP(Z$1,test!$A$3:$F$32,5,FALSE) - VLOOKUP($B66,test!$A$3:$G$32,6,FALSE) &gt;= (test!$B$35+VLOOKUP(VLOOKUP($B66,test!$A$2:$I$32,4,FALSE),test!$J$10:$P$14,5,FALSE))/1440),1,0)</f>
        <v>0</v>
      </c>
      <c r="AA66" s="2">
        <f>IF(AND(VLOOKUP(AA$1,test!$A$3:$F$32,5,FALSE) - VLOOKUP($B66,test!$A$3:$G$32,6,FALSE) &gt;= (test!$B$35+VLOOKUP(VLOOKUP($B66,test!$A$2:$I$32,4,FALSE),test!$J$10:$P$14,5,FALSE))/1440),1,0)</f>
        <v>0</v>
      </c>
      <c r="AB66" s="2">
        <f>IF(AND(VLOOKUP(AB$1,test!$A$3:$F$32,5,FALSE) - VLOOKUP($B66,test!$A$3:$G$32,6,FALSE) &gt;= (test!$B$35+VLOOKUP(VLOOKUP($B66,test!$A$2:$I$32,4,FALSE),test!$J$10:$P$14,5,FALSE))/1440),1,0)</f>
        <v>0</v>
      </c>
      <c r="AC66" s="2">
        <f>IF(AND(VLOOKUP(AC$1,test!$A$3:$F$32,5,FALSE) - VLOOKUP($B66,test!$A$3:$G$32,6,FALSE) &gt;= (test!$B$35+VLOOKUP(VLOOKUP($B66,test!$A$2:$I$32,4,FALSE),test!$J$10:$P$14,5,FALSE))/1440),1,0)</f>
        <v>0</v>
      </c>
      <c r="AD66" s="2">
        <f>IF(AND(VLOOKUP(AD$1,test!$A$3:$F$32,5,FALSE) - VLOOKUP($B66,test!$A$3:$G$32,6,FALSE) &gt;= (test!$B$35+VLOOKUP(VLOOKUP($B66,test!$A$2:$I$32,4,FALSE),test!$J$10:$P$14,5,FALSE))/1440),1,0)</f>
        <v>1</v>
      </c>
      <c r="AE66" s="2">
        <f>IF(AND(VLOOKUP(AE$1,test!$A$3:$F$32,5,FALSE) - VLOOKUP($B66,test!$A$3:$G$32,6,FALSE) &gt;= (test!$B$35+VLOOKUP(VLOOKUP($B66,test!$A$2:$I$32,4,FALSE),test!$J$10:$P$14,5,FALSE))/1440),1,0)</f>
        <v>0</v>
      </c>
      <c r="AF66" s="2">
        <f>IF(AND(VLOOKUP(AF$1,test!$A$3:$F$32,5,FALSE) - VLOOKUP($B66,test!$A$3:$G$32,6,FALSE) &gt;= (test!$B$35+VLOOKUP(VLOOKUP($B66,test!$A$2:$I$32,4,FALSE),test!$J$10:$P$14,5,FALSE))/1440),1,0)</f>
        <v>0</v>
      </c>
      <c r="AG66" s="2">
        <f>IF(AND(VLOOKUP(AG$1,test!$A$3:$F$32,5,FALSE) - VLOOKUP($B66,test!$A$3:$G$32,6,FALSE) &gt;= (test!$B$35+VLOOKUP(VLOOKUP($B66,test!$A$2:$I$32,4,FALSE),test!$J$10:$P$14,5,FALSE))/1440),1,0)</f>
        <v>0</v>
      </c>
    </row>
    <row r="67" spans="1:33" x14ac:dyDescent="0.25">
      <c r="A67" t="s">
        <v>97</v>
      </c>
      <c r="B67" t="s">
        <v>10</v>
      </c>
      <c r="C67">
        <v>0</v>
      </c>
      <c r="D67" s="2">
        <f>IF(AND(VLOOKUP(D$1,test!$A$3:$F$32,5,FALSE) - VLOOKUP($B67,test!$A$3:$G$32,6,FALSE) &gt;= (test!$B$35+VLOOKUP(VLOOKUP($B67,test!$A$2:$I$32,4,FALSE),test!$J$10:$P$14,5,FALSE))/1440),1,0)</f>
        <v>0</v>
      </c>
      <c r="E67" s="2">
        <f>IF(AND(VLOOKUP(E$1,test!$A$3:$F$32,5,FALSE) - VLOOKUP($B67,test!$A$3:$G$32,6,FALSE) &gt;= (test!$B$35+VLOOKUP(VLOOKUP($B67,test!$A$2:$I$32,4,FALSE),test!$J$10:$P$14,5,FALSE))/1440),1,0)</f>
        <v>0</v>
      </c>
      <c r="F67" s="2">
        <f>IF(AND(VLOOKUP(F$1,test!$A$3:$F$32,5,FALSE) - VLOOKUP($B67,test!$A$3:$G$32,6,FALSE) &gt;= (test!$B$35+VLOOKUP(VLOOKUP($B67,test!$A$2:$I$32,4,FALSE),test!$J$10:$P$14,5,FALSE))/1440),1,0)</f>
        <v>0</v>
      </c>
      <c r="G67" s="2">
        <f>IF(AND(VLOOKUP(G$1,test!$A$3:$F$32,5,FALSE) - VLOOKUP($B67,test!$A$3:$G$32,6,FALSE) &gt;= (test!$B$35+VLOOKUP(VLOOKUP($B67,test!$A$2:$I$32,4,FALSE),test!$J$10:$P$14,5,FALSE))/1440),1,0)</f>
        <v>0</v>
      </c>
      <c r="H67" s="2">
        <f>IF(AND(VLOOKUP(H$1,test!$A$3:$F$32,5,FALSE) - VLOOKUP($B67,test!$A$3:$G$32,6,FALSE) &gt;= (test!$B$35+VLOOKUP(VLOOKUP($B67,test!$A$2:$I$32,4,FALSE),test!$J$10:$P$14,5,FALSE))/1440),1,0)</f>
        <v>0</v>
      </c>
      <c r="I67" s="2">
        <f>IF(AND(VLOOKUP(I$1,test!$A$3:$F$32,5,FALSE) - VLOOKUP($B67,test!$A$3:$G$32,6,FALSE) &gt;= (test!$B$35+VLOOKUP(VLOOKUP($B67,test!$A$2:$I$32,4,FALSE),test!$J$10:$P$14,5,FALSE))/1440),1,0)</f>
        <v>1</v>
      </c>
      <c r="J67" s="2">
        <f>IF(AND(VLOOKUP(J$1,test!$A$3:$F$32,5,FALSE) - VLOOKUP($B67,test!$A$3:$G$32,6,FALSE) &gt;= (test!$B$35+VLOOKUP(VLOOKUP($B67,test!$A$2:$I$32,4,FALSE),test!$J$10:$P$14,5,FALSE))/1440),1,0)</f>
        <v>1</v>
      </c>
      <c r="K67" s="2">
        <f>IF(AND(VLOOKUP(K$1,test!$A$3:$F$32,5,FALSE) - VLOOKUP($B67,test!$A$3:$G$32,6,FALSE) &gt;= (test!$B$35+VLOOKUP(VLOOKUP($B67,test!$A$2:$I$32,4,FALSE),test!$J$10:$P$14,5,FALSE))/1440),1,0)</f>
        <v>1</v>
      </c>
      <c r="L67" s="2">
        <f>IF(AND(VLOOKUP(L$1,test!$A$3:$F$32,5,FALSE) - VLOOKUP($B67,test!$A$3:$G$32,6,FALSE) &gt;= (test!$B$35+VLOOKUP(VLOOKUP($B67,test!$A$2:$I$32,4,FALSE),test!$J$10:$P$14,5,FALSE))/1440),1,0)</f>
        <v>0</v>
      </c>
      <c r="M67" s="2">
        <f>IF(AND(VLOOKUP(M$1,test!$A$3:$F$32,5,FALSE) - VLOOKUP($B67,test!$A$3:$G$32,6,FALSE) &gt;= (test!$B$35+VLOOKUP(VLOOKUP($B67,test!$A$2:$I$32,4,FALSE),test!$J$10:$P$14,5,FALSE))/1440),1,0)</f>
        <v>0</v>
      </c>
      <c r="N67" s="2">
        <f>IF(AND(VLOOKUP(N$1,test!$A$3:$F$32,5,FALSE) - VLOOKUP($B67,test!$A$3:$G$32,6,FALSE) &gt;= (test!$B$35+VLOOKUP(VLOOKUP($B67,test!$A$2:$I$32,4,FALSE),test!$J$10:$P$14,5,FALSE))/1440),1,0)</f>
        <v>0</v>
      </c>
      <c r="O67" s="2">
        <f>IF(AND(VLOOKUP(O$1,test!$A$3:$F$32,5,FALSE) - VLOOKUP($B67,test!$A$3:$G$32,6,FALSE) &gt;= (test!$B$35+VLOOKUP(VLOOKUP($B67,test!$A$2:$I$32,4,FALSE),test!$J$10:$P$14,5,FALSE))/1440),1,0)</f>
        <v>1</v>
      </c>
      <c r="P67" s="2">
        <f>IF(AND(VLOOKUP(P$1,test!$A$3:$F$32,5,FALSE) - VLOOKUP($B67,test!$A$3:$G$32,6,FALSE) &gt;= (test!$B$35+VLOOKUP(VLOOKUP($B67,test!$A$2:$I$32,4,FALSE),test!$J$10:$P$14,5,FALSE))/1440),1,0)</f>
        <v>1</v>
      </c>
      <c r="Q67" s="2">
        <f>IF(AND(VLOOKUP(Q$1,test!$A$3:$F$32,5,FALSE) - VLOOKUP($B67,test!$A$3:$G$32,6,FALSE) &gt;= (test!$B$35+VLOOKUP(VLOOKUP($B67,test!$A$2:$I$32,4,FALSE),test!$J$10:$P$14,5,FALSE))/1440),1,0)</f>
        <v>0</v>
      </c>
      <c r="R67" s="2">
        <f>IF(AND(VLOOKUP(R$1,test!$A$3:$F$32,5,FALSE) - VLOOKUP($B67,test!$A$3:$G$32,6,FALSE) &gt;= (test!$B$35+VLOOKUP(VLOOKUP($B67,test!$A$2:$I$32,4,FALSE),test!$J$10:$P$14,5,FALSE))/1440),1,0)</f>
        <v>0</v>
      </c>
      <c r="S67" s="2">
        <f>IF(AND(VLOOKUP(S$1,test!$A$3:$F$32,5,FALSE) - VLOOKUP($B67,test!$A$3:$G$32,6,FALSE) &gt;= (test!$B$35+VLOOKUP(VLOOKUP($B67,test!$A$2:$I$32,4,FALSE),test!$J$10:$P$14,5,FALSE))/1440),1,0)</f>
        <v>0</v>
      </c>
      <c r="T67" s="2">
        <f>IF(AND(VLOOKUP(T$1,test!$A$3:$F$32,5,FALSE) - VLOOKUP($B67,test!$A$3:$G$32,6,FALSE) &gt;= (test!$B$35+VLOOKUP(VLOOKUP($B67,test!$A$2:$I$32,4,FALSE),test!$J$10:$P$14,5,FALSE))/1440),1,0)</f>
        <v>0</v>
      </c>
      <c r="U67" s="2">
        <f>IF(AND(VLOOKUP(U$1,test!$A$3:$F$32,5,FALSE) - VLOOKUP($B67,test!$A$3:$G$32,6,FALSE) &gt;= (test!$B$35+VLOOKUP(VLOOKUP($B67,test!$A$2:$I$32,4,FALSE),test!$J$10:$P$14,5,FALSE))/1440),1,0)</f>
        <v>0</v>
      </c>
      <c r="V67" s="2">
        <f>IF(AND(VLOOKUP(V$1,test!$A$3:$F$32,5,FALSE) - VLOOKUP($B67,test!$A$3:$G$32,6,FALSE) &gt;= (test!$B$35+VLOOKUP(VLOOKUP($B67,test!$A$2:$I$32,4,FALSE),test!$J$10:$P$14,5,FALSE))/1440),1,0)</f>
        <v>0</v>
      </c>
      <c r="W67" s="2">
        <f>IF(AND(VLOOKUP(W$1,test!$A$3:$F$32,5,FALSE) - VLOOKUP($B67,test!$A$3:$G$32,6,FALSE) &gt;= (test!$B$35+VLOOKUP(VLOOKUP($B67,test!$A$2:$I$32,4,FALSE),test!$J$10:$P$14,5,FALSE))/1440),1,0)</f>
        <v>0</v>
      </c>
      <c r="X67" s="2">
        <f>IF(AND(VLOOKUP(X$1,test!$A$3:$F$32,5,FALSE) - VLOOKUP($B67,test!$A$3:$G$32,6,FALSE) &gt;= (test!$B$35+VLOOKUP(VLOOKUP($B67,test!$A$2:$I$32,4,FALSE),test!$J$10:$P$14,5,FALSE))/1440),1,0)</f>
        <v>1</v>
      </c>
      <c r="Y67" s="2">
        <f>IF(AND(VLOOKUP(Y$1,test!$A$3:$F$32,5,FALSE) - VLOOKUP($B67,test!$A$3:$G$32,6,FALSE) &gt;= (test!$B$35+VLOOKUP(VLOOKUP($B67,test!$A$2:$I$32,4,FALSE),test!$J$10:$P$14,5,FALSE))/1440),1,0)</f>
        <v>1</v>
      </c>
      <c r="Z67" s="2">
        <f>IF(AND(VLOOKUP(Z$1,test!$A$3:$F$32,5,FALSE) - VLOOKUP($B67,test!$A$3:$G$32,6,FALSE) &gt;= (test!$B$35+VLOOKUP(VLOOKUP($B67,test!$A$2:$I$32,4,FALSE),test!$J$10:$P$14,5,FALSE))/1440),1,0)</f>
        <v>0</v>
      </c>
      <c r="AA67" s="2">
        <f>IF(AND(VLOOKUP(AA$1,test!$A$3:$F$32,5,FALSE) - VLOOKUP($B67,test!$A$3:$G$32,6,FALSE) &gt;= (test!$B$35+VLOOKUP(VLOOKUP($B67,test!$A$2:$I$32,4,FALSE),test!$J$10:$P$14,5,FALSE))/1440),1,0)</f>
        <v>0</v>
      </c>
      <c r="AB67" s="2">
        <f>IF(AND(VLOOKUP(AB$1,test!$A$3:$F$32,5,FALSE) - VLOOKUP($B67,test!$A$3:$G$32,6,FALSE) &gt;= (test!$B$35+VLOOKUP(VLOOKUP($B67,test!$A$2:$I$32,4,FALSE),test!$J$10:$P$14,5,FALSE))/1440),1,0)</f>
        <v>0</v>
      </c>
      <c r="AC67" s="2">
        <f>IF(AND(VLOOKUP(AC$1,test!$A$3:$F$32,5,FALSE) - VLOOKUP($B67,test!$A$3:$G$32,6,FALSE) &gt;= (test!$B$35+VLOOKUP(VLOOKUP($B67,test!$A$2:$I$32,4,FALSE),test!$J$10:$P$14,5,FALSE))/1440),1,0)</f>
        <v>0</v>
      </c>
      <c r="AD67" s="2">
        <f>IF(AND(VLOOKUP(AD$1,test!$A$3:$F$32,5,FALSE) - VLOOKUP($B67,test!$A$3:$G$32,6,FALSE) &gt;= (test!$B$35+VLOOKUP(VLOOKUP($B67,test!$A$2:$I$32,4,FALSE),test!$J$10:$P$14,5,FALSE))/1440),1,0)</f>
        <v>1</v>
      </c>
      <c r="AE67" s="2">
        <f>IF(AND(VLOOKUP(AE$1,test!$A$3:$F$32,5,FALSE) - VLOOKUP($B67,test!$A$3:$G$32,6,FALSE) &gt;= (test!$B$35+VLOOKUP(VLOOKUP($B67,test!$A$2:$I$32,4,FALSE),test!$J$10:$P$14,5,FALSE))/1440),1,0)</f>
        <v>0</v>
      </c>
      <c r="AF67" s="2">
        <f>IF(AND(VLOOKUP(AF$1,test!$A$3:$F$32,5,FALSE) - VLOOKUP($B67,test!$A$3:$G$32,6,FALSE) &gt;= (test!$B$35+VLOOKUP(VLOOKUP($B67,test!$A$2:$I$32,4,FALSE),test!$J$10:$P$14,5,FALSE))/1440),1,0)</f>
        <v>0</v>
      </c>
      <c r="AG67" s="2">
        <f>IF(AND(VLOOKUP(AG$1,test!$A$3:$F$32,5,FALSE) - VLOOKUP($B67,test!$A$3:$G$32,6,FALSE) &gt;= (test!$B$35+VLOOKUP(VLOOKUP($B67,test!$A$2:$I$32,4,FALSE),test!$J$10:$P$14,5,FALSE))/1440),1,0)</f>
        <v>0</v>
      </c>
    </row>
    <row r="68" spans="1:33" x14ac:dyDescent="0.25">
      <c r="A68" t="s">
        <v>97</v>
      </c>
      <c r="B68" t="s">
        <v>11</v>
      </c>
      <c r="C68">
        <v>0</v>
      </c>
      <c r="D68" s="2">
        <f>IF(AND(VLOOKUP(D$1,test!$A$3:$F$32,5,FALSE) - VLOOKUP($B68,test!$A$3:$G$32,6,FALSE) &gt;= (test!$B$35+VLOOKUP(VLOOKUP($B68,test!$A$2:$I$32,4,FALSE),test!$J$10:$P$14,5,FALSE))/1440),1,0)</f>
        <v>0</v>
      </c>
      <c r="E68" s="2">
        <f>IF(AND(VLOOKUP(E$1,test!$A$3:$F$32,5,FALSE) - VLOOKUP($B68,test!$A$3:$G$32,6,FALSE) &gt;= (test!$B$35+VLOOKUP(VLOOKUP($B68,test!$A$2:$I$32,4,FALSE),test!$J$10:$P$14,5,FALSE))/1440),1,0)</f>
        <v>0</v>
      </c>
      <c r="F68" s="2">
        <f>IF(AND(VLOOKUP(F$1,test!$A$3:$F$32,5,FALSE) - VLOOKUP($B68,test!$A$3:$G$32,6,FALSE) &gt;= (test!$B$35+VLOOKUP(VLOOKUP($B68,test!$A$2:$I$32,4,FALSE),test!$J$10:$P$14,5,FALSE))/1440),1,0)</f>
        <v>0</v>
      </c>
      <c r="G68" s="2">
        <f>IF(AND(VLOOKUP(G$1,test!$A$3:$F$32,5,FALSE) - VLOOKUP($B68,test!$A$3:$G$32,6,FALSE) &gt;= (test!$B$35+VLOOKUP(VLOOKUP($B68,test!$A$2:$I$32,4,FALSE),test!$J$10:$P$14,5,FALSE))/1440),1,0)</f>
        <v>0</v>
      </c>
      <c r="H68" s="2">
        <f>IF(AND(VLOOKUP(H$1,test!$A$3:$F$32,5,FALSE) - VLOOKUP($B68,test!$A$3:$G$32,6,FALSE) &gt;= (test!$B$35+VLOOKUP(VLOOKUP($B68,test!$A$2:$I$32,4,FALSE),test!$J$10:$P$14,5,FALSE))/1440),1,0)</f>
        <v>0</v>
      </c>
      <c r="I68" s="2">
        <f>IF(AND(VLOOKUP(I$1,test!$A$3:$F$32,5,FALSE) - VLOOKUP($B68,test!$A$3:$G$32,6,FALSE) &gt;= (test!$B$35+VLOOKUP(VLOOKUP($B68,test!$A$2:$I$32,4,FALSE),test!$J$10:$P$14,5,FALSE))/1440),1,0)</f>
        <v>0</v>
      </c>
      <c r="J68" s="2">
        <f>IF(AND(VLOOKUP(J$1,test!$A$3:$F$32,5,FALSE) - VLOOKUP($B68,test!$A$3:$G$32,6,FALSE) &gt;= (test!$B$35+VLOOKUP(VLOOKUP($B68,test!$A$2:$I$32,4,FALSE),test!$J$10:$P$14,5,FALSE))/1440),1,0)</f>
        <v>0</v>
      </c>
      <c r="K68" s="2">
        <f>IF(AND(VLOOKUP(K$1,test!$A$3:$F$32,5,FALSE) - VLOOKUP($B68,test!$A$3:$G$32,6,FALSE) &gt;= (test!$B$35+VLOOKUP(VLOOKUP($B68,test!$A$2:$I$32,4,FALSE),test!$J$10:$P$14,5,FALSE))/1440),1,0)</f>
        <v>1</v>
      </c>
      <c r="L68" s="2">
        <f>IF(AND(VLOOKUP(L$1,test!$A$3:$F$32,5,FALSE) - VLOOKUP($B68,test!$A$3:$G$32,6,FALSE) &gt;= (test!$B$35+VLOOKUP(VLOOKUP($B68,test!$A$2:$I$32,4,FALSE),test!$J$10:$P$14,5,FALSE))/1440),1,0)</f>
        <v>0</v>
      </c>
      <c r="M68" s="2">
        <f>IF(AND(VLOOKUP(M$1,test!$A$3:$F$32,5,FALSE) - VLOOKUP($B68,test!$A$3:$G$32,6,FALSE) &gt;= (test!$B$35+VLOOKUP(VLOOKUP($B68,test!$A$2:$I$32,4,FALSE),test!$J$10:$P$14,5,FALSE))/1440),1,0)</f>
        <v>0</v>
      </c>
      <c r="N68" s="2">
        <f>IF(AND(VLOOKUP(N$1,test!$A$3:$F$32,5,FALSE) - VLOOKUP($B68,test!$A$3:$G$32,6,FALSE) &gt;= (test!$B$35+VLOOKUP(VLOOKUP($B68,test!$A$2:$I$32,4,FALSE),test!$J$10:$P$14,5,FALSE))/1440),1,0)</f>
        <v>0</v>
      </c>
      <c r="O68" s="2">
        <f>IF(AND(VLOOKUP(O$1,test!$A$3:$F$32,5,FALSE) - VLOOKUP($B68,test!$A$3:$G$32,6,FALSE) &gt;= (test!$B$35+VLOOKUP(VLOOKUP($B68,test!$A$2:$I$32,4,FALSE),test!$J$10:$P$14,5,FALSE))/1440),1,0)</f>
        <v>1</v>
      </c>
      <c r="P68" s="2">
        <f>IF(AND(VLOOKUP(P$1,test!$A$3:$F$32,5,FALSE) - VLOOKUP($B68,test!$A$3:$G$32,6,FALSE) &gt;= (test!$B$35+VLOOKUP(VLOOKUP($B68,test!$A$2:$I$32,4,FALSE),test!$J$10:$P$14,5,FALSE))/1440),1,0)</f>
        <v>1</v>
      </c>
      <c r="Q68" s="2">
        <f>IF(AND(VLOOKUP(Q$1,test!$A$3:$F$32,5,FALSE) - VLOOKUP($B68,test!$A$3:$G$32,6,FALSE) &gt;= (test!$B$35+VLOOKUP(VLOOKUP($B68,test!$A$2:$I$32,4,FALSE),test!$J$10:$P$14,5,FALSE))/1440),1,0)</f>
        <v>0</v>
      </c>
      <c r="R68" s="2">
        <f>IF(AND(VLOOKUP(R$1,test!$A$3:$F$32,5,FALSE) - VLOOKUP($B68,test!$A$3:$G$32,6,FALSE) &gt;= (test!$B$35+VLOOKUP(VLOOKUP($B68,test!$A$2:$I$32,4,FALSE),test!$J$10:$P$14,5,FALSE))/1440),1,0)</f>
        <v>0</v>
      </c>
      <c r="S68" s="2">
        <f>IF(AND(VLOOKUP(S$1,test!$A$3:$F$32,5,FALSE) - VLOOKUP($B68,test!$A$3:$G$32,6,FALSE) &gt;= (test!$B$35+VLOOKUP(VLOOKUP($B68,test!$A$2:$I$32,4,FALSE),test!$J$10:$P$14,5,FALSE))/1440),1,0)</f>
        <v>0</v>
      </c>
      <c r="T68" s="2">
        <f>IF(AND(VLOOKUP(T$1,test!$A$3:$F$32,5,FALSE) - VLOOKUP($B68,test!$A$3:$G$32,6,FALSE) &gt;= (test!$B$35+VLOOKUP(VLOOKUP($B68,test!$A$2:$I$32,4,FALSE),test!$J$10:$P$14,5,FALSE))/1440),1,0)</f>
        <v>0</v>
      </c>
      <c r="U68" s="2">
        <f>IF(AND(VLOOKUP(U$1,test!$A$3:$F$32,5,FALSE) - VLOOKUP($B68,test!$A$3:$G$32,6,FALSE) &gt;= (test!$B$35+VLOOKUP(VLOOKUP($B68,test!$A$2:$I$32,4,FALSE),test!$J$10:$P$14,5,FALSE))/1440),1,0)</f>
        <v>0</v>
      </c>
      <c r="V68" s="2">
        <f>IF(AND(VLOOKUP(V$1,test!$A$3:$F$32,5,FALSE) - VLOOKUP($B68,test!$A$3:$G$32,6,FALSE) &gt;= (test!$B$35+VLOOKUP(VLOOKUP($B68,test!$A$2:$I$32,4,FALSE),test!$J$10:$P$14,5,FALSE))/1440),1,0)</f>
        <v>0</v>
      </c>
      <c r="W68" s="2">
        <f>IF(AND(VLOOKUP(W$1,test!$A$3:$F$32,5,FALSE) - VLOOKUP($B68,test!$A$3:$G$32,6,FALSE) &gt;= (test!$B$35+VLOOKUP(VLOOKUP($B68,test!$A$2:$I$32,4,FALSE),test!$J$10:$P$14,5,FALSE))/1440),1,0)</f>
        <v>0</v>
      </c>
      <c r="X68" s="2">
        <f>IF(AND(VLOOKUP(X$1,test!$A$3:$F$32,5,FALSE) - VLOOKUP($B68,test!$A$3:$G$32,6,FALSE) &gt;= (test!$B$35+VLOOKUP(VLOOKUP($B68,test!$A$2:$I$32,4,FALSE),test!$J$10:$P$14,5,FALSE))/1440),1,0)</f>
        <v>0</v>
      </c>
      <c r="Y68" s="2">
        <f>IF(AND(VLOOKUP(Y$1,test!$A$3:$F$32,5,FALSE) - VLOOKUP($B68,test!$A$3:$G$32,6,FALSE) &gt;= (test!$B$35+VLOOKUP(VLOOKUP($B68,test!$A$2:$I$32,4,FALSE),test!$J$10:$P$14,5,FALSE))/1440),1,0)</f>
        <v>1</v>
      </c>
      <c r="Z68" s="2">
        <f>IF(AND(VLOOKUP(Z$1,test!$A$3:$F$32,5,FALSE) - VLOOKUP($B68,test!$A$3:$G$32,6,FALSE) &gt;= (test!$B$35+VLOOKUP(VLOOKUP($B68,test!$A$2:$I$32,4,FALSE),test!$J$10:$P$14,5,FALSE))/1440),1,0)</f>
        <v>0</v>
      </c>
      <c r="AA68" s="2">
        <f>IF(AND(VLOOKUP(AA$1,test!$A$3:$F$32,5,FALSE) - VLOOKUP($B68,test!$A$3:$G$32,6,FALSE) &gt;= (test!$B$35+VLOOKUP(VLOOKUP($B68,test!$A$2:$I$32,4,FALSE),test!$J$10:$P$14,5,FALSE))/1440),1,0)</f>
        <v>0</v>
      </c>
      <c r="AB68" s="2">
        <f>IF(AND(VLOOKUP(AB$1,test!$A$3:$F$32,5,FALSE) - VLOOKUP($B68,test!$A$3:$G$32,6,FALSE) &gt;= (test!$B$35+VLOOKUP(VLOOKUP($B68,test!$A$2:$I$32,4,FALSE),test!$J$10:$P$14,5,FALSE))/1440),1,0)</f>
        <v>0</v>
      </c>
      <c r="AC68" s="2">
        <f>IF(AND(VLOOKUP(AC$1,test!$A$3:$F$32,5,FALSE) - VLOOKUP($B68,test!$A$3:$G$32,6,FALSE) &gt;= (test!$B$35+VLOOKUP(VLOOKUP($B68,test!$A$2:$I$32,4,FALSE),test!$J$10:$P$14,5,FALSE))/1440),1,0)</f>
        <v>0</v>
      </c>
      <c r="AD68" s="2">
        <f>IF(AND(VLOOKUP(AD$1,test!$A$3:$F$32,5,FALSE) - VLOOKUP($B68,test!$A$3:$G$32,6,FALSE) &gt;= (test!$B$35+VLOOKUP(VLOOKUP($B68,test!$A$2:$I$32,4,FALSE),test!$J$10:$P$14,5,FALSE))/1440),1,0)</f>
        <v>0</v>
      </c>
      <c r="AE68" s="2">
        <f>IF(AND(VLOOKUP(AE$1,test!$A$3:$F$32,5,FALSE) - VLOOKUP($B68,test!$A$3:$G$32,6,FALSE) &gt;= (test!$B$35+VLOOKUP(VLOOKUP($B68,test!$A$2:$I$32,4,FALSE),test!$J$10:$P$14,5,FALSE))/1440),1,0)</f>
        <v>0</v>
      </c>
      <c r="AF68" s="2">
        <f>IF(AND(VLOOKUP(AF$1,test!$A$3:$F$32,5,FALSE) - VLOOKUP($B68,test!$A$3:$G$32,6,FALSE) &gt;= (test!$B$35+VLOOKUP(VLOOKUP($B68,test!$A$2:$I$32,4,FALSE),test!$J$10:$P$14,5,FALSE))/1440),1,0)</f>
        <v>0</v>
      </c>
      <c r="AG68" s="2">
        <f>IF(AND(VLOOKUP(AG$1,test!$A$3:$F$32,5,FALSE) - VLOOKUP($B68,test!$A$3:$G$32,6,FALSE) &gt;= (test!$B$35+VLOOKUP(VLOOKUP($B68,test!$A$2:$I$32,4,FALSE),test!$J$10:$P$14,5,FALSE))/1440),1,0)</f>
        <v>0</v>
      </c>
    </row>
    <row r="69" spans="1:33" x14ac:dyDescent="0.25">
      <c r="A69" t="s">
        <v>97</v>
      </c>
      <c r="B69" t="s">
        <v>12</v>
      </c>
      <c r="C69">
        <v>0</v>
      </c>
      <c r="D69" s="2">
        <f>IF(AND(VLOOKUP(D$1,test!$A$3:$F$32,5,FALSE) - VLOOKUP($B69,test!$A$3:$G$32,6,FALSE) &gt;= (test!$B$35+VLOOKUP(VLOOKUP($B69,test!$A$2:$I$32,4,FALSE),test!$J$10:$P$14,5,FALSE))/1440),1,0)</f>
        <v>0</v>
      </c>
      <c r="E69" s="2">
        <f>IF(AND(VLOOKUP(E$1,test!$A$3:$F$32,5,FALSE) - VLOOKUP($B69,test!$A$3:$G$32,6,FALSE) &gt;= (test!$B$35+VLOOKUP(VLOOKUP($B69,test!$A$2:$I$32,4,FALSE),test!$J$10:$P$14,5,FALSE))/1440),1,0)</f>
        <v>0</v>
      </c>
      <c r="F69" s="2">
        <f>IF(AND(VLOOKUP(F$1,test!$A$3:$F$32,5,FALSE) - VLOOKUP($B69,test!$A$3:$G$32,6,FALSE) &gt;= (test!$B$35+VLOOKUP(VLOOKUP($B69,test!$A$2:$I$32,4,FALSE),test!$J$10:$P$14,5,FALSE))/1440),1,0)</f>
        <v>0</v>
      </c>
      <c r="G69" s="2">
        <f>IF(AND(VLOOKUP(G$1,test!$A$3:$F$32,5,FALSE) - VLOOKUP($B69,test!$A$3:$G$32,6,FALSE) &gt;= (test!$B$35+VLOOKUP(VLOOKUP($B69,test!$A$2:$I$32,4,FALSE),test!$J$10:$P$14,5,FALSE))/1440),1,0)</f>
        <v>0</v>
      </c>
      <c r="H69" s="2">
        <f>IF(AND(VLOOKUP(H$1,test!$A$3:$F$32,5,FALSE) - VLOOKUP($B69,test!$A$3:$G$32,6,FALSE) &gt;= (test!$B$35+VLOOKUP(VLOOKUP($B69,test!$A$2:$I$32,4,FALSE),test!$J$10:$P$14,5,FALSE))/1440),1,0)</f>
        <v>0</v>
      </c>
      <c r="I69" s="2">
        <f>IF(AND(VLOOKUP(I$1,test!$A$3:$F$32,5,FALSE) - VLOOKUP($B69,test!$A$3:$G$32,6,FALSE) &gt;= (test!$B$35+VLOOKUP(VLOOKUP($B69,test!$A$2:$I$32,4,FALSE),test!$J$10:$P$14,5,FALSE))/1440),1,0)</f>
        <v>0</v>
      </c>
      <c r="J69" s="2">
        <f>IF(AND(VLOOKUP(J$1,test!$A$3:$F$32,5,FALSE) - VLOOKUP($B69,test!$A$3:$G$32,6,FALSE) &gt;= (test!$B$35+VLOOKUP(VLOOKUP($B69,test!$A$2:$I$32,4,FALSE),test!$J$10:$P$14,5,FALSE))/1440),1,0)</f>
        <v>0</v>
      </c>
      <c r="K69" s="2">
        <f>IF(AND(VLOOKUP(K$1,test!$A$3:$F$32,5,FALSE) - VLOOKUP($B69,test!$A$3:$G$32,6,FALSE) &gt;= (test!$B$35+VLOOKUP(VLOOKUP($B69,test!$A$2:$I$32,4,FALSE),test!$J$10:$P$14,5,FALSE))/1440),1,0)</f>
        <v>1</v>
      </c>
      <c r="L69" s="2">
        <f>IF(AND(VLOOKUP(L$1,test!$A$3:$F$32,5,FALSE) - VLOOKUP($B69,test!$A$3:$G$32,6,FALSE) &gt;= (test!$B$35+VLOOKUP(VLOOKUP($B69,test!$A$2:$I$32,4,FALSE),test!$J$10:$P$14,5,FALSE))/1440),1,0)</f>
        <v>0</v>
      </c>
      <c r="M69" s="2">
        <f>IF(AND(VLOOKUP(M$1,test!$A$3:$F$32,5,FALSE) - VLOOKUP($B69,test!$A$3:$G$32,6,FALSE) &gt;= (test!$B$35+VLOOKUP(VLOOKUP($B69,test!$A$2:$I$32,4,FALSE),test!$J$10:$P$14,5,FALSE))/1440),1,0)</f>
        <v>0</v>
      </c>
      <c r="N69" s="2">
        <f>IF(AND(VLOOKUP(N$1,test!$A$3:$F$32,5,FALSE) - VLOOKUP($B69,test!$A$3:$G$32,6,FALSE) &gt;= (test!$B$35+VLOOKUP(VLOOKUP($B69,test!$A$2:$I$32,4,FALSE),test!$J$10:$P$14,5,FALSE))/1440),1,0)</f>
        <v>0</v>
      </c>
      <c r="O69" s="2">
        <f>IF(AND(VLOOKUP(O$1,test!$A$3:$F$32,5,FALSE) - VLOOKUP($B69,test!$A$3:$G$32,6,FALSE) &gt;= (test!$B$35+VLOOKUP(VLOOKUP($B69,test!$A$2:$I$32,4,FALSE),test!$J$10:$P$14,5,FALSE))/1440),1,0)</f>
        <v>0</v>
      </c>
      <c r="P69" s="2">
        <f>IF(AND(VLOOKUP(P$1,test!$A$3:$F$32,5,FALSE) - VLOOKUP($B69,test!$A$3:$G$32,6,FALSE) &gt;= (test!$B$35+VLOOKUP(VLOOKUP($B69,test!$A$2:$I$32,4,FALSE),test!$J$10:$P$14,5,FALSE))/1440),1,0)</f>
        <v>1</v>
      </c>
      <c r="Q69" s="2">
        <f>IF(AND(VLOOKUP(Q$1,test!$A$3:$F$32,5,FALSE) - VLOOKUP($B69,test!$A$3:$G$32,6,FALSE) &gt;= (test!$B$35+VLOOKUP(VLOOKUP($B69,test!$A$2:$I$32,4,FALSE),test!$J$10:$P$14,5,FALSE))/1440),1,0)</f>
        <v>0</v>
      </c>
      <c r="R69" s="2">
        <f>IF(AND(VLOOKUP(R$1,test!$A$3:$F$32,5,FALSE) - VLOOKUP($B69,test!$A$3:$G$32,6,FALSE) &gt;= (test!$B$35+VLOOKUP(VLOOKUP($B69,test!$A$2:$I$32,4,FALSE),test!$J$10:$P$14,5,FALSE))/1440),1,0)</f>
        <v>0</v>
      </c>
      <c r="S69" s="2">
        <f>IF(AND(VLOOKUP(S$1,test!$A$3:$F$32,5,FALSE) - VLOOKUP($B69,test!$A$3:$G$32,6,FALSE) &gt;= (test!$B$35+VLOOKUP(VLOOKUP($B69,test!$A$2:$I$32,4,FALSE),test!$J$10:$P$14,5,FALSE))/1440),1,0)</f>
        <v>0</v>
      </c>
      <c r="T69" s="2">
        <f>IF(AND(VLOOKUP(T$1,test!$A$3:$F$32,5,FALSE) - VLOOKUP($B69,test!$A$3:$G$32,6,FALSE) &gt;= (test!$B$35+VLOOKUP(VLOOKUP($B69,test!$A$2:$I$32,4,FALSE),test!$J$10:$P$14,5,FALSE))/1440),1,0)</f>
        <v>0</v>
      </c>
      <c r="U69" s="2">
        <f>IF(AND(VLOOKUP(U$1,test!$A$3:$F$32,5,FALSE) - VLOOKUP($B69,test!$A$3:$G$32,6,FALSE) &gt;= (test!$B$35+VLOOKUP(VLOOKUP($B69,test!$A$2:$I$32,4,FALSE),test!$J$10:$P$14,5,FALSE))/1440),1,0)</f>
        <v>0</v>
      </c>
      <c r="V69" s="2">
        <f>IF(AND(VLOOKUP(V$1,test!$A$3:$F$32,5,FALSE) - VLOOKUP($B69,test!$A$3:$G$32,6,FALSE) &gt;= (test!$B$35+VLOOKUP(VLOOKUP($B69,test!$A$2:$I$32,4,FALSE),test!$J$10:$P$14,5,FALSE))/1440),1,0)</f>
        <v>0</v>
      </c>
      <c r="W69" s="2">
        <f>IF(AND(VLOOKUP(W$1,test!$A$3:$F$32,5,FALSE) - VLOOKUP($B69,test!$A$3:$G$32,6,FALSE) &gt;= (test!$B$35+VLOOKUP(VLOOKUP($B69,test!$A$2:$I$32,4,FALSE),test!$J$10:$P$14,5,FALSE))/1440),1,0)</f>
        <v>0</v>
      </c>
      <c r="X69" s="2">
        <f>IF(AND(VLOOKUP(X$1,test!$A$3:$F$32,5,FALSE) - VLOOKUP($B69,test!$A$3:$G$32,6,FALSE) &gt;= (test!$B$35+VLOOKUP(VLOOKUP($B69,test!$A$2:$I$32,4,FALSE),test!$J$10:$P$14,5,FALSE))/1440),1,0)</f>
        <v>0</v>
      </c>
      <c r="Y69" s="2">
        <f>IF(AND(VLOOKUP(Y$1,test!$A$3:$F$32,5,FALSE) - VLOOKUP($B69,test!$A$3:$G$32,6,FALSE) &gt;= (test!$B$35+VLOOKUP(VLOOKUP($B69,test!$A$2:$I$32,4,FALSE),test!$J$10:$P$14,5,FALSE))/1440),1,0)</f>
        <v>0</v>
      </c>
      <c r="Z69" s="2">
        <f>IF(AND(VLOOKUP(Z$1,test!$A$3:$F$32,5,FALSE) - VLOOKUP($B69,test!$A$3:$G$32,6,FALSE) &gt;= (test!$B$35+VLOOKUP(VLOOKUP($B69,test!$A$2:$I$32,4,FALSE),test!$J$10:$P$14,5,FALSE))/1440),1,0)</f>
        <v>0</v>
      </c>
      <c r="AA69" s="2">
        <f>IF(AND(VLOOKUP(AA$1,test!$A$3:$F$32,5,FALSE) - VLOOKUP($B69,test!$A$3:$G$32,6,FALSE) &gt;= (test!$B$35+VLOOKUP(VLOOKUP($B69,test!$A$2:$I$32,4,FALSE),test!$J$10:$P$14,5,FALSE))/1440),1,0)</f>
        <v>0</v>
      </c>
      <c r="AB69" s="2">
        <f>IF(AND(VLOOKUP(AB$1,test!$A$3:$F$32,5,FALSE) - VLOOKUP($B69,test!$A$3:$G$32,6,FALSE) &gt;= (test!$B$35+VLOOKUP(VLOOKUP($B69,test!$A$2:$I$32,4,FALSE),test!$J$10:$P$14,5,FALSE))/1440),1,0)</f>
        <v>0</v>
      </c>
      <c r="AC69" s="2">
        <f>IF(AND(VLOOKUP(AC$1,test!$A$3:$F$32,5,FALSE) - VLOOKUP($B69,test!$A$3:$G$32,6,FALSE) &gt;= (test!$B$35+VLOOKUP(VLOOKUP($B69,test!$A$2:$I$32,4,FALSE),test!$J$10:$P$14,5,FALSE))/1440),1,0)</f>
        <v>0</v>
      </c>
      <c r="AD69" s="2">
        <f>IF(AND(VLOOKUP(AD$1,test!$A$3:$F$32,5,FALSE) - VLOOKUP($B69,test!$A$3:$G$32,6,FALSE) &gt;= (test!$B$35+VLOOKUP(VLOOKUP($B69,test!$A$2:$I$32,4,FALSE),test!$J$10:$P$14,5,FALSE))/1440),1,0)</f>
        <v>0</v>
      </c>
      <c r="AE69" s="2">
        <f>IF(AND(VLOOKUP(AE$1,test!$A$3:$F$32,5,FALSE) - VLOOKUP($B69,test!$A$3:$G$32,6,FALSE) &gt;= (test!$B$35+VLOOKUP(VLOOKUP($B69,test!$A$2:$I$32,4,FALSE),test!$J$10:$P$14,5,FALSE))/1440),1,0)</f>
        <v>0</v>
      </c>
      <c r="AF69" s="2">
        <f>IF(AND(VLOOKUP(AF$1,test!$A$3:$F$32,5,FALSE) - VLOOKUP($B69,test!$A$3:$G$32,6,FALSE) &gt;= (test!$B$35+VLOOKUP(VLOOKUP($B69,test!$A$2:$I$32,4,FALSE),test!$J$10:$P$14,5,FALSE))/1440),1,0)</f>
        <v>0</v>
      </c>
      <c r="AG69" s="2">
        <f>IF(AND(VLOOKUP(AG$1,test!$A$3:$F$32,5,FALSE) - VLOOKUP($B69,test!$A$3:$G$32,6,FALSE) &gt;= (test!$B$35+VLOOKUP(VLOOKUP($B69,test!$A$2:$I$32,4,FALSE),test!$J$10:$P$14,5,FALSE))/1440),1,0)</f>
        <v>0</v>
      </c>
    </row>
    <row r="70" spans="1:33" x14ac:dyDescent="0.25">
      <c r="A70" t="s">
        <v>97</v>
      </c>
      <c r="B70" t="s">
        <v>13</v>
      </c>
      <c r="C70">
        <v>0</v>
      </c>
      <c r="D70" s="2">
        <f>IF(AND(VLOOKUP(D$1,test!$A$3:$F$32,5,FALSE) - VLOOKUP($B70,test!$A$3:$G$32,6,FALSE) &gt;= (test!$B$35+VLOOKUP(VLOOKUP($B70,test!$A$2:$I$32,4,FALSE),test!$J$10:$P$14,5,FALSE))/1440),1,0)</f>
        <v>0</v>
      </c>
      <c r="E70" s="2">
        <f>IF(AND(VLOOKUP(E$1,test!$A$3:$F$32,5,FALSE) - VLOOKUP($B70,test!$A$3:$G$32,6,FALSE) &gt;= (test!$B$35+VLOOKUP(VLOOKUP($B70,test!$A$2:$I$32,4,FALSE),test!$J$10:$P$14,5,FALSE))/1440),1,0)</f>
        <v>0</v>
      </c>
      <c r="F70" s="2">
        <f>IF(AND(VLOOKUP(F$1,test!$A$3:$F$32,5,FALSE) - VLOOKUP($B70,test!$A$3:$G$32,6,FALSE) &gt;= (test!$B$35+VLOOKUP(VLOOKUP($B70,test!$A$2:$I$32,4,FALSE),test!$J$10:$P$14,5,FALSE))/1440),1,0)</f>
        <v>0</v>
      </c>
      <c r="G70" s="2">
        <f>IF(AND(VLOOKUP(G$1,test!$A$3:$F$32,5,FALSE) - VLOOKUP($B70,test!$A$3:$G$32,6,FALSE) &gt;= (test!$B$35+VLOOKUP(VLOOKUP($B70,test!$A$2:$I$32,4,FALSE),test!$J$10:$P$14,5,FALSE))/1440),1,0)</f>
        <v>0</v>
      </c>
      <c r="H70" s="2">
        <f>IF(AND(VLOOKUP(H$1,test!$A$3:$F$32,5,FALSE) - VLOOKUP($B70,test!$A$3:$G$32,6,FALSE) &gt;= (test!$B$35+VLOOKUP(VLOOKUP($B70,test!$A$2:$I$32,4,FALSE),test!$J$10:$P$14,5,FALSE))/1440),1,0)</f>
        <v>0</v>
      </c>
      <c r="I70" s="2">
        <f>IF(AND(VLOOKUP(I$1,test!$A$3:$F$32,5,FALSE) - VLOOKUP($B70,test!$A$3:$G$32,6,FALSE) &gt;= (test!$B$35+VLOOKUP(VLOOKUP($B70,test!$A$2:$I$32,4,FALSE),test!$J$10:$P$14,5,FALSE))/1440),1,0)</f>
        <v>0</v>
      </c>
      <c r="J70" s="2">
        <f>IF(AND(VLOOKUP(J$1,test!$A$3:$F$32,5,FALSE) - VLOOKUP($B70,test!$A$3:$G$32,6,FALSE) &gt;= (test!$B$35+VLOOKUP(VLOOKUP($B70,test!$A$2:$I$32,4,FALSE),test!$J$10:$P$14,5,FALSE))/1440),1,0)</f>
        <v>0</v>
      </c>
      <c r="K70" s="2">
        <f>IF(AND(VLOOKUP(K$1,test!$A$3:$F$32,5,FALSE) - VLOOKUP($B70,test!$A$3:$G$32,6,FALSE) &gt;= (test!$B$35+VLOOKUP(VLOOKUP($B70,test!$A$2:$I$32,4,FALSE),test!$J$10:$P$14,5,FALSE))/1440),1,0)</f>
        <v>0</v>
      </c>
      <c r="L70" s="2">
        <f>IF(AND(VLOOKUP(L$1,test!$A$3:$F$32,5,FALSE) - VLOOKUP($B70,test!$A$3:$G$32,6,FALSE) &gt;= (test!$B$35+VLOOKUP(VLOOKUP($B70,test!$A$2:$I$32,4,FALSE),test!$J$10:$P$14,5,FALSE))/1440),1,0)</f>
        <v>0</v>
      </c>
      <c r="M70" s="2">
        <f>IF(AND(VLOOKUP(M$1,test!$A$3:$F$32,5,FALSE) - VLOOKUP($B70,test!$A$3:$G$32,6,FALSE) &gt;= (test!$B$35+VLOOKUP(VLOOKUP($B70,test!$A$2:$I$32,4,FALSE),test!$J$10:$P$14,5,FALSE))/1440),1,0)</f>
        <v>0</v>
      </c>
      <c r="N70" s="2">
        <f>IF(AND(VLOOKUP(N$1,test!$A$3:$F$32,5,FALSE) - VLOOKUP($B70,test!$A$3:$G$32,6,FALSE) &gt;= (test!$B$35+VLOOKUP(VLOOKUP($B70,test!$A$2:$I$32,4,FALSE),test!$J$10:$P$14,5,FALSE))/1440),1,0)</f>
        <v>0</v>
      </c>
      <c r="O70" s="2">
        <f>IF(AND(VLOOKUP(O$1,test!$A$3:$F$32,5,FALSE) - VLOOKUP($B70,test!$A$3:$G$32,6,FALSE) &gt;= (test!$B$35+VLOOKUP(VLOOKUP($B70,test!$A$2:$I$32,4,FALSE),test!$J$10:$P$14,5,FALSE))/1440),1,0)</f>
        <v>0</v>
      </c>
      <c r="P70" s="2">
        <f>IF(AND(VLOOKUP(P$1,test!$A$3:$F$32,5,FALSE) - VLOOKUP($B70,test!$A$3:$G$32,6,FALSE) &gt;= (test!$B$35+VLOOKUP(VLOOKUP($B70,test!$A$2:$I$32,4,FALSE),test!$J$10:$P$14,5,FALSE))/1440),1,0)</f>
        <v>0</v>
      </c>
      <c r="Q70" s="2">
        <f>IF(AND(VLOOKUP(Q$1,test!$A$3:$F$32,5,FALSE) - VLOOKUP($B70,test!$A$3:$G$32,6,FALSE) &gt;= (test!$B$35+VLOOKUP(VLOOKUP($B70,test!$A$2:$I$32,4,FALSE),test!$J$10:$P$14,5,FALSE))/1440),1,0)</f>
        <v>0</v>
      </c>
      <c r="R70" s="2">
        <f>IF(AND(VLOOKUP(R$1,test!$A$3:$F$32,5,FALSE) - VLOOKUP($B70,test!$A$3:$G$32,6,FALSE) &gt;= (test!$B$35+VLOOKUP(VLOOKUP($B70,test!$A$2:$I$32,4,FALSE),test!$J$10:$P$14,5,FALSE))/1440),1,0)</f>
        <v>0</v>
      </c>
      <c r="S70" s="2">
        <f>IF(AND(VLOOKUP(S$1,test!$A$3:$F$32,5,FALSE) - VLOOKUP($B70,test!$A$3:$G$32,6,FALSE) &gt;= (test!$B$35+VLOOKUP(VLOOKUP($B70,test!$A$2:$I$32,4,FALSE),test!$J$10:$P$14,5,FALSE))/1440),1,0)</f>
        <v>0</v>
      </c>
      <c r="T70" s="2">
        <f>IF(AND(VLOOKUP(T$1,test!$A$3:$F$32,5,FALSE) - VLOOKUP($B70,test!$A$3:$G$32,6,FALSE) &gt;= (test!$B$35+VLOOKUP(VLOOKUP($B70,test!$A$2:$I$32,4,FALSE),test!$J$10:$P$14,5,FALSE))/1440),1,0)</f>
        <v>0</v>
      </c>
      <c r="U70" s="2">
        <f>IF(AND(VLOOKUP(U$1,test!$A$3:$F$32,5,FALSE) - VLOOKUP($B70,test!$A$3:$G$32,6,FALSE) &gt;= (test!$B$35+VLOOKUP(VLOOKUP($B70,test!$A$2:$I$32,4,FALSE),test!$J$10:$P$14,5,FALSE))/1440),1,0)</f>
        <v>0</v>
      </c>
      <c r="V70" s="2">
        <f>IF(AND(VLOOKUP(V$1,test!$A$3:$F$32,5,FALSE) - VLOOKUP($B70,test!$A$3:$G$32,6,FALSE) &gt;= (test!$B$35+VLOOKUP(VLOOKUP($B70,test!$A$2:$I$32,4,FALSE),test!$J$10:$P$14,5,FALSE))/1440),1,0)</f>
        <v>0</v>
      </c>
      <c r="W70" s="2">
        <f>IF(AND(VLOOKUP(W$1,test!$A$3:$F$32,5,FALSE) - VLOOKUP($B70,test!$A$3:$G$32,6,FALSE) &gt;= (test!$B$35+VLOOKUP(VLOOKUP($B70,test!$A$2:$I$32,4,FALSE),test!$J$10:$P$14,5,FALSE))/1440),1,0)</f>
        <v>0</v>
      </c>
      <c r="X70" s="2">
        <f>IF(AND(VLOOKUP(X$1,test!$A$3:$F$32,5,FALSE) - VLOOKUP($B70,test!$A$3:$G$32,6,FALSE) &gt;= (test!$B$35+VLOOKUP(VLOOKUP($B70,test!$A$2:$I$32,4,FALSE),test!$J$10:$P$14,5,FALSE))/1440),1,0)</f>
        <v>0</v>
      </c>
      <c r="Y70" s="2">
        <f>IF(AND(VLOOKUP(Y$1,test!$A$3:$F$32,5,FALSE) - VLOOKUP($B70,test!$A$3:$G$32,6,FALSE) &gt;= (test!$B$35+VLOOKUP(VLOOKUP($B70,test!$A$2:$I$32,4,FALSE),test!$J$10:$P$14,5,FALSE))/1440),1,0)</f>
        <v>0</v>
      </c>
      <c r="Z70" s="2">
        <f>IF(AND(VLOOKUP(Z$1,test!$A$3:$F$32,5,FALSE) - VLOOKUP($B70,test!$A$3:$G$32,6,FALSE) &gt;= (test!$B$35+VLOOKUP(VLOOKUP($B70,test!$A$2:$I$32,4,FALSE),test!$J$10:$P$14,5,FALSE))/1440),1,0)</f>
        <v>0</v>
      </c>
      <c r="AA70" s="2">
        <f>IF(AND(VLOOKUP(AA$1,test!$A$3:$F$32,5,FALSE) - VLOOKUP($B70,test!$A$3:$G$32,6,FALSE) &gt;= (test!$B$35+VLOOKUP(VLOOKUP($B70,test!$A$2:$I$32,4,FALSE),test!$J$10:$P$14,5,FALSE))/1440),1,0)</f>
        <v>0</v>
      </c>
      <c r="AB70" s="2">
        <f>IF(AND(VLOOKUP(AB$1,test!$A$3:$F$32,5,FALSE) - VLOOKUP($B70,test!$A$3:$G$32,6,FALSE) &gt;= (test!$B$35+VLOOKUP(VLOOKUP($B70,test!$A$2:$I$32,4,FALSE),test!$J$10:$P$14,5,FALSE))/1440),1,0)</f>
        <v>0</v>
      </c>
      <c r="AC70" s="2">
        <f>IF(AND(VLOOKUP(AC$1,test!$A$3:$F$32,5,FALSE) - VLOOKUP($B70,test!$A$3:$G$32,6,FALSE) &gt;= (test!$B$35+VLOOKUP(VLOOKUP($B70,test!$A$2:$I$32,4,FALSE),test!$J$10:$P$14,5,FALSE))/1440),1,0)</f>
        <v>0</v>
      </c>
      <c r="AD70" s="2">
        <f>IF(AND(VLOOKUP(AD$1,test!$A$3:$F$32,5,FALSE) - VLOOKUP($B70,test!$A$3:$G$32,6,FALSE) &gt;= (test!$B$35+VLOOKUP(VLOOKUP($B70,test!$A$2:$I$32,4,FALSE),test!$J$10:$P$14,5,FALSE))/1440),1,0)</f>
        <v>0</v>
      </c>
      <c r="AE70" s="2">
        <f>IF(AND(VLOOKUP(AE$1,test!$A$3:$F$32,5,FALSE) - VLOOKUP($B70,test!$A$3:$G$32,6,FALSE) &gt;= (test!$B$35+VLOOKUP(VLOOKUP($B70,test!$A$2:$I$32,4,FALSE),test!$J$10:$P$14,5,FALSE))/1440),1,0)</f>
        <v>0</v>
      </c>
      <c r="AF70" s="2">
        <f>IF(AND(VLOOKUP(AF$1,test!$A$3:$F$32,5,FALSE) - VLOOKUP($B70,test!$A$3:$G$32,6,FALSE) &gt;= (test!$B$35+VLOOKUP(VLOOKUP($B70,test!$A$2:$I$32,4,FALSE),test!$J$10:$P$14,5,FALSE))/1440),1,0)</f>
        <v>0</v>
      </c>
      <c r="AG70" s="2">
        <f>IF(AND(VLOOKUP(AG$1,test!$A$3:$F$32,5,FALSE) - VLOOKUP($B70,test!$A$3:$G$32,6,FALSE) &gt;= (test!$B$35+VLOOKUP(VLOOKUP($B70,test!$A$2:$I$32,4,FALSE),test!$J$10:$P$14,5,FALSE))/1440),1,0)</f>
        <v>0</v>
      </c>
    </row>
    <row r="71" spans="1:33" x14ac:dyDescent="0.25">
      <c r="A71" t="s">
        <v>97</v>
      </c>
      <c r="B71" t="s">
        <v>14</v>
      </c>
      <c r="C71">
        <v>0</v>
      </c>
      <c r="D71" s="2">
        <f>IF(AND(VLOOKUP(D$1,test!$A$3:$F$32,5,FALSE) - VLOOKUP($B71,test!$A$3:$G$32,6,FALSE) &gt;= (test!$B$35+VLOOKUP(VLOOKUP($B71,test!$A$2:$I$32,4,FALSE),test!$J$10:$P$14,5,FALSE))/1440),1,0)</f>
        <v>0</v>
      </c>
      <c r="E71" s="2">
        <f>IF(AND(VLOOKUP(E$1,test!$A$3:$F$32,5,FALSE) - VLOOKUP($B71,test!$A$3:$G$32,6,FALSE) &gt;= (test!$B$35+VLOOKUP(VLOOKUP($B71,test!$A$2:$I$32,4,FALSE),test!$J$10:$P$14,5,FALSE))/1440),1,0)</f>
        <v>0</v>
      </c>
      <c r="F71" s="2">
        <f>IF(AND(VLOOKUP(F$1,test!$A$3:$F$32,5,FALSE) - VLOOKUP($B71,test!$A$3:$G$32,6,FALSE) &gt;= (test!$B$35+VLOOKUP(VLOOKUP($B71,test!$A$2:$I$32,4,FALSE),test!$J$10:$P$14,5,FALSE))/1440),1,0)</f>
        <v>0</v>
      </c>
      <c r="G71" s="2">
        <f>IF(AND(VLOOKUP(G$1,test!$A$3:$F$32,5,FALSE) - VLOOKUP($B71,test!$A$3:$G$32,6,FALSE) &gt;= (test!$B$35+VLOOKUP(VLOOKUP($B71,test!$A$2:$I$32,4,FALSE),test!$J$10:$P$14,5,FALSE))/1440),1,0)</f>
        <v>0</v>
      </c>
      <c r="H71" s="2">
        <f>IF(AND(VLOOKUP(H$1,test!$A$3:$F$32,5,FALSE) - VLOOKUP($B71,test!$A$3:$G$32,6,FALSE) &gt;= (test!$B$35+VLOOKUP(VLOOKUP($B71,test!$A$2:$I$32,4,FALSE),test!$J$10:$P$14,5,FALSE))/1440),1,0)</f>
        <v>0</v>
      </c>
      <c r="I71" s="2">
        <f>IF(AND(VLOOKUP(I$1,test!$A$3:$F$32,5,FALSE) - VLOOKUP($B71,test!$A$3:$G$32,6,FALSE) &gt;= (test!$B$35+VLOOKUP(VLOOKUP($B71,test!$A$2:$I$32,4,FALSE),test!$J$10:$P$14,5,FALSE))/1440),1,0)</f>
        <v>0</v>
      </c>
      <c r="J71" s="2">
        <f>IF(AND(VLOOKUP(J$1,test!$A$3:$F$32,5,FALSE) - VLOOKUP($B71,test!$A$3:$G$32,6,FALSE) &gt;= (test!$B$35+VLOOKUP(VLOOKUP($B71,test!$A$2:$I$32,4,FALSE),test!$J$10:$P$14,5,FALSE))/1440),1,0)</f>
        <v>0</v>
      </c>
      <c r="K71" s="2">
        <f>IF(AND(VLOOKUP(K$1,test!$A$3:$F$32,5,FALSE) - VLOOKUP($B71,test!$A$3:$G$32,6,FALSE) &gt;= (test!$B$35+VLOOKUP(VLOOKUP($B71,test!$A$2:$I$32,4,FALSE),test!$J$10:$P$14,5,FALSE))/1440),1,0)</f>
        <v>0</v>
      </c>
      <c r="L71" s="2">
        <f>IF(AND(VLOOKUP(L$1,test!$A$3:$F$32,5,FALSE) - VLOOKUP($B71,test!$A$3:$G$32,6,FALSE) &gt;= (test!$B$35+VLOOKUP(VLOOKUP($B71,test!$A$2:$I$32,4,FALSE),test!$J$10:$P$14,5,FALSE))/1440),1,0)</f>
        <v>0</v>
      </c>
      <c r="M71" s="2">
        <f>IF(AND(VLOOKUP(M$1,test!$A$3:$F$32,5,FALSE) - VLOOKUP($B71,test!$A$3:$G$32,6,FALSE) &gt;= (test!$B$35+VLOOKUP(VLOOKUP($B71,test!$A$2:$I$32,4,FALSE),test!$J$10:$P$14,5,FALSE))/1440),1,0)</f>
        <v>0</v>
      </c>
      <c r="N71" s="2">
        <f>IF(AND(VLOOKUP(N$1,test!$A$3:$F$32,5,FALSE) - VLOOKUP($B71,test!$A$3:$G$32,6,FALSE) &gt;= (test!$B$35+VLOOKUP(VLOOKUP($B71,test!$A$2:$I$32,4,FALSE),test!$J$10:$P$14,5,FALSE))/1440),1,0)</f>
        <v>0</v>
      </c>
      <c r="O71" s="2">
        <f>IF(AND(VLOOKUP(O$1,test!$A$3:$F$32,5,FALSE) - VLOOKUP($B71,test!$A$3:$G$32,6,FALSE) &gt;= (test!$B$35+VLOOKUP(VLOOKUP($B71,test!$A$2:$I$32,4,FALSE),test!$J$10:$P$14,5,FALSE))/1440),1,0)</f>
        <v>0</v>
      </c>
      <c r="P71" s="2">
        <f>IF(AND(VLOOKUP(P$1,test!$A$3:$F$32,5,FALSE) - VLOOKUP($B71,test!$A$3:$G$32,6,FALSE) &gt;= (test!$B$35+VLOOKUP(VLOOKUP($B71,test!$A$2:$I$32,4,FALSE),test!$J$10:$P$14,5,FALSE))/1440),1,0)</f>
        <v>0</v>
      </c>
      <c r="Q71" s="2">
        <f>IF(AND(VLOOKUP(Q$1,test!$A$3:$F$32,5,FALSE) - VLOOKUP($B71,test!$A$3:$G$32,6,FALSE) &gt;= (test!$B$35+VLOOKUP(VLOOKUP($B71,test!$A$2:$I$32,4,FALSE),test!$J$10:$P$14,5,FALSE))/1440),1,0)</f>
        <v>0</v>
      </c>
      <c r="R71" s="2">
        <f>IF(AND(VLOOKUP(R$1,test!$A$3:$F$32,5,FALSE) - VLOOKUP($B71,test!$A$3:$G$32,6,FALSE) &gt;= (test!$B$35+VLOOKUP(VLOOKUP($B71,test!$A$2:$I$32,4,FALSE),test!$J$10:$P$14,5,FALSE))/1440),1,0)</f>
        <v>0</v>
      </c>
      <c r="S71" s="2">
        <f>IF(AND(VLOOKUP(S$1,test!$A$3:$F$32,5,FALSE) - VLOOKUP($B71,test!$A$3:$G$32,6,FALSE) &gt;= (test!$B$35+VLOOKUP(VLOOKUP($B71,test!$A$2:$I$32,4,FALSE),test!$J$10:$P$14,5,FALSE))/1440),1,0)</f>
        <v>0</v>
      </c>
      <c r="T71" s="2">
        <f>IF(AND(VLOOKUP(T$1,test!$A$3:$F$32,5,FALSE) - VLOOKUP($B71,test!$A$3:$G$32,6,FALSE) &gt;= (test!$B$35+VLOOKUP(VLOOKUP($B71,test!$A$2:$I$32,4,FALSE),test!$J$10:$P$14,5,FALSE))/1440),1,0)</f>
        <v>0</v>
      </c>
      <c r="U71" s="2">
        <f>IF(AND(VLOOKUP(U$1,test!$A$3:$F$32,5,FALSE) - VLOOKUP($B71,test!$A$3:$G$32,6,FALSE) &gt;= (test!$B$35+VLOOKUP(VLOOKUP($B71,test!$A$2:$I$32,4,FALSE),test!$J$10:$P$14,5,FALSE))/1440),1,0)</f>
        <v>0</v>
      </c>
      <c r="V71" s="2">
        <f>IF(AND(VLOOKUP(V$1,test!$A$3:$F$32,5,FALSE) - VLOOKUP($B71,test!$A$3:$G$32,6,FALSE) &gt;= (test!$B$35+VLOOKUP(VLOOKUP($B71,test!$A$2:$I$32,4,FALSE),test!$J$10:$P$14,5,FALSE))/1440),1,0)</f>
        <v>0</v>
      </c>
      <c r="W71" s="2">
        <f>IF(AND(VLOOKUP(W$1,test!$A$3:$F$32,5,FALSE) - VLOOKUP($B71,test!$A$3:$G$32,6,FALSE) &gt;= (test!$B$35+VLOOKUP(VLOOKUP($B71,test!$A$2:$I$32,4,FALSE),test!$J$10:$P$14,5,FALSE))/1440),1,0)</f>
        <v>0</v>
      </c>
      <c r="X71" s="2">
        <f>IF(AND(VLOOKUP(X$1,test!$A$3:$F$32,5,FALSE) - VLOOKUP($B71,test!$A$3:$G$32,6,FALSE) &gt;= (test!$B$35+VLOOKUP(VLOOKUP($B71,test!$A$2:$I$32,4,FALSE),test!$J$10:$P$14,5,FALSE))/1440),1,0)</f>
        <v>0</v>
      </c>
      <c r="Y71" s="2">
        <f>IF(AND(VLOOKUP(Y$1,test!$A$3:$F$32,5,FALSE) - VLOOKUP($B71,test!$A$3:$G$32,6,FALSE) &gt;= (test!$B$35+VLOOKUP(VLOOKUP($B71,test!$A$2:$I$32,4,FALSE),test!$J$10:$P$14,5,FALSE))/1440),1,0)</f>
        <v>0</v>
      </c>
      <c r="Z71" s="2">
        <f>IF(AND(VLOOKUP(Z$1,test!$A$3:$F$32,5,FALSE) - VLOOKUP($B71,test!$A$3:$G$32,6,FALSE) &gt;= (test!$B$35+VLOOKUP(VLOOKUP($B71,test!$A$2:$I$32,4,FALSE),test!$J$10:$P$14,5,FALSE))/1440),1,0)</f>
        <v>0</v>
      </c>
      <c r="AA71" s="2">
        <f>IF(AND(VLOOKUP(AA$1,test!$A$3:$F$32,5,FALSE) - VLOOKUP($B71,test!$A$3:$G$32,6,FALSE) &gt;= (test!$B$35+VLOOKUP(VLOOKUP($B71,test!$A$2:$I$32,4,FALSE),test!$J$10:$P$14,5,FALSE))/1440),1,0)</f>
        <v>0</v>
      </c>
      <c r="AB71" s="2">
        <f>IF(AND(VLOOKUP(AB$1,test!$A$3:$F$32,5,FALSE) - VLOOKUP($B71,test!$A$3:$G$32,6,FALSE) &gt;= (test!$B$35+VLOOKUP(VLOOKUP($B71,test!$A$2:$I$32,4,FALSE),test!$J$10:$P$14,5,FALSE))/1440),1,0)</f>
        <v>0</v>
      </c>
      <c r="AC71" s="2">
        <f>IF(AND(VLOOKUP(AC$1,test!$A$3:$F$32,5,FALSE) - VLOOKUP($B71,test!$A$3:$G$32,6,FALSE) &gt;= (test!$B$35+VLOOKUP(VLOOKUP($B71,test!$A$2:$I$32,4,FALSE),test!$J$10:$P$14,5,FALSE))/1440),1,0)</f>
        <v>0</v>
      </c>
      <c r="AD71" s="2">
        <f>IF(AND(VLOOKUP(AD$1,test!$A$3:$F$32,5,FALSE) - VLOOKUP($B71,test!$A$3:$G$32,6,FALSE) &gt;= (test!$B$35+VLOOKUP(VLOOKUP($B71,test!$A$2:$I$32,4,FALSE),test!$J$10:$P$14,5,FALSE))/1440),1,0)</f>
        <v>0</v>
      </c>
      <c r="AE71" s="2">
        <f>IF(AND(VLOOKUP(AE$1,test!$A$3:$F$32,5,FALSE) - VLOOKUP($B71,test!$A$3:$G$32,6,FALSE) &gt;= (test!$B$35+VLOOKUP(VLOOKUP($B71,test!$A$2:$I$32,4,FALSE),test!$J$10:$P$14,5,FALSE))/1440),1,0)</f>
        <v>0</v>
      </c>
      <c r="AF71" s="2">
        <f>IF(AND(VLOOKUP(AF$1,test!$A$3:$F$32,5,FALSE) - VLOOKUP($B71,test!$A$3:$G$32,6,FALSE) &gt;= (test!$B$35+VLOOKUP(VLOOKUP($B71,test!$A$2:$I$32,4,FALSE),test!$J$10:$P$14,5,FALSE))/1440),1,0)</f>
        <v>0</v>
      </c>
      <c r="AG71" s="2">
        <f>IF(AND(VLOOKUP(AG$1,test!$A$3:$F$32,5,FALSE) - VLOOKUP($B71,test!$A$3:$G$32,6,FALSE) &gt;= (test!$B$35+VLOOKUP(VLOOKUP($B71,test!$A$2:$I$32,4,FALSE),test!$J$10:$P$14,5,FALSE))/1440),1,0)</f>
        <v>0</v>
      </c>
    </row>
    <row r="72" spans="1:33" x14ac:dyDescent="0.25">
      <c r="A72" t="s">
        <v>97</v>
      </c>
      <c r="B72" t="s">
        <v>15</v>
      </c>
      <c r="C72">
        <v>0</v>
      </c>
      <c r="D72" s="2">
        <f>IF(AND(VLOOKUP(D$1,test!$A$3:$F$32,5,FALSE) - VLOOKUP($B72,test!$A$3:$G$32,6,FALSE) &gt;= (test!$B$35+VLOOKUP(VLOOKUP($B72,test!$A$2:$I$32,4,FALSE),test!$J$10:$P$14,5,FALSE))/1440),1,0)</f>
        <v>0</v>
      </c>
      <c r="E72" s="2">
        <f>IF(AND(VLOOKUP(E$1,test!$A$3:$F$32,5,FALSE) - VLOOKUP($B72,test!$A$3:$G$32,6,FALSE) &gt;= (test!$B$35+VLOOKUP(VLOOKUP($B72,test!$A$2:$I$32,4,FALSE),test!$J$10:$P$14,5,FALSE))/1440),1,0)</f>
        <v>0</v>
      </c>
      <c r="F72" s="2">
        <f>IF(AND(VLOOKUP(F$1,test!$A$3:$F$32,5,FALSE) - VLOOKUP($B72,test!$A$3:$G$32,6,FALSE) &gt;= (test!$B$35+VLOOKUP(VLOOKUP($B72,test!$A$2:$I$32,4,FALSE),test!$J$10:$P$14,5,FALSE))/1440),1,0)</f>
        <v>0</v>
      </c>
      <c r="G72" s="2">
        <f>IF(AND(VLOOKUP(G$1,test!$A$3:$F$32,5,FALSE) - VLOOKUP($B72,test!$A$3:$G$32,6,FALSE) &gt;= (test!$B$35+VLOOKUP(VLOOKUP($B72,test!$A$2:$I$32,4,FALSE),test!$J$10:$P$14,5,FALSE))/1440),1,0)</f>
        <v>0</v>
      </c>
      <c r="H72" s="2">
        <f>IF(AND(VLOOKUP(H$1,test!$A$3:$F$32,5,FALSE) - VLOOKUP($B72,test!$A$3:$G$32,6,FALSE) &gt;= (test!$B$35+VLOOKUP(VLOOKUP($B72,test!$A$2:$I$32,4,FALSE),test!$J$10:$P$14,5,FALSE))/1440),1,0)</f>
        <v>0</v>
      </c>
      <c r="I72" s="2">
        <f>IF(AND(VLOOKUP(I$1,test!$A$3:$F$32,5,FALSE) - VLOOKUP($B72,test!$A$3:$G$32,6,FALSE) &gt;= (test!$B$35+VLOOKUP(VLOOKUP($B72,test!$A$2:$I$32,4,FALSE),test!$J$10:$P$14,5,FALSE))/1440),1,0)</f>
        <v>0</v>
      </c>
      <c r="J72" s="2">
        <f>IF(AND(VLOOKUP(J$1,test!$A$3:$F$32,5,FALSE) - VLOOKUP($B72,test!$A$3:$G$32,6,FALSE) &gt;= (test!$B$35+VLOOKUP(VLOOKUP($B72,test!$A$2:$I$32,4,FALSE),test!$J$10:$P$14,5,FALSE))/1440),1,0)</f>
        <v>0</v>
      </c>
      <c r="K72" s="2">
        <f>IF(AND(VLOOKUP(K$1,test!$A$3:$F$32,5,FALSE) - VLOOKUP($B72,test!$A$3:$G$32,6,FALSE) &gt;= (test!$B$35+VLOOKUP(VLOOKUP($B72,test!$A$2:$I$32,4,FALSE),test!$J$10:$P$14,5,FALSE))/1440),1,0)</f>
        <v>0</v>
      </c>
      <c r="L72" s="2">
        <f>IF(AND(VLOOKUP(L$1,test!$A$3:$F$32,5,FALSE) - VLOOKUP($B72,test!$A$3:$G$32,6,FALSE) &gt;= (test!$B$35+VLOOKUP(VLOOKUP($B72,test!$A$2:$I$32,4,FALSE),test!$J$10:$P$14,5,FALSE))/1440),1,0)</f>
        <v>0</v>
      </c>
      <c r="M72" s="2">
        <f>IF(AND(VLOOKUP(M$1,test!$A$3:$F$32,5,FALSE) - VLOOKUP($B72,test!$A$3:$G$32,6,FALSE) &gt;= (test!$B$35+VLOOKUP(VLOOKUP($B72,test!$A$2:$I$32,4,FALSE),test!$J$10:$P$14,5,FALSE))/1440),1,0)</f>
        <v>0</v>
      </c>
      <c r="N72" s="2">
        <f>IF(AND(VLOOKUP(N$1,test!$A$3:$F$32,5,FALSE) - VLOOKUP($B72,test!$A$3:$G$32,6,FALSE) &gt;= (test!$B$35+VLOOKUP(VLOOKUP($B72,test!$A$2:$I$32,4,FALSE),test!$J$10:$P$14,5,FALSE))/1440),1,0)</f>
        <v>0</v>
      </c>
      <c r="O72" s="2">
        <f>IF(AND(VLOOKUP(O$1,test!$A$3:$F$32,5,FALSE) - VLOOKUP($B72,test!$A$3:$G$32,6,FALSE) &gt;= (test!$B$35+VLOOKUP(VLOOKUP($B72,test!$A$2:$I$32,4,FALSE),test!$J$10:$P$14,5,FALSE))/1440),1,0)</f>
        <v>0</v>
      </c>
      <c r="P72" s="2">
        <f>IF(AND(VLOOKUP(P$1,test!$A$3:$F$32,5,FALSE) - VLOOKUP($B72,test!$A$3:$G$32,6,FALSE) &gt;= (test!$B$35+VLOOKUP(VLOOKUP($B72,test!$A$2:$I$32,4,FALSE),test!$J$10:$P$14,5,FALSE))/1440),1,0)</f>
        <v>0</v>
      </c>
      <c r="Q72" s="2">
        <f>IF(AND(VLOOKUP(Q$1,test!$A$3:$F$32,5,FALSE) - VLOOKUP($B72,test!$A$3:$G$32,6,FALSE) &gt;= (test!$B$35+VLOOKUP(VLOOKUP($B72,test!$A$2:$I$32,4,FALSE),test!$J$10:$P$14,5,FALSE))/1440),1,0)</f>
        <v>0</v>
      </c>
      <c r="R72" s="2">
        <f>IF(AND(VLOOKUP(R$1,test!$A$3:$F$32,5,FALSE) - VLOOKUP($B72,test!$A$3:$G$32,6,FALSE) &gt;= (test!$B$35+VLOOKUP(VLOOKUP($B72,test!$A$2:$I$32,4,FALSE),test!$J$10:$P$14,5,FALSE))/1440),1,0)</f>
        <v>0</v>
      </c>
      <c r="S72" s="2">
        <f>IF(AND(VLOOKUP(S$1,test!$A$3:$F$32,5,FALSE) - VLOOKUP($B72,test!$A$3:$G$32,6,FALSE) &gt;= (test!$B$35+VLOOKUP(VLOOKUP($B72,test!$A$2:$I$32,4,FALSE),test!$J$10:$P$14,5,FALSE))/1440),1,0)</f>
        <v>0</v>
      </c>
      <c r="T72" s="2">
        <f>IF(AND(VLOOKUP(T$1,test!$A$3:$F$32,5,FALSE) - VLOOKUP($B72,test!$A$3:$G$32,6,FALSE) &gt;= (test!$B$35+VLOOKUP(VLOOKUP($B72,test!$A$2:$I$32,4,FALSE),test!$J$10:$P$14,5,FALSE))/1440),1,0)</f>
        <v>0</v>
      </c>
      <c r="U72" s="2">
        <f>IF(AND(VLOOKUP(U$1,test!$A$3:$F$32,5,FALSE) - VLOOKUP($B72,test!$A$3:$G$32,6,FALSE) &gt;= (test!$B$35+VLOOKUP(VLOOKUP($B72,test!$A$2:$I$32,4,FALSE),test!$J$10:$P$14,5,FALSE))/1440),1,0)</f>
        <v>0</v>
      </c>
      <c r="V72" s="2">
        <f>IF(AND(VLOOKUP(V$1,test!$A$3:$F$32,5,FALSE) - VLOOKUP($B72,test!$A$3:$G$32,6,FALSE) &gt;= (test!$B$35+VLOOKUP(VLOOKUP($B72,test!$A$2:$I$32,4,FALSE),test!$J$10:$P$14,5,FALSE))/1440),1,0)</f>
        <v>0</v>
      </c>
      <c r="W72" s="2">
        <f>IF(AND(VLOOKUP(W$1,test!$A$3:$F$32,5,FALSE) - VLOOKUP($B72,test!$A$3:$G$32,6,FALSE) &gt;= (test!$B$35+VLOOKUP(VLOOKUP($B72,test!$A$2:$I$32,4,FALSE),test!$J$10:$P$14,5,FALSE))/1440),1,0)</f>
        <v>0</v>
      </c>
      <c r="X72" s="2">
        <f>IF(AND(VLOOKUP(X$1,test!$A$3:$F$32,5,FALSE) - VLOOKUP($B72,test!$A$3:$G$32,6,FALSE) &gt;= (test!$B$35+VLOOKUP(VLOOKUP($B72,test!$A$2:$I$32,4,FALSE),test!$J$10:$P$14,5,FALSE))/1440),1,0)</f>
        <v>0</v>
      </c>
      <c r="Y72" s="2">
        <f>IF(AND(VLOOKUP(Y$1,test!$A$3:$F$32,5,FALSE) - VLOOKUP($B72,test!$A$3:$G$32,6,FALSE) &gt;= (test!$B$35+VLOOKUP(VLOOKUP($B72,test!$A$2:$I$32,4,FALSE),test!$J$10:$P$14,5,FALSE))/1440),1,0)</f>
        <v>0</v>
      </c>
      <c r="Z72" s="2">
        <f>IF(AND(VLOOKUP(Z$1,test!$A$3:$F$32,5,FALSE) - VLOOKUP($B72,test!$A$3:$G$32,6,FALSE) &gt;= (test!$B$35+VLOOKUP(VLOOKUP($B72,test!$A$2:$I$32,4,FALSE),test!$J$10:$P$14,5,FALSE))/1440),1,0)</f>
        <v>0</v>
      </c>
      <c r="AA72" s="2">
        <f>IF(AND(VLOOKUP(AA$1,test!$A$3:$F$32,5,FALSE) - VLOOKUP($B72,test!$A$3:$G$32,6,FALSE) &gt;= (test!$B$35+VLOOKUP(VLOOKUP($B72,test!$A$2:$I$32,4,FALSE),test!$J$10:$P$14,5,FALSE))/1440),1,0)</f>
        <v>0</v>
      </c>
      <c r="AB72" s="2">
        <f>IF(AND(VLOOKUP(AB$1,test!$A$3:$F$32,5,FALSE) - VLOOKUP($B72,test!$A$3:$G$32,6,FALSE) &gt;= (test!$B$35+VLOOKUP(VLOOKUP($B72,test!$A$2:$I$32,4,FALSE),test!$J$10:$P$14,5,FALSE))/1440),1,0)</f>
        <v>0</v>
      </c>
      <c r="AC72" s="2">
        <f>IF(AND(VLOOKUP(AC$1,test!$A$3:$F$32,5,FALSE) - VLOOKUP($B72,test!$A$3:$G$32,6,FALSE) &gt;= (test!$B$35+VLOOKUP(VLOOKUP($B72,test!$A$2:$I$32,4,FALSE),test!$J$10:$P$14,5,FALSE))/1440),1,0)</f>
        <v>0</v>
      </c>
      <c r="AD72" s="2">
        <f>IF(AND(VLOOKUP(AD$1,test!$A$3:$F$32,5,FALSE) - VLOOKUP($B72,test!$A$3:$G$32,6,FALSE) &gt;= (test!$B$35+VLOOKUP(VLOOKUP($B72,test!$A$2:$I$32,4,FALSE),test!$J$10:$P$14,5,FALSE))/1440),1,0)</f>
        <v>0</v>
      </c>
      <c r="AE72" s="2">
        <f>IF(AND(VLOOKUP(AE$1,test!$A$3:$F$32,5,FALSE) - VLOOKUP($B72,test!$A$3:$G$32,6,FALSE) &gt;= (test!$B$35+VLOOKUP(VLOOKUP($B72,test!$A$2:$I$32,4,FALSE),test!$J$10:$P$14,5,FALSE))/1440),1,0)</f>
        <v>0</v>
      </c>
      <c r="AF72" s="2">
        <f>IF(AND(VLOOKUP(AF$1,test!$A$3:$F$32,5,FALSE) - VLOOKUP($B72,test!$A$3:$G$32,6,FALSE) &gt;= (test!$B$35+VLOOKUP(VLOOKUP($B72,test!$A$2:$I$32,4,FALSE),test!$J$10:$P$14,5,FALSE))/1440),1,0)</f>
        <v>0</v>
      </c>
      <c r="AG72" s="2">
        <f>IF(AND(VLOOKUP(AG$1,test!$A$3:$F$32,5,FALSE) - VLOOKUP($B72,test!$A$3:$G$32,6,FALSE) &gt;= (test!$B$35+VLOOKUP(VLOOKUP($B72,test!$A$2:$I$32,4,FALSE),test!$J$10:$P$14,5,FALSE))/1440),1,0)</f>
        <v>0</v>
      </c>
    </row>
    <row r="73" spans="1:33" x14ac:dyDescent="0.25">
      <c r="A73" t="s">
        <v>97</v>
      </c>
      <c r="B73" t="s">
        <v>18</v>
      </c>
      <c r="C73">
        <v>0</v>
      </c>
      <c r="D73" s="2">
        <f>IF(AND(VLOOKUP(D$1,test!$A$3:$F$32,5,FALSE) - VLOOKUP($B73,test!$A$3:$G$32,6,FALSE) &gt;= (test!$B$35+VLOOKUP(VLOOKUP($B73,test!$A$2:$I$32,4,FALSE),test!$J$10:$P$14,5,FALSE))/1440),1,0)</f>
        <v>0</v>
      </c>
      <c r="E73" s="2">
        <f>IF(AND(VLOOKUP(E$1,test!$A$3:$F$32,5,FALSE) - VLOOKUP($B73,test!$A$3:$G$32,6,FALSE) &gt;= (test!$B$35+VLOOKUP(VLOOKUP($B73,test!$A$2:$I$32,4,FALSE),test!$J$10:$P$14,5,FALSE))/1440),1,0)</f>
        <v>0</v>
      </c>
      <c r="F73" s="2">
        <f>IF(AND(VLOOKUP(F$1,test!$A$3:$F$32,5,FALSE) - VLOOKUP($B73,test!$A$3:$G$32,6,FALSE) &gt;= (test!$B$35+VLOOKUP(VLOOKUP($B73,test!$A$2:$I$32,4,FALSE),test!$J$10:$P$14,5,FALSE))/1440),1,0)</f>
        <v>0</v>
      </c>
      <c r="G73" s="2">
        <f>IF(AND(VLOOKUP(G$1,test!$A$3:$F$32,5,FALSE) - VLOOKUP($B73,test!$A$3:$G$32,6,FALSE) &gt;= (test!$B$35+VLOOKUP(VLOOKUP($B73,test!$A$2:$I$32,4,FALSE),test!$J$10:$P$14,5,FALSE))/1440),1,0)</f>
        <v>1</v>
      </c>
      <c r="H73" s="2">
        <f>IF(AND(VLOOKUP(H$1,test!$A$3:$F$32,5,FALSE) - VLOOKUP($B73,test!$A$3:$G$32,6,FALSE) &gt;= (test!$B$35+VLOOKUP(VLOOKUP($B73,test!$A$2:$I$32,4,FALSE),test!$J$10:$P$14,5,FALSE))/1440),1,0)</f>
        <v>1</v>
      </c>
      <c r="I73" s="2">
        <f>IF(AND(VLOOKUP(I$1,test!$A$3:$F$32,5,FALSE) - VLOOKUP($B73,test!$A$3:$G$32,6,FALSE) &gt;= (test!$B$35+VLOOKUP(VLOOKUP($B73,test!$A$2:$I$32,4,FALSE),test!$J$10:$P$14,5,FALSE))/1440),1,0)</f>
        <v>1</v>
      </c>
      <c r="J73" s="2">
        <f>IF(AND(VLOOKUP(J$1,test!$A$3:$F$32,5,FALSE) - VLOOKUP($B73,test!$A$3:$G$32,6,FALSE) &gt;= (test!$B$35+VLOOKUP(VLOOKUP($B73,test!$A$2:$I$32,4,FALSE),test!$J$10:$P$14,5,FALSE))/1440),1,0)</f>
        <v>1</v>
      </c>
      <c r="K73" s="2">
        <f>IF(AND(VLOOKUP(K$1,test!$A$3:$F$32,5,FALSE) - VLOOKUP($B73,test!$A$3:$G$32,6,FALSE) &gt;= (test!$B$35+VLOOKUP(VLOOKUP($B73,test!$A$2:$I$32,4,FALSE),test!$J$10:$P$14,5,FALSE))/1440),1,0)</f>
        <v>1</v>
      </c>
      <c r="L73" s="2">
        <f>IF(AND(VLOOKUP(L$1,test!$A$3:$F$32,5,FALSE) - VLOOKUP($B73,test!$A$3:$G$32,6,FALSE) &gt;= (test!$B$35+VLOOKUP(VLOOKUP($B73,test!$A$2:$I$32,4,FALSE),test!$J$10:$P$14,5,FALSE))/1440),1,0)</f>
        <v>0</v>
      </c>
      <c r="M73" s="2">
        <f>IF(AND(VLOOKUP(M$1,test!$A$3:$F$32,5,FALSE) - VLOOKUP($B73,test!$A$3:$G$32,6,FALSE) &gt;= (test!$B$35+VLOOKUP(VLOOKUP($B73,test!$A$2:$I$32,4,FALSE),test!$J$10:$P$14,5,FALSE))/1440),1,0)</f>
        <v>0</v>
      </c>
      <c r="N73" s="2">
        <f>IF(AND(VLOOKUP(N$1,test!$A$3:$F$32,5,FALSE) - VLOOKUP($B73,test!$A$3:$G$32,6,FALSE) &gt;= (test!$B$35+VLOOKUP(VLOOKUP($B73,test!$A$2:$I$32,4,FALSE),test!$J$10:$P$14,5,FALSE))/1440),1,0)</f>
        <v>0</v>
      </c>
      <c r="O73" s="2">
        <f>IF(AND(VLOOKUP(O$1,test!$A$3:$F$32,5,FALSE) - VLOOKUP($B73,test!$A$3:$G$32,6,FALSE) &gt;= (test!$B$35+VLOOKUP(VLOOKUP($B73,test!$A$2:$I$32,4,FALSE),test!$J$10:$P$14,5,FALSE))/1440),1,0)</f>
        <v>1</v>
      </c>
      <c r="P73" s="2">
        <f>IF(AND(VLOOKUP(P$1,test!$A$3:$F$32,5,FALSE) - VLOOKUP($B73,test!$A$3:$G$32,6,FALSE) &gt;= (test!$B$35+VLOOKUP(VLOOKUP($B73,test!$A$2:$I$32,4,FALSE),test!$J$10:$P$14,5,FALSE))/1440),1,0)</f>
        <v>1</v>
      </c>
      <c r="Q73" s="2">
        <f>IF(AND(VLOOKUP(Q$1,test!$A$3:$F$32,5,FALSE) - VLOOKUP($B73,test!$A$3:$G$32,6,FALSE) &gt;= (test!$B$35+VLOOKUP(VLOOKUP($B73,test!$A$2:$I$32,4,FALSE),test!$J$10:$P$14,5,FALSE))/1440),1,0)</f>
        <v>0</v>
      </c>
      <c r="R73" s="2">
        <f>IF(AND(VLOOKUP(R$1,test!$A$3:$F$32,5,FALSE) - VLOOKUP($B73,test!$A$3:$G$32,6,FALSE) &gt;= (test!$B$35+VLOOKUP(VLOOKUP($B73,test!$A$2:$I$32,4,FALSE),test!$J$10:$P$14,5,FALSE))/1440),1,0)</f>
        <v>0</v>
      </c>
      <c r="S73" s="2">
        <f>IF(AND(VLOOKUP(S$1,test!$A$3:$F$32,5,FALSE) - VLOOKUP($B73,test!$A$3:$G$32,6,FALSE) &gt;= (test!$B$35+VLOOKUP(VLOOKUP($B73,test!$A$2:$I$32,4,FALSE),test!$J$10:$P$14,5,FALSE))/1440),1,0)</f>
        <v>0</v>
      </c>
      <c r="T73" s="2">
        <f>IF(AND(VLOOKUP(T$1,test!$A$3:$F$32,5,FALSE) - VLOOKUP($B73,test!$A$3:$G$32,6,FALSE) &gt;= (test!$B$35+VLOOKUP(VLOOKUP($B73,test!$A$2:$I$32,4,FALSE),test!$J$10:$P$14,5,FALSE))/1440),1,0)</f>
        <v>0</v>
      </c>
      <c r="U73" s="2">
        <f>IF(AND(VLOOKUP(U$1,test!$A$3:$F$32,5,FALSE) - VLOOKUP($B73,test!$A$3:$G$32,6,FALSE) &gt;= (test!$B$35+VLOOKUP(VLOOKUP($B73,test!$A$2:$I$32,4,FALSE),test!$J$10:$P$14,5,FALSE))/1440),1,0)</f>
        <v>0</v>
      </c>
      <c r="V73" s="2">
        <f>IF(AND(VLOOKUP(V$1,test!$A$3:$F$32,5,FALSE) - VLOOKUP($B73,test!$A$3:$G$32,6,FALSE) &gt;= (test!$B$35+VLOOKUP(VLOOKUP($B73,test!$A$2:$I$32,4,FALSE),test!$J$10:$P$14,5,FALSE))/1440),1,0)</f>
        <v>1</v>
      </c>
      <c r="W73" s="2">
        <f>IF(AND(VLOOKUP(W$1,test!$A$3:$F$32,5,FALSE) - VLOOKUP($B73,test!$A$3:$G$32,6,FALSE) &gt;= (test!$B$35+VLOOKUP(VLOOKUP($B73,test!$A$2:$I$32,4,FALSE),test!$J$10:$P$14,5,FALSE))/1440),1,0)</f>
        <v>1</v>
      </c>
      <c r="X73" s="2">
        <f>IF(AND(VLOOKUP(X$1,test!$A$3:$F$32,5,FALSE) - VLOOKUP($B73,test!$A$3:$G$32,6,FALSE) &gt;= (test!$B$35+VLOOKUP(VLOOKUP($B73,test!$A$2:$I$32,4,FALSE),test!$J$10:$P$14,5,FALSE))/1440),1,0)</f>
        <v>1</v>
      </c>
      <c r="Y73" s="2">
        <f>IF(AND(VLOOKUP(Y$1,test!$A$3:$F$32,5,FALSE) - VLOOKUP($B73,test!$A$3:$G$32,6,FALSE) &gt;= (test!$B$35+VLOOKUP(VLOOKUP($B73,test!$A$2:$I$32,4,FALSE),test!$J$10:$P$14,5,FALSE))/1440),1,0)</f>
        <v>1</v>
      </c>
      <c r="Z73" s="2">
        <f>IF(AND(VLOOKUP(Z$1,test!$A$3:$F$32,5,FALSE) - VLOOKUP($B73,test!$A$3:$G$32,6,FALSE) &gt;= (test!$B$35+VLOOKUP(VLOOKUP($B73,test!$A$2:$I$32,4,FALSE),test!$J$10:$P$14,5,FALSE))/1440),1,0)</f>
        <v>0</v>
      </c>
      <c r="AA73" s="2">
        <f>IF(AND(VLOOKUP(AA$1,test!$A$3:$F$32,5,FALSE) - VLOOKUP($B73,test!$A$3:$G$32,6,FALSE) &gt;= (test!$B$35+VLOOKUP(VLOOKUP($B73,test!$A$2:$I$32,4,FALSE),test!$J$10:$P$14,5,FALSE))/1440),1,0)</f>
        <v>0</v>
      </c>
      <c r="AB73" s="2">
        <f>IF(AND(VLOOKUP(AB$1,test!$A$3:$F$32,5,FALSE) - VLOOKUP($B73,test!$A$3:$G$32,6,FALSE) &gt;= (test!$B$35+VLOOKUP(VLOOKUP($B73,test!$A$2:$I$32,4,FALSE),test!$J$10:$P$14,5,FALSE))/1440),1,0)</f>
        <v>0</v>
      </c>
      <c r="AC73" s="2">
        <f>IF(AND(VLOOKUP(AC$1,test!$A$3:$F$32,5,FALSE) - VLOOKUP($B73,test!$A$3:$G$32,6,FALSE) &gt;= (test!$B$35+VLOOKUP(VLOOKUP($B73,test!$A$2:$I$32,4,FALSE),test!$J$10:$P$14,5,FALSE))/1440),1,0)</f>
        <v>1</v>
      </c>
      <c r="AD73" s="2">
        <f>IF(AND(VLOOKUP(AD$1,test!$A$3:$F$32,5,FALSE) - VLOOKUP($B73,test!$A$3:$G$32,6,FALSE) &gt;= (test!$B$35+VLOOKUP(VLOOKUP($B73,test!$A$2:$I$32,4,FALSE),test!$J$10:$P$14,5,FALSE))/1440),1,0)</f>
        <v>1</v>
      </c>
      <c r="AE73" s="2">
        <f>IF(AND(VLOOKUP(AE$1,test!$A$3:$F$32,5,FALSE) - VLOOKUP($B73,test!$A$3:$G$32,6,FALSE) &gt;= (test!$B$35+VLOOKUP(VLOOKUP($B73,test!$A$2:$I$32,4,FALSE),test!$J$10:$P$14,5,FALSE))/1440),1,0)</f>
        <v>0</v>
      </c>
      <c r="AF73" s="2">
        <f>IF(AND(VLOOKUP(AF$1,test!$A$3:$F$32,5,FALSE) - VLOOKUP($B73,test!$A$3:$G$32,6,FALSE) &gt;= (test!$B$35+VLOOKUP(VLOOKUP($B73,test!$A$2:$I$32,4,FALSE),test!$J$10:$P$14,5,FALSE))/1440),1,0)</f>
        <v>0</v>
      </c>
      <c r="AG73" s="2">
        <f>IF(AND(VLOOKUP(AG$1,test!$A$3:$F$32,5,FALSE) - VLOOKUP($B73,test!$A$3:$G$32,6,FALSE) &gt;= (test!$B$35+VLOOKUP(VLOOKUP($B73,test!$A$2:$I$32,4,FALSE),test!$J$10:$P$14,5,FALSE))/1440),1,0)</f>
        <v>0</v>
      </c>
    </row>
    <row r="74" spans="1:33" x14ac:dyDescent="0.25">
      <c r="A74" t="s">
        <v>97</v>
      </c>
      <c r="B74" t="s">
        <v>20</v>
      </c>
      <c r="C74">
        <v>0</v>
      </c>
      <c r="D74" s="2">
        <f>IF(AND(VLOOKUP(D$1,test!$A$3:$F$32,5,FALSE) - VLOOKUP($B74,test!$A$3:$G$32,6,FALSE) &gt;= (test!$B$35+VLOOKUP(VLOOKUP($B74,test!$A$2:$I$32,4,FALSE),test!$J$10:$P$14,5,FALSE))/1440),1,0)</f>
        <v>0</v>
      </c>
      <c r="E74" s="2">
        <f>IF(AND(VLOOKUP(E$1,test!$A$3:$F$32,5,FALSE) - VLOOKUP($B74,test!$A$3:$G$32,6,FALSE) &gt;= (test!$B$35+VLOOKUP(VLOOKUP($B74,test!$A$2:$I$32,4,FALSE),test!$J$10:$P$14,5,FALSE))/1440),1,0)</f>
        <v>0</v>
      </c>
      <c r="F74" s="2">
        <f>IF(AND(VLOOKUP(F$1,test!$A$3:$F$32,5,FALSE) - VLOOKUP($B74,test!$A$3:$G$32,6,FALSE) &gt;= (test!$B$35+VLOOKUP(VLOOKUP($B74,test!$A$2:$I$32,4,FALSE),test!$J$10:$P$14,5,FALSE))/1440),1,0)</f>
        <v>0</v>
      </c>
      <c r="G74" s="2">
        <f>IF(AND(VLOOKUP(G$1,test!$A$3:$F$32,5,FALSE) - VLOOKUP($B74,test!$A$3:$G$32,6,FALSE) &gt;= (test!$B$35+VLOOKUP(VLOOKUP($B74,test!$A$2:$I$32,4,FALSE),test!$J$10:$P$14,5,FALSE))/1440),1,0)</f>
        <v>0</v>
      </c>
      <c r="H74" s="2">
        <f>IF(AND(VLOOKUP(H$1,test!$A$3:$F$32,5,FALSE) - VLOOKUP($B74,test!$A$3:$G$32,6,FALSE) &gt;= (test!$B$35+VLOOKUP(VLOOKUP($B74,test!$A$2:$I$32,4,FALSE),test!$J$10:$P$14,5,FALSE))/1440),1,0)</f>
        <v>0</v>
      </c>
      <c r="I74" s="2">
        <f>IF(AND(VLOOKUP(I$1,test!$A$3:$F$32,5,FALSE) - VLOOKUP($B74,test!$A$3:$G$32,6,FALSE) &gt;= (test!$B$35+VLOOKUP(VLOOKUP($B74,test!$A$2:$I$32,4,FALSE),test!$J$10:$P$14,5,FALSE))/1440),1,0)</f>
        <v>1</v>
      </c>
      <c r="J74" s="2">
        <f>IF(AND(VLOOKUP(J$1,test!$A$3:$F$32,5,FALSE) - VLOOKUP($B74,test!$A$3:$G$32,6,FALSE) &gt;= (test!$B$35+VLOOKUP(VLOOKUP($B74,test!$A$2:$I$32,4,FALSE),test!$J$10:$P$14,5,FALSE))/1440),1,0)</f>
        <v>1</v>
      </c>
      <c r="K74" s="2">
        <f>IF(AND(VLOOKUP(K$1,test!$A$3:$F$32,5,FALSE) - VLOOKUP($B74,test!$A$3:$G$32,6,FALSE) &gt;= (test!$B$35+VLOOKUP(VLOOKUP($B74,test!$A$2:$I$32,4,FALSE),test!$J$10:$P$14,5,FALSE))/1440),1,0)</f>
        <v>1</v>
      </c>
      <c r="L74" s="2">
        <f>IF(AND(VLOOKUP(L$1,test!$A$3:$F$32,5,FALSE) - VLOOKUP($B74,test!$A$3:$G$32,6,FALSE) &gt;= (test!$B$35+VLOOKUP(VLOOKUP($B74,test!$A$2:$I$32,4,FALSE),test!$J$10:$P$14,5,FALSE))/1440),1,0)</f>
        <v>0</v>
      </c>
      <c r="M74" s="2">
        <f>IF(AND(VLOOKUP(M$1,test!$A$3:$F$32,5,FALSE) - VLOOKUP($B74,test!$A$3:$G$32,6,FALSE) &gt;= (test!$B$35+VLOOKUP(VLOOKUP($B74,test!$A$2:$I$32,4,FALSE),test!$J$10:$P$14,5,FALSE))/1440),1,0)</f>
        <v>0</v>
      </c>
      <c r="N74" s="2">
        <f>IF(AND(VLOOKUP(N$1,test!$A$3:$F$32,5,FALSE) - VLOOKUP($B74,test!$A$3:$G$32,6,FALSE) &gt;= (test!$B$35+VLOOKUP(VLOOKUP($B74,test!$A$2:$I$32,4,FALSE),test!$J$10:$P$14,5,FALSE))/1440),1,0)</f>
        <v>0</v>
      </c>
      <c r="O74" s="2">
        <f>IF(AND(VLOOKUP(O$1,test!$A$3:$F$32,5,FALSE) - VLOOKUP($B74,test!$A$3:$G$32,6,FALSE) &gt;= (test!$B$35+VLOOKUP(VLOOKUP($B74,test!$A$2:$I$32,4,FALSE),test!$J$10:$P$14,5,FALSE))/1440),1,0)</f>
        <v>1</v>
      </c>
      <c r="P74" s="2">
        <f>IF(AND(VLOOKUP(P$1,test!$A$3:$F$32,5,FALSE) - VLOOKUP($B74,test!$A$3:$G$32,6,FALSE) &gt;= (test!$B$35+VLOOKUP(VLOOKUP($B74,test!$A$2:$I$32,4,FALSE),test!$J$10:$P$14,5,FALSE))/1440),1,0)</f>
        <v>1</v>
      </c>
      <c r="Q74" s="2">
        <f>IF(AND(VLOOKUP(Q$1,test!$A$3:$F$32,5,FALSE) - VLOOKUP($B74,test!$A$3:$G$32,6,FALSE) &gt;= (test!$B$35+VLOOKUP(VLOOKUP($B74,test!$A$2:$I$32,4,FALSE),test!$J$10:$P$14,5,FALSE))/1440),1,0)</f>
        <v>0</v>
      </c>
      <c r="R74" s="2">
        <f>IF(AND(VLOOKUP(R$1,test!$A$3:$F$32,5,FALSE) - VLOOKUP($B74,test!$A$3:$G$32,6,FALSE) &gt;= (test!$B$35+VLOOKUP(VLOOKUP($B74,test!$A$2:$I$32,4,FALSE),test!$J$10:$P$14,5,FALSE))/1440),1,0)</f>
        <v>0</v>
      </c>
      <c r="S74" s="2">
        <f>IF(AND(VLOOKUP(S$1,test!$A$3:$F$32,5,FALSE) - VLOOKUP($B74,test!$A$3:$G$32,6,FALSE) &gt;= (test!$B$35+VLOOKUP(VLOOKUP($B74,test!$A$2:$I$32,4,FALSE),test!$J$10:$P$14,5,FALSE))/1440),1,0)</f>
        <v>0</v>
      </c>
      <c r="T74" s="2">
        <f>IF(AND(VLOOKUP(T$1,test!$A$3:$F$32,5,FALSE) - VLOOKUP($B74,test!$A$3:$G$32,6,FALSE) &gt;= (test!$B$35+VLOOKUP(VLOOKUP($B74,test!$A$2:$I$32,4,FALSE),test!$J$10:$P$14,5,FALSE))/1440),1,0)</f>
        <v>0</v>
      </c>
      <c r="U74" s="2">
        <f>IF(AND(VLOOKUP(U$1,test!$A$3:$F$32,5,FALSE) - VLOOKUP($B74,test!$A$3:$G$32,6,FALSE) &gt;= (test!$B$35+VLOOKUP(VLOOKUP($B74,test!$A$2:$I$32,4,FALSE),test!$J$10:$P$14,5,FALSE))/1440),1,0)</f>
        <v>0</v>
      </c>
      <c r="V74" s="2">
        <f>IF(AND(VLOOKUP(V$1,test!$A$3:$F$32,5,FALSE) - VLOOKUP($B74,test!$A$3:$G$32,6,FALSE) &gt;= (test!$B$35+VLOOKUP(VLOOKUP($B74,test!$A$2:$I$32,4,FALSE),test!$J$10:$P$14,5,FALSE))/1440),1,0)</f>
        <v>0</v>
      </c>
      <c r="W74" s="2">
        <f>IF(AND(VLOOKUP(W$1,test!$A$3:$F$32,5,FALSE) - VLOOKUP($B74,test!$A$3:$G$32,6,FALSE) &gt;= (test!$B$35+VLOOKUP(VLOOKUP($B74,test!$A$2:$I$32,4,FALSE),test!$J$10:$P$14,5,FALSE))/1440),1,0)</f>
        <v>0</v>
      </c>
      <c r="X74" s="2">
        <f>IF(AND(VLOOKUP(X$1,test!$A$3:$F$32,5,FALSE) - VLOOKUP($B74,test!$A$3:$G$32,6,FALSE) &gt;= (test!$B$35+VLOOKUP(VLOOKUP($B74,test!$A$2:$I$32,4,FALSE),test!$J$10:$P$14,5,FALSE))/1440),1,0)</f>
        <v>1</v>
      </c>
      <c r="Y74" s="2">
        <f>IF(AND(VLOOKUP(Y$1,test!$A$3:$F$32,5,FALSE) - VLOOKUP($B74,test!$A$3:$G$32,6,FALSE) &gt;= (test!$B$35+VLOOKUP(VLOOKUP($B74,test!$A$2:$I$32,4,FALSE),test!$J$10:$P$14,5,FALSE))/1440),1,0)</f>
        <v>1</v>
      </c>
      <c r="Z74" s="2">
        <f>IF(AND(VLOOKUP(Z$1,test!$A$3:$F$32,5,FALSE) - VLOOKUP($B74,test!$A$3:$G$32,6,FALSE) &gt;= (test!$B$35+VLOOKUP(VLOOKUP($B74,test!$A$2:$I$32,4,FALSE),test!$J$10:$P$14,5,FALSE))/1440),1,0)</f>
        <v>0</v>
      </c>
      <c r="AA74" s="2">
        <f>IF(AND(VLOOKUP(AA$1,test!$A$3:$F$32,5,FALSE) - VLOOKUP($B74,test!$A$3:$G$32,6,FALSE) &gt;= (test!$B$35+VLOOKUP(VLOOKUP($B74,test!$A$2:$I$32,4,FALSE),test!$J$10:$P$14,5,FALSE))/1440),1,0)</f>
        <v>0</v>
      </c>
      <c r="AB74" s="2">
        <f>IF(AND(VLOOKUP(AB$1,test!$A$3:$F$32,5,FALSE) - VLOOKUP($B74,test!$A$3:$G$32,6,FALSE) &gt;= (test!$B$35+VLOOKUP(VLOOKUP($B74,test!$A$2:$I$32,4,FALSE),test!$J$10:$P$14,5,FALSE))/1440),1,0)</f>
        <v>0</v>
      </c>
      <c r="AC74" s="2">
        <f>IF(AND(VLOOKUP(AC$1,test!$A$3:$F$32,5,FALSE) - VLOOKUP($B74,test!$A$3:$G$32,6,FALSE) &gt;= (test!$B$35+VLOOKUP(VLOOKUP($B74,test!$A$2:$I$32,4,FALSE),test!$J$10:$P$14,5,FALSE))/1440),1,0)</f>
        <v>0</v>
      </c>
      <c r="AD74" s="2">
        <f>IF(AND(VLOOKUP(AD$1,test!$A$3:$F$32,5,FALSE) - VLOOKUP($B74,test!$A$3:$G$32,6,FALSE) &gt;= (test!$B$35+VLOOKUP(VLOOKUP($B74,test!$A$2:$I$32,4,FALSE),test!$J$10:$P$14,5,FALSE))/1440),1,0)</f>
        <v>1</v>
      </c>
      <c r="AE74" s="2">
        <f>IF(AND(VLOOKUP(AE$1,test!$A$3:$F$32,5,FALSE) - VLOOKUP($B74,test!$A$3:$G$32,6,FALSE) &gt;= (test!$B$35+VLOOKUP(VLOOKUP($B74,test!$A$2:$I$32,4,FALSE),test!$J$10:$P$14,5,FALSE))/1440),1,0)</f>
        <v>0</v>
      </c>
      <c r="AF74" s="2">
        <f>IF(AND(VLOOKUP(AF$1,test!$A$3:$F$32,5,FALSE) - VLOOKUP($B74,test!$A$3:$G$32,6,FALSE) &gt;= (test!$B$35+VLOOKUP(VLOOKUP($B74,test!$A$2:$I$32,4,FALSE),test!$J$10:$P$14,5,FALSE))/1440),1,0)</f>
        <v>0</v>
      </c>
      <c r="AG74" s="2">
        <f>IF(AND(VLOOKUP(AG$1,test!$A$3:$F$32,5,FALSE) - VLOOKUP($B74,test!$A$3:$G$32,6,FALSE) &gt;= (test!$B$35+VLOOKUP(VLOOKUP($B74,test!$A$2:$I$32,4,FALSE),test!$J$10:$P$14,5,FALSE))/1440),1,0)</f>
        <v>0</v>
      </c>
    </row>
    <row r="75" spans="1:33" x14ac:dyDescent="0.25">
      <c r="A75" t="s">
        <v>97</v>
      </c>
      <c r="B75" t="s">
        <v>21</v>
      </c>
      <c r="C75">
        <v>0</v>
      </c>
      <c r="D75" s="2">
        <f>IF(AND(VLOOKUP(D$1,test!$A$3:$F$32,5,FALSE) - VLOOKUP($B75,test!$A$3:$G$32,6,FALSE) &gt;= (test!$B$35+VLOOKUP(VLOOKUP($B75,test!$A$2:$I$32,4,FALSE),test!$J$10:$P$14,5,FALSE))/1440),1,0)</f>
        <v>0</v>
      </c>
      <c r="E75" s="2">
        <f>IF(AND(VLOOKUP(E$1,test!$A$3:$F$32,5,FALSE) - VLOOKUP($B75,test!$A$3:$G$32,6,FALSE) &gt;= (test!$B$35+VLOOKUP(VLOOKUP($B75,test!$A$2:$I$32,4,FALSE),test!$J$10:$P$14,5,FALSE))/1440),1,0)</f>
        <v>0</v>
      </c>
      <c r="F75" s="2">
        <f>IF(AND(VLOOKUP(F$1,test!$A$3:$F$32,5,FALSE) - VLOOKUP($B75,test!$A$3:$G$32,6,FALSE) &gt;= (test!$B$35+VLOOKUP(VLOOKUP($B75,test!$A$2:$I$32,4,FALSE),test!$J$10:$P$14,5,FALSE))/1440),1,0)</f>
        <v>0</v>
      </c>
      <c r="G75" s="2">
        <f>IF(AND(VLOOKUP(G$1,test!$A$3:$F$32,5,FALSE) - VLOOKUP($B75,test!$A$3:$G$32,6,FALSE) &gt;= (test!$B$35+VLOOKUP(VLOOKUP($B75,test!$A$2:$I$32,4,FALSE),test!$J$10:$P$14,5,FALSE))/1440),1,0)</f>
        <v>0</v>
      </c>
      <c r="H75" s="2">
        <f>IF(AND(VLOOKUP(H$1,test!$A$3:$F$32,5,FALSE) - VLOOKUP($B75,test!$A$3:$G$32,6,FALSE) &gt;= (test!$B$35+VLOOKUP(VLOOKUP($B75,test!$A$2:$I$32,4,FALSE),test!$J$10:$P$14,5,FALSE))/1440),1,0)</f>
        <v>0</v>
      </c>
      <c r="I75" s="2">
        <f>IF(AND(VLOOKUP(I$1,test!$A$3:$F$32,5,FALSE) - VLOOKUP($B75,test!$A$3:$G$32,6,FALSE) &gt;= (test!$B$35+VLOOKUP(VLOOKUP($B75,test!$A$2:$I$32,4,FALSE),test!$J$10:$P$14,5,FALSE))/1440),1,0)</f>
        <v>0</v>
      </c>
      <c r="J75" s="2">
        <f>IF(AND(VLOOKUP(J$1,test!$A$3:$F$32,5,FALSE) - VLOOKUP($B75,test!$A$3:$G$32,6,FALSE) &gt;= (test!$B$35+VLOOKUP(VLOOKUP($B75,test!$A$2:$I$32,4,FALSE),test!$J$10:$P$14,5,FALSE))/1440),1,0)</f>
        <v>0</v>
      </c>
      <c r="K75" s="2">
        <f>IF(AND(VLOOKUP(K$1,test!$A$3:$F$32,5,FALSE) - VLOOKUP($B75,test!$A$3:$G$32,6,FALSE) &gt;= (test!$B$35+VLOOKUP(VLOOKUP($B75,test!$A$2:$I$32,4,FALSE),test!$J$10:$P$14,5,FALSE))/1440),1,0)</f>
        <v>1</v>
      </c>
      <c r="L75" s="2">
        <f>IF(AND(VLOOKUP(L$1,test!$A$3:$F$32,5,FALSE) - VLOOKUP($B75,test!$A$3:$G$32,6,FALSE) &gt;= (test!$B$35+VLOOKUP(VLOOKUP($B75,test!$A$2:$I$32,4,FALSE),test!$J$10:$P$14,5,FALSE))/1440),1,0)</f>
        <v>0</v>
      </c>
      <c r="M75" s="2">
        <f>IF(AND(VLOOKUP(M$1,test!$A$3:$F$32,5,FALSE) - VLOOKUP($B75,test!$A$3:$G$32,6,FALSE) &gt;= (test!$B$35+VLOOKUP(VLOOKUP($B75,test!$A$2:$I$32,4,FALSE),test!$J$10:$P$14,5,FALSE))/1440),1,0)</f>
        <v>0</v>
      </c>
      <c r="N75" s="2">
        <f>IF(AND(VLOOKUP(N$1,test!$A$3:$F$32,5,FALSE) - VLOOKUP($B75,test!$A$3:$G$32,6,FALSE) &gt;= (test!$B$35+VLOOKUP(VLOOKUP($B75,test!$A$2:$I$32,4,FALSE),test!$J$10:$P$14,5,FALSE))/1440),1,0)</f>
        <v>0</v>
      </c>
      <c r="O75" s="2">
        <f>IF(AND(VLOOKUP(O$1,test!$A$3:$F$32,5,FALSE) - VLOOKUP($B75,test!$A$3:$G$32,6,FALSE) &gt;= (test!$B$35+VLOOKUP(VLOOKUP($B75,test!$A$2:$I$32,4,FALSE),test!$J$10:$P$14,5,FALSE))/1440),1,0)</f>
        <v>1</v>
      </c>
      <c r="P75" s="2">
        <f>IF(AND(VLOOKUP(P$1,test!$A$3:$F$32,5,FALSE) - VLOOKUP($B75,test!$A$3:$G$32,6,FALSE) &gt;= (test!$B$35+VLOOKUP(VLOOKUP($B75,test!$A$2:$I$32,4,FALSE),test!$J$10:$P$14,5,FALSE))/1440),1,0)</f>
        <v>1</v>
      </c>
      <c r="Q75" s="2">
        <f>IF(AND(VLOOKUP(Q$1,test!$A$3:$F$32,5,FALSE) - VLOOKUP($B75,test!$A$3:$G$32,6,FALSE) &gt;= (test!$B$35+VLOOKUP(VLOOKUP($B75,test!$A$2:$I$32,4,FALSE),test!$J$10:$P$14,5,FALSE))/1440),1,0)</f>
        <v>0</v>
      </c>
      <c r="R75" s="2">
        <f>IF(AND(VLOOKUP(R$1,test!$A$3:$F$32,5,FALSE) - VLOOKUP($B75,test!$A$3:$G$32,6,FALSE) &gt;= (test!$B$35+VLOOKUP(VLOOKUP($B75,test!$A$2:$I$32,4,FALSE),test!$J$10:$P$14,5,FALSE))/1440),1,0)</f>
        <v>0</v>
      </c>
      <c r="S75" s="2">
        <f>IF(AND(VLOOKUP(S$1,test!$A$3:$F$32,5,FALSE) - VLOOKUP($B75,test!$A$3:$G$32,6,FALSE) &gt;= (test!$B$35+VLOOKUP(VLOOKUP($B75,test!$A$2:$I$32,4,FALSE),test!$J$10:$P$14,5,FALSE))/1440),1,0)</f>
        <v>0</v>
      </c>
      <c r="T75" s="2">
        <f>IF(AND(VLOOKUP(T$1,test!$A$3:$F$32,5,FALSE) - VLOOKUP($B75,test!$A$3:$G$32,6,FALSE) &gt;= (test!$B$35+VLOOKUP(VLOOKUP($B75,test!$A$2:$I$32,4,FALSE),test!$J$10:$P$14,5,FALSE))/1440),1,0)</f>
        <v>0</v>
      </c>
      <c r="U75" s="2">
        <f>IF(AND(VLOOKUP(U$1,test!$A$3:$F$32,5,FALSE) - VLOOKUP($B75,test!$A$3:$G$32,6,FALSE) &gt;= (test!$B$35+VLOOKUP(VLOOKUP($B75,test!$A$2:$I$32,4,FALSE),test!$J$10:$P$14,5,FALSE))/1440),1,0)</f>
        <v>0</v>
      </c>
      <c r="V75" s="2">
        <f>IF(AND(VLOOKUP(V$1,test!$A$3:$F$32,5,FALSE) - VLOOKUP($B75,test!$A$3:$G$32,6,FALSE) &gt;= (test!$B$35+VLOOKUP(VLOOKUP($B75,test!$A$2:$I$32,4,FALSE),test!$J$10:$P$14,5,FALSE))/1440),1,0)</f>
        <v>0</v>
      </c>
      <c r="W75" s="2">
        <f>IF(AND(VLOOKUP(W$1,test!$A$3:$F$32,5,FALSE) - VLOOKUP($B75,test!$A$3:$G$32,6,FALSE) &gt;= (test!$B$35+VLOOKUP(VLOOKUP($B75,test!$A$2:$I$32,4,FALSE),test!$J$10:$P$14,5,FALSE))/1440),1,0)</f>
        <v>0</v>
      </c>
      <c r="X75" s="2">
        <f>IF(AND(VLOOKUP(X$1,test!$A$3:$F$32,5,FALSE) - VLOOKUP($B75,test!$A$3:$G$32,6,FALSE) &gt;= (test!$B$35+VLOOKUP(VLOOKUP($B75,test!$A$2:$I$32,4,FALSE),test!$J$10:$P$14,5,FALSE))/1440),1,0)</f>
        <v>0</v>
      </c>
      <c r="Y75" s="2">
        <f>IF(AND(VLOOKUP(Y$1,test!$A$3:$F$32,5,FALSE) - VLOOKUP($B75,test!$A$3:$G$32,6,FALSE) &gt;= (test!$B$35+VLOOKUP(VLOOKUP($B75,test!$A$2:$I$32,4,FALSE),test!$J$10:$P$14,5,FALSE))/1440),1,0)</f>
        <v>1</v>
      </c>
      <c r="Z75" s="2">
        <f>IF(AND(VLOOKUP(Z$1,test!$A$3:$F$32,5,FALSE) - VLOOKUP($B75,test!$A$3:$G$32,6,FALSE) &gt;= (test!$B$35+VLOOKUP(VLOOKUP($B75,test!$A$2:$I$32,4,FALSE),test!$J$10:$P$14,5,FALSE))/1440),1,0)</f>
        <v>0</v>
      </c>
      <c r="AA75" s="2">
        <f>IF(AND(VLOOKUP(AA$1,test!$A$3:$F$32,5,FALSE) - VLOOKUP($B75,test!$A$3:$G$32,6,FALSE) &gt;= (test!$B$35+VLOOKUP(VLOOKUP($B75,test!$A$2:$I$32,4,FALSE),test!$J$10:$P$14,5,FALSE))/1440),1,0)</f>
        <v>0</v>
      </c>
      <c r="AB75" s="2">
        <f>IF(AND(VLOOKUP(AB$1,test!$A$3:$F$32,5,FALSE) - VLOOKUP($B75,test!$A$3:$G$32,6,FALSE) &gt;= (test!$B$35+VLOOKUP(VLOOKUP($B75,test!$A$2:$I$32,4,FALSE),test!$J$10:$P$14,5,FALSE))/1440),1,0)</f>
        <v>0</v>
      </c>
      <c r="AC75" s="2">
        <f>IF(AND(VLOOKUP(AC$1,test!$A$3:$F$32,5,FALSE) - VLOOKUP($B75,test!$A$3:$G$32,6,FALSE) &gt;= (test!$B$35+VLOOKUP(VLOOKUP($B75,test!$A$2:$I$32,4,FALSE),test!$J$10:$P$14,5,FALSE))/1440),1,0)</f>
        <v>0</v>
      </c>
      <c r="AD75" s="2">
        <f>IF(AND(VLOOKUP(AD$1,test!$A$3:$F$32,5,FALSE) - VLOOKUP($B75,test!$A$3:$G$32,6,FALSE) &gt;= (test!$B$35+VLOOKUP(VLOOKUP($B75,test!$A$2:$I$32,4,FALSE),test!$J$10:$P$14,5,FALSE))/1440),1,0)</f>
        <v>0</v>
      </c>
      <c r="AE75" s="2">
        <f>IF(AND(VLOOKUP(AE$1,test!$A$3:$F$32,5,FALSE) - VLOOKUP($B75,test!$A$3:$G$32,6,FALSE) &gt;= (test!$B$35+VLOOKUP(VLOOKUP($B75,test!$A$2:$I$32,4,FALSE),test!$J$10:$P$14,5,FALSE))/1440),1,0)</f>
        <v>0</v>
      </c>
      <c r="AF75" s="2">
        <f>IF(AND(VLOOKUP(AF$1,test!$A$3:$F$32,5,FALSE) - VLOOKUP($B75,test!$A$3:$G$32,6,FALSE) &gt;= (test!$B$35+VLOOKUP(VLOOKUP($B75,test!$A$2:$I$32,4,FALSE),test!$J$10:$P$14,5,FALSE))/1440),1,0)</f>
        <v>0</v>
      </c>
      <c r="AG75" s="2">
        <f>IF(AND(VLOOKUP(AG$1,test!$A$3:$F$32,5,FALSE) - VLOOKUP($B75,test!$A$3:$G$32,6,FALSE) &gt;= (test!$B$35+VLOOKUP(VLOOKUP($B75,test!$A$2:$I$32,4,FALSE),test!$J$10:$P$14,5,FALSE))/1440),1,0)</f>
        <v>0</v>
      </c>
    </row>
    <row r="76" spans="1:33" x14ac:dyDescent="0.25">
      <c r="A76" t="s">
        <v>97</v>
      </c>
      <c r="B76" t="s">
        <v>22</v>
      </c>
      <c r="C76">
        <v>0</v>
      </c>
      <c r="D76" s="2">
        <f>IF(AND(VLOOKUP(D$1,test!$A$3:$F$32,5,FALSE) - VLOOKUP($B76,test!$A$3:$G$32,6,FALSE) &gt;= (test!$B$35+VLOOKUP(VLOOKUP($B76,test!$A$2:$I$32,4,FALSE),test!$J$10:$P$14,5,FALSE))/1440),1,0)</f>
        <v>0</v>
      </c>
      <c r="E76" s="2">
        <f>IF(AND(VLOOKUP(E$1,test!$A$3:$F$32,5,FALSE) - VLOOKUP($B76,test!$A$3:$G$32,6,FALSE) &gt;= (test!$B$35+VLOOKUP(VLOOKUP($B76,test!$A$2:$I$32,4,FALSE),test!$J$10:$P$14,5,FALSE))/1440),1,0)</f>
        <v>0</v>
      </c>
      <c r="F76" s="2">
        <f>IF(AND(VLOOKUP(F$1,test!$A$3:$F$32,5,FALSE) - VLOOKUP($B76,test!$A$3:$G$32,6,FALSE) &gt;= (test!$B$35+VLOOKUP(VLOOKUP($B76,test!$A$2:$I$32,4,FALSE),test!$J$10:$P$14,5,FALSE))/1440),1,0)</f>
        <v>0</v>
      </c>
      <c r="G76" s="2">
        <f>IF(AND(VLOOKUP(G$1,test!$A$3:$F$32,5,FALSE) - VLOOKUP($B76,test!$A$3:$G$32,6,FALSE) &gt;= (test!$B$35+VLOOKUP(VLOOKUP($B76,test!$A$2:$I$32,4,FALSE),test!$J$10:$P$14,5,FALSE))/1440),1,0)</f>
        <v>0</v>
      </c>
      <c r="H76" s="2">
        <f>IF(AND(VLOOKUP(H$1,test!$A$3:$F$32,5,FALSE) - VLOOKUP($B76,test!$A$3:$G$32,6,FALSE) &gt;= (test!$B$35+VLOOKUP(VLOOKUP($B76,test!$A$2:$I$32,4,FALSE),test!$J$10:$P$14,5,FALSE))/1440),1,0)</f>
        <v>0</v>
      </c>
      <c r="I76" s="2">
        <f>IF(AND(VLOOKUP(I$1,test!$A$3:$F$32,5,FALSE) - VLOOKUP($B76,test!$A$3:$G$32,6,FALSE) &gt;= (test!$B$35+VLOOKUP(VLOOKUP($B76,test!$A$2:$I$32,4,FALSE),test!$J$10:$P$14,5,FALSE))/1440),1,0)</f>
        <v>0</v>
      </c>
      <c r="J76" s="2">
        <f>IF(AND(VLOOKUP(J$1,test!$A$3:$F$32,5,FALSE) - VLOOKUP($B76,test!$A$3:$G$32,6,FALSE) &gt;= (test!$B$35+VLOOKUP(VLOOKUP($B76,test!$A$2:$I$32,4,FALSE),test!$J$10:$P$14,5,FALSE))/1440),1,0)</f>
        <v>0</v>
      </c>
      <c r="K76" s="2">
        <f>IF(AND(VLOOKUP(K$1,test!$A$3:$F$32,5,FALSE) - VLOOKUP($B76,test!$A$3:$G$32,6,FALSE) &gt;= (test!$B$35+VLOOKUP(VLOOKUP($B76,test!$A$2:$I$32,4,FALSE),test!$J$10:$P$14,5,FALSE))/1440),1,0)</f>
        <v>0</v>
      </c>
      <c r="L76" s="2">
        <f>IF(AND(VLOOKUP(L$1,test!$A$3:$F$32,5,FALSE) - VLOOKUP($B76,test!$A$3:$G$32,6,FALSE) &gt;= (test!$B$35+VLOOKUP(VLOOKUP($B76,test!$A$2:$I$32,4,FALSE),test!$J$10:$P$14,5,FALSE))/1440),1,0)</f>
        <v>0</v>
      </c>
      <c r="M76" s="2">
        <f>IF(AND(VLOOKUP(M$1,test!$A$3:$F$32,5,FALSE) - VLOOKUP($B76,test!$A$3:$G$32,6,FALSE) &gt;= (test!$B$35+VLOOKUP(VLOOKUP($B76,test!$A$2:$I$32,4,FALSE),test!$J$10:$P$14,5,FALSE))/1440),1,0)</f>
        <v>0</v>
      </c>
      <c r="N76" s="2">
        <f>IF(AND(VLOOKUP(N$1,test!$A$3:$F$32,5,FALSE) - VLOOKUP($B76,test!$A$3:$G$32,6,FALSE) &gt;= (test!$B$35+VLOOKUP(VLOOKUP($B76,test!$A$2:$I$32,4,FALSE),test!$J$10:$P$14,5,FALSE))/1440),1,0)</f>
        <v>0</v>
      </c>
      <c r="O76" s="2">
        <f>IF(AND(VLOOKUP(O$1,test!$A$3:$F$32,5,FALSE) - VLOOKUP($B76,test!$A$3:$G$32,6,FALSE) &gt;= (test!$B$35+VLOOKUP(VLOOKUP($B76,test!$A$2:$I$32,4,FALSE),test!$J$10:$P$14,5,FALSE))/1440),1,0)</f>
        <v>0</v>
      </c>
      <c r="P76" s="2">
        <f>IF(AND(VLOOKUP(P$1,test!$A$3:$F$32,5,FALSE) - VLOOKUP($B76,test!$A$3:$G$32,6,FALSE) &gt;= (test!$B$35+VLOOKUP(VLOOKUP($B76,test!$A$2:$I$32,4,FALSE),test!$J$10:$P$14,5,FALSE))/1440),1,0)</f>
        <v>0</v>
      </c>
      <c r="Q76" s="2">
        <f>IF(AND(VLOOKUP(Q$1,test!$A$3:$F$32,5,FALSE) - VLOOKUP($B76,test!$A$3:$G$32,6,FALSE) &gt;= (test!$B$35+VLOOKUP(VLOOKUP($B76,test!$A$2:$I$32,4,FALSE),test!$J$10:$P$14,5,FALSE))/1440),1,0)</f>
        <v>0</v>
      </c>
      <c r="R76" s="2">
        <f>IF(AND(VLOOKUP(R$1,test!$A$3:$F$32,5,FALSE) - VLOOKUP($B76,test!$A$3:$G$32,6,FALSE) &gt;= (test!$B$35+VLOOKUP(VLOOKUP($B76,test!$A$2:$I$32,4,FALSE),test!$J$10:$P$14,5,FALSE))/1440),1,0)</f>
        <v>0</v>
      </c>
      <c r="S76" s="2">
        <f>IF(AND(VLOOKUP(S$1,test!$A$3:$F$32,5,FALSE) - VLOOKUP($B76,test!$A$3:$G$32,6,FALSE) &gt;= (test!$B$35+VLOOKUP(VLOOKUP($B76,test!$A$2:$I$32,4,FALSE),test!$J$10:$P$14,5,FALSE))/1440),1,0)</f>
        <v>0</v>
      </c>
      <c r="T76" s="2">
        <f>IF(AND(VLOOKUP(T$1,test!$A$3:$F$32,5,FALSE) - VLOOKUP($B76,test!$A$3:$G$32,6,FALSE) &gt;= (test!$B$35+VLOOKUP(VLOOKUP($B76,test!$A$2:$I$32,4,FALSE),test!$J$10:$P$14,5,FALSE))/1440),1,0)</f>
        <v>0</v>
      </c>
      <c r="U76" s="2">
        <f>IF(AND(VLOOKUP(U$1,test!$A$3:$F$32,5,FALSE) - VLOOKUP($B76,test!$A$3:$G$32,6,FALSE) &gt;= (test!$B$35+VLOOKUP(VLOOKUP($B76,test!$A$2:$I$32,4,FALSE),test!$J$10:$P$14,5,FALSE))/1440),1,0)</f>
        <v>0</v>
      </c>
      <c r="V76" s="2">
        <f>IF(AND(VLOOKUP(V$1,test!$A$3:$F$32,5,FALSE) - VLOOKUP($B76,test!$A$3:$G$32,6,FALSE) &gt;= (test!$B$35+VLOOKUP(VLOOKUP($B76,test!$A$2:$I$32,4,FALSE),test!$J$10:$P$14,5,FALSE))/1440),1,0)</f>
        <v>0</v>
      </c>
      <c r="W76" s="2">
        <f>IF(AND(VLOOKUP(W$1,test!$A$3:$F$32,5,FALSE) - VLOOKUP($B76,test!$A$3:$G$32,6,FALSE) &gt;= (test!$B$35+VLOOKUP(VLOOKUP($B76,test!$A$2:$I$32,4,FALSE),test!$J$10:$P$14,5,FALSE))/1440),1,0)</f>
        <v>0</v>
      </c>
      <c r="X76" s="2">
        <f>IF(AND(VLOOKUP(X$1,test!$A$3:$F$32,5,FALSE) - VLOOKUP($B76,test!$A$3:$G$32,6,FALSE) &gt;= (test!$B$35+VLOOKUP(VLOOKUP($B76,test!$A$2:$I$32,4,FALSE),test!$J$10:$P$14,5,FALSE))/1440),1,0)</f>
        <v>0</v>
      </c>
      <c r="Y76" s="2">
        <f>IF(AND(VLOOKUP(Y$1,test!$A$3:$F$32,5,FALSE) - VLOOKUP($B76,test!$A$3:$G$32,6,FALSE) &gt;= (test!$B$35+VLOOKUP(VLOOKUP($B76,test!$A$2:$I$32,4,FALSE),test!$J$10:$P$14,5,FALSE))/1440),1,0)</f>
        <v>0</v>
      </c>
      <c r="Z76" s="2">
        <f>IF(AND(VLOOKUP(Z$1,test!$A$3:$F$32,5,FALSE) - VLOOKUP($B76,test!$A$3:$G$32,6,FALSE) &gt;= (test!$B$35+VLOOKUP(VLOOKUP($B76,test!$A$2:$I$32,4,FALSE),test!$J$10:$P$14,5,FALSE))/1440),1,0)</f>
        <v>0</v>
      </c>
      <c r="AA76" s="2">
        <f>IF(AND(VLOOKUP(AA$1,test!$A$3:$F$32,5,FALSE) - VLOOKUP($B76,test!$A$3:$G$32,6,FALSE) &gt;= (test!$B$35+VLOOKUP(VLOOKUP($B76,test!$A$2:$I$32,4,FALSE),test!$J$10:$P$14,5,FALSE))/1440),1,0)</f>
        <v>0</v>
      </c>
      <c r="AB76" s="2">
        <f>IF(AND(VLOOKUP(AB$1,test!$A$3:$F$32,5,FALSE) - VLOOKUP($B76,test!$A$3:$G$32,6,FALSE) &gt;= (test!$B$35+VLOOKUP(VLOOKUP($B76,test!$A$2:$I$32,4,FALSE),test!$J$10:$P$14,5,FALSE))/1440),1,0)</f>
        <v>0</v>
      </c>
      <c r="AC76" s="2">
        <f>IF(AND(VLOOKUP(AC$1,test!$A$3:$F$32,5,FALSE) - VLOOKUP($B76,test!$A$3:$G$32,6,FALSE) &gt;= (test!$B$35+VLOOKUP(VLOOKUP($B76,test!$A$2:$I$32,4,FALSE),test!$J$10:$P$14,5,FALSE))/1440),1,0)</f>
        <v>0</v>
      </c>
      <c r="AD76" s="2">
        <f>IF(AND(VLOOKUP(AD$1,test!$A$3:$F$32,5,FALSE) - VLOOKUP($B76,test!$A$3:$G$32,6,FALSE) &gt;= (test!$B$35+VLOOKUP(VLOOKUP($B76,test!$A$2:$I$32,4,FALSE),test!$J$10:$P$14,5,FALSE))/1440),1,0)</f>
        <v>0</v>
      </c>
      <c r="AE76" s="2">
        <f>IF(AND(VLOOKUP(AE$1,test!$A$3:$F$32,5,FALSE) - VLOOKUP($B76,test!$A$3:$G$32,6,FALSE) &gt;= (test!$B$35+VLOOKUP(VLOOKUP($B76,test!$A$2:$I$32,4,FALSE),test!$J$10:$P$14,5,FALSE))/1440),1,0)</f>
        <v>0</v>
      </c>
      <c r="AF76" s="2">
        <f>IF(AND(VLOOKUP(AF$1,test!$A$3:$F$32,5,FALSE) - VLOOKUP($B76,test!$A$3:$G$32,6,FALSE) &gt;= (test!$B$35+VLOOKUP(VLOOKUP($B76,test!$A$2:$I$32,4,FALSE),test!$J$10:$P$14,5,FALSE))/1440),1,0)</f>
        <v>0</v>
      </c>
      <c r="AG76" s="2">
        <f>IF(AND(VLOOKUP(AG$1,test!$A$3:$F$32,5,FALSE) - VLOOKUP($B76,test!$A$3:$G$32,6,FALSE) &gt;= (test!$B$35+VLOOKUP(VLOOKUP($B76,test!$A$2:$I$32,4,FALSE),test!$J$10:$P$14,5,FALSE))/1440),1,0)</f>
        <v>0</v>
      </c>
    </row>
    <row r="77" spans="1:33" x14ac:dyDescent="0.25">
      <c r="A77" t="s">
        <v>97</v>
      </c>
      <c r="B77" t="s">
        <v>23</v>
      </c>
      <c r="C77">
        <v>0</v>
      </c>
      <c r="D77" s="2">
        <f>IF(AND(VLOOKUP(D$1,test!$A$3:$F$32,5,FALSE) - VLOOKUP($B77,test!$A$3:$G$32,6,FALSE) &gt;= (test!$B$35+VLOOKUP(VLOOKUP($B77,test!$A$2:$I$32,4,FALSE),test!$J$10:$P$14,5,FALSE))/1440),1,0)</f>
        <v>0</v>
      </c>
      <c r="E77" s="2">
        <f>IF(AND(VLOOKUP(E$1,test!$A$3:$F$32,5,FALSE) - VLOOKUP($B77,test!$A$3:$G$32,6,FALSE) &gt;= (test!$B$35+VLOOKUP(VLOOKUP($B77,test!$A$2:$I$32,4,FALSE),test!$J$10:$P$14,5,FALSE))/1440),1,0)</f>
        <v>0</v>
      </c>
      <c r="F77" s="2">
        <f>IF(AND(VLOOKUP(F$1,test!$A$3:$F$32,5,FALSE) - VLOOKUP($B77,test!$A$3:$G$32,6,FALSE) &gt;= (test!$B$35+VLOOKUP(VLOOKUP($B77,test!$A$2:$I$32,4,FALSE),test!$J$10:$P$14,5,FALSE))/1440),1,0)</f>
        <v>0</v>
      </c>
      <c r="G77" s="2">
        <f>IF(AND(VLOOKUP(G$1,test!$A$3:$F$32,5,FALSE) - VLOOKUP($B77,test!$A$3:$G$32,6,FALSE) &gt;= (test!$B$35+VLOOKUP(VLOOKUP($B77,test!$A$2:$I$32,4,FALSE),test!$J$10:$P$14,5,FALSE))/1440),1,0)</f>
        <v>0</v>
      </c>
      <c r="H77" s="2">
        <f>IF(AND(VLOOKUP(H$1,test!$A$3:$F$32,5,FALSE) - VLOOKUP($B77,test!$A$3:$G$32,6,FALSE) &gt;= (test!$B$35+VLOOKUP(VLOOKUP($B77,test!$A$2:$I$32,4,FALSE),test!$J$10:$P$14,5,FALSE))/1440),1,0)</f>
        <v>0</v>
      </c>
      <c r="I77" s="2">
        <f>IF(AND(VLOOKUP(I$1,test!$A$3:$F$32,5,FALSE) - VLOOKUP($B77,test!$A$3:$G$32,6,FALSE) &gt;= (test!$B$35+VLOOKUP(VLOOKUP($B77,test!$A$2:$I$32,4,FALSE),test!$J$10:$P$14,5,FALSE))/1440),1,0)</f>
        <v>0</v>
      </c>
      <c r="J77" s="2">
        <f>IF(AND(VLOOKUP(J$1,test!$A$3:$F$32,5,FALSE) - VLOOKUP($B77,test!$A$3:$G$32,6,FALSE) &gt;= (test!$B$35+VLOOKUP(VLOOKUP($B77,test!$A$2:$I$32,4,FALSE),test!$J$10:$P$14,5,FALSE))/1440),1,0)</f>
        <v>0</v>
      </c>
      <c r="K77" s="2">
        <f>IF(AND(VLOOKUP(K$1,test!$A$3:$F$32,5,FALSE) - VLOOKUP($B77,test!$A$3:$G$32,6,FALSE) &gt;= (test!$B$35+VLOOKUP(VLOOKUP($B77,test!$A$2:$I$32,4,FALSE),test!$J$10:$P$14,5,FALSE))/1440),1,0)</f>
        <v>0</v>
      </c>
      <c r="L77" s="2">
        <f>IF(AND(VLOOKUP(L$1,test!$A$3:$F$32,5,FALSE) - VLOOKUP($B77,test!$A$3:$G$32,6,FALSE) &gt;= (test!$B$35+VLOOKUP(VLOOKUP($B77,test!$A$2:$I$32,4,FALSE),test!$J$10:$P$14,5,FALSE))/1440),1,0)</f>
        <v>0</v>
      </c>
      <c r="M77" s="2">
        <f>IF(AND(VLOOKUP(M$1,test!$A$3:$F$32,5,FALSE) - VLOOKUP($B77,test!$A$3:$G$32,6,FALSE) &gt;= (test!$B$35+VLOOKUP(VLOOKUP($B77,test!$A$2:$I$32,4,FALSE),test!$J$10:$P$14,5,FALSE))/1440),1,0)</f>
        <v>0</v>
      </c>
      <c r="N77" s="2">
        <f>IF(AND(VLOOKUP(N$1,test!$A$3:$F$32,5,FALSE) - VLOOKUP($B77,test!$A$3:$G$32,6,FALSE) &gt;= (test!$B$35+VLOOKUP(VLOOKUP($B77,test!$A$2:$I$32,4,FALSE),test!$J$10:$P$14,5,FALSE))/1440),1,0)</f>
        <v>0</v>
      </c>
      <c r="O77" s="2">
        <f>IF(AND(VLOOKUP(O$1,test!$A$3:$F$32,5,FALSE) - VLOOKUP($B77,test!$A$3:$G$32,6,FALSE) &gt;= (test!$B$35+VLOOKUP(VLOOKUP($B77,test!$A$2:$I$32,4,FALSE),test!$J$10:$P$14,5,FALSE))/1440),1,0)</f>
        <v>0</v>
      </c>
      <c r="P77" s="2">
        <f>IF(AND(VLOOKUP(P$1,test!$A$3:$F$32,5,FALSE) - VLOOKUP($B77,test!$A$3:$G$32,6,FALSE) &gt;= (test!$B$35+VLOOKUP(VLOOKUP($B77,test!$A$2:$I$32,4,FALSE),test!$J$10:$P$14,5,FALSE))/1440),1,0)</f>
        <v>0</v>
      </c>
      <c r="Q77" s="2">
        <f>IF(AND(VLOOKUP(Q$1,test!$A$3:$F$32,5,FALSE) - VLOOKUP($B77,test!$A$3:$G$32,6,FALSE) &gt;= (test!$B$35+VLOOKUP(VLOOKUP($B77,test!$A$2:$I$32,4,FALSE),test!$J$10:$P$14,5,FALSE))/1440),1,0)</f>
        <v>0</v>
      </c>
      <c r="R77" s="2">
        <f>IF(AND(VLOOKUP(R$1,test!$A$3:$F$32,5,FALSE) - VLOOKUP($B77,test!$A$3:$G$32,6,FALSE) &gt;= (test!$B$35+VLOOKUP(VLOOKUP($B77,test!$A$2:$I$32,4,FALSE),test!$J$10:$P$14,5,FALSE))/1440),1,0)</f>
        <v>0</v>
      </c>
      <c r="S77" s="2">
        <f>IF(AND(VLOOKUP(S$1,test!$A$3:$F$32,5,FALSE) - VLOOKUP($B77,test!$A$3:$G$32,6,FALSE) &gt;= (test!$B$35+VLOOKUP(VLOOKUP($B77,test!$A$2:$I$32,4,FALSE),test!$J$10:$P$14,5,FALSE))/1440),1,0)</f>
        <v>0</v>
      </c>
      <c r="T77" s="2">
        <f>IF(AND(VLOOKUP(T$1,test!$A$3:$F$32,5,FALSE) - VLOOKUP($B77,test!$A$3:$G$32,6,FALSE) &gt;= (test!$B$35+VLOOKUP(VLOOKUP($B77,test!$A$2:$I$32,4,FALSE),test!$J$10:$P$14,5,FALSE))/1440),1,0)</f>
        <v>0</v>
      </c>
      <c r="U77" s="2">
        <f>IF(AND(VLOOKUP(U$1,test!$A$3:$F$32,5,FALSE) - VLOOKUP($B77,test!$A$3:$G$32,6,FALSE) &gt;= (test!$B$35+VLOOKUP(VLOOKUP($B77,test!$A$2:$I$32,4,FALSE),test!$J$10:$P$14,5,FALSE))/1440),1,0)</f>
        <v>0</v>
      </c>
      <c r="V77" s="2">
        <f>IF(AND(VLOOKUP(V$1,test!$A$3:$F$32,5,FALSE) - VLOOKUP($B77,test!$A$3:$G$32,6,FALSE) &gt;= (test!$B$35+VLOOKUP(VLOOKUP($B77,test!$A$2:$I$32,4,FALSE),test!$J$10:$P$14,5,FALSE))/1440),1,0)</f>
        <v>0</v>
      </c>
      <c r="W77" s="2">
        <f>IF(AND(VLOOKUP(W$1,test!$A$3:$F$32,5,FALSE) - VLOOKUP($B77,test!$A$3:$G$32,6,FALSE) &gt;= (test!$B$35+VLOOKUP(VLOOKUP($B77,test!$A$2:$I$32,4,FALSE),test!$J$10:$P$14,5,FALSE))/1440),1,0)</f>
        <v>0</v>
      </c>
      <c r="X77" s="2">
        <f>IF(AND(VLOOKUP(X$1,test!$A$3:$F$32,5,FALSE) - VLOOKUP($B77,test!$A$3:$G$32,6,FALSE) &gt;= (test!$B$35+VLOOKUP(VLOOKUP($B77,test!$A$2:$I$32,4,FALSE),test!$J$10:$P$14,5,FALSE))/1440),1,0)</f>
        <v>0</v>
      </c>
      <c r="Y77" s="2">
        <f>IF(AND(VLOOKUP(Y$1,test!$A$3:$F$32,5,FALSE) - VLOOKUP($B77,test!$A$3:$G$32,6,FALSE) &gt;= (test!$B$35+VLOOKUP(VLOOKUP($B77,test!$A$2:$I$32,4,FALSE),test!$J$10:$P$14,5,FALSE))/1440),1,0)</f>
        <v>0</v>
      </c>
      <c r="Z77" s="2">
        <f>IF(AND(VLOOKUP(Z$1,test!$A$3:$F$32,5,FALSE) - VLOOKUP($B77,test!$A$3:$G$32,6,FALSE) &gt;= (test!$B$35+VLOOKUP(VLOOKUP($B77,test!$A$2:$I$32,4,FALSE),test!$J$10:$P$14,5,FALSE))/1440),1,0)</f>
        <v>0</v>
      </c>
      <c r="AA77" s="2">
        <f>IF(AND(VLOOKUP(AA$1,test!$A$3:$F$32,5,FALSE) - VLOOKUP($B77,test!$A$3:$G$32,6,FALSE) &gt;= (test!$B$35+VLOOKUP(VLOOKUP($B77,test!$A$2:$I$32,4,FALSE),test!$J$10:$P$14,5,FALSE))/1440),1,0)</f>
        <v>0</v>
      </c>
      <c r="AB77" s="2">
        <f>IF(AND(VLOOKUP(AB$1,test!$A$3:$F$32,5,FALSE) - VLOOKUP($B77,test!$A$3:$G$32,6,FALSE) &gt;= (test!$B$35+VLOOKUP(VLOOKUP($B77,test!$A$2:$I$32,4,FALSE),test!$J$10:$P$14,5,FALSE))/1440),1,0)</f>
        <v>0</v>
      </c>
      <c r="AC77" s="2">
        <f>IF(AND(VLOOKUP(AC$1,test!$A$3:$F$32,5,FALSE) - VLOOKUP($B77,test!$A$3:$G$32,6,FALSE) &gt;= (test!$B$35+VLOOKUP(VLOOKUP($B77,test!$A$2:$I$32,4,FALSE),test!$J$10:$P$14,5,FALSE))/1440),1,0)</f>
        <v>0</v>
      </c>
      <c r="AD77" s="2">
        <f>IF(AND(VLOOKUP(AD$1,test!$A$3:$F$32,5,FALSE) - VLOOKUP($B77,test!$A$3:$G$32,6,FALSE) &gt;= (test!$B$35+VLOOKUP(VLOOKUP($B77,test!$A$2:$I$32,4,FALSE),test!$J$10:$P$14,5,FALSE))/1440),1,0)</f>
        <v>0</v>
      </c>
      <c r="AE77" s="2">
        <f>IF(AND(VLOOKUP(AE$1,test!$A$3:$F$32,5,FALSE) - VLOOKUP($B77,test!$A$3:$G$32,6,FALSE) &gt;= (test!$B$35+VLOOKUP(VLOOKUP($B77,test!$A$2:$I$32,4,FALSE),test!$J$10:$P$14,5,FALSE))/1440),1,0)</f>
        <v>0</v>
      </c>
      <c r="AF77" s="2">
        <f>IF(AND(VLOOKUP(AF$1,test!$A$3:$F$32,5,FALSE) - VLOOKUP($B77,test!$A$3:$G$32,6,FALSE) &gt;= (test!$B$35+VLOOKUP(VLOOKUP($B77,test!$A$2:$I$32,4,FALSE),test!$J$10:$P$14,5,FALSE))/1440),1,0)</f>
        <v>0</v>
      </c>
      <c r="AG77" s="2">
        <f>IF(AND(VLOOKUP(AG$1,test!$A$3:$F$32,5,FALSE) - VLOOKUP($B77,test!$A$3:$G$32,6,FALSE) &gt;= (test!$B$35+VLOOKUP(VLOOKUP($B77,test!$A$2:$I$32,4,FALSE),test!$J$10:$P$14,5,FALSE))/1440),1,0)</f>
        <v>0</v>
      </c>
    </row>
    <row r="78" spans="1:33" x14ac:dyDescent="0.25">
      <c r="A78" t="s">
        <v>97</v>
      </c>
      <c r="B78" t="s">
        <v>24</v>
      </c>
      <c r="C78">
        <v>0</v>
      </c>
      <c r="D78" s="2">
        <f>IF(AND(VLOOKUP(D$1,test!$A$3:$F$32,5,FALSE) - VLOOKUP($B78,test!$A$3:$G$32,6,FALSE) &gt;= (test!$B$35+VLOOKUP(VLOOKUP($B78,test!$A$2:$I$32,4,FALSE),test!$J$10:$P$14,5,FALSE))/1440),1,0)</f>
        <v>0</v>
      </c>
      <c r="E78" s="2">
        <f>IF(AND(VLOOKUP(E$1,test!$A$3:$F$32,5,FALSE) - VLOOKUP($B78,test!$A$3:$G$32,6,FALSE) &gt;= (test!$B$35+VLOOKUP(VLOOKUP($B78,test!$A$2:$I$32,4,FALSE),test!$J$10:$P$14,5,FALSE))/1440),1,0)</f>
        <v>0</v>
      </c>
      <c r="F78" s="2">
        <f>IF(AND(VLOOKUP(F$1,test!$A$3:$F$32,5,FALSE) - VLOOKUP($B78,test!$A$3:$G$32,6,FALSE) &gt;= (test!$B$35+VLOOKUP(VLOOKUP($B78,test!$A$2:$I$32,4,FALSE),test!$J$10:$P$14,5,FALSE))/1440),1,0)</f>
        <v>0</v>
      </c>
      <c r="G78" s="2">
        <f>IF(AND(VLOOKUP(G$1,test!$A$3:$F$32,5,FALSE) - VLOOKUP($B78,test!$A$3:$G$32,6,FALSE) &gt;= (test!$B$35+VLOOKUP(VLOOKUP($B78,test!$A$2:$I$32,4,FALSE),test!$J$10:$P$14,5,FALSE))/1440),1,0)</f>
        <v>0</v>
      </c>
      <c r="H78" s="2">
        <f>IF(AND(VLOOKUP(H$1,test!$A$3:$F$32,5,FALSE) - VLOOKUP($B78,test!$A$3:$G$32,6,FALSE) &gt;= (test!$B$35+VLOOKUP(VLOOKUP($B78,test!$A$2:$I$32,4,FALSE),test!$J$10:$P$14,5,FALSE))/1440),1,0)</f>
        <v>1</v>
      </c>
      <c r="I78" s="2">
        <f>IF(AND(VLOOKUP(I$1,test!$A$3:$F$32,5,FALSE) - VLOOKUP($B78,test!$A$3:$G$32,6,FALSE) &gt;= (test!$B$35+VLOOKUP(VLOOKUP($B78,test!$A$2:$I$32,4,FALSE),test!$J$10:$P$14,5,FALSE))/1440),1,0)</f>
        <v>1</v>
      </c>
      <c r="J78" s="2">
        <f>IF(AND(VLOOKUP(J$1,test!$A$3:$F$32,5,FALSE) - VLOOKUP($B78,test!$A$3:$G$32,6,FALSE) &gt;= (test!$B$35+VLOOKUP(VLOOKUP($B78,test!$A$2:$I$32,4,FALSE),test!$J$10:$P$14,5,FALSE))/1440),1,0)</f>
        <v>1</v>
      </c>
      <c r="K78" s="2">
        <f>IF(AND(VLOOKUP(K$1,test!$A$3:$F$32,5,FALSE) - VLOOKUP($B78,test!$A$3:$G$32,6,FALSE) &gt;= (test!$B$35+VLOOKUP(VLOOKUP($B78,test!$A$2:$I$32,4,FALSE),test!$J$10:$P$14,5,FALSE))/1440),1,0)</f>
        <v>1</v>
      </c>
      <c r="L78" s="2">
        <f>IF(AND(VLOOKUP(L$1,test!$A$3:$F$32,5,FALSE) - VLOOKUP($B78,test!$A$3:$G$32,6,FALSE) &gt;= (test!$B$35+VLOOKUP(VLOOKUP($B78,test!$A$2:$I$32,4,FALSE),test!$J$10:$P$14,5,FALSE))/1440),1,0)</f>
        <v>0</v>
      </c>
      <c r="M78" s="2">
        <f>IF(AND(VLOOKUP(M$1,test!$A$3:$F$32,5,FALSE) - VLOOKUP($B78,test!$A$3:$G$32,6,FALSE) &gt;= (test!$B$35+VLOOKUP(VLOOKUP($B78,test!$A$2:$I$32,4,FALSE),test!$J$10:$P$14,5,FALSE))/1440),1,0)</f>
        <v>0</v>
      </c>
      <c r="N78" s="2">
        <f>IF(AND(VLOOKUP(N$1,test!$A$3:$F$32,5,FALSE) - VLOOKUP($B78,test!$A$3:$G$32,6,FALSE) &gt;= (test!$B$35+VLOOKUP(VLOOKUP($B78,test!$A$2:$I$32,4,FALSE),test!$J$10:$P$14,5,FALSE))/1440),1,0)</f>
        <v>0</v>
      </c>
      <c r="O78" s="2">
        <f>IF(AND(VLOOKUP(O$1,test!$A$3:$F$32,5,FALSE) - VLOOKUP($B78,test!$A$3:$G$32,6,FALSE) &gt;= (test!$B$35+VLOOKUP(VLOOKUP($B78,test!$A$2:$I$32,4,FALSE),test!$J$10:$P$14,5,FALSE))/1440),1,0)</f>
        <v>1</v>
      </c>
      <c r="P78" s="2">
        <f>IF(AND(VLOOKUP(P$1,test!$A$3:$F$32,5,FALSE) - VLOOKUP($B78,test!$A$3:$G$32,6,FALSE) &gt;= (test!$B$35+VLOOKUP(VLOOKUP($B78,test!$A$2:$I$32,4,FALSE),test!$J$10:$P$14,5,FALSE))/1440),1,0)</f>
        <v>1</v>
      </c>
      <c r="Q78" s="2">
        <f>IF(AND(VLOOKUP(Q$1,test!$A$3:$F$32,5,FALSE) - VLOOKUP($B78,test!$A$3:$G$32,6,FALSE) &gt;= (test!$B$35+VLOOKUP(VLOOKUP($B78,test!$A$2:$I$32,4,FALSE),test!$J$10:$P$14,5,FALSE))/1440),1,0)</f>
        <v>0</v>
      </c>
      <c r="R78" s="2">
        <f>IF(AND(VLOOKUP(R$1,test!$A$3:$F$32,5,FALSE) - VLOOKUP($B78,test!$A$3:$G$32,6,FALSE) &gt;= (test!$B$35+VLOOKUP(VLOOKUP($B78,test!$A$2:$I$32,4,FALSE),test!$J$10:$P$14,5,FALSE))/1440),1,0)</f>
        <v>0</v>
      </c>
      <c r="S78" s="2">
        <f>IF(AND(VLOOKUP(S$1,test!$A$3:$F$32,5,FALSE) - VLOOKUP($B78,test!$A$3:$G$32,6,FALSE) &gt;= (test!$B$35+VLOOKUP(VLOOKUP($B78,test!$A$2:$I$32,4,FALSE),test!$J$10:$P$14,5,FALSE))/1440),1,0)</f>
        <v>0</v>
      </c>
      <c r="T78" s="2">
        <f>IF(AND(VLOOKUP(T$1,test!$A$3:$F$32,5,FALSE) - VLOOKUP($B78,test!$A$3:$G$32,6,FALSE) &gt;= (test!$B$35+VLOOKUP(VLOOKUP($B78,test!$A$2:$I$32,4,FALSE),test!$J$10:$P$14,5,FALSE))/1440),1,0)</f>
        <v>0</v>
      </c>
      <c r="U78" s="2">
        <f>IF(AND(VLOOKUP(U$1,test!$A$3:$F$32,5,FALSE) - VLOOKUP($B78,test!$A$3:$G$32,6,FALSE) &gt;= (test!$B$35+VLOOKUP(VLOOKUP($B78,test!$A$2:$I$32,4,FALSE),test!$J$10:$P$14,5,FALSE))/1440),1,0)</f>
        <v>0</v>
      </c>
      <c r="V78" s="2">
        <f>IF(AND(VLOOKUP(V$1,test!$A$3:$F$32,5,FALSE) - VLOOKUP($B78,test!$A$3:$G$32,6,FALSE) &gt;= (test!$B$35+VLOOKUP(VLOOKUP($B78,test!$A$2:$I$32,4,FALSE),test!$J$10:$P$14,5,FALSE))/1440),1,0)</f>
        <v>0</v>
      </c>
      <c r="W78" s="2">
        <f>IF(AND(VLOOKUP(W$1,test!$A$3:$F$32,5,FALSE) - VLOOKUP($B78,test!$A$3:$G$32,6,FALSE) &gt;= (test!$B$35+VLOOKUP(VLOOKUP($B78,test!$A$2:$I$32,4,FALSE),test!$J$10:$P$14,5,FALSE))/1440),1,0)</f>
        <v>1</v>
      </c>
      <c r="X78" s="2">
        <f>IF(AND(VLOOKUP(X$1,test!$A$3:$F$32,5,FALSE) - VLOOKUP($B78,test!$A$3:$G$32,6,FALSE) &gt;= (test!$B$35+VLOOKUP(VLOOKUP($B78,test!$A$2:$I$32,4,FALSE),test!$J$10:$P$14,5,FALSE))/1440),1,0)</f>
        <v>1</v>
      </c>
      <c r="Y78" s="2">
        <f>IF(AND(VLOOKUP(Y$1,test!$A$3:$F$32,5,FALSE) - VLOOKUP($B78,test!$A$3:$G$32,6,FALSE) &gt;= (test!$B$35+VLOOKUP(VLOOKUP($B78,test!$A$2:$I$32,4,FALSE),test!$J$10:$P$14,5,FALSE))/1440),1,0)</f>
        <v>1</v>
      </c>
      <c r="Z78" s="2">
        <f>IF(AND(VLOOKUP(Z$1,test!$A$3:$F$32,5,FALSE) - VLOOKUP($B78,test!$A$3:$G$32,6,FALSE) &gt;= (test!$B$35+VLOOKUP(VLOOKUP($B78,test!$A$2:$I$32,4,FALSE),test!$J$10:$P$14,5,FALSE))/1440),1,0)</f>
        <v>0</v>
      </c>
      <c r="AA78" s="2">
        <f>IF(AND(VLOOKUP(AA$1,test!$A$3:$F$32,5,FALSE) - VLOOKUP($B78,test!$A$3:$G$32,6,FALSE) &gt;= (test!$B$35+VLOOKUP(VLOOKUP($B78,test!$A$2:$I$32,4,FALSE),test!$J$10:$P$14,5,FALSE))/1440),1,0)</f>
        <v>0</v>
      </c>
      <c r="AB78" s="2">
        <f>IF(AND(VLOOKUP(AB$1,test!$A$3:$F$32,5,FALSE) - VLOOKUP($B78,test!$A$3:$G$32,6,FALSE) &gt;= (test!$B$35+VLOOKUP(VLOOKUP($B78,test!$A$2:$I$32,4,FALSE),test!$J$10:$P$14,5,FALSE))/1440),1,0)</f>
        <v>0</v>
      </c>
      <c r="AC78" s="2">
        <f>IF(AND(VLOOKUP(AC$1,test!$A$3:$F$32,5,FALSE) - VLOOKUP($B78,test!$A$3:$G$32,6,FALSE) &gt;= (test!$B$35+VLOOKUP(VLOOKUP($B78,test!$A$2:$I$32,4,FALSE),test!$J$10:$P$14,5,FALSE))/1440),1,0)</f>
        <v>0</v>
      </c>
      <c r="AD78" s="2">
        <f>IF(AND(VLOOKUP(AD$1,test!$A$3:$F$32,5,FALSE) - VLOOKUP($B78,test!$A$3:$G$32,6,FALSE) &gt;= (test!$B$35+VLOOKUP(VLOOKUP($B78,test!$A$2:$I$32,4,FALSE),test!$J$10:$P$14,5,FALSE))/1440),1,0)</f>
        <v>1</v>
      </c>
      <c r="AE78" s="2">
        <f>IF(AND(VLOOKUP(AE$1,test!$A$3:$F$32,5,FALSE) - VLOOKUP($B78,test!$A$3:$G$32,6,FALSE) &gt;= (test!$B$35+VLOOKUP(VLOOKUP($B78,test!$A$2:$I$32,4,FALSE),test!$J$10:$P$14,5,FALSE))/1440),1,0)</f>
        <v>0</v>
      </c>
      <c r="AF78" s="2">
        <f>IF(AND(VLOOKUP(AF$1,test!$A$3:$F$32,5,FALSE) - VLOOKUP($B78,test!$A$3:$G$32,6,FALSE) &gt;= (test!$B$35+VLOOKUP(VLOOKUP($B78,test!$A$2:$I$32,4,FALSE),test!$J$10:$P$14,5,FALSE))/1440),1,0)</f>
        <v>0</v>
      </c>
      <c r="AG78" s="2">
        <f>IF(AND(VLOOKUP(AG$1,test!$A$3:$F$32,5,FALSE) - VLOOKUP($B78,test!$A$3:$G$32,6,FALSE) &gt;= (test!$B$35+VLOOKUP(VLOOKUP($B78,test!$A$2:$I$32,4,FALSE),test!$J$10:$P$14,5,FALSE))/1440),1,0)</f>
        <v>0</v>
      </c>
    </row>
    <row r="79" spans="1:33" x14ac:dyDescent="0.25">
      <c r="A79" t="s">
        <v>97</v>
      </c>
      <c r="B79" t="s">
        <v>26</v>
      </c>
      <c r="C79">
        <v>0</v>
      </c>
      <c r="D79" s="2">
        <f>IF(AND(VLOOKUP(D$1,test!$A$3:$F$32,5,FALSE) - VLOOKUP($B79,test!$A$3:$G$32,6,FALSE) &gt;= (test!$B$35+VLOOKUP(VLOOKUP($B79,test!$A$2:$I$32,4,FALSE),test!$J$10:$P$14,5,FALSE))/1440),1,0)</f>
        <v>0</v>
      </c>
      <c r="E79" s="2">
        <f>IF(AND(VLOOKUP(E$1,test!$A$3:$F$32,5,FALSE) - VLOOKUP($B79,test!$A$3:$G$32,6,FALSE) &gt;= (test!$B$35+VLOOKUP(VLOOKUP($B79,test!$A$2:$I$32,4,FALSE),test!$J$10:$P$14,5,FALSE))/1440),1,0)</f>
        <v>0</v>
      </c>
      <c r="F79" s="2">
        <f>IF(AND(VLOOKUP(F$1,test!$A$3:$F$32,5,FALSE) - VLOOKUP($B79,test!$A$3:$G$32,6,FALSE) &gt;= (test!$B$35+VLOOKUP(VLOOKUP($B79,test!$A$2:$I$32,4,FALSE),test!$J$10:$P$14,5,FALSE))/1440),1,0)</f>
        <v>0</v>
      </c>
      <c r="G79" s="2">
        <f>IF(AND(VLOOKUP(G$1,test!$A$3:$F$32,5,FALSE) - VLOOKUP($B79,test!$A$3:$G$32,6,FALSE) &gt;= (test!$B$35+VLOOKUP(VLOOKUP($B79,test!$A$2:$I$32,4,FALSE),test!$J$10:$P$14,5,FALSE))/1440),1,0)</f>
        <v>1</v>
      </c>
      <c r="H79" s="2">
        <f>IF(AND(VLOOKUP(H$1,test!$A$3:$F$32,5,FALSE) - VLOOKUP($B79,test!$A$3:$G$32,6,FALSE) &gt;= (test!$B$35+VLOOKUP(VLOOKUP($B79,test!$A$2:$I$32,4,FALSE),test!$J$10:$P$14,5,FALSE))/1440),1,0)</f>
        <v>1</v>
      </c>
      <c r="I79" s="2">
        <f>IF(AND(VLOOKUP(I$1,test!$A$3:$F$32,5,FALSE) - VLOOKUP($B79,test!$A$3:$G$32,6,FALSE) &gt;= (test!$B$35+VLOOKUP(VLOOKUP($B79,test!$A$2:$I$32,4,FALSE),test!$J$10:$P$14,5,FALSE))/1440),1,0)</f>
        <v>1</v>
      </c>
      <c r="J79" s="2">
        <f>IF(AND(VLOOKUP(J$1,test!$A$3:$F$32,5,FALSE) - VLOOKUP($B79,test!$A$3:$G$32,6,FALSE) &gt;= (test!$B$35+VLOOKUP(VLOOKUP($B79,test!$A$2:$I$32,4,FALSE),test!$J$10:$P$14,5,FALSE))/1440),1,0)</f>
        <v>1</v>
      </c>
      <c r="K79" s="2">
        <f>IF(AND(VLOOKUP(K$1,test!$A$3:$F$32,5,FALSE) - VLOOKUP($B79,test!$A$3:$G$32,6,FALSE) &gt;= (test!$B$35+VLOOKUP(VLOOKUP($B79,test!$A$2:$I$32,4,FALSE),test!$J$10:$P$14,5,FALSE))/1440),1,0)</f>
        <v>1</v>
      </c>
      <c r="L79" s="2">
        <f>IF(AND(VLOOKUP(L$1,test!$A$3:$F$32,5,FALSE) - VLOOKUP($B79,test!$A$3:$G$32,6,FALSE) &gt;= (test!$B$35+VLOOKUP(VLOOKUP($B79,test!$A$2:$I$32,4,FALSE),test!$J$10:$P$14,5,FALSE))/1440),1,0)</f>
        <v>0</v>
      </c>
      <c r="M79" s="2">
        <f>IF(AND(VLOOKUP(M$1,test!$A$3:$F$32,5,FALSE) - VLOOKUP($B79,test!$A$3:$G$32,6,FALSE) &gt;= (test!$B$35+VLOOKUP(VLOOKUP($B79,test!$A$2:$I$32,4,FALSE),test!$J$10:$P$14,5,FALSE))/1440),1,0)</f>
        <v>0</v>
      </c>
      <c r="N79" s="2">
        <f>IF(AND(VLOOKUP(N$1,test!$A$3:$F$32,5,FALSE) - VLOOKUP($B79,test!$A$3:$G$32,6,FALSE) &gt;= (test!$B$35+VLOOKUP(VLOOKUP($B79,test!$A$2:$I$32,4,FALSE),test!$J$10:$P$14,5,FALSE))/1440),1,0)</f>
        <v>0</v>
      </c>
      <c r="O79" s="2">
        <f>IF(AND(VLOOKUP(O$1,test!$A$3:$F$32,5,FALSE) - VLOOKUP($B79,test!$A$3:$G$32,6,FALSE) &gt;= (test!$B$35+VLOOKUP(VLOOKUP($B79,test!$A$2:$I$32,4,FALSE),test!$J$10:$P$14,5,FALSE))/1440),1,0)</f>
        <v>1</v>
      </c>
      <c r="P79" s="2">
        <f>IF(AND(VLOOKUP(P$1,test!$A$3:$F$32,5,FALSE) - VLOOKUP($B79,test!$A$3:$G$32,6,FALSE) &gt;= (test!$B$35+VLOOKUP(VLOOKUP($B79,test!$A$2:$I$32,4,FALSE),test!$J$10:$P$14,5,FALSE))/1440),1,0)</f>
        <v>1</v>
      </c>
      <c r="Q79" s="2">
        <f>IF(AND(VLOOKUP(Q$1,test!$A$3:$F$32,5,FALSE) - VLOOKUP($B79,test!$A$3:$G$32,6,FALSE) &gt;= (test!$B$35+VLOOKUP(VLOOKUP($B79,test!$A$2:$I$32,4,FALSE),test!$J$10:$P$14,5,FALSE))/1440),1,0)</f>
        <v>0</v>
      </c>
      <c r="R79" s="2">
        <f>IF(AND(VLOOKUP(R$1,test!$A$3:$F$32,5,FALSE) - VLOOKUP($B79,test!$A$3:$G$32,6,FALSE) &gt;= (test!$B$35+VLOOKUP(VLOOKUP($B79,test!$A$2:$I$32,4,FALSE),test!$J$10:$P$14,5,FALSE))/1440),1,0)</f>
        <v>0</v>
      </c>
      <c r="S79" s="2">
        <f>IF(AND(VLOOKUP(S$1,test!$A$3:$F$32,5,FALSE) - VLOOKUP($B79,test!$A$3:$G$32,6,FALSE) &gt;= (test!$B$35+VLOOKUP(VLOOKUP($B79,test!$A$2:$I$32,4,FALSE),test!$J$10:$P$14,5,FALSE))/1440),1,0)</f>
        <v>0</v>
      </c>
      <c r="T79" s="2">
        <f>IF(AND(VLOOKUP(T$1,test!$A$3:$F$32,5,FALSE) - VLOOKUP($B79,test!$A$3:$G$32,6,FALSE) &gt;= (test!$B$35+VLOOKUP(VLOOKUP($B79,test!$A$2:$I$32,4,FALSE),test!$J$10:$P$14,5,FALSE))/1440),1,0)</f>
        <v>0</v>
      </c>
      <c r="U79" s="2">
        <f>IF(AND(VLOOKUP(U$1,test!$A$3:$F$32,5,FALSE) - VLOOKUP($B79,test!$A$3:$G$32,6,FALSE) &gt;= (test!$B$35+VLOOKUP(VLOOKUP($B79,test!$A$2:$I$32,4,FALSE),test!$J$10:$P$14,5,FALSE))/1440),1,0)</f>
        <v>0</v>
      </c>
      <c r="V79" s="2">
        <f>IF(AND(VLOOKUP(V$1,test!$A$3:$F$32,5,FALSE) - VLOOKUP($B79,test!$A$3:$G$32,6,FALSE) &gt;= (test!$B$35+VLOOKUP(VLOOKUP($B79,test!$A$2:$I$32,4,FALSE),test!$J$10:$P$14,5,FALSE))/1440),1,0)</f>
        <v>1</v>
      </c>
      <c r="W79" s="2">
        <f>IF(AND(VLOOKUP(W$1,test!$A$3:$F$32,5,FALSE) - VLOOKUP($B79,test!$A$3:$G$32,6,FALSE) &gt;= (test!$B$35+VLOOKUP(VLOOKUP($B79,test!$A$2:$I$32,4,FALSE),test!$J$10:$P$14,5,FALSE))/1440),1,0)</f>
        <v>1</v>
      </c>
      <c r="X79" s="2">
        <f>IF(AND(VLOOKUP(X$1,test!$A$3:$F$32,5,FALSE) - VLOOKUP($B79,test!$A$3:$G$32,6,FALSE) &gt;= (test!$B$35+VLOOKUP(VLOOKUP($B79,test!$A$2:$I$32,4,FALSE),test!$J$10:$P$14,5,FALSE))/1440),1,0)</f>
        <v>1</v>
      </c>
      <c r="Y79" s="2">
        <f>IF(AND(VLOOKUP(Y$1,test!$A$3:$F$32,5,FALSE) - VLOOKUP($B79,test!$A$3:$G$32,6,FALSE) &gt;= (test!$B$35+VLOOKUP(VLOOKUP($B79,test!$A$2:$I$32,4,FALSE),test!$J$10:$P$14,5,FALSE))/1440),1,0)</f>
        <v>1</v>
      </c>
      <c r="Z79" s="2">
        <f>IF(AND(VLOOKUP(Z$1,test!$A$3:$F$32,5,FALSE) - VLOOKUP($B79,test!$A$3:$G$32,6,FALSE) &gt;= (test!$B$35+VLOOKUP(VLOOKUP($B79,test!$A$2:$I$32,4,FALSE),test!$J$10:$P$14,5,FALSE))/1440),1,0)</f>
        <v>0</v>
      </c>
      <c r="AA79" s="2">
        <f>IF(AND(VLOOKUP(AA$1,test!$A$3:$F$32,5,FALSE) - VLOOKUP($B79,test!$A$3:$G$32,6,FALSE) &gt;= (test!$B$35+VLOOKUP(VLOOKUP($B79,test!$A$2:$I$32,4,FALSE),test!$J$10:$P$14,5,FALSE))/1440),1,0)</f>
        <v>0</v>
      </c>
      <c r="AB79" s="2">
        <f>IF(AND(VLOOKUP(AB$1,test!$A$3:$F$32,5,FALSE) - VLOOKUP($B79,test!$A$3:$G$32,6,FALSE) &gt;= (test!$B$35+VLOOKUP(VLOOKUP($B79,test!$A$2:$I$32,4,FALSE),test!$J$10:$P$14,5,FALSE))/1440),1,0)</f>
        <v>0</v>
      </c>
      <c r="AC79" s="2">
        <f>IF(AND(VLOOKUP(AC$1,test!$A$3:$F$32,5,FALSE) - VLOOKUP($B79,test!$A$3:$G$32,6,FALSE) &gt;= (test!$B$35+VLOOKUP(VLOOKUP($B79,test!$A$2:$I$32,4,FALSE),test!$J$10:$P$14,5,FALSE))/1440),1,0)</f>
        <v>1</v>
      </c>
      <c r="AD79" s="2">
        <f>IF(AND(VLOOKUP(AD$1,test!$A$3:$F$32,5,FALSE) - VLOOKUP($B79,test!$A$3:$G$32,6,FALSE) &gt;= (test!$B$35+VLOOKUP(VLOOKUP($B79,test!$A$2:$I$32,4,FALSE),test!$J$10:$P$14,5,FALSE))/1440),1,0)</f>
        <v>1</v>
      </c>
      <c r="AE79" s="2">
        <f>IF(AND(VLOOKUP(AE$1,test!$A$3:$F$32,5,FALSE) - VLOOKUP($B79,test!$A$3:$G$32,6,FALSE) &gt;= (test!$B$35+VLOOKUP(VLOOKUP($B79,test!$A$2:$I$32,4,FALSE),test!$J$10:$P$14,5,FALSE))/1440),1,0)</f>
        <v>0</v>
      </c>
      <c r="AF79" s="2">
        <f>IF(AND(VLOOKUP(AF$1,test!$A$3:$F$32,5,FALSE) - VLOOKUP($B79,test!$A$3:$G$32,6,FALSE) &gt;= (test!$B$35+VLOOKUP(VLOOKUP($B79,test!$A$2:$I$32,4,FALSE),test!$J$10:$P$14,5,FALSE))/1440),1,0)</f>
        <v>0</v>
      </c>
      <c r="AG79" s="2">
        <f>IF(AND(VLOOKUP(AG$1,test!$A$3:$F$32,5,FALSE) - VLOOKUP($B79,test!$A$3:$G$32,6,FALSE) &gt;= (test!$B$35+VLOOKUP(VLOOKUP($B79,test!$A$2:$I$32,4,FALSE),test!$J$10:$P$14,5,FALSE))/1440),1,0)</f>
        <v>0</v>
      </c>
    </row>
    <row r="80" spans="1:33" x14ac:dyDescent="0.25">
      <c r="A80" t="s">
        <v>97</v>
      </c>
      <c r="B80" t="s">
        <v>27</v>
      </c>
      <c r="C80">
        <v>0</v>
      </c>
      <c r="D80" s="2">
        <f>IF(AND(VLOOKUP(D$1,test!$A$3:$F$32,5,FALSE) - VLOOKUP($B80,test!$A$3:$G$32,6,FALSE) &gt;= (test!$B$35+VLOOKUP(VLOOKUP($B80,test!$A$2:$I$32,4,FALSE),test!$J$10:$P$14,5,FALSE))/1440),1,0)</f>
        <v>0</v>
      </c>
      <c r="E80" s="2">
        <f>IF(AND(VLOOKUP(E$1,test!$A$3:$F$32,5,FALSE) - VLOOKUP($B80,test!$A$3:$G$32,6,FALSE) &gt;= (test!$B$35+VLOOKUP(VLOOKUP($B80,test!$A$2:$I$32,4,FALSE),test!$J$10:$P$14,5,FALSE))/1440),1,0)</f>
        <v>0</v>
      </c>
      <c r="F80" s="2">
        <f>IF(AND(VLOOKUP(F$1,test!$A$3:$F$32,5,FALSE) - VLOOKUP($B80,test!$A$3:$G$32,6,FALSE) &gt;= (test!$B$35+VLOOKUP(VLOOKUP($B80,test!$A$2:$I$32,4,FALSE),test!$J$10:$P$14,5,FALSE))/1440),1,0)</f>
        <v>0</v>
      </c>
      <c r="G80" s="2">
        <f>IF(AND(VLOOKUP(G$1,test!$A$3:$F$32,5,FALSE) - VLOOKUP($B80,test!$A$3:$G$32,6,FALSE) &gt;= (test!$B$35+VLOOKUP(VLOOKUP($B80,test!$A$2:$I$32,4,FALSE),test!$J$10:$P$14,5,FALSE))/1440),1,0)</f>
        <v>0</v>
      </c>
      <c r="H80" s="2">
        <f>IF(AND(VLOOKUP(H$1,test!$A$3:$F$32,5,FALSE) - VLOOKUP($B80,test!$A$3:$G$32,6,FALSE) &gt;= (test!$B$35+VLOOKUP(VLOOKUP($B80,test!$A$2:$I$32,4,FALSE),test!$J$10:$P$14,5,FALSE))/1440),1,0)</f>
        <v>1</v>
      </c>
      <c r="I80" s="2">
        <f>IF(AND(VLOOKUP(I$1,test!$A$3:$F$32,5,FALSE) - VLOOKUP($B80,test!$A$3:$G$32,6,FALSE) &gt;= (test!$B$35+VLOOKUP(VLOOKUP($B80,test!$A$2:$I$32,4,FALSE),test!$J$10:$P$14,5,FALSE))/1440),1,0)</f>
        <v>1</v>
      </c>
      <c r="J80" s="2">
        <f>IF(AND(VLOOKUP(J$1,test!$A$3:$F$32,5,FALSE) - VLOOKUP($B80,test!$A$3:$G$32,6,FALSE) &gt;= (test!$B$35+VLOOKUP(VLOOKUP($B80,test!$A$2:$I$32,4,FALSE),test!$J$10:$P$14,5,FALSE))/1440),1,0)</f>
        <v>1</v>
      </c>
      <c r="K80" s="2">
        <f>IF(AND(VLOOKUP(K$1,test!$A$3:$F$32,5,FALSE) - VLOOKUP($B80,test!$A$3:$G$32,6,FALSE) &gt;= (test!$B$35+VLOOKUP(VLOOKUP($B80,test!$A$2:$I$32,4,FALSE),test!$J$10:$P$14,5,FALSE))/1440),1,0)</f>
        <v>1</v>
      </c>
      <c r="L80" s="2">
        <f>IF(AND(VLOOKUP(L$1,test!$A$3:$F$32,5,FALSE) - VLOOKUP($B80,test!$A$3:$G$32,6,FALSE) &gt;= (test!$B$35+VLOOKUP(VLOOKUP($B80,test!$A$2:$I$32,4,FALSE),test!$J$10:$P$14,5,FALSE))/1440),1,0)</f>
        <v>0</v>
      </c>
      <c r="M80" s="2">
        <f>IF(AND(VLOOKUP(M$1,test!$A$3:$F$32,5,FALSE) - VLOOKUP($B80,test!$A$3:$G$32,6,FALSE) &gt;= (test!$B$35+VLOOKUP(VLOOKUP($B80,test!$A$2:$I$32,4,FALSE),test!$J$10:$P$14,5,FALSE))/1440),1,0)</f>
        <v>0</v>
      </c>
      <c r="N80" s="2">
        <f>IF(AND(VLOOKUP(N$1,test!$A$3:$F$32,5,FALSE) - VLOOKUP($B80,test!$A$3:$G$32,6,FALSE) &gt;= (test!$B$35+VLOOKUP(VLOOKUP($B80,test!$A$2:$I$32,4,FALSE),test!$J$10:$P$14,5,FALSE))/1440),1,0)</f>
        <v>0</v>
      </c>
      <c r="O80" s="2">
        <f>IF(AND(VLOOKUP(O$1,test!$A$3:$F$32,5,FALSE) - VLOOKUP($B80,test!$A$3:$G$32,6,FALSE) &gt;= (test!$B$35+VLOOKUP(VLOOKUP($B80,test!$A$2:$I$32,4,FALSE),test!$J$10:$P$14,5,FALSE))/1440),1,0)</f>
        <v>1</v>
      </c>
      <c r="P80" s="2">
        <f>IF(AND(VLOOKUP(P$1,test!$A$3:$F$32,5,FALSE) - VLOOKUP($B80,test!$A$3:$G$32,6,FALSE) &gt;= (test!$B$35+VLOOKUP(VLOOKUP($B80,test!$A$2:$I$32,4,FALSE),test!$J$10:$P$14,5,FALSE))/1440),1,0)</f>
        <v>1</v>
      </c>
      <c r="Q80" s="2">
        <f>IF(AND(VLOOKUP(Q$1,test!$A$3:$F$32,5,FALSE) - VLOOKUP($B80,test!$A$3:$G$32,6,FALSE) &gt;= (test!$B$35+VLOOKUP(VLOOKUP($B80,test!$A$2:$I$32,4,FALSE),test!$J$10:$P$14,5,FALSE))/1440),1,0)</f>
        <v>0</v>
      </c>
      <c r="R80" s="2">
        <f>IF(AND(VLOOKUP(R$1,test!$A$3:$F$32,5,FALSE) - VLOOKUP($B80,test!$A$3:$G$32,6,FALSE) &gt;= (test!$B$35+VLOOKUP(VLOOKUP($B80,test!$A$2:$I$32,4,FALSE),test!$J$10:$P$14,5,FALSE))/1440),1,0)</f>
        <v>0</v>
      </c>
      <c r="S80" s="2">
        <f>IF(AND(VLOOKUP(S$1,test!$A$3:$F$32,5,FALSE) - VLOOKUP($B80,test!$A$3:$G$32,6,FALSE) &gt;= (test!$B$35+VLOOKUP(VLOOKUP($B80,test!$A$2:$I$32,4,FALSE),test!$J$10:$P$14,5,FALSE))/1440),1,0)</f>
        <v>0</v>
      </c>
      <c r="T80" s="2">
        <f>IF(AND(VLOOKUP(T$1,test!$A$3:$F$32,5,FALSE) - VLOOKUP($B80,test!$A$3:$G$32,6,FALSE) &gt;= (test!$B$35+VLOOKUP(VLOOKUP($B80,test!$A$2:$I$32,4,FALSE),test!$J$10:$P$14,5,FALSE))/1440),1,0)</f>
        <v>0</v>
      </c>
      <c r="U80" s="2">
        <f>IF(AND(VLOOKUP(U$1,test!$A$3:$F$32,5,FALSE) - VLOOKUP($B80,test!$A$3:$G$32,6,FALSE) &gt;= (test!$B$35+VLOOKUP(VLOOKUP($B80,test!$A$2:$I$32,4,FALSE),test!$J$10:$P$14,5,FALSE))/1440),1,0)</f>
        <v>0</v>
      </c>
      <c r="V80" s="2">
        <f>IF(AND(VLOOKUP(V$1,test!$A$3:$F$32,5,FALSE) - VLOOKUP($B80,test!$A$3:$G$32,6,FALSE) &gt;= (test!$B$35+VLOOKUP(VLOOKUP($B80,test!$A$2:$I$32,4,FALSE),test!$J$10:$P$14,5,FALSE))/1440),1,0)</f>
        <v>0</v>
      </c>
      <c r="W80" s="2">
        <f>IF(AND(VLOOKUP(W$1,test!$A$3:$F$32,5,FALSE) - VLOOKUP($B80,test!$A$3:$G$32,6,FALSE) &gt;= (test!$B$35+VLOOKUP(VLOOKUP($B80,test!$A$2:$I$32,4,FALSE),test!$J$10:$P$14,5,FALSE))/1440),1,0)</f>
        <v>1</v>
      </c>
      <c r="X80" s="2">
        <f>IF(AND(VLOOKUP(X$1,test!$A$3:$F$32,5,FALSE) - VLOOKUP($B80,test!$A$3:$G$32,6,FALSE) &gt;= (test!$B$35+VLOOKUP(VLOOKUP($B80,test!$A$2:$I$32,4,FALSE),test!$J$10:$P$14,5,FALSE))/1440),1,0)</f>
        <v>1</v>
      </c>
      <c r="Y80" s="2">
        <f>IF(AND(VLOOKUP(Y$1,test!$A$3:$F$32,5,FALSE) - VLOOKUP($B80,test!$A$3:$G$32,6,FALSE) &gt;= (test!$B$35+VLOOKUP(VLOOKUP($B80,test!$A$2:$I$32,4,FALSE),test!$J$10:$P$14,5,FALSE))/1440),1,0)</f>
        <v>1</v>
      </c>
      <c r="Z80" s="2">
        <f>IF(AND(VLOOKUP(Z$1,test!$A$3:$F$32,5,FALSE) - VLOOKUP($B80,test!$A$3:$G$32,6,FALSE) &gt;= (test!$B$35+VLOOKUP(VLOOKUP($B80,test!$A$2:$I$32,4,FALSE),test!$J$10:$P$14,5,FALSE))/1440),1,0)</f>
        <v>0</v>
      </c>
      <c r="AA80" s="2">
        <f>IF(AND(VLOOKUP(AA$1,test!$A$3:$F$32,5,FALSE) - VLOOKUP($B80,test!$A$3:$G$32,6,FALSE) &gt;= (test!$B$35+VLOOKUP(VLOOKUP($B80,test!$A$2:$I$32,4,FALSE),test!$J$10:$P$14,5,FALSE))/1440),1,0)</f>
        <v>0</v>
      </c>
      <c r="AB80" s="2">
        <f>IF(AND(VLOOKUP(AB$1,test!$A$3:$F$32,5,FALSE) - VLOOKUP($B80,test!$A$3:$G$32,6,FALSE) &gt;= (test!$B$35+VLOOKUP(VLOOKUP($B80,test!$A$2:$I$32,4,FALSE),test!$J$10:$P$14,5,FALSE))/1440),1,0)</f>
        <v>0</v>
      </c>
      <c r="AC80" s="2">
        <f>IF(AND(VLOOKUP(AC$1,test!$A$3:$F$32,5,FALSE) - VLOOKUP($B80,test!$A$3:$G$32,6,FALSE) &gt;= (test!$B$35+VLOOKUP(VLOOKUP($B80,test!$A$2:$I$32,4,FALSE),test!$J$10:$P$14,5,FALSE))/1440),1,0)</f>
        <v>0</v>
      </c>
      <c r="AD80" s="2">
        <f>IF(AND(VLOOKUP(AD$1,test!$A$3:$F$32,5,FALSE) - VLOOKUP($B80,test!$A$3:$G$32,6,FALSE) &gt;= (test!$B$35+VLOOKUP(VLOOKUP($B80,test!$A$2:$I$32,4,FALSE),test!$J$10:$P$14,5,FALSE))/1440),1,0)</f>
        <v>1</v>
      </c>
      <c r="AE80" s="2">
        <f>IF(AND(VLOOKUP(AE$1,test!$A$3:$F$32,5,FALSE) - VLOOKUP($B80,test!$A$3:$G$32,6,FALSE) &gt;= (test!$B$35+VLOOKUP(VLOOKUP($B80,test!$A$2:$I$32,4,FALSE),test!$J$10:$P$14,5,FALSE))/1440),1,0)</f>
        <v>0</v>
      </c>
      <c r="AF80" s="2">
        <f>IF(AND(VLOOKUP(AF$1,test!$A$3:$F$32,5,FALSE) - VLOOKUP($B80,test!$A$3:$G$32,6,FALSE) &gt;= (test!$B$35+VLOOKUP(VLOOKUP($B80,test!$A$2:$I$32,4,FALSE),test!$J$10:$P$14,5,FALSE))/1440),1,0)</f>
        <v>0</v>
      </c>
      <c r="AG80" s="2">
        <f>IF(AND(VLOOKUP(AG$1,test!$A$3:$F$32,5,FALSE) - VLOOKUP($B80,test!$A$3:$G$32,6,FALSE) &gt;= (test!$B$35+VLOOKUP(VLOOKUP($B80,test!$A$2:$I$32,4,FALSE),test!$J$10:$P$14,5,FALSE))/1440),1,0)</f>
        <v>0</v>
      </c>
    </row>
    <row r="81" spans="1:33" x14ac:dyDescent="0.25">
      <c r="A81" t="s">
        <v>97</v>
      </c>
      <c r="B81" t="s">
        <v>28</v>
      </c>
      <c r="C81">
        <v>0</v>
      </c>
      <c r="D81" s="2">
        <f>IF(AND(VLOOKUP(D$1,test!$A$3:$F$32,5,FALSE) - VLOOKUP($B81,test!$A$3:$G$32,6,FALSE) &gt;= (test!$B$35+VLOOKUP(VLOOKUP($B81,test!$A$2:$I$32,4,FALSE),test!$J$10:$P$14,5,FALSE))/1440),1,0)</f>
        <v>0</v>
      </c>
      <c r="E81" s="2">
        <f>IF(AND(VLOOKUP(E$1,test!$A$3:$F$32,5,FALSE) - VLOOKUP($B81,test!$A$3:$G$32,6,FALSE) &gt;= (test!$B$35+VLOOKUP(VLOOKUP($B81,test!$A$2:$I$32,4,FALSE),test!$J$10:$P$14,5,FALSE))/1440),1,0)</f>
        <v>0</v>
      </c>
      <c r="F81" s="2">
        <f>IF(AND(VLOOKUP(F$1,test!$A$3:$F$32,5,FALSE) - VLOOKUP($B81,test!$A$3:$G$32,6,FALSE) &gt;= (test!$B$35+VLOOKUP(VLOOKUP($B81,test!$A$2:$I$32,4,FALSE),test!$J$10:$P$14,5,FALSE))/1440),1,0)</f>
        <v>0</v>
      </c>
      <c r="G81" s="2">
        <f>IF(AND(VLOOKUP(G$1,test!$A$3:$F$32,5,FALSE) - VLOOKUP($B81,test!$A$3:$G$32,6,FALSE) &gt;= (test!$B$35+VLOOKUP(VLOOKUP($B81,test!$A$2:$I$32,4,FALSE),test!$J$10:$P$14,5,FALSE))/1440),1,0)</f>
        <v>0</v>
      </c>
      <c r="H81" s="2">
        <f>IF(AND(VLOOKUP(H$1,test!$A$3:$F$32,5,FALSE) - VLOOKUP($B81,test!$A$3:$G$32,6,FALSE) &gt;= (test!$B$35+VLOOKUP(VLOOKUP($B81,test!$A$2:$I$32,4,FALSE),test!$J$10:$P$14,5,FALSE))/1440),1,0)</f>
        <v>0</v>
      </c>
      <c r="I81" s="2">
        <f>IF(AND(VLOOKUP(I$1,test!$A$3:$F$32,5,FALSE) - VLOOKUP($B81,test!$A$3:$G$32,6,FALSE) &gt;= (test!$B$35+VLOOKUP(VLOOKUP($B81,test!$A$2:$I$32,4,FALSE),test!$J$10:$P$14,5,FALSE))/1440),1,0)</f>
        <v>0</v>
      </c>
      <c r="J81" s="2">
        <f>IF(AND(VLOOKUP(J$1,test!$A$3:$F$32,5,FALSE) - VLOOKUP($B81,test!$A$3:$G$32,6,FALSE) &gt;= (test!$B$35+VLOOKUP(VLOOKUP($B81,test!$A$2:$I$32,4,FALSE),test!$J$10:$P$14,5,FALSE))/1440),1,0)</f>
        <v>1</v>
      </c>
      <c r="K81" s="2">
        <f>IF(AND(VLOOKUP(K$1,test!$A$3:$F$32,5,FALSE) - VLOOKUP($B81,test!$A$3:$G$32,6,FALSE) &gt;= (test!$B$35+VLOOKUP(VLOOKUP($B81,test!$A$2:$I$32,4,FALSE),test!$J$10:$P$14,5,FALSE))/1440),1,0)</f>
        <v>1</v>
      </c>
      <c r="L81" s="2">
        <f>IF(AND(VLOOKUP(L$1,test!$A$3:$F$32,5,FALSE) - VLOOKUP($B81,test!$A$3:$G$32,6,FALSE) &gt;= (test!$B$35+VLOOKUP(VLOOKUP($B81,test!$A$2:$I$32,4,FALSE),test!$J$10:$P$14,5,FALSE))/1440),1,0)</f>
        <v>0</v>
      </c>
      <c r="M81" s="2">
        <f>IF(AND(VLOOKUP(M$1,test!$A$3:$F$32,5,FALSE) - VLOOKUP($B81,test!$A$3:$G$32,6,FALSE) &gt;= (test!$B$35+VLOOKUP(VLOOKUP($B81,test!$A$2:$I$32,4,FALSE),test!$J$10:$P$14,5,FALSE))/1440),1,0)</f>
        <v>0</v>
      </c>
      <c r="N81" s="2">
        <f>IF(AND(VLOOKUP(N$1,test!$A$3:$F$32,5,FALSE) - VLOOKUP($B81,test!$A$3:$G$32,6,FALSE) &gt;= (test!$B$35+VLOOKUP(VLOOKUP($B81,test!$A$2:$I$32,4,FALSE),test!$J$10:$P$14,5,FALSE))/1440),1,0)</f>
        <v>0</v>
      </c>
      <c r="O81" s="2">
        <f>IF(AND(VLOOKUP(O$1,test!$A$3:$F$32,5,FALSE) - VLOOKUP($B81,test!$A$3:$G$32,6,FALSE) &gt;= (test!$B$35+VLOOKUP(VLOOKUP($B81,test!$A$2:$I$32,4,FALSE),test!$J$10:$P$14,5,FALSE))/1440),1,0)</f>
        <v>1</v>
      </c>
      <c r="P81" s="2">
        <f>IF(AND(VLOOKUP(P$1,test!$A$3:$F$32,5,FALSE) - VLOOKUP($B81,test!$A$3:$G$32,6,FALSE) &gt;= (test!$B$35+VLOOKUP(VLOOKUP($B81,test!$A$2:$I$32,4,FALSE),test!$J$10:$P$14,5,FALSE))/1440),1,0)</f>
        <v>1</v>
      </c>
      <c r="Q81" s="2">
        <f>IF(AND(VLOOKUP(Q$1,test!$A$3:$F$32,5,FALSE) - VLOOKUP($B81,test!$A$3:$G$32,6,FALSE) &gt;= (test!$B$35+VLOOKUP(VLOOKUP($B81,test!$A$2:$I$32,4,FALSE),test!$J$10:$P$14,5,FALSE))/1440),1,0)</f>
        <v>0</v>
      </c>
      <c r="R81" s="2">
        <f>IF(AND(VLOOKUP(R$1,test!$A$3:$F$32,5,FALSE) - VLOOKUP($B81,test!$A$3:$G$32,6,FALSE) &gt;= (test!$B$35+VLOOKUP(VLOOKUP($B81,test!$A$2:$I$32,4,FALSE),test!$J$10:$P$14,5,FALSE))/1440),1,0)</f>
        <v>0</v>
      </c>
      <c r="S81" s="2">
        <f>IF(AND(VLOOKUP(S$1,test!$A$3:$F$32,5,FALSE) - VLOOKUP($B81,test!$A$3:$G$32,6,FALSE) &gt;= (test!$B$35+VLOOKUP(VLOOKUP($B81,test!$A$2:$I$32,4,FALSE),test!$J$10:$P$14,5,FALSE))/1440),1,0)</f>
        <v>0</v>
      </c>
      <c r="T81" s="2">
        <f>IF(AND(VLOOKUP(T$1,test!$A$3:$F$32,5,FALSE) - VLOOKUP($B81,test!$A$3:$G$32,6,FALSE) &gt;= (test!$B$35+VLOOKUP(VLOOKUP($B81,test!$A$2:$I$32,4,FALSE),test!$J$10:$P$14,5,FALSE))/1440),1,0)</f>
        <v>0</v>
      </c>
      <c r="U81" s="2">
        <f>IF(AND(VLOOKUP(U$1,test!$A$3:$F$32,5,FALSE) - VLOOKUP($B81,test!$A$3:$G$32,6,FALSE) &gt;= (test!$B$35+VLOOKUP(VLOOKUP($B81,test!$A$2:$I$32,4,FALSE),test!$J$10:$P$14,5,FALSE))/1440),1,0)</f>
        <v>0</v>
      </c>
      <c r="V81" s="2">
        <f>IF(AND(VLOOKUP(V$1,test!$A$3:$F$32,5,FALSE) - VLOOKUP($B81,test!$A$3:$G$32,6,FALSE) &gt;= (test!$B$35+VLOOKUP(VLOOKUP($B81,test!$A$2:$I$32,4,FALSE),test!$J$10:$P$14,5,FALSE))/1440),1,0)</f>
        <v>0</v>
      </c>
      <c r="W81" s="2">
        <f>IF(AND(VLOOKUP(W$1,test!$A$3:$F$32,5,FALSE) - VLOOKUP($B81,test!$A$3:$G$32,6,FALSE) &gt;= (test!$B$35+VLOOKUP(VLOOKUP($B81,test!$A$2:$I$32,4,FALSE),test!$J$10:$P$14,5,FALSE))/1440),1,0)</f>
        <v>0</v>
      </c>
      <c r="X81" s="2">
        <f>IF(AND(VLOOKUP(X$1,test!$A$3:$F$32,5,FALSE) - VLOOKUP($B81,test!$A$3:$G$32,6,FALSE) &gt;= (test!$B$35+VLOOKUP(VLOOKUP($B81,test!$A$2:$I$32,4,FALSE),test!$J$10:$P$14,5,FALSE))/1440),1,0)</f>
        <v>1</v>
      </c>
      <c r="Y81" s="2">
        <f>IF(AND(VLOOKUP(Y$1,test!$A$3:$F$32,5,FALSE) - VLOOKUP($B81,test!$A$3:$G$32,6,FALSE) &gt;= (test!$B$35+VLOOKUP(VLOOKUP($B81,test!$A$2:$I$32,4,FALSE),test!$J$10:$P$14,5,FALSE))/1440),1,0)</f>
        <v>1</v>
      </c>
      <c r="Z81" s="2">
        <f>IF(AND(VLOOKUP(Z$1,test!$A$3:$F$32,5,FALSE) - VLOOKUP($B81,test!$A$3:$G$32,6,FALSE) &gt;= (test!$B$35+VLOOKUP(VLOOKUP($B81,test!$A$2:$I$32,4,FALSE),test!$J$10:$P$14,5,FALSE))/1440),1,0)</f>
        <v>0</v>
      </c>
      <c r="AA81" s="2">
        <f>IF(AND(VLOOKUP(AA$1,test!$A$3:$F$32,5,FALSE) - VLOOKUP($B81,test!$A$3:$G$32,6,FALSE) &gt;= (test!$B$35+VLOOKUP(VLOOKUP($B81,test!$A$2:$I$32,4,FALSE),test!$J$10:$P$14,5,FALSE))/1440),1,0)</f>
        <v>0</v>
      </c>
      <c r="AB81" s="2">
        <f>IF(AND(VLOOKUP(AB$1,test!$A$3:$F$32,5,FALSE) - VLOOKUP($B81,test!$A$3:$G$32,6,FALSE) &gt;= (test!$B$35+VLOOKUP(VLOOKUP($B81,test!$A$2:$I$32,4,FALSE),test!$J$10:$P$14,5,FALSE))/1440),1,0)</f>
        <v>0</v>
      </c>
      <c r="AC81" s="2">
        <f>IF(AND(VLOOKUP(AC$1,test!$A$3:$F$32,5,FALSE) - VLOOKUP($B81,test!$A$3:$G$32,6,FALSE) &gt;= (test!$B$35+VLOOKUP(VLOOKUP($B81,test!$A$2:$I$32,4,FALSE),test!$J$10:$P$14,5,FALSE))/1440),1,0)</f>
        <v>0</v>
      </c>
      <c r="AD81" s="2">
        <f>IF(AND(VLOOKUP(AD$1,test!$A$3:$F$32,5,FALSE) - VLOOKUP($B81,test!$A$3:$G$32,6,FALSE) &gt;= (test!$B$35+VLOOKUP(VLOOKUP($B81,test!$A$2:$I$32,4,FALSE),test!$J$10:$P$14,5,FALSE))/1440),1,0)</f>
        <v>0</v>
      </c>
      <c r="AE81" s="2">
        <f>IF(AND(VLOOKUP(AE$1,test!$A$3:$F$32,5,FALSE) - VLOOKUP($B81,test!$A$3:$G$32,6,FALSE) &gt;= (test!$B$35+VLOOKUP(VLOOKUP($B81,test!$A$2:$I$32,4,FALSE),test!$J$10:$P$14,5,FALSE))/1440),1,0)</f>
        <v>0</v>
      </c>
      <c r="AF81" s="2">
        <f>IF(AND(VLOOKUP(AF$1,test!$A$3:$F$32,5,FALSE) - VLOOKUP($B81,test!$A$3:$G$32,6,FALSE) &gt;= (test!$B$35+VLOOKUP(VLOOKUP($B81,test!$A$2:$I$32,4,FALSE),test!$J$10:$P$14,5,FALSE))/1440),1,0)</f>
        <v>0</v>
      </c>
      <c r="AG81" s="2">
        <f>IF(AND(VLOOKUP(AG$1,test!$A$3:$F$32,5,FALSE) - VLOOKUP($B81,test!$A$3:$G$32,6,FALSE) &gt;= (test!$B$35+VLOOKUP(VLOOKUP($B81,test!$A$2:$I$32,4,FALSE),test!$J$10:$P$14,5,FALSE))/1440),1,0)</f>
        <v>0</v>
      </c>
    </row>
    <row r="82" spans="1:33" x14ac:dyDescent="0.25">
      <c r="A82" t="s">
        <v>97</v>
      </c>
      <c r="B82" t="s">
        <v>29</v>
      </c>
      <c r="C82">
        <v>0</v>
      </c>
      <c r="D82" s="2">
        <f>IF(AND(VLOOKUP(D$1,test!$A$3:$F$32,5,FALSE) - VLOOKUP($B82,test!$A$3:$G$32,6,FALSE) &gt;= (test!$B$35+VLOOKUP(VLOOKUP($B82,test!$A$2:$I$32,4,FALSE),test!$J$10:$P$14,5,FALSE))/1440),1,0)</f>
        <v>0</v>
      </c>
      <c r="E82" s="2">
        <f>IF(AND(VLOOKUP(E$1,test!$A$3:$F$32,5,FALSE) - VLOOKUP($B82,test!$A$3:$G$32,6,FALSE) &gt;= (test!$B$35+VLOOKUP(VLOOKUP($B82,test!$A$2:$I$32,4,FALSE),test!$J$10:$P$14,5,FALSE))/1440),1,0)</f>
        <v>0</v>
      </c>
      <c r="F82" s="2">
        <f>IF(AND(VLOOKUP(F$1,test!$A$3:$F$32,5,FALSE) - VLOOKUP($B82,test!$A$3:$G$32,6,FALSE) &gt;= (test!$B$35+VLOOKUP(VLOOKUP($B82,test!$A$2:$I$32,4,FALSE),test!$J$10:$P$14,5,FALSE))/1440),1,0)</f>
        <v>0</v>
      </c>
      <c r="G82" s="2">
        <f>IF(AND(VLOOKUP(G$1,test!$A$3:$F$32,5,FALSE) - VLOOKUP($B82,test!$A$3:$G$32,6,FALSE) &gt;= (test!$B$35+VLOOKUP(VLOOKUP($B82,test!$A$2:$I$32,4,FALSE),test!$J$10:$P$14,5,FALSE))/1440),1,0)</f>
        <v>0</v>
      </c>
      <c r="H82" s="2">
        <f>IF(AND(VLOOKUP(H$1,test!$A$3:$F$32,5,FALSE) - VLOOKUP($B82,test!$A$3:$G$32,6,FALSE) &gt;= (test!$B$35+VLOOKUP(VLOOKUP($B82,test!$A$2:$I$32,4,FALSE),test!$J$10:$P$14,5,FALSE))/1440),1,0)</f>
        <v>0</v>
      </c>
      <c r="I82" s="2">
        <f>IF(AND(VLOOKUP(I$1,test!$A$3:$F$32,5,FALSE) - VLOOKUP($B82,test!$A$3:$G$32,6,FALSE) &gt;= (test!$B$35+VLOOKUP(VLOOKUP($B82,test!$A$2:$I$32,4,FALSE),test!$J$10:$P$14,5,FALSE))/1440),1,0)</f>
        <v>0</v>
      </c>
      <c r="J82" s="2">
        <f>IF(AND(VLOOKUP(J$1,test!$A$3:$F$32,5,FALSE) - VLOOKUP($B82,test!$A$3:$G$32,6,FALSE) &gt;= (test!$B$35+VLOOKUP(VLOOKUP($B82,test!$A$2:$I$32,4,FALSE),test!$J$10:$P$14,5,FALSE))/1440),1,0)</f>
        <v>0</v>
      </c>
      <c r="K82" s="2">
        <f>IF(AND(VLOOKUP(K$1,test!$A$3:$F$32,5,FALSE) - VLOOKUP($B82,test!$A$3:$G$32,6,FALSE) &gt;= (test!$B$35+VLOOKUP(VLOOKUP($B82,test!$A$2:$I$32,4,FALSE),test!$J$10:$P$14,5,FALSE))/1440),1,0)</f>
        <v>1</v>
      </c>
      <c r="L82" s="2">
        <f>IF(AND(VLOOKUP(L$1,test!$A$3:$F$32,5,FALSE) - VLOOKUP($B82,test!$A$3:$G$32,6,FALSE) &gt;= (test!$B$35+VLOOKUP(VLOOKUP($B82,test!$A$2:$I$32,4,FALSE),test!$J$10:$P$14,5,FALSE))/1440),1,0)</f>
        <v>0</v>
      </c>
      <c r="M82" s="2">
        <f>IF(AND(VLOOKUP(M$1,test!$A$3:$F$32,5,FALSE) - VLOOKUP($B82,test!$A$3:$G$32,6,FALSE) &gt;= (test!$B$35+VLOOKUP(VLOOKUP($B82,test!$A$2:$I$32,4,FALSE),test!$J$10:$P$14,5,FALSE))/1440),1,0)</f>
        <v>0</v>
      </c>
      <c r="N82" s="2">
        <f>IF(AND(VLOOKUP(N$1,test!$A$3:$F$32,5,FALSE) - VLOOKUP($B82,test!$A$3:$G$32,6,FALSE) &gt;= (test!$B$35+VLOOKUP(VLOOKUP($B82,test!$A$2:$I$32,4,FALSE),test!$J$10:$P$14,5,FALSE))/1440),1,0)</f>
        <v>0</v>
      </c>
      <c r="O82" s="2">
        <f>IF(AND(VLOOKUP(O$1,test!$A$3:$F$32,5,FALSE) - VLOOKUP($B82,test!$A$3:$G$32,6,FALSE) &gt;= (test!$B$35+VLOOKUP(VLOOKUP($B82,test!$A$2:$I$32,4,FALSE),test!$J$10:$P$14,5,FALSE))/1440),1,0)</f>
        <v>1</v>
      </c>
      <c r="P82" s="2">
        <f>IF(AND(VLOOKUP(P$1,test!$A$3:$F$32,5,FALSE) - VLOOKUP($B82,test!$A$3:$G$32,6,FALSE) &gt;= (test!$B$35+VLOOKUP(VLOOKUP($B82,test!$A$2:$I$32,4,FALSE),test!$J$10:$P$14,5,FALSE))/1440),1,0)</f>
        <v>1</v>
      </c>
      <c r="Q82" s="2">
        <f>IF(AND(VLOOKUP(Q$1,test!$A$3:$F$32,5,FALSE) - VLOOKUP($B82,test!$A$3:$G$32,6,FALSE) &gt;= (test!$B$35+VLOOKUP(VLOOKUP($B82,test!$A$2:$I$32,4,FALSE),test!$J$10:$P$14,5,FALSE))/1440),1,0)</f>
        <v>0</v>
      </c>
      <c r="R82" s="2">
        <f>IF(AND(VLOOKUP(R$1,test!$A$3:$F$32,5,FALSE) - VLOOKUP($B82,test!$A$3:$G$32,6,FALSE) &gt;= (test!$B$35+VLOOKUP(VLOOKUP($B82,test!$A$2:$I$32,4,FALSE),test!$J$10:$P$14,5,FALSE))/1440),1,0)</f>
        <v>0</v>
      </c>
      <c r="S82" s="2">
        <f>IF(AND(VLOOKUP(S$1,test!$A$3:$F$32,5,FALSE) - VLOOKUP($B82,test!$A$3:$G$32,6,FALSE) &gt;= (test!$B$35+VLOOKUP(VLOOKUP($B82,test!$A$2:$I$32,4,FALSE),test!$J$10:$P$14,5,FALSE))/1440),1,0)</f>
        <v>0</v>
      </c>
      <c r="T82" s="2">
        <f>IF(AND(VLOOKUP(T$1,test!$A$3:$F$32,5,FALSE) - VLOOKUP($B82,test!$A$3:$G$32,6,FALSE) &gt;= (test!$B$35+VLOOKUP(VLOOKUP($B82,test!$A$2:$I$32,4,FALSE),test!$J$10:$P$14,5,FALSE))/1440),1,0)</f>
        <v>0</v>
      </c>
      <c r="U82" s="2">
        <f>IF(AND(VLOOKUP(U$1,test!$A$3:$F$32,5,FALSE) - VLOOKUP($B82,test!$A$3:$G$32,6,FALSE) &gt;= (test!$B$35+VLOOKUP(VLOOKUP($B82,test!$A$2:$I$32,4,FALSE),test!$J$10:$P$14,5,FALSE))/1440),1,0)</f>
        <v>0</v>
      </c>
      <c r="V82" s="2">
        <f>IF(AND(VLOOKUP(V$1,test!$A$3:$F$32,5,FALSE) - VLOOKUP($B82,test!$A$3:$G$32,6,FALSE) &gt;= (test!$B$35+VLOOKUP(VLOOKUP($B82,test!$A$2:$I$32,4,FALSE),test!$J$10:$P$14,5,FALSE))/1440),1,0)</f>
        <v>0</v>
      </c>
      <c r="W82" s="2">
        <f>IF(AND(VLOOKUP(W$1,test!$A$3:$F$32,5,FALSE) - VLOOKUP($B82,test!$A$3:$G$32,6,FALSE) &gt;= (test!$B$35+VLOOKUP(VLOOKUP($B82,test!$A$2:$I$32,4,FALSE),test!$J$10:$P$14,5,FALSE))/1440),1,0)</f>
        <v>0</v>
      </c>
      <c r="X82" s="2">
        <f>IF(AND(VLOOKUP(X$1,test!$A$3:$F$32,5,FALSE) - VLOOKUP($B82,test!$A$3:$G$32,6,FALSE) &gt;= (test!$B$35+VLOOKUP(VLOOKUP($B82,test!$A$2:$I$32,4,FALSE),test!$J$10:$P$14,5,FALSE))/1440),1,0)</f>
        <v>0</v>
      </c>
      <c r="Y82" s="2">
        <f>IF(AND(VLOOKUP(Y$1,test!$A$3:$F$32,5,FALSE) - VLOOKUP($B82,test!$A$3:$G$32,6,FALSE) &gt;= (test!$B$35+VLOOKUP(VLOOKUP($B82,test!$A$2:$I$32,4,FALSE),test!$J$10:$P$14,5,FALSE))/1440),1,0)</f>
        <v>1</v>
      </c>
      <c r="Z82" s="2">
        <f>IF(AND(VLOOKUP(Z$1,test!$A$3:$F$32,5,FALSE) - VLOOKUP($B82,test!$A$3:$G$32,6,FALSE) &gt;= (test!$B$35+VLOOKUP(VLOOKUP($B82,test!$A$2:$I$32,4,FALSE),test!$J$10:$P$14,5,FALSE))/1440),1,0)</f>
        <v>0</v>
      </c>
      <c r="AA82" s="2">
        <f>IF(AND(VLOOKUP(AA$1,test!$A$3:$F$32,5,FALSE) - VLOOKUP($B82,test!$A$3:$G$32,6,FALSE) &gt;= (test!$B$35+VLOOKUP(VLOOKUP($B82,test!$A$2:$I$32,4,FALSE),test!$J$10:$P$14,5,FALSE))/1440),1,0)</f>
        <v>0</v>
      </c>
      <c r="AB82" s="2">
        <f>IF(AND(VLOOKUP(AB$1,test!$A$3:$F$32,5,FALSE) - VLOOKUP($B82,test!$A$3:$G$32,6,FALSE) &gt;= (test!$B$35+VLOOKUP(VLOOKUP($B82,test!$A$2:$I$32,4,FALSE),test!$J$10:$P$14,5,FALSE))/1440),1,0)</f>
        <v>0</v>
      </c>
      <c r="AC82" s="2">
        <f>IF(AND(VLOOKUP(AC$1,test!$A$3:$F$32,5,FALSE) - VLOOKUP($B82,test!$A$3:$G$32,6,FALSE) &gt;= (test!$B$35+VLOOKUP(VLOOKUP($B82,test!$A$2:$I$32,4,FALSE),test!$J$10:$P$14,5,FALSE))/1440),1,0)</f>
        <v>0</v>
      </c>
      <c r="AD82" s="2">
        <f>IF(AND(VLOOKUP(AD$1,test!$A$3:$F$32,5,FALSE) - VLOOKUP($B82,test!$A$3:$G$32,6,FALSE) &gt;= (test!$B$35+VLOOKUP(VLOOKUP($B82,test!$A$2:$I$32,4,FALSE),test!$J$10:$P$14,5,FALSE))/1440),1,0)</f>
        <v>0</v>
      </c>
      <c r="AE82" s="2">
        <f>IF(AND(VLOOKUP(AE$1,test!$A$3:$F$32,5,FALSE) - VLOOKUP($B82,test!$A$3:$G$32,6,FALSE) &gt;= (test!$B$35+VLOOKUP(VLOOKUP($B82,test!$A$2:$I$32,4,FALSE),test!$J$10:$P$14,5,FALSE))/1440),1,0)</f>
        <v>0</v>
      </c>
      <c r="AF82" s="2">
        <f>IF(AND(VLOOKUP(AF$1,test!$A$3:$F$32,5,FALSE) - VLOOKUP($B82,test!$A$3:$G$32,6,FALSE) &gt;= (test!$B$35+VLOOKUP(VLOOKUP($B82,test!$A$2:$I$32,4,FALSE),test!$J$10:$P$14,5,FALSE))/1440),1,0)</f>
        <v>0</v>
      </c>
      <c r="AG82" s="2">
        <f>IF(AND(VLOOKUP(AG$1,test!$A$3:$F$32,5,FALSE) - VLOOKUP($B82,test!$A$3:$G$32,6,FALSE) &gt;= (test!$B$35+VLOOKUP(VLOOKUP($B82,test!$A$2:$I$32,4,FALSE),test!$J$10:$P$14,5,FALSE))/1440),1,0)</f>
        <v>0</v>
      </c>
    </row>
    <row r="83" spans="1:33" x14ac:dyDescent="0.25">
      <c r="A83" t="s">
        <v>97</v>
      </c>
      <c r="B83" t="s">
        <v>30</v>
      </c>
      <c r="C83">
        <v>0</v>
      </c>
      <c r="D83" s="2">
        <f>IF(AND(VLOOKUP(D$1,test!$A$3:$F$32,5,FALSE) - VLOOKUP($B83,test!$A$3:$G$32,6,FALSE) &gt;= (test!$B$35+VLOOKUP(VLOOKUP($B83,test!$A$2:$I$32,4,FALSE),test!$J$10:$P$14,5,FALSE))/1440),1,0)</f>
        <v>0</v>
      </c>
      <c r="E83" s="2">
        <f>IF(AND(VLOOKUP(E$1,test!$A$3:$F$32,5,FALSE) - VLOOKUP($B83,test!$A$3:$G$32,6,FALSE) &gt;= (test!$B$35+VLOOKUP(VLOOKUP($B83,test!$A$2:$I$32,4,FALSE),test!$J$10:$P$14,5,FALSE))/1440),1,0)</f>
        <v>0</v>
      </c>
      <c r="F83" s="2">
        <f>IF(AND(VLOOKUP(F$1,test!$A$3:$F$32,5,FALSE) - VLOOKUP($B83,test!$A$3:$G$32,6,FALSE) &gt;= (test!$B$35+VLOOKUP(VLOOKUP($B83,test!$A$2:$I$32,4,FALSE),test!$J$10:$P$14,5,FALSE))/1440),1,0)</f>
        <v>0</v>
      </c>
      <c r="G83" s="2">
        <f>IF(AND(VLOOKUP(G$1,test!$A$3:$F$32,5,FALSE) - VLOOKUP($B83,test!$A$3:$G$32,6,FALSE) &gt;= (test!$B$35+VLOOKUP(VLOOKUP($B83,test!$A$2:$I$32,4,FALSE),test!$J$10:$P$14,5,FALSE))/1440),1,0)</f>
        <v>0</v>
      </c>
      <c r="H83" s="2">
        <f>IF(AND(VLOOKUP(H$1,test!$A$3:$F$32,5,FALSE) - VLOOKUP($B83,test!$A$3:$G$32,6,FALSE) &gt;= (test!$B$35+VLOOKUP(VLOOKUP($B83,test!$A$2:$I$32,4,FALSE),test!$J$10:$P$14,5,FALSE))/1440),1,0)</f>
        <v>0</v>
      </c>
      <c r="I83" s="2">
        <f>IF(AND(VLOOKUP(I$1,test!$A$3:$F$32,5,FALSE) - VLOOKUP($B83,test!$A$3:$G$32,6,FALSE) &gt;= (test!$B$35+VLOOKUP(VLOOKUP($B83,test!$A$2:$I$32,4,FALSE),test!$J$10:$P$14,5,FALSE))/1440),1,0)</f>
        <v>0</v>
      </c>
      <c r="J83" s="2">
        <f>IF(AND(VLOOKUP(J$1,test!$A$3:$F$32,5,FALSE) - VLOOKUP($B83,test!$A$3:$G$32,6,FALSE) &gt;= (test!$B$35+VLOOKUP(VLOOKUP($B83,test!$A$2:$I$32,4,FALSE),test!$J$10:$P$14,5,FALSE))/1440),1,0)</f>
        <v>0</v>
      </c>
      <c r="K83" s="2">
        <f>IF(AND(VLOOKUP(K$1,test!$A$3:$F$32,5,FALSE) - VLOOKUP($B83,test!$A$3:$G$32,6,FALSE) &gt;= (test!$B$35+VLOOKUP(VLOOKUP($B83,test!$A$2:$I$32,4,FALSE),test!$J$10:$P$14,5,FALSE))/1440),1,0)</f>
        <v>0</v>
      </c>
      <c r="L83" s="2">
        <f>IF(AND(VLOOKUP(L$1,test!$A$3:$F$32,5,FALSE) - VLOOKUP($B83,test!$A$3:$G$32,6,FALSE) &gt;= (test!$B$35+VLOOKUP(VLOOKUP($B83,test!$A$2:$I$32,4,FALSE),test!$J$10:$P$14,5,FALSE))/1440),1,0)</f>
        <v>0</v>
      </c>
      <c r="M83" s="2">
        <f>IF(AND(VLOOKUP(M$1,test!$A$3:$F$32,5,FALSE) - VLOOKUP($B83,test!$A$3:$G$32,6,FALSE) &gt;= (test!$B$35+VLOOKUP(VLOOKUP($B83,test!$A$2:$I$32,4,FALSE),test!$J$10:$P$14,5,FALSE))/1440),1,0)</f>
        <v>0</v>
      </c>
      <c r="N83" s="2">
        <f>IF(AND(VLOOKUP(N$1,test!$A$3:$F$32,5,FALSE) - VLOOKUP($B83,test!$A$3:$G$32,6,FALSE) &gt;= (test!$B$35+VLOOKUP(VLOOKUP($B83,test!$A$2:$I$32,4,FALSE),test!$J$10:$P$14,5,FALSE))/1440),1,0)</f>
        <v>0</v>
      </c>
      <c r="O83" s="2">
        <f>IF(AND(VLOOKUP(O$1,test!$A$3:$F$32,5,FALSE) - VLOOKUP($B83,test!$A$3:$G$32,6,FALSE) &gt;= (test!$B$35+VLOOKUP(VLOOKUP($B83,test!$A$2:$I$32,4,FALSE),test!$J$10:$P$14,5,FALSE))/1440),1,0)</f>
        <v>0</v>
      </c>
      <c r="P83" s="2">
        <f>IF(AND(VLOOKUP(P$1,test!$A$3:$F$32,5,FALSE) - VLOOKUP($B83,test!$A$3:$G$32,6,FALSE) &gt;= (test!$B$35+VLOOKUP(VLOOKUP($B83,test!$A$2:$I$32,4,FALSE),test!$J$10:$P$14,5,FALSE))/1440),1,0)</f>
        <v>0</v>
      </c>
      <c r="Q83" s="2">
        <f>IF(AND(VLOOKUP(Q$1,test!$A$3:$F$32,5,FALSE) - VLOOKUP($B83,test!$A$3:$G$32,6,FALSE) &gt;= (test!$B$35+VLOOKUP(VLOOKUP($B83,test!$A$2:$I$32,4,FALSE),test!$J$10:$P$14,5,FALSE))/1440),1,0)</f>
        <v>0</v>
      </c>
      <c r="R83" s="2">
        <f>IF(AND(VLOOKUP(R$1,test!$A$3:$F$32,5,FALSE) - VLOOKUP($B83,test!$A$3:$G$32,6,FALSE) &gt;= (test!$B$35+VLOOKUP(VLOOKUP($B83,test!$A$2:$I$32,4,FALSE),test!$J$10:$P$14,5,FALSE))/1440),1,0)</f>
        <v>0</v>
      </c>
      <c r="S83" s="2">
        <f>IF(AND(VLOOKUP(S$1,test!$A$3:$F$32,5,FALSE) - VLOOKUP($B83,test!$A$3:$G$32,6,FALSE) &gt;= (test!$B$35+VLOOKUP(VLOOKUP($B83,test!$A$2:$I$32,4,FALSE),test!$J$10:$P$14,5,FALSE))/1440),1,0)</f>
        <v>0</v>
      </c>
      <c r="T83" s="2">
        <f>IF(AND(VLOOKUP(T$1,test!$A$3:$F$32,5,FALSE) - VLOOKUP($B83,test!$A$3:$G$32,6,FALSE) &gt;= (test!$B$35+VLOOKUP(VLOOKUP($B83,test!$A$2:$I$32,4,FALSE),test!$J$10:$P$14,5,FALSE))/1440),1,0)</f>
        <v>0</v>
      </c>
      <c r="U83" s="2">
        <f>IF(AND(VLOOKUP(U$1,test!$A$3:$F$32,5,FALSE) - VLOOKUP($B83,test!$A$3:$G$32,6,FALSE) &gt;= (test!$B$35+VLOOKUP(VLOOKUP($B83,test!$A$2:$I$32,4,FALSE),test!$J$10:$P$14,5,FALSE))/1440),1,0)</f>
        <v>0</v>
      </c>
      <c r="V83" s="2">
        <f>IF(AND(VLOOKUP(V$1,test!$A$3:$F$32,5,FALSE) - VLOOKUP($B83,test!$A$3:$G$32,6,FALSE) &gt;= (test!$B$35+VLOOKUP(VLOOKUP($B83,test!$A$2:$I$32,4,FALSE),test!$J$10:$P$14,5,FALSE))/1440),1,0)</f>
        <v>0</v>
      </c>
      <c r="W83" s="2">
        <f>IF(AND(VLOOKUP(W$1,test!$A$3:$F$32,5,FALSE) - VLOOKUP($B83,test!$A$3:$G$32,6,FALSE) &gt;= (test!$B$35+VLOOKUP(VLOOKUP($B83,test!$A$2:$I$32,4,FALSE),test!$J$10:$P$14,5,FALSE))/1440),1,0)</f>
        <v>0</v>
      </c>
      <c r="X83" s="2">
        <f>IF(AND(VLOOKUP(X$1,test!$A$3:$F$32,5,FALSE) - VLOOKUP($B83,test!$A$3:$G$32,6,FALSE) &gt;= (test!$B$35+VLOOKUP(VLOOKUP($B83,test!$A$2:$I$32,4,FALSE),test!$J$10:$P$14,5,FALSE))/1440),1,0)</f>
        <v>0</v>
      </c>
      <c r="Y83" s="2">
        <f>IF(AND(VLOOKUP(Y$1,test!$A$3:$F$32,5,FALSE) - VLOOKUP($B83,test!$A$3:$G$32,6,FALSE) &gt;= (test!$B$35+VLOOKUP(VLOOKUP($B83,test!$A$2:$I$32,4,FALSE),test!$J$10:$P$14,5,FALSE))/1440),1,0)</f>
        <v>0</v>
      </c>
      <c r="Z83" s="2">
        <f>IF(AND(VLOOKUP(Z$1,test!$A$3:$F$32,5,FALSE) - VLOOKUP($B83,test!$A$3:$G$32,6,FALSE) &gt;= (test!$B$35+VLOOKUP(VLOOKUP($B83,test!$A$2:$I$32,4,FALSE),test!$J$10:$P$14,5,FALSE))/1440),1,0)</f>
        <v>0</v>
      </c>
      <c r="AA83" s="2">
        <f>IF(AND(VLOOKUP(AA$1,test!$A$3:$F$32,5,FALSE) - VLOOKUP($B83,test!$A$3:$G$32,6,FALSE) &gt;= (test!$B$35+VLOOKUP(VLOOKUP($B83,test!$A$2:$I$32,4,FALSE),test!$J$10:$P$14,5,FALSE))/1440),1,0)</f>
        <v>0</v>
      </c>
      <c r="AB83" s="2">
        <f>IF(AND(VLOOKUP(AB$1,test!$A$3:$F$32,5,FALSE) - VLOOKUP($B83,test!$A$3:$G$32,6,FALSE) &gt;= (test!$B$35+VLOOKUP(VLOOKUP($B83,test!$A$2:$I$32,4,FALSE),test!$J$10:$P$14,5,FALSE))/1440),1,0)</f>
        <v>0</v>
      </c>
      <c r="AC83" s="2">
        <f>IF(AND(VLOOKUP(AC$1,test!$A$3:$F$32,5,FALSE) - VLOOKUP($B83,test!$A$3:$G$32,6,FALSE) &gt;= (test!$B$35+VLOOKUP(VLOOKUP($B83,test!$A$2:$I$32,4,FALSE),test!$J$10:$P$14,5,FALSE))/1440),1,0)</f>
        <v>0</v>
      </c>
      <c r="AD83" s="2">
        <f>IF(AND(VLOOKUP(AD$1,test!$A$3:$F$32,5,FALSE) - VLOOKUP($B83,test!$A$3:$G$32,6,FALSE) &gt;= (test!$B$35+VLOOKUP(VLOOKUP($B83,test!$A$2:$I$32,4,FALSE),test!$J$10:$P$14,5,FALSE))/1440),1,0)</f>
        <v>0</v>
      </c>
      <c r="AE83" s="2">
        <f>IF(AND(VLOOKUP(AE$1,test!$A$3:$F$32,5,FALSE) - VLOOKUP($B83,test!$A$3:$G$32,6,FALSE) &gt;= (test!$B$35+VLOOKUP(VLOOKUP($B83,test!$A$2:$I$32,4,FALSE),test!$J$10:$P$14,5,FALSE))/1440),1,0)</f>
        <v>0</v>
      </c>
      <c r="AF83" s="2">
        <f>IF(AND(VLOOKUP(AF$1,test!$A$3:$F$32,5,FALSE) - VLOOKUP($B83,test!$A$3:$G$32,6,FALSE) &gt;= (test!$B$35+VLOOKUP(VLOOKUP($B83,test!$A$2:$I$32,4,FALSE),test!$J$10:$P$14,5,FALSE))/1440),1,0)</f>
        <v>0</v>
      </c>
      <c r="AG83" s="2">
        <f>IF(AND(VLOOKUP(AG$1,test!$A$3:$F$32,5,FALSE) - VLOOKUP($B83,test!$A$3:$G$32,6,FALSE) &gt;= (test!$B$35+VLOOKUP(VLOOKUP($B83,test!$A$2:$I$32,4,FALSE),test!$J$10:$P$14,5,FALSE))/1440),1,0)</f>
        <v>0</v>
      </c>
    </row>
    <row r="84" spans="1:33" x14ac:dyDescent="0.25">
      <c r="A84" t="s">
        <v>97</v>
      </c>
      <c r="B84" t="s">
        <v>31</v>
      </c>
      <c r="C84">
        <v>0</v>
      </c>
      <c r="D84" s="2">
        <f>IF(AND(VLOOKUP(D$1,test!$A$3:$F$32,5,FALSE) - VLOOKUP($B84,test!$A$3:$G$32,6,FALSE) &gt;= (test!$B$35+VLOOKUP(VLOOKUP($B84,test!$A$2:$I$32,4,FALSE),test!$J$10:$P$14,5,FALSE))/1440),1,0)</f>
        <v>0</v>
      </c>
      <c r="E84" s="2">
        <f>IF(AND(VLOOKUP(E$1,test!$A$3:$F$32,5,FALSE) - VLOOKUP($B84,test!$A$3:$G$32,6,FALSE) &gt;= (test!$B$35+VLOOKUP(VLOOKUP($B84,test!$A$2:$I$32,4,FALSE),test!$J$10:$P$14,5,FALSE))/1440),1,0)</f>
        <v>0</v>
      </c>
      <c r="F84" s="2">
        <f>IF(AND(VLOOKUP(F$1,test!$A$3:$F$32,5,FALSE) - VLOOKUP($B84,test!$A$3:$G$32,6,FALSE) &gt;= (test!$B$35+VLOOKUP(VLOOKUP($B84,test!$A$2:$I$32,4,FALSE),test!$J$10:$P$14,5,FALSE))/1440),1,0)</f>
        <v>0</v>
      </c>
      <c r="G84" s="2">
        <f>IF(AND(VLOOKUP(G$1,test!$A$3:$F$32,5,FALSE) - VLOOKUP($B84,test!$A$3:$G$32,6,FALSE) &gt;= (test!$B$35+VLOOKUP(VLOOKUP($B84,test!$A$2:$I$32,4,FALSE),test!$J$10:$P$14,5,FALSE))/1440),1,0)</f>
        <v>0</v>
      </c>
      <c r="H84" s="2">
        <f>IF(AND(VLOOKUP(H$1,test!$A$3:$F$32,5,FALSE) - VLOOKUP($B84,test!$A$3:$G$32,6,FALSE) &gt;= (test!$B$35+VLOOKUP(VLOOKUP($B84,test!$A$2:$I$32,4,FALSE),test!$J$10:$P$14,5,FALSE))/1440),1,0)</f>
        <v>0</v>
      </c>
      <c r="I84" s="2">
        <f>IF(AND(VLOOKUP(I$1,test!$A$3:$F$32,5,FALSE) - VLOOKUP($B84,test!$A$3:$G$32,6,FALSE) &gt;= (test!$B$35+VLOOKUP(VLOOKUP($B84,test!$A$2:$I$32,4,FALSE),test!$J$10:$P$14,5,FALSE))/1440),1,0)</f>
        <v>0</v>
      </c>
      <c r="J84" s="2">
        <f>IF(AND(VLOOKUP(J$1,test!$A$3:$F$32,5,FALSE) - VLOOKUP($B84,test!$A$3:$G$32,6,FALSE) &gt;= (test!$B$35+VLOOKUP(VLOOKUP($B84,test!$A$2:$I$32,4,FALSE),test!$J$10:$P$14,5,FALSE))/1440),1,0)</f>
        <v>0</v>
      </c>
      <c r="K84" s="2">
        <f>IF(AND(VLOOKUP(K$1,test!$A$3:$F$32,5,FALSE) - VLOOKUP($B84,test!$A$3:$G$32,6,FALSE) &gt;= (test!$B$35+VLOOKUP(VLOOKUP($B84,test!$A$2:$I$32,4,FALSE),test!$J$10:$P$14,5,FALSE))/1440),1,0)</f>
        <v>0</v>
      </c>
      <c r="L84" s="2">
        <f>IF(AND(VLOOKUP(L$1,test!$A$3:$F$32,5,FALSE) - VLOOKUP($B84,test!$A$3:$G$32,6,FALSE) &gt;= (test!$B$35+VLOOKUP(VLOOKUP($B84,test!$A$2:$I$32,4,FALSE),test!$J$10:$P$14,5,FALSE))/1440),1,0)</f>
        <v>0</v>
      </c>
      <c r="M84" s="2">
        <f>IF(AND(VLOOKUP(M$1,test!$A$3:$F$32,5,FALSE) - VLOOKUP($B84,test!$A$3:$G$32,6,FALSE) &gt;= (test!$B$35+VLOOKUP(VLOOKUP($B84,test!$A$2:$I$32,4,FALSE),test!$J$10:$P$14,5,FALSE))/1440),1,0)</f>
        <v>0</v>
      </c>
      <c r="N84" s="2">
        <f>IF(AND(VLOOKUP(N$1,test!$A$3:$F$32,5,FALSE) - VLOOKUP($B84,test!$A$3:$G$32,6,FALSE) &gt;= (test!$B$35+VLOOKUP(VLOOKUP($B84,test!$A$2:$I$32,4,FALSE),test!$J$10:$P$14,5,FALSE))/1440),1,0)</f>
        <v>0</v>
      </c>
      <c r="O84" s="2">
        <f>IF(AND(VLOOKUP(O$1,test!$A$3:$F$32,5,FALSE) - VLOOKUP($B84,test!$A$3:$G$32,6,FALSE) &gt;= (test!$B$35+VLOOKUP(VLOOKUP($B84,test!$A$2:$I$32,4,FALSE),test!$J$10:$P$14,5,FALSE))/1440),1,0)</f>
        <v>0</v>
      </c>
      <c r="P84" s="2">
        <f>IF(AND(VLOOKUP(P$1,test!$A$3:$F$32,5,FALSE) - VLOOKUP($B84,test!$A$3:$G$32,6,FALSE) &gt;= (test!$B$35+VLOOKUP(VLOOKUP($B84,test!$A$2:$I$32,4,FALSE),test!$J$10:$P$14,5,FALSE))/1440),1,0)</f>
        <v>0</v>
      </c>
      <c r="Q84" s="2">
        <f>IF(AND(VLOOKUP(Q$1,test!$A$3:$F$32,5,FALSE) - VLOOKUP($B84,test!$A$3:$G$32,6,FALSE) &gt;= (test!$B$35+VLOOKUP(VLOOKUP($B84,test!$A$2:$I$32,4,FALSE),test!$J$10:$P$14,5,FALSE))/1440),1,0)</f>
        <v>0</v>
      </c>
      <c r="R84" s="2">
        <f>IF(AND(VLOOKUP(R$1,test!$A$3:$F$32,5,FALSE) - VLOOKUP($B84,test!$A$3:$G$32,6,FALSE) &gt;= (test!$B$35+VLOOKUP(VLOOKUP($B84,test!$A$2:$I$32,4,FALSE),test!$J$10:$P$14,5,FALSE))/1440),1,0)</f>
        <v>0</v>
      </c>
      <c r="S84" s="2">
        <f>IF(AND(VLOOKUP(S$1,test!$A$3:$F$32,5,FALSE) - VLOOKUP($B84,test!$A$3:$G$32,6,FALSE) &gt;= (test!$B$35+VLOOKUP(VLOOKUP($B84,test!$A$2:$I$32,4,FALSE),test!$J$10:$P$14,5,FALSE))/1440),1,0)</f>
        <v>0</v>
      </c>
      <c r="T84" s="2">
        <f>IF(AND(VLOOKUP(T$1,test!$A$3:$F$32,5,FALSE) - VLOOKUP($B84,test!$A$3:$G$32,6,FALSE) &gt;= (test!$B$35+VLOOKUP(VLOOKUP($B84,test!$A$2:$I$32,4,FALSE),test!$J$10:$P$14,5,FALSE))/1440),1,0)</f>
        <v>0</v>
      </c>
      <c r="U84" s="2">
        <f>IF(AND(VLOOKUP(U$1,test!$A$3:$F$32,5,FALSE) - VLOOKUP($B84,test!$A$3:$G$32,6,FALSE) &gt;= (test!$B$35+VLOOKUP(VLOOKUP($B84,test!$A$2:$I$32,4,FALSE),test!$J$10:$P$14,5,FALSE))/1440),1,0)</f>
        <v>0</v>
      </c>
      <c r="V84" s="2">
        <f>IF(AND(VLOOKUP(V$1,test!$A$3:$F$32,5,FALSE) - VLOOKUP($B84,test!$A$3:$G$32,6,FALSE) &gt;= (test!$B$35+VLOOKUP(VLOOKUP($B84,test!$A$2:$I$32,4,FALSE),test!$J$10:$P$14,5,FALSE))/1440),1,0)</f>
        <v>0</v>
      </c>
      <c r="W84" s="2">
        <f>IF(AND(VLOOKUP(W$1,test!$A$3:$F$32,5,FALSE) - VLOOKUP($B84,test!$A$3:$G$32,6,FALSE) &gt;= (test!$B$35+VLOOKUP(VLOOKUP($B84,test!$A$2:$I$32,4,FALSE),test!$J$10:$P$14,5,FALSE))/1440),1,0)</f>
        <v>0</v>
      </c>
      <c r="X84" s="2">
        <f>IF(AND(VLOOKUP(X$1,test!$A$3:$F$32,5,FALSE) - VLOOKUP($B84,test!$A$3:$G$32,6,FALSE) &gt;= (test!$B$35+VLOOKUP(VLOOKUP($B84,test!$A$2:$I$32,4,FALSE),test!$J$10:$P$14,5,FALSE))/1440),1,0)</f>
        <v>0</v>
      </c>
      <c r="Y84" s="2">
        <f>IF(AND(VLOOKUP(Y$1,test!$A$3:$F$32,5,FALSE) - VLOOKUP($B84,test!$A$3:$G$32,6,FALSE) &gt;= (test!$B$35+VLOOKUP(VLOOKUP($B84,test!$A$2:$I$32,4,FALSE),test!$J$10:$P$14,5,FALSE))/1440),1,0)</f>
        <v>0</v>
      </c>
      <c r="Z84" s="2">
        <f>IF(AND(VLOOKUP(Z$1,test!$A$3:$F$32,5,FALSE) - VLOOKUP($B84,test!$A$3:$G$32,6,FALSE) &gt;= (test!$B$35+VLOOKUP(VLOOKUP($B84,test!$A$2:$I$32,4,FALSE),test!$J$10:$P$14,5,FALSE))/1440),1,0)</f>
        <v>0</v>
      </c>
      <c r="AA84" s="2">
        <f>IF(AND(VLOOKUP(AA$1,test!$A$3:$F$32,5,FALSE) - VLOOKUP($B84,test!$A$3:$G$32,6,FALSE) &gt;= (test!$B$35+VLOOKUP(VLOOKUP($B84,test!$A$2:$I$32,4,FALSE),test!$J$10:$P$14,5,FALSE))/1440),1,0)</f>
        <v>0</v>
      </c>
      <c r="AB84" s="2">
        <f>IF(AND(VLOOKUP(AB$1,test!$A$3:$F$32,5,FALSE) - VLOOKUP($B84,test!$A$3:$G$32,6,FALSE) &gt;= (test!$B$35+VLOOKUP(VLOOKUP($B84,test!$A$2:$I$32,4,FALSE),test!$J$10:$P$14,5,FALSE))/1440),1,0)</f>
        <v>0</v>
      </c>
      <c r="AC84" s="2">
        <f>IF(AND(VLOOKUP(AC$1,test!$A$3:$F$32,5,FALSE) - VLOOKUP($B84,test!$A$3:$G$32,6,FALSE) &gt;= (test!$B$35+VLOOKUP(VLOOKUP($B84,test!$A$2:$I$32,4,FALSE),test!$J$10:$P$14,5,FALSE))/1440),1,0)</f>
        <v>0</v>
      </c>
      <c r="AD84" s="2">
        <f>IF(AND(VLOOKUP(AD$1,test!$A$3:$F$32,5,FALSE) - VLOOKUP($B84,test!$A$3:$G$32,6,FALSE) &gt;= (test!$B$35+VLOOKUP(VLOOKUP($B84,test!$A$2:$I$32,4,FALSE),test!$J$10:$P$14,5,FALSE))/1440),1,0)</f>
        <v>0</v>
      </c>
      <c r="AE84" s="2">
        <f>IF(AND(VLOOKUP(AE$1,test!$A$3:$F$32,5,FALSE) - VLOOKUP($B84,test!$A$3:$G$32,6,FALSE) &gt;= (test!$B$35+VLOOKUP(VLOOKUP($B84,test!$A$2:$I$32,4,FALSE),test!$J$10:$P$14,5,FALSE))/1440),1,0)</f>
        <v>0</v>
      </c>
      <c r="AF84" s="2">
        <f>IF(AND(VLOOKUP(AF$1,test!$A$3:$F$32,5,FALSE) - VLOOKUP($B84,test!$A$3:$G$32,6,FALSE) &gt;= (test!$B$35+VLOOKUP(VLOOKUP($B84,test!$A$2:$I$32,4,FALSE),test!$J$10:$P$14,5,FALSE))/1440),1,0)</f>
        <v>0</v>
      </c>
      <c r="AG84" s="2">
        <f>IF(AND(VLOOKUP(AG$1,test!$A$3:$F$32,5,FALSE) - VLOOKUP($B84,test!$A$3:$G$32,6,FALSE) &gt;= (test!$B$35+VLOOKUP(VLOOKUP($B84,test!$A$2:$I$32,4,FALSE),test!$J$10:$P$14,5,FALSE))/1440),1,0)</f>
        <v>0</v>
      </c>
    </row>
    <row r="85" spans="1:33" x14ac:dyDescent="0.25">
      <c r="A85" t="s">
        <v>97</v>
      </c>
      <c r="B85" t="s">
        <v>32</v>
      </c>
      <c r="C85">
        <v>0</v>
      </c>
      <c r="D85" s="2">
        <f>IF(AND(VLOOKUP(D$1,test!$A$3:$F$32,5,FALSE) - VLOOKUP($B85,test!$A$3:$G$32,6,FALSE) &gt;= (test!$B$35+VLOOKUP(VLOOKUP($B85,test!$A$2:$I$32,4,FALSE),test!$J$10:$P$14,5,FALSE))/1440),1,0)</f>
        <v>0</v>
      </c>
      <c r="E85" s="2">
        <f>IF(AND(VLOOKUP(E$1,test!$A$3:$F$32,5,FALSE) - VLOOKUP($B85,test!$A$3:$G$32,6,FALSE) &gt;= (test!$B$35+VLOOKUP(VLOOKUP($B85,test!$A$2:$I$32,4,FALSE),test!$J$10:$P$14,5,FALSE))/1440),1,0)</f>
        <v>0</v>
      </c>
      <c r="F85" s="2">
        <f>IF(AND(VLOOKUP(F$1,test!$A$3:$F$32,5,FALSE) - VLOOKUP($B85,test!$A$3:$G$32,6,FALSE) &gt;= (test!$B$35+VLOOKUP(VLOOKUP($B85,test!$A$2:$I$32,4,FALSE),test!$J$10:$P$14,5,FALSE))/1440),1,0)</f>
        <v>0</v>
      </c>
      <c r="G85" s="2">
        <f>IF(AND(VLOOKUP(G$1,test!$A$3:$F$32,5,FALSE) - VLOOKUP($B85,test!$A$3:$G$32,6,FALSE) &gt;= (test!$B$35+VLOOKUP(VLOOKUP($B85,test!$A$2:$I$32,4,FALSE),test!$J$10:$P$14,5,FALSE))/1440),1,0)</f>
        <v>0</v>
      </c>
      <c r="H85" s="2">
        <f>IF(AND(VLOOKUP(H$1,test!$A$3:$F$32,5,FALSE) - VLOOKUP($B85,test!$A$3:$G$32,6,FALSE) &gt;= (test!$B$35+VLOOKUP(VLOOKUP($B85,test!$A$2:$I$32,4,FALSE),test!$J$10:$P$14,5,FALSE))/1440),1,0)</f>
        <v>0</v>
      </c>
      <c r="I85" s="2">
        <f>IF(AND(VLOOKUP(I$1,test!$A$3:$F$32,5,FALSE) - VLOOKUP($B85,test!$A$3:$G$32,6,FALSE) &gt;= (test!$B$35+VLOOKUP(VLOOKUP($B85,test!$A$2:$I$32,4,FALSE),test!$J$10:$P$14,5,FALSE))/1440),1,0)</f>
        <v>0</v>
      </c>
      <c r="J85" s="2">
        <f>IF(AND(VLOOKUP(J$1,test!$A$3:$F$32,5,FALSE) - VLOOKUP($B85,test!$A$3:$G$32,6,FALSE) &gt;= (test!$B$35+VLOOKUP(VLOOKUP($B85,test!$A$2:$I$32,4,FALSE),test!$J$10:$P$14,5,FALSE))/1440),1,0)</f>
        <v>0</v>
      </c>
      <c r="K85" s="2">
        <f>IF(AND(VLOOKUP(K$1,test!$A$3:$F$32,5,FALSE) - VLOOKUP($B85,test!$A$3:$G$32,6,FALSE) &gt;= (test!$B$35+VLOOKUP(VLOOKUP($B85,test!$A$2:$I$32,4,FALSE),test!$J$10:$P$14,5,FALSE))/1440),1,0)</f>
        <v>0</v>
      </c>
      <c r="L85" s="2">
        <f>IF(AND(VLOOKUP(L$1,test!$A$3:$F$32,5,FALSE) - VLOOKUP($B85,test!$A$3:$G$32,6,FALSE) &gt;= (test!$B$35+VLOOKUP(VLOOKUP($B85,test!$A$2:$I$32,4,FALSE),test!$J$10:$P$14,5,FALSE))/1440),1,0)</f>
        <v>0</v>
      </c>
      <c r="M85" s="2">
        <f>IF(AND(VLOOKUP(M$1,test!$A$3:$F$32,5,FALSE) - VLOOKUP($B85,test!$A$3:$G$32,6,FALSE) &gt;= (test!$B$35+VLOOKUP(VLOOKUP($B85,test!$A$2:$I$32,4,FALSE),test!$J$10:$P$14,5,FALSE))/1440),1,0)</f>
        <v>0</v>
      </c>
      <c r="N85" s="2">
        <f>IF(AND(VLOOKUP(N$1,test!$A$3:$F$32,5,FALSE) - VLOOKUP($B85,test!$A$3:$G$32,6,FALSE) &gt;= (test!$B$35+VLOOKUP(VLOOKUP($B85,test!$A$2:$I$32,4,FALSE),test!$J$10:$P$14,5,FALSE))/1440),1,0)</f>
        <v>0</v>
      </c>
      <c r="O85" s="2">
        <f>IF(AND(VLOOKUP(O$1,test!$A$3:$F$32,5,FALSE) - VLOOKUP($B85,test!$A$3:$G$32,6,FALSE) &gt;= (test!$B$35+VLOOKUP(VLOOKUP($B85,test!$A$2:$I$32,4,FALSE),test!$J$10:$P$14,5,FALSE))/1440),1,0)</f>
        <v>0</v>
      </c>
      <c r="P85" s="2">
        <f>IF(AND(VLOOKUP(P$1,test!$A$3:$F$32,5,FALSE) - VLOOKUP($B85,test!$A$3:$G$32,6,FALSE) &gt;= (test!$B$35+VLOOKUP(VLOOKUP($B85,test!$A$2:$I$32,4,FALSE),test!$J$10:$P$14,5,FALSE))/1440),1,0)</f>
        <v>0</v>
      </c>
      <c r="Q85" s="2">
        <f>IF(AND(VLOOKUP(Q$1,test!$A$3:$F$32,5,FALSE) - VLOOKUP($B85,test!$A$3:$G$32,6,FALSE) &gt;= (test!$B$35+VLOOKUP(VLOOKUP($B85,test!$A$2:$I$32,4,FALSE),test!$J$10:$P$14,5,FALSE))/1440),1,0)</f>
        <v>0</v>
      </c>
      <c r="R85" s="2">
        <f>IF(AND(VLOOKUP(R$1,test!$A$3:$F$32,5,FALSE) - VLOOKUP($B85,test!$A$3:$G$32,6,FALSE) &gt;= (test!$B$35+VLOOKUP(VLOOKUP($B85,test!$A$2:$I$32,4,FALSE),test!$J$10:$P$14,5,FALSE))/1440),1,0)</f>
        <v>0</v>
      </c>
      <c r="S85" s="2">
        <f>IF(AND(VLOOKUP(S$1,test!$A$3:$F$32,5,FALSE) - VLOOKUP($B85,test!$A$3:$G$32,6,FALSE) &gt;= (test!$B$35+VLOOKUP(VLOOKUP($B85,test!$A$2:$I$32,4,FALSE),test!$J$10:$P$14,5,FALSE))/1440),1,0)</f>
        <v>0</v>
      </c>
      <c r="T85" s="2">
        <f>IF(AND(VLOOKUP(T$1,test!$A$3:$F$32,5,FALSE) - VLOOKUP($B85,test!$A$3:$G$32,6,FALSE) &gt;= (test!$B$35+VLOOKUP(VLOOKUP($B85,test!$A$2:$I$32,4,FALSE),test!$J$10:$P$14,5,FALSE))/1440),1,0)</f>
        <v>0</v>
      </c>
      <c r="U85" s="2">
        <f>IF(AND(VLOOKUP(U$1,test!$A$3:$F$32,5,FALSE) - VLOOKUP($B85,test!$A$3:$G$32,6,FALSE) &gt;= (test!$B$35+VLOOKUP(VLOOKUP($B85,test!$A$2:$I$32,4,FALSE),test!$J$10:$P$14,5,FALSE))/1440),1,0)</f>
        <v>0</v>
      </c>
      <c r="V85" s="2">
        <f>IF(AND(VLOOKUP(V$1,test!$A$3:$F$32,5,FALSE) - VLOOKUP($B85,test!$A$3:$G$32,6,FALSE) &gt;= (test!$B$35+VLOOKUP(VLOOKUP($B85,test!$A$2:$I$32,4,FALSE),test!$J$10:$P$14,5,FALSE))/1440),1,0)</f>
        <v>0</v>
      </c>
      <c r="W85" s="2">
        <f>IF(AND(VLOOKUP(W$1,test!$A$3:$F$32,5,FALSE) - VLOOKUP($B85,test!$A$3:$G$32,6,FALSE) &gt;= (test!$B$35+VLOOKUP(VLOOKUP($B85,test!$A$2:$I$32,4,FALSE),test!$J$10:$P$14,5,FALSE))/1440),1,0)</f>
        <v>0</v>
      </c>
      <c r="X85" s="2">
        <f>IF(AND(VLOOKUP(X$1,test!$A$3:$F$32,5,FALSE) - VLOOKUP($B85,test!$A$3:$G$32,6,FALSE) &gt;= (test!$B$35+VLOOKUP(VLOOKUP($B85,test!$A$2:$I$32,4,FALSE),test!$J$10:$P$14,5,FALSE))/1440),1,0)</f>
        <v>0</v>
      </c>
      <c r="Y85" s="2">
        <f>IF(AND(VLOOKUP(Y$1,test!$A$3:$F$32,5,FALSE) - VLOOKUP($B85,test!$A$3:$G$32,6,FALSE) &gt;= (test!$B$35+VLOOKUP(VLOOKUP($B85,test!$A$2:$I$32,4,FALSE),test!$J$10:$P$14,5,FALSE))/1440),1,0)</f>
        <v>0</v>
      </c>
      <c r="Z85" s="2">
        <f>IF(AND(VLOOKUP(Z$1,test!$A$3:$F$32,5,FALSE) - VLOOKUP($B85,test!$A$3:$G$32,6,FALSE) &gt;= (test!$B$35+VLOOKUP(VLOOKUP($B85,test!$A$2:$I$32,4,FALSE),test!$J$10:$P$14,5,FALSE))/1440),1,0)</f>
        <v>0</v>
      </c>
      <c r="AA85" s="2">
        <f>IF(AND(VLOOKUP(AA$1,test!$A$3:$F$32,5,FALSE) - VLOOKUP($B85,test!$A$3:$G$32,6,FALSE) &gt;= (test!$B$35+VLOOKUP(VLOOKUP($B85,test!$A$2:$I$32,4,FALSE),test!$J$10:$P$14,5,FALSE))/1440),1,0)</f>
        <v>0</v>
      </c>
      <c r="AB85" s="2">
        <f>IF(AND(VLOOKUP(AB$1,test!$A$3:$F$32,5,FALSE) - VLOOKUP($B85,test!$A$3:$G$32,6,FALSE) &gt;= (test!$B$35+VLOOKUP(VLOOKUP($B85,test!$A$2:$I$32,4,FALSE),test!$J$10:$P$14,5,FALSE))/1440),1,0)</f>
        <v>0</v>
      </c>
      <c r="AC85" s="2">
        <f>IF(AND(VLOOKUP(AC$1,test!$A$3:$F$32,5,FALSE) - VLOOKUP($B85,test!$A$3:$G$32,6,FALSE) &gt;= (test!$B$35+VLOOKUP(VLOOKUP($B85,test!$A$2:$I$32,4,FALSE),test!$J$10:$P$14,5,FALSE))/1440),1,0)</f>
        <v>0</v>
      </c>
      <c r="AD85" s="2">
        <f>IF(AND(VLOOKUP(AD$1,test!$A$3:$F$32,5,FALSE) - VLOOKUP($B85,test!$A$3:$G$32,6,FALSE) &gt;= (test!$B$35+VLOOKUP(VLOOKUP($B85,test!$A$2:$I$32,4,FALSE),test!$J$10:$P$14,5,FALSE))/1440),1,0)</f>
        <v>0</v>
      </c>
      <c r="AE85" s="2">
        <f>IF(AND(VLOOKUP(AE$1,test!$A$3:$F$32,5,FALSE) - VLOOKUP($B85,test!$A$3:$G$32,6,FALSE) &gt;= (test!$B$35+VLOOKUP(VLOOKUP($B85,test!$A$2:$I$32,4,FALSE),test!$J$10:$P$14,5,FALSE))/1440),1,0)</f>
        <v>0</v>
      </c>
      <c r="AF85" s="2">
        <f>IF(AND(VLOOKUP(AF$1,test!$A$3:$F$32,5,FALSE) - VLOOKUP($B85,test!$A$3:$G$32,6,FALSE) &gt;= (test!$B$35+VLOOKUP(VLOOKUP($B85,test!$A$2:$I$32,4,FALSE),test!$J$10:$P$14,5,FALSE))/1440),1,0)</f>
        <v>0</v>
      </c>
      <c r="AG85" s="2">
        <f>IF(AND(VLOOKUP(AG$1,test!$A$3:$F$32,5,FALSE) - VLOOKUP($B85,test!$A$3:$G$32,6,FALSE) &gt;= (test!$B$35+VLOOKUP(VLOOKUP($B85,test!$A$2:$I$32,4,FALSE),test!$J$10:$P$14,5,FALSE))/1440),1,0)</f>
        <v>0</v>
      </c>
    </row>
    <row r="86" spans="1:33" x14ac:dyDescent="0.25">
      <c r="A86" t="s">
        <v>97</v>
      </c>
      <c r="B86" t="s">
        <v>33</v>
      </c>
      <c r="C86">
        <v>0</v>
      </c>
      <c r="D86" s="2">
        <f>IF(AND(VLOOKUP(D$1,test!$A$3:$F$32,5,FALSE) - VLOOKUP($B86,test!$A$3:$G$32,6,FALSE) &gt;= (test!$B$35+VLOOKUP(VLOOKUP($B86,test!$A$2:$I$32,4,FALSE),test!$J$10:$P$14,5,FALSE))/1440),1,0)</f>
        <v>0</v>
      </c>
      <c r="E86" s="2">
        <f>IF(AND(VLOOKUP(E$1,test!$A$3:$F$32,5,FALSE) - VLOOKUP($B86,test!$A$3:$G$32,6,FALSE) &gt;= (test!$B$35+VLOOKUP(VLOOKUP($B86,test!$A$2:$I$32,4,FALSE),test!$J$10:$P$14,5,FALSE))/1440),1,0)</f>
        <v>0</v>
      </c>
      <c r="F86" s="2">
        <f>IF(AND(VLOOKUP(F$1,test!$A$3:$F$32,5,FALSE) - VLOOKUP($B86,test!$A$3:$G$32,6,FALSE) &gt;= (test!$B$35+VLOOKUP(VLOOKUP($B86,test!$A$2:$I$32,4,FALSE),test!$J$10:$P$14,5,FALSE))/1440),1,0)</f>
        <v>0</v>
      </c>
      <c r="G86" s="2">
        <f>IF(AND(VLOOKUP(G$1,test!$A$3:$F$32,5,FALSE) - VLOOKUP($B86,test!$A$3:$G$32,6,FALSE) &gt;= (test!$B$35+VLOOKUP(VLOOKUP($B86,test!$A$2:$I$32,4,FALSE),test!$J$10:$P$14,5,FALSE))/1440),1,0)</f>
        <v>0</v>
      </c>
      <c r="H86" s="2">
        <f>IF(AND(VLOOKUP(H$1,test!$A$3:$F$32,5,FALSE) - VLOOKUP($B86,test!$A$3:$G$32,6,FALSE) &gt;= (test!$B$35+VLOOKUP(VLOOKUP($B86,test!$A$2:$I$32,4,FALSE),test!$J$10:$P$14,5,FALSE))/1440),1,0)</f>
        <v>0</v>
      </c>
      <c r="I86" s="2">
        <f>IF(AND(VLOOKUP(I$1,test!$A$3:$F$32,5,FALSE) - VLOOKUP($B86,test!$A$3:$G$32,6,FALSE) &gt;= (test!$B$35+VLOOKUP(VLOOKUP($B86,test!$A$2:$I$32,4,FALSE),test!$J$10:$P$14,5,FALSE))/1440),1,0)</f>
        <v>0</v>
      </c>
      <c r="J86" s="2">
        <f>IF(AND(VLOOKUP(J$1,test!$A$3:$F$32,5,FALSE) - VLOOKUP($B86,test!$A$3:$G$32,6,FALSE) &gt;= (test!$B$35+VLOOKUP(VLOOKUP($B86,test!$A$2:$I$32,4,FALSE),test!$J$10:$P$14,5,FALSE))/1440),1,0)</f>
        <v>0</v>
      </c>
      <c r="K86" s="2">
        <f>IF(AND(VLOOKUP(K$1,test!$A$3:$F$32,5,FALSE) - VLOOKUP($B86,test!$A$3:$G$32,6,FALSE) &gt;= (test!$B$35+VLOOKUP(VLOOKUP($B86,test!$A$2:$I$32,4,FALSE),test!$J$10:$P$14,5,FALSE))/1440),1,0)</f>
        <v>0</v>
      </c>
      <c r="L86" s="2">
        <f>IF(AND(VLOOKUP(L$1,test!$A$3:$F$32,5,FALSE) - VLOOKUP($B86,test!$A$3:$G$32,6,FALSE) &gt;= (test!$B$35+VLOOKUP(VLOOKUP($B86,test!$A$2:$I$32,4,FALSE),test!$J$10:$P$14,5,FALSE))/1440),1,0)</f>
        <v>0</v>
      </c>
      <c r="M86" s="2">
        <f>IF(AND(VLOOKUP(M$1,test!$A$3:$F$32,5,FALSE) - VLOOKUP($B86,test!$A$3:$G$32,6,FALSE) &gt;= (test!$B$35+VLOOKUP(VLOOKUP($B86,test!$A$2:$I$32,4,FALSE),test!$J$10:$P$14,5,FALSE))/1440),1,0)</f>
        <v>0</v>
      </c>
      <c r="N86" s="2">
        <f>IF(AND(VLOOKUP(N$1,test!$A$3:$F$32,5,FALSE) - VLOOKUP($B86,test!$A$3:$G$32,6,FALSE) &gt;= (test!$B$35+VLOOKUP(VLOOKUP($B86,test!$A$2:$I$32,4,FALSE),test!$J$10:$P$14,5,FALSE))/1440),1,0)</f>
        <v>0</v>
      </c>
      <c r="O86" s="2">
        <f>IF(AND(VLOOKUP(O$1,test!$A$3:$F$32,5,FALSE) - VLOOKUP($B86,test!$A$3:$G$32,6,FALSE) &gt;= (test!$B$35+VLOOKUP(VLOOKUP($B86,test!$A$2:$I$32,4,FALSE),test!$J$10:$P$14,5,FALSE))/1440),1,0)</f>
        <v>0</v>
      </c>
      <c r="P86" s="2">
        <f>IF(AND(VLOOKUP(P$1,test!$A$3:$F$32,5,FALSE) - VLOOKUP($B86,test!$A$3:$G$32,6,FALSE) &gt;= (test!$B$35+VLOOKUP(VLOOKUP($B86,test!$A$2:$I$32,4,FALSE),test!$J$10:$P$14,5,FALSE))/1440),1,0)</f>
        <v>0</v>
      </c>
      <c r="Q86" s="2">
        <f>IF(AND(VLOOKUP(Q$1,test!$A$3:$F$32,5,FALSE) - VLOOKUP($B86,test!$A$3:$G$32,6,FALSE) &gt;= (test!$B$35+VLOOKUP(VLOOKUP($B86,test!$A$2:$I$32,4,FALSE),test!$J$10:$P$14,5,FALSE))/1440),1,0)</f>
        <v>0</v>
      </c>
      <c r="R86" s="2">
        <f>IF(AND(VLOOKUP(R$1,test!$A$3:$F$32,5,FALSE) - VLOOKUP($B86,test!$A$3:$G$32,6,FALSE) &gt;= (test!$B$35+VLOOKUP(VLOOKUP($B86,test!$A$2:$I$32,4,FALSE),test!$J$10:$P$14,5,FALSE))/1440),1,0)</f>
        <v>0</v>
      </c>
      <c r="S86" s="2">
        <f>IF(AND(VLOOKUP(S$1,test!$A$3:$F$32,5,FALSE) - VLOOKUP($B86,test!$A$3:$G$32,6,FALSE) &gt;= (test!$B$35+VLOOKUP(VLOOKUP($B86,test!$A$2:$I$32,4,FALSE),test!$J$10:$P$14,5,FALSE))/1440),1,0)</f>
        <v>0</v>
      </c>
      <c r="T86" s="2">
        <f>IF(AND(VLOOKUP(T$1,test!$A$3:$F$32,5,FALSE) - VLOOKUP($B86,test!$A$3:$G$32,6,FALSE) &gt;= (test!$B$35+VLOOKUP(VLOOKUP($B86,test!$A$2:$I$32,4,FALSE),test!$J$10:$P$14,5,FALSE))/1440),1,0)</f>
        <v>0</v>
      </c>
      <c r="U86" s="2">
        <f>IF(AND(VLOOKUP(U$1,test!$A$3:$F$32,5,FALSE) - VLOOKUP($B86,test!$A$3:$G$32,6,FALSE) &gt;= (test!$B$35+VLOOKUP(VLOOKUP($B86,test!$A$2:$I$32,4,FALSE),test!$J$10:$P$14,5,FALSE))/1440),1,0)</f>
        <v>0</v>
      </c>
      <c r="V86" s="2">
        <f>IF(AND(VLOOKUP(V$1,test!$A$3:$F$32,5,FALSE) - VLOOKUP($B86,test!$A$3:$G$32,6,FALSE) &gt;= (test!$B$35+VLOOKUP(VLOOKUP($B86,test!$A$2:$I$32,4,FALSE),test!$J$10:$P$14,5,FALSE))/1440),1,0)</f>
        <v>0</v>
      </c>
      <c r="W86" s="2">
        <f>IF(AND(VLOOKUP(W$1,test!$A$3:$F$32,5,FALSE) - VLOOKUP($B86,test!$A$3:$G$32,6,FALSE) &gt;= (test!$B$35+VLOOKUP(VLOOKUP($B86,test!$A$2:$I$32,4,FALSE),test!$J$10:$P$14,5,FALSE))/1440),1,0)</f>
        <v>0</v>
      </c>
      <c r="X86" s="2">
        <f>IF(AND(VLOOKUP(X$1,test!$A$3:$F$32,5,FALSE) - VLOOKUP($B86,test!$A$3:$G$32,6,FALSE) &gt;= (test!$B$35+VLOOKUP(VLOOKUP($B86,test!$A$2:$I$32,4,FALSE),test!$J$10:$P$14,5,FALSE))/1440),1,0)</f>
        <v>0</v>
      </c>
      <c r="Y86" s="2">
        <f>IF(AND(VLOOKUP(Y$1,test!$A$3:$F$32,5,FALSE) - VLOOKUP($B86,test!$A$3:$G$32,6,FALSE) &gt;= (test!$B$35+VLOOKUP(VLOOKUP($B86,test!$A$2:$I$32,4,FALSE),test!$J$10:$P$14,5,FALSE))/1440),1,0)</f>
        <v>0</v>
      </c>
      <c r="Z86" s="2">
        <f>IF(AND(VLOOKUP(Z$1,test!$A$3:$F$32,5,FALSE) - VLOOKUP($B86,test!$A$3:$G$32,6,FALSE) &gt;= (test!$B$35+VLOOKUP(VLOOKUP($B86,test!$A$2:$I$32,4,FALSE),test!$J$10:$P$14,5,FALSE))/1440),1,0)</f>
        <v>0</v>
      </c>
      <c r="AA86" s="2">
        <f>IF(AND(VLOOKUP(AA$1,test!$A$3:$F$32,5,FALSE) - VLOOKUP($B86,test!$A$3:$G$32,6,FALSE) &gt;= (test!$B$35+VLOOKUP(VLOOKUP($B86,test!$A$2:$I$32,4,FALSE),test!$J$10:$P$14,5,FALSE))/1440),1,0)</f>
        <v>0</v>
      </c>
      <c r="AB86" s="2">
        <f>IF(AND(VLOOKUP(AB$1,test!$A$3:$F$32,5,FALSE) - VLOOKUP($B86,test!$A$3:$G$32,6,FALSE) &gt;= (test!$B$35+VLOOKUP(VLOOKUP($B86,test!$A$2:$I$32,4,FALSE),test!$J$10:$P$14,5,FALSE))/1440),1,0)</f>
        <v>0</v>
      </c>
      <c r="AC86" s="2">
        <f>IF(AND(VLOOKUP(AC$1,test!$A$3:$F$32,5,FALSE) - VLOOKUP($B86,test!$A$3:$G$32,6,FALSE) &gt;= (test!$B$35+VLOOKUP(VLOOKUP($B86,test!$A$2:$I$32,4,FALSE),test!$J$10:$P$14,5,FALSE))/1440),1,0)</f>
        <v>0</v>
      </c>
      <c r="AD86" s="2">
        <f>IF(AND(VLOOKUP(AD$1,test!$A$3:$F$32,5,FALSE) - VLOOKUP($B86,test!$A$3:$G$32,6,FALSE) &gt;= (test!$B$35+VLOOKUP(VLOOKUP($B86,test!$A$2:$I$32,4,FALSE),test!$J$10:$P$14,5,FALSE))/1440),1,0)</f>
        <v>0</v>
      </c>
      <c r="AE86" s="2">
        <f>IF(AND(VLOOKUP(AE$1,test!$A$3:$F$32,5,FALSE) - VLOOKUP($B86,test!$A$3:$G$32,6,FALSE) &gt;= (test!$B$35+VLOOKUP(VLOOKUP($B86,test!$A$2:$I$32,4,FALSE),test!$J$10:$P$14,5,FALSE))/1440),1,0)</f>
        <v>0</v>
      </c>
      <c r="AF86" s="2">
        <f>IF(AND(VLOOKUP(AF$1,test!$A$3:$F$32,5,FALSE) - VLOOKUP($B86,test!$A$3:$G$32,6,FALSE) &gt;= (test!$B$35+VLOOKUP(VLOOKUP($B86,test!$A$2:$I$32,4,FALSE),test!$J$10:$P$14,5,FALSE))/1440),1,0)</f>
        <v>0</v>
      </c>
      <c r="AG86" s="2">
        <f>IF(AND(VLOOKUP(AG$1,test!$A$3:$F$32,5,FALSE) - VLOOKUP($B86,test!$A$3:$G$32,6,FALSE) &gt;= (test!$B$35+VLOOKUP(VLOOKUP($B86,test!$A$2:$I$32,4,FALSE),test!$J$10:$P$14,5,FALSE))/1440),1,0)</f>
        <v>0</v>
      </c>
    </row>
    <row r="87" spans="1:33" x14ac:dyDescent="0.25">
      <c r="A87" t="s">
        <v>97</v>
      </c>
      <c r="B87" t="s">
        <v>34</v>
      </c>
      <c r="C87">
        <v>0</v>
      </c>
      <c r="D87" s="2">
        <f>IF(AND(VLOOKUP(D$1,test!$A$3:$F$32,5,FALSE) - VLOOKUP($B87,test!$A$3:$G$32,6,FALSE) &gt;= (test!$B$35+VLOOKUP(VLOOKUP($B87,test!$A$2:$I$32,4,FALSE),test!$J$10:$P$14,5,FALSE))/1440),1,0)</f>
        <v>0</v>
      </c>
      <c r="E87" s="2">
        <f>IF(AND(VLOOKUP(E$1,test!$A$3:$F$32,5,FALSE) - VLOOKUP($B87,test!$A$3:$G$32,6,FALSE) &gt;= (test!$B$35+VLOOKUP(VLOOKUP($B87,test!$A$2:$I$32,4,FALSE),test!$J$10:$P$14,5,FALSE))/1440),1,0)</f>
        <v>0</v>
      </c>
      <c r="F87" s="2">
        <f>IF(AND(VLOOKUP(F$1,test!$A$3:$F$32,5,FALSE) - VLOOKUP($B87,test!$A$3:$G$32,6,FALSE) &gt;= (test!$B$35+VLOOKUP(VLOOKUP($B87,test!$A$2:$I$32,4,FALSE),test!$J$10:$P$14,5,FALSE))/1440),1,0)</f>
        <v>0</v>
      </c>
      <c r="G87" s="2">
        <f>IF(AND(VLOOKUP(G$1,test!$A$3:$F$32,5,FALSE) - VLOOKUP($B87,test!$A$3:$G$32,6,FALSE) &gt;= (test!$B$35+VLOOKUP(VLOOKUP($B87,test!$A$2:$I$32,4,FALSE),test!$J$10:$P$14,5,FALSE))/1440),1,0)</f>
        <v>1</v>
      </c>
      <c r="H87" s="2">
        <f>IF(AND(VLOOKUP(H$1,test!$A$3:$F$32,5,FALSE) - VLOOKUP($B87,test!$A$3:$G$32,6,FALSE) &gt;= (test!$B$35+VLOOKUP(VLOOKUP($B87,test!$A$2:$I$32,4,FALSE),test!$J$10:$P$14,5,FALSE))/1440),1,0)</f>
        <v>1</v>
      </c>
      <c r="I87" s="2">
        <f>IF(AND(VLOOKUP(I$1,test!$A$3:$F$32,5,FALSE) - VLOOKUP($B87,test!$A$3:$G$32,6,FALSE) &gt;= (test!$B$35+VLOOKUP(VLOOKUP($B87,test!$A$2:$I$32,4,FALSE),test!$J$10:$P$14,5,FALSE))/1440),1,0)</f>
        <v>1</v>
      </c>
      <c r="J87" s="2">
        <f>IF(AND(VLOOKUP(J$1,test!$A$3:$F$32,5,FALSE) - VLOOKUP($B87,test!$A$3:$G$32,6,FALSE) &gt;= (test!$B$35+VLOOKUP(VLOOKUP($B87,test!$A$2:$I$32,4,FALSE),test!$J$10:$P$14,5,FALSE))/1440),1,0)</f>
        <v>1</v>
      </c>
      <c r="K87" s="2">
        <f>IF(AND(VLOOKUP(K$1,test!$A$3:$F$32,5,FALSE) - VLOOKUP($B87,test!$A$3:$G$32,6,FALSE) &gt;= (test!$B$35+VLOOKUP(VLOOKUP($B87,test!$A$2:$I$32,4,FALSE),test!$J$10:$P$14,5,FALSE))/1440),1,0)</f>
        <v>1</v>
      </c>
      <c r="L87" s="2">
        <f>IF(AND(VLOOKUP(L$1,test!$A$3:$F$32,5,FALSE) - VLOOKUP($B87,test!$A$3:$G$32,6,FALSE) &gt;= (test!$B$35+VLOOKUP(VLOOKUP($B87,test!$A$2:$I$32,4,FALSE),test!$J$10:$P$14,5,FALSE))/1440),1,0)</f>
        <v>0</v>
      </c>
      <c r="M87" s="2">
        <f>IF(AND(VLOOKUP(M$1,test!$A$3:$F$32,5,FALSE) - VLOOKUP($B87,test!$A$3:$G$32,6,FALSE) &gt;= (test!$B$35+VLOOKUP(VLOOKUP($B87,test!$A$2:$I$32,4,FALSE),test!$J$10:$P$14,5,FALSE))/1440),1,0)</f>
        <v>0</v>
      </c>
      <c r="N87" s="2">
        <f>IF(AND(VLOOKUP(N$1,test!$A$3:$F$32,5,FALSE) - VLOOKUP($B87,test!$A$3:$G$32,6,FALSE) &gt;= (test!$B$35+VLOOKUP(VLOOKUP($B87,test!$A$2:$I$32,4,FALSE),test!$J$10:$P$14,5,FALSE))/1440),1,0)</f>
        <v>0</v>
      </c>
      <c r="O87" s="2">
        <f>IF(AND(VLOOKUP(O$1,test!$A$3:$F$32,5,FALSE) - VLOOKUP($B87,test!$A$3:$G$32,6,FALSE) &gt;= (test!$B$35+VLOOKUP(VLOOKUP($B87,test!$A$2:$I$32,4,FALSE),test!$J$10:$P$14,5,FALSE))/1440),1,0)</f>
        <v>1</v>
      </c>
      <c r="P87" s="2">
        <f>IF(AND(VLOOKUP(P$1,test!$A$3:$F$32,5,FALSE) - VLOOKUP($B87,test!$A$3:$G$32,6,FALSE) &gt;= (test!$B$35+VLOOKUP(VLOOKUP($B87,test!$A$2:$I$32,4,FALSE),test!$J$10:$P$14,5,FALSE))/1440),1,0)</f>
        <v>1</v>
      </c>
      <c r="Q87" s="2">
        <f>IF(AND(VLOOKUP(Q$1,test!$A$3:$F$32,5,FALSE) - VLOOKUP($B87,test!$A$3:$G$32,6,FALSE) &gt;= (test!$B$35+VLOOKUP(VLOOKUP($B87,test!$A$2:$I$32,4,FALSE),test!$J$10:$P$14,5,FALSE))/1440),1,0)</f>
        <v>0</v>
      </c>
      <c r="R87" s="2">
        <f>IF(AND(VLOOKUP(R$1,test!$A$3:$F$32,5,FALSE) - VLOOKUP($B87,test!$A$3:$G$32,6,FALSE) &gt;= (test!$B$35+VLOOKUP(VLOOKUP($B87,test!$A$2:$I$32,4,FALSE),test!$J$10:$P$14,5,FALSE))/1440),1,0)</f>
        <v>0</v>
      </c>
      <c r="S87" s="2">
        <f>IF(AND(VLOOKUP(S$1,test!$A$3:$F$32,5,FALSE) - VLOOKUP($B87,test!$A$3:$G$32,6,FALSE) &gt;= (test!$B$35+VLOOKUP(VLOOKUP($B87,test!$A$2:$I$32,4,FALSE),test!$J$10:$P$14,5,FALSE))/1440),1,0)</f>
        <v>0</v>
      </c>
      <c r="T87" s="2">
        <f>IF(AND(VLOOKUP(T$1,test!$A$3:$F$32,5,FALSE) - VLOOKUP($B87,test!$A$3:$G$32,6,FALSE) &gt;= (test!$B$35+VLOOKUP(VLOOKUP($B87,test!$A$2:$I$32,4,FALSE),test!$J$10:$P$14,5,FALSE))/1440),1,0)</f>
        <v>0</v>
      </c>
      <c r="U87" s="2">
        <f>IF(AND(VLOOKUP(U$1,test!$A$3:$F$32,5,FALSE) - VLOOKUP($B87,test!$A$3:$G$32,6,FALSE) &gt;= (test!$B$35+VLOOKUP(VLOOKUP($B87,test!$A$2:$I$32,4,FALSE),test!$J$10:$P$14,5,FALSE))/1440),1,0)</f>
        <v>0</v>
      </c>
      <c r="V87" s="2">
        <f>IF(AND(VLOOKUP(V$1,test!$A$3:$F$32,5,FALSE) - VLOOKUP($B87,test!$A$3:$G$32,6,FALSE) &gt;= (test!$B$35+VLOOKUP(VLOOKUP($B87,test!$A$2:$I$32,4,FALSE),test!$J$10:$P$14,5,FALSE))/1440),1,0)</f>
        <v>0</v>
      </c>
      <c r="W87" s="2">
        <f>IF(AND(VLOOKUP(W$1,test!$A$3:$F$32,5,FALSE) - VLOOKUP($B87,test!$A$3:$G$32,6,FALSE) &gt;= (test!$B$35+VLOOKUP(VLOOKUP($B87,test!$A$2:$I$32,4,FALSE),test!$J$10:$P$14,5,FALSE))/1440),1,0)</f>
        <v>1</v>
      </c>
      <c r="X87" s="2">
        <f>IF(AND(VLOOKUP(X$1,test!$A$3:$F$32,5,FALSE) - VLOOKUP($B87,test!$A$3:$G$32,6,FALSE) &gt;= (test!$B$35+VLOOKUP(VLOOKUP($B87,test!$A$2:$I$32,4,FALSE),test!$J$10:$P$14,5,FALSE))/1440),1,0)</f>
        <v>1</v>
      </c>
      <c r="Y87" s="2">
        <f>IF(AND(VLOOKUP(Y$1,test!$A$3:$F$32,5,FALSE) - VLOOKUP($B87,test!$A$3:$G$32,6,FALSE) &gt;= (test!$B$35+VLOOKUP(VLOOKUP($B87,test!$A$2:$I$32,4,FALSE),test!$J$10:$P$14,5,FALSE))/1440),1,0)</f>
        <v>1</v>
      </c>
      <c r="Z87" s="2">
        <f>IF(AND(VLOOKUP(Z$1,test!$A$3:$F$32,5,FALSE) - VLOOKUP($B87,test!$A$3:$G$32,6,FALSE) &gt;= (test!$B$35+VLOOKUP(VLOOKUP($B87,test!$A$2:$I$32,4,FALSE),test!$J$10:$P$14,5,FALSE))/1440),1,0)</f>
        <v>0</v>
      </c>
      <c r="AA87" s="2">
        <f>IF(AND(VLOOKUP(AA$1,test!$A$3:$F$32,5,FALSE) - VLOOKUP($B87,test!$A$3:$G$32,6,FALSE) &gt;= (test!$B$35+VLOOKUP(VLOOKUP($B87,test!$A$2:$I$32,4,FALSE),test!$J$10:$P$14,5,FALSE))/1440),1,0)</f>
        <v>0</v>
      </c>
      <c r="AB87" s="2">
        <f>IF(AND(VLOOKUP(AB$1,test!$A$3:$F$32,5,FALSE) - VLOOKUP($B87,test!$A$3:$G$32,6,FALSE) &gt;= (test!$B$35+VLOOKUP(VLOOKUP($B87,test!$A$2:$I$32,4,FALSE),test!$J$10:$P$14,5,FALSE))/1440),1,0)</f>
        <v>0</v>
      </c>
      <c r="AC87" s="2">
        <f>IF(AND(VLOOKUP(AC$1,test!$A$3:$F$32,5,FALSE) - VLOOKUP($B87,test!$A$3:$G$32,6,FALSE) &gt;= (test!$B$35+VLOOKUP(VLOOKUP($B87,test!$A$2:$I$32,4,FALSE),test!$J$10:$P$14,5,FALSE))/1440),1,0)</f>
        <v>1</v>
      </c>
      <c r="AD87" s="2">
        <f>IF(AND(VLOOKUP(AD$1,test!$A$3:$F$32,5,FALSE) - VLOOKUP($B87,test!$A$3:$G$32,6,FALSE) &gt;= (test!$B$35+VLOOKUP(VLOOKUP($B87,test!$A$2:$I$32,4,FALSE),test!$J$10:$P$14,5,FALSE))/1440),1,0)</f>
        <v>1</v>
      </c>
      <c r="AE87" s="2">
        <f>IF(AND(VLOOKUP(AE$1,test!$A$3:$F$32,5,FALSE) - VLOOKUP($B87,test!$A$3:$G$32,6,FALSE) &gt;= (test!$B$35+VLOOKUP(VLOOKUP($B87,test!$A$2:$I$32,4,FALSE),test!$J$10:$P$14,5,FALSE))/1440),1,0)</f>
        <v>0</v>
      </c>
      <c r="AF87" s="2">
        <f>IF(AND(VLOOKUP(AF$1,test!$A$3:$F$32,5,FALSE) - VLOOKUP($B87,test!$A$3:$G$32,6,FALSE) &gt;= (test!$B$35+VLOOKUP(VLOOKUP($B87,test!$A$2:$I$32,4,FALSE),test!$J$10:$P$14,5,FALSE))/1440),1,0)</f>
        <v>0</v>
      </c>
      <c r="AG87" s="2">
        <f>IF(AND(VLOOKUP(AG$1,test!$A$3:$F$32,5,FALSE) - VLOOKUP($B87,test!$A$3:$G$32,6,FALSE) &gt;= (test!$B$35+VLOOKUP(VLOOKUP($B87,test!$A$2:$I$32,4,FALSE),test!$J$10:$P$14,5,FALSE))/1440),1,0)</f>
        <v>0</v>
      </c>
    </row>
    <row r="88" spans="1:33" x14ac:dyDescent="0.25">
      <c r="A88" t="s">
        <v>97</v>
      </c>
      <c r="B88" t="s">
        <v>35</v>
      </c>
      <c r="C88">
        <v>0</v>
      </c>
      <c r="D88" s="2">
        <f>IF(AND(VLOOKUP(D$1,test!$A$3:$F$32,5,FALSE) - VLOOKUP($B88,test!$A$3:$G$32,6,FALSE) &gt;= (test!$B$35+VLOOKUP(VLOOKUP($B88,test!$A$2:$I$32,4,FALSE),test!$J$10:$P$14,5,FALSE))/1440),1,0)</f>
        <v>0</v>
      </c>
      <c r="E88" s="2">
        <f>IF(AND(VLOOKUP(E$1,test!$A$3:$F$32,5,FALSE) - VLOOKUP($B88,test!$A$3:$G$32,6,FALSE) &gt;= (test!$B$35+VLOOKUP(VLOOKUP($B88,test!$A$2:$I$32,4,FALSE),test!$J$10:$P$14,5,FALSE))/1440),1,0)</f>
        <v>0</v>
      </c>
      <c r="F88" s="2">
        <f>IF(AND(VLOOKUP(F$1,test!$A$3:$F$32,5,FALSE) - VLOOKUP($B88,test!$A$3:$G$32,6,FALSE) &gt;= (test!$B$35+VLOOKUP(VLOOKUP($B88,test!$A$2:$I$32,4,FALSE),test!$J$10:$P$14,5,FALSE))/1440),1,0)</f>
        <v>0</v>
      </c>
      <c r="G88" s="2">
        <f>IF(AND(VLOOKUP(G$1,test!$A$3:$F$32,5,FALSE) - VLOOKUP($B88,test!$A$3:$G$32,6,FALSE) &gt;= (test!$B$35+VLOOKUP(VLOOKUP($B88,test!$A$2:$I$32,4,FALSE),test!$J$10:$P$14,5,FALSE))/1440),1,0)</f>
        <v>0</v>
      </c>
      <c r="H88" s="2">
        <f>IF(AND(VLOOKUP(H$1,test!$A$3:$F$32,5,FALSE) - VLOOKUP($B88,test!$A$3:$G$32,6,FALSE) &gt;= (test!$B$35+VLOOKUP(VLOOKUP($B88,test!$A$2:$I$32,4,FALSE),test!$J$10:$P$14,5,FALSE))/1440),1,0)</f>
        <v>0</v>
      </c>
      <c r="I88" s="2">
        <f>IF(AND(VLOOKUP(I$1,test!$A$3:$F$32,5,FALSE) - VLOOKUP($B88,test!$A$3:$G$32,6,FALSE) &gt;= (test!$B$35+VLOOKUP(VLOOKUP($B88,test!$A$2:$I$32,4,FALSE),test!$J$10:$P$14,5,FALSE))/1440),1,0)</f>
        <v>0</v>
      </c>
      <c r="J88" s="2">
        <f>IF(AND(VLOOKUP(J$1,test!$A$3:$F$32,5,FALSE) - VLOOKUP($B88,test!$A$3:$G$32,6,FALSE) &gt;= (test!$B$35+VLOOKUP(VLOOKUP($B88,test!$A$2:$I$32,4,FALSE),test!$J$10:$P$14,5,FALSE))/1440),1,0)</f>
        <v>1</v>
      </c>
      <c r="K88" s="2">
        <f>IF(AND(VLOOKUP(K$1,test!$A$3:$F$32,5,FALSE) - VLOOKUP($B88,test!$A$3:$G$32,6,FALSE) &gt;= (test!$B$35+VLOOKUP(VLOOKUP($B88,test!$A$2:$I$32,4,FALSE),test!$J$10:$P$14,5,FALSE))/1440),1,0)</f>
        <v>1</v>
      </c>
      <c r="L88" s="2">
        <f>IF(AND(VLOOKUP(L$1,test!$A$3:$F$32,5,FALSE) - VLOOKUP($B88,test!$A$3:$G$32,6,FALSE) &gt;= (test!$B$35+VLOOKUP(VLOOKUP($B88,test!$A$2:$I$32,4,FALSE),test!$J$10:$P$14,5,FALSE))/1440),1,0)</f>
        <v>0</v>
      </c>
      <c r="M88" s="2">
        <f>IF(AND(VLOOKUP(M$1,test!$A$3:$F$32,5,FALSE) - VLOOKUP($B88,test!$A$3:$G$32,6,FALSE) &gt;= (test!$B$35+VLOOKUP(VLOOKUP($B88,test!$A$2:$I$32,4,FALSE),test!$J$10:$P$14,5,FALSE))/1440),1,0)</f>
        <v>0</v>
      </c>
      <c r="N88" s="2">
        <f>IF(AND(VLOOKUP(N$1,test!$A$3:$F$32,5,FALSE) - VLOOKUP($B88,test!$A$3:$G$32,6,FALSE) &gt;= (test!$B$35+VLOOKUP(VLOOKUP($B88,test!$A$2:$I$32,4,FALSE),test!$J$10:$P$14,5,FALSE))/1440),1,0)</f>
        <v>0</v>
      </c>
      <c r="O88" s="2">
        <f>IF(AND(VLOOKUP(O$1,test!$A$3:$F$32,5,FALSE) - VLOOKUP($B88,test!$A$3:$G$32,6,FALSE) &gt;= (test!$B$35+VLOOKUP(VLOOKUP($B88,test!$A$2:$I$32,4,FALSE),test!$J$10:$P$14,5,FALSE))/1440),1,0)</f>
        <v>1</v>
      </c>
      <c r="P88" s="2">
        <f>IF(AND(VLOOKUP(P$1,test!$A$3:$F$32,5,FALSE) - VLOOKUP($B88,test!$A$3:$G$32,6,FALSE) &gt;= (test!$B$35+VLOOKUP(VLOOKUP($B88,test!$A$2:$I$32,4,FALSE),test!$J$10:$P$14,5,FALSE))/1440),1,0)</f>
        <v>1</v>
      </c>
      <c r="Q88" s="2">
        <f>IF(AND(VLOOKUP(Q$1,test!$A$3:$F$32,5,FALSE) - VLOOKUP($B88,test!$A$3:$G$32,6,FALSE) &gt;= (test!$B$35+VLOOKUP(VLOOKUP($B88,test!$A$2:$I$32,4,FALSE),test!$J$10:$P$14,5,FALSE))/1440),1,0)</f>
        <v>0</v>
      </c>
      <c r="R88" s="2">
        <f>IF(AND(VLOOKUP(R$1,test!$A$3:$F$32,5,FALSE) - VLOOKUP($B88,test!$A$3:$G$32,6,FALSE) &gt;= (test!$B$35+VLOOKUP(VLOOKUP($B88,test!$A$2:$I$32,4,FALSE),test!$J$10:$P$14,5,FALSE))/1440),1,0)</f>
        <v>0</v>
      </c>
      <c r="S88" s="2">
        <f>IF(AND(VLOOKUP(S$1,test!$A$3:$F$32,5,FALSE) - VLOOKUP($B88,test!$A$3:$G$32,6,FALSE) &gt;= (test!$B$35+VLOOKUP(VLOOKUP($B88,test!$A$2:$I$32,4,FALSE),test!$J$10:$P$14,5,FALSE))/1440),1,0)</f>
        <v>0</v>
      </c>
      <c r="T88" s="2">
        <f>IF(AND(VLOOKUP(T$1,test!$A$3:$F$32,5,FALSE) - VLOOKUP($B88,test!$A$3:$G$32,6,FALSE) &gt;= (test!$B$35+VLOOKUP(VLOOKUP($B88,test!$A$2:$I$32,4,FALSE),test!$J$10:$P$14,5,FALSE))/1440),1,0)</f>
        <v>0</v>
      </c>
      <c r="U88" s="2">
        <f>IF(AND(VLOOKUP(U$1,test!$A$3:$F$32,5,FALSE) - VLOOKUP($B88,test!$A$3:$G$32,6,FALSE) &gt;= (test!$B$35+VLOOKUP(VLOOKUP($B88,test!$A$2:$I$32,4,FALSE),test!$J$10:$P$14,5,FALSE))/1440),1,0)</f>
        <v>0</v>
      </c>
      <c r="V88" s="2">
        <f>IF(AND(VLOOKUP(V$1,test!$A$3:$F$32,5,FALSE) - VLOOKUP($B88,test!$A$3:$G$32,6,FALSE) &gt;= (test!$B$35+VLOOKUP(VLOOKUP($B88,test!$A$2:$I$32,4,FALSE),test!$J$10:$P$14,5,FALSE))/1440),1,0)</f>
        <v>0</v>
      </c>
      <c r="W88" s="2">
        <f>IF(AND(VLOOKUP(W$1,test!$A$3:$F$32,5,FALSE) - VLOOKUP($B88,test!$A$3:$G$32,6,FALSE) &gt;= (test!$B$35+VLOOKUP(VLOOKUP($B88,test!$A$2:$I$32,4,FALSE),test!$J$10:$P$14,5,FALSE))/1440),1,0)</f>
        <v>0</v>
      </c>
      <c r="X88" s="2">
        <f>IF(AND(VLOOKUP(X$1,test!$A$3:$F$32,5,FALSE) - VLOOKUP($B88,test!$A$3:$G$32,6,FALSE) &gt;= (test!$B$35+VLOOKUP(VLOOKUP($B88,test!$A$2:$I$32,4,FALSE),test!$J$10:$P$14,5,FALSE))/1440),1,0)</f>
        <v>1</v>
      </c>
      <c r="Y88" s="2">
        <f>IF(AND(VLOOKUP(Y$1,test!$A$3:$F$32,5,FALSE) - VLOOKUP($B88,test!$A$3:$G$32,6,FALSE) &gt;= (test!$B$35+VLOOKUP(VLOOKUP($B88,test!$A$2:$I$32,4,FALSE),test!$J$10:$P$14,5,FALSE))/1440),1,0)</f>
        <v>1</v>
      </c>
      <c r="Z88" s="2">
        <f>IF(AND(VLOOKUP(Z$1,test!$A$3:$F$32,5,FALSE) - VLOOKUP($B88,test!$A$3:$G$32,6,FALSE) &gt;= (test!$B$35+VLOOKUP(VLOOKUP($B88,test!$A$2:$I$32,4,FALSE),test!$J$10:$P$14,5,FALSE))/1440),1,0)</f>
        <v>0</v>
      </c>
      <c r="AA88" s="2">
        <f>IF(AND(VLOOKUP(AA$1,test!$A$3:$F$32,5,FALSE) - VLOOKUP($B88,test!$A$3:$G$32,6,FALSE) &gt;= (test!$B$35+VLOOKUP(VLOOKUP($B88,test!$A$2:$I$32,4,FALSE),test!$J$10:$P$14,5,FALSE))/1440),1,0)</f>
        <v>0</v>
      </c>
      <c r="AB88" s="2">
        <f>IF(AND(VLOOKUP(AB$1,test!$A$3:$F$32,5,FALSE) - VLOOKUP($B88,test!$A$3:$G$32,6,FALSE) &gt;= (test!$B$35+VLOOKUP(VLOOKUP($B88,test!$A$2:$I$32,4,FALSE),test!$J$10:$P$14,5,FALSE))/1440),1,0)</f>
        <v>0</v>
      </c>
      <c r="AC88" s="2">
        <f>IF(AND(VLOOKUP(AC$1,test!$A$3:$F$32,5,FALSE) - VLOOKUP($B88,test!$A$3:$G$32,6,FALSE) &gt;= (test!$B$35+VLOOKUP(VLOOKUP($B88,test!$A$2:$I$32,4,FALSE),test!$J$10:$P$14,5,FALSE))/1440),1,0)</f>
        <v>0</v>
      </c>
      <c r="AD88" s="2">
        <f>IF(AND(VLOOKUP(AD$1,test!$A$3:$F$32,5,FALSE) - VLOOKUP($B88,test!$A$3:$G$32,6,FALSE) &gt;= (test!$B$35+VLOOKUP(VLOOKUP($B88,test!$A$2:$I$32,4,FALSE),test!$J$10:$P$14,5,FALSE))/1440),1,0)</f>
        <v>0</v>
      </c>
      <c r="AE88" s="2">
        <f>IF(AND(VLOOKUP(AE$1,test!$A$3:$F$32,5,FALSE) - VLOOKUP($B88,test!$A$3:$G$32,6,FALSE) &gt;= (test!$B$35+VLOOKUP(VLOOKUP($B88,test!$A$2:$I$32,4,FALSE),test!$J$10:$P$14,5,FALSE))/1440),1,0)</f>
        <v>0</v>
      </c>
      <c r="AF88" s="2">
        <f>IF(AND(VLOOKUP(AF$1,test!$A$3:$F$32,5,FALSE) - VLOOKUP($B88,test!$A$3:$G$32,6,FALSE) &gt;= (test!$B$35+VLOOKUP(VLOOKUP($B88,test!$A$2:$I$32,4,FALSE),test!$J$10:$P$14,5,FALSE))/1440),1,0)</f>
        <v>0</v>
      </c>
      <c r="AG88" s="2">
        <f>IF(AND(VLOOKUP(AG$1,test!$A$3:$F$32,5,FALSE) - VLOOKUP($B88,test!$A$3:$G$32,6,FALSE) &gt;= (test!$B$35+VLOOKUP(VLOOKUP($B88,test!$A$2:$I$32,4,FALSE),test!$J$10:$P$14,5,FALSE))/1440),1,0)</f>
        <v>0</v>
      </c>
    </row>
    <row r="89" spans="1:33" x14ac:dyDescent="0.25">
      <c r="A89" t="s">
        <v>97</v>
      </c>
      <c r="B89" t="s">
        <v>36</v>
      </c>
      <c r="C89">
        <v>0</v>
      </c>
      <c r="D89" s="2">
        <f>IF(AND(VLOOKUP(D$1,test!$A$3:$F$32,5,FALSE) - VLOOKUP($B89,test!$A$3:$G$32,6,FALSE) &gt;= (test!$B$35+VLOOKUP(VLOOKUP($B89,test!$A$2:$I$32,4,FALSE),test!$J$10:$P$14,5,FALSE))/1440),1,0)</f>
        <v>0</v>
      </c>
      <c r="E89" s="2">
        <f>IF(AND(VLOOKUP(E$1,test!$A$3:$F$32,5,FALSE) - VLOOKUP($B89,test!$A$3:$G$32,6,FALSE) &gt;= (test!$B$35+VLOOKUP(VLOOKUP($B89,test!$A$2:$I$32,4,FALSE),test!$J$10:$P$14,5,FALSE))/1440),1,0)</f>
        <v>0</v>
      </c>
      <c r="F89" s="2">
        <f>IF(AND(VLOOKUP(F$1,test!$A$3:$F$32,5,FALSE) - VLOOKUP($B89,test!$A$3:$G$32,6,FALSE) &gt;= (test!$B$35+VLOOKUP(VLOOKUP($B89,test!$A$2:$I$32,4,FALSE),test!$J$10:$P$14,5,FALSE))/1440),1,0)</f>
        <v>0</v>
      </c>
      <c r="G89" s="2">
        <f>IF(AND(VLOOKUP(G$1,test!$A$3:$F$32,5,FALSE) - VLOOKUP($B89,test!$A$3:$G$32,6,FALSE) &gt;= (test!$B$35+VLOOKUP(VLOOKUP($B89,test!$A$2:$I$32,4,FALSE),test!$J$10:$P$14,5,FALSE))/1440),1,0)</f>
        <v>0</v>
      </c>
      <c r="H89" s="2">
        <f>IF(AND(VLOOKUP(H$1,test!$A$3:$F$32,5,FALSE) - VLOOKUP($B89,test!$A$3:$G$32,6,FALSE) &gt;= (test!$B$35+VLOOKUP(VLOOKUP($B89,test!$A$2:$I$32,4,FALSE),test!$J$10:$P$14,5,FALSE))/1440),1,0)</f>
        <v>0</v>
      </c>
      <c r="I89" s="2">
        <f>IF(AND(VLOOKUP(I$1,test!$A$3:$F$32,5,FALSE) - VLOOKUP($B89,test!$A$3:$G$32,6,FALSE) &gt;= (test!$B$35+VLOOKUP(VLOOKUP($B89,test!$A$2:$I$32,4,FALSE),test!$J$10:$P$14,5,FALSE))/1440),1,0)</f>
        <v>0</v>
      </c>
      <c r="J89" s="2">
        <f>IF(AND(VLOOKUP(J$1,test!$A$3:$F$32,5,FALSE) - VLOOKUP($B89,test!$A$3:$G$32,6,FALSE) &gt;= (test!$B$35+VLOOKUP(VLOOKUP($B89,test!$A$2:$I$32,4,FALSE),test!$J$10:$P$14,5,FALSE))/1440),1,0)</f>
        <v>0</v>
      </c>
      <c r="K89" s="2">
        <f>IF(AND(VLOOKUP(K$1,test!$A$3:$F$32,5,FALSE) - VLOOKUP($B89,test!$A$3:$G$32,6,FALSE) &gt;= (test!$B$35+VLOOKUP(VLOOKUP($B89,test!$A$2:$I$32,4,FALSE),test!$J$10:$P$14,5,FALSE))/1440),1,0)</f>
        <v>0</v>
      </c>
      <c r="L89" s="2">
        <f>IF(AND(VLOOKUP(L$1,test!$A$3:$F$32,5,FALSE) - VLOOKUP($B89,test!$A$3:$G$32,6,FALSE) &gt;= (test!$B$35+VLOOKUP(VLOOKUP($B89,test!$A$2:$I$32,4,FALSE),test!$J$10:$P$14,5,FALSE))/1440),1,0)</f>
        <v>0</v>
      </c>
      <c r="M89" s="2">
        <f>IF(AND(VLOOKUP(M$1,test!$A$3:$F$32,5,FALSE) - VLOOKUP($B89,test!$A$3:$G$32,6,FALSE) &gt;= (test!$B$35+VLOOKUP(VLOOKUP($B89,test!$A$2:$I$32,4,FALSE),test!$J$10:$P$14,5,FALSE))/1440),1,0)</f>
        <v>0</v>
      </c>
      <c r="N89" s="2">
        <f>IF(AND(VLOOKUP(N$1,test!$A$3:$F$32,5,FALSE) - VLOOKUP($B89,test!$A$3:$G$32,6,FALSE) &gt;= (test!$B$35+VLOOKUP(VLOOKUP($B89,test!$A$2:$I$32,4,FALSE),test!$J$10:$P$14,5,FALSE))/1440),1,0)</f>
        <v>0</v>
      </c>
      <c r="O89" s="2">
        <f>IF(AND(VLOOKUP(O$1,test!$A$3:$F$32,5,FALSE) - VLOOKUP($B89,test!$A$3:$G$32,6,FALSE) &gt;= (test!$B$35+VLOOKUP(VLOOKUP($B89,test!$A$2:$I$32,4,FALSE),test!$J$10:$P$14,5,FALSE))/1440),1,0)</f>
        <v>0</v>
      </c>
      <c r="P89" s="2">
        <f>IF(AND(VLOOKUP(P$1,test!$A$3:$F$32,5,FALSE) - VLOOKUP($B89,test!$A$3:$G$32,6,FALSE) &gt;= (test!$B$35+VLOOKUP(VLOOKUP($B89,test!$A$2:$I$32,4,FALSE),test!$J$10:$P$14,5,FALSE))/1440),1,0)</f>
        <v>1</v>
      </c>
      <c r="Q89" s="2">
        <f>IF(AND(VLOOKUP(Q$1,test!$A$3:$F$32,5,FALSE) - VLOOKUP($B89,test!$A$3:$G$32,6,FALSE) &gt;= (test!$B$35+VLOOKUP(VLOOKUP($B89,test!$A$2:$I$32,4,FALSE),test!$J$10:$P$14,5,FALSE))/1440),1,0)</f>
        <v>0</v>
      </c>
      <c r="R89" s="2">
        <f>IF(AND(VLOOKUP(R$1,test!$A$3:$F$32,5,FALSE) - VLOOKUP($B89,test!$A$3:$G$32,6,FALSE) &gt;= (test!$B$35+VLOOKUP(VLOOKUP($B89,test!$A$2:$I$32,4,FALSE),test!$J$10:$P$14,5,FALSE))/1440),1,0)</f>
        <v>0</v>
      </c>
      <c r="S89" s="2">
        <f>IF(AND(VLOOKUP(S$1,test!$A$3:$F$32,5,FALSE) - VLOOKUP($B89,test!$A$3:$G$32,6,FALSE) &gt;= (test!$B$35+VLOOKUP(VLOOKUP($B89,test!$A$2:$I$32,4,FALSE),test!$J$10:$P$14,5,FALSE))/1440),1,0)</f>
        <v>0</v>
      </c>
      <c r="T89" s="2">
        <f>IF(AND(VLOOKUP(T$1,test!$A$3:$F$32,5,FALSE) - VLOOKUP($B89,test!$A$3:$G$32,6,FALSE) &gt;= (test!$B$35+VLOOKUP(VLOOKUP($B89,test!$A$2:$I$32,4,FALSE),test!$J$10:$P$14,5,FALSE))/1440),1,0)</f>
        <v>0</v>
      </c>
      <c r="U89" s="2">
        <f>IF(AND(VLOOKUP(U$1,test!$A$3:$F$32,5,FALSE) - VLOOKUP($B89,test!$A$3:$G$32,6,FALSE) &gt;= (test!$B$35+VLOOKUP(VLOOKUP($B89,test!$A$2:$I$32,4,FALSE),test!$J$10:$P$14,5,FALSE))/1440),1,0)</f>
        <v>0</v>
      </c>
      <c r="V89" s="2">
        <f>IF(AND(VLOOKUP(V$1,test!$A$3:$F$32,5,FALSE) - VLOOKUP($B89,test!$A$3:$G$32,6,FALSE) &gt;= (test!$B$35+VLOOKUP(VLOOKUP($B89,test!$A$2:$I$32,4,FALSE),test!$J$10:$P$14,5,FALSE))/1440),1,0)</f>
        <v>0</v>
      </c>
      <c r="W89" s="2">
        <f>IF(AND(VLOOKUP(W$1,test!$A$3:$F$32,5,FALSE) - VLOOKUP($B89,test!$A$3:$G$32,6,FALSE) &gt;= (test!$B$35+VLOOKUP(VLOOKUP($B89,test!$A$2:$I$32,4,FALSE),test!$J$10:$P$14,5,FALSE))/1440),1,0)</f>
        <v>0</v>
      </c>
      <c r="X89" s="2">
        <f>IF(AND(VLOOKUP(X$1,test!$A$3:$F$32,5,FALSE) - VLOOKUP($B89,test!$A$3:$G$32,6,FALSE) &gt;= (test!$B$35+VLOOKUP(VLOOKUP($B89,test!$A$2:$I$32,4,FALSE),test!$J$10:$P$14,5,FALSE))/1440),1,0)</f>
        <v>0</v>
      </c>
      <c r="Y89" s="2">
        <f>IF(AND(VLOOKUP(Y$1,test!$A$3:$F$32,5,FALSE) - VLOOKUP($B89,test!$A$3:$G$32,6,FALSE) &gt;= (test!$B$35+VLOOKUP(VLOOKUP($B89,test!$A$2:$I$32,4,FALSE),test!$J$10:$P$14,5,FALSE))/1440),1,0)</f>
        <v>0</v>
      </c>
      <c r="Z89" s="2">
        <f>IF(AND(VLOOKUP(Z$1,test!$A$3:$F$32,5,FALSE) - VLOOKUP($B89,test!$A$3:$G$32,6,FALSE) &gt;= (test!$B$35+VLOOKUP(VLOOKUP($B89,test!$A$2:$I$32,4,FALSE),test!$J$10:$P$14,5,FALSE))/1440),1,0)</f>
        <v>0</v>
      </c>
      <c r="AA89" s="2">
        <f>IF(AND(VLOOKUP(AA$1,test!$A$3:$F$32,5,FALSE) - VLOOKUP($B89,test!$A$3:$G$32,6,FALSE) &gt;= (test!$B$35+VLOOKUP(VLOOKUP($B89,test!$A$2:$I$32,4,FALSE),test!$J$10:$P$14,5,FALSE))/1440),1,0)</f>
        <v>0</v>
      </c>
      <c r="AB89" s="2">
        <f>IF(AND(VLOOKUP(AB$1,test!$A$3:$F$32,5,FALSE) - VLOOKUP($B89,test!$A$3:$G$32,6,FALSE) &gt;= (test!$B$35+VLOOKUP(VLOOKUP($B89,test!$A$2:$I$32,4,FALSE),test!$J$10:$P$14,5,FALSE))/1440),1,0)</f>
        <v>0</v>
      </c>
      <c r="AC89" s="2">
        <f>IF(AND(VLOOKUP(AC$1,test!$A$3:$F$32,5,FALSE) - VLOOKUP($B89,test!$A$3:$G$32,6,FALSE) &gt;= (test!$B$35+VLOOKUP(VLOOKUP($B89,test!$A$2:$I$32,4,FALSE),test!$J$10:$P$14,5,FALSE))/1440),1,0)</f>
        <v>0</v>
      </c>
      <c r="AD89" s="2">
        <f>IF(AND(VLOOKUP(AD$1,test!$A$3:$F$32,5,FALSE) - VLOOKUP($B89,test!$A$3:$G$32,6,FALSE) &gt;= (test!$B$35+VLOOKUP(VLOOKUP($B89,test!$A$2:$I$32,4,FALSE),test!$J$10:$P$14,5,FALSE))/1440),1,0)</f>
        <v>0</v>
      </c>
      <c r="AE89" s="2">
        <f>IF(AND(VLOOKUP(AE$1,test!$A$3:$F$32,5,FALSE) - VLOOKUP($B89,test!$A$3:$G$32,6,FALSE) &gt;= (test!$B$35+VLOOKUP(VLOOKUP($B89,test!$A$2:$I$32,4,FALSE),test!$J$10:$P$14,5,FALSE))/1440),1,0)</f>
        <v>0</v>
      </c>
      <c r="AF89" s="2">
        <f>IF(AND(VLOOKUP(AF$1,test!$A$3:$F$32,5,FALSE) - VLOOKUP($B89,test!$A$3:$G$32,6,FALSE) &gt;= (test!$B$35+VLOOKUP(VLOOKUP($B89,test!$A$2:$I$32,4,FALSE),test!$J$10:$P$14,5,FALSE))/1440),1,0)</f>
        <v>0</v>
      </c>
      <c r="AG89" s="2">
        <f>IF(AND(VLOOKUP(AG$1,test!$A$3:$F$32,5,FALSE) - VLOOKUP($B89,test!$A$3:$G$32,6,FALSE) &gt;= (test!$B$35+VLOOKUP(VLOOKUP($B89,test!$A$2:$I$32,4,FALSE),test!$J$10:$P$14,5,FALSE))/1440),1,0)</f>
        <v>0</v>
      </c>
    </row>
    <row r="90" spans="1:33" x14ac:dyDescent="0.25">
      <c r="A90" t="s">
        <v>97</v>
      </c>
      <c r="B90" t="s">
        <v>37</v>
      </c>
      <c r="C90">
        <v>0</v>
      </c>
      <c r="D90" s="2">
        <f>IF(AND(VLOOKUP(D$1,test!$A$3:$F$32,5,FALSE) - VLOOKUP($B90,test!$A$3:$G$32,6,FALSE) &gt;= (test!$B$35+VLOOKUP(VLOOKUP($B90,test!$A$2:$I$32,4,FALSE),test!$J$10:$P$14,5,FALSE))/1440),1,0)</f>
        <v>0</v>
      </c>
      <c r="E90" s="2">
        <f>IF(AND(VLOOKUP(E$1,test!$A$3:$F$32,5,FALSE) - VLOOKUP($B90,test!$A$3:$G$32,6,FALSE) &gt;= (test!$B$35+VLOOKUP(VLOOKUP($B90,test!$A$2:$I$32,4,FALSE),test!$J$10:$P$14,5,FALSE))/1440),1,0)</f>
        <v>0</v>
      </c>
      <c r="F90" s="2">
        <f>IF(AND(VLOOKUP(F$1,test!$A$3:$F$32,5,FALSE) - VLOOKUP($B90,test!$A$3:$G$32,6,FALSE) &gt;= (test!$B$35+VLOOKUP(VLOOKUP($B90,test!$A$2:$I$32,4,FALSE),test!$J$10:$P$14,5,FALSE))/1440),1,0)</f>
        <v>0</v>
      </c>
      <c r="G90" s="2">
        <f>IF(AND(VLOOKUP(G$1,test!$A$3:$F$32,5,FALSE) - VLOOKUP($B90,test!$A$3:$G$32,6,FALSE) &gt;= (test!$B$35+VLOOKUP(VLOOKUP($B90,test!$A$2:$I$32,4,FALSE),test!$J$10:$P$14,5,FALSE))/1440),1,0)</f>
        <v>0</v>
      </c>
      <c r="H90" s="2">
        <f>IF(AND(VLOOKUP(H$1,test!$A$3:$F$32,5,FALSE) - VLOOKUP($B90,test!$A$3:$G$32,6,FALSE) &gt;= (test!$B$35+VLOOKUP(VLOOKUP($B90,test!$A$2:$I$32,4,FALSE),test!$J$10:$P$14,5,FALSE))/1440),1,0)</f>
        <v>0</v>
      </c>
      <c r="I90" s="2">
        <f>IF(AND(VLOOKUP(I$1,test!$A$3:$F$32,5,FALSE) - VLOOKUP($B90,test!$A$3:$G$32,6,FALSE) &gt;= (test!$B$35+VLOOKUP(VLOOKUP($B90,test!$A$2:$I$32,4,FALSE),test!$J$10:$P$14,5,FALSE))/1440),1,0)</f>
        <v>0</v>
      </c>
      <c r="J90" s="2">
        <f>IF(AND(VLOOKUP(J$1,test!$A$3:$F$32,5,FALSE) - VLOOKUP($B90,test!$A$3:$G$32,6,FALSE) &gt;= (test!$B$35+VLOOKUP(VLOOKUP($B90,test!$A$2:$I$32,4,FALSE),test!$J$10:$P$14,5,FALSE))/1440),1,0)</f>
        <v>0</v>
      </c>
      <c r="K90" s="2">
        <f>IF(AND(VLOOKUP(K$1,test!$A$3:$F$32,5,FALSE) - VLOOKUP($B90,test!$A$3:$G$32,6,FALSE) &gt;= (test!$B$35+VLOOKUP(VLOOKUP($B90,test!$A$2:$I$32,4,FALSE),test!$J$10:$P$14,5,FALSE))/1440),1,0)</f>
        <v>0</v>
      </c>
      <c r="L90" s="2">
        <f>IF(AND(VLOOKUP(L$1,test!$A$3:$F$32,5,FALSE) - VLOOKUP($B90,test!$A$3:$G$32,6,FALSE) &gt;= (test!$B$35+VLOOKUP(VLOOKUP($B90,test!$A$2:$I$32,4,FALSE),test!$J$10:$P$14,5,FALSE))/1440),1,0)</f>
        <v>0</v>
      </c>
      <c r="M90" s="2">
        <f>IF(AND(VLOOKUP(M$1,test!$A$3:$F$32,5,FALSE) - VLOOKUP($B90,test!$A$3:$G$32,6,FALSE) &gt;= (test!$B$35+VLOOKUP(VLOOKUP($B90,test!$A$2:$I$32,4,FALSE),test!$J$10:$P$14,5,FALSE))/1440),1,0)</f>
        <v>0</v>
      </c>
      <c r="N90" s="2">
        <f>IF(AND(VLOOKUP(N$1,test!$A$3:$F$32,5,FALSE) - VLOOKUP($B90,test!$A$3:$G$32,6,FALSE) &gt;= (test!$B$35+VLOOKUP(VLOOKUP($B90,test!$A$2:$I$32,4,FALSE),test!$J$10:$P$14,5,FALSE))/1440),1,0)</f>
        <v>0</v>
      </c>
      <c r="O90" s="2">
        <f>IF(AND(VLOOKUP(O$1,test!$A$3:$F$32,5,FALSE) - VLOOKUP($B90,test!$A$3:$G$32,6,FALSE) &gt;= (test!$B$35+VLOOKUP(VLOOKUP($B90,test!$A$2:$I$32,4,FALSE),test!$J$10:$P$14,5,FALSE))/1440),1,0)</f>
        <v>0</v>
      </c>
      <c r="P90" s="2">
        <f>IF(AND(VLOOKUP(P$1,test!$A$3:$F$32,5,FALSE) - VLOOKUP($B90,test!$A$3:$G$32,6,FALSE) &gt;= (test!$B$35+VLOOKUP(VLOOKUP($B90,test!$A$2:$I$32,4,FALSE),test!$J$10:$P$14,5,FALSE))/1440),1,0)</f>
        <v>0</v>
      </c>
      <c r="Q90" s="2">
        <f>IF(AND(VLOOKUP(Q$1,test!$A$3:$F$32,5,FALSE) - VLOOKUP($B90,test!$A$3:$G$32,6,FALSE) &gt;= (test!$B$35+VLOOKUP(VLOOKUP($B90,test!$A$2:$I$32,4,FALSE),test!$J$10:$P$14,5,FALSE))/1440),1,0)</f>
        <v>0</v>
      </c>
      <c r="R90" s="2">
        <f>IF(AND(VLOOKUP(R$1,test!$A$3:$F$32,5,FALSE) - VLOOKUP($B90,test!$A$3:$G$32,6,FALSE) &gt;= (test!$B$35+VLOOKUP(VLOOKUP($B90,test!$A$2:$I$32,4,FALSE),test!$J$10:$P$14,5,FALSE))/1440),1,0)</f>
        <v>0</v>
      </c>
      <c r="S90" s="2">
        <f>IF(AND(VLOOKUP(S$1,test!$A$3:$F$32,5,FALSE) - VLOOKUP($B90,test!$A$3:$G$32,6,FALSE) &gt;= (test!$B$35+VLOOKUP(VLOOKUP($B90,test!$A$2:$I$32,4,FALSE),test!$J$10:$P$14,5,FALSE))/1440),1,0)</f>
        <v>0</v>
      </c>
      <c r="T90" s="2">
        <f>IF(AND(VLOOKUP(T$1,test!$A$3:$F$32,5,FALSE) - VLOOKUP($B90,test!$A$3:$G$32,6,FALSE) &gt;= (test!$B$35+VLOOKUP(VLOOKUP($B90,test!$A$2:$I$32,4,FALSE),test!$J$10:$P$14,5,FALSE))/1440),1,0)</f>
        <v>0</v>
      </c>
      <c r="U90" s="2">
        <f>IF(AND(VLOOKUP(U$1,test!$A$3:$F$32,5,FALSE) - VLOOKUP($B90,test!$A$3:$G$32,6,FALSE) &gt;= (test!$B$35+VLOOKUP(VLOOKUP($B90,test!$A$2:$I$32,4,FALSE),test!$J$10:$P$14,5,FALSE))/1440),1,0)</f>
        <v>0</v>
      </c>
      <c r="V90" s="2">
        <f>IF(AND(VLOOKUP(V$1,test!$A$3:$F$32,5,FALSE) - VLOOKUP($B90,test!$A$3:$G$32,6,FALSE) &gt;= (test!$B$35+VLOOKUP(VLOOKUP($B90,test!$A$2:$I$32,4,FALSE),test!$J$10:$P$14,5,FALSE))/1440),1,0)</f>
        <v>0</v>
      </c>
      <c r="W90" s="2">
        <f>IF(AND(VLOOKUP(W$1,test!$A$3:$F$32,5,FALSE) - VLOOKUP($B90,test!$A$3:$G$32,6,FALSE) &gt;= (test!$B$35+VLOOKUP(VLOOKUP($B90,test!$A$2:$I$32,4,FALSE),test!$J$10:$P$14,5,FALSE))/1440),1,0)</f>
        <v>0</v>
      </c>
      <c r="X90" s="2">
        <f>IF(AND(VLOOKUP(X$1,test!$A$3:$F$32,5,FALSE) - VLOOKUP($B90,test!$A$3:$G$32,6,FALSE) &gt;= (test!$B$35+VLOOKUP(VLOOKUP($B90,test!$A$2:$I$32,4,FALSE),test!$J$10:$P$14,5,FALSE))/1440),1,0)</f>
        <v>0</v>
      </c>
      <c r="Y90" s="2">
        <f>IF(AND(VLOOKUP(Y$1,test!$A$3:$F$32,5,FALSE) - VLOOKUP($B90,test!$A$3:$G$32,6,FALSE) &gt;= (test!$B$35+VLOOKUP(VLOOKUP($B90,test!$A$2:$I$32,4,FALSE),test!$J$10:$P$14,5,FALSE))/1440),1,0)</f>
        <v>0</v>
      </c>
      <c r="Z90" s="2">
        <f>IF(AND(VLOOKUP(Z$1,test!$A$3:$F$32,5,FALSE) - VLOOKUP($B90,test!$A$3:$G$32,6,FALSE) &gt;= (test!$B$35+VLOOKUP(VLOOKUP($B90,test!$A$2:$I$32,4,FALSE),test!$J$10:$P$14,5,FALSE))/1440),1,0)</f>
        <v>0</v>
      </c>
      <c r="AA90" s="2">
        <f>IF(AND(VLOOKUP(AA$1,test!$A$3:$F$32,5,FALSE) - VLOOKUP($B90,test!$A$3:$G$32,6,FALSE) &gt;= (test!$B$35+VLOOKUP(VLOOKUP($B90,test!$A$2:$I$32,4,FALSE),test!$J$10:$P$14,5,FALSE))/1440),1,0)</f>
        <v>0</v>
      </c>
      <c r="AB90" s="2">
        <f>IF(AND(VLOOKUP(AB$1,test!$A$3:$F$32,5,FALSE) - VLOOKUP($B90,test!$A$3:$G$32,6,FALSE) &gt;= (test!$B$35+VLOOKUP(VLOOKUP($B90,test!$A$2:$I$32,4,FALSE),test!$J$10:$P$14,5,FALSE))/1440),1,0)</f>
        <v>0</v>
      </c>
      <c r="AC90" s="2">
        <f>IF(AND(VLOOKUP(AC$1,test!$A$3:$F$32,5,FALSE) - VLOOKUP($B90,test!$A$3:$G$32,6,FALSE) &gt;= (test!$B$35+VLOOKUP(VLOOKUP($B90,test!$A$2:$I$32,4,FALSE),test!$J$10:$P$14,5,FALSE))/1440),1,0)</f>
        <v>0</v>
      </c>
      <c r="AD90" s="2">
        <f>IF(AND(VLOOKUP(AD$1,test!$A$3:$F$32,5,FALSE) - VLOOKUP($B90,test!$A$3:$G$32,6,FALSE) &gt;= (test!$B$35+VLOOKUP(VLOOKUP($B90,test!$A$2:$I$32,4,FALSE),test!$J$10:$P$14,5,FALSE))/1440),1,0)</f>
        <v>0</v>
      </c>
      <c r="AE90" s="2">
        <f>IF(AND(VLOOKUP(AE$1,test!$A$3:$F$32,5,FALSE) - VLOOKUP($B90,test!$A$3:$G$32,6,FALSE) &gt;= (test!$B$35+VLOOKUP(VLOOKUP($B90,test!$A$2:$I$32,4,FALSE),test!$J$10:$P$14,5,FALSE))/1440),1,0)</f>
        <v>0</v>
      </c>
      <c r="AF90" s="2">
        <f>IF(AND(VLOOKUP(AF$1,test!$A$3:$F$32,5,FALSE) - VLOOKUP($B90,test!$A$3:$G$32,6,FALSE) &gt;= (test!$B$35+VLOOKUP(VLOOKUP($B90,test!$A$2:$I$32,4,FALSE),test!$J$10:$P$14,5,FALSE))/1440),1,0)</f>
        <v>0</v>
      </c>
      <c r="AG90" s="2">
        <f>IF(AND(VLOOKUP(AG$1,test!$A$3:$F$32,5,FALSE) - VLOOKUP($B90,test!$A$3:$G$32,6,FALSE) &gt;= (test!$B$35+VLOOKUP(VLOOKUP($B90,test!$A$2:$I$32,4,FALSE),test!$J$10:$P$14,5,FALSE))/1440),1,0)</f>
        <v>0</v>
      </c>
    </row>
    <row r="91" spans="1:33" x14ac:dyDescent="0.25">
      <c r="A91" t="s">
        <v>97</v>
      </c>
      <c r="B91" t="s">
        <v>38</v>
      </c>
      <c r="C91">
        <v>0</v>
      </c>
      <c r="D91" s="2">
        <f>IF(AND(VLOOKUP(D$1,test!$A$3:$F$32,5,FALSE) - VLOOKUP($B91,test!$A$3:$G$32,6,FALSE) &gt;= (test!$B$35+VLOOKUP(VLOOKUP($B91,test!$A$2:$I$32,4,FALSE),test!$J$10:$P$14,5,FALSE))/1440),1,0)</f>
        <v>0</v>
      </c>
      <c r="E91" s="2">
        <f>IF(AND(VLOOKUP(E$1,test!$A$3:$F$32,5,FALSE) - VLOOKUP($B91,test!$A$3:$G$32,6,FALSE) &gt;= (test!$B$35+VLOOKUP(VLOOKUP($B91,test!$A$2:$I$32,4,FALSE),test!$J$10:$P$14,5,FALSE))/1440),1,0)</f>
        <v>0</v>
      </c>
      <c r="F91" s="2">
        <f>IF(AND(VLOOKUP(F$1,test!$A$3:$F$32,5,FALSE) - VLOOKUP($B91,test!$A$3:$G$32,6,FALSE) &gt;= (test!$B$35+VLOOKUP(VLOOKUP($B91,test!$A$2:$I$32,4,FALSE),test!$J$10:$P$14,5,FALSE))/1440),1,0)</f>
        <v>0</v>
      </c>
      <c r="G91" s="2">
        <f>IF(AND(VLOOKUP(G$1,test!$A$3:$F$32,5,FALSE) - VLOOKUP($B91,test!$A$3:$G$32,6,FALSE) &gt;= (test!$B$35+VLOOKUP(VLOOKUP($B91,test!$A$2:$I$32,4,FALSE),test!$J$10:$P$14,5,FALSE))/1440),1,0)</f>
        <v>0</v>
      </c>
      <c r="H91" s="2">
        <f>IF(AND(VLOOKUP(H$1,test!$A$3:$F$32,5,FALSE) - VLOOKUP($B91,test!$A$3:$G$32,6,FALSE) &gt;= (test!$B$35+VLOOKUP(VLOOKUP($B91,test!$A$2:$I$32,4,FALSE),test!$J$10:$P$14,5,FALSE))/1440),1,0)</f>
        <v>0</v>
      </c>
      <c r="I91" s="2">
        <f>IF(AND(VLOOKUP(I$1,test!$A$3:$F$32,5,FALSE) - VLOOKUP($B91,test!$A$3:$G$32,6,FALSE) &gt;= (test!$B$35+VLOOKUP(VLOOKUP($B91,test!$A$2:$I$32,4,FALSE),test!$J$10:$P$14,5,FALSE))/1440),1,0)</f>
        <v>0</v>
      </c>
      <c r="J91" s="2">
        <f>IF(AND(VLOOKUP(J$1,test!$A$3:$F$32,5,FALSE) - VLOOKUP($B91,test!$A$3:$G$32,6,FALSE) &gt;= (test!$B$35+VLOOKUP(VLOOKUP($B91,test!$A$2:$I$32,4,FALSE),test!$J$10:$P$14,5,FALSE))/1440),1,0)</f>
        <v>0</v>
      </c>
      <c r="K91" s="2">
        <f>IF(AND(VLOOKUP(K$1,test!$A$3:$F$32,5,FALSE) - VLOOKUP($B91,test!$A$3:$G$32,6,FALSE) &gt;= (test!$B$35+VLOOKUP(VLOOKUP($B91,test!$A$2:$I$32,4,FALSE),test!$J$10:$P$14,5,FALSE))/1440),1,0)</f>
        <v>0</v>
      </c>
      <c r="L91" s="2">
        <f>IF(AND(VLOOKUP(L$1,test!$A$3:$F$32,5,FALSE) - VLOOKUP($B91,test!$A$3:$G$32,6,FALSE) &gt;= (test!$B$35+VLOOKUP(VLOOKUP($B91,test!$A$2:$I$32,4,FALSE),test!$J$10:$P$14,5,FALSE))/1440),1,0)</f>
        <v>0</v>
      </c>
      <c r="M91" s="2">
        <f>IF(AND(VLOOKUP(M$1,test!$A$3:$F$32,5,FALSE) - VLOOKUP($B91,test!$A$3:$G$32,6,FALSE) &gt;= (test!$B$35+VLOOKUP(VLOOKUP($B91,test!$A$2:$I$32,4,FALSE),test!$J$10:$P$14,5,FALSE))/1440),1,0)</f>
        <v>0</v>
      </c>
      <c r="N91" s="2">
        <f>IF(AND(VLOOKUP(N$1,test!$A$3:$F$32,5,FALSE) - VLOOKUP($B91,test!$A$3:$G$32,6,FALSE) &gt;= (test!$B$35+VLOOKUP(VLOOKUP($B91,test!$A$2:$I$32,4,FALSE),test!$J$10:$P$14,5,FALSE))/1440),1,0)</f>
        <v>0</v>
      </c>
      <c r="O91" s="2">
        <f>IF(AND(VLOOKUP(O$1,test!$A$3:$F$32,5,FALSE) - VLOOKUP($B91,test!$A$3:$G$32,6,FALSE) &gt;= (test!$B$35+VLOOKUP(VLOOKUP($B91,test!$A$2:$I$32,4,FALSE),test!$J$10:$P$14,5,FALSE))/1440),1,0)</f>
        <v>0</v>
      </c>
      <c r="P91" s="2">
        <f>IF(AND(VLOOKUP(P$1,test!$A$3:$F$32,5,FALSE) - VLOOKUP($B91,test!$A$3:$G$32,6,FALSE) &gt;= (test!$B$35+VLOOKUP(VLOOKUP($B91,test!$A$2:$I$32,4,FALSE),test!$J$10:$P$14,5,FALSE))/1440),1,0)</f>
        <v>0</v>
      </c>
      <c r="Q91" s="2">
        <f>IF(AND(VLOOKUP(Q$1,test!$A$3:$F$32,5,FALSE) - VLOOKUP($B91,test!$A$3:$G$32,6,FALSE) &gt;= (test!$B$35+VLOOKUP(VLOOKUP($B91,test!$A$2:$I$32,4,FALSE),test!$J$10:$P$14,5,FALSE))/1440),1,0)</f>
        <v>0</v>
      </c>
      <c r="R91" s="2">
        <f>IF(AND(VLOOKUP(R$1,test!$A$3:$F$32,5,FALSE) - VLOOKUP($B91,test!$A$3:$G$32,6,FALSE) &gt;= (test!$B$35+VLOOKUP(VLOOKUP($B91,test!$A$2:$I$32,4,FALSE),test!$J$10:$P$14,5,FALSE))/1440),1,0)</f>
        <v>0</v>
      </c>
      <c r="S91" s="2">
        <f>IF(AND(VLOOKUP(S$1,test!$A$3:$F$32,5,FALSE) - VLOOKUP($B91,test!$A$3:$G$32,6,FALSE) &gt;= (test!$B$35+VLOOKUP(VLOOKUP($B91,test!$A$2:$I$32,4,FALSE),test!$J$10:$P$14,5,FALSE))/1440),1,0)</f>
        <v>0</v>
      </c>
      <c r="T91" s="2">
        <f>IF(AND(VLOOKUP(T$1,test!$A$3:$F$32,5,FALSE) - VLOOKUP($B91,test!$A$3:$G$32,6,FALSE) &gt;= (test!$B$35+VLOOKUP(VLOOKUP($B91,test!$A$2:$I$32,4,FALSE),test!$J$10:$P$14,5,FALSE))/1440),1,0)</f>
        <v>0</v>
      </c>
      <c r="U91" s="2">
        <f>IF(AND(VLOOKUP(U$1,test!$A$3:$F$32,5,FALSE) - VLOOKUP($B91,test!$A$3:$G$32,6,FALSE) &gt;= (test!$B$35+VLOOKUP(VLOOKUP($B91,test!$A$2:$I$32,4,FALSE),test!$J$10:$P$14,5,FALSE))/1440),1,0)</f>
        <v>0</v>
      </c>
      <c r="V91" s="2">
        <f>IF(AND(VLOOKUP(V$1,test!$A$3:$F$32,5,FALSE) - VLOOKUP($B91,test!$A$3:$G$32,6,FALSE) &gt;= (test!$B$35+VLOOKUP(VLOOKUP($B91,test!$A$2:$I$32,4,FALSE),test!$J$10:$P$14,5,FALSE))/1440),1,0)</f>
        <v>0</v>
      </c>
      <c r="W91" s="2">
        <f>IF(AND(VLOOKUP(W$1,test!$A$3:$F$32,5,FALSE) - VLOOKUP($B91,test!$A$3:$G$32,6,FALSE) &gt;= (test!$B$35+VLOOKUP(VLOOKUP($B91,test!$A$2:$I$32,4,FALSE),test!$J$10:$P$14,5,FALSE))/1440),1,0)</f>
        <v>0</v>
      </c>
      <c r="X91" s="2">
        <f>IF(AND(VLOOKUP(X$1,test!$A$3:$F$32,5,FALSE) - VLOOKUP($B91,test!$A$3:$G$32,6,FALSE) &gt;= (test!$B$35+VLOOKUP(VLOOKUP($B91,test!$A$2:$I$32,4,FALSE),test!$J$10:$P$14,5,FALSE))/1440),1,0)</f>
        <v>0</v>
      </c>
      <c r="Y91" s="2">
        <f>IF(AND(VLOOKUP(Y$1,test!$A$3:$F$32,5,FALSE) - VLOOKUP($B91,test!$A$3:$G$32,6,FALSE) &gt;= (test!$B$35+VLOOKUP(VLOOKUP($B91,test!$A$2:$I$32,4,FALSE),test!$J$10:$P$14,5,FALSE))/1440),1,0)</f>
        <v>0</v>
      </c>
      <c r="Z91" s="2">
        <f>IF(AND(VLOOKUP(Z$1,test!$A$3:$F$32,5,FALSE) - VLOOKUP($B91,test!$A$3:$G$32,6,FALSE) &gt;= (test!$B$35+VLOOKUP(VLOOKUP($B91,test!$A$2:$I$32,4,FALSE),test!$J$10:$P$14,5,FALSE))/1440),1,0)</f>
        <v>0</v>
      </c>
      <c r="AA91" s="2">
        <f>IF(AND(VLOOKUP(AA$1,test!$A$3:$F$32,5,FALSE) - VLOOKUP($B91,test!$A$3:$G$32,6,FALSE) &gt;= (test!$B$35+VLOOKUP(VLOOKUP($B91,test!$A$2:$I$32,4,FALSE),test!$J$10:$P$14,5,FALSE))/1440),1,0)</f>
        <v>0</v>
      </c>
      <c r="AB91" s="2">
        <f>IF(AND(VLOOKUP(AB$1,test!$A$3:$F$32,5,FALSE) - VLOOKUP($B91,test!$A$3:$G$32,6,FALSE) &gt;= (test!$B$35+VLOOKUP(VLOOKUP($B91,test!$A$2:$I$32,4,FALSE),test!$J$10:$P$14,5,FALSE))/1440),1,0)</f>
        <v>0</v>
      </c>
      <c r="AC91" s="2">
        <f>IF(AND(VLOOKUP(AC$1,test!$A$3:$F$32,5,FALSE) - VLOOKUP($B91,test!$A$3:$G$32,6,FALSE) &gt;= (test!$B$35+VLOOKUP(VLOOKUP($B91,test!$A$2:$I$32,4,FALSE),test!$J$10:$P$14,5,FALSE))/1440),1,0)</f>
        <v>0</v>
      </c>
      <c r="AD91" s="2">
        <f>IF(AND(VLOOKUP(AD$1,test!$A$3:$F$32,5,FALSE) - VLOOKUP($B91,test!$A$3:$G$32,6,FALSE) &gt;= (test!$B$35+VLOOKUP(VLOOKUP($B91,test!$A$2:$I$32,4,FALSE),test!$J$10:$P$14,5,FALSE))/1440),1,0)</f>
        <v>0</v>
      </c>
      <c r="AE91" s="2">
        <f>IF(AND(VLOOKUP(AE$1,test!$A$3:$F$32,5,FALSE) - VLOOKUP($B91,test!$A$3:$G$32,6,FALSE) &gt;= (test!$B$35+VLOOKUP(VLOOKUP($B91,test!$A$2:$I$32,4,FALSE),test!$J$10:$P$14,5,FALSE))/1440),1,0)</f>
        <v>0</v>
      </c>
      <c r="AF91" s="2">
        <f>IF(AND(VLOOKUP(AF$1,test!$A$3:$F$32,5,FALSE) - VLOOKUP($B91,test!$A$3:$G$32,6,FALSE) &gt;= (test!$B$35+VLOOKUP(VLOOKUP($B91,test!$A$2:$I$32,4,FALSE),test!$J$10:$P$14,5,FALSE))/1440),1,0)</f>
        <v>0</v>
      </c>
      <c r="AG91" s="2">
        <f>IF(AND(VLOOKUP(AG$1,test!$A$3:$F$32,5,FALSE) - VLOOKUP($B91,test!$A$3:$G$32,6,FALSE) &gt;= (test!$B$35+VLOOKUP(VLOOKUP($B91,test!$A$2:$I$32,4,FALSE),test!$J$10:$P$14,5,FALSE))/1440),1,0)</f>
        <v>0</v>
      </c>
    </row>
    <row r="92" spans="1:33" x14ac:dyDescent="0.25">
      <c r="A92" t="s">
        <v>97</v>
      </c>
      <c r="B92" t="s">
        <v>39</v>
      </c>
      <c r="C92">
        <v>0</v>
      </c>
      <c r="D92" s="2">
        <f>IF(AND(VLOOKUP(D$1,test!$A$3:$F$32,5,FALSE) - VLOOKUP($B92,test!$A$3:$G$32,6,FALSE) &gt;= (test!$B$35+VLOOKUP(VLOOKUP($B92,test!$A$2:$I$32,4,FALSE),test!$J$10:$P$14,5,FALSE))/1440),1,0)</f>
        <v>0</v>
      </c>
      <c r="E92" s="2">
        <f>IF(AND(VLOOKUP(E$1,test!$A$3:$F$32,5,FALSE) - VLOOKUP($B92,test!$A$3:$G$32,6,FALSE) &gt;= (test!$B$35+VLOOKUP(VLOOKUP($B92,test!$A$2:$I$32,4,FALSE),test!$J$10:$P$14,5,FALSE))/1440),1,0)</f>
        <v>0</v>
      </c>
      <c r="F92" s="2">
        <f>IF(AND(VLOOKUP(F$1,test!$A$3:$F$32,5,FALSE) - VLOOKUP($B92,test!$A$3:$G$32,6,FALSE) &gt;= (test!$B$35+VLOOKUP(VLOOKUP($B92,test!$A$2:$I$32,4,FALSE),test!$J$10:$P$14,5,FALSE))/1440),1,0)</f>
        <v>0</v>
      </c>
      <c r="G92" s="2">
        <f>IF(AND(VLOOKUP(G$1,test!$A$3:$F$32,5,FALSE) - VLOOKUP($B92,test!$A$3:$G$32,6,FALSE) &gt;= (test!$B$35+VLOOKUP(VLOOKUP($B92,test!$A$2:$I$32,4,FALSE),test!$J$10:$P$14,5,FALSE))/1440),1,0)</f>
        <v>0</v>
      </c>
      <c r="H92" s="2">
        <f>IF(AND(VLOOKUP(H$1,test!$A$3:$F$32,5,FALSE) - VLOOKUP($B92,test!$A$3:$G$32,6,FALSE) &gt;= (test!$B$35+VLOOKUP(VLOOKUP($B92,test!$A$2:$I$32,4,FALSE),test!$J$10:$P$14,5,FALSE))/1440),1,0)</f>
        <v>1</v>
      </c>
      <c r="I92" s="2">
        <f>IF(AND(VLOOKUP(I$1,test!$A$3:$F$32,5,FALSE) - VLOOKUP($B92,test!$A$3:$G$32,6,FALSE) &gt;= (test!$B$35+VLOOKUP(VLOOKUP($B92,test!$A$2:$I$32,4,FALSE),test!$J$10:$P$14,5,FALSE))/1440),1,0)</f>
        <v>1</v>
      </c>
      <c r="J92" s="2">
        <f>IF(AND(VLOOKUP(J$1,test!$A$3:$F$32,5,FALSE) - VLOOKUP($B92,test!$A$3:$G$32,6,FALSE) &gt;= (test!$B$35+VLOOKUP(VLOOKUP($B92,test!$A$2:$I$32,4,FALSE),test!$J$10:$P$14,5,FALSE))/1440),1,0)</f>
        <v>1</v>
      </c>
      <c r="K92" s="2">
        <f>IF(AND(VLOOKUP(K$1,test!$A$3:$F$32,5,FALSE) - VLOOKUP($B92,test!$A$3:$G$32,6,FALSE) &gt;= (test!$B$35+VLOOKUP(VLOOKUP($B92,test!$A$2:$I$32,4,FALSE),test!$J$10:$P$14,5,FALSE))/1440),1,0)</f>
        <v>1</v>
      </c>
      <c r="L92" s="2">
        <f>IF(AND(VLOOKUP(L$1,test!$A$3:$F$32,5,FALSE) - VLOOKUP($B92,test!$A$3:$G$32,6,FALSE) &gt;= (test!$B$35+VLOOKUP(VLOOKUP($B92,test!$A$2:$I$32,4,FALSE),test!$J$10:$P$14,5,FALSE))/1440),1,0)</f>
        <v>0</v>
      </c>
      <c r="M92" s="2">
        <f>IF(AND(VLOOKUP(M$1,test!$A$3:$F$32,5,FALSE) - VLOOKUP($B92,test!$A$3:$G$32,6,FALSE) &gt;= (test!$B$35+VLOOKUP(VLOOKUP($B92,test!$A$2:$I$32,4,FALSE),test!$J$10:$P$14,5,FALSE))/1440),1,0)</f>
        <v>0</v>
      </c>
      <c r="N92" s="2">
        <f>IF(AND(VLOOKUP(N$1,test!$A$3:$F$32,5,FALSE) - VLOOKUP($B92,test!$A$3:$G$32,6,FALSE) &gt;= (test!$B$35+VLOOKUP(VLOOKUP($B92,test!$A$2:$I$32,4,FALSE),test!$J$10:$P$14,5,FALSE))/1440),1,0)</f>
        <v>0</v>
      </c>
      <c r="O92" s="2">
        <f>IF(AND(VLOOKUP(O$1,test!$A$3:$F$32,5,FALSE) - VLOOKUP($B92,test!$A$3:$G$32,6,FALSE) &gt;= (test!$B$35+VLOOKUP(VLOOKUP($B92,test!$A$2:$I$32,4,FALSE),test!$J$10:$P$14,5,FALSE))/1440),1,0)</f>
        <v>1</v>
      </c>
      <c r="P92" s="2">
        <f>IF(AND(VLOOKUP(P$1,test!$A$3:$F$32,5,FALSE) - VLOOKUP($B92,test!$A$3:$G$32,6,FALSE) &gt;= (test!$B$35+VLOOKUP(VLOOKUP($B92,test!$A$2:$I$32,4,FALSE),test!$J$10:$P$14,5,FALSE))/1440),1,0)</f>
        <v>1</v>
      </c>
      <c r="Q92" s="2">
        <f>IF(AND(VLOOKUP(Q$1,test!$A$3:$F$32,5,FALSE) - VLOOKUP($B92,test!$A$3:$G$32,6,FALSE) &gt;= (test!$B$35+VLOOKUP(VLOOKUP($B92,test!$A$2:$I$32,4,FALSE),test!$J$10:$P$14,5,FALSE))/1440),1,0)</f>
        <v>0</v>
      </c>
      <c r="R92" s="2">
        <f>IF(AND(VLOOKUP(R$1,test!$A$3:$F$32,5,FALSE) - VLOOKUP($B92,test!$A$3:$G$32,6,FALSE) &gt;= (test!$B$35+VLOOKUP(VLOOKUP($B92,test!$A$2:$I$32,4,FALSE),test!$J$10:$P$14,5,FALSE))/1440),1,0)</f>
        <v>0</v>
      </c>
      <c r="S92" s="2">
        <f>IF(AND(VLOOKUP(S$1,test!$A$3:$F$32,5,FALSE) - VLOOKUP($B92,test!$A$3:$G$32,6,FALSE) &gt;= (test!$B$35+VLOOKUP(VLOOKUP($B92,test!$A$2:$I$32,4,FALSE),test!$J$10:$P$14,5,FALSE))/1440),1,0)</f>
        <v>0</v>
      </c>
      <c r="T92" s="2">
        <f>IF(AND(VLOOKUP(T$1,test!$A$3:$F$32,5,FALSE) - VLOOKUP($B92,test!$A$3:$G$32,6,FALSE) &gt;= (test!$B$35+VLOOKUP(VLOOKUP($B92,test!$A$2:$I$32,4,FALSE),test!$J$10:$P$14,5,FALSE))/1440),1,0)</f>
        <v>0</v>
      </c>
      <c r="U92" s="2">
        <f>IF(AND(VLOOKUP(U$1,test!$A$3:$F$32,5,FALSE) - VLOOKUP($B92,test!$A$3:$G$32,6,FALSE) &gt;= (test!$B$35+VLOOKUP(VLOOKUP($B92,test!$A$2:$I$32,4,FALSE),test!$J$10:$P$14,5,FALSE))/1440),1,0)</f>
        <v>0</v>
      </c>
      <c r="V92" s="2">
        <f>IF(AND(VLOOKUP(V$1,test!$A$3:$F$32,5,FALSE) - VLOOKUP($B92,test!$A$3:$G$32,6,FALSE) &gt;= (test!$B$35+VLOOKUP(VLOOKUP($B92,test!$A$2:$I$32,4,FALSE),test!$J$10:$P$14,5,FALSE))/1440),1,0)</f>
        <v>0</v>
      </c>
      <c r="W92" s="2">
        <f>IF(AND(VLOOKUP(W$1,test!$A$3:$F$32,5,FALSE) - VLOOKUP($B92,test!$A$3:$G$32,6,FALSE) &gt;= (test!$B$35+VLOOKUP(VLOOKUP($B92,test!$A$2:$I$32,4,FALSE),test!$J$10:$P$14,5,FALSE))/1440),1,0)</f>
        <v>1</v>
      </c>
      <c r="X92" s="2">
        <f>IF(AND(VLOOKUP(X$1,test!$A$3:$F$32,5,FALSE) - VLOOKUP($B92,test!$A$3:$G$32,6,FALSE) &gt;= (test!$B$35+VLOOKUP(VLOOKUP($B92,test!$A$2:$I$32,4,FALSE),test!$J$10:$P$14,5,FALSE))/1440),1,0)</f>
        <v>1</v>
      </c>
      <c r="Y92" s="2">
        <f>IF(AND(VLOOKUP(Y$1,test!$A$3:$F$32,5,FALSE) - VLOOKUP($B92,test!$A$3:$G$32,6,FALSE) &gt;= (test!$B$35+VLOOKUP(VLOOKUP($B92,test!$A$2:$I$32,4,FALSE),test!$J$10:$P$14,5,FALSE))/1440),1,0)</f>
        <v>1</v>
      </c>
      <c r="Z92" s="2">
        <f>IF(AND(VLOOKUP(Z$1,test!$A$3:$F$32,5,FALSE) - VLOOKUP($B92,test!$A$3:$G$32,6,FALSE) &gt;= (test!$B$35+VLOOKUP(VLOOKUP($B92,test!$A$2:$I$32,4,FALSE),test!$J$10:$P$14,5,FALSE))/1440),1,0)</f>
        <v>0</v>
      </c>
      <c r="AA92" s="2">
        <f>IF(AND(VLOOKUP(AA$1,test!$A$3:$F$32,5,FALSE) - VLOOKUP($B92,test!$A$3:$G$32,6,FALSE) &gt;= (test!$B$35+VLOOKUP(VLOOKUP($B92,test!$A$2:$I$32,4,FALSE),test!$J$10:$P$14,5,FALSE))/1440),1,0)</f>
        <v>0</v>
      </c>
      <c r="AB92" s="2">
        <f>IF(AND(VLOOKUP(AB$1,test!$A$3:$F$32,5,FALSE) - VLOOKUP($B92,test!$A$3:$G$32,6,FALSE) &gt;= (test!$B$35+VLOOKUP(VLOOKUP($B92,test!$A$2:$I$32,4,FALSE),test!$J$10:$P$14,5,FALSE))/1440),1,0)</f>
        <v>0</v>
      </c>
      <c r="AC92" s="2">
        <f>IF(AND(VLOOKUP(AC$1,test!$A$3:$F$32,5,FALSE) - VLOOKUP($B92,test!$A$3:$G$32,6,FALSE) &gt;= (test!$B$35+VLOOKUP(VLOOKUP($B92,test!$A$2:$I$32,4,FALSE),test!$J$10:$P$14,5,FALSE))/1440),1,0)</f>
        <v>0</v>
      </c>
      <c r="AD92" s="2">
        <f>IF(AND(VLOOKUP(AD$1,test!$A$3:$F$32,5,FALSE) - VLOOKUP($B92,test!$A$3:$G$32,6,FALSE) &gt;= (test!$B$35+VLOOKUP(VLOOKUP($B92,test!$A$2:$I$32,4,FALSE),test!$J$10:$P$14,5,FALSE))/1440),1,0)</f>
        <v>1</v>
      </c>
      <c r="AE92" s="2">
        <f>IF(AND(VLOOKUP(AE$1,test!$A$3:$F$32,5,FALSE) - VLOOKUP($B92,test!$A$3:$G$32,6,FALSE) &gt;= (test!$B$35+VLOOKUP(VLOOKUP($B92,test!$A$2:$I$32,4,FALSE),test!$J$10:$P$14,5,FALSE))/1440),1,0)</f>
        <v>0</v>
      </c>
      <c r="AF92" s="2">
        <f>IF(AND(VLOOKUP(AF$1,test!$A$3:$F$32,5,FALSE) - VLOOKUP($B92,test!$A$3:$G$32,6,FALSE) &gt;= (test!$B$35+VLOOKUP(VLOOKUP($B92,test!$A$2:$I$32,4,FALSE),test!$J$10:$P$14,5,FALSE))/1440),1,0)</f>
        <v>0</v>
      </c>
      <c r="AG92" s="2">
        <f>IF(AND(VLOOKUP(AG$1,test!$A$3:$F$32,5,FALSE) - VLOOKUP($B92,test!$A$3:$G$32,6,FALSE) &gt;= (test!$B$35+VLOOKUP(VLOOKUP($B92,test!$A$2:$I$32,4,FALSE),test!$J$10:$P$14,5,FALSE))/1440),1,0)</f>
        <v>0</v>
      </c>
    </row>
    <row r="93" spans="1:33" x14ac:dyDescent="0.25">
      <c r="A93" t="s">
        <v>97</v>
      </c>
      <c r="B93" t="s">
        <v>40</v>
      </c>
      <c r="C93">
        <v>0</v>
      </c>
      <c r="D93" s="2">
        <f>IF(AND(VLOOKUP(D$1,test!$A$3:$F$32,5,FALSE) - VLOOKUP($B93,test!$A$3:$G$32,6,FALSE) &gt;= (test!$B$35+VLOOKUP(VLOOKUP($B93,test!$A$2:$I$32,4,FALSE),test!$J$10:$P$14,5,FALSE))/1440),1,0)</f>
        <v>0</v>
      </c>
      <c r="E93" s="2">
        <f>IF(AND(VLOOKUP(E$1,test!$A$3:$F$32,5,FALSE) - VLOOKUP($B93,test!$A$3:$G$32,6,FALSE) &gt;= (test!$B$35+VLOOKUP(VLOOKUP($B93,test!$A$2:$I$32,4,FALSE),test!$J$10:$P$14,5,FALSE))/1440),1,0)</f>
        <v>0</v>
      </c>
      <c r="F93" s="2">
        <f>IF(AND(VLOOKUP(F$1,test!$A$3:$F$32,5,FALSE) - VLOOKUP($B93,test!$A$3:$G$32,6,FALSE) &gt;= (test!$B$35+VLOOKUP(VLOOKUP($B93,test!$A$2:$I$32,4,FALSE),test!$J$10:$P$14,5,FALSE))/1440),1,0)</f>
        <v>0</v>
      </c>
      <c r="G93" s="2">
        <f>IF(AND(VLOOKUP(G$1,test!$A$3:$F$32,5,FALSE) - VLOOKUP($B93,test!$A$3:$G$32,6,FALSE) &gt;= (test!$B$35+VLOOKUP(VLOOKUP($B93,test!$A$2:$I$32,4,FALSE),test!$J$10:$P$14,5,FALSE))/1440),1,0)</f>
        <v>0</v>
      </c>
      <c r="H93" s="2">
        <f>IF(AND(VLOOKUP(H$1,test!$A$3:$F$32,5,FALSE) - VLOOKUP($B93,test!$A$3:$G$32,6,FALSE) &gt;= (test!$B$35+VLOOKUP(VLOOKUP($B93,test!$A$2:$I$32,4,FALSE),test!$J$10:$P$14,5,FALSE))/1440),1,0)</f>
        <v>0</v>
      </c>
      <c r="I93" s="2">
        <f>IF(AND(VLOOKUP(I$1,test!$A$3:$F$32,5,FALSE) - VLOOKUP($B93,test!$A$3:$G$32,6,FALSE) &gt;= (test!$B$35+VLOOKUP(VLOOKUP($B93,test!$A$2:$I$32,4,FALSE),test!$J$10:$P$14,5,FALSE))/1440),1,0)</f>
        <v>0</v>
      </c>
      <c r="J93" s="2">
        <f>IF(AND(VLOOKUP(J$1,test!$A$3:$F$32,5,FALSE) - VLOOKUP($B93,test!$A$3:$G$32,6,FALSE) &gt;= (test!$B$35+VLOOKUP(VLOOKUP($B93,test!$A$2:$I$32,4,FALSE),test!$J$10:$P$14,5,FALSE))/1440),1,0)</f>
        <v>0</v>
      </c>
      <c r="K93" s="2">
        <f>IF(AND(VLOOKUP(K$1,test!$A$3:$F$32,5,FALSE) - VLOOKUP($B93,test!$A$3:$G$32,6,FALSE) &gt;= (test!$B$35+VLOOKUP(VLOOKUP($B93,test!$A$2:$I$32,4,FALSE),test!$J$10:$P$14,5,FALSE))/1440),1,0)</f>
        <v>0</v>
      </c>
      <c r="L93" s="2">
        <f>IF(AND(VLOOKUP(L$1,test!$A$3:$F$32,5,FALSE) - VLOOKUP($B93,test!$A$3:$G$32,6,FALSE) &gt;= (test!$B$35+VLOOKUP(VLOOKUP($B93,test!$A$2:$I$32,4,FALSE),test!$J$10:$P$14,5,FALSE))/1440),1,0)</f>
        <v>0</v>
      </c>
      <c r="M93" s="2">
        <f>IF(AND(VLOOKUP(M$1,test!$A$3:$F$32,5,FALSE) - VLOOKUP($B93,test!$A$3:$G$32,6,FALSE) &gt;= (test!$B$35+VLOOKUP(VLOOKUP($B93,test!$A$2:$I$32,4,FALSE),test!$J$10:$P$14,5,FALSE))/1440),1,0)</f>
        <v>0</v>
      </c>
      <c r="N93" s="2">
        <f>IF(AND(VLOOKUP(N$1,test!$A$3:$F$32,5,FALSE) - VLOOKUP($B93,test!$A$3:$G$32,6,FALSE) &gt;= (test!$B$35+VLOOKUP(VLOOKUP($B93,test!$A$2:$I$32,4,FALSE),test!$J$10:$P$14,5,FALSE))/1440),1,0)</f>
        <v>0</v>
      </c>
      <c r="O93" s="2">
        <f>IF(AND(VLOOKUP(O$1,test!$A$3:$F$32,5,FALSE) - VLOOKUP($B93,test!$A$3:$G$32,6,FALSE) &gt;= (test!$B$35+VLOOKUP(VLOOKUP($B93,test!$A$2:$I$32,4,FALSE),test!$J$10:$P$14,5,FALSE))/1440),1,0)</f>
        <v>0</v>
      </c>
      <c r="P93" s="2">
        <f>IF(AND(VLOOKUP(P$1,test!$A$3:$F$32,5,FALSE) - VLOOKUP($B93,test!$A$3:$G$32,6,FALSE) &gt;= (test!$B$35+VLOOKUP(VLOOKUP($B93,test!$A$2:$I$32,4,FALSE),test!$J$10:$P$14,5,FALSE))/1440),1,0)</f>
        <v>0</v>
      </c>
      <c r="Q93" s="2">
        <f>IF(AND(VLOOKUP(Q$1,test!$A$3:$F$32,5,FALSE) - VLOOKUP($B93,test!$A$3:$G$32,6,FALSE) &gt;= (test!$B$35+VLOOKUP(VLOOKUP($B93,test!$A$2:$I$32,4,FALSE),test!$J$10:$P$14,5,FALSE))/1440),1,0)</f>
        <v>0</v>
      </c>
      <c r="R93" s="2">
        <f>IF(AND(VLOOKUP(R$1,test!$A$3:$F$32,5,FALSE) - VLOOKUP($B93,test!$A$3:$G$32,6,FALSE) &gt;= (test!$B$35+VLOOKUP(VLOOKUP($B93,test!$A$2:$I$32,4,FALSE),test!$J$10:$P$14,5,FALSE))/1440),1,0)</f>
        <v>0</v>
      </c>
      <c r="S93" s="2">
        <f>IF(AND(VLOOKUP(S$1,test!$A$3:$F$32,5,FALSE) - VLOOKUP($B93,test!$A$3:$G$32,6,FALSE) &gt;= (test!$B$35+VLOOKUP(VLOOKUP($B93,test!$A$2:$I$32,4,FALSE),test!$J$10:$P$14,5,FALSE))/1440),1,0)</f>
        <v>0</v>
      </c>
      <c r="T93" s="2">
        <f>IF(AND(VLOOKUP(T$1,test!$A$3:$F$32,5,FALSE) - VLOOKUP($B93,test!$A$3:$G$32,6,FALSE) &gt;= (test!$B$35+VLOOKUP(VLOOKUP($B93,test!$A$2:$I$32,4,FALSE),test!$J$10:$P$14,5,FALSE))/1440),1,0)</f>
        <v>0</v>
      </c>
      <c r="U93" s="2">
        <f>IF(AND(VLOOKUP(U$1,test!$A$3:$F$32,5,FALSE) - VLOOKUP($B93,test!$A$3:$G$32,6,FALSE) &gt;= (test!$B$35+VLOOKUP(VLOOKUP($B93,test!$A$2:$I$32,4,FALSE),test!$J$10:$P$14,5,FALSE))/1440),1,0)</f>
        <v>0</v>
      </c>
      <c r="V93" s="2">
        <f>IF(AND(VLOOKUP(V$1,test!$A$3:$F$32,5,FALSE) - VLOOKUP($B93,test!$A$3:$G$32,6,FALSE) &gt;= (test!$B$35+VLOOKUP(VLOOKUP($B93,test!$A$2:$I$32,4,FALSE),test!$J$10:$P$14,5,FALSE))/1440),1,0)</f>
        <v>0</v>
      </c>
      <c r="W93" s="2">
        <f>IF(AND(VLOOKUP(W$1,test!$A$3:$F$32,5,FALSE) - VLOOKUP($B93,test!$A$3:$G$32,6,FALSE) &gt;= (test!$B$35+VLOOKUP(VLOOKUP($B93,test!$A$2:$I$32,4,FALSE),test!$J$10:$P$14,5,FALSE))/1440),1,0)</f>
        <v>0</v>
      </c>
      <c r="X93" s="2">
        <f>IF(AND(VLOOKUP(X$1,test!$A$3:$F$32,5,FALSE) - VLOOKUP($B93,test!$A$3:$G$32,6,FALSE) &gt;= (test!$B$35+VLOOKUP(VLOOKUP($B93,test!$A$2:$I$32,4,FALSE),test!$J$10:$P$14,5,FALSE))/1440),1,0)</f>
        <v>0</v>
      </c>
      <c r="Y93" s="2">
        <f>IF(AND(VLOOKUP(Y$1,test!$A$3:$F$32,5,FALSE) - VLOOKUP($B93,test!$A$3:$G$32,6,FALSE) &gt;= (test!$B$35+VLOOKUP(VLOOKUP($B93,test!$A$2:$I$32,4,FALSE),test!$J$10:$P$14,5,FALSE))/1440),1,0)</f>
        <v>0</v>
      </c>
      <c r="Z93" s="2">
        <f>IF(AND(VLOOKUP(Z$1,test!$A$3:$F$32,5,FALSE) - VLOOKUP($B93,test!$A$3:$G$32,6,FALSE) &gt;= (test!$B$35+VLOOKUP(VLOOKUP($B93,test!$A$2:$I$32,4,FALSE),test!$J$10:$P$14,5,FALSE))/1440),1,0)</f>
        <v>0</v>
      </c>
      <c r="AA93" s="2">
        <f>IF(AND(VLOOKUP(AA$1,test!$A$3:$F$32,5,FALSE) - VLOOKUP($B93,test!$A$3:$G$32,6,FALSE) &gt;= (test!$B$35+VLOOKUP(VLOOKUP($B93,test!$A$2:$I$32,4,FALSE),test!$J$10:$P$14,5,FALSE))/1440),1,0)</f>
        <v>0</v>
      </c>
      <c r="AB93" s="2">
        <f>IF(AND(VLOOKUP(AB$1,test!$A$3:$F$32,5,FALSE) - VLOOKUP($B93,test!$A$3:$G$32,6,FALSE) &gt;= (test!$B$35+VLOOKUP(VLOOKUP($B93,test!$A$2:$I$32,4,FALSE),test!$J$10:$P$14,5,FALSE))/1440),1,0)</f>
        <v>0</v>
      </c>
      <c r="AC93" s="2">
        <f>IF(AND(VLOOKUP(AC$1,test!$A$3:$F$32,5,FALSE) - VLOOKUP($B93,test!$A$3:$G$32,6,FALSE) &gt;= (test!$B$35+VLOOKUP(VLOOKUP($B93,test!$A$2:$I$32,4,FALSE),test!$J$10:$P$14,5,FALSE))/1440),1,0)</f>
        <v>0</v>
      </c>
      <c r="AD93" s="2">
        <f>IF(AND(VLOOKUP(AD$1,test!$A$3:$F$32,5,FALSE) - VLOOKUP($B93,test!$A$3:$G$32,6,FALSE) &gt;= (test!$B$35+VLOOKUP(VLOOKUP($B93,test!$A$2:$I$32,4,FALSE),test!$J$10:$P$14,5,FALSE))/1440),1,0)</f>
        <v>0</v>
      </c>
      <c r="AE93" s="2">
        <f>IF(AND(VLOOKUP(AE$1,test!$A$3:$F$32,5,FALSE) - VLOOKUP($B93,test!$A$3:$G$32,6,FALSE) &gt;= (test!$B$35+VLOOKUP(VLOOKUP($B93,test!$A$2:$I$32,4,FALSE),test!$J$10:$P$14,5,FALSE))/1440),1,0)</f>
        <v>0</v>
      </c>
      <c r="AF93" s="2">
        <f>IF(AND(VLOOKUP(AF$1,test!$A$3:$F$32,5,FALSE) - VLOOKUP($B93,test!$A$3:$G$32,6,FALSE) &gt;= (test!$B$35+VLOOKUP(VLOOKUP($B93,test!$A$2:$I$32,4,FALSE),test!$J$10:$P$14,5,FALSE))/1440),1,0)</f>
        <v>0</v>
      </c>
      <c r="AG93" s="2">
        <f>IF(AND(VLOOKUP(AG$1,test!$A$3:$F$32,5,FALSE) - VLOOKUP($B93,test!$A$3:$G$32,6,FALSE) &gt;= (test!$B$35+VLOOKUP(VLOOKUP($B93,test!$A$2:$I$32,4,FALSE),test!$J$10:$P$14,5,FALSE))/1440),1,0)</f>
        <v>0</v>
      </c>
    </row>
    <row r="94" spans="1:33" x14ac:dyDescent="0.25">
      <c r="A94" t="s">
        <v>97</v>
      </c>
      <c r="B94" t="s">
        <v>41</v>
      </c>
      <c r="C94">
        <v>0</v>
      </c>
      <c r="D94" s="2">
        <f>IF(AND(VLOOKUP(D$1,test!$A$3:$F$32,5,FALSE) - VLOOKUP($B94,test!$A$3:$G$32,6,FALSE) &gt;= (test!$B$35+VLOOKUP(VLOOKUP($B94,test!$A$2:$I$32,4,FALSE),test!$J$10:$P$14,5,FALSE))/1440),1,0)</f>
        <v>0</v>
      </c>
      <c r="E94" s="2">
        <f>IF(AND(VLOOKUP(E$1,test!$A$3:$F$32,5,FALSE) - VLOOKUP($B94,test!$A$3:$G$32,6,FALSE) &gt;= (test!$B$35+VLOOKUP(VLOOKUP($B94,test!$A$2:$I$32,4,FALSE),test!$J$10:$P$14,5,FALSE))/1440),1,0)</f>
        <v>0</v>
      </c>
      <c r="F94" s="2">
        <f>IF(AND(VLOOKUP(F$1,test!$A$3:$F$32,5,FALSE) - VLOOKUP($B94,test!$A$3:$G$32,6,FALSE) &gt;= (test!$B$35+VLOOKUP(VLOOKUP($B94,test!$A$2:$I$32,4,FALSE),test!$J$10:$P$14,5,FALSE))/1440),1,0)</f>
        <v>0</v>
      </c>
      <c r="G94" s="2">
        <f>IF(AND(VLOOKUP(G$1,test!$A$3:$F$32,5,FALSE) - VLOOKUP($B94,test!$A$3:$G$32,6,FALSE) &gt;= (test!$B$35+VLOOKUP(VLOOKUP($B94,test!$A$2:$I$32,4,FALSE),test!$J$10:$P$14,5,FALSE))/1440),1,0)</f>
        <v>0</v>
      </c>
      <c r="H94" s="2">
        <f>IF(AND(VLOOKUP(H$1,test!$A$3:$F$32,5,FALSE) - VLOOKUP($B94,test!$A$3:$G$32,6,FALSE) &gt;= (test!$B$35+VLOOKUP(VLOOKUP($B94,test!$A$2:$I$32,4,FALSE),test!$J$10:$P$14,5,FALSE))/1440),1,0)</f>
        <v>0</v>
      </c>
      <c r="I94" s="2">
        <f>IF(AND(VLOOKUP(I$1,test!$A$3:$F$32,5,FALSE) - VLOOKUP($B94,test!$A$3:$G$32,6,FALSE) &gt;= (test!$B$35+VLOOKUP(VLOOKUP($B94,test!$A$2:$I$32,4,FALSE),test!$J$10:$P$14,5,FALSE))/1440),1,0)</f>
        <v>0</v>
      </c>
      <c r="J94" s="2">
        <f>IF(AND(VLOOKUP(J$1,test!$A$3:$F$32,5,FALSE) - VLOOKUP($B94,test!$A$3:$G$32,6,FALSE) &gt;= (test!$B$35+VLOOKUP(VLOOKUP($B94,test!$A$2:$I$32,4,FALSE),test!$J$10:$P$14,5,FALSE))/1440),1,0)</f>
        <v>0</v>
      </c>
      <c r="K94" s="2">
        <f>IF(AND(VLOOKUP(K$1,test!$A$3:$F$32,5,FALSE) - VLOOKUP($B94,test!$A$3:$G$32,6,FALSE) &gt;= (test!$B$35+VLOOKUP(VLOOKUP($B94,test!$A$2:$I$32,4,FALSE),test!$J$10:$P$14,5,FALSE))/1440),1,0)</f>
        <v>0</v>
      </c>
      <c r="L94" s="2">
        <f>IF(AND(VLOOKUP(L$1,test!$A$3:$F$32,5,FALSE) - VLOOKUP($B94,test!$A$3:$G$32,6,FALSE) &gt;= (test!$B$35+VLOOKUP(VLOOKUP($B94,test!$A$2:$I$32,4,FALSE),test!$J$10:$P$14,5,FALSE))/1440),1,0)</f>
        <v>0</v>
      </c>
      <c r="M94" s="2">
        <f>IF(AND(VLOOKUP(M$1,test!$A$3:$F$32,5,FALSE) - VLOOKUP($B94,test!$A$3:$G$32,6,FALSE) &gt;= (test!$B$35+VLOOKUP(VLOOKUP($B94,test!$A$2:$I$32,4,FALSE),test!$J$10:$P$14,5,FALSE))/1440),1,0)</f>
        <v>0</v>
      </c>
      <c r="N94" s="2">
        <f>IF(AND(VLOOKUP(N$1,test!$A$3:$F$32,5,FALSE) - VLOOKUP($B94,test!$A$3:$G$32,6,FALSE) &gt;= (test!$B$35+VLOOKUP(VLOOKUP($B94,test!$A$2:$I$32,4,FALSE),test!$J$10:$P$14,5,FALSE))/1440),1,0)</f>
        <v>0</v>
      </c>
      <c r="O94" s="2">
        <f>IF(AND(VLOOKUP(O$1,test!$A$3:$F$32,5,FALSE) - VLOOKUP($B94,test!$A$3:$G$32,6,FALSE) &gt;= (test!$B$35+VLOOKUP(VLOOKUP($B94,test!$A$2:$I$32,4,FALSE),test!$J$10:$P$14,5,FALSE))/1440),1,0)</f>
        <v>0</v>
      </c>
      <c r="P94" s="2">
        <f>IF(AND(VLOOKUP(P$1,test!$A$3:$F$32,5,FALSE) - VLOOKUP($B94,test!$A$3:$G$32,6,FALSE) &gt;= (test!$B$35+VLOOKUP(VLOOKUP($B94,test!$A$2:$I$32,4,FALSE),test!$J$10:$P$14,5,FALSE))/1440),1,0)</f>
        <v>0</v>
      </c>
      <c r="Q94" s="2">
        <f>IF(AND(VLOOKUP(Q$1,test!$A$3:$F$32,5,FALSE) - VLOOKUP($B94,test!$A$3:$G$32,6,FALSE) &gt;= (test!$B$35+VLOOKUP(VLOOKUP($B94,test!$A$2:$I$32,4,FALSE),test!$J$10:$P$14,5,FALSE))/1440),1,0)</f>
        <v>0</v>
      </c>
      <c r="R94" s="2">
        <f>IF(AND(VLOOKUP(R$1,test!$A$3:$F$32,5,FALSE) - VLOOKUP($B94,test!$A$3:$G$32,6,FALSE) &gt;= (test!$B$35+VLOOKUP(VLOOKUP($B94,test!$A$2:$I$32,4,FALSE),test!$J$10:$P$14,5,FALSE))/1440),1,0)</f>
        <v>0</v>
      </c>
      <c r="S94" s="2">
        <f>IF(AND(VLOOKUP(S$1,test!$A$3:$F$32,5,FALSE) - VLOOKUP($B94,test!$A$3:$G$32,6,FALSE) &gt;= (test!$B$35+VLOOKUP(VLOOKUP($B94,test!$A$2:$I$32,4,FALSE),test!$J$10:$P$14,5,FALSE))/1440),1,0)</f>
        <v>0</v>
      </c>
      <c r="T94" s="2">
        <f>IF(AND(VLOOKUP(T$1,test!$A$3:$F$32,5,FALSE) - VLOOKUP($B94,test!$A$3:$G$32,6,FALSE) &gt;= (test!$B$35+VLOOKUP(VLOOKUP($B94,test!$A$2:$I$32,4,FALSE),test!$J$10:$P$14,5,FALSE))/1440),1,0)</f>
        <v>0</v>
      </c>
      <c r="U94" s="2">
        <f>IF(AND(VLOOKUP(U$1,test!$A$3:$F$32,5,FALSE) - VLOOKUP($B94,test!$A$3:$G$32,6,FALSE) &gt;= (test!$B$35+VLOOKUP(VLOOKUP($B94,test!$A$2:$I$32,4,FALSE),test!$J$10:$P$14,5,FALSE))/1440),1,0)</f>
        <v>0</v>
      </c>
      <c r="V94" s="2">
        <f>IF(AND(VLOOKUP(V$1,test!$A$3:$F$32,5,FALSE) - VLOOKUP($B94,test!$A$3:$G$32,6,FALSE) &gt;= (test!$B$35+VLOOKUP(VLOOKUP($B94,test!$A$2:$I$32,4,FALSE),test!$J$10:$P$14,5,FALSE))/1440),1,0)</f>
        <v>0</v>
      </c>
      <c r="W94" s="2">
        <f>IF(AND(VLOOKUP(W$1,test!$A$3:$F$32,5,FALSE) - VLOOKUP($B94,test!$A$3:$G$32,6,FALSE) &gt;= (test!$B$35+VLOOKUP(VLOOKUP($B94,test!$A$2:$I$32,4,FALSE),test!$J$10:$P$14,5,FALSE))/1440),1,0)</f>
        <v>0</v>
      </c>
      <c r="X94" s="2">
        <f>IF(AND(VLOOKUP(X$1,test!$A$3:$F$32,5,FALSE) - VLOOKUP($B94,test!$A$3:$G$32,6,FALSE) &gt;= (test!$B$35+VLOOKUP(VLOOKUP($B94,test!$A$2:$I$32,4,FALSE),test!$J$10:$P$14,5,FALSE))/1440),1,0)</f>
        <v>0</v>
      </c>
      <c r="Y94" s="2">
        <f>IF(AND(VLOOKUP(Y$1,test!$A$3:$F$32,5,FALSE) - VLOOKUP($B94,test!$A$3:$G$32,6,FALSE) &gt;= (test!$B$35+VLOOKUP(VLOOKUP($B94,test!$A$2:$I$32,4,FALSE),test!$J$10:$P$14,5,FALSE))/1440),1,0)</f>
        <v>0</v>
      </c>
      <c r="Z94" s="2">
        <f>IF(AND(VLOOKUP(Z$1,test!$A$3:$F$32,5,FALSE) - VLOOKUP($B94,test!$A$3:$G$32,6,FALSE) &gt;= (test!$B$35+VLOOKUP(VLOOKUP($B94,test!$A$2:$I$32,4,FALSE),test!$J$10:$P$14,5,FALSE))/1440),1,0)</f>
        <v>0</v>
      </c>
      <c r="AA94" s="2">
        <f>IF(AND(VLOOKUP(AA$1,test!$A$3:$F$32,5,FALSE) - VLOOKUP($B94,test!$A$3:$G$32,6,FALSE) &gt;= (test!$B$35+VLOOKUP(VLOOKUP($B94,test!$A$2:$I$32,4,FALSE),test!$J$10:$P$14,5,FALSE))/1440),1,0)</f>
        <v>0</v>
      </c>
      <c r="AB94" s="2">
        <f>IF(AND(VLOOKUP(AB$1,test!$A$3:$F$32,5,FALSE) - VLOOKUP($B94,test!$A$3:$G$32,6,FALSE) &gt;= (test!$B$35+VLOOKUP(VLOOKUP($B94,test!$A$2:$I$32,4,FALSE),test!$J$10:$P$14,5,FALSE))/1440),1,0)</f>
        <v>0</v>
      </c>
      <c r="AC94" s="2">
        <f>IF(AND(VLOOKUP(AC$1,test!$A$3:$F$32,5,FALSE) - VLOOKUP($B94,test!$A$3:$G$32,6,FALSE) &gt;= (test!$B$35+VLOOKUP(VLOOKUP($B94,test!$A$2:$I$32,4,FALSE),test!$J$10:$P$14,5,FALSE))/1440),1,0)</f>
        <v>0</v>
      </c>
      <c r="AD94" s="2">
        <f>IF(AND(VLOOKUP(AD$1,test!$A$3:$F$32,5,FALSE) - VLOOKUP($B94,test!$A$3:$G$32,6,FALSE) &gt;= (test!$B$35+VLOOKUP(VLOOKUP($B94,test!$A$2:$I$32,4,FALSE),test!$J$10:$P$14,5,FALSE))/1440),1,0)</f>
        <v>0</v>
      </c>
      <c r="AE94" s="2">
        <f>IF(AND(VLOOKUP(AE$1,test!$A$3:$F$32,5,FALSE) - VLOOKUP($B94,test!$A$3:$G$32,6,FALSE) &gt;= (test!$B$35+VLOOKUP(VLOOKUP($B94,test!$A$2:$I$32,4,FALSE),test!$J$10:$P$14,5,FALSE))/1440),1,0)</f>
        <v>0</v>
      </c>
      <c r="AF94" s="2">
        <f>IF(AND(VLOOKUP(AF$1,test!$A$3:$F$32,5,FALSE) - VLOOKUP($B94,test!$A$3:$G$32,6,FALSE) &gt;= (test!$B$35+VLOOKUP(VLOOKUP($B94,test!$A$2:$I$32,4,FALSE),test!$J$10:$P$14,5,FALSE))/1440),1,0)</f>
        <v>0</v>
      </c>
      <c r="AG94" s="2">
        <f>IF(AND(VLOOKUP(AG$1,test!$A$3:$F$32,5,FALSE) - VLOOKUP($B94,test!$A$3:$G$32,6,FALSE) &gt;= (test!$B$35+VLOOKUP(VLOOKUP($B94,test!$A$2:$I$32,4,FALSE),test!$J$10:$P$14,5,FALSE))/1440),1,0)</f>
        <v>0</v>
      </c>
    </row>
    <row r="95" spans="1:33" x14ac:dyDescent="0.25">
      <c r="A95" t="s">
        <v>98</v>
      </c>
      <c r="B95" t="s">
        <v>46</v>
      </c>
      <c r="C95">
        <v>0</v>
      </c>
      <c r="D95" s="2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5">
      <c r="A96" t="s">
        <v>98</v>
      </c>
      <c r="B96" t="s">
        <v>6</v>
      </c>
      <c r="C96">
        <v>0</v>
      </c>
      <c r="D96" s="2">
        <f>IF(AND(VLOOKUP(D$1,test!$A$3:$F$32,5,FALSE) - VLOOKUP($B96,test!$A$3:$G$32,6,FALSE) &gt;= (test!$B$36+VLOOKUP(VLOOKUP($B96,test!$A$2:$I$32,4,FALSE),test!$J$10:$P$14,6,FALSE))/1440),1,0)</f>
        <v>0</v>
      </c>
      <c r="E96" s="2">
        <f>IF(AND(VLOOKUP(E$1,test!$A$3:$F$32,5,FALSE) - VLOOKUP($B96,test!$A$3:$G$32,6,FALSE) &gt;= (test!$B$36+VLOOKUP(VLOOKUP($B96,test!$A$2:$I$32,4,FALSE),test!$J$10:$P$14,6,FALSE))/1440),1,0)</f>
        <v>0</v>
      </c>
      <c r="F96" s="2">
        <f>IF(AND(VLOOKUP(F$1,test!$A$3:$F$32,5,FALSE) - VLOOKUP($B96,test!$A$3:$G$32,6,FALSE) &gt;= (test!$B$36+VLOOKUP(VLOOKUP($B96,test!$A$2:$I$32,4,FALSE),test!$J$10:$P$14,6,FALSE))/1440),1,0)</f>
        <v>0</v>
      </c>
      <c r="G96" s="2">
        <f>IF(AND(VLOOKUP(G$1,test!$A$3:$F$32,5,FALSE) - VLOOKUP($B96,test!$A$3:$G$32,6,FALSE) &gt;= (test!$B$36+VLOOKUP(VLOOKUP($B96,test!$A$2:$I$32,4,FALSE),test!$J$10:$P$14,6,FALSE))/1440),1,0)</f>
        <v>1</v>
      </c>
      <c r="H96" s="2">
        <f>IF(AND(VLOOKUP(H$1,test!$A$3:$F$32,5,FALSE) - VLOOKUP($B96,test!$A$3:$G$32,6,FALSE) &gt;= (test!$B$36+VLOOKUP(VLOOKUP($B96,test!$A$2:$I$32,4,FALSE),test!$J$10:$P$14,6,FALSE))/1440),1,0)</f>
        <v>1</v>
      </c>
      <c r="I96" s="2">
        <f>IF(AND(VLOOKUP(I$1,test!$A$3:$F$32,5,FALSE) - VLOOKUP($B96,test!$A$3:$G$32,6,FALSE) &gt;= (test!$B$36+VLOOKUP(VLOOKUP($B96,test!$A$2:$I$32,4,FALSE),test!$J$10:$P$14,6,FALSE))/1440),1,0)</f>
        <v>1</v>
      </c>
      <c r="J96" s="2">
        <f>IF(AND(VLOOKUP(J$1,test!$A$3:$F$32,5,FALSE) - VLOOKUP($B96,test!$A$3:$G$32,6,FALSE) &gt;= (test!$B$36+VLOOKUP(VLOOKUP($B96,test!$A$2:$I$32,4,FALSE),test!$J$10:$P$14,6,FALSE))/1440),1,0)</f>
        <v>1</v>
      </c>
      <c r="K96" s="2">
        <f>IF(AND(VLOOKUP(K$1,test!$A$3:$F$32,5,FALSE) - VLOOKUP($B96,test!$A$3:$G$32,6,FALSE) &gt;= (test!$B$36+VLOOKUP(VLOOKUP($B96,test!$A$2:$I$32,4,FALSE),test!$J$10:$P$14,6,FALSE))/1440),1,0)</f>
        <v>1</v>
      </c>
      <c r="L96" s="2">
        <f>IF(AND(VLOOKUP(L$1,test!$A$3:$F$32,5,FALSE) - VLOOKUP($B96,test!$A$3:$G$32,6,FALSE) &gt;= (test!$B$36+VLOOKUP(VLOOKUP($B96,test!$A$2:$I$32,4,FALSE),test!$J$10:$P$14,6,FALSE))/1440),1,0)</f>
        <v>0</v>
      </c>
      <c r="M96" s="2">
        <f>IF(AND(VLOOKUP(M$1,test!$A$3:$F$32,5,FALSE) - VLOOKUP($B96,test!$A$3:$G$32,6,FALSE) &gt;= (test!$B$36+VLOOKUP(VLOOKUP($B96,test!$A$2:$I$32,4,FALSE),test!$J$10:$P$14,6,FALSE))/1440),1,0)</f>
        <v>0</v>
      </c>
      <c r="N96" s="2">
        <f>IF(AND(VLOOKUP(N$1,test!$A$3:$F$32,5,FALSE) - VLOOKUP($B96,test!$A$3:$G$32,6,FALSE) &gt;= (test!$B$36+VLOOKUP(VLOOKUP($B96,test!$A$2:$I$32,4,FALSE),test!$J$10:$P$14,6,FALSE))/1440),1,0)</f>
        <v>0</v>
      </c>
      <c r="O96" s="2">
        <f>IF(AND(VLOOKUP(O$1,test!$A$3:$F$32,5,FALSE) - VLOOKUP($B96,test!$A$3:$G$32,6,FALSE) &gt;= (test!$B$36+VLOOKUP(VLOOKUP($B96,test!$A$2:$I$32,4,FALSE),test!$J$10:$P$14,6,FALSE))/1440),1,0)</f>
        <v>1</v>
      </c>
      <c r="P96" s="2">
        <f>IF(AND(VLOOKUP(P$1,test!$A$3:$F$32,5,FALSE) - VLOOKUP($B96,test!$A$3:$G$32,6,FALSE) &gt;= (test!$B$36+VLOOKUP(VLOOKUP($B96,test!$A$2:$I$32,4,FALSE),test!$J$10:$P$14,6,FALSE))/1440),1,0)</f>
        <v>1</v>
      </c>
      <c r="Q96" s="2">
        <f>IF(AND(VLOOKUP(Q$1,test!$A$3:$F$32,5,FALSE) - VLOOKUP($B96,test!$A$3:$G$32,6,FALSE) &gt;= (test!$B$36+VLOOKUP(VLOOKUP($B96,test!$A$2:$I$32,4,FALSE),test!$J$10:$P$14,6,FALSE))/1440),1,0)</f>
        <v>0</v>
      </c>
      <c r="R96" s="2">
        <f>IF(AND(VLOOKUP(R$1,test!$A$3:$F$32,5,FALSE) - VLOOKUP($B96,test!$A$3:$G$32,6,FALSE) &gt;= (test!$B$36+VLOOKUP(VLOOKUP($B96,test!$A$2:$I$32,4,FALSE),test!$J$10:$P$14,6,FALSE))/1440),1,0)</f>
        <v>0</v>
      </c>
      <c r="S96" s="2">
        <f>IF(AND(VLOOKUP(S$1,test!$A$3:$F$32,5,FALSE) - VLOOKUP($B96,test!$A$3:$G$32,6,FALSE) &gt;= (test!$B$36+VLOOKUP(VLOOKUP($B96,test!$A$2:$I$32,4,FALSE),test!$J$10:$P$14,6,FALSE))/1440),1,0)</f>
        <v>0</v>
      </c>
      <c r="T96" s="2">
        <f>IF(AND(VLOOKUP(T$1,test!$A$3:$F$32,5,FALSE) - VLOOKUP($B96,test!$A$3:$G$32,6,FALSE) &gt;= (test!$B$36+VLOOKUP(VLOOKUP($B96,test!$A$2:$I$32,4,FALSE),test!$J$10:$P$14,6,FALSE))/1440),1,0)</f>
        <v>0</v>
      </c>
      <c r="U96" s="2">
        <f>IF(AND(VLOOKUP(U$1,test!$A$3:$F$32,5,FALSE) - VLOOKUP($B96,test!$A$3:$G$32,6,FALSE) &gt;= (test!$B$36+VLOOKUP(VLOOKUP($B96,test!$A$2:$I$32,4,FALSE),test!$J$10:$P$14,6,FALSE))/1440),1,0)</f>
        <v>0</v>
      </c>
      <c r="V96" s="2">
        <f>IF(AND(VLOOKUP(V$1,test!$A$3:$F$32,5,FALSE) - VLOOKUP($B96,test!$A$3:$G$32,6,FALSE) &gt;= (test!$B$36+VLOOKUP(VLOOKUP($B96,test!$A$2:$I$32,4,FALSE),test!$J$10:$P$14,6,FALSE))/1440),1,0)</f>
        <v>1</v>
      </c>
      <c r="W96" s="2">
        <f>IF(AND(VLOOKUP(W$1,test!$A$3:$F$32,5,FALSE) - VLOOKUP($B96,test!$A$3:$G$32,6,FALSE) &gt;= (test!$B$36+VLOOKUP(VLOOKUP($B96,test!$A$2:$I$32,4,FALSE),test!$J$10:$P$14,6,FALSE))/1440),1,0)</f>
        <v>1</v>
      </c>
      <c r="X96" s="2">
        <f>IF(AND(VLOOKUP(X$1,test!$A$3:$F$32,5,FALSE) - VLOOKUP($B96,test!$A$3:$G$32,6,FALSE) &gt;= (test!$B$36+VLOOKUP(VLOOKUP($B96,test!$A$2:$I$32,4,FALSE),test!$J$10:$P$14,6,FALSE))/1440),1,0)</f>
        <v>1</v>
      </c>
      <c r="Y96" s="2">
        <f>IF(AND(VLOOKUP(Y$1,test!$A$3:$F$32,5,FALSE) - VLOOKUP($B96,test!$A$3:$G$32,6,FALSE) &gt;= (test!$B$36+VLOOKUP(VLOOKUP($B96,test!$A$2:$I$32,4,FALSE),test!$J$10:$P$14,6,FALSE))/1440),1,0)</f>
        <v>1</v>
      </c>
      <c r="Z96" s="2">
        <f>IF(AND(VLOOKUP(Z$1,test!$A$3:$F$32,5,FALSE) - VLOOKUP($B96,test!$A$3:$G$32,6,FALSE) &gt;= (test!$B$36+VLOOKUP(VLOOKUP($B96,test!$A$2:$I$32,4,FALSE),test!$J$10:$P$14,6,FALSE))/1440),1,0)</f>
        <v>0</v>
      </c>
      <c r="AA96" s="2">
        <f>IF(AND(VLOOKUP(AA$1,test!$A$3:$F$32,5,FALSE) - VLOOKUP($B96,test!$A$3:$G$32,6,FALSE) &gt;= (test!$B$36+VLOOKUP(VLOOKUP($B96,test!$A$2:$I$32,4,FALSE),test!$J$10:$P$14,6,FALSE))/1440),1,0)</f>
        <v>0</v>
      </c>
      <c r="AB96" s="2">
        <f>IF(AND(VLOOKUP(AB$1,test!$A$3:$F$32,5,FALSE) - VLOOKUP($B96,test!$A$3:$G$32,6,FALSE) &gt;= (test!$B$36+VLOOKUP(VLOOKUP($B96,test!$A$2:$I$32,4,FALSE),test!$J$10:$P$14,6,FALSE))/1440),1,0)</f>
        <v>0</v>
      </c>
      <c r="AC96" s="2">
        <f>IF(AND(VLOOKUP(AC$1,test!$A$3:$F$32,5,FALSE) - VLOOKUP($B96,test!$A$3:$G$32,6,FALSE) &gt;= (test!$B$36+VLOOKUP(VLOOKUP($B96,test!$A$2:$I$32,4,FALSE),test!$J$10:$P$14,6,FALSE))/1440),1,0)</f>
        <v>1</v>
      </c>
      <c r="AD96" s="2">
        <f>IF(AND(VLOOKUP(AD$1,test!$A$3:$F$32,5,FALSE) - VLOOKUP($B96,test!$A$3:$G$32,6,FALSE) &gt;= (test!$B$36+VLOOKUP(VLOOKUP($B96,test!$A$2:$I$32,4,FALSE),test!$J$10:$P$14,6,FALSE))/1440),1,0)</f>
        <v>1</v>
      </c>
      <c r="AE96" s="2">
        <f>IF(AND(VLOOKUP(AE$1,test!$A$3:$F$32,5,FALSE) - VLOOKUP($B96,test!$A$3:$G$32,6,FALSE) &gt;= (test!$B$36+VLOOKUP(VLOOKUP($B96,test!$A$2:$I$32,4,FALSE),test!$J$10:$P$14,6,FALSE))/1440),1,0)</f>
        <v>0</v>
      </c>
      <c r="AF96" s="2">
        <f>IF(AND(VLOOKUP(AF$1,test!$A$3:$F$32,5,FALSE) - VLOOKUP($B96,test!$A$3:$G$32,6,FALSE) &gt;= (test!$B$36+VLOOKUP(VLOOKUP($B96,test!$A$2:$I$32,4,FALSE),test!$J$10:$P$14,6,FALSE))/1440),1,0)</f>
        <v>0</v>
      </c>
      <c r="AG96" s="2">
        <f>IF(AND(VLOOKUP(AG$1,test!$A$3:$F$32,5,FALSE) - VLOOKUP($B96,test!$A$3:$G$32,6,FALSE) &gt;= (test!$B$36+VLOOKUP(VLOOKUP($B96,test!$A$2:$I$32,4,FALSE),test!$J$10:$P$14,6,FALSE))/1440),1,0)</f>
        <v>0</v>
      </c>
    </row>
    <row r="97" spans="1:33" x14ac:dyDescent="0.25">
      <c r="A97" t="s">
        <v>98</v>
      </c>
      <c r="B97" t="s">
        <v>9</v>
      </c>
      <c r="C97">
        <v>0</v>
      </c>
      <c r="D97" s="2">
        <f>IF(AND(VLOOKUP(D$1,test!$A$3:$F$32,5,FALSE) - VLOOKUP($B97,test!$A$3:$G$32,6,FALSE) &gt;= (test!$B$36+VLOOKUP(VLOOKUP($B97,test!$A$2:$I$32,4,FALSE),test!$J$10:$P$14,6,FALSE))/1440),1,0)</f>
        <v>0</v>
      </c>
      <c r="E97" s="2">
        <f>IF(AND(VLOOKUP(E$1,test!$A$3:$F$32,5,FALSE) - VLOOKUP($B97,test!$A$3:$G$32,6,FALSE) &gt;= (test!$B$36+VLOOKUP(VLOOKUP($B97,test!$A$2:$I$32,4,FALSE),test!$J$10:$P$14,6,FALSE))/1440),1,0)</f>
        <v>0</v>
      </c>
      <c r="F97" s="2">
        <f>IF(AND(VLOOKUP(F$1,test!$A$3:$F$32,5,FALSE) - VLOOKUP($B97,test!$A$3:$G$32,6,FALSE) &gt;= (test!$B$36+VLOOKUP(VLOOKUP($B97,test!$A$2:$I$32,4,FALSE),test!$J$10:$P$14,6,FALSE))/1440),1,0)</f>
        <v>0</v>
      </c>
      <c r="G97" s="2">
        <f>IF(AND(VLOOKUP(G$1,test!$A$3:$F$32,5,FALSE) - VLOOKUP($B97,test!$A$3:$G$32,6,FALSE) &gt;= (test!$B$36+VLOOKUP(VLOOKUP($B97,test!$A$2:$I$32,4,FALSE),test!$J$10:$P$14,6,FALSE))/1440),1,0)</f>
        <v>0</v>
      </c>
      <c r="H97" s="2">
        <f>IF(AND(VLOOKUP(H$1,test!$A$3:$F$32,5,FALSE) - VLOOKUP($B97,test!$A$3:$G$32,6,FALSE) &gt;= (test!$B$36+VLOOKUP(VLOOKUP($B97,test!$A$2:$I$32,4,FALSE),test!$J$10:$P$14,6,FALSE))/1440),1,0)</f>
        <v>0</v>
      </c>
      <c r="I97" s="2">
        <f>IF(AND(VLOOKUP(I$1,test!$A$3:$F$32,5,FALSE) - VLOOKUP($B97,test!$A$3:$G$32,6,FALSE) &gt;= (test!$B$36+VLOOKUP(VLOOKUP($B97,test!$A$2:$I$32,4,FALSE),test!$J$10:$P$14,6,FALSE))/1440),1,0)</f>
        <v>0</v>
      </c>
      <c r="J97" s="2">
        <f>IF(AND(VLOOKUP(J$1,test!$A$3:$F$32,5,FALSE) - VLOOKUP($B97,test!$A$3:$G$32,6,FALSE) &gt;= (test!$B$36+VLOOKUP(VLOOKUP($B97,test!$A$2:$I$32,4,FALSE),test!$J$10:$P$14,6,FALSE))/1440),1,0)</f>
        <v>1</v>
      </c>
      <c r="K97" s="2">
        <f>IF(AND(VLOOKUP(K$1,test!$A$3:$F$32,5,FALSE) - VLOOKUP($B97,test!$A$3:$G$32,6,FALSE) &gt;= (test!$B$36+VLOOKUP(VLOOKUP($B97,test!$A$2:$I$32,4,FALSE),test!$J$10:$P$14,6,FALSE))/1440),1,0)</f>
        <v>1</v>
      </c>
      <c r="L97" s="2">
        <f>IF(AND(VLOOKUP(L$1,test!$A$3:$F$32,5,FALSE) - VLOOKUP($B97,test!$A$3:$G$32,6,FALSE) &gt;= (test!$B$36+VLOOKUP(VLOOKUP($B97,test!$A$2:$I$32,4,FALSE),test!$J$10:$P$14,6,FALSE))/1440),1,0)</f>
        <v>0</v>
      </c>
      <c r="M97" s="2">
        <f>IF(AND(VLOOKUP(M$1,test!$A$3:$F$32,5,FALSE) - VLOOKUP($B97,test!$A$3:$G$32,6,FALSE) &gt;= (test!$B$36+VLOOKUP(VLOOKUP($B97,test!$A$2:$I$32,4,FALSE),test!$J$10:$P$14,6,FALSE))/1440),1,0)</f>
        <v>0</v>
      </c>
      <c r="N97" s="2">
        <f>IF(AND(VLOOKUP(N$1,test!$A$3:$F$32,5,FALSE) - VLOOKUP($B97,test!$A$3:$G$32,6,FALSE) &gt;= (test!$B$36+VLOOKUP(VLOOKUP($B97,test!$A$2:$I$32,4,FALSE),test!$J$10:$P$14,6,FALSE))/1440),1,0)</f>
        <v>0</v>
      </c>
      <c r="O97" s="2">
        <f>IF(AND(VLOOKUP(O$1,test!$A$3:$F$32,5,FALSE) - VLOOKUP($B97,test!$A$3:$G$32,6,FALSE) &gt;= (test!$B$36+VLOOKUP(VLOOKUP($B97,test!$A$2:$I$32,4,FALSE),test!$J$10:$P$14,6,FALSE))/1440),1,0)</f>
        <v>1</v>
      </c>
      <c r="P97" s="2">
        <f>IF(AND(VLOOKUP(P$1,test!$A$3:$F$32,5,FALSE) - VLOOKUP($B97,test!$A$3:$G$32,6,FALSE) &gt;= (test!$B$36+VLOOKUP(VLOOKUP($B97,test!$A$2:$I$32,4,FALSE),test!$J$10:$P$14,6,FALSE))/1440),1,0)</f>
        <v>1</v>
      </c>
      <c r="Q97" s="2">
        <f>IF(AND(VLOOKUP(Q$1,test!$A$3:$F$32,5,FALSE) - VLOOKUP($B97,test!$A$3:$G$32,6,FALSE) &gt;= (test!$B$36+VLOOKUP(VLOOKUP($B97,test!$A$2:$I$32,4,FALSE),test!$J$10:$P$14,6,FALSE))/1440),1,0)</f>
        <v>0</v>
      </c>
      <c r="R97" s="2">
        <f>IF(AND(VLOOKUP(R$1,test!$A$3:$F$32,5,FALSE) - VLOOKUP($B97,test!$A$3:$G$32,6,FALSE) &gt;= (test!$B$36+VLOOKUP(VLOOKUP($B97,test!$A$2:$I$32,4,FALSE),test!$J$10:$P$14,6,FALSE))/1440),1,0)</f>
        <v>0</v>
      </c>
      <c r="S97" s="2">
        <f>IF(AND(VLOOKUP(S$1,test!$A$3:$F$32,5,FALSE) - VLOOKUP($B97,test!$A$3:$G$32,6,FALSE) &gt;= (test!$B$36+VLOOKUP(VLOOKUP($B97,test!$A$2:$I$32,4,FALSE),test!$J$10:$P$14,6,FALSE))/1440),1,0)</f>
        <v>0</v>
      </c>
      <c r="T97" s="2">
        <f>IF(AND(VLOOKUP(T$1,test!$A$3:$F$32,5,FALSE) - VLOOKUP($B97,test!$A$3:$G$32,6,FALSE) &gt;= (test!$B$36+VLOOKUP(VLOOKUP($B97,test!$A$2:$I$32,4,FALSE),test!$J$10:$P$14,6,FALSE))/1440),1,0)</f>
        <v>0</v>
      </c>
      <c r="U97" s="2">
        <f>IF(AND(VLOOKUP(U$1,test!$A$3:$F$32,5,FALSE) - VLOOKUP($B97,test!$A$3:$G$32,6,FALSE) &gt;= (test!$B$36+VLOOKUP(VLOOKUP($B97,test!$A$2:$I$32,4,FALSE),test!$J$10:$P$14,6,FALSE))/1440),1,0)</f>
        <v>0</v>
      </c>
      <c r="V97" s="2">
        <f>IF(AND(VLOOKUP(V$1,test!$A$3:$F$32,5,FALSE) - VLOOKUP($B97,test!$A$3:$G$32,6,FALSE) &gt;= (test!$B$36+VLOOKUP(VLOOKUP($B97,test!$A$2:$I$32,4,FALSE),test!$J$10:$P$14,6,FALSE))/1440),1,0)</f>
        <v>0</v>
      </c>
      <c r="W97" s="2">
        <f>IF(AND(VLOOKUP(W$1,test!$A$3:$F$32,5,FALSE) - VLOOKUP($B97,test!$A$3:$G$32,6,FALSE) &gt;= (test!$B$36+VLOOKUP(VLOOKUP($B97,test!$A$2:$I$32,4,FALSE),test!$J$10:$P$14,6,FALSE))/1440),1,0)</f>
        <v>0</v>
      </c>
      <c r="X97" s="2">
        <f>IF(AND(VLOOKUP(X$1,test!$A$3:$F$32,5,FALSE) - VLOOKUP($B97,test!$A$3:$G$32,6,FALSE) &gt;= (test!$B$36+VLOOKUP(VLOOKUP($B97,test!$A$2:$I$32,4,FALSE),test!$J$10:$P$14,6,FALSE))/1440),1,0)</f>
        <v>1</v>
      </c>
      <c r="Y97" s="2">
        <f>IF(AND(VLOOKUP(Y$1,test!$A$3:$F$32,5,FALSE) - VLOOKUP($B97,test!$A$3:$G$32,6,FALSE) &gt;= (test!$B$36+VLOOKUP(VLOOKUP($B97,test!$A$2:$I$32,4,FALSE),test!$J$10:$P$14,6,FALSE))/1440),1,0)</f>
        <v>1</v>
      </c>
      <c r="Z97" s="2">
        <f>IF(AND(VLOOKUP(Z$1,test!$A$3:$F$32,5,FALSE) - VLOOKUP($B97,test!$A$3:$G$32,6,FALSE) &gt;= (test!$B$36+VLOOKUP(VLOOKUP($B97,test!$A$2:$I$32,4,FALSE),test!$J$10:$P$14,6,FALSE))/1440),1,0)</f>
        <v>0</v>
      </c>
      <c r="AA97" s="2">
        <f>IF(AND(VLOOKUP(AA$1,test!$A$3:$F$32,5,FALSE) - VLOOKUP($B97,test!$A$3:$G$32,6,FALSE) &gt;= (test!$B$36+VLOOKUP(VLOOKUP($B97,test!$A$2:$I$32,4,FALSE),test!$J$10:$P$14,6,FALSE))/1440),1,0)</f>
        <v>0</v>
      </c>
      <c r="AB97" s="2">
        <f>IF(AND(VLOOKUP(AB$1,test!$A$3:$F$32,5,FALSE) - VLOOKUP($B97,test!$A$3:$G$32,6,FALSE) &gt;= (test!$B$36+VLOOKUP(VLOOKUP($B97,test!$A$2:$I$32,4,FALSE),test!$J$10:$P$14,6,FALSE))/1440),1,0)</f>
        <v>0</v>
      </c>
      <c r="AC97" s="2">
        <f>IF(AND(VLOOKUP(AC$1,test!$A$3:$F$32,5,FALSE) - VLOOKUP($B97,test!$A$3:$G$32,6,FALSE) &gt;= (test!$B$36+VLOOKUP(VLOOKUP($B97,test!$A$2:$I$32,4,FALSE),test!$J$10:$P$14,6,FALSE))/1440),1,0)</f>
        <v>0</v>
      </c>
      <c r="AD97" s="2">
        <f>IF(AND(VLOOKUP(AD$1,test!$A$3:$F$32,5,FALSE) - VLOOKUP($B97,test!$A$3:$G$32,6,FALSE) &gt;= (test!$B$36+VLOOKUP(VLOOKUP($B97,test!$A$2:$I$32,4,FALSE),test!$J$10:$P$14,6,FALSE))/1440),1,0)</f>
        <v>0</v>
      </c>
      <c r="AE97" s="2">
        <f>IF(AND(VLOOKUP(AE$1,test!$A$3:$F$32,5,FALSE) - VLOOKUP($B97,test!$A$3:$G$32,6,FALSE) &gt;= (test!$B$36+VLOOKUP(VLOOKUP($B97,test!$A$2:$I$32,4,FALSE),test!$J$10:$P$14,6,FALSE))/1440),1,0)</f>
        <v>0</v>
      </c>
      <c r="AF97" s="2">
        <f>IF(AND(VLOOKUP(AF$1,test!$A$3:$F$32,5,FALSE) - VLOOKUP($B97,test!$A$3:$G$32,6,FALSE) &gt;= (test!$B$36+VLOOKUP(VLOOKUP($B97,test!$A$2:$I$32,4,FALSE),test!$J$10:$P$14,6,FALSE))/1440),1,0)</f>
        <v>0</v>
      </c>
      <c r="AG97" s="2">
        <f>IF(AND(VLOOKUP(AG$1,test!$A$3:$F$32,5,FALSE) - VLOOKUP($B97,test!$A$3:$G$32,6,FALSE) &gt;= (test!$B$36+VLOOKUP(VLOOKUP($B97,test!$A$2:$I$32,4,FALSE),test!$J$10:$P$14,6,FALSE))/1440),1,0)</f>
        <v>0</v>
      </c>
    </row>
    <row r="98" spans="1:33" x14ac:dyDescent="0.25">
      <c r="A98" t="s">
        <v>98</v>
      </c>
      <c r="B98" t="s">
        <v>10</v>
      </c>
      <c r="C98">
        <v>0</v>
      </c>
      <c r="D98" s="2">
        <f>IF(AND(VLOOKUP(D$1,test!$A$3:$F$32,5,FALSE) - VLOOKUP($B98,test!$A$3:$G$32,6,FALSE) &gt;= (test!$B$36+VLOOKUP(VLOOKUP($B98,test!$A$2:$I$32,4,FALSE),test!$J$10:$P$14,6,FALSE))/1440),1,0)</f>
        <v>0</v>
      </c>
      <c r="E98" s="2">
        <f>IF(AND(VLOOKUP(E$1,test!$A$3:$F$32,5,FALSE) - VLOOKUP($B98,test!$A$3:$G$32,6,FALSE) &gt;= (test!$B$36+VLOOKUP(VLOOKUP($B98,test!$A$2:$I$32,4,FALSE),test!$J$10:$P$14,6,FALSE))/1440),1,0)</f>
        <v>0</v>
      </c>
      <c r="F98" s="2">
        <f>IF(AND(VLOOKUP(F$1,test!$A$3:$F$32,5,FALSE) - VLOOKUP($B98,test!$A$3:$G$32,6,FALSE) &gt;= (test!$B$36+VLOOKUP(VLOOKUP($B98,test!$A$2:$I$32,4,FALSE),test!$J$10:$P$14,6,FALSE))/1440),1,0)</f>
        <v>0</v>
      </c>
      <c r="G98" s="2">
        <f>IF(AND(VLOOKUP(G$1,test!$A$3:$F$32,5,FALSE) - VLOOKUP($B98,test!$A$3:$G$32,6,FALSE) &gt;= (test!$B$36+VLOOKUP(VLOOKUP($B98,test!$A$2:$I$32,4,FALSE),test!$J$10:$P$14,6,FALSE))/1440),1,0)</f>
        <v>0</v>
      </c>
      <c r="H98" s="2">
        <f>IF(AND(VLOOKUP(H$1,test!$A$3:$F$32,5,FALSE) - VLOOKUP($B98,test!$A$3:$G$32,6,FALSE) &gt;= (test!$B$36+VLOOKUP(VLOOKUP($B98,test!$A$2:$I$32,4,FALSE),test!$J$10:$P$14,6,FALSE))/1440),1,0)</f>
        <v>0</v>
      </c>
      <c r="I98" s="2">
        <f>IF(AND(VLOOKUP(I$1,test!$A$3:$F$32,5,FALSE) - VLOOKUP($B98,test!$A$3:$G$32,6,FALSE) &gt;= (test!$B$36+VLOOKUP(VLOOKUP($B98,test!$A$2:$I$32,4,FALSE),test!$J$10:$P$14,6,FALSE))/1440),1,0)</f>
        <v>0</v>
      </c>
      <c r="J98" s="2">
        <f>IF(AND(VLOOKUP(J$1,test!$A$3:$F$32,5,FALSE) - VLOOKUP($B98,test!$A$3:$G$32,6,FALSE) &gt;= (test!$B$36+VLOOKUP(VLOOKUP($B98,test!$A$2:$I$32,4,FALSE),test!$J$10:$P$14,6,FALSE))/1440),1,0)</f>
        <v>0</v>
      </c>
      <c r="K98" s="2">
        <f>IF(AND(VLOOKUP(K$1,test!$A$3:$F$32,5,FALSE) - VLOOKUP($B98,test!$A$3:$G$32,6,FALSE) &gt;= (test!$B$36+VLOOKUP(VLOOKUP($B98,test!$A$2:$I$32,4,FALSE),test!$J$10:$P$14,6,FALSE))/1440),1,0)</f>
        <v>1</v>
      </c>
      <c r="L98" s="2">
        <f>IF(AND(VLOOKUP(L$1,test!$A$3:$F$32,5,FALSE) - VLOOKUP($B98,test!$A$3:$G$32,6,FALSE) &gt;= (test!$B$36+VLOOKUP(VLOOKUP($B98,test!$A$2:$I$32,4,FALSE),test!$J$10:$P$14,6,FALSE))/1440),1,0)</f>
        <v>0</v>
      </c>
      <c r="M98" s="2">
        <f>IF(AND(VLOOKUP(M$1,test!$A$3:$F$32,5,FALSE) - VLOOKUP($B98,test!$A$3:$G$32,6,FALSE) &gt;= (test!$B$36+VLOOKUP(VLOOKUP($B98,test!$A$2:$I$32,4,FALSE),test!$J$10:$P$14,6,FALSE))/1440),1,0)</f>
        <v>0</v>
      </c>
      <c r="N98" s="2">
        <f>IF(AND(VLOOKUP(N$1,test!$A$3:$F$32,5,FALSE) - VLOOKUP($B98,test!$A$3:$G$32,6,FALSE) &gt;= (test!$B$36+VLOOKUP(VLOOKUP($B98,test!$A$2:$I$32,4,FALSE),test!$J$10:$P$14,6,FALSE))/1440),1,0)</f>
        <v>0</v>
      </c>
      <c r="O98" s="2">
        <f>IF(AND(VLOOKUP(O$1,test!$A$3:$F$32,5,FALSE) - VLOOKUP($B98,test!$A$3:$G$32,6,FALSE) &gt;= (test!$B$36+VLOOKUP(VLOOKUP($B98,test!$A$2:$I$32,4,FALSE),test!$J$10:$P$14,6,FALSE))/1440),1,0)</f>
        <v>0</v>
      </c>
      <c r="P98" s="2">
        <f>IF(AND(VLOOKUP(P$1,test!$A$3:$F$32,5,FALSE) - VLOOKUP($B98,test!$A$3:$G$32,6,FALSE) &gt;= (test!$B$36+VLOOKUP(VLOOKUP($B98,test!$A$2:$I$32,4,FALSE),test!$J$10:$P$14,6,FALSE))/1440),1,0)</f>
        <v>1</v>
      </c>
      <c r="Q98" s="2">
        <f>IF(AND(VLOOKUP(Q$1,test!$A$3:$F$32,5,FALSE) - VLOOKUP($B98,test!$A$3:$G$32,6,FALSE) &gt;= (test!$B$36+VLOOKUP(VLOOKUP($B98,test!$A$2:$I$32,4,FALSE),test!$J$10:$P$14,6,FALSE))/1440),1,0)</f>
        <v>0</v>
      </c>
      <c r="R98" s="2">
        <f>IF(AND(VLOOKUP(R$1,test!$A$3:$F$32,5,FALSE) - VLOOKUP($B98,test!$A$3:$G$32,6,FALSE) &gt;= (test!$B$36+VLOOKUP(VLOOKUP($B98,test!$A$2:$I$32,4,FALSE),test!$J$10:$P$14,6,FALSE))/1440),1,0)</f>
        <v>0</v>
      </c>
      <c r="S98" s="2">
        <f>IF(AND(VLOOKUP(S$1,test!$A$3:$F$32,5,FALSE) - VLOOKUP($B98,test!$A$3:$G$32,6,FALSE) &gt;= (test!$B$36+VLOOKUP(VLOOKUP($B98,test!$A$2:$I$32,4,FALSE),test!$J$10:$P$14,6,FALSE))/1440),1,0)</f>
        <v>0</v>
      </c>
      <c r="T98" s="2">
        <f>IF(AND(VLOOKUP(T$1,test!$A$3:$F$32,5,FALSE) - VLOOKUP($B98,test!$A$3:$G$32,6,FALSE) &gt;= (test!$B$36+VLOOKUP(VLOOKUP($B98,test!$A$2:$I$32,4,FALSE),test!$J$10:$P$14,6,FALSE))/1440),1,0)</f>
        <v>0</v>
      </c>
      <c r="U98" s="2">
        <f>IF(AND(VLOOKUP(U$1,test!$A$3:$F$32,5,FALSE) - VLOOKUP($B98,test!$A$3:$G$32,6,FALSE) &gt;= (test!$B$36+VLOOKUP(VLOOKUP($B98,test!$A$2:$I$32,4,FALSE),test!$J$10:$P$14,6,FALSE))/1440),1,0)</f>
        <v>0</v>
      </c>
      <c r="V98" s="2">
        <f>IF(AND(VLOOKUP(V$1,test!$A$3:$F$32,5,FALSE) - VLOOKUP($B98,test!$A$3:$G$32,6,FALSE) &gt;= (test!$B$36+VLOOKUP(VLOOKUP($B98,test!$A$2:$I$32,4,FALSE),test!$J$10:$P$14,6,FALSE))/1440),1,0)</f>
        <v>0</v>
      </c>
      <c r="W98" s="2">
        <f>IF(AND(VLOOKUP(W$1,test!$A$3:$F$32,5,FALSE) - VLOOKUP($B98,test!$A$3:$G$32,6,FALSE) &gt;= (test!$B$36+VLOOKUP(VLOOKUP($B98,test!$A$2:$I$32,4,FALSE),test!$J$10:$P$14,6,FALSE))/1440),1,0)</f>
        <v>0</v>
      </c>
      <c r="X98" s="2">
        <f>IF(AND(VLOOKUP(X$1,test!$A$3:$F$32,5,FALSE) - VLOOKUP($B98,test!$A$3:$G$32,6,FALSE) &gt;= (test!$B$36+VLOOKUP(VLOOKUP($B98,test!$A$2:$I$32,4,FALSE),test!$J$10:$P$14,6,FALSE))/1440),1,0)</f>
        <v>0</v>
      </c>
      <c r="Y98" s="2">
        <f>IF(AND(VLOOKUP(Y$1,test!$A$3:$F$32,5,FALSE) - VLOOKUP($B98,test!$A$3:$G$32,6,FALSE) &gt;= (test!$B$36+VLOOKUP(VLOOKUP($B98,test!$A$2:$I$32,4,FALSE),test!$J$10:$P$14,6,FALSE))/1440),1,0)</f>
        <v>0</v>
      </c>
      <c r="Z98" s="2">
        <f>IF(AND(VLOOKUP(Z$1,test!$A$3:$F$32,5,FALSE) - VLOOKUP($B98,test!$A$3:$G$32,6,FALSE) &gt;= (test!$B$36+VLOOKUP(VLOOKUP($B98,test!$A$2:$I$32,4,FALSE),test!$J$10:$P$14,6,FALSE))/1440),1,0)</f>
        <v>0</v>
      </c>
      <c r="AA98" s="2">
        <f>IF(AND(VLOOKUP(AA$1,test!$A$3:$F$32,5,FALSE) - VLOOKUP($B98,test!$A$3:$G$32,6,FALSE) &gt;= (test!$B$36+VLOOKUP(VLOOKUP($B98,test!$A$2:$I$32,4,FALSE),test!$J$10:$P$14,6,FALSE))/1440),1,0)</f>
        <v>0</v>
      </c>
      <c r="AB98" s="2">
        <f>IF(AND(VLOOKUP(AB$1,test!$A$3:$F$32,5,FALSE) - VLOOKUP($B98,test!$A$3:$G$32,6,FALSE) &gt;= (test!$B$36+VLOOKUP(VLOOKUP($B98,test!$A$2:$I$32,4,FALSE),test!$J$10:$P$14,6,FALSE))/1440),1,0)</f>
        <v>0</v>
      </c>
      <c r="AC98" s="2">
        <f>IF(AND(VLOOKUP(AC$1,test!$A$3:$F$32,5,FALSE) - VLOOKUP($B98,test!$A$3:$G$32,6,FALSE) &gt;= (test!$B$36+VLOOKUP(VLOOKUP($B98,test!$A$2:$I$32,4,FALSE),test!$J$10:$P$14,6,FALSE))/1440),1,0)</f>
        <v>0</v>
      </c>
      <c r="AD98" s="2">
        <f>IF(AND(VLOOKUP(AD$1,test!$A$3:$F$32,5,FALSE) - VLOOKUP($B98,test!$A$3:$G$32,6,FALSE) &gt;= (test!$B$36+VLOOKUP(VLOOKUP($B98,test!$A$2:$I$32,4,FALSE),test!$J$10:$P$14,6,FALSE))/1440),1,0)</f>
        <v>0</v>
      </c>
      <c r="AE98" s="2">
        <f>IF(AND(VLOOKUP(AE$1,test!$A$3:$F$32,5,FALSE) - VLOOKUP($B98,test!$A$3:$G$32,6,FALSE) &gt;= (test!$B$36+VLOOKUP(VLOOKUP($B98,test!$A$2:$I$32,4,FALSE),test!$J$10:$P$14,6,FALSE))/1440),1,0)</f>
        <v>0</v>
      </c>
      <c r="AF98" s="2">
        <f>IF(AND(VLOOKUP(AF$1,test!$A$3:$F$32,5,FALSE) - VLOOKUP($B98,test!$A$3:$G$32,6,FALSE) &gt;= (test!$B$36+VLOOKUP(VLOOKUP($B98,test!$A$2:$I$32,4,FALSE),test!$J$10:$P$14,6,FALSE))/1440),1,0)</f>
        <v>0</v>
      </c>
      <c r="AG98" s="2">
        <f>IF(AND(VLOOKUP(AG$1,test!$A$3:$F$32,5,FALSE) - VLOOKUP($B98,test!$A$3:$G$32,6,FALSE) &gt;= (test!$B$36+VLOOKUP(VLOOKUP($B98,test!$A$2:$I$32,4,FALSE),test!$J$10:$P$14,6,FALSE))/1440),1,0)</f>
        <v>0</v>
      </c>
    </row>
    <row r="99" spans="1:33" x14ac:dyDescent="0.25">
      <c r="A99" t="s">
        <v>98</v>
      </c>
      <c r="B99" t="s">
        <v>11</v>
      </c>
      <c r="C99">
        <v>0</v>
      </c>
      <c r="D99" s="2">
        <f>IF(AND(VLOOKUP(D$1,test!$A$3:$F$32,5,FALSE) - VLOOKUP($B99,test!$A$3:$G$32,6,FALSE) &gt;= (test!$B$36+VLOOKUP(VLOOKUP($B99,test!$A$2:$I$32,4,FALSE),test!$J$10:$P$14,6,FALSE))/1440),1,0)</f>
        <v>0</v>
      </c>
      <c r="E99" s="2">
        <f>IF(AND(VLOOKUP(E$1,test!$A$3:$F$32,5,FALSE) - VLOOKUP($B99,test!$A$3:$G$32,6,FALSE) &gt;= (test!$B$36+VLOOKUP(VLOOKUP($B99,test!$A$2:$I$32,4,FALSE),test!$J$10:$P$14,6,FALSE))/1440),1,0)</f>
        <v>0</v>
      </c>
      <c r="F99" s="2">
        <f>IF(AND(VLOOKUP(F$1,test!$A$3:$F$32,5,FALSE) - VLOOKUP($B99,test!$A$3:$G$32,6,FALSE) &gt;= (test!$B$36+VLOOKUP(VLOOKUP($B99,test!$A$2:$I$32,4,FALSE),test!$J$10:$P$14,6,FALSE))/1440),1,0)</f>
        <v>0</v>
      </c>
      <c r="G99" s="2">
        <f>IF(AND(VLOOKUP(G$1,test!$A$3:$F$32,5,FALSE) - VLOOKUP($B99,test!$A$3:$G$32,6,FALSE) &gt;= (test!$B$36+VLOOKUP(VLOOKUP($B99,test!$A$2:$I$32,4,FALSE),test!$J$10:$P$14,6,FALSE))/1440),1,0)</f>
        <v>0</v>
      </c>
      <c r="H99" s="2">
        <f>IF(AND(VLOOKUP(H$1,test!$A$3:$F$32,5,FALSE) - VLOOKUP($B99,test!$A$3:$G$32,6,FALSE) &gt;= (test!$B$36+VLOOKUP(VLOOKUP($B99,test!$A$2:$I$32,4,FALSE),test!$J$10:$P$14,6,FALSE))/1440),1,0)</f>
        <v>0</v>
      </c>
      <c r="I99" s="2">
        <f>IF(AND(VLOOKUP(I$1,test!$A$3:$F$32,5,FALSE) - VLOOKUP($B99,test!$A$3:$G$32,6,FALSE) &gt;= (test!$B$36+VLOOKUP(VLOOKUP($B99,test!$A$2:$I$32,4,FALSE),test!$J$10:$P$14,6,FALSE))/1440),1,0)</f>
        <v>0</v>
      </c>
      <c r="J99" s="2">
        <f>IF(AND(VLOOKUP(J$1,test!$A$3:$F$32,5,FALSE) - VLOOKUP($B99,test!$A$3:$G$32,6,FALSE) &gt;= (test!$B$36+VLOOKUP(VLOOKUP($B99,test!$A$2:$I$32,4,FALSE),test!$J$10:$P$14,6,FALSE))/1440),1,0)</f>
        <v>0</v>
      </c>
      <c r="K99" s="2">
        <f>IF(AND(VLOOKUP(K$1,test!$A$3:$F$32,5,FALSE) - VLOOKUP($B99,test!$A$3:$G$32,6,FALSE) &gt;= (test!$B$36+VLOOKUP(VLOOKUP($B99,test!$A$2:$I$32,4,FALSE),test!$J$10:$P$14,6,FALSE))/1440),1,0)</f>
        <v>0</v>
      </c>
      <c r="L99" s="2">
        <f>IF(AND(VLOOKUP(L$1,test!$A$3:$F$32,5,FALSE) - VLOOKUP($B99,test!$A$3:$G$32,6,FALSE) &gt;= (test!$B$36+VLOOKUP(VLOOKUP($B99,test!$A$2:$I$32,4,FALSE),test!$J$10:$P$14,6,FALSE))/1440),1,0)</f>
        <v>0</v>
      </c>
      <c r="M99" s="2">
        <f>IF(AND(VLOOKUP(M$1,test!$A$3:$F$32,5,FALSE) - VLOOKUP($B99,test!$A$3:$G$32,6,FALSE) &gt;= (test!$B$36+VLOOKUP(VLOOKUP($B99,test!$A$2:$I$32,4,FALSE),test!$J$10:$P$14,6,FALSE))/1440),1,0)</f>
        <v>0</v>
      </c>
      <c r="N99" s="2">
        <f>IF(AND(VLOOKUP(N$1,test!$A$3:$F$32,5,FALSE) - VLOOKUP($B99,test!$A$3:$G$32,6,FALSE) &gt;= (test!$B$36+VLOOKUP(VLOOKUP($B99,test!$A$2:$I$32,4,FALSE),test!$J$10:$P$14,6,FALSE))/1440),1,0)</f>
        <v>0</v>
      </c>
      <c r="O99" s="2">
        <f>IF(AND(VLOOKUP(O$1,test!$A$3:$F$32,5,FALSE) - VLOOKUP($B99,test!$A$3:$G$32,6,FALSE) &gt;= (test!$B$36+VLOOKUP(VLOOKUP($B99,test!$A$2:$I$32,4,FALSE),test!$J$10:$P$14,6,FALSE))/1440),1,0)</f>
        <v>0</v>
      </c>
      <c r="P99" s="2">
        <f>IF(AND(VLOOKUP(P$1,test!$A$3:$F$32,5,FALSE) - VLOOKUP($B99,test!$A$3:$G$32,6,FALSE) &gt;= (test!$B$36+VLOOKUP(VLOOKUP($B99,test!$A$2:$I$32,4,FALSE),test!$J$10:$P$14,6,FALSE))/1440),1,0)</f>
        <v>0</v>
      </c>
      <c r="Q99" s="2">
        <f>IF(AND(VLOOKUP(Q$1,test!$A$3:$F$32,5,FALSE) - VLOOKUP($B99,test!$A$3:$G$32,6,FALSE) &gt;= (test!$B$36+VLOOKUP(VLOOKUP($B99,test!$A$2:$I$32,4,FALSE),test!$J$10:$P$14,6,FALSE))/1440),1,0)</f>
        <v>0</v>
      </c>
      <c r="R99" s="2">
        <f>IF(AND(VLOOKUP(R$1,test!$A$3:$F$32,5,FALSE) - VLOOKUP($B99,test!$A$3:$G$32,6,FALSE) &gt;= (test!$B$36+VLOOKUP(VLOOKUP($B99,test!$A$2:$I$32,4,FALSE),test!$J$10:$P$14,6,FALSE))/1440),1,0)</f>
        <v>0</v>
      </c>
      <c r="S99" s="2">
        <f>IF(AND(VLOOKUP(S$1,test!$A$3:$F$32,5,FALSE) - VLOOKUP($B99,test!$A$3:$G$32,6,FALSE) &gt;= (test!$B$36+VLOOKUP(VLOOKUP($B99,test!$A$2:$I$32,4,FALSE),test!$J$10:$P$14,6,FALSE))/1440),1,0)</f>
        <v>0</v>
      </c>
      <c r="T99" s="2">
        <f>IF(AND(VLOOKUP(T$1,test!$A$3:$F$32,5,FALSE) - VLOOKUP($B99,test!$A$3:$G$32,6,FALSE) &gt;= (test!$B$36+VLOOKUP(VLOOKUP($B99,test!$A$2:$I$32,4,FALSE),test!$J$10:$P$14,6,FALSE))/1440),1,0)</f>
        <v>0</v>
      </c>
      <c r="U99" s="2">
        <f>IF(AND(VLOOKUP(U$1,test!$A$3:$F$32,5,FALSE) - VLOOKUP($B99,test!$A$3:$G$32,6,FALSE) &gt;= (test!$B$36+VLOOKUP(VLOOKUP($B99,test!$A$2:$I$32,4,FALSE),test!$J$10:$P$14,6,FALSE))/1440),1,0)</f>
        <v>0</v>
      </c>
      <c r="V99" s="2">
        <f>IF(AND(VLOOKUP(V$1,test!$A$3:$F$32,5,FALSE) - VLOOKUP($B99,test!$A$3:$G$32,6,FALSE) &gt;= (test!$B$36+VLOOKUP(VLOOKUP($B99,test!$A$2:$I$32,4,FALSE),test!$J$10:$P$14,6,FALSE))/1440),1,0)</f>
        <v>0</v>
      </c>
      <c r="W99" s="2">
        <f>IF(AND(VLOOKUP(W$1,test!$A$3:$F$32,5,FALSE) - VLOOKUP($B99,test!$A$3:$G$32,6,FALSE) &gt;= (test!$B$36+VLOOKUP(VLOOKUP($B99,test!$A$2:$I$32,4,FALSE),test!$J$10:$P$14,6,FALSE))/1440),1,0)</f>
        <v>0</v>
      </c>
      <c r="X99" s="2">
        <f>IF(AND(VLOOKUP(X$1,test!$A$3:$F$32,5,FALSE) - VLOOKUP($B99,test!$A$3:$G$32,6,FALSE) &gt;= (test!$B$36+VLOOKUP(VLOOKUP($B99,test!$A$2:$I$32,4,FALSE),test!$J$10:$P$14,6,FALSE))/1440),1,0)</f>
        <v>0</v>
      </c>
      <c r="Y99" s="2">
        <f>IF(AND(VLOOKUP(Y$1,test!$A$3:$F$32,5,FALSE) - VLOOKUP($B99,test!$A$3:$G$32,6,FALSE) &gt;= (test!$B$36+VLOOKUP(VLOOKUP($B99,test!$A$2:$I$32,4,FALSE),test!$J$10:$P$14,6,FALSE))/1440),1,0)</f>
        <v>0</v>
      </c>
      <c r="Z99" s="2">
        <f>IF(AND(VLOOKUP(Z$1,test!$A$3:$F$32,5,FALSE) - VLOOKUP($B99,test!$A$3:$G$32,6,FALSE) &gt;= (test!$B$36+VLOOKUP(VLOOKUP($B99,test!$A$2:$I$32,4,FALSE),test!$J$10:$P$14,6,FALSE))/1440),1,0)</f>
        <v>0</v>
      </c>
      <c r="AA99" s="2">
        <f>IF(AND(VLOOKUP(AA$1,test!$A$3:$F$32,5,FALSE) - VLOOKUP($B99,test!$A$3:$G$32,6,FALSE) &gt;= (test!$B$36+VLOOKUP(VLOOKUP($B99,test!$A$2:$I$32,4,FALSE),test!$J$10:$P$14,6,FALSE))/1440),1,0)</f>
        <v>0</v>
      </c>
      <c r="AB99" s="2">
        <f>IF(AND(VLOOKUP(AB$1,test!$A$3:$F$32,5,FALSE) - VLOOKUP($B99,test!$A$3:$G$32,6,FALSE) &gt;= (test!$B$36+VLOOKUP(VLOOKUP($B99,test!$A$2:$I$32,4,FALSE),test!$J$10:$P$14,6,FALSE))/1440),1,0)</f>
        <v>0</v>
      </c>
      <c r="AC99" s="2">
        <f>IF(AND(VLOOKUP(AC$1,test!$A$3:$F$32,5,FALSE) - VLOOKUP($B99,test!$A$3:$G$32,6,FALSE) &gt;= (test!$B$36+VLOOKUP(VLOOKUP($B99,test!$A$2:$I$32,4,FALSE),test!$J$10:$P$14,6,FALSE))/1440),1,0)</f>
        <v>0</v>
      </c>
      <c r="AD99" s="2">
        <f>IF(AND(VLOOKUP(AD$1,test!$A$3:$F$32,5,FALSE) - VLOOKUP($B99,test!$A$3:$G$32,6,FALSE) &gt;= (test!$B$36+VLOOKUP(VLOOKUP($B99,test!$A$2:$I$32,4,FALSE),test!$J$10:$P$14,6,FALSE))/1440),1,0)</f>
        <v>0</v>
      </c>
      <c r="AE99" s="2">
        <f>IF(AND(VLOOKUP(AE$1,test!$A$3:$F$32,5,FALSE) - VLOOKUP($B99,test!$A$3:$G$32,6,FALSE) &gt;= (test!$B$36+VLOOKUP(VLOOKUP($B99,test!$A$2:$I$32,4,FALSE),test!$J$10:$P$14,6,FALSE))/1440),1,0)</f>
        <v>0</v>
      </c>
      <c r="AF99" s="2">
        <f>IF(AND(VLOOKUP(AF$1,test!$A$3:$F$32,5,FALSE) - VLOOKUP($B99,test!$A$3:$G$32,6,FALSE) &gt;= (test!$B$36+VLOOKUP(VLOOKUP($B99,test!$A$2:$I$32,4,FALSE),test!$J$10:$P$14,6,FALSE))/1440),1,0)</f>
        <v>0</v>
      </c>
      <c r="AG99" s="2">
        <f>IF(AND(VLOOKUP(AG$1,test!$A$3:$F$32,5,FALSE) - VLOOKUP($B99,test!$A$3:$G$32,6,FALSE) &gt;= (test!$B$36+VLOOKUP(VLOOKUP($B99,test!$A$2:$I$32,4,FALSE),test!$J$10:$P$14,6,FALSE))/1440),1,0)</f>
        <v>0</v>
      </c>
    </row>
    <row r="100" spans="1:33" x14ac:dyDescent="0.25">
      <c r="A100" t="s">
        <v>98</v>
      </c>
      <c r="B100" t="s">
        <v>12</v>
      </c>
      <c r="C100">
        <v>0</v>
      </c>
      <c r="D100" s="2">
        <f>IF(AND(VLOOKUP(D$1,test!$A$3:$F$32,5,FALSE) - VLOOKUP($B100,test!$A$3:$G$32,6,FALSE) &gt;= (test!$B$36+VLOOKUP(VLOOKUP($B100,test!$A$2:$I$32,4,FALSE),test!$J$10:$P$14,6,FALSE))/1440),1,0)</f>
        <v>0</v>
      </c>
      <c r="E100" s="2">
        <f>IF(AND(VLOOKUP(E$1,test!$A$3:$F$32,5,FALSE) - VLOOKUP($B100,test!$A$3:$G$32,6,FALSE) &gt;= (test!$B$36+VLOOKUP(VLOOKUP($B100,test!$A$2:$I$32,4,FALSE),test!$J$10:$P$14,6,FALSE))/1440),1,0)</f>
        <v>0</v>
      </c>
      <c r="F100" s="2">
        <f>IF(AND(VLOOKUP(F$1,test!$A$3:$F$32,5,FALSE) - VLOOKUP($B100,test!$A$3:$G$32,6,FALSE) &gt;= (test!$B$36+VLOOKUP(VLOOKUP($B100,test!$A$2:$I$32,4,FALSE),test!$J$10:$P$14,6,FALSE))/1440),1,0)</f>
        <v>0</v>
      </c>
      <c r="G100" s="2">
        <f>IF(AND(VLOOKUP(G$1,test!$A$3:$F$32,5,FALSE) - VLOOKUP($B100,test!$A$3:$G$32,6,FALSE) &gt;= (test!$B$36+VLOOKUP(VLOOKUP($B100,test!$A$2:$I$32,4,FALSE),test!$J$10:$P$14,6,FALSE))/1440),1,0)</f>
        <v>0</v>
      </c>
      <c r="H100" s="2">
        <f>IF(AND(VLOOKUP(H$1,test!$A$3:$F$32,5,FALSE) - VLOOKUP($B100,test!$A$3:$G$32,6,FALSE) &gt;= (test!$B$36+VLOOKUP(VLOOKUP($B100,test!$A$2:$I$32,4,FALSE),test!$J$10:$P$14,6,FALSE))/1440),1,0)</f>
        <v>0</v>
      </c>
      <c r="I100" s="2">
        <f>IF(AND(VLOOKUP(I$1,test!$A$3:$F$32,5,FALSE) - VLOOKUP($B100,test!$A$3:$G$32,6,FALSE) &gt;= (test!$B$36+VLOOKUP(VLOOKUP($B100,test!$A$2:$I$32,4,FALSE),test!$J$10:$P$14,6,FALSE))/1440),1,0)</f>
        <v>0</v>
      </c>
      <c r="J100" s="2">
        <f>IF(AND(VLOOKUP(J$1,test!$A$3:$F$32,5,FALSE) - VLOOKUP($B100,test!$A$3:$G$32,6,FALSE) &gt;= (test!$B$36+VLOOKUP(VLOOKUP($B100,test!$A$2:$I$32,4,FALSE),test!$J$10:$P$14,6,FALSE))/1440),1,0)</f>
        <v>0</v>
      </c>
      <c r="K100" s="2">
        <f>IF(AND(VLOOKUP(K$1,test!$A$3:$F$32,5,FALSE) - VLOOKUP($B100,test!$A$3:$G$32,6,FALSE) &gt;= (test!$B$36+VLOOKUP(VLOOKUP($B100,test!$A$2:$I$32,4,FALSE),test!$J$10:$P$14,6,FALSE))/1440),1,0)</f>
        <v>0</v>
      </c>
      <c r="L100" s="2">
        <f>IF(AND(VLOOKUP(L$1,test!$A$3:$F$32,5,FALSE) - VLOOKUP($B100,test!$A$3:$G$32,6,FALSE) &gt;= (test!$B$36+VLOOKUP(VLOOKUP($B100,test!$A$2:$I$32,4,FALSE),test!$J$10:$P$14,6,FALSE))/1440),1,0)</f>
        <v>0</v>
      </c>
      <c r="M100" s="2">
        <f>IF(AND(VLOOKUP(M$1,test!$A$3:$F$32,5,FALSE) - VLOOKUP($B100,test!$A$3:$G$32,6,FALSE) &gt;= (test!$B$36+VLOOKUP(VLOOKUP($B100,test!$A$2:$I$32,4,FALSE),test!$J$10:$P$14,6,FALSE))/1440),1,0)</f>
        <v>0</v>
      </c>
      <c r="N100" s="2">
        <f>IF(AND(VLOOKUP(N$1,test!$A$3:$F$32,5,FALSE) - VLOOKUP($B100,test!$A$3:$G$32,6,FALSE) &gt;= (test!$B$36+VLOOKUP(VLOOKUP($B100,test!$A$2:$I$32,4,FALSE),test!$J$10:$P$14,6,FALSE))/1440),1,0)</f>
        <v>0</v>
      </c>
      <c r="O100" s="2">
        <f>IF(AND(VLOOKUP(O$1,test!$A$3:$F$32,5,FALSE) - VLOOKUP($B100,test!$A$3:$G$32,6,FALSE) &gt;= (test!$B$36+VLOOKUP(VLOOKUP($B100,test!$A$2:$I$32,4,FALSE),test!$J$10:$P$14,6,FALSE))/1440),1,0)</f>
        <v>0</v>
      </c>
      <c r="P100" s="2">
        <f>IF(AND(VLOOKUP(P$1,test!$A$3:$F$32,5,FALSE) - VLOOKUP($B100,test!$A$3:$G$32,6,FALSE) &gt;= (test!$B$36+VLOOKUP(VLOOKUP($B100,test!$A$2:$I$32,4,FALSE),test!$J$10:$P$14,6,FALSE))/1440),1,0)</f>
        <v>0</v>
      </c>
      <c r="Q100" s="2">
        <f>IF(AND(VLOOKUP(Q$1,test!$A$3:$F$32,5,FALSE) - VLOOKUP($B100,test!$A$3:$G$32,6,FALSE) &gt;= (test!$B$36+VLOOKUP(VLOOKUP($B100,test!$A$2:$I$32,4,FALSE),test!$J$10:$P$14,6,FALSE))/1440),1,0)</f>
        <v>0</v>
      </c>
      <c r="R100" s="2">
        <f>IF(AND(VLOOKUP(R$1,test!$A$3:$F$32,5,FALSE) - VLOOKUP($B100,test!$A$3:$G$32,6,FALSE) &gt;= (test!$B$36+VLOOKUP(VLOOKUP($B100,test!$A$2:$I$32,4,FALSE),test!$J$10:$P$14,6,FALSE))/1440),1,0)</f>
        <v>0</v>
      </c>
      <c r="S100" s="2">
        <f>IF(AND(VLOOKUP(S$1,test!$A$3:$F$32,5,FALSE) - VLOOKUP($B100,test!$A$3:$G$32,6,FALSE) &gt;= (test!$B$36+VLOOKUP(VLOOKUP($B100,test!$A$2:$I$32,4,FALSE),test!$J$10:$P$14,6,FALSE))/1440),1,0)</f>
        <v>0</v>
      </c>
      <c r="T100" s="2">
        <f>IF(AND(VLOOKUP(T$1,test!$A$3:$F$32,5,FALSE) - VLOOKUP($B100,test!$A$3:$G$32,6,FALSE) &gt;= (test!$B$36+VLOOKUP(VLOOKUP($B100,test!$A$2:$I$32,4,FALSE),test!$J$10:$P$14,6,FALSE))/1440),1,0)</f>
        <v>0</v>
      </c>
      <c r="U100" s="2">
        <f>IF(AND(VLOOKUP(U$1,test!$A$3:$F$32,5,FALSE) - VLOOKUP($B100,test!$A$3:$G$32,6,FALSE) &gt;= (test!$B$36+VLOOKUP(VLOOKUP($B100,test!$A$2:$I$32,4,FALSE),test!$J$10:$P$14,6,FALSE))/1440),1,0)</f>
        <v>0</v>
      </c>
      <c r="V100" s="2">
        <f>IF(AND(VLOOKUP(V$1,test!$A$3:$F$32,5,FALSE) - VLOOKUP($B100,test!$A$3:$G$32,6,FALSE) &gt;= (test!$B$36+VLOOKUP(VLOOKUP($B100,test!$A$2:$I$32,4,FALSE),test!$J$10:$P$14,6,FALSE))/1440),1,0)</f>
        <v>0</v>
      </c>
      <c r="W100" s="2">
        <f>IF(AND(VLOOKUP(W$1,test!$A$3:$F$32,5,FALSE) - VLOOKUP($B100,test!$A$3:$G$32,6,FALSE) &gt;= (test!$B$36+VLOOKUP(VLOOKUP($B100,test!$A$2:$I$32,4,FALSE),test!$J$10:$P$14,6,FALSE))/1440),1,0)</f>
        <v>0</v>
      </c>
      <c r="X100" s="2">
        <f>IF(AND(VLOOKUP(X$1,test!$A$3:$F$32,5,FALSE) - VLOOKUP($B100,test!$A$3:$G$32,6,FALSE) &gt;= (test!$B$36+VLOOKUP(VLOOKUP($B100,test!$A$2:$I$32,4,FALSE),test!$J$10:$P$14,6,FALSE))/1440),1,0)</f>
        <v>0</v>
      </c>
      <c r="Y100" s="2">
        <f>IF(AND(VLOOKUP(Y$1,test!$A$3:$F$32,5,FALSE) - VLOOKUP($B100,test!$A$3:$G$32,6,FALSE) &gt;= (test!$B$36+VLOOKUP(VLOOKUP($B100,test!$A$2:$I$32,4,FALSE),test!$J$10:$P$14,6,FALSE))/1440),1,0)</f>
        <v>0</v>
      </c>
      <c r="Z100" s="2">
        <f>IF(AND(VLOOKUP(Z$1,test!$A$3:$F$32,5,FALSE) - VLOOKUP($B100,test!$A$3:$G$32,6,FALSE) &gt;= (test!$B$36+VLOOKUP(VLOOKUP($B100,test!$A$2:$I$32,4,FALSE),test!$J$10:$P$14,6,FALSE))/1440),1,0)</f>
        <v>0</v>
      </c>
      <c r="AA100" s="2">
        <f>IF(AND(VLOOKUP(AA$1,test!$A$3:$F$32,5,FALSE) - VLOOKUP($B100,test!$A$3:$G$32,6,FALSE) &gt;= (test!$B$36+VLOOKUP(VLOOKUP($B100,test!$A$2:$I$32,4,FALSE),test!$J$10:$P$14,6,FALSE))/1440),1,0)</f>
        <v>0</v>
      </c>
      <c r="AB100" s="2">
        <f>IF(AND(VLOOKUP(AB$1,test!$A$3:$F$32,5,FALSE) - VLOOKUP($B100,test!$A$3:$G$32,6,FALSE) &gt;= (test!$B$36+VLOOKUP(VLOOKUP($B100,test!$A$2:$I$32,4,FALSE),test!$J$10:$P$14,6,FALSE))/1440),1,0)</f>
        <v>0</v>
      </c>
      <c r="AC100" s="2">
        <f>IF(AND(VLOOKUP(AC$1,test!$A$3:$F$32,5,FALSE) - VLOOKUP($B100,test!$A$3:$G$32,6,FALSE) &gt;= (test!$B$36+VLOOKUP(VLOOKUP($B100,test!$A$2:$I$32,4,FALSE),test!$J$10:$P$14,6,FALSE))/1440),1,0)</f>
        <v>0</v>
      </c>
      <c r="AD100" s="2">
        <f>IF(AND(VLOOKUP(AD$1,test!$A$3:$F$32,5,FALSE) - VLOOKUP($B100,test!$A$3:$G$32,6,FALSE) &gt;= (test!$B$36+VLOOKUP(VLOOKUP($B100,test!$A$2:$I$32,4,FALSE),test!$J$10:$P$14,6,FALSE))/1440),1,0)</f>
        <v>0</v>
      </c>
      <c r="AE100" s="2">
        <f>IF(AND(VLOOKUP(AE$1,test!$A$3:$F$32,5,FALSE) - VLOOKUP($B100,test!$A$3:$G$32,6,FALSE) &gt;= (test!$B$36+VLOOKUP(VLOOKUP($B100,test!$A$2:$I$32,4,FALSE),test!$J$10:$P$14,6,FALSE))/1440),1,0)</f>
        <v>0</v>
      </c>
      <c r="AF100" s="2">
        <f>IF(AND(VLOOKUP(AF$1,test!$A$3:$F$32,5,FALSE) - VLOOKUP($B100,test!$A$3:$G$32,6,FALSE) &gt;= (test!$B$36+VLOOKUP(VLOOKUP($B100,test!$A$2:$I$32,4,FALSE),test!$J$10:$P$14,6,FALSE))/1440),1,0)</f>
        <v>0</v>
      </c>
      <c r="AG100" s="2">
        <f>IF(AND(VLOOKUP(AG$1,test!$A$3:$F$32,5,FALSE) - VLOOKUP($B100,test!$A$3:$G$32,6,FALSE) &gt;= (test!$B$36+VLOOKUP(VLOOKUP($B100,test!$A$2:$I$32,4,FALSE),test!$J$10:$P$14,6,FALSE))/1440),1,0)</f>
        <v>0</v>
      </c>
    </row>
    <row r="101" spans="1:33" x14ac:dyDescent="0.25">
      <c r="A101" t="s">
        <v>98</v>
      </c>
      <c r="B101" t="s">
        <v>13</v>
      </c>
      <c r="C101">
        <v>0</v>
      </c>
      <c r="D101" s="2">
        <f>IF(AND(VLOOKUP(D$1,test!$A$3:$F$32,5,FALSE) - VLOOKUP($B101,test!$A$3:$G$32,6,FALSE) &gt;= (test!$B$36+VLOOKUP(VLOOKUP($B101,test!$A$2:$I$32,4,FALSE),test!$J$10:$P$14,6,FALSE))/1440),1,0)</f>
        <v>0</v>
      </c>
      <c r="E101" s="2">
        <f>IF(AND(VLOOKUP(E$1,test!$A$3:$F$32,5,FALSE) - VLOOKUP($B101,test!$A$3:$G$32,6,FALSE) &gt;= (test!$B$36+VLOOKUP(VLOOKUP($B101,test!$A$2:$I$32,4,FALSE),test!$J$10:$P$14,6,FALSE))/1440),1,0)</f>
        <v>0</v>
      </c>
      <c r="F101" s="2">
        <f>IF(AND(VLOOKUP(F$1,test!$A$3:$F$32,5,FALSE) - VLOOKUP($B101,test!$A$3:$G$32,6,FALSE) &gt;= (test!$B$36+VLOOKUP(VLOOKUP($B101,test!$A$2:$I$32,4,FALSE),test!$J$10:$P$14,6,FALSE))/1440),1,0)</f>
        <v>0</v>
      </c>
      <c r="G101" s="2">
        <f>IF(AND(VLOOKUP(G$1,test!$A$3:$F$32,5,FALSE) - VLOOKUP($B101,test!$A$3:$G$32,6,FALSE) &gt;= (test!$B$36+VLOOKUP(VLOOKUP($B101,test!$A$2:$I$32,4,FALSE),test!$J$10:$P$14,6,FALSE))/1440),1,0)</f>
        <v>0</v>
      </c>
      <c r="H101" s="2">
        <f>IF(AND(VLOOKUP(H$1,test!$A$3:$F$32,5,FALSE) - VLOOKUP($B101,test!$A$3:$G$32,6,FALSE) &gt;= (test!$B$36+VLOOKUP(VLOOKUP($B101,test!$A$2:$I$32,4,FALSE),test!$J$10:$P$14,6,FALSE))/1440),1,0)</f>
        <v>0</v>
      </c>
      <c r="I101" s="2">
        <f>IF(AND(VLOOKUP(I$1,test!$A$3:$F$32,5,FALSE) - VLOOKUP($B101,test!$A$3:$G$32,6,FALSE) &gt;= (test!$B$36+VLOOKUP(VLOOKUP($B101,test!$A$2:$I$32,4,FALSE),test!$J$10:$P$14,6,FALSE))/1440),1,0)</f>
        <v>0</v>
      </c>
      <c r="J101" s="2">
        <f>IF(AND(VLOOKUP(J$1,test!$A$3:$F$32,5,FALSE) - VLOOKUP($B101,test!$A$3:$G$32,6,FALSE) &gt;= (test!$B$36+VLOOKUP(VLOOKUP($B101,test!$A$2:$I$32,4,FALSE),test!$J$10:$P$14,6,FALSE))/1440),1,0)</f>
        <v>0</v>
      </c>
      <c r="K101" s="2">
        <f>IF(AND(VLOOKUP(K$1,test!$A$3:$F$32,5,FALSE) - VLOOKUP($B101,test!$A$3:$G$32,6,FALSE) &gt;= (test!$B$36+VLOOKUP(VLOOKUP($B101,test!$A$2:$I$32,4,FALSE),test!$J$10:$P$14,6,FALSE))/1440),1,0)</f>
        <v>0</v>
      </c>
      <c r="L101" s="2">
        <f>IF(AND(VLOOKUP(L$1,test!$A$3:$F$32,5,FALSE) - VLOOKUP($B101,test!$A$3:$G$32,6,FALSE) &gt;= (test!$B$36+VLOOKUP(VLOOKUP($B101,test!$A$2:$I$32,4,FALSE),test!$J$10:$P$14,6,FALSE))/1440),1,0)</f>
        <v>0</v>
      </c>
      <c r="M101" s="2">
        <f>IF(AND(VLOOKUP(M$1,test!$A$3:$F$32,5,FALSE) - VLOOKUP($B101,test!$A$3:$G$32,6,FALSE) &gt;= (test!$B$36+VLOOKUP(VLOOKUP($B101,test!$A$2:$I$32,4,FALSE),test!$J$10:$P$14,6,FALSE))/1440),1,0)</f>
        <v>0</v>
      </c>
      <c r="N101" s="2">
        <f>IF(AND(VLOOKUP(N$1,test!$A$3:$F$32,5,FALSE) - VLOOKUP($B101,test!$A$3:$G$32,6,FALSE) &gt;= (test!$B$36+VLOOKUP(VLOOKUP($B101,test!$A$2:$I$32,4,FALSE),test!$J$10:$P$14,6,FALSE))/1440),1,0)</f>
        <v>0</v>
      </c>
      <c r="O101" s="2">
        <f>IF(AND(VLOOKUP(O$1,test!$A$3:$F$32,5,FALSE) - VLOOKUP($B101,test!$A$3:$G$32,6,FALSE) &gt;= (test!$B$36+VLOOKUP(VLOOKUP($B101,test!$A$2:$I$32,4,FALSE),test!$J$10:$P$14,6,FALSE))/1440),1,0)</f>
        <v>0</v>
      </c>
      <c r="P101" s="2">
        <f>IF(AND(VLOOKUP(P$1,test!$A$3:$F$32,5,FALSE) - VLOOKUP($B101,test!$A$3:$G$32,6,FALSE) &gt;= (test!$B$36+VLOOKUP(VLOOKUP($B101,test!$A$2:$I$32,4,FALSE),test!$J$10:$P$14,6,FALSE))/1440),1,0)</f>
        <v>0</v>
      </c>
      <c r="Q101" s="2">
        <f>IF(AND(VLOOKUP(Q$1,test!$A$3:$F$32,5,FALSE) - VLOOKUP($B101,test!$A$3:$G$32,6,FALSE) &gt;= (test!$B$36+VLOOKUP(VLOOKUP($B101,test!$A$2:$I$32,4,FALSE),test!$J$10:$P$14,6,FALSE))/1440),1,0)</f>
        <v>0</v>
      </c>
      <c r="R101" s="2">
        <f>IF(AND(VLOOKUP(R$1,test!$A$3:$F$32,5,FALSE) - VLOOKUP($B101,test!$A$3:$G$32,6,FALSE) &gt;= (test!$B$36+VLOOKUP(VLOOKUP($B101,test!$A$2:$I$32,4,FALSE),test!$J$10:$P$14,6,FALSE))/1440),1,0)</f>
        <v>0</v>
      </c>
      <c r="S101" s="2">
        <f>IF(AND(VLOOKUP(S$1,test!$A$3:$F$32,5,FALSE) - VLOOKUP($B101,test!$A$3:$G$32,6,FALSE) &gt;= (test!$B$36+VLOOKUP(VLOOKUP($B101,test!$A$2:$I$32,4,FALSE),test!$J$10:$P$14,6,FALSE))/1440),1,0)</f>
        <v>0</v>
      </c>
      <c r="T101" s="2">
        <f>IF(AND(VLOOKUP(T$1,test!$A$3:$F$32,5,FALSE) - VLOOKUP($B101,test!$A$3:$G$32,6,FALSE) &gt;= (test!$B$36+VLOOKUP(VLOOKUP($B101,test!$A$2:$I$32,4,FALSE),test!$J$10:$P$14,6,FALSE))/1440),1,0)</f>
        <v>0</v>
      </c>
      <c r="U101" s="2">
        <f>IF(AND(VLOOKUP(U$1,test!$A$3:$F$32,5,FALSE) - VLOOKUP($B101,test!$A$3:$G$32,6,FALSE) &gt;= (test!$B$36+VLOOKUP(VLOOKUP($B101,test!$A$2:$I$32,4,FALSE),test!$J$10:$P$14,6,FALSE))/1440),1,0)</f>
        <v>0</v>
      </c>
      <c r="V101" s="2">
        <f>IF(AND(VLOOKUP(V$1,test!$A$3:$F$32,5,FALSE) - VLOOKUP($B101,test!$A$3:$G$32,6,FALSE) &gt;= (test!$B$36+VLOOKUP(VLOOKUP($B101,test!$A$2:$I$32,4,FALSE),test!$J$10:$P$14,6,FALSE))/1440),1,0)</f>
        <v>0</v>
      </c>
      <c r="W101" s="2">
        <f>IF(AND(VLOOKUP(W$1,test!$A$3:$F$32,5,FALSE) - VLOOKUP($B101,test!$A$3:$G$32,6,FALSE) &gt;= (test!$B$36+VLOOKUP(VLOOKUP($B101,test!$A$2:$I$32,4,FALSE),test!$J$10:$P$14,6,FALSE))/1440),1,0)</f>
        <v>0</v>
      </c>
      <c r="X101" s="2">
        <f>IF(AND(VLOOKUP(X$1,test!$A$3:$F$32,5,FALSE) - VLOOKUP($B101,test!$A$3:$G$32,6,FALSE) &gt;= (test!$B$36+VLOOKUP(VLOOKUP($B101,test!$A$2:$I$32,4,FALSE),test!$J$10:$P$14,6,FALSE))/1440),1,0)</f>
        <v>0</v>
      </c>
      <c r="Y101" s="2">
        <f>IF(AND(VLOOKUP(Y$1,test!$A$3:$F$32,5,FALSE) - VLOOKUP($B101,test!$A$3:$G$32,6,FALSE) &gt;= (test!$B$36+VLOOKUP(VLOOKUP($B101,test!$A$2:$I$32,4,FALSE),test!$J$10:$P$14,6,FALSE))/1440),1,0)</f>
        <v>0</v>
      </c>
      <c r="Z101" s="2">
        <f>IF(AND(VLOOKUP(Z$1,test!$A$3:$F$32,5,FALSE) - VLOOKUP($B101,test!$A$3:$G$32,6,FALSE) &gt;= (test!$B$36+VLOOKUP(VLOOKUP($B101,test!$A$2:$I$32,4,FALSE),test!$J$10:$P$14,6,FALSE))/1440),1,0)</f>
        <v>0</v>
      </c>
      <c r="AA101" s="2">
        <f>IF(AND(VLOOKUP(AA$1,test!$A$3:$F$32,5,FALSE) - VLOOKUP($B101,test!$A$3:$G$32,6,FALSE) &gt;= (test!$B$36+VLOOKUP(VLOOKUP($B101,test!$A$2:$I$32,4,FALSE),test!$J$10:$P$14,6,FALSE))/1440),1,0)</f>
        <v>0</v>
      </c>
      <c r="AB101" s="2">
        <f>IF(AND(VLOOKUP(AB$1,test!$A$3:$F$32,5,FALSE) - VLOOKUP($B101,test!$A$3:$G$32,6,FALSE) &gt;= (test!$B$36+VLOOKUP(VLOOKUP($B101,test!$A$2:$I$32,4,FALSE),test!$J$10:$P$14,6,FALSE))/1440),1,0)</f>
        <v>0</v>
      </c>
      <c r="AC101" s="2">
        <f>IF(AND(VLOOKUP(AC$1,test!$A$3:$F$32,5,FALSE) - VLOOKUP($B101,test!$A$3:$G$32,6,FALSE) &gt;= (test!$B$36+VLOOKUP(VLOOKUP($B101,test!$A$2:$I$32,4,FALSE),test!$J$10:$P$14,6,FALSE))/1440),1,0)</f>
        <v>0</v>
      </c>
      <c r="AD101" s="2">
        <f>IF(AND(VLOOKUP(AD$1,test!$A$3:$F$32,5,FALSE) - VLOOKUP($B101,test!$A$3:$G$32,6,FALSE) &gt;= (test!$B$36+VLOOKUP(VLOOKUP($B101,test!$A$2:$I$32,4,FALSE),test!$J$10:$P$14,6,FALSE))/1440),1,0)</f>
        <v>0</v>
      </c>
      <c r="AE101" s="2">
        <f>IF(AND(VLOOKUP(AE$1,test!$A$3:$F$32,5,FALSE) - VLOOKUP($B101,test!$A$3:$G$32,6,FALSE) &gt;= (test!$B$36+VLOOKUP(VLOOKUP($B101,test!$A$2:$I$32,4,FALSE),test!$J$10:$P$14,6,FALSE))/1440),1,0)</f>
        <v>0</v>
      </c>
      <c r="AF101" s="2">
        <f>IF(AND(VLOOKUP(AF$1,test!$A$3:$F$32,5,FALSE) - VLOOKUP($B101,test!$A$3:$G$32,6,FALSE) &gt;= (test!$B$36+VLOOKUP(VLOOKUP($B101,test!$A$2:$I$32,4,FALSE),test!$J$10:$P$14,6,FALSE))/1440),1,0)</f>
        <v>0</v>
      </c>
      <c r="AG101" s="2">
        <f>IF(AND(VLOOKUP(AG$1,test!$A$3:$F$32,5,FALSE) - VLOOKUP($B101,test!$A$3:$G$32,6,FALSE) &gt;= (test!$B$36+VLOOKUP(VLOOKUP($B101,test!$A$2:$I$32,4,FALSE),test!$J$10:$P$14,6,FALSE))/1440),1,0)</f>
        <v>0</v>
      </c>
    </row>
    <row r="102" spans="1:33" x14ac:dyDescent="0.25">
      <c r="A102" t="s">
        <v>98</v>
      </c>
      <c r="B102" t="s">
        <v>14</v>
      </c>
      <c r="C102">
        <v>0</v>
      </c>
      <c r="D102" s="2">
        <f>IF(AND(VLOOKUP(D$1,test!$A$3:$F$32,5,FALSE) - VLOOKUP($B102,test!$A$3:$G$32,6,FALSE) &gt;= (test!$B$36+VLOOKUP(VLOOKUP($B102,test!$A$2:$I$32,4,FALSE),test!$J$10:$P$14,6,FALSE))/1440),1,0)</f>
        <v>0</v>
      </c>
      <c r="E102" s="2">
        <f>IF(AND(VLOOKUP(E$1,test!$A$3:$F$32,5,FALSE) - VLOOKUP($B102,test!$A$3:$G$32,6,FALSE) &gt;= (test!$B$36+VLOOKUP(VLOOKUP($B102,test!$A$2:$I$32,4,FALSE),test!$J$10:$P$14,6,FALSE))/1440),1,0)</f>
        <v>0</v>
      </c>
      <c r="F102" s="2">
        <f>IF(AND(VLOOKUP(F$1,test!$A$3:$F$32,5,FALSE) - VLOOKUP($B102,test!$A$3:$G$32,6,FALSE) &gt;= (test!$B$36+VLOOKUP(VLOOKUP($B102,test!$A$2:$I$32,4,FALSE),test!$J$10:$P$14,6,FALSE))/1440),1,0)</f>
        <v>0</v>
      </c>
      <c r="G102" s="2">
        <f>IF(AND(VLOOKUP(G$1,test!$A$3:$F$32,5,FALSE) - VLOOKUP($B102,test!$A$3:$G$32,6,FALSE) &gt;= (test!$B$36+VLOOKUP(VLOOKUP($B102,test!$A$2:$I$32,4,FALSE),test!$J$10:$P$14,6,FALSE))/1440),1,0)</f>
        <v>0</v>
      </c>
      <c r="H102" s="2">
        <f>IF(AND(VLOOKUP(H$1,test!$A$3:$F$32,5,FALSE) - VLOOKUP($B102,test!$A$3:$G$32,6,FALSE) &gt;= (test!$B$36+VLOOKUP(VLOOKUP($B102,test!$A$2:$I$32,4,FALSE),test!$J$10:$P$14,6,FALSE))/1440),1,0)</f>
        <v>0</v>
      </c>
      <c r="I102" s="2">
        <f>IF(AND(VLOOKUP(I$1,test!$A$3:$F$32,5,FALSE) - VLOOKUP($B102,test!$A$3:$G$32,6,FALSE) &gt;= (test!$B$36+VLOOKUP(VLOOKUP($B102,test!$A$2:$I$32,4,FALSE),test!$J$10:$P$14,6,FALSE))/1440),1,0)</f>
        <v>0</v>
      </c>
      <c r="J102" s="2">
        <f>IF(AND(VLOOKUP(J$1,test!$A$3:$F$32,5,FALSE) - VLOOKUP($B102,test!$A$3:$G$32,6,FALSE) &gt;= (test!$B$36+VLOOKUP(VLOOKUP($B102,test!$A$2:$I$32,4,FALSE),test!$J$10:$P$14,6,FALSE))/1440),1,0)</f>
        <v>0</v>
      </c>
      <c r="K102" s="2">
        <f>IF(AND(VLOOKUP(K$1,test!$A$3:$F$32,5,FALSE) - VLOOKUP($B102,test!$A$3:$G$32,6,FALSE) &gt;= (test!$B$36+VLOOKUP(VLOOKUP($B102,test!$A$2:$I$32,4,FALSE),test!$J$10:$P$14,6,FALSE))/1440),1,0)</f>
        <v>0</v>
      </c>
      <c r="L102" s="2">
        <f>IF(AND(VLOOKUP(L$1,test!$A$3:$F$32,5,FALSE) - VLOOKUP($B102,test!$A$3:$G$32,6,FALSE) &gt;= (test!$B$36+VLOOKUP(VLOOKUP($B102,test!$A$2:$I$32,4,FALSE),test!$J$10:$P$14,6,FALSE))/1440),1,0)</f>
        <v>0</v>
      </c>
      <c r="M102" s="2">
        <f>IF(AND(VLOOKUP(M$1,test!$A$3:$F$32,5,FALSE) - VLOOKUP($B102,test!$A$3:$G$32,6,FALSE) &gt;= (test!$B$36+VLOOKUP(VLOOKUP($B102,test!$A$2:$I$32,4,FALSE),test!$J$10:$P$14,6,FALSE))/1440),1,0)</f>
        <v>0</v>
      </c>
      <c r="N102" s="2">
        <f>IF(AND(VLOOKUP(N$1,test!$A$3:$F$32,5,FALSE) - VLOOKUP($B102,test!$A$3:$G$32,6,FALSE) &gt;= (test!$B$36+VLOOKUP(VLOOKUP($B102,test!$A$2:$I$32,4,FALSE),test!$J$10:$P$14,6,FALSE))/1440),1,0)</f>
        <v>0</v>
      </c>
      <c r="O102" s="2">
        <f>IF(AND(VLOOKUP(O$1,test!$A$3:$F$32,5,FALSE) - VLOOKUP($B102,test!$A$3:$G$32,6,FALSE) &gt;= (test!$B$36+VLOOKUP(VLOOKUP($B102,test!$A$2:$I$32,4,FALSE),test!$J$10:$P$14,6,FALSE))/1440),1,0)</f>
        <v>0</v>
      </c>
      <c r="P102" s="2">
        <f>IF(AND(VLOOKUP(P$1,test!$A$3:$F$32,5,FALSE) - VLOOKUP($B102,test!$A$3:$G$32,6,FALSE) &gt;= (test!$B$36+VLOOKUP(VLOOKUP($B102,test!$A$2:$I$32,4,FALSE),test!$J$10:$P$14,6,FALSE))/1440),1,0)</f>
        <v>0</v>
      </c>
      <c r="Q102" s="2">
        <f>IF(AND(VLOOKUP(Q$1,test!$A$3:$F$32,5,FALSE) - VLOOKUP($B102,test!$A$3:$G$32,6,FALSE) &gt;= (test!$B$36+VLOOKUP(VLOOKUP($B102,test!$A$2:$I$32,4,FALSE),test!$J$10:$P$14,6,FALSE))/1440),1,0)</f>
        <v>0</v>
      </c>
      <c r="R102" s="2">
        <f>IF(AND(VLOOKUP(R$1,test!$A$3:$F$32,5,FALSE) - VLOOKUP($B102,test!$A$3:$G$32,6,FALSE) &gt;= (test!$B$36+VLOOKUP(VLOOKUP($B102,test!$A$2:$I$32,4,FALSE),test!$J$10:$P$14,6,FALSE))/1440),1,0)</f>
        <v>0</v>
      </c>
      <c r="S102" s="2">
        <f>IF(AND(VLOOKUP(S$1,test!$A$3:$F$32,5,FALSE) - VLOOKUP($B102,test!$A$3:$G$32,6,FALSE) &gt;= (test!$B$36+VLOOKUP(VLOOKUP($B102,test!$A$2:$I$32,4,FALSE),test!$J$10:$P$14,6,FALSE))/1440),1,0)</f>
        <v>0</v>
      </c>
      <c r="T102" s="2">
        <f>IF(AND(VLOOKUP(T$1,test!$A$3:$F$32,5,FALSE) - VLOOKUP($B102,test!$A$3:$G$32,6,FALSE) &gt;= (test!$B$36+VLOOKUP(VLOOKUP($B102,test!$A$2:$I$32,4,FALSE),test!$J$10:$P$14,6,FALSE))/1440),1,0)</f>
        <v>0</v>
      </c>
      <c r="U102" s="2">
        <f>IF(AND(VLOOKUP(U$1,test!$A$3:$F$32,5,FALSE) - VLOOKUP($B102,test!$A$3:$G$32,6,FALSE) &gt;= (test!$B$36+VLOOKUP(VLOOKUP($B102,test!$A$2:$I$32,4,FALSE),test!$J$10:$P$14,6,FALSE))/1440),1,0)</f>
        <v>0</v>
      </c>
      <c r="V102" s="2">
        <f>IF(AND(VLOOKUP(V$1,test!$A$3:$F$32,5,FALSE) - VLOOKUP($B102,test!$A$3:$G$32,6,FALSE) &gt;= (test!$B$36+VLOOKUP(VLOOKUP($B102,test!$A$2:$I$32,4,FALSE),test!$J$10:$P$14,6,FALSE))/1440),1,0)</f>
        <v>0</v>
      </c>
      <c r="W102" s="2">
        <f>IF(AND(VLOOKUP(W$1,test!$A$3:$F$32,5,FALSE) - VLOOKUP($B102,test!$A$3:$G$32,6,FALSE) &gt;= (test!$B$36+VLOOKUP(VLOOKUP($B102,test!$A$2:$I$32,4,FALSE),test!$J$10:$P$14,6,FALSE))/1440),1,0)</f>
        <v>0</v>
      </c>
      <c r="X102" s="2">
        <f>IF(AND(VLOOKUP(X$1,test!$A$3:$F$32,5,FALSE) - VLOOKUP($B102,test!$A$3:$G$32,6,FALSE) &gt;= (test!$B$36+VLOOKUP(VLOOKUP($B102,test!$A$2:$I$32,4,FALSE),test!$J$10:$P$14,6,FALSE))/1440),1,0)</f>
        <v>0</v>
      </c>
      <c r="Y102" s="2">
        <f>IF(AND(VLOOKUP(Y$1,test!$A$3:$F$32,5,FALSE) - VLOOKUP($B102,test!$A$3:$G$32,6,FALSE) &gt;= (test!$B$36+VLOOKUP(VLOOKUP($B102,test!$A$2:$I$32,4,FALSE),test!$J$10:$P$14,6,FALSE))/1440),1,0)</f>
        <v>0</v>
      </c>
      <c r="Z102" s="2">
        <f>IF(AND(VLOOKUP(Z$1,test!$A$3:$F$32,5,FALSE) - VLOOKUP($B102,test!$A$3:$G$32,6,FALSE) &gt;= (test!$B$36+VLOOKUP(VLOOKUP($B102,test!$A$2:$I$32,4,FALSE),test!$J$10:$P$14,6,FALSE))/1440),1,0)</f>
        <v>0</v>
      </c>
      <c r="AA102" s="2">
        <f>IF(AND(VLOOKUP(AA$1,test!$A$3:$F$32,5,FALSE) - VLOOKUP($B102,test!$A$3:$G$32,6,FALSE) &gt;= (test!$B$36+VLOOKUP(VLOOKUP($B102,test!$A$2:$I$32,4,FALSE),test!$J$10:$P$14,6,FALSE))/1440),1,0)</f>
        <v>0</v>
      </c>
      <c r="AB102" s="2">
        <f>IF(AND(VLOOKUP(AB$1,test!$A$3:$F$32,5,FALSE) - VLOOKUP($B102,test!$A$3:$G$32,6,FALSE) &gt;= (test!$B$36+VLOOKUP(VLOOKUP($B102,test!$A$2:$I$32,4,FALSE),test!$J$10:$P$14,6,FALSE))/1440),1,0)</f>
        <v>0</v>
      </c>
      <c r="AC102" s="2">
        <f>IF(AND(VLOOKUP(AC$1,test!$A$3:$F$32,5,FALSE) - VLOOKUP($B102,test!$A$3:$G$32,6,FALSE) &gt;= (test!$B$36+VLOOKUP(VLOOKUP($B102,test!$A$2:$I$32,4,FALSE),test!$J$10:$P$14,6,FALSE))/1440),1,0)</f>
        <v>0</v>
      </c>
      <c r="AD102" s="2">
        <f>IF(AND(VLOOKUP(AD$1,test!$A$3:$F$32,5,FALSE) - VLOOKUP($B102,test!$A$3:$G$32,6,FALSE) &gt;= (test!$B$36+VLOOKUP(VLOOKUP($B102,test!$A$2:$I$32,4,FALSE),test!$J$10:$P$14,6,FALSE))/1440),1,0)</f>
        <v>0</v>
      </c>
      <c r="AE102" s="2">
        <f>IF(AND(VLOOKUP(AE$1,test!$A$3:$F$32,5,FALSE) - VLOOKUP($B102,test!$A$3:$G$32,6,FALSE) &gt;= (test!$B$36+VLOOKUP(VLOOKUP($B102,test!$A$2:$I$32,4,FALSE),test!$J$10:$P$14,6,FALSE))/1440),1,0)</f>
        <v>0</v>
      </c>
      <c r="AF102" s="2">
        <f>IF(AND(VLOOKUP(AF$1,test!$A$3:$F$32,5,FALSE) - VLOOKUP($B102,test!$A$3:$G$32,6,FALSE) &gt;= (test!$B$36+VLOOKUP(VLOOKUP($B102,test!$A$2:$I$32,4,FALSE),test!$J$10:$P$14,6,FALSE))/1440),1,0)</f>
        <v>0</v>
      </c>
      <c r="AG102" s="2">
        <f>IF(AND(VLOOKUP(AG$1,test!$A$3:$F$32,5,FALSE) - VLOOKUP($B102,test!$A$3:$G$32,6,FALSE) &gt;= (test!$B$36+VLOOKUP(VLOOKUP($B102,test!$A$2:$I$32,4,FALSE),test!$J$10:$P$14,6,FALSE))/1440),1,0)</f>
        <v>0</v>
      </c>
    </row>
    <row r="103" spans="1:33" x14ac:dyDescent="0.25">
      <c r="A103" t="s">
        <v>98</v>
      </c>
      <c r="B103" t="s">
        <v>15</v>
      </c>
      <c r="C103">
        <v>0</v>
      </c>
      <c r="D103" s="2">
        <f>IF(AND(VLOOKUP(D$1,test!$A$3:$F$32,5,FALSE) - VLOOKUP($B103,test!$A$3:$G$32,6,FALSE) &gt;= (test!$B$36+VLOOKUP(VLOOKUP($B103,test!$A$2:$I$32,4,FALSE),test!$J$10:$P$14,6,FALSE))/1440),1,0)</f>
        <v>0</v>
      </c>
      <c r="E103" s="2">
        <f>IF(AND(VLOOKUP(E$1,test!$A$3:$F$32,5,FALSE) - VLOOKUP($B103,test!$A$3:$G$32,6,FALSE) &gt;= (test!$B$36+VLOOKUP(VLOOKUP($B103,test!$A$2:$I$32,4,FALSE),test!$J$10:$P$14,6,FALSE))/1440),1,0)</f>
        <v>0</v>
      </c>
      <c r="F103" s="2">
        <f>IF(AND(VLOOKUP(F$1,test!$A$3:$F$32,5,FALSE) - VLOOKUP($B103,test!$A$3:$G$32,6,FALSE) &gt;= (test!$B$36+VLOOKUP(VLOOKUP($B103,test!$A$2:$I$32,4,FALSE),test!$J$10:$P$14,6,FALSE))/1440),1,0)</f>
        <v>0</v>
      </c>
      <c r="G103" s="2">
        <f>IF(AND(VLOOKUP(G$1,test!$A$3:$F$32,5,FALSE) - VLOOKUP($B103,test!$A$3:$G$32,6,FALSE) &gt;= (test!$B$36+VLOOKUP(VLOOKUP($B103,test!$A$2:$I$32,4,FALSE),test!$J$10:$P$14,6,FALSE))/1440),1,0)</f>
        <v>0</v>
      </c>
      <c r="H103" s="2">
        <f>IF(AND(VLOOKUP(H$1,test!$A$3:$F$32,5,FALSE) - VLOOKUP($B103,test!$A$3:$G$32,6,FALSE) &gt;= (test!$B$36+VLOOKUP(VLOOKUP($B103,test!$A$2:$I$32,4,FALSE),test!$J$10:$P$14,6,FALSE))/1440),1,0)</f>
        <v>0</v>
      </c>
      <c r="I103" s="2">
        <f>IF(AND(VLOOKUP(I$1,test!$A$3:$F$32,5,FALSE) - VLOOKUP($B103,test!$A$3:$G$32,6,FALSE) &gt;= (test!$B$36+VLOOKUP(VLOOKUP($B103,test!$A$2:$I$32,4,FALSE),test!$J$10:$P$14,6,FALSE))/1440),1,0)</f>
        <v>0</v>
      </c>
      <c r="J103" s="2">
        <f>IF(AND(VLOOKUP(J$1,test!$A$3:$F$32,5,FALSE) - VLOOKUP($B103,test!$A$3:$G$32,6,FALSE) &gt;= (test!$B$36+VLOOKUP(VLOOKUP($B103,test!$A$2:$I$32,4,FALSE),test!$J$10:$P$14,6,FALSE))/1440),1,0)</f>
        <v>0</v>
      </c>
      <c r="K103" s="2">
        <f>IF(AND(VLOOKUP(K$1,test!$A$3:$F$32,5,FALSE) - VLOOKUP($B103,test!$A$3:$G$32,6,FALSE) &gt;= (test!$B$36+VLOOKUP(VLOOKUP($B103,test!$A$2:$I$32,4,FALSE),test!$J$10:$P$14,6,FALSE))/1440),1,0)</f>
        <v>0</v>
      </c>
      <c r="L103" s="2">
        <f>IF(AND(VLOOKUP(L$1,test!$A$3:$F$32,5,FALSE) - VLOOKUP($B103,test!$A$3:$G$32,6,FALSE) &gt;= (test!$B$36+VLOOKUP(VLOOKUP($B103,test!$A$2:$I$32,4,FALSE),test!$J$10:$P$14,6,FALSE))/1440),1,0)</f>
        <v>0</v>
      </c>
      <c r="M103" s="2">
        <f>IF(AND(VLOOKUP(M$1,test!$A$3:$F$32,5,FALSE) - VLOOKUP($B103,test!$A$3:$G$32,6,FALSE) &gt;= (test!$B$36+VLOOKUP(VLOOKUP($B103,test!$A$2:$I$32,4,FALSE),test!$J$10:$P$14,6,FALSE))/1440),1,0)</f>
        <v>0</v>
      </c>
      <c r="N103" s="2">
        <f>IF(AND(VLOOKUP(N$1,test!$A$3:$F$32,5,FALSE) - VLOOKUP($B103,test!$A$3:$G$32,6,FALSE) &gt;= (test!$B$36+VLOOKUP(VLOOKUP($B103,test!$A$2:$I$32,4,FALSE),test!$J$10:$P$14,6,FALSE))/1440),1,0)</f>
        <v>0</v>
      </c>
      <c r="O103" s="2">
        <f>IF(AND(VLOOKUP(O$1,test!$A$3:$F$32,5,FALSE) - VLOOKUP($B103,test!$A$3:$G$32,6,FALSE) &gt;= (test!$B$36+VLOOKUP(VLOOKUP($B103,test!$A$2:$I$32,4,FALSE),test!$J$10:$P$14,6,FALSE))/1440),1,0)</f>
        <v>0</v>
      </c>
      <c r="P103" s="2">
        <f>IF(AND(VLOOKUP(P$1,test!$A$3:$F$32,5,FALSE) - VLOOKUP($B103,test!$A$3:$G$32,6,FALSE) &gt;= (test!$B$36+VLOOKUP(VLOOKUP($B103,test!$A$2:$I$32,4,FALSE),test!$J$10:$P$14,6,FALSE))/1440),1,0)</f>
        <v>0</v>
      </c>
      <c r="Q103" s="2">
        <f>IF(AND(VLOOKUP(Q$1,test!$A$3:$F$32,5,FALSE) - VLOOKUP($B103,test!$A$3:$G$32,6,FALSE) &gt;= (test!$B$36+VLOOKUP(VLOOKUP($B103,test!$A$2:$I$32,4,FALSE),test!$J$10:$P$14,6,FALSE))/1440),1,0)</f>
        <v>0</v>
      </c>
      <c r="R103" s="2">
        <f>IF(AND(VLOOKUP(R$1,test!$A$3:$F$32,5,FALSE) - VLOOKUP($B103,test!$A$3:$G$32,6,FALSE) &gt;= (test!$B$36+VLOOKUP(VLOOKUP($B103,test!$A$2:$I$32,4,FALSE),test!$J$10:$P$14,6,FALSE))/1440),1,0)</f>
        <v>0</v>
      </c>
      <c r="S103" s="2">
        <f>IF(AND(VLOOKUP(S$1,test!$A$3:$F$32,5,FALSE) - VLOOKUP($B103,test!$A$3:$G$32,6,FALSE) &gt;= (test!$B$36+VLOOKUP(VLOOKUP($B103,test!$A$2:$I$32,4,FALSE),test!$J$10:$P$14,6,FALSE))/1440),1,0)</f>
        <v>0</v>
      </c>
      <c r="T103" s="2">
        <f>IF(AND(VLOOKUP(T$1,test!$A$3:$F$32,5,FALSE) - VLOOKUP($B103,test!$A$3:$G$32,6,FALSE) &gt;= (test!$B$36+VLOOKUP(VLOOKUP($B103,test!$A$2:$I$32,4,FALSE),test!$J$10:$P$14,6,FALSE))/1440),1,0)</f>
        <v>0</v>
      </c>
      <c r="U103" s="2">
        <f>IF(AND(VLOOKUP(U$1,test!$A$3:$F$32,5,FALSE) - VLOOKUP($B103,test!$A$3:$G$32,6,FALSE) &gt;= (test!$B$36+VLOOKUP(VLOOKUP($B103,test!$A$2:$I$32,4,FALSE),test!$J$10:$P$14,6,FALSE))/1440),1,0)</f>
        <v>0</v>
      </c>
      <c r="V103" s="2">
        <f>IF(AND(VLOOKUP(V$1,test!$A$3:$F$32,5,FALSE) - VLOOKUP($B103,test!$A$3:$G$32,6,FALSE) &gt;= (test!$B$36+VLOOKUP(VLOOKUP($B103,test!$A$2:$I$32,4,FALSE),test!$J$10:$P$14,6,FALSE))/1440),1,0)</f>
        <v>0</v>
      </c>
      <c r="W103" s="2">
        <f>IF(AND(VLOOKUP(W$1,test!$A$3:$F$32,5,FALSE) - VLOOKUP($B103,test!$A$3:$G$32,6,FALSE) &gt;= (test!$B$36+VLOOKUP(VLOOKUP($B103,test!$A$2:$I$32,4,FALSE),test!$J$10:$P$14,6,FALSE))/1440),1,0)</f>
        <v>0</v>
      </c>
      <c r="X103" s="2">
        <f>IF(AND(VLOOKUP(X$1,test!$A$3:$F$32,5,FALSE) - VLOOKUP($B103,test!$A$3:$G$32,6,FALSE) &gt;= (test!$B$36+VLOOKUP(VLOOKUP($B103,test!$A$2:$I$32,4,FALSE),test!$J$10:$P$14,6,FALSE))/1440),1,0)</f>
        <v>0</v>
      </c>
      <c r="Y103" s="2">
        <f>IF(AND(VLOOKUP(Y$1,test!$A$3:$F$32,5,FALSE) - VLOOKUP($B103,test!$A$3:$G$32,6,FALSE) &gt;= (test!$B$36+VLOOKUP(VLOOKUP($B103,test!$A$2:$I$32,4,FALSE),test!$J$10:$P$14,6,FALSE))/1440),1,0)</f>
        <v>0</v>
      </c>
      <c r="Z103" s="2">
        <f>IF(AND(VLOOKUP(Z$1,test!$A$3:$F$32,5,FALSE) - VLOOKUP($B103,test!$A$3:$G$32,6,FALSE) &gt;= (test!$B$36+VLOOKUP(VLOOKUP($B103,test!$A$2:$I$32,4,FALSE),test!$J$10:$P$14,6,FALSE))/1440),1,0)</f>
        <v>0</v>
      </c>
      <c r="AA103" s="2">
        <f>IF(AND(VLOOKUP(AA$1,test!$A$3:$F$32,5,FALSE) - VLOOKUP($B103,test!$A$3:$G$32,6,FALSE) &gt;= (test!$B$36+VLOOKUP(VLOOKUP($B103,test!$A$2:$I$32,4,FALSE),test!$J$10:$P$14,6,FALSE))/1440),1,0)</f>
        <v>0</v>
      </c>
      <c r="AB103" s="2">
        <f>IF(AND(VLOOKUP(AB$1,test!$A$3:$F$32,5,FALSE) - VLOOKUP($B103,test!$A$3:$G$32,6,FALSE) &gt;= (test!$B$36+VLOOKUP(VLOOKUP($B103,test!$A$2:$I$32,4,FALSE),test!$J$10:$P$14,6,FALSE))/1440),1,0)</f>
        <v>0</v>
      </c>
      <c r="AC103" s="2">
        <f>IF(AND(VLOOKUP(AC$1,test!$A$3:$F$32,5,FALSE) - VLOOKUP($B103,test!$A$3:$G$32,6,FALSE) &gt;= (test!$B$36+VLOOKUP(VLOOKUP($B103,test!$A$2:$I$32,4,FALSE),test!$J$10:$P$14,6,FALSE))/1440),1,0)</f>
        <v>0</v>
      </c>
      <c r="AD103" s="2">
        <f>IF(AND(VLOOKUP(AD$1,test!$A$3:$F$32,5,FALSE) - VLOOKUP($B103,test!$A$3:$G$32,6,FALSE) &gt;= (test!$B$36+VLOOKUP(VLOOKUP($B103,test!$A$2:$I$32,4,FALSE),test!$J$10:$P$14,6,FALSE))/1440),1,0)</f>
        <v>0</v>
      </c>
      <c r="AE103" s="2">
        <f>IF(AND(VLOOKUP(AE$1,test!$A$3:$F$32,5,FALSE) - VLOOKUP($B103,test!$A$3:$G$32,6,FALSE) &gt;= (test!$B$36+VLOOKUP(VLOOKUP($B103,test!$A$2:$I$32,4,FALSE),test!$J$10:$P$14,6,FALSE))/1440),1,0)</f>
        <v>0</v>
      </c>
      <c r="AF103" s="2">
        <f>IF(AND(VLOOKUP(AF$1,test!$A$3:$F$32,5,FALSE) - VLOOKUP($B103,test!$A$3:$G$32,6,FALSE) &gt;= (test!$B$36+VLOOKUP(VLOOKUP($B103,test!$A$2:$I$32,4,FALSE),test!$J$10:$P$14,6,FALSE))/1440),1,0)</f>
        <v>0</v>
      </c>
      <c r="AG103" s="2">
        <f>IF(AND(VLOOKUP(AG$1,test!$A$3:$F$32,5,FALSE) - VLOOKUP($B103,test!$A$3:$G$32,6,FALSE) &gt;= (test!$B$36+VLOOKUP(VLOOKUP($B103,test!$A$2:$I$32,4,FALSE),test!$J$10:$P$14,6,FALSE))/1440),1,0)</f>
        <v>0</v>
      </c>
    </row>
    <row r="104" spans="1:33" x14ac:dyDescent="0.25">
      <c r="A104" t="s">
        <v>98</v>
      </c>
      <c r="B104" t="s">
        <v>18</v>
      </c>
      <c r="C104">
        <v>0</v>
      </c>
      <c r="D104" s="2">
        <f>IF(AND(VLOOKUP(D$1,test!$A$3:$F$32,5,FALSE) - VLOOKUP($B104,test!$A$3:$G$32,6,FALSE) &gt;= (test!$B$36+VLOOKUP(VLOOKUP($B104,test!$A$2:$I$32,4,FALSE),test!$J$10:$P$14,6,FALSE))/1440),1,0)</f>
        <v>0</v>
      </c>
      <c r="E104" s="2">
        <f>IF(AND(VLOOKUP(E$1,test!$A$3:$F$32,5,FALSE) - VLOOKUP($B104,test!$A$3:$G$32,6,FALSE) &gt;= (test!$B$36+VLOOKUP(VLOOKUP($B104,test!$A$2:$I$32,4,FALSE),test!$J$10:$P$14,6,FALSE))/1440),1,0)</f>
        <v>0</v>
      </c>
      <c r="F104" s="2">
        <f>IF(AND(VLOOKUP(F$1,test!$A$3:$F$32,5,FALSE) - VLOOKUP($B104,test!$A$3:$G$32,6,FALSE) &gt;= (test!$B$36+VLOOKUP(VLOOKUP($B104,test!$A$2:$I$32,4,FALSE),test!$J$10:$P$14,6,FALSE))/1440),1,0)</f>
        <v>1</v>
      </c>
      <c r="G104" s="2">
        <f>IF(AND(VLOOKUP(G$1,test!$A$3:$F$32,5,FALSE) - VLOOKUP($B104,test!$A$3:$G$32,6,FALSE) &gt;= (test!$B$36+VLOOKUP(VLOOKUP($B104,test!$A$2:$I$32,4,FALSE),test!$J$10:$P$14,6,FALSE))/1440),1,0)</f>
        <v>1</v>
      </c>
      <c r="H104" s="2">
        <f>IF(AND(VLOOKUP(H$1,test!$A$3:$F$32,5,FALSE) - VLOOKUP($B104,test!$A$3:$G$32,6,FALSE) &gt;= (test!$B$36+VLOOKUP(VLOOKUP($B104,test!$A$2:$I$32,4,FALSE),test!$J$10:$P$14,6,FALSE))/1440),1,0)</f>
        <v>1</v>
      </c>
      <c r="I104" s="2">
        <f>IF(AND(VLOOKUP(I$1,test!$A$3:$F$32,5,FALSE) - VLOOKUP($B104,test!$A$3:$G$32,6,FALSE) &gt;= (test!$B$36+VLOOKUP(VLOOKUP($B104,test!$A$2:$I$32,4,FALSE),test!$J$10:$P$14,6,FALSE))/1440),1,0)</f>
        <v>1</v>
      </c>
      <c r="J104" s="2">
        <f>IF(AND(VLOOKUP(J$1,test!$A$3:$F$32,5,FALSE) - VLOOKUP($B104,test!$A$3:$G$32,6,FALSE) &gt;= (test!$B$36+VLOOKUP(VLOOKUP($B104,test!$A$2:$I$32,4,FALSE),test!$J$10:$P$14,6,FALSE))/1440),1,0)</f>
        <v>1</v>
      </c>
      <c r="K104" s="2">
        <f>IF(AND(VLOOKUP(K$1,test!$A$3:$F$32,5,FALSE) - VLOOKUP($B104,test!$A$3:$G$32,6,FALSE) &gt;= (test!$B$36+VLOOKUP(VLOOKUP($B104,test!$A$2:$I$32,4,FALSE),test!$J$10:$P$14,6,FALSE))/1440),1,0)</f>
        <v>1</v>
      </c>
      <c r="L104" s="2">
        <f>IF(AND(VLOOKUP(L$1,test!$A$3:$F$32,5,FALSE) - VLOOKUP($B104,test!$A$3:$G$32,6,FALSE) &gt;= (test!$B$36+VLOOKUP(VLOOKUP($B104,test!$A$2:$I$32,4,FALSE),test!$J$10:$P$14,6,FALSE))/1440),1,0)</f>
        <v>0</v>
      </c>
      <c r="M104" s="2">
        <f>IF(AND(VLOOKUP(M$1,test!$A$3:$F$32,5,FALSE) - VLOOKUP($B104,test!$A$3:$G$32,6,FALSE) &gt;= (test!$B$36+VLOOKUP(VLOOKUP($B104,test!$A$2:$I$32,4,FALSE),test!$J$10:$P$14,6,FALSE))/1440),1,0)</f>
        <v>0</v>
      </c>
      <c r="N104" s="2">
        <f>IF(AND(VLOOKUP(N$1,test!$A$3:$F$32,5,FALSE) - VLOOKUP($B104,test!$A$3:$G$32,6,FALSE) &gt;= (test!$B$36+VLOOKUP(VLOOKUP($B104,test!$A$2:$I$32,4,FALSE),test!$J$10:$P$14,6,FALSE))/1440),1,0)</f>
        <v>1</v>
      </c>
      <c r="O104" s="2">
        <f>IF(AND(VLOOKUP(O$1,test!$A$3:$F$32,5,FALSE) - VLOOKUP($B104,test!$A$3:$G$32,6,FALSE) &gt;= (test!$B$36+VLOOKUP(VLOOKUP($B104,test!$A$2:$I$32,4,FALSE),test!$J$10:$P$14,6,FALSE))/1440),1,0)</f>
        <v>1</v>
      </c>
      <c r="P104" s="2">
        <f>IF(AND(VLOOKUP(P$1,test!$A$3:$F$32,5,FALSE) - VLOOKUP($B104,test!$A$3:$G$32,6,FALSE) &gt;= (test!$B$36+VLOOKUP(VLOOKUP($B104,test!$A$2:$I$32,4,FALSE),test!$J$10:$P$14,6,FALSE))/1440),1,0)</f>
        <v>1</v>
      </c>
      <c r="Q104" s="2">
        <f>IF(AND(VLOOKUP(Q$1,test!$A$3:$F$32,5,FALSE) - VLOOKUP($B104,test!$A$3:$G$32,6,FALSE) &gt;= (test!$B$36+VLOOKUP(VLOOKUP($B104,test!$A$2:$I$32,4,FALSE),test!$J$10:$P$14,6,FALSE))/1440),1,0)</f>
        <v>0</v>
      </c>
      <c r="R104" s="2">
        <f>IF(AND(VLOOKUP(R$1,test!$A$3:$F$32,5,FALSE) - VLOOKUP($B104,test!$A$3:$G$32,6,FALSE) &gt;= (test!$B$36+VLOOKUP(VLOOKUP($B104,test!$A$2:$I$32,4,FALSE),test!$J$10:$P$14,6,FALSE))/1440),1,0)</f>
        <v>0</v>
      </c>
      <c r="S104" s="2">
        <f>IF(AND(VLOOKUP(S$1,test!$A$3:$F$32,5,FALSE) - VLOOKUP($B104,test!$A$3:$G$32,6,FALSE) &gt;= (test!$B$36+VLOOKUP(VLOOKUP($B104,test!$A$2:$I$32,4,FALSE),test!$J$10:$P$14,6,FALSE))/1440),1,0)</f>
        <v>0</v>
      </c>
      <c r="T104" s="2">
        <f>IF(AND(VLOOKUP(T$1,test!$A$3:$F$32,5,FALSE) - VLOOKUP($B104,test!$A$3:$G$32,6,FALSE) &gt;= (test!$B$36+VLOOKUP(VLOOKUP($B104,test!$A$2:$I$32,4,FALSE),test!$J$10:$P$14,6,FALSE))/1440),1,0)</f>
        <v>0</v>
      </c>
      <c r="U104" s="2">
        <f>IF(AND(VLOOKUP(U$1,test!$A$3:$F$32,5,FALSE) - VLOOKUP($B104,test!$A$3:$G$32,6,FALSE) &gt;= (test!$B$36+VLOOKUP(VLOOKUP($B104,test!$A$2:$I$32,4,FALSE),test!$J$10:$P$14,6,FALSE))/1440),1,0)</f>
        <v>1</v>
      </c>
      <c r="V104" s="2">
        <f>IF(AND(VLOOKUP(V$1,test!$A$3:$F$32,5,FALSE) - VLOOKUP($B104,test!$A$3:$G$32,6,FALSE) &gt;= (test!$B$36+VLOOKUP(VLOOKUP($B104,test!$A$2:$I$32,4,FALSE),test!$J$10:$P$14,6,FALSE))/1440),1,0)</f>
        <v>1</v>
      </c>
      <c r="W104" s="2">
        <f>IF(AND(VLOOKUP(W$1,test!$A$3:$F$32,5,FALSE) - VLOOKUP($B104,test!$A$3:$G$32,6,FALSE) &gt;= (test!$B$36+VLOOKUP(VLOOKUP($B104,test!$A$2:$I$32,4,FALSE),test!$J$10:$P$14,6,FALSE))/1440),1,0)</f>
        <v>1</v>
      </c>
      <c r="X104" s="2">
        <f>IF(AND(VLOOKUP(X$1,test!$A$3:$F$32,5,FALSE) - VLOOKUP($B104,test!$A$3:$G$32,6,FALSE) &gt;= (test!$B$36+VLOOKUP(VLOOKUP($B104,test!$A$2:$I$32,4,FALSE),test!$J$10:$P$14,6,FALSE))/1440),1,0)</f>
        <v>1</v>
      </c>
      <c r="Y104" s="2">
        <f>IF(AND(VLOOKUP(Y$1,test!$A$3:$F$32,5,FALSE) - VLOOKUP($B104,test!$A$3:$G$32,6,FALSE) &gt;= (test!$B$36+VLOOKUP(VLOOKUP($B104,test!$A$2:$I$32,4,FALSE),test!$J$10:$P$14,6,FALSE))/1440),1,0)</f>
        <v>1</v>
      </c>
      <c r="Z104" s="2">
        <f>IF(AND(VLOOKUP(Z$1,test!$A$3:$F$32,5,FALSE) - VLOOKUP($B104,test!$A$3:$G$32,6,FALSE) &gt;= (test!$B$36+VLOOKUP(VLOOKUP($B104,test!$A$2:$I$32,4,FALSE),test!$J$10:$P$14,6,FALSE))/1440),1,0)</f>
        <v>0</v>
      </c>
      <c r="AA104" s="2">
        <f>IF(AND(VLOOKUP(AA$1,test!$A$3:$F$32,5,FALSE) - VLOOKUP($B104,test!$A$3:$G$32,6,FALSE) &gt;= (test!$B$36+VLOOKUP(VLOOKUP($B104,test!$A$2:$I$32,4,FALSE),test!$J$10:$P$14,6,FALSE))/1440),1,0)</f>
        <v>0</v>
      </c>
      <c r="AB104" s="2">
        <f>IF(AND(VLOOKUP(AB$1,test!$A$3:$F$32,5,FALSE) - VLOOKUP($B104,test!$A$3:$G$32,6,FALSE) &gt;= (test!$B$36+VLOOKUP(VLOOKUP($B104,test!$A$2:$I$32,4,FALSE),test!$J$10:$P$14,6,FALSE))/1440),1,0)</f>
        <v>1</v>
      </c>
      <c r="AC104" s="2">
        <f>IF(AND(VLOOKUP(AC$1,test!$A$3:$F$32,5,FALSE) - VLOOKUP($B104,test!$A$3:$G$32,6,FALSE) &gt;= (test!$B$36+VLOOKUP(VLOOKUP($B104,test!$A$2:$I$32,4,FALSE),test!$J$10:$P$14,6,FALSE))/1440),1,0)</f>
        <v>1</v>
      </c>
      <c r="AD104" s="2">
        <f>IF(AND(VLOOKUP(AD$1,test!$A$3:$F$32,5,FALSE) - VLOOKUP($B104,test!$A$3:$G$32,6,FALSE) &gt;= (test!$B$36+VLOOKUP(VLOOKUP($B104,test!$A$2:$I$32,4,FALSE),test!$J$10:$P$14,6,FALSE))/1440),1,0)</f>
        <v>1</v>
      </c>
      <c r="AE104" s="2">
        <f>IF(AND(VLOOKUP(AE$1,test!$A$3:$F$32,5,FALSE) - VLOOKUP($B104,test!$A$3:$G$32,6,FALSE) &gt;= (test!$B$36+VLOOKUP(VLOOKUP($B104,test!$A$2:$I$32,4,FALSE),test!$J$10:$P$14,6,FALSE))/1440),1,0)</f>
        <v>0</v>
      </c>
      <c r="AF104" s="2">
        <f>IF(AND(VLOOKUP(AF$1,test!$A$3:$F$32,5,FALSE) - VLOOKUP($B104,test!$A$3:$G$32,6,FALSE) &gt;= (test!$B$36+VLOOKUP(VLOOKUP($B104,test!$A$2:$I$32,4,FALSE),test!$J$10:$P$14,6,FALSE))/1440),1,0)</f>
        <v>1</v>
      </c>
      <c r="AG104" s="2">
        <f>IF(AND(VLOOKUP(AG$1,test!$A$3:$F$32,5,FALSE) - VLOOKUP($B104,test!$A$3:$G$32,6,FALSE) &gt;= (test!$B$36+VLOOKUP(VLOOKUP($B104,test!$A$2:$I$32,4,FALSE),test!$J$10:$P$14,6,FALSE))/1440),1,0)</f>
        <v>1</v>
      </c>
    </row>
    <row r="105" spans="1:33" x14ac:dyDescent="0.25">
      <c r="A105" t="s">
        <v>98</v>
      </c>
      <c r="B105" t="s">
        <v>20</v>
      </c>
      <c r="C105">
        <v>0</v>
      </c>
      <c r="D105" s="2">
        <f>IF(AND(VLOOKUP(D$1,test!$A$3:$F$32,5,FALSE) - VLOOKUP($B105,test!$A$3:$G$32,6,FALSE) &gt;= (test!$B$36+VLOOKUP(VLOOKUP($B105,test!$A$2:$I$32,4,FALSE),test!$J$10:$P$14,6,FALSE))/1440),1,0)</f>
        <v>0</v>
      </c>
      <c r="E105" s="2">
        <f>IF(AND(VLOOKUP(E$1,test!$A$3:$F$32,5,FALSE) - VLOOKUP($B105,test!$A$3:$G$32,6,FALSE) &gt;= (test!$B$36+VLOOKUP(VLOOKUP($B105,test!$A$2:$I$32,4,FALSE),test!$J$10:$P$14,6,FALSE))/1440),1,0)</f>
        <v>0</v>
      </c>
      <c r="F105" s="2">
        <f>IF(AND(VLOOKUP(F$1,test!$A$3:$F$32,5,FALSE) - VLOOKUP($B105,test!$A$3:$G$32,6,FALSE) &gt;= (test!$B$36+VLOOKUP(VLOOKUP($B105,test!$A$2:$I$32,4,FALSE),test!$J$10:$P$14,6,FALSE))/1440),1,0)</f>
        <v>0</v>
      </c>
      <c r="G105" s="2">
        <f>IF(AND(VLOOKUP(G$1,test!$A$3:$F$32,5,FALSE) - VLOOKUP($B105,test!$A$3:$G$32,6,FALSE) &gt;= (test!$B$36+VLOOKUP(VLOOKUP($B105,test!$A$2:$I$32,4,FALSE),test!$J$10:$P$14,6,FALSE))/1440),1,0)</f>
        <v>1</v>
      </c>
      <c r="H105" s="2">
        <f>IF(AND(VLOOKUP(H$1,test!$A$3:$F$32,5,FALSE) - VLOOKUP($B105,test!$A$3:$G$32,6,FALSE) &gt;= (test!$B$36+VLOOKUP(VLOOKUP($B105,test!$A$2:$I$32,4,FALSE),test!$J$10:$P$14,6,FALSE))/1440),1,0)</f>
        <v>1</v>
      </c>
      <c r="I105" s="2">
        <f>IF(AND(VLOOKUP(I$1,test!$A$3:$F$32,5,FALSE) - VLOOKUP($B105,test!$A$3:$G$32,6,FALSE) &gt;= (test!$B$36+VLOOKUP(VLOOKUP($B105,test!$A$2:$I$32,4,FALSE),test!$J$10:$P$14,6,FALSE))/1440),1,0)</f>
        <v>1</v>
      </c>
      <c r="J105" s="2">
        <f>IF(AND(VLOOKUP(J$1,test!$A$3:$F$32,5,FALSE) - VLOOKUP($B105,test!$A$3:$G$32,6,FALSE) &gt;= (test!$B$36+VLOOKUP(VLOOKUP($B105,test!$A$2:$I$32,4,FALSE),test!$J$10:$P$14,6,FALSE))/1440),1,0)</f>
        <v>1</v>
      </c>
      <c r="K105" s="2">
        <f>IF(AND(VLOOKUP(K$1,test!$A$3:$F$32,5,FALSE) - VLOOKUP($B105,test!$A$3:$G$32,6,FALSE) &gt;= (test!$B$36+VLOOKUP(VLOOKUP($B105,test!$A$2:$I$32,4,FALSE),test!$J$10:$P$14,6,FALSE))/1440),1,0)</f>
        <v>1</v>
      </c>
      <c r="L105" s="2">
        <f>IF(AND(VLOOKUP(L$1,test!$A$3:$F$32,5,FALSE) - VLOOKUP($B105,test!$A$3:$G$32,6,FALSE) &gt;= (test!$B$36+VLOOKUP(VLOOKUP($B105,test!$A$2:$I$32,4,FALSE),test!$J$10:$P$14,6,FALSE))/1440),1,0)</f>
        <v>0</v>
      </c>
      <c r="M105" s="2">
        <f>IF(AND(VLOOKUP(M$1,test!$A$3:$F$32,5,FALSE) - VLOOKUP($B105,test!$A$3:$G$32,6,FALSE) &gt;= (test!$B$36+VLOOKUP(VLOOKUP($B105,test!$A$2:$I$32,4,FALSE),test!$J$10:$P$14,6,FALSE))/1440),1,0)</f>
        <v>0</v>
      </c>
      <c r="N105" s="2">
        <f>IF(AND(VLOOKUP(N$1,test!$A$3:$F$32,5,FALSE) - VLOOKUP($B105,test!$A$3:$G$32,6,FALSE) &gt;= (test!$B$36+VLOOKUP(VLOOKUP($B105,test!$A$2:$I$32,4,FALSE),test!$J$10:$P$14,6,FALSE))/1440),1,0)</f>
        <v>0</v>
      </c>
      <c r="O105" s="2">
        <f>IF(AND(VLOOKUP(O$1,test!$A$3:$F$32,5,FALSE) - VLOOKUP($B105,test!$A$3:$G$32,6,FALSE) &gt;= (test!$B$36+VLOOKUP(VLOOKUP($B105,test!$A$2:$I$32,4,FALSE),test!$J$10:$P$14,6,FALSE))/1440),1,0)</f>
        <v>1</v>
      </c>
      <c r="P105" s="2">
        <f>IF(AND(VLOOKUP(P$1,test!$A$3:$F$32,5,FALSE) - VLOOKUP($B105,test!$A$3:$G$32,6,FALSE) &gt;= (test!$B$36+VLOOKUP(VLOOKUP($B105,test!$A$2:$I$32,4,FALSE),test!$J$10:$P$14,6,FALSE))/1440),1,0)</f>
        <v>1</v>
      </c>
      <c r="Q105" s="2">
        <f>IF(AND(VLOOKUP(Q$1,test!$A$3:$F$32,5,FALSE) - VLOOKUP($B105,test!$A$3:$G$32,6,FALSE) &gt;= (test!$B$36+VLOOKUP(VLOOKUP($B105,test!$A$2:$I$32,4,FALSE),test!$J$10:$P$14,6,FALSE))/1440),1,0)</f>
        <v>0</v>
      </c>
      <c r="R105" s="2">
        <f>IF(AND(VLOOKUP(R$1,test!$A$3:$F$32,5,FALSE) - VLOOKUP($B105,test!$A$3:$G$32,6,FALSE) &gt;= (test!$B$36+VLOOKUP(VLOOKUP($B105,test!$A$2:$I$32,4,FALSE),test!$J$10:$P$14,6,FALSE))/1440),1,0)</f>
        <v>0</v>
      </c>
      <c r="S105" s="2">
        <f>IF(AND(VLOOKUP(S$1,test!$A$3:$F$32,5,FALSE) - VLOOKUP($B105,test!$A$3:$G$32,6,FALSE) &gt;= (test!$B$36+VLOOKUP(VLOOKUP($B105,test!$A$2:$I$32,4,FALSE),test!$J$10:$P$14,6,FALSE))/1440),1,0)</f>
        <v>0</v>
      </c>
      <c r="T105" s="2">
        <f>IF(AND(VLOOKUP(T$1,test!$A$3:$F$32,5,FALSE) - VLOOKUP($B105,test!$A$3:$G$32,6,FALSE) &gt;= (test!$B$36+VLOOKUP(VLOOKUP($B105,test!$A$2:$I$32,4,FALSE),test!$J$10:$P$14,6,FALSE))/1440),1,0)</f>
        <v>0</v>
      </c>
      <c r="U105" s="2">
        <f>IF(AND(VLOOKUP(U$1,test!$A$3:$F$32,5,FALSE) - VLOOKUP($B105,test!$A$3:$G$32,6,FALSE) &gt;= (test!$B$36+VLOOKUP(VLOOKUP($B105,test!$A$2:$I$32,4,FALSE),test!$J$10:$P$14,6,FALSE))/1440),1,0)</f>
        <v>0</v>
      </c>
      <c r="V105" s="2">
        <f>IF(AND(VLOOKUP(V$1,test!$A$3:$F$32,5,FALSE) - VLOOKUP($B105,test!$A$3:$G$32,6,FALSE) &gt;= (test!$B$36+VLOOKUP(VLOOKUP($B105,test!$A$2:$I$32,4,FALSE),test!$J$10:$P$14,6,FALSE))/1440),1,0)</f>
        <v>1</v>
      </c>
      <c r="W105" s="2">
        <f>IF(AND(VLOOKUP(W$1,test!$A$3:$F$32,5,FALSE) - VLOOKUP($B105,test!$A$3:$G$32,6,FALSE) &gt;= (test!$B$36+VLOOKUP(VLOOKUP($B105,test!$A$2:$I$32,4,FALSE),test!$J$10:$P$14,6,FALSE))/1440),1,0)</f>
        <v>1</v>
      </c>
      <c r="X105" s="2">
        <f>IF(AND(VLOOKUP(X$1,test!$A$3:$F$32,5,FALSE) - VLOOKUP($B105,test!$A$3:$G$32,6,FALSE) &gt;= (test!$B$36+VLOOKUP(VLOOKUP($B105,test!$A$2:$I$32,4,FALSE),test!$J$10:$P$14,6,FALSE))/1440),1,0)</f>
        <v>1</v>
      </c>
      <c r="Y105" s="2">
        <f>IF(AND(VLOOKUP(Y$1,test!$A$3:$F$32,5,FALSE) - VLOOKUP($B105,test!$A$3:$G$32,6,FALSE) &gt;= (test!$B$36+VLOOKUP(VLOOKUP($B105,test!$A$2:$I$32,4,FALSE),test!$J$10:$P$14,6,FALSE))/1440),1,0)</f>
        <v>1</v>
      </c>
      <c r="Z105" s="2">
        <f>IF(AND(VLOOKUP(Z$1,test!$A$3:$F$32,5,FALSE) - VLOOKUP($B105,test!$A$3:$G$32,6,FALSE) &gt;= (test!$B$36+VLOOKUP(VLOOKUP($B105,test!$A$2:$I$32,4,FALSE),test!$J$10:$P$14,6,FALSE))/1440),1,0)</f>
        <v>0</v>
      </c>
      <c r="AA105" s="2">
        <f>IF(AND(VLOOKUP(AA$1,test!$A$3:$F$32,5,FALSE) - VLOOKUP($B105,test!$A$3:$G$32,6,FALSE) &gt;= (test!$B$36+VLOOKUP(VLOOKUP($B105,test!$A$2:$I$32,4,FALSE),test!$J$10:$P$14,6,FALSE))/1440),1,0)</f>
        <v>0</v>
      </c>
      <c r="AB105" s="2">
        <f>IF(AND(VLOOKUP(AB$1,test!$A$3:$F$32,5,FALSE) - VLOOKUP($B105,test!$A$3:$G$32,6,FALSE) &gt;= (test!$B$36+VLOOKUP(VLOOKUP($B105,test!$A$2:$I$32,4,FALSE),test!$J$10:$P$14,6,FALSE))/1440),1,0)</f>
        <v>0</v>
      </c>
      <c r="AC105" s="2">
        <f>IF(AND(VLOOKUP(AC$1,test!$A$3:$F$32,5,FALSE) - VLOOKUP($B105,test!$A$3:$G$32,6,FALSE) &gt;= (test!$B$36+VLOOKUP(VLOOKUP($B105,test!$A$2:$I$32,4,FALSE),test!$J$10:$P$14,6,FALSE))/1440),1,0)</f>
        <v>1</v>
      </c>
      <c r="AD105" s="2">
        <f>IF(AND(VLOOKUP(AD$1,test!$A$3:$F$32,5,FALSE) - VLOOKUP($B105,test!$A$3:$G$32,6,FALSE) &gt;= (test!$B$36+VLOOKUP(VLOOKUP($B105,test!$A$2:$I$32,4,FALSE),test!$J$10:$P$14,6,FALSE))/1440),1,0)</f>
        <v>1</v>
      </c>
      <c r="AE105" s="2">
        <f>IF(AND(VLOOKUP(AE$1,test!$A$3:$F$32,5,FALSE) - VLOOKUP($B105,test!$A$3:$G$32,6,FALSE) &gt;= (test!$B$36+VLOOKUP(VLOOKUP($B105,test!$A$2:$I$32,4,FALSE),test!$J$10:$P$14,6,FALSE))/1440),1,0)</f>
        <v>0</v>
      </c>
      <c r="AF105" s="2">
        <f>IF(AND(VLOOKUP(AF$1,test!$A$3:$F$32,5,FALSE) - VLOOKUP($B105,test!$A$3:$G$32,6,FALSE) &gt;= (test!$B$36+VLOOKUP(VLOOKUP($B105,test!$A$2:$I$32,4,FALSE),test!$J$10:$P$14,6,FALSE))/1440),1,0)</f>
        <v>0</v>
      </c>
      <c r="AG105" s="2">
        <f>IF(AND(VLOOKUP(AG$1,test!$A$3:$F$32,5,FALSE) - VLOOKUP($B105,test!$A$3:$G$32,6,FALSE) &gt;= (test!$B$36+VLOOKUP(VLOOKUP($B105,test!$A$2:$I$32,4,FALSE),test!$J$10:$P$14,6,FALSE))/1440),1,0)</f>
        <v>0</v>
      </c>
    </row>
    <row r="106" spans="1:33" x14ac:dyDescent="0.25">
      <c r="A106" t="s">
        <v>98</v>
      </c>
      <c r="B106" t="s">
        <v>21</v>
      </c>
      <c r="C106">
        <v>0</v>
      </c>
      <c r="D106" s="2">
        <f>IF(AND(VLOOKUP(D$1,test!$A$3:$F$32,5,FALSE) - VLOOKUP($B106,test!$A$3:$G$32,6,FALSE) &gt;= (test!$B$36+VLOOKUP(VLOOKUP($B106,test!$A$2:$I$32,4,FALSE),test!$J$10:$P$14,6,FALSE))/1440),1,0)</f>
        <v>0</v>
      </c>
      <c r="E106" s="2">
        <f>IF(AND(VLOOKUP(E$1,test!$A$3:$F$32,5,FALSE) - VLOOKUP($B106,test!$A$3:$G$32,6,FALSE) &gt;= (test!$B$36+VLOOKUP(VLOOKUP($B106,test!$A$2:$I$32,4,FALSE),test!$J$10:$P$14,6,FALSE))/1440),1,0)</f>
        <v>0</v>
      </c>
      <c r="F106" s="2">
        <f>IF(AND(VLOOKUP(F$1,test!$A$3:$F$32,5,FALSE) - VLOOKUP($B106,test!$A$3:$G$32,6,FALSE) &gt;= (test!$B$36+VLOOKUP(VLOOKUP($B106,test!$A$2:$I$32,4,FALSE),test!$J$10:$P$14,6,FALSE))/1440),1,0)</f>
        <v>0</v>
      </c>
      <c r="G106" s="2">
        <f>IF(AND(VLOOKUP(G$1,test!$A$3:$F$32,5,FALSE) - VLOOKUP($B106,test!$A$3:$G$32,6,FALSE) &gt;= (test!$B$36+VLOOKUP(VLOOKUP($B106,test!$A$2:$I$32,4,FALSE),test!$J$10:$P$14,6,FALSE))/1440),1,0)</f>
        <v>0</v>
      </c>
      <c r="H106" s="2">
        <f>IF(AND(VLOOKUP(H$1,test!$A$3:$F$32,5,FALSE) - VLOOKUP($B106,test!$A$3:$G$32,6,FALSE) &gt;= (test!$B$36+VLOOKUP(VLOOKUP($B106,test!$A$2:$I$32,4,FALSE),test!$J$10:$P$14,6,FALSE))/1440),1,0)</f>
        <v>0</v>
      </c>
      <c r="I106" s="2">
        <f>IF(AND(VLOOKUP(I$1,test!$A$3:$F$32,5,FALSE) - VLOOKUP($B106,test!$A$3:$G$32,6,FALSE) &gt;= (test!$B$36+VLOOKUP(VLOOKUP($B106,test!$A$2:$I$32,4,FALSE),test!$J$10:$P$14,6,FALSE))/1440),1,0)</f>
        <v>1</v>
      </c>
      <c r="J106" s="2">
        <f>IF(AND(VLOOKUP(J$1,test!$A$3:$F$32,5,FALSE) - VLOOKUP($B106,test!$A$3:$G$32,6,FALSE) &gt;= (test!$B$36+VLOOKUP(VLOOKUP($B106,test!$A$2:$I$32,4,FALSE),test!$J$10:$P$14,6,FALSE))/1440),1,0)</f>
        <v>1</v>
      </c>
      <c r="K106" s="2">
        <f>IF(AND(VLOOKUP(K$1,test!$A$3:$F$32,5,FALSE) - VLOOKUP($B106,test!$A$3:$G$32,6,FALSE) &gt;= (test!$B$36+VLOOKUP(VLOOKUP($B106,test!$A$2:$I$32,4,FALSE),test!$J$10:$P$14,6,FALSE))/1440),1,0)</f>
        <v>1</v>
      </c>
      <c r="L106" s="2">
        <f>IF(AND(VLOOKUP(L$1,test!$A$3:$F$32,5,FALSE) - VLOOKUP($B106,test!$A$3:$G$32,6,FALSE) &gt;= (test!$B$36+VLOOKUP(VLOOKUP($B106,test!$A$2:$I$32,4,FALSE),test!$J$10:$P$14,6,FALSE))/1440),1,0)</f>
        <v>0</v>
      </c>
      <c r="M106" s="2">
        <f>IF(AND(VLOOKUP(M$1,test!$A$3:$F$32,5,FALSE) - VLOOKUP($B106,test!$A$3:$G$32,6,FALSE) &gt;= (test!$B$36+VLOOKUP(VLOOKUP($B106,test!$A$2:$I$32,4,FALSE),test!$J$10:$P$14,6,FALSE))/1440),1,0)</f>
        <v>0</v>
      </c>
      <c r="N106" s="2">
        <f>IF(AND(VLOOKUP(N$1,test!$A$3:$F$32,5,FALSE) - VLOOKUP($B106,test!$A$3:$G$32,6,FALSE) &gt;= (test!$B$36+VLOOKUP(VLOOKUP($B106,test!$A$2:$I$32,4,FALSE),test!$J$10:$P$14,6,FALSE))/1440),1,0)</f>
        <v>0</v>
      </c>
      <c r="O106" s="2">
        <f>IF(AND(VLOOKUP(O$1,test!$A$3:$F$32,5,FALSE) - VLOOKUP($B106,test!$A$3:$G$32,6,FALSE) &gt;= (test!$B$36+VLOOKUP(VLOOKUP($B106,test!$A$2:$I$32,4,FALSE),test!$J$10:$P$14,6,FALSE))/1440),1,0)</f>
        <v>1</v>
      </c>
      <c r="P106" s="2">
        <f>IF(AND(VLOOKUP(P$1,test!$A$3:$F$32,5,FALSE) - VLOOKUP($B106,test!$A$3:$G$32,6,FALSE) &gt;= (test!$B$36+VLOOKUP(VLOOKUP($B106,test!$A$2:$I$32,4,FALSE),test!$J$10:$P$14,6,FALSE))/1440),1,0)</f>
        <v>1</v>
      </c>
      <c r="Q106" s="2">
        <f>IF(AND(VLOOKUP(Q$1,test!$A$3:$F$32,5,FALSE) - VLOOKUP($B106,test!$A$3:$G$32,6,FALSE) &gt;= (test!$B$36+VLOOKUP(VLOOKUP($B106,test!$A$2:$I$32,4,FALSE),test!$J$10:$P$14,6,FALSE))/1440),1,0)</f>
        <v>0</v>
      </c>
      <c r="R106" s="2">
        <f>IF(AND(VLOOKUP(R$1,test!$A$3:$F$32,5,FALSE) - VLOOKUP($B106,test!$A$3:$G$32,6,FALSE) &gt;= (test!$B$36+VLOOKUP(VLOOKUP($B106,test!$A$2:$I$32,4,FALSE),test!$J$10:$P$14,6,FALSE))/1440),1,0)</f>
        <v>0</v>
      </c>
      <c r="S106" s="2">
        <f>IF(AND(VLOOKUP(S$1,test!$A$3:$F$32,5,FALSE) - VLOOKUP($B106,test!$A$3:$G$32,6,FALSE) &gt;= (test!$B$36+VLOOKUP(VLOOKUP($B106,test!$A$2:$I$32,4,FALSE),test!$J$10:$P$14,6,FALSE))/1440),1,0)</f>
        <v>0</v>
      </c>
      <c r="T106" s="2">
        <f>IF(AND(VLOOKUP(T$1,test!$A$3:$F$32,5,FALSE) - VLOOKUP($B106,test!$A$3:$G$32,6,FALSE) &gt;= (test!$B$36+VLOOKUP(VLOOKUP($B106,test!$A$2:$I$32,4,FALSE),test!$J$10:$P$14,6,FALSE))/1440),1,0)</f>
        <v>0</v>
      </c>
      <c r="U106" s="2">
        <f>IF(AND(VLOOKUP(U$1,test!$A$3:$F$32,5,FALSE) - VLOOKUP($B106,test!$A$3:$G$32,6,FALSE) &gt;= (test!$B$36+VLOOKUP(VLOOKUP($B106,test!$A$2:$I$32,4,FALSE),test!$J$10:$P$14,6,FALSE))/1440),1,0)</f>
        <v>0</v>
      </c>
      <c r="V106" s="2">
        <f>IF(AND(VLOOKUP(V$1,test!$A$3:$F$32,5,FALSE) - VLOOKUP($B106,test!$A$3:$G$32,6,FALSE) &gt;= (test!$B$36+VLOOKUP(VLOOKUP($B106,test!$A$2:$I$32,4,FALSE),test!$J$10:$P$14,6,FALSE))/1440),1,0)</f>
        <v>0</v>
      </c>
      <c r="W106" s="2">
        <f>IF(AND(VLOOKUP(W$1,test!$A$3:$F$32,5,FALSE) - VLOOKUP($B106,test!$A$3:$G$32,6,FALSE) &gt;= (test!$B$36+VLOOKUP(VLOOKUP($B106,test!$A$2:$I$32,4,FALSE),test!$J$10:$P$14,6,FALSE))/1440),1,0)</f>
        <v>0</v>
      </c>
      <c r="X106" s="2">
        <f>IF(AND(VLOOKUP(X$1,test!$A$3:$F$32,5,FALSE) - VLOOKUP($B106,test!$A$3:$G$32,6,FALSE) &gt;= (test!$B$36+VLOOKUP(VLOOKUP($B106,test!$A$2:$I$32,4,FALSE),test!$J$10:$P$14,6,FALSE))/1440),1,0)</f>
        <v>1</v>
      </c>
      <c r="Y106" s="2">
        <f>IF(AND(VLOOKUP(Y$1,test!$A$3:$F$32,5,FALSE) - VLOOKUP($B106,test!$A$3:$G$32,6,FALSE) &gt;= (test!$B$36+VLOOKUP(VLOOKUP($B106,test!$A$2:$I$32,4,FALSE),test!$J$10:$P$14,6,FALSE))/1440),1,0)</f>
        <v>1</v>
      </c>
      <c r="Z106" s="2">
        <f>IF(AND(VLOOKUP(Z$1,test!$A$3:$F$32,5,FALSE) - VLOOKUP($B106,test!$A$3:$G$32,6,FALSE) &gt;= (test!$B$36+VLOOKUP(VLOOKUP($B106,test!$A$2:$I$32,4,FALSE),test!$J$10:$P$14,6,FALSE))/1440),1,0)</f>
        <v>0</v>
      </c>
      <c r="AA106" s="2">
        <f>IF(AND(VLOOKUP(AA$1,test!$A$3:$F$32,5,FALSE) - VLOOKUP($B106,test!$A$3:$G$32,6,FALSE) &gt;= (test!$B$36+VLOOKUP(VLOOKUP($B106,test!$A$2:$I$32,4,FALSE),test!$J$10:$P$14,6,FALSE))/1440),1,0)</f>
        <v>0</v>
      </c>
      <c r="AB106" s="2">
        <f>IF(AND(VLOOKUP(AB$1,test!$A$3:$F$32,5,FALSE) - VLOOKUP($B106,test!$A$3:$G$32,6,FALSE) &gt;= (test!$B$36+VLOOKUP(VLOOKUP($B106,test!$A$2:$I$32,4,FALSE),test!$J$10:$P$14,6,FALSE))/1440),1,0)</f>
        <v>0</v>
      </c>
      <c r="AC106" s="2">
        <f>IF(AND(VLOOKUP(AC$1,test!$A$3:$F$32,5,FALSE) - VLOOKUP($B106,test!$A$3:$G$32,6,FALSE) &gt;= (test!$B$36+VLOOKUP(VLOOKUP($B106,test!$A$2:$I$32,4,FALSE),test!$J$10:$P$14,6,FALSE))/1440),1,0)</f>
        <v>0</v>
      </c>
      <c r="AD106" s="2">
        <f>IF(AND(VLOOKUP(AD$1,test!$A$3:$F$32,5,FALSE) - VLOOKUP($B106,test!$A$3:$G$32,6,FALSE) &gt;= (test!$B$36+VLOOKUP(VLOOKUP($B106,test!$A$2:$I$32,4,FALSE),test!$J$10:$P$14,6,FALSE))/1440),1,0)</f>
        <v>1</v>
      </c>
      <c r="AE106" s="2">
        <f>IF(AND(VLOOKUP(AE$1,test!$A$3:$F$32,5,FALSE) - VLOOKUP($B106,test!$A$3:$G$32,6,FALSE) &gt;= (test!$B$36+VLOOKUP(VLOOKUP($B106,test!$A$2:$I$32,4,FALSE),test!$J$10:$P$14,6,FALSE))/1440),1,0)</f>
        <v>0</v>
      </c>
      <c r="AF106" s="2">
        <f>IF(AND(VLOOKUP(AF$1,test!$A$3:$F$32,5,FALSE) - VLOOKUP($B106,test!$A$3:$G$32,6,FALSE) &gt;= (test!$B$36+VLOOKUP(VLOOKUP($B106,test!$A$2:$I$32,4,FALSE),test!$J$10:$P$14,6,FALSE))/1440),1,0)</f>
        <v>0</v>
      </c>
      <c r="AG106" s="2">
        <f>IF(AND(VLOOKUP(AG$1,test!$A$3:$F$32,5,FALSE) - VLOOKUP($B106,test!$A$3:$G$32,6,FALSE) &gt;= (test!$B$36+VLOOKUP(VLOOKUP($B106,test!$A$2:$I$32,4,FALSE),test!$J$10:$P$14,6,FALSE))/1440),1,0)</f>
        <v>0</v>
      </c>
    </row>
    <row r="107" spans="1:33" x14ac:dyDescent="0.25">
      <c r="A107" t="s">
        <v>98</v>
      </c>
      <c r="B107" t="s">
        <v>22</v>
      </c>
      <c r="C107">
        <v>0</v>
      </c>
      <c r="D107" s="2">
        <f>IF(AND(VLOOKUP(D$1,test!$A$3:$F$32,5,FALSE) - VLOOKUP($B107,test!$A$3:$G$32,6,FALSE) &gt;= (test!$B$36+VLOOKUP(VLOOKUP($B107,test!$A$2:$I$32,4,FALSE),test!$J$10:$P$14,6,FALSE))/1440),1,0)</f>
        <v>0</v>
      </c>
      <c r="E107" s="2">
        <f>IF(AND(VLOOKUP(E$1,test!$A$3:$F$32,5,FALSE) - VLOOKUP($B107,test!$A$3:$G$32,6,FALSE) &gt;= (test!$B$36+VLOOKUP(VLOOKUP($B107,test!$A$2:$I$32,4,FALSE),test!$J$10:$P$14,6,FALSE))/1440),1,0)</f>
        <v>0</v>
      </c>
      <c r="F107" s="2">
        <f>IF(AND(VLOOKUP(F$1,test!$A$3:$F$32,5,FALSE) - VLOOKUP($B107,test!$A$3:$G$32,6,FALSE) &gt;= (test!$B$36+VLOOKUP(VLOOKUP($B107,test!$A$2:$I$32,4,FALSE),test!$J$10:$P$14,6,FALSE))/1440),1,0)</f>
        <v>0</v>
      </c>
      <c r="G107" s="2">
        <f>IF(AND(VLOOKUP(G$1,test!$A$3:$F$32,5,FALSE) - VLOOKUP($B107,test!$A$3:$G$32,6,FALSE) &gt;= (test!$B$36+VLOOKUP(VLOOKUP($B107,test!$A$2:$I$32,4,FALSE),test!$J$10:$P$14,6,FALSE))/1440),1,0)</f>
        <v>0</v>
      </c>
      <c r="H107" s="2">
        <f>IF(AND(VLOOKUP(H$1,test!$A$3:$F$32,5,FALSE) - VLOOKUP($B107,test!$A$3:$G$32,6,FALSE) &gt;= (test!$B$36+VLOOKUP(VLOOKUP($B107,test!$A$2:$I$32,4,FALSE),test!$J$10:$P$14,6,FALSE))/1440),1,0)</f>
        <v>0</v>
      </c>
      <c r="I107" s="2">
        <f>IF(AND(VLOOKUP(I$1,test!$A$3:$F$32,5,FALSE) - VLOOKUP($B107,test!$A$3:$G$32,6,FALSE) &gt;= (test!$B$36+VLOOKUP(VLOOKUP($B107,test!$A$2:$I$32,4,FALSE),test!$J$10:$P$14,6,FALSE))/1440),1,0)</f>
        <v>0</v>
      </c>
      <c r="J107" s="2">
        <f>IF(AND(VLOOKUP(J$1,test!$A$3:$F$32,5,FALSE) - VLOOKUP($B107,test!$A$3:$G$32,6,FALSE) &gt;= (test!$B$36+VLOOKUP(VLOOKUP($B107,test!$A$2:$I$32,4,FALSE),test!$J$10:$P$14,6,FALSE))/1440),1,0)</f>
        <v>0</v>
      </c>
      <c r="K107" s="2">
        <f>IF(AND(VLOOKUP(K$1,test!$A$3:$F$32,5,FALSE) - VLOOKUP($B107,test!$A$3:$G$32,6,FALSE) &gt;= (test!$B$36+VLOOKUP(VLOOKUP($B107,test!$A$2:$I$32,4,FALSE),test!$J$10:$P$14,6,FALSE))/1440),1,0)</f>
        <v>0</v>
      </c>
      <c r="L107" s="2">
        <f>IF(AND(VLOOKUP(L$1,test!$A$3:$F$32,5,FALSE) - VLOOKUP($B107,test!$A$3:$G$32,6,FALSE) &gt;= (test!$B$36+VLOOKUP(VLOOKUP($B107,test!$A$2:$I$32,4,FALSE),test!$J$10:$P$14,6,FALSE))/1440),1,0)</f>
        <v>0</v>
      </c>
      <c r="M107" s="2">
        <f>IF(AND(VLOOKUP(M$1,test!$A$3:$F$32,5,FALSE) - VLOOKUP($B107,test!$A$3:$G$32,6,FALSE) &gt;= (test!$B$36+VLOOKUP(VLOOKUP($B107,test!$A$2:$I$32,4,FALSE),test!$J$10:$P$14,6,FALSE))/1440),1,0)</f>
        <v>0</v>
      </c>
      <c r="N107" s="2">
        <f>IF(AND(VLOOKUP(N$1,test!$A$3:$F$32,5,FALSE) - VLOOKUP($B107,test!$A$3:$G$32,6,FALSE) &gt;= (test!$B$36+VLOOKUP(VLOOKUP($B107,test!$A$2:$I$32,4,FALSE),test!$J$10:$P$14,6,FALSE))/1440),1,0)</f>
        <v>0</v>
      </c>
      <c r="O107" s="2">
        <f>IF(AND(VLOOKUP(O$1,test!$A$3:$F$32,5,FALSE) - VLOOKUP($B107,test!$A$3:$G$32,6,FALSE) &gt;= (test!$B$36+VLOOKUP(VLOOKUP($B107,test!$A$2:$I$32,4,FALSE),test!$J$10:$P$14,6,FALSE))/1440),1,0)</f>
        <v>0</v>
      </c>
      <c r="P107" s="2">
        <f>IF(AND(VLOOKUP(P$1,test!$A$3:$F$32,5,FALSE) - VLOOKUP($B107,test!$A$3:$G$32,6,FALSE) &gt;= (test!$B$36+VLOOKUP(VLOOKUP($B107,test!$A$2:$I$32,4,FALSE),test!$J$10:$P$14,6,FALSE))/1440),1,0)</f>
        <v>0</v>
      </c>
      <c r="Q107" s="2">
        <f>IF(AND(VLOOKUP(Q$1,test!$A$3:$F$32,5,FALSE) - VLOOKUP($B107,test!$A$3:$G$32,6,FALSE) &gt;= (test!$B$36+VLOOKUP(VLOOKUP($B107,test!$A$2:$I$32,4,FALSE),test!$J$10:$P$14,6,FALSE))/1440),1,0)</f>
        <v>0</v>
      </c>
      <c r="R107" s="2">
        <f>IF(AND(VLOOKUP(R$1,test!$A$3:$F$32,5,FALSE) - VLOOKUP($B107,test!$A$3:$G$32,6,FALSE) &gt;= (test!$B$36+VLOOKUP(VLOOKUP($B107,test!$A$2:$I$32,4,FALSE),test!$J$10:$P$14,6,FALSE))/1440),1,0)</f>
        <v>0</v>
      </c>
      <c r="S107" s="2">
        <f>IF(AND(VLOOKUP(S$1,test!$A$3:$F$32,5,FALSE) - VLOOKUP($B107,test!$A$3:$G$32,6,FALSE) &gt;= (test!$B$36+VLOOKUP(VLOOKUP($B107,test!$A$2:$I$32,4,FALSE),test!$J$10:$P$14,6,FALSE))/1440),1,0)</f>
        <v>0</v>
      </c>
      <c r="T107" s="2">
        <f>IF(AND(VLOOKUP(T$1,test!$A$3:$F$32,5,FALSE) - VLOOKUP($B107,test!$A$3:$G$32,6,FALSE) &gt;= (test!$B$36+VLOOKUP(VLOOKUP($B107,test!$A$2:$I$32,4,FALSE),test!$J$10:$P$14,6,FALSE))/1440),1,0)</f>
        <v>0</v>
      </c>
      <c r="U107" s="2">
        <f>IF(AND(VLOOKUP(U$1,test!$A$3:$F$32,5,FALSE) - VLOOKUP($B107,test!$A$3:$G$32,6,FALSE) &gt;= (test!$B$36+VLOOKUP(VLOOKUP($B107,test!$A$2:$I$32,4,FALSE),test!$J$10:$P$14,6,FALSE))/1440),1,0)</f>
        <v>0</v>
      </c>
      <c r="V107" s="2">
        <f>IF(AND(VLOOKUP(V$1,test!$A$3:$F$32,5,FALSE) - VLOOKUP($B107,test!$A$3:$G$32,6,FALSE) &gt;= (test!$B$36+VLOOKUP(VLOOKUP($B107,test!$A$2:$I$32,4,FALSE),test!$J$10:$P$14,6,FALSE))/1440),1,0)</f>
        <v>0</v>
      </c>
      <c r="W107" s="2">
        <f>IF(AND(VLOOKUP(W$1,test!$A$3:$F$32,5,FALSE) - VLOOKUP($B107,test!$A$3:$G$32,6,FALSE) &gt;= (test!$B$36+VLOOKUP(VLOOKUP($B107,test!$A$2:$I$32,4,FALSE),test!$J$10:$P$14,6,FALSE))/1440),1,0)</f>
        <v>0</v>
      </c>
      <c r="X107" s="2">
        <f>IF(AND(VLOOKUP(X$1,test!$A$3:$F$32,5,FALSE) - VLOOKUP($B107,test!$A$3:$G$32,6,FALSE) &gt;= (test!$B$36+VLOOKUP(VLOOKUP($B107,test!$A$2:$I$32,4,FALSE),test!$J$10:$P$14,6,FALSE))/1440),1,0)</f>
        <v>0</v>
      </c>
      <c r="Y107" s="2">
        <f>IF(AND(VLOOKUP(Y$1,test!$A$3:$F$32,5,FALSE) - VLOOKUP($B107,test!$A$3:$G$32,6,FALSE) &gt;= (test!$B$36+VLOOKUP(VLOOKUP($B107,test!$A$2:$I$32,4,FALSE),test!$J$10:$P$14,6,FALSE))/1440),1,0)</f>
        <v>0</v>
      </c>
      <c r="Z107" s="2">
        <f>IF(AND(VLOOKUP(Z$1,test!$A$3:$F$32,5,FALSE) - VLOOKUP($B107,test!$A$3:$G$32,6,FALSE) &gt;= (test!$B$36+VLOOKUP(VLOOKUP($B107,test!$A$2:$I$32,4,FALSE),test!$J$10:$P$14,6,FALSE))/1440),1,0)</f>
        <v>0</v>
      </c>
      <c r="AA107" s="2">
        <f>IF(AND(VLOOKUP(AA$1,test!$A$3:$F$32,5,FALSE) - VLOOKUP($B107,test!$A$3:$G$32,6,FALSE) &gt;= (test!$B$36+VLOOKUP(VLOOKUP($B107,test!$A$2:$I$32,4,FALSE),test!$J$10:$P$14,6,FALSE))/1440),1,0)</f>
        <v>0</v>
      </c>
      <c r="AB107" s="2">
        <f>IF(AND(VLOOKUP(AB$1,test!$A$3:$F$32,5,FALSE) - VLOOKUP($B107,test!$A$3:$G$32,6,FALSE) &gt;= (test!$B$36+VLOOKUP(VLOOKUP($B107,test!$A$2:$I$32,4,FALSE),test!$J$10:$P$14,6,FALSE))/1440),1,0)</f>
        <v>0</v>
      </c>
      <c r="AC107" s="2">
        <f>IF(AND(VLOOKUP(AC$1,test!$A$3:$F$32,5,FALSE) - VLOOKUP($B107,test!$A$3:$G$32,6,FALSE) &gt;= (test!$B$36+VLOOKUP(VLOOKUP($B107,test!$A$2:$I$32,4,FALSE),test!$J$10:$P$14,6,FALSE))/1440),1,0)</f>
        <v>0</v>
      </c>
      <c r="AD107" s="2">
        <f>IF(AND(VLOOKUP(AD$1,test!$A$3:$F$32,5,FALSE) - VLOOKUP($B107,test!$A$3:$G$32,6,FALSE) &gt;= (test!$B$36+VLOOKUP(VLOOKUP($B107,test!$A$2:$I$32,4,FALSE),test!$J$10:$P$14,6,FALSE))/1440),1,0)</f>
        <v>0</v>
      </c>
      <c r="AE107" s="2">
        <f>IF(AND(VLOOKUP(AE$1,test!$A$3:$F$32,5,FALSE) - VLOOKUP($B107,test!$A$3:$G$32,6,FALSE) &gt;= (test!$B$36+VLOOKUP(VLOOKUP($B107,test!$A$2:$I$32,4,FALSE),test!$J$10:$P$14,6,FALSE))/1440),1,0)</f>
        <v>0</v>
      </c>
      <c r="AF107" s="2">
        <f>IF(AND(VLOOKUP(AF$1,test!$A$3:$F$32,5,FALSE) - VLOOKUP($B107,test!$A$3:$G$32,6,FALSE) &gt;= (test!$B$36+VLOOKUP(VLOOKUP($B107,test!$A$2:$I$32,4,FALSE),test!$J$10:$P$14,6,FALSE))/1440),1,0)</f>
        <v>0</v>
      </c>
      <c r="AG107" s="2">
        <f>IF(AND(VLOOKUP(AG$1,test!$A$3:$F$32,5,FALSE) - VLOOKUP($B107,test!$A$3:$G$32,6,FALSE) &gt;= (test!$B$36+VLOOKUP(VLOOKUP($B107,test!$A$2:$I$32,4,FALSE),test!$J$10:$P$14,6,FALSE))/1440),1,0)</f>
        <v>0</v>
      </c>
    </row>
    <row r="108" spans="1:33" x14ac:dyDescent="0.25">
      <c r="A108" t="s">
        <v>98</v>
      </c>
      <c r="B108" t="s">
        <v>23</v>
      </c>
      <c r="C108">
        <v>0</v>
      </c>
      <c r="D108" s="2">
        <f>IF(AND(VLOOKUP(D$1,test!$A$3:$F$32,5,FALSE) - VLOOKUP($B108,test!$A$3:$G$32,6,FALSE) &gt;= (test!$B$36+VLOOKUP(VLOOKUP($B108,test!$A$2:$I$32,4,FALSE),test!$J$10:$P$14,6,FALSE))/1440),1,0)</f>
        <v>0</v>
      </c>
      <c r="E108" s="2">
        <f>IF(AND(VLOOKUP(E$1,test!$A$3:$F$32,5,FALSE) - VLOOKUP($B108,test!$A$3:$G$32,6,FALSE) &gt;= (test!$B$36+VLOOKUP(VLOOKUP($B108,test!$A$2:$I$32,4,FALSE),test!$J$10:$P$14,6,FALSE))/1440),1,0)</f>
        <v>0</v>
      </c>
      <c r="F108" s="2">
        <f>IF(AND(VLOOKUP(F$1,test!$A$3:$F$32,5,FALSE) - VLOOKUP($B108,test!$A$3:$G$32,6,FALSE) &gt;= (test!$B$36+VLOOKUP(VLOOKUP($B108,test!$A$2:$I$32,4,FALSE),test!$J$10:$P$14,6,FALSE))/1440),1,0)</f>
        <v>0</v>
      </c>
      <c r="G108" s="2">
        <f>IF(AND(VLOOKUP(G$1,test!$A$3:$F$32,5,FALSE) - VLOOKUP($B108,test!$A$3:$G$32,6,FALSE) &gt;= (test!$B$36+VLOOKUP(VLOOKUP($B108,test!$A$2:$I$32,4,FALSE),test!$J$10:$P$14,6,FALSE))/1440),1,0)</f>
        <v>0</v>
      </c>
      <c r="H108" s="2">
        <f>IF(AND(VLOOKUP(H$1,test!$A$3:$F$32,5,FALSE) - VLOOKUP($B108,test!$A$3:$G$32,6,FALSE) &gt;= (test!$B$36+VLOOKUP(VLOOKUP($B108,test!$A$2:$I$32,4,FALSE),test!$J$10:$P$14,6,FALSE))/1440),1,0)</f>
        <v>0</v>
      </c>
      <c r="I108" s="2">
        <f>IF(AND(VLOOKUP(I$1,test!$A$3:$F$32,5,FALSE) - VLOOKUP($B108,test!$A$3:$G$32,6,FALSE) &gt;= (test!$B$36+VLOOKUP(VLOOKUP($B108,test!$A$2:$I$32,4,FALSE),test!$J$10:$P$14,6,FALSE))/1440),1,0)</f>
        <v>0</v>
      </c>
      <c r="J108" s="2">
        <f>IF(AND(VLOOKUP(J$1,test!$A$3:$F$32,5,FALSE) - VLOOKUP($B108,test!$A$3:$G$32,6,FALSE) &gt;= (test!$B$36+VLOOKUP(VLOOKUP($B108,test!$A$2:$I$32,4,FALSE),test!$J$10:$P$14,6,FALSE))/1440),1,0)</f>
        <v>0</v>
      </c>
      <c r="K108" s="2">
        <f>IF(AND(VLOOKUP(K$1,test!$A$3:$F$32,5,FALSE) - VLOOKUP($B108,test!$A$3:$G$32,6,FALSE) &gt;= (test!$B$36+VLOOKUP(VLOOKUP($B108,test!$A$2:$I$32,4,FALSE),test!$J$10:$P$14,6,FALSE))/1440),1,0)</f>
        <v>0</v>
      </c>
      <c r="L108" s="2">
        <f>IF(AND(VLOOKUP(L$1,test!$A$3:$F$32,5,FALSE) - VLOOKUP($B108,test!$A$3:$G$32,6,FALSE) &gt;= (test!$B$36+VLOOKUP(VLOOKUP($B108,test!$A$2:$I$32,4,FALSE),test!$J$10:$P$14,6,FALSE))/1440),1,0)</f>
        <v>0</v>
      </c>
      <c r="M108" s="2">
        <f>IF(AND(VLOOKUP(M$1,test!$A$3:$F$32,5,FALSE) - VLOOKUP($B108,test!$A$3:$G$32,6,FALSE) &gt;= (test!$B$36+VLOOKUP(VLOOKUP($B108,test!$A$2:$I$32,4,FALSE),test!$J$10:$P$14,6,FALSE))/1440),1,0)</f>
        <v>0</v>
      </c>
      <c r="N108" s="2">
        <f>IF(AND(VLOOKUP(N$1,test!$A$3:$F$32,5,FALSE) - VLOOKUP($B108,test!$A$3:$G$32,6,FALSE) &gt;= (test!$B$36+VLOOKUP(VLOOKUP($B108,test!$A$2:$I$32,4,FALSE),test!$J$10:$P$14,6,FALSE))/1440),1,0)</f>
        <v>0</v>
      </c>
      <c r="O108" s="2">
        <f>IF(AND(VLOOKUP(O$1,test!$A$3:$F$32,5,FALSE) - VLOOKUP($B108,test!$A$3:$G$32,6,FALSE) &gt;= (test!$B$36+VLOOKUP(VLOOKUP($B108,test!$A$2:$I$32,4,FALSE),test!$J$10:$P$14,6,FALSE))/1440),1,0)</f>
        <v>0</v>
      </c>
      <c r="P108" s="2">
        <f>IF(AND(VLOOKUP(P$1,test!$A$3:$F$32,5,FALSE) - VLOOKUP($B108,test!$A$3:$G$32,6,FALSE) &gt;= (test!$B$36+VLOOKUP(VLOOKUP($B108,test!$A$2:$I$32,4,FALSE),test!$J$10:$P$14,6,FALSE))/1440),1,0)</f>
        <v>0</v>
      </c>
      <c r="Q108" s="2">
        <f>IF(AND(VLOOKUP(Q$1,test!$A$3:$F$32,5,FALSE) - VLOOKUP($B108,test!$A$3:$G$32,6,FALSE) &gt;= (test!$B$36+VLOOKUP(VLOOKUP($B108,test!$A$2:$I$32,4,FALSE),test!$J$10:$P$14,6,FALSE))/1440),1,0)</f>
        <v>0</v>
      </c>
      <c r="R108" s="2">
        <f>IF(AND(VLOOKUP(R$1,test!$A$3:$F$32,5,FALSE) - VLOOKUP($B108,test!$A$3:$G$32,6,FALSE) &gt;= (test!$B$36+VLOOKUP(VLOOKUP($B108,test!$A$2:$I$32,4,FALSE),test!$J$10:$P$14,6,FALSE))/1440),1,0)</f>
        <v>0</v>
      </c>
      <c r="S108" s="2">
        <f>IF(AND(VLOOKUP(S$1,test!$A$3:$F$32,5,FALSE) - VLOOKUP($B108,test!$A$3:$G$32,6,FALSE) &gt;= (test!$B$36+VLOOKUP(VLOOKUP($B108,test!$A$2:$I$32,4,FALSE),test!$J$10:$P$14,6,FALSE))/1440),1,0)</f>
        <v>0</v>
      </c>
      <c r="T108" s="2">
        <f>IF(AND(VLOOKUP(T$1,test!$A$3:$F$32,5,FALSE) - VLOOKUP($B108,test!$A$3:$G$32,6,FALSE) &gt;= (test!$B$36+VLOOKUP(VLOOKUP($B108,test!$A$2:$I$32,4,FALSE),test!$J$10:$P$14,6,FALSE))/1440),1,0)</f>
        <v>0</v>
      </c>
      <c r="U108" s="2">
        <f>IF(AND(VLOOKUP(U$1,test!$A$3:$F$32,5,FALSE) - VLOOKUP($B108,test!$A$3:$G$32,6,FALSE) &gt;= (test!$B$36+VLOOKUP(VLOOKUP($B108,test!$A$2:$I$32,4,FALSE),test!$J$10:$P$14,6,FALSE))/1440),1,0)</f>
        <v>0</v>
      </c>
      <c r="V108" s="2">
        <f>IF(AND(VLOOKUP(V$1,test!$A$3:$F$32,5,FALSE) - VLOOKUP($B108,test!$A$3:$G$32,6,FALSE) &gt;= (test!$B$36+VLOOKUP(VLOOKUP($B108,test!$A$2:$I$32,4,FALSE),test!$J$10:$P$14,6,FALSE))/1440),1,0)</f>
        <v>0</v>
      </c>
      <c r="W108" s="2">
        <f>IF(AND(VLOOKUP(W$1,test!$A$3:$F$32,5,FALSE) - VLOOKUP($B108,test!$A$3:$G$32,6,FALSE) &gt;= (test!$B$36+VLOOKUP(VLOOKUP($B108,test!$A$2:$I$32,4,FALSE),test!$J$10:$P$14,6,FALSE))/1440),1,0)</f>
        <v>0</v>
      </c>
      <c r="X108" s="2">
        <f>IF(AND(VLOOKUP(X$1,test!$A$3:$F$32,5,FALSE) - VLOOKUP($B108,test!$A$3:$G$32,6,FALSE) &gt;= (test!$B$36+VLOOKUP(VLOOKUP($B108,test!$A$2:$I$32,4,FALSE),test!$J$10:$P$14,6,FALSE))/1440),1,0)</f>
        <v>0</v>
      </c>
      <c r="Y108" s="2">
        <f>IF(AND(VLOOKUP(Y$1,test!$A$3:$F$32,5,FALSE) - VLOOKUP($B108,test!$A$3:$G$32,6,FALSE) &gt;= (test!$B$36+VLOOKUP(VLOOKUP($B108,test!$A$2:$I$32,4,FALSE),test!$J$10:$P$14,6,FALSE))/1440),1,0)</f>
        <v>0</v>
      </c>
      <c r="Z108" s="2">
        <f>IF(AND(VLOOKUP(Z$1,test!$A$3:$F$32,5,FALSE) - VLOOKUP($B108,test!$A$3:$G$32,6,FALSE) &gt;= (test!$B$36+VLOOKUP(VLOOKUP($B108,test!$A$2:$I$32,4,FALSE),test!$J$10:$P$14,6,FALSE))/1440),1,0)</f>
        <v>0</v>
      </c>
      <c r="AA108" s="2">
        <f>IF(AND(VLOOKUP(AA$1,test!$A$3:$F$32,5,FALSE) - VLOOKUP($B108,test!$A$3:$G$32,6,FALSE) &gt;= (test!$B$36+VLOOKUP(VLOOKUP($B108,test!$A$2:$I$32,4,FALSE),test!$J$10:$P$14,6,FALSE))/1440),1,0)</f>
        <v>0</v>
      </c>
      <c r="AB108" s="2">
        <f>IF(AND(VLOOKUP(AB$1,test!$A$3:$F$32,5,FALSE) - VLOOKUP($B108,test!$A$3:$G$32,6,FALSE) &gt;= (test!$B$36+VLOOKUP(VLOOKUP($B108,test!$A$2:$I$32,4,FALSE),test!$J$10:$P$14,6,FALSE))/1440),1,0)</f>
        <v>0</v>
      </c>
      <c r="AC108" s="2">
        <f>IF(AND(VLOOKUP(AC$1,test!$A$3:$F$32,5,FALSE) - VLOOKUP($B108,test!$A$3:$G$32,6,FALSE) &gt;= (test!$B$36+VLOOKUP(VLOOKUP($B108,test!$A$2:$I$32,4,FALSE),test!$J$10:$P$14,6,FALSE))/1440),1,0)</f>
        <v>0</v>
      </c>
      <c r="AD108" s="2">
        <f>IF(AND(VLOOKUP(AD$1,test!$A$3:$F$32,5,FALSE) - VLOOKUP($B108,test!$A$3:$G$32,6,FALSE) &gt;= (test!$B$36+VLOOKUP(VLOOKUP($B108,test!$A$2:$I$32,4,FALSE),test!$J$10:$P$14,6,FALSE))/1440),1,0)</f>
        <v>0</v>
      </c>
      <c r="AE108" s="2">
        <f>IF(AND(VLOOKUP(AE$1,test!$A$3:$F$32,5,FALSE) - VLOOKUP($B108,test!$A$3:$G$32,6,FALSE) &gt;= (test!$B$36+VLOOKUP(VLOOKUP($B108,test!$A$2:$I$32,4,FALSE),test!$J$10:$P$14,6,FALSE))/1440),1,0)</f>
        <v>0</v>
      </c>
      <c r="AF108" s="2">
        <f>IF(AND(VLOOKUP(AF$1,test!$A$3:$F$32,5,FALSE) - VLOOKUP($B108,test!$A$3:$G$32,6,FALSE) &gt;= (test!$B$36+VLOOKUP(VLOOKUP($B108,test!$A$2:$I$32,4,FALSE),test!$J$10:$P$14,6,FALSE))/1440),1,0)</f>
        <v>0</v>
      </c>
      <c r="AG108" s="2">
        <f>IF(AND(VLOOKUP(AG$1,test!$A$3:$F$32,5,FALSE) - VLOOKUP($B108,test!$A$3:$G$32,6,FALSE) &gt;= (test!$B$36+VLOOKUP(VLOOKUP($B108,test!$A$2:$I$32,4,FALSE),test!$J$10:$P$14,6,FALSE))/1440),1,0)</f>
        <v>0</v>
      </c>
    </row>
    <row r="109" spans="1:33" x14ac:dyDescent="0.25">
      <c r="A109" t="s">
        <v>98</v>
      </c>
      <c r="B109" t="s">
        <v>24</v>
      </c>
      <c r="C109">
        <v>0</v>
      </c>
      <c r="D109" s="2">
        <f>IF(AND(VLOOKUP(D$1,test!$A$3:$F$32,5,FALSE) - VLOOKUP($B109,test!$A$3:$G$32,6,FALSE) &gt;= (test!$B$36+VLOOKUP(VLOOKUP($B109,test!$A$2:$I$32,4,FALSE),test!$J$10:$P$14,6,FALSE))/1440),1,0)</f>
        <v>0</v>
      </c>
      <c r="E109" s="2">
        <f>IF(AND(VLOOKUP(E$1,test!$A$3:$F$32,5,FALSE) - VLOOKUP($B109,test!$A$3:$G$32,6,FALSE) &gt;= (test!$B$36+VLOOKUP(VLOOKUP($B109,test!$A$2:$I$32,4,FALSE),test!$J$10:$P$14,6,FALSE))/1440),1,0)</f>
        <v>0</v>
      </c>
      <c r="F109" s="2">
        <f>IF(AND(VLOOKUP(F$1,test!$A$3:$F$32,5,FALSE) - VLOOKUP($B109,test!$A$3:$G$32,6,FALSE) &gt;= (test!$B$36+VLOOKUP(VLOOKUP($B109,test!$A$2:$I$32,4,FALSE),test!$J$10:$P$14,6,FALSE))/1440),1,0)</f>
        <v>0</v>
      </c>
      <c r="G109" s="2">
        <f>IF(AND(VLOOKUP(G$1,test!$A$3:$F$32,5,FALSE) - VLOOKUP($B109,test!$A$3:$G$32,6,FALSE) &gt;= (test!$B$36+VLOOKUP(VLOOKUP($B109,test!$A$2:$I$32,4,FALSE),test!$J$10:$P$14,6,FALSE))/1440),1,0)</f>
        <v>0</v>
      </c>
      <c r="H109" s="2">
        <f>IF(AND(VLOOKUP(H$1,test!$A$3:$F$32,5,FALSE) - VLOOKUP($B109,test!$A$3:$G$32,6,FALSE) &gt;= (test!$B$36+VLOOKUP(VLOOKUP($B109,test!$A$2:$I$32,4,FALSE),test!$J$10:$P$14,6,FALSE))/1440),1,0)</f>
        <v>0</v>
      </c>
      <c r="I109" s="2">
        <f>IF(AND(VLOOKUP(I$1,test!$A$3:$F$32,5,FALSE) - VLOOKUP($B109,test!$A$3:$G$32,6,FALSE) &gt;= (test!$B$36+VLOOKUP(VLOOKUP($B109,test!$A$2:$I$32,4,FALSE),test!$J$10:$P$14,6,FALSE))/1440),1,0)</f>
        <v>0</v>
      </c>
      <c r="J109" s="2">
        <f>IF(AND(VLOOKUP(J$1,test!$A$3:$F$32,5,FALSE) - VLOOKUP($B109,test!$A$3:$G$32,6,FALSE) &gt;= (test!$B$36+VLOOKUP(VLOOKUP($B109,test!$A$2:$I$32,4,FALSE),test!$J$10:$P$14,6,FALSE))/1440),1,0)</f>
        <v>1</v>
      </c>
      <c r="K109" s="2">
        <f>IF(AND(VLOOKUP(K$1,test!$A$3:$F$32,5,FALSE) - VLOOKUP($B109,test!$A$3:$G$32,6,FALSE) &gt;= (test!$B$36+VLOOKUP(VLOOKUP($B109,test!$A$2:$I$32,4,FALSE),test!$J$10:$P$14,6,FALSE))/1440),1,0)</f>
        <v>1</v>
      </c>
      <c r="L109" s="2">
        <f>IF(AND(VLOOKUP(L$1,test!$A$3:$F$32,5,FALSE) - VLOOKUP($B109,test!$A$3:$G$32,6,FALSE) &gt;= (test!$B$36+VLOOKUP(VLOOKUP($B109,test!$A$2:$I$32,4,FALSE),test!$J$10:$P$14,6,FALSE))/1440),1,0)</f>
        <v>0</v>
      </c>
      <c r="M109" s="2">
        <f>IF(AND(VLOOKUP(M$1,test!$A$3:$F$32,5,FALSE) - VLOOKUP($B109,test!$A$3:$G$32,6,FALSE) &gt;= (test!$B$36+VLOOKUP(VLOOKUP($B109,test!$A$2:$I$32,4,FALSE),test!$J$10:$P$14,6,FALSE))/1440),1,0)</f>
        <v>0</v>
      </c>
      <c r="N109" s="2">
        <f>IF(AND(VLOOKUP(N$1,test!$A$3:$F$32,5,FALSE) - VLOOKUP($B109,test!$A$3:$G$32,6,FALSE) &gt;= (test!$B$36+VLOOKUP(VLOOKUP($B109,test!$A$2:$I$32,4,FALSE),test!$J$10:$P$14,6,FALSE))/1440),1,0)</f>
        <v>0</v>
      </c>
      <c r="O109" s="2">
        <f>IF(AND(VLOOKUP(O$1,test!$A$3:$F$32,5,FALSE) - VLOOKUP($B109,test!$A$3:$G$32,6,FALSE) &gt;= (test!$B$36+VLOOKUP(VLOOKUP($B109,test!$A$2:$I$32,4,FALSE),test!$J$10:$P$14,6,FALSE))/1440),1,0)</f>
        <v>1</v>
      </c>
      <c r="P109" s="2">
        <f>IF(AND(VLOOKUP(P$1,test!$A$3:$F$32,5,FALSE) - VLOOKUP($B109,test!$A$3:$G$32,6,FALSE) &gt;= (test!$B$36+VLOOKUP(VLOOKUP($B109,test!$A$2:$I$32,4,FALSE),test!$J$10:$P$14,6,FALSE))/1440),1,0)</f>
        <v>1</v>
      </c>
      <c r="Q109" s="2">
        <f>IF(AND(VLOOKUP(Q$1,test!$A$3:$F$32,5,FALSE) - VLOOKUP($B109,test!$A$3:$G$32,6,FALSE) &gt;= (test!$B$36+VLOOKUP(VLOOKUP($B109,test!$A$2:$I$32,4,FALSE),test!$J$10:$P$14,6,FALSE))/1440),1,0)</f>
        <v>0</v>
      </c>
      <c r="R109" s="2">
        <f>IF(AND(VLOOKUP(R$1,test!$A$3:$F$32,5,FALSE) - VLOOKUP($B109,test!$A$3:$G$32,6,FALSE) &gt;= (test!$B$36+VLOOKUP(VLOOKUP($B109,test!$A$2:$I$32,4,FALSE),test!$J$10:$P$14,6,FALSE))/1440),1,0)</f>
        <v>0</v>
      </c>
      <c r="S109" s="2">
        <f>IF(AND(VLOOKUP(S$1,test!$A$3:$F$32,5,FALSE) - VLOOKUP($B109,test!$A$3:$G$32,6,FALSE) &gt;= (test!$B$36+VLOOKUP(VLOOKUP($B109,test!$A$2:$I$32,4,FALSE),test!$J$10:$P$14,6,FALSE))/1440),1,0)</f>
        <v>0</v>
      </c>
      <c r="T109" s="2">
        <f>IF(AND(VLOOKUP(T$1,test!$A$3:$F$32,5,FALSE) - VLOOKUP($B109,test!$A$3:$G$32,6,FALSE) &gt;= (test!$B$36+VLOOKUP(VLOOKUP($B109,test!$A$2:$I$32,4,FALSE),test!$J$10:$P$14,6,FALSE))/1440),1,0)</f>
        <v>0</v>
      </c>
      <c r="U109" s="2">
        <f>IF(AND(VLOOKUP(U$1,test!$A$3:$F$32,5,FALSE) - VLOOKUP($B109,test!$A$3:$G$32,6,FALSE) &gt;= (test!$B$36+VLOOKUP(VLOOKUP($B109,test!$A$2:$I$32,4,FALSE),test!$J$10:$P$14,6,FALSE))/1440),1,0)</f>
        <v>0</v>
      </c>
      <c r="V109" s="2">
        <f>IF(AND(VLOOKUP(V$1,test!$A$3:$F$32,5,FALSE) - VLOOKUP($B109,test!$A$3:$G$32,6,FALSE) &gt;= (test!$B$36+VLOOKUP(VLOOKUP($B109,test!$A$2:$I$32,4,FALSE),test!$J$10:$P$14,6,FALSE))/1440),1,0)</f>
        <v>0</v>
      </c>
      <c r="W109" s="2">
        <f>IF(AND(VLOOKUP(W$1,test!$A$3:$F$32,5,FALSE) - VLOOKUP($B109,test!$A$3:$G$32,6,FALSE) &gt;= (test!$B$36+VLOOKUP(VLOOKUP($B109,test!$A$2:$I$32,4,FALSE),test!$J$10:$P$14,6,FALSE))/1440),1,0)</f>
        <v>0</v>
      </c>
      <c r="X109" s="2">
        <f>IF(AND(VLOOKUP(X$1,test!$A$3:$F$32,5,FALSE) - VLOOKUP($B109,test!$A$3:$G$32,6,FALSE) &gt;= (test!$B$36+VLOOKUP(VLOOKUP($B109,test!$A$2:$I$32,4,FALSE),test!$J$10:$P$14,6,FALSE))/1440),1,0)</f>
        <v>0</v>
      </c>
      <c r="Y109" s="2">
        <f>IF(AND(VLOOKUP(Y$1,test!$A$3:$F$32,5,FALSE) - VLOOKUP($B109,test!$A$3:$G$32,6,FALSE) &gt;= (test!$B$36+VLOOKUP(VLOOKUP($B109,test!$A$2:$I$32,4,FALSE),test!$J$10:$P$14,6,FALSE))/1440),1,0)</f>
        <v>1</v>
      </c>
      <c r="Z109" s="2">
        <f>IF(AND(VLOOKUP(Z$1,test!$A$3:$F$32,5,FALSE) - VLOOKUP($B109,test!$A$3:$G$32,6,FALSE) &gt;= (test!$B$36+VLOOKUP(VLOOKUP($B109,test!$A$2:$I$32,4,FALSE),test!$J$10:$P$14,6,FALSE))/1440),1,0)</f>
        <v>0</v>
      </c>
      <c r="AA109" s="2">
        <f>IF(AND(VLOOKUP(AA$1,test!$A$3:$F$32,5,FALSE) - VLOOKUP($B109,test!$A$3:$G$32,6,FALSE) &gt;= (test!$B$36+VLOOKUP(VLOOKUP($B109,test!$A$2:$I$32,4,FALSE),test!$J$10:$P$14,6,FALSE))/1440),1,0)</f>
        <v>0</v>
      </c>
      <c r="AB109" s="2">
        <f>IF(AND(VLOOKUP(AB$1,test!$A$3:$F$32,5,FALSE) - VLOOKUP($B109,test!$A$3:$G$32,6,FALSE) &gt;= (test!$B$36+VLOOKUP(VLOOKUP($B109,test!$A$2:$I$32,4,FALSE),test!$J$10:$P$14,6,FALSE))/1440),1,0)</f>
        <v>0</v>
      </c>
      <c r="AC109" s="2">
        <f>IF(AND(VLOOKUP(AC$1,test!$A$3:$F$32,5,FALSE) - VLOOKUP($B109,test!$A$3:$G$32,6,FALSE) &gt;= (test!$B$36+VLOOKUP(VLOOKUP($B109,test!$A$2:$I$32,4,FALSE),test!$J$10:$P$14,6,FALSE))/1440),1,0)</f>
        <v>0</v>
      </c>
      <c r="AD109" s="2">
        <f>IF(AND(VLOOKUP(AD$1,test!$A$3:$F$32,5,FALSE) - VLOOKUP($B109,test!$A$3:$G$32,6,FALSE) &gt;= (test!$B$36+VLOOKUP(VLOOKUP($B109,test!$A$2:$I$32,4,FALSE),test!$J$10:$P$14,6,FALSE))/1440),1,0)</f>
        <v>0</v>
      </c>
      <c r="AE109" s="2">
        <f>IF(AND(VLOOKUP(AE$1,test!$A$3:$F$32,5,FALSE) - VLOOKUP($B109,test!$A$3:$G$32,6,FALSE) &gt;= (test!$B$36+VLOOKUP(VLOOKUP($B109,test!$A$2:$I$32,4,FALSE),test!$J$10:$P$14,6,FALSE))/1440),1,0)</f>
        <v>0</v>
      </c>
      <c r="AF109" s="2">
        <f>IF(AND(VLOOKUP(AF$1,test!$A$3:$F$32,5,FALSE) - VLOOKUP($B109,test!$A$3:$G$32,6,FALSE) &gt;= (test!$B$36+VLOOKUP(VLOOKUP($B109,test!$A$2:$I$32,4,FALSE),test!$J$10:$P$14,6,FALSE))/1440),1,0)</f>
        <v>0</v>
      </c>
      <c r="AG109" s="2">
        <f>IF(AND(VLOOKUP(AG$1,test!$A$3:$F$32,5,FALSE) - VLOOKUP($B109,test!$A$3:$G$32,6,FALSE) &gt;= (test!$B$36+VLOOKUP(VLOOKUP($B109,test!$A$2:$I$32,4,FALSE),test!$J$10:$P$14,6,FALSE))/1440),1,0)</f>
        <v>0</v>
      </c>
    </row>
    <row r="110" spans="1:33" x14ac:dyDescent="0.25">
      <c r="A110" t="s">
        <v>98</v>
      </c>
      <c r="B110" t="s">
        <v>26</v>
      </c>
      <c r="C110">
        <v>0</v>
      </c>
      <c r="D110" s="2">
        <f>IF(AND(VLOOKUP(D$1,test!$A$3:$F$32,5,FALSE) - VLOOKUP($B110,test!$A$3:$G$32,6,FALSE) &gt;= (test!$B$36+VLOOKUP(VLOOKUP($B110,test!$A$2:$I$32,4,FALSE),test!$J$10:$P$14,6,FALSE))/1440),1,0)</f>
        <v>0</v>
      </c>
      <c r="E110" s="2">
        <f>IF(AND(VLOOKUP(E$1,test!$A$3:$F$32,5,FALSE) - VLOOKUP($B110,test!$A$3:$G$32,6,FALSE) &gt;= (test!$B$36+VLOOKUP(VLOOKUP($B110,test!$A$2:$I$32,4,FALSE),test!$J$10:$P$14,6,FALSE))/1440),1,0)</f>
        <v>0</v>
      </c>
      <c r="F110" s="2">
        <f>IF(AND(VLOOKUP(F$1,test!$A$3:$F$32,5,FALSE) - VLOOKUP($B110,test!$A$3:$G$32,6,FALSE) &gt;= (test!$B$36+VLOOKUP(VLOOKUP($B110,test!$A$2:$I$32,4,FALSE),test!$J$10:$P$14,6,FALSE))/1440),1,0)</f>
        <v>0</v>
      </c>
      <c r="G110" s="2">
        <f>IF(AND(VLOOKUP(G$1,test!$A$3:$F$32,5,FALSE) - VLOOKUP($B110,test!$A$3:$G$32,6,FALSE) &gt;= (test!$B$36+VLOOKUP(VLOOKUP($B110,test!$A$2:$I$32,4,FALSE),test!$J$10:$P$14,6,FALSE))/1440),1,0)</f>
        <v>1</v>
      </c>
      <c r="H110" s="2">
        <f>IF(AND(VLOOKUP(H$1,test!$A$3:$F$32,5,FALSE) - VLOOKUP($B110,test!$A$3:$G$32,6,FALSE) &gt;= (test!$B$36+VLOOKUP(VLOOKUP($B110,test!$A$2:$I$32,4,FALSE),test!$J$10:$P$14,6,FALSE))/1440),1,0)</f>
        <v>1</v>
      </c>
      <c r="I110" s="2">
        <f>IF(AND(VLOOKUP(I$1,test!$A$3:$F$32,5,FALSE) - VLOOKUP($B110,test!$A$3:$G$32,6,FALSE) &gt;= (test!$B$36+VLOOKUP(VLOOKUP($B110,test!$A$2:$I$32,4,FALSE),test!$J$10:$P$14,6,FALSE))/1440),1,0)</f>
        <v>1</v>
      </c>
      <c r="J110" s="2">
        <f>IF(AND(VLOOKUP(J$1,test!$A$3:$F$32,5,FALSE) - VLOOKUP($B110,test!$A$3:$G$32,6,FALSE) &gt;= (test!$B$36+VLOOKUP(VLOOKUP($B110,test!$A$2:$I$32,4,FALSE),test!$J$10:$P$14,6,FALSE))/1440),1,0)</f>
        <v>1</v>
      </c>
      <c r="K110" s="2">
        <f>IF(AND(VLOOKUP(K$1,test!$A$3:$F$32,5,FALSE) - VLOOKUP($B110,test!$A$3:$G$32,6,FALSE) &gt;= (test!$B$36+VLOOKUP(VLOOKUP($B110,test!$A$2:$I$32,4,FALSE),test!$J$10:$P$14,6,FALSE))/1440),1,0)</f>
        <v>1</v>
      </c>
      <c r="L110" s="2">
        <f>IF(AND(VLOOKUP(L$1,test!$A$3:$F$32,5,FALSE) - VLOOKUP($B110,test!$A$3:$G$32,6,FALSE) &gt;= (test!$B$36+VLOOKUP(VLOOKUP($B110,test!$A$2:$I$32,4,FALSE),test!$J$10:$P$14,6,FALSE))/1440),1,0)</f>
        <v>0</v>
      </c>
      <c r="M110" s="2">
        <f>IF(AND(VLOOKUP(M$1,test!$A$3:$F$32,5,FALSE) - VLOOKUP($B110,test!$A$3:$G$32,6,FALSE) &gt;= (test!$B$36+VLOOKUP(VLOOKUP($B110,test!$A$2:$I$32,4,FALSE),test!$J$10:$P$14,6,FALSE))/1440),1,0)</f>
        <v>0</v>
      </c>
      <c r="N110" s="2">
        <f>IF(AND(VLOOKUP(N$1,test!$A$3:$F$32,5,FALSE) - VLOOKUP($B110,test!$A$3:$G$32,6,FALSE) &gt;= (test!$B$36+VLOOKUP(VLOOKUP($B110,test!$A$2:$I$32,4,FALSE),test!$J$10:$P$14,6,FALSE))/1440),1,0)</f>
        <v>0</v>
      </c>
      <c r="O110" s="2">
        <f>IF(AND(VLOOKUP(O$1,test!$A$3:$F$32,5,FALSE) - VLOOKUP($B110,test!$A$3:$G$32,6,FALSE) &gt;= (test!$B$36+VLOOKUP(VLOOKUP($B110,test!$A$2:$I$32,4,FALSE),test!$J$10:$P$14,6,FALSE))/1440),1,0)</f>
        <v>1</v>
      </c>
      <c r="P110" s="2">
        <f>IF(AND(VLOOKUP(P$1,test!$A$3:$F$32,5,FALSE) - VLOOKUP($B110,test!$A$3:$G$32,6,FALSE) &gt;= (test!$B$36+VLOOKUP(VLOOKUP($B110,test!$A$2:$I$32,4,FALSE),test!$J$10:$P$14,6,FALSE))/1440),1,0)</f>
        <v>1</v>
      </c>
      <c r="Q110" s="2">
        <f>IF(AND(VLOOKUP(Q$1,test!$A$3:$F$32,5,FALSE) - VLOOKUP($B110,test!$A$3:$G$32,6,FALSE) &gt;= (test!$B$36+VLOOKUP(VLOOKUP($B110,test!$A$2:$I$32,4,FALSE),test!$J$10:$P$14,6,FALSE))/1440),1,0)</f>
        <v>0</v>
      </c>
      <c r="R110" s="2">
        <f>IF(AND(VLOOKUP(R$1,test!$A$3:$F$32,5,FALSE) - VLOOKUP($B110,test!$A$3:$G$32,6,FALSE) &gt;= (test!$B$36+VLOOKUP(VLOOKUP($B110,test!$A$2:$I$32,4,FALSE),test!$J$10:$P$14,6,FALSE))/1440),1,0)</f>
        <v>0</v>
      </c>
      <c r="S110" s="2">
        <f>IF(AND(VLOOKUP(S$1,test!$A$3:$F$32,5,FALSE) - VLOOKUP($B110,test!$A$3:$G$32,6,FALSE) &gt;= (test!$B$36+VLOOKUP(VLOOKUP($B110,test!$A$2:$I$32,4,FALSE),test!$J$10:$P$14,6,FALSE))/1440),1,0)</f>
        <v>0</v>
      </c>
      <c r="T110" s="2">
        <f>IF(AND(VLOOKUP(T$1,test!$A$3:$F$32,5,FALSE) - VLOOKUP($B110,test!$A$3:$G$32,6,FALSE) &gt;= (test!$B$36+VLOOKUP(VLOOKUP($B110,test!$A$2:$I$32,4,FALSE),test!$J$10:$P$14,6,FALSE))/1440),1,0)</f>
        <v>0</v>
      </c>
      <c r="U110" s="2">
        <f>IF(AND(VLOOKUP(U$1,test!$A$3:$F$32,5,FALSE) - VLOOKUP($B110,test!$A$3:$G$32,6,FALSE) &gt;= (test!$B$36+VLOOKUP(VLOOKUP($B110,test!$A$2:$I$32,4,FALSE),test!$J$10:$P$14,6,FALSE))/1440),1,0)</f>
        <v>0</v>
      </c>
      <c r="V110" s="2">
        <f>IF(AND(VLOOKUP(V$1,test!$A$3:$F$32,5,FALSE) - VLOOKUP($B110,test!$A$3:$G$32,6,FALSE) &gt;= (test!$B$36+VLOOKUP(VLOOKUP($B110,test!$A$2:$I$32,4,FALSE),test!$J$10:$P$14,6,FALSE))/1440),1,0)</f>
        <v>1</v>
      </c>
      <c r="W110" s="2">
        <f>IF(AND(VLOOKUP(W$1,test!$A$3:$F$32,5,FALSE) - VLOOKUP($B110,test!$A$3:$G$32,6,FALSE) &gt;= (test!$B$36+VLOOKUP(VLOOKUP($B110,test!$A$2:$I$32,4,FALSE),test!$J$10:$P$14,6,FALSE))/1440),1,0)</f>
        <v>1</v>
      </c>
      <c r="X110" s="2">
        <f>IF(AND(VLOOKUP(X$1,test!$A$3:$F$32,5,FALSE) - VLOOKUP($B110,test!$A$3:$G$32,6,FALSE) &gt;= (test!$B$36+VLOOKUP(VLOOKUP($B110,test!$A$2:$I$32,4,FALSE),test!$J$10:$P$14,6,FALSE))/1440),1,0)</f>
        <v>1</v>
      </c>
      <c r="Y110" s="2">
        <f>IF(AND(VLOOKUP(Y$1,test!$A$3:$F$32,5,FALSE) - VLOOKUP($B110,test!$A$3:$G$32,6,FALSE) &gt;= (test!$B$36+VLOOKUP(VLOOKUP($B110,test!$A$2:$I$32,4,FALSE),test!$J$10:$P$14,6,FALSE))/1440),1,0)</f>
        <v>1</v>
      </c>
      <c r="Z110" s="2">
        <f>IF(AND(VLOOKUP(Z$1,test!$A$3:$F$32,5,FALSE) - VLOOKUP($B110,test!$A$3:$G$32,6,FALSE) &gt;= (test!$B$36+VLOOKUP(VLOOKUP($B110,test!$A$2:$I$32,4,FALSE),test!$J$10:$P$14,6,FALSE))/1440),1,0)</f>
        <v>0</v>
      </c>
      <c r="AA110" s="2">
        <f>IF(AND(VLOOKUP(AA$1,test!$A$3:$F$32,5,FALSE) - VLOOKUP($B110,test!$A$3:$G$32,6,FALSE) &gt;= (test!$B$36+VLOOKUP(VLOOKUP($B110,test!$A$2:$I$32,4,FALSE),test!$J$10:$P$14,6,FALSE))/1440),1,0)</f>
        <v>0</v>
      </c>
      <c r="AB110" s="2">
        <f>IF(AND(VLOOKUP(AB$1,test!$A$3:$F$32,5,FALSE) - VLOOKUP($B110,test!$A$3:$G$32,6,FALSE) &gt;= (test!$B$36+VLOOKUP(VLOOKUP($B110,test!$A$2:$I$32,4,FALSE),test!$J$10:$P$14,6,FALSE))/1440),1,0)</f>
        <v>0</v>
      </c>
      <c r="AC110" s="2">
        <f>IF(AND(VLOOKUP(AC$1,test!$A$3:$F$32,5,FALSE) - VLOOKUP($B110,test!$A$3:$G$32,6,FALSE) &gt;= (test!$B$36+VLOOKUP(VLOOKUP($B110,test!$A$2:$I$32,4,FALSE),test!$J$10:$P$14,6,FALSE))/1440),1,0)</f>
        <v>1</v>
      </c>
      <c r="AD110" s="2">
        <f>IF(AND(VLOOKUP(AD$1,test!$A$3:$F$32,5,FALSE) - VLOOKUP($B110,test!$A$3:$G$32,6,FALSE) &gt;= (test!$B$36+VLOOKUP(VLOOKUP($B110,test!$A$2:$I$32,4,FALSE),test!$J$10:$P$14,6,FALSE))/1440),1,0)</f>
        <v>1</v>
      </c>
      <c r="AE110" s="2">
        <f>IF(AND(VLOOKUP(AE$1,test!$A$3:$F$32,5,FALSE) - VLOOKUP($B110,test!$A$3:$G$32,6,FALSE) &gt;= (test!$B$36+VLOOKUP(VLOOKUP($B110,test!$A$2:$I$32,4,FALSE),test!$J$10:$P$14,6,FALSE))/1440),1,0)</f>
        <v>0</v>
      </c>
      <c r="AF110" s="2">
        <f>IF(AND(VLOOKUP(AF$1,test!$A$3:$F$32,5,FALSE) - VLOOKUP($B110,test!$A$3:$G$32,6,FALSE) &gt;= (test!$B$36+VLOOKUP(VLOOKUP($B110,test!$A$2:$I$32,4,FALSE),test!$J$10:$P$14,6,FALSE))/1440),1,0)</f>
        <v>0</v>
      </c>
      <c r="AG110" s="2">
        <f>IF(AND(VLOOKUP(AG$1,test!$A$3:$F$32,5,FALSE) - VLOOKUP($B110,test!$A$3:$G$32,6,FALSE) &gt;= (test!$B$36+VLOOKUP(VLOOKUP($B110,test!$A$2:$I$32,4,FALSE),test!$J$10:$P$14,6,FALSE))/1440),1,0)</f>
        <v>0</v>
      </c>
    </row>
    <row r="111" spans="1:33" x14ac:dyDescent="0.25">
      <c r="A111" t="s">
        <v>98</v>
      </c>
      <c r="B111" t="s">
        <v>27</v>
      </c>
      <c r="C111">
        <v>0</v>
      </c>
      <c r="D111" s="2">
        <f>IF(AND(VLOOKUP(D$1,test!$A$3:$F$32,5,FALSE) - VLOOKUP($B111,test!$A$3:$G$32,6,FALSE) &gt;= (test!$B$36+VLOOKUP(VLOOKUP($B111,test!$A$2:$I$32,4,FALSE),test!$J$10:$P$14,6,FALSE))/1440),1,0)</f>
        <v>0</v>
      </c>
      <c r="E111" s="2">
        <f>IF(AND(VLOOKUP(E$1,test!$A$3:$F$32,5,FALSE) - VLOOKUP($B111,test!$A$3:$G$32,6,FALSE) &gt;= (test!$B$36+VLOOKUP(VLOOKUP($B111,test!$A$2:$I$32,4,FALSE),test!$J$10:$P$14,6,FALSE))/1440),1,0)</f>
        <v>0</v>
      </c>
      <c r="F111" s="2">
        <f>IF(AND(VLOOKUP(F$1,test!$A$3:$F$32,5,FALSE) - VLOOKUP($B111,test!$A$3:$G$32,6,FALSE) &gt;= (test!$B$36+VLOOKUP(VLOOKUP($B111,test!$A$2:$I$32,4,FALSE),test!$J$10:$P$14,6,FALSE))/1440),1,0)</f>
        <v>0</v>
      </c>
      <c r="G111" s="2">
        <f>IF(AND(VLOOKUP(G$1,test!$A$3:$F$32,5,FALSE) - VLOOKUP($B111,test!$A$3:$G$32,6,FALSE) &gt;= (test!$B$36+VLOOKUP(VLOOKUP($B111,test!$A$2:$I$32,4,FALSE),test!$J$10:$P$14,6,FALSE))/1440),1,0)</f>
        <v>0</v>
      </c>
      <c r="H111" s="2">
        <f>IF(AND(VLOOKUP(H$1,test!$A$3:$F$32,5,FALSE) - VLOOKUP($B111,test!$A$3:$G$32,6,FALSE) &gt;= (test!$B$36+VLOOKUP(VLOOKUP($B111,test!$A$2:$I$32,4,FALSE),test!$J$10:$P$14,6,FALSE))/1440),1,0)</f>
        <v>1</v>
      </c>
      <c r="I111" s="2">
        <f>IF(AND(VLOOKUP(I$1,test!$A$3:$F$32,5,FALSE) - VLOOKUP($B111,test!$A$3:$G$32,6,FALSE) &gt;= (test!$B$36+VLOOKUP(VLOOKUP($B111,test!$A$2:$I$32,4,FALSE),test!$J$10:$P$14,6,FALSE))/1440),1,0)</f>
        <v>1</v>
      </c>
      <c r="J111" s="2">
        <f>IF(AND(VLOOKUP(J$1,test!$A$3:$F$32,5,FALSE) - VLOOKUP($B111,test!$A$3:$G$32,6,FALSE) &gt;= (test!$B$36+VLOOKUP(VLOOKUP($B111,test!$A$2:$I$32,4,FALSE),test!$J$10:$P$14,6,FALSE))/1440),1,0)</f>
        <v>1</v>
      </c>
      <c r="K111" s="2">
        <f>IF(AND(VLOOKUP(K$1,test!$A$3:$F$32,5,FALSE) - VLOOKUP($B111,test!$A$3:$G$32,6,FALSE) &gt;= (test!$B$36+VLOOKUP(VLOOKUP($B111,test!$A$2:$I$32,4,FALSE),test!$J$10:$P$14,6,FALSE))/1440),1,0)</f>
        <v>1</v>
      </c>
      <c r="L111" s="2">
        <f>IF(AND(VLOOKUP(L$1,test!$A$3:$F$32,5,FALSE) - VLOOKUP($B111,test!$A$3:$G$32,6,FALSE) &gt;= (test!$B$36+VLOOKUP(VLOOKUP($B111,test!$A$2:$I$32,4,FALSE),test!$J$10:$P$14,6,FALSE))/1440),1,0)</f>
        <v>0</v>
      </c>
      <c r="M111" s="2">
        <f>IF(AND(VLOOKUP(M$1,test!$A$3:$F$32,5,FALSE) - VLOOKUP($B111,test!$A$3:$G$32,6,FALSE) &gt;= (test!$B$36+VLOOKUP(VLOOKUP($B111,test!$A$2:$I$32,4,FALSE),test!$J$10:$P$14,6,FALSE))/1440),1,0)</f>
        <v>0</v>
      </c>
      <c r="N111" s="2">
        <f>IF(AND(VLOOKUP(N$1,test!$A$3:$F$32,5,FALSE) - VLOOKUP($B111,test!$A$3:$G$32,6,FALSE) &gt;= (test!$B$36+VLOOKUP(VLOOKUP($B111,test!$A$2:$I$32,4,FALSE),test!$J$10:$P$14,6,FALSE))/1440),1,0)</f>
        <v>0</v>
      </c>
      <c r="O111" s="2">
        <f>IF(AND(VLOOKUP(O$1,test!$A$3:$F$32,5,FALSE) - VLOOKUP($B111,test!$A$3:$G$32,6,FALSE) &gt;= (test!$B$36+VLOOKUP(VLOOKUP($B111,test!$A$2:$I$32,4,FALSE),test!$J$10:$P$14,6,FALSE))/1440),1,0)</f>
        <v>1</v>
      </c>
      <c r="P111" s="2">
        <f>IF(AND(VLOOKUP(P$1,test!$A$3:$F$32,5,FALSE) - VLOOKUP($B111,test!$A$3:$G$32,6,FALSE) &gt;= (test!$B$36+VLOOKUP(VLOOKUP($B111,test!$A$2:$I$32,4,FALSE),test!$J$10:$P$14,6,FALSE))/1440),1,0)</f>
        <v>1</v>
      </c>
      <c r="Q111" s="2">
        <f>IF(AND(VLOOKUP(Q$1,test!$A$3:$F$32,5,FALSE) - VLOOKUP($B111,test!$A$3:$G$32,6,FALSE) &gt;= (test!$B$36+VLOOKUP(VLOOKUP($B111,test!$A$2:$I$32,4,FALSE),test!$J$10:$P$14,6,FALSE))/1440),1,0)</f>
        <v>0</v>
      </c>
      <c r="R111" s="2">
        <f>IF(AND(VLOOKUP(R$1,test!$A$3:$F$32,5,FALSE) - VLOOKUP($B111,test!$A$3:$G$32,6,FALSE) &gt;= (test!$B$36+VLOOKUP(VLOOKUP($B111,test!$A$2:$I$32,4,FALSE),test!$J$10:$P$14,6,FALSE))/1440),1,0)</f>
        <v>0</v>
      </c>
      <c r="S111" s="2">
        <f>IF(AND(VLOOKUP(S$1,test!$A$3:$F$32,5,FALSE) - VLOOKUP($B111,test!$A$3:$G$32,6,FALSE) &gt;= (test!$B$36+VLOOKUP(VLOOKUP($B111,test!$A$2:$I$32,4,FALSE),test!$J$10:$P$14,6,FALSE))/1440),1,0)</f>
        <v>0</v>
      </c>
      <c r="T111" s="2">
        <f>IF(AND(VLOOKUP(T$1,test!$A$3:$F$32,5,FALSE) - VLOOKUP($B111,test!$A$3:$G$32,6,FALSE) &gt;= (test!$B$36+VLOOKUP(VLOOKUP($B111,test!$A$2:$I$32,4,FALSE),test!$J$10:$P$14,6,FALSE))/1440),1,0)</f>
        <v>0</v>
      </c>
      <c r="U111" s="2">
        <f>IF(AND(VLOOKUP(U$1,test!$A$3:$F$32,5,FALSE) - VLOOKUP($B111,test!$A$3:$G$32,6,FALSE) &gt;= (test!$B$36+VLOOKUP(VLOOKUP($B111,test!$A$2:$I$32,4,FALSE),test!$J$10:$P$14,6,FALSE))/1440),1,0)</f>
        <v>0</v>
      </c>
      <c r="V111" s="2">
        <f>IF(AND(VLOOKUP(V$1,test!$A$3:$F$32,5,FALSE) - VLOOKUP($B111,test!$A$3:$G$32,6,FALSE) &gt;= (test!$B$36+VLOOKUP(VLOOKUP($B111,test!$A$2:$I$32,4,FALSE),test!$J$10:$P$14,6,FALSE))/1440),1,0)</f>
        <v>0</v>
      </c>
      <c r="W111" s="2">
        <f>IF(AND(VLOOKUP(W$1,test!$A$3:$F$32,5,FALSE) - VLOOKUP($B111,test!$A$3:$G$32,6,FALSE) &gt;= (test!$B$36+VLOOKUP(VLOOKUP($B111,test!$A$2:$I$32,4,FALSE),test!$J$10:$P$14,6,FALSE))/1440),1,0)</f>
        <v>1</v>
      </c>
      <c r="X111" s="2">
        <f>IF(AND(VLOOKUP(X$1,test!$A$3:$F$32,5,FALSE) - VLOOKUP($B111,test!$A$3:$G$32,6,FALSE) &gt;= (test!$B$36+VLOOKUP(VLOOKUP($B111,test!$A$2:$I$32,4,FALSE),test!$J$10:$P$14,6,FALSE))/1440),1,0)</f>
        <v>1</v>
      </c>
      <c r="Y111" s="2">
        <f>IF(AND(VLOOKUP(Y$1,test!$A$3:$F$32,5,FALSE) - VLOOKUP($B111,test!$A$3:$G$32,6,FALSE) &gt;= (test!$B$36+VLOOKUP(VLOOKUP($B111,test!$A$2:$I$32,4,FALSE),test!$J$10:$P$14,6,FALSE))/1440),1,0)</f>
        <v>1</v>
      </c>
      <c r="Z111" s="2">
        <f>IF(AND(VLOOKUP(Z$1,test!$A$3:$F$32,5,FALSE) - VLOOKUP($B111,test!$A$3:$G$32,6,FALSE) &gt;= (test!$B$36+VLOOKUP(VLOOKUP($B111,test!$A$2:$I$32,4,FALSE),test!$J$10:$P$14,6,FALSE))/1440),1,0)</f>
        <v>0</v>
      </c>
      <c r="AA111" s="2">
        <f>IF(AND(VLOOKUP(AA$1,test!$A$3:$F$32,5,FALSE) - VLOOKUP($B111,test!$A$3:$G$32,6,FALSE) &gt;= (test!$B$36+VLOOKUP(VLOOKUP($B111,test!$A$2:$I$32,4,FALSE),test!$J$10:$P$14,6,FALSE))/1440),1,0)</f>
        <v>0</v>
      </c>
      <c r="AB111" s="2">
        <f>IF(AND(VLOOKUP(AB$1,test!$A$3:$F$32,5,FALSE) - VLOOKUP($B111,test!$A$3:$G$32,6,FALSE) &gt;= (test!$B$36+VLOOKUP(VLOOKUP($B111,test!$A$2:$I$32,4,FALSE),test!$J$10:$P$14,6,FALSE))/1440),1,0)</f>
        <v>0</v>
      </c>
      <c r="AC111" s="2">
        <f>IF(AND(VLOOKUP(AC$1,test!$A$3:$F$32,5,FALSE) - VLOOKUP($B111,test!$A$3:$G$32,6,FALSE) &gt;= (test!$B$36+VLOOKUP(VLOOKUP($B111,test!$A$2:$I$32,4,FALSE),test!$J$10:$P$14,6,FALSE))/1440),1,0)</f>
        <v>0</v>
      </c>
      <c r="AD111" s="2">
        <f>IF(AND(VLOOKUP(AD$1,test!$A$3:$F$32,5,FALSE) - VLOOKUP($B111,test!$A$3:$G$32,6,FALSE) &gt;= (test!$B$36+VLOOKUP(VLOOKUP($B111,test!$A$2:$I$32,4,FALSE),test!$J$10:$P$14,6,FALSE))/1440),1,0)</f>
        <v>1</v>
      </c>
      <c r="AE111" s="2">
        <f>IF(AND(VLOOKUP(AE$1,test!$A$3:$F$32,5,FALSE) - VLOOKUP($B111,test!$A$3:$G$32,6,FALSE) &gt;= (test!$B$36+VLOOKUP(VLOOKUP($B111,test!$A$2:$I$32,4,FALSE),test!$J$10:$P$14,6,FALSE))/1440),1,0)</f>
        <v>0</v>
      </c>
      <c r="AF111" s="2">
        <f>IF(AND(VLOOKUP(AF$1,test!$A$3:$F$32,5,FALSE) - VLOOKUP($B111,test!$A$3:$G$32,6,FALSE) &gt;= (test!$B$36+VLOOKUP(VLOOKUP($B111,test!$A$2:$I$32,4,FALSE),test!$J$10:$P$14,6,FALSE))/1440),1,0)</f>
        <v>0</v>
      </c>
      <c r="AG111" s="2">
        <f>IF(AND(VLOOKUP(AG$1,test!$A$3:$F$32,5,FALSE) - VLOOKUP($B111,test!$A$3:$G$32,6,FALSE) &gt;= (test!$B$36+VLOOKUP(VLOOKUP($B111,test!$A$2:$I$32,4,FALSE),test!$J$10:$P$14,6,FALSE))/1440),1,0)</f>
        <v>0</v>
      </c>
    </row>
    <row r="112" spans="1:33" x14ac:dyDescent="0.25">
      <c r="A112" t="s">
        <v>98</v>
      </c>
      <c r="B112" t="s">
        <v>28</v>
      </c>
      <c r="C112">
        <v>0</v>
      </c>
      <c r="D112" s="2">
        <f>IF(AND(VLOOKUP(D$1,test!$A$3:$F$32,5,FALSE) - VLOOKUP($B112,test!$A$3:$G$32,6,FALSE) &gt;= (test!$B$36+VLOOKUP(VLOOKUP($B112,test!$A$2:$I$32,4,FALSE),test!$J$10:$P$14,6,FALSE))/1440),1,0)</f>
        <v>0</v>
      </c>
      <c r="E112" s="2">
        <f>IF(AND(VLOOKUP(E$1,test!$A$3:$F$32,5,FALSE) - VLOOKUP($B112,test!$A$3:$G$32,6,FALSE) &gt;= (test!$B$36+VLOOKUP(VLOOKUP($B112,test!$A$2:$I$32,4,FALSE),test!$J$10:$P$14,6,FALSE))/1440),1,0)</f>
        <v>0</v>
      </c>
      <c r="F112" s="2">
        <f>IF(AND(VLOOKUP(F$1,test!$A$3:$F$32,5,FALSE) - VLOOKUP($B112,test!$A$3:$G$32,6,FALSE) &gt;= (test!$B$36+VLOOKUP(VLOOKUP($B112,test!$A$2:$I$32,4,FALSE),test!$J$10:$P$14,6,FALSE))/1440),1,0)</f>
        <v>0</v>
      </c>
      <c r="G112" s="2">
        <f>IF(AND(VLOOKUP(G$1,test!$A$3:$F$32,5,FALSE) - VLOOKUP($B112,test!$A$3:$G$32,6,FALSE) &gt;= (test!$B$36+VLOOKUP(VLOOKUP($B112,test!$A$2:$I$32,4,FALSE),test!$J$10:$P$14,6,FALSE))/1440),1,0)</f>
        <v>0</v>
      </c>
      <c r="H112" s="2">
        <f>IF(AND(VLOOKUP(H$1,test!$A$3:$F$32,5,FALSE) - VLOOKUP($B112,test!$A$3:$G$32,6,FALSE) &gt;= (test!$B$36+VLOOKUP(VLOOKUP($B112,test!$A$2:$I$32,4,FALSE),test!$J$10:$P$14,6,FALSE))/1440),1,0)</f>
        <v>0</v>
      </c>
      <c r="I112" s="2">
        <f>IF(AND(VLOOKUP(I$1,test!$A$3:$F$32,5,FALSE) - VLOOKUP($B112,test!$A$3:$G$32,6,FALSE) &gt;= (test!$B$36+VLOOKUP(VLOOKUP($B112,test!$A$2:$I$32,4,FALSE),test!$J$10:$P$14,6,FALSE))/1440),1,0)</f>
        <v>0</v>
      </c>
      <c r="J112" s="2">
        <f>IF(AND(VLOOKUP(J$1,test!$A$3:$F$32,5,FALSE) - VLOOKUP($B112,test!$A$3:$G$32,6,FALSE) &gt;= (test!$B$36+VLOOKUP(VLOOKUP($B112,test!$A$2:$I$32,4,FALSE),test!$J$10:$P$14,6,FALSE))/1440),1,0)</f>
        <v>1</v>
      </c>
      <c r="K112" s="2">
        <f>IF(AND(VLOOKUP(K$1,test!$A$3:$F$32,5,FALSE) - VLOOKUP($B112,test!$A$3:$G$32,6,FALSE) &gt;= (test!$B$36+VLOOKUP(VLOOKUP($B112,test!$A$2:$I$32,4,FALSE),test!$J$10:$P$14,6,FALSE))/1440),1,0)</f>
        <v>1</v>
      </c>
      <c r="L112" s="2">
        <f>IF(AND(VLOOKUP(L$1,test!$A$3:$F$32,5,FALSE) - VLOOKUP($B112,test!$A$3:$G$32,6,FALSE) &gt;= (test!$B$36+VLOOKUP(VLOOKUP($B112,test!$A$2:$I$32,4,FALSE),test!$J$10:$P$14,6,FALSE))/1440),1,0)</f>
        <v>0</v>
      </c>
      <c r="M112" s="2">
        <f>IF(AND(VLOOKUP(M$1,test!$A$3:$F$32,5,FALSE) - VLOOKUP($B112,test!$A$3:$G$32,6,FALSE) &gt;= (test!$B$36+VLOOKUP(VLOOKUP($B112,test!$A$2:$I$32,4,FALSE),test!$J$10:$P$14,6,FALSE))/1440),1,0)</f>
        <v>0</v>
      </c>
      <c r="N112" s="2">
        <f>IF(AND(VLOOKUP(N$1,test!$A$3:$F$32,5,FALSE) - VLOOKUP($B112,test!$A$3:$G$32,6,FALSE) &gt;= (test!$B$36+VLOOKUP(VLOOKUP($B112,test!$A$2:$I$32,4,FALSE),test!$J$10:$P$14,6,FALSE))/1440),1,0)</f>
        <v>0</v>
      </c>
      <c r="O112" s="2">
        <f>IF(AND(VLOOKUP(O$1,test!$A$3:$F$32,5,FALSE) - VLOOKUP($B112,test!$A$3:$G$32,6,FALSE) &gt;= (test!$B$36+VLOOKUP(VLOOKUP($B112,test!$A$2:$I$32,4,FALSE),test!$J$10:$P$14,6,FALSE))/1440),1,0)</f>
        <v>1</v>
      </c>
      <c r="P112" s="2">
        <f>IF(AND(VLOOKUP(P$1,test!$A$3:$F$32,5,FALSE) - VLOOKUP($B112,test!$A$3:$G$32,6,FALSE) &gt;= (test!$B$36+VLOOKUP(VLOOKUP($B112,test!$A$2:$I$32,4,FALSE),test!$J$10:$P$14,6,FALSE))/1440),1,0)</f>
        <v>1</v>
      </c>
      <c r="Q112" s="2">
        <f>IF(AND(VLOOKUP(Q$1,test!$A$3:$F$32,5,FALSE) - VLOOKUP($B112,test!$A$3:$G$32,6,FALSE) &gt;= (test!$B$36+VLOOKUP(VLOOKUP($B112,test!$A$2:$I$32,4,FALSE),test!$J$10:$P$14,6,FALSE))/1440),1,0)</f>
        <v>0</v>
      </c>
      <c r="R112" s="2">
        <f>IF(AND(VLOOKUP(R$1,test!$A$3:$F$32,5,FALSE) - VLOOKUP($B112,test!$A$3:$G$32,6,FALSE) &gt;= (test!$B$36+VLOOKUP(VLOOKUP($B112,test!$A$2:$I$32,4,FALSE),test!$J$10:$P$14,6,FALSE))/1440),1,0)</f>
        <v>0</v>
      </c>
      <c r="S112" s="2">
        <f>IF(AND(VLOOKUP(S$1,test!$A$3:$F$32,5,FALSE) - VLOOKUP($B112,test!$A$3:$G$32,6,FALSE) &gt;= (test!$B$36+VLOOKUP(VLOOKUP($B112,test!$A$2:$I$32,4,FALSE),test!$J$10:$P$14,6,FALSE))/1440),1,0)</f>
        <v>0</v>
      </c>
      <c r="T112" s="2">
        <f>IF(AND(VLOOKUP(T$1,test!$A$3:$F$32,5,FALSE) - VLOOKUP($B112,test!$A$3:$G$32,6,FALSE) &gt;= (test!$B$36+VLOOKUP(VLOOKUP($B112,test!$A$2:$I$32,4,FALSE),test!$J$10:$P$14,6,FALSE))/1440),1,0)</f>
        <v>0</v>
      </c>
      <c r="U112" s="2">
        <f>IF(AND(VLOOKUP(U$1,test!$A$3:$F$32,5,FALSE) - VLOOKUP($B112,test!$A$3:$G$32,6,FALSE) &gt;= (test!$B$36+VLOOKUP(VLOOKUP($B112,test!$A$2:$I$32,4,FALSE),test!$J$10:$P$14,6,FALSE))/1440),1,0)</f>
        <v>0</v>
      </c>
      <c r="V112" s="2">
        <f>IF(AND(VLOOKUP(V$1,test!$A$3:$F$32,5,FALSE) - VLOOKUP($B112,test!$A$3:$G$32,6,FALSE) &gt;= (test!$B$36+VLOOKUP(VLOOKUP($B112,test!$A$2:$I$32,4,FALSE),test!$J$10:$P$14,6,FALSE))/1440),1,0)</f>
        <v>0</v>
      </c>
      <c r="W112" s="2">
        <f>IF(AND(VLOOKUP(W$1,test!$A$3:$F$32,5,FALSE) - VLOOKUP($B112,test!$A$3:$G$32,6,FALSE) &gt;= (test!$B$36+VLOOKUP(VLOOKUP($B112,test!$A$2:$I$32,4,FALSE),test!$J$10:$P$14,6,FALSE))/1440),1,0)</f>
        <v>0</v>
      </c>
      <c r="X112" s="2">
        <f>IF(AND(VLOOKUP(X$1,test!$A$3:$F$32,5,FALSE) - VLOOKUP($B112,test!$A$3:$G$32,6,FALSE) &gt;= (test!$B$36+VLOOKUP(VLOOKUP($B112,test!$A$2:$I$32,4,FALSE),test!$J$10:$P$14,6,FALSE))/1440),1,0)</f>
        <v>1</v>
      </c>
      <c r="Y112" s="2">
        <f>IF(AND(VLOOKUP(Y$1,test!$A$3:$F$32,5,FALSE) - VLOOKUP($B112,test!$A$3:$G$32,6,FALSE) &gt;= (test!$B$36+VLOOKUP(VLOOKUP($B112,test!$A$2:$I$32,4,FALSE),test!$J$10:$P$14,6,FALSE))/1440),1,0)</f>
        <v>1</v>
      </c>
      <c r="Z112" s="2">
        <f>IF(AND(VLOOKUP(Z$1,test!$A$3:$F$32,5,FALSE) - VLOOKUP($B112,test!$A$3:$G$32,6,FALSE) &gt;= (test!$B$36+VLOOKUP(VLOOKUP($B112,test!$A$2:$I$32,4,FALSE),test!$J$10:$P$14,6,FALSE))/1440),1,0)</f>
        <v>0</v>
      </c>
      <c r="AA112" s="2">
        <f>IF(AND(VLOOKUP(AA$1,test!$A$3:$F$32,5,FALSE) - VLOOKUP($B112,test!$A$3:$G$32,6,FALSE) &gt;= (test!$B$36+VLOOKUP(VLOOKUP($B112,test!$A$2:$I$32,4,FALSE),test!$J$10:$P$14,6,FALSE))/1440),1,0)</f>
        <v>0</v>
      </c>
      <c r="AB112" s="2">
        <f>IF(AND(VLOOKUP(AB$1,test!$A$3:$F$32,5,FALSE) - VLOOKUP($B112,test!$A$3:$G$32,6,FALSE) &gt;= (test!$B$36+VLOOKUP(VLOOKUP($B112,test!$A$2:$I$32,4,FALSE),test!$J$10:$P$14,6,FALSE))/1440),1,0)</f>
        <v>0</v>
      </c>
      <c r="AC112" s="2">
        <f>IF(AND(VLOOKUP(AC$1,test!$A$3:$F$32,5,FALSE) - VLOOKUP($B112,test!$A$3:$G$32,6,FALSE) &gt;= (test!$B$36+VLOOKUP(VLOOKUP($B112,test!$A$2:$I$32,4,FALSE),test!$J$10:$P$14,6,FALSE))/1440),1,0)</f>
        <v>0</v>
      </c>
      <c r="AD112" s="2">
        <f>IF(AND(VLOOKUP(AD$1,test!$A$3:$F$32,5,FALSE) - VLOOKUP($B112,test!$A$3:$G$32,6,FALSE) &gt;= (test!$B$36+VLOOKUP(VLOOKUP($B112,test!$A$2:$I$32,4,FALSE),test!$J$10:$P$14,6,FALSE))/1440),1,0)</f>
        <v>0</v>
      </c>
      <c r="AE112" s="2">
        <f>IF(AND(VLOOKUP(AE$1,test!$A$3:$F$32,5,FALSE) - VLOOKUP($B112,test!$A$3:$G$32,6,FALSE) &gt;= (test!$B$36+VLOOKUP(VLOOKUP($B112,test!$A$2:$I$32,4,FALSE),test!$J$10:$P$14,6,FALSE))/1440),1,0)</f>
        <v>0</v>
      </c>
      <c r="AF112" s="2">
        <f>IF(AND(VLOOKUP(AF$1,test!$A$3:$F$32,5,FALSE) - VLOOKUP($B112,test!$A$3:$G$32,6,FALSE) &gt;= (test!$B$36+VLOOKUP(VLOOKUP($B112,test!$A$2:$I$32,4,FALSE),test!$J$10:$P$14,6,FALSE))/1440),1,0)</f>
        <v>0</v>
      </c>
      <c r="AG112" s="2">
        <f>IF(AND(VLOOKUP(AG$1,test!$A$3:$F$32,5,FALSE) - VLOOKUP($B112,test!$A$3:$G$32,6,FALSE) &gt;= (test!$B$36+VLOOKUP(VLOOKUP($B112,test!$A$2:$I$32,4,FALSE),test!$J$10:$P$14,6,FALSE))/1440),1,0)</f>
        <v>0</v>
      </c>
    </row>
    <row r="113" spans="1:33" x14ac:dyDescent="0.25">
      <c r="A113" t="s">
        <v>98</v>
      </c>
      <c r="B113" t="s">
        <v>29</v>
      </c>
      <c r="C113">
        <v>0</v>
      </c>
      <c r="D113" s="2">
        <f>IF(AND(VLOOKUP(D$1,test!$A$3:$F$32,5,FALSE) - VLOOKUP($B113,test!$A$3:$G$32,6,FALSE) &gt;= (test!$B$36+VLOOKUP(VLOOKUP($B113,test!$A$2:$I$32,4,FALSE),test!$J$10:$P$14,6,FALSE))/1440),1,0)</f>
        <v>0</v>
      </c>
      <c r="E113" s="2">
        <f>IF(AND(VLOOKUP(E$1,test!$A$3:$F$32,5,FALSE) - VLOOKUP($B113,test!$A$3:$G$32,6,FALSE) &gt;= (test!$B$36+VLOOKUP(VLOOKUP($B113,test!$A$2:$I$32,4,FALSE),test!$J$10:$P$14,6,FALSE))/1440),1,0)</f>
        <v>0</v>
      </c>
      <c r="F113" s="2">
        <f>IF(AND(VLOOKUP(F$1,test!$A$3:$F$32,5,FALSE) - VLOOKUP($B113,test!$A$3:$G$32,6,FALSE) &gt;= (test!$B$36+VLOOKUP(VLOOKUP($B113,test!$A$2:$I$32,4,FALSE),test!$J$10:$P$14,6,FALSE))/1440),1,0)</f>
        <v>0</v>
      </c>
      <c r="G113" s="2">
        <f>IF(AND(VLOOKUP(G$1,test!$A$3:$F$32,5,FALSE) - VLOOKUP($B113,test!$A$3:$G$32,6,FALSE) &gt;= (test!$B$36+VLOOKUP(VLOOKUP($B113,test!$A$2:$I$32,4,FALSE),test!$J$10:$P$14,6,FALSE))/1440),1,0)</f>
        <v>0</v>
      </c>
      <c r="H113" s="2">
        <f>IF(AND(VLOOKUP(H$1,test!$A$3:$F$32,5,FALSE) - VLOOKUP($B113,test!$A$3:$G$32,6,FALSE) &gt;= (test!$B$36+VLOOKUP(VLOOKUP($B113,test!$A$2:$I$32,4,FALSE),test!$J$10:$P$14,6,FALSE))/1440),1,0)</f>
        <v>0</v>
      </c>
      <c r="I113" s="2">
        <f>IF(AND(VLOOKUP(I$1,test!$A$3:$F$32,5,FALSE) - VLOOKUP($B113,test!$A$3:$G$32,6,FALSE) &gt;= (test!$B$36+VLOOKUP(VLOOKUP($B113,test!$A$2:$I$32,4,FALSE),test!$J$10:$P$14,6,FALSE))/1440),1,0)</f>
        <v>0</v>
      </c>
      <c r="J113" s="2">
        <f>IF(AND(VLOOKUP(J$1,test!$A$3:$F$32,5,FALSE) - VLOOKUP($B113,test!$A$3:$G$32,6,FALSE) &gt;= (test!$B$36+VLOOKUP(VLOOKUP($B113,test!$A$2:$I$32,4,FALSE),test!$J$10:$P$14,6,FALSE))/1440),1,0)</f>
        <v>0</v>
      </c>
      <c r="K113" s="2">
        <f>IF(AND(VLOOKUP(K$1,test!$A$3:$F$32,5,FALSE) - VLOOKUP($B113,test!$A$3:$G$32,6,FALSE) &gt;= (test!$B$36+VLOOKUP(VLOOKUP($B113,test!$A$2:$I$32,4,FALSE),test!$J$10:$P$14,6,FALSE))/1440),1,0)</f>
        <v>1</v>
      </c>
      <c r="L113" s="2">
        <f>IF(AND(VLOOKUP(L$1,test!$A$3:$F$32,5,FALSE) - VLOOKUP($B113,test!$A$3:$G$32,6,FALSE) &gt;= (test!$B$36+VLOOKUP(VLOOKUP($B113,test!$A$2:$I$32,4,FALSE),test!$J$10:$P$14,6,FALSE))/1440),1,0)</f>
        <v>0</v>
      </c>
      <c r="M113" s="2">
        <f>IF(AND(VLOOKUP(M$1,test!$A$3:$F$32,5,FALSE) - VLOOKUP($B113,test!$A$3:$G$32,6,FALSE) &gt;= (test!$B$36+VLOOKUP(VLOOKUP($B113,test!$A$2:$I$32,4,FALSE),test!$J$10:$P$14,6,FALSE))/1440),1,0)</f>
        <v>0</v>
      </c>
      <c r="N113" s="2">
        <f>IF(AND(VLOOKUP(N$1,test!$A$3:$F$32,5,FALSE) - VLOOKUP($B113,test!$A$3:$G$32,6,FALSE) &gt;= (test!$B$36+VLOOKUP(VLOOKUP($B113,test!$A$2:$I$32,4,FALSE),test!$J$10:$P$14,6,FALSE))/1440),1,0)</f>
        <v>0</v>
      </c>
      <c r="O113" s="2">
        <f>IF(AND(VLOOKUP(O$1,test!$A$3:$F$32,5,FALSE) - VLOOKUP($B113,test!$A$3:$G$32,6,FALSE) &gt;= (test!$B$36+VLOOKUP(VLOOKUP($B113,test!$A$2:$I$32,4,FALSE),test!$J$10:$P$14,6,FALSE))/1440),1,0)</f>
        <v>1</v>
      </c>
      <c r="P113" s="2">
        <f>IF(AND(VLOOKUP(P$1,test!$A$3:$F$32,5,FALSE) - VLOOKUP($B113,test!$A$3:$G$32,6,FALSE) &gt;= (test!$B$36+VLOOKUP(VLOOKUP($B113,test!$A$2:$I$32,4,FALSE),test!$J$10:$P$14,6,FALSE))/1440),1,0)</f>
        <v>1</v>
      </c>
      <c r="Q113" s="2">
        <f>IF(AND(VLOOKUP(Q$1,test!$A$3:$F$32,5,FALSE) - VLOOKUP($B113,test!$A$3:$G$32,6,FALSE) &gt;= (test!$B$36+VLOOKUP(VLOOKUP($B113,test!$A$2:$I$32,4,FALSE),test!$J$10:$P$14,6,FALSE))/1440),1,0)</f>
        <v>0</v>
      </c>
      <c r="R113" s="2">
        <f>IF(AND(VLOOKUP(R$1,test!$A$3:$F$32,5,FALSE) - VLOOKUP($B113,test!$A$3:$G$32,6,FALSE) &gt;= (test!$B$36+VLOOKUP(VLOOKUP($B113,test!$A$2:$I$32,4,FALSE),test!$J$10:$P$14,6,FALSE))/1440),1,0)</f>
        <v>0</v>
      </c>
      <c r="S113" s="2">
        <f>IF(AND(VLOOKUP(S$1,test!$A$3:$F$32,5,FALSE) - VLOOKUP($B113,test!$A$3:$G$32,6,FALSE) &gt;= (test!$B$36+VLOOKUP(VLOOKUP($B113,test!$A$2:$I$32,4,FALSE),test!$J$10:$P$14,6,FALSE))/1440),1,0)</f>
        <v>0</v>
      </c>
      <c r="T113" s="2">
        <f>IF(AND(VLOOKUP(T$1,test!$A$3:$F$32,5,FALSE) - VLOOKUP($B113,test!$A$3:$G$32,6,FALSE) &gt;= (test!$B$36+VLOOKUP(VLOOKUP($B113,test!$A$2:$I$32,4,FALSE),test!$J$10:$P$14,6,FALSE))/1440),1,0)</f>
        <v>0</v>
      </c>
      <c r="U113" s="2">
        <f>IF(AND(VLOOKUP(U$1,test!$A$3:$F$32,5,FALSE) - VLOOKUP($B113,test!$A$3:$G$32,6,FALSE) &gt;= (test!$B$36+VLOOKUP(VLOOKUP($B113,test!$A$2:$I$32,4,FALSE),test!$J$10:$P$14,6,FALSE))/1440),1,0)</f>
        <v>0</v>
      </c>
      <c r="V113" s="2">
        <f>IF(AND(VLOOKUP(V$1,test!$A$3:$F$32,5,FALSE) - VLOOKUP($B113,test!$A$3:$G$32,6,FALSE) &gt;= (test!$B$36+VLOOKUP(VLOOKUP($B113,test!$A$2:$I$32,4,FALSE),test!$J$10:$P$14,6,FALSE))/1440),1,0)</f>
        <v>0</v>
      </c>
      <c r="W113" s="2">
        <f>IF(AND(VLOOKUP(W$1,test!$A$3:$F$32,5,FALSE) - VLOOKUP($B113,test!$A$3:$G$32,6,FALSE) &gt;= (test!$B$36+VLOOKUP(VLOOKUP($B113,test!$A$2:$I$32,4,FALSE),test!$J$10:$P$14,6,FALSE))/1440),1,0)</f>
        <v>0</v>
      </c>
      <c r="X113" s="2">
        <f>IF(AND(VLOOKUP(X$1,test!$A$3:$F$32,5,FALSE) - VLOOKUP($B113,test!$A$3:$G$32,6,FALSE) &gt;= (test!$B$36+VLOOKUP(VLOOKUP($B113,test!$A$2:$I$32,4,FALSE),test!$J$10:$P$14,6,FALSE))/1440),1,0)</f>
        <v>0</v>
      </c>
      <c r="Y113" s="2">
        <f>IF(AND(VLOOKUP(Y$1,test!$A$3:$F$32,5,FALSE) - VLOOKUP($B113,test!$A$3:$G$32,6,FALSE) &gt;= (test!$B$36+VLOOKUP(VLOOKUP($B113,test!$A$2:$I$32,4,FALSE),test!$J$10:$P$14,6,FALSE))/1440),1,0)</f>
        <v>0</v>
      </c>
      <c r="Z113" s="2">
        <f>IF(AND(VLOOKUP(Z$1,test!$A$3:$F$32,5,FALSE) - VLOOKUP($B113,test!$A$3:$G$32,6,FALSE) &gt;= (test!$B$36+VLOOKUP(VLOOKUP($B113,test!$A$2:$I$32,4,FALSE),test!$J$10:$P$14,6,FALSE))/1440),1,0)</f>
        <v>0</v>
      </c>
      <c r="AA113" s="2">
        <f>IF(AND(VLOOKUP(AA$1,test!$A$3:$F$32,5,FALSE) - VLOOKUP($B113,test!$A$3:$G$32,6,FALSE) &gt;= (test!$B$36+VLOOKUP(VLOOKUP($B113,test!$A$2:$I$32,4,FALSE),test!$J$10:$P$14,6,FALSE))/1440),1,0)</f>
        <v>0</v>
      </c>
      <c r="AB113" s="2">
        <f>IF(AND(VLOOKUP(AB$1,test!$A$3:$F$32,5,FALSE) - VLOOKUP($B113,test!$A$3:$G$32,6,FALSE) &gt;= (test!$B$36+VLOOKUP(VLOOKUP($B113,test!$A$2:$I$32,4,FALSE),test!$J$10:$P$14,6,FALSE))/1440),1,0)</f>
        <v>0</v>
      </c>
      <c r="AC113" s="2">
        <f>IF(AND(VLOOKUP(AC$1,test!$A$3:$F$32,5,FALSE) - VLOOKUP($B113,test!$A$3:$G$32,6,FALSE) &gt;= (test!$B$36+VLOOKUP(VLOOKUP($B113,test!$A$2:$I$32,4,FALSE),test!$J$10:$P$14,6,FALSE))/1440),1,0)</f>
        <v>0</v>
      </c>
      <c r="AD113" s="2">
        <f>IF(AND(VLOOKUP(AD$1,test!$A$3:$F$32,5,FALSE) - VLOOKUP($B113,test!$A$3:$G$32,6,FALSE) &gt;= (test!$B$36+VLOOKUP(VLOOKUP($B113,test!$A$2:$I$32,4,FALSE),test!$J$10:$P$14,6,FALSE))/1440),1,0)</f>
        <v>0</v>
      </c>
      <c r="AE113" s="2">
        <f>IF(AND(VLOOKUP(AE$1,test!$A$3:$F$32,5,FALSE) - VLOOKUP($B113,test!$A$3:$G$32,6,FALSE) &gt;= (test!$B$36+VLOOKUP(VLOOKUP($B113,test!$A$2:$I$32,4,FALSE),test!$J$10:$P$14,6,FALSE))/1440),1,0)</f>
        <v>0</v>
      </c>
      <c r="AF113" s="2">
        <f>IF(AND(VLOOKUP(AF$1,test!$A$3:$F$32,5,FALSE) - VLOOKUP($B113,test!$A$3:$G$32,6,FALSE) &gt;= (test!$B$36+VLOOKUP(VLOOKUP($B113,test!$A$2:$I$32,4,FALSE),test!$J$10:$P$14,6,FALSE))/1440),1,0)</f>
        <v>0</v>
      </c>
      <c r="AG113" s="2">
        <f>IF(AND(VLOOKUP(AG$1,test!$A$3:$F$32,5,FALSE) - VLOOKUP($B113,test!$A$3:$G$32,6,FALSE) &gt;= (test!$B$36+VLOOKUP(VLOOKUP($B113,test!$A$2:$I$32,4,FALSE),test!$J$10:$P$14,6,FALSE))/1440),1,0)</f>
        <v>0</v>
      </c>
    </row>
    <row r="114" spans="1:33" x14ac:dyDescent="0.25">
      <c r="A114" t="s">
        <v>98</v>
      </c>
      <c r="B114" t="s">
        <v>30</v>
      </c>
      <c r="C114">
        <v>0</v>
      </c>
      <c r="D114" s="2">
        <f>IF(AND(VLOOKUP(D$1,test!$A$3:$F$32,5,FALSE) - VLOOKUP($B114,test!$A$3:$G$32,6,FALSE) &gt;= (test!$B$36+VLOOKUP(VLOOKUP($B114,test!$A$2:$I$32,4,FALSE),test!$J$10:$P$14,6,FALSE))/1440),1,0)</f>
        <v>0</v>
      </c>
      <c r="E114" s="2">
        <f>IF(AND(VLOOKUP(E$1,test!$A$3:$F$32,5,FALSE) - VLOOKUP($B114,test!$A$3:$G$32,6,FALSE) &gt;= (test!$B$36+VLOOKUP(VLOOKUP($B114,test!$A$2:$I$32,4,FALSE),test!$J$10:$P$14,6,FALSE))/1440),1,0)</f>
        <v>0</v>
      </c>
      <c r="F114" s="2">
        <f>IF(AND(VLOOKUP(F$1,test!$A$3:$F$32,5,FALSE) - VLOOKUP($B114,test!$A$3:$G$32,6,FALSE) &gt;= (test!$B$36+VLOOKUP(VLOOKUP($B114,test!$A$2:$I$32,4,FALSE),test!$J$10:$P$14,6,FALSE))/1440),1,0)</f>
        <v>0</v>
      </c>
      <c r="G114" s="2">
        <f>IF(AND(VLOOKUP(G$1,test!$A$3:$F$32,5,FALSE) - VLOOKUP($B114,test!$A$3:$G$32,6,FALSE) &gt;= (test!$B$36+VLOOKUP(VLOOKUP($B114,test!$A$2:$I$32,4,FALSE),test!$J$10:$P$14,6,FALSE))/1440),1,0)</f>
        <v>0</v>
      </c>
      <c r="H114" s="2">
        <f>IF(AND(VLOOKUP(H$1,test!$A$3:$F$32,5,FALSE) - VLOOKUP($B114,test!$A$3:$G$32,6,FALSE) &gt;= (test!$B$36+VLOOKUP(VLOOKUP($B114,test!$A$2:$I$32,4,FALSE),test!$J$10:$P$14,6,FALSE))/1440),1,0)</f>
        <v>0</v>
      </c>
      <c r="I114" s="2">
        <f>IF(AND(VLOOKUP(I$1,test!$A$3:$F$32,5,FALSE) - VLOOKUP($B114,test!$A$3:$G$32,6,FALSE) &gt;= (test!$B$36+VLOOKUP(VLOOKUP($B114,test!$A$2:$I$32,4,FALSE),test!$J$10:$P$14,6,FALSE))/1440),1,0)</f>
        <v>0</v>
      </c>
      <c r="J114" s="2">
        <f>IF(AND(VLOOKUP(J$1,test!$A$3:$F$32,5,FALSE) - VLOOKUP($B114,test!$A$3:$G$32,6,FALSE) &gt;= (test!$B$36+VLOOKUP(VLOOKUP($B114,test!$A$2:$I$32,4,FALSE),test!$J$10:$P$14,6,FALSE))/1440),1,0)</f>
        <v>0</v>
      </c>
      <c r="K114" s="2">
        <f>IF(AND(VLOOKUP(K$1,test!$A$3:$F$32,5,FALSE) - VLOOKUP($B114,test!$A$3:$G$32,6,FALSE) &gt;= (test!$B$36+VLOOKUP(VLOOKUP($B114,test!$A$2:$I$32,4,FALSE),test!$J$10:$P$14,6,FALSE))/1440),1,0)</f>
        <v>0</v>
      </c>
      <c r="L114" s="2">
        <f>IF(AND(VLOOKUP(L$1,test!$A$3:$F$32,5,FALSE) - VLOOKUP($B114,test!$A$3:$G$32,6,FALSE) &gt;= (test!$B$36+VLOOKUP(VLOOKUP($B114,test!$A$2:$I$32,4,FALSE),test!$J$10:$P$14,6,FALSE))/1440),1,0)</f>
        <v>0</v>
      </c>
      <c r="M114" s="2">
        <f>IF(AND(VLOOKUP(M$1,test!$A$3:$F$32,5,FALSE) - VLOOKUP($B114,test!$A$3:$G$32,6,FALSE) &gt;= (test!$B$36+VLOOKUP(VLOOKUP($B114,test!$A$2:$I$32,4,FALSE),test!$J$10:$P$14,6,FALSE))/1440),1,0)</f>
        <v>0</v>
      </c>
      <c r="N114" s="2">
        <f>IF(AND(VLOOKUP(N$1,test!$A$3:$F$32,5,FALSE) - VLOOKUP($B114,test!$A$3:$G$32,6,FALSE) &gt;= (test!$B$36+VLOOKUP(VLOOKUP($B114,test!$A$2:$I$32,4,FALSE),test!$J$10:$P$14,6,FALSE))/1440),1,0)</f>
        <v>0</v>
      </c>
      <c r="O114" s="2">
        <f>IF(AND(VLOOKUP(O$1,test!$A$3:$F$32,5,FALSE) - VLOOKUP($B114,test!$A$3:$G$32,6,FALSE) &gt;= (test!$B$36+VLOOKUP(VLOOKUP($B114,test!$A$2:$I$32,4,FALSE),test!$J$10:$P$14,6,FALSE))/1440),1,0)</f>
        <v>0</v>
      </c>
      <c r="P114" s="2">
        <f>IF(AND(VLOOKUP(P$1,test!$A$3:$F$32,5,FALSE) - VLOOKUP($B114,test!$A$3:$G$32,6,FALSE) &gt;= (test!$B$36+VLOOKUP(VLOOKUP($B114,test!$A$2:$I$32,4,FALSE),test!$J$10:$P$14,6,FALSE))/1440),1,0)</f>
        <v>0</v>
      </c>
      <c r="Q114" s="2">
        <f>IF(AND(VLOOKUP(Q$1,test!$A$3:$F$32,5,FALSE) - VLOOKUP($B114,test!$A$3:$G$32,6,FALSE) &gt;= (test!$B$36+VLOOKUP(VLOOKUP($B114,test!$A$2:$I$32,4,FALSE),test!$J$10:$P$14,6,FALSE))/1440),1,0)</f>
        <v>0</v>
      </c>
      <c r="R114" s="2">
        <f>IF(AND(VLOOKUP(R$1,test!$A$3:$F$32,5,FALSE) - VLOOKUP($B114,test!$A$3:$G$32,6,FALSE) &gt;= (test!$B$36+VLOOKUP(VLOOKUP($B114,test!$A$2:$I$32,4,FALSE),test!$J$10:$P$14,6,FALSE))/1440),1,0)</f>
        <v>0</v>
      </c>
      <c r="S114" s="2">
        <f>IF(AND(VLOOKUP(S$1,test!$A$3:$F$32,5,FALSE) - VLOOKUP($B114,test!$A$3:$G$32,6,FALSE) &gt;= (test!$B$36+VLOOKUP(VLOOKUP($B114,test!$A$2:$I$32,4,FALSE),test!$J$10:$P$14,6,FALSE))/1440),1,0)</f>
        <v>0</v>
      </c>
      <c r="T114" s="2">
        <f>IF(AND(VLOOKUP(T$1,test!$A$3:$F$32,5,FALSE) - VLOOKUP($B114,test!$A$3:$G$32,6,FALSE) &gt;= (test!$B$36+VLOOKUP(VLOOKUP($B114,test!$A$2:$I$32,4,FALSE),test!$J$10:$P$14,6,FALSE))/1440),1,0)</f>
        <v>0</v>
      </c>
      <c r="U114" s="2">
        <f>IF(AND(VLOOKUP(U$1,test!$A$3:$F$32,5,FALSE) - VLOOKUP($B114,test!$A$3:$G$32,6,FALSE) &gt;= (test!$B$36+VLOOKUP(VLOOKUP($B114,test!$A$2:$I$32,4,FALSE),test!$J$10:$P$14,6,FALSE))/1440),1,0)</f>
        <v>0</v>
      </c>
      <c r="V114" s="2">
        <f>IF(AND(VLOOKUP(V$1,test!$A$3:$F$32,5,FALSE) - VLOOKUP($B114,test!$A$3:$G$32,6,FALSE) &gt;= (test!$B$36+VLOOKUP(VLOOKUP($B114,test!$A$2:$I$32,4,FALSE),test!$J$10:$P$14,6,FALSE))/1440),1,0)</f>
        <v>0</v>
      </c>
      <c r="W114" s="2">
        <f>IF(AND(VLOOKUP(W$1,test!$A$3:$F$32,5,FALSE) - VLOOKUP($B114,test!$A$3:$G$32,6,FALSE) &gt;= (test!$B$36+VLOOKUP(VLOOKUP($B114,test!$A$2:$I$32,4,FALSE),test!$J$10:$P$14,6,FALSE))/1440),1,0)</f>
        <v>0</v>
      </c>
      <c r="X114" s="2">
        <f>IF(AND(VLOOKUP(X$1,test!$A$3:$F$32,5,FALSE) - VLOOKUP($B114,test!$A$3:$G$32,6,FALSE) &gt;= (test!$B$36+VLOOKUP(VLOOKUP($B114,test!$A$2:$I$32,4,FALSE),test!$J$10:$P$14,6,FALSE))/1440),1,0)</f>
        <v>0</v>
      </c>
      <c r="Y114" s="2">
        <f>IF(AND(VLOOKUP(Y$1,test!$A$3:$F$32,5,FALSE) - VLOOKUP($B114,test!$A$3:$G$32,6,FALSE) &gt;= (test!$B$36+VLOOKUP(VLOOKUP($B114,test!$A$2:$I$32,4,FALSE),test!$J$10:$P$14,6,FALSE))/1440),1,0)</f>
        <v>0</v>
      </c>
      <c r="Z114" s="2">
        <f>IF(AND(VLOOKUP(Z$1,test!$A$3:$F$32,5,FALSE) - VLOOKUP($B114,test!$A$3:$G$32,6,FALSE) &gt;= (test!$B$36+VLOOKUP(VLOOKUP($B114,test!$A$2:$I$32,4,FALSE),test!$J$10:$P$14,6,FALSE))/1440),1,0)</f>
        <v>0</v>
      </c>
      <c r="AA114" s="2">
        <f>IF(AND(VLOOKUP(AA$1,test!$A$3:$F$32,5,FALSE) - VLOOKUP($B114,test!$A$3:$G$32,6,FALSE) &gt;= (test!$B$36+VLOOKUP(VLOOKUP($B114,test!$A$2:$I$32,4,FALSE),test!$J$10:$P$14,6,FALSE))/1440),1,0)</f>
        <v>0</v>
      </c>
      <c r="AB114" s="2">
        <f>IF(AND(VLOOKUP(AB$1,test!$A$3:$F$32,5,FALSE) - VLOOKUP($B114,test!$A$3:$G$32,6,FALSE) &gt;= (test!$B$36+VLOOKUP(VLOOKUP($B114,test!$A$2:$I$32,4,FALSE),test!$J$10:$P$14,6,FALSE))/1440),1,0)</f>
        <v>0</v>
      </c>
      <c r="AC114" s="2">
        <f>IF(AND(VLOOKUP(AC$1,test!$A$3:$F$32,5,FALSE) - VLOOKUP($B114,test!$A$3:$G$32,6,FALSE) &gt;= (test!$B$36+VLOOKUP(VLOOKUP($B114,test!$A$2:$I$32,4,FALSE),test!$J$10:$P$14,6,FALSE))/1440),1,0)</f>
        <v>0</v>
      </c>
      <c r="AD114" s="2">
        <f>IF(AND(VLOOKUP(AD$1,test!$A$3:$F$32,5,FALSE) - VLOOKUP($B114,test!$A$3:$G$32,6,FALSE) &gt;= (test!$B$36+VLOOKUP(VLOOKUP($B114,test!$A$2:$I$32,4,FALSE),test!$J$10:$P$14,6,FALSE))/1440),1,0)</f>
        <v>0</v>
      </c>
      <c r="AE114" s="2">
        <f>IF(AND(VLOOKUP(AE$1,test!$A$3:$F$32,5,FALSE) - VLOOKUP($B114,test!$A$3:$G$32,6,FALSE) &gt;= (test!$B$36+VLOOKUP(VLOOKUP($B114,test!$A$2:$I$32,4,FALSE),test!$J$10:$P$14,6,FALSE))/1440),1,0)</f>
        <v>0</v>
      </c>
      <c r="AF114" s="2">
        <f>IF(AND(VLOOKUP(AF$1,test!$A$3:$F$32,5,FALSE) - VLOOKUP($B114,test!$A$3:$G$32,6,FALSE) &gt;= (test!$B$36+VLOOKUP(VLOOKUP($B114,test!$A$2:$I$32,4,FALSE),test!$J$10:$P$14,6,FALSE))/1440),1,0)</f>
        <v>0</v>
      </c>
      <c r="AG114" s="2">
        <f>IF(AND(VLOOKUP(AG$1,test!$A$3:$F$32,5,FALSE) - VLOOKUP($B114,test!$A$3:$G$32,6,FALSE) &gt;= (test!$B$36+VLOOKUP(VLOOKUP($B114,test!$A$2:$I$32,4,FALSE),test!$J$10:$P$14,6,FALSE))/1440),1,0)</f>
        <v>0</v>
      </c>
    </row>
    <row r="115" spans="1:33" x14ac:dyDescent="0.25">
      <c r="A115" t="s">
        <v>98</v>
      </c>
      <c r="B115" t="s">
        <v>31</v>
      </c>
      <c r="C115">
        <v>0</v>
      </c>
      <c r="D115" s="2">
        <f>IF(AND(VLOOKUP(D$1,test!$A$3:$F$32,5,FALSE) - VLOOKUP($B115,test!$A$3:$G$32,6,FALSE) &gt;= (test!$B$36+VLOOKUP(VLOOKUP($B115,test!$A$2:$I$32,4,FALSE),test!$J$10:$P$14,6,FALSE))/1440),1,0)</f>
        <v>0</v>
      </c>
      <c r="E115" s="2">
        <f>IF(AND(VLOOKUP(E$1,test!$A$3:$F$32,5,FALSE) - VLOOKUP($B115,test!$A$3:$G$32,6,FALSE) &gt;= (test!$B$36+VLOOKUP(VLOOKUP($B115,test!$A$2:$I$32,4,FALSE),test!$J$10:$P$14,6,FALSE))/1440),1,0)</f>
        <v>0</v>
      </c>
      <c r="F115" s="2">
        <f>IF(AND(VLOOKUP(F$1,test!$A$3:$F$32,5,FALSE) - VLOOKUP($B115,test!$A$3:$G$32,6,FALSE) &gt;= (test!$B$36+VLOOKUP(VLOOKUP($B115,test!$A$2:$I$32,4,FALSE),test!$J$10:$P$14,6,FALSE))/1440),1,0)</f>
        <v>0</v>
      </c>
      <c r="G115" s="2">
        <f>IF(AND(VLOOKUP(G$1,test!$A$3:$F$32,5,FALSE) - VLOOKUP($B115,test!$A$3:$G$32,6,FALSE) &gt;= (test!$B$36+VLOOKUP(VLOOKUP($B115,test!$A$2:$I$32,4,FALSE),test!$J$10:$P$14,6,FALSE))/1440),1,0)</f>
        <v>0</v>
      </c>
      <c r="H115" s="2">
        <f>IF(AND(VLOOKUP(H$1,test!$A$3:$F$32,5,FALSE) - VLOOKUP($B115,test!$A$3:$G$32,6,FALSE) &gt;= (test!$B$36+VLOOKUP(VLOOKUP($B115,test!$A$2:$I$32,4,FALSE),test!$J$10:$P$14,6,FALSE))/1440),1,0)</f>
        <v>0</v>
      </c>
      <c r="I115" s="2">
        <f>IF(AND(VLOOKUP(I$1,test!$A$3:$F$32,5,FALSE) - VLOOKUP($B115,test!$A$3:$G$32,6,FALSE) &gt;= (test!$B$36+VLOOKUP(VLOOKUP($B115,test!$A$2:$I$32,4,FALSE),test!$J$10:$P$14,6,FALSE))/1440),1,0)</f>
        <v>0</v>
      </c>
      <c r="J115" s="2">
        <f>IF(AND(VLOOKUP(J$1,test!$A$3:$F$32,5,FALSE) - VLOOKUP($B115,test!$A$3:$G$32,6,FALSE) &gt;= (test!$B$36+VLOOKUP(VLOOKUP($B115,test!$A$2:$I$32,4,FALSE),test!$J$10:$P$14,6,FALSE))/1440),1,0)</f>
        <v>0</v>
      </c>
      <c r="K115" s="2">
        <f>IF(AND(VLOOKUP(K$1,test!$A$3:$F$32,5,FALSE) - VLOOKUP($B115,test!$A$3:$G$32,6,FALSE) &gt;= (test!$B$36+VLOOKUP(VLOOKUP($B115,test!$A$2:$I$32,4,FALSE),test!$J$10:$P$14,6,FALSE))/1440),1,0)</f>
        <v>0</v>
      </c>
      <c r="L115" s="2">
        <f>IF(AND(VLOOKUP(L$1,test!$A$3:$F$32,5,FALSE) - VLOOKUP($B115,test!$A$3:$G$32,6,FALSE) &gt;= (test!$B$36+VLOOKUP(VLOOKUP($B115,test!$A$2:$I$32,4,FALSE),test!$J$10:$P$14,6,FALSE))/1440),1,0)</f>
        <v>0</v>
      </c>
      <c r="M115" s="2">
        <f>IF(AND(VLOOKUP(M$1,test!$A$3:$F$32,5,FALSE) - VLOOKUP($B115,test!$A$3:$G$32,6,FALSE) &gt;= (test!$B$36+VLOOKUP(VLOOKUP($B115,test!$A$2:$I$32,4,FALSE),test!$J$10:$P$14,6,FALSE))/1440),1,0)</f>
        <v>0</v>
      </c>
      <c r="N115" s="2">
        <f>IF(AND(VLOOKUP(N$1,test!$A$3:$F$32,5,FALSE) - VLOOKUP($B115,test!$A$3:$G$32,6,FALSE) &gt;= (test!$B$36+VLOOKUP(VLOOKUP($B115,test!$A$2:$I$32,4,FALSE),test!$J$10:$P$14,6,FALSE))/1440),1,0)</f>
        <v>0</v>
      </c>
      <c r="O115" s="2">
        <f>IF(AND(VLOOKUP(O$1,test!$A$3:$F$32,5,FALSE) - VLOOKUP($B115,test!$A$3:$G$32,6,FALSE) &gt;= (test!$B$36+VLOOKUP(VLOOKUP($B115,test!$A$2:$I$32,4,FALSE),test!$J$10:$P$14,6,FALSE))/1440),1,0)</f>
        <v>0</v>
      </c>
      <c r="P115" s="2">
        <f>IF(AND(VLOOKUP(P$1,test!$A$3:$F$32,5,FALSE) - VLOOKUP($B115,test!$A$3:$G$32,6,FALSE) &gt;= (test!$B$36+VLOOKUP(VLOOKUP($B115,test!$A$2:$I$32,4,FALSE),test!$J$10:$P$14,6,FALSE))/1440),1,0)</f>
        <v>0</v>
      </c>
      <c r="Q115" s="2">
        <f>IF(AND(VLOOKUP(Q$1,test!$A$3:$F$32,5,FALSE) - VLOOKUP($B115,test!$A$3:$G$32,6,FALSE) &gt;= (test!$B$36+VLOOKUP(VLOOKUP($B115,test!$A$2:$I$32,4,FALSE),test!$J$10:$P$14,6,FALSE))/1440),1,0)</f>
        <v>0</v>
      </c>
      <c r="R115" s="2">
        <f>IF(AND(VLOOKUP(R$1,test!$A$3:$F$32,5,FALSE) - VLOOKUP($B115,test!$A$3:$G$32,6,FALSE) &gt;= (test!$B$36+VLOOKUP(VLOOKUP($B115,test!$A$2:$I$32,4,FALSE),test!$J$10:$P$14,6,FALSE))/1440),1,0)</f>
        <v>0</v>
      </c>
      <c r="S115" s="2">
        <f>IF(AND(VLOOKUP(S$1,test!$A$3:$F$32,5,FALSE) - VLOOKUP($B115,test!$A$3:$G$32,6,FALSE) &gt;= (test!$B$36+VLOOKUP(VLOOKUP($B115,test!$A$2:$I$32,4,FALSE),test!$J$10:$P$14,6,FALSE))/1440),1,0)</f>
        <v>0</v>
      </c>
      <c r="T115" s="2">
        <f>IF(AND(VLOOKUP(T$1,test!$A$3:$F$32,5,FALSE) - VLOOKUP($B115,test!$A$3:$G$32,6,FALSE) &gt;= (test!$B$36+VLOOKUP(VLOOKUP($B115,test!$A$2:$I$32,4,FALSE),test!$J$10:$P$14,6,FALSE))/1440),1,0)</f>
        <v>0</v>
      </c>
      <c r="U115" s="2">
        <f>IF(AND(VLOOKUP(U$1,test!$A$3:$F$32,5,FALSE) - VLOOKUP($B115,test!$A$3:$G$32,6,FALSE) &gt;= (test!$B$36+VLOOKUP(VLOOKUP($B115,test!$A$2:$I$32,4,FALSE),test!$J$10:$P$14,6,FALSE))/1440),1,0)</f>
        <v>0</v>
      </c>
      <c r="V115" s="2">
        <f>IF(AND(VLOOKUP(V$1,test!$A$3:$F$32,5,FALSE) - VLOOKUP($B115,test!$A$3:$G$32,6,FALSE) &gt;= (test!$B$36+VLOOKUP(VLOOKUP($B115,test!$A$2:$I$32,4,FALSE),test!$J$10:$P$14,6,FALSE))/1440),1,0)</f>
        <v>0</v>
      </c>
      <c r="W115" s="2">
        <f>IF(AND(VLOOKUP(W$1,test!$A$3:$F$32,5,FALSE) - VLOOKUP($B115,test!$A$3:$G$32,6,FALSE) &gt;= (test!$B$36+VLOOKUP(VLOOKUP($B115,test!$A$2:$I$32,4,FALSE),test!$J$10:$P$14,6,FALSE))/1440),1,0)</f>
        <v>0</v>
      </c>
      <c r="X115" s="2">
        <f>IF(AND(VLOOKUP(X$1,test!$A$3:$F$32,5,FALSE) - VLOOKUP($B115,test!$A$3:$G$32,6,FALSE) &gt;= (test!$B$36+VLOOKUP(VLOOKUP($B115,test!$A$2:$I$32,4,FALSE),test!$J$10:$P$14,6,FALSE))/1440),1,0)</f>
        <v>0</v>
      </c>
      <c r="Y115" s="2">
        <f>IF(AND(VLOOKUP(Y$1,test!$A$3:$F$32,5,FALSE) - VLOOKUP($B115,test!$A$3:$G$32,6,FALSE) &gt;= (test!$B$36+VLOOKUP(VLOOKUP($B115,test!$A$2:$I$32,4,FALSE),test!$J$10:$P$14,6,FALSE))/1440),1,0)</f>
        <v>0</v>
      </c>
      <c r="Z115" s="2">
        <f>IF(AND(VLOOKUP(Z$1,test!$A$3:$F$32,5,FALSE) - VLOOKUP($B115,test!$A$3:$G$32,6,FALSE) &gt;= (test!$B$36+VLOOKUP(VLOOKUP($B115,test!$A$2:$I$32,4,FALSE),test!$J$10:$P$14,6,FALSE))/1440),1,0)</f>
        <v>0</v>
      </c>
      <c r="AA115" s="2">
        <f>IF(AND(VLOOKUP(AA$1,test!$A$3:$F$32,5,FALSE) - VLOOKUP($B115,test!$A$3:$G$32,6,FALSE) &gt;= (test!$B$36+VLOOKUP(VLOOKUP($B115,test!$A$2:$I$32,4,FALSE),test!$J$10:$P$14,6,FALSE))/1440),1,0)</f>
        <v>0</v>
      </c>
      <c r="AB115" s="2">
        <f>IF(AND(VLOOKUP(AB$1,test!$A$3:$F$32,5,FALSE) - VLOOKUP($B115,test!$A$3:$G$32,6,FALSE) &gt;= (test!$B$36+VLOOKUP(VLOOKUP($B115,test!$A$2:$I$32,4,FALSE),test!$J$10:$P$14,6,FALSE))/1440),1,0)</f>
        <v>0</v>
      </c>
      <c r="AC115" s="2">
        <f>IF(AND(VLOOKUP(AC$1,test!$A$3:$F$32,5,FALSE) - VLOOKUP($B115,test!$A$3:$G$32,6,FALSE) &gt;= (test!$B$36+VLOOKUP(VLOOKUP($B115,test!$A$2:$I$32,4,FALSE),test!$J$10:$P$14,6,FALSE))/1440),1,0)</f>
        <v>0</v>
      </c>
      <c r="AD115" s="2">
        <f>IF(AND(VLOOKUP(AD$1,test!$A$3:$F$32,5,FALSE) - VLOOKUP($B115,test!$A$3:$G$32,6,FALSE) &gt;= (test!$B$36+VLOOKUP(VLOOKUP($B115,test!$A$2:$I$32,4,FALSE),test!$J$10:$P$14,6,FALSE))/1440),1,0)</f>
        <v>0</v>
      </c>
      <c r="AE115" s="2">
        <f>IF(AND(VLOOKUP(AE$1,test!$A$3:$F$32,5,FALSE) - VLOOKUP($B115,test!$A$3:$G$32,6,FALSE) &gt;= (test!$B$36+VLOOKUP(VLOOKUP($B115,test!$A$2:$I$32,4,FALSE),test!$J$10:$P$14,6,FALSE))/1440),1,0)</f>
        <v>0</v>
      </c>
      <c r="AF115" s="2">
        <f>IF(AND(VLOOKUP(AF$1,test!$A$3:$F$32,5,FALSE) - VLOOKUP($B115,test!$A$3:$G$32,6,FALSE) &gt;= (test!$B$36+VLOOKUP(VLOOKUP($B115,test!$A$2:$I$32,4,FALSE),test!$J$10:$P$14,6,FALSE))/1440),1,0)</f>
        <v>0</v>
      </c>
      <c r="AG115" s="2">
        <f>IF(AND(VLOOKUP(AG$1,test!$A$3:$F$32,5,FALSE) - VLOOKUP($B115,test!$A$3:$G$32,6,FALSE) &gt;= (test!$B$36+VLOOKUP(VLOOKUP($B115,test!$A$2:$I$32,4,FALSE),test!$J$10:$P$14,6,FALSE))/1440),1,0)</f>
        <v>0</v>
      </c>
    </row>
    <row r="116" spans="1:33" x14ac:dyDescent="0.25">
      <c r="A116" t="s">
        <v>98</v>
      </c>
      <c r="B116" t="s">
        <v>32</v>
      </c>
      <c r="C116">
        <v>0</v>
      </c>
      <c r="D116" s="2">
        <f>IF(AND(VLOOKUP(D$1,test!$A$3:$F$32,5,FALSE) - VLOOKUP($B116,test!$A$3:$G$32,6,FALSE) &gt;= (test!$B$36+VLOOKUP(VLOOKUP($B116,test!$A$2:$I$32,4,FALSE),test!$J$10:$P$14,6,FALSE))/1440),1,0)</f>
        <v>0</v>
      </c>
      <c r="E116" s="2">
        <f>IF(AND(VLOOKUP(E$1,test!$A$3:$F$32,5,FALSE) - VLOOKUP($B116,test!$A$3:$G$32,6,FALSE) &gt;= (test!$B$36+VLOOKUP(VLOOKUP($B116,test!$A$2:$I$32,4,FALSE),test!$J$10:$P$14,6,FALSE))/1440),1,0)</f>
        <v>0</v>
      </c>
      <c r="F116" s="2">
        <f>IF(AND(VLOOKUP(F$1,test!$A$3:$F$32,5,FALSE) - VLOOKUP($B116,test!$A$3:$G$32,6,FALSE) &gt;= (test!$B$36+VLOOKUP(VLOOKUP($B116,test!$A$2:$I$32,4,FALSE),test!$J$10:$P$14,6,FALSE))/1440),1,0)</f>
        <v>0</v>
      </c>
      <c r="G116" s="2">
        <f>IF(AND(VLOOKUP(G$1,test!$A$3:$F$32,5,FALSE) - VLOOKUP($B116,test!$A$3:$G$32,6,FALSE) &gt;= (test!$B$36+VLOOKUP(VLOOKUP($B116,test!$A$2:$I$32,4,FALSE),test!$J$10:$P$14,6,FALSE))/1440),1,0)</f>
        <v>0</v>
      </c>
      <c r="H116" s="2">
        <f>IF(AND(VLOOKUP(H$1,test!$A$3:$F$32,5,FALSE) - VLOOKUP($B116,test!$A$3:$G$32,6,FALSE) &gt;= (test!$B$36+VLOOKUP(VLOOKUP($B116,test!$A$2:$I$32,4,FALSE),test!$J$10:$P$14,6,FALSE))/1440),1,0)</f>
        <v>0</v>
      </c>
      <c r="I116" s="2">
        <f>IF(AND(VLOOKUP(I$1,test!$A$3:$F$32,5,FALSE) - VLOOKUP($B116,test!$A$3:$G$32,6,FALSE) &gt;= (test!$B$36+VLOOKUP(VLOOKUP($B116,test!$A$2:$I$32,4,FALSE),test!$J$10:$P$14,6,FALSE))/1440),1,0)</f>
        <v>0</v>
      </c>
      <c r="J116" s="2">
        <f>IF(AND(VLOOKUP(J$1,test!$A$3:$F$32,5,FALSE) - VLOOKUP($B116,test!$A$3:$G$32,6,FALSE) &gt;= (test!$B$36+VLOOKUP(VLOOKUP($B116,test!$A$2:$I$32,4,FALSE),test!$J$10:$P$14,6,FALSE))/1440),1,0)</f>
        <v>0</v>
      </c>
      <c r="K116" s="2">
        <f>IF(AND(VLOOKUP(K$1,test!$A$3:$F$32,5,FALSE) - VLOOKUP($B116,test!$A$3:$G$32,6,FALSE) &gt;= (test!$B$36+VLOOKUP(VLOOKUP($B116,test!$A$2:$I$32,4,FALSE),test!$J$10:$P$14,6,FALSE))/1440),1,0)</f>
        <v>0</v>
      </c>
      <c r="L116" s="2">
        <f>IF(AND(VLOOKUP(L$1,test!$A$3:$F$32,5,FALSE) - VLOOKUP($B116,test!$A$3:$G$32,6,FALSE) &gt;= (test!$B$36+VLOOKUP(VLOOKUP($B116,test!$A$2:$I$32,4,FALSE),test!$J$10:$P$14,6,FALSE))/1440),1,0)</f>
        <v>0</v>
      </c>
      <c r="M116" s="2">
        <f>IF(AND(VLOOKUP(M$1,test!$A$3:$F$32,5,FALSE) - VLOOKUP($B116,test!$A$3:$G$32,6,FALSE) &gt;= (test!$B$36+VLOOKUP(VLOOKUP($B116,test!$A$2:$I$32,4,FALSE),test!$J$10:$P$14,6,FALSE))/1440),1,0)</f>
        <v>0</v>
      </c>
      <c r="N116" s="2">
        <f>IF(AND(VLOOKUP(N$1,test!$A$3:$F$32,5,FALSE) - VLOOKUP($B116,test!$A$3:$G$32,6,FALSE) &gt;= (test!$B$36+VLOOKUP(VLOOKUP($B116,test!$A$2:$I$32,4,FALSE),test!$J$10:$P$14,6,FALSE))/1440),1,0)</f>
        <v>0</v>
      </c>
      <c r="O116" s="2">
        <f>IF(AND(VLOOKUP(O$1,test!$A$3:$F$32,5,FALSE) - VLOOKUP($B116,test!$A$3:$G$32,6,FALSE) &gt;= (test!$B$36+VLOOKUP(VLOOKUP($B116,test!$A$2:$I$32,4,FALSE),test!$J$10:$P$14,6,FALSE))/1440),1,0)</f>
        <v>0</v>
      </c>
      <c r="P116" s="2">
        <f>IF(AND(VLOOKUP(P$1,test!$A$3:$F$32,5,FALSE) - VLOOKUP($B116,test!$A$3:$G$32,6,FALSE) &gt;= (test!$B$36+VLOOKUP(VLOOKUP($B116,test!$A$2:$I$32,4,FALSE),test!$J$10:$P$14,6,FALSE))/1440),1,0)</f>
        <v>0</v>
      </c>
      <c r="Q116" s="2">
        <f>IF(AND(VLOOKUP(Q$1,test!$A$3:$F$32,5,FALSE) - VLOOKUP($B116,test!$A$3:$G$32,6,FALSE) &gt;= (test!$B$36+VLOOKUP(VLOOKUP($B116,test!$A$2:$I$32,4,FALSE),test!$J$10:$P$14,6,FALSE))/1440),1,0)</f>
        <v>0</v>
      </c>
      <c r="R116" s="2">
        <f>IF(AND(VLOOKUP(R$1,test!$A$3:$F$32,5,FALSE) - VLOOKUP($B116,test!$A$3:$G$32,6,FALSE) &gt;= (test!$B$36+VLOOKUP(VLOOKUP($B116,test!$A$2:$I$32,4,FALSE),test!$J$10:$P$14,6,FALSE))/1440),1,0)</f>
        <v>0</v>
      </c>
      <c r="S116" s="2">
        <f>IF(AND(VLOOKUP(S$1,test!$A$3:$F$32,5,FALSE) - VLOOKUP($B116,test!$A$3:$G$32,6,FALSE) &gt;= (test!$B$36+VLOOKUP(VLOOKUP($B116,test!$A$2:$I$32,4,FALSE),test!$J$10:$P$14,6,FALSE))/1440),1,0)</f>
        <v>0</v>
      </c>
      <c r="T116" s="2">
        <f>IF(AND(VLOOKUP(T$1,test!$A$3:$F$32,5,FALSE) - VLOOKUP($B116,test!$A$3:$G$32,6,FALSE) &gt;= (test!$B$36+VLOOKUP(VLOOKUP($B116,test!$A$2:$I$32,4,FALSE),test!$J$10:$P$14,6,FALSE))/1440),1,0)</f>
        <v>0</v>
      </c>
      <c r="U116" s="2">
        <f>IF(AND(VLOOKUP(U$1,test!$A$3:$F$32,5,FALSE) - VLOOKUP($B116,test!$A$3:$G$32,6,FALSE) &gt;= (test!$B$36+VLOOKUP(VLOOKUP($B116,test!$A$2:$I$32,4,FALSE),test!$J$10:$P$14,6,FALSE))/1440),1,0)</f>
        <v>0</v>
      </c>
      <c r="V116" s="2">
        <f>IF(AND(VLOOKUP(V$1,test!$A$3:$F$32,5,FALSE) - VLOOKUP($B116,test!$A$3:$G$32,6,FALSE) &gt;= (test!$B$36+VLOOKUP(VLOOKUP($B116,test!$A$2:$I$32,4,FALSE),test!$J$10:$P$14,6,FALSE))/1440),1,0)</f>
        <v>0</v>
      </c>
      <c r="W116" s="2">
        <f>IF(AND(VLOOKUP(W$1,test!$A$3:$F$32,5,FALSE) - VLOOKUP($B116,test!$A$3:$G$32,6,FALSE) &gt;= (test!$B$36+VLOOKUP(VLOOKUP($B116,test!$A$2:$I$32,4,FALSE),test!$J$10:$P$14,6,FALSE))/1440),1,0)</f>
        <v>0</v>
      </c>
      <c r="X116" s="2">
        <f>IF(AND(VLOOKUP(X$1,test!$A$3:$F$32,5,FALSE) - VLOOKUP($B116,test!$A$3:$G$32,6,FALSE) &gt;= (test!$B$36+VLOOKUP(VLOOKUP($B116,test!$A$2:$I$32,4,FALSE),test!$J$10:$P$14,6,FALSE))/1440),1,0)</f>
        <v>0</v>
      </c>
      <c r="Y116" s="2">
        <f>IF(AND(VLOOKUP(Y$1,test!$A$3:$F$32,5,FALSE) - VLOOKUP($B116,test!$A$3:$G$32,6,FALSE) &gt;= (test!$B$36+VLOOKUP(VLOOKUP($B116,test!$A$2:$I$32,4,FALSE),test!$J$10:$P$14,6,FALSE))/1440),1,0)</f>
        <v>0</v>
      </c>
      <c r="Z116" s="2">
        <f>IF(AND(VLOOKUP(Z$1,test!$A$3:$F$32,5,FALSE) - VLOOKUP($B116,test!$A$3:$G$32,6,FALSE) &gt;= (test!$B$36+VLOOKUP(VLOOKUP($B116,test!$A$2:$I$32,4,FALSE),test!$J$10:$P$14,6,FALSE))/1440),1,0)</f>
        <v>0</v>
      </c>
      <c r="AA116" s="2">
        <f>IF(AND(VLOOKUP(AA$1,test!$A$3:$F$32,5,FALSE) - VLOOKUP($B116,test!$A$3:$G$32,6,FALSE) &gt;= (test!$B$36+VLOOKUP(VLOOKUP($B116,test!$A$2:$I$32,4,FALSE),test!$J$10:$P$14,6,FALSE))/1440),1,0)</f>
        <v>0</v>
      </c>
      <c r="AB116" s="2">
        <f>IF(AND(VLOOKUP(AB$1,test!$A$3:$F$32,5,FALSE) - VLOOKUP($B116,test!$A$3:$G$32,6,FALSE) &gt;= (test!$B$36+VLOOKUP(VLOOKUP($B116,test!$A$2:$I$32,4,FALSE),test!$J$10:$P$14,6,FALSE))/1440),1,0)</f>
        <v>0</v>
      </c>
      <c r="AC116" s="2">
        <f>IF(AND(VLOOKUP(AC$1,test!$A$3:$F$32,5,FALSE) - VLOOKUP($B116,test!$A$3:$G$32,6,FALSE) &gt;= (test!$B$36+VLOOKUP(VLOOKUP($B116,test!$A$2:$I$32,4,FALSE),test!$J$10:$P$14,6,FALSE))/1440),1,0)</f>
        <v>0</v>
      </c>
      <c r="AD116" s="2">
        <f>IF(AND(VLOOKUP(AD$1,test!$A$3:$F$32,5,FALSE) - VLOOKUP($B116,test!$A$3:$G$32,6,FALSE) &gt;= (test!$B$36+VLOOKUP(VLOOKUP($B116,test!$A$2:$I$32,4,FALSE),test!$J$10:$P$14,6,FALSE))/1440),1,0)</f>
        <v>0</v>
      </c>
      <c r="AE116" s="2">
        <f>IF(AND(VLOOKUP(AE$1,test!$A$3:$F$32,5,FALSE) - VLOOKUP($B116,test!$A$3:$G$32,6,FALSE) &gt;= (test!$B$36+VLOOKUP(VLOOKUP($B116,test!$A$2:$I$32,4,FALSE),test!$J$10:$P$14,6,FALSE))/1440),1,0)</f>
        <v>0</v>
      </c>
      <c r="AF116" s="2">
        <f>IF(AND(VLOOKUP(AF$1,test!$A$3:$F$32,5,FALSE) - VLOOKUP($B116,test!$A$3:$G$32,6,FALSE) &gt;= (test!$B$36+VLOOKUP(VLOOKUP($B116,test!$A$2:$I$32,4,FALSE),test!$J$10:$P$14,6,FALSE))/1440),1,0)</f>
        <v>0</v>
      </c>
      <c r="AG116" s="2">
        <f>IF(AND(VLOOKUP(AG$1,test!$A$3:$F$32,5,FALSE) - VLOOKUP($B116,test!$A$3:$G$32,6,FALSE) &gt;= (test!$B$36+VLOOKUP(VLOOKUP($B116,test!$A$2:$I$32,4,FALSE),test!$J$10:$P$14,6,FALSE))/1440),1,0)</f>
        <v>0</v>
      </c>
    </row>
    <row r="117" spans="1:33" x14ac:dyDescent="0.25">
      <c r="A117" t="s">
        <v>98</v>
      </c>
      <c r="B117" t="s">
        <v>33</v>
      </c>
      <c r="C117">
        <v>0</v>
      </c>
      <c r="D117" s="2">
        <f>IF(AND(VLOOKUP(D$1,test!$A$3:$F$32,5,FALSE) - VLOOKUP($B117,test!$A$3:$G$32,6,FALSE) &gt;= (test!$B$36+VLOOKUP(VLOOKUP($B117,test!$A$2:$I$32,4,FALSE),test!$J$10:$P$14,6,FALSE))/1440),1,0)</f>
        <v>0</v>
      </c>
      <c r="E117" s="2">
        <f>IF(AND(VLOOKUP(E$1,test!$A$3:$F$32,5,FALSE) - VLOOKUP($B117,test!$A$3:$G$32,6,FALSE) &gt;= (test!$B$36+VLOOKUP(VLOOKUP($B117,test!$A$2:$I$32,4,FALSE),test!$J$10:$P$14,6,FALSE))/1440),1,0)</f>
        <v>0</v>
      </c>
      <c r="F117" s="2">
        <f>IF(AND(VLOOKUP(F$1,test!$A$3:$F$32,5,FALSE) - VLOOKUP($B117,test!$A$3:$G$32,6,FALSE) &gt;= (test!$B$36+VLOOKUP(VLOOKUP($B117,test!$A$2:$I$32,4,FALSE),test!$J$10:$P$14,6,FALSE))/1440),1,0)</f>
        <v>0</v>
      </c>
      <c r="G117" s="2">
        <f>IF(AND(VLOOKUP(G$1,test!$A$3:$F$32,5,FALSE) - VLOOKUP($B117,test!$A$3:$G$32,6,FALSE) &gt;= (test!$B$36+VLOOKUP(VLOOKUP($B117,test!$A$2:$I$32,4,FALSE),test!$J$10:$P$14,6,FALSE))/1440),1,0)</f>
        <v>0</v>
      </c>
      <c r="H117" s="2">
        <f>IF(AND(VLOOKUP(H$1,test!$A$3:$F$32,5,FALSE) - VLOOKUP($B117,test!$A$3:$G$32,6,FALSE) &gt;= (test!$B$36+VLOOKUP(VLOOKUP($B117,test!$A$2:$I$32,4,FALSE),test!$J$10:$P$14,6,FALSE))/1440),1,0)</f>
        <v>0</v>
      </c>
      <c r="I117" s="2">
        <f>IF(AND(VLOOKUP(I$1,test!$A$3:$F$32,5,FALSE) - VLOOKUP($B117,test!$A$3:$G$32,6,FALSE) &gt;= (test!$B$36+VLOOKUP(VLOOKUP($B117,test!$A$2:$I$32,4,FALSE),test!$J$10:$P$14,6,FALSE))/1440),1,0)</f>
        <v>0</v>
      </c>
      <c r="J117" s="2">
        <f>IF(AND(VLOOKUP(J$1,test!$A$3:$F$32,5,FALSE) - VLOOKUP($B117,test!$A$3:$G$32,6,FALSE) &gt;= (test!$B$36+VLOOKUP(VLOOKUP($B117,test!$A$2:$I$32,4,FALSE),test!$J$10:$P$14,6,FALSE))/1440),1,0)</f>
        <v>0</v>
      </c>
      <c r="K117" s="2">
        <f>IF(AND(VLOOKUP(K$1,test!$A$3:$F$32,5,FALSE) - VLOOKUP($B117,test!$A$3:$G$32,6,FALSE) &gt;= (test!$B$36+VLOOKUP(VLOOKUP($B117,test!$A$2:$I$32,4,FALSE),test!$J$10:$P$14,6,FALSE))/1440),1,0)</f>
        <v>0</v>
      </c>
      <c r="L117" s="2">
        <f>IF(AND(VLOOKUP(L$1,test!$A$3:$F$32,5,FALSE) - VLOOKUP($B117,test!$A$3:$G$32,6,FALSE) &gt;= (test!$B$36+VLOOKUP(VLOOKUP($B117,test!$A$2:$I$32,4,FALSE),test!$J$10:$P$14,6,FALSE))/1440),1,0)</f>
        <v>0</v>
      </c>
      <c r="M117" s="2">
        <f>IF(AND(VLOOKUP(M$1,test!$A$3:$F$32,5,FALSE) - VLOOKUP($B117,test!$A$3:$G$32,6,FALSE) &gt;= (test!$B$36+VLOOKUP(VLOOKUP($B117,test!$A$2:$I$32,4,FALSE),test!$J$10:$P$14,6,FALSE))/1440),1,0)</f>
        <v>0</v>
      </c>
      <c r="N117" s="2">
        <f>IF(AND(VLOOKUP(N$1,test!$A$3:$F$32,5,FALSE) - VLOOKUP($B117,test!$A$3:$G$32,6,FALSE) &gt;= (test!$B$36+VLOOKUP(VLOOKUP($B117,test!$A$2:$I$32,4,FALSE),test!$J$10:$P$14,6,FALSE))/1440),1,0)</f>
        <v>0</v>
      </c>
      <c r="O117" s="2">
        <f>IF(AND(VLOOKUP(O$1,test!$A$3:$F$32,5,FALSE) - VLOOKUP($B117,test!$A$3:$G$32,6,FALSE) &gt;= (test!$B$36+VLOOKUP(VLOOKUP($B117,test!$A$2:$I$32,4,FALSE),test!$J$10:$P$14,6,FALSE))/1440),1,0)</f>
        <v>0</v>
      </c>
      <c r="P117" s="2">
        <f>IF(AND(VLOOKUP(P$1,test!$A$3:$F$32,5,FALSE) - VLOOKUP($B117,test!$A$3:$G$32,6,FALSE) &gt;= (test!$B$36+VLOOKUP(VLOOKUP($B117,test!$A$2:$I$32,4,FALSE),test!$J$10:$P$14,6,FALSE))/1440),1,0)</f>
        <v>0</v>
      </c>
      <c r="Q117" s="2">
        <f>IF(AND(VLOOKUP(Q$1,test!$A$3:$F$32,5,FALSE) - VLOOKUP($B117,test!$A$3:$G$32,6,FALSE) &gt;= (test!$B$36+VLOOKUP(VLOOKUP($B117,test!$A$2:$I$32,4,FALSE),test!$J$10:$P$14,6,FALSE))/1440),1,0)</f>
        <v>0</v>
      </c>
      <c r="R117" s="2">
        <f>IF(AND(VLOOKUP(R$1,test!$A$3:$F$32,5,FALSE) - VLOOKUP($B117,test!$A$3:$G$32,6,FALSE) &gt;= (test!$B$36+VLOOKUP(VLOOKUP($B117,test!$A$2:$I$32,4,FALSE),test!$J$10:$P$14,6,FALSE))/1440),1,0)</f>
        <v>0</v>
      </c>
      <c r="S117" s="2">
        <f>IF(AND(VLOOKUP(S$1,test!$A$3:$F$32,5,FALSE) - VLOOKUP($B117,test!$A$3:$G$32,6,FALSE) &gt;= (test!$B$36+VLOOKUP(VLOOKUP($B117,test!$A$2:$I$32,4,FALSE),test!$J$10:$P$14,6,FALSE))/1440),1,0)</f>
        <v>0</v>
      </c>
      <c r="T117" s="2">
        <f>IF(AND(VLOOKUP(T$1,test!$A$3:$F$32,5,FALSE) - VLOOKUP($B117,test!$A$3:$G$32,6,FALSE) &gt;= (test!$B$36+VLOOKUP(VLOOKUP($B117,test!$A$2:$I$32,4,FALSE),test!$J$10:$P$14,6,FALSE))/1440),1,0)</f>
        <v>0</v>
      </c>
      <c r="U117" s="2">
        <f>IF(AND(VLOOKUP(U$1,test!$A$3:$F$32,5,FALSE) - VLOOKUP($B117,test!$A$3:$G$32,6,FALSE) &gt;= (test!$B$36+VLOOKUP(VLOOKUP($B117,test!$A$2:$I$32,4,FALSE),test!$J$10:$P$14,6,FALSE))/1440),1,0)</f>
        <v>0</v>
      </c>
      <c r="V117" s="2">
        <f>IF(AND(VLOOKUP(V$1,test!$A$3:$F$32,5,FALSE) - VLOOKUP($B117,test!$A$3:$G$32,6,FALSE) &gt;= (test!$B$36+VLOOKUP(VLOOKUP($B117,test!$A$2:$I$32,4,FALSE),test!$J$10:$P$14,6,FALSE))/1440),1,0)</f>
        <v>0</v>
      </c>
      <c r="W117" s="2">
        <f>IF(AND(VLOOKUP(W$1,test!$A$3:$F$32,5,FALSE) - VLOOKUP($B117,test!$A$3:$G$32,6,FALSE) &gt;= (test!$B$36+VLOOKUP(VLOOKUP($B117,test!$A$2:$I$32,4,FALSE),test!$J$10:$P$14,6,FALSE))/1440),1,0)</f>
        <v>0</v>
      </c>
      <c r="X117" s="2">
        <f>IF(AND(VLOOKUP(X$1,test!$A$3:$F$32,5,FALSE) - VLOOKUP($B117,test!$A$3:$G$32,6,FALSE) &gt;= (test!$B$36+VLOOKUP(VLOOKUP($B117,test!$A$2:$I$32,4,FALSE),test!$J$10:$P$14,6,FALSE))/1440),1,0)</f>
        <v>0</v>
      </c>
      <c r="Y117" s="2">
        <f>IF(AND(VLOOKUP(Y$1,test!$A$3:$F$32,5,FALSE) - VLOOKUP($B117,test!$A$3:$G$32,6,FALSE) &gt;= (test!$B$36+VLOOKUP(VLOOKUP($B117,test!$A$2:$I$32,4,FALSE),test!$J$10:$P$14,6,FALSE))/1440),1,0)</f>
        <v>0</v>
      </c>
      <c r="Z117" s="2">
        <f>IF(AND(VLOOKUP(Z$1,test!$A$3:$F$32,5,FALSE) - VLOOKUP($B117,test!$A$3:$G$32,6,FALSE) &gt;= (test!$B$36+VLOOKUP(VLOOKUP($B117,test!$A$2:$I$32,4,FALSE),test!$J$10:$P$14,6,FALSE))/1440),1,0)</f>
        <v>0</v>
      </c>
      <c r="AA117" s="2">
        <f>IF(AND(VLOOKUP(AA$1,test!$A$3:$F$32,5,FALSE) - VLOOKUP($B117,test!$A$3:$G$32,6,FALSE) &gt;= (test!$B$36+VLOOKUP(VLOOKUP($B117,test!$A$2:$I$32,4,FALSE),test!$J$10:$P$14,6,FALSE))/1440),1,0)</f>
        <v>0</v>
      </c>
      <c r="AB117" s="2">
        <f>IF(AND(VLOOKUP(AB$1,test!$A$3:$F$32,5,FALSE) - VLOOKUP($B117,test!$A$3:$G$32,6,FALSE) &gt;= (test!$B$36+VLOOKUP(VLOOKUP($B117,test!$A$2:$I$32,4,FALSE),test!$J$10:$P$14,6,FALSE))/1440),1,0)</f>
        <v>0</v>
      </c>
      <c r="AC117" s="2">
        <f>IF(AND(VLOOKUP(AC$1,test!$A$3:$F$32,5,FALSE) - VLOOKUP($B117,test!$A$3:$G$32,6,FALSE) &gt;= (test!$B$36+VLOOKUP(VLOOKUP($B117,test!$A$2:$I$32,4,FALSE),test!$J$10:$P$14,6,FALSE))/1440),1,0)</f>
        <v>0</v>
      </c>
      <c r="AD117" s="2">
        <f>IF(AND(VLOOKUP(AD$1,test!$A$3:$F$32,5,FALSE) - VLOOKUP($B117,test!$A$3:$G$32,6,FALSE) &gt;= (test!$B$36+VLOOKUP(VLOOKUP($B117,test!$A$2:$I$32,4,FALSE),test!$J$10:$P$14,6,FALSE))/1440),1,0)</f>
        <v>0</v>
      </c>
      <c r="AE117" s="2">
        <f>IF(AND(VLOOKUP(AE$1,test!$A$3:$F$32,5,FALSE) - VLOOKUP($B117,test!$A$3:$G$32,6,FALSE) &gt;= (test!$B$36+VLOOKUP(VLOOKUP($B117,test!$A$2:$I$32,4,FALSE),test!$J$10:$P$14,6,FALSE))/1440),1,0)</f>
        <v>0</v>
      </c>
      <c r="AF117" s="2">
        <f>IF(AND(VLOOKUP(AF$1,test!$A$3:$F$32,5,FALSE) - VLOOKUP($B117,test!$A$3:$G$32,6,FALSE) &gt;= (test!$B$36+VLOOKUP(VLOOKUP($B117,test!$A$2:$I$32,4,FALSE),test!$J$10:$P$14,6,FALSE))/1440),1,0)</f>
        <v>0</v>
      </c>
      <c r="AG117" s="2">
        <f>IF(AND(VLOOKUP(AG$1,test!$A$3:$F$32,5,FALSE) - VLOOKUP($B117,test!$A$3:$G$32,6,FALSE) &gt;= (test!$B$36+VLOOKUP(VLOOKUP($B117,test!$A$2:$I$32,4,FALSE),test!$J$10:$P$14,6,FALSE))/1440),1,0)</f>
        <v>0</v>
      </c>
    </row>
    <row r="118" spans="1:33" x14ac:dyDescent="0.25">
      <c r="A118" t="s">
        <v>98</v>
      </c>
      <c r="B118" t="s">
        <v>34</v>
      </c>
      <c r="C118">
        <v>0</v>
      </c>
      <c r="D118" s="2">
        <f>IF(AND(VLOOKUP(D$1,test!$A$3:$F$32,5,FALSE) - VLOOKUP($B118,test!$A$3:$G$32,6,FALSE) &gt;= (test!$B$36+VLOOKUP(VLOOKUP($B118,test!$A$2:$I$32,4,FALSE),test!$J$10:$P$14,6,FALSE))/1440),1,0)</f>
        <v>0</v>
      </c>
      <c r="E118" s="2">
        <f>IF(AND(VLOOKUP(E$1,test!$A$3:$F$32,5,FALSE) - VLOOKUP($B118,test!$A$3:$G$32,6,FALSE) &gt;= (test!$B$36+VLOOKUP(VLOOKUP($B118,test!$A$2:$I$32,4,FALSE),test!$J$10:$P$14,6,FALSE))/1440),1,0)</f>
        <v>0</v>
      </c>
      <c r="F118" s="2">
        <f>IF(AND(VLOOKUP(F$1,test!$A$3:$F$32,5,FALSE) - VLOOKUP($B118,test!$A$3:$G$32,6,FALSE) &gt;= (test!$B$36+VLOOKUP(VLOOKUP($B118,test!$A$2:$I$32,4,FALSE),test!$J$10:$P$14,6,FALSE))/1440),1,0)</f>
        <v>0</v>
      </c>
      <c r="G118" s="2">
        <f>IF(AND(VLOOKUP(G$1,test!$A$3:$F$32,5,FALSE) - VLOOKUP($B118,test!$A$3:$G$32,6,FALSE) &gt;= (test!$B$36+VLOOKUP(VLOOKUP($B118,test!$A$2:$I$32,4,FALSE),test!$J$10:$P$14,6,FALSE))/1440),1,0)</f>
        <v>1</v>
      </c>
      <c r="H118" s="2">
        <f>IF(AND(VLOOKUP(H$1,test!$A$3:$F$32,5,FALSE) - VLOOKUP($B118,test!$A$3:$G$32,6,FALSE) &gt;= (test!$B$36+VLOOKUP(VLOOKUP($B118,test!$A$2:$I$32,4,FALSE),test!$J$10:$P$14,6,FALSE))/1440),1,0)</f>
        <v>1</v>
      </c>
      <c r="I118" s="2">
        <f>IF(AND(VLOOKUP(I$1,test!$A$3:$F$32,5,FALSE) - VLOOKUP($B118,test!$A$3:$G$32,6,FALSE) &gt;= (test!$B$36+VLOOKUP(VLOOKUP($B118,test!$A$2:$I$32,4,FALSE),test!$J$10:$P$14,6,FALSE))/1440),1,0)</f>
        <v>1</v>
      </c>
      <c r="J118" s="2">
        <f>IF(AND(VLOOKUP(J$1,test!$A$3:$F$32,5,FALSE) - VLOOKUP($B118,test!$A$3:$G$32,6,FALSE) &gt;= (test!$B$36+VLOOKUP(VLOOKUP($B118,test!$A$2:$I$32,4,FALSE),test!$J$10:$P$14,6,FALSE))/1440),1,0)</f>
        <v>1</v>
      </c>
      <c r="K118" s="2">
        <f>IF(AND(VLOOKUP(K$1,test!$A$3:$F$32,5,FALSE) - VLOOKUP($B118,test!$A$3:$G$32,6,FALSE) &gt;= (test!$B$36+VLOOKUP(VLOOKUP($B118,test!$A$2:$I$32,4,FALSE),test!$J$10:$P$14,6,FALSE))/1440),1,0)</f>
        <v>1</v>
      </c>
      <c r="L118" s="2">
        <f>IF(AND(VLOOKUP(L$1,test!$A$3:$F$32,5,FALSE) - VLOOKUP($B118,test!$A$3:$G$32,6,FALSE) &gt;= (test!$B$36+VLOOKUP(VLOOKUP($B118,test!$A$2:$I$32,4,FALSE),test!$J$10:$P$14,6,FALSE))/1440),1,0)</f>
        <v>0</v>
      </c>
      <c r="M118" s="2">
        <f>IF(AND(VLOOKUP(M$1,test!$A$3:$F$32,5,FALSE) - VLOOKUP($B118,test!$A$3:$G$32,6,FALSE) &gt;= (test!$B$36+VLOOKUP(VLOOKUP($B118,test!$A$2:$I$32,4,FALSE),test!$J$10:$P$14,6,FALSE))/1440),1,0)</f>
        <v>0</v>
      </c>
      <c r="N118" s="2">
        <f>IF(AND(VLOOKUP(N$1,test!$A$3:$F$32,5,FALSE) - VLOOKUP($B118,test!$A$3:$G$32,6,FALSE) &gt;= (test!$B$36+VLOOKUP(VLOOKUP($B118,test!$A$2:$I$32,4,FALSE),test!$J$10:$P$14,6,FALSE))/1440),1,0)</f>
        <v>0</v>
      </c>
      <c r="O118" s="2">
        <f>IF(AND(VLOOKUP(O$1,test!$A$3:$F$32,5,FALSE) - VLOOKUP($B118,test!$A$3:$G$32,6,FALSE) &gt;= (test!$B$36+VLOOKUP(VLOOKUP($B118,test!$A$2:$I$32,4,FALSE),test!$J$10:$P$14,6,FALSE))/1440),1,0)</f>
        <v>1</v>
      </c>
      <c r="P118" s="2">
        <f>IF(AND(VLOOKUP(P$1,test!$A$3:$F$32,5,FALSE) - VLOOKUP($B118,test!$A$3:$G$32,6,FALSE) &gt;= (test!$B$36+VLOOKUP(VLOOKUP($B118,test!$A$2:$I$32,4,FALSE),test!$J$10:$P$14,6,FALSE))/1440),1,0)</f>
        <v>1</v>
      </c>
      <c r="Q118" s="2">
        <f>IF(AND(VLOOKUP(Q$1,test!$A$3:$F$32,5,FALSE) - VLOOKUP($B118,test!$A$3:$G$32,6,FALSE) &gt;= (test!$B$36+VLOOKUP(VLOOKUP($B118,test!$A$2:$I$32,4,FALSE),test!$J$10:$P$14,6,FALSE))/1440),1,0)</f>
        <v>0</v>
      </c>
      <c r="R118" s="2">
        <f>IF(AND(VLOOKUP(R$1,test!$A$3:$F$32,5,FALSE) - VLOOKUP($B118,test!$A$3:$G$32,6,FALSE) &gt;= (test!$B$36+VLOOKUP(VLOOKUP($B118,test!$A$2:$I$32,4,FALSE),test!$J$10:$P$14,6,FALSE))/1440),1,0)</f>
        <v>0</v>
      </c>
      <c r="S118" s="2">
        <f>IF(AND(VLOOKUP(S$1,test!$A$3:$F$32,5,FALSE) - VLOOKUP($B118,test!$A$3:$G$32,6,FALSE) &gt;= (test!$B$36+VLOOKUP(VLOOKUP($B118,test!$A$2:$I$32,4,FALSE),test!$J$10:$P$14,6,FALSE))/1440),1,0)</f>
        <v>0</v>
      </c>
      <c r="T118" s="2">
        <f>IF(AND(VLOOKUP(T$1,test!$A$3:$F$32,5,FALSE) - VLOOKUP($B118,test!$A$3:$G$32,6,FALSE) &gt;= (test!$B$36+VLOOKUP(VLOOKUP($B118,test!$A$2:$I$32,4,FALSE),test!$J$10:$P$14,6,FALSE))/1440),1,0)</f>
        <v>0</v>
      </c>
      <c r="U118" s="2">
        <f>IF(AND(VLOOKUP(U$1,test!$A$3:$F$32,5,FALSE) - VLOOKUP($B118,test!$A$3:$G$32,6,FALSE) &gt;= (test!$B$36+VLOOKUP(VLOOKUP($B118,test!$A$2:$I$32,4,FALSE),test!$J$10:$P$14,6,FALSE))/1440),1,0)</f>
        <v>0</v>
      </c>
      <c r="V118" s="2">
        <f>IF(AND(VLOOKUP(V$1,test!$A$3:$F$32,5,FALSE) - VLOOKUP($B118,test!$A$3:$G$32,6,FALSE) &gt;= (test!$B$36+VLOOKUP(VLOOKUP($B118,test!$A$2:$I$32,4,FALSE),test!$J$10:$P$14,6,FALSE))/1440),1,0)</f>
        <v>0</v>
      </c>
      <c r="W118" s="2">
        <f>IF(AND(VLOOKUP(W$1,test!$A$3:$F$32,5,FALSE) - VLOOKUP($B118,test!$A$3:$G$32,6,FALSE) &gt;= (test!$B$36+VLOOKUP(VLOOKUP($B118,test!$A$2:$I$32,4,FALSE),test!$J$10:$P$14,6,FALSE))/1440),1,0)</f>
        <v>1</v>
      </c>
      <c r="X118" s="2">
        <f>IF(AND(VLOOKUP(X$1,test!$A$3:$F$32,5,FALSE) - VLOOKUP($B118,test!$A$3:$G$32,6,FALSE) &gt;= (test!$B$36+VLOOKUP(VLOOKUP($B118,test!$A$2:$I$32,4,FALSE),test!$J$10:$P$14,6,FALSE))/1440),1,0)</f>
        <v>1</v>
      </c>
      <c r="Y118" s="2">
        <f>IF(AND(VLOOKUP(Y$1,test!$A$3:$F$32,5,FALSE) - VLOOKUP($B118,test!$A$3:$G$32,6,FALSE) &gt;= (test!$B$36+VLOOKUP(VLOOKUP($B118,test!$A$2:$I$32,4,FALSE),test!$J$10:$P$14,6,FALSE))/1440),1,0)</f>
        <v>1</v>
      </c>
      <c r="Z118" s="2">
        <f>IF(AND(VLOOKUP(Z$1,test!$A$3:$F$32,5,FALSE) - VLOOKUP($B118,test!$A$3:$G$32,6,FALSE) &gt;= (test!$B$36+VLOOKUP(VLOOKUP($B118,test!$A$2:$I$32,4,FALSE),test!$J$10:$P$14,6,FALSE))/1440),1,0)</f>
        <v>0</v>
      </c>
      <c r="AA118" s="2">
        <f>IF(AND(VLOOKUP(AA$1,test!$A$3:$F$32,5,FALSE) - VLOOKUP($B118,test!$A$3:$G$32,6,FALSE) &gt;= (test!$B$36+VLOOKUP(VLOOKUP($B118,test!$A$2:$I$32,4,FALSE),test!$J$10:$P$14,6,FALSE))/1440),1,0)</f>
        <v>0</v>
      </c>
      <c r="AB118" s="2">
        <f>IF(AND(VLOOKUP(AB$1,test!$A$3:$F$32,5,FALSE) - VLOOKUP($B118,test!$A$3:$G$32,6,FALSE) &gt;= (test!$B$36+VLOOKUP(VLOOKUP($B118,test!$A$2:$I$32,4,FALSE),test!$J$10:$P$14,6,FALSE))/1440),1,0)</f>
        <v>0</v>
      </c>
      <c r="AC118" s="2">
        <f>IF(AND(VLOOKUP(AC$1,test!$A$3:$F$32,5,FALSE) - VLOOKUP($B118,test!$A$3:$G$32,6,FALSE) &gt;= (test!$B$36+VLOOKUP(VLOOKUP($B118,test!$A$2:$I$32,4,FALSE),test!$J$10:$P$14,6,FALSE))/1440),1,0)</f>
        <v>1</v>
      </c>
      <c r="AD118" s="2">
        <f>IF(AND(VLOOKUP(AD$1,test!$A$3:$F$32,5,FALSE) - VLOOKUP($B118,test!$A$3:$G$32,6,FALSE) &gt;= (test!$B$36+VLOOKUP(VLOOKUP($B118,test!$A$2:$I$32,4,FALSE),test!$J$10:$P$14,6,FALSE))/1440),1,0)</f>
        <v>1</v>
      </c>
      <c r="AE118" s="2">
        <f>IF(AND(VLOOKUP(AE$1,test!$A$3:$F$32,5,FALSE) - VLOOKUP($B118,test!$A$3:$G$32,6,FALSE) &gt;= (test!$B$36+VLOOKUP(VLOOKUP($B118,test!$A$2:$I$32,4,FALSE),test!$J$10:$P$14,6,FALSE))/1440),1,0)</f>
        <v>0</v>
      </c>
      <c r="AF118" s="2">
        <f>IF(AND(VLOOKUP(AF$1,test!$A$3:$F$32,5,FALSE) - VLOOKUP($B118,test!$A$3:$G$32,6,FALSE) &gt;= (test!$B$36+VLOOKUP(VLOOKUP($B118,test!$A$2:$I$32,4,FALSE),test!$J$10:$P$14,6,FALSE))/1440),1,0)</f>
        <v>0</v>
      </c>
      <c r="AG118" s="2">
        <f>IF(AND(VLOOKUP(AG$1,test!$A$3:$F$32,5,FALSE) - VLOOKUP($B118,test!$A$3:$G$32,6,FALSE) &gt;= (test!$B$36+VLOOKUP(VLOOKUP($B118,test!$A$2:$I$32,4,FALSE),test!$J$10:$P$14,6,FALSE))/1440),1,0)</f>
        <v>0</v>
      </c>
    </row>
    <row r="119" spans="1:33" x14ac:dyDescent="0.25">
      <c r="A119" t="s">
        <v>98</v>
      </c>
      <c r="B119" t="s">
        <v>35</v>
      </c>
      <c r="C119">
        <v>0</v>
      </c>
      <c r="D119" s="2">
        <f>IF(AND(VLOOKUP(D$1,test!$A$3:$F$32,5,FALSE) - VLOOKUP($B119,test!$A$3:$G$32,6,FALSE) &gt;= (test!$B$36+VLOOKUP(VLOOKUP($B119,test!$A$2:$I$32,4,FALSE),test!$J$10:$P$14,6,FALSE))/1440),1,0)</f>
        <v>0</v>
      </c>
      <c r="E119" s="2">
        <f>IF(AND(VLOOKUP(E$1,test!$A$3:$F$32,5,FALSE) - VLOOKUP($B119,test!$A$3:$G$32,6,FALSE) &gt;= (test!$B$36+VLOOKUP(VLOOKUP($B119,test!$A$2:$I$32,4,FALSE),test!$J$10:$P$14,6,FALSE))/1440),1,0)</f>
        <v>0</v>
      </c>
      <c r="F119" s="2">
        <f>IF(AND(VLOOKUP(F$1,test!$A$3:$F$32,5,FALSE) - VLOOKUP($B119,test!$A$3:$G$32,6,FALSE) &gt;= (test!$B$36+VLOOKUP(VLOOKUP($B119,test!$A$2:$I$32,4,FALSE),test!$J$10:$P$14,6,FALSE))/1440),1,0)</f>
        <v>0</v>
      </c>
      <c r="G119" s="2">
        <f>IF(AND(VLOOKUP(G$1,test!$A$3:$F$32,5,FALSE) - VLOOKUP($B119,test!$A$3:$G$32,6,FALSE) &gt;= (test!$B$36+VLOOKUP(VLOOKUP($B119,test!$A$2:$I$32,4,FALSE),test!$J$10:$P$14,6,FALSE))/1440),1,0)</f>
        <v>0</v>
      </c>
      <c r="H119" s="2">
        <f>IF(AND(VLOOKUP(H$1,test!$A$3:$F$32,5,FALSE) - VLOOKUP($B119,test!$A$3:$G$32,6,FALSE) &gt;= (test!$B$36+VLOOKUP(VLOOKUP($B119,test!$A$2:$I$32,4,FALSE),test!$J$10:$P$14,6,FALSE))/1440),1,0)</f>
        <v>0</v>
      </c>
      <c r="I119" s="2">
        <f>IF(AND(VLOOKUP(I$1,test!$A$3:$F$32,5,FALSE) - VLOOKUP($B119,test!$A$3:$G$32,6,FALSE) &gt;= (test!$B$36+VLOOKUP(VLOOKUP($B119,test!$A$2:$I$32,4,FALSE),test!$J$10:$P$14,6,FALSE))/1440),1,0)</f>
        <v>0</v>
      </c>
      <c r="J119" s="2">
        <f>IF(AND(VLOOKUP(J$1,test!$A$3:$F$32,5,FALSE) - VLOOKUP($B119,test!$A$3:$G$32,6,FALSE) &gt;= (test!$B$36+VLOOKUP(VLOOKUP($B119,test!$A$2:$I$32,4,FALSE),test!$J$10:$P$14,6,FALSE))/1440),1,0)</f>
        <v>1</v>
      </c>
      <c r="K119" s="2">
        <f>IF(AND(VLOOKUP(K$1,test!$A$3:$F$32,5,FALSE) - VLOOKUP($B119,test!$A$3:$G$32,6,FALSE) &gt;= (test!$B$36+VLOOKUP(VLOOKUP($B119,test!$A$2:$I$32,4,FALSE),test!$J$10:$P$14,6,FALSE))/1440),1,0)</f>
        <v>1</v>
      </c>
      <c r="L119" s="2">
        <f>IF(AND(VLOOKUP(L$1,test!$A$3:$F$32,5,FALSE) - VLOOKUP($B119,test!$A$3:$G$32,6,FALSE) &gt;= (test!$B$36+VLOOKUP(VLOOKUP($B119,test!$A$2:$I$32,4,FALSE),test!$J$10:$P$14,6,FALSE))/1440),1,0)</f>
        <v>0</v>
      </c>
      <c r="M119" s="2">
        <f>IF(AND(VLOOKUP(M$1,test!$A$3:$F$32,5,FALSE) - VLOOKUP($B119,test!$A$3:$G$32,6,FALSE) &gt;= (test!$B$36+VLOOKUP(VLOOKUP($B119,test!$A$2:$I$32,4,FALSE),test!$J$10:$P$14,6,FALSE))/1440),1,0)</f>
        <v>0</v>
      </c>
      <c r="N119" s="2">
        <f>IF(AND(VLOOKUP(N$1,test!$A$3:$F$32,5,FALSE) - VLOOKUP($B119,test!$A$3:$G$32,6,FALSE) &gt;= (test!$B$36+VLOOKUP(VLOOKUP($B119,test!$A$2:$I$32,4,FALSE),test!$J$10:$P$14,6,FALSE))/1440),1,0)</f>
        <v>0</v>
      </c>
      <c r="O119" s="2">
        <f>IF(AND(VLOOKUP(O$1,test!$A$3:$F$32,5,FALSE) - VLOOKUP($B119,test!$A$3:$G$32,6,FALSE) &gt;= (test!$B$36+VLOOKUP(VLOOKUP($B119,test!$A$2:$I$32,4,FALSE),test!$J$10:$P$14,6,FALSE))/1440),1,0)</f>
        <v>1</v>
      </c>
      <c r="P119" s="2">
        <f>IF(AND(VLOOKUP(P$1,test!$A$3:$F$32,5,FALSE) - VLOOKUP($B119,test!$A$3:$G$32,6,FALSE) &gt;= (test!$B$36+VLOOKUP(VLOOKUP($B119,test!$A$2:$I$32,4,FALSE),test!$J$10:$P$14,6,FALSE))/1440),1,0)</f>
        <v>1</v>
      </c>
      <c r="Q119" s="2">
        <f>IF(AND(VLOOKUP(Q$1,test!$A$3:$F$32,5,FALSE) - VLOOKUP($B119,test!$A$3:$G$32,6,FALSE) &gt;= (test!$B$36+VLOOKUP(VLOOKUP($B119,test!$A$2:$I$32,4,FALSE),test!$J$10:$P$14,6,FALSE))/1440),1,0)</f>
        <v>0</v>
      </c>
      <c r="R119" s="2">
        <f>IF(AND(VLOOKUP(R$1,test!$A$3:$F$32,5,FALSE) - VLOOKUP($B119,test!$A$3:$G$32,6,FALSE) &gt;= (test!$B$36+VLOOKUP(VLOOKUP($B119,test!$A$2:$I$32,4,FALSE),test!$J$10:$P$14,6,FALSE))/1440),1,0)</f>
        <v>0</v>
      </c>
      <c r="S119" s="2">
        <f>IF(AND(VLOOKUP(S$1,test!$A$3:$F$32,5,FALSE) - VLOOKUP($B119,test!$A$3:$G$32,6,FALSE) &gt;= (test!$B$36+VLOOKUP(VLOOKUP($B119,test!$A$2:$I$32,4,FALSE),test!$J$10:$P$14,6,FALSE))/1440),1,0)</f>
        <v>0</v>
      </c>
      <c r="T119" s="2">
        <f>IF(AND(VLOOKUP(T$1,test!$A$3:$F$32,5,FALSE) - VLOOKUP($B119,test!$A$3:$G$32,6,FALSE) &gt;= (test!$B$36+VLOOKUP(VLOOKUP($B119,test!$A$2:$I$32,4,FALSE),test!$J$10:$P$14,6,FALSE))/1440),1,0)</f>
        <v>0</v>
      </c>
      <c r="U119" s="2">
        <f>IF(AND(VLOOKUP(U$1,test!$A$3:$F$32,5,FALSE) - VLOOKUP($B119,test!$A$3:$G$32,6,FALSE) &gt;= (test!$B$36+VLOOKUP(VLOOKUP($B119,test!$A$2:$I$32,4,FALSE),test!$J$10:$P$14,6,FALSE))/1440),1,0)</f>
        <v>0</v>
      </c>
      <c r="V119" s="2">
        <f>IF(AND(VLOOKUP(V$1,test!$A$3:$F$32,5,FALSE) - VLOOKUP($B119,test!$A$3:$G$32,6,FALSE) &gt;= (test!$B$36+VLOOKUP(VLOOKUP($B119,test!$A$2:$I$32,4,FALSE),test!$J$10:$P$14,6,FALSE))/1440),1,0)</f>
        <v>0</v>
      </c>
      <c r="W119" s="2">
        <f>IF(AND(VLOOKUP(W$1,test!$A$3:$F$32,5,FALSE) - VLOOKUP($B119,test!$A$3:$G$32,6,FALSE) &gt;= (test!$B$36+VLOOKUP(VLOOKUP($B119,test!$A$2:$I$32,4,FALSE),test!$J$10:$P$14,6,FALSE))/1440),1,0)</f>
        <v>0</v>
      </c>
      <c r="X119" s="2">
        <f>IF(AND(VLOOKUP(X$1,test!$A$3:$F$32,5,FALSE) - VLOOKUP($B119,test!$A$3:$G$32,6,FALSE) &gt;= (test!$B$36+VLOOKUP(VLOOKUP($B119,test!$A$2:$I$32,4,FALSE),test!$J$10:$P$14,6,FALSE))/1440),1,0)</f>
        <v>1</v>
      </c>
      <c r="Y119" s="2">
        <f>IF(AND(VLOOKUP(Y$1,test!$A$3:$F$32,5,FALSE) - VLOOKUP($B119,test!$A$3:$G$32,6,FALSE) &gt;= (test!$B$36+VLOOKUP(VLOOKUP($B119,test!$A$2:$I$32,4,FALSE),test!$J$10:$P$14,6,FALSE))/1440),1,0)</f>
        <v>1</v>
      </c>
      <c r="Z119" s="2">
        <f>IF(AND(VLOOKUP(Z$1,test!$A$3:$F$32,5,FALSE) - VLOOKUP($B119,test!$A$3:$G$32,6,FALSE) &gt;= (test!$B$36+VLOOKUP(VLOOKUP($B119,test!$A$2:$I$32,4,FALSE),test!$J$10:$P$14,6,FALSE))/1440),1,0)</f>
        <v>0</v>
      </c>
      <c r="AA119" s="2">
        <f>IF(AND(VLOOKUP(AA$1,test!$A$3:$F$32,5,FALSE) - VLOOKUP($B119,test!$A$3:$G$32,6,FALSE) &gt;= (test!$B$36+VLOOKUP(VLOOKUP($B119,test!$A$2:$I$32,4,FALSE),test!$J$10:$P$14,6,FALSE))/1440),1,0)</f>
        <v>0</v>
      </c>
      <c r="AB119" s="2">
        <f>IF(AND(VLOOKUP(AB$1,test!$A$3:$F$32,5,FALSE) - VLOOKUP($B119,test!$A$3:$G$32,6,FALSE) &gt;= (test!$B$36+VLOOKUP(VLOOKUP($B119,test!$A$2:$I$32,4,FALSE),test!$J$10:$P$14,6,FALSE))/1440),1,0)</f>
        <v>0</v>
      </c>
      <c r="AC119" s="2">
        <f>IF(AND(VLOOKUP(AC$1,test!$A$3:$F$32,5,FALSE) - VLOOKUP($B119,test!$A$3:$G$32,6,FALSE) &gt;= (test!$B$36+VLOOKUP(VLOOKUP($B119,test!$A$2:$I$32,4,FALSE),test!$J$10:$P$14,6,FALSE))/1440),1,0)</f>
        <v>0</v>
      </c>
      <c r="AD119" s="2">
        <f>IF(AND(VLOOKUP(AD$1,test!$A$3:$F$32,5,FALSE) - VLOOKUP($B119,test!$A$3:$G$32,6,FALSE) &gt;= (test!$B$36+VLOOKUP(VLOOKUP($B119,test!$A$2:$I$32,4,FALSE),test!$J$10:$P$14,6,FALSE))/1440),1,0)</f>
        <v>0</v>
      </c>
      <c r="AE119" s="2">
        <f>IF(AND(VLOOKUP(AE$1,test!$A$3:$F$32,5,FALSE) - VLOOKUP($B119,test!$A$3:$G$32,6,FALSE) &gt;= (test!$B$36+VLOOKUP(VLOOKUP($B119,test!$A$2:$I$32,4,FALSE),test!$J$10:$P$14,6,FALSE))/1440),1,0)</f>
        <v>0</v>
      </c>
      <c r="AF119" s="2">
        <f>IF(AND(VLOOKUP(AF$1,test!$A$3:$F$32,5,FALSE) - VLOOKUP($B119,test!$A$3:$G$32,6,FALSE) &gt;= (test!$B$36+VLOOKUP(VLOOKUP($B119,test!$A$2:$I$32,4,FALSE),test!$J$10:$P$14,6,FALSE))/1440),1,0)</f>
        <v>0</v>
      </c>
      <c r="AG119" s="2">
        <f>IF(AND(VLOOKUP(AG$1,test!$A$3:$F$32,5,FALSE) - VLOOKUP($B119,test!$A$3:$G$32,6,FALSE) &gt;= (test!$B$36+VLOOKUP(VLOOKUP($B119,test!$A$2:$I$32,4,FALSE),test!$J$10:$P$14,6,FALSE))/1440),1,0)</f>
        <v>0</v>
      </c>
    </row>
    <row r="120" spans="1:33" x14ac:dyDescent="0.25">
      <c r="A120" t="s">
        <v>98</v>
      </c>
      <c r="B120" t="s">
        <v>36</v>
      </c>
      <c r="C120">
        <v>0</v>
      </c>
      <c r="D120" s="2">
        <f>IF(AND(VLOOKUP(D$1,test!$A$3:$F$32,5,FALSE) - VLOOKUP($B120,test!$A$3:$G$32,6,FALSE) &gt;= (test!$B$36+VLOOKUP(VLOOKUP($B120,test!$A$2:$I$32,4,FALSE),test!$J$10:$P$14,6,FALSE))/1440),1,0)</f>
        <v>0</v>
      </c>
      <c r="E120" s="2">
        <f>IF(AND(VLOOKUP(E$1,test!$A$3:$F$32,5,FALSE) - VLOOKUP($B120,test!$A$3:$G$32,6,FALSE) &gt;= (test!$B$36+VLOOKUP(VLOOKUP($B120,test!$A$2:$I$32,4,FALSE),test!$J$10:$P$14,6,FALSE))/1440),1,0)</f>
        <v>0</v>
      </c>
      <c r="F120" s="2">
        <f>IF(AND(VLOOKUP(F$1,test!$A$3:$F$32,5,FALSE) - VLOOKUP($B120,test!$A$3:$G$32,6,FALSE) &gt;= (test!$B$36+VLOOKUP(VLOOKUP($B120,test!$A$2:$I$32,4,FALSE),test!$J$10:$P$14,6,FALSE))/1440),1,0)</f>
        <v>0</v>
      </c>
      <c r="G120" s="2">
        <f>IF(AND(VLOOKUP(G$1,test!$A$3:$F$32,5,FALSE) - VLOOKUP($B120,test!$A$3:$G$32,6,FALSE) &gt;= (test!$B$36+VLOOKUP(VLOOKUP($B120,test!$A$2:$I$32,4,FALSE),test!$J$10:$P$14,6,FALSE))/1440),1,0)</f>
        <v>0</v>
      </c>
      <c r="H120" s="2">
        <f>IF(AND(VLOOKUP(H$1,test!$A$3:$F$32,5,FALSE) - VLOOKUP($B120,test!$A$3:$G$32,6,FALSE) &gt;= (test!$B$36+VLOOKUP(VLOOKUP($B120,test!$A$2:$I$32,4,FALSE),test!$J$10:$P$14,6,FALSE))/1440),1,0)</f>
        <v>0</v>
      </c>
      <c r="I120" s="2">
        <f>IF(AND(VLOOKUP(I$1,test!$A$3:$F$32,5,FALSE) - VLOOKUP($B120,test!$A$3:$G$32,6,FALSE) &gt;= (test!$B$36+VLOOKUP(VLOOKUP($B120,test!$A$2:$I$32,4,FALSE),test!$J$10:$P$14,6,FALSE))/1440),1,0)</f>
        <v>0</v>
      </c>
      <c r="J120" s="2">
        <f>IF(AND(VLOOKUP(J$1,test!$A$3:$F$32,5,FALSE) - VLOOKUP($B120,test!$A$3:$G$32,6,FALSE) &gt;= (test!$B$36+VLOOKUP(VLOOKUP($B120,test!$A$2:$I$32,4,FALSE),test!$J$10:$P$14,6,FALSE))/1440),1,0)</f>
        <v>0</v>
      </c>
      <c r="K120" s="2">
        <f>IF(AND(VLOOKUP(K$1,test!$A$3:$F$32,5,FALSE) - VLOOKUP($B120,test!$A$3:$G$32,6,FALSE) &gt;= (test!$B$36+VLOOKUP(VLOOKUP($B120,test!$A$2:$I$32,4,FALSE),test!$J$10:$P$14,6,FALSE))/1440),1,0)</f>
        <v>0</v>
      </c>
      <c r="L120" s="2">
        <f>IF(AND(VLOOKUP(L$1,test!$A$3:$F$32,5,FALSE) - VLOOKUP($B120,test!$A$3:$G$32,6,FALSE) &gt;= (test!$B$36+VLOOKUP(VLOOKUP($B120,test!$A$2:$I$32,4,FALSE),test!$J$10:$P$14,6,FALSE))/1440),1,0)</f>
        <v>0</v>
      </c>
      <c r="M120" s="2">
        <f>IF(AND(VLOOKUP(M$1,test!$A$3:$F$32,5,FALSE) - VLOOKUP($B120,test!$A$3:$G$32,6,FALSE) &gt;= (test!$B$36+VLOOKUP(VLOOKUP($B120,test!$A$2:$I$32,4,FALSE),test!$J$10:$P$14,6,FALSE))/1440),1,0)</f>
        <v>0</v>
      </c>
      <c r="N120" s="2">
        <f>IF(AND(VLOOKUP(N$1,test!$A$3:$F$32,5,FALSE) - VLOOKUP($B120,test!$A$3:$G$32,6,FALSE) &gt;= (test!$B$36+VLOOKUP(VLOOKUP($B120,test!$A$2:$I$32,4,FALSE),test!$J$10:$P$14,6,FALSE))/1440),1,0)</f>
        <v>0</v>
      </c>
      <c r="O120" s="2">
        <f>IF(AND(VLOOKUP(O$1,test!$A$3:$F$32,5,FALSE) - VLOOKUP($B120,test!$A$3:$G$32,6,FALSE) &gt;= (test!$B$36+VLOOKUP(VLOOKUP($B120,test!$A$2:$I$32,4,FALSE),test!$J$10:$P$14,6,FALSE))/1440),1,0)</f>
        <v>0</v>
      </c>
      <c r="P120" s="2">
        <f>IF(AND(VLOOKUP(P$1,test!$A$3:$F$32,5,FALSE) - VLOOKUP($B120,test!$A$3:$G$32,6,FALSE) &gt;= (test!$B$36+VLOOKUP(VLOOKUP($B120,test!$A$2:$I$32,4,FALSE),test!$J$10:$P$14,6,FALSE))/1440),1,0)</f>
        <v>1</v>
      </c>
      <c r="Q120" s="2">
        <f>IF(AND(VLOOKUP(Q$1,test!$A$3:$F$32,5,FALSE) - VLOOKUP($B120,test!$A$3:$G$32,6,FALSE) &gt;= (test!$B$36+VLOOKUP(VLOOKUP($B120,test!$A$2:$I$32,4,FALSE),test!$J$10:$P$14,6,FALSE))/1440),1,0)</f>
        <v>0</v>
      </c>
      <c r="R120" s="2">
        <f>IF(AND(VLOOKUP(R$1,test!$A$3:$F$32,5,FALSE) - VLOOKUP($B120,test!$A$3:$G$32,6,FALSE) &gt;= (test!$B$36+VLOOKUP(VLOOKUP($B120,test!$A$2:$I$32,4,FALSE),test!$J$10:$P$14,6,FALSE))/1440),1,0)</f>
        <v>0</v>
      </c>
      <c r="S120" s="2">
        <f>IF(AND(VLOOKUP(S$1,test!$A$3:$F$32,5,FALSE) - VLOOKUP($B120,test!$A$3:$G$32,6,FALSE) &gt;= (test!$B$36+VLOOKUP(VLOOKUP($B120,test!$A$2:$I$32,4,FALSE),test!$J$10:$P$14,6,FALSE))/1440),1,0)</f>
        <v>0</v>
      </c>
      <c r="T120" s="2">
        <f>IF(AND(VLOOKUP(T$1,test!$A$3:$F$32,5,FALSE) - VLOOKUP($B120,test!$A$3:$G$32,6,FALSE) &gt;= (test!$B$36+VLOOKUP(VLOOKUP($B120,test!$A$2:$I$32,4,FALSE),test!$J$10:$P$14,6,FALSE))/1440),1,0)</f>
        <v>0</v>
      </c>
      <c r="U120" s="2">
        <f>IF(AND(VLOOKUP(U$1,test!$A$3:$F$32,5,FALSE) - VLOOKUP($B120,test!$A$3:$G$32,6,FALSE) &gt;= (test!$B$36+VLOOKUP(VLOOKUP($B120,test!$A$2:$I$32,4,FALSE),test!$J$10:$P$14,6,FALSE))/1440),1,0)</f>
        <v>0</v>
      </c>
      <c r="V120" s="2">
        <f>IF(AND(VLOOKUP(V$1,test!$A$3:$F$32,5,FALSE) - VLOOKUP($B120,test!$A$3:$G$32,6,FALSE) &gt;= (test!$B$36+VLOOKUP(VLOOKUP($B120,test!$A$2:$I$32,4,FALSE),test!$J$10:$P$14,6,FALSE))/1440),1,0)</f>
        <v>0</v>
      </c>
      <c r="W120" s="2">
        <f>IF(AND(VLOOKUP(W$1,test!$A$3:$F$32,5,FALSE) - VLOOKUP($B120,test!$A$3:$G$32,6,FALSE) &gt;= (test!$B$36+VLOOKUP(VLOOKUP($B120,test!$A$2:$I$32,4,FALSE),test!$J$10:$P$14,6,FALSE))/1440),1,0)</f>
        <v>0</v>
      </c>
      <c r="X120" s="2">
        <f>IF(AND(VLOOKUP(X$1,test!$A$3:$F$32,5,FALSE) - VLOOKUP($B120,test!$A$3:$G$32,6,FALSE) &gt;= (test!$B$36+VLOOKUP(VLOOKUP($B120,test!$A$2:$I$32,4,FALSE),test!$J$10:$P$14,6,FALSE))/1440),1,0)</f>
        <v>0</v>
      </c>
      <c r="Y120" s="2">
        <f>IF(AND(VLOOKUP(Y$1,test!$A$3:$F$32,5,FALSE) - VLOOKUP($B120,test!$A$3:$G$32,6,FALSE) &gt;= (test!$B$36+VLOOKUP(VLOOKUP($B120,test!$A$2:$I$32,4,FALSE),test!$J$10:$P$14,6,FALSE))/1440),1,0)</f>
        <v>0</v>
      </c>
      <c r="Z120" s="2">
        <f>IF(AND(VLOOKUP(Z$1,test!$A$3:$F$32,5,FALSE) - VLOOKUP($B120,test!$A$3:$G$32,6,FALSE) &gt;= (test!$B$36+VLOOKUP(VLOOKUP($B120,test!$A$2:$I$32,4,FALSE),test!$J$10:$P$14,6,FALSE))/1440),1,0)</f>
        <v>0</v>
      </c>
      <c r="AA120" s="2">
        <f>IF(AND(VLOOKUP(AA$1,test!$A$3:$F$32,5,FALSE) - VLOOKUP($B120,test!$A$3:$G$32,6,FALSE) &gt;= (test!$B$36+VLOOKUP(VLOOKUP($B120,test!$A$2:$I$32,4,FALSE),test!$J$10:$P$14,6,FALSE))/1440),1,0)</f>
        <v>0</v>
      </c>
      <c r="AB120" s="2">
        <f>IF(AND(VLOOKUP(AB$1,test!$A$3:$F$32,5,FALSE) - VLOOKUP($B120,test!$A$3:$G$32,6,FALSE) &gt;= (test!$B$36+VLOOKUP(VLOOKUP($B120,test!$A$2:$I$32,4,FALSE),test!$J$10:$P$14,6,FALSE))/1440),1,0)</f>
        <v>0</v>
      </c>
      <c r="AC120" s="2">
        <f>IF(AND(VLOOKUP(AC$1,test!$A$3:$F$32,5,FALSE) - VLOOKUP($B120,test!$A$3:$G$32,6,FALSE) &gt;= (test!$B$36+VLOOKUP(VLOOKUP($B120,test!$A$2:$I$32,4,FALSE),test!$J$10:$P$14,6,FALSE))/1440),1,0)</f>
        <v>0</v>
      </c>
      <c r="AD120" s="2">
        <f>IF(AND(VLOOKUP(AD$1,test!$A$3:$F$32,5,FALSE) - VLOOKUP($B120,test!$A$3:$G$32,6,FALSE) &gt;= (test!$B$36+VLOOKUP(VLOOKUP($B120,test!$A$2:$I$32,4,FALSE),test!$J$10:$P$14,6,FALSE))/1440),1,0)</f>
        <v>0</v>
      </c>
      <c r="AE120" s="2">
        <f>IF(AND(VLOOKUP(AE$1,test!$A$3:$F$32,5,FALSE) - VLOOKUP($B120,test!$A$3:$G$32,6,FALSE) &gt;= (test!$B$36+VLOOKUP(VLOOKUP($B120,test!$A$2:$I$32,4,FALSE),test!$J$10:$P$14,6,FALSE))/1440),1,0)</f>
        <v>0</v>
      </c>
      <c r="AF120" s="2">
        <f>IF(AND(VLOOKUP(AF$1,test!$A$3:$F$32,5,FALSE) - VLOOKUP($B120,test!$A$3:$G$32,6,FALSE) &gt;= (test!$B$36+VLOOKUP(VLOOKUP($B120,test!$A$2:$I$32,4,FALSE),test!$J$10:$P$14,6,FALSE))/1440),1,0)</f>
        <v>0</v>
      </c>
      <c r="AG120" s="2">
        <f>IF(AND(VLOOKUP(AG$1,test!$A$3:$F$32,5,FALSE) - VLOOKUP($B120,test!$A$3:$G$32,6,FALSE) &gt;= (test!$B$36+VLOOKUP(VLOOKUP($B120,test!$A$2:$I$32,4,FALSE),test!$J$10:$P$14,6,FALSE))/1440),1,0)</f>
        <v>0</v>
      </c>
    </row>
    <row r="121" spans="1:33" x14ac:dyDescent="0.25">
      <c r="A121" t="s">
        <v>98</v>
      </c>
      <c r="B121" t="s">
        <v>37</v>
      </c>
      <c r="C121">
        <v>0</v>
      </c>
      <c r="D121" s="2">
        <f>IF(AND(VLOOKUP(D$1,test!$A$3:$F$32,5,FALSE) - VLOOKUP($B121,test!$A$3:$G$32,6,FALSE) &gt;= (test!$B$36+VLOOKUP(VLOOKUP($B121,test!$A$2:$I$32,4,FALSE),test!$J$10:$P$14,6,FALSE))/1440),1,0)</f>
        <v>0</v>
      </c>
      <c r="E121" s="2">
        <f>IF(AND(VLOOKUP(E$1,test!$A$3:$F$32,5,FALSE) - VLOOKUP($B121,test!$A$3:$G$32,6,FALSE) &gt;= (test!$B$36+VLOOKUP(VLOOKUP($B121,test!$A$2:$I$32,4,FALSE),test!$J$10:$P$14,6,FALSE))/1440),1,0)</f>
        <v>0</v>
      </c>
      <c r="F121" s="2">
        <f>IF(AND(VLOOKUP(F$1,test!$A$3:$F$32,5,FALSE) - VLOOKUP($B121,test!$A$3:$G$32,6,FALSE) &gt;= (test!$B$36+VLOOKUP(VLOOKUP($B121,test!$A$2:$I$32,4,FALSE),test!$J$10:$P$14,6,FALSE))/1440),1,0)</f>
        <v>0</v>
      </c>
      <c r="G121" s="2">
        <f>IF(AND(VLOOKUP(G$1,test!$A$3:$F$32,5,FALSE) - VLOOKUP($B121,test!$A$3:$G$32,6,FALSE) &gt;= (test!$B$36+VLOOKUP(VLOOKUP($B121,test!$A$2:$I$32,4,FALSE),test!$J$10:$P$14,6,FALSE))/1440),1,0)</f>
        <v>0</v>
      </c>
      <c r="H121" s="2">
        <f>IF(AND(VLOOKUP(H$1,test!$A$3:$F$32,5,FALSE) - VLOOKUP($B121,test!$A$3:$G$32,6,FALSE) &gt;= (test!$B$36+VLOOKUP(VLOOKUP($B121,test!$A$2:$I$32,4,FALSE),test!$J$10:$P$14,6,FALSE))/1440),1,0)</f>
        <v>0</v>
      </c>
      <c r="I121" s="2">
        <f>IF(AND(VLOOKUP(I$1,test!$A$3:$F$32,5,FALSE) - VLOOKUP($B121,test!$A$3:$G$32,6,FALSE) &gt;= (test!$B$36+VLOOKUP(VLOOKUP($B121,test!$A$2:$I$32,4,FALSE),test!$J$10:$P$14,6,FALSE))/1440),1,0)</f>
        <v>0</v>
      </c>
      <c r="J121" s="2">
        <f>IF(AND(VLOOKUP(J$1,test!$A$3:$F$32,5,FALSE) - VLOOKUP($B121,test!$A$3:$G$32,6,FALSE) &gt;= (test!$B$36+VLOOKUP(VLOOKUP($B121,test!$A$2:$I$32,4,FALSE),test!$J$10:$P$14,6,FALSE))/1440),1,0)</f>
        <v>0</v>
      </c>
      <c r="K121" s="2">
        <f>IF(AND(VLOOKUP(K$1,test!$A$3:$F$32,5,FALSE) - VLOOKUP($B121,test!$A$3:$G$32,6,FALSE) &gt;= (test!$B$36+VLOOKUP(VLOOKUP($B121,test!$A$2:$I$32,4,FALSE),test!$J$10:$P$14,6,FALSE))/1440),1,0)</f>
        <v>0</v>
      </c>
      <c r="L121" s="2">
        <f>IF(AND(VLOOKUP(L$1,test!$A$3:$F$32,5,FALSE) - VLOOKUP($B121,test!$A$3:$G$32,6,FALSE) &gt;= (test!$B$36+VLOOKUP(VLOOKUP($B121,test!$A$2:$I$32,4,FALSE),test!$J$10:$P$14,6,FALSE))/1440),1,0)</f>
        <v>0</v>
      </c>
      <c r="M121" s="2">
        <f>IF(AND(VLOOKUP(M$1,test!$A$3:$F$32,5,FALSE) - VLOOKUP($B121,test!$A$3:$G$32,6,FALSE) &gt;= (test!$B$36+VLOOKUP(VLOOKUP($B121,test!$A$2:$I$32,4,FALSE),test!$J$10:$P$14,6,FALSE))/1440),1,0)</f>
        <v>0</v>
      </c>
      <c r="N121" s="2">
        <f>IF(AND(VLOOKUP(N$1,test!$A$3:$F$32,5,FALSE) - VLOOKUP($B121,test!$A$3:$G$32,6,FALSE) &gt;= (test!$B$36+VLOOKUP(VLOOKUP($B121,test!$A$2:$I$32,4,FALSE),test!$J$10:$P$14,6,FALSE))/1440),1,0)</f>
        <v>0</v>
      </c>
      <c r="O121" s="2">
        <f>IF(AND(VLOOKUP(O$1,test!$A$3:$F$32,5,FALSE) - VLOOKUP($B121,test!$A$3:$G$32,6,FALSE) &gt;= (test!$B$36+VLOOKUP(VLOOKUP($B121,test!$A$2:$I$32,4,FALSE),test!$J$10:$P$14,6,FALSE))/1440),1,0)</f>
        <v>0</v>
      </c>
      <c r="P121" s="2">
        <f>IF(AND(VLOOKUP(P$1,test!$A$3:$F$32,5,FALSE) - VLOOKUP($B121,test!$A$3:$G$32,6,FALSE) &gt;= (test!$B$36+VLOOKUP(VLOOKUP($B121,test!$A$2:$I$32,4,FALSE),test!$J$10:$P$14,6,FALSE))/1440),1,0)</f>
        <v>0</v>
      </c>
      <c r="Q121" s="2">
        <f>IF(AND(VLOOKUP(Q$1,test!$A$3:$F$32,5,FALSE) - VLOOKUP($B121,test!$A$3:$G$32,6,FALSE) &gt;= (test!$B$36+VLOOKUP(VLOOKUP($B121,test!$A$2:$I$32,4,FALSE),test!$J$10:$P$14,6,FALSE))/1440),1,0)</f>
        <v>0</v>
      </c>
      <c r="R121" s="2">
        <f>IF(AND(VLOOKUP(R$1,test!$A$3:$F$32,5,FALSE) - VLOOKUP($B121,test!$A$3:$G$32,6,FALSE) &gt;= (test!$B$36+VLOOKUP(VLOOKUP($B121,test!$A$2:$I$32,4,FALSE),test!$J$10:$P$14,6,FALSE))/1440),1,0)</f>
        <v>0</v>
      </c>
      <c r="S121" s="2">
        <f>IF(AND(VLOOKUP(S$1,test!$A$3:$F$32,5,FALSE) - VLOOKUP($B121,test!$A$3:$G$32,6,FALSE) &gt;= (test!$B$36+VLOOKUP(VLOOKUP($B121,test!$A$2:$I$32,4,FALSE),test!$J$10:$P$14,6,FALSE))/1440),1,0)</f>
        <v>0</v>
      </c>
      <c r="T121" s="2">
        <f>IF(AND(VLOOKUP(T$1,test!$A$3:$F$32,5,FALSE) - VLOOKUP($B121,test!$A$3:$G$32,6,FALSE) &gt;= (test!$B$36+VLOOKUP(VLOOKUP($B121,test!$A$2:$I$32,4,FALSE),test!$J$10:$P$14,6,FALSE))/1440),1,0)</f>
        <v>0</v>
      </c>
      <c r="U121" s="2">
        <f>IF(AND(VLOOKUP(U$1,test!$A$3:$F$32,5,FALSE) - VLOOKUP($B121,test!$A$3:$G$32,6,FALSE) &gt;= (test!$B$36+VLOOKUP(VLOOKUP($B121,test!$A$2:$I$32,4,FALSE),test!$J$10:$P$14,6,FALSE))/1440),1,0)</f>
        <v>0</v>
      </c>
      <c r="V121" s="2">
        <f>IF(AND(VLOOKUP(V$1,test!$A$3:$F$32,5,FALSE) - VLOOKUP($B121,test!$A$3:$G$32,6,FALSE) &gt;= (test!$B$36+VLOOKUP(VLOOKUP($B121,test!$A$2:$I$32,4,FALSE),test!$J$10:$P$14,6,FALSE))/1440),1,0)</f>
        <v>0</v>
      </c>
      <c r="W121" s="2">
        <f>IF(AND(VLOOKUP(W$1,test!$A$3:$F$32,5,FALSE) - VLOOKUP($B121,test!$A$3:$G$32,6,FALSE) &gt;= (test!$B$36+VLOOKUP(VLOOKUP($B121,test!$A$2:$I$32,4,FALSE),test!$J$10:$P$14,6,FALSE))/1440),1,0)</f>
        <v>0</v>
      </c>
      <c r="X121" s="2">
        <f>IF(AND(VLOOKUP(X$1,test!$A$3:$F$32,5,FALSE) - VLOOKUP($B121,test!$A$3:$G$32,6,FALSE) &gt;= (test!$B$36+VLOOKUP(VLOOKUP($B121,test!$A$2:$I$32,4,FALSE),test!$J$10:$P$14,6,FALSE))/1440),1,0)</f>
        <v>0</v>
      </c>
      <c r="Y121" s="2">
        <f>IF(AND(VLOOKUP(Y$1,test!$A$3:$F$32,5,FALSE) - VLOOKUP($B121,test!$A$3:$G$32,6,FALSE) &gt;= (test!$B$36+VLOOKUP(VLOOKUP($B121,test!$A$2:$I$32,4,FALSE),test!$J$10:$P$14,6,FALSE))/1440),1,0)</f>
        <v>0</v>
      </c>
      <c r="Z121" s="2">
        <f>IF(AND(VLOOKUP(Z$1,test!$A$3:$F$32,5,FALSE) - VLOOKUP($B121,test!$A$3:$G$32,6,FALSE) &gt;= (test!$B$36+VLOOKUP(VLOOKUP($B121,test!$A$2:$I$32,4,FALSE),test!$J$10:$P$14,6,FALSE))/1440),1,0)</f>
        <v>0</v>
      </c>
      <c r="AA121" s="2">
        <f>IF(AND(VLOOKUP(AA$1,test!$A$3:$F$32,5,FALSE) - VLOOKUP($B121,test!$A$3:$G$32,6,FALSE) &gt;= (test!$B$36+VLOOKUP(VLOOKUP($B121,test!$A$2:$I$32,4,FALSE),test!$J$10:$P$14,6,FALSE))/1440),1,0)</f>
        <v>0</v>
      </c>
      <c r="AB121" s="2">
        <f>IF(AND(VLOOKUP(AB$1,test!$A$3:$F$32,5,FALSE) - VLOOKUP($B121,test!$A$3:$G$32,6,FALSE) &gt;= (test!$B$36+VLOOKUP(VLOOKUP($B121,test!$A$2:$I$32,4,FALSE),test!$J$10:$P$14,6,FALSE))/1440),1,0)</f>
        <v>0</v>
      </c>
      <c r="AC121" s="2">
        <f>IF(AND(VLOOKUP(AC$1,test!$A$3:$F$32,5,FALSE) - VLOOKUP($B121,test!$A$3:$G$32,6,FALSE) &gt;= (test!$B$36+VLOOKUP(VLOOKUP($B121,test!$A$2:$I$32,4,FALSE),test!$J$10:$P$14,6,FALSE))/1440),1,0)</f>
        <v>0</v>
      </c>
      <c r="AD121" s="2">
        <f>IF(AND(VLOOKUP(AD$1,test!$A$3:$F$32,5,FALSE) - VLOOKUP($B121,test!$A$3:$G$32,6,FALSE) &gt;= (test!$B$36+VLOOKUP(VLOOKUP($B121,test!$A$2:$I$32,4,FALSE),test!$J$10:$P$14,6,FALSE))/1440),1,0)</f>
        <v>0</v>
      </c>
      <c r="AE121" s="2">
        <f>IF(AND(VLOOKUP(AE$1,test!$A$3:$F$32,5,FALSE) - VLOOKUP($B121,test!$A$3:$G$32,6,FALSE) &gt;= (test!$B$36+VLOOKUP(VLOOKUP($B121,test!$A$2:$I$32,4,FALSE),test!$J$10:$P$14,6,FALSE))/1440),1,0)</f>
        <v>0</v>
      </c>
      <c r="AF121" s="2">
        <f>IF(AND(VLOOKUP(AF$1,test!$A$3:$F$32,5,FALSE) - VLOOKUP($B121,test!$A$3:$G$32,6,FALSE) &gt;= (test!$B$36+VLOOKUP(VLOOKUP($B121,test!$A$2:$I$32,4,FALSE),test!$J$10:$P$14,6,FALSE))/1440),1,0)</f>
        <v>0</v>
      </c>
      <c r="AG121" s="2">
        <f>IF(AND(VLOOKUP(AG$1,test!$A$3:$F$32,5,FALSE) - VLOOKUP($B121,test!$A$3:$G$32,6,FALSE) &gt;= (test!$B$36+VLOOKUP(VLOOKUP($B121,test!$A$2:$I$32,4,FALSE),test!$J$10:$P$14,6,FALSE))/1440),1,0)</f>
        <v>0</v>
      </c>
    </row>
    <row r="122" spans="1:33" x14ac:dyDescent="0.25">
      <c r="A122" t="s">
        <v>98</v>
      </c>
      <c r="B122" t="s">
        <v>38</v>
      </c>
      <c r="C122">
        <v>0</v>
      </c>
      <c r="D122" s="2">
        <f>IF(AND(VLOOKUP(D$1,test!$A$3:$F$32,5,FALSE) - VLOOKUP($B122,test!$A$3:$G$32,6,FALSE) &gt;= (test!$B$36+VLOOKUP(VLOOKUP($B122,test!$A$2:$I$32,4,FALSE),test!$J$10:$P$14,6,FALSE))/1440),1,0)</f>
        <v>0</v>
      </c>
      <c r="E122" s="2">
        <f>IF(AND(VLOOKUP(E$1,test!$A$3:$F$32,5,FALSE) - VLOOKUP($B122,test!$A$3:$G$32,6,FALSE) &gt;= (test!$B$36+VLOOKUP(VLOOKUP($B122,test!$A$2:$I$32,4,FALSE),test!$J$10:$P$14,6,FALSE))/1440),1,0)</f>
        <v>0</v>
      </c>
      <c r="F122" s="2">
        <f>IF(AND(VLOOKUP(F$1,test!$A$3:$F$32,5,FALSE) - VLOOKUP($B122,test!$A$3:$G$32,6,FALSE) &gt;= (test!$B$36+VLOOKUP(VLOOKUP($B122,test!$A$2:$I$32,4,FALSE),test!$J$10:$P$14,6,FALSE))/1440),1,0)</f>
        <v>0</v>
      </c>
      <c r="G122" s="2">
        <f>IF(AND(VLOOKUP(G$1,test!$A$3:$F$32,5,FALSE) - VLOOKUP($B122,test!$A$3:$G$32,6,FALSE) &gt;= (test!$B$36+VLOOKUP(VLOOKUP($B122,test!$A$2:$I$32,4,FALSE),test!$J$10:$P$14,6,FALSE))/1440),1,0)</f>
        <v>0</v>
      </c>
      <c r="H122" s="2">
        <f>IF(AND(VLOOKUP(H$1,test!$A$3:$F$32,5,FALSE) - VLOOKUP($B122,test!$A$3:$G$32,6,FALSE) &gt;= (test!$B$36+VLOOKUP(VLOOKUP($B122,test!$A$2:$I$32,4,FALSE),test!$J$10:$P$14,6,FALSE))/1440),1,0)</f>
        <v>0</v>
      </c>
      <c r="I122" s="2">
        <f>IF(AND(VLOOKUP(I$1,test!$A$3:$F$32,5,FALSE) - VLOOKUP($B122,test!$A$3:$G$32,6,FALSE) &gt;= (test!$B$36+VLOOKUP(VLOOKUP($B122,test!$A$2:$I$32,4,FALSE),test!$J$10:$P$14,6,FALSE))/1440),1,0)</f>
        <v>0</v>
      </c>
      <c r="J122" s="2">
        <f>IF(AND(VLOOKUP(J$1,test!$A$3:$F$32,5,FALSE) - VLOOKUP($B122,test!$A$3:$G$32,6,FALSE) &gt;= (test!$B$36+VLOOKUP(VLOOKUP($B122,test!$A$2:$I$32,4,FALSE),test!$J$10:$P$14,6,FALSE))/1440),1,0)</f>
        <v>0</v>
      </c>
      <c r="K122" s="2">
        <f>IF(AND(VLOOKUP(K$1,test!$A$3:$F$32,5,FALSE) - VLOOKUP($B122,test!$A$3:$G$32,6,FALSE) &gt;= (test!$B$36+VLOOKUP(VLOOKUP($B122,test!$A$2:$I$32,4,FALSE),test!$J$10:$P$14,6,FALSE))/1440),1,0)</f>
        <v>0</v>
      </c>
      <c r="L122" s="2">
        <f>IF(AND(VLOOKUP(L$1,test!$A$3:$F$32,5,FALSE) - VLOOKUP($B122,test!$A$3:$G$32,6,FALSE) &gt;= (test!$B$36+VLOOKUP(VLOOKUP($B122,test!$A$2:$I$32,4,FALSE),test!$J$10:$P$14,6,FALSE))/1440),1,0)</f>
        <v>0</v>
      </c>
      <c r="M122" s="2">
        <f>IF(AND(VLOOKUP(M$1,test!$A$3:$F$32,5,FALSE) - VLOOKUP($B122,test!$A$3:$G$32,6,FALSE) &gt;= (test!$B$36+VLOOKUP(VLOOKUP($B122,test!$A$2:$I$32,4,FALSE),test!$J$10:$P$14,6,FALSE))/1440),1,0)</f>
        <v>0</v>
      </c>
      <c r="N122" s="2">
        <f>IF(AND(VLOOKUP(N$1,test!$A$3:$F$32,5,FALSE) - VLOOKUP($B122,test!$A$3:$G$32,6,FALSE) &gt;= (test!$B$36+VLOOKUP(VLOOKUP($B122,test!$A$2:$I$32,4,FALSE),test!$J$10:$P$14,6,FALSE))/1440),1,0)</f>
        <v>0</v>
      </c>
      <c r="O122" s="2">
        <f>IF(AND(VLOOKUP(O$1,test!$A$3:$F$32,5,FALSE) - VLOOKUP($B122,test!$A$3:$G$32,6,FALSE) &gt;= (test!$B$36+VLOOKUP(VLOOKUP($B122,test!$A$2:$I$32,4,FALSE),test!$J$10:$P$14,6,FALSE))/1440),1,0)</f>
        <v>0</v>
      </c>
      <c r="P122" s="2">
        <f>IF(AND(VLOOKUP(P$1,test!$A$3:$F$32,5,FALSE) - VLOOKUP($B122,test!$A$3:$G$32,6,FALSE) &gt;= (test!$B$36+VLOOKUP(VLOOKUP($B122,test!$A$2:$I$32,4,FALSE),test!$J$10:$P$14,6,FALSE))/1440),1,0)</f>
        <v>0</v>
      </c>
      <c r="Q122" s="2">
        <f>IF(AND(VLOOKUP(Q$1,test!$A$3:$F$32,5,FALSE) - VLOOKUP($B122,test!$A$3:$G$32,6,FALSE) &gt;= (test!$B$36+VLOOKUP(VLOOKUP($B122,test!$A$2:$I$32,4,FALSE),test!$J$10:$P$14,6,FALSE))/1440),1,0)</f>
        <v>0</v>
      </c>
      <c r="R122" s="2">
        <f>IF(AND(VLOOKUP(R$1,test!$A$3:$F$32,5,FALSE) - VLOOKUP($B122,test!$A$3:$G$32,6,FALSE) &gt;= (test!$B$36+VLOOKUP(VLOOKUP($B122,test!$A$2:$I$32,4,FALSE),test!$J$10:$P$14,6,FALSE))/1440),1,0)</f>
        <v>0</v>
      </c>
      <c r="S122" s="2">
        <f>IF(AND(VLOOKUP(S$1,test!$A$3:$F$32,5,FALSE) - VLOOKUP($B122,test!$A$3:$G$32,6,FALSE) &gt;= (test!$B$36+VLOOKUP(VLOOKUP($B122,test!$A$2:$I$32,4,FALSE),test!$J$10:$P$14,6,FALSE))/1440),1,0)</f>
        <v>0</v>
      </c>
      <c r="T122" s="2">
        <f>IF(AND(VLOOKUP(T$1,test!$A$3:$F$32,5,FALSE) - VLOOKUP($B122,test!$A$3:$G$32,6,FALSE) &gt;= (test!$B$36+VLOOKUP(VLOOKUP($B122,test!$A$2:$I$32,4,FALSE),test!$J$10:$P$14,6,FALSE))/1440),1,0)</f>
        <v>0</v>
      </c>
      <c r="U122" s="2">
        <f>IF(AND(VLOOKUP(U$1,test!$A$3:$F$32,5,FALSE) - VLOOKUP($B122,test!$A$3:$G$32,6,FALSE) &gt;= (test!$B$36+VLOOKUP(VLOOKUP($B122,test!$A$2:$I$32,4,FALSE),test!$J$10:$P$14,6,FALSE))/1440),1,0)</f>
        <v>0</v>
      </c>
      <c r="V122" s="2">
        <f>IF(AND(VLOOKUP(V$1,test!$A$3:$F$32,5,FALSE) - VLOOKUP($B122,test!$A$3:$G$32,6,FALSE) &gt;= (test!$B$36+VLOOKUP(VLOOKUP($B122,test!$A$2:$I$32,4,FALSE),test!$J$10:$P$14,6,FALSE))/1440),1,0)</f>
        <v>0</v>
      </c>
      <c r="W122" s="2">
        <f>IF(AND(VLOOKUP(W$1,test!$A$3:$F$32,5,FALSE) - VLOOKUP($B122,test!$A$3:$G$32,6,FALSE) &gt;= (test!$B$36+VLOOKUP(VLOOKUP($B122,test!$A$2:$I$32,4,FALSE),test!$J$10:$P$14,6,FALSE))/1440),1,0)</f>
        <v>0</v>
      </c>
      <c r="X122" s="2">
        <f>IF(AND(VLOOKUP(X$1,test!$A$3:$F$32,5,FALSE) - VLOOKUP($B122,test!$A$3:$G$32,6,FALSE) &gt;= (test!$B$36+VLOOKUP(VLOOKUP($B122,test!$A$2:$I$32,4,FALSE),test!$J$10:$P$14,6,FALSE))/1440),1,0)</f>
        <v>0</v>
      </c>
      <c r="Y122" s="2">
        <f>IF(AND(VLOOKUP(Y$1,test!$A$3:$F$32,5,FALSE) - VLOOKUP($B122,test!$A$3:$G$32,6,FALSE) &gt;= (test!$B$36+VLOOKUP(VLOOKUP($B122,test!$A$2:$I$32,4,FALSE),test!$J$10:$P$14,6,FALSE))/1440),1,0)</f>
        <v>0</v>
      </c>
      <c r="Z122" s="2">
        <f>IF(AND(VLOOKUP(Z$1,test!$A$3:$F$32,5,FALSE) - VLOOKUP($B122,test!$A$3:$G$32,6,FALSE) &gt;= (test!$B$36+VLOOKUP(VLOOKUP($B122,test!$A$2:$I$32,4,FALSE),test!$J$10:$P$14,6,FALSE))/1440),1,0)</f>
        <v>0</v>
      </c>
      <c r="AA122" s="2">
        <f>IF(AND(VLOOKUP(AA$1,test!$A$3:$F$32,5,FALSE) - VLOOKUP($B122,test!$A$3:$G$32,6,FALSE) &gt;= (test!$B$36+VLOOKUP(VLOOKUP($B122,test!$A$2:$I$32,4,FALSE),test!$J$10:$P$14,6,FALSE))/1440),1,0)</f>
        <v>0</v>
      </c>
      <c r="AB122" s="2">
        <f>IF(AND(VLOOKUP(AB$1,test!$A$3:$F$32,5,FALSE) - VLOOKUP($B122,test!$A$3:$G$32,6,FALSE) &gt;= (test!$B$36+VLOOKUP(VLOOKUP($B122,test!$A$2:$I$32,4,FALSE),test!$J$10:$P$14,6,FALSE))/1440),1,0)</f>
        <v>0</v>
      </c>
      <c r="AC122" s="2">
        <f>IF(AND(VLOOKUP(AC$1,test!$A$3:$F$32,5,FALSE) - VLOOKUP($B122,test!$A$3:$G$32,6,FALSE) &gt;= (test!$B$36+VLOOKUP(VLOOKUP($B122,test!$A$2:$I$32,4,FALSE),test!$J$10:$P$14,6,FALSE))/1440),1,0)</f>
        <v>0</v>
      </c>
      <c r="AD122" s="2">
        <f>IF(AND(VLOOKUP(AD$1,test!$A$3:$F$32,5,FALSE) - VLOOKUP($B122,test!$A$3:$G$32,6,FALSE) &gt;= (test!$B$36+VLOOKUP(VLOOKUP($B122,test!$A$2:$I$32,4,FALSE),test!$J$10:$P$14,6,FALSE))/1440),1,0)</f>
        <v>0</v>
      </c>
      <c r="AE122" s="2">
        <f>IF(AND(VLOOKUP(AE$1,test!$A$3:$F$32,5,FALSE) - VLOOKUP($B122,test!$A$3:$G$32,6,FALSE) &gt;= (test!$B$36+VLOOKUP(VLOOKUP($B122,test!$A$2:$I$32,4,FALSE),test!$J$10:$P$14,6,FALSE))/1440),1,0)</f>
        <v>0</v>
      </c>
      <c r="AF122" s="2">
        <f>IF(AND(VLOOKUP(AF$1,test!$A$3:$F$32,5,FALSE) - VLOOKUP($B122,test!$A$3:$G$32,6,FALSE) &gt;= (test!$B$36+VLOOKUP(VLOOKUP($B122,test!$A$2:$I$32,4,FALSE),test!$J$10:$P$14,6,FALSE))/1440),1,0)</f>
        <v>0</v>
      </c>
      <c r="AG122" s="2">
        <f>IF(AND(VLOOKUP(AG$1,test!$A$3:$F$32,5,FALSE) - VLOOKUP($B122,test!$A$3:$G$32,6,FALSE) &gt;= (test!$B$36+VLOOKUP(VLOOKUP($B122,test!$A$2:$I$32,4,FALSE),test!$J$10:$P$14,6,FALSE))/1440),1,0)</f>
        <v>0</v>
      </c>
    </row>
    <row r="123" spans="1:33" x14ac:dyDescent="0.25">
      <c r="A123" t="s">
        <v>98</v>
      </c>
      <c r="B123" t="s">
        <v>39</v>
      </c>
      <c r="C123">
        <v>0</v>
      </c>
      <c r="D123" s="2">
        <f>IF(AND(VLOOKUP(D$1,test!$A$3:$F$32,5,FALSE) - VLOOKUP($B123,test!$A$3:$G$32,6,FALSE) &gt;= (test!$B$36+VLOOKUP(VLOOKUP($B123,test!$A$2:$I$32,4,FALSE),test!$J$10:$P$14,6,FALSE))/1440),1,0)</f>
        <v>0</v>
      </c>
      <c r="E123" s="2">
        <f>IF(AND(VLOOKUP(E$1,test!$A$3:$F$32,5,FALSE) - VLOOKUP($B123,test!$A$3:$G$32,6,FALSE) &gt;= (test!$B$36+VLOOKUP(VLOOKUP($B123,test!$A$2:$I$32,4,FALSE),test!$J$10:$P$14,6,FALSE))/1440),1,0)</f>
        <v>0</v>
      </c>
      <c r="F123" s="2">
        <f>IF(AND(VLOOKUP(F$1,test!$A$3:$F$32,5,FALSE) - VLOOKUP($B123,test!$A$3:$G$32,6,FALSE) &gt;= (test!$B$36+VLOOKUP(VLOOKUP($B123,test!$A$2:$I$32,4,FALSE),test!$J$10:$P$14,6,FALSE))/1440),1,0)</f>
        <v>0</v>
      </c>
      <c r="G123" s="2">
        <f>IF(AND(VLOOKUP(G$1,test!$A$3:$F$32,5,FALSE) - VLOOKUP($B123,test!$A$3:$G$32,6,FALSE) &gt;= (test!$B$36+VLOOKUP(VLOOKUP($B123,test!$A$2:$I$32,4,FALSE),test!$J$10:$P$14,6,FALSE))/1440),1,0)</f>
        <v>0</v>
      </c>
      <c r="H123" s="2">
        <f>IF(AND(VLOOKUP(H$1,test!$A$3:$F$32,5,FALSE) - VLOOKUP($B123,test!$A$3:$G$32,6,FALSE) &gt;= (test!$B$36+VLOOKUP(VLOOKUP($B123,test!$A$2:$I$32,4,FALSE),test!$J$10:$P$14,6,FALSE))/1440),1,0)</f>
        <v>0</v>
      </c>
      <c r="I123" s="2">
        <f>IF(AND(VLOOKUP(I$1,test!$A$3:$F$32,5,FALSE) - VLOOKUP($B123,test!$A$3:$G$32,6,FALSE) &gt;= (test!$B$36+VLOOKUP(VLOOKUP($B123,test!$A$2:$I$32,4,FALSE),test!$J$10:$P$14,6,FALSE))/1440),1,0)</f>
        <v>0</v>
      </c>
      <c r="J123" s="2">
        <f>IF(AND(VLOOKUP(J$1,test!$A$3:$F$32,5,FALSE) - VLOOKUP($B123,test!$A$3:$G$32,6,FALSE) &gt;= (test!$B$36+VLOOKUP(VLOOKUP($B123,test!$A$2:$I$32,4,FALSE),test!$J$10:$P$14,6,FALSE))/1440),1,0)</f>
        <v>1</v>
      </c>
      <c r="K123" s="2">
        <f>IF(AND(VLOOKUP(K$1,test!$A$3:$F$32,5,FALSE) - VLOOKUP($B123,test!$A$3:$G$32,6,FALSE) &gt;= (test!$B$36+VLOOKUP(VLOOKUP($B123,test!$A$2:$I$32,4,FALSE),test!$J$10:$P$14,6,FALSE))/1440),1,0)</f>
        <v>1</v>
      </c>
      <c r="L123" s="2">
        <f>IF(AND(VLOOKUP(L$1,test!$A$3:$F$32,5,FALSE) - VLOOKUP($B123,test!$A$3:$G$32,6,FALSE) &gt;= (test!$B$36+VLOOKUP(VLOOKUP($B123,test!$A$2:$I$32,4,FALSE),test!$J$10:$P$14,6,FALSE))/1440),1,0)</f>
        <v>0</v>
      </c>
      <c r="M123" s="2">
        <f>IF(AND(VLOOKUP(M$1,test!$A$3:$F$32,5,FALSE) - VLOOKUP($B123,test!$A$3:$G$32,6,FALSE) &gt;= (test!$B$36+VLOOKUP(VLOOKUP($B123,test!$A$2:$I$32,4,FALSE),test!$J$10:$P$14,6,FALSE))/1440),1,0)</f>
        <v>0</v>
      </c>
      <c r="N123" s="2">
        <f>IF(AND(VLOOKUP(N$1,test!$A$3:$F$32,5,FALSE) - VLOOKUP($B123,test!$A$3:$G$32,6,FALSE) &gt;= (test!$B$36+VLOOKUP(VLOOKUP($B123,test!$A$2:$I$32,4,FALSE),test!$J$10:$P$14,6,FALSE))/1440),1,0)</f>
        <v>0</v>
      </c>
      <c r="O123" s="2">
        <f>IF(AND(VLOOKUP(O$1,test!$A$3:$F$32,5,FALSE) - VLOOKUP($B123,test!$A$3:$G$32,6,FALSE) &gt;= (test!$B$36+VLOOKUP(VLOOKUP($B123,test!$A$2:$I$32,4,FALSE),test!$J$10:$P$14,6,FALSE))/1440),1,0)</f>
        <v>1</v>
      </c>
      <c r="P123" s="2">
        <f>IF(AND(VLOOKUP(P$1,test!$A$3:$F$32,5,FALSE) - VLOOKUP($B123,test!$A$3:$G$32,6,FALSE) &gt;= (test!$B$36+VLOOKUP(VLOOKUP($B123,test!$A$2:$I$32,4,FALSE),test!$J$10:$P$14,6,FALSE))/1440),1,0)</f>
        <v>1</v>
      </c>
      <c r="Q123" s="2">
        <f>IF(AND(VLOOKUP(Q$1,test!$A$3:$F$32,5,FALSE) - VLOOKUP($B123,test!$A$3:$G$32,6,FALSE) &gt;= (test!$B$36+VLOOKUP(VLOOKUP($B123,test!$A$2:$I$32,4,FALSE),test!$J$10:$P$14,6,FALSE))/1440),1,0)</f>
        <v>0</v>
      </c>
      <c r="R123" s="2">
        <f>IF(AND(VLOOKUP(R$1,test!$A$3:$F$32,5,FALSE) - VLOOKUP($B123,test!$A$3:$G$32,6,FALSE) &gt;= (test!$B$36+VLOOKUP(VLOOKUP($B123,test!$A$2:$I$32,4,FALSE),test!$J$10:$P$14,6,FALSE))/1440),1,0)</f>
        <v>0</v>
      </c>
      <c r="S123" s="2">
        <f>IF(AND(VLOOKUP(S$1,test!$A$3:$F$32,5,FALSE) - VLOOKUP($B123,test!$A$3:$G$32,6,FALSE) &gt;= (test!$B$36+VLOOKUP(VLOOKUP($B123,test!$A$2:$I$32,4,FALSE),test!$J$10:$P$14,6,FALSE))/1440),1,0)</f>
        <v>0</v>
      </c>
      <c r="T123" s="2">
        <f>IF(AND(VLOOKUP(T$1,test!$A$3:$F$32,5,FALSE) - VLOOKUP($B123,test!$A$3:$G$32,6,FALSE) &gt;= (test!$B$36+VLOOKUP(VLOOKUP($B123,test!$A$2:$I$32,4,FALSE),test!$J$10:$P$14,6,FALSE))/1440),1,0)</f>
        <v>0</v>
      </c>
      <c r="U123" s="2">
        <f>IF(AND(VLOOKUP(U$1,test!$A$3:$F$32,5,FALSE) - VLOOKUP($B123,test!$A$3:$G$32,6,FALSE) &gt;= (test!$B$36+VLOOKUP(VLOOKUP($B123,test!$A$2:$I$32,4,FALSE),test!$J$10:$P$14,6,FALSE))/1440),1,0)</f>
        <v>0</v>
      </c>
      <c r="V123" s="2">
        <f>IF(AND(VLOOKUP(V$1,test!$A$3:$F$32,5,FALSE) - VLOOKUP($B123,test!$A$3:$G$32,6,FALSE) &gt;= (test!$B$36+VLOOKUP(VLOOKUP($B123,test!$A$2:$I$32,4,FALSE),test!$J$10:$P$14,6,FALSE))/1440),1,0)</f>
        <v>0</v>
      </c>
      <c r="W123" s="2">
        <f>IF(AND(VLOOKUP(W$1,test!$A$3:$F$32,5,FALSE) - VLOOKUP($B123,test!$A$3:$G$32,6,FALSE) &gt;= (test!$B$36+VLOOKUP(VLOOKUP($B123,test!$A$2:$I$32,4,FALSE),test!$J$10:$P$14,6,FALSE))/1440),1,0)</f>
        <v>0</v>
      </c>
      <c r="X123" s="2">
        <f>IF(AND(VLOOKUP(X$1,test!$A$3:$F$32,5,FALSE) - VLOOKUP($B123,test!$A$3:$G$32,6,FALSE) &gt;= (test!$B$36+VLOOKUP(VLOOKUP($B123,test!$A$2:$I$32,4,FALSE),test!$J$10:$P$14,6,FALSE))/1440),1,0)</f>
        <v>1</v>
      </c>
      <c r="Y123" s="2">
        <f>IF(AND(VLOOKUP(Y$1,test!$A$3:$F$32,5,FALSE) - VLOOKUP($B123,test!$A$3:$G$32,6,FALSE) &gt;= (test!$B$36+VLOOKUP(VLOOKUP($B123,test!$A$2:$I$32,4,FALSE),test!$J$10:$P$14,6,FALSE))/1440),1,0)</f>
        <v>1</v>
      </c>
      <c r="Z123" s="2">
        <f>IF(AND(VLOOKUP(Z$1,test!$A$3:$F$32,5,FALSE) - VLOOKUP($B123,test!$A$3:$G$32,6,FALSE) &gt;= (test!$B$36+VLOOKUP(VLOOKUP($B123,test!$A$2:$I$32,4,FALSE),test!$J$10:$P$14,6,FALSE))/1440),1,0)</f>
        <v>0</v>
      </c>
      <c r="AA123" s="2">
        <f>IF(AND(VLOOKUP(AA$1,test!$A$3:$F$32,5,FALSE) - VLOOKUP($B123,test!$A$3:$G$32,6,FALSE) &gt;= (test!$B$36+VLOOKUP(VLOOKUP($B123,test!$A$2:$I$32,4,FALSE),test!$J$10:$P$14,6,FALSE))/1440),1,0)</f>
        <v>0</v>
      </c>
      <c r="AB123" s="2">
        <f>IF(AND(VLOOKUP(AB$1,test!$A$3:$F$32,5,FALSE) - VLOOKUP($B123,test!$A$3:$G$32,6,FALSE) &gt;= (test!$B$36+VLOOKUP(VLOOKUP($B123,test!$A$2:$I$32,4,FALSE),test!$J$10:$P$14,6,FALSE))/1440),1,0)</f>
        <v>0</v>
      </c>
      <c r="AC123" s="2">
        <f>IF(AND(VLOOKUP(AC$1,test!$A$3:$F$32,5,FALSE) - VLOOKUP($B123,test!$A$3:$G$32,6,FALSE) &gt;= (test!$B$36+VLOOKUP(VLOOKUP($B123,test!$A$2:$I$32,4,FALSE),test!$J$10:$P$14,6,FALSE))/1440),1,0)</f>
        <v>0</v>
      </c>
      <c r="AD123" s="2">
        <f>IF(AND(VLOOKUP(AD$1,test!$A$3:$F$32,5,FALSE) - VLOOKUP($B123,test!$A$3:$G$32,6,FALSE) &gt;= (test!$B$36+VLOOKUP(VLOOKUP($B123,test!$A$2:$I$32,4,FALSE),test!$J$10:$P$14,6,FALSE))/1440),1,0)</f>
        <v>0</v>
      </c>
      <c r="AE123" s="2">
        <f>IF(AND(VLOOKUP(AE$1,test!$A$3:$F$32,5,FALSE) - VLOOKUP($B123,test!$A$3:$G$32,6,FALSE) &gt;= (test!$B$36+VLOOKUP(VLOOKUP($B123,test!$A$2:$I$32,4,FALSE),test!$J$10:$P$14,6,FALSE))/1440),1,0)</f>
        <v>0</v>
      </c>
      <c r="AF123" s="2">
        <f>IF(AND(VLOOKUP(AF$1,test!$A$3:$F$32,5,FALSE) - VLOOKUP($B123,test!$A$3:$G$32,6,FALSE) &gt;= (test!$B$36+VLOOKUP(VLOOKUP($B123,test!$A$2:$I$32,4,FALSE),test!$J$10:$P$14,6,FALSE))/1440),1,0)</f>
        <v>0</v>
      </c>
      <c r="AG123" s="2">
        <f>IF(AND(VLOOKUP(AG$1,test!$A$3:$F$32,5,FALSE) - VLOOKUP($B123,test!$A$3:$G$32,6,FALSE) &gt;= (test!$B$36+VLOOKUP(VLOOKUP($B123,test!$A$2:$I$32,4,FALSE),test!$J$10:$P$14,6,FALSE))/1440),1,0)</f>
        <v>0</v>
      </c>
    </row>
    <row r="124" spans="1:33" x14ac:dyDescent="0.25">
      <c r="A124" t="s">
        <v>98</v>
      </c>
      <c r="B124" t="s">
        <v>40</v>
      </c>
      <c r="C124">
        <v>0</v>
      </c>
      <c r="D124" s="2">
        <f>IF(AND(VLOOKUP(D$1,test!$A$3:$F$32,5,FALSE) - VLOOKUP($B124,test!$A$3:$G$32,6,FALSE) &gt;= (test!$B$36+VLOOKUP(VLOOKUP($B124,test!$A$2:$I$32,4,FALSE),test!$J$10:$P$14,6,FALSE))/1440),1,0)</f>
        <v>0</v>
      </c>
      <c r="E124" s="2">
        <f>IF(AND(VLOOKUP(E$1,test!$A$3:$F$32,5,FALSE) - VLOOKUP($B124,test!$A$3:$G$32,6,FALSE) &gt;= (test!$B$36+VLOOKUP(VLOOKUP($B124,test!$A$2:$I$32,4,FALSE),test!$J$10:$P$14,6,FALSE))/1440),1,0)</f>
        <v>0</v>
      </c>
      <c r="F124" s="2">
        <f>IF(AND(VLOOKUP(F$1,test!$A$3:$F$32,5,FALSE) - VLOOKUP($B124,test!$A$3:$G$32,6,FALSE) &gt;= (test!$B$36+VLOOKUP(VLOOKUP($B124,test!$A$2:$I$32,4,FALSE),test!$J$10:$P$14,6,FALSE))/1440),1,0)</f>
        <v>0</v>
      </c>
      <c r="G124" s="2">
        <f>IF(AND(VLOOKUP(G$1,test!$A$3:$F$32,5,FALSE) - VLOOKUP($B124,test!$A$3:$G$32,6,FALSE) &gt;= (test!$B$36+VLOOKUP(VLOOKUP($B124,test!$A$2:$I$32,4,FALSE),test!$J$10:$P$14,6,FALSE))/1440),1,0)</f>
        <v>0</v>
      </c>
      <c r="H124" s="2">
        <f>IF(AND(VLOOKUP(H$1,test!$A$3:$F$32,5,FALSE) - VLOOKUP($B124,test!$A$3:$G$32,6,FALSE) &gt;= (test!$B$36+VLOOKUP(VLOOKUP($B124,test!$A$2:$I$32,4,FALSE),test!$J$10:$P$14,6,FALSE))/1440),1,0)</f>
        <v>0</v>
      </c>
      <c r="I124" s="2">
        <f>IF(AND(VLOOKUP(I$1,test!$A$3:$F$32,5,FALSE) - VLOOKUP($B124,test!$A$3:$G$32,6,FALSE) &gt;= (test!$B$36+VLOOKUP(VLOOKUP($B124,test!$A$2:$I$32,4,FALSE),test!$J$10:$P$14,6,FALSE))/1440),1,0)</f>
        <v>0</v>
      </c>
      <c r="J124" s="2">
        <f>IF(AND(VLOOKUP(J$1,test!$A$3:$F$32,5,FALSE) - VLOOKUP($B124,test!$A$3:$G$32,6,FALSE) &gt;= (test!$B$36+VLOOKUP(VLOOKUP($B124,test!$A$2:$I$32,4,FALSE),test!$J$10:$P$14,6,FALSE))/1440),1,0)</f>
        <v>0</v>
      </c>
      <c r="K124" s="2">
        <f>IF(AND(VLOOKUP(K$1,test!$A$3:$F$32,5,FALSE) - VLOOKUP($B124,test!$A$3:$G$32,6,FALSE) &gt;= (test!$B$36+VLOOKUP(VLOOKUP($B124,test!$A$2:$I$32,4,FALSE),test!$J$10:$P$14,6,FALSE))/1440),1,0)</f>
        <v>0</v>
      </c>
      <c r="L124" s="2">
        <f>IF(AND(VLOOKUP(L$1,test!$A$3:$F$32,5,FALSE) - VLOOKUP($B124,test!$A$3:$G$32,6,FALSE) &gt;= (test!$B$36+VLOOKUP(VLOOKUP($B124,test!$A$2:$I$32,4,FALSE),test!$J$10:$P$14,6,FALSE))/1440),1,0)</f>
        <v>0</v>
      </c>
      <c r="M124" s="2">
        <f>IF(AND(VLOOKUP(M$1,test!$A$3:$F$32,5,FALSE) - VLOOKUP($B124,test!$A$3:$G$32,6,FALSE) &gt;= (test!$B$36+VLOOKUP(VLOOKUP($B124,test!$A$2:$I$32,4,FALSE),test!$J$10:$P$14,6,FALSE))/1440),1,0)</f>
        <v>0</v>
      </c>
      <c r="N124" s="2">
        <f>IF(AND(VLOOKUP(N$1,test!$A$3:$F$32,5,FALSE) - VLOOKUP($B124,test!$A$3:$G$32,6,FALSE) &gt;= (test!$B$36+VLOOKUP(VLOOKUP($B124,test!$A$2:$I$32,4,FALSE),test!$J$10:$P$14,6,FALSE))/1440),1,0)</f>
        <v>0</v>
      </c>
      <c r="O124" s="2">
        <f>IF(AND(VLOOKUP(O$1,test!$A$3:$F$32,5,FALSE) - VLOOKUP($B124,test!$A$3:$G$32,6,FALSE) &gt;= (test!$B$36+VLOOKUP(VLOOKUP($B124,test!$A$2:$I$32,4,FALSE),test!$J$10:$P$14,6,FALSE))/1440),1,0)</f>
        <v>0</v>
      </c>
      <c r="P124" s="2">
        <f>IF(AND(VLOOKUP(P$1,test!$A$3:$F$32,5,FALSE) - VLOOKUP($B124,test!$A$3:$G$32,6,FALSE) &gt;= (test!$B$36+VLOOKUP(VLOOKUP($B124,test!$A$2:$I$32,4,FALSE),test!$J$10:$P$14,6,FALSE))/1440),1,0)</f>
        <v>0</v>
      </c>
      <c r="Q124" s="2">
        <f>IF(AND(VLOOKUP(Q$1,test!$A$3:$F$32,5,FALSE) - VLOOKUP($B124,test!$A$3:$G$32,6,FALSE) &gt;= (test!$B$36+VLOOKUP(VLOOKUP($B124,test!$A$2:$I$32,4,FALSE),test!$J$10:$P$14,6,FALSE))/1440),1,0)</f>
        <v>0</v>
      </c>
      <c r="R124" s="2">
        <f>IF(AND(VLOOKUP(R$1,test!$A$3:$F$32,5,FALSE) - VLOOKUP($B124,test!$A$3:$G$32,6,FALSE) &gt;= (test!$B$36+VLOOKUP(VLOOKUP($B124,test!$A$2:$I$32,4,FALSE),test!$J$10:$P$14,6,FALSE))/1440),1,0)</f>
        <v>0</v>
      </c>
      <c r="S124" s="2">
        <f>IF(AND(VLOOKUP(S$1,test!$A$3:$F$32,5,FALSE) - VLOOKUP($B124,test!$A$3:$G$32,6,FALSE) &gt;= (test!$B$36+VLOOKUP(VLOOKUP($B124,test!$A$2:$I$32,4,FALSE),test!$J$10:$P$14,6,FALSE))/1440),1,0)</f>
        <v>0</v>
      </c>
      <c r="T124" s="2">
        <f>IF(AND(VLOOKUP(T$1,test!$A$3:$F$32,5,FALSE) - VLOOKUP($B124,test!$A$3:$G$32,6,FALSE) &gt;= (test!$B$36+VLOOKUP(VLOOKUP($B124,test!$A$2:$I$32,4,FALSE),test!$J$10:$P$14,6,FALSE))/1440),1,0)</f>
        <v>0</v>
      </c>
      <c r="U124" s="2">
        <f>IF(AND(VLOOKUP(U$1,test!$A$3:$F$32,5,FALSE) - VLOOKUP($B124,test!$A$3:$G$32,6,FALSE) &gt;= (test!$B$36+VLOOKUP(VLOOKUP($B124,test!$A$2:$I$32,4,FALSE),test!$J$10:$P$14,6,FALSE))/1440),1,0)</f>
        <v>0</v>
      </c>
      <c r="V124" s="2">
        <f>IF(AND(VLOOKUP(V$1,test!$A$3:$F$32,5,FALSE) - VLOOKUP($B124,test!$A$3:$G$32,6,FALSE) &gt;= (test!$B$36+VLOOKUP(VLOOKUP($B124,test!$A$2:$I$32,4,FALSE),test!$J$10:$P$14,6,FALSE))/1440),1,0)</f>
        <v>0</v>
      </c>
      <c r="W124" s="2">
        <f>IF(AND(VLOOKUP(W$1,test!$A$3:$F$32,5,FALSE) - VLOOKUP($B124,test!$A$3:$G$32,6,FALSE) &gt;= (test!$B$36+VLOOKUP(VLOOKUP($B124,test!$A$2:$I$32,4,FALSE),test!$J$10:$P$14,6,FALSE))/1440),1,0)</f>
        <v>0</v>
      </c>
      <c r="X124" s="2">
        <f>IF(AND(VLOOKUP(X$1,test!$A$3:$F$32,5,FALSE) - VLOOKUP($B124,test!$A$3:$G$32,6,FALSE) &gt;= (test!$B$36+VLOOKUP(VLOOKUP($B124,test!$A$2:$I$32,4,FALSE),test!$J$10:$P$14,6,FALSE))/1440),1,0)</f>
        <v>0</v>
      </c>
      <c r="Y124" s="2">
        <f>IF(AND(VLOOKUP(Y$1,test!$A$3:$F$32,5,FALSE) - VLOOKUP($B124,test!$A$3:$G$32,6,FALSE) &gt;= (test!$B$36+VLOOKUP(VLOOKUP($B124,test!$A$2:$I$32,4,FALSE),test!$J$10:$P$14,6,FALSE))/1440),1,0)</f>
        <v>0</v>
      </c>
      <c r="Z124" s="2">
        <f>IF(AND(VLOOKUP(Z$1,test!$A$3:$F$32,5,FALSE) - VLOOKUP($B124,test!$A$3:$G$32,6,FALSE) &gt;= (test!$B$36+VLOOKUP(VLOOKUP($B124,test!$A$2:$I$32,4,FALSE),test!$J$10:$P$14,6,FALSE))/1440),1,0)</f>
        <v>0</v>
      </c>
      <c r="AA124" s="2">
        <f>IF(AND(VLOOKUP(AA$1,test!$A$3:$F$32,5,FALSE) - VLOOKUP($B124,test!$A$3:$G$32,6,FALSE) &gt;= (test!$B$36+VLOOKUP(VLOOKUP($B124,test!$A$2:$I$32,4,FALSE),test!$J$10:$P$14,6,FALSE))/1440),1,0)</f>
        <v>0</v>
      </c>
      <c r="AB124" s="2">
        <f>IF(AND(VLOOKUP(AB$1,test!$A$3:$F$32,5,FALSE) - VLOOKUP($B124,test!$A$3:$G$32,6,FALSE) &gt;= (test!$B$36+VLOOKUP(VLOOKUP($B124,test!$A$2:$I$32,4,FALSE),test!$J$10:$P$14,6,FALSE))/1440),1,0)</f>
        <v>0</v>
      </c>
      <c r="AC124" s="2">
        <f>IF(AND(VLOOKUP(AC$1,test!$A$3:$F$32,5,FALSE) - VLOOKUP($B124,test!$A$3:$G$32,6,FALSE) &gt;= (test!$B$36+VLOOKUP(VLOOKUP($B124,test!$A$2:$I$32,4,FALSE),test!$J$10:$P$14,6,FALSE))/1440),1,0)</f>
        <v>0</v>
      </c>
      <c r="AD124" s="2">
        <f>IF(AND(VLOOKUP(AD$1,test!$A$3:$F$32,5,FALSE) - VLOOKUP($B124,test!$A$3:$G$32,6,FALSE) &gt;= (test!$B$36+VLOOKUP(VLOOKUP($B124,test!$A$2:$I$32,4,FALSE),test!$J$10:$P$14,6,FALSE))/1440),1,0)</f>
        <v>0</v>
      </c>
      <c r="AE124" s="2">
        <f>IF(AND(VLOOKUP(AE$1,test!$A$3:$F$32,5,FALSE) - VLOOKUP($B124,test!$A$3:$G$32,6,FALSE) &gt;= (test!$B$36+VLOOKUP(VLOOKUP($B124,test!$A$2:$I$32,4,FALSE),test!$J$10:$P$14,6,FALSE))/1440),1,0)</f>
        <v>0</v>
      </c>
      <c r="AF124" s="2">
        <f>IF(AND(VLOOKUP(AF$1,test!$A$3:$F$32,5,FALSE) - VLOOKUP($B124,test!$A$3:$G$32,6,FALSE) &gt;= (test!$B$36+VLOOKUP(VLOOKUP($B124,test!$A$2:$I$32,4,FALSE),test!$J$10:$P$14,6,FALSE))/1440),1,0)</f>
        <v>0</v>
      </c>
      <c r="AG124" s="2">
        <f>IF(AND(VLOOKUP(AG$1,test!$A$3:$F$32,5,FALSE) - VLOOKUP($B124,test!$A$3:$G$32,6,FALSE) &gt;= (test!$B$36+VLOOKUP(VLOOKUP($B124,test!$A$2:$I$32,4,FALSE),test!$J$10:$P$14,6,FALSE))/1440),1,0)</f>
        <v>0</v>
      </c>
    </row>
    <row r="125" spans="1:33" x14ac:dyDescent="0.25">
      <c r="A125" t="s">
        <v>98</v>
      </c>
      <c r="B125" t="s">
        <v>41</v>
      </c>
      <c r="C125">
        <v>0</v>
      </c>
      <c r="D125" s="2">
        <f>IF(AND(VLOOKUP(D$1,test!$A$3:$F$32,5,FALSE) - VLOOKUP($B125,test!$A$3:$G$32,6,FALSE) &gt;= (test!$B$36+VLOOKUP(VLOOKUP($B125,test!$A$2:$I$32,4,FALSE),test!$J$10:$P$14,6,FALSE))/1440),1,0)</f>
        <v>0</v>
      </c>
      <c r="E125" s="2">
        <f>IF(AND(VLOOKUP(E$1,test!$A$3:$F$32,5,FALSE) - VLOOKUP($B125,test!$A$3:$G$32,6,FALSE) &gt;= (test!$B$36+VLOOKUP(VLOOKUP($B125,test!$A$2:$I$32,4,FALSE),test!$J$10:$P$14,6,FALSE))/1440),1,0)</f>
        <v>0</v>
      </c>
      <c r="F125" s="2">
        <f>IF(AND(VLOOKUP(F$1,test!$A$3:$F$32,5,FALSE) - VLOOKUP($B125,test!$A$3:$G$32,6,FALSE) &gt;= (test!$B$36+VLOOKUP(VLOOKUP($B125,test!$A$2:$I$32,4,FALSE),test!$J$10:$P$14,6,FALSE))/1440),1,0)</f>
        <v>0</v>
      </c>
      <c r="G125" s="2">
        <f>IF(AND(VLOOKUP(G$1,test!$A$3:$F$32,5,FALSE) - VLOOKUP($B125,test!$A$3:$G$32,6,FALSE) &gt;= (test!$B$36+VLOOKUP(VLOOKUP($B125,test!$A$2:$I$32,4,FALSE),test!$J$10:$P$14,6,FALSE))/1440),1,0)</f>
        <v>0</v>
      </c>
      <c r="H125" s="2">
        <f>IF(AND(VLOOKUP(H$1,test!$A$3:$F$32,5,FALSE) - VLOOKUP($B125,test!$A$3:$G$32,6,FALSE) &gt;= (test!$B$36+VLOOKUP(VLOOKUP($B125,test!$A$2:$I$32,4,FALSE),test!$J$10:$P$14,6,FALSE))/1440),1,0)</f>
        <v>0</v>
      </c>
      <c r="I125" s="2">
        <f>IF(AND(VLOOKUP(I$1,test!$A$3:$F$32,5,FALSE) - VLOOKUP($B125,test!$A$3:$G$32,6,FALSE) &gt;= (test!$B$36+VLOOKUP(VLOOKUP($B125,test!$A$2:$I$32,4,FALSE),test!$J$10:$P$14,6,FALSE))/1440),1,0)</f>
        <v>0</v>
      </c>
      <c r="J125" s="2">
        <f>IF(AND(VLOOKUP(J$1,test!$A$3:$F$32,5,FALSE) - VLOOKUP($B125,test!$A$3:$G$32,6,FALSE) &gt;= (test!$B$36+VLOOKUP(VLOOKUP($B125,test!$A$2:$I$32,4,FALSE),test!$J$10:$P$14,6,FALSE))/1440),1,0)</f>
        <v>0</v>
      </c>
      <c r="K125" s="2">
        <f>IF(AND(VLOOKUP(K$1,test!$A$3:$F$32,5,FALSE) - VLOOKUP($B125,test!$A$3:$G$32,6,FALSE) &gt;= (test!$B$36+VLOOKUP(VLOOKUP($B125,test!$A$2:$I$32,4,FALSE),test!$J$10:$P$14,6,FALSE))/1440),1,0)</f>
        <v>1</v>
      </c>
      <c r="L125" s="2">
        <f>IF(AND(VLOOKUP(L$1,test!$A$3:$F$32,5,FALSE) - VLOOKUP($B125,test!$A$3:$G$32,6,FALSE) &gt;= (test!$B$36+VLOOKUP(VLOOKUP($B125,test!$A$2:$I$32,4,FALSE),test!$J$10:$P$14,6,FALSE))/1440),1,0)</f>
        <v>0</v>
      </c>
      <c r="M125" s="2">
        <f>IF(AND(VLOOKUP(M$1,test!$A$3:$F$32,5,FALSE) - VLOOKUP($B125,test!$A$3:$G$32,6,FALSE) &gt;= (test!$B$36+VLOOKUP(VLOOKUP($B125,test!$A$2:$I$32,4,FALSE),test!$J$10:$P$14,6,FALSE))/1440),1,0)</f>
        <v>0</v>
      </c>
      <c r="N125" s="2">
        <f>IF(AND(VLOOKUP(N$1,test!$A$3:$F$32,5,FALSE) - VLOOKUP($B125,test!$A$3:$G$32,6,FALSE) &gt;= (test!$B$36+VLOOKUP(VLOOKUP($B125,test!$A$2:$I$32,4,FALSE),test!$J$10:$P$14,6,FALSE))/1440),1,0)</f>
        <v>0</v>
      </c>
      <c r="O125" s="2">
        <f>IF(AND(VLOOKUP(O$1,test!$A$3:$F$32,5,FALSE) - VLOOKUP($B125,test!$A$3:$G$32,6,FALSE) &gt;= (test!$B$36+VLOOKUP(VLOOKUP($B125,test!$A$2:$I$32,4,FALSE),test!$J$10:$P$14,6,FALSE))/1440),1,0)</f>
        <v>1</v>
      </c>
      <c r="P125" s="2">
        <f>IF(AND(VLOOKUP(P$1,test!$A$3:$F$32,5,FALSE) - VLOOKUP($B125,test!$A$3:$G$32,6,FALSE) &gt;= (test!$B$36+VLOOKUP(VLOOKUP($B125,test!$A$2:$I$32,4,FALSE),test!$J$10:$P$14,6,FALSE))/1440),1,0)</f>
        <v>1</v>
      </c>
      <c r="Q125" s="2">
        <f>IF(AND(VLOOKUP(Q$1,test!$A$3:$F$32,5,FALSE) - VLOOKUP($B125,test!$A$3:$G$32,6,FALSE) &gt;= (test!$B$36+VLOOKUP(VLOOKUP($B125,test!$A$2:$I$32,4,FALSE),test!$J$10:$P$14,6,FALSE))/1440),1,0)</f>
        <v>0</v>
      </c>
      <c r="R125" s="2">
        <f>IF(AND(VLOOKUP(R$1,test!$A$3:$F$32,5,FALSE) - VLOOKUP($B125,test!$A$3:$G$32,6,FALSE) &gt;= (test!$B$36+VLOOKUP(VLOOKUP($B125,test!$A$2:$I$32,4,FALSE),test!$J$10:$P$14,6,FALSE))/1440),1,0)</f>
        <v>0</v>
      </c>
      <c r="S125" s="2">
        <f>IF(AND(VLOOKUP(S$1,test!$A$3:$F$32,5,FALSE) - VLOOKUP($B125,test!$A$3:$G$32,6,FALSE) &gt;= (test!$B$36+VLOOKUP(VLOOKUP($B125,test!$A$2:$I$32,4,FALSE),test!$J$10:$P$14,6,FALSE))/1440),1,0)</f>
        <v>0</v>
      </c>
      <c r="T125" s="2">
        <f>IF(AND(VLOOKUP(T$1,test!$A$3:$F$32,5,FALSE) - VLOOKUP($B125,test!$A$3:$G$32,6,FALSE) &gt;= (test!$B$36+VLOOKUP(VLOOKUP($B125,test!$A$2:$I$32,4,FALSE),test!$J$10:$P$14,6,FALSE))/1440),1,0)</f>
        <v>0</v>
      </c>
      <c r="U125" s="2">
        <f>IF(AND(VLOOKUP(U$1,test!$A$3:$F$32,5,FALSE) - VLOOKUP($B125,test!$A$3:$G$32,6,FALSE) &gt;= (test!$B$36+VLOOKUP(VLOOKUP($B125,test!$A$2:$I$32,4,FALSE),test!$J$10:$P$14,6,FALSE))/1440),1,0)</f>
        <v>0</v>
      </c>
      <c r="V125" s="2">
        <f>IF(AND(VLOOKUP(V$1,test!$A$3:$F$32,5,FALSE) - VLOOKUP($B125,test!$A$3:$G$32,6,FALSE) &gt;= (test!$B$36+VLOOKUP(VLOOKUP($B125,test!$A$2:$I$32,4,FALSE),test!$J$10:$P$14,6,FALSE))/1440),1,0)</f>
        <v>0</v>
      </c>
      <c r="W125" s="2">
        <f>IF(AND(VLOOKUP(W$1,test!$A$3:$F$32,5,FALSE) - VLOOKUP($B125,test!$A$3:$G$32,6,FALSE) &gt;= (test!$B$36+VLOOKUP(VLOOKUP($B125,test!$A$2:$I$32,4,FALSE),test!$J$10:$P$14,6,FALSE))/1440),1,0)</f>
        <v>0</v>
      </c>
      <c r="X125" s="2">
        <f>IF(AND(VLOOKUP(X$1,test!$A$3:$F$32,5,FALSE) - VLOOKUP($B125,test!$A$3:$G$32,6,FALSE) &gt;= (test!$B$36+VLOOKUP(VLOOKUP($B125,test!$A$2:$I$32,4,FALSE),test!$J$10:$P$14,6,FALSE))/1440),1,0)</f>
        <v>0</v>
      </c>
      <c r="Y125" s="2">
        <f>IF(AND(VLOOKUP(Y$1,test!$A$3:$F$32,5,FALSE) - VLOOKUP($B125,test!$A$3:$G$32,6,FALSE) &gt;= (test!$B$36+VLOOKUP(VLOOKUP($B125,test!$A$2:$I$32,4,FALSE),test!$J$10:$P$14,6,FALSE))/1440),1,0)</f>
        <v>0</v>
      </c>
      <c r="Z125" s="2">
        <f>IF(AND(VLOOKUP(Z$1,test!$A$3:$F$32,5,FALSE) - VLOOKUP($B125,test!$A$3:$G$32,6,FALSE) &gt;= (test!$B$36+VLOOKUP(VLOOKUP($B125,test!$A$2:$I$32,4,FALSE),test!$J$10:$P$14,6,FALSE))/1440),1,0)</f>
        <v>0</v>
      </c>
      <c r="AA125" s="2">
        <f>IF(AND(VLOOKUP(AA$1,test!$A$3:$F$32,5,FALSE) - VLOOKUP($B125,test!$A$3:$G$32,6,FALSE) &gt;= (test!$B$36+VLOOKUP(VLOOKUP($B125,test!$A$2:$I$32,4,FALSE),test!$J$10:$P$14,6,FALSE))/1440),1,0)</f>
        <v>0</v>
      </c>
      <c r="AB125" s="2">
        <f>IF(AND(VLOOKUP(AB$1,test!$A$3:$F$32,5,FALSE) - VLOOKUP($B125,test!$A$3:$G$32,6,FALSE) &gt;= (test!$B$36+VLOOKUP(VLOOKUP($B125,test!$A$2:$I$32,4,FALSE),test!$J$10:$P$14,6,FALSE))/1440),1,0)</f>
        <v>0</v>
      </c>
      <c r="AC125" s="2">
        <f>IF(AND(VLOOKUP(AC$1,test!$A$3:$F$32,5,FALSE) - VLOOKUP($B125,test!$A$3:$G$32,6,FALSE) &gt;= (test!$B$36+VLOOKUP(VLOOKUP($B125,test!$A$2:$I$32,4,FALSE),test!$J$10:$P$14,6,FALSE))/1440),1,0)</f>
        <v>0</v>
      </c>
      <c r="AD125" s="2">
        <f>IF(AND(VLOOKUP(AD$1,test!$A$3:$F$32,5,FALSE) - VLOOKUP($B125,test!$A$3:$G$32,6,FALSE) &gt;= (test!$B$36+VLOOKUP(VLOOKUP($B125,test!$A$2:$I$32,4,FALSE),test!$J$10:$P$14,6,FALSE))/1440),1,0)</f>
        <v>0</v>
      </c>
      <c r="AE125" s="2">
        <f>IF(AND(VLOOKUP(AE$1,test!$A$3:$F$32,5,FALSE) - VLOOKUP($B125,test!$A$3:$G$32,6,FALSE) &gt;= (test!$B$36+VLOOKUP(VLOOKUP($B125,test!$A$2:$I$32,4,FALSE),test!$J$10:$P$14,6,FALSE))/1440),1,0)</f>
        <v>0</v>
      </c>
      <c r="AF125" s="2">
        <f>IF(AND(VLOOKUP(AF$1,test!$A$3:$F$32,5,FALSE) - VLOOKUP($B125,test!$A$3:$G$32,6,FALSE) &gt;= (test!$B$36+VLOOKUP(VLOOKUP($B125,test!$A$2:$I$32,4,FALSE),test!$J$10:$P$14,6,FALSE))/1440),1,0)</f>
        <v>0</v>
      </c>
      <c r="AG125" s="2">
        <f>IF(AND(VLOOKUP(AG$1,test!$A$3:$F$32,5,FALSE) - VLOOKUP($B125,test!$A$3:$G$32,6,FALSE) &gt;= (test!$B$36+VLOOKUP(VLOOKUP($B125,test!$A$2:$I$32,4,FALSE),test!$J$10:$P$14,6,FALSE))/1440),1,0)</f>
        <v>0</v>
      </c>
    </row>
    <row r="126" spans="1:33" x14ac:dyDescent="0.25">
      <c r="A126" t="s">
        <v>99</v>
      </c>
      <c r="B126" t="s">
        <v>46</v>
      </c>
      <c r="C126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</row>
    <row r="127" spans="1:33" x14ac:dyDescent="0.25">
      <c r="A127" t="s">
        <v>99</v>
      </c>
      <c r="B127" t="s">
        <v>6</v>
      </c>
      <c r="C127">
        <v>0</v>
      </c>
      <c r="D127" s="2">
        <f>IF(AND(VLOOKUP(D$1,test!$A$3:$F$32,5,FALSE) - VLOOKUP($B127,test!$A$3:$G$32,6,FALSE) &gt;= (test!$B$37+VLOOKUP(VLOOKUP($B127,test!$A$2:$I$32,4,FALSE),test!$J$10:$P$14,7,FALSE))/1440),1,0)</f>
        <v>0</v>
      </c>
      <c r="E127" s="2">
        <f>IF(AND(VLOOKUP(E$1,test!$A$3:$F$32,5,FALSE) - VLOOKUP($B127,test!$A$3:$G$32,6,FALSE) &gt;= (test!$B$37+VLOOKUP(VLOOKUP($B127,test!$A$2:$I$32,4,FALSE),test!$J$10:$P$14,7,FALSE))/1440),1,0)</f>
        <v>0</v>
      </c>
      <c r="F127" s="2">
        <f>IF(AND(VLOOKUP(F$1,test!$A$3:$F$32,5,FALSE) - VLOOKUP($B127,test!$A$3:$G$32,6,FALSE) &gt;= (test!$B$37+VLOOKUP(VLOOKUP($B127,test!$A$2:$I$32,4,FALSE),test!$J$10:$P$14,7,FALSE))/1440),1,0)</f>
        <v>0</v>
      </c>
      <c r="G127" s="2">
        <f>IF(AND(VLOOKUP(G$1,test!$A$3:$F$32,5,FALSE) - VLOOKUP($B127,test!$A$3:$G$32,6,FALSE) &gt;= (test!$B$37+VLOOKUP(VLOOKUP($B127,test!$A$2:$I$32,4,FALSE),test!$J$10:$P$14,7,FALSE))/1440),1,0)</f>
        <v>1</v>
      </c>
      <c r="H127" s="2">
        <f>IF(AND(VLOOKUP(H$1,test!$A$3:$F$32,5,FALSE) - VLOOKUP($B127,test!$A$3:$G$32,6,FALSE) &gt;= (test!$B$37+VLOOKUP(VLOOKUP($B127,test!$A$2:$I$32,4,FALSE),test!$J$10:$P$14,7,FALSE))/1440),1,0)</f>
        <v>1</v>
      </c>
      <c r="I127" s="2">
        <f>IF(AND(VLOOKUP(I$1,test!$A$3:$F$32,5,FALSE) - VLOOKUP($B127,test!$A$3:$G$32,6,FALSE) &gt;= (test!$B$37+VLOOKUP(VLOOKUP($B127,test!$A$2:$I$32,4,FALSE),test!$J$10:$P$14,7,FALSE))/1440),1,0)</f>
        <v>1</v>
      </c>
      <c r="J127" s="2">
        <f>IF(AND(VLOOKUP(J$1,test!$A$3:$F$32,5,FALSE) - VLOOKUP($B127,test!$A$3:$G$32,6,FALSE) &gt;= (test!$B$37+VLOOKUP(VLOOKUP($B127,test!$A$2:$I$32,4,FALSE),test!$J$10:$P$14,7,FALSE))/1440),1,0)</f>
        <v>1</v>
      </c>
      <c r="K127" s="2">
        <f>IF(AND(VLOOKUP(K$1,test!$A$3:$F$32,5,FALSE) - VLOOKUP($B127,test!$A$3:$G$32,6,FALSE) &gt;= (test!$B$37+VLOOKUP(VLOOKUP($B127,test!$A$2:$I$32,4,FALSE),test!$J$10:$P$14,7,FALSE))/1440),1,0)</f>
        <v>1</v>
      </c>
      <c r="L127" s="2">
        <f>IF(AND(VLOOKUP(L$1,test!$A$3:$F$32,5,FALSE) - VLOOKUP($B127,test!$A$3:$G$32,6,FALSE) &gt;= (test!$B$37+VLOOKUP(VLOOKUP($B127,test!$A$2:$I$32,4,FALSE),test!$J$10:$P$14,7,FALSE))/1440),1,0)</f>
        <v>0</v>
      </c>
      <c r="M127" s="2">
        <f>IF(AND(VLOOKUP(M$1,test!$A$3:$F$32,5,FALSE) - VLOOKUP($B127,test!$A$3:$G$32,6,FALSE) &gt;= (test!$B$37+VLOOKUP(VLOOKUP($B127,test!$A$2:$I$32,4,FALSE),test!$J$10:$P$14,7,FALSE))/1440),1,0)</f>
        <v>0</v>
      </c>
      <c r="N127" s="2">
        <f>IF(AND(VLOOKUP(N$1,test!$A$3:$F$32,5,FALSE) - VLOOKUP($B127,test!$A$3:$G$32,6,FALSE) &gt;= (test!$B$37+VLOOKUP(VLOOKUP($B127,test!$A$2:$I$32,4,FALSE),test!$J$10:$P$14,7,FALSE))/1440),1,0)</f>
        <v>0</v>
      </c>
      <c r="O127" s="2">
        <f>IF(AND(VLOOKUP(O$1,test!$A$3:$F$32,5,FALSE) - VLOOKUP($B127,test!$A$3:$G$32,6,FALSE) &gt;= (test!$B$37+VLOOKUP(VLOOKUP($B127,test!$A$2:$I$32,4,FALSE),test!$J$10:$P$14,7,FALSE))/1440),1,0)</f>
        <v>1</v>
      </c>
      <c r="P127" s="2">
        <f>IF(AND(VLOOKUP(P$1,test!$A$3:$F$32,5,FALSE) - VLOOKUP($B127,test!$A$3:$G$32,6,FALSE) &gt;= (test!$B$37+VLOOKUP(VLOOKUP($B127,test!$A$2:$I$32,4,FALSE),test!$J$10:$P$14,7,FALSE))/1440),1,0)</f>
        <v>1</v>
      </c>
      <c r="Q127" s="2">
        <f>IF(AND(VLOOKUP(Q$1,test!$A$3:$F$32,5,FALSE) - VLOOKUP($B127,test!$A$3:$G$32,6,FALSE) &gt;= (test!$B$37+VLOOKUP(VLOOKUP($B127,test!$A$2:$I$32,4,FALSE),test!$J$10:$P$14,7,FALSE))/1440),1,0)</f>
        <v>0</v>
      </c>
      <c r="R127" s="2">
        <f>IF(AND(VLOOKUP(R$1,test!$A$3:$F$32,5,FALSE) - VLOOKUP($B127,test!$A$3:$G$32,6,FALSE) &gt;= (test!$B$37+VLOOKUP(VLOOKUP($B127,test!$A$2:$I$32,4,FALSE),test!$J$10:$P$14,7,FALSE))/1440),1,0)</f>
        <v>0</v>
      </c>
      <c r="S127" s="2">
        <f>IF(AND(VLOOKUP(S$1,test!$A$3:$F$32,5,FALSE) - VLOOKUP($B127,test!$A$3:$G$32,6,FALSE) &gt;= (test!$B$37+VLOOKUP(VLOOKUP($B127,test!$A$2:$I$32,4,FALSE),test!$J$10:$P$14,7,FALSE))/1440),1,0)</f>
        <v>0</v>
      </c>
      <c r="T127" s="2">
        <f>IF(AND(VLOOKUP(T$1,test!$A$3:$F$32,5,FALSE) - VLOOKUP($B127,test!$A$3:$G$32,6,FALSE) &gt;= (test!$B$37+VLOOKUP(VLOOKUP($B127,test!$A$2:$I$32,4,FALSE),test!$J$10:$P$14,7,FALSE))/1440),1,0)</f>
        <v>0</v>
      </c>
      <c r="U127" s="2">
        <f>IF(AND(VLOOKUP(U$1,test!$A$3:$F$32,5,FALSE) - VLOOKUP($B127,test!$A$3:$G$32,6,FALSE) &gt;= (test!$B$37+VLOOKUP(VLOOKUP($B127,test!$A$2:$I$32,4,FALSE),test!$J$10:$P$14,7,FALSE))/1440),1,0)</f>
        <v>0</v>
      </c>
      <c r="V127" s="2">
        <f>IF(AND(VLOOKUP(V$1,test!$A$3:$F$32,5,FALSE) - VLOOKUP($B127,test!$A$3:$G$32,6,FALSE) &gt;= (test!$B$37+VLOOKUP(VLOOKUP($B127,test!$A$2:$I$32,4,FALSE),test!$J$10:$P$14,7,FALSE))/1440),1,0)</f>
        <v>0</v>
      </c>
      <c r="W127" s="2">
        <f>IF(AND(VLOOKUP(W$1,test!$A$3:$F$32,5,FALSE) - VLOOKUP($B127,test!$A$3:$G$32,6,FALSE) &gt;= (test!$B$37+VLOOKUP(VLOOKUP($B127,test!$A$2:$I$32,4,FALSE),test!$J$10:$P$14,7,FALSE))/1440),1,0)</f>
        <v>1</v>
      </c>
      <c r="X127" s="2">
        <f>IF(AND(VLOOKUP(X$1,test!$A$3:$F$32,5,FALSE) - VLOOKUP($B127,test!$A$3:$G$32,6,FALSE) &gt;= (test!$B$37+VLOOKUP(VLOOKUP($B127,test!$A$2:$I$32,4,FALSE),test!$J$10:$P$14,7,FALSE))/1440),1,0)</f>
        <v>1</v>
      </c>
      <c r="Y127" s="2">
        <f>IF(AND(VLOOKUP(Y$1,test!$A$3:$F$32,5,FALSE) - VLOOKUP($B127,test!$A$3:$G$32,6,FALSE) &gt;= (test!$B$37+VLOOKUP(VLOOKUP($B127,test!$A$2:$I$32,4,FALSE),test!$J$10:$P$14,7,FALSE))/1440),1,0)</f>
        <v>1</v>
      </c>
      <c r="Z127" s="2">
        <f>IF(AND(VLOOKUP(Z$1,test!$A$3:$F$32,5,FALSE) - VLOOKUP($B127,test!$A$3:$G$32,6,FALSE) &gt;= (test!$B$37+VLOOKUP(VLOOKUP($B127,test!$A$2:$I$32,4,FALSE),test!$J$10:$P$14,7,FALSE))/1440),1,0)</f>
        <v>0</v>
      </c>
      <c r="AA127" s="2">
        <f>IF(AND(VLOOKUP(AA$1,test!$A$3:$F$32,5,FALSE) - VLOOKUP($B127,test!$A$3:$G$32,6,FALSE) &gt;= (test!$B$37+VLOOKUP(VLOOKUP($B127,test!$A$2:$I$32,4,FALSE),test!$J$10:$P$14,7,FALSE))/1440),1,0)</f>
        <v>0</v>
      </c>
      <c r="AB127" s="2">
        <f>IF(AND(VLOOKUP(AB$1,test!$A$3:$F$32,5,FALSE) - VLOOKUP($B127,test!$A$3:$G$32,6,FALSE) &gt;= (test!$B$37+VLOOKUP(VLOOKUP($B127,test!$A$2:$I$32,4,FALSE),test!$J$10:$P$14,7,FALSE))/1440),1,0)</f>
        <v>0</v>
      </c>
      <c r="AC127" s="2">
        <f>IF(AND(VLOOKUP(AC$1,test!$A$3:$F$32,5,FALSE) - VLOOKUP($B127,test!$A$3:$G$32,6,FALSE) &gt;= (test!$B$37+VLOOKUP(VLOOKUP($B127,test!$A$2:$I$32,4,FALSE),test!$J$10:$P$14,7,FALSE))/1440),1,0)</f>
        <v>1</v>
      </c>
      <c r="AD127" s="2">
        <f>IF(AND(VLOOKUP(AD$1,test!$A$3:$F$32,5,FALSE) - VLOOKUP($B127,test!$A$3:$G$32,6,FALSE) &gt;= (test!$B$37+VLOOKUP(VLOOKUP($B127,test!$A$2:$I$32,4,FALSE),test!$J$10:$P$14,7,FALSE))/1440),1,0)</f>
        <v>1</v>
      </c>
      <c r="AE127" s="2">
        <f>IF(AND(VLOOKUP(AE$1,test!$A$3:$F$32,5,FALSE) - VLOOKUP($B127,test!$A$3:$G$32,6,FALSE) &gt;= (test!$B$37+VLOOKUP(VLOOKUP($B127,test!$A$2:$I$32,4,FALSE),test!$J$10:$P$14,7,FALSE))/1440),1,0)</f>
        <v>0</v>
      </c>
      <c r="AF127" s="2">
        <f>IF(AND(VLOOKUP(AF$1,test!$A$3:$F$32,5,FALSE) - VLOOKUP($B127,test!$A$3:$G$32,6,FALSE) &gt;= (test!$B$37+VLOOKUP(VLOOKUP($B127,test!$A$2:$I$32,4,FALSE),test!$J$10:$P$14,7,FALSE))/1440),1,0)</f>
        <v>0</v>
      </c>
      <c r="AG127" s="2">
        <f>IF(AND(VLOOKUP(AG$1,test!$A$3:$F$32,5,FALSE) - VLOOKUP($B127,test!$A$3:$G$32,6,FALSE) &gt;= (test!$B$37+VLOOKUP(VLOOKUP($B127,test!$A$2:$I$32,4,FALSE),test!$J$10:$P$14,7,FALSE))/1440),1,0)</f>
        <v>0</v>
      </c>
    </row>
    <row r="128" spans="1:33" x14ac:dyDescent="0.25">
      <c r="A128" t="s">
        <v>99</v>
      </c>
      <c r="B128" t="s">
        <v>9</v>
      </c>
      <c r="C128">
        <v>0</v>
      </c>
      <c r="D128" s="2">
        <f>IF(AND(VLOOKUP(D$1,test!$A$3:$F$32,5,FALSE) - VLOOKUP($B128,test!$A$3:$G$32,6,FALSE) &gt;= (test!$B$37+VLOOKUP(VLOOKUP($B128,test!$A$2:$I$32,4,FALSE),test!$J$10:$P$14,7,FALSE))/1440),1,0)</f>
        <v>0</v>
      </c>
      <c r="E128" s="2">
        <f>IF(AND(VLOOKUP(E$1,test!$A$3:$F$32,5,FALSE) - VLOOKUP($B128,test!$A$3:$G$32,6,FALSE) &gt;= (test!$B$37+VLOOKUP(VLOOKUP($B128,test!$A$2:$I$32,4,FALSE),test!$J$10:$P$14,7,FALSE))/1440),1,0)</f>
        <v>0</v>
      </c>
      <c r="F128" s="2">
        <f>IF(AND(VLOOKUP(F$1,test!$A$3:$F$32,5,FALSE) - VLOOKUP($B128,test!$A$3:$G$32,6,FALSE) &gt;= (test!$B$37+VLOOKUP(VLOOKUP($B128,test!$A$2:$I$32,4,FALSE),test!$J$10:$P$14,7,FALSE))/1440),1,0)</f>
        <v>0</v>
      </c>
      <c r="G128" s="2">
        <f>IF(AND(VLOOKUP(G$1,test!$A$3:$F$32,5,FALSE) - VLOOKUP($B128,test!$A$3:$G$32,6,FALSE) &gt;= (test!$B$37+VLOOKUP(VLOOKUP($B128,test!$A$2:$I$32,4,FALSE),test!$J$10:$P$14,7,FALSE))/1440),1,0)</f>
        <v>0</v>
      </c>
      <c r="H128" s="2">
        <f>IF(AND(VLOOKUP(H$1,test!$A$3:$F$32,5,FALSE) - VLOOKUP($B128,test!$A$3:$G$32,6,FALSE) &gt;= (test!$B$37+VLOOKUP(VLOOKUP($B128,test!$A$2:$I$32,4,FALSE),test!$J$10:$P$14,7,FALSE))/1440),1,0)</f>
        <v>0</v>
      </c>
      <c r="I128" s="2">
        <f>IF(AND(VLOOKUP(I$1,test!$A$3:$F$32,5,FALSE) - VLOOKUP($B128,test!$A$3:$G$32,6,FALSE) &gt;= (test!$B$37+VLOOKUP(VLOOKUP($B128,test!$A$2:$I$32,4,FALSE),test!$J$10:$P$14,7,FALSE))/1440),1,0)</f>
        <v>0</v>
      </c>
      <c r="J128" s="2">
        <f>IF(AND(VLOOKUP(J$1,test!$A$3:$F$32,5,FALSE) - VLOOKUP($B128,test!$A$3:$G$32,6,FALSE) &gt;= (test!$B$37+VLOOKUP(VLOOKUP($B128,test!$A$2:$I$32,4,FALSE),test!$J$10:$P$14,7,FALSE))/1440),1,0)</f>
        <v>1</v>
      </c>
      <c r="K128" s="2">
        <f>IF(AND(VLOOKUP(K$1,test!$A$3:$F$32,5,FALSE) - VLOOKUP($B128,test!$A$3:$G$32,6,FALSE) &gt;= (test!$B$37+VLOOKUP(VLOOKUP($B128,test!$A$2:$I$32,4,FALSE),test!$J$10:$P$14,7,FALSE))/1440),1,0)</f>
        <v>1</v>
      </c>
      <c r="L128" s="2">
        <f>IF(AND(VLOOKUP(L$1,test!$A$3:$F$32,5,FALSE) - VLOOKUP($B128,test!$A$3:$G$32,6,FALSE) &gt;= (test!$B$37+VLOOKUP(VLOOKUP($B128,test!$A$2:$I$32,4,FALSE),test!$J$10:$P$14,7,FALSE))/1440),1,0)</f>
        <v>0</v>
      </c>
      <c r="M128" s="2">
        <f>IF(AND(VLOOKUP(M$1,test!$A$3:$F$32,5,FALSE) - VLOOKUP($B128,test!$A$3:$G$32,6,FALSE) &gt;= (test!$B$37+VLOOKUP(VLOOKUP($B128,test!$A$2:$I$32,4,FALSE),test!$J$10:$P$14,7,FALSE))/1440),1,0)</f>
        <v>0</v>
      </c>
      <c r="N128" s="2">
        <f>IF(AND(VLOOKUP(N$1,test!$A$3:$F$32,5,FALSE) - VLOOKUP($B128,test!$A$3:$G$32,6,FALSE) &gt;= (test!$B$37+VLOOKUP(VLOOKUP($B128,test!$A$2:$I$32,4,FALSE),test!$J$10:$P$14,7,FALSE))/1440),1,0)</f>
        <v>0</v>
      </c>
      <c r="O128" s="2">
        <f>IF(AND(VLOOKUP(O$1,test!$A$3:$F$32,5,FALSE) - VLOOKUP($B128,test!$A$3:$G$32,6,FALSE) &gt;= (test!$B$37+VLOOKUP(VLOOKUP($B128,test!$A$2:$I$32,4,FALSE),test!$J$10:$P$14,7,FALSE))/1440),1,0)</f>
        <v>1</v>
      </c>
      <c r="P128" s="2">
        <f>IF(AND(VLOOKUP(P$1,test!$A$3:$F$32,5,FALSE) - VLOOKUP($B128,test!$A$3:$G$32,6,FALSE) &gt;= (test!$B$37+VLOOKUP(VLOOKUP($B128,test!$A$2:$I$32,4,FALSE),test!$J$10:$P$14,7,FALSE))/1440),1,0)</f>
        <v>1</v>
      </c>
      <c r="Q128" s="2">
        <f>IF(AND(VLOOKUP(Q$1,test!$A$3:$F$32,5,FALSE) - VLOOKUP($B128,test!$A$3:$G$32,6,FALSE) &gt;= (test!$B$37+VLOOKUP(VLOOKUP($B128,test!$A$2:$I$32,4,FALSE),test!$J$10:$P$14,7,FALSE))/1440),1,0)</f>
        <v>0</v>
      </c>
      <c r="R128" s="2">
        <f>IF(AND(VLOOKUP(R$1,test!$A$3:$F$32,5,FALSE) - VLOOKUP($B128,test!$A$3:$G$32,6,FALSE) &gt;= (test!$B$37+VLOOKUP(VLOOKUP($B128,test!$A$2:$I$32,4,FALSE),test!$J$10:$P$14,7,FALSE))/1440),1,0)</f>
        <v>0</v>
      </c>
      <c r="S128" s="2">
        <f>IF(AND(VLOOKUP(S$1,test!$A$3:$F$32,5,FALSE) - VLOOKUP($B128,test!$A$3:$G$32,6,FALSE) &gt;= (test!$B$37+VLOOKUP(VLOOKUP($B128,test!$A$2:$I$32,4,FALSE),test!$J$10:$P$14,7,FALSE))/1440),1,0)</f>
        <v>0</v>
      </c>
      <c r="T128" s="2">
        <f>IF(AND(VLOOKUP(T$1,test!$A$3:$F$32,5,FALSE) - VLOOKUP($B128,test!$A$3:$G$32,6,FALSE) &gt;= (test!$B$37+VLOOKUP(VLOOKUP($B128,test!$A$2:$I$32,4,FALSE),test!$J$10:$P$14,7,FALSE))/1440),1,0)</f>
        <v>0</v>
      </c>
      <c r="U128" s="2">
        <f>IF(AND(VLOOKUP(U$1,test!$A$3:$F$32,5,FALSE) - VLOOKUP($B128,test!$A$3:$G$32,6,FALSE) &gt;= (test!$B$37+VLOOKUP(VLOOKUP($B128,test!$A$2:$I$32,4,FALSE),test!$J$10:$P$14,7,FALSE))/1440),1,0)</f>
        <v>0</v>
      </c>
      <c r="V128" s="2">
        <f>IF(AND(VLOOKUP(V$1,test!$A$3:$F$32,5,FALSE) - VLOOKUP($B128,test!$A$3:$G$32,6,FALSE) &gt;= (test!$B$37+VLOOKUP(VLOOKUP($B128,test!$A$2:$I$32,4,FALSE),test!$J$10:$P$14,7,FALSE))/1440),1,0)</f>
        <v>0</v>
      </c>
      <c r="W128" s="2">
        <f>IF(AND(VLOOKUP(W$1,test!$A$3:$F$32,5,FALSE) - VLOOKUP($B128,test!$A$3:$G$32,6,FALSE) &gt;= (test!$B$37+VLOOKUP(VLOOKUP($B128,test!$A$2:$I$32,4,FALSE),test!$J$10:$P$14,7,FALSE))/1440),1,0)</f>
        <v>0</v>
      </c>
      <c r="X128" s="2">
        <f>IF(AND(VLOOKUP(X$1,test!$A$3:$F$32,5,FALSE) - VLOOKUP($B128,test!$A$3:$G$32,6,FALSE) &gt;= (test!$B$37+VLOOKUP(VLOOKUP($B128,test!$A$2:$I$32,4,FALSE),test!$J$10:$P$14,7,FALSE))/1440),1,0)</f>
        <v>0</v>
      </c>
      <c r="Y128" s="2">
        <f>IF(AND(VLOOKUP(Y$1,test!$A$3:$F$32,5,FALSE) - VLOOKUP($B128,test!$A$3:$G$32,6,FALSE) &gt;= (test!$B$37+VLOOKUP(VLOOKUP($B128,test!$A$2:$I$32,4,FALSE),test!$J$10:$P$14,7,FALSE))/1440),1,0)</f>
        <v>1</v>
      </c>
      <c r="Z128" s="2">
        <f>IF(AND(VLOOKUP(Z$1,test!$A$3:$F$32,5,FALSE) - VLOOKUP($B128,test!$A$3:$G$32,6,FALSE) &gt;= (test!$B$37+VLOOKUP(VLOOKUP($B128,test!$A$2:$I$32,4,FALSE),test!$J$10:$P$14,7,FALSE))/1440),1,0)</f>
        <v>0</v>
      </c>
      <c r="AA128" s="2">
        <f>IF(AND(VLOOKUP(AA$1,test!$A$3:$F$32,5,FALSE) - VLOOKUP($B128,test!$A$3:$G$32,6,FALSE) &gt;= (test!$B$37+VLOOKUP(VLOOKUP($B128,test!$A$2:$I$32,4,FALSE),test!$J$10:$P$14,7,FALSE))/1440),1,0)</f>
        <v>0</v>
      </c>
      <c r="AB128" s="2">
        <f>IF(AND(VLOOKUP(AB$1,test!$A$3:$F$32,5,FALSE) - VLOOKUP($B128,test!$A$3:$G$32,6,FALSE) &gt;= (test!$B$37+VLOOKUP(VLOOKUP($B128,test!$A$2:$I$32,4,FALSE),test!$J$10:$P$14,7,FALSE))/1440),1,0)</f>
        <v>0</v>
      </c>
      <c r="AC128" s="2">
        <f>IF(AND(VLOOKUP(AC$1,test!$A$3:$F$32,5,FALSE) - VLOOKUP($B128,test!$A$3:$G$32,6,FALSE) &gt;= (test!$B$37+VLOOKUP(VLOOKUP($B128,test!$A$2:$I$32,4,FALSE),test!$J$10:$P$14,7,FALSE))/1440),1,0)</f>
        <v>0</v>
      </c>
      <c r="AD128" s="2">
        <f>IF(AND(VLOOKUP(AD$1,test!$A$3:$F$32,5,FALSE) - VLOOKUP($B128,test!$A$3:$G$32,6,FALSE) &gt;= (test!$B$37+VLOOKUP(VLOOKUP($B128,test!$A$2:$I$32,4,FALSE),test!$J$10:$P$14,7,FALSE))/1440),1,0)</f>
        <v>0</v>
      </c>
      <c r="AE128" s="2">
        <f>IF(AND(VLOOKUP(AE$1,test!$A$3:$F$32,5,FALSE) - VLOOKUP($B128,test!$A$3:$G$32,6,FALSE) &gt;= (test!$B$37+VLOOKUP(VLOOKUP($B128,test!$A$2:$I$32,4,FALSE),test!$J$10:$P$14,7,FALSE))/1440),1,0)</f>
        <v>0</v>
      </c>
      <c r="AF128" s="2">
        <f>IF(AND(VLOOKUP(AF$1,test!$A$3:$F$32,5,FALSE) - VLOOKUP($B128,test!$A$3:$G$32,6,FALSE) &gt;= (test!$B$37+VLOOKUP(VLOOKUP($B128,test!$A$2:$I$32,4,FALSE),test!$J$10:$P$14,7,FALSE))/1440),1,0)</f>
        <v>0</v>
      </c>
      <c r="AG128" s="2">
        <f>IF(AND(VLOOKUP(AG$1,test!$A$3:$F$32,5,FALSE) - VLOOKUP($B128,test!$A$3:$G$32,6,FALSE) &gt;= (test!$B$37+VLOOKUP(VLOOKUP($B128,test!$A$2:$I$32,4,FALSE),test!$J$10:$P$14,7,FALSE))/1440),1,0)</f>
        <v>0</v>
      </c>
    </row>
    <row r="129" spans="1:33" x14ac:dyDescent="0.25">
      <c r="A129" t="s">
        <v>99</v>
      </c>
      <c r="B129" t="s">
        <v>10</v>
      </c>
      <c r="C129">
        <v>0</v>
      </c>
      <c r="D129" s="2">
        <f>IF(AND(VLOOKUP(D$1,test!$A$3:$F$32,5,FALSE) - VLOOKUP($B129,test!$A$3:$G$32,6,FALSE) &gt;= (test!$B$37+VLOOKUP(VLOOKUP($B129,test!$A$2:$I$32,4,FALSE),test!$J$10:$P$14,7,FALSE))/1440),1,0)</f>
        <v>0</v>
      </c>
      <c r="E129" s="2">
        <f>IF(AND(VLOOKUP(E$1,test!$A$3:$F$32,5,FALSE) - VLOOKUP($B129,test!$A$3:$G$32,6,FALSE) &gt;= (test!$B$37+VLOOKUP(VLOOKUP($B129,test!$A$2:$I$32,4,FALSE),test!$J$10:$P$14,7,FALSE))/1440),1,0)</f>
        <v>0</v>
      </c>
      <c r="F129" s="2">
        <f>IF(AND(VLOOKUP(F$1,test!$A$3:$F$32,5,FALSE) - VLOOKUP($B129,test!$A$3:$G$32,6,FALSE) &gt;= (test!$B$37+VLOOKUP(VLOOKUP($B129,test!$A$2:$I$32,4,FALSE),test!$J$10:$P$14,7,FALSE))/1440),1,0)</f>
        <v>0</v>
      </c>
      <c r="G129" s="2">
        <f>IF(AND(VLOOKUP(G$1,test!$A$3:$F$32,5,FALSE) - VLOOKUP($B129,test!$A$3:$G$32,6,FALSE) &gt;= (test!$B$37+VLOOKUP(VLOOKUP($B129,test!$A$2:$I$32,4,FALSE),test!$J$10:$P$14,7,FALSE))/1440),1,0)</f>
        <v>0</v>
      </c>
      <c r="H129" s="2">
        <f>IF(AND(VLOOKUP(H$1,test!$A$3:$F$32,5,FALSE) - VLOOKUP($B129,test!$A$3:$G$32,6,FALSE) &gt;= (test!$B$37+VLOOKUP(VLOOKUP($B129,test!$A$2:$I$32,4,FALSE),test!$J$10:$P$14,7,FALSE))/1440),1,0)</f>
        <v>0</v>
      </c>
      <c r="I129" s="2">
        <f>IF(AND(VLOOKUP(I$1,test!$A$3:$F$32,5,FALSE) - VLOOKUP($B129,test!$A$3:$G$32,6,FALSE) &gt;= (test!$B$37+VLOOKUP(VLOOKUP($B129,test!$A$2:$I$32,4,FALSE),test!$J$10:$P$14,7,FALSE))/1440),1,0)</f>
        <v>0</v>
      </c>
      <c r="J129" s="2">
        <f>IF(AND(VLOOKUP(J$1,test!$A$3:$F$32,5,FALSE) - VLOOKUP($B129,test!$A$3:$G$32,6,FALSE) &gt;= (test!$B$37+VLOOKUP(VLOOKUP($B129,test!$A$2:$I$32,4,FALSE),test!$J$10:$P$14,7,FALSE))/1440),1,0)</f>
        <v>0</v>
      </c>
      <c r="K129" s="2">
        <f>IF(AND(VLOOKUP(K$1,test!$A$3:$F$32,5,FALSE) - VLOOKUP($B129,test!$A$3:$G$32,6,FALSE) &gt;= (test!$B$37+VLOOKUP(VLOOKUP($B129,test!$A$2:$I$32,4,FALSE),test!$J$10:$P$14,7,FALSE))/1440),1,0)</f>
        <v>1</v>
      </c>
      <c r="L129" s="2">
        <f>IF(AND(VLOOKUP(L$1,test!$A$3:$F$32,5,FALSE) - VLOOKUP($B129,test!$A$3:$G$32,6,FALSE) &gt;= (test!$B$37+VLOOKUP(VLOOKUP($B129,test!$A$2:$I$32,4,FALSE),test!$J$10:$P$14,7,FALSE))/1440),1,0)</f>
        <v>0</v>
      </c>
      <c r="M129" s="2">
        <f>IF(AND(VLOOKUP(M$1,test!$A$3:$F$32,5,FALSE) - VLOOKUP($B129,test!$A$3:$G$32,6,FALSE) &gt;= (test!$B$37+VLOOKUP(VLOOKUP($B129,test!$A$2:$I$32,4,FALSE),test!$J$10:$P$14,7,FALSE))/1440),1,0)</f>
        <v>0</v>
      </c>
      <c r="N129" s="2">
        <f>IF(AND(VLOOKUP(N$1,test!$A$3:$F$32,5,FALSE) - VLOOKUP($B129,test!$A$3:$G$32,6,FALSE) &gt;= (test!$B$37+VLOOKUP(VLOOKUP($B129,test!$A$2:$I$32,4,FALSE),test!$J$10:$P$14,7,FALSE))/1440),1,0)</f>
        <v>0</v>
      </c>
      <c r="O129" s="2">
        <f>IF(AND(VLOOKUP(O$1,test!$A$3:$F$32,5,FALSE) - VLOOKUP($B129,test!$A$3:$G$32,6,FALSE) &gt;= (test!$B$37+VLOOKUP(VLOOKUP($B129,test!$A$2:$I$32,4,FALSE),test!$J$10:$P$14,7,FALSE))/1440),1,0)</f>
        <v>0</v>
      </c>
      <c r="P129" s="2">
        <f>IF(AND(VLOOKUP(P$1,test!$A$3:$F$32,5,FALSE) - VLOOKUP($B129,test!$A$3:$G$32,6,FALSE) &gt;= (test!$B$37+VLOOKUP(VLOOKUP($B129,test!$A$2:$I$32,4,FALSE),test!$J$10:$P$14,7,FALSE))/1440),1,0)</f>
        <v>1</v>
      </c>
      <c r="Q129" s="2">
        <f>IF(AND(VLOOKUP(Q$1,test!$A$3:$F$32,5,FALSE) - VLOOKUP($B129,test!$A$3:$G$32,6,FALSE) &gt;= (test!$B$37+VLOOKUP(VLOOKUP($B129,test!$A$2:$I$32,4,FALSE),test!$J$10:$P$14,7,FALSE))/1440),1,0)</f>
        <v>0</v>
      </c>
      <c r="R129" s="2">
        <f>IF(AND(VLOOKUP(R$1,test!$A$3:$F$32,5,FALSE) - VLOOKUP($B129,test!$A$3:$G$32,6,FALSE) &gt;= (test!$B$37+VLOOKUP(VLOOKUP($B129,test!$A$2:$I$32,4,FALSE),test!$J$10:$P$14,7,FALSE))/1440),1,0)</f>
        <v>0</v>
      </c>
      <c r="S129" s="2">
        <f>IF(AND(VLOOKUP(S$1,test!$A$3:$F$32,5,FALSE) - VLOOKUP($B129,test!$A$3:$G$32,6,FALSE) &gt;= (test!$B$37+VLOOKUP(VLOOKUP($B129,test!$A$2:$I$32,4,FALSE),test!$J$10:$P$14,7,FALSE))/1440),1,0)</f>
        <v>0</v>
      </c>
      <c r="T129" s="2">
        <f>IF(AND(VLOOKUP(T$1,test!$A$3:$F$32,5,FALSE) - VLOOKUP($B129,test!$A$3:$G$32,6,FALSE) &gt;= (test!$B$37+VLOOKUP(VLOOKUP($B129,test!$A$2:$I$32,4,FALSE),test!$J$10:$P$14,7,FALSE))/1440),1,0)</f>
        <v>0</v>
      </c>
      <c r="U129" s="2">
        <f>IF(AND(VLOOKUP(U$1,test!$A$3:$F$32,5,FALSE) - VLOOKUP($B129,test!$A$3:$G$32,6,FALSE) &gt;= (test!$B$37+VLOOKUP(VLOOKUP($B129,test!$A$2:$I$32,4,FALSE),test!$J$10:$P$14,7,FALSE))/1440),1,0)</f>
        <v>0</v>
      </c>
      <c r="V129" s="2">
        <f>IF(AND(VLOOKUP(V$1,test!$A$3:$F$32,5,FALSE) - VLOOKUP($B129,test!$A$3:$G$32,6,FALSE) &gt;= (test!$B$37+VLOOKUP(VLOOKUP($B129,test!$A$2:$I$32,4,FALSE),test!$J$10:$P$14,7,FALSE))/1440),1,0)</f>
        <v>0</v>
      </c>
      <c r="W129" s="2">
        <f>IF(AND(VLOOKUP(W$1,test!$A$3:$F$32,5,FALSE) - VLOOKUP($B129,test!$A$3:$G$32,6,FALSE) &gt;= (test!$B$37+VLOOKUP(VLOOKUP($B129,test!$A$2:$I$32,4,FALSE),test!$J$10:$P$14,7,FALSE))/1440),1,0)</f>
        <v>0</v>
      </c>
      <c r="X129" s="2">
        <f>IF(AND(VLOOKUP(X$1,test!$A$3:$F$32,5,FALSE) - VLOOKUP($B129,test!$A$3:$G$32,6,FALSE) &gt;= (test!$B$37+VLOOKUP(VLOOKUP($B129,test!$A$2:$I$32,4,FALSE),test!$J$10:$P$14,7,FALSE))/1440),1,0)</f>
        <v>0</v>
      </c>
      <c r="Y129" s="2">
        <f>IF(AND(VLOOKUP(Y$1,test!$A$3:$F$32,5,FALSE) - VLOOKUP($B129,test!$A$3:$G$32,6,FALSE) &gt;= (test!$B$37+VLOOKUP(VLOOKUP($B129,test!$A$2:$I$32,4,FALSE),test!$J$10:$P$14,7,FALSE))/1440),1,0)</f>
        <v>0</v>
      </c>
      <c r="Z129" s="2">
        <f>IF(AND(VLOOKUP(Z$1,test!$A$3:$F$32,5,FALSE) - VLOOKUP($B129,test!$A$3:$G$32,6,FALSE) &gt;= (test!$B$37+VLOOKUP(VLOOKUP($B129,test!$A$2:$I$32,4,FALSE),test!$J$10:$P$14,7,FALSE))/1440),1,0)</f>
        <v>0</v>
      </c>
      <c r="AA129" s="2">
        <f>IF(AND(VLOOKUP(AA$1,test!$A$3:$F$32,5,FALSE) - VLOOKUP($B129,test!$A$3:$G$32,6,FALSE) &gt;= (test!$B$37+VLOOKUP(VLOOKUP($B129,test!$A$2:$I$32,4,FALSE),test!$J$10:$P$14,7,FALSE))/1440),1,0)</f>
        <v>0</v>
      </c>
      <c r="AB129" s="2">
        <f>IF(AND(VLOOKUP(AB$1,test!$A$3:$F$32,5,FALSE) - VLOOKUP($B129,test!$A$3:$G$32,6,FALSE) &gt;= (test!$B$37+VLOOKUP(VLOOKUP($B129,test!$A$2:$I$32,4,FALSE),test!$J$10:$P$14,7,FALSE))/1440),1,0)</f>
        <v>0</v>
      </c>
      <c r="AC129" s="2">
        <f>IF(AND(VLOOKUP(AC$1,test!$A$3:$F$32,5,FALSE) - VLOOKUP($B129,test!$A$3:$G$32,6,FALSE) &gt;= (test!$B$37+VLOOKUP(VLOOKUP($B129,test!$A$2:$I$32,4,FALSE),test!$J$10:$P$14,7,FALSE))/1440),1,0)</f>
        <v>0</v>
      </c>
      <c r="AD129" s="2">
        <f>IF(AND(VLOOKUP(AD$1,test!$A$3:$F$32,5,FALSE) - VLOOKUP($B129,test!$A$3:$G$32,6,FALSE) &gt;= (test!$B$37+VLOOKUP(VLOOKUP($B129,test!$A$2:$I$32,4,FALSE),test!$J$10:$P$14,7,FALSE))/1440),1,0)</f>
        <v>0</v>
      </c>
      <c r="AE129" s="2">
        <f>IF(AND(VLOOKUP(AE$1,test!$A$3:$F$32,5,FALSE) - VLOOKUP($B129,test!$A$3:$G$32,6,FALSE) &gt;= (test!$B$37+VLOOKUP(VLOOKUP($B129,test!$A$2:$I$32,4,FALSE),test!$J$10:$P$14,7,FALSE))/1440),1,0)</f>
        <v>0</v>
      </c>
      <c r="AF129" s="2">
        <f>IF(AND(VLOOKUP(AF$1,test!$A$3:$F$32,5,FALSE) - VLOOKUP($B129,test!$A$3:$G$32,6,FALSE) &gt;= (test!$B$37+VLOOKUP(VLOOKUP($B129,test!$A$2:$I$32,4,FALSE),test!$J$10:$P$14,7,FALSE))/1440),1,0)</f>
        <v>0</v>
      </c>
      <c r="AG129" s="2">
        <f>IF(AND(VLOOKUP(AG$1,test!$A$3:$F$32,5,FALSE) - VLOOKUP($B129,test!$A$3:$G$32,6,FALSE) &gt;= (test!$B$37+VLOOKUP(VLOOKUP($B129,test!$A$2:$I$32,4,FALSE),test!$J$10:$P$14,7,FALSE))/1440),1,0)</f>
        <v>0</v>
      </c>
    </row>
    <row r="130" spans="1:33" x14ac:dyDescent="0.25">
      <c r="A130" t="s">
        <v>99</v>
      </c>
      <c r="B130" t="s">
        <v>11</v>
      </c>
      <c r="C130">
        <v>0</v>
      </c>
      <c r="D130" s="2">
        <f>IF(AND(VLOOKUP(D$1,test!$A$3:$F$32,5,FALSE) - VLOOKUP($B130,test!$A$3:$G$32,6,FALSE) &gt;= (test!$B$37+VLOOKUP(VLOOKUP($B130,test!$A$2:$I$32,4,FALSE),test!$J$10:$P$14,7,FALSE))/1440),1,0)</f>
        <v>0</v>
      </c>
      <c r="E130" s="2">
        <f>IF(AND(VLOOKUP(E$1,test!$A$3:$F$32,5,FALSE) - VLOOKUP($B130,test!$A$3:$G$32,6,FALSE) &gt;= (test!$B$37+VLOOKUP(VLOOKUP($B130,test!$A$2:$I$32,4,FALSE),test!$J$10:$P$14,7,FALSE))/1440),1,0)</f>
        <v>0</v>
      </c>
      <c r="F130" s="2">
        <f>IF(AND(VLOOKUP(F$1,test!$A$3:$F$32,5,FALSE) - VLOOKUP($B130,test!$A$3:$G$32,6,FALSE) &gt;= (test!$B$37+VLOOKUP(VLOOKUP($B130,test!$A$2:$I$32,4,FALSE),test!$J$10:$P$14,7,FALSE))/1440),1,0)</f>
        <v>0</v>
      </c>
      <c r="G130" s="2">
        <f>IF(AND(VLOOKUP(G$1,test!$A$3:$F$32,5,FALSE) - VLOOKUP($B130,test!$A$3:$G$32,6,FALSE) &gt;= (test!$B$37+VLOOKUP(VLOOKUP($B130,test!$A$2:$I$32,4,FALSE),test!$J$10:$P$14,7,FALSE))/1440),1,0)</f>
        <v>0</v>
      </c>
      <c r="H130" s="2">
        <f>IF(AND(VLOOKUP(H$1,test!$A$3:$F$32,5,FALSE) - VLOOKUP($B130,test!$A$3:$G$32,6,FALSE) &gt;= (test!$B$37+VLOOKUP(VLOOKUP($B130,test!$A$2:$I$32,4,FALSE),test!$J$10:$P$14,7,FALSE))/1440),1,0)</f>
        <v>0</v>
      </c>
      <c r="I130" s="2">
        <f>IF(AND(VLOOKUP(I$1,test!$A$3:$F$32,5,FALSE) - VLOOKUP($B130,test!$A$3:$G$32,6,FALSE) &gt;= (test!$B$37+VLOOKUP(VLOOKUP($B130,test!$A$2:$I$32,4,FALSE),test!$J$10:$P$14,7,FALSE))/1440),1,0)</f>
        <v>0</v>
      </c>
      <c r="J130" s="2">
        <f>IF(AND(VLOOKUP(J$1,test!$A$3:$F$32,5,FALSE) - VLOOKUP($B130,test!$A$3:$G$32,6,FALSE) &gt;= (test!$B$37+VLOOKUP(VLOOKUP($B130,test!$A$2:$I$32,4,FALSE),test!$J$10:$P$14,7,FALSE))/1440),1,0)</f>
        <v>0</v>
      </c>
      <c r="K130" s="2">
        <f>IF(AND(VLOOKUP(K$1,test!$A$3:$F$32,5,FALSE) - VLOOKUP($B130,test!$A$3:$G$32,6,FALSE) &gt;= (test!$B$37+VLOOKUP(VLOOKUP($B130,test!$A$2:$I$32,4,FALSE),test!$J$10:$P$14,7,FALSE))/1440),1,0)</f>
        <v>0</v>
      </c>
      <c r="L130" s="2">
        <f>IF(AND(VLOOKUP(L$1,test!$A$3:$F$32,5,FALSE) - VLOOKUP($B130,test!$A$3:$G$32,6,FALSE) &gt;= (test!$B$37+VLOOKUP(VLOOKUP($B130,test!$A$2:$I$32,4,FALSE),test!$J$10:$P$14,7,FALSE))/1440),1,0)</f>
        <v>0</v>
      </c>
      <c r="M130" s="2">
        <f>IF(AND(VLOOKUP(M$1,test!$A$3:$F$32,5,FALSE) - VLOOKUP($B130,test!$A$3:$G$32,6,FALSE) &gt;= (test!$B$37+VLOOKUP(VLOOKUP($B130,test!$A$2:$I$32,4,FALSE),test!$J$10:$P$14,7,FALSE))/1440),1,0)</f>
        <v>0</v>
      </c>
      <c r="N130" s="2">
        <f>IF(AND(VLOOKUP(N$1,test!$A$3:$F$32,5,FALSE) - VLOOKUP($B130,test!$A$3:$G$32,6,FALSE) &gt;= (test!$B$37+VLOOKUP(VLOOKUP($B130,test!$A$2:$I$32,4,FALSE),test!$J$10:$P$14,7,FALSE))/1440),1,0)</f>
        <v>0</v>
      </c>
      <c r="O130" s="2">
        <f>IF(AND(VLOOKUP(O$1,test!$A$3:$F$32,5,FALSE) - VLOOKUP($B130,test!$A$3:$G$32,6,FALSE) &gt;= (test!$B$37+VLOOKUP(VLOOKUP($B130,test!$A$2:$I$32,4,FALSE),test!$J$10:$P$14,7,FALSE))/1440),1,0)</f>
        <v>0</v>
      </c>
      <c r="P130" s="2">
        <f>IF(AND(VLOOKUP(P$1,test!$A$3:$F$32,5,FALSE) - VLOOKUP($B130,test!$A$3:$G$32,6,FALSE) &gt;= (test!$B$37+VLOOKUP(VLOOKUP($B130,test!$A$2:$I$32,4,FALSE),test!$J$10:$P$14,7,FALSE))/1440),1,0)</f>
        <v>0</v>
      </c>
      <c r="Q130" s="2">
        <f>IF(AND(VLOOKUP(Q$1,test!$A$3:$F$32,5,FALSE) - VLOOKUP($B130,test!$A$3:$G$32,6,FALSE) &gt;= (test!$B$37+VLOOKUP(VLOOKUP($B130,test!$A$2:$I$32,4,FALSE),test!$J$10:$P$14,7,FALSE))/1440),1,0)</f>
        <v>0</v>
      </c>
      <c r="R130" s="2">
        <f>IF(AND(VLOOKUP(R$1,test!$A$3:$F$32,5,FALSE) - VLOOKUP($B130,test!$A$3:$G$32,6,FALSE) &gt;= (test!$B$37+VLOOKUP(VLOOKUP($B130,test!$A$2:$I$32,4,FALSE),test!$J$10:$P$14,7,FALSE))/1440),1,0)</f>
        <v>0</v>
      </c>
      <c r="S130" s="2">
        <f>IF(AND(VLOOKUP(S$1,test!$A$3:$F$32,5,FALSE) - VLOOKUP($B130,test!$A$3:$G$32,6,FALSE) &gt;= (test!$B$37+VLOOKUP(VLOOKUP($B130,test!$A$2:$I$32,4,FALSE),test!$J$10:$P$14,7,FALSE))/1440),1,0)</f>
        <v>0</v>
      </c>
      <c r="T130" s="2">
        <f>IF(AND(VLOOKUP(T$1,test!$A$3:$F$32,5,FALSE) - VLOOKUP($B130,test!$A$3:$G$32,6,FALSE) &gt;= (test!$B$37+VLOOKUP(VLOOKUP($B130,test!$A$2:$I$32,4,FALSE),test!$J$10:$P$14,7,FALSE))/1440),1,0)</f>
        <v>0</v>
      </c>
      <c r="U130" s="2">
        <f>IF(AND(VLOOKUP(U$1,test!$A$3:$F$32,5,FALSE) - VLOOKUP($B130,test!$A$3:$G$32,6,FALSE) &gt;= (test!$B$37+VLOOKUP(VLOOKUP($B130,test!$A$2:$I$32,4,FALSE),test!$J$10:$P$14,7,FALSE))/1440),1,0)</f>
        <v>0</v>
      </c>
      <c r="V130" s="2">
        <f>IF(AND(VLOOKUP(V$1,test!$A$3:$F$32,5,FALSE) - VLOOKUP($B130,test!$A$3:$G$32,6,FALSE) &gt;= (test!$B$37+VLOOKUP(VLOOKUP($B130,test!$A$2:$I$32,4,FALSE),test!$J$10:$P$14,7,FALSE))/1440),1,0)</f>
        <v>0</v>
      </c>
      <c r="W130" s="2">
        <f>IF(AND(VLOOKUP(W$1,test!$A$3:$F$32,5,FALSE) - VLOOKUP($B130,test!$A$3:$G$32,6,FALSE) &gt;= (test!$B$37+VLOOKUP(VLOOKUP($B130,test!$A$2:$I$32,4,FALSE),test!$J$10:$P$14,7,FALSE))/1440),1,0)</f>
        <v>0</v>
      </c>
      <c r="X130" s="2">
        <f>IF(AND(VLOOKUP(X$1,test!$A$3:$F$32,5,FALSE) - VLOOKUP($B130,test!$A$3:$G$32,6,FALSE) &gt;= (test!$B$37+VLOOKUP(VLOOKUP($B130,test!$A$2:$I$32,4,FALSE),test!$J$10:$P$14,7,FALSE))/1440),1,0)</f>
        <v>0</v>
      </c>
      <c r="Y130" s="2">
        <f>IF(AND(VLOOKUP(Y$1,test!$A$3:$F$32,5,FALSE) - VLOOKUP($B130,test!$A$3:$G$32,6,FALSE) &gt;= (test!$B$37+VLOOKUP(VLOOKUP($B130,test!$A$2:$I$32,4,FALSE),test!$J$10:$P$14,7,FALSE))/1440),1,0)</f>
        <v>0</v>
      </c>
      <c r="Z130" s="2">
        <f>IF(AND(VLOOKUP(Z$1,test!$A$3:$F$32,5,FALSE) - VLOOKUP($B130,test!$A$3:$G$32,6,FALSE) &gt;= (test!$B$37+VLOOKUP(VLOOKUP($B130,test!$A$2:$I$32,4,FALSE),test!$J$10:$P$14,7,FALSE))/1440),1,0)</f>
        <v>0</v>
      </c>
      <c r="AA130" s="2">
        <f>IF(AND(VLOOKUP(AA$1,test!$A$3:$F$32,5,FALSE) - VLOOKUP($B130,test!$A$3:$G$32,6,FALSE) &gt;= (test!$B$37+VLOOKUP(VLOOKUP($B130,test!$A$2:$I$32,4,FALSE),test!$J$10:$P$14,7,FALSE))/1440),1,0)</f>
        <v>0</v>
      </c>
      <c r="AB130" s="2">
        <f>IF(AND(VLOOKUP(AB$1,test!$A$3:$F$32,5,FALSE) - VLOOKUP($B130,test!$A$3:$G$32,6,FALSE) &gt;= (test!$B$37+VLOOKUP(VLOOKUP($B130,test!$A$2:$I$32,4,FALSE),test!$J$10:$P$14,7,FALSE))/1440),1,0)</f>
        <v>0</v>
      </c>
      <c r="AC130" s="2">
        <f>IF(AND(VLOOKUP(AC$1,test!$A$3:$F$32,5,FALSE) - VLOOKUP($B130,test!$A$3:$G$32,6,FALSE) &gt;= (test!$B$37+VLOOKUP(VLOOKUP($B130,test!$A$2:$I$32,4,FALSE),test!$J$10:$P$14,7,FALSE))/1440),1,0)</f>
        <v>0</v>
      </c>
      <c r="AD130" s="2">
        <f>IF(AND(VLOOKUP(AD$1,test!$A$3:$F$32,5,FALSE) - VLOOKUP($B130,test!$A$3:$G$32,6,FALSE) &gt;= (test!$B$37+VLOOKUP(VLOOKUP($B130,test!$A$2:$I$32,4,FALSE),test!$J$10:$P$14,7,FALSE))/1440),1,0)</f>
        <v>0</v>
      </c>
      <c r="AE130" s="2">
        <f>IF(AND(VLOOKUP(AE$1,test!$A$3:$F$32,5,FALSE) - VLOOKUP($B130,test!$A$3:$G$32,6,FALSE) &gt;= (test!$B$37+VLOOKUP(VLOOKUP($B130,test!$A$2:$I$32,4,FALSE),test!$J$10:$P$14,7,FALSE))/1440),1,0)</f>
        <v>0</v>
      </c>
      <c r="AF130" s="2">
        <f>IF(AND(VLOOKUP(AF$1,test!$A$3:$F$32,5,FALSE) - VLOOKUP($B130,test!$A$3:$G$32,6,FALSE) &gt;= (test!$B$37+VLOOKUP(VLOOKUP($B130,test!$A$2:$I$32,4,FALSE),test!$J$10:$P$14,7,FALSE))/1440),1,0)</f>
        <v>0</v>
      </c>
      <c r="AG130" s="2">
        <f>IF(AND(VLOOKUP(AG$1,test!$A$3:$F$32,5,FALSE) - VLOOKUP($B130,test!$A$3:$G$32,6,FALSE) &gt;= (test!$B$37+VLOOKUP(VLOOKUP($B130,test!$A$2:$I$32,4,FALSE),test!$J$10:$P$14,7,FALSE))/1440),1,0)</f>
        <v>0</v>
      </c>
    </row>
    <row r="131" spans="1:33" x14ac:dyDescent="0.25">
      <c r="A131" t="s">
        <v>99</v>
      </c>
      <c r="B131" t="s">
        <v>12</v>
      </c>
      <c r="C131">
        <v>0</v>
      </c>
      <c r="D131" s="2">
        <f>IF(AND(VLOOKUP(D$1,test!$A$3:$F$32,5,FALSE) - VLOOKUP($B131,test!$A$3:$G$32,6,FALSE) &gt;= (test!$B$37+VLOOKUP(VLOOKUP($B131,test!$A$2:$I$32,4,FALSE),test!$J$10:$P$14,7,FALSE))/1440),1,0)</f>
        <v>0</v>
      </c>
      <c r="E131" s="2">
        <f>IF(AND(VLOOKUP(E$1,test!$A$3:$F$32,5,FALSE) - VLOOKUP($B131,test!$A$3:$G$32,6,FALSE) &gt;= (test!$B$37+VLOOKUP(VLOOKUP($B131,test!$A$2:$I$32,4,FALSE),test!$J$10:$P$14,7,FALSE))/1440),1,0)</f>
        <v>0</v>
      </c>
      <c r="F131" s="2">
        <f>IF(AND(VLOOKUP(F$1,test!$A$3:$F$32,5,FALSE) - VLOOKUP($B131,test!$A$3:$G$32,6,FALSE) &gt;= (test!$B$37+VLOOKUP(VLOOKUP($B131,test!$A$2:$I$32,4,FALSE),test!$J$10:$P$14,7,FALSE))/1440),1,0)</f>
        <v>0</v>
      </c>
      <c r="G131" s="2">
        <f>IF(AND(VLOOKUP(G$1,test!$A$3:$F$32,5,FALSE) - VLOOKUP($B131,test!$A$3:$G$32,6,FALSE) &gt;= (test!$B$37+VLOOKUP(VLOOKUP($B131,test!$A$2:$I$32,4,FALSE),test!$J$10:$P$14,7,FALSE))/1440),1,0)</f>
        <v>0</v>
      </c>
      <c r="H131" s="2">
        <f>IF(AND(VLOOKUP(H$1,test!$A$3:$F$32,5,FALSE) - VLOOKUP($B131,test!$A$3:$G$32,6,FALSE) &gt;= (test!$B$37+VLOOKUP(VLOOKUP($B131,test!$A$2:$I$32,4,FALSE),test!$J$10:$P$14,7,FALSE))/1440),1,0)</f>
        <v>0</v>
      </c>
      <c r="I131" s="2">
        <f>IF(AND(VLOOKUP(I$1,test!$A$3:$F$32,5,FALSE) - VLOOKUP($B131,test!$A$3:$G$32,6,FALSE) &gt;= (test!$B$37+VLOOKUP(VLOOKUP($B131,test!$A$2:$I$32,4,FALSE),test!$J$10:$P$14,7,FALSE))/1440),1,0)</f>
        <v>0</v>
      </c>
      <c r="J131" s="2">
        <f>IF(AND(VLOOKUP(J$1,test!$A$3:$F$32,5,FALSE) - VLOOKUP($B131,test!$A$3:$G$32,6,FALSE) &gt;= (test!$B$37+VLOOKUP(VLOOKUP($B131,test!$A$2:$I$32,4,FALSE),test!$J$10:$P$14,7,FALSE))/1440),1,0)</f>
        <v>0</v>
      </c>
      <c r="K131" s="2">
        <f>IF(AND(VLOOKUP(K$1,test!$A$3:$F$32,5,FALSE) - VLOOKUP($B131,test!$A$3:$G$32,6,FALSE) &gt;= (test!$B$37+VLOOKUP(VLOOKUP($B131,test!$A$2:$I$32,4,FALSE),test!$J$10:$P$14,7,FALSE))/1440),1,0)</f>
        <v>0</v>
      </c>
      <c r="L131" s="2">
        <f>IF(AND(VLOOKUP(L$1,test!$A$3:$F$32,5,FALSE) - VLOOKUP($B131,test!$A$3:$G$32,6,FALSE) &gt;= (test!$B$37+VLOOKUP(VLOOKUP($B131,test!$A$2:$I$32,4,FALSE),test!$J$10:$P$14,7,FALSE))/1440),1,0)</f>
        <v>0</v>
      </c>
      <c r="M131" s="2">
        <f>IF(AND(VLOOKUP(M$1,test!$A$3:$F$32,5,FALSE) - VLOOKUP($B131,test!$A$3:$G$32,6,FALSE) &gt;= (test!$B$37+VLOOKUP(VLOOKUP($B131,test!$A$2:$I$32,4,FALSE),test!$J$10:$P$14,7,FALSE))/1440),1,0)</f>
        <v>0</v>
      </c>
      <c r="N131" s="2">
        <f>IF(AND(VLOOKUP(N$1,test!$A$3:$F$32,5,FALSE) - VLOOKUP($B131,test!$A$3:$G$32,6,FALSE) &gt;= (test!$B$37+VLOOKUP(VLOOKUP($B131,test!$A$2:$I$32,4,FALSE),test!$J$10:$P$14,7,FALSE))/1440),1,0)</f>
        <v>0</v>
      </c>
      <c r="O131" s="2">
        <f>IF(AND(VLOOKUP(O$1,test!$A$3:$F$32,5,FALSE) - VLOOKUP($B131,test!$A$3:$G$32,6,FALSE) &gt;= (test!$B$37+VLOOKUP(VLOOKUP($B131,test!$A$2:$I$32,4,FALSE),test!$J$10:$P$14,7,FALSE))/1440),1,0)</f>
        <v>0</v>
      </c>
      <c r="P131" s="2">
        <f>IF(AND(VLOOKUP(P$1,test!$A$3:$F$32,5,FALSE) - VLOOKUP($B131,test!$A$3:$G$32,6,FALSE) &gt;= (test!$B$37+VLOOKUP(VLOOKUP($B131,test!$A$2:$I$32,4,FALSE),test!$J$10:$P$14,7,FALSE))/1440),1,0)</f>
        <v>0</v>
      </c>
      <c r="Q131" s="2">
        <f>IF(AND(VLOOKUP(Q$1,test!$A$3:$F$32,5,FALSE) - VLOOKUP($B131,test!$A$3:$G$32,6,FALSE) &gt;= (test!$B$37+VLOOKUP(VLOOKUP($B131,test!$A$2:$I$32,4,FALSE),test!$J$10:$P$14,7,FALSE))/1440),1,0)</f>
        <v>0</v>
      </c>
      <c r="R131" s="2">
        <f>IF(AND(VLOOKUP(R$1,test!$A$3:$F$32,5,FALSE) - VLOOKUP($B131,test!$A$3:$G$32,6,FALSE) &gt;= (test!$B$37+VLOOKUP(VLOOKUP($B131,test!$A$2:$I$32,4,FALSE),test!$J$10:$P$14,7,FALSE))/1440),1,0)</f>
        <v>0</v>
      </c>
      <c r="S131" s="2">
        <f>IF(AND(VLOOKUP(S$1,test!$A$3:$F$32,5,FALSE) - VLOOKUP($B131,test!$A$3:$G$32,6,FALSE) &gt;= (test!$B$37+VLOOKUP(VLOOKUP($B131,test!$A$2:$I$32,4,FALSE),test!$J$10:$P$14,7,FALSE))/1440),1,0)</f>
        <v>0</v>
      </c>
      <c r="T131" s="2">
        <f>IF(AND(VLOOKUP(T$1,test!$A$3:$F$32,5,FALSE) - VLOOKUP($B131,test!$A$3:$G$32,6,FALSE) &gt;= (test!$B$37+VLOOKUP(VLOOKUP($B131,test!$A$2:$I$32,4,FALSE),test!$J$10:$P$14,7,FALSE))/1440),1,0)</f>
        <v>0</v>
      </c>
      <c r="U131" s="2">
        <f>IF(AND(VLOOKUP(U$1,test!$A$3:$F$32,5,FALSE) - VLOOKUP($B131,test!$A$3:$G$32,6,FALSE) &gt;= (test!$B$37+VLOOKUP(VLOOKUP($B131,test!$A$2:$I$32,4,FALSE),test!$J$10:$P$14,7,FALSE))/1440),1,0)</f>
        <v>0</v>
      </c>
      <c r="V131" s="2">
        <f>IF(AND(VLOOKUP(V$1,test!$A$3:$F$32,5,FALSE) - VLOOKUP($B131,test!$A$3:$G$32,6,FALSE) &gt;= (test!$B$37+VLOOKUP(VLOOKUP($B131,test!$A$2:$I$32,4,FALSE),test!$J$10:$P$14,7,FALSE))/1440),1,0)</f>
        <v>0</v>
      </c>
      <c r="W131" s="2">
        <f>IF(AND(VLOOKUP(W$1,test!$A$3:$F$32,5,FALSE) - VLOOKUP($B131,test!$A$3:$G$32,6,FALSE) &gt;= (test!$B$37+VLOOKUP(VLOOKUP($B131,test!$A$2:$I$32,4,FALSE),test!$J$10:$P$14,7,FALSE))/1440),1,0)</f>
        <v>0</v>
      </c>
      <c r="X131" s="2">
        <f>IF(AND(VLOOKUP(X$1,test!$A$3:$F$32,5,FALSE) - VLOOKUP($B131,test!$A$3:$G$32,6,FALSE) &gt;= (test!$B$37+VLOOKUP(VLOOKUP($B131,test!$A$2:$I$32,4,FALSE),test!$J$10:$P$14,7,FALSE))/1440),1,0)</f>
        <v>0</v>
      </c>
      <c r="Y131" s="2">
        <f>IF(AND(VLOOKUP(Y$1,test!$A$3:$F$32,5,FALSE) - VLOOKUP($B131,test!$A$3:$G$32,6,FALSE) &gt;= (test!$B$37+VLOOKUP(VLOOKUP($B131,test!$A$2:$I$32,4,FALSE),test!$J$10:$P$14,7,FALSE))/1440),1,0)</f>
        <v>0</v>
      </c>
      <c r="Z131" s="2">
        <f>IF(AND(VLOOKUP(Z$1,test!$A$3:$F$32,5,FALSE) - VLOOKUP($B131,test!$A$3:$G$32,6,FALSE) &gt;= (test!$B$37+VLOOKUP(VLOOKUP($B131,test!$A$2:$I$32,4,FALSE),test!$J$10:$P$14,7,FALSE))/1440),1,0)</f>
        <v>0</v>
      </c>
      <c r="AA131" s="2">
        <f>IF(AND(VLOOKUP(AA$1,test!$A$3:$F$32,5,FALSE) - VLOOKUP($B131,test!$A$3:$G$32,6,FALSE) &gt;= (test!$B$37+VLOOKUP(VLOOKUP($B131,test!$A$2:$I$32,4,FALSE),test!$J$10:$P$14,7,FALSE))/1440),1,0)</f>
        <v>0</v>
      </c>
      <c r="AB131" s="2">
        <f>IF(AND(VLOOKUP(AB$1,test!$A$3:$F$32,5,FALSE) - VLOOKUP($B131,test!$A$3:$G$32,6,FALSE) &gt;= (test!$B$37+VLOOKUP(VLOOKUP($B131,test!$A$2:$I$32,4,FALSE),test!$J$10:$P$14,7,FALSE))/1440),1,0)</f>
        <v>0</v>
      </c>
      <c r="AC131" s="2">
        <f>IF(AND(VLOOKUP(AC$1,test!$A$3:$F$32,5,FALSE) - VLOOKUP($B131,test!$A$3:$G$32,6,FALSE) &gt;= (test!$B$37+VLOOKUP(VLOOKUP($B131,test!$A$2:$I$32,4,FALSE),test!$J$10:$P$14,7,FALSE))/1440),1,0)</f>
        <v>0</v>
      </c>
      <c r="AD131" s="2">
        <f>IF(AND(VLOOKUP(AD$1,test!$A$3:$F$32,5,FALSE) - VLOOKUP($B131,test!$A$3:$G$32,6,FALSE) &gt;= (test!$B$37+VLOOKUP(VLOOKUP($B131,test!$A$2:$I$32,4,FALSE),test!$J$10:$P$14,7,FALSE))/1440),1,0)</f>
        <v>0</v>
      </c>
      <c r="AE131" s="2">
        <f>IF(AND(VLOOKUP(AE$1,test!$A$3:$F$32,5,FALSE) - VLOOKUP($B131,test!$A$3:$G$32,6,FALSE) &gt;= (test!$B$37+VLOOKUP(VLOOKUP($B131,test!$A$2:$I$32,4,FALSE),test!$J$10:$P$14,7,FALSE))/1440),1,0)</f>
        <v>0</v>
      </c>
      <c r="AF131" s="2">
        <f>IF(AND(VLOOKUP(AF$1,test!$A$3:$F$32,5,FALSE) - VLOOKUP($B131,test!$A$3:$G$32,6,FALSE) &gt;= (test!$B$37+VLOOKUP(VLOOKUP($B131,test!$A$2:$I$32,4,FALSE),test!$J$10:$P$14,7,FALSE))/1440),1,0)</f>
        <v>0</v>
      </c>
      <c r="AG131" s="2">
        <f>IF(AND(VLOOKUP(AG$1,test!$A$3:$F$32,5,FALSE) - VLOOKUP($B131,test!$A$3:$G$32,6,FALSE) &gt;= (test!$B$37+VLOOKUP(VLOOKUP($B131,test!$A$2:$I$32,4,FALSE),test!$J$10:$P$14,7,FALSE))/1440),1,0)</f>
        <v>0</v>
      </c>
    </row>
    <row r="132" spans="1:33" x14ac:dyDescent="0.25">
      <c r="A132" t="s">
        <v>99</v>
      </c>
      <c r="B132" t="s">
        <v>13</v>
      </c>
      <c r="C132">
        <v>0</v>
      </c>
      <c r="D132" s="2">
        <f>IF(AND(VLOOKUP(D$1,test!$A$3:$F$32,5,FALSE) - VLOOKUP($B132,test!$A$3:$G$32,6,FALSE) &gt;= (test!$B$37+VLOOKUP(VLOOKUP($B132,test!$A$2:$I$32,4,FALSE),test!$J$10:$P$14,7,FALSE))/1440),1,0)</f>
        <v>0</v>
      </c>
      <c r="E132" s="2">
        <f>IF(AND(VLOOKUP(E$1,test!$A$3:$F$32,5,FALSE) - VLOOKUP($B132,test!$A$3:$G$32,6,FALSE) &gt;= (test!$B$37+VLOOKUP(VLOOKUP($B132,test!$A$2:$I$32,4,FALSE),test!$J$10:$P$14,7,FALSE))/1440),1,0)</f>
        <v>0</v>
      </c>
      <c r="F132" s="2">
        <f>IF(AND(VLOOKUP(F$1,test!$A$3:$F$32,5,FALSE) - VLOOKUP($B132,test!$A$3:$G$32,6,FALSE) &gt;= (test!$B$37+VLOOKUP(VLOOKUP($B132,test!$A$2:$I$32,4,FALSE),test!$J$10:$P$14,7,FALSE))/1440),1,0)</f>
        <v>0</v>
      </c>
      <c r="G132" s="2">
        <f>IF(AND(VLOOKUP(G$1,test!$A$3:$F$32,5,FALSE) - VLOOKUP($B132,test!$A$3:$G$32,6,FALSE) &gt;= (test!$B$37+VLOOKUP(VLOOKUP($B132,test!$A$2:$I$32,4,FALSE),test!$J$10:$P$14,7,FALSE))/1440),1,0)</f>
        <v>0</v>
      </c>
      <c r="H132" s="2">
        <f>IF(AND(VLOOKUP(H$1,test!$A$3:$F$32,5,FALSE) - VLOOKUP($B132,test!$A$3:$G$32,6,FALSE) &gt;= (test!$B$37+VLOOKUP(VLOOKUP($B132,test!$A$2:$I$32,4,FALSE),test!$J$10:$P$14,7,FALSE))/1440),1,0)</f>
        <v>0</v>
      </c>
      <c r="I132" s="2">
        <f>IF(AND(VLOOKUP(I$1,test!$A$3:$F$32,5,FALSE) - VLOOKUP($B132,test!$A$3:$G$32,6,FALSE) &gt;= (test!$B$37+VLOOKUP(VLOOKUP($B132,test!$A$2:$I$32,4,FALSE),test!$J$10:$P$14,7,FALSE))/1440),1,0)</f>
        <v>0</v>
      </c>
      <c r="J132" s="2">
        <f>IF(AND(VLOOKUP(J$1,test!$A$3:$F$32,5,FALSE) - VLOOKUP($B132,test!$A$3:$G$32,6,FALSE) &gt;= (test!$B$37+VLOOKUP(VLOOKUP($B132,test!$A$2:$I$32,4,FALSE),test!$J$10:$P$14,7,FALSE))/1440),1,0)</f>
        <v>0</v>
      </c>
      <c r="K132" s="2">
        <f>IF(AND(VLOOKUP(K$1,test!$A$3:$F$32,5,FALSE) - VLOOKUP($B132,test!$A$3:$G$32,6,FALSE) &gt;= (test!$B$37+VLOOKUP(VLOOKUP($B132,test!$A$2:$I$32,4,FALSE),test!$J$10:$P$14,7,FALSE))/1440),1,0)</f>
        <v>0</v>
      </c>
      <c r="L132" s="2">
        <f>IF(AND(VLOOKUP(L$1,test!$A$3:$F$32,5,FALSE) - VLOOKUP($B132,test!$A$3:$G$32,6,FALSE) &gt;= (test!$B$37+VLOOKUP(VLOOKUP($B132,test!$A$2:$I$32,4,FALSE),test!$J$10:$P$14,7,FALSE))/1440),1,0)</f>
        <v>0</v>
      </c>
      <c r="M132" s="2">
        <f>IF(AND(VLOOKUP(M$1,test!$A$3:$F$32,5,FALSE) - VLOOKUP($B132,test!$A$3:$G$32,6,FALSE) &gt;= (test!$B$37+VLOOKUP(VLOOKUP($B132,test!$A$2:$I$32,4,FALSE),test!$J$10:$P$14,7,FALSE))/1440),1,0)</f>
        <v>0</v>
      </c>
      <c r="N132" s="2">
        <f>IF(AND(VLOOKUP(N$1,test!$A$3:$F$32,5,FALSE) - VLOOKUP($B132,test!$A$3:$G$32,6,FALSE) &gt;= (test!$B$37+VLOOKUP(VLOOKUP($B132,test!$A$2:$I$32,4,FALSE),test!$J$10:$P$14,7,FALSE))/1440),1,0)</f>
        <v>0</v>
      </c>
      <c r="O132" s="2">
        <f>IF(AND(VLOOKUP(O$1,test!$A$3:$F$32,5,FALSE) - VLOOKUP($B132,test!$A$3:$G$32,6,FALSE) &gt;= (test!$B$37+VLOOKUP(VLOOKUP($B132,test!$A$2:$I$32,4,FALSE),test!$J$10:$P$14,7,FALSE))/1440),1,0)</f>
        <v>0</v>
      </c>
      <c r="P132" s="2">
        <f>IF(AND(VLOOKUP(P$1,test!$A$3:$F$32,5,FALSE) - VLOOKUP($B132,test!$A$3:$G$32,6,FALSE) &gt;= (test!$B$37+VLOOKUP(VLOOKUP($B132,test!$A$2:$I$32,4,FALSE),test!$J$10:$P$14,7,FALSE))/1440),1,0)</f>
        <v>0</v>
      </c>
      <c r="Q132" s="2">
        <f>IF(AND(VLOOKUP(Q$1,test!$A$3:$F$32,5,FALSE) - VLOOKUP($B132,test!$A$3:$G$32,6,FALSE) &gt;= (test!$B$37+VLOOKUP(VLOOKUP($B132,test!$A$2:$I$32,4,FALSE),test!$J$10:$P$14,7,FALSE))/1440),1,0)</f>
        <v>0</v>
      </c>
      <c r="R132" s="2">
        <f>IF(AND(VLOOKUP(R$1,test!$A$3:$F$32,5,FALSE) - VLOOKUP($B132,test!$A$3:$G$32,6,FALSE) &gt;= (test!$B$37+VLOOKUP(VLOOKUP($B132,test!$A$2:$I$32,4,FALSE),test!$J$10:$P$14,7,FALSE))/1440),1,0)</f>
        <v>0</v>
      </c>
      <c r="S132" s="2">
        <f>IF(AND(VLOOKUP(S$1,test!$A$3:$F$32,5,FALSE) - VLOOKUP($B132,test!$A$3:$G$32,6,FALSE) &gt;= (test!$B$37+VLOOKUP(VLOOKUP($B132,test!$A$2:$I$32,4,FALSE),test!$J$10:$P$14,7,FALSE))/1440),1,0)</f>
        <v>0</v>
      </c>
      <c r="T132" s="2">
        <f>IF(AND(VLOOKUP(T$1,test!$A$3:$F$32,5,FALSE) - VLOOKUP($B132,test!$A$3:$G$32,6,FALSE) &gt;= (test!$B$37+VLOOKUP(VLOOKUP($B132,test!$A$2:$I$32,4,FALSE),test!$J$10:$P$14,7,FALSE))/1440),1,0)</f>
        <v>0</v>
      </c>
      <c r="U132" s="2">
        <f>IF(AND(VLOOKUP(U$1,test!$A$3:$F$32,5,FALSE) - VLOOKUP($B132,test!$A$3:$G$32,6,FALSE) &gt;= (test!$B$37+VLOOKUP(VLOOKUP($B132,test!$A$2:$I$32,4,FALSE),test!$J$10:$P$14,7,FALSE))/1440),1,0)</f>
        <v>0</v>
      </c>
      <c r="V132" s="2">
        <f>IF(AND(VLOOKUP(V$1,test!$A$3:$F$32,5,FALSE) - VLOOKUP($B132,test!$A$3:$G$32,6,FALSE) &gt;= (test!$B$37+VLOOKUP(VLOOKUP($B132,test!$A$2:$I$32,4,FALSE),test!$J$10:$P$14,7,FALSE))/1440),1,0)</f>
        <v>0</v>
      </c>
      <c r="W132" s="2">
        <f>IF(AND(VLOOKUP(W$1,test!$A$3:$F$32,5,FALSE) - VLOOKUP($B132,test!$A$3:$G$32,6,FALSE) &gt;= (test!$B$37+VLOOKUP(VLOOKUP($B132,test!$A$2:$I$32,4,FALSE),test!$J$10:$P$14,7,FALSE))/1440),1,0)</f>
        <v>0</v>
      </c>
      <c r="X132" s="2">
        <f>IF(AND(VLOOKUP(X$1,test!$A$3:$F$32,5,FALSE) - VLOOKUP($B132,test!$A$3:$G$32,6,FALSE) &gt;= (test!$B$37+VLOOKUP(VLOOKUP($B132,test!$A$2:$I$32,4,FALSE),test!$J$10:$P$14,7,FALSE))/1440),1,0)</f>
        <v>0</v>
      </c>
      <c r="Y132" s="2">
        <f>IF(AND(VLOOKUP(Y$1,test!$A$3:$F$32,5,FALSE) - VLOOKUP($B132,test!$A$3:$G$32,6,FALSE) &gt;= (test!$B$37+VLOOKUP(VLOOKUP($B132,test!$A$2:$I$32,4,FALSE),test!$J$10:$P$14,7,FALSE))/1440),1,0)</f>
        <v>0</v>
      </c>
      <c r="Z132" s="2">
        <f>IF(AND(VLOOKUP(Z$1,test!$A$3:$F$32,5,FALSE) - VLOOKUP($B132,test!$A$3:$G$32,6,FALSE) &gt;= (test!$B$37+VLOOKUP(VLOOKUP($B132,test!$A$2:$I$32,4,FALSE),test!$J$10:$P$14,7,FALSE))/1440),1,0)</f>
        <v>0</v>
      </c>
      <c r="AA132" s="2">
        <f>IF(AND(VLOOKUP(AA$1,test!$A$3:$F$32,5,FALSE) - VLOOKUP($B132,test!$A$3:$G$32,6,FALSE) &gt;= (test!$B$37+VLOOKUP(VLOOKUP($B132,test!$A$2:$I$32,4,FALSE),test!$J$10:$P$14,7,FALSE))/1440),1,0)</f>
        <v>0</v>
      </c>
      <c r="AB132" s="2">
        <f>IF(AND(VLOOKUP(AB$1,test!$A$3:$F$32,5,FALSE) - VLOOKUP($B132,test!$A$3:$G$32,6,FALSE) &gt;= (test!$B$37+VLOOKUP(VLOOKUP($B132,test!$A$2:$I$32,4,FALSE),test!$J$10:$P$14,7,FALSE))/1440),1,0)</f>
        <v>0</v>
      </c>
      <c r="AC132" s="2">
        <f>IF(AND(VLOOKUP(AC$1,test!$A$3:$F$32,5,FALSE) - VLOOKUP($B132,test!$A$3:$G$32,6,FALSE) &gt;= (test!$B$37+VLOOKUP(VLOOKUP($B132,test!$A$2:$I$32,4,FALSE),test!$J$10:$P$14,7,FALSE))/1440),1,0)</f>
        <v>0</v>
      </c>
      <c r="AD132" s="2">
        <f>IF(AND(VLOOKUP(AD$1,test!$A$3:$F$32,5,FALSE) - VLOOKUP($B132,test!$A$3:$G$32,6,FALSE) &gt;= (test!$B$37+VLOOKUP(VLOOKUP($B132,test!$A$2:$I$32,4,FALSE),test!$J$10:$P$14,7,FALSE))/1440),1,0)</f>
        <v>0</v>
      </c>
      <c r="AE132" s="2">
        <f>IF(AND(VLOOKUP(AE$1,test!$A$3:$F$32,5,FALSE) - VLOOKUP($B132,test!$A$3:$G$32,6,FALSE) &gt;= (test!$B$37+VLOOKUP(VLOOKUP($B132,test!$A$2:$I$32,4,FALSE),test!$J$10:$P$14,7,FALSE))/1440),1,0)</f>
        <v>0</v>
      </c>
      <c r="AF132" s="2">
        <f>IF(AND(VLOOKUP(AF$1,test!$A$3:$F$32,5,FALSE) - VLOOKUP($B132,test!$A$3:$G$32,6,FALSE) &gt;= (test!$B$37+VLOOKUP(VLOOKUP($B132,test!$A$2:$I$32,4,FALSE),test!$J$10:$P$14,7,FALSE))/1440),1,0)</f>
        <v>0</v>
      </c>
      <c r="AG132" s="2">
        <f>IF(AND(VLOOKUP(AG$1,test!$A$3:$F$32,5,FALSE) - VLOOKUP($B132,test!$A$3:$G$32,6,FALSE) &gt;= (test!$B$37+VLOOKUP(VLOOKUP($B132,test!$A$2:$I$32,4,FALSE),test!$J$10:$P$14,7,FALSE))/1440),1,0)</f>
        <v>0</v>
      </c>
    </row>
    <row r="133" spans="1:33" x14ac:dyDescent="0.25">
      <c r="A133" t="s">
        <v>99</v>
      </c>
      <c r="B133" t="s">
        <v>14</v>
      </c>
      <c r="C133">
        <v>0</v>
      </c>
      <c r="D133" s="2">
        <f>IF(AND(VLOOKUP(D$1,test!$A$3:$F$32,5,FALSE) - VLOOKUP($B133,test!$A$3:$G$32,6,FALSE) &gt;= (test!$B$37+VLOOKUP(VLOOKUP($B133,test!$A$2:$I$32,4,FALSE),test!$J$10:$P$14,7,FALSE))/1440),1,0)</f>
        <v>0</v>
      </c>
      <c r="E133" s="2">
        <f>IF(AND(VLOOKUP(E$1,test!$A$3:$F$32,5,FALSE) - VLOOKUP($B133,test!$A$3:$G$32,6,FALSE) &gt;= (test!$B$37+VLOOKUP(VLOOKUP($B133,test!$A$2:$I$32,4,FALSE),test!$J$10:$P$14,7,FALSE))/1440),1,0)</f>
        <v>0</v>
      </c>
      <c r="F133" s="2">
        <f>IF(AND(VLOOKUP(F$1,test!$A$3:$F$32,5,FALSE) - VLOOKUP($B133,test!$A$3:$G$32,6,FALSE) &gt;= (test!$B$37+VLOOKUP(VLOOKUP($B133,test!$A$2:$I$32,4,FALSE),test!$J$10:$P$14,7,FALSE))/1440),1,0)</f>
        <v>0</v>
      </c>
      <c r="G133" s="2">
        <f>IF(AND(VLOOKUP(G$1,test!$A$3:$F$32,5,FALSE) - VLOOKUP($B133,test!$A$3:$G$32,6,FALSE) &gt;= (test!$B$37+VLOOKUP(VLOOKUP($B133,test!$A$2:$I$32,4,FALSE),test!$J$10:$P$14,7,FALSE))/1440),1,0)</f>
        <v>0</v>
      </c>
      <c r="H133" s="2">
        <f>IF(AND(VLOOKUP(H$1,test!$A$3:$F$32,5,FALSE) - VLOOKUP($B133,test!$A$3:$G$32,6,FALSE) &gt;= (test!$B$37+VLOOKUP(VLOOKUP($B133,test!$A$2:$I$32,4,FALSE),test!$J$10:$P$14,7,FALSE))/1440),1,0)</f>
        <v>0</v>
      </c>
      <c r="I133" s="2">
        <f>IF(AND(VLOOKUP(I$1,test!$A$3:$F$32,5,FALSE) - VLOOKUP($B133,test!$A$3:$G$32,6,FALSE) &gt;= (test!$B$37+VLOOKUP(VLOOKUP($B133,test!$A$2:$I$32,4,FALSE),test!$J$10:$P$14,7,FALSE))/1440),1,0)</f>
        <v>0</v>
      </c>
      <c r="J133" s="2">
        <f>IF(AND(VLOOKUP(J$1,test!$A$3:$F$32,5,FALSE) - VLOOKUP($B133,test!$A$3:$G$32,6,FALSE) &gt;= (test!$B$37+VLOOKUP(VLOOKUP($B133,test!$A$2:$I$32,4,FALSE),test!$J$10:$P$14,7,FALSE))/1440),1,0)</f>
        <v>0</v>
      </c>
      <c r="K133" s="2">
        <f>IF(AND(VLOOKUP(K$1,test!$A$3:$F$32,5,FALSE) - VLOOKUP($B133,test!$A$3:$G$32,6,FALSE) &gt;= (test!$B$37+VLOOKUP(VLOOKUP($B133,test!$A$2:$I$32,4,FALSE),test!$J$10:$P$14,7,FALSE))/1440),1,0)</f>
        <v>0</v>
      </c>
      <c r="L133" s="2">
        <f>IF(AND(VLOOKUP(L$1,test!$A$3:$F$32,5,FALSE) - VLOOKUP($B133,test!$A$3:$G$32,6,FALSE) &gt;= (test!$B$37+VLOOKUP(VLOOKUP($B133,test!$A$2:$I$32,4,FALSE),test!$J$10:$P$14,7,FALSE))/1440),1,0)</f>
        <v>0</v>
      </c>
      <c r="M133" s="2">
        <f>IF(AND(VLOOKUP(M$1,test!$A$3:$F$32,5,FALSE) - VLOOKUP($B133,test!$A$3:$G$32,6,FALSE) &gt;= (test!$B$37+VLOOKUP(VLOOKUP($B133,test!$A$2:$I$32,4,FALSE),test!$J$10:$P$14,7,FALSE))/1440),1,0)</f>
        <v>0</v>
      </c>
      <c r="N133" s="2">
        <f>IF(AND(VLOOKUP(N$1,test!$A$3:$F$32,5,FALSE) - VLOOKUP($B133,test!$A$3:$G$32,6,FALSE) &gt;= (test!$B$37+VLOOKUP(VLOOKUP($B133,test!$A$2:$I$32,4,FALSE),test!$J$10:$P$14,7,FALSE))/1440),1,0)</f>
        <v>0</v>
      </c>
      <c r="O133" s="2">
        <f>IF(AND(VLOOKUP(O$1,test!$A$3:$F$32,5,FALSE) - VLOOKUP($B133,test!$A$3:$G$32,6,FALSE) &gt;= (test!$B$37+VLOOKUP(VLOOKUP($B133,test!$A$2:$I$32,4,FALSE),test!$J$10:$P$14,7,FALSE))/1440),1,0)</f>
        <v>0</v>
      </c>
      <c r="P133" s="2">
        <f>IF(AND(VLOOKUP(P$1,test!$A$3:$F$32,5,FALSE) - VLOOKUP($B133,test!$A$3:$G$32,6,FALSE) &gt;= (test!$B$37+VLOOKUP(VLOOKUP($B133,test!$A$2:$I$32,4,FALSE),test!$J$10:$P$14,7,FALSE))/1440),1,0)</f>
        <v>0</v>
      </c>
      <c r="Q133" s="2">
        <f>IF(AND(VLOOKUP(Q$1,test!$A$3:$F$32,5,FALSE) - VLOOKUP($B133,test!$A$3:$G$32,6,FALSE) &gt;= (test!$B$37+VLOOKUP(VLOOKUP($B133,test!$A$2:$I$32,4,FALSE),test!$J$10:$P$14,7,FALSE))/1440),1,0)</f>
        <v>0</v>
      </c>
      <c r="R133" s="2">
        <f>IF(AND(VLOOKUP(R$1,test!$A$3:$F$32,5,FALSE) - VLOOKUP($B133,test!$A$3:$G$32,6,FALSE) &gt;= (test!$B$37+VLOOKUP(VLOOKUP($B133,test!$A$2:$I$32,4,FALSE),test!$J$10:$P$14,7,FALSE))/1440),1,0)</f>
        <v>0</v>
      </c>
      <c r="S133" s="2">
        <f>IF(AND(VLOOKUP(S$1,test!$A$3:$F$32,5,FALSE) - VLOOKUP($B133,test!$A$3:$G$32,6,FALSE) &gt;= (test!$B$37+VLOOKUP(VLOOKUP($B133,test!$A$2:$I$32,4,FALSE),test!$J$10:$P$14,7,FALSE))/1440),1,0)</f>
        <v>0</v>
      </c>
      <c r="T133" s="2">
        <f>IF(AND(VLOOKUP(T$1,test!$A$3:$F$32,5,FALSE) - VLOOKUP($B133,test!$A$3:$G$32,6,FALSE) &gt;= (test!$B$37+VLOOKUP(VLOOKUP($B133,test!$A$2:$I$32,4,FALSE),test!$J$10:$P$14,7,FALSE))/1440),1,0)</f>
        <v>0</v>
      </c>
      <c r="U133" s="2">
        <f>IF(AND(VLOOKUP(U$1,test!$A$3:$F$32,5,FALSE) - VLOOKUP($B133,test!$A$3:$G$32,6,FALSE) &gt;= (test!$B$37+VLOOKUP(VLOOKUP($B133,test!$A$2:$I$32,4,FALSE),test!$J$10:$P$14,7,FALSE))/1440),1,0)</f>
        <v>0</v>
      </c>
      <c r="V133" s="2">
        <f>IF(AND(VLOOKUP(V$1,test!$A$3:$F$32,5,FALSE) - VLOOKUP($B133,test!$A$3:$G$32,6,FALSE) &gt;= (test!$B$37+VLOOKUP(VLOOKUP($B133,test!$A$2:$I$32,4,FALSE),test!$J$10:$P$14,7,FALSE))/1440),1,0)</f>
        <v>0</v>
      </c>
      <c r="W133" s="2">
        <f>IF(AND(VLOOKUP(W$1,test!$A$3:$F$32,5,FALSE) - VLOOKUP($B133,test!$A$3:$G$32,6,FALSE) &gt;= (test!$B$37+VLOOKUP(VLOOKUP($B133,test!$A$2:$I$32,4,FALSE),test!$J$10:$P$14,7,FALSE))/1440),1,0)</f>
        <v>0</v>
      </c>
      <c r="X133" s="2">
        <f>IF(AND(VLOOKUP(X$1,test!$A$3:$F$32,5,FALSE) - VLOOKUP($B133,test!$A$3:$G$32,6,FALSE) &gt;= (test!$B$37+VLOOKUP(VLOOKUP($B133,test!$A$2:$I$32,4,FALSE),test!$J$10:$P$14,7,FALSE))/1440),1,0)</f>
        <v>0</v>
      </c>
      <c r="Y133" s="2">
        <f>IF(AND(VLOOKUP(Y$1,test!$A$3:$F$32,5,FALSE) - VLOOKUP($B133,test!$A$3:$G$32,6,FALSE) &gt;= (test!$B$37+VLOOKUP(VLOOKUP($B133,test!$A$2:$I$32,4,FALSE),test!$J$10:$P$14,7,FALSE))/1440),1,0)</f>
        <v>0</v>
      </c>
      <c r="Z133" s="2">
        <f>IF(AND(VLOOKUP(Z$1,test!$A$3:$F$32,5,FALSE) - VLOOKUP($B133,test!$A$3:$G$32,6,FALSE) &gt;= (test!$B$37+VLOOKUP(VLOOKUP($B133,test!$A$2:$I$32,4,FALSE),test!$J$10:$P$14,7,FALSE))/1440),1,0)</f>
        <v>0</v>
      </c>
      <c r="AA133" s="2">
        <f>IF(AND(VLOOKUP(AA$1,test!$A$3:$F$32,5,FALSE) - VLOOKUP($B133,test!$A$3:$G$32,6,FALSE) &gt;= (test!$B$37+VLOOKUP(VLOOKUP($B133,test!$A$2:$I$32,4,FALSE),test!$J$10:$P$14,7,FALSE))/1440),1,0)</f>
        <v>0</v>
      </c>
      <c r="AB133" s="2">
        <f>IF(AND(VLOOKUP(AB$1,test!$A$3:$F$32,5,FALSE) - VLOOKUP($B133,test!$A$3:$G$32,6,FALSE) &gt;= (test!$B$37+VLOOKUP(VLOOKUP($B133,test!$A$2:$I$32,4,FALSE),test!$J$10:$P$14,7,FALSE))/1440),1,0)</f>
        <v>0</v>
      </c>
      <c r="AC133" s="2">
        <f>IF(AND(VLOOKUP(AC$1,test!$A$3:$F$32,5,FALSE) - VLOOKUP($B133,test!$A$3:$G$32,6,FALSE) &gt;= (test!$B$37+VLOOKUP(VLOOKUP($B133,test!$A$2:$I$32,4,FALSE),test!$J$10:$P$14,7,FALSE))/1440),1,0)</f>
        <v>0</v>
      </c>
      <c r="AD133" s="2">
        <f>IF(AND(VLOOKUP(AD$1,test!$A$3:$F$32,5,FALSE) - VLOOKUP($B133,test!$A$3:$G$32,6,FALSE) &gt;= (test!$B$37+VLOOKUP(VLOOKUP($B133,test!$A$2:$I$32,4,FALSE),test!$J$10:$P$14,7,FALSE))/1440),1,0)</f>
        <v>0</v>
      </c>
      <c r="AE133" s="2">
        <f>IF(AND(VLOOKUP(AE$1,test!$A$3:$F$32,5,FALSE) - VLOOKUP($B133,test!$A$3:$G$32,6,FALSE) &gt;= (test!$B$37+VLOOKUP(VLOOKUP($B133,test!$A$2:$I$32,4,FALSE),test!$J$10:$P$14,7,FALSE))/1440),1,0)</f>
        <v>0</v>
      </c>
      <c r="AF133" s="2">
        <f>IF(AND(VLOOKUP(AF$1,test!$A$3:$F$32,5,FALSE) - VLOOKUP($B133,test!$A$3:$G$32,6,FALSE) &gt;= (test!$B$37+VLOOKUP(VLOOKUP($B133,test!$A$2:$I$32,4,FALSE),test!$J$10:$P$14,7,FALSE))/1440),1,0)</f>
        <v>0</v>
      </c>
      <c r="AG133" s="2">
        <f>IF(AND(VLOOKUP(AG$1,test!$A$3:$F$32,5,FALSE) - VLOOKUP($B133,test!$A$3:$G$32,6,FALSE) &gt;= (test!$B$37+VLOOKUP(VLOOKUP($B133,test!$A$2:$I$32,4,FALSE),test!$J$10:$P$14,7,FALSE))/1440),1,0)</f>
        <v>0</v>
      </c>
    </row>
    <row r="134" spans="1:33" x14ac:dyDescent="0.25">
      <c r="A134" t="s">
        <v>99</v>
      </c>
      <c r="B134" t="s">
        <v>15</v>
      </c>
      <c r="C134">
        <v>0</v>
      </c>
      <c r="D134" s="2">
        <f>IF(AND(VLOOKUP(D$1,test!$A$3:$F$32,5,FALSE) - VLOOKUP($B134,test!$A$3:$G$32,6,FALSE) &gt;= (test!$B$37+VLOOKUP(VLOOKUP($B134,test!$A$2:$I$32,4,FALSE),test!$J$10:$P$14,7,FALSE))/1440),1,0)</f>
        <v>0</v>
      </c>
      <c r="E134" s="2">
        <f>IF(AND(VLOOKUP(E$1,test!$A$3:$F$32,5,FALSE) - VLOOKUP($B134,test!$A$3:$G$32,6,FALSE) &gt;= (test!$B$37+VLOOKUP(VLOOKUP($B134,test!$A$2:$I$32,4,FALSE),test!$J$10:$P$14,7,FALSE))/1440),1,0)</f>
        <v>0</v>
      </c>
      <c r="F134" s="2">
        <f>IF(AND(VLOOKUP(F$1,test!$A$3:$F$32,5,FALSE) - VLOOKUP($B134,test!$A$3:$G$32,6,FALSE) &gt;= (test!$B$37+VLOOKUP(VLOOKUP($B134,test!$A$2:$I$32,4,FALSE),test!$J$10:$P$14,7,FALSE))/1440),1,0)</f>
        <v>0</v>
      </c>
      <c r="G134" s="2">
        <f>IF(AND(VLOOKUP(G$1,test!$A$3:$F$32,5,FALSE) - VLOOKUP($B134,test!$A$3:$G$32,6,FALSE) &gt;= (test!$B$37+VLOOKUP(VLOOKUP($B134,test!$A$2:$I$32,4,FALSE),test!$J$10:$P$14,7,FALSE))/1440),1,0)</f>
        <v>0</v>
      </c>
      <c r="H134" s="2">
        <f>IF(AND(VLOOKUP(H$1,test!$A$3:$F$32,5,FALSE) - VLOOKUP($B134,test!$A$3:$G$32,6,FALSE) &gt;= (test!$B$37+VLOOKUP(VLOOKUP($B134,test!$A$2:$I$32,4,FALSE),test!$J$10:$P$14,7,FALSE))/1440),1,0)</f>
        <v>0</v>
      </c>
      <c r="I134" s="2">
        <f>IF(AND(VLOOKUP(I$1,test!$A$3:$F$32,5,FALSE) - VLOOKUP($B134,test!$A$3:$G$32,6,FALSE) &gt;= (test!$B$37+VLOOKUP(VLOOKUP($B134,test!$A$2:$I$32,4,FALSE),test!$J$10:$P$14,7,FALSE))/1440),1,0)</f>
        <v>0</v>
      </c>
      <c r="J134" s="2">
        <f>IF(AND(VLOOKUP(J$1,test!$A$3:$F$32,5,FALSE) - VLOOKUP($B134,test!$A$3:$G$32,6,FALSE) &gt;= (test!$B$37+VLOOKUP(VLOOKUP($B134,test!$A$2:$I$32,4,FALSE),test!$J$10:$P$14,7,FALSE))/1440),1,0)</f>
        <v>0</v>
      </c>
      <c r="K134" s="2">
        <f>IF(AND(VLOOKUP(K$1,test!$A$3:$F$32,5,FALSE) - VLOOKUP($B134,test!$A$3:$G$32,6,FALSE) &gt;= (test!$B$37+VLOOKUP(VLOOKUP($B134,test!$A$2:$I$32,4,FALSE),test!$J$10:$P$14,7,FALSE))/1440),1,0)</f>
        <v>0</v>
      </c>
      <c r="L134" s="2">
        <f>IF(AND(VLOOKUP(L$1,test!$A$3:$F$32,5,FALSE) - VLOOKUP($B134,test!$A$3:$G$32,6,FALSE) &gt;= (test!$B$37+VLOOKUP(VLOOKUP($B134,test!$A$2:$I$32,4,FALSE),test!$J$10:$P$14,7,FALSE))/1440),1,0)</f>
        <v>0</v>
      </c>
      <c r="M134" s="2">
        <f>IF(AND(VLOOKUP(M$1,test!$A$3:$F$32,5,FALSE) - VLOOKUP($B134,test!$A$3:$G$32,6,FALSE) &gt;= (test!$B$37+VLOOKUP(VLOOKUP($B134,test!$A$2:$I$32,4,FALSE),test!$J$10:$P$14,7,FALSE))/1440),1,0)</f>
        <v>0</v>
      </c>
      <c r="N134" s="2">
        <f>IF(AND(VLOOKUP(N$1,test!$A$3:$F$32,5,FALSE) - VLOOKUP($B134,test!$A$3:$G$32,6,FALSE) &gt;= (test!$B$37+VLOOKUP(VLOOKUP($B134,test!$A$2:$I$32,4,FALSE),test!$J$10:$P$14,7,FALSE))/1440),1,0)</f>
        <v>0</v>
      </c>
      <c r="O134" s="2">
        <f>IF(AND(VLOOKUP(O$1,test!$A$3:$F$32,5,FALSE) - VLOOKUP($B134,test!$A$3:$G$32,6,FALSE) &gt;= (test!$B$37+VLOOKUP(VLOOKUP($B134,test!$A$2:$I$32,4,FALSE),test!$J$10:$P$14,7,FALSE))/1440),1,0)</f>
        <v>0</v>
      </c>
      <c r="P134" s="2">
        <f>IF(AND(VLOOKUP(P$1,test!$A$3:$F$32,5,FALSE) - VLOOKUP($B134,test!$A$3:$G$32,6,FALSE) &gt;= (test!$B$37+VLOOKUP(VLOOKUP($B134,test!$A$2:$I$32,4,FALSE),test!$J$10:$P$14,7,FALSE))/1440),1,0)</f>
        <v>0</v>
      </c>
      <c r="Q134" s="2">
        <f>IF(AND(VLOOKUP(Q$1,test!$A$3:$F$32,5,FALSE) - VLOOKUP($B134,test!$A$3:$G$32,6,FALSE) &gt;= (test!$B$37+VLOOKUP(VLOOKUP($B134,test!$A$2:$I$32,4,FALSE),test!$J$10:$P$14,7,FALSE))/1440),1,0)</f>
        <v>0</v>
      </c>
      <c r="R134" s="2">
        <f>IF(AND(VLOOKUP(R$1,test!$A$3:$F$32,5,FALSE) - VLOOKUP($B134,test!$A$3:$G$32,6,FALSE) &gt;= (test!$B$37+VLOOKUP(VLOOKUP($B134,test!$A$2:$I$32,4,FALSE),test!$J$10:$P$14,7,FALSE))/1440),1,0)</f>
        <v>0</v>
      </c>
      <c r="S134" s="2">
        <f>IF(AND(VLOOKUP(S$1,test!$A$3:$F$32,5,FALSE) - VLOOKUP($B134,test!$A$3:$G$32,6,FALSE) &gt;= (test!$B$37+VLOOKUP(VLOOKUP($B134,test!$A$2:$I$32,4,FALSE),test!$J$10:$P$14,7,FALSE))/1440),1,0)</f>
        <v>0</v>
      </c>
      <c r="T134" s="2">
        <f>IF(AND(VLOOKUP(T$1,test!$A$3:$F$32,5,FALSE) - VLOOKUP($B134,test!$A$3:$G$32,6,FALSE) &gt;= (test!$B$37+VLOOKUP(VLOOKUP($B134,test!$A$2:$I$32,4,FALSE),test!$J$10:$P$14,7,FALSE))/1440),1,0)</f>
        <v>0</v>
      </c>
      <c r="U134" s="2">
        <f>IF(AND(VLOOKUP(U$1,test!$A$3:$F$32,5,FALSE) - VLOOKUP($B134,test!$A$3:$G$32,6,FALSE) &gt;= (test!$B$37+VLOOKUP(VLOOKUP($B134,test!$A$2:$I$32,4,FALSE),test!$J$10:$P$14,7,FALSE))/1440),1,0)</f>
        <v>0</v>
      </c>
      <c r="V134" s="2">
        <f>IF(AND(VLOOKUP(V$1,test!$A$3:$F$32,5,FALSE) - VLOOKUP($B134,test!$A$3:$G$32,6,FALSE) &gt;= (test!$B$37+VLOOKUP(VLOOKUP($B134,test!$A$2:$I$32,4,FALSE),test!$J$10:$P$14,7,FALSE))/1440),1,0)</f>
        <v>0</v>
      </c>
      <c r="W134" s="2">
        <f>IF(AND(VLOOKUP(W$1,test!$A$3:$F$32,5,FALSE) - VLOOKUP($B134,test!$A$3:$G$32,6,FALSE) &gt;= (test!$B$37+VLOOKUP(VLOOKUP($B134,test!$A$2:$I$32,4,FALSE),test!$J$10:$P$14,7,FALSE))/1440),1,0)</f>
        <v>0</v>
      </c>
      <c r="X134" s="2">
        <f>IF(AND(VLOOKUP(X$1,test!$A$3:$F$32,5,FALSE) - VLOOKUP($B134,test!$A$3:$G$32,6,FALSE) &gt;= (test!$B$37+VLOOKUP(VLOOKUP($B134,test!$A$2:$I$32,4,FALSE),test!$J$10:$P$14,7,FALSE))/1440),1,0)</f>
        <v>0</v>
      </c>
      <c r="Y134" s="2">
        <f>IF(AND(VLOOKUP(Y$1,test!$A$3:$F$32,5,FALSE) - VLOOKUP($B134,test!$A$3:$G$32,6,FALSE) &gt;= (test!$B$37+VLOOKUP(VLOOKUP($B134,test!$A$2:$I$32,4,FALSE),test!$J$10:$P$14,7,FALSE))/1440),1,0)</f>
        <v>0</v>
      </c>
      <c r="Z134" s="2">
        <f>IF(AND(VLOOKUP(Z$1,test!$A$3:$F$32,5,FALSE) - VLOOKUP($B134,test!$A$3:$G$32,6,FALSE) &gt;= (test!$B$37+VLOOKUP(VLOOKUP($B134,test!$A$2:$I$32,4,FALSE),test!$J$10:$P$14,7,FALSE))/1440),1,0)</f>
        <v>0</v>
      </c>
      <c r="AA134" s="2">
        <f>IF(AND(VLOOKUP(AA$1,test!$A$3:$F$32,5,FALSE) - VLOOKUP($B134,test!$A$3:$G$32,6,FALSE) &gt;= (test!$B$37+VLOOKUP(VLOOKUP($B134,test!$A$2:$I$32,4,FALSE),test!$J$10:$P$14,7,FALSE))/1440),1,0)</f>
        <v>0</v>
      </c>
      <c r="AB134" s="2">
        <f>IF(AND(VLOOKUP(AB$1,test!$A$3:$F$32,5,FALSE) - VLOOKUP($B134,test!$A$3:$G$32,6,FALSE) &gt;= (test!$B$37+VLOOKUP(VLOOKUP($B134,test!$A$2:$I$32,4,FALSE),test!$J$10:$P$14,7,FALSE))/1440),1,0)</f>
        <v>0</v>
      </c>
      <c r="AC134" s="2">
        <f>IF(AND(VLOOKUP(AC$1,test!$A$3:$F$32,5,FALSE) - VLOOKUP($B134,test!$A$3:$G$32,6,FALSE) &gt;= (test!$B$37+VLOOKUP(VLOOKUP($B134,test!$A$2:$I$32,4,FALSE),test!$J$10:$P$14,7,FALSE))/1440),1,0)</f>
        <v>0</v>
      </c>
      <c r="AD134" s="2">
        <f>IF(AND(VLOOKUP(AD$1,test!$A$3:$F$32,5,FALSE) - VLOOKUP($B134,test!$A$3:$G$32,6,FALSE) &gt;= (test!$B$37+VLOOKUP(VLOOKUP($B134,test!$A$2:$I$32,4,FALSE),test!$J$10:$P$14,7,FALSE))/1440),1,0)</f>
        <v>0</v>
      </c>
      <c r="AE134" s="2">
        <f>IF(AND(VLOOKUP(AE$1,test!$A$3:$F$32,5,FALSE) - VLOOKUP($B134,test!$A$3:$G$32,6,FALSE) &gt;= (test!$B$37+VLOOKUP(VLOOKUP($B134,test!$A$2:$I$32,4,FALSE),test!$J$10:$P$14,7,FALSE))/1440),1,0)</f>
        <v>0</v>
      </c>
      <c r="AF134" s="2">
        <f>IF(AND(VLOOKUP(AF$1,test!$A$3:$F$32,5,FALSE) - VLOOKUP($B134,test!$A$3:$G$32,6,FALSE) &gt;= (test!$B$37+VLOOKUP(VLOOKUP($B134,test!$A$2:$I$32,4,FALSE),test!$J$10:$P$14,7,FALSE))/1440),1,0)</f>
        <v>0</v>
      </c>
      <c r="AG134" s="2">
        <f>IF(AND(VLOOKUP(AG$1,test!$A$3:$F$32,5,FALSE) - VLOOKUP($B134,test!$A$3:$G$32,6,FALSE) &gt;= (test!$B$37+VLOOKUP(VLOOKUP($B134,test!$A$2:$I$32,4,FALSE),test!$J$10:$P$14,7,FALSE))/1440),1,0)</f>
        <v>0</v>
      </c>
    </row>
    <row r="135" spans="1:33" x14ac:dyDescent="0.25">
      <c r="A135" t="s">
        <v>99</v>
      </c>
      <c r="B135" t="s">
        <v>18</v>
      </c>
      <c r="C135">
        <v>0</v>
      </c>
      <c r="D135" s="2">
        <f>IF(AND(VLOOKUP(D$1,test!$A$3:$F$32,5,FALSE) - VLOOKUP($B135,test!$A$3:$G$32,6,FALSE) &gt;= (test!$B$37+VLOOKUP(VLOOKUP($B135,test!$A$2:$I$32,4,FALSE),test!$J$10:$P$14,7,FALSE))/1440),1,0)</f>
        <v>0</v>
      </c>
      <c r="E135" s="2">
        <f>IF(AND(VLOOKUP(E$1,test!$A$3:$F$32,5,FALSE) - VLOOKUP($B135,test!$A$3:$G$32,6,FALSE) &gt;= (test!$B$37+VLOOKUP(VLOOKUP($B135,test!$A$2:$I$32,4,FALSE),test!$J$10:$P$14,7,FALSE))/1440),1,0)</f>
        <v>0</v>
      </c>
      <c r="F135" s="2">
        <f>IF(AND(VLOOKUP(F$1,test!$A$3:$F$32,5,FALSE) - VLOOKUP($B135,test!$A$3:$G$32,6,FALSE) &gt;= (test!$B$37+VLOOKUP(VLOOKUP($B135,test!$A$2:$I$32,4,FALSE),test!$J$10:$P$14,7,FALSE))/1440),1,0)</f>
        <v>0</v>
      </c>
      <c r="G135" s="2">
        <f>IF(AND(VLOOKUP(G$1,test!$A$3:$F$32,5,FALSE) - VLOOKUP($B135,test!$A$3:$G$32,6,FALSE) &gt;= (test!$B$37+VLOOKUP(VLOOKUP($B135,test!$A$2:$I$32,4,FALSE),test!$J$10:$P$14,7,FALSE))/1440),1,0)</f>
        <v>0</v>
      </c>
      <c r="H135" s="2">
        <f>IF(AND(VLOOKUP(H$1,test!$A$3:$F$32,5,FALSE) - VLOOKUP($B135,test!$A$3:$G$32,6,FALSE) &gt;= (test!$B$37+VLOOKUP(VLOOKUP($B135,test!$A$2:$I$32,4,FALSE),test!$J$10:$P$14,7,FALSE))/1440),1,0)</f>
        <v>0</v>
      </c>
      <c r="I135" s="2">
        <f>IF(AND(VLOOKUP(I$1,test!$A$3:$F$32,5,FALSE) - VLOOKUP($B135,test!$A$3:$G$32,6,FALSE) &gt;= (test!$B$37+VLOOKUP(VLOOKUP($B135,test!$A$2:$I$32,4,FALSE),test!$J$10:$P$14,7,FALSE))/1440),1,0)</f>
        <v>1</v>
      </c>
      <c r="J135" s="2">
        <f>IF(AND(VLOOKUP(J$1,test!$A$3:$F$32,5,FALSE) - VLOOKUP($B135,test!$A$3:$G$32,6,FALSE) &gt;= (test!$B$37+VLOOKUP(VLOOKUP($B135,test!$A$2:$I$32,4,FALSE),test!$J$10:$P$14,7,FALSE))/1440),1,0)</f>
        <v>1</v>
      </c>
      <c r="K135" s="2">
        <f>IF(AND(VLOOKUP(K$1,test!$A$3:$F$32,5,FALSE) - VLOOKUP($B135,test!$A$3:$G$32,6,FALSE) &gt;= (test!$B$37+VLOOKUP(VLOOKUP($B135,test!$A$2:$I$32,4,FALSE),test!$J$10:$P$14,7,FALSE))/1440),1,0)</f>
        <v>1</v>
      </c>
      <c r="L135" s="2">
        <f>IF(AND(VLOOKUP(L$1,test!$A$3:$F$32,5,FALSE) - VLOOKUP($B135,test!$A$3:$G$32,6,FALSE) &gt;= (test!$B$37+VLOOKUP(VLOOKUP($B135,test!$A$2:$I$32,4,FALSE),test!$J$10:$P$14,7,FALSE))/1440),1,0)</f>
        <v>0</v>
      </c>
      <c r="M135" s="2">
        <f>IF(AND(VLOOKUP(M$1,test!$A$3:$F$32,5,FALSE) - VLOOKUP($B135,test!$A$3:$G$32,6,FALSE) &gt;= (test!$B$37+VLOOKUP(VLOOKUP($B135,test!$A$2:$I$32,4,FALSE),test!$J$10:$P$14,7,FALSE))/1440),1,0)</f>
        <v>0</v>
      </c>
      <c r="N135" s="2">
        <f>IF(AND(VLOOKUP(N$1,test!$A$3:$F$32,5,FALSE) - VLOOKUP($B135,test!$A$3:$G$32,6,FALSE) &gt;= (test!$B$37+VLOOKUP(VLOOKUP($B135,test!$A$2:$I$32,4,FALSE),test!$J$10:$P$14,7,FALSE))/1440),1,0)</f>
        <v>0</v>
      </c>
      <c r="O135" s="2">
        <f>IF(AND(VLOOKUP(O$1,test!$A$3:$F$32,5,FALSE) - VLOOKUP($B135,test!$A$3:$G$32,6,FALSE) &gt;= (test!$B$37+VLOOKUP(VLOOKUP($B135,test!$A$2:$I$32,4,FALSE),test!$J$10:$P$14,7,FALSE))/1440),1,0)</f>
        <v>1</v>
      </c>
      <c r="P135" s="2">
        <f>IF(AND(VLOOKUP(P$1,test!$A$3:$F$32,5,FALSE) - VLOOKUP($B135,test!$A$3:$G$32,6,FALSE) &gt;= (test!$B$37+VLOOKUP(VLOOKUP($B135,test!$A$2:$I$32,4,FALSE),test!$J$10:$P$14,7,FALSE))/1440),1,0)</f>
        <v>1</v>
      </c>
      <c r="Q135" s="2">
        <f>IF(AND(VLOOKUP(Q$1,test!$A$3:$F$32,5,FALSE) - VLOOKUP($B135,test!$A$3:$G$32,6,FALSE) &gt;= (test!$B$37+VLOOKUP(VLOOKUP($B135,test!$A$2:$I$32,4,FALSE),test!$J$10:$P$14,7,FALSE))/1440),1,0)</f>
        <v>0</v>
      </c>
      <c r="R135" s="2">
        <f>IF(AND(VLOOKUP(R$1,test!$A$3:$F$32,5,FALSE) - VLOOKUP($B135,test!$A$3:$G$32,6,FALSE) &gt;= (test!$B$37+VLOOKUP(VLOOKUP($B135,test!$A$2:$I$32,4,FALSE),test!$J$10:$P$14,7,FALSE))/1440),1,0)</f>
        <v>0</v>
      </c>
      <c r="S135" s="2">
        <f>IF(AND(VLOOKUP(S$1,test!$A$3:$F$32,5,FALSE) - VLOOKUP($B135,test!$A$3:$G$32,6,FALSE) &gt;= (test!$B$37+VLOOKUP(VLOOKUP($B135,test!$A$2:$I$32,4,FALSE),test!$J$10:$P$14,7,FALSE))/1440),1,0)</f>
        <v>0</v>
      </c>
      <c r="T135" s="2">
        <f>IF(AND(VLOOKUP(T$1,test!$A$3:$F$32,5,FALSE) - VLOOKUP($B135,test!$A$3:$G$32,6,FALSE) &gt;= (test!$B$37+VLOOKUP(VLOOKUP($B135,test!$A$2:$I$32,4,FALSE),test!$J$10:$P$14,7,FALSE))/1440),1,0)</f>
        <v>0</v>
      </c>
      <c r="U135" s="2">
        <f>IF(AND(VLOOKUP(U$1,test!$A$3:$F$32,5,FALSE) - VLOOKUP($B135,test!$A$3:$G$32,6,FALSE) &gt;= (test!$B$37+VLOOKUP(VLOOKUP($B135,test!$A$2:$I$32,4,FALSE),test!$J$10:$P$14,7,FALSE))/1440),1,0)</f>
        <v>0</v>
      </c>
      <c r="V135" s="2">
        <f>IF(AND(VLOOKUP(V$1,test!$A$3:$F$32,5,FALSE) - VLOOKUP($B135,test!$A$3:$G$32,6,FALSE) &gt;= (test!$B$37+VLOOKUP(VLOOKUP($B135,test!$A$2:$I$32,4,FALSE),test!$J$10:$P$14,7,FALSE))/1440),1,0)</f>
        <v>0</v>
      </c>
      <c r="W135" s="2">
        <f>IF(AND(VLOOKUP(W$1,test!$A$3:$F$32,5,FALSE) - VLOOKUP($B135,test!$A$3:$G$32,6,FALSE) &gt;= (test!$B$37+VLOOKUP(VLOOKUP($B135,test!$A$2:$I$32,4,FALSE),test!$J$10:$P$14,7,FALSE))/1440),1,0)</f>
        <v>0</v>
      </c>
      <c r="X135" s="2">
        <f>IF(AND(VLOOKUP(X$1,test!$A$3:$F$32,5,FALSE) - VLOOKUP($B135,test!$A$3:$G$32,6,FALSE) &gt;= (test!$B$37+VLOOKUP(VLOOKUP($B135,test!$A$2:$I$32,4,FALSE),test!$J$10:$P$14,7,FALSE))/1440),1,0)</f>
        <v>1</v>
      </c>
      <c r="Y135" s="2">
        <f>IF(AND(VLOOKUP(Y$1,test!$A$3:$F$32,5,FALSE) - VLOOKUP($B135,test!$A$3:$G$32,6,FALSE) &gt;= (test!$B$37+VLOOKUP(VLOOKUP($B135,test!$A$2:$I$32,4,FALSE),test!$J$10:$P$14,7,FALSE))/1440),1,0)</f>
        <v>1</v>
      </c>
      <c r="Z135" s="2">
        <f>IF(AND(VLOOKUP(Z$1,test!$A$3:$F$32,5,FALSE) - VLOOKUP($B135,test!$A$3:$G$32,6,FALSE) &gt;= (test!$B$37+VLOOKUP(VLOOKUP($B135,test!$A$2:$I$32,4,FALSE),test!$J$10:$P$14,7,FALSE))/1440),1,0)</f>
        <v>0</v>
      </c>
      <c r="AA135" s="2">
        <f>IF(AND(VLOOKUP(AA$1,test!$A$3:$F$32,5,FALSE) - VLOOKUP($B135,test!$A$3:$G$32,6,FALSE) &gt;= (test!$B$37+VLOOKUP(VLOOKUP($B135,test!$A$2:$I$32,4,FALSE),test!$J$10:$P$14,7,FALSE))/1440),1,0)</f>
        <v>0</v>
      </c>
      <c r="AB135" s="2">
        <f>IF(AND(VLOOKUP(AB$1,test!$A$3:$F$32,5,FALSE) - VLOOKUP($B135,test!$A$3:$G$32,6,FALSE) &gt;= (test!$B$37+VLOOKUP(VLOOKUP($B135,test!$A$2:$I$32,4,FALSE),test!$J$10:$P$14,7,FALSE))/1440),1,0)</f>
        <v>0</v>
      </c>
      <c r="AC135" s="2">
        <f>IF(AND(VLOOKUP(AC$1,test!$A$3:$F$32,5,FALSE) - VLOOKUP($B135,test!$A$3:$G$32,6,FALSE) &gt;= (test!$B$37+VLOOKUP(VLOOKUP($B135,test!$A$2:$I$32,4,FALSE),test!$J$10:$P$14,7,FALSE))/1440),1,0)</f>
        <v>0</v>
      </c>
      <c r="AD135" s="2">
        <f>IF(AND(VLOOKUP(AD$1,test!$A$3:$F$32,5,FALSE) - VLOOKUP($B135,test!$A$3:$G$32,6,FALSE) &gt;= (test!$B$37+VLOOKUP(VLOOKUP($B135,test!$A$2:$I$32,4,FALSE),test!$J$10:$P$14,7,FALSE))/1440),1,0)</f>
        <v>1</v>
      </c>
      <c r="AE135" s="2">
        <f>IF(AND(VLOOKUP(AE$1,test!$A$3:$F$32,5,FALSE) - VLOOKUP($B135,test!$A$3:$G$32,6,FALSE) &gt;= (test!$B$37+VLOOKUP(VLOOKUP($B135,test!$A$2:$I$32,4,FALSE),test!$J$10:$P$14,7,FALSE))/1440),1,0)</f>
        <v>0</v>
      </c>
      <c r="AF135" s="2">
        <f>IF(AND(VLOOKUP(AF$1,test!$A$3:$F$32,5,FALSE) - VLOOKUP($B135,test!$A$3:$G$32,6,FALSE) &gt;= (test!$B$37+VLOOKUP(VLOOKUP($B135,test!$A$2:$I$32,4,FALSE),test!$J$10:$P$14,7,FALSE))/1440),1,0)</f>
        <v>0</v>
      </c>
      <c r="AG135" s="2">
        <f>IF(AND(VLOOKUP(AG$1,test!$A$3:$F$32,5,FALSE) - VLOOKUP($B135,test!$A$3:$G$32,6,FALSE) &gt;= (test!$B$37+VLOOKUP(VLOOKUP($B135,test!$A$2:$I$32,4,FALSE),test!$J$10:$P$14,7,FALSE))/1440),1,0)</f>
        <v>0</v>
      </c>
    </row>
    <row r="136" spans="1:33" x14ac:dyDescent="0.25">
      <c r="A136" t="s">
        <v>99</v>
      </c>
      <c r="B136" t="s">
        <v>20</v>
      </c>
      <c r="C136">
        <v>0</v>
      </c>
      <c r="D136" s="2">
        <f>IF(AND(VLOOKUP(D$1,test!$A$3:$F$32,5,FALSE) - VLOOKUP($B136,test!$A$3:$G$32,6,FALSE) &gt;= (test!$B$37+VLOOKUP(VLOOKUP($B136,test!$A$2:$I$32,4,FALSE),test!$J$10:$P$14,7,FALSE))/1440),1,0)</f>
        <v>0</v>
      </c>
      <c r="E136" s="2">
        <f>IF(AND(VLOOKUP(E$1,test!$A$3:$F$32,5,FALSE) - VLOOKUP($B136,test!$A$3:$G$32,6,FALSE) &gt;= (test!$B$37+VLOOKUP(VLOOKUP($B136,test!$A$2:$I$32,4,FALSE),test!$J$10:$P$14,7,FALSE))/1440),1,0)</f>
        <v>0</v>
      </c>
      <c r="F136" s="2">
        <f>IF(AND(VLOOKUP(F$1,test!$A$3:$F$32,5,FALSE) - VLOOKUP($B136,test!$A$3:$G$32,6,FALSE) &gt;= (test!$B$37+VLOOKUP(VLOOKUP($B136,test!$A$2:$I$32,4,FALSE),test!$J$10:$P$14,7,FALSE))/1440),1,0)</f>
        <v>0</v>
      </c>
      <c r="G136" s="2">
        <f>IF(AND(VLOOKUP(G$1,test!$A$3:$F$32,5,FALSE) - VLOOKUP($B136,test!$A$3:$G$32,6,FALSE) &gt;= (test!$B$37+VLOOKUP(VLOOKUP($B136,test!$A$2:$I$32,4,FALSE),test!$J$10:$P$14,7,FALSE))/1440),1,0)</f>
        <v>0</v>
      </c>
      <c r="H136" s="2">
        <f>IF(AND(VLOOKUP(H$1,test!$A$3:$F$32,5,FALSE) - VLOOKUP($B136,test!$A$3:$G$32,6,FALSE) &gt;= (test!$B$37+VLOOKUP(VLOOKUP($B136,test!$A$2:$I$32,4,FALSE),test!$J$10:$P$14,7,FALSE))/1440),1,0)</f>
        <v>0</v>
      </c>
      <c r="I136" s="2">
        <f>IF(AND(VLOOKUP(I$1,test!$A$3:$F$32,5,FALSE) - VLOOKUP($B136,test!$A$3:$G$32,6,FALSE) &gt;= (test!$B$37+VLOOKUP(VLOOKUP($B136,test!$A$2:$I$32,4,FALSE),test!$J$10:$P$14,7,FALSE))/1440),1,0)</f>
        <v>0</v>
      </c>
      <c r="J136" s="2">
        <f>IF(AND(VLOOKUP(J$1,test!$A$3:$F$32,5,FALSE) - VLOOKUP($B136,test!$A$3:$G$32,6,FALSE) &gt;= (test!$B$37+VLOOKUP(VLOOKUP($B136,test!$A$2:$I$32,4,FALSE),test!$J$10:$P$14,7,FALSE))/1440),1,0)</f>
        <v>0</v>
      </c>
      <c r="K136" s="2">
        <f>IF(AND(VLOOKUP(K$1,test!$A$3:$F$32,5,FALSE) - VLOOKUP($B136,test!$A$3:$G$32,6,FALSE) &gt;= (test!$B$37+VLOOKUP(VLOOKUP($B136,test!$A$2:$I$32,4,FALSE),test!$J$10:$P$14,7,FALSE))/1440),1,0)</f>
        <v>1</v>
      </c>
      <c r="L136" s="2">
        <f>IF(AND(VLOOKUP(L$1,test!$A$3:$F$32,5,FALSE) - VLOOKUP($B136,test!$A$3:$G$32,6,FALSE) &gt;= (test!$B$37+VLOOKUP(VLOOKUP($B136,test!$A$2:$I$32,4,FALSE),test!$J$10:$P$14,7,FALSE))/1440),1,0)</f>
        <v>0</v>
      </c>
      <c r="M136" s="2">
        <f>IF(AND(VLOOKUP(M$1,test!$A$3:$F$32,5,FALSE) - VLOOKUP($B136,test!$A$3:$G$32,6,FALSE) &gt;= (test!$B$37+VLOOKUP(VLOOKUP($B136,test!$A$2:$I$32,4,FALSE),test!$J$10:$P$14,7,FALSE))/1440),1,0)</f>
        <v>0</v>
      </c>
      <c r="N136" s="2">
        <f>IF(AND(VLOOKUP(N$1,test!$A$3:$F$32,5,FALSE) - VLOOKUP($B136,test!$A$3:$G$32,6,FALSE) &gt;= (test!$B$37+VLOOKUP(VLOOKUP($B136,test!$A$2:$I$32,4,FALSE),test!$J$10:$P$14,7,FALSE))/1440),1,0)</f>
        <v>0</v>
      </c>
      <c r="O136" s="2">
        <f>IF(AND(VLOOKUP(O$1,test!$A$3:$F$32,5,FALSE) - VLOOKUP($B136,test!$A$3:$G$32,6,FALSE) &gt;= (test!$B$37+VLOOKUP(VLOOKUP($B136,test!$A$2:$I$32,4,FALSE),test!$J$10:$P$14,7,FALSE))/1440),1,0)</f>
        <v>1</v>
      </c>
      <c r="P136" s="2">
        <f>IF(AND(VLOOKUP(P$1,test!$A$3:$F$32,5,FALSE) - VLOOKUP($B136,test!$A$3:$G$32,6,FALSE) &gt;= (test!$B$37+VLOOKUP(VLOOKUP($B136,test!$A$2:$I$32,4,FALSE),test!$J$10:$P$14,7,FALSE))/1440),1,0)</f>
        <v>1</v>
      </c>
      <c r="Q136" s="2">
        <f>IF(AND(VLOOKUP(Q$1,test!$A$3:$F$32,5,FALSE) - VLOOKUP($B136,test!$A$3:$G$32,6,FALSE) &gt;= (test!$B$37+VLOOKUP(VLOOKUP($B136,test!$A$2:$I$32,4,FALSE),test!$J$10:$P$14,7,FALSE))/1440),1,0)</f>
        <v>0</v>
      </c>
      <c r="R136" s="2">
        <f>IF(AND(VLOOKUP(R$1,test!$A$3:$F$32,5,FALSE) - VLOOKUP($B136,test!$A$3:$G$32,6,FALSE) &gt;= (test!$B$37+VLOOKUP(VLOOKUP($B136,test!$A$2:$I$32,4,FALSE),test!$J$10:$P$14,7,FALSE))/1440),1,0)</f>
        <v>0</v>
      </c>
      <c r="S136" s="2">
        <f>IF(AND(VLOOKUP(S$1,test!$A$3:$F$32,5,FALSE) - VLOOKUP($B136,test!$A$3:$G$32,6,FALSE) &gt;= (test!$B$37+VLOOKUP(VLOOKUP($B136,test!$A$2:$I$32,4,FALSE),test!$J$10:$P$14,7,FALSE))/1440),1,0)</f>
        <v>0</v>
      </c>
      <c r="T136" s="2">
        <f>IF(AND(VLOOKUP(T$1,test!$A$3:$F$32,5,FALSE) - VLOOKUP($B136,test!$A$3:$G$32,6,FALSE) &gt;= (test!$B$37+VLOOKUP(VLOOKUP($B136,test!$A$2:$I$32,4,FALSE),test!$J$10:$P$14,7,FALSE))/1440),1,0)</f>
        <v>0</v>
      </c>
      <c r="U136" s="2">
        <f>IF(AND(VLOOKUP(U$1,test!$A$3:$F$32,5,FALSE) - VLOOKUP($B136,test!$A$3:$G$32,6,FALSE) &gt;= (test!$B$37+VLOOKUP(VLOOKUP($B136,test!$A$2:$I$32,4,FALSE),test!$J$10:$P$14,7,FALSE))/1440),1,0)</f>
        <v>0</v>
      </c>
      <c r="V136" s="2">
        <f>IF(AND(VLOOKUP(V$1,test!$A$3:$F$32,5,FALSE) - VLOOKUP($B136,test!$A$3:$G$32,6,FALSE) &gt;= (test!$B$37+VLOOKUP(VLOOKUP($B136,test!$A$2:$I$32,4,FALSE),test!$J$10:$P$14,7,FALSE))/1440),1,0)</f>
        <v>0</v>
      </c>
      <c r="W136" s="2">
        <f>IF(AND(VLOOKUP(W$1,test!$A$3:$F$32,5,FALSE) - VLOOKUP($B136,test!$A$3:$G$32,6,FALSE) &gt;= (test!$B$37+VLOOKUP(VLOOKUP($B136,test!$A$2:$I$32,4,FALSE),test!$J$10:$P$14,7,FALSE))/1440),1,0)</f>
        <v>0</v>
      </c>
      <c r="X136" s="2">
        <f>IF(AND(VLOOKUP(X$1,test!$A$3:$F$32,5,FALSE) - VLOOKUP($B136,test!$A$3:$G$32,6,FALSE) &gt;= (test!$B$37+VLOOKUP(VLOOKUP($B136,test!$A$2:$I$32,4,FALSE),test!$J$10:$P$14,7,FALSE))/1440),1,0)</f>
        <v>0</v>
      </c>
      <c r="Y136" s="2">
        <f>IF(AND(VLOOKUP(Y$1,test!$A$3:$F$32,5,FALSE) - VLOOKUP($B136,test!$A$3:$G$32,6,FALSE) &gt;= (test!$B$37+VLOOKUP(VLOOKUP($B136,test!$A$2:$I$32,4,FALSE),test!$J$10:$P$14,7,FALSE))/1440),1,0)</f>
        <v>0</v>
      </c>
      <c r="Z136" s="2">
        <f>IF(AND(VLOOKUP(Z$1,test!$A$3:$F$32,5,FALSE) - VLOOKUP($B136,test!$A$3:$G$32,6,FALSE) &gt;= (test!$B$37+VLOOKUP(VLOOKUP($B136,test!$A$2:$I$32,4,FALSE),test!$J$10:$P$14,7,FALSE))/1440),1,0)</f>
        <v>0</v>
      </c>
      <c r="AA136" s="2">
        <f>IF(AND(VLOOKUP(AA$1,test!$A$3:$F$32,5,FALSE) - VLOOKUP($B136,test!$A$3:$G$32,6,FALSE) &gt;= (test!$B$37+VLOOKUP(VLOOKUP($B136,test!$A$2:$I$32,4,FALSE),test!$J$10:$P$14,7,FALSE))/1440),1,0)</f>
        <v>0</v>
      </c>
      <c r="AB136" s="2">
        <f>IF(AND(VLOOKUP(AB$1,test!$A$3:$F$32,5,FALSE) - VLOOKUP($B136,test!$A$3:$G$32,6,FALSE) &gt;= (test!$B$37+VLOOKUP(VLOOKUP($B136,test!$A$2:$I$32,4,FALSE),test!$J$10:$P$14,7,FALSE))/1440),1,0)</f>
        <v>0</v>
      </c>
      <c r="AC136" s="2">
        <f>IF(AND(VLOOKUP(AC$1,test!$A$3:$F$32,5,FALSE) - VLOOKUP($B136,test!$A$3:$G$32,6,FALSE) &gt;= (test!$B$37+VLOOKUP(VLOOKUP($B136,test!$A$2:$I$32,4,FALSE),test!$J$10:$P$14,7,FALSE))/1440),1,0)</f>
        <v>0</v>
      </c>
      <c r="AD136" s="2">
        <f>IF(AND(VLOOKUP(AD$1,test!$A$3:$F$32,5,FALSE) - VLOOKUP($B136,test!$A$3:$G$32,6,FALSE) &gt;= (test!$B$37+VLOOKUP(VLOOKUP($B136,test!$A$2:$I$32,4,FALSE),test!$J$10:$P$14,7,FALSE))/1440),1,0)</f>
        <v>0</v>
      </c>
      <c r="AE136" s="2">
        <f>IF(AND(VLOOKUP(AE$1,test!$A$3:$F$32,5,FALSE) - VLOOKUP($B136,test!$A$3:$G$32,6,FALSE) &gt;= (test!$B$37+VLOOKUP(VLOOKUP($B136,test!$A$2:$I$32,4,FALSE),test!$J$10:$P$14,7,FALSE))/1440),1,0)</f>
        <v>0</v>
      </c>
      <c r="AF136" s="2">
        <f>IF(AND(VLOOKUP(AF$1,test!$A$3:$F$32,5,FALSE) - VLOOKUP($B136,test!$A$3:$G$32,6,FALSE) &gt;= (test!$B$37+VLOOKUP(VLOOKUP($B136,test!$A$2:$I$32,4,FALSE),test!$J$10:$P$14,7,FALSE))/1440),1,0)</f>
        <v>0</v>
      </c>
      <c r="AG136" s="2">
        <f>IF(AND(VLOOKUP(AG$1,test!$A$3:$F$32,5,FALSE) - VLOOKUP($B136,test!$A$3:$G$32,6,FALSE) &gt;= (test!$B$37+VLOOKUP(VLOOKUP($B136,test!$A$2:$I$32,4,FALSE),test!$J$10:$P$14,7,FALSE))/1440),1,0)</f>
        <v>0</v>
      </c>
    </row>
    <row r="137" spans="1:33" x14ac:dyDescent="0.25">
      <c r="A137" t="s">
        <v>99</v>
      </c>
      <c r="B137" t="s">
        <v>21</v>
      </c>
      <c r="C137">
        <v>0</v>
      </c>
      <c r="D137" s="2">
        <f>IF(AND(VLOOKUP(D$1,test!$A$3:$F$32,5,FALSE) - VLOOKUP($B137,test!$A$3:$G$32,6,FALSE) &gt;= (test!$B$37+VLOOKUP(VLOOKUP($B137,test!$A$2:$I$32,4,FALSE),test!$J$10:$P$14,7,FALSE))/1440),1,0)</f>
        <v>0</v>
      </c>
      <c r="E137" s="2">
        <f>IF(AND(VLOOKUP(E$1,test!$A$3:$F$32,5,FALSE) - VLOOKUP($B137,test!$A$3:$G$32,6,FALSE) &gt;= (test!$B$37+VLOOKUP(VLOOKUP($B137,test!$A$2:$I$32,4,FALSE),test!$J$10:$P$14,7,FALSE))/1440),1,0)</f>
        <v>0</v>
      </c>
      <c r="F137" s="2">
        <f>IF(AND(VLOOKUP(F$1,test!$A$3:$F$32,5,FALSE) - VLOOKUP($B137,test!$A$3:$G$32,6,FALSE) &gt;= (test!$B$37+VLOOKUP(VLOOKUP($B137,test!$A$2:$I$32,4,FALSE),test!$J$10:$P$14,7,FALSE))/1440),1,0)</f>
        <v>0</v>
      </c>
      <c r="G137" s="2">
        <f>IF(AND(VLOOKUP(G$1,test!$A$3:$F$32,5,FALSE) - VLOOKUP($B137,test!$A$3:$G$32,6,FALSE) &gt;= (test!$B$37+VLOOKUP(VLOOKUP($B137,test!$A$2:$I$32,4,FALSE),test!$J$10:$P$14,7,FALSE))/1440),1,0)</f>
        <v>0</v>
      </c>
      <c r="H137" s="2">
        <f>IF(AND(VLOOKUP(H$1,test!$A$3:$F$32,5,FALSE) - VLOOKUP($B137,test!$A$3:$G$32,6,FALSE) &gt;= (test!$B$37+VLOOKUP(VLOOKUP($B137,test!$A$2:$I$32,4,FALSE),test!$J$10:$P$14,7,FALSE))/1440),1,0)</f>
        <v>0</v>
      </c>
      <c r="I137" s="2">
        <f>IF(AND(VLOOKUP(I$1,test!$A$3:$F$32,5,FALSE) - VLOOKUP($B137,test!$A$3:$G$32,6,FALSE) &gt;= (test!$B$37+VLOOKUP(VLOOKUP($B137,test!$A$2:$I$32,4,FALSE),test!$J$10:$P$14,7,FALSE))/1440),1,0)</f>
        <v>0</v>
      </c>
      <c r="J137" s="2">
        <f>IF(AND(VLOOKUP(J$1,test!$A$3:$F$32,5,FALSE) - VLOOKUP($B137,test!$A$3:$G$32,6,FALSE) &gt;= (test!$B$37+VLOOKUP(VLOOKUP($B137,test!$A$2:$I$32,4,FALSE),test!$J$10:$P$14,7,FALSE))/1440),1,0)</f>
        <v>0</v>
      </c>
      <c r="K137" s="2">
        <f>IF(AND(VLOOKUP(K$1,test!$A$3:$F$32,5,FALSE) - VLOOKUP($B137,test!$A$3:$G$32,6,FALSE) &gt;= (test!$B$37+VLOOKUP(VLOOKUP($B137,test!$A$2:$I$32,4,FALSE),test!$J$10:$P$14,7,FALSE))/1440),1,0)</f>
        <v>0</v>
      </c>
      <c r="L137" s="2">
        <f>IF(AND(VLOOKUP(L$1,test!$A$3:$F$32,5,FALSE) - VLOOKUP($B137,test!$A$3:$G$32,6,FALSE) &gt;= (test!$B$37+VLOOKUP(VLOOKUP($B137,test!$A$2:$I$32,4,FALSE),test!$J$10:$P$14,7,FALSE))/1440),1,0)</f>
        <v>0</v>
      </c>
      <c r="M137" s="2">
        <f>IF(AND(VLOOKUP(M$1,test!$A$3:$F$32,5,FALSE) - VLOOKUP($B137,test!$A$3:$G$32,6,FALSE) &gt;= (test!$B$37+VLOOKUP(VLOOKUP($B137,test!$A$2:$I$32,4,FALSE),test!$J$10:$P$14,7,FALSE))/1440),1,0)</f>
        <v>0</v>
      </c>
      <c r="N137" s="2">
        <f>IF(AND(VLOOKUP(N$1,test!$A$3:$F$32,5,FALSE) - VLOOKUP($B137,test!$A$3:$G$32,6,FALSE) &gt;= (test!$B$37+VLOOKUP(VLOOKUP($B137,test!$A$2:$I$32,4,FALSE),test!$J$10:$P$14,7,FALSE))/1440),1,0)</f>
        <v>0</v>
      </c>
      <c r="O137" s="2">
        <f>IF(AND(VLOOKUP(O$1,test!$A$3:$F$32,5,FALSE) - VLOOKUP($B137,test!$A$3:$G$32,6,FALSE) &gt;= (test!$B$37+VLOOKUP(VLOOKUP($B137,test!$A$2:$I$32,4,FALSE),test!$J$10:$P$14,7,FALSE))/1440),1,0)</f>
        <v>0</v>
      </c>
      <c r="P137" s="2">
        <f>IF(AND(VLOOKUP(P$1,test!$A$3:$F$32,5,FALSE) - VLOOKUP($B137,test!$A$3:$G$32,6,FALSE) &gt;= (test!$B$37+VLOOKUP(VLOOKUP($B137,test!$A$2:$I$32,4,FALSE),test!$J$10:$P$14,7,FALSE))/1440),1,0)</f>
        <v>0</v>
      </c>
      <c r="Q137" s="2">
        <f>IF(AND(VLOOKUP(Q$1,test!$A$3:$F$32,5,FALSE) - VLOOKUP($B137,test!$A$3:$G$32,6,FALSE) &gt;= (test!$B$37+VLOOKUP(VLOOKUP($B137,test!$A$2:$I$32,4,FALSE),test!$J$10:$P$14,7,FALSE))/1440),1,0)</f>
        <v>0</v>
      </c>
      <c r="R137" s="2">
        <f>IF(AND(VLOOKUP(R$1,test!$A$3:$F$32,5,FALSE) - VLOOKUP($B137,test!$A$3:$G$32,6,FALSE) &gt;= (test!$B$37+VLOOKUP(VLOOKUP($B137,test!$A$2:$I$32,4,FALSE),test!$J$10:$P$14,7,FALSE))/1440),1,0)</f>
        <v>0</v>
      </c>
      <c r="S137" s="2">
        <f>IF(AND(VLOOKUP(S$1,test!$A$3:$F$32,5,FALSE) - VLOOKUP($B137,test!$A$3:$G$32,6,FALSE) &gt;= (test!$B$37+VLOOKUP(VLOOKUP($B137,test!$A$2:$I$32,4,FALSE),test!$J$10:$P$14,7,FALSE))/1440),1,0)</f>
        <v>0</v>
      </c>
      <c r="T137" s="2">
        <f>IF(AND(VLOOKUP(T$1,test!$A$3:$F$32,5,FALSE) - VLOOKUP($B137,test!$A$3:$G$32,6,FALSE) &gt;= (test!$B$37+VLOOKUP(VLOOKUP($B137,test!$A$2:$I$32,4,FALSE),test!$J$10:$P$14,7,FALSE))/1440),1,0)</f>
        <v>0</v>
      </c>
      <c r="U137" s="2">
        <f>IF(AND(VLOOKUP(U$1,test!$A$3:$F$32,5,FALSE) - VLOOKUP($B137,test!$A$3:$G$32,6,FALSE) &gt;= (test!$B$37+VLOOKUP(VLOOKUP($B137,test!$A$2:$I$32,4,FALSE),test!$J$10:$P$14,7,FALSE))/1440),1,0)</f>
        <v>0</v>
      </c>
      <c r="V137" s="2">
        <f>IF(AND(VLOOKUP(V$1,test!$A$3:$F$32,5,FALSE) - VLOOKUP($B137,test!$A$3:$G$32,6,FALSE) &gt;= (test!$B$37+VLOOKUP(VLOOKUP($B137,test!$A$2:$I$32,4,FALSE),test!$J$10:$P$14,7,FALSE))/1440),1,0)</f>
        <v>0</v>
      </c>
      <c r="W137" s="2">
        <f>IF(AND(VLOOKUP(W$1,test!$A$3:$F$32,5,FALSE) - VLOOKUP($B137,test!$A$3:$G$32,6,FALSE) &gt;= (test!$B$37+VLOOKUP(VLOOKUP($B137,test!$A$2:$I$32,4,FALSE),test!$J$10:$P$14,7,FALSE))/1440),1,0)</f>
        <v>0</v>
      </c>
      <c r="X137" s="2">
        <f>IF(AND(VLOOKUP(X$1,test!$A$3:$F$32,5,FALSE) - VLOOKUP($B137,test!$A$3:$G$32,6,FALSE) &gt;= (test!$B$37+VLOOKUP(VLOOKUP($B137,test!$A$2:$I$32,4,FALSE),test!$J$10:$P$14,7,FALSE))/1440),1,0)</f>
        <v>0</v>
      </c>
      <c r="Y137" s="2">
        <f>IF(AND(VLOOKUP(Y$1,test!$A$3:$F$32,5,FALSE) - VLOOKUP($B137,test!$A$3:$G$32,6,FALSE) &gt;= (test!$B$37+VLOOKUP(VLOOKUP($B137,test!$A$2:$I$32,4,FALSE),test!$J$10:$P$14,7,FALSE))/1440),1,0)</f>
        <v>0</v>
      </c>
      <c r="Z137" s="2">
        <f>IF(AND(VLOOKUP(Z$1,test!$A$3:$F$32,5,FALSE) - VLOOKUP($B137,test!$A$3:$G$32,6,FALSE) &gt;= (test!$B$37+VLOOKUP(VLOOKUP($B137,test!$A$2:$I$32,4,FALSE),test!$J$10:$P$14,7,FALSE))/1440),1,0)</f>
        <v>0</v>
      </c>
      <c r="AA137" s="2">
        <f>IF(AND(VLOOKUP(AA$1,test!$A$3:$F$32,5,FALSE) - VLOOKUP($B137,test!$A$3:$G$32,6,FALSE) &gt;= (test!$B$37+VLOOKUP(VLOOKUP($B137,test!$A$2:$I$32,4,FALSE),test!$J$10:$P$14,7,FALSE))/1440),1,0)</f>
        <v>0</v>
      </c>
      <c r="AB137" s="2">
        <f>IF(AND(VLOOKUP(AB$1,test!$A$3:$F$32,5,FALSE) - VLOOKUP($B137,test!$A$3:$G$32,6,FALSE) &gt;= (test!$B$37+VLOOKUP(VLOOKUP($B137,test!$A$2:$I$32,4,FALSE),test!$J$10:$P$14,7,FALSE))/1440),1,0)</f>
        <v>0</v>
      </c>
      <c r="AC137" s="2">
        <f>IF(AND(VLOOKUP(AC$1,test!$A$3:$F$32,5,FALSE) - VLOOKUP($B137,test!$A$3:$G$32,6,FALSE) &gt;= (test!$B$37+VLOOKUP(VLOOKUP($B137,test!$A$2:$I$32,4,FALSE),test!$J$10:$P$14,7,FALSE))/1440),1,0)</f>
        <v>0</v>
      </c>
      <c r="AD137" s="2">
        <f>IF(AND(VLOOKUP(AD$1,test!$A$3:$F$32,5,FALSE) - VLOOKUP($B137,test!$A$3:$G$32,6,FALSE) &gt;= (test!$B$37+VLOOKUP(VLOOKUP($B137,test!$A$2:$I$32,4,FALSE),test!$J$10:$P$14,7,FALSE))/1440),1,0)</f>
        <v>0</v>
      </c>
      <c r="AE137" s="2">
        <f>IF(AND(VLOOKUP(AE$1,test!$A$3:$F$32,5,FALSE) - VLOOKUP($B137,test!$A$3:$G$32,6,FALSE) &gt;= (test!$B$37+VLOOKUP(VLOOKUP($B137,test!$A$2:$I$32,4,FALSE),test!$J$10:$P$14,7,FALSE))/1440),1,0)</f>
        <v>0</v>
      </c>
      <c r="AF137" s="2">
        <f>IF(AND(VLOOKUP(AF$1,test!$A$3:$F$32,5,FALSE) - VLOOKUP($B137,test!$A$3:$G$32,6,FALSE) &gt;= (test!$B$37+VLOOKUP(VLOOKUP($B137,test!$A$2:$I$32,4,FALSE),test!$J$10:$P$14,7,FALSE))/1440),1,0)</f>
        <v>0</v>
      </c>
      <c r="AG137" s="2">
        <f>IF(AND(VLOOKUP(AG$1,test!$A$3:$F$32,5,FALSE) - VLOOKUP($B137,test!$A$3:$G$32,6,FALSE) &gt;= (test!$B$37+VLOOKUP(VLOOKUP($B137,test!$A$2:$I$32,4,FALSE),test!$J$10:$P$14,7,FALSE))/1440),1,0)</f>
        <v>0</v>
      </c>
    </row>
    <row r="138" spans="1:33" x14ac:dyDescent="0.25">
      <c r="A138" t="s">
        <v>99</v>
      </c>
      <c r="B138" t="s">
        <v>22</v>
      </c>
      <c r="C138">
        <v>0</v>
      </c>
      <c r="D138" s="2">
        <f>IF(AND(VLOOKUP(D$1,test!$A$3:$F$32,5,FALSE) - VLOOKUP($B138,test!$A$3:$G$32,6,FALSE) &gt;= (test!$B$37+VLOOKUP(VLOOKUP($B138,test!$A$2:$I$32,4,FALSE),test!$J$10:$P$14,7,FALSE))/1440),1,0)</f>
        <v>0</v>
      </c>
      <c r="E138" s="2">
        <f>IF(AND(VLOOKUP(E$1,test!$A$3:$F$32,5,FALSE) - VLOOKUP($B138,test!$A$3:$G$32,6,FALSE) &gt;= (test!$B$37+VLOOKUP(VLOOKUP($B138,test!$A$2:$I$32,4,FALSE),test!$J$10:$P$14,7,FALSE))/1440),1,0)</f>
        <v>0</v>
      </c>
      <c r="F138" s="2">
        <f>IF(AND(VLOOKUP(F$1,test!$A$3:$F$32,5,FALSE) - VLOOKUP($B138,test!$A$3:$G$32,6,FALSE) &gt;= (test!$B$37+VLOOKUP(VLOOKUP($B138,test!$A$2:$I$32,4,FALSE),test!$J$10:$P$14,7,FALSE))/1440),1,0)</f>
        <v>0</v>
      </c>
      <c r="G138" s="2">
        <f>IF(AND(VLOOKUP(G$1,test!$A$3:$F$32,5,FALSE) - VLOOKUP($B138,test!$A$3:$G$32,6,FALSE) &gt;= (test!$B$37+VLOOKUP(VLOOKUP($B138,test!$A$2:$I$32,4,FALSE),test!$J$10:$P$14,7,FALSE))/1440),1,0)</f>
        <v>0</v>
      </c>
      <c r="H138" s="2">
        <f>IF(AND(VLOOKUP(H$1,test!$A$3:$F$32,5,FALSE) - VLOOKUP($B138,test!$A$3:$G$32,6,FALSE) &gt;= (test!$B$37+VLOOKUP(VLOOKUP($B138,test!$A$2:$I$32,4,FALSE),test!$J$10:$P$14,7,FALSE))/1440),1,0)</f>
        <v>0</v>
      </c>
      <c r="I138" s="2">
        <f>IF(AND(VLOOKUP(I$1,test!$A$3:$F$32,5,FALSE) - VLOOKUP($B138,test!$A$3:$G$32,6,FALSE) &gt;= (test!$B$37+VLOOKUP(VLOOKUP($B138,test!$A$2:$I$32,4,FALSE),test!$J$10:$P$14,7,FALSE))/1440),1,0)</f>
        <v>0</v>
      </c>
      <c r="J138" s="2">
        <f>IF(AND(VLOOKUP(J$1,test!$A$3:$F$32,5,FALSE) - VLOOKUP($B138,test!$A$3:$G$32,6,FALSE) &gt;= (test!$B$37+VLOOKUP(VLOOKUP($B138,test!$A$2:$I$32,4,FALSE),test!$J$10:$P$14,7,FALSE))/1440),1,0)</f>
        <v>0</v>
      </c>
      <c r="K138" s="2">
        <f>IF(AND(VLOOKUP(K$1,test!$A$3:$F$32,5,FALSE) - VLOOKUP($B138,test!$A$3:$G$32,6,FALSE) &gt;= (test!$B$37+VLOOKUP(VLOOKUP($B138,test!$A$2:$I$32,4,FALSE),test!$J$10:$P$14,7,FALSE))/1440),1,0)</f>
        <v>0</v>
      </c>
      <c r="L138" s="2">
        <f>IF(AND(VLOOKUP(L$1,test!$A$3:$F$32,5,FALSE) - VLOOKUP($B138,test!$A$3:$G$32,6,FALSE) &gt;= (test!$B$37+VLOOKUP(VLOOKUP($B138,test!$A$2:$I$32,4,FALSE),test!$J$10:$P$14,7,FALSE))/1440),1,0)</f>
        <v>0</v>
      </c>
      <c r="M138" s="2">
        <f>IF(AND(VLOOKUP(M$1,test!$A$3:$F$32,5,FALSE) - VLOOKUP($B138,test!$A$3:$G$32,6,FALSE) &gt;= (test!$B$37+VLOOKUP(VLOOKUP($B138,test!$A$2:$I$32,4,FALSE),test!$J$10:$P$14,7,FALSE))/1440),1,0)</f>
        <v>0</v>
      </c>
      <c r="N138" s="2">
        <f>IF(AND(VLOOKUP(N$1,test!$A$3:$F$32,5,FALSE) - VLOOKUP($B138,test!$A$3:$G$32,6,FALSE) &gt;= (test!$B$37+VLOOKUP(VLOOKUP($B138,test!$A$2:$I$32,4,FALSE),test!$J$10:$P$14,7,FALSE))/1440),1,0)</f>
        <v>0</v>
      </c>
      <c r="O138" s="2">
        <f>IF(AND(VLOOKUP(O$1,test!$A$3:$F$32,5,FALSE) - VLOOKUP($B138,test!$A$3:$G$32,6,FALSE) &gt;= (test!$B$37+VLOOKUP(VLOOKUP($B138,test!$A$2:$I$32,4,FALSE),test!$J$10:$P$14,7,FALSE))/1440),1,0)</f>
        <v>0</v>
      </c>
      <c r="P138" s="2">
        <f>IF(AND(VLOOKUP(P$1,test!$A$3:$F$32,5,FALSE) - VLOOKUP($B138,test!$A$3:$G$32,6,FALSE) &gt;= (test!$B$37+VLOOKUP(VLOOKUP($B138,test!$A$2:$I$32,4,FALSE),test!$J$10:$P$14,7,FALSE))/1440),1,0)</f>
        <v>0</v>
      </c>
      <c r="Q138" s="2">
        <f>IF(AND(VLOOKUP(Q$1,test!$A$3:$F$32,5,FALSE) - VLOOKUP($B138,test!$A$3:$G$32,6,FALSE) &gt;= (test!$B$37+VLOOKUP(VLOOKUP($B138,test!$A$2:$I$32,4,FALSE),test!$J$10:$P$14,7,FALSE))/1440),1,0)</f>
        <v>0</v>
      </c>
      <c r="R138" s="2">
        <f>IF(AND(VLOOKUP(R$1,test!$A$3:$F$32,5,FALSE) - VLOOKUP($B138,test!$A$3:$G$32,6,FALSE) &gt;= (test!$B$37+VLOOKUP(VLOOKUP($B138,test!$A$2:$I$32,4,FALSE),test!$J$10:$P$14,7,FALSE))/1440),1,0)</f>
        <v>0</v>
      </c>
      <c r="S138" s="2">
        <f>IF(AND(VLOOKUP(S$1,test!$A$3:$F$32,5,FALSE) - VLOOKUP($B138,test!$A$3:$G$32,6,FALSE) &gt;= (test!$B$37+VLOOKUP(VLOOKUP($B138,test!$A$2:$I$32,4,FALSE),test!$J$10:$P$14,7,FALSE))/1440),1,0)</f>
        <v>0</v>
      </c>
      <c r="T138" s="2">
        <f>IF(AND(VLOOKUP(T$1,test!$A$3:$F$32,5,FALSE) - VLOOKUP($B138,test!$A$3:$G$32,6,FALSE) &gt;= (test!$B$37+VLOOKUP(VLOOKUP($B138,test!$A$2:$I$32,4,FALSE),test!$J$10:$P$14,7,FALSE))/1440),1,0)</f>
        <v>0</v>
      </c>
      <c r="U138" s="2">
        <f>IF(AND(VLOOKUP(U$1,test!$A$3:$F$32,5,FALSE) - VLOOKUP($B138,test!$A$3:$G$32,6,FALSE) &gt;= (test!$B$37+VLOOKUP(VLOOKUP($B138,test!$A$2:$I$32,4,FALSE),test!$J$10:$P$14,7,FALSE))/1440),1,0)</f>
        <v>0</v>
      </c>
      <c r="V138" s="2">
        <f>IF(AND(VLOOKUP(V$1,test!$A$3:$F$32,5,FALSE) - VLOOKUP($B138,test!$A$3:$G$32,6,FALSE) &gt;= (test!$B$37+VLOOKUP(VLOOKUP($B138,test!$A$2:$I$32,4,FALSE),test!$J$10:$P$14,7,FALSE))/1440),1,0)</f>
        <v>0</v>
      </c>
      <c r="W138" s="2">
        <f>IF(AND(VLOOKUP(W$1,test!$A$3:$F$32,5,FALSE) - VLOOKUP($B138,test!$A$3:$G$32,6,FALSE) &gt;= (test!$B$37+VLOOKUP(VLOOKUP($B138,test!$A$2:$I$32,4,FALSE),test!$J$10:$P$14,7,FALSE))/1440),1,0)</f>
        <v>0</v>
      </c>
      <c r="X138" s="2">
        <f>IF(AND(VLOOKUP(X$1,test!$A$3:$F$32,5,FALSE) - VLOOKUP($B138,test!$A$3:$G$32,6,FALSE) &gt;= (test!$B$37+VLOOKUP(VLOOKUP($B138,test!$A$2:$I$32,4,FALSE),test!$J$10:$P$14,7,FALSE))/1440),1,0)</f>
        <v>0</v>
      </c>
      <c r="Y138" s="2">
        <f>IF(AND(VLOOKUP(Y$1,test!$A$3:$F$32,5,FALSE) - VLOOKUP($B138,test!$A$3:$G$32,6,FALSE) &gt;= (test!$B$37+VLOOKUP(VLOOKUP($B138,test!$A$2:$I$32,4,FALSE),test!$J$10:$P$14,7,FALSE))/1440),1,0)</f>
        <v>0</v>
      </c>
      <c r="Z138" s="2">
        <f>IF(AND(VLOOKUP(Z$1,test!$A$3:$F$32,5,FALSE) - VLOOKUP($B138,test!$A$3:$G$32,6,FALSE) &gt;= (test!$B$37+VLOOKUP(VLOOKUP($B138,test!$A$2:$I$32,4,FALSE),test!$J$10:$P$14,7,FALSE))/1440),1,0)</f>
        <v>0</v>
      </c>
      <c r="AA138" s="2">
        <f>IF(AND(VLOOKUP(AA$1,test!$A$3:$F$32,5,FALSE) - VLOOKUP($B138,test!$A$3:$G$32,6,FALSE) &gt;= (test!$B$37+VLOOKUP(VLOOKUP($B138,test!$A$2:$I$32,4,FALSE),test!$J$10:$P$14,7,FALSE))/1440),1,0)</f>
        <v>0</v>
      </c>
      <c r="AB138" s="2">
        <f>IF(AND(VLOOKUP(AB$1,test!$A$3:$F$32,5,FALSE) - VLOOKUP($B138,test!$A$3:$G$32,6,FALSE) &gt;= (test!$B$37+VLOOKUP(VLOOKUP($B138,test!$A$2:$I$32,4,FALSE),test!$J$10:$P$14,7,FALSE))/1440),1,0)</f>
        <v>0</v>
      </c>
      <c r="AC138" s="2">
        <f>IF(AND(VLOOKUP(AC$1,test!$A$3:$F$32,5,FALSE) - VLOOKUP($B138,test!$A$3:$G$32,6,FALSE) &gt;= (test!$B$37+VLOOKUP(VLOOKUP($B138,test!$A$2:$I$32,4,FALSE),test!$J$10:$P$14,7,FALSE))/1440),1,0)</f>
        <v>0</v>
      </c>
      <c r="AD138" s="2">
        <f>IF(AND(VLOOKUP(AD$1,test!$A$3:$F$32,5,FALSE) - VLOOKUP($B138,test!$A$3:$G$32,6,FALSE) &gt;= (test!$B$37+VLOOKUP(VLOOKUP($B138,test!$A$2:$I$32,4,FALSE),test!$J$10:$P$14,7,FALSE))/1440),1,0)</f>
        <v>0</v>
      </c>
      <c r="AE138" s="2">
        <f>IF(AND(VLOOKUP(AE$1,test!$A$3:$F$32,5,FALSE) - VLOOKUP($B138,test!$A$3:$G$32,6,FALSE) &gt;= (test!$B$37+VLOOKUP(VLOOKUP($B138,test!$A$2:$I$32,4,FALSE),test!$J$10:$P$14,7,FALSE))/1440),1,0)</f>
        <v>0</v>
      </c>
      <c r="AF138" s="2">
        <f>IF(AND(VLOOKUP(AF$1,test!$A$3:$F$32,5,FALSE) - VLOOKUP($B138,test!$A$3:$G$32,6,FALSE) &gt;= (test!$B$37+VLOOKUP(VLOOKUP($B138,test!$A$2:$I$32,4,FALSE),test!$J$10:$P$14,7,FALSE))/1440),1,0)</f>
        <v>0</v>
      </c>
      <c r="AG138" s="2">
        <f>IF(AND(VLOOKUP(AG$1,test!$A$3:$F$32,5,FALSE) - VLOOKUP($B138,test!$A$3:$G$32,6,FALSE) &gt;= (test!$B$37+VLOOKUP(VLOOKUP($B138,test!$A$2:$I$32,4,FALSE),test!$J$10:$P$14,7,FALSE))/1440),1,0)</f>
        <v>0</v>
      </c>
    </row>
    <row r="139" spans="1:33" x14ac:dyDescent="0.25">
      <c r="A139" t="s">
        <v>99</v>
      </c>
      <c r="B139" t="s">
        <v>23</v>
      </c>
      <c r="C139">
        <v>0</v>
      </c>
      <c r="D139" s="2">
        <f>IF(AND(VLOOKUP(D$1,test!$A$3:$F$32,5,FALSE) - VLOOKUP($B139,test!$A$3:$G$32,6,FALSE) &gt;= (test!$B$37+VLOOKUP(VLOOKUP($B139,test!$A$2:$I$32,4,FALSE),test!$J$10:$P$14,7,FALSE))/1440),1,0)</f>
        <v>0</v>
      </c>
      <c r="E139" s="2">
        <f>IF(AND(VLOOKUP(E$1,test!$A$3:$F$32,5,FALSE) - VLOOKUP($B139,test!$A$3:$G$32,6,FALSE) &gt;= (test!$B$37+VLOOKUP(VLOOKUP($B139,test!$A$2:$I$32,4,FALSE),test!$J$10:$P$14,7,FALSE))/1440),1,0)</f>
        <v>0</v>
      </c>
      <c r="F139" s="2">
        <f>IF(AND(VLOOKUP(F$1,test!$A$3:$F$32,5,FALSE) - VLOOKUP($B139,test!$A$3:$G$32,6,FALSE) &gt;= (test!$B$37+VLOOKUP(VLOOKUP($B139,test!$A$2:$I$32,4,FALSE),test!$J$10:$P$14,7,FALSE))/1440),1,0)</f>
        <v>0</v>
      </c>
      <c r="G139" s="2">
        <f>IF(AND(VLOOKUP(G$1,test!$A$3:$F$32,5,FALSE) - VLOOKUP($B139,test!$A$3:$G$32,6,FALSE) &gt;= (test!$B$37+VLOOKUP(VLOOKUP($B139,test!$A$2:$I$32,4,FALSE),test!$J$10:$P$14,7,FALSE))/1440),1,0)</f>
        <v>0</v>
      </c>
      <c r="H139" s="2">
        <f>IF(AND(VLOOKUP(H$1,test!$A$3:$F$32,5,FALSE) - VLOOKUP($B139,test!$A$3:$G$32,6,FALSE) &gt;= (test!$B$37+VLOOKUP(VLOOKUP($B139,test!$A$2:$I$32,4,FALSE),test!$J$10:$P$14,7,FALSE))/1440),1,0)</f>
        <v>0</v>
      </c>
      <c r="I139" s="2">
        <f>IF(AND(VLOOKUP(I$1,test!$A$3:$F$32,5,FALSE) - VLOOKUP($B139,test!$A$3:$G$32,6,FALSE) &gt;= (test!$B$37+VLOOKUP(VLOOKUP($B139,test!$A$2:$I$32,4,FALSE),test!$J$10:$P$14,7,FALSE))/1440),1,0)</f>
        <v>0</v>
      </c>
      <c r="J139" s="2">
        <f>IF(AND(VLOOKUP(J$1,test!$A$3:$F$32,5,FALSE) - VLOOKUP($B139,test!$A$3:$G$32,6,FALSE) &gt;= (test!$B$37+VLOOKUP(VLOOKUP($B139,test!$A$2:$I$32,4,FALSE),test!$J$10:$P$14,7,FALSE))/1440),1,0)</f>
        <v>0</v>
      </c>
      <c r="K139" s="2">
        <f>IF(AND(VLOOKUP(K$1,test!$A$3:$F$32,5,FALSE) - VLOOKUP($B139,test!$A$3:$G$32,6,FALSE) &gt;= (test!$B$37+VLOOKUP(VLOOKUP($B139,test!$A$2:$I$32,4,FALSE),test!$J$10:$P$14,7,FALSE))/1440),1,0)</f>
        <v>0</v>
      </c>
      <c r="L139" s="2">
        <f>IF(AND(VLOOKUP(L$1,test!$A$3:$F$32,5,FALSE) - VLOOKUP($B139,test!$A$3:$G$32,6,FALSE) &gt;= (test!$B$37+VLOOKUP(VLOOKUP($B139,test!$A$2:$I$32,4,FALSE),test!$J$10:$P$14,7,FALSE))/1440),1,0)</f>
        <v>0</v>
      </c>
      <c r="M139" s="2">
        <f>IF(AND(VLOOKUP(M$1,test!$A$3:$F$32,5,FALSE) - VLOOKUP($B139,test!$A$3:$G$32,6,FALSE) &gt;= (test!$B$37+VLOOKUP(VLOOKUP($B139,test!$A$2:$I$32,4,FALSE),test!$J$10:$P$14,7,FALSE))/1440),1,0)</f>
        <v>0</v>
      </c>
      <c r="N139" s="2">
        <f>IF(AND(VLOOKUP(N$1,test!$A$3:$F$32,5,FALSE) - VLOOKUP($B139,test!$A$3:$G$32,6,FALSE) &gt;= (test!$B$37+VLOOKUP(VLOOKUP($B139,test!$A$2:$I$32,4,FALSE),test!$J$10:$P$14,7,FALSE))/1440),1,0)</f>
        <v>0</v>
      </c>
      <c r="O139" s="2">
        <f>IF(AND(VLOOKUP(O$1,test!$A$3:$F$32,5,FALSE) - VLOOKUP($B139,test!$A$3:$G$32,6,FALSE) &gt;= (test!$B$37+VLOOKUP(VLOOKUP($B139,test!$A$2:$I$32,4,FALSE),test!$J$10:$P$14,7,FALSE))/1440),1,0)</f>
        <v>0</v>
      </c>
      <c r="P139" s="2">
        <f>IF(AND(VLOOKUP(P$1,test!$A$3:$F$32,5,FALSE) - VLOOKUP($B139,test!$A$3:$G$32,6,FALSE) &gt;= (test!$B$37+VLOOKUP(VLOOKUP($B139,test!$A$2:$I$32,4,FALSE),test!$J$10:$P$14,7,FALSE))/1440),1,0)</f>
        <v>0</v>
      </c>
      <c r="Q139" s="2">
        <f>IF(AND(VLOOKUP(Q$1,test!$A$3:$F$32,5,FALSE) - VLOOKUP($B139,test!$A$3:$G$32,6,FALSE) &gt;= (test!$B$37+VLOOKUP(VLOOKUP($B139,test!$A$2:$I$32,4,FALSE),test!$J$10:$P$14,7,FALSE))/1440),1,0)</f>
        <v>0</v>
      </c>
      <c r="R139" s="2">
        <f>IF(AND(VLOOKUP(R$1,test!$A$3:$F$32,5,FALSE) - VLOOKUP($B139,test!$A$3:$G$32,6,FALSE) &gt;= (test!$B$37+VLOOKUP(VLOOKUP($B139,test!$A$2:$I$32,4,FALSE),test!$J$10:$P$14,7,FALSE))/1440),1,0)</f>
        <v>0</v>
      </c>
      <c r="S139" s="2">
        <f>IF(AND(VLOOKUP(S$1,test!$A$3:$F$32,5,FALSE) - VLOOKUP($B139,test!$A$3:$G$32,6,FALSE) &gt;= (test!$B$37+VLOOKUP(VLOOKUP($B139,test!$A$2:$I$32,4,FALSE),test!$J$10:$P$14,7,FALSE))/1440),1,0)</f>
        <v>0</v>
      </c>
      <c r="T139" s="2">
        <f>IF(AND(VLOOKUP(T$1,test!$A$3:$F$32,5,FALSE) - VLOOKUP($B139,test!$A$3:$G$32,6,FALSE) &gt;= (test!$B$37+VLOOKUP(VLOOKUP($B139,test!$A$2:$I$32,4,FALSE),test!$J$10:$P$14,7,FALSE))/1440),1,0)</f>
        <v>0</v>
      </c>
      <c r="U139" s="2">
        <f>IF(AND(VLOOKUP(U$1,test!$A$3:$F$32,5,FALSE) - VLOOKUP($B139,test!$A$3:$G$32,6,FALSE) &gt;= (test!$B$37+VLOOKUP(VLOOKUP($B139,test!$A$2:$I$32,4,FALSE),test!$J$10:$P$14,7,FALSE))/1440),1,0)</f>
        <v>0</v>
      </c>
      <c r="V139" s="2">
        <f>IF(AND(VLOOKUP(V$1,test!$A$3:$F$32,5,FALSE) - VLOOKUP($B139,test!$A$3:$G$32,6,FALSE) &gt;= (test!$B$37+VLOOKUP(VLOOKUP($B139,test!$A$2:$I$32,4,FALSE),test!$J$10:$P$14,7,FALSE))/1440),1,0)</f>
        <v>0</v>
      </c>
      <c r="W139" s="2">
        <f>IF(AND(VLOOKUP(W$1,test!$A$3:$F$32,5,FALSE) - VLOOKUP($B139,test!$A$3:$G$32,6,FALSE) &gt;= (test!$B$37+VLOOKUP(VLOOKUP($B139,test!$A$2:$I$32,4,FALSE),test!$J$10:$P$14,7,FALSE))/1440),1,0)</f>
        <v>0</v>
      </c>
      <c r="X139" s="2">
        <f>IF(AND(VLOOKUP(X$1,test!$A$3:$F$32,5,FALSE) - VLOOKUP($B139,test!$A$3:$G$32,6,FALSE) &gt;= (test!$B$37+VLOOKUP(VLOOKUP($B139,test!$A$2:$I$32,4,FALSE),test!$J$10:$P$14,7,FALSE))/1440),1,0)</f>
        <v>0</v>
      </c>
      <c r="Y139" s="2">
        <f>IF(AND(VLOOKUP(Y$1,test!$A$3:$F$32,5,FALSE) - VLOOKUP($B139,test!$A$3:$G$32,6,FALSE) &gt;= (test!$B$37+VLOOKUP(VLOOKUP($B139,test!$A$2:$I$32,4,FALSE),test!$J$10:$P$14,7,FALSE))/1440),1,0)</f>
        <v>0</v>
      </c>
      <c r="Z139" s="2">
        <f>IF(AND(VLOOKUP(Z$1,test!$A$3:$F$32,5,FALSE) - VLOOKUP($B139,test!$A$3:$G$32,6,FALSE) &gt;= (test!$B$37+VLOOKUP(VLOOKUP($B139,test!$A$2:$I$32,4,FALSE),test!$J$10:$P$14,7,FALSE))/1440),1,0)</f>
        <v>0</v>
      </c>
      <c r="AA139" s="2">
        <f>IF(AND(VLOOKUP(AA$1,test!$A$3:$F$32,5,FALSE) - VLOOKUP($B139,test!$A$3:$G$32,6,FALSE) &gt;= (test!$B$37+VLOOKUP(VLOOKUP($B139,test!$A$2:$I$32,4,FALSE),test!$J$10:$P$14,7,FALSE))/1440),1,0)</f>
        <v>0</v>
      </c>
      <c r="AB139" s="2">
        <f>IF(AND(VLOOKUP(AB$1,test!$A$3:$F$32,5,FALSE) - VLOOKUP($B139,test!$A$3:$G$32,6,FALSE) &gt;= (test!$B$37+VLOOKUP(VLOOKUP($B139,test!$A$2:$I$32,4,FALSE),test!$J$10:$P$14,7,FALSE))/1440),1,0)</f>
        <v>0</v>
      </c>
      <c r="AC139" s="2">
        <f>IF(AND(VLOOKUP(AC$1,test!$A$3:$F$32,5,FALSE) - VLOOKUP($B139,test!$A$3:$G$32,6,FALSE) &gt;= (test!$B$37+VLOOKUP(VLOOKUP($B139,test!$A$2:$I$32,4,FALSE),test!$J$10:$P$14,7,FALSE))/1440),1,0)</f>
        <v>0</v>
      </c>
      <c r="AD139" s="2">
        <f>IF(AND(VLOOKUP(AD$1,test!$A$3:$F$32,5,FALSE) - VLOOKUP($B139,test!$A$3:$G$32,6,FALSE) &gt;= (test!$B$37+VLOOKUP(VLOOKUP($B139,test!$A$2:$I$32,4,FALSE),test!$J$10:$P$14,7,FALSE))/1440),1,0)</f>
        <v>0</v>
      </c>
      <c r="AE139" s="2">
        <f>IF(AND(VLOOKUP(AE$1,test!$A$3:$F$32,5,FALSE) - VLOOKUP($B139,test!$A$3:$G$32,6,FALSE) &gt;= (test!$B$37+VLOOKUP(VLOOKUP($B139,test!$A$2:$I$32,4,FALSE),test!$J$10:$P$14,7,FALSE))/1440),1,0)</f>
        <v>0</v>
      </c>
      <c r="AF139" s="2">
        <f>IF(AND(VLOOKUP(AF$1,test!$A$3:$F$32,5,FALSE) - VLOOKUP($B139,test!$A$3:$G$32,6,FALSE) &gt;= (test!$B$37+VLOOKUP(VLOOKUP($B139,test!$A$2:$I$32,4,FALSE),test!$J$10:$P$14,7,FALSE))/1440),1,0)</f>
        <v>0</v>
      </c>
      <c r="AG139" s="2">
        <f>IF(AND(VLOOKUP(AG$1,test!$A$3:$F$32,5,FALSE) - VLOOKUP($B139,test!$A$3:$G$32,6,FALSE) &gt;= (test!$B$37+VLOOKUP(VLOOKUP($B139,test!$A$2:$I$32,4,FALSE),test!$J$10:$P$14,7,FALSE))/1440),1,0)</f>
        <v>0</v>
      </c>
    </row>
    <row r="140" spans="1:33" x14ac:dyDescent="0.25">
      <c r="A140" t="s">
        <v>99</v>
      </c>
      <c r="B140" t="s">
        <v>24</v>
      </c>
      <c r="C140">
        <v>0</v>
      </c>
      <c r="D140" s="2">
        <f>IF(AND(VLOOKUP(D$1,test!$A$3:$F$32,5,FALSE) - VLOOKUP($B140,test!$A$3:$G$32,6,FALSE) &gt;= (test!$B$37+VLOOKUP(VLOOKUP($B140,test!$A$2:$I$32,4,FALSE),test!$J$10:$P$14,7,FALSE))/1440),1,0)</f>
        <v>0</v>
      </c>
      <c r="E140" s="2">
        <f>IF(AND(VLOOKUP(E$1,test!$A$3:$F$32,5,FALSE) - VLOOKUP($B140,test!$A$3:$G$32,6,FALSE) &gt;= (test!$B$37+VLOOKUP(VLOOKUP($B140,test!$A$2:$I$32,4,FALSE),test!$J$10:$P$14,7,FALSE))/1440),1,0)</f>
        <v>0</v>
      </c>
      <c r="F140" s="2">
        <f>IF(AND(VLOOKUP(F$1,test!$A$3:$F$32,5,FALSE) - VLOOKUP($B140,test!$A$3:$G$32,6,FALSE) &gt;= (test!$B$37+VLOOKUP(VLOOKUP($B140,test!$A$2:$I$32,4,FALSE),test!$J$10:$P$14,7,FALSE))/1440),1,0)</f>
        <v>1</v>
      </c>
      <c r="G140" s="2">
        <f>IF(AND(VLOOKUP(G$1,test!$A$3:$F$32,5,FALSE) - VLOOKUP($B140,test!$A$3:$G$32,6,FALSE) &gt;= (test!$B$37+VLOOKUP(VLOOKUP($B140,test!$A$2:$I$32,4,FALSE),test!$J$10:$P$14,7,FALSE))/1440),1,0)</f>
        <v>1</v>
      </c>
      <c r="H140" s="2">
        <f>IF(AND(VLOOKUP(H$1,test!$A$3:$F$32,5,FALSE) - VLOOKUP($B140,test!$A$3:$G$32,6,FALSE) &gt;= (test!$B$37+VLOOKUP(VLOOKUP($B140,test!$A$2:$I$32,4,FALSE),test!$J$10:$P$14,7,FALSE))/1440),1,0)</f>
        <v>1</v>
      </c>
      <c r="I140" s="2">
        <f>IF(AND(VLOOKUP(I$1,test!$A$3:$F$32,5,FALSE) - VLOOKUP($B140,test!$A$3:$G$32,6,FALSE) &gt;= (test!$B$37+VLOOKUP(VLOOKUP($B140,test!$A$2:$I$32,4,FALSE),test!$J$10:$P$14,7,FALSE))/1440),1,0)</f>
        <v>1</v>
      </c>
      <c r="J140" s="2">
        <f>IF(AND(VLOOKUP(J$1,test!$A$3:$F$32,5,FALSE) - VLOOKUP($B140,test!$A$3:$G$32,6,FALSE) &gt;= (test!$B$37+VLOOKUP(VLOOKUP($B140,test!$A$2:$I$32,4,FALSE),test!$J$10:$P$14,7,FALSE))/1440),1,0)</f>
        <v>1</v>
      </c>
      <c r="K140" s="2">
        <f>IF(AND(VLOOKUP(K$1,test!$A$3:$F$32,5,FALSE) - VLOOKUP($B140,test!$A$3:$G$32,6,FALSE) &gt;= (test!$B$37+VLOOKUP(VLOOKUP($B140,test!$A$2:$I$32,4,FALSE),test!$J$10:$P$14,7,FALSE))/1440),1,0)</f>
        <v>1</v>
      </c>
      <c r="L140" s="2">
        <f>IF(AND(VLOOKUP(L$1,test!$A$3:$F$32,5,FALSE) - VLOOKUP($B140,test!$A$3:$G$32,6,FALSE) &gt;= (test!$B$37+VLOOKUP(VLOOKUP($B140,test!$A$2:$I$32,4,FALSE),test!$J$10:$P$14,7,FALSE))/1440),1,0)</f>
        <v>0</v>
      </c>
      <c r="M140" s="2">
        <f>IF(AND(VLOOKUP(M$1,test!$A$3:$F$32,5,FALSE) - VLOOKUP($B140,test!$A$3:$G$32,6,FALSE) &gt;= (test!$B$37+VLOOKUP(VLOOKUP($B140,test!$A$2:$I$32,4,FALSE),test!$J$10:$P$14,7,FALSE))/1440),1,0)</f>
        <v>0</v>
      </c>
      <c r="N140" s="2">
        <f>IF(AND(VLOOKUP(N$1,test!$A$3:$F$32,5,FALSE) - VLOOKUP($B140,test!$A$3:$G$32,6,FALSE) &gt;= (test!$B$37+VLOOKUP(VLOOKUP($B140,test!$A$2:$I$32,4,FALSE),test!$J$10:$P$14,7,FALSE))/1440),1,0)</f>
        <v>0</v>
      </c>
      <c r="O140" s="2">
        <f>IF(AND(VLOOKUP(O$1,test!$A$3:$F$32,5,FALSE) - VLOOKUP($B140,test!$A$3:$G$32,6,FALSE) &gt;= (test!$B$37+VLOOKUP(VLOOKUP($B140,test!$A$2:$I$32,4,FALSE),test!$J$10:$P$14,7,FALSE))/1440),1,0)</f>
        <v>1</v>
      </c>
      <c r="P140" s="2">
        <f>IF(AND(VLOOKUP(P$1,test!$A$3:$F$32,5,FALSE) - VLOOKUP($B140,test!$A$3:$G$32,6,FALSE) &gt;= (test!$B$37+VLOOKUP(VLOOKUP($B140,test!$A$2:$I$32,4,FALSE),test!$J$10:$P$14,7,FALSE))/1440),1,0)</f>
        <v>1</v>
      </c>
      <c r="Q140" s="2">
        <f>IF(AND(VLOOKUP(Q$1,test!$A$3:$F$32,5,FALSE) - VLOOKUP($B140,test!$A$3:$G$32,6,FALSE) &gt;= (test!$B$37+VLOOKUP(VLOOKUP($B140,test!$A$2:$I$32,4,FALSE),test!$J$10:$P$14,7,FALSE))/1440),1,0)</f>
        <v>0</v>
      </c>
      <c r="R140" s="2">
        <f>IF(AND(VLOOKUP(R$1,test!$A$3:$F$32,5,FALSE) - VLOOKUP($B140,test!$A$3:$G$32,6,FALSE) &gt;= (test!$B$37+VLOOKUP(VLOOKUP($B140,test!$A$2:$I$32,4,FALSE),test!$J$10:$P$14,7,FALSE))/1440),1,0)</f>
        <v>0</v>
      </c>
      <c r="S140" s="2">
        <f>IF(AND(VLOOKUP(S$1,test!$A$3:$F$32,5,FALSE) - VLOOKUP($B140,test!$A$3:$G$32,6,FALSE) &gt;= (test!$B$37+VLOOKUP(VLOOKUP($B140,test!$A$2:$I$32,4,FALSE),test!$J$10:$P$14,7,FALSE))/1440),1,0)</f>
        <v>0</v>
      </c>
      <c r="T140" s="2">
        <f>IF(AND(VLOOKUP(T$1,test!$A$3:$F$32,5,FALSE) - VLOOKUP($B140,test!$A$3:$G$32,6,FALSE) &gt;= (test!$B$37+VLOOKUP(VLOOKUP($B140,test!$A$2:$I$32,4,FALSE),test!$J$10:$P$14,7,FALSE))/1440),1,0)</f>
        <v>0</v>
      </c>
      <c r="U140" s="2">
        <f>IF(AND(VLOOKUP(U$1,test!$A$3:$F$32,5,FALSE) - VLOOKUP($B140,test!$A$3:$G$32,6,FALSE) &gt;= (test!$B$37+VLOOKUP(VLOOKUP($B140,test!$A$2:$I$32,4,FALSE),test!$J$10:$P$14,7,FALSE))/1440),1,0)</f>
        <v>0</v>
      </c>
      <c r="V140" s="2">
        <f>IF(AND(VLOOKUP(V$1,test!$A$3:$F$32,5,FALSE) - VLOOKUP($B140,test!$A$3:$G$32,6,FALSE) &gt;= (test!$B$37+VLOOKUP(VLOOKUP($B140,test!$A$2:$I$32,4,FALSE),test!$J$10:$P$14,7,FALSE))/1440),1,0)</f>
        <v>1</v>
      </c>
      <c r="W140" s="2">
        <f>IF(AND(VLOOKUP(W$1,test!$A$3:$F$32,5,FALSE) - VLOOKUP($B140,test!$A$3:$G$32,6,FALSE) &gt;= (test!$B$37+VLOOKUP(VLOOKUP($B140,test!$A$2:$I$32,4,FALSE),test!$J$10:$P$14,7,FALSE))/1440),1,0)</f>
        <v>1</v>
      </c>
      <c r="X140" s="2">
        <f>IF(AND(VLOOKUP(X$1,test!$A$3:$F$32,5,FALSE) - VLOOKUP($B140,test!$A$3:$G$32,6,FALSE) &gt;= (test!$B$37+VLOOKUP(VLOOKUP($B140,test!$A$2:$I$32,4,FALSE),test!$J$10:$P$14,7,FALSE))/1440),1,0)</f>
        <v>1</v>
      </c>
      <c r="Y140" s="2">
        <f>IF(AND(VLOOKUP(Y$1,test!$A$3:$F$32,5,FALSE) - VLOOKUP($B140,test!$A$3:$G$32,6,FALSE) &gt;= (test!$B$37+VLOOKUP(VLOOKUP($B140,test!$A$2:$I$32,4,FALSE),test!$J$10:$P$14,7,FALSE))/1440),1,0)</f>
        <v>1</v>
      </c>
      <c r="Z140" s="2">
        <f>IF(AND(VLOOKUP(Z$1,test!$A$3:$F$32,5,FALSE) - VLOOKUP($B140,test!$A$3:$G$32,6,FALSE) &gt;= (test!$B$37+VLOOKUP(VLOOKUP($B140,test!$A$2:$I$32,4,FALSE),test!$J$10:$P$14,7,FALSE))/1440),1,0)</f>
        <v>0</v>
      </c>
      <c r="AA140" s="2">
        <f>IF(AND(VLOOKUP(AA$1,test!$A$3:$F$32,5,FALSE) - VLOOKUP($B140,test!$A$3:$G$32,6,FALSE) &gt;= (test!$B$37+VLOOKUP(VLOOKUP($B140,test!$A$2:$I$32,4,FALSE),test!$J$10:$P$14,7,FALSE))/1440),1,0)</f>
        <v>0</v>
      </c>
      <c r="AB140" s="2">
        <f>IF(AND(VLOOKUP(AB$1,test!$A$3:$F$32,5,FALSE) - VLOOKUP($B140,test!$A$3:$G$32,6,FALSE) &gt;= (test!$B$37+VLOOKUP(VLOOKUP($B140,test!$A$2:$I$32,4,FALSE),test!$J$10:$P$14,7,FALSE))/1440),1,0)</f>
        <v>1</v>
      </c>
      <c r="AC140" s="2">
        <f>IF(AND(VLOOKUP(AC$1,test!$A$3:$F$32,5,FALSE) - VLOOKUP($B140,test!$A$3:$G$32,6,FALSE) &gt;= (test!$B$37+VLOOKUP(VLOOKUP($B140,test!$A$2:$I$32,4,FALSE),test!$J$10:$P$14,7,FALSE))/1440),1,0)</f>
        <v>1</v>
      </c>
      <c r="AD140" s="2">
        <f>IF(AND(VLOOKUP(AD$1,test!$A$3:$F$32,5,FALSE) - VLOOKUP($B140,test!$A$3:$G$32,6,FALSE) &gt;= (test!$B$37+VLOOKUP(VLOOKUP($B140,test!$A$2:$I$32,4,FALSE),test!$J$10:$P$14,7,FALSE))/1440),1,0)</f>
        <v>1</v>
      </c>
      <c r="AE140" s="2">
        <f>IF(AND(VLOOKUP(AE$1,test!$A$3:$F$32,5,FALSE) - VLOOKUP($B140,test!$A$3:$G$32,6,FALSE) &gt;= (test!$B$37+VLOOKUP(VLOOKUP($B140,test!$A$2:$I$32,4,FALSE),test!$J$10:$P$14,7,FALSE))/1440),1,0)</f>
        <v>0</v>
      </c>
      <c r="AF140" s="2">
        <f>IF(AND(VLOOKUP(AF$1,test!$A$3:$F$32,5,FALSE) - VLOOKUP($B140,test!$A$3:$G$32,6,FALSE) &gt;= (test!$B$37+VLOOKUP(VLOOKUP($B140,test!$A$2:$I$32,4,FALSE),test!$J$10:$P$14,7,FALSE))/1440),1,0)</f>
        <v>1</v>
      </c>
      <c r="AG140" s="2">
        <f>IF(AND(VLOOKUP(AG$1,test!$A$3:$F$32,5,FALSE) - VLOOKUP($B140,test!$A$3:$G$32,6,FALSE) &gt;= (test!$B$37+VLOOKUP(VLOOKUP($B140,test!$A$2:$I$32,4,FALSE),test!$J$10:$P$14,7,FALSE))/1440),1,0)</f>
        <v>0</v>
      </c>
    </row>
    <row r="141" spans="1:33" x14ac:dyDescent="0.25">
      <c r="A141" t="s">
        <v>99</v>
      </c>
      <c r="B141" t="s">
        <v>26</v>
      </c>
      <c r="C141">
        <v>0</v>
      </c>
      <c r="D141" s="2">
        <f>IF(AND(VLOOKUP(D$1,test!$A$3:$F$32,5,FALSE) - VLOOKUP($B141,test!$A$3:$G$32,6,FALSE) &gt;= (test!$B$37+VLOOKUP(VLOOKUP($B141,test!$A$2:$I$32,4,FALSE),test!$J$10:$P$14,7,FALSE))/1440),1,0)</f>
        <v>0</v>
      </c>
      <c r="E141" s="2">
        <f>IF(AND(VLOOKUP(E$1,test!$A$3:$F$32,5,FALSE) - VLOOKUP($B141,test!$A$3:$G$32,6,FALSE) &gt;= (test!$B$37+VLOOKUP(VLOOKUP($B141,test!$A$2:$I$32,4,FALSE),test!$J$10:$P$14,7,FALSE))/1440),1,0)</f>
        <v>0</v>
      </c>
      <c r="F141" s="2">
        <f>IF(AND(VLOOKUP(F$1,test!$A$3:$F$32,5,FALSE) - VLOOKUP($B141,test!$A$3:$G$32,6,FALSE) &gt;= (test!$B$37+VLOOKUP(VLOOKUP($B141,test!$A$2:$I$32,4,FALSE),test!$J$10:$P$14,7,FALSE))/1440),1,0)</f>
        <v>0</v>
      </c>
      <c r="G141" s="2">
        <f>IF(AND(VLOOKUP(G$1,test!$A$3:$F$32,5,FALSE) - VLOOKUP($B141,test!$A$3:$G$32,6,FALSE) &gt;= (test!$B$37+VLOOKUP(VLOOKUP($B141,test!$A$2:$I$32,4,FALSE),test!$J$10:$P$14,7,FALSE))/1440),1,0)</f>
        <v>0</v>
      </c>
      <c r="H141" s="2">
        <f>IF(AND(VLOOKUP(H$1,test!$A$3:$F$32,5,FALSE) - VLOOKUP($B141,test!$A$3:$G$32,6,FALSE) &gt;= (test!$B$37+VLOOKUP(VLOOKUP($B141,test!$A$2:$I$32,4,FALSE),test!$J$10:$P$14,7,FALSE))/1440),1,0)</f>
        <v>1</v>
      </c>
      <c r="I141" s="2">
        <f>IF(AND(VLOOKUP(I$1,test!$A$3:$F$32,5,FALSE) - VLOOKUP($B141,test!$A$3:$G$32,6,FALSE) &gt;= (test!$B$37+VLOOKUP(VLOOKUP($B141,test!$A$2:$I$32,4,FALSE),test!$J$10:$P$14,7,FALSE))/1440),1,0)</f>
        <v>1</v>
      </c>
      <c r="J141" s="2">
        <f>IF(AND(VLOOKUP(J$1,test!$A$3:$F$32,5,FALSE) - VLOOKUP($B141,test!$A$3:$G$32,6,FALSE) &gt;= (test!$B$37+VLOOKUP(VLOOKUP($B141,test!$A$2:$I$32,4,FALSE),test!$J$10:$P$14,7,FALSE))/1440),1,0)</f>
        <v>1</v>
      </c>
      <c r="K141" s="2">
        <f>IF(AND(VLOOKUP(K$1,test!$A$3:$F$32,5,FALSE) - VLOOKUP($B141,test!$A$3:$G$32,6,FALSE) &gt;= (test!$B$37+VLOOKUP(VLOOKUP($B141,test!$A$2:$I$32,4,FALSE),test!$J$10:$P$14,7,FALSE))/1440),1,0)</f>
        <v>1</v>
      </c>
      <c r="L141" s="2">
        <f>IF(AND(VLOOKUP(L$1,test!$A$3:$F$32,5,FALSE) - VLOOKUP($B141,test!$A$3:$G$32,6,FALSE) &gt;= (test!$B$37+VLOOKUP(VLOOKUP($B141,test!$A$2:$I$32,4,FALSE),test!$J$10:$P$14,7,FALSE))/1440),1,0)</f>
        <v>0</v>
      </c>
      <c r="M141" s="2">
        <f>IF(AND(VLOOKUP(M$1,test!$A$3:$F$32,5,FALSE) - VLOOKUP($B141,test!$A$3:$G$32,6,FALSE) &gt;= (test!$B$37+VLOOKUP(VLOOKUP($B141,test!$A$2:$I$32,4,FALSE),test!$J$10:$P$14,7,FALSE))/1440),1,0)</f>
        <v>0</v>
      </c>
      <c r="N141" s="2">
        <f>IF(AND(VLOOKUP(N$1,test!$A$3:$F$32,5,FALSE) - VLOOKUP($B141,test!$A$3:$G$32,6,FALSE) &gt;= (test!$B$37+VLOOKUP(VLOOKUP($B141,test!$A$2:$I$32,4,FALSE),test!$J$10:$P$14,7,FALSE))/1440),1,0)</f>
        <v>0</v>
      </c>
      <c r="O141" s="2">
        <f>IF(AND(VLOOKUP(O$1,test!$A$3:$F$32,5,FALSE) - VLOOKUP($B141,test!$A$3:$G$32,6,FALSE) &gt;= (test!$B$37+VLOOKUP(VLOOKUP($B141,test!$A$2:$I$32,4,FALSE),test!$J$10:$P$14,7,FALSE))/1440),1,0)</f>
        <v>1</v>
      </c>
      <c r="P141" s="2">
        <f>IF(AND(VLOOKUP(P$1,test!$A$3:$F$32,5,FALSE) - VLOOKUP($B141,test!$A$3:$G$32,6,FALSE) &gt;= (test!$B$37+VLOOKUP(VLOOKUP($B141,test!$A$2:$I$32,4,FALSE),test!$J$10:$P$14,7,FALSE))/1440),1,0)</f>
        <v>1</v>
      </c>
      <c r="Q141" s="2">
        <f>IF(AND(VLOOKUP(Q$1,test!$A$3:$F$32,5,FALSE) - VLOOKUP($B141,test!$A$3:$G$32,6,FALSE) &gt;= (test!$B$37+VLOOKUP(VLOOKUP($B141,test!$A$2:$I$32,4,FALSE),test!$J$10:$P$14,7,FALSE))/1440),1,0)</f>
        <v>0</v>
      </c>
      <c r="R141" s="2">
        <f>IF(AND(VLOOKUP(R$1,test!$A$3:$F$32,5,FALSE) - VLOOKUP($B141,test!$A$3:$G$32,6,FALSE) &gt;= (test!$B$37+VLOOKUP(VLOOKUP($B141,test!$A$2:$I$32,4,FALSE),test!$J$10:$P$14,7,FALSE))/1440),1,0)</f>
        <v>0</v>
      </c>
      <c r="S141" s="2">
        <f>IF(AND(VLOOKUP(S$1,test!$A$3:$F$32,5,FALSE) - VLOOKUP($B141,test!$A$3:$G$32,6,FALSE) &gt;= (test!$B$37+VLOOKUP(VLOOKUP($B141,test!$A$2:$I$32,4,FALSE),test!$J$10:$P$14,7,FALSE))/1440),1,0)</f>
        <v>0</v>
      </c>
      <c r="T141" s="2">
        <f>IF(AND(VLOOKUP(T$1,test!$A$3:$F$32,5,FALSE) - VLOOKUP($B141,test!$A$3:$G$32,6,FALSE) &gt;= (test!$B$37+VLOOKUP(VLOOKUP($B141,test!$A$2:$I$32,4,FALSE),test!$J$10:$P$14,7,FALSE))/1440),1,0)</f>
        <v>0</v>
      </c>
      <c r="U141" s="2">
        <f>IF(AND(VLOOKUP(U$1,test!$A$3:$F$32,5,FALSE) - VLOOKUP($B141,test!$A$3:$G$32,6,FALSE) &gt;= (test!$B$37+VLOOKUP(VLOOKUP($B141,test!$A$2:$I$32,4,FALSE),test!$J$10:$P$14,7,FALSE))/1440),1,0)</f>
        <v>0</v>
      </c>
      <c r="V141" s="2">
        <f>IF(AND(VLOOKUP(V$1,test!$A$3:$F$32,5,FALSE) - VLOOKUP($B141,test!$A$3:$G$32,6,FALSE) &gt;= (test!$B$37+VLOOKUP(VLOOKUP($B141,test!$A$2:$I$32,4,FALSE),test!$J$10:$P$14,7,FALSE))/1440),1,0)</f>
        <v>0</v>
      </c>
      <c r="W141" s="2">
        <f>IF(AND(VLOOKUP(W$1,test!$A$3:$F$32,5,FALSE) - VLOOKUP($B141,test!$A$3:$G$32,6,FALSE) &gt;= (test!$B$37+VLOOKUP(VLOOKUP($B141,test!$A$2:$I$32,4,FALSE),test!$J$10:$P$14,7,FALSE))/1440),1,0)</f>
        <v>1</v>
      </c>
      <c r="X141" s="2">
        <f>IF(AND(VLOOKUP(X$1,test!$A$3:$F$32,5,FALSE) - VLOOKUP($B141,test!$A$3:$G$32,6,FALSE) &gt;= (test!$B$37+VLOOKUP(VLOOKUP($B141,test!$A$2:$I$32,4,FALSE),test!$J$10:$P$14,7,FALSE))/1440),1,0)</f>
        <v>1</v>
      </c>
      <c r="Y141" s="2">
        <f>IF(AND(VLOOKUP(Y$1,test!$A$3:$F$32,5,FALSE) - VLOOKUP($B141,test!$A$3:$G$32,6,FALSE) &gt;= (test!$B$37+VLOOKUP(VLOOKUP($B141,test!$A$2:$I$32,4,FALSE),test!$J$10:$P$14,7,FALSE))/1440),1,0)</f>
        <v>1</v>
      </c>
      <c r="Z141" s="2">
        <f>IF(AND(VLOOKUP(Z$1,test!$A$3:$F$32,5,FALSE) - VLOOKUP($B141,test!$A$3:$G$32,6,FALSE) &gt;= (test!$B$37+VLOOKUP(VLOOKUP($B141,test!$A$2:$I$32,4,FALSE),test!$J$10:$P$14,7,FALSE))/1440),1,0)</f>
        <v>0</v>
      </c>
      <c r="AA141" s="2">
        <f>IF(AND(VLOOKUP(AA$1,test!$A$3:$F$32,5,FALSE) - VLOOKUP($B141,test!$A$3:$G$32,6,FALSE) &gt;= (test!$B$37+VLOOKUP(VLOOKUP($B141,test!$A$2:$I$32,4,FALSE),test!$J$10:$P$14,7,FALSE))/1440),1,0)</f>
        <v>0</v>
      </c>
      <c r="AB141" s="2">
        <f>IF(AND(VLOOKUP(AB$1,test!$A$3:$F$32,5,FALSE) - VLOOKUP($B141,test!$A$3:$G$32,6,FALSE) &gt;= (test!$B$37+VLOOKUP(VLOOKUP($B141,test!$A$2:$I$32,4,FALSE),test!$J$10:$P$14,7,FALSE))/1440),1,0)</f>
        <v>0</v>
      </c>
      <c r="AC141" s="2">
        <f>IF(AND(VLOOKUP(AC$1,test!$A$3:$F$32,5,FALSE) - VLOOKUP($B141,test!$A$3:$G$32,6,FALSE) &gt;= (test!$B$37+VLOOKUP(VLOOKUP($B141,test!$A$2:$I$32,4,FALSE),test!$J$10:$P$14,7,FALSE))/1440),1,0)</f>
        <v>0</v>
      </c>
      <c r="AD141" s="2">
        <f>IF(AND(VLOOKUP(AD$1,test!$A$3:$F$32,5,FALSE) - VLOOKUP($B141,test!$A$3:$G$32,6,FALSE) &gt;= (test!$B$37+VLOOKUP(VLOOKUP($B141,test!$A$2:$I$32,4,FALSE),test!$J$10:$P$14,7,FALSE))/1440),1,0)</f>
        <v>1</v>
      </c>
      <c r="AE141" s="2">
        <f>IF(AND(VLOOKUP(AE$1,test!$A$3:$F$32,5,FALSE) - VLOOKUP($B141,test!$A$3:$G$32,6,FALSE) &gt;= (test!$B$37+VLOOKUP(VLOOKUP($B141,test!$A$2:$I$32,4,FALSE),test!$J$10:$P$14,7,FALSE))/1440),1,0)</f>
        <v>0</v>
      </c>
      <c r="AF141" s="2">
        <f>IF(AND(VLOOKUP(AF$1,test!$A$3:$F$32,5,FALSE) - VLOOKUP($B141,test!$A$3:$G$32,6,FALSE) &gt;= (test!$B$37+VLOOKUP(VLOOKUP($B141,test!$A$2:$I$32,4,FALSE),test!$J$10:$P$14,7,FALSE))/1440),1,0)</f>
        <v>0</v>
      </c>
      <c r="AG141" s="2">
        <f>IF(AND(VLOOKUP(AG$1,test!$A$3:$F$32,5,FALSE) - VLOOKUP($B141,test!$A$3:$G$32,6,FALSE) &gt;= (test!$B$37+VLOOKUP(VLOOKUP($B141,test!$A$2:$I$32,4,FALSE),test!$J$10:$P$14,7,FALSE))/1440),1,0)</f>
        <v>0</v>
      </c>
    </row>
    <row r="142" spans="1:33" x14ac:dyDescent="0.25">
      <c r="A142" t="s">
        <v>99</v>
      </c>
      <c r="B142" t="s">
        <v>27</v>
      </c>
      <c r="C142">
        <v>0</v>
      </c>
      <c r="D142" s="2">
        <f>IF(AND(VLOOKUP(D$1,test!$A$3:$F$32,5,FALSE) - VLOOKUP($B142,test!$A$3:$G$32,6,FALSE) &gt;= (test!$B$37+VLOOKUP(VLOOKUP($B142,test!$A$2:$I$32,4,FALSE),test!$J$10:$P$14,7,FALSE))/1440),1,0)</f>
        <v>0</v>
      </c>
      <c r="E142" s="2">
        <f>IF(AND(VLOOKUP(E$1,test!$A$3:$F$32,5,FALSE) - VLOOKUP($B142,test!$A$3:$G$32,6,FALSE) &gt;= (test!$B$37+VLOOKUP(VLOOKUP($B142,test!$A$2:$I$32,4,FALSE),test!$J$10:$P$14,7,FALSE))/1440),1,0)</f>
        <v>0</v>
      </c>
      <c r="F142" s="2">
        <f>IF(AND(VLOOKUP(F$1,test!$A$3:$F$32,5,FALSE) - VLOOKUP($B142,test!$A$3:$G$32,6,FALSE) &gt;= (test!$B$37+VLOOKUP(VLOOKUP($B142,test!$A$2:$I$32,4,FALSE),test!$J$10:$P$14,7,FALSE))/1440),1,0)</f>
        <v>0</v>
      </c>
      <c r="G142" s="2">
        <f>IF(AND(VLOOKUP(G$1,test!$A$3:$F$32,5,FALSE) - VLOOKUP($B142,test!$A$3:$G$32,6,FALSE) &gt;= (test!$B$37+VLOOKUP(VLOOKUP($B142,test!$A$2:$I$32,4,FALSE),test!$J$10:$P$14,7,FALSE))/1440),1,0)</f>
        <v>0</v>
      </c>
      <c r="H142" s="2">
        <f>IF(AND(VLOOKUP(H$1,test!$A$3:$F$32,5,FALSE) - VLOOKUP($B142,test!$A$3:$G$32,6,FALSE) &gt;= (test!$B$37+VLOOKUP(VLOOKUP($B142,test!$A$2:$I$32,4,FALSE),test!$J$10:$P$14,7,FALSE))/1440),1,0)</f>
        <v>0</v>
      </c>
      <c r="I142" s="2">
        <f>IF(AND(VLOOKUP(I$1,test!$A$3:$F$32,5,FALSE) - VLOOKUP($B142,test!$A$3:$G$32,6,FALSE) &gt;= (test!$B$37+VLOOKUP(VLOOKUP($B142,test!$A$2:$I$32,4,FALSE),test!$J$10:$P$14,7,FALSE))/1440),1,0)</f>
        <v>1</v>
      </c>
      <c r="J142" s="2">
        <f>IF(AND(VLOOKUP(J$1,test!$A$3:$F$32,5,FALSE) - VLOOKUP($B142,test!$A$3:$G$32,6,FALSE) &gt;= (test!$B$37+VLOOKUP(VLOOKUP($B142,test!$A$2:$I$32,4,FALSE),test!$J$10:$P$14,7,FALSE))/1440),1,0)</f>
        <v>1</v>
      </c>
      <c r="K142" s="2">
        <f>IF(AND(VLOOKUP(K$1,test!$A$3:$F$32,5,FALSE) - VLOOKUP($B142,test!$A$3:$G$32,6,FALSE) &gt;= (test!$B$37+VLOOKUP(VLOOKUP($B142,test!$A$2:$I$32,4,FALSE),test!$J$10:$P$14,7,FALSE))/1440),1,0)</f>
        <v>1</v>
      </c>
      <c r="L142" s="2">
        <f>IF(AND(VLOOKUP(L$1,test!$A$3:$F$32,5,FALSE) - VLOOKUP($B142,test!$A$3:$G$32,6,FALSE) &gt;= (test!$B$37+VLOOKUP(VLOOKUP($B142,test!$A$2:$I$32,4,FALSE),test!$J$10:$P$14,7,FALSE))/1440),1,0)</f>
        <v>0</v>
      </c>
      <c r="M142" s="2">
        <f>IF(AND(VLOOKUP(M$1,test!$A$3:$F$32,5,FALSE) - VLOOKUP($B142,test!$A$3:$G$32,6,FALSE) &gt;= (test!$B$37+VLOOKUP(VLOOKUP($B142,test!$A$2:$I$32,4,FALSE),test!$J$10:$P$14,7,FALSE))/1440),1,0)</f>
        <v>0</v>
      </c>
      <c r="N142" s="2">
        <f>IF(AND(VLOOKUP(N$1,test!$A$3:$F$32,5,FALSE) - VLOOKUP($B142,test!$A$3:$G$32,6,FALSE) &gt;= (test!$B$37+VLOOKUP(VLOOKUP($B142,test!$A$2:$I$32,4,FALSE),test!$J$10:$P$14,7,FALSE))/1440),1,0)</f>
        <v>0</v>
      </c>
      <c r="O142" s="2">
        <f>IF(AND(VLOOKUP(O$1,test!$A$3:$F$32,5,FALSE) - VLOOKUP($B142,test!$A$3:$G$32,6,FALSE) &gt;= (test!$B$37+VLOOKUP(VLOOKUP($B142,test!$A$2:$I$32,4,FALSE),test!$J$10:$P$14,7,FALSE))/1440),1,0)</f>
        <v>1</v>
      </c>
      <c r="P142" s="2">
        <f>IF(AND(VLOOKUP(P$1,test!$A$3:$F$32,5,FALSE) - VLOOKUP($B142,test!$A$3:$G$32,6,FALSE) &gt;= (test!$B$37+VLOOKUP(VLOOKUP($B142,test!$A$2:$I$32,4,FALSE),test!$J$10:$P$14,7,FALSE))/1440),1,0)</f>
        <v>1</v>
      </c>
      <c r="Q142" s="2">
        <f>IF(AND(VLOOKUP(Q$1,test!$A$3:$F$32,5,FALSE) - VLOOKUP($B142,test!$A$3:$G$32,6,FALSE) &gt;= (test!$B$37+VLOOKUP(VLOOKUP($B142,test!$A$2:$I$32,4,FALSE),test!$J$10:$P$14,7,FALSE))/1440),1,0)</f>
        <v>0</v>
      </c>
      <c r="R142" s="2">
        <f>IF(AND(VLOOKUP(R$1,test!$A$3:$F$32,5,FALSE) - VLOOKUP($B142,test!$A$3:$G$32,6,FALSE) &gt;= (test!$B$37+VLOOKUP(VLOOKUP($B142,test!$A$2:$I$32,4,FALSE),test!$J$10:$P$14,7,FALSE))/1440),1,0)</f>
        <v>0</v>
      </c>
      <c r="S142" s="2">
        <f>IF(AND(VLOOKUP(S$1,test!$A$3:$F$32,5,FALSE) - VLOOKUP($B142,test!$A$3:$G$32,6,FALSE) &gt;= (test!$B$37+VLOOKUP(VLOOKUP($B142,test!$A$2:$I$32,4,FALSE),test!$J$10:$P$14,7,FALSE))/1440),1,0)</f>
        <v>0</v>
      </c>
      <c r="T142" s="2">
        <f>IF(AND(VLOOKUP(T$1,test!$A$3:$F$32,5,FALSE) - VLOOKUP($B142,test!$A$3:$G$32,6,FALSE) &gt;= (test!$B$37+VLOOKUP(VLOOKUP($B142,test!$A$2:$I$32,4,FALSE),test!$J$10:$P$14,7,FALSE))/1440),1,0)</f>
        <v>0</v>
      </c>
      <c r="U142" s="2">
        <f>IF(AND(VLOOKUP(U$1,test!$A$3:$F$32,5,FALSE) - VLOOKUP($B142,test!$A$3:$G$32,6,FALSE) &gt;= (test!$B$37+VLOOKUP(VLOOKUP($B142,test!$A$2:$I$32,4,FALSE),test!$J$10:$P$14,7,FALSE))/1440),1,0)</f>
        <v>0</v>
      </c>
      <c r="V142" s="2">
        <f>IF(AND(VLOOKUP(V$1,test!$A$3:$F$32,5,FALSE) - VLOOKUP($B142,test!$A$3:$G$32,6,FALSE) &gt;= (test!$B$37+VLOOKUP(VLOOKUP($B142,test!$A$2:$I$32,4,FALSE),test!$J$10:$P$14,7,FALSE))/1440),1,0)</f>
        <v>0</v>
      </c>
      <c r="W142" s="2">
        <f>IF(AND(VLOOKUP(W$1,test!$A$3:$F$32,5,FALSE) - VLOOKUP($B142,test!$A$3:$G$32,6,FALSE) &gt;= (test!$B$37+VLOOKUP(VLOOKUP($B142,test!$A$2:$I$32,4,FALSE),test!$J$10:$P$14,7,FALSE))/1440),1,0)</f>
        <v>0</v>
      </c>
      <c r="X142" s="2">
        <f>IF(AND(VLOOKUP(X$1,test!$A$3:$F$32,5,FALSE) - VLOOKUP($B142,test!$A$3:$G$32,6,FALSE) &gt;= (test!$B$37+VLOOKUP(VLOOKUP($B142,test!$A$2:$I$32,4,FALSE),test!$J$10:$P$14,7,FALSE))/1440),1,0)</f>
        <v>1</v>
      </c>
      <c r="Y142" s="2">
        <f>IF(AND(VLOOKUP(Y$1,test!$A$3:$F$32,5,FALSE) - VLOOKUP($B142,test!$A$3:$G$32,6,FALSE) &gt;= (test!$B$37+VLOOKUP(VLOOKUP($B142,test!$A$2:$I$32,4,FALSE),test!$J$10:$P$14,7,FALSE))/1440),1,0)</f>
        <v>1</v>
      </c>
      <c r="Z142" s="2">
        <f>IF(AND(VLOOKUP(Z$1,test!$A$3:$F$32,5,FALSE) - VLOOKUP($B142,test!$A$3:$G$32,6,FALSE) &gt;= (test!$B$37+VLOOKUP(VLOOKUP($B142,test!$A$2:$I$32,4,FALSE),test!$J$10:$P$14,7,FALSE))/1440),1,0)</f>
        <v>0</v>
      </c>
      <c r="AA142" s="2">
        <f>IF(AND(VLOOKUP(AA$1,test!$A$3:$F$32,5,FALSE) - VLOOKUP($B142,test!$A$3:$G$32,6,FALSE) &gt;= (test!$B$37+VLOOKUP(VLOOKUP($B142,test!$A$2:$I$32,4,FALSE),test!$J$10:$P$14,7,FALSE))/1440),1,0)</f>
        <v>0</v>
      </c>
      <c r="AB142" s="2">
        <f>IF(AND(VLOOKUP(AB$1,test!$A$3:$F$32,5,FALSE) - VLOOKUP($B142,test!$A$3:$G$32,6,FALSE) &gt;= (test!$B$37+VLOOKUP(VLOOKUP($B142,test!$A$2:$I$32,4,FALSE),test!$J$10:$P$14,7,FALSE))/1440),1,0)</f>
        <v>0</v>
      </c>
      <c r="AC142" s="2">
        <f>IF(AND(VLOOKUP(AC$1,test!$A$3:$F$32,5,FALSE) - VLOOKUP($B142,test!$A$3:$G$32,6,FALSE) &gt;= (test!$B$37+VLOOKUP(VLOOKUP($B142,test!$A$2:$I$32,4,FALSE),test!$J$10:$P$14,7,FALSE))/1440),1,0)</f>
        <v>0</v>
      </c>
      <c r="AD142" s="2">
        <f>IF(AND(VLOOKUP(AD$1,test!$A$3:$F$32,5,FALSE) - VLOOKUP($B142,test!$A$3:$G$32,6,FALSE) &gt;= (test!$B$37+VLOOKUP(VLOOKUP($B142,test!$A$2:$I$32,4,FALSE),test!$J$10:$P$14,7,FALSE))/1440),1,0)</f>
        <v>1</v>
      </c>
      <c r="AE142" s="2">
        <f>IF(AND(VLOOKUP(AE$1,test!$A$3:$F$32,5,FALSE) - VLOOKUP($B142,test!$A$3:$G$32,6,FALSE) &gt;= (test!$B$37+VLOOKUP(VLOOKUP($B142,test!$A$2:$I$32,4,FALSE),test!$J$10:$P$14,7,FALSE))/1440),1,0)</f>
        <v>0</v>
      </c>
      <c r="AF142" s="2">
        <f>IF(AND(VLOOKUP(AF$1,test!$A$3:$F$32,5,FALSE) - VLOOKUP($B142,test!$A$3:$G$32,6,FALSE) &gt;= (test!$B$37+VLOOKUP(VLOOKUP($B142,test!$A$2:$I$32,4,FALSE),test!$J$10:$P$14,7,FALSE))/1440),1,0)</f>
        <v>0</v>
      </c>
      <c r="AG142" s="2">
        <f>IF(AND(VLOOKUP(AG$1,test!$A$3:$F$32,5,FALSE) - VLOOKUP($B142,test!$A$3:$G$32,6,FALSE) &gt;= (test!$B$37+VLOOKUP(VLOOKUP($B142,test!$A$2:$I$32,4,FALSE),test!$J$10:$P$14,7,FALSE))/1440),1,0)</f>
        <v>0</v>
      </c>
    </row>
    <row r="143" spans="1:33" x14ac:dyDescent="0.25">
      <c r="A143" t="s">
        <v>99</v>
      </c>
      <c r="B143" t="s">
        <v>28</v>
      </c>
      <c r="C143">
        <v>0</v>
      </c>
      <c r="D143" s="2">
        <f>IF(AND(VLOOKUP(D$1,test!$A$3:$F$32,5,FALSE) - VLOOKUP($B143,test!$A$3:$G$32,6,FALSE) &gt;= (test!$B$37+VLOOKUP(VLOOKUP($B143,test!$A$2:$I$32,4,FALSE),test!$J$10:$P$14,7,FALSE))/1440),1,0)</f>
        <v>0</v>
      </c>
      <c r="E143" s="2">
        <f>IF(AND(VLOOKUP(E$1,test!$A$3:$F$32,5,FALSE) - VLOOKUP($B143,test!$A$3:$G$32,6,FALSE) &gt;= (test!$B$37+VLOOKUP(VLOOKUP($B143,test!$A$2:$I$32,4,FALSE),test!$J$10:$P$14,7,FALSE))/1440),1,0)</f>
        <v>0</v>
      </c>
      <c r="F143" s="2">
        <f>IF(AND(VLOOKUP(F$1,test!$A$3:$F$32,5,FALSE) - VLOOKUP($B143,test!$A$3:$G$32,6,FALSE) &gt;= (test!$B$37+VLOOKUP(VLOOKUP($B143,test!$A$2:$I$32,4,FALSE),test!$J$10:$P$14,7,FALSE))/1440),1,0)</f>
        <v>0</v>
      </c>
      <c r="G143" s="2">
        <f>IF(AND(VLOOKUP(G$1,test!$A$3:$F$32,5,FALSE) - VLOOKUP($B143,test!$A$3:$G$32,6,FALSE) &gt;= (test!$B$37+VLOOKUP(VLOOKUP($B143,test!$A$2:$I$32,4,FALSE),test!$J$10:$P$14,7,FALSE))/1440),1,0)</f>
        <v>0</v>
      </c>
      <c r="H143" s="2">
        <f>IF(AND(VLOOKUP(H$1,test!$A$3:$F$32,5,FALSE) - VLOOKUP($B143,test!$A$3:$G$32,6,FALSE) &gt;= (test!$B$37+VLOOKUP(VLOOKUP($B143,test!$A$2:$I$32,4,FALSE),test!$J$10:$P$14,7,FALSE))/1440),1,0)</f>
        <v>0</v>
      </c>
      <c r="I143" s="2">
        <f>IF(AND(VLOOKUP(I$1,test!$A$3:$F$32,5,FALSE) - VLOOKUP($B143,test!$A$3:$G$32,6,FALSE) &gt;= (test!$B$37+VLOOKUP(VLOOKUP($B143,test!$A$2:$I$32,4,FALSE),test!$J$10:$P$14,7,FALSE))/1440),1,0)</f>
        <v>0</v>
      </c>
      <c r="J143" s="2">
        <f>IF(AND(VLOOKUP(J$1,test!$A$3:$F$32,5,FALSE) - VLOOKUP($B143,test!$A$3:$G$32,6,FALSE) &gt;= (test!$B$37+VLOOKUP(VLOOKUP($B143,test!$A$2:$I$32,4,FALSE),test!$J$10:$P$14,7,FALSE))/1440),1,0)</f>
        <v>0</v>
      </c>
      <c r="K143" s="2">
        <f>IF(AND(VLOOKUP(K$1,test!$A$3:$F$32,5,FALSE) - VLOOKUP($B143,test!$A$3:$G$32,6,FALSE) &gt;= (test!$B$37+VLOOKUP(VLOOKUP($B143,test!$A$2:$I$32,4,FALSE),test!$J$10:$P$14,7,FALSE))/1440),1,0)</f>
        <v>1</v>
      </c>
      <c r="L143" s="2">
        <f>IF(AND(VLOOKUP(L$1,test!$A$3:$F$32,5,FALSE) - VLOOKUP($B143,test!$A$3:$G$32,6,FALSE) &gt;= (test!$B$37+VLOOKUP(VLOOKUP($B143,test!$A$2:$I$32,4,FALSE),test!$J$10:$P$14,7,FALSE))/1440),1,0)</f>
        <v>0</v>
      </c>
      <c r="M143" s="2">
        <f>IF(AND(VLOOKUP(M$1,test!$A$3:$F$32,5,FALSE) - VLOOKUP($B143,test!$A$3:$G$32,6,FALSE) &gt;= (test!$B$37+VLOOKUP(VLOOKUP($B143,test!$A$2:$I$32,4,FALSE),test!$J$10:$P$14,7,FALSE))/1440),1,0)</f>
        <v>0</v>
      </c>
      <c r="N143" s="2">
        <f>IF(AND(VLOOKUP(N$1,test!$A$3:$F$32,5,FALSE) - VLOOKUP($B143,test!$A$3:$G$32,6,FALSE) &gt;= (test!$B$37+VLOOKUP(VLOOKUP($B143,test!$A$2:$I$32,4,FALSE),test!$J$10:$P$14,7,FALSE))/1440),1,0)</f>
        <v>0</v>
      </c>
      <c r="O143" s="2">
        <f>IF(AND(VLOOKUP(O$1,test!$A$3:$F$32,5,FALSE) - VLOOKUP($B143,test!$A$3:$G$32,6,FALSE) &gt;= (test!$B$37+VLOOKUP(VLOOKUP($B143,test!$A$2:$I$32,4,FALSE),test!$J$10:$P$14,7,FALSE))/1440),1,0)</f>
        <v>1</v>
      </c>
      <c r="P143" s="2">
        <f>IF(AND(VLOOKUP(P$1,test!$A$3:$F$32,5,FALSE) - VLOOKUP($B143,test!$A$3:$G$32,6,FALSE) &gt;= (test!$B$37+VLOOKUP(VLOOKUP($B143,test!$A$2:$I$32,4,FALSE),test!$J$10:$P$14,7,FALSE))/1440),1,0)</f>
        <v>1</v>
      </c>
      <c r="Q143" s="2">
        <f>IF(AND(VLOOKUP(Q$1,test!$A$3:$F$32,5,FALSE) - VLOOKUP($B143,test!$A$3:$G$32,6,FALSE) &gt;= (test!$B$37+VLOOKUP(VLOOKUP($B143,test!$A$2:$I$32,4,FALSE),test!$J$10:$P$14,7,FALSE))/1440),1,0)</f>
        <v>0</v>
      </c>
      <c r="R143" s="2">
        <f>IF(AND(VLOOKUP(R$1,test!$A$3:$F$32,5,FALSE) - VLOOKUP($B143,test!$A$3:$G$32,6,FALSE) &gt;= (test!$B$37+VLOOKUP(VLOOKUP($B143,test!$A$2:$I$32,4,FALSE),test!$J$10:$P$14,7,FALSE))/1440),1,0)</f>
        <v>0</v>
      </c>
      <c r="S143" s="2">
        <f>IF(AND(VLOOKUP(S$1,test!$A$3:$F$32,5,FALSE) - VLOOKUP($B143,test!$A$3:$G$32,6,FALSE) &gt;= (test!$B$37+VLOOKUP(VLOOKUP($B143,test!$A$2:$I$32,4,FALSE),test!$J$10:$P$14,7,FALSE))/1440),1,0)</f>
        <v>0</v>
      </c>
      <c r="T143" s="2">
        <f>IF(AND(VLOOKUP(T$1,test!$A$3:$F$32,5,FALSE) - VLOOKUP($B143,test!$A$3:$G$32,6,FALSE) &gt;= (test!$B$37+VLOOKUP(VLOOKUP($B143,test!$A$2:$I$32,4,FALSE),test!$J$10:$P$14,7,FALSE))/1440),1,0)</f>
        <v>0</v>
      </c>
      <c r="U143" s="2">
        <f>IF(AND(VLOOKUP(U$1,test!$A$3:$F$32,5,FALSE) - VLOOKUP($B143,test!$A$3:$G$32,6,FALSE) &gt;= (test!$B$37+VLOOKUP(VLOOKUP($B143,test!$A$2:$I$32,4,FALSE),test!$J$10:$P$14,7,FALSE))/1440),1,0)</f>
        <v>0</v>
      </c>
      <c r="V143" s="2">
        <f>IF(AND(VLOOKUP(V$1,test!$A$3:$F$32,5,FALSE) - VLOOKUP($B143,test!$A$3:$G$32,6,FALSE) &gt;= (test!$B$37+VLOOKUP(VLOOKUP($B143,test!$A$2:$I$32,4,FALSE),test!$J$10:$P$14,7,FALSE))/1440),1,0)</f>
        <v>0</v>
      </c>
      <c r="W143" s="2">
        <f>IF(AND(VLOOKUP(W$1,test!$A$3:$F$32,5,FALSE) - VLOOKUP($B143,test!$A$3:$G$32,6,FALSE) &gt;= (test!$B$37+VLOOKUP(VLOOKUP($B143,test!$A$2:$I$32,4,FALSE),test!$J$10:$P$14,7,FALSE))/1440),1,0)</f>
        <v>0</v>
      </c>
      <c r="X143" s="2">
        <f>IF(AND(VLOOKUP(X$1,test!$A$3:$F$32,5,FALSE) - VLOOKUP($B143,test!$A$3:$G$32,6,FALSE) &gt;= (test!$B$37+VLOOKUP(VLOOKUP($B143,test!$A$2:$I$32,4,FALSE),test!$J$10:$P$14,7,FALSE))/1440),1,0)</f>
        <v>0</v>
      </c>
      <c r="Y143" s="2">
        <f>IF(AND(VLOOKUP(Y$1,test!$A$3:$F$32,5,FALSE) - VLOOKUP($B143,test!$A$3:$G$32,6,FALSE) &gt;= (test!$B$37+VLOOKUP(VLOOKUP($B143,test!$A$2:$I$32,4,FALSE),test!$J$10:$P$14,7,FALSE))/1440),1,0)</f>
        <v>1</v>
      </c>
      <c r="Z143" s="2">
        <f>IF(AND(VLOOKUP(Z$1,test!$A$3:$F$32,5,FALSE) - VLOOKUP($B143,test!$A$3:$G$32,6,FALSE) &gt;= (test!$B$37+VLOOKUP(VLOOKUP($B143,test!$A$2:$I$32,4,FALSE),test!$J$10:$P$14,7,FALSE))/1440),1,0)</f>
        <v>0</v>
      </c>
      <c r="AA143" s="2">
        <f>IF(AND(VLOOKUP(AA$1,test!$A$3:$F$32,5,FALSE) - VLOOKUP($B143,test!$A$3:$G$32,6,FALSE) &gt;= (test!$B$37+VLOOKUP(VLOOKUP($B143,test!$A$2:$I$32,4,FALSE),test!$J$10:$P$14,7,FALSE))/1440),1,0)</f>
        <v>0</v>
      </c>
      <c r="AB143" s="2">
        <f>IF(AND(VLOOKUP(AB$1,test!$A$3:$F$32,5,FALSE) - VLOOKUP($B143,test!$A$3:$G$32,6,FALSE) &gt;= (test!$B$37+VLOOKUP(VLOOKUP($B143,test!$A$2:$I$32,4,FALSE),test!$J$10:$P$14,7,FALSE))/1440),1,0)</f>
        <v>0</v>
      </c>
      <c r="AC143" s="2">
        <f>IF(AND(VLOOKUP(AC$1,test!$A$3:$F$32,5,FALSE) - VLOOKUP($B143,test!$A$3:$G$32,6,FALSE) &gt;= (test!$B$37+VLOOKUP(VLOOKUP($B143,test!$A$2:$I$32,4,FALSE),test!$J$10:$P$14,7,FALSE))/1440),1,0)</f>
        <v>0</v>
      </c>
      <c r="AD143" s="2">
        <f>IF(AND(VLOOKUP(AD$1,test!$A$3:$F$32,5,FALSE) - VLOOKUP($B143,test!$A$3:$G$32,6,FALSE) &gt;= (test!$B$37+VLOOKUP(VLOOKUP($B143,test!$A$2:$I$32,4,FALSE),test!$J$10:$P$14,7,FALSE))/1440),1,0)</f>
        <v>0</v>
      </c>
      <c r="AE143" s="2">
        <f>IF(AND(VLOOKUP(AE$1,test!$A$3:$F$32,5,FALSE) - VLOOKUP($B143,test!$A$3:$G$32,6,FALSE) &gt;= (test!$B$37+VLOOKUP(VLOOKUP($B143,test!$A$2:$I$32,4,FALSE),test!$J$10:$P$14,7,FALSE))/1440),1,0)</f>
        <v>0</v>
      </c>
      <c r="AF143" s="2">
        <f>IF(AND(VLOOKUP(AF$1,test!$A$3:$F$32,5,FALSE) - VLOOKUP($B143,test!$A$3:$G$32,6,FALSE) &gt;= (test!$B$37+VLOOKUP(VLOOKUP($B143,test!$A$2:$I$32,4,FALSE),test!$J$10:$P$14,7,FALSE))/1440),1,0)</f>
        <v>0</v>
      </c>
      <c r="AG143" s="2">
        <f>IF(AND(VLOOKUP(AG$1,test!$A$3:$F$32,5,FALSE) - VLOOKUP($B143,test!$A$3:$G$32,6,FALSE) &gt;= (test!$B$37+VLOOKUP(VLOOKUP($B143,test!$A$2:$I$32,4,FALSE),test!$J$10:$P$14,7,FALSE))/1440),1,0)</f>
        <v>0</v>
      </c>
    </row>
    <row r="144" spans="1:33" x14ac:dyDescent="0.25">
      <c r="A144" t="s">
        <v>99</v>
      </c>
      <c r="B144" t="s">
        <v>29</v>
      </c>
      <c r="C144">
        <v>0</v>
      </c>
      <c r="D144" s="2">
        <f>IF(AND(VLOOKUP(D$1,test!$A$3:$F$32,5,FALSE) - VLOOKUP($B144,test!$A$3:$G$32,6,FALSE) &gt;= (test!$B$37+VLOOKUP(VLOOKUP($B144,test!$A$2:$I$32,4,FALSE),test!$J$10:$P$14,7,FALSE))/1440),1,0)</f>
        <v>0</v>
      </c>
      <c r="E144" s="2">
        <f>IF(AND(VLOOKUP(E$1,test!$A$3:$F$32,5,FALSE) - VLOOKUP($B144,test!$A$3:$G$32,6,FALSE) &gt;= (test!$B$37+VLOOKUP(VLOOKUP($B144,test!$A$2:$I$32,4,FALSE),test!$J$10:$P$14,7,FALSE))/1440),1,0)</f>
        <v>0</v>
      </c>
      <c r="F144" s="2">
        <f>IF(AND(VLOOKUP(F$1,test!$A$3:$F$32,5,FALSE) - VLOOKUP($B144,test!$A$3:$G$32,6,FALSE) &gt;= (test!$B$37+VLOOKUP(VLOOKUP($B144,test!$A$2:$I$32,4,FALSE),test!$J$10:$P$14,7,FALSE))/1440),1,0)</f>
        <v>0</v>
      </c>
      <c r="G144" s="2">
        <f>IF(AND(VLOOKUP(G$1,test!$A$3:$F$32,5,FALSE) - VLOOKUP($B144,test!$A$3:$G$32,6,FALSE) &gt;= (test!$B$37+VLOOKUP(VLOOKUP($B144,test!$A$2:$I$32,4,FALSE),test!$J$10:$P$14,7,FALSE))/1440),1,0)</f>
        <v>0</v>
      </c>
      <c r="H144" s="2">
        <f>IF(AND(VLOOKUP(H$1,test!$A$3:$F$32,5,FALSE) - VLOOKUP($B144,test!$A$3:$G$32,6,FALSE) &gt;= (test!$B$37+VLOOKUP(VLOOKUP($B144,test!$A$2:$I$32,4,FALSE),test!$J$10:$P$14,7,FALSE))/1440),1,0)</f>
        <v>0</v>
      </c>
      <c r="I144" s="2">
        <f>IF(AND(VLOOKUP(I$1,test!$A$3:$F$32,5,FALSE) - VLOOKUP($B144,test!$A$3:$G$32,6,FALSE) &gt;= (test!$B$37+VLOOKUP(VLOOKUP($B144,test!$A$2:$I$32,4,FALSE),test!$J$10:$P$14,7,FALSE))/1440),1,0)</f>
        <v>0</v>
      </c>
      <c r="J144" s="2">
        <f>IF(AND(VLOOKUP(J$1,test!$A$3:$F$32,5,FALSE) - VLOOKUP($B144,test!$A$3:$G$32,6,FALSE) &gt;= (test!$B$37+VLOOKUP(VLOOKUP($B144,test!$A$2:$I$32,4,FALSE),test!$J$10:$P$14,7,FALSE))/1440),1,0)</f>
        <v>0</v>
      </c>
      <c r="K144" s="2">
        <f>IF(AND(VLOOKUP(K$1,test!$A$3:$F$32,5,FALSE) - VLOOKUP($B144,test!$A$3:$G$32,6,FALSE) &gt;= (test!$B$37+VLOOKUP(VLOOKUP($B144,test!$A$2:$I$32,4,FALSE),test!$J$10:$P$14,7,FALSE))/1440),1,0)</f>
        <v>0</v>
      </c>
      <c r="L144" s="2">
        <f>IF(AND(VLOOKUP(L$1,test!$A$3:$F$32,5,FALSE) - VLOOKUP($B144,test!$A$3:$G$32,6,FALSE) &gt;= (test!$B$37+VLOOKUP(VLOOKUP($B144,test!$A$2:$I$32,4,FALSE),test!$J$10:$P$14,7,FALSE))/1440),1,0)</f>
        <v>0</v>
      </c>
      <c r="M144" s="2">
        <f>IF(AND(VLOOKUP(M$1,test!$A$3:$F$32,5,FALSE) - VLOOKUP($B144,test!$A$3:$G$32,6,FALSE) &gt;= (test!$B$37+VLOOKUP(VLOOKUP($B144,test!$A$2:$I$32,4,FALSE),test!$J$10:$P$14,7,FALSE))/1440),1,0)</f>
        <v>0</v>
      </c>
      <c r="N144" s="2">
        <f>IF(AND(VLOOKUP(N$1,test!$A$3:$F$32,5,FALSE) - VLOOKUP($B144,test!$A$3:$G$32,6,FALSE) &gt;= (test!$B$37+VLOOKUP(VLOOKUP($B144,test!$A$2:$I$32,4,FALSE),test!$J$10:$P$14,7,FALSE))/1440),1,0)</f>
        <v>0</v>
      </c>
      <c r="O144" s="2">
        <f>IF(AND(VLOOKUP(O$1,test!$A$3:$F$32,5,FALSE) - VLOOKUP($B144,test!$A$3:$G$32,6,FALSE) &gt;= (test!$B$37+VLOOKUP(VLOOKUP($B144,test!$A$2:$I$32,4,FALSE),test!$J$10:$P$14,7,FALSE))/1440),1,0)</f>
        <v>0</v>
      </c>
      <c r="P144" s="2">
        <f>IF(AND(VLOOKUP(P$1,test!$A$3:$F$32,5,FALSE) - VLOOKUP($B144,test!$A$3:$G$32,6,FALSE) &gt;= (test!$B$37+VLOOKUP(VLOOKUP($B144,test!$A$2:$I$32,4,FALSE),test!$J$10:$P$14,7,FALSE))/1440),1,0)</f>
        <v>1</v>
      </c>
      <c r="Q144" s="2">
        <f>IF(AND(VLOOKUP(Q$1,test!$A$3:$F$32,5,FALSE) - VLOOKUP($B144,test!$A$3:$G$32,6,FALSE) &gt;= (test!$B$37+VLOOKUP(VLOOKUP($B144,test!$A$2:$I$32,4,FALSE),test!$J$10:$P$14,7,FALSE))/1440),1,0)</f>
        <v>0</v>
      </c>
      <c r="R144" s="2">
        <f>IF(AND(VLOOKUP(R$1,test!$A$3:$F$32,5,FALSE) - VLOOKUP($B144,test!$A$3:$G$32,6,FALSE) &gt;= (test!$B$37+VLOOKUP(VLOOKUP($B144,test!$A$2:$I$32,4,FALSE),test!$J$10:$P$14,7,FALSE))/1440),1,0)</f>
        <v>0</v>
      </c>
      <c r="S144" s="2">
        <f>IF(AND(VLOOKUP(S$1,test!$A$3:$F$32,5,FALSE) - VLOOKUP($B144,test!$A$3:$G$32,6,FALSE) &gt;= (test!$B$37+VLOOKUP(VLOOKUP($B144,test!$A$2:$I$32,4,FALSE),test!$J$10:$P$14,7,FALSE))/1440),1,0)</f>
        <v>0</v>
      </c>
      <c r="T144" s="2">
        <f>IF(AND(VLOOKUP(T$1,test!$A$3:$F$32,5,FALSE) - VLOOKUP($B144,test!$A$3:$G$32,6,FALSE) &gt;= (test!$B$37+VLOOKUP(VLOOKUP($B144,test!$A$2:$I$32,4,FALSE),test!$J$10:$P$14,7,FALSE))/1440),1,0)</f>
        <v>0</v>
      </c>
      <c r="U144" s="2">
        <f>IF(AND(VLOOKUP(U$1,test!$A$3:$F$32,5,FALSE) - VLOOKUP($B144,test!$A$3:$G$32,6,FALSE) &gt;= (test!$B$37+VLOOKUP(VLOOKUP($B144,test!$A$2:$I$32,4,FALSE),test!$J$10:$P$14,7,FALSE))/1440),1,0)</f>
        <v>0</v>
      </c>
      <c r="V144" s="2">
        <f>IF(AND(VLOOKUP(V$1,test!$A$3:$F$32,5,FALSE) - VLOOKUP($B144,test!$A$3:$G$32,6,FALSE) &gt;= (test!$B$37+VLOOKUP(VLOOKUP($B144,test!$A$2:$I$32,4,FALSE),test!$J$10:$P$14,7,FALSE))/1440),1,0)</f>
        <v>0</v>
      </c>
      <c r="W144" s="2">
        <f>IF(AND(VLOOKUP(W$1,test!$A$3:$F$32,5,FALSE) - VLOOKUP($B144,test!$A$3:$G$32,6,FALSE) &gt;= (test!$B$37+VLOOKUP(VLOOKUP($B144,test!$A$2:$I$32,4,FALSE),test!$J$10:$P$14,7,FALSE))/1440),1,0)</f>
        <v>0</v>
      </c>
      <c r="X144" s="2">
        <f>IF(AND(VLOOKUP(X$1,test!$A$3:$F$32,5,FALSE) - VLOOKUP($B144,test!$A$3:$G$32,6,FALSE) &gt;= (test!$B$37+VLOOKUP(VLOOKUP($B144,test!$A$2:$I$32,4,FALSE),test!$J$10:$P$14,7,FALSE))/1440),1,0)</f>
        <v>0</v>
      </c>
      <c r="Y144" s="2">
        <f>IF(AND(VLOOKUP(Y$1,test!$A$3:$F$32,5,FALSE) - VLOOKUP($B144,test!$A$3:$G$32,6,FALSE) &gt;= (test!$B$37+VLOOKUP(VLOOKUP($B144,test!$A$2:$I$32,4,FALSE),test!$J$10:$P$14,7,FALSE))/1440),1,0)</f>
        <v>0</v>
      </c>
      <c r="Z144" s="2">
        <f>IF(AND(VLOOKUP(Z$1,test!$A$3:$F$32,5,FALSE) - VLOOKUP($B144,test!$A$3:$G$32,6,FALSE) &gt;= (test!$B$37+VLOOKUP(VLOOKUP($B144,test!$A$2:$I$32,4,FALSE),test!$J$10:$P$14,7,FALSE))/1440),1,0)</f>
        <v>0</v>
      </c>
      <c r="AA144" s="2">
        <f>IF(AND(VLOOKUP(AA$1,test!$A$3:$F$32,5,FALSE) - VLOOKUP($B144,test!$A$3:$G$32,6,FALSE) &gt;= (test!$B$37+VLOOKUP(VLOOKUP($B144,test!$A$2:$I$32,4,FALSE),test!$J$10:$P$14,7,FALSE))/1440),1,0)</f>
        <v>0</v>
      </c>
      <c r="AB144" s="2">
        <f>IF(AND(VLOOKUP(AB$1,test!$A$3:$F$32,5,FALSE) - VLOOKUP($B144,test!$A$3:$G$32,6,FALSE) &gt;= (test!$B$37+VLOOKUP(VLOOKUP($B144,test!$A$2:$I$32,4,FALSE),test!$J$10:$P$14,7,FALSE))/1440),1,0)</f>
        <v>0</v>
      </c>
      <c r="AC144" s="2">
        <f>IF(AND(VLOOKUP(AC$1,test!$A$3:$F$32,5,FALSE) - VLOOKUP($B144,test!$A$3:$G$32,6,FALSE) &gt;= (test!$B$37+VLOOKUP(VLOOKUP($B144,test!$A$2:$I$32,4,FALSE),test!$J$10:$P$14,7,FALSE))/1440),1,0)</f>
        <v>0</v>
      </c>
      <c r="AD144" s="2">
        <f>IF(AND(VLOOKUP(AD$1,test!$A$3:$F$32,5,FALSE) - VLOOKUP($B144,test!$A$3:$G$32,6,FALSE) &gt;= (test!$B$37+VLOOKUP(VLOOKUP($B144,test!$A$2:$I$32,4,FALSE),test!$J$10:$P$14,7,FALSE))/1440),1,0)</f>
        <v>0</v>
      </c>
      <c r="AE144" s="2">
        <f>IF(AND(VLOOKUP(AE$1,test!$A$3:$F$32,5,FALSE) - VLOOKUP($B144,test!$A$3:$G$32,6,FALSE) &gt;= (test!$B$37+VLOOKUP(VLOOKUP($B144,test!$A$2:$I$32,4,FALSE),test!$J$10:$P$14,7,FALSE))/1440),1,0)</f>
        <v>0</v>
      </c>
      <c r="AF144" s="2">
        <f>IF(AND(VLOOKUP(AF$1,test!$A$3:$F$32,5,FALSE) - VLOOKUP($B144,test!$A$3:$G$32,6,FALSE) &gt;= (test!$B$37+VLOOKUP(VLOOKUP($B144,test!$A$2:$I$32,4,FALSE),test!$J$10:$P$14,7,FALSE))/1440),1,0)</f>
        <v>0</v>
      </c>
      <c r="AG144" s="2">
        <f>IF(AND(VLOOKUP(AG$1,test!$A$3:$F$32,5,FALSE) - VLOOKUP($B144,test!$A$3:$G$32,6,FALSE) &gt;= (test!$B$37+VLOOKUP(VLOOKUP($B144,test!$A$2:$I$32,4,FALSE),test!$J$10:$P$14,7,FALSE))/1440),1,0)</f>
        <v>0</v>
      </c>
    </row>
    <row r="145" spans="1:33" x14ac:dyDescent="0.25">
      <c r="A145" t="s">
        <v>99</v>
      </c>
      <c r="B145" t="s">
        <v>30</v>
      </c>
      <c r="C145">
        <v>0</v>
      </c>
      <c r="D145" s="2">
        <f>IF(AND(VLOOKUP(D$1,test!$A$3:$F$32,5,FALSE) - VLOOKUP($B145,test!$A$3:$G$32,6,FALSE) &gt;= (test!$B$37+VLOOKUP(VLOOKUP($B145,test!$A$2:$I$32,4,FALSE),test!$J$10:$P$14,7,FALSE))/1440),1,0)</f>
        <v>0</v>
      </c>
      <c r="E145" s="2">
        <f>IF(AND(VLOOKUP(E$1,test!$A$3:$F$32,5,FALSE) - VLOOKUP($B145,test!$A$3:$G$32,6,FALSE) &gt;= (test!$B$37+VLOOKUP(VLOOKUP($B145,test!$A$2:$I$32,4,FALSE),test!$J$10:$P$14,7,FALSE))/1440),1,0)</f>
        <v>0</v>
      </c>
      <c r="F145" s="2">
        <f>IF(AND(VLOOKUP(F$1,test!$A$3:$F$32,5,FALSE) - VLOOKUP($B145,test!$A$3:$G$32,6,FALSE) &gt;= (test!$B$37+VLOOKUP(VLOOKUP($B145,test!$A$2:$I$32,4,FALSE),test!$J$10:$P$14,7,FALSE))/1440),1,0)</f>
        <v>0</v>
      </c>
      <c r="G145" s="2">
        <f>IF(AND(VLOOKUP(G$1,test!$A$3:$F$32,5,FALSE) - VLOOKUP($B145,test!$A$3:$G$32,6,FALSE) &gt;= (test!$B$37+VLOOKUP(VLOOKUP($B145,test!$A$2:$I$32,4,FALSE),test!$J$10:$P$14,7,FALSE))/1440),1,0)</f>
        <v>0</v>
      </c>
      <c r="H145" s="2">
        <f>IF(AND(VLOOKUP(H$1,test!$A$3:$F$32,5,FALSE) - VLOOKUP($B145,test!$A$3:$G$32,6,FALSE) &gt;= (test!$B$37+VLOOKUP(VLOOKUP($B145,test!$A$2:$I$32,4,FALSE),test!$J$10:$P$14,7,FALSE))/1440),1,0)</f>
        <v>0</v>
      </c>
      <c r="I145" s="2">
        <f>IF(AND(VLOOKUP(I$1,test!$A$3:$F$32,5,FALSE) - VLOOKUP($B145,test!$A$3:$G$32,6,FALSE) &gt;= (test!$B$37+VLOOKUP(VLOOKUP($B145,test!$A$2:$I$32,4,FALSE),test!$J$10:$P$14,7,FALSE))/1440),1,0)</f>
        <v>0</v>
      </c>
      <c r="J145" s="2">
        <f>IF(AND(VLOOKUP(J$1,test!$A$3:$F$32,5,FALSE) - VLOOKUP($B145,test!$A$3:$G$32,6,FALSE) &gt;= (test!$B$37+VLOOKUP(VLOOKUP($B145,test!$A$2:$I$32,4,FALSE),test!$J$10:$P$14,7,FALSE))/1440),1,0)</f>
        <v>0</v>
      </c>
      <c r="K145" s="2">
        <f>IF(AND(VLOOKUP(K$1,test!$A$3:$F$32,5,FALSE) - VLOOKUP($B145,test!$A$3:$G$32,6,FALSE) &gt;= (test!$B$37+VLOOKUP(VLOOKUP($B145,test!$A$2:$I$32,4,FALSE),test!$J$10:$P$14,7,FALSE))/1440),1,0)</f>
        <v>0</v>
      </c>
      <c r="L145" s="2">
        <f>IF(AND(VLOOKUP(L$1,test!$A$3:$F$32,5,FALSE) - VLOOKUP($B145,test!$A$3:$G$32,6,FALSE) &gt;= (test!$B$37+VLOOKUP(VLOOKUP($B145,test!$A$2:$I$32,4,FALSE),test!$J$10:$P$14,7,FALSE))/1440),1,0)</f>
        <v>0</v>
      </c>
      <c r="M145" s="2">
        <f>IF(AND(VLOOKUP(M$1,test!$A$3:$F$32,5,FALSE) - VLOOKUP($B145,test!$A$3:$G$32,6,FALSE) &gt;= (test!$B$37+VLOOKUP(VLOOKUP($B145,test!$A$2:$I$32,4,FALSE),test!$J$10:$P$14,7,FALSE))/1440),1,0)</f>
        <v>0</v>
      </c>
      <c r="N145" s="2">
        <f>IF(AND(VLOOKUP(N$1,test!$A$3:$F$32,5,FALSE) - VLOOKUP($B145,test!$A$3:$G$32,6,FALSE) &gt;= (test!$B$37+VLOOKUP(VLOOKUP($B145,test!$A$2:$I$32,4,FALSE),test!$J$10:$P$14,7,FALSE))/1440),1,0)</f>
        <v>0</v>
      </c>
      <c r="O145" s="2">
        <f>IF(AND(VLOOKUP(O$1,test!$A$3:$F$32,5,FALSE) - VLOOKUP($B145,test!$A$3:$G$32,6,FALSE) &gt;= (test!$B$37+VLOOKUP(VLOOKUP($B145,test!$A$2:$I$32,4,FALSE),test!$J$10:$P$14,7,FALSE))/1440),1,0)</f>
        <v>0</v>
      </c>
      <c r="P145" s="2">
        <f>IF(AND(VLOOKUP(P$1,test!$A$3:$F$32,5,FALSE) - VLOOKUP($B145,test!$A$3:$G$32,6,FALSE) &gt;= (test!$B$37+VLOOKUP(VLOOKUP($B145,test!$A$2:$I$32,4,FALSE),test!$J$10:$P$14,7,FALSE))/1440),1,0)</f>
        <v>0</v>
      </c>
      <c r="Q145" s="2">
        <f>IF(AND(VLOOKUP(Q$1,test!$A$3:$F$32,5,FALSE) - VLOOKUP($B145,test!$A$3:$G$32,6,FALSE) &gt;= (test!$B$37+VLOOKUP(VLOOKUP($B145,test!$A$2:$I$32,4,FALSE),test!$J$10:$P$14,7,FALSE))/1440),1,0)</f>
        <v>0</v>
      </c>
      <c r="R145" s="2">
        <f>IF(AND(VLOOKUP(R$1,test!$A$3:$F$32,5,FALSE) - VLOOKUP($B145,test!$A$3:$G$32,6,FALSE) &gt;= (test!$B$37+VLOOKUP(VLOOKUP($B145,test!$A$2:$I$32,4,FALSE),test!$J$10:$P$14,7,FALSE))/1440),1,0)</f>
        <v>0</v>
      </c>
      <c r="S145" s="2">
        <f>IF(AND(VLOOKUP(S$1,test!$A$3:$F$32,5,FALSE) - VLOOKUP($B145,test!$A$3:$G$32,6,FALSE) &gt;= (test!$B$37+VLOOKUP(VLOOKUP($B145,test!$A$2:$I$32,4,FALSE),test!$J$10:$P$14,7,FALSE))/1440),1,0)</f>
        <v>0</v>
      </c>
      <c r="T145" s="2">
        <f>IF(AND(VLOOKUP(T$1,test!$A$3:$F$32,5,FALSE) - VLOOKUP($B145,test!$A$3:$G$32,6,FALSE) &gt;= (test!$B$37+VLOOKUP(VLOOKUP($B145,test!$A$2:$I$32,4,FALSE),test!$J$10:$P$14,7,FALSE))/1440),1,0)</f>
        <v>0</v>
      </c>
      <c r="U145" s="2">
        <f>IF(AND(VLOOKUP(U$1,test!$A$3:$F$32,5,FALSE) - VLOOKUP($B145,test!$A$3:$G$32,6,FALSE) &gt;= (test!$B$37+VLOOKUP(VLOOKUP($B145,test!$A$2:$I$32,4,FALSE),test!$J$10:$P$14,7,FALSE))/1440),1,0)</f>
        <v>0</v>
      </c>
      <c r="V145" s="2">
        <f>IF(AND(VLOOKUP(V$1,test!$A$3:$F$32,5,FALSE) - VLOOKUP($B145,test!$A$3:$G$32,6,FALSE) &gt;= (test!$B$37+VLOOKUP(VLOOKUP($B145,test!$A$2:$I$32,4,FALSE),test!$J$10:$P$14,7,FALSE))/1440),1,0)</f>
        <v>0</v>
      </c>
      <c r="W145" s="2">
        <f>IF(AND(VLOOKUP(W$1,test!$A$3:$F$32,5,FALSE) - VLOOKUP($B145,test!$A$3:$G$32,6,FALSE) &gt;= (test!$B$37+VLOOKUP(VLOOKUP($B145,test!$A$2:$I$32,4,FALSE),test!$J$10:$P$14,7,FALSE))/1440),1,0)</f>
        <v>0</v>
      </c>
      <c r="X145" s="2">
        <f>IF(AND(VLOOKUP(X$1,test!$A$3:$F$32,5,FALSE) - VLOOKUP($B145,test!$A$3:$G$32,6,FALSE) &gt;= (test!$B$37+VLOOKUP(VLOOKUP($B145,test!$A$2:$I$32,4,FALSE),test!$J$10:$P$14,7,FALSE))/1440),1,0)</f>
        <v>0</v>
      </c>
      <c r="Y145" s="2">
        <f>IF(AND(VLOOKUP(Y$1,test!$A$3:$F$32,5,FALSE) - VLOOKUP($B145,test!$A$3:$G$32,6,FALSE) &gt;= (test!$B$37+VLOOKUP(VLOOKUP($B145,test!$A$2:$I$32,4,FALSE),test!$J$10:$P$14,7,FALSE))/1440),1,0)</f>
        <v>0</v>
      </c>
      <c r="Z145" s="2">
        <f>IF(AND(VLOOKUP(Z$1,test!$A$3:$F$32,5,FALSE) - VLOOKUP($B145,test!$A$3:$G$32,6,FALSE) &gt;= (test!$B$37+VLOOKUP(VLOOKUP($B145,test!$A$2:$I$32,4,FALSE),test!$J$10:$P$14,7,FALSE))/1440),1,0)</f>
        <v>0</v>
      </c>
      <c r="AA145" s="2">
        <f>IF(AND(VLOOKUP(AA$1,test!$A$3:$F$32,5,FALSE) - VLOOKUP($B145,test!$A$3:$G$32,6,FALSE) &gt;= (test!$B$37+VLOOKUP(VLOOKUP($B145,test!$A$2:$I$32,4,FALSE),test!$J$10:$P$14,7,FALSE))/1440),1,0)</f>
        <v>0</v>
      </c>
      <c r="AB145" s="2">
        <f>IF(AND(VLOOKUP(AB$1,test!$A$3:$F$32,5,FALSE) - VLOOKUP($B145,test!$A$3:$G$32,6,FALSE) &gt;= (test!$B$37+VLOOKUP(VLOOKUP($B145,test!$A$2:$I$32,4,FALSE),test!$J$10:$P$14,7,FALSE))/1440),1,0)</f>
        <v>0</v>
      </c>
      <c r="AC145" s="2">
        <f>IF(AND(VLOOKUP(AC$1,test!$A$3:$F$32,5,FALSE) - VLOOKUP($B145,test!$A$3:$G$32,6,FALSE) &gt;= (test!$B$37+VLOOKUP(VLOOKUP($B145,test!$A$2:$I$32,4,FALSE),test!$J$10:$P$14,7,FALSE))/1440),1,0)</f>
        <v>0</v>
      </c>
      <c r="AD145" s="2">
        <f>IF(AND(VLOOKUP(AD$1,test!$A$3:$F$32,5,FALSE) - VLOOKUP($B145,test!$A$3:$G$32,6,FALSE) &gt;= (test!$B$37+VLOOKUP(VLOOKUP($B145,test!$A$2:$I$32,4,FALSE),test!$J$10:$P$14,7,FALSE))/1440),1,0)</f>
        <v>0</v>
      </c>
      <c r="AE145" s="2">
        <f>IF(AND(VLOOKUP(AE$1,test!$A$3:$F$32,5,FALSE) - VLOOKUP($B145,test!$A$3:$G$32,6,FALSE) &gt;= (test!$B$37+VLOOKUP(VLOOKUP($B145,test!$A$2:$I$32,4,FALSE),test!$J$10:$P$14,7,FALSE))/1440),1,0)</f>
        <v>0</v>
      </c>
      <c r="AF145" s="2">
        <f>IF(AND(VLOOKUP(AF$1,test!$A$3:$F$32,5,FALSE) - VLOOKUP($B145,test!$A$3:$G$32,6,FALSE) &gt;= (test!$B$37+VLOOKUP(VLOOKUP($B145,test!$A$2:$I$32,4,FALSE),test!$J$10:$P$14,7,FALSE))/1440),1,0)</f>
        <v>0</v>
      </c>
      <c r="AG145" s="2">
        <f>IF(AND(VLOOKUP(AG$1,test!$A$3:$F$32,5,FALSE) - VLOOKUP($B145,test!$A$3:$G$32,6,FALSE) &gt;= (test!$B$37+VLOOKUP(VLOOKUP($B145,test!$A$2:$I$32,4,FALSE),test!$J$10:$P$14,7,FALSE))/1440),1,0)</f>
        <v>0</v>
      </c>
    </row>
    <row r="146" spans="1:33" x14ac:dyDescent="0.25">
      <c r="A146" t="s">
        <v>99</v>
      </c>
      <c r="B146" t="s">
        <v>31</v>
      </c>
      <c r="C146">
        <v>0</v>
      </c>
      <c r="D146" s="2">
        <f>IF(AND(VLOOKUP(D$1,test!$A$3:$F$32,5,FALSE) - VLOOKUP($B146,test!$A$3:$G$32,6,FALSE) &gt;= (test!$B$37+VLOOKUP(VLOOKUP($B146,test!$A$2:$I$32,4,FALSE),test!$J$10:$P$14,7,FALSE))/1440),1,0)</f>
        <v>0</v>
      </c>
      <c r="E146" s="2">
        <f>IF(AND(VLOOKUP(E$1,test!$A$3:$F$32,5,FALSE) - VLOOKUP($B146,test!$A$3:$G$32,6,FALSE) &gt;= (test!$B$37+VLOOKUP(VLOOKUP($B146,test!$A$2:$I$32,4,FALSE),test!$J$10:$P$14,7,FALSE))/1440),1,0)</f>
        <v>0</v>
      </c>
      <c r="F146" s="2">
        <f>IF(AND(VLOOKUP(F$1,test!$A$3:$F$32,5,FALSE) - VLOOKUP($B146,test!$A$3:$G$32,6,FALSE) &gt;= (test!$B$37+VLOOKUP(VLOOKUP($B146,test!$A$2:$I$32,4,FALSE),test!$J$10:$P$14,7,FALSE))/1440),1,0)</f>
        <v>0</v>
      </c>
      <c r="G146" s="2">
        <f>IF(AND(VLOOKUP(G$1,test!$A$3:$F$32,5,FALSE) - VLOOKUP($B146,test!$A$3:$G$32,6,FALSE) &gt;= (test!$B$37+VLOOKUP(VLOOKUP($B146,test!$A$2:$I$32,4,FALSE),test!$J$10:$P$14,7,FALSE))/1440),1,0)</f>
        <v>0</v>
      </c>
      <c r="H146" s="2">
        <f>IF(AND(VLOOKUP(H$1,test!$A$3:$F$32,5,FALSE) - VLOOKUP($B146,test!$A$3:$G$32,6,FALSE) &gt;= (test!$B$37+VLOOKUP(VLOOKUP($B146,test!$A$2:$I$32,4,FALSE),test!$J$10:$P$14,7,FALSE))/1440),1,0)</f>
        <v>0</v>
      </c>
      <c r="I146" s="2">
        <f>IF(AND(VLOOKUP(I$1,test!$A$3:$F$32,5,FALSE) - VLOOKUP($B146,test!$A$3:$G$32,6,FALSE) &gt;= (test!$B$37+VLOOKUP(VLOOKUP($B146,test!$A$2:$I$32,4,FALSE),test!$J$10:$P$14,7,FALSE))/1440),1,0)</f>
        <v>0</v>
      </c>
      <c r="J146" s="2">
        <f>IF(AND(VLOOKUP(J$1,test!$A$3:$F$32,5,FALSE) - VLOOKUP($B146,test!$A$3:$G$32,6,FALSE) &gt;= (test!$B$37+VLOOKUP(VLOOKUP($B146,test!$A$2:$I$32,4,FALSE),test!$J$10:$P$14,7,FALSE))/1440),1,0)</f>
        <v>0</v>
      </c>
      <c r="K146" s="2">
        <f>IF(AND(VLOOKUP(K$1,test!$A$3:$F$32,5,FALSE) - VLOOKUP($B146,test!$A$3:$G$32,6,FALSE) &gt;= (test!$B$37+VLOOKUP(VLOOKUP($B146,test!$A$2:$I$32,4,FALSE),test!$J$10:$P$14,7,FALSE))/1440),1,0)</f>
        <v>0</v>
      </c>
      <c r="L146" s="2">
        <f>IF(AND(VLOOKUP(L$1,test!$A$3:$F$32,5,FALSE) - VLOOKUP($B146,test!$A$3:$G$32,6,FALSE) &gt;= (test!$B$37+VLOOKUP(VLOOKUP($B146,test!$A$2:$I$32,4,FALSE),test!$J$10:$P$14,7,FALSE))/1440),1,0)</f>
        <v>0</v>
      </c>
      <c r="M146" s="2">
        <f>IF(AND(VLOOKUP(M$1,test!$A$3:$F$32,5,FALSE) - VLOOKUP($B146,test!$A$3:$G$32,6,FALSE) &gt;= (test!$B$37+VLOOKUP(VLOOKUP($B146,test!$A$2:$I$32,4,FALSE),test!$J$10:$P$14,7,FALSE))/1440),1,0)</f>
        <v>0</v>
      </c>
      <c r="N146" s="2">
        <f>IF(AND(VLOOKUP(N$1,test!$A$3:$F$32,5,FALSE) - VLOOKUP($B146,test!$A$3:$G$32,6,FALSE) &gt;= (test!$B$37+VLOOKUP(VLOOKUP($B146,test!$A$2:$I$32,4,FALSE),test!$J$10:$P$14,7,FALSE))/1440),1,0)</f>
        <v>0</v>
      </c>
      <c r="O146" s="2">
        <f>IF(AND(VLOOKUP(O$1,test!$A$3:$F$32,5,FALSE) - VLOOKUP($B146,test!$A$3:$G$32,6,FALSE) &gt;= (test!$B$37+VLOOKUP(VLOOKUP($B146,test!$A$2:$I$32,4,FALSE),test!$J$10:$P$14,7,FALSE))/1440),1,0)</f>
        <v>0</v>
      </c>
      <c r="P146" s="2">
        <f>IF(AND(VLOOKUP(P$1,test!$A$3:$F$32,5,FALSE) - VLOOKUP($B146,test!$A$3:$G$32,6,FALSE) &gt;= (test!$B$37+VLOOKUP(VLOOKUP($B146,test!$A$2:$I$32,4,FALSE),test!$J$10:$P$14,7,FALSE))/1440),1,0)</f>
        <v>0</v>
      </c>
      <c r="Q146" s="2">
        <f>IF(AND(VLOOKUP(Q$1,test!$A$3:$F$32,5,FALSE) - VLOOKUP($B146,test!$A$3:$G$32,6,FALSE) &gt;= (test!$B$37+VLOOKUP(VLOOKUP($B146,test!$A$2:$I$32,4,FALSE),test!$J$10:$P$14,7,FALSE))/1440),1,0)</f>
        <v>0</v>
      </c>
      <c r="R146" s="2">
        <f>IF(AND(VLOOKUP(R$1,test!$A$3:$F$32,5,FALSE) - VLOOKUP($B146,test!$A$3:$G$32,6,FALSE) &gt;= (test!$B$37+VLOOKUP(VLOOKUP($B146,test!$A$2:$I$32,4,FALSE),test!$J$10:$P$14,7,FALSE))/1440),1,0)</f>
        <v>0</v>
      </c>
      <c r="S146" s="2">
        <f>IF(AND(VLOOKUP(S$1,test!$A$3:$F$32,5,FALSE) - VLOOKUP($B146,test!$A$3:$G$32,6,FALSE) &gt;= (test!$B$37+VLOOKUP(VLOOKUP($B146,test!$A$2:$I$32,4,FALSE),test!$J$10:$P$14,7,FALSE))/1440),1,0)</f>
        <v>0</v>
      </c>
      <c r="T146" s="2">
        <f>IF(AND(VLOOKUP(T$1,test!$A$3:$F$32,5,FALSE) - VLOOKUP($B146,test!$A$3:$G$32,6,FALSE) &gt;= (test!$B$37+VLOOKUP(VLOOKUP($B146,test!$A$2:$I$32,4,FALSE),test!$J$10:$P$14,7,FALSE))/1440),1,0)</f>
        <v>0</v>
      </c>
      <c r="U146" s="2">
        <f>IF(AND(VLOOKUP(U$1,test!$A$3:$F$32,5,FALSE) - VLOOKUP($B146,test!$A$3:$G$32,6,FALSE) &gt;= (test!$B$37+VLOOKUP(VLOOKUP($B146,test!$A$2:$I$32,4,FALSE),test!$J$10:$P$14,7,FALSE))/1440),1,0)</f>
        <v>0</v>
      </c>
      <c r="V146" s="2">
        <f>IF(AND(VLOOKUP(V$1,test!$A$3:$F$32,5,FALSE) - VLOOKUP($B146,test!$A$3:$G$32,6,FALSE) &gt;= (test!$B$37+VLOOKUP(VLOOKUP($B146,test!$A$2:$I$32,4,FALSE),test!$J$10:$P$14,7,FALSE))/1440),1,0)</f>
        <v>0</v>
      </c>
      <c r="W146" s="2">
        <f>IF(AND(VLOOKUP(W$1,test!$A$3:$F$32,5,FALSE) - VLOOKUP($B146,test!$A$3:$G$32,6,FALSE) &gt;= (test!$B$37+VLOOKUP(VLOOKUP($B146,test!$A$2:$I$32,4,FALSE),test!$J$10:$P$14,7,FALSE))/1440),1,0)</f>
        <v>0</v>
      </c>
      <c r="X146" s="2">
        <f>IF(AND(VLOOKUP(X$1,test!$A$3:$F$32,5,FALSE) - VLOOKUP($B146,test!$A$3:$G$32,6,FALSE) &gt;= (test!$B$37+VLOOKUP(VLOOKUP($B146,test!$A$2:$I$32,4,FALSE),test!$J$10:$P$14,7,FALSE))/1440),1,0)</f>
        <v>0</v>
      </c>
      <c r="Y146" s="2">
        <f>IF(AND(VLOOKUP(Y$1,test!$A$3:$F$32,5,FALSE) - VLOOKUP($B146,test!$A$3:$G$32,6,FALSE) &gt;= (test!$B$37+VLOOKUP(VLOOKUP($B146,test!$A$2:$I$32,4,FALSE),test!$J$10:$P$14,7,FALSE))/1440),1,0)</f>
        <v>0</v>
      </c>
      <c r="Z146" s="2">
        <f>IF(AND(VLOOKUP(Z$1,test!$A$3:$F$32,5,FALSE) - VLOOKUP($B146,test!$A$3:$G$32,6,FALSE) &gt;= (test!$B$37+VLOOKUP(VLOOKUP($B146,test!$A$2:$I$32,4,FALSE),test!$J$10:$P$14,7,FALSE))/1440),1,0)</f>
        <v>0</v>
      </c>
      <c r="AA146" s="2">
        <f>IF(AND(VLOOKUP(AA$1,test!$A$3:$F$32,5,FALSE) - VLOOKUP($B146,test!$A$3:$G$32,6,FALSE) &gt;= (test!$B$37+VLOOKUP(VLOOKUP($B146,test!$A$2:$I$32,4,FALSE),test!$J$10:$P$14,7,FALSE))/1440),1,0)</f>
        <v>0</v>
      </c>
      <c r="AB146" s="2">
        <f>IF(AND(VLOOKUP(AB$1,test!$A$3:$F$32,5,FALSE) - VLOOKUP($B146,test!$A$3:$G$32,6,FALSE) &gt;= (test!$B$37+VLOOKUP(VLOOKUP($B146,test!$A$2:$I$32,4,FALSE),test!$J$10:$P$14,7,FALSE))/1440),1,0)</f>
        <v>0</v>
      </c>
      <c r="AC146" s="2">
        <f>IF(AND(VLOOKUP(AC$1,test!$A$3:$F$32,5,FALSE) - VLOOKUP($B146,test!$A$3:$G$32,6,FALSE) &gt;= (test!$B$37+VLOOKUP(VLOOKUP($B146,test!$A$2:$I$32,4,FALSE),test!$J$10:$P$14,7,FALSE))/1440),1,0)</f>
        <v>0</v>
      </c>
      <c r="AD146" s="2">
        <f>IF(AND(VLOOKUP(AD$1,test!$A$3:$F$32,5,FALSE) - VLOOKUP($B146,test!$A$3:$G$32,6,FALSE) &gt;= (test!$B$37+VLOOKUP(VLOOKUP($B146,test!$A$2:$I$32,4,FALSE),test!$J$10:$P$14,7,FALSE))/1440),1,0)</f>
        <v>0</v>
      </c>
      <c r="AE146" s="2">
        <f>IF(AND(VLOOKUP(AE$1,test!$A$3:$F$32,5,FALSE) - VLOOKUP($B146,test!$A$3:$G$32,6,FALSE) &gt;= (test!$B$37+VLOOKUP(VLOOKUP($B146,test!$A$2:$I$32,4,FALSE),test!$J$10:$P$14,7,FALSE))/1440),1,0)</f>
        <v>0</v>
      </c>
      <c r="AF146" s="2">
        <f>IF(AND(VLOOKUP(AF$1,test!$A$3:$F$32,5,FALSE) - VLOOKUP($B146,test!$A$3:$G$32,6,FALSE) &gt;= (test!$B$37+VLOOKUP(VLOOKUP($B146,test!$A$2:$I$32,4,FALSE),test!$J$10:$P$14,7,FALSE))/1440),1,0)</f>
        <v>0</v>
      </c>
      <c r="AG146" s="2">
        <f>IF(AND(VLOOKUP(AG$1,test!$A$3:$F$32,5,FALSE) - VLOOKUP($B146,test!$A$3:$G$32,6,FALSE) &gt;= (test!$B$37+VLOOKUP(VLOOKUP($B146,test!$A$2:$I$32,4,FALSE),test!$J$10:$P$14,7,FALSE))/1440),1,0)</f>
        <v>0</v>
      </c>
    </row>
    <row r="147" spans="1:33" x14ac:dyDescent="0.25">
      <c r="A147" t="s">
        <v>99</v>
      </c>
      <c r="B147" t="s">
        <v>32</v>
      </c>
      <c r="C147">
        <v>0</v>
      </c>
      <c r="D147" s="2">
        <f>IF(AND(VLOOKUP(D$1,test!$A$3:$F$32,5,FALSE) - VLOOKUP($B147,test!$A$3:$G$32,6,FALSE) &gt;= (test!$B$37+VLOOKUP(VLOOKUP($B147,test!$A$2:$I$32,4,FALSE),test!$J$10:$P$14,7,FALSE))/1440),1,0)</f>
        <v>0</v>
      </c>
      <c r="E147" s="2">
        <f>IF(AND(VLOOKUP(E$1,test!$A$3:$F$32,5,FALSE) - VLOOKUP($B147,test!$A$3:$G$32,6,FALSE) &gt;= (test!$B$37+VLOOKUP(VLOOKUP($B147,test!$A$2:$I$32,4,FALSE),test!$J$10:$P$14,7,FALSE))/1440),1,0)</f>
        <v>0</v>
      </c>
      <c r="F147" s="2">
        <f>IF(AND(VLOOKUP(F$1,test!$A$3:$F$32,5,FALSE) - VLOOKUP($B147,test!$A$3:$G$32,6,FALSE) &gt;= (test!$B$37+VLOOKUP(VLOOKUP($B147,test!$A$2:$I$32,4,FALSE),test!$J$10:$P$14,7,FALSE))/1440),1,0)</f>
        <v>0</v>
      </c>
      <c r="G147" s="2">
        <f>IF(AND(VLOOKUP(G$1,test!$A$3:$F$32,5,FALSE) - VLOOKUP($B147,test!$A$3:$G$32,6,FALSE) &gt;= (test!$B$37+VLOOKUP(VLOOKUP($B147,test!$A$2:$I$32,4,FALSE),test!$J$10:$P$14,7,FALSE))/1440),1,0)</f>
        <v>0</v>
      </c>
      <c r="H147" s="2">
        <f>IF(AND(VLOOKUP(H$1,test!$A$3:$F$32,5,FALSE) - VLOOKUP($B147,test!$A$3:$G$32,6,FALSE) &gt;= (test!$B$37+VLOOKUP(VLOOKUP($B147,test!$A$2:$I$32,4,FALSE),test!$J$10:$P$14,7,FALSE))/1440),1,0)</f>
        <v>0</v>
      </c>
      <c r="I147" s="2">
        <f>IF(AND(VLOOKUP(I$1,test!$A$3:$F$32,5,FALSE) - VLOOKUP($B147,test!$A$3:$G$32,6,FALSE) &gt;= (test!$B$37+VLOOKUP(VLOOKUP($B147,test!$A$2:$I$32,4,FALSE),test!$J$10:$P$14,7,FALSE))/1440),1,0)</f>
        <v>0</v>
      </c>
      <c r="J147" s="2">
        <f>IF(AND(VLOOKUP(J$1,test!$A$3:$F$32,5,FALSE) - VLOOKUP($B147,test!$A$3:$G$32,6,FALSE) &gt;= (test!$B$37+VLOOKUP(VLOOKUP($B147,test!$A$2:$I$32,4,FALSE),test!$J$10:$P$14,7,FALSE))/1440),1,0)</f>
        <v>0</v>
      </c>
      <c r="K147" s="2">
        <f>IF(AND(VLOOKUP(K$1,test!$A$3:$F$32,5,FALSE) - VLOOKUP($B147,test!$A$3:$G$32,6,FALSE) &gt;= (test!$B$37+VLOOKUP(VLOOKUP($B147,test!$A$2:$I$32,4,FALSE),test!$J$10:$P$14,7,FALSE))/1440),1,0)</f>
        <v>0</v>
      </c>
      <c r="L147" s="2">
        <f>IF(AND(VLOOKUP(L$1,test!$A$3:$F$32,5,FALSE) - VLOOKUP($B147,test!$A$3:$G$32,6,FALSE) &gt;= (test!$B$37+VLOOKUP(VLOOKUP($B147,test!$A$2:$I$32,4,FALSE),test!$J$10:$P$14,7,FALSE))/1440),1,0)</f>
        <v>0</v>
      </c>
      <c r="M147" s="2">
        <f>IF(AND(VLOOKUP(M$1,test!$A$3:$F$32,5,FALSE) - VLOOKUP($B147,test!$A$3:$G$32,6,FALSE) &gt;= (test!$B$37+VLOOKUP(VLOOKUP($B147,test!$A$2:$I$32,4,FALSE),test!$J$10:$P$14,7,FALSE))/1440),1,0)</f>
        <v>0</v>
      </c>
      <c r="N147" s="2">
        <f>IF(AND(VLOOKUP(N$1,test!$A$3:$F$32,5,FALSE) - VLOOKUP($B147,test!$A$3:$G$32,6,FALSE) &gt;= (test!$B$37+VLOOKUP(VLOOKUP($B147,test!$A$2:$I$32,4,FALSE),test!$J$10:$P$14,7,FALSE))/1440),1,0)</f>
        <v>0</v>
      </c>
      <c r="O147" s="2">
        <f>IF(AND(VLOOKUP(O$1,test!$A$3:$F$32,5,FALSE) - VLOOKUP($B147,test!$A$3:$G$32,6,FALSE) &gt;= (test!$B$37+VLOOKUP(VLOOKUP($B147,test!$A$2:$I$32,4,FALSE),test!$J$10:$P$14,7,FALSE))/1440),1,0)</f>
        <v>0</v>
      </c>
      <c r="P147" s="2">
        <f>IF(AND(VLOOKUP(P$1,test!$A$3:$F$32,5,FALSE) - VLOOKUP($B147,test!$A$3:$G$32,6,FALSE) &gt;= (test!$B$37+VLOOKUP(VLOOKUP($B147,test!$A$2:$I$32,4,FALSE),test!$J$10:$P$14,7,FALSE))/1440),1,0)</f>
        <v>0</v>
      </c>
      <c r="Q147" s="2">
        <f>IF(AND(VLOOKUP(Q$1,test!$A$3:$F$32,5,FALSE) - VLOOKUP($B147,test!$A$3:$G$32,6,FALSE) &gt;= (test!$B$37+VLOOKUP(VLOOKUP($B147,test!$A$2:$I$32,4,FALSE),test!$J$10:$P$14,7,FALSE))/1440),1,0)</f>
        <v>0</v>
      </c>
      <c r="R147" s="2">
        <f>IF(AND(VLOOKUP(R$1,test!$A$3:$F$32,5,FALSE) - VLOOKUP($B147,test!$A$3:$G$32,6,FALSE) &gt;= (test!$B$37+VLOOKUP(VLOOKUP($B147,test!$A$2:$I$32,4,FALSE),test!$J$10:$P$14,7,FALSE))/1440),1,0)</f>
        <v>0</v>
      </c>
      <c r="S147" s="2">
        <f>IF(AND(VLOOKUP(S$1,test!$A$3:$F$32,5,FALSE) - VLOOKUP($B147,test!$A$3:$G$32,6,FALSE) &gt;= (test!$B$37+VLOOKUP(VLOOKUP($B147,test!$A$2:$I$32,4,FALSE),test!$J$10:$P$14,7,FALSE))/1440),1,0)</f>
        <v>0</v>
      </c>
      <c r="T147" s="2">
        <f>IF(AND(VLOOKUP(T$1,test!$A$3:$F$32,5,FALSE) - VLOOKUP($B147,test!$A$3:$G$32,6,FALSE) &gt;= (test!$B$37+VLOOKUP(VLOOKUP($B147,test!$A$2:$I$32,4,FALSE),test!$J$10:$P$14,7,FALSE))/1440),1,0)</f>
        <v>0</v>
      </c>
      <c r="U147" s="2">
        <f>IF(AND(VLOOKUP(U$1,test!$A$3:$F$32,5,FALSE) - VLOOKUP($B147,test!$A$3:$G$32,6,FALSE) &gt;= (test!$B$37+VLOOKUP(VLOOKUP($B147,test!$A$2:$I$32,4,FALSE),test!$J$10:$P$14,7,FALSE))/1440),1,0)</f>
        <v>0</v>
      </c>
      <c r="V147" s="2">
        <f>IF(AND(VLOOKUP(V$1,test!$A$3:$F$32,5,FALSE) - VLOOKUP($B147,test!$A$3:$G$32,6,FALSE) &gt;= (test!$B$37+VLOOKUP(VLOOKUP($B147,test!$A$2:$I$32,4,FALSE),test!$J$10:$P$14,7,FALSE))/1440),1,0)</f>
        <v>0</v>
      </c>
      <c r="W147" s="2">
        <f>IF(AND(VLOOKUP(W$1,test!$A$3:$F$32,5,FALSE) - VLOOKUP($B147,test!$A$3:$G$32,6,FALSE) &gt;= (test!$B$37+VLOOKUP(VLOOKUP($B147,test!$A$2:$I$32,4,FALSE),test!$J$10:$P$14,7,FALSE))/1440),1,0)</f>
        <v>0</v>
      </c>
      <c r="X147" s="2">
        <f>IF(AND(VLOOKUP(X$1,test!$A$3:$F$32,5,FALSE) - VLOOKUP($B147,test!$A$3:$G$32,6,FALSE) &gt;= (test!$B$37+VLOOKUP(VLOOKUP($B147,test!$A$2:$I$32,4,FALSE),test!$J$10:$P$14,7,FALSE))/1440),1,0)</f>
        <v>0</v>
      </c>
      <c r="Y147" s="2">
        <f>IF(AND(VLOOKUP(Y$1,test!$A$3:$F$32,5,FALSE) - VLOOKUP($B147,test!$A$3:$G$32,6,FALSE) &gt;= (test!$B$37+VLOOKUP(VLOOKUP($B147,test!$A$2:$I$32,4,FALSE),test!$J$10:$P$14,7,FALSE))/1440),1,0)</f>
        <v>0</v>
      </c>
      <c r="Z147" s="2">
        <f>IF(AND(VLOOKUP(Z$1,test!$A$3:$F$32,5,FALSE) - VLOOKUP($B147,test!$A$3:$G$32,6,FALSE) &gt;= (test!$B$37+VLOOKUP(VLOOKUP($B147,test!$A$2:$I$32,4,FALSE),test!$J$10:$P$14,7,FALSE))/1440),1,0)</f>
        <v>0</v>
      </c>
      <c r="AA147" s="2">
        <f>IF(AND(VLOOKUP(AA$1,test!$A$3:$F$32,5,FALSE) - VLOOKUP($B147,test!$A$3:$G$32,6,FALSE) &gt;= (test!$B$37+VLOOKUP(VLOOKUP($B147,test!$A$2:$I$32,4,FALSE),test!$J$10:$P$14,7,FALSE))/1440),1,0)</f>
        <v>0</v>
      </c>
      <c r="AB147" s="2">
        <f>IF(AND(VLOOKUP(AB$1,test!$A$3:$F$32,5,FALSE) - VLOOKUP($B147,test!$A$3:$G$32,6,FALSE) &gt;= (test!$B$37+VLOOKUP(VLOOKUP($B147,test!$A$2:$I$32,4,FALSE),test!$J$10:$P$14,7,FALSE))/1440),1,0)</f>
        <v>0</v>
      </c>
      <c r="AC147" s="2">
        <f>IF(AND(VLOOKUP(AC$1,test!$A$3:$F$32,5,FALSE) - VLOOKUP($B147,test!$A$3:$G$32,6,FALSE) &gt;= (test!$B$37+VLOOKUP(VLOOKUP($B147,test!$A$2:$I$32,4,FALSE),test!$J$10:$P$14,7,FALSE))/1440),1,0)</f>
        <v>0</v>
      </c>
      <c r="AD147" s="2">
        <f>IF(AND(VLOOKUP(AD$1,test!$A$3:$F$32,5,FALSE) - VLOOKUP($B147,test!$A$3:$G$32,6,FALSE) &gt;= (test!$B$37+VLOOKUP(VLOOKUP($B147,test!$A$2:$I$32,4,FALSE),test!$J$10:$P$14,7,FALSE))/1440),1,0)</f>
        <v>0</v>
      </c>
      <c r="AE147" s="2">
        <f>IF(AND(VLOOKUP(AE$1,test!$A$3:$F$32,5,FALSE) - VLOOKUP($B147,test!$A$3:$G$32,6,FALSE) &gt;= (test!$B$37+VLOOKUP(VLOOKUP($B147,test!$A$2:$I$32,4,FALSE),test!$J$10:$P$14,7,FALSE))/1440),1,0)</f>
        <v>0</v>
      </c>
      <c r="AF147" s="2">
        <f>IF(AND(VLOOKUP(AF$1,test!$A$3:$F$32,5,FALSE) - VLOOKUP($B147,test!$A$3:$G$32,6,FALSE) &gt;= (test!$B$37+VLOOKUP(VLOOKUP($B147,test!$A$2:$I$32,4,FALSE),test!$J$10:$P$14,7,FALSE))/1440),1,0)</f>
        <v>0</v>
      </c>
      <c r="AG147" s="2">
        <f>IF(AND(VLOOKUP(AG$1,test!$A$3:$F$32,5,FALSE) - VLOOKUP($B147,test!$A$3:$G$32,6,FALSE) &gt;= (test!$B$37+VLOOKUP(VLOOKUP($B147,test!$A$2:$I$32,4,FALSE),test!$J$10:$P$14,7,FALSE))/1440),1,0)</f>
        <v>0</v>
      </c>
    </row>
    <row r="148" spans="1:33" x14ac:dyDescent="0.25">
      <c r="A148" t="s">
        <v>99</v>
      </c>
      <c r="B148" t="s">
        <v>33</v>
      </c>
      <c r="C148">
        <v>0</v>
      </c>
      <c r="D148" s="2">
        <f>IF(AND(VLOOKUP(D$1,test!$A$3:$F$32,5,FALSE) - VLOOKUP($B148,test!$A$3:$G$32,6,FALSE) &gt;= (test!$B$37+VLOOKUP(VLOOKUP($B148,test!$A$2:$I$32,4,FALSE),test!$J$10:$P$14,7,FALSE))/1440),1,0)</f>
        <v>0</v>
      </c>
      <c r="E148" s="2">
        <f>IF(AND(VLOOKUP(E$1,test!$A$3:$F$32,5,FALSE) - VLOOKUP($B148,test!$A$3:$G$32,6,FALSE) &gt;= (test!$B$37+VLOOKUP(VLOOKUP($B148,test!$A$2:$I$32,4,FALSE),test!$J$10:$P$14,7,FALSE))/1440),1,0)</f>
        <v>0</v>
      </c>
      <c r="F148" s="2">
        <f>IF(AND(VLOOKUP(F$1,test!$A$3:$F$32,5,FALSE) - VLOOKUP($B148,test!$A$3:$G$32,6,FALSE) &gt;= (test!$B$37+VLOOKUP(VLOOKUP($B148,test!$A$2:$I$32,4,FALSE),test!$J$10:$P$14,7,FALSE))/1440),1,0)</f>
        <v>0</v>
      </c>
      <c r="G148" s="2">
        <f>IF(AND(VLOOKUP(G$1,test!$A$3:$F$32,5,FALSE) - VLOOKUP($B148,test!$A$3:$G$32,6,FALSE) &gt;= (test!$B$37+VLOOKUP(VLOOKUP($B148,test!$A$2:$I$32,4,FALSE),test!$J$10:$P$14,7,FALSE))/1440),1,0)</f>
        <v>0</v>
      </c>
      <c r="H148" s="2">
        <f>IF(AND(VLOOKUP(H$1,test!$A$3:$F$32,5,FALSE) - VLOOKUP($B148,test!$A$3:$G$32,6,FALSE) &gt;= (test!$B$37+VLOOKUP(VLOOKUP($B148,test!$A$2:$I$32,4,FALSE),test!$J$10:$P$14,7,FALSE))/1440),1,0)</f>
        <v>0</v>
      </c>
      <c r="I148" s="2">
        <f>IF(AND(VLOOKUP(I$1,test!$A$3:$F$32,5,FALSE) - VLOOKUP($B148,test!$A$3:$G$32,6,FALSE) &gt;= (test!$B$37+VLOOKUP(VLOOKUP($B148,test!$A$2:$I$32,4,FALSE),test!$J$10:$P$14,7,FALSE))/1440),1,0)</f>
        <v>0</v>
      </c>
      <c r="J148" s="2">
        <f>IF(AND(VLOOKUP(J$1,test!$A$3:$F$32,5,FALSE) - VLOOKUP($B148,test!$A$3:$G$32,6,FALSE) &gt;= (test!$B$37+VLOOKUP(VLOOKUP($B148,test!$A$2:$I$32,4,FALSE),test!$J$10:$P$14,7,FALSE))/1440),1,0)</f>
        <v>0</v>
      </c>
      <c r="K148" s="2">
        <f>IF(AND(VLOOKUP(K$1,test!$A$3:$F$32,5,FALSE) - VLOOKUP($B148,test!$A$3:$G$32,6,FALSE) &gt;= (test!$B$37+VLOOKUP(VLOOKUP($B148,test!$A$2:$I$32,4,FALSE),test!$J$10:$P$14,7,FALSE))/1440),1,0)</f>
        <v>0</v>
      </c>
      <c r="L148" s="2">
        <f>IF(AND(VLOOKUP(L$1,test!$A$3:$F$32,5,FALSE) - VLOOKUP($B148,test!$A$3:$G$32,6,FALSE) &gt;= (test!$B$37+VLOOKUP(VLOOKUP($B148,test!$A$2:$I$32,4,FALSE),test!$J$10:$P$14,7,FALSE))/1440),1,0)</f>
        <v>0</v>
      </c>
      <c r="M148" s="2">
        <f>IF(AND(VLOOKUP(M$1,test!$A$3:$F$32,5,FALSE) - VLOOKUP($B148,test!$A$3:$G$32,6,FALSE) &gt;= (test!$B$37+VLOOKUP(VLOOKUP($B148,test!$A$2:$I$32,4,FALSE),test!$J$10:$P$14,7,FALSE))/1440),1,0)</f>
        <v>0</v>
      </c>
      <c r="N148" s="2">
        <f>IF(AND(VLOOKUP(N$1,test!$A$3:$F$32,5,FALSE) - VLOOKUP($B148,test!$A$3:$G$32,6,FALSE) &gt;= (test!$B$37+VLOOKUP(VLOOKUP($B148,test!$A$2:$I$32,4,FALSE),test!$J$10:$P$14,7,FALSE))/1440),1,0)</f>
        <v>0</v>
      </c>
      <c r="O148" s="2">
        <f>IF(AND(VLOOKUP(O$1,test!$A$3:$F$32,5,FALSE) - VLOOKUP($B148,test!$A$3:$G$32,6,FALSE) &gt;= (test!$B$37+VLOOKUP(VLOOKUP($B148,test!$A$2:$I$32,4,FALSE),test!$J$10:$P$14,7,FALSE))/1440),1,0)</f>
        <v>0</v>
      </c>
      <c r="P148" s="2">
        <f>IF(AND(VLOOKUP(P$1,test!$A$3:$F$32,5,FALSE) - VLOOKUP($B148,test!$A$3:$G$32,6,FALSE) &gt;= (test!$B$37+VLOOKUP(VLOOKUP($B148,test!$A$2:$I$32,4,FALSE),test!$J$10:$P$14,7,FALSE))/1440),1,0)</f>
        <v>0</v>
      </c>
      <c r="Q148" s="2">
        <f>IF(AND(VLOOKUP(Q$1,test!$A$3:$F$32,5,FALSE) - VLOOKUP($B148,test!$A$3:$G$32,6,FALSE) &gt;= (test!$B$37+VLOOKUP(VLOOKUP($B148,test!$A$2:$I$32,4,FALSE),test!$J$10:$P$14,7,FALSE))/1440),1,0)</f>
        <v>0</v>
      </c>
      <c r="R148" s="2">
        <f>IF(AND(VLOOKUP(R$1,test!$A$3:$F$32,5,FALSE) - VLOOKUP($B148,test!$A$3:$G$32,6,FALSE) &gt;= (test!$B$37+VLOOKUP(VLOOKUP($B148,test!$A$2:$I$32,4,FALSE),test!$J$10:$P$14,7,FALSE))/1440),1,0)</f>
        <v>0</v>
      </c>
      <c r="S148" s="2">
        <f>IF(AND(VLOOKUP(S$1,test!$A$3:$F$32,5,FALSE) - VLOOKUP($B148,test!$A$3:$G$32,6,FALSE) &gt;= (test!$B$37+VLOOKUP(VLOOKUP($B148,test!$A$2:$I$32,4,FALSE),test!$J$10:$P$14,7,FALSE))/1440),1,0)</f>
        <v>0</v>
      </c>
      <c r="T148" s="2">
        <f>IF(AND(VLOOKUP(T$1,test!$A$3:$F$32,5,FALSE) - VLOOKUP($B148,test!$A$3:$G$32,6,FALSE) &gt;= (test!$B$37+VLOOKUP(VLOOKUP($B148,test!$A$2:$I$32,4,FALSE),test!$J$10:$P$14,7,FALSE))/1440),1,0)</f>
        <v>0</v>
      </c>
      <c r="U148" s="2">
        <f>IF(AND(VLOOKUP(U$1,test!$A$3:$F$32,5,FALSE) - VLOOKUP($B148,test!$A$3:$G$32,6,FALSE) &gt;= (test!$B$37+VLOOKUP(VLOOKUP($B148,test!$A$2:$I$32,4,FALSE),test!$J$10:$P$14,7,FALSE))/1440),1,0)</f>
        <v>0</v>
      </c>
      <c r="V148" s="2">
        <f>IF(AND(VLOOKUP(V$1,test!$A$3:$F$32,5,FALSE) - VLOOKUP($B148,test!$A$3:$G$32,6,FALSE) &gt;= (test!$B$37+VLOOKUP(VLOOKUP($B148,test!$A$2:$I$32,4,FALSE),test!$J$10:$P$14,7,FALSE))/1440),1,0)</f>
        <v>0</v>
      </c>
      <c r="W148" s="2">
        <f>IF(AND(VLOOKUP(W$1,test!$A$3:$F$32,5,FALSE) - VLOOKUP($B148,test!$A$3:$G$32,6,FALSE) &gt;= (test!$B$37+VLOOKUP(VLOOKUP($B148,test!$A$2:$I$32,4,FALSE),test!$J$10:$P$14,7,FALSE))/1440),1,0)</f>
        <v>0</v>
      </c>
      <c r="X148" s="2">
        <f>IF(AND(VLOOKUP(X$1,test!$A$3:$F$32,5,FALSE) - VLOOKUP($B148,test!$A$3:$G$32,6,FALSE) &gt;= (test!$B$37+VLOOKUP(VLOOKUP($B148,test!$A$2:$I$32,4,FALSE),test!$J$10:$P$14,7,FALSE))/1440),1,0)</f>
        <v>0</v>
      </c>
      <c r="Y148" s="2">
        <f>IF(AND(VLOOKUP(Y$1,test!$A$3:$F$32,5,FALSE) - VLOOKUP($B148,test!$A$3:$G$32,6,FALSE) &gt;= (test!$B$37+VLOOKUP(VLOOKUP($B148,test!$A$2:$I$32,4,FALSE),test!$J$10:$P$14,7,FALSE))/1440),1,0)</f>
        <v>0</v>
      </c>
      <c r="Z148" s="2">
        <f>IF(AND(VLOOKUP(Z$1,test!$A$3:$F$32,5,FALSE) - VLOOKUP($B148,test!$A$3:$G$32,6,FALSE) &gt;= (test!$B$37+VLOOKUP(VLOOKUP($B148,test!$A$2:$I$32,4,FALSE),test!$J$10:$P$14,7,FALSE))/1440),1,0)</f>
        <v>0</v>
      </c>
      <c r="AA148" s="2">
        <f>IF(AND(VLOOKUP(AA$1,test!$A$3:$F$32,5,FALSE) - VLOOKUP($B148,test!$A$3:$G$32,6,FALSE) &gt;= (test!$B$37+VLOOKUP(VLOOKUP($B148,test!$A$2:$I$32,4,FALSE),test!$J$10:$P$14,7,FALSE))/1440),1,0)</f>
        <v>0</v>
      </c>
      <c r="AB148" s="2">
        <f>IF(AND(VLOOKUP(AB$1,test!$A$3:$F$32,5,FALSE) - VLOOKUP($B148,test!$A$3:$G$32,6,FALSE) &gt;= (test!$B$37+VLOOKUP(VLOOKUP($B148,test!$A$2:$I$32,4,FALSE),test!$J$10:$P$14,7,FALSE))/1440),1,0)</f>
        <v>0</v>
      </c>
      <c r="AC148" s="2">
        <f>IF(AND(VLOOKUP(AC$1,test!$A$3:$F$32,5,FALSE) - VLOOKUP($B148,test!$A$3:$G$32,6,FALSE) &gt;= (test!$B$37+VLOOKUP(VLOOKUP($B148,test!$A$2:$I$32,4,FALSE),test!$J$10:$P$14,7,FALSE))/1440),1,0)</f>
        <v>0</v>
      </c>
      <c r="AD148" s="2">
        <f>IF(AND(VLOOKUP(AD$1,test!$A$3:$F$32,5,FALSE) - VLOOKUP($B148,test!$A$3:$G$32,6,FALSE) &gt;= (test!$B$37+VLOOKUP(VLOOKUP($B148,test!$A$2:$I$32,4,FALSE),test!$J$10:$P$14,7,FALSE))/1440),1,0)</f>
        <v>0</v>
      </c>
      <c r="AE148" s="2">
        <f>IF(AND(VLOOKUP(AE$1,test!$A$3:$F$32,5,FALSE) - VLOOKUP($B148,test!$A$3:$G$32,6,FALSE) &gt;= (test!$B$37+VLOOKUP(VLOOKUP($B148,test!$A$2:$I$32,4,FALSE),test!$J$10:$P$14,7,FALSE))/1440),1,0)</f>
        <v>0</v>
      </c>
      <c r="AF148" s="2">
        <f>IF(AND(VLOOKUP(AF$1,test!$A$3:$F$32,5,FALSE) - VLOOKUP($B148,test!$A$3:$G$32,6,FALSE) &gt;= (test!$B$37+VLOOKUP(VLOOKUP($B148,test!$A$2:$I$32,4,FALSE),test!$J$10:$P$14,7,FALSE))/1440),1,0)</f>
        <v>0</v>
      </c>
      <c r="AG148" s="2">
        <f>IF(AND(VLOOKUP(AG$1,test!$A$3:$F$32,5,FALSE) - VLOOKUP($B148,test!$A$3:$G$32,6,FALSE) &gt;= (test!$B$37+VLOOKUP(VLOOKUP($B148,test!$A$2:$I$32,4,FALSE),test!$J$10:$P$14,7,FALSE))/1440),1,0)</f>
        <v>0</v>
      </c>
    </row>
    <row r="149" spans="1:33" x14ac:dyDescent="0.25">
      <c r="A149" t="s">
        <v>99</v>
      </c>
      <c r="B149" t="s">
        <v>34</v>
      </c>
      <c r="C149">
        <v>0</v>
      </c>
      <c r="D149" s="2">
        <f>IF(AND(VLOOKUP(D$1,test!$A$3:$F$32,5,FALSE) - VLOOKUP($B149,test!$A$3:$G$32,6,FALSE) &gt;= (test!$B$37+VLOOKUP(VLOOKUP($B149,test!$A$2:$I$32,4,FALSE),test!$J$10:$P$14,7,FALSE))/1440),1,0)</f>
        <v>0</v>
      </c>
      <c r="E149" s="2">
        <f>IF(AND(VLOOKUP(E$1,test!$A$3:$F$32,5,FALSE) - VLOOKUP($B149,test!$A$3:$G$32,6,FALSE) &gt;= (test!$B$37+VLOOKUP(VLOOKUP($B149,test!$A$2:$I$32,4,FALSE),test!$J$10:$P$14,7,FALSE))/1440),1,0)</f>
        <v>0</v>
      </c>
      <c r="F149" s="2">
        <f>IF(AND(VLOOKUP(F$1,test!$A$3:$F$32,5,FALSE) - VLOOKUP($B149,test!$A$3:$G$32,6,FALSE) &gt;= (test!$B$37+VLOOKUP(VLOOKUP($B149,test!$A$2:$I$32,4,FALSE),test!$J$10:$P$14,7,FALSE))/1440),1,0)</f>
        <v>0</v>
      </c>
      <c r="G149" s="2">
        <f>IF(AND(VLOOKUP(G$1,test!$A$3:$F$32,5,FALSE) - VLOOKUP($B149,test!$A$3:$G$32,6,FALSE) &gt;= (test!$B$37+VLOOKUP(VLOOKUP($B149,test!$A$2:$I$32,4,FALSE),test!$J$10:$P$14,7,FALSE))/1440),1,0)</f>
        <v>0</v>
      </c>
      <c r="H149" s="2">
        <f>IF(AND(VLOOKUP(H$1,test!$A$3:$F$32,5,FALSE) - VLOOKUP($B149,test!$A$3:$G$32,6,FALSE) &gt;= (test!$B$37+VLOOKUP(VLOOKUP($B149,test!$A$2:$I$32,4,FALSE),test!$J$10:$P$14,7,FALSE))/1440),1,0)</f>
        <v>1</v>
      </c>
      <c r="I149" s="2">
        <f>IF(AND(VLOOKUP(I$1,test!$A$3:$F$32,5,FALSE) - VLOOKUP($B149,test!$A$3:$G$32,6,FALSE) &gt;= (test!$B$37+VLOOKUP(VLOOKUP($B149,test!$A$2:$I$32,4,FALSE),test!$J$10:$P$14,7,FALSE))/1440),1,0)</f>
        <v>1</v>
      </c>
      <c r="J149" s="2">
        <f>IF(AND(VLOOKUP(J$1,test!$A$3:$F$32,5,FALSE) - VLOOKUP($B149,test!$A$3:$G$32,6,FALSE) &gt;= (test!$B$37+VLOOKUP(VLOOKUP($B149,test!$A$2:$I$32,4,FALSE),test!$J$10:$P$14,7,FALSE))/1440),1,0)</f>
        <v>1</v>
      </c>
      <c r="K149" s="2">
        <f>IF(AND(VLOOKUP(K$1,test!$A$3:$F$32,5,FALSE) - VLOOKUP($B149,test!$A$3:$G$32,6,FALSE) &gt;= (test!$B$37+VLOOKUP(VLOOKUP($B149,test!$A$2:$I$32,4,FALSE),test!$J$10:$P$14,7,FALSE))/1440),1,0)</f>
        <v>1</v>
      </c>
      <c r="L149" s="2">
        <f>IF(AND(VLOOKUP(L$1,test!$A$3:$F$32,5,FALSE) - VLOOKUP($B149,test!$A$3:$G$32,6,FALSE) &gt;= (test!$B$37+VLOOKUP(VLOOKUP($B149,test!$A$2:$I$32,4,FALSE),test!$J$10:$P$14,7,FALSE))/1440),1,0)</f>
        <v>0</v>
      </c>
      <c r="M149" s="2">
        <f>IF(AND(VLOOKUP(M$1,test!$A$3:$F$32,5,FALSE) - VLOOKUP($B149,test!$A$3:$G$32,6,FALSE) &gt;= (test!$B$37+VLOOKUP(VLOOKUP($B149,test!$A$2:$I$32,4,FALSE),test!$J$10:$P$14,7,FALSE))/1440),1,0)</f>
        <v>0</v>
      </c>
      <c r="N149" s="2">
        <f>IF(AND(VLOOKUP(N$1,test!$A$3:$F$32,5,FALSE) - VLOOKUP($B149,test!$A$3:$G$32,6,FALSE) &gt;= (test!$B$37+VLOOKUP(VLOOKUP($B149,test!$A$2:$I$32,4,FALSE),test!$J$10:$P$14,7,FALSE))/1440),1,0)</f>
        <v>0</v>
      </c>
      <c r="O149" s="2">
        <f>IF(AND(VLOOKUP(O$1,test!$A$3:$F$32,5,FALSE) - VLOOKUP($B149,test!$A$3:$G$32,6,FALSE) &gt;= (test!$B$37+VLOOKUP(VLOOKUP($B149,test!$A$2:$I$32,4,FALSE),test!$J$10:$P$14,7,FALSE))/1440),1,0)</f>
        <v>1</v>
      </c>
      <c r="P149" s="2">
        <f>IF(AND(VLOOKUP(P$1,test!$A$3:$F$32,5,FALSE) - VLOOKUP($B149,test!$A$3:$G$32,6,FALSE) &gt;= (test!$B$37+VLOOKUP(VLOOKUP($B149,test!$A$2:$I$32,4,FALSE),test!$J$10:$P$14,7,FALSE))/1440),1,0)</f>
        <v>1</v>
      </c>
      <c r="Q149" s="2">
        <f>IF(AND(VLOOKUP(Q$1,test!$A$3:$F$32,5,FALSE) - VLOOKUP($B149,test!$A$3:$G$32,6,FALSE) &gt;= (test!$B$37+VLOOKUP(VLOOKUP($B149,test!$A$2:$I$32,4,FALSE),test!$J$10:$P$14,7,FALSE))/1440),1,0)</f>
        <v>0</v>
      </c>
      <c r="R149" s="2">
        <f>IF(AND(VLOOKUP(R$1,test!$A$3:$F$32,5,FALSE) - VLOOKUP($B149,test!$A$3:$G$32,6,FALSE) &gt;= (test!$B$37+VLOOKUP(VLOOKUP($B149,test!$A$2:$I$32,4,FALSE),test!$J$10:$P$14,7,FALSE))/1440),1,0)</f>
        <v>0</v>
      </c>
      <c r="S149" s="2">
        <f>IF(AND(VLOOKUP(S$1,test!$A$3:$F$32,5,FALSE) - VLOOKUP($B149,test!$A$3:$G$32,6,FALSE) &gt;= (test!$B$37+VLOOKUP(VLOOKUP($B149,test!$A$2:$I$32,4,FALSE),test!$J$10:$P$14,7,FALSE))/1440),1,0)</f>
        <v>0</v>
      </c>
      <c r="T149" s="2">
        <f>IF(AND(VLOOKUP(T$1,test!$A$3:$F$32,5,FALSE) - VLOOKUP($B149,test!$A$3:$G$32,6,FALSE) &gt;= (test!$B$37+VLOOKUP(VLOOKUP($B149,test!$A$2:$I$32,4,FALSE),test!$J$10:$P$14,7,FALSE))/1440),1,0)</f>
        <v>0</v>
      </c>
      <c r="U149" s="2">
        <f>IF(AND(VLOOKUP(U$1,test!$A$3:$F$32,5,FALSE) - VLOOKUP($B149,test!$A$3:$G$32,6,FALSE) &gt;= (test!$B$37+VLOOKUP(VLOOKUP($B149,test!$A$2:$I$32,4,FALSE),test!$J$10:$P$14,7,FALSE))/1440),1,0)</f>
        <v>0</v>
      </c>
      <c r="V149" s="2">
        <f>IF(AND(VLOOKUP(V$1,test!$A$3:$F$32,5,FALSE) - VLOOKUP($B149,test!$A$3:$G$32,6,FALSE) &gt;= (test!$B$37+VLOOKUP(VLOOKUP($B149,test!$A$2:$I$32,4,FALSE),test!$J$10:$P$14,7,FALSE))/1440),1,0)</f>
        <v>0</v>
      </c>
      <c r="W149" s="2">
        <f>IF(AND(VLOOKUP(W$1,test!$A$3:$F$32,5,FALSE) - VLOOKUP($B149,test!$A$3:$G$32,6,FALSE) &gt;= (test!$B$37+VLOOKUP(VLOOKUP($B149,test!$A$2:$I$32,4,FALSE),test!$J$10:$P$14,7,FALSE))/1440),1,0)</f>
        <v>1</v>
      </c>
      <c r="X149" s="2">
        <f>IF(AND(VLOOKUP(X$1,test!$A$3:$F$32,5,FALSE) - VLOOKUP($B149,test!$A$3:$G$32,6,FALSE) &gt;= (test!$B$37+VLOOKUP(VLOOKUP($B149,test!$A$2:$I$32,4,FALSE),test!$J$10:$P$14,7,FALSE))/1440),1,0)</f>
        <v>1</v>
      </c>
      <c r="Y149" s="2">
        <f>IF(AND(VLOOKUP(Y$1,test!$A$3:$F$32,5,FALSE) - VLOOKUP($B149,test!$A$3:$G$32,6,FALSE) &gt;= (test!$B$37+VLOOKUP(VLOOKUP($B149,test!$A$2:$I$32,4,FALSE),test!$J$10:$P$14,7,FALSE))/1440),1,0)</f>
        <v>1</v>
      </c>
      <c r="Z149" s="2">
        <f>IF(AND(VLOOKUP(Z$1,test!$A$3:$F$32,5,FALSE) - VLOOKUP($B149,test!$A$3:$G$32,6,FALSE) &gt;= (test!$B$37+VLOOKUP(VLOOKUP($B149,test!$A$2:$I$32,4,FALSE),test!$J$10:$P$14,7,FALSE))/1440),1,0)</f>
        <v>0</v>
      </c>
      <c r="AA149" s="2">
        <f>IF(AND(VLOOKUP(AA$1,test!$A$3:$F$32,5,FALSE) - VLOOKUP($B149,test!$A$3:$G$32,6,FALSE) &gt;= (test!$B$37+VLOOKUP(VLOOKUP($B149,test!$A$2:$I$32,4,FALSE),test!$J$10:$P$14,7,FALSE))/1440),1,0)</f>
        <v>0</v>
      </c>
      <c r="AB149" s="2">
        <f>IF(AND(VLOOKUP(AB$1,test!$A$3:$F$32,5,FALSE) - VLOOKUP($B149,test!$A$3:$G$32,6,FALSE) &gt;= (test!$B$37+VLOOKUP(VLOOKUP($B149,test!$A$2:$I$32,4,FALSE),test!$J$10:$P$14,7,FALSE))/1440),1,0)</f>
        <v>0</v>
      </c>
      <c r="AC149" s="2">
        <f>IF(AND(VLOOKUP(AC$1,test!$A$3:$F$32,5,FALSE) - VLOOKUP($B149,test!$A$3:$G$32,6,FALSE) &gt;= (test!$B$37+VLOOKUP(VLOOKUP($B149,test!$A$2:$I$32,4,FALSE),test!$J$10:$P$14,7,FALSE))/1440),1,0)</f>
        <v>0</v>
      </c>
      <c r="AD149" s="2">
        <f>IF(AND(VLOOKUP(AD$1,test!$A$3:$F$32,5,FALSE) - VLOOKUP($B149,test!$A$3:$G$32,6,FALSE) &gt;= (test!$B$37+VLOOKUP(VLOOKUP($B149,test!$A$2:$I$32,4,FALSE),test!$J$10:$P$14,7,FALSE))/1440),1,0)</f>
        <v>1</v>
      </c>
      <c r="AE149" s="2">
        <f>IF(AND(VLOOKUP(AE$1,test!$A$3:$F$32,5,FALSE) - VLOOKUP($B149,test!$A$3:$G$32,6,FALSE) &gt;= (test!$B$37+VLOOKUP(VLOOKUP($B149,test!$A$2:$I$32,4,FALSE),test!$J$10:$P$14,7,FALSE))/1440),1,0)</f>
        <v>0</v>
      </c>
      <c r="AF149" s="2">
        <f>IF(AND(VLOOKUP(AF$1,test!$A$3:$F$32,5,FALSE) - VLOOKUP($B149,test!$A$3:$G$32,6,FALSE) &gt;= (test!$B$37+VLOOKUP(VLOOKUP($B149,test!$A$2:$I$32,4,FALSE),test!$J$10:$P$14,7,FALSE))/1440),1,0)</f>
        <v>0</v>
      </c>
      <c r="AG149" s="2">
        <f>IF(AND(VLOOKUP(AG$1,test!$A$3:$F$32,5,FALSE) - VLOOKUP($B149,test!$A$3:$G$32,6,FALSE) &gt;= (test!$B$37+VLOOKUP(VLOOKUP($B149,test!$A$2:$I$32,4,FALSE),test!$J$10:$P$14,7,FALSE))/1440),1,0)</f>
        <v>0</v>
      </c>
    </row>
    <row r="150" spans="1:33" x14ac:dyDescent="0.25">
      <c r="A150" t="s">
        <v>99</v>
      </c>
      <c r="B150" t="s">
        <v>35</v>
      </c>
      <c r="C150">
        <v>0</v>
      </c>
      <c r="D150" s="2">
        <f>IF(AND(VLOOKUP(D$1,test!$A$3:$F$32,5,FALSE) - VLOOKUP($B150,test!$A$3:$G$32,6,FALSE) &gt;= (test!$B$37+VLOOKUP(VLOOKUP($B150,test!$A$2:$I$32,4,FALSE),test!$J$10:$P$14,7,FALSE))/1440),1,0)</f>
        <v>0</v>
      </c>
      <c r="E150" s="2">
        <f>IF(AND(VLOOKUP(E$1,test!$A$3:$F$32,5,FALSE) - VLOOKUP($B150,test!$A$3:$G$32,6,FALSE) &gt;= (test!$B$37+VLOOKUP(VLOOKUP($B150,test!$A$2:$I$32,4,FALSE),test!$J$10:$P$14,7,FALSE))/1440),1,0)</f>
        <v>0</v>
      </c>
      <c r="F150" s="2">
        <f>IF(AND(VLOOKUP(F$1,test!$A$3:$F$32,5,FALSE) - VLOOKUP($B150,test!$A$3:$G$32,6,FALSE) &gt;= (test!$B$37+VLOOKUP(VLOOKUP($B150,test!$A$2:$I$32,4,FALSE),test!$J$10:$P$14,7,FALSE))/1440),1,0)</f>
        <v>0</v>
      </c>
      <c r="G150" s="2">
        <f>IF(AND(VLOOKUP(G$1,test!$A$3:$F$32,5,FALSE) - VLOOKUP($B150,test!$A$3:$G$32,6,FALSE) &gt;= (test!$B$37+VLOOKUP(VLOOKUP($B150,test!$A$2:$I$32,4,FALSE),test!$J$10:$P$14,7,FALSE))/1440),1,0)</f>
        <v>0</v>
      </c>
      <c r="H150" s="2">
        <f>IF(AND(VLOOKUP(H$1,test!$A$3:$F$32,5,FALSE) - VLOOKUP($B150,test!$A$3:$G$32,6,FALSE) &gt;= (test!$B$37+VLOOKUP(VLOOKUP($B150,test!$A$2:$I$32,4,FALSE),test!$J$10:$P$14,7,FALSE))/1440),1,0)</f>
        <v>0</v>
      </c>
      <c r="I150" s="2">
        <f>IF(AND(VLOOKUP(I$1,test!$A$3:$F$32,5,FALSE) - VLOOKUP($B150,test!$A$3:$G$32,6,FALSE) &gt;= (test!$B$37+VLOOKUP(VLOOKUP($B150,test!$A$2:$I$32,4,FALSE),test!$J$10:$P$14,7,FALSE))/1440),1,0)</f>
        <v>0</v>
      </c>
      <c r="J150" s="2">
        <f>IF(AND(VLOOKUP(J$1,test!$A$3:$F$32,5,FALSE) - VLOOKUP($B150,test!$A$3:$G$32,6,FALSE) &gt;= (test!$B$37+VLOOKUP(VLOOKUP($B150,test!$A$2:$I$32,4,FALSE),test!$J$10:$P$14,7,FALSE))/1440),1,0)</f>
        <v>0</v>
      </c>
      <c r="K150" s="2">
        <f>IF(AND(VLOOKUP(K$1,test!$A$3:$F$32,5,FALSE) - VLOOKUP($B150,test!$A$3:$G$32,6,FALSE) &gt;= (test!$B$37+VLOOKUP(VLOOKUP($B150,test!$A$2:$I$32,4,FALSE),test!$J$10:$P$14,7,FALSE))/1440),1,0)</f>
        <v>1</v>
      </c>
      <c r="L150" s="2">
        <f>IF(AND(VLOOKUP(L$1,test!$A$3:$F$32,5,FALSE) - VLOOKUP($B150,test!$A$3:$G$32,6,FALSE) &gt;= (test!$B$37+VLOOKUP(VLOOKUP($B150,test!$A$2:$I$32,4,FALSE),test!$J$10:$P$14,7,FALSE))/1440),1,0)</f>
        <v>0</v>
      </c>
      <c r="M150" s="2">
        <f>IF(AND(VLOOKUP(M$1,test!$A$3:$F$32,5,FALSE) - VLOOKUP($B150,test!$A$3:$G$32,6,FALSE) &gt;= (test!$B$37+VLOOKUP(VLOOKUP($B150,test!$A$2:$I$32,4,FALSE),test!$J$10:$P$14,7,FALSE))/1440),1,0)</f>
        <v>0</v>
      </c>
      <c r="N150" s="2">
        <f>IF(AND(VLOOKUP(N$1,test!$A$3:$F$32,5,FALSE) - VLOOKUP($B150,test!$A$3:$G$32,6,FALSE) &gt;= (test!$B$37+VLOOKUP(VLOOKUP($B150,test!$A$2:$I$32,4,FALSE),test!$J$10:$P$14,7,FALSE))/1440),1,0)</f>
        <v>0</v>
      </c>
      <c r="O150" s="2">
        <f>IF(AND(VLOOKUP(O$1,test!$A$3:$F$32,5,FALSE) - VLOOKUP($B150,test!$A$3:$G$32,6,FALSE) &gt;= (test!$B$37+VLOOKUP(VLOOKUP($B150,test!$A$2:$I$32,4,FALSE),test!$J$10:$P$14,7,FALSE))/1440),1,0)</f>
        <v>1</v>
      </c>
      <c r="P150" s="2">
        <f>IF(AND(VLOOKUP(P$1,test!$A$3:$F$32,5,FALSE) - VLOOKUP($B150,test!$A$3:$G$32,6,FALSE) &gt;= (test!$B$37+VLOOKUP(VLOOKUP($B150,test!$A$2:$I$32,4,FALSE),test!$J$10:$P$14,7,FALSE))/1440),1,0)</f>
        <v>1</v>
      </c>
      <c r="Q150" s="2">
        <f>IF(AND(VLOOKUP(Q$1,test!$A$3:$F$32,5,FALSE) - VLOOKUP($B150,test!$A$3:$G$32,6,FALSE) &gt;= (test!$B$37+VLOOKUP(VLOOKUP($B150,test!$A$2:$I$32,4,FALSE),test!$J$10:$P$14,7,FALSE))/1440),1,0)</f>
        <v>0</v>
      </c>
      <c r="R150" s="2">
        <f>IF(AND(VLOOKUP(R$1,test!$A$3:$F$32,5,FALSE) - VLOOKUP($B150,test!$A$3:$G$32,6,FALSE) &gt;= (test!$B$37+VLOOKUP(VLOOKUP($B150,test!$A$2:$I$32,4,FALSE),test!$J$10:$P$14,7,FALSE))/1440),1,0)</f>
        <v>0</v>
      </c>
      <c r="S150" s="2">
        <f>IF(AND(VLOOKUP(S$1,test!$A$3:$F$32,5,FALSE) - VLOOKUP($B150,test!$A$3:$G$32,6,FALSE) &gt;= (test!$B$37+VLOOKUP(VLOOKUP($B150,test!$A$2:$I$32,4,FALSE),test!$J$10:$P$14,7,FALSE))/1440),1,0)</f>
        <v>0</v>
      </c>
      <c r="T150" s="2">
        <f>IF(AND(VLOOKUP(T$1,test!$A$3:$F$32,5,FALSE) - VLOOKUP($B150,test!$A$3:$G$32,6,FALSE) &gt;= (test!$B$37+VLOOKUP(VLOOKUP($B150,test!$A$2:$I$32,4,FALSE),test!$J$10:$P$14,7,FALSE))/1440),1,0)</f>
        <v>0</v>
      </c>
      <c r="U150" s="2">
        <f>IF(AND(VLOOKUP(U$1,test!$A$3:$F$32,5,FALSE) - VLOOKUP($B150,test!$A$3:$G$32,6,FALSE) &gt;= (test!$B$37+VLOOKUP(VLOOKUP($B150,test!$A$2:$I$32,4,FALSE),test!$J$10:$P$14,7,FALSE))/1440),1,0)</f>
        <v>0</v>
      </c>
      <c r="V150" s="2">
        <f>IF(AND(VLOOKUP(V$1,test!$A$3:$F$32,5,FALSE) - VLOOKUP($B150,test!$A$3:$G$32,6,FALSE) &gt;= (test!$B$37+VLOOKUP(VLOOKUP($B150,test!$A$2:$I$32,4,FALSE),test!$J$10:$P$14,7,FALSE))/1440),1,0)</f>
        <v>0</v>
      </c>
      <c r="W150" s="2">
        <f>IF(AND(VLOOKUP(W$1,test!$A$3:$F$32,5,FALSE) - VLOOKUP($B150,test!$A$3:$G$32,6,FALSE) &gt;= (test!$B$37+VLOOKUP(VLOOKUP($B150,test!$A$2:$I$32,4,FALSE),test!$J$10:$P$14,7,FALSE))/1440),1,0)</f>
        <v>0</v>
      </c>
      <c r="X150" s="2">
        <f>IF(AND(VLOOKUP(X$1,test!$A$3:$F$32,5,FALSE) - VLOOKUP($B150,test!$A$3:$G$32,6,FALSE) &gt;= (test!$B$37+VLOOKUP(VLOOKUP($B150,test!$A$2:$I$32,4,FALSE),test!$J$10:$P$14,7,FALSE))/1440),1,0)</f>
        <v>0</v>
      </c>
      <c r="Y150" s="2">
        <f>IF(AND(VLOOKUP(Y$1,test!$A$3:$F$32,5,FALSE) - VLOOKUP($B150,test!$A$3:$G$32,6,FALSE) &gt;= (test!$B$37+VLOOKUP(VLOOKUP($B150,test!$A$2:$I$32,4,FALSE),test!$J$10:$P$14,7,FALSE))/1440),1,0)</f>
        <v>0</v>
      </c>
      <c r="Z150" s="2">
        <f>IF(AND(VLOOKUP(Z$1,test!$A$3:$F$32,5,FALSE) - VLOOKUP($B150,test!$A$3:$G$32,6,FALSE) &gt;= (test!$B$37+VLOOKUP(VLOOKUP($B150,test!$A$2:$I$32,4,FALSE),test!$J$10:$P$14,7,FALSE))/1440),1,0)</f>
        <v>0</v>
      </c>
      <c r="AA150" s="2">
        <f>IF(AND(VLOOKUP(AA$1,test!$A$3:$F$32,5,FALSE) - VLOOKUP($B150,test!$A$3:$G$32,6,FALSE) &gt;= (test!$B$37+VLOOKUP(VLOOKUP($B150,test!$A$2:$I$32,4,FALSE),test!$J$10:$P$14,7,FALSE))/1440),1,0)</f>
        <v>0</v>
      </c>
      <c r="AB150" s="2">
        <f>IF(AND(VLOOKUP(AB$1,test!$A$3:$F$32,5,FALSE) - VLOOKUP($B150,test!$A$3:$G$32,6,FALSE) &gt;= (test!$B$37+VLOOKUP(VLOOKUP($B150,test!$A$2:$I$32,4,FALSE),test!$J$10:$P$14,7,FALSE))/1440),1,0)</f>
        <v>0</v>
      </c>
      <c r="AC150" s="2">
        <f>IF(AND(VLOOKUP(AC$1,test!$A$3:$F$32,5,FALSE) - VLOOKUP($B150,test!$A$3:$G$32,6,FALSE) &gt;= (test!$B$37+VLOOKUP(VLOOKUP($B150,test!$A$2:$I$32,4,FALSE),test!$J$10:$P$14,7,FALSE))/1440),1,0)</f>
        <v>0</v>
      </c>
      <c r="AD150" s="2">
        <f>IF(AND(VLOOKUP(AD$1,test!$A$3:$F$32,5,FALSE) - VLOOKUP($B150,test!$A$3:$G$32,6,FALSE) &gt;= (test!$B$37+VLOOKUP(VLOOKUP($B150,test!$A$2:$I$32,4,FALSE),test!$J$10:$P$14,7,FALSE))/1440),1,0)</f>
        <v>0</v>
      </c>
      <c r="AE150" s="2">
        <f>IF(AND(VLOOKUP(AE$1,test!$A$3:$F$32,5,FALSE) - VLOOKUP($B150,test!$A$3:$G$32,6,FALSE) &gt;= (test!$B$37+VLOOKUP(VLOOKUP($B150,test!$A$2:$I$32,4,FALSE),test!$J$10:$P$14,7,FALSE))/1440),1,0)</f>
        <v>0</v>
      </c>
      <c r="AF150" s="2">
        <f>IF(AND(VLOOKUP(AF$1,test!$A$3:$F$32,5,FALSE) - VLOOKUP($B150,test!$A$3:$G$32,6,FALSE) &gt;= (test!$B$37+VLOOKUP(VLOOKUP($B150,test!$A$2:$I$32,4,FALSE),test!$J$10:$P$14,7,FALSE))/1440),1,0)</f>
        <v>0</v>
      </c>
      <c r="AG150" s="2">
        <f>IF(AND(VLOOKUP(AG$1,test!$A$3:$F$32,5,FALSE) - VLOOKUP($B150,test!$A$3:$G$32,6,FALSE) &gt;= (test!$B$37+VLOOKUP(VLOOKUP($B150,test!$A$2:$I$32,4,FALSE),test!$J$10:$P$14,7,FALSE))/1440),1,0)</f>
        <v>0</v>
      </c>
    </row>
    <row r="151" spans="1:33" x14ac:dyDescent="0.25">
      <c r="A151" t="s">
        <v>99</v>
      </c>
      <c r="B151" t="s">
        <v>36</v>
      </c>
      <c r="C151">
        <v>0</v>
      </c>
      <c r="D151" s="2">
        <f>IF(AND(VLOOKUP(D$1,test!$A$3:$F$32,5,FALSE) - VLOOKUP($B151,test!$A$3:$G$32,6,FALSE) &gt;= (test!$B$37+VLOOKUP(VLOOKUP($B151,test!$A$2:$I$32,4,FALSE),test!$J$10:$P$14,7,FALSE))/1440),1,0)</f>
        <v>0</v>
      </c>
      <c r="E151" s="2">
        <f>IF(AND(VLOOKUP(E$1,test!$A$3:$F$32,5,FALSE) - VLOOKUP($B151,test!$A$3:$G$32,6,FALSE) &gt;= (test!$B$37+VLOOKUP(VLOOKUP($B151,test!$A$2:$I$32,4,FALSE),test!$J$10:$P$14,7,FALSE))/1440),1,0)</f>
        <v>0</v>
      </c>
      <c r="F151" s="2">
        <f>IF(AND(VLOOKUP(F$1,test!$A$3:$F$32,5,FALSE) - VLOOKUP($B151,test!$A$3:$G$32,6,FALSE) &gt;= (test!$B$37+VLOOKUP(VLOOKUP($B151,test!$A$2:$I$32,4,FALSE),test!$J$10:$P$14,7,FALSE))/1440),1,0)</f>
        <v>0</v>
      </c>
      <c r="G151" s="2">
        <f>IF(AND(VLOOKUP(G$1,test!$A$3:$F$32,5,FALSE) - VLOOKUP($B151,test!$A$3:$G$32,6,FALSE) &gt;= (test!$B$37+VLOOKUP(VLOOKUP($B151,test!$A$2:$I$32,4,FALSE),test!$J$10:$P$14,7,FALSE))/1440),1,0)</f>
        <v>0</v>
      </c>
      <c r="H151" s="2">
        <f>IF(AND(VLOOKUP(H$1,test!$A$3:$F$32,5,FALSE) - VLOOKUP($B151,test!$A$3:$G$32,6,FALSE) &gt;= (test!$B$37+VLOOKUP(VLOOKUP($B151,test!$A$2:$I$32,4,FALSE),test!$J$10:$P$14,7,FALSE))/1440),1,0)</f>
        <v>0</v>
      </c>
      <c r="I151" s="2">
        <f>IF(AND(VLOOKUP(I$1,test!$A$3:$F$32,5,FALSE) - VLOOKUP($B151,test!$A$3:$G$32,6,FALSE) &gt;= (test!$B$37+VLOOKUP(VLOOKUP($B151,test!$A$2:$I$32,4,FALSE),test!$J$10:$P$14,7,FALSE))/1440),1,0)</f>
        <v>0</v>
      </c>
      <c r="J151" s="2">
        <f>IF(AND(VLOOKUP(J$1,test!$A$3:$F$32,5,FALSE) - VLOOKUP($B151,test!$A$3:$G$32,6,FALSE) &gt;= (test!$B$37+VLOOKUP(VLOOKUP($B151,test!$A$2:$I$32,4,FALSE),test!$J$10:$P$14,7,FALSE))/1440),1,0)</f>
        <v>0</v>
      </c>
      <c r="K151" s="2">
        <f>IF(AND(VLOOKUP(K$1,test!$A$3:$F$32,5,FALSE) - VLOOKUP($B151,test!$A$3:$G$32,6,FALSE) &gt;= (test!$B$37+VLOOKUP(VLOOKUP($B151,test!$A$2:$I$32,4,FALSE),test!$J$10:$P$14,7,FALSE))/1440),1,0)</f>
        <v>0</v>
      </c>
      <c r="L151" s="2">
        <f>IF(AND(VLOOKUP(L$1,test!$A$3:$F$32,5,FALSE) - VLOOKUP($B151,test!$A$3:$G$32,6,FALSE) &gt;= (test!$B$37+VLOOKUP(VLOOKUP($B151,test!$A$2:$I$32,4,FALSE),test!$J$10:$P$14,7,FALSE))/1440),1,0)</f>
        <v>0</v>
      </c>
      <c r="M151" s="2">
        <f>IF(AND(VLOOKUP(M$1,test!$A$3:$F$32,5,FALSE) - VLOOKUP($B151,test!$A$3:$G$32,6,FALSE) &gt;= (test!$B$37+VLOOKUP(VLOOKUP($B151,test!$A$2:$I$32,4,FALSE),test!$J$10:$P$14,7,FALSE))/1440),1,0)</f>
        <v>0</v>
      </c>
      <c r="N151" s="2">
        <f>IF(AND(VLOOKUP(N$1,test!$A$3:$F$32,5,FALSE) - VLOOKUP($B151,test!$A$3:$G$32,6,FALSE) &gt;= (test!$B$37+VLOOKUP(VLOOKUP($B151,test!$A$2:$I$32,4,FALSE),test!$J$10:$P$14,7,FALSE))/1440),1,0)</f>
        <v>0</v>
      </c>
      <c r="O151" s="2">
        <f>IF(AND(VLOOKUP(O$1,test!$A$3:$F$32,5,FALSE) - VLOOKUP($B151,test!$A$3:$G$32,6,FALSE) &gt;= (test!$B$37+VLOOKUP(VLOOKUP($B151,test!$A$2:$I$32,4,FALSE),test!$J$10:$P$14,7,FALSE))/1440),1,0)</f>
        <v>0</v>
      </c>
      <c r="P151" s="2">
        <f>IF(AND(VLOOKUP(P$1,test!$A$3:$F$32,5,FALSE) - VLOOKUP($B151,test!$A$3:$G$32,6,FALSE) &gt;= (test!$B$37+VLOOKUP(VLOOKUP($B151,test!$A$2:$I$32,4,FALSE),test!$J$10:$P$14,7,FALSE))/1440),1,0)</f>
        <v>0</v>
      </c>
      <c r="Q151" s="2">
        <f>IF(AND(VLOOKUP(Q$1,test!$A$3:$F$32,5,FALSE) - VLOOKUP($B151,test!$A$3:$G$32,6,FALSE) &gt;= (test!$B$37+VLOOKUP(VLOOKUP($B151,test!$A$2:$I$32,4,FALSE),test!$J$10:$P$14,7,FALSE))/1440),1,0)</f>
        <v>0</v>
      </c>
      <c r="R151" s="2">
        <f>IF(AND(VLOOKUP(R$1,test!$A$3:$F$32,5,FALSE) - VLOOKUP($B151,test!$A$3:$G$32,6,FALSE) &gt;= (test!$B$37+VLOOKUP(VLOOKUP($B151,test!$A$2:$I$32,4,FALSE),test!$J$10:$P$14,7,FALSE))/1440),1,0)</f>
        <v>0</v>
      </c>
      <c r="S151" s="2">
        <f>IF(AND(VLOOKUP(S$1,test!$A$3:$F$32,5,FALSE) - VLOOKUP($B151,test!$A$3:$G$32,6,FALSE) &gt;= (test!$B$37+VLOOKUP(VLOOKUP($B151,test!$A$2:$I$32,4,FALSE),test!$J$10:$P$14,7,FALSE))/1440),1,0)</f>
        <v>0</v>
      </c>
      <c r="T151" s="2">
        <f>IF(AND(VLOOKUP(T$1,test!$A$3:$F$32,5,FALSE) - VLOOKUP($B151,test!$A$3:$G$32,6,FALSE) &gt;= (test!$B$37+VLOOKUP(VLOOKUP($B151,test!$A$2:$I$32,4,FALSE),test!$J$10:$P$14,7,FALSE))/1440),1,0)</f>
        <v>0</v>
      </c>
      <c r="U151" s="2">
        <f>IF(AND(VLOOKUP(U$1,test!$A$3:$F$32,5,FALSE) - VLOOKUP($B151,test!$A$3:$G$32,6,FALSE) &gt;= (test!$B$37+VLOOKUP(VLOOKUP($B151,test!$A$2:$I$32,4,FALSE),test!$J$10:$P$14,7,FALSE))/1440),1,0)</f>
        <v>0</v>
      </c>
      <c r="V151" s="2">
        <f>IF(AND(VLOOKUP(V$1,test!$A$3:$F$32,5,FALSE) - VLOOKUP($B151,test!$A$3:$G$32,6,FALSE) &gt;= (test!$B$37+VLOOKUP(VLOOKUP($B151,test!$A$2:$I$32,4,FALSE),test!$J$10:$P$14,7,FALSE))/1440),1,0)</f>
        <v>0</v>
      </c>
      <c r="W151" s="2">
        <f>IF(AND(VLOOKUP(W$1,test!$A$3:$F$32,5,FALSE) - VLOOKUP($B151,test!$A$3:$G$32,6,FALSE) &gt;= (test!$B$37+VLOOKUP(VLOOKUP($B151,test!$A$2:$I$32,4,FALSE),test!$J$10:$P$14,7,FALSE))/1440),1,0)</f>
        <v>0</v>
      </c>
      <c r="X151" s="2">
        <f>IF(AND(VLOOKUP(X$1,test!$A$3:$F$32,5,FALSE) - VLOOKUP($B151,test!$A$3:$G$32,6,FALSE) &gt;= (test!$B$37+VLOOKUP(VLOOKUP($B151,test!$A$2:$I$32,4,FALSE),test!$J$10:$P$14,7,FALSE))/1440),1,0)</f>
        <v>0</v>
      </c>
      <c r="Y151" s="2">
        <f>IF(AND(VLOOKUP(Y$1,test!$A$3:$F$32,5,FALSE) - VLOOKUP($B151,test!$A$3:$G$32,6,FALSE) &gt;= (test!$B$37+VLOOKUP(VLOOKUP($B151,test!$A$2:$I$32,4,FALSE),test!$J$10:$P$14,7,FALSE))/1440),1,0)</f>
        <v>0</v>
      </c>
      <c r="Z151" s="2">
        <f>IF(AND(VLOOKUP(Z$1,test!$A$3:$F$32,5,FALSE) - VLOOKUP($B151,test!$A$3:$G$32,6,FALSE) &gt;= (test!$B$37+VLOOKUP(VLOOKUP($B151,test!$A$2:$I$32,4,FALSE),test!$J$10:$P$14,7,FALSE))/1440),1,0)</f>
        <v>0</v>
      </c>
      <c r="AA151" s="2">
        <f>IF(AND(VLOOKUP(AA$1,test!$A$3:$F$32,5,FALSE) - VLOOKUP($B151,test!$A$3:$G$32,6,FALSE) &gt;= (test!$B$37+VLOOKUP(VLOOKUP($B151,test!$A$2:$I$32,4,FALSE),test!$J$10:$P$14,7,FALSE))/1440),1,0)</f>
        <v>0</v>
      </c>
      <c r="AB151" s="2">
        <f>IF(AND(VLOOKUP(AB$1,test!$A$3:$F$32,5,FALSE) - VLOOKUP($B151,test!$A$3:$G$32,6,FALSE) &gt;= (test!$B$37+VLOOKUP(VLOOKUP($B151,test!$A$2:$I$32,4,FALSE),test!$J$10:$P$14,7,FALSE))/1440),1,0)</f>
        <v>0</v>
      </c>
      <c r="AC151" s="2">
        <f>IF(AND(VLOOKUP(AC$1,test!$A$3:$F$32,5,FALSE) - VLOOKUP($B151,test!$A$3:$G$32,6,FALSE) &gt;= (test!$B$37+VLOOKUP(VLOOKUP($B151,test!$A$2:$I$32,4,FALSE),test!$J$10:$P$14,7,FALSE))/1440),1,0)</f>
        <v>0</v>
      </c>
      <c r="AD151" s="2">
        <f>IF(AND(VLOOKUP(AD$1,test!$A$3:$F$32,5,FALSE) - VLOOKUP($B151,test!$A$3:$G$32,6,FALSE) &gt;= (test!$B$37+VLOOKUP(VLOOKUP($B151,test!$A$2:$I$32,4,FALSE),test!$J$10:$P$14,7,FALSE))/1440),1,0)</f>
        <v>0</v>
      </c>
      <c r="AE151" s="2">
        <f>IF(AND(VLOOKUP(AE$1,test!$A$3:$F$32,5,FALSE) - VLOOKUP($B151,test!$A$3:$G$32,6,FALSE) &gt;= (test!$B$37+VLOOKUP(VLOOKUP($B151,test!$A$2:$I$32,4,FALSE),test!$J$10:$P$14,7,FALSE))/1440),1,0)</f>
        <v>0</v>
      </c>
      <c r="AF151" s="2">
        <f>IF(AND(VLOOKUP(AF$1,test!$A$3:$F$32,5,FALSE) - VLOOKUP($B151,test!$A$3:$G$32,6,FALSE) &gt;= (test!$B$37+VLOOKUP(VLOOKUP($B151,test!$A$2:$I$32,4,FALSE),test!$J$10:$P$14,7,FALSE))/1440),1,0)</f>
        <v>0</v>
      </c>
      <c r="AG151" s="2">
        <f>IF(AND(VLOOKUP(AG$1,test!$A$3:$F$32,5,FALSE) - VLOOKUP($B151,test!$A$3:$G$32,6,FALSE) &gt;= (test!$B$37+VLOOKUP(VLOOKUP($B151,test!$A$2:$I$32,4,FALSE),test!$J$10:$P$14,7,FALSE))/1440),1,0)</f>
        <v>0</v>
      </c>
    </row>
    <row r="152" spans="1:33" x14ac:dyDescent="0.25">
      <c r="A152" t="s">
        <v>99</v>
      </c>
      <c r="B152" t="s">
        <v>37</v>
      </c>
      <c r="C152">
        <v>0</v>
      </c>
      <c r="D152" s="2">
        <f>IF(AND(VLOOKUP(D$1,test!$A$3:$F$32,5,FALSE) - VLOOKUP($B152,test!$A$3:$G$32,6,FALSE) &gt;= (test!$B$37+VLOOKUP(VLOOKUP($B152,test!$A$2:$I$32,4,FALSE),test!$J$10:$P$14,7,FALSE))/1440),1,0)</f>
        <v>0</v>
      </c>
      <c r="E152" s="2">
        <f>IF(AND(VLOOKUP(E$1,test!$A$3:$F$32,5,FALSE) - VLOOKUP($B152,test!$A$3:$G$32,6,FALSE) &gt;= (test!$B$37+VLOOKUP(VLOOKUP($B152,test!$A$2:$I$32,4,FALSE),test!$J$10:$P$14,7,FALSE))/1440),1,0)</f>
        <v>0</v>
      </c>
      <c r="F152" s="2">
        <f>IF(AND(VLOOKUP(F$1,test!$A$3:$F$32,5,FALSE) - VLOOKUP($B152,test!$A$3:$G$32,6,FALSE) &gt;= (test!$B$37+VLOOKUP(VLOOKUP($B152,test!$A$2:$I$32,4,FALSE),test!$J$10:$P$14,7,FALSE))/1440),1,0)</f>
        <v>0</v>
      </c>
      <c r="G152" s="2">
        <f>IF(AND(VLOOKUP(G$1,test!$A$3:$F$32,5,FALSE) - VLOOKUP($B152,test!$A$3:$G$32,6,FALSE) &gt;= (test!$B$37+VLOOKUP(VLOOKUP($B152,test!$A$2:$I$32,4,FALSE),test!$J$10:$P$14,7,FALSE))/1440),1,0)</f>
        <v>0</v>
      </c>
      <c r="H152" s="2">
        <f>IF(AND(VLOOKUP(H$1,test!$A$3:$F$32,5,FALSE) - VLOOKUP($B152,test!$A$3:$G$32,6,FALSE) &gt;= (test!$B$37+VLOOKUP(VLOOKUP($B152,test!$A$2:$I$32,4,FALSE),test!$J$10:$P$14,7,FALSE))/1440),1,0)</f>
        <v>0</v>
      </c>
      <c r="I152" s="2">
        <f>IF(AND(VLOOKUP(I$1,test!$A$3:$F$32,5,FALSE) - VLOOKUP($B152,test!$A$3:$G$32,6,FALSE) &gt;= (test!$B$37+VLOOKUP(VLOOKUP($B152,test!$A$2:$I$32,4,FALSE),test!$J$10:$P$14,7,FALSE))/1440),1,0)</f>
        <v>0</v>
      </c>
      <c r="J152" s="2">
        <f>IF(AND(VLOOKUP(J$1,test!$A$3:$F$32,5,FALSE) - VLOOKUP($B152,test!$A$3:$G$32,6,FALSE) &gt;= (test!$B$37+VLOOKUP(VLOOKUP($B152,test!$A$2:$I$32,4,FALSE),test!$J$10:$P$14,7,FALSE))/1440),1,0)</f>
        <v>0</v>
      </c>
      <c r="K152" s="2">
        <f>IF(AND(VLOOKUP(K$1,test!$A$3:$F$32,5,FALSE) - VLOOKUP($B152,test!$A$3:$G$32,6,FALSE) &gt;= (test!$B$37+VLOOKUP(VLOOKUP($B152,test!$A$2:$I$32,4,FALSE),test!$J$10:$P$14,7,FALSE))/1440),1,0)</f>
        <v>0</v>
      </c>
      <c r="L152" s="2">
        <f>IF(AND(VLOOKUP(L$1,test!$A$3:$F$32,5,FALSE) - VLOOKUP($B152,test!$A$3:$G$32,6,FALSE) &gt;= (test!$B$37+VLOOKUP(VLOOKUP($B152,test!$A$2:$I$32,4,FALSE),test!$J$10:$P$14,7,FALSE))/1440),1,0)</f>
        <v>0</v>
      </c>
      <c r="M152" s="2">
        <f>IF(AND(VLOOKUP(M$1,test!$A$3:$F$32,5,FALSE) - VLOOKUP($B152,test!$A$3:$G$32,6,FALSE) &gt;= (test!$B$37+VLOOKUP(VLOOKUP($B152,test!$A$2:$I$32,4,FALSE),test!$J$10:$P$14,7,FALSE))/1440),1,0)</f>
        <v>0</v>
      </c>
      <c r="N152" s="2">
        <f>IF(AND(VLOOKUP(N$1,test!$A$3:$F$32,5,FALSE) - VLOOKUP($B152,test!$A$3:$G$32,6,FALSE) &gt;= (test!$B$37+VLOOKUP(VLOOKUP($B152,test!$A$2:$I$32,4,FALSE),test!$J$10:$P$14,7,FALSE))/1440),1,0)</f>
        <v>0</v>
      </c>
      <c r="O152" s="2">
        <f>IF(AND(VLOOKUP(O$1,test!$A$3:$F$32,5,FALSE) - VLOOKUP($B152,test!$A$3:$G$32,6,FALSE) &gt;= (test!$B$37+VLOOKUP(VLOOKUP($B152,test!$A$2:$I$32,4,FALSE),test!$J$10:$P$14,7,FALSE))/1440),1,0)</f>
        <v>0</v>
      </c>
      <c r="P152" s="2">
        <f>IF(AND(VLOOKUP(P$1,test!$A$3:$F$32,5,FALSE) - VLOOKUP($B152,test!$A$3:$G$32,6,FALSE) &gt;= (test!$B$37+VLOOKUP(VLOOKUP($B152,test!$A$2:$I$32,4,FALSE),test!$J$10:$P$14,7,FALSE))/1440),1,0)</f>
        <v>0</v>
      </c>
      <c r="Q152" s="2">
        <f>IF(AND(VLOOKUP(Q$1,test!$A$3:$F$32,5,FALSE) - VLOOKUP($B152,test!$A$3:$G$32,6,FALSE) &gt;= (test!$B$37+VLOOKUP(VLOOKUP($B152,test!$A$2:$I$32,4,FALSE),test!$J$10:$P$14,7,FALSE))/1440),1,0)</f>
        <v>0</v>
      </c>
      <c r="R152" s="2">
        <f>IF(AND(VLOOKUP(R$1,test!$A$3:$F$32,5,FALSE) - VLOOKUP($B152,test!$A$3:$G$32,6,FALSE) &gt;= (test!$B$37+VLOOKUP(VLOOKUP($B152,test!$A$2:$I$32,4,FALSE),test!$J$10:$P$14,7,FALSE))/1440),1,0)</f>
        <v>0</v>
      </c>
      <c r="S152" s="2">
        <f>IF(AND(VLOOKUP(S$1,test!$A$3:$F$32,5,FALSE) - VLOOKUP($B152,test!$A$3:$G$32,6,FALSE) &gt;= (test!$B$37+VLOOKUP(VLOOKUP($B152,test!$A$2:$I$32,4,FALSE),test!$J$10:$P$14,7,FALSE))/1440),1,0)</f>
        <v>0</v>
      </c>
      <c r="T152" s="2">
        <f>IF(AND(VLOOKUP(T$1,test!$A$3:$F$32,5,FALSE) - VLOOKUP($B152,test!$A$3:$G$32,6,FALSE) &gt;= (test!$B$37+VLOOKUP(VLOOKUP($B152,test!$A$2:$I$32,4,FALSE),test!$J$10:$P$14,7,FALSE))/1440),1,0)</f>
        <v>0</v>
      </c>
      <c r="U152" s="2">
        <f>IF(AND(VLOOKUP(U$1,test!$A$3:$F$32,5,FALSE) - VLOOKUP($B152,test!$A$3:$G$32,6,FALSE) &gt;= (test!$B$37+VLOOKUP(VLOOKUP($B152,test!$A$2:$I$32,4,FALSE),test!$J$10:$P$14,7,FALSE))/1440),1,0)</f>
        <v>0</v>
      </c>
      <c r="V152" s="2">
        <f>IF(AND(VLOOKUP(V$1,test!$A$3:$F$32,5,FALSE) - VLOOKUP($B152,test!$A$3:$G$32,6,FALSE) &gt;= (test!$B$37+VLOOKUP(VLOOKUP($B152,test!$A$2:$I$32,4,FALSE),test!$J$10:$P$14,7,FALSE))/1440),1,0)</f>
        <v>0</v>
      </c>
      <c r="W152" s="2">
        <f>IF(AND(VLOOKUP(W$1,test!$A$3:$F$32,5,FALSE) - VLOOKUP($B152,test!$A$3:$G$32,6,FALSE) &gt;= (test!$B$37+VLOOKUP(VLOOKUP($B152,test!$A$2:$I$32,4,FALSE),test!$J$10:$P$14,7,FALSE))/1440),1,0)</f>
        <v>0</v>
      </c>
      <c r="X152" s="2">
        <f>IF(AND(VLOOKUP(X$1,test!$A$3:$F$32,5,FALSE) - VLOOKUP($B152,test!$A$3:$G$32,6,FALSE) &gt;= (test!$B$37+VLOOKUP(VLOOKUP($B152,test!$A$2:$I$32,4,FALSE),test!$J$10:$P$14,7,FALSE))/1440),1,0)</f>
        <v>0</v>
      </c>
      <c r="Y152" s="2">
        <f>IF(AND(VLOOKUP(Y$1,test!$A$3:$F$32,5,FALSE) - VLOOKUP($B152,test!$A$3:$G$32,6,FALSE) &gt;= (test!$B$37+VLOOKUP(VLOOKUP($B152,test!$A$2:$I$32,4,FALSE),test!$J$10:$P$14,7,FALSE))/1440),1,0)</f>
        <v>0</v>
      </c>
      <c r="Z152" s="2">
        <f>IF(AND(VLOOKUP(Z$1,test!$A$3:$F$32,5,FALSE) - VLOOKUP($B152,test!$A$3:$G$32,6,FALSE) &gt;= (test!$B$37+VLOOKUP(VLOOKUP($B152,test!$A$2:$I$32,4,FALSE),test!$J$10:$P$14,7,FALSE))/1440),1,0)</f>
        <v>0</v>
      </c>
      <c r="AA152" s="2">
        <f>IF(AND(VLOOKUP(AA$1,test!$A$3:$F$32,5,FALSE) - VLOOKUP($B152,test!$A$3:$G$32,6,FALSE) &gt;= (test!$B$37+VLOOKUP(VLOOKUP($B152,test!$A$2:$I$32,4,FALSE),test!$J$10:$P$14,7,FALSE))/1440),1,0)</f>
        <v>0</v>
      </c>
      <c r="AB152" s="2">
        <f>IF(AND(VLOOKUP(AB$1,test!$A$3:$F$32,5,FALSE) - VLOOKUP($B152,test!$A$3:$G$32,6,FALSE) &gt;= (test!$B$37+VLOOKUP(VLOOKUP($B152,test!$A$2:$I$32,4,FALSE),test!$J$10:$P$14,7,FALSE))/1440),1,0)</f>
        <v>0</v>
      </c>
      <c r="AC152" s="2">
        <f>IF(AND(VLOOKUP(AC$1,test!$A$3:$F$32,5,FALSE) - VLOOKUP($B152,test!$A$3:$G$32,6,FALSE) &gt;= (test!$B$37+VLOOKUP(VLOOKUP($B152,test!$A$2:$I$32,4,FALSE),test!$J$10:$P$14,7,FALSE))/1440),1,0)</f>
        <v>0</v>
      </c>
      <c r="AD152" s="2">
        <f>IF(AND(VLOOKUP(AD$1,test!$A$3:$F$32,5,FALSE) - VLOOKUP($B152,test!$A$3:$G$32,6,FALSE) &gt;= (test!$B$37+VLOOKUP(VLOOKUP($B152,test!$A$2:$I$32,4,FALSE),test!$J$10:$P$14,7,FALSE))/1440),1,0)</f>
        <v>0</v>
      </c>
      <c r="AE152" s="2">
        <f>IF(AND(VLOOKUP(AE$1,test!$A$3:$F$32,5,FALSE) - VLOOKUP($B152,test!$A$3:$G$32,6,FALSE) &gt;= (test!$B$37+VLOOKUP(VLOOKUP($B152,test!$A$2:$I$32,4,FALSE),test!$J$10:$P$14,7,FALSE))/1440),1,0)</f>
        <v>0</v>
      </c>
      <c r="AF152" s="2">
        <f>IF(AND(VLOOKUP(AF$1,test!$A$3:$F$32,5,FALSE) - VLOOKUP($B152,test!$A$3:$G$32,6,FALSE) &gt;= (test!$B$37+VLOOKUP(VLOOKUP($B152,test!$A$2:$I$32,4,FALSE),test!$J$10:$P$14,7,FALSE))/1440),1,0)</f>
        <v>0</v>
      </c>
      <c r="AG152" s="2">
        <f>IF(AND(VLOOKUP(AG$1,test!$A$3:$F$32,5,FALSE) - VLOOKUP($B152,test!$A$3:$G$32,6,FALSE) &gt;= (test!$B$37+VLOOKUP(VLOOKUP($B152,test!$A$2:$I$32,4,FALSE),test!$J$10:$P$14,7,FALSE))/1440),1,0)</f>
        <v>0</v>
      </c>
    </row>
    <row r="153" spans="1:33" x14ac:dyDescent="0.25">
      <c r="A153" t="s">
        <v>99</v>
      </c>
      <c r="B153" t="s">
        <v>38</v>
      </c>
      <c r="C153">
        <v>0</v>
      </c>
      <c r="D153" s="2">
        <f>IF(AND(VLOOKUP(D$1,test!$A$3:$F$32,5,FALSE) - VLOOKUP($B153,test!$A$3:$G$32,6,FALSE) &gt;= (test!$B$37+VLOOKUP(VLOOKUP($B153,test!$A$2:$I$32,4,FALSE),test!$J$10:$P$14,7,FALSE))/1440),1,0)</f>
        <v>0</v>
      </c>
      <c r="E153" s="2">
        <f>IF(AND(VLOOKUP(E$1,test!$A$3:$F$32,5,FALSE) - VLOOKUP($B153,test!$A$3:$G$32,6,FALSE) &gt;= (test!$B$37+VLOOKUP(VLOOKUP($B153,test!$A$2:$I$32,4,FALSE),test!$J$10:$P$14,7,FALSE))/1440),1,0)</f>
        <v>0</v>
      </c>
      <c r="F153" s="2">
        <f>IF(AND(VLOOKUP(F$1,test!$A$3:$F$32,5,FALSE) - VLOOKUP($B153,test!$A$3:$G$32,6,FALSE) &gt;= (test!$B$37+VLOOKUP(VLOOKUP($B153,test!$A$2:$I$32,4,FALSE),test!$J$10:$P$14,7,FALSE))/1440),1,0)</f>
        <v>0</v>
      </c>
      <c r="G153" s="2">
        <f>IF(AND(VLOOKUP(G$1,test!$A$3:$F$32,5,FALSE) - VLOOKUP($B153,test!$A$3:$G$32,6,FALSE) &gt;= (test!$B$37+VLOOKUP(VLOOKUP($B153,test!$A$2:$I$32,4,FALSE),test!$J$10:$P$14,7,FALSE))/1440),1,0)</f>
        <v>0</v>
      </c>
      <c r="H153" s="2">
        <f>IF(AND(VLOOKUP(H$1,test!$A$3:$F$32,5,FALSE) - VLOOKUP($B153,test!$A$3:$G$32,6,FALSE) &gt;= (test!$B$37+VLOOKUP(VLOOKUP($B153,test!$A$2:$I$32,4,FALSE),test!$J$10:$P$14,7,FALSE))/1440),1,0)</f>
        <v>0</v>
      </c>
      <c r="I153" s="2">
        <f>IF(AND(VLOOKUP(I$1,test!$A$3:$F$32,5,FALSE) - VLOOKUP($B153,test!$A$3:$G$32,6,FALSE) &gt;= (test!$B$37+VLOOKUP(VLOOKUP($B153,test!$A$2:$I$32,4,FALSE),test!$J$10:$P$14,7,FALSE))/1440),1,0)</f>
        <v>0</v>
      </c>
      <c r="J153" s="2">
        <f>IF(AND(VLOOKUP(J$1,test!$A$3:$F$32,5,FALSE) - VLOOKUP($B153,test!$A$3:$G$32,6,FALSE) &gt;= (test!$B$37+VLOOKUP(VLOOKUP($B153,test!$A$2:$I$32,4,FALSE),test!$J$10:$P$14,7,FALSE))/1440),1,0)</f>
        <v>0</v>
      </c>
      <c r="K153" s="2">
        <f>IF(AND(VLOOKUP(K$1,test!$A$3:$F$32,5,FALSE) - VLOOKUP($B153,test!$A$3:$G$32,6,FALSE) &gt;= (test!$B$37+VLOOKUP(VLOOKUP($B153,test!$A$2:$I$32,4,FALSE),test!$J$10:$P$14,7,FALSE))/1440),1,0)</f>
        <v>0</v>
      </c>
      <c r="L153" s="2">
        <f>IF(AND(VLOOKUP(L$1,test!$A$3:$F$32,5,FALSE) - VLOOKUP($B153,test!$A$3:$G$32,6,FALSE) &gt;= (test!$B$37+VLOOKUP(VLOOKUP($B153,test!$A$2:$I$32,4,FALSE),test!$J$10:$P$14,7,FALSE))/1440),1,0)</f>
        <v>0</v>
      </c>
      <c r="M153" s="2">
        <f>IF(AND(VLOOKUP(M$1,test!$A$3:$F$32,5,FALSE) - VLOOKUP($B153,test!$A$3:$G$32,6,FALSE) &gt;= (test!$B$37+VLOOKUP(VLOOKUP($B153,test!$A$2:$I$32,4,FALSE),test!$J$10:$P$14,7,FALSE))/1440),1,0)</f>
        <v>0</v>
      </c>
      <c r="N153" s="2">
        <f>IF(AND(VLOOKUP(N$1,test!$A$3:$F$32,5,FALSE) - VLOOKUP($B153,test!$A$3:$G$32,6,FALSE) &gt;= (test!$B$37+VLOOKUP(VLOOKUP($B153,test!$A$2:$I$32,4,FALSE),test!$J$10:$P$14,7,FALSE))/1440),1,0)</f>
        <v>0</v>
      </c>
      <c r="O153" s="2">
        <f>IF(AND(VLOOKUP(O$1,test!$A$3:$F$32,5,FALSE) - VLOOKUP($B153,test!$A$3:$G$32,6,FALSE) &gt;= (test!$B$37+VLOOKUP(VLOOKUP($B153,test!$A$2:$I$32,4,FALSE),test!$J$10:$P$14,7,FALSE))/1440),1,0)</f>
        <v>0</v>
      </c>
      <c r="P153" s="2">
        <f>IF(AND(VLOOKUP(P$1,test!$A$3:$F$32,5,FALSE) - VLOOKUP($B153,test!$A$3:$G$32,6,FALSE) &gt;= (test!$B$37+VLOOKUP(VLOOKUP($B153,test!$A$2:$I$32,4,FALSE),test!$J$10:$P$14,7,FALSE))/1440),1,0)</f>
        <v>0</v>
      </c>
      <c r="Q153" s="2">
        <f>IF(AND(VLOOKUP(Q$1,test!$A$3:$F$32,5,FALSE) - VLOOKUP($B153,test!$A$3:$G$32,6,FALSE) &gt;= (test!$B$37+VLOOKUP(VLOOKUP($B153,test!$A$2:$I$32,4,FALSE),test!$J$10:$P$14,7,FALSE))/1440),1,0)</f>
        <v>0</v>
      </c>
      <c r="R153" s="2">
        <f>IF(AND(VLOOKUP(R$1,test!$A$3:$F$32,5,FALSE) - VLOOKUP($B153,test!$A$3:$G$32,6,FALSE) &gt;= (test!$B$37+VLOOKUP(VLOOKUP($B153,test!$A$2:$I$32,4,FALSE),test!$J$10:$P$14,7,FALSE))/1440),1,0)</f>
        <v>0</v>
      </c>
      <c r="S153" s="2">
        <f>IF(AND(VLOOKUP(S$1,test!$A$3:$F$32,5,FALSE) - VLOOKUP($B153,test!$A$3:$G$32,6,FALSE) &gt;= (test!$B$37+VLOOKUP(VLOOKUP($B153,test!$A$2:$I$32,4,FALSE),test!$J$10:$P$14,7,FALSE))/1440),1,0)</f>
        <v>0</v>
      </c>
      <c r="T153" s="2">
        <f>IF(AND(VLOOKUP(T$1,test!$A$3:$F$32,5,FALSE) - VLOOKUP($B153,test!$A$3:$G$32,6,FALSE) &gt;= (test!$B$37+VLOOKUP(VLOOKUP($B153,test!$A$2:$I$32,4,FALSE),test!$J$10:$P$14,7,FALSE))/1440),1,0)</f>
        <v>0</v>
      </c>
      <c r="U153" s="2">
        <f>IF(AND(VLOOKUP(U$1,test!$A$3:$F$32,5,FALSE) - VLOOKUP($B153,test!$A$3:$G$32,6,FALSE) &gt;= (test!$B$37+VLOOKUP(VLOOKUP($B153,test!$A$2:$I$32,4,FALSE),test!$J$10:$P$14,7,FALSE))/1440),1,0)</f>
        <v>0</v>
      </c>
      <c r="V153" s="2">
        <f>IF(AND(VLOOKUP(V$1,test!$A$3:$F$32,5,FALSE) - VLOOKUP($B153,test!$A$3:$G$32,6,FALSE) &gt;= (test!$B$37+VLOOKUP(VLOOKUP($B153,test!$A$2:$I$32,4,FALSE),test!$J$10:$P$14,7,FALSE))/1440),1,0)</f>
        <v>0</v>
      </c>
      <c r="W153" s="2">
        <f>IF(AND(VLOOKUP(W$1,test!$A$3:$F$32,5,FALSE) - VLOOKUP($B153,test!$A$3:$G$32,6,FALSE) &gt;= (test!$B$37+VLOOKUP(VLOOKUP($B153,test!$A$2:$I$32,4,FALSE),test!$J$10:$P$14,7,FALSE))/1440),1,0)</f>
        <v>0</v>
      </c>
      <c r="X153" s="2">
        <f>IF(AND(VLOOKUP(X$1,test!$A$3:$F$32,5,FALSE) - VLOOKUP($B153,test!$A$3:$G$32,6,FALSE) &gt;= (test!$B$37+VLOOKUP(VLOOKUP($B153,test!$A$2:$I$32,4,FALSE),test!$J$10:$P$14,7,FALSE))/1440),1,0)</f>
        <v>0</v>
      </c>
      <c r="Y153" s="2">
        <f>IF(AND(VLOOKUP(Y$1,test!$A$3:$F$32,5,FALSE) - VLOOKUP($B153,test!$A$3:$G$32,6,FALSE) &gt;= (test!$B$37+VLOOKUP(VLOOKUP($B153,test!$A$2:$I$32,4,FALSE),test!$J$10:$P$14,7,FALSE))/1440),1,0)</f>
        <v>0</v>
      </c>
      <c r="Z153" s="2">
        <f>IF(AND(VLOOKUP(Z$1,test!$A$3:$F$32,5,FALSE) - VLOOKUP($B153,test!$A$3:$G$32,6,FALSE) &gt;= (test!$B$37+VLOOKUP(VLOOKUP($B153,test!$A$2:$I$32,4,FALSE),test!$J$10:$P$14,7,FALSE))/1440),1,0)</f>
        <v>0</v>
      </c>
      <c r="AA153" s="2">
        <f>IF(AND(VLOOKUP(AA$1,test!$A$3:$F$32,5,FALSE) - VLOOKUP($B153,test!$A$3:$G$32,6,FALSE) &gt;= (test!$B$37+VLOOKUP(VLOOKUP($B153,test!$A$2:$I$32,4,FALSE),test!$J$10:$P$14,7,FALSE))/1440),1,0)</f>
        <v>0</v>
      </c>
      <c r="AB153" s="2">
        <f>IF(AND(VLOOKUP(AB$1,test!$A$3:$F$32,5,FALSE) - VLOOKUP($B153,test!$A$3:$G$32,6,FALSE) &gt;= (test!$B$37+VLOOKUP(VLOOKUP($B153,test!$A$2:$I$32,4,FALSE),test!$J$10:$P$14,7,FALSE))/1440),1,0)</f>
        <v>0</v>
      </c>
      <c r="AC153" s="2">
        <f>IF(AND(VLOOKUP(AC$1,test!$A$3:$F$32,5,FALSE) - VLOOKUP($B153,test!$A$3:$G$32,6,FALSE) &gt;= (test!$B$37+VLOOKUP(VLOOKUP($B153,test!$A$2:$I$32,4,FALSE),test!$J$10:$P$14,7,FALSE))/1440),1,0)</f>
        <v>0</v>
      </c>
      <c r="AD153" s="2">
        <f>IF(AND(VLOOKUP(AD$1,test!$A$3:$F$32,5,FALSE) - VLOOKUP($B153,test!$A$3:$G$32,6,FALSE) &gt;= (test!$B$37+VLOOKUP(VLOOKUP($B153,test!$A$2:$I$32,4,FALSE),test!$J$10:$P$14,7,FALSE))/1440),1,0)</f>
        <v>0</v>
      </c>
      <c r="AE153" s="2">
        <f>IF(AND(VLOOKUP(AE$1,test!$A$3:$F$32,5,FALSE) - VLOOKUP($B153,test!$A$3:$G$32,6,FALSE) &gt;= (test!$B$37+VLOOKUP(VLOOKUP($B153,test!$A$2:$I$32,4,FALSE),test!$J$10:$P$14,7,FALSE))/1440),1,0)</f>
        <v>0</v>
      </c>
      <c r="AF153" s="2">
        <f>IF(AND(VLOOKUP(AF$1,test!$A$3:$F$32,5,FALSE) - VLOOKUP($B153,test!$A$3:$G$32,6,FALSE) &gt;= (test!$B$37+VLOOKUP(VLOOKUP($B153,test!$A$2:$I$32,4,FALSE),test!$J$10:$P$14,7,FALSE))/1440),1,0)</f>
        <v>0</v>
      </c>
      <c r="AG153" s="2">
        <f>IF(AND(VLOOKUP(AG$1,test!$A$3:$F$32,5,FALSE) - VLOOKUP($B153,test!$A$3:$G$32,6,FALSE) &gt;= (test!$B$37+VLOOKUP(VLOOKUP($B153,test!$A$2:$I$32,4,FALSE),test!$J$10:$P$14,7,FALSE))/1440),1,0)</f>
        <v>0</v>
      </c>
    </row>
    <row r="154" spans="1:33" x14ac:dyDescent="0.25">
      <c r="A154" t="s">
        <v>99</v>
      </c>
      <c r="B154" t="s">
        <v>39</v>
      </c>
      <c r="C154">
        <v>0</v>
      </c>
      <c r="D154" s="2">
        <f>IF(AND(VLOOKUP(D$1,test!$A$3:$F$32,5,FALSE) - VLOOKUP($B154,test!$A$3:$G$32,6,FALSE) &gt;= (test!$B$37+VLOOKUP(VLOOKUP($B154,test!$A$2:$I$32,4,FALSE),test!$J$10:$P$14,7,FALSE))/1440),1,0)</f>
        <v>0</v>
      </c>
      <c r="E154" s="2">
        <f>IF(AND(VLOOKUP(E$1,test!$A$3:$F$32,5,FALSE) - VLOOKUP($B154,test!$A$3:$G$32,6,FALSE) &gt;= (test!$B$37+VLOOKUP(VLOOKUP($B154,test!$A$2:$I$32,4,FALSE),test!$J$10:$P$14,7,FALSE))/1440),1,0)</f>
        <v>0</v>
      </c>
      <c r="F154" s="2">
        <f>IF(AND(VLOOKUP(F$1,test!$A$3:$F$32,5,FALSE) - VLOOKUP($B154,test!$A$3:$G$32,6,FALSE) &gt;= (test!$B$37+VLOOKUP(VLOOKUP($B154,test!$A$2:$I$32,4,FALSE),test!$J$10:$P$14,7,FALSE))/1440),1,0)</f>
        <v>1</v>
      </c>
      <c r="G154" s="2">
        <f>IF(AND(VLOOKUP(G$1,test!$A$3:$F$32,5,FALSE) - VLOOKUP($B154,test!$A$3:$G$32,6,FALSE) &gt;= (test!$B$37+VLOOKUP(VLOOKUP($B154,test!$A$2:$I$32,4,FALSE),test!$J$10:$P$14,7,FALSE))/1440),1,0)</f>
        <v>1</v>
      </c>
      <c r="H154" s="2">
        <f>IF(AND(VLOOKUP(H$1,test!$A$3:$F$32,5,FALSE) - VLOOKUP($B154,test!$A$3:$G$32,6,FALSE) &gt;= (test!$B$37+VLOOKUP(VLOOKUP($B154,test!$A$2:$I$32,4,FALSE),test!$J$10:$P$14,7,FALSE))/1440),1,0)</f>
        <v>1</v>
      </c>
      <c r="I154" s="2">
        <f>IF(AND(VLOOKUP(I$1,test!$A$3:$F$32,5,FALSE) - VLOOKUP($B154,test!$A$3:$G$32,6,FALSE) &gt;= (test!$B$37+VLOOKUP(VLOOKUP($B154,test!$A$2:$I$32,4,FALSE),test!$J$10:$P$14,7,FALSE))/1440),1,0)</f>
        <v>1</v>
      </c>
      <c r="J154" s="2">
        <f>IF(AND(VLOOKUP(J$1,test!$A$3:$F$32,5,FALSE) - VLOOKUP($B154,test!$A$3:$G$32,6,FALSE) &gt;= (test!$B$37+VLOOKUP(VLOOKUP($B154,test!$A$2:$I$32,4,FALSE),test!$J$10:$P$14,7,FALSE))/1440),1,0)</f>
        <v>1</v>
      </c>
      <c r="K154" s="2">
        <f>IF(AND(VLOOKUP(K$1,test!$A$3:$F$32,5,FALSE) - VLOOKUP($B154,test!$A$3:$G$32,6,FALSE) &gt;= (test!$B$37+VLOOKUP(VLOOKUP($B154,test!$A$2:$I$32,4,FALSE),test!$J$10:$P$14,7,FALSE))/1440),1,0)</f>
        <v>1</v>
      </c>
      <c r="L154" s="2">
        <f>IF(AND(VLOOKUP(L$1,test!$A$3:$F$32,5,FALSE) - VLOOKUP($B154,test!$A$3:$G$32,6,FALSE) &gt;= (test!$B$37+VLOOKUP(VLOOKUP($B154,test!$A$2:$I$32,4,FALSE),test!$J$10:$P$14,7,FALSE))/1440),1,0)</f>
        <v>0</v>
      </c>
      <c r="M154" s="2">
        <f>IF(AND(VLOOKUP(M$1,test!$A$3:$F$32,5,FALSE) - VLOOKUP($B154,test!$A$3:$G$32,6,FALSE) &gt;= (test!$B$37+VLOOKUP(VLOOKUP($B154,test!$A$2:$I$32,4,FALSE),test!$J$10:$P$14,7,FALSE))/1440),1,0)</f>
        <v>0</v>
      </c>
      <c r="N154" s="2">
        <f>IF(AND(VLOOKUP(N$1,test!$A$3:$F$32,5,FALSE) - VLOOKUP($B154,test!$A$3:$G$32,6,FALSE) &gt;= (test!$B$37+VLOOKUP(VLOOKUP($B154,test!$A$2:$I$32,4,FALSE),test!$J$10:$P$14,7,FALSE))/1440),1,0)</f>
        <v>1</v>
      </c>
      <c r="O154" s="2">
        <f>IF(AND(VLOOKUP(O$1,test!$A$3:$F$32,5,FALSE) - VLOOKUP($B154,test!$A$3:$G$32,6,FALSE) &gt;= (test!$B$37+VLOOKUP(VLOOKUP($B154,test!$A$2:$I$32,4,FALSE),test!$J$10:$P$14,7,FALSE))/1440),1,0)</f>
        <v>1</v>
      </c>
      <c r="P154" s="2">
        <f>IF(AND(VLOOKUP(P$1,test!$A$3:$F$32,5,FALSE) - VLOOKUP($B154,test!$A$3:$G$32,6,FALSE) &gt;= (test!$B$37+VLOOKUP(VLOOKUP($B154,test!$A$2:$I$32,4,FALSE),test!$J$10:$P$14,7,FALSE))/1440),1,0)</f>
        <v>1</v>
      </c>
      <c r="Q154" s="2">
        <f>IF(AND(VLOOKUP(Q$1,test!$A$3:$F$32,5,FALSE) - VLOOKUP($B154,test!$A$3:$G$32,6,FALSE) &gt;= (test!$B$37+VLOOKUP(VLOOKUP($B154,test!$A$2:$I$32,4,FALSE),test!$J$10:$P$14,7,FALSE))/1440),1,0)</f>
        <v>0</v>
      </c>
      <c r="R154" s="2">
        <f>IF(AND(VLOOKUP(R$1,test!$A$3:$F$32,5,FALSE) - VLOOKUP($B154,test!$A$3:$G$32,6,FALSE) &gt;= (test!$B$37+VLOOKUP(VLOOKUP($B154,test!$A$2:$I$32,4,FALSE),test!$J$10:$P$14,7,FALSE))/1440),1,0)</f>
        <v>0</v>
      </c>
      <c r="S154" s="2">
        <f>IF(AND(VLOOKUP(S$1,test!$A$3:$F$32,5,FALSE) - VLOOKUP($B154,test!$A$3:$G$32,6,FALSE) &gt;= (test!$B$37+VLOOKUP(VLOOKUP($B154,test!$A$2:$I$32,4,FALSE),test!$J$10:$P$14,7,FALSE))/1440),1,0)</f>
        <v>0</v>
      </c>
      <c r="T154" s="2">
        <f>IF(AND(VLOOKUP(T$1,test!$A$3:$F$32,5,FALSE) - VLOOKUP($B154,test!$A$3:$G$32,6,FALSE) &gt;= (test!$B$37+VLOOKUP(VLOOKUP($B154,test!$A$2:$I$32,4,FALSE),test!$J$10:$P$14,7,FALSE))/1440),1,0)</f>
        <v>0</v>
      </c>
      <c r="U154" s="2">
        <f>IF(AND(VLOOKUP(U$1,test!$A$3:$F$32,5,FALSE) - VLOOKUP($B154,test!$A$3:$G$32,6,FALSE) &gt;= (test!$B$37+VLOOKUP(VLOOKUP($B154,test!$A$2:$I$32,4,FALSE),test!$J$10:$P$14,7,FALSE))/1440),1,0)</f>
        <v>1</v>
      </c>
      <c r="V154" s="2">
        <f>IF(AND(VLOOKUP(V$1,test!$A$3:$F$32,5,FALSE) - VLOOKUP($B154,test!$A$3:$G$32,6,FALSE) &gt;= (test!$B$37+VLOOKUP(VLOOKUP($B154,test!$A$2:$I$32,4,FALSE),test!$J$10:$P$14,7,FALSE))/1440),1,0)</f>
        <v>1</v>
      </c>
      <c r="W154" s="2">
        <f>IF(AND(VLOOKUP(W$1,test!$A$3:$F$32,5,FALSE) - VLOOKUP($B154,test!$A$3:$G$32,6,FALSE) &gt;= (test!$B$37+VLOOKUP(VLOOKUP($B154,test!$A$2:$I$32,4,FALSE),test!$J$10:$P$14,7,FALSE))/1440),1,0)</f>
        <v>1</v>
      </c>
      <c r="X154" s="2">
        <f>IF(AND(VLOOKUP(X$1,test!$A$3:$F$32,5,FALSE) - VLOOKUP($B154,test!$A$3:$G$32,6,FALSE) &gt;= (test!$B$37+VLOOKUP(VLOOKUP($B154,test!$A$2:$I$32,4,FALSE),test!$J$10:$P$14,7,FALSE))/1440),1,0)</f>
        <v>1</v>
      </c>
      <c r="Y154" s="2">
        <f>IF(AND(VLOOKUP(Y$1,test!$A$3:$F$32,5,FALSE) - VLOOKUP($B154,test!$A$3:$G$32,6,FALSE) &gt;= (test!$B$37+VLOOKUP(VLOOKUP($B154,test!$A$2:$I$32,4,FALSE),test!$J$10:$P$14,7,FALSE))/1440),1,0)</f>
        <v>1</v>
      </c>
      <c r="Z154" s="2">
        <f>IF(AND(VLOOKUP(Z$1,test!$A$3:$F$32,5,FALSE) - VLOOKUP($B154,test!$A$3:$G$32,6,FALSE) &gt;= (test!$B$37+VLOOKUP(VLOOKUP($B154,test!$A$2:$I$32,4,FALSE),test!$J$10:$P$14,7,FALSE))/1440),1,0)</f>
        <v>0</v>
      </c>
      <c r="AA154" s="2">
        <f>IF(AND(VLOOKUP(AA$1,test!$A$3:$F$32,5,FALSE) - VLOOKUP($B154,test!$A$3:$G$32,6,FALSE) &gt;= (test!$B$37+VLOOKUP(VLOOKUP($B154,test!$A$2:$I$32,4,FALSE),test!$J$10:$P$14,7,FALSE))/1440),1,0)</f>
        <v>0</v>
      </c>
      <c r="AB154" s="2">
        <f>IF(AND(VLOOKUP(AB$1,test!$A$3:$F$32,5,FALSE) - VLOOKUP($B154,test!$A$3:$G$32,6,FALSE) &gt;= (test!$B$37+VLOOKUP(VLOOKUP($B154,test!$A$2:$I$32,4,FALSE),test!$J$10:$P$14,7,FALSE))/1440),1,0)</f>
        <v>1</v>
      </c>
      <c r="AC154" s="2">
        <f>IF(AND(VLOOKUP(AC$1,test!$A$3:$F$32,5,FALSE) - VLOOKUP($B154,test!$A$3:$G$32,6,FALSE) &gt;= (test!$B$37+VLOOKUP(VLOOKUP($B154,test!$A$2:$I$32,4,FALSE),test!$J$10:$P$14,7,FALSE))/1440),1,0)</f>
        <v>1</v>
      </c>
      <c r="AD154" s="2">
        <f>IF(AND(VLOOKUP(AD$1,test!$A$3:$F$32,5,FALSE) - VLOOKUP($B154,test!$A$3:$G$32,6,FALSE) &gt;= (test!$B$37+VLOOKUP(VLOOKUP($B154,test!$A$2:$I$32,4,FALSE),test!$J$10:$P$14,7,FALSE))/1440),1,0)</f>
        <v>1</v>
      </c>
      <c r="AE154" s="2">
        <f>IF(AND(VLOOKUP(AE$1,test!$A$3:$F$32,5,FALSE) - VLOOKUP($B154,test!$A$3:$G$32,6,FALSE) &gt;= (test!$B$37+VLOOKUP(VLOOKUP($B154,test!$A$2:$I$32,4,FALSE),test!$J$10:$P$14,7,FALSE))/1440),1,0)</f>
        <v>0</v>
      </c>
      <c r="AF154" s="2">
        <f>IF(AND(VLOOKUP(AF$1,test!$A$3:$F$32,5,FALSE) - VLOOKUP($B154,test!$A$3:$G$32,6,FALSE) &gt;= (test!$B$37+VLOOKUP(VLOOKUP($B154,test!$A$2:$I$32,4,FALSE),test!$J$10:$P$14,7,FALSE))/1440),1,0)</f>
        <v>1</v>
      </c>
      <c r="AG154" s="2">
        <f>IF(AND(VLOOKUP(AG$1,test!$A$3:$F$32,5,FALSE) - VLOOKUP($B154,test!$A$3:$G$32,6,FALSE) &gt;= (test!$B$37+VLOOKUP(VLOOKUP($B154,test!$A$2:$I$32,4,FALSE),test!$J$10:$P$14,7,FALSE))/1440),1,0)</f>
        <v>1</v>
      </c>
    </row>
    <row r="155" spans="1:33" x14ac:dyDescent="0.25">
      <c r="A155" t="s">
        <v>99</v>
      </c>
      <c r="B155" t="s">
        <v>40</v>
      </c>
      <c r="C155">
        <v>0</v>
      </c>
      <c r="D155" s="2">
        <f>IF(AND(VLOOKUP(D$1,test!$A$3:$F$32,5,FALSE) - VLOOKUP($B155,test!$A$3:$G$32,6,FALSE) &gt;= (test!$B$37+VLOOKUP(VLOOKUP($B155,test!$A$2:$I$32,4,FALSE),test!$J$10:$P$14,7,FALSE))/1440),1,0)</f>
        <v>0</v>
      </c>
      <c r="E155" s="2">
        <f>IF(AND(VLOOKUP(E$1,test!$A$3:$F$32,5,FALSE) - VLOOKUP($B155,test!$A$3:$G$32,6,FALSE) &gt;= (test!$B$37+VLOOKUP(VLOOKUP($B155,test!$A$2:$I$32,4,FALSE),test!$J$10:$P$14,7,FALSE))/1440),1,0)</f>
        <v>0</v>
      </c>
      <c r="F155" s="2">
        <f>IF(AND(VLOOKUP(F$1,test!$A$3:$F$32,5,FALSE) - VLOOKUP($B155,test!$A$3:$G$32,6,FALSE) &gt;= (test!$B$37+VLOOKUP(VLOOKUP($B155,test!$A$2:$I$32,4,FALSE),test!$J$10:$P$14,7,FALSE))/1440),1,0)</f>
        <v>0</v>
      </c>
      <c r="G155" s="2">
        <f>IF(AND(VLOOKUP(G$1,test!$A$3:$F$32,5,FALSE) - VLOOKUP($B155,test!$A$3:$G$32,6,FALSE) &gt;= (test!$B$37+VLOOKUP(VLOOKUP($B155,test!$A$2:$I$32,4,FALSE),test!$J$10:$P$14,7,FALSE))/1440),1,0)</f>
        <v>0</v>
      </c>
      <c r="H155" s="2">
        <f>IF(AND(VLOOKUP(H$1,test!$A$3:$F$32,5,FALSE) - VLOOKUP($B155,test!$A$3:$G$32,6,FALSE) &gt;= (test!$B$37+VLOOKUP(VLOOKUP($B155,test!$A$2:$I$32,4,FALSE),test!$J$10:$P$14,7,FALSE))/1440),1,0)</f>
        <v>0</v>
      </c>
      <c r="I155" s="2">
        <f>IF(AND(VLOOKUP(I$1,test!$A$3:$F$32,5,FALSE) - VLOOKUP($B155,test!$A$3:$G$32,6,FALSE) &gt;= (test!$B$37+VLOOKUP(VLOOKUP($B155,test!$A$2:$I$32,4,FALSE),test!$J$10:$P$14,7,FALSE))/1440),1,0)</f>
        <v>0</v>
      </c>
      <c r="J155" s="2">
        <f>IF(AND(VLOOKUP(J$1,test!$A$3:$F$32,5,FALSE) - VLOOKUP($B155,test!$A$3:$G$32,6,FALSE) &gt;= (test!$B$37+VLOOKUP(VLOOKUP($B155,test!$A$2:$I$32,4,FALSE),test!$J$10:$P$14,7,FALSE))/1440),1,0)</f>
        <v>0</v>
      </c>
      <c r="K155" s="2">
        <f>IF(AND(VLOOKUP(K$1,test!$A$3:$F$32,5,FALSE) - VLOOKUP($B155,test!$A$3:$G$32,6,FALSE) &gt;= (test!$B$37+VLOOKUP(VLOOKUP($B155,test!$A$2:$I$32,4,FALSE),test!$J$10:$P$14,7,FALSE))/1440),1,0)</f>
        <v>0</v>
      </c>
      <c r="L155" s="2">
        <f>IF(AND(VLOOKUP(L$1,test!$A$3:$F$32,5,FALSE) - VLOOKUP($B155,test!$A$3:$G$32,6,FALSE) &gt;= (test!$B$37+VLOOKUP(VLOOKUP($B155,test!$A$2:$I$32,4,FALSE),test!$J$10:$P$14,7,FALSE))/1440),1,0)</f>
        <v>0</v>
      </c>
      <c r="M155" s="2">
        <f>IF(AND(VLOOKUP(M$1,test!$A$3:$F$32,5,FALSE) - VLOOKUP($B155,test!$A$3:$G$32,6,FALSE) &gt;= (test!$B$37+VLOOKUP(VLOOKUP($B155,test!$A$2:$I$32,4,FALSE),test!$J$10:$P$14,7,FALSE))/1440),1,0)</f>
        <v>0</v>
      </c>
      <c r="N155" s="2">
        <f>IF(AND(VLOOKUP(N$1,test!$A$3:$F$32,5,FALSE) - VLOOKUP($B155,test!$A$3:$G$32,6,FALSE) &gt;= (test!$B$37+VLOOKUP(VLOOKUP($B155,test!$A$2:$I$32,4,FALSE),test!$J$10:$P$14,7,FALSE))/1440),1,0)</f>
        <v>0</v>
      </c>
      <c r="O155" s="2">
        <f>IF(AND(VLOOKUP(O$1,test!$A$3:$F$32,5,FALSE) - VLOOKUP($B155,test!$A$3:$G$32,6,FALSE) &gt;= (test!$B$37+VLOOKUP(VLOOKUP($B155,test!$A$2:$I$32,4,FALSE),test!$J$10:$P$14,7,FALSE))/1440),1,0)</f>
        <v>0</v>
      </c>
      <c r="P155" s="2">
        <f>IF(AND(VLOOKUP(P$1,test!$A$3:$F$32,5,FALSE) - VLOOKUP($B155,test!$A$3:$G$32,6,FALSE) &gt;= (test!$B$37+VLOOKUP(VLOOKUP($B155,test!$A$2:$I$32,4,FALSE),test!$J$10:$P$14,7,FALSE))/1440),1,0)</f>
        <v>0</v>
      </c>
      <c r="Q155" s="2">
        <f>IF(AND(VLOOKUP(Q$1,test!$A$3:$F$32,5,FALSE) - VLOOKUP($B155,test!$A$3:$G$32,6,FALSE) &gt;= (test!$B$37+VLOOKUP(VLOOKUP($B155,test!$A$2:$I$32,4,FALSE),test!$J$10:$P$14,7,FALSE))/1440),1,0)</f>
        <v>0</v>
      </c>
      <c r="R155" s="2">
        <f>IF(AND(VLOOKUP(R$1,test!$A$3:$F$32,5,FALSE) - VLOOKUP($B155,test!$A$3:$G$32,6,FALSE) &gt;= (test!$B$37+VLOOKUP(VLOOKUP($B155,test!$A$2:$I$32,4,FALSE),test!$J$10:$P$14,7,FALSE))/1440),1,0)</f>
        <v>0</v>
      </c>
      <c r="S155" s="2">
        <f>IF(AND(VLOOKUP(S$1,test!$A$3:$F$32,5,FALSE) - VLOOKUP($B155,test!$A$3:$G$32,6,FALSE) &gt;= (test!$B$37+VLOOKUP(VLOOKUP($B155,test!$A$2:$I$32,4,FALSE),test!$J$10:$P$14,7,FALSE))/1440),1,0)</f>
        <v>0</v>
      </c>
      <c r="T155" s="2">
        <f>IF(AND(VLOOKUP(T$1,test!$A$3:$F$32,5,FALSE) - VLOOKUP($B155,test!$A$3:$G$32,6,FALSE) &gt;= (test!$B$37+VLOOKUP(VLOOKUP($B155,test!$A$2:$I$32,4,FALSE),test!$J$10:$P$14,7,FALSE))/1440),1,0)</f>
        <v>0</v>
      </c>
      <c r="U155" s="2">
        <f>IF(AND(VLOOKUP(U$1,test!$A$3:$F$32,5,FALSE) - VLOOKUP($B155,test!$A$3:$G$32,6,FALSE) &gt;= (test!$B$37+VLOOKUP(VLOOKUP($B155,test!$A$2:$I$32,4,FALSE),test!$J$10:$P$14,7,FALSE))/1440),1,0)</f>
        <v>0</v>
      </c>
      <c r="V155" s="2">
        <f>IF(AND(VLOOKUP(V$1,test!$A$3:$F$32,5,FALSE) - VLOOKUP($B155,test!$A$3:$G$32,6,FALSE) &gt;= (test!$B$37+VLOOKUP(VLOOKUP($B155,test!$A$2:$I$32,4,FALSE),test!$J$10:$P$14,7,FALSE))/1440),1,0)</f>
        <v>0</v>
      </c>
      <c r="W155" s="2">
        <f>IF(AND(VLOOKUP(W$1,test!$A$3:$F$32,5,FALSE) - VLOOKUP($B155,test!$A$3:$G$32,6,FALSE) &gt;= (test!$B$37+VLOOKUP(VLOOKUP($B155,test!$A$2:$I$32,4,FALSE),test!$J$10:$P$14,7,FALSE))/1440),1,0)</f>
        <v>0</v>
      </c>
      <c r="X155" s="2">
        <f>IF(AND(VLOOKUP(X$1,test!$A$3:$F$32,5,FALSE) - VLOOKUP($B155,test!$A$3:$G$32,6,FALSE) &gt;= (test!$B$37+VLOOKUP(VLOOKUP($B155,test!$A$2:$I$32,4,FALSE),test!$J$10:$P$14,7,FALSE))/1440),1,0)</f>
        <v>0</v>
      </c>
      <c r="Y155" s="2">
        <f>IF(AND(VLOOKUP(Y$1,test!$A$3:$F$32,5,FALSE) - VLOOKUP($B155,test!$A$3:$G$32,6,FALSE) &gt;= (test!$B$37+VLOOKUP(VLOOKUP($B155,test!$A$2:$I$32,4,FALSE),test!$J$10:$P$14,7,FALSE))/1440),1,0)</f>
        <v>0</v>
      </c>
      <c r="Z155" s="2">
        <f>IF(AND(VLOOKUP(Z$1,test!$A$3:$F$32,5,FALSE) - VLOOKUP($B155,test!$A$3:$G$32,6,FALSE) &gt;= (test!$B$37+VLOOKUP(VLOOKUP($B155,test!$A$2:$I$32,4,FALSE),test!$J$10:$P$14,7,FALSE))/1440),1,0)</f>
        <v>0</v>
      </c>
      <c r="AA155" s="2">
        <f>IF(AND(VLOOKUP(AA$1,test!$A$3:$F$32,5,FALSE) - VLOOKUP($B155,test!$A$3:$G$32,6,FALSE) &gt;= (test!$B$37+VLOOKUP(VLOOKUP($B155,test!$A$2:$I$32,4,FALSE),test!$J$10:$P$14,7,FALSE))/1440),1,0)</f>
        <v>0</v>
      </c>
      <c r="AB155" s="2">
        <f>IF(AND(VLOOKUP(AB$1,test!$A$3:$F$32,5,FALSE) - VLOOKUP($B155,test!$A$3:$G$32,6,FALSE) &gt;= (test!$B$37+VLOOKUP(VLOOKUP($B155,test!$A$2:$I$32,4,FALSE),test!$J$10:$P$14,7,FALSE))/1440),1,0)</f>
        <v>0</v>
      </c>
      <c r="AC155" s="2">
        <f>IF(AND(VLOOKUP(AC$1,test!$A$3:$F$32,5,FALSE) - VLOOKUP($B155,test!$A$3:$G$32,6,FALSE) &gt;= (test!$B$37+VLOOKUP(VLOOKUP($B155,test!$A$2:$I$32,4,FALSE),test!$J$10:$P$14,7,FALSE))/1440),1,0)</f>
        <v>0</v>
      </c>
      <c r="AD155" s="2">
        <f>IF(AND(VLOOKUP(AD$1,test!$A$3:$F$32,5,FALSE) - VLOOKUP($B155,test!$A$3:$G$32,6,FALSE) &gt;= (test!$B$37+VLOOKUP(VLOOKUP($B155,test!$A$2:$I$32,4,FALSE),test!$J$10:$P$14,7,FALSE))/1440),1,0)</f>
        <v>0</v>
      </c>
      <c r="AE155" s="2">
        <f>IF(AND(VLOOKUP(AE$1,test!$A$3:$F$32,5,FALSE) - VLOOKUP($B155,test!$A$3:$G$32,6,FALSE) &gt;= (test!$B$37+VLOOKUP(VLOOKUP($B155,test!$A$2:$I$32,4,FALSE),test!$J$10:$P$14,7,FALSE))/1440),1,0)</f>
        <v>0</v>
      </c>
      <c r="AF155" s="2">
        <f>IF(AND(VLOOKUP(AF$1,test!$A$3:$F$32,5,FALSE) - VLOOKUP($B155,test!$A$3:$G$32,6,FALSE) &gt;= (test!$B$37+VLOOKUP(VLOOKUP($B155,test!$A$2:$I$32,4,FALSE),test!$J$10:$P$14,7,FALSE))/1440),1,0)</f>
        <v>0</v>
      </c>
      <c r="AG155" s="2">
        <f>IF(AND(VLOOKUP(AG$1,test!$A$3:$F$32,5,FALSE) - VLOOKUP($B155,test!$A$3:$G$32,6,FALSE) &gt;= (test!$B$37+VLOOKUP(VLOOKUP($B155,test!$A$2:$I$32,4,FALSE),test!$J$10:$P$14,7,FALSE))/1440),1,0)</f>
        <v>0</v>
      </c>
    </row>
    <row r="156" spans="1:33" x14ac:dyDescent="0.25">
      <c r="A156" t="s">
        <v>99</v>
      </c>
      <c r="B156" t="s">
        <v>41</v>
      </c>
      <c r="C156">
        <v>0</v>
      </c>
      <c r="D156" s="2">
        <f>IF(AND(VLOOKUP(D$1,test!$A$3:$F$32,5,FALSE) - VLOOKUP($B156,test!$A$3:$G$32,6,FALSE) &gt;= (test!$B$37+VLOOKUP(VLOOKUP($B156,test!$A$2:$I$32,4,FALSE),test!$J$10:$P$14,7,FALSE))/1440),1,0)</f>
        <v>0</v>
      </c>
      <c r="E156" s="2">
        <f>IF(AND(VLOOKUP(E$1,test!$A$3:$F$32,5,FALSE) - VLOOKUP($B156,test!$A$3:$G$32,6,FALSE) &gt;= (test!$B$37+VLOOKUP(VLOOKUP($B156,test!$A$2:$I$32,4,FALSE),test!$J$10:$P$14,7,FALSE))/1440),1,0)</f>
        <v>0</v>
      </c>
      <c r="F156" s="2">
        <f>IF(AND(VLOOKUP(F$1,test!$A$3:$F$32,5,FALSE) - VLOOKUP($B156,test!$A$3:$G$32,6,FALSE) &gt;= (test!$B$37+VLOOKUP(VLOOKUP($B156,test!$A$2:$I$32,4,FALSE),test!$J$10:$P$14,7,FALSE))/1440),1,0)</f>
        <v>0</v>
      </c>
      <c r="G156" s="2">
        <f>IF(AND(VLOOKUP(G$1,test!$A$3:$F$32,5,FALSE) - VLOOKUP($B156,test!$A$3:$G$32,6,FALSE) &gt;= (test!$B$37+VLOOKUP(VLOOKUP($B156,test!$A$2:$I$32,4,FALSE),test!$J$10:$P$14,7,FALSE))/1440),1,0)</f>
        <v>0</v>
      </c>
      <c r="H156" s="2">
        <f>IF(AND(VLOOKUP(H$1,test!$A$3:$F$32,5,FALSE) - VLOOKUP($B156,test!$A$3:$G$32,6,FALSE) &gt;= (test!$B$37+VLOOKUP(VLOOKUP($B156,test!$A$2:$I$32,4,FALSE),test!$J$10:$P$14,7,FALSE))/1440),1,0)</f>
        <v>0</v>
      </c>
      <c r="I156" s="2">
        <f>IF(AND(VLOOKUP(I$1,test!$A$3:$F$32,5,FALSE) - VLOOKUP($B156,test!$A$3:$G$32,6,FALSE) &gt;= (test!$B$37+VLOOKUP(VLOOKUP($B156,test!$A$2:$I$32,4,FALSE),test!$J$10:$P$14,7,FALSE))/1440),1,0)</f>
        <v>0</v>
      </c>
      <c r="J156" s="2">
        <f>IF(AND(VLOOKUP(J$1,test!$A$3:$F$32,5,FALSE) - VLOOKUP($B156,test!$A$3:$G$32,6,FALSE) &gt;= (test!$B$37+VLOOKUP(VLOOKUP($B156,test!$A$2:$I$32,4,FALSE),test!$J$10:$P$14,7,FALSE))/1440),1,0)</f>
        <v>0</v>
      </c>
      <c r="K156" s="2">
        <f>IF(AND(VLOOKUP(K$1,test!$A$3:$F$32,5,FALSE) - VLOOKUP($B156,test!$A$3:$G$32,6,FALSE) &gt;= (test!$B$37+VLOOKUP(VLOOKUP($B156,test!$A$2:$I$32,4,FALSE),test!$J$10:$P$14,7,FALSE))/1440),1,0)</f>
        <v>0</v>
      </c>
      <c r="L156" s="2">
        <f>IF(AND(VLOOKUP(L$1,test!$A$3:$F$32,5,FALSE) - VLOOKUP($B156,test!$A$3:$G$32,6,FALSE) &gt;= (test!$B$37+VLOOKUP(VLOOKUP($B156,test!$A$2:$I$32,4,FALSE),test!$J$10:$P$14,7,FALSE))/1440),1,0)</f>
        <v>0</v>
      </c>
      <c r="M156" s="2">
        <f>IF(AND(VLOOKUP(M$1,test!$A$3:$F$32,5,FALSE) - VLOOKUP($B156,test!$A$3:$G$32,6,FALSE) &gt;= (test!$B$37+VLOOKUP(VLOOKUP($B156,test!$A$2:$I$32,4,FALSE),test!$J$10:$P$14,7,FALSE))/1440),1,0)</f>
        <v>0</v>
      </c>
      <c r="N156" s="2">
        <f>IF(AND(VLOOKUP(N$1,test!$A$3:$F$32,5,FALSE) - VLOOKUP($B156,test!$A$3:$G$32,6,FALSE) &gt;= (test!$B$37+VLOOKUP(VLOOKUP($B156,test!$A$2:$I$32,4,FALSE),test!$J$10:$P$14,7,FALSE))/1440),1,0)</f>
        <v>0</v>
      </c>
      <c r="O156" s="2">
        <f>IF(AND(VLOOKUP(O$1,test!$A$3:$F$32,5,FALSE) - VLOOKUP($B156,test!$A$3:$G$32,6,FALSE) &gt;= (test!$B$37+VLOOKUP(VLOOKUP($B156,test!$A$2:$I$32,4,FALSE),test!$J$10:$P$14,7,FALSE))/1440),1,0)</f>
        <v>0</v>
      </c>
      <c r="P156" s="2">
        <f>IF(AND(VLOOKUP(P$1,test!$A$3:$F$32,5,FALSE) - VLOOKUP($B156,test!$A$3:$G$32,6,FALSE) &gt;= (test!$B$37+VLOOKUP(VLOOKUP($B156,test!$A$2:$I$32,4,FALSE),test!$J$10:$P$14,7,FALSE))/1440),1,0)</f>
        <v>0</v>
      </c>
      <c r="Q156" s="2">
        <f>IF(AND(VLOOKUP(Q$1,test!$A$3:$F$32,5,FALSE) - VLOOKUP($B156,test!$A$3:$G$32,6,FALSE) &gt;= (test!$B$37+VLOOKUP(VLOOKUP($B156,test!$A$2:$I$32,4,FALSE),test!$J$10:$P$14,7,FALSE))/1440),1,0)</f>
        <v>0</v>
      </c>
      <c r="R156" s="2">
        <f>IF(AND(VLOOKUP(R$1,test!$A$3:$F$32,5,FALSE) - VLOOKUP($B156,test!$A$3:$G$32,6,FALSE) &gt;= (test!$B$37+VLOOKUP(VLOOKUP($B156,test!$A$2:$I$32,4,FALSE),test!$J$10:$P$14,7,FALSE))/1440),1,0)</f>
        <v>0</v>
      </c>
      <c r="S156" s="2">
        <f>IF(AND(VLOOKUP(S$1,test!$A$3:$F$32,5,FALSE) - VLOOKUP($B156,test!$A$3:$G$32,6,FALSE) &gt;= (test!$B$37+VLOOKUP(VLOOKUP($B156,test!$A$2:$I$32,4,FALSE),test!$J$10:$P$14,7,FALSE))/1440),1,0)</f>
        <v>0</v>
      </c>
      <c r="T156" s="2">
        <f>IF(AND(VLOOKUP(T$1,test!$A$3:$F$32,5,FALSE) - VLOOKUP($B156,test!$A$3:$G$32,6,FALSE) &gt;= (test!$B$37+VLOOKUP(VLOOKUP($B156,test!$A$2:$I$32,4,FALSE),test!$J$10:$P$14,7,FALSE))/1440),1,0)</f>
        <v>0</v>
      </c>
      <c r="U156" s="2">
        <f>IF(AND(VLOOKUP(U$1,test!$A$3:$F$32,5,FALSE) - VLOOKUP($B156,test!$A$3:$G$32,6,FALSE) &gt;= (test!$B$37+VLOOKUP(VLOOKUP($B156,test!$A$2:$I$32,4,FALSE),test!$J$10:$P$14,7,FALSE))/1440),1,0)</f>
        <v>0</v>
      </c>
      <c r="V156" s="2">
        <f>IF(AND(VLOOKUP(V$1,test!$A$3:$F$32,5,FALSE) - VLOOKUP($B156,test!$A$3:$G$32,6,FALSE) &gt;= (test!$B$37+VLOOKUP(VLOOKUP($B156,test!$A$2:$I$32,4,FALSE),test!$J$10:$P$14,7,FALSE))/1440),1,0)</f>
        <v>0</v>
      </c>
      <c r="W156" s="2">
        <f>IF(AND(VLOOKUP(W$1,test!$A$3:$F$32,5,FALSE) - VLOOKUP($B156,test!$A$3:$G$32,6,FALSE) &gt;= (test!$B$37+VLOOKUP(VLOOKUP($B156,test!$A$2:$I$32,4,FALSE),test!$J$10:$P$14,7,FALSE))/1440),1,0)</f>
        <v>0</v>
      </c>
      <c r="X156" s="2">
        <f>IF(AND(VLOOKUP(X$1,test!$A$3:$F$32,5,FALSE) - VLOOKUP($B156,test!$A$3:$G$32,6,FALSE) &gt;= (test!$B$37+VLOOKUP(VLOOKUP($B156,test!$A$2:$I$32,4,FALSE),test!$J$10:$P$14,7,FALSE))/1440),1,0)</f>
        <v>0</v>
      </c>
      <c r="Y156" s="2">
        <f>IF(AND(VLOOKUP(Y$1,test!$A$3:$F$32,5,FALSE) - VLOOKUP($B156,test!$A$3:$G$32,6,FALSE) &gt;= (test!$B$37+VLOOKUP(VLOOKUP($B156,test!$A$2:$I$32,4,FALSE),test!$J$10:$P$14,7,FALSE))/1440),1,0)</f>
        <v>0</v>
      </c>
      <c r="Z156" s="2">
        <f>IF(AND(VLOOKUP(Z$1,test!$A$3:$F$32,5,FALSE) - VLOOKUP($B156,test!$A$3:$G$32,6,FALSE) &gt;= (test!$B$37+VLOOKUP(VLOOKUP($B156,test!$A$2:$I$32,4,FALSE),test!$J$10:$P$14,7,FALSE))/1440),1,0)</f>
        <v>0</v>
      </c>
      <c r="AA156" s="2">
        <f>IF(AND(VLOOKUP(AA$1,test!$A$3:$F$32,5,FALSE) - VLOOKUP($B156,test!$A$3:$G$32,6,FALSE) &gt;= (test!$B$37+VLOOKUP(VLOOKUP($B156,test!$A$2:$I$32,4,FALSE),test!$J$10:$P$14,7,FALSE))/1440),1,0)</f>
        <v>0</v>
      </c>
      <c r="AB156" s="2">
        <f>IF(AND(VLOOKUP(AB$1,test!$A$3:$F$32,5,FALSE) - VLOOKUP($B156,test!$A$3:$G$32,6,FALSE) &gt;= (test!$B$37+VLOOKUP(VLOOKUP($B156,test!$A$2:$I$32,4,FALSE),test!$J$10:$P$14,7,FALSE))/1440),1,0)</f>
        <v>0</v>
      </c>
      <c r="AC156" s="2">
        <f>IF(AND(VLOOKUP(AC$1,test!$A$3:$F$32,5,FALSE) - VLOOKUP($B156,test!$A$3:$G$32,6,FALSE) &gt;= (test!$B$37+VLOOKUP(VLOOKUP($B156,test!$A$2:$I$32,4,FALSE),test!$J$10:$P$14,7,FALSE))/1440),1,0)</f>
        <v>0</v>
      </c>
      <c r="AD156" s="2">
        <f>IF(AND(VLOOKUP(AD$1,test!$A$3:$F$32,5,FALSE) - VLOOKUP($B156,test!$A$3:$G$32,6,FALSE) &gt;= (test!$B$37+VLOOKUP(VLOOKUP($B156,test!$A$2:$I$32,4,FALSE),test!$J$10:$P$14,7,FALSE))/1440),1,0)</f>
        <v>0</v>
      </c>
      <c r="AE156" s="2">
        <f>IF(AND(VLOOKUP(AE$1,test!$A$3:$F$32,5,FALSE) - VLOOKUP($B156,test!$A$3:$G$32,6,FALSE) &gt;= (test!$B$37+VLOOKUP(VLOOKUP($B156,test!$A$2:$I$32,4,FALSE),test!$J$10:$P$14,7,FALSE))/1440),1,0)</f>
        <v>0</v>
      </c>
      <c r="AF156" s="2">
        <f>IF(AND(VLOOKUP(AF$1,test!$A$3:$F$32,5,FALSE) - VLOOKUP($B156,test!$A$3:$G$32,6,FALSE) &gt;= (test!$B$37+VLOOKUP(VLOOKUP($B156,test!$A$2:$I$32,4,FALSE),test!$J$10:$P$14,7,FALSE))/1440),1,0)</f>
        <v>0</v>
      </c>
      <c r="AG156" s="2">
        <f>IF(AND(VLOOKUP(AG$1,test!$A$3:$F$32,5,FALSE) - VLOOKUP($B156,test!$A$3:$G$32,6,FALSE) &gt;= (test!$B$37+VLOOKUP(VLOOKUP($B156,test!$A$2:$I$32,4,FALSE),test!$J$10:$P$14,7,FALSE))/1440),1,0)</f>
        <v>0</v>
      </c>
    </row>
  </sheetData>
  <conditionalFormatting sqref="D3:AG32 D33:D156 E34:AG63 E65:AG94 E96:AG156">
    <cfRule type="cellIs" dxfId="1" priority="3" operator="equal">
      <formula>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EF36-2DE6-4E7F-B863-53B7C0B41BB7}">
  <dimension ref="A1:AF32"/>
  <sheetViews>
    <sheetView topLeftCell="A13" workbookViewId="0">
      <selection activeCell="AF32" sqref="AF32"/>
    </sheetView>
  </sheetViews>
  <sheetFormatPr defaultRowHeight="15" x14ac:dyDescent="0.25"/>
  <sheetData>
    <row r="1" spans="1:32" x14ac:dyDescent="0.25">
      <c r="B1" t="s">
        <v>46</v>
      </c>
      <c r="C1" t="s">
        <v>6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18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</row>
    <row r="2" spans="1:32" x14ac:dyDescent="0.2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6</v>
      </c>
      <c r="B3">
        <v>0</v>
      </c>
      <c r="C3" s="2">
        <f>IF(AND(VLOOKUP(C$1,test!$A$3:$F$32,5,FALSE) - VLOOKUP($A3,test!$A$3:$G$32,6,FALSE) &gt;= (test!$B$33)/1440),1,0)</f>
        <v>0</v>
      </c>
      <c r="D3" s="2">
        <f>IF(AND(VLOOKUP(D$1,test!$A$3:$F$32,5,FALSE) - VLOOKUP($A3,test!$A$3:$G$32,6,FALSE) &gt;= (test!$B$33)/1440),1,0)</f>
        <v>0</v>
      </c>
      <c r="E3" s="2">
        <f>IF(AND(VLOOKUP(E$1,test!$A$3:$F$32,5,FALSE) - VLOOKUP($A3,test!$A$3:$G$32,6,FALSE) &gt;= (test!$B$33)/1440),1,0)</f>
        <v>1</v>
      </c>
      <c r="F3" s="2">
        <f>IF(AND(VLOOKUP(F$1,test!$A$3:$F$32,5,FALSE) - VLOOKUP($A3,test!$A$3:$G$32,6,FALSE) &gt;= (test!$B$33)/1440),1,0)</f>
        <v>1</v>
      </c>
      <c r="G3" s="2">
        <f>IF(AND(VLOOKUP(G$1,test!$A$3:$F$32,5,FALSE) - VLOOKUP($A3,test!$A$3:$G$32,6,FALSE) &gt;= (test!$B$33)/1440),1,0)</f>
        <v>1</v>
      </c>
      <c r="H3" s="2">
        <f>IF(AND(VLOOKUP(H$1,test!$A$3:$F$32,5,FALSE) - VLOOKUP($A3,test!$A$3:$G$32,6,FALSE) &gt;= (test!$B$33)/1440),1,0)</f>
        <v>1</v>
      </c>
      <c r="I3" s="2">
        <f>IF(AND(VLOOKUP(I$1,test!$A$3:$F$32,5,FALSE) - VLOOKUP($A3,test!$A$3:$G$32,6,FALSE) &gt;= (test!$B$33)/1440),1,0)</f>
        <v>1</v>
      </c>
      <c r="J3" s="2">
        <f>IF(AND(VLOOKUP(J$1,test!$A$3:$F$32,5,FALSE) - VLOOKUP($A3,test!$A$3:$G$32,6,FALSE) &gt;= (test!$B$33)/1440),1,0)</f>
        <v>1</v>
      </c>
      <c r="K3" s="2">
        <f>IF(AND(VLOOKUP(K$1,test!$A$3:$F$32,5,FALSE) - VLOOKUP($A3,test!$A$3:$G$32,6,FALSE) &gt;= (test!$B$33)/1440),1,0)</f>
        <v>0</v>
      </c>
      <c r="L3" s="2">
        <f>IF(AND(VLOOKUP(L$1,test!$A$3:$F$32,5,FALSE) - VLOOKUP($A3,test!$A$3:$G$32,6,FALSE) &gt;= (test!$B$33)/1440),1,0)</f>
        <v>0</v>
      </c>
      <c r="M3" s="2">
        <f>IF(AND(VLOOKUP(M$1,test!$A$3:$F$32,5,FALSE) - VLOOKUP($A3,test!$A$3:$G$32,6,FALSE) &gt;= (test!$B$33)/1440),1,0)</f>
        <v>1</v>
      </c>
      <c r="N3" s="2">
        <f>IF(AND(VLOOKUP(N$1,test!$A$3:$F$32,5,FALSE) - VLOOKUP($A3,test!$A$3:$G$32,6,FALSE) &gt;= (test!$B$33)/1440),1,0)</f>
        <v>1</v>
      </c>
      <c r="O3" s="2">
        <f>IF(AND(VLOOKUP(O$1,test!$A$3:$F$32,5,FALSE) - VLOOKUP($A3,test!$A$3:$G$32,6,FALSE) &gt;= (test!$B$33)/1440),1,0)</f>
        <v>1</v>
      </c>
      <c r="P3" s="2">
        <f>IF(AND(VLOOKUP(P$1,test!$A$3:$F$32,5,FALSE) - VLOOKUP($A3,test!$A$3:$G$32,6,FALSE) &gt;= (test!$B$33)/1440),1,0)</f>
        <v>0</v>
      </c>
      <c r="Q3" s="2">
        <f>IF(AND(VLOOKUP(Q$1,test!$A$3:$F$32,5,FALSE) - VLOOKUP($A3,test!$A$3:$G$32,6,FALSE) &gt;= (test!$B$33)/1440),1,0)</f>
        <v>0</v>
      </c>
      <c r="R3" s="2">
        <f>IF(AND(VLOOKUP(R$1,test!$A$3:$F$32,5,FALSE) - VLOOKUP($A3,test!$A$3:$G$32,6,FALSE) &gt;= (test!$B$33)/1440),1,0)</f>
        <v>0</v>
      </c>
      <c r="S3" s="2">
        <f>IF(AND(VLOOKUP(S$1,test!$A$3:$F$32,5,FALSE) - VLOOKUP($A3,test!$A$3:$G$32,6,FALSE) &gt;= (test!$B$33)/1440),1,0)</f>
        <v>0</v>
      </c>
      <c r="T3" s="2">
        <f>IF(AND(VLOOKUP(T$1,test!$A$3:$F$32,5,FALSE) - VLOOKUP($A3,test!$A$3:$G$32,6,FALSE) &gt;= (test!$B$33)/1440),1,0)</f>
        <v>1</v>
      </c>
      <c r="U3" s="2">
        <f>IF(AND(VLOOKUP(U$1,test!$A$3:$F$32,5,FALSE) - VLOOKUP($A3,test!$A$3:$G$32,6,FALSE) &gt;= (test!$B$33)/1440),1,0)</f>
        <v>1</v>
      </c>
      <c r="V3" s="2">
        <f>IF(AND(VLOOKUP(V$1,test!$A$3:$F$32,5,FALSE) - VLOOKUP($A3,test!$A$3:$G$32,6,FALSE) &gt;= (test!$B$33)/1440),1,0)</f>
        <v>1</v>
      </c>
      <c r="W3" s="2">
        <f>IF(AND(VLOOKUP(W$1,test!$A$3:$F$32,5,FALSE) - VLOOKUP($A3,test!$A$3:$G$32,6,FALSE) &gt;= (test!$B$33)/1440),1,0)</f>
        <v>1</v>
      </c>
      <c r="X3" s="2">
        <f>IF(AND(VLOOKUP(X$1,test!$A$3:$F$32,5,FALSE) - VLOOKUP($A3,test!$A$3:$G$32,6,FALSE) &gt;= (test!$B$33)/1440),1,0)</f>
        <v>1</v>
      </c>
      <c r="Y3" s="2">
        <f>IF(AND(VLOOKUP(Y$1,test!$A$3:$F$32,5,FALSE) - VLOOKUP($A3,test!$A$3:$G$32,6,FALSE) &gt;= (test!$B$33)/1440),1,0)</f>
        <v>0</v>
      </c>
      <c r="Z3" s="2">
        <f>IF(AND(VLOOKUP(Z$1,test!$A$3:$F$32,5,FALSE) - VLOOKUP($A3,test!$A$3:$G$32,6,FALSE) &gt;= (test!$B$33)/1440),1,0)</f>
        <v>0</v>
      </c>
      <c r="AA3" s="2">
        <f>IF(AND(VLOOKUP(AA$1,test!$A$3:$F$32,5,FALSE) - VLOOKUP($A3,test!$A$3:$G$32,6,FALSE) &gt;= (test!$B$33)/1440),1,0)</f>
        <v>1</v>
      </c>
      <c r="AB3" s="2">
        <f>IF(AND(VLOOKUP(AB$1,test!$A$3:$F$32,5,FALSE) - VLOOKUP($A3,test!$A$3:$G$32,6,FALSE) &gt;= (test!$B$33)/1440),1,0)</f>
        <v>1</v>
      </c>
      <c r="AC3" s="2">
        <f>IF(AND(VLOOKUP(AC$1,test!$A$3:$F$32,5,FALSE) - VLOOKUP($A3,test!$A$3:$G$32,6,FALSE) &gt;= (test!$B$33)/1440),1,0)</f>
        <v>1</v>
      </c>
      <c r="AD3" s="2">
        <f>IF(AND(VLOOKUP(AD$1,test!$A$3:$F$32,5,FALSE) - VLOOKUP($A3,test!$A$3:$G$32,6,FALSE) &gt;= (test!$B$33)/1440),1,0)</f>
        <v>0</v>
      </c>
      <c r="AE3" s="2">
        <f>IF(AND(VLOOKUP(AE$1,test!$A$3:$F$32,5,FALSE) - VLOOKUP($A3,test!$A$3:$G$32,6,FALSE) &gt;= (test!$B$33)/1440),1,0)</f>
        <v>1</v>
      </c>
      <c r="AF3" s="2">
        <f>IF(AND(VLOOKUP(AF$1,test!$A$3:$F$32,5,FALSE) - VLOOKUP($A3,test!$A$3:$G$32,6,FALSE) &gt;= (test!$B$33)/1440),1,0)</f>
        <v>1</v>
      </c>
    </row>
    <row r="4" spans="1:32" x14ac:dyDescent="0.25">
      <c r="A4" t="s">
        <v>9</v>
      </c>
      <c r="B4">
        <v>0</v>
      </c>
      <c r="C4" s="2">
        <f>IF(AND(VLOOKUP(C$1,test!$A$3:$F$32,5,FALSE) - VLOOKUP($A4,test!$A$3:$G$32,6,FALSE) &gt;= (test!$B$33)/1440),1,0)</f>
        <v>0</v>
      </c>
      <c r="D4" s="2">
        <f>IF(AND(VLOOKUP(D$1,test!$A$3:$F$32,5,FALSE) - VLOOKUP($A4,test!$A$3:$G$32,6,FALSE) &gt;= (test!$B$33)/1440),1,0)</f>
        <v>0</v>
      </c>
      <c r="E4" s="2">
        <f>IF(AND(VLOOKUP(E$1,test!$A$3:$F$32,5,FALSE) - VLOOKUP($A4,test!$A$3:$G$32,6,FALSE) &gt;= (test!$B$33)/1440),1,0)</f>
        <v>0</v>
      </c>
      <c r="F4" s="2">
        <f>IF(AND(VLOOKUP(F$1,test!$A$3:$F$32,5,FALSE) - VLOOKUP($A4,test!$A$3:$G$32,6,FALSE) &gt;= (test!$B$33)/1440),1,0)</f>
        <v>0</v>
      </c>
      <c r="G4" s="2">
        <f>IF(AND(VLOOKUP(G$1,test!$A$3:$F$32,5,FALSE) - VLOOKUP($A4,test!$A$3:$G$32,6,FALSE) &gt;= (test!$B$33)/1440),1,0)</f>
        <v>1</v>
      </c>
      <c r="H4" s="2">
        <f>IF(AND(VLOOKUP(H$1,test!$A$3:$F$32,5,FALSE) - VLOOKUP($A4,test!$A$3:$G$32,6,FALSE) &gt;= (test!$B$33)/1440),1,0)</f>
        <v>1</v>
      </c>
      <c r="I4" s="2">
        <f>IF(AND(VLOOKUP(I$1,test!$A$3:$F$32,5,FALSE) - VLOOKUP($A4,test!$A$3:$G$32,6,FALSE) &gt;= (test!$B$33)/1440),1,0)</f>
        <v>1</v>
      </c>
      <c r="J4" s="2">
        <f>IF(AND(VLOOKUP(J$1,test!$A$3:$F$32,5,FALSE) - VLOOKUP($A4,test!$A$3:$G$32,6,FALSE) &gt;= (test!$B$33)/1440),1,0)</f>
        <v>1</v>
      </c>
      <c r="K4" s="2">
        <f>IF(AND(VLOOKUP(K$1,test!$A$3:$F$32,5,FALSE) - VLOOKUP($A4,test!$A$3:$G$32,6,FALSE) &gt;= (test!$B$33)/1440),1,0)</f>
        <v>0</v>
      </c>
      <c r="L4" s="2">
        <f>IF(AND(VLOOKUP(L$1,test!$A$3:$F$32,5,FALSE) - VLOOKUP($A4,test!$A$3:$G$32,6,FALSE) &gt;= (test!$B$33)/1440),1,0)</f>
        <v>0</v>
      </c>
      <c r="M4" s="2">
        <f>IF(AND(VLOOKUP(M$1,test!$A$3:$F$32,5,FALSE) - VLOOKUP($A4,test!$A$3:$G$32,6,FALSE) &gt;= (test!$B$33)/1440),1,0)</f>
        <v>0</v>
      </c>
      <c r="N4" s="2">
        <f>IF(AND(VLOOKUP(N$1,test!$A$3:$F$32,5,FALSE) - VLOOKUP($A4,test!$A$3:$G$32,6,FALSE) &gt;= (test!$B$33)/1440),1,0)</f>
        <v>1</v>
      </c>
      <c r="O4" s="2">
        <f>IF(AND(VLOOKUP(O$1,test!$A$3:$F$32,5,FALSE) - VLOOKUP($A4,test!$A$3:$G$32,6,FALSE) &gt;= (test!$B$33)/1440),1,0)</f>
        <v>1</v>
      </c>
      <c r="P4" s="2">
        <f>IF(AND(VLOOKUP(P$1,test!$A$3:$F$32,5,FALSE) - VLOOKUP($A4,test!$A$3:$G$32,6,FALSE) &gt;= (test!$B$33)/1440),1,0)</f>
        <v>0</v>
      </c>
      <c r="Q4" s="2">
        <f>IF(AND(VLOOKUP(Q$1,test!$A$3:$F$32,5,FALSE) - VLOOKUP($A4,test!$A$3:$G$32,6,FALSE) &gt;= (test!$B$33)/1440),1,0)</f>
        <v>0</v>
      </c>
      <c r="R4" s="2">
        <f>IF(AND(VLOOKUP(R$1,test!$A$3:$F$32,5,FALSE) - VLOOKUP($A4,test!$A$3:$G$32,6,FALSE) &gt;= (test!$B$33)/1440),1,0)</f>
        <v>0</v>
      </c>
      <c r="S4" s="2">
        <f>IF(AND(VLOOKUP(S$1,test!$A$3:$F$32,5,FALSE) - VLOOKUP($A4,test!$A$3:$G$32,6,FALSE) &gt;= (test!$B$33)/1440),1,0)</f>
        <v>0</v>
      </c>
      <c r="T4" s="2">
        <f>IF(AND(VLOOKUP(T$1,test!$A$3:$F$32,5,FALSE) - VLOOKUP($A4,test!$A$3:$G$32,6,FALSE) &gt;= (test!$B$33)/1440),1,0)</f>
        <v>0</v>
      </c>
      <c r="U4" s="2">
        <f>IF(AND(VLOOKUP(U$1,test!$A$3:$F$32,5,FALSE) - VLOOKUP($A4,test!$A$3:$G$32,6,FALSE) &gt;= (test!$B$33)/1440),1,0)</f>
        <v>0</v>
      </c>
      <c r="V4" s="2">
        <f>IF(AND(VLOOKUP(V$1,test!$A$3:$F$32,5,FALSE) - VLOOKUP($A4,test!$A$3:$G$32,6,FALSE) &gt;= (test!$B$33)/1440),1,0)</f>
        <v>1</v>
      </c>
      <c r="W4" s="2">
        <f>IF(AND(VLOOKUP(W$1,test!$A$3:$F$32,5,FALSE) - VLOOKUP($A4,test!$A$3:$G$32,6,FALSE) &gt;= (test!$B$33)/1440),1,0)</f>
        <v>1</v>
      </c>
      <c r="X4" s="2">
        <f>IF(AND(VLOOKUP(X$1,test!$A$3:$F$32,5,FALSE) - VLOOKUP($A4,test!$A$3:$G$32,6,FALSE) &gt;= (test!$B$33)/1440),1,0)</f>
        <v>1</v>
      </c>
      <c r="Y4" s="2">
        <f>IF(AND(VLOOKUP(Y$1,test!$A$3:$F$32,5,FALSE) - VLOOKUP($A4,test!$A$3:$G$32,6,FALSE) &gt;= (test!$B$33)/1440),1,0)</f>
        <v>0</v>
      </c>
      <c r="Z4" s="2">
        <f>IF(AND(VLOOKUP(Z$1,test!$A$3:$F$32,5,FALSE) - VLOOKUP($A4,test!$A$3:$G$32,6,FALSE) &gt;= (test!$B$33)/1440),1,0)</f>
        <v>0</v>
      </c>
      <c r="AA4" s="2">
        <f>IF(AND(VLOOKUP(AA$1,test!$A$3:$F$32,5,FALSE) - VLOOKUP($A4,test!$A$3:$G$32,6,FALSE) &gt;= (test!$B$33)/1440),1,0)</f>
        <v>0</v>
      </c>
      <c r="AB4" s="2">
        <f>IF(AND(VLOOKUP(AB$1,test!$A$3:$F$32,5,FALSE) - VLOOKUP($A4,test!$A$3:$G$32,6,FALSE) &gt;= (test!$B$33)/1440),1,0)</f>
        <v>0</v>
      </c>
      <c r="AC4" s="2">
        <f>IF(AND(VLOOKUP(AC$1,test!$A$3:$F$32,5,FALSE) - VLOOKUP($A4,test!$A$3:$G$32,6,FALSE) &gt;= (test!$B$33)/1440),1,0)</f>
        <v>1</v>
      </c>
      <c r="AD4" s="2">
        <f>IF(AND(VLOOKUP(AD$1,test!$A$3:$F$32,5,FALSE) - VLOOKUP($A4,test!$A$3:$G$32,6,FALSE) &gt;= (test!$B$33)/1440),1,0)</f>
        <v>0</v>
      </c>
      <c r="AE4" s="2">
        <f>IF(AND(VLOOKUP(AE$1,test!$A$3:$F$32,5,FALSE) - VLOOKUP($A4,test!$A$3:$G$32,6,FALSE) &gt;= (test!$B$33)/1440),1,0)</f>
        <v>0</v>
      </c>
      <c r="AF4" s="2">
        <f>IF(AND(VLOOKUP(AF$1,test!$A$3:$F$32,5,FALSE) - VLOOKUP($A4,test!$A$3:$G$32,6,FALSE) &gt;= (test!$B$33)/1440),1,0)</f>
        <v>0</v>
      </c>
    </row>
    <row r="5" spans="1:32" x14ac:dyDescent="0.25">
      <c r="A5" t="s">
        <v>10</v>
      </c>
      <c r="B5">
        <v>0</v>
      </c>
      <c r="C5" s="2">
        <f>IF(AND(VLOOKUP(C$1,test!$A$3:$F$32,5,FALSE) - VLOOKUP($A5,test!$A$3:$G$32,6,FALSE) &gt;= (test!$B$33)/1440),1,0)</f>
        <v>0</v>
      </c>
      <c r="D5" s="2">
        <f>IF(AND(VLOOKUP(D$1,test!$A$3:$F$32,5,FALSE) - VLOOKUP($A5,test!$A$3:$G$32,6,FALSE) &gt;= (test!$B$33)/1440),1,0)</f>
        <v>0</v>
      </c>
      <c r="E5" s="2">
        <f>IF(AND(VLOOKUP(E$1,test!$A$3:$F$32,5,FALSE) - VLOOKUP($A5,test!$A$3:$G$32,6,FALSE) &gt;= (test!$B$33)/1440),1,0)</f>
        <v>0</v>
      </c>
      <c r="F5" s="2">
        <f>IF(AND(VLOOKUP(F$1,test!$A$3:$F$32,5,FALSE) - VLOOKUP($A5,test!$A$3:$G$32,6,FALSE) &gt;= (test!$B$33)/1440),1,0)</f>
        <v>0</v>
      </c>
      <c r="G5" s="2">
        <f>IF(AND(VLOOKUP(G$1,test!$A$3:$F$32,5,FALSE) - VLOOKUP($A5,test!$A$3:$G$32,6,FALSE) &gt;= (test!$B$33)/1440),1,0)</f>
        <v>0</v>
      </c>
      <c r="H5" s="2">
        <f>IF(AND(VLOOKUP(H$1,test!$A$3:$F$32,5,FALSE) - VLOOKUP($A5,test!$A$3:$G$32,6,FALSE) &gt;= (test!$B$33)/1440),1,0)</f>
        <v>1</v>
      </c>
      <c r="I5" s="2">
        <f>IF(AND(VLOOKUP(I$1,test!$A$3:$F$32,5,FALSE) - VLOOKUP($A5,test!$A$3:$G$32,6,FALSE) &gt;= (test!$B$33)/1440),1,0)</f>
        <v>1</v>
      </c>
      <c r="J5" s="2">
        <f>IF(AND(VLOOKUP(J$1,test!$A$3:$F$32,5,FALSE) - VLOOKUP($A5,test!$A$3:$G$32,6,FALSE) &gt;= (test!$B$33)/1440),1,0)</f>
        <v>1</v>
      </c>
      <c r="K5" s="2">
        <f>IF(AND(VLOOKUP(K$1,test!$A$3:$F$32,5,FALSE) - VLOOKUP($A5,test!$A$3:$G$32,6,FALSE) &gt;= (test!$B$33)/1440),1,0)</f>
        <v>0</v>
      </c>
      <c r="L5" s="2">
        <f>IF(AND(VLOOKUP(L$1,test!$A$3:$F$32,5,FALSE) - VLOOKUP($A5,test!$A$3:$G$32,6,FALSE) &gt;= (test!$B$33)/1440),1,0)</f>
        <v>0</v>
      </c>
      <c r="M5" s="2">
        <f>IF(AND(VLOOKUP(M$1,test!$A$3:$F$32,5,FALSE) - VLOOKUP($A5,test!$A$3:$G$32,6,FALSE) &gt;= (test!$B$33)/1440),1,0)</f>
        <v>0</v>
      </c>
      <c r="N5" s="2">
        <f>IF(AND(VLOOKUP(N$1,test!$A$3:$F$32,5,FALSE) - VLOOKUP($A5,test!$A$3:$G$32,6,FALSE) &gt;= (test!$B$33)/1440),1,0)</f>
        <v>1</v>
      </c>
      <c r="O5" s="2">
        <f>IF(AND(VLOOKUP(O$1,test!$A$3:$F$32,5,FALSE) - VLOOKUP($A5,test!$A$3:$G$32,6,FALSE) &gt;= (test!$B$33)/1440),1,0)</f>
        <v>1</v>
      </c>
      <c r="P5" s="2">
        <f>IF(AND(VLOOKUP(P$1,test!$A$3:$F$32,5,FALSE) - VLOOKUP($A5,test!$A$3:$G$32,6,FALSE) &gt;= (test!$B$33)/1440),1,0)</f>
        <v>0</v>
      </c>
      <c r="Q5" s="2">
        <f>IF(AND(VLOOKUP(Q$1,test!$A$3:$F$32,5,FALSE) - VLOOKUP($A5,test!$A$3:$G$32,6,FALSE) &gt;= (test!$B$33)/1440),1,0)</f>
        <v>0</v>
      </c>
      <c r="R5" s="2">
        <f>IF(AND(VLOOKUP(R$1,test!$A$3:$F$32,5,FALSE) - VLOOKUP($A5,test!$A$3:$G$32,6,FALSE) &gt;= (test!$B$33)/1440),1,0)</f>
        <v>0</v>
      </c>
      <c r="S5" s="2">
        <f>IF(AND(VLOOKUP(S$1,test!$A$3:$F$32,5,FALSE) - VLOOKUP($A5,test!$A$3:$G$32,6,FALSE) &gt;= (test!$B$33)/1440),1,0)</f>
        <v>0</v>
      </c>
      <c r="T5" s="2">
        <f>IF(AND(VLOOKUP(T$1,test!$A$3:$F$32,5,FALSE) - VLOOKUP($A5,test!$A$3:$G$32,6,FALSE) &gt;= (test!$B$33)/1440),1,0)</f>
        <v>0</v>
      </c>
      <c r="U5" s="2">
        <f>IF(AND(VLOOKUP(U$1,test!$A$3:$F$32,5,FALSE) - VLOOKUP($A5,test!$A$3:$G$32,6,FALSE) &gt;= (test!$B$33)/1440),1,0)</f>
        <v>0</v>
      </c>
      <c r="V5" s="2">
        <f>IF(AND(VLOOKUP(V$1,test!$A$3:$F$32,5,FALSE) - VLOOKUP($A5,test!$A$3:$G$32,6,FALSE) &gt;= (test!$B$33)/1440),1,0)</f>
        <v>0</v>
      </c>
      <c r="W5" s="2">
        <f>IF(AND(VLOOKUP(W$1,test!$A$3:$F$32,5,FALSE) - VLOOKUP($A5,test!$A$3:$G$32,6,FALSE) &gt;= (test!$B$33)/1440),1,0)</f>
        <v>1</v>
      </c>
      <c r="X5" s="2">
        <f>IF(AND(VLOOKUP(X$1,test!$A$3:$F$32,5,FALSE) - VLOOKUP($A5,test!$A$3:$G$32,6,FALSE) &gt;= (test!$B$33)/1440),1,0)</f>
        <v>1</v>
      </c>
      <c r="Y5" s="2">
        <f>IF(AND(VLOOKUP(Y$1,test!$A$3:$F$32,5,FALSE) - VLOOKUP($A5,test!$A$3:$G$32,6,FALSE) &gt;= (test!$B$33)/1440),1,0)</f>
        <v>0</v>
      </c>
      <c r="Z5" s="2">
        <f>IF(AND(VLOOKUP(Z$1,test!$A$3:$F$32,5,FALSE) - VLOOKUP($A5,test!$A$3:$G$32,6,FALSE) &gt;= (test!$B$33)/1440),1,0)</f>
        <v>0</v>
      </c>
      <c r="AA5" s="2">
        <f>IF(AND(VLOOKUP(AA$1,test!$A$3:$F$32,5,FALSE) - VLOOKUP($A5,test!$A$3:$G$32,6,FALSE) &gt;= (test!$B$33)/1440),1,0)</f>
        <v>0</v>
      </c>
      <c r="AB5" s="2">
        <f>IF(AND(VLOOKUP(AB$1,test!$A$3:$F$32,5,FALSE) - VLOOKUP($A5,test!$A$3:$G$32,6,FALSE) &gt;= (test!$B$33)/1440),1,0)</f>
        <v>0</v>
      </c>
      <c r="AC5" s="2">
        <f>IF(AND(VLOOKUP(AC$1,test!$A$3:$F$32,5,FALSE) - VLOOKUP($A5,test!$A$3:$G$32,6,FALSE) &gt;= (test!$B$33)/1440),1,0)</f>
        <v>1</v>
      </c>
      <c r="AD5" s="2">
        <f>IF(AND(VLOOKUP(AD$1,test!$A$3:$F$32,5,FALSE) - VLOOKUP($A5,test!$A$3:$G$32,6,FALSE) &gt;= (test!$B$33)/1440),1,0)</f>
        <v>0</v>
      </c>
      <c r="AE5" s="2">
        <f>IF(AND(VLOOKUP(AE$1,test!$A$3:$F$32,5,FALSE) - VLOOKUP($A5,test!$A$3:$G$32,6,FALSE) &gt;= (test!$B$33)/1440),1,0)</f>
        <v>0</v>
      </c>
      <c r="AF5" s="2">
        <f>IF(AND(VLOOKUP(AF$1,test!$A$3:$F$32,5,FALSE) - VLOOKUP($A5,test!$A$3:$G$32,6,FALSE) &gt;= (test!$B$33)/1440),1,0)</f>
        <v>0</v>
      </c>
    </row>
    <row r="6" spans="1:32" x14ac:dyDescent="0.25">
      <c r="A6" t="s">
        <v>11</v>
      </c>
      <c r="B6">
        <v>0</v>
      </c>
      <c r="C6" s="2">
        <f>IF(AND(VLOOKUP(C$1,test!$A$3:$F$32,5,FALSE) - VLOOKUP($A6,test!$A$3:$G$32,6,FALSE) &gt;= (test!$B$33)/1440),1,0)</f>
        <v>0</v>
      </c>
      <c r="D6" s="2">
        <f>IF(AND(VLOOKUP(D$1,test!$A$3:$F$32,5,FALSE) - VLOOKUP($A6,test!$A$3:$G$32,6,FALSE) &gt;= (test!$B$33)/1440),1,0)</f>
        <v>0</v>
      </c>
      <c r="E6" s="2">
        <f>IF(AND(VLOOKUP(E$1,test!$A$3:$F$32,5,FALSE) - VLOOKUP($A6,test!$A$3:$G$32,6,FALSE) &gt;= (test!$B$33)/1440),1,0)</f>
        <v>0</v>
      </c>
      <c r="F6" s="2">
        <f>IF(AND(VLOOKUP(F$1,test!$A$3:$F$32,5,FALSE) - VLOOKUP($A6,test!$A$3:$G$32,6,FALSE) &gt;= (test!$B$33)/1440),1,0)</f>
        <v>0</v>
      </c>
      <c r="G6" s="2">
        <f>IF(AND(VLOOKUP(G$1,test!$A$3:$F$32,5,FALSE) - VLOOKUP($A6,test!$A$3:$G$32,6,FALSE) &gt;= (test!$B$33)/1440),1,0)</f>
        <v>0</v>
      </c>
      <c r="H6" s="2">
        <f>IF(AND(VLOOKUP(H$1,test!$A$3:$F$32,5,FALSE) - VLOOKUP($A6,test!$A$3:$G$32,6,FALSE) &gt;= (test!$B$33)/1440),1,0)</f>
        <v>0</v>
      </c>
      <c r="I6" s="2">
        <f>IF(AND(VLOOKUP(I$1,test!$A$3:$F$32,5,FALSE) - VLOOKUP($A6,test!$A$3:$G$32,6,FALSE) &gt;= (test!$B$33)/1440),1,0)</f>
        <v>0</v>
      </c>
      <c r="J6" s="2">
        <f>IF(AND(VLOOKUP(J$1,test!$A$3:$F$32,5,FALSE) - VLOOKUP($A6,test!$A$3:$G$32,6,FALSE) &gt;= (test!$B$33)/1440),1,0)</f>
        <v>1</v>
      </c>
      <c r="K6" s="2">
        <f>IF(AND(VLOOKUP(K$1,test!$A$3:$F$32,5,FALSE) - VLOOKUP($A6,test!$A$3:$G$32,6,FALSE) &gt;= (test!$B$33)/1440),1,0)</f>
        <v>0</v>
      </c>
      <c r="L6" s="2">
        <f>IF(AND(VLOOKUP(L$1,test!$A$3:$F$32,5,FALSE) - VLOOKUP($A6,test!$A$3:$G$32,6,FALSE) &gt;= (test!$B$33)/1440),1,0)</f>
        <v>0</v>
      </c>
      <c r="M6" s="2">
        <f>IF(AND(VLOOKUP(M$1,test!$A$3:$F$32,5,FALSE) - VLOOKUP($A6,test!$A$3:$G$32,6,FALSE) &gt;= (test!$B$33)/1440),1,0)</f>
        <v>0</v>
      </c>
      <c r="N6" s="2">
        <f>IF(AND(VLOOKUP(N$1,test!$A$3:$F$32,5,FALSE) - VLOOKUP($A6,test!$A$3:$G$32,6,FALSE) &gt;= (test!$B$33)/1440),1,0)</f>
        <v>1</v>
      </c>
      <c r="O6" s="2">
        <f>IF(AND(VLOOKUP(O$1,test!$A$3:$F$32,5,FALSE) - VLOOKUP($A6,test!$A$3:$G$32,6,FALSE) &gt;= (test!$B$33)/1440),1,0)</f>
        <v>1</v>
      </c>
      <c r="P6" s="2">
        <f>IF(AND(VLOOKUP(P$1,test!$A$3:$F$32,5,FALSE) - VLOOKUP($A6,test!$A$3:$G$32,6,FALSE) &gt;= (test!$B$33)/1440),1,0)</f>
        <v>0</v>
      </c>
      <c r="Q6" s="2">
        <f>IF(AND(VLOOKUP(Q$1,test!$A$3:$F$32,5,FALSE) - VLOOKUP($A6,test!$A$3:$G$32,6,FALSE) &gt;= (test!$B$33)/1440),1,0)</f>
        <v>0</v>
      </c>
      <c r="R6" s="2">
        <f>IF(AND(VLOOKUP(R$1,test!$A$3:$F$32,5,FALSE) - VLOOKUP($A6,test!$A$3:$G$32,6,FALSE) &gt;= (test!$B$33)/1440),1,0)</f>
        <v>0</v>
      </c>
      <c r="S6" s="2">
        <f>IF(AND(VLOOKUP(S$1,test!$A$3:$F$32,5,FALSE) - VLOOKUP($A6,test!$A$3:$G$32,6,FALSE) &gt;= (test!$B$33)/1440),1,0)</f>
        <v>0</v>
      </c>
      <c r="T6" s="2">
        <f>IF(AND(VLOOKUP(T$1,test!$A$3:$F$32,5,FALSE) - VLOOKUP($A6,test!$A$3:$G$32,6,FALSE) &gt;= (test!$B$33)/1440),1,0)</f>
        <v>0</v>
      </c>
      <c r="U6" s="2">
        <f>IF(AND(VLOOKUP(U$1,test!$A$3:$F$32,5,FALSE) - VLOOKUP($A6,test!$A$3:$G$32,6,FALSE) &gt;= (test!$B$33)/1440),1,0)</f>
        <v>0</v>
      </c>
      <c r="V6" s="2">
        <f>IF(AND(VLOOKUP(V$1,test!$A$3:$F$32,5,FALSE) - VLOOKUP($A6,test!$A$3:$G$32,6,FALSE) &gt;= (test!$B$33)/1440),1,0)</f>
        <v>0</v>
      </c>
      <c r="W6" s="2">
        <f>IF(AND(VLOOKUP(W$1,test!$A$3:$F$32,5,FALSE) - VLOOKUP($A6,test!$A$3:$G$32,6,FALSE) &gt;= (test!$B$33)/1440),1,0)</f>
        <v>0</v>
      </c>
      <c r="X6" s="2">
        <f>IF(AND(VLOOKUP(X$1,test!$A$3:$F$32,5,FALSE) - VLOOKUP($A6,test!$A$3:$G$32,6,FALSE) &gt;= (test!$B$33)/1440),1,0)</f>
        <v>1</v>
      </c>
      <c r="Y6" s="2">
        <f>IF(AND(VLOOKUP(Y$1,test!$A$3:$F$32,5,FALSE) - VLOOKUP($A6,test!$A$3:$G$32,6,FALSE) &gt;= (test!$B$33)/1440),1,0)</f>
        <v>0</v>
      </c>
      <c r="Z6" s="2">
        <f>IF(AND(VLOOKUP(Z$1,test!$A$3:$F$32,5,FALSE) - VLOOKUP($A6,test!$A$3:$G$32,6,FALSE) &gt;= (test!$B$33)/1440),1,0)</f>
        <v>0</v>
      </c>
      <c r="AA6" s="2">
        <f>IF(AND(VLOOKUP(AA$1,test!$A$3:$F$32,5,FALSE) - VLOOKUP($A6,test!$A$3:$G$32,6,FALSE) &gt;= (test!$B$33)/1440),1,0)</f>
        <v>0</v>
      </c>
      <c r="AB6" s="2">
        <f>IF(AND(VLOOKUP(AB$1,test!$A$3:$F$32,5,FALSE) - VLOOKUP($A6,test!$A$3:$G$32,6,FALSE) &gt;= (test!$B$33)/1440),1,0)</f>
        <v>0</v>
      </c>
      <c r="AC6" s="2">
        <f>IF(AND(VLOOKUP(AC$1,test!$A$3:$F$32,5,FALSE) - VLOOKUP($A6,test!$A$3:$G$32,6,FALSE) &gt;= (test!$B$33)/1440),1,0)</f>
        <v>0</v>
      </c>
      <c r="AD6" s="2">
        <f>IF(AND(VLOOKUP(AD$1,test!$A$3:$F$32,5,FALSE) - VLOOKUP($A6,test!$A$3:$G$32,6,FALSE) &gt;= (test!$B$33)/1440),1,0)</f>
        <v>0</v>
      </c>
      <c r="AE6" s="2">
        <f>IF(AND(VLOOKUP(AE$1,test!$A$3:$F$32,5,FALSE) - VLOOKUP($A6,test!$A$3:$G$32,6,FALSE) &gt;= (test!$B$33)/1440),1,0)</f>
        <v>0</v>
      </c>
      <c r="AF6" s="2">
        <f>IF(AND(VLOOKUP(AF$1,test!$A$3:$F$32,5,FALSE) - VLOOKUP($A6,test!$A$3:$G$32,6,FALSE) &gt;= (test!$B$33)/1440),1,0)</f>
        <v>0</v>
      </c>
    </row>
    <row r="7" spans="1:32" x14ac:dyDescent="0.25">
      <c r="A7" t="s">
        <v>12</v>
      </c>
      <c r="B7">
        <v>0</v>
      </c>
      <c r="C7" s="2">
        <f>IF(AND(VLOOKUP(C$1,test!$A$3:$F$32,5,FALSE) - VLOOKUP($A7,test!$A$3:$G$32,6,FALSE) &gt;= (test!$B$33)/1440),1,0)</f>
        <v>0</v>
      </c>
      <c r="D7" s="2">
        <f>IF(AND(VLOOKUP(D$1,test!$A$3:$F$32,5,FALSE) - VLOOKUP($A7,test!$A$3:$G$32,6,FALSE) &gt;= (test!$B$33)/1440),1,0)</f>
        <v>0</v>
      </c>
      <c r="E7" s="2">
        <f>IF(AND(VLOOKUP(E$1,test!$A$3:$F$32,5,FALSE) - VLOOKUP($A7,test!$A$3:$G$32,6,FALSE) &gt;= (test!$B$33)/1440),1,0)</f>
        <v>0</v>
      </c>
      <c r="F7" s="2">
        <f>IF(AND(VLOOKUP(F$1,test!$A$3:$F$32,5,FALSE) - VLOOKUP($A7,test!$A$3:$G$32,6,FALSE) &gt;= (test!$B$33)/1440),1,0)</f>
        <v>0</v>
      </c>
      <c r="G7" s="2">
        <f>IF(AND(VLOOKUP(G$1,test!$A$3:$F$32,5,FALSE) - VLOOKUP($A7,test!$A$3:$G$32,6,FALSE) &gt;= (test!$B$33)/1440),1,0)</f>
        <v>0</v>
      </c>
      <c r="H7" s="2">
        <f>IF(AND(VLOOKUP(H$1,test!$A$3:$F$32,5,FALSE) - VLOOKUP($A7,test!$A$3:$G$32,6,FALSE) &gt;= (test!$B$33)/1440),1,0)</f>
        <v>0</v>
      </c>
      <c r="I7" s="2">
        <f>IF(AND(VLOOKUP(I$1,test!$A$3:$F$32,5,FALSE) - VLOOKUP($A7,test!$A$3:$G$32,6,FALSE) &gt;= (test!$B$33)/1440),1,0)</f>
        <v>0</v>
      </c>
      <c r="J7" s="2">
        <f>IF(AND(VLOOKUP(J$1,test!$A$3:$F$32,5,FALSE) - VLOOKUP($A7,test!$A$3:$G$32,6,FALSE) &gt;= (test!$B$33)/1440),1,0)</f>
        <v>1</v>
      </c>
      <c r="K7" s="2">
        <f>IF(AND(VLOOKUP(K$1,test!$A$3:$F$32,5,FALSE) - VLOOKUP($A7,test!$A$3:$G$32,6,FALSE) &gt;= (test!$B$33)/1440),1,0)</f>
        <v>0</v>
      </c>
      <c r="L7" s="2">
        <f>IF(AND(VLOOKUP(L$1,test!$A$3:$F$32,5,FALSE) - VLOOKUP($A7,test!$A$3:$G$32,6,FALSE) &gt;= (test!$B$33)/1440),1,0)</f>
        <v>0</v>
      </c>
      <c r="M7" s="2">
        <f>IF(AND(VLOOKUP(M$1,test!$A$3:$F$32,5,FALSE) - VLOOKUP($A7,test!$A$3:$G$32,6,FALSE) &gt;= (test!$B$33)/1440),1,0)</f>
        <v>0</v>
      </c>
      <c r="N7" s="2">
        <f>IF(AND(VLOOKUP(N$1,test!$A$3:$F$32,5,FALSE) - VLOOKUP($A7,test!$A$3:$G$32,6,FALSE) &gt;= (test!$B$33)/1440),1,0)</f>
        <v>0</v>
      </c>
      <c r="O7" s="2">
        <f>IF(AND(VLOOKUP(O$1,test!$A$3:$F$32,5,FALSE) - VLOOKUP($A7,test!$A$3:$G$32,6,FALSE) &gt;= (test!$B$33)/1440),1,0)</f>
        <v>1</v>
      </c>
      <c r="P7" s="2">
        <f>IF(AND(VLOOKUP(P$1,test!$A$3:$F$32,5,FALSE) - VLOOKUP($A7,test!$A$3:$G$32,6,FALSE) &gt;= (test!$B$33)/1440),1,0)</f>
        <v>0</v>
      </c>
      <c r="Q7" s="2">
        <f>IF(AND(VLOOKUP(Q$1,test!$A$3:$F$32,5,FALSE) - VLOOKUP($A7,test!$A$3:$G$32,6,FALSE) &gt;= (test!$B$33)/1440),1,0)</f>
        <v>0</v>
      </c>
      <c r="R7" s="2">
        <f>IF(AND(VLOOKUP(R$1,test!$A$3:$F$32,5,FALSE) - VLOOKUP($A7,test!$A$3:$G$32,6,FALSE) &gt;= (test!$B$33)/1440),1,0)</f>
        <v>0</v>
      </c>
      <c r="S7" s="2">
        <f>IF(AND(VLOOKUP(S$1,test!$A$3:$F$32,5,FALSE) - VLOOKUP($A7,test!$A$3:$G$32,6,FALSE) &gt;= (test!$B$33)/1440),1,0)</f>
        <v>0</v>
      </c>
      <c r="T7" s="2">
        <f>IF(AND(VLOOKUP(T$1,test!$A$3:$F$32,5,FALSE) - VLOOKUP($A7,test!$A$3:$G$32,6,FALSE) &gt;= (test!$B$33)/1440),1,0)</f>
        <v>0</v>
      </c>
      <c r="U7" s="2">
        <f>IF(AND(VLOOKUP(U$1,test!$A$3:$F$32,5,FALSE) - VLOOKUP($A7,test!$A$3:$G$32,6,FALSE) &gt;= (test!$B$33)/1440),1,0)</f>
        <v>0</v>
      </c>
      <c r="V7" s="2">
        <f>IF(AND(VLOOKUP(V$1,test!$A$3:$F$32,5,FALSE) - VLOOKUP($A7,test!$A$3:$G$32,6,FALSE) &gt;= (test!$B$33)/1440),1,0)</f>
        <v>0</v>
      </c>
      <c r="W7" s="2">
        <f>IF(AND(VLOOKUP(W$1,test!$A$3:$F$32,5,FALSE) - VLOOKUP($A7,test!$A$3:$G$32,6,FALSE) &gt;= (test!$B$33)/1440),1,0)</f>
        <v>0</v>
      </c>
      <c r="X7" s="2">
        <f>IF(AND(VLOOKUP(X$1,test!$A$3:$F$32,5,FALSE) - VLOOKUP($A7,test!$A$3:$G$32,6,FALSE) &gt;= (test!$B$33)/1440),1,0)</f>
        <v>0</v>
      </c>
      <c r="Y7" s="2">
        <f>IF(AND(VLOOKUP(Y$1,test!$A$3:$F$32,5,FALSE) - VLOOKUP($A7,test!$A$3:$G$32,6,FALSE) &gt;= (test!$B$33)/1440),1,0)</f>
        <v>0</v>
      </c>
      <c r="Z7" s="2">
        <f>IF(AND(VLOOKUP(Z$1,test!$A$3:$F$32,5,FALSE) - VLOOKUP($A7,test!$A$3:$G$32,6,FALSE) &gt;= (test!$B$33)/1440),1,0)</f>
        <v>0</v>
      </c>
      <c r="AA7" s="2">
        <f>IF(AND(VLOOKUP(AA$1,test!$A$3:$F$32,5,FALSE) - VLOOKUP($A7,test!$A$3:$G$32,6,FALSE) &gt;= (test!$B$33)/1440),1,0)</f>
        <v>0</v>
      </c>
      <c r="AB7" s="2">
        <f>IF(AND(VLOOKUP(AB$1,test!$A$3:$F$32,5,FALSE) - VLOOKUP($A7,test!$A$3:$G$32,6,FALSE) &gt;= (test!$B$33)/1440),1,0)</f>
        <v>0</v>
      </c>
      <c r="AC7" s="2">
        <f>IF(AND(VLOOKUP(AC$1,test!$A$3:$F$32,5,FALSE) - VLOOKUP($A7,test!$A$3:$G$32,6,FALSE) &gt;= (test!$B$33)/1440),1,0)</f>
        <v>0</v>
      </c>
      <c r="AD7" s="2">
        <f>IF(AND(VLOOKUP(AD$1,test!$A$3:$F$32,5,FALSE) - VLOOKUP($A7,test!$A$3:$G$32,6,FALSE) &gt;= (test!$B$33)/1440),1,0)</f>
        <v>0</v>
      </c>
      <c r="AE7" s="2">
        <f>IF(AND(VLOOKUP(AE$1,test!$A$3:$F$32,5,FALSE) - VLOOKUP($A7,test!$A$3:$G$32,6,FALSE) &gt;= (test!$B$33)/1440),1,0)</f>
        <v>0</v>
      </c>
      <c r="AF7" s="2">
        <f>IF(AND(VLOOKUP(AF$1,test!$A$3:$F$32,5,FALSE) - VLOOKUP($A7,test!$A$3:$G$32,6,FALSE) &gt;= (test!$B$33)/1440),1,0)</f>
        <v>0</v>
      </c>
    </row>
    <row r="8" spans="1:32" x14ac:dyDescent="0.25">
      <c r="A8" t="s">
        <v>13</v>
      </c>
      <c r="B8">
        <v>0</v>
      </c>
      <c r="C8" s="2">
        <f>IF(AND(VLOOKUP(C$1,test!$A$3:$F$32,5,FALSE) - VLOOKUP($A8,test!$A$3:$G$32,6,FALSE) &gt;= (test!$B$33)/1440),1,0)</f>
        <v>0</v>
      </c>
      <c r="D8" s="2">
        <f>IF(AND(VLOOKUP(D$1,test!$A$3:$F$32,5,FALSE) - VLOOKUP($A8,test!$A$3:$G$32,6,FALSE) &gt;= (test!$B$33)/1440),1,0)</f>
        <v>0</v>
      </c>
      <c r="E8" s="2">
        <f>IF(AND(VLOOKUP(E$1,test!$A$3:$F$32,5,FALSE) - VLOOKUP($A8,test!$A$3:$G$32,6,FALSE) &gt;= (test!$B$33)/1440),1,0)</f>
        <v>0</v>
      </c>
      <c r="F8" s="2">
        <f>IF(AND(VLOOKUP(F$1,test!$A$3:$F$32,5,FALSE) - VLOOKUP($A8,test!$A$3:$G$32,6,FALSE) &gt;= (test!$B$33)/1440),1,0)</f>
        <v>0</v>
      </c>
      <c r="G8" s="2">
        <f>IF(AND(VLOOKUP(G$1,test!$A$3:$F$32,5,FALSE) - VLOOKUP($A8,test!$A$3:$G$32,6,FALSE) &gt;= (test!$B$33)/1440),1,0)</f>
        <v>0</v>
      </c>
      <c r="H8" s="2">
        <f>IF(AND(VLOOKUP(H$1,test!$A$3:$F$32,5,FALSE) - VLOOKUP($A8,test!$A$3:$G$32,6,FALSE) &gt;= (test!$B$33)/1440),1,0)</f>
        <v>0</v>
      </c>
      <c r="I8" s="2">
        <f>IF(AND(VLOOKUP(I$1,test!$A$3:$F$32,5,FALSE) - VLOOKUP($A8,test!$A$3:$G$32,6,FALSE) &gt;= (test!$B$33)/1440),1,0)</f>
        <v>0</v>
      </c>
      <c r="J8" s="2">
        <f>IF(AND(VLOOKUP(J$1,test!$A$3:$F$32,5,FALSE) - VLOOKUP($A8,test!$A$3:$G$32,6,FALSE) &gt;= (test!$B$33)/1440),1,0)</f>
        <v>0</v>
      </c>
      <c r="K8" s="2">
        <f>IF(AND(VLOOKUP(K$1,test!$A$3:$F$32,5,FALSE) - VLOOKUP($A8,test!$A$3:$G$32,6,FALSE) &gt;= (test!$B$33)/1440),1,0)</f>
        <v>0</v>
      </c>
      <c r="L8" s="2">
        <f>IF(AND(VLOOKUP(L$1,test!$A$3:$F$32,5,FALSE) - VLOOKUP($A8,test!$A$3:$G$32,6,FALSE) &gt;= (test!$B$33)/1440),1,0)</f>
        <v>0</v>
      </c>
      <c r="M8" s="2">
        <f>IF(AND(VLOOKUP(M$1,test!$A$3:$F$32,5,FALSE) - VLOOKUP($A8,test!$A$3:$G$32,6,FALSE) &gt;= (test!$B$33)/1440),1,0)</f>
        <v>0</v>
      </c>
      <c r="N8" s="2">
        <f>IF(AND(VLOOKUP(N$1,test!$A$3:$F$32,5,FALSE) - VLOOKUP($A8,test!$A$3:$G$32,6,FALSE) &gt;= (test!$B$33)/1440),1,0)</f>
        <v>0</v>
      </c>
      <c r="O8" s="2">
        <f>IF(AND(VLOOKUP(O$1,test!$A$3:$F$32,5,FALSE) - VLOOKUP($A8,test!$A$3:$G$32,6,FALSE) &gt;= (test!$B$33)/1440),1,0)</f>
        <v>0</v>
      </c>
      <c r="P8" s="2">
        <f>IF(AND(VLOOKUP(P$1,test!$A$3:$F$32,5,FALSE) - VLOOKUP($A8,test!$A$3:$G$32,6,FALSE) &gt;= (test!$B$33)/1440),1,0)</f>
        <v>0</v>
      </c>
      <c r="Q8" s="2">
        <f>IF(AND(VLOOKUP(Q$1,test!$A$3:$F$32,5,FALSE) - VLOOKUP($A8,test!$A$3:$G$32,6,FALSE) &gt;= (test!$B$33)/1440),1,0)</f>
        <v>0</v>
      </c>
      <c r="R8" s="2">
        <f>IF(AND(VLOOKUP(R$1,test!$A$3:$F$32,5,FALSE) - VLOOKUP($A8,test!$A$3:$G$32,6,FALSE) &gt;= (test!$B$33)/1440),1,0)</f>
        <v>0</v>
      </c>
      <c r="S8" s="2">
        <f>IF(AND(VLOOKUP(S$1,test!$A$3:$F$32,5,FALSE) - VLOOKUP($A8,test!$A$3:$G$32,6,FALSE) &gt;= (test!$B$33)/1440),1,0)</f>
        <v>0</v>
      </c>
      <c r="T8" s="2">
        <f>IF(AND(VLOOKUP(T$1,test!$A$3:$F$32,5,FALSE) - VLOOKUP($A8,test!$A$3:$G$32,6,FALSE) &gt;= (test!$B$33)/1440),1,0)</f>
        <v>0</v>
      </c>
      <c r="U8" s="2">
        <f>IF(AND(VLOOKUP(U$1,test!$A$3:$F$32,5,FALSE) - VLOOKUP($A8,test!$A$3:$G$32,6,FALSE) &gt;= (test!$B$33)/1440),1,0)</f>
        <v>0</v>
      </c>
      <c r="V8" s="2">
        <f>IF(AND(VLOOKUP(V$1,test!$A$3:$F$32,5,FALSE) - VLOOKUP($A8,test!$A$3:$G$32,6,FALSE) &gt;= (test!$B$33)/1440),1,0)</f>
        <v>0</v>
      </c>
      <c r="W8" s="2">
        <f>IF(AND(VLOOKUP(W$1,test!$A$3:$F$32,5,FALSE) - VLOOKUP($A8,test!$A$3:$G$32,6,FALSE) &gt;= (test!$B$33)/1440),1,0)</f>
        <v>0</v>
      </c>
      <c r="X8" s="2">
        <f>IF(AND(VLOOKUP(X$1,test!$A$3:$F$32,5,FALSE) - VLOOKUP($A8,test!$A$3:$G$32,6,FALSE) &gt;= (test!$B$33)/1440),1,0)</f>
        <v>0</v>
      </c>
      <c r="Y8" s="2">
        <f>IF(AND(VLOOKUP(Y$1,test!$A$3:$F$32,5,FALSE) - VLOOKUP($A8,test!$A$3:$G$32,6,FALSE) &gt;= (test!$B$33)/1440),1,0)</f>
        <v>0</v>
      </c>
      <c r="Z8" s="2">
        <f>IF(AND(VLOOKUP(Z$1,test!$A$3:$F$32,5,FALSE) - VLOOKUP($A8,test!$A$3:$G$32,6,FALSE) &gt;= (test!$B$33)/1440),1,0)</f>
        <v>0</v>
      </c>
      <c r="AA8" s="2">
        <f>IF(AND(VLOOKUP(AA$1,test!$A$3:$F$32,5,FALSE) - VLOOKUP($A8,test!$A$3:$G$32,6,FALSE) &gt;= (test!$B$33)/1440),1,0)</f>
        <v>0</v>
      </c>
      <c r="AB8" s="2">
        <f>IF(AND(VLOOKUP(AB$1,test!$A$3:$F$32,5,FALSE) - VLOOKUP($A8,test!$A$3:$G$32,6,FALSE) &gt;= (test!$B$33)/1440),1,0)</f>
        <v>0</v>
      </c>
      <c r="AC8" s="2">
        <f>IF(AND(VLOOKUP(AC$1,test!$A$3:$F$32,5,FALSE) - VLOOKUP($A8,test!$A$3:$G$32,6,FALSE) &gt;= (test!$B$33)/1440),1,0)</f>
        <v>0</v>
      </c>
      <c r="AD8" s="2">
        <f>IF(AND(VLOOKUP(AD$1,test!$A$3:$F$32,5,FALSE) - VLOOKUP($A8,test!$A$3:$G$32,6,FALSE) &gt;= (test!$B$33)/1440),1,0)</f>
        <v>0</v>
      </c>
      <c r="AE8" s="2">
        <f>IF(AND(VLOOKUP(AE$1,test!$A$3:$F$32,5,FALSE) - VLOOKUP($A8,test!$A$3:$G$32,6,FALSE) &gt;= (test!$B$33)/1440),1,0)</f>
        <v>0</v>
      </c>
      <c r="AF8" s="2">
        <f>IF(AND(VLOOKUP(AF$1,test!$A$3:$F$32,5,FALSE) - VLOOKUP($A8,test!$A$3:$G$32,6,FALSE) &gt;= (test!$B$33)/1440),1,0)</f>
        <v>0</v>
      </c>
    </row>
    <row r="9" spans="1:32" x14ac:dyDescent="0.25">
      <c r="A9" t="s">
        <v>14</v>
      </c>
      <c r="B9">
        <v>0</v>
      </c>
      <c r="C9" s="2">
        <f>IF(AND(VLOOKUP(C$1,test!$A$3:$F$32,5,FALSE) - VLOOKUP($A9,test!$A$3:$G$32,6,FALSE) &gt;= (test!$B$33)/1440),1,0)</f>
        <v>0</v>
      </c>
      <c r="D9" s="2">
        <f>IF(AND(VLOOKUP(D$1,test!$A$3:$F$32,5,FALSE) - VLOOKUP($A9,test!$A$3:$G$32,6,FALSE) &gt;= (test!$B$33)/1440),1,0)</f>
        <v>0</v>
      </c>
      <c r="E9" s="2">
        <f>IF(AND(VLOOKUP(E$1,test!$A$3:$F$32,5,FALSE) - VLOOKUP($A9,test!$A$3:$G$32,6,FALSE) &gt;= (test!$B$33)/1440),1,0)</f>
        <v>0</v>
      </c>
      <c r="F9" s="2">
        <f>IF(AND(VLOOKUP(F$1,test!$A$3:$F$32,5,FALSE) - VLOOKUP($A9,test!$A$3:$G$32,6,FALSE) &gt;= (test!$B$33)/1440),1,0)</f>
        <v>0</v>
      </c>
      <c r="G9" s="2">
        <f>IF(AND(VLOOKUP(G$1,test!$A$3:$F$32,5,FALSE) - VLOOKUP($A9,test!$A$3:$G$32,6,FALSE) &gt;= (test!$B$33)/1440),1,0)</f>
        <v>0</v>
      </c>
      <c r="H9" s="2">
        <f>IF(AND(VLOOKUP(H$1,test!$A$3:$F$32,5,FALSE) - VLOOKUP($A9,test!$A$3:$G$32,6,FALSE) &gt;= (test!$B$33)/1440),1,0)</f>
        <v>0</v>
      </c>
      <c r="I9" s="2">
        <f>IF(AND(VLOOKUP(I$1,test!$A$3:$F$32,5,FALSE) - VLOOKUP($A9,test!$A$3:$G$32,6,FALSE) &gt;= (test!$B$33)/1440),1,0)</f>
        <v>0</v>
      </c>
      <c r="J9" s="2">
        <f>IF(AND(VLOOKUP(J$1,test!$A$3:$F$32,5,FALSE) - VLOOKUP($A9,test!$A$3:$G$32,6,FALSE) &gt;= (test!$B$33)/1440),1,0)</f>
        <v>0</v>
      </c>
      <c r="K9" s="2">
        <f>IF(AND(VLOOKUP(K$1,test!$A$3:$F$32,5,FALSE) - VLOOKUP($A9,test!$A$3:$G$32,6,FALSE) &gt;= (test!$B$33)/1440),1,0)</f>
        <v>0</v>
      </c>
      <c r="L9" s="2">
        <f>IF(AND(VLOOKUP(L$1,test!$A$3:$F$32,5,FALSE) - VLOOKUP($A9,test!$A$3:$G$32,6,FALSE) &gt;= (test!$B$33)/1440),1,0)</f>
        <v>0</v>
      </c>
      <c r="M9" s="2">
        <f>IF(AND(VLOOKUP(M$1,test!$A$3:$F$32,5,FALSE) - VLOOKUP($A9,test!$A$3:$G$32,6,FALSE) &gt;= (test!$B$33)/1440),1,0)</f>
        <v>0</v>
      </c>
      <c r="N9" s="2">
        <f>IF(AND(VLOOKUP(N$1,test!$A$3:$F$32,5,FALSE) - VLOOKUP($A9,test!$A$3:$G$32,6,FALSE) &gt;= (test!$B$33)/1440),1,0)</f>
        <v>0</v>
      </c>
      <c r="O9" s="2">
        <f>IF(AND(VLOOKUP(O$1,test!$A$3:$F$32,5,FALSE) - VLOOKUP($A9,test!$A$3:$G$32,6,FALSE) &gt;= (test!$B$33)/1440),1,0)</f>
        <v>0</v>
      </c>
      <c r="P9" s="2">
        <f>IF(AND(VLOOKUP(P$1,test!$A$3:$F$32,5,FALSE) - VLOOKUP($A9,test!$A$3:$G$32,6,FALSE) &gt;= (test!$B$33)/1440),1,0)</f>
        <v>0</v>
      </c>
      <c r="Q9" s="2">
        <f>IF(AND(VLOOKUP(Q$1,test!$A$3:$F$32,5,FALSE) - VLOOKUP($A9,test!$A$3:$G$32,6,FALSE) &gt;= (test!$B$33)/1440),1,0)</f>
        <v>0</v>
      </c>
      <c r="R9" s="2">
        <f>IF(AND(VLOOKUP(R$1,test!$A$3:$F$32,5,FALSE) - VLOOKUP($A9,test!$A$3:$G$32,6,FALSE) &gt;= (test!$B$33)/1440),1,0)</f>
        <v>0</v>
      </c>
      <c r="S9" s="2">
        <f>IF(AND(VLOOKUP(S$1,test!$A$3:$F$32,5,FALSE) - VLOOKUP($A9,test!$A$3:$G$32,6,FALSE) &gt;= (test!$B$33)/1440),1,0)</f>
        <v>0</v>
      </c>
      <c r="T9" s="2">
        <f>IF(AND(VLOOKUP(T$1,test!$A$3:$F$32,5,FALSE) - VLOOKUP($A9,test!$A$3:$G$32,6,FALSE) &gt;= (test!$B$33)/1440),1,0)</f>
        <v>0</v>
      </c>
      <c r="U9" s="2">
        <f>IF(AND(VLOOKUP(U$1,test!$A$3:$F$32,5,FALSE) - VLOOKUP($A9,test!$A$3:$G$32,6,FALSE) &gt;= (test!$B$33)/1440),1,0)</f>
        <v>0</v>
      </c>
      <c r="V9" s="2">
        <f>IF(AND(VLOOKUP(V$1,test!$A$3:$F$32,5,FALSE) - VLOOKUP($A9,test!$A$3:$G$32,6,FALSE) &gt;= (test!$B$33)/1440),1,0)</f>
        <v>0</v>
      </c>
      <c r="W9" s="2">
        <f>IF(AND(VLOOKUP(W$1,test!$A$3:$F$32,5,FALSE) - VLOOKUP($A9,test!$A$3:$G$32,6,FALSE) &gt;= (test!$B$33)/1440),1,0)</f>
        <v>0</v>
      </c>
      <c r="X9" s="2">
        <f>IF(AND(VLOOKUP(X$1,test!$A$3:$F$32,5,FALSE) - VLOOKUP($A9,test!$A$3:$G$32,6,FALSE) &gt;= (test!$B$33)/1440),1,0)</f>
        <v>0</v>
      </c>
      <c r="Y9" s="2">
        <f>IF(AND(VLOOKUP(Y$1,test!$A$3:$F$32,5,FALSE) - VLOOKUP($A9,test!$A$3:$G$32,6,FALSE) &gt;= (test!$B$33)/1440),1,0)</f>
        <v>0</v>
      </c>
      <c r="Z9" s="2">
        <f>IF(AND(VLOOKUP(Z$1,test!$A$3:$F$32,5,FALSE) - VLOOKUP($A9,test!$A$3:$G$32,6,FALSE) &gt;= (test!$B$33)/1440),1,0)</f>
        <v>0</v>
      </c>
      <c r="AA9" s="2">
        <f>IF(AND(VLOOKUP(AA$1,test!$A$3:$F$32,5,FALSE) - VLOOKUP($A9,test!$A$3:$G$32,6,FALSE) &gt;= (test!$B$33)/1440),1,0)</f>
        <v>0</v>
      </c>
      <c r="AB9" s="2">
        <f>IF(AND(VLOOKUP(AB$1,test!$A$3:$F$32,5,FALSE) - VLOOKUP($A9,test!$A$3:$G$32,6,FALSE) &gt;= (test!$B$33)/1440),1,0)</f>
        <v>0</v>
      </c>
      <c r="AC9" s="2">
        <f>IF(AND(VLOOKUP(AC$1,test!$A$3:$F$32,5,FALSE) - VLOOKUP($A9,test!$A$3:$G$32,6,FALSE) &gt;= (test!$B$33)/1440),1,0)</f>
        <v>0</v>
      </c>
      <c r="AD9" s="2">
        <f>IF(AND(VLOOKUP(AD$1,test!$A$3:$F$32,5,FALSE) - VLOOKUP($A9,test!$A$3:$G$32,6,FALSE) &gt;= (test!$B$33)/1440),1,0)</f>
        <v>0</v>
      </c>
      <c r="AE9" s="2">
        <f>IF(AND(VLOOKUP(AE$1,test!$A$3:$F$32,5,FALSE) - VLOOKUP($A9,test!$A$3:$G$32,6,FALSE) &gt;= (test!$B$33)/1440),1,0)</f>
        <v>0</v>
      </c>
      <c r="AF9" s="2">
        <f>IF(AND(VLOOKUP(AF$1,test!$A$3:$F$32,5,FALSE) - VLOOKUP($A9,test!$A$3:$G$32,6,FALSE) &gt;= (test!$B$33)/1440),1,0)</f>
        <v>0</v>
      </c>
    </row>
    <row r="10" spans="1:32" x14ac:dyDescent="0.25">
      <c r="A10" t="s">
        <v>15</v>
      </c>
      <c r="B10">
        <v>0</v>
      </c>
      <c r="C10" s="2">
        <f>IF(AND(VLOOKUP(C$1,test!$A$3:$F$32,5,FALSE) - VLOOKUP($A10,test!$A$3:$G$32,6,FALSE) &gt;= (test!$B$33)/1440),1,0)</f>
        <v>0</v>
      </c>
      <c r="D10" s="2">
        <f>IF(AND(VLOOKUP(D$1,test!$A$3:$F$32,5,FALSE) - VLOOKUP($A10,test!$A$3:$G$32,6,FALSE) &gt;= (test!$B$33)/1440),1,0)</f>
        <v>0</v>
      </c>
      <c r="E10" s="2">
        <f>IF(AND(VLOOKUP(E$1,test!$A$3:$F$32,5,FALSE) - VLOOKUP($A10,test!$A$3:$G$32,6,FALSE) &gt;= (test!$B$33)/1440),1,0)</f>
        <v>0</v>
      </c>
      <c r="F10" s="2">
        <f>IF(AND(VLOOKUP(F$1,test!$A$3:$F$32,5,FALSE) - VLOOKUP($A10,test!$A$3:$G$32,6,FALSE) &gt;= (test!$B$33)/1440),1,0)</f>
        <v>0</v>
      </c>
      <c r="G10" s="2">
        <f>IF(AND(VLOOKUP(G$1,test!$A$3:$F$32,5,FALSE) - VLOOKUP($A10,test!$A$3:$G$32,6,FALSE) &gt;= (test!$B$33)/1440),1,0)</f>
        <v>0</v>
      </c>
      <c r="H10" s="2">
        <f>IF(AND(VLOOKUP(H$1,test!$A$3:$F$32,5,FALSE) - VLOOKUP($A10,test!$A$3:$G$32,6,FALSE) &gt;= (test!$B$33)/1440),1,0)</f>
        <v>0</v>
      </c>
      <c r="I10" s="2">
        <f>IF(AND(VLOOKUP(I$1,test!$A$3:$F$32,5,FALSE) - VLOOKUP($A10,test!$A$3:$G$32,6,FALSE) &gt;= (test!$B$33)/1440),1,0)</f>
        <v>0</v>
      </c>
      <c r="J10" s="2">
        <f>IF(AND(VLOOKUP(J$1,test!$A$3:$F$32,5,FALSE) - VLOOKUP($A10,test!$A$3:$G$32,6,FALSE) &gt;= (test!$B$33)/1440),1,0)</f>
        <v>0</v>
      </c>
      <c r="K10" s="2">
        <f>IF(AND(VLOOKUP(K$1,test!$A$3:$F$32,5,FALSE) - VLOOKUP($A10,test!$A$3:$G$32,6,FALSE) &gt;= (test!$B$33)/1440),1,0)</f>
        <v>0</v>
      </c>
      <c r="L10" s="2">
        <f>IF(AND(VLOOKUP(L$1,test!$A$3:$F$32,5,FALSE) - VLOOKUP($A10,test!$A$3:$G$32,6,FALSE) &gt;= (test!$B$33)/1440),1,0)</f>
        <v>0</v>
      </c>
      <c r="M10" s="2">
        <f>IF(AND(VLOOKUP(M$1,test!$A$3:$F$32,5,FALSE) - VLOOKUP($A10,test!$A$3:$G$32,6,FALSE) &gt;= (test!$B$33)/1440),1,0)</f>
        <v>0</v>
      </c>
      <c r="N10" s="2">
        <f>IF(AND(VLOOKUP(N$1,test!$A$3:$F$32,5,FALSE) - VLOOKUP($A10,test!$A$3:$G$32,6,FALSE) &gt;= (test!$B$33)/1440),1,0)</f>
        <v>0</v>
      </c>
      <c r="O10" s="2">
        <f>IF(AND(VLOOKUP(O$1,test!$A$3:$F$32,5,FALSE) - VLOOKUP($A10,test!$A$3:$G$32,6,FALSE) &gt;= (test!$B$33)/1440),1,0)</f>
        <v>0</v>
      </c>
      <c r="P10" s="2">
        <f>IF(AND(VLOOKUP(P$1,test!$A$3:$F$32,5,FALSE) - VLOOKUP($A10,test!$A$3:$G$32,6,FALSE) &gt;= (test!$B$33)/1440),1,0)</f>
        <v>0</v>
      </c>
      <c r="Q10" s="2">
        <f>IF(AND(VLOOKUP(Q$1,test!$A$3:$F$32,5,FALSE) - VLOOKUP($A10,test!$A$3:$G$32,6,FALSE) &gt;= (test!$B$33)/1440),1,0)</f>
        <v>0</v>
      </c>
      <c r="R10" s="2">
        <f>IF(AND(VLOOKUP(R$1,test!$A$3:$F$32,5,FALSE) - VLOOKUP($A10,test!$A$3:$G$32,6,FALSE) &gt;= (test!$B$33)/1440),1,0)</f>
        <v>0</v>
      </c>
      <c r="S10" s="2">
        <f>IF(AND(VLOOKUP(S$1,test!$A$3:$F$32,5,FALSE) - VLOOKUP($A10,test!$A$3:$G$32,6,FALSE) &gt;= (test!$B$33)/1440),1,0)</f>
        <v>0</v>
      </c>
      <c r="T10" s="2">
        <f>IF(AND(VLOOKUP(T$1,test!$A$3:$F$32,5,FALSE) - VLOOKUP($A10,test!$A$3:$G$32,6,FALSE) &gt;= (test!$B$33)/1440),1,0)</f>
        <v>0</v>
      </c>
      <c r="U10" s="2">
        <f>IF(AND(VLOOKUP(U$1,test!$A$3:$F$32,5,FALSE) - VLOOKUP($A10,test!$A$3:$G$32,6,FALSE) &gt;= (test!$B$33)/1440),1,0)</f>
        <v>0</v>
      </c>
      <c r="V10" s="2">
        <f>IF(AND(VLOOKUP(V$1,test!$A$3:$F$32,5,FALSE) - VLOOKUP($A10,test!$A$3:$G$32,6,FALSE) &gt;= (test!$B$33)/1440),1,0)</f>
        <v>0</v>
      </c>
      <c r="W10" s="2">
        <f>IF(AND(VLOOKUP(W$1,test!$A$3:$F$32,5,FALSE) - VLOOKUP($A10,test!$A$3:$G$32,6,FALSE) &gt;= (test!$B$33)/1440),1,0)</f>
        <v>0</v>
      </c>
      <c r="X10" s="2">
        <f>IF(AND(VLOOKUP(X$1,test!$A$3:$F$32,5,FALSE) - VLOOKUP($A10,test!$A$3:$G$32,6,FALSE) &gt;= (test!$B$33)/1440),1,0)</f>
        <v>0</v>
      </c>
      <c r="Y10" s="2">
        <f>IF(AND(VLOOKUP(Y$1,test!$A$3:$F$32,5,FALSE) - VLOOKUP($A10,test!$A$3:$G$32,6,FALSE) &gt;= (test!$B$33)/1440),1,0)</f>
        <v>0</v>
      </c>
      <c r="Z10" s="2">
        <f>IF(AND(VLOOKUP(Z$1,test!$A$3:$F$32,5,FALSE) - VLOOKUP($A10,test!$A$3:$G$32,6,FALSE) &gt;= (test!$B$33)/1440),1,0)</f>
        <v>0</v>
      </c>
      <c r="AA10" s="2">
        <f>IF(AND(VLOOKUP(AA$1,test!$A$3:$F$32,5,FALSE) - VLOOKUP($A10,test!$A$3:$G$32,6,FALSE) &gt;= (test!$B$33)/1440),1,0)</f>
        <v>0</v>
      </c>
      <c r="AB10" s="2">
        <f>IF(AND(VLOOKUP(AB$1,test!$A$3:$F$32,5,FALSE) - VLOOKUP($A10,test!$A$3:$G$32,6,FALSE) &gt;= (test!$B$33)/1440),1,0)</f>
        <v>0</v>
      </c>
      <c r="AC10" s="2">
        <f>IF(AND(VLOOKUP(AC$1,test!$A$3:$F$32,5,FALSE) - VLOOKUP($A10,test!$A$3:$G$32,6,FALSE) &gt;= (test!$B$33)/1440),1,0)</f>
        <v>0</v>
      </c>
      <c r="AD10" s="2">
        <f>IF(AND(VLOOKUP(AD$1,test!$A$3:$F$32,5,FALSE) - VLOOKUP($A10,test!$A$3:$G$32,6,FALSE) &gt;= (test!$B$33)/1440),1,0)</f>
        <v>0</v>
      </c>
      <c r="AE10" s="2">
        <f>IF(AND(VLOOKUP(AE$1,test!$A$3:$F$32,5,FALSE) - VLOOKUP($A10,test!$A$3:$G$32,6,FALSE) &gt;= (test!$B$33)/1440),1,0)</f>
        <v>0</v>
      </c>
      <c r="AF10" s="2">
        <f>IF(AND(VLOOKUP(AF$1,test!$A$3:$F$32,5,FALSE) - VLOOKUP($A10,test!$A$3:$G$32,6,FALSE) &gt;= (test!$B$33)/1440),1,0)</f>
        <v>0</v>
      </c>
    </row>
    <row r="11" spans="1:32" x14ac:dyDescent="0.25">
      <c r="A11" t="s">
        <v>18</v>
      </c>
      <c r="B11">
        <v>0</v>
      </c>
      <c r="C11" s="2">
        <f>IF(AND(VLOOKUP(C$1,test!$A$3:$F$32,5,FALSE) - VLOOKUP($A11,test!$A$3:$G$32,6,FALSE) &gt;= (test!$B$33)/1440),1,0)</f>
        <v>0</v>
      </c>
      <c r="D11" s="2">
        <f>IF(AND(VLOOKUP(D$1,test!$A$3:$F$32,5,FALSE) - VLOOKUP($A11,test!$A$3:$G$32,6,FALSE) &gt;= (test!$B$33)/1440),1,0)</f>
        <v>0</v>
      </c>
      <c r="E11" s="2">
        <f>IF(AND(VLOOKUP(E$1,test!$A$3:$F$32,5,FALSE) - VLOOKUP($A11,test!$A$3:$G$32,6,FALSE) &gt;= (test!$B$33)/1440),1,0)</f>
        <v>1</v>
      </c>
      <c r="F11" s="2">
        <f>IF(AND(VLOOKUP(F$1,test!$A$3:$F$32,5,FALSE) - VLOOKUP($A11,test!$A$3:$G$32,6,FALSE) &gt;= (test!$B$33)/1440),1,0)</f>
        <v>1</v>
      </c>
      <c r="G11" s="2">
        <f>IF(AND(VLOOKUP(G$1,test!$A$3:$F$32,5,FALSE) - VLOOKUP($A11,test!$A$3:$G$32,6,FALSE) &gt;= (test!$B$33)/1440),1,0)</f>
        <v>1</v>
      </c>
      <c r="H11" s="2">
        <f>IF(AND(VLOOKUP(H$1,test!$A$3:$F$32,5,FALSE) - VLOOKUP($A11,test!$A$3:$G$32,6,FALSE) &gt;= (test!$B$33)/1440),1,0)</f>
        <v>1</v>
      </c>
      <c r="I11" s="2">
        <f>IF(AND(VLOOKUP(I$1,test!$A$3:$F$32,5,FALSE) - VLOOKUP($A11,test!$A$3:$G$32,6,FALSE) &gt;= (test!$B$33)/1440),1,0)</f>
        <v>1</v>
      </c>
      <c r="J11" s="2">
        <f>IF(AND(VLOOKUP(J$1,test!$A$3:$F$32,5,FALSE) - VLOOKUP($A11,test!$A$3:$G$32,6,FALSE) &gt;= (test!$B$33)/1440),1,0)</f>
        <v>1</v>
      </c>
      <c r="K11" s="2">
        <f>IF(AND(VLOOKUP(K$1,test!$A$3:$F$32,5,FALSE) - VLOOKUP($A11,test!$A$3:$G$32,6,FALSE) &gt;= (test!$B$33)/1440),1,0)</f>
        <v>0</v>
      </c>
      <c r="L11" s="2">
        <f>IF(AND(VLOOKUP(L$1,test!$A$3:$F$32,5,FALSE) - VLOOKUP($A11,test!$A$3:$G$32,6,FALSE) &gt;= (test!$B$33)/1440),1,0)</f>
        <v>0</v>
      </c>
      <c r="M11" s="2">
        <f>IF(AND(VLOOKUP(M$1,test!$A$3:$F$32,5,FALSE) - VLOOKUP($A11,test!$A$3:$G$32,6,FALSE) &gt;= (test!$B$33)/1440),1,0)</f>
        <v>1</v>
      </c>
      <c r="N11" s="2">
        <f>IF(AND(VLOOKUP(N$1,test!$A$3:$F$32,5,FALSE) - VLOOKUP($A11,test!$A$3:$G$32,6,FALSE) &gt;= (test!$B$33)/1440),1,0)</f>
        <v>1</v>
      </c>
      <c r="O11" s="2">
        <f>IF(AND(VLOOKUP(O$1,test!$A$3:$F$32,5,FALSE) - VLOOKUP($A11,test!$A$3:$G$32,6,FALSE) &gt;= (test!$B$33)/1440),1,0)</f>
        <v>1</v>
      </c>
      <c r="P11" s="2">
        <f>IF(AND(VLOOKUP(P$1,test!$A$3:$F$32,5,FALSE) - VLOOKUP($A11,test!$A$3:$G$32,6,FALSE) &gt;= (test!$B$33)/1440),1,0)</f>
        <v>0</v>
      </c>
      <c r="Q11" s="2">
        <f>IF(AND(VLOOKUP(Q$1,test!$A$3:$F$32,5,FALSE) - VLOOKUP($A11,test!$A$3:$G$32,6,FALSE) &gt;= (test!$B$33)/1440),1,0)</f>
        <v>0</v>
      </c>
      <c r="R11" s="2">
        <f>IF(AND(VLOOKUP(R$1,test!$A$3:$F$32,5,FALSE) - VLOOKUP($A11,test!$A$3:$G$32,6,FALSE) &gt;= (test!$B$33)/1440),1,0)</f>
        <v>0</v>
      </c>
      <c r="S11" s="2">
        <f>IF(AND(VLOOKUP(S$1,test!$A$3:$F$32,5,FALSE) - VLOOKUP($A11,test!$A$3:$G$32,6,FALSE) &gt;= (test!$B$33)/1440),1,0)</f>
        <v>0</v>
      </c>
      <c r="T11" s="2">
        <f>IF(AND(VLOOKUP(T$1,test!$A$3:$F$32,5,FALSE) - VLOOKUP($A11,test!$A$3:$G$32,6,FALSE) &gt;= (test!$B$33)/1440),1,0)</f>
        <v>1</v>
      </c>
      <c r="U11" s="2">
        <f>IF(AND(VLOOKUP(U$1,test!$A$3:$F$32,5,FALSE) - VLOOKUP($A11,test!$A$3:$G$32,6,FALSE) &gt;= (test!$B$33)/1440),1,0)</f>
        <v>1</v>
      </c>
      <c r="V11" s="2">
        <f>IF(AND(VLOOKUP(V$1,test!$A$3:$F$32,5,FALSE) - VLOOKUP($A11,test!$A$3:$G$32,6,FALSE) &gt;= (test!$B$33)/1440),1,0)</f>
        <v>1</v>
      </c>
      <c r="W11" s="2">
        <f>IF(AND(VLOOKUP(W$1,test!$A$3:$F$32,5,FALSE) - VLOOKUP($A11,test!$A$3:$G$32,6,FALSE) &gt;= (test!$B$33)/1440),1,0)</f>
        <v>1</v>
      </c>
      <c r="X11" s="2">
        <f>IF(AND(VLOOKUP(X$1,test!$A$3:$F$32,5,FALSE) - VLOOKUP($A11,test!$A$3:$G$32,6,FALSE) &gt;= (test!$B$33)/1440),1,0)</f>
        <v>1</v>
      </c>
      <c r="Y11" s="2">
        <f>IF(AND(VLOOKUP(Y$1,test!$A$3:$F$32,5,FALSE) - VLOOKUP($A11,test!$A$3:$G$32,6,FALSE) &gt;= (test!$B$33)/1440),1,0)</f>
        <v>0</v>
      </c>
      <c r="Z11" s="2">
        <f>IF(AND(VLOOKUP(Z$1,test!$A$3:$F$32,5,FALSE) - VLOOKUP($A11,test!$A$3:$G$32,6,FALSE) &gt;= (test!$B$33)/1440),1,0)</f>
        <v>0</v>
      </c>
      <c r="AA11" s="2">
        <f>IF(AND(VLOOKUP(AA$1,test!$A$3:$F$32,5,FALSE) - VLOOKUP($A11,test!$A$3:$G$32,6,FALSE) &gt;= (test!$B$33)/1440),1,0)</f>
        <v>1</v>
      </c>
      <c r="AB11" s="2">
        <f>IF(AND(VLOOKUP(AB$1,test!$A$3:$F$32,5,FALSE) - VLOOKUP($A11,test!$A$3:$G$32,6,FALSE) &gt;= (test!$B$33)/1440),1,0)</f>
        <v>1</v>
      </c>
      <c r="AC11" s="2">
        <f>IF(AND(VLOOKUP(AC$1,test!$A$3:$F$32,5,FALSE) - VLOOKUP($A11,test!$A$3:$G$32,6,FALSE) &gt;= (test!$B$33)/1440),1,0)</f>
        <v>1</v>
      </c>
      <c r="AD11" s="2">
        <f>IF(AND(VLOOKUP(AD$1,test!$A$3:$F$32,5,FALSE) - VLOOKUP($A11,test!$A$3:$G$32,6,FALSE) &gt;= (test!$B$33)/1440),1,0)</f>
        <v>0</v>
      </c>
      <c r="AE11" s="2">
        <f>IF(AND(VLOOKUP(AE$1,test!$A$3:$F$32,5,FALSE) - VLOOKUP($A11,test!$A$3:$G$32,6,FALSE) &gt;= (test!$B$33)/1440),1,0)</f>
        <v>1</v>
      </c>
      <c r="AF11" s="2">
        <f>IF(AND(VLOOKUP(AF$1,test!$A$3:$F$32,5,FALSE) - VLOOKUP($A11,test!$A$3:$G$32,6,FALSE) &gt;= (test!$B$33)/1440),1,0)</f>
        <v>1</v>
      </c>
    </row>
    <row r="12" spans="1:32" x14ac:dyDescent="0.25">
      <c r="A12" t="s">
        <v>20</v>
      </c>
      <c r="B12">
        <v>0</v>
      </c>
      <c r="C12" s="2">
        <f>IF(AND(VLOOKUP(C$1,test!$A$3:$F$32,5,FALSE) - VLOOKUP($A12,test!$A$3:$G$32,6,FALSE) &gt;= (test!$B$33)/1440),1,0)</f>
        <v>0</v>
      </c>
      <c r="D12" s="2">
        <f>IF(AND(VLOOKUP(D$1,test!$A$3:$F$32,5,FALSE) - VLOOKUP($A12,test!$A$3:$G$32,6,FALSE) &gt;= (test!$B$33)/1440),1,0)</f>
        <v>0</v>
      </c>
      <c r="E12" s="2">
        <f>IF(AND(VLOOKUP(E$1,test!$A$3:$F$32,5,FALSE) - VLOOKUP($A12,test!$A$3:$G$32,6,FALSE) &gt;= (test!$B$33)/1440),1,0)</f>
        <v>0</v>
      </c>
      <c r="F12" s="2">
        <f>IF(AND(VLOOKUP(F$1,test!$A$3:$F$32,5,FALSE) - VLOOKUP($A12,test!$A$3:$G$32,6,FALSE) &gt;= (test!$B$33)/1440),1,0)</f>
        <v>1</v>
      </c>
      <c r="G12" s="2">
        <f>IF(AND(VLOOKUP(G$1,test!$A$3:$F$32,5,FALSE) - VLOOKUP($A12,test!$A$3:$G$32,6,FALSE) &gt;= (test!$B$33)/1440),1,0)</f>
        <v>1</v>
      </c>
      <c r="H12" s="2">
        <f>IF(AND(VLOOKUP(H$1,test!$A$3:$F$32,5,FALSE) - VLOOKUP($A12,test!$A$3:$G$32,6,FALSE) &gt;= (test!$B$33)/1440),1,0)</f>
        <v>1</v>
      </c>
      <c r="I12" s="2">
        <f>IF(AND(VLOOKUP(I$1,test!$A$3:$F$32,5,FALSE) - VLOOKUP($A12,test!$A$3:$G$32,6,FALSE) &gt;= (test!$B$33)/1440),1,0)</f>
        <v>1</v>
      </c>
      <c r="J12" s="2">
        <f>IF(AND(VLOOKUP(J$1,test!$A$3:$F$32,5,FALSE) - VLOOKUP($A12,test!$A$3:$G$32,6,FALSE) &gt;= (test!$B$33)/1440),1,0)</f>
        <v>1</v>
      </c>
      <c r="K12" s="2">
        <f>IF(AND(VLOOKUP(K$1,test!$A$3:$F$32,5,FALSE) - VLOOKUP($A12,test!$A$3:$G$32,6,FALSE) &gt;= (test!$B$33)/1440),1,0)</f>
        <v>0</v>
      </c>
      <c r="L12" s="2">
        <f>IF(AND(VLOOKUP(L$1,test!$A$3:$F$32,5,FALSE) - VLOOKUP($A12,test!$A$3:$G$32,6,FALSE) &gt;= (test!$B$33)/1440),1,0)</f>
        <v>0</v>
      </c>
      <c r="M12" s="2">
        <f>IF(AND(VLOOKUP(M$1,test!$A$3:$F$32,5,FALSE) - VLOOKUP($A12,test!$A$3:$G$32,6,FALSE) &gt;= (test!$B$33)/1440),1,0)</f>
        <v>0</v>
      </c>
      <c r="N12" s="2">
        <f>IF(AND(VLOOKUP(N$1,test!$A$3:$F$32,5,FALSE) - VLOOKUP($A12,test!$A$3:$G$32,6,FALSE) &gt;= (test!$B$33)/1440),1,0)</f>
        <v>1</v>
      </c>
      <c r="O12" s="2">
        <f>IF(AND(VLOOKUP(O$1,test!$A$3:$F$32,5,FALSE) - VLOOKUP($A12,test!$A$3:$G$32,6,FALSE) &gt;= (test!$B$33)/1440),1,0)</f>
        <v>1</v>
      </c>
      <c r="P12" s="2">
        <f>IF(AND(VLOOKUP(P$1,test!$A$3:$F$32,5,FALSE) - VLOOKUP($A12,test!$A$3:$G$32,6,FALSE) &gt;= (test!$B$33)/1440),1,0)</f>
        <v>0</v>
      </c>
      <c r="Q12" s="2">
        <f>IF(AND(VLOOKUP(Q$1,test!$A$3:$F$32,5,FALSE) - VLOOKUP($A12,test!$A$3:$G$32,6,FALSE) &gt;= (test!$B$33)/1440),1,0)</f>
        <v>0</v>
      </c>
      <c r="R12" s="2">
        <f>IF(AND(VLOOKUP(R$1,test!$A$3:$F$32,5,FALSE) - VLOOKUP($A12,test!$A$3:$G$32,6,FALSE) &gt;= (test!$B$33)/1440),1,0)</f>
        <v>0</v>
      </c>
      <c r="S12" s="2">
        <f>IF(AND(VLOOKUP(S$1,test!$A$3:$F$32,5,FALSE) - VLOOKUP($A12,test!$A$3:$G$32,6,FALSE) &gt;= (test!$B$33)/1440),1,0)</f>
        <v>0</v>
      </c>
      <c r="T12" s="2">
        <f>IF(AND(VLOOKUP(T$1,test!$A$3:$F$32,5,FALSE) - VLOOKUP($A12,test!$A$3:$G$32,6,FALSE) &gt;= (test!$B$33)/1440),1,0)</f>
        <v>0</v>
      </c>
      <c r="U12" s="2">
        <f>IF(AND(VLOOKUP(U$1,test!$A$3:$F$32,5,FALSE) - VLOOKUP($A12,test!$A$3:$G$32,6,FALSE) &gt;= (test!$B$33)/1440),1,0)</f>
        <v>1</v>
      </c>
      <c r="V12" s="2">
        <f>IF(AND(VLOOKUP(V$1,test!$A$3:$F$32,5,FALSE) - VLOOKUP($A12,test!$A$3:$G$32,6,FALSE) &gt;= (test!$B$33)/1440),1,0)</f>
        <v>1</v>
      </c>
      <c r="W12" s="2">
        <f>IF(AND(VLOOKUP(W$1,test!$A$3:$F$32,5,FALSE) - VLOOKUP($A12,test!$A$3:$G$32,6,FALSE) &gt;= (test!$B$33)/1440),1,0)</f>
        <v>1</v>
      </c>
      <c r="X12" s="2">
        <f>IF(AND(VLOOKUP(X$1,test!$A$3:$F$32,5,FALSE) - VLOOKUP($A12,test!$A$3:$G$32,6,FALSE) &gt;= (test!$B$33)/1440),1,0)</f>
        <v>1</v>
      </c>
      <c r="Y12" s="2">
        <f>IF(AND(VLOOKUP(Y$1,test!$A$3:$F$32,5,FALSE) - VLOOKUP($A12,test!$A$3:$G$32,6,FALSE) &gt;= (test!$B$33)/1440),1,0)</f>
        <v>0</v>
      </c>
      <c r="Z12" s="2">
        <f>IF(AND(VLOOKUP(Z$1,test!$A$3:$F$32,5,FALSE) - VLOOKUP($A12,test!$A$3:$G$32,6,FALSE) &gt;= (test!$B$33)/1440),1,0)</f>
        <v>0</v>
      </c>
      <c r="AA12" s="2">
        <f>IF(AND(VLOOKUP(AA$1,test!$A$3:$F$32,5,FALSE) - VLOOKUP($A12,test!$A$3:$G$32,6,FALSE) &gt;= (test!$B$33)/1440),1,0)</f>
        <v>0</v>
      </c>
      <c r="AB12" s="2">
        <f>IF(AND(VLOOKUP(AB$1,test!$A$3:$F$32,5,FALSE) - VLOOKUP($A12,test!$A$3:$G$32,6,FALSE) &gt;= (test!$B$33)/1440),1,0)</f>
        <v>1</v>
      </c>
      <c r="AC12" s="2">
        <f>IF(AND(VLOOKUP(AC$1,test!$A$3:$F$32,5,FALSE) - VLOOKUP($A12,test!$A$3:$G$32,6,FALSE) &gt;= (test!$B$33)/1440),1,0)</f>
        <v>1</v>
      </c>
      <c r="AD12" s="2">
        <f>IF(AND(VLOOKUP(AD$1,test!$A$3:$F$32,5,FALSE) - VLOOKUP($A12,test!$A$3:$G$32,6,FALSE) &gt;= (test!$B$33)/1440),1,0)</f>
        <v>0</v>
      </c>
      <c r="AE12" s="2">
        <f>IF(AND(VLOOKUP(AE$1,test!$A$3:$F$32,5,FALSE) - VLOOKUP($A12,test!$A$3:$G$32,6,FALSE) &gt;= (test!$B$33)/1440),1,0)</f>
        <v>0</v>
      </c>
      <c r="AF12" s="2">
        <f>IF(AND(VLOOKUP(AF$1,test!$A$3:$F$32,5,FALSE) - VLOOKUP($A12,test!$A$3:$G$32,6,FALSE) &gt;= (test!$B$33)/1440),1,0)</f>
        <v>0</v>
      </c>
    </row>
    <row r="13" spans="1:32" x14ac:dyDescent="0.25">
      <c r="A13" t="s">
        <v>21</v>
      </c>
      <c r="B13">
        <v>0</v>
      </c>
      <c r="C13" s="2">
        <f>IF(AND(VLOOKUP(C$1,test!$A$3:$F$32,5,FALSE) - VLOOKUP($A13,test!$A$3:$G$32,6,FALSE) &gt;= (test!$B$33)/1440),1,0)</f>
        <v>0</v>
      </c>
      <c r="D13" s="2">
        <f>IF(AND(VLOOKUP(D$1,test!$A$3:$F$32,5,FALSE) - VLOOKUP($A13,test!$A$3:$G$32,6,FALSE) &gt;= (test!$B$33)/1440),1,0)</f>
        <v>0</v>
      </c>
      <c r="E13" s="2">
        <f>IF(AND(VLOOKUP(E$1,test!$A$3:$F$32,5,FALSE) - VLOOKUP($A13,test!$A$3:$G$32,6,FALSE) &gt;= (test!$B$33)/1440),1,0)</f>
        <v>0</v>
      </c>
      <c r="F13" s="2">
        <f>IF(AND(VLOOKUP(F$1,test!$A$3:$F$32,5,FALSE) - VLOOKUP($A13,test!$A$3:$G$32,6,FALSE) &gt;= (test!$B$33)/1440),1,0)</f>
        <v>0</v>
      </c>
      <c r="G13" s="2">
        <f>IF(AND(VLOOKUP(G$1,test!$A$3:$F$32,5,FALSE) - VLOOKUP($A13,test!$A$3:$G$32,6,FALSE) &gt;= (test!$B$33)/1440),1,0)</f>
        <v>0</v>
      </c>
      <c r="H13" s="2">
        <f>IF(AND(VLOOKUP(H$1,test!$A$3:$F$32,5,FALSE) - VLOOKUP($A13,test!$A$3:$G$32,6,FALSE) &gt;= (test!$B$33)/1440),1,0)</f>
        <v>1</v>
      </c>
      <c r="I13" s="2">
        <f>IF(AND(VLOOKUP(I$1,test!$A$3:$F$32,5,FALSE) - VLOOKUP($A13,test!$A$3:$G$32,6,FALSE) &gt;= (test!$B$33)/1440),1,0)</f>
        <v>1</v>
      </c>
      <c r="J13" s="2">
        <f>IF(AND(VLOOKUP(J$1,test!$A$3:$F$32,5,FALSE) - VLOOKUP($A13,test!$A$3:$G$32,6,FALSE) &gt;= (test!$B$33)/1440),1,0)</f>
        <v>1</v>
      </c>
      <c r="K13" s="2">
        <f>IF(AND(VLOOKUP(K$1,test!$A$3:$F$32,5,FALSE) - VLOOKUP($A13,test!$A$3:$G$32,6,FALSE) &gt;= (test!$B$33)/1440),1,0)</f>
        <v>0</v>
      </c>
      <c r="L13" s="2">
        <f>IF(AND(VLOOKUP(L$1,test!$A$3:$F$32,5,FALSE) - VLOOKUP($A13,test!$A$3:$G$32,6,FALSE) &gt;= (test!$B$33)/1440),1,0)</f>
        <v>0</v>
      </c>
      <c r="M13" s="2">
        <f>IF(AND(VLOOKUP(M$1,test!$A$3:$F$32,5,FALSE) - VLOOKUP($A13,test!$A$3:$G$32,6,FALSE) &gt;= (test!$B$33)/1440),1,0)</f>
        <v>0</v>
      </c>
      <c r="N13" s="2">
        <f>IF(AND(VLOOKUP(N$1,test!$A$3:$F$32,5,FALSE) - VLOOKUP($A13,test!$A$3:$G$32,6,FALSE) &gt;= (test!$B$33)/1440),1,0)</f>
        <v>1</v>
      </c>
      <c r="O13" s="2">
        <f>IF(AND(VLOOKUP(O$1,test!$A$3:$F$32,5,FALSE) - VLOOKUP($A13,test!$A$3:$G$32,6,FALSE) &gt;= (test!$B$33)/1440),1,0)</f>
        <v>1</v>
      </c>
      <c r="P13" s="2">
        <f>IF(AND(VLOOKUP(P$1,test!$A$3:$F$32,5,FALSE) - VLOOKUP($A13,test!$A$3:$G$32,6,FALSE) &gt;= (test!$B$33)/1440),1,0)</f>
        <v>0</v>
      </c>
      <c r="Q13" s="2">
        <f>IF(AND(VLOOKUP(Q$1,test!$A$3:$F$32,5,FALSE) - VLOOKUP($A13,test!$A$3:$G$32,6,FALSE) &gt;= (test!$B$33)/1440),1,0)</f>
        <v>0</v>
      </c>
      <c r="R13" s="2">
        <f>IF(AND(VLOOKUP(R$1,test!$A$3:$F$32,5,FALSE) - VLOOKUP($A13,test!$A$3:$G$32,6,FALSE) &gt;= (test!$B$33)/1440),1,0)</f>
        <v>0</v>
      </c>
      <c r="S13" s="2">
        <f>IF(AND(VLOOKUP(S$1,test!$A$3:$F$32,5,FALSE) - VLOOKUP($A13,test!$A$3:$G$32,6,FALSE) &gt;= (test!$B$33)/1440),1,0)</f>
        <v>0</v>
      </c>
      <c r="T13" s="2">
        <f>IF(AND(VLOOKUP(T$1,test!$A$3:$F$32,5,FALSE) - VLOOKUP($A13,test!$A$3:$G$32,6,FALSE) &gt;= (test!$B$33)/1440),1,0)</f>
        <v>0</v>
      </c>
      <c r="U13" s="2">
        <f>IF(AND(VLOOKUP(U$1,test!$A$3:$F$32,5,FALSE) - VLOOKUP($A13,test!$A$3:$G$32,6,FALSE) &gt;= (test!$B$33)/1440),1,0)</f>
        <v>0</v>
      </c>
      <c r="V13" s="2">
        <f>IF(AND(VLOOKUP(V$1,test!$A$3:$F$32,5,FALSE) - VLOOKUP($A13,test!$A$3:$G$32,6,FALSE) &gt;= (test!$B$33)/1440),1,0)</f>
        <v>1</v>
      </c>
      <c r="W13" s="2">
        <f>IF(AND(VLOOKUP(W$1,test!$A$3:$F$32,5,FALSE) - VLOOKUP($A13,test!$A$3:$G$32,6,FALSE) &gt;= (test!$B$33)/1440),1,0)</f>
        <v>1</v>
      </c>
      <c r="X13" s="2">
        <f>IF(AND(VLOOKUP(X$1,test!$A$3:$F$32,5,FALSE) - VLOOKUP($A13,test!$A$3:$G$32,6,FALSE) &gt;= (test!$B$33)/1440),1,0)</f>
        <v>1</v>
      </c>
      <c r="Y13" s="2">
        <f>IF(AND(VLOOKUP(Y$1,test!$A$3:$F$32,5,FALSE) - VLOOKUP($A13,test!$A$3:$G$32,6,FALSE) &gt;= (test!$B$33)/1440),1,0)</f>
        <v>0</v>
      </c>
      <c r="Z13" s="2">
        <f>IF(AND(VLOOKUP(Z$1,test!$A$3:$F$32,5,FALSE) - VLOOKUP($A13,test!$A$3:$G$32,6,FALSE) &gt;= (test!$B$33)/1440),1,0)</f>
        <v>0</v>
      </c>
      <c r="AA13" s="2">
        <f>IF(AND(VLOOKUP(AA$1,test!$A$3:$F$32,5,FALSE) - VLOOKUP($A13,test!$A$3:$G$32,6,FALSE) &gt;= (test!$B$33)/1440),1,0)</f>
        <v>0</v>
      </c>
      <c r="AB13" s="2">
        <f>IF(AND(VLOOKUP(AB$1,test!$A$3:$F$32,5,FALSE) - VLOOKUP($A13,test!$A$3:$G$32,6,FALSE) &gt;= (test!$B$33)/1440),1,0)</f>
        <v>0</v>
      </c>
      <c r="AC13" s="2">
        <f>IF(AND(VLOOKUP(AC$1,test!$A$3:$F$32,5,FALSE) - VLOOKUP($A13,test!$A$3:$G$32,6,FALSE) &gt;= (test!$B$33)/1440),1,0)</f>
        <v>1</v>
      </c>
      <c r="AD13" s="2">
        <f>IF(AND(VLOOKUP(AD$1,test!$A$3:$F$32,5,FALSE) - VLOOKUP($A13,test!$A$3:$G$32,6,FALSE) &gt;= (test!$B$33)/1440),1,0)</f>
        <v>0</v>
      </c>
      <c r="AE13" s="2">
        <f>IF(AND(VLOOKUP(AE$1,test!$A$3:$F$32,5,FALSE) - VLOOKUP($A13,test!$A$3:$G$32,6,FALSE) &gt;= (test!$B$33)/1440),1,0)</f>
        <v>0</v>
      </c>
      <c r="AF13" s="2">
        <f>IF(AND(VLOOKUP(AF$1,test!$A$3:$F$32,5,FALSE) - VLOOKUP($A13,test!$A$3:$G$32,6,FALSE) &gt;= (test!$B$33)/1440),1,0)</f>
        <v>0</v>
      </c>
    </row>
    <row r="14" spans="1:32" x14ac:dyDescent="0.25">
      <c r="A14" t="s">
        <v>22</v>
      </c>
      <c r="B14">
        <v>0</v>
      </c>
      <c r="C14" s="2">
        <f>IF(AND(VLOOKUP(C$1,test!$A$3:$F$32,5,FALSE) - VLOOKUP($A14,test!$A$3:$G$32,6,FALSE) &gt;= (test!$B$33)/1440),1,0)</f>
        <v>0</v>
      </c>
      <c r="D14" s="2">
        <f>IF(AND(VLOOKUP(D$1,test!$A$3:$F$32,5,FALSE) - VLOOKUP($A14,test!$A$3:$G$32,6,FALSE) &gt;= (test!$B$33)/1440),1,0)</f>
        <v>0</v>
      </c>
      <c r="E14" s="2">
        <f>IF(AND(VLOOKUP(E$1,test!$A$3:$F$32,5,FALSE) - VLOOKUP($A14,test!$A$3:$G$32,6,FALSE) &gt;= (test!$B$33)/1440),1,0)</f>
        <v>0</v>
      </c>
      <c r="F14" s="2">
        <f>IF(AND(VLOOKUP(F$1,test!$A$3:$F$32,5,FALSE) - VLOOKUP($A14,test!$A$3:$G$32,6,FALSE) &gt;= (test!$B$33)/1440),1,0)</f>
        <v>0</v>
      </c>
      <c r="G14" s="2">
        <f>IF(AND(VLOOKUP(G$1,test!$A$3:$F$32,5,FALSE) - VLOOKUP($A14,test!$A$3:$G$32,6,FALSE) &gt;= (test!$B$33)/1440),1,0)</f>
        <v>0</v>
      </c>
      <c r="H14" s="2">
        <f>IF(AND(VLOOKUP(H$1,test!$A$3:$F$32,5,FALSE) - VLOOKUP($A14,test!$A$3:$G$32,6,FALSE) &gt;= (test!$B$33)/1440),1,0)</f>
        <v>0</v>
      </c>
      <c r="I14" s="2">
        <f>IF(AND(VLOOKUP(I$1,test!$A$3:$F$32,5,FALSE) - VLOOKUP($A14,test!$A$3:$G$32,6,FALSE) &gt;= (test!$B$33)/1440),1,0)</f>
        <v>0</v>
      </c>
      <c r="J14" s="2">
        <f>IF(AND(VLOOKUP(J$1,test!$A$3:$F$32,5,FALSE) - VLOOKUP($A14,test!$A$3:$G$32,6,FALSE) &gt;= (test!$B$33)/1440),1,0)</f>
        <v>0</v>
      </c>
      <c r="K14" s="2">
        <f>IF(AND(VLOOKUP(K$1,test!$A$3:$F$32,5,FALSE) - VLOOKUP($A14,test!$A$3:$G$32,6,FALSE) &gt;= (test!$B$33)/1440),1,0)</f>
        <v>0</v>
      </c>
      <c r="L14" s="2">
        <f>IF(AND(VLOOKUP(L$1,test!$A$3:$F$32,5,FALSE) - VLOOKUP($A14,test!$A$3:$G$32,6,FALSE) &gt;= (test!$B$33)/1440),1,0)</f>
        <v>0</v>
      </c>
      <c r="M14" s="2">
        <f>IF(AND(VLOOKUP(M$1,test!$A$3:$F$32,5,FALSE) - VLOOKUP($A14,test!$A$3:$G$32,6,FALSE) &gt;= (test!$B$33)/1440),1,0)</f>
        <v>0</v>
      </c>
      <c r="N14" s="2">
        <f>IF(AND(VLOOKUP(N$1,test!$A$3:$F$32,5,FALSE) - VLOOKUP($A14,test!$A$3:$G$32,6,FALSE) &gt;= (test!$B$33)/1440),1,0)</f>
        <v>0</v>
      </c>
      <c r="O14" s="2">
        <f>IF(AND(VLOOKUP(O$1,test!$A$3:$F$32,5,FALSE) - VLOOKUP($A14,test!$A$3:$G$32,6,FALSE) &gt;= (test!$B$33)/1440),1,0)</f>
        <v>0</v>
      </c>
      <c r="P14" s="2">
        <f>IF(AND(VLOOKUP(P$1,test!$A$3:$F$32,5,FALSE) - VLOOKUP($A14,test!$A$3:$G$32,6,FALSE) &gt;= (test!$B$33)/1440),1,0)</f>
        <v>0</v>
      </c>
      <c r="Q14" s="2">
        <f>IF(AND(VLOOKUP(Q$1,test!$A$3:$F$32,5,FALSE) - VLOOKUP($A14,test!$A$3:$G$32,6,FALSE) &gt;= (test!$B$33)/1440),1,0)</f>
        <v>0</v>
      </c>
      <c r="R14" s="2">
        <f>IF(AND(VLOOKUP(R$1,test!$A$3:$F$32,5,FALSE) - VLOOKUP($A14,test!$A$3:$G$32,6,FALSE) &gt;= (test!$B$33)/1440),1,0)</f>
        <v>0</v>
      </c>
      <c r="S14" s="2">
        <f>IF(AND(VLOOKUP(S$1,test!$A$3:$F$32,5,FALSE) - VLOOKUP($A14,test!$A$3:$G$32,6,FALSE) &gt;= (test!$B$33)/1440),1,0)</f>
        <v>0</v>
      </c>
      <c r="T14" s="2">
        <f>IF(AND(VLOOKUP(T$1,test!$A$3:$F$32,5,FALSE) - VLOOKUP($A14,test!$A$3:$G$32,6,FALSE) &gt;= (test!$B$33)/1440),1,0)</f>
        <v>0</v>
      </c>
      <c r="U14" s="2">
        <f>IF(AND(VLOOKUP(U$1,test!$A$3:$F$32,5,FALSE) - VLOOKUP($A14,test!$A$3:$G$32,6,FALSE) &gt;= (test!$B$33)/1440),1,0)</f>
        <v>0</v>
      </c>
      <c r="V14" s="2">
        <f>IF(AND(VLOOKUP(V$1,test!$A$3:$F$32,5,FALSE) - VLOOKUP($A14,test!$A$3:$G$32,6,FALSE) &gt;= (test!$B$33)/1440),1,0)</f>
        <v>0</v>
      </c>
      <c r="W14" s="2">
        <f>IF(AND(VLOOKUP(W$1,test!$A$3:$F$32,5,FALSE) - VLOOKUP($A14,test!$A$3:$G$32,6,FALSE) &gt;= (test!$B$33)/1440),1,0)</f>
        <v>0</v>
      </c>
      <c r="X14" s="2">
        <f>IF(AND(VLOOKUP(X$1,test!$A$3:$F$32,5,FALSE) - VLOOKUP($A14,test!$A$3:$G$32,6,FALSE) &gt;= (test!$B$33)/1440),1,0)</f>
        <v>0</v>
      </c>
      <c r="Y14" s="2">
        <f>IF(AND(VLOOKUP(Y$1,test!$A$3:$F$32,5,FALSE) - VLOOKUP($A14,test!$A$3:$G$32,6,FALSE) &gt;= (test!$B$33)/1440),1,0)</f>
        <v>0</v>
      </c>
      <c r="Z14" s="2">
        <f>IF(AND(VLOOKUP(Z$1,test!$A$3:$F$32,5,FALSE) - VLOOKUP($A14,test!$A$3:$G$32,6,FALSE) &gt;= (test!$B$33)/1440),1,0)</f>
        <v>0</v>
      </c>
      <c r="AA14" s="2">
        <f>IF(AND(VLOOKUP(AA$1,test!$A$3:$F$32,5,FALSE) - VLOOKUP($A14,test!$A$3:$G$32,6,FALSE) &gt;= (test!$B$33)/1440),1,0)</f>
        <v>0</v>
      </c>
      <c r="AB14" s="2">
        <f>IF(AND(VLOOKUP(AB$1,test!$A$3:$F$32,5,FALSE) - VLOOKUP($A14,test!$A$3:$G$32,6,FALSE) &gt;= (test!$B$33)/1440),1,0)</f>
        <v>0</v>
      </c>
      <c r="AC14" s="2">
        <f>IF(AND(VLOOKUP(AC$1,test!$A$3:$F$32,5,FALSE) - VLOOKUP($A14,test!$A$3:$G$32,6,FALSE) &gt;= (test!$B$33)/1440),1,0)</f>
        <v>0</v>
      </c>
      <c r="AD14" s="2">
        <f>IF(AND(VLOOKUP(AD$1,test!$A$3:$F$32,5,FALSE) - VLOOKUP($A14,test!$A$3:$G$32,6,FALSE) &gt;= (test!$B$33)/1440),1,0)</f>
        <v>0</v>
      </c>
      <c r="AE14" s="2">
        <f>IF(AND(VLOOKUP(AE$1,test!$A$3:$F$32,5,FALSE) - VLOOKUP($A14,test!$A$3:$G$32,6,FALSE) &gt;= (test!$B$33)/1440),1,0)</f>
        <v>0</v>
      </c>
      <c r="AF14" s="2">
        <f>IF(AND(VLOOKUP(AF$1,test!$A$3:$F$32,5,FALSE) - VLOOKUP($A14,test!$A$3:$G$32,6,FALSE) &gt;= (test!$B$33)/1440),1,0)</f>
        <v>0</v>
      </c>
    </row>
    <row r="15" spans="1:32" x14ac:dyDescent="0.25">
      <c r="A15" t="s">
        <v>23</v>
      </c>
      <c r="B15">
        <v>0</v>
      </c>
      <c r="C15" s="2">
        <f>IF(AND(VLOOKUP(C$1,test!$A$3:$F$32,5,FALSE) - VLOOKUP($A15,test!$A$3:$G$32,6,FALSE) &gt;= (test!$B$33)/1440),1,0)</f>
        <v>0</v>
      </c>
      <c r="D15" s="2">
        <f>IF(AND(VLOOKUP(D$1,test!$A$3:$F$32,5,FALSE) - VLOOKUP($A15,test!$A$3:$G$32,6,FALSE) &gt;= (test!$B$33)/1440),1,0)</f>
        <v>0</v>
      </c>
      <c r="E15" s="2">
        <f>IF(AND(VLOOKUP(E$1,test!$A$3:$F$32,5,FALSE) - VLOOKUP($A15,test!$A$3:$G$32,6,FALSE) &gt;= (test!$B$33)/1440),1,0)</f>
        <v>0</v>
      </c>
      <c r="F15" s="2">
        <f>IF(AND(VLOOKUP(F$1,test!$A$3:$F$32,5,FALSE) - VLOOKUP($A15,test!$A$3:$G$32,6,FALSE) &gt;= (test!$B$33)/1440),1,0)</f>
        <v>0</v>
      </c>
      <c r="G15" s="2">
        <f>IF(AND(VLOOKUP(G$1,test!$A$3:$F$32,5,FALSE) - VLOOKUP($A15,test!$A$3:$G$32,6,FALSE) &gt;= (test!$B$33)/1440),1,0)</f>
        <v>0</v>
      </c>
      <c r="H15" s="2">
        <f>IF(AND(VLOOKUP(H$1,test!$A$3:$F$32,5,FALSE) - VLOOKUP($A15,test!$A$3:$G$32,6,FALSE) &gt;= (test!$B$33)/1440),1,0)</f>
        <v>0</v>
      </c>
      <c r="I15" s="2">
        <f>IF(AND(VLOOKUP(I$1,test!$A$3:$F$32,5,FALSE) - VLOOKUP($A15,test!$A$3:$G$32,6,FALSE) &gt;= (test!$B$33)/1440),1,0)</f>
        <v>0</v>
      </c>
      <c r="J15" s="2">
        <f>IF(AND(VLOOKUP(J$1,test!$A$3:$F$32,5,FALSE) - VLOOKUP($A15,test!$A$3:$G$32,6,FALSE) &gt;= (test!$B$33)/1440),1,0)</f>
        <v>0</v>
      </c>
      <c r="K15" s="2">
        <f>IF(AND(VLOOKUP(K$1,test!$A$3:$F$32,5,FALSE) - VLOOKUP($A15,test!$A$3:$G$32,6,FALSE) &gt;= (test!$B$33)/1440),1,0)</f>
        <v>0</v>
      </c>
      <c r="L15" s="2">
        <f>IF(AND(VLOOKUP(L$1,test!$A$3:$F$32,5,FALSE) - VLOOKUP($A15,test!$A$3:$G$32,6,FALSE) &gt;= (test!$B$33)/1440),1,0)</f>
        <v>0</v>
      </c>
      <c r="M15" s="2">
        <f>IF(AND(VLOOKUP(M$1,test!$A$3:$F$32,5,FALSE) - VLOOKUP($A15,test!$A$3:$G$32,6,FALSE) &gt;= (test!$B$33)/1440),1,0)</f>
        <v>0</v>
      </c>
      <c r="N15" s="2">
        <f>IF(AND(VLOOKUP(N$1,test!$A$3:$F$32,5,FALSE) - VLOOKUP($A15,test!$A$3:$G$32,6,FALSE) &gt;= (test!$B$33)/1440),1,0)</f>
        <v>0</v>
      </c>
      <c r="O15" s="2">
        <f>IF(AND(VLOOKUP(O$1,test!$A$3:$F$32,5,FALSE) - VLOOKUP($A15,test!$A$3:$G$32,6,FALSE) &gt;= (test!$B$33)/1440),1,0)</f>
        <v>0</v>
      </c>
      <c r="P15" s="2">
        <f>IF(AND(VLOOKUP(P$1,test!$A$3:$F$32,5,FALSE) - VLOOKUP($A15,test!$A$3:$G$32,6,FALSE) &gt;= (test!$B$33)/1440),1,0)</f>
        <v>0</v>
      </c>
      <c r="Q15" s="2">
        <f>IF(AND(VLOOKUP(Q$1,test!$A$3:$F$32,5,FALSE) - VLOOKUP($A15,test!$A$3:$G$32,6,FALSE) &gt;= (test!$B$33)/1440),1,0)</f>
        <v>0</v>
      </c>
      <c r="R15" s="2">
        <f>IF(AND(VLOOKUP(R$1,test!$A$3:$F$32,5,FALSE) - VLOOKUP($A15,test!$A$3:$G$32,6,FALSE) &gt;= (test!$B$33)/1440),1,0)</f>
        <v>0</v>
      </c>
      <c r="S15" s="2">
        <f>IF(AND(VLOOKUP(S$1,test!$A$3:$F$32,5,FALSE) - VLOOKUP($A15,test!$A$3:$G$32,6,FALSE) &gt;= (test!$B$33)/1440),1,0)</f>
        <v>0</v>
      </c>
      <c r="T15" s="2">
        <f>IF(AND(VLOOKUP(T$1,test!$A$3:$F$32,5,FALSE) - VLOOKUP($A15,test!$A$3:$G$32,6,FALSE) &gt;= (test!$B$33)/1440),1,0)</f>
        <v>0</v>
      </c>
      <c r="U15" s="2">
        <f>IF(AND(VLOOKUP(U$1,test!$A$3:$F$32,5,FALSE) - VLOOKUP($A15,test!$A$3:$G$32,6,FALSE) &gt;= (test!$B$33)/1440),1,0)</f>
        <v>0</v>
      </c>
      <c r="V15" s="2">
        <f>IF(AND(VLOOKUP(V$1,test!$A$3:$F$32,5,FALSE) - VLOOKUP($A15,test!$A$3:$G$32,6,FALSE) &gt;= (test!$B$33)/1440),1,0)</f>
        <v>0</v>
      </c>
      <c r="W15" s="2">
        <f>IF(AND(VLOOKUP(W$1,test!$A$3:$F$32,5,FALSE) - VLOOKUP($A15,test!$A$3:$G$32,6,FALSE) &gt;= (test!$B$33)/1440),1,0)</f>
        <v>0</v>
      </c>
      <c r="X15" s="2">
        <f>IF(AND(VLOOKUP(X$1,test!$A$3:$F$32,5,FALSE) - VLOOKUP($A15,test!$A$3:$G$32,6,FALSE) &gt;= (test!$B$33)/1440),1,0)</f>
        <v>0</v>
      </c>
      <c r="Y15" s="2">
        <f>IF(AND(VLOOKUP(Y$1,test!$A$3:$F$32,5,FALSE) - VLOOKUP($A15,test!$A$3:$G$32,6,FALSE) &gt;= (test!$B$33)/1440),1,0)</f>
        <v>0</v>
      </c>
      <c r="Z15" s="2">
        <f>IF(AND(VLOOKUP(Z$1,test!$A$3:$F$32,5,FALSE) - VLOOKUP($A15,test!$A$3:$G$32,6,FALSE) &gt;= (test!$B$33)/1440),1,0)</f>
        <v>0</v>
      </c>
      <c r="AA15" s="2">
        <f>IF(AND(VLOOKUP(AA$1,test!$A$3:$F$32,5,FALSE) - VLOOKUP($A15,test!$A$3:$G$32,6,FALSE) &gt;= (test!$B$33)/1440),1,0)</f>
        <v>0</v>
      </c>
      <c r="AB15" s="2">
        <f>IF(AND(VLOOKUP(AB$1,test!$A$3:$F$32,5,FALSE) - VLOOKUP($A15,test!$A$3:$G$32,6,FALSE) &gt;= (test!$B$33)/1440),1,0)</f>
        <v>0</v>
      </c>
      <c r="AC15" s="2">
        <f>IF(AND(VLOOKUP(AC$1,test!$A$3:$F$32,5,FALSE) - VLOOKUP($A15,test!$A$3:$G$32,6,FALSE) &gt;= (test!$B$33)/1440),1,0)</f>
        <v>0</v>
      </c>
      <c r="AD15" s="2">
        <f>IF(AND(VLOOKUP(AD$1,test!$A$3:$F$32,5,FALSE) - VLOOKUP($A15,test!$A$3:$G$32,6,FALSE) &gt;= (test!$B$33)/1440),1,0)</f>
        <v>0</v>
      </c>
      <c r="AE15" s="2">
        <f>IF(AND(VLOOKUP(AE$1,test!$A$3:$F$32,5,FALSE) - VLOOKUP($A15,test!$A$3:$G$32,6,FALSE) &gt;= (test!$B$33)/1440),1,0)</f>
        <v>0</v>
      </c>
      <c r="AF15" s="2">
        <f>IF(AND(VLOOKUP(AF$1,test!$A$3:$F$32,5,FALSE) - VLOOKUP($A15,test!$A$3:$G$32,6,FALSE) &gt;= (test!$B$33)/1440),1,0)</f>
        <v>0</v>
      </c>
    </row>
    <row r="16" spans="1:32" x14ac:dyDescent="0.25">
      <c r="A16" t="s">
        <v>24</v>
      </c>
      <c r="B16">
        <v>0</v>
      </c>
      <c r="C16" s="2">
        <f>IF(AND(VLOOKUP(C$1,test!$A$3:$F$32,5,FALSE) - VLOOKUP($A16,test!$A$3:$G$32,6,FALSE) &gt;= (test!$B$33)/1440),1,0)</f>
        <v>0</v>
      </c>
      <c r="D16" s="2">
        <f>IF(AND(VLOOKUP(D$1,test!$A$3:$F$32,5,FALSE) - VLOOKUP($A16,test!$A$3:$G$32,6,FALSE) &gt;= (test!$B$33)/1440),1,0)</f>
        <v>0</v>
      </c>
      <c r="E16" s="2">
        <f>IF(AND(VLOOKUP(E$1,test!$A$3:$F$32,5,FALSE) - VLOOKUP($A16,test!$A$3:$G$32,6,FALSE) &gt;= (test!$B$33)/1440),1,0)</f>
        <v>1</v>
      </c>
      <c r="F16" s="2">
        <f>IF(AND(VLOOKUP(F$1,test!$A$3:$F$32,5,FALSE) - VLOOKUP($A16,test!$A$3:$G$32,6,FALSE) &gt;= (test!$B$33)/1440),1,0)</f>
        <v>1</v>
      </c>
      <c r="G16" s="2">
        <f>IF(AND(VLOOKUP(G$1,test!$A$3:$F$32,5,FALSE) - VLOOKUP($A16,test!$A$3:$G$32,6,FALSE) &gt;= (test!$B$33)/1440),1,0)</f>
        <v>1</v>
      </c>
      <c r="H16" s="2">
        <f>IF(AND(VLOOKUP(H$1,test!$A$3:$F$32,5,FALSE) - VLOOKUP($A16,test!$A$3:$G$32,6,FALSE) &gt;= (test!$B$33)/1440),1,0)</f>
        <v>1</v>
      </c>
      <c r="I16" s="2">
        <f>IF(AND(VLOOKUP(I$1,test!$A$3:$F$32,5,FALSE) - VLOOKUP($A16,test!$A$3:$G$32,6,FALSE) &gt;= (test!$B$33)/1440),1,0)</f>
        <v>1</v>
      </c>
      <c r="J16" s="2">
        <f>IF(AND(VLOOKUP(J$1,test!$A$3:$F$32,5,FALSE) - VLOOKUP($A16,test!$A$3:$G$32,6,FALSE) &gt;= (test!$B$33)/1440),1,0)</f>
        <v>1</v>
      </c>
      <c r="K16" s="2">
        <f>IF(AND(VLOOKUP(K$1,test!$A$3:$F$32,5,FALSE) - VLOOKUP($A16,test!$A$3:$G$32,6,FALSE) &gt;= (test!$B$33)/1440),1,0)</f>
        <v>0</v>
      </c>
      <c r="L16" s="2">
        <f>IF(AND(VLOOKUP(L$1,test!$A$3:$F$32,5,FALSE) - VLOOKUP($A16,test!$A$3:$G$32,6,FALSE) &gt;= (test!$B$33)/1440),1,0)</f>
        <v>0</v>
      </c>
      <c r="M16" s="2">
        <f>IF(AND(VLOOKUP(M$1,test!$A$3:$F$32,5,FALSE) - VLOOKUP($A16,test!$A$3:$G$32,6,FALSE) &gt;= (test!$B$33)/1440),1,0)</f>
        <v>0</v>
      </c>
      <c r="N16" s="2">
        <f>IF(AND(VLOOKUP(N$1,test!$A$3:$F$32,5,FALSE) - VLOOKUP($A16,test!$A$3:$G$32,6,FALSE) &gt;= (test!$B$33)/1440),1,0)</f>
        <v>1</v>
      </c>
      <c r="O16" s="2">
        <f>IF(AND(VLOOKUP(O$1,test!$A$3:$F$32,5,FALSE) - VLOOKUP($A16,test!$A$3:$G$32,6,FALSE) &gt;= (test!$B$33)/1440),1,0)</f>
        <v>1</v>
      </c>
      <c r="P16" s="2">
        <f>IF(AND(VLOOKUP(P$1,test!$A$3:$F$32,5,FALSE) - VLOOKUP($A16,test!$A$3:$G$32,6,FALSE) &gt;= (test!$B$33)/1440),1,0)</f>
        <v>0</v>
      </c>
      <c r="Q16" s="2">
        <f>IF(AND(VLOOKUP(Q$1,test!$A$3:$F$32,5,FALSE) - VLOOKUP($A16,test!$A$3:$G$32,6,FALSE) &gt;= (test!$B$33)/1440),1,0)</f>
        <v>0</v>
      </c>
      <c r="R16" s="2">
        <f>IF(AND(VLOOKUP(R$1,test!$A$3:$F$32,5,FALSE) - VLOOKUP($A16,test!$A$3:$G$32,6,FALSE) &gt;= (test!$B$33)/1440),1,0)</f>
        <v>0</v>
      </c>
      <c r="S16" s="2">
        <f>IF(AND(VLOOKUP(S$1,test!$A$3:$F$32,5,FALSE) - VLOOKUP($A16,test!$A$3:$G$32,6,FALSE) &gt;= (test!$B$33)/1440),1,0)</f>
        <v>0</v>
      </c>
      <c r="T16" s="2">
        <f>IF(AND(VLOOKUP(T$1,test!$A$3:$F$32,5,FALSE) - VLOOKUP($A16,test!$A$3:$G$32,6,FALSE) &gt;= (test!$B$33)/1440),1,0)</f>
        <v>0</v>
      </c>
      <c r="U16" s="2">
        <f>IF(AND(VLOOKUP(U$1,test!$A$3:$F$32,5,FALSE) - VLOOKUP($A16,test!$A$3:$G$32,6,FALSE) &gt;= (test!$B$33)/1440),1,0)</f>
        <v>1</v>
      </c>
      <c r="V16" s="2">
        <f>IF(AND(VLOOKUP(V$1,test!$A$3:$F$32,5,FALSE) - VLOOKUP($A16,test!$A$3:$G$32,6,FALSE) &gt;= (test!$B$33)/1440),1,0)</f>
        <v>1</v>
      </c>
      <c r="W16" s="2">
        <f>IF(AND(VLOOKUP(W$1,test!$A$3:$F$32,5,FALSE) - VLOOKUP($A16,test!$A$3:$G$32,6,FALSE) &gt;= (test!$B$33)/1440),1,0)</f>
        <v>1</v>
      </c>
      <c r="X16" s="2">
        <f>IF(AND(VLOOKUP(X$1,test!$A$3:$F$32,5,FALSE) - VLOOKUP($A16,test!$A$3:$G$32,6,FALSE) &gt;= (test!$B$33)/1440),1,0)</f>
        <v>1</v>
      </c>
      <c r="Y16" s="2">
        <f>IF(AND(VLOOKUP(Y$1,test!$A$3:$F$32,5,FALSE) - VLOOKUP($A16,test!$A$3:$G$32,6,FALSE) &gt;= (test!$B$33)/1440),1,0)</f>
        <v>0</v>
      </c>
      <c r="Z16" s="2">
        <f>IF(AND(VLOOKUP(Z$1,test!$A$3:$F$32,5,FALSE) - VLOOKUP($A16,test!$A$3:$G$32,6,FALSE) &gt;= (test!$B$33)/1440),1,0)</f>
        <v>0</v>
      </c>
      <c r="AA16" s="2">
        <f>IF(AND(VLOOKUP(AA$1,test!$A$3:$F$32,5,FALSE) - VLOOKUP($A16,test!$A$3:$G$32,6,FALSE) &gt;= (test!$B$33)/1440),1,0)</f>
        <v>1</v>
      </c>
      <c r="AB16" s="2">
        <f>IF(AND(VLOOKUP(AB$1,test!$A$3:$F$32,5,FALSE) - VLOOKUP($A16,test!$A$3:$G$32,6,FALSE) &gt;= (test!$B$33)/1440),1,0)</f>
        <v>1</v>
      </c>
      <c r="AC16" s="2">
        <f>IF(AND(VLOOKUP(AC$1,test!$A$3:$F$32,5,FALSE) - VLOOKUP($A16,test!$A$3:$G$32,6,FALSE) &gt;= (test!$B$33)/1440),1,0)</f>
        <v>1</v>
      </c>
      <c r="AD16" s="2">
        <f>IF(AND(VLOOKUP(AD$1,test!$A$3:$F$32,5,FALSE) - VLOOKUP($A16,test!$A$3:$G$32,6,FALSE) &gt;= (test!$B$33)/1440),1,0)</f>
        <v>0</v>
      </c>
      <c r="AE16" s="2">
        <f>IF(AND(VLOOKUP(AE$1,test!$A$3:$F$32,5,FALSE) - VLOOKUP($A16,test!$A$3:$G$32,6,FALSE) &gt;= (test!$B$33)/1440),1,0)</f>
        <v>1</v>
      </c>
      <c r="AF16" s="2">
        <f>IF(AND(VLOOKUP(AF$1,test!$A$3:$F$32,5,FALSE) - VLOOKUP($A16,test!$A$3:$G$32,6,FALSE) &gt;= (test!$B$33)/1440),1,0)</f>
        <v>0</v>
      </c>
    </row>
    <row r="17" spans="1:32" x14ac:dyDescent="0.25">
      <c r="A17" t="s">
        <v>26</v>
      </c>
      <c r="B17">
        <v>0</v>
      </c>
      <c r="C17" s="2">
        <f>IF(AND(VLOOKUP(C$1,test!$A$3:$F$32,5,FALSE) - VLOOKUP($A17,test!$A$3:$G$32,6,FALSE) &gt;= (test!$B$33)/1440),1,0)</f>
        <v>0</v>
      </c>
      <c r="D17" s="2">
        <f>IF(AND(VLOOKUP(D$1,test!$A$3:$F$32,5,FALSE) - VLOOKUP($A17,test!$A$3:$G$32,6,FALSE) &gt;= (test!$B$33)/1440),1,0)</f>
        <v>1</v>
      </c>
      <c r="E17" s="2">
        <f>IF(AND(VLOOKUP(E$1,test!$A$3:$F$32,5,FALSE) - VLOOKUP($A17,test!$A$3:$G$32,6,FALSE) &gt;= (test!$B$33)/1440),1,0)</f>
        <v>1</v>
      </c>
      <c r="F17" s="2">
        <f>IF(AND(VLOOKUP(F$1,test!$A$3:$F$32,5,FALSE) - VLOOKUP($A17,test!$A$3:$G$32,6,FALSE) &gt;= (test!$B$33)/1440),1,0)</f>
        <v>1</v>
      </c>
      <c r="G17" s="2">
        <f>IF(AND(VLOOKUP(G$1,test!$A$3:$F$32,5,FALSE) - VLOOKUP($A17,test!$A$3:$G$32,6,FALSE) &gt;= (test!$B$33)/1440),1,0)</f>
        <v>1</v>
      </c>
      <c r="H17" s="2">
        <f>IF(AND(VLOOKUP(H$1,test!$A$3:$F$32,5,FALSE) - VLOOKUP($A17,test!$A$3:$G$32,6,FALSE) &gt;= (test!$B$33)/1440),1,0)</f>
        <v>1</v>
      </c>
      <c r="I17" s="2">
        <f>IF(AND(VLOOKUP(I$1,test!$A$3:$F$32,5,FALSE) - VLOOKUP($A17,test!$A$3:$G$32,6,FALSE) &gt;= (test!$B$33)/1440),1,0)</f>
        <v>1</v>
      </c>
      <c r="J17" s="2">
        <f>IF(AND(VLOOKUP(J$1,test!$A$3:$F$32,5,FALSE) - VLOOKUP($A17,test!$A$3:$G$32,6,FALSE) &gt;= (test!$B$33)/1440),1,0)</f>
        <v>1</v>
      </c>
      <c r="K17" s="2">
        <f>IF(AND(VLOOKUP(K$1,test!$A$3:$F$32,5,FALSE) - VLOOKUP($A17,test!$A$3:$G$32,6,FALSE) &gt;= (test!$B$33)/1440),1,0)</f>
        <v>0</v>
      </c>
      <c r="L17" s="2">
        <f>IF(AND(VLOOKUP(L$1,test!$A$3:$F$32,5,FALSE) - VLOOKUP($A17,test!$A$3:$G$32,6,FALSE) &gt;= (test!$B$33)/1440),1,0)</f>
        <v>0</v>
      </c>
      <c r="M17" s="2">
        <f>IF(AND(VLOOKUP(M$1,test!$A$3:$F$32,5,FALSE) - VLOOKUP($A17,test!$A$3:$G$32,6,FALSE) &gt;= (test!$B$33)/1440),1,0)</f>
        <v>1</v>
      </c>
      <c r="N17" s="2">
        <f>IF(AND(VLOOKUP(N$1,test!$A$3:$F$32,5,FALSE) - VLOOKUP($A17,test!$A$3:$G$32,6,FALSE) &gt;= (test!$B$33)/1440),1,0)</f>
        <v>1</v>
      </c>
      <c r="O17" s="2">
        <f>IF(AND(VLOOKUP(O$1,test!$A$3:$F$32,5,FALSE) - VLOOKUP($A17,test!$A$3:$G$32,6,FALSE) &gt;= (test!$B$33)/1440),1,0)</f>
        <v>1</v>
      </c>
      <c r="P17" s="2">
        <f>IF(AND(VLOOKUP(P$1,test!$A$3:$F$32,5,FALSE) - VLOOKUP($A17,test!$A$3:$G$32,6,FALSE) &gt;= (test!$B$33)/1440),1,0)</f>
        <v>0</v>
      </c>
      <c r="Q17" s="2">
        <f>IF(AND(VLOOKUP(Q$1,test!$A$3:$F$32,5,FALSE) - VLOOKUP($A17,test!$A$3:$G$32,6,FALSE) &gt;= (test!$B$33)/1440),1,0)</f>
        <v>0</v>
      </c>
      <c r="R17" s="2">
        <f>IF(AND(VLOOKUP(R$1,test!$A$3:$F$32,5,FALSE) - VLOOKUP($A17,test!$A$3:$G$32,6,FALSE) &gt;= (test!$B$33)/1440),1,0)</f>
        <v>0</v>
      </c>
      <c r="S17" s="2">
        <f>IF(AND(VLOOKUP(S$1,test!$A$3:$F$32,5,FALSE) - VLOOKUP($A17,test!$A$3:$G$32,6,FALSE) &gt;= (test!$B$33)/1440),1,0)</f>
        <v>0</v>
      </c>
      <c r="T17" s="2">
        <f>IF(AND(VLOOKUP(T$1,test!$A$3:$F$32,5,FALSE) - VLOOKUP($A17,test!$A$3:$G$32,6,FALSE) &gt;= (test!$B$33)/1440),1,0)</f>
        <v>1</v>
      </c>
      <c r="U17" s="2">
        <f>IF(AND(VLOOKUP(U$1,test!$A$3:$F$32,5,FALSE) - VLOOKUP($A17,test!$A$3:$G$32,6,FALSE) &gt;= (test!$B$33)/1440),1,0)</f>
        <v>1</v>
      </c>
      <c r="V17" s="2">
        <f>IF(AND(VLOOKUP(V$1,test!$A$3:$F$32,5,FALSE) - VLOOKUP($A17,test!$A$3:$G$32,6,FALSE) &gt;= (test!$B$33)/1440),1,0)</f>
        <v>1</v>
      </c>
      <c r="W17" s="2">
        <f>IF(AND(VLOOKUP(W$1,test!$A$3:$F$32,5,FALSE) - VLOOKUP($A17,test!$A$3:$G$32,6,FALSE) &gt;= (test!$B$33)/1440),1,0)</f>
        <v>1</v>
      </c>
      <c r="X17" s="2">
        <f>IF(AND(VLOOKUP(X$1,test!$A$3:$F$32,5,FALSE) - VLOOKUP($A17,test!$A$3:$G$32,6,FALSE) &gt;= (test!$B$33)/1440),1,0)</f>
        <v>1</v>
      </c>
      <c r="Y17" s="2">
        <f>IF(AND(VLOOKUP(Y$1,test!$A$3:$F$32,5,FALSE) - VLOOKUP($A17,test!$A$3:$G$32,6,FALSE) &gt;= (test!$B$33)/1440),1,0)</f>
        <v>0</v>
      </c>
      <c r="Z17" s="2">
        <f>IF(AND(VLOOKUP(Z$1,test!$A$3:$F$32,5,FALSE) - VLOOKUP($A17,test!$A$3:$G$32,6,FALSE) &gt;= (test!$B$33)/1440),1,0)</f>
        <v>1</v>
      </c>
      <c r="AA17" s="2">
        <f>IF(AND(VLOOKUP(AA$1,test!$A$3:$F$32,5,FALSE) - VLOOKUP($A17,test!$A$3:$G$32,6,FALSE) &gt;= (test!$B$33)/1440),1,0)</f>
        <v>1</v>
      </c>
      <c r="AB17" s="2">
        <f>IF(AND(VLOOKUP(AB$1,test!$A$3:$F$32,5,FALSE) - VLOOKUP($A17,test!$A$3:$G$32,6,FALSE) &gt;= (test!$B$33)/1440),1,0)</f>
        <v>1</v>
      </c>
      <c r="AC17" s="2">
        <f>IF(AND(VLOOKUP(AC$1,test!$A$3:$F$32,5,FALSE) - VLOOKUP($A17,test!$A$3:$G$32,6,FALSE) &gt;= (test!$B$33)/1440),1,0)</f>
        <v>1</v>
      </c>
      <c r="AD17" s="2">
        <f>IF(AND(VLOOKUP(AD$1,test!$A$3:$F$32,5,FALSE) - VLOOKUP($A17,test!$A$3:$G$32,6,FALSE) &gt;= (test!$B$33)/1440),1,0)</f>
        <v>0</v>
      </c>
      <c r="AE17" s="2">
        <f>IF(AND(VLOOKUP(AE$1,test!$A$3:$F$32,5,FALSE) - VLOOKUP($A17,test!$A$3:$G$32,6,FALSE) &gt;= (test!$B$33)/1440),1,0)</f>
        <v>1</v>
      </c>
      <c r="AF17" s="2">
        <f>IF(AND(VLOOKUP(AF$1,test!$A$3:$F$32,5,FALSE) - VLOOKUP($A17,test!$A$3:$G$32,6,FALSE) &gt;= (test!$B$33)/1440),1,0)</f>
        <v>1</v>
      </c>
    </row>
    <row r="18" spans="1:32" x14ac:dyDescent="0.25">
      <c r="A18" t="s">
        <v>27</v>
      </c>
      <c r="B18">
        <v>0</v>
      </c>
      <c r="C18" s="2">
        <f>IF(AND(VLOOKUP(C$1,test!$A$3:$F$32,5,FALSE) - VLOOKUP($A18,test!$A$3:$G$32,6,FALSE) &gt;= (test!$B$33)/1440),1,0)</f>
        <v>0</v>
      </c>
      <c r="D18" s="2">
        <f>IF(AND(VLOOKUP(D$1,test!$A$3:$F$32,5,FALSE) - VLOOKUP($A18,test!$A$3:$G$32,6,FALSE) &gt;= (test!$B$33)/1440),1,0)</f>
        <v>0</v>
      </c>
      <c r="E18" s="2">
        <f>IF(AND(VLOOKUP(E$1,test!$A$3:$F$32,5,FALSE) - VLOOKUP($A18,test!$A$3:$G$32,6,FALSE) &gt;= (test!$B$33)/1440),1,0)</f>
        <v>1</v>
      </c>
      <c r="F18" s="2">
        <f>IF(AND(VLOOKUP(F$1,test!$A$3:$F$32,5,FALSE) - VLOOKUP($A18,test!$A$3:$G$32,6,FALSE) &gt;= (test!$B$33)/1440),1,0)</f>
        <v>1</v>
      </c>
      <c r="G18" s="2">
        <f>IF(AND(VLOOKUP(G$1,test!$A$3:$F$32,5,FALSE) - VLOOKUP($A18,test!$A$3:$G$32,6,FALSE) &gt;= (test!$B$33)/1440),1,0)</f>
        <v>1</v>
      </c>
      <c r="H18" s="2">
        <f>IF(AND(VLOOKUP(H$1,test!$A$3:$F$32,5,FALSE) - VLOOKUP($A18,test!$A$3:$G$32,6,FALSE) &gt;= (test!$B$33)/1440),1,0)</f>
        <v>1</v>
      </c>
      <c r="I18" s="2">
        <f>IF(AND(VLOOKUP(I$1,test!$A$3:$F$32,5,FALSE) - VLOOKUP($A18,test!$A$3:$G$32,6,FALSE) &gt;= (test!$B$33)/1440),1,0)</f>
        <v>1</v>
      </c>
      <c r="J18" s="2">
        <f>IF(AND(VLOOKUP(J$1,test!$A$3:$F$32,5,FALSE) - VLOOKUP($A18,test!$A$3:$G$32,6,FALSE) &gt;= (test!$B$33)/1440),1,0)</f>
        <v>1</v>
      </c>
      <c r="K18" s="2">
        <f>IF(AND(VLOOKUP(K$1,test!$A$3:$F$32,5,FALSE) - VLOOKUP($A18,test!$A$3:$G$32,6,FALSE) &gt;= (test!$B$33)/1440),1,0)</f>
        <v>0</v>
      </c>
      <c r="L18" s="2">
        <f>IF(AND(VLOOKUP(L$1,test!$A$3:$F$32,5,FALSE) - VLOOKUP($A18,test!$A$3:$G$32,6,FALSE) &gt;= (test!$B$33)/1440),1,0)</f>
        <v>0</v>
      </c>
      <c r="M18" s="2">
        <f>IF(AND(VLOOKUP(M$1,test!$A$3:$F$32,5,FALSE) - VLOOKUP($A18,test!$A$3:$G$32,6,FALSE) &gt;= (test!$B$33)/1440),1,0)</f>
        <v>0</v>
      </c>
      <c r="N18" s="2">
        <f>IF(AND(VLOOKUP(N$1,test!$A$3:$F$32,5,FALSE) - VLOOKUP($A18,test!$A$3:$G$32,6,FALSE) &gt;= (test!$B$33)/1440),1,0)</f>
        <v>1</v>
      </c>
      <c r="O18" s="2">
        <f>IF(AND(VLOOKUP(O$1,test!$A$3:$F$32,5,FALSE) - VLOOKUP($A18,test!$A$3:$G$32,6,FALSE) &gt;= (test!$B$33)/1440),1,0)</f>
        <v>1</v>
      </c>
      <c r="P18" s="2">
        <f>IF(AND(VLOOKUP(P$1,test!$A$3:$F$32,5,FALSE) - VLOOKUP($A18,test!$A$3:$G$32,6,FALSE) &gt;= (test!$B$33)/1440),1,0)</f>
        <v>0</v>
      </c>
      <c r="Q18" s="2">
        <f>IF(AND(VLOOKUP(Q$1,test!$A$3:$F$32,5,FALSE) - VLOOKUP($A18,test!$A$3:$G$32,6,FALSE) &gt;= (test!$B$33)/1440),1,0)</f>
        <v>0</v>
      </c>
      <c r="R18" s="2">
        <f>IF(AND(VLOOKUP(R$1,test!$A$3:$F$32,5,FALSE) - VLOOKUP($A18,test!$A$3:$G$32,6,FALSE) &gt;= (test!$B$33)/1440),1,0)</f>
        <v>0</v>
      </c>
      <c r="S18" s="2">
        <f>IF(AND(VLOOKUP(S$1,test!$A$3:$F$32,5,FALSE) - VLOOKUP($A18,test!$A$3:$G$32,6,FALSE) &gt;= (test!$B$33)/1440),1,0)</f>
        <v>0</v>
      </c>
      <c r="T18" s="2">
        <f>IF(AND(VLOOKUP(T$1,test!$A$3:$F$32,5,FALSE) - VLOOKUP($A18,test!$A$3:$G$32,6,FALSE) &gt;= (test!$B$33)/1440),1,0)</f>
        <v>0</v>
      </c>
      <c r="U18" s="2">
        <f>IF(AND(VLOOKUP(U$1,test!$A$3:$F$32,5,FALSE) - VLOOKUP($A18,test!$A$3:$G$32,6,FALSE) &gt;= (test!$B$33)/1440),1,0)</f>
        <v>1</v>
      </c>
      <c r="V18" s="2">
        <f>IF(AND(VLOOKUP(V$1,test!$A$3:$F$32,5,FALSE) - VLOOKUP($A18,test!$A$3:$G$32,6,FALSE) &gt;= (test!$B$33)/1440),1,0)</f>
        <v>1</v>
      </c>
      <c r="W18" s="2">
        <f>IF(AND(VLOOKUP(W$1,test!$A$3:$F$32,5,FALSE) - VLOOKUP($A18,test!$A$3:$G$32,6,FALSE) &gt;= (test!$B$33)/1440),1,0)</f>
        <v>1</v>
      </c>
      <c r="X18" s="2">
        <f>IF(AND(VLOOKUP(X$1,test!$A$3:$F$32,5,FALSE) - VLOOKUP($A18,test!$A$3:$G$32,6,FALSE) &gt;= (test!$B$33)/1440),1,0)</f>
        <v>1</v>
      </c>
      <c r="Y18" s="2">
        <f>IF(AND(VLOOKUP(Y$1,test!$A$3:$F$32,5,FALSE) - VLOOKUP($A18,test!$A$3:$G$32,6,FALSE) &gt;= (test!$B$33)/1440),1,0)</f>
        <v>0</v>
      </c>
      <c r="Z18" s="2">
        <f>IF(AND(VLOOKUP(Z$1,test!$A$3:$F$32,5,FALSE) - VLOOKUP($A18,test!$A$3:$G$32,6,FALSE) &gt;= (test!$B$33)/1440),1,0)</f>
        <v>0</v>
      </c>
      <c r="AA18" s="2">
        <f>IF(AND(VLOOKUP(AA$1,test!$A$3:$F$32,5,FALSE) - VLOOKUP($A18,test!$A$3:$G$32,6,FALSE) &gt;= (test!$B$33)/1440),1,0)</f>
        <v>1</v>
      </c>
      <c r="AB18" s="2">
        <f>IF(AND(VLOOKUP(AB$1,test!$A$3:$F$32,5,FALSE) - VLOOKUP($A18,test!$A$3:$G$32,6,FALSE) &gt;= (test!$B$33)/1440),1,0)</f>
        <v>1</v>
      </c>
      <c r="AC18" s="2">
        <f>IF(AND(VLOOKUP(AC$1,test!$A$3:$F$32,5,FALSE) - VLOOKUP($A18,test!$A$3:$G$32,6,FALSE) &gt;= (test!$B$33)/1440),1,0)</f>
        <v>1</v>
      </c>
      <c r="AD18" s="2">
        <f>IF(AND(VLOOKUP(AD$1,test!$A$3:$F$32,5,FALSE) - VLOOKUP($A18,test!$A$3:$G$32,6,FALSE) &gt;= (test!$B$33)/1440),1,0)</f>
        <v>0</v>
      </c>
      <c r="AE18" s="2">
        <f>IF(AND(VLOOKUP(AE$1,test!$A$3:$F$32,5,FALSE) - VLOOKUP($A18,test!$A$3:$G$32,6,FALSE) &gt;= (test!$B$33)/1440),1,0)</f>
        <v>1</v>
      </c>
      <c r="AF18" s="2">
        <f>IF(AND(VLOOKUP(AF$1,test!$A$3:$F$32,5,FALSE) - VLOOKUP($A18,test!$A$3:$G$32,6,FALSE) &gt;= (test!$B$33)/1440),1,0)</f>
        <v>0</v>
      </c>
    </row>
    <row r="19" spans="1:32" x14ac:dyDescent="0.25">
      <c r="A19" t="s">
        <v>28</v>
      </c>
      <c r="B19">
        <v>0</v>
      </c>
      <c r="C19" s="2">
        <f>IF(AND(VLOOKUP(C$1,test!$A$3:$F$32,5,FALSE) - VLOOKUP($A19,test!$A$3:$G$32,6,FALSE) &gt;= (test!$B$33)/1440),1,0)</f>
        <v>0</v>
      </c>
      <c r="D19" s="2">
        <f>IF(AND(VLOOKUP(D$1,test!$A$3:$F$32,5,FALSE) - VLOOKUP($A19,test!$A$3:$G$32,6,FALSE) &gt;= (test!$B$33)/1440),1,0)</f>
        <v>0</v>
      </c>
      <c r="E19" s="2">
        <f>IF(AND(VLOOKUP(E$1,test!$A$3:$F$32,5,FALSE) - VLOOKUP($A19,test!$A$3:$G$32,6,FALSE) &gt;= (test!$B$33)/1440),1,0)</f>
        <v>0</v>
      </c>
      <c r="F19" s="2">
        <f>IF(AND(VLOOKUP(F$1,test!$A$3:$F$32,5,FALSE) - VLOOKUP($A19,test!$A$3:$G$32,6,FALSE) &gt;= (test!$B$33)/1440),1,0)</f>
        <v>1</v>
      </c>
      <c r="G19" s="2">
        <f>IF(AND(VLOOKUP(G$1,test!$A$3:$F$32,5,FALSE) - VLOOKUP($A19,test!$A$3:$G$32,6,FALSE) &gt;= (test!$B$33)/1440),1,0)</f>
        <v>1</v>
      </c>
      <c r="H19" s="2">
        <f>IF(AND(VLOOKUP(H$1,test!$A$3:$F$32,5,FALSE) - VLOOKUP($A19,test!$A$3:$G$32,6,FALSE) &gt;= (test!$B$33)/1440),1,0)</f>
        <v>1</v>
      </c>
      <c r="I19" s="2">
        <f>IF(AND(VLOOKUP(I$1,test!$A$3:$F$32,5,FALSE) - VLOOKUP($A19,test!$A$3:$G$32,6,FALSE) &gt;= (test!$B$33)/1440),1,0)</f>
        <v>1</v>
      </c>
      <c r="J19" s="2">
        <f>IF(AND(VLOOKUP(J$1,test!$A$3:$F$32,5,FALSE) - VLOOKUP($A19,test!$A$3:$G$32,6,FALSE) &gt;= (test!$B$33)/1440),1,0)</f>
        <v>1</v>
      </c>
      <c r="K19" s="2">
        <f>IF(AND(VLOOKUP(K$1,test!$A$3:$F$32,5,FALSE) - VLOOKUP($A19,test!$A$3:$G$32,6,FALSE) &gt;= (test!$B$33)/1440),1,0)</f>
        <v>0</v>
      </c>
      <c r="L19" s="2">
        <f>IF(AND(VLOOKUP(L$1,test!$A$3:$F$32,5,FALSE) - VLOOKUP($A19,test!$A$3:$G$32,6,FALSE) &gt;= (test!$B$33)/1440),1,0)</f>
        <v>0</v>
      </c>
      <c r="M19" s="2">
        <f>IF(AND(VLOOKUP(M$1,test!$A$3:$F$32,5,FALSE) - VLOOKUP($A19,test!$A$3:$G$32,6,FALSE) &gt;= (test!$B$33)/1440),1,0)</f>
        <v>0</v>
      </c>
      <c r="N19" s="2">
        <f>IF(AND(VLOOKUP(N$1,test!$A$3:$F$32,5,FALSE) - VLOOKUP($A19,test!$A$3:$G$32,6,FALSE) &gt;= (test!$B$33)/1440),1,0)</f>
        <v>1</v>
      </c>
      <c r="O19" s="2">
        <f>IF(AND(VLOOKUP(O$1,test!$A$3:$F$32,5,FALSE) - VLOOKUP($A19,test!$A$3:$G$32,6,FALSE) &gt;= (test!$B$33)/1440),1,0)</f>
        <v>1</v>
      </c>
      <c r="P19" s="2">
        <f>IF(AND(VLOOKUP(P$1,test!$A$3:$F$32,5,FALSE) - VLOOKUP($A19,test!$A$3:$G$32,6,FALSE) &gt;= (test!$B$33)/1440),1,0)</f>
        <v>0</v>
      </c>
      <c r="Q19" s="2">
        <f>IF(AND(VLOOKUP(Q$1,test!$A$3:$F$32,5,FALSE) - VLOOKUP($A19,test!$A$3:$G$32,6,FALSE) &gt;= (test!$B$33)/1440),1,0)</f>
        <v>0</v>
      </c>
      <c r="R19" s="2">
        <f>IF(AND(VLOOKUP(R$1,test!$A$3:$F$32,5,FALSE) - VLOOKUP($A19,test!$A$3:$G$32,6,FALSE) &gt;= (test!$B$33)/1440),1,0)</f>
        <v>0</v>
      </c>
      <c r="S19" s="2">
        <f>IF(AND(VLOOKUP(S$1,test!$A$3:$F$32,5,FALSE) - VLOOKUP($A19,test!$A$3:$G$32,6,FALSE) &gt;= (test!$B$33)/1440),1,0)</f>
        <v>0</v>
      </c>
      <c r="T19" s="2">
        <f>IF(AND(VLOOKUP(T$1,test!$A$3:$F$32,5,FALSE) - VLOOKUP($A19,test!$A$3:$G$32,6,FALSE) &gt;= (test!$B$33)/1440),1,0)</f>
        <v>0</v>
      </c>
      <c r="U19" s="2">
        <f>IF(AND(VLOOKUP(U$1,test!$A$3:$F$32,5,FALSE) - VLOOKUP($A19,test!$A$3:$G$32,6,FALSE) &gt;= (test!$B$33)/1440),1,0)</f>
        <v>0</v>
      </c>
      <c r="V19" s="2">
        <f>IF(AND(VLOOKUP(V$1,test!$A$3:$F$32,5,FALSE) - VLOOKUP($A19,test!$A$3:$G$32,6,FALSE) &gt;= (test!$B$33)/1440),1,0)</f>
        <v>1</v>
      </c>
      <c r="W19" s="2">
        <f>IF(AND(VLOOKUP(W$1,test!$A$3:$F$32,5,FALSE) - VLOOKUP($A19,test!$A$3:$G$32,6,FALSE) &gt;= (test!$B$33)/1440),1,0)</f>
        <v>1</v>
      </c>
      <c r="X19" s="2">
        <f>IF(AND(VLOOKUP(X$1,test!$A$3:$F$32,5,FALSE) - VLOOKUP($A19,test!$A$3:$G$32,6,FALSE) &gt;= (test!$B$33)/1440),1,0)</f>
        <v>1</v>
      </c>
      <c r="Y19" s="2">
        <f>IF(AND(VLOOKUP(Y$1,test!$A$3:$F$32,5,FALSE) - VLOOKUP($A19,test!$A$3:$G$32,6,FALSE) &gt;= (test!$B$33)/1440),1,0)</f>
        <v>0</v>
      </c>
      <c r="Z19" s="2">
        <f>IF(AND(VLOOKUP(Z$1,test!$A$3:$F$32,5,FALSE) - VLOOKUP($A19,test!$A$3:$G$32,6,FALSE) &gt;= (test!$B$33)/1440),1,0)</f>
        <v>0</v>
      </c>
      <c r="AA19" s="2">
        <f>IF(AND(VLOOKUP(AA$1,test!$A$3:$F$32,5,FALSE) - VLOOKUP($A19,test!$A$3:$G$32,6,FALSE) &gt;= (test!$B$33)/1440),1,0)</f>
        <v>0</v>
      </c>
      <c r="AB19" s="2">
        <f>IF(AND(VLOOKUP(AB$1,test!$A$3:$F$32,5,FALSE) - VLOOKUP($A19,test!$A$3:$G$32,6,FALSE) &gt;= (test!$B$33)/1440),1,0)</f>
        <v>1</v>
      </c>
      <c r="AC19" s="2">
        <f>IF(AND(VLOOKUP(AC$1,test!$A$3:$F$32,5,FALSE) - VLOOKUP($A19,test!$A$3:$G$32,6,FALSE) &gt;= (test!$B$33)/1440),1,0)</f>
        <v>1</v>
      </c>
      <c r="AD19" s="2">
        <f>IF(AND(VLOOKUP(AD$1,test!$A$3:$F$32,5,FALSE) - VLOOKUP($A19,test!$A$3:$G$32,6,FALSE) &gt;= (test!$B$33)/1440),1,0)</f>
        <v>0</v>
      </c>
      <c r="AE19" s="2">
        <f>IF(AND(VLOOKUP(AE$1,test!$A$3:$F$32,5,FALSE) - VLOOKUP($A19,test!$A$3:$G$32,6,FALSE) &gt;= (test!$B$33)/1440),1,0)</f>
        <v>0</v>
      </c>
      <c r="AF19" s="2">
        <f>IF(AND(VLOOKUP(AF$1,test!$A$3:$F$32,5,FALSE) - VLOOKUP($A19,test!$A$3:$G$32,6,FALSE) &gt;= (test!$B$33)/1440),1,0)</f>
        <v>0</v>
      </c>
    </row>
    <row r="20" spans="1:32" x14ac:dyDescent="0.25">
      <c r="A20" t="s">
        <v>29</v>
      </c>
      <c r="B20">
        <v>0</v>
      </c>
      <c r="C20" s="2">
        <f>IF(AND(VLOOKUP(C$1,test!$A$3:$F$32,5,FALSE) - VLOOKUP($A20,test!$A$3:$G$32,6,FALSE) &gt;= (test!$B$33)/1440),1,0)</f>
        <v>0</v>
      </c>
      <c r="D20" s="2">
        <f>IF(AND(VLOOKUP(D$1,test!$A$3:$F$32,5,FALSE) - VLOOKUP($A20,test!$A$3:$G$32,6,FALSE) &gt;= (test!$B$33)/1440),1,0)</f>
        <v>0</v>
      </c>
      <c r="E20" s="2">
        <f>IF(AND(VLOOKUP(E$1,test!$A$3:$F$32,5,FALSE) - VLOOKUP($A20,test!$A$3:$G$32,6,FALSE) &gt;= (test!$B$33)/1440),1,0)</f>
        <v>0</v>
      </c>
      <c r="F20" s="2">
        <f>IF(AND(VLOOKUP(F$1,test!$A$3:$F$32,5,FALSE) - VLOOKUP($A20,test!$A$3:$G$32,6,FALSE) &gt;= (test!$B$33)/1440),1,0)</f>
        <v>0</v>
      </c>
      <c r="G20" s="2">
        <f>IF(AND(VLOOKUP(G$1,test!$A$3:$F$32,5,FALSE) - VLOOKUP($A20,test!$A$3:$G$32,6,FALSE) &gt;= (test!$B$33)/1440),1,0)</f>
        <v>0</v>
      </c>
      <c r="H20" s="2">
        <f>IF(AND(VLOOKUP(H$1,test!$A$3:$F$32,5,FALSE) - VLOOKUP($A20,test!$A$3:$G$32,6,FALSE) &gt;= (test!$B$33)/1440),1,0)</f>
        <v>1</v>
      </c>
      <c r="I20" s="2">
        <f>IF(AND(VLOOKUP(I$1,test!$A$3:$F$32,5,FALSE) - VLOOKUP($A20,test!$A$3:$G$32,6,FALSE) &gt;= (test!$B$33)/1440),1,0)</f>
        <v>1</v>
      </c>
      <c r="J20" s="2">
        <f>IF(AND(VLOOKUP(J$1,test!$A$3:$F$32,5,FALSE) - VLOOKUP($A20,test!$A$3:$G$32,6,FALSE) &gt;= (test!$B$33)/1440),1,0)</f>
        <v>1</v>
      </c>
      <c r="K20" s="2">
        <f>IF(AND(VLOOKUP(K$1,test!$A$3:$F$32,5,FALSE) - VLOOKUP($A20,test!$A$3:$G$32,6,FALSE) &gt;= (test!$B$33)/1440),1,0)</f>
        <v>0</v>
      </c>
      <c r="L20" s="2">
        <f>IF(AND(VLOOKUP(L$1,test!$A$3:$F$32,5,FALSE) - VLOOKUP($A20,test!$A$3:$G$32,6,FALSE) &gt;= (test!$B$33)/1440),1,0)</f>
        <v>0</v>
      </c>
      <c r="M20" s="2">
        <f>IF(AND(VLOOKUP(M$1,test!$A$3:$F$32,5,FALSE) - VLOOKUP($A20,test!$A$3:$G$32,6,FALSE) &gt;= (test!$B$33)/1440),1,0)</f>
        <v>0</v>
      </c>
      <c r="N20" s="2">
        <f>IF(AND(VLOOKUP(N$1,test!$A$3:$F$32,5,FALSE) - VLOOKUP($A20,test!$A$3:$G$32,6,FALSE) &gt;= (test!$B$33)/1440),1,0)</f>
        <v>1</v>
      </c>
      <c r="O20" s="2">
        <f>IF(AND(VLOOKUP(O$1,test!$A$3:$F$32,5,FALSE) - VLOOKUP($A20,test!$A$3:$G$32,6,FALSE) &gt;= (test!$B$33)/1440),1,0)</f>
        <v>1</v>
      </c>
      <c r="P20" s="2">
        <f>IF(AND(VLOOKUP(P$1,test!$A$3:$F$32,5,FALSE) - VLOOKUP($A20,test!$A$3:$G$32,6,FALSE) &gt;= (test!$B$33)/1440),1,0)</f>
        <v>0</v>
      </c>
      <c r="Q20" s="2">
        <f>IF(AND(VLOOKUP(Q$1,test!$A$3:$F$32,5,FALSE) - VLOOKUP($A20,test!$A$3:$G$32,6,FALSE) &gt;= (test!$B$33)/1440),1,0)</f>
        <v>0</v>
      </c>
      <c r="R20" s="2">
        <f>IF(AND(VLOOKUP(R$1,test!$A$3:$F$32,5,FALSE) - VLOOKUP($A20,test!$A$3:$G$32,6,FALSE) &gt;= (test!$B$33)/1440),1,0)</f>
        <v>0</v>
      </c>
      <c r="S20" s="2">
        <f>IF(AND(VLOOKUP(S$1,test!$A$3:$F$32,5,FALSE) - VLOOKUP($A20,test!$A$3:$G$32,6,FALSE) &gt;= (test!$B$33)/1440),1,0)</f>
        <v>0</v>
      </c>
      <c r="T20" s="2">
        <f>IF(AND(VLOOKUP(T$1,test!$A$3:$F$32,5,FALSE) - VLOOKUP($A20,test!$A$3:$G$32,6,FALSE) &gt;= (test!$B$33)/1440),1,0)</f>
        <v>0</v>
      </c>
      <c r="U20" s="2">
        <f>IF(AND(VLOOKUP(U$1,test!$A$3:$F$32,5,FALSE) - VLOOKUP($A20,test!$A$3:$G$32,6,FALSE) &gt;= (test!$B$33)/1440),1,0)</f>
        <v>0</v>
      </c>
      <c r="V20" s="2">
        <f>IF(AND(VLOOKUP(V$1,test!$A$3:$F$32,5,FALSE) - VLOOKUP($A20,test!$A$3:$G$32,6,FALSE) &gt;= (test!$B$33)/1440),1,0)</f>
        <v>0</v>
      </c>
      <c r="W20" s="2">
        <f>IF(AND(VLOOKUP(W$1,test!$A$3:$F$32,5,FALSE) - VLOOKUP($A20,test!$A$3:$G$32,6,FALSE) &gt;= (test!$B$33)/1440),1,0)</f>
        <v>1</v>
      </c>
      <c r="X20" s="2">
        <f>IF(AND(VLOOKUP(X$1,test!$A$3:$F$32,5,FALSE) - VLOOKUP($A20,test!$A$3:$G$32,6,FALSE) &gt;= (test!$B$33)/1440),1,0)</f>
        <v>1</v>
      </c>
      <c r="Y20" s="2">
        <f>IF(AND(VLOOKUP(Y$1,test!$A$3:$F$32,5,FALSE) - VLOOKUP($A20,test!$A$3:$G$32,6,FALSE) &gt;= (test!$B$33)/1440),1,0)</f>
        <v>0</v>
      </c>
      <c r="Z20" s="2">
        <f>IF(AND(VLOOKUP(Z$1,test!$A$3:$F$32,5,FALSE) - VLOOKUP($A20,test!$A$3:$G$32,6,FALSE) &gt;= (test!$B$33)/1440),1,0)</f>
        <v>0</v>
      </c>
      <c r="AA20" s="2">
        <f>IF(AND(VLOOKUP(AA$1,test!$A$3:$F$32,5,FALSE) - VLOOKUP($A20,test!$A$3:$G$32,6,FALSE) &gt;= (test!$B$33)/1440),1,0)</f>
        <v>0</v>
      </c>
      <c r="AB20" s="2">
        <f>IF(AND(VLOOKUP(AB$1,test!$A$3:$F$32,5,FALSE) - VLOOKUP($A20,test!$A$3:$G$32,6,FALSE) &gt;= (test!$B$33)/1440),1,0)</f>
        <v>0</v>
      </c>
      <c r="AC20" s="2">
        <f>IF(AND(VLOOKUP(AC$1,test!$A$3:$F$32,5,FALSE) - VLOOKUP($A20,test!$A$3:$G$32,6,FALSE) &gt;= (test!$B$33)/1440),1,0)</f>
        <v>1</v>
      </c>
      <c r="AD20" s="2">
        <f>IF(AND(VLOOKUP(AD$1,test!$A$3:$F$32,5,FALSE) - VLOOKUP($A20,test!$A$3:$G$32,6,FALSE) &gt;= (test!$B$33)/1440),1,0)</f>
        <v>0</v>
      </c>
      <c r="AE20" s="2">
        <f>IF(AND(VLOOKUP(AE$1,test!$A$3:$F$32,5,FALSE) - VLOOKUP($A20,test!$A$3:$G$32,6,FALSE) &gt;= (test!$B$33)/1440),1,0)</f>
        <v>0</v>
      </c>
      <c r="AF20" s="2">
        <f>IF(AND(VLOOKUP(AF$1,test!$A$3:$F$32,5,FALSE) - VLOOKUP($A20,test!$A$3:$G$32,6,FALSE) &gt;= (test!$B$33)/1440),1,0)</f>
        <v>0</v>
      </c>
    </row>
    <row r="21" spans="1:32" x14ac:dyDescent="0.25">
      <c r="A21" t="s">
        <v>30</v>
      </c>
      <c r="B21">
        <v>0</v>
      </c>
      <c r="C21" s="2">
        <f>IF(AND(VLOOKUP(C$1,test!$A$3:$F$32,5,FALSE) - VLOOKUP($A21,test!$A$3:$G$32,6,FALSE) &gt;= (test!$B$33)/1440),1,0)</f>
        <v>0</v>
      </c>
      <c r="D21" s="2">
        <f>IF(AND(VLOOKUP(D$1,test!$A$3:$F$32,5,FALSE) - VLOOKUP($A21,test!$A$3:$G$32,6,FALSE) &gt;= (test!$B$33)/1440),1,0)</f>
        <v>0</v>
      </c>
      <c r="E21" s="2">
        <f>IF(AND(VLOOKUP(E$1,test!$A$3:$F$32,5,FALSE) - VLOOKUP($A21,test!$A$3:$G$32,6,FALSE) &gt;= (test!$B$33)/1440),1,0)</f>
        <v>0</v>
      </c>
      <c r="F21" s="2">
        <f>IF(AND(VLOOKUP(F$1,test!$A$3:$F$32,5,FALSE) - VLOOKUP($A21,test!$A$3:$G$32,6,FALSE) &gt;= (test!$B$33)/1440),1,0)</f>
        <v>0</v>
      </c>
      <c r="G21" s="2">
        <f>IF(AND(VLOOKUP(G$1,test!$A$3:$F$32,5,FALSE) - VLOOKUP($A21,test!$A$3:$G$32,6,FALSE) &gt;= (test!$B$33)/1440),1,0)</f>
        <v>0</v>
      </c>
      <c r="H21" s="2">
        <f>IF(AND(VLOOKUP(H$1,test!$A$3:$F$32,5,FALSE) - VLOOKUP($A21,test!$A$3:$G$32,6,FALSE) &gt;= (test!$B$33)/1440),1,0)</f>
        <v>0</v>
      </c>
      <c r="I21" s="2">
        <f>IF(AND(VLOOKUP(I$1,test!$A$3:$F$32,5,FALSE) - VLOOKUP($A21,test!$A$3:$G$32,6,FALSE) &gt;= (test!$B$33)/1440),1,0)</f>
        <v>1</v>
      </c>
      <c r="J21" s="2">
        <f>IF(AND(VLOOKUP(J$1,test!$A$3:$F$32,5,FALSE) - VLOOKUP($A21,test!$A$3:$G$32,6,FALSE) &gt;= (test!$B$33)/1440),1,0)</f>
        <v>1</v>
      </c>
      <c r="K21" s="2">
        <f>IF(AND(VLOOKUP(K$1,test!$A$3:$F$32,5,FALSE) - VLOOKUP($A21,test!$A$3:$G$32,6,FALSE) &gt;= (test!$B$33)/1440),1,0)</f>
        <v>0</v>
      </c>
      <c r="L21" s="2">
        <f>IF(AND(VLOOKUP(L$1,test!$A$3:$F$32,5,FALSE) - VLOOKUP($A21,test!$A$3:$G$32,6,FALSE) &gt;= (test!$B$33)/1440),1,0)</f>
        <v>0</v>
      </c>
      <c r="M21" s="2">
        <f>IF(AND(VLOOKUP(M$1,test!$A$3:$F$32,5,FALSE) - VLOOKUP($A21,test!$A$3:$G$32,6,FALSE) &gt;= (test!$B$33)/1440),1,0)</f>
        <v>0</v>
      </c>
      <c r="N21" s="2">
        <f>IF(AND(VLOOKUP(N$1,test!$A$3:$F$32,5,FALSE) - VLOOKUP($A21,test!$A$3:$G$32,6,FALSE) &gt;= (test!$B$33)/1440),1,0)</f>
        <v>1</v>
      </c>
      <c r="O21" s="2">
        <f>IF(AND(VLOOKUP(O$1,test!$A$3:$F$32,5,FALSE) - VLOOKUP($A21,test!$A$3:$G$32,6,FALSE) &gt;= (test!$B$33)/1440),1,0)</f>
        <v>1</v>
      </c>
      <c r="P21" s="2">
        <f>IF(AND(VLOOKUP(P$1,test!$A$3:$F$32,5,FALSE) - VLOOKUP($A21,test!$A$3:$G$32,6,FALSE) &gt;= (test!$B$33)/1440),1,0)</f>
        <v>0</v>
      </c>
      <c r="Q21" s="2">
        <f>IF(AND(VLOOKUP(Q$1,test!$A$3:$F$32,5,FALSE) - VLOOKUP($A21,test!$A$3:$G$32,6,FALSE) &gt;= (test!$B$33)/1440),1,0)</f>
        <v>0</v>
      </c>
      <c r="R21" s="2">
        <f>IF(AND(VLOOKUP(R$1,test!$A$3:$F$32,5,FALSE) - VLOOKUP($A21,test!$A$3:$G$32,6,FALSE) &gt;= (test!$B$33)/1440),1,0)</f>
        <v>0</v>
      </c>
      <c r="S21" s="2">
        <f>IF(AND(VLOOKUP(S$1,test!$A$3:$F$32,5,FALSE) - VLOOKUP($A21,test!$A$3:$G$32,6,FALSE) &gt;= (test!$B$33)/1440),1,0)</f>
        <v>0</v>
      </c>
      <c r="T21" s="2">
        <f>IF(AND(VLOOKUP(T$1,test!$A$3:$F$32,5,FALSE) - VLOOKUP($A21,test!$A$3:$G$32,6,FALSE) &gt;= (test!$B$33)/1440),1,0)</f>
        <v>0</v>
      </c>
      <c r="U21" s="2">
        <f>IF(AND(VLOOKUP(U$1,test!$A$3:$F$32,5,FALSE) - VLOOKUP($A21,test!$A$3:$G$32,6,FALSE) &gt;= (test!$B$33)/1440),1,0)</f>
        <v>0</v>
      </c>
      <c r="V21" s="2">
        <f>IF(AND(VLOOKUP(V$1,test!$A$3:$F$32,5,FALSE) - VLOOKUP($A21,test!$A$3:$G$32,6,FALSE) &gt;= (test!$B$33)/1440),1,0)</f>
        <v>0</v>
      </c>
      <c r="W21" s="2">
        <f>IF(AND(VLOOKUP(W$1,test!$A$3:$F$32,5,FALSE) - VLOOKUP($A21,test!$A$3:$G$32,6,FALSE) &gt;= (test!$B$33)/1440),1,0)</f>
        <v>0</v>
      </c>
      <c r="X21" s="2">
        <f>IF(AND(VLOOKUP(X$1,test!$A$3:$F$32,5,FALSE) - VLOOKUP($A21,test!$A$3:$G$32,6,FALSE) &gt;= (test!$B$33)/1440),1,0)</f>
        <v>1</v>
      </c>
      <c r="Y21" s="2">
        <f>IF(AND(VLOOKUP(Y$1,test!$A$3:$F$32,5,FALSE) - VLOOKUP($A21,test!$A$3:$G$32,6,FALSE) &gt;= (test!$B$33)/1440),1,0)</f>
        <v>0</v>
      </c>
      <c r="Z21" s="2">
        <f>IF(AND(VLOOKUP(Z$1,test!$A$3:$F$32,5,FALSE) - VLOOKUP($A21,test!$A$3:$G$32,6,FALSE) &gt;= (test!$B$33)/1440),1,0)</f>
        <v>0</v>
      </c>
      <c r="AA21" s="2">
        <f>IF(AND(VLOOKUP(AA$1,test!$A$3:$F$32,5,FALSE) - VLOOKUP($A21,test!$A$3:$G$32,6,FALSE) &gt;= (test!$B$33)/1440),1,0)</f>
        <v>0</v>
      </c>
      <c r="AB21" s="2">
        <f>IF(AND(VLOOKUP(AB$1,test!$A$3:$F$32,5,FALSE) - VLOOKUP($A21,test!$A$3:$G$32,6,FALSE) &gt;= (test!$B$33)/1440),1,0)</f>
        <v>0</v>
      </c>
      <c r="AC21" s="2">
        <f>IF(AND(VLOOKUP(AC$1,test!$A$3:$F$32,5,FALSE) - VLOOKUP($A21,test!$A$3:$G$32,6,FALSE) &gt;= (test!$B$33)/1440),1,0)</f>
        <v>0</v>
      </c>
      <c r="AD21" s="2">
        <f>IF(AND(VLOOKUP(AD$1,test!$A$3:$F$32,5,FALSE) - VLOOKUP($A21,test!$A$3:$G$32,6,FALSE) &gt;= (test!$B$33)/1440),1,0)</f>
        <v>0</v>
      </c>
      <c r="AE21" s="2">
        <f>IF(AND(VLOOKUP(AE$1,test!$A$3:$F$32,5,FALSE) - VLOOKUP($A21,test!$A$3:$G$32,6,FALSE) &gt;= (test!$B$33)/1440),1,0)</f>
        <v>0</v>
      </c>
      <c r="AF21" s="2">
        <f>IF(AND(VLOOKUP(AF$1,test!$A$3:$F$32,5,FALSE) - VLOOKUP($A21,test!$A$3:$G$32,6,FALSE) &gt;= (test!$B$33)/1440),1,0)</f>
        <v>0</v>
      </c>
    </row>
    <row r="22" spans="1:32" x14ac:dyDescent="0.25">
      <c r="A22" t="s">
        <v>31</v>
      </c>
      <c r="B22">
        <v>0</v>
      </c>
      <c r="C22" s="2">
        <f>IF(AND(VLOOKUP(C$1,test!$A$3:$F$32,5,FALSE) - VLOOKUP($A22,test!$A$3:$G$32,6,FALSE) &gt;= (test!$B$33)/1440),1,0)</f>
        <v>0</v>
      </c>
      <c r="D22" s="2">
        <f>IF(AND(VLOOKUP(D$1,test!$A$3:$F$32,5,FALSE) - VLOOKUP($A22,test!$A$3:$G$32,6,FALSE) &gt;= (test!$B$33)/1440),1,0)</f>
        <v>0</v>
      </c>
      <c r="E22" s="2">
        <f>IF(AND(VLOOKUP(E$1,test!$A$3:$F$32,5,FALSE) - VLOOKUP($A22,test!$A$3:$G$32,6,FALSE) &gt;= (test!$B$33)/1440),1,0)</f>
        <v>0</v>
      </c>
      <c r="F22" s="2">
        <f>IF(AND(VLOOKUP(F$1,test!$A$3:$F$32,5,FALSE) - VLOOKUP($A22,test!$A$3:$G$32,6,FALSE) &gt;= (test!$B$33)/1440),1,0)</f>
        <v>0</v>
      </c>
      <c r="G22" s="2">
        <f>IF(AND(VLOOKUP(G$1,test!$A$3:$F$32,5,FALSE) - VLOOKUP($A22,test!$A$3:$G$32,6,FALSE) &gt;= (test!$B$33)/1440),1,0)</f>
        <v>0</v>
      </c>
      <c r="H22" s="2">
        <f>IF(AND(VLOOKUP(H$1,test!$A$3:$F$32,5,FALSE) - VLOOKUP($A22,test!$A$3:$G$32,6,FALSE) &gt;= (test!$B$33)/1440),1,0)</f>
        <v>0</v>
      </c>
      <c r="I22" s="2">
        <f>IF(AND(VLOOKUP(I$1,test!$A$3:$F$32,5,FALSE) - VLOOKUP($A22,test!$A$3:$G$32,6,FALSE) &gt;= (test!$B$33)/1440),1,0)</f>
        <v>0</v>
      </c>
      <c r="J22" s="2">
        <f>IF(AND(VLOOKUP(J$1,test!$A$3:$F$32,5,FALSE) - VLOOKUP($A22,test!$A$3:$G$32,6,FALSE) &gt;= (test!$B$33)/1440),1,0)</f>
        <v>1</v>
      </c>
      <c r="K22" s="2">
        <f>IF(AND(VLOOKUP(K$1,test!$A$3:$F$32,5,FALSE) - VLOOKUP($A22,test!$A$3:$G$32,6,FALSE) &gt;= (test!$B$33)/1440),1,0)</f>
        <v>0</v>
      </c>
      <c r="L22" s="2">
        <f>IF(AND(VLOOKUP(L$1,test!$A$3:$F$32,5,FALSE) - VLOOKUP($A22,test!$A$3:$G$32,6,FALSE) &gt;= (test!$B$33)/1440),1,0)</f>
        <v>0</v>
      </c>
      <c r="M22" s="2">
        <f>IF(AND(VLOOKUP(M$1,test!$A$3:$F$32,5,FALSE) - VLOOKUP($A22,test!$A$3:$G$32,6,FALSE) &gt;= (test!$B$33)/1440),1,0)</f>
        <v>0</v>
      </c>
      <c r="N22" s="2">
        <f>IF(AND(VLOOKUP(N$1,test!$A$3:$F$32,5,FALSE) - VLOOKUP($A22,test!$A$3:$G$32,6,FALSE) &gt;= (test!$B$33)/1440),1,0)</f>
        <v>0</v>
      </c>
      <c r="O22" s="2">
        <f>IF(AND(VLOOKUP(O$1,test!$A$3:$F$32,5,FALSE) - VLOOKUP($A22,test!$A$3:$G$32,6,FALSE) &gt;= (test!$B$33)/1440),1,0)</f>
        <v>1</v>
      </c>
      <c r="P22" s="2">
        <f>IF(AND(VLOOKUP(P$1,test!$A$3:$F$32,5,FALSE) - VLOOKUP($A22,test!$A$3:$G$32,6,FALSE) &gt;= (test!$B$33)/1440),1,0)</f>
        <v>0</v>
      </c>
      <c r="Q22" s="2">
        <f>IF(AND(VLOOKUP(Q$1,test!$A$3:$F$32,5,FALSE) - VLOOKUP($A22,test!$A$3:$G$32,6,FALSE) &gt;= (test!$B$33)/1440),1,0)</f>
        <v>0</v>
      </c>
      <c r="R22" s="2">
        <f>IF(AND(VLOOKUP(R$1,test!$A$3:$F$32,5,FALSE) - VLOOKUP($A22,test!$A$3:$G$32,6,FALSE) &gt;= (test!$B$33)/1440),1,0)</f>
        <v>0</v>
      </c>
      <c r="S22" s="2">
        <f>IF(AND(VLOOKUP(S$1,test!$A$3:$F$32,5,FALSE) - VLOOKUP($A22,test!$A$3:$G$32,6,FALSE) &gt;= (test!$B$33)/1440),1,0)</f>
        <v>0</v>
      </c>
      <c r="T22" s="2">
        <f>IF(AND(VLOOKUP(T$1,test!$A$3:$F$32,5,FALSE) - VLOOKUP($A22,test!$A$3:$G$32,6,FALSE) &gt;= (test!$B$33)/1440),1,0)</f>
        <v>0</v>
      </c>
      <c r="U22" s="2">
        <f>IF(AND(VLOOKUP(U$1,test!$A$3:$F$32,5,FALSE) - VLOOKUP($A22,test!$A$3:$G$32,6,FALSE) &gt;= (test!$B$33)/1440),1,0)</f>
        <v>0</v>
      </c>
      <c r="V22" s="2">
        <f>IF(AND(VLOOKUP(V$1,test!$A$3:$F$32,5,FALSE) - VLOOKUP($A22,test!$A$3:$G$32,6,FALSE) &gt;= (test!$B$33)/1440),1,0)</f>
        <v>0</v>
      </c>
      <c r="W22" s="2">
        <f>IF(AND(VLOOKUP(W$1,test!$A$3:$F$32,5,FALSE) - VLOOKUP($A22,test!$A$3:$G$32,6,FALSE) &gt;= (test!$B$33)/1440),1,0)</f>
        <v>0</v>
      </c>
      <c r="X22" s="2">
        <f>IF(AND(VLOOKUP(X$1,test!$A$3:$F$32,5,FALSE) - VLOOKUP($A22,test!$A$3:$G$32,6,FALSE) &gt;= (test!$B$33)/1440),1,0)</f>
        <v>0</v>
      </c>
      <c r="Y22" s="2">
        <f>IF(AND(VLOOKUP(Y$1,test!$A$3:$F$32,5,FALSE) - VLOOKUP($A22,test!$A$3:$G$32,6,FALSE) &gt;= (test!$B$33)/1440),1,0)</f>
        <v>0</v>
      </c>
      <c r="Z22" s="2">
        <f>IF(AND(VLOOKUP(Z$1,test!$A$3:$F$32,5,FALSE) - VLOOKUP($A22,test!$A$3:$G$32,6,FALSE) &gt;= (test!$B$33)/1440),1,0)</f>
        <v>0</v>
      </c>
      <c r="AA22" s="2">
        <f>IF(AND(VLOOKUP(AA$1,test!$A$3:$F$32,5,FALSE) - VLOOKUP($A22,test!$A$3:$G$32,6,FALSE) &gt;= (test!$B$33)/1440),1,0)</f>
        <v>0</v>
      </c>
      <c r="AB22" s="2">
        <f>IF(AND(VLOOKUP(AB$1,test!$A$3:$F$32,5,FALSE) - VLOOKUP($A22,test!$A$3:$G$32,6,FALSE) &gt;= (test!$B$33)/1440),1,0)</f>
        <v>0</v>
      </c>
      <c r="AC22" s="2">
        <f>IF(AND(VLOOKUP(AC$1,test!$A$3:$F$32,5,FALSE) - VLOOKUP($A22,test!$A$3:$G$32,6,FALSE) &gt;= (test!$B$33)/1440),1,0)</f>
        <v>0</v>
      </c>
      <c r="AD22" s="2">
        <f>IF(AND(VLOOKUP(AD$1,test!$A$3:$F$32,5,FALSE) - VLOOKUP($A22,test!$A$3:$G$32,6,FALSE) &gt;= (test!$B$33)/1440),1,0)</f>
        <v>0</v>
      </c>
      <c r="AE22" s="2">
        <f>IF(AND(VLOOKUP(AE$1,test!$A$3:$F$32,5,FALSE) - VLOOKUP($A22,test!$A$3:$G$32,6,FALSE) &gt;= (test!$B$33)/1440),1,0)</f>
        <v>0</v>
      </c>
      <c r="AF22" s="2">
        <f>IF(AND(VLOOKUP(AF$1,test!$A$3:$F$32,5,FALSE) - VLOOKUP($A22,test!$A$3:$G$32,6,FALSE) &gt;= (test!$B$33)/1440),1,0)</f>
        <v>0</v>
      </c>
    </row>
    <row r="23" spans="1:32" x14ac:dyDescent="0.25">
      <c r="A23" t="s">
        <v>32</v>
      </c>
      <c r="B23">
        <v>0</v>
      </c>
      <c r="C23" s="2">
        <f>IF(AND(VLOOKUP(C$1,test!$A$3:$F$32,5,FALSE) - VLOOKUP($A23,test!$A$3:$G$32,6,FALSE) &gt;= (test!$B$33)/1440),1,0)</f>
        <v>0</v>
      </c>
      <c r="D23" s="2">
        <f>IF(AND(VLOOKUP(D$1,test!$A$3:$F$32,5,FALSE) - VLOOKUP($A23,test!$A$3:$G$32,6,FALSE) &gt;= (test!$B$33)/1440),1,0)</f>
        <v>0</v>
      </c>
      <c r="E23" s="2">
        <f>IF(AND(VLOOKUP(E$1,test!$A$3:$F$32,5,FALSE) - VLOOKUP($A23,test!$A$3:$G$32,6,FALSE) &gt;= (test!$B$33)/1440),1,0)</f>
        <v>0</v>
      </c>
      <c r="F23" s="2">
        <f>IF(AND(VLOOKUP(F$1,test!$A$3:$F$32,5,FALSE) - VLOOKUP($A23,test!$A$3:$G$32,6,FALSE) &gt;= (test!$B$33)/1440),1,0)</f>
        <v>0</v>
      </c>
      <c r="G23" s="2">
        <f>IF(AND(VLOOKUP(G$1,test!$A$3:$F$32,5,FALSE) - VLOOKUP($A23,test!$A$3:$G$32,6,FALSE) &gt;= (test!$B$33)/1440),1,0)</f>
        <v>0</v>
      </c>
      <c r="H23" s="2">
        <f>IF(AND(VLOOKUP(H$1,test!$A$3:$F$32,5,FALSE) - VLOOKUP($A23,test!$A$3:$G$32,6,FALSE) &gt;= (test!$B$33)/1440),1,0)</f>
        <v>0</v>
      </c>
      <c r="I23" s="2">
        <f>IF(AND(VLOOKUP(I$1,test!$A$3:$F$32,5,FALSE) - VLOOKUP($A23,test!$A$3:$G$32,6,FALSE) &gt;= (test!$B$33)/1440),1,0)</f>
        <v>0</v>
      </c>
      <c r="J23" s="2">
        <f>IF(AND(VLOOKUP(J$1,test!$A$3:$F$32,5,FALSE) - VLOOKUP($A23,test!$A$3:$G$32,6,FALSE) &gt;= (test!$B$33)/1440),1,0)</f>
        <v>0</v>
      </c>
      <c r="K23" s="2">
        <f>IF(AND(VLOOKUP(K$1,test!$A$3:$F$32,5,FALSE) - VLOOKUP($A23,test!$A$3:$G$32,6,FALSE) &gt;= (test!$B$33)/1440),1,0)</f>
        <v>0</v>
      </c>
      <c r="L23" s="2">
        <f>IF(AND(VLOOKUP(L$1,test!$A$3:$F$32,5,FALSE) - VLOOKUP($A23,test!$A$3:$G$32,6,FALSE) &gt;= (test!$B$33)/1440),1,0)</f>
        <v>0</v>
      </c>
      <c r="M23" s="2">
        <f>IF(AND(VLOOKUP(M$1,test!$A$3:$F$32,5,FALSE) - VLOOKUP($A23,test!$A$3:$G$32,6,FALSE) &gt;= (test!$B$33)/1440),1,0)</f>
        <v>0</v>
      </c>
      <c r="N23" s="2">
        <f>IF(AND(VLOOKUP(N$1,test!$A$3:$F$32,5,FALSE) - VLOOKUP($A23,test!$A$3:$G$32,6,FALSE) &gt;= (test!$B$33)/1440),1,0)</f>
        <v>0</v>
      </c>
      <c r="O23" s="2">
        <f>IF(AND(VLOOKUP(O$1,test!$A$3:$F$32,5,FALSE) - VLOOKUP($A23,test!$A$3:$G$32,6,FALSE) &gt;= (test!$B$33)/1440),1,0)</f>
        <v>0</v>
      </c>
      <c r="P23" s="2">
        <f>IF(AND(VLOOKUP(P$1,test!$A$3:$F$32,5,FALSE) - VLOOKUP($A23,test!$A$3:$G$32,6,FALSE) &gt;= (test!$B$33)/1440),1,0)</f>
        <v>0</v>
      </c>
      <c r="Q23" s="2">
        <f>IF(AND(VLOOKUP(Q$1,test!$A$3:$F$32,5,FALSE) - VLOOKUP($A23,test!$A$3:$G$32,6,FALSE) &gt;= (test!$B$33)/1440),1,0)</f>
        <v>0</v>
      </c>
      <c r="R23" s="2">
        <f>IF(AND(VLOOKUP(R$1,test!$A$3:$F$32,5,FALSE) - VLOOKUP($A23,test!$A$3:$G$32,6,FALSE) &gt;= (test!$B$33)/1440),1,0)</f>
        <v>0</v>
      </c>
      <c r="S23" s="2">
        <f>IF(AND(VLOOKUP(S$1,test!$A$3:$F$32,5,FALSE) - VLOOKUP($A23,test!$A$3:$G$32,6,FALSE) &gt;= (test!$B$33)/1440),1,0)</f>
        <v>0</v>
      </c>
      <c r="T23" s="2">
        <f>IF(AND(VLOOKUP(T$1,test!$A$3:$F$32,5,FALSE) - VLOOKUP($A23,test!$A$3:$G$32,6,FALSE) &gt;= (test!$B$33)/1440),1,0)</f>
        <v>0</v>
      </c>
      <c r="U23" s="2">
        <f>IF(AND(VLOOKUP(U$1,test!$A$3:$F$32,5,FALSE) - VLOOKUP($A23,test!$A$3:$G$32,6,FALSE) &gt;= (test!$B$33)/1440),1,0)</f>
        <v>0</v>
      </c>
      <c r="V23" s="2">
        <f>IF(AND(VLOOKUP(V$1,test!$A$3:$F$32,5,FALSE) - VLOOKUP($A23,test!$A$3:$G$32,6,FALSE) &gt;= (test!$B$33)/1440),1,0)</f>
        <v>0</v>
      </c>
      <c r="W23" s="2">
        <f>IF(AND(VLOOKUP(W$1,test!$A$3:$F$32,5,FALSE) - VLOOKUP($A23,test!$A$3:$G$32,6,FALSE) &gt;= (test!$B$33)/1440),1,0)</f>
        <v>0</v>
      </c>
      <c r="X23" s="2">
        <f>IF(AND(VLOOKUP(X$1,test!$A$3:$F$32,5,FALSE) - VLOOKUP($A23,test!$A$3:$G$32,6,FALSE) &gt;= (test!$B$33)/1440),1,0)</f>
        <v>0</v>
      </c>
      <c r="Y23" s="2">
        <f>IF(AND(VLOOKUP(Y$1,test!$A$3:$F$32,5,FALSE) - VLOOKUP($A23,test!$A$3:$G$32,6,FALSE) &gt;= (test!$B$33)/1440),1,0)</f>
        <v>0</v>
      </c>
      <c r="Z23" s="2">
        <f>IF(AND(VLOOKUP(Z$1,test!$A$3:$F$32,5,FALSE) - VLOOKUP($A23,test!$A$3:$G$32,6,FALSE) &gt;= (test!$B$33)/1440),1,0)</f>
        <v>0</v>
      </c>
      <c r="AA23" s="2">
        <f>IF(AND(VLOOKUP(AA$1,test!$A$3:$F$32,5,FALSE) - VLOOKUP($A23,test!$A$3:$G$32,6,FALSE) &gt;= (test!$B$33)/1440),1,0)</f>
        <v>0</v>
      </c>
      <c r="AB23" s="2">
        <f>IF(AND(VLOOKUP(AB$1,test!$A$3:$F$32,5,FALSE) - VLOOKUP($A23,test!$A$3:$G$32,6,FALSE) &gt;= (test!$B$33)/1440),1,0)</f>
        <v>0</v>
      </c>
      <c r="AC23" s="2">
        <f>IF(AND(VLOOKUP(AC$1,test!$A$3:$F$32,5,FALSE) - VLOOKUP($A23,test!$A$3:$G$32,6,FALSE) &gt;= (test!$B$33)/1440),1,0)</f>
        <v>0</v>
      </c>
      <c r="AD23" s="2">
        <f>IF(AND(VLOOKUP(AD$1,test!$A$3:$F$32,5,FALSE) - VLOOKUP($A23,test!$A$3:$G$32,6,FALSE) &gt;= (test!$B$33)/1440),1,0)</f>
        <v>0</v>
      </c>
      <c r="AE23" s="2">
        <f>IF(AND(VLOOKUP(AE$1,test!$A$3:$F$32,5,FALSE) - VLOOKUP($A23,test!$A$3:$G$32,6,FALSE) &gt;= (test!$B$33)/1440),1,0)</f>
        <v>0</v>
      </c>
      <c r="AF23" s="2">
        <f>IF(AND(VLOOKUP(AF$1,test!$A$3:$F$32,5,FALSE) - VLOOKUP($A23,test!$A$3:$G$32,6,FALSE) &gt;= (test!$B$33)/1440),1,0)</f>
        <v>0</v>
      </c>
    </row>
    <row r="24" spans="1:32" x14ac:dyDescent="0.25">
      <c r="A24" t="s">
        <v>33</v>
      </c>
      <c r="B24">
        <v>0</v>
      </c>
      <c r="C24" s="2">
        <f>IF(AND(VLOOKUP(C$1,test!$A$3:$F$32,5,FALSE) - VLOOKUP($A24,test!$A$3:$G$32,6,FALSE) &gt;= (test!$B$33)/1440),1,0)</f>
        <v>0</v>
      </c>
      <c r="D24" s="2">
        <f>IF(AND(VLOOKUP(D$1,test!$A$3:$F$32,5,FALSE) - VLOOKUP($A24,test!$A$3:$G$32,6,FALSE) &gt;= (test!$B$33)/1440),1,0)</f>
        <v>0</v>
      </c>
      <c r="E24" s="2">
        <f>IF(AND(VLOOKUP(E$1,test!$A$3:$F$32,5,FALSE) - VLOOKUP($A24,test!$A$3:$G$32,6,FALSE) &gt;= (test!$B$33)/1440),1,0)</f>
        <v>0</v>
      </c>
      <c r="F24" s="2">
        <f>IF(AND(VLOOKUP(F$1,test!$A$3:$F$32,5,FALSE) - VLOOKUP($A24,test!$A$3:$G$32,6,FALSE) &gt;= (test!$B$33)/1440),1,0)</f>
        <v>0</v>
      </c>
      <c r="G24" s="2">
        <f>IF(AND(VLOOKUP(G$1,test!$A$3:$F$32,5,FALSE) - VLOOKUP($A24,test!$A$3:$G$32,6,FALSE) &gt;= (test!$B$33)/1440),1,0)</f>
        <v>0</v>
      </c>
      <c r="H24" s="2">
        <f>IF(AND(VLOOKUP(H$1,test!$A$3:$F$32,5,FALSE) - VLOOKUP($A24,test!$A$3:$G$32,6,FALSE) &gt;= (test!$B$33)/1440),1,0)</f>
        <v>0</v>
      </c>
      <c r="I24" s="2">
        <f>IF(AND(VLOOKUP(I$1,test!$A$3:$F$32,5,FALSE) - VLOOKUP($A24,test!$A$3:$G$32,6,FALSE) &gt;= (test!$B$33)/1440),1,0)</f>
        <v>0</v>
      </c>
      <c r="J24" s="2">
        <f>IF(AND(VLOOKUP(J$1,test!$A$3:$F$32,5,FALSE) - VLOOKUP($A24,test!$A$3:$G$32,6,FALSE) &gt;= (test!$B$33)/1440),1,0)</f>
        <v>0</v>
      </c>
      <c r="K24" s="2">
        <f>IF(AND(VLOOKUP(K$1,test!$A$3:$F$32,5,FALSE) - VLOOKUP($A24,test!$A$3:$G$32,6,FALSE) &gt;= (test!$B$33)/1440),1,0)</f>
        <v>0</v>
      </c>
      <c r="L24" s="2">
        <f>IF(AND(VLOOKUP(L$1,test!$A$3:$F$32,5,FALSE) - VLOOKUP($A24,test!$A$3:$G$32,6,FALSE) &gt;= (test!$B$33)/1440),1,0)</f>
        <v>0</v>
      </c>
      <c r="M24" s="2">
        <f>IF(AND(VLOOKUP(M$1,test!$A$3:$F$32,5,FALSE) - VLOOKUP($A24,test!$A$3:$G$32,6,FALSE) &gt;= (test!$B$33)/1440),1,0)</f>
        <v>0</v>
      </c>
      <c r="N24" s="2">
        <f>IF(AND(VLOOKUP(N$1,test!$A$3:$F$32,5,FALSE) - VLOOKUP($A24,test!$A$3:$G$32,6,FALSE) &gt;= (test!$B$33)/1440),1,0)</f>
        <v>0</v>
      </c>
      <c r="O24" s="2">
        <f>IF(AND(VLOOKUP(O$1,test!$A$3:$F$32,5,FALSE) - VLOOKUP($A24,test!$A$3:$G$32,6,FALSE) &gt;= (test!$B$33)/1440),1,0)</f>
        <v>0</v>
      </c>
      <c r="P24" s="2">
        <f>IF(AND(VLOOKUP(P$1,test!$A$3:$F$32,5,FALSE) - VLOOKUP($A24,test!$A$3:$G$32,6,FALSE) &gt;= (test!$B$33)/1440),1,0)</f>
        <v>0</v>
      </c>
      <c r="Q24" s="2">
        <f>IF(AND(VLOOKUP(Q$1,test!$A$3:$F$32,5,FALSE) - VLOOKUP($A24,test!$A$3:$G$32,6,FALSE) &gt;= (test!$B$33)/1440),1,0)</f>
        <v>0</v>
      </c>
      <c r="R24" s="2">
        <f>IF(AND(VLOOKUP(R$1,test!$A$3:$F$32,5,FALSE) - VLOOKUP($A24,test!$A$3:$G$32,6,FALSE) &gt;= (test!$B$33)/1440),1,0)</f>
        <v>0</v>
      </c>
      <c r="S24" s="2">
        <f>IF(AND(VLOOKUP(S$1,test!$A$3:$F$32,5,FALSE) - VLOOKUP($A24,test!$A$3:$G$32,6,FALSE) &gt;= (test!$B$33)/1440),1,0)</f>
        <v>0</v>
      </c>
      <c r="T24" s="2">
        <f>IF(AND(VLOOKUP(T$1,test!$A$3:$F$32,5,FALSE) - VLOOKUP($A24,test!$A$3:$G$32,6,FALSE) &gt;= (test!$B$33)/1440),1,0)</f>
        <v>0</v>
      </c>
      <c r="U24" s="2">
        <f>IF(AND(VLOOKUP(U$1,test!$A$3:$F$32,5,FALSE) - VLOOKUP($A24,test!$A$3:$G$32,6,FALSE) &gt;= (test!$B$33)/1440),1,0)</f>
        <v>0</v>
      </c>
      <c r="V24" s="2">
        <f>IF(AND(VLOOKUP(V$1,test!$A$3:$F$32,5,FALSE) - VLOOKUP($A24,test!$A$3:$G$32,6,FALSE) &gt;= (test!$B$33)/1440),1,0)</f>
        <v>0</v>
      </c>
      <c r="W24" s="2">
        <f>IF(AND(VLOOKUP(W$1,test!$A$3:$F$32,5,FALSE) - VLOOKUP($A24,test!$A$3:$G$32,6,FALSE) &gt;= (test!$B$33)/1440),1,0)</f>
        <v>0</v>
      </c>
      <c r="X24" s="2">
        <f>IF(AND(VLOOKUP(X$1,test!$A$3:$F$32,5,FALSE) - VLOOKUP($A24,test!$A$3:$G$32,6,FALSE) &gt;= (test!$B$33)/1440),1,0)</f>
        <v>0</v>
      </c>
      <c r="Y24" s="2">
        <f>IF(AND(VLOOKUP(Y$1,test!$A$3:$F$32,5,FALSE) - VLOOKUP($A24,test!$A$3:$G$32,6,FALSE) &gt;= (test!$B$33)/1440),1,0)</f>
        <v>0</v>
      </c>
      <c r="Z24" s="2">
        <f>IF(AND(VLOOKUP(Z$1,test!$A$3:$F$32,5,FALSE) - VLOOKUP($A24,test!$A$3:$G$32,6,FALSE) &gt;= (test!$B$33)/1440),1,0)</f>
        <v>0</v>
      </c>
      <c r="AA24" s="2">
        <f>IF(AND(VLOOKUP(AA$1,test!$A$3:$F$32,5,FALSE) - VLOOKUP($A24,test!$A$3:$G$32,6,FALSE) &gt;= (test!$B$33)/1440),1,0)</f>
        <v>0</v>
      </c>
      <c r="AB24" s="2">
        <f>IF(AND(VLOOKUP(AB$1,test!$A$3:$F$32,5,FALSE) - VLOOKUP($A24,test!$A$3:$G$32,6,FALSE) &gt;= (test!$B$33)/1440),1,0)</f>
        <v>0</v>
      </c>
      <c r="AC24" s="2">
        <f>IF(AND(VLOOKUP(AC$1,test!$A$3:$F$32,5,FALSE) - VLOOKUP($A24,test!$A$3:$G$32,6,FALSE) &gt;= (test!$B$33)/1440),1,0)</f>
        <v>0</v>
      </c>
      <c r="AD24" s="2">
        <f>IF(AND(VLOOKUP(AD$1,test!$A$3:$F$32,5,FALSE) - VLOOKUP($A24,test!$A$3:$G$32,6,FALSE) &gt;= (test!$B$33)/1440),1,0)</f>
        <v>0</v>
      </c>
      <c r="AE24" s="2">
        <f>IF(AND(VLOOKUP(AE$1,test!$A$3:$F$32,5,FALSE) - VLOOKUP($A24,test!$A$3:$G$32,6,FALSE) &gt;= (test!$B$33)/1440),1,0)</f>
        <v>0</v>
      </c>
      <c r="AF24" s="2">
        <f>IF(AND(VLOOKUP(AF$1,test!$A$3:$F$32,5,FALSE) - VLOOKUP($A24,test!$A$3:$G$32,6,FALSE) &gt;= (test!$B$33)/1440),1,0)</f>
        <v>0</v>
      </c>
    </row>
    <row r="25" spans="1:32" x14ac:dyDescent="0.25">
      <c r="A25" t="s">
        <v>34</v>
      </c>
      <c r="B25">
        <v>0</v>
      </c>
      <c r="C25" s="2">
        <f>IF(AND(VLOOKUP(C$1,test!$A$3:$F$32,5,FALSE) - VLOOKUP($A25,test!$A$3:$G$32,6,FALSE) &gt;= (test!$B$33)/1440),1,0)</f>
        <v>0</v>
      </c>
      <c r="D25" s="2">
        <f>IF(AND(VLOOKUP(D$1,test!$A$3:$F$32,5,FALSE) - VLOOKUP($A25,test!$A$3:$G$32,6,FALSE) &gt;= (test!$B$33)/1440),1,0)</f>
        <v>0</v>
      </c>
      <c r="E25" s="2">
        <f>IF(AND(VLOOKUP(E$1,test!$A$3:$F$32,5,FALSE) - VLOOKUP($A25,test!$A$3:$G$32,6,FALSE) &gt;= (test!$B$33)/1440),1,0)</f>
        <v>1</v>
      </c>
      <c r="F25" s="2">
        <f>IF(AND(VLOOKUP(F$1,test!$A$3:$F$32,5,FALSE) - VLOOKUP($A25,test!$A$3:$G$32,6,FALSE) &gt;= (test!$B$33)/1440),1,0)</f>
        <v>1</v>
      </c>
      <c r="G25" s="2">
        <f>IF(AND(VLOOKUP(G$1,test!$A$3:$F$32,5,FALSE) - VLOOKUP($A25,test!$A$3:$G$32,6,FALSE) &gt;= (test!$B$33)/1440),1,0)</f>
        <v>1</v>
      </c>
      <c r="H25" s="2">
        <f>IF(AND(VLOOKUP(H$1,test!$A$3:$F$32,5,FALSE) - VLOOKUP($A25,test!$A$3:$G$32,6,FALSE) &gt;= (test!$B$33)/1440),1,0)</f>
        <v>1</v>
      </c>
      <c r="I25" s="2">
        <f>IF(AND(VLOOKUP(I$1,test!$A$3:$F$32,5,FALSE) - VLOOKUP($A25,test!$A$3:$G$32,6,FALSE) &gt;= (test!$B$33)/1440),1,0)</f>
        <v>1</v>
      </c>
      <c r="J25" s="2">
        <f>IF(AND(VLOOKUP(J$1,test!$A$3:$F$32,5,FALSE) - VLOOKUP($A25,test!$A$3:$G$32,6,FALSE) &gt;= (test!$B$33)/1440),1,0)</f>
        <v>1</v>
      </c>
      <c r="K25" s="2">
        <f>IF(AND(VLOOKUP(K$1,test!$A$3:$F$32,5,FALSE) - VLOOKUP($A25,test!$A$3:$G$32,6,FALSE) &gt;= (test!$B$33)/1440),1,0)</f>
        <v>0</v>
      </c>
      <c r="L25" s="2">
        <f>IF(AND(VLOOKUP(L$1,test!$A$3:$F$32,5,FALSE) - VLOOKUP($A25,test!$A$3:$G$32,6,FALSE) &gt;= (test!$B$33)/1440),1,0)</f>
        <v>0</v>
      </c>
      <c r="M25" s="2">
        <f>IF(AND(VLOOKUP(M$1,test!$A$3:$F$32,5,FALSE) - VLOOKUP($A25,test!$A$3:$G$32,6,FALSE) &gt;= (test!$B$33)/1440),1,0)</f>
        <v>1</v>
      </c>
      <c r="N25" s="2">
        <f>IF(AND(VLOOKUP(N$1,test!$A$3:$F$32,5,FALSE) - VLOOKUP($A25,test!$A$3:$G$32,6,FALSE) &gt;= (test!$B$33)/1440),1,0)</f>
        <v>1</v>
      </c>
      <c r="O25" s="2">
        <f>IF(AND(VLOOKUP(O$1,test!$A$3:$F$32,5,FALSE) - VLOOKUP($A25,test!$A$3:$G$32,6,FALSE) &gt;= (test!$B$33)/1440),1,0)</f>
        <v>1</v>
      </c>
      <c r="P25" s="2">
        <f>IF(AND(VLOOKUP(P$1,test!$A$3:$F$32,5,FALSE) - VLOOKUP($A25,test!$A$3:$G$32,6,FALSE) &gt;= (test!$B$33)/1440),1,0)</f>
        <v>0</v>
      </c>
      <c r="Q25" s="2">
        <f>IF(AND(VLOOKUP(Q$1,test!$A$3:$F$32,5,FALSE) - VLOOKUP($A25,test!$A$3:$G$32,6,FALSE) &gt;= (test!$B$33)/1440),1,0)</f>
        <v>0</v>
      </c>
      <c r="R25" s="2">
        <f>IF(AND(VLOOKUP(R$1,test!$A$3:$F$32,5,FALSE) - VLOOKUP($A25,test!$A$3:$G$32,6,FALSE) &gt;= (test!$B$33)/1440),1,0)</f>
        <v>0</v>
      </c>
      <c r="S25" s="2">
        <f>IF(AND(VLOOKUP(S$1,test!$A$3:$F$32,5,FALSE) - VLOOKUP($A25,test!$A$3:$G$32,6,FALSE) &gt;= (test!$B$33)/1440),1,0)</f>
        <v>0</v>
      </c>
      <c r="T25" s="2">
        <f>IF(AND(VLOOKUP(T$1,test!$A$3:$F$32,5,FALSE) - VLOOKUP($A25,test!$A$3:$G$32,6,FALSE) &gt;= (test!$B$33)/1440),1,0)</f>
        <v>1</v>
      </c>
      <c r="U25" s="2">
        <f>IF(AND(VLOOKUP(U$1,test!$A$3:$F$32,5,FALSE) - VLOOKUP($A25,test!$A$3:$G$32,6,FALSE) &gt;= (test!$B$33)/1440),1,0)</f>
        <v>1</v>
      </c>
      <c r="V25" s="2">
        <f>IF(AND(VLOOKUP(V$1,test!$A$3:$F$32,5,FALSE) - VLOOKUP($A25,test!$A$3:$G$32,6,FALSE) &gt;= (test!$B$33)/1440),1,0)</f>
        <v>1</v>
      </c>
      <c r="W25" s="2">
        <f>IF(AND(VLOOKUP(W$1,test!$A$3:$F$32,5,FALSE) - VLOOKUP($A25,test!$A$3:$G$32,6,FALSE) &gt;= (test!$B$33)/1440),1,0)</f>
        <v>1</v>
      </c>
      <c r="X25" s="2">
        <f>IF(AND(VLOOKUP(X$1,test!$A$3:$F$32,5,FALSE) - VLOOKUP($A25,test!$A$3:$G$32,6,FALSE) &gt;= (test!$B$33)/1440),1,0)</f>
        <v>1</v>
      </c>
      <c r="Y25" s="2">
        <f>IF(AND(VLOOKUP(Y$1,test!$A$3:$F$32,5,FALSE) - VLOOKUP($A25,test!$A$3:$G$32,6,FALSE) &gt;= (test!$B$33)/1440),1,0)</f>
        <v>0</v>
      </c>
      <c r="Z25" s="2">
        <f>IF(AND(VLOOKUP(Z$1,test!$A$3:$F$32,5,FALSE) - VLOOKUP($A25,test!$A$3:$G$32,6,FALSE) &gt;= (test!$B$33)/1440),1,0)</f>
        <v>0</v>
      </c>
      <c r="AA25" s="2">
        <f>IF(AND(VLOOKUP(AA$1,test!$A$3:$F$32,5,FALSE) - VLOOKUP($A25,test!$A$3:$G$32,6,FALSE) &gt;= (test!$B$33)/1440),1,0)</f>
        <v>1</v>
      </c>
      <c r="AB25" s="2">
        <f>IF(AND(VLOOKUP(AB$1,test!$A$3:$F$32,5,FALSE) - VLOOKUP($A25,test!$A$3:$G$32,6,FALSE) &gt;= (test!$B$33)/1440),1,0)</f>
        <v>1</v>
      </c>
      <c r="AC25" s="2">
        <f>IF(AND(VLOOKUP(AC$1,test!$A$3:$F$32,5,FALSE) - VLOOKUP($A25,test!$A$3:$G$32,6,FALSE) &gt;= (test!$B$33)/1440),1,0)</f>
        <v>1</v>
      </c>
      <c r="AD25" s="2">
        <f>IF(AND(VLOOKUP(AD$1,test!$A$3:$F$32,5,FALSE) - VLOOKUP($A25,test!$A$3:$G$32,6,FALSE) &gt;= (test!$B$33)/1440),1,0)</f>
        <v>0</v>
      </c>
      <c r="AE25" s="2">
        <f>IF(AND(VLOOKUP(AE$1,test!$A$3:$F$32,5,FALSE) - VLOOKUP($A25,test!$A$3:$G$32,6,FALSE) &gt;= (test!$B$33)/1440),1,0)</f>
        <v>1</v>
      </c>
      <c r="AF25" s="2">
        <f>IF(AND(VLOOKUP(AF$1,test!$A$3:$F$32,5,FALSE) - VLOOKUP($A25,test!$A$3:$G$32,6,FALSE) &gt;= (test!$B$33)/1440),1,0)</f>
        <v>1</v>
      </c>
    </row>
    <row r="26" spans="1:32" x14ac:dyDescent="0.25">
      <c r="A26" t="s">
        <v>35</v>
      </c>
      <c r="B26">
        <v>0</v>
      </c>
      <c r="C26" s="2">
        <f>IF(AND(VLOOKUP(C$1,test!$A$3:$F$32,5,FALSE) - VLOOKUP($A26,test!$A$3:$G$32,6,FALSE) &gt;= (test!$B$33)/1440),1,0)</f>
        <v>0</v>
      </c>
      <c r="D26" s="2">
        <f>IF(AND(VLOOKUP(D$1,test!$A$3:$F$32,5,FALSE) - VLOOKUP($A26,test!$A$3:$G$32,6,FALSE) &gt;= (test!$B$33)/1440),1,0)</f>
        <v>0</v>
      </c>
      <c r="E26" s="2">
        <f>IF(AND(VLOOKUP(E$1,test!$A$3:$F$32,5,FALSE) - VLOOKUP($A26,test!$A$3:$G$32,6,FALSE) &gt;= (test!$B$33)/1440),1,0)</f>
        <v>0</v>
      </c>
      <c r="F26" s="2">
        <f>IF(AND(VLOOKUP(F$1,test!$A$3:$F$32,5,FALSE) - VLOOKUP($A26,test!$A$3:$G$32,6,FALSE) &gt;= (test!$B$33)/1440),1,0)</f>
        <v>0</v>
      </c>
      <c r="G26" s="2">
        <f>IF(AND(VLOOKUP(G$1,test!$A$3:$F$32,5,FALSE) - VLOOKUP($A26,test!$A$3:$G$32,6,FALSE) &gt;= (test!$B$33)/1440),1,0)</f>
        <v>1</v>
      </c>
      <c r="H26" s="2">
        <f>IF(AND(VLOOKUP(H$1,test!$A$3:$F$32,5,FALSE) - VLOOKUP($A26,test!$A$3:$G$32,6,FALSE) &gt;= (test!$B$33)/1440),1,0)</f>
        <v>1</v>
      </c>
      <c r="I26" s="2">
        <f>IF(AND(VLOOKUP(I$1,test!$A$3:$F$32,5,FALSE) - VLOOKUP($A26,test!$A$3:$G$32,6,FALSE) &gt;= (test!$B$33)/1440),1,0)</f>
        <v>1</v>
      </c>
      <c r="J26" s="2">
        <f>IF(AND(VLOOKUP(J$1,test!$A$3:$F$32,5,FALSE) - VLOOKUP($A26,test!$A$3:$G$32,6,FALSE) &gt;= (test!$B$33)/1440),1,0)</f>
        <v>1</v>
      </c>
      <c r="K26" s="2">
        <f>IF(AND(VLOOKUP(K$1,test!$A$3:$F$32,5,FALSE) - VLOOKUP($A26,test!$A$3:$G$32,6,FALSE) &gt;= (test!$B$33)/1440),1,0)</f>
        <v>0</v>
      </c>
      <c r="L26" s="2">
        <f>IF(AND(VLOOKUP(L$1,test!$A$3:$F$32,5,FALSE) - VLOOKUP($A26,test!$A$3:$G$32,6,FALSE) &gt;= (test!$B$33)/1440),1,0)</f>
        <v>0</v>
      </c>
      <c r="M26" s="2">
        <f>IF(AND(VLOOKUP(M$1,test!$A$3:$F$32,5,FALSE) - VLOOKUP($A26,test!$A$3:$G$32,6,FALSE) &gt;= (test!$B$33)/1440),1,0)</f>
        <v>0</v>
      </c>
      <c r="N26" s="2">
        <f>IF(AND(VLOOKUP(N$1,test!$A$3:$F$32,5,FALSE) - VLOOKUP($A26,test!$A$3:$G$32,6,FALSE) &gt;= (test!$B$33)/1440),1,0)</f>
        <v>1</v>
      </c>
      <c r="O26" s="2">
        <f>IF(AND(VLOOKUP(O$1,test!$A$3:$F$32,5,FALSE) - VLOOKUP($A26,test!$A$3:$G$32,6,FALSE) &gt;= (test!$B$33)/1440),1,0)</f>
        <v>1</v>
      </c>
      <c r="P26" s="2">
        <f>IF(AND(VLOOKUP(P$1,test!$A$3:$F$32,5,FALSE) - VLOOKUP($A26,test!$A$3:$G$32,6,FALSE) &gt;= (test!$B$33)/1440),1,0)</f>
        <v>0</v>
      </c>
      <c r="Q26" s="2">
        <f>IF(AND(VLOOKUP(Q$1,test!$A$3:$F$32,5,FALSE) - VLOOKUP($A26,test!$A$3:$G$32,6,FALSE) &gt;= (test!$B$33)/1440),1,0)</f>
        <v>0</v>
      </c>
      <c r="R26" s="2">
        <f>IF(AND(VLOOKUP(R$1,test!$A$3:$F$32,5,FALSE) - VLOOKUP($A26,test!$A$3:$G$32,6,FALSE) &gt;= (test!$B$33)/1440),1,0)</f>
        <v>0</v>
      </c>
      <c r="S26" s="2">
        <f>IF(AND(VLOOKUP(S$1,test!$A$3:$F$32,5,FALSE) - VLOOKUP($A26,test!$A$3:$G$32,6,FALSE) &gt;= (test!$B$33)/1440),1,0)</f>
        <v>0</v>
      </c>
      <c r="T26" s="2">
        <f>IF(AND(VLOOKUP(T$1,test!$A$3:$F$32,5,FALSE) - VLOOKUP($A26,test!$A$3:$G$32,6,FALSE) &gt;= (test!$B$33)/1440),1,0)</f>
        <v>0</v>
      </c>
      <c r="U26" s="2">
        <f>IF(AND(VLOOKUP(U$1,test!$A$3:$F$32,5,FALSE) - VLOOKUP($A26,test!$A$3:$G$32,6,FALSE) &gt;= (test!$B$33)/1440),1,0)</f>
        <v>0</v>
      </c>
      <c r="V26" s="2">
        <f>IF(AND(VLOOKUP(V$1,test!$A$3:$F$32,5,FALSE) - VLOOKUP($A26,test!$A$3:$G$32,6,FALSE) &gt;= (test!$B$33)/1440),1,0)</f>
        <v>1</v>
      </c>
      <c r="W26" s="2">
        <f>IF(AND(VLOOKUP(W$1,test!$A$3:$F$32,5,FALSE) - VLOOKUP($A26,test!$A$3:$G$32,6,FALSE) &gt;= (test!$B$33)/1440),1,0)</f>
        <v>1</v>
      </c>
      <c r="X26" s="2">
        <f>IF(AND(VLOOKUP(X$1,test!$A$3:$F$32,5,FALSE) - VLOOKUP($A26,test!$A$3:$G$32,6,FALSE) &gt;= (test!$B$33)/1440),1,0)</f>
        <v>1</v>
      </c>
      <c r="Y26" s="2">
        <f>IF(AND(VLOOKUP(Y$1,test!$A$3:$F$32,5,FALSE) - VLOOKUP($A26,test!$A$3:$G$32,6,FALSE) &gt;= (test!$B$33)/1440),1,0)</f>
        <v>0</v>
      </c>
      <c r="Z26" s="2">
        <f>IF(AND(VLOOKUP(Z$1,test!$A$3:$F$32,5,FALSE) - VLOOKUP($A26,test!$A$3:$G$32,6,FALSE) &gt;= (test!$B$33)/1440),1,0)</f>
        <v>0</v>
      </c>
      <c r="AA26" s="2">
        <f>IF(AND(VLOOKUP(AA$1,test!$A$3:$F$32,5,FALSE) - VLOOKUP($A26,test!$A$3:$G$32,6,FALSE) &gt;= (test!$B$33)/1440),1,0)</f>
        <v>0</v>
      </c>
      <c r="AB26" s="2">
        <f>IF(AND(VLOOKUP(AB$1,test!$A$3:$F$32,5,FALSE) - VLOOKUP($A26,test!$A$3:$G$32,6,FALSE) &gt;= (test!$B$33)/1440),1,0)</f>
        <v>0</v>
      </c>
      <c r="AC26" s="2">
        <f>IF(AND(VLOOKUP(AC$1,test!$A$3:$F$32,5,FALSE) - VLOOKUP($A26,test!$A$3:$G$32,6,FALSE) &gt;= (test!$B$33)/1440),1,0)</f>
        <v>1</v>
      </c>
      <c r="AD26" s="2">
        <f>IF(AND(VLOOKUP(AD$1,test!$A$3:$F$32,5,FALSE) - VLOOKUP($A26,test!$A$3:$G$32,6,FALSE) &gt;= (test!$B$33)/1440),1,0)</f>
        <v>0</v>
      </c>
      <c r="AE26" s="2">
        <f>IF(AND(VLOOKUP(AE$1,test!$A$3:$F$32,5,FALSE) - VLOOKUP($A26,test!$A$3:$G$32,6,FALSE) &gt;= (test!$B$33)/1440),1,0)</f>
        <v>0</v>
      </c>
      <c r="AF26" s="2">
        <f>IF(AND(VLOOKUP(AF$1,test!$A$3:$F$32,5,FALSE) - VLOOKUP($A26,test!$A$3:$G$32,6,FALSE) &gt;= (test!$B$33)/1440),1,0)</f>
        <v>0</v>
      </c>
    </row>
    <row r="27" spans="1:32" x14ac:dyDescent="0.25">
      <c r="A27" t="s">
        <v>36</v>
      </c>
      <c r="B27">
        <v>0</v>
      </c>
      <c r="C27" s="2">
        <f>IF(AND(VLOOKUP(C$1,test!$A$3:$F$32,5,FALSE) - VLOOKUP($A27,test!$A$3:$G$32,6,FALSE) &gt;= (test!$B$33)/1440),1,0)</f>
        <v>0</v>
      </c>
      <c r="D27" s="2">
        <f>IF(AND(VLOOKUP(D$1,test!$A$3:$F$32,5,FALSE) - VLOOKUP($A27,test!$A$3:$G$32,6,FALSE) &gt;= (test!$B$33)/1440),1,0)</f>
        <v>0</v>
      </c>
      <c r="E27" s="2">
        <f>IF(AND(VLOOKUP(E$1,test!$A$3:$F$32,5,FALSE) - VLOOKUP($A27,test!$A$3:$G$32,6,FALSE) &gt;= (test!$B$33)/1440),1,0)</f>
        <v>0</v>
      </c>
      <c r="F27" s="2">
        <f>IF(AND(VLOOKUP(F$1,test!$A$3:$F$32,5,FALSE) - VLOOKUP($A27,test!$A$3:$G$32,6,FALSE) &gt;= (test!$B$33)/1440),1,0)</f>
        <v>0</v>
      </c>
      <c r="G27" s="2">
        <f>IF(AND(VLOOKUP(G$1,test!$A$3:$F$32,5,FALSE) - VLOOKUP($A27,test!$A$3:$G$32,6,FALSE) &gt;= (test!$B$33)/1440),1,0)</f>
        <v>0</v>
      </c>
      <c r="H27" s="2">
        <f>IF(AND(VLOOKUP(H$1,test!$A$3:$F$32,5,FALSE) - VLOOKUP($A27,test!$A$3:$G$32,6,FALSE) &gt;= (test!$B$33)/1440),1,0)</f>
        <v>0</v>
      </c>
      <c r="I27" s="2">
        <f>IF(AND(VLOOKUP(I$1,test!$A$3:$F$32,5,FALSE) - VLOOKUP($A27,test!$A$3:$G$32,6,FALSE) &gt;= (test!$B$33)/1440),1,0)</f>
        <v>1</v>
      </c>
      <c r="J27" s="2">
        <f>IF(AND(VLOOKUP(J$1,test!$A$3:$F$32,5,FALSE) - VLOOKUP($A27,test!$A$3:$G$32,6,FALSE) &gt;= (test!$B$33)/1440),1,0)</f>
        <v>1</v>
      </c>
      <c r="K27" s="2">
        <f>IF(AND(VLOOKUP(K$1,test!$A$3:$F$32,5,FALSE) - VLOOKUP($A27,test!$A$3:$G$32,6,FALSE) &gt;= (test!$B$33)/1440),1,0)</f>
        <v>0</v>
      </c>
      <c r="L27" s="2">
        <f>IF(AND(VLOOKUP(L$1,test!$A$3:$F$32,5,FALSE) - VLOOKUP($A27,test!$A$3:$G$32,6,FALSE) &gt;= (test!$B$33)/1440),1,0)</f>
        <v>0</v>
      </c>
      <c r="M27" s="2">
        <f>IF(AND(VLOOKUP(M$1,test!$A$3:$F$32,5,FALSE) - VLOOKUP($A27,test!$A$3:$G$32,6,FALSE) &gt;= (test!$B$33)/1440),1,0)</f>
        <v>0</v>
      </c>
      <c r="N27" s="2">
        <f>IF(AND(VLOOKUP(N$1,test!$A$3:$F$32,5,FALSE) - VLOOKUP($A27,test!$A$3:$G$32,6,FALSE) &gt;= (test!$B$33)/1440),1,0)</f>
        <v>1</v>
      </c>
      <c r="O27" s="2">
        <f>IF(AND(VLOOKUP(O$1,test!$A$3:$F$32,5,FALSE) - VLOOKUP($A27,test!$A$3:$G$32,6,FALSE) &gt;= (test!$B$33)/1440),1,0)</f>
        <v>1</v>
      </c>
      <c r="P27" s="2">
        <f>IF(AND(VLOOKUP(P$1,test!$A$3:$F$32,5,FALSE) - VLOOKUP($A27,test!$A$3:$G$32,6,FALSE) &gt;= (test!$B$33)/1440),1,0)</f>
        <v>0</v>
      </c>
      <c r="Q27" s="2">
        <f>IF(AND(VLOOKUP(Q$1,test!$A$3:$F$32,5,FALSE) - VLOOKUP($A27,test!$A$3:$G$32,6,FALSE) &gt;= (test!$B$33)/1440),1,0)</f>
        <v>0</v>
      </c>
      <c r="R27" s="2">
        <f>IF(AND(VLOOKUP(R$1,test!$A$3:$F$32,5,FALSE) - VLOOKUP($A27,test!$A$3:$G$32,6,FALSE) &gt;= (test!$B$33)/1440),1,0)</f>
        <v>0</v>
      </c>
      <c r="S27" s="2">
        <f>IF(AND(VLOOKUP(S$1,test!$A$3:$F$32,5,FALSE) - VLOOKUP($A27,test!$A$3:$G$32,6,FALSE) &gt;= (test!$B$33)/1440),1,0)</f>
        <v>0</v>
      </c>
      <c r="T27" s="2">
        <f>IF(AND(VLOOKUP(T$1,test!$A$3:$F$32,5,FALSE) - VLOOKUP($A27,test!$A$3:$G$32,6,FALSE) &gt;= (test!$B$33)/1440),1,0)</f>
        <v>0</v>
      </c>
      <c r="U27" s="2">
        <f>IF(AND(VLOOKUP(U$1,test!$A$3:$F$32,5,FALSE) - VLOOKUP($A27,test!$A$3:$G$32,6,FALSE) &gt;= (test!$B$33)/1440),1,0)</f>
        <v>0</v>
      </c>
      <c r="V27" s="2">
        <f>IF(AND(VLOOKUP(V$1,test!$A$3:$F$32,5,FALSE) - VLOOKUP($A27,test!$A$3:$G$32,6,FALSE) &gt;= (test!$B$33)/1440),1,0)</f>
        <v>0</v>
      </c>
      <c r="W27" s="2">
        <f>IF(AND(VLOOKUP(W$1,test!$A$3:$F$32,5,FALSE) - VLOOKUP($A27,test!$A$3:$G$32,6,FALSE) &gt;= (test!$B$33)/1440),1,0)</f>
        <v>1</v>
      </c>
      <c r="X27" s="2">
        <f>IF(AND(VLOOKUP(X$1,test!$A$3:$F$32,5,FALSE) - VLOOKUP($A27,test!$A$3:$G$32,6,FALSE) &gt;= (test!$B$33)/1440),1,0)</f>
        <v>1</v>
      </c>
      <c r="Y27" s="2">
        <f>IF(AND(VLOOKUP(Y$1,test!$A$3:$F$32,5,FALSE) - VLOOKUP($A27,test!$A$3:$G$32,6,FALSE) &gt;= (test!$B$33)/1440),1,0)</f>
        <v>0</v>
      </c>
      <c r="Z27" s="2">
        <f>IF(AND(VLOOKUP(Z$1,test!$A$3:$F$32,5,FALSE) - VLOOKUP($A27,test!$A$3:$G$32,6,FALSE) &gt;= (test!$B$33)/1440),1,0)</f>
        <v>0</v>
      </c>
      <c r="AA27" s="2">
        <f>IF(AND(VLOOKUP(AA$1,test!$A$3:$F$32,5,FALSE) - VLOOKUP($A27,test!$A$3:$G$32,6,FALSE) &gt;= (test!$B$33)/1440),1,0)</f>
        <v>0</v>
      </c>
      <c r="AB27" s="2">
        <f>IF(AND(VLOOKUP(AB$1,test!$A$3:$F$32,5,FALSE) - VLOOKUP($A27,test!$A$3:$G$32,6,FALSE) &gt;= (test!$B$33)/1440),1,0)</f>
        <v>0</v>
      </c>
      <c r="AC27" s="2">
        <f>IF(AND(VLOOKUP(AC$1,test!$A$3:$F$32,5,FALSE) - VLOOKUP($A27,test!$A$3:$G$32,6,FALSE) &gt;= (test!$B$33)/1440),1,0)</f>
        <v>0</v>
      </c>
      <c r="AD27" s="2">
        <f>IF(AND(VLOOKUP(AD$1,test!$A$3:$F$32,5,FALSE) - VLOOKUP($A27,test!$A$3:$G$32,6,FALSE) &gt;= (test!$B$33)/1440),1,0)</f>
        <v>0</v>
      </c>
      <c r="AE27" s="2">
        <f>IF(AND(VLOOKUP(AE$1,test!$A$3:$F$32,5,FALSE) - VLOOKUP($A27,test!$A$3:$G$32,6,FALSE) &gt;= (test!$B$33)/1440),1,0)</f>
        <v>0</v>
      </c>
      <c r="AF27" s="2">
        <f>IF(AND(VLOOKUP(AF$1,test!$A$3:$F$32,5,FALSE) - VLOOKUP($A27,test!$A$3:$G$32,6,FALSE) &gt;= (test!$B$33)/1440),1,0)</f>
        <v>0</v>
      </c>
    </row>
    <row r="28" spans="1:32" x14ac:dyDescent="0.25">
      <c r="A28" t="s">
        <v>37</v>
      </c>
      <c r="B28">
        <v>0</v>
      </c>
      <c r="C28" s="2">
        <f>IF(AND(VLOOKUP(C$1,test!$A$3:$F$32,5,FALSE) - VLOOKUP($A28,test!$A$3:$G$32,6,FALSE) &gt;= (test!$B$33)/1440),1,0)</f>
        <v>0</v>
      </c>
      <c r="D28" s="2">
        <f>IF(AND(VLOOKUP(D$1,test!$A$3:$F$32,5,FALSE) - VLOOKUP($A28,test!$A$3:$G$32,6,FALSE) &gt;= (test!$B$33)/1440),1,0)</f>
        <v>0</v>
      </c>
      <c r="E28" s="2">
        <f>IF(AND(VLOOKUP(E$1,test!$A$3:$F$32,5,FALSE) - VLOOKUP($A28,test!$A$3:$G$32,6,FALSE) &gt;= (test!$B$33)/1440),1,0)</f>
        <v>0</v>
      </c>
      <c r="F28" s="2">
        <f>IF(AND(VLOOKUP(F$1,test!$A$3:$F$32,5,FALSE) - VLOOKUP($A28,test!$A$3:$G$32,6,FALSE) &gt;= (test!$B$33)/1440),1,0)</f>
        <v>0</v>
      </c>
      <c r="G28" s="2">
        <f>IF(AND(VLOOKUP(G$1,test!$A$3:$F$32,5,FALSE) - VLOOKUP($A28,test!$A$3:$G$32,6,FALSE) &gt;= (test!$B$33)/1440),1,0)</f>
        <v>0</v>
      </c>
      <c r="H28" s="2">
        <f>IF(AND(VLOOKUP(H$1,test!$A$3:$F$32,5,FALSE) - VLOOKUP($A28,test!$A$3:$G$32,6,FALSE) &gt;= (test!$B$33)/1440),1,0)</f>
        <v>0</v>
      </c>
      <c r="I28" s="2">
        <f>IF(AND(VLOOKUP(I$1,test!$A$3:$F$32,5,FALSE) - VLOOKUP($A28,test!$A$3:$G$32,6,FALSE) &gt;= (test!$B$33)/1440),1,0)</f>
        <v>0</v>
      </c>
      <c r="J28" s="2">
        <f>IF(AND(VLOOKUP(J$1,test!$A$3:$F$32,5,FALSE) - VLOOKUP($A28,test!$A$3:$G$32,6,FALSE) &gt;= (test!$B$33)/1440),1,0)</f>
        <v>1</v>
      </c>
      <c r="K28" s="2">
        <f>IF(AND(VLOOKUP(K$1,test!$A$3:$F$32,5,FALSE) - VLOOKUP($A28,test!$A$3:$G$32,6,FALSE) &gt;= (test!$B$33)/1440),1,0)</f>
        <v>0</v>
      </c>
      <c r="L28" s="2">
        <f>IF(AND(VLOOKUP(L$1,test!$A$3:$F$32,5,FALSE) - VLOOKUP($A28,test!$A$3:$G$32,6,FALSE) &gt;= (test!$B$33)/1440),1,0)</f>
        <v>0</v>
      </c>
      <c r="M28" s="2">
        <f>IF(AND(VLOOKUP(M$1,test!$A$3:$F$32,5,FALSE) - VLOOKUP($A28,test!$A$3:$G$32,6,FALSE) &gt;= (test!$B$33)/1440),1,0)</f>
        <v>0</v>
      </c>
      <c r="N28" s="2">
        <f>IF(AND(VLOOKUP(N$1,test!$A$3:$F$32,5,FALSE) - VLOOKUP($A28,test!$A$3:$G$32,6,FALSE) &gt;= (test!$B$33)/1440),1,0)</f>
        <v>1</v>
      </c>
      <c r="O28" s="2">
        <f>IF(AND(VLOOKUP(O$1,test!$A$3:$F$32,5,FALSE) - VLOOKUP($A28,test!$A$3:$G$32,6,FALSE) &gt;= (test!$B$33)/1440),1,0)</f>
        <v>1</v>
      </c>
      <c r="P28" s="2">
        <f>IF(AND(VLOOKUP(P$1,test!$A$3:$F$32,5,FALSE) - VLOOKUP($A28,test!$A$3:$G$32,6,FALSE) &gt;= (test!$B$33)/1440),1,0)</f>
        <v>0</v>
      </c>
      <c r="Q28" s="2">
        <f>IF(AND(VLOOKUP(Q$1,test!$A$3:$F$32,5,FALSE) - VLOOKUP($A28,test!$A$3:$G$32,6,FALSE) &gt;= (test!$B$33)/1440),1,0)</f>
        <v>0</v>
      </c>
      <c r="R28" s="2">
        <f>IF(AND(VLOOKUP(R$1,test!$A$3:$F$32,5,FALSE) - VLOOKUP($A28,test!$A$3:$G$32,6,FALSE) &gt;= (test!$B$33)/1440),1,0)</f>
        <v>0</v>
      </c>
      <c r="S28" s="2">
        <f>IF(AND(VLOOKUP(S$1,test!$A$3:$F$32,5,FALSE) - VLOOKUP($A28,test!$A$3:$G$32,6,FALSE) &gt;= (test!$B$33)/1440),1,0)</f>
        <v>0</v>
      </c>
      <c r="T28" s="2">
        <f>IF(AND(VLOOKUP(T$1,test!$A$3:$F$32,5,FALSE) - VLOOKUP($A28,test!$A$3:$G$32,6,FALSE) &gt;= (test!$B$33)/1440),1,0)</f>
        <v>0</v>
      </c>
      <c r="U28" s="2">
        <f>IF(AND(VLOOKUP(U$1,test!$A$3:$F$32,5,FALSE) - VLOOKUP($A28,test!$A$3:$G$32,6,FALSE) &gt;= (test!$B$33)/1440),1,0)</f>
        <v>0</v>
      </c>
      <c r="V28" s="2">
        <f>IF(AND(VLOOKUP(V$1,test!$A$3:$F$32,5,FALSE) - VLOOKUP($A28,test!$A$3:$G$32,6,FALSE) &gt;= (test!$B$33)/1440),1,0)</f>
        <v>0</v>
      </c>
      <c r="W28" s="2">
        <f>IF(AND(VLOOKUP(W$1,test!$A$3:$F$32,5,FALSE) - VLOOKUP($A28,test!$A$3:$G$32,6,FALSE) &gt;= (test!$B$33)/1440),1,0)</f>
        <v>0</v>
      </c>
      <c r="X28" s="2">
        <f>IF(AND(VLOOKUP(X$1,test!$A$3:$F$32,5,FALSE) - VLOOKUP($A28,test!$A$3:$G$32,6,FALSE) &gt;= (test!$B$33)/1440),1,0)</f>
        <v>1</v>
      </c>
      <c r="Y28" s="2">
        <f>IF(AND(VLOOKUP(Y$1,test!$A$3:$F$32,5,FALSE) - VLOOKUP($A28,test!$A$3:$G$32,6,FALSE) &gt;= (test!$B$33)/1440),1,0)</f>
        <v>0</v>
      </c>
      <c r="Z28" s="2">
        <f>IF(AND(VLOOKUP(Z$1,test!$A$3:$F$32,5,FALSE) - VLOOKUP($A28,test!$A$3:$G$32,6,FALSE) &gt;= (test!$B$33)/1440),1,0)</f>
        <v>0</v>
      </c>
      <c r="AA28" s="2">
        <f>IF(AND(VLOOKUP(AA$1,test!$A$3:$F$32,5,FALSE) - VLOOKUP($A28,test!$A$3:$G$32,6,FALSE) &gt;= (test!$B$33)/1440),1,0)</f>
        <v>0</v>
      </c>
      <c r="AB28" s="2">
        <f>IF(AND(VLOOKUP(AB$1,test!$A$3:$F$32,5,FALSE) - VLOOKUP($A28,test!$A$3:$G$32,6,FALSE) &gt;= (test!$B$33)/1440),1,0)</f>
        <v>0</v>
      </c>
      <c r="AC28" s="2">
        <f>IF(AND(VLOOKUP(AC$1,test!$A$3:$F$32,5,FALSE) - VLOOKUP($A28,test!$A$3:$G$32,6,FALSE) &gt;= (test!$B$33)/1440),1,0)</f>
        <v>0</v>
      </c>
      <c r="AD28" s="2">
        <f>IF(AND(VLOOKUP(AD$1,test!$A$3:$F$32,5,FALSE) - VLOOKUP($A28,test!$A$3:$G$32,6,FALSE) &gt;= (test!$B$33)/1440),1,0)</f>
        <v>0</v>
      </c>
      <c r="AE28" s="2">
        <f>IF(AND(VLOOKUP(AE$1,test!$A$3:$F$32,5,FALSE) - VLOOKUP($A28,test!$A$3:$G$32,6,FALSE) &gt;= (test!$B$33)/1440),1,0)</f>
        <v>0</v>
      </c>
      <c r="AF28" s="2">
        <f>IF(AND(VLOOKUP(AF$1,test!$A$3:$F$32,5,FALSE) - VLOOKUP($A28,test!$A$3:$G$32,6,FALSE) &gt;= (test!$B$33)/1440),1,0)</f>
        <v>0</v>
      </c>
    </row>
    <row r="29" spans="1:32" x14ac:dyDescent="0.25">
      <c r="A29" t="s">
        <v>38</v>
      </c>
      <c r="B29">
        <v>0</v>
      </c>
      <c r="C29" s="2">
        <f>IF(AND(VLOOKUP(C$1,test!$A$3:$F$32,5,FALSE) - VLOOKUP($A29,test!$A$3:$G$32,6,FALSE) &gt;= (test!$B$33)/1440),1,0)</f>
        <v>0</v>
      </c>
      <c r="D29" s="2">
        <f>IF(AND(VLOOKUP(D$1,test!$A$3:$F$32,5,FALSE) - VLOOKUP($A29,test!$A$3:$G$32,6,FALSE) &gt;= (test!$B$33)/1440),1,0)</f>
        <v>0</v>
      </c>
      <c r="E29" s="2">
        <f>IF(AND(VLOOKUP(E$1,test!$A$3:$F$32,5,FALSE) - VLOOKUP($A29,test!$A$3:$G$32,6,FALSE) &gt;= (test!$B$33)/1440),1,0)</f>
        <v>0</v>
      </c>
      <c r="F29" s="2">
        <f>IF(AND(VLOOKUP(F$1,test!$A$3:$F$32,5,FALSE) - VLOOKUP($A29,test!$A$3:$G$32,6,FALSE) &gt;= (test!$B$33)/1440),1,0)</f>
        <v>0</v>
      </c>
      <c r="G29" s="2">
        <f>IF(AND(VLOOKUP(G$1,test!$A$3:$F$32,5,FALSE) - VLOOKUP($A29,test!$A$3:$G$32,6,FALSE) &gt;= (test!$B$33)/1440),1,0)</f>
        <v>0</v>
      </c>
      <c r="H29" s="2">
        <f>IF(AND(VLOOKUP(H$1,test!$A$3:$F$32,5,FALSE) - VLOOKUP($A29,test!$A$3:$G$32,6,FALSE) &gt;= (test!$B$33)/1440),1,0)</f>
        <v>0</v>
      </c>
      <c r="I29" s="2">
        <f>IF(AND(VLOOKUP(I$1,test!$A$3:$F$32,5,FALSE) - VLOOKUP($A29,test!$A$3:$G$32,6,FALSE) &gt;= (test!$B$33)/1440),1,0)</f>
        <v>0</v>
      </c>
      <c r="J29" s="2">
        <f>IF(AND(VLOOKUP(J$1,test!$A$3:$F$32,5,FALSE) - VLOOKUP($A29,test!$A$3:$G$32,6,FALSE) &gt;= (test!$B$33)/1440),1,0)</f>
        <v>0</v>
      </c>
      <c r="K29" s="2">
        <f>IF(AND(VLOOKUP(K$1,test!$A$3:$F$32,5,FALSE) - VLOOKUP($A29,test!$A$3:$G$32,6,FALSE) &gt;= (test!$B$33)/1440),1,0)</f>
        <v>0</v>
      </c>
      <c r="L29" s="2">
        <f>IF(AND(VLOOKUP(L$1,test!$A$3:$F$32,5,FALSE) - VLOOKUP($A29,test!$A$3:$G$32,6,FALSE) &gt;= (test!$B$33)/1440),1,0)</f>
        <v>0</v>
      </c>
      <c r="M29" s="2">
        <f>IF(AND(VLOOKUP(M$1,test!$A$3:$F$32,5,FALSE) - VLOOKUP($A29,test!$A$3:$G$32,6,FALSE) &gt;= (test!$B$33)/1440),1,0)</f>
        <v>0</v>
      </c>
      <c r="N29" s="2">
        <f>IF(AND(VLOOKUP(N$1,test!$A$3:$F$32,5,FALSE) - VLOOKUP($A29,test!$A$3:$G$32,6,FALSE) &gt;= (test!$B$33)/1440),1,0)</f>
        <v>0</v>
      </c>
      <c r="O29" s="2">
        <f>IF(AND(VLOOKUP(O$1,test!$A$3:$F$32,5,FALSE) - VLOOKUP($A29,test!$A$3:$G$32,6,FALSE) &gt;= (test!$B$33)/1440),1,0)</f>
        <v>0</v>
      </c>
      <c r="P29" s="2">
        <f>IF(AND(VLOOKUP(P$1,test!$A$3:$F$32,5,FALSE) - VLOOKUP($A29,test!$A$3:$G$32,6,FALSE) &gt;= (test!$B$33)/1440),1,0)</f>
        <v>0</v>
      </c>
      <c r="Q29" s="2">
        <f>IF(AND(VLOOKUP(Q$1,test!$A$3:$F$32,5,FALSE) - VLOOKUP($A29,test!$A$3:$G$32,6,FALSE) &gt;= (test!$B$33)/1440),1,0)</f>
        <v>0</v>
      </c>
      <c r="R29" s="2">
        <f>IF(AND(VLOOKUP(R$1,test!$A$3:$F$32,5,FALSE) - VLOOKUP($A29,test!$A$3:$G$32,6,FALSE) &gt;= (test!$B$33)/1440),1,0)</f>
        <v>0</v>
      </c>
      <c r="S29" s="2">
        <f>IF(AND(VLOOKUP(S$1,test!$A$3:$F$32,5,FALSE) - VLOOKUP($A29,test!$A$3:$G$32,6,FALSE) &gt;= (test!$B$33)/1440),1,0)</f>
        <v>0</v>
      </c>
      <c r="T29" s="2">
        <f>IF(AND(VLOOKUP(T$1,test!$A$3:$F$32,5,FALSE) - VLOOKUP($A29,test!$A$3:$G$32,6,FALSE) &gt;= (test!$B$33)/1440),1,0)</f>
        <v>0</v>
      </c>
      <c r="U29" s="2">
        <f>IF(AND(VLOOKUP(U$1,test!$A$3:$F$32,5,FALSE) - VLOOKUP($A29,test!$A$3:$G$32,6,FALSE) &gt;= (test!$B$33)/1440),1,0)</f>
        <v>0</v>
      </c>
      <c r="V29" s="2">
        <f>IF(AND(VLOOKUP(V$1,test!$A$3:$F$32,5,FALSE) - VLOOKUP($A29,test!$A$3:$G$32,6,FALSE) &gt;= (test!$B$33)/1440),1,0)</f>
        <v>0</v>
      </c>
      <c r="W29" s="2">
        <f>IF(AND(VLOOKUP(W$1,test!$A$3:$F$32,5,FALSE) - VLOOKUP($A29,test!$A$3:$G$32,6,FALSE) &gt;= (test!$B$33)/1440),1,0)</f>
        <v>0</v>
      </c>
      <c r="X29" s="2">
        <f>IF(AND(VLOOKUP(X$1,test!$A$3:$F$32,5,FALSE) - VLOOKUP($A29,test!$A$3:$G$32,6,FALSE) &gt;= (test!$B$33)/1440),1,0)</f>
        <v>0</v>
      </c>
      <c r="Y29" s="2">
        <f>IF(AND(VLOOKUP(Y$1,test!$A$3:$F$32,5,FALSE) - VLOOKUP($A29,test!$A$3:$G$32,6,FALSE) &gt;= (test!$B$33)/1440),1,0)</f>
        <v>0</v>
      </c>
      <c r="Z29" s="2">
        <f>IF(AND(VLOOKUP(Z$1,test!$A$3:$F$32,5,FALSE) - VLOOKUP($A29,test!$A$3:$G$32,6,FALSE) &gt;= (test!$B$33)/1440),1,0)</f>
        <v>0</v>
      </c>
      <c r="AA29" s="2">
        <f>IF(AND(VLOOKUP(AA$1,test!$A$3:$F$32,5,FALSE) - VLOOKUP($A29,test!$A$3:$G$32,6,FALSE) &gt;= (test!$B$33)/1440),1,0)</f>
        <v>0</v>
      </c>
      <c r="AB29" s="2">
        <f>IF(AND(VLOOKUP(AB$1,test!$A$3:$F$32,5,FALSE) - VLOOKUP($A29,test!$A$3:$G$32,6,FALSE) &gt;= (test!$B$33)/1440),1,0)</f>
        <v>0</v>
      </c>
      <c r="AC29" s="2">
        <f>IF(AND(VLOOKUP(AC$1,test!$A$3:$F$32,5,FALSE) - VLOOKUP($A29,test!$A$3:$G$32,6,FALSE) &gt;= (test!$B$33)/1440),1,0)</f>
        <v>0</v>
      </c>
      <c r="AD29" s="2">
        <f>IF(AND(VLOOKUP(AD$1,test!$A$3:$F$32,5,FALSE) - VLOOKUP($A29,test!$A$3:$G$32,6,FALSE) &gt;= (test!$B$33)/1440),1,0)</f>
        <v>0</v>
      </c>
      <c r="AE29" s="2">
        <f>IF(AND(VLOOKUP(AE$1,test!$A$3:$F$32,5,FALSE) - VLOOKUP($A29,test!$A$3:$G$32,6,FALSE) &gt;= (test!$B$33)/1440),1,0)</f>
        <v>0</v>
      </c>
      <c r="AF29" s="2">
        <f>IF(AND(VLOOKUP(AF$1,test!$A$3:$F$32,5,FALSE) - VLOOKUP($A29,test!$A$3:$G$32,6,FALSE) &gt;= (test!$B$33)/1440),1,0)</f>
        <v>0</v>
      </c>
    </row>
    <row r="30" spans="1:32" x14ac:dyDescent="0.25">
      <c r="A30" t="s">
        <v>39</v>
      </c>
      <c r="B30">
        <v>0</v>
      </c>
      <c r="C30" s="2">
        <f>IF(AND(VLOOKUP(C$1,test!$A$3:$F$32,5,FALSE) - VLOOKUP($A30,test!$A$3:$G$32,6,FALSE) &gt;= (test!$B$33)/1440),1,0)</f>
        <v>0</v>
      </c>
      <c r="D30" s="2">
        <f>IF(AND(VLOOKUP(D$1,test!$A$3:$F$32,5,FALSE) - VLOOKUP($A30,test!$A$3:$G$32,6,FALSE) &gt;= (test!$B$33)/1440),1,0)</f>
        <v>0</v>
      </c>
      <c r="E30" s="2">
        <f>IF(AND(VLOOKUP(E$1,test!$A$3:$F$32,5,FALSE) - VLOOKUP($A30,test!$A$3:$G$32,6,FALSE) &gt;= (test!$B$33)/1440),1,0)</f>
        <v>1</v>
      </c>
      <c r="F30" s="2">
        <f>IF(AND(VLOOKUP(F$1,test!$A$3:$F$32,5,FALSE) - VLOOKUP($A30,test!$A$3:$G$32,6,FALSE) &gt;= (test!$B$33)/1440),1,0)</f>
        <v>1</v>
      </c>
      <c r="G30" s="2">
        <f>IF(AND(VLOOKUP(G$1,test!$A$3:$F$32,5,FALSE) - VLOOKUP($A30,test!$A$3:$G$32,6,FALSE) &gt;= (test!$B$33)/1440),1,0)</f>
        <v>1</v>
      </c>
      <c r="H30" s="2">
        <f>IF(AND(VLOOKUP(H$1,test!$A$3:$F$32,5,FALSE) - VLOOKUP($A30,test!$A$3:$G$32,6,FALSE) &gt;= (test!$B$33)/1440),1,0)</f>
        <v>1</v>
      </c>
      <c r="I30" s="2">
        <f>IF(AND(VLOOKUP(I$1,test!$A$3:$F$32,5,FALSE) - VLOOKUP($A30,test!$A$3:$G$32,6,FALSE) &gt;= (test!$B$33)/1440),1,0)</f>
        <v>1</v>
      </c>
      <c r="J30" s="2">
        <f>IF(AND(VLOOKUP(J$1,test!$A$3:$F$32,5,FALSE) - VLOOKUP($A30,test!$A$3:$G$32,6,FALSE) &gt;= (test!$B$33)/1440),1,0)</f>
        <v>1</v>
      </c>
      <c r="K30" s="2">
        <f>IF(AND(VLOOKUP(K$1,test!$A$3:$F$32,5,FALSE) - VLOOKUP($A30,test!$A$3:$G$32,6,FALSE) &gt;= (test!$B$33)/1440),1,0)</f>
        <v>0</v>
      </c>
      <c r="L30" s="2">
        <f>IF(AND(VLOOKUP(L$1,test!$A$3:$F$32,5,FALSE) - VLOOKUP($A30,test!$A$3:$G$32,6,FALSE) &gt;= (test!$B$33)/1440),1,0)</f>
        <v>0</v>
      </c>
      <c r="M30" s="2">
        <f>IF(AND(VLOOKUP(M$1,test!$A$3:$F$32,5,FALSE) - VLOOKUP($A30,test!$A$3:$G$32,6,FALSE) &gt;= (test!$B$33)/1440),1,0)</f>
        <v>1</v>
      </c>
      <c r="N30" s="2">
        <f>IF(AND(VLOOKUP(N$1,test!$A$3:$F$32,5,FALSE) - VLOOKUP($A30,test!$A$3:$G$32,6,FALSE) &gt;= (test!$B$33)/1440),1,0)</f>
        <v>1</v>
      </c>
      <c r="O30" s="2">
        <f>IF(AND(VLOOKUP(O$1,test!$A$3:$F$32,5,FALSE) - VLOOKUP($A30,test!$A$3:$G$32,6,FALSE) &gt;= (test!$B$33)/1440),1,0)</f>
        <v>1</v>
      </c>
      <c r="P30" s="2">
        <f>IF(AND(VLOOKUP(P$1,test!$A$3:$F$32,5,FALSE) - VLOOKUP($A30,test!$A$3:$G$32,6,FALSE) &gt;= (test!$B$33)/1440),1,0)</f>
        <v>0</v>
      </c>
      <c r="Q30" s="2">
        <f>IF(AND(VLOOKUP(Q$1,test!$A$3:$F$32,5,FALSE) - VLOOKUP($A30,test!$A$3:$G$32,6,FALSE) &gt;= (test!$B$33)/1440),1,0)</f>
        <v>0</v>
      </c>
      <c r="R30" s="2">
        <f>IF(AND(VLOOKUP(R$1,test!$A$3:$F$32,5,FALSE) - VLOOKUP($A30,test!$A$3:$G$32,6,FALSE) &gt;= (test!$B$33)/1440),1,0)</f>
        <v>0</v>
      </c>
      <c r="S30" s="2">
        <f>IF(AND(VLOOKUP(S$1,test!$A$3:$F$32,5,FALSE) - VLOOKUP($A30,test!$A$3:$G$32,6,FALSE) &gt;= (test!$B$33)/1440),1,0)</f>
        <v>0</v>
      </c>
      <c r="T30" s="2">
        <f>IF(AND(VLOOKUP(T$1,test!$A$3:$F$32,5,FALSE) - VLOOKUP($A30,test!$A$3:$G$32,6,FALSE) &gt;= (test!$B$33)/1440),1,0)</f>
        <v>1</v>
      </c>
      <c r="U30" s="2">
        <f>IF(AND(VLOOKUP(U$1,test!$A$3:$F$32,5,FALSE) - VLOOKUP($A30,test!$A$3:$G$32,6,FALSE) &gt;= (test!$B$33)/1440),1,0)</f>
        <v>1</v>
      </c>
      <c r="V30" s="2">
        <f>IF(AND(VLOOKUP(V$1,test!$A$3:$F$32,5,FALSE) - VLOOKUP($A30,test!$A$3:$G$32,6,FALSE) &gt;= (test!$B$33)/1440),1,0)</f>
        <v>1</v>
      </c>
      <c r="W30" s="2">
        <f>IF(AND(VLOOKUP(W$1,test!$A$3:$F$32,5,FALSE) - VLOOKUP($A30,test!$A$3:$G$32,6,FALSE) &gt;= (test!$B$33)/1440),1,0)</f>
        <v>1</v>
      </c>
      <c r="X30" s="2">
        <f>IF(AND(VLOOKUP(X$1,test!$A$3:$F$32,5,FALSE) - VLOOKUP($A30,test!$A$3:$G$32,6,FALSE) &gt;= (test!$B$33)/1440),1,0)</f>
        <v>1</v>
      </c>
      <c r="Y30" s="2">
        <f>IF(AND(VLOOKUP(Y$1,test!$A$3:$F$32,5,FALSE) - VLOOKUP($A30,test!$A$3:$G$32,6,FALSE) &gt;= (test!$B$33)/1440),1,0)</f>
        <v>0</v>
      </c>
      <c r="Z30" s="2">
        <f>IF(AND(VLOOKUP(Z$1,test!$A$3:$F$32,5,FALSE) - VLOOKUP($A30,test!$A$3:$G$32,6,FALSE) &gt;= (test!$B$33)/1440),1,0)</f>
        <v>0</v>
      </c>
      <c r="AA30" s="2">
        <f>IF(AND(VLOOKUP(AA$1,test!$A$3:$F$32,5,FALSE) - VLOOKUP($A30,test!$A$3:$G$32,6,FALSE) &gt;= (test!$B$33)/1440),1,0)</f>
        <v>1</v>
      </c>
      <c r="AB30" s="2">
        <f>IF(AND(VLOOKUP(AB$1,test!$A$3:$F$32,5,FALSE) - VLOOKUP($A30,test!$A$3:$G$32,6,FALSE) &gt;= (test!$B$33)/1440),1,0)</f>
        <v>1</v>
      </c>
      <c r="AC30" s="2">
        <f>IF(AND(VLOOKUP(AC$1,test!$A$3:$F$32,5,FALSE) - VLOOKUP($A30,test!$A$3:$G$32,6,FALSE) &gt;= (test!$B$33)/1440),1,0)</f>
        <v>1</v>
      </c>
      <c r="AD30" s="2">
        <f>IF(AND(VLOOKUP(AD$1,test!$A$3:$F$32,5,FALSE) - VLOOKUP($A30,test!$A$3:$G$32,6,FALSE) &gt;= (test!$B$33)/1440),1,0)</f>
        <v>0</v>
      </c>
      <c r="AE30" s="2">
        <f>IF(AND(VLOOKUP(AE$1,test!$A$3:$F$32,5,FALSE) - VLOOKUP($A30,test!$A$3:$G$32,6,FALSE) &gt;= (test!$B$33)/1440),1,0)</f>
        <v>1</v>
      </c>
      <c r="AF30" s="2">
        <f>IF(AND(VLOOKUP(AF$1,test!$A$3:$F$32,5,FALSE) - VLOOKUP($A30,test!$A$3:$G$32,6,FALSE) &gt;= (test!$B$33)/1440),1,0)</f>
        <v>1</v>
      </c>
    </row>
    <row r="31" spans="1:32" x14ac:dyDescent="0.25">
      <c r="A31" t="s">
        <v>40</v>
      </c>
      <c r="B31">
        <v>0</v>
      </c>
      <c r="C31" s="2">
        <f>IF(AND(VLOOKUP(C$1,test!$A$3:$F$32,5,FALSE) - VLOOKUP($A31,test!$A$3:$G$32,6,FALSE) &gt;= (test!$B$33)/1440),1,0)</f>
        <v>0</v>
      </c>
      <c r="D31" s="2">
        <f>IF(AND(VLOOKUP(D$1,test!$A$3:$F$32,5,FALSE) - VLOOKUP($A31,test!$A$3:$G$32,6,FALSE) &gt;= (test!$B$33)/1440),1,0)</f>
        <v>0</v>
      </c>
      <c r="E31" s="2">
        <f>IF(AND(VLOOKUP(E$1,test!$A$3:$F$32,5,FALSE) - VLOOKUP($A31,test!$A$3:$G$32,6,FALSE) &gt;= (test!$B$33)/1440),1,0)</f>
        <v>0</v>
      </c>
      <c r="F31" s="2">
        <f>IF(AND(VLOOKUP(F$1,test!$A$3:$F$32,5,FALSE) - VLOOKUP($A31,test!$A$3:$G$32,6,FALSE) &gt;= (test!$B$33)/1440),1,0)</f>
        <v>0</v>
      </c>
      <c r="G31" s="2">
        <f>IF(AND(VLOOKUP(G$1,test!$A$3:$F$32,5,FALSE) - VLOOKUP($A31,test!$A$3:$G$32,6,FALSE) &gt;= (test!$B$33)/1440),1,0)</f>
        <v>0</v>
      </c>
      <c r="H31" s="2">
        <f>IF(AND(VLOOKUP(H$1,test!$A$3:$F$32,5,FALSE) - VLOOKUP($A31,test!$A$3:$G$32,6,FALSE) &gt;= (test!$B$33)/1440),1,0)</f>
        <v>0</v>
      </c>
      <c r="I31" s="2">
        <f>IF(AND(VLOOKUP(I$1,test!$A$3:$F$32,5,FALSE) - VLOOKUP($A31,test!$A$3:$G$32,6,FALSE) &gt;= (test!$B$33)/1440),1,0)</f>
        <v>0</v>
      </c>
      <c r="J31" s="2">
        <f>IF(AND(VLOOKUP(J$1,test!$A$3:$F$32,5,FALSE) - VLOOKUP($A31,test!$A$3:$G$32,6,FALSE) &gt;= (test!$B$33)/1440),1,0)</f>
        <v>1</v>
      </c>
      <c r="K31" s="2">
        <f>IF(AND(VLOOKUP(K$1,test!$A$3:$F$32,5,FALSE) - VLOOKUP($A31,test!$A$3:$G$32,6,FALSE) &gt;= (test!$B$33)/1440),1,0)</f>
        <v>0</v>
      </c>
      <c r="L31" s="2">
        <f>IF(AND(VLOOKUP(L$1,test!$A$3:$F$32,5,FALSE) - VLOOKUP($A31,test!$A$3:$G$32,6,FALSE) &gt;= (test!$B$33)/1440),1,0)</f>
        <v>0</v>
      </c>
      <c r="M31" s="2">
        <f>IF(AND(VLOOKUP(M$1,test!$A$3:$F$32,5,FALSE) - VLOOKUP($A31,test!$A$3:$G$32,6,FALSE) &gt;= (test!$B$33)/1440),1,0)</f>
        <v>0</v>
      </c>
      <c r="N31" s="2">
        <f>IF(AND(VLOOKUP(N$1,test!$A$3:$F$32,5,FALSE) - VLOOKUP($A31,test!$A$3:$G$32,6,FALSE) &gt;= (test!$B$33)/1440),1,0)</f>
        <v>1</v>
      </c>
      <c r="O31" s="2">
        <f>IF(AND(VLOOKUP(O$1,test!$A$3:$F$32,5,FALSE) - VLOOKUP($A31,test!$A$3:$G$32,6,FALSE) &gt;= (test!$B$33)/1440),1,0)</f>
        <v>1</v>
      </c>
      <c r="P31" s="2">
        <f>IF(AND(VLOOKUP(P$1,test!$A$3:$F$32,5,FALSE) - VLOOKUP($A31,test!$A$3:$G$32,6,FALSE) &gt;= (test!$B$33)/1440),1,0)</f>
        <v>0</v>
      </c>
      <c r="Q31" s="2">
        <f>IF(AND(VLOOKUP(Q$1,test!$A$3:$F$32,5,FALSE) - VLOOKUP($A31,test!$A$3:$G$32,6,FALSE) &gt;= (test!$B$33)/1440),1,0)</f>
        <v>0</v>
      </c>
      <c r="R31" s="2">
        <f>IF(AND(VLOOKUP(R$1,test!$A$3:$F$32,5,FALSE) - VLOOKUP($A31,test!$A$3:$G$32,6,FALSE) &gt;= (test!$B$33)/1440),1,0)</f>
        <v>0</v>
      </c>
      <c r="S31" s="2">
        <f>IF(AND(VLOOKUP(S$1,test!$A$3:$F$32,5,FALSE) - VLOOKUP($A31,test!$A$3:$G$32,6,FALSE) &gt;= (test!$B$33)/1440),1,0)</f>
        <v>0</v>
      </c>
      <c r="T31" s="2">
        <f>IF(AND(VLOOKUP(T$1,test!$A$3:$F$32,5,FALSE) - VLOOKUP($A31,test!$A$3:$G$32,6,FALSE) &gt;= (test!$B$33)/1440),1,0)</f>
        <v>0</v>
      </c>
      <c r="U31" s="2">
        <f>IF(AND(VLOOKUP(U$1,test!$A$3:$F$32,5,FALSE) - VLOOKUP($A31,test!$A$3:$G$32,6,FALSE) &gt;= (test!$B$33)/1440),1,0)</f>
        <v>0</v>
      </c>
      <c r="V31" s="2">
        <f>IF(AND(VLOOKUP(V$1,test!$A$3:$F$32,5,FALSE) - VLOOKUP($A31,test!$A$3:$G$32,6,FALSE) &gt;= (test!$B$33)/1440),1,0)</f>
        <v>0</v>
      </c>
      <c r="W31" s="2">
        <f>IF(AND(VLOOKUP(W$1,test!$A$3:$F$32,5,FALSE) - VLOOKUP($A31,test!$A$3:$G$32,6,FALSE) &gt;= (test!$B$33)/1440),1,0)</f>
        <v>0</v>
      </c>
      <c r="X31" s="2">
        <f>IF(AND(VLOOKUP(X$1,test!$A$3:$F$32,5,FALSE) - VLOOKUP($A31,test!$A$3:$G$32,6,FALSE) &gt;= (test!$B$33)/1440),1,0)</f>
        <v>1</v>
      </c>
      <c r="Y31" s="2">
        <f>IF(AND(VLOOKUP(Y$1,test!$A$3:$F$32,5,FALSE) - VLOOKUP($A31,test!$A$3:$G$32,6,FALSE) &gt;= (test!$B$33)/1440),1,0)</f>
        <v>0</v>
      </c>
      <c r="Z31" s="2">
        <f>IF(AND(VLOOKUP(Z$1,test!$A$3:$F$32,5,FALSE) - VLOOKUP($A31,test!$A$3:$G$32,6,FALSE) &gt;= (test!$B$33)/1440),1,0)</f>
        <v>0</v>
      </c>
      <c r="AA31" s="2">
        <f>IF(AND(VLOOKUP(AA$1,test!$A$3:$F$32,5,FALSE) - VLOOKUP($A31,test!$A$3:$G$32,6,FALSE) &gt;= (test!$B$33)/1440),1,0)</f>
        <v>0</v>
      </c>
      <c r="AB31" s="2">
        <f>IF(AND(VLOOKUP(AB$1,test!$A$3:$F$32,5,FALSE) - VLOOKUP($A31,test!$A$3:$G$32,6,FALSE) &gt;= (test!$B$33)/1440),1,0)</f>
        <v>0</v>
      </c>
      <c r="AC31" s="2">
        <f>IF(AND(VLOOKUP(AC$1,test!$A$3:$F$32,5,FALSE) - VLOOKUP($A31,test!$A$3:$G$32,6,FALSE) &gt;= (test!$B$33)/1440),1,0)</f>
        <v>0</v>
      </c>
      <c r="AD31" s="2">
        <f>IF(AND(VLOOKUP(AD$1,test!$A$3:$F$32,5,FALSE) - VLOOKUP($A31,test!$A$3:$G$32,6,FALSE) &gt;= (test!$B$33)/1440),1,0)</f>
        <v>0</v>
      </c>
      <c r="AE31" s="2">
        <f>IF(AND(VLOOKUP(AE$1,test!$A$3:$F$32,5,FALSE) - VLOOKUP($A31,test!$A$3:$G$32,6,FALSE) &gt;= (test!$B$33)/1440),1,0)</f>
        <v>0</v>
      </c>
      <c r="AF31" s="2">
        <f>IF(AND(VLOOKUP(AF$1,test!$A$3:$F$32,5,FALSE) - VLOOKUP($A31,test!$A$3:$G$32,6,FALSE) &gt;= (test!$B$33)/1440),1,0)</f>
        <v>0</v>
      </c>
    </row>
    <row r="32" spans="1:32" x14ac:dyDescent="0.25">
      <c r="A32" t="s">
        <v>41</v>
      </c>
      <c r="B32">
        <v>0</v>
      </c>
      <c r="C32" s="2">
        <f>IF(AND(VLOOKUP(C$1,test!$A$3:$F$32,5,FALSE) - VLOOKUP($A32,test!$A$3:$G$32,6,FALSE) &gt;= (test!$B$33)/1440),1,0)</f>
        <v>0</v>
      </c>
      <c r="D32" s="2">
        <f>IF(AND(VLOOKUP(D$1,test!$A$3:$F$32,5,FALSE) - VLOOKUP($A32,test!$A$3:$G$32,6,FALSE) &gt;= (test!$B$33)/1440),1,0)</f>
        <v>0</v>
      </c>
      <c r="E32" s="2">
        <f>IF(AND(VLOOKUP(E$1,test!$A$3:$F$32,5,FALSE) - VLOOKUP($A32,test!$A$3:$G$32,6,FALSE) &gt;= (test!$B$33)/1440),1,0)</f>
        <v>0</v>
      </c>
      <c r="F32" s="2">
        <f>IF(AND(VLOOKUP(F$1,test!$A$3:$F$32,5,FALSE) - VLOOKUP($A32,test!$A$3:$G$32,6,FALSE) &gt;= (test!$B$33)/1440),1,0)</f>
        <v>0</v>
      </c>
      <c r="G32" s="2">
        <f>IF(AND(VLOOKUP(G$1,test!$A$3:$F$32,5,FALSE) - VLOOKUP($A32,test!$A$3:$G$32,6,FALSE) &gt;= (test!$B$33)/1440),1,0)</f>
        <v>0</v>
      </c>
      <c r="H32" s="2">
        <f>IF(AND(VLOOKUP(H$1,test!$A$3:$F$32,5,FALSE) - VLOOKUP($A32,test!$A$3:$G$32,6,FALSE) &gt;= (test!$B$33)/1440),1,0)</f>
        <v>0</v>
      </c>
      <c r="I32" s="2">
        <f>IF(AND(VLOOKUP(I$1,test!$A$3:$F$32,5,FALSE) - VLOOKUP($A32,test!$A$3:$G$32,6,FALSE) &gt;= (test!$B$33)/1440),1,0)</f>
        <v>0</v>
      </c>
      <c r="J32" s="2">
        <f>IF(AND(VLOOKUP(J$1,test!$A$3:$F$32,5,FALSE) - VLOOKUP($A32,test!$A$3:$G$32,6,FALSE) &gt;= (test!$B$33)/1440),1,0)</f>
        <v>1</v>
      </c>
      <c r="K32" s="2">
        <f>IF(AND(VLOOKUP(K$1,test!$A$3:$F$32,5,FALSE) - VLOOKUP($A32,test!$A$3:$G$32,6,FALSE) &gt;= (test!$B$33)/1440),1,0)</f>
        <v>0</v>
      </c>
      <c r="L32" s="2">
        <f>IF(AND(VLOOKUP(L$1,test!$A$3:$F$32,5,FALSE) - VLOOKUP($A32,test!$A$3:$G$32,6,FALSE) &gt;= (test!$B$33)/1440),1,0)</f>
        <v>0</v>
      </c>
      <c r="M32" s="2">
        <f>IF(AND(VLOOKUP(M$1,test!$A$3:$F$32,5,FALSE) - VLOOKUP($A32,test!$A$3:$G$32,6,FALSE) &gt;= (test!$B$33)/1440),1,0)</f>
        <v>0</v>
      </c>
      <c r="N32" s="2">
        <f>IF(AND(VLOOKUP(N$1,test!$A$3:$F$32,5,FALSE) - VLOOKUP($A32,test!$A$3:$G$32,6,FALSE) &gt;= (test!$B$33)/1440),1,0)</f>
        <v>1</v>
      </c>
      <c r="O32" s="2">
        <f>IF(AND(VLOOKUP(O$1,test!$A$3:$F$32,5,FALSE) - VLOOKUP($A32,test!$A$3:$G$32,6,FALSE) &gt;= (test!$B$33)/1440),1,0)</f>
        <v>1</v>
      </c>
      <c r="P32" s="2">
        <f>IF(AND(VLOOKUP(P$1,test!$A$3:$F$32,5,FALSE) - VLOOKUP($A32,test!$A$3:$G$32,6,FALSE) &gt;= (test!$B$33)/1440),1,0)</f>
        <v>0</v>
      </c>
      <c r="Q32" s="2">
        <f>IF(AND(VLOOKUP(Q$1,test!$A$3:$F$32,5,FALSE) - VLOOKUP($A32,test!$A$3:$G$32,6,FALSE) &gt;= (test!$B$33)/1440),1,0)</f>
        <v>0</v>
      </c>
      <c r="R32" s="2">
        <f>IF(AND(VLOOKUP(R$1,test!$A$3:$F$32,5,FALSE) - VLOOKUP($A32,test!$A$3:$G$32,6,FALSE) &gt;= (test!$B$33)/1440),1,0)</f>
        <v>0</v>
      </c>
      <c r="S32" s="2">
        <f>IF(AND(VLOOKUP(S$1,test!$A$3:$F$32,5,FALSE) - VLOOKUP($A32,test!$A$3:$G$32,6,FALSE) &gt;= (test!$B$33)/1440),1,0)</f>
        <v>0</v>
      </c>
      <c r="T32" s="2">
        <f>IF(AND(VLOOKUP(T$1,test!$A$3:$F$32,5,FALSE) - VLOOKUP($A32,test!$A$3:$G$32,6,FALSE) &gt;= (test!$B$33)/1440),1,0)</f>
        <v>0</v>
      </c>
      <c r="U32" s="2">
        <f>IF(AND(VLOOKUP(U$1,test!$A$3:$F$32,5,FALSE) - VLOOKUP($A32,test!$A$3:$G$32,6,FALSE) &gt;= (test!$B$33)/1440),1,0)</f>
        <v>0</v>
      </c>
      <c r="V32" s="2">
        <f>IF(AND(VLOOKUP(V$1,test!$A$3:$F$32,5,FALSE) - VLOOKUP($A32,test!$A$3:$G$32,6,FALSE) &gt;= (test!$B$33)/1440),1,0)</f>
        <v>0</v>
      </c>
      <c r="W32" s="2">
        <f>IF(AND(VLOOKUP(W$1,test!$A$3:$F$32,5,FALSE) - VLOOKUP($A32,test!$A$3:$G$32,6,FALSE) &gt;= (test!$B$33)/1440),1,0)</f>
        <v>0</v>
      </c>
      <c r="X32" s="2">
        <f>IF(AND(VLOOKUP(X$1,test!$A$3:$F$32,5,FALSE) - VLOOKUP($A32,test!$A$3:$G$32,6,FALSE) &gt;= (test!$B$33)/1440),1,0)</f>
        <v>1</v>
      </c>
      <c r="Y32" s="2">
        <f>IF(AND(VLOOKUP(Y$1,test!$A$3:$F$32,5,FALSE) - VLOOKUP($A32,test!$A$3:$G$32,6,FALSE) &gt;= (test!$B$33)/1440),1,0)</f>
        <v>0</v>
      </c>
      <c r="Z32" s="2">
        <f>IF(AND(VLOOKUP(Z$1,test!$A$3:$F$32,5,FALSE) - VLOOKUP($A32,test!$A$3:$G$32,6,FALSE) &gt;= (test!$B$33)/1440),1,0)</f>
        <v>0</v>
      </c>
      <c r="AA32" s="2">
        <f>IF(AND(VLOOKUP(AA$1,test!$A$3:$F$32,5,FALSE) - VLOOKUP($A32,test!$A$3:$G$32,6,FALSE) &gt;= (test!$B$33)/1440),1,0)</f>
        <v>0</v>
      </c>
      <c r="AB32" s="2">
        <f>IF(AND(VLOOKUP(AB$1,test!$A$3:$F$32,5,FALSE) - VLOOKUP($A32,test!$A$3:$G$32,6,FALSE) &gt;= (test!$B$33)/1440),1,0)</f>
        <v>0</v>
      </c>
      <c r="AC32" s="2">
        <f>IF(AND(VLOOKUP(AC$1,test!$A$3:$F$32,5,FALSE) - VLOOKUP($A32,test!$A$3:$G$32,6,FALSE) &gt;= (test!$B$33)/1440),1,0)</f>
        <v>0</v>
      </c>
      <c r="AD32" s="2">
        <f>IF(AND(VLOOKUP(AD$1,test!$A$3:$F$32,5,FALSE) - VLOOKUP($A32,test!$A$3:$G$32,6,FALSE) &gt;= (test!$B$33)/1440),1,0)</f>
        <v>0</v>
      </c>
      <c r="AE32" s="2">
        <f>IF(AND(VLOOKUP(AE$1,test!$A$3:$F$32,5,FALSE) - VLOOKUP($A32,test!$A$3:$G$32,6,FALSE) &gt;= (test!$B$33)/1440),1,0)</f>
        <v>0</v>
      </c>
      <c r="AF32" s="2">
        <f>IF(AND(VLOOKUP(AF$1,test!$A$3:$F$32,5,FALSE) - VLOOKUP($A32,test!$A$3:$G$32,6,FALSE) &gt;= (test!$B$33)/1440),1,0)</f>
        <v>0</v>
      </c>
    </row>
  </sheetData>
  <conditionalFormatting sqref="C3:AF32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</vt:lpstr>
      <vt:lpstr>Recharged_Feasible_matv3</vt:lpstr>
      <vt:lpstr>Recharged_Feasible_matv2</vt:lpstr>
      <vt:lpstr>Result</vt:lpstr>
      <vt:lpstr>Sheet2</vt:lpstr>
      <vt:lpstr>10Trips</vt:lpstr>
      <vt:lpstr>feasible_mat</vt:lpstr>
      <vt:lpstr>duration_mat</vt:lpstr>
      <vt:lpstr>idle_mat</vt:lpstr>
      <vt:lpstr>idle_matv4</vt:lpstr>
      <vt:lpstr>idle_matv2</vt:lpstr>
      <vt:lpstr>idle_matv3</vt:lpstr>
      <vt:lpstr>Recharged_Feasible_mat</vt:lpstr>
      <vt:lpstr>Recharged_Feasible_mat1cs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Corry</dc:creator>
  <cp:lastModifiedBy>Dicky Sentosa Gozali</cp:lastModifiedBy>
  <dcterms:created xsi:type="dcterms:W3CDTF">2024-02-13T00:51:05Z</dcterms:created>
  <dcterms:modified xsi:type="dcterms:W3CDTF">2025-05-01T06:51:06Z</dcterms:modified>
</cp:coreProperties>
</file>